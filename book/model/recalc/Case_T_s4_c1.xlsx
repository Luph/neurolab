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<sst xmlns="http://schemas.openxmlformats.org/spreadsheetml/2006/main" count="1500" uniqueCount="767">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</sst>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4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1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46203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1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2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4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42.6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2023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2.6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1.8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0.9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2.4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1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1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1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43591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58221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1</v>
      </c>
      <c r="AK23" s="14" t="n">
        <f aca="false">IF(AND(Inputs!$F$215=1,AK8&gt;Inputs!$F$20),1,0)</f>
        <v>1</v>
      </c>
      <c r="AL23" s="14" t="n">
        <f aca="false">IF(AND(Inputs!$F$215=1,AL8&gt;Inputs!$F$20),1,0)</f>
        <v>1</v>
      </c>
      <c r="AM23" s="14" t="n">
        <f aca="false">IF(AND(Inputs!$F$215=1,AM8&gt;Inputs!$F$20),1,0)</f>
        <v>1</v>
      </c>
      <c r="AN23" s="14" t="n">
        <f aca="false">IF(AND(Inputs!$F$215=1,AN8&gt;Inputs!$F$20),1,0)</f>
        <v>1</v>
      </c>
      <c r="AO23" s="14" t="n">
        <f aca="false">IF(AND(Inputs!$F$215=1,AO8&gt;Inputs!$F$20),1,0)</f>
        <v>1</v>
      </c>
      <c r="AP23" s="14" t="n">
        <f aca="false">IF(AND(Inputs!$F$215=1,AP8&gt;Inputs!$F$20),1,0)</f>
        <v>1</v>
      </c>
      <c r="AQ23" s="14" t="n">
        <f aca="false">IF(AND(Inputs!$F$215=1,AQ8&gt;Inputs!$F$20),1,0)</f>
        <v>1</v>
      </c>
      <c r="AR23" s="14" t="n">
        <f aca="false">IF(AND(Inputs!$F$215=1,AR8&gt;Inputs!$F$20),1,0)</f>
        <v>1</v>
      </c>
      <c r="AS23" s="14" t="n">
        <f aca="false">IF(AND(Inputs!$F$215=1,AS8&gt;Inputs!$F$20),1,0)</f>
        <v>1</v>
      </c>
      <c r="AT23" s="14" t="n">
        <f aca="false">IF(AND(Inputs!$F$215=1,AT8&gt;Inputs!$F$20),1,0)</f>
        <v>1</v>
      </c>
      <c r="AU23" s="14" t="n">
        <f aca="false">IF(AND(Inputs!$F$215=1,AU8&gt;Inputs!$F$20),1,0)</f>
        <v>1</v>
      </c>
      <c r="AV23" s="14" t="n">
        <f aca="false">IF(AND(Inputs!$F$215=1,AV8&gt;Inputs!$F$20),1,0)</f>
        <v>1</v>
      </c>
      <c r="AW23" s="14" t="n">
        <f aca="false">IF(AND(Inputs!$F$215=1,AW8&gt;Inputs!$F$20),1,0)</f>
        <v>1</v>
      </c>
      <c r="AX23" s="14" t="n">
        <f aca="false">IF(AND(Inputs!$F$215=1,AX8&gt;Inputs!$F$20),1,0)</f>
        <v>1</v>
      </c>
      <c r="AY23" s="14" t="n">
        <f aca="false">IF(AND(Inputs!$F$215=1,AY8&gt;Inputs!$F$20),1,0)</f>
        <v>1</v>
      </c>
      <c r="AZ23" s="14" t="n">
        <f aca="false">IF(AND(Inputs!$F$215=1,AZ8&gt;Inputs!$F$20),1,0)</f>
        <v>1</v>
      </c>
      <c r="BA23" s="14" t="n">
        <f aca="false">IF(AND(Inputs!$F$215=1,BA8&gt;Inputs!$F$20),1,0)</f>
        <v>1</v>
      </c>
      <c r="BB23" s="14" t="n">
        <f aca="false">IF(AND(Inputs!$F$215=1,BB8&gt;Inputs!$F$20),1,0)</f>
        <v>1</v>
      </c>
      <c r="BC23" s="14" t="n">
        <f aca="false">IF(AND(Inputs!$F$215=1,BC8&gt;Inputs!$F$20),1,0)</f>
        <v>1</v>
      </c>
      <c r="BD23" s="14" t="n">
        <f aca="false">IF(AND(Inputs!$F$215=1,BD8&gt;Inputs!$F$20),1,0)</f>
        <v>1</v>
      </c>
      <c r="BE23" s="14" t="n">
        <f aca="false">IF(AND(Inputs!$F$215=1,BE8&gt;Inputs!$F$20),1,0)</f>
        <v>1</v>
      </c>
      <c r="BF23" s="14" t="n">
        <f aca="false">IF(AND(Inputs!$F$215=1,BF8&gt;Inputs!$F$20),1,0)</f>
        <v>1</v>
      </c>
      <c r="BG23" s="14" t="n">
        <f aca="false">IF(AND(Inputs!$F$215=1,BG8&gt;Inputs!$F$20),1,0)</f>
        <v>1</v>
      </c>
      <c r="BH23" s="14" t="n">
        <f aca="false">IF(AND(Inputs!$F$215=1,BH8&gt;Inputs!$F$20),1,0)</f>
        <v>1</v>
      </c>
      <c r="BI23" s="14" t="n">
        <f aca="false">IF(AND(Inputs!$F$215=1,BI8&gt;Inputs!$F$20),1,0)</f>
        <v>1</v>
      </c>
      <c r="BJ23" s="14" t="n">
        <f aca="false">IF(AND(Inputs!$F$215=1,BJ8&gt;Inputs!$F$20),1,0)</f>
        <v>1</v>
      </c>
      <c r="BK23" s="14" t="n">
        <f aca="false">IF(AND(Inputs!$F$215=1,BK8&gt;Inputs!$F$20),1,0)</f>
        <v>1</v>
      </c>
      <c r="BL23" s="14" t="n">
        <f aca="false">IF(AND(Inputs!$F$215=1,BL8&gt;Inputs!$F$20),1,0)</f>
        <v>1</v>
      </c>
      <c r="BM23" s="14" t="n">
        <f aca="false">IF(AND(Inputs!$F$215=1,BM8&gt;Inputs!$F$20),1,0)</f>
        <v>1</v>
      </c>
      <c r="BN23" s="14" t="n">
        <f aca="false">IF(AND(Inputs!$F$215=1,BN8&gt;Inputs!$F$20),1,0)</f>
        <v>1</v>
      </c>
      <c r="BO23" s="14" t="n">
        <f aca="false">IF(AND(Inputs!$F$215=1,BO8&gt;Inputs!$F$20),1,0)</f>
        <v>1</v>
      </c>
      <c r="BP23" s="14" t="n">
        <f aca="false">IF(AND(Inputs!$F$215=1,BP8&gt;Inputs!$F$20),1,0)</f>
        <v>1</v>
      </c>
      <c r="BQ23" s="14" t="n">
        <f aca="false">IF(AND(Inputs!$F$215=1,BQ8&gt;Inputs!$F$20),1,0)</f>
        <v>1</v>
      </c>
      <c r="BR23" s="14" t="n">
        <f aca="false">IF(AND(Inputs!$F$215=1,BR8&gt;Inputs!$F$20),1,0)</f>
        <v>1</v>
      </c>
      <c r="BS23" s="14" t="n">
        <f aca="false">IF(AND(Inputs!$F$215=1,BS8&gt;Inputs!$F$20),1,0)</f>
        <v>1</v>
      </c>
      <c r="BT23" s="14" t="n">
        <f aca="false">IF(AND(Inputs!$F$215=1,BT8&gt;Inputs!$F$20),1,0)</f>
        <v>1</v>
      </c>
      <c r="BU23" s="14" t="n">
        <f aca="false">IF(AND(Inputs!$F$215=1,BU8&gt;Inputs!$F$20),1,0)</f>
        <v>1</v>
      </c>
      <c r="BV23" s="14" t="n">
        <f aca="false">IF(AND(Inputs!$F$215=1,BV8&gt;Inputs!$F$20),1,0)</f>
        <v>1</v>
      </c>
      <c r="BW23" s="14" t="n">
        <f aca="false">IF(AND(Inputs!$F$215=1,BW8&gt;Inputs!$F$20),1,0)</f>
        <v>1</v>
      </c>
      <c r="BX23" s="14" t="n">
        <f aca="false">IF(AND(Inputs!$F$215=1,BX8&gt;Inputs!$F$20),1,0)</f>
        <v>1</v>
      </c>
      <c r="BY23" s="14" t="n">
        <f aca="false">IF(AND(Inputs!$F$215=1,BY8&gt;Inputs!$F$20),1,0)</f>
        <v>1</v>
      </c>
      <c r="BZ23" s="14" t="n">
        <f aca="false">IF(AND(Inputs!$F$215=1,BZ8&gt;Inputs!$F$20),1,0)</f>
        <v>1</v>
      </c>
      <c r="CA23" s="14" t="n">
        <f aca="false">IF(AND(Inputs!$F$215=1,CA8&gt;Inputs!$F$20),1,0)</f>
        <v>1</v>
      </c>
      <c r="CB23" s="14" t="n">
        <f aca="false">IF(AND(Inputs!$F$215=1,CB8&gt;Inputs!$F$20),1,0)</f>
        <v>1</v>
      </c>
      <c r="CC23" s="14" t="n">
        <f aca="false">IF(AND(Inputs!$F$215=1,CC8&gt;Inputs!$F$20),1,0)</f>
        <v>1</v>
      </c>
      <c r="CD23" s="14" t="n">
        <f aca="false">IF(AND(Inputs!$F$215=1,CD8&gt;Inputs!$F$20),1,0)</f>
        <v>1</v>
      </c>
      <c r="CE23" s="14" t="n">
        <f aca="false">IF(AND(Inputs!$F$215=1,CE8&gt;Inputs!$F$20),1,0)</f>
        <v>1</v>
      </c>
      <c r="CF23" s="14" t="n">
        <f aca="false">IF(AND(Inputs!$F$215=1,CF8&gt;Inputs!$F$20),1,0)</f>
        <v>1</v>
      </c>
      <c r="CG23" s="14" t="n">
        <f aca="false">IF(AND(Inputs!$F$215=1,CG8&gt;Inputs!$F$20),1,0)</f>
        <v>1</v>
      </c>
      <c r="CH23" s="14" t="n">
        <f aca="false">IF(AND(Inputs!$F$215=1,CH8&gt;Inputs!$F$20),1,0)</f>
        <v>1</v>
      </c>
      <c r="CI23" s="14" t="n">
        <f aca="false">IF(AND(Inputs!$F$215=1,CI8&gt;Inputs!$F$20),1,0)</f>
        <v>1</v>
      </c>
      <c r="CJ23" s="14" t="n">
        <f aca="false">IF(AND(Inputs!$F$215=1,CJ8&gt;Inputs!$F$20),1,0)</f>
        <v>1</v>
      </c>
      <c r="CK23" s="14" t="n">
        <f aca="false">IF(AND(Inputs!$F$215=1,CK8&gt;Inputs!$F$20),1,0)</f>
        <v>1</v>
      </c>
      <c r="CL23" s="14" t="n">
        <f aca="false">IF(AND(Inputs!$F$215=1,CL8&gt;Inputs!$F$20),1,0)</f>
        <v>1</v>
      </c>
      <c r="CM23" s="14" t="n">
        <f aca="false">IF(AND(Inputs!$F$215=1,CM8&gt;Inputs!$F$20),1,0)</f>
        <v>1</v>
      </c>
      <c r="CN23" s="14" t="n">
        <f aca="false">IF(AND(Inputs!$F$215=1,CN8&gt;Inputs!$F$20),1,0)</f>
        <v>1</v>
      </c>
      <c r="CO23" s="14" t="n">
        <f aca="false">IF(AND(Inputs!$F$215=1,CO8&gt;Inputs!$F$20),1,0)</f>
        <v>1</v>
      </c>
      <c r="CP23" s="14" t="n">
        <f aca="false">IF(AND(Inputs!$F$215=1,CP8&gt;Inputs!$F$20),1,0)</f>
        <v>1</v>
      </c>
      <c r="CQ23" s="14" t="n">
        <f aca="false">IF(AND(Inputs!$F$215=1,CQ8&gt;Inputs!$F$20),1,0)</f>
        <v>1</v>
      </c>
      <c r="CR23" s="14" t="n">
        <f aca="false">IF(AND(Inputs!$F$215=1,CR8&gt;Inputs!$F$20),1,0)</f>
        <v>1</v>
      </c>
      <c r="CS23" s="14" t="n">
        <f aca="false">IF(AND(Inputs!$F$215=1,CS8&gt;Inputs!$F$20),1,0)</f>
        <v>1</v>
      </c>
      <c r="CT23" s="14" t="n">
        <f aca="false">IF(AND(Inputs!$F$215=1,CT8&gt;Inputs!$F$20),1,0)</f>
        <v>1</v>
      </c>
      <c r="CU23" s="14" t="n">
        <f aca="false">IF(AND(Inputs!$F$215=1,CU8&gt;Inputs!$F$20),1,0)</f>
        <v>1</v>
      </c>
      <c r="CV23" s="14" t="n">
        <f aca="false">IF(AND(Inputs!$F$215=1,CV8&gt;Inputs!$F$20),1,0)</f>
        <v>1</v>
      </c>
      <c r="CW23" s="14" t="n">
        <f aca="false">IF(AND(Inputs!$F$215=1,CW8&gt;Inputs!$F$20),1,0)</f>
        <v>1</v>
      </c>
      <c r="CX23" s="14" t="n">
        <f aca="false">IF(AND(Inputs!$F$215=1,CX8&gt;Inputs!$F$20),1,0)</f>
        <v>1</v>
      </c>
      <c r="CY23" s="14" t="n">
        <f aca="false">IF(AND(Inputs!$F$215=1,CY8&gt;Inputs!$F$20),1,0)</f>
        <v>1</v>
      </c>
      <c r="CZ23" s="14" t="n">
        <f aca="false">IF(AND(Inputs!$F$215=1,CZ8&gt;Inputs!$F$20),1,0)</f>
        <v>1</v>
      </c>
      <c r="DA23" s="14" t="n">
        <f aca="false">IF(AND(Inputs!$F$215=1,DA8&gt;Inputs!$F$20),1,0)</f>
        <v>1</v>
      </c>
      <c r="DB23" s="14" t="n">
        <f aca="false">IF(AND(Inputs!$F$215=1,DB8&gt;Inputs!$F$20),1,0)</f>
        <v>1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58221</v>
      </c>
      <c r="AK24" s="15" t="n">
        <f aca="false">IF(AK23=1,Inputs!$F$19,Inputs!$F$18)</f>
        <v>58221</v>
      </c>
      <c r="AL24" s="15" t="n">
        <f aca="false">IF(AL23=1,Inputs!$F$19,Inputs!$F$18)</f>
        <v>58221</v>
      </c>
      <c r="AM24" s="15" t="n">
        <f aca="false">IF(AM23=1,Inputs!$F$19,Inputs!$F$18)</f>
        <v>58221</v>
      </c>
      <c r="AN24" s="15" t="n">
        <f aca="false">IF(AN23=1,Inputs!$F$19,Inputs!$F$18)</f>
        <v>58221</v>
      </c>
      <c r="AO24" s="15" t="n">
        <f aca="false">IF(AO23=1,Inputs!$F$19,Inputs!$F$18)</f>
        <v>58221</v>
      </c>
      <c r="AP24" s="15" t="n">
        <f aca="false">IF(AP23=1,Inputs!$F$19,Inputs!$F$18)</f>
        <v>58221</v>
      </c>
      <c r="AQ24" s="15" t="n">
        <f aca="false">IF(AQ23=1,Inputs!$F$19,Inputs!$F$18)</f>
        <v>58221</v>
      </c>
      <c r="AR24" s="15" t="n">
        <f aca="false">IF(AR23=1,Inputs!$F$19,Inputs!$F$18)</f>
        <v>58221</v>
      </c>
      <c r="AS24" s="15" t="n">
        <f aca="false">IF(AS23=1,Inputs!$F$19,Inputs!$F$18)</f>
        <v>58221</v>
      </c>
      <c r="AT24" s="15" t="n">
        <f aca="false">IF(AT23=1,Inputs!$F$19,Inputs!$F$18)</f>
        <v>58221</v>
      </c>
      <c r="AU24" s="15" t="n">
        <f aca="false">IF(AU23=1,Inputs!$F$19,Inputs!$F$18)</f>
        <v>58221</v>
      </c>
      <c r="AV24" s="15" t="n">
        <f aca="false">IF(AV23=1,Inputs!$F$19,Inputs!$F$18)</f>
        <v>58221</v>
      </c>
      <c r="AW24" s="15" t="n">
        <f aca="false">IF(AW23=1,Inputs!$F$19,Inputs!$F$18)</f>
        <v>58221</v>
      </c>
      <c r="AX24" s="15" t="n">
        <f aca="false">IF(AX23=1,Inputs!$F$19,Inputs!$F$18)</f>
        <v>58221</v>
      </c>
      <c r="AY24" s="15" t="n">
        <f aca="false">IF(AY23=1,Inputs!$F$19,Inputs!$F$18)</f>
        <v>58221</v>
      </c>
      <c r="AZ24" s="15" t="n">
        <f aca="false">IF(AZ23=1,Inputs!$F$19,Inputs!$F$18)</f>
        <v>58221</v>
      </c>
      <c r="BA24" s="15" t="n">
        <f aca="false">IF(BA23=1,Inputs!$F$19,Inputs!$F$18)</f>
        <v>58221</v>
      </c>
      <c r="BB24" s="15" t="n">
        <f aca="false">IF(BB23=1,Inputs!$F$19,Inputs!$F$18)</f>
        <v>58221</v>
      </c>
      <c r="BC24" s="15" t="n">
        <f aca="false">IF(BC23=1,Inputs!$F$19,Inputs!$F$18)</f>
        <v>58221</v>
      </c>
      <c r="BD24" s="15" t="n">
        <f aca="false">IF(BD23=1,Inputs!$F$19,Inputs!$F$18)</f>
        <v>58221</v>
      </c>
      <c r="BE24" s="15" t="n">
        <f aca="false">IF(BE23=1,Inputs!$F$19,Inputs!$F$18)</f>
        <v>58221</v>
      </c>
      <c r="BF24" s="15" t="n">
        <f aca="false">IF(BF23=1,Inputs!$F$19,Inputs!$F$18)</f>
        <v>58221</v>
      </c>
      <c r="BG24" s="15" t="n">
        <f aca="false">IF(BG23=1,Inputs!$F$19,Inputs!$F$18)</f>
        <v>58221</v>
      </c>
      <c r="BH24" s="15" t="n">
        <f aca="false">IF(BH23=1,Inputs!$F$19,Inputs!$F$18)</f>
        <v>58221</v>
      </c>
      <c r="BI24" s="15" t="n">
        <f aca="false">IF(BI23=1,Inputs!$F$19,Inputs!$F$18)</f>
        <v>58221</v>
      </c>
      <c r="BJ24" s="15" t="n">
        <f aca="false">IF(BJ23=1,Inputs!$F$19,Inputs!$F$18)</f>
        <v>58221</v>
      </c>
      <c r="BK24" s="15" t="n">
        <f aca="false">IF(BK23=1,Inputs!$F$19,Inputs!$F$18)</f>
        <v>58221</v>
      </c>
      <c r="BL24" s="15" t="n">
        <f aca="false">IF(BL23=1,Inputs!$F$19,Inputs!$F$18)</f>
        <v>58221</v>
      </c>
      <c r="BM24" s="15" t="n">
        <f aca="false">IF(BM23=1,Inputs!$F$19,Inputs!$F$18)</f>
        <v>58221</v>
      </c>
      <c r="BN24" s="15" t="n">
        <f aca="false">IF(BN23=1,Inputs!$F$19,Inputs!$F$18)</f>
        <v>58221</v>
      </c>
      <c r="BO24" s="15" t="n">
        <f aca="false">IF(BO23=1,Inputs!$F$19,Inputs!$F$18)</f>
        <v>58221</v>
      </c>
      <c r="BP24" s="15" t="n">
        <f aca="false">IF(BP23=1,Inputs!$F$19,Inputs!$F$18)</f>
        <v>58221</v>
      </c>
      <c r="BQ24" s="15" t="n">
        <f aca="false">IF(BQ23=1,Inputs!$F$19,Inputs!$F$18)</f>
        <v>58221</v>
      </c>
      <c r="BR24" s="15" t="n">
        <f aca="false">IF(BR23=1,Inputs!$F$19,Inputs!$F$18)</f>
        <v>58221</v>
      </c>
      <c r="BS24" s="15" t="n">
        <f aca="false">IF(BS23=1,Inputs!$F$19,Inputs!$F$18)</f>
        <v>58221</v>
      </c>
      <c r="BT24" s="15" t="n">
        <f aca="false">IF(BT23=1,Inputs!$F$19,Inputs!$F$18)</f>
        <v>58221</v>
      </c>
      <c r="BU24" s="15" t="n">
        <f aca="false">IF(BU23=1,Inputs!$F$19,Inputs!$F$18)</f>
        <v>58221</v>
      </c>
      <c r="BV24" s="15" t="n">
        <f aca="false">IF(BV23=1,Inputs!$F$19,Inputs!$F$18)</f>
        <v>58221</v>
      </c>
      <c r="BW24" s="15" t="n">
        <f aca="false">IF(BW23=1,Inputs!$F$19,Inputs!$F$18)</f>
        <v>58221</v>
      </c>
      <c r="BX24" s="15" t="n">
        <f aca="false">IF(BX23=1,Inputs!$F$19,Inputs!$F$18)</f>
        <v>58221</v>
      </c>
      <c r="BY24" s="15" t="n">
        <f aca="false">IF(BY23=1,Inputs!$F$19,Inputs!$F$18)</f>
        <v>58221</v>
      </c>
      <c r="BZ24" s="15" t="n">
        <f aca="false">IF(BZ23=1,Inputs!$F$19,Inputs!$F$18)</f>
        <v>58221</v>
      </c>
      <c r="CA24" s="15" t="n">
        <f aca="false">IF(CA23=1,Inputs!$F$19,Inputs!$F$18)</f>
        <v>58221</v>
      </c>
      <c r="CB24" s="15" t="n">
        <f aca="false">IF(CB23=1,Inputs!$F$19,Inputs!$F$18)</f>
        <v>58221</v>
      </c>
      <c r="CC24" s="15" t="n">
        <f aca="false">IF(CC23=1,Inputs!$F$19,Inputs!$F$18)</f>
        <v>58221</v>
      </c>
      <c r="CD24" s="15" t="n">
        <f aca="false">IF(CD23=1,Inputs!$F$19,Inputs!$F$18)</f>
        <v>58221</v>
      </c>
      <c r="CE24" s="15" t="n">
        <f aca="false">IF(CE23=1,Inputs!$F$19,Inputs!$F$18)</f>
        <v>58221</v>
      </c>
      <c r="CF24" s="15" t="n">
        <f aca="false">IF(CF23=1,Inputs!$F$19,Inputs!$F$18)</f>
        <v>58221</v>
      </c>
      <c r="CG24" s="15" t="n">
        <f aca="false">IF(CG23=1,Inputs!$F$19,Inputs!$F$18)</f>
        <v>58221</v>
      </c>
      <c r="CH24" s="15" t="n">
        <f aca="false">IF(CH23=1,Inputs!$F$19,Inputs!$F$18)</f>
        <v>58221</v>
      </c>
      <c r="CI24" s="15" t="n">
        <f aca="false">IF(CI23=1,Inputs!$F$19,Inputs!$F$18)</f>
        <v>58221</v>
      </c>
      <c r="CJ24" s="15" t="n">
        <f aca="false">IF(CJ23=1,Inputs!$F$19,Inputs!$F$18)</f>
        <v>58221</v>
      </c>
      <c r="CK24" s="15" t="n">
        <f aca="false">IF(CK23=1,Inputs!$F$19,Inputs!$F$18)</f>
        <v>58221</v>
      </c>
      <c r="CL24" s="15" t="n">
        <f aca="false">IF(CL23=1,Inputs!$F$19,Inputs!$F$18)</f>
        <v>58221</v>
      </c>
      <c r="CM24" s="15" t="n">
        <f aca="false">IF(CM23=1,Inputs!$F$19,Inputs!$F$18)</f>
        <v>58221</v>
      </c>
      <c r="CN24" s="15" t="n">
        <f aca="false">IF(CN23=1,Inputs!$F$19,Inputs!$F$18)</f>
        <v>58221</v>
      </c>
      <c r="CO24" s="15" t="n">
        <f aca="false">IF(CO23=1,Inputs!$F$19,Inputs!$F$18)</f>
        <v>58221</v>
      </c>
      <c r="CP24" s="15" t="n">
        <f aca="false">IF(CP23=1,Inputs!$F$19,Inputs!$F$18)</f>
        <v>58221</v>
      </c>
      <c r="CQ24" s="15" t="n">
        <f aca="false">IF(CQ23=1,Inputs!$F$19,Inputs!$F$18)</f>
        <v>58221</v>
      </c>
      <c r="CR24" s="15" t="n">
        <f aca="false">IF(CR23=1,Inputs!$F$19,Inputs!$F$18)</f>
        <v>58221</v>
      </c>
      <c r="CS24" s="15" t="n">
        <f aca="false">IF(CS23=1,Inputs!$F$19,Inputs!$F$18)</f>
        <v>58221</v>
      </c>
      <c r="CT24" s="15" t="n">
        <f aca="false">IF(CT23=1,Inputs!$F$19,Inputs!$F$18)</f>
        <v>58221</v>
      </c>
      <c r="CU24" s="15" t="n">
        <f aca="false">IF(CU23=1,Inputs!$F$19,Inputs!$F$18)</f>
        <v>58221</v>
      </c>
      <c r="CV24" s="15" t="n">
        <f aca="false">IF(CV23=1,Inputs!$F$19,Inputs!$F$18)</f>
        <v>58221</v>
      </c>
      <c r="CW24" s="15" t="n">
        <f aca="false">IF(CW23=1,Inputs!$F$19,Inputs!$F$18)</f>
        <v>58221</v>
      </c>
      <c r="CX24" s="15" t="n">
        <f aca="false">IF(CX23=1,Inputs!$F$19,Inputs!$F$18)</f>
        <v>58221</v>
      </c>
      <c r="CY24" s="15" t="n">
        <f aca="false">IF(CY23=1,Inputs!$F$19,Inputs!$F$18)</f>
        <v>58221</v>
      </c>
      <c r="CZ24" s="15" t="n">
        <f aca="false">IF(CZ23=1,Inputs!$F$19,Inputs!$F$18)</f>
        <v>58221</v>
      </c>
      <c r="DA24" s="15" t="n">
        <f aca="false">IF(DA23=1,Inputs!$F$19,Inputs!$F$18)</f>
        <v>58221</v>
      </c>
      <c r="DB24" s="15" t="n">
        <f aca="false">IF(DB23=1,Inputs!$F$19,Inputs!$F$18)</f>
        <v>58221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55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181</v>
      </c>
      <c r="CQ25" s="14" t="n">
        <f aca="false">MAX(0,MIN(CQ8,$F$17)-MAX(CQ7,$F$16))</f>
        <v>184</v>
      </c>
      <c r="CR25" s="14" t="n">
        <f aca="false">MAX(0,MIN(CR8,$F$17)-MAX(CR7,$F$16))</f>
        <v>181</v>
      </c>
      <c r="CS25" s="14" t="n">
        <f aca="false">MAX(0,MIN(CS8,$F$17)-MAX(CS7,$F$16))</f>
        <v>184</v>
      </c>
      <c r="CT25" s="14" t="n">
        <f aca="false">MAX(0,MIN(CT8,$F$17)-MAX(CT7,$F$16))</f>
        <v>181</v>
      </c>
      <c r="CU25" s="14" t="n">
        <f aca="false">MAX(0,MIN(CU8,$F$17)-MAX(CU7,$F$16))</f>
        <v>184</v>
      </c>
      <c r="CV25" s="14" t="n">
        <f aca="false">MAX(0,MIN(CV8,$F$17)-MAX(CV7,$F$16))</f>
        <v>182</v>
      </c>
      <c r="CW25" s="14" t="n">
        <f aca="false">MAX(0,MIN(CW8,$F$17)-MAX(CW7,$F$16))</f>
        <v>184</v>
      </c>
      <c r="CX25" s="14" t="n">
        <f aca="false">MAX(0,MIN(CX8,$F$17)-MAX(CX7,$F$16))</f>
        <v>181</v>
      </c>
      <c r="CY25" s="14" t="n">
        <f aca="false">MAX(0,MIN(CY8,$F$17)-MAX(CY7,$F$16))</f>
        <v>184</v>
      </c>
      <c r="CZ25" s="14" t="n">
        <f aca="false">MAX(0,MIN(CZ8,$F$17)-MAX(CZ7,$F$16))</f>
        <v>181</v>
      </c>
      <c r="DA25" s="14" t="n">
        <f aca="false">MAX(0,MIN(DA8,$F$17)-MAX(DA7,$F$16))</f>
        <v>184</v>
      </c>
      <c r="DB25" s="14" t="n">
        <f aca="false">MAX(0,MIN(DB8,$F$17)-MAX(DB7,$F$16))</f>
        <v>146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1</v>
      </c>
      <c r="CR26" s="14" t="n">
        <f aca="false">IF(CR25&gt;0,1,0)</f>
        <v>1</v>
      </c>
      <c r="CS26" s="14" t="n">
        <f aca="false">IF(CS25&gt;0,1,0)</f>
        <v>1</v>
      </c>
      <c r="CT26" s="14" t="n">
        <f aca="false">IF(CT25&gt;0,1,0)</f>
        <v>1</v>
      </c>
      <c r="CU26" s="14" t="n">
        <f aca="false">IF(CU25&gt;0,1,0)</f>
        <v>1</v>
      </c>
      <c r="CV26" s="14" t="n">
        <f aca="false">IF(CV25&gt;0,1,0)</f>
        <v>1</v>
      </c>
      <c r="CW26" s="14" t="n">
        <f aca="false">IF(CW25&gt;0,1,0)</f>
        <v>1</v>
      </c>
      <c r="CX26" s="14" t="n">
        <f aca="false">IF(CX25&gt;0,1,0)</f>
        <v>1</v>
      </c>
      <c r="CY26" s="14" t="n">
        <f aca="false">IF(CY25&gt;0,1,0)</f>
        <v>1</v>
      </c>
      <c r="CZ26" s="14" t="n">
        <f aca="false">IF(CZ25&gt;0,1,0)</f>
        <v>1</v>
      </c>
      <c r="DA26" s="14" t="n">
        <f aca="false">IF(DA25&gt;0,1,0)</f>
        <v>1</v>
      </c>
      <c r="DB26" s="14" t="n">
        <f aca="false">IF(DB25&gt;0,1,0)</f>
        <v>1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0</v>
      </c>
      <c r="Z27" s="14" t="n">
        <f aca="false">IF(AND(Z7&lt;$F$16,$F$16&lt;=Z8),1,0)</f>
        <v>1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0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1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12439</v>
      </c>
      <c r="K29" s="14" t="n">
        <f aca="false">MAX(0,K24-MAX(K7,$F$16))</f>
        <v>12439</v>
      </c>
      <c r="L29" s="14" t="n">
        <f aca="false">MAX(0,L24-MAX(L7,$F$16))</f>
        <v>12439</v>
      </c>
      <c r="M29" s="14" t="n">
        <f aca="false">MAX(0,M24-MAX(M7,$F$16))</f>
        <v>12439</v>
      </c>
      <c r="N29" s="14" t="n">
        <f aca="false">MAX(0,N24-MAX(N7,$F$16))</f>
        <v>12439</v>
      </c>
      <c r="O29" s="14" t="n">
        <f aca="false">MAX(0,O24-MAX(O7,$F$16))</f>
        <v>12439</v>
      </c>
      <c r="P29" s="14" t="n">
        <f aca="false">MAX(0,P24-MAX(P7,$F$16))</f>
        <v>12439</v>
      </c>
      <c r="Q29" s="14" t="n">
        <f aca="false">MAX(0,Q24-MAX(Q7,$F$16))</f>
        <v>12439</v>
      </c>
      <c r="R29" s="14" t="n">
        <f aca="false">MAX(0,R24-MAX(R7,$F$16))</f>
        <v>12439</v>
      </c>
      <c r="S29" s="14" t="n">
        <f aca="false">MAX(0,S24-MAX(S7,$F$16))</f>
        <v>12439</v>
      </c>
      <c r="T29" s="14" t="n">
        <f aca="false">MAX(0,T24-MAX(T7,$F$16))</f>
        <v>12439</v>
      </c>
      <c r="U29" s="14" t="n">
        <f aca="false">MAX(0,U24-MAX(U7,$F$16))</f>
        <v>12439</v>
      </c>
      <c r="V29" s="14" t="n">
        <f aca="false">MAX(0,V24-MAX(V7,$F$16))</f>
        <v>12439</v>
      </c>
      <c r="W29" s="14" t="n">
        <f aca="false">MAX(0,W24-MAX(W7,$F$16))</f>
        <v>12439</v>
      </c>
      <c r="X29" s="14" t="n">
        <f aca="false">MAX(0,X24-MAX(X7,$F$16))</f>
        <v>12439</v>
      </c>
      <c r="Y29" s="14" t="n">
        <f aca="false">MAX(0,Y24-MAX(Y7,$F$16))</f>
        <v>12439</v>
      </c>
      <c r="Z29" s="14" t="n">
        <f aca="false">MAX(0,Z24-MAX(Z7,$F$16))</f>
        <v>12439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12930</v>
      </c>
      <c r="AK29" s="14" t="n">
        <f aca="false">MAX(0,AK24-MAX(AK7,$F$16))</f>
        <v>12748</v>
      </c>
      <c r="AL29" s="14" t="n">
        <f aca="false">MAX(0,AL24-MAX(AL7,$F$16))</f>
        <v>12564</v>
      </c>
      <c r="AM29" s="14" t="n">
        <f aca="false">MAX(0,AM24-MAX(AM7,$F$16))</f>
        <v>12383</v>
      </c>
      <c r="AN29" s="14" t="n">
        <f aca="false">MAX(0,AN24-MAX(AN7,$F$16))</f>
        <v>12199</v>
      </c>
      <c r="AO29" s="14" t="n">
        <f aca="false">MAX(0,AO24-MAX(AO7,$F$16))</f>
        <v>12018</v>
      </c>
      <c r="AP29" s="14" t="n">
        <f aca="false">MAX(0,AP24-MAX(AP7,$F$16))</f>
        <v>11834</v>
      </c>
      <c r="AQ29" s="14" t="n">
        <f aca="false">MAX(0,AQ24-MAX(AQ7,$F$16))</f>
        <v>11653</v>
      </c>
      <c r="AR29" s="14" t="n">
        <f aca="false">MAX(0,AR24-MAX(AR7,$F$16))</f>
        <v>11469</v>
      </c>
      <c r="AS29" s="14" t="n">
        <f aca="false">MAX(0,AS24-MAX(AS7,$F$16))</f>
        <v>11287</v>
      </c>
      <c r="AT29" s="14" t="n">
        <f aca="false">MAX(0,AT24-MAX(AT7,$F$16))</f>
        <v>11103</v>
      </c>
      <c r="AU29" s="14" t="n">
        <f aca="false">MAX(0,AU24-MAX(AU7,$F$16))</f>
        <v>10922</v>
      </c>
      <c r="AV29" s="14" t="n">
        <f aca="false">MAX(0,AV24-MAX(AV7,$F$16))</f>
        <v>10738</v>
      </c>
      <c r="AW29" s="14" t="n">
        <f aca="false">MAX(0,AW24-MAX(AW7,$F$16))</f>
        <v>10557</v>
      </c>
      <c r="AX29" s="14" t="n">
        <f aca="false">MAX(0,AX24-MAX(AX7,$F$16))</f>
        <v>10373</v>
      </c>
      <c r="AY29" s="14" t="n">
        <f aca="false">MAX(0,AY24-MAX(AY7,$F$16))</f>
        <v>10192</v>
      </c>
      <c r="AZ29" s="14" t="n">
        <f aca="false">MAX(0,AZ24-MAX(AZ7,$F$16))</f>
        <v>10008</v>
      </c>
      <c r="BA29" s="14" t="n">
        <f aca="false">MAX(0,BA24-MAX(BA7,$F$16))</f>
        <v>9826</v>
      </c>
      <c r="BB29" s="14" t="n">
        <f aca="false">MAX(0,BB24-MAX(BB7,$F$16))</f>
        <v>9642</v>
      </c>
      <c r="BC29" s="14" t="n">
        <f aca="false">MAX(0,BC24-MAX(BC7,$F$16))</f>
        <v>9461</v>
      </c>
      <c r="BD29" s="14" t="n">
        <f aca="false">MAX(0,BD24-MAX(BD7,$F$16))</f>
        <v>9277</v>
      </c>
      <c r="BE29" s="14" t="n">
        <f aca="false">MAX(0,BE24-MAX(BE7,$F$16))</f>
        <v>9096</v>
      </c>
      <c r="BF29" s="14" t="n">
        <f aca="false">MAX(0,BF24-MAX(BF7,$F$16))</f>
        <v>8912</v>
      </c>
      <c r="BG29" s="14" t="n">
        <f aca="false">MAX(0,BG24-MAX(BG7,$F$16))</f>
        <v>8731</v>
      </c>
      <c r="BH29" s="14" t="n">
        <f aca="false">MAX(0,BH24-MAX(BH7,$F$16))</f>
        <v>8547</v>
      </c>
      <c r="BI29" s="14" t="n">
        <f aca="false">MAX(0,BI24-MAX(BI7,$F$16))</f>
        <v>8365</v>
      </c>
      <c r="BJ29" s="14" t="n">
        <f aca="false">MAX(0,BJ24-MAX(BJ7,$F$16))</f>
        <v>8181</v>
      </c>
      <c r="BK29" s="14" t="n">
        <f aca="false">MAX(0,BK24-MAX(BK7,$F$16))</f>
        <v>8000</v>
      </c>
      <c r="BL29" s="14" t="n">
        <f aca="false">MAX(0,BL24-MAX(BL7,$F$16))</f>
        <v>7816</v>
      </c>
      <c r="BM29" s="14" t="n">
        <f aca="false">MAX(0,BM24-MAX(BM7,$F$16))</f>
        <v>7635</v>
      </c>
      <c r="BN29" s="14" t="n">
        <f aca="false">MAX(0,BN24-MAX(BN7,$F$16))</f>
        <v>7451</v>
      </c>
      <c r="BO29" s="14" t="n">
        <f aca="false">MAX(0,BO24-MAX(BO7,$F$16))</f>
        <v>7270</v>
      </c>
      <c r="BP29" s="14" t="n">
        <f aca="false">MAX(0,BP24-MAX(BP7,$F$16))</f>
        <v>7086</v>
      </c>
      <c r="BQ29" s="14" t="n">
        <f aca="false">MAX(0,BQ24-MAX(BQ7,$F$16))</f>
        <v>6904</v>
      </c>
      <c r="BR29" s="14" t="n">
        <f aca="false">MAX(0,BR24-MAX(BR7,$F$16))</f>
        <v>6720</v>
      </c>
      <c r="BS29" s="14" t="n">
        <f aca="false">MAX(0,BS24-MAX(BS7,$F$16))</f>
        <v>6539</v>
      </c>
      <c r="BT29" s="14" t="n">
        <f aca="false">MAX(0,BT24-MAX(BT7,$F$16))</f>
        <v>6355</v>
      </c>
      <c r="BU29" s="14" t="n">
        <f aca="false">MAX(0,BU24-MAX(BU7,$F$16))</f>
        <v>6174</v>
      </c>
      <c r="BV29" s="14" t="n">
        <f aca="false">MAX(0,BV24-MAX(BV7,$F$16))</f>
        <v>5990</v>
      </c>
      <c r="BW29" s="14" t="n">
        <f aca="false">MAX(0,BW24-MAX(BW7,$F$16))</f>
        <v>5809</v>
      </c>
      <c r="BX29" s="14" t="n">
        <f aca="false">MAX(0,BX24-MAX(BX7,$F$16))</f>
        <v>5625</v>
      </c>
      <c r="BY29" s="14" t="n">
        <f aca="false">MAX(0,BY24-MAX(BY7,$F$16))</f>
        <v>5443</v>
      </c>
      <c r="BZ29" s="14" t="n">
        <f aca="false">MAX(0,BZ24-MAX(BZ7,$F$16))</f>
        <v>5259</v>
      </c>
      <c r="CA29" s="14" t="n">
        <f aca="false">MAX(0,CA24-MAX(CA7,$F$16))</f>
        <v>5078</v>
      </c>
      <c r="CB29" s="14" t="n">
        <f aca="false">MAX(0,CB24-MAX(CB7,$F$16))</f>
        <v>4894</v>
      </c>
      <c r="CC29" s="14" t="n">
        <f aca="false">MAX(0,CC24-MAX(CC7,$F$16))</f>
        <v>4713</v>
      </c>
      <c r="CD29" s="14" t="n">
        <f aca="false">MAX(0,CD24-MAX(CD7,$F$16))</f>
        <v>4529</v>
      </c>
      <c r="CE29" s="14" t="n">
        <f aca="false">MAX(0,CE24-MAX(CE7,$F$16))</f>
        <v>4348</v>
      </c>
      <c r="CF29" s="14" t="n">
        <f aca="false">MAX(0,CF24-MAX(CF7,$F$16))</f>
        <v>4164</v>
      </c>
      <c r="CG29" s="14" t="n">
        <f aca="false">MAX(0,CG24-MAX(CG7,$F$16))</f>
        <v>3982</v>
      </c>
      <c r="CH29" s="14" t="n">
        <f aca="false">MAX(0,CH24-MAX(CH7,$F$16))</f>
        <v>3798</v>
      </c>
      <c r="CI29" s="14" t="n">
        <f aca="false">MAX(0,CI24-MAX(CI7,$F$16))</f>
        <v>3617</v>
      </c>
      <c r="CJ29" s="14" t="n">
        <f aca="false">MAX(0,CJ24-MAX(CJ7,$F$16))</f>
        <v>3433</v>
      </c>
      <c r="CK29" s="14" t="n">
        <f aca="false">MAX(0,CK24-MAX(CK7,$F$16))</f>
        <v>3252</v>
      </c>
      <c r="CL29" s="14" t="n">
        <f aca="false">MAX(0,CL24-MAX(CL7,$F$16))</f>
        <v>3068</v>
      </c>
      <c r="CM29" s="14" t="n">
        <f aca="false">MAX(0,CM24-MAX(CM7,$F$16))</f>
        <v>2887</v>
      </c>
      <c r="CN29" s="14" t="n">
        <f aca="false">MAX(0,CN24-MAX(CN7,$F$16))</f>
        <v>2703</v>
      </c>
      <c r="CO29" s="14" t="n">
        <f aca="false">MAX(0,CO24-MAX(CO7,$F$16))</f>
        <v>2521</v>
      </c>
      <c r="CP29" s="14" t="n">
        <f aca="false">MAX(0,CP24-MAX(CP7,$F$16))</f>
        <v>2337</v>
      </c>
      <c r="CQ29" s="14" t="n">
        <f aca="false">MAX(0,CQ24-MAX(CQ7,$F$16))</f>
        <v>2156</v>
      </c>
      <c r="CR29" s="14" t="n">
        <f aca="false">MAX(0,CR24-MAX(CR7,$F$16))</f>
        <v>1972</v>
      </c>
      <c r="CS29" s="14" t="n">
        <f aca="false">MAX(0,CS24-MAX(CS7,$F$16))</f>
        <v>1791</v>
      </c>
      <c r="CT29" s="14" t="n">
        <f aca="false">MAX(0,CT24-MAX(CT7,$F$16))</f>
        <v>1607</v>
      </c>
      <c r="CU29" s="14" t="n">
        <f aca="false">MAX(0,CU24-MAX(CU7,$F$16))</f>
        <v>1426</v>
      </c>
      <c r="CV29" s="14" t="n">
        <f aca="false">MAX(0,CV24-MAX(CV7,$F$16))</f>
        <v>1242</v>
      </c>
      <c r="CW29" s="14" t="n">
        <f aca="false">MAX(0,CW24-MAX(CW7,$F$16))</f>
        <v>1060</v>
      </c>
      <c r="CX29" s="14" t="n">
        <f aca="false">MAX(0,CX24-MAX(CX7,$F$16))</f>
        <v>876</v>
      </c>
      <c r="CY29" s="14" t="n">
        <f aca="false">MAX(0,CY24-MAX(CY7,$F$16))</f>
        <v>695</v>
      </c>
      <c r="CZ29" s="14" t="n">
        <f aca="false">MAX(0,CZ24-MAX(CZ7,$F$16))</f>
        <v>511</v>
      </c>
      <c r="DA29" s="14" t="n">
        <f aca="false">MAX(0,DA24-MAX(DA7,$F$16))</f>
        <v>330</v>
      </c>
      <c r="DB29" s="14" t="n">
        <f aca="false">MAX(0,DB24-MAX(DB7,$F$16))</f>
        <v>146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1</v>
      </c>
      <c r="AE34" s="14" t="n">
        <f aca="false">IF(AND(Inputs!$F$213=1,AE8&gt;=Inputs!$F$21,AE8&lt;=Inputs!$F$20),1,0)</f>
        <v>1</v>
      </c>
      <c r="AF34" s="14" t="n">
        <f aca="false">IF(AND(Inputs!$F$213=1,AF8&gt;=Inputs!$F$21,AF8&lt;=Inputs!$F$20),1,0)</f>
        <v>1</v>
      </c>
      <c r="AG34" s="14" t="n">
        <f aca="false">IF(AND(Inputs!$F$213=1,AG8&gt;=Inputs!$F$21,AG8&lt;=Inputs!$F$20),1,0)</f>
        <v>1</v>
      </c>
      <c r="AH34" s="14" t="n">
        <f aca="false">IF(AND(Inputs!$F$213=1,AH8&gt;=Inputs!$F$21,AH8&lt;=Inputs!$F$20),1,0)</f>
        <v>1</v>
      </c>
      <c r="AI34" s="14" t="n">
        <f aca="false">IF(AND(Inputs!$F$213=1,AI8&gt;=Inputs!$F$21,AI8&lt;=Inputs!$F$20),1,0)</f>
        <v>1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1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1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1</v>
      </c>
      <c r="AK37" s="14" t="n">
        <f aca="false">IF(AND(AK23=1,AK8&lt;=Inputs!$F$32),1,0)</f>
        <v>1</v>
      </c>
      <c r="AL37" s="14" t="n">
        <f aca="false">IF(AND(AL23=1,AL8&lt;=Inputs!$F$32),1,0)</f>
        <v>1</v>
      </c>
      <c r="AM37" s="14" t="n">
        <f aca="false">IF(AND(AM23=1,AM8&lt;=Inputs!$F$32),1,0)</f>
        <v>1</v>
      </c>
      <c r="AN37" s="14" t="n">
        <f aca="false">IF(AND(AN23=1,AN8&lt;=Inputs!$F$32),1,0)</f>
        <v>1</v>
      </c>
      <c r="AO37" s="14" t="n">
        <f aca="false">IF(AND(AO23=1,AO8&lt;=Inputs!$F$32),1,0)</f>
        <v>1</v>
      </c>
      <c r="AP37" s="14" t="n">
        <f aca="false">IF(AND(AP23=1,AP8&lt;=Inputs!$F$32),1,0)</f>
        <v>1</v>
      </c>
      <c r="AQ37" s="14" t="n">
        <f aca="false">IF(AND(AQ23=1,AQ8&lt;=Inputs!$F$32),1,0)</f>
        <v>1</v>
      </c>
      <c r="AR37" s="14" t="n">
        <f aca="false">IF(AND(AR23=1,AR8&lt;=Inputs!$F$32),1,0)</f>
        <v>1</v>
      </c>
      <c r="AS37" s="14" t="n">
        <f aca="false">IF(AND(AS23=1,AS8&lt;=Inputs!$F$32),1,0)</f>
        <v>1</v>
      </c>
      <c r="AT37" s="14" t="n">
        <f aca="false">IF(AND(AT23=1,AT8&lt;=Inputs!$F$32),1,0)</f>
        <v>1</v>
      </c>
      <c r="AU37" s="14" t="n">
        <f aca="false">IF(AND(AU23=1,AU8&lt;=Inputs!$F$32),1,0)</f>
        <v>1</v>
      </c>
      <c r="AV37" s="14" t="n">
        <f aca="false">IF(AND(AV23=1,AV8&lt;=Inputs!$F$32),1,0)</f>
        <v>1</v>
      </c>
      <c r="AW37" s="14" t="n">
        <f aca="false">IF(AND(AW23=1,AW8&lt;=Inputs!$F$32),1,0)</f>
        <v>1</v>
      </c>
      <c r="AX37" s="14" t="n">
        <f aca="false">IF(AND(AX23=1,AX8&lt;=Inputs!$F$32),1,0)</f>
        <v>1</v>
      </c>
      <c r="AY37" s="14" t="n">
        <f aca="false">IF(AND(AY23=1,AY8&lt;=Inputs!$F$32),1,0)</f>
        <v>1</v>
      </c>
      <c r="AZ37" s="14" t="n">
        <f aca="false">IF(AND(AZ23=1,AZ8&lt;=Inputs!$F$32),1,0)</f>
        <v>1</v>
      </c>
      <c r="BA37" s="14" t="n">
        <f aca="false">IF(AND(BA23=1,BA8&lt;=Inputs!$F$32),1,0)</f>
        <v>1</v>
      </c>
      <c r="BB37" s="14" t="n">
        <f aca="false">IF(AND(BB23=1,BB8&lt;=Inputs!$F$32),1,0)</f>
        <v>1</v>
      </c>
      <c r="BC37" s="14" t="n">
        <f aca="false">IF(AND(BC23=1,BC8&lt;=Inputs!$F$32),1,0)</f>
        <v>1</v>
      </c>
      <c r="BD37" s="14" t="n">
        <f aca="false">IF(AND(BD23=1,BD8&lt;=Inputs!$F$32),1,0)</f>
        <v>1</v>
      </c>
      <c r="BE37" s="14" t="n">
        <f aca="false">IF(AND(BE23=1,BE8&lt;=Inputs!$F$32),1,0)</f>
        <v>1</v>
      </c>
      <c r="BF37" s="14" t="n">
        <f aca="false">IF(AND(BF23=1,BF8&lt;=Inputs!$F$32),1,0)</f>
        <v>1</v>
      </c>
      <c r="BG37" s="14" t="n">
        <f aca="false">IF(AND(BG23=1,BG8&lt;=Inputs!$F$32),1,0)</f>
        <v>1</v>
      </c>
      <c r="BH37" s="14" t="n">
        <f aca="false">IF(AND(BH23=1,BH8&lt;=Inputs!$F$32),1,0)</f>
        <v>1</v>
      </c>
      <c r="BI37" s="14" t="n">
        <f aca="false">IF(AND(BI23=1,BI8&lt;=Inputs!$F$32),1,0)</f>
        <v>1</v>
      </c>
      <c r="BJ37" s="14" t="n">
        <f aca="false">IF(AND(BJ23=1,BJ8&lt;=Inputs!$F$32),1,0)</f>
        <v>1</v>
      </c>
      <c r="BK37" s="14" t="n">
        <f aca="false">IF(AND(BK23=1,BK8&lt;=Inputs!$F$32),1,0)</f>
        <v>1</v>
      </c>
      <c r="BL37" s="14" t="n">
        <f aca="false">IF(AND(BL23=1,BL8&lt;=Inputs!$F$32),1,0)</f>
        <v>1</v>
      </c>
      <c r="BM37" s="14" t="n">
        <f aca="false">IF(AND(BM23=1,BM8&lt;=Inputs!$F$32),1,0)</f>
        <v>1</v>
      </c>
      <c r="BN37" s="14" t="n">
        <f aca="false">IF(AND(BN23=1,BN8&lt;=Inputs!$F$32),1,0)</f>
        <v>1</v>
      </c>
      <c r="BO37" s="14" t="n">
        <f aca="false">IF(AND(BO23=1,BO8&lt;=Inputs!$F$32),1,0)</f>
        <v>1</v>
      </c>
      <c r="BP37" s="14" t="n">
        <f aca="false">IF(AND(BP23=1,BP8&lt;=Inputs!$F$32),1,0)</f>
        <v>1</v>
      </c>
      <c r="BQ37" s="14" t="n">
        <f aca="false">IF(AND(BQ23=1,BQ8&lt;=Inputs!$F$32),1,0)</f>
        <v>1</v>
      </c>
      <c r="BR37" s="14" t="n">
        <f aca="false">IF(AND(BR23=1,BR8&lt;=Inputs!$F$32),1,0)</f>
        <v>1</v>
      </c>
      <c r="BS37" s="14" t="n">
        <f aca="false">IF(AND(BS23=1,BS8&lt;=Inputs!$F$32),1,0)</f>
        <v>1</v>
      </c>
      <c r="BT37" s="14" t="n">
        <f aca="false">IF(AND(BT23=1,BT8&lt;=Inputs!$F$32),1,0)</f>
        <v>1</v>
      </c>
      <c r="BU37" s="14" t="n">
        <f aca="false">IF(AND(BU23=1,BU8&lt;=Inputs!$F$32),1,0)</f>
        <v>1</v>
      </c>
      <c r="BV37" s="14" t="n">
        <f aca="false">IF(AND(BV23=1,BV8&lt;=Inputs!$F$32),1,0)</f>
        <v>1</v>
      </c>
      <c r="BW37" s="14" t="n">
        <f aca="false">IF(AND(BW23=1,BW8&lt;=Inputs!$F$32),1,0)</f>
        <v>1</v>
      </c>
      <c r="BX37" s="14" t="n">
        <f aca="false">IF(AND(BX23=1,BX8&lt;=Inputs!$F$32),1,0)</f>
        <v>1</v>
      </c>
      <c r="BY37" s="14" t="n">
        <f aca="false">IF(AND(BY23=1,BY8&lt;=Inputs!$F$32),1,0)</f>
        <v>1</v>
      </c>
      <c r="BZ37" s="14" t="n">
        <f aca="false">IF(AND(BZ23=1,BZ8&lt;=Inputs!$F$32),1,0)</f>
        <v>1</v>
      </c>
      <c r="CA37" s="14" t="n">
        <f aca="false">IF(AND(CA23=1,CA8&lt;=Inputs!$F$32),1,0)</f>
        <v>1</v>
      </c>
      <c r="CB37" s="14" t="n">
        <f aca="false">IF(AND(CB23=1,CB8&lt;=Inputs!$F$32),1,0)</f>
        <v>1</v>
      </c>
      <c r="CC37" s="14" t="n">
        <f aca="false">IF(AND(CC23=1,CC8&lt;=Inputs!$F$32),1,0)</f>
        <v>1</v>
      </c>
      <c r="CD37" s="14" t="n">
        <f aca="false">IF(AND(CD23=1,CD8&lt;=Inputs!$F$32),1,0)</f>
        <v>1</v>
      </c>
      <c r="CE37" s="14" t="n">
        <f aca="false">IF(AND(CE23=1,CE8&lt;=Inputs!$F$32),1,0)</f>
        <v>1</v>
      </c>
      <c r="CF37" s="14" t="n">
        <f aca="false">IF(AND(CF23=1,CF8&lt;=Inputs!$F$32),1,0)</f>
        <v>1</v>
      </c>
      <c r="CG37" s="14" t="n">
        <f aca="false">IF(AND(CG23=1,CG8&lt;=Inputs!$F$32),1,0)</f>
        <v>1</v>
      </c>
      <c r="CH37" s="14" t="n">
        <f aca="false">IF(AND(CH23=1,CH8&lt;=Inputs!$F$32),1,0)</f>
        <v>1</v>
      </c>
      <c r="CI37" s="14" t="n">
        <f aca="false">IF(AND(CI23=1,CI8&lt;=Inputs!$F$32),1,0)</f>
        <v>1</v>
      </c>
      <c r="CJ37" s="14" t="n">
        <f aca="false">IF(AND(CJ23=1,CJ8&lt;=Inputs!$F$32),1,0)</f>
        <v>1</v>
      </c>
      <c r="CK37" s="14" t="n">
        <f aca="false">IF(AND(CK23=1,CK8&lt;=Inputs!$F$32),1,0)</f>
        <v>1</v>
      </c>
      <c r="CL37" s="14" t="n">
        <f aca="false">IF(AND(CL23=1,CL8&lt;=Inputs!$F$32),1,0)</f>
        <v>1</v>
      </c>
      <c r="CM37" s="14" t="n">
        <f aca="false">IF(AND(CM23=1,CM8&lt;=Inputs!$F$32),1,0)</f>
        <v>1</v>
      </c>
      <c r="CN37" s="14" t="n">
        <f aca="false">IF(AND(CN23=1,CN8&lt;=Inputs!$F$32),1,0)</f>
        <v>1</v>
      </c>
      <c r="CO37" s="14" t="n">
        <f aca="false">IF(AND(CO23=1,CO8&lt;=Inputs!$F$32),1,0)</f>
        <v>1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1</v>
      </c>
      <c r="AK38" s="14" t="n">
        <f aca="false">IF(AND(AK23=1,AK8&lt;=Inputs!$F$33),1,0)</f>
        <v>1</v>
      </c>
      <c r="AL38" s="14" t="n">
        <f aca="false">IF(AND(AL23=1,AL8&lt;=Inputs!$F$33),1,0)</f>
        <v>1</v>
      </c>
      <c r="AM38" s="14" t="n">
        <f aca="false">IF(AND(AM23=1,AM8&lt;=Inputs!$F$33),1,0)</f>
        <v>1</v>
      </c>
      <c r="AN38" s="14" t="n">
        <f aca="false">IF(AND(AN23=1,AN8&lt;=Inputs!$F$33),1,0)</f>
        <v>1</v>
      </c>
      <c r="AO38" s="14" t="n">
        <f aca="false">IF(AND(AO23=1,AO8&lt;=Inputs!$F$33),1,0)</f>
        <v>1</v>
      </c>
      <c r="AP38" s="14" t="n">
        <f aca="false">IF(AND(AP23=1,AP8&lt;=Inputs!$F$33),1,0)</f>
        <v>1</v>
      </c>
      <c r="AQ38" s="14" t="n">
        <f aca="false">IF(AND(AQ23=1,AQ8&lt;=Inputs!$F$33),1,0)</f>
        <v>1</v>
      </c>
      <c r="AR38" s="14" t="n">
        <f aca="false">IF(AND(AR23=1,AR8&lt;=Inputs!$F$33),1,0)</f>
        <v>1</v>
      </c>
      <c r="AS38" s="14" t="n">
        <f aca="false">IF(AND(AS23=1,AS8&lt;=Inputs!$F$33),1,0)</f>
        <v>1</v>
      </c>
      <c r="AT38" s="14" t="n">
        <f aca="false">IF(AND(AT23=1,AT8&lt;=Inputs!$F$33),1,0)</f>
        <v>1</v>
      </c>
      <c r="AU38" s="14" t="n">
        <f aca="false">IF(AND(AU23=1,AU8&lt;=Inputs!$F$33),1,0)</f>
        <v>1</v>
      </c>
      <c r="AV38" s="14" t="n">
        <f aca="false">IF(AND(AV23=1,AV8&lt;=Inputs!$F$33),1,0)</f>
        <v>1</v>
      </c>
      <c r="AW38" s="14" t="n">
        <f aca="false">IF(AND(AW23=1,AW8&lt;=Inputs!$F$33),1,0)</f>
        <v>1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1</v>
      </c>
      <c r="AA39" s="14" t="n">
        <f aca="false">IF(AND(Inputs!$F$213=1,AA26=1,AA8&lt;=Inputs!$F$214),1,0)</f>
        <v>1</v>
      </c>
      <c r="AB39" s="14" t="n">
        <f aca="false">IF(AND(Inputs!$F$213=1,AB26=1,AB8&lt;=Inputs!$F$214),1,0)</f>
        <v>1</v>
      </c>
      <c r="AC39" s="14" t="n">
        <f aca="false">IF(AND(Inputs!$F$213=1,AC26=1,AC8&lt;=Inputs!$F$214),1,0)</f>
        <v>1</v>
      </c>
      <c r="AD39" s="14" t="n">
        <f aca="false">IF(AND(Inputs!$F$213=1,AD26=1,AD8&lt;=Inputs!$F$214),1,0)</f>
        <v>1</v>
      </c>
      <c r="AE39" s="14" t="n">
        <f aca="false">IF(AND(Inputs!$F$213=1,AE26=1,AE8&lt;=Inputs!$F$214),1,0)</f>
        <v>1</v>
      </c>
      <c r="AF39" s="14" t="n">
        <f aca="false">IF(AND(Inputs!$F$213=1,AF26=1,AF8&lt;=Inputs!$F$214),1,0)</f>
        <v>1</v>
      </c>
      <c r="AG39" s="14" t="n">
        <f aca="false">IF(AND(Inputs!$F$213=1,AG26=1,AG8&lt;=Inputs!$F$214),1,0)</f>
        <v>1</v>
      </c>
      <c r="AH39" s="14" t="n">
        <f aca="false">IF(AND(Inputs!$F$213=1,AH26=1,AH8&lt;=Inputs!$F$214),1,0)</f>
        <v>1</v>
      </c>
      <c r="AI39" s="14" t="n">
        <f aca="false">IF(AND(Inputs!$F$213=1,AI26=1,AI8&lt;=Inputs!$F$214),1,0)</f>
        <v>1</v>
      </c>
      <c r="AJ39" s="14" t="n">
        <f aca="false">IF(AND(Inputs!$F$213=1,AJ26=1,AJ8&lt;=Inputs!$F$214),1,0)</f>
        <v>1</v>
      </c>
      <c r="AK39" s="14" t="n">
        <f aca="false">IF(AND(Inputs!$F$213=1,AK26=1,AK8&lt;=Inputs!$F$214),1,0)</f>
        <v>1</v>
      </c>
      <c r="AL39" s="14" t="n">
        <f aca="false">IF(AND(Inputs!$F$213=1,AL26=1,AL8&lt;=Inputs!$F$214),1,0)</f>
        <v>1</v>
      </c>
      <c r="AM39" s="14" t="n">
        <f aca="false">IF(AND(Inputs!$F$213=1,AM26=1,AM8&lt;=Inputs!$F$214),1,0)</f>
        <v>1</v>
      </c>
      <c r="AN39" s="14" t="n">
        <f aca="false">IF(AND(Inputs!$F$213=1,AN26=1,AN8&lt;=Inputs!$F$214),1,0)</f>
        <v>1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1</v>
      </c>
      <c r="CR44" s="14" t="n">
        <f aca="false">IF(AND(CR26=1,CR8&gt;=Inputs!$F$34),1,0)</f>
        <v>1</v>
      </c>
      <c r="CS44" s="14" t="n">
        <f aca="false">IF(AND(CS26=1,CS8&gt;=Inputs!$F$34),1,0)</f>
        <v>1</v>
      </c>
      <c r="CT44" s="14" t="n">
        <f aca="false">IF(AND(CT26=1,CT8&gt;=Inputs!$F$34),1,0)</f>
        <v>1</v>
      </c>
      <c r="CU44" s="14" t="n">
        <f aca="false">IF(AND(CU26=1,CU8&gt;=Inputs!$F$34),1,0)</f>
        <v>1</v>
      </c>
      <c r="CV44" s="14" t="n">
        <f aca="false">IF(AND(CV26=1,CV8&gt;=Inputs!$F$34),1,0)</f>
        <v>1</v>
      </c>
      <c r="CW44" s="14" t="n">
        <f aca="false">IF(AND(CW26=1,CW8&gt;=Inputs!$F$34),1,0)</f>
        <v>1</v>
      </c>
      <c r="CX44" s="14" t="n">
        <f aca="false">IF(AND(CX26=1,CX8&gt;=Inputs!$F$34),1,0)</f>
        <v>1</v>
      </c>
      <c r="CY44" s="14" t="n">
        <f aca="false">IF(AND(CY26=1,CY8&gt;=Inputs!$F$34),1,0)</f>
        <v>1</v>
      </c>
      <c r="CZ44" s="14" t="n">
        <f aca="false">IF(AND(CZ26=1,CZ8&gt;=Inputs!$F$34),1,0)</f>
        <v>1</v>
      </c>
      <c r="DA44" s="14" t="n">
        <f aca="false">IF(AND(DA26=1,DA8&gt;=Inputs!$F$34),1,0)</f>
        <v>1</v>
      </c>
      <c r="DB44" s="14" t="n">
        <f aca="false">IF(AND(DB26=1,DB8&gt;=Inputs!$F$34),1,0)</f>
        <v>1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0</v>
      </c>
      <c r="AK47" s="14" t="n">
        <f aca="false">IF(Inputs!$F$215=1,IF(AND(AK8&gt;=Inputs!$F$29,AK8&lt;=Inputs!$F$30),1,0),IF(AND(AK8&gt;=Inputs!$F$27,AK8&lt;=Inputs!$F$28),1,0))</f>
        <v>0</v>
      </c>
      <c r="AL47" s="14" t="n">
        <f aca="false">IF(Inputs!$F$215=1,IF(AND(AL8&gt;=Inputs!$F$29,AL8&lt;=Inputs!$F$30),1,0),IF(AND(AL8&gt;=Inputs!$F$27,AL8&lt;=Inputs!$F$28),1,0))</f>
        <v>0</v>
      </c>
      <c r="AM47" s="14" t="n">
        <f aca="false">IF(Inputs!$F$215=1,IF(AND(AM8&gt;=Inputs!$F$29,AM8&lt;=Inputs!$F$30),1,0),IF(AND(AM8&gt;=Inputs!$F$27,AM8&lt;=Inputs!$F$28),1,0))</f>
        <v>0</v>
      </c>
      <c r="AN47" s="14" t="n">
        <f aca="false">IF(Inputs!$F$215=1,IF(AND(AN8&gt;=Inputs!$F$29,AN8&lt;=Inputs!$F$30),1,0),IF(AND(AN8&gt;=Inputs!$F$27,AN8&lt;=Inputs!$F$28),1,0))</f>
        <v>0</v>
      </c>
      <c r="AO47" s="14" t="n">
        <f aca="false">IF(Inputs!$F$215=1,IF(AND(AO8&gt;=Inputs!$F$29,AO8&lt;=Inputs!$F$30),1,0),IF(AND(AO8&gt;=Inputs!$F$27,AO8&lt;=Inputs!$F$28),1,0))</f>
        <v>0</v>
      </c>
      <c r="AP47" s="14" t="n">
        <f aca="false">IF(Inputs!$F$215=1,IF(AND(AP8&gt;=Inputs!$F$29,AP8&lt;=Inputs!$F$30),1,0),IF(AND(AP8&gt;=Inputs!$F$27,AP8&lt;=Inputs!$F$28),1,0))</f>
        <v>0</v>
      </c>
      <c r="AQ47" s="14" t="n">
        <f aca="false">IF(Inputs!$F$215=1,IF(AND(AQ8&gt;=Inputs!$F$29,AQ8&lt;=Inputs!$F$30),1,0),IF(AND(AQ8&gt;=Inputs!$F$27,AQ8&lt;=Inputs!$F$28),1,0))</f>
        <v>0</v>
      </c>
      <c r="AR47" s="14" t="n">
        <f aca="false">IF(Inputs!$F$215=1,IF(AND(AR8&gt;=Inputs!$F$29,AR8&lt;=Inputs!$F$30),1,0),IF(AND(AR8&gt;=Inputs!$F$27,AR8&lt;=Inputs!$F$28),1,0))</f>
        <v>0</v>
      </c>
      <c r="AS47" s="14" t="n">
        <f aca="false">IF(Inputs!$F$215=1,IF(AND(AS8&gt;=Inputs!$F$29,AS8&lt;=Inputs!$F$30),1,0),IF(AND(AS8&gt;=Inputs!$F$27,AS8&lt;=Inputs!$F$28),1,0))</f>
        <v>0</v>
      </c>
      <c r="AT47" s="14" t="n">
        <f aca="false">IF(Inputs!$F$215=1,IF(AND(AT8&gt;=Inputs!$F$29,AT8&lt;=Inputs!$F$30),1,0),IF(AND(AT8&gt;=Inputs!$F$27,AT8&lt;=Inputs!$F$28),1,0))</f>
        <v>0</v>
      </c>
      <c r="AU47" s="14" t="n">
        <f aca="false">IF(Inputs!$F$215=1,IF(AND(AU8&gt;=Inputs!$F$29,AU8&lt;=Inputs!$F$30),1,0),IF(AND(AU8&gt;=Inputs!$F$27,AU8&lt;=Inputs!$F$28),1,0))</f>
        <v>0</v>
      </c>
      <c r="AV47" s="14" t="n">
        <f aca="false">IF(Inputs!$F$215=1,IF(AND(AV8&gt;=Inputs!$F$29,AV8&lt;=Inputs!$F$30),1,0),IF(AND(AV8&gt;=Inputs!$F$27,AV8&lt;=Inputs!$F$28),1,0))</f>
        <v>0</v>
      </c>
      <c r="AW47" s="14" t="n">
        <f aca="false">IF(Inputs!$F$215=1,IF(AND(AW8&gt;=Inputs!$F$29,AW8&lt;=Inputs!$F$30),1,0),IF(AND(AW8&gt;=Inputs!$F$27,AW8&lt;=Inputs!$F$28),1,0))</f>
        <v>0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1</v>
      </c>
      <c r="CQ47" s="14" t="n">
        <f aca="false">IF(Inputs!$F$215=1,IF(AND(CQ8&gt;=Inputs!$F$29,CQ8&lt;=Inputs!$F$30),1,0),IF(AND(CQ8&gt;=Inputs!$F$27,CQ8&lt;=Inputs!$F$28),1,0))</f>
        <v>1</v>
      </c>
      <c r="CR47" s="14" t="n">
        <f aca="false">IF(Inputs!$F$215=1,IF(AND(CR8&gt;=Inputs!$F$29,CR8&lt;=Inputs!$F$30),1,0),IF(AND(CR8&gt;=Inputs!$F$27,CR8&lt;=Inputs!$F$28),1,0))</f>
        <v>1</v>
      </c>
      <c r="CS47" s="14" t="n">
        <f aca="false">IF(Inputs!$F$215=1,IF(AND(CS8&gt;=Inputs!$F$29,CS8&lt;=Inputs!$F$30),1,0),IF(AND(CS8&gt;=Inputs!$F$27,CS8&lt;=Inputs!$F$28),1,0))</f>
        <v>1</v>
      </c>
      <c r="CT47" s="14" t="n">
        <f aca="false">IF(Inputs!$F$215=1,IF(AND(CT8&gt;=Inputs!$F$29,CT8&lt;=Inputs!$F$30),1,0),IF(AND(CT8&gt;=Inputs!$F$27,CT8&lt;=Inputs!$F$28),1,0))</f>
        <v>1</v>
      </c>
      <c r="CU47" s="14" t="n">
        <f aca="false">IF(Inputs!$F$215=1,IF(AND(CU8&gt;=Inputs!$F$29,CU8&lt;=Inputs!$F$30),1,0),IF(AND(CU8&gt;=Inputs!$F$27,CU8&lt;=Inputs!$F$28),1,0))</f>
        <v>1</v>
      </c>
      <c r="CV47" s="14" t="n">
        <f aca="false">IF(Inputs!$F$215=1,IF(AND(CV8&gt;=Inputs!$F$29,CV8&lt;=Inputs!$F$30),1,0),IF(AND(CV8&gt;=Inputs!$F$27,CV8&lt;=Inputs!$F$28),1,0))</f>
        <v>1</v>
      </c>
      <c r="CW47" s="14" t="n">
        <f aca="false">IF(Inputs!$F$215=1,IF(AND(CW8&gt;=Inputs!$F$29,CW8&lt;=Inputs!$F$30),1,0),IF(AND(CW8&gt;=Inputs!$F$27,CW8&lt;=Inputs!$F$28),1,0))</f>
        <v>1</v>
      </c>
      <c r="CX47" s="14" t="n">
        <f aca="false">IF(Inputs!$F$215=1,IF(AND(CX8&gt;=Inputs!$F$29,CX8&lt;=Inputs!$F$30),1,0),IF(AND(CX8&gt;=Inputs!$F$27,CX8&lt;=Inputs!$F$28),1,0))</f>
        <v>1</v>
      </c>
      <c r="CY47" s="14" t="n">
        <f aca="false">IF(Inputs!$F$215=1,IF(AND(CY8&gt;=Inputs!$F$29,CY8&lt;=Inputs!$F$30),1,0),IF(AND(CY8&gt;=Inputs!$F$27,CY8&lt;=Inputs!$F$28),1,0))</f>
        <v>1</v>
      </c>
      <c r="CZ47" s="14" t="n">
        <f aca="false">IF(Inputs!$F$215=1,IF(AND(CZ8&gt;=Inputs!$F$29,CZ8&lt;=Inputs!$F$30),1,0),IF(AND(CZ8&gt;=Inputs!$F$27,CZ8&lt;=Inputs!$F$28),1,0))</f>
        <v>1</v>
      </c>
      <c r="DA47" s="14" t="n">
        <f aca="false">IF(Inputs!$F$215=1,IF(AND(DA8&gt;=Inputs!$F$29,DA8&lt;=Inputs!$F$30),1,0),IF(AND(DA8&gt;=Inputs!$F$27,DA8&lt;=Inputs!$F$28),1,0))</f>
        <v>1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0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1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0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1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0.01</v>
      </c>
      <c r="AK50" s="26" t="n">
        <f aca="false">IF(AND(AK23=1,AK8&lt;=Inputs!$F$31),Inputs!$F$119,Inputs!$F$118)</f>
        <v>0.01</v>
      </c>
      <c r="AL50" s="26" t="n">
        <f aca="false">IF(AND(AL23=1,AL8&lt;=Inputs!$F$31),Inputs!$F$119,Inputs!$F$118)</f>
        <v>0.01</v>
      </c>
      <c r="AM50" s="26" t="n">
        <f aca="false">IF(AND(AM23=1,AM8&lt;=Inputs!$F$31),Inputs!$F$119,Inputs!$F$118)</f>
        <v>0.01</v>
      </c>
      <c r="AN50" s="26" t="n">
        <f aca="false">IF(AND(AN23=1,AN8&lt;=Inputs!$F$31),Inputs!$F$119,Inputs!$F$118)</f>
        <v>0.01</v>
      </c>
      <c r="AO50" s="26" t="n">
        <f aca="false">IF(AND(AO23=1,AO8&lt;=Inputs!$F$31),Inputs!$F$119,Inputs!$F$118)</f>
        <v>0.01</v>
      </c>
      <c r="AP50" s="26" t="n">
        <f aca="false">IF(AND(AP23=1,AP8&lt;=Inputs!$F$31),Inputs!$F$119,Inputs!$F$118)</f>
        <v>0.01</v>
      </c>
      <c r="AQ50" s="26" t="n">
        <f aca="false">IF(AND(AQ23=1,AQ8&lt;=Inputs!$F$31),Inputs!$F$119,Inputs!$F$118)</f>
        <v>0.01</v>
      </c>
      <c r="AR50" s="26" t="n">
        <f aca="false">IF(AND(AR23=1,AR8&lt;=Inputs!$F$31),Inputs!$F$119,Inputs!$F$118)</f>
        <v>0.01</v>
      </c>
      <c r="AS50" s="26" t="n">
        <f aca="false">IF(AND(AS23=1,AS8&lt;=Inputs!$F$31),Inputs!$F$119,Inputs!$F$118)</f>
        <v>0.01</v>
      </c>
      <c r="AT50" s="26" t="n">
        <f aca="false">IF(AND(AT23=1,AT8&lt;=Inputs!$F$31),Inputs!$F$119,Inputs!$F$118)</f>
        <v>0.01</v>
      </c>
      <c r="AU50" s="26" t="n">
        <f aca="false">IF(AND(AU23=1,AU8&lt;=Inputs!$F$31),Inputs!$F$119,Inputs!$F$118)</f>
        <v>0.01</v>
      </c>
      <c r="AV50" s="26" t="n">
        <f aca="false">IF(AND(AV23=1,AV8&lt;=Inputs!$F$31),Inputs!$F$119,Inputs!$F$118)</f>
        <v>0.01</v>
      </c>
      <c r="AW50" s="26" t="n">
        <f aca="false">IF(AND(AW23=1,AW8&lt;=Inputs!$F$31),Inputs!$F$119,Inputs!$F$118)</f>
        <v>0.01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</v>
      </c>
      <c r="AK51" s="16" t="n">
        <f aca="false">IF(AND(AK23=1,AK8&lt;=Inputs!$F$31),0,1-MIN(1,MAX(0,(MIN(AK8,Inputs!$F$26)-AK7)/AK9)))</f>
        <v>0</v>
      </c>
      <c r="AL51" s="16" t="n">
        <f aca="false">IF(AND(AL23=1,AL8&lt;=Inputs!$F$31),0,1-MIN(1,MAX(0,(MIN(AL8,Inputs!$F$26)-AL7)/AL9)))</f>
        <v>0</v>
      </c>
      <c r="AM51" s="16" t="n">
        <f aca="false">IF(AND(AM23=1,AM8&lt;=Inputs!$F$31),0,1-MIN(1,MAX(0,(MIN(AM8,Inputs!$F$26)-AM7)/AM9)))</f>
        <v>0</v>
      </c>
      <c r="AN51" s="16" t="n">
        <f aca="false">IF(AND(AN23=1,AN8&lt;=Inputs!$F$31),0,1-MIN(1,MAX(0,(MIN(AN8,Inputs!$F$26)-AN7)/AN9)))</f>
        <v>0</v>
      </c>
      <c r="AO51" s="16" t="n">
        <f aca="false">IF(AND(AO23=1,AO8&lt;=Inputs!$F$31),0,1-MIN(1,MAX(0,(MIN(AO8,Inputs!$F$26)-AO7)/AO9)))</f>
        <v>0</v>
      </c>
      <c r="AP51" s="16" t="n">
        <f aca="false">IF(AND(AP23=1,AP8&lt;=Inputs!$F$31),0,1-MIN(1,MAX(0,(MIN(AP8,Inputs!$F$26)-AP7)/AP9)))</f>
        <v>0</v>
      </c>
      <c r="AQ51" s="16" t="n">
        <f aca="false">IF(AND(AQ23=1,AQ8&lt;=Inputs!$F$31),0,1-MIN(1,MAX(0,(MIN(AQ8,Inputs!$F$26)-AQ7)/AQ9)))</f>
        <v>0</v>
      </c>
      <c r="AR51" s="16" t="n">
        <f aca="false">IF(AND(AR23=1,AR8&lt;=Inputs!$F$31),0,1-MIN(1,MAX(0,(MIN(AR8,Inputs!$F$26)-AR7)/AR9)))</f>
        <v>0</v>
      </c>
      <c r="AS51" s="16" t="n">
        <f aca="false">IF(AND(AS23=1,AS8&lt;=Inputs!$F$31),0,1-MIN(1,MAX(0,(MIN(AS8,Inputs!$F$26)-AS7)/AS9)))</f>
        <v>0</v>
      </c>
      <c r="AT51" s="16" t="n">
        <f aca="false">IF(AND(AT23=1,AT8&lt;=Inputs!$F$31),0,1-MIN(1,MAX(0,(MIN(AT8,Inputs!$F$26)-AT7)/AT9)))</f>
        <v>0</v>
      </c>
      <c r="AU51" s="16" t="n">
        <f aca="false">IF(AND(AU23=1,AU8&lt;=Inputs!$F$31),0,1-MIN(1,MAX(0,(MIN(AU8,Inputs!$F$26)-AU7)/AU9)))</f>
        <v>0</v>
      </c>
      <c r="AV51" s="16" t="n">
        <f aca="false">IF(AND(AV23=1,AV8&lt;=Inputs!$F$31),0,1-MIN(1,MAX(0,(MIN(AV8,Inputs!$F$26)-AV7)/AV9)))</f>
        <v>0</v>
      </c>
      <c r="AW51" s="16" t="n">
        <f aca="false">IF(AND(AW23=1,AW8&lt;=Inputs!$F$31),0,1-MIN(1,MAX(0,(MIN(AW8,Inputs!$F$26)-AW7)/AW9)))</f>
        <v>0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1.6</v>
      </c>
      <c r="K55" s="18" t="n">
        <f aca="false">IF(Inputs!$F$216=1,INDEX(Inputs!$J$257:$BE$257,MATCH(K11,Inputs!$J$255:$BE$255,0)),INDEX(Inputs!$J$256:$BE$256,MATCH(K11,Inputs!$J$255:$BE$255,0)))</f>
        <v>1.6</v>
      </c>
      <c r="L55" s="18" t="n">
        <f aca="false">IF(Inputs!$F$216=1,INDEX(Inputs!$J$257:$BE$257,MATCH(L11,Inputs!$J$255:$BE$255,0)),INDEX(Inputs!$J$256:$BE$256,MATCH(L11,Inputs!$J$255:$BE$255,0)))</f>
        <v>1.6</v>
      </c>
      <c r="M55" s="18" t="n">
        <f aca="false">IF(Inputs!$F$216=1,INDEX(Inputs!$J$257:$BE$257,MATCH(M11,Inputs!$J$255:$BE$255,0)),INDEX(Inputs!$J$256:$BE$256,MATCH(M11,Inputs!$J$255:$BE$255,0)))</f>
        <v>1.4</v>
      </c>
      <c r="N55" s="18" t="n">
        <f aca="false">IF(Inputs!$F$216=1,INDEX(Inputs!$J$257:$BE$257,MATCH(N11,Inputs!$J$255:$BE$255,0)),INDEX(Inputs!$J$256:$BE$256,MATCH(N11,Inputs!$J$255:$BE$255,0)))</f>
        <v>1.4</v>
      </c>
      <c r="O55" s="18" t="n">
        <f aca="false">IF(Inputs!$F$216=1,INDEX(Inputs!$J$257:$BE$257,MATCH(O11,Inputs!$J$255:$BE$255,0)),INDEX(Inputs!$J$256:$BE$256,MATCH(O11,Inputs!$J$255:$BE$255,0)))</f>
        <v>1.4</v>
      </c>
      <c r="P55" s="18" t="n">
        <f aca="false">IF(Inputs!$F$216=1,INDEX(Inputs!$J$257:$BE$257,MATCH(P11,Inputs!$J$255:$BE$255,0)),INDEX(Inputs!$J$256:$BE$256,MATCH(P11,Inputs!$J$255:$BE$255,0)))</f>
        <v>1.4</v>
      </c>
      <c r="Q55" s="18" t="n">
        <f aca="false">IF(Inputs!$F$216=1,INDEX(Inputs!$J$257:$BE$257,MATCH(Q11,Inputs!$J$255:$BE$255,0)),INDEX(Inputs!$J$256:$BE$256,MATCH(Q11,Inputs!$J$255:$BE$255,0)))</f>
        <v>1.9</v>
      </c>
      <c r="R55" s="18" t="n">
        <f aca="false">IF(Inputs!$F$216=1,INDEX(Inputs!$J$257:$BE$257,MATCH(R11,Inputs!$J$255:$BE$255,0)),INDEX(Inputs!$J$256:$BE$256,MATCH(R11,Inputs!$J$255:$BE$255,0)))</f>
        <v>1.9</v>
      </c>
      <c r="S55" s="18" t="n">
        <f aca="false">IF(Inputs!$F$216=1,INDEX(Inputs!$J$257:$BE$257,MATCH(S11,Inputs!$J$255:$BE$255,0)),INDEX(Inputs!$J$256:$BE$256,MATCH(S11,Inputs!$J$255:$BE$255,0)))</f>
        <v>1.9</v>
      </c>
      <c r="T55" s="18" t="n">
        <f aca="false">IF(Inputs!$F$216=1,INDEX(Inputs!$J$257:$BE$257,MATCH(T11,Inputs!$J$255:$BE$255,0)),INDEX(Inputs!$J$256:$BE$256,MATCH(T11,Inputs!$J$255:$BE$255,0)))</f>
        <v>1.9</v>
      </c>
      <c r="U55" s="18" t="n">
        <f aca="false">IF(Inputs!$F$216=1,INDEX(Inputs!$J$257:$BE$257,MATCH(U11,Inputs!$J$255:$BE$255,0)),INDEX(Inputs!$J$256:$BE$256,MATCH(U11,Inputs!$J$255:$BE$255,0)))</f>
        <v>1.9</v>
      </c>
      <c r="V55" s="18" t="n">
        <f aca="false">IF(Inputs!$F$216=1,INDEX(Inputs!$J$257:$BE$257,MATCH(V11,Inputs!$J$255:$BE$255,0)),INDEX(Inputs!$J$256:$BE$256,MATCH(V11,Inputs!$J$255:$BE$255,0)))</f>
        <v>1.9</v>
      </c>
      <c r="W55" s="18" t="n">
        <f aca="false">IF(Inputs!$F$216=1,INDEX(Inputs!$J$257:$BE$257,MATCH(W11,Inputs!$J$255:$BE$255,0)),INDEX(Inputs!$J$256:$BE$256,MATCH(W11,Inputs!$J$255:$BE$255,0)))</f>
        <v>1.9</v>
      </c>
      <c r="X55" s="18" t="n">
        <f aca="false">IF(Inputs!$F$216=1,INDEX(Inputs!$J$257:$BE$257,MATCH(X11,Inputs!$J$255:$BE$255,0)),INDEX(Inputs!$J$256:$BE$256,MATCH(X11,Inputs!$J$255:$BE$255,0)))</f>
        <v>1.9</v>
      </c>
      <c r="Y55" s="18" t="n">
        <f aca="false">IF(Inputs!$F$216=1,INDEX(Inputs!$J$257:$BE$257,MATCH(Y11,Inputs!$J$255:$BE$255,0)),INDEX(Inputs!$J$256:$BE$256,MATCH(Y11,Inputs!$J$255:$BE$255,0)))</f>
        <v>1.6</v>
      </c>
      <c r="Z55" s="18" t="n">
        <f aca="false">IF(Inputs!$F$216=1,INDEX(Inputs!$J$257:$BE$257,MATCH(Z11,Inputs!$J$255:$BE$255,0)),INDEX(Inputs!$J$256:$BE$256,MATCH(Z11,Inputs!$J$255:$BE$255,0)))</f>
        <v>1.6</v>
      </c>
      <c r="AA55" s="18" t="n">
        <f aca="false">IF(Inputs!$F$216=1,INDEX(Inputs!$J$257:$BE$257,MATCH(AA11,Inputs!$J$255:$BE$255,0)),INDEX(Inputs!$J$256:$BE$256,MATCH(AA11,Inputs!$J$255:$BE$255,0)))</f>
        <v>1.6</v>
      </c>
      <c r="AB55" s="18" t="n">
        <f aca="false">IF(Inputs!$F$216=1,INDEX(Inputs!$J$257:$BE$257,MATCH(AB11,Inputs!$J$255:$BE$255,0)),INDEX(Inputs!$J$256:$BE$256,MATCH(AB11,Inputs!$J$255:$BE$255,0)))</f>
        <v>0.9</v>
      </c>
      <c r="AC55" s="18" t="n">
        <f aca="false">IF(Inputs!$F$216=1,INDEX(Inputs!$J$257:$BE$257,MATCH(AC11,Inputs!$J$255:$BE$255,0)),INDEX(Inputs!$J$256:$BE$256,MATCH(AC11,Inputs!$J$255:$BE$255,0)))</f>
        <v>0.9</v>
      </c>
      <c r="AD55" s="18" t="n">
        <f aca="false">IF(Inputs!$F$216=1,INDEX(Inputs!$J$257:$BE$257,MATCH(AD11,Inputs!$J$255:$BE$255,0)),INDEX(Inputs!$J$256:$BE$256,MATCH(AD11,Inputs!$J$255:$BE$255,0)))</f>
        <v>3.4</v>
      </c>
      <c r="AE55" s="18" t="n">
        <f aca="false">IF(Inputs!$F$216=1,INDEX(Inputs!$J$257:$BE$257,MATCH(AE11,Inputs!$J$255:$BE$255,0)),INDEX(Inputs!$J$256:$BE$256,MATCH(AE11,Inputs!$J$255:$BE$255,0)))</f>
        <v>3.4</v>
      </c>
      <c r="AF55" s="18" t="n">
        <f aca="false">IF(Inputs!$F$216=1,INDEX(Inputs!$J$257:$BE$257,MATCH(AF11,Inputs!$J$255:$BE$255,0)),INDEX(Inputs!$J$256:$BE$256,MATCH(AF11,Inputs!$J$255:$BE$255,0)))</f>
        <v>7.1</v>
      </c>
      <c r="AG55" s="18" t="n">
        <f aca="false">IF(Inputs!$F$216=1,INDEX(Inputs!$J$257:$BE$257,MATCH(AG11,Inputs!$J$255:$BE$255,0)),INDEX(Inputs!$J$256:$BE$256,MATCH(AG11,Inputs!$J$255:$BE$255,0)))</f>
        <v>7.1</v>
      </c>
      <c r="AH55" s="18" t="n">
        <f aca="false">IF(Inputs!$F$216=1,INDEX(Inputs!$J$257:$BE$257,MATCH(AH11,Inputs!$J$255:$BE$255,0)),INDEX(Inputs!$J$256:$BE$256,MATCH(AH11,Inputs!$J$255:$BE$255,0)))</f>
        <v>5.4</v>
      </c>
      <c r="AI55" s="18" t="n">
        <f aca="false">IF(Inputs!$F$216=1,INDEX(Inputs!$J$257:$BE$257,MATCH(AI11,Inputs!$J$255:$BE$255,0)),INDEX(Inputs!$J$256:$BE$256,MATCH(AI11,Inputs!$J$255:$BE$255,0)))</f>
        <v>5.4</v>
      </c>
      <c r="AJ55" s="18" t="n">
        <f aca="false">IF(Inputs!$F$216=1,INDEX(Inputs!$J$257:$BE$257,MATCH(AJ11,Inputs!$J$255:$BE$255,0)),INDEX(Inputs!$J$256:$BE$256,MATCH(AJ11,Inputs!$J$255:$BE$255,0)))</f>
        <v>3.3</v>
      </c>
      <c r="AK55" s="18" t="n">
        <f aca="false">IF(Inputs!$F$216=1,INDEX(Inputs!$J$257:$BE$257,MATCH(AK11,Inputs!$J$255:$BE$255,0)),INDEX(Inputs!$J$256:$BE$256,MATCH(AK11,Inputs!$J$255:$BE$255,0)))</f>
        <v>3.3</v>
      </c>
      <c r="AL55" s="18" t="n">
        <f aca="false">IF(Inputs!$F$216=1,INDEX(Inputs!$J$257:$BE$257,MATCH(AL11,Inputs!$J$255:$BE$255,0)),INDEX(Inputs!$J$256:$BE$256,MATCH(AL11,Inputs!$J$255:$BE$255,0)))</f>
        <v>2.7</v>
      </c>
      <c r="AM55" s="18" t="n">
        <f aca="false">IF(Inputs!$F$216=1,INDEX(Inputs!$J$257:$BE$257,MATCH(AM11,Inputs!$J$255:$BE$255,0)),INDEX(Inputs!$J$256:$BE$256,MATCH(AM11,Inputs!$J$255:$BE$255,0)))</f>
        <v>2.7</v>
      </c>
      <c r="AN55" s="18" t="n">
        <f aca="false">IF(Inputs!$F$216=1,INDEX(Inputs!$J$257:$BE$257,MATCH(AN11,Inputs!$J$255:$BE$255,0)),INDEX(Inputs!$J$256:$BE$256,MATCH(AN11,Inputs!$J$255:$BE$255,0)))</f>
        <v>2.6</v>
      </c>
      <c r="AO55" s="18" t="n">
        <f aca="false">IF(Inputs!$F$216=1,INDEX(Inputs!$J$257:$BE$257,MATCH(AO11,Inputs!$J$255:$BE$255,0)),INDEX(Inputs!$J$256:$BE$256,MATCH(AO11,Inputs!$J$255:$BE$255,0)))</f>
        <v>2.6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1.014</v>
      </c>
      <c r="N56" s="27" t="n">
        <f aca="false">IF(N6=1,1,M56*IF(N11&gt;M11,1+N55/100,1))</f>
        <v>1.014</v>
      </c>
      <c r="O56" s="27" t="n">
        <f aca="false">IF(O6=1,1,N56*IF(O11&gt;N11,1+O55/100,1))</f>
        <v>1.014</v>
      </c>
      <c r="P56" s="27" t="n">
        <f aca="false">IF(P6=1,1,O56*IF(P11&gt;O11,1+P55/100,1))</f>
        <v>1.014</v>
      </c>
      <c r="Q56" s="27" t="n">
        <f aca="false">IF(Q6=1,1,P56*IF(Q11&gt;P11,1+Q55/100,1))</f>
        <v>1.033266</v>
      </c>
      <c r="R56" s="27" t="n">
        <f aca="false">IF(R6=1,1,Q56*IF(R11&gt;Q11,1+R55/100,1))</f>
        <v>1.033266</v>
      </c>
      <c r="S56" s="27" t="n">
        <f aca="false">IF(S6=1,1,R56*IF(S11&gt;R11,1+S55/100,1))</f>
        <v>1.033266</v>
      </c>
      <c r="T56" s="27" t="n">
        <f aca="false">IF(T6=1,1,S56*IF(T11&gt;S11,1+T55/100,1))</f>
        <v>1.033266</v>
      </c>
      <c r="U56" s="27" t="n">
        <f aca="false">IF(U6=1,1,T56*IF(U11&gt;T11,1+U55/100,1))</f>
        <v>1.052898054</v>
      </c>
      <c r="V56" s="27" t="n">
        <f aca="false">IF(V6=1,1,U56*IF(V11&gt;U11,1+V55/100,1))</f>
        <v>1.052898054</v>
      </c>
      <c r="W56" s="27" t="n">
        <f aca="false">IF(W6=1,1,V56*IF(W11&gt;V11,1+W55/100,1))</f>
        <v>1.052898054</v>
      </c>
      <c r="X56" s="27" t="n">
        <f aca="false">IF(X6=1,1,W56*IF(X11&gt;W11,1+X55/100,1))</f>
        <v>1.052898054</v>
      </c>
      <c r="Y56" s="27" t="n">
        <f aca="false">IF(Y6=1,1,X56*IF(Y11&gt;X11,1+Y55/100,1))</f>
        <v>1.069744422864</v>
      </c>
      <c r="Z56" s="27" t="n">
        <f aca="false">IF(Z6=1,1,Y56*IF(Z11&gt;Y11,1+Z55/100,1))</f>
        <v>1.069744422864</v>
      </c>
      <c r="AA56" s="27" t="n">
        <f aca="false">IF(AA6=1,1,Z56*IF(AA11&gt;Z11,1+AA55/100,1))</f>
        <v>1.069744422864</v>
      </c>
      <c r="AB56" s="27" t="n">
        <f aca="false">IF(AB6=1,1,AA56*IF(AB11&gt;AA11,1+AB55/100,1))</f>
        <v>1.07937212266978</v>
      </c>
      <c r="AC56" s="27" t="n">
        <f aca="false">IF(AC6=1,1,AB56*IF(AC11&gt;AB11,1+AC55/100,1))</f>
        <v>1.07937212266978</v>
      </c>
      <c r="AD56" s="27" t="n">
        <f aca="false">IF(AD6=1,1,AC56*IF(AD11&gt;AC11,1+AD55/100,1))</f>
        <v>1.11607077484055</v>
      </c>
      <c r="AE56" s="27" t="n">
        <f aca="false">IF(AE6=1,1,AD56*IF(AE11&gt;AD11,1+AE55/100,1))</f>
        <v>1.11607077484055</v>
      </c>
      <c r="AF56" s="27" t="n">
        <f aca="false">IF(AF6=1,1,AE56*IF(AF11&gt;AE11,1+AF55/100,1))</f>
        <v>1.19531179985423</v>
      </c>
      <c r="AG56" s="27" t="n">
        <f aca="false">IF(AG6=1,1,AF56*IF(AG11&gt;AF11,1+AG55/100,1))</f>
        <v>1.19531179985423</v>
      </c>
      <c r="AH56" s="27" t="n">
        <f aca="false">IF(AH6=1,1,AG56*IF(AH11&gt;AG11,1+AH55/100,1))</f>
        <v>1.25985863704636</v>
      </c>
      <c r="AI56" s="27" t="n">
        <f aca="false">IF(AI6=1,1,AH56*IF(AI11&gt;AH11,1+AI55/100,1))</f>
        <v>1.25985863704636</v>
      </c>
      <c r="AJ56" s="27" t="n">
        <f aca="false">IF(AJ6=1,1,AI56*IF(AJ11&gt;AI11,1+AJ55/100,1))</f>
        <v>1.30143397206888</v>
      </c>
      <c r="AK56" s="27" t="n">
        <f aca="false">IF(AK6=1,1,AJ56*IF(AK11&gt;AJ11,1+AK55/100,1))</f>
        <v>1.30143397206888</v>
      </c>
      <c r="AL56" s="27" t="n">
        <f aca="false">IF(AL6=1,1,AK56*IF(AL11&gt;AK11,1+AL55/100,1))</f>
        <v>1.33657268931474</v>
      </c>
      <c r="AM56" s="27" t="n">
        <f aca="false">IF(AM6=1,1,AL56*IF(AM11&gt;AL11,1+AM55/100,1))</f>
        <v>1.33657268931474</v>
      </c>
      <c r="AN56" s="27" t="n">
        <f aca="false">IF(AN6=1,1,AM56*IF(AN11&gt;AM11,1+AN55/100,1))</f>
        <v>1.37132357923693</v>
      </c>
      <c r="AO56" s="27" t="n">
        <f aca="false">IF(AO6=1,1,AN56*IF(AO11&gt;AN11,1+AO55/100,1))</f>
        <v>1.37132357923693</v>
      </c>
      <c r="AP56" s="27" t="n">
        <f aca="false">IF(AP6=1,1,AO56*IF(AP11&gt;AO11,1+AP55/100,1))</f>
        <v>1.40560666871785</v>
      </c>
      <c r="AQ56" s="27" t="n">
        <f aca="false">IF(AQ6=1,1,AP56*IF(AQ11&gt;AP11,1+AQ55/100,1))</f>
        <v>1.40560666871785</v>
      </c>
      <c r="AR56" s="27" t="n">
        <f aca="false">IF(AR6=1,1,AQ56*IF(AR11&gt;AQ11,1+AR55/100,1))</f>
        <v>1.4407468354358</v>
      </c>
      <c r="AS56" s="27" t="n">
        <f aca="false">IF(AS6=1,1,AR56*IF(AS11&gt;AR11,1+AS55/100,1))</f>
        <v>1.4407468354358</v>
      </c>
      <c r="AT56" s="27" t="n">
        <f aca="false">IF(AT6=1,1,AS56*IF(AT11&gt;AS11,1+AT55/100,1))</f>
        <v>1.47676550632169</v>
      </c>
      <c r="AU56" s="27" t="n">
        <f aca="false">IF(AU6=1,1,AT56*IF(AU11&gt;AT11,1+AU55/100,1))</f>
        <v>1.47676550632169</v>
      </c>
      <c r="AV56" s="27" t="n">
        <f aca="false">IF(AV6=1,1,AU56*IF(AV11&gt;AU11,1+AV55/100,1))</f>
        <v>1.51368464397973</v>
      </c>
      <c r="AW56" s="27" t="n">
        <f aca="false">IF(AW6=1,1,AV56*IF(AW11&gt;AV11,1+AW55/100,1))</f>
        <v>1.51368464397973</v>
      </c>
      <c r="AX56" s="27" t="n">
        <f aca="false">IF(AX6=1,1,AW56*IF(AX11&gt;AW11,1+AX55/100,1))</f>
        <v>1.55152676007923</v>
      </c>
      <c r="AY56" s="27" t="n">
        <f aca="false">IF(AY6=1,1,AX56*IF(AY11&gt;AX11,1+AY55/100,1))</f>
        <v>1.55152676007923</v>
      </c>
      <c r="AZ56" s="27" t="n">
        <f aca="false">IF(AZ6=1,1,AY56*IF(AZ11&gt;AY11,1+AZ55/100,1))</f>
        <v>1.59031492908121</v>
      </c>
      <c r="BA56" s="27" t="n">
        <f aca="false">IF(BA6=1,1,AZ56*IF(BA11&gt;AZ11,1+BA55/100,1))</f>
        <v>1.59031492908121</v>
      </c>
      <c r="BB56" s="27" t="n">
        <f aca="false">IF(BB6=1,1,BA56*IF(BB11&gt;BA11,1+BB55/100,1))</f>
        <v>1.63007280230824</v>
      </c>
      <c r="BC56" s="27" t="n">
        <f aca="false">IF(BC6=1,1,BB56*IF(BC11&gt;BB11,1+BC55/100,1))</f>
        <v>1.63007280230824</v>
      </c>
      <c r="BD56" s="27" t="n">
        <f aca="false">IF(BD6=1,1,BC56*IF(BD11&gt;BC11,1+BD55/100,1))</f>
        <v>1.67082462236594</v>
      </c>
      <c r="BE56" s="27" t="n">
        <f aca="false">IF(BE6=1,1,BD56*IF(BE11&gt;BD11,1+BE55/100,1))</f>
        <v>1.67082462236594</v>
      </c>
      <c r="BF56" s="27" t="n">
        <f aca="false">IF(BF6=1,1,BE56*IF(BF11&gt;BE11,1+BF55/100,1))</f>
        <v>1.71259523792509</v>
      </c>
      <c r="BG56" s="27" t="n">
        <f aca="false">IF(BG6=1,1,BF56*IF(BG11&gt;BF11,1+BG55/100,1))</f>
        <v>1.71259523792509</v>
      </c>
      <c r="BH56" s="27" t="n">
        <f aca="false">IF(BH6=1,1,BG56*IF(BH11&gt;BG11,1+BH55/100,1))</f>
        <v>1.75541011887322</v>
      </c>
      <c r="BI56" s="27" t="n">
        <f aca="false">IF(BI6=1,1,BH56*IF(BI11&gt;BH11,1+BI55/100,1))</f>
        <v>1.75541011887322</v>
      </c>
      <c r="BJ56" s="27" t="n">
        <f aca="false">IF(BJ6=1,1,BI56*IF(BJ11&gt;BI11,1+BJ55/100,1))</f>
        <v>1.79929537184505</v>
      </c>
      <c r="BK56" s="27" t="n">
        <f aca="false">IF(BK6=1,1,BJ56*IF(BK11&gt;BJ11,1+BK55/100,1))</f>
        <v>1.79929537184505</v>
      </c>
      <c r="BL56" s="27" t="n">
        <f aca="false">IF(BL6=1,1,BK56*IF(BL11&gt;BK11,1+BL55/100,1))</f>
        <v>1.84427775614118</v>
      </c>
      <c r="BM56" s="27" t="n">
        <f aca="false">IF(BM6=1,1,BL56*IF(BM11&gt;BL11,1+BM55/100,1))</f>
        <v>1.84427775614118</v>
      </c>
      <c r="BN56" s="27" t="n">
        <f aca="false">IF(BN6=1,1,BM56*IF(BN11&gt;BM11,1+BN55/100,1))</f>
        <v>1.89038470004471</v>
      </c>
      <c r="BO56" s="27" t="n">
        <f aca="false">IF(BO6=1,1,BN56*IF(BO11&gt;BN11,1+BO55/100,1))</f>
        <v>1.89038470004471</v>
      </c>
      <c r="BP56" s="27" t="n">
        <f aca="false">IF(BP6=1,1,BO56*IF(BP11&gt;BO11,1+BP55/100,1))</f>
        <v>1.93764431754582</v>
      </c>
      <c r="BQ56" s="27" t="n">
        <f aca="false">IF(BQ6=1,1,BP56*IF(BQ11&gt;BP11,1+BQ55/100,1))</f>
        <v>1.93764431754582</v>
      </c>
      <c r="BR56" s="27" t="n">
        <f aca="false">IF(BR6=1,1,BQ56*IF(BR11&gt;BQ11,1+BR55/100,1))</f>
        <v>1.98608542548447</v>
      </c>
      <c r="BS56" s="27" t="n">
        <f aca="false">IF(BS6=1,1,BR56*IF(BS11&gt;BR11,1+BS55/100,1))</f>
        <v>1.98608542548447</v>
      </c>
      <c r="BT56" s="27" t="n">
        <f aca="false">IF(BT6=1,1,BS56*IF(BT11&gt;BS11,1+BT55/100,1))</f>
        <v>2.03573756112158</v>
      </c>
      <c r="BU56" s="27" t="n">
        <f aca="false">IF(BU6=1,1,BT56*IF(BU11&gt;BT11,1+BU55/100,1))</f>
        <v>2.03573756112158</v>
      </c>
      <c r="BV56" s="27" t="n">
        <f aca="false">IF(BV6=1,1,BU56*IF(BV11&gt;BU11,1+BV55/100,1))</f>
        <v>2.08663100014962</v>
      </c>
      <c r="BW56" s="27" t="n">
        <f aca="false">IF(BW6=1,1,BV56*IF(BW11&gt;BV11,1+BW55/100,1))</f>
        <v>2.08663100014962</v>
      </c>
      <c r="BX56" s="27" t="n">
        <f aca="false">IF(BX6=1,1,BW56*IF(BX11&gt;BW11,1+BX55/100,1))</f>
        <v>2.13879677515336</v>
      </c>
      <c r="BY56" s="27" t="n">
        <f aca="false">IF(BY6=1,1,BX56*IF(BY11&gt;BX11,1+BY55/100,1))</f>
        <v>2.13879677515336</v>
      </c>
      <c r="BZ56" s="27" t="n">
        <f aca="false">IF(BZ6=1,1,BY56*IF(BZ11&gt;BY11,1+BZ55/100,1))</f>
        <v>2.19226669453219</v>
      </c>
      <c r="CA56" s="27" t="n">
        <f aca="false">IF(CA6=1,1,BZ56*IF(CA11&gt;BZ11,1+CA55/100,1))</f>
        <v>2.19226669453219</v>
      </c>
      <c r="CB56" s="27" t="n">
        <f aca="false">IF(CB6=1,1,CA56*IF(CB11&gt;CA11,1+CB55/100,1))</f>
        <v>2.2470733618955</v>
      </c>
      <c r="CC56" s="27" t="n">
        <f aca="false">IF(CC6=1,1,CB56*IF(CC11&gt;CB11,1+CC55/100,1))</f>
        <v>2.2470733618955</v>
      </c>
      <c r="CD56" s="27" t="n">
        <f aca="false">IF(CD6=1,1,CC56*IF(CD11&gt;CC11,1+CD55/100,1))</f>
        <v>2.30325019594288</v>
      </c>
      <c r="CE56" s="27" t="n">
        <f aca="false">IF(CE6=1,1,CD56*IF(CE11&gt;CD11,1+CE55/100,1))</f>
        <v>2.30325019594288</v>
      </c>
      <c r="CF56" s="27" t="n">
        <f aca="false">IF(CF6=1,1,CE56*IF(CF11&gt;CE11,1+CF55/100,1))</f>
        <v>2.36083145084146</v>
      </c>
      <c r="CG56" s="27" t="n">
        <f aca="false">IF(CG6=1,1,CF56*IF(CG11&gt;CF11,1+CG55/100,1))</f>
        <v>2.36083145084146</v>
      </c>
      <c r="CH56" s="27" t="n">
        <f aca="false">IF(CH6=1,1,CG56*IF(CH11&gt;CG11,1+CH55/100,1))</f>
        <v>2.41985223711249</v>
      </c>
      <c r="CI56" s="27" t="n">
        <f aca="false">IF(CI6=1,1,CH56*IF(CI11&gt;CH11,1+CI55/100,1))</f>
        <v>2.41985223711249</v>
      </c>
      <c r="CJ56" s="27" t="n">
        <f aca="false">IF(CJ6=1,1,CI56*IF(CJ11&gt;CI11,1+CJ55/100,1))</f>
        <v>2.4803485430403</v>
      </c>
      <c r="CK56" s="27" t="n">
        <f aca="false">IF(CK6=1,1,CJ56*IF(CK11&gt;CJ11,1+CK55/100,1))</f>
        <v>2.4803485430403</v>
      </c>
      <c r="CL56" s="27" t="n">
        <f aca="false">IF(CL6=1,1,CK56*IF(CL11&gt;CK11,1+CL55/100,1))</f>
        <v>2.54235725661631</v>
      </c>
      <c r="CM56" s="27" t="n">
        <f aca="false">IF(CM6=1,1,CL56*IF(CM11&gt;CL11,1+CM55/100,1))</f>
        <v>2.54235725661631</v>
      </c>
      <c r="CN56" s="27" t="n">
        <f aca="false">IF(CN6=1,1,CM56*IF(CN11&gt;CM11,1+CN55/100,1))</f>
        <v>2.60591618803172</v>
      </c>
      <c r="CO56" s="27" t="n">
        <f aca="false">IF(CO6=1,1,CN56*IF(CO11&gt;CN11,1+CO55/100,1))</f>
        <v>2.60591618803172</v>
      </c>
      <c r="CP56" s="27" t="n">
        <f aca="false">IF(CP6=1,1,CO56*IF(CP11&gt;CO11,1+CP55/100,1))</f>
        <v>2.67106409273251</v>
      </c>
      <c r="CQ56" s="27" t="n">
        <f aca="false">IF(CQ6=1,1,CP56*IF(CQ11&gt;CP11,1+CQ55/100,1))</f>
        <v>2.67106409273251</v>
      </c>
      <c r="CR56" s="27" t="n">
        <f aca="false">IF(CR6=1,1,CQ56*IF(CR11&gt;CQ11,1+CR55/100,1))</f>
        <v>2.73784069505082</v>
      </c>
      <c r="CS56" s="27" t="n">
        <f aca="false">IF(CS6=1,1,CR56*IF(CS11&gt;CR11,1+CS55/100,1))</f>
        <v>2.73784069505082</v>
      </c>
      <c r="CT56" s="27" t="n">
        <f aca="false">IF(CT6=1,1,CS56*IF(CT11&gt;CS11,1+CT55/100,1))</f>
        <v>2.80628671242709</v>
      </c>
      <c r="CU56" s="27" t="n">
        <f aca="false">IF(CU6=1,1,CT56*IF(CU11&gt;CT11,1+CU55/100,1))</f>
        <v>2.80628671242709</v>
      </c>
      <c r="CV56" s="27" t="n">
        <f aca="false">IF(CV6=1,1,CU56*IF(CV11&gt;CU11,1+CV55/100,1))</f>
        <v>2.87644388023777</v>
      </c>
      <c r="CW56" s="27" t="n">
        <f aca="false">IF(CW6=1,1,CV56*IF(CW11&gt;CV11,1+CW55/100,1))</f>
        <v>2.87644388023777</v>
      </c>
      <c r="CX56" s="27" t="n">
        <f aca="false">IF(CX6=1,1,CW56*IF(CX11&gt;CW11,1+CX55/100,1))</f>
        <v>2.94835497724372</v>
      </c>
      <c r="CY56" s="27" t="n">
        <f aca="false">IF(CY6=1,1,CX56*IF(CY11&gt;CX11,1+CY55/100,1))</f>
        <v>2.94835497724372</v>
      </c>
      <c r="CZ56" s="27" t="n">
        <f aca="false">IF(CZ6=1,1,CY56*IF(CZ11&gt;CY11,1+CZ55/100,1))</f>
        <v>3.02206385167481</v>
      </c>
      <c r="DA56" s="27" t="n">
        <f aca="false">IF(DA6=1,1,CZ56*IF(DA11&gt;CZ11,1+DA55/100,1))</f>
        <v>3.02206385167481</v>
      </c>
      <c r="DB56" s="27" t="n">
        <f aca="false">IF(DB6=1,1,DA56*IF(DB11&gt;DA11,1+DB55/100,1))</f>
        <v>3.09761544796668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1.25985863704636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1.034</v>
      </c>
      <c r="AE59" s="27" t="n">
        <f aca="false">IF(OR(Inputs!$F$220=1,AND(Inputs!$F$215=1,AE11&gt;=Inputs!$F$54),AE11&gt;Inputs!$F$53),1+AE55/100,MAX(1+AE55/100,1+Inputs!$F$126))</f>
        <v>1.034</v>
      </c>
      <c r="AF59" s="27" t="n">
        <f aca="false">IF(OR(Inputs!$F$220=1,AND(Inputs!$F$215=1,AF11&gt;=Inputs!$F$54),AF11&gt;Inputs!$F$53),1+AF55/100,MAX(1+AF55/100,1+Inputs!$F$126))</f>
        <v>1.071</v>
      </c>
      <c r="AG59" s="27" t="n">
        <f aca="false">IF(OR(Inputs!$F$220=1,AND(Inputs!$F$215=1,AG11&gt;=Inputs!$F$54),AG11&gt;Inputs!$F$53),1+AG55/100,MAX(1+AG55/100,1+Inputs!$F$126))</f>
        <v>1.071</v>
      </c>
      <c r="AH59" s="27" t="n">
        <f aca="false">IF(OR(Inputs!$F$220=1,AND(Inputs!$F$215=1,AH11&gt;=Inputs!$F$54),AH11&gt;Inputs!$F$53),1+AH55/100,MAX(1+AH55/100,1+Inputs!$F$126))</f>
        <v>1.054</v>
      </c>
      <c r="AI59" s="27" t="n">
        <f aca="false">IF(OR(Inputs!$F$220=1,AND(Inputs!$F$215=1,AI11&gt;=Inputs!$F$54),AI11&gt;Inputs!$F$53),1+AI55/100,MAX(1+AI55/100,1+Inputs!$F$126))</f>
        <v>1.054</v>
      </c>
      <c r="AJ59" s="27" t="n">
        <f aca="false">IF(OR(Inputs!$F$220=1,AND(Inputs!$F$215=1,AJ11&gt;=Inputs!$F$54),AJ11&gt;Inputs!$F$53),1+AJ55/100,MAX(1+AJ55/100,1+Inputs!$F$126))</f>
        <v>1.033</v>
      </c>
      <c r="AK59" s="27" t="n">
        <f aca="false">IF(OR(Inputs!$F$220=1,AND(Inputs!$F$215=1,AK11&gt;=Inputs!$F$54),AK11&gt;Inputs!$F$53),1+AK55/100,MAX(1+AK55/100,1+Inputs!$F$126))</f>
        <v>1.033</v>
      </c>
      <c r="AL59" s="27" t="n">
        <f aca="false">IF(OR(Inputs!$F$220=1,AND(Inputs!$F$215=1,AL11&gt;=Inputs!$F$54),AL11&gt;Inputs!$F$53),1+AL55/100,MAX(1+AL55/100,1+Inputs!$F$126))</f>
        <v>1.027</v>
      </c>
      <c r="AM59" s="27" t="n">
        <f aca="false">IF(OR(Inputs!$F$220=1,AND(Inputs!$F$215=1,AM11&gt;=Inputs!$F$54),AM11&gt;Inputs!$F$53),1+AM55/100,MAX(1+AM55/100,1+Inputs!$F$126))</f>
        <v>1.027</v>
      </c>
      <c r="AN59" s="27" t="n">
        <f aca="false">IF(OR(Inputs!$F$220=1,AND(Inputs!$F$215=1,AN11&gt;=Inputs!$F$54),AN11&gt;Inputs!$F$53),1+AN55/100,MAX(1+AN55/100,1+Inputs!$F$126))</f>
        <v>1.026</v>
      </c>
      <c r="AO59" s="27" t="n">
        <f aca="false">IF(OR(Inputs!$F$220=1,AND(Inputs!$F$215=1,AO11&gt;=Inputs!$F$54),AO11&gt;Inputs!$F$53),1+AO55/100,MAX(1+AO55/100,1+Inputs!$F$126))</f>
        <v>1.026</v>
      </c>
      <c r="AP59" s="27" t="n">
        <f aca="false">IF(OR(Inputs!$F$220=1,AND(Inputs!$F$215=1,AP11&gt;=Inputs!$F$54),AP11&gt;Inputs!$F$53),1+AP55/100,MAX(1+AP55/100,1+Inputs!$F$126))</f>
        <v>1.025</v>
      </c>
      <c r="AQ59" s="27" t="n">
        <f aca="false">IF(OR(Inputs!$F$220=1,AND(Inputs!$F$215=1,AQ11&gt;=Inputs!$F$54),AQ11&gt;Inputs!$F$53),1+AQ55/100,MAX(1+AQ55/100,1+Inputs!$F$126))</f>
        <v>1.025</v>
      </c>
      <c r="AR59" s="27" t="n">
        <f aca="false">IF(OR(Inputs!$F$220=1,AND(Inputs!$F$215=1,AR11&gt;=Inputs!$F$54),AR11&gt;Inputs!$F$53),1+AR55/100,MAX(1+AR55/100,1+Inputs!$F$126))</f>
        <v>1.025</v>
      </c>
      <c r="AS59" s="27" t="n">
        <f aca="false">IF(OR(Inputs!$F$220=1,AND(Inputs!$F$215=1,AS11&gt;=Inputs!$F$54),AS11&gt;Inputs!$F$53),1+AS55/100,MAX(1+AS55/100,1+Inputs!$F$126))</f>
        <v>1.025</v>
      </c>
      <c r="AT59" s="27" t="n">
        <f aca="false">IF(OR(Inputs!$F$220=1,AND(Inputs!$F$215=1,AT11&gt;=Inputs!$F$54),AT11&gt;Inputs!$F$53),1+AT55/100,MAX(1+AT55/100,1+Inputs!$F$126))</f>
        <v>1.025</v>
      </c>
      <c r="AU59" s="27" t="n">
        <f aca="false">IF(OR(Inputs!$F$220=1,AND(Inputs!$F$215=1,AU11&gt;=Inputs!$F$54),AU11&gt;Inputs!$F$53),1+AU55/100,MAX(1+AU55/100,1+Inputs!$F$126))</f>
        <v>1.025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0.1884</v>
      </c>
      <c r="AF60" s="16" t="n">
        <f aca="false">IF(AF6=1,IF(AF58=1,ROUND(Inputs!$F$125*AF59,Inputs!$F$52),Inputs!$F$125),IF(AF58=1,ROUND(AE60*AF59,Inputs!$F$52),AE60))</f>
        <v>0.1884</v>
      </c>
      <c r="AG60" s="16" t="n">
        <f aca="false">IF(AG6=1,IF(AG58=1,ROUND(Inputs!$F$125*AG59,Inputs!$F$52),Inputs!$F$125),IF(AG58=1,ROUND(AF60*AG59,Inputs!$F$52),AF60))</f>
        <v>0.2018</v>
      </c>
      <c r="AH60" s="16" t="n">
        <f aca="false">IF(AH6=1,IF(AH58=1,ROUND(Inputs!$F$125*AH59,Inputs!$F$52),Inputs!$F$125),IF(AH58=1,ROUND(AG60*AH59,Inputs!$F$52),AG60))</f>
        <v>0.2018</v>
      </c>
      <c r="AI60" s="16" t="n">
        <f aca="false">IF(AI6=1,IF(AI58=1,ROUND(Inputs!$F$125*AI59,Inputs!$F$52),Inputs!$F$125),IF(AI58=1,ROUND(AH60*AI59,Inputs!$F$52),AH60))</f>
        <v>0.2127</v>
      </c>
      <c r="AJ60" s="16" t="n">
        <f aca="false">IF(AJ6=1,IF(AJ58=1,ROUND(Inputs!$F$125*AJ59,Inputs!$F$52),Inputs!$F$125),IF(AJ58=1,ROUND(AI60*AJ59,Inputs!$F$52),AI60))</f>
        <v>0.2127</v>
      </c>
      <c r="AK60" s="16" t="n">
        <f aca="false">IF(AK6=1,IF(AK58=1,ROUND(Inputs!$F$125*AK59,Inputs!$F$52),Inputs!$F$125),IF(AK58=1,ROUND(AJ60*AK59,Inputs!$F$52),AJ60))</f>
        <v>0.2197</v>
      </c>
      <c r="AL60" s="16" t="n">
        <f aca="false">IF(AL6=1,IF(AL58=1,ROUND(Inputs!$F$125*AL59,Inputs!$F$52),Inputs!$F$125),IF(AL58=1,ROUND(AK60*AL59,Inputs!$F$52),AK60))</f>
        <v>0.2197</v>
      </c>
      <c r="AM60" s="16" t="n">
        <f aca="false">IF(AM6=1,IF(AM58=1,ROUND(Inputs!$F$125*AM59,Inputs!$F$52),Inputs!$F$125),IF(AM58=1,ROUND(AL60*AM59,Inputs!$F$52),AL60))</f>
        <v>0.2256</v>
      </c>
      <c r="AN60" s="16" t="n">
        <f aca="false">IF(AN6=1,IF(AN58=1,ROUND(Inputs!$F$125*AN59,Inputs!$F$52),Inputs!$F$125),IF(AN58=1,ROUND(AM60*AN59,Inputs!$F$52),AM60))</f>
        <v>0.2256</v>
      </c>
      <c r="AO60" s="16" t="n">
        <f aca="false">IF(AO6=1,IF(AO58=1,ROUND(Inputs!$F$125*AO59,Inputs!$F$52),Inputs!$F$125),IF(AO58=1,ROUND(AN60*AO59,Inputs!$F$52),AN60))</f>
        <v>0.2315</v>
      </c>
      <c r="AP60" s="16" t="n">
        <f aca="false">IF(AP6=1,IF(AP58=1,ROUND(Inputs!$F$125*AP59,Inputs!$F$52),Inputs!$F$125),IF(AP58=1,ROUND(AO60*AP59,Inputs!$F$52),AO60))</f>
        <v>0.2315</v>
      </c>
      <c r="AQ60" s="16" t="n">
        <f aca="false">IF(AQ6=1,IF(AQ58=1,ROUND(Inputs!$F$125*AQ59,Inputs!$F$52),Inputs!$F$125),IF(AQ58=1,ROUND(AP60*AQ59,Inputs!$F$52),AP60))</f>
        <v>0.2373</v>
      </c>
      <c r="AR60" s="16" t="n">
        <f aca="false">IF(AR6=1,IF(AR58=1,ROUND(Inputs!$F$125*AR59,Inputs!$F$52),Inputs!$F$125),IF(AR58=1,ROUND(AQ60*AR59,Inputs!$F$52),AQ60))</f>
        <v>0.2373</v>
      </c>
      <c r="AS60" s="16" t="n">
        <f aca="false">IF(AS6=1,IF(AS58=1,ROUND(Inputs!$F$125*AS59,Inputs!$F$52),Inputs!$F$125),IF(AS58=1,ROUND(AR60*AS59,Inputs!$F$52),AR60))</f>
        <v>0.2432</v>
      </c>
      <c r="AT60" s="16" t="n">
        <f aca="false">IF(AT6=1,IF(AT58=1,ROUND(Inputs!$F$125*AT59,Inputs!$F$52),Inputs!$F$125),IF(AT58=1,ROUND(AS60*AT59,Inputs!$F$52),AS60))</f>
        <v>0.2432</v>
      </c>
      <c r="AU60" s="16" t="n">
        <f aca="false">IF(AU6=1,IF(AU58=1,ROUND(Inputs!$F$125*AU59,Inputs!$F$52),Inputs!$F$125),IF(AU58=1,ROUND(AT60*AU59,Inputs!$F$52),AT60))</f>
        <v>0.2493</v>
      </c>
      <c r="AV60" s="16" t="n">
        <f aca="false">IF(AV6=1,IF(AV58=1,ROUND(Inputs!$F$125*AV59,Inputs!$F$52),Inputs!$F$125),IF(AV58=1,ROUND(AU60*AV59,Inputs!$F$52),AU60))</f>
        <v>0.2493</v>
      </c>
      <c r="AW60" s="16" t="n">
        <f aca="false">IF(AW6=1,IF(AW58=1,ROUND(Inputs!$F$125*AW59,Inputs!$F$52),Inputs!$F$125),IF(AW58=1,ROUND(AV60*AW59,Inputs!$F$52),AV60))</f>
        <v>0.2555</v>
      </c>
      <c r="AX60" s="16" t="n">
        <f aca="false">IF(AX6=1,IF(AX58=1,ROUND(Inputs!$F$125*AX59,Inputs!$F$52),Inputs!$F$125),IF(AX58=1,ROUND(AW60*AX59,Inputs!$F$52),AW60))</f>
        <v>0.2555</v>
      </c>
      <c r="AY60" s="16" t="n">
        <f aca="false">IF(AY6=1,IF(AY58=1,ROUND(Inputs!$F$125*AY59,Inputs!$F$52),Inputs!$F$125),IF(AY58=1,ROUND(AX60*AY59,Inputs!$F$52),AX60))</f>
        <v>0.2619</v>
      </c>
      <c r="AZ60" s="16" t="n">
        <f aca="false">IF(AZ6=1,IF(AZ58=1,ROUND(Inputs!$F$125*AZ59,Inputs!$F$52),Inputs!$F$125),IF(AZ58=1,ROUND(AY60*AZ59,Inputs!$F$52),AY60))</f>
        <v>0.2619</v>
      </c>
      <c r="BA60" s="16" t="n">
        <f aca="false">IF(BA6=1,IF(BA58=1,ROUND(Inputs!$F$125*BA59,Inputs!$F$52),Inputs!$F$125),IF(BA58=1,ROUND(AZ60*BA59,Inputs!$F$52),AZ60))</f>
        <v>0.2684</v>
      </c>
      <c r="BB60" s="16" t="n">
        <f aca="false">IF(BB6=1,IF(BB58=1,ROUND(Inputs!$F$125*BB59,Inputs!$F$52),Inputs!$F$125),IF(BB58=1,ROUND(BA60*BB59,Inputs!$F$52),BA60))</f>
        <v>0.2684</v>
      </c>
      <c r="BC60" s="16" t="n">
        <f aca="false">IF(BC6=1,IF(BC58=1,ROUND(Inputs!$F$125*BC59,Inputs!$F$52),Inputs!$F$125),IF(BC58=1,ROUND(BB60*BC59,Inputs!$F$52),BB60))</f>
        <v>0.2751</v>
      </c>
      <c r="BD60" s="16" t="n">
        <f aca="false">IF(BD6=1,IF(BD58=1,ROUND(Inputs!$F$125*BD59,Inputs!$F$52),Inputs!$F$125),IF(BD58=1,ROUND(BC60*BD59,Inputs!$F$52),BC60))</f>
        <v>0.2751</v>
      </c>
      <c r="BE60" s="16" t="n">
        <f aca="false">IF(BE6=1,IF(BE58=1,ROUND(Inputs!$F$125*BE59,Inputs!$F$52),Inputs!$F$125),IF(BE58=1,ROUND(BD60*BE59,Inputs!$F$52),BD60))</f>
        <v>0.282</v>
      </c>
      <c r="BF60" s="16" t="n">
        <f aca="false">IF(BF6=1,IF(BF58=1,ROUND(Inputs!$F$125*BF59,Inputs!$F$52),Inputs!$F$125),IF(BF58=1,ROUND(BE60*BF59,Inputs!$F$52),BE60))</f>
        <v>0.282</v>
      </c>
      <c r="BG60" s="16" t="n">
        <f aca="false">IF(BG6=1,IF(BG58=1,ROUND(Inputs!$F$125*BG59,Inputs!$F$52),Inputs!$F$125),IF(BG58=1,ROUND(BF60*BG59,Inputs!$F$52),BF60))</f>
        <v>0.2891</v>
      </c>
      <c r="BH60" s="16" t="n">
        <f aca="false">IF(BH6=1,IF(BH58=1,ROUND(Inputs!$F$125*BH59,Inputs!$F$52),Inputs!$F$125),IF(BH58=1,ROUND(BG60*BH59,Inputs!$F$52),BG60))</f>
        <v>0.2891</v>
      </c>
      <c r="BI60" s="16" t="n">
        <f aca="false">IF(BI6=1,IF(BI58=1,ROUND(Inputs!$F$125*BI59,Inputs!$F$52),Inputs!$F$125),IF(BI58=1,ROUND(BH60*BI59,Inputs!$F$52),BH60))</f>
        <v>0.2963</v>
      </c>
      <c r="BJ60" s="16" t="n">
        <f aca="false">IF(BJ6=1,IF(BJ58=1,ROUND(Inputs!$F$125*BJ59,Inputs!$F$52),Inputs!$F$125),IF(BJ58=1,ROUND(BI60*BJ59,Inputs!$F$52),BI60))</f>
        <v>0.2963</v>
      </c>
      <c r="BK60" s="16" t="n">
        <f aca="false">IF(BK6=1,IF(BK58=1,ROUND(Inputs!$F$125*BK59,Inputs!$F$52),Inputs!$F$125),IF(BK58=1,ROUND(BJ60*BK59,Inputs!$F$52),BJ60))</f>
        <v>0.3037</v>
      </c>
      <c r="BL60" s="16" t="n">
        <f aca="false">IF(BL6=1,IF(BL58=1,ROUND(Inputs!$F$125*BL59,Inputs!$F$52),Inputs!$F$125),IF(BL58=1,ROUND(BK60*BL59,Inputs!$F$52),BK60))</f>
        <v>0.3037</v>
      </c>
      <c r="BM60" s="16" t="n">
        <f aca="false">IF(BM6=1,IF(BM58=1,ROUND(Inputs!$F$125*BM59,Inputs!$F$52),Inputs!$F$125),IF(BM58=1,ROUND(BL60*BM59,Inputs!$F$52),BL60))</f>
        <v>0.3113</v>
      </c>
      <c r="BN60" s="16" t="n">
        <f aca="false">IF(BN6=1,IF(BN58=1,ROUND(Inputs!$F$125*BN59,Inputs!$F$52),Inputs!$F$125),IF(BN58=1,ROUND(BM60*BN59,Inputs!$F$52),BM60))</f>
        <v>0.3113</v>
      </c>
      <c r="BO60" s="16" t="n">
        <f aca="false">IF(BO6=1,IF(BO58=1,ROUND(Inputs!$F$125*BO59,Inputs!$F$52),Inputs!$F$125),IF(BO58=1,ROUND(BN60*BO59,Inputs!$F$52),BN60))</f>
        <v>0.3191</v>
      </c>
      <c r="BP60" s="16" t="n">
        <f aca="false">IF(BP6=1,IF(BP58=1,ROUND(Inputs!$F$125*BP59,Inputs!$F$52),Inputs!$F$125),IF(BP58=1,ROUND(BO60*BP59,Inputs!$F$52),BO60))</f>
        <v>0.3191</v>
      </c>
      <c r="BQ60" s="16" t="n">
        <f aca="false">IF(BQ6=1,IF(BQ58=1,ROUND(Inputs!$F$125*BQ59,Inputs!$F$52),Inputs!$F$125),IF(BQ58=1,ROUND(BP60*BQ59,Inputs!$F$52),BP60))</f>
        <v>0.3271</v>
      </c>
      <c r="BR60" s="16" t="n">
        <f aca="false">IF(BR6=1,IF(BR58=1,ROUND(Inputs!$F$125*BR59,Inputs!$F$52),Inputs!$F$125),IF(BR58=1,ROUND(BQ60*BR59,Inputs!$F$52),BQ60))</f>
        <v>0.3271</v>
      </c>
      <c r="BS60" s="16" t="n">
        <f aca="false">IF(BS6=1,IF(BS58=1,ROUND(Inputs!$F$125*BS59,Inputs!$F$52),Inputs!$F$125),IF(BS58=1,ROUND(BR60*BS59,Inputs!$F$52),BR60))</f>
        <v>0.3353</v>
      </c>
      <c r="BT60" s="16" t="n">
        <f aca="false">IF(BT6=1,IF(BT58=1,ROUND(Inputs!$F$125*BT59,Inputs!$F$52),Inputs!$F$125),IF(BT58=1,ROUND(BS60*BT59,Inputs!$F$52),BS60))</f>
        <v>0.3353</v>
      </c>
      <c r="BU60" s="16" t="n">
        <f aca="false">IF(BU6=1,IF(BU58=1,ROUND(Inputs!$F$125*BU59,Inputs!$F$52),Inputs!$F$125),IF(BU58=1,ROUND(BT60*BU59,Inputs!$F$52),BT60))</f>
        <v>0.3437</v>
      </c>
      <c r="BV60" s="16" t="n">
        <f aca="false">IF(BV6=1,IF(BV58=1,ROUND(Inputs!$F$125*BV59,Inputs!$F$52),Inputs!$F$125),IF(BV58=1,ROUND(BU60*BV59,Inputs!$F$52),BU60))</f>
        <v>0.3437</v>
      </c>
      <c r="BW60" s="16" t="n">
        <f aca="false">IF(BW6=1,IF(BW58=1,ROUND(Inputs!$F$125*BW59,Inputs!$F$52),Inputs!$F$125),IF(BW58=1,ROUND(BV60*BW59,Inputs!$F$52),BV60))</f>
        <v>0.3523</v>
      </c>
      <c r="BX60" s="16" t="n">
        <f aca="false">IF(BX6=1,IF(BX58=1,ROUND(Inputs!$F$125*BX59,Inputs!$F$52),Inputs!$F$125),IF(BX58=1,ROUND(BW60*BX59,Inputs!$F$52),BW60))</f>
        <v>0.3523</v>
      </c>
      <c r="BY60" s="16" t="n">
        <f aca="false">IF(BY6=1,IF(BY58=1,ROUND(Inputs!$F$125*BY59,Inputs!$F$52),Inputs!$F$125),IF(BY58=1,ROUND(BX60*BY59,Inputs!$F$52),BX60))</f>
        <v>0.3611</v>
      </c>
      <c r="BZ60" s="16" t="n">
        <f aca="false">IF(BZ6=1,IF(BZ58=1,ROUND(Inputs!$F$125*BZ59,Inputs!$F$52),Inputs!$F$125),IF(BZ58=1,ROUND(BY60*BZ59,Inputs!$F$52),BY60))</f>
        <v>0.3611</v>
      </c>
      <c r="CA60" s="16" t="n">
        <f aca="false">IF(CA6=1,IF(CA58=1,ROUND(Inputs!$F$125*CA59,Inputs!$F$52),Inputs!$F$125),IF(CA58=1,ROUND(BZ60*CA59,Inputs!$F$52),BZ60))</f>
        <v>0.3701</v>
      </c>
      <c r="CB60" s="16" t="n">
        <f aca="false">IF(CB6=1,IF(CB58=1,ROUND(Inputs!$F$125*CB59,Inputs!$F$52),Inputs!$F$125),IF(CB58=1,ROUND(CA60*CB59,Inputs!$F$52),CA60))</f>
        <v>0.3701</v>
      </c>
      <c r="CC60" s="16" t="n">
        <f aca="false">IF(CC6=1,IF(CC58=1,ROUND(Inputs!$F$125*CC59,Inputs!$F$52),Inputs!$F$125),IF(CC58=1,ROUND(CB60*CC59,Inputs!$F$52),CB60))</f>
        <v>0.3794</v>
      </c>
      <c r="CD60" s="16" t="n">
        <f aca="false">IF(CD6=1,IF(CD58=1,ROUND(Inputs!$F$125*CD59,Inputs!$F$52),Inputs!$F$125),IF(CD58=1,ROUND(CC60*CD59,Inputs!$F$52),CC60))</f>
        <v>0.3794</v>
      </c>
      <c r="CE60" s="16" t="n">
        <f aca="false">IF(CE6=1,IF(CE58=1,ROUND(Inputs!$F$125*CE59,Inputs!$F$52),Inputs!$F$125),IF(CE58=1,ROUND(CD60*CE59,Inputs!$F$52),CD60))</f>
        <v>0.3889</v>
      </c>
      <c r="CF60" s="16" t="n">
        <f aca="false">IF(CF6=1,IF(CF58=1,ROUND(Inputs!$F$125*CF59,Inputs!$F$52),Inputs!$F$125),IF(CF58=1,ROUND(CE60*CF59,Inputs!$F$52),CE60))</f>
        <v>0.3889</v>
      </c>
      <c r="CG60" s="16" t="n">
        <f aca="false">IF(CG6=1,IF(CG58=1,ROUND(Inputs!$F$125*CG59,Inputs!$F$52),Inputs!$F$125),IF(CG58=1,ROUND(CF60*CG59,Inputs!$F$52),CF60))</f>
        <v>0.3986</v>
      </c>
      <c r="CH60" s="16" t="n">
        <f aca="false">IF(CH6=1,IF(CH58=1,ROUND(Inputs!$F$125*CH59,Inputs!$F$52),Inputs!$F$125),IF(CH58=1,ROUND(CG60*CH59,Inputs!$F$52),CG60))</f>
        <v>0.3986</v>
      </c>
      <c r="CI60" s="16" t="n">
        <f aca="false">IF(CI6=1,IF(CI58=1,ROUND(Inputs!$F$125*CI59,Inputs!$F$52),Inputs!$F$125),IF(CI58=1,ROUND(CH60*CI59,Inputs!$F$52),CH60))</f>
        <v>0.4086</v>
      </c>
      <c r="CJ60" s="16" t="n">
        <f aca="false">IF(CJ6=1,IF(CJ58=1,ROUND(Inputs!$F$125*CJ59,Inputs!$F$52),Inputs!$F$125),IF(CJ58=1,ROUND(CI60*CJ59,Inputs!$F$52),CI60))</f>
        <v>0.4086</v>
      </c>
      <c r="CK60" s="16" t="n">
        <f aca="false">IF(CK6=1,IF(CK58=1,ROUND(Inputs!$F$125*CK59,Inputs!$F$52),Inputs!$F$125),IF(CK58=1,ROUND(CJ60*CK59,Inputs!$F$52),CJ60))</f>
        <v>0.4188</v>
      </c>
      <c r="CL60" s="16" t="n">
        <f aca="false">IF(CL6=1,IF(CL58=1,ROUND(Inputs!$F$125*CL59,Inputs!$F$52),Inputs!$F$125),IF(CL58=1,ROUND(CK60*CL59,Inputs!$F$52),CK60))</f>
        <v>0.4188</v>
      </c>
      <c r="CM60" s="16" t="n">
        <f aca="false">IF(CM6=1,IF(CM58=1,ROUND(Inputs!$F$125*CM59,Inputs!$F$52),Inputs!$F$125),IF(CM58=1,ROUND(CL60*CM59,Inputs!$F$52),CL60))</f>
        <v>0.4293</v>
      </c>
      <c r="CN60" s="16" t="n">
        <f aca="false">IF(CN6=1,IF(CN58=1,ROUND(Inputs!$F$125*CN59,Inputs!$F$52),Inputs!$F$125),IF(CN58=1,ROUND(CM60*CN59,Inputs!$F$52),CM60))</f>
        <v>0.4293</v>
      </c>
      <c r="CO60" s="16" t="n">
        <f aca="false">IF(CO6=1,IF(CO58=1,ROUND(Inputs!$F$125*CO59,Inputs!$F$52),Inputs!$F$125),IF(CO58=1,ROUND(CN60*CO59,Inputs!$F$52),CN60))</f>
        <v>0.44</v>
      </c>
      <c r="CP60" s="16" t="n">
        <f aca="false">IF(CP6=1,IF(CP58=1,ROUND(Inputs!$F$125*CP59,Inputs!$F$52),Inputs!$F$125),IF(CP58=1,ROUND(CO60*CP59,Inputs!$F$52),CO60))</f>
        <v>0.44</v>
      </c>
      <c r="CQ60" s="16" t="n">
        <f aca="false">IF(CQ6=1,IF(CQ58=1,ROUND(Inputs!$F$125*CQ59,Inputs!$F$52),Inputs!$F$125),IF(CQ58=1,ROUND(CP60*CQ59,Inputs!$F$52),CP60))</f>
        <v>0.451</v>
      </c>
      <c r="CR60" s="16" t="n">
        <f aca="false">IF(CR6=1,IF(CR58=1,ROUND(Inputs!$F$125*CR59,Inputs!$F$52),Inputs!$F$125),IF(CR58=1,ROUND(CQ60*CR59,Inputs!$F$52),CQ60))</f>
        <v>0.451</v>
      </c>
      <c r="CS60" s="16" t="n">
        <f aca="false">IF(CS6=1,IF(CS58=1,ROUND(Inputs!$F$125*CS59,Inputs!$F$52),Inputs!$F$125),IF(CS58=1,ROUND(CR60*CS59,Inputs!$F$52),CR60))</f>
        <v>0.4623</v>
      </c>
      <c r="CT60" s="16" t="n">
        <f aca="false">IF(CT6=1,IF(CT58=1,ROUND(Inputs!$F$125*CT59,Inputs!$F$52),Inputs!$F$125),IF(CT58=1,ROUND(CS60*CT59,Inputs!$F$52),CS60))</f>
        <v>0.4623</v>
      </c>
      <c r="CU60" s="16" t="n">
        <f aca="false">IF(CU6=1,IF(CU58=1,ROUND(Inputs!$F$125*CU59,Inputs!$F$52),Inputs!$F$125),IF(CU58=1,ROUND(CT60*CU59,Inputs!$F$52),CT60))</f>
        <v>0.4739</v>
      </c>
      <c r="CV60" s="16" t="n">
        <f aca="false">IF(CV6=1,IF(CV58=1,ROUND(Inputs!$F$125*CV59,Inputs!$F$52),Inputs!$F$125),IF(CV58=1,ROUND(CU60*CV59,Inputs!$F$52),CU60))</f>
        <v>0.4739</v>
      </c>
      <c r="CW60" s="16" t="n">
        <f aca="false">IF(CW6=1,IF(CW58=1,ROUND(Inputs!$F$125*CW59,Inputs!$F$52),Inputs!$F$125),IF(CW58=1,ROUND(CV60*CW59,Inputs!$F$52),CV60))</f>
        <v>0.4857</v>
      </c>
      <c r="CX60" s="16" t="n">
        <f aca="false">IF(CX6=1,IF(CX58=1,ROUND(Inputs!$F$125*CX59,Inputs!$F$52),Inputs!$F$125),IF(CX58=1,ROUND(CW60*CX59,Inputs!$F$52),CW60))</f>
        <v>0.4857</v>
      </c>
      <c r="CY60" s="16" t="n">
        <f aca="false">IF(CY6=1,IF(CY58=1,ROUND(Inputs!$F$125*CY59,Inputs!$F$52),Inputs!$F$125),IF(CY58=1,ROUND(CX60*CY59,Inputs!$F$52),CX60))</f>
        <v>0.4978</v>
      </c>
      <c r="CZ60" s="16" t="n">
        <f aca="false">IF(CZ6=1,IF(CZ58=1,ROUND(Inputs!$F$125*CZ59,Inputs!$F$52),Inputs!$F$125),IF(CZ58=1,ROUND(CY60*CZ59,Inputs!$F$52),CY60))</f>
        <v>0.4978</v>
      </c>
      <c r="DA60" s="16" t="n">
        <f aca="false">IF(DA6=1,IF(DA58=1,ROUND(Inputs!$F$125*DA59,Inputs!$F$52),Inputs!$F$125),IF(DA58=1,ROUND(CZ60*DA59,Inputs!$F$52),CZ60))</f>
        <v>0.5102</v>
      </c>
      <c r="DB60" s="16" t="n">
        <f aca="false">IF(DB6=1,IF(DB58=1,ROUND(Inputs!$F$125*DB59,Inputs!$F$52),Inputs!$F$125),IF(DB58=1,ROUND(DA60*DB59,Inputs!$F$52),DA60))</f>
        <v>0.5102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2.6</v>
      </c>
      <c r="K6" s="18" t="n">
        <f aca="false">IF(Time!K11&lt;=Inputs!$F$55,Inputs!$F$243,IF(Time!K11&lt;=Inputs!$F$56,Inputs!$F$244,Inputs!$F$245))</f>
        <v>2.6</v>
      </c>
      <c r="L6" s="18" t="n">
        <f aca="false">IF(Time!L11&lt;=Inputs!$F$55,Inputs!$F$243,IF(Time!L11&lt;=Inputs!$F$56,Inputs!$F$244,Inputs!$F$245))</f>
        <v>2.6</v>
      </c>
      <c r="M6" s="18" t="n">
        <f aca="false">IF(Time!M11&lt;=Inputs!$F$55,Inputs!$F$243,IF(Time!M11&lt;=Inputs!$F$56,Inputs!$F$244,Inputs!$F$245))</f>
        <v>2.6</v>
      </c>
      <c r="N6" s="18" t="n">
        <f aca="false">IF(Time!N11&lt;=Inputs!$F$55,Inputs!$F$243,IF(Time!N11&lt;=Inputs!$F$56,Inputs!$F$244,Inputs!$F$245))</f>
        <v>2.6</v>
      </c>
      <c r="O6" s="18" t="n">
        <f aca="false">IF(Time!O11&lt;=Inputs!$F$55,Inputs!$F$243,IF(Time!O11&lt;=Inputs!$F$56,Inputs!$F$244,Inputs!$F$245))</f>
        <v>2.6</v>
      </c>
      <c r="P6" s="18" t="n">
        <f aca="false">IF(Time!P11&lt;=Inputs!$F$55,Inputs!$F$243,IF(Time!P11&lt;=Inputs!$F$56,Inputs!$F$244,Inputs!$F$245))</f>
        <v>2.6</v>
      </c>
      <c r="Q6" s="18" t="n">
        <f aca="false">IF(Time!Q11&lt;=Inputs!$F$55,Inputs!$F$243,IF(Time!Q11&lt;=Inputs!$F$56,Inputs!$F$244,Inputs!$F$245))</f>
        <v>2.6</v>
      </c>
      <c r="R6" s="18" t="n">
        <f aca="false">IF(Time!R11&lt;=Inputs!$F$55,Inputs!$F$243,IF(Time!R11&lt;=Inputs!$F$56,Inputs!$F$244,Inputs!$F$245))</f>
        <v>2.6</v>
      </c>
      <c r="S6" s="18" t="n">
        <f aca="false">IF(Time!S11&lt;=Inputs!$F$55,Inputs!$F$243,IF(Time!S11&lt;=Inputs!$F$56,Inputs!$F$244,Inputs!$F$245))</f>
        <v>2.6</v>
      </c>
      <c r="T6" s="18" t="n">
        <f aca="false">IF(Time!T11&lt;=Inputs!$F$55,Inputs!$F$243,IF(Time!T11&lt;=Inputs!$F$56,Inputs!$F$244,Inputs!$F$245))</f>
        <v>2.6</v>
      </c>
      <c r="U6" s="18" t="n">
        <f aca="false">IF(Time!U11&lt;=Inputs!$F$55,Inputs!$F$243,IF(Time!U11&lt;=Inputs!$F$56,Inputs!$F$244,Inputs!$F$245))</f>
        <v>2.6</v>
      </c>
      <c r="V6" s="18" t="n">
        <f aca="false">IF(Time!V11&lt;=Inputs!$F$55,Inputs!$F$243,IF(Time!V11&lt;=Inputs!$F$56,Inputs!$F$244,Inputs!$F$245))</f>
        <v>2.6</v>
      </c>
      <c r="W6" s="18" t="n">
        <f aca="false">IF(Time!W11&lt;=Inputs!$F$55,Inputs!$F$243,IF(Time!W11&lt;=Inputs!$F$56,Inputs!$F$244,Inputs!$F$245))</f>
        <v>2.6</v>
      </c>
      <c r="X6" s="18" t="n">
        <f aca="false">IF(Time!X11&lt;=Inputs!$F$55,Inputs!$F$243,IF(Time!X11&lt;=Inputs!$F$56,Inputs!$F$244,Inputs!$F$245))</f>
        <v>2.6</v>
      </c>
      <c r="Y6" s="18" t="n">
        <f aca="false">IF(Time!Y11&lt;=Inputs!$F$55,Inputs!$F$243,IF(Time!Y11&lt;=Inputs!$F$56,Inputs!$F$244,Inputs!$F$245))</f>
        <v>2.6</v>
      </c>
      <c r="Z6" s="18" t="n">
        <f aca="false">IF(Time!Z11&lt;=Inputs!$F$55,Inputs!$F$243,IF(Time!Z11&lt;=Inputs!$F$56,Inputs!$F$244,Inputs!$F$245))</f>
        <v>2.6</v>
      </c>
      <c r="AA6" s="18" t="n">
        <f aca="false">IF(Time!AA11&lt;=Inputs!$F$55,Inputs!$F$243,IF(Time!AA11&lt;=Inputs!$F$56,Inputs!$F$244,Inputs!$F$245))</f>
        <v>2.6</v>
      </c>
      <c r="AB6" s="18" t="n">
        <f aca="false">IF(Time!AB11&lt;=Inputs!$F$55,Inputs!$F$243,IF(Time!AB11&lt;=Inputs!$F$56,Inputs!$F$244,Inputs!$F$245))</f>
        <v>2.6</v>
      </c>
      <c r="AC6" s="18" t="n">
        <f aca="false">IF(Time!AC11&lt;=Inputs!$F$55,Inputs!$F$243,IF(Time!AC11&lt;=Inputs!$F$56,Inputs!$F$244,Inputs!$F$245))</f>
        <v>2.6</v>
      </c>
      <c r="AD6" s="18" t="n">
        <f aca="false">IF(Time!AD11&lt;=Inputs!$F$55,Inputs!$F$243,IF(Time!AD11&lt;=Inputs!$F$56,Inputs!$F$244,Inputs!$F$245))</f>
        <v>2.6</v>
      </c>
      <c r="AE6" s="18" t="n">
        <f aca="false">IF(Time!AE11&lt;=Inputs!$F$55,Inputs!$F$243,IF(Time!AE11&lt;=Inputs!$F$56,Inputs!$F$244,Inputs!$F$245))</f>
        <v>2.6</v>
      </c>
      <c r="AF6" s="18" t="n">
        <f aca="false">IF(Time!AF11&lt;=Inputs!$F$55,Inputs!$F$243,IF(Time!AF11&lt;=Inputs!$F$56,Inputs!$F$244,Inputs!$F$245))</f>
        <v>2.6</v>
      </c>
      <c r="AG6" s="18" t="n">
        <f aca="false">IF(Time!AG11&lt;=Inputs!$F$55,Inputs!$F$243,IF(Time!AG11&lt;=Inputs!$F$56,Inputs!$F$244,Inputs!$F$245))</f>
        <v>2.6</v>
      </c>
      <c r="AH6" s="18" t="n">
        <f aca="false">IF(Time!AH11&lt;=Inputs!$F$55,Inputs!$F$243,IF(Time!AH11&lt;=Inputs!$F$56,Inputs!$F$244,Inputs!$F$245))</f>
        <v>2.6</v>
      </c>
      <c r="AI6" s="18" t="n">
        <f aca="false">IF(Time!AI11&lt;=Inputs!$F$55,Inputs!$F$243,IF(Time!AI11&lt;=Inputs!$F$56,Inputs!$F$244,Inputs!$F$245))</f>
        <v>2.6</v>
      </c>
      <c r="AJ6" s="18" t="n">
        <f aca="false">IF(Time!AJ11&lt;=Inputs!$F$55,Inputs!$F$243,IF(Time!AJ11&lt;=Inputs!$F$56,Inputs!$F$244,Inputs!$F$245))</f>
        <v>2.6</v>
      </c>
      <c r="AK6" s="18" t="n">
        <f aca="false">IF(Time!AK11&lt;=Inputs!$F$55,Inputs!$F$243,IF(Time!AK11&lt;=Inputs!$F$56,Inputs!$F$244,Inputs!$F$245))</f>
        <v>2.6</v>
      </c>
      <c r="AL6" s="18" t="n">
        <f aca="false">IF(Time!AL11&lt;=Inputs!$F$55,Inputs!$F$243,IF(Time!AL11&lt;=Inputs!$F$56,Inputs!$F$244,Inputs!$F$245))</f>
        <v>2.6</v>
      </c>
      <c r="AM6" s="18" t="n">
        <f aca="false">IF(Time!AM11&lt;=Inputs!$F$55,Inputs!$F$243,IF(Time!AM11&lt;=Inputs!$F$56,Inputs!$F$244,Inputs!$F$245))</f>
        <v>2.6</v>
      </c>
      <c r="AN6" s="18" t="n">
        <f aca="false">IF(Time!AN11&lt;=Inputs!$F$55,Inputs!$F$243,IF(Time!AN11&lt;=Inputs!$F$56,Inputs!$F$244,Inputs!$F$245))</f>
        <v>2.6</v>
      </c>
      <c r="AO6" s="18" t="n">
        <f aca="false">IF(Time!AO11&lt;=Inputs!$F$55,Inputs!$F$243,IF(Time!AO11&lt;=Inputs!$F$56,Inputs!$F$244,Inputs!$F$245))</f>
        <v>2.6</v>
      </c>
      <c r="AP6" s="18" t="n">
        <f aca="false">IF(Time!AP11&lt;=Inputs!$F$55,Inputs!$F$243,IF(Time!AP11&lt;=Inputs!$F$56,Inputs!$F$244,Inputs!$F$245))</f>
        <v>2.6</v>
      </c>
      <c r="AQ6" s="18" t="n">
        <f aca="false">IF(Time!AQ11&lt;=Inputs!$F$55,Inputs!$F$243,IF(Time!AQ11&lt;=Inputs!$F$56,Inputs!$F$244,Inputs!$F$245))</f>
        <v>2.6</v>
      </c>
      <c r="AR6" s="18" t="n">
        <f aca="false">IF(Time!AR11&lt;=Inputs!$F$55,Inputs!$F$243,IF(Time!AR11&lt;=Inputs!$F$56,Inputs!$F$244,Inputs!$F$245))</f>
        <v>2.6</v>
      </c>
      <c r="AS6" s="18" t="n">
        <f aca="false">IF(Time!AS11&lt;=Inputs!$F$55,Inputs!$F$243,IF(Time!AS11&lt;=Inputs!$F$56,Inputs!$F$244,Inputs!$F$245))</f>
        <v>2.6</v>
      </c>
      <c r="AT6" s="18" t="n">
        <f aca="false">IF(Time!AT11&lt;=Inputs!$F$55,Inputs!$F$243,IF(Time!AT11&lt;=Inputs!$F$56,Inputs!$F$244,Inputs!$F$245))</f>
        <v>2.6</v>
      </c>
      <c r="AU6" s="18" t="n">
        <f aca="false">IF(Time!AU11&lt;=Inputs!$F$55,Inputs!$F$243,IF(Time!AU11&lt;=Inputs!$F$56,Inputs!$F$244,Inputs!$F$245))</f>
        <v>2.6</v>
      </c>
      <c r="AV6" s="18" t="n">
        <f aca="false">IF(Time!AV11&lt;=Inputs!$F$55,Inputs!$F$243,IF(Time!AV11&lt;=Inputs!$F$56,Inputs!$F$244,Inputs!$F$245))</f>
        <v>2.6</v>
      </c>
      <c r="AW6" s="18" t="n">
        <f aca="false">IF(Time!AW11&lt;=Inputs!$F$55,Inputs!$F$243,IF(Time!AW11&lt;=Inputs!$F$56,Inputs!$F$244,Inputs!$F$245))</f>
        <v>2.6</v>
      </c>
      <c r="AX6" s="18" t="n">
        <f aca="false">IF(Time!AX11&lt;=Inputs!$F$55,Inputs!$F$243,IF(Time!AX11&lt;=Inputs!$F$56,Inputs!$F$244,Inputs!$F$245))</f>
        <v>1.8</v>
      </c>
      <c r="AY6" s="18" t="n">
        <f aca="false">IF(Time!AY11&lt;=Inputs!$F$55,Inputs!$F$243,IF(Time!AY11&lt;=Inputs!$F$56,Inputs!$F$244,Inputs!$F$245))</f>
        <v>1.8</v>
      </c>
      <c r="AZ6" s="18" t="n">
        <f aca="false">IF(Time!AZ11&lt;=Inputs!$F$55,Inputs!$F$243,IF(Time!AZ11&lt;=Inputs!$F$56,Inputs!$F$244,Inputs!$F$245))</f>
        <v>1.8</v>
      </c>
      <c r="BA6" s="18" t="n">
        <f aca="false">IF(Time!BA11&lt;=Inputs!$F$55,Inputs!$F$243,IF(Time!BA11&lt;=Inputs!$F$56,Inputs!$F$244,Inputs!$F$245))</f>
        <v>1.8</v>
      </c>
      <c r="BB6" s="18" t="n">
        <f aca="false">IF(Time!BB11&lt;=Inputs!$F$55,Inputs!$F$243,IF(Time!BB11&lt;=Inputs!$F$56,Inputs!$F$244,Inputs!$F$245))</f>
        <v>1.8</v>
      </c>
      <c r="BC6" s="18" t="n">
        <f aca="false">IF(Time!BC11&lt;=Inputs!$F$55,Inputs!$F$243,IF(Time!BC11&lt;=Inputs!$F$56,Inputs!$F$244,Inputs!$F$245))</f>
        <v>1.8</v>
      </c>
      <c r="BD6" s="18" t="n">
        <f aca="false">IF(Time!BD11&lt;=Inputs!$F$55,Inputs!$F$243,IF(Time!BD11&lt;=Inputs!$F$56,Inputs!$F$244,Inputs!$F$245))</f>
        <v>1.8</v>
      </c>
      <c r="BE6" s="18" t="n">
        <f aca="false">IF(Time!BE11&lt;=Inputs!$F$55,Inputs!$F$243,IF(Time!BE11&lt;=Inputs!$F$56,Inputs!$F$244,Inputs!$F$245))</f>
        <v>1.8</v>
      </c>
      <c r="BF6" s="18" t="n">
        <f aca="false">IF(Time!BF11&lt;=Inputs!$F$55,Inputs!$F$243,IF(Time!BF11&lt;=Inputs!$F$56,Inputs!$F$244,Inputs!$F$245))</f>
        <v>1.8</v>
      </c>
      <c r="BG6" s="18" t="n">
        <f aca="false">IF(Time!BG11&lt;=Inputs!$F$55,Inputs!$F$243,IF(Time!BG11&lt;=Inputs!$F$56,Inputs!$F$244,Inputs!$F$245))</f>
        <v>1.8</v>
      </c>
      <c r="BH6" s="18" t="n">
        <f aca="false">IF(Time!BH11&lt;=Inputs!$F$55,Inputs!$F$243,IF(Time!BH11&lt;=Inputs!$F$56,Inputs!$F$244,Inputs!$F$245))</f>
        <v>1.8</v>
      </c>
      <c r="BI6" s="18" t="n">
        <f aca="false">IF(Time!BI11&lt;=Inputs!$F$55,Inputs!$F$243,IF(Time!BI11&lt;=Inputs!$F$56,Inputs!$F$244,Inputs!$F$245))</f>
        <v>1.8</v>
      </c>
      <c r="BJ6" s="18" t="n">
        <f aca="false">IF(Time!BJ11&lt;=Inputs!$F$55,Inputs!$F$243,IF(Time!BJ11&lt;=Inputs!$F$56,Inputs!$F$244,Inputs!$F$245))</f>
        <v>1.8</v>
      </c>
      <c r="BK6" s="18" t="n">
        <f aca="false">IF(Time!BK11&lt;=Inputs!$F$55,Inputs!$F$243,IF(Time!BK11&lt;=Inputs!$F$56,Inputs!$F$244,Inputs!$F$245))</f>
        <v>1.8</v>
      </c>
      <c r="BL6" s="18" t="n">
        <f aca="false">IF(Time!BL11&lt;=Inputs!$F$55,Inputs!$F$243,IF(Time!BL11&lt;=Inputs!$F$56,Inputs!$F$244,Inputs!$F$245))</f>
        <v>1.8</v>
      </c>
      <c r="BM6" s="18" t="n">
        <f aca="false">IF(Time!BM11&lt;=Inputs!$F$55,Inputs!$F$243,IF(Time!BM11&lt;=Inputs!$F$56,Inputs!$F$244,Inputs!$F$245))</f>
        <v>1.8</v>
      </c>
      <c r="BN6" s="18" t="n">
        <f aca="false">IF(Time!BN11&lt;=Inputs!$F$55,Inputs!$F$243,IF(Time!BN11&lt;=Inputs!$F$56,Inputs!$F$244,Inputs!$F$245))</f>
        <v>1.8</v>
      </c>
      <c r="BO6" s="18" t="n">
        <f aca="false">IF(Time!BO11&lt;=Inputs!$F$55,Inputs!$F$243,IF(Time!BO11&lt;=Inputs!$F$56,Inputs!$F$244,Inputs!$F$245))</f>
        <v>1.8</v>
      </c>
      <c r="BP6" s="18" t="n">
        <f aca="false">IF(Time!BP11&lt;=Inputs!$F$55,Inputs!$F$243,IF(Time!BP11&lt;=Inputs!$F$56,Inputs!$F$244,Inputs!$F$245))</f>
        <v>1.8</v>
      </c>
      <c r="BQ6" s="18" t="n">
        <f aca="false">IF(Time!BQ11&lt;=Inputs!$F$55,Inputs!$F$243,IF(Time!BQ11&lt;=Inputs!$F$56,Inputs!$F$244,Inputs!$F$245))</f>
        <v>1.8</v>
      </c>
      <c r="BR6" s="18" t="n">
        <f aca="false">IF(Time!BR11&lt;=Inputs!$F$55,Inputs!$F$243,IF(Time!BR11&lt;=Inputs!$F$56,Inputs!$F$244,Inputs!$F$245))</f>
        <v>0.9</v>
      </c>
      <c r="BS6" s="18" t="n">
        <f aca="false">IF(Time!BS11&lt;=Inputs!$F$55,Inputs!$F$243,IF(Time!BS11&lt;=Inputs!$F$56,Inputs!$F$244,Inputs!$F$245))</f>
        <v>0.9</v>
      </c>
      <c r="BT6" s="18" t="n">
        <f aca="false">IF(Time!BT11&lt;=Inputs!$F$55,Inputs!$F$243,IF(Time!BT11&lt;=Inputs!$F$56,Inputs!$F$244,Inputs!$F$245))</f>
        <v>0.9</v>
      </c>
      <c r="BU6" s="18" t="n">
        <f aca="false">IF(Time!BU11&lt;=Inputs!$F$55,Inputs!$F$243,IF(Time!BU11&lt;=Inputs!$F$56,Inputs!$F$244,Inputs!$F$245))</f>
        <v>0.9</v>
      </c>
      <c r="BV6" s="18" t="n">
        <f aca="false">IF(Time!BV11&lt;=Inputs!$F$55,Inputs!$F$243,IF(Time!BV11&lt;=Inputs!$F$56,Inputs!$F$244,Inputs!$F$245))</f>
        <v>0.9</v>
      </c>
      <c r="BW6" s="18" t="n">
        <f aca="false">IF(Time!BW11&lt;=Inputs!$F$55,Inputs!$F$243,IF(Time!BW11&lt;=Inputs!$F$56,Inputs!$F$244,Inputs!$F$245))</f>
        <v>0.9</v>
      </c>
      <c r="BX6" s="18" t="n">
        <f aca="false">IF(Time!BX11&lt;=Inputs!$F$55,Inputs!$F$243,IF(Time!BX11&lt;=Inputs!$F$56,Inputs!$F$244,Inputs!$F$245))</f>
        <v>0.9</v>
      </c>
      <c r="BY6" s="18" t="n">
        <f aca="false">IF(Time!BY11&lt;=Inputs!$F$55,Inputs!$F$243,IF(Time!BY11&lt;=Inputs!$F$56,Inputs!$F$244,Inputs!$F$245))</f>
        <v>0.9</v>
      </c>
      <c r="BZ6" s="18" t="n">
        <f aca="false">IF(Time!BZ11&lt;=Inputs!$F$55,Inputs!$F$243,IF(Time!BZ11&lt;=Inputs!$F$56,Inputs!$F$244,Inputs!$F$245))</f>
        <v>0.9</v>
      </c>
      <c r="CA6" s="18" t="n">
        <f aca="false">IF(Time!CA11&lt;=Inputs!$F$55,Inputs!$F$243,IF(Time!CA11&lt;=Inputs!$F$56,Inputs!$F$244,Inputs!$F$245))</f>
        <v>0.9</v>
      </c>
      <c r="CB6" s="18" t="n">
        <f aca="false">IF(Time!CB11&lt;=Inputs!$F$55,Inputs!$F$243,IF(Time!CB11&lt;=Inputs!$F$56,Inputs!$F$244,Inputs!$F$245))</f>
        <v>0.9</v>
      </c>
      <c r="CC6" s="18" t="n">
        <f aca="false">IF(Time!CC11&lt;=Inputs!$F$55,Inputs!$F$243,IF(Time!CC11&lt;=Inputs!$F$56,Inputs!$F$244,Inputs!$F$245))</f>
        <v>0.9</v>
      </c>
      <c r="CD6" s="18" t="n">
        <f aca="false">IF(Time!CD11&lt;=Inputs!$F$55,Inputs!$F$243,IF(Time!CD11&lt;=Inputs!$F$56,Inputs!$F$244,Inputs!$F$245))</f>
        <v>0.9</v>
      </c>
      <c r="CE6" s="18" t="n">
        <f aca="false">IF(Time!CE11&lt;=Inputs!$F$55,Inputs!$F$243,IF(Time!CE11&lt;=Inputs!$F$56,Inputs!$F$244,Inputs!$F$245))</f>
        <v>0.9</v>
      </c>
      <c r="CF6" s="18" t="n">
        <f aca="false">IF(Time!CF11&lt;=Inputs!$F$55,Inputs!$F$243,IF(Time!CF11&lt;=Inputs!$F$56,Inputs!$F$244,Inputs!$F$245))</f>
        <v>0.9</v>
      </c>
      <c r="CG6" s="18" t="n">
        <f aca="false">IF(Time!CG11&lt;=Inputs!$F$55,Inputs!$F$243,IF(Time!CG11&lt;=Inputs!$F$56,Inputs!$F$244,Inputs!$F$245))</f>
        <v>0.9</v>
      </c>
      <c r="CH6" s="18" t="n">
        <f aca="false">IF(Time!CH11&lt;=Inputs!$F$55,Inputs!$F$243,IF(Time!CH11&lt;=Inputs!$F$56,Inputs!$F$244,Inputs!$F$245))</f>
        <v>0.9</v>
      </c>
      <c r="CI6" s="18" t="n">
        <f aca="false">IF(Time!CI11&lt;=Inputs!$F$55,Inputs!$F$243,IF(Time!CI11&lt;=Inputs!$F$56,Inputs!$F$244,Inputs!$F$245))</f>
        <v>0.9</v>
      </c>
      <c r="CJ6" s="18" t="n">
        <f aca="false">IF(Time!CJ11&lt;=Inputs!$F$55,Inputs!$F$243,IF(Time!CJ11&lt;=Inputs!$F$56,Inputs!$F$244,Inputs!$F$245))</f>
        <v>0.9</v>
      </c>
      <c r="CK6" s="18" t="n">
        <f aca="false">IF(Time!CK11&lt;=Inputs!$F$55,Inputs!$F$243,IF(Time!CK11&lt;=Inputs!$F$56,Inputs!$F$244,Inputs!$F$245))</f>
        <v>0.9</v>
      </c>
      <c r="CL6" s="18" t="n">
        <f aca="false">IF(Time!CL11&lt;=Inputs!$F$55,Inputs!$F$243,IF(Time!CL11&lt;=Inputs!$F$56,Inputs!$F$244,Inputs!$F$245))</f>
        <v>0.9</v>
      </c>
      <c r="CM6" s="18" t="n">
        <f aca="false">IF(Time!CM11&lt;=Inputs!$F$55,Inputs!$F$243,IF(Time!CM11&lt;=Inputs!$F$56,Inputs!$F$244,Inputs!$F$245))</f>
        <v>0.9</v>
      </c>
      <c r="CN6" s="18" t="n">
        <f aca="false">IF(Time!CN11&lt;=Inputs!$F$55,Inputs!$F$243,IF(Time!CN11&lt;=Inputs!$F$56,Inputs!$F$244,Inputs!$F$245))</f>
        <v>0.9</v>
      </c>
      <c r="CO6" s="18" t="n">
        <f aca="false">IF(Time!CO11&lt;=Inputs!$F$55,Inputs!$F$243,IF(Time!CO11&lt;=Inputs!$F$56,Inputs!$F$244,Inputs!$F$245))</f>
        <v>0.9</v>
      </c>
      <c r="CP6" s="18" t="n">
        <f aca="false">IF(Time!CP11&lt;=Inputs!$F$55,Inputs!$F$243,IF(Time!CP11&lt;=Inputs!$F$56,Inputs!$F$244,Inputs!$F$245))</f>
        <v>0.9</v>
      </c>
      <c r="CQ6" s="18" t="n">
        <f aca="false">IF(Time!CQ11&lt;=Inputs!$F$55,Inputs!$F$243,IF(Time!CQ11&lt;=Inputs!$F$56,Inputs!$F$244,Inputs!$F$245))</f>
        <v>0.9</v>
      </c>
      <c r="CR6" s="18" t="n">
        <f aca="false">IF(Time!CR11&lt;=Inputs!$F$55,Inputs!$F$243,IF(Time!CR11&lt;=Inputs!$F$56,Inputs!$F$244,Inputs!$F$245))</f>
        <v>0.9</v>
      </c>
      <c r="CS6" s="18" t="n">
        <f aca="false">IF(Time!CS11&lt;=Inputs!$F$55,Inputs!$F$243,IF(Time!CS11&lt;=Inputs!$F$56,Inputs!$F$244,Inputs!$F$245))</f>
        <v>0.9</v>
      </c>
      <c r="CT6" s="18" t="n">
        <f aca="false">IF(Time!CT11&lt;=Inputs!$F$55,Inputs!$F$243,IF(Time!CT11&lt;=Inputs!$F$56,Inputs!$F$244,Inputs!$F$245))</f>
        <v>0.9</v>
      </c>
      <c r="CU6" s="18" t="n">
        <f aca="false">IF(Time!CU11&lt;=Inputs!$F$55,Inputs!$F$243,IF(Time!CU11&lt;=Inputs!$F$56,Inputs!$F$244,Inputs!$F$245))</f>
        <v>0.9</v>
      </c>
      <c r="CV6" s="18" t="n">
        <f aca="false">IF(Time!CV11&lt;=Inputs!$F$55,Inputs!$F$243,IF(Time!CV11&lt;=Inputs!$F$56,Inputs!$F$244,Inputs!$F$245))</f>
        <v>0.9</v>
      </c>
      <c r="CW6" s="18" t="n">
        <f aca="false">IF(Time!CW11&lt;=Inputs!$F$55,Inputs!$F$243,IF(Time!CW11&lt;=Inputs!$F$56,Inputs!$F$244,Inputs!$F$245))</f>
        <v>0.9</v>
      </c>
      <c r="CX6" s="18" t="n">
        <f aca="false">IF(Time!CX11&lt;=Inputs!$F$55,Inputs!$F$243,IF(Time!CX11&lt;=Inputs!$F$56,Inputs!$F$244,Inputs!$F$245))</f>
        <v>0.9</v>
      </c>
      <c r="CY6" s="18" t="n">
        <f aca="false">IF(Time!CY11&lt;=Inputs!$F$55,Inputs!$F$243,IF(Time!CY11&lt;=Inputs!$F$56,Inputs!$F$244,Inputs!$F$245))</f>
        <v>0.9</v>
      </c>
      <c r="CZ6" s="18" t="n">
        <f aca="false">IF(Time!CZ11&lt;=Inputs!$F$55,Inputs!$F$243,IF(Time!CZ11&lt;=Inputs!$F$56,Inputs!$F$244,Inputs!$F$245))</f>
        <v>0.9</v>
      </c>
      <c r="DA6" s="18" t="n">
        <f aca="false">IF(Time!DA11&lt;=Inputs!$F$55,Inputs!$F$243,IF(Time!DA11&lt;=Inputs!$F$56,Inputs!$F$244,Inputs!$F$245))</f>
        <v>0.9</v>
      </c>
      <c r="DB6" s="18" t="n">
        <f aca="false">IF(Time!DB11&lt;=Inputs!$F$55,Inputs!$F$243,IF(Time!DB11&lt;=Inputs!$F$56,Inputs!$F$244,Inputs!$F$245))</f>
        <v>0.9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34.6921098511601</v>
      </c>
      <c r="K7" s="16" t="n">
        <f aca="false">IF(Time!K11&lt;=Inputs!$F$242,Inputs!$F$241/(1+Inputs!$F$243/100)^(Inputs!$F$242-Time!K11),J7*IF(Time!K11&gt;Time!J11,1+K6/100,1))</f>
        <v>34.6921098511601</v>
      </c>
      <c r="L7" s="16" t="n">
        <f aca="false">IF(Time!L11&lt;=Inputs!$F$242,Inputs!$F$241/(1+Inputs!$F$243/100)^(Inputs!$F$242-Time!L11),K7*IF(Time!L11&gt;Time!K11,1+L6/100,1))</f>
        <v>34.6921098511601</v>
      </c>
      <c r="M7" s="16" t="n">
        <f aca="false">IF(Time!M11&lt;=Inputs!$F$242,Inputs!$F$241/(1+Inputs!$F$243/100)^(Inputs!$F$242-Time!M11),L7*IF(Time!M11&gt;Time!L11,1+M6/100,1))</f>
        <v>35.5941047072903</v>
      </c>
      <c r="N7" s="16" t="n">
        <f aca="false">IF(Time!N11&lt;=Inputs!$F$242,Inputs!$F$241/(1+Inputs!$F$243/100)^(Inputs!$F$242-Time!N11),M7*IF(Time!N11&gt;Time!M11,1+N6/100,1))</f>
        <v>35.5941047072903</v>
      </c>
      <c r="O7" s="16" t="n">
        <f aca="false">IF(Time!O11&lt;=Inputs!$F$242,Inputs!$F$241/(1+Inputs!$F$243/100)^(Inputs!$F$242-Time!O11),N7*IF(Time!O11&gt;Time!N11,1+O6/100,1))</f>
        <v>35.5941047072903</v>
      </c>
      <c r="P7" s="16" t="n">
        <f aca="false">IF(Time!P11&lt;=Inputs!$F$242,Inputs!$F$241/(1+Inputs!$F$243/100)^(Inputs!$F$242-Time!P11),O7*IF(Time!P11&gt;Time!O11,1+P6/100,1))</f>
        <v>35.5941047072903</v>
      </c>
      <c r="Q7" s="16" t="n">
        <f aca="false">IF(Time!Q11&lt;=Inputs!$F$242,Inputs!$F$241/(1+Inputs!$F$243/100)^(Inputs!$F$242-Time!Q11),P7*IF(Time!Q11&gt;Time!P11,1+Q6/100,1))</f>
        <v>36.5195514296798</v>
      </c>
      <c r="R7" s="16" t="n">
        <f aca="false">IF(Time!R11&lt;=Inputs!$F$242,Inputs!$F$241/(1+Inputs!$F$243/100)^(Inputs!$F$242-Time!R11),Q7*IF(Time!R11&gt;Time!Q11,1+R6/100,1))</f>
        <v>36.5195514296798</v>
      </c>
      <c r="S7" s="16" t="n">
        <f aca="false">IF(Time!S11&lt;=Inputs!$F$242,Inputs!$F$241/(1+Inputs!$F$243/100)^(Inputs!$F$242-Time!S11),R7*IF(Time!S11&gt;Time!R11,1+S6/100,1))</f>
        <v>36.5195514296798</v>
      </c>
      <c r="T7" s="16" t="n">
        <f aca="false">IF(Time!T11&lt;=Inputs!$F$242,Inputs!$F$241/(1+Inputs!$F$243/100)^(Inputs!$F$242-Time!T11),S7*IF(Time!T11&gt;Time!S11,1+T6/100,1))</f>
        <v>36.5195514296798</v>
      </c>
      <c r="U7" s="16" t="n">
        <f aca="false">IF(Time!U11&lt;=Inputs!$F$242,Inputs!$F$241/(1+Inputs!$F$243/100)^(Inputs!$F$242-Time!U11),T7*IF(Time!U11&gt;Time!T11,1+U6/100,1))</f>
        <v>37.4690597668515</v>
      </c>
      <c r="V7" s="16" t="n">
        <f aca="false">IF(Time!V11&lt;=Inputs!$F$242,Inputs!$F$241/(1+Inputs!$F$243/100)^(Inputs!$F$242-Time!V11),U7*IF(Time!V11&gt;Time!U11,1+V6/100,1))</f>
        <v>37.4690597668515</v>
      </c>
      <c r="W7" s="16" t="n">
        <f aca="false">IF(Time!W11&lt;=Inputs!$F$242,Inputs!$F$241/(1+Inputs!$F$243/100)^(Inputs!$F$242-Time!W11),V7*IF(Time!W11&gt;Time!V11,1+W6/100,1))</f>
        <v>37.4690597668515</v>
      </c>
      <c r="X7" s="16" t="n">
        <f aca="false">IF(Time!X11&lt;=Inputs!$F$242,Inputs!$F$241/(1+Inputs!$F$243/100)^(Inputs!$F$242-Time!X11),W7*IF(Time!X11&gt;Time!W11,1+X6/100,1))</f>
        <v>37.4690597668515</v>
      </c>
      <c r="Y7" s="16" t="n">
        <f aca="false">IF(Time!Y11&lt;=Inputs!$F$242,Inputs!$F$241/(1+Inputs!$F$243/100)^(Inputs!$F$242-Time!Y11),X7*IF(Time!Y11&gt;Time!X11,1+Y6/100,1))</f>
        <v>38.4432553207896</v>
      </c>
      <c r="Z7" s="16" t="n">
        <f aca="false">IF(Time!Z11&lt;=Inputs!$F$242,Inputs!$F$241/(1+Inputs!$F$243/100)^(Inputs!$F$242-Time!Z11),Y7*IF(Time!Z11&gt;Time!Y11,1+Z6/100,1))</f>
        <v>38.4432553207896</v>
      </c>
      <c r="AA7" s="16" t="n">
        <f aca="false">IF(Time!AA11&lt;=Inputs!$F$242,Inputs!$F$241/(1+Inputs!$F$243/100)^(Inputs!$F$242-Time!AA11),Z7*IF(Time!AA11&gt;Time!Z11,1+AA6/100,1))</f>
        <v>38.4432553207896</v>
      </c>
      <c r="AB7" s="16" t="n">
        <f aca="false">IF(Time!AB11&lt;=Inputs!$F$242,Inputs!$F$241/(1+Inputs!$F$243/100)^(Inputs!$F$242-Time!AB11),AA7*IF(Time!AB11&gt;Time!AA11,1+AB6/100,1))</f>
        <v>39.4427799591302</v>
      </c>
      <c r="AC7" s="16" t="n">
        <f aca="false">IF(Time!AC11&lt;=Inputs!$F$242,Inputs!$F$241/(1+Inputs!$F$243/100)^(Inputs!$F$242-Time!AC11),AB7*IF(Time!AC11&gt;Time!AB11,1+AC6/100,1))</f>
        <v>39.4427799591302</v>
      </c>
      <c r="AD7" s="16" t="n">
        <f aca="false">IF(Time!AD11&lt;=Inputs!$F$242,Inputs!$F$241/(1+Inputs!$F$243/100)^(Inputs!$F$242-Time!AD11),AC7*IF(Time!AD11&gt;Time!AC11,1+AD6/100,1))</f>
        <v>40.4682922380676</v>
      </c>
      <c r="AE7" s="16" t="n">
        <f aca="false">IF(Time!AE11&lt;=Inputs!$F$242,Inputs!$F$241/(1+Inputs!$F$243/100)^(Inputs!$F$242-Time!AE11),AD7*IF(Time!AE11&gt;Time!AD11,1+AE6/100,1))</f>
        <v>40.4682922380676</v>
      </c>
      <c r="AF7" s="16" t="n">
        <f aca="false">IF(Time!AF11&lt;=Inputs!$F$242,Inputs!$F$241/(1+Inputs!$F$243/100)^(Inputs!$F$242-Time!AF11),AE7*IF(Time!AF11&gt;Time!AE11,1+AF6/100,1))</f>
        <v>41.5204678362573</v>
      </c>
      <c r="AG7" s="16" t="n">
        <f aca="false">IF(Time!AG11&lt;=Inputs!$F$242,Inputs!$F$241/(1+Inputs!$F$243/100)^(Inputs!$F$242-Time!AG11),AF7*IF(Time!AG11&gt;Time!AF11,1+AG6/100,1))</f>
        <v>41.5204678362573</v>
      </c>
      <c r="AH7" s="16" t="n">
        <f aca="false">IF(Time!AH11&lt;=Inputs!$F$242,Inputs!$F$241/(1+Inputs!$F$243/100)^(Inputs!$F$242-Time!AH11),AG7*IF(Time!AH11&gt;Time!AG11,1+AH6/100,1))</f>
        <v>42.6</v>
      </c>
      <c r="AI7" s="16" t="n">
        <f aca="false">IF(Time!AI11&lt;=Inputs!$F$242,Inputs!$F$241/(1+Inputs!$F$243/100)^(Inputs!$F$242-Time!AI11),AH7*IF(Time!AI11&gt;Time!AH11,1+AI6/100,1))</f>
        <v>42.6</v>
      </c>
      <c r="AJ7" s="16" t="n">
        <f aca="false">IF(Time!AJ11&lt;=Inputs!$F$242,Inputs!$F$241/(1+Inputs!$F$243/100)^(Inputs!$F$242-Time!AJ11),AI7*IF(Time!AJ11&gt;Time!AI11,1+AJ6/100,1))</f>
        <v>43.7076</v>
      </c>
      <c r="AK7" s="16" t="n">
        <f aca="false">IF(Time!AK11&lt;=Inputs!$F$242,Inputs!$F$241/(1+Inputs!$F$243/100)^(Inputs!$F$242-Time!AK11),AJ7*IF(Time!AK11&gt;Time!AJ11,1+AK6/100,1))</f>
        <v>43.7076</v>
      </c>
      <c r="AL7" s="16" t="n">
        <f aca="false">IF(Time!AL11&lt;=Inputs!$F$242,Inputs!$F$241/(1+Inputs!$F$243/100)^(Inputs!$F$242-Time!AL11),AK7*IF(Time!AL11&gt;Time!AK11,1+AL6/100,1))</f>
        <v>44.8439976</v>
      </c>
      <c r="AM7" s="16" t="n">
        <f aca="false">IF(Time!AM11&lt;=Inputs!$F$242,Inputs!$F$241/(1+Inputs!$F$243/100)^(Inputs!$F$242-Time!AM11),AL7*IF(Time!AM11&gt;Time!AL11,1+AM6/100,1))</f>
        <v>44.8439976</v>
      </c>
      <c r="AN7" s="16" t="n">
        <f aca="false">IF(Time!AN11&lt;=Inputs!$F$242,Inputs!$F$241/(1+Inputs!$F$243/100)^(Inputs!$F$242-Time!AN11),AM7*IF(Time!AN11&gt;Time!AM11,1+AN6/100,1))</f>
        <v>46.0099415376</v>
      </c>
      <c r="AO7" s="16" t="n">
        <f aca="false">IF(Time!AO11&lt;=Inputs!$F$242,Inputs!$F$241/(1+Inputs!$F$243/100)^(Inputs!$F$242-Time!AO11),AN7*IF(Time!AO11&gt;Time!AN11,1+AO6/100,1))</f>
        <v>46.0099415376</v>
      </c>
      <c r="AP7" s="16" t="n">
        <f aca="false">IF(Time!AP11&lt;=Inputs!$F$242,Inputs!$F$241/(1+Inputs!$F$243/100)^(Inputs!$F$242-Time!AP11),AO7*IF(Time!AP11&gt;Time!AO11,1+AP6/100,1))</f>
        <v>47.2062000175776</v>
      </c>
      <c r="AQ7" s="16" t="n">
        <f aca="false">IF(Time!AQ11&lt;=Inputs!$F$242,Inputs!$F$241/(1+Inputs!$F$243/100)^(Inputs!$F$242-Time!AQ11),AP7*IF(Time!AQ11&gt;Time!AP11,1+AQ6/100,1))</f>
        <v>47.2062000175776</v>
      </c>
      <c r="AR7" s="16" t="n">
        <f aca="false">IF(Time!AR11&lt;=Inputs!$F$242,Inputs!$F$241/(1+Inputs!$F$243/100)^(Inputs!$F$242-Time!AR11),AQ7*IF(Time!AR11&gt;Time!AQ11,1+AR6/100,1))</f>
        <v>48.4335612180346</v>
      </c>
      <c r="AS7" s="16" t="n">
        <f aca="false">IF(Time!AS11&lt;=Inputs!$F$242,Inputs!$F$241/(1+Inputs!$F$243/100)^(Inputs!$F$242-Time!AS11),AR7*IF(Time!AS11&gt;Time!AR11,1+AS6/100,1))</f>
        <v>48.4335612180346</v>
      </c>
      <c r="AT7" s="16" t="n">
        <f aca="false">IF(Time!AT11&lt;=Inputs!$F$242,Inputs!$F$241/(1+Inputs!$F$243/100)^(Inputs!$F$242-Time!AT11),AS7*IF(Time!AT11&gt;Time!AS11,1+AT6/100,1))</f>
        <v>49.6928338097035</v>
      </c>
      <c r="AU7" s="16" t="n">
        <f aca="false">IF(Time!AU11&lt;=Inputs!$F$242,Inputs!$F$241/(1+Inputs!$F$243/100)^(Inputs!$F$242-Time!AU11),AT7*IF(Time!AU11&gt;Time!AT11,1+AU6/100,1))</f>
        <v>49.6928338097035</v>
      </c>
      <c r="AV7" s="16" t="n">
        <f aca="false">IF(Time!AV11&lt;=Inputs!$F$242,Inputs!$F$241/(1+Inputs!$F$243/100)^(Inputs!$F$242-Time!AV11),AU7*IF(Time!AV11&gt;Time!AU11,1+AV6/100,1))</f>
        <v>50.9848474887558</v>
      </c>
      <c r="AW7" s="16" t="n">
        <f aca="false">IF(Time!AW11&lt;=Inputs!$F$242,Inputs!$F$241/(1+Inputs!$F$243/100)^(Inputs!$F$242-Time!AW11),AV7*IF(Time!AW11&gt;Time!AV11,1+AW6/100,1))</f>
        <v>50.9848474887558</v>
      </c>
      <c r="AX7" s="16" t="n">
        <f aca="false">IF(Time!AX11&lt;=Inputs!$F$242,Inputs!$F$241/(1+Inputs!$F$243/100)^(Inputs!$F$242-Time!AX11),AW7*IF(Time!AX11&gt;Time!AW11,1+AX6/100,1))</f>
        <v>51.9025747435534</v>
      </c>
      <c r="AY7" s="16" t="n">
        <f aca="false">IF(Time!AY11&lt;=Inputs!$F$242,Inputs!$F$241/(1+Inputs!$F$243/100)^(Inputs!$F$242-Time!AY11),AX7*IF(Time!AY11&gt;Time!AX11,1+AY6/100,1))</f>
        <v>51.9025747435534</v>
      </c>
      <c r="AZ7" s="16" t="n">
        <f aca="false">IF(Time!AZ11&lt;=Inputs!$F$242,Inputs!$F$241/(1+Inputs!$F$243/100)^(Inputs!$F$242-Time!AZ11),AY7*IF(Time!AZ11&gt;Time!AY11,1+AZ6/100,1))</f>
        <v>52.8368210889374</v>
      </c>
      <c r="BA7" s="16" t="n">
        <f aca="false">IF(Time!BA11&lt;=Inputs!$F$242,Inputs!$F$241/(1+Inputs!$F$243/100)^(Inputs!$F$242-Time!BA11),AZ7*IF(Time!BA11&gt;Time!AZ11,1+BA6/100,1))</f>
        <v>52.8368210889374</v>
      </c>
      <c r="BB7" s="16" t="n">
        <f aca="false">IF(Time!BB11&lt;=Inputs!$F$242,Inputs!$F$241/(1+Inputs!$F$243/100)^(Inputs!$F$242-Time!BB11),BA7*IF(Time!BB11&gt;Time!BA11,1+BB6/100,1))</f>
        <v>53.7878838685383</v>
      </c>
      <c r="BC7" s="16" t="n">
        <f aca="false">IF(Time!BC11&lt;=Inputs!$F$242,Inputs!$F$241/(1+Inputs!$F$243/100)^(Inputs!$F$242-Time!BC11),BB7*IF(Time!BC11&gt;Time!BB11,1+BC6/100,1))</f>
        <v>53.7878838685383</v>
      </c>
      <c r="BD7" s="16" t="n">
        <f aca="false">IF(Time!BD11&lt;=Inputs!$F$242,Inputs!$F$241/(1+Inputs!$F$243/100)^(Inputs!$F$242-Time!BD11),BC7*IF(Time!BD11&gt;Time!BC11,1+BD6/100,1))</f>
        <v>54.756065778172</v>
      </c>
      <c r="BE7" s="16" t="n">
        <f aca="false">IF(Time!BE11&lt;=Inputs!$F$242,Inputs!$F$241/(1+Inputs!$F$243/100)^(Inputs!$F$242-Time!BE11),BD7*IF(Time!BE11&gt;Time!BD11,1+BE6/100,1))</f>
        <v>54.756065778172</v>
      </c>
      <c r="BF7" s="16" t="n">
        <f aca="false">IF(Time!BF11&lt;=Inputs!$F$242,Inputs!$F$241/(1+Inputs!$F$243/100)^(Inputs!$F$242-Time!BF11),BE7*IF(Time!BF11&gt;Time!BE11,1+BF6/100,1))</f>
        <v>55.7416749621791</v>
      </c>
      <c r="BG7" s="16" t="n">
        <f aca="false">IF(Time!BG11&lt;=Inputs!$F$242,Inputs!$F$241/(1+Inputs!$F$243/100)^(Inputs!$F$242-Time!BG11),BF7*IF(Time!BG11&gt;Time!BF11,1+BG6/100,1))</f>
        <v>55.7416749621791</v>
      </c>
      <c r="BH7" s="16" t="n">
        <f aca="false">IF(Time!BH11&lt;=Inputs!$F$242,Inputs!$F$241/(1+Inputs!$F$243/100)^(Inputs!$F$242-Time!BH11),BG7*IF(Time!BH11&gt;Time!BG11,1+BH6/100,1))</f>
        <v>56.7450251114983</v>
      </c>
      <c r="BI7" s="16" t="n">
        <f aca="false">IF(Time!BI11&lt;=Inputs!$F$242,Inputs!$F$241/(1+Inputs!$F$243/100)^(Inputs!$F$242-Time!BI11),BH7*IF(Time!BI11&gt;Time!BH11,1+BI6/100,1))</f>
        <v>56.7450251114983</v>
      </c>
      <c r="BJ7" s="16" t="n">
        <f aca="false">IF(Time!BJ11&lt;=Inputs!$F$242,Inputs!$F$241/(1+Inputs!$F$243/100)^(Inputs!$F$242-Time!BJ11),BI7*IF(Time!BJ11&gt;Time!BI11,1+BJ6/100,1))</f>
        <v>57.7664355635052</v>
      </c>
      <c r="BK7" s="16" t="n">
        <f aca="false">IF(Time!BK11&lt;=Inputs!$F$242,Inputs!$F$241/(1+Inputs!$F$243/100)^(Inputs!$F$242-Time!BK11),BJ7*IF(Time!BK11&gt;Time!BJ11,1+BK6/100,1))</f>
        <v>57.7664355635052</v>
      </c>
      <c r="BL7" s="16" t="n">
        <f aca="false">IF(Time!BL11&lt;=Inputs!$F$242,Inputs!$F$241/(1+Inputs!$F$243/100)^(Inputs!$F$242-Time!BL11),BK7*IF(Time!BL11&gt;Time!BK11,1+BL6/100,1))</f>
        <v>58.8062314036483</v>
      </c>
      <c r="BM7" s="16" t="n">
        <f aca="false">IF(Time!BM11&lt;=Inputs!$F$242,Inputs!$F$241/(1+Inputs!$F$243/100)^(Inputs!$F$242-Time!BM11),BL7*IF(Time!BM11&gt;Time!BL11,1+BM6/100,1))</f>
        <v>58.8062314036483</v>
      </c>
      <c r="BN7" s="16" t="n">
        <f aca="false">IF(Time!BN11&lt;=Inputs!$F$242,Inputs!$F$241/(1+Inputs!$F$243/100)^(Inputs!$F$242-Time!BN11),BM7*IF(Time!BN11&gt;Time!BM11,1+BN6/100,1))</f>
        <v>59.864743568914</v>
      </c>
      <c r="BO7" s="16" t="n">
        <f aca="false">IF(Time!BO11&lt;=Inputs!$F$242,Inputs!$F$241/(1+Inputs!$F$243/100)^(Inputs!$F$242-Time!BO11),BN7*IF(Time!BO11&gt;Time!BN11,1+BO6/100,1))</f>
        <v>59.864743568914</v>
      </c>
      <c r="BP7" s="16" t="n">
        <f aca="false">IF(Time!BP11&lt;=Inputs!$F$242,Inputs!$F$241/(1+Inputs!$F$243/100)^(Inputs!$F$242-Time!BP11),BO7*IF(Time!BP11&gt;Time!BO11,1+BP6/100,1))</f>
        <v>60.9423089531545</v>
      </c>
      <c r="BQ7" s="16" t="n">
        <f aca="false">IF(Time!BQ11&lt;=Inputs!$F$242,Inputs!$F$241/(1+Inputs!$F$243/100)^(Inputs!$F$242-Time!BQ11),BP7*IF(Time!BQ11&gt;Time!BP11,1+BQ6/100,1))</f>
        <v>60.9423089531545</v>
      </c>
      <c r="BR7" s="16" t="n">
        <f aca="false">IF(Time!BR11&lt;=Inputs!$F$242,Inputs!$F$241/(1+Inputs!$F$243/100)^(Inputs!$F$242-Time!BR11),BQ7*IF(Time!BR11&gt;Time!BQ11,1+BR6/100,1))</f>
        <v>61.4907897337328</v>
      </c>
      <c r="BS7" s="16" t="n">
        <f aca="false">IF(Time!BS11&lt;=Inputs!$F$242,Inputs!$F$241/(1+Inputs!$F$243/100)^(Inputs!$F$242-Time!BS11),BR7*IF(Time!BS11&gt;Time!BR11,1+BS6/100,1))</f>
        <v>61.4907897337328</v>
      </c>
      <c r="BT7" s="16" t="n">
        <f aca="false">IF(Time!BT11&lt;=Inputs!$F$242,Inputs!$F$241/(1+Inputs!$F$243/100)^(Inputs!$F$242-Time!BT11),BS7*IF(Time!BT11&gt;Time!BS11,1+BT6/100,1))</f>
        <v>62.0442068413364</v>
      </c>
      <c r="BU7" s="16" t="n">
        <f aca="false">IF(Time!BU11&lt;=Inputs!$F$242,Inputs!$F$241/(1+Inputs!$F$243/100)^(Inputs!$F$242-Time!BU11),BT7*IF(Time!BU11&gt;Time!BT11,1+BU6/100,1))</f>
        <v>62.0442068413364</v>
      </c>
      <c r="BV7" s="16" t="n">
        <f aca="false">IF(Time!BV11&lt;=Inputs!$F$242,Inputs!$F$241/(1+Inputs!$F$243/100)^(Inputs!$F$242-Time!BV11),BU7*IF(Time!BV11&gt;Time!BU11,1+BV6/100,1))</f>
        <v>62.6026047029084</v>
      </c>
      <c r="BW7" s="16" t="n">
        <f aca="false">IF(Time!BW11&lt;=Inputs!$F$242,Inputs!$F$241/(1+Inputs!$F$243/100)^(Inputs!$F$242-Time!BW11),BV7*IF(Time!BW11&gt;Time!BV11,1+BW6/100,1))</f>
        <v>62.6026047029084</v>
      </c>
      <c r="BX7" s="16" t="n">
        <f aca="false">IF(Time!BX11&lt;=Inputs!$F$242,Inputs!$F$241/(1+Inputs!$F$243/100)^(Inputs!$F$242-Time!BX11),BW7*IF(Time!BX11&gt;Time!BW11,1+BX6/100,1))</f>
        <v>63.1660281452346</v>
      </c>
      <c r="BY7" s="16" t="n">
        <f aca="false">IF(Time!BY11&lt;=Inputs!$F$242,Inputs!$F$241/(1+Inputs!$F$243/100)^(Inputs!$F$242-Time!BY11),BX7*IF(Time!BY11&gt;Time!BX11,1+BY6/100,1))</f>
        <v>63.1660281452346</v>
      </c>
      <c r="BZ7" s="16" t="n">
        <f aca="false">IF(Time!BZ11&lt;=Inputs!$F$242,Inputs!$F$241/(1+Inputs!$F$243/100)^(Inputs!$F$242-Time!BZ11),BY7*IF(Time!BZ11&gt;Time!BY11,1+BZ6/100,1))</f>
        <v>63.7345223985417</v>
      </c>
      <c r="CA7" s="16" t="n">
        <f aca="false">IF(Time!CA11&lt;=Inputs!$F$242,Inputs!$F$241/(1+Inputs!$F$243/100)^(Inputs!$F$242-Time!CA11),BZ7*IF(Time!CA11&gt;Time!BZ11,1+CA6/100,1))</f>
        <v>63.7345223985417</v>
      </c>
      <c r="CB7" s="16" t="n">
        <f aca="false">IF(Time!CB11&lt;=Inputs!$F$242,Inputs!$F$241/(1+Inputs!$F$243/100)^(Inputs!$F$242-Time!CB11),CA7*IF(Time!CB11&gt;Time!CA11,1+CB6/100,1))</f>
        <v>64.3081331001286</v>
      </c>
      <c r="CC7" s="16" t="n">
        <f aca="false">IF(Time!CC11&lt;=Inputs!$F$242,Inputs!$F$241/(1+Inputs!$F$243/100)^(Inputs!$F$242-Time!CC11),CB7*IF(Time!CC11&gt;Time!CB11,1+CC6/100,1))</f>
        <v>64.3081331001286</v>
      </c>
      <c r="CD7" s="16" t="n">
        <f aca="false">IF(Time!CD11&lt;=Inputs!$F$242,Inputs!$F$241/(1+Inputs!$F$243/100)^(Inputs!$F$242-Time!CD11),CC7*IF(Time!CD11&gt;Time!CC11,1+CD6/100,1))</f>
        <v>64.8869062980297</v>
      </c>
      <c r="CE7" s="16" t="n">
        <f aca="false">IF(Time!CE11&lt;=Inputs!$F$242,Inputs!$F$241/(1+Inputs!$F$243/100)^(Inputs!$F$242-Time!CE11),CD7*IF(Time!CE11&gt;Time!CD11,1+CE6/100,1))</f>
        <v>64.8869062980297</v>
      </c>
      <c r="CF7" s="16" t="n">
        <f aca="false">IF(Time!CF11&lt;=Inputs!$F$242,Inputs!$F$241/(1+Inputs!$F$243/100)^(Inputs!$F$242-Time!CF11),CE7*IF(Time!CF11&gt;Time!CE11,1+CF6/100,1))</f>
        <v>65.470888454712</v>
      </c>
      <c r="CG7" s="16" t="n">
        <f aca="false">IF(Time!CG11&lt;=Inputs!$F$242,Inputs!$F$241/(1+Inputs!$F$243/100)^(Inputs!$F$242-Time!CG11),CF7*IF(Time!CG11&gt;Time!CF11,1+CG6/100,1))</f>
        <v>65.470888454712</v>
      </c>
      <c r="CH7" s="16" t="n">
        <f aca="false">IF(Time!CH11&lt;=Inputs!$F$242,Inputs!$F$241/(1+Inputs!$F$243/100)^(Inputs!$F$242-Time!CH11),CG7*IF(Time!CH11&gt;Time!CG11,1+CH6/100,1))</f>
        <v>66.0601264508044</v>
      </c>
      <c r="CI7" s="16" t="n">
        <f aca="false">IF(Time!CI11&lt;=Inputs!$F$242,Inputs!$F$241/(1+Inputs!$F$243/100)^(Inputs!$F$242-Time!CI11),CH7*IF(Time!CI11&gt;Time!CH11,1+CI6/100,1))</f>
        <v>66.0601264508044</v>
      </c>
      <c r="CJ7" s="16" t="n">
        <f aca="false">IF(Time!CJ11&lt;=Inputs!$F$242,Inputs!$F$241/(1+Inputs!$F$243/100)^(Inputs!$F$242-Time!CJ11),CI7*IF(Time!CJ11&gt;Time!CI11,1+CJ6/100,1))</f>
        <v>66.6546675888617</v>
      </c>
      <c r="CK7" s="16" t="n">
        <f aca="false">IF(Time!CK11&lt;=Inputs!$F$242,Inputs!$F$241/(1+Inputs!$F$243/100)^(Inputs!$F$242-Time!CK11),CJ7*IF(Time!CK11&gt;Time!CJ11,1+CK6/100,1))</f>
        <v>66.6546675888617</v>
      </c>
      <c r="CL7" s="16" t="n">
        <f aca="false">IF(Time!CL11&lt;=Inputs!$F$242,Inputs!$F$241/(1+Inputs!$F$243/100)^(Inputs!$F$242-Time!CL11),CK7*IF(Time!CL11&gt;Time!CK11,1+CL6/100,1))</f>
        <v>67.2545595971614</v>
      </c>
      <c r="CM7" s="16" t="n">
        <f aca="false">IF(Time!CM11&lt;=Inputs!$F$242,Inputs!$F$241/(1+Inputs!$F$243/100)^(Inputs!$F$242-Time!CM11),CL7*IF(Time!CM11&gt;Time!CL11,1+CM6/100,1))</f>
        <v>67.2545595971614</v>
      </c>
      <c r="CN7" s="16" t="n">
        <f aca="false">IF(Time!CN11&lt;=Inputs!$F$242,Inputs!$F$241/(1+Inputs!$F$243/100)^(Inputs!$F$242-Time!CN11),CM7*IF(Time!CN11&gt;Time!CM11,1+CN6/100,1))</f>
        <v>67.8598506335358</v>
      </c>
      <c r="CO7" s="16" t="n">
        <f aca="false">IF(Time!CO11&lt;=Inputs!$F$242,Inputs!$F$241/(1+Inputs!$F$243/100)^(Inputs!$F$242-Time!CO11),CN7*IF(Time!CO11&gt;Time!CN11,1+CO6/100,1))</f>
        <v>67.8598506335358</v>
      </c>
      <c r="CP7" s="16" t="n">
        <f aca="false">IF(Time!CP11&lt;=Inputs!$F$242,Inputs!$F$241/(1+Inputs!$F$243/100)^(Inputs!$F$242-Time!CP11),CO7*IF(Time!CP11&gt;Time!CO11,1+CP6/100,1))</f>
        <v>68.4705892892377</v>
      </c>
      <c r="CQ7" s="16" t="n">
        <f aca="false">IF(Time!CQ11&lt;=Inputs!$F$242,Inputs!$F$241/(1+Inputs!$F$243/100)^(Inputs!$F$242-Time!CQ11),CP7*IF(Time!CQ11&gt;Time!CP11,1+CQ6/100,1))</f>
        <v>68.4705892892377</v>
      </c>
      <c r="CR7" s="16" t="n">
        <f aca="false">IF(Time!CR11&lt;=Inputs!$F$242,Inputs!$F$241/(1+Inputs!$F$243/100)^(Inputs!$F$242-Time!CR11),CQ7*IF(Time!CR11&gt;Time!CQ11,1+CR6/100,1))</f>
        <v>69.0868245928408</v>
      </c>
      <c r="CS7" s="16" t="n">
        <f aca="false">IF(Time!CS11&lt;=Inputs!$F$242,Inputs!$F$241/(1+Inputs!$F$243/100)^(Inputs!$F$242-Time!CS11),CR7*IF(Time!CS11&gt;Time!CR11,1+CS6/100,1))</f>
        <v>69.0868245928408</v>
      </c>
      <c r="CT7" s="16" t="n">
        <f aca="false">IF(Time!CT11&lt;=Inputs!$F$242,Inputs!$F$241/(1+Inputs!$F$243/100)^(Inputs!$F$242-Time!CT11),CS7*IF(Time!CT11&gt;Time!CS11,1+CT6/100,1))</f>
        <v>69.7086060141763</v>
      </c>
      <c r="CU7" s="16" t="n">
        <f aca="false">IF(Time!CU11&lt;=Inputs!$F$242,Inputs!$F$241/(1+Inputs!$F$243/100)^(Inputs!$F$242-Time!CU11),CT7*IF(Time!CU11&gt;Time!CT11,1+CU6/100,1))</f>
        <v>69.7086060141763</v>
      </c>
      <c r="CV7" s="16" t="n">
        <f aca="false">IF(Time!CV11&lt;=Inputs!$F$242,Inputs!$F$241/(1+Inputs!$F$243/100)^(Inputs!$F$242-Time!CV11),CU7*IF(Time!CV11&gt;Time!CU11,1+CV6/100,1))</f>
        <v>70.3359834683039</v>
      </c>
      <c r="CW7" s="16" t="n">
        <f aca="false">IF(Time!CW11&lt;=Inputs!$F$242,Inputs!$F$241/(1+Inputs!$F$243/100)^(Inputs!$F$242-Time!CW11),CV7*IF(Time!CW11&gt;Time!CV11,1+CW6/100,1))</f>
        <v>70.3359834683039</v>
      </c>
      <c r="CX7" s="16" t="n">
        <f aca="false">IF(Time!CX11&lt;=Inputs!$F$242,Inputs!$F$241/(1+Inputs!$F$243/100)^(Inputs!$F$242-Time!CX11),CW7*IF(Time!CX11&gt;Time!CW11,1+CX6/100,1))</f>
        <v>70.9690073195187</v>
      </c>
      <c r="CY7" s="16" t="n">
        <f aca="false">IF(Time!CY11&lt;=Inputs!$F$242,Inputs!$F$241/(1+Inputs!$F$243/100)^(Inputs!$F$242-Time!CY11),CX7*IF(Time!CY11&gt;Time!CX11,1+CY6/100,1))</f>
        <v>70.9690073195187</v>
      </c>
      <c r="CZ7" s="16" t="n">
        <f aca="false">IF(Time!CZ11&lt;=Inputs!$F$242,Inputs!$F$241/(1+Inputs!$F$243/100)^(Inputs!$F$242-Time!CZ11),CY7*IF(Time!CZ11&gt;Time!CY11,1+CZ6/100,1))</f>
        <v>71.6077283853943</v>
      </c>
      <c r="DA7" s="16" t="n">
        <f aca="false">IF(Time!DA11&lt;=Inputs!$F$242,Inputs!$F$241/(1+Inputs!$F$243/100)^(Inputs!$F$242-Time!DA11),CZ7*IF(Time!DA11&gt;Time!CZ11,1+DA6/100,1))</f>
        <v>71.6077283853943</v>
      </c>
      <c r="DB7" s="16" t="n">
        <f aca="false">IF(Time!DB11&lt;=Inputs!$F$242,Inputs!$F$241/(1+Inputs!$F$243/100)^(Inputs!$F$242-Time!DB11),DA7*IF(Time!DB11&gt;Time!DA11,1+DB6/100,1))</f>
        <v>72.2521979408629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1</v>
      </c>
      <c r="K9" s="16" t="n">
        <f aca="false">CHOOSE(K8-Inputs!$F$57+1,Inputs!$F$248,Inputs!$F$249,Inputs!$F$250,Inputs!$F$251,Inputs!$F$252)</f>
        <v>1</v>
      </c>
      <c r="L9" s="16" t="n">
        <f aca="false">CHOOSE(L8-Inputs!$F$57+1,Inputs!$F$248,Inputs!$F$249,Inputs!$F$250,Inputs!$F$251,Inputs!$F$252)</f>
        <v>1</v>
      </c>
      <c r="M9" s="16" t="n">
        <f aca="false">CHOOSE(M8-Inputs!$F$57+1,Inputs!$F$248,Inputs!$F$249,Inputs!$F$250,Inputs!$F$251,Inputs!$F$252)</f>
        <v>1</v>
      </c>
      <c r="N9" s="16" t="n">
        <f aca="false">CHOOSE(N8-Inputs!$F$57+1,Inputs!$F$248,Inputs!$F$249,Inputs!$F$250,Inputs!$F$251,Inputs!$F$252)</f>
        <v>1</v>
      </c>
      <c r="O9" s="16" t="n">
        <f aca="false">CHOOSE(O8-Inputs!$F$57+1,Inputs!$F$248,Inputs!$F$249,Inputs!$F$250,Inputs!$F$251,Inputs!$F$252)</f>
        <v>1</v>
      </c>
      <c r="P9" s="16" t="n">
        <f aca="false">CHOOSE(P8-Inputs!$F$57+1,Inputs!$F$248,Inputs!$F$249,Inputs!$F$250,Inputs!$F$251,Inputs!$F$252)</f>
        <v>1</v>
      </c>
      <c r="Q9" s="16" t="n">
        <f aca="false">CHOOSE(Q8-Inputs!$F$57+1,Inputs!$F$248,Inputs!$F$249,Inputs!$F$250,Inputs!$F$251,Inputs!$F$252)</f>
        <v>1</v>
      </c>
      <c r="R9" s="16" t="n">
        <f aca="false">CHOOSE(R8-Inputs!$F$57+1,Inputs!$F$248,Inputs!$F$249,Inputs!$F$250,Inputs!$F$251,Inputs!$F$252)</f>
        <v>1</v>
      </c>
      <c r="S9" s="16" t="n">
        <f aca="false">CHOOSE(S8-Inputs!$F$57+1,Inputs!$F$248,Inputs!$F$249,Inputs!$F$250,Inputs!$F$251,Inputs!$F$252)</f>
        <v>1</v>
      </c>
      <c r="T9" s="16" t="n">
        <f aca="false">CHOOSE(T8-Inputs!$F$57+1,Inputs!$F$248,Inputs!$F$249,Inputs!$F$250,Inputs!$F$251,Inputs!$F$252)</f>
        <v>1</v>
      </c>
      <c r="U9" s="16" t="n">
        <f aca="false">CHOOSE(U8-Inputs!$F$57+1,Inputs!$F$248,Inputs!$F$249,Inputs!$F$250,Inputs!$F$251,Inputs!$F$252)</f>
        <v>1</v>
      </c>
      <c r="V9" s="16" t="n">
        <f aca="false">CHOOSE(V8-Inputs!$F$57+1,Inputs!$F$248,Inputs!$F$249,Inputs!$F$250,Inputs!$F$251,Inputs!$F$252)</f>
        <v>1</v>
      </c>
      <c r="W9" s="16" t="n">
        <f aca="false">CHOOSE(W8-Inputs!$F$57+1,Inputs!$F$248,Inputs!$F$249,Inputs!$F$250,Inputs!$F$251,Inputs!$F$252)</f>
        <v>1</v>
      </c>
      <c r="X9" s="16" t="n">
        <f aca="false">CHOOSE(X8-Inputs!$F$57+1,Inputs!$F$248,Inputs!$F$249,Inputs!$F$250,Inputs!$F$251,Inputs!$F$252)</f>
        <v>1</v>
      </c>
      <c r="Y9" s="16" t="n">
        <f aca="false">CHOOSE(Y8-Inputs!$F$57+1,Inputs!$F$248,Inputs!$F$249,Inputs!$F$250,Inputs!$F$251,Inputs!$F$252)</f>
        <v>1</v>
      </c>
      <c r="Z9" s="16" t="n">
        <f aca="false">CHOOSE(Z8-Inputs!$F$57+1,Inputs!$F$248,Inputs!$F$249,Inputs!$F$250,Inputs!$F$251,Inputs!$F$252)</f>
        <v>1</v>
      </c>
      <c r="AA9" s="16" t="n">
        <f aca="false">CHOOSE(AA8-Inputs!$F$57+1,Inputs!$F$248,Inputs!$F$249,Inputs!$F$250,Inputs!$F$251,Inputs!$F$252)</f>
        <v>1</v>
      </c>
      <c r="AB9" s="16" t="n">
        <f aca="false">CHOOSE(AB8-Inputs!$F$57+1,Inputs!$F$248,Inputs!$F$249,Inputs!$F$250,Inputs!$F$251,Inputs!$F$252)</f>
        <v>1</v>
      </c>
      <c r="AC9" s="16" t="n">
        <f aca="false">CHOOSE(AC8-Inputs!$F$57+1,Inputs!$F$248,Inputs!$F$249,Inputs!$F$250,Inputs!$F$251,Inputs!$F$252)</f>
        <v>1</v>
      </c>
      <c r="AD9" s="16" t="n">
        <f aca="false">CHOOSE(AD8-Inputs!$F$57+1,Inputs!$F$248,Inputs!$F$249,Inputs!$F$250,Inputs!$F$251,Inputs!$F$252)</f>
        <v>1</v>
      </c>
      <c r="AE9" s="16" t="n">
        <f aca="false">CHOOSE(AE8-Inputs!$F$57+1,Inputs!$F$248,Inputs!$F$249,Inputs!$F$250,Inputs!$F$251,Inputs!$F$252)</f>
        <v>1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1.024</v>
      </c>
      <c r="AK10" s="16" t="n">
        <f aca="false">IF(Time!AK11&gt;=Inputs!$F$59,1+Inputs!$F$246/100,1)</f>
        <v>1.024</v>
      </c>
      <c r="AL10" s="16" t="n">
        <f aca="false">IF(Time!AL11&gt;=Inputs!$F$59,1+Inputs!$F$246/100,1)</f>
        <v>1.024</v>
      </c>
      <c r="AM10" s="16" t="n">
        <f aca="false">IF(Time!AM11&gt;=Inputs!$F$59,1+Inputs!$F$246/100,1)</f>
        <v>1.024</v>
      </c>
      <c r="AN10" s="16" t="n">
        <f aca="false">IF(Time!AN11&gt;=Inputs!$F$59,1+Inputs!$F$246/100,1)</f>
        <v>1.024</v>
      </c>
      <c r="AO10" s="16" t="n">
        <f aca="false">IF(Time!AO11&gt;=Inputs!$F$59,1+Inputs!$F$246/100,1)</f>
        <v>1.024</v>
      </c>
      <c r="AP10" s="16" t="n">
        <f aca="false">IF(Time!AP11&gt;=Inputs!$F$59,1+Inputs!$F$246/100,1)</f>
        <v>1.024</v>
      </c>
      <c r="AQ10" s="16" t="n">
        <f aca="false">IF(Time!AQ11&gt;=Inputs!$F$59,1+Inputs!$F$246/100,1)</f>
        <v>1.024</v>
      </c>
      <c r="AR10" s="16" t="n">
        <f aca="false">IF(Time!AR11&gt;=Inputs!$F$59,1+Inputs!$F$246/100,1)</f>
        <v>1.024</v>
      </c>
      <c r="AS10" s="16" t="n">
        <f aca="false">IF(Time!AS11&gt;=Inputs!$F$59,1+Inputs!$F$246/100,1)</f>
        <v>1.024</v>
      </c>
      <c r="AT10" s="16" t="n">
        <f aca="false">IF(Time!AT11&gt;=Inputs!$F$59,1+Inputs!$F$246/100,1)</f>
        <v>1.024</v>
      </c>
      <c r="AU10" s="16" t="n">
        <f aca="false">IF(Time!AU11&gt;=Inputs!$F$59,1+Inputs!$F$246/100,1)</f>
        <v>1.024</v>
      </c>
      <c r="AV10" s="16" t="n">
        <f aca="false">IF(Time!AV11&gt;=Inputs!$F$59,1+Inputs!$F$246/100,1)</f>
        <v>1.024</v>
      </c>
      <c r="AW10" s="16" t="n">
        <f aca="false">IF(Time!AW11&gt;=Inputs!$F$59,1+Inputs!$F$246/100,1)</f>
        <v>1.024</v>
      </c>
      <c r="AX10" s="16" t="n">
        <f aca="false">IF(Time!AX11&gt;=Inputs!$F$59,1+Inputs!$F$246/100,1)</f>
        <v>1.024</v>
      </c>
      <c r="AY10" s="16" t="n">
        <f aca="false">IF(Time!AY11&gt;=Inputs!$F$59,1+Inputs!$F$246/100,1)</f>
        <v>1.024</v>
      </c>
      <c r="AZ10" s="16" t="n">
        <f aca="false">IF(Time!AZ11&gt;=Inputs!$F$59,1+Inputs!$F$246/100,1)</f>
        <v>1.024</v>
      </c>
      <c r="BA10" s="16" t="n">
        <f aca="false">IF(Time!BA11&gt;=Inputs!$F$59,1+Inputs!$F$246/100,1)</f>
        <v>1.024</v>
      </c>
      <c r="BB10" s="16" t="n">
        <f aca="false">IF(Time!BB11&gt;=Inputs!$F$59,1+Inputs!$F$246/100,1)</f>
        <v>1.024</v>
      </c>
      <c r="BC10" s="16" t="n">
        <f aca="false">IF(Time!BC11&gt;=Inputs!$F$59,1+Inputs!$F$246/100,1)</f>
        <v>1.024</v>
      </c>
      <c r="BD10" s="16" t="n">
        <f aca="false">IF(Time!BD11&gt;=Inputs!$F$59,1+Inputs!$F$246/100,1)</f>
        <v>1.024</v>
      </c>
      <c r="BE10" s="16" t="n">
        <f aca="false">IF(Time!BE11&gt;=Inputs!$F$59,1+Inputs!$F$246/100,1)</f>
        <v>1.024</v>
      </c>
      <c r="BF10" s="16" t="n">
        <f aca="false">IF(Time!BF11&gt;=Inputs!$F$59,1+Inputs!$F$246/100,1)</f>
        <v>1.024</v>
      </c>
      <c r="BG10" s="16" t="n">
        <f aca="false">IF(Time!BG11&gt;=Inputs!$F$59,1+Inputs!$F$246/100,1)</f>
        <v>1.024</v>
      </c>
      <c r="BH10" s="16" t="n">
        <f aca="false">IF(Time!BH11&gt;=Inputs!$F$59,1+Inputs!$F$246/100,1)</f>
        <v>1.024</v>
      </c>
      <c r="BI10" s="16" t="n">
        <f aca="false">IF(Time!BI11&gt;=Inputs!$F$59,1+Inputs!$F$246/100,1)</f>
        <v>1.024</v>
      </c>
      <c r="BJ10" s="16" t="n">
        <f aca="false">IF(Time!BJ11&gt;=Inputs!$F$59,1+Inputs!$F$246/100,1)</f>
        <v>1.024</v>
      </c>
      <c r="BK10" s="16" t="n">
        <f aca="false">IF(Time!BK11&gt;=Inputs!$F$59,1+Inputs!$F$246/100,1)</f>
        <v>1.024</v>
      </c>
      <c r="BL10" s="16" t="n">
        <f aca="false">IF(Time!BL11&gt;=Inputs!$F$59,1+Inputs!$F$246/100,1)</f>
        <v>1.024</v>
      </c>
      <c r="BM10" s="16" t="n">
        <f aca="false">IF(Time!BM11&gt;=Inputs!$F$59,1+Inputs!$F$246/100,1)</f>
        <v>1.024</v>
      </c>
      <c r="BN10" s="16" t="n">
        <f aca="false">IF(Time!BN11&gt;=Inputs!$F$59,1+Inputs!$F$246/100,1)</f>
        <v>1.024</v>
      </c>
      <c r="BO10" s="16" t="n">
        <f aca="false">IF(Time!BO11&gt;=Inputs!$F$59,1+Inputs!$F$246/100,1)</f>
        <v>1.024</v>
      </c>
      <c r="BP10" s="16" t="n">
        <f aca="false">IF(Time!BP11&gt;=Inputs!$F$59,1+Inputs!$F$246/100,1)</f>
        <v>1.024</v>
      </c>
      <c r="BQ10" s="16" t="n">
        <f aca="false">IF(Time!BQ11&gt;=Inputs!$F$59,1+Inputs!$F$246/100,1)</f>
        <v>1.024</v>
      </c>
      <c r="BR10" s="16" t="n">
        <f aca="false">IF(Time!BR11&gt;=Inputs!$F$59,1+Inputs!$F$246/100,1)</f>
        <v>1.024</v>
      </c>
      <c r="BS10" s="16" t="n">
        <f aca="false">IF(Time!BS11&gt;=Inputs!$F$59,1+Inputs!$F$246/100,1)</f>
        <v>1.024</v>
      </c>
      <c r="BT10" s="16" t="n">
        <f aca="false">IF(Time!BT11&gt;=Inputs!$F$59,1+Inputs!$F$246/100,1)</f>
        <v>1.024</v>
      </c>
      <c r="BU10" s="16" t="n">
        <f aca="false">IF(Time!BU11&gt;=Inputs!$F$59,1+Inputs!$F$246/100,1)</f>
        <v>1.024</v>
      </c>
      <c r="BV10" s="16" t="n">
        <f aca="false">IF(Time!BV11&gt;=Inputs!$F$59,1+Inputs!$F$246/100,1)</f>
        <v>1.024</v>
      </c>
      <c r="BW10" s="16" t="n">
        <f aca="false">IF(Time!BW11&gt;=Inputs!$F$59,1+Inputs!$F$246/100,1)</f>
        <v>1.024</v>
      </c>
      <c r="BX10" s="16" t="n">
        <f aca="false">IF(Time!BX11&gt;=Inputs!$F$59,1+Inputs!$F$246/100,1)</f>
        <v>1.024</v>
      </c>
      <c r="BY10" s="16" t="n">
        <f aca="false">IF(Time!BY11&gt;=Inputs!$F$59,1+Inputs!$F$246/100,1)</f>
        <v>1.024</v>
      </c>
      <c r="BZ10" s="16" t="n">
        <f aca="false">IF(Time!BZ11&gt;=Inputs!$F$59,1+Inputs!$F$246/100,1)</f>
        <v>1.024</v>
      </c>
      <c r="CA10" s="16" t="n">
        <f aca="false">IF(Time!CA11&gt;=Inputs!$F$59,1+Inputs!$F$246/100,1)</f>
        <v>1.024</v>
      </c>
      <c r="CB10" s="16" t="n">
        <f aca="false">IF(Time!CB11&gt;=Inputs!$F$59,1+Inputs!$F$246/100,1)</f>
        <v>1.024</v>
      </c>
      <c r="CC10" s="16" t="n">
        <f aca="false">IF(Time!CC11&gt;=Inputs!$F$59,1+Inputs!$F$246/100,1)</f>
        <v>1.024</v>
      </c>
      <c r="CD10" s="16" t="n">
        <f aca="false">IF(Time!CD11&gt;=Inputs!$F$59,1+Inputs!$F$246/100,1)</f>
        <v>1.024</v>
      </c>
      <c r="CE10" s="16" t="n">
        <f aca="false">IF(Time!CE11&gt;=Inputs!$F$59,1+Inputs!$F$246/100,1)</f>
        <v>1.024</v>
      </c>
      <c r="CF10" s="16" t="n">
        <f aca="false">IF(Time!CF11&gt;=Inputs!$F$59,1+Inputs!$F$246/100,1)</f>
        <v>1.024</v>
      </c>
      <c r="CG10" s="16" t="n">
        <f aca="false">IF(Time!CG11&gt;=Inputs!$F$59,1+Inputs!$F$246/100,1)</f>
        <v>1.024</v>
      </c>
      <c r="CH10" s="16" t="n">
        <f aca="false">IF(Time!CH11&gt;=Inputs!$F$59,1+Inputs!$F$246/100,1)</f>
        <v>1.024</v>
      </c>
      <c r="CI10" s="16" t="n">
        <f aca="false">IF(Time!CI11&gt;=Inputs!$F$59,1+Inputs!$F$246/100,1)</f>
        <v>1.024</v>
      </c>
      <c r="CJ10" s="16" t="n">
        <f aca="false">IF(Time!CJ11&gt;=Inputs!$F$59,1+Inputs!$F$246/100,1)</f>
        <v>1.024</v>
      </c>
      <c r="CK10" s="16" t="n">
        <f aca="false">IF(Time!CK11&gt;=Inputs!$F$59,1+Inputs!$F$246/100,1)</f>
        <v>1.024</v>
      </c>
      <c r="CL10" s="16" t="n">
        <f aca="false">IF(Time!CL11&gt;=Inputs!$F$59,1+Inputs!$F$246/100,1)</f>
        <v>1.024</v>
      </c>
      <c r="CM10" s="16" t="n">
        <f aca="false">IF(Time!CM11&gt;=Inputs!$F$59,1+Inputs!$F$246/100,1)</f>
        <v>1.024</v>
      </c>
      <c r="CN10" s="16" t="n">
        <f aca="false">IF(Time!CN11&gt;=Inputs!$F$59,1+Inputs!$F$246/100,1)</f>
        <v>1.024</v>
      </c>
      <c r="CO10" s="16" t="n">
        <f aca="false">IF(Time!CO11&gt;=Inputs!$F$59,1+Inputs!$F$246/100,1)</f>
        <v>1.024</v>
      </c>
      <c r="CP10" s="16" t="n">
        <f aca="false">IF(Time!CP11&gt;=Inputs!$F$59,1+Inputs!$F$246/100,1)</f>
        <v>1.024</v>
      </c>
      <c r="CQ10" s="16" t="n">
        <f aca="false">IF(Time!CQ11&gt;=Inputs!$F$59,1+Inputs!$F$246/100,1)</f>
        <v>1.024</v>
      </c>
      <c r="CR10" s="16" t="n">
        <f aca="false">IF(Time!CR11&gt;=Inputs!$F$59,1+Inputs!$F$246/100,1)</f>
        <v>1.024</v>
      </c>
      <c r="CS10" s="16" t="n">
        <f aca="false">IF(Time!CS11&gt;=Inputs!$F$59,1+Inputs!$F$246/100,1)</f>
        <v>1.024</v>
      </c>
      <c r="CT10" s="16" t="n">
        <f aca="false">IF(Time!CT11&gt;=Inputs!$F$59,1+Inputs!$F$246/100,1)</f>
        <v>1.024</v>
      </c>
      <c r="CU10" s="16" t="n">
        <f aca="false">IF(Time!CU11&gt;=Inputs!$F$59,1+Inputs!$F$246/100,1)</f>
        <v>1.024</v>
      </c>
      <c r="CV10" s="16" t="n">
        <f aca="false">IF(Time!CV11&gt;=Inputs!$F$59,1+Inputs!$F$246/100,1)</f>
        <v>1.024</v>
      </c>
      <c r="CW10" s="16" t="n">
        <f aca="false">IF(Time!CW11&gt;=Inputs!$F$59,1+Inputs!$F$246/100,1)</f>
        <v>1.024</v>
      </c>
      <c r="CX10" s="16" t="n">
        <f aca="false">IF(Time!CX11&gt;=Inputs!$F$59,1+Inputs!$F$246/100,1)</f>
        <v>1.024</v>
      </c>
      <c r="CY10" s="16" t="n">
        <f aca="false">IF(Time!CY11&gt;=Inputs!$F$59,1+Inputs!$F$246/100,1)</f>
        <v>1.024</v>
      </c>
      <c r="CZ10" s="16" t="n">
        <f aca="false">IF(Time!CZ11&gt;=Inputs!$F$59,1+Inputs!$F$246/100,1)</f>
        <v>1.024</v>
      </c>
      <c r="DA10" s="16" t="n">
        <f aca="false">IF(Time!DA11&gt;=Inputs!$F$59,1+Inputs!$F$246/100,1)</f>
        <v>1.024</v>
      </c>
      <c r="DB10" s="16" t="n">
        <f aca="false">IF(Time!DB11&gt;=Inputs!$F$59,1+Inputs!$F$246/100,1)</f>
        <v>1.024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34.6921098511601</v>
      </c>
      <c r="K11" s="16" t="n">
        <f aca="false">K7*K9*K10*Inputs!$F$218</f>
        <v>34.6921098511601</v>
      </c>
      <c r="L11" s="16" t="n">
        <f aca="false">L7*L9*L10*Inputs!$F$218</f>
        <v>34.6921098511601</v>
      </c>
      <c r="M11" s="16" t="n">
        <f aca="false">M7*M9*M10*Inputs!$F$218</f>
        <v>35.5941047072903</v>
      </c>
      <c r="N11" s="16" t="n">
        <f aca="false">N7*N9*N10*Inputs!$F$218</f>
        <v>35.5941047072903</v>
      </c>
      <c r="O11" s="16" t="n">
        <f aca="false">O7*O9*O10*Inputs!$F$218</f>
        <v>35.5941047072903</v>
      </c>
      <c r="P11" s="16" t="n">
        <f aca="false">P7*P9*P10*Inputs!$F$218</f>
        <v>35.5941047072903</v>
      </c>
      <c r="Q11" s="16" t="n">
        <f aca="false">Q7*Q9*Q10*Inputs!$F$218</f>
        <v>36.5195514296798</v>
      </c>
      <c r="R11" s="16" t="n">
        <f aca="false">R7*R9*R10*Inputs!$F$218</f>
        <v>36.5195514296798</v>
      </c>
      <c r="S11" s="16" t="n">
        <f aca="false">S7*S9*S10*Inputs!$F$218</f>
        <v>36.5195514296798</v>
      </c>
      <c r="T11" s="16" t="n">
        <f aca="false">T7*T9*T10*Inputs!$F$218</f>
        <v>36.5195514296798</v>
      </c>
      <c r="U11" s="16" t="n">
        <f aca="false">U7*U9*U10*Inputs!$F$218</f>
        <v>37.4690597668515</v>
      </c>
      <c r="V11" s="16" t="n">
        <f aca="false">V7*V9*V10*Inputs!$F$218</f>
        <v>37.4690597668515</v>
      </c>
      <c r="W11" s="16" t="n">
        <f aca="false">W7*W9*W10*Inputs!$F$218</f>
        <v>37.4690597668515</v>
      </c>
      <c r="X11" s="16" t="n">
        <f aca="false">X7*X9*X10*Inputs!$F$218</f>
        <v>37.4690597668515</v>
      </c>
      <c r="Y11" s="16" t="n">
        <f aca="false">Y7*Y9*Y10*Inputs!$F$218</f>
        <v>38.4432553207896</v>
      </c>
      <c r="Z11" s="16" t="n">
        <f aca="false">Z7*Z9*Z10*Inputs!$F$218</f>
        <v>38.4432553207896</v>
      </c>
      <c r="AA11" s="16" t="n">
        <f aca="false">AA7*AA9*AA10*Inputs!$F$218</f>
        <v>38.4432553207896</v>
      </c>
      <c r="AB11" s="16" t="n">
        <f aca="false">AB7*AB9*AB10*Inputs!$F$218</f>
        <v>39.4427799591302</v>
      </c>
      <c r="AC11" s="16" t="n">
        <f aca="false">AC7*AC9*AC10*Inputs!$F$218</f>
        <v>39.4427799591302</v>
      </c>
      <c r="AD11" s="16" t="n">
        <f aca="false">AD7*AD9*AD10*Inputs!$F$218</f>
        <v>40.4682922380676</v>
      </c>
      <c r="AE11" s="16" t="n">
        <f aca="false">AE7*AE9*AE10*Inputs!$F$218</f>
        <v>40.4682922380676</v>
      </c>
      <c r="AF11" s="16" t="n">
        <f aca="false">AF7*AF9*AF10*Inputs!$F$218</f>
        <v>41.5204678362573</v>
      </c>
      <c r="AG11" s="16" t="n">
        <f aca="false">AG7*AG9*AG10*Inputs!$F$218</f>
        <v>41.5204678362573</v>
      </c>
      <c r="AH11" s="16" t="n">
        <f aca="false">AH7*AH9*AH10*Inputs!$F$218</f>
        <v>42.6</v>
      </c>
      <c r="AI11" s="16" t="n">
        <f aca="false">AI7*AI9*AI10*Inputs!$F$218</f>
        <v>42.6</v>
      </c>
      <c r="AJ11" s="16" t="n">
        <f aca="false">AJ7*AJ9*AJ10*Inputs!$F$218</f>
        <v>44.7565824</v>
      </c>
      <c r="AK11" s="16" t="n">
        <f aca="false">AK7*AK9*AK10*Inputs!$F$218</f>
        <v>44.7565824</v>
      </c>
      <c r="AL11" s="16" t="n">
        <f aca="false">AL7*AL9*AL10*Inputs!$F$218</f>
        <v>45.9202535424</v>
      </c>
      <c r="AM11" s="16" t="n">
        <f aca="false">AM7*AM9*AM10*Inputs!$F$218</f>
        <v>45.9202535424</v>
      </c>
      <c r="AN11" s="16" t="n">
        <f aca="false">AN7*AN9*AN10*Inputs!$F$218</f>
        <v>47.1141801345024</v>
      </c>
      <c r="AO11" s="16" t="n">
        <f aca="false">AO7*AO9*AO10*Inputs!$F$218</f>
        <v>47.1141801345024</v>
      </c>
      <c r="AP11" s="16" t="n">
        <f aca="false">AP7*AP9*AP10*Inputs!$F$218</f>
        <v>48.3391488179995</v>
      </c>
      <c r="AQ11" s="16" t="n">
        <f aca="false">AQ7*AQ9*AQ10*Inputs!$F$218</f>
        <v>48.3391488179995</v>
      </c>
      <c r="AR11" s="16" t="n">
        <f aca="false">AR7*AR9*AR10*Inputs!$F$218</f>
        <v>49.5959666872675</v>
      </c>
      <c r="AS11" s="16" t="n">
        <f aca="false">AS7*AS9*AS10*Inputs!$F$218</f>
        <v>49.5959666872675</v>
      </c>
      <c r="AT11" s="16" t="n">
        <f aca="false">AT7*AT9*AT10*Inputs!$F$218</f>
        <v>50.8854618211364</v>
      </c>
      <c r="AU11" s="16" t="n">
        <f aca="false">AU7*AU9*AU10*Inputs!$F$218</f>
        <v>50.8854618211364</v>
      </c>
      <c r="AV11" s="16" t="n">
        <f aca="false">AV7*AV9*AV10*Inputs!$F$218</f>
        <v>52.208483828486</v>
      </c>
      <c r="AW11" s="16" t="n">
        <f aca="false">AW7*AW9*AW10*Inputs!$F$218</f>
        <v>52.208483828486</v>
      </c>
      <c r="AX11" s="16" t="n">
        <f aca="false">AX7*AX9*AX10*Inputs!$F$218</f>
        <v>53.1482365373987</v>
      </c>
      <c r="AY11" s="16" t="n">
        <f aca="false">AY7*AY9*AY10*Inputs!$F$218</f>
        <v>53.1482365373987</v>
      </c>
      <c r="AZ11" s="16" t="n">
        <f aca="false">AZ7*AZ9*AZ10*Inputs!$F$218</f>
        <v>54.1049047950719</v>
      </c>
      <c r="BA11" s="16" t="n">
        <f aca="false">BA7*BA9*BA10*Inputs!$F$218</f>
        <v>54.1049047950719</v>
      </c>
      <c r="BB11" s="16" t="n">
        <f aca="false">BB7*BB9*BB10*Inputs!$F$218</f>
        <v>55.0787930813832</v>
      </c>
      <c r="BC11" s="16" t="n">
        <f aca="false">BC7*BC9*BC10*Inputs!$F$218</f>
        <v>55.0787930813832</v>
      </c>
      <c r="BD11" s="16" t="n">
        <f aca="false">BD7*BD9*BD10*Inputs!$F$218</f>
        <v>56.0702113568481</v>
      </c>
      <c r="BE11" s="16" t="n">
        <f aca="false">BE7*BE9*BE10*Inputs!$F$218</f>
        <v>56.0702113568481</v>
      </c>
      <c r="BF11" s="16" t="n">
        <f aca="false">BF7*BF9*BF10*Inputs!$F$218</f>
        <v>57.0794751612714</v>
      </c>
      <c r="BG11" s="16" t="n">
        <f aca="false">BG7*BG9*BG10*Inputs!$F$218</f>
        <v>57.0794751612714</v>
      </c>
      <c r="BH11" s="16" t="n">
        <f aca="false">BH7*BH9*BH10*Inputs!$F$218</f>
        <v>58.1069057141742</v>
      </c>
      <c r="BI11" s="16" t="n">
        <f aca="false">BI7*BI9*BI10*Inputs!$F$218</f>
        <v>58.1069057141742</v>
      </c>
      <c r="BJ11" s="16" t="n">
        <f aca="false">BJ7*BJ9*BJ10*Inputs!$F$218</f>
        <v>59.1528300170294</v>
      </c>
      <c r="BK11" s="16" t="n">
        <f aca="false">BK7*BK9*BK10*Inputs!$F$218</f>
        <v>59.1528300170294</v>
      </c>
      <c r="BL11" s="16" t="n">
        <f aca="false">BL7*BL9*BL10*Inputs!$F$218</f>
        <v>60.2175809573359</v>
      </c>
      <c r="BM11" s="16" t="n">
        <f aca="false">BM7*BM9*BM10*Inputs!$F$218</f>
        <v>60.2175809573359</v>
      </c>
      <c r="BN11" s="16" t="n">
        <f aca="false">BN7*BN9*BN10*Inputs!$F$218</f>
        <v>61.3014974145679</v>
      </c>
      <c r="BO11" s="16" t="n">
        <f aca="false">BO7*BO9*BO10*Inputs!$F$218</f>
        <v>61.3014974145679</v>
      </c>
      <c r="BP11" s="16" t="n">
        <f aca="false">BP7*BP9*BP10*Inputs!$F$218</f>
        <v>62.4049243680302</v>
      </c>
      <c r="BQ11" s="16" t="n">
        <f aca="false">BQ7*BQ9*BQ10*Inputs!$F$218</f>
        <v>62.4049243680302</v>
      </c>
      <c r="BR11" s="16" t="n">
        <f aca="false">BR7*BR9*BR10*Inputs!$F$218</f>
        <v>62.9665686873424</v>
      </c>
      <c r="BS11" s="16" t="n">
        <f aca="false">BS7*BS9*BS10*Inputs!$F$218</f>
        <v>62.9665686873424</v>
      </c>
      <c r="BT11" s="16" t="n">
        <f aca="false">BT7*BT9*BT10*Inputs!$F$218</f>
        <v>63.5332678055285</v>
      </c>
      <c r="BU11" s="16" t="n">
        <f aca="false">BU7*BU9*BU10*Inputs!$F$218</f>
        <v>63.5332678055285</v>
      </c>
      <c r="BV11" s="16" t="n">
        <f aca="false">BV7*BV9*BV10*Inputs!$F$218</f>
        <v>64.1050672157783</v>
      </c>
      <c r="BW11" s="16" t="n">
        <f aca="false">BW7*BW9*BW10*Inputs!$F$218</f>
        <v>64.1050672157783</v>
      </c>
      <c r="BX11" s="16" t="n">
        <f aca="false">BX7*BX9*BX10*Inputs!$F$218</f>
        <v>64.6820128207203</v>
      </c>
      <c r="BY11" s="16" t="n">
        <f aca="false">BY7*BY9*BY10*Inputs!$F$218</f>
        <v>64.6820128207203</v>
      </c>
      <c r="BZ11" s="16" t="n">
        <f aca="false">BZ7*BZ9*BZ10*Inputs!$F$218</f>
        <v>65.2641509361067</v>
      </c>
      <c r="CA11" s="16" t="n">
        <f aca="false">CA7*CA9*CA10*Inputs!$F$218</f>
        <v>65.2641509361067</v>
      </c>
      <c r="CB11" s="16" t="n">
        <f aca="false">CB7*CB9*CB10*Inputs!$F$218</f>
        <v>65.8515282945317</v>
      </c>
      <c r="CC11" s="16" t="n">
        <f aca="false">CC7*CC9*CC10*Inputs!$F$218</f>
        <v>65.8515282945317</v>
      </c>
      <c r="CD11" s="16" t="n">
        <f aca="false">CD7*CD9*CD10*Inputs!$F$218</f>
        <v>66.4441920491825</v>
      </c>
      <c r="CE11" s="16" t="n">
        <f aca="false">CE7*CE9*CE10*Inputs!$F$218</f>
        <v>66.4441920491825</v>
      </c>
      <c r="CF11" s="16" t="n">
        <f aca="false">CF7*CF9*CF10*Inputs!$F$218</f>
        <v>67.0421897776251</v>
      </c>
      <c r="CG11" s="16" t="n">
        <f aca="false">CG7*CG9*CG10*Inputs!$F$218</f>
        <v>67.0421897776251</v>
      </c>
      <c r="CH11" s="16" t="n">
        <f aca="false">CH7*CH9*CH10*Inputs!$F$218</f>
        <v>67.6455694856237</v>
      </c>
      <c r="CI11" s="16" t="n">
        <f aca="false">CI7*CI9*CI10*Inputs!$F$218</f>
        <v>67.6455694856237</v>
      </c>
      <c r="CJ11" s="16" t="n">
        <f aca="false">CJ7*CJ9*CJ10*Inputs!$F$218</f>
        <v>68.2543796109943</v>
      </c>
      <c r="CK11" s="16" t="n">
        <f aca="false">CK7*CK9*CK10*Inputs!$F$218</f>
        <v>68.2543796109943</v>
      </c>
      <c r="CL11" s="16" t="n">
        <f aca="false">CL7*CL9*CL10*Inputs!$F$218</f>
        <v>68.8686690274933</v>
      </c>
      <c r="CM11" s="16" t="n">
        <f aca="false">CM7*CM9*CM10*Inputs!$F$218</f>
        <v>68.8686690274933</v>
      </c>
      <c r="CN11" s="16" t="n">
        <f aca="false">CN7*CN9*CN10*Inputs!$F$218</f>
        <v>69.4884870487407</v>
      </c>
      <c r="CO11" s="16" t="n">
        <f aca="false">CO7*CO9*CO10*Inputs!$F$218</f>
        <v>69.4884870487407</v>
      </c>
      <c r="CP11" s="16" t="n">
        <f aca="false">CP7*CP9*CP10*Inputs!$F$218</f>
        <v>70.1138834321794</v>
      </c>
      <c r="CQ11" s="16" t="n">
        <f aca="false">CQ7*CQ9*CQ10*Inputs!$F$218</f>
        <v>70.1138834321794</v>
      </c>
      <c r="CR11" s="16" t="n">
        <f aca="false">CR7*CR9*CR10*Inputs!$F$218</f>
        <v>70.744908383069</v>
      </c>
      <c r="CS11" s="16" t="n">
        <f aca="false">CS7*CS9*CS10*Inputs!$F$218</f>
        <v>70.744908383069</v>
      </c>
      <c r="CT11" s="16" t="n">
        <f aca="false">CT7*CT9*CT10*Inputs!$F$218</f>
        <v>71.3816125585166</v>
      </c>
      <c r="CU11" s="16" t="n">
        <f aca="false">CU7*CU9*CU10*Inputs!$F$218</f>
        <v>71.3816125585166</v>
      </c>
      <c r="CV11" s="16" t="n">
        <f aca="false">CV7*CV9*CV10*Inputs!$F$218</f>
        <v>72.0240470715432</v>
      </c>
      <c r="CW11" s="16" t="n">
        <f aca="false">CW7*CW9*CW10*Inputs!$F$218</f>
        <v>72.0240470715432</v>
      </c>
      <c r="CX11" s="16" t="n">
        <f aca="false">CX7*CX9*CX10*Inputs!$F$218</f>
        <v>72.6722634951871</v>
      </c>
      <c r="CY11" s="16" t="n">
        <f aca="false">CY7*CY9*CY10*Inputs!$F$218</f>
        <v>72.6722634951871</v>
      </c>
      <c r="CZ11" s="16" t="n">
        <f aca="false">CZ7*CZ9*CZ10*Inputs!$F$218</f>
        <v>73.3263138666438</v>
      </c>
      <c r="DA11" s="16" t="n">
        <f aca="false">DA7*DA9*DA10*Inputs!$F$218</f>
        <v>73.3263138666438</v>
      </c>
      <c r="DB11" s="16" t="n">
        <f aca="false">DB7*DB9*DB10*Inputs!$F$218</f>
        <v>73.9862506914436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28.1</v>
      </c>
      <c r="AA13" s="16" t="n">
        <f aca="false">IF(Time!AA39=1,AA12,AA11)*Time!AA26</f>
        <v>31.1</v>
      </c>
      <c r="AB13" s="16" t="n">
        <f aca="false">IF(Time!AB39=1,AB12,AB11)*Time!AB26</f>
        <v>21.4</v>
      </c>
      <c r="AC13" s="16" t="n">
        <f aca="false">IF(Time!AC39=1,AC12,AC11)*Time!AC26</f>
        <v>30</v>
      </c>
      <c r="AD13" s="16" t="n">
        <f aca="false">IF(Time!AD39=1,AD12,AD11)*Time!AD26</f>
        <v>31.8</v>
      </c>
      <c r="AE13" s="16" t="n">
        <f aca="false">IF(Time!AE39=1,AE12,AE11)*Time!AE26</f>
        <v>36</v>
      </c>
      <c r="AF13" s="16" t="n">
        <f aca="false">IF(Time!AF39=1,AF12,AF11)*Time!AF26</f>
        <v>39.1</v>
      </c>
      <c r="AG13" s="16" t="n">
        <f aca="false">IF(Time!AG39=1,AG12,AG11)*Time!AG26</f>
        <v>41.3</v>
      </c>
      <c r="AH13" s="16" t="n">
        <f aca="false">IF(Time!AH39=1,AH12,AH11)*Time!AH26</f>
        <v>41.9</v>
      </c>
      <c r="AI13" s="16" t="n">
        <f aca="false">IF(Time!AI39=1,AI12,AI11)*Time!AI26</f>
        <v>43.3</v>
      </c>
      <c r="AJ13" s="16" t="n">
        <f aca="false">IF(Time!AJ39=1,AJ12,AJ11)*Time!AJ26</f>
        <v>43.9</v>
      </c>
      <c r="AK13" s="16" t="n">
        <f aca="false">IF(Time!AK39=1,AK12,AK11)*Time!AK26</f>
        <v>45.5</v>
      </c>
      <c r="AL13" s="16" t="n">
        <f aca="false">IF(Time!AL39=1,AL12,AL11)*Time!AL26</f>
        <v>45.8</v>
      </c>
      <c r="AM13" s="16" t="n">
        <f aca="false">IF(Time!AM39=1,AM12,AM11)*Time!AM26</f>
        <v>46.8</v>
      </c>
      <c r="AN13" s="16" t="n">
        <f aca="false">IF(Time!AN39=1,AN12,AN11)*Time!AN26</f>
        <v>47.1</v>
      </c>
      <c r="AO13" s="16" t="n">
        <f aca="false">IF(Time!AO39=1,AO12,AO11)*Time!AO26</f>
        <v>47.1141801345024</v>
      </c>
      <c r="AP13" s="16" t="n">
        <f aca="false">IF(Time!AP39=1,AP12,AP11)*Time!AP26</f>
        <v>48.3391488179995</v>
      </c>
      <c r="AQ13" s="16" t="n">
        <f aca="false">IF(Time!AQ39=1,AQ12,AQ11)*Time!AQ26</f>
        <v>48.3391488179995</v>
      </c>
      <c r="AR13" s="16" t="n">
        <f aca="false">IF(Time!AR39=1,AR12,AR11)*Time!AR26</f>
        <v>49.5959666872675</v>
      </c>
      <c r="AS13" s="16" t="n">
        <f aca="false">IF(Time!AS39=1,AS12,AS11)*Time!AS26</f>
        <v>49.5959666872675</v>
      </c>
      <c r="AT13" s="16" t="n">
        <f aca="false">IF(Time!AT39=1,AT12,AT11)*Time!AT26</f>
        <v>50.8854618211364</v>
      </c>
      <c r="AU13" s="16" t="n">
        <f aca="false">IF(Time!AU39=1,AU12,AU11)*Time!AU26</f>
        <v>50.8854618211364</v>
      </c>
      <c r="AV13" s="16" t="n">
        <f aca="false">IF(Time!AV39=1,AV12,AV11)*Time!AV26</f>
        <v>52.208483828486</v>
      </c>
      <c r="AW13" s="16" t="n">
        <f aca="false">IF(Time!AW39=1,AW12,AW11)*Time!AW26</f>
        <v>52.208483828486</v>
      </c>
      <c r="AX13" s="16" t="n">
        <f aca="false">IF(Time!AX39=1,AX12,AX11)*Time!AX26</f>
        <v>53.1482365373987</v>
      </c>
      <c r="AY13" s="16" t="n">
        <f aca="false">IF(Time!AY39=1,AY12,AY11)*Time!AY26</f>
        <v>53.1482365373987</v>
      </c>
      <c r="AZ13" s="16" t="n">
        <f aca="false">IF(Time!AZ39=1,AZ12,AZ11)*Time!AZ26</f>
        <v>54.1049047950719</v>
      </c>
      <c r="BA13" s="16" t="n">
        <f aca="false">IF(Time!BA39=1,BA12,BA11)*Time!BA26</f>
        <v>54.1049047950719</v>
      </c>
      <c r="BB13" s="16" t="n">
        <f aca="false">IF(Time!BB39=1,BB12,BB11)*Time!BB26</f>
        <v>55.0787930813832</v>
      </c>
      <c r="BC13" s="16" t="n">
        <f aca="false">IF(Time!BC39=1,BC12,BC11)*Time!BC26</f>
        <v>55.0787930813832</v>
      </c>
      <c r="BD13" s="16" t="n">
        <f aca="false">IF(Time!BD39=1,BD12,BD11)*Time!BD26</f>
        <v>56.0702113568481</v>
      </c>
      <c r="BE13" s="16" t="n">
        <f aca="false">IF(Time!BE39=1,BE12,BE11)*Time!BE26</f>
        <v>56.0702113568481</v>
      </c>
      <c r="BF13" s="16" t="n">
        <f aca="false">IF(Time!BF39=1,BF12,BF11)*Time!BF26</f>
        <v>57.0794751612714</v>
      </c>
      <c r="BG13" s="16" t="n">
        <f aca="false">IF(Time!BG39=1,BG12,BG11)*Time!BG26</f>
        <v>57.0794751612714</v>
      </c>
      <c r="BH13" s="16" t="n">
        <f aca="false">IF(Time!BH39=1,BH12,BH11)*Time!BH26</f>
        <v>58.1069057141742</v>
      </c>
      <c r="BI13" s="16" t="n">
        <f aca="false">IF(Time!BI39=1,BI12,BI11)*Time!BI26</f>
        <v>58.1069057141742</v>
      </c>
      <c r="BJ13" s="16" t="n">
        <f aca="false">IF(Time!BJ39=1,BJ12,BJ11)*Time!BJ26</f>
        <v>59.1528300170294</v>
      </c>
      <c r="BK13" s="16" t="n">
        <f aca="false">IF(Time!BK39=1,BK12,BK11)*Time!BK26</f>
        <v>59.1528300170294</v>
      </c>
      <c r="BL13" s="16" t="n">
        <f aca="false">IF(Time!BL39=1,BL12,BL11)*Time!BL26</f>
        <v>60.2175809573359</v>
      </c>
      <c r="BM13" s="16" t="n">
        <f aca="false">IF(Time!BM39=1,BM12,BM11)*Time!BM26</f>
        <v>60.2175809573359</v>
      </c>
      <c r="BN13" s="16" t="n">
        <f aca="false">IF(Time!BN39=1,BN12,BN11)*Time!BN26</f>
        <v>61.3014974145679</v>
      </c>
      <c r="BO13" s="16" t="n">
        <f aca="false">IF(Time!BO39=1,BO12,BO11)*Time!BO26</f>
        <v>61.3014974145679</v>
      </c>
      <c r="BP13" s="16" t="n">
        <f aca="false">IF(Time!BP39=1,BP12,BP11)*Time!BP26</f>
        <v>62.4049243680302</v>
      </c>
      <c r="BQ13" s="16" t="n">
        <f aca="false">IF(Time!BQ39=1,BQ12,BQ11)*Time!BQ26</f>
        <v>62.4049243680302</v>
      </c>
      <c r="BR13" s="16" t="n">
        <f aca="false">IF(Time!BR39=1,BR12,BR11)*Time!BR26</f>
        <v>62.9665686873424</v>
      </c>
      <c r="BS13" s="16" t="n">
        <f aca="false">IF(Time!BS39=1,BS12,BS11)*Time!BS26</f>
        <v>62.9665686873424</v>
      </c>
      <c r="BT13" s="16" t="n">
        <f aca="false">IF(Time!BT39=1,BT12,BT11)*Time!BT26</f>
        <v>63.5332678055285</v>
      </c>
      <c r="BU13" s="16" t="n">
        <f aca="false">IF(Time!BU39=1,BU12,BU11)*Time!BU26</f>
        <v>63.5332678055285</v>
      </c>
      <c r="BV13" s="16" t="n">
        <f aca="false">IF(Time!BV39=1,BV12,BV11)*Time!BV26</f>
        <v>64.1050672157783</v>
      </c>
      <c r="BW13" s="16" t="n">
        <f aca="false">IF(Time!BW39=1,BW12,BW11)*Time!BW26</f>
        <v>64.1050672157783</v>
      </c>
      <c r="BX13" s="16" t="n">
        <f aca="false">IF(Time!BX39=1,BX12,BX11)*Time!BX26</f>
        <v>64.6820128207203</v>
      </c>
      <c r="BY13" s="16" t="n">
        <f aca="false">IF(Time!BY39=1,BY12,BY11)*Time!BY26</f>
        <v>64.6820128207203</v>
      </c>
      <c r="BZ13" s="16" t="n">
        <f aca="false">IF(Time!BZ39=1,BZ12,BZ11)*Time!BZ26</f>
        <v>65.2641509361067</v>
      </c>
      <c r="CA13" s="16" t="n">
        <f aca="false">IF(Time!CA39=1,CA12,CA11)*Time!CA26</f>
        <v>65.2641509361067</v>
      </c>
      <c r="CB13" s="16" t="n">
        <f aca="false">IF(Time!CB39=1,CB12,CB11)*Time!CB26</f>
        <v>65.8515282945317</v>
      </c>
      <c r="CC13" s="16" t="n">
        <f aca="false">IF(Time!CC39=1,CC12,CC11)*Time!CC26</f>
        <v>65.8515282945317</v>
      </c>
      <c r="CD13" s="16" t="n">
        <f aca="false">IF(Time!CD39=1,CD12,CD11)*Time!CD26</f>
        <v>66.4441920491825</v>
      </c>
      <c r="CE13" s="16" t="n">
        <f aca="false">IF(Time!CE39=1,CE12,CE11)*Time!CE26</f>
        <v>66.4441920491825</v>
      </c>
      <c r="CF13" s="16" t="n">
        <f aca="false">IF(Time!CF39=1,CF12,CF11)*Time!CF26</f>
        <v>67.0421897776251</v>
      </c>
      <c r="CG13" s="16" t="n">
        <f aca="false">IF(Time!CG39=1,CG12,CG11)*Time!CG26</f>
        <v>67.0421897776251</v>
      </c>
      <c r="CH13" s="16" t="n">
        <f aca="false">IF(Time!CH39=1,CH12,CH11)*Time!CH26</f>
        <v>67.6455694856237</v>
      </c>
      <c r="CI13" s="16" t="n">
        <f aca="false">IF(Time!CI39=1,CI12,CI11)*Time!CI26</f>
        <v>67.6455694856237</v>
      </c>
      <c r="CJ13" s="16" t="n">
        <f aca="false">IF(Time!CJ39=1,CJ12,CJ11)*Time!CJ26</f>
        <v>68.2543796109943</v>
      </c>
      <c r="CK13" s="16" t="n">
        <f aca="false">IF(Time!CK39=1,CK12,CK11)*Time!CK26</f>
        <v>68.2543796109943</v>
      </c>
      <c r="CL13" s="16" t="n">
        <f aca="false">IF(Time!CL39=1,CL12,CL11)*Time!CL26</f>
        <v>68.8686690274933</v>
      </c>
      <c r="CM13" s="16" t="n">
        <f aca="false">IF(Time!CM39=1,CM12,CM11)*Time!CM26</f>
        <v>68.8686690274933</v>
      </c>
      <c r="CN13" s="16" t="n">
        <f aca="false">IF(Time!CN39=1,CN12,CN11)*Time!CN26</f>
        <v>69.4884870487407</v>
      </c>
      <c r="CO13" s="16" t="n">
        <f aca="false">IF(Time!CO39=1,CO12,CO11)*Time!CO26</f>
        <v>69.4884870487407</v>
      </c>
      <c r="CP13" s="16" t="n">
        <f aca="false">IF(Time!CP39=1,CP12,CP11)*Time!CP26</f>
        <v>70.1138834321794</v>
      </c>
      <c r="CQ13" s="16" t="n">
        <f aca="false">IF(Time!CQ39=1,CQ12,CQ11)*Time!CQ26</f>
        <v>70.1138834321794</v>
      </c>
      <c r="CR13" s="16" t="n">
        <f aca="false">IF(Time!CR39=1,CR12,CR11)*Time!CR26</f>
        <v>70.744908383069</v>
      </c>
      <c r="CS13" s="16" t="n">
        <f aca="false">IF(Time!CS39=1,CS12,CS11)*Time!CS26</f>
        <v>70.744908383069</v>
      </c>
      <c r="CT13" s="16" t="n">
        <f aca="false">IF(Time!CT39=1,CT12,CT11)*Time!CT26</f>
        <v>71.3816125585166</v>
      </c>
      <c r="CU13" s="16" t="n">
        <f aca="false">IF(Time!CU39=1,CU12,CU11)*Time!CU26</f>
        <v>71.3816125585166</v>
      </c>
      <c r="CV13" s="16" t="n">
        <f aca="false">IF(Time!CV39=1,CV12,CV11)*Time!CV26</f>
        <v>72.0240470715432</v>
      </c>
      <c r="CW13" s="16" t="n">
        <f aca="false">IF(Time!CW39=1,CW12,CW11)*Time!CW26</f>
        <v>72.0240470715432</v>
      </c>
      <c r="CX13" s="16" t="n">
        <f aca="false">IF(Time!CX39=1,CX12,CX11)*Time!CX26</f>
        <v>72.6722634951871</v>
      </c>
      <c r="CY13" s="16" t="n">
        <f aca="false">IF(Time!CY39=1,CY12,CY11)*Time!CY26</f>
        <v>72.6722634951871</v>
      </c>
      <c r="CZ13" s="16" t="n">
        <f aca="false">IF(Time!CZ39=1,CZ12,CZ11)*Time!CZ26</f>
        <v>73.3263138666438</v>
      </c>
      <c r="DA13" s="16" t="n">
        <f aca="false">IF(Time!DA39=1,DA12,DA11)*Time!DA26</f>
        <v>73.3263138666438</v>
      </c>
      <c r="DB13" s="16" t="n">
        <f aca="false">IF(Time!DB39=1,DB12,DB11)*Time!DB26</f>
        <v>73.9862506914436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1.2448</v>
      </c>
      <c r="AK17" s="27" t="n">
        <f aca="false">IF(Time!AK23=1,$F$16,$F$15)</f>
        <v>1.2448</v>
      </c>
      <c r="AL17" s="27" t="n">
        <f aca="false">IF(Time!AL23=1,$F$16,$F$15)</f>
        <v>1.2448</v>
      </c>
      <c r="AM17" s="27" t="n">
        <f aca="false">IF(Time!AM23=1,$F$16,$F$15)</f>
        <v>1.2448</v>
      </c>
      <c r="AN17" s="27" t="n">
        <f aca="false">IF(Time!AN23=1,$F$16,$F$15)</f>
        <v>1.2448</v>
      </c>
      <c r="AO17" s="27" t="n">
        <f aca="false">IF(Time!AO23=1,$F$16,$F$15)</f>
        <v>1.2448</v>
      </c>
      <c r="AP17" s="27" t="n">
        <f aca="false">IF(Time!AP23=1,$F$16,$F$15)</f>
        <v>1.2448</v>
      </c>
      <c r="AQ17" s="27" t="n">
        <f aca="false">IF(Time!AQ23=1,$F$16,$F$15)</f>
        <v>1.2448</v>
      </c>
      <c r="AR17" s="27" t="n">
        <f aca="false">IF(Time!AR23=1,$F$16,$F$15)</f>
        <v>1.2448</v>
      </c>
      <c r="AS17" s="27" t="n">
        <f aca="false">IF(Time!AS23=1,$F$16,$F$15)</f>
        <v>1.2448</v>
      </c>
      <c r="AT17" s="27" t="n">
        <f aca="false">IF(Time!AT23=1,$F$16,$F$15)</f>
        <v>1.2448</v>
      </c>
      <c r="AU17" s="27" t="n">
        <f aca="false">IF(Time!AU23=1,$F$16,$F$15)</f>
        <v>1.2448</v>
      </c>
      <c r="AV17" s="27" t="n">
        <f aca="false">IF(Time!AV23=1,$F$16,$F$15)</f>
        <v>1.2448</v>
      </c>
      <c r="AW17" s="27" t="n">
        <f aca="false">IF(Time!AW23=1,$F$16,$F$15)</f>
        <v>1.2448</v>
      </c>
      <c r="AX17" s="27" t="n">
        <f aca="false">IF(Time!AX23=1,$F$16,$F$15)</f>
        <v>1.2448</v>
      </c>
      <c r="AY17" s="27" t="n">
        <f aca="false">IF(Time!AY23=1,$F$16,$F$15)</f>
        <v>1.2448</v>
      </c>
      <c r="AZ17" s="27" t="n">
        <f aca="false">IF(Time!AZ23=1,$F$16,$F$15)</f>
        <v>1.2448</v>
      </c>
      <c r="BA17" s="27" t="n">
        <f aca="false">IF(Time!BA23=1,$F$16,$F$15)</f>
        <v>1.2448</v>
      </c>
      <c r="BB17" s="27" t="n">
        <f aca="false">IF(Time!BB23=1,$F$16,$F$15)</f>
        <v>1.2448</v>
      </c>
      <c r="BC17" s="27" t="n">
        <f aca="false">IF(Time!BC23=1,$F$16,$F$15)</f>
        <v>1.2448</v>
      </c>
      <c r="BD17" s="27" t="n">
        <f aca="false">IF(Time!BD23=1,$F$16,$F$15)</f>
        <v>1.2448</v>
      </c>
      <c r="BE17" s="27" t="n">
        <f aca="false">IF(Time!BE23=1,$F$16,$F$15)</f>
        <v>1.2448</v>
      </c>
      <c r="BF17" s="27" t="n">
        <f aca="false">IF(Time!BF23=1,$F$16,$F$15)</f>
        <v>1.2448</v>
      </c>
      <c r="BG17" s="27" t="n">
        <f aca="false">IF(Time!BG23=1,$F$16,$F$15)</f>
        <v>1.2448</v>
      </c>
      <c r="BH17" s="27" t="n">
        <f aca="false">IF(Time!BH23=1,$F$16,$F$15)</f>
        <v>1.2448</v>
      </c>
      <c r="BI17" s="27" t="n">
        <f aca="false">IF(Time!BI23=1,$F$16,$F$15)</f>
        <v>1.2448</v>
      </c>
      <c r="BJ17" s="27" t="n">
        <f aca="false">IF(Time!BJ23=1,$F$16,$F$15)</f>
        <v>1.2448</v>
      </c>
      <c r="BK17" s="27" t="n">
        <f aca="false">IF(Time!BK23=1,$F$16,$F$15)</f>
        <v>1.2448</v>
      </c>
      <c r="BL17" s="27" t="n">
        <f aca="false">IF(Time!BL23=1,$F$16,$F$15)</f>
        <v>1.2448</v>
      </c>
      <c r="BM17" s="27" t="n">
        <f aca="false">IF(Time!BM23=1,$F$16,$F$15)</f>
        <v>1.2448</v>
      </c>
      <c r="BN17" s="27" t="n">
        <f aca="false">IF(Time!BN23=1,$F$16,$F$15)</f>
        <v>1.2448</v>
      </c>
      <c r="BO17" s="27" t="n">
        <f aca="false">IF(Time!BO23=1,$F$16,$F$15)</f>
        <v>1.2448</v>
      </c>
      <c r="BP17" s="27" t="n">
        <f aca="false">IF(Time!BP23=1,$F$16,$F$15)</f>
        <v>1.2448</v>
      </c>
      <c r="BQ17" s="27" t="n">
        <f aca="false">IF(Time!BQ23=1,$F$16,$F$15)</f>
        <v>1.2448</v>
      </c>
      <c r="BR17" s="27" t="n">
        <f aca="false">IF(Time!BR23=1,$F$16,$F$15)</f>
        <v>1.2448</v>
      </c>
      <c r="BS17" s="27" t="n">
        <f aca="false">IF(Time!BS23=1,$F$16,$F$15)</f>
        <v>1.2448</v>
      </c>
      <c r="BT17" s="27" t="n">
        <f aca="false">IF(Time!BT23=1,$F$16,$F$15)</f>
        <v>1.2448</v>
      </c>
      <c r="BU17" s="27" t="n">
        <f aca="false">IF(Time!BU23=1,$F$16,$F$15)</f>
        <v>1.2448</v>
      </c>
      <c r="BV17" s="27" t="n">
        <f aca="false">IF(Time!BV23=1,$F$16,$F$15)</f>
        <v>1.2448</v>
      </c>
      <c r="BW17" s="27" t="n">
        <f aca="false">IF(Time!BW23=1,$F$16,$F$15)</f>
        <v>1.2448</v>
      </c>
      <c r="BX17" s="27" t="n">
        <f aca="false">IF(Time!BX23=1,$F$16,$F$15)</f>
        <v>1.2448</v>
      </c>
      <c r="BY17" s="27" t="n">
        <f aca="false">IF(Time!BY23=1,$F$16,$F$15)</f>
        <v>1.2448</v>
      </c>
      <c r="BZ17" s="27" t="n">
        <f aca="false">IF(Time!BZ23=1,$F$16,$F$15)</f>
        <v>1.2448</v>
      </c>
      <c r="CA17" s="27" t="n">
        <f aca="false">IF(Time!CA23=1,$F$16,$F$15)</f>
        <v>1.2448</v>
      </c>
      <c r="CB17" s="27" t="n">
        <f aca="false">IF(Time!CB23=1,$F$16,$F$15)</f>
        <v>1.2448</v>
      </c>
      <c r="CC17" s="27" t="n">
        <f aca="false">IF(Time!CC23=1,$F$16,$F$15)</f>
        <v>1.2448</v>
      </c>
      <c r="CD17" s="27" t="n">
        <f aca="false">IF(Time!CD23=1,$F$16,$F$15)</f>
        <v>1.2448</v>
      </c>
      <c r="CE17" s="27" t="n">
        <f aca="false">IF(Time!CE23=1,$F$16,$F$15)</f>
        <v>1.2448</v>
      </c>
      <c r="CF17" s="27" t="n">
        <f aca="false">IF(Time!CF23=1,$F$16,$F$15)</f>
        <v>1.2448</v>
      </c>
      <c r="CG17" s="27" t="n">
        <f aca="false">IF(Time!CG23=1,$F$16,$F$15)</f>
        <v>1.2448</v>
      </c>
      <c r="CH17" s="27" t="n">
        <f aca="false">IF(Time!CH23=1,$F$16,$F$15)</f>
        <v>1.2448</v>
      </c>
      <c r="CI17" s="27" t="n">
        <f aca="false">IF(Time!CI23=1,$F$16,$F$15)</f>
        <v>1.2448</v>
      </c>
      <c r="CJ17" s="27" t="n">
        <f aca="false">IF(Time!CJ23=1,$F$16,$F$15)</f>
        <v>1.2448</v>
      </c>
      <c r="CK17" s="27" t="n">
        <f aca="false">IF(Time!CK23=1,$F$16,$F$15)</f>
        <v>1.2448</v>
      </c>
      <c r="CL17" s="27" t="n">
        <f aca="false">IF(Time!CL23=1,$F$16,$F$15)</f>
        <v>1.2448</v>
      </c>
      <c r="CM17" s="27" t="n">
        <f aca="false">IF(Time!CM23=1,$F$16,$F$15)</f>
        <v>1.2448</v>
      </c>
      <c r="CN17" s="27" t="n">
        <f aca="false">IF(Time!CN23=1,$F$16,$F$15)</f>
        <v>1.2448</v>
      </c>
      <c r="CO17" s="27" t="n">
        <f aca="false">IF(Time!CO23=1,$F$16,$F$15)</f>
        <v>1.2448</v>
      </c>
      <c r="CP17" s="27" t="n">
        <f aca="false">IF(Time!CP23=1,$F$16,$F$15)</f>
        <v>1.2448</v>
      </c>
      <c r="CQ17" s="27" t="n">
        <f aca="false">IF(Time!CQ23=1,$F$16,$F$15)</f>
        <v>1.2448</v>
      </c>
      <c r="CR17" s="27" t="n">
        <f aca="false">IF(Time!CR23=1,$F$16,$F$15)</f>
        <v>1.2448</v>
      </c>
      <c r="CS17" s="27" t="n">
        <f aca="false">IF(Time!CS23=1,$F$16,$F$15)</f>
        <v>1.2448</v>
      </c>
      <c r="CT17" s="27" t="n">
        <f aca="false">IF(Time!CT23=1,$F$16,$F$15)</f>
        <v>1.2448</v>
      </c>
      <c r="CU17" s="27" t="n">
        <f aca="false">IF(Time!CU23=1,$F$16,$F$15)</f>
        <v>1.2448</v>
      </c>
      <c r="CV17" s="27" t="n">
        <f aca="false">IF(Time!CV23=1,$F$16,$F$15)</f>
        <v>1.2448</v>
      </c>
      <c r="CW17" s="27" t="n">
        <f aca="false">IF(Time!CW23=1,$F$16,$F$15)</f>
        <v>1.2448</v>
      </c>
      <c r="CX17" s="27" t="n">
        <f aca="false">IF(Time!CX23=1,$F$16,$F$15)</f>
        <v>1.2448</v>
      </c>
      <c r="CY17" s="27" t="n">
        <f aca="false">IF(Time!CY23=1,$F$16,$F$15)</f>
        <v>1.2448</v>
      </c>
      <c r="CZ17" s="27" t="n">
        <f aca="false">IF(Time!CZ23=1,$F$16,$F$15)</f>
        <v>1.2448</v>
      </c>
      <c r="DA17" s="27" t="n">
        <f aca="false">IF(Time!DA23=1,$F$16,$F$15)</f>
        <v>1.2448</v>
      </c>
      <c r="DB17" s="27" t="n">
        <f aca="false">IF(Time!DB23=1,$F$16,$F$15)</f>
        <v>1.2448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8675.25871986591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8.012000517598</v>
      </c>
      <c r="AA18" s="19" t="n">
        <f aca="false">AA13*Inputs!$F$64*Time!AA25*Inputs!$F$127*Time!AA60*AA17/Inputs!$F$65</f>
        <v>30.5638253304608</v>
      </c>
      <c r="AB18" s="19" t="n">
        <f aca="false">AB13*Inputs!$F$64*Time!AB25*Inputs!$F$127*Time!AB60*AB17/Inputs!$F$65</f>
        <v>20.8024582163216</v>
      </c>
      <c r="AC18" s="19" t="n">
        <f aca="false">AC13*Inputs!$F$64*Time!AC25*Inputs!$F$127*Time!AC60*AC17/Inputs!$F$65</f>
        <v>30.36610675392</v>
      </c>
      <c r="AD18" s="19" t="n">
        <f aca="false">AD13*Inputs!$F$64*Time!AD25*Inputs!$F$127*Time!AD60*AD17/Inputs!$F$65</f>
        <v>31.6632676185168</v>
      </c>
      <c r="AE18" s="19" t="n">
        <f aca="false">AE13*Inputs!$F$64*Time!AE25*Inputs!$F$127*Time!AE60*AE17/Inputs!$F$65</f>
        <v>37.679305241088</v>
      </c>
      <c r="AF18" s="19" t="n">
        <f aca="false">AF13*Inputs!$F$64*Time!AF25*Inputs!$F$127*Time!AF60*AF17/Inputs!$F$65</f>
        <v>40.2566743843152</v>
      </c>
      <c r="AG18" s="19" t="n">
        <f aca="false">AG13*Inputs!$F$64*Time!AG25*Inputs!$F$127*Time!AG60*AG17/Inputs!$F$65</f>
        <v>46.3010351561408</v>
      </c>
      <c r="AH18" s="19" t="n">
        <f aca="false">AH13*Inputs!$F$64*Time!AH25*Inputs!$F$127*Time!AH60*AH17/Inputs!$F$65</f>
        <v>46.2078140489336</v>
      </c>
      <c r="AI18" s="19" t="n">
        <f aca="false">AI13*Inputs!$F$64*Time!AI25*Inputs!$F$127*Time!AI60*AI17/Inputs!$F$65</f>
        <v>51.1652232444192</v>
      </c>
      <c r="AJ18" s="19" t="n">
        <f aca="false">AJ13*Inputs!$F$64*Time!AJ25*Inputs!$F$127*Time!AJ60*AJ17/Inputs!$F$65</f>
        <v>50.3477346712704</v>
      </c>
      <c r="AK18" s="19" t="n">
        <f aca="false">AK13*Inputs!$F$64*Time!AK25*Inputs!$F$127*Time!AK60*AK17/Inputs!$F$65</f>
        <v>54.492384617216</v>
      </c>
      <c r="AL18" s="19" t="n">
        <f aca="false">AL13*Inputs!$F$64*Time!AL25*Inputs!$F$127*Time!AL60*AL17/Inputs!$F$65</f>
        <v>53.9573542761344</v>
      </c>
      <c r="AM18" s="19" t="n">
        <f aca="false">AM13*Inputs!$F$64*Time!AM25*Inputs!$F$127*Time!AM60*AM17/Inputs!$F$65</f>
        <v>57.5545030115328</v>
      </c>
      <c r="AN18" s="19" t="n">
        <f aca="false">AN13*Inputs!$F$64*Time!AN25*Inputs!$F$127*Time!AN60*AN17/Inputs!$F$65</f>
        <v>56.9790381855744</v>
      </c>
      <c r="AO18" s="19" t="n">
        <f aca="false">AO13*Inputs!$F$64*Time!AO25*Inputs!$F$127*Time!AO60*AO17/Inputs!$F$65</f>
        <v>59.4561786796645</v>
      </c>
      <c r="AP18" s="19" t="n">
        <f aca="false">AP13*Inputs!$F$64*Time!AP25*Inputs!$F$127*Time!AP60*AP17/Inputs!$F$65</f>
        <v>60.0074408580749</v>
      </c>
      <c r="AQ18" s="19" t="n">
        <f aca="false">AQ13*Inputs!$F$64*Time!AQ25*Inputs!$F$127*Time!AQ60*AQ17/Inputs!$F$65</f>
        <v>62.5303841550851</v>
      </c>
      <c r="AR18" s="19" t="n">
        <f aca="false">AR13*Inputs!$F$64*Time!AR25*Inputs!$F$127*Time!AR60*AR17/Inputs!$F$65</f>
        <v>63.4588244241703</v>
      </c>
      <c r="AS18" s="19" t="n">
        <f aca="false">AS13*Inputs!$F$64*Time!AS25*Inputs!$F$127*Time!AS60*AS17/Inputs!$F$65</f>
        <v>65.7512918314628</v>
      </c>
      <c r="AT18" s="19" t="n">
        <f aca="false">AT13*Inputs!$F$64*Time!AT25*Inputs!$F$127*Time!AT60*AT17/Inputs!$F$65</f>
        <v>66.3609206568132</v>
      </c>
      <c r="AU18" s="19" t="n">
        <f aca="false">AU13*Inputs!$F$64*Time!AU25*Inputs!$F$127*Time!AU60*AU17/Inputs!$F$65</f>
        <v>69.1528938198061</v>
      </c>
      <c r="AV18" s="19" t="n">
        <f aca="false">AV13*Inputs!$F$64*Time!AV25*Inputs!$F$127*Time!AV60*AV17/Inputs!$F$65</f>
        <v>69.794061411418</v>
      </c>
      <c r="AW18" s="19" t="n">
        <f aca="false">AW13*Inputs!$F$64*Time!AW25*Inputs!$F$127*Time!AW60*AW17/Inputs!$F$65</f>
        <v>72.7153912739889</v>
      </c>
      <c r="AX18" s="19" t="n">
        <f aca="false">AX13*Inputs!$F$64*Time!AX25*Inputs!$F$127*Time!AX60*AX17/Inputs!$F$65</f>
        <v>72.8173508987101</v>
      </c>
      <c r="AY18" s="19" t="n">
        <f aca="false">AY13*Inputs!$F$64*Time!AY25*Inputs!$F$127*Time!AY60*AY17/Inputs!$F$65</f>
        <v>75.8784965643896</v>
      </c>
      <c r="AZ18" s="19" t="n">
        <f aca="false">AZ13*Inputs!$F$64*Time!AZ25*Inputs!$F$127*Time!AZ60*AZ17/Inputs!$F$65</f>
        <v>76.4046974427383</v>
      </c>
      <c r="BA18" s="19" t="n">
        <f aca="false">BA13*Inputs!$F$64*Time!BA25*Inputs!$F$127*Time!BA60*BA17/Inputs!$F$65</f>
        <v>79.1614076765332</v>
      </c>
      <c r="BB18" s="19" t="n">
        <f aca="false">BB13*Inputs!$F$64*Time!BB25*Inputs!$F$127*Time!BB60*BB17/Inputs!$F$65</f>
        <v>79.272405737297</v>
      </c>
      <c r="BC18" s="19" t="n">
        <f aca="false">BC13*Inputs!$F$64*Time!BC25*Inputs!$F$127*Time!BC60*BC17/Inputs!$F$65</f>
        <v>82.5979683693999</v>
      </c>
      <c r="BD18" s="19" t="n">
        <f aca="false">BD13*Inputs!$F$64*Time!BD25*Inputs!$F$127*Time!BD60*BD17/Inputs!$F$65</f>
        <v>82.7137850859179</v>
      </c>
      <c r="BE18" s="19" t="n">
        <f aca="false">BE13*Inputs!$F$64*Time!BE25*Inputs!$F$127*Time!BE60*BE17/Inputs!$F$65</f>
        <v>86.1937272541397</v>
      </c>
      <c r="BF18" s="19" t="n">
        <f aca="false">BF13*Inputs!$F$64*Time!BF25*Inputs!$F$127*Time!BF60*BF17/Inputs!$F$65</f>
        <v>86.3145858499635</v>
      </c>
      <c r="BG18" s="19" t="n">
        <f aca="false">BG13*Inputs!$F$64*Time!BG25*Inputs!$F$127*Time!BG60*BG17/Inputs!$F$65</f>
        <v>89.95440236545</v>
      </c>
      <c r="BH18" s="19" t="n">
        <f aca="false">BH13*Inputs!$F$64*Time!BH25*Inputs!$F$127*Time!BH60*BH17/Inputs!$F$65</f>
        <v>90.5782165905495</v>
      </c>
      <c r="BI18" s="19" t="n">
        <f aca="false">BI13*Inputs!$F$64*Time!BI25*Inputs!$F$127*Time!BI60*BI17/Inputs!$F$65</f>
        <v>93.854210413209</v>
      </c>
      <c r="BJ18" s="19" t="n">
        <f aca="false">BJ13*Inputs!$F$64*Time!BJ25*Inputs!$F$127*Time!BJ60*BJ17/Inputs!$F$65</f>
        <v>93.9858103386797</v>
      </c>
      <c r="BK18" s="19" t="n">
        <f aca="false">BK13*Inputs!$F$64*Time!BK25*Inputs!$F$127*Time!BK60*BK17/Inputs!$F$65</f>
        <v>97.9297574388675</v>
      </c>
      <c r="BL18" s="19" t="n">
        <f aca="false">BL13*Inputs!$F$64*Time!BL25*Inputs!$F$127*Time!BL60*BL17/Inputs!$F$65</f>
        <v>98.0670719900589</v>
      </c>
      <c r="BM18" s="19" t="n">
        <f aca="false">BM13*Inputs!$F$64*Time!BM25*Inputs!$F$127*Time!BM60*BM17/Inputs!$F$65</f>
        <v>102.187267347884</v>
      </c>
      <c r="BN18" s="19" t="n">
        <f aca="false">BN13*Inputs!$F$64*Time!BN25*Inputs!$F$127*Time!BN60*BN17/Inputs!$F$65</f>
        <v>102.330551668404</v>
      </c>
      <c r="BO18" s="19" t="n">
        <f aca="false">BO13*Inputs!$F$64*Time!BO25*Inputs!$F$127*Time!BO60*BO17/Inputs!$F$65</f>
        <v>106.633152062006</v>
      </c>
      <c r="BP18" s="19" t="n">
        <f aca="false">BP13*Inputs!$F$64*Time!BP25*Inputs!$F$127*Time!BP60*BP17/Inputs!$F$65</f>
        <v>107.372629790436</v>
      </c>
      <c r="BQ18" s="19" t="n">
        <f aca="false">BQ13*Inputs!$F$64*Time!BQ25*Inputs!$F$127*Time!BQ60*BQ17/Inputs!$F$65</f>
        <v>111.274016647424</v>
      </c>
      <c r="BR18" s="19" t="n">
        <f aca="false">BR13*Inputs!$F$64*Time!BR25*Inputs!$F$127*Time!BR60*BR17/Inputs!$F$65</f>
        <v>110.444904273382</v>
      </c>
      <c r="BS18" s="19" t="n">
        <f aca="false">BS13*Inputs!$F$64*Time!BS25*Inputs!$F$127*Time!BS60*BS17/Inputs!$F$65</f>
        <v>115.09009288266</v>
      </c>
      <c r="BT18" s="19" t="n">
        <f aca="false">BT13*Inputs!$F$64*Time!BT25*Inputs!$F$127*Time!BT60*BT17/Inputs!$F$65</f>
        <v>114.232546592757</v>
      </c>
      <c r="BU18" s="19" t="n">
        <f aca="false">BU13*Inputs!$F$64*Time!BU25*Inputs!$F$127*Time!BU60*BU17/Inputs!$F$65</f>
        <v>119.035112162494</v>
      </c>
      <c r="BV18" s="19" t="n">
        <f aca="false">BV13*Inputs!$F$64*Time!BV25*Inputs!$F$127*Time!BV60*BV17/Inputs!$F$65</f>
        <v>118.148171190892</v>
      </c>
      <c r="BW18" s="19" t="n">
        <f aca="false">BW13*Inputs!$F$64*Time!BW25*Inputs!$F$127*Time!BW60*BW17/Inputs!$F$65</f>
        <v>123.111709761362</v>
      </c>
      <c r="BX18" s="19" t="n">
        <f aca="false">BX13*Inputs!$F$64*Time!BX25*Inputs!$F$127*Time!BX60*BX17/Inputs!$F$65</f>
        <v>122.869500854115</v>
      </c>
      <c r="BY18" s="19" t="n">
        <f aca="false">BY13*Inputs!$F$64*Time!BY25*Inputs!$F$127*Time!BY60*BY17/Inputs!$F$65</f>
        <v>127.322563554872</v>
      </c>
      <c r="BZ18" s="19" t="n">
        <f aca="false">BZ13*Inputs!$F$64*Time!BZ25*Inputs!$F$127*Time!BZ60*BZ17/Inputs!$F$65</f>
        <v>126.373872062297</v>
      </c>
      <c r="CA18" s="19" t="n">
        <f aca="false">CA13*Inputs!$F$64*Time!CA25*Inputs!$F$127*Time!CA60*CA17/Inputs!$F$65</f>
        <v>131.670394623658</v>
      </c>
      <c r="CB18" s="19" t="n">
        <f aca="false">CB13*Inputs!$F$64*Time!CB25*Inputs!$F$127*Time!CB60*CB17/Inputs!$F$65</f>
        <v>130.689307063718</v>
      </c>
      <c r="CC18" s="19" t="n">
        <f aca="false">CC13*Inputs!$F$64*Time!CC25*Inputs!$F$127*Time!CC60*CC17/Inputs!$F$65</f>
        <v>136.19386503566</v>
      </c>
      <c r="CD18" s="19" t="n">
        <f aca="false">CD13*Inputs!$F$64*Time!CD25*Inputs!$F$127*Time!CD60*CD17/Inputs!$F$65</f>
        <v>135.179072704335</v>
      </c>
      <c r="CE18" s="19" t="n">
        <f aca="false">CE13*Inputs!$F$64*Time!CE25*Inputs!$F$127*Time!CE60*CE17/Inputs!$F$65</f>
        <v>140.860533103267</v>
      </c>
      <c r="CF18" s="19" t="n">
        <f aca="false">CF13*Inputs!$F$64*Time!CF25*Inputs!$F$127*Time!CF60*CF17/Inputs!$F$65</f>
        <v>140.583405315314</v>
      </c>
      <c r="CG18" s="19" t="n">
        <f aca="false">CG13*Inputs!$F$64*Time!CG25*Inputs!$F$127*Time!CG60*CG17/Inputs!$F$65</f>
        <v>145.673261947588</v>
      </c>
      <c r="CH18" s="19" t="n">
        <f aca="false">CH13*Inputs!$F$64*Time!CH25*Inputs!$F$127*Time!CH60*CH17/Inputs!$F$65</f>
        <v>144.587837805577</v>
      </c>
      <c r="CI18" s="19" t="n">
        <f aca="false">CI13*Inputs!$F$64*Time!CI25*Inputs!$F$127*Time!CI60*CI17/Inputs!$F$65</f>
        <v>150.671835637909</v>
      </c>
      <c r="CJ18" s="19" t="n">
        <f aca="false">CJ13*Inputs!$F$64*Time!CJ25*Inputs!$F$127*Time!CJ60*CJ17/Inputs!$F$65</f>
        <v>149.549166688672</v>
      </c>
      <c r="CK18" s="19" t="n">
        <f aca="false">CK13*Inputs!$F$64*Time!CK25*Inputs!$F$127*Time!CK60*CK17/Inputs!$F$65</f>
        <v>155.822998159674</v>
      </c>
      <c r="CL18" s="19" t="n">
        <f aca="false">CL13*Inputs!$F$64*Time!CL25*Inputs!$F$127*Time!CL60*CL17/Inputs!$F$65</f>
        <v>154.66194745056</v>
      </c>
      <c r="CM18" s="19" t="n">
        <f aca="false">CM13*Inputs!$F$64*Time!CM25*Inputs!$F$127*Time!CM60*CM17/Inputs!$F$65</f>
        <v>161.167302836527</v>
      </c>
      <c r="CN18" s="19" t="n">
        <f aca="false">CN13*Inputs!$F$64*Time!CN25*Inputs!$F$127*Time!CN60*CN17/Inputs!$F$65</f>
        <v>160.850223686381</v>
      </c>
      <c r="CO18" s="19" t="n">
        <f aca="false">CO13*Inputs!$F$64*Time!CO25*Inputs!$F$127*Time!CO60*CO17/Inputs!$F$65</f>
        <v>166.670942854192</v>
      </c>
      <c r="CP18" s="19" t="n">
        <f aca="false">CP13*Inputs!$F$64*Time!CP25*Inputs!$F$127*Time!CP60*CP17/Inputs!$F$65</f>
        <v>165.42906316586</v>
      </c>
      <c r="CQ18" s="19" t="n">
        <f aca="false">CQ13*Inputs!$F$64*Time!CQ25*Inputs!$F$127*Time!CQ60*CQ17/Inputs!$F$65</f>
        <v>172.375255873377</v>
      </c>
      <c r="CR18" s="19" t="n">
        <f aca="false">CR13*Inputs!$F$64*Time!CR25*Inputs!$F$127*Time!CR60*CR17/Inputs!$F$65</f>
        <v>171.090872852711</v>
      </c>
      <c r="CS18" s="19" t="n">
        <f aca="false">CS13*Inputs!$F$64*Time!CS25*Inputs!$F$127*Time!CS60*CS17/Inputs!$F$65</f>
        <v>178.284440171562</v>
      </c>
      <c r="CT18" s="19" t="n">
        <f aca="false">CT13*Inputs!$F$64*Time!CT25*Inputs!$F$127*Time!CT60*CT17/Inputs!$F$65</f>
        <v>176.956027304849</v>
      </c>
      <c r="CU18" s="19" t="n">
        <f aca="false">CU13*Inputs!$F$64*Time!CU25*Inputs!$F$127*Time!CU60*CU17/Inputs!$F$65</f>
        <v>184.402762628334</v>
      </c>
      <c r="CV18" s="19" t="n">
        <f aca="false">CV13*Inputs!$F$64*Time!CV25*Inputs!$F$127*Time!CV60*CV17/Inputs!$F$65</f>
        <v>184.039970236641</v>
      </c>
      <c r="CW18" s="19" t="n">
        <f aca="false">CW13*Inputs!$F$64*Time!CW25*Inputs!$F$127*Time!CW60*CW17/Inputs!$F$65</f>
        <v>190.695297752393</v>
      </c>
      <c r="CX18" s="19" t="n">
        <f aca="false">CX13*Inputs!$F$64*Time!CX25*Inputs!$F$127*Time!CX60*CX17/Inputs!$F$65</f>
        <v>189.27441050664</v>
      </c>
      <c r="CY18" s="19" t="n">
        <f aca="false">CY13*Inputs!$F$64*Time!CY25*Inputs!$F$127*Time!CY60*CY17/Inputs!$F$65</f>
        <v>197.205007811677</v>
      </c>
      <c r="CZ18" s="19" t="n">
        <f aca="false">CZ13*Inputs!$F$64*Time!CZ25*Inputs!$F$127*Time!CZ60*CZ17/Inputs!$F$65</f>
        <v>195.735616150211</v>
      </c>
      <c r="DA18" s="19" t="n">
        <f aca="false">DA13*Inputs!$F$64*Time!DA25*Inputs!$F$127*Time!DA60*DA17/Inputs!$F$65</f>
        <v>203.936361873016</v>
      </c>
      <c r="DB18" s="19" t="n">
        <f aca="false">DB13*Inputs!$F$64*Time!DB25*Inputs!$F$127*Time!DB60*DB17/Inputs!$F$65</f>
        <v>163.27544137479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156.154656957586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0.144216009316764</v>
      </c>
      <c r="AA19" s="19" t="n">
        <f aca="false">AA18*Inputs!$F$128</f>
        <v>0.550148855948294</v>
      </c>
      <c r="AB19" s="19" t="n">
        <f aca="false">AB18*Inputs!$F$128</f>
        <v>0.374444247893789</v>
      </c>
      <c r="AC19" s="19" t="n">
        <f aca="false">AC18*Inputs!$F$128</f>
        <v>0.54658992157056</v>
      </c>
      <c r="AD19" s="19" t="n">
        <f aca="false">AD18*Inputs!$F$128</f>
        <v>0.569938817133302</v>
      </c>
      <c r="AE19" s="19" t="n">
        <f aca="false">AE18*Inputs!$F$128</f>
        <v>0.678227494339584</v>
      </c>
      <c r="AF19" s="19" t="n">
        <f aca="false">AF18*Inputs!$F$128</f>
        <v>0.724620138917674</v>
      </c>
      <c r="AG19" s="19" t="n">
        <f aca="false">AG18*Inputs!$F$128</f>
        <v>0.833418632810534</v>
      </c>
      <c r="AH19" s="19" t="n">
        <f aca="false">AH18*Inputs!$F$128</f>
        <v>0.831740652880805</v>
      </c>
      <c r="AI19" s="19" t="n">
        <f aca="false">AI18*Inputs!$F$128</f>
        <v>0.920974018399546</v>
      </c>
      <c r="AJ19" s="19" t="n">
        <f aca="false">AJ18*Inputs!$F$128</f>
        <v>0.906259224082867</v>
      </c>
      <c r="AK19" s="19" t="n">
        <f aca="false">AK18*Inputs!$F$128</f>
        <v>0.980862923109888</v>
      </c>
      <c r="AL19" s="19" t="n">
        <f aca="false">AL18*Inputs!$F$128</f>
        <v>0.971232376970419</v>
      </c>
      <c r="AM19" s="19" t="n">
        <f aca="false">AM18*Inputs!$F$128</f>
        <v>1.03598105420759</v>
      </c>
      <c r="AN19" s="19" t="n">
        <f aca="false">AN18*Inputs!$F$128</f>
        <v>1.02562268734034</v>
      </c>
      <c r="AO19" s="19" t="n">
        <f aca="false">AO18*Inputs!$F$128</f>
        <v>1.07021121623396</v>
      </c>
      <c r="AP19" s="19" t="n">
        <f aca="false">AP18*Inputs!$F$128</f>
        <v>1.08013393544535</v>
      </c>
      <c r="AQ19" s="19" t="n">
        <f aca="false">AQ18*Inputs!$F$128</f>
        <v>1.12554691479153</v>
      </c>
      <c r="AR19" s="19" t="n">
        <f aca="false">AR18*Inputs!$F$128</f>
        <v>1.14225883963507</v>
      </c>
      <c r="AS19" s="19" t="n">
        <f aca="false">AS18*Inputs!$F$128</f>
        <v>1.18352325296633</v>
      </c>
      <c r="AT19" s="19" t="n">
        <f aca="false">AT18*Inputs!$F$128</f>
        <v>1.19449657182264</v>
      </c>
      <c r="AU19" s="19" t="n">
        <f aca="false">AU18*Inputs!$F$128</f>
        <v>1.24475208875651</v>
      </c>
      <c r="AV19" s="19" t="n">
        <f aca="false">AV18*Inputs!$F$128</f>
        <v>1.25629310540552</v>
      </c>
      <c r="AW19" s="19" t="n">
        <f aca="false">AW18*Inputs!$F$128</f>
        <v>1.3088770429318</v>
      </c>
      <c r="AX19" s="19" t="n">
        <f aca="false">AX18*Inputs!$F$128</f>
        <v>1.31071231617678</v>
      </c>
      <c r="AY19" s="19" t="n">
        <f aca="false">AY18*Inputs!$F$128</f>
        <v>1.36581293815901</v>
      </c>
      <c r="AZ19" s="19" t="n">
        <f aca="false">AZ18*Inputs!$F$128</f>
        <v>1.37528455396929</v>
      </c>
      <c r="BA19" s="19" t="n">
        <f aca="false">BA18*Inputs!$F$128</f>
        <v>1.4249053381776</v>
      </c>
      <c r="BB19" s="19" t="n">
        <f aca="false">BB18*Inputs!$F$128</f>
        <v>1.42690330327135</v>
      </c>
      <c r="BC19" s="19" t="n">
        <f aca="false">BC18*Inputs!$F$128</f>
        <v>1.4867634306492</v>
      </c>
      <c r="BD19" s="19" t="n">
        <f aca="false">BD18*Inputs!$F$128</f>
        <v>1.48884813154652</v>
      </c>
      <c r="BE19" s="19" t="n">
        <f aca="false">BE18*Inputs!$F$128</f>
        <v>1.55148709057452</v>
      </c>
      <c r="BF19" s="19" t="n">
        <f aca="false">BF18*Inputs!$F$128</f>
        <v>1.55366254529934</v>
      </c>
      <c r="BG19" s="19" t="n">
        <f aca="false">BG18*Inputs!$F$128</f>
        <v>1.6191792425781</v>
      </c>
      <c r="BH19" s="19" t="n">
        <f aca="false">BH18*Inputs!$F$128</f>
        <v>1.63040789862989</v>
      </c>
      <c r="BI19" s="19" t="n">
        <f aca="false">BI18*Inputs!$F$128</f>
        <v>1.68937578743776</v>
      </c>
      <c r="BJ19" s="19" t="n">
        <f aca="false">BJ18*Inputs!$F$128</f>
        <v>1.69174458609623</v>
      </c>
      <c r="BK19" s="19" t="n">
        <f aca="false">BK18*Inputs!$F$128</f>
        <v>1.76273563389961</v>
      </c>
      <c r="BL19" s="19" t="n">
        <f aca="false">BL18*Inputs!$F$128</f>
        <v>1.76520729582106</v>
      </c>
      <c r="BM19" s="19" t="n">
        <f aca="false">BM18*Inputs!$F$128</f>
        <v>1.83937081226191</v>
      </c>
      <c r="BN19" s="19" t="n">
        <f aca="false">BN18*Inputs!$F$128</f>
        <v>1.84194993003128</v>
      </c>
      <c r="BO19" s="19" t="n">
        <f aca="false">BO18*Inputs!$F$128</f>
        <v>1.91939673711611</v>
      </c>
      <c r="BP19" s="19" t="n">
        <f aca="false">BP18*Inputs!$F$128</f>
        <v>1.93270733622785</v>
      </c>
      <c r="BQ19" s="19" t="n">
        <f aca="false">BQ18*Inputs!$F$128</f>
        <v>2.00293229965363</v>
      </c>
      <c r="BR19" s="19" t="n">
        <f aca="false">BR18*Inputs!$F$128</f>
        <v>1.98800827692088</v>
      </c>
      <c r="BS19" s="19" t="n">
        <f aca="false">BS18*Inputs!$F$128</f>
        <v>2.07162167188788</v>
      </c>
      <c r="BT19" s="19" t="n">
        <f aca="false">BT18*Inputs!$F$128</f>
        <v>2.05618583866963</v>
      </c>
      <c r="BU19" s="19" t="n">
        <f aca="false">BU18*Inputs!$F$128</f>
        <v>2.14263201892489</v>
      </c>
      <c r="BV19" s="19" t="n">
        <f aca="false">BV18*Inputs!$F$128</f>
        <v>2.12666708143605</v>
      </c>
      <c r="BW19" s="19" t="n">
        <f aca="false">BW18*Inputs!$F$128</f>
        <v>2.21601077570452</v>
      </c>
      <c r="BX19" s="19" t="n">
        <f aca="false">BX18*Inputs!$F$128</f>
        <v>2.21165101537406</v>
      </c>
      <c r="BY19" s="19" t="n">
        <f aca="false">BY18*Inputs!$F$128</f>
        <v>2.2918061439877</v>
      </c>
      <c r="BZ19" s="19" t="n">
        <f aca="false">BZ18*Inputs!$F$128</f>
        <v>2.27472969712135</v>
      </c>
      <c r="CA19" s="19" t="n">
        <f aca="false">CA18*Inputs!$F$128</f>
        <v>2.37006710322585</v>
      </c>
      <c r="CB19" s="19" t="n">
        <f aca="false">CB18*Inputs!$F$128</f>
        <v>2.35240752714692</v>
      </c>
      <c r="CC19" s="19" t="n">
        <f aca="false">CC18*Inputs!$F$128</f>
        <v>2.45148957064189</v>
      </c>
      <c r="CD19" s="19" t="n">
        <f aca="false">CD18*Inputs!$F$128</f>
        <v>2.43322330867803</v>
      </c>
      <c r="CE19" s="19" t="n">
        <f aca="false">CE18*Inputs!$F$128</f>
        <v>2.53548959585881</v>
      </c>
      <c r="CF19" s="19" t="n">
        <f aca="false">CF18*Inputs!$F$128</f>
        <v>2.53050129567566</v>
      </c>
      <c r="CG19" s="19" t="n">
        <f aca="false">CG18*Inputs!$F$128</f>
        <v>2.62211871505659</v>
      </c>
      <c r="CH19" s="19" t="n">
        <f aca="false">CH18*Inputs!$F$128</f>
        <v>2.60258108050038</v>
      </c>
      <c r="CI19" s="19" t="n">
        <f aca="false">CI18*Inputs!$F$128</f>
        <v>2.71209304148237</v>
      </c>
      <c r="CJ19" s="19" t="n">
        <f aca="false">CJ18*Inputs!$F$128</f>
        <v>2.6918850003961</v>
      </c>
      <c r="CK19" s="19" t="n">
        <f aca="false">CK18*Inputs!$F$128</f>
        <v>2.80481396687413</v>
      </c>
      <c r="CL19" s="19" t="n">
        <f aca="false">CL18*Inputs!$F$128</f>
        <v>2.78391505411009</v>
      </c>
      <c r="CM19" s="19" t="n">
        <f aca="false">CM18*Inputs!$F$128</f>
        <v>2.90101145105749</v>
      </c>
      <c r="CN19" s="19" t="n">
        <f aca="false">CN18*Inputs!$F$128</f>
        <v>2.89530402635486</v>
      </c>
      <c r="CO19" s="19" t="n">
        <f aca="false">CO18*Inputs!$F$128</f>
        <v>3.00007697137545</v>
      </c>
      <c r="CP19" s="19" t="n">
        <f aca="false">CP18*Inputs!$F$128</f>
        <v>2.97772313698548</v>
      </c>
      <c r="CQ19" s="19" t="n">
        <f aca="false">CQ18*Inputs!$F$128</f>
        <v>3.10275460572078</v>
      </c>
      <c r="CR19" s="19" t="n">
        <f aca="false">CR18*Inputs!$F$128</f>
        <v>3.0796357113488</v>
      </c>
      <c r="CS19" s="19" t="n">
        <f aca="false">CS18*Inputs!$F$128</f>
        <v>3.20911992308811</v>
      </c>
      <c r="CT19" s="19" t="n">
        <f aca="false">CT18*Inputs!$F$128</f>
        <v>3.18520849148727</v>
      </c>
      <c r="CU19" s="19" t="n">
        <f aca="false">CU18*Inputs!$F$128</f>
        <v>3.31924972731001</v>
      </c>
      <c r="CV19" s="19" t="n">
        <f aca="false">CV18*Inputs!$F$128</f>
        <v>3.31271946425954</v>
      </c>
      <c r="CW19" s="19" t="n">
        <f aca="false">CW18*Inputs!$F$128</f>
        <v>3.43251535954307</v>
      </c>
      <c r="CX19" s="19" t="n">
        <f aca="false">CX18*Inputs!$F$128</f>
        <v>3.40693938911952</v>
      </c>
      <c r="CY19" s="19" t="n">
        <f aca="false">CY18*Inputs!$F$128</f>
        <v>3.54969014061019</v>
      </c>
      <c r="CZ19" s="19" t="n">
        <f aca="false">CZ18*Inputs!$F$128</f>
        <v>3.52324109070379</v>
      </c>
      <c r="DA19" s="19" t="n">
        <f aca="false">DA18*Inputs!$F$128</f>
        <v>3.67085451371428</v>
      </c>
      <c r="DB19" s="19" t="n">
        <f aca="false">DB18*Inputs!$F$128</f>
        <v>2.93895794474623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8519.10406290833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7.86778450828124</v>
      </c>
      <c r="AA20" s="19" t="n">
        <f aca="false">AA18-AA19</f>
        <v>30.0136764745125</v>
      </c>
      <c r="AB20" s="19" t="n">
        <f aca="false">AB18-AB19</f>
        <v>20.4280139684278</v>
      </c>
      <c r="AC20" s="19" t="n">
        <f aca="false">AC18-AC19</f>
        <v>29.8195168323494</v>
      </c>
      <c r="AD20" s="19" t="n">
        <f aca="false">AD18-AD19</f>
        <v>31.0933288013835</v>
      </c>
      <c r="AE20" s="19" t="n">
        <f aca="false">AE18-AE19</f>
        <v>37.0010777467484</v>
      </c>
      <c r="AF20" s="19" t="n">
        <f aca="false">AF18-AF19</f>
        <v>39.5320542453975</v>
      </c>
      <c r="AG20" s="19" t="n">
        <f aca="false">AG18-AG19</f>
        <v>45.4676165233303</v>
      </c>
      <c r="AH20" s="19" t="n">
        <f aca="false">AH18-AH19</f>
        <v>45.3760733960528</v>
      </c>
      <c r="AI20" s="19" t="n">
        <f aca="false">AI18-AI19</f>
        <v>50.2442492260197</v>
      </c>
      <c r="AJ20" s="19" t="n">
        <f aca="false">AJ18-AJ19</f>
        <v>49.4414754471875</v>
      </c>
      <c r="AK20" s="19" t="n">
        <f aca="false">AK18-AK19</f>
        <v>53.5115216941061</v>
      </c>
      <c r="AL20" s="19" t="n">
        <f aca="false">AL18-AL19</f>
        <v>52.986121899164</v>
      </c>
      <c r="AM20" s="19" t="n">
        <f aca="false">AM18-AM19</f>
        <v>56.5185219573252</v>
      </c>
      <c r="AN20" s="19" t="n">
        <f aca="false">AN18-AN19</f>
        <v>55.9534154982341</v>
      </c>
      <c r="AO20" s="19" t="n">
        <f aca="false">AO18-AO19</f>
        <v>58.3859674634306</v>
      </c>
      <c r="AP20" s="19" t="n">
        <f aca="false">AP18-AP19</f>
        <v>58.9273069226296</v>
      </c>
      <c r="AQ20" s="19" t="n">
        <f aca="false">AQ18-AQ19</f>
        <v>61.4048372402935</v>
      </c>
      <c r="AR20" s="19" t="n">
        <f aca="false">AR18-AR19</f>
        <v>62.3165655845353</v>
      </c>
      <c r="AS20" s="19" t="n">
        <f aca="false">AS18-AS19</f>
        <v>64.5677685784965</v>
      </c>
      <c r="AT20" s="19" t="n">
        <f aca="false">AT18-AT19</f>
        <v>65.1664240849906</v>
      </c>
      <c r="AU20" s="19" t="n">
        <f aca="false">AU18-AU19</f>
        <v>67.9081417310496</v>
      </c>
      <c r="AV20" s="19" t="n">
        <f aca="false">AV18-AV19</f>
        <v>68.5377683060125</v>
      </c>
      <c r="AW20" s="19" t="n">
        <f aca="false">AW18-AW19</f>
        <v>71.4065142310571</v>
      </c>
      <c r="AX20" s="19" t="n">
        <f aca="false">AX18-AX19</f>
        <v>71.5066385825333</v>
      </c>
      <c r="AY20" s="19" t="n">
        <f aca="false">AY18-AY19</f>
        <v>74.5126836262306</v>
      </c>
      <c r="AZ20" s="19" t="n">
        <f aca="false">AZ18-AZ19</f>
        <v>75.029412888769</v>
      </c>
      <c r="BA20" s="19" t="n">
        <f aca="false">BA18-BA19</f>
        <v>77.7365023383556</v>
      </c>
      <c r="BB20" s="19" t="n">
        <f aca="false">BB18-BB19</f>
        <v>77.8455024340257</v>
      </c>
      <c r="BC20" s="19" t="n">
        <f aca="false">BC18-BC19</f>
        <v>81.1112049387507</v>
      </c>
      <c r="BD20" s="19" t="n">
        <f aca="false">BD18-BD19</f>
        <v>81.2249369543714</v>
      </c>
      <c r="BE20" s="19" t="n">
        <f aca="false">BE18-BE19</f>
        <v>84.6422401635652</v>
      </c>
      <c r="BF20" s="19" t="n">
        <f aca="false">BF18-BF19</f>
        <v>84.7609233046642</v>
      </c>
      <c r="BG20" s="19" t="n">
        <f aca="false">BG18-BG19</f>
        <v>88.3352231228719</v>
      </c>
      <c r="BH20" s="19" t="n">
        <f aca="false">BH18-BH19</f>
        <v>88.9478086919197</v>
      </c>
      <c r="BI20" s="19" t="n">
        <f aca="false">BI18-BI19</f>
        <v>92.1648346257713</v>
      </c>
      <c r="BJ20" s="19" t="n">
        <f aca="false">BJ18-BJ19</f>
        <v>92.2940657525835</v>
      </c>
      <c r="BK20" s="19" t="n">
        <f aca="false">BK18-BK19</f>
        <v>96.1670218049679</v>
      </c>
      <c r="BL20" s="19" t="n">
        <f aca="false">BL18-BL19</f>
        <v>96.3018646942379</v>
      </c>
      <c r="BM20" s="19" t="n">
        <f aca="false">BM18-BM19</f>
        <v>100.347896535622</v>
      </c>
      <c r="BN20" s="19" t="n">
        <f aca="false">BN18-BN19</f>
        <v>100.488601738373</v>
      </c>
      <c r="BO20" s="19" t="n">
        <f aca="false">BO18-BO19</f>
        <v>104.71375532489</v>
      </c>
      <c r="BP20" s="19" t="n">
        <f aca="false">BP18-BP19</f>
        <v>105.439922454209</v>
      </c>
      <c r="BQ20" s="19" t="n">
        <f aca="false">BQ18-BQ19</f>
        <v>109.27108434777</v>
      </c>
      <c r="BR20" s="19" t="n">
        <f aca="false">BR18-BR19</f>
        <v>108.456895996462</v>
      </c>
      <c r="BS20" s="19" t="n">
        <f aca="false">BS18-BS19</f>
        <v>113.018471210772</v>
      </c>
      <c r="BT20" s="19" t="n">
        <f aca="false">BT18-BT19</f>
        <v>112.176360754088</v>
      </c>
      <c r="BU20" s="19" t="n">
        <f aca="false">BU18-BU19</f>
        <v>116.892480143569</v>
      </c>
      <c r="BV20" s="19" t="n">
        <f aca="false">BV18-BV19</f>
        <v>116.021504109456</v>
      </c>
      <c r="BW20" s="19" t="n">
        <f aca="false">BW18-BW19</f>
        <v>120.895698985658</v>
      </c>
      <c r="BX20" s="19" t="n">
        <f aca="false">BX18-BX19</f>
        <v>120.65784983874</v>
      </c>
      <c r="BY20" s="19" t="n">
        <f aca="false">BY18-BY19</f>
        <v>125.030757410884</v>
      </c>
      <c r="BZ20" s="19" t="n">
        <f aca="false">BZ18-BZ19</f>
        <v>124.099142365176</v>
      </c>
      <c r="CA20" s="19" t="n">
        <f aca="false">CA18-CA19</f>
        <v>129.300327520433</v>
      </c>
      <c r="CB20" s="19" t="n">
        <f aca="false">CB18-CB19</f>
        <v>128.336899536571</v>
      </c>
      <c r="CC20" s="19" t="n">
        <f aca="false">CC18-CC19</f>
        <v>133.742375465019</v>
      </c>
      <c r="CD20" s="19" t="n">
        <f aca="false">CD18-CD19</f>
        <v>132.745849395657</v>
      </c>
      <c r="CE20" s="19" t="n">
        <f aca="false">CE18-CE19</f>
        <v>138.325043507409</v>
      </c>
      <c r="CF20" s="19" t="n">
        <f aca="false">CF18-CF19</f>
        <v>138.052904019639</v>
      </c>
      <c r="CG20" s="19" t="n">
        <f aca="false">CG18-CG19</f>
        <v>143.051143232532</v>
      </c>
      <c r="CH20" s="19" t="n">
        <f aca="false">CH18-CH19</f>
        <v>141.985256725076</v>
      </c>
      <c r="CI20" s="19" t="n">
        <f aca="false">CI18-CI19</f>
        <v>147.959742596427</v>
      </c>
      <c r="CJ20" s="19" t="n">
        <f aca="false">CJ18-CJ19</f>
        <v>146.857281688276</v>
      </c>
      <c r="CK20" s="19" t="n">
        <f aca="false">CK18-CK19</f>
        <v>153.0181841928</v>
      </c>
      <c r="CL20" s="19" t="n">
        <f aca="false">CL18-CL19</f>
        <v>151.87803239645</v>
      </c>
      <c r="CM20" s="19" t="n">
        <f aca="false">CM18-CM19</f>
        <v>158.26629138547</v>
      </c>
      <c r="CN20" s="19" t="n">
        <f aca="false">CN18-CN19</f>
        <v>157.954919660026</v>
      </c>
      <c r="CO20" s="19" t="n">
        <f aca="false">CO18-CO19</f>
        <v>163.670865882816</v>
      </c>
      <c r="CP20" s="19" t="n">
        <f aca="false">CP18-CP19</f>
        <v>162.451340028874</v>
      </c>
      <c r="CQ20" s="19" t="n">
        <f aca="false">CQ18-CQ19</f>
        <v>169.272501267656</v>
      </c>
      <c r="CR20" s="19" t="n">
        <f aca="false">CR18-CR19</f>
        <v>168.011237141363</v>
      </c>
      <c r="CS20" s="19" t="n">
        <f aca="false">CS18-CS19</f>
        <v>175.075320248474</v>
      </c>
      <c r="CT20" s="19" t="n">
        <f aca="false">CT18-CT19</f>
        <v>173.770818813361</v>
      </c>
      <c r="CU20" s="19" t="n">
        <f aca="false">CU18-CU19</f>
        <v>181.083512901024</v>
      </c>
      <c r="CV20" s="19" t="n">
        <f aca="false">CV18-CV19</f>
        <v>180.727250772382</v>
      </c>
      <c r="CW20" s="19" t="n">
        <f aca="false">CW18-CW19</f>
        <v>187.26278239285</v>
      </c>
      <c r="CX20" s="19" t="n">
        <f aca="false">CX18-CX19</f>
        <v>185.867471117521</v>
      </c>
      <c r="CY20" s="19" t="n">
        <f aca="false">CY18-CY19</f>
        <v>193.655317671067</v>
      </c>
      <c r="CZ20" s="19" t="n">
        <f aca="false">CZ18-CZ19</f>
        <v>192.212375059507</v>
      </c>
      <c r="DA20" s="19" t="n">
        <f aca="false">DA18-DA19</f>
        <v>200.265507359301</v>
      </c>
      <c r="DB20" s="19" t="n">
        <f aca="false">DB18-DB19</f>
        <v>160.336483430044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10.26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10.26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0.161194365089096</v>
      </c>
      <c r="AA23" s="27" t="n">
        <f aca="false">Time!AA56*Time!AA25/Inputs!$F$45*Inputs!$F$221</f>
        <v>0.539268421388975</v>
      </c>
      <c r="AB23" s="27" t="n">
        <f aca="false">Time!AB56*Time!AB25/Inputs!$F$45*Inputs!$F$221</f>
        <v>0.538207469386025</v>
      </c>
      <c r="AC23" s="27" t="n">
        <f aca="false">Time!AC56*Time!AC25/Inputs!$F$45*Inputs!$F$221</f>
        <v>0.544121837181476</v>
      </c>
      <c r="AD23" s="27" t="n">
        <f aca="false">Time!AD56*Time!AD25/Inputs!$F$45*Inputs!$F$221</f>
        <v>0.553448795194902</v>
      </c>
      <c r="AE23" s="27" t="n">
        <f aca="false">Time!AE56*Time!AE25/Inputs!$F$45*Inputs!$F$221</f>
        <v>0.562621979645646</v>
      </c>
      <c r="AF23" s="27" t="n">
        <f aca="false">Time!AF56*Time!AF25/Inputs!$F$45*Inputs!$F$221</f>
        <v>0.59274365965374</v>
      </c>
      <c r="AG23" s="27" t="n">
        <f aca="false">Time!AG56*Time!AG25/Inputs!$F$45*Inputs!$F$221</f>
        <v>0.602568140200487</v>
      </c>
      <c r="AH23" s="27" t="n">
        <f aca="false">Time!AH56*Time!AH25/Inputs!$F$45*Inputs!$F$221</f>
        <v>0.624751817275042</v>
      </c>
      <c r="AI23" s="27" t="n">
        <f aca="false">Time!AI56*Time!AI25/Inputs!$F$45*Inputs!$F$221</f>
        <v>0.635106819771313</v>
      </c>
      <c r="AJ23" s="27" t="n">
        <f aca="false">Time!AJ56*Time!AJ25/Inputs!$F$45*Inputs!$F$221</f>
        <v>0.648934199771334</v>
      </c>
      <c r="AK23" s="27" t="n">
        <f aca="false">Time!AK56*Time!AK25/Inputs!$F$45*Inputs!$F$221</f>
        <v>0.656065344823767</v>
      </c>
      <c r="AL23" s="27" t="n">
        <f aca="false">Time!AL56*Time!AL25/Inputs!$F$45*Inputs!$F$221</f>
        <v>0.662793580180736</v>
      </c>
      <c r="AM23" s="27" t="n">
        <f aca="false">Time!AM56*Time!AM25/Inputs!$F$45*Inputs!$F$221</f>
        <v>0.673779109134008</v>
      </c>
      <c r="AN23" s="27" t="n">
        <f aca="false">Time!AN56*Time!AN25/Inputs!$F$45*Inputs!$F$221</f>
        <v>0.680026213265435</v>
      </c>
      <c r="AO23" s="27" t="n">
        <f aca="false">Time!AO56*Time!AO25/Inputs!$F$45*Inputs!$F$221</f>
        <v>0.691297365971492</v>
      </c>
      <c r="AP23" s="27" t="n">
        <f aca="false">Time!AP56*Time!AP25/Inputs!$F$45*Inputs!$F$221</f>
        <v>0.697026868597071</v>
      </c>
      <c r="AQ23" s="27" t="n">
        <f aca="false">Time!AQ56*Time!AQ25/Inputs!$F$45*Inputs!$F$221</f>
        <v>0.70857980012078</v>
      </c>
      <c r="AR23" s="27" t="n">
        <f aca="false">Time!AR56*Time!AR25/Inputs!$F$45*Inputs!$F$221</f>
        <v>0.718399791915932</v>
      </c>
      <c r="AS23" s="27" t="n">
        <f aca="false">Time!AS56*Time!AS25/Inputs!$F$45*Inputs!$F$221</f>
        <v>0.726294295123799</v>
      </c>
      <c r="AT23" s="27" t="n">
        <f aca="false">Time!AT56*Time!AT25/Inputs!$F$45*Inputs!$F$221</f>
        <v>0.732313853819798</v>
      </c>
      <c r="AU23" s="27" t="n">
        <f aca="false">Time!AU56*Time!AU25/Inputs!$F$45*Inputs!$F$221</f>
        <v>0.744451652501894</v>
      </c>
      <c r="AV23" s="27" t="n">
        <f aca="false">Time!AV56*Time!AV25/Inputs!$F$45*Inputs!$F$221</f>
        <v>0.750621700165293</v>
      </c>
      <c r="AW23" s="27" t="n">
        <f aca="false">Time!AW56*Time!AW25/Inputs!$F$45*Inputs!$F$221</f>
        <v>0.763062943814441</v>
      </c>
      <c r="AX23" s="27" t="n">
        <f aca="false">Time!AX56*Time!AX25/Inputs!$F$45*Inputs!$F$221</f>
        <v>0.769387242669425</v>
      </c>
      <c r="AY23" s="27" t="n">
        <f aca="false">Time!AY56*Time!AY25/Inputs!$F$45*Inputs!$F$221</f>
        <v>0.782139517409802</v>
      </c>
      <c r="AZ23" s="27" t="n">
        <f aca="false">Time!AZ56*Time!AZ25/Inputs!$F$45*Inputs!$F$221</f>
        <v>0.792978950939123</v>
      </c>
      <c r="BA23" s="27" t="n">
        <f aca="false">Time!BA56*Time!BA25/Inputs!$F$45*Inputs!$F$221</f>
        <v>0.801693005345047</v>
      </c>
      <c r="BB23" s="27" t="n">
        <f aca="false">Time!BB56*Time!BB25/Inputs!$F$45*Inputs!$F$221</f>
        <v>0.808337471829565</v>
      </c>
      <c r="BC23" s="27" t="n">
        <f aca="false">Time!BC56*Time!BC25/Inputs!$F$45*Inputs!$F$221</f>
        <v>0.821735330478673</v>
      </c>
      <c r="BD23" s="27" t="n">
        <f aca="false">Time!BD56*Time!BD25/Inputs!$F$45*Inputs!$F$221</f>
        <v>0.828545908625304</v>
      </c>
      <c r="BE23" s="27" t="n">
        <f aca="false">Time!BE56*Time!BE25/Inputs!$F$45*Inputs!$F$221</f>
        <v>0.84227871374064</v>
      </c>
      <c r="BF23" s="27" t="n">
        <f aca="false">Time!BF56*Time!BF25/Inputs!$F$45*Inputs!$F$221</f>
        <v>0.849259556340936</v>
      </c>
      <c r="BG23" s="27" t="n">
        <f aca="false">Time!BG56*Time!BG25/Inputs!$F$45*Inputs!$F$221</f>
        <v>0.863335681584156</v>
      </c>
      <c r="BH23" s="27" t="n">
        <f aca="false">Time!BH56*Time!BH25/Inputs!$F$45*Inputs!$F$221</f>
        <v>0.875300388040893</v>
      </c>
      <c r="BI23" s="27" t="n">
        <f aca="false">Time!BI56*Time!BI25/Inputs!$F$45*Inputs!$F$221</f>
        <v>0.88491907362376</v>
      </c>
      <c r="BJ23" s="27" t="n">
        <f aca="false">Time!BJ56*Time!BJ25/Inputs!$F$45*Inputs!$F$221</f>
        <v>0.892253321380696</v>
      </c>
      <c r="BK23" s="27" t="n">
        <f aca="false">Time!BK56*Time!BK25/Inputs!$F$45*Inputs!$F$221</f>
        <v>0.907042050464354</v>
      </c>
      <c r="BL23" s="27" t="n">
        <f aca="false">Time!BL56*Time!BL25/Inputs!$F$45*Inputs!$F$221</f>
        <v>0.914559654415213</v>
      </c>
      <c r="BM23" s="27" t="n">
        <f aca="false">Time!BM56*Time!BM25/Inputs!$F$45*Inputs!$F$221</f>
        <v>0.929718101725963</v>
      </c>
      <c r="BN23" s="27" t="n">
        <f aca="false">Time!BN56*Time!BN25/Inputs!$F$45*Inputs!$F$221</f>
        <v>0.937423645775593</v>
      </c>
      <c r="BO23" s="27" t="n">
        <f aca="false">Time!BO56*Time!BO25/Inputs!$F$45*Inputs!$F$221</f>
        <v>0.952961054269112</v>
      </c>
      <c r="BP23" s="27" t="n">
        <f aca="false">Time!BP56*Time!BP25/Inputs!$F$45*Inputs!$F$221</f>
        <v>0.966167851488602</v>
      </c>
      <c r="BQ23" s="27" t="n">
        <f aca="false">Time!BQ56*Time!BQ25/Inputs!$F$45*Inputs!$F$221</f>
        <v>0.976785080625839</v>
      </c>
      <c r="BR23" s="27" t="n">
        <f aca="false">Time!BR56*Time!BR25/Inputs!$F$45*Inputs!$F$221</f>
        <v>0.984880717842983</v>
      </c>
      <c r="BS23" s="27" t="n">
        <f aca="false">Time!BS56*Time!BS25/Inputs!$F$45*Inputs!$F$221</f>
        <v>1.00120470764149</v>
      </c>
      <c r="BT23" s="27" t="n">
        <f aca="false">Time!BT56*Time!BT25/Inputs!$F$45*Inputs!$F$221</f>
        <v>1.00950273578906</v>
      </c>
      <c r="BU23" s="27" t="n">
        <f aca="false">Time!BU56*Time!BU25/Inputs!$F$45*Inputs!$F$221</f>
        <v>1.02623482533252</v>
      </c>
      <c r="BV23" s="27" t="n">
        <f aca="false">Time!BV56*Time!BV25/Inputs!$F$45*Inputs!$F$221</f>
        <v>1.03474030418378</v>
      </c>
      <c r="BW23" s="27" t="n">
        <f aca="false">Time!BW56*Time!BW25/Inputs!$F$45*Inputs!$F$221</f>
        <v>1.05189069596584</v>
      </c>
      <c r="BX23" s="27" t="n">
        <f aca="false">Time!BX56*Time!BX25/Inputs!$F$45*Inputs!$F$221</f>
        <v>1.06646852898058</v>
      </c>
      <c r="BY23" s="27" t="n">
        <f aca="false">Time!BY56*Time!BY25/Inputs!$F$45*Inputs!$F$221</f>
        <v>1.07818796336498</v>
      </c>
      <c r="BZ23" s="27" t="n">
        <f aca="false">Time!BZ56*Time!BZ25/Inputs!$F$45*Inputs!$F$221</f>
        <v>1.08712403208309</v>
      </c>
      <c r="CA23" s="27" t="n">
        <f aca="false">Time!CA56*Time!CA25/Inputs!$F$45*Inputs!$F$221</f>
        <v>1.10514266244911</v>
      </c>
      <c r="CB23" s="27" t="n">
        <f aca="false">Time!CB56*Time!CB25/Inputs!$F$45*Inputs!$F$221</f>
        <v>1.11430213288516</v>
      </c>
      <c r="CC23" s="27" t="n">
        <f aca="false">Time!CC56*Time!CC25/Inputs!$F$45*Inputs!$F$221</f>
        <v>1.13277122901033</v>
      </c>
      <c r="CD23" s="27" t="n">
        <f aca="false">Time!CD56*Time!CD25/Inputs!$F$45*Inputs!$F$221</f>
        <v>1.14215968620729</v>
      </c>
      <c r="CE23" s="27" t="n">
        <f aca="false">Time!CE56*Time!CE25/Inputs!$F$45*Inputs!$F$221</f>
        <v>1.16109050973559</v>
      </c>
      <c r="CF23" s="27" t="n">
        <f aca="false">Time!CF56*Time!CF25/Inputs!$F$45*Inputs!$F$221</f>
        <v>1.17718170973464</v>
      </c>
      <c r="CG23" s="27" t="n">
        <f aca="false">Time!CG56*Time!CG25/Inputs!$F$45*Inputs!$F$221</f>
        <v>1.19011777247898</v>
      </c>
      <c r="CH23" s="27" t="n">
        <f aca="false">Time!CH56*Time!CH25/Inputs!$F$45*Inputs!$F$221</f>
        <v>1.19998152032154</v>
      </c>
      <c r="CI23" s="27" t="n">
        <f aca="false">Time!CI56*Time!CI25/Inputs!$F$45*Inputs!$F$221</f>
        <v>1.21987071679096</v>
      </c>
      <c r="CJ23" s="27" t="n">
        <f aca="false">Time!CJ56*Time!CJ25/Inputs!$F$45*Inputs!$F$221</f>
        <v>1.22998105832958</v>
      </c>
      <c r="CK23" s="27" t="n">
        <f aca="false">Time!CK56*Time!CK25/Inputs!$F$45*Inputs!$F$221</f>
        <v>1.25036748471073</v>
      </c>
      <c r="CL23" s="27" t="n">
        <f aca="false">Time!CL56*Time!CL25/Inputs!$F$45*Inputs!$F$221</f>
        <v>1.26073058478782</v>
      </c>
      <c r="CM23" s="27" t="n">
        <f aca="false">Time!CM56*Time!CM25/Inputs!$F$45*Inputs!$F$221</f>
        <v>1.2816266718285</v>
      </c>
      <c r="CN23" s="27" t="n">
        <f aca="false">Time!CN56*Time!CN25/Inputs!$F$45*Inputs!$F$221</f>
        <v>1.29938834581308</v>
      </c>
      <c r="CO23" s="27" t="n">
        <f aca="false">Time!CO56*Time!CO25/Inputs!$F$45*Inputs!$F$221</f>
        <v>1.31366733862421</v>
      </c>
      <c r="CP23" s="27" t="n">
        <f aca="false">Time!CP56*Time!CP25/Inputs!$F$45*Inputs!$F$221</f>
        <v>1.3245550706427</v>
      </c>
      <c r="CQ23" s="27" t="n">
        <f aca="false">Time!CQ56*Time!CQ25/Inputs!$F$45*Inputs!$F$221</f>
        <v>1.34650902208981</v>
      </c>
      <c r="CR23" s="27" t="n">
        <f aca="false">Time!CR56*Time!CR25/Inputs!$F$45*Inputs!$F$221</f>
        <v>1.35766894740877</v>
      </c>
      <c r="CS23" s="27" t="n">
        <f aca="false">Time!CS56*Time!CS25/Inputs!$F$45*Inputs!$F$221</f>
        <v>1.38017174764206</v>
      </c>
      <c r="CT23" s="27" t="n">
        <f aca="false">Time!CT56*Time!CT25/Inputs!$F$45*Inputs!$F$221</f>
        <v>1.39161067109398</v>
      </c>
      <c r="CU23" s="27" t="n">
        <f aca="false">Time!CU56*Time!CU25/Inputs!$F$45*Inputs!$F$221</f>
        <v>1.41467604133311</v>
      </c>
      <c r="CV23" s="27" t="n">
        <f aca="false">Time!CV56*Time!CV25/Inputs!$F$45*Inputs!$F$221</f>
        <v>1.43428160603637</v>
      </c>
      <c r="CW23" s="27" t="n">
        <f aca="false">Time!CW56*Time!CW25/Inputs!$F$45*Inputs!$F$221</f>
        <v>1.45004294236644</v>
      </c>
      <c r="CX23" s="27" t="n">
        <f aca="false">Time!CX56*Time!CX25/Inputs!$F$45*Inputs!$F$221</f>
        <v>1.46206096131812</v>
      </c>
      <c r="CY23" s="27" t="n">
        <f aca="false">Time!CY56*Time!CY25/Inputs!$F$45*Inputs!$F$221</f>
        <v>1.4862940159256</v>
      </c>
      <c r="CZ23" s="27" t="n">
        <f aca="false">Time!CZ56*Time!CZ25/Inputs!$F$45*Inputs!$F$221</f>
        <v>1.49861248535107</v>
      </c>
      <c r="DA23" s="27" t="n">
        <f aca="false">Time!DA56*Time!DA25/Inputs!$F$45*Inputs!$F$221</f>
        <v>1.52345136632374</v>
      </c>
      <c r="DB23" s="27" t="n">
        <f aca="false">Time!DB56*Time!DB25/Inputs!$F$45*Inputs!$F$221</f>
        <v>1.23904617918667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858.327202369148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1.9085412826549</v>
      </c>
      <c r="AA24" s="19" t="n">
        <f aca="false">Inputs!$F$141*AA23*IF(Time!AA23=1,1-Inputs!$F$142,1)</f>
        <v>6.38493810924547</v>
      </c>
      <c r="AB24" s="19" t="n">
        <f aca="false">Inputs!$F$141*AB23*IF(Time!AB23=1,1-Inputs!$F$142,1)</f>
        <v>6.37237643753054</v>
      </c>
      <c r="AC24" s="19" t="n">
        <f aca="false">Inputs!$F$141*AC23*IF(Time!AC23=1,1-Inputs!$F$142,1)</f>
        <v>6.44240255222868</v>
      </c>
      <c r="AD24" s="19" t="n">
        <f aca="false">Inputs!$F$141*AD23*IF(Time!AD23=1,1-Inputs!$F$142,1)</f>
        <v>6.55283373510764</v>
      </c>
      <c r="AE24" s="19" t="n">
        <f aca="false">Inputs!$F$141*AE23*IF(Time!AE23=1,1-Inputs!$F$142,1)</f>
        <v>6.66144423900445</v>
      </c>
      <c r="AF24" s="19" t="n">
        <f aca="false">Inputs!$F$141*AF23*IF(Time!AF23=1,1-Inputs!$F$142,1)</f>
        <v>7.01808493030028</v>
      </c>
      <c r="AG24" s="19" t="n">
        <f aca="false">Inputs!$F$141*AG23*IF(Time!AG23=1,1-Inputs!$F$142,1)</f>
        <v>7.13440677997377</v>
      </c>
      <c r="AH24" s="19" t="n">
        <f aca="false">Inputs!$F$141*AH23*IF(Time!AH23=1,1-Inputs!$F$142,1)</f>
        <v>7.3970615165365</v>
      </c>
      <c r="AI24" s="19" t="n">
        <f aca="false">Inputs!$F$141*AI23*IF(Time!AI23=1,1-Inputs!$F$142,1)</f>
        <v>7.51966474609235</v>
      </c>
      <c r="AJ24" s="19" t="n">
        <f aca="false">Inputs!$F$141*AJ23*IF(Time!AJ23=1,1-Inputs!$F$142,1)</f>
        <v>7.06871045126919</v>
      </c>
      <c r="AK24" s="19" t="n">
        <f aca="false">Inputs!$F$141*AK23*IF(Time!AK23=1,1-Inputs!$F$142,1)</f>
        <v>7.14638858809632</v>
      </c>
      <c r="AL24" s="19" t="n">
        <f aca="false">Inputs!$F$141*AL23*IF(Time!AL23=1,1-Inputs!$F$142,1)</f>
        <v>7.21967791019273</v>
      </c>
      <c r="AM24" s="19" t="n">
        <f aca="false">Inputs!$F$141*AM23*IF(Time!AM23=1,1-Inputs!$F$142,1)</f>
        <v>7.33934107997493</v>
      </c>
      <c r="AN24" s="19" t="n">
        <f aca="false">Inputs!$F$141*AN23*IF(Time!AN23=1,1-Inputs!$F$142,1)</f>
        <v>7.40738953585774</v>
      </c>
      <c r="AO24" s="19" t="n">
        <f aca="false">Inputs!$F$141*AO23*IF(Time!AO23=1,1-Inputs!$F$142,1)</f>
        <v>7.53016394805427</v>
      </c>
      <c r="AP24" s="19" t="n">
        <f aca="false">Inputs!$F$141*AP23*IF(Time!AP23=1,1-Inputs!$F$142,1)</f>
        <v>7.59257427425418</v>
      </c>
      <c r="AQ24" s="19" t="n">
        <f aca="false">Inputs!$F$141*AQ23*IF(Time!AQ23=1,1-Inputs!$F$142,1)</f>
        <v>7.71841804675563</v>
      </c>
      <c r="AR24" s="19" t="n">
        <f aca="false">Inputs!$F$141*AR23*IF(Time!AR23=1,1-Inputs!$F$142,1)</f>
        <v>7.82538525338186</v>
      </c>
      <c r="AS24" s="19" t="n">
        <f aca="false">Inputs!$F$141*AS23*IF(Time!AS23=1,1-Inputs!$F$142,1)</f>
        <v>7.91137849792452</v>
      </c>
      <c r="AT24" s="19" t="n">
        <f aca="false">Inputs!$F$141*AT23*IF(Time!AT23=1,1-Inputs!$F$142,1)</f>
        <v>7.97694834688829</v>
      </c>
      <c r="AU24" s="19" t="n">
        <f aca="false">Inputs!$F$141*AU23*IF(Time!AU23=1,1-Inputs!$F$142,1)</f>
        <v>8.10916296037263</v>
      </c>
      <c r="AV24" s="19" t="n">
        <f aca="false">Inputs!$F$141*AV23*IF(Time!AV23=1,1-Inputs!$F$142,1)</f>
        <v>8.1763720555605</v>
      </c>
      <c r="AW24" s="19" t="n">
        <f aca="false">Inputs!$F$141*AW23*IF(Time!AW23=1,1-Inputs!$F$142,1)</f>
        <v>8.31189203438195</v>
      </c>
      <c r="AX24" s="19" t="n">
        <f aca="false">Inputs!$F$141*AX23*IF(Time!AX23=1,1-Inputs!$F$142,1)</f>
        <v>8.38078135694951</v>
      </c>
      <c r="AY24" s="19" t="n">
        <f aca="false">Inputs!$F$141*AY23*IF(Time!AY23=1,1-Inputs!$F$142,1)</f>
        <v>8.5196893352415</v>
      </c>
      <c r="AZ24" s="19" t="n">
        <f aca="false">Inputs!$F$141*AZ23*IF(Time!AZ23=1,1-Inputs!$F$142,1)</f>
        <v>8.63776111678968</v>
      </c>
      <c r="BA24" s="19" t="n">
        <f aca="false">Inputs!$F$141*BA23*IF(Time!BA23=1,1-Inputs!$F$142,1)</f>
        <v>8.73268156862253</v>
      </c>
      <c r="BB24" s="19" t="n">
        <f aca="false">Inputs!$F$141*BB23*IF(Time!BB23=1,1-Inputs!$F$142,1)</f>
        <v>8.80505841314508</v>
      </c>
      <c r="BC24" s="19" t="n">
        <f aca="false">Inputs!$F$141*BC23*IF(Time!BC23=1,1-Inputs!$F$142,1)</f>
        <v>8.9509986078381</v>
      </c>
      <c r="BD24" s="19" t="n">
        <f aca="false">Inputs!$F$141*BD23*IF(Time!BD23=1,1-Inputs!$F$142,1)</f>
        <v>9.02518487347371</v>
      </c>
      <c r="BE24" s="19" t="n">
        <f aca="false">Inputs!$F$141*BE23*IF(Time!BE23=1,1-Inputs!$F$142,1)</f>
        <v>9.17477357303404</v>
      </c>
      <c r="BF24" s="19" t="n">
        <f aca="false">Inputs!$F$141*BF23*IF(Time!BF23=1,1-Inputs!$F$142,1)</f>
        <v>9.25081449531055</v>
      </c>
      <c r="BG24" s="19" t="n">
        <f aca="false">Inputs!$F$141*BG23*IF(Time!BG23=1,1-Inputs!$F$142,1)</f>
        <v>9.4041429123599</v>
      </c>
      <c r="BH24" s="19" t="n">
        <f aca="false">Inputs!$F$141*BH23*IF(Time!BH23=1,1-Inputs!$F$142,1)</f>
        <v>9.53447206685184</v>
      </c>
      <c r="BI24" s="19" t="n">
        <f aca="false">Inputs!$F$141*BI23*IF(Time!BI23=1,1-Inputs!$F$142,1)</f>
        <v>9.63924648516889</v>
      </c>
      <c r="BJ24" s="19" t="n">
        <f aca="false">Inputs!$F$141*BJ23*IF(Time!BJ23=1,1-Inputs!$F$142,1)</f>
        <v>9.71913697913564</v>
      </c>
      <c r="BK24" s="19" t="n">
        <f aca="false">Inputs!$F$141*BK23*IF(Time!BK23=1,1-Inputs!$F$142,1)</f>
        <v>9.88022764729811</v>
      </c>
      <c r="BL24" s="19" t="n">
        <f aca="false">Inputs!$F$141*BL23*IF(Time!BL23=1,1-Inputs!$F$142,1)</f>
        <v>9.96211540361403</v>
      </c>
      <c r="BM24" s="19" t="n">
        <f aca="false">Inputs!$F$141*BM23*IF(Time!BM23=1,1-Inputs!$F$142,1)</f>
        <v>10.1272333384806</v>
      </c>
      <c r="BN24" s="19" t="n">
        <f aca="false">Inputs!$F$141*BN23*IF(Time!BN23=1,1-Inputs!$F$142,1)</f>
        <v>10.2111682887044</v>
      </c>
      <c r="BO24" s="19" t="n">
        <f aca="false">Inputs!$F$141*BO23*IF(Time!BO23=1,1-Inputs!$F$142,1)</f>
        <v>10.3804141719426</v>
      </c>
      <c r="BP24" s="19" t="n">
        <f aca="false">Inputs!$F$141*BP23*IF(Time!BP23=1,1-Inputs!$F$142,1)</f>
        <v>10.524273172695</v>
      </c>
      <c r="BQ24" s="19" t="n">
        <f aca="false">Inputs!$F$141*BQ23*IF(Time!BQ23=1,1-Inputs!$F$142,1)</f>
        <v>10.6399245262411</v>
      </c>
      <c r="BR24" s="19" t="n">
        <f aca="false">Inputs!$F$141*BR23*IF(Time!BR23=1,1-Inputs!$F$142,1)</f>
        <v>10.72810868332</v>
      </c>
      <c r="BS24" s="19" t="n">
        <f aca="false">Inputs!$F$141*BS23*IF(Time!BS23=1,1-Inputs!$F$142,1)</f>
        <v>10.9059226393972</v>
      </c>
      <c r="BT24" s="19" t="n">
        <f aca="false">Inputs!$F$141*BT23*IF(Time!BT23=1,1-Inputs!$F$142,1)</f>
        <v>10.996311400403</v>
      </c>
      <c r="BU24" s="19" t="n">
        <f aca="false">Inputs!$F$141*BU23*IF(Time!BU23=1,1-Inputs!$F$142,1)</f>
        <v>11.1785707053821</v>
      </c>
      <c r="BV24" s="19" t="n">
        <f aca="false">Inputs!$F$141*BV23*IF(Time!BV23=1,1-Inputs!$F$142,1)</f>
        <v>11.2712191854131</v>
      </c>
      <c r="BW24" s="19" t="n">
        <f aca="false">Inputs!$F$141*BW23*IF(Time!BW23=1,1-Inputs!$F$142,1)</f>
        <v>11.4580349730166</v>
      </c>
      <c r="BX24" s="19" t="n">
        <f aca="false">Inputs!$F$141*BX23*IF(Time!BX23=1,1-Inputs!$F$142,1)</f>
        <v>11.6168283924796</v>
      </c>
      <c r="BY24" s="19" t="n">
        <f aca="false">Inputs!$F$141*BY23*IF(Time!BY23=1,1-Inputs!$F$142,1)</f>
        <v>11.7444858473421</v>
      </c>
      <c r="BZ24" s="19" t="n">
        <f aca="false">Inputs!$F$141*BZ23*IF(Time!BZ23=1,1-Inputs!$F$142,1)</f>
        <v>11.8418246566747</v>
      </c>
      <c r="CA24" s="19" t="n">
        <f aca="false">Inputs!$F$141*CA23*IF(Time!CA23=1,1-Inputs!$F$142,1)</f>
        <v>12.0380979935256</v>
      </c>
      <c r="CB24" s="19" t="n">
        <f aca="false">Inputs!$F$141*CB23*IF(Time!CB23=1,1-Inputs!$F$142,1)</f>
        <v>12.1378702730915</v>
      </c>
      <c r="CC24" s="19" t="n">
        <f aca="false">Inputs!$F$141*CC23*IF(Time!CC23=1,1-Inputs!$F$142,1)</f>
        <v>12.3390504433638</v>
      </c>
      <c r="CD24" s="19" t="n">
        <f aca="false">Inputs!$F$141*CD23*IF(Time!CD23=1,1-Inputs!$F$142,1)</f>
        <v>12.4413170299188</v>
      </c>
      <c r="CE24" s="19" t="n">
        <f aca="false">Inputs!$F$141*CE23*IF(Time!CE23=1,1-Inputs!$F$142,1)</f>
        <v>12.6475267044478</v>
      </c>
      <c r="CF24" s="19" t="n">
        <f aca="false">Inputs!$F$141*CF23*IF(Time!CF23=1,1-Inputs!$F$142,1)</f>
        <v>12.8228049277975</v>
      </c>
      <c r="CG24" s="19" t="n">
        <f aca="false">Inputs!$F$141*CG23*IF(Time!CG23=1,1-Inputs!$F$142,1)</f>
        <v>12.963714872059</v>
      </c>
      <c r="CH24" s="19" t="n">
        <f aca="false">Inputs!$F$141*CH23*IF(Time!CH23=1,1-Inputs!$F$142,1)</f>
        <v>13.0711587045584</v>
      </c>
      <c r="CI24" s="19" t="n">
        <f aca="false">Inputs!$F$141*CI23*IF(Time!CI23=1,1-Inputs!$F$142,1)</f>
        <v>13.2878077438605</v>
      </c>
      <c r="CJ24" s="19" t="n">
        <f aca="false">Inputs!$F$141*CJ23*IF(Time!CJ23=1,1-Inputs!$F$142,1)</f>
        <v>13.3979376721724</v>
      </c>
      <c r="CK24" s="19" t="n">
        <f aca="false">Inputs!$F$141*CK23*IF(Time!CK23=1,1-Inputs!$F$142,1)</f>
        <v>13.620002937457</v>
      </c>
      <c r="CL24" s="19" t="n">
        <f aca="false">Inputs!$F$141*CL23*IF(Time!CL23=1,1-Inputs!$F$142,1)</f>
        <v>13.7328861139767</v>
      </c>
      <c r="CM24" s="19" t="n">
        <f aca="false">Inputs!$F$141*CM23*IF(Time!CM23=1,1-Inputs!$F$142,1)</f>
        <v>13.9605030108935</v>
      </c>
      <c r="CN24" s="19" t="n">
        <f aca="false">Inputs!$F$141*CN23*IF(Time!CN23=1,1-Inputs!$F$142,1)</f>
        <v>14.1539773732727</v>
      </c>
      <c r="CO24" s="19" t="n">
        <f aca="false">Inputs!$F$141*CO23*IF(Time!CO23=1,1-Inputs!$F$142,1)</f>
        <v>14.3095155861658</v>
      </c>
      <c r="CP24" s="19" t="n">
        <f aca="false">Inputs!$F$141*CP23*IF(Time!CP23=1,1-Inputs!$F$142,1)</f>
        <v>14.4281134734968</v>
      </c>
      <c r="CQ24" s="19" t="n">
        <f aca="false">Inputs!$F$141*CQ23*IF(Time!CQ23=1,1-Inputs!$F$142,1)</f>
        <v>14.6672534758199</v>
      </c>
      <c r="CR24" s="19" t="n">
        <f aca="false">Inputs!$F$141*CR23*IF(Time!CR23=1,1-Inputs!$F$142,1)</f>
        <v>14.7888163103342</v>
      </c>
      <c r="CS24" s="19" t="n">
        <f aca="false">Inputs!$F$141*CS23*IF(Time!CS23=1,1-Inputs!$F$142,1)</f>
        <v>15.0339348127154</v>
      </c>
      <c r="CT24" s="19" t="n">
        <f aca="false">Inputs!$F$141*CT23*IF(Time!CT23=1,1-Inputs!$F$142,1)</f>
        <v>15.1585367180925</v>
      </c>
      <c r="CU24" s="19" t="n">
        <f aca="false">Inputs!$F$141*CU23*IF(Time!CU23=1,1-Inputs!$F$142,1)</f>
        <v>15.4097831830333</v>
      </c>
      <c r="CV24" s="19" t="n">
        <f aca="false">Inputs!$F$141*CV23*IF(Time!CV23=1,1-Inputs!$F$142,1)</f>
        <v>15.623342678233</v>
      </c>
      <c r="CW24" s="19" t="n">
        <f aca="false">Inputs!$F$141*CW23*IF(Time!CW23=1,1-Inputs!$F$142,1)</f>
        <v>15.7950277626091</v>
      </c>
      <c r="CX24" s="19" t="n">
        <f aca="false">Inputs!$F$141*CX23*IF(Time!CX23=1,1-Inputs!$F$142,1)</f>
        <v>15.925937639446</v>
      </c>
      <c r="CY24" s="19" t="n">
        <f aca="false">Inputs!$F$141*CY23*IF(Time!CY23=1,1-Inputs!$F$142,1)</f>
        <v>16.1899034566744</v>
      </c>
      <c r="CZ24" s="19" t="n">
        <f aca="false">Inputs!$F$141*CZ23*IF(Time!CZ23=1,1-Inputs!$F$142,1)</f>
        <v>16.3240860804321</v>
      </c>
      <c r="DA24" s="19" t="n">
        <f aca="false">Inputs!$F$141*DA23*IF(Time!DA23=1,1-Inputs!$F$142,1)</f>
        <v>16.5946510430912</v>
      </c>
      <c r="DB24" s="19" t="n">
        <f aca="false">Inputs!$F$141*DB23*IF(Time!DB23=1,1-Inputs!$F$142,1)</f>
        <v>13.4966822206446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168.414007725207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0.346567884941556</v>
      </c>
      <c r="AA25" s="19" t="n">
        <f aca="false">Inputs!$F$144*AA23</f>
        <v>1.1594271059863</v>
      </c>
      <c r="AB25" s="19" t="n">
        <f aca="false">Inputs!$F$144*AB23</f>
        <v>1.15714605917995</v>
      </c>
      <c r="AC25" s="19" t="n">
        <f aca="false">Inputs!$F$144*AC23</f>
        <v>1.16986194994017</v>
      </c>
      <c r="AD25" s="19" t="n">
        <f aca="false">Inputs!$F$144*AD23</f>
        <v>1.18991490966904</v>
      </c>
      <c r="AE25" s="19" t="n">
        <f aca="false">Inputs!$F$144*AE23</f>
        <v>1.20963725623814</v>
      </c>
      <c r="AF25" s="19" t="n">
        <f aca="false">Inputs!$F$144*AF23</f>
        <v>1.27439886825554</v>
      </c>
      <c r="AG25" s="19" t="n">
        <f aca="false">Inputs!$F$144*AG23</f>
        <v>1.29552150143105</v>
      </c>
      <c r="AH25" s="19" t="n">
        <f aca="false">Inputs!$F$144*AH23</f>
        <v>1.34321640714134</v>
      </c>
      <c r="AI25" s="19" t="n">
        <f aca="false">Inputs!$F$144*AI23</f>
        <v>1.36547966250832</v>
      </c>
      <c r="AJ25" s="19" t="n">
        <f aca="false">Inputs!$F$144*AJ23</f>
        <v>1.39520852950837</v>
      </c>
      <c r="AK25" s="19" t="n">
        <f aca="false">Inputs!$F$144*AK23</f>
        <v>1.4105404913711</v>
      </c>
      <c r="AL25" s="19" t="n">
        <f aca="false">Inputs!$F$144*AL23</f>
        <v>1.42500619738858</v>
      </c>
      <c r="AM25" s="19" t="n">
        <f aca="false">Inputs!$F$144*AM23</f>
        <v>1.44862508463812</v>
      </c>
      <c r="AN25" s="19" t="n">
        <f aca="false">Inputs!$F$144*AN23</f>
        <v>1.46205635852069</v>
      </c>
      <c r="AO25" s="19" t="n">
        <f aca="false">Inputs!$F$144*AO23</f>
        <v>1.48628933683871</v>
      </c>
      <c r="AP25" s="19" t="n">
        <f aca="false">Inputs!$F$144*AP23</f>
        <v>1.4986077674837</v>
      </c>
      <c r="AQ25" s="19" t="n">
        <f aca="false">Inputs!$F$144*AQ23</f>
        <v>1.52344657025968</v>
      </c>
      <c r="AR25" s="19" t="n">
        <f aca="false">Inputs!$F$144*AR23</f>
        <v>1.54455955261925</v>
      </c>
      <c r="AS25" s="19" t="n">
        <f aca="false">Inputs!$F$144*AS23</f>
        <v>1.56153273451617</v>
      </c>
      <c r="AT25" s="19" t="n">
        <f aca="false">Inputs!$F$144*AT23</f>
        <v>1.57447478571257</v>
      </c>
      <c r="AU25" s="19" t="n">
        <f aca="false">Inputs!$F$144*AU23</f>
        <v>1.60057105287907</v>
      </c>
      <c r="AV25" s="19" t="n">
        <f aca="false">Inputs!$F$144*AV23</f>
        <v>1.61383665535538</v>
      </c>
      <c r="AW25" s="19" t="n">
        <f aca="false">Inputs!$F$144*AW23</f>
        <v>1.64058532920105</v>
      </c>
      <c r="AX25" s="19" t="n">
        <f aca="false">Inputs!$F$144*AX23</f>
        <v>1.65418257173926</v>
      </c>
      <c r="AY25" s="19" t="n">
        <f aca="false">Inputs!$F$144*AY23</f>
        <v>1.68159996243107</v>
      </c>
      <c r="AZ25" s="19" t="n">
        <f aca="false">Inputs!$F$144*AZ23</f>
        <v>1.70490474451911</v>
      </c>
      <c r="BA25" s="19" t="n">
        <f aca="false">Inputs!$F$144*BA23</f>
        <v>1.72363996149185</v>
      </c>
      <c r="BB25" s="19" t="n">
        <f aca="false">Inputs!$F$144*BB23</f>
        <v>1.73792556443356</v>
      </c>
      <c r="BC25" s="19" t="n">
        <f aca="false">Inputs!$F$144*BC23</f>
        <v>1.76673096052915</v>
      </c>
      <c r="BD25" s="19" t="n">
        <f aca="false">Inputs!$F$144*BD23</f>
        <v>1.7813737035444</v>
      </c>
      <c r="BE25" s="19" t="n">
        <f aca="false">Inputs!$F$144*BE23</f>
        <v>1.81089923454238</v>
      </c>
      <c r="BF25" s="19" t="n">
        <f aca="false">Inputs!$F$144*BF23</f>
        <v>1.82590804613301</v>
      </c>
      <c r="BG25" s="19" t="n">
        <f aca="false">Inputs!$F$144*BG23</f>
        <v>1.85617171540594</v>
      </c>
      <c r="BH25" s="19" t="n">
        <f aca="false">Inputs!$F$144*BH23</f>
        <v>1.88189583428792</v>
      </c>
      <c r="BI25" s="19" t="n">
        <f aca="false">Inputs!$F$144*BI23</f>
        <v>1.90257600829108</v>
      </c>
      <c r="BJ25" s="19" t="n">
        <f aca="false">Inputs!$F$144*BJ23</f>
        <v>1.9183446409685</v>
      </c>
      <c r="BK25" s="19" t="n">
        <f aca="false">Inputs!$F$144*BK23</f>
        <v>1.95014040849836</v>
      </c>
      <c r="BL25" s="19" t="n">
        <f aca="false">Inputs!$F$144*BL23</f>
        <v>1.96630325699271</v>
      </c>
      <c r="BM25" s="19" t="n">
        <f aca="false">Inputs!$F$144*BM23</f>
        <v>1.99889391871082</v>
      </c>
      <c r="BN25" s="19" t="n">
        <f aca="false">Inputs!$F$144*BN23</f>
        <v>2.01546083841753</v>
      </c>
      <c r="BO25" s="19" t="n">
        <f aca="false">Inputs!$F$144*BO23</f>
        <v>2.04886626667859</v>
      </c>
      <c r="BP25" s="19" t="n">
        <f aca="false">Inputs!$F$144*BP23</f>
        <v>2.07726088070049</v>
      </c>
      <c r="BQ25" s="19" t="n">
        <f aca="false">Inputs!$F$144*BQ23</f>
        <v>2.10008792334555</v>
      </c>
      <c r="BR25" s="19" t="n">
        <f aca="false">Inputs!$F$144*BR23</f>
        <v>2.11749354336241</v>
      </c>
      <c r="BS25" s="19" t="n">
        <f aca="false">Inputs!$F$144*BS23</f>
        <v>2.15259012142919</v>
      </c>
      <c r="BT25" s="19" t="n">
        <f aca="false">Inputs!$F$144*BT23</f>
        <v>2.17043088194647</v>
      </c>
      <c r="BU25" s="19" t="n">
        <f aca="false">Inputs!$F$144*BU23</f>
        <v>2.20640487446492</v>
      </c>
      <c r="BV25" s="19" t="n">
        <f aca="false">Inputs!$F$144*BV23</f>
        <v>2.22469165399513</v>
      </c>
      <c r="BW25" s="19" t="n">
        <f aca="false">Inputs!$F$144*BW23</f>
        <v>2.26156499632655</v>
      </c>
      <c r="BX25" s="19" t="n">
        <f aca="false">Inputs!$F$144*BX23</f>
        <v>2.29290733730824</v>
      </c>
      <c r="BY25" s="19" t="n">
        <f aca="false">Inputs!$F$144*BY23</f>
        <v>2.31810412123471</v>
      </c>
      <c r="BZ25" s="19" t="n">
        <f aca="false">Inputs!$F$144*BZ23</f>
        <v>2.33731666897864</v>
      </c>
      <c r="CA25" s="19" t="n">
        <f aca="false">Inputs!$F$144*CA23</f>
        <v>2.37605672426558</v>
      </c>
      <c r="CB25" s="19" t="n">
        <f aca="false">Inputs!$F$144*CB23</f>
        <v>2.3957495857031</v>
      </c>
      <c r="CC25" s="19" t="n">
        <f aca="false">Inputs!$F$144*CC23</f>
        <v>2.43545814237222</v>
      </c>
      <c r="CD25" s="19" t="n">
        <f aca="false">Inputs!$F$144*CD23</f>
        <v>2.45564332534568</v>
      </c>
      <c r="CE25" s="19" t="n">
        <f aca="false">Inputs!$F$144*CE23</f>
        <v>2.49634459593152</v>
      </c>
      <c r="CF25" s="19" t="n">
        <f aca="false">Inputs!$F$144*CF23</f>
        <v>2.53094067592948</v>
      </c>
      <c r="CG25" s="19" t="n">
        <f aca="false">Inputs!$F$144*CG23</f>
        <v>2.55875321082981</v>
      </c>
      <c r="CH25" s="19" t="n">
        <f aca="false">Inputs!$F$144*CH23</f>
        <v>2.57996026869131</v>
      </c>
      <c r="CI25" s="19" t="n">
        <f aca="false">Inputs!$F$144*CI23</f>
        <v>2.62272204110055</v>
      </c>
      <c r="CJ25" s="19" t="n">
        <f aca="false">Inputs!$F$144*CJ23</f>
        <v>2.64445927540859</v>
      </c>
      <c r="CK25" s="19" t="n">
        <f aca="false">Inputs!$F$144*CK23</f>
        <v>2.68829009212807</v>
      </c>
      <c r="CL25" s="19" t="n">
        <f aca="false">Inputs!$F$144*CL23</f>
        <v>2.7105707572938</v>
      </c>
      <c r="CM25" s="19" t="n">
        <f aca="false">Inputs!$F$144*CM23</f>
        <v>2.75549734443127</v>
      </c>
      <c r="CN25" s="19" t="n">
        <f aca="false">Inputs!$F$144*CN23</f>
        <v>2.79368494349811</v>
      </c>
      <c r="CO25" s="19" t="n">
        <f aca="false">Inputs!$F$144*CO23</f>
        <v>2.82438477804205</v>
      </c>
      <c r="CP25" s="19" t="n">
        <f aca="false">Inputs!$F$144*CP23</f>
        <v>2.8477934018818</v>
      </c>
      <c r="CQ25" s="19" t="n">
        <f aca="false">Inputs!$F$144*CQ23</f>
        <v>2.8949943974931</v>
      </c>
      <c r="CR25" s="19" t="n">
        <f aca="false">Inputs!$F$144*CR23</f>
        <v>2.91898823692884</v>
      </c>
      <c r="CS25" s="19" t="n">
        <f aca="false">Inputs!$F$144*CS23</f>
        <v>2.96736925743043</v>
      </c>
      <c r="CT25" s="19" t="n">
        <f aca="false">Inputs!$F$144*CT23</f>
        <v>2.99196294285207</v>
      </c>
      <c r="CU25" s="19" t="n">
        <f aca="false">Inputs!$F$144*CU23</f>
        <v>3.04155348886619</v>
      </c>
      <c r="CV25" s="19" t="n">
        <f aca="false">Inputs!$F$144*CV23</f>
        <v>3.08370545297819</v>
      </c>
      <c r="CW25" s="19" t="n">
        <f aca="false">Inputs!$F$144*CW23</f>
        <v>3.11759232608784</v>
      </c>
      <c r="CX25" s="19" t="n">
        <f aca="false">Inputs!$F$144*CX23</f>
        <v>3.14343106683395</v>
      </c>
      <c r="CY25" s="19" t="n">
        <f aca="false">Inputs!$F$144*CY23</f>
        <v>3.19553213424004</v>
      </c>
      <c r="CZ25" s="19" t="n">
        <f aca="false">Inputs!$F$144*CZ23</f>
        <v>3.2220168435048</v>
      </c>
      <c r="DA25" s="19" t="n">
        <f aca="false">Inputs!$F$144*DA23</f>
        <v>3.27542043759604</v>
      </c>
      <c r="DB25" s="19" t="n">
        <f aca="false">Inputs!$F$144*DB23</f>
        <v>2.66394928525134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528.184451900316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0.487802639513437</v>
      </c>
      <c r="AA26" s="19" t="n">
        <f aca="false">Inputs!$F$143*AA20*Inputs!$F$221</f>
        <v>1.86084794141978</v>
      </c>
      <c r="AB26" s="19" t="n">
        <f aca="false">Inputs!$F$143*AB20*Inputs!$F$221</f>
        <v>1.26653686604252</v>
      </c>
      <c r="AC26" s="19" t="n">
        <f aca="false">Inputs!$F$143*AC20*Inputs!$F$221</f>
        <v>1.84881004360567</v>
      </c>
      <c r="AD26" s="19" t="n">
        <f aca="false">Inputs!$F$143*AD20*Inputs!$F$221</f>
        <v>1.92778638568578</v>
      </c>
      <c r="AE26" s="19" t="n">
        <f aca="false">Inputs!$F$143*AE20*Inputs!$F$221</f>
        <v>2.2940668202984</v>
      </c>
      <c r="AF26" s="19" t="n">
        <f aca="false">Inputs!$F$143*AF20*Inputs!$F$221</f>
        <v>2.45098736321465</v>
      </c>
      <c r="AG26" s="19" t="n">
        <f aca="false">Inputs!$F$143*AG20*Inputs!$F$221</f>
        <v>2.81899222444648</v>
      </c>
      <c r="AH26" s="19" t="n">
        <f aca="false">Inputs!$F$143*AH20*Inputs!$F$221</f>
        <v>2.81331655055527</v>
      </c>
      <c r="AI26" s="19" t="n">
        <f aca="false">Inputs!$F$143*AI20*Inputs!$F$221</f>
        <v>3.11514345201322</v>
      </c>
      <c r="AJ26" s="19" t="n">
        <f aca="false">Inputs!$F$143*AJ20*Inputs!$F$221</f>
        <v>3.06537147772563</v>
      </c>
      <c r="AK26" s="19" t="n">
        <f aca="false">Inputs!$F$143*AK20*Inputs!$F$221</f>
        <v>3.31771434503458</v>
      </c>
      <c r="AL26" s="19" t="n">
        <f aca="false">Inputs!$F$143*AL20*Inputs!$F$221</f>
        <v>3.28513955774817</v>
      </c>
      <c r="AM26" s="19" t="n">
        <f aca="false">Inputs!$F$143*AM20*Inputs!$F$221</f>
        <v>3.50414836135416</v>
      </c>
      <c r="AN26" s="19" t="n">
        <f aca="false">Inputs!$F$143*AN20*Inputs!$F$221</f>
        <v>3.46911176089051</v>
      </c>
      <c r="AO26" s="19" t="n">
        <f aca="false">Inputs!$F$143*AO20*Inputs!$F$221</f>
        <v>3.6199299827327</v>
      </c>
      <c r="AP26" s="19" t="n">
        <f aca="false">Inputs!$F$143*AP20*Inputs!$F$221</f>
        <v>3.65349302920303</v>
      </c>
      <c r="AQ26" s="19" t="n">
        <f aca="false">Inputs!$F$143*AQ20*Inputs!$F$221</f>
        <v>3.8070999088982</v>
      </c>
      <c r="AR26" s="19" t="n">
        <f aca="false">Inputs!$F$143*AR20*Inputs!$F$221</f>
        <v>3.86362706624119</v>
      </c>
      <c r="AS26" s="19" t="n">
        <f aca="false">Inputs!$F$143*AS20*Inputs!$F$221</f>
        <v>4.00320165186678</v>
      </c>
      <c r="AT26" s="19" t="n">
        <f aca="false">Inputs!$F$143*AT20*Inputs!$F$221</f>
        <v>4.04031829326942</v>
      </c>
      <c r="AU26" s="19" t="n">
        <f aca="false">Inputs!$F$143*AU20*Inputs!$F$221</f>
        <v>4.21030478732508</v>
      </c>
      <c r="AV26" s="19" t="n">
        <f aca="false">Inputs!$F$143*AV20*Inputs!$F$221</f>
        <v>4.24934163497278</v>
      </c>
      <c r="AW26" s="19" t="n">
        <f aca="false">Inputs!$F$143*AW20*Inputs!$F$221</f>
        <v>4.42720388232554</v>
      </c>
      <c r="AX26" s="19" t="n">
        <f aca="false">Inputs!$F$143*AX20*Inputs!$F$221</f>
        <v>4.43341159211706</v>
      </c>
      <c r="AY26" s="19" t="n">
        <f aca="false">Inputs!$F$143*AY20*Inputs!$F$221</f>
        <v>4.6197863848263</v>
      </c>
      <c r="AZ26" s="19" t="n">
        <f aca="false">Inputs!$F$143*AZ20*Inputs!$F$221</f>
        <v>4.65182359910368</v>
      </c>
      <c r="BA26" s="19" t="n">
        <f aca="false">Inputs!$F$143*BA20*Inputs!$F$221</f>
        <v>4.81966314497805</v>
      </c>
      <c r="BB26" s="19" t="n">
        <f aca="false">Inputs!$F$143*BB20*Inputs!$F$221</f>
        <v>4.82642115090959</v>
      </c>
      <c r="BC26" s="19" t="n">
        <f aca="false">Inputs!$F$143*BC20*Inputs!$F$221</f>
        <v>5.02889470620255</v>
      </c>
      <c r="BD26" s="19" t="n">
        <f aca="false">Inputs!$F$143*BD20*Inputs!$F$221</f>
        <v>5.03594609117103</v>
      </c>
      <c r="BE26" s="19" t="n">
        <f aca="false">Inputs!$F$143*BE20*Inputs!$F$221</f>
        <v>5.24781889014104</v>
      </c>
      <c r="BF26" s="19" t="n">
        <f aca="false">Inputs!$F$143*BF20*Inputs!$F$221</f>
        <v>5.25517724488918</v>
      </c>
      <c r="BG26" s="19" t="n">
        <f aca="false">Inputs!$F$143*BG20*Inputs!$F$221</f>
        <v>5.47678383361806</v>
      </c>
      <c r="BH26" s="19" t="n">
        <f aca="false">Inputs!$F$143*BH20*Inputs!$F$221</f>
        <v>5.51476413889902</v>
      </c>
      <c r="BI26" s="19" t="n">
        <f aca="false">Inputs!$F$143*BI20*Inputs!$F$221</f>
        <v>5.71421974679782</v>
      </c>
      <c r="BJ26" s="19" t="n">
        <f aca="false">Inputs!$F$143*BJ20*Inputs!$F$221</f>
        <v>5.72223207666018</v>
      </c>
      <c r="BK26" s="19" t="n">
        <f aca="false">Inputs!$F$143*BK20*Inputs!$F$221</f>
        <v>5.96235535190801</v>
      </c>
      <c r="BL26" s="19" t="n">
        <f aca="false">Inputs!$F$143*BL20*Inputs!$F$221</f>
        <v>5.97071561104275</v>
      </c>
      <c r="BM26" s="19" t="n">
        <f aca="false">Inputs!$F$143*BM20*Inputs!$F$221</f>
        <v>6.22156958520857</v>
      </c>
      <c r="BN26" s="19" t="n">
        <f aca="false">Inputs!$F$143*BN20*Inputs!$F$221</f>
        <v>6.23029330777914</v>
      </c>
      <c r="BO26" s="19" t="n">
        <f aca="false">Inputs!$F$143*BO20*Inputs!$F$221</f>
        <v>6.4922528301432</v>
      </c>
      <c r="BP26" s="19" t="n">
        <f aca="false">Inputs!$F$143*BP20*Inputs!$F$221</f>
        <v>6.53727519216093</v>
      </c>
      <c r="BQ26" s="19" t="n">
        <f aca="false">Inputs!$F$143*BQ20*Inputs!$F$221</f>
        <v>6.77480722956175</v>
      </c>
      <c r="BR26" s="19" t="n">
        <f aca="false">Inputs!$F$143*BR20*Inputs!$F$221</f>
        <v>6.72432755178062</v>
      </c>
      <c r="BS26" s="19" t="n">
        <f aca="false">Inputs!$F$143*BS20*Inputs!$F$221</f>
        <v>7.00714521506789</v>
      </c>
      <c r="BT26" s="19" t="n">
        <f aca="false">Inputs!$F$143*BT20*Inputs!$F$221</f>
        <v>6.95493436675344</v>
      </c>
      <c r="BU26" s="19" t="n">
        <f aca="false">Inputs!$F$143*BU20*Inputs!$F$221</f>
        <v>7.24733376890129</v>
      </c>
      <c r="BV26" s="19" t="n">
        <f aca="false">Inputs!$F$143*BV20*Inputs!$F$221</f>
        <v>7.19333325478626</v>
      </c>
      <c r="BW26" s="19" t="n">
        <f aca="false">Inputs!$F$143*BW20*Inputs!$F$221</f>
        <v>7.49553333711079</v>
      </c>
      <c r="BX26" s="19" t="n">
        <f aca="false">Inputs!$F$143*BX20*Inputs!$F$221</f>
        <v>7.48078669000191</v>
      </c>
      <c r="BY26" s="19" t="n">
        <f aca="false">Inputs!$F$143*BY20*Inputs!$F$221</f>
        <v>7.75190695947483</v>
      </c>
      <c r="BZ26" s="19" t="n">
        <f aca="false">Inputs!$F$143*BZ20*Inputs!$F$221</f>
        <v>7.69414682664091</v>
      </c>
      <c r="CA26" s="19" t="n">
        <f aca="false">Inputs!$F$143*CA20*Inputs!$F$221</f>
        <v>8.01662030626682</v>
      </c>
      <c r="CB26" s="19" t="n">
        <f aca="false">Inputs!$F$143*CB20*Inputs!$F$221</f>
        <v>7.9568877712674</v>
      </c>
      <c r="CC26" s="19" t="n">
        <f aca="false">Inputs!$F$143*CC20*Inputs!$F$221</f>
        <v>8.29202727883115</v>
      </c>
      <c r="CD26" s="19" t="n">
        <f aca="false">Inputs!$F$143*CD20*Inputs!$F$221</f>
        <v>8.23024266253073</v>
      </c>
      <c r="CE26" s="19" t="n">
        <f aca="false">Inputs!$F$143*CE20*Inputs!$F$221</f>
        <v>8.57615269745934</v>
      </c>
      <c r="CF26" s="19" t="n">
        <f aca="false">Inputs!$F$143*CF20*Inputs!$F$221</f>
        <v>8.5592800492176</v>
      </c>
      <c r="CG26" s="19" t="n">
        <f aca="false">Inputs!$F$143*CG20*Inputs!$F$221</f>
        <v>8.86917088041696</v>
      </c>
      <c r="CH26" s="19" t="n">
        <f aca="false">Inputs!$F$143*CH20*Inputs!$F$221</f>
        <v>8.80308591695473</v>
      </c>
      <c r="CI26" s="19" t="n">
        <f aca="false">Inputs!$F$143*CI20*Inputs!$F$221</f>
        <v>9.17350404097846</v>
      </c>
      <c r="CJ26" s="19" t="n">
        <f aca="false">Inputs!$F$143*CJ20*Inputs!$F$221</f>
        <v>9.10515146467313</v>
      </c>
      <c r="CK26" s="19" t="n">
        <f aca="false">Inputs!$F$143*CK20*Inputs!$F$221</f>
        <v>9.48712741995359</v>
      </c>
      <c r="CL26" s="19" t="n">
        <f aca="false">Inputs!$F$143*CL20*Inputs!$F$221</f>
        <v>9.41643800857991</v>
      </c>
      <c r="CM26" s="19" t="n">
        <f aca="false">Inputs!$F$143*CM20*Inputs!$F$221</f>
        <v>9.81251006589912</v>
      </c>
      <c r="CN26" s="19" t="n">
        <f aca="false">Inputs!$F$143*CN20*Inputs!$F$221</f>
        <v>9.79320501892164</v>
      </c>
      <c r="CO26" s="19" t="n">
        <f aca="false">Inputs!$F$143*CO20*Inputs!$F$221</f>
        <v>10.1475936847346</v>
      </c>
      <c r="CP26" s="19" t="n">
        <f aca="false">Inputs!$F$143*CP20*Inputs!$F$221</f>
        <v>10.0719830817902</v>
      </c>
      <c r="CQ26" s="19" t="n">
        <f aca="false">Inputs!$F$143*CQ20*Inputs!$F$221</f>
        <v>10.4948950785947</v>
      </c>
      <c r="CR26" s="19" t="n">
        <f aca="false">Inputs!$F$143*CR20*Inputs!$F$221</f>
        <v>10.4166967027645</v>
      </c>
      <c r="CS26" s="19" t="n">
        <f aca="false">Inputs!$F$143*CS20*Inputs!$F$221</f>
        <v>10.8546698554054</v>
      </c>
      <c r="CT26" s="19" t="n">
        <f aca="false">Inputs!$F$143*CT20*Inputs!$F$221</f>
        <v>10.7737907664284</v>
      </c>
      <c r="CU26" s="19" t="n">
        <f aca="false">Inputs!$F$143*CU20*Inputs!$F$221</f>
        <v>11.2271777998635</v>
      </c>
      <c r="CV26" s="19" t="n">
        <f aca="false">Inputs!$F$143*CV20*Inputs!$F$221</f>
        <v>11.2050895478877</v>
      </c>
      <c r="CW26" s="19" t="n">
        <f aca="false">Inputs!$F$143*CW20*Inputs!$F$221</f>
        <v>11.6102925083567</v>
      </c>
      <c r="CX26" s="19" t="n">
        <f aca="false">Inputs!$F$143*CX20*Inputs!$F$221</f>
        <v>11.5237832092863</v>
      </c>
      <c r="CY26" s="19" t="n">
        <f aca="false">Inputs!$F$143*CY20*Inputs!$F$221</f>
        <v>12.0066296956061</v>
      </c>
      <c r="CZ26" s="19" t="n">
        <f aca="false">Inputs!$F$143*CZ20*Inputs!$F$221</f>
        <v>11.9171672536894</v>
      </c>
      <c r="DA26" s="19" t="n">
        <f aca="false">Inputs!$F$143*DA20*Inputs!$F$221</f>
        <v>12.4164614562767</v>
      </c>
      <c r="DB26" s="19" t="n">
        <f aca="false">Inputs!$F$143*DB20*Inputs!$F$221</f>
        <v>9.94086197266274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263.195844631021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0.541613066699362</v>
      </c>
      <c r="AA27" s="19" t="n">
        <f aca="false">Inputs!$F$145*AA23</f>
        <v>1.81194189586696</v>
      </c>
      <c r="AB27" s="19" t="n">
        <f aca="false">Inputs!$F$145*AB23</f>
        <v>1.80837709713704</v>
      </c>
      <c r="AC27" s="19" t="n">
        <f aca="false">Inputs!$F$145*AC23</f>
        <v>1.82824937292976</v>
      </c>
      <c r="AD27" s="19" t="n">
        <f aca="false">Inputs!$F$145*AD23</f>
        <v>1.85958795185487</v>
      </c>
      <c r="AE27" s="19" t="n">
        <f aca="false">Inputs!$F$145*AE23</f>
        <v>1.89040985160937</v>
      </c>
      <c r="AF27" s="19" t="n">
        <f aca="false">Inputs!$F$145*AF23</f>
        <v>1.99161869643657</v>
      </c>
      <c r="AG27" s="19" t="n">
        <f aca="false">Inputs!$F$145*AG23</f>
        <v>2.02462895107364</v>
      </c>
      <c r="AH27" s="19" t="n">
        <f aca="false">Inputs!$F$145*AH23</f>
        <v>2.09916610604414</v>
      </c>
      <c r="AI27" s="19" t="n">
        <f aca="false">Inputs!$F$145*AI23</f>
        <v>2.13395891443161</v>
      </c>
      <c r="AJ27" s="19" t="n">
        <f aca="false">Inputs!$F$145*AJ23</f>
        <v>2.18041891123168</v>
      </c>
      <c r="AK27" s="19" t="n">
        <f aca="false">Inputs!$F$145*AK23</f>
        <v>2.20437955860786</v>
      </c>
      <c r="AL27" s="19" t="n">
        <f aca="false">Inputs!$F$145*AL23</f>
        <v>2.22698642940727</v>
      </c>
      <c r="AM27" s="19" t="n">
        <f aca="false">Inputs!$F$145*AM23</f>
        <v>2.26389780669027</v>
      </c>
      <c r="AN27" s="19" t="n">
        <f aca="false">Inputs!$F$145*AN23</f>
        <v>2.28488807657186</v>
      </c>
      <c r="AO27" s="19" t="n">
        <f aca="false">Inputs!$F$145*AO23</f>
        <v>2.32275914966421</v>
      </c>
      <c r="AP27" s="19" t="n">
        <f aca="false">Inputs!$F$145*AP23</f>
        <v>2.34201027848616</v>
      </c>
      <c r="AQ27" s="19" t="n">
        <f aca="false">Inputs!$F$145*AQ23</f>
        <v>2.38082812840582</v>
      </c>
      <c r="AR27" s="19" t="n">
        <f aca="false">Inputs!$F$145*AR23</f>
        <v>2.41382330083753</v>
      </c>
      <c r="AS27" s="19" t="n">
        <f aca="false">Inputs!$F$145*AS23</f>
        <v>2.44034883161597</v>
      </c>
      <c r="AT27" s="19" t="n">
        <f aca="false">Inputs!$F$145*AT23</f>
        <v>2.46057454883452</v>
      </c>
      <c r="AU27" s="19" t="n">
        <f aca="false">Inputs!$F$145*AU23</f>
        <v>2.50135755240636</v>
      </c>
      <c r="AV27" s="19" t="n">
        <f aca="false">Inputs!$F$145*AV23</f>
        <v>2.52208891255538</v>
      </c>
      <c r="AW27" s="19" t="n">
        <f aca="false">Inputs!$F$145*AW23</f>
        <v>2.56389149121652</v>
      </c>
      <c r="AX27" s="19" t="n">
        <f aca="false">Inputs!$F$145*AX23</f>
        <v>2.58514113536927</v>
      </c>
      <c r="AY27" s="19" t="n">
        <f aca="false">Inputs!$F$145*AY23</f>
        <v>2.62798877849694</v>
      </c>
      <c r="AZ27" s="19" t="n">
        <f aca="false">Inputs!$F$145*AZ23</f>
        <v>2.66440927515545</v>
      </c>
      <c r="BA27" s="19" t="n">
        <f aca="false">Inputs!$F$145*BA23</f>
        <v>2.69368849795936</v>
      </c>
      <c r="BB27" s="19" t="n">
        <f aca="false">Inputs!$F$145*BB23</f>
        <v>2.71601390534734</v>
      </c>
      <c r="BC27" s="19" t="n">
        <f aca="false">Inputs!$F$145*BC23</f>
        <v>2.76103071040834</v>
      </c>
      <c r="BD27" s="19" t="n">
        <f aca="false">Inputs!$F$145*BD23</f>
        <v>2.78391425298102</v>
      </c>
      <c r="BE27" s="19" t="n">
        <f aca="false">Inputs!$F$145*BE23</f>
        <v>2.83005647816855</v>
      </c>
      <c r="BF27" s="19" t="n">
        <f aca="false">Inputs!$F$145*BF23</f>
        <v>2.85351210930555</v>
      </c>
      <c r="BG27" s="19" t="n">
        <f aca="false">Inputs!$F$145*BG23</f>
        <v>2.90080789012276</v>
      </c>
      <c r="BH27" s="19" t="n">
        <f aca="false">Inputs!$F$145*BH23</f>
        <v>2.9410093038174</v>
      </c>
      <c r="BI27" s="19" t="n">
        <f aca="false">Inputs!$F$145*BI23</f>
        <v>2.97332808737583</v>
      </c>
      <c r="BJ27" s="19" t="n">
        <f aca="false">Inputs!$F$145*BJ23</f>
        <v>2.99797115983914</v>
      </c>
      <c r="BK27" s="19" t="n">
        <f aca="false">Inputs!$F$145*BK23</f>
        <v>3.04766128956023</v>
      </c>
      <c r="BL27" s="19" t="n">
        <f aca="false">Inputs!$F$145*BL23</f>
        <v>3.07292043883512</v>
      </c>
      <c r="BM27" s="19" t="n">
        <f aca="false">Inputs!$F$145*BM23</f>
        <v>3.12385282179923</v>
      </c>
      <c r="BN27" s="19" t="n">
        <f aca="false">Inputs!$F$145*BN23</f>
        <v>3.14974344980599</v>
      </c>
      <c r="BO27" s="19" t="n">
        <f aca="false">Inputs!$F$145*BO23</f>
        <v>3.20194914234421</v>
      </c>
      <c r="BP27" s="19" t="n">
        <f aca="false">Inputs!$F$145*BP23</f>
        <v>3.2463239810017</v>
      </c>
      <c r="BQ27" s="19" t="n">
        <f aca="false">Inputs!$F$145*BQ23</f>
        <v>3.28199787090282</v>
      </c>
      <c r="BR27" s="19" t="n">
        <f aca="false">Inputs!$F$145*BR23</f>
        <v>3.30919921195242</v>
      </c>
      <c r="BS27" s="19" t="n">
        <f aca="false">Inputs!$F$145*BS23</f>
        <v>3.36404781767539</v>
      </c>
      <c r="BT27" s="19" t="n">
        <f aca="false">Inputs!$F$145*BT23</f>
        <v>3.39192919225123</v>
      </c>
      <c r="BU27" s="19" t="n">
        <f aca="false">Inputs!$F$145*BU23</f>
        <v>3.44814901311727</v>
      </c>
      <c r="BV27" s="19" t="n">
        <f aca="false">Inputs!$F$145*BV23</f>
        <v>3.47672742205751</v>
      </c>
      <c r="BW27" s="19" t="n">
        <f aca="false">Inputs!$F$145*BW23</f>
        <v>3.53435273844521</v>
      </c>
      <c r="BX27" s="19" t="n">
        <f aca="false">Inputs!$F$145*BX23</f>
        <v>3.58333425737474</v>
      </c>
      <c r="BY27" s="19" t="n">
        <f aca="false">Inputs!$F$145*BY23</f>
        <v>3.62271155690634</v>
      </c>
      <c r="BZ27" s="19" t="n">
        <f aca="false">Inputs!$F$145*BZ23</f>
        <v>3.65273674779917</v>
      </c>
      <c r="CA27" s="19" t="n">
        <f aca="false">Inputs!$F$145*CA23</f>
        <v>3.71327934582899</v>
      </c>
      <c r="CB27" s="19" t="n">
        <f aca="false">Inputs!$F$145*CB23</f>
        <v>3.74405516649415</v>
      </c>
      <c r="CC27" s="19" t="n">
        <f aca="false">Inputs!$F$145*CC23</f>
        <v>3.80611132947472</v>
      </c>
      <c r="CD27" s="19" t="n">
        <f aca="false">Inputs!$F$145*CD23</f>
        <v>3.83765654565651</v>
      </c>
      <c r="CE27" s="19" t="n">
        <f aca="false">Inputs!$F$145*CE23</f>
        <v>3.90126411271159</v>
      </c>
      <c r="CF27" s="19" t="n">
        <f aca="false">Inputs!$F$145*CF23</f>
        <v>3.9553305447084</v>
      </c>
      <c r="CG27" s="19" t="n">
        <f aca="false">Inputs!$F$145*CG23</f>
        <v>3.99879571552937</v>
      </c>
      <c r="CH27" s="19" t="n">
        <f aca="false">Inputs!$F$145*CH23</f>
        <v>4.03193790828037</v>
      </c>
      <c r="CI27" s="19" t="n">
        <f aca="false">Inputs!$F$145*CI23</f>
        <v>4.09876560841761</v>
      </c>
      <c r="CJ27" s="19" t="n">
        <f aca="false">Inputs!$F$145*CJ23</f>
        <v>4.13273635598737</v>
      </c>
      <c r="CK27" s="19" t="n">
        <f aca="false">Inputs!$F$145*CK23</f>
        <v>4.20123474862805</v>
      </c>
      <c r="CL27" s="19" t="n">
        <f aca="false">Inputs!$F$145*CL23</f>
        <v>4.23605476488706</v>
      </c>
      <c r="CM27" s="19" t="n">
        <f aca="false">Inputs!$F$145*CM23</f>
        <v>4.30626561734375</v>
      </c>
      <c r="CN27" s="19" t="n">
        <f aca="false">Inputs!$F$145*CN23</f>
        <v>4.36594484193194</v>
      </c>
      <c r="CO27" s="19" t="n">
        <f aca="false">Inputs!$F$145*CO23</f>
        <v>4.41392225777734</v>
      </c>
      <c r="CP27" s="19" t="n">
        <f aca="false">Inputs!$F$145*CP23</f>
        <v>4.45050503735946</v>
      </c>
      <c r="CQ27" s="19" t="n">
        <f aca="false">Inputs!$F$145*CQ23</f>
        <v>4.52427031422178</v>
      </c>
      <c r="CR27" s="19" t="n">
        <f aca="false">Inputs!$F$145*CR23</f>
        <v>4.56176766329345</v>
      </c>
      <c r="CS27" s="19" t="n">
        <f aca="false">Inputs!$F$145*CS23</f>
        <v>4.63737707207732</v>
      </c>
      <c r="CT27" s="19" t="n">
        <f aca="false">Inputs!$F$145*CT23</f>
        <v>4.67581185487579</v>
      </c>
      <c r="CU27" s="19" t="n">
        <f aca="false">Inputs!$F$145*CU23</f>
        <v>4.75331149887925</v>
      </c>
      <c r="CV27" s="19" t="n">
        <f aca="false">Inputs!$F$145*CV23</f>
        <v>4.8191861962822</v>
      </c>
      <c r="CW27" s="19" t="n">
        <f aca="false">Inputs!$F$145*CW23</f>
        <v>4.87214428635123</v>
      </c>
      <c r="CX27" s="19" t="n">
        <f aca="false">Inputs!$F$145*CX23</f>
        <v>4.91252483002887</v>
      </c>
      <c r="CY27" s="19" t="n">
        <f aca="false">Inputs!$F$145*CY23</f>
        <v>4.99394789351001</v>
      </c>
      <c r="CZ27" s="19" t="n">
        <f aca="false">Inputs!$F$145*CZ23</f>
        <v>5.03533795077959</v>
      </c>
      <c r="DA27" s="19" t="n">
        <f aca="false">Inputs!$F$145*DA23</f>
        <v>5.11879659084776</v>
      </c>
      <c r="DB27" s="19" t="n">
        <f aca="false">Inputs!$F$145*DB23</f>
        <v>4.16319516206722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212.279981830377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0.43683672939145</v>
      </c>
      <c r="AA28" s="19" t="n">
        <f aca="false">Inputs!$F$146*AA23</f>
        <v>1.46141742196412</v>
      </c>
      <c r="AB28" s="19" t="n">
        <f aca="false">Inputs!$F$146*AB23</f>
        <v>1.45854224203613</v>
      </c>
      <c r="AC28" s="19" t="n">
        <f aca="false">Inputs!$F$146*AC23</f>
        <v>1.4745701787618</v>
      </c>
      <c r="AD28" s="19" t="n">
        <f aca="false">Inputs!$F$146*AD23</f>
        <v>1.49984623497818</v>
      </c>
      <c r="AE28" s="19" t="n">
        <f aca="false">Inputs!$F$146*AE23</f>
        <v>1.5247055648397</v>
      </c>
      <c r="AF28" s="19" t="n">
        <f aca="false">Inputs!$F$146*AF23</f>
        <v>1.60633531766164</v>
      </c>
      <c r="AG28" s="19" t="n">
        <f aca="false">Inputs!$F$146*AG23</f>
        <v>1.63295965994332</v>
      </c>
      <c r="AH28" s="19" t="n">
        <f aca="false">Inputs!$F$146*AH23</f>
        <v>1.69307742481536</v>
      </c>
      <c r="AI28" s="19" t="n">
        <f aca="false">Inputs!$F$146*AI23</f>
        <v>1.72113948158026</v>
      </c>
      <c r="AJ28" s="19" t="n">
        <f aca="false">Inputs!$F$146*AJ23</f>
        <v>1.75861168138032</v>
      </c>
      <c r="AK28" s="19" t="n">
        <f aca="false">Inputs!$F$146*AK23</f>
        <v>1.77793708447241</v>
      </c>
      <c r="AL28" s="19" t="n">
        <f aca="false">Inputs!$F$146*AL23</f>
        <v>1.7961706022898</v>
      </c>
      <c r="AM28" s="19" t="n">
        <f aca="false">Inputs!$F$146*AM23</f>
        <v>1.82594138575316</v>
      </c>
      <c r="AN28" s="19" t="n">
        <f aca="false">Inputs!$F$146*AN23</f>
        <v>1.84287103794933</v>
      </c>
      <c r="AO28" s="19" t="n">
        <f aca="false">Inputs!$F$146*AO23</f>
        <v>1.87341586178274</v>
      </c>
      <c r="AP28" s="19" t="n">
        <f aca="false">Inputs!$F$146*AP23</f>
        <v>1.88894281389806</v>
      </c>
      <c r="AQ28" s="19" t="n">
        <f aca="false">Inputs!$F$146*AQ23</f>
        <v>1.92025125832731</v>
      </c>
      <c r="AR28" s="19" t="n">
        <f aca="false">Inputs!$F$146*AR23</f>
        <v>1.94686343609217</v>
      </c>
      <c r="AS28" s="19" t="n">
        <f aca="false">Inputs!$F$146*AS23</f>
        <v>1.9682575397855</v>
      </c>
      <c r="AT28" s="19" t="n">
        <f aca="false">Inputs!$F$146*AT23</f>
        <v>1.98457054385165</v>
      </c>
      <c r="AU28" s="19" t="n">
        <f aca="false">Inputs!$F$146*AU23</f>
        <v>2.01746397828013</v>
      </c>
      <c r="AV28" s="19" t="n">
        <f aca="false">Inputs!$F$146*AV23</f>
        <v>2.03418480744794</v>
      </c>
      <c r="AW28" s="19" t="n">
        <f aca="false">Inputs!$F$146*AW23</f>
        <v>2.06790057773714</v>
      </c>
      <c r="AX28" s="19" t="n">
        <f aca="false">Inputs!$F$146*AX23</f>
        <v>2.08503942763414</v>
      </c>
      <c r="AY28" s="19" t="n">
        <f aca="false">Inputs!$F$146*AY23</f>
        <v>2.11959809218056</v>
      </c>
      <c r="AZ28" s="19" t="n">
        <f aca="false">Inputs!$F$146*AZ23</f>
        <v>2.14897295704502</v>
      </c>
      <c r="BA28" s="19" t="n">
        <f aca="false">Inputs!$F$146*BA23</f>
        <v>2.17258804448508</v>
      </c>
      <c r="BB28" s="19" t="n">
        <f aca="false">Inputs!$F$146*BB23</f>
        <v>2.19059454865812</v>
      </c>
      <c r="BC28" s="19" t="n">
        <f aca="false">Inputs!$F$146*BC23</f>
        <v>2.22690274559721</v>
      </c>
      <c r="BD28" s="19" t="n">
        <f aca="false">Inputs!$F$146*BD23</f>
        <v>2.24535941237457</v>
      </c>
      <c r="BE28" s="19" t="n">
        <f aca="false">Inputs!$F$146*BE23</f>
        <v>2.28257531423713</v>
      </c>
      <c r="BF28" s="19" t="n">
        <f aca="false">Inputs!$F$146*BF23</f>
        <v>2.30149339768394</v>
      </c>
      <c r="BG28" s="19" t="n">
        <f aca="false">Inputs!$F$146*BG23</f>
        <v>2.33963969709306</v>
      </c>
      <c r="BH28" s="19" t="n">
        <f aca="false">Inputs!$F$146*BH23</f>
        <v>2.37206405159082</v>
      </c>
      <c r="BI28" s="19" t="n">
        <f aca="false">Inputs!$F$146*BI23</f>
        <v>2.39813068952039</v>
      </c>
      <c r="BJ28" s="19" t="n">
        <f aca="false">Inputs!$F$146*BJ23</f>
        <v>2.41800650094169</v>
      </c>
      <c r="BK28" s="19" t="n">
        <f aca="false">Inputs!$F$146*BK23</f>
        <v>2.4580839567584</v>
      </c>
      <c r="BL28" s="19" t="n">
        <f aca="false">Inputs!$F$146*BL23</f>
        <v>2.47845666346523</v>
      </c>
      <c r="BM28" s="19" t="n">
        <f aca="false">Inputs!$F$146*BM23</f>
        <v>2.51953605567736</v>
      </c>
      <c r="BN28" s="19" t="n">
        <f aca="false">Inputs!$F$146*BN23</f>
        <v>2.54041808005186</v>
      </c>
      <c r="BO28" s="19" t="n">
        <f aca="false">Inputs!$F$146*BO23</f>
        <v>2.58252445706929</v>
      </c>
      <c r="BP28" s="19" t="n">
        <f aca="false">Inputs!$F$146*BP23</f>
        <v>2.61831487753411</v>
      </c>
      <c r="BQ28" s="19" t="n">
        <f aca="false">Inputs!$F$146*BQ23</f>
        <v>2.64708756849602</v>
      </c>
      <c r="BR28" s="19" t="n">
        <f aca="false">Inputs!$F$146*BR23</f>
        <v>2.66902674535448</v>
      </c>
      <c r="BS28" s="19" t="n">
        <f aca="false">Inputs!$F$146*BS23</f>
        <v>2.71326475770842</v>
      </c>
      <c r="BT28" s="19" t="n">
        <f aca="false">Inputs!$F$146*BT23</f>
        <v>2.73575241398834</v>
      </c>
      <c r="BU28" s="19" t="n">
        <f aca="false">Inputs!$F$146*BU23</f>
        <v>2.78109637665113</v>
      </c>
      <c r="BV28" s="19" t="n">
        <f aca="false">Inputs!$F$146*BV23</f>
        <v>2.80414622433805</v>
      </c>
      <c r="BW28" s="19" t="n">
        <f aca="false">Inputs!$F$146*BW23</f>
        <v>2.85062378606741</v>
      </c>
      <c r="BX28" s="19" t="n">
        <f aca="false">Inputs!$F$146*BX23</f>
        <v>2.89012971353737</v>
      </c>
      <c r="BY28" s="19" t="n">
        <f aca="false">Inputs!$F$146*BY23</f>
        <v>2.9218893807191</v>
      </c>
      <c r="BZ28" s="19" t="n">
        <f aca="false">Inputs!$F$146*BZ23</f>
        <v>2.94610612694517</v>
      </c>
      <c r="CA28" s="19" t="n">
        <f aca="false">Inputs!$F$146*CA23</f>
        <v>2.99493661523708</v>
      </c>
      <c r="CB28" s="19" t="n">
        <f aca="false">Inputs!$F$146*CB23</f>
        <v>3.0197587801188</v>
      </c>
      <c r="CC28" s="19" t="n">
        <f aca="false">Inputs!$F$146*CC23</f>
        <v>3.069810030618</v>
      </c>
      <c r="CD28" s="19" t="n">
        <f aca="false">Inputs!$F$146*CD23</f>
        <v>3.09525274962177</v>
      </c>
      <c r="CE28" s="19" t="n">
        <f aca="false">Inputs!$F$146*CE23</f>
        <v>3.14655528138345</v>
      </c>
      <c r="CF28" s="19" t="n">
        <f aca="false">Inputs!$F$146*CF23</f>
        <v>3.19016243338089</v>
      </c>
      <c r="CG28" s="19" t="n">
        <f aca="false">Inputs!$F$146*CG23</f>
        <v>3.22521916341804</v>
      </c>
      <c r="CH28" s="19" t="n">
        <f aca="false">Inputs!$F$146*CH23</f>
        <v>3.25194992007137</v>
      </c>
      <c r="CI28" s="19" t="n">
        <f aca="false">Inputs!$F$146*CI23</f>
        <v>3.30584964250349</v>
      </c>
      <c r="CJ28" s="19" t="n">
        <f aca="false">Inputs!$F$146*CJ23</f>
        <v>3.33324866807315</v>
      </c>
      <c r="CK28" s="19" t="n">
        <f aca="false">Inputs!$F$146*CK23</f>
        <v>3.38849588356608</v>
      </c>
      <c r="CL28" s="19" t="n">
        <f aca="false">Inputs!$F$146*CL23</f>
        <v>3.41657988477498</v>
      </c>
      <c r="CM28" s="19" t="n">
        <f aca="false">Inputs!$F$146*CM23</f>
        <v>3.47320828065523</v>
      </c>
      <c r="CN28" s="19" t="n">
        <f aca="false">Inputs!$F$146*CN23</f>
        <v>3.52134241715344</v>
      </c>
      <c r="CO28" s="19" t="n">
        <f aca="false">Inputs!$F$146*CO23</f>
        <v>3.56003848767161</v>
      </c>
      <c r="CP28" s="19" t="n">
        <f aca="false">Inputs!$F$146*CP23</f>
        <v>3.58954424144171</v>
      </c>
      <c r="CQ28" s="19" t="n">
        <f aca="false">Inputs!$F$146*CQ23</f>
        <v>3.6490394498634</v>
      </c>
      <c r="CR28" s="19" t="n">
        <f aca="false">Inputs!$F$146*CR23</f>
        <v>3.67928284747775</v>
      </c>
      <c r="CS28" s="19" t="n">
        <f aca="false">Inputs!$F$146*CS23</f>
        <v>3.74026543610998</v>
      </c>
      <c r="CT28" s="19" t="n">
        <f aca="false">Inputs!$F$146*CT23</f>
        <v>3.7712649186647</v>
      </c>
      <c r="CU28" s="19" t="n">
        <f aca="false">Inputs!$F$146*CU23</f>
        <v>3.83377207201273</v>
      </c>
      <c r="CV28" s="19" t="n">
        <f aca="false">Inputs!$F$146*CV23</f>
        <v>3.88690315235856</v>
      </c>
      <c r="CW28" s="19" t="n">
        <f aca="false">Inputs!$F$146*CW23</f>
        <v>3.92961637381305</v>
      </c>
      <c r="CX28" s="19" t="n">
        <f aca="false">Inputs!$F$146*CX23</f>
        <v>3.9621852051721</v>
      </c>
      <c r="CY28" s="19" t="n">
        <f aca="false">Inputs!$F$146*CY23</f>
        <v>4.02785678315837</v>
      </c>
      <c r="CZ28" s="19" t="n">
        <f aca="false">Inputs!$F$146*CZ23</f>
        <v>4.0612398353014</v>
      </c>
      <c r="DA28" s="19" t="n">
        <f aca="false">Inputs!$F$146*DA23</f>
        <v>4.12855320273733</v>
      </c>
      <c r="DB28" s="19" t="n">
        <f aca="false">Inputs!$F$146*DB23</f>
        <v>3.35781514559588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2030.40148845607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3.7213616032007</v>
      </c>
      <c r="AA29" s="19" t="n">
        <f aca="false">AA24+AA25+AA26+AA27+AA28</f>
        <v>12.6785724744826</v>
      </c>
      <c r="AB29" s="19" t="n">
        <f aca="false">AB24+AB25+AB26+AB27+AB28</f>
        <v>12.0629787019262</v>
      </c>
      <c r="AC29" s="19" t="n">
        <f aca="false">AC24+AC25+AC26+AC27+AC28</f>
        <v>12.7638940974661</v>
      </c>
      <c r="AD29" s="19" t="n">
        <f aca="false">AD24+AD25+AD26+AD27+AD28</f>
        <v>13.0299692172955</v>
      </c>
      <c r="AE29" s="19" t="n">
        <f aca="false">AE24+AE25+AE26+AE27+AE28</f>
        <v>13.5802637319901</v>
      </c>
      <c r="AF29" s="19" t="n">
        <f aca="false">AF24+AF25+AF26+AF27+AF28</f>
        <v>14.3414251758687</v>
      </c>
      <c r="AG29" s="19" t="n">
        <f aca="false">AG24+AG25+AG26+AG27+AG28</f>
        <v>14.9065091168682</v>
      </c>
      <c r="AH29" s="19" t="n">
        <f aca="false">AH24+AH25+AH26+AH27+AH28</f>
        <v>15.3458380050926</v>
      </c>
      <c r="AI29" s="19" t="n">
        <f aca="false">AI24+AI25+AI26+AI27+AI28</f>
        <v>15.8553862566258</v>
      </c>
      <c r="AJ29" s="19" t="n">
        <f aca="false">AJ24+AJ25+AJ26+AJ27+AJ28</f>
        <v>15.4683210511152</v>
      </c>
      <c r="AK29" s="19" t="n">
        <f aca="false">AK24+AK25+AK26+AK27+AK28</f>
        <v>15.8569600675823</v>
      </c>
      <c r="AL29" s="19" t="n">
        <f aca="false">AL24+AL25+AL26+AL27+AL28</f>
        <v>15.9529806970265</v>
      </c>
      <c r="AM29" s="19" t="n">
        <f aca="false">AM24+AM25+AM26+AM27+AM28</f>
        <v>16.3819537184106</v>
      </c>
      <c r="AN29" s="19" t="n">
        <f aca="false">AN24+AN25+AN26+AN27+AN28</f>
        <v>16.4663167697901</v>
      </c>
      <c r="AO29" s="19" t="n">
        <f aca="false">AO24+AO25+AO26+AO27+AO28</f>
        <v>16.8325582790726</v>
      </c>
      <c r="AP29" s="19" t="n">
        <f aca="false">AP24+AP25+AP26+AP27+AP28</f>
        <v>16.9756281633251</v>
      </c>
      <c r="AQ29" s="19" t="n">
        <f aca="false">AQ24+AQ25+AQ26+AQ27+AQ28</f>
        <v>17.3500439126466</v>
      </c>
      <c r="AR29" s="19" t="n">
        <f aca="false">AR24+AR25+AR26+AR27+AR28</f>
        <v>17.594258609172</v>
      </c>
      <c r="AS29" s="19" t="n">
        <f aca="false">AS24+AS25+AS26+AS27+AS28</f>
        <v>17.8847192557089</v>
      </c>
      <c r="AT29" s="19" t="n">
        <f aca="false">AT24+AT25+AT26+AT27+AT28</f>
        <v>18.0368865185565</v>
      </c>
      <c r="AU29" s="19" t="n">
        <f aca="false">AU24+AU25+AU26+AU27+AU28</f>
        <v>18.4388603312633</v>
      </c>
      <c r="AV29" s="19" t="n">
        <f aca="false">AV24+AV25+AV26+AV27+AV28</f>
        <v>18.595824065892</v>
      </c>
      <c r="AW29" s="19" t="n">
        <f aca="false">AW24+AW25+AW26+AW27+AW28</f>
        <v>19.0114733148622</v>
      </c>
      <c r="AX29" s="19" t="n">
        <f aca="false">AX24+AX25+AX26+AX27+AX28</f>
        <v>19.1385560838093</v>
      </c>
      <c r="AY29" s="19" t="n">
        <f aca="false">AY24+AY25+AY26+AY27+AY28</f>
        <v>19.5686625531764</v>
      </c>
      <c r="AZ29" s="19" t="n">
        <f aca="false">AZ24+AZ25+AZ26+AZ27+AZ28</f>
        <v>19.8078716926129</v>
      </c>
      <c r="BA29" s="19" t="n">
        <f aca="false">BA24+BA25+BA26+BA27+BA28</f>
        <v>20.1422612175369</v>
      </c>
      <c r="BB29" s="19" t="n">
        <f aca="false">BB24+BB25+BB26+BB27+BB28</f>
        <v>20.2760135824937</v>
      </c>
      <c r="BC29" s="19" t="n">
        <f aca="false">BC24+BC25+BC26+BC27+BC28</f>
        <v>20.7345577305753</v>
      </c>
      <c r="BD29" s="19" t="n">
        <f aca="false">BD24+BD25+BD26+BD27+BD28</f>
        <v>20.8717783335447</v>
      </c>
      <c r="BE29" s="19" t="n">
        <f aca="false">BE24+BE25+BE26+BE27+BE28</f>
        <v>21.3461234901231</v>
      </c>
      <c r="BF29" s="19" t="n">
        <f aca="false">BF24+BF25+BF26+BF27+BF28</f>
        <v>21.4869052933222</v>
      </c>
      <c r="BG29" s="19" t="n">
        <f aca="false">BG24+BG25+BG26+BG27+BG28</f>
        <v>21.9775460485997</v>
      </c>
      <c r="BH29" s="19" t="n">
        <f aca="false">BH24+BH25+BH26+BH27+BH28</f>
        <v>22.244205395447</v>
      </c>
      <c r="BI29" s="19" t="n">
        <f aca="false">BI24+BI25+BI26+BI27+BI28</f>
        <v>22.627501017154</v>
      </c>
      <c r="BJ29" s="19" t="n">
        <f aca="false">BJ24+BJ25+BJ26+BJ27+BJ28</f>
        <v>22.7756913575451</v>
      </c>
      <c r="BK29" s="19" t="n">
        <f aca="false">BK24+BK25+BK26+BK27+BK28</f>
        <v>23.2984686540231</v>
      </c>
      <c r="BL29" s="19" t="n">
        <f aca="false">BL24+BL25+BL26+BL27+BL28</f>
        <v>23.4505113739498</v>
      </c>
      <c r="BM29" s="19" t="n">
        <f aca="false">BM24+BM25+BM26+BM27+BM28</f>
        <v>23.9910857198766</v>
      </c>
      <c r="BN29" s="19" t="n">
        <f aca="false">BN24+BN25+BN26+BN27+BN28</f>
        <v>24.1470839647589</v>
      </c>
      <c r="BO29" s="19" t="n">
        <f aca="false">BO24+BO25+BO26+BO27+BO28</f>
        <v>24.7060068681779</v>
      </c>
      <c r="BP29" s="19" t="n">
        <f aca="false">BP24+BP25+BP26+BP27+BP28</f>
        <v>25.0034481040923</v>
      </c>
      <c r="BQ29" s="19" t="n">
        <f aca="false">BQ24+BQ25+BQ26+BQ27+BQ28</f>
        <v>25.4439051185473</v>
      </c>
      <c r="BR29" s="19" t="n">
        <f aca="false">BR24+BR25+BR26+BR27+BR28</f>
        <v>25.54815573577</v>
      </c>
      <c r="BS29" s="19" t="n">
        <f aca="false">BS24+BS25+BS26+BS27+BS28</f>
        <v>26.1429705512781</v>
      </c>
      <c r="BT29" s="19" t="n">
        <f aca="false">BT24+BT25+BT26+BT27+BT28</f>
        <v>26.2493582553425</v>
      </c>
      <c r="BU29" s="19" t="n">
        <f aca="false">BU24+BU25+BU26+BU27+BU28</f>
        <v>26.8615547385167</v>
      </c>
      <c r="BV29" s="19" t="n">
        <f aca="false">BV24+BV25+BV26+BV27+BV28</f>
        <v>26.9701177405901</v>
      </c>
      <c r="BW29" s="19" t="n">
        <f aca="false">BW24+BW25+BW26+BW27+BW28</f>
        <v>27.6001098309666</v>
      </c>
      <c r="BX29" s="19" t="n">
        <f aca="false">BX24+BX25+BX26+BX27+BX28</f>
        <v>27.8639863907019</v>
      </c>
      <c r="BY29" s="19" t="n">
        <f aca="false">BY24+BY25+BY26+BY27+BY28</f>
        <v>28.359097865677</v>
      </c>
      <c r="BZ29" s="19" t="n">
        <f aca="false">BZ24+BZ25+BZ26+BZ27+BZ28</f>
        <v>28.4721310270385</v>
      </c>
      <c r="CA29" s="19" t="n">
        <f aca="false">CA24+CA25+CA26+CA27+CA28</f>
        <v>29.1389909851241</v>
      </c>
      <c r="CB29" s="19" t="n">
        <f aca="false">CB24+CB25+CB26+CB27+CB28</f>
        <v>29.254321576675</v>
      </c>
      <c r="CC29" s="19" t="n">
        <f aca="false">CC24+CC25+CC26+CC27+CC28</f>
        <v>29.9424572246598</v>
      </c>
      <c r="CD29" s="19" t="n">
        <f aca="false">CD24+CD25+CD26+CD27+CD28</f>
        <v>30.0601123130735</v>
      </c>
      <c r="CE29" s="19" t="n">
        <f aca="false">CE24+CE25+CE26+CE27+CE28</f>
        <v>30.7678433919337</v>
      </c>
      <c r="CF29" s="19" t="n">
        <f aca="false">CF24+CF25+CF26+CF27+CF28</f>
        <v>31.0585186310339</v>
      </c>
      <c r="CG29" s="19" t="n">
        <f aca="false">CG24+CG25+CG26+CG27+CG28</f>
        <v>31.6156538422532</v>
      </c>
      <c r="CH29" s="19" t="n">
        <f aca="false">CH24+CH25+CH26+CH27+CH28</f>
        <v>31.7380927185562</v>
      </c>
      <c r="CI29" s="19" t="n">
        <f aca="false">CI24+CI25+CI26+CI27+CI28</f>
        <v>32.4886490768606</v>
      </c>
      <c r="CJ29" s="19" t="n">
        <f aca="false">CJ24+CJ25+CJ26+CJ27+CJ28</f>
        <v>32.6135334363146</v>
      </c>
      <c r="CK29" s="19" t="n">
        <f aca="false">CK24+CK25+CK26+CK27+CK28</f>
        <v>33.3851510817328</v>
      </c>
      <c r="CL29" s="19" t="n">
        <f aca="false">CL24+CL25+CL26+CL27+CL28</f>
        <v>33.5125295295125</v>
      </c>
      <c r="CM29" s="19" t="n">
        <f aca="false">CM24+CM25+CM26+CM27+CM28</f>
        <v>34.3079843192228</v>
      </c>
      <c r="CN29" s="19" t="n">
        <f aca="false">CN24+CN25+CN26+CN27+CN28</f>
        <v>34.6281545947778</v>
      </c>
      <c r="CO29" s="19" t="n">
        <f aca="false">CO24+CO25+CO26+CO27+CO28</f>
        <v>35.2554547943914</v>
      </c>
      <c r="CP29" s="19" t="n">
        <f aca="false">CP24+CP25+CP26+CP27+CP28</f>
        <v>35.38793923597</v>
      </c>
      <c r="CQ29" s="19" t="n">
        <f aca="false">CQ24+CQ25+CQ26+CQ27+CQ28</f>
        <v>36.2304527159929</v>
      </c>
      <c r="CR29" s="19" t="n">
        <f aca="false">CR24+CR25+CR26+CR27+CR28</f>
        <v>36.3655517607987</v>
      </c>
      <c r="CS29" s="19" t="n">
        <f aca="false">CS24+CS25+CS26+CS27+CS28</f>
        <v>37.2336164337385</v>
      </c>
      <c r="CT29" s="19" t="n">
        <f aca="false">CT24+CT25+CT26+CT27+CT28</f>
        <v>37.3713672009135</v>
      </c>
      <c r="CU29" s="19" t="n">
        <f aca="false">CU24+CU25+CU26+CU27+CU28</f>
        <v>38.265598042655</v>
      </c>
      <c r="CV29" s="19" t="n">
        <f aca="false">CV24+CV25+CV26+CV27+CV28</f>
        <v>38.6182270277396</v>
      </c>
      <c r="CW29" s="19" t="n">
        <f aca="false">CW24+CW25+CW26+CW27+CW28</f>
        <v>39.324673257218</v>
      </c>
      <c r="CX29" s="19" t="n">
        <f aca="false">CX24+CX25+CX26+CX27+CX28</f>
        <v>39.4678619507672</v>
      </c>
      <c r="CY29" s="19" t="n">
        <f aca="false">CY24+CY25+CY26+CY27+CY28</f>
        <v>40.4138699631889</v>
      </c>
      <c r="CZ29" s="19" t="n">
        <f aca="false">CZ24+CZ25+CZ26+CZ27+CZ28</f>
        <v>40.5598479637073</v>
      </c>
      <c r="DA29" s="19" t="n">
        <f aca="false">DA24+DA25+DA26+DA27+DA28</f>
        <v>41.5338827305491</v>
      </c>
      <c r="DB29" s="19" t="n">
        <f aca="false">DB24+DB25+DB26+DB27+DB28</f>
        <v>33.6225037862218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21.6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5.4</v>
      </c>
      <c r="AG31" s="19" t="n">
        <f aca="false">IF(AND(Time!AG39=1,Time!AG8&gt;=Inputs!$F$38,Time!AG8&lt;=Inputs!$F$20),Inputs!$F$161/Inputs!$F$162,0)</f>
        <v>5.4</v>
      </c>
      <c r="AH31" s="19" t="n">
        <f aca="false">IF(AND(Time!AH39=1,Time!AH8&gt;=Inputs!$F$38,Time!AH8&lt;=Inputs!$F$20),Inputs!$F$161/Inputs!$F$162,0)</f>
        <v>5.4</v>
      </c>
      <c r="AI31" s="19" t="n">
        <f aca="false">IF(AND(Time!AI39=1,Time!AI8&gt;=Inputs!$F$38,Time!AI8&lt;=Inputs!$F$20),Inputs!$F$161/Inputs!$F$162,0)</f>
        <v>5.4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6477.36257445226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14.4064229050805</v>
      </c>
      <c r="AA32" s="19" t="n">
        <f aca="false">AA20+AA21-AA29-AA30-AA31</f>
        <v>17.3351040000299</v>
      </c>
      <c r="AB32" s="19" t="n">
        <f aca="false">AB20+AB21-AB29-AB30-AB31</f>
        <v>8.36503526650163</v>
      </c>
      <c r="AC32" s="19" t="n">
        <f aca="false">AC20+AC21-AC29-AC30-AC31</f>
        <v>17.0556227348834</v>
      </c>
      <c r="AD32" s="19" t="n">
        <f aca="false">AD20+AD21-AD29-AD30-AD31</f>
        <v>18.063359584088</v>
      </c>
      <c r="AE32" s="19" t="n">
        <f aca="false">AE20+AE21-AE29-AE30-AE31</f>
        <v>23.4208140147584</v>
      </c>
      <c r="AF32" s="19" t="n">
        <f aca="false">AF20+AF21-AF29-AF30-AF31</f>
        <v>19.7906290695289</v>
      </c>
      <c r="AG32" s="19" t="n">
        <f aca="false">AG20+AG21-AG29-AG30-AG31</f>
        <v>25.161107406462</v>
      </c>
      <c r="AH32" s="19" t="n">
        <f aca="false">AH20+AH21-AH29-AH30-AH31</f>
        <v>24.6302353909602</v>
      </c>
      <c r="AI32" s="19" t="n">
        <f aca="false">AI20+AI21-AI29-AI30-AI31</f>
        <v>28.9888629693939</v>
      </c>
      <c r="AJ32" s="19" t="n">
        <f aca="false">AJ20+AJ21-AJ29-AJ30-AJ31</f>
        <v>33.9731543960723</v>
      </c>
      <c r="AK32" s="19" t="n">
        <f aca="false">AK20+AK21-AK29-AK30-AK31</f>
        <v>37.6545616265238</v>
      </c>
      <c r="AL32" s="19" t="n">
        <f aca="false">AL20+AL21-AL29-AL30-AL31</f>
        <v>37.0331412021374</v>
      </c>
      <c r="AM32" s="19" t="n">
        <f aca="false">AM20+AM21-AM29-AM30-AM31</f>
        <v>40.1365682389146</v>
      </c>
      <c r="AN32" s="19" t="n">
        <f aca="false">AN20+AN21-AN29-AN30-AN31</f>
        <v>39.4870987284439</v>
      </c>
      <c r="AO32" s="19" t="n">
        <f aca="false">AO20+AO21-AO29-AO30-AO31</f>
        <v>41.5534091843579</v>
      </c>
      <c r="AP32" s="19" t="n">
        <f aca="false">AP20+AP21-AP29-AP30-AP31</f>
        <v>41.9516787593044</v>
      </c>
      <c r="AQ32" s="19" t="n">
        <f aca="false">AQ20+AQ21-AQ29-AQ30-AQ31</f>
        <v>44.0547933276469</v>
      </c>
      <c r="AR32" s="19" t="n">
        <f aca="false">AR20+AR21-AR29-AR30-AR31</f>
        <v>44.7223069753633</v>
      </c>
      <c r="AS32" s="19" t="n">
        <f aca="false">AS20+AS21-AS29-AS30-AS31</f>
        <v>46.6830493227875</v>
      </c>
      <c r="AT32" s="19" t="n">
        <f aca="false">AT20+AT21-AT29-AT30-AT31</f>
        <v>47.1295375664341</v>
      </c>
      <c r="AU32" s="19" t="n">
        <f aca="false">AU20+AU21-AU29-AU30-AU31</f>
        <v>49.4692813997863</v>
      </c>
      <c r="AV32" s="19" t="n">
        <f aca="false">AV20+AV21-AV29-AV30-AV31</f>
        <v>49.9419442401205</v>
      </c>
      <c r="AW32" s="19" t="n">
        <f aca="false">AW20+AW21-AW29-AW30-AW31</f>
        <v>52.3950409161949</v>
      </c>
      <c r="AX32" s="19" t="n">
        <f aca="false">AX20+AX21-AX29-AX30-AX31</f>
        <v>52.3680824987241</v>
      </c>
      <c r="AY32" s="19" t="n">
        <f aca="false">AY20+AY21-AY29-AY30-AY31</f>
        <v>54.9440210730542</v>
      </c>
      <c r="AZ32" s="19" t="n">
        <f aca="false">AZ20+AZ21-AZ29-AZ30-AZ31</f>
        <v>55.221541196156</v>
      </c>
      <c r="BA32" s="19" t="n">
        <f aca="false">BA20+BA21-BA29-BA30-BA31</f>
        <v>57.5942411208187</v>
      </c>
      <c r="BB32" s="19" t="n">
        <f aca="false">BB20+BB21-BB29-BB30-BB31</f>
        <v>57.569488851532</v>
      </c>
      <c r="BC32" s="19" t="n">
        <f aca="false">BC20+BC21-BC29-BC30-BC31</f>
        <v>60.3766472081754</v>
      </c>
      <c r="BD32" s="19" t="n">
        <f aca="false">BD20+BD21-BD29-BD30-BD31</f>
        <v>60.3531586208267</v>
      </c>
      <c r="BE32" s="19" t="n">
        <f aca="false">BE20+BE21-BE29-BE30-BE31</f>
        <v>63.2961166734421</v>
      </c>
      <c r="BF32" s="19" t="n">
        <f aca="false">BF20+BF21-BF29-BF30-BF31</f>
        <v>63.274018011342</v>
      </c>
      <c r="BG32" s="19" t="n">
        <f aca="false">BG20+BG21-BG29-BG30-BG31</f>
        <v>66.3576770742722</v>
      </c>
      <c r="BH32" s="19" t="n">
        <f aca="false">BH20+BH21-BH29-BH30-BH31</f>
        <v>66.7036032964727</v>
      </c>
      <c r="BI32" s="19" t="n">
        <f aca="false">BI20+BI21-BI29-BI30-BI31</f>
        <v>69.5373336086172</v>
      </c>
      <c r="BJ32" s="19" t="n">
        <f aca="false">BJ20+BJ21-BJ29-BJ30-BJ31</f>
        <v>69.5183743950383</v>
      </c>
      <c r="BK32" s="19" t="n">
        <f aca="false">BK20+BK21-BK29-BK30-BK31</f>
        <v>72.8685531509448</v>
      </c>
      <c r="BL32" s="19" t="n">
        <f aca="false">BL20+BL21-BL29-BL30-BL31</f>
        <v>72.851353320288</v>
      </c>
      <c r="BM32" s="19" t="n">
        <f aca="false">BM20+BM21-BM29-BM30-BM31</f>
        <v>76.3568108157456</v>
      </c>
      <c r="BN32" s="19" t="n">
        <f aca="false">BN20+BN21-BN29-BN30-BN31</f>
        <v>76.3415177736143</v>
      </c>
      <c r="BO32" s="19" t="n">
        <f aca="false">BO20+BO21-BO29-BO30-BO31</f>
        <v>80.0077484567124</v>
      </c>
      <c r="BP32" s="19" t="n">
        <f aca="false">BP20+BP21-BP29-BP30-BP31</f>
        <v>80.4364743501162</v>
      </c>
      <c r="BQ32" s="19" t="n">
        <f aca="false">BQ20+BQ21-BQ29-BQ30-BQ31</f>
        <v>83.8271792292229</v>
      </c>
      <c r="BR32" s="19" t="n">
        <f aca="false">BR20+BR21-BR29-BR30-BR31</f>
        <v>82.9087402606916</v>
      </c>
      <c r="BS32" s="19" t="n">
        <f aca="false">BS20+BS21-BS29-BS30-BS31</f>
        <v>86.8755006594943</v>
      </c>
      <c r="BT32" s="19" t="n">
        <f aca="false">BT20+BT21-BT29-BT30-BT31</f>
        <v>85.9270024987452</v>
      </c>
      <c r="BU32" s="19" t="n">
        <f aca="false">BU20+BU21-BU29-BU30-BU31</f>
        <v>90.0309254050524</v>
      </c>
      <c r="BV32" s="19" t="n">
        <f aca="false">BV20+BV21-BV29-BV30-BV31</f>
        <v>89.0513863688658</v>
      </c>
      <c r="BW32" s="19" t="n">
        <f aca="false">BW20+BW21-BW29-BW30-BW31</f>
        <v>93.2955891546913</v>
      </c>
      <c r="BX32" s="19" t="n">
        <f aca="false">BX20+BX21-BX29-BX30-BX31</f>
        <v>92.7938634480385</v>
      </c>
      <c r="BY32" s="19" t="n">
        <f aca="false">BY20+BY21-BY29-BY30-BY31</f>
        <v>96.6716595452073</v>
      </c>
      <c r="BZ32" s="19" t="n">
        <f aca="false">BZ20+BZ21-BZ29-BZ30-BZ31</f>
        <v>95.6270113381375</v>
      </c>
      <c r="CA32" s="19" t="n">
        <f aca="false">CA20+CA21-CA29-CA30-CA31</f>
        <v>100.161336535308</v>
      </c>
      <c r="CB32" s="19" t="n">
        <f aca="false">CB20+CB21-CB29-CB30-CB31</f>
        <v>99.082577959896</v>
      </c>
      <c r="CC32" s="19" t="n">
        <f aca="false">CC20+CC21-CC29-CC30-CC31</f>
        <v>103.799918240359</v>
      </c>
      <c r="CD32" s="19" t="n">
        <f aca="false">CD20+CD21-CD29-CD30-CD31</f>
        <v>102.685737082583</v>
      </c>
      <c r="CE32" s="19" t="n">
        <f aca="false">CE20+CE21-CE29-CE30-CE31</f>
        <v>107.557200115475</v>
      </c>
      <c r="CF32" s="19" t="n">
        <f aca="false">CF20+CF21-CF29-CF30-CF31</f>
        <v>106.994385388605</v>
      </c>
      <c r="CG32" s="19" t="n">
        <f aca="false">CG20+CG21-CG29-CG30-CG31</f>
        <v>111.435489390278</v>
      </c>
      <c r="CH32" s="19" t="n">
        <f aca="false">CH20+CH21-CH29-CH30-CH31</f>
        <v>110.24716400652</v>
      </c>
      <c r="CI32" s="19" t="n">
        <f aca="false">CI20+CI21-CI29-CI30-CI31</f>
        <v>115.471093519566</v>
      </c>
      <c r="CJ32" s="19" t="n">
        <f aca="false">CJ20+CJ21-CJ29-CJ30-CJ31</f>
        <v>114.243748251962</v>
      </c>
      <c r="CK32" s="19" t="n">
        <f aca="false">CK20+CK21-CK29-CK30-CK31</f>
        <v>119.633033111067</v>
      </c>
      <c r="CL32" s="19" t="n">
        <f aca="false">CL20+CL21-CL29-CL30-CL31</f>
        <v>118.365502866938</v>
      </c>
      <c r="CM32" s="19" t="n">
        <f aca="false">CM20+CM21-CM29-CM30-CM31</f>
        <v>123.958307066247</v>
      </c>
      <c r="CN32" s="19" t="n">
        <f aca="false">CN20+CN21-CN29-CN30-CN31</f>
        <v>123.326765065249</v>
      </c>
      <c r="CO32" s="19" t="n">
        <f aca="false">CO20+CO21-CO29-CO30-CO31</f>
        <v>128.415411088425</v>
      </c>
      <c r="CP32" s="19" t="n">
        <f aca="false">CP20+CP21-CP29-CP30-CP31</f>
        <v>127.063400792904</v>
      </c>
      <c r="CQ32" s="19" t="n">
        <f aca="false">CQ20+CQ21-CQ29-CQ30-CQ31</f>
        <v>133.042048551663</v>
      </c>
      <c r="CR32" s="19" t="n">
        <f aca="false">CR20+CR21-CR29-CR30-CR31</f>
        <v>131.645685380564</v>
      </c>
      <c r="CS32" s="19" t="n">
        <f aca="false">CS20+CS21-CS29-CS30-CS31</f>
        <v>137.841703814735</v>
      </c>
      <c r="CT32" s="19" t="n">
        <f aca="false">CT20+CT21-CT29-CT30-CT31</f>
        <v>136.399451612448</v>
      </c>
      <c r="CU32" s="19" t="n">
        <f aca="false">CU20+CU21-CU29-CU30-CU31</f>
        <v>142.817914858369</v>
      </c>
      <c r="CV32" s="19" t="n">
        <f aca="false">CV20+CV21-CV29-CV30-CV31</f>
        <v>142.109023744642</v>
      </c>
      <c r="CW32" s="19" t="n">
        <f aca="false">CW20+CW21-CW29-CW30-CW31</f>
        <v>147.938109135632</v>
      </c>
      <c r="CX32" s="19" t="n">
        <f aca="false">CX20+CX21-CX29-CX30-CX31</f>
        <v>146.399609166753</v>
      </c>
      <c r="CY32" s="19" t="n">
        <f aca="false">CY20+CY21-CY29-CY30-CY31</f>
        <v>153.241447707878</v>
      </c>
      <c r="CZ32" s="19" t="n">
        <f aca="false">CZ20+CZ21-CZ29-CZ30-CZ31</f>
        <v>151.652527095799</v>
      </c>
      <c r="DA32" s="19" t="n">
        <f aca="false">DA20+DA21-DA29-DA30-DA31</f>
        <v>158.731624628752</v>
      </c>
      <c r="DB32" s="19" t="n">
        <f aca="false">DB20+DB21-DB29-DB30-DB31</f>
        <v>126.713979643822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35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36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37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38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39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40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265.1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42.6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14.7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550.677628136318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20.1584566147828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64.4829658335367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51.9993223936328</v>
      </c>
      <c r="BD36" s="19" t="n">
        <f aca="false">BD35*Time!BD56*Inputs!$F$222</f>
        <v>0</v>
      </c>
      <c r="BE36" s="19" t="n">
        <f aca="false">BE35*Time!BE56*Inputs!$F$222</f>
        <v>24.5611219487794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116.647762252266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75.3105232818425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36.4611235826925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116.632013609165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44.4243386196197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550.677628136318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3.35974276913047</v>
      </c>
      <c r="AJ37" s="19" t="n">
        <f aca="false">SUM(AK36:AP36)/Inputs!$F$153</f>
        <v>3.35974276913047</v>
      </c>
      <c r="AK37" s="19" t="n">
        <f aca="false">SUM(AL36:AQ36)/Inputs!$F$153</f>
        <v>3.35974276913047</v>
      </c>
      <c r="AL37" s="19" t="n">
        <f aca="false">SUM(AM36:AR36)/Inputs!$F$153</f>
        <v>3.35974276913047</v>
      </c>
      <c r="AM37" s="19" t="n">
        <f aca="false">SUM(AN36:AS36)/Inputs!$F$153</f>
        <v>3.35974276913047</v>
      </c>
      <c r="AN37" s="19" t="n">
        <f aca="false">SUM(AO36:AT36)/Inputs!$F$153</f>
        <v>3.35974276913047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10.7471609722561</v>
      </c>
      <c r="AR37" s="19" t="n">
        <f aca="false">SUM(AS36:AX36)/Inputs!$F$153</f>
        <v>10.7471609722561</v>
      </c>
      <c r="AS37" s="19" t="n">
        <f aca="false">SUM(AT36:AY36)/Inputs!$F$153</f>
        <v>10.7471609722561</v>
      </c>
      <c r="AT37" s="19" t="n">
        <f aca="false">SUM(AU36:AZ36)/Inputs!$F$153</f>
        <v>10.7471609722561</v>
      </c>
      <c r="AU37" s="19" t="n">
        <f aca="false">SUM(AV36:BA36)/Inputs!$F$153</f>
        <v>10.7471609722561</v>
      </c>
      <c r="AV37" s="19" t="n">
        <f aca="false">SUM(AW36:BB36)/Inputs!$F$153</f>
        <v>10.7471609722561</v>
      </c>
      <c r="AW37" s="19" t="n">
        <f aca="false">SUM(AX36:BC36)/Inputs!$F$153</f>
        <v>8.66655373227213</v>
      </c>
      <c r="AX37" s="19" t="n">
        <f aca="false">SUM(AY36:BD36)/Inputs!$F$153</f>
        <v>8.66655373227213</v>
      </c>
      <c r="AY37" s="19" t="n">
        <f aca="false">SUM(AZ36:BE36)/Inputs!$F$153</f>
        <v>12.7600740570687</v>
      </c>
      <c r="AZ37" s="19" t="n">
        <f aca="false">SUM(BA36:BF36)/Inputs!$F$153</f>
        <v>12.7600740570687</v>
      </c>
      <c r="BA37" s="19" t="n">
        <f aca="false">SUM(BB36:BG36)/Inputs!$F$153</f>
        <v>12.7600740570687</v>
      </c>
      <c r="BB37" s="19" t="n">
        <f aca="false">SUM(BC36:BH36)/Inputs!$F$153</f>
        <v>12.7600740570687</v>
      </c>
      <c r="BC37" s="19" t="n">
        <f aca="false">SUM(BD36:BI36)/Inputs!$F$153</f>
        <v>4.09352032479656</v>
      </c>
      <c r="BD37" s="19" t="n">
        <f aca="false">SUM(BE36:BJ36)/Inputs!$F$153</f>
        <v>4.09352032479656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19.4412937087111</v>
      </c>
      <c r="BP37" s="19" t="n">
        <f aca="false">SUM(BQ36:BV36)/Inputs!$F$153</f>
        <v>19.4412937087111</v>
      </c>
      <c r="BQ37" s="19" t="n">
        <f aca="false">SUM(BR36:BW36)/Inputs!$F$153</f>
        <v>19.4412937087111</v>
      </c>
      <c r="BR37" s="19" t="n">
        <f aca="false">SUM(BS36:BX36)/Inputs!$F$153</f>
        <v>19.4412937087111</v>
      </c>
      <c r="BS37" s="19" t="n">
        <f aca="false">SUM(BT36:BY36)/Inputs!$F$153</f>
        <v>19.4412937087111</v>
      </c>
      <c r="BT37" s="19" t="n">
        <f aca="false">SUM(BU36:BZ36)/Inputs!$F$153</f>
        <v>19.4412937087111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12.5517538803071</v>
      </c>
      <c r="CB37" s="19" t="n">
        <f aca="false">SUM(CC36:CH36)/Inputs!$F$153</f>
        <v>12.5517538803071</v>
      </c>
      <c r="CC37" s="19" t="n">
        <f aca="false">SUM(CD36:CI36)/Inputs!$F$153</f>
        <v>12.5517538803071</v>
      </c>
      <c r="CD37" s="19" t="n">
        <f aca="false">SUM(CE36:CJ36)/Inputs!$F$153</f>
        <v>12.5517538803071</v>
      </c>
      <c r="CE37" s="19" t="n">
        <f aca="false">SUM(CF36:CK36)/Inputs!$F$153</f>
        <v>18.6286078107558</v>
      </c>
      <c r="CF37" s="19" t="n">
        <f aca="false">SUM(CG36:CL36)/Inputs!$F$153</f>
        <v>18.6286078107558</v>
      </c>
      <c r="CG37" s="19" t="n">
        <f aca="false">SUM(CH36:CM36)/Inputs!$F$153</f>
        <v>6.07685393044875</v>
      </c>
      <c r="CH37" s="19" t="n">
        <f aca="false">SUM(CI36:CN36)/Inputs!$F$153</f>
        <v>6.07685393044875</v>
      </c>
      <c r="CI37" s="19" t="n">
        <f aca="false">SUM(CJ36:CO36)/Inputs!$F$153</f>
        <v>6.07685393044875</v>
      </c>
      <c r="CJ37" s="19" t="n">
        <f aca="false">SUM(CK36:CP36)/Inputs!$F$153</f>
        <v>6.07685393044875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19.4386689348609</v>
      </c>
      <c r="CN37" s="19" t="n">
        <f aca="false">SUM(CO36:CT36)/Inputs!$F$153</f>
        <v>19.4386689348609</v>
      </c>
      <c r="CO37" s="19" t="n">
        <f aca="false">SUM(CP36:CU36)/Inputs!$F$153</f>
        <v>19.4386689348609</v>
      </c>
      <c r="CP37" s="19" t="n">
        <f aca="false">SUM(CQ36:CV36)/Inputs!$F$153</f>
        <v>19.4386689348609</v>
      </c>
      <c r="CQ37" s="19" t="n">
        <f aca="false">SUM(CR36:CW36)/Inputs!$F$153</f>
        <v>19.4386689348609</v>
      </c>
      <c r="CR37" s="19" t="n">
        <f aca="false">SUM(CS36:CX36)/Inputs!$F$153</f>
        <v>19.4386689348609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7.40405643660328</v>
      </c>
      <c r="CV37" s="19" t="n">
        <f aca="false">SUM(CW36:DB36)/Inputs!$F$153</f>
        <v>7.40405643660328</v>
      </c>
      <c r="CW37" s="19" t="n">
        <f aca="false">SUM(CX36:DC36)/Inputs!$F$153</f>
        <v>7.40405643660328</v>
      </c>
      <c r="CX37" s="19" t="n">
        <f aca="false">SUM(CY36:DD36)/Inputs!$F$153</f>
        <v>7.40405643660328</v>
      </c>
      <c r="CY37" s="19" t="n">
        <f aca="false">SUM(CZ36:DE36)/Inputs!$F$153</f>
        <v>7.40405643660328</v>
      </c>
      <c r="CZ37" s="19" t="n">
        <f aca="false">SUM(DA36:DF36)/Inputs!$F$153</f>
        <v>7.40405643660328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0</v>
      </c>
      <c r="CH38" s="14" t="n">
        <f aca="false">IF(AND(Time!CH26=1,Time!CH7&gt;=EDATE(Time!$F$17,-Inputs!$F$49)),1,0)</f>
        <v>0</v>
      </c>
      <c r="CI38" s="14" t="n">
        <f aca="false">IF(AND(Time!CI26=1,Time!CI7&gt;=EDATE(Time!$F$17,-Inputs!$F$49)),1,0)</f>
        <v>0</v>
      </c>
      <c r="CJ38" s="14" t="n">
        <f aca="false">IF(AND(Time!CJ26=1,Time!CJ7&gt;=EDATE(Time!$F$17,-Inputs!$F$49)),1,0)</f>
        <v>0</v>
      </c>
      <c r="CK38" s="14" t="n">
        <f aca="false">IF(AND(Time!CK26=1,Time!CK7&gt;=EDATE(Time!$F$17,-Inputs!$F$49)),1,0)</f>
        <v>0</v>
      </c>
      <c r="CL38" s="14" t="n">
        <f aca="false">IF(AND(Time!CL26=1,Time!CL7&gt;=EDATE(Time!$F$17,-Inputs!$F$49)),1,0)</f>
        <v>0</v>
      </c>
      <c r="CM38" s="14" t="n">
        <f aca="false">IF(AND(Time!CM26=1,Time!CM7&gt;=EDATE(Time!$F$17,-Inputs!$F$49)),1,0)</f>
        <v>0</v>
      </c>
      <c r="CN38" s="14" t="n">
        <f aca="false">IF(AND(Time!CN26=1,Time!CN7&gt;=EDATE(Time!$F$17,-Inputs!$F$49)),1,0)</f>
        <v>0</v>
      </c>
      <c r="CO38" s="14" t="n">
        <f aca="false">IF(AND(Time!CO26=1,Time!CO7&gt;=EDATE(Time!$F$17,-Inputs!$F$49)),1,0)</f>
        <v>0</v>
      </c>
      <c r="CP38" s="14" t="n">
        <f aca="false">IF(AND(Time!CP26=1,Time!CP7&gt;=EDATE(Time!$F$17,-Inputs!$F$49)),1,0)</f>
        <v>0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1</v>
      </c>
      <c r="CT38" s="14" t="n">
        <f aca="false">IF(AND(Time!CT26=1,Time!CT7&gt;=EDATE(Time!$F$17,-Inputs!$F$49)),1,0)</f>
        <v>1</v>
      </c>
      <c r="CU38" s="14" t="n">
        <f aca="false">IF(AND(Time!CU26=1,Time!CU7&gt;=EDATE(Time!$F$17,-Inputs!$F$49)),1,0)</f>
        <v>1</v>
      </c>
      <c r="CV38" s="14" t="n">
        <f aca="false">IF(AND(Time!CV26=1,Time!CV7&gt;=EDATE(Time!$F$17,-Inputs!$F$49)),1,0)</f>
        <v>1</v>
      </c>
      <c r="CW38" s="14" t="n">
        <f aca="false">IF(AND(Time!CW26=1,Time!CW7&gt;=EDATE(Time!$F$17,-Inputs!$F$49)),1,0)</f>
        <v>1</v>
      </c>
      <c r="CX38" s="14" t="n">
        <f aca="false">IF(AND(Time!CX26=1,Time!CX7&gt;=EDATE(Time!$F$17,-Inputs!$F$49)),1,0)</f>
        <v>1</v>
      </c>
      <c r="CY38" s="14" t="n">
        <f aca="false">IF(AND(Time!CY26=1,Time!CY7&gt;=EDATE(Time!$F$17,-Inputs!$F$49)),1,0)</f>
        <v>1</v>
      </c>
      <c r="CZ38" s="14" t="n">
        <f aca="false">IF(AND(Time!CZ26=1,Time!CZ7&gt;=EDATE(Time!$F$17,-Inputs!$F$49)),1,0)</f>
        <v>1</v>
      </c>
      <c r="DA38" s="14" t="n">
        <f aca="false">IF(AND(Time!DA26=1,Time!DA7&gt;=EDATE(Time!$F$17,-Inputs!$F$49)),1,0)</f>
        <v>1</v>
      </c>
      <c r="DB38" s="14" t="n">
        <f aca="false">IF(AND(Time!DB26=1,Time!DB7&gt;=EDATE(Time!$F$17,-Inputs!$F$49)),1,0)</f>
        <v>1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124.143876241145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0</v>
      </c>
      <c r="CH39" s="19" t="n">
        <f aca="false">Inputs!$F$154*Time!CH56*Inputs!$F$222/Inputs!$F$155*CH38</f>
        <v>0</v>
      </c>
      <c r="CI39" s="19" t="n">
        <f aca="false">Inputs!$F$154*Time!CI56*Inputs!$F$222/Inputs!$F$155*CI38</f>
        <v>0</v>
      </c>
      <c r="CJ39" s="19" t="n">
        <f aca="false">Inputs!$F$154*Time!CJ56*Inputs!$F$222/Inputs!$F$155*CJ38</f>
        <v>0</v>
      </c>
      <c r="CK39" s="19" t="n">
        <f aca="false">Inputs!$F$154*Time!CK56*Inputs!$F$222/Inputs!$F$155*CK38</f>
        <v>0</v>
      </c>
      <c r="CL39" s="19" t="n">
        <f aca="false">Inputs!$F$154*Time!CL56*Inputs!$F$222/Inputs!$F$155*CL38</f>
        <v>0</v>
      </c>
      <c r="CM39" s="19" t="n">
        <f aca="false">Inputs!$F$154*Time!CM56*Inputs!$F$222/Inputs!$F$155*CM38</f>
        <v>0</v>
      </c>
      <c r="CN39" s="19" t="n">
        <f aca="false">Inputs!$F$154*Time!CN56*Inputs!$F$222/Inputs!$F$155*CN38</f>
        <v>0</v>
      </c>
      <c r="CO39" s="19" t="n">
        <f aca="false">Inputs!$F$154*Time!CO56*Inputs!$F$222/Inputs!$F$155*CO38</f>
        <v>0</v>
      </c>
      <c r="CP39" s="19" t="n">
        <f aca="false">Inputs!$F$154*Time!CP56*Inputs!$F$222/Inputs!$F$155*CP38</f>
        <v>0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11.6632013609165</v>
      </c>
      <c r="CT39" s="19" t="n">
        <f aca="false">Inputs!$F$154*Time!CT56*Inputs!$F$222/Inputs!$F$155*CT38</f>
        <v>11.9547813949394</v>
      </c>
      <c r="CU39" s="19" t="n">
        <f aca="false">Inputs!$F$154*Time!CU56*Inputs!$F$222/Inputs!$F$155*CU38</f>
        <v>11.9547813949394</v>
      </c>
      <c r="CV39" s="19" t="n">
        <f aca="false">Inputs!$F$154*Time!CV56*Inputs!$F$222/Inputs!$F$155*CV38</f>
        <v>12.2536509298129</v>
      </c>
      <c r="CW39" s="19" t="n">
        <f aca="false">Inputs!$F$154*Time!CW56*Inputs!$F$222/Inputs!$F$155*CW38</f>
        <v>12.2536509298129</v>
      </c>
      <c r="CX39" s="19" t="n">
        <f aca="false">Inputs!$F$154*Time!CX56*Inputs!$F$222/Inputs!$F$155*CX38</f>
        <v>12.5599922030582</v>
      </c>
      <c r="CY39" s="19" t="n">
        <f aca="false">Inputs!$F$154*Time!CY56*Inputs!$F$222/Inputs!$F$155*CY38</f>
        <v>12.5599922030582</v>
      </c>
      <c r="CZ39" s="19" t="n">
        <f aca="false">Inputs!$F$154*Time!CZ56*Inputs!$F$222/Inputs!$F$155*CZ38</f>
        <v>12.8739920081347</v>
      </c>
      <c r="DA39" s="19" t="n">
        <f aca="false">Inputs!$F$154*Time!DA56*Inputs!$F$222/Inputs!$F$155*DA38</f>
        <v>12.8739920081347</v>
      </c>
      <c r="DB39" s="19" t="n">
        <f aca="false">Inputs!$F$154*Time!DB56*Inputs!$F$222/Inputs!$F$155*DB38</f>
        <v>13.1958418083381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2.00270878392613</v>
      </c>
      <c r="AA41" s="19" t="n">
        <f aca="false">IF(AND(Time!AA26=1,Time!AA28=0),AA20/Time!AA25*Inputs!$F$156,0)</f>
        <v>2.28364929697378</v>
      </c>
      <c r="AB41" s="19" t="n">
        <f aca="false">IF(AND(Time!AB26=1,Time!AB28=0),AB20/Time!AB25*Inputs!$F$156,0)</f>
        <v>1.57138568987906</v>
      </c>
      <c r="AC41" s="19" t="n">
        <f aca="false">IF(AND(Time!AC26=1,Time!AC28=0),AC20/Time!AC25*Inputs!$F$156,0)</f>
        <v>2.26887628072224</v>
      </c>
      <c r="AD41" s="19" t="n">
        <f aca="false">IF(AND(Time!AD26=1,Time!AD28=0),AD20/Time!AD25*Inputs!$F$156,0)</f>
        <v>2.40500885756557</v>
      </c>
      <c r="AE41" s="19" t="n">
        <f aca="false">IF(AND(Time!AE26=1,Time!AE28=0),AE20/Time!AE25*Inputs!$F$156,0)</f>
        <v>2.81529939377434</v>
      </c>
      <c r="AF41" s="19" t="n">
        <f aca="false">IF(AND(Time!AF26=1,Time!AF28=0),AF20/Time!AF25*Inputs!$F$156,0)</f>
        <v>3.05772795268268</v>
      </c>
      <c r="AG41" s="19" t="n">
        <f aca="false">IF(AND(Time!AG26=1,Time!AG28=0),AG20/Time!AG25*Inputs!$F$156,0)</f>
        <v>3.45949256155774</v>
      </c>
      <c r="AH41" s="19" t="n">
        <f aca="false">IF(AND(Time!AH26=1,Time!AH28=0),AH20/Time!AH25*Inputs!$F$156,0)</f>
        <v>3.50975153339635</v>
      </c>
      <c r="AI41" s="19" t="n">
        <f aca="false">IF(AND(Time!AI26=1,Time!AI28=0),AI20/Time!AI25*Inputs!$F$156,0)</f>
        <v>3.82293200632758</v>
      </c>
      <c r="AJ41" s="19" t="n">
        <f aca="false">IF(AND(Time!AJ26=1,Time!AJ28=0),AJ20/Time!AJ25*Inputs!$F$156,0)</f>
        <v>3.80319041901443</v>
      </c>
      <c r="AK41" s="19" t="n">
        <f aca="false">IF(AND(Time!AK26=1,Time!AK28=0),AK20/Time!AK25*Inputs!$F$156,0)</f>
        <v>4.07152882455155</v>
      </c>
      <c r="AL41" s="19" t="n">
        <f aca="false">IF(AND(Time!AL26=1,Time!AL28=0),AL20/Time!AL25*Inputs!$F$156,0)</f>
        <v>4.0983740695486</v>
      </c>
      <c r="AM41" s="19" t="n">
        <f aca="false">IF(AND(Time!AM26=1,Time!AM28=0),AM20/Time!AM25*Inputs!$F$156,0)</f>
        <v>4.30032232283996</v>
      </c>
      <c r="AN41" s="19" t="n">
        <f aca="false">IF(AND(Time!AN26=1,Time!AN28=0),AN20/Time!AN25*Inputs!$F$156,0)</f>
        <v>4.32788849157611</v>
      </c>
      <c r="AO41" s="19" t="n">
        <f aca="false">IF(AND(Time!AO26=1,Time!AO28=0),AO20/Time!AO25*Inputs!$F$156,0)</f>
        <v>4.44241056786972</v>
      </c>
      <c r="AP41" s="19" t="n">
        <f aca="false">IF(AND(Time!AP26=1,Time!AP28=0),AP20/Time!AP25*Inputs!$F$156,0)</f>
        <v>4.55791324263433</v>
      </c>
      <c r="AQ41" s="19" t="n">
        <f aca="false">IF(AND(Time!AQ26=1,Time!AQ28=0),AQ20/Time!AQ25*Inputs!$F$156,0)</f>
        <v>4.67210718132668</v>
      </c>
      <c r="AR41" s="19" t="n">
        <f aca="false">IF(AND(Time!AR26=1,Time!AR28=0),AR20/Time!AR25*Inputs!$F$156,0)</f>
        <v>4.79358196804118</v>
      </c>
      <c r="AS41" s="19" t="n">
        <f aca="false">IF(AND(Time!AS26=1,Time!AS28=0),AS20/Time!AS25*Inputs!$F$156,0)</f>
        <v>4.91276500053777</v>
      </c>
      <c r="AT41" s="19" t="n">
        <f aca="false">IF(AND(Time!AT26=1,Time!AT28=0),AT20/Time!AT25*Inputs!$F$156,0)</f>
        <v>5.04049689055176</v>
      </c>
      <c r="AU41" s="19" t="n">
        <f aca="false">IF(AND(Time!AU26=1,Time!AU28=0),AU20/Time!AU25*Inputs!$F$156,0)</f>
        <v>5.16692382736247</v>
      </c>
      <c r="AV41" s="19" t="n">
        <f aca="false">IF(AND(Time!AV26=1,Time!AV28=0),AV20/Time!AV25*Inputs!$F$156,0)</f>
        <v>5.3012638468739</v>
      </c>
      <c r="AW41" s="19" t="n">
        <f aca="false">IF(AND(Time!AW26=1,Time!AW28=0),AW20/Time!AW25*Inputs!$F$156,0)</f>
        <v>5.43310434366739</v>
      </c>
      <c r="AX41" s="19" t="n">
        <f aca="false">IF(AND(Time!AX26=1,Time!AX28=0),AX20/Time!AX25*Inputs!$F$156,0)</f>
        <v>5.5309002218534</v>
      </c>
      <c r="AY41" s="19" t="n">
        <f aca="false">IF(AND(Time!AY26=1,Time!AY28=0),AY20/Time!AY25*Inputs!$F$156,0)</f>
        <v>5.66944331938711</v>
      </c>
      <c r="AZ41" s="19" t="n">
        <f aca="false">IF(AND(Time!AZ26=1,Time!AZ28=0),AZ20/Time!AZ25*Inputs!$F$156,0)</f>
        <v>5.77149329913608</v>
      </c>
      <c r="BA41" s="19" t="n">
        <f aca="false">IF(AND(Time!BA26=1,Time!BA28=0),BA20/Time!BA25*Inputs!$F$156,0)</f>
        <v>5.91473387357053</v>
      </c>
      <c r="BB41" s="19" t="n">
        <f aca="false">IF(AND(Time!BB26=1,Time!BB28=0),BB20/Time!BB25*Inputs!$F$156,0)</f>
        <v>6.0211990832948</v>
      </c>
      <c r="BC41" s="19" t="n">
        <f aca="false">IF(AND(Time!BC26=1,Time!BC28=0),BC20/Time!BC25*Inputs!$F$156,0)</f>
        <v>6.1715047236006</v>
      </c>
      <c r="BD41" s="19" t="n">
        <f aca="false">IF(AND(Time!BD26=1,Time!BD28=0),BD20/Time!BD25*Inputs!$F$156,0)</f>
        <v>6.28259180862541</v>
      </c>
      <c r="BE41" s="19" t="n">
        <f aca="false">IF(AND(Time!BE26=1,Time!BE28=0),BE20/Time!BE25*Inputs!$F$156,0)</f>
        <v>6.44017044722779</v>
      </c>
      <c r="BF41" s="19" t="n">
        <f aca="false">IF(AND(Time!BF26=1,Time!BF28=0),BF20/Time!BF25*Inputs!$F$156,0)</f>
        <v>6.55609351527789</v>
      </c>
      <c r="BG41" s="19" t="n">
        <f aca="false">IF(AND(Time!BG26=1,Time!BG28=0),BG20/Time!BG25*Inputs!$F$156,0)</f>
        <v>6.72115828108808</v>
      </c>
      <c r="BH41" s="19" t="n">
        <f aca="false">IF(AND(Time!BH26=1,Time!BH28=0),BH20/Time!BH25*Inputs!$F$156,0)</f>
        <v>6.84213913014767</v>
      </c>
      <c r="BI41" s="19" t="n">
        <f aca="false">IF(AND(Time!BI26=1,Time!BI28=0),BI20/Time!BI25*Inputs!$F$156,0)</f>
        <v>7.01254176500434</v>
      </c>
      <c r="BJ41" s="19" t="n">
        <f aca="false">IF(AND(Time!BJ26=1,Time!BJ28=0),BJ20/Time!BJ25*Inputs!$F$156,0)</f>
        <v>7.13876751677441</v>
      </c>
      <c r="BK41" s="19" t="n">
        <f aca="false">IF(AND(Time!BK26=1,Time!BK28=0),BK20/Time!BK25*Inputs!$F$156,0)</f>
        <v>7.31705600689973</v>
      </c>
      <c r="BL41" s="19" t="n">
        <f aca="false">IF(AND(Time!BL26=1,Time!BL28=0),BL20/Time!BL25*Inputs!$F$156,0)</f>
        <v>7.44876301502393</v>
      </c>
      <c r="BM41" s="19" t="n">
        <f aca="false">IF(AND(Time!BM26=1,Time!BM28=0),BM20/Time!BM25*Inputs!$F$156,0)</f>
        <v>7.63516604075386</v>
      </c>
      <c r="BN41" s="19" t="n">
        <f aca="false">IF(AND(Time!BN26=1,Time!BN28=0),BN20/Time!BN25*Inputs!$F$156,0)</f>
        <v>7.77259902948743</v>
      </c>
      <c r="BO41" s="19" t="n">
        <f aca="false">IF(AND(Time!BO26=1,Time!BO28=0),BO20/Time!BO25*Inputs!$F$156,0)</f>
        <v>7.96735094863295</v>
      </c>
      <c r="BP41" s="19" t="n">
        <f aca="false">IF(AND(Time!BP26=1,Time!BP28=0),BP20/Time!BP25*Inputs!$F$156,0)</f>
        <v>8.11076326570835</v>
      </c>
      <c r="BQ41" s="19" t="n">
        <f aca="false">IF(AND(Time!BQ26=1,Time!BQ28=0),BQ20/Time!BQ25*Inputs!$F$156,0)</f>
        <v>8.31410424385208</v>
      </c>
      <c r="BR41" s="19" t="n">
        <f aca="false">IF(AND(Time!BR26=1,Time!BR28=0),BR20/Time!BR25*Inputs!$F$156,0)</f>
        <v>8.38893118204675</v>
      </c>
      <c r="BS41" s="19" t="n">
        <f aca="false">IF(AND(Time!BS26=1,Time!BS28=0),BS20/Time!BS25*Inputs!$F$156,0)</f>
        <v>8.59923150516746</v>
      </c>
      <c r="BT41" s="19" t="n">
        <f aca="false">IF(AND(Time!BT26=1,Time!BT28=0),BT20/Time!BT25*Inputs!$F$156,0)</f>
        <v>8.67662458871397</v>
      </c>
      <c r="BU41" s="19" t="n">
        <f aca="false">IF(AND(Time!BU26=1,Time!BU28=0),BU20/Time!BU25*Inputs!$F$156,0)</f>
        <v>8.893993054402</v>
      </c>
      <c r="BV41" s="19" t="n">
        <f aca="false">IF(AND(Time!BV26=1,Time!BV28=0),BV20/Time!BV25*Inputs!$F$156,0)</f>
        <v>8.97403899189161</v>
      </c>
      <c r="BW41" s="19" t="n">
        <f aca="false">IF(AND(Time!BW26=1,Time!BW28=0),BW20/Time!BW25*Inputs!$F$156,0)</f>
        <v>9.19858579238701</v>
      </c>
      <c r="BX41" s="19" t="n">
        <f aca="false">IF(AND(Time!BX26=1,Time!BX28=0),BX20/Time!BX25*Inputs!$F$156,0)</f>
        <v>9.2813730645185</v>
      </c>
      <c r="BY41" s="19" t="n">
        <f aca="false">IF(AND(Time!BY26=1,Time!BY28=0),BY20/Time!BY25*Inputs!$F$156,0)</f>
        <v>9.51320980300207</v>
      </c>
      <c r="BZ41" s="19" t="n">
        <f aca="false">IF(AND(Time!BZ26=1,Time!BZ28=0),BZ20/Time!BZ25*Inputs!$F$156,0)</f>
        <v>9.59882869122908</v>
      </c>
      <c r="CA41" s="19" t="n">
        <f aca="false">IF(AND(Time!CA26=1,Time!CA28=0),CA20/Time!CA25*Inputs!$F$156,0)</f>
        <v>9.83806839829378</v>
      </c>
      <c r="CB41" s="19" t="n">
        <f aca="false">IF(AND(Time!CB26=1,Time!CB28=0),CB20/Time!CB25*Inputs!$F$156,0)</f>
        <v>9.92661101387842</v>
      </c>
      <c r="CC41" s="19" t="n">
        <f aca="false">IF(AND(Time!CC26=1,Time!CC28=0),CC20/Time!CC25*Inputs!$F$156,0)</f>
        <v>10.176050307121</v>
      </c>
      <c r="CD41" s="19" t="n">
        <f aca="false">IF(AND(Time!CD26=1,Time!CD28=0),CD20/Time!CD25*Inputs!$F$156,0)</f>
        <v>10.2676347598851</v>
      </c>
      <c r="CE41" s="19" t="n">
        <f aca="false">IF(AND(Time!CE26=1,Time!CE28=0),CE20/Time!CE25*Inputs!$F$156,0)</f>
        <v>10.5247315712159</v>
      </c>
      <c r="CF41" s="19" t="n">
        <f aca="false">IF(AND(Time!CF26=1,Time!CF28=0),CF20/Time!CF25*Inputs!$F$156,0)</f>
        <v>10.6194541553568</v>
      </c>
      <c r="CG41" s="19" t="n">
        <f aca="false">IF(AND(Time!CG26=1,Time!CG28=0),CG20/Time!CG25*Inputs!$F$156,0)</f>
        <v>10.8843261155187</v>
      </c>
      <c r="CH41" s="19" t="n">
        <f aca="false">IF(AND(Time!CH26=1,Time!CH28=0),CH20/Time!CH25*Inputs!$F$156,0)</f>
        <v>10.9822850505584</v>
      </c>
      <c r="CI41" s="19" t="n">
        <f aca="false">IF(AND(Time!CI26=1,Time!CI28=0),CI20/Time!CI25*Inputs!$F$156,0)</f>
        <v>11.257806501902</v>
      </c>
      <c r="CJ41" s="19" t="n">
        <f aca="false">IF(AND(Time!CJ26=1,Time!CJ28=0),CJ20/Time!CJ25*Inputs!$F$156,0)</f>
        <v>11.3591267604192</v>
      </c>
      <c r="CK41" s="19" t="n">
        <f aca="false">IF(AND(Time!CK26=1,Time!CK28=0),CK20/Time!CK25*Inputs!$F$156,0)</f>
        <v>11.642687927713</v>
      </c>
      <c r="CL41" s="19" t="n">
        <f aca="false">IF(AND(Time!CL26=1,Time!CL28=0),CL20/Time!CL25*Inputs!$F$156,0)</f>
        <v>11.7474721190624</v>
      </c>
      <c r="CM41" s="19" t="n">
        <f aca="false">IF(AND(Time!CM26=1,Time!CM28=0),CM20/Time!CM25*Inputs!$F$156,0)</f>
        <v>12.0420004315031</v>
      </c>
      <c r="CN41" s="19" t="n">
        <f aca="false">IF(AND(Time!CN26=1,Time!CN28=0),CN20/Time!CN25*Inputs!$F$156,0)</f>
        <v>12.1503784353867</v>
      </c>
      <c r="CO41" s="19" t="n">
        <f aca="false">IF(AND(Time!CO26=1,Time!CO28=0),CO20/Time!CO25*Inputs!$F$156,0)</f>
        <v>12.4532180563013</v>
      </c>
      <c r="CP41" s="19" t="n">
        <f aca="false">IF(AND(Time!CP26=1,Time!CP28=0),CP20/Time!CP25*Inputs!$F$156,0)</f>
        <v>12.565297018808</v>
      </c>
      <c r="CQ41" s="19" t="n">
        <f aca="false">IF(AND(Time!CQ26=1,Time!CQ28=0),CQ20/Time!CQ25*Inputs!$F$156,0)</f>
        <v>12.8794294442782</v>
      </c>
      <c r="CR41" s="19" t="n">
        <f aca="false">IF(AND(Time!CR26=1,Time!CR28=0),CR20/Time!CR25*Inputs!$F$156,0)</f>
        <v>12.9953443092767</v>
      </c>
      <c r="CS41" s="19" t="n">
        <f aca="false">IF(AND(Time!CS26=1,Time!CS28=0),CS20/Time!CS25*Inputs!$F$156,0)</f>
        <v>13.3209482797752</v>
      </c>
      <c r="CT41" s="19" t="n">
        <f aca="false">IF(AND(Time!CT26=1,Time!CT28=0),CT20/Time!CT25*Inputs!$F$156,0)</f>
        <v>13.4408368142931</v>
      </c>
      <c r="CU41" s="19" t="n">
        <f aca="false">IF(AND(Time!CU26=1,Time!CU28=0),CU20/Time!CU25*Inputs!$F$156,0)</f>
        <v>13.778093372904</v>
      </c>
      <c r="CV41" s="19" t="n">
        <f aca="false">IF(AND(Time!CV26=1,Time!CV28=0),CV20/Time!CV25*Inputs!$F$156,0)</f>
        <v>13.9020962132601</v>
      </c>
      <c r="CW41" s="19" t="n">
        <f aca="false">IF(AND(Time!CW26=1,Time!CW28=0),CW20/Time!CW25*Inputs!$F$156,0)</f>
        <v>14.2482551820647</v>
      </c>
      <c r="CX41" s="19" t="n">
        <f aca="false">IF(AND(Time!CX26=1,Time!CX28=0),CX20/Time!CX25*Inputs!$F$156,0)</f>
        <v>14.3764894787033</v>
      </c>
      <c r="CY41" s="19" t="n">
        <f aca="false">IF(AND(Time!CY26=1,Time!CY28=0),CY20/Time!CY25*Inputs!$F$156,0)</f>
        <v>14.734643735842</v>
      </c>
      <c r="CZ41" s="19" t="n">
        <f aca="false">IF(AND(Time!CZ26=1,Time!CZ28=0),CZ20/Time!CZ25*Inputs!$F$156,0)</f>
        <v>14.8672555294646</v>
      </c>
      <c r="DA41" s="19" t="n">
        <f aca="false">IF(AND(Time!DA26=1,Time!DA28=0),DA20/Time!DA25*Inputs!$F$156,0)</f>
        <v>15.2375929512512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2.02983360174584</v>
      </c>
      <c r="AA42" s="19" t="n">
        <f aca="false">IF(AND(Time!AA26=1,Time!AA28=0),AA29/Time!AA25*Inputs!$F$157,0)</f>
        <v>2.06715855562217</v>
      </c>
      <c r="AB42" s="19" t="n">
        <f aca="false">IF(AND(Time!AB26=1,Time!AB28=0),AB29/Time!AB25*Inputs!$F$157,0)</f>
        <v>1.98840308273509</v>
      </c>
      <c r="AC42" s="19" t="n">
        <f aca="false">IF(AND(Time!AC26=1,Time!AC28=0),AC29/Time!AC25*Inputs!$F$157,0)</f>
        <v>2.08106968980425</v>
      </c>
      <c r="AD42" s="19" t="n">
        <f aca="false">IF(AND(Time!AD26=1,Time!AD28=0),AD29/Time!AD25*Inputs!$F$157,0)</f>
        <v>2.15966340618158</v>
      </c>
      <c r="AE42" s="19" t="n">
        <f aca="false">IF(AND(Time!AE26=1,Time!AE28=0),AE29/Time!AE25*Inputs!$F$157,0)</f>
        <v>2.2141734345636</v>
      </c>
      <c r="AF42" s="19" t="n">
        <f aca="false">IF(AND(Time!AF26=1,Time!AF28=0),AF29/Time!AF25*Inputs!$F$157,0)</f>
        <v>2.3770317971053</v>
      </c>
      <c r="AG42" s="19" t="n">
        <f aca="false">IF(AND(Time!AG26=1,Time!AG28=0),AG29/Time!AG25*Inputs!$F$157,0)</f>
        <v>2.43040909514156</v>
      </c>
      <c r="AH42" s="19" t="n">
        <f aca="false">IF(AND(Time!AH26=1,Time!AH28=0),AH29/Time!AH25*Inputs!$F$157,0)</f>
        <v>2.54350906161756</v>
      </c>
      <c r="AI42" s="19" t="n">
        <f aca="false">IF(AND(Time!AI26=1,Time!AI28=0),AI29/Time!AI25*Inputs!$F$157,0)</f>
        <v>2.58511732444985</v>
      </c>
      <c r="AJ42" s="19" t="n">
        <f aca="false">IF(AND(Time!AJ26=1,Time!AJ28=0),AJ29/Time!AJ25*Inputs!$F$157,0)</f>
        <v>2.54972325018382</v>
      </c>
      <c r="AK42" s="19" t="n">
        <f aca="false">IF(AND(Time!AK26=1,Time!AK28=0),AK29/Time!AK25*Inputs!$F$157,0)</f>
        <v>2.58537392406233</v>
      </c>
      <c r="AL42" s="19" t="n">
        <f aca="false">IF(AND(Time!AL26=1,Time!AL28=0),AL29/Time!AL25*Inputs!$F$157,0)</f>
        <v>2.64414044702097</v>
      </c>
      <c r="AM42" s="19" t="n">
        <f aca="false">IF(AND(Time!AM26=1,Time!AM28=0),AM29/Time!AM25*Inputs!$F$157,0)</f>
        <v>2.67097071495826</v>
      </c>
      <c r="AN42" s="19" t="n">
        <f aca="false">IF(AND(Time!AN26=1,Time!AN28=0),AN29/Time!AN25*Inputs!$F$157,0)</f>
        <v>2.72922377399836</v>
      </c>
      <c r="AO42" s="19" t="n">
        <f aca="false">IF(AND(Time!AO26=1,Time!AO28=0),AO29/Time!AO25*Inputs!$F$157,0)</f>
        <v>2.7444388498488</v>
      </c>
      <c r="AP42" s="19" t="n">
        <f aca="false">IF(AND(Time!AP26=1,Time!AP28=0),AP29/Time!AP25*Inputs!$F$157,0)</f>
        <v>2.81364002707046</v>
      </c>
      <c r="AQ42" s="19" t="n">
        <f aca="false">IF(AND(Time!AQ26=1,Time!AQ28=0),AQ29/Time!AQ25*Inputs!$F$157,0)</f>
        <v>2.82881150749673</v>
      </c>
      <c r="AR42" s="19" t="n">
        <f aca="false">IF(AND(Time!AR26=1,Time!AR28=0),AR29/Time!AR25*Inputs!$F$157,0)</f>
        <v>2.90015251799539</v>
      </c>
      <c r="AS42" s="19" t="n">
        <f aca="false">IF(AND(Time!AS26=1,Time!AS28=0),AS29/Time!AS25*Inputs!$F$157,0)</f>
        <v>2.91598683516993</v>
      </c>
      <c r="AT42" s="19" t="n">
        <f aca="false">IF(AND(Time!AT26=1,Time!AT28=0),AT29/Time!AT25*Inputs!$F$157,0)</f>
        <v>2.98953920197068</v>
      </c>
      <c r="AU42" s="19" t="n">
        <f aca="false">IF(AND(Time!AU26=1,Time!AU28=0),AU29/Time!AU25*Inputs!$F$157,0)</f>
        <v>3.00633592357553</v>
      </c>
      <c r="AV42" s="19" t="n">
        <f aca="false">IF(AND(Time!AV26=1,Time!AV28=0),AV29/Time!AV25*Inputs!$F$157,0)</f>
        <v>3.08218078440199</v>
      </c>
      <c r="AW42" s="19" t="n">
        <f aca="false">IF(AND(Time!AW26=1,Time!AW28=0),AW29/Time!AW25*Inputs!$F$157,0)</f>
        <v>3.09969673611884</v>
      </c>
      <c r="AX42" s="19" t="n">
        <f aca="false">IF(AND(Time!AX26=1,Time!AX28=0),AX29/Time!AX25*Inputs!$F$157,0)</f>
        <v>3.1721363674822</v>
      </c>
      <c r="AY42" s="19" t="n">
        <f aca="false">IF(AND(Time!AY26=1,Time!AY28=0),AY29/Time!AY25*Inputs!$F$157,0)</f>
        <v>3.1905428075831</v>
      </c>
      <c r="AZ42" s="19" t="n">
        <f aca="false">IF(AND(Time!AZ26=1,Time!AZ28=0),AZ29/Time!AZ25*Inputs!$F$157,0)</f>
        <v>3.26503379548565</v>
      </c>
      <c r="BA42" s="19" t="n">
        <f aca="false">IF(AND(Time!BA26=1,Time!BA28=0),BA29/Time!BA25*Inputs!$F$157,0)</f>
        <v>3.28406432894623</v>
      </c>
      <c r="BB42" s="19" t="n">
        <f aca="false">IF(AND(Time!BB26=1,Time!BB28=0),BB29/Time!BB25*Inputs!$F$157,0)</f>
        <v>3.36066523466746</v>
      </c>
      <c r="BC42" s="19" t="n">
        <f aca="false">IF(AND(Time!BC26=1,Time!BC28=0),BC29/Time!BC25*Inputs!$F$157,0)</f>
        <v>3.3806344125938</v>
      </c>
      <c r="BD42" s="19" t="n">
        <f aca="false">IF(AND(Time!BD26=1,Time!BD28=0),BD29/Time!BD25*Inputs!$F$157,0)</f>
        <v>3.4594107735157</v>
      </c>
      <c r="BE42" s="19" t="n">
        <f aca="false">IF(AND(Time!BE26=1,Time!BE28=0),BE29/Time!BE25*Inputs!$F$157,0)</f>
        <v>3.48034622121573</v>
      </c>
      <c r="BF42" s="19" t="n">
        <f aca="false">IF(AND(Time!BF26=1,Time!BF28=0),BF29/Time!BF25*Inputs!$F$157,0)</f>
        <v>3.5613655182302</v>
      </c>
      <c r="BG42" s="19" t="n">
        <f aca="false">IF(AND(Time!BG26=1,Time!BG28=0),BG29/Time!BG25*Inputs!$F$157,0)</f>
        <v>3.58329555140213</v>
      </c>
      <c r="BH42" s="19" t="n">
        <f aca="false">IF(AND(Time!BH26=1,Time!BH28=0),BH29/Time!BH25*Inputs!$F$157,0)</f>
        <v>3.66662726298577</v>
      </c>
      <c r="BI42" s="19" t="n">
        <f aca="false">IF(AND(Time!BI26=1,Time!BI28=0),BI29/Time!BI25*Inputs!$F$157,0)</f>
        <v>3.68926647018815</v>
      </c>
      <c r="BJ42" s="19" t="n">
        <f aca="false">IF(AND(Time!BJ26=1,Time!BJ28=0),BJ29/Time!BJ25*Inputs!$F$157,0)</f>
        <v>3.77497646810141</v>
      </c>
      <c r="BK42" s="19" t="n">
        <f aca="false">IF(AND(Time!BK26=1,Time!BK28=0),BK29/Time!BK25*Inputs!$F$157,0)</f>
        <v>3.79866336750377</v>
      </c>
      <c r="BL42" s="19" t="n">
        <f aca="false">IF(AND(Time!BL26=1,Time!BL28=0),BL29/Time!BL25*Inputs!$F$157,0)</f>
        <v>3.88682508960494</v>
      </c>
      <c r="BM42" s="19" t="n">
        <f aca="false">IF(AND(Time!BM26=1,Time!BM28=0),BM29/Time!BM25*Inputs!$F$157,0)</f>
        <v>3.91159006302335</v>
      </c>
      <c r="BN42" s="19" t="n">
        <f aca="false">IF(AND(Time!BN26=1,Time!BN28=0),BN29/Time!BN25*Inputs!$F$157,0)</f>
        <v>4.00227911018103</v>
      </c>
      <c r="BO42" s="19" t="n">
        <f aca="false">IF(AND(Time!BO26=1,Time!BO28=0),BO29/Time!BO25*Inputs!$F$157,0)</f>
        <v>4.02815329372465</v>
      </c>
      <c r="BP42" s="19" t="n">
        <f aca="false">IF(AND(Time!BP26=1,Time!BP28=0),BP29/Time!BP25*Inputs!$F$157,0)</f>
        <v>4.12144748968554</v>
      </c>
      <c r="BQ42" s="19" t="n">
        <f aca="false">IF(AND(Time!BQ26=1,Time!BQ28=0),BQ29/Time!BQ25*Inputs!$F$157,0)</f>
        <v>4.14846279106749</v>
      </c>
      <c r="BR42" s="19" t="n">
        <f aca="false">IF(AND(Time!BR26=1,Time!BR28=0),BR29/Time!BR25*Inputs!$F$157,0)</f>
        <v>4.23450095068011</v>
      </c>
      <c r="BS42" s="19" t="n">
        <f aca="false">IF(AND(Time!BS26=1,Time!BS28=0),BS29/Time!BS25*Inputs!$F$157,0)</f>
        <v>4.26244085075186</v>
      </c>
      <c r="BT42" s="19" t="n">
        <f aca="false">IF(AND(Time!BT26=1,Time!BT28=0),BT29/Time!BT25*Inputs!$F$157,0)</f>
        <v>4.35072236276396</v>
      </c>
      <c r="BU42" s="19" t="n">
        <f aca="false">IF(AND(Time!BU26=1,Time!BU28=0),BU29/Time!BU25*Inputs!$F$157,0)</f>
        <v>4.37960131606251</v>
      </c>
      <c r="BV42" s="19" t="n">
        <f aca="false">IF(AND(Time!BV26=1,Time!BV28=0),BV29/Time!BV25*Inputs!$F$157,0)</f>
        <v>4.47018526087128</v>
      </c>
      <c r="BW42" s="19" t="n">
        <f aca="false">IF(AND(Time!BW26=1,Time!BW28=0),BW29/Time!BW25*Inputs!$F$157,0)</f>
        <v>4.50001790722282</v>
      </c>
      <c r="BX42" s="19" t="n">
        <f aca="false">IF(AND(Time!BX26=1,Time!BX28=0),BX29/Time!BX25*Inputs!$F$157,0)</f>
        <v>4.59296478967614</v>
      </c>
      <c r="BY42" s="19" t="n">
        <f aca="false">IF(AND(Time!BY26=1,Time!BY28=0),BY29/Time!BY25*Inputs!$F$157,0)</f>
        <v>4.62376595636039</v>
      </c>
      <c r="BZ42" s="19" t="n">
        <f aca="false">IF(AND(Time!BZ26=1,Time!BZ28=0),BZ29/Time!BZ25*Inputs!$F$157,0)</f>
        <v>4.71913773928816</v>
      </c>
      <c r="CA42" s="19" t="n">
        <f aca="false">IF(AND(Time!CA26=1,Time!CA28=0),CA29/Time!CA25*Inputs!$F$157,0)</f>
        <v>4.75092244322675</v>
      </c>
      <c r="CB42" s="19" t="n">
        <f aca="false">IF(AND(Time!CB26=1,Time!CB28=0),CB29/Time!CB25*Inputs!$F$157,0)</f>
        <v>4.84878258176933</v>
      </c>
      <c r="CC42" s="19" t="n">
        <f aca="false">IF(AND(Time!CC26=1,Time!CC28=0),CC29/Time!CC25*Inputs!$F$157,0)</f>
        <v>4.88192237358584</v>
      </c>
      <c r="CD42" s="19" t="n">
        <f aca="false">IF(AND(Time!CD26=1,Time!CD28=0),CD29/Time!CD25*Inputs!$F$157,0)</f>
        <v>4.9823390574155</v>
      </c>
      <c r="CE42" s="19" t="n">
        <f aca="false">IF(AND(Time!CE26=1,Time!CE28=0),CE29/Time!CE25*Inputs!$F$157,0)</f>
        <v>5.01649620520659</v>
      </c>
      <c r="CF42" s="19" t="n">
        <f aca="false">IF(AND(Time!CF26=1,Time!CF28=0),CF29/Time!CF25*Inputs!$F$157,0)</f>
        <v>5.11953603808251</v>
      </c>
      <c r="CG42" s="19" t="n">
        <f aca="false">IF(AND(Time!CG26=1,Time!CG28=0),CG29/Time!CG25*Inputs!$F$157,0)</f>
        <v>5.15472616993259</v>
      </c>
      <c r="CH42" s="19" t="n">
        <f aca="false">IF(AND(Time!CH26=1,Time!CH28=0),CH29/Time!CH25*Inputs!$F$157,0)</f>
        <v>5.26045735666677</v>
      </c>
      <c r="CI42" s="19" t="n">
        <f aca="false">IF(AND(Time!CI26=1,Time!CI28=0),CI29/Time!CI25*Inputs!$F$157,0)</f>
        <v>5.29706234948815</v>
      </c>
      <c r="CJ42" s="19" t="n">
        <f aca="false">IF(AND(Time!CJ26=1,Time!CJ28=0),CJ29/Time!CJ25*Inputs!$F$157,0)</f>
        <v>5.40555802811845</v>
      </c>
      <c r="CK42" s="19" t="n">
        <f aca="false">IF(AND(Time!CK26=1,Time!CK28=0),CK29/Time!CK25*Inputs!$F$157,0)</f>
        <v>5.44323115463035</v>
      </c>
      <c r="CL42" s="19" t="n">
        <f aca="false">IF(AND(Time!CL26=1,Time!CL28=0),CL29/Time!CL25*Inputs!$F$157,0)</f>
        <v>5.55456290544406</v>
      </c>
      <c r="CM42" s="19" t="n">
        <f aca="false">IF(AND(Time!CM26=1,Time!CM28=0),CM29/Time!CM25*Inputs!$F$157,0)</f>
        <v>5.59369309552546</v>
      </c>
      <c r="CN42" s="19" t="n">
        <f aca="false">IF(AND(Time!CN26=1,Time!CN28=0),CN29/Time!CN25*Inputs!$F$157,0)</f>
        <v>5.70793757056777</v>
      </c>
      <c r="CO42" s="19" t="n">
        <f aca="false">IF(AND(Time!CO26=1,Time!CO28=0),CO29/Time!CO25*Inputs!$F$157,0)</f>
        <v>5.74817197734642</v>
      </c>
      <c r="CP42" s="19" t="n">
        <f aca="false">IF(AND(Time!CP26=1,Time!CP28=0),CP29/Time!CP25*Inputs!$F$157,0)</f>
        <v>5.86540429325469</v>
      </c>
      <c r="CQ42" s="19" t="n">
        <f aca="false">IF(AND(Time!CQ26=1,Time!CQ28=0),CQ29/Time!CQ25*Inputs!$F$157,0)</f>
        <v>5.90713902978144</v>
      </c>
      <c r="CR42" s="19" t="n">
        <f aca="false">IF(AND(Time!CR26=1,Time!CR28=0),CR29/Time!CR25*Inputs!$F$157,0)</f>
        <v>6.02743951836443</v>
      </c>
      <c r="CS42" s="19" t="n">
        <f aca="false">IF(AND(Time!CS26=1,Time!CS28=0),CS29/Time!CS25*Inputs!$F$157,0)</f>
        <v>6.0706983315878</v>
      </c>
      <c r="CT42" s="19" t="n">
        <f aca="false">IF(AND(Time!CT26=1,Time!CT28=0),CT29/Time!CT25*Inputs!$F$157,0)</f>
        <v>6.19414925981992</v>
      </c>
      <c r="CU42" s="19" t="n">
        <f aca="false">IF(AND(Time!CU26=1,Time!CU28=0),CU29/Time!CU25*Inputs!$F$157,0)</f>
        <v>6.23895620260679</v>
      </c>
      <c r="CV42" s="19" t="n">
        <f aca="false">IF(AND(Time!CV26=1,Time!CV28=0),CV29/Time!CV25*Inputs!$F$157,0)</f>
        <v>6.36564181775927</v>
      </c>
      <c r="CW42" s="19" t="n">
        <f aca="false">IF(AND(Time!CW26=1,Time!CW28=0),CW29/Time!CW25*Inputs!$F$157,0)</f>
        <v>6.41163150932902</v>
      </c>
      <c r="CX42" s="19" t="n">
        <f aca="false">IF(AND(Time!CX26=1,Time!CX28=0),CX29/Time!CX25*Inputs!$F$157,0)</f>
        <v>6.54163457747522</v>
      </c>
      <c r="CY42" s="19" t="n">
        <f aca="false">IF(AND(Time!CY26=1,Time!CY28=0),CY29/Time!CY25*Inputs!$F$157,0)</f>
        <v>6.5892179287808</v>
      </c>
      <c r="CZ42" s="19" t="n">
        <f aca="false">IF(AND(Time!CZ26=1,Time!CZ28=0),CZ29/Time!CZ25*Inputs!$F$157,0)</f>
        <v>6.72262673431613</v>
      </c>
      <c r="DA42" s="19" t="n">
        <f aca="false">IF(AND(Time!DA26=1,Time!DA28=0),DA29/Time!DA25*Inputs!$F$157,0)</f>
        <v>6.77182870606778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-0.0271248178197041</v>
      </c>
      <c r="AA43" s="19" t="n">
        <f aca="false">AA41-AA42</f>
        <v>0.216490741351611</v>
      </c>
      <c r="AB43" s="19" t="n">
        <f aca="false">AB41-AB42</f>
        <v>-0.417017392856023</v>
      </c>
      <c r="AC43" s="19" t="n">
        <f aca="false">AC41-AC42</f>
        <v>0.187806590917989</v>
      </c>
      <c r="AD43" s="19" t="n">
        <f aca="false">AD41-AD42</f>
        <v>0.245345451383998</v>
      </c>
      <c r="AE43" s="19" t="n">
        <f aca="false">AE41-AE42</f>
        <v>0.601125959210739</v>
      </c>
      <c r="AF43" s="19" t="n">
        <f aca="false">AF41-AF42</f>
        <v>0.680696155577379</v>
      </c>
      <c r="AG43" s="19" t="n">
        <f aca="false">AG41-AG42</f>
        <v>1.02908346641618</v>
      </c>
      <c r="AH43" s="19" t="n">
        <f aca="false">AH41-AH42</f>
        <v>0.96624247177879</v>
      </c>
      <c r="AI43" s="19" t="n">
        <f aca="false">AI41-AI42</f>
        <v>1.23781468187773</v>
      </c>
      <c r="AJ43" s="19" t="n">
        <f aca="false">AJ41-AJ42</f>
        <v>1.2534671688306</v>
      </c>
      <c r="AK43" s="19" t="n">
        <f aca="false">AK41-AK42</f>
        <v>1.48615490048923</v>
      </c>
      <c r="AL43" s="19" t="n">
        <f aca="false">AL41-AL42</f>
        <v>1.45423362252762</v>
      </c>
      <c r="AM43" s="19" t="n">
        <f aca="false">AM41-AM42</f>
        <v>1.62935160788171</v>
      </c>
      <c r="AN43" s="19" t="n">
        <f aca="false">AN41-AN42</f>
        <v>1.59866471757775</v>
      </c>
      <c r="AO43" s="19" t="n">
        <f aca="false">AO41-AO42</f>
        <v>1.69797171802092</v>
      </c>
      <c r="AP43" s="19" t="n">
        <f aca="false">AP41-AP42</f>
        <v>1.74427321556387</v>
      </c>
      <c r="AQ43" s="19" t="n">
        <f aca="false">AQ41-AQ42</f>
        <v>1.84329567382995</v>
      </c>
      <c r="AR43" s="19" t="n">
        <f aca="false">AR41-AR42</f>
        <v>1.89342945004579</v>
      </c>
      <c r="AS43" s="19" t="n">
        <f aca="false">AS41-AS42</f>
        <v>1.99677816536784</v>
      </c>
      <c r="AT43" s="19" t="n">
        <f aca="false">AT41-AT42</f>
        <v>2.05095768858107</v>
      </c>
      <c r="AU43" s="19" t="n">
        <f aca="false">AU41-AU42</f>
        <v>2.16058790378694</v>
      </c>
      <c r="AV43" s="19" t="n">
        <f aca="false">AV41-AV42</f>
        <v>2.21908306247191</v>
      </c>
      <c r="AW43" s="19" t="n">
        <f aca="false">AW41-AW42</f>
        <v>2.33340760754855</v>
      </c>
      <c r="AX43" s="19" t="n">
        <f aca="false">AX41-AX42</f>
        <v>2.35876385437121</v>
      </c>
      <c r="AY43" s="19" t="n">
        <f aca="false">AY41-AY42</f>
        <v>2.47890051180401</v>
      </c>
      <c r="AZ43" s="19" t="n">
        <f aca="false">AZ41-AZ42</f>
        <v>2.50645950365043</v>
      </c>
      <c r="BA43" s="19" t="n">
        <f aca="false">BA41-BA42</f>
        <v>2.63066954462431</v>
      </c>
      <c r="BB43" s="19" t="n">
        <f aca="false">BB41-BB42</f>
        <v>2.66053384862734</v>
      </c>
      <c r="BC43" s="19" t="n">
        <f aca="false">BC41-BC42</f>
        <v>2.7908703110068</v>
      </c>
      <c r="BD43" s="19" t="n">
        <f aca="false">BD41-BD42</f>
        <v>2.82318103510971</v>
      </c>
      <c r="BE43" s="19" t="n">
        <f aca="false">BE41-BE42</f>
        <v>2.95982422601206</v>
      </c>
      <c r="BF43" s="19" t="n">
        <f aca="false">BF41-BF42</f>
        <v>2.99472799704769</v>
      </c>
      <c r="BG43" s="19" t="n">
        <f aca="false">BG41-BG42</f>
        <v>3.13786272968595</v>
      </c>
      <c r="BH43" s="19" t="n">
        <f aca="false">BH41-BH42</f>
        <v>3.1755118671619</v>
      </c>
      <c r="BI43" s="19" t="n">
        <f aca="false">BI41-BI42</f>
        <v>3.32327529481618</v>
      </c>
      <c r="BJ43" s="19" t="n">
        <f aca="false">BJ41-BJ42</f>
        <v>3.36379104867301</v>
      </c>
      <c r="BK43" s="19" t="n">
        <f aca="false">BK41-BK42</f>
        <v>3.51839263939596</v>
      </c>
      <c r="BL43" s="19" t="n">
        <f aca="false">BL41-BL42</f>
        <v>3.56193792541898</v>
      </c>
      <c r="BM43" s="19" t="n">
        <f aca="false">BM41-BM42</f>
        <v>3.72357597773051</v>
      </c>
      <c r="BN43" s="19" t="n">
        <f aca="false">BN41-BN42</f>
        <v>3.7703199193064</v>
      </c>
      <c r="BO43" s="19" t="n">
        <f aca="false">BO41-BO42</f>
        <v>3.9391976549083</v>
      </c>
      <c r="BP43" s="19" t="n">
        <f aca="false">BP41-BP42</f>
        <v>3.98931577602281</v>
      </c>
      <c r="BQ43" s="19" t="n">
        <f aca="false">BQ41-BQ42</f>
        <v>4.16564145278459</v>
      </c>
      <c r="BR43" s="19" t="n">
        <f aca="false">BR41-BR42</f>
        <v>4.15443023136665</v>
      </c>
      <c r="BS43" s="19" t="n">
        <f aca="false">BS41-BS42</f>
        <v>4.3367906544156</v>
      </c>
      <c r="BT43" s="19" t="n">
        <f aca="false">BT41-BT42</f>
        <v>4.32590222595001</v>
      </c>
      <c r="BU43" s="19" t="n">
        <f aca="false">BU41-BU42</f>
        <v>4.51439173833949</v>
      </c>
      <c r="BV43" s="19" t="n">
        <f aca="false">BV41-BV42</f>
        <v>4.50385373102033</v>
      </c>
      <c r="BW43" s="19" t="n">
        <f aca="false">BW41-BW42</f>
        <v>4.6985678851642</v>
      </c>
      <c r="BX43" s="19" t="n">
        <f aca="false">BX41-BX42</f>
        <v>4.68840827484236</v>
      </c>
      <c r="BY43" s="19" t="n">
        <f aca="false">BY41-BY42</f>
        <v>4.88944384664168</v>
      </c>
      <c r="BZ43" s="19" t="n">
        <f aca="false">BZ41-BZ42</f>
        <v>4.87969095194093</v>
      </c>
      <c r="CA43" s="19" t="n">
        <f aca="false">CA41-CA42</f>
        <v>5.08714595506703</v>
      </c>
      <c r="CB43" s="19" t="n">
        <f aca="false">CB41-CB42</f>
        <v>5.07782843210909</v>
      </c>
      <c r="CC43" s="19" t="n">
        <f aca="false">CC41-CC42</f>
        <v>5.29412793353514</v>
      </c>
      <c r="CD43" s="19" t="n">
        <f aca="false">CD41-CD42</f>
        <v>5.28529570246957</v>
      </c>
      <c r="CE43" s="19" t="n">
        <f aca="false">CE41-CE42</f>
        <v>5.50823536600929</v>
      </c>
      <c r="CF43" s="19" t="n">
        <f aca="false">CF41-CF42</f>
        <v>5.49991811727431</v>
      </c>
      <c r="CG43" s="19" t="n">
        <f aca="false">CG41-CG42</f>
        <v>5.72959994558612</v>
      </c>
      <c r="CH43" s="19" t="n">
        <f aca="false">CH41-CH42</f>
        <v>5.72182769389161</v>
      </c>
      <c r="CI43" s="19" t="n">
        <f aca="false">CI41-CI42</f>
        <v>5.9607441524139</v>
      </c>
      <c r="CJ43" s="19" t="n">
        <f aca="false">CJ41-CJ42</f>
        <v>5.95356873230071</v>
      </c>
      <c r="CK43" s="19" t="n">
        <f aca="false">CK41-CK42</f>
        <v>6.19945677308268</v>
      </c>
      <c r="CL43" s="19" t="n">
        <f aca="false">CL41-CL42</f>
        <v>6.19290921361839</v>
      </c>
      <c r="CM43" s="19" t="n">
        <f aca="false">CM41-CM42</f>
        <v>6.44830733597767</v>
      </c>
      <c r="CN43" s="19" t="n">
        <f aca="false">CN41-CN42</f>
        <v>6.44244086481888</v>
      </c>
      <c r="CO43" s="19" t="n">
        <f aca="false">CO41-CO42</f>
        <v>6.70504607895483</v>
      </c>
      <c r="CP43" s="19" t="n">
        <f aca="false">CP41-CP42</f>
        <v>6.69989272555327</v>
      </c>
      <c r="CQ43" s="19" t="n">
        <f aca="false">CQ41-CQ42</f>
        <v>6.97229041449671</v>
      </c>
      <c r="CR43" s="19" t="n">
        <f aca="false">CR41-CR42</f>
        <v>6.96790479091223</v>
      </c>
      <c r="CS43" s="19" t="n">
        <f aca="false">CS41-CS42</f>
        <v>7.25024994818736</v>
      </c>
      <c r="CT43" s="19" t="n">
        <f aca="false">CT41-CT42</f>
        <v>7.24668755447323</v>
      </c>
      <c r="CU43" s="19" t="n">
        <f aca="false">CU41-CU42</f>
        <v>7.53913717029721</v>
      </c>
      <c r="CV43" s="19" t="n">
        <f aca="false">CV41-CV42</f>
        <v>7.53645439550086</v>
      </c>
      <c r="CW43" s="19" t="n">
        <f aca="false">CW41-CW42</f>
        <v>7.83662367273566</v>
      </c>
      <c r="CX43" s="19" t="n">
        <f aca="false">CX41-CX42</f>
        <v>7.83485490122803</v>
      </c>
      <c r="CY43" s="19" t="n">
        <f aca="false">CY41-CY42</f>
        <v>8.14542580706124</v>
      </c>
      <c r="CZ43" s="19" t="n">
        <f aca="false">CZ41-CZ42</f>
        <v>8.14462879514848</v>
      </c>
      <c r="DA43" s="19" t="n">
        <f aca="false">DA41-DA42</f>
        <v>8.46576424518342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-0.0271248178197041</v>
      </c>
      <c r="AA44" s="19" t="n">
        <f aca="false">AA43-Z43</f>
        <v>0.243615559171315</v>
      </c>
      <c r="AB44" s="19" t="n">
        <f aca="false">AB43-AA43</f>
        <v>-0.633508134207634</v>
      </c>
      <c r="AC44" s="19" t="n">
        <f aca="false">AC43-AB43</f>
        <v>0.604823983774012</v>
      </c>
      <c r="AD44" s="19" t="n">
        <f aca="false">AD43-AC43</f>
        <v>0.0575388604660092</v>
      </c>
      <c r="AE44" s="19" t="n">
        <f aca="false">AE43-AD43</f>
        <v>0.355780507826741</v>
      </c>
      <c r="AF44" s="19" t="n">
        <f aca="false">AF43-AE43</f>
        <v>0.0795701963666393</v>
      </c>
      <c r="AG44" s="19" t="n">
        <f aca="false">AG43-AF43</f>
        <v>0.348387310838798</v>
      </c>
      <c r="AH44" s="19" t="n">
        <f aca="false">AH43-AG43</f>
        <v>-0.0628409946373867</v>
      </c>
      <c r="AI44" s="19" t="n">
        <f aca="false">AI43-AH43</f>
        <v>0.27157221009894</v>
      </c>
      <c r="AJ44" s="19" t="n">
        <f aca="false">AJ43-AI43</f>
        <v>0.0156524869528738</v>
      </c>
      <c r="AK44" s="19" t="n">
        <f aca="false">AK43-AJ43</f>
        <v>0.232687731658623</v>
      </c>
      <c r="AL44" s="19" t="n">
        <f aca="false">AL43-AK43</f>
        <v>-0.0319212779616054</v>
      </c>
      <c r="AM44" s="19" t="n">
        <f aca="false">AM43-AL43</f>
        <v>0.175117985354084</v>
      </c>
      <c r="AN44" s="19" t="n">
        <f aca="false">AN43-AM43</f>
        <v>-0.0306868903039548</v>
      </c>
      <c r="AO44" s="19" t="n">
        <f aca="false">AO43-AN43</f>
        <v>0.0993070004431682</v>
      </c>
      <c r="AP44" s="19" t="n">
        <f aca="false">AP43-AO43</f>
        <v>0.0463014975429483</v>
      </c>
      <c r="AQ44" s="19" t="n">
        <f aca="false">AQ43-AP43</f>
        <v>0.0990224582660799</v>
      </c>
      <c r="AR44" s="19" t="n">
        <f aca="false">AR43-AQ43</f>
        <v>0.0501337762158425</v>
      </c>
      <c r="AS44" s="19" t="n">
        <f aca="false">AS43-AR43</f>
        <v>0.103348715322051</v>
      </c>
      <c r="AT44" s="19" t="n">
        <f aca="false">AT43-AS43</f>
        <v>0.0541795232132345</v>
      </c>
      <c r="AU44" s="19" t="n">
        <f aca="false">AU43-AT43</f>
        <v>0.109630215205861</v>
      </c>
      <c r="AV44" s="19" t="n">
        <f aca="false">AV43-AU43</f>
        <v>0.0584951586849756</v>
      </c>
      <c r="AW44" s="19" t="n">
        <f aca="false">AW43-AV43</f>
        <v>0.114324545076643</v>
      </c>
      <c r="AX44" s="19" t="n">
        <f aca="false">AX43-AW43</f>
        <v>0.0253562468226543</v>
      </c>
      <c r="AY44" s="19" t="n">
        <f aca="false">AY43-AX43</f>
        <v>0.120136657432799</v>
      </c>
      <c r="AZ44" s="19" t="n">
        <f aca="false">AZ43-AY43</f>
        <v>0.0275589918464187</v>
      </c>
      <c r="BA44" s="19" t="n">
        <f aca="false">BA43-AZ43</f>
        <v>0.124210040973881</v>
      </c>
      <c r="BB44" s="19" t="n">
        <f aca="false">BB43-BA43</f>
        <v>0.0298643040030351</v>
      </c>
      <c r="BC44" s="19" t="n">
        <f aca="false">BC43-BB43</f>
        <v>0.130336462379453</v>
      </c>
      <c r="BD44" s="19" t="n">
        <f aca="false">BD43-BC43</f>
        <v>0.0323107241029152</v>
      </c>
      <c r="BE44" s="19" t="n">
        <f aca="false">BE43-BD43</f>
        <v>0.136643190902348</v>
      </c>
      <c r="BF44" s="19" t="n">
        <f aca="false">BF43-BE43</f>
        <v>0.0349037710356321</v>
      </c>
      <c r="BG44" s="19" t="n">
        <f aca="false">BG43-BF43</f>
        <v>0.143134732638262</v>
      </c>
      <c r="BH44" s="19" t="n">
        <f aca="false">BH43-BG43</f>
        <v>0.0376491374759449</v>
      </c>
      <c r="BI44" s="19" t="n">
        <f aca="false">BI43-BH43</f>
        <v>0.147763427654283</v>
      </c>
      <c r="BJ44" s="19" t="n">
        <f aca="false">BJ43-BI43</f>
        <v>0.0405157538568277</v>
      </c>
      <c r="BK44" s="19" t="n">
        <f aca="false">BK43-BJ43</f>
        <v>0.154601590722953</v>
      </c>
      <c r="BL44" s="19" t="n">
        <f aca="false">BL43-BK43</f>
        <v>0.043545286023019</v>
      </c>
      <c r="BM44" s="19" t="n">
        <f aca="false">BM43-BL43</f>
        <v>0.161638052311528</v>
      </c>
      <c r="BN44" s="19" t="n">
        <f aca="false">BN43-BM43</f>
        <v>0.0467439415758886</v>
      </c>
      <c r="BO44" s="19" t="n">
        <f aca="false">BO43-BN43</f>
        <v>0.168877735601904</v>
      </c>
      <c r="BP44" s="19" t="n">
        <f aca="false">BP43-BO43</f>
        <v>0.0501181211145054</v>
      </c>
      <c r="BQ44" s="19" t="n">
        <f aca="false">BQ43-BP43</f>
        <v>0.176325676761783</v>
      </c>
      <c r="BR44" s="19" t="n">
        <f aca="false">BR43-BQ43</f>
        <v>-0.0112112214179421</v>
      </c>
      <c r="BS44" s="19" t="n">
        <f aca="false">BS43-BR43</f>
        <v>0.182360423048954</v>
      </c>
      <c r="BT44" s="19" t="n">
        <f aca="false">BT43-BS43</f>
        <v>-0.0108884284655897</v>
      </c>
      <c r="BU44" s="19" t="n">
        <f aca="false">BU43-BT43</f>
        <v>0.18848951238948</v>
      </c>
      <c r="BV44" s="19" t="n">
        <f aca="false">BV43-BU43</f>
        <v>-0.0105380073191608</v>
      </c>
      <c r="BW44" s="19" t="n">
        <f aca="false">BW43-BV43</f>
        <v>0.194714154143867</v>
      </c>
      <c r="BX44" s="19" t="n">
        <f aca="false">BX43-BW43</f>
        <v>-0.0101596103218418</v>
      </c>
      <c r="BY44" s="19" t="n">
        <f aca="false">BY43-BX43</f>
        <v>0.201035571799325</v>
      </c>
      <c r="BZ44" s="19" t="n">
        <f aca="false">BZ43-BY43</f>
        <v>-0.00975289470075236</v>
      </c>
      <c r="CA44" s="19" t="n">
        <f aca="false">CA43-BZ43</f>
        <v>0.207455003126099</v>
      </c>
      <c r="CB44" s="19" t="n">
        <f aca="false">CB43-CA43</f>
        <v>-0.00931752295793764</v>
      </c>
      <c r="CC44" s="19" t="n">
        <f aca="false">CC43-CB43</f>
        <v>0.216299501426045</v>
      </c>
      <c r="CD44" s="19" t="n">
        <f aca="false">CD43-CC43</f>
        <v>-0.00883223106556397</v>
      </c>
      <c r="CE44" s="19" t="n">
        <f aca="false">CE43-CD43</f>
        <v>0.222939663539716</v>
      </c>
      <c r="CF44" s="19" t="n">
        <f aca="false">CF43-CE43</f>
        <v>-0.00831724873498096</v>
      </c>
      <c r="CG44" s="19" t="n">
        <f aca="false">CG43-CF43</f>
        <v>0.229681828311816</v>
      </c>
      <c r="CH44" s="19" t="n">
        <f aca="false">CH43-CG43</f>
        <v>-0.00777225169451423</v>
      </c>
      <c r="CI44" s="19" t="n">
        <f aca="false">CI43-CH43</f>
        <v>0.238916458522287</v>
      </c>
      <c r="CJ44" s="19" t="n">
        <f aca="false">CJ43-CI43</f>
        <v>-0.00717542011318173</v>
      </c>
      <c r="CK44" s="19" t="n">
        <f aca="false">CK43-CJ43</f>
        <v>0.24588804078197</v>
      </c>
      <c r="CL44" s="19" t="n">
        <f aca="false">CL43-CK43</f>
        <v>-0.00654755946429031</v>
      </c>
      <c r="CM44" s="19" t="n">
        <f aca="false">CM43-CL43</f>
        <v>0.255398122359274</v>
      </c>
      <c r="CN44" s="19" t="n">
        <f aca="false">CN43-CM43</f>
        <v>-0.00586647115878503</v>
      </c>
      <c r="CO44" s="19" t="n">
        <f aca="false">CO43-CN43</f>
        <v>0.262605214135943</v>
      </c>
      <c r="CP44" s="19" t="n">
        <f aca="false">CP43-CO43</f>
        <v>-0.00515335340155598</v>
      </c>
      <c r="CQ44" s="19" t="n">
        <f aca="false">CQ43-CP43</f>
        <v>0.272397688943441</v>
      </c>
      <c r="CR44" s="19" t="n">
        <f aca="false">CR43-CQ43</f>
        <v>-0.00438562358447836</v>
      </c>
      <c r="CS44" s="19" t="n">
        <f aca="false">CS43-CR43</f>
        <v>0.282345157275132</v>
      </c>
      <c r="CT44" s="19" t="n">
        <f aca="false">CT43-CS43</f>
        <v>-0.00356239371413825</v>
      </c>
      <c r="CU44" s="19" t="n">
        <f aca="false">CU43-CT43</f>
        <v>0.292449615823987</v>
      </c>
      <c r="CV44" s="19" t="n">
        <f aca="false">CV43-CU43</f>
        <v>-0.00268277479634893</v>
      </c>
      <c r="CW44" s="19" t="n">
        <f aca="false">CW43-CV43</f>
        <v>0.300169277234792</v>
      </c>
      <c r="CX44" s="19" t="n">
        <f aca="false">CX43-CW43</f>
        <v>-0.001768771507626</v>
      </c>
      <c r="CY44" s="19" t="n">
        <f aca="false">CY43-CX43</f>
        <v>0.310570905833206</v>
      </c>
      <c r="CZ44" s="19" t="n">
        <f aca="false">CZ43-CY43</f>
        <v>-0.000797011912757384</v>
      </c>
      <c r="DA44" s="19" t="n">
        <f aca="false">DA43-CZ43</f>
        <v>0.321135450034941</v>
      </c>
      <c r="DB44" s="19" t="n">
        <f aca="false">DB43-DA43</f>
        <v>-8.46576424518342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78.3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19.575</v>
      </c>
      <c r="AK45" s="19" t="n">
        <f aca="false">IF(AND(Inputs!$F$215=1,Time!AK8&gt;=Inputs!$F$39,Time!AK8&lt;=Inputs!$F$40),Inputs!$F$172/Inputs!$F$173,0)</f>
        <v>19.575</v>
      </c>
      <c r="AL45" s="19" t="n">
        <f aca="false">IF(AND(Inputs!$F$215=1,Time!AL8&gt;=Inputs!$F$39,Time!AL8&lt;=Inputs!$F$40),Inputs!$F$172/Inputs!$F$173,0)</f>
        <v>19.575</v>
      </c>
      <c r="AM45" s="19" t="n">
        <f aca="false">IF(AND(Inputs!$F$215=1,Time!AM8&gt;=Inputs!$F$39,Time!AM8&lt;=Inputs!$F$40),Inputs!$F$172/Inputs!$F$173,0)</f>
        <v>19.575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983.839639217389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0.50063125576813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1.65858929416657</v>
      </c>
      <c r="AS47" s="29" t="n">
        <f aca="false">Tax!AS23</f>
        <v>3.16518419472213</v>
      </c>
      <c r="AT47" s="29" t="n">
        <f aca="false">Tax!AT23</f>
        <v>3.48499271155222</v>
      </c>
      <c r="AU47" s="29" t="n">
        <f aca="false">Tax!AU23</f>
        <v>4.14698507253085</v>
      </c>
      <c r="AV47" s="29" t="n">
        <f aca="false">Tax!AV23</f>
        <v>4.48365250311519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2.96267523742358</v>
      </c>
      <c r="BB47" s="29" t="n">
        <f aca="false">Tax!BB23</f>
        <v>5.13133111348047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2.73226330704658</v>
      </c>
      <c r="BG47" s="29" t="n">
        <f aca="false">Tax!BG23</f>
        <v>7.89347342351839</v>
      </c>
      <c r="BH47" s="29" t="n">
        <f aca="false">Tax!BH23</f>
        <v>8.1616567682046</v>
      </c>
      <c r="BI47" s="29" t="n">
        <f aca="false">Tax!BI23</f>
        <v>8.98757320118392</v>
      </c>
      <c r="BJ47" s="29" t="n">
        <f aca="false">Tax!BJ23</f>
        <v>9.20488297552657</v>
      </c>
      <c r="BK47" s="29" t="n">
        <f aca="false">Tax!BK23</f>
        <v>10.1490097824049</v>
      </c>
      <c r="BL47" s="29" t="n">
        <f aca="false">Tax!BL23</f>
        <v>10.3783461862937</v>
      </c>
      <c r="BM47" s="29" t="n">
        <f aca="false">Tax!BM23</f>
        <v>11.3820521581708</v>
      </c>
      <c r="BN47" s="29" t="n">
        <f aca="false">Tax!BN23</f>
        <v>11.6242689361889</v>
      </c>
      <c r="BO47" s="29" t="n">
        <f aca="false">Tax!BO23</f>
        <v>12.6902094440278</v>
      </c>
      <c r="BP47" s="29" t="n">
        <f aca="false">Tax!BP23</f>
        <v>12.9569964599288</v>
      </c>
      <c r="BQ47" s="29" t="n">
        <f aca="false">Tax!BQ23</f>
        <v>13.926753987627</v>
      </c>
      <c r="BR47" s="29" t="n">
        <f aca="false">Tax!BR23</f>
        <v>13.8482661984498</v>
      </c>
      <c r="BS47" s="29" t="n">
        <f aca="false">Tax!BS23</f>
        <v>14.9530740853683</v>
      </c>
      <c r="BT47" s="29" t="n">
        <f aca="false">Tax!BT23</f>
        <v>14.8756540542984</v>
      </c>
      <c r="BU47" s="29" t="n">
        <f aca="false">Tax!BU23</f>
        <v>0</v>
      </c>
      <c r="BV47" s="29" t="n">
        <f aca="false">Tax!BV23</f>
        <v>0</v>
      </c>
      <c r="BW47" s="29" t="n">
        <f aca="false">Tax!BW23</f>
        <v>14.57495880336</v>
      </c>
      <c r="BX47" s="29" t="n">
        <f aca="false">Tax!BX23</f>
        <v>17.5665368827115</v>
      </c>
      <c r="BY47" s="29" t="n">
        <f aca="false">Tax!BY23</f>
        <v>18.8108068180847</v>
      </c>
      <c r="BZ47" s="29" t="n">
        <f aca="false">Tax!BZ23</f>
        <v>18.8201729978069</v>
      </c>
      <c r="CA47" s="29" t="n">
        <f aca="false">Tax!CA23</f>
        <v>20.2312918053498</v>
      </c>
      <c r="CB47" s="29" t="n">
        <f aca="false">Tax!CB23</f>
        <v>20.1974905469462</v>
      </c>
      <c r="CC47" s="29" t="n">
        <f aca="false">Tax!CC23</f>
        <v>21.6322143253676</v>
      </c>
      <c r="CD47" s="29" t="n">
        <f aca="false">Tax!CD23</f>
        <v>21.6025184880532</v>
      </c>
      <c r="CE47" s="29" t="n">
        <f aca="false">Tax!CE23</f>
        <v>23.1005535713679</v>
      </c>
      <c r="CF47" s="29" t="n">
        <f aca="false">Tax!CF23</f>
        <v>23.1840481206227</v>
      </c>
      <c r="CG47" s="29" t="n">
        <f aca="false">Tax!CG23</f>
        <v>2.00013236611218</v>
      </c>
      <c r="CH47" s="29" t="n">
        <f aca="false">Tax!CH23</f>
        <v>24.684635168511</v>
      </c>
      <c r="CI47" s="29" t="n">
        <f aca="false">Tax!CI23</f>
        <v>26.3525062127284</v>
      </c>
      <c r="CJ47" s="29" t="n">
        <f aca="false">Tax!CJ23</f>
        <v>26.3648825045446</v>
      </c>
      <c r="CK47" s="29" t="n">
        <f aca="false">Tax!CK23</f>
        <v>17.012056657268</v>
      </c>
      <c r="CL47" s="29" t="n">
        <f aca="false">Tax!CL23</f>
        <v>27.7699867916073</v>
      </c>
      <c r="CM47" s="29" t="n">
        <f aca="false">Tax!CM23</f>
        <v>29.3811377479147</v>
      </c>
      <c r="CN47" s="29" t="n">
        <f aca="false">Tax!CN23</f>
        <v>29.32271229277</v>
      </c>
      <c r="CO47" s="29" t="n">
        <f aca="false">Tax!CO23</f>
        <v>30.8123513391968</v>
      </c>
      <c r="CP47" s="29" t="n">
        <f aca="false">Tax!CP23</f>
        <v>30.5827596098125</v>
      </c>
      <c r="CQ47" s="29" t="n">
        <f aca="false">Tax!CQ23</f>
        <v>32.3484681009644</v>
      </c>
      <c r="CR47" s="29" t="n">
        <f aca="false">Tax!CR23</f>
        <v>32.1554938651014</v>
      </c>
      <c r="CS47" s="29" t="n">
        <f aca="false">Tax!CS23</f>
        <v>0</v>
      </c>
      <c r="CT47" s="29" t="n">
        <f aca="false">Tax!CT23</f>
        <v>32.867773035854</v>
      </c>
      <c r="CU47" s="29" t="n">
        <f aca="false">Tax!CU23</f>
        <v>35.7956650770832</v>
      </c>
      <c r="CV47" s="29" t="n">
        <f aca="false">Tax!CV23</f>
        <v>35.7805763299713</v>
      </c>
      <c r="CW47" s="29" t="n">
        <f aca="false">Tax!CW23</f>
        <v>37.5772164948931</v>
      </c>
      <c r="CX47" s="29" t="n">
        <f aca="false">Tax!CX23</f>
        <v>37.3553031800254</v>
      </c>
      <c r="CY47" s="29" t="n">
        <f aca="false">Tax!CY23</f>
        <v>39.4299729545948</v>
      </c>
      <c r="CZ47" s="29" t="n">
        <f aca="false">Tax!CZ23</f>
        <v>39.1974814283715</v>
      </c>
      <c r="DA47" s="29" t="n">
        <f aca="false">Tax!DA23</f>
        <v>28.0294133493968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4818.7014308574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14.4335477229002</v>
      </c>
      <c r="AA48" s="19" t="n">
        <f aca="false">(AA32-AA44-AA47-AA37-AA39)*(1-Time!AA20)</f>
        <v>17.0914884408586</v>
      </c>
      <c r="AB48" s="19" t="n">
        <f aca="false">(AB32-AB44-AB47-AB37-AB39)*(1-Time!AB20)</f>
        <v>8.99854340070927</v>
      </c>
      <c r="AC48" s="19" t="n">
        <f aca="false">(AC32-AC44-AC47-AC37-AC39)*(1-Time!AC20)</f>
        <v>16.4507987511094</v>
      </c>
      <c r="AD48" s="19" t="n">
        <f aca="false">(AD32-AD44-AD47-AD37-AD39)*(1-Time!AD20)</f>
        <v>18.005820723622</v>
      </c>
      <c r="AE48" s="19" t="n">
        <f aca="false">(AE32-AE44-AE47-AE37-AE39)*(1-Time!AE20)</f>
        <v>23.0650335069316</v>
      </c>
      <c r="AF48" s="19" t="n">
        <f aca="false">(AF32-AF44-AF47-AF37-AF39)*(1-Time!AF20)</f>
        <v>19.7110588731622</v>
      </c>
      <c r="AG48" s="19" t="n">
        <f aca="false">(AG32-AG44-AG47-AG37-AG39)*(1-Time!AG20)</f>
        <v>24.8127200956232</v>
      </c>
      <c r="AH48" s="19" t="n">
        <f aca="false">(AH32-AH44-AH47-AH37-AH39)*(1-Time!AH20)</f>
        <v>24.6930763855976</v>
      </c>
      <c r="AI48" s="19" t="n">
        <f aca="false">(AI32-AI44-AI47-AI37-AI39)*(1-Time!AI20)</f>
        <v>25.3575479901645</v>
      </c>
      <c r="AJ48" s="19" t="n">
        <f aca="false">(AJ32-AJ44-AJ47-AJ37-AJ39)*(1-Time!AJ20)</f>
        <v>30.597759139989</v>
      </c>
      <c r="AK48" s="19" t="n">
        <f aca="false">(AK32-AK44-AK47-AK37-AK39)*(1-Time!AK20)</f>
        <v>34.0621311257348</v>
      </c>
      <c r="AL48" s="19" t="n">
        <f aca="false">(AL32-AL44-AL47-AL37-AL39)*(1-Time!AL20)</f>
        <v>33.7053197109686</v>
      </c>
      <c r="AM48" s="19" t="n">
        <f aca="false">(AM32-AM44-AM47-AM37-AM39)*(1-Time!AM20)</f>
        <v>36.60170748443</v>
      </c>
      <c r="AN48" s="19" t="n">
        <f aca="false">(AN32-AN44-AN47-AN37-AN39)*(1-Time!AN20)</f>
        <v>35.6574115938493</v>
      </c>
      <c r="AO48" s="19" t="n">
        <f aca="false">(AO32-AO44-AO47-AO37-AO39)*(1-Time!AO20)</f>
        <v>41.4541021839148</v>
      </c>
      <c r="AP48" s="19" t="n">
        <f aca="false">(AP32-AP44-AP47-AP37-AP39)*(1-Time!AP20)</f>
        <v>41.9053772617615</v>
      </c>
      <c r="AQ48" s="19" t="n">
        <f aca="false">(AQ32-AQ44-AQ47-AQ37-AQ39)*(1-Time!AQ20)</f>
        <v>33.2086098971247</v>
      </c>
      <c r="AR48" s="19" t="n">
        <f aca="false">(AR32-AR44-AR47-AR37-AR39)*(1-Time!AR20)</f>
        <v>32.2664229327247</v>
      </c>
      <c r="AS48" s="19" t="n">
        <f aca="false">(AS32-AS44-AS47-AS37-AS39)*(1-Time!AS20)</f>
        <v>32.6673554404873</v>
      </c>
      <c r="AT48" s="19" t="n">
        <f aca="false">(AT32-AT44-AT47-AT37-AT39)*(1-Time!AT20)</f>
        <v>32.8432043594126</v>
      </c>
      <c r="AU48" s="19" t="n">
        <f aca="false">(AU32-AU44-AU47-AU37-AU39)*(1-Time!AU20)</f>
        <v>34.4655051397935</v>
      </c>
      <c r="AV48" s="19" t="n">
        <f aca="false">(AV32-AV44-AV47-AV37-AV39)*(1-Time!AV20)</f>
        <v>34.6526356060643</v>
      </c>
      <c r="AW48" s="19" t="n">
        <f aca="false">(AW32-AW44-AW47-AW37-AW39)*(1-Time!AW20)</f>
        <v>43.6141626388462</v>
      </c>
      <c r="AX48" s="19" t="n">
        <f aca="false">(AX32-AX44-AX47-AX37-AX39)*(1-Time!AX20)</f>
        <v>43.6761725196293</v>
      </c>
      <c r="AY48" s="19" t="n">
        <f aca="false">(AY32-AY44-AY47-AY37-AY39)*(1-Time!AY20)</f>
        <v>42.0638103585527</v>
      </c>
      <c r="AZ48" s="19" t="n">
        <f aca="false">(AZ32-AZ44-AZ47-AZ37-AZ39)*(1-Time!AZ20)</f>
        <v>42.4339081472409</v>
      </c>
      <c r="BA48" s="19" t="n">
        <f aca="false">(BA32-BA44-BA47-BA37-BA39)*(1-Time!BA20)</f>
        <v>41.7472817853526</v>
      </c>
      <c r="BB48" s="19" t="n">
        <f aca="false">(BB32-BB44-BB47-BB37-BB39)*(1-Time!BB20)</f>
        <v>39.6482193769798</v>
      </c>
      <c r="BC48" s="19" t="n">
        <f aca="false">(BC32-BC44-BC47-BC37-BC39)*(1-Time!BC20)</f>
        <v>56.1527904209994</v>
      </c>
      <c r="BD48" s="19" t="n">
        <f aca="false">(BD32-BD44-BD47-BD37-BD39)*(1-Time!BD20)</f>
        <v>56.2273275719272</v>
      </c>
      <c r="BE48" s="19" t="n">
        <f aca="false">(BE32-BE44-BE47-BE37-BE39)*(1-Time!BE20)</f>
        <v>63.1594734825397</v>
      </c>
      <c r="BF48" s="19" t="n">
        <f aca="false">(BF32-BF44-BF47-BF37-BF39)*(1-Time!BF20)</f>
        <v>60.5068509332598</v>
      </c>
      <c r="BG48" s="19" t="n">
        <f aca="false">(BG32-BG44-BG47-BG37-BG39)*(1-Time!BG20)</f>
        <v>58.3210689181156</v>
      </c>
      <c r="BH48" s="19" t="n">
        <f aca="false">(BH32-BH44-BH47-BH37-BH39)*(1-Time!BH20)</f>
        <v>58.5042973907921</v>
      </c>
      <c r="BI48" s="19" t="n">
        <f aca="false">(BI32-BI44-BI47-BI37-BI39)*(1-Time!BI20)</f>
        <v>60.401996979779</v>
      </c>
      <c r="BJ48" s="19" t="n">
        <f aca="false">(BJ32-BJ44-BJ47-BJ37-BJ39)*(1-Time!BJ20)</f>
        <v>60.2729756656549</v>
      </c>
      <c r="BK48" s="19" t="n">
        <f aca="false">(BK32-BK44-BK47-BK37-BK39)*(1-Time!BK20)</f>
        <v>62.5649417778169</v>
      </c>
      <c r="BL48" s="19" t="n">
        <f aca="false">(BL32-BL44-BL47-BL37-BL39)*(1-Time!BL20)</f>
        <v>62.4294618479714</v>
      </c>
      <c r="BM48" s="19" t="n">
        <f aca="false">(BM32-BM44-BM47-BM37-BM39)*(1-Time!BM20)</f>
        <v>64.8131206052633</v>
      </c>
      <c r="BN48" s="19" t="n">
        <f aca="false">(BN32-BN44-BN47-BN37-BN39)*(1-Time!BN20)</f>
        <v>64.6705048958496</v>
      </c>
      <c r="BO48" s="19" t="n">
        <f aca="false">(BO32-BO44-BO47-BO37-BO39)*(1-Time!BO20)</f>
        <v>47.7073675683716</v>
      </c>
      <c r="BP48" s="19" t="n">
        <f aca="false">(BP32-BP44-BP47-BP37-BP39)*(1-Time!BP20)</f>
        <v>47.9880660603619</v>
      </c>
      <c r="BQ48" s="19" t="n">
        <f aca="false">(BQ32-BQ44-BQ47-BQ37-BQ39)*(1-Time!BQ20)</f>
        <v>50.2828058561231</v>
      </c>
      <c r="BR48" s="19" t="n">
        <f aca="false">(BR32-BR44-BR47-BR37-BR39)*(1-Time!BR20)</f>
        <v>49.6303915749486</v>
      </c>
      <c r="BS48" s="19" t="n">
        <f aca="false">(BS32-BS44-BS47-BS37-BS39)*(1-Time!BS20)</f>
        <v>52.298772442366</v>
      </c>
      <c r="BT48" s="19" t="n">
        <f aca="false">(BT32-BT44-BT47-BT37-BT39)*(1-Time!BT20)</f>
        <v>51.6209431642013</v>
      </c>
      <c r="BU48" s="19" t="n">
        <f aca="false">(BU32-BU44-BU47-BU37-BU39)*(1-Time!BU20)</f>
        <v>89.8424358926629</v>
      </c>
      <c r="BV48" s="19" t="n">
        <f aca="false">(BV32-BV44-BV47-BV37-BV39)*(1-Time!BV20)</f>
        <v>89.061924376185</v>
      </c>
      <c r="BW48" s="19" t="n">
        <f aca="false">(BW32-BW44-BW47-BW37-BW39)*(1-Time!BW20)</f>
        <v>78.5259161971874</v>
      </c>
      <c r="BX48" s="19" t="n">
        <f aca="false">(BX32-BX44-BX47-BX37-BX39)*(1-Time!BX20)</f>
        <v>75.2374861756489</v>
      </c>
      <c r="BY48" s="19" t="n">
        <f aca="false">(BY32-BY44-BY47-BY37-BY39)*(1-Time!BY20)</f>
        <v>77.6598171553233</v>
      </c>
      <c r="BZ48" s="19" t="n">
        <f aca="false">(BZ32-BZ44-BZ47-BZ37-BZ39)*(1-Time!BZ20)</f>
        <v>76.8165912350313</v>
      </c>
      <c r="CA48" s="19" t="n">
        <f aca="false">(CA32-CA44-CA47-CA37-CA39)*(1-Time!CA20)</f>
        <v>67.1708358465255</v>
      </c>
      <c r="CB48" s="19" t="n">
        <f aca="false">(CB32-CB44-CB47-CB37-CB39)*(1-Time!CB20)</f>
        <v>66.3426510556007</v>
      </c>
      <c r="CC48" s="19" t="n">
        <f aca="false">(CC32-CC44-CC47-CC37-CC39)*(1-Time!CC20)</f>
        <v>69.399650533258</v>
      </c>
      <c r="CD48" s="19" t="n">
        <f aca="false">(CD32-CD44-CD47-CD37-CD39)*(1-Time!CD20)</f>
        <v>68.5402969452887</v>
      </c>
      <c r="CE48" s="19" t="n">
        <f aca="false">(CE32-CE44-CE47-CE37-CE39)*(1-Time!CE20)</f>
        <v>65.6050990698115</v>
      </c>
      <c r="CF48" s="19" t="n">
        <f aca="false">(CF32-CF44-CF47-CF37-CF39)*(1-Time!CF20)</f>
        <v>65.1900467059611</v>
      </c>
      <c r="CG48" s="19" t="n">
        <f aca="false">(CG32-CG44-CG47-CG37-CG39)*(1-Time!CG20)</f>
        <v>103.128821265406</v>
      </c>
      <c r="CH48" s="19" t="n">
        <f aca="false">(CH32-CH44-CH47-CH37-CH39)*(1-Time!CH20)</f>
        <v>79.4934471592548</v>
      </c>
      <c r="CI48" s="19" t="n">
        <f aca="false">(CI32-CI44-CI47-CI37-CI39)*(1-Time!CI20)</f>
        <v>82.8028169178667</v>
      </c>
      <c r="CJ48" s="19" t="n">
        <f aca="false">(CJ32-CJ44-CJ47-CJ37-CJ39)*(1-Time!CJ20)</f>
        <v>81.8091872370815</v>
      </c>
      <c r="CK48" s="19" t="n">
        <f aca="false">(CK32-CK44-CK47-CK37-CK39)*(1-Time!CK20)</f>
        <v>102.375088413017</v>
      </c>
      <c r="CL48" s="19" t="n">
        <f aca="false">(CL32-CL44-CL47-CL37-CL39)*(1-Time!CL20)</f>
        <v>90.6020636347948</v>
      </c>
      <c r="CM48" s="19" t="n">
        <f aca="false">(CM32-CM44-CM47-CM37-CM39)*(1-Time!CM20)</f>
        <v>74.8831022611121</v>
      </c>
      <c r="CN48" s="19" t="n">
        <f aca="false">(CN32-CN44-CN47-CN37-CN39)*(1-Time!CN20)</f>
        <v>74.5712503087766</v>
      </c>
      <c r="CO48" s="19" t="n">
        <f aca="false">(CO32-CO44-CO47-CO37-CO39)*(1-Time!CO20)</f>
        <v>77.9017856002315</v>
      </c>
      <c r="CP48" s="19" t="n">
        <f aca="false">(CP32-CP44-CP47-CP37-CP39)*(1-Time!CP20)</f>
        <v>77.0471256016325</v>
      </c>
      <c r="CQ48" s="19" t="n">
        <f aca="false">(CQ32-CQ44-CQ47-CQ37-CQ39)*(1-Time!CQ20)</f>
        <v>80.9825138268942</v>
      </c>
      <c r="CR48" s="19" t="n">
        <f aca="false">(CR32-CR44-CR47-CR37-CR39)*(1-Time!CR20)</f>
        <v>80.0559082041861</v>
      </c>
      <c r="CS48" s="19" t="n">
        <f aca="false">(CS32-CS44-CS47-CS37-CS39)*(1-Time!CS20)</f>
        <v>125.896157296543</v>
      </c>
      <c r="CT48" s="19" t="n">
        <f aca="false">(CT32-CT44-CT47-CT37-CT39)*(1-Time!CT20)</f>
        <v>91.5804595753685</v>
      </c>
      <c r="CU48" s="19" t="n">
        <f aca="false">(CU32-CU44-CU47-CU37-CU39)*(1-Time!CU20)</f>
        <v>87.3709623339191</v>
      </c>
      <c r="CV48" s="19" t="n">
        <f aca="false">(CV32-CV44-CV47-CV37-CV39)*(1-Time!CV20)</f>
        <v>86.673422823051</v>
      </c>
      <c r="CW48" s="19" t="n">
        <f aca="false">(CW32-CW44-CW47-CW37-CW39)*(1-Time!CW20)</f>
        <v>90.4030159970879</v>
      </c>
      <c r="CX48" s="19" t="n">
        <f aca="false">(CX32-CX44-CX47-CX37-CX39)*(1-Time!CX20)</f>
        <v>89.0820261185741</v>
      </c>
      <c r="CY48" s="19" t="n">
        <f aca="false">(CY32-CY44-CY47-CY37-CY39)*(1-Time!CY20)</f>
        <v>93.5368552077883</v>
      </c>
      <c r="CZ48" s="19" t="n">
        <f aca="false">(CZ32-CZ44-CZ47-CZ37-CZ39)*(1-Time!CZ20)</f>
        <v>92.1777942346027</v>
      </c>
      <c r="DA48" s="19" t="n">
        <f aca="false">(DA32-DA44-DA47-DA37-DA39)*(1-Time!DA20)</f>
        <v>117.507083821186</v>
      </c>
      <c r="DB48" s="19" t="n">
        <f aca="false">(DB32-DB44-DB47-DB37-DB39)*(1-Time!DB20)</f>
        <v>121.983902080668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2124.60528045823</v>
      </c>
      <c r="AA6" s="19" t="n">
        <f aca="false">Z11</f>
        <v>1827.81117398462</v>
      </c>
      <c r="AB6" s="19" t="n">
        <f aca="false">AA11</f>
        <v>1800.65377282077</v>
      </c>
      <c r="AC6" s="19" t="n">
        <f aca="false">AB11</f>
        <v>1773.7915608</v>
      </c>
      <c r="AD6" s="19" t="n">
        <f aca="false">AC11</f>
        <v>1746.63415963614</v>
      </c>
      <c r="AE6" s="19" t="n">
        <f aca="false">AD11</f>
        <v>1719.91954218692</v>
      </c>
      <c r="AF6" s="19" t="n">
        <f aca="false">AE11</f>
        <v>1692.76214102306</v>
      </c>
      <c r="AG6" s="19" t="n">
        <f aca="false">AF11</f>
        <v>1666.04752357384</v>
      </c>
      <c r="AH6" s="19" t="n">
        <f aca="false">AG11</f>
        <v>1638.89012240998</v>
      </c>
      <c r="AI6" s="19" t="n">
        <f aca="false">AH11</f>
        <v>1612.17550496076</v>
      </c>
      <c r="AJ6" s="19" t="n">
        <f aca="false">AI11</f>
        <v>1343.21994226135</v>
      </c>
      <c r="AK6" s="19" t="n">
        <f aca="false">AJ11</f>
        <v>1343.88805676316</v>
      </c>
      <c r="AL6" s="19" t="n">
        <f aca="false">AK11</f>
        <v>1344.06586485506</v>
      </c>
      <c r="AM6" s="19" t="n">
        <f aca="false">AL11</f>
        <v>1344.27792936169</v>
      </c>
      <c r="AN6" s="19" t="n">
        <f aca="false">AM11</f>
        <v>1343.87819472529</v>
      </c>
      <c r="AO6" s="19" t="n">
        <f aca="false">AN11</f>
        <v>1323.93869531998</v>
      </c>
      <c r="AP6" s="19" t="n">
        <f aca="false">AO11</f>
        <v>1303.66870697426</v>
      </c>
      <c r="AQ6" s="19" t="n">
        <f aca="false">AP11</f>
        <v>1283.72920756896</v>
      </c>
      <c r="AR6" s="19" t="n">
        <f aca="false">AQ11</f>
        <v>1263.45921922324</v>
      </c>
      <c r="AS6" s="19" t="n">
        <f aca="false">AR11</f>
        <v>1243.4095568378</v>
      </c>
      <c r="AT6" s="19" t="n">
        <f aca="false">AS11</f>
        <v>1223.13956849208</v>
      </c>
      <c r="AU6" s="19" t="n">
        <f aca="false">AT11</f>
        <v>1203.20006908678</v>
      </c>
      <c r="AV6" s="19" t="n">
        <f aca="false">AU11</f>
        <v>1182.93008074105</v>
      </c>
      <c r="AW6" s="19" t="n">
        <f aca="false">AV11</f>
        <v>1162.99058133575</v>
      </c>
      <c r="AX6" s="19" t="n">
        <f aca="false">AW11</f>
        <v>1142.72059299003</v>
      </c>
      <c r="AY6" s="19" t="n">
        <f aca="false">AX11</f>
        <v>1122.78109358473</v>
      </c>
      <c r="AZ6" s="19" t="n">
        <f aca="false">AY11</f>
        <v>1102.51110523901</v>
      </c>
      <c r="BA6" s="19" t="n">
        <f aca="false">AZ11</f>
        <v>1082.46144285357</v>
      </c>
      <c r="BB6" s="19" t="n">
        <f aca="false">BA11</f>
        <v>1062.19145450785</v>
      </c>
      <c r="BC6" s="19" t="n">
        <f aca="false">BB11</f>
        <v>1042.25195510254</v>
      </c>
      <c r="BD6" s="19" t="n">
        <f aca="false">BC11</f>
        <v>1021.98196675682</v>
      </c>
      <c r="BE6" s="19" t="n">
        <f aca="false">BD11</f>
        <v>1002.04246735152</v>
      </c>
      <c r="BF6" s="19" t="n">
        <f aca="false">BE11</f>
        <v>981.772479005799</v>
      </c>
      <c r="BG6" s="19" t="n">
        <f aca="false">BF11</f>
        <v>961.832979600498</v>
      </c>
      <c r="BH6" s="19" t="n">
        <f aca="false">BG11</f>
        <v>941.562991254776</v>
      </c>
      <c r="BI6" s="19" t="n">
        <f aca="false">BH11</f>
        <v>921.513328869335</v>
      </c>
      <c r="BJ6" s="19" t="n">
        <f aca="false">BI11</f>
        <v>901.243340523614</v>
      </c>
      <c r="BK6" s="19" t="n">
        <f aca="false">BJ11</f>
        <v>881.303841118312</v>
      </c>
      <c r="BL6" s="19" t="n">
        <f aca="false">BK11</f>
        <v>861.033852772591</v>
      </c>
      <c r="BM6" s="19" t="n">
        <f aca="false">BL11</f>
        <v>841.094353367289</v>
      </c>
      <c r="BN6" s="19" t="n">
        <f aca="false">BM11</f>
        <v>820.824365021568</v>
      </c>
      <c r="BO6" s="19" t="n">
        <f aca="false">BN11</f>
        <v>800.884865616266</v>
      </c>
      <c r="BP6" s="19" t="n">
        <f aca="false">BO11</f>
        <v>780.614877270545</v>
      </c>
      <c r="BQ6" s="19" t="n">
        <f aca="false">BP11</f>
        <v>760.565214885103</v>
      </c>
      <c r="BR6" s="19" t="n">
        <f aca="false">BQ11</f>
        <v>740.295226539382</v>
      </c>
      <c r="BS6" s="19" t="n">
        <f aca="false">BR11</f>
        <v>720.35572713408</v>
      </c>
      <c r="BT6" s="19" t="n">
        <f aca="false">BS11</f>
        <v>700.085738788359</v>
      </c>
      <c r="BU6" s="19" t="n">
        <f aca="false">BT11</f>
        <v>680.146239383057</v>
      </c>
      <c r="BV6" s="19" t="n">
        <f aca="false">BU11</f>
        <v>659.876251037336</v>
      </c>
      <c r="BW6" s="19" t="n">
        <f aca="false">BV11</f>
        <v>639.936751632034</v>
      </c>
      <c r="BX6" s="19" t="n">
        <f aca="false">BW11</f>
        <v>619.666763286313</v>
      </c>
      <c r="BY6" s="19" t="n">
        <f aca="false">BX11</f>
        <v>599.617100900871</v>
      </c>
      <c r="BZ6" s="19" t="n">
        <f aca="false">BY11</f>
        <v>579.34711255515</v>
      </c>
      <c r="CA6" s="19" t="n">
        <f aca="false">BZ11</f>
        <v>559.407613149848</v>
      </c>
      <c r="CB6" s="19" t="n">
        <f aca="false">CA11</f>
        <v>539.137624804127</v>
      </c>
      <c r="CC6" s="19" t="n">
        <f aca="false">CB11</f>
        <v>519.198125398825</v>
      </c>
      <c r="CD6" s="19" t="n">
        <f aca="false">CC11</f>
        <v>498.928137053104</v>
      </c>
      <c r="CE6" s="19" t="n">
        <f aca="false">CD11</f>
        <v>478.988637647802</v>
      </c>
      <c r="CF6" s="19" t="n">
        <f aca="false">CE11</f>
        <v>458.718649302081</v>
      </c>
      <c r="CG6" s="19" t="n">
        <f aca="false">CF11</f>
        <v>438.66898691664</v>
      </c>
      <c r="CH6" s="19" t="n">
        <f aca="false">CG11</f>
        <v>418.398998570919</v>
      </c>
      <c r="CI6" s="19" t="n">
        <f aca="false">CH11</f>
        <v>398.459499165617</v>
      </c>
      <c r="CJ6" s="19" t="n">
        <f aca="false">CI11</f>
        <v>378.189510819896</v>
      </c>
      <c r="CK6" s="19" t="n">
        <f aca="false">CJ11</f>
        <v>358.250011414594</v>
      </c>
      <c r="CL6" s="19" t="n">
        <f aca="false">CK11</f>
        <v>337.980023068873</v>
      </c>
      <c r="CM6" s="19" t="n">
        <f aca="false">CL11</f>
        <v>318.040523663571</v>
      </c>
      <c r="CN6" s="19" t="n">
        <f aca="false">CM11</f>
        <v>297.77053531785</v>
      </c>
      <c r="CO6" s="19" t="n">
        <f aca="false">CN11</f>
        <v>277.720872932408</v>
      </c>
      <c r="CP6" s="19" t="n">
        <f aca="false">CO11</f>
        <v>257.450884586687</v>
      </c>
      <c r="CQ6" s="19" t="n">
        <f aca="false">CP11</f>
        <v>237.511385181385</v>
      </c>
      <c r="CR6" s="19" t="n">
        <f aca="false">CQ11</f>
        <v>217.241396835664</v>
      </c>
      <c r="CS6" s="19" t="n">
        <f aca="false">CR11</f>
        <v>197.301897430362</v>
      </c>
      <c r="CT6" s="19" t="n">
        <f aca="false">CS11</f>
        <v>177.031909084641</v>
      </c>
      <c r="CU6" s="19" t="n">
        <f aca="false">CT11</f>
        <v>157.092409679339</v>
      </c>
      <c r="CV6" s="19" t="n">
        <f aca="false">CU11</f>
        <v>136.822421333618</v>
      </c>
      <c r="CW6" s="19" t="n">
        <f aca="false">CV11</f>
        <v>116.772758948176</v>
      </c>
      <c r="CX6" s="19" t="n">
        <f aca="false">CW11</f>
        <v>96.5027706024551</v>
      </c>
      <c r="CY6" s="19" t="n">
        <f aca="false">CX11</f>
        <v>76.5632711971533</v>
      </c>
      <c r="CZ6" s="19" t="n">
        <f aca="false">CY11</f>
        <v>56.2932828514322</v>
      </c>
      <c r="DA6" s="19" t="n">
        <f aca="false">CZ11</f>
        <v>36.3537834461304</v>
      </c>
      <c r="DB6" s="19" t="n">
        <f aca="false">DA11</f>
        <v>16.0837951004092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1915.50528045823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117.719434233996</v>
      </c>
      <c r="Z7" s="19" t="n">
        <f aca="false">Funding!Z41-Funding!Z39+Operations!Z45</f>
        <v>-287.4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19.575</v>
      </c>
      <c r="AK7" s="19" t="n">
        <f aca="false">Funding!AK41-Funding!AK39+Operations!AK45</f>
        <v>19.575</v>
      </c>
      <c r="AL7" s="19" t="n">
        <f aca="false">Funding!AL41-Funding!AL39+Operations!AL45</f>
        <v>19.575</v>
      </c>
      <c r="AM7" s="19" t="n">
        <f aca="false">Funding!AM41-Funding!AM39+Operations!AM45</f>
        <v>19.575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1673.70711892267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9.39410647360741</v>
      </c>
      <c r="AA8" s="19" t="n">
        <f aca="false">IF(Time!AA29&gt;0,AA6*Time!AA25/Time!AA29,0)</f>
        <v>27.1574011638542</v>
      </c>
      <c r="AB8" s="19" t="n">
        <f aca="false">IF(Time!AB29&gt;0,AB6*Time!AB25/Time!AB29,0)</f>
        <v>26.8622120207688</v>
      </c>
      <c r="AC8" s="19" t="n">
        <f aca="false">IF(Time!AC29&gt;0,AC6*Time!AC25/Time!AC29,0)</f>
        <v>27.1574011638542</v>
      </c>
      <c r="AD8" s="19" t="n">
        <f aca="false">IF(Time!AD29&gt;0,AD6*Time!AD25/Time!AD29,0)</f>
        <v>26.7146174492261</v>
      </c>
      <c r="AE8" s="19" t="n">
        <f aca="false">IF(Time!AE29&gt;0,AE6*Time!AE25/Time!AE29,0)</f>
        <v>27.1574011638542</v>
      </c>
      <c r="AF8" s="19" t="n">
        <f aca="false">IF(Time!AF29&gt;0,AF6*Time!AF25/Time!AF29,0)</f>
        <v>26.7146174492261</v>
      </c>
      <c r="AG8" s="19" t="n">
        <f aca="false">IF(Time!AG29&gt;0,AG6*Time!AG25/Time!AG29,0)</f>
        <v>27.1574011638542</v>
      </c>
      <c r="AH8" s="19" t="n">
        <f aca="false">IF(Time!AH29&gt;0,AH6*Time!AH25/Time!AH29,0)</f>
        <v>26.7146174492261</v>
      </c>
      <c r="AI8" s="19" t="n">
        <f aca="false">IF(Time!AI29&gt;0,AI6*Time!AI25/Time!AI29,0)</f>
        <v>27.1574011638542</v>
      </c>
      <c r="AJ8" s="19" t="n">
        <f aca="false">IF(Time!AJ29&gt;0,AJ6*Time!AJ25/Time!AJ29,0)</f>
        <v>18.9068854981876</v>
      </c>
      <c r="AK8" s="19" t="n">
        <f aca="false">IF(Time!AK29&gt;0,AK6*Time!AK25/Time!AK29,0)</f>
        <v>19.3971919080971</v>
      </c>
      <c r="AL8" s="19" t="n">
        <f aca="false">IF(Time!AL29&gt;0,AL6*Time!AL25/Time!AL29,0)</f>
        <v>19.3629354933752</v>
      </c>
      <c r="AM8" s="19" t="n">
        <f aca="false">IF(Time!AM29&gt;0,AM6*Time!AM25/Time!AM29,0)</f>
        <v>19.9747346364007</v>
      </c>
      <c r="AN8" s="19" t="n">
        <f aca="false">IF(Time!AN29&gt;0,AN6*Time!AN25/Time!AN29,0)</f>
        <v>19.9394994053018</v>
      </c>
      <c r="AO8" s="19" t="n">
        <f aca="false">IF(Time!AO29&gt;0,AO6*Time!AO25/Time!AO29,0)</f>
        <v>20.2699883457212</v>
      </c>
      <c r="AP8" s="19" t="n">
        <f aca="false">IF(Time!AP29&gt;0,AP6*Time!AP25/Time!AP29,0)</f>
        <v>19.9394994053018</v>
      </c>
      <c r="AQ8" s="19" t="n">
        <f aca="false">IF(Time!AQ29&gt;0,AQ6*Time!AQ25/Time!AQ29,0)</f>
        <v>20.2699883457212</v>
      </c>
      <c r="AR8" s="19" t="n">
        <f aca="false">IF(Time!AR29&gt;0,AR6*Time!AR25/Time!AR29,0)</f>
        <v>20.0496623854416</v>
      </c>
      <c r="AS8" s="19" t="n">
        <f aca="false">IF(Time!AS29&gt;0,AS6*Time!AS25/Time!AS29,0)</f>
        <v>20.2699883457212</v>
      </c>
      <c r="AT8" s="19" t="n">
        <f aca="false">IF(Time!AT29&gt;0,AT6*Time!AT25/Time!AT29,0)</f>
        <v>19.9394994053018</v>
      </c>
      <c r="AU8" s="19" t="n">
        <f aca="false">IF(Time!AU29&gt;0,AU6*Time!AU25/Time!AU29,0)</f>
        <v>20.2699883457212</v>
      </c>
      <c r="AV8" s="19" t="n">
        <f aca="false">IF(Time!AV29&gt;0,AV6*Time!AV25/Time!AV29,0)</f>
        <v>19.9394994053018</v>
      </c>
      <c r="AW8" s="19" t="n">
        <f aca="false">IF(Time!AW29&gt;0,AW6*Time!AW25/Time!AW29,0)</f>
        <v>20.2699883457212</v>
      </c>
      <c r="AX8" s="19" t="n">
        <f aca="false">IF(Time!AX29&gt;0,AX6*Time!AX25/Time!AX29,0)</f>
        <v>19.9394994053018</v>
      </c>
      <c r="AY8" s="19" t="n">
        <f aca="false">IF(Time!AY29&gt;0,AY6*Time!AY25/Time!AY29,0)</f>
        <v>20.2699883457212</v>
      </c>
      <c r="AZ8" s="19" t="n">
        <f aca="false">IF(Time!AZ29&gt;0,AZ6*Time!AZ25/Time!AZ29,0)</f>
        <v>20.0496623854416</v>
      </c>
      <c r="BA8" s="19" t="n">
        <f aca="false">IF(Time!BA29&gt;0,BA6*Time!BA25/Time!BA29,0)</f>
        <v>20.2699883457212</v>
      </c>
      <c r="BB8" s="19" t="n">
        <f aca="false">IF(Time!BB29&gt;0,BB6*Time!BB25/Time!BB29,0)</f>
        <v>19.9394994053018</v>
      </c>
      <c r="BC8" s="19" t="n">
        <f aca="false">IF(Time!BC29&gt;0,BC6*Time!BC25/Time!BC29,0)</f>
        <v>20.2699883457212</v>
      </c>
      <c r="BD8" s="19" t="n">
        <f aca="false">IF(Time!BD29&gt;0,BD6*Time!BD25/Time!BD29,0)</f>
        <v>19.9394994053018</v>
      </c>
      <c r="BE8" s="19" t="n">
        <f aca="false">IF(Time!BE29&gt;0,BE6*Time!BE25/Time!BE29,0)</f>
        <v>20.2699883457212</v>
      </c>
      <c r="BF8" s="19" t="n">
        <f aca="false">IF(Time!BF29&gt;0,BF6*Time!BF25/Time!BF29,0)</f>
        <v>19.9394994053018</v>
      </c>
      <c r="BG8" s="19" t="n">
        <f aca="false">IF(Time!BG29&gt;0,BG6*Time!BG25/Time!BG29,0)</f>
        <v>20.2699883457212</v>
      </c>
      <c r="BH8" s="19" t="n">
        <f aca="false">IF(Time!BH29&gt;0,BH6*Time!BH25/Time!BH29,0)</f>
        <v>20.0496623854416</v>
      </c>
      <c r="BI8" s="19" t="n">
        <f aca="false">IF(Time!BI29&gt;0,BI6*Time!BI25/Time!BI29,0)</f>
        <v>20.2699883457212</v>
      </c>
      <c r="BJ8" s="19" t="n">
        <f aca="false">IF(Time!BJ29&gt;0,BJ6*Time!BJ25/Time!BJ29,0)</f>
        <v>19.9394994053018</v>
      </c>
      <c r="BK8" s="19" t="n">
        <f aca="false">IF(Time!BK29&gt;0,BK6*Time!BK25/Time!BK29,0)</f>
        <v>20.2699883457212</v>
      </c>
      <c r="BL8" s="19" t="n">
        <f aca="false">IF(Time!BL29&gt;0,BL6*Time!BL25/Time!BL29,0)</f>
        <v>19.9394994053018</v>
      </c>
      <c r="BM8" s="19" t="n">
        <f aca="false">IF(Time!BM29&gt;0,BM6*Time!BM25/Time!BM29,0)</f>
        <v>20.2699883457212</v>
      </c>
      <c r="BN8" s="19" t="n">
        <f aca="false">IF(Time!BN29&gt;0,BN6*Time!BN25/Time!BN29,0)</f>
        <v>19.9394994053018</v>
      </c>
      <c r="BO8" s="19" t="n">
        <f aca="false">IF(Time!BO29&gt;0,BO6*Time!BO25/Time!BO29,0)</f>
        <v>20.2699883457212</v>
      </c>
      <c r="BP8" s="19" t="n">
        <f aca="false">IF(Time!BP29&gt;0,BP6*Time!BP25/Time!BP29,0)</f>
        <v>20.0496623854416</v>
      </c>
      <c r="BQ8" s="19" t="n">
        <f aca="false">IF(Time!BQ29&gt;0,BQ6*Time!BQ25/Time!BQ29,0)</f>
        <v>20.2699883457212</v>
      </c>
      <c r="BR8" s="19" t="n">
        <f aca="false">IF(Time!BR29&gt;0,BR6*Time!BR25/Time!BR29,0)</f>
        <v>19.9394994053018</v>
      </c>
      <c r="BS8" s="19" t="n">
        <f aca="false">IF(Time!BS29&gt;0,BS6*Time!BS25/Time!BS29,0)</f>
        <v>20.2699883457212</v>
      </c>
      <c r="BT8" s="19" t="n">
        <f aca="false">IF(Time!BT29&gt;0,BT6*Time!BT25/Time!BT29,0)</f>
        <v>19.9394994053018</v>
      </c>
      <c r="BU8" s="19" t="n">
        <f aca="false">IF(Time!BU29&gt;0,BU6*Time!BU25/Time!BU29,0)</f>
        <v>20.2699883457212</v>
      </c>
      <c r="BV8" s="19" t="n">
        <f aca="false">IF(Time!BV29&gt;0,BV6*Time!BV25/Time!BV29,0)</f>
        <v>19.9394994053018</v>
      </c>
      <c r="BW8" s="19" t="n">
        <f aca="false">IF(Time!BW29&gt;0,BW6*Time!BW25/Time!BW29,0)</f>
        <v>20.2699883457212</v>
      </c>
      <c r="BX8" s="19" t="n">
        <f aca="false">IF(Time!BX29&gt;0,BX6*Time!BX25/Time!BX29,0)</f>
        <v>20.0496623854416</v>
      </c>
      <c r="BY8" s="19" t="n">
        <f aca="false">IF(Time!BY29&gt;0,BY6*Time!BY25/Time!BY29,0)</f>
        <v>20.2699883457212</v>
      </c>
      <c r="BZ8" s="19" t="n">
        <f aca="false">IF(Time!BZ29&gt;0,BZ6*Time!BZ25/Time!BZ29,0)</f>
        <v>19.9394994053018</v>
      </c>
      <c r="CA8" s="19" t="n">
        <f aca="false">IF(Time!CA29&gt;0,CA6*Time!CA25/Time!CA29,0)</f>
        <v>20.2699883457212</v>
      </c>
      <c r="CB8" s="19" t="n">
        <f aca="false">IF(Time!CB29&gt;0,CB6*Time!CB25/Time!CB29,0)</f>
        <v>19.9394994053018</v>
      </c>
      <c r="CC8" s="19" t="n">
        <f aca="false">IF(Time!CC29&gt;0,CC6*Time!CC25/Time!CC29,0)</f>
        <v>20.2699883457212</v>
      </c>
      <c r="CD8" s="19" t="n">
        <f aca="false">IF(Time!CD29&gt;0,CD6*Time!CD25/Time!CD29,0)</f>
        <v>19.9394994053018</v>
      </c>
      <c r="CE8" s="19" t="n">
        <f aca="false">IF(Time!CE29&gt;0,CE6*Time!CE25/Time!CE29,0)</f>
        <v>20.2699883457212</v>
      </c>
      <c r="CF8" s="19" t="n">
        <f aca="false">IF(Time!CF29&gt;0,CF6*Time!CF25/Time!CF29,0)</f>
        <v>20.0496623854416</v>
      </c>
      <c r="CG8" s="19" t="n">
        <f aca="false">IF(Time!CG29&gt;0,CG6*Time!CG25/Time!CG29,0)</f>
        <v>20.2699883457212</v>
      </c>
      <c r="CH8" s="19" t="n">
        <f aca="false">IF(Time!CH29&gt;0,CH6*Time!CH25/Time!CH29,0)</f>
        <v>19.9394994053018</v>
      </c>
      <c r="CI8" s="19" t="n">
        <f aca="false">IF(Time!CI29&gt;0,CI6*Time!CI25/Time!CI29,0)</f>
        <v>20.2699883457212</v>
      </c>
      <c r="CJ8" s="19" t="n">
        <f aca="false">IF(Time!CJ29&gt;0,CJ6*Time!CJ25/Time!CJ29,0)</f>
        <v>19.9394994053018</v>
      </c>
      <c r="CK8" s="19" t="n">
        <f aca="false">IF(Time!CK29&gt;0,CK6*Time!CK25/Time!CK29,0)</f>
        <v>20.2699883457212</v>
      </c>
      <c r="CL8" s="19" t="n">
        <f aca="false">IF(Time!CL29&gt;0,CL6*Time!CL25/Time!CL29,0)</f>
        <v>19.9394994053018</v>
      </c>
      <c r="CM8" s="19" t="n">
        <f aca="false">IF(Time!CM29&gt;0,CM6*Time!CM25/Time!CM29,0)</f>
        <v>20.2699883457212</v>
      </c>
      <c r="CN8" s="19" t="n">
        <f aca="false">IF(Time!CN29&gt;0,CN6*Time!CN25/Time!CN29,0)</f>
        <v>20.0496623854416</v>
      </c>
      <c r="CO8" s="19" t="n">
        <f aca="false">IF(Time!CO29&gt;0,CO6*Time!CO25/Time!CO29,0)</f>
        <v>20.2699883457212</v>
      </c>
      <c r="CP8" s="19" t="n">
        <f aca="false">IF(Time!CP29&gt;0,CP6*Time!CP25/Time!CP29,0)</f>
        <v>19.9394994053018</v>
      </c>
      <c r="CQ8" s="19" t="n">
        <f aca="false">IF(Time!CQ29&gt;0,CQ6*Time!CQ25/Time!CQ29,0)</f>
        <v>20.2699883457212</v>
      </c>
      <c r="CR8" s="19" t="n">
        <f aca="false">IF(Time!CR29&gt;0,CR6*Time!CR25/Time!CR29,0)</f>
        <v>19.9394994053018</v>
      </c>
      <c r="CS8" s="19" t="n">
        <f aca="false">IF(Time!CS29&gt;0,CS6*Time!CS25/Time!CS29,0)</f>
        <v>20.2699883457212</v>
      </c>
      <c r="CT8" s="19" t="n">
        <f aca="false">IF(Time!CT29&gt;0,CT6*Time!CT25/Time!CT29,0)</f>
        <v>19.9394994053018</v>
      </c>
      <c r="CU8" s="19" t="n">
        <f aca="false">IF(Time!CU29&gt;0,CU6*Time!CU25/Time!CU29,0)</f>
        <v>20.2699883457212</v>
      </c>
      <c r="CV8" s="19" t="n">
        <f aca="false">IF(Time!CV29&gt;0,CV6*Time!CV25/Time!CV29,0)</f>
        <v>20.0496623854416</v>
      </c>
      <c r="CW8" s="19" t="n">
        <f aca="false">IF(Time!CW29&gt;0,CW6*Time!CW25/Time!CW29,0)</f>
        <v>20.2699883457212</v>
      </c>
      <c r="CX8" s="19" t="n">
        <f aca="false">IF(Time!CX29&gt;0,CX6*Time!CX25/Time!CX29,0)</f>
        <v>19.9394994053018</v>
      </c>
      <c r="CY8" s="19" t="n">
        <f aca="false">IF(Time!CY29&gt;0,CY6*Time!CY25/Time!CY29,0)</f>
        <v>20.2699883457212</v>
      </c>
      <c r="CZ8" s="19" t="n">
        <f aca="false">IF(Time!CZ29&gt;0,CZ6*Time!CZ25/Time!CZ29,0)</f>
        <v>19.9394994053018</v>
      </c>
      <c r="DA8" s="19" t="n">
        <f aca="false">IF(Time!DA29&gt;0,DA6*Time!DA25/Time!DA29,0)</f>
        <v>20.2699883457212</v>
      </c>
      <c r="DB8" s="19" t="n">
        <f aca="false">IF(Time!DB29&gt;0,DB6*Time!DB25/Time!DB29,0)</f>
        <v>16.0837951004092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2124.60528045823</v>
      </c>
      <c r="Z9" s="19" t="n">
        <f aca="false">Z6+Z7-Z8</f>
        <v>1827.81117398462</v>
      </c>
      <c r="AA9" s="19" t="n">
        <f aca="false">AA6+AA7-AA8</f>
        <v>1800.65377282077</v>
      </c>
      <c r="AB9" s="19" t="n">
        <f aca="false">AB6+AB7-AB8</f>
        <v>1773.7915608</v>
      </c>
      <c r="AC9" s="19" t="n">
        <f aca="false">AC6+AC7-AC8</f>
        <v>1746.63415963614</v>
      </c>
      <c r="AD9" s="19" t="n">
        <f aca="false">AD6+AD7-AD8</f>
        <v>1719.91954218692</v>
      </c>
      <c r="AE9" s="19" t="n">
        <f aca="false">AE6+AE7-AE8</f>
        <v>1692.76214102306</v>
      </c>
      <c r="AF9" s="19" t="n">
        <f aca="false">AF6+AF7-AF8</f>
        <v>1666.04752357384</v>
      </c>
      <c r="AG9" s="19" t="n">
        <f aca="false">AG6+AG7-AG8</f>
        <v>1638.89012240998</v>
      </c>
      <c r="AH9" s="19" t="n">
        <f aca="false">AH6+AH7-AH8</f>
        <v>1612.17550496076</v>
      </c>
      <c r="AI9" s="19" t="n">
        <f aca="false">AI6+AI7-AI8</f>
        <v>1585.0181037969</v>
      </c>
      <c r="AJ9" s="19" t="n">
        <f aca="false">AJ6+AJ7-AJ8</f>
        <v>1343.88805676316</v>
      </c>
      <c r="AK9" s="19" t="n">
        <f aca="false">AK6+AK7-AK8</f>
        <v>1344.06586485506</v>
      </c>
      <c r="AL9" s="19" t="n">
        <f aca="false">AL6+AL7-AL8</f>
        <v>1344.27792936169</v>
      </c>
      <c r="AM9" s="19" t="n">
        <f aca="false">AM6+AM7-AM8</f>
        <v>1343.87819472529</v>
      </c>
      <c r="AN9" s="19" t="n">
        <f aca="false">AN6+AN7-AN8</f>
        <v>1323.93869531998</v>
      </c>
      <c r="AO9" s="19" t="n">
        <f aca="false">AO6+AO7-AO8</f>
        <v>1303.66870697426</v>
      </c>
      <c r="AP9" s="19" t="n">
        <f aca="false">AP6+AP7-AP8</f>
        <v>1283.72920756896</v>
      </c>
      <c r="AQ9" s="19" t="n">
        <f aca="false">AQ6+AQ7-AQ8</f>
        <v>1263.45921922324</v>
      </c>
      <c r="AR9" s="19" t="n">
        <f aca="false">AR6+AR7-AR8</f>
        <v>1243.4095568378</v>
      </c>
      <c r="AS9" s="19" t="n">
        <f aca="false">AS6+AS7-AS8</f>
        <v>1223.13956849208</v>
      </c>
      <c r="AT9" s="19" t="n">
        <f aca="false">AT6+AT7-AT8</f>
        <v>1203.20006908678</v>
      </c>
      <c r="AU9" s="19" t="n">
        <f aca="false">AU6+AU7-AU8</f>
        <v>1182.93008074105</v>
      </c>
      <c r="AV9" s="19" t="n">
        <f aca="false">AV6+AV7-AV8</f>
        <v>1162.99058133575</v>
      </c>
      <c r="AW9" s="19" t="n">
        <f aca="false">AW6+AW7-AW8</f>
        <v>1142.72059299003</v>
      </c>
      <c r="AX9" s="19" t="n">
        <f aca="false">AX6+AX7-AX8</f>
        <v>1122.78109358473</v>
      </c>
      <c r="AY9" s="19" t="n">
        <f aca="false">AY6+AY7-AY8</f>
        <v>1102.51110523901</v>
      </c>
      <c r="AZ9" s="19" t="n">
        <f aca="false">AZ6+AZ7-AZ8</f>
        <v>1082.46144285357</v>
      </c>
      <c r="BA9" s="19" t="n">
        <f aca="false">BA6+BA7-BA8</f>
        <v>1062.19145450785</v>
      </c>
      <c r="BB9" s="19" t="n">
        <f aca="false">BB6+BB7-BB8</f>
        <v>1042.25195510254</v>
      </c>
      <c r="BC9" s="19" t="n">
        <f aca="false">BC6+BC7-BC8</f>
        <v>1021.98196675682</v>
      </c>
      <c r="BD9" s="19" t="n">
        <f aca="false">BD6+BD7-BD8</f>
        <v>1002.04246735152</v>
      </c>
      <c r="BE9" s="19" t="n">
        <f aca="false">BE6+BE7-BE8</f>
        <v>981.772479005799</v>
      </c>
      <c r="BF9" s="19" t="n">
        <f aca="false">BF6+BF7-BF8</f>
        <v>961.832979600498</v>
      </c>
      <c r="BG9" s="19" t="n">
        <f aca="false">BG6+BG7-BG8</f>
        <v>941.562991254776</v>
      </c>
      <c r="BH9" s="19" t="n">
        <f aca="false">BH6+BH7-BH8</f>
        <v>921.513328869335</v>
      </c>
      <c r="BI9" s="19" t="n">
        <f aca="false">BI6+BI7-BI8</f>
        <v>901.243340523614</v>
      </c>
      <c r="BJ9" s="19" t="n">
        <f aca="false">BJ6+BJ7-BJ8</f>
        <v>881.303841118312</v>
      </c>
      <c r="BK9" s="19" t="n">
        <f aca="false">BK6+BK7-BK8</f>
        <v>861.033852772591</v>
      </c>
      <c r="BL9" s="19" t="n">
        <f aca="false">BL6+BL7-BL8</f>
        <v>841.094353367289</v>
      </c>
      <c r="BM9" s="19" t="n">
        <f aca="false">BM6+BM7-BM8</f>
        <v>820.824365021568</v>
      </c>
      <c r="BN9" s="19" t="n">
        <f aca="false">BN6+BN7-BN8</f>
        <v>800.884865616266</v>
      </c>
      <c r="BO9" s="19" t="n">
        <f aca="false">BO6+BO7-BO8</f>
        <v>780.614877270545</v>
      </c>
      <c r="BP9" s="19" t="n">
        <f aca="false">BP6+BP7-BP8</f>
        <v>760.565214885103</v>
      </c>
      <c r="BQ9" s="19" t="n">
        <f aca="false">BQ6+BQ7-BQ8</f>
        <v>740.295226539382</v>
      </c>
      <c r="BR9" s="19" t="n">
        <f aca="false">BR6+BR7-BR8</f>
        <v>720.35572713408</v>
      </c>
      <c r="BS9" s="19" t="n">
        <f aca="false">BS6+BS7-BS8</f>
        <v>700.085738788359</v>
      </c>
      <c r="BT9" s="19" t="n">
        <f aca="false">BT6+BT7-BT8</f>
        <v>680.146239383057</v>
      </c>
      <c r="BU9" s="19" t="n">
        <f aca="false">BU6+BU7-BU8</f>
        <v>659.876251037336</v>
      </c>
      <c r="BV9" s="19" t="n">
        <f aca="false">BV6+BV7-BV8</f>
        <v>639.936751632034</v>
      </c>
      <c r="BW9" s="19" t="n">
        <f aca="false">BW6+BW7-BW8</f>
        <v>619.666763286313</v>
      </c>
      <c r="BX9" s="19" t="n">
        <f aca="false">BX6+BX7-BX8</f>
        <v>599.617100900871</v>
      </c>
      <c r="BY9" s="19" t="n">
        <f aca="false">BY6+BY7-BY8</f>
        <v>579.34711255515</v>
      </c>
      <c r="BZ9" s="19" t="n">
        <f aca="false">BZ6+BZ7-BZ8</f>
        <v>559.407613149848</v>
      </c>
      <c r="CA9" s="19" t="n">
        <f aca="false">CA6+CA7-CA8</f>
        <v>539.137624804127</v>
      </c>
      <c r="CB9" s="19" t="n">
        <f aca="false">CB6+CB7-CB8</f>
        <v>519.198125398825</v>
      </c>
      <c r="CC9" s="19" t="n">
        <f aca="false">CC6+CC7-CC8</f>
        <v>498.928137053104</v>
      </c>
      <c r="CD9" s="19" t="n">
        <f aca="false">CD6+CD7-CD8</f>
        <v>478.988637647802</v>
      </c>
      <c r="CE9" s="19" t="n">
        <f aca="false">CE6+CE7-CE8</f>
        <v>458.718649302081</v>
      </c>
      <c r="CF9" s="19" t="n">
        <f aca="false">CF6+CF7-CF8</f>
        <v>438.66898691664</v>
      </c>
      <c r="CG9" s="19" t="n">
        <f aca="false">CG6+CG7-CG8</f>
        <v>418.398998570919</v>
      </c>
      <c r="CH9" s="19" t="n">
        <f aca="false">CH6+CH7-CH8</f>
        <v>398.459499165617</v>
      </c>
      <c r="CI9" s="19" t="n">
        <f aca="false">CI6+CI7-CI8</f>
        <v>378.189510819896</v>
      </c>
      <c r="CJ9" s="19" t="n">
        <f aca="false">CJ6+CJ7-CJ8</f>
        <v>358.250011414594</v>
      </c>
      <c r="CK9" s="19" t="n">
        <f aca="false">CK6+CK7-CK8</f>
        <v>337.980023068873</v>
      </c>
      <c r="CL9" s="19" t="n">
        <f aca="false">CL6+CL7-CL8</f>
        <v>318.040523663571</v>
      </c>
      <c r="CM9" s="19" t="n">
        <f aca="false">CM6+CM7-CM8</f>
        <v>297.77053531785</v>
      </c>
      <c r="CN9" s="19" t="n">
        <f aca="false">CN6+CN7-CN8</f>
        <v>277.720872932408</v>
      </c>
      <c r="CO9" s="19" t="n">
        <f aca="false">CO6+CO7-CO8</f>
        <v>257.450884586687</v>
      </c>
      <c r="CP9" s="19" t="n">
        <f aca="false">CP6+CP7-CP8</f>
        <v>237.511385181385</v>
      </c>
      <c r="CQ9" s="19" t="n">
        <f aca="false">CQ6+CQ7-CQ8</f>
        <v>217.241396835664</v>
      </c>
      <c r="CR9" s="19" t="n">
        <f aca="false">CR6+CR7-CR8</f>
        <v>197.301897430362</v>
      </c>
      <c r="CS9" s="19" t="n">
        <f aca="false">CS6+CS7-CS8</f>
        <v>177.031909084641</v>
      </c>
      <c r="CT9" s="19" t="n">
        <f aca="false">CT6+CT7-CT8</f>
        <v>157.092409679339</v>
      </c>
      <c r="CU9" s="19" t="n">
        <f aca="false">CU6+CU7-CU8</f>
        <v>136.822421333618</v>
      </c>
      <c r="CV9" s="19" t="n">
        <f aca="false">CV6+CV7-CV8</f>
        <v>116.772758948176</v>
      </c>
      <c r="CW9" s="19" t="n">
        <f aca="false">CW6+CW7-CW8</f>
        <v>96.5027706024551</v>
      </c>
      <c r="CX9" s="19" t="n">
        <f aca="false">CX6+CX7-CX8</f>
        <v>76.5632711971533</v>
      </c>
      <c r="CY9" s="19" t="n">
        <f aca="false">CY6+CY7-CY8</f>
        <v>56.2932828514322</v>
      </c>
      <c r="CZ9" s="19" t="n">
        <f aca="false">CZ6+CZ7-CZ8</f>
        <v>36.3537834461304</v>
      </c>
      <c r="DA9" s="19" t="n">
        <f aca="false">DA6+DA7-DA8</f>
        <v>16.0837951004092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241.798161535555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241.798161535555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2124.60528045823</v>
      </c>
      <c r="Z11" s="19" t="n">
        <f aca="false">Z9-Z10</f>
        <v>1827.81117398462</v>
      </c>
      <c r="AA11" s="19" t="n">
        <f aca="false">AA9-AA10</f>
        <v>1800.65377282077</v>
      </c>
      <c r="AB11" s="19" t="n">
        <f aca="false">AB9-AB10</f>
        <v>1773.7915608</v>
      </c>
      <c r="AC11" s="19" t="n">
        <f aca="false">AC9-AC10</f>
        <v>1746.63415963614</v>
      </c>
      <c r="AD11" s="19" t="n">
        <f aca="false">AD9-AD10</f>
        <v>1719.91954218692</v>
      </c>
      <c r="AE11" s="19" t="n">
        <f aca="false">AE9-AE10</f>
        <v>1692.76214102306</v>
      </c>
      <c r="AF11" s="19" t="n">
        <f aca="false">AF9-AF10</f>
        <v>1666.04752357384</v>
      </c>
      <c r="AG11" s="19" t="n">
        <f aca="false">AG9-AG10</f>
        <v>1638.89012240998</v>
      </c>
      <c r="AH11" s="19" t="n">
        <f aca="false">AH9-AH10</f>
        <v>1612.17550496076</v>
      </c>
      <c r="AI11" s="19" t="n">
        <f aca="false">AI9-AI10</f>
        <v>1343.21994226135</v>
      </c>
      <c r="AJ11" s="19" t="n">
        <f aca="false">AJ9-AJ10</f>
        <v>1343.88805676316</v>
      </c>
      <c r="AK11" s="19" t="n">
        <f aca="false">AK9-AK10</f>
        <v>1344.06586485506</v>
      </c>
      <c r="AL11" s="19" t="n">
        <f aca="false">AL9-AL10</f>
        <v>1344.27792936169</v>
      </c>
      <c r="AM11" s="19" t="n">
        <f aca="false">AM9-AM10</f>
        <v>1343.87819472529</v>
      </c>
      <c r="AN11" s="19" t="n">
        <f aca="false">AN9-AN10</f>
        <v>1323.93869531998</v>
      </c>
      <c r="AO11" s="19" t="n">
        <f aca="false">AO9-AO10</f>
        <v>1303.66870697426</v>
      </c>
      <c r="AP11" s="19" t="n">
        <f aca="false">AP9-AP10</f>
        <v>1283.72920756896</v>
      </c>
      <c r="AQ11" s="19" t="n">
        <f aca="false">AQ9-AQ10</f>
        <v>1263.45921922324</v>
      </c>
      <c r="AR11" s="19" t="n">
        <f aca="false">AR9-AR10</f>
        <v>1243.4095568378</v>
      </c>
      <c r="AS11" s="19" t="n">
        <f aca="false">AS9-AS10</f>
        <v>1223.13956849208</v>
      </c>
      <c r="AT11" s="19" t="n">
        <f aca="false">AT9-AT10</f>
        <v>1203.20006908678</v>
      </c>
      <c r="AU11" s="19" t="n">
        <f aca="false">AU9-AU10</f>
        <v>1182.93008074105</v>
      </c>
      <c r="AV11" s="19" t="n">
        <f aca="false">AV9-AV10</f>
        <v>1162.99058133575</v>
      </c>
      <c r="AW11" s="19" t="n">
        <f aca="false">AW9-AW10</f>
        <v>1142.72059299003</v>
      </c>
      <c r="AX11" s="19" t="n">
        <f aca="false">AX9-AX10</f>
        <v>1122.78109358473</v>
      </c>
      <c r="AY11" s="19" t="n">
        <f aca="false">AY9-AY10</f>
        <v>1102.51110523901</v>
      </c>
      <c r="AZ11" s="19" t="n">
        <f aca="false">AZ9-AZ10</f>
        <v>1082.46144285357</v>
      </c>
      <c r="BA11" s="19" t="n">
        <f aca="false">BA9-BA10</f>
        <v>1062.19145450785</v>
      </c>
      <c r="BB11" s="19" t="n">
        <f aca="false">BB9-BB10</f>
        <v>1042.25195510254</v>
      </c>
      <c r="BC11" s="19" t="n">
        <f aca="false">BC9-BC10</f>
        <v>1021.98196675682</v>
      </c>
      <c r="BD11" s="19" t="n">
        <f aca="false">BD9-BD10</f>
        <v>1002.04246735152</v>
      </c>
      <c r="BE11" s="19" t="n">
        <f aca="false">BE9-BE10</f>
        <v>981.772479005799</v>
      </c>
      <c r="BF11" s="19" t="n">
        <f aca="false">BF9-BF10</f>
        <v>961.832979600498</v>
      </c>
      <c r="BG11" s="19" t="n">
        <f aca="false">BG9-BG10</f>
        <v>941.562991254776</v>
      </c>
      <c r="BH11" s="19" t="n">
        <f aca="false">BH9-BH10</f>
        <v>921.513328869335</v>
      </c>
      <c r="BI11" s="19" t="n">
        <f aca="false">BI9-BI10</f>
        <v>901.243340523614</v>
      </c>
      <c r="BJ11" s="19" t="n">
        <f aca="false">BJ9-BJ10</f>
        <v>881.303841118312</v>
      </c>
      <c r="BK11" s="19" t="n">
        <f aca="false">BK9-BK10</f>
        <v>861.033852772591</v>
      </c>
      <c r="BL11" s="19" t="n">
        <f aca="false">BL9-BL10</f>
        <v>841.094353367289</v>
      </c>
      <c r="BM11" s="19" t="n">
        <f aca="false">BM9-BM10</f>
        <v>820.824365021568</v>
      </c>
      <c r="BN11" s="19" t="n">
        <f aca="false">BN9-BN10</f>
        <v>800.884865616266</v>
      </c>
      <c r="BO11" s="19" t="n">
        <f aca="false">BO9-BO10</f>
        <v>780.614877270545</v>
      </c>
      <c r="BP11" s="19" t="n">
        <f aca="false">BP9-BP10</f>
        <v>760.565214885103</v>
      </c>
      <c r="BQ11" s="19" t="n">
        <f aca="false">BQ9-BQ10</f>
        <v>740.295226539382</v>
      </c>
      <c r="BR11" s="19" t="n">
        <f aca="false">BR9-BR10</f>
        <v>720.35572713408</v>
      </c>
      <c r="BS11" s="19" t="n">
        <f aca="false">BS9-BS10</f>
        <v>700.085738788359</v>
      </c>
      <c r="BT11" s="19" t="n">
        <f aca="false">BT9-BT10</f>
        <v>680.146239383057</v>
      </c>
      <c r="BU11" s="19" t="n">
        <f aca="false">BU9-BU10</f>
        <v>659.876251037336</v>
      </c>
      <c r="BV11" s="19" t="n">
        <f aca="false">BV9-BV10</f>
        <v>639.936751632034</v>
      </c>
      <c r="BW11" s="19" t="n">
        <f aca="false">BW9-BW10</f>
        <v>619.666763286313</v>
      </c>
      <c r="BX11" s="19" t="n">
        <f aca="false">BX9-BX10</f>
        <v>599.617100900871</v>
      </c>
      <c r="BY11" s="19" t="n">
        <f aca="false">BY9-BY10</f>
        <v>579.34711255515</v>
      </c>
      <c r="BZ11" s="19" t="n">
        <f aca="false">BZ9-BZ10</f>
        <v>559.407613149848</v>
      </c>
      <c r="CA11" s="19" t="n">
        <f aca="false">CA9-CA10</f>
        <v>539.137624804127</v>
      </c>
      <c r="CB11" s="19" t="n">
        <f aca="false">CB9-CB10</f>
        <v>519.198125398825</v>
      </c>
      <c r="CC11" s="19" t="n">
        <f aca="false">CC9-CC10</f>
        <v>498.928137053104</v>
      </c>
      <c r="CD11" s="19" t="n">
        <f aca="false">CD9-CD10</f>
        <v>478.988637647802</v>
      </c>
      <c r="CE11" s="19" t="n">
        <f aca="false">CE9-CE10</f>
        <v>458.718649302081</v>
      </c>
      <c r="CF11" s="19" t="n">
        <f aca="false">CF9-CF10</f>
        <v>438.66898691664</v>
      </c>
      <c r="CG11" s="19" t="n">
        <f aca="false">CG9-CG10</f>
        <v>418.398998570919</v>
      </c>
      <c r="CH11" s="19" t="n">
        <f aca="false">CH9-CH10</f>
        <v>398.459499165617</v>
      </c>
      <c r="CI11" s="19" t="n">
        <f aca="false">CI9-CI10</f>
        <v>378.189510819896</v>
      </c>
      <c r="CJ11" s="19" t="n">
        <f aca="false">CJ9-CJ10</f>
        <v>358.250011414594</v>
      </c>
      <c r="CK11" s="19" t="n">
        <f aca="false">CK9-CK10</f>
        <v>337.980023068873</v>
      </c>
      <c r="CL11" s="19" t="n">
        <f aca="false">CL9-CL10</f>
        <v>318.040523663571</v>
      </c>
      <c r="CM11" s="19" t="n">
        <f aca="false">CM9-CM10</f>
        <v>297.77053531785</v>
      </c>
      <c r="CN11" s="19" t="n">
        <f aca="false">CN9-CN10</f>
        <v>277.720872932408</v>
      </c>
      <c r="CO11" s="19" t="n">
        <f aca="false">CO9-CO10</f>
        <v>257.450884586687</v>
      </c>
      <c r="CP11" s="19" t="n">
        <f aca="false">CP9-CP10</f>
        <v>237.511385181385</v>
      </c>
      <c r="CQ11" s="19" t="n">
        <f aca="false">CQ9-CQ10</f>
        <v>217.241396835664</v>
      </c>
      <c r="CR11" s="19" t="n">
        <f aca="false">CR9-CR10</f>
        <v>197.301897430362</v>
      </c>
      <c r="CS11" s="19" t="n">
        <f aca="false">CS9-CS10</f>
        <v>177.031909084641</v>
      </c>
      <c r="CT11" s="19" t="n">
        <f aca="false">CT9-CT10</f>
        <v>157.092409679339</v>
      </c>
      <c r="CU11" s="19" t="n">
        <f aca="false">CU9-CU10</f>
        <v>136.822421333618</v>
      </c>
      <c r="CV11" s="19" t="n">
        <f aca="false">CV9-CV10</f>
        <v>116.772758948176</v>
      </c>
      <c r="CW11" s="19" t="n">
        <f aca="false">CW9-CW10</f>
        <v>96.5027706024551</v>
      </c>
      <c r="CX11" s="19" t="n">
        <f aca="false">CX9-CX10</f>
        <v>76.5632711971533</v>
      </c>
      <c r="CY11" s="19" t="n">
        <f aca="false">CY9-CY10</f>
        <v>56.2932828514322</v>
      </c>
      <c r="CZ11" s="19" t="n">
        <f aca="false">CZ9-CZ10</f>
        <v>36.3537834461304</v>
      </c>
      <c r="DA11" s="19" t="n">
        <f aca="false">DA9-DA10</f>
        <v>16.0837951004092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503.839987510888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2.8116132743953</v>
      </c>
      <c r="AK13" s="19" t="n">
        <f aca="false">Debt!AK97*(1-Time!AK20)</f>
        <v>2.85668373568745</v>
      </c>
      <c r="AL13" s="19" t="n">
        <f aca="false">Debt!AL97*(1-Time!AL20)</f>
        <v>2.82427339114838</v>
      </c>
      <c r="AM13" s="19" t="n">
        <f aca="false">Debt!AM97*(1-Time!AM20)</f>
        <v>2.88532198531315</v>
      </c>
      <c r="AN13" s="19" t="n">
        <f aca="false">Debt!AN97*(1-Time!AN20)</f>
        <v>2.8525867271248</v>
      </c>
      <c r="AO13" s="19" t="n">
        <f aca="false">Debt!AO97*(1-Time!AO20)</f>
        <v>2.91424733334297</v>
      </c>
      <c r="AP13" s="19" t="n">
        <f aca="false">Debt!AP97*(1-Time!AP20)</f>
        <v>2.88118390424657</v>
      </c>
      <c r="AQ13" s="19" t="n">
        <f aca="false">Debt!AQ97*(1-Time!AQ20)</f>
        <v>2.94346265793794</v>
      </c>
      <c r="AR13" s="19" t="n">
        <f aca="false">Debt!AR97*(1-Time!AR20)</f>
        <v>2.92614549049595</v>
      </c>
      <c r="AS13" s="19" t="n">
        <f aca="false">Debt!AS97*(1-Time!AS20)</f>
        <v>2.97305191545334</v>
      </c>
      <c r="AT13" s="19" t="n">
        <f aca="false">Debt!AT97*(1-Time!AT20)</f>
        <v>2.93932132228033</v>
      </c>
      <c r="AU13" s="19" t="n">
        <f aca="false">Debt!AU97*(1-Time!AU20)</f>
        <v>3.00285675588465</v>
      </c>
      <c r="AV13" s="19" t="n">
        <f aca="false">Debt!AV97*(1-Time!AV20)</f>
        <v>2.96878801357206</v>
      </c>
      <c r="AW13" s="19" t="n">
        <f aca="false">Debt!AW97*(1-Time!AW20)</f>
        <v>3.03296038979095</v>
      </c>
      <c r="AX13" s="19" t="n">
        <f aca="false">Debt!AX97*(1-Time!AX20)</f>
        <v>9.17556333168628</v>
      </c>
      <c r="AY13" s="19" t="n">
        <f aca="false">Debt!AY97*(1-Time!AY20)</f>
        <v>9.32656743525906</v>
      </c>
      <c r="AZ13" s="19" t="n">
        <f aca="false">Debt!AZ97*(1-Time!AZ20)</f>
        <v>9.22519170226712</v>
      </c>
      <c r="BA13" s="19" t="n">
        <f aca="false">Debt!BA97*(1-Time!BA20)</f>
        <v>9.32656743525906</v>
      </c>
      <c r="BB13" s="19" t="n">
        <f aca="false">Debt!BB97*(1-Time!BB20)</f>
        <v>9.17450383577114</v>
      </c>
      <c r="BC13" s="19" t="n">
        <f aca="false">Debt!BC97*(1-Time!BC20)</f>
        <v>9.32656743525906</v>
      </c>
      <c r="BD13" s="19" t="n">
        <f aca="false">Debt!BD97*(1-Time!BD20)</f>
        <v>9.13565970536364</v>
      </c>
      <c r="BE13" s="19" t="n">
        <f aca="false">Debt!BE97*(1-Time!BE20)</f>
        <v>9.24440323988951</v>
      </c>
      <c r="BF13" s="19" t="n">
        <f aca="false">Debt!BF97*(1-Time!BF20)</f>
        <v>9.03108227377382</v>
      </c>
      <c r="BG13" s="19" t="n">
        <f aca="false">Debt!BG97*(1-Time!BG20)</f>
        <v>9.12247598997528</v>
      </c>
      <c r="BH13" s="19" t="n">
        <f aca="false">Debt!BH97*(1-Time!BH20)</f>
        <v>8.9741937294168</v>
      </c>
      <c r="BI13" s="19" t="n">
        <f aca="false">Debt!BI97*(1-Time!BI20)</f>
        <v>9.02026774786226</v>
      </c>
      <c r="BJ13" s="19" t="n">
        <f aca="false">Debt!BJ97*(1-Time!BJ20)</f>
        <v>8.81611574541256</v>
      </c>
      <c r="BK13" s="19" t="n">
        <f aca="false">Debt!BK97*(1-Time!BK20)</f>
        <v>8.90148274511069</v>
      </c>
      <c r="BL13" s="19" t="n">
        <f aca="false">Debt!BL97*(1-Time!BL20)</f>
        <v>8.69051859124551</v>
      </c>
      <c r="BM13" s="19" t="n">
        <f aca="false">Debt!BM97*(1-Time!BM20)</f>
        <v>8.764826004397</v>
      </c>
      <c r="BN13" s="19" t="n">
        <f aca="false">Debt!BN97*(1-Time!BN20)</f>
        <v>8.54679613795078</v>
      </c>
      <c r="BO13" s="19" t="n">
        <f aca="false">Debt!BO97*(1-Time!BO20)</f>
        <v>8.6091878645263</v>
      </c>
      <c r="BP13" s="19" t="n">
        <f aca="false">Debt!BP97*(1-Time!BP20)</f>
        <v>8.49294484315163</v>
      </c>
      <c r="BQ13" s="19" t="n">
        <f aca="false">Debt!BQ97*(1-Time!BQ20)</f>
        <v>8.56065060198675</v>
      </c>
      <c r="BR13" s="19" t="n">
        <f aca="false">Debt!BR97*(1-Time!BR20)</f>
        <v>8.389526609123</v>
      </c>
      <c r="BS13" s="19" t="n">
        <f aca="false">Debt!BS97*(1-Time!BS20)</f>
        <v>8.49599850243945</v>
      </c>
      <c r="BT13" s="19" t="n">
        <f aca="false">Debt!BT97*(1-Time!BT20)</f>
        <v>8.3184727428537</v>
      </c>
      <c r="BU13" s="19" t="n">
        <f aca="false">Debt!BU97*(1-Time!BU20)</f>
        <v>8.41617172350905</v>
      </c>
      <c r="BV13" s="19" t="n">
        <f aca="false">Debt!BV97*(1-Time!BV20)</f>
        <v>8.11818116111879</v>
      </c>
      <c r="BW13" s="19" t="n">
        <f aca="false">Debt!BW97*(1-Time!BW20)</f>
        <v>8.08725263159275</v>
      </c>
      <c r="BX13" s="19" t="n">
        <f aca="false">Debt!BX97*(1-Time!BX20)</f>
        <v>7.86910737038881</v>
      </c>
      <c r="BY13" s="19" t="n">
        <f aca="false">Debt!BY97*(1-Time!BY20)</f>
        <v>7.83135895747007</v>
      </c>
      <c r="BZ13" s="19" t="n">
        <f aca="false">Debt!BZ97*(1-Time!BZ20)</f>
        <v>7.57312431007247</v>
      </c>
      <c r="CA13" s="19" t="n">
        <f aca="false">Debt!CA97*(1-Time!CA20)</f>
        <v>7.56470178251401</v>
      </c>
      <c r="CB13" s="19" t="n">
        <f aca="false">Debt!CB97*(1-Time!CB20)</f>
        <v>7.3404606841772</v>
      </c>
      <c r="CC13" s="19" t="n">
        <f aca="false">Debt!CC97*(1-Time!CC20)</f>
        <v>7.35879435559696</v>
      </c>
      <c r="CD13" s="19" t="n">
        <f aca="false">Debt!CD97*(1-Time!CD20)</f>
        <v>7.12769434111314</v>
      </c>
      <c r="CE13" s="19" t="n">
        <f aca="false">Debt!CE97*(1-Time!CE20)</f>
        <v>7.13211899821605</v>
      </c>
      <c r="CF13" s="19" t="n">
        <f aca="false">Debt!CF97*(1-Time!CF20)</f>
        <v>6.95166837612384</v>
      </c>
      <c r="CG13" s="19" t="n">
        <f aca="false">Debt!CG97*(1-Time!CG20)</f>
        <v>6.92257293174379</v>
      </c>
      <c r="CH13" s="19" t="n">
        <f aca="false">Debt!CH97*(1-Time!CH20)</f>
        <v>6.58363495017767</v>
      </c>
      <c r="CI13" s="19" t="n">
        <f aca="false">Debt!CI97*(1-Time!CI20)</f>
        <v>6.53488660319522</v>
      </c>
      <c r="CJ13" s="19" t="n">
        <f aca="false">Debt!CJ97*(1-Time!CJ20)</f>
        <v>6.26167704527167</v>
      </c>
      <c r="CK13" s="19" t="n">
        <f aca="false">Debt!CK97*(1-Time!CK20)</f>
        <v>6.1950656584266</v>
      </c>
      <c r="CL13" s="19" t="n">
        <f aca="false">Debt!CL97*(1-Time!CL20)</f>
        <v>5.85938082294508</v>
      </c>
      <c r="CM13" s="19" t="n">
        <f aca="false">Debt!CM97*(1-Time!CM20)</f>
        <v>5.7511928941435</v>
      </c>
      <c r="CN13" s="19" t="n">
        <f aca="false">Debt!CN97*(1-Time!CN20)</f>
        <v>5.53472837057365</v>
      </c>
      <c r="CO13" s="19" t="n">
        <f aca="false">Debt!CO97*(1-Time!CO20)</f>
        <v>5.43758494538121</v>
      </c>
      <c r="CP13" s="19" t="n">
        <f aca="false">Debt!CP97*(1-Time!CP20)</f>
        <v>5.18136935489412</v>
      </c>
      <c r="CQ13" s="19" t="n">
        <f aca="false">Debt!CQ97*(1-Time!CQ20)</f>
        <v>4.94383320272714</v>
      </c>
      <c r="CR13" s="19" t="n">
        <f aca="false">Debt!CR97*(1-Time!CR20)</f>
        <v>4.52120642492404</v>
      </c>
      <c r="CS13" s="19" t="n">
        <f aca="false">Debt!CS97*(1-Time!CS20)</f>
        <v>4.24678623192597</v>
      </c>
      <c r="CT13" s="19" t="n">
        <f aca="false">Debt!CT97*(1-Time!CT20)</f>
        <v>3.59362438222213</v>
      </c>
      <c r="CU13" s="19" t="n">
        <f aca="false">Debt!CU97*(1-Time!CU20)</f>
        <v>3.22904292237039</v>
      </c>
      <c r="CV13" s="19" t="n">
        <f aca="false">Debt!CV97*(1-Time!CV20)</f>
        <v>2.79077359262947</v>
      </c>
      <c r="CW13" s="19" t="n">
        <f aca="false">Debt!CW97*(1-Time!CW20)</f>
        <v>2.41073247360044</v>
      </c>
      <c r="CX13" s="19" t="n">
        <f aca="false">Debt!CX97*(1-Time!CX20)</f>
        <v>1.94243249470029</v>
      </c>
      <c r="CY13" s="19" t="n">
        <f aca="false">Debt!CY97*(1-Time!CY20)</f>
        <v>1.53821618017389</v>
      </c>
      <c r="CZ13" s="19" t="n">
        <f aca="false">Debt!CZ97*(1-Time!CZ20)</f>
        <v>1.05475626259266</v>
      </c>
      <c r="DA13" s="19" t="n">
        <f aca="false">Debt!DA97*(1-Time!DA20)</f>
        <v>0.605919832088993</v>
      </c>
      <c r="DB13" s="19" t="n">
        <f aca="false">Debt!DB97*(1-Time!DB20)</f>
        <v>5.09015891354578E-013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281.980307595837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29.9192095790537</v>
      </c>
      <c r="AF14" s="19" t="n">
        <f aca="false">Waterfall!AF54*(1-Time!AF20)</f>
        <v>32.0958001758757</v>
      </c>
      <c r="AG14" s="19" t="n">
        <f aca="false">Waterfall!AG54*(1-Time!AG20)</f>
        <v>34.2862043296783</v>
      </c>
      <c r="AH14" s="19" t="n">
        <f aca="false">Waterfall!AH54*(1-Time!AH20)</f>
        <v>35.4699156240656</v>
      </c>
      <c r="AI14" s="19" t="n">
        <f aca="false">Waterfall!AI54*(1-Time!AI20)</f>
        <v>37.890589048384</v>
      </c>
      <c r="AJ14" s="19" t="n">
        <f aca="false">Waterfall!AJ54*(1-Time!AJ20)</f>
        <v>0</v>
      </c>
      <c r="AK14" s="19" t="n">
        <f aca="false">Waterfall!AK54*(1-Time!AK20)</f>
        <v>0</v>
      </c>
      <c r="AL14" s="19" t="n">
        <f aca="false">Waterfall!AL54*(1-Time!AL20)</f>
        <v>0</v>
      </c>
      <c r="AM14" s="19" t="n">
        <f aca="false">Waterfall!AM54*(1-Time!AM20)</f>
        <v>0</v>
      </c>
      <c r="AN14" s="19" t="n">
        <f aca="false">Waterfall!AN54*(1-Time!AN20)</f>
        <v>0</v>
      </c>
      <c r="AO14" s="19" t="n">
        <f aca="false">Waterfall!AO54*(1-Time!AO20)</f>
        <v>0</v>
      </c>
      <c r="AP14" s="19" t="n">
        <f aca="false">Waterfall!AP54*(1-Time!AP20)</f>
        <v>0</v>
      </c>
      <c r="AQ14" s="19" t="n">
        <f aca="false">Waterfall!AQ54*(1-Time!AQ20)</f>
        <v>0</v>
      </c>
      <c r="AR14" s="19" t="n">
        <f aca="false">Waterfall!AR54*(1-Time!AR20)</f>
        <v>0</v>
      </c>
      <c r="AS14" s="19" t="n">
        <f aca="false">Waterfall!AS54*(1-Time!AS20)</f>
        <v>0</v>
      </c>
      <c r="AT14" s="19" t="n">
        <f aca="false">Waterfall!AT54*(1-Time!AT20)</f>
        <v>0</v>
      </c>
      <c r="AU14" s="19" t="n">
        <f aca="false">Waterfall!AU54*(1-Time!AU20)</f>
        <v>0</v>
      </c>
      <c r="AV14" s="19" t="n">
        <f aca="false">Waterfall!AV54*(1-Time!AV20)</f>
        <v>0</v>
      </c>
      <c r="AW14" s="19" t="n">
        <f aca="false">Waterfall!AW54*(1-Time!AW20)</f>
        <v>0</v>
      </c>
      <c r="AX14" s="19" t="n">
        <f aca="false">Waterfall!AX54*(1-Time!AX20)</f>
        <v>0</v>
      </c>
      <c r="AY14" s="19" t="n">
        <f aca="false">Waterfall!AY54*(1-Time!AY20)</f>
        <v>0</v>
      </c>
      <c r="AZ14" s="19" t="n">
        <f aca="false">Waterfall!AZ54*(1-Time!AZ20)</f>
        <v>0</v>
      </c>
      <c r="BA14" s="19" t="n">
        <f aca="false">Waterfall!BA54*(1-Time!BA20)</f>
        <v>0</v>
      </c>
      <c r="BB14" s="19" t="n">
        <f aca="false">Waterfall!BB54*(1-Time!BB20)</f>
        <v>0</v>
      </c>
      <c r="BC14" s="19" t="n">
        <f aca="false">Waterfall!BC54*(1-Time!BC20)</f>
        <v>0</v>
      </c>
      <c r="BD14" s="19" t="n">
        <f aca="false">Waterfall!BD54*(1-Time!BD20)</f>
        <v>0</v>
      </c>
      <c r="BE14" s="19" t="n">
        <f aca="false">Waterfall!BE54*(1-Time!BE20)</f>
        <v>0</v>
      </c>
      <c r="BF14" s="19" t="n">
        <f aca="false">Waterfall!BF54*(1-Time!BF20)</f>
        <v>0</v>
      </c>
      <c r="BG14" s="19" t="n">
        <f aca="false">Waterfall!BG54*(1-Time!BG20)</f>
        <v>0</v>
      </c>
      <c r="BH14" s="19" t="n">
        <f aca="false">Waterfall!BH54*(1-Time!BH20)</f>
        <v>0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2623.28197975425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-22.6391594653339</v>
      </c>
      <c r="AA15" s="19" t="n">
        <f aca="false">(Operations!AA32-Operations!AA36-Reserves!AA22-AA8-Debt!AA64-AA13-AA14-Debt!AA65)*(1-Time!AA20)</f>
        <v>-64.3791852737254</v>
      </c>
      <c r="AB15" s="19" t="n">
        <f aca="false">(Operations!AB32-Operations!AB36-Reserves!AB22-AB8-Debt!AB64-AB13-AB14-Debt!AB65)*(1-Time!AB20)</f>
        <v>-74.0002182013539</v>
      </c>
      <c r="AC15" s="19" t="n">
        <f aca="false">(Operations!AC32-Operations!AC36-Reserves!AC22-AC8-Debt!AC64-AC13-AC14-Debt!AC65)*(1-Time!AC20)</f>
        <v>-67.8750579637431</v>
      </c>
      <c r="AD15" s="19" t="n">
        <f aca="false">(Operations!AD32-Operations!AD36-Reserves!AD22-AD8-Debt!AD64-AD13-AD14-Debt!AD65)*(1-Time!AD20)</f>
        <v>-67.1156928807535</v>
      </c>
      <c r="AE15" s="19" t="n">
        <f aca="false">(Operations!AE32-Operations!AE36-Reserves!AE22-AE8-Debt!AE64-AE13-AE14-Debt!AE65)*(1-Time!AE20)</f>
        <v>-65.6330974647196</v>
      </c>
      <c r="AF15" s="19" t="n">
        <f aca="false">(Operations!AF32-Operations!AF36-Reserves!AF22-AF8-Debt!AF64-AF13-AF14-Debt!AF65)*(1-Time!AF20)</f>
        <v>-72.3770871461195</v>
      </c>
      <c r="AG15" s="19" t="n">
        <f aca="false">(Operations!AG32-Operations!AG36-Reserves!AG22-AG8-Debt!AG64-AG13-AG14-Debt!AG65)*(1-Time!AG20)</f>
        <v>-69.1896941553038</v>
      </c>
      <c r="AH15" s="19" t="n">
        <f aca="false">(Operations!AH32-Operations!AH36-Reserves!AH22-AH8-Debt!AH64-AH13-AH14-Debt!AH65)*(1-Time!AH20)</f>
        <v>-70.2380541520366</v>
      </c>
      <c r="AI15" s="19" t="n">
        <f aca="false">(Operations!AI32-Operations!AI36-Reserves!AI22-AI8-Debt!AI64-AI13-AI14-Debt!AI65)*(1-Time!AI20)</f>
        <v>-69.2225459028932</v>
      </c>
      <c r="AJ15" s="19" t="n">
        <f aca="false">(Operations!AJ32-Operations!AJ36-Reserves!AJ22-AJ8-Debt!AJ64-AJ13-AJ14-Debt!AJ65)*(1-Time!AJ20)</f>
        <v>-3.42597000750427</v>
      </c>
      <c r="AK15" s="19" t="n">
        <f aca="false">(Operations!AK32-Operations!AK36-Reserves!AK22-AK8-Debt!AK64-AK13-AK14-Debt!AK65)*(1-Time!AK20)</f>
        <v>0.242000827190089</v>
      </c>
      <c r="AL15" s="19" t="n">
        <f aca="false">(Operations!AL32-Operations!AL36-Reserves!AL22-AL8-Debt!AL64-AL13-AL14-Debt!AL65)*(1-Time!AL20)</f>
        <v>-0.0650791607536285</v>
      </c>
      <c r="AM15" s="19" t="n">
        <f aca="false">(Operations!AM32-Operations!AM36-Reserves!AM22-AM8-Debt!AM64-AM13-AM14-Debt!AM65)*(1-Time!AM20)</f>
        <v>2.60828540818295</v>
      </c>
      <c r="AN15" s="19" t="n">
        <f aca="false">(Operations!AN32-Operations!AN36-Reserves!AN22-AN8-Debt!AN64-AN13-AN14-Debt!AN65)*(1-Time!AN20)</f>
        <v>2.3095337854453</v>
      </c>
      <c r="AO15" s="19" t="n">
        <f aca="false">(Operations!AO32-Operations!AO36-Reserves!AO22-AO8-Debt!AO64-AO13-AO14-Debt!AO65)*(1-Time!AO20)</f>
        <v>-15.8999397477441</v>
      </c>
      <c r="AP15" s="19" t="n">
        <f aca="false">(Operations!AP32-Operations!AP36-Reserves!AP22-AP8-Debt!AP64-AP13-AP14-Debt!AP65)*(1-Time!AP20)</f>
        <v>5.37116188187077</v>
      </c>
      <c r="AQ15" s="19" t="n">
        <f aca="false">(Operations!AQ32-Operations!AQ36-Reserves!AQ22-AQ8-Debt!AQ64-AQ13-AQ14-Debt!AQ65)*(1-Time!AQ20)</f>
        <v>7.44749051941288</v>
      </c>
      <c r="AR15" s="19" t="n">
        <f aca="false">(Operations!AR32-Operations!AR36-Reserves!AR22-AR8-Debt!AR64-AR13-AR14-Debt!AR65)*(1-Time!AR20)</f>
        <v>8.60991832701567</v>
      </c>
      <c r="AS15" s="19" t="n">
        <f aca="false">(Operations!AS32-Operations!AS36-Reserves!AS22-AS8-Debt!AS64-AS13-AS14-Debt!AS65)*(1-Time!AS20)</f>
        <v>10.5506139824071</v>
      </c>
      <c r="AT15" s="19" t="n">
        <f aca="false">(Operations!AT32-Operations!AT36-Reserves!AT22-AT8-Debt!AT64-AT13-AT14-Debt!AT65)*(1-Time!AT20)</f>
        <v>11.6166423718407</v>
      </c>
      <c r="AU15" s="19" t="n">
        <f aca="false">(Operations!AU32-Operations!AU36-Reserves!AU22-AU8-Debt!AU64-AU13-AU14-Debt!AU65)*(1-Time!AU20)</f>
        <v>13.8232835751028</v>
      </c>
      <c r="AV15" s="19" t="n">
        <f aca="false">(Operations!AV32-Operations!AV36-Reserves!AV22-AV8-Debt!AV64-AV13-AV14-Debt!AV65)*(1-Time!AV20)</f>
        <v>14.9455083437173</v>
      </c>
      <c r="AW15" s="19" t="n">
        <f aca="false">(Operations!AW32-Operations!AW36-Reserves!AW22-AW8-Debt!AW64-AW13-AW14-Debt!AW65)*(1-Time!AW20)</f>
        <v>-47.1972402810769</v>
      </c>
      <c r="AX15" s="19" t="n">
        <f aca="false">(Operations!AX32-Operations!AX36-Reserves!AX22-AX8-Debt!AX64-AX13-AX14-Debt!AX65)*(1-Time!AX20)</f>
        <v>11.8650466333613</v>
      </c>
      <c r="AY15" s="19" t="n">
        <f aca="false">(Operations!AY32-Operations!AY36-Reserves!AY22-AY8-Debt!AY64-AY13-AY14-Debt!AY65)*(1-Time!AY20)</f>
        <v>13.9796730697351</v>
      </c>
      <c r="AZ15" s="19" t="n">
        <f aca="false">(Operations!AZ32-Operations!AZ36-Reserves!AZ22-AZ8-Debt!AZ64-AZ13-AZ14-Debt!AZ65)*(1-Time!AZ20)</f>
        <v>14.5841046481795</v>
      </c>
      <c r="BA15" s="19" t="n">
        <f aca="false">(Operations!BA32-Operations!BA36-Reserves!BA22-BA8-Debt!BA64-BA13-BA14-Debt!BA65)*(1-Time!BA20)</f>
        <v>16.6440000545463</v>
      </c>
      <c r="BB15" s="19" t="n">
        <f aca="false">(Operations!BB32-Operations!BB36-Reserves!BB22-BB8-Debt!BB64-BB13-BB14-Debt!BB65)*(1-Time!BB20)</f>
        <v>17.1044370449349</v>
      </c>
      <c r="BC15" s="19" t="n">
        <f aca="false">(Operations!BC32-Operations!BC36-Reserves!BC22-BC8-Debt!BC64-BC13-BC14-Debt!BC65)*(1-Time!BC20)</f>
        <v>-32.5702795319618</v>
      </c>
      <c r="BD15" s="19" t="n">
        <f aca="false">(Operations!BD32-Operations!BD36-Reserves!BD22-BD8-Debt!BD64-BD13-BD14-Debt!BD65)*(1-Time!BD20)</f>
        <v>20.0679037471123</v>
      </c>
      <c r="BE15" s="19" t="n">
        <f aca="false">(Operations!BE32-Operations!BE36-Reserves!BE22-BE8-Debt!BE64-BE13-BE14-Debt!BE65)*(1-Time!BE20)</f>
        <v>-1.84422964109663</v>
      </c>
      <c r="BF15" s="19" t="n">
        <f aca="false">(Operations!BF32-Operations!BF36-Reserves!BF22-BF8-Debt!BF64-BF13-BF14-Debt!BF65)*(1-Time!BF20)</f>
        <v>23.454149782768</v>
      </c>
      <c r="BG15" s="19" t="n">
        <f aca="false">(Operations!BG32-Operations!BG36-Reserves!BG22-BG8-Debt!BG64-BG13-BG14-Debt!BG65)*(1-Time!BG20)</f>
        <v>26.3115780783946</v>
      </c>
      <c r="BH15" s="19" t="n">
        <f aca="false">(Operations!BH32-Operations!BH36-Reserves!BH22-BH8-Debt!BH64-BH13-BH14-Debt!BH65)*(1-Time!BH20)</f>
        <v>27.205522560682</v>
      </c>
      <c r="BI15" s="19" t="n">
        <f aca="false">(Operations!BI32-Operations!BI36-Reserves!BI22-BI8-Debt!BI64-BI13-BI14-Debt!BI65)*(1-Time!BI20)</f>
        <v>29.9585773372797</v>
      </c>
      <c r="BJ15" s="19" t="n">
        <f aca="false">(Operations!BJ32-Operations!BJ36-Reserves!BJ22-BJ8-Debt!BJ64-BJ13-BJ14-Debt!BJ65)*(1-Time!BJ20)</f>
        <v>30.6829432517552</v>
      </c>
      <c r="BK15" s="19" t="n">
        <f aca="false">(Operations!BK32-Operations!BK36-Reserves!BK22-BK8-Debt!BK64-BK13-BK14-Debt!BK65)*(1-Time!BK20)</f>
        <v>33.8300326080163</v>
      </c>
      <c r="BL15" s="19" t="n">
        <f aca="false">(Operations!BL32-Operations!BL36-Reserves!BL22-BL8-Debt!BL64-BL13-BL14-Debt!BL65)*(1-Time!BL20)</f>
        <v>34.5944872876455</v>
      </c>
      <c r="BM15" s="19" t="n">
        <f aca="false">(Operations!BM32-Operations!BM36-Reserves!BM22-BM8-Debt!BM64-BM13-BM14-Debt!BM65)*(1-Time!BM20)</f>
        <v>37.9401738605692</v>
      </c>
      <c r="BN15" s="19" t="n">
        <f aca="false">(Operations!BN32-Operations!BN36-Reserves!BN22-BN8-Debt!BN64-BN13-BN14-Debt!BN65)*(1-Time!BN20)</f>
        <v>38.7475631206296</v>
      </c>
      <c r="BO15" s="19" t="n">
        <f aca="false">(Operations!BO32-Operations!BO36-Reserves!BO22-BO8-Debt!BO64-BO13-BO14-Debt!BO65)*(1-Time!BO20)</f>
        <v>42.3006981467594</v>
      </c>
      <c r="BP15" s="19" t="n">
        <f aca="false">(Operations!BP32-Operations!BP36-Reserves!BP22-BP8-Debt!BP64-BP13-BP14-Debt!BP65)*(1-Time!BP20)</f>
        <v>43.1899881997626</v>
      </c>
      <c r="BQ15" s="19" t="n">
        <f aca="false">(Operations!BQ32-Operations!BQ36-Reserves!BQ22-BQ8-Debt!BQ64-BQ13-BQ14-Debt!BQ65)*(1-Time!BQ20)</f>
        <v>46.4225132920899</v>
      </c>
      <c r="BR15" s="19" t="n">
        <f aca="false">(Operations!BR32-Operations!BR36-Reserves!BR22-BR8-Debt!BR64-BR13-BR14-Debt!BR65)*(1-Time!BR20)</f>
        <v>46.1608873281661</v>
      </c>
      <c r="BS15" s="19" t="n">
        <f aca="false">(Operations!BS32-Operations!BS36-Reserves!BS22-BS8-Debt!BS64-BS13-BS14-Debt!BS65)*(1-Time!BS20)</f>
        <v>49.8435802845609</v>
      </c>
      <c r="BT15" s="19" t="n">
        <f aca="false">(Operations!BT32-Operations!BT36-Reserves!BT22-BT8-Debt!BT64-BT13-BT14-Debt!BT65)*(1-Time!BT20)</f>
        <v>49.585513514328</v>
      </c>
      <c r="BU15" s="19" t="n">
        <f aca="false">(Operations!BU32-Operations!BU36-Reserves!BU22-BU8-Debt!BU64-BU13-BU14-Debt!BU65)*(1-Time!BU20)</f>
        <v>-63.2059537981355</v>
      </c>
      <c r="BV15" s="19" t="n">
        <f aca="false">(Operations!BV32-Operations!BV36-Reserves!BV22-BV8-Debt!BV64-BV13-BV14-Debt!BV65)*(1-Time!BV20)</f>
        <v>53.6428902044967</v>
      </c>
      <c r="BW15" s="19" t="n">
        <f aca="false">(Operations!BW32-Operations!BW36-Reserves!BW22-BW8-Debt!BW64-BW13-BW14-Debt!BW65)*(1-Time!BW20)</f>
        <v>58.146259604839</v>
      </c>
      <c r="BX15" s="19" t="n">
        <f aca="false">(Operations!BX32-Operations!BX36-Reserves!BX22-BX8-Debt!BX64-BX13-BX14-Debt!BX65)*(1-Time!BX20)</f>
        <v>58.5551229423717</v>
      </c>
      <c r="BY15" s="19" t="n">
        <f aca="false">(Operations!BY32-Operations!BY36-Reserves!BY22-BY8-Debt!BY64-BY13-BY14-Debt!BY65)*(1-Time!BY20)</f>
        <v>62.7026893936155</v>
      </c>
      <c r="BZ15" s="19" t="n">
        <f aca="false">(Operations!BZ32-Operations!BZ36-Reserves!BZ22-BZ8-Debt!BZ64-BZ13-BZ14-Debt!BZ65)*(1-Time!BZ20)</f>
        <v>62.7339099926898</v>
      </c>
      <c r="CA15" s="19" t="n">
        <f aca="false">(Operations!CA32-Operations!CA36-Reserves!CA22-CA8-Debt!CA64-CA13-CA14-Debt!CA65)*(1-Time!CA20)</f>
        <v>67.4376393511658</v>
      </c>
      <c r="CB15" s="19" t="n">
        <f aca="false">(Operations!CB32-Operations!CB36-Reserves!CB22-CB8-Debt!CB64-CB13-CB14-Debt!CB65)*(1-Time!CB20)</f>
        <v>67.3249684898206</v>
      </c>
      <c r="CC15" s="19" t="n">
        <f aca="false">(Operations!CC32-Operations!CC36-Reserves!CC22-CC8-Debt!CC64-CC13-CC14-Debt!CC65)*(1-Time!CC20)</f>
        <v>72.1073810845586</v>
      </c>
      <c r="CD15" s="19" t="n">
        <f aca="false">(Operations!CD32-Operations!CD36-Reserves!CD22-CD8-Debt!CD64-CD13-CD14-Debt!CD65)*(1-Time!CD20)</f>
        <v>72.0083949601774</v>
      </c>
      <c r="CE15" s="19" t="n">
        <f aca="false">(Operations!CE32-Operations!CE36-Reserves!CE22-CE8-Debt!CE64-CE13-CE14-Debt!CE65)*(1-Time!CE20)</f>
        <v>77.001845237893</v>
      </c>
      <c r="CF15" s="19" t="n">
        <f aca="false">(Operations!CF32-Operations!CF36-Reserves!CF22-CF8-Debt!CF64-CF13-CF14-Debt!CF65)*(1-Time!CF20)</f>
        <v>77.2801604020758</v>
      </c>
      <c r="CG15" s="19" t="n">
        <f aca="false">(Operations!CG32-Operations!CG36-Reserves!CG22-CG8-Debt!CG64-CG13-CG14-Debt!CG65)*(1-Time!CG20)</f>
        <v>6.6671078870406</v>
      </c>
      <c r="CH15" s="19" t="n">
        <f aca="false">(Operations!CH32-Operations!CH36-Reserves!CH22-CH8-Debt!CH64-CH13-CH14-Debt!CH65)*(1-Time!CH20)</f>
        <v>82.2821172283699</v>
      </c>
      <c r="CI15" s="19" t="n">
        <f aca="false">(Operations!CI32-Operations!CI36-Reserves!CI22-CI8-Debt!CI64-CI13-CI14-Debt!CI65)*(1-Time!CI20)</f>
        <v>87.8416873757615</v>
      </c>
      <c r="CJ15" s="19" t="n">
        <f aca="false">(Operations!CJ32-Operations!CJ36-Reserves!CJ22-CJ8-Debt!CJ64-CJ13-CJ14-Debt!CJ65)*(1-Time!CJ20)</f>
        <v>87.8829416818153</v>
      </c>
      <c r="CK15" s="19" t="n">
        <f aca="false">(Operations!CK32-Operations!CK36-Reserves!CK22-CK8-Debt!CK64-CK13-CK14-Debt!CK65)*(1-Time!CK20)</f>
        <v>56.7068555242268</v>
      </c>
      <c r="CL15" s="19" t="n">
        <f aca="false">(Operations!CL32-Operations!CL36-Reserves!CL22-CL8-Debt!CL64-CL13-CL14-Debt!CL65)*(1-Time!CL20)</f>
        <v>92.5666226386909</v>
      </c>
      <c r="CM15" s="19" t="n">
        <f aca="false">(Operations!CM32-Operations!CM36-Reserves!CM22-CM8-Debt!CM64-CM13-CM14-Debt!CM65)*(1-Time!CM20)</f>
        <v>97.9371258263822</v>
      </c>
      <c r="CN15" s="19" t="n">
        <f aca="false">(Operations!CN32-Operations!CN36-Reserves!CN22-CN8-Debt!CN64-CN13-CN14-Debt!CN65)*(1-Time!CN20)</f>
        <v>97.7423743092334</v>
      </c>
      <c r="CO15" s="19" t="n">
        <f aca="false">(Operations!CO32-Operations!CO36-Reserves!CO22-CO8-Debt!CO64-CO13-CO14-Debt!CO65)*(1-Time!CO20)</f>
        <v>102.707837797323</v>
      </c>
      <c r="CP15" s="19" t="n">
        <f aca="false">(Operations!CP32-Operations!CP36-Reserves!CP22-CP8-Debt!CP64-CP13-CP14-Debt!CP65)*(1-Time!CP20)</f>
        <v>101.942532032708</v>
      </c>
      <c r="CQ15" s="19" t="n">
        <f aca="false">(Operations!CQ32-Operations!CQ36-Reserves!CQ22-CQ8-Debt!CQ64-CQ13-CQ14-Debt!CQ65)*(1-Time!CQ20)</f>
        <v>107.828227003215</v>
      </c>
      <c r="CR15" s="19" t="n">
        <f aca="false">(Operations!CR32-Operations!CR36-Reserves!CR22-CR8-Debt!CR64-CR13-CR14-Debt!CR65)*(1-Time!CR20)</f>
        <v>107.184979550338</v>
      </c>
      <c r="CS15" s="19" t="n">
        <f aca="false">(Operations!CS32-Operations!CS36-Reserves!CS22-CS8-Debt!CS64-CS13-CS14-Debt!CS65)*(1-Time!CS20)</f>
        <v>-3.30708437207718</v>
      </c>
      <c r="CT15" s="19" t="n">
        <f aca="false">(Operations!CT32-Operations!CT36-Reserves!CT22-CT8-Debt!CT64-CT13-CT14-Debt!CT65)*(1-Time!CT20)</f>
        <v>112.866327824924</v>
      </c>
      <c r="CU15" s="19" t="n">
        <f aca="false">(Operations!CU32-Operations!CU36-Reserves!CU22-CU8-Debt!CU64-CU13-CU14-Debt!CU65)*(1-Time!CU20)</f>
        <v>119.318883590277</v>
      </c>
      <c r="CV15" s="19" t="n">
        <f aca="false">(Operations!CV32-Operations!CV36-Reserves!CV22-CV8-Debt!CV64-CV13-CV14-Debt!CV65)*(1-Time!CV20)</f>
        <v>119.268587766571</v>
      </c>
      <c r="CW15" s="19" t="n">
        <f aca="false">(Operations!CW32-Operations!CW36-Reserves!CW22-CW8-Debt!CW64-CW13-CW14-Debt!CW65)*(1-Time!CW20)</f>
        <v>125.25738831631</v>
      </c>
      <c r="CX15" s="19" t="n">
        <f aca="false">(Operations!CX32-Operations!CX36-Reserves!CX22-CX8-Debt!CX64-CX13-CX14-Debt!CX65)*(1-Time!CX20)</f>
        <v>124.517677266751</v>
      </c>
      <c r="CY15" s="19" t="n">
        <f aca="false">(Operations!CY32-Operations!CY36-Reserves!CY22-CY8-Debt!CY64-CY13-CY14-Debt!CY65)*(1-Time!CY20)</f>
        <v>131.433243181983</v>
      </c>
      <c r="CZ15" s="19" t="n">
        <f aca="false">(Operations!CZ32-Operations!CZ36-Reserves!CZ22-CZ8-Debt!CZ64-CZ13-CZ14-Debt!CZ65)*(1-Time!CZ20)</f>
        <v>130.658271427905</v>
      </c>
      <c r="DA15" s="19" t="n">
        <f aca="false">(Operations!DA32-Operations!DA36-Reserves!DA22-DA8-Debt!DA64-DA13-DA14-Debt!DA65)*(1-Time!DA20)</f>
        <v>93.4313778313226</v>
      </c>
      <c r="DB15" s="19" t="n">
        <f aca="false">(Operations!DB32-Operations!DB36-Reserves!DB22-DB8-Debt!DB64-DB13-DB14-Debt!DB65)*(1-Time!DB20)</f>
        <v>-13.5136916977323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22.6391594653339</v>
      </c>
      <c r="AB16" s="19" t="n">
        <f aca="false">AA21</f>
        <v>87.0183447390593</v>
      </c>
      <c r="AC16" s="19" t="n">
        <f aca="false">AB21</f>
        <v>161.018562940413</v>
      </c>
      <c r="AD16" s="19" t="n">
        <f aca="false">AC21</f>
        <v>228.893620904156</v>
      </c>
      <c r="AE16" s="19" t="n">
        <f aca="false">AD21</f>
        <v>296.00931378491</v>
      </c>
      <c r="AF16" s="19" t="n">
        <f aca="false">AE21</f>
        <v>361.642411249629</v>
      </c>
      <c r="AG16" s="19" t="n">
        <f aca="false">AF21</f>
        <v>434.019498395749</v>
      </c>
      <c r="AH16" s="19" t="n">
        <f aca="false">AG21</f>
        <v>503.209192551053</v>
      </c>
      <c r="AI16" s="19" t="n">
        <f aca="false">AH21</f>
        <v>573.447246703089</v>
      </c>
      <c r="AJ16" s="19" t="n">
        <f aca="false">AI21</f>
        <v>0</v>
      </c>
      <c r="AK16" s="19" t="n">
        <f aca="false">AJ21</f>
        <v>3.42597000750427</v>
      </c>
      <c r="AL16" s="19" t="n">
        <f aca="false">AK21</f>
        <v>3.18396918031418</v>
      </c>
      <c r="AM16" s="19" t="n">
        <f aca="false">AL21</f>
        <v>3.24904834106781</v>
      </c>
      <c r="AN16" s="19" t="n">
        <f aca="false">AM21</f>
        <v>0.640762932884865</v>
      </c>
      <c r="AO16" s="19" t="n">
        <f aca="false">AN21</f>
        <v>0</v>
      </c>
      <c r="AP16" s="19" t="n">
        <f aca="false">AO21</f>
        <v>15.8999397477441</v>
      </c>
      <c r="AQ16" s="19" t="n">
        <f aca="false">AP21</f>
        <v>10.5287778658733</v>
      </c>
      <c r="AR16" s="19" t="n">
        <f aca="false">AQ21</f>
        <v>3.08128734646044</v>
      </c>
      <c r="AS16" s="19" t="n">
        <f aca="false">AR21</f>
        <v>0</v>
      </c>
      <c r="AT16" s="19" t="n">
        <f aca="false">AS21</f>
        <v>0</v>
      </c>
      <c r="AU16" s="19" t="n">
        <f aca="false">AT21</f>
        <v>0</v>
      </c>
      <c r="AV16" s="19" t="n">
        <f aca="false">AU21</f>
        <v>0</v>
      </c>
      <c r="AW16" s="19" t="n">
        <f aca="false">AV21</f>
        <v>0</v>
      </c>
      <c r="AX16" s="19" t="n">
        <f aca="false">AW21</f>
        <v>47.1972402810769</v>
      </c>
      <c r="AY16" s="19" t="n">
        <f aca="false">AX21</f>
        <v>35.3321936477156</v>
      </c>
      <c r="AZ16" s="19" t="n">
        <f aca="false">AY21</f>
        <v>21.3525205779805</v>
      </c>
      <c r="BA16" s="19" t="n">
        <f aca="false">AZ21</f>
        <v>6.76841592980104</v>
      </c>
      <c r="BB16" s="19" t="n">
        <f aca="false">BA21</f>
        <v>0</v>
      </c>
      <c r="BC16" s="19" t="n">
        <f aca="false">BB21</f>
        <v>0</v>
      </c>
      <c r="BD16" s="19" t="n">
        <f aca="false">BC21</f>
        <v>32.5702795319618</v>
      </c>
      <c r="BE16" s="19" t="n">
        <f aca="false">BD21</f>
        <v>12.5023757848495</v>
      </c>
      <c r="BF16" s="19" t="n">
        <f aca="false">BE21</f>
        <v>14.3466054259461</v>
      </c>
      <c r="BG16" s="19" t="n">
        <f aca="false">BF21</f>
        <v>0</v>
      </c>
      <c r="BH16" s="19" t="n">
        <f aca="false">BG21</f>
        <v>0</v>
      </c>
      <c r="BI16" s="19" t="n">
        <f aca="false">BH21</f>
        <v>0</v>
      </c>
      <c r="BJ16" s="19" t="n">
        <f aca="false">BI21</f>
        <v>0</v>
      </c>
      <c r="BK16" s="19" t="n">
        <f aca="false">BJ21</f>
        <v>0</v>
      </c>
      <c r="BL16" s="19" t="n">
        <f aca="false">BK21</f>
        <v>0</v>
      </c>
      <c r="BM16" s="19" t="n">
        <f aca="false">BL21</f>
        <v>0</v>
      </c>
      <c r="BN16" s="19" t="n">
        <f aca="false">BM21</f>
        <v>0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63.2059537981355</v>
      </c>
      <c r="BW16" s="19" t="n">
        <f aca="false">BV21</f>
        <v>9.56306359363884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0</v>
      </c>
      <c r="CS16" s="19" t="n">
        <f aca="false">CR21</f>
        <v>0</v>
      </c>
      <c r="CT16" s="19" t="n">
        <f aca="false">CS21</f>
        <v>3.30708437207718</v>
      </c>
      <c r="CU16" s="19" t="n">
        <f aca="false">CT21</f>
        <v>0</v>
      </c>
      <c r="CV16" s="19" t="n">
        <f aca="false">CU21</f>
        <v>0</v>
      </c>
      <c r="CW16" s="19" t="n">
        <f aca="false">CV21</f>
        <v>0</v>
      </c>
      <c r="CX16" s="19" t="n">
        <f aca="false">CW21</f>
        <v>0</v>
      </c>
      <c r="CY16" s="19" t="n">
        <f aca="false">CX21</f>
        <v>0</v>
      </c>
      <c r="CZ16" s="19" t="n">
        <f aca="false">CY21</f>
        <v>0</v>
      </c>
      <c r="DA16" s="19" t="n">
        <f aca="false">CZ21</f>
        <v>0</v>
      </c>
      <c r="DB16" s="19" t="n">
        <f aca="false">DA21</f>
        <v>0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167.51577654035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0.242000827190089</v>
      </c>
      <c r="AL17" s="19" t="n">
        <f aca="false">MIN(AL16,MAX(0,AL15))</f>
        <v>0</v>
      </c>
      <c r="AM17" s="19" t="n">
        <f aca="false">MIN(AM16,MAX(0,AM15))</f>
        <v>2.60828540818295</v>
      </c>
      <c r="AN17" s="19" t="n">
        <f aca="false">MIN(AN16,MAX(0,AN15))</f>
        <v>0.640762932884865</v>
      </c>
      <c r="AO17" s="19" t="n">
        <f aca="false">MIN(AO16,MAX(0,AO15))</f>
        <v>0</v>
      </c>
      <c r="AP17" s="19" t="n">
        <f aca="false">MIN(AP16,MAX(0,AP15))</f>
        <v>5.37116188187077</v>
      </c>
      <c r="AQ17" s="19" t="n">
        <f aca="false">MIN(AQ16,MAX(0,AQ15))</f>
        <v>7.44749051941288</v>
      </c>
      <c r="AR17" s="19" t="n">
        <f aca="false">MIN(AR16,MAX(0,AR15))</f>
        <v>3.08128734646044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11.8650466333613</v>
      </c>
      <c r="AY17" s="19" t="n">
        <f aca="false">MIN(AY16,MAX(0,AY15))</f>
        <v>13.9796730697351</v>
      </c>
      <c r="AZ17" s="19" t="n">
        <f aca="false">MIN(AZ16,MAX(0,AZ15))</f>
        <v>14.5841046481795</v>
      </c>
      <c r="BA17" s="19" t="n">
        <f aca="false">MIN(BA16,MAX(0,BA15))</f>
        <v>6.76841592980104</v>
      </c>
      <c r="BB17" s="19" t="n">
        <f aca="false">MIN(BB16,MAX(0,BB15))</f>
        <v>0</v>
      </c>
      <c r="BC17" s="19" t="n">
        <f aca="false">MIN(BC16,MAX(0,BC15))</f>
        <v>0</v>
      </c>
      <c r="BD17" s="19" t="n">
        <f aca="false">MIN(BD16,MAX(0,BD15))</f>
        <v>20.0679037471123</v>
      </c>
      <c r="BE17" s="19" t="n">
        <f aca="false">MIN(BE16,MAX(0,BE15))</f>
        <v>0</v>
      </c>
      <c r="BF17" s="19" t="n">
        <f aca="false">MIN(BF16,MAX(0,BF15))</f>
        <v>14.3466054259461</v>
      </c>
      <c r="BG17" s="19" t="n">
        <f aca="false">MIN(BG16,MAX(0,BG15))</f>
        <v>0</v>
      </c>
      <c r="BH17" s="19" t="n">
        <f aca="false">MIN(BH16,MAX(0,BH15))</f>
        <v>0</v>
      </c>
      <c r="BI17" s="19" t="n">
        <f aca="false">MIN(BI16,MAX(0,BI15))</f>
        <v>0</v>
      </c>
      <c r="BJ17" s="19" t="n">
        <f aca="false">MIN(BJ16,MAX(0,BJ15))</f>
        <v>0</v>
      </c>
      <c r="BK17" s="19" t="n">
        <f aca="false">MIN(BK16,MAX(0,BK15))</f>
        <v>0</v>
      </c>
      <c r="BL17" s="19" t="n">
        <f aca="false">MIN(BL16,MAX(0,BL15))</f>
        <v>0</v>
      </c>
      <c r="BM17" s="19" t="n">
        <f aca="false">MIN(BM16,MAX(0,BM15))</f>
        <v>0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53.6428902044967</v>
      </c>
      <c r="BW17" s="19" t="n">
        <f aca="false">MIN(BW16,MAX(0,BW15))</f>
        <v>9.56306359363884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3.30708437207718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823.699260844065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22.6391594653339</v>
      </c>
      <c r="AA18" s="19" t="n">
        <f aca="false">MAX(0,-AA15)</f>
        <v>64.3791852737254</v>
      </c>
      <c r="AB18" s="19" t="n">
        <f aca="false">MAX(0,-AB15)</f>
        <v>74.0002182013539</v>
      </c>
      <c r="AC18" s="19" t="n">
        <f aca="false">MAX(0,-AC15)</f>
        <v>67.8750579637431</v>
      </c>
      <c r="AD18" s="19" t="n">
        <f aca="false">MAX(0,-AD15)</f>
        <v>67.1156928807535</v>
      </c>
      <c r="AE18" s="19" t="n">
        <f aca="false">MAX(0,-AE15)</f>
        <v>65.6330974647196</v>
      </c>
      <c r="AF18" s="19" t="n">
        <f aca="false">MAX(0,-AF15)</f>
        <v>72.3770871461195</v>
      </c>
      <c r="AG18" s="19" t="n">
        <f aca="false">MAX(0,-AG15)</f>
        <v>69.1896941553038</v>
      </c>
      <c r="AH18" s="19" t="n">
        <f aca="false">MAX(0,-AH15)</f>
        <v>70.2380541520366</v>
      </c>
      <c r="AI18" s="19" t="n">
        <f aca="false">MAX(0,-AI15)</f>
        <v>69.2225459028932</v>
      </c>
      <c r="AJ18" s="19" t="n">
        <f aca="false">MAX(0,-AJ15)</f>
        <v>3.42597000750427</v>
      </c>
      <c r="AK18" s="19" t="n">
        <f aca="false">MAX(0,-AK15)</f>
        <v>0</v>
      </c>
      <c r="AL18" s="19" t="n">
        <f aca="false">MAX(0,-AL15)</f>
        <v>0.0650791607536285</v>
      </c>
      <c r="AM18" s="19" t="n">
        <f aca="false">MAX(0,-AM15)</f>
        <v>0</v>
      </c>
      <c r="AN18" s="19" t="n">
        <f aca="false">MAX(0,-AN15)</f>
        <v>0</v>
      </c>
      <c r="AO18" s="19" t="n">
        <f aca="false">MAX(0,-AO15)</f>
        <v>15.8999397477441</v>
      </c>
      <c r="AP18" s="19" t="n">
        <f aca="false">MAX(0,-AP15)</f>
        <v>0</v>
      </c>
      <c r="AQ18" s="19" t="n">
        <f aca="false">MAX(0,-AQ15)</f>
        <v>0</v>
      </c>
      <c r="AR18" s="19" t="n">
        <f aca="false">MAX(0,-AR15)</f>
        <v>0</v>
      </c>
      <c r="AS18" s="19" t="n">
        <f aca="false">MAX(0,-AS15)</f>
        <v>0</v>
      </c>
      <c r="AT18" s="19" t="n">
        <f aca="false">MAX(0,-AT15)</f>
        <v>0</v>
      </c>
      <c r="AU18" s="19" t="n">
        <f aca="false">MAX(0,-AU15)</f>
        <v>0</v>
      </c>
      <c r="AV18" s="19" t="n">
        <f aca="false">MAX(0,-AV15)</f>
        <v>0</v>
      </c>
      <c r="AW18" s="19" t="n">
        <f aca="false">MAX(0,-AW15)</f>
        <v>47.1972402810769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32.5702795319618</v>
      </c>
      <c r="BD18" s="19" t="n">
        <f aca="false">MAX(0,-BD15)</f>
        <v>0</v>
      </c>
      <c r="BE18" s="19" t="n">
        <f aca="false">MAX(0,-BE15)</f>
        <v>1.84422964109663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63.2059537981355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0</v>
      </c>
      <c r="CR18" s="19" t="n">
        <f aca="false">MAX(0,-CR15)</f>
        <v>0</v>
      </c>
      <c r="CS18" s="19" t="n">
        <f aca="false">MAX(0,-CS15)</f>
        <v>3.30708437207718</v>
      </c>
      <c r="CT18" s="19" t="n">
        <f aca="false">MAX(0,-CT15)</f>
        <v>0</v>
      </c>
      <c r="CU18" s="19" t="n">
        <f aca="false">MAX(0,-CU15)</f>
        <v>0</v>
      </c>
      <c r="CV18" s="19" t="n">
        <f aca="false">MAX(0,-CV15)</f>
        <v>0</v>
      </c>
      <c r="CW18" s="19" t="n">
        <f aca="false">MAX(0,-CW15)</f>
        <v>0</v>
      </c>
      <c r="CX18" s="19" t="n">
        <f aca="false">MAX(0,-CX15)</f>
        <v>0</v>
      </c>
      <c r="CY18" s="19" t="n">
        <f aca="false">MAX(0,-CY15)</f>
        <v>0</v>
      </c>
      <c r="CZ18" s="19" t="n">
        <f aca="false">MAX(0,-CZ15)</f>
        <v>0</v>
      </c>
      <c r="DA18" s="19" t="n">
        <f aca="false">MAX(0,-DA15)</f>
        <v>0</v>
      </c>
      <c r="DB18" s="19" t="n">
        <f aca="false">MAX(0,-DB15)</f>
        <v>13.5136916977323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884.467954141537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884.467954141537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642.669792605983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642.669792605983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22.6391594653339</v>
      </c>
      <c r="AA21" s="19" t="n">
        <f aca="false">AA16-AA17+AA18-AA20</f>
        <v>87.0183447390593</v>
      </c>
      <c r="AB21" s="19" t="n">
        <f aca="false">AB16-AB17+AB18-AB20</f>
        <v>161.018562940413</v>
      </c>
      <c r="AC21" s="19" t="n">
        <f aca="false">AC16-AC17+AC18-AC20</f>
        <v>228.893620904156</v>
      </c>
      <c r="AD21" s="19" t="n">
        <f aca="false">AD16-AD17+AD18-AD20</f>
        <v>296.00931378491</v>
      </c>
      <c r="AE21" s="19" t="n">
        <f aca="false">AE16-AE17+AE18-AE20</f>
        <v>361.642411249629</v>
      </c>
      <c r="AF21" s="19" t="n">
        <f aca="false">AF16-AF17+AF18-AF20</f>
        <v>434.019498395749</v>
      </c>
      <c r="AG21" s="19" t="n">
        <f aca="false">AG16-AG17+AG18-AG20</f>
        <v>503.209192551053</v>
      </c>
      <c r="AH21" s="19" t="n">
        <f aca="false">AH16-AH17+AH18-AH20</f>
        <v>573.447246703089</v>
      </c>
      <c r="AI21" s="19" t="n">
        <f aca="false">AI16-AI17+AI18-AI20</f>
        <v>0</v>
      </c>
      <c r="AJ21" s="19" t="n">
        <f aca="false">AJ16-AJ17+AJ18-AJ20</f>
        <v>3.42597000750427</v>
      </c>
      <c r="AK21" s="19" t="n">
        <f aca="false">AK16-AK17+AK18-AK20</f>
        <v>3.18396918031418</v>
      </c>
      <c r="AL21" s="19" t="n">
        <f aca="false">AL16-AL17+AL18-AL20</f>
        <v>3.24904834106781</v>
      </c>
      <c r="AM21" s="19" t="n">
        <f aca="false">AM16-AM17+AM18-AM20</f>
        <v>0.640762932884865</v>
      </c>
      <c r="AN21" s="19" t="n">
        <f aca="false">AN16-AN17+AN18-AN20</f>
        <v>0</v>
      </c>
      <c r="AO21" s="19" t="n">
        <f aca="false">AO16-AO17+AO18-AO20</f>
        <v>15.8999397477441</v>
      </c>
      <c r="AP21" s="19" t="n">
        <f aca="false">AP16-AP17+AP18-AP20</f>
        <v>10.5287778658733</v>
      </c>
      <c r="AQ21" s="19" t="n">
        <f aca="false">AQ16-AQ17+AQ18-AQ20</f>
        <v>3.08128734646044</v>
      </c>
      <c r="AR21" s="19" t="n">
        <f aca="false">AR16-AR17+AR18-AR20</f>
        <v>0</v>
      </c>
      <c r="AS21" s="19" t="n">
        <f aca="false">AS16-AS17+AS18-AS20</f>
        <v>0</v>
      </c>
      <c r="AT21" s="19" t="n">
        <f aca="false">AT16-AT17+AT18-AT20</f>
        <v>0</v>
      </c>
      <c r="AU21" s="19" t="n">
        <f aca="false">AU16-AU17+AU18-AU20</f>
        <v>0</v>
      </c>
      <c r="AV21" s="19" t="n">
        <f aca="false">AV16-AV17+AV18-AV20</f>
        <v>0</v>
      </c>
      <c r="AW21" s="19" t="n">
        <f aca="false">AW16-AW17+AW18-AW20</f>
        <v>47.1972402810769</v>
      </c>
      <c r="AX21" s="19" t="n">
        <f aca="false">AX16-AX17+AX18-AX20</f>
        <v>35.3321936477156</v>
      </c>
      <c r="AY21" s="19" t="n">
        <f aca="false">AY16-AY17+AY18-AY20</f>
        <v>21.3525205779805</v>
      </c>
      <c r="AZ21" s="19" t="n">
        <f aca="false">AZ16-AZ17+AZ18-AZ20</f>
        <v>6.76841592980104</v>
      </c>
      <c r="BA21" s="19" t="n">
        <f aca="false">BA16-BA17+BA18-BA20</f>
        <v>0</v>
      </c>
      <c r="BB21" s="19" t="n">
        <f aca="false">BB16-BB17+BB18-BB20</f>
        <v>0</v>
      </c>
      <c r="BC21" s="19" t="n">
        <f aca="false">BC16-BC17+BC18-BC20</f>
        <v>32.5702795319618</v>
      </c>
      <c r="BD21" s="19" t="n">
        <f aca="false">BD16-BD17+BD18-BD20</f>
        <v>12.5023757848495</v>
      </c>
      <c r="BE21" s="19" t="n">
        <f aca="false">BE16-BE17+BE18-BE20</f>
        <v>14.3466054259461</v>
      </c>
      <c r="BF21" s="19" t="n">
        <f aca="false">BF16-BF17+BF18-BF20</f>
        <v>0</v>
      </c>
      <c r="BG21" s="19" t="n">
        <f aca="false">BG16-BG17+BG18-BG20</f>
        <v>0</v>
      </c>
      <c r="BH21" s="19" t="n">
        <f aca="false">BH16-BH17+BH18-BH20</f>
        <v>0</v>
      </c>
      <c r="BI21" s="19" t="n">
        <f aca="false">BI16-BI17+BI18-BI20</f>
        <v>0</v>
      </c>
      <c r="BJ21" s="19" t="n">
        <f aca="false">BJ16-BJ17+BJ18-BJ20</f>
        <v>0</v>
      </c>
      <c r="BK21" s="19" t="n">
        <f aca="false">BK16-BK17+BK18-BK20</f>
        <v>0</v>
      </c>
      <c r="BL21" s="19" t="n">
        <f aca="false">BL16-BL17+BL18-BL20</f>
        <v>0</v>
      </c>
      <c r="BM21" s="19" t="n">
        <f aca="false">BM16-BM17+BM18-BM20</f>
        <v>0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63.2059537981355</v>
      </c>
      <c r="BV21" s="19" t="n">
        <f aca="false">BV16-BV17+BV18-BV20</f>
        <v>9.56306359363884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0</v>
      </c>
      <c r="CR21" s="19" t="n">
        <f aca="false">CR16-CR17+CR18-CR20</f>
        <v>0</v>
      </c>
      <c r="CS21" s="19" t="n">
        <f aca="false">CS16-CS17+CS18-CS20</f>
        <v>3.30708437207718</v>
      </c>
      <c r="CT21" s="19" t="n">
        <f aca="false">CT16-CT17+CT18-CT20</f>
        <v>0</v>
      </c>
      <c r="CU21" s="19" t="n">
        <f aca="false">CU16-CU17+CU18-CU20</f>
        <v>0</v>
      </c>
      <c r="CV21" s="19" t="n">
        <f aca="false">CV16-CV17+CV18-CV20</f>
        <v>0</v>
      </c>
      <c r="CW21" s="19" t="n">
        <f aca="false">CW16-CW17+CW18-CW20</f>
        <v>0</v>
      </c>
      <c r="CX21" s="19" t="n">
        <f aca="false">CX16-CX17+CX18-CX20</f>
        <v>0</v>
      </c>
      <c r="CY21" s="19" t="n">
        <f aca="false">CY16-CY17+CY18-CY20</f>
        <v>0</v>
      </c>
      <c r="CZ21" s="19" t="n">
        <f aca="false">CZ16-CZ17+CZ18-CZ20</f>
        <v>0</v>
      </c>
      <c r="DA21" s="19" t="n">
        <f aca="false">DA16-DA17+DA18-DA20</f>
        <v>0</v>
      </c>
      <c r="DB21" s="19" t="n">
        <f aca="false">DB16-DB17+DB18-DB20</f>
        <v>13.5136916977323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3279.46546405796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1.66877085256043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5.52863098055522</v>
      </c>
      <c r="AS22" s="19" t="n">
        <f aca="false">MAX(0,AS15)-AS17</f>
        <v>10.5506139824071</v>
      </c>
      <c r="AT22" s="19" t="n">
        <f aca="false">MAX(0,AT15)-AT17</f>
        <v>11.6166423718407</v>
      </c>
      <c r="AU22" s="19" t="n">
        <f aca="false">MAX(0,AU15)-AU17</f>
        <v>13.8232835751028</v>
      </c>
      <c r="AV22" s="19" t="n">
        <f aca="false">MAX(0,AV15)-AV17</f>
        <v>14.9455083437173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9.87558412474527</v>
      </c>
      <c r="BB22" s="19" t="n">
        <f aca="false">MAX(0,BB15)-BB17</f>
        <v>17.1044370449349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9.10754435682192</v>
      </c>
      <c r="BG22" s="19" t="n">
        <f aca="false">MAX(0,BG15)-BG17</f>
        <v>26.3115780783946</v>
      </c>
      <c r="BH22" s="19" t="n">
        <f aca="false">MAX(0,BH15)-BH17</f>
        <v>27.205522560682</v>
      </c>
      <c r="BI22" s="19" t="n">
        <f aca="false">MAX(0,BI15)-BI17</f>
        <v>29.9585773372797</v>
      </c>
      <c r="BJ22" s="19" t="n">
        <f aca="false">MAX(0,BJ15)-BJ17</f>
        <v>30.6829432517552</v>
      </c>
      <c r="BK22" s="19" t="n">
        <f aca="false">MAX(0,BK15)-BK17</f>
        <v>33.8300326080163</v>
      </c>
      <c r="BL22" s="19" t="n">
        <f aca="false">MAX(0,BL15)-BL17</f>
        <v>34.5944872876455</v>
      </c>
      <c r="BM22" s="19" t="n">
        <f aca="false">MAX(0,BM15)-BM17</f>
        <v>37.9401738605692</v>
      </c>
      <c r="BN22" s="19" t="n">
        <f aca="false">MAX(0,BN15)-BN17</f>
        <v>38.7475631206296</v>
      </c>
      <c r="BO22" s="19" t="n">
        <f aca="false">MAX(0,BO15)-BO17</f>
        <v>42.3006981467594</v>
      </c>
      <c r="BP22" s="19" t="n">
        <f aca="false">MAX(0,BP15)-BP17</f>
        <v>43.1899881997626</v>
      </c>
      <c r="BQ22" s="19" t="n">
        <f aca="false">MAX(0,BQ15)-BQ17</f>
        <v>46.4225132920899</v>
      </c>
      <c r="BR22" s="19" t="n">
        <f aca="false">MAX(0,BR15)-BR17</f>
        <v>46.1608873281661</v>
      </c>
      <c r="BS22" s="19" t="n">
        <f aca="false">MAX(0,BS15)-BS17</f>
        <v>49.8435802845609</v>
      </c>
      <c r="BT22" s="19" t="n">
        <f aca="false">MAX(0,BT15)-BT17</f>
        <v>49.585513514328</v>
      </c>
      <c r="BU22" s="19" t="n">
        <f aca="false">MAX(0,BU15)-BU17</f>
        <v>0</v>
      </c>
      <c r="BV22" s="19" t="n">
        <f aca="false">MAX(0,BV15)-BV17</f>
        <v>0</v>
      </c>
      <c r="BW22" s="19" t="n">
        <f aca="false">MAX(0,BW15)-BW17</f>
        <v>48.5831960112002</v>
      </c>
      <c r="BX22" s="19" t="n">
        <f aca="false">MAX(0,BX15)-BX17</f>
        <v>58.5551229423717</v>
      </c>
      <c r="BY22" s="19" t="n">
        <f aca="false">MAX(0,BY15)-BY17</f>
        <v>62.7026893936155</v>
      </c>
      <c r="BZ22" s="19" t="n">
        <f aca="false">MAX(0,BZ15)-BZ17</f>
        <v>62.7339099926898</v>
      </c>
      <c r="CA22" s="19" t="n">
        <f aca="false">MAX(0,CA15)-CA17</f>
        <v>67.4376393511658</v>
      </c>
      <c r="CB22" s="19" t="n">
        <f aca="false">MAX(0,CB15)-CB17</f>
        <v>67.3249684898206</v>
      </c>
      <c r="CC22" s="19" t="n">
        <f aca="false">MAX(0,CC15)-CC17</f>
        <v>72.1073810845586</v>
      </c>
      <c r="CD22" s="19" t="n">
        <f aca="false">MAX(0,CD15)-CD17</f>
        <v>72.0083949601774</v>
      </c>
      <c r="CE22" s="19" t="n">
        <f aca="false">MAX(0,CE15)-CE17</f>
        <v>77.001845237893</v>
      </c>
      <c r="CF22" s="19" t="n">
        <f aca="false">MAX(0,CF15)-CF17</f>
        <v>77.2801604020758</v>
      </c>
      <c r="CG22" s="19" t="n">
        <f aca="false">MAX(0,CG15)-CG17</f>
        <v>6.6671078870406</v>
      </c>
      <c r="CH22" s="19" t="n">
        <f aca="false">MAX(0,CH15)-CH17</f>
        <v>82.2821172283699</v>
      </c>
      <c r="CI22" s="19" t="n">
        <f aca="false">MAX(0,CI15)-CI17</f>
        <v>87.8416873757615</v>
      </c>
      <c r="CJ22" s="19" t="n">
        <f aca="false">MAX(0,CJ15)-CJ17</f>
        <v>87.8829416818153</v>
      </c>
      <c r="CK22" s="19" t="n">
        <f aca="false">MAX(0,CK15)-CK17</f>
        <v>56.7068555242268</v>
      </c>
      <c r="CL22" s="19" t="n">
        <f aca="false">MAX(0,CL15)-CL17</f>
        <v>92.5666226386909</v>
      </c>
      <c r="CM22" s="19" t="n">
        <f aca="false">MAX(0,CM15)-CM17</f>
        <v>97.9371258263822</v>
      </c>
      <c r="CN22" s="19" t="n">
        <f aca="false">MAX(0,CN15)-CN17</f>
        <v>97.7423743092334</v>
      </c>
      <c r="CO22" s="19" t="n">
        <f aca="false">MAX(0,CO15)-CO17</f>
        <v>102.707837797323</v>
      </c>
      <c r="CP22" s="19" t="n">
        <f aca="false">MAX(0,CP15)-CP17</f>
        <v>101.942532032708</v>
      </c>
      <c r="CQ22" s="19" t="n">
        <f aca="false">MAX(0,CQ15)-CQ17</f>
        <v>107.828227003215</v>
      </c>
      <c r="CR22" s="19" t="n">
        <f aca="false">MAX(0,CR15)-CR17</f>
        <v>107.184979550338</v>
      </c>
      <c r="CS22" s="19" t="n">
        <f aca="false">MAX(0,CS15)-CS17</f>
        <v>0</v>
      </c>
      <c r="CT22" s="19" t="n">
        <f aca="false">MAX(0,CT15)-CT17</f>
        <v>109.559243452847</v>
      </c>
      <c r="CU22" s="19" t="n">
        <f aca="false">MAX(0,CU15)-CU17</f>
        <v>119.318883590277</v>
      </c>
      <c r="CV22" s="19" t="n">
        <f aca="false">MAX(0,CV15)-CV17</f>
        <v>119.268587766571</v>
      </c>
      <c r="CW22" s="19" t="n">
        <f aca="false">MAX(0,CW15)-CW17</f>
        <v>125.25738831631</v>
      </c>
      <c r="CX22" s="19" t="n">
        <f aca="false">MAX(0,CX15)-CX17</f>
        <v>124.517677266751</v>
      </c>
      <c r="CY22" s="19" t="n">
        <f aca="false">MAX(0,CY15)-CY17</f>
        <v>131.433243181983</v>
      </c>
      <c r="CZ22" s="19" t="n">
        <f aca="false">MAX(0,CZ15)-CZ17</f>
        <v>130.658271427905</v>
      </c>
      <c r="DA22" s="19" t="n">
        <f aca="false">MAX(0,DA15)-DA17</f>
        <v>93.4313778313226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983.839639217389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0.50063125576813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1.65858929416657</v>
      </c>
      <c r="AS23" s="19" t="n">
        <f aca="false">Inputs!$F$158*AS22</f>
        <v>3.16518419472213</v>
      </c>
      <c r="AT23" s="19" t="n">
        <f aca="false">Inputs!$F$158*AT22</f>
        <v>3.48499271155222</v>
      </c>
      <c r="AU23" s="19" t="n">
        <f aca="false">Inputs!$F$158*AU22</f>
        <v>4.14698507253085</v>
      </c>
      <c r="AV23" s="19" t="n">
        <f aca="false">Inputs!$F$158*AV22</f>
        <v>4.48365250311519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2.96267523742358</v>
      </c>
      <c r="BB23" s="19" t="n">
        <f aca="false">Inputs!$F$158*BB22</f>
        <v>5.13133111348047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2.73226330704658</v>
      </c>
      <c r="BG23" s="19" t="n">
        <f aca="false">Inputs!$F$158*BG22</f>
        <v>7.89347342351839</v>
      </c>
      <c r="BH23" s="19" t="n">
        <f aca="false">Inputs!$F$158*BH22</f>
        <v>8.1616567682046</v>
      </c>
      <c r="BI23" s="19" t="n">
        <f aca="false">Inputs!$F$158*BI22</f>
        <v>8.98757320118392</v>
      </c>
      <c r="BJ23" s="19" t="n">
        <f aca="false">Inputs!$F$158*BJ22</f>
        <v>9.20488297552657</v>
      </c>
      <c r="BK23" s="19" t="n">
        <f aca="false">Inputs!$F$158*BK22</f>
        <v>10.1490097824049</v>
      </c>
      <c r="BL23" s="19" t="n">
        <f aca="false">Inputs!$F$158*BL22</f>
        <v>10.3783461862937</v>
      </c>
      <c r="BM23" s="19" t="n">
        <f aca="false">Inputs!$F$158*BM22</f>
        <v>11.3820521581708</v>
      </c>
      <c r="BN23" s="19" t="n">
        <f aca="false">Inputs!$F$158*BN22</f>
        <v>11.6242689361889</v>
      </c>
      <c r="BO23" s="19" t="n">
        <f aca="false">Inputs!$F$158*BO22</f>
        <v>12.6902094440278</v>
      </c>
      <c r="BP23" s="19" t="n">
        <f aca="false">Inputs!$F$158*BP22</f>
        <v>12.9569964599288</v>
      </c>
      <c r="BQ23" s="19" t="n">
        <f aca="false">Inputs!$F$158*BQ22</f>
        <v>13.926753987627</v>
      </c>
      <c r="BR23" s="19" t="n">
        <f aca="false">Inputs!$F$158*BR22</f>
        <v>13.8482661984498</v>
      </c>
      <c r="BS23" s="19" t="n">
        <f aca="false">Inputs!$F$158*BS22</f>
        <v>14.9530740853683</v>
      </c>
      <c r="BT23" s="19" t="n">
        <f aca="false">Inputs!$F$158*BT22</f>
        <v>14.8756540542984</v>
      </c>
      <c r="BU23" s="19" t="n">
        <f aca="false">Inputs!$F$158*BU22</f>
        <v>0</v>
      </c>
      <c r="BV23" s="19" t="n">
        <f aca="false">Inputs!$F$158*BV22</f>
        <v>0</v>
      </c>
      <c r="BW23" s="19" t="n">
        <f aca="false">Inputs!$F$158*BW22</f>
        <v>14.57495880336</v>
      </c>
      <c r="BX23" s="19" t="n">
        <f aca="false">Inputs!$F$158*BX22</f>
        <v>17.5665368827115</v>
      </c>
      <c r="BY23" s="19" t="n">
        <f aca="false">Inputs!$F$158*BY22</f>
        <v>18.8108068180847</v>
      </c>
      <c r="BZ23" s="19" t="n">
        <f aca="false">Inputs!$F$158*BZ22</f>
        <v>18.8201729978069</v>
      </c>
      <c r="CA23" s="19" t="n">
        <f aca="false">Inputs!$F$158*CA22</f>
        <v>20.2312918053498</v>
      </c>
      <c r="CB23" s="19" t="n">
        <f aca="false">Inputs!$F$158*CB22</f>
        <v>20.1974905469462</v>
      </c>
      <c r="CC23" s="19" t="n">
        <f aca="false">Inputs!$F$158*CC22</f>
        <v>21.6322143253676</v>
      </c>
      <c r="CD23" s="19" t="n">
        <f aca="false">Inputs!$F$158*CD22</f>
        <v>21.6025184880532</v>
      </c>
      <c r="CE23" s="19" t="n">
        <f aca="false">Inputs!$F$158*CE22</f>
        <v>23.1005535713679</v>
      </c>
      <c r="CF23" s="19" t="n">
        <f aca="false">Inputs!$F$158*CF22</f>
        <v>23.1840481206227</v>
      </c>
      <c r="CG23" s="19" t="n">
        <f aca="false">Inputs!$F$158*CG22</f>
        <v>2.00013236611218</v>
      </c>
      <c r="CH23" s="19" t="n">
        <f aca="false">Inputs!$F$158*CH22</f>
        <v>24.684635168511</v>
      </c>
      <c r="CI23" s="19" t="n">
        <f aca="false">Inputs!$F$158*CI22</f>
        <v>26.3525062127284</v>
      </c>
      <c r="CJ23" s="19" t="n">
        <f aca="false">Inputs!$F$158*CJ22</f>
        <v>26.3648825045446</v>
      </c>
      <c r="CK23" s="19" t="n">
        <f aca="false">Inputs!$F$158*CK22</f>
        <v>17.012056657268</v>
      </c>
      <c r="CL23" s="19" t="n">
        <f aca="false">Inputs!$F$158*CL22</f>
        <v>27.7699867916073</v>
      </c>
      <c r="CM23" s="19" t="n">
        <f aca="false">Inputs!$F$158*CM22</f>
        <v>29.3811377479147</v>
      </c>
      <c r="CN23" s="19" t="n">
        <f aca="false">Inputs!$F$158*CN22</f>
        <v>29.32271229277</v>
      </c>
      <c r="CO23" s="19" t="n">
        <f aca="false">Inputs!$F$158*CO22</f>
        <v>30.8123513391968</v>
      </c>
      <c r="CP23" s="19" t="n">
        <f aca="false">Inputs!$F$158*CP22</f>
        <v>30.5827596098125</v>
      </c>
      <c r="CQ23" s="19" t="n">
        <f aca="false">Inputs!$F$158*CQ22</f>
        <v>32.3484681009644</v>
      </c>
      <c r="CR23" s="19" t="n">
        <f aca="false">Inputs!$F$158*CR22</f>
        <v>32.1554938651014</v>
      </c>
      <c r="CS23" s="19" t="n">
        <f aca="false">Inputs!$F$158*CS22</f>
        <v>0</v>
      </c>
      <c r="CT23" s="19" t="n">
        <f aca="false">Inputs!$F$158*CT22</f>
        <v>32.867773035854</v>
      </c>
      <c r="CU23" s="19" t="n">
        <f aca="false">Inputs!$F$158*CU22</f>
        <v>35.7956650770832</v>
      </c>
      <c r="CV23" s="19" t="n">
        <f aca="false">Inputs!$F$158*CV22</f>
        <v>35.7805763299713</v>
      </c>
      <c r="CW23" s="19" t="n">
        <f aca="false">Inputs!$F$158*CW22</f>
        <v>37.5772164948931</v>
      </c>
      <c r="CX23" s="19" t="n">
        <f aca="false">Inputs!$F$158*CX22</f>
        <v>37.3553031800254</v>
      </c>
      <c r="CY23" s="19" t="n">
        <f aca="false">Inputs!$F$158*CY22</f>
        <v>39.4299729545948</v>
      </c>
      <c r="CZ23" s="19" t="n">
        <f aca="false">Inputs!$F$158*CZ22</f>
        <v>39.1974814283715</v>
      </c>
      <c r="DA23" s="19" t="n">
        <f aca="false">Inputs!$F$158*DA22</f>
        <v>28.0294133493968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287.399999999999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8.12724082857479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0.924089424657532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0.924089424657532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0.924089424657532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0</v>
      </c>
      <c r="Z39" s="19" t="n">
        <f aca="false">Inputs!$F$227*Time!Z27</f>
        <v>287.4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287.399999999999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3.25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2.72209944751381</v>
      </c>
      <c r="AG7" s="18" t="n">
        <f aca="false">Inputs!$F$102*Time!AG40+Inputs!$F$103*(Time!AG41-Time!AG40)+$F$6*(1-Time!AG41)</f>
        <v>3.25</v>
      </c>
      <c r="AH7" s="18" t="n">
        <f aca="false">Inputs!$F$102*Time!AH40+Inputs!$F$103*(Time!AH41-Time!AH40)+$F$6*(1-Time!AH41)</f>
        <v>3.25</v>
      </c>
      <c r="AI7" s="18" t="n">
        <f aca="false">Inputs!$F$102*Time!AI40+Inputs!$F$103*(Time!AI41-Time!AI40)+$F$6*(1-Time!AI41)</f>
        <v>3.25</v>
      </c>
      <c r="AJ7" s="18" t="n">
        <f aca="false">Inputs!$F$102*Time!AJ40+Inputs!$F$103*(Time!AJ41-Time!AJ40)+$F$6*(1-Time!AJ41)</f>
        <v>3.25</v>
      </c>
      <c r="AK7" s="18" t="n">
        <f aca="false">Inputs!$F$102*Time!AK40+Inputs!$F$103*(Time!AK41-Time!AK40)+$F$6*(1-Time!AK41)</f>
        <v>3.25</v>
      </c>
      <c r="AL7" s="18" t="n">
        <f aca="false">Inputs!$F$102*Time!AL40+Inputs!$F$103*(Time!AL41-Time!AL40)+$F$6*(1-Time!AL41)</f>
        <v>3.25</v>
      </c>
      <c r="AM7" s="18" t="n">
        <f aca="false">Inputs!$F$102*Time!AM40+Inputs!$F$103*(Time!AM41-Time!AM40)+$F$6*(1-Time!AM41)</f>
        <v>3.25</v>
      </c>
      <c r="AN7" s="18" t="n">
        <f aca="false">Inputs!$F$102*Time!AN40+Inputs!$F$103*(Time!AN41-Time!AN40)+$F$6*(1-Time!AN41)</f>
        <v>3.25</v>
      </c>
      <c r="AO7" s="18" t="n">
        <f aca="false">Inputs!$F$102*Time!AO40+Inputs!$F$103*(Time!AO41-Time!AO40)+$F$6*(1-Time!AO41)</f>
        <v>3.25</v>
      </c>
      <c r="AP7" s="18" t="n">
        <f aca="false">Inputs!$F$102*Time!AP40+Inputs!$F$103*(Time!AP41-Time!AP40)+$F$6*(1-Time!AP41)</f>
        <v>3.25</v>
      </c>
      <c r="AQ7" s="18" t="n">
        <f aca="false">Inputs!$F$102*Time!AQ40+Inputs!$F$103*(Time!AQ41-Time!AQ40)+$F$6*(1-Time!AQ41)</f>
        <v>3.25</v>
      </c>
      <c r="AR7" s="18" t="n">
        <f aca="false">Inputs!$F$102*Time!AR40+Inputs!$F$103*(Time!AR41-Time!AR40)+$F$6*(1-Time!AR41)</f>
        <v>3.25</v>
      </c>
      <c r="AS7" s="18" t="n">
        <f aca="false">Inputs!$F$102*Time!AS40+Inputs!$F$103*(Time!AS41-Time!AS40)+$F$6*(1-Time!AS41)</f>
        <v>3.25</v>
      </c>
      <c r="AT7" s="18" t="n">
        <f aca="false">Inputs!$F$102*Time!AT40+Inputs!$F$103*(Time!AT41-Time!AT40)+$F$6*(1-Time!AT41)</f>
        <v>3.25</v>
      </c>
      <c r="AU7" s="18" t="n">
        <f aca="false">Inputs!$F$102*Time!AU40+Inputs!$F$103*(Time!AU41-Time!AU40)+$F$6*(1-Time!AU41)</f>
        <v>3.25</v>
      </c>
      <c r="AV7" s="18" t="n">
        <f aca="false">Inputs!$F$102*Time!AV40+Inputs!$F$103*(Time!AV41-Time!AV40)+$F$6*(1-Time!AV41)</f>
        <v>3.25</v>
      </c>
      <c r="AW7" s="18" t="n">
        <f aca="false">Inputs!$F$102*Time!AW40+Inputs!$F$103*(Time!AW41-Time!AW40)+$F$6*(1-Time!AW41)</f>
        <v>3.25</v>
      </c>
      <c r="AX7" s="18" t="n">
        <f aca="false">Inputs!$F$102*Time!AX40+Inputs!$F$103*(Time!AX41-Time!AX40)+$F$6*(1-Time!AX41)</f>
        <v>3.25</v>
      </c>
      <c r="AY7" s="18" t="n">
        <f aca="false">Inputs!$F$102*Time!AY40+Inputs!$F$103*(Time!AY41-Time!AY40)+$F$6*(1-Time!AY41)</f>
        <v>3.25</v>
      </c>
      <c r="AZ7" s="18" t="n">
        <f aca="false">Inputs!$F$102*Time!AZ40+Inputs!$F$103*(Time!AZ41-Time!AZ40)+$F$6*(1-Time!AZ41)</f>
        <v>3.25</v>
      </c>
      <c r="BA7" s="18" t="n">
        <f aca="false">Inputs!$F$102*Time!BA40+Inputs!$F$103*(Time!BA41-Time!BA40)+$F$6*(1-Time!BA41)</f>
        <v>3.25</v>
      </c>
      <c r="BB7" s="18" t="n">
        <f aca="false">Inputs!$F$102*Time!BB40+Inputs!$F$103*(Time!BB41-Time!BB40)+$F$6*(1-Time!BB41)</f>
        <v>3.25</v>
      </c>
      <c r="BC7" s="18" t="n">
        <f aca="false">Inputs!$F$102*Time!BC40+Inputs!$F$103*(Time!BC41-Time!BC40)+$F$6*(1-Time!BC41)</f>
        <v>3.25</v>
      </c>
      <c r="BD7" s="18" t="n">
        <f aca="false">Inputs!$F$102*Time!BD40+Inputs!$F$103*(Time!BD41-Time!BD40)+$F$6*(1-Time!BD41)</f>
        <v>3.25</v>
      </c>
      <c r="BE7" s="18" t="n">
        <f aca="false">Inputs!$F$102*Time!BE40+Inputs!$F$103*(Time!BE41-Time!BE40)+$F$6*(1-Time!BE41)</f>
        <v>3.25</v>
      </c>
      <c r="BF7" s="18" t="n">
        <f aca="false">Inputs!$F$102*Time!BF40+Inputs!$F$103*(Time!BF41-Time!BF40)+$F$6*(1-Time!BF41)</f>
        <v>3.25</v>
      </c>
      <c r="BG7" s="18" t="n">
        <f aca="false">Inputs!$F$102*Time!BG40+Inputs!$F$103*(Time!BG41-Time!BG40)+$F$6*(1-Time!BG41)</f>
        <v>3.25</v>
      </c>
      <c r="BH7" s="18" t="n">
        <f aca="false">Inputs!$F$102*Time!BH40+Inputs!$F$103*(Time!BH41-Time!BH40)+$F$6*(1-Time!BH41)</f>
        <v>3.25</v>
      </c>
      <c r="BI7" s="18" t="n">
        <f aca="false">Inputs!$F$102*Time!BI40+Inputs!$F$103*(Time!BI41-Time!BI40)+$F$6*(1-Time!BI41)</f>
        <v>3.25</v>
      </c>
      <c r="BJ7" s="18" t="n">
        <f aca="false">Inputs!$F$102*Time!BJ40+Inputs!$F$103*(Time!BJ41-Time!BJ40)+$F$6*(1-Time!BJ41)</f>
        <v>3.25</v>
      </c>
      <c r="BK7" s="18" t="n">
        <f aca="false">Inputs!$F$102*Time!BK40+Inputs!$F$103*(Time!BK41-Time!BK40)+$F$6*(1-Time!BK41)</f>
        <v>3.25</v>
      </c>
      <c r="BL7" s="18" t="n">
        <f aca="false">Inputs!$F$102*Time!BL40+Inputs!$F$103*(Time!BL41-Time!BL40)+$F$6*(1-Time!BL41)</f>
        <v>3.25</v>
      </c>
      <c r="BM7" s="18" t="n">
        <f aca="false">Inputs!$F$102*Time!BM40+Inputs!$F$103*(Time!BM41-Time!BM40)+$F$6*(1-Time!BM41)</f>
        <v>3.25</v>
      </c>
      <c r="BN7" s="18" t="n">
        <f aca="false">Inputs!$F$102*Time!BN40+Inputs!$F$103*(Time!BN41-Time!BN40)+$F$6*(1-Time!BN41)</f>
        <v>3.25</v>
      </c>
      <c r="BO7" s="18" t="n">
        <f aca="false">Inputs!$F$102*Time!BO40+Inputs!$F$103*(Time!BO41-Time!BO40)+$F$6*(1-Time!BO41)</f>
        <v>3.25</v>
      </c>
      <c r="BP7" s="18" t="n">
        <f aca="false">Inputs!$F$102*Time!BP40+Inputs!$F$103*(Time!BP41-Time!BP40)+$F$6*(1-Time!BP41)</f>
        <v>3.25</v>
      </c>
      <c r="BQ7" s="18" t="n">
        <f aca="false">Inputs!$F$102*Time!BQ40+Inputs!$F$103*(Time!BQ41-Time!BQ40)+$F$6*(1-Time!BQ41)</f>
        <v>3.25</v>
      </c>
      <c r="BR7" s="18" t="n">
        <f aca="false">Inputs!$F$102*Time!BR40+Inputs!$F$103*(Time!BR41-Time!BR40)+$F$6*(1-Time!BR41)</f>
        <v>3.25</v>
      </c>
      <c r="BS7" s="18" t="n">
        <f aca="false">Inputs!$F$102*Time!BS40+Inputs!$F$103*(Time!BS41-Time!BS40)+$F$6*(1-Time!BS41)</f>
        <v>3.25</v>
      </c>
      <c r="BT7" s="18" t="n">
        <f aca="false">Inputs!$F$102*Time!BT40+Inputs!$F$103*(Time!BT41-Time!BT40)+$F$6*(1-Time!BT41)</f>
        <v>3.25</v>
      </c>
      <c r="BU7" s="18" t="n">
        <f aca="false">Inputs!$F$102*Time!BU40+Inputs!$F$103*(Time!BU41-Time!BU40)+$F$6*(1-Time!BU41)</f>
        <v>3.25</v>
      </c>
      <c r="BV7" s="18" t="n">
        <f aca="false">Inputs!$F$102*Time!BV40+Inputs!$F$103*(Time!BV41-Time!BV40)+$F$6*(1-Time!BV41)</f>
        <v>3.25</v>
      </c>
      <c r="BW7" s="18" t="n">
        <f aca="false">Inputs!$F$102*Time!BW40+Inputs!$F$103*(Time!BW41-Time!BW40)+$F$6*(1-Time!BW41)</f>
        <v>3.25</v>
      </c>
      <c r="BX7" s="18" t="n">
        <f aca="false">Inputs!$F$102*Time!BX40+Inputs!$F$103*(Time!BX41-Time!BX40)+$F$6*(1-Time!BX41)</f>
        <v>3.25</v>
      </c>
      <c r="BY7" s="18" t="n">
        <f aca="false">Inputs!$F$102*Time!BY40+Inputs!$F$103*(Time!BY41-Time!BY40)+$F$6*(1-Time!BY41)</f>
        <v>3.25</v>
      </c>
      <c r="BZ7" s="18" t="n">
        <f aca="false">Inputs!$F$102*Time!BZ40+Inputs!$F$103*(Time!BZ41-Time!BZ40)+$F$6*(1-Time!BZ41)</f>
        <v>3.25</v>
      </c>
      <c r="CA7" s="18" t="n">
        <f aca="false">Inputs!$F$102*Time!CA40+Inputs!$F$103*(Time!CA41-Time!CA40)+$F$6*(1-Time!CA41)</f>
        <v>3.25</v>
      </c>
      <c r="CB7" s="18" t="n">
        <f aca="false">Inputs!$F$102*Time!CB40+Inputs!$F$103*(Time!CB41-Time!CB40)+$F$6*(1-Time!CB41)</f>
        <v>3.25</v>
      </c>
      <c r="CC7" s="18" t="n">
        <f aca="false">Inputs!$F$102*Time!CC40+Inputs!$F$103*(Time!CC41-Time!CC40)+$F$6*(1-Time!CC41)</f>
        <v>3.25</v>
      </c>
      <c r="CD7" s="18" t="n">
        <f aca="false">Inputs!$F$102*Time!CD40+Inputs!$F$103*(Time!CD41-Time!CD40)+$F$6*(1-Time!CD41)</f>
        <v>3.25</v>
      </c>
      <c r="CE7" s="18" t="n">
        <f aca="false">Inputs!$F$102*Time!CE40+Inputs!$F$103*(Time!CE41-Time!CE40)+$F$6*(1-Time!CE41)</f>
        <v>3.25</v>
      </c>
      <c r="CF7" s="18" t="n">
        <f aca="false">Inputs!$F$102*Time!CF40+Inputs!$F$103*(Time!CF41-Time!CF40)+$F$6*(1-Time!CF41)</f>
        <v>3.25</v>
      </c>
      <c r="CG7" s="18" t="n">
        <f aca="false">Inputs!$F$102*Time!CG40+Inputs!$F$103*(Time!CG41-Time!CG40)+$F$6*(1-Time!CG41)</f>
        <v>3.25</v>
      </c>
      <c r="CH7" s="18" t="n">
        <f aca="false">Inputs!$F$102*Time!CH40+Inputs!$F$103*(Time!CH41-Time!CH40)+$F$6*(1-Time!CH41)</f>
        <v>3.25</v>
      </c>
      <c r="CI7" s="18" t="n">
        <f aca="false">Inputs!$F$102*Time!CI40+Inputs!$F$103*(Time!CI41-Time!CI40)+$F$6*(1-Time!CI41)</f>
        <v>3.25</v>
      </c>
      <c r="CJ7" s="18" t="n">
        <f aca="false">Inputs!$F$102*Time!CJ40+Inputs!$F$103*(Time!CJ41-Time!CJ40)+$F$6*(1-Time!CJ41)</f>
        <v>3.25</v>
      </c>
      <c r="CK7" s="18" t="n">
        <f aca="false">Inputs!$F$102*Time!CK40+Inputs!$F$103*(Time!CK41-Time!CK40)+$F$6*(1-Time!CK41)</f>
        <v>3.25</v>
      </c>
      <c r="CL7" s="18" t="n">
        <f aca="false">Inputs!$F$102*Time!CL40+Inputs!$F$103*(Time!CL41-Time!CL40)+$F$6*(1-Time!CL41)</f>
        <v>3.25</v>
      </c>
      <c r="CM7" s="18" t="n">
        <f aca="false">Inputs!$F$102*Time!CM40+Inputs!$F$103*(Time!CM41-Time!CM40)+$F$6*(1-Time!CM41)</f>
        <v>3.25</v>
      </c>
      <c r="CN7" s="18" t="n">
        <f aca="false">Inputs!$F$102*Time!CN40+Inputs!$F$103*(Time!CN41-Time!CN40)+$F$6*(1-Time!CN41)</f>
        <v>3.25</v>
      </c>
      <c r="CO7" s="18" t="n">
        <f aca="false">Inputs!$F$102*Time!CO40+Inputs!$F$103*(Time!CO41-Time!CO40)+$F$6*(1-Time!CO41)</f>
        <v>3.25</v>
      </c>
      <c r="CP7" s="18" t="n">
        <f aca="false">Inputs!$F$102*Time!CP40+Inputs!$F$103*(Time!CP41-Time!CP40)+$F$6*(1-Time!CP41)</f>
        <v>3.25</v>
      </c>
      <c r="CQ7" s="18" t="n">
        <f aca="false">Inputs!$F$102*Time!CQ40+Inputs!$F$103*(Time!CQ41-Time!CQ40)+$F$6*(1-Time!CQ41)</f>
        <v>3.25</v>
      </c>
      <c r="CR7" s="18" t="n">
        <f aca="false">Inputs!$F$102*Time!CR40+Inputs!$F$103*(Time!CR41-Time!CR40)+$F$6*(1-Time!CR41)</f>
        <v>3.25</v>
      </c>
      <c r="CS7" s="18" t="n">
        <f aca="false">Inputs!$F$102*Time!CS40+Inputs!$F$103*(Time!CS41-Time!CS40)+$F$6*(1-Time!CS41)</f>
        <v>3.25</v>
      </c>
      <c r="CT7" s="18" t="n">
        <f aca="false">Inputs!$F$102*Time!CT40+Inputs!$F$103*(Time!CT41-Time!CT40)+$F$6*(1-Time!CT41)</f>
        <v>3.25</v>
      </c>
      <c r="CU7" s="18" t="n">
        <f aca="false">Inputs!$F$102*Time!CU40+Inputs!$F$103*(Time!CU41-Time!CU40)+$F$6*(1-Time!CU41)</f>
        <v>3.25</v>
      </c>
      <c r="CV7" s="18" t="n">
        <f aca="false">Inputs!$F$102*Time!CV40+Inputs!$F$103*(Time!CV41-Time!CV40)+$F$6*(1-Time!CV41)</f>
        <v>3.25</v>
      </c>
      <c r="CW7" s="18" t="n">
        <f aca="false">Inputs!$F$102*Time!CW40+Inputs!$F$103*(Time!CW41-Time!CW40)+$F$6*(1-Time!CW41)</f>
        <v>3.25</v>
      </c>
      <c r="CX7" s="18" t="n">
        <f aca="false">Inputs!$F$102*Time!CX40+Inputs!$F$103*(Time!CX41-Time!CX40)+$F$6*(1-Time!CX41)</f>
        <v>3.25</v>
      </c>
      <c r="CY7" s="18" t="n">
        <f aca="false">Inputs!$F$102*Time!CY40+Inputs!$F$103*(Time!CY41-Time!CY40)+$F$6*(1-Time!CY41)</f>
        <v>3.25</v>
      </c>
      <c r="CZ7" s="18" t="n">
        <f aca="false">Inputs!$F$102*Time!CZ40+Inputs!$F$103*(Time!CZ41-Time!CZ40)+$F$6*(1-Time!CZ41)</f>
        <v>3.25</v>
      </c>
      <c r="DA7" s="18" t="n">
        <f aca="false">Inputs!$F$102*Time!DA40+Inputs!$F$103*(Time!DA41-Time!DA40)+$F$6*(1-Time!DA41)</f>
        <v>3.25</v>
      </c>
      <c r="DB7" s="18" t="n">
        <f aca="false">Inputs!$F$102*Time!DB40+Inputs!$F$103*(Time!DB41-Time!DB40)+$F$6*(1-Time!DB41)</f>
        <v>3.25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0.0620209944751381</v>
      </c>
      <c r="AG8" s="21" t="n">
        <f aca="false">(IF(Time!AG43=1,Inputs!$F$100,Time!AG54)+AG7)/100</f>
        <v>0.0673</v>
      </c>
      <c r="AH8" s="21" t="n">
        <f aca="false">(IF(Time!AH43=1,Inputs!$F$100,Time!AH54)+AH7)/100</f>
        <v>0.0673</v>
      </c>
      <c r="AI8" s="21" t="n">
        <f aca="false">(IF(Time!AI43=1,Inputs!$F$100,Time!AI54)+AI7)/100</f>
        <v>0.0673</v>
      </c>
      <c r="AJ8" s="21" t="n">
        <f aca="false">(IF(Time!AJ43=1,Inputs!$F$100,Time!AJ54)+AJ7)/100</f>
        <v>0.0673</v>
      </c>
      <c r="AK8" s="21" t="n">
        <f aca="false">(IF(Time!AK43=1,Inputs!$F$100,Time!AK54)+AK7)/100</f>
        <v>0.0673</v>
      </c>
      <c r="AL8" s="21" t="n">
        <f aca="false">(IF(Time!AL43=1,Inputs!$F$100,Time!AL54)+AL7)/100</f>
        <v>0.0673</v>
      </c>
      <c r="AM8" s="21" t="n">
        <f aca="false">(IF(Time!AM43=1,Inputs!$F$100,Time!AM54)+AM7)/100</f>
        <v>0.0673</v>
      </c>
      <c r="AN8" s="21" t="n">
        <f aca="false">(IF(Time!AN43=1,Inputs!$F$100,Time!AN54)+AN7)/100</f>
        <v>0.0673</v>
      </c>
      <c r="AO8" s="21" t="n">
        <f aca="false">(IF(Time!AO43=1,Inputs!$F$100,Time!AO54)+AO7)/100</f>
        <v>0.0673</v>
      </c>
      <c r="AP8" s="21" t="n">
        <f aca="false">(IF(Time!AP43=1,Inputs!$F$100,Time!AP54)+AP7)/100</f>
        <v>0.0673</v>
      </c>
      <c r="AQ8" s="21" t="n">
        <f aca="false">(IF(Time!AQ43=1,Inputs!$F$100,Time!AQ54)+AQ7)/100</f>
        <v>0.0673</v>
      </c>
      <c r="AR8" s="21" t="n">
        <f aca="false">(IF(Time!AR43=1,Inputs!$F$100,Time!AR54)+AR7)/100</f>
        <v>0.0673</v>
      </c>
      <c r="AS8" s="21" t="n">
        <f aca="false">(IF(Time!AS43=1,Inputs!$F$100,Time!AS54)+AS7)/100</f>
        <v>0.0673</v>
      </c>
      <c r="AT8" s="21" t="n">
        <f aca="false">(IF(Time!AT43=1,Inputs!$F$100,Time!AT54)+AT7)/100</f>
        <v>0.0673</v>
      </c>
      <c r="AU8" s="21" t="n">
        <f aca="false">(IF(Time!AU43=1,Inputs!$F$100,Time!AU54)+AU7)/100</f>
        <v>0.0673</v>
      </c>
      <c r="AV8" s="21" t="n">
        <f aca="false">(IF(Time!AV43=1,Inputs!$F$100,Time!AV54)+AV7)/100</f>
        <v>0.0673</v>
      </c>
      <c r="AW8" s="21" t="n">
        <f aca="false">(IF(Time!AW43=1,Inputs!$F$100,Time!AW54)+AW7)/100</f>
        <v>0.0673</v>
      </c>
      <c r="AX8" s="21" t="n">
        <f aca="false">(IF(Time!AX43=1,Inputs!$F$100,Time!AX54)+AX7)/100</f>
        <v>0.0673</v>
      </c>
      <c r="AY8" s="21" t="n">
        <f aca="false">(IF(Time!AY43=1,Inputs!$F$100,Time!AY54)+AY7)/100</f>
        <v>0.0673</v>
      </c>
      <c r="AZ8" s="21" t="n">
        <f aca="false">(IF(Time!AZ43=1,Inputs!$F$100,Time!AZ54)+AZ7)/100</f>
        <v>0.0673</v>
      </c>
      <c r="BA8" s="21" t="n">
        <f aca="false">(IF(Time!BA43=1,Inputs!$F$100,Time!BA54)+BA7)/100</f>
        <v>0.0673</v>
      </c>
      <c r="BB8" s="21" t="n">
        <f aca="false">(IF(Time!BB43=1,Inputs!$F$100,Time!BB54)+BB7)/100</f>
        <v>0.0673</v>
      </c>
      <c r="BC8" s="21" t="n">
        <f aca="false">(IF(Time!BC43=1,Inputs!$F$100,Time!BC54)+BC7)/100</f>
        <v>0.0673</v>
      </c>
      <c r="BD8" s="21" t="n">
        <f aca="false">(IF(Time!BD43=1,Inputs!$F$100,Time!BD54)+BD7)/100</f>
        <v>0.0673</v>
      </c>
      <c r="BE8" s="21" t="n">
        <f aca="false">(IF(Time!BE43=1,Inputs!$F$100,Time!BE54)+BE7)/100</f>
        <v>0.0673</v>
      </c>
      <c r="BF8" s="21" t="n">
        <f aca="false">(IF(Time!BF43=1,Inputs!$F$100,Time!BF54)+BF7)/100</f>
        <v>0.0673</v>
      </c>
      <c r="BG8" s="21" t="n">
        <f aca="false">(IF(Time!BG43=1,Inputs!$F$100,Time!BG54)+BG7)/100</f>
        <v>0.0675</v>
      </c>
      <c r="BH8" s="21" t="n">
        <f aca="false">(IF(Time!BH43=1,Inputs!$F$100,Time!BH54)+BH7)/100</f>
        <v>0.0675</v>
      </c>
      <c r="BI8" s="21" t="n">
        <f aca="false">(IF(Time!BI43=1,Inputs!$F$100,Time!BI54)+BI7)/100</f>
        <v>0.0675</v>
      </c>
      <c r="BJ8" s="21" t="n">
        <f aca="false">(IF(Time!BJ43=1,Inputs!$F$100,Time!BJ54)+BJ7)/100</f>
        <v>0.0675</v>
      </c>
      <c r="BK8" s="21" t="n">
        <f aca="false">(IF(Time!BK43=1,Inputs!$F$100,Time!BK54)+BK7)/100</f>
        <v>0.0675</v>
      </c>
      <c r="BL8" s="21" t="n">
        <f aca="false">(IF(Time!BL43=1,Inputs!$F$100,Time!BL54)+BL7)/100</f>
        <v>0.0675</v>
      </c>
      <c r="BM8" s="21" t="n">
        <f aca="false">(IF(Time!BM43=1,Inputs!$F$100,Time!BM54)+BM7)/100</f>
        <v>0.0675</v>
      </c>
      <c r="BN8" s="21" t="n">
        <f aca="false">(IF(Time!BN43=1,Inputs!$F$100,Time!BN54)+BN7)/100</f>
        <v>0.0675</v>
      </c>
      <c r="BO8" s="21" t="n">
        <f aca="false">(IF(Time!BO43=1,Inputs!$F$100,Time!BO54)+BO7)/100</f>
        <v>0.0675</v>
      </c>
      <c r="BP8" s="21" t="n">
        <f aca="false">(IF(Time!BP43=1,Inputs!$F$100,Time!BP54)+BP7)/100</f>
        <v>0.0675</v>
      </c>
      <c r="BQ8" s="21" t="n">
        <f aca="false">(IF(Time!BQ43=1,Inputs!$F$100,Time!BQ54)+BQ7)/100</f>
        <v>0.0675</v>
      </c>
      <c r="BR8" s="21" t="n">
        <f aca="false">(IF(Time!BR43=1,Inputs!$F$100,Time!BR54)+BR7)/100</f>
        <v>0.0675</v>
      </c>
      <c r="BS8" s="21" t="n">
        <f aca="false">(IF(Time!BS43=1,Inputs!$F$100,Time!BS54)+BS7)/100</f>
        <v>0.0675</v>
      </c>
      <c r="BT8" s="21" t="n">
        <f aca="false">(IF(Time!BT43=1,Inputs!$F$100,Time!BT54)+BT7)/100</f>
        <v>0.0675</v>
      </c>
      <c r="BU8" s="21" t="n">
        <f aca="false">(IF(Time!BU43=1,Inputs!$F$100,Time!BU54)+BU7)/100</f>
        <v>0.0675</v>
      </c>
      <c r="BV8" s="21" t="n">
        <f aca="false">(IF(Time!BV43=1,Inputs!$F$100,Time!BV54)+BV7)/100</f>
        <v>0.0675</v>
      </c>
      <c r="BW8" s="21" t="n">
        <f aca="false">(IF(Time!BW43=1,Inputs!$F$100,Time!BW54)+BW7)/100</f>
        <v>0.0675</v>
      </c>
      <c r="BX8" s="21" t="n">
        <f aca="false">(IF(Time!BX43=1,Inputs!$F$100,Time!BX54)+BX7)/100</f>
        <v>0.0675</v>
      </c>
      <c r="BY8" s="21" t="n">
        <f aca="false">(IF(Time!BY43=1,Inputs!$F$100,Time!BY54)+BY7)/100</f>
        <v>0.0675</v>
      </c>
      <c r="BZ8" s="21" t="n">
        <f aca="false">(IF(Time!BZ43=1,Inputs!$F$100,Time!BZ54)+BZ7)/100</f>
        <v>0.0675</v>
      </c>
      <c r="CA8" s="21" t="n">
        <f aca="false">(IF(Time!CA43=1,Inputs!$F$100,Time!CA54)+CA7)/100</f>
        <v>0.0675</v>
      </c>
      <c r="CB8" s="21" t="n">
        <f aca="false">(IF(Time!CB43=1,Inputs!$F$100,Time!CB54)+CB7)/100</f>
        <v>0.0675</v>
      </c>
      <c r="CC8" s="21" t="n">
        <f aca="false">(IF(Time!CC43=1,Inputs!$F$100,Time!CC54)+CC7)/100</f>
        <v>0.0675</v>
      </c>
      <c r="CD8" s="21" t="n">
        <f aca="false">(IF(Time!CD43=1,Inputs!$F$100,Time!CD54)+CD7)/100</f>
        <v>0.0675</v>
      </c>
      <c r="CE8" s="21" t="n">
        <f aca="false">(IF(Time!CE43=1,Inputs!$F$100,Time!CE54)+CE7)/100</f>
        <v>0.0675</v>
      </c>
      <c r="CF8" s="21" t="n">
        <f aca="false">(IF(Time!CF43=1,Inputs!$F$100,Time!CF54)+CF7)/100</f>
        <v>0.0675</v>
      </c>
      <c r="CG8" s="21" t="n">
        <f aca="false">(IF(Time!CG43=1,Inputs!$F$100,Time!CG54)+CG7)/100</f>
        <v>0.0675</v>
      </c>
      <c r="CH8" s="21" t="n">
        <f aca="false">(IF(Time!CH43=1,Inputs!$F$100,Time!CH54)+CH7)/100</f>
        <v>0.0675</v>
      </c>
      <c r="CI8" s="21" t="n">
        <f aca="false">(IF(Time!CI43=1,Inputs!$F$100,Time!CI54)+CI7)/100</f>
        <v>0.0675</v>
      </c>
      <c r="CJ8" s="21" t="n">
        <f aca="false">(IF(Time!CJ43=1,Inputs!$F$100,Time!CJ54)+CJ7)/100</f>
        <v>0.0675</v>
      </c>
      <c r="CK8" s="21" t="n">
        <f aca="false">(IF(Time!CK43=1,Inputs!$F$100,Time!CK54)+CK7)/100</f>
        <v>0.0675</v>
      </c>
      <c r="CL8" s="21" t="n">
        <f aca="false">(IF(Time!CL43=1,Inputs!$F$100,Time!CL54)+CL7)/100</f>
        <v>0.0675</v>
      </c>
      <c r="CM8" s="21" t="n">
        <f aca="false">(IF(Time!CM43=1,Inputs!$F$100,Time!CM54)+CM7)/100</f>
        <v>0.0675</v>
      </c>
      <c r="CN8" s="21" t="n">
        <f aca="false">(IF(Time!CN43=1,Inputs!$F$100,Time!CN54)+CN7)/100</f>
        <v>0.0675</v>
      </c>
      <c r="CO8" s="21" t="n">
        <f aca="false">(IF(Time!CO43=1,Inputs!$F$100,Time!CO54)+CO7)/100</f>
        <v>0.0675</v>
      </c>
      <c r="CP8" s="21" t="n">
        <f aca="false">(IF(Time!CP43=1,Inputs!$F$100,Time!CP54)+CP7)/100</f>
        <v>0.0675</v>
      </c>
      <c r="CQ8" s="21" t="n">
        <f aca="false">(IF(Time!CQ43=1,Inputs!$F$100,Time!CQ54)+CQ7)/100</f>
        <v>0.0675</v>
      </c>
      <c r="CR8" s="21" t="n">
        <f aca="false">(IF(Time!CR43=1,Inputs!$F$100,Time!CR54)+CR7)/100</f>
        <v>0.0675</v>
      </c>
      <c r="CS8" s="21" t="n">
        <f aca="false">(IF(Time!CS43=1,Inputs!$F$100,Time!CS54)+CS7)/100</f>
        <v>0.0675</v>
      </c>
      <c r="CT8" s="21" t="n">
        <f aca="false">(IF(Time!CT43=1,Inputs!$F$100,Time!CT54)+CT7)/100</f>
        <v>0.0675</v>
      </c>
      <c r="CU8" s="21" t="n">
        <f aca="false">(IF(Time!CU43=1,Inputs!$F$100,Time!CU54)+CU7)/100</f>
        <v>0.0675</v>
      </c>
      <c r="CV8" s="21" t="n">
        <f aca="false">(IF(Time!CV43=1,Inputs!$F$100,Time!CV54)+CV7)/100</f>
        <v>0.0675</v>
      </c>
      <c r="CW8" s="21" t="n">
        <f aca="false">(IF(Time!CW43=1,Inputs!$F$100,Time!CW54)+CW7)/100</f>
        <v>0.0675</v>
      </c>
      <c r="CX8" s="21" t="n">
        <f aca="false">(IF(Time!CX43=1,Inputs!$F$100,Time!CX54)+CX7)/100</f>
        <v>0.0675</v>
      </c>
      <c r="CY8" s="21" t="n">
        <f aca="false">(IF(Time!CY43=1,Inputs!$F$100,Time!CY54)+CY7)/100</f>
        <v>0.0675</v>
      </c>
      <c r="CZ8" s="21" t="n">
        <f aca="false">(IF(Time!CZ43=1,Inputs!$F$100,Time!CZ54)+CZ7)/100</f>
        <v>0.0675</v>
      </c>
      <c r="DA8" s="21" t="n">
        <f aca="false">(IF(Time!DA43=1,Inputs!$F$100,Time!DA54)+DA7)/100</f>
        <v>0.0675</v>
      </c>
      <c r="DB8" s="21" t="n">
        <f aca="false">(IF(Time!DB43=1,Inputs!$F$100,Time!DB54)+DB7)/100</f>
        <v>0.0675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0.0271775273972603</v>
      </c>
      <c r="AG9" s="21" t="n">
        <f aca="false">Inputs!$F$96*AG8*Time!AG9/Inputs!$F$45+Inputs!$F$97*Inputs!$F$110*Time!AG10/Inputs!$F$46</f>
        <v>0.0286044589041096</v>
      </c>
      <c r="AH9" s="21" t="n">
        <f aca="false">Inputs!$F$96*AH8*Time!AH9/Inputs!$F$45+Inputs!$F$97*Inputs!$F$110*Time!AH10/Inputs!$F$46</f>
        <v>0.0283555410958904</v>
      </c>
      <c r="AI9" s="21" t="n">
        <f aca="false">Inputs!$F$96*AI8*Time!AI9/Inputs!$F$45+Inputs!$F$97*Inputs!$F$110*Time!AI10/Inputs!$F$46</f>
        <v>0.0286044589041096</v>
      </c>
      <c r="AJ9" s="21" t="n">
        <f aca="false">Inputs!$F$96*AJ8*Time!AJ9/Inputs!$F$45+Inputs!$F$97*Inputs!$F$110*Time!AJ10/Inputs!$F$46</f>
        <v>0.0284385136986301</v>
      </c>
      <c r="AK9" s="21" t="n">
        <f aca="false">Inputs!$F$96*AK8*Time!AK9/Inputs!$F$45+Inputs!$F$97*Inputs!$F$110*Time!AK10/Inputs!$F$46</f>
        <v>0.0286044589041096</v>
      </c>
      <c r="AL9" s="21" t="n">
        <f aca="false">Inputs!$F$96*AL8*Time!AL9/Inputs!$F$45+Inputs!$F$97*Inputs!$F$110*Time!AL10/Inputs!$F$46</f>
        <v>0.0283555410958904</v>
      </c>
      <c r="AM9" s="21" t="n">
        <f aca="false">Inputs!$F$96*AM8*Time!AM9/Inputs!$F$45+Inputs!$F$97*Inputs!$F$110*Time!AM10/Inputs!$F$46</f>
        <v>0.0286044589041096</v>
      </c>
      <c r="AN9" s="21" t="n">
        <f aca="false">Inputs!$F$96*AN8*Time!AN9/Inputs!$F$45+Inputs!$F$97*Inputs!$F$110*Time!AN10/Inputs!$F$46</f>
        <v>0.0283555410958904</v>
      </c>
      <c r="AO9" s="21" t="n">
        <f aca="false">Inputs!$F$96*AO8*Time!AO9/Inputs!$F$45+Inputs!$F$97*Inputs!$F$110*Time!AO10/Inputs!$F$46</f>
        <v>0.0286044589041096</v>
      </c>
      <c r="AP9" s="21" t="n">
        <f aca="false">Inputs!$F$96*AP8*Time!AP9/Inputs!$F$45+Inputs!$F$97*Inputs!$F$110*Time!AP10/Inputs!$F$46</f>
        <v>0.0283555410958904</v>
      </c>
      <c r="AQ9" s="21" t="n">
        <f aca="false">Inputs!$F$96*AQ8*Time!AQ9/Inputs!$F$45+Inputs!$F$97*Inputs!$F$110*Time!AQ10/Inputs!$F$46</f>
        <v>0.0286044589041096</v>
      </c>
      <c r="AR9" s="21" t="n">
        <f aca="false">Inputs!$F$96*AR8*Time!AR9/Inputs!$F$45+Inputs!$F$97*Inputs!$F$110*Time!AR10/Inputs!$F$46</f>
        <v>0.0284385136986301</v>
      </c>
      <c r="AS9" s="21" t="n">
        <f aca="false">Inputs!$F$96*AS8*Time!AS9/Inputs!$F$45+Inputs!$F$97*Inputs!$F$110*Time!AS10/Inputs!$F$46</f>
        <v>0.0286044589041096</v>
      </c>
      <c r="AT9" s="21" t="n">
        <f aca="false">Inputs!$F$96*AT8*Time!AT9/Inputs!$F$45+Inputs!$F$97*Inputs!$F$110*Time!AT10/Inputs!$F$46</f>
        <v>0.0283555410958904</v>
      </c>
      <c r="AU9" s="21" t="n">
        <f aca="false">Inputs!$F$96*AU8*Time!AU9/Inputs!$F$45+Inputs!$F$97*Inputs!$F$110*Time!AU10/Inputs!$F$46</f>
        <v>0.0286044589041096</v>
      </c>
      <c r="AV9" s="21" t="n">
        <f aca="false">Inputs!$F$96*AV8*Time!AV9/Inputs!$F$45+Inputs!$F$97*Inputs!$F$110*Time!AV10/Inputs!$F$46</f>
        <v>0.0283555410958904</v>
      </c>
      <c r="AW9" s="21" t="n">
        <f aca="false">Inputs!$F$96*AW8*Time!AW9/Inputs!$F$45+Inputs!$F$97*Inputs!$F$110*Time!AW10/Inputs!$F$46</f>
        <v>0.0286044589041096</v>
      </c>
      <c r="AX9" s="21" t="n">
        <f aca="false">Inputs!$F$96*AX8*Time!AX9/Inputs!$F$45+Inputs!$F$97*Inputs!$F$110*Time!AX10/Inputs!$F$46</f>
        <v>0.0283555410958904</v>
      </c>
      <c r="AY9" s="21" t="n">
        <f aca="false">Inputs!$F$96*AY8*Time!AY9/Inputs!$F$45+Inputs!$F$97*Inputs!$F$110*Time!AY10/Inputs!$F$46</f>
        <v>0.0286044589041096</v>
      </c>
      <c r="AZ9" s="21" t="n">
        <f aca="false">Inputs!$F$96*AZ8*Time!AZ9/Inputs!$F$45+Inputs!$F$97*Inputs!$F$110*Time!AZ10/Inputs!$F$46</f>
        <v>0.0284385136986301</v>
      </c>
      <c r="BA9" s="21" t="n">
        <f aca="false">Inputs!$F$96*BA8*Time!BA9/Inputs!$F$45+Inputs!$F$97*Inputs!$F$110*Time!BA10/Inputs!$F$46</f>
        <v>0.0286044589041096</v>
      </c>
      <c r="BB9" s="21" t="n">
        <f aca="false">Inputs!$F$96*BB8*Time!BB9/Inputs!$F$45+Inputs!$F$97*Inputs!$F$110*Time!BB10/Inputs!$F$46</f>
        <v>0.0283555410958904</v>
      </c>
      <c r="BC9" s="21" t="n">
        <f aca="false">Inputs!$F$96*BC8*Time!BC9/Inputs!$F$45+Inputs!$F$97*Inputs!$F$110*Time!BC10/Inputs!$F$46</f>
        <v>0.0286044589041096</v>
      </c>
      <c r="BD9" s="21" t="n">
        <f aca="false">Inputs!$F$96*BD8*Time!BD9/Inputs!$F$45+Inputs!$F$97*Inputs!$F$110*Time!BD10/Inputs!$F$46</f>
        <v>0.0283555410958904</v>
      </c>
      <c r="BE9" s="21" t="n">
        <f aca="false">Inputs!$F$96*BE8*Time!BE9/Inputs!$F$45+Inputs!$F$97*Inputs!$F$110*Time!BE10/Inputs!$F$46</f>
        <v>0.0286044589041096</v>
      </c>
      <c r="BF9" s="21" t="n">
        <f aca="false">Inputs!$F$96*BF8*Time!BF9/Inputs!$F$45+Inputs!$F$97*Inputs!$F$110*Time!BF10/Inputs!$F$46</f>
        <v>0.0283555410958904</v>
      </c>
      <c r="BG9" s="21" t="n">
        <f aca="false">Inputs!$F$96*BG8*Time!BG9/Inputs!$F$45+Inputs!$F$97*Inputs!$F$110*Time!BG10/Inputs!$F$46</f>
        <v>0.0286498287671233</v>
      </c>
      <c r="BH9" s="21" t="n">
        <f aca="false">Inputs!$F$96*BH8*Time!BH9/Inputs!$F$45+Inputs!$F$97*Inputs!$F$110*Time!BH10/Inputs!$F$46</f>
        <v>0.0284833904109589</v>
      </c>
      <c r="BI9" s="21" t="n">
        <f aca="false">Inputs!$F$96*BI8*Time!BI9/Inputs!$F$45+Inputs!$F$97*Inputs!$F$110*Time!BI10/Inputs!$F$46</f>
        <v>0.0286498287671233</v>
      </c>
      <c r="BJ9" s="21" t="n">
        <f aca="false">Inputs!$F$96*BJ8*Time!BJ9/Inputs!$F$45+Inputs!$F$97*Inputs!$F$110*Time!BJ10/Inputs!$F$46</f>
        <v>0.0284001712328767</v>
      </c>
      <c r="BK9" s="21" t="n">
        <f aca="false">Inputs!$F$96*BK8*Time!BK9/Inputs!$F$45+Inputs!$F$97*Inputs!$F$110*Time!BK10/Inputs!$F$46</f>
        <v>0.0286498287671233</v>
      </c>
      <c r="BL9" s="21" t="n">
        <f aca="false">Inputs!$F$96*BL8*Time!BL9/Inputs!$F$45+Inputs!$F$97*Inputs!$F$110*Time!BL10/Inputs!$F$46</f>
        <v>0.0284001712328767</v>
      </c>
      <c r="BM9" s="21" t="n">
        <f aca="false">Inputs!$F$96*BM8*Time!BM9/Inputs!$F$45+Inputs!$F$97*Inputs!$F$110*Time!BM10/Inputs!$F$46</f>
        <v>0.0286498287671233</v>
      </c>
      <c r="BN9" s="21" t="n">
        <f aca="false">Inputs!$F$96*BN8*Time!BN9/Inputs!$F$45+Inputs!$F$97*Inputs!$F$110*Time!BN10/Inputs!$F$46</f>
        <v>0.0284001712328767</v>
      </c>
      <c r="BO9" s="21" t="n">
        <f aca="false">Inputs!$F$96*BO8*Time!BO9/Inputs!$F$45+Inputs!$F$97*Inputs!$F$110*Time!BO10/Inputs!$F$46</f>
        <v>0.0286498287671233</v>
      </c>
      <c r="BP9" s="21" t="n">
        <f aca="false">Inputs!$F$96*BP8*Time!BP9/Inputs!$F$45+Inputs!$F$97*Inputs!$F$110*Time!BP10/Inputs!$F$46</f>
        <v>0.0284833904109589</v>
      </c>
      <c r="BQ9" s="21" t="n">
        <f aca="false">Inputs!$F$96*BQ8*Time!BQ9/Inputs!$F$45+Inputs!$F$97*Inputs!$F$110*Time!BQ10/Inputs!$F$46</f>
        <v>0.0286498287671233</v>
      </c>
      <c r="BR9" s="21" t="n">
        <f aca="false">Inputs!$F$96*BR8*Time!BR9/Inputs!$F$45+Inputs!$F$97*Inputs!$F$110*Time!BR10/Inputs!$F$46</f>
        <v>0.0284001712328767</v>
      </c>
      <c r="BS9" s="21" t="n">
        <f aca="false">Inputs!$F$96*BS8*Time!BS9/Inputs!$F$45+Inputs!$F$97*Inputs!$F$110*Time!BS10/Inputs!$F$46</f>
        <v>0.0286498287671233</v>
      </c>
      <c r="BT9" s="21" t="n">
        <f aca="false">Inputs!$F$96*BT8*Time!BT9/Inputs!$F$45+Inputs!$F$97*Inputs!$F$110*Time!BT10/Inputs!$F$46</f>
        <v>0.0284001712328767</v>
      </c>
      <c r="BU9" s="21" t="n">
        <f aca="false">Inputs!$F$96*BU8*Time!BU9/Inputs!$F$45+Inputs!$F$97*Inputs!$F$110*Time!BU10/Inputs!$F$46</f>
        <v>0.0286498287671233</v>
      </c>
      <c r="BV9" s="21" t="n">
        <f aca="false">Inputs!$F$96*BV8*Time!BV9/Inputs!$F$45+Inputs!$F$97*Inputs!$F$110*Time!BV10/Inputs!$F$46</f>
        <v>0.0284001712328767</v>
      </c>
      <c r="BW9" s="21" t="n">
        <f aca="false">Inputs!$F$96*BW8*Time!BW9/Inputs!$F$45+Inputs!$F$97*Inputs!$F$110*Time!BW10/Inputs!$F$46</f>
        <v>0.0286498287671233</v>
      </c>
      <c r="BX9" s="21" t="n">
        <f aca="false">Inputs!$F$96*BX8*Time!BX9/Inputs!$F$45+Inputs!$F$97*Inputs!$F$110*Time!BX10/Inputs!$F$46</f>
        <v>0.0284833904109589</v>
      </c>
      <c r="BY9" s="21" t="n">
        <f aca="false">Inputs!$F$96*BY8*Time!BY9/Inputs!$F$45+Inputs!$F$97*Inputs!$F$110*Time!BY10/Inputs!$F$46</f>
        <v>0.0286498287671233</v>
      </c>
      <c r="BZ9" s="21" t="n">
        <f aca="false">Inputs!$F$96*BZ8*Time!BZ9/Inputs!$F$45+Inputs!$F$97*Inputs!$F$110*Time!BZ10/Inputs!$F$46</f>
        <v>0.0284001712328767</v>
      </c>
      <c r="CA9" s="21" t="n">
        <f aca="false">Inputs!$F$96*CA8*Time!CA9/Inputs!$F$45+Inputs!$F$97*Inputs!$F$110*Time!CA10/Inputs!$F$46</f>
        <v>0.0286498287671233</v>
      </c>
      <c r="CB9" s="21" t="n">
        <f aca="false">Inputs!$F$96*CB8*Time!CB9/Inputs!$F$45+Inputs!$F$97*Inputs!$F$110*Time!CB10/Inputs!$F$46</f>
        <v>0.0284001712328767</v>
      </c>
      <c r="CC9" s="21" t="n">
        <f aca="false">Inputs!$F$96*CC8*Time!CC9/Inputs!$F$45+Inputs!$F$97*Inputs!$F$110*Time!CC10/Inputs!$F$46</f>
        <v>0.0286498287671233</v>
      </c>
      <c r="CD9" s="21" t="n">
        <f aca="false">Inputs!$F$96*CD8*Time!CD9/Inputs!$F$45+Inputs!$F$97*Inputs!$F$110*Time!CD10/Inputs!$F$46</f>
        <v>0.0284001712328767</v>
      </c>
      <c r="CE9" s="21" t="n">
        <f aca="false">Inputs!$F$96*CE8*Time!CE9/Inputs!$F$45+Inputs!$F$97*Inputs!$F$110*Time!CE10/Inputs!$F$46</f>
        <v>0.0286498287671233</v>
      </c>
      <c r="CF9" s="21" t="n">
        <f aca="false">Inputs!$F$96*CF8*Time!CF9/Inputs!$F$45+Inputs!$F$97*Inputs!$F$110*Time!CF10/Inputs!$F$46</f>
        <v>0.0284833904109589</v>
      </c>
      <c r="CG9" s="21" t="n">
        <f aca="false">Inputs!$F$96*CG8*Time!CG9/Inputs!$F$45+Inputs!$F$97*Inputs!$F$110*Time!CG10/Inputs!$F$46</f>
        <v>0.0286498287671233</v>
      </c>
      <c r="CH9" s="21" t="n">
        <f aca="false">Inputs!$F$96*CH8*Time!CH9/Inputs!$F$45+Inputs!$F$97*Inputs!$F$110*Time!CH10/Inputs!$F$46</f>
        <v>0.0284001712328767</v>
      </c>
      <c r="CI9" s="21" t="n">
        <f aca="false">Inputs!$F$96*CI8*Time!CI9/Inputs!$F$45+Inputs!$F$97*Inputs!$F$110*Time!CI10/Inputs!$F$46</f>
        <v>0.0286498287671233</v>
      </c>
      <c r="CJ9" s="21" t="n">
        <f aca="false">Inputs!$F$96*CJ8*Time!CJ9/Inputs!$F$45+Inputs!$F$97*Inputs!$F$110*Time!CJ10/Inputs!$F$46</f>
        <v>0.0284001712328767</v>
      </c>
      <c r="CK9" s="21" t="n">
        <f aca="false">Inputs!$F$96*CK8*Time!CK9/Inputs!$F$45+Inputs!$F$97*Inputs!$F$110*Time!CK10/Inputs!$F$46</f>
        <v>0.0286498287671233</v>
      </c>
      <c r="CL9" s="21" t="n">
        <f aca="false">Inputs!$F$96*CL8*Time!CL9/Inputs!$F$45+Inputs!$F$97*Inputs!$F$110*Time!CL10/Inputs!$F$46</f>
        <v>0.0284001712328767</v>
      </c>
      <c r="CM9" s="21" t="n">
        <f aca="false">Inputs!$F$96*CM8*Time!CM9/Inputs!$F$45+Inputs!$F$97*Inputs!$F$110*Time!CM10/Inputs!$F$46</f>
        <v>0.0286498287671233</v>
      </c>
      <c r="CN9" s="21" t="n">
        <f aca="false">Inputs!$F$96*CN8*Time!CN9/Inputs!$F$45+Inputs!$F$97*Inputs!$F$110*Time!CN10/Inputs!$F$46</f>
        <v>0.0284833904109589</v>
      </c>
      <c r="CO9" s="21" t="n">
        <f aca="false">Inputs!$F$96*CO8*Time!CO9/Inputs!$F$45+Inputs!$F$97*Inputs!$F$110*Time!CO10/Inputs!$F$46</f>
        <v>0.0286498287671233</v>
      </c>
      <c r="CP9" s="21" t="n">
        <f aca="false">Inputs!$F$96*CP8*Time!CP9/Inputs!$F$45+Inputs!$F$97*Inputs!$F$110*Time!CP10/Inputs!$F$46</f>
        <v>0.0284001712328767</v>
      </c>
      <c r="CQ9" s="21" t="n">
        <f aca="false">Inputs!$F$96*CQ8*Time!CQ9/Inputs!$F$45+Inputs!$F$97*Inputs!$F$110*Time!CQ10/Inputs!$F$46</f>
        <v>0.0286498287671233</v>
      </c>
      <c r="CR9" s="21" t="n">
        <f aca="false">Inputs!$F$96*CR8*Time!CR9/Inputs!$F$45+Inputs!$F$97*Inputs!$F$110*Time!CR10/Inputs!$F$46</f>
        <v>0.0284001712328767</v>
      </c>
      <c r="CS9" s="21" t="n">
        <f aca="false">Inputs!$F$96*CS8*Time!CS9/Inputs!$F$45+Inputs!$F$97*Inputs!$F$110*Time!CS10/Inputs!$F$46</f>
        <v>0.0286498287671233</v>
      </c>
      <c r="CT9" s="21" t="n">
        <f aca="false">Inputs!$F$96*CT8*Time!CT9/Inputs!$F$45+Inputs!$F$97*Inputs!$F$110*Time!CT10/Inputs!$F$46</f>
        <v>0.0284001712328767</v>
      </c>
      <c r="CU9" s="21" t="n">
        <f aca="false">Inputs!$F$96*CU8*Time!CU9/Inputs!$F$45+Inputs!$F$97*Inputs!$F$110*Time!CU10/Inputs!$F$46</f>
        <v>0.0286498287671233</v>
      </c>
      <c r="CV9" s="21" t="n">
        <f aca="false">Inputs!$F$96*CV8*Time!CV9/Inputs!$F$45+Inputs!$F$97*Inputs!$F$110*Time!CV10/Inputs!$F$46</f>
        <v>0.0284833904109589</v>
      </c>
      <c r="CW9" s="21" t="n">
        <f aca="false">Inputs!$F$96*CW8*Time!CW9/Inputs!$F$45+Inputs!$F$97*Inputs!$F$110*Time!CW10/Inputs!$F$46</f>
        <v>0.0286498287671233</v>
      </c>
      <c r="CX9" s="21" t="n">
        <f aca="false">Inputs!$F$96*CX8*Time!CX9/Inputs!$F$45+Inputs!$F$97*Inputs!$F$110*Time!CX10/Inputs!$F$46</f>
        <v>0.0284001712328767</v>
      </c>
      <c r="CY9" s="21" t="n">
        <f aca="false">Inputs!$F$96*CY8*Time!CY9/Inputs!$F$45+Inputs!$F$97*Inputs!$F$110*Time!CY10/Inputs!$F$46</f>
        <v>0.0286498287671233</v>
      </c>
      <c r="CZ9" s="21" t="n">
        <f aca="false">Inputs!$F$96*CZ8*Time!CZ9/Inputs!$F$45+Inputs!$F$97*Inputs!$F$110*Time!CZ10/Inputs!$F$46</f>
        <v>0.0284001712328767</v>
      </c>
      <c r="DA9" s="21" t="n">
        <f aca="false">Inputs!$F$96*DA8*Time!DA9/Inputs!$F$45+Inputs!$F$97*Inputs!$F$110*Time!DA10/Inputs!$F$46</f>
        <v>0.0286498287671233</v>
      </c>
      <c r="DB9" s="21" t="n">
        <f aca="false">Inputs!$F$96*DB8*Time!DB9/Inputs!$F$45+Inputs!$F$97*Inputs!$F$110*Time!DB10/Inputs!$F$46</f>
        <v>0.0284001712328767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0.922993851768082</v>
      </c>
      <c r="AG12" s="27" t="n">
        <f aca="false">IF(Time!AG30=1,IF(Time!AF30=1,AF12,1)/(1+AG9),0)</f>
        <v>0.897326317981796</v>
      </c>
      <c r="AH12" s="27" t="n">
        <f aca="false">IF(Time!AH30=1,IF(Time!AG30=1,AG12,1)/(1+AH9),0)</f>
        <v>0.872583734051299</v>
      </c>
      <c r="AI12" s="27" t="n">
        <f aca="false">IF(Time!AI30=1,IF(Time!AH30=1,AH12,1)/(1+AI9),0)</f>
        <v>0.848318055106394</v>
      </c>
      <c r="AJ12" s="27" t="n">
        <f aca="false">IF(Time!AJ30=1,IF(Time!AI30=1,AI12,1)/(1+AJ9),0)</f>
        <v>0.824860255432812</v>
      </c>
      <c r="AK12" s="27" t="n">
        <f aca="false">IF(Time!AK30=1,IF(Time!AJ30=1,AJ12,1)/(1+AK9),0)</f>
        <v>0.801921718589117</v>
      </c>
      <c r="AL12" s="27" t="n">
        <f aca="false">IF(Time!AL30=1,IF(Time!AK30=1,AK12,1)/(1+AL9),0)</f>
        <v>0.779809790040641</v>
      </c>
      <c r="AM12" s="27" t="n">
        <f aca="false">IF(Time!AM30=1,IF(Time!AL30=1,AL12,1)/(1+AM9),0)</f>
        <v>0.758124061479825</v>
      </c>
      <c r="AN12" s="27" t="n">
        <f aca="false">IF(Time!AN30=1,IF(Time!AM30=1,AM12,1)/(1+AN9),0)</f>
        <v>0.737219795278113</v>
      </c>
      <c r="AO12" s="27" t="n">
        <f aca="false">IF(Time!AO30=1,IF(Time!AN30=1,AN12,1)/(1+AO9),0)</f>
        <v>0.7167184517784</v>
      </c>
      <c r="AP12" s="27" t="n">
        <f aca="false">IF(Time!AP30=1,IF(Time!AO30=1,AO12,1)/(1+AP9),0)</f>
        <v>0.696955890386522</v>
      </c>
      <c r="AQ12" s="27" t="n">
        <f aca="false">IF(Time!AQ30=1,IF(Time!AP30=1,AP12,1)/(1+AQ9),0)</f>
        <v>0.677574245720332</v>
      </c>
      <c r="AR12" s="27" t="n">
        <f aca="false">IF(Time!AR30=1,IF(Time!AQ30=1,AQ12,1)/(1+AR9),0)</f>
        <v>0.658837875765207</v>
      </c>
      <c r="AS12" s="27" t="n">
        <f aca="false">IF(Time!AS30=1,IF(Time!AR30=1,AR12,1)/(1+AS9),0)</f>
        <v>0.640516254875215</v>
      </c>
      <c r="AT12" s="27" t="n">
        <f aca="false">IF(Time!AT30=1,IF(Time!AS30=1,AS12,1)/(1+AT9),0)</f>
        <v>0.622854868066966</v>
      </c>
      <c r="AU12" s="27" t="n">
        <f aca="false">IF(Time!AU30=1,IF(Time!AT30=1,AT12,1)/(1+AU9),0)</f>
        <v>0.605533898550824</v>
      </c>
      <c r="AV12" s="27" t="n">
        <f aca="false">IF(Time!AV30=1,IF(Time!AU30=1,AU12,1)/(1+AV9),0)</f>
        <v>0.588837103853715</v>
      </c>
      <c r="AW12" s="27" t="n">
        <f aca="false">IF(Time!AW30=1,IF(Time!AV30=1,AV12,1)/(1+AW9),0)</f>
        <v>0.572462134260112</v>
      </c>
      <c r="AX12" s="27" t="n">
        <f aca="false">IF(Time!AX30=1,IF(Time!AW30=1,AW12,1)/(1+AX9),0)</f>
        <v>0.556677249631052</v>
      </c>
      <c r="AY12" s="27" t="n">
        <f aca="false">IF(Time!AY30=1,IF(Time!AX30=1,AX12,1)/(1+AY9),0)</f>
        <v>0.541196613345565</v>
      </c>
      <c r="AZ12" s="27" t="n">
        <f aca="false">IF(Time!AZ30=1,IF(Time!AY30=1,AY12,1)/(1+AZ9),0)</f>
        <v>0.52623137517403</v>
      </c>
      <c r="BA12" s="27" t="n">
        <f aca="false">IF(Time!BA30=1,IF(Time!AZ30=1,AZ12,1)/(1+BA9),0)</f>
        <v>0.511597408137511</v>
      </c>
      <c r="BB12" s="27" t="n">
        <f aca="false">IF(Time!BB30=1,IF(Time!BA30=1,BA12,1)/(1+BB9),0)</f>
        <v>0.497490787663103</v>
      </c>
      <c r="BC12" s="27" t="n">
        <f aca="false">IF(Time!BC30=1,IF(Time!BB30=1,BB12,1)/(1+BC9),0)</f>
        <v>0.483656067555003</v>
      </c>
      <c r="BD12" s="27" t="n">
        <f aca="false">IF(Time!BD30=1,IF(Time!BC30=1,BC12,1)/(1+BD9),0)</f>
        <v>0.470319892514591</v>
      </c>
      <c r="BE12" s="27" t="n">
        <f aca="false">IF(Time!BE30=1,IF(Time!BD30=1,BD12,1)/(1+BE9),0)</f>
        <v>0.457240767763807</v>
      </c>
      <c r="BF12" s="27" t="n">
        <f aca="false">IF(Time!BF30=1,IF(Time!BE30=1,BE12,1)/(1+BF9),0)</f>
        <v>0.444632959605136</v>
      </c>
      <c r="BG12" s="27" t="n">
        <f aca="false">IF(Time!BG30=1,IF(Time!BF30=1,BF12,1)/(1+BG9),0)</f>
        <v>0.432249096991584</v>
      </c>
      <c r="BH12" s="27" t="n">
        <f aca="false">IF(Time!BH30=1,IF(Time!BG30=1,BG12,1)/(1+BH9),0)</f>
        <v>0.420278150353859</v>
      </c>
      <c r="BI12" s="27" t="n">
        <f aca="false">IF(Time!BI30=1,IF(Time!BH30=1,BH12,1)/(1+BI9),0)</f>
        <v>0.408572614898093</v>
      </c>
      <c r="BJ12" s="27" t="n">
        <f aca="false">IF(Time!BJ30=1,IF(Time!BI30=1,BI12,1)/(1+BJ9),0)</f>
        <v>0.397289524376765</v>
      </c>
      <c r="BK12" s="27" t="n">
        <f aca="false">IF(Time!BK30=1,IF(Time!BJ30=1,BJ12,1)/(1+BK9),0)</f>
        <v>0.386224265309927</v>
      </c>
      <c r="BL12" s="27" t="n">
        <f aca="false">IF(Time!BL30=1,IF(Time!BK30=1,BK12,1)/(1+BL9),0)</f>
        <v>0.375558344031497</v>
      </c>
      <c r="BM12" s="27" t="n">
        <f aca="false">IF(Time!BM30=1,IF(Time!BL30=1,BL12,1)/(1+BM9),0)</f>
        <v>0.365098339132198</v>
      </c>
      <c r="BN12" s="27" t="n">
        <f aca="false">IF(Time!BN30=1,IF(Time!BM30=1,BM12,1)/(1+BN9),0)</f>
        <v>0.355015828803789</v>
      </c>
      <c r="BO12" s="27" t="n">
        <f aca="false">IF(Time!BO30=1,IF(Time!BN30=1,BN12,1)/(1+BO9),0)</f>
        <v>0.34512797151708</v>
      </c>
      <c r="BP12" s="27" t="n">
        <f aca="false">IF(Time!BP30=1,IF(Time!BO30=1,BO12,1)/(1+BP9),0)</f>
        <v>0.335569805730334</v>
      </c>
      <c r="BQ12" s="27" t="n">
        <f aca="false">IF(Time!BQ30=1,IF(Time!BP30=1,BP12,1)/(1+BQ9),0)</f>
        <v>0.326223556691325</v>
      </c>
      <c r="BR12" s="27" t="n">
        <f aca="false">IF(Time!BR30=1,IF(Time!BQ30=1,BQ12,1)/(1+BR9),0)</f>
        <v>0.317214607520182</v>
      </c>
      <c r="BS12" s="27" t="n">
        <f aca="false">IF(Time!BS30=1,IF(Time!BR30=1,BR12,1)/(1+BS9),0)</f>
        <v>0.308379585208677</v>
      </c>
      <c r="BT12" s="27" t="n">
        <f aca="false">IF(Time!BT30=1,IF(Time!BS30=1,BS12,1)/(1+BT9),0)</f>
        <v>0.299863412934852</v>
      </c>
      <c r="BU12" s="27" t="n">
        <f aca="false">IF(Time!BU30=1,IF(Time!BT30=1,BT12,1)/(1+BU9),0)</f>
        <v>0.291511653965131</v>
      </c>
      <c r="BV12" s="27" t="n">
        <f aca="false">IF(Time!BV30=1,IF(Time!BU30=1,BU12,1)/(1+BV9),0)</f>
        <v>0.283461304382765</v>
      </c>
      <c r="BW12" s="27" t="n">
        <f aca="false">IF(Time!BW30=1,IF(Time!BV30=1,BV12,1)/(1+BW9),0)</f>
        <v>0.275566374927126</v>
      </c>
      <c r="BX12" s="27" t="n">
        <f aca="false">IF(Time!BX30=1,IF(Time!BW30=1,BW12,1)/(1+BX9),0)</f>
        <v>0.26793468664284</v>
      </c>
      <c r="BY12" s="27" t="n">
        <f aca="false">IF(Time!BY30=1,IF(Time!BX30=1,BX12,1)/(1+BY9),0)</f>
        <v>0.260472202638648</v>
      </c>
      <c r="BZ12" s="27" t="n">
        <f aca="false">IF(Time!BZ30=1,IF(Time!BY30=1,BY12,1)/(1+BZ9),0)</f>
        <v>0.253279034683926</v>
      </c>
      <c r="CA12" s="27" t="n">
        <f aca="false">IF(Time!CA30=1,IF(Time!BZ30=1,BZ12,1)/(1+CA9),0)</f>
        <v>0.246224738099156</v>
      </c>
      <c r="CB12" s="27" t="n">
        <f aca="false">IF(Time!CB30=1,IF(Time!CA30=1,CA12,1)/(1+CB9),0)</f>
        <v>0.239425026353286</v>
      </c>
      <c r="CC12" s="27" t="n">
        <f aca="false">IF(Time!CC30=1,IF(Time!CB30=1,CB12,1)/(1+CC9),0)</f>
        <v>0.232756589908003</v>
      </c>
      <c r="CD12" s="27" t="n">
        <f aca="false">IF(Time!CD30=1,IF(Time!CC30=1,CC12,1)/(1+CD9),0)</f>
        <v>0.226328812867628</v>
      </c>
      <c r="CE12" s="27" t="n">
        <f aca="false">IF(Time!CE30=1,IF(Time!CD30=1,CD12,1)/(1+CE9),0)</f>
        <v>0.220025130552826</v>
      </c>
      <c r="CF12" s="27" t="n">
        <f aca="false">IF(Time!CF30=1,IF(Time!CE30=1,CE12,1)/(1+CF9),0)</f>
        <v>0.213931632347421</v>
      </c>
      <c r="CG12" s="27" t="n">
        <f aca="false">IF(Time!CG30=1,IF(Time!CF30=1,CF12,1)/(1+CG9),0)</f>
        <v>0.20797323478275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4818.7014308574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14.4335477229002</v>
      </c>
      <c r="AA13" s="29" t="n">
        <f aca="false">Operations!AA48</f>
        <v>17.0914884408586</v>
      </c>
      <c r="AB13" s="29" t="n">
        <f aca="false">Operations!AB48</f>
        <v>8.99854340070927</v>
      </c>
      <c r="AC13" s="29" t="n">
        <f aca="false">Operations!AC48</f>
        <v>16.4507987511094</v>
      </c>
      <c r="AD13" s="29" t="n">
        <f aca="false">Operations!AD48</f>
        <v>18.005820723622</v>
      </c>
      <c r="AE13" s="29" t="n">
        <f aca="false">Operations!AE48</f>
        <v>23.0650335069316</v>
      </c>
      <c r="AF13" s="29" t="n">
        <f aca="false">Operations!AF48</f>
        <v>19.7110588731622</v>
      </c>
      <c r="AG13" s="29" t="n">
        <f aca="false">Operations!AG48</f>
        <v>24.8127200956232</v>
      </c>
      <c r="AH13" s="29" t="n">
        <f aca="false">Operations!AH48</f>
        <v>24.6930763855976</v>
      </c>
      <c r="AI13" s="29" t="n">
        <f aca="false">Operations!AI48</f>
        <v>25.3575479901645</v>
      </c>
      <c r="AJ13" s="29" t="n">
        <f aca="false">Operations!AJ48</f>
        <v>30.597759139989</v>
      </c>
      <c r="AK13" s="29" t="n">
        <f aca="false">Operations!AK48</f>
        <v>34.0621311257348</v>
      </c>
      <c r="AL13" s="29" t="n">
        <f aca="false">Operations!AL48</f>
        <v>33.7053197109686</v>
      </c>
      <c r="AM13" s="29" t="n">
        <f aca="false">Operations!AM48</f>
        <v>36.60170748443</v>
      </c>
      <c r="AN13" s="29" t="n">
        <f aca="false">Operations!AN48</f>
        <v>35.6574115938493</v>
      </c>
      <c r="AO13" s="29" t="n">
        <f aca="false">Operations!AO48</f>
        <v>41.4541021839148</v>
      </c>
      <c r="AP13" s="29" t="n">
        <f aca="false">Operations!AP48</f>
        <v>41.9053772617615</v>
      </c>
      <c r="AQ13" s="29" t="n">
        <f aca="false">Operations!AQ48</f>
        <v>33.2086098971247</v>
      </c>
      <c r="AR13" s="29" t="n">
        <f aca="false">Operations!AR48</f>
        <v>32.2664229327247</v>
      </c>
      <c r="AS13" s="29" t="n">
        <f aca="false">Operations!AS48</f>
        <v>32.6673554404873</v>
      </c>
      <c r="AT13" s="29" t="n">
        <f aca="false">Operations!AT48</f>
        <v>32.8432043594126</v>
      </c>
      <c r="AU13" s="29" t="n">
        <f aca="false">Operations!AU48</f>
        <v>34.4655051397935</v>
      </c>
      <c r="AV13" s="29" t="n">
        <f aca="false">Operations!AV48</f>
        <v>34.6526356060643</v>
      </c>
      <c r="AW13" s="29" t="n">
        <f aca="false">Operations!AW48</f>
        <v>43.6141626388462</v>
      </c>
      <c r="AX13" s="29" t="n">
        <f aca="false">Operations!AX48</f>
        <v>43.6761725196293</v>
      </c>
      <c r="AY13" s="29" t="n">
        <f aca="false">Operations!AY48</f>
        <v>42.0638103585527</v>
      </c>
      <c r="AZ13" s="29" t="n">
        <f aca="false">Operations!AZ48</f>
        <v>42.4339081472409</v>
      </c>
      <c r="BA13" s="29" t="n">
        <f aca="false">Operations!BA48</f>
        <v>41.7472817853526</v>
      </c>
      <c r="BB13" s="29" t="n">
        <f aca="false">Operations!BB48</f>
        <v>39.6482193769798</v>
      </c>
      <c r="BC13" s="29" t="n">
        <f aca="false">Operations!BC48</f>
        <v>56.1527904209994</v>
      </c>
      <c r="BD13" s="29" t="n">
        <f aca="false">Operations!BD48</f>
        <v>56.2273275719272</v>
      </c>
      <c r="BE13" s="29" t="n">
        <f aca="false">Operations!BE48</f>
        <v>63.1594734825397</v>
      </c>
      <c r="BF13" s="29" t="n">
        <f aca="false">Operations!BF48</f>
        <v>60.5068509332598</v>
      </c>
      <c r="BG13" s="29" t="n">
        <f aca="false">Operations!BG48</f>
        <v>58.3210689181156</v>
      </c>
      <c r="BH13" s="29" t="n">
        <f aca="false">Operations!BH48</f>
        <v>58.5042973907921</v>
      </c>
      <c r="BI13" s="29" t="n">
        <f aca="false">Operations!BI48</f>
        <v>60.401996979779</v>
      </c>
      <c r="BJ13" s="29" t="n">
        <f aca="false">Operations!BJ48</f>
        <v>60.2729756656549</v>
      </c>
      <c r="BK13" s="29" t="n">
        <f aca="false">Operations!BK48</f>
        <v>62.5649417778169</v>
      </c>
      <c r="BL13" s="29" t="n">
        <f aca="false">Operations!BL48</f>
        <v>62.4294618479714</v>
      </c>
      <c r="BM13" s="29" t="n">
        <f aca="false">Operations!BM48</f>
        <v>64.8131206052633</v>
      </c>
      <c r="BN13" s="29" t="n">
        <f aca="false">Operations!BN48</f>
        <v>64.6705048958496</v>
      </c>
      <c r="BO13" s="29" t="n">
        <f aca="false">Operations!BO48</f>
        <v>47.7073675683716</v>
      </c>
      <c r="BP13" s="29" t="n">
        <f aca="false">Operations!BP48</f>
        <v>47.9880660603619</v>
      </c>
      <c r="BQ13" s="29" t="n">
        <f aca="false">Operations!BQ48</f>
        <v>50.2828058561231</v>
      </c>
      <c r="BR13" s="29" t="n">
        <f aca="false">Operations!BR48</f>
        <v>49.6303915749486</v>
      </c>
      <c r="BS13" s="29" t="n">
        <f aca="false">Operations!BS48</f>
        <v>52.298772442366</v>
      </c>
      <c r="BT13" s="29" t="n">
        <f aca="false">Operations!BT48</f>
        <v>51.6209431642013</v>
      </c>
      <c r="BU13" s="29" t="n">
        <f aca="false">Operations!BU48</f>
        <v>89.8424358926629</v>
      </c>
      <c r="BV13" s="29" t="n">
        <f aca="false">Operations!BV48</f>
        <v>89.061924376185</v>
      </c>
      <c r="BW13" s="29" t="n">
        <f aca="false">Operations!BW48</f>
        <v>78.5259161971874</v>
      </c>
      <c r="BX13" s="29" t="n">
        <f aca="false">Operations!BX48</f>
        <v>75.2374861756489</v>
      </c>
      <c r="BY13" s="29" t="n">
        <f aca="false">Operations!BY48</f>
        <v>77.6598171553233</v>
      </c>
      <c r="BZ13" s="29" t="n">
        <f aca="false">Operations!BZ48</f>
        <v>76.8165912350313</v>
      </c>
      <c r="CA13" s="29" t="n">
        <f aca="false">Operations!CA48</f>
        <v>67.1708358465255</v>
      </c>
      <c r="CB13" s="29" t="n">
        <f aca="false">Operations!CB48</f>
        <v>66.3426510556007</v>
      </c>
      <c r="CC13" s="29" t="n">
        <f aca="false">Operations!CC48</f>
        <v>69.399650533258</v>
      </c>
      <c r="CD13" s="29" t="n">
        <f aca="false">Operations!CD48</f>
        <v>68.5402969452887</v>
      </c>
      <c r="CE13" s="29" t="n">
        <f aca="false">Operations!CE48</f>
        <v>65.6050990698115</v>
      </c>
      <c r="CF13" s="29" t="n">
        <f aca="false">Operations!CF48</f>
        <v>65.1900467059611</v>
      </c>
      <c r="CG13" s="29" t="n">
        <f aca="false">Operations!CG48</f>
        <v>103.128821265406</v>
      </c>
      <c r="CH13" s="29" t="n">
        <f aca="false">Operations!CH48</f>
        <v>79.4934471592548</v>
      </c>
      <c r="CI13" s="29" t="n">
        <f aca="false">Operations!CI48</f>
        <v>82.8028169178667</v>
      </c>
      <c r="CJ13" s="29" t="n">
        <f aca="false">Operations!CJ48</f>
        <v>81.8091872370815</v>
      </c>
      <c r="CK13" s="29" t="n">
        <f aca="false">Operations!CK48</f>
        <v>102.375088413017</v>
      </c>
      <c r="CL13" s="29" t="n">
        <f aca="false">Operations!CL48</f>
        <v>90.6020636347948</v>
      </c>
      <c r="CM13" s="29" t="n">
        <f aca="false">Operations!CM48</f>
        <v>74.8831022611121</v>
      </c>
      <c r="CN13" s="29" t="n">
        <f aca="false">Operations!CN48</f>
        <v>74.5712503087766</v>
      </c>
      <c r="CO13" s="29" t="n">
        <f aca="false">Operations!CO48</f>
        <v>77.9017856002315</v>
      </c>
      <c r="CP13" s="29" t="n">
        <f aca="false">Operations!CP48</f>
        <v>77.0471256016325</v>
      </c>
      <c r="CQ13" s="29" t="n">
        <f aca="false">Operations!CQ48</f>
        <v>80.9825138268942</v>
      </c>
      <c r="CR13" s="29" t="n">
        <f aca="false">Operations!CR48</f>
        <v>80.0559082041861</v>
      </c>
      <c r="CS13" s="29" t="n">
        <f aca="false">Operations!CS48</f>
        <v>125.896157296543</v>
      </c>
      <c r="CT13" s="29" t="n">
        <f aca="false">Operations!CT48</f>
        <v>91.5804595753685</v>
      </c>
      <c r="CU13" s="29" t="n">
        <f aca="false">Operations!CU48</f>
        <v>87.3709623339191</v>
      </c>
      <c r="CV13" s="29" t="n">
        <f aca="false">Operations!CV48</f>
        <v>86.673422823051</v>
      </c>
      <c r="CW13" s="29" t="n">
        <f aca="false">Operations!CW48</f>
        <v>90.4030159970879</v>
      </c>
      <c r="CX13" s="29" t="n">
        <f aca="false">Operations!CX48</f>
        <v>89.0820261185741</v>
      </c>
      <c r="CY13" s="29" t="n">
        <f aca="false">Operations!CY48</f>
        <v>93.5368552077883</v>
      </c>
      <c r="CZ13" s="29" t="n">
        <f aca="false">Operations!CZ48</f>
        <v>92.1777942346027</v>
      </c>
      <c r="DA13" s="29" t="n">
        <f aca="false">Operations!DA48</f>
        <v>117.507083821186</v>
      </c>
      <c r="DB13" s="29" t="n">
        <f aca="false">Operations!DB48</f>
        <v>121.983902080668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1221.78023775158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814.520158501056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788.245314678441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446.156958914269</v>
      </c>
      <c r="AE18" s="19" t="n">
        <f aca="false">IF(AND(Time!AE30=1,AE9&gt;0),AE13/(Inputs!$F$91*AE9),Inputs!$F$10)</f>
        <v>566.779356545321</v>
      </c>
      <c r="AF18" s="19" t="n">
        <f aca="false">IF(AND(Time!AF30=1,AF9&gt;0),AF13/(Inputs!$F$91*AF9),Inputs!$F$10)</f>
        <v>483.513666396531</v>
      </c>
      <c r="AG18" s="19" t="n">
        <f aca="false">IF(AND(Time!AG30=1,AG9&gt;0),AG13/(Inputs!$F$91*AG9),Inputs!$F$10)</f>
        <v>578.294924317048</v>
      </c>
      <c r="AH18" s="19" t="n">
        <f aca="false">IF(AND(Time!AH30=1,AH9&gt;0),AH13/(Inputs!$F$91*AH9),Inputs!$F$10)</f>
        <v>580.558518282608</v>
      </c>
      <c r="AI18" s="19" t="n">
        <f aca="false">IF(AND(Time!AI30=1,AI9&gt;0),AI13/(Inputs!$F$91*AI9),Inputs!$F$10)</f>
        <v>590.992895552177</v>
      </c>
      <c r="AJ18" s="19" t="n">
        <f aca="false">IF(AND(Time!AJ30=1,AJ9&gt;0),AJ13/(Inputs!$F$91*AJ9),Inputs!$F$10)</f>
        <v>717.284535665047</v>
      </c>
      <c r="AK18" s="19" t="n">
        <f aca="false">IF(AND(Time!AK30=1,AK9&gt;0),AK13/(Inputs!$F$91*AK9),Inputs!$F$10)</f>
        <v>793.865302374031</v>
      </c>
      <c r="AL18" s="19" t="n">
        <f aca="false">IF(AND(Time!AL30=1,AL9&gt;0),AL13/(Inputs!$F$91*AL9),Inputs!$F$10)</f>
        <v>792.445224891241</v>
      </c>
      <c r="AM18" s="19" t="n">
        <f aca="false">IF(AND(Time!AM30=1,AM9&gt;0),AM13/(Inputs!$F$91*AM9),Inputs!$F$10)</f>
        <v>853.053658688423</v>
      </c>
      <c r="AN18" s="19" t="n">
        <f aca="false">IF(AND(Time!AN30=1,AN9&gt;0),AN13/(Inputs!$F$91*AN9),Inputs!$F$10)</f>
        <v>838.340825479014</v>
      </c>
      <c r="AO18" s="19" t="n">
        <f aca="false">IF(AND(Time!AO30=1,AO9&gt;0),AO13/(Inputs!$F$91*AO9),Inputs!$F$10)</f>
        <v>966.145460582</v>
      </c>
      <c r="AP18" s="19" t="n">
        <f aca="false">IF(AND(Time!AP30=1,AP9&gt;0),AP13/(Inputs!$F$91*AP9),Inputs!$F$10)</f>
        <v>985.23664493063</v>
      </c>
      <c r="AQ18" s="19" t="n">
        <f aca="false">IF(AND(Time!AQ30=1,AQ9&gt;0),AQ13/(Inputs!$F$91*AQ9),Inputs!$F$10)</f>
        <v>773.972803994173</v>
      </c>
      <c r="AR18" s="19" t="n">
        <f aca="false">IF(AND(Time!AR30=1,AR9&gt;0),AR13/(Inputs!$F$91*AR9),Inputs!$F$10)</f>
        <v>756.401999407327</v>
      </c>
      <c r="AS18" s="19" t="n">
        <f aca="false">IF(AND(Time!AS30=1,AS9&gt;0),AS13/(Inputs!$F$91*AS9),Inputs!$F$10)</f>
        <v>761.358116695435</v>
      </c>
      <c r="AT18" s="19" t="n">
        <f aca="false">IF(AND(Time!AT30=1,AT9&gt;0),AT13/(Inputs!$F$91*AT9),Inputs!$F$10)</f>
        <v>772.176044847722</v>
      </c>
      <c r="AU18" s="19" t="n">
        <f aca="false">IF(AND(Time!AU30=1,AU9&gt;0),AU13/(Inputs!$F$91*AU9),Inputs!$F$10)</f>
        <v>803.266494344625</v>
      </c>
      <c r="AV18" s="19" t="n">
        <f aca="false">IF(AND(Time!AV30=1,AV9&gt;0),AV13/(Inputs!$F$91*AV9),Inputs!$F$10)</f>
        <v>814.717553531633</v>
      </c>
      <c r="AW18" s="19" t="n">
        <f aca="false">IF(AND(Time!AW30=1,AW9&gt;0),AW13/(Inputs!$F$91*AW9),Inputs!$F$10)</f>
        <v>1016.48867134208</v>
      </c>
      <c r="AX18" s="19" t="n">
        <f aca="false">IF(AND(Time!AX30=1,AX9&gt;0),AX13/(Inputs!$F$91*AX9),Inputs!$F$10)</f>
        <v>1026.86978350907</v>
      </c>
      <c r="AY18" s="19" t="n">
        <f aca="false">IF(AND(Time!AY30=1,AY9&gt;0),AY13/(Inputs!$F$91*AY9),Inputs!$F$10)</f>
        <v>980.355556909566</v>
      </c>
      <c r="AZ18" s="19" t="n">
        <f aca="false">IF(AND(Time!AZ30=1,AZ9&gt;0),AZ13/(Inputs!$F$91*AZ9),Inputs!$F$10)</f>
        <v>994.752130788161</v>
      </c>
      <c r="BA18" s="19" t="n">
        <f aca="false">IF(AND(Time!BA30=1,BA9&gt;0),BA13/(Inputs!$F$91*BA9),Inputs!$F$10)</f>
        <v>972.978418628171</v>
      </c>
      <c r="BB18" s="19" t="n">
        <f aca="false">IF(AND(Time!BB30=1,BB9&gt;0),BB13/(Inputs!$F$91*BB9),Inputs!$F$10)</f>
        <v>932.168642521539</v>
      </c>
      <c r="BC18" s="19" t="n">
        <f aca="false">IF(AND(Time!BC30=1,BC9&gt;0),BC13/(Inputs!$F$91*BC9),Inputs!$F$10)</f>
        <v>1308.71881686324</v>
      </c>
      <c r="BD18" s="19" t="n">
        <f aca="false">IF(AND(Time!BD30=1,BD9&gt;0),BD13/(Inputs!$F$91*BD9),Inputs!$F$10)</f>
        <v>1321.95978631436</v>
      </c>
      <c r="BE18" s="19" t="n">
        <f aca="false">IF(AND(Time!BE30=1,BE9&gt;0),BE13/(Inputs!$F$91*BE9),Inputs!$F$10)</f>
        <v>1472.01930287089</v>
      </c>
      <c r="BF18" s="19" t="n">
        <f aca="false">IF(AND(Time!BF30=1,BF9&gt;0),BF13/(Inputs!$F$91*BF9),Inputs!$F$10)</f>
        <v>1422.57559063189</v>
      </c>
      <c r="BG18" s="19" t="n">
        <f aca="false">IF(AND(Time!BG30=1,BG9&gt;0),BG13/(Inputs!$F$91*BG9),Inputs!$F$10)</f>
        <v>1357.10104685491</v>
      </c>
      <c r="BH18" s="19" t="n">
        <f aca="false">IF(AND(Time!BH30=1,BH9&gt;0),BH13/(Inputs!$F$91*BH9),Inputs!$F$10)</f>
        <v>1369.31960572322</v>
      </c>
      <c r="BI18" s="19" t="n">
        <f aca="false">IF(AND(Time!BI30=1,BI9&gt;0),BI13/(Inputs!$F$91*BI9),Inputs!$F$10)</f>
        <v>1405.52316433836</v>
      </c>
      <c r="BJ18" s="19" t="n">
        <f aca="false">IF(AND(Time!BJ30=1,BJ9&gt;0),BJ13/(Inputs!$F$91*BJ9),Inputs!$F$10)</f>
        <v>1414.8500531077</v>
      </c>
      <c r="BK18" s="19" t="n">
        <f aca="false">IF(AND(Time!BK30=1,BK9&gt;0),BK13/(Inputs!$F$91*BK9),Inputs!$F$10)</f>
        <v>1455.85376876929</v>
      </c>
      <c r="BL18" s="19" t="n">
        <f aca="false">IF(AND(Time!BL30=1,BL9&gt;0),BL13/(Inputs!$F$91*BL9),Inputs!$F$10)</f>
        <v>1465.47148926345</v>
      </c>
      <c r="BM18" s="19" t="n">
        <f aca="false">IF(AND(Time!BM30=1,BM9&gt;0),BM13/(Inputs!$F$91*BM9),Inputs!$F$10)</f>
        <v>1508.16772488913</v>
      </c>
      <c r="BN18" s="19" t="n">
        <f aca="false">IF(AND(Time!BN30=1,BN9&gt;0),BN13/(Inputs!$F$91*BN9),Inputs!$F$10)</f>
        <v>1518.07781639911</v>
      </c>
      <c r="BO18" s="19" t="n">
        <f aca="false">IF(AND(Time!BO30=1,BO9&gt;0),BO13/(Inputs!$F$91*BO9),Inputs!$F$10)</f>
        <v>1110.12571735664</v>
      </c>
      <c r="BP18" s="19" t="n">
        <f aca="false">IF(AND(Time!BP30=1,BP9&gt;0),BP13/(Inputs!$F$91*BP9),Inputs!$F$10)</f>
        <v>1123.18244347528</v>
      </c>
      <c r="BQ18" s="19" t="n">
        <f aca="false">IF(AND(Time!BQ30=1,BQ9&gt;0),BQ13/(Inputs!$F$91*BQ9),Inputs!$F$10)</f>
        <v>1170.05483150448</v>
      </c>
      <c r="BR18" s="19" t="n">
        <f aca="false">IF(AND(Time!BR30=1,BR9&gt;0),BR13/(Inputs!$F$91*BR9),Inputs!$F$10)</f>
        <v>1165.02564175846</v>
      </c>
      <c r="BS18" s="19" t="n">
        <f aca="false">IF(AND(Time!BS30=1,BS9&gt;0),BS13/(Inputs!$F$91*BS9),Inputs!$F$10)</f>
        <v>1216.96532912338</v>
      </c>
      <c r="BT18" s="19" t="n">
        <f aca="false">IF(AND(Time!BT30=1,BT9&gt;0),BT13/(Inputs!$F$91*BT9),Inputs!$F$10)</f>
        <v>1211.75192315845</v>
      </c>
      <c r="BU18" s="19" t="n">
        <f aca="false">IF(AND(Time!BU30=1,BU9&gt;0),BU13/(Inputs!$F$91*BU9),Inputs!$F$10)</f>
        <v>2090.58691933639</v>
      </c>
      <c r="BV18" s="19" t="n">
        <f aca="false">IF(AND(Time!BV30=1,BV9&gt;0),BV13/(Inputs!$F$91*BV9),Inputs!$F$10)</f>
        <v>2090.64289661946</v>
      </c>
      <c r="BW18" s="19" t="n">
        <f aca="false">IF(AND(Time!BW30=1,BW9&gt;0),BW13/(Inputs!$F$91*BW9),Inputs!$F$10)</f>
        <v>1827.25737119236</v>
      </c>
      <c r="BX18" s="19" t="n">
        <f aca="false">IF(AND(Time!BX30=1,BX9&gt;0),BX13/(Inputs!$F$91*BX9),Inputs!$F$10)</f>
        <v>1760.96747590136</v>
      </c>
      <c r="BY18" s="19" t="n">
        <f aca="false">IF(AND(Time!BY30=1,BY9&gt;0),BY13/(Inputs!$F$91*BY9),Inputs!$F$10)</f>
        <v>1807.10369537335</v>
      </c>
      <c r="BZ18" s="19" t="n">
        <f aca="false">IF(AND(Time!BZ30=1,BZ9&gt;0),BZ13/(Inputs!$F$91*BZ9),Inputs!$F$10)</f>
        <v>1803.19549496487</v>
      </c>
      <c r="CA18" s="19" t="n">
        <f aca="false">IF(AND(Time!CA30=1,CA9&gt;0),CA13/(Inputs!$F$91*CA9),Inputs!$F$10)</f>
        <v>1563.03053658751</v>
      </c>
      <c r="CB18" s="19" t="n">
        <f aca="false">IF(AND(Time!CB30=1,CB9&gt;0),CB13/(Inputs!$F$91*CB9),Inputs!$F$10)</f>
        <v>1557.32983700701</v>
      </c>
      <c r="CC18" s="19" t="n">
        <f aca="false">IF(AND(Time!CC30=1,CC9&gt;0),CC13/(Inputs!$F$91*CC9),Inputs!$F$10)</f>
        <v>1614.89389918906</v>
      </c>
      <c r="CD18" s="19" t="n">
        <f aca="false">IF(AND(Time!CD30=1,CD9&gt;0),CD13/(Inputs!$F$91*CD9),Inputs!$F$10)</f>
        <v>1608.91745765121</v>
      </c>
      <c r="CE18" s="19" t="n">
        <f aca="false">IF(AND(Time!CE30=1,CE9&gt;0),CE13/(Inputs!$F$91*CE9),Inputs!$F$10)</f>
        <v>1526.5966532895</v>
      </c>
      <c r="CF18" s="19" t="n">
        <f aca="false">IF(AND(Time!CF30=1,CF9&gt;0),CF13/(Inputs!$F$91*CF9),Inputs!$F$10)</f>
        <v>1525.80259969987</v>
      </c>
      <c r="CG18" s="19" t="n">
        <f aca="false">IF(AND(Time!CG30=1,CG9&gt;0),CG13/(Inputs!$F$91*CG9),Inputs!$F$10)</f>
        <v>2399.75422084081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446.156958914269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1045.28474254284</v>
      </c>
      <c r="AG20" s="19" t="n">
        <f aca="false">IF(AND(Time!AG30=1,AG9&gt;0),Inputs!AG275/(Inputs!$F$92*AG9),Inputs!$F$10)</f>
        <v>1055.73554284125</v>
      </c>
      <c r="AH20" s="19" t="n">
        <f aca="false">IF(AND(Time!AH30=1,AH9&gt;0),Inputs!AH275/(Inputs!$F$92*AH9),Inputs!$F$10)</f>
        <v>1142.39839908035</v>
      </c>
      <c r="AI20" s="19" t="n">
        <f aca="false">IF(AND(Time!AI30=1,AI9&gt;0),Inputs!AI275/(Inputs!$F$92*AI9),Inputs!$F$10)</f>
        <v>1102.44156599663</v>
      </c>
      <c r="AJ20" s="19" t="n">
        <f aca="false">IF(AND(Time!AJ30=1,AJ9&gt;0),Inputs!AJ275/(Inputs!$F$92*AJ9),Inputs!$F$10)</f>
        <v>1123.27142008023</v>
      </c>
      <c r="AK20" s="19" t="n">
        <f aca="false">IF(AND(Time!AK30=1,AK9&gt;0),Inputs!AK275/(Inputs!$F$92*AK9),Inputs!$F$10)</f>
        <v>1176.2062985892</v>
      </c>
      <c r="AL20" s="19" t="n">
        <f aca="false">IF(AND(Time!AL30=1,AL9&gt;0),Inputs!AL275/(Inputs!$F$92*AL9),Inputs!$F$10)</f>
        <v>1194.69935486039</v>
      </c>
      <c r="AM20" s="19" t="n">
        <f aca="false">IF(AND(Time!AM30=1,AM9&gt;0),Inputs!AM275/(Inputs!$F$92*AM9),Inputs!$F$10)</f>
        <v>1254.28802520042</v>
      </c>
      <c r="AN20" s="19" t="n">
        <f aca="false">IF(AND(Time!AN30=1,AN9&gt;0),Inputs!AN275/(Inputs!$F$92*AN9),Inputs!$F$10)</f>
        <v>1273.95498885961</v>
      </c>
      <c r="AO20" s="19" t="n">
        <f aca="false">IF(AND(Time!AO30=1,AO9&gt;0),Inputs!AO275/(Inputs!$F$92*AO9),Inputs!$F$10)</f>
        <v>1433.81388123236</v>
      </c>
      <c r="AP20" s="19" t="n">
        <f aca="false">IF(AND(Time!AP30=1,AP9&gt;0),Inputs!AP275/(Inputs!$F$92*AP9),Inputs!$F$10)</f>
        <v>1455.50600367235</v>
      </c>
      <c r="AQ20" s="19" t="n">
        <f aca="false">IF(AND(Time!AQ30=1,AQ9&gt;0),Inputs!AQ275/(Inputs!$F$92*AQ9),Inputs!$F$10)</f>
        <v>1207.62955810875</v>
      </c>
      <c r="AR20" s="19" t="n">
        <f aca="false">IF(AND(Time!AR30=1,AR9&gt;0),Inputs!AR275/(Inputs!$F$92*AR9),Inputs!$F$10)</f>
        <v>1232.79484897242</v>
      </c>
      <c r="AS20" s="19" t="n">
        <f aca="false">IF(AND(Time!AS30=1,AS9&gt;0),Inputs!AS275/(Inputs!$F$92*AS9),Inputs!$F$10)</f>
        <v>1298.9140439191</v>
      </c>
      <c r="AT20" s="19" t="n">
        <f aca="false">IF(AND(Time!AT30=1,AT9&gt;0),Inputs!AT275/(Inputs!$F$92*AT9),Inputs!$F$10)</f>
        <v>1320.51316892982</v>
      </c>
      <c r="AU20" s="19" t="n">
        <f aca="false">IF(AND(Time!AU30=1,AU9&gt;0),Inputs!AU275/(Inputs!$F$92*AU9),Inputs!$F$10)</f>
        <v>1395.28170422019</v>
      </c>
      <c r="AV20" s="19" t="n">
        <f aca="false">IF(AND(Time!AV30=1,AV9&gt;0),Inputs!AV275/(Inputs!$F$92*AV9),Inputs!$F$10)</f>
        <v>1418.31207973369</v>
      </c>
      <c r="AW20" s="19" t="n">
        <f aca="false">IF(AND(Time!AW30=1,AW9&gt;0),Inputs!AW275/(Inputs!$F$92*AW9),Inputs!$F$10)</f>
        <v>1547.17279406813</v>
      </c>
      <c r="AX20" s="19" t="n">
        <f aca="false">IF(AND(Time!AX30=1,AX9&gt;0),Inputs!AX275/(Inputs!$F$92*AX9),Inputs!$F$10)</f>
        <v>1558.89226224279</v>
      </c>
      <c r="AY20" s="19" t="n">
        <f aca="false">IF(AND(Time!AY30=1,AY9&gt;0),Inputs!AY275/(Inputs!$F$92*AY9),Inputs!$F$10)</f>
        <v>1509.95666569108</v>
      </c>
      <c r="AZ20" s="19" t="n">
        <f aca="false">IF(AND(Time!AZ30=1,AZ9&gt;0),Inputs!AZ275/(Inputs!$F$92*AZ9),Inputs!$F$10)</f>
        <v>1527.34691315479</v>
      </c>
      <c r="BA20" s="19" t="n">
        <f aca="false">IF(AND(Time!BA30=1,BA9&gt;0),Inputs!BA275/(Inputs!$F$92*BA9),Inputs!$F$10)</f>
        <v>1594.94884998832</v>
      </c>
      <c r="BB20" s="19" t="n">
        <f aca="false">IF(AND(Time!BB30=1,BB9&gt;0),Inputs!BB275/(Inputs!$F$92*BB9),Inputs!$F$10)</f>
        <v>1606.99584677162</v>
      </c>
      <c r="BC20" s="19" t="n">
        <f aca="false">IF(AND(Time!BC30=1,BC9&gt;0),Inputs!BC275/(Inputs!$F$92*BC9),Inputs!$F$10)</f>
        <v>1936.08954705301</v>
      </c>
      <c r="BD20" s="19" t="n">
        <f aca="false">IF(AND(Time!BD30=1,BD9&gt;0),Inputs!BD275/(Inputs!$F$92*BD9),Inputs!$F$10)</f>
        <v>1951.11378991094</v>
      </c>
      <c r="BE20" s="19" t="n">
        <f aca="false">IF(AND(Time!BE30=1,BE9&gt;0),Inputs!BE275/(Inputs!$F$92*BE9),Inputs!$F$10)</f>
        <v>2148.49250854922</v>
      </c>
      <c r="BF20" s="19" t="n">
        <f aca="false">IF(AND(Time!BF30=1,BF9&gt;0),Inputs!BF275/(Inputs!$F$92*BF9),Inputs!$F$10)</f>
        <v>2165.36030582617</v>
      </c>
      <c r="BG20" s="19" t="n">
        <f aca="false">IF(AND(Time!BG30=1,BG9&gt;0),Inputs!BG275/(Inputs!$F$92*BG9),Inputs!$F$10)</f>
        <v>2241.76502551873</v>
      </c>
      <c r="BH20" s="19" t="n">
        <f aca="false">IF(AND(Time!BH30=1,BH9&gt;0),Inputs!BH275/(Inputs!$F$92*BH9),Inputs!$F$10)</f>
        <v>2265.23934895087</v>
      </c>
      <c r="BI20" s="19" t="n">
        <f aca="false">IF(AND(Time!BI30=1,BI9&gt;0),Inputs!BI275/(Inputs!$F$92*BI9),Inputs!$F$10)</f>
        <v>2342.90044574968</v>
      </c>
      <c r="BJ20" s="19" t="n">
        <f aca="false">IF(AND(Time!BJ30=1,BJ9&gt;0),Inputs!BJ275/(Inputs!$F$92*BJ9),Inputs!$F$10)</f>
        <v>2361.38487400564</v>
      </c>
      <c r="BK20" s="19" t="n">
        <f aca="false">IF(AND(Time!BK30=1,BK9&gt;0),Inputs!BK275/(Inputs!$F$92*BK9),Inputs!$F$10)</f>
        <v>2448.71714004465</v>
      </c>
      <c r="BL20" s="19" t="n">
        <f aca="false">IF(AND(Time!BL30=1,BL9&gt;0),Inputs!BL275/(Inputs!$F$92*BL9),Inputs!$F$10)</f>
        <v>2468.09972145896</v>
      </c>
      <c r="BM20" s="19" t="n">
        <f aca="false">IF(AND(Time!BM30=1,BM9&gt;0),Inputs!BM275/(Inputs!$F$92*BM9),Inputs!$F$10)</f>
        <v>2558.39828476913</v>
      </c>
      <c r="BN20" s="19" t="n">
        <f aca="false">IF(AND(Time!BN30=1,BN9&gt;0),Inputs!BN275/(Inputs!$F$92*BN9),Inputs!$F$10)</f>
        <v>2578.63630339557</v>
      </c>
      <c r="BO20" s="19" t="n">
        <f aca="false">IF(AND(Time!BO30=1,BO9&gt;0),Inputs!BO275/(Inputs!$F$92*BO9),Inputs!$F$10)</f>
        <v>2108.38769753685</v>
      </c>
      <c r="BP20" s="19" t="n">
        <f aca="false">IF(AND(Time!BP30=1,BP9&gt;0),Inputs!BP275/(Inputs!$F$92*BP9),Inputs!$F$10)</f>
        <v>2133.2713923226</v>
      </c>
      <c r="BQ20" s="19" t="n">
        <f aca="false">IF(AND(Time!BQ30=1,BQ9&gt;0),Inputs!BQ275/(Inputs!$F$92*BQ9),Inputs!$F$10)</f>
        <v>2228.08771989194</v>
      </c>
      <c r="BR20" s="19" t="n">
        <f aca="false">IF(AND(Time!BR30=1,BR9&gt;0),Inputs!BR275/(Inputs!$F$92*BR9),Inputs!$F$10)</f>
        <v>2220.51549532039</v>
      </c>
      <c r="BS20" s="19" t="n">
        <f aca="false">IF(AND(Time!BS30=1,BS9&gt;0),Inputs!BS275/(Inputs!$F$92*BS9),Inputs!$F$10)</f>
        <v>2325.5171847929</v>
      </c>
      <c r="BT20" s="19" t="n">
        <f aca="false">IF(AND(Time!BT30=1,BT9&gt;0),Inputs!BT275/(Inputs!$F$92*BT9),Inputs!$F$10)</f>
        <v>2317.92682209633</v>
      </c>
      <c r="BU20" s="19" t="n">
        <f aca="false">IF(AND(Time!BU30=1,BU9&gt;0),Inputs!BU275/(Inputs!$F$92*BU9),Inputs!$F$10)</f>
        <v>2990.94014974037</v>
      </c>
      <c r="BV20" s="19" t="n">
        <f aca="false">IF(AND(Time!BV30=1,BV9&gt;0),Inputs!BV275/(Inputs!$F$92*BV9),Inputs!$F$10)</f>
        <v>2988.29183742373</v>
      </c>
      <c r="BW20" s="19" t="n">
        <f aca="false">IF(AND(Time!BW30=1,BW9&gt;0),Inputs!BW275/(Inputs!$F$92*BW9),Inputs!$F$10)</f>
        <v>3095.25221273968</v>
      </c>
      <c r="BX20" s="19" t="n">
        <f aca="false">IF(AND(Time!BX30=1,BX9&gt;0),Inputs!BX275/(Inputs!$F$92*BX9),Inputs!$F$10)</f>
        <v>3100.57825024644</v>
      </c>
      <c r="BY20" s="19" t="n">
        <f aca="false">IF(AND(Time!BY30=1,BY9&gt;0),Inputs!BY275/(Inputs!$F$92*BY9),Inputs!$F$10)</f>
        <v>3203.09904905696</v>
      </c>
      <c r="BZ20" s="19" t="n">
        <f aca="false">IF(AND(Time!BZ30=1,BZ9&gt;0),Inputs!BZ275/(Inputs!$F$92*BZ9),Inputs!$F$10)</f>
        <v>3200.39956736032</v>
      </c>
      <c r="CA20" s="19" t="n">
        <f aca="false">IF(AND(Time!CA30=1,CA9&gt;0),Inputs!CA275/(Inputs!$F$92*CA9),Inputs!$F$10)</f>
        <v>2950.03601319587</v>
      </c>
      <c r="CB20" s="19" t="n">
        <f aca="false">IF(AND(Time!CB30=1,CB9&gt;0),Inputs!CB275/(Inputs!$F$92*CB9),Inputs!$F$10)</f>
        <v>2944.10189625729</v>
      </c>
      <c r="CC20" s="19" t="n">
        <f aca="false">IF(AND(Time!CC30=1,CC9&gt;0),Inputs!CC275/(Inputs!$F$92*CC9),Inputs!$F$10)</f>
        <v>3065.14342161582</v>
      </c>
      <c r="CD20" s="19" t="n">
        <f aca="false">IF(AND(Time!CD30=1,CD9&gt;0),Inputs!CD275/(Inputs!$F$92*CD9),Inputs!$F$10)</f>
        <v>3059.17562462628</v>
      </c>
      <c r="CE20" s="19" t="n">
        <f aca="false">IF(AND(Time!CE30=1,CE9&gt;0),Inputs!CE275/(Inputs!$F$92*CE9),Inputs!$F$10)</f>
        <v>3007.50396833001</v>
      </c>
      <c r="CF20" s="19" t="n">
        <f aca="false">IF(AND(Time!CF30=1,CF9&gt;0),Inputs!CF275/(Inputs!$F$92*CF9),Inputs!$F$10)</f>
        <v>3010.71294813579</v>
      </c>
      <c r="CG20" s="19" t="n">
        <f aca="false">IF(AND(Time!CG30=1,CG9&gt;0),Inputs!CG275/(Inputs!$F$92*CG9),Inputs!$F$10)</f>
        <v>3203.64684915041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446.156958914269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4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664.415436016214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882.130169013</v>
      </c>
      <c r="AF31" s="19" t="n">
        <f aca="false">IF(Time!AF21=1,$F$26,AE36)</f>
        <v>882.130169013</v>
      </c>
      <c r="AG31" s="19" t="n">
        <f aca="false">IF(Time!AG21=1,$F$26,AF36)</f>
        <v>882.130169013</v>
      </c>
      <c r="AH31" s="19" t="n">
        <f aca="false">IF(Time!AH21=1,$F$26,AG36)</f>
        <v>882.130169013</v>
      </c>
      <c r="AI31" s="19" t="n">
        <f aca="false">IF(Time!AI21=1,$F$26,AH36)</f>
        <v>882.130169013</v>
      </c>
      <c r="AJ31" s="19" t="n">
        <f aca="false">IF(Time!AJ21=1,$F$26,AI36)</f>
        <v>882.130169013</v>
      </c>
      <c r="AK31" s="19" t="n">
        <f aca="false">IF(Time!AK21=1,$F$26,AJ36)</f>
        <v>882.130169013</v>
      </c>
      <c r="AL31" s="19" t="n">
        <f aca="false">IF(Time!AL21=1,$F$26,AK36)</f>
        <v>882.130169013</v>
      </c>
      <c r="AM31" s="19" t="n">
        <f aca="false">IF(Time!AM21=1,$F$26,AL36)</f>
        <v>882.130169013</v>
      </c>
      <c r="AN31" s="19" t="n">
        <f aca="false">IF(Time!AN21=1,$F$26,AM36)</f>
        <v>882.130169013</v>
      </c>
      <c r="AO31" s="19" t="n">
        <f aca="false">IF(Time!AO21=1,$F$26,AN36)</f>
        <v>882.130169013</v>
      </c>
      <c r="AP31" s="19" t="n">
        <f aca="false">IF(Time!AP21=1,$F$26,AO36)</f>
        <v>879.726957057998</v>
      </c>
      <c r="AQ31" s="19" t="n">
        <f aca="false">IF(Time!AQ21=1,$F$26,AP36)</f>
        <v>876.735172767511</v>
      </c>
      <c r="AR31" s="19" t="n">
        <f aca="false">IF(Time!AR21=1,$F$26,AQ36)</f>
        <v>876.735172767511</v>
      </c>
      <c r="AS31" s="19" t="n">
        <f aca="false">IF(Time!AS21=1,$F$26,AR36)</f>
        <v>876.735172767511</v>
      </c>
      <c r="AT31" s="19" t="n">
        <f aca="false">IF(Time!AT21=1,$F$26,AS36)</f>
        <v>876.735172767511</v>
      </c>
      <c r="AU31" s="19" t="n">
        <f aca="false">IF(Time!AU21=1,$F$26,AT36)</f>
        <v>876.735172767511</v>
      </c>
      <c r="AV31" s="19" t="n">
        <f aca="false">IF(Time!AV21=1,$F$26,AU36)</f>
        <v>876.735172767511</v>
      </c>
      <c r="AW31" s="19" t="n">
        <f aca="false">IF(Time!AW21=1,$F$26,AV36)</f>
        <v>876.735172767511</v>
      </c>
      <c r="AX31" s="19" t="n">
        <f aca="false">IF(Time!AX21=1,$F$26,AW36)</f>
        <v>872.737599560829</v>
      </c>
      <c r="AY31" s="19" t="n">
        <f aca="false">IF(Time!AY21=1,$F$26,AX36)</f>
        <v>868.367098084685</v>
      </c>
      <c r="AZ31" s="19" t="n">
        <f aca="false">IF(Time!AZ21=1,$F$26,AY36)</f>
        <v>865.163728816495</v>
      </c>
      <c r="BA31" s="19" t="n">
        <f aca="false">IF(Time!BA21=1,$F$26,AZ36)</f>
        <v>861.47842727184</v>
      </c>
      <c r="BB31" s="19" t="n">
        <f aca="false">IF(Time!BB21=1,$F$26,BA36)</f>
        <v>858.289030351279</v>
      </c>
      <c r="BC31" s="19" t="n">
        <f aca="false">IF(Time!BC21=1,$F$26,BB36)</f>
        <v>856.194133972237</v>
      </c>
      <c r="BD31" s="19" t="n">
        <f aca="false">IF(Time!BD21=1,$F$26,BC36)</f>
        <v>843.249910277386</v>
      </c>
      <c r="BE31" s="19" t="n">
        <f aca="false">IF(Time!BE21=1,$F$26,BD36)</f>
        <v>829.675832714411</v>
      </c>
      <c r="BF31" s="19" t="n">
        <f aca="false">IF(Time!BF21=1,$F$26,BE36)</f>
        <v>811.301945319996</v>
      </c>
      <c r="BG31" s="19" t="n">
        <f aca="false">IF(Time!BG21=1,$F$26,BF36)</f>
        <v>793.96895034952</v>
      </c>
      <c r="BH31" s="19" t="n">
        <f aca="false">IF(Time!BH21=1,$F$26,BG36)</f>
        <v>777.835312211369</v>
      </c>
      <c r="BI31" s="19" t="n">
        <f aca="false">IF(Time!BI21=1,$F$26,BH36)</f>
        <v>760.987834157321</v>
      </c>
      <c r="BJ31" s="19" t="n">
        <f aca="false">IF(Time!BJ21=1,$F$26,BI36)</f>
        <v>742.522007313273</v>
      </c>
      <c r="BK31" s="19" t="n">
        <f aca="false">IF(Time!BK21=1,$F$26,BJ36)</f>
        <v>723.427775688046</v>
      </c>
      <c r="BL31" s="19" t="n">
        <f aca="false">IF(Time!BL21=1,$F$26,BK36)</f>
        <v>702.443896401678</v>
      </c>
      <c r="BM31" s="19" t="n">
        <f aca="false">IF(Time!BM21=1,$F$26,BL36)</f>
        <v>680.773782108994</v>
      </c>
      <c r="BN31" s="19" t="n">
        <f aca="false">IF(Time!BN21=1,$F$26,BM36)</f>
        <v>657.069087325388</v>
      </c>
      <c r="BO31" s="19" t="n">
        <f aca="false">IF(Time!BO21=1,$F$26,BN36)</f>
        <v>632.616291986693</v>
      </c>
      <c r="BP31" s="19" t="n">
        <f aca="false">IF(Time!BP21=1,$F$26,BO36)</f>
        <v>618.935728715156</v>
      </c>
      <c r="BQ31" s="19" t="n">
        <f aca="false">IF(Time!BQ21=1,$F$26,BP36)</f>
        <v>604.5730726752</v>
      </c>
      <c r="BR31" s="19" t="n">
        <f aca="false">IF(Time!BR21=1,$F$26,BQ36)</f>
        <v>588.372117113809</v>
      </c>
      <c r="BS31" s="19" t="n">
        <f aca="false">IF(Time!BS21=1,$F$26,BR36)</f>
        <v>571.995058271859</v>
      </c>
      <c r="BT31" s="19" t="n">
        <f aca="false">IF(Time!BT21=1,$F$26,BS36)</f>
        <v>553.516770452078</v>
      </c>
      <c r="BU31" s="19" t="n">
        <f aca="false">IF(Time!BU21=1,$F$26,BT36)</f>
        <v>534.822779403719</v>
      </c>
      <c r="BV31" s="19" t="n">
        <f aca="false">IF(Time!BV21=1,$F$26,BU36)</f>
        <v>490.250403192617</v>
      </c>
      <c r="BW31" s="19" t="n">
        <f aca="false">IF(Time!BW21=1,$F$26,BV36)</f>
        <v>444.798982339484</v>
      </c>
      <c r="BX31" s="19" t="n">
        <f aca="false">IF(Time!BX21=1,$F$26,BW36)</f>
        <v>405.191786221176</v>
      </c>
      <c r="BY31" s="19" t="n">
        <f aca="false">IF(Time!BY21=1,$F$26,BX36)</f>
        <v>366.574697942328</v>
      </c>
      <c r="BZ31" s="19" t="n">
        <f aca="false">IF(Time!BZ21=1,$F$26,BY36)</f>
        <v>325.303788831854</v>
      </c>
      <c r="CA31" s="19" t="n">
        <f aca="false">IF(Time!CA21=1,$F$26,BZ36)</f>
        <v>283.331411314028</v>
      </c>
      <c r="CB31" s="19" t="n">
        <f aca="false">IF(Time!CB21=1,$F$26,CA36)</f>
        <v>246.668250501505</v>
      </c>
      <c r="CC31" s="19" t="n">
        <f aca="false">IF(Time!CC21=1,$F$26,CB36)</f>
        <v>209.445237016395</v>
      </c>
      <c r="CD31" s="19" t="n">
        <f aca="false">IF(Time!CD21=1,$F$26,CC36)</f>
        <v>169.179373504165</v>
      </c>
      <c r="CE31" s="19" t="n">
        <f aca="false">IF(Time!CE21=1,$F$26,CD36)</f>
        <v>128.290565383895</v>
      </c>
      <c r="CF31" s="19" t="n">
        <f aca="false">IF(Time!CF21=1,$F$26,CE36)</f>
        <v>88.2293354013736</v>
      </c>
      <c r="CG31" s="19" t="n">
        <f aca="false">IF(Time!CG21=1,$F$26,CF36)</f>
        <v>47.2823748700029</v>
      </c>
      <c r="CH31" s="19" t="n">
        <f aca="false">IF(Time!CH21=1,$F$26,CG36)</f>
        <v>-20.115540696539</v>
      </c>
      <c r="CI31" s="19" t="n">
        <f aca="false">IF(Time!CI21=1,$F$26,CH36)</f>
        <v>-20.115540696539</v>
      </c>
      <c r="CJ31" s="19" t="n">
        <f aca="false">IF(Time!CJ21=1,$F$26,CI36)</f>
        <v>-20.115540696539</v>
      </c>
      <c r="CK31" s="19" t="n">
        <f aca="false">IF(Time!CK21=1,$F$26,CJ36)</f>
        <v>-20.115540696539</v>
      </c>
      <c r="CL31" s="19" t="n">
        <f aca="false">IF(Time!CL21=1,$F$26,CK36)</f>
        <v>-20.115540696539</v>
      </c>
      <c r="CM31" s="19" t="n">
        <f aca="false">IF(Time!CM21=1,$F$26,CL36)</f>
        <v>-20.115540696539</v>
      </c>
      <c r="CN31" s="19" t="n">
        <f aca="false">IF(Time!CN21=1,$F$26,CM36)</f>
        <v>-20.115540696539</v>
      </c>
      <c r="CO31" s="19" t="n">
        <f aca="false">IF(Time!CO21=1,$F$26,CN36)</f>
        <v>-20.115540696539</v>
      </c>
      <c r="CP31" s="19" t="n">
        <f aca="false">IF(Time!CP21=1,$F$26,CO36)</f>
        <v>-20.115540696539</v>
      </c>
      <c r="CQ31" s="19" t="n">
        <f aca="false">IF(Time!CQ21=1,$F$26,CP36)</f>
        <v>-20.115540696539</v>
      </c>
      <c r="CR31" s="19" t="n">
        <f aca="false">IF(Time!CR21=1,$F$26,CQ36)</f>
        <v>-20.115540696539</v>
      </c>
      <c r="CS31" s="19" t="n">
        <f aca="false">IF(Time!CS21=1,$F$26,CR36)</f>
        <v>-20.115540696539</v>
      </c>
      <c r="CT31" s="19" t="n">
        <f aca="false">IF(Time!CT21=1,$F$26,CS36)</f>
        <v>-20.115540696539</v>
      </c>
      <c r="CU31" s="19" t="n">
        <f aca="false">IF(Time!CU21=1,$F$26,CT36)</f>
        <v>-20.115540696539</v>
      </c>
      <c r="CV31" s="19" t="n">
        <f aca="false">IF(Time!CV21=1,$F$26,CU36)</f>
        <v>-20.115540696539</v>
      </c>
      <c r="CW31" s="19" t="n">
        <f aca="false">IF(Time!CW21=1,$F$26,CV36)</f>
        <v>-20.115540696539</v>
      </c>
      <c r="CX31" s="19" t="n">
        <f aca="false">IF(Time!CX21=1,$F$26,CW36)</f>
        <v>-20.115540696539</v>
      </c>
      <c r="CY31" s="19" t="n">
        <f aca="false">IF(Time!CY21=1,$F$26,CX36)</f>
        <v>-20.115540696539</v>
      </c>
      <c r="CZ31" s="19" t="n">
        <f aca="false">IF(Time!CZ21=1,$F$26,CY36)</f>
        <v>-20.115540696539</v>
      </c>
      <c r="DA31" s="19" t="n">
        <f aca="false">IF(Time!DA21=1,$F$26,CZ36)</f>
        <v>-20.115540696539</v>
      </c>
      <c r="DB31" s="19" t="n">
        <f aca="false">IF(Time!DB21=1,$F$26,DA36)</f>
        <v>-20.115540696539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1161.78326999592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23.9321371074356</v>
      </c>
      <c r="AF32" s="19" t="n">
        <f aca="false">AF31*AF9</f>
        <v>23.9741168363006</v>
      </c>
      <c r="AG32" s="19" t="n">
        <f aca="false">AG31*AG9</f>
        <v>25.2328561676076</v>
      </c>
      <c r="AH32" s="19" t="n">
        <f aca="false">AH31*AH9</f>
        <v>25.0132782593729</v>
      </c>
      <c r="AI32" s="19" t="n">
        <f aca="false">AI31*AI9</f>
        <v>25.2328561676076</v>
      </c>
      <c r="AJ32" s="19" t="n">
        <f aca="false">AJ31*AJ9</f>
        <v>25.0864708954511</v>
      </c>
      <c r="AK32" s="19" t="n">
        <f aca="false">AK31*AK9</f>
        <v>25.2328561676076</v>
      </c>
      <c r="AL32" s="19" t="n">
        <f aca="false">AL31*AL9</f>
        <v>25.0132782593729</v>
      </c>
      <c r="AM32" s="19" t="n">
        <f aca="false">AM31*AM9</f>
        <v>25.2328561676076</v>
      </c>
      <c r="AN32" s="19" t="n">
        <f aca="false">AN31*AN9</f>
        <v>25.0132782593729</v>
      </c>
      <c r="AO32" s="19" t="n">
        <f aca="false">AO31*AO9</f>
        <v>25.2328561676076</v>
      </c>
      <c r="AP32" s="19" t="n">
        <f aca="false">AP31*AP9</f>
        <v>24.9451338840207</v>
      </c>
      <c r="AQ32" s="19" t="n">
        <f aca="false">AQ31*AQ9</f>
        <v>25.0785352192157</v>
      </c>
      <c r="AR32" s="19" t="n">
        <f aca="false">AR31*AR9</f>
        <v>24.9330452208197</v>
      </c>
      <c r="AS32" s="19" t="n">
        <f aca="false">AS31*AS9</f>
        <v>25.0785352192157</v>
      </c>
      <c r="AT32" s="19" t="n">
        <f aca="false">AT31*AT9</f>
        <v>24.8603002216217</v>
      </c>
      <c r="AU32" s="19" t="n">
        <f aca="false">AU31*AU9</f>
        <v>25.0785352192157</v>
      </c>
      <c r="AV32" s="19" t="n">
        <f aca="false">AV31*AV9</f>
        <v>24.8603002216217</v>
      </c>
      <c r="AW32" s="19" t="n">
        <f aca="false">AW31*AW9</f>
        <v>25.0785352192157</v>
      </c>
      <c r="AX32" s="19" t="n">
        <f aca="false">AX31*AX9</f>
        <v>24.7469468702758</v>
      </c>
      <c r="AY32" s="19" t="n">
        <f aca="false">AY31*AY9</f>
        <v>24.8391709708443</v>
      </c>
      <c r="AZ32" s="19" t="n">
        <f aca="false">AZ31*AZ9</f>
        <v>24.6039705535058</v>
      </c>
      <c r="BA32" s="19" t="n">
        <f aca="false">BA31*BA9</f>
        <v>24.6421242696743</v>
      </c>
      <c r="BB32" s="19" t="n">
        <f aca="false">BB31*BB9</f>
        <v>24.3372498722776</v>
      </c>
      <c r="BC32" s="19" t="n">
        <f aca="false">BC31*BC9</f>
        <v>24.4909699191485</v>
      </c>
      <c r="BD32" s="19" t="n">
        <f aca="false">BD31*BD9</f>
        <v>23.9108074849763</v>
      </c>
      <c r="BE32" s="19" t="n">
        <f aca="false">BE31*BE9</f>
        <v>23.7324282606123</v>
      </c>
      <c r="BF32" s="19" t="n">
        <f aca="false">BF31*BF9</f>
        <v>23.004905651697</v>
      </c>
      <c r="BG32" s="19" t="n">
        <f aca="false">BG31*BG9</f>
        <v>22.7470744739264</v>
      </c>
      <c r="BH32" s="19" t="n">
        <f aca="false">BH31*BH9</f>
        <v>22.1553868731465</v>
      </c>
      <c r="BI32" s="19" t="n">
        <f aca="false">BI31*BI9</f>
        <v>21.8021711424713</v>
      </c>
      <c r="BJ32" s="19" t="n">
        <f aca="false">BJ31*BJ9</f>
        <v>21.0877521518763</v>
      </c>
      <c r="BK32" s="19" t="n">
        <f aca="false">BK31*BK9</f>
        <v>20.7260818988434</v>
      </c>
      <c r="BL32" s="19" t="n">
        <f aca="false">BL31*BL9</f>
        <v>19.9495269392968</v>
      </c>
      <c r="BM32" s="19" t="n">
        <f aca="false">BM31*BM9</f>
        <v>19.5040522865696</v>
      </c>
      <c r="BN32" s="19" t="n">
        <f aca="false">BN31*BN9</f>
        <v>18.660874591871</v>
      </c>
      <c r="BO32" s="19" t="n">
        <f aca="false">BO31*BO9</f>
        <v>18.1243484407112</v>
      </c>
      <c r="BP32" s="19" t="n">
        <f aca="false">BP31*BP9</f>
        <v>17.6293880002851</v>
      </c>
      <c r="BQ32" s="19" t="n">
        <f aca="false">BQ31*BQ9</f>
        <v>17.3209150093581</v>
      </c>
      <c r="BR32" s="19" t="n">
        <f aca="false">BR31*BR9</f>
        <v>16.7098688746824</v>
      </c>
      <c r="BS32" s="19" t="n">
        <f aca="false">BS31*BS9</f>
        <v>16.3875604751295</v>
      </c>
      <c r="BT32" s="19" t="n">
        <f aca="false">BT31*BT9</f>
        <v>15.7199710611079</v>
      </c>
      <c r="BU32" s="19" t="n">
        <f aca="false">BU31*BU9</f>
        <v>15.3225810506735</v>
      </c>
      <c r="BV32" s="19" t="n">
        <f aca="false">BV31*BV9</f>
        <v>13.9231953976572</v>
      </c>
      <c r="BW32" s="19" t="n">
        <f aca="false">BW31*BW9</f>
        <v>12.7434146798169</v>
      </c>
      <c r="BX32" s="19" t="n">
        <f aca="false">BX31*BX9</f>
        <v>11.5412358382516</v>
      </c>
      <c r="BY32" s="19" t="n">
        <f aca="false">BY31*BY9</f>
        <v>10.5023023264076</v>
      </c>
      <c r="BZ32" s="19" t="n">
        <f aca="false">BZ31*BZ9</f>
        <v>9.23868330552821</v>
      </c>
      <c r="CA32" s="19" t="n">
        <f aca="false">CA31*CA9</f>
        <v>8.11739641849427</v>
      </c>
      <c r="CB32" s="19" t="n">
        <f aca="false">CB31*CB9</f>
        <v>7.00542055195687</v>
      </c>
      <c r="CC32" s="19" t="n">
        <f aca="false">CC31*CC9</f>
        <v>6.00057017660926</v>
      </c>
      <c r="CD32" s="19" t="n">
        <f aca="false">CD31*CD9</f>
        <v>4.8047231765891</v>
      </c>
      <c r="CE32" s="19" t="n">
        <f aca="false">CE31*CE9</f>
        <v>3.67550273068603</v>
      </c>
      <c r="CF32" s="19" t="n">
        <f aca="false">CF31*CF9</f>
        <v>2.51307060593676</v>
      </c>
      <c r="CG32" s="19" t="n">
        <f aca="false">CG31*CG9</f>
        <v>1.35463194372852</v>
      </c>
      <c r="CH32" s="19" t="n">
        <f aca="false">CH31*CH9</f>
        <v>-0.571284800223609</v>
      </c>
      <c r="CI32" s="19" t="n">
        <f aca="false">CI31*CI9</f>
        <v>-0.576306796513943</v>
      </c>
      <c r="CJ32" s="19" t="n">
        <f aca="false">CJ31*CJ9</f>
        <v>-0.571284800223609</v>
      </c>
      <c r="CK32" s="19" t="n">
        <f aca="false">CK31*CK9</f>
        <v>-0.576306796513943</v>
      </c>
      <c r="CL32" s="19" t="n">
        <f aca="false">CL31*CL9</f>
        <v>-0.571284800223609</v>
      </c>
      <c r="CM32" s="19" t="n">
        <f aca="false">CM31*CM9</f>
        <v>-0.576306796513943</v>
      </c>
      <c r="CN32" s="19" t="n">
        <f aca="false">CN31*CN9</f>
        <v>-0.572958798987054</v>
      </c>
      <c r="CO32" s="19" t="n">
        <f aca="false">CO31*CO9</f>
        <v>-0.576306796513943</v>
      </c>
      <c r="CP32" s="19" t="n">
        <f aca="false">CP31*CP9</f>
        <v>-0.571284800223609</v>
      </c>
      <c r="CQ32" s="19" t="n">
        <f aca="false">CQ31*CQ9</f>
        <v>-0.576306796513943</v>
      </c>
      <c r="CR32" s="19" t="n">
        <f aca="false">CR31*CR9</f>
        <v>-0.571284800223609</v>
      </c>
      <c r="CS32" s="19" t="n">
        <f aca="false">CS31*CS9</f>
        <v>-0.576306796513943</v>
      </c>
      <c r="CT32" s="19" t="n">
        <f aca="false">CT31*CT9</f>
        <v>-0.571284800223609</v>
      </c>
      <c r="CU32" s="19" t="n">
        <f aca="false">CU31*CU9</f>
        <v>-0.576306796513943</v>
      </c>
      <c r="CV32" s="19" t="n">
        <f aca="false">CV31*CV9</f>
        <v>-0.572958798987054</v>
      </c>
      <c r="CW32" s="19" t="n">
        <f aca="false">CW31*CW9</f>
        <v>-0.576306796513943</v>
      </c>
      <c r="CX32" s="19" t="n">
        <f aca="false">CX31*CX9</f>
        <v>-0.571284800223609</v>
      </c>
      <c r="CY32" s="19" t="n">
        <f aca="false">CY31*CY9</f>
        <v>-0.576306796513943</v>
      </c>
      <c r="CZ32" s="19" t="n">
        <f aca="false">CZ31*CZ9</f>
        <v>-0.571284800223609</v>
      </c>
      <c r="DA32" s="19" t="n">
        <f aca="false">DA31*DA9</f>
        <v>-0.576306796513943</v>
      </c>
      <c r="DB32" s="19" t="n">
        <f aca="false">DB31*DB9</f>
        <v>-0.571284800223609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1</v>
      </c>
      <c r="AE33" s="14" t="n">
        <f aca="false">IF(AND(Time!AE30=1,AE32&gt;AE13/$F$37),1,0)</f>
        <v>1</v>
      </c>
      <c r="AF33" s="14" t="n">
        <f aca="false">IF(AND(Time!AF30=1,AF32&gt;AF13/$F$37),1,0)</f>
        <v>1</v>
      </c>
      <c r="AG33" s="14" t="n">
        <f aca="false">IF(AND(Time!AG30=1,AG32&gt;AG13/$F$37),1,0)</f>
        <v>1</v>
      </c>
      <c r="AH33" s="14" t="n">
        <f aca="false">IF(AND(Time!AH30=1,AH32&gt;AH13/$F$37),1,0)</f>
        <v>1</v>
      </c>
      <c r="AI33" s="14" t="n">
        <f aca="false">IF(AND(Time!AI30=1,AI32&gt;AI13/$F$37),1,0)</f>
        <v>1</v>
      </c>
      <c r="AJ33" s="14" t="n">
        <f aca="false">IF(AND(Time!AJ30=1,AJ32&gt;AJ13/$F$37),1,0)</f>
        <v>1</v>
      </c>
      <c r="AK33" s="14" t="n">
        <f aca="false">IF(AND(Time!AK30=1,AK32&gt;AK13/$F$37),1,0)</f>
        <v>1</v>
      </c>
      <c r="AL33" s="14" t="n">
        <f aca="false">IF(AND(Time!AL30=1,AL32&gt;AL13/$F$37),1,0)</f>
        <v>1</v>
      </c>
      <c r="AM33" s="14" t="n">
        <f aca="false">IF(AND(Time!AM30=1,AM32&gt;AM13/$F$37),1,0)</f>
        <v>1</v>
      </c>
      <c r="AN33" s="14" t="n">
        <f aca="false">IF(AND(Time!AN30=1,AN32&gt;AN13/$F$37),1,0)</f>
        <v>1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1</v>
      </c>
      <c r="AR33" s="14" t="n">
        <f aca="false">IF(AND(Time!AR30=1,AR32&gt;AR13/$F$37),1,0)</f>
        <v>1</v>
      </c>
      <c r="AS33" s="14" t="n">
        <f aca="false">IF(AND(Time!AS30=1,AS32&gt;AS13/$F$37),1,0)</f>
        <v>1</v>
      </c>
      <c r="AT33" s="14" t="n">
        <f aca="false">IF(AND(Time!AT30=1,AT32&gt;AT13/$F$37),1,0)</f>
        <v>1</v>
      </c>
      <c r="AU33" s="14" t="n">
        <f aca="false">IF(AND(Time!AU30=1,AU32&gt;AU13/$F$37),1,0)</f>
        <v>1</v>
      </c>
      <c r="AV33" s="14" t="n">
        <f aca="false">IF(AND(Time!AV30=1,AV32&gt;AV13/$F$37),1,0)</f>
        <v>1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1993.66551143963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23.7337665751819</v>
      </c>
      <c r="AE34" s="19" t="n">
        <f aca="false">IF(Time!AE30=1,MAX(AE32,AE13/$F$37),0)</f>
        <v>23.9321371074356</v>
      </c>
      <c r="AF34" s="19" t="n">
        <f aca="false">IF(Time!AF30=1,MAX(AF32,AF13/$F$37),0)</f>
        <v>23.9741168363006</v>
      </c>
      <c r="AG34" s="19" t="n">
        <f aca="false">IF(Time!AG30=1,MAX(AG32,AG13/$F$37),0)</f>
        <v>25.2328561676076</v>
      </c>
      <c r="AH34" s="19" t="n">
        <f aca="false">IF(Time!AH30=1,MAX(AH32,AH13/$F$37),0)</f>
        <v>25.0132782593729</v>
      </c>
      <c r="AI34" s="19" t="n">
        <f aca="false">IF(Time!AI30=1,MAX(AI32,AI13/$F$37),0)</f>
        <v>25.2328561676076</v>
      </c>
      <c r="AJ34" s="19" t="n">
        <f aca="false">IF(Time!AJ30=1,MAX(AJ32,AJ13/$F$37),0)</f>
        <v>25.0864708954511</v>
      </c>
      <c r="AK34" s="19" t="n">
        <f aca="false">IF(Time!AK30=1,MAX(AK32,AK13/$F$37),0)</f>
        <v>25.2328561676076</v>
      </c>
      <c r="AL34" s="19" t="n">
        <f aca="false">IF(Time!AL30=1,MAX(AL32,AL13/$F$37),0)</f>
        <v>25.0132782593729</v>
      </c>
      <c r="AM34" s="19" t="n">
        <f aca="false">IF(Time!AM30=1,MAX(AM32,AM13/$F$37),0)</f>
        <v>25.2328561676076</v>
      </c>
      <c r="AN34" s="19" t="n">
        <f aca="false">IF(Time!AN30=1,MAX(AN32,AN13/$F$37),0)</f>
        <v>25.0132782593729</v>
      </c>
      <c r="AO34" s="19" t="n">
        <f aca="false">IF(Time!AO30=1,MAX(AO32,AO13/$F$37),0)</f>
        <v>27.6360681226099</v>
      </c>
      <c r="AP34" s="19" t="n">
        <f aca="false">IF(Time!AP30=1,MAX(AP32,AP13/$F$37),0)</f>
        <v>27.9369181745077</v>
      </c>
      <c r="AQ34" s="19" t="n">
        <f aca="false">IF(Time!AQ30=1,MAX(AQ32,AQ13/$F$37),0)</f>
        <v>25.0785352192157</v>
      </c>
      <c r="AR34" s="19" t="n">
        <f aca="false">IF(Time!AR30=1,MAX(AR32,AR13/$F$37),0)</f>
        <v>24.9330452208197</v>
      </c>
      <c r="AS34" s="19" t="n">
        <f aca="false">IF(Time!AS30=1,MAX(AS32,AS13/$F$37),0)</f>
        <v>25.0785352192157</v>
      </c>
      <c r="AT34" s="19" t="n">
        <f aca="false">IF(Time!AT30=1,MAX(AT32,AT13/$F$37),0)</f>
        <v>24.8603002216217</v>
      </c>
      <c r="AU34" s="19" t="n">
        <f aca="false">IF(Time!AU30=1,MAX(AU32,AU13/$F$37),0)</f>
        <v>25.0785352192157</v>
      </c>
      <c r="AV34" s="19" t="n">
        <f aca="false">IF(Time!AV30=1,MAX(AV32,AV13/$F$37),0)</f>
        <v>24.8603002216217</v>
      </c>
      <c r="AW34" s="19" t="n">
        <f aca="false">IF(Time!AW30=1,MAX(AW32,AW13/$F$37),0)</f>
        <v>29.0761084258974</v>
      </c>
      <c r="AX34" s="19" t="n">
        <f aca="false">IF(Time!AX30=1,MAX(AX32,AX13/$F$37),0)</f>
        <v>29.1174483464195</v>
      </c>
      <c r="AY34" s="19" t="n">
        <f aca="false">IF(Time!AY30=1,MAX(AY32,AY13/$F$37),0)</f>
        <v>28.0425402390351</v>
      </c>
      <c r="AZ34" s="19" t="n">
        <f aca="false">IF(Time!AZ30=1,MAX(AZ32,AZ13/$F$37),0)</f>
        <v>28.2892720981606</v>
      </c>
      <c r="BA34" s="19" t="n">
        <f aca="false">IF(Time!BA30=1,MAX(BA32,BA13/$F$37),0)</f>
        <v>27.8315211902351</v>
      </c>
      <c r="BB34" s="19" t="n">
        <f aca="false">IF(Time!BB30=1,MAX(BB32,BB13/$F$37),0)</f>
        <v>26.4321462513199</v>
      </c>
      <c r="BC34" s="19" t="n">
        <f aca="false">IF(Time!BC30=1,MAX(BC32,BC13/$F$37),0)</f>
        <v>37.4351936139996</v>
      </c>
      <c r="BD34" s="19" t="n">
        <f aca="false">IF(Time!BD30=1,MAX(BD32,BD13/$F$37),0)</f>
        <v>37.4848850479514</v>
      </c>
      <c r="BE34" s="19" t="n">
        <f aca="false">IF(Time!BE30=1,MAX(BE32,BE13/$F$37),0)</f>
        <v>42.1063156550265</v>
      </c>
      <c r="BF34" s="19" t="n">
        <f aca="false">IF(Time!BF30=1,MAX(BF32,BF13/$F$37),0)</f>
        <v>40.3379006221732</v>
      </c>
      <c r="BG34" s="19" t="n">
        <f aca="false">IF(Time!BG30=1,MAX(BG32,BG13/$F$37),0)</f>
        <v>38.880712612077</v>
      </c>
      <c r="BH34" s="19" t="n">
        <f aca="false">IF(Time!BH30=1,MAX(BH32,BH13/$F$37),0)</f>
        <v>39.0028649271947</v>
      </c>
      <c r="BI34" s="19" t="n">
        <f aca="false">IF(Time!BI30=1,MAX(BI32,BI13/$F$37),0)</f>
        <v>40.2679979865194</v>
      </c>
      <c r="BJ34" s="19" t="n">
        <f aca="false">IF(Time!BJ30=1,MAX(BJ32,BJ13/$F$37),0)</f>
        <v>40.1819837771033</v>
      </c>
      <c r="BK34" s="19" t="n">
        <f aca="false">IF(Time!BK30=1,MAX(BK32,BK13/$F$37),0)</f>
        <v>41.7099611852113</v>
      </c>
      <c r="BL34" s="19" t="n">
        <f aca="false">IF(Time!BL30=1,MAX(BL32,BL13/$F$37),0)</f>
        <v>41.6196412319809</v>
      </c>
      <c r="BM34" s="19" t="n">
        <f aca="false">IF(Time!BM30=1,MAX(BM32,BM13/$F$37),0)</f>
        <v>43.2087470701755</v>
      </c>
      <c r="BN34" s="19" t="n">
        <f aca="false">IF(Time!BN30=1,MAX(BN32,BN13/$F$37),0)</f>
        <v>43.1136699305664</v>
      </c>
      <c r="BO34" s="19" t="n">
        <f aca="false">IF(Time!BO30=1,MAX(BO32,BO13/$F$37),0)</f>
        <v>31.8049117122477</v>
      </c>
      <c r="BP34" s="19" t="n">
        <f aca="false">IF(Time!BP30=1,MAX(BP32,BP13/$F$37),0)</f>
        <v>31.9920440402412</v>
      </c>
      <c r="BQ34" s="19" t="n">
        <f aca="false">IF(Time!BQ30=1,MAX(BQ32,BQ13/$F$37),0)</f>
        <v>33.5218705707487</v>
      </c>
      <c r="BR34" s="19" t="n">
        <f aca="false">IF(Time!BR30=1,MAX(BR32,BR13/$F$37),0)</f>
        <v>33.0869277166324</v>
      </c>
      <c r="BS34" s="19" t="n">
        <f aca="false">IF(Time!BS30=1,MAX(BS32,BS13/$F$37),0)</f>
        <v>34.8658482949107</v>
      </c>
      <c r="BT34" s="19" t="n">
        <f aca="false">IF(Time!BT30=1,MAX(BT32,BT13/$F$37),0)</f>
        <v>34.4139621094675</v>
      </c>
      <c r="BU34" s="19" t="n">
        <f aca="false">IF(Time!BU30=1,MAX(BU32,BU13/$F$37),0)</f>
        <v>59.8949572617753</v>
      </c>
      <c r="BV34" s="19" t="n">
        <f aca="false">IF(Time!BV30=1,MAX(BV32,BV13/$F$37),0)</f>
        <v>59.37461625079</v>
      </c>
      <c r="BW34" s="19" t="n">
        <f aca="false">IF(Time!BW30=1,MAX(BW32,BW13/$F$37),0)</f>
        <v>52.3506107981249</v>
      </c>
      <c r="BX34" s="19" t="n">
        <f aca="false">IF(Time!BX30=1,MAX(BX32,BX13/$F$37),0)</f>
        <v>50.1583241170992</v>
      </c>
      <c r="BY34" s="19" t="n">
        <f aca="false">IF(Time!BY30=1,MAX(BY32,BY13/$F$37),0)</f>
        <v>51.7732114368822</v>
      </c>
      <c r="BZ34" s="19" t="n">
        <f aca="false">IF(Time!BZ30=1,MAX(BZ32,BZ13/$F$37),0)</f>
        <v>51.2110608233542</v>
      </c>
      <c r="CA34" s="19" t="n">
        <f aca="false">IF(Time!CA30=1,MAX(CA32,CA13/$F$37),0)</f>
        <v>44.780557231017</v>
      </c>
      <c r="CB34" s="19" t="n">
        <f aca="false">IF(Time!CB30=1,MAX(CB32,CB13/$F$37),0)</f>
        <v>44.2284340370672</v>
      </c>
      <c r="CC34" s="19" t="n">
        <f aca="false">IF(Time!CC30=1,MAX(CC32,CC13/$F$37),0)</f>
        <v>46.2664336888387</v>
      </c>
      <c r="CD34" s="19" t="n">
        <f aca="false">IF(Time!CD30=1,MAX(CD32,CD13/$F$37),0)</f>
        <v>45.6935312968591</v>
      </c>
      <c r="CE34" s="19" t="n">
        <f aca="false">IF(Time!CE30=1,MAX(CE32,CE13/$F$37),0)</f>
        <v>43.7367327132077</v>
      </c>
      <c r="CF34" s="19" t="n">
        <f aca="false">IF(Time!CF30=1,MAX(CF32,CF13/$F$37),0)</f>
        <v>43.4600311373074</v>
      </c>
      <c r="CG34" s="19" t="n">
        <f aca="false">IF(Time!CG30=1,MAX(CG32,CG13/$F$37),0)</f>
        <v>68.7525475102705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902.245709709539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</v>
      </c>
      <c r="AF35" s="19" t="n">
        <f aca="false">IF(Time!AF30=1,AF34-AF32,0)</f>
        <v>0</v>
      </c>
      <c r="AG35" s="19" t="n">
        <f aca="false">IF(Time!AG30=1,AG34-AG32,0)</f>
        <v>0</v>
      </c>
      <c r="AH35" s="19" t="n">
        <f aca="false">IF(Time!AH30=1,AH34-AH32,0)</f>
        <v>0</v>
      </c>
      <c r="AI35" s="19" t="n">
        <f aca="false">IF(Time!AI30=1,AI34-AI32,0)</f>
        <v>0</v>
      </c>
      <c r="AJ35" s="19" t="n">
        <f aca="false">IF(Time!AJ30=1,AJ34-AJ32,0)</f>
        <v>0</v>
      </c>
      <c r="AK35" s="19" t="n">
        <f aca="false">IF(Time!AK30=1,AK34-AK32,0)</f>
        <v>0</v>
      </c>
      <c r="AL35" s="19" t="n">
        <f aca="false">IF(Time!AL30=1,AL34-AL32,0)</f>
        <v>0</v>
      </c>
      <c r="AM35" s="19" t="n">
        <f aca="false">IF(Time!AM30=1,AM34-AM32,0)</f>
        <v>0</v>
      </c>
      <c r="AN35" s="19" t="n">
        <f aca="false">IF(Time!AN30=1,AN34-AN32,0)</f>
        <v>0</v>
      </c>
      <c r="AO35" s="19" t="n">
        <f aca="false">IF(Time!AO30=1,AO34-AO32,0)</f>
        <v>2.40321195500225</v>
      </c>
      <c r="AP35" s="19" t="n">
        <f aca="false">IF(Time!AP30=1,AP34-AP32,0)</f>
        <v>2.99178429048698</v>
      </c>
      <c r="AQ35" s="19" t="n">
        <f aca="false">IF(Time!AQ30=1,AQ34-AQ32,0)</f>
        <v>0</v>
      </c>
      <c r="AR35" s="19" t="n">
        <f aca="false">IF(Time!AR30=1,AR34-AR32,0)</f>
        <v>0</v>
      </c>
      <c r="AS35" s="19" t="n">
        <f aca="false">IF(Time!AS30=1,AS34-AS32,0)</f>
        <v>0</v>
      </c>
      <c r="AT35" s="19" t="n">
        <f aca="false">IF(Time!AT30=1,AT34-AT32,0)</f>
        <v>0</v>
      </c>
      <c r="AU35" s="19" t="n">
        <f aca="false">IF(Time!AU30=1,AU34-AU32,0)</f>
        <v>0</v>
      </c>
      <c r="AV35" s="19" t="n">
        <f aca="false">IF(Time!AV30=1,AV34-AV32,0)</f>
        <v>0</v>
      </c>
      <c r="AW35" s="19" t="n">
        <f aca="false">IF(Time!AW30=1,AW34-AW32,0)</f>
        <v>3.99757320668176</v>
      </c>
      <c r="AX35" s="19" t="n">
        <f aca="false">IF(Time!AX30=1,AX34-AX32,0)</f>
        <v>4.37050147614367</v>
      </c>
      <c r="AY35" s="19" t="n">
        <f aca="false">IF(Time!AY30=1,AY34-AY32,0)</f>
        <v>3.20336926819086</v>
      </c>
      <c r="AZ35" s="19" t="n">
        <f aca="false">IF(Time!AZ30=1,AZ34-AZ32,0)</f>
        <v>3.68530154465481</v>
      </c>
      <c r="BA35" s="19" t="n">
        <f aca="false">IF(Time!BA30=1,BA34-BA32,0)</f>
        <v>3.18939692056075</v>
      </c>
      <c r="BB35" s="19" t="n">
        <f aca="false">IF(Time!BB30=1,BB34-BB32,0)</f>
        <v>2.09489637904224</v>
      </c>
      <c r="BC35" s="19" t="n">
        <f aca="false">IF(Time!BC30=1,BC34-BC32,0)</f>
        <v>12.944223694851</v>
      </c>
      <c r="BD35" s="19" t="n">
        <f aca="false">IF(Time!BD30=1,BD34-BD32,0)</f>
        <v>13.5740775629751</v>
      </c>
      <c r="BE35" s="19" t="n">
        <f aca="false">IF(Time!BE30=1,BE34-BE32,0)</f>
        <v>18.3738873944142</v>
      </c>
      <c r="BF35" s="19" t="n">
        <f aca="false">IF(Time!BF30=1,BF34-BF32,0)</f>
        <v>17.3329949704762</v>
      </c>
      <c r="BG35" s="19" t="n">
        <f aca="false">IF(Time!BG30=1,BG34-BG32,0)</f>
        <v>16.1336381381507</v>
      </c>
      <c r="BH35" s="19" t="n">
        <f aca="false">IF(Time!BH30=1,BH34-BH32,0)</f>
        <v>16.8474780540482</v>
      </c>
      <c r="BI35" s="19" t="n">
        <f aca="false">IF(Time!BI30=1,BI34-BI32,0)</f>
        <v>18.4658268440481</v>
      </c>
      <c r="BJ35" s="19" t="n">
        <f aca="false">IF(Time!BJ30=1,BJ34-BJ32,0)</f>
        <v>19.094231625227</v>
      </c>
      <c r="BK35" s="19" t="n">
        <f aca="false">IF(Time!BK30=1,BK34-BK32,0)</f>
        <v>20.9838792863679</v>
      </c>
      <c r="BL35" s="19" t="n">
        <f aca="false">IF(Time!BL30=1,BL34-BL32,0)</f>
        <v>21.6701142926841</v>
      </c>
      <c r="BM35" s="19" t="n">
        <f aca="false">IF(Time!BM30=1,BM34-BM32,0)</f>
        <v>23.704694783606</v>
      </c>
      <c r="BN35" s="19" t="n">
        <f aca="false">IF(Time!BN30=1,BN34-BN32,0)</f>
        <v>24.4527953386953</v>
      </c>
      <c r="BO35" s="19" t="n">
        <f aca="false">IF(Time!BO30=1,BO34-BO32,0)</f>
        <v>13.6805632715365</v>
      </c>
      <c r="BP35" s="19" t="n">
        <f aca="false">IF(Time!BP30=1,BP34-BP32,0)</f>
        <v>14.3626560399561</v>
      </c>
      <c r="BQ35" s="19" t="n">
        <f aca="false">IF(Time!BQ30=1,BQ34-BQ32,0)</f>
        <v>16.2009555613907</v>
      </c>
      <c r="BR35" s="19" t="n">
        <f aca="false">IF(Time!BR30=1,BR34-BR32,0)</f>
        <v>16.37705884195</v>
      </c>
      <c r="BS35" s="19" t="n">
        <f aca="false">IF(Time!BS30=1,BS34-BS32,0)</f>
        <v>18.4782878197812</v>
      </c>
      <c r="BT35" s="19" t="n">
        <f aca="false">IF(Time!BT30=1,BT34-BT32,0)</f>
        <v>18.6939910483596</v>
      </c>
      <c r="BU35" s="19" t="n">
        <f aca="false">IF(Time!BU30=1,BU34-BU32,0)</f>
        <v>44.5723762111018</v>
      </c>
      <c r="BV35" s="19" t="n">
        <f aca="false">IF(Time!BV30=1,BV34-BV32,0)</f>
        <v>45.4514208531328</v>
      </c>
      <c r="BW35" s="19" t="n">
        <f aca="false">IF(Time!BW30=1,BW34-BW32,0)</f>
        <v>39.607196118308</v>
      </c>
      <c r="BX35" s="19" t="n">
        <f aca="false">IF(Time!BX30=1,BX34-BX32,0)</f>
        <v>38.6170882788477</v>
      </c>
      <c r="BY35" s="19" t="n">
        <f aca="false">IF(Time!BY30=1,BY34-BY32,0)</f>
        <v>41.2709091104746</v>
      </c>
      <c r="BZ35" s="19" t="n">
        <f aca="false">IF(Time!BZ30=1,BZ34-BZ32,0)</f>
        <v>41.972377517826</v>
      </c>
      <c r="CA35" s="19" t="n">
        <f aca="false">IF(Time!CA30=1,CA34-CA32,0)</f>
        <v>36.6631608125228</v>
      </c>
      <c r="CB35" s="19" t="n">
        <f aca="false">IF(Time!CB30=1,CB34-CB32,0)</f>
        <v>37.2230134851103</v>
      </c>
      <c r="CC35" s="19" t="n">
        <f aca="false">IF(Time!CC30=1,CC34-CC32,0)</f>
        <v>40.2658635122294</v>
      </c>
      <c r="CD35" s="19" t="n">
        <f aca="false">IF(Time!CD30=1,CD34-CD32,0)</f>
        <v>40.88880812027</v>
      </c>
      <c r="CE35" s="19" t="n">
        <f aca="false">IF(Time!CE30=1,CE34-CE32,0)</f>
        <v>40.0612299825216</v>
      </c>
      <c r="CF35" s="19" t="n">
        <f aca="false">IF(Time!CF30=1,CF34-CF32,0)</f>
        <v>40.9469605313707</v>
      </c>
      <c r="CG35" s="19" t="n">
        <f aca="false">IF(Time!CG30=1,CG34-CG32,0)</f>
        <v>67.3979155665419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882.130169013</v>
      </c>
      <c r="AE36" s="19" t="n">
        <f aca="false">AE31-AE35</f>
        <v>882.130169013</v>
      </c>
      <c r="AF36" s="19" t="n">
        <f aca="false">AF31-AF35</f>
        <v>882.130169013</v>
      </c>
      <c r="AG36" s="19" t="n">
        <f aca="false">AG31-AG35</f>
        <v>882.130169013</v>
      </c>
      <c r="AH36" s="19" t="n">
        <f aca="false">AH31-AH35</f>
        <v>882.130169013</v>
      </c>
      <c r="AI36" s="19" t="n">
        <f aca="false">AI31-AI35</f>
        <v>882.130169013</v>
      </c>
      <c r="AJ36" s="19" t="n">
        <f aca="false">AJ31-AJ35</f>
        <v>882.130169013</v>
      </c>
      <c r="AK36" s="19" t="n">
        <f aca="false">AK31-AK35</f>
        <v>882.130169013</v>
      </c>
      <c r="AL36" s="19" t="n">
        <f aca="false">AL31-AL35</f>
        <v>882.130169013</v>
      </c>
      <c r="AM36" s="19" t="n">
        <f aca="false">AM31-AM35</f>
        <v>882.130169013</v>
      </c>
      <c r="AN36" s="19" t="n">
        <f aca="false">AN31-AN35</f>
        <v>882.130169013</v>
      </c>
      <c r="AO36" s="19" t="n">
        <f aca="false">AO31-AO35</f>
        <v>879.726957057998</v>
      </c>
      <c r="AP36" s="19" t="n">
        <f aca="false">AP31-AP35</f>
        <v>876.735172767511</v>
      </c>
      <c r="AQ36" s="19" t="n">
        <f aca="false">AQ31-AQ35</f>
        <v>876.735172767511</v>
      </c>
      <c r="AR36" s="19" t="n">
        <f aca="false">AR31-AR35</f>
        <v>876.735172767511</v>
      </c>
      <c r="AS36" s="19" t="n">
        <f aca="false">AS31-AS35</f>
        <v>876.735172767511</v>
      </c>
      <c r="AT36" s="19" t="n">
        <f aca="false">AT31-AT35</f>
        <v>876.735172767511</v>
      </c>
      <c r="AU36" s="19" t="n">
        <f aca="false">AU31-AU35</f>
        <v>876.735172767511</v>
      </c>
      <c r="AV36" s="19" t="n">
        <f aca="false">AV31-AV35</f>
        <v>876.735172767511</v>
      </c>
      <c r="AW36" s="19" t="n">
        <f aca="false">AW31-AW35</f>
        <v>872.737599560829</v>
      </c>
      <c r="AX36" s="19" t="n">
        <f aca="false">AX31-AX35</f>
        <v>868.367098084685</v>
      </c>
      <c r="AY36" s="19" t="n">
        <f aca="false">AY31-AY35</f>
        <v>865.163728816495</v>
      </c>
      <c r="AZ36" s="19" t="n">
        <f aca="false">AZ31-AZ35</f>
        <v>861.47842727184</v>
      </c>
      <c r="BA36" s="19" t="n">
        <f aca="false">BA31-BA35</f>
        <v>858.289030351279</v>
      </c>
      <c r="BB36" s="19" t="n">
        <f aca="false">BB31-BB35</f>
        <v>856.194133972237</v>
      </c>
      <c r="BC36" s="19" t="n">
        <f aca="false">BC31-BC35</f>
        <v>843.249910277386</v>
      </c>
      <c r="BD36" s="19" t="n">
        <f aca="false">BD31-BD35</f>
        <v>829.675832714411</v>
      </c>
      <c r="BE36" s="19" t="n">
        <f aca="false">BE31-BE35</f>
        <v>811.301945319996</v>
      </c>
      <c r="BF36" s="19" t="n">
        <f aca="false">BF31-BF35</f>
        <v>793.96895034952</v>
      </c>
      <c r="BG36" s="19" t="n">
        <f aca="false">BG31-BG35</f>
        <v>777.835312211369</v>
      </c>
      <c r="BH36" s="19" t="n">
        <f aca="false">BH31-BH35</f>
        <v>760.987834157321</v>
      </c>
      <c r="BI36" s="19" t="n">
        <f aca="false">BI31-BI35</f>
        <v>742.522007313273</v>
      </c>
      <c r="BJ36" s="19" t="n">
        <f aca="false">BJ31-BJ35</f>
        <v>723.427775688046</v>
      </c>
      <c r="BK36" s="19" t="n">
        <f aca="false">BK31-BK35</f>
        <v>702.443896401678</v>
      </c>
      <c r="BL36" s="19" t="n">
        <f aca="false">BL31-BL35</f>
        <v>680.773782108994</v>
      </c>
      <c r="BM36" s="19" t="n">
        <f aca="false">BM31-BM35</f>
        <v>657.069087325388</v>
      </c>
      <c r="BN36" s="19" t="n">
        <f aca="false">BN31-BN35</f>
        <v>632.616291986693</v>
      </c>
      <c r="BO36" s="19" t="n">
        <f aca="false">BO31-BO35</f>
        <v>618.935728715156</v>
      </c>
      <c r="BP36" s="19" t="n">
        <f aca="false">BP31-BP35</f>
        <v>604.5730726752</v>
      </c>
      <c r="BQ36" s="19" t="n">
        <f aca="false">BQ31-BQ35</f>
        <v>588.372117113809</v>
      </c>
      <c r="BR36" s="19" t="n">
        <f aca="false">BR31-BR35</f>
        <v>571.995058271859</v>
      </c>
      <c r="BS36" s="19" t="n">
        <f aca="false">BS31-BS35</f>
        <v>553.516770452078</v>
      </c>
      <c r="BT36" s="19" t="n">
        <f aca="false">BT31-BT35</f>
        <v>534.822779403719</v>
      </c>
      <c r="BU36" s="19" t="n">
        <f aca="false">BU31-BU35</f>
        <v>490.250403192617</v>
      </c>
      <c r="BV36" s="19" t="n">
        <f aca="false">BV31-BV35</f>
        <v>444.798982339484</v>
      </c>
      <c r="BW36" s="19" t="n">
        <f aca="false">BW31-BW35</f>
        <v>405.191786221176</v>
      </c>
      <c r="BX36" s="19" t="n">
        <f aca="false">BX31-BX35</f>
        <v>366.574697942328</v>
      </c>
      <c r="BY36" s="19" t="n">
        <f aca="false">BY31-BY35</f>
        <v>325.303788831854</v>
      </c>
      <c r="BZ36" s="19" t="n">
        <f aca="false">BZ31-BZ35</f>
        <v>283.331411314028</v>
      </c>
      <c r="CA36" s="19" t="n">
        <f aca="false">CA31-CA35</f>
        <v>246.668250501505</v>
      </c>
      <c r="CB36" s="19" t="n">
        <f aca="false">CB31-CB35</f>
        <v>209.445237016395</v>
      </c>
      <c r="CC36" s="19" t="n">
        <f aca="false">CC31-CC35</f>
        <v>169.179373504165</v>
      </c>
      <c r="CD36" s="19" t="n">
        <f aca="false">CD31-CD35</f>
        <v>128.290565383895</v>
      </c>
      <c r="CE36" s="19" t="n">
        <f aca="false">CE31-CE35</f>
        <v>88.2293354013736</v>
      </c>
      <c r="CF36" s="19" t="n">
        <f aca="false">CF31-CF35</f>
        <v>47.2823748700029</v>
      </c>
      <c r="CG36" s="19" t="n">
        <f aca="false">CG31-CG35</f>
        <v>-20.115540696539</v>
      </c>
      <c r="CH36" s="19" t="n">
        <f aca="false">CH31-CH35</f>
        <v>-20.115540696539</v>
      </c>
      <c r="CI36" s="19" t="n">
        <f aca="false">CI31-CI35</f>
        <v>-20.115540696539</v>
      </c>
      <c r="CJ36" s="19" t="n">
        <f aca="false">CJ31-CJ35</f>
        <v>-20.115540696539</v>
      </c>
      <c r="CK36" s="19" t="n">
        <f aca="false">CK31-CK35</f>
        <v>-20.115540696539</v>
      </c>
      <c r="CL36" s="19" t="n">
        <f aca="false">CL31-CL35</f>
        <v>-20.115540696539</v>
      </c>
      <c r="CM36" s="19" t="n">
        <f aca="false">CM31-CM35</f>
        <v>-20.115540696539</v>
      </c>
      <c r="CN36" s="19" t="n">
        <f aca="false">CN31-CN35</f>
        <v>-20.115540696539</v>
      </c>
      <c r="CO36" s="19" t="n">
        <f aca="false">CO31-CO35</f>
        <v>-20.115540696539</v>
      </c>
      <c r="CP36" s="19" t="n">
        <f aca="false">CP31-CP35</f>
        <v>-20.115540696539</v>
      </c>
      <c r="CQ36" s="19" t="n">
        <f aca="false">CQ31-CQ35</f>
        <v>-20.115540696539</v>
      </c>
      <c r="CR36" s="19" t="n">
        <f aca="false">CR31-CR35</f>
        <v>-20.115540696539</v>
      </c>
      <c r="CS36" s="19" t="n">
        <f aca="false">CS31-CS35</f>
        <v>-20.115540696539</v>
      </c>
      <c r="CT36" s="19" t="n">
        <f aca="false">CT31-CT35</f>
        <v>-20.115540696539</v>
      </c>
      <c r="CU36" s="19" t="n">
        <f aca="false">CU31-CU35</f>
        <v>-20.115540696539</v>
      </c>
      <c r="CV36" s="19" t="n">
        <f aca="false">CV31-CV35</f>
        <v>-20.115540696539</v>
      </c>
      <c r="CW36" s="19" t="n">
        <f aca="false">CW31-CW35</f>
        <v>-20.115540696539</v>
      </c>
      <c r="CX36" s="19" t="n">
        <f aca="false">CX31-CX35</f>
        <v>-20.115540696539</v>
      </c>
      <c r="CY36" s="19" t="n">
        <f aca="false">CY31-CY35</f>
        <v>-20.115540696539</v>
      </c>
      <c r="CZ36" s="19" t="n">
        <f aca="false">CZ31-CZ35</f>
        <v>-20.115540696539</v>
      </c>
      <c r="DA36" s="19" t="n">
        <f aca="false">DA31-DA35</f>
        <v>-20.115540696539</v>
      </c>
      <c r="DB36" s="19" t="n">
        <f aca="false">DB31-DB35</f>
        <v>-20.115540696539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44.4310981538998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2.03016050792063</v>
      </c>
      <c r="AA38" s="19" t="n">
        <f aca="false">IF(Time!AA32=1,MAX(0,AA32-AA13/Inputs!$F$95),0)</f>
        <v>12.0375349185919</v>
      </c>
      <c r="AB38" s="19" t="n">
        <f aca="false">IF(Time!AB32=1,MAX(0,AB32-AB13/Inputs!$F$95),0)</f>
        <v>17.398464787358</v>
      </c>
      <c r="AC38" s="19" t="n">
        <f aca="false">IF(Time!AC32=1,MAX(0,AC32-AC13/Inputs!$F$95),0)</f>
        <v>12.9649379400293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396.693185183496</v>
      </c>
      <c r="AF42" s="19" t="n">
        <f aca="false">AE47</f>
        <v>386.962859976</v>
      </c>
      <c r="AG42" s="19" t="n">
        <f aca="false">AF47</f>
        <v>386.962859976</v>
      </c>
      <c r="AH42" s="19" t="n">
        <f aca="false">AG47</f>
        <v>386.962859976</v>
      </c>
      <c r="AI42" s="19" t="n">
        <f aca="false">AH47</f>
        <v>386.962859976</v>
      </c>
      <c r="AJ42" s="19" t="n">
        <f aca="false">AI47</f>
        <v>0</v>
      </c>
      <c r="AK42" s="19" t="n">
        <f aca="false">AJ47</f>
        <v>0</v>
      </c>
      <c r="AL42" s="19" t="n">
        <f aca="false">AK47</f>
        <v>0</v>
      </c>
      <c r="AM42" s="19" t="n">
        <f aca="false">AL47</f>
        <v>0</v>
      </c>
      <c r="AN42" s="19" t="n">
        <f aca="false">AM47</f>
        <v>0</v>
      </c>
      <c r="AO42" s="19" t="n">
        <f aca="false">AN47</f>
        <v>0</v>
      </c>
      <c r="AP42" s="19" t="n">
        <f aca="false">AO47</f>
        <v>0</v>
      </c>
      <c r="AQ42" s="19" t="n">
        <f aca="false">AP47</f>
        <v>0</v>
      </c>
      <c r="AR42" s="19" t="n">
        <f aca="false">AQ47</f>
        <v>0</v>
      </c>
      <c r="AS42" s="19" t="n">
        <f aca="false">AR47</f>
        <v>0</v>
      </c>
      <c r="AT42" s="19" t="n">
        <f aca="false">AS47</f>
        <v>0</v>
      </c>
      <c r="AU42" s="19" t="n">
        <f aca="false">AT47</f>
        <v>0</v>
      </c>
      <c r="AV42" s="19" t="n">
        <f aca="false">AU47</f>
        <v>0</v>
      </c>
      <c r="AW42" s="19" t="n">
        <f aca="false">AV47</f>
        <v>0</v>
      </c>
      <c r="AX42" s="19" t="n">
        <f aca="false">AW47</f>
        <v>0</v>
      </c>
      <c r="AY42" s="19" t="n">
        <f aca="false">AX47</f>
        <v>0</v>
      </c>
      <c r="AZ42" s="19" t="n">
        <f aca="false">AY47</f>
        <v>0</v>
      </c>
      <c r="BA42" s="19" t="n">
        <f aca="false">AZ47</f>
        <v>0</v>
      </c>
      <c r="BB42" s="19" t="n">
        <f aca="false">BA47</f>
        <v>0</v>
      </c>
      <c r="BC42" s="19" t="n">
        <f aca="false">BB47</f>
        <v>0</v>
      </c>
      <c r="BD42" s="19" t="n">
        <f aca="false">BC47</f>
        <v>0</v>
      </c>
      <c r="BE42" s="19" t="n">
        <f aca="false">BD47</f>
        <v>0</v>
      </c>
      <c r="BF42" s="19" t="n">
        <f aca="false">BE47</f>
        <v>0</v>
      </c>
      <c r="BG42" s="19" t="n">
        <f aca="false">BF47</f>
        <v>0</v>
      </c>
      <c r="BH42" s="19" t="n">
        <f aca="false">BG47</f>
        <v>0</v>
      </c>
      <c r="BI42" s="19" t="n">
        <f aca="false">BH47</f>
        <v>0</v>
      </c>
      <c r="BJ42" s="19" t="n">
        <f aca="false">BI47</f>
        <v>0</v>
      </c>
      <c r="BK42" s="19" t="n">
        <f aca="false">BJ47</f>
        <v>0</v>
      </c>
      <c r="BL42" s="19" t="n">
        <f aca="false">BK47</f>
        <v>0</v>
      </c>
      <c r="BM42" s="19" t="n">
        <f aca="false">BL47</f>
        <v>0</v>
      </c>
      <c r="BN42" s="19" t="n">
        <f aca="false">BM47</f>
        <v>0</v>
      </c>
      <c r="BO42" s="19" t="n">
        <f aca="false">BN47</f>
        <v>0</v>
      </c>
      <c r="BP42" s="19" t="n">
        <f aca="false">BO47</f>
        <v>0</v>
      </c>
      <c r="BQ42" s="19" t="n">
        <f aca="false">BP47</f>
        <v>0</v>
      </c>
      <c r="BR42" s="19" t="n">
        <f aca="false">BQ47</f>
        <v>0</v>
      </c>
      <c r="BS42" s="19" t="n">
        <f aca="false">BR47</f>
        <v>0</v>
      </c>
      <c r="BT42" s="19" t="n">
        <f aca="false">BS47</f>
        <v>0</v>
      </c>
      <c r="BU42" s="19" t="n">
        <f aca="false">BT47</f>
        <v>0</v>
      </c>
      <c r="BV42" s="19" t="n">
        <f aca="false">BU47</f>
        <v>0</v>
      </c>
      <c r="BW42" s="19" t="n">
        <f aca="false">BV47</f>
        <v>0</v>
      </c>
      <c r="BX42" s="19" t="n">
        <f aca="false">BW47</f>
        <v>0</v>
      </c>
      <c r="BY42" s="19" t="n">
        <f aca="false">BX47</f>
        <v>0</v>
      </c>
      <c r="BZ42" s="19" t="n">
        <f aca="false">BY47</f>
        <v>0</v>
      </c>
      <c r="CA42" s="19" t="n">
        <f aca="false">BZ47</f>
        <v>0</v>
      </c>
      <c r="CB42" s="19" t="n">
        <f aca="false">CA47</f>
        <v>0</v>
      </c>
      <c r="CC42" s="19" t="n">
        <f aca="false">CB47</f>
        <v>0</v>
      </c>
      <c r="CD42" s="19" t="n">
        <f aca="false">CC47</f>
        <v>0</v>
      </c>
      <c r="CE42" s="19" t="n">
        <f aca="false">CD47</f>
        <v>0</v>
      </c>
      <c r="CF42" s="19" t="n">
        <f aca="false">CE47</f>
        <v>0</v>
      </c>
      <c r="CG42" s="19" t="n">
        <f aca="false">CF47</f>
        <v>0</v>
      </c>
      <c r="CH42" s="19" t="n">
        <f aca="false">CG47</f>
        <v>0</v>
      </c>
      <c r="CI42" s="19" t="n">
        <f aca="false">CH47</f>
        <v>0</v>
      </c>
      <c r="CJ42" s="19" t="n">
        <f aca="false">CI47</f>
        <v>0</v>
      </c>
      <c r="CK42" s="19" t="n">
        <f aca="false">CJ47</f>
        <v>0</v>
      </c>
      <c r="CL42" s="19" t="n">
        <f aca="false">CK47</f>
        <v>0</v>
      </c>
      <c r="CM42" s="19" t="n">
        <f aca="false">CL47</f>
        <v>0</v>
      </c>
      <c r="CN42" s="19" t="n">
        <f aca="false">CM47</f>
        <v>0</v>
      </c>
      <c r="CO42" s="19" t="n">
        <f aca="false">CN47</f>
        <v>0</v>
      </c>
      <c r="CP42" s="19" t="n">
        <f aca="false">CO47</f>
        <v>0</v>
      </c>
      <c r="CQ42" s="19" t="n">
        <f aca="false">CP47</f>
        <v>0</v>
      </c>
      <c r="CR42" s="19" t="n">
        <f aca="false">CQ47</f>
        <v>0</v>
      </c>
      <c r="CS42" s="19" t="n">
        <f aca="false">CR47</f>
        <v>0</v>
      </c>
      <c r="CT42" s="19" t="n">
        <f aca="false">CS47</f>
        <v>0</v>
      </c>
      <c r="CU42" s="19" t="n">
        <f aca="false">CT47</f>
        <v>0</v>
      </c>
      <c r="CV42" s="19" t="n">
        <f aca="false">CU47</f>
        <v>0</v>
      </c>
      <c r="CW42" s="19" t="n">
        <f aca="false">CV47</f>
        <v>0</v>
      </c>
      <c r="CX42" s="19" t="n">
        <f aca="false">CW47</f>
        <v>0</v>
      </c>
      <c r="CY42" s="19" t="n">
        <f aca="false">CX47</f>
        <v>0</v>
      </c>
      <c r="CZ42" s="19" t="n">
        <f aca="false">CY47</f>
        <v>0</v>
      </c>
      <c r="DA42" s="19" t="n">
        <f aca="false">CZ47</f>
        <v>0</v>
      </c>
      <c r="DB42" s="19" t="n">
        <f aca="false">DA47</f>
        <v>0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154.363631462399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12.1585917843419</v>
      </c>
      <c r="AF43" s="19" t="n">
        <f aca="false">AF42*AF8*Time!AF9/Inputs!$F$45</f>
        <v>11.9012812973112</v>
      </c>
      <c r="AG43" s="19" t="n">
        <f aca="false">AG42*AG8*Time!AG9/Inputs!$F$45</f>
        <v>13.1283246237118</v>
      </c>
      <c r="AH43" s="19" t="n">
        <f aca="false">AH42*AH8*Time!AH9/Inputs!$F$45</f>
        <v>12.914275852673</v>
      </c>
      <c r="AI43" s="19" t="n">
        <f aca="false">AI42*AI8*Time!AI9/Inputs!$F$45</f>
        <v>13.1283246237118</v>
      </c>
      <c r="AJ43" s="19" t="n">
        <f aca="false">AJ42*AJ8*Time!AJ9/Inputs!$F$45</f>
        <v>0</v>
      </c>
      <c r="AK43" s="19" t="n">
        <f aca="false">AK42*AK8*Time!AK9/Inputs!$F$45</f>
        <v>0</v>
      </c>
      <c r="AL43" s="19" t="n">
        <f aca="false">AL42*AL8*Time!AL9/Inputs!$F$45</f>
        <v>0</v>
      </c>
      <c r="AM43" s="19" t="n">
        <f aca="false">AM42*AM8*Time!AM9/Inputs!$F$45</f>
        <v>0</v>
      </c>
      <c r="AN43" s="19" t="n">
        <f aca="false">AN42*AN8*Time!AN9/Inputs!$F$45</f>
        <v>0</v>
      </c>
      <c r="AO43" s="19" t="n">
        <f aca="false">AO42*AO8*Time!AO9/Inputs!$F$45</f>
        <v>0</v>
      </c>
      <c r="AP43" s="19" t="n">
        <f aca="false">AP42*AP8*Time!AP9/Inputs!$F$45</f>
        <v>0</v>
      </c>
      <c r="AQ43" s="19" t="n">
        <f aca="false">AQ42*AQ8*Time!AQ9/Inputs!$F$45</f>
        <v>0</v>
      </c>
      <c r="AR43" s="19" t="n">
        <f aca="false">AR42*AR8*Time!AR9/Inputs!$F$45</f>
        <v>0</v>
      </c>
      <c r="AS43" s="19" t="n">
        <f aca="false">AS42*AS8*Time!AS9/Inputs!$F$45</f>
        <v>0</v>
      </c>
      <c r="AT43" s="19" t="n">
        <f aca="false">AT42*AT8*Time!AT9/Inputs!$F$45</f>
        <v>0</v>
      </c>
      <c r="AU43" s="19" t="n">
        <f aca="false">AU42*AU8*Time!AU9/Inputs!$F$45</f>
        <v>0</v>
      </c>
      <c r="AV43" s="19" t="n">
        <f aca="false">AV42*AV8*Time!AV9/Inputs!$F$45</f>
        <v>0</v>
      </c>
      <c r="AW43" s="19" t="n">
        <f aca="false">AW42*AW8*Time!AW9/Inputs!$F$45</f>
        <v>0</v>
      </c>
      <c r="AX43" s="19" t="n">
        <f aca="false">AX42*AX8*Time!AX9/Inputs!$F$45</f>
        <v>0</v>
      </c>
      <c r="AY43" s="19" t="n">
        <f aca="false">AY42*AY8*Time!AY9/Inputs!$F$45</f>
        <v>0</v>
      </c>
      <c r="AZ43" s="19" t="n">
        <f aca="false">AZ42*AZ8*Time!AZ9/Inputs!$F$45</f>
        <v>0</v>
      </c>
      <c r="BA43" s="19" t="n">
        <f aca="false">BA42*BA8*Time!BA9/Inputs!$F$45</f>
        <v>0</v>
      </c>
      <c r="BB43" s="19" t="n">
        <f aca="false">BB42*BB8*Time!BB9/Inputs!$F$45</f>
        <v>0</v>
      </c>
      <c r="BC43" s="19" t="n">
        <f aca="false">BC42*BC8*Time!BC9/Inputs!$F$45</f>
        <v>0</v>
      </c>
      <c r="BD43" s="19" t="n">
        <f aca="false">BD42*BD8*Time!BD9/Inputs!$F$45</f>
        <v>0</v>
      </c>
      <c r="BE43" s="19" t="n">
        <f aca="false">BE42*BE8*Time!BE9/Inputs!$F$45</f>
        <v>0</v>
      </c>
      <c r="BF43" s="19" t="n">
        <f aca="false">BF42*BF8*Time!BF9/Inputs!$F$45</f>
        <v>0</v>
      </c>
      <c r="BG43" s="19" t="n">
        <f aca="false">BG42*BG8*Time!BG9/Inputs!$F$45</f>
        <v>0</v>
      </c>
      <c r="BH43" s="19" t="n">
        <f aca="false">BH42*BH8*Time!BH9/Inputs!$F$45</f>
        <v>0</v>
      </c>
      <c r="BI43" s="19" t="n">
        <f aca="false">BI42*BI8*Time!BI9/Inputs!$F$45</f>
        <v>0</v>
      </c>
      <c r="BJ43" s="19" t="n">
        <f aca="false">BJ42*BJ8*Time!BJ9/Inputs!$F$45</f>
        <v>0</v>
      </c>
      <c r="BK43" s="19" t="n">
        <f aca="false">BK42*BK8*Time!BK9/Inputs!$F$45</f>
        <v>0</v>
      </c>
      <c r="BL43" s="19" t="n">
        <f aca="false">BL42*BL8*Time!BL9/Inputs!$F$45</f>
        <v>0</v>
      </c>
      <c r="BM43" s="19" t="n">
        <f aca="false">BM42*BM8*Time!BM9/Inputs!$F$45</f>
        <v>0</v>
      </c>
      <c r="BN43" s="19" t="n">
        <f aca="false">BN42*BN8*Time!BN9/Inputs!$F$45</f>
        <v>0</v>
      </c>
      <c r="BO43" s="19" t="n">
        <f aca="false">BO42*BO8*Time!BO9/Inputs!$F$45</f>
        <v>0</v>
      </c>
      <c r="BP43" s="19" t="n">
        <f aca="false">BP42*BP8*Time!BP9/Inputs!$F$45</f>
        <v>0</v>
      </c>
      <c r="BQ43" s="19" t="n">
        <f aca="false">BQ42*BQ8*Time!BQ9/Inputs!$F$45</f>
        <v>0</v>
      </c>
      <c r="BR43" s="19" t="n">
        <f aca="false">BR42*BR8*Time!BR9/Inputs!$F$45</f>
        <v>0</v>
      </c>
      <c r="BS43" s="19" t="n">
        <f aca="false">BS42*BS8*Time!BS9/Inputs!$F$45</f>
        <v>0</v>
      </c>
      <c r="BT43" s="19" t="n">
        <f aca="false">BT42*BT8*Time!BT9/Inputs!$F$45</f>
        <v>0</v>
      </c>
      <c r="BU43" s="19" t="n">
        <f aca="false">BU42*BU8*Time!BU9/Inputs!$F$45</f>
        <v>0</v>
      </c>
      <c r="BV43" s="19" t="n">
        <f aca="false">BV42*BV8*Time!BV9/Inputs!$F$45</f>
        <v>0</v>
      </c>
      <c r="BW43" s="19" t="n">
        <f aca="false">BW42*BW8*Time!BW9/Inputs!$F$45</f>
        <v>0</v>
      </c>
      <c r="BX43" s="19" t="n">
        <f aca="false">BX42*BX8*Time!BX9/Inputs!$F$45</f>
        <v>0</v>
      </c>
      <c r="BY43" s="19" t="n">
        <f aca="false">BY42*BY8*Time!BY9/Inputs!$F$45</f>
        <v>0</v>
      </c>
      <c r="BZ43" s="19" t="n">
        <f aca="false">BZ42*BZ8*Time!BZ9/Inputs!$F$45</f>
        <v>0</v>
      </c>
      <c r="CA43" s="19" t="n">
        <f aca="false">CA42*CA8*Time!CA9/Inputs!$F$45</f>
        <v>0</v>
      </c>
      <c r="CB43" s="19" t="n">
        <f aca="false">CB42*CB8*Time!CB9/Inputs!$F$45</f>
        <v>0</v>
      </c>
      <c r="CC43" s="19" t="n">
        <f aca="false">CC42*CC8*Time!CC9/Inputs!$F$45</f>
        <v>0</v>
      </c>
      <c r="CD43" s="19" t="n">
        <f aca="false">CD42*CD8*Time!CD9/Inputs!$F$45</f>
        <v>0</v>
      </c>
      <c r="CE43" s="19" t="n">
        <f aca="false">CE42*CE8*Time!CE9/Inputs!$F$45</f>
        <v>0</v>
      </c>
      <c r="CF43" s="19" t="n">
        <f aca="false">CF42*CF8*Time!CF9/Inputs!$F$45</f>
        <v>0</v>
      </c>
      <c r="CG43" s="19" t="n">
        <f aca="false">CG42*CG8*Time!CG9/Inputs!$F$45</f>
        <v>0</v>
      </c>
      <c r="CH43" s="19" t="n">
        <f aca="false">CH42*CH8*Time!CH9/Inputs!$F$45</f>
        <v>0</v>
      </c>
      <c r="CI43" s="19" t="n">
        <f aca="false">CI42*CI8*Time!CI9/Inputs!$F$45</f>
        <v>0</v>
      </c>
      <c r="CJ43" s="19" t="n">
        <f aca="false">CJ42*CJ8*Time!CJ9/Inputs!$F$45</f>
        <v>0</v>
      </c>
      <c r="CK43" s="19" t="n">
        <f aca="false">CK42*CK8*Time!CK9/Inputs!$F$45</f>
        <v>0</v>
      </c>
      <c r="CL43" s="19" t="n">
        <f aca="false">CL42*CL8*Time!CL9/Inputs!$F$45</f>
        <v>0</v>
      </c>
      <c r="CM43" s="19" t="n">
        <f aca="false">CM42*CM8*Time!CM9/Inputs!$F$45</f>
        <v>0</v>
      </c>
      <c r="CN43" s="19" t="n">
        <f aca="false">CN42*CN8*Time!CN9/Inputs!$F$45</f>
        <v>0</v>
      </c>
      <c r="CO43" s="19" t="n">
        <f aca="false">CO42*CO8*Time!CO9/Inputs!$F$45</f>
        <v>0</v>
      </c>
      <c r="CP43" s="19" t="n">
        <f aca="false">CP42*CP8*Time!CP9/Inputs!$F$45</f>
        <v>0</v>
      </c>
      <c r="CQ43" s="19" t="n">
        <f aca="false">CQ42*CQ8*Time!CQ9/Inputs!$F$45</f>
        <v>0</v>
      </c>
      <c r="CR43" s="19" t="n">
        <f aca="false">CR42*CR8*Time!CR9/Inputs!$F$45</f>
        <v>0</v>
      </c>
      <c r="CS43" s="19" t="n">
        <f aca="false">CS42*CS8*Time!CS9/Inputs!$F$45</f>
        <v>0</v>
      </c>
      <c r="CT43" s="19" t="n">
        <f aca="false">CT42*CT8*Time!CT9/Inputs!$F$45</f>
        <v>0</v>
      </c>
      <c r="CU43" s="19" t="n">
        <f aca="false">CU42*CU8*Time!CU9/Inputs!$F$45</f>
        <v>0</v>
      </c>
      <c r="CV43" s="19" t="n">
        <f aca="false">CV42*CV8*Time!CV9/Inputs!$F$45</f>
        <v>0</v>
      </c>
      <c r="CW43" s="19" t="n">
        <f aca="false">CW42*CW8*Time!CW9/Inputs!$F$45</f>
        <v>0</v>
      </c>
      <c r="CX43" s="19" t="n">
        <f aca="false">CX42*CX8*Time!CX9/Inputs!$F$45</f>
        <v>0</v>
      </c>
      <c r="CY43" s="19" t="n">
        <f aca="false">CY42*CY8*Time!CY9/Inputs!$F$45</f>
        <v>0</v>
      </c>
      <c r="CZ43" s="19" t="n">
        <f aca="false">CZ42*CZ8*Time!CZ9/Inputs!$F$45</f>
        <v>0</v>
      </c>
      <c r="DA43" s="19" t="n">
        <f aca="false">DA42*DA8*Time!DA9/Inputs!$F$45</f>
        <v>0</v>
      </c>
      <c r="DB43" s="19" t="n">
        <f aca="false">DB42*DB8*Time!DB9/Inputs!$F$45</f>
        <v>0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116.434231706434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12.1585917843419</v>
      </c>
      <c r="AF44" s="19" t="n">
        <f aca="false">AF43*(1-Time!AF20)</f>
        <v>11.9012812973112</v>
      </c>
      <c r="AG44" s="19" t="n">
        <f aca="false">AG43*(1-Time!AG20)</f>
        <v>13.1283246237118</v>
      </c>
      <c r="AH44" s="19" t="n">
        <f aca="false">AH43*(1-Time!AH20)</f>
        <v>12.914275852673</v>
      </c>
      <c r="AI44" s="19" t="n">
        <f aca="false">AI43*(1-Time!AI20)</f>
        <v>13.1283246237118</v>
      </c>
      <c r="AJ44" s="19" t="n">
        <f aca="false">AJ43*(1-Time!AJ20)</f>
        <v>0</v>
      </c>
      <c r="AK44" s="19" t="n">
        <f aca="false">AK43*(1-Time!AK20)</f>
        <v>0</v>
      </c>
      <c r="AL44" s="19" t="n">
        <f aca="false">AL43*(1-Time!AL20)</f>
        <v>0</v>
      </c>
      <c r="AM44" s="19" t="n">
        <f aca="false">AM43*(1-Time!AM20)</f>
        <v>0</v>
      </c>
      <c r="AN44" s="19" t="n">
        <f aca="false">AN43*(1-Time!AN20)</f>
        <v>0</v>
      </c>
      <c r="AO44" s="19" t="n">
        <f aca="false">AO43*(1-Time!AO20)</f>
        <v>0</v>
      </c>
      <c r="AP44" s="19" t="n">
        <f aca="false">AP43*(1-Time!AP20)</f>
        <v>0</v>
      </c>
      <c r="AQ44" s="19" t="n">
        <f aca="false">AQ43*(1-Time!AQ20)</f>
        <v>0</v>
      </c>
      <c r="AR44" s="19" t="n">
        <f aca="false">AR43*(1-Time!AR20)</f>
        <v>0</v>
      </c>
      <c r="AS44" s="19" t="n">
        <f aca="false">AS43*(1-Time!AS20)</f>
        <v>0</v>
      </c>
      <c r="AT44" s="19" t="n">
        <f aca="false">AT43*(1-Time!AT20)</f>
        <v>0</v>
      </c>
      <c r="AU44" s="19" t="n">
        <f aca="false">AU43*(1-Time!AU20)</f>
        <v>0</v>
      </c>
      <c r="AV44" s="19" t="n">
        <f aca="false">AV43*(1-Time!AV20)</f>
        <v>0</v>
      </c>
      <c r="AW44" s="19" t="n">
        <f aca="false">AW43*(1-Time!AW20)</f>
        <v>0</v>
      </c>
      <c r="AX44" s="19" t="n">
        <f aca="false">AX43*(1-Time!AX20)</f>
        <v>0</v>
      </c>
      <c r="AY44" s="19" t="n">
        <f aca="false">AY43*(1-Time!AY20)</f>
        <v>0</v>
      </c>
      <c r="AZ44" s="19" t="n">
        <f aca="false">AZ43*(1-Time!AZ20)</f>
        <v>0</v>
      </c>
      <c r="BA44" s="19" t="n">
        <f aca="false">BA43*(1-Time!BA20)</f>
        <v>0</v>
      </c>
      <c r="BB44" s="19" t="n">
        <f aca="false">BB43*(1-Time!BB20)</f>
        <v>0</v>
      </c>
      <c r="BC44" s="19" t="n">
        <f aca="false">BC43*(1-Time!BC20)</f>
        <v>0</v>
      </c>
      <c r="BD44" s="19" t="n">
        <f aca="false">BD43*(1-Time!BD20)</f>
        <v>0</v>
      </c>
      <c r="BE44" s="19" t="n">
        <f aca="false">BE43*(1-Time!BE20)</f>
        <v>0</v>
      </c>
      <c r="BF44" s="19" t="n">
        <f aca="false">BF43*(1-Time!BF20)</f>
        <v>0</v>
      </c>
      <c r="BG44" s="19" t="n">
        <f aca="false">BG43*(1-Time!BG20)</f>
        <v>0</v>
      </c>
      <c r="BH44" s="19" t="n">
        <f aca="false">BH43*(1-Time!BH20)</f>
        <v>0</v>
      </c>
      <c r="BI44" s="19" t="n">
        <f aca="false">BI43*(1-Time!BI20)</f>
        <v>0</v>
      </c>
      <c r="BJ44" s="19" t="n">
        <f aca="false">BJ43*(1-Time!BJ20)</f>
        <v>0</v>
      </c>
      <c r="BK44" s="19" t="n">
        <f aca="false">BK43*(1-Time!BK20)</f>
        <v>0</v>
      </c>
      <c r="BL44" s="19" t="n">
        <f aca="false">BL43*(1-Time!BL20)</f>
        <v>0</v>
      </c>
      <c r="BM44" s="19" t="n">
        <f aca="false">BM43*(1-Time!BM20)</f>
        <v>0</v>
      </c>
      <c r="BN44" s="19" t="n">
        <f aca="false">BN43*(1-Time!BN20)</f>
        <v>0</v>
      </c>
      <c r="BO44" s="19" t="n">
        <f aca="false">BO43*(1-Time!BO20)</f>
        <v>0</v>
      </c>
      <c r="BP44" s="19" t="n">
        <f aca="false">BP43*(1-Time!BP20)</f>
        <v>0</v>
      </c>
      <c r="BQ44" s="19" t="n">
        <f aca="false">BQ43*(1-Time!BQ20)</f>
        <v>0</v>
      </c>
      <c r="BR44" s="19" t="n">
        <f aca="false">BR43*(1-Time!BR20)</f>
        <v>0</v>
      </c>
      <c r="BS44" s="19" t="n">
        <f aca="false">BS43*(1-Time!BS20)</f>
        <v>0</v>
      </c>
      <c r="BT44" s="19" t="n">
        <f aca="false">BT43*(1-Time!BT20)</f>
        <v>0</v>
      </c>
      <c r="BU44" s="19" t="n">
        <f aca="false">BU43*(1-Time!BU20)</f>
        <v>0</v>
      </c>
      <c r="BV44" s="19" t="n">
        <f aca="false">BV43*(1-Time!BV20)</f>
        <v>0</v>
      </c>
      <c r="BW44" s="19" t="n">
        <f aca="false">BW43*(1-Time!BW20)</f>
        <v>0</v>
      </c>
      <c r="BX44" s="19" t="n">
        <f aca="false">BX43*(1-Time!BX20)</f>
        <v>0</v>
      </c>
      <c r="BY44" s="19" t="n">
        <f aca="false">BY43*(1-Time!BY20)</f>
        <v>0</v>
      </c>
      <c r="BZ44" s="19" t="n">
        <f aca="false">BZ43*(1-Time!BZ20)</f>
        <v>0</v>
      </c>
      <c r="CA44" s="19" t="n">
        <f aca="false">CA43*(1-Time!CA20)</f>
        <v>0</v>
      </c>
      <c r="CB44" s="19" t="n">
        <f aca="false">CB43*(1-Time!CB20)</f>
        <v>0</v>
      </c>
      <c r="CC44" s="19" t="n">
        <f aca="false">CC43*(1-Time!CC20)</f>
        <v>0</v>
      </c>
      <c r="CD44" s="19" t="n">
        <f aca="false">CD43*(1-Time!CD20)</f>
        <v>0</v>
      </c>
      <c r="CE44" s="19" t="n">
        <f aca="false">CE43*(1-Time!CE20)</f>
        <v>0</v>
      </c>
      <c r="CF44" s="19" t="n">
        <f aca="false">CF43*(1-Time!CF20)</f>
        <v>0</v>
      </c>
      <c r="CG44" s="19" t="n">
        <f aca="false">CG43*(1-Time!CG20)</f>
        <v>0</v>
      </c>
      <c r="CH44" s="19" t="n">
        <f aca="false">CH43*(1-Time!CH20)</f>
        <v>0</v>
      </c>
      <c r="CI44" s="19" t="n">
        <f aca="false">CI43*(1-Time!CI20)</f>
        <v>0</v>
      </c>
      <c r="CJ44" s="19" t="n">
        <f aca="false">CJ43*(1-Time!CJ20)</f>
        <v>0</v>
      </c>
      <c r="CK44" s="19" t="n">
        <f aca="false">CK43*(1-Time!CK20)</f>
        <v>0</v>
      </c>
      <c r="CL44" s="19" t="n">
        <f aca="false">CL43*(1-Time!CL20)</f>
        <v>0</v>
      </c>
      <c r="CM44" s="19" t="n">
        <f aca="false">CM43*(1-Time!CM20)</f>
        <v>0</v>
      </c>
      <c r="CN44" s="19" t="n">
        <f aca="false">CN43*(1-Time!CN20)</f>
        <v>0</v>
      </c>
      <c r="CO44" s="19" t="n">
        <f aca="false">CO43*(1-Time!CO20)</f>
        <v>0</v>
      </c>
      <c r="CP44" s="19" t="n">
        <f aca="false">CP43*(1-Time!CP20)</f>
        <v>0</v>
      </c>
      <c r="CQ44" s="19" t="n">
        <f aca="false">CQ43*(1-Time!CQ20)</f>
        <v>0</v>
      </c>
      <c r="CR44" s="19" t="n">
        <f aca="false">CR43*(1-Time!CR20)</f>
        <v>0</v>
      </c>
      <c r="CS44" s="19" t="n">
        <f aca="false">CS43*(1-Time!CS20)</f>
        <v>0</v>
      </c>
      <c r="CT44" s="19" t="n">
        <f aca="false">CT43*(1-Time!CT20)</f>
        <v>0</v>
      </c>
      <c r="CU44" s="19" t="n">
        <f aca="false">CU43*(1-Time!CU20)</f>
        <v>0</v>
      </c>
      <c r="CV44" s="19" t="n">
        <f aca="false">CV43*(1-Time!CV20)</f>
        <v>0</v>
      </c>
      <c r="CW44" s="19" t="n">
        <f aca="false">CW43*(1-Time!CW20)</f>
        <v>0</v>
      </c>
      <c r="CX44" s="19" t="n">
        <f aca="false">CX43*(1-Time!CX20)</f>
        <v>0</v>
      </c>
      <c r="CY44" s="19" t="n">
        <f aca="false">CY43*(1-Time!CY20)</f>
        <v>0</v>
      </c>
      <c r="CZ44" s="19" t="n">
        <f aca="false">CZ43*(1-Time!CZ20)</f>
        <v>0</v>
      </c>
      <c r="DA44" s="19" t="n">
        <f aca="false">DA43*(1-Time!DA20)</f>
        <v>0</v>
      </c>
      <c r="DB44" s="19" t="n">
        <f aca="false">DB43*(1-Time!DB20)</f>
        <v>0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0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</v>
      </c>
      <c r="AW45" s="19" t="n">
        <f aca="false">IF(OR(Time!AW20=1,Time!AW34=1,Time!AW23=1),0,MIN(Inputs!$F$96*AW40,AW42))</f>
        <v>0</v>
      </c>
      <c r="AX45" s="19" t="n">
        <f aca="false">IF(OR(Time!AX20=1,Time!AX34=1,Time!AX23=1),0,MIN(Inputs!$F$96*AX40,AX42))</f>
        <v>0</v>
      </c>
      <c r="AY45" s="19" t="n">
        <f aca="false">IF(OR(Time!AY20=1,Time!AY34=1,Time!AY23=1),0,MIN(Inputs!$F$96*AY40,AY42))</f>
        <v>0</v>
      </c>
      <c r="AZ45" s="19" t="n">
        <f aca="false">IF(OR(Time!AZ20=1,Time!AZ34=1,Time!AZ23=1),0,MIN(Inputs!$F$96*AZ40,AZ42))</f>
        <v>0</v>
      </c>
      <c r="BA45" s="19" t="n">
        <f aca="false">IF(OR(Time!BA20=1,Time!BA34=1,Time!BA23=1),0,MIN(Inputs!$F$96*BA40,BA42))</f>
        <v>0</v>
      </c>
      <c r="BB45" s="19" t="n">
        <f aca="false">IF(OR(Time!BB20=1,Time!BB34=1,Time!BB23=1),0,MIN(Inputs!$F$96*BB40,BB42))</f>
        <v>0</v>
      </c>
      <c r="BC45" s="19" t="n">
        <f aca="false">IF(OR(Time!BC20=1,Time!BC34=1,Time!BC23=1),0,MIN(Inputs!$F$96*BC40,BC42))</f>
        <v>0</v>
      </c>
      <c r="BD45" s="19" t="n">
        <f aca="false">IF(OR(Time!BD20=1,Time!BD34=1,Time!BD23=1),0,MIN(Inputs!$F$96*BD40,BD42))</f>
        <v>0</v>
      </c>
      <c r="BE45" s="19" t="n">
        <f aca="false">IF(OR(Time!BE20=1,Time!BE34=1,Time!BE23=1),0,MIN(Inputs!$F$96*BE40,BE42))</f>
        <v>0</v>
      </c>
      <c r="BF45" s="19" t="n">
        <f aca="false">IF(OR(Time!BF20=1,Time!BF34=1,Time!BF23=1),0,MIN(Inputs!$F$96*BF40,BF42))</f>
        <v>0</v>
      </c>
      <c r="BG45" s="19" t="n">
        <f aca="false">IF(OR(Time!BG20=1,Time!BG34=1,Time!BG23=1),0,MIN(Inputs!$F$96*BG40,BG42))</f>
        <v>0</v>
      </c>
      <c r="BH45" s="19" t="n">
        <f aca="false">IF(OR(Time!BH20=1,Time!BH34=1,Time!BH23=1),0,MIN(Inputs!$F$96*BH40,BH42))</f>
        <v>0</v>
      </c>
      <c r="BI45" s="19" t="n">
        <f aca="false">IF(OR(Time!BI20=1,Time!BI34=1,Time!BI23=1),0,MIN(Inputs!$F$96*BI40,BI42))</f>
        <v>0</v>
      </c>
      <c r="BJ45" s="19" t="n">
        <f aca="false">IF(OR(Time!BJ20=1,Time!BJ34=1,Time!BJ23=1),0,MIN(Inputs!$F$96*BJ40,BJ42))</f>
        <v>0</v>
      </c>
      <c r="BK45" s="19" t="n">
        <f aca="false">IF(OR(Time!BK20=1,Time!BK34=1,Time!BK23=1),0,MIN(Inputs!$F$96*BK40,BK42))</f>
        <v>0</v>
      </c>
      <c r="BL45" s="19" t="n">
        <f aca="false">IF(OR(Time!BL20=1,Time!BL34=1,Time!BL23=1),0,MIN(Inputs!$F$96*BL40,BL42))</f>
        <v>0</v>
      </c>
      <c r="BM45" s="19" t="n">
        <f aca="false">IF(OR(Time!BM20=1,Time!BM34=1,Time!BM23=1),0,MIN(Inputs!$F$96*BM40,BM42))</f>
        <v>0</v>
      </c>
      <c r="BN45" s="19" t="n">
        <f aca="false">IF(OR(Time!BN20=1,Time!BN34=1,Time!BN23=1),0,MIN(Inputs!$F$96*BN40,BN42))</f>
        <v>0</v>
      </c>
      <c r="BO45" s="19" t="n">
        <f aca="false">IF(OR(Time!BO20=1,Time!BO34=1,Time!BO23=1),0,MIN(Inputs!$F$96*BO40,BO42))</f>
        <v>0</v>
      </c>
      <c r="BP45" s="19" t="n">
        <f aca="false">IF(OR(Time!BP20=1,Time!BP34=1,Time!BP23=1),0,MIN(Inputs!$F$96*BP40,BP42))</f>
        <v>0</v>
      </c>
      <c r="BQ45" s="19" t="n">
        <f aca="false">IF(OR(Time!BQ20=1,Time!BQ34=1,Time!BQ23=1),0,MIN(Inputs!$F$96*BQ40,BQ42))</f>
        <v>0</v>
      </c>
      <c r="BR45" s="19" t="n">
        <f aca="false">IF(OR(Time!BR20=1,Time!BR34=1,Time!BR23=1),0,MIN(Inputs!$F$96*BR40,BR42))</f>
        <v>0</v>
      </c>
      <c r="BS45" s="19" t="n">
        <f aca="false">IF(OR(Time!BS20=1,Time!BS34=1,Time!BS23=1),0,MIN(Inputs!$F$96*BS40,BS42))</f>
        <v>0</v>
      </c>
      <c r="BT45" s="19" t="n">
        <f aca="false">IF(OR(Time!BT20=1,Time!BT34=1,Time!BT23=1),0,MIN(Inputs!$F$96*BT40,BT42))</f>
        <v>0</v>
      </c>
      <c r="BU45" s="19" t="n">
        <f aca="false">IF(OR(Time!BU20=1,Time!BU34=1,Time!BU23=1),0,MIN(Inputs!$F$96*BU40,BU42))</f>
        <v>0</v>
      </c>
      <c r="BV45" s="19" t="n">
        <f aca="false">IF(OR(Time!BV20=1,Time!BV34=1,Time!BV23=1),0,MIN(Inputs!$F$96*BV40,BV42))</f>
        <v>0</v>
      </c>
      <c r="BW45" s="19" t="n">
        <f aca="false">IF(OR(Time!BW20=1,Time!BW34=1,Time!BW23=1),0,MIN(Inputs!$F$96*BW40,BW42))</f>
        <v>0</v>
      </c>
      <c r="BX45" s="19" t="n">
        <f aca="false">IF(OR(Time!BX20=1,Time!BX34=1,Time!BX23=1),0,MIN(Inputs!$F$96*BX40,BX42))</f>
        <v>0</v>
      </c>
      <c r="BY45" s="19" t="n">
        <f aca="false">IF(OR(Time!BY20=1,Time!BY34=1,Time!BY23=1),0,MIN(Inputs!$F$96*BY40,BY42))</f>
        <v>0</v>
      </c>
      <c r="BZ45" s="19" t="n">
        <f aca="false">IF(OR(Time!BZ20=1,Time!BZ34=1,Time!BZ23=1),0,MIN(Inputs!$F$96*BZ40,BZ42))</f>
        <v>0</v>
      </c>
      <c r="CA45" s="19" t="n">
        <f aca="false">IF(OR(Time!CA20=1,Time!CA34=1,Time!CA23=1),0,MIN(Inputs!$F$96*CA40,CA42))</f>
        <v>0</v>
      </c>
      <c r="CB45" s="19" t="n">
        <f aca="false">IF(OR(Time!CB20=1,Time!CB34=1,Time!CB23=1),0,MIN(Inputs!$F$96*CB40,CB42))</f>
        <v>0</v>
      </c>
      <c r="CC45" s="19" t="n">
        <f aca="false">IF(OR(Time!CC20=1,Time!CC34=1,Time!CC23=1),0,MIN(Inputs!$F$96*CC40,CC42))</f>
        <v>0</v>
      </c>
      <c r="CD45" s="19" t="n">
        <f aca="false">IF(OR(Time!CD20=1,Time!CD34=1,Time!CD23=1),0,MIN(Inputs!$F$96*CD40,CD42))</f>
        <v>0</v>
      </c>
      <c r="CE45" s="19" t="n">
        <f aca="false">IF(OR(Time!CE20=1,Time!CE34=1,Time!CE23=1),0,MIN(Inputs!$F$96*CE40,CE42))</f>
        <v>0</v>
      </c>
      <c r="CF45" s="19" t="n">
        <f aca="false">IF(OR(Time!CF20=1,Time!CF34=1,Time!CF23=1),0,MIN(Inputs!$F$96*CF40,CF42))</f>
        <v>0</v>
      </c>
      <c r="CG45" s="19" t="n">
        <f aca="false">IF(OR(Time!CG20=1,Time!CG34=1,Time!CG23=1),0,MIN(Inputs!$F$96*CG40,CG42))</f>
        <v>0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396.693185183496</v>
      </c>
      <c r="AE46" s="19" t="n">
        <f aca="false">AE42+Funding!AE35-Waterfall!AE20-Waterfall!AE31</f>
        <v>386.962859976</v>
      </c>
      <c r="AF46" s="19" t="n">
        <f aca="false">AF42+Funding!AF35-Waterfall!AF20-Waterfall!AF31</f>
        <v>386.962859976</v>
      </c>
      <c r="AG46" s="19" t="n">
        <f aca="false">AG42+Funding!AG35-Waterfall!AG20-Waterfall!AG31</f>
        <v>386.962859976</v>
      </c>
      <c r="AH46" s="19" t="n">
        <f aca="false">AH42+Funding!AH35-Waterfall!AH20-Waterfall!AH31</f>
        <v>386.962859976</v>
      </c>
      <c r="AI46" s="19" t="n">
        <f aca="false">AI42+Funding!AI35-Waterfall!AI20-Waterfall!AI31</f>
        <v>378.120866455822</v>
      </c>
      <c r="AJ46" s="19" t="n">
        <f aca="false">AJ42+Funding!AJ35-Waterfall!AJ20-Waterfall!AJ31</f>
        <v>0</v>
      </c>
      <c r="AK46" s="19" t="n">
        <f aca="false">AK42+Funding!AK35-Waterfall!AK20-Waterfall!AK31</f>
        <v>0</v>
      </c>
      <c r="AL46" s="19" t="n">
        <f aca="false">AL42+Funding!AL35-Waterfall!AL20-Waterfall!AL31</f>
        <v>0</v>
      </c>
      <c r="AM46" s="19" t="n">
        <f aca="false">AM42+Funding!AM35-Waterfall!AM20-Waterfall!AM31</f>
        <v>0</v>
      </c>
      <c r="AN46" s="19" t="n">
        <f aca="false">AN42+Funding!AN35-Waterfall!AN20-Waterfall!AN31</f>
        <v>0</v>
      </c>
      <c r="AO46" s="19" t="n">
        <f aca="false">AO42+Funding!AO35-Waterfall!AO20-Waterfall!AO31</f>
        <v>0</v>
      </c>
      <c r="AP46" s="19" t="n">
        <f aca="false">AP42+Funding!AP35-Waterfall!AP20-Waterfall!AP31</f>
        <v>0</v>
      </c>
      <c r="AQ46" s="19" t="n">
        <f aca="false">AQ42+Funding!AQ35-Waterfall!AQ20-Waterfall!AQ31</f>
        <v>0</v>
      </c>
      <c r="AR46" s="19" t="n">
        <f aca="false">AR42+Funding!AR35-Waterfall!AR20-Waterfall!AR31</f>
        <v>0</v>
      </c>
      <c r="AS46" s="19" t="n">
        <f aca="false">AS42+Funding!AS35-Waterfall!AS20-Waterfall!AS31</f>
        <v>0</v>
      </c>
      <c r="AT46" s="19" t="n">
        <f aca="false">AT42+Funding!AT35-Waterfall!AT20-Waterfall!AT31</f>
        <v>0</v>
      </c>
      <c r="AU46" s="19" t="n">
        <f aca="false">AU42+Funding!AU35-Waterfall!AU20-Waterfall!AU31</f>
        <v>0</v>
      </c>
      <c r="AV46" s="19" t="n">
        <f aca="false">AV42+Funding!AV35-Waterfall!AV20-Waterfall!AV31</f>
        <v>0</v>
      </c>
      <c r="AW46" s="19" t="n">
        <f aca="false">AW42+Funding!AW35-Waterfall!AW20-Waterfall!AW31</f>
        <v>0</v>
      </c>
      <c r="AX46" s="19" t="n">
        <f aca="false">AX42+Funding!AX35-Waterfall!AX20-Waterfall!AX31</f>
        <v>0</v>
      </c>
      <c r="AY46" s="19" t="n">
        <f aca="false">AY42+Funding!AY35-Waterfall!AY20-Waterfall!AY31</f>
        <v>0</v>
      </c>
      <c r="AZ46" s="19" t="n">
        <f aca="false">AZ42+Funding!AZ35-Waterfall!AZ20-Waterfall!AZ31</f>
        <v>0</v>
      </c>
      <c r="BA46" s="19" t="n">
        <f aca="false">BA42+Funding!BA35-Waterfall!BA20-Waterfall!BA31</f>
        <v>0</v>
      </c>
      <c r="BB46" s="19" t="n">
        <f aca="false">BB42+Funding!BB35-Waterfall!BB20-Waterfall!BB31</f>
        <v>0</v>
      </c>
      <c r="BC46" s="19" t="n">
        <f aca="false">BC42+Funding!BC35-Waterfall!BC20-Waterfall!BC31</f>
        <v>0</v>
      </c>
      <c r="BD46" s="19" t="n">
        <f aca="false">BD42+Funding!BD35-Waterfall!BD20-Waterfall!BD31</f>
        <v>0</v>
      </c>
      <c r="BE46" s="19" t="n">
        <f aca="false">BE42+Funding!BE35-Waterfall!BE20-Waterfall!BE31</f>
        <v>0</v>
      </c>
      <c r="BF46" s="19" t="n">
        <f aca="false">BF42+Funding!BF35-Waterfall!BF20-Waterfall!BF31</f>
        <v>0</v>
      </c>
      <c r="BG46" s="19" t="n">
        <f aca="false">BG42+Funding!BG35-Waterfall!BG20-Waterfall!BG31</f>
        <v>0</v>
      </c>
      <c r="BH46" s="19" t="n">
        <f aca="false">BH42+Funding!BH35-Waterfall!BH20-Waterfall!BH31</f>
        <v>0</v>
      </c>
      <c r="BI46" s="19" t="n">
        <f aca="false">BI42+Funding!BI35-Waterfall!BI20-Waterfall!BI31</f>
        <v>0</v>
      </c>
      <c r="BJ46" s="19" t="n">
        <f aca="false">BJ42+Funding!BJ35-Waterfall!BJ20-Waterfall!BJ31</f>
        <v>0</v>
      </c>
      <c r="BK46" s="19" t="n">
        <f aca="false">BK42+Funding!BK35-Waterfall!BK20-Waterfall!BK31</f>
        <v>0</v>
      </c>
      <c r="BL46" s="19" t="n">
        <f aca="false">BL42+Funding!BL35-Waterfall!BL20-Waterfall!BL31</f>
        <v>0</v>
      </c>
      <c r="BM46" s="19" t="n">
        <f aca="false">BM42+Funding!BM35-Waterfall!BM20-Waterfall!BM31</f>
        <v>0</v>
      </c>
      <c r="BN46" s="19" t="n">
        <f aca="false">BN42+Funding!BN35-Waterfall!BN20-Waterfall!BN31</f>
        <v>0</v>
      </c>
      <c r="BO46" s="19" t="n">
        <f aca="false">BO42+Funding!BO35-Waterfall!BO20-Waterfall!BO31</f>
        <v>0</v>
      </c>
      <c r="BP46" s="19" t="n">
        <f aca="false">BP42+Funding!BP35-Waterfall!BP20-Waterfall!BP31</f>
        <v>0</v>
      </c>
      <c r="BQ46" s="19" t="n">
        <f aca="false">BQ42+Funding!BQ35-Waterfall!BQ20-Waterfall!BQ31</f>
        <v>0</v>
      </c>
      <c r="BR46" s="19" t="n">
        <f aca="false">BR42+Funding!BR35-Waterfall!BR20-Waterfall!BR31</f>
        <v>0</v>
      </c>
      <c r="BS46" s="19" t="n">
        <f aca="false">BS42+Funding!BS35-Waterfall!BS20-Waterfall!BS31</f>
        <v>0</v>
      </c>
      <c r="BT46" s="19" t="n">
        <f aca="false">BT42+Funding!BT35-Waterfall!BT20-Waterfall!BT31</f>
        <v>0</v>
      </c>
      <c r="BU46" s="19" t="n">
        <f aca="false">BU42+Funding!BU35-Waterfall!BU20-Waterfall!BU31</f>
        <v>0</v>
      </c>
      <c r="BV46" s="19" t="n">
        <f aca="false">BV42+Funding!BV35-Waterfall!BV20-Waterfall!BV31</f>
        <v>0</v>
      </c>
      <c r="BW46" s="19" t="n">
        <f aca="false">BW42+Funding!BW35-Waterfall!BW20-Waterfall!BW31</f>
        <v>0</v>
      </c>
      <c r="BX46" s="19" t="n">
        <f aca="false">BX42+Funding!BX35-Waterfall!BX20-Waterfall!BX31</f>
        <v>0</v>
      </c>
      <c r="BY46" s="19" t="n">
        <f aca="false">BY42+Funding!BY35-Waterfall!BY20-Waterfall!BY31</f>
        <v>0</v>
      </c>
      <c r="BZ46" s="19" t="n">
        <f aca="false">BZ42+Funding!BZ35-Waterfall!BZ20-Waterfall!BZ31</f>
        <v>0</v>
      </c>
      <c r="CA46" s="19" t="n">
        <f aca="false">CA42+Funding!CA35-Waterfall!CA20-Waterfall!CA31</f>
        <v>0</v>
      </c>
      <c r="CB46" s="19" t="n">
        <f aca="false">CB42+Funding!CB35-Waterfall!CB20-Waterfall!CB31</f>
        <v>0</v>
      </c>
      <c r="CC46" s="19" t="n">
        <f aca="false">CC42+Funding!CC35-Waterfall!CC20-Waterfall!CC31</f>
        <v>0</v>
      </c>
      <c r="CD46" s="19" t="n">
        <f aca="false">CD42+Funding!CD35-Waterfall!CD20-Waterfall!CD31</f>
        <v>0</v>
      </c>
      <c r="CE46" s="19" t="n">
        <f aca="false">CE42+Funding!CE35-Waterfall!CE20-Waterfall!CE31</f>
        <v>0</v>
      </c>
      <c r="CF46" s="19" t="n">
        <f aca="false">CF42+Funding!CF35-Waterfall!CF20-Waterfall!CF31</f>
        <v>0</v>
      </c>
      <c r="CG46" s="19" t="n">
        <f aca="false">CG42+Funding!CG35-Waterfall!CG20-Waterfall!CG31</f>
        <v>0</v>
      </c>
      <c r="CH46" s="19" t="n">
        <f aca="false">CH42+Funding!CH35-Waterfall!CH20-Waterfall!CH31</f>
        <v>0</v>
      </c>
      <c r="CI46" s="19" t="n">
        <f aca="false">CI42+Funding!CI35-Waterfall!CI20-Waterfall!CI31</f>
        <v>0</v>
      </c>
      <c r="CJ46" s="19" t="n">
        <f aca="false">CJ42+Funding!CJ35-Waterfall!CJ20-Waterfall!CJ31</f>
        <v>0</v>
      </c>
      <c r="CK46" s="19" t="n">
        <f aca="false">CK42+Funding!CK35-Waterfall!CK20-Waterfall!CK31</f>
        <v>0</v>
      </c>
      <c r="CL46" s="19" t="n">
        <f aca="false">CL42+Funding!CL35-Waterfall!CL20-Waterfall!CL31</f>
        <v>0</v>
      </c>
      <c r="CM46" s="19" t="n">
        <f aca="false">CM42+Funding!CM35-Waterfall!CM20-Waterfall!CM31</f>
        <v>0</v>
      </c>
      <c r="CN46" s="19" t="n">
        <f aca="false">CN42+Funding!CN35-Waterfall!CN20-Waterfall!CN31</f>
        <v>0</v>
      </c>
      <c r="CO46" s="19" t="n">
        <f aca="false">CO42+Funding!CO35-Waterfall!CO20-Waterfall!CO31</f>
        <v>0</v>
      </c>
      <c r="CP46" s="19" t="n">
        <f aca="false">CP42+Funding!CP35-Waterfall!CP20-Waterfall!CP31</f>
        <v>0</v>
      </c>
      <c r="CQ46" s="19" t="n">
        <f aca="false">CQ42+Funding!CQ35-Waterfall!CQ20-Waterfall!CQ31</f>
        <v>0</v>
      </c>
      <c r="CR46" s="19" t="n">
        <f aca="false">CR42+Funding!CR35-Waterfall!CR20-Waterfall!CR31</f>
        <v>0</v>
      </c>
      <c r="CS46" s="19" t="n">
        <f aca="false">CS42+Funding!CS35-Waterfall!CS20-Waterfall!CS31</f>
        <v>0</v>
      </c>
      <c r="CT46" s="19" t="n">
        <f aca="false">CT42+Funding!CT35-Waterfall!CT20-Waterfall!CT31</f>
        <v>0</v>
      </c>
      <c r="CU46" s="19" t="n">
        <f aca="false">CU42+Funding!CU35-Waterfall!CU20-Waterfall!CU31</f>
        <v>0</v>
      </c>
      <c r="CV46" s="19" t="n">
        <f aca="false">CV42+Funding!CV35-Waterfall!CV20-Waterfall!CV31</f>
        <v>0</v>
      </c>
      <c r="CW46" s="19" t="n">
        <f aca="false">CW42+Funding!CW35-Waterfall!CW20-Waterfall!CW31</f>
        <v>0</v>
      </c>
      <c r="CX46" s="19" t="n">
        <f aca="false">CX42+Funding!CX35-Waterfall!CX20-Waterfall!CX31</f>
        <v>0</v>
      </c>
      <c r="CY46" s="19" t="n">
        <f aca="false">CY42+Funding!CY35-Waterfall!CY20-Waterfall!CY31</f>
        <v>0</v>
      </c>
      <c r="CZ46" s="19" t="n">
        <f aca="false">CZ42+Funding!CZ35-Waterfall!CZ20-Waterfall!CZ31</f>
        <v>0</v>
      </c>
      <c r="DA46" s="19" t="n">
        <f aca="false">DA42+Funding!DA35-Waterfall!DA20-Waterfall!DA31</f>
        <v>0</v>
      </c>
      <c r="DB46" s="19" t="n">
        <f aca="false">DB42+Funding!DB35-Waterfall!DB20-Waterfall!DB31</f>
        <v>0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396.693185183496</v>
      </c>
      <c r="AE47" s="19" t="n">
        <f aca="false">IF(Time!AE35=1,0,AE46)</f>
        <v>386.962859976</v>
      </c>
      <c r="AF47" s="19" t="n">
        <f aca="false">IF(Time!AF35=1,0,AF46)</f>
        <v>386.962859976</v>
      </c>
      <c r="AG47" s="19" t="n">
        <f aca="false">IF(Time!AG35=1,0,AG46)</f>
        <v>386.962859976</v>
      </c>
      <c r="AH47" s="19" t="n">
        <f aca="false">IF(Time!AH35=1,0,AH46)</f>
        <v>386.962859976</v>
      </c>
      <c r="AI47" s="19" t="n">
        <f aca="false">IF(Time!AI35=1,0,AI46)</f>
        <v>0</v>
      </c>
      <c r="AJ47" s="19" t="n">
        <f aca="false">IF(Time!AJ35=1,0,AJ46)</f>
        <v>0</v>
      </c>
      <c r="AK47" s="19" t="n">
        <f aca="false">IF(Time!AK35=1,0,AK46)</f>
        <v>0</v>
      </c>
      <c r="AL47" s="19" t="n">
        <f aca="false">IF(Time!AL35=1,0,AL46)</f>
        <v>0</v>
      </c>
      <c r="AM47" s="19" t="n">
        <f aca="false">IF(Time!AM35=1,0,AM46)</f>
        <v>0</v>
      </c>
      <c r="AN47" s="19" t="n">
        <f aca="false">IF(Time!AN35=1,0,AN46)</f>
        <v>0</v>
      </c>
      <c r="AO47" s="19" t="n">
        <f aca="false">IF(Time!AO35=1,0,AO46)</f>
        <v>0</v>
      </c>
      <c r="AP47" s="19" t="n">
        <f aca="false">IF(Time!AP35=1,0,AP46)</f>
        <v>0</v>
      </c>
      <c r="AQ47" s="19" t="n">
        <f aca="false">IF(Time!AQ35=1,0,AQ46)</f>
        <v>0</v>
      </c>
      <c r="AR47" s="19" t="n">
        <f aca="false">IF(Time!AR35=1,0,AR46)</f>
        <v>0</v>
      </c>
      <c r="AS47" s="19" t="n">
        <f aca="false">IF(Time!AS35=1,0,AS46)</f>
        <v>0</v>
      </c>
      <c r="AT47" s="19" t="n">
        <f aca="false">IF(Time!AT35=1,0,AT46)</f>
        <v>0</v>
      </c>
      <c r="AU47" s="19" t="n">
        <f aca="false">IF(Time!AU35=1,0,AU46)</f>
        <v>0</v>
      </c>
      <c r="AV47" s="19" t="n">
        <f aca="false">IF(Time!AV35=1,0,AV46)</f>
        <v>0</v>
      </c>
      <c r="AW47" s="19" t="n">
        <f aca="false">IF(Time!AW35=1,0,AW46)</f>
        <v>0</v>
      </c>
      <c r="AX47" s="19" t="n">
        <f aca="false">IF(Time!AX35=1,0,AX46)</f>
        <v>0</v>
      </c>
      <c r="AY47" s="19" t="n">
        <f aca="false">IF(Time!AY35=1,0,AY46)</f>
        <v>0</v>
      </c>
      <c r="AZ47" s="19" t="n">
        <f aca="false">IF(Time!AZ35=1,0,AZ46)</f>
        <v>0</v>
      </c>
      <c r="BA47" s="19" t="n">
        <f aca="false">IF(Time!BA35=1,0,BA46)</f>
        <v>0</v>
      </c>
      <c r="BB47" s="19" t="n">
        <f aca="false">IF(Time!BB35=1,0,BB46)</f>
        <v>0</v>
      </c>
      <c r="BC47" s="19" t="n">
        <f aca="false">IF(Time!BC35=1,0,BC46)</f>
        <v>0</v>
      </c>
      <c r="BD47" s="19" t="n">
        <f aca="false">IF(Time!BD35=1,0,BD46)</f>
        <v>0</v>
      </c>
      <c r="BE47" s="19" t="n">
        <f aca="false">IF(Time!BE35=1,0,BE46)</f>
        <v>0</v>
      </c>
      <c r="BF47" s="19" t="n">
        <f aca="false">IF(Time!BF35=1,0,BF46)</f>
        <v>0</v>
      </c>
      <c r="BG47" s="19" t="n">
        <f aca="false">IF(Time!BG35=1,0,BG46)</f>
        <v>0</v>
      </c>
      <c r="BH47" s="19" t="n">
        <f aca="false">IF(Time!BH35=1,0,BH46)</f>
        <v>0</v>
      </c>
      <c r="BI47" s="19" t="n">
        <f aca="false">IF(Time!BI35=1,0,BI46)</f>
        <v>0</v>
      </c>
      <c r="BJ47" s="19" t="n">
        <f aca="false">IF(Time!BJ35=1,0,BJ46)</f>
        <v>0</v>
      </c>
      <c r="BK47" s="19" t="n">
        <f aca="false">IF(Time!BK35=1,0,BK46)</f>
        <v>0</v>
      </c>
      <c r="BL47" s="19" t="n">
        <f aca="false">IF(Time!BL35=1,0,BL46)</f>
        <v>0</v>
      </c>
      <c r="BM47" s="19" t="n">
        <f aca="false">IF(Time!BM35=1,0,BM46)</f>
        <v>0</v>
      </c>
      <c r="BN47" s="19" t="n">
        <f aca="false">IF(Time!BN35=1,0,BN46)</f>
        <v>0</v>
      </c>
      <c r="BO47" s="19" t="n">
        <f aca="false">IF(Time!BO35=1,0,BO46)</f>
        <v>0</v>
      </c>
      <c r="BP47" s="19" t="n">
        <f aca="false">IF(Time!BP35=1,0,BP46)</f>
        <v>0</v>
      </c>
      <c r="BQ47" s="19" t="n">
        <f aca="false">IF(Time!BQ35=1,0,BQ46)</f>
        <v>0</v>
      </c>
      <c r="BR47" s="19" t="n">
        <f aca="false">IF(Time!BR35=1,0,BR46)</f>
        <v>0</v>
      </c>
      <c r="BS47" s="19" t="n">
        <f aca="false">IF(Time!BS35=1,0,BS46)</f>
        <v>0</v>
      </c>
      <c r="BT47" s="19" t="n">
        <f aca="false">IF(Time!BT35=1,0,BT46)</f>
        <v>0</v>
      </c>
      <c r="BU47" s="19" t="n">
        <f aca="false">IF(Time!BU35=1,0,BU46)</f>
        <v>0</v>
      </c>
      <c r="BV47" s="19" t="n">
        <f aca="false">IF(Time!BV35=1,0,BV46)</f>
        <v>0</v>
      </c>
      <c r="BW47" s="19" t="n">
        <f aca="false">IF(Time!BW35=1,0,BW46)</f>
        <v>0</v>
      </c>
      <c r="BX47" s="19" t="n">
        <f aca="false">IF(Time!BX35=1,0,BX46)</f>
        <v>0</v>
      </c>
      <c r="BY47" s="19" t="n">
        <f aca="false">IF(Time!BY35=1,0,BY46)</f>
        <v>0</v>
      </c>
      <c r="BZ47" s="19" t="n">
        <f aca="false">IF(Time!BZ35=1,0,BZ46)</f>
        <v>0</v>
      </c>
      <c r="CA47" s="19" t="n">
        <f aca="false">IF(Time!CA35=1,0,CA46)</f>
        <v>0</v>
      </c>
      <c r="CB47" s="19" t="n">
        <f aca="false">IF(Time!CB35=1,0,CB46)</f>
        <v>0</v>
      </c>
      <c r="CC47" s="19" t="n">
        <f aca="false">IF(Time!CC35=1,0,CC46)</f>
        <v>0</v>
      </c>
      <c r="CD47" s="19" t="n">
        <f aca="false">IF(Time!CD35=1,0,CD46)</f>
        <v>0</v>
      </c>
      <c r="CE47" s="19" t="n">
        <f aca="false">IF(Time!CE35=1,0,CE46)</f>
        <v>0</v>
      </c>
      <c r="CF47" s="19" t="n">
        <f aca="false">IF(Time!CF35=1,0,CF46)</f>
        <v>0</v>
      </c>
      <c r="CG47" s="19" t="n">
        <f aca="false">IF(Time!CG35=1,0,CG46)</f>
        <v>0</v>
      </c>
      <c r="CH47" s="19" t="n">
        <f aca="false">IF(Time!CH35=1,0,CH46)</f>
        <v>0</v>
      </c>
      <c r="CI47" s="19" t="n">
        <f aca="false">IF(Time!CI35=1,0,CI46)</f>
        <v>0</v>
      </c>
      <c r="CJ47" s="19" t="n">
        <f aca="false">IF(Time!CJ35=1,0,CJ46)</f>
        <v>0</v>
      </c>
      <c r="CK47" s="19" t="n">
        <f aca="false">IF(Time!CK35=1,0,CK46)</f>
        <v>0</v>
      </c>
      <c r="CL47" s="19" t="n">
        <f aca="false">IF(Time!CL35=1,0,CL46)</f>
        <v>0</v>
      </c>
      <c r="CM47" s="19" t="n">
        <f aca="false">IF(Time!CM35=1,0,CM46)</f>
        <v>0</v>
      </c>
      <c r="CN47" s="19" t="n">
        <f aca="false">IF(Time!CN35=1,0,CN46)</f>
        <v>0</v>
      </c>
      <c r="CO47" s="19" t="n">
        <f aca="false">IF(Time!CO35=1,0,CO46)</f>
        <v>0</v>
      </c>
      <c r="CP47" s="19" t="n">
        <f aca="false">IF(Time!CP35=1,0,CP46)</f>
        <v>0</v>
      </c>
      <c r="CQ47" s="19" t="n">
        <f aca="false">IF(Time!CQ35=1,0,CQ46)</f>
        <v>0</v>
      </c>
      <c r="CR47" s="19" t="n">
        <f aca="false">IF(Time!CR35=1,0,CR46)</f>
        <v>0</v>
      </c>
      <c r="CS47" s="19" t="n">
        <f aca="false">IF(Time!CS35=1,0,CS46)</f>
        <v>0</v>
      </c>
      <c r="CT47" s="19" t="n">
        <f aca="false">IF(Time!CT35=1,0,CT46)</f>
        <v>0</v>
      </c>
      <c r="CU47" s="19" t="n">
        <f aca="false">IF(Time!CU35=1,0,CU46)</f>
        <v>0</v>
      </c>
      <c r="CV47" s="19" t="n">
        <f aca="false">IF(Time!CV35=1,0,CV46)</f>
        <v>0</v>
      </c>
      <c r="CW47" s="19" t="n">
        <f aca="false">IF(Time!CW35=1,0,CW46)</f>
        <v>0</v>
      </c>
      <c r="CX47" s="19" t="n">
        <f aca="false">IF(Time!CX35=1,0,CX46)</f>
        <v>0</v>
      </c>
      <c r="CY47" s="19" t="n">
        <f aca="false">IF(Time!CY35=1,0,CY46)</f>
        <v>0</v>
      </c>
      <c r="CZ47" s="19" t="n">
        <f aca="false">IF(Time!CZ35=1,0,CZ46)</f>
        <v>0</v>
      </c>
      <c r="DA47" s="19" t="n">
        <f aca="false">IF(Time!DA35=1,0,DA46)</f>
        <v>0</v>
      </c>
      <c r="DB47" s="19" t="n">
        <f aca="false">IF(Time!DB35=1,0,DB46)</f>
        <v>0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484.847226335384</v>
      </c>
      <c r="AF49" s="19" t="n">
        <f aca="false">IF(Time!AF6=1,Funding!$F$7,AE54)</f>
        <v>472.954606637334</v>
      </c>
      <c r="AG49" s="19" t="n">
        <f aca="false">IF(Time!AG6=1,Funding!$F$7,AF54)</f>
        <v>472.954606637334</v>
      </c>
      <c r="AH49" s="19" t="n">
        <f aca="false">IF(Time!AH6=1,Funding!$F$7,AG54)</f>
        <v>472.954606637334</v>
      </c>
      <c r="AI49" s="19" t="n">
        <f aca="false">IF(Time!AI6=1,Funding!$F$7,AH54)</f>
        <v>472.954606637334</v>
      </c>
      <c r="AJ49" s="19" t="n">
        <f aca="false">IF(Time!AJ6=1,Funding!$F$7,AI54)</f>
        <v>0</v>
      </c>
      <c r="AK49" s="19" t="n">
        <f aca="false">IF(Time!AK6=1,Funding!$F$7,AJ54)</f>
        <v>0</v>
      </c>
      <c r="AL49" s="19" t="n">
        <f aca="false">IF(Time!AL6=1,Funding!$F$7,AK54)</f>
        <v>0</v>
      </c>
      <c r="AM49" s="19" t="n">
        <f aca="false">IF(Time!AM6=1,Funding!$F$7,AL54)</f>
        <v>0</v>
      </c>
      <c r="AN49" s="19" t="n">
        <f aca="false">IF(Time!AN6=1,Funding!$F$7,AM54)</f>
        <v>0</v>
      </c>
      <c r="AO49" s="19" t="n">
        <f aca="false">IF(Time!AO6=1,Funding!$F$7,AN54)</f>
        <v>0</v>
      </c>
      <c r="AP49" s="19" t="n">
        <f aca="false">IF(Time!AP6=1,Funding!$F$7,AO54)</f>
        <v>0</v>
      </c>
      <c r="AQ49" s="19" t="n">
        <f aca="false">IF(Time!AQ6=1,Funding!$F$7,AP54)</f>
        <v>0</v>
      </c>
      <c r="AR49" s="19" t="n">
        <f aca="false">IF(Time!AR6=1,Funding!$F$7,AQ54)</f>
        <v>0</v>
      </c>
      <c r="AS49" s="19" t="n">
        <f aca="false">IF(Time!AS6=1,Funding!$F$7,AR54)</f>
        <v>0</v>
      </c>
      <c r="AT49" s="19" t="n">
        <f aca="false">IF(Time!AT6=1,Funding!$F$7,AS54)</f>
        <v>0</v>
      </c>
      <c r="AU49" s="19" t="n">
        <f aca="false">IF(Time!AU6=1,Funding!$F$7,AT54)</f>
        <v>0</v>
      </c>
      <c r="AV49" s="19" t="n">
        <f aca="false">IF(Time!AV6=1,Funding!$F$7,AU54)</f>
        <v>0</v>
      </c>
      <c r="AW49" s="19" t="n">
        <f aca="false">IF(Time!AW6=1,Funding!$F$7,AV54)</f>
        <v>0</v>
      </c>
      <c r="AX49" s="19" t="n">
        <f aca="false">IF(Time!AX6=1,Funding!$F$7,AW54)</f>
        <v>0</v>
      </c>
      <c r="AY49" s="19" t="n">
        <f aca="false">IF(Time!AY6=1,Funding!$F$7,AX54)</f>
        <v>0</v>
      </c>
      <c r="AZ49" s="19" t="n">
        <f aca="false">IF(Time!AZ6=1,Funding!$F$7,AY54)</f>
        <v>0</v>
      </c>
      <c r="BA49" s="19" t="n">
        <f aca="false">IF(Time!BA6=1,Funding!$F$7,AZ54)</f>
        <v>0</v>
      </c>
      <c r="BB49" s="19" t="n">
        <f aca="false">IF(Time!BB6=1,Funding!$F$7,BA54)</f>
        <v>0</v>
      </c>
      <c r="BC49" s="19" t="n">
        <f aca="false">IF(Time!BC6=1,Funding!$F$7,BB54)</f>
        <v>0</v>
      </c>
      <c r="BD49" s="19" t="n">
        <f aca="false">IF(Time!BD6=1,Funding!$F$7,BC54)</f>
        <v>0</v>
      </c>
      <c r="BE49" s="19" t="n">
        <f aca="false">IF(Time!BE6=1,Funding!$F$7,BD54)</f>
        <v>0</v>
      </c>
      <c r="BF49" s="19" t="n">
        <f aca="false">IF(Time!BF6=1,Funding!$F$7,BE54)</f>
        <v>0</v>
      </c>
      <c r="BG49" s="19" t="n">
        <f aca="false">IF(Time!BG6=1,Funding!$F$7,BF54)</f>
        <v>0</v>
      </c>
      <c r="BH49" s="19" t="n">
        <f aca="false">IF(Time!BH6=1,Funding!$F$7,BG54)</f>
        <v>0</v>
      </c>
      <c r="BI49" s="19" t="n">
        <f aca="false">IF(Time!BI6=1,Funding!$F$7,BH54)</f>
        <v>0</v>
      </c>
      <c r="BJ49" s="19" t="n">
        <f aca="false">IF(Time!BJ6=1,Funding!$F$7,BI54)</f>
        <v>0</v>
      </c>
      <c r="BK49" s="19" t="n">
        <f aca="false">IF(Time!BK6=1,Funding!$F$7,BJ54)</f>
        <v>0</v>
      </c>
      <c r="BL49" s="19" t="n">
        <f aca="false">IF(Time!BL6=1,Funding!$F$7,BK54)</f>
        <v>0</v>
      </c>
      <c r="BM49" s="19" t="n">
        <f aca="false">IF(Time!BM6=1,Funding!$F$7,BL54)</f>
        <v>0</v>
      </c>
      <c r="BN49" s="19" t="n">
        <f aca="false">IF(Time!BN6=1,Funding!$F$7,BM54)</f>
        <v>0</v>
      </c>
      <c r="BO49" s="19" t="n">
        <f aca="false">IF(Time!BO6=1,Funding!$F$7,BN54)</f>
        <v>0</v>
      </c>
      <c r="BP49" s="19" t="n">
        <f aca="false">IF(Time!BP6=1,Funding!$F$7,BO54)</f>
        <v>0</v>
      </c>
      <c r="BQ49" s="19" t="n">
        <f aca="false">IF(Time!BQ6=1,Funding!$F$7,BP54)</f>
        <v>0</v>
      </c>
      <c r="BR49" s="19" t="n">
        <f aca="false">IF(Time!BR6=1,Funding!$F$7,BQ54)</f>
        <v>0</v>
      </c>
      <c r="BS49" s="19" t="n">
        <f aca="false">IF(Time!BS6=1,Funding!$F$7,BR54)</f>
        <v>0</v>
      </c>
      <c r="BT49" s="19" t="n">
        <f aca="false">IF(Time!BT6=1,Funding!$F$7,BS54)</f>
        <v>0</v>
      </c>
      <c r="BU49" s="19" t="n">
        <f aca="false">IF(Time!BU6=1,Funding!$F$7,BT54)</f>
        <v>0</v>
      </c>
      <c r="BV49" s="19" t="n">
        <f aca="false">IF(Time!BV6=1,Funding!$F$7,BU54)</f>
        <v>0</v>
      </c>
      <c r="BW49" s="19" t="n">
        <f aca="false">IF(Time!BW6=1,Funding!$F$7,BV54)</f>
        <v>0</v>
      </c>
      <c r="BX49" s="19" t="n">
        <f aca="false">IF(Time!BX6=1,Funding!$F$7,BW54)</f>
        <v>0</v>
      </c>
      <c r="BY49" s="19" t="n">
        <f aca="false">IF(Time!BY6=1,Funding!$F$7,BX54)</f>
        <v>0</v>
      </c>
      <c r="BZ49" s="19" t="n">
        <f aca="false">IF(Time!BZ6=1,Funding!$F$7,BY54)</f>
        <v>0</v>
      </c>
      <c r="CA49" s="19" t="n">
        <f aca="false">IF(Time!CA6=1,Funding!$F$7,BZ54)</f>
        <v>0</v>
      </c>
      <c r="CB49" s="19" t="n">
        <f aca="false">IF(Time!CB6=1,Funding!$F$7,CA54)</f>
        <v>0</v>
      </c>
      <c r="CC49" s="19" t="n">
        <f aca="false">IF(Time!CC6=1,Funding!$F$7,CB54)</f>
        <v>0</v>
      </c>
      <c r="CD49" s="19" t="n">
        <f aca="false">IF(Time!CD6=1,Funding!$F$7,CC54)</f>
        <v>0</v>
      </c>
      <c r="CE49" s="19" t="n">
        <f aca="false">IF(Time!CE6=1,Funding!$F$7,CD54)</f>
        <v>0</v>
      </c>
      <c r="CF49" s="19" t="n">
        <f aca="false">IF(Time!CF6=1,Funding!$F$7,CE54)</f>
        <v>0</v>
      </c>
      <c r="CG49" s="19" t="n">
        <f aca="false">IF(Time!CG6=1,Funding!$F$7,CF54)</f>
        <v>0</v>
      </c>
      <c r="CH49" s="19" t="n">
        <f aca="false">IF(Time!CH6=1,Funding!$F$7,CG54)</f>
        <v>0</v>
      </c>
      <c r="CI49" s="19" t="n">
        <f aca="false">IF(Time!CI6=1,Funding!$F$7,CH54)</f>
        <v>0</v>
      </c>
      <c r="CJ49" s="19" t="n">
        <f aca="false">IF(Time!CJ6=1,Funding!$F$7,CI54)</f>
        <v>0</v>
      </c>
      <c r="CK49" s="19" t="n">
        <f aca="false">IF(Time!CK6=1,Funding!$F$7,CJ54)</f>
        <v>0</v>
      </c>
      <c r="CL49" s="19" t="n">
        <f aca="false">IF(Time!CL6=1,Funding!$F$7,CK54)</f>
        <v>0</v>
      </c>
      <c r="CM49" s="19" t="n">
        <f aca="false">IF(Time!CM6=1,Funding!$F$7,CL54)</f>
        <v>0</v>
      </c>
      <c r="CN49" s="19" t="n">
        <f aca="false">IF(Time!CN6=1,Funding!$F$7,CM54)</f>
        <v>0</v>
      </c>
      <c r="CO49" s="19" t="n">
        <f aca="false">IF(Time!CO6=1,Funding!$F$7,CN54)</f>
        <v>0</v>
      </c>
      <c r="CP49" s="19" t="n">
        <f aca="false">IF(Time!CP6=1,Funding!$F$7,CO54)</f>
        <v>0</v>
      </c>
      <c r="CQ49" s="19" t="n">
        <f aca="false">IF(Time!CQ6=1,Funding!$F$7,CP54)</f>
        <v>0</v>
      </c>
      <c r="CR49" s="19" t="n">
        <f aca="false">IF(Time!CR6=1,Funding!$F$7,CQ54)</f>
        <v>0</v>
      </c>
      <c r="CS49" s="19" t="n">
        <f aca="false">IF(Time!CS6=1,Funding!$F$7,CR54)</f>
        <v>0</v>
      </c>
      <c r="CT49" s="19" t="n">
        <f aca="false">IF(Time!CT6=1,Funding!$F$7,CS54)</f>
        <v>0</v>
      </c>
      <c r="CU49" s="19" t="n">
        <f aca="false">IF(Time!CU6=1,Funding!$F$7,CT54)</f>
        <v>0</v>
      </c>
      <c r="CV49" s="19" t="n">
        <f aca="false">IF(Time!CV6=1,Funding!$F$7,CU54)</f>
        <v>0</v>
      </c>
      <c r="CW49" s="19" t="n">
        <f aca="false">IF(Time!CW6=1,Funding!$F$7,CV54)</f>
        <v>0</v>
      </c>
      <c r="CX49" s="19" t="n">
        <f aca="false">IF(Time!CX6=1,Funding!$F$7,CW54)</f>
        <v>0</v>
      </c>
      <c r="CY49" s="19" t="n">
        <f aca="false">IF(Time!CY6=1,Funding!$F$7,CX54)</f>
        <v>0</v>
      </c>
      <c r="CZ49" s="19" t="n">
        <f aca="false">IF(Time!CZ6=1,Funding!$F$7,CY54)</f>
        <v>0</v>
      </c>
      <c r="DA49" s="19" t="n">
        <f aca="false">IF(Time!DA6=1,Funding!$F$7,CZ54)</f>
        <v>0</v>
      </c>
      <c r="DB49" s="19" t="n">
        <f aca="false">IF(Time!DB6=1,Funding!$F$7,DA54)</f>
        <v>0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200.97606767334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11.7575452386331</v>
      </c>
      <c r="AF50" s="19" t="n">
        <f aca="false">AF49*Inputs!$F$110*Time!AF10/Inputs!$F$46</f>
        <v>11.4691492109553</v>
      </c>
      <c r="AG50" s="19" t="n">
        <f aca="false">AG49*Inputs!$F$110*Time!AG10/Inputs!$F$46</f>
        <v>11.4691492109553</v>
      </c>
      <c r="AH50" s="19" t="n">
        <f aca="false">AH49*Inputs!$F$110*Time!AH10/Inputs!$F$46</f>
        <v>11.4691492109553</v>
      </c>
      <c r="AI50" s="19" t="n">
        <f aca="false">AI49*Inputs!$F$110*Time!AI10/Inputs!$F$46</f>
        <v>11.4691492109553</v>
      </c>
      <c r="AJ50" s="19" t="n">
        <f aca="false">AJ49*Inputs!$F$110*Time!AJ10/Inputs!$F$46</f>
        <v>0</v>
      </c>
      <c r="AK50" s="19" t="n">
        <f aca="false">AK49*Inputs!$F$110*Time!AK10/Inputs!$F$46</f>
        <v>0</v>
      </c>
      <c r="AL50" s="19" t="n">
        <f aca="false">AL49*Inputs!$F$110*Time!AL10/Inputs!$F$46</f>
        <v>0</v>
      </c>
      <c r="AM50" s="19" t="n">
        <f aca="false">AM49*Inputs!$F$110*Time!AM10/Inputs!$F$46</f>
        <v>0</v>
      </c>
      <c r="AN50" s="19" t="n">
        <f aca="false">AN49*Inputs!$F$110*Time!AN10/Inputs!$F$46</f>
        <v>0</v>
      </c>
      <c r="AO50" s="19" t="n">
        <f aca="false">AO49*Inputs!$F$110*Time!AO10/Inputs!$F$46</f>
        <v>0</v>
      </c>
      <c r="AP50" s="19" t="n">
        <f aca="false">AP49*Inputs!$F$110*Time!AP10/Inputs!$F$46</f>
        <v>0</v>
      </c>
      <c r="AQ50" s="19" t="n">
        <f aca="false">AQ49*Inputs!$F$110*Time!AQ10/Inputs!$F$46</f>
        <v>0</v>
      </c>
      <c r="AR50" s="19" t="n">
        <f aca="false">AR49*Inputs!$F$110*Time!AR10/Inputs!$F$46</f>
        <v>0</v>
      </c>
      <c r="AS50" s="19" t="n">
        <f aca="false">AS49*Inputs!$F$110*Time!AS10/Inputs!$F$46</f>
        <v>0</v>
      </c>
      <c r="AT50" s="19" t="n">
        <f aca="false">AT49*Inputs!$F$110*Time!AT10/Inputs!$F$46</f>
        <v>0</v>
      </c>
      <c r="AU50" s="19" t="n">
        <f aca="false">AU49*Inputs!$F$110*Time!AU10/Inputs!$F$46</f>
        <v>0</v>
      </c>
      <c r="AV50" s="19" t="n">
        <f aca="false">AV49*Inputs!$F$110*Time!AV10/Inputs!$F$46</f>
        <v>0</v>
      </c>
      <c r="AW50" s="19" t="n">
        <f aca="false">AW49*Inputs!$F$110*Time!AW10/Inputs!$F$46</f>
        <v>0</v>
      </c>
      <c r="AX50" s="19" t="n">
        <f aca="false">AX49*Inputs!$F$110*Time!AX10/Inputs!$F$46</f>
        <v>0</v>
      </c>
      <c r="AY50" s="19" t="n">
        <f aca="false">AY49*Inputs!$F$110*Time!AY10/Inputs!$F$46</f>
        <v>0</v>
      </c>
      <c r="AZ50" s="19" t="n">
        <f aca="false">AZ49*Inputs!$F$110*Time!AZ10/Inputs!$F$46</f>
        <v>0</v>
      </c>
      <c r="BA50" s="19" t="n">
        <f aca="false">BA49*Inputs!$F$110*Time!BA10/Inputs!$F$46</f>
        <v>0</v>
      </c>
      <c r="BB50" s="19" t="n">
        <f aca="false">BB49*Inputs!$F$110*Time!BB10/Inputs!$F$46</f>
        <v>0</v>
      </c>
      <c r="BC50" s="19" t="n">
        <f aca="false">BC49*Inputs!$F$110*Time!BC10/Inputs!$F$46</f>
        <v>0</v>
      </c>
      <c r="BD50" s="19" t="n">
        <f aca="false">BD49*Inputs!$F$110*Time!BD10/Inputs!$F$46</f>
        <v>0</v>
      </c>
      <c r="BE50" s="19" t="n">
        <f aca="false">BE49*Inputs!$F$110*Time!BE10/Inputs!$F$46</f>
        <v>0</v>
      </c>
      <c r="BF50" s="19" t="n">
        <f aca="false">BF49*Inputs!$F$110*Time!BF10/Inputs!$F$46</f>
        <v>0</v>
      </c>
      <c r="BG50" s="19" t="n">
        <f aca="false">BG49*Inputs!$F$110*Time!BG10/Inputs!$F$46</f>
        <v>0</v>
      </c>
      <c r="BH50" s="19" t="n">
        <f aca="false">BH49*Inputs!$F$110*Time!BH10/Inputs!$F$46</f>
        <v>0</v>
      </c>
      <c r="BI50" s="19" t="n">
        <f aca="false">BI49*Inputs!$F$110*Time!BI10/Inputs!$F$46</f>
        <v>0</v>
      </c>
      <c r="BJ50" s="19" t="n">
        <f aca="false">BJ49*Inputs!$F$110*Time!BJ10/Inputs!$F$46</f>
        <v>0</v>
      </c>
      <c r="BK50" s="19" t="n">
        <f aca="false">BK49*Inputs!$F$110*Time!BK10/Inputs!$F$46</f>
        <v>0</v>
      </c>
      <c r="BL50" s="19" t="n">
        <f aca="false">BL49*Inputs!$F$110*Time!BL10/Inputs!$F$46</f>
        <v>0</v>
      </c>
      <c r="BM50" s="19" t="n">
        <f aca="false">BM49*Inputs!$F$110*Time!BM10/Inputs!$F$46</f>
        <v>0</v>
      </c>
      <c r="BN50" s="19" t="n">
        <f aca="false">BN49*Inputs!$F$110*Time!BN10/Inputs!$F$46</f>
        <v>0</v>
      </c>
      <c r="BO50" s="19" t="n">
        <f aca="false">BO49*Inputs!$F$110*Time!BO10/Inputs!$F$46</f>
        <v>0</v>
      </c>
      <c r="BP50" s="19" t="n">
        <f aca="false">BP49*Inputs!$F$110*Time!BP10/Inputs!$F$46</f>
        <v>0</v>
      </c>
      <c r="BQ50" s="19" t="n">
        <f aca="false">BQ49*Inputs!$F$110*Time!BQ10/Inputs!$F$46</f>
        <v>0</v>
      </c>
      <c r="BR50" s="19" t="n">
        <f aca="false">BR49*Inputs!$F$110*Time!BR10/Inputs!$F$46</f>
        <v>0</v>
      </c>
      <c r="BS50" s="19" t="n">
        <f aca="false">BS49*Inputs!$F$110*Time!BS10/Inputs!$F$46</f>
        <v>0</v>
      </c>
      <c r="BT50" s="19" t="n">
        <f aca="false">BT49*Inputs!$F$110*Time!BT10/Inputs!$F$46</f>
        <v>0</v>
      </c>
      <c r="BU50" s="19" t="n">
        <f aca="false">BU49*Inputs!$F$110*Time!BU10/Inputs!$F$46</f>
        <v>0</v>
      </c>
      <c r="BV50" s="19" t="n">
        <f aca="false">BV49*Inputs!$F$110*Time!BV10/Inputs!$F$46</f>
        <v>0</v>
      </c>
      <c r="BW50" s="19" t="n">
        <f aca="false">BW49*Inputs!$F$110*Time!BW10/Inputs!$F$46</f>
        <v>0</v>
      </c>
      <c r="BX50" s="19" t="n">
        <f aca="false">BX49*Inputs!$F$110*Time!BX10/Inputs!$F$46</f>
        <v>0</v>
      </c>
      <c r="BY50" s="19" t="n">
        <f aca="false">BY49*Inputs!$F$110*Time!BY10/Inputs!$F$46</f>
        <v>0</v>
      </c>
      <c r="BZ50" s="19" t="n">
        <f aca="false">BZ49*Inputs!$F$110*Time!BZ10/Inputs!$F$46</f>
        <v>0</v>
      </c>
      <c r="CA50" s="19" t="n">
        <f aca="false">CA49*Inputs!$F$110*Time!CA10/Inputs!$F$46</f>
        <v>0</v>
      </c>
      <c r="CB50" s="19" t="n">
        <f aca="false">CB49*Inputs!$F$110*Time!CB10/Inputs!$F$46</f>
        <v>0</v>
      </c>
      <c r="CC50" s="19" t="n">
        <f aca="false">CC49*Inputs!$F$110*Time!CC10/Inputs!$F$46</f>
        <v>0</v>
      </c>
      <c r="CD50" s="19" t="n">
        <f aca="false">CD49*Inputs!$F$110*Time!CD10/Inputs!$F$46</f>
        <v>0</v>
      </c>
      <c r="CE50" s="19" t="n">
        <f aca="false">CE49*Inputs!$F$110*Time!CE10/Inputs!$F$46</f>
        <v>0</v>
      </c>
      <c r="CF50" s="19" t="n">
        <f aca="false">CF49*Inputs!$F$110*Time!CF10/Inputs!$F$46</f>
        <v>0</v>
      </c>
      <c r="CG50" s="19" t="n">
        <f aca="false">CG49*Inputs!$F$110*Time!CG10/Inputs!$F$46</f>
        <v>0</v>
      </c>
      <c r="CH50" s="19" t="n">
        <f aca="false">CH49*Inputs!$F$110*Time!CH10/Inputs!$F$46</f>
        <v>0</v>
      </c>
      <c r="CI50" s="19" t="n">
        <f aca="false">CI49*Inputs!$F$110*Time!CI10/Inputs!$F$46</f>
        <v>0</v>
      </c>
      <c r="CJ50" s="19" t="n">
        <f aca="false">CJ49*Inputs!$F$110*Time!CJ10/Inputs!$F$46</f>
        <v>0</v>
      </c>
      <c r="CK50" s="19" t="n">
        <f aca="false">CK49*Inputs!$F$110*Time!CK10/Inputs!$F$46</f>
        <v>0</v>
      </c>
      <c r="CL50" s="19" t="n">
        <f aca="false">CL49*Inputs!$F$110*Time!CL10/Inputs!$F$46</f>
        <v>0</v>
      </c>
      <c r="CM50" s="19" t="n">
        <f aca="false">CM49*Inputs!$F$110*Time!CM10/Inputs!$F$46</f>
        <v>0</v>
      </c>
      <c r="CN50" s="19" t="n">
        <f aca="false">CN49*Inputs!$F$110*Time!CN10/Inputs!$F$46</f>
        <v>0</v>
      </c>
      <c r="CO50" s="19" t="n">
        <f aca="false">CO49*Inputs!$F$110*Time!CO10/Inputs!$F$46</f>
        <v>0</v>
      </c>
      <c r="CP50" s="19" t="n">
        <f aca="false">CP49*Inputs!$F$110*Time!CP10/Inputs!$F$46</f>
        <v>0</v>
      </c>
      <c r="CQ50" s="19" t="n">
        <f aca="false">CQ49*Inputs!$F$110*Time!CQ10/Inputs!$F$46</f>
        <v>0</v>
      </c>
      <c r="CR50" s="19" t="n">
        <f aca="false">CR49*Inputs!$F$110*Time!CR10/Inputs!$F$46</f>
        <v>0</v>
      </c>
      <c r="CS50" s="19" t="n">
        <f aca="false">CS49*Inputs!$F$110*Time!CS10/Inputs!$F$46</f>
        <v>0</v>
      </c>
      <c r="CT50" s="19" t="n">
        <f aca="false">CT49*Inputs!$F$110*Time!CT10/Inputs!$F$46</f>
        <v>0</v>
      </c>
      <c r="CU50" s="19" t="n">
        <f aca="false">CU49*Inputs!$F$110*Time!CU10/Inputs!$F$46</f>
        <v>0</v>
      </c>
      <c r="CV50" s="19" t="n">
        <f aca="false">CV49*Inputs!$F$110*Time!CV10/Inputs!$F$46</f>
        <v>0</v>
      </c>
      <c r="CW50" s="19" t="n">
        <f aca="false">CW49*Inputs!$F$110*Time!CW10/Inputs!$F$46</f>
        <v>0</v>
      </c>
      <c r="CX50" s="19" t="n">
        <f aca="false">CX49*Inputs!$F$110*Time!CX10/Inputs!$F$46</f>
        <v>0</v>
      </c>
      <c r="CY50" s="19" t="n">
        <f aca="false">CY49*Inputs!$F$110*Time!CY10/Inputs!$F$46</f>
        <v>0</v>
      </c>
      <c r="CZ50" s="19" t="n">
        <f aca="false">CZ49*Inputs!$F$110*Time!CZ10/Inputs!$F$46</f>
        <v>0</v>
      </c>
      <c r="DA50" s="19" t="n">
        <f aca="false">DA49*Inputs!$F$110*Time!DA10/Inputs!$F$46</f>
        <v>0</v>
      </c>
      <c r="DB50" s="19" t="n">
        <f aca="false">DB49*Inputs!$F$110*Time!DB10/Inputs!$F$46</f>
        <v>0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110.578492163903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11.7575452386331</v>
      </c>
      <c r="AF51" s="19" t="n">
        <f aca="false">AF50*(1-Time!AF20)</f>
        <v>11.4691492109553</v>
      </c>
      <c r="AG51" s="19" t="n">
        <f aca="false">AG50*(1-Time!AG20)</f>
        <v>11.4691492109553</v>
      </c>
      <c r="AH51" s="19" t="n">
        <f aca="false">AH50*(1-Time!AH20)</f>
        <v>11.4691492109553</v>
      </c>
      <c r="AI51" s="19" t="n">
        <f aca="false">AI50*(1-Time!AI20)</f>
        <v>11.4691492109553</v>
      </c>
      <c r="AJ51" s="19" t="n">
        <f aca="false">AJ50*(1-Time!AJ20)</f>
        <v>0</v>
      </c>
      <c r="AK51" s="19" t="n">
        <f aca="false">AK50*(1-Time!AK20)</f>
        <v>0</v>
      </c>
      <c r="AL51" s="19" t="n">
        <f aca="false">AL50*(1-Time!AL20)</f>
        <v>0</v>
      </c>
      <c r="AM51" s="19" t="n">
        <f aca="false">AM50*(1-Time!AM20)</f>
        <v>0</v>
      </c>
      <c r="AN51" s="19" t="n">
        <f aca="false">AN50*(1-Time!AN20)</f>
        <v>0</v>
      </c>
      <c r="AO51" s="19" t="n">
        <f aca="false">AO50*(1-Time!AO20)</f>
        <v>0</v>
      </c>
      <c r="AP51" s="19" t="n">
        <f aca="false">AP50*(1-Time!AP20)</f>
        <v>0</v>
      </c>
      <c r="AQ51" s="19" t="n">
        <f aca="false">AQ50*(1-Time!AQ20)</f>
        <v>0</v>
      </c>
      <c r="AR51" s="19" t="n">
        <f aca="false">AR50*(1-Time!AR20)</f>
        <v>0</v>
      </c>
      <c r="AS51" s="19" t="n">
        <f aca="false">AS50*(1-Time!AS20)</f>
        <v>0</v>
      </c>
      <c r="AT51" s="19" t="n">
        <f aca="false">AT50*(1-Time!AT20)</f>
        <v>0</v>
      </c>
      <c r="AU51" s="19" t="n">
        <f aca="false">AU50*(1-Time!AU20)</f>
        <v>0</v>
      </c>
      <c r="AV51" s="19" t="n">
        <f aca="false">AV50*(1-Time!AV20)</f>
        <v>0</v>
      </c>
      <c r="AW51" s="19" t="n">
        <f aca="false">AW50*(1-Time!AW20)</f>
        <v>0</v>
      </c>
      <c r="AX51" s="19" t="n">
        <f aca="false">AX50*(1-Time!AX20)</f>
        <v>0</v>
      </c>
      <c r="AY51" s="19" t="n">
        <f aca="false">AY50*(1-Time!AY20)</f>
        <v>0</v>
      </c>
      <c r="AZ51" s="19" t="n">
        <f aca="false">AZ50*(1-Time!AZ20)</f>
        <v>0</v>
      </c>
      <c r="BA51" s="19" t="n">
        <f aca="false">BA50*(1-Time!BA20)</f>
        <v>0</v>
      </c>
      <c r="BB51" s="19" t="n">
        <f aca="false">BB50*(1-Time!BB20)</f>
        <v>0</v>
      </c>
      <c r="BC51" s="19" t="n">
        <f aca="false">BC50*(1-Time!BC20)</f>
        <v>0</v>
      </c>
      <c r="BD51" s="19" t="n">
        <f aca="false">BD50*(1-Time!BD20)</f>
        <v>0</v>
      </c>
      <c r="BE51" s="19" t="n">
        <f aca="false">BE50*(1-Time!BE20)</f>
        <v>0</v>
      </c>
      <c r="BF51" s="19" t="n">
        <f aca="false">BF50*(1-Time!BF20)</f>
        <v>0</v>
      </c>
      <c r="BG51" s="19" t="n">
        <f aca="false">BG50*(1-Time!BG20)</f>
        <v>0</v>
      </c>
      <c r="BH51" s="19" t="n">
        <f aca="false">BH50*(1-Time!BH20)</f>
        <v>0</v>
      </c>
      <c r="BI51" s="19" t="n">
        <f aca="false">BI50*(1-Time!BI20)</f>
        <v>0</v>
      </c>
      <c r="BJ51" s="19" t="n">
        <f aca="false">BJ50*(1-Time!BJ20)</f>
        <v>0</v>
      </c>
      <c r="BK51" s="19" t="n">
        <f aca="false">BK50*(1-Time!BK20)</f>
        <v>0</v>
      </c>
      <c r="BL51" s="19" t="n">
        <f aca="false">BL50*(1-Time!BL20)</f>
        <v>0</v>
      </c>
      <c r="BM51" s="19" t="n">
        <f aca="false">BM50*(1-Time!BM20)</f>
        <v>0</v>
      </c>
      <c r="BN51" s="19" t="n">
        <f aca="false">BN50*(1-Time!BN20)</f>
        <v>0</v>
      </c>
      <c r="BO51" s="19" t="n">
        <f aca="false">BO50*(1-Time!BO20)</f>
        <v>0</v>
      </c>
      <c r="BP51" s="19" t="n">
        <f aca="false">BP50*(1-Time!BP20)</f>
        <v>0</v>
      </c>
      <c r="BQ51" s="19" t="n">
        <f aca="false">BQ50*(1-Time!BQ20)</f>
        <v>0</v>
      </c>
      <c r="BR51" s="19" t="n">
        <f aca="false">BR50*(1-Time!BR20)</f>
        <v>0</v>
      </c>
      <c r="BS51" s="19" t="n">
        <f aca="false">BS50*(1-Time!BS20)</f>
        <v>0</v>
      </c>
      <c r="BT51" s="19" t="n">
        <f aca="false">BT50*(1-Time!BT20)</f>
        <v>0</v>
      </c>
      <c r="BU51" s="19" t="n">
        <f aca="false">BU50*(1-Time!BU20)</f>
        <v>0</v>
      </c>
      <c r="BV51" s="19" t="n">
        <f aca="false">BV50*(1-Time!BV20)</f>
        <v>0</v>
      </c>
      <c r="BW51" s="19" t="n">
        <f aca="false">BW50*(1-Time!BW20)</f>
        <v>0</v>
      </c>
      <c r="BX51" s="19" t="n">
        <f aca="false">BX50*(1-Time!BX20)</f>
        <v>0</v>
      </c>
      <c r="BY51" s="19" t="n">
        <f aca="false">BY50*(1-Time!BY20)</f>
        <v>0</v>
      </c>
      <c r="BZ51" s="19" t="n">
        <f aca="false">BZ50*(1-Time!BZ20)</f>
        <v>0</v>
      </c>
      <c r="CA51" s="19" t="n">
        <f aca="false">CA50*(1-Time!CA20)</f>
        <v>0</v>
      </c>
      <c r="CB51" s="19" t="n">
        <f aca="false">CB50*(1-Time!CB20)</f>
        <v>0</v>
      </c>
      <c r="CC51" s="19" t="n">
        <f aca="false">CC50*(1-Time!CC20)</f>
        <v>0</v>
      </c>
      <c r="CD51" s="19" t="n">
        <f aca="false">CD50*(1-Time!CD20)</f>
        <v>0</v>
      </c>
      <c r="CE51" s="19" t="n">
        <f aca="false">CE50*(1-Time!CE20)</f>
        <v>0</v>
      </c>
      <c r="CF51" s="19" t="n">
        <f aca="false">CF50*(1-Time!CF20)</f>
        <v>0</v>
      </c>
      <c r="CG51" s="19" t="n">
        <f aca="false">CG50*(1-Time!CG20)</f>
        <v>0</v>
      </c>
      <c r="CH51" s="19" t="n">
        <f aca="false">CH50*(1-Time!CH20)</f>
        <v>0</v>
      </c>
      <c r="CI51" s="19" t="n">
        <f aca="false">CI50*(1-Time!CI20)</f>
        <v>0</v>
      </c>
      <c r="CJ51" s="19" t="n">
        <f aca="false">CJ50*(1-Time!CJ20)</f>
        <v>0</v>
      </c>
      <c r="CK51" s="19" t="n">
        <f aca="false">CK50*(1-Time!CK20)</f>
        <v>0</v>
      </c>
      <c r="CL51" s="19" t="n">
        <f aca="false">CL50*(1-Time!CL20)</f>
        <v>0</v>
      </c>
      <c r="CM51" s="19" t="n">
        <f aca="false">CM50*(1-Time!CM20)</f>
        <v>0</v>
      </c>
      <c r="CN51" s="19" t="n">
        <f aca="false">CN50*(1-Time!CN20)</f>
        <v>0</v>
      </c>
      <c r="CO51" s="19" t="n">
        <f aca="false">CO50*(1-Time!CO20)</f>
        <v>0</v>
      </c>
      <c r="CP51" s="19" t="n">
        <f aca="false">CP50*(1-Time!CP20)</f>
        <v>0</v>
      </c>
      <c r="CQ51" s="19" t="n">
        <f aca="false">CQ50*(1-Time!CQ20)</f>
        <v>0</v>
      </c>
      <c r="CR51" s="19" t="n">
        <f aca="false">CR50*(1-Time!CR20)</f>
        <v>0</v>
      </c>
      <c r="CS51" s="19" t="n">
        <f aca="false">CS50*(1-Time!CS20)</f>
        <v>0</v>
      </c>
      <c r="CT51" s="19" t="n">
        <f aca="false">CT50*(1-Time!CT20)</f>
        <v>0</v>
      </c>
      <c r="CU51" s="19" t="n">
        <f aca="false">CU50*(1-Time!CU20)</f>
        <v>0</v>
      </c>
      <c r="CV51" s="19" t="n">
        <f aca="false">CV50*(1-Time!CV20)</f>
        <v>0</v>
      </c>
      <c r="CW51" s="19" t="n">
        <f aca="false">CW50*(1-Time!CW20)</f>
        <v>0</v>
      </c>
      <c r="CX51" s="19" t="n">
        <f aca="false">CX50*(1-Time!CX20)</f>
        <v>0</v>
      </c>
      <c r="CY51" s="19" t="n">
        <f aca="false">CY50*(1-Time!CY20)</f>
        <v>0</v>
      </c>
      <c r="CZ51" s="19" t="n">
        <f aca="false">CZ50*(1-Time!CZ20)</f>
        <v>0</v>
      </c>
      <c r="DA51" s="19" t="n">
        <f aca="false">DA50*(1-Time!DA20)</f>
        <v>0</v>
      </c>
      <c r="DB51" s="19" t="n">
        <f aca="false">DB50*(1-Time!DB20)</f>
        <v>0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0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</v>
      </c>
      <c r="AW52" s="19" t="n">
        <f aca="false">IF(OR(Time!AW20=1,Time!AW34=1,Time!AW23=1),0,MIN(Inputs!$F$97*AW40,AW49))</f>
        <v>0</v>
      </c>
      <c r="AX52" s="19" t="n">
        <f aca="false">IF(OR(Time!AX20=1,Time!AX34=1,Time!AX23=1),0,MIN(Inputs!$F$97*AX40,AX49))</f>
        <v>0</v>
      </c>
      <c r="AY52" s="19" t="n">
        <f aca="false">IF(OR(Time!AY20=1,Time!AY34=1,Time!AY23=1),0,MIN(Inputs!$F$97*AY40,AY49))</f>
        <v>0</v>
      </c>
      <c r="AZ52" s="19" t="n">
        <f aca="false">IF(OR(Time!AZ20=1,Time!AZ34=1,Time!AZ23=1),0,MIN(Inputs!$F$97*AZ40,AZ49))</f>
        <v>0</v>
      </c>
      <c r="BA52" s="19" t="n">
        <f aca="false">IF(OR(Time!BA20=1,Time!BA34=1,Time!BA23=1),0,MIN(Inputs!$F$97*BA40,BA49))</f>
        <v>0</v>
      </c>
      <c r="BB52" s="19" t="n">
        <f aca="false">IF(OR(Time!BB20=1,Time!BB34=1,Time!BB23=1),0,MIN(Inputs!$F$97*BB40,BB49))</f>
        <v>0</v>
      </c>
      <c r="BC52" s="19" t="n">
        <f aca="false">IF(OR(Time!BC20=1,Time!BC34=1,Time!BC23=1),0,MIN(Inputs!$F$97*BC40,BC49))</f>
        <v>0</v>
      </c>
      <c r="BD52" s="19" t="n">
        <f aca="false">IF(OR(Time!BD20=1,Time!BD34=1,Time!BD23=1),0,MIN(Inputs!$F$97*BD40,BD49))</f>
        <v>0</v>
      </c>
      <c r="BE52" s="19" t="n">
        <f aca="false">IF(OR(Time!BE20=1,Time!BE34=1,Time!BE23=1),0,MIN(Inputs!$F$97*BE40,BE49))</f>
        <v>0</v>
      </c>
      <c r="BF52" s="19" t="n">
        <f aca="false">IF(OR(Time!BF20=1,Time!BF34=1,Time!BF23=1),0,MIN(Inputs!$F$97*BF40,BF49))</f>
        <v>0</v>
      </c>
      <c r="BG52" s="19" t="n">
        <f aca="false">IF(OR(Time!BG20=1,Time!BG34=1,Time!BG23=1),0,MIN(Inputs!$F$97*BG40,BG49))</f>
        <v>0</v>
      </c>
      <c r="BH52" s="19" t="n">
        <f aca="false">IF(OR(Time!BH20=1,Time!BH34=1,Time!BH23=1),0,MIN(Inputs!$F$97*BH40,BH49))</f>
        <v>0</v>
      </c>
      <c r="BI52" s="19" t="n">
        <f aca="false">IF(OR(Time!BI20=1,Time!BI34=1,Time!BI23=1),0,MIN(Inputs!$F$97*BI40,BI49))</f>
        <v>0</v>
      </c>
      <c r="BJ52" s="19" t="n">
        <f aca="false">IF(OR(Time!BJ20=1,Time!BJ34=1,Time!BJ23=1),0,MIN(Inputs!$F$97*BJ40,BJ49))</f>
        <v>0</v>
      </c>
      <c r="BK52" s="19" t="n">
        <f aca="false">IF(OR(Time!BK20=1,Time!BK34=1,Time!BK23=1),0,MIN(Inputs!$F$97*BK40,BK49))</f>
        <v>0</v>
      </c>
      <c r="BL52" s="19" t="n">
        <f aca="false">IF(OR(Time!BL20=1,Time!BL34=1,Time!BL23=1),0,MIN(Inputs!$F$97*BL40,BL49))</f>
        <v>0</v>
      </c>
      <c r="BM52" s="19" t="n">
        <f aca="false">IF(OR(Time!BM20=1,Time!BM34=1,Time!BM23=1),0,MIN(Inputs!$F$97*BM40,BM49))</f>
        <v>0</v>
      </c>
      <c r="BN52" s="19" t="n">
        <f aca="false">IF(OR(Time!BN20=1,Time!BN34=1,Time!BN23=1),0,MIN(Inputs!$F$97*BN40,BN49))</f>
        <v>0</v>
      </c>
      <c r="BO52" s="19" t="n">
        <f aca="false">IF(OR(Time!BO20=1,Time!BO34=1,Time!BO23=1),0,MIN(Inputs!$F$97*BO40,BO49))</f>
        <v>0</v>
      </c>
      <c r="BP52" s="19" t="n">
        <f aca="false">IF(OR(Time!BP20=1,Time!BP34=1,Time!BP23=1),0,MIN(Inputs!$F$97*BP40,BP49))</f>
        <v>0</v>
      </c>
      <c r="BQ52" s="19" t="n">
        <f aca="false">IF(OR(Time!BQ20=1,Time!BQ34=1,Time!BQ23=1),0,MIN(Inputs!$F$97*BQ40,BQ49))</f>
        <v>0</v>
      </c>
      <c r="BR52" s="19" t="n">
        <f aca="false">IF(OR(Time!BR20=1,Time!BR34=1,Time!BR23=1),0,MIN(Inputs!$F$97*BR40,BR49))</f>
        <v>0</v>
      </c>
      <c r="BS52" s="19" t="n">
        <f aca="false">IF(OR(Time!BS20=1,Time!BS34=1,Time!BS23=1),0,MIN(Inputs!$F$97*BS40,BS49))</f>
        <v>0</v>
      </c>
      <c r="BT52" s="19" t="n">
        <f aca="false">IF(OR(Time!BT20=1,Time!BT34=1,Time!BT23=1),0,MIN(Inputs!$F$97*BT40,BT49))</f>
        <v>0</v>
      </c>
      <c r="BU52" s="19" t="n">
        <f aca="false">IF(OR(Time!BU20=1,Time!BU34=1,Time!BU23=1),0,MIN(Inputs!$F$97*BU40,BU49))</f>
        <v>0</v>
      </c>
      <c r="BV52" s="19" t="n">
        <f aca="false">IF(OR(Time!BV20=1,Time!BV34=1,Time!BV23=1),0,MIN(Inputs!$F$97*BV40,BV49))</f>
        <v>0</v>
      </c>
      <c r="BW52" s="19" t="n">
        <f aca="false">IF(OR(Time!BW20=1,Time!BW34=1,Time!BW23=1),0,MIN(Inputs!$F$97*BW40,BW49))</f>
        <v>0</v>
      </c>
      <c r="BX52" s="19" t="n">
        <f aca="false">IF(OR(Time!BX20=1,Time!BX34=1,Time!BX23=1),0,MIN(Inputs!$F$97*BX40,BX49))</f>
        <v>0</v>
      </c>
      <c r="BY52" s="19" t="n">
        <f aca="false">IF(OR(Time!BY20=1,Time!BY34=1,Time!BY23=1),0,MIN(Inputs!$F$97*BY40,BY49))</f>
        <v>0</v>
      </c>
      <c r="BZ52" s="19" t="n">
        <f aca="false">IF(OR(Time!BZ20=1,Time!BZ34=1,Time!BZ23=1),0,MIN(Inputs!$F$97*BZ40,BZ49))</f>
        <v>0</v>
      </c>
      <c r="CA52" s="19" t="n">
        <f aca="false">IF(OR(Time!CA20=1,Time!CA34=1,Time!CA23=1),0,MIN(Inputs!$F$97*CA40,CA49))</f>
        <v>0</v>
      </c>
      <c r="CB52" s="19" t="n">
        <f aca="false">IF(OR(Time!CB20=1,Time!CB34=1,Time!CB23=1),0,MIN(Inputs!$F$97*CB40,CB49))</f>
        <v>0</v>
      </c>
      <c r="CC52" s="19" t="n">
        <f aca="false">IF(OR(Time!CC20=1,Time!CC34=1,Time!CC23=1),0,MIN(Inputs!$F$97*CC40,CC49))</f>
        <v>0</v>
      </c>
      <c r="CD52" s="19" t="n">
        <f aca="false">IF(OR(Time!CD20=1,Time!CD34=1,Time!CD23=1),0,MIN(Inputs!$F$97*CD40,CD49))</f>
        <v>0</v>
      </c>
      <c r="CE52" s="19" t="n">
        <f aca="false">IF(OR(Time!CE20=1,Time!CE34=1,Time!CE23=1),0,MIN(Inputs!$F$97*CE40,CE49))</f>
        <v>0</v>
      </c>
      <c r="CF52" s="19" t="n">
        <f aca="false">IF(OR(Time!CF20=1,Time!CF34=1,Time!CF23=1),0,MIN(Inputs!$F$97*CF40,CF49))</f>
        <v>0</v>
      </c>
      <c r="CG52" s="19" t="n">
        <f aca="false">IF(OR(Time!CG20=1,Time!CG34=1,Time!CG23=1),0,MIN(Inputs!$F$97*CG40,CG49))</f>
        <v>0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484.847226335384</v>
      </c>
      <c r="AE53" s="19" t="n">
        <f aca="false">AE49-Waterfall!AE21-Waterfall!AE32</f>
        <v>472.954606637334</v>
      </c>
      <c r="AF53" s="19" t="n">
        <f aca="false">AF49-Waterfall!AF21-Waterfall!AF32</f>
        <v>472.954606637334</v>
      </c>
      <c r="AG53" s="19" t="n">
        <f aca="false">AG49-Waterfall!AG21-Waterfall!AG32</f>
        <v>472.954606637334</v>
      </c>
      <c r="AH53" s="19" t="n">
        <f aca="false">AH49-Waterfall!AH21-Waterfall!AH32</f>
        <v>472.954606637334</v>
      </c>
      <c r="AI53" s="19" t="n">
        <f aca="false">AI49-Waterfall!AI21-Waterfall!AI32</f>
        <v>462.147725668227</v>
      </c>
      <c r="AJ53" s="19" t="n">
        <f aca="false">AJ49-Waterfall!AJ21-Waterfall!AJ32</f>
        <v>0</v>
      </c>
      <c r="AK53" s="19" t="n">
        <f aca="false">AK49-Waterfall!AK21-Waterfall!AK32</f>
        <v>0</v>
      </c>
      <c r="AL53" s="19" t="n">
        <f aca="false">AL49-Waterfall!AL21-Waterfall!AL32</f>
        <v>0</v>
      </c>
      <c r="AM53" s="19" t="n">
        <f aca="false">AM49-Waterfall!AM21-Waterfall!AM32</f>
        <v>0</v>
      </c>
      <c r="AN53" s="19" t="n">
        <f aca="false">AN49-Waterfall!AN21-Waterfall!AN32</f>
        <v>0</v>
      </c>
      <c r="AO53" s="19" t="n">
        <f aca="false">AO49-Waterfall!AO21-Waterfall!AO32</f>
        <v>0</v>
      </c>
      <c r="AP53" s="19" t="n">
        <f aca="false">AP49-Waterfall!AP21-Waterfall!AP32</f>
        <v>0</v>
      </c>
      <c r="AQ53" s="19" t="n">
        <f aca="false">AQ49-Waterfall!AQ21-Waterfall!AQ32</f>
        <v>0</v>
      </c>
      <c r="AR53" s="19" t="n">
        <f aca="false">AR49-Waterfall!AR21-Waterfall!AR32</f>
        <v>0</v>
      </c>
      <c r="AS53" s="19" t="n">
        <f aca="false">AS49-Waterfall!AS21-Waterfall!AS32</f>
        <v>0</v>
      </c>
      <c r="AT53" s="19" t="n">
        <f aca="false">AT49-Waterfall!AT21-Waterfall!AT32</f>
        <v>0</v>
      </c>
      <c r="AU53" s="19" t="n">
        <f aca="false">AU49-Waterfall!AU21-Waterfall!AU32</f>
        <v>0</v>
      </c>
      <c r="AV53" s="19" t="n">
        <f aca="false">AV49-Waterfall!AV21-Waterfall!AV32</f>
        <v>0</v>
      </c>
      <c r="AW53" s="19" t="n">
        <f aca="false">AW49-Waterfall!AW21-Waterfall!AW32</f>
        <v>0</v>
      </c>
      <c r="AX53" s="19" t="n">
        <f aca="false">AX49-Waterfall!AX21-Waterfall!AX32</f>
        <v>0</v>
      </c>
      <c r="AY53" s="19" t="n">
        <f aca="false">AY49-Waterfall!AY21-Waterfall!AY32</f>
        <v>0</v>
      </c>
      <c r="AZ53" s="19" t="n">
        <f aca="false">AZ49-Waterfall!AZ21-Waterfall!AZ32</f>
        <v>0</v>
      </c>
      <c r="BA53" s="19" t="n">
        <f aca="false">BA49-Waterfall!BA21-Waterfall!BA32</f>
        <v>0</v>
      </c>
      <c r="BB53" s="19" t="n">
        <f aca="false">BB49-Waterfall!BB21-Waterfall!BB32</f>
        <v>0</v>
      </c>
      <c r="BC53" s="19" t="n">
        <f aca="false">BC49-Waterfall!BC21-Waterfall!BC32</f>
        <v>0</v>
      </c>
      <c r="BD53" s="19" t="n">
        <f aca="false">BD49-Waterfall!BD21-Waterfall!BD32</f>
        <v>0</v>
      </c>
      <c r="BE53" s="19" t="n">
        <f aca="false">BE49-Waterfall!BE21-Waterfall!BE32</f>
        <v>0</v>
      </c>
      <c r="BF53" s="19" t="n">
        <f aca="false">BF49-Waterfall!BF21-Waterfall!BF32</f>
        <v>0</v>
      </c>
      <c r="BG53" s="19" t="n">
        <f aca="false">BG49-Waterfall!BG21-Waterfall!BG32</f>
        <v>0</v>
      </c>
      <c r="BH53" s="19" t="n">
        <f aca="false">BH49-Waterfall!BH21-Waterfall!BH32</f>
        <v>0</v>
      </c>
      <c r="BI53" s="19" t="n">
        <f aca="false">BI49-Waterfall!BI21-Waterfall!BI32</f>
        <v>0</v>
      </c>
      <c r="BJ53" s="19" t="n">
        <f aca="false">BJ49-Waterfall!BJ21-Waterfall!BJ32</f>
        <v>0</v>
      </c>
      <c r="BK53" s="19" t="n">
        <f aca="false">BK49-Waterfall!BK21-Waterfall!BK32</f>
        <v>0</v>
      </c>
      <c r="BL53" s="19" t="n">
        <f aca="false">BL49-Waterfall!BL21-Waterfall!BL32</f>
        <v>0</v>
      </c>
      <c r="BM53" s="19" t="n">
        <f aca="false">BM49-Waterfall!BM21-Waterfall!BM32</f>
        <v>0</v>
      </c>
      <c r="BN53" s="19" t="n">
        <f aca="false">BN49-Waterfall!BN21-Waterfall!BN32</f>
        <v>0</v>
      </c>
      <c r="BO53" s="19" t="n">
        <f aca="false">BO49-Waterfall!BO21-Waterfall!BO32</f>
        <v>0</v>
      </c>
      <c r="BP53" s="19" t="n">
        <f aca="false">BP49-Waterfall!BP21-Waterfall!BP32</f>
        <v>0</v>
      </c>
      <c r="BQ53" s="19" t="n">
        <f aca="false">BQ49-Waterfall!BQ21-Waterfall!BQ32</f>
        <v>0</v>
      </c>
      <c r="BR53" s="19" t="n">
        <f aca="false">BR49-Waterfall!BR21-Waterfall!BR32</f>
        <v>0</v>
      </c>
      <c r="BS53" s="19" t="n">
        <f aca="false">BS49-Waterfall!BS21-Waterfall!BS32</f>
        <v>0</v>
      </c>
      <c r="BT53" s="19" t="n">
        <f aca="false">BT49-Waterfall!BT21-Waterfall!BT32</f>
        <v>0</v>
      </c>
      <c r="BU53" s="19" t="n">
        <f aca="false">BU49-Waterfall!BU21-Waterfall!BU32</f>
        <v>0</v>
      </c>
      <c r="BV53" s="19" t="n">
        <f aca="false">BV49-Waterfall!BV21-Waterfall!BV32</f>
        <v>0</v>
      </c>
      <c r="BW53" s="19" t="n">
        <f aca="false">BW49-Waterfall!BW21-Waterfall!BW32</f>
        <v>0</v>
      </c>
      <c r="BX53" s="19" t="n">
        <f aca="false">BX49-Waterfall!BX21-Waterfall!BX32</f>
        <v>0</v>
      </c>
      <c r="BY53" s="19" t="n">
        <f aca="false">BY49-Waterfall!BY21-Waterfall!BY32</f>
        <v>0</v>
      </c>
      <c r="BZ53" s="19" t="n">
        <f aca="false">BZ49-Waterfall!BZ21-Waterfall!BZ32</f>
        <v>0</v>
      </c>
      <c r="CA53" s="19" t="n">
        <f aca="false">CA49-Waterfall!CA21-Waterfall!CA32</f>
        <v>0</v>
      </c>
      <c r="CB53" s="19" t="n">
        <f aca="false">CB49-Waterfall!CB21-Waterfall!CB32</f>
        <v>0</v>
      </c>
      <c r="CC53" s="19" t="n">
        <f aca="false">CC49-Waterfall!CC21-Waterfall!CC32</f>
        <v>0</v>
      </c>
      <c r="CD53" s="19" t="n">
        <f aca="false">CD49-Waterfall!CD21-Waterfall!CD32</f>
        <v>0</v>
      </c>
      <c r="CE53" s="19" t="n">
        <f aca="false">CE49-Waterfall!CE21-Waterfall!CE32</f>
        <v>0</v>
      </c>
      <c r="CF53" s="19" t="n">
        <f aca="false">CF49-Waterfall!CF21-Waterfall!CF32</f>
        <v>0</v>
      </c>
      <c r="CG53" s="19" t="n">
        <f aca="false">CG49-Waterfall!CG21-Waterfall!CG32</f>
        <v>0</v>
      </c>
      <c r="CH53" s="19" t="n">
        <f aca="false">CH49-Waterfall!CH21-Waterfall!CH32</f>
        <v>0</v>
      </c>
      <c r="CI53" s="19" t="n">
        <f aca="false">CI49-Waterfall!CI21-Waterfall!CI32</f>
        <v>0</v>
      </c>
      <c r="CJ53" s="19" t="n">
        <f aca="false">CJ49-Waterfall!CJ21-Waterfall!CJ32</f>
        <v>0</v>
      </c>
      <c r="CK53" s="19" t="n">
        <f aca="false">CK49-Waterfall!CK21-Waterfall!CK32</f>
        <v>0</v>
      </c>
      <c r="CL53" s="19" t="n">
        <f aca="false">CL49-Waterfall!CL21-Waterfall!CL32</f>
        <v>0</v>
      </c>
      <c r="CM53" s="19" t="n">
        <f aca="false">CM49-Waterfall!CM21-Waterfall!CM32</f>
        <v>0</v>
      </c>
      <c r="CN53" s="19" t="n">
        <f aca="false">CN49-Waterfall!CN21-Waterfall!CN32</f>
        <v>0</v>
      </c>
      <c r="CO53" s="19" t="n">
        <f aca="false">CO49-Waterfall!CO21-Waterfall!CO32</f>
        <v>0</v>
      </c>
      <c r="CP53" s="19" t="n">
        <f aca="false">CP49-Waterfall!CP21-Waterfall!CP32</f>
        <v>0</v>
      </c>
      <c r="CQ53" s="19" t="n">
        <f aca="false">CQ49-Waterfall!CQ21-Waterfall!CQ32</f>
        <v>0</v>
      </c>
      <c r="CR53" s="19" t="n">
        <f aca="false">CR49-Waterfall!CR21-Waterfall!CR32</f>
        <v>0</v>
      </c>
      <c r="CS53" s="19" t="n">
        <f aca="false">CS49-Waterfall!CS21-Waterfall!CS32</f>
        <v>0</v>
      </c>
      <c r="CT53" s="19" t="n">
        <f aca="false">CT49-Waterfall!CT21-Waterfall!CT32</f>
        <v>0</v>
      </c>
      <c r="CU53" s="19" t="n">
        <f aca="false">CU49-Waterfall!CU21-Waterfall!CU32</f>
        <v>0</v>
      </c>
      <c r="CV53" s="19" t="n">
        <f aca="false">CV49-Waterfall!CV21-Waterfall!CV32</f>
        <v>0</v>
      </c>
      <c r="CW53" s="19" t="n">
        <f aca="false">CW49-Waterfall!CW21-Waterfall!CW32</f>
        <v>0</v>
      </c>
      <c r="CX53" s="19" t="n">
        <f aca="false">CX49-Waterfall!CX21-Waterfall!CX32</f>
        <v>0</v>
      </c>
      <c r="CY53" s="19" t="n">
        <f aca="false">CY49-Waterfall!CY21-Waterfall!CY32</f>
        <v>0</v>
      </c>
      <c r="CZ53" s="19" t="n">
        <f aca="false">CZ49-Waterfall!CZ21-Waterfall!CZ32</f>
        <v>0</v>
      </c>
      <c r="DA53" s="19" t="n">
        <f aca="false">DA49-Waterfall!DA21-Waterfall!DA32</f>
        <v>0</v>
      </c>
      <c r="DB53" s="19" t="n">
        <f aca="false">DB49-Waterfall!DB21-Waterfall!DB32</f>
        <v>0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484.847226335384</v>
      </c>
      <c r="AE54" s="19" t="n">
        <f aca="false">IF(Time!AE35=1,0,AE53)</f>
        <v>472.954606637334</v>
      </c>
      <c r="AF54" s="19" t="n">
        <f aca="false">IF(Time!AF35=1,0,AF53)</f>
        <v>472.954606637334</v>
      </c>
      <c r="AG54" s="19" t="n">
        <f aca="false">IF(Time!AG35=1,0,AG53)</f>
        <v>472.954606637334</v>
      </c>
      <c r="AH54" s="19" t="n">
        <f aca="false">IF(Time!AH35=1,0,AH53)</f>
        <v>472.954606637334</v>
      </c>
      <c r="AI54" s="19" t="n">
        <f aca="false">IF(Time!AI35=1,0,AI53)</f>
        <v>0</v>
      </c>
      <c r="AJ54" s="19" t="n">
        <f aca="false">IF(Time!AJ35=1,0,AJ53)</f>
        <v>0</v>
      </c>
      <c r="AK54" s="19" t="n">
        <f aca="false">IF(Time!AK35=1,0,AK53)</f>
        <v>0</v>
      </c>
      <c r="AL54" s="19" t="n">
        <f aca="false">IF(Time!AL35=1,0,AL53)</f>
        <v>0</v>
      </c>
      <c r="AM54" s="19" t="n">
        <f aca="false">IF(Time!AM35=1,0,AM53)</f>
        <v>0</v>
      </c>
      <c r="AN54" s="19" t="n">
        <f aca="false">IF(Time!AN35=1,0,AN53)</f>
        <v>0</v>
      </c>
      <c r="AO54" s="19" t="n">
        <f aca="false">IF(Time!AO35=1,0,AO53)</f>
        <v>0</v>
      </c>
      <c r="AP54" s="19" t="n">
        <f aca="false">IF(Time!AP35=1,0,AP53)</f>
        <v>0</v>
      </c>
      <c r="AQ54" s="19" t="n">
        <f aca="false">IF(Time!AQ35=1,0,AQ53)</f>
        <v>0</v>
      </c>
      <c r="AR54" s="19" t="n">
        <f aca="false">IF(Time!AR35=1,0,AR53)</f>
        <v>0</v>
      </c>
      <c r="AS54" s="19" t="n">
        <f aca="false">IF(Time!AS35=1,0,AS53)</f>
        <v>0</v>
      </c>
      <c r="AT54" s="19" t="n">
        <f aca="false">IF(Time!AT35=1,0,AT53)</f>
        <v>0</v>
      </c>
      <c r="AU54" s="19" t="n">
        <f aca="false">IF(Time!AU35=1,0,AU53)</f>
        <v>0</v>
      </c>
      <c r="AV54" s="19" t="n">
        <f aca="false">IF(Time!AV35=1,0,AV53)</f>
        <v>0</v>
      </c>
      <c r="AW54" s="19" t="n">
        <f aca="false">IF(Time!AW35=1,0,AW53)</f>
        <v>0</v>
      </c>
      <c r="AX54" s="19" t="n">
        <f aca="false">IF(Time!AX35=1,0,AX53)</f>
        <v>0</v>
      </c>
      <c r="AY54" s="19" t="n">
        <f aca="false">IF(Time!AY35=1,0,AY53)</f>
        <v>0</v>
      </c>
      <c r="AZ54" s="19" t="n">
        <f aca="false">IF(Time!AZ35=1,0,AZ53)</f>
        <v>0</v>
      </c>
      <c r="BA54" s="19" t="n">
        <f aca="false">IF(Time!BA35=1,0,BA53)</f>
        <v>0</v>
      </c>
      <c r="BB54" s="19" t="n">
        <f aca="false">IF(Time!BB35=1,0,BB53)</f>
        <v>0</v>
      </c>
      <c r="BC54" s="19" t="n">
        <f aca="false">IF(Time!BC35=1,0,BC53)</f>
        <v>0</v>
      </c>
      <c r="BD54" s="19" t="n">
        <f aca="false">IF(Time!BD35=1,0,BD53)</f>
        <v>0</v>
      </c>
      <c r="BE54" s="19" t="n">
        <f aca="false">IF(Time!BE35=1,0,BE53)</f>
        <v>0</v>
      </c>
      <c r="BF54" s="19" t="n">
        <f aca="false">IF(Time!BF35=1,0,BF53)</f>
        <v>0</v>
      </c>
      <c r="BG54" s="19" t="n">
        <f aca="false">IF(Time!BG35=1,0,BG53)</f>
        <v>0</v>
      </c>
      <c r="BH54" s="19" t="n">
        <f aca="false">IF(Time!BH35=1,0,BH53)</f>
        <v>0</v>
      </c>
      <c r="BI54" s="19" t="n">
        <f aca="false">IF(Time!BI35=1,0,BI53)</f>
        <v>0</v>
      </c>
      <c r="BJ54" s="19" t="n">
        <f aca="false">IF(Time!BJ35=1,0,BJ53)</f>
        <v>0</v>
      </c>
      <c r="BK54" s="19" t="n">
        <f aca="false">IF(Time!BK35=1,0,BK53)</f>
        <v>0</v>
      </c>
      <c r="BL54" s="19" t="n">
        <f aca="false">IF(Time!BL35=1,0,BL53)</f>
        <v>0</v>
      </c>
      <c r="BM54" s="19" t="n">
        <f aca="false">IF(Time!BM35=1,0,BM53)</f>
        <v>0</v>
      </c>
      <c r="BN54" s="19" t="n">
        <f aca="false">IF(Time!BN35=1,0,BN53)</f>
        <v>0</v>
      </c>
      <c r="BO54" s="19" t="n">
        <f aca="false">IF(Time!BO35=1,0,BO53)</f>
        <v>0</v>
      </c>
      <c r="BP54" s="19" t="n">
        <f aca="false">IF(Time!BP35=1,0,BP53)</f>
        <v>0</v>
      </c>
      <c r="BQ54" s="19" t="n">
        <f aca="false">IF(Time!BQ35=1,0,BQ53)</f>
        <v>0</v>
      </c>
      <c r="BR54" s="19" t="n">
        <f aca="false">IF(Time!BR35=1,0,BR53)</f>
        <v>0</v>
      </c>
      <c r="BS54" s="19" t="n">
        <f aca="false">IF(Time!BS35=1,0,BS53)</f>
        <v>0</v>
      </c>
      <c r="BT54" s="19" t="n">
        <f aca="false">IF(Time!BT35=1,0,BT53)</f>
        <v>0</v>
      </c>
      <c r="BU54" s="19" t="n">
        <f aca="false">IF(Time!BU35=1,0,BU53)</f>
        <v>0</v>
      </c>
      <c r="BV54" s="19" t="n">
        <f aca="false">IF(Time!BV35=1,0,BV53)</f>
        <v>0</v>
      </c>
      <c r="BW54" s="19" t="n">
        <f aca="false">IF(Time!BW35=1,0,BW53)</f>
        <v>0</v>
      </c>
      <c r="BX54" s="19" t="n">
        <f aca="false">IF(Time!BX35=1,0,BX53)</f>
        <v>0</v>
      </c>
      <c r="BY54" s="19" t="n">
        <f aca="false">IF(Time!BY35=1,0,BY53)</f>
        <v>0</v>
      </c>
      <c r="BZ54" s="19" t="n">
        <f aca="false">IF(Time!BZ35=1,0,BZ53)</f>
        <v>0</v>
      </c>
      <c r="CA54" s="19" t="n">
        <f aca="false">IF(Time!CA35=1,0,CA53)</f>
        <v>0</v>
      </c>
      <c r="CB54" s="19" t="n">
        <f aca="false">IF(Time!CB35=1,0,CB53)</f>
        <v>0</v>
      </c>
      <c r="CC54" s="19" t="n">
        <f aca="false">IF(Time!CC35=1,0,CC53)</f>
        <v>0</v>
      </c>
      <c r="CD54" s="19" t="n">
        <f aca="false">IF(Time!CD35=1,0,CD53)</f>
        <v>0</v>
      </c>
      <c r="CE54" s="19" t="n">
        <f aca="false">IF(Time!CE35=1,0,CE53)</f>
        <v>0</v>
      </c>
      <c r="CF54" s="19" t="n">
        <f aca="false">IF(Time!CF35=1,0,CF53)</f>
        <v>0</v>
      </c>
      <c r="CG54" s="19" t="n">
        <f aca="false">IF(Time!CG35=1,0,CG53)</f>
        <v>0</v>
      </c>
      <c r="CH54" s="19" t="n">
        <f aca="false">IF(Time!CH35=1,0,CH53)</f>
        <v>0</v>
      </c>
      <c r="CI54" s="19" t="n">
        <f aca="false">IF(Time!CI35=1,0,CI53)</f>
        <v>0</v>
      </c>
      <c r="CJ54" s="19" t="n">
        <f aca="false">IF(Time!CJ35=1,0,CJ53)</f>
        <v>0</v>
      </c>
      <c r="CK54" s="19" t="n">
        <f aca="false">IF(Time!CK35=1,0,CK53)</f>
        <v>0</v>
      </c>
      <c r="CL54" s="19" t="n">
        <f aca="false">IF(Time!CL35=1,0,CL53)</f>
        <v>0</v>
      </c>
      <c r="CM54" s="19" t="n">
        <f aca="false">IF(Time!CM35=1,0,CM53)</f>
        <v>0</v>
      </c>
      <c r="CN54" s="19" t="n">
        <f aca="false">IF(Time!CN35=1,0,CN53)</f>
        <v>0</v>
      </c>
      <c r="CO54" s="19" t="n">
        <f aca="false">IF(Time!CO35=1,0,CO53)</f>
        <v>0</v>
      </c>
      <c r="CP54" s="19" t="n">
        <f aca="false">IF(Time!CP35=1,0,CP53)</f>
        <v>0</v>
      </c>
      <c r="CQ54" s="19" t="n">
        <f aca="false">IF(Time!CQ35=1,0,CQ53)</f>
        <v>0</v>
      </c>
      <c r="CR54" s="19" t="n">
        <f aca="false">IF(Time!CR35=1,0,CR53)</f>
        <v>0</v>
      </c>
      <c r="CS54" s="19" t="n">
        <f aca="false">IF(Time!CS35=1,0,CS53)</f>
        <v>0</v>
      </c>
      <c r="CT54" s="19" t="n">
        <f aca="false">IF(Time!CT35=1,0,CT53)</f>
        <v>0</v>
      </c>
      <c r="CU54" s="19" t="n">
        <f aca="false">IF(Time!CU35=1,0,CU53)</f>
        <v>0</v>
      </c>
      <c r="CV54" s="19" t="n">
        <f aca="false">IF(Time!CV35=1,0,CV53)</f>
        <v>0</v>
      </c>
      <c r="CW54" s="19" t="n">
        <f aca="false">IF(Time!CW35=1,0,CW53)</f>
        <v>0</v>
      </c>
      <c r="CX54" s="19" t="n">
        <f aca="false">IF(Time!CX35=1,0,CX53)</f>
        <v>0</v>
      </c>
      <c r="CY54" s="19" t="n">
        <f aca="false">IF(Time!CY35=1,0,CY53)</f>
        <v>0</v>
      </c>
      <c r="CZ54" s="19" t="n">
        <f aca="false">IF(Time!CZ35=1,0,CZ53)</f>
        <v>0</v>
      </c>
      <c r="DA54" s="19" t="n">
        <f aca="false">IF(Time!DA35=1,0,DA53)</f>
        <v>0</v>
      </c>
      <c r="DB54" s="19" t="n">
        <f aca="false">IF(Time!DB35=1,0,DB53)</f>
        <v>0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0</v>
      </c>
      <c r="CT56" s="19" t="n">
        <f aca="false">CS60</f>
        <v>0</v>
      </c>
      <c r="CU56" s="19" t="n">
        <f aca="false">CT60</f>
        <v>0</v>
      </c>
      <c r="CV56" s="19" t="n">
        <f aca="false">CU60</f>
        <v>0</v>
      </c>
      <c r="CW56" s="19" t="n">
        <f aca="false">CV60</f>
        <v>0</v>
      </c>
      <c r="CX56" s="19" t="n">
        <f aca="false">CW60</f>
        <v>0</v>
      </c>
      <c r="CY56" s="19" t="n">
        <f aca="false">CX60</f>
        <v>0</v>
      </c>
      <c r="CZ56" s="19" t="n">
        <f aca="false">CY60</f>
        <v>0</v>
      </c>
      <c r="DA56" s="19" t="n">
        <f aca="false">CZ60</f>
        <v>0</v>
      </c>
      <c r="DB56" s="19" t="n">
        <f aca="false">DA60</f>
        <v>0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0</v>
      </c>
      <c r="CT57" s="19" t="n">
        <f aca="false">CS61</f>
        <v>0</v>
      </c>
      <c r="CU57" s="19" t="n">
        <f aca="false">CT61</f>
        <v>0</v>
      </c>
      <c r="CV57" s="19" t="n">
        <f aca="false">CU61</f>
        <v>0</v>
      </c>
      <c r="CW57" s="19" t="n">
        <f aca="false">CV61</f>
        <v>0</v>
      </c>
      <c r="CX57" s="19" t="n">
        <f aca="false">CW61</f>
        <v>0</v>
      </c>
      <c r="CY57" s="19" t="n">
        <f aca="false">CX61</f>
        <v>0</v>
      </c>
      <c r="CZ57" s="19" t="n">
        <f aca="false">CY61</f>
        <v>0</v>
      </c>
      <c r="DA57" s="19" t="n">
        <f aca="false">CZ61</f>
        <v>0</v>
      </c>
      <c r="DB57" s="19" t="n">
        <f aca="false">DA61</f>
        <v>0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0</v>
      </c>
      <c r="CS58" s="19" t="n">
        <f aca="false">(CS56+CS44-Waterfall!CS16*Waterfall!CS18)*(1-Time!CS20)</f>
        <v>0</v>
      </c>
      <c r="CT58" s="19" t="n">
        <f aca="false">(CT56+CT44-Waterfall!CT16*Waterfall!CT18)*(1-Time!CT20)</f>
        <v>0</v>
      </c>
      <c r="CU58" s="19" t="n">
        <f aca="false">(CU56+CU44-Waterfall!CU16*Waterfall!CU18)*(1-Time!CU20)</f>
        <v>0</v>
      </c>
      <c r="CV58" s="19" t="n">
        <f aca="false">(CV56+CV44-Waterfall!CV16*Waterfall!CV18)*(1-Time!CV20)</f>
        <v>0</v>
      </c>
      <c r="CW58" s="19" t="n">
        <f aca="false">(CW56+CW44-Waterfall!CW16*Waterfall!CW18)*(1-Time!CW20)</f>
        <v>0</v>
      </c>
      <c r="CX58" s="19" t="n">
        <f aca="false">(CX56+CX44-Waterfall!CX16*Waterfall!CX18)*(1-Time!CX20)</f>
        <v>0</v>
      </c>
      <c r="CY58" s="19" t="n">
        <f aca="false">(CY56+CY44-Waterfall!CY16*Waterfall!CY18)*(1-Time!CY20)</f>
        <v>0</v>
      </c>
      <c r="CZ58" s="19" t="n">
        <f aca="false">(CZ56+CZ44-Waterfall!CZ16*Waterfall!CZ18)*(1-Time!CZ20)</f>
        <v>0</v>
      </c>
      <c r="DA58" s="19" t="n">
        <f aca="false">(DA56+DA44-Waterfall!DA16*Waterfall!DA18)*(1-Time!DA20)</f>
        <v>0</v>
      </c>
      <c r="DB58" s="19" t="n">
        <f aca="false">(DB56+DB44-Waterfall!DB16*Waterfall!DB18)*(1-Time!DB20)</f>
        <v>0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0</v>
      </c>
      <c r="CS59" s="19" t="n">
        <f aca="false">(CS57+CS51-Waterfall!CS16*Waterfall!CS19)*(1-Time!CS20)</f>
        <v>0</v>
      </c>
      <c r="CT59" s="19" t="n">
        <f aca="false">(CT57+CT51-Waterfall!CT16*Waterfall!CT19)*(1-Time!CT20)</f>
        <v>0</v>
      </c>
      <c r="CU59" s="19" t="n">
        <f aca="false">(CU57+CU51-Waterfall!CU16*Waterfall!CU19)*(1-Time!CU20)</f>
        <v>0</v>
      </c>
      <c r="CV59" s="19" t="n">
        <f aca="false">(CV57+CV51-Waterfall!CV16*Waterfall!CV19)*(1-Time!CV20)</f>
        <v>0</v>
      </c>
      <c r="CW59" s="19" t="n">
        <f aca="false">(CW57+CW51-Waterfall!CW16*Waterfall!CW19)*(1-Time!CW20)</f>
        <v>0</v>
      </c>
      <c r="CX59" s="19" t="n">
        <f aca="false">(CX57+CX51-Waterfall!CX16*Waterfall!CX19)*(1-Time!CX20)</f>
        <v>0</v>
      </c>
      <c r="CY59" s="19" t="n">
        <f aca="false">(CY57+CY51-Waterfall!CY16*Waterfall!CY19)*(1-Time!CY20)</f>
        <v>0</v>
      </c>
      <c r="CZ59" s="19" t="n">
        <f aca="false">(CZ57+CZ51-Waterfall!CZ16*Waterfall!CZ19)*(1-Time!CZ20)</f>
        <v>0</v>
      </c>
      <c r="DA59" s="19" t="n">
        <f aca="false">(DA57+DA51-Waterfall!DA16*Waterfall!DA19)*(1-Time!DA20)</f>
        <v>0</v>
      </c>
      <c r="DB59" s="19" t="n">
        <f aca="false">(DB57+DB51-Waterfall!DB16*Waterfall!DB19)*(1-Time!DB20)</f>
        <v>0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0</v>
      </c>
      <c r="CS60" s="19" t="n">
        <f aca="false">IF(Time!CS35=1,0,CS58)</f>
        <v>0</v>
      </c>
      <c r="CT60" s="19" t="n">
        <f aca="false">IF(Time!CT35=1,0,CT58)</f>
        <v>0</v>
      </c>
      <c r="CU60" s="19" t="n">
        <f aca="false">IF(Time!CU35=1,0,CU58)</f>
        <v>0</v>
      </c>
      <c r="CV60" s="19" t="n">
        <f aca="false">IF(Time!CV35=1,0,CV58)</f>
        <v>0</v>
      </c>
      <c r="CW60" s="19" t="n">
        <f aca="false">IF(Time!CW35=1,0,CW58)</f>
        <v>0</v>
      </c>
      <c r="CX60" s="19" t="n">
        <f aca="false">IF(Time!CX35=1,0,CX58)</f>
        <v>0</v>
      </c>
      <c r="CY60" s="19" t="n">
        <f aca="false">IF(Time!CY35=1,0,CY58)</f>
        <v>0</v>
      </c>
      <c r="CZ60" s="19" t="n">
        <f aca="false">IF(Time!CZ35=1,0,CZ58)</f>
        <v>0</v>
      </c>
      <c r="DA60" s="19" t="n">
        <f aca="false">IF(Time!DA35=1,0,DA58)</f>
        <v>0</v>
      </c>
      <c r="DB60" s="19" t="n">
        <f aca="false">IF(Time!DB35=1,0,DB58)</f>
        <v>0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0</v>
      </c>
      <c r="CS61" s="19" t="n">
        <f aca="false">IF(Time!CS35=1,0,CS59)</f>
        <v>0</v>
      </c>
      <c r="CT61" s="19" t="n">
        <f aca="false">IF(Time!CT35=1,0,CT59)</f>
        <v>0</v>
      </c>
      <c r="CU61" s="19" t="n">
        <f aca="false">IF(Time!CU35=1,0,CU59)</f>
        <v>0</v>
      </c>
      <c r="CV61" s="19" t="n">
        <f aca="false">IF(Time!CV35=1,0,CV59)</f>
        <v>0</v>
      </c>
      <c r="CW61" s="19" t="n">
        <f aca="false">IF(Time!CW35=1,0,CW59)</f>
        <v>0</v>
      </c>
      <c r="CX61" s="19" t="n">
        <f aca="false">IF(Time!CX35=1,0,CX59)</f>
        <v>0</v>
      </c>
      <c r="CY61" s="19" t="n">
        <f aca="false">IF(Time!CY35=1,0,CY59)</f>
        <v>0</v>
      </c>
      <c r="CZ61" s="19" t="n">
        <f aca="false">IF(Time!CZ35=1,0,CZ59)</f>
        <v>0</v>
      </c>
      <c r="DA61" s="19" t="n">
        <f aca="false">IF(Time!DA35=1,0,DA59)</f>
        <v>0</v>
      </c>
      <c r="DB61" s="19" t="n">
        <f aca="false">IF(Time!DB35=1,0,DB59)</f>
        <v>0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489.860048696271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15.6806256309938</v>
      </c>
      <c r="AK63" s="19" t="n">
        <f aca="false">AK93*AK10</f>
        <v>15.1586851555492</v>
      </c>
      <c r="AL63" s="19" t="n">
        <f aca="false">AL93*AL10</f>
        <v>14.9110114783675</v>
      </c>
      <c r="AM63" s="19" t="n">
        <f aca="false">AM93*AM10</f>
        <v>14.6682262090177</v>
      </c>
      <c r="AN63" s="19" t="n">
        <f aca="false">AN93*AN10</f>
        <v>14.385478810572</v>
      </c>
      <c r="AO63" s="19" t="n">
        <f aca="false">AO93*AO10</f>
        <v>14.110656638255</v>
      </c>
      <c r="AP63" s="19" t="n">
        <f aca="false">AP93*AP10</f>
        <v>13.7598335678853</v>
      </c>
      <c r="AQ63" s="19" t="n">
        <f aca="false">AQ93*AQ10</f>
        <v>13.3938518045749</v>
      </c>
      <c r="AR63" s="19" t="n">
        <f aca="false">AR93*AR10</f>
        <v>13.1365807724101</v>
      </c>
      <c r="AS63" s="19" t="n">
        <f aca="false">AS93*AS10</f>
        <v>12.8893950792059</v>
      </c>
      <c r="AT63" s="19" t="n">
        <f aca="false">AT93*AT10</f>
        <v>12.6340744670113</v>
      </c>
      <c r="AU63" s="19" t="n">
        <f aca="false">AU93*AU10</f>
        <v>12.3731527230777</v>
      </c>
      <c r="AV63" s="19" t="n">
        <f aca="false">AV93*AV10</f>
        <v>12.0881484775294</v>
      </c>
      <c r="AW63" s="19" t="n">
        <f aca="false">AW93*AW10</f>
        <v>11.8063666282231</v>
      </c>
      <c r="AX63" s="19" t="n">
        <f aca="false">AX93*AX10</f>
        <v>11.3879731283746</v>
      </c>
      <c r="AY63" s="19" t="n">
        <f aca="false">AY93*AY10</f>
        <v>11.3677922223389</v>
      </c>
      <c r="AZ63" s="19" t="n">
        <f aca="false">AZ93*AZ10</f>
        <v>11.3625824602679</v>
      </c>
      <c r="BA63" s="19" t="n">
        <f aca="false">BA93*BA10</f>
        <v>11.3536852852922</v>
      </c>
      <c r="BB63" s="19" t="n">
        <f aca="false">BB93*BB10</f>
        <v>11.3510485655242</v>
      </c>
      <c r="BC63" s="19" t="n">
        <f aca="false">BC93*BC10</f>
        <v>11.3510485655242</v>
      </c>
      <c r="BD63" s="19" t="n">
        <f aca="false">BD93*BD10</f>
        <v>11.2100957630489</v>
      </c>
      <c r="BE63" s="19" t="n">
        <f aca="false">BE93*BE10</f>
        <v>11.0648327801487</v>
      </c>
      <c r="BF63" s="19" t="n">
        <f aca="false">BF93*BF10</f>
        <v>10.8492865494983</v>
      </c>
      <c r="BG63" s="19" t="n">
        <f aca="false">BG93*BG10</f>
        <v>10.6536346601811</v>
      </c>
      <c r="BH63" s="19" t="n">
        <f aca="false">BH93*BH10</f>
        <v>10.4742246209322</v>
      </c>
      <c r="BI63" s="19" t="n">
        <f aca="false">BI93*BI10</f>
        <v>10.2885001777541</v>
      </c>
      <c r="BJ63" s="19" t="n">
        <f aca="false">BJ93*BJ10</f>
        <v>10.0798159925687</v>
      </c>
      <c r="BK63" s="19" t="n">
        <f aca="false">BK93*BK10</f>
        <v>9.86704945209664</v>
      </c>
      <c r="BL63" s="19" t="n">
        <f aca="false">BL93*BL10</f>
        <v>9.62684803609518</v>
      </c>
      <c r="BM63" s="19" t="n">
        <f aca="false">BM93*BM10</f>
        <v>9.38182260505819</v>
      </c>
      <c r="BN63" s="19" t="n">
        <f aca="false">BN93*BN10</f>
        <v>9.10765910973216</v>
      </c>
      <c r="BO63" s="19" t="n">
        <f aca="false">BO93*BO10</f>
        <v>8.82787409970552</v>
      </c>
      <c r="BP63" s="19" t="n">
        <f aca="false">BP93*BP10</f>
        <v>8.70387892176039</v>
      </c>
      <c r="BQ63" s="19" t="n">
        <f aca="false">BQ93*BQ10</f>
        <v>8.57402698942513</v>
      </c>
      <c r="BR63" s="19" t="n">
        <f aca="false">BR93*BR10</f>
        <v>8.41882691810068</v>
      </c>
      <c r="BS63" s="19" t="n">
        <f aca="false">BS93*BS10</f>
        <v>8.26593352677279</v>
      </c>
      <c r="BT63" s="19" t="n">
        <f aca="false">BT93*BT10</f>
        <v>8.08351683626169</v>
      </c>
      <c r="BU63" s="19" t="n">
        <f aca="false">BU93*BU10</f>
        <v>7.90295688169126</v>
      </c>
      <c r="BV63" s="19" t="n">
        <f aca="false">BV93*BV10</f>
        <v>7.3508155979485</v>
      </c>
      <c r="BW63" s="19" t="n">
        <f aca="false">BW93*BW10</f>
        <v>6.79208857253838</v>
      </c>
      <c r="BX63" s="19" t="n">
        <f aca="false">BX93*BX10</f>
        <v>6.31997074983642</v>
      </c>
      <c r="BY63" s="19" t="n">
        <f aca="false">BY93*BY10</f>
        <v>5.86762284840052</v>
      </c>
      <c r="BZ63" s="19" t="n">
        <f aca="false">BZ93*BZ10</f>
        <v>5.38047763007338</v>
      </c>
      <c r="CA63" s="19" t="n">
        <f aca="false">CA93*CA10</f>
        <v>4.88900705590745</v>
      </c>
      <c r="CB63" s="19" t="n">
        <f aca="false">CB93*CB10</f>
        <v>4.47764938059647</v>
      </c>
      <c r="CC63" s="19" t="n">
        <f aca="false">CC93*CC10</f>
        <v>4.06375445448202</v>
      </c>
      <c r="CD63" s="19" t="n">
        <f aca="false">CD93*CD10</f>
        <v>3.61014837599107</v>
      </c>
      <c r="CE63" s="19" t="n">
        <f aca="false">CE93*CE10</f>
        <v>3.15324753364475</v>
      </c>
      <c r="CF63" s="19" t="n">
        <f aca="false">CF93*CF10</f>
        <v>2.71289422496346</v>
      </c>
      <c r="CG63" s="19" t="n">
        <f aca="false">CG93*CG10</f>
        <v>2.26529694393042</v>
      </c>
      <c r="CH63" s="19" t="n">
        <f aca="false">CH93*CH10</f>
        <v>1.44191242267061</v>
      </c>
      <c r="CI63" s="19" t="n">
        <f aca="false">CI93*CI10</f>
        <v>0.824531194888318</v>
      </c>
      <c r="CJ63" s="19" t="n">
        <f aca="false">CJ93*CJ10</f>
        <v>0.159630119572903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716.872772566608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23.916137022975</v>
      </c>
      <c r="AF64" s="19" t="n">
        <f aca="false">AF44+AF51+AF63</f>
        <v>23.3704305082665</v>
      </c>
      <c r="AG64" s="19" t="n">
        <f aca="false">AG44+AG51+AG63</f>
        <v>24.5974738346671</v>
      </c>
      <c r="AH64" s="19" t="n">
        <f aca="false">AH44+AH51+AH63</f>
        <v>24.3834250636284</v>
      </c>
      <c r="AI64" s="19" t="n">
        <f aca="false">AI44+AI51+AI63</f>
        <v>24.5974738346671</v>
      </c>
      <c r="AJ64" s="19" t="n">
        <f aca="false">AJ44+AJ51+AJ63</f>
        <v>15.6806256309938</v>
      </c>
      <c r="AK64" s="19" t="n">
        <f aca="false">AK44+AK51+AK63</f>
        <v>15.1586851555492</v>
      </c>
      <c r="AL64" s="19" t="n">
        <f aca="false">AL44+AL51+AL63</f>
        <v>14.9110114783675</v>
      </c>
      <c r="AM64" s="19" t="n">
        <f aca="false">AM44+AM51+AM63</f>
        <v>14.6682262090177</v>
      </c>
      <c r="AN64" s="19" t="n">
        <f aca="false">AN44+AN51+AN63</f>
        <v>14.385478810572</v>
      </c>
      <c r="AO64" s="19" t="n">
        <f aca="false">AO44+AO51+AO63</f>
        <v>14.110656638255</v>
      </c>
      <c r="AP64" s="19" t="n">
        <f aca="false">AP44+AP51+AP63</f>
        <v>13.7598335678853</v>
      </c>
      <c r="AQ64" s="19" t="n">
        <f aca="false">AQ44+AQ51+AQ63</f>
        <v>13.3938518045749</v>
      </c>
      <c r="AR64" s="19" t="n">
        <f aca="false">AR44+AR51+AR63</f>
        <v>13.1365807724101</v>
      </c>
      <c r="AS64" s="19" t="n">
        <f aca="false">AS44+AS51+AS63</f>
        <v>12.8893950792059</v>
      </c>
      <c r="AT64" s="19" t="n">
        <f aca="false">AT44+AT51+AT63</f>
        <v>12.6340744670113</v>
      </c>
      <c r="AU64" s="19" t="n">
        <f aca="false">AU44+AU51+AU63</f>
        <v>12.3731527230777</v>
      </c>
      <c r="AV64" s="19" t="n">
        <f aca="false">AV44+AV51+AV63</f>
        <v>12.0881484775294</v>
      </c>
      <c r="AW64" s="19" t="n">
        <f aca="false">AW44+AW51+AW63</f>
        <v>11.8063666282231</v>
      </c>
      <c r="AX64" s="19" t="n">
        <f aca="false">AX44+AX51+AX63</f>
        <v>11.3879731283746</v>
      </c>
      <c r="AY64" s="19" t="n">
        <f aca="false">AY44+AY51+AY63</f>
        <v>11.3677922223389</v>
      </c>
      <c r="AZ64" s="19" t="n">
        <f aca="false">AZ44+AZ51+AZ63</f>
        <v>11.3625824602679</v>
      </c>
      <c r="BA64" s="19" t="n">
        <f aca="false">BA44+BA51+BA63</f>
        <v>11.3536852852922</v>
      </c>
      <c r="BB64" s="19" t="n">
        <f aca="false">BB44+BB51+BB63</f>
        <v>11.3510485655242</v>
      </c>
      <c r="BC64" s="19" t="n">
        <f aca="false">BC44+BC51+BC63</f>
        <v>11.3510485655242</v>
      </c>
      <c r="BD64" s="19" t="n">
        <f aca="false">BD44+BD51+BD63</f>
        <v>11.2100957630489</v>
      </c>
      <c r="BE64" s="19" t="n">
        <f aca="false">BE44+BE51+BE63</f>
        <v>11.0648327801487</v>
      </c>
      <c r="BF64" s="19" t="n">
        <f aca="false">BF44+BF51+BF63</f>
        <v>10.8492865494983</v>
      </c>
      <c r="BG64" s="19" t="n">
        <f aca="false">BG44+BG51+BG63</f>
        <v>10.6536346601811</v>
      </c>
      <c r="BH64" s="19" t="n">
        <f aca="false">BH44+BH51+BH63</f>
        <v>10.4742246209322</v>
      </c>
      <c r="BI64" s="19" t="n">
        <f aca="false">BI44+BI51+BI63</f>
        <v>10.2885001777541</v>
      </c>
      <c r="BJ64" s="19" t="n">
        <f aca="false">BJ44+BJ51+BJ63</f>
        <v>10.0798159925687</v>
      </c>
      <c r="BK64" s="19" t="n">
        <f aca="false">BK44+BK51+BK63</f>
        <v>9.86704945209664</v>
      </c>
      <c r="BL64" s="19" t="n">
        <f aca="false">BL44+BL51+BL63</f>
        <v>9.62684803609518</v>
      </c>
      <c r="BM64" s="19" t="n">
        <f aca="false">BM44+BM51+BM63</f>
        <v>9.38182260505819</v>
      </c>
      <c r="BN64" s="19" t="n">
        <f aca="false">BN44+BN51+BN63</f>
        <v>9.10765910973216</v>
      </c>
      <c r="BO64" s="19" t="n">
        <f aca="false">BO44+BO51+BO63</f>
        <v>8.82787409970552</v>
      </c>
      <c r="BP64" s="19" t="n">
        <f aca="false">BP44+BP51+BP63</f>
        <v>8.70387892176039</v>
      </c>
      <c r="BQ64" s="19" t="n">
        <f aca="false">BQ44+BQ51+BQ63</f>
        <v>8.57402698942513</v>
      </c>
      <c r="BR64" s="19" t="n">
        <f aca="false">BR44+BR51+BR63</f>
        <v>8.41882691810068</v>
      </c>
      <c r="BS64" s="19" t="n">
        <f aca="false">BS44+BS51+BS63</f>
        <v>8.26593352677279</v>
      </c>
      <c r="BT64" s="19" t="n">
        <f aca="false">BT44+BT51+BT63</f>
        <v>8.08351683626169</v>
      </c>
      <c r="BU64" s="19" t="n">
        <f aca="false">BU44+BU51+BU63</f>
        <v>7.90295688169126</v>
      </c>
      <c r="BV64" s="19" t="n">
        <f aca="false">BV44+BV51+BV63</f>
        <v>7.3508155979485</v>
      </c>
      <c r="BW64" s="19" t="n">
        <f aca="false">BW44+BW51+BW63</f>
        <v>6.79208857253838</v>
      </c>
      <c r="BX64" s="19" t="n">
        <f aca="false">BX44+BX51+BX63</f>
        <v>6.31997074983642</v>
      </c>
      <c r="BY64" s="19" t="n">
        <f aca="false">BY44+BY51+BY63</f>
        <v>5.86762284840052</v>
      </c>
      <c r="BZ64" s="19" t="n">
        <f aca="false">BZ44+BZ51+BZ63</f>
        <v>5.38047763007338</v>
      </c>
      <c r="CA64" s="19" t="n">
        <f aca="false">CA44+CA51+CA63</f>
        <v>4.88900705590745</v>
      </c>
      <c r="CB64" s="19" t="n">
        <f aca="false">CB44+CB51+CB63</f>
        <v>4.47764938059647</v>
      </c>
      <c r="CC64" s="19" t="n">
        <f aca="false">CC44+CC51+CC63</f>
        <v>4.06375445448202</v>
      </c>
      <c r="CD64" s="19" t="n">
        <f aca="false">CD44+CD51+CD63</f>
        <v>3.61014837599107</v>
      </c>
      <c r="CE64" s="19" t="n">
        <f aca="false">CE44+CE51+CE63</f>
        <v>3.15324753364475</v>
      </c>
      <c r="CF64" s="19" t="n">
        <f aca="false">CF44+CF51+CF63</f>
        <v>2.71289422496346</v>
      </c>
      <c r="CG64" s="19" t="n">
        <f aca="false">CG44+CG51+CG63</f>
        <v>2.26529694393042</v>
      </c>
      <c r="CH64" s="19" t="n">
        <f aca="false">CH44+CH51+CH63</f>
        <v>1.44191242267061</v>
      </c>
      <c r="CI64" s="19" t="n">
        <f aca="false">CI44+CI51+CI63</f>
        <v>0.824531194888318</v>
      </c>
      <c r="CJ64" s="19" t="n">
        <f aca="false">CJ44+CJ51+CJ63</f>
        <v>0.159630119572903</v>
      </c>
      <c r="CK64" s="19" t="n">
        <f aca="false">CK44+CK51+CK63</f>
        <v>0</v>
      </c>
      <c r="CL64" s="19" t="n">
        <f aca="false">CL44+CL51+CL63</f>
        <v>0</v>
      </c>
      <c r="CM64" s="19" t="n">
        <f aca="false">CM44+CM51+CM63</f>
        <v>0</v>
      </c>
      <c r="CN64" s="19" t="n">
        <f aca="false">CN44+CN51+CN63</f>
        <v>0</v>
      </c>
      <c r="CO64" s="19" t="n">
        <f aca="false">CO44+CO51+CO63</f>
        <v>0</v>
      </c>
      <c r="CP64" s="19" t="n">
        <f aca="false">CP44+CP51+CP63</f>
        <v>0</v>
      </c>
      <c r="CQ64" s="19" t="n">
        <f aca="false">CQ44+CQ51+CQ63</f>
        <v>0</v>
      </c>
      <c r="CR64" s="19" t="n">
        <f aca="false">CR44+CR51+CR63</f>
        <v>0</v>
      </c>
      <c r="CS64" s="19" t="n">
        <f aca="false">CS44+CS51+CS63</f>
        <v>0</v>
      </c>
      <c r="CT64" s="19" t="n">
        <f aca="false">CT44+CT51+CT63</f>
        <v>0</v>
      </c>
      <c r="CU64" s="19" t="n">
        <f aca="false">CU44+CU51+CU63</f>
        <v>0</v>
      </c>
      <c r="CV64" s="19" t="n">
        <f aca="false">CV44+CV51+CV63</f>
        <v>0</v>
      </c>
      <c r="CW64" s="19" t="n">
        <f aca="false">CW44+CW51+CW63</f>
        <v>0</v>
      </c>
      <c r="CX64" s="19" t="n">
        <f aca="false">CX44+CX51+CX63</f>
        <v>0</v>
      </c>
      <c r="CY64" s="19" t="n">
        <f aca="false">CY44+CY51+CY63</f>
        <v>0</v>
      </c>
      <c r="CZ64" s="19" t="n">
        <f aca="false">CZ44+CZ51+CZ63</f>
        <v>0</v>
      </c>
      <c r="DA64" s="19" t="n">
        <f aca="false">DA44+DA51+DA63</f>
        <v>0</v>
      </c>
      <c r="DB64" s="19" t="n">
        <f aca="false">DB44+DB51+DB63</f>
        <v>0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2.85890372453753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0.924089424657532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1.93481429988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447.43886846549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0.10273278701443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0.748954173588416</v>
      </c>
      <c r="AX66" s="19" t="n">
        <f aca="false">IF(Time!AX23=1,MIN(AX91,AX93),0)</f>
        <v>0.791408079831591</v>
      </c>
      <c r="AY66" s="19" t="n">
        <f aca="false">IF(Time!AY23=1,MIN(AY91,AY93),0)</f>
        <v>0.204304394943771</v>
      </c>
      <c r="AZ66" s="19" t="n">
        <f aca="false">IF(Time!AZ23=1,MIN(AZ91,AZ93),0)</f>
        <v>0.348908822575057</v>
      </c>
      <c r="BA66" s="19" t="n">
        <f aca="false">IF(Time!BA23=1,MIN(BA91,BA93),0)</f>
        <v>0.103400775216947</v>
      </c>
      <c r="BB66" s="19" t="n">
        <f aca="false">IF(Time!BB23=1,MIN(BB91,BB93),0)</f>
        <v>0</v>
      </c>
      <c r="BC66" s="19" t="n">
        <f aca="false">IF(Time!BC23=1,MIN(BC91,BC93),0)</f>
        <v>5.52756088138232</v>
      </c>
      <c r="BD66" s="19" t="n">
        <f aca="false">IF(Time!BD23=1,MIN(BD91,BD93),0)</f>
        <v>5.69658756471544</v>
      </c>
      <c r="BE66" s="19" t="n">
        <f aca="false">IF(Time!BE23=1,MIN(BE91,BE93),0)</f>
        <v>8.45279335883729</v>
      </c>
      <c r="BF66" s="19" t="n">
        <f aca="false">IF(Time!BF23=1,MIN(BF91,BF93),0)</f>
        <v>7.67262311047827</v>
      </c>
      <c r="BG66" s="19" t="n">
        <f aca="false">IF(Time!BG23=1,MIN(BG91,BG93),0)</f>
        <v>7.0356878136811</v>
      </c>
      <c r="BH66" s="19" t="n">
        <f aca="false">IF(Time!BH23=1,MIN(BH91,BH93),0)</f>
        <v>7.2833114971834</v>
      </c>
      <c r="BI66" s="19" t="n">
        <f aca="false">IF(Time!BI23=1,MIN(BI91,BI93),0)</f>
        <v>8.1836935366804</v>
      </c>
      <c r="BJ66" s="19" t="n">
        <f aca="false">IF(Time!BJ23=1,MIN(BJ91,BJ93),0)</f>
        <v>8.34378590086599</v>
      </c>
      <c r="BK66" s="19" t="n">
        <f aca="false">IF(Time!BK23=1,MIN(BK91,BK93),0)</f>
        <v>9.4196633726061</v>
      </c>
      <c r="BL66" s="19" t="n">
        <f aca="false">IF(Time!BL23=1,MIN(BL91,BL93),0)</f>
        <v>9.60884043282316</v>
      </c>
      <c r="BM66" s="19" t="n">
        <f aca="false">IF(Time!BM23=1,MIN(BM91,BM93),0)</f>
        <v>10.7515096206289</v>
      </c>
      <c r="BN66" s="19" t="n">
        <f aca="false">IF(Time!BN23=1,MIN(BN91,BN93),0)</f>
        <v>10.9719611775153</v>
      </c>
      <c r="BO66" s="19" t="n">
        <f aca="false">IF(Time!BO23=1,MIN(BO91,BO93),0)</f>
        <v>4.86255599784799</v>
      </c>
      <c r="BP66" s="19" t="n">
        <f aca="false">IF(Time!BP23=1,MIN(BP91,BP93),0)</f>
        <v>5.09223264059846</v>
      </c>
      <c r="BQ66" s="19" t="n">
        <f aca="false">IF(Time!BQ23=1,MIN(BQ91,BQ93),0)</f>
        <v>6.08627730684115</v>
      </c>
      <c r="BR66" s="19" t="n">
        <f aca="false">IF(Time!BR23=1,MIN(BR91,BR93),0)</f>
        <v>5.99581926776035</v>
      </c>
      <c r="BS66" s="19" t="n">
        <f aca="false">IF(Time!BS23=1,MIN(BS91,BS93),0)</f>
        <v>7.15359570631784</v>
      </c>
      <c r="BT66" s="19" t="n">
        <f aca="false">IF(Time!BT23=1,MIN(BT91,BT93),0)</f>
        <v>7.0807825321737</v>
      </c>
      <c r="BU66" s="19" t="n">
        <f aca="false">IF(Time!BU23=1,MIN(BU91,BU93),0)</f>
        <v>21.6525993624612</v>
      </c>
      <c r="BV66" s="19" t="n">
        <f aca="false">IF(Time!BV23=1,MIN(BV91,BV93),0)</f>
        <v>21.9108637415731</v>
      </c>
      <c r="BW66" s="19" t="n">
        <f aca="false">IF(Time!BW23=1,MIN(BW91,BW93),0)</f>
        <v>18.514424419685</v>
      </c>
      <c r="BX66" s="19" t="n">
        <f aca="false">IF(Time!BX23=1,MIN(BX91,BX93),0)</f>
        <v>17.739133389643</v>
      </c>
      <c r="BY66" s="19" t="n">
        <f aca="false">IF(Time!BY23=1,MIN(BY91,BY93),0)</f>
        <v>19.1037340520449</v>
      </c>
      <c r="BZ66" s="19" t="n">
        <f aca="false">IF(Time!BZ23=1,MIN(BZ91,BZ93),0)</f>
        <v>19.2733558496443</v>
      </c>
      <c r="CA66" s="19" t="n">
        <f aca="false">IF(Time!CA23=1,MIN(CA91,CA93),0)</f>
        <v>16.131673541607</v>
      </c>
      <c r="CB66" s="19" t="n">
        <f aca="false">IF(Time!CB23=1,MIN(CB91,CB93),0)</f>
        <v>16.2311735731157</v>
      </c>
      <c r="CC66" s="19" t="n">
        <f aca="false">IF(Time!CC23=1,MIN(CC91,CC93),0)</f>
        <v>17.7884736663117</v>
      </c>
      <c r="CD66" s="19" t="n">
        <f aca="false">IF(Time!CD23=1,MIN(CD91,CD93),0)</f>
        <v>17.9176800920126</v>
      </c>
      <c r="CE66" s="19" t="n">
        <f aca="false">IF(Time!CE23=1,MIN(CE91,CE93),0)</f>
        <v>17.2687572031878</v>
      </c>
      <c r="CF66" s="19" t="n">
        <f aca="false">IF(Time!CF23=1,MIN(CF91,CF93),0)</f>
        <v>17.5528345503154</v>
      </c>
      <c r="CG66" s="19" t="n">
        <f aca="false">IF(Time!CG23=1,MIN(CG91,CG93),0)</f>
        <v>32.2895890690119</v>
      </c>
      <c r="CH66" s="19" t="n">
        <f aca="false">IF(Time!CH23=1,MIN(CH91,CH93),0)</f>
        <v>24.2110285404821</v>
      </c>
      <c r="CI66" s="19" t="n">
        <f aca="false">IF(Time!CI23=1,MIN(CI91,CI93),0)</f>
        <v>26.0745519731535</v>
      </c>
      <c r="CJ66" s="19" t="n">
        <f aca="false">IF(Time!CJ23=1,MIN(CJ91,CJ93),0)</f>
        <v>6.26000468913347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447.43886846549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0.10273278701443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</v>
      </c>
      <c r="AW67" s="19" t="n">
        <f aca="false">AW45+AW52+AW66</f>
        <v>0.748954173588416</v>
      </c>
      <c r="AX67" s="19" t="n">
        <f aca="false">AX45+AX52+AX66</f>
        <v>0.791408079831591</v>
      </c>
      <c r="AY67" s="19" t="n">
        <f aca="false">AY45+AY52+AY66</f>
        <v>0.204304394943771</v>
      </c>
      <c r="AZ67" s="19" t="n">
        <f aca="false">AZ45+AZ52+AZ66</f>
        <v>0.348908822575057</v>
      </c>
      <c r="BA67" s="19" t="n">
        <f aca="false">BA45+BA52+BA66</f>
        <v>0.103400775216947</v>
      </c>
      <c r="BB67" s="19" t="n">
        <f aca="false">BB45+BB52+BB66</f>
        <v>0</v>
      </c>
      <c r="BC67" s="19" t="n">
        <f aca="false">BC45+BC52+BC66</f>
        <v>5.52756088138232</v>
      </c>
      <c r="BD67" s="19" t="n">
        <f aca="false">BD45+BD52+BD66</f>
        <v>5.69658756471544</v>
      </c>
      <c r="BE67" s="19" t="n">
        <f aca="false">BE45+BE52+BE66</f>
        <v>8.45279335883729</v>
      </c>
      <c r="BF67" s="19" t="n">
        <f aca="false">BF45+BF52+BF66</f>
        <v>7.67262311047827</v>
      </c>
      <c r="BG67" s="19" t="n">
        <f aca="false">BG45+BG52+BG66</f>
        <v>7.0356878136811</v>
      </c>
      <c r="BH67" s="19" t="n">
        <f aca="false">BH45+BH52+BH66</f>
        <v>7.2833114971834</v>
      </c>
      <c r="BI67" s="19" t="n">
        <f aca="false">BI45+BI52+BI66</f>
        <v>8.1836935366804</v>
      </c>
      <c r="BJ67" s="19" t="n">
        <f aca="false">BJ45+BJ52+BJ66</f>
        <v>8.34378590086599</v>
      </c>
      <c r="BK67" s="19" t="n">
        <f aca="false">BK45+BK52+BK66</f>
        <v>9.4196633726061</v>
      </c>
      <c r="BL67" s="19" t="n">
        <f aca="false">BL45+BL52+BL66</f>
        <v>9.60884043282316</v>
      </c>
      <c r="BM67" s="19" t="n">
        <f aca="false">BM45+BM52+BM66</f>
        <v>10.7515096206289</v>
      </c>
      <c r="BN67" s="19" t="n">
        <f aca="false">BN45+BN52+BN66</f>
        <v>10.9719611775153</v>
      </c>
      <c r="BO67" s="19" t="n">
        <f aca="false">BO45+BO52+BO66</f>
        <v>4.86255599784799</v>
      </c>
      <c r="BP67" s="19" t="n">
        <f aca="false">BP45+BP52+BP66</f>
        <v>5.09223264059846</v>
      </c>
      <c r="BQ67" s="19" t="n">
        <f aca="false">BQ45+BQ52+BQ66</f>
        <v>6.08627730684115</v>
      </c>
      <c r="BR67" s="19" t="n">
        <f aca="false">BR45+BR52+BR66</f>
        <v>5.99581926776035</v>
      </c>
      <c r="BS67" s="19" t="n">
        <f aca="false">BS45+BS52+BS66</f>
        <v>7.15359570631784</v>
      </c>
      <c r="BT67" s="19" t="n">
        <f aca="false">BT45+BT52+BT66</f>
        <v>7.0807825321737</v>
      </c>
      <c r="BU67" s="19" t="n">
        <f aca="false">BU45+BU52+BU66</f>
        <v>21.6525993624612</v>
      </c>
      <c r="BV67" s="19" t="n">
        <f aca="false">BV45+BV52+BV66</f>
        <v>21.9108637415731</v>
      </c>
      <c r="BW67" s="19" t="n">
        <f aca="false">BW45+BW52+BW66</f>
        <v>18.514424419685</v>
      </c>
      <c r="BX67" s="19" t="n">
        <f aca="false">BX45+BX52+BX66</f>
        <v>17.739133389643</v>
      </c>
      <c r="BY67" s="19" t="n">
        <f aca="false">BY45+BY52+BY66</f>
        <v>19.1037340520449</v>
      </c>
      <c r="BZ67" s="19" t="n">
        <f aca="false">BZ45+BZ52+BZ66</f>
        <v>19.2733558496443</v>
      </c>
      <c r="CA67" s="19" t="n">
        <f aca="false">CA45+CA52+CA66</f>
        <v>16.131673541607</v>
      </c>
      <c r="CB67" s="19" t="n">
        <f aca="false">CB45+CB52+CB66</f>
        <v>16.2311735731157</v>
      </c>
      <c r="CC67" s="19" t="n">
        <f aca="false">CC45+CC52+CC66</f>
        <v>17.7884736663117</v>
      </c>
      <c r="CD67" s="19" t="n">
        <f aca="false">CD45+CD52+CD66</f>
        <v>17.9176800920126</v>
      </c>
      <c r="CE67" s="19" t="n">
        <f aca="false">CE45+CE52+CE66</f>
        <v>17.2687572031878</v>
      </c>
      <c r="CF67" s="19" t="n">
        <f aca="false">CF45+CF52+CF66</f>
        <v>17.5528345503154</v>
      </c>
      <c r="CG67" s="19" t="n">
        <f aca="false">CG45+CG52+CG66</f>
        <v>32.2895890690119</v>
      </c>
      <c r="CH67" s="19" t="n">
        <f aca="false">CH45+CH52+CH66</f>
        <v>24.2110285404821</v>
      </c>
      <c r="CI67" s="19" t="n">
        <f aca="false">CI45+CI52+CI66</f>
        <v>26.0745519731535</v>
      </c>
      <c r="CJ67" s="19" t="n">
        <f aca="false">CJ45+CJ52+CJ66</f>
        <v>6.26000468913347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1144.08571458624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23.916137022975</v>
      </c>
      <c r="AF68" s="19" t="n">
        <f aca="false">AF64+(Inputs!$F$96+Inputs!$F$97)*AF40*(1-Time!AF23)*(1-Time!AF20)+AF66-AF39</f>
        <v>23.3704305082665</v>
      </c>
      <c r="AG68" s="19" t="n">
        <f aca="false">AG64+(Inputs!$F$96+Inputs!$F$97)*AG40*(1-Time!AG23)*(1-Time!AG20)+AG66-AG39</f>
        <v>24.5974738346671</v>
      </c>
      <c r="AH68" s="19" t="n">
        <f aca="false">AH64+(Inputs!$F$96+Inputs!$F$97)*AH40*(1-Time!AH23)*(1-Time!AH20)+AH66-AH39</f>
        <v>24.3834250636284</v>
      </c>
      <c r="AI68" s="19" t="n">
        <f aca="false">AI64+(Inputs!$F$96+Inputs!$F$97)*AI40*(1-Time!AI23)*(1-Time!AI20)+AI66-AI39</f>
        <v>24.5974738346671</v>
      </c>
      <c r="AJ68" s="19" t="n">
        <f aca="false">AJ64+(Inputs!$F$96+Inputs!$F$97)*AJ40*(1-Time!AJ23)*(1-Time!AJ20)+AJ66-AJ39</f>
        <v>15.6806256309938</v>
      </c>
      <c r="AK68" s="19" t="n">
        <f aca="false">AK64+(Inputs!$F$96+Inputs!$F$97)*AK40*(1-Time!AK23)*(1-Time!AK20)+AK66-AK39</f>
        <v>15.1586851555492</v>
      </c>
      <c r="AL68" s="19" t="n">
        <f aca="false">AL64+(Inputs!$F$96+Inputs!$F$97)*AL40*(1-Time!AL23)*(1-Time!AL20)+AL66-AL39</f>
        <v>14.9110114783675</v>
      </c>
      <c r="AM68" s="19" t="n">
        <f aca="false">AM64+(Inputs!$F$96+Inputs!$F$97)*AM40*(1-Time!AM23)*(1-Time!AM20)+AM66-AM39</f>
        <v>14.6682262090177</v>
      </c>
      <c r="AN68" s="19" t="n">
        <f aca="false">AN64+(Inputs!$F$96+Inputs!$F$97)*AN40*(1-Time!AN23)*(1-Time!AN20)+AN66-AN39</f>
        <v>14.385478810572</v>
      </c>
      <c r="AO68" s="19" t="n">
        <f aca="false">AO64+(Inputs!$F$96+Inputs!$F$97)*AO40*(1-Time!AO23)*(1-Time!AO20)+AO66-AO39</f>
        <v>14.110656638255</v>
      </c>
      <c r="AP68" s="19" t="n">
        <f aca="false">AP64+(Inputs!$F$96+Inputs!$F$97)*AP40*(1-Time!AP23)*(1-Time!AP20)+AP66-AP39</f>
        <v>13.8625663548997</v>
      </c>
      <c r="AQ68" s="19" t="n">
        <f aca="false">AQ64+(Inputs!$F$96+Inputs!$F$97)*AQ40*(1-Time!AQ23)*(1-Time!AQ20)+AQ66-AQ39</f>
        <v>13.3938518045749</v>
      </c>
      <c r="AR68" s="19" t="n">
        <f aca="false">AR64+(Inputs!$F$96+Inputs!$F$97)*AR40*(1-Time!AR23)*(1-Time!AR20)+AR66-AR39</f>
        <v>13.1365807724101</v>
      </c>
      <c r="AS68" s="19" t="n">
        <f aca="false">AS64+(Inputs!$F$96+Inputs!$F$97)*AS40*(1-Time!AS23)*(1-Time!AS20)+AS66-AS39</f>
        <v>12.8893950792059</v>
      </c>
      <c r="AT68" s="19" t="n">
        <f aca="false">AT64+(Inputs!$F$96+Inputs!$F$97)*AT40*(1-Time!AT23)*(1-Time!AT20)+AT66-AT39</f>
        <v>12.6340744670113</v>
      </c>
      <c r="AU68" s="19" t="n">
        <f aca="false">AU64+(Inputs!$F$96+Inputs!$F$97)*AU40*(1-Time!AU23)*(1-Time!AU20)+AU66-AU39</f>
        <v>12.3731527230777</v>
      </c>
      <c r="AV68" s="19" t="n">
        <f aca="false">AV64+(Inputs!$F$96+Inputs!$F$97)*AV40*(1-Time!AV23)*(1-Time!AV20)+AV66-AV39</f>
        <v>12.0881484775294</v>
      </c>
      <c r="AW68" s="19" t="n">
        <f aca="false">AW64+(Inputs!$F$96+Inputs!$F$97)*AW40*(1-Time!AW23)*(1-Time!AW20)+AW66-AW39</f>
        <v>12.5553208018115</v>
      </c>
      <c r="AX68" s="19" t="n">
        <f aca="false">AX64+(Inputs!$F$96+Inputs!$F$97)*AX40*(1-Time!AX23)*(1-Time!AX20)+AX66-AX39</f>
        <v>12.1793812082062</v>
      </c>
      <c r="AY68" s="19" t="n">
        <f aca="false">AY64+(Inputs!$F$96+Inputs!$F$97)*AY40*(1-Time!AY23)*(1-Time!AY20)+AY66-AY39</f>
        <v>11.5720966172827</v>
      </c>
      <c r="AZ68" s="19" t="n">
        <f aca="false">AZ64+(Inputs!$F$96+Inputs!$F$97)*AZ40*(1-Time!AZ23)*(1-Time!AZ20)+AZ66-AZ39</f>
        <v>11.7114912828429</v>
      </c>
      <c r="BA68" s="19" t="n">
        <f aca="false">BA64+(Inputs!$F$96+Inputs!$F$97)*BA40*(1-Time!BA23)*(1-Time!BA20)+BA66-BA39</f>
        <v>11.4570860605091</v>
      </c>
      <c r="BB68" s="19" t="n">
        <f aca="false">BB64+(Inputs!$F$96+Inputs!$F$97)*BB40*(1-Time!BB23)*(1-Time!BB20)+BB66-BB39</f>
        <v>11.3510485655242</v>
      </c>
      <c r="BC68" s="19" t="n">
        <f aca="false">BC64+(Inputs!$F$96+Inputs!$F$97)*BC40*(1-Time!BC23)*(1-Time!BC20)+BC66-BC39</f>
        <v>16.8786094469065</v>
      </c>
      <c r="BD68" s="19" t="n">
        <f aca="false">BD64+(Inputs!$F$96+Inputs!$F$97)*BD40*(1-Time!BD23)*(1-Time!BD20)+BD66-BD39</f>
        <v>16.9066833277643</v>
      </c>
      <c r="BE68" s="19" t="n">
        <f aca="false">BE64+(Inputs!$F$96+Inputs!$F$97)*BE40*(1-Time!BE23)*(1-Time!BE20)+BE66-BE39</f>
        <v>19.517626138986</v>
      </c>
      <c r="BF68" s="19" t="n">
        <f aca="false">BF64+(Inputs!$F$96+Inputs!$F$97)*BF40*(1-Time!BF23)*(1-Time!BF20)+BF66-BF39</f>
        <v>18.5219096599766</v>
      </c>
      <c r="BG68" s="19" t="n">
        <f aca="false">BG64+(Inputs!$F$96+Inputs!$F$97)*BG40*(1-Time!BG23)*(1-Time!BG20)+BG66-BG39</f>
        <v>17.6893224738622</v>
      </c>
      <c r="BH68" s="19" t="n">
        <f aca="false">BH64+(Inputs!$F$96+Inputs!$F$97)*BH40*(1-Time!BH23)*(1-Time!BH20)+BH66-BH39</f>
        <v>17.7575361181156</v>
      </c>
      <c r="BI68" s="19" t="n">
        <f aca="false">BI64+(Inputs!$F$96+Inputs!$F$97)*BI40*(1-Time!BI23)*(1-Time!BI20)+BI66-BI39</f>
        <v>18.4721937144345</v>
      </c>
      <c r="BJ68" s="19" t="n">
        <f aca="false">BJ64+(Inputs!$F$96+Inputs!$F$97)*BJ40*(1-Time!BJ23)*(1-Time!BJ20)+BJ66-BJ39</f>
        <v>18.4236018934347</v>
      </c>
      <c r="BK68" s="19" t="n">
        <f aca="false">BK64+(Inputs!$F$96+Inputs!$F$97)*BK40*(1-Time!BK23)*(1-Time!BK20)+BK66-BK39</f>
        <v>19.2867128247027</v>
      </c>
      <c r="BL68" s="19" t="n">
        <f aca="false">BL64+(Inputs!$F$96+Inputs!$F$97)*BL40*(1-Time!BL23)*(1-Time!BL20)+BL66-BL39</f>
        <v>19.2356884689183</v>
      </c>
      <c r="BM68" s="19" t="n">
        <f aca="false">BM64+(Inputs!$F$96+Inputs!$F$97)*BM40*(1-Time!BM23)*(1-Time!BM20)+BM66-BM39</f>
        <v>20.1333322256871</v>
      </c>
      <c r="BN68" s="19" t="n">
        <f aca="false">BN64+(Inputs!$F$96+Inputs!$F$97)*BN40*(1-Time!BN23)*(1-Time!BN20)+BN66-BN39</f>
        <v>20.0796202872474</v>
      </c>
      <c r="BO68" s="19" t="n">
        <f aca="false">BO64+(Inputs!$F$96+Inputs!$F$97)*BO40*(1-Time!BO23)*(1-Time!BO20)+BO66-BO39</f>
        <v>13.6904300975535</v>
      </c>
      <c r="BP68" s="19" t="n">
        <f aca="false">BP64+(Inputs!$F$96+Inputs!$F$97)*BP40*(1-Time!BP23)*(1-Time!BP20)+BP66-BP39</f>
        <v>13.7961115623589</v>
      </c>
      <c r="BQ68" s="19" t="n">
        <f aca="false">BQ64+(Inputs!$F$96+Inputs!$F$97)*BQ40*(1-Time!BQ23)*(1-Time!BQ20)+BQ66-BQ39</f>
        <v>14.6603042962663</v>
      </c>
      <c r="BR68" s="19" t="n">
        <f aca="false">BR64+(Inputs!$F$96+Inputs!$F$97)*BR40*(1-Time!BR23)*(1-Time!BR20)+BR66-BR39</f>
        <v>14.414646185861</v>
      </c>
      <c r="BS68" s="19" t="n">
        <f aca="false">BS64+(Inputs!$F$96+Inputs!$F$97)*BS40*(1-Time!BS23)*(1-Time!BS20)+BS66-BS39</f>
        <v>15.4195292330906</v>
      </c>
      <c r="BT68" s="19" t="n">
        <f aca="false">BT64+(Inputs!$F$96+Inputs!$F$97)*BT40*(1-Time!BT23)*(1-Time!BT20)+BT66-BT39</f>
        <v>15.1642993684354</v>
      </c>
      <c r="BU68" s="19" t="n">
        <f aca="false">BU64+(Inputs!$F$96+Inputs!$F$97)*BU40*(1-Time!BU23)*(1-Time!BU20)+BU66-BU39</f>
        <v>29.5555562441525</v>
      </c>
      <c r="BV68" s="19" t="n">
        <f aca="false">BV64+(Inputs!$F$96+Inputs!$F$97)*BV40*(1-Time!BV23)*(1-Time!BV20)+BV66-BV39</f>
        <v>29.2616793395216</v>
      </c>
      <c r="BW68" s="19" t="n">
        <f aca="false">BW64+(Inputs!$F$96+Inputs!$F$97)*BW40*(1-Time!BW23)*(1-Time!BW20)+BW66-BW39</f>
        <v>25.3065129922234</v>
      </c>
      <c r="BX68" s="19" t="n">
        <f aca="false">BX64+(Inputs!$F$96+Inputs!$F$97)*BX40*(1-Time!BX23)*(1-Time!BX20)+BX66-BX39</f>
        <v>24.0591041394794</v>
      </c>
      <c r="BY68" s="19" t="n">
        <f aca="false">BY64+(Inputs!$F$96+Inputs!$F$97)*BY40*(1-Time!BY23)*(1-Time!BY20)+BY66-BY39</f>
        <v>24.9713569004454</v>
      </c>
      <c r="BZ68" s="19" t="n">
        <f aca="false">BZ64+(Inputs!$F$96+Inputs!$F$97)*BZ40*(1-Time!BZ23)*(1-Time!BZ20)+BZ66-BZ39</f>
        <v>24.6538334797176</v>
      </c>
      <c r="CA68" s="19" t="n">
        <f aca="false">CA64+(Inputs!$F$96+Inputs!$F$97)*CA40*(1-Time!CA23)*(1-Time!CA20)+CA66-CA39</f>
        <v>21.0206805975144</v>
      </c>
      <c r="CB68" s="19" t="n">
        <f aca="false">CB64+(Inputs!$F$96+Inputs!$F$97)*CB40*(1-Time!CB23)*(1-Time!CB20)+CB66-CB39</f>
        <v>20.7088229537122</v>
      </c>
      <c r="CC68" s="19" t="n">
        <f aca="false">CC64+(Inputs!$F$96+Inputs!$F$97)*CC40*(1-Time!CC23)*(1-Time!CC20)+CC66-CC39</f>
        <v>21.8522281207937</v>
      </c>
      <c r="CD68" s="19" t="n">
        <f aca="false">CD64+(Inputs!$F$96+Inputs!$F$97)*CD40*(1-Time!CD23)*(1-Time!CD20)+CD66-CD39</f>
        <v>21.5278284680037</v>
      </c>
      <c r="CE68" s="19" t="n">
        <f aca="false">CE64+(Inputs!$F$96+Inputs!$F$97)*CE40*(1-Time!CE23)*(1-Time!CE20)+CE66-CE39</f>
        <v>20.4220047368325</v>
      </c>
      <c r="CF68" s="19" t="n">
        <f aca="false">CF64+(Inputs!$F$96+Inputs!$F$97)*CF40*(1-Time!CF23)*(1-Time!CF20)+CF66-CF39</f>
        <v>20.2657287752789</v>
      </c>
      <c r="CG68" s="19" t="n">
        <f aca="false">CG64+(Inputs!$F$96+Inputs!$F$97)*CG40*(1-Time!CG23)*(1-Time!CG20)+CG66-CG39</f>
        <v>34.5548860129424</v>
      </c>
      <c r="CH68" s="19" t="n">
        <f aca="false">CH64+(Inputs!$F$96+Inputs!$F$97)*CH40*(1-Time!CH23)*(1-Time!CH20)+CH66-CH39</f>
        <v>25.6529409631527</v>
      </c>
      <c r="CI68" s="19" t="n">
        <f aca="false">CI64+(Inputs!$F$96+Inputs!$F$97)*CI40*(1-Time!CI23)*(1-Time!CI20)+CI66-CI39</f>
        <v>26.8990831680418</v>
      </c>
      <c r="CJ68" s="19" t="n">
        <f aca="false">CJ64+(Inputs!$F$96+Inputs!$F$97)*CJ40*(1-Time!CJ23)*(1-Time!CJ20)+CJ66-CJ39</f>
        <v>6.41963480870637</v>
      </c>
      <c r="CK68" s="19" t="n">
        <f aca="false">CK64+(Inputs!$F$96+Inputs!$F$97)*CK40*(1-Time!CK23)*(1-Time!CK20)+CK66-CK39</f>
        <v>0</v>
      </c>
      <c r="CL68" s="19" t="n">
        <f aca="false">CL64+(Inputs!$F$96+Inputs!$F$97)*CL40*(1-Time!CL23)*(1-Time!CL20)+CL66-CL39</f>
        <v>0</v>
      </c>
      <c r="CM68" s="19" t="n">
        <f aca="false">CM64+(Inputs!$F$96+Inputs!$F$97)*CM40*(1-Time!CM23)*(1-Time!CM20)+CM66-CM39</f>
        <v>0</v>
      </c>
      <c r="CN68" s="19" t="n">
        <f aca="false">CN64+(Inputs!$F$96+Inputs!$F$97)*CN40*(1-Time!CN23)*(1-Time!CN20)+CN66-CN39</f>
        <v>0</v>
      </c>
      <c r="CO68" s="19" t="n">
        <f aca="false">CO64+(Inputs!$F$96+Inputs!$F$97)*CO40*(1-Time!CO23)*(1-Time!CO20)+CO66-CO39</f>
        <v>0</v>
      </c>
      <c r="CP68" s="19" t="n">
        <f aca="false">CP64+(Inputs!$F$96+Inputs!$F$97)*CP40*(1-Time!CP23)*(1-Time!CP20)+CP66-CP39</f>
        <v>0</v>
      </c>
      <c r="CQ68" s="19" t="n">
        <f aca="false">CQ64+(Inputs!$F$96+Inputs!$F$97)*CQ40*(1-Time!CQ23)*(1-Time!CQ20)+CQ66-CQ39</f>
        <v>0</v>
      </c>
      <c r="CR68" s="19" t="n">
        <f aca="false">CR64+(Inputs!$F$96+Inputs!$F$97)*CR40*(1-Time!CR23)*(1-Time!CR20)+CR66-CR39</f>
        <v>0</v>
      </c>
      <c r="CS68" s="19" t="n">
        <f aca="false">CS64+(Inputs!$F$96+Inputs!$F$97)*CS40*(1-Time!CS23)*(1-Time!CS20)+CS66-CS39</f>
        <v>0</v>
      </c>
      <c r="CT68" s="19" t="n">
        <f aca="false">CT64+(Inputs!$F$96+Inputs!$F$97)*CT40*(1-Time!CT23)*(1-Time!CT20)+CT66-CT39</f>
        <v>0</v>
      </c>
      <c r="CU68" s="19" t="n">
        <f aca="false">CU64+(Inputs!$F$96+Inputs!$F$97)*CU40*(1-Time!CU23)*(1-Time!CU20)+CU66-CU39</f>
        <v>0</v>
      </c>
      <c r="CV68" s="19" t="n">
        <f aca="false">CV64+(Inputs!$F$96+Inputs!$F$97)*CV40*(1-Time!CV23)*(1-Time!CV20)+CV66-CV39</f>
        <v>0</v>
      </c>
      <c r="CW68" s="19" t="n">
        <f aca="false">CW64+(Inputs!$F$96+Inputs!$F$97)*CW40*(1-Time!CW23)*(1-Time!CW20)+CW66-CW39</f>
        <v>0</v>
      </c>
      <c r="CX68" s="19" t="n">
        <f aca="false">CX64+(Inputs!$F$96+Inputs!$F$97)*CX40*(1-Time!CX23)*(1-Time!CX20)+CX66-CX39</f>
        <v>0</v>
      </c>
      <c r="CY68" s="19" t="n">
        <f aca="false">CY64+(Inputs!$F$96+Inputs!$F$97)*CY40*(1-Time!CY23)*(1-Time!CY20)+CY66-CY39</f>
        <v>0</v>
      </c>
      <c r="CZ68" s="19" t="n">
        <f aca="false">CZ64+(Inputs!$F$96+Inputs!$F$97)*CZ40*(1-Time!CZ23)*(1-Time!CZ20)+CZ66-CZ39</f>
        <v>0</v>
      </c>
      <c r="DA68" s="19" t="n">
        <f aca="false">DA64+(Inputs!$F$96+Inputs!$F$97)*DA40*(1-Time!DA23)*(1-Time!DA20)+DA66-DA39</f>
        <v>0</v>
      </c>
      <c r="DB68" s="19" t="n">
        <f aca="false">DB64+(Inputs!$F$96+Inputs!$F$97)*DB40*(1-Time!DB23)*(1-Time!DB20)+DB66-DB39</f>
        <v>0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840.268592124049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840.268592124049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31.1547824752479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31.1547824752479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809.113809648801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809.113809648801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614.926495333089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614.926495333089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80.9113809648801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80.9113809648801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113.275933350832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113.275933350832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771.192020790705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771.192020790705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614.926495333089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0.975134080936129</v>
      </c>
      <c r="AK83" s="27" t="n">
        <f aca="false">IF(Time!AK37=1,IF(Time!AJ37=1,AJ83,1)/(1+AK10),0)</f>
        <v>0.950886475803148</v>
      </c>
      <c r="AL83" s="27" t="n">
        <f aca="false">IF(Time!AL37=1,IF(Time!AK37=1,AK83,1)/(1+AL10),0)</f>
        <v>0.927241809656897</v>
      </c>
      <c r="AM83" s="27" t="n">
        <f aca="false">IF(Time!AM37=1,IF(Time!AL37=1,AL83,1)/(1+AM10),0)</f>
        <v>0.904185089865331</v>
      </c>
      <c r="AN83" s="27" t="n">
        <f aca="false">IF(Time!AN37=1,IF(Time!AM37=1,AM83,1)/(1+AN10),0)</f>
        <v>0.881701696601981</v>
      </c>
      <c r="AO83" s="27" t="n">
        <f aca="false">IF(Time!AO37=1,IF(Time!AN37=1,AN83,1)/(1+AO10),0)</f>
        <v>0.859777373575798</v>
      </c>
      <c r="AP83" s="27" t="n">
        <f aca="false">IF(Time!AP37=1,IF(Time!AO37=1,AO83,1)/(1+AP10),0)</f>
        <v>0.838398218991514</v>
      </c>
      <c r="AQ83" s="27" t="n">
        <f aca="false">IF(Time!AQ37=1,IF(Time!AP37=1,AP83,1)/(1+AQ10),0)</f>
        <v>0.817550676734777</v>
      </c>
      <c r="AR83" s="27" t="n">
        <f aca="false">IF(Time!AR37=1,IF(Time!AQ37=1,AQ83,1)/(1+AR10),0)</f>
        <v>0.797221527776477</v>
      </c>
      <c r="AS83" s="27" t="n">
        <f aca="false">IF(Time!AS37=1,IF(Time!AR37=1,AR83,1)/(1+AS10),0)</f>
        <v>0.777397881790811</v>
      </c>
      <c r="AT83" s="27" t="n">
        <f aca="false">IF(Time!AT37=1,IF(Time!AS37=1,AS83,1)/(1+AT10),0)</f>
        <v>0.758067168981776</v>
      </c>
      <c r="AU83" s="27" t="n">
        <f aca="false">IF(Time!AU37=1,IF(Time!AT37=1,AT83,1)/(1+AU10),0)</f>
        <v>0.739217132112897</v>
      </c>
      <c r="AV83" s="27" t="n">
        <f aca="false">IF(Time!AV37=1,IF(Time!AU37=1,AU83,1)/(1+AV10),0)</f>
        <v>0.720835818735151</v>
      </c>
      <c r="AW83" s="27" t="n">
        <f aca="false">IF(Time!AW37=1,IF(Time!AV37=1,AV83,1)/(1+AW10),0)</f>
        <v>0.702911573608143</v>
      </c>
      <c r="AX83" s="27" t="n">
        <f aca="false">IF(Time!AX37=1,IF(Time!AW37=1,AW83,1)/(1+AX10),0)</f>
        <v>0.685433031309744</v>
      </c>
      <c r="AY83" s="27" t="n">
        <f aca="false">IF(Time!AY37=1,IF(Time!AX37=1,AX83,1)/(1+AY10),0)</f>
        <v>0.668389109029492</v>
      </c>
      <c r="AZ83" s="27" t="n">
        <f aca="false">IF(Time!AZ37=1,IF(Time!AY37=1,AY83,1)/(1+AZ10),0)</f>
        <v>0.651768999541192</v>
      </c>
      <c r="BA83" s="27" t="n">
        <f aca="false">IF(Time!BA37=1,IF(Time!AZ37=1,AZ83,1)/(1+BA10),0)</f>
        <v>0.63556216435026</v>
      </c>
      <c r="BB83" s="27" t="n">
        <f aca="false">IF(Time!BB37=1,IF(Time!BA37=1,BA83,1)/(1+BB10),0)</f>
        <v>0.619758327011468</v>
      </c>
      <c r="BC83" s="27" t="n">
        <f aca="false">IF(Time!BC37=1,IF(Time!BB37=1,BB83,1)/(1+BC10),0)</f>
        <v>0.60434746661284</v>
      </c>
      <c r="BD83" s="27" t="n">
        <f aca="false">IF(Time!BD37=1,IF(Time!BC37=1,BC83,1)/(1+BD10),0)</f>
        <v>0.58931981142159</v>
      </c>
      <c r="BE83" s="27" t="n">
        <f aca="false">IF(Time!BE37=1,IF(Time!BD37=1,BD83,1)/(1+BE10),0)</f>
        <v>0.574665832688045</v>
      </c>
      <c r="BF83" s="27" t="n">
        <f aca="false">IF(Time!BF37=1,IF(Time!BE37=1,BE83,1)/(1+BF10),0)</f>
        <v>0.560376238603651</v>
      </c>
      <c r="BG83" s="27" t="n">
        <f aca="false">IF(Time!BG37=1,IF(Time!BF37=1,BF83,1)/(1+BG10),0)</f>
        <v>0.546441968409216</v>
      </c>
      <c r="BH83" s="27" t="n">
        <f aca="false">IF(Time!BH37=1,IF(Time!BG37=1,BG83,1)/(1+BH10),0)</f>
        <v>0.53285418664965</v>
      </c>
      <c r="BI83" s="27" t="n">
        <f aca="false">IF(Time!BI37=1,IF(Time!BH37=1,BH83,1)/(1+BI10),0)</f>
        <v>0.519604277571575</v>
      </c>
      <c r="BJ83" s="27" t="n">
        <f aca="false">IF(Time!BJ37=1,IF(Time!BI37=1,BI83,1)/(1+BJ10),0)</f>
        <v>0.506683839660239</v>
      </c>
      <c r="BK83" s="27" t="n">
        <f aca="false">IF(Time!BK37=1,IF(Time!BJ37=1,BJ83,1)/(1+BK10),0)</f>
        <v>0.494084680312276</v>
      </c>
      <c r="BL83" s="27" t="n">
        <f aca="false">IF(Time!BL37=1,IF(Time!BK37=1,BK83,1)/(1+BL10),0)</f>
        <v>0.481798810640932</v>
      </c>
      <c r="BM83" s="27" t="n">
        <f aca="false">IF(Time!BM37=1,IF(Time!BL37=1,BL83,1)/(1+BM10),0)</f>
        <v>0.469818440410465</v>
      </c>
      <c r="BN83" s="27" t="n">
        <f aca="false">IF(Time!BN37=1,IF(Time!BM37=1,BM83,1)/(1+BN10),0)</f>
        <v>0.458135973096504</v>
      </c>
      <c r="BO83" s="27" t="n">
        <f aca="false">IF(Time!BO37=1,IF(Time!BN37=1,BN83,1)/(1+BO10),0)</f>
        <v>0.446744001069239</v>
      </c>
      <c r="BP83" s="27" t="n">
        <f aca="false">IF(Time!BP37=1,IF(Time!BO37=1,BO83,1)/(1+BP10),0)</f>
        <v>0.435635300896381</v>
      </c>
      <c r="BQ83" s="27" t="n">
        <f aca="false">IF(Time!BQ37=1,IF(Time!BP37=1,BP83,1)/(1+BQ10),0)</f>
        <v>0.424802828762926</v>
      </c>
      <c r="BR83" s="27" t="n">
        <f aca="false">IF(Time!BR37=1,IF(Time!BQ37=1,BQ83,1)/(1+BR10),0)</f>
        <v>0.414239716004804</v>
      </c>
      <c r="BS83" s="27" t="n">
        <f aca="false">IF(Time!BS37=1,IF(Time!BR37=1,BR83,1)/(1+BS10),0)</f>
        <v>0.403939264753587</v>
      </c>
      <c r="BT83" s="27" t="n">
        <f aca="false">IF(Time!BT37=1,IF(Time!BS37=1,BS83,1)/(1+BT10),0)</f>
        <v>0.393894943689505</v>
      </c>
      <c r="BU83" s="27" t="n">
        <f aca="false">IF(Time!BU37=1,IF(Time!BT37=1,BT83,1)/(1+BU10),0)</f>
        <v>0.384100383900053</v>
      </c>
      <c r="BV83" s="27" t="n">
        <f aca="false">IF(Time!BV37=1,IF(Time!BU37=1,BU83,1)/(1+BV10),0)</f>
        <v>0.374549374841593</v>
      </c>
      <c r="BW83" s="27" t="n">
        <f aca="false">IF(Time!BW37=1,IF(Time!BV37=1,BV83,1)/(1+BW10),0)</f>
        <v>0.365235860401358</v>
      </c>
      <c r="BX83" s="27" t="n">
        <f aca="false">IF(Time!BX37=1,IF(Time!BW37=1,BW83,1)/(1+BX10),0)</f>
        <v>0.356153935057395</v>
      </c>
      <c r="BY83" s="27" t="n">
        <f aca="false">IF(Time!BY37=1,IF(Time!BX37=1,BX83,1)/(1+BY10),0)</f>
        <v>0.347297840133978</v>
      </c>
      <c r="BZ83" s="27" t="n">
        <f aca="false">IF(Time!BZ37=1,IF(Time!BY37=1,BY83,1)/(1+BZ10),0)</f>
        <v>0.338661960150149</v>
      </c>
      <c r="CA83" s="27" t="n">
        <f aca="false">IF(Time!CA37=1,IF(Time!BZ37=1,BZ83,1)/(1+CA10),0)</f>
        <v>0.330240819259044</v>
      </c>
      <c r="CB83" s="27" t="n">
        <f aca="false">IF(Time!CB37=1,IF(Time!CA37=1,CA83,1)/(1+CB10),0)</f>
        <v>0.322029077775762</v>
      </c>
      <c r="CC83" s="27" t="n">
        <f aca="false">IF(Time!CC37=1,IF(Time!CB37=1,CB83,1)/(1+CC10),0)</f>
        <v>0.314021528791576</v>
      </c>
      <c r="CD83" s="27" t="n">
        <f aca="false">IF(Time!CD37=1,IF(Time!CC37=1,CC83,1)/(1+CD10),0)</f>
        <v>0.306213094872332</v>
      </c>
      <c r="CE83" s="27" t="n">
        <f aca="false">IF(Time!CE37=1,IF(Time!CD37=1,CD83,1)/(1+CE10),0)</f>
        <v>0.298598824838939</v>
      </c>
      <c r="CF83" s="27" t="n">
        <f aca="false">IF(Time!CF37=1,IF(Time!CE37=1,CE83,1)/(1+CF10),0)</f>
        <v>0.291173890627927</v>
      </c>
      <c r="CG83" s="27" t="n">
        <f aca="false">IF(Time!CG37=1,IF(Time!CF37=1,CF83,1)/(1+CG10),0)</f>
        <v>0.28393358423006</v>
      </c>
      <c r="CH83" s="27" t="n">
        <f aca="false">IF(Time!CH37=1,IF(Time!CG37=1,CG83,1)/(1+CH10),0)</f>
        <v>0.276873314705081</v>
      </c>
      <c r="CI83" s="27" t="n">
        <f aca="false">IF(Time!CI37=1,IF(Time!CH37=1,CH83,1)/(1+CI10),0)</f>
        <v>0.269988605270678</v>
      </c>
      <c r="CJ83" s="27" t="n">
        <f aca="false">IF(Time!CJ37=1,IF(Time!CI37=1,CI83,1)/(1+CJ10),0)</f>
        <v>0.26327509046385</v>
      </c>
      <c r="CK83" s="27" t="n">
        <f aca="false">IF(Time!CK37=1,IF(Time!CJ37=1,CJ83,1)/(1+CK10),0)</f>
        <v>0.256728513372843</v>
      </c>
      <c r="CL83" s="27" t="n">
        <f aca="false">IF(Time!CL37=1,IF(Time!CK37=1,CK83,1)/(1+CL10),0)</f>
        <v>0.250344722937926</v>
      </c>
      <c r="CM83" s="27" t="n">
        <f aca="false">IF(Time!CM37=1,IF(Time!CL37=1,CL83,1)/(1+CM10),0)</f>
        <v>0.244119671319284</v>
      </c>
      <c r="CN83" s="27" t="n">
        <f aca="false">IF(Time!CN37=1,IF(Time!CM37=1,CM83,1)/(1+CN10),0)</f>
        <v>0.23804941133036</v>
      </c>
      <c r="CO83" s="27" t="n">
        <f aca="false">IF(Time!CO37=1,IF(Time!CN37=1,CN83,1)/(1+CO10),0)</f>
        <v>0.232130093935017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614.926495333089</v>
      </c>
      <c r="AK84" s="19" t="n">
        <f aca="false">IF(Time!AK36=1,$F$81,AJ89)</f>
        <v>607.070383164091</v>
      </c>
      <c r="AL84" s="19" t="n">
        <f aca="false">IF(Time!AL36=1,$F$81,AK89)</f>
        <v>596.349038607287</v>
      </c>
      <c r="AM84" s="19" t="n">
        <f aca="false">IF(Time!AM36=1,$F$81,AL89)</f>
        <v>585.628770083335</v>
      </c>
      <c r="AN84" s="19" t="n">
        <f aca="false">IF(Time!AN36=1,$F$81,AM89)</f>
        <v>572.407144117053</v>
      </c>
      <c r="AO84" s="19" t="n">
        <f aca="false">IF(Time!AO36=1,$F$81,AN89)</f>
        <v>559.574748142923</v>
      </c>
      <c r="AP84" s="19" t="n">
        <f aca="false">IF(Time!AP36=1,$F$81,AO89)</f>
        <v>541.956133309864</v>
      </c>
      <c r="AQ84" s="19" t="n">
        <f aca="false">IF(Time!AQ36=1,$F$81,AP89)</f>
        <v>523.541109123295</v>
      </c>
      <c r="AR84" s="19" t="n">
        <f aca="false">IF(Time!AR36=1,$F$81,AQ89)</f>
        <v>511.346322869689</v>
      </c>
      <c r="AS84" s="19" t="n">
        <f aca="false">IF(Time!AS36=1,$F$81,AR89)</f>
        <v>499.565328770001</v>
      </c>
      <c r="AT84" s="19" t="n">
        <f aca="false">IF(Time!AT36=1,$F$81,AS89)</f>
        <v>487.175509699415</v>
      </c>
      <c r="AU84" s="19" t="n">
        <f aca="false">IF(Time!AU36=1,$F$81,AT89)</f>
        <v>474.334481843356</v>
      </c>
      <c r="AV84" s="19" t="n">
        <f aca="false">IF(Time!AV36=1,$F$81,AU89)</f>
        <v>459.918084099751</v>
      </c>
      <c r="AW84" s="19" t="n">
        <f aca="false">IF(Time!AW36=1,$F$81,AV89)</f>
        <v>444.990121701168</v>
      </c>
      <c r="AX84" s="19" t="n">
        <f aca="false">IF(Time!AX36=1,$F$81,AW89)</f>
        <v>422.788013928513</v>
      </c>
      <c r="AY84" s="19" t="n">
        <f aca="false">IF(Time!AY36=1,$F$81,AX89)</f>
        <v>399.972052499359</v>
      </c>
      <c r="AZ84" s="19" t="n">
        <f aca="false">IF(Time!AZ36=1,$F$81,AY89)</f>
        <v>377.814562639206</v>
      </c>
      <c r="BA84" s="19" t="n">
        <f aca="false">IF(Time!BA36=1,$F$81,AZ89)</f>
        <v>354.807366180936</v>
      </c>
      <c r="BB84" s="19" t="n">
        <f aca="false">IF(Time!BB36=1,$F$81,BA89)</f>
        <v>331.74166033751</v>
      </c>
      <c r="BC84" s="19" t="n">
        <f aca="false">IF(Time!BC36=1,$F$81,BB89)</f>
        <v>309.702442386132</v>
      </c>
      <c r="BD84" s="19" t="n">
        <f aca="false">IF(Time!BD36=1,$F$81,BC89)</f>
        <v>274.405400496978</v>
      </c>
      <c r="BE84" s="19" t="n">
        <f aca="false">IF(Time!BE36=1,$F$81,BD89)</f>
        <v>238.150947769707</v>
      </c>
      <c r="BF84" s="19" t="n">
        <f aca="false">IF(Time!BF36=1,$F$81,BE89)</f>
        <v>195.639586566651</v>
      </c>
      <c r="BG84" s="19" t="n">
        <f aca="false">IF(Time!BG36=1,$F$81,BF89)</f>
        <v>154.084664536977</v>
      </c>
      <c r="BH84" s="19" t="n">
        <f aca="false">IF(Time!BH36=1,$F$81,BG89)</f>
        <v>113.151462776427</v>
      </c>
      <c r="BI84" s="19" t="n">
        <f aca="false">IF(Time!BI36=1,$F$81,BH89)</f>
        <v>71.0335193920016</v>
      </c>
      <c r="BJ84" s="19" t="n">
        <f aca="false">IF(Time!BJ36=1,$F$81,BI89)</f>
        <v>26.3817995366676</v>
      </c>
      <c r="BK84" s="19" t="n">
        <f aca="false">IF(Time!BK36=1,$F$81,BJ89)</f>
        <v>-19.3092920102666</v>
      </c>
      <c r="BL84" s="19" t="n">
        <f aca="false">IF(Time!BL36=1,$F$81,BK89)</f>
        <v>-67.9285572471568</v>
      </c>
      <c r="BM84" s="19" t="n">
        <f aca="false">IF(Time!BM36=1,$F$81,BL89)</f>
        <v>-117.683398416937</v>
      </c>
      <c r="BN84" s="19" t="n">
        <f aca="false">IF(Time!BN36=1,$F$81,BM89)</f>
        <v>-170.540571696002</v>
      </c>
      <c r="BO84" s="19" t="n">
        <f aca="false">IF(Time!BO36=1,$F$81,BN89)</f>
        <v>-224.635898501827</v>
      </c>
      <c r="BP84" s="19" t="n">
        <f aca="false">IF(Time!BP36=1,$F$81,BO89)</f>
        <v>-267.062088966217</v>
      </c>
      <c r="BQ84" s="19" t="n">
        <f aca="false">IF(Time!BQ36=1,$F$81,BP89)</f>
        <v>-310.786069204365</v>
      </c>
      <c r="BR84" s="19" t="n">
        <f aca="false">IF(Time!BR36=1,$F$81,BQ89)</f>
        <v>-357.390195396863</v>
      </c>
      <c r="BS84" s="19" t="n">
        <f aca="false">IF(Time!BS36=1,$F$81,BR89)</f>
        <v>-404.680869667905</v>
      </c>
      <c r="BT84" s="19" t="n">
        <f aca="false">IF(Time!BT36=1,$F$81,BS89)</f>
        <v>-455.230056800103</v>
      </c>
      <c r="BU84" s="19" t="n">
        <f aca="false">IF(Time!BU36=1,$F$81,BT89)</f>
        <v>-506.546841067122</v>
      </c>
      <c r="BV84" s="19" t="n">
        <f aca="false">IF(Time!BV36=1,$F$81,BU89)</f>
        <v>-588.573351585613</v>
      </c>
      <c r="BW84" s="19" t="n">
        <f aca="false">IF(Time!BW36=1,$F$81,BV89)</f>
        <v>-672.091144648111</v>
      </c>
      <c r="BX84" s="19" t="n">
        <f aca="false">IF(Time!BX36=1,$F$81,BW89)</f>
        <v>-749.634019757551</v>
      </c>
      <c r="BY84" s="19" t="n">
        <f aca="false">IF(Time!BY36=1,$F$81,BX89)</f>
        <v>-826.624676627253</v>
      </c>
      <c r="BZ84" s="19" t="n">
        <f aca="false">IF(Time!BZ36=1,$F$81,BY89)</f>
        <v>-907.441926769958</v>
      </c>
      <c r="CA84" s="19" t="n">
        <f aca="false">IF(Time!CA36=1,$F$81,BZ89)</f>
        <v>-989.671381468</v>
      </c>
      <c r="CB84" s="19" t="n">
        <f aca="false">IF(Time!CB36=1,$F$81,CA89)</f>
        <v>-1066.57787542353</v>
      </c>
      <c r="CC84" s="19" t="n">
        <f aca="false">IF(Time!CC36=1,$F$81,CB89)</f>
        <v>-1144.80841975114</v>
      </c>
      <c r="CD84" s="19" t="n">
        <f aca="false">IF(Time!CD36=1,$F$81,CC89)</f>
        <v>-1227.38538101884</v>
      </c>
      <c r="CE84" s="19" t="n">
        <f aca="false">IF(Time!CE36=1,$F$81,CD89)</f>
        <v>-1311.40701357735</v>
      </c>
      <c r="CF84" s="19" t="n">
        <f aca="false">IF(Time!CF36=1,$F$81,CE89)</f>
        <v>-1395.3133532465</v>
      </c>
      <c r="CG84" s="19" t="n">
        <f aca="false">IF(Time!CG36=1,$F$81,CF89)</f>
        <v>-1481.0400335281</v>
      </c>
      <c r="CH84" s="19" t="n">
        <f aca="false">IF(Time!CH36=1,$F$81,CG89)</f>
        <v>-1598.13641689492</v>
      </c>
      <c r="CI84" s="19" t="n">
        <f aca="false">IF(Time!CI36=1,$F$81,CH89)</f>
        <v>-1700.03770103286</v>
      </c>
      <c r="CJ84" s="19" t="n">
        <f aca="false">IF(Time!CJ36=1,$F$81,CI89)</f>
        <v>-1807.0831369614</v>
      </c>
      <c r="CK84" s="19" t="n">
        <f aca="false">IF(Time!CK36=1,$F$81,CJ89)</f>
        <v>-1916.09390098244</v>
      </c>
      <c r="CL84" s="19" t="n">
        <f aca="false">IF(Time!CL36=1,$F$81,CK89)</f>
        <v>-2043.70436346751</v>
      </c>
      <c r="CM84" s="19" t="n">
        <f aca="false">IF(Time!CM36=1,$F$81,CL89)</f>
        <v>-2165.51271983962</v>
      </c>
      <c r="CN84" s="19" t="n">
        <f aca="false">IF(Time!CN36=1,$F$81,CM89)</f>
        <v>-2278.33568055023</v>
      </c>
      <c r="CO84" s="19" t="n">
        <f aca="false">IF(Time!CO36=1,$F$81,CN89)</f>
        <v>-2393.79574064178</v>
      </c>
      <c r="CP84" s="19" t="n">
        <f aca="false">IF(Time!CP36=1,$F$81,CO89)</f>
        <v>-2514.76198248987</v>
      </c>
      <c r="CQ84" s="19" t="n">
        <f aca="false">IF(Time!CQ36=1,$F$81,CP89)</f>
        <v>-2514.76198248987</v>
      </c>
      <c r="CR84" s="19" t="n">
        <f aca="false">IF(Time!CR36=1,$F$81,CQ89)</f>
        <v>-2514.76198248987</v>
      </c>
      <c r="CS84" s="19" t="n">
        <f aca="false">IF(Time!CS36=1,$F$81,CR89)</f>
        <v>-2514.76198248987</v>
      </c>
      <c r="CT84" s="19" t="n">
        <f aca="false">IF(Time!CT36=1,$F$81,CS89)</f>
        <v>-2514.76198248987</v>
      </c>
      <c r="CU84" s="19" t="n">
        <f aca="false">IF(Time!CU36=1,$F$81,CT89)</f>
        <v>-2514.76198248987</v>
      </c>
      <c r="CV84" s="19" t="n">
        <f aca="false">IF(Time!CV36=1,$F$81,CU89)</f>
        <v>-2514.76198248987</v>
      </c>
      <c r="CW84" s="19" t="n">
        <f aca="false">IF(Time!CW36=1,$F$81,CV89)</f>
        <v>-2514.76198248987</v>
      </c>
      <c r="CX84" s="19" t="n">
        <f aca="false">IF(Time!CX36=1,$F$81,CW89)</f>
        <v>-2514.76198248987</v>
      </c>
      <c r="CY84" s="19" t="n">
        <f aca="false">IF(Time!CY36=1,$F$81,CX89)</f>
        <v>-2514.76198248987</v>
      </c>
      <c r="CZ84" s="19" t="n">
        <f aca="false">IF(Time!CZ36=1,$F$81,CY89)</f>
        <v>-2514.76198248987</v>
      </c>
      <c r="DA84" s="19" t="n">
        <f aca="false">IF(Time!DA36=1,$F$81,CZ89)</f>
        <v>-2514.76198248987</v>
      </c>
      <c r="DB84" s="19" t="n">
        <f aca="false">IF(Time!DB36=1,$F$81,DA89)</f>
        <v>-2514.76198248987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-1354.26702282971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15.6806256309938</v>
      </c>
      <c r="AK85" s="19" t="n">
        <f aca="false">AK84*AK10</f>
        <v>15.4802947706843</v>
      </c>
      <c r="AL85" s="19" t="n">
        <f aca="false">AL84*AL10</f>
        <v>15.2069004844858</v>
      </c>
      <c r="AM85" s="19" t="n">
        <f aca="false">AM84*AM10</f>
        <v>14.9335336371251</v>
      </c>
      <c r="AN85" s="19" t="n">
        <f aca="false">AN84*AN10</f>
        <v>14.5963821749848</v>
      </c>
      <c r="AO85" s="19" t="n">
        <f aca="false">AO84*AO10</f>
        <v>14.2691560776445</v>
      </c>
      <c r="AP85" s="19" t="n">
        <f aca="false">AP84*AP10</f>
        <v>13.8198813994015</v>
      </c>
      <c r="AQ85" s="19" t="n">
        <f aca="false">AQ84*AQ10</f>
        <v>13.350298282644</v>
      </c>
      <c r="AR85" s="19" t="n">
        <f aca="false">AR84*AR10</f>
        <v>13.0393312331771</v>
      </c>
      <c r="AS85" s="19" t="n">
        <f aca="false">AS84*AS10</f>
        <v>12.738915883635</v>
      </c>
      <c r="AT85" s="19" t="n">
        <f aca="false">AT84*AT10</f>
        <v>12.4229754973351</v>
      </c>
      <c r="AU85" s="19" t="n">
        <f aca="false">AU84*AU10</f>
        <v>12.0955292870056</v>
      </c>
      <c r="AV85" s="19" t="n">
        <f aca="false">AV84*AV10</f>
        <v>11.7279111445436</v>
      </c>
      <c r="AW85" s="19" t="n">
        <f aca="false">AW84*AW10</f>
        <v>11.3472481033798</v>
      </c>
      <c r="AX85" s="19" t="n">
        <f aca="false">AX84*AX10</f>
        <v>10.7810943551771</v>
      </c>
      <c r="AY85" s="19" t="n">
        <f aca="false">AY84*AY10</f>
        <v>10.1992873387337</v>
      </c>
      <c r="AZ85" s="19" t="n">
        <f aca="false">AZ84*AZ10</f>
        <v>9.63427134729976</v>
      </c>
      <c r="BA85" s="19" t="n">
        <f aca="false">BA84*BA10</f>
        <v>9.04758783761387</v>
      </c>
      <c r="BB85" s="19" t="n">
        <f aca="false">BB84*BB10</f>
        <v>8.45941233860649</v>
      </c>
      <c r="BC85" s="19" t="n">
        <f aca="false">BC84*BC10</f>
        <v>7.89741228084635</v>
      </c>
      <c r="BD85" s="19" t="n">
        <f aca="false">BD84*BD10</f>
        <v>6.99733771267295</v>
      </c>
      <c r="BE85" s="19" t="n">
        <f aca="false">BE84*BE10</f>
        <v>6.07284916812754</v>
      </c>
      <c r="BF85" s="19" t="n">
        <f aca="false">BF84*BF10</f>
        <v>4.98880945744959</v>
      </c>
      <c r="BG85" s="19" t="n">
        <f aca="false">BG84*BG10</f>
        <v>3.92915894569292</v>
      </c>
      <c r="BH85" s="19" t="n">
        <f aca="false">BH84*BH10</f>
        <v>2.8853623007989</v>
      </c>
      <c r="BI85" s="19" t="n">
        <f aca="false">BI84*BI10</f>
        <v>1.81135474449604</v>
      </c>
      <c r="BJ85" s="19" t="n">
        <f aca="false">BJ84*BJ10</f>
        <v>0.672735888185023</v>
      </c>
      <c r="BK85" s="19" t="n">
        <f aca="false">BK84*BK10</f>
        <v>-0.492386946261798</v>
      </c>
      <c r="BL85" s="19" t="n">
        <f aca="false">BL84*BL10</f>
        <v>-1.7321782098025</v>
      </c>
      <c r="BM85" s="19" t="n">
        <f aca="false">BM84*BM10</f>
        <v>-3.0009266596319</v>
      </c>
      <c r="BN85" s="19" t="n">
        <f aca="false">BN84*BN10</f>
        <v>-4.34878457824806</v>
      </c>
      <c r="BO85" s="19" t="n">
        <f aca="false">BO84*BO10</f>
        <v>-5.72821541179659</v>
      </c>
      <c r="BP85" s="19" t="n">
        <f aca="false">BP84*BP10</f>
        <v>-6.81008326863854</v>
      </c>
      <c r="BQ85" s="19" t="n">
        <f aca="false">BQ84*BQ10</f>
        <v>-7.9250447647113</v>
      </c>
      <c r="BR85" s="19" t="n">
        <f aca="false">BR84*BR10</f>
        <v>-9.11344998262001</v>
      </c>
      <c r="BS85" s="19" t="n">
        <f aca="false">BS84*BS10</f>
        <v>-10.3193621765316</v>
      </c>
      <c r="BT85" s="19" t="n">
        <f aca="false">BT84*BT10</f>
        <v>-11.6083664484026</v>
      </c>
      <c r="BU85" s="19" t="n">
        <f aca="false">BU84*BU10</f>
        <v>-12.9169444472116</v>
      </c>
      <c r="BV85" s="19" t="n">
        <f aca="false">BV84*BV10</f>
        <v>-15.0086204654331</v>
      </c>
      <c r="BW85" s="19" t="n">
        <f aca="false">BW84*BW10</f>
        <v>-17.1383241885268</v>
      </c>
      <c r="BX85" s="19" t="n">
        <f aca="false">BX84*BX10</f>
        <v>-19.1156675038176</v>
      </c>
      <c r="BY85" s="19" t="n">
        <f aca="false">BY84*BY10</f>
        <v>-21.0789292539949</v>
      </c>
      <c r="BZ85" s="19" t="n">
        <f aca="false">BZ84*BZ10</f>
        <v>-23.1397691326339</v>
      </c>
      <c r="CA85" s="19" t="n">
        <f aca="false">CA84*CA10</f>
        <v>-25.236620227434</v>
      </c>
      <c r="CB85" s="19" t="n">
        <f aca="false">CB84*CB10</f>
        <v>-27.1977358233</v>
      </c>
      <c r="CC85" s="19" t="n">
        <f aca="false">CC84*CC10</f>
        <v>-29.1926147036541</v>
      </c>
      <c r="CD85" s="19" t="n">
        <f aca="false">CD84*CD10</f>
        <v>-31.2983272159804</v>
      </c>
      <c r="CE85" s="19" t="n">
        <f aca="false">CE84*CE10</f>
        <v>-33.4408788462224</v>
      </c>
      <c r="CF85" s="19" t="n">
        <f aca="false">CF84*CF10</f>
        <v>-35.5804905077858</v>
      </c>
      <c r="CG85" s="19" t="n">
        <f aca="false">CG84*CG10</f>
        <v>-37.7665208549667</v>
      </c>
      <c r="CH85" s="19" t="n">
        <f aca="false">CH84*CH10</f>
        <v>-40.7524786308205</v>
      </c>
      <c r="CI85" s="19" t="n">
        <f aca="false">CI84*CI10</f>
        <v>-43.350961376338</v>
      </c>
      <c r="CJ85" s="19" t="n">
        <f aca="false">CJ84*CJ10</f>
        <v>-46.0806199925158</v>
      </c>
      <c r="CK85" s="19" t="n">
        <f aca="false">CK84*CK10</f>
        <v>-48.8603944750523</v>
      </c>
      <c r="CL85" s="19" t="n">
        <f aca="false">CL84*CL10</f>
        <v>-52.1144612684215</v>
      </c>
      <c r="CM85" s="19" t="n">
        <f aca="false">CM84*CM10</f>
        <v>-55.2205743559103</v>
      </c>
      <c r="CN85" s="19" t="n">
        <f aca="false">CN84*CN10</f>
        <v>-58.0975598540309</v>
      </c>
      <c r="CO85" s="19" t="n">
        <f aca="false">CO84*CO10</f>
        <v>-61.0417913863655</v>
      </c>
      <c r="CP85" s="19" t="n">
        <f aca="false">CP84*CP10</f>
        <v>-64.1264305534916</v>
      </c>
      <c r="CQ85" s="19" t="n">
        <f aca="false">CQ84*CQ10</f>
        <v>-64.1264305534916</v>
      </c>
      <c r="CR85" s="19" t="n">
        <f aca="false">CR84*CR10</f>
        <v>-64.1264305534916</v>
      </c>
      <c r="CS85" s="19" t="n">
        <f aca="false">CS84*CS10</f>
        <v>-64.1264305534916</v>
      </c>
      <c r="CT85" s="19" t="n">
        <f aca="false">CT84*CT10</f>
        <v>-64.1264305534916</v>
      </c>
      <c r="CU85" s="19" t="n">
        <f aca="false">CU84*CU10</f>
        <v>-64.1264305534916</v>
      </c>
      <c r="CV85" s="19" t="n">
        <f aca="false">CV84*CV10</f>
        <v>-64.1264305534916</v>
      </c>
      <c r="CW85" s="19" t="n">
        <f aca="false">CW84*CW10</f>
        <v>-64.1264305534916</v>
      </c>
      <c r="CX85" s="19" t="n">
        <f aca="false">CX84*CX10</f>
        <v>-64.1264305534916</v>
      </c>
      <c r="CY85" s="19" t="n">
        <f aca="false">CY84*CY10</f>
        <v>-64.1264305534916</v>
      </c>
      <c r="CZ85" s="19" t="n">
        <f aca="false">CZ84*CZ10</f>
        <v>-64.1264305534916</v>
      </c>
      <c r="DA85" s="19" t="n">
        <f aca="false">DA84*DA10</f>
        <v>-64.1264305534916</v>
      </c>
      <c r="DB85" s="19" t="n">
        <f aca="false">DB84*DB10</f>
        <v>-64.1264305534916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2609.06505218863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23.5367377999915</v>
      </c>
      <c r="AK87" s="19" t="n">
        <f aca="false">IF(Time!AK37=1,MAX(AK85,AK13/$F$90),0)</f>
        <v>26.2016393274883</v>
      </c>
      <c r="AL87" s="19" t="n">
        <f aca="false">IF(Time!AL37=1,MAX(AL85,AL13/$F$90),0)</f>
        <v>25.9271690084374</v>
      </c>
      <c r="AM87" s="19" t="n">
        <f aca="false">IF(Time!AM37=1,MAX(AM85,AM13/$F$90),0)</f>
        <v>28.1551596034077</v>
      </c>
      <c r="AN87" s="19" t="n">
        <f aca="false">IF(Time!AN37=1,MAX(AN85,AN13/$F$90),0)</f>
        <v>27.4287781491148</v>
      </c>
      <c r="AO87" s="19" t="n">
        <f aca="false">IF(Time!AO37=1,MAX(AO85,AO13/$F$90),0)</f>
        <v>31.8877709107037</v>
      </c>
      <c r="AP87" s="19" t="n">
        <f aca="false">IF(Time!AP37=1,MAX(AP85,AP13/$F$90),0)</f>
        <v>32.2349055859704</v>
      </c>
      <c r="AQ87" s="19" t="n">
        <f aca="false">IF(Time!AQ37=1,MAX(AQ85,AQ13/$F$90),0)</f>
        <v>25.5450845362498</v>
      </c>
      <c r="AR87" s="19" t="n">
        <f aca="false">IF(Time!AR37=1,MAX(AR85,AR13/$F$90),0)</f>
        <v>24.8203253328652</v>
      </c>
      <c r="AS87" s="19" t="n">
        <f aca="false">IF(Time!AS37=1,MAX(AS85,AS13/$F$90),0)</f>
        <v>25.128734954221</v>
      </c>
      <c r="AT87" s="19" t="n">
        <f aca="false">IF(Time!AT37=1,MAX(AT85,AT13/$F$90),0)</f>
        <v>25.2640033533943</v>
      </c>
      <c r="AU87" s="19" t="n">
        <f aca="false">IF(Time!AU37=1,MAX(AU85,AU13/$F$90),0)</f>
        <v>26.5119270306104</v>
      </c>
      <c r="AV87" s="19" t="n">
        <f aca="false">IF(Time!AV37=1,MAX(AV85,AV13/$F$90),0)</f>
        <v>26.6558735431264</v>
      </c>
      <c r="AW87" s="19" t="n">
        <f aca="false">IF(Time!AW37=1,MAX(AW85,AW13/$F$90),0)</f>
        <v>33.5493558760355</v>
      </c>
      <c r="AX87" s="19" t="n">
        <f aca="false">IF(Time!AX37=1,MAX(AX85,AX13/$F$90),0)</f>
        <v>33.5970557843302</v>
      </c>
      <c r="AY87" s="19" t="n">
        <f aca="false">IF(Time!AY37=1,MAX(AY85,AY13/$F$90),0)</f>
        <v>32.3567771988867</v>
      </c>
      <c r="AZ87" s="19" t="n">
        <f aca="false">IF(Time!AZ37=1,MAX(AZ85,AZ13/$F$90),0)</f>
        <v>32.6414678055699</v>
      </c>
      <c r="BA87" s="19" t="n">
        <f aca="false">IF(Time!BA37=1,MAX(BA85,BA13/$F$90),0)</f>
        <v>32.1132936810404</v>
      </c>
      <c r="BB87" s="19" t="n">
        <f aca="false">IF(Time!BB37=1,MAX(BB85,BB13/$F$90),0)</f>
        <v>30.4986302899845</v>
      </c>
      <c r="BC87" s="19" t="n">
        <f aca="false">IF(Time!BC37=1,MAX(BC85,BC13/$F$90),0)</f>
        <v>43.1944541699995</v>
      </c>
      <c r="BD87" s="19" t="n">
        <f aca="false">IF(Time!BD37=1,MAX(BD85,BD13/$F$90),0)</f>
        <v>43.251790439944</v>
      </c>
      <c r="BE87" s="19" t="n">
        <f aca="false">IF(Time!BE37=1,MAX(BE85,BE13/$F$90),0)</f>
        <v>48.5842103711844</v>
      </c>
      <c r="BF87" s="19" t="n">
        <f aca="false">IF(Time!BF37=1,MAX(BF85,BF13/$F$90),0)</f>
        <v>46.5437314871229</v>
      </c>
      <c r="BG87" s="19" t="n">
        <f aca="false">IF(Time!BG37=1,MAX(BG85,BG13/$F$90),0)</f>
        <v>44.8623607062427</v>
      </c>
      <c r="BH87" s="19" t="n">
        <f aca="false">IF(Time!BH37=1,MAX(BH85,BH13/$F$90),0)</f>
        <v>45.0033056852247</v>
      </c>
      <c r="BI87" s="19" t="n">
        <f aca="false">IF(Time!BI37=1,MAX(BI85,BI13/$F$90),0)</f>
        <v>46.46307459983</v>
      </c>
      <c r="BJ87" s="19" t="n">
        <f aca="false">IF(Time!BJ37=1,MAX(BJ85,BJ13/$F$90),0)</f>
        <v>46.3638274351192</v>
      </c>
      <c r="BK87" s="19" t="n">
        <f aca="false">IF(Time!BK37=1,MAX(BK85,BK13/$F$90),0)</f>
        <v>48.1268782906284</v>
      </c>
      <c r="BL87" s="19" t="n">
        <f aca="false">IF(Time!BL37=1,MAX(BL85,BL13/$F$90),0)</f>
        <v>48.022662959978</v>
      </c>
      <c r="BM87" s="19" t="n">
        <f aca="false">IF(Time!BM37=1,MAX(BM85,BM13/$F$90),0)</f>
        <v>49.8562466194333</v>
      </c>
      <c r="BN87" s="19" t="n">
        <f aca="false">IF(Time!BN37=1,MAX(BN85,BN13/$F$90),0)</f>
        <v>49.7465422275766</v>
      </c>
      <c r="BO87" s="19" t="n">
        <f aca="false">IF(Time!BO37=1,MAX(BO85,BO13/$F$90),0)</f>
        <v>36.6979750525935</v>
      </c>
      <c r="BP87" s="19" t="n">
        <f aca="false">IF(Time!BP37=1,MAX(BP85,BP13/$F$90),0)</f>
        <v>36.9138969695091</v>
      </c>
      <c r="BQ87" s="19" t="n">
        <f aca="false">IF(Time!BQ37=1,MAX(BQ85,BQ13/$F$90),0)</f>
        <v>38.679081427787</v>
      </c>
      <c r="BR87" s="19" t="n">
        <f aca="false">IF(Time!BR37=1,MAX(BR85,BR13/$F$90),0)</f>
        <v>38.177224288422</v>
      </c>
      <c r="BS87" s="19" t="n">
        <f aca="false">IF(Time!BS37=1,MAX(BS85,BS13/$F$90),0)</f>
        <v>40.2298249556661</v>
      </c>
      <c r="BT87" s="19" t="n">
        <f aca="false">IF(Time!BT37=1,MAX(BT85,BT13/$F$90),0)</f>
        <v>39.7084178186164</v>
      </c>
      <c r="BU87" s="19" t="n">
        <f aca="false">IF(Time!BU37=1,MAX(BU85,BU13/$F$90),0)</f>
        <v>69.1095660712792</v>
      </c>
      <c r="BV87" s="19" t="n">
        <f aca="false">IF(Time!BV37=1,MAX(BV85,BV13/$F$90),0)</f>
        <v>68.5091725970653</v>
      </c>
      <c r="BW87" s="19" t="n">
        <f aca="false">IF(Time!BW37=1,MAX(BW85,BW13/$F$90),0)</f>
        <v>60.4045509209134</v>
      </c>
      <c r="BX87" s="19" t="n">
        <f aca="false">IF(Time!BX37=1,MAX(BX85,BX13/$F$90),0)</f>
        <v>57.8749893658837</v>
      </c>
      <c r="BY87" s="19" t="n">
        <f aca="false">IF(Time!BY37=1,MAX(BY85,BY13/$F$90),0)</f>
        <v>59.7383208887102</v>
      </c>
      <c r="BZ87" s="19" t="n">
        <f aca="false">IF(Time!BZ37=1,MAX(BZ85,BZ13/$F$90),0)</f>
        <v>59.0896855654087</v>
      </c>
      <c r="CA87" s="19" t="n">
        <f aca="false">IF(Time!CA37=1,MAX(CA85,CA13/$F$90),0)</f>
        <v>51.6698737280966</v>
      </c>
      <c r="CB87" s="19" t="n">
        <f aca="false">IF(Time!CB37=1,MAX(CB85,CB13/$F$90),0)</f>
        <v>51.0328085043083</v>
      </c>
      <c r="CC87" s="19" t="n">
        <f aca="false">IF(Time!CC37=1,MAX(CC85,CC13/$F$90),0)</f>
        <v>53.3843465640446</v>
      </c>
      <c r="CD87" s="19" t="n">
        <f aca="false">IF(Time!CD37=1,MAX(CD85,CD13/$F$90),0)</f>
        <v>52.7233053425298</v>
      </c>
      <c r="CE87" s="19" t="n">
        <f aca="false">IF(Time!CE37=1,MAX(CE85,CE13/$F$90),0)</f>
        <v>50.4654608229319</v>
      </c>
      <c r="CF87" s="19" t="n">
        <f aca="false">IF(Time!CF37=1,MAX(CF85,CF13/$F$90),0)</f>
        <v>50.1461897738162</v>
      </c>
      <c r="CG87" s="19" t="n">
        <f aca="false">IF(Time!CG37=1,MAX(CG85,CG13/$F$90),0)</f>
        <v>79.3298625118505</v>
      </c>
      <c r="CH87" s="19" t="n">
        <f aca="false">IF(Time!CH37=1,MAX(CH85,CH13/$F$90),0)</f>
        <v>61.1488055071191</v>
      </c>
      <c r="CI87" s="19" t="n">
        <f aca="false">IF(Time!CI37=1,MAX(CI85,CI13/$F$90),0)</f>
        <v>63.6944745522052</v>
      </c>
      <c r="CJ87" s="19" t="n">
        <f aca="false">IF(Time!CJ37=1,MAX(CJ85,CJ13/$F$90),0)</f>
        <v>62.9301440285242</v>
      </c>
      <c r="CK87" s="19" t="n">
        <f aca="false">IF(Time!CK37=1,MAX(CK85,CK13/$F$90),0)</f>
        <v>78.7500680100131</v>
      </c>
      <c r="CL87" s="19" t="n">
        <f aca="false">IF(Time!CL37=1,MAX(CL85,CL13/$F$90),0)</f>
        <v>69.6938951036883</v>
      </c>
      <c r="CM87" s="19" t="n">
        <f aca="false">IF(Time!CM37=1,MAX(CM85,CM13/$F$90),0)</f>
        <v>57.6023863547016</v>
      </c>
      <c r="CN87" s="19" t="n">
        <f aca="false">IF(Time!CN37=1,MAX(CN85,CN13/$F$90),0)</f>
        <v>57.3625002375204</v>
      </c>
      <c r="CO87" s="19" t="n">
        <f aca="false">IF(Time!CO37=1,MAX(CO85,CO13/$F$90),0)</f>
        <v>59.9244504617165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3129.68847782295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7.85611216899777</v>
      </c>
      <c r="AK88" s="19" t="n">
        <f aca="false">IF(Time!AK37=1,AK87-AK85,0)</f>
        <v>10.721344556804</v>
      </c>
      <c r="AL88" s="19" t="n">
        <f aca="false">IF(Time!AL37=1,AL87-AL85,0)</f>
        <v>10.7202685239515</v>
      </c>
      <c r="AM88" s="19" t="n">
        <f aca="false">IF(Time!AM37=1,AM87-AM85,0)</f>
        <v>13.2216259662826</v>
      </c>
      <c r="AN88" s="19" t="n">
        <f aca="false">IF(Time!AN37=1,AN87-AN85,0)</f>
        <v>12.83239597413</v>
      </c>
      <c r="AO88" s="19" t="n">
        <f aca="false">IF(Time!AO37=1,AO87-AO85,0)</f>
        <v>17.6186148330591</v>
      </c>
      <c r="AP88" s="19" t="n">
        <f aca="false">IF(Time!AP37=1,AP87-AP85,0)</f>
        <v>18.4150241865688</v>
      </c>
      <c r="AQ88" s="19" t="n">
        <f aca="false">IF(Time!AQ37=1,AQ87-AQ85,0)</f>
        <v>12.1947862536058</v>
      </c>
      <c r="AR88" s="19" t="n">
        <f aca="false">IF(Time!AR37=1,AR87-AR85,0)</f>
        <v>11.7809940996881</v>
      </c>
      <c r="AS88" s="19" t="n">
        <f aca="false">IF(Time!AS37=1,AS87-AS85,0)</f>
        <v>12.3898190705859</v>
      </c>
      <c r="AT88" s="19" t="n">
        <f aca="false">IF(Time!AT37=1,AT87-AT85,0)</f>
        <v>12.8410278560592</v>
      </c>
      <c r="AU88" s="19" t="n">
        <f aca="false">IF(Time!AU37=1,AU87-AU85,0)</f>
        <v>14.4163977436048</v>
      </c>
      <c r="AV88" s="19" t="n">
        <f aca="false">IF(Time!AV37=1,AV87-AV85,0)</f>
        <v>14.9279623985827</v>
      </c>
      <c r="AW88" s="19" t="n">
        <f aca="false">IF(Time!AW37=1,AW87-AW85,0)</f>
        <v>22.2021077726557</v>
      </c>
      <c r="AX88" s="19" t="n">
        <f aca="false">IF(Time!AX37=1,AX87-AX85,0)</f>
        <v>22.8159614291531</v>
      </c>
      <c r="AY88" s="19" t="n">
        <f aca="false">IF(Time!AY37=1,AY87-AY85,0)</f>
        <v>22.1574898601531</v>
      </c>
      <c r="AZ88" s="19" t="n">
        <f aca="false">IF(Time!AZ37=1,AZ87-AZ85,0)</f>
        <v>23.0071964582702</v>
      </c>
      <c r="BA88" s="19" t="n">
        <f aca="false">IF(Time!BA37=1,BA87-BA85,0)</f>
        <v>23.0657058434266</v>
      </c>
      <c r="BB88" s="19" t="n">
        <f aca="false">IF(Time!BB37=1,BB87-BB85,0)</f>
        <v>22.039217951378</v>
      </c>
      <c r="BC88" s="19" t="n">
        <f aca="false">IF(Time!BC37=1,BC87-BC85,0)</f>
        <v>35.2970418891532</v>
      </c>
      <c r="BD88" s="19" t="n">
        <f aca="false">IF(Time!BD37=1,BD87-BD85,0)</f>
        <v>36.254452727271</v>
      </c>
      <c r="BE88" s="19" t="n">
        <f aca="false">IF(Time!BE37=1,BE87-BE85,0)</f>
        <v>42.5113612030569</v>
      </c>
      <c r="BF88" s="19" t="n">
        <f aca="false">IF(Time!BF37=1,BF87-BF85,0)</f>
        <v>41.5549220296733</v>
      </c>
      <c r="BG88" s="19" t="n">
        <f aca="false">IF(Time!BG37=1,BG87-BG85,0)</f>
        <v>40.9332017605498</v>
      </c>
      <c r="BH88" s="19" t="n">
        <f aca="false">IF(Time!BH37=1,BH87-BH85,0)</f>
        <v>42.1179433844258</v>
      </c>
      <c r="BI88" s="19" t="n">
        <f aca="false">IF(Time!BI37=1,BI87-BI85,0)</f>
        <v>44.651719855334</v>
      </c>
      <c r="BJ88" s="19" t="n">
        <f aca="false">IF(Time!BJ37=1,BJ87-BJ85,0)</f>
        <v>45.6910915469342</v>
      </c>
      <c r="BK88" s="19" t="n">
        <f aca="false">IF(Time!BK37=1,BK87-BK85,0)</f>
        <v>48.6192652368902</v>
      </c>
      <c r="BL88" s="19" t="n">
        <f aca="false">IF(Time!BL37=1,BL87-BL85,0)</f>
        <v>49.7548411697805</v>
      </c>
      <c r="BM88" s="19" t="n">
        <f aca="false">IF(Time!BM37=1,BM87-BM85,0)</f>
        <v>52.8571732790652</v>
      </c>
      <c r="BN88" s="19" t="n">
        <f aca="false">IF(Time!BN37=1,BN87-BN85,0)</f>
        <v>54.0953268058246</v>
      </c>
      <c r="BO88" s="19" t="n">
        <f aca="false">IF(Time!BO37=1,BO87-BO85,0)</f>
        <v>42.4261904643901</v>
      </c>
      <c r="BP88" s="19" t="n">
        <f aca="false">IF(Time!BP37=1,BP87-BP85,0)</f>
        <v>43.7239802381477</v>
      </c>
      <c r="BQ88" s="19" t="n">
        <f aca="false">IF(Time!BQ37=1,BQ87-BQ85,0)</f>
        <v>46.6041261924983</v>
      </c>
      <c r="BR88" s="19" t="n">
        <f aca="false">IF(Time!BR37=1,BR87-BR85,0)</f>
        <v>47.290674271042</v>
      </c>
      <c r="BS88" s="19" t="n">
        <f aca="false">IF(Time!BS37=1,BS87-BS85,0)</f>
        <v>50.5491871321977</v>
      </c>
      <c r="BT88" s="19" t="n">
        <f aca="false">IF(Time!BT37=1,BT87-BT85,0)</f>
        <v>51.316784267019</v>
      </c>
      <c r="BU88" s="19" t="n">
        <f aca="false">IF(Time!BU37=1,BU87-BU85,0)</f>
        <v>82.0265105184908</v>
      </c>
      <c r="BV88" s="19" t="n">
        <f aca="false">IF(Time!BV37=1,BV87-BV85,0)</f>
        <v>83.5177930624985</v>
      </c>
      <c r="BW88" s="19" t="n">
        <f aca="false">IF(Time!BW37=1,BW87-BW85,0)</f>
        <v>77.5428751094402</v>
      </c>
      <c r="BX88" s="19" t="n">
        <f aca="false">IF(Time!BX37=1,BX87-BX85,0)</f>
        <v>76.9906568697013</v>
      </c>
      <c r="BY88" s="19" t="n">
        <f aca="false">IF(Time!BY37=1,BY87-BY85,0)</f>
        <v>80.8172501427052</v>
      </c>
      <c r="BZ88" s="19" t="n">
        <f aca="false">IF(Time!BZ37=1,BZ87-BZ85,0)</f>
        <v>82.2294546980426</v>
      </c>
      <c r="CA88" s="19" t="n">
        <f aca="false">IF(Time!CA37=1,CA87-CA85,0)</f>
        <v>76.9064939555306</v>
      </c>
      <c r="CB88" s="19" t="n">
        <f aca="false">IF(Time!CB37=1,CB87-CB85,0)</f>
        <v>78.2305443276083</v>
      </c>
      <c r="CC88" s="19" t="n">
        <f aca="false">IF(Time!CC37=1,CC87-CC85,0)</f>
        <v>82.5769612676987</v>
      </c>
      <c r="CD88" s="19" t="n">
        <f aca="false">IF(Time!CD37=1,CD87-CD85,0)</f>
        <v>84.0216325585101</v>
      </c>
      <c r="CE88" s="19" t="n">
        <f aca="false">IF(Time!CE37=1,CE87-CE85,0)</f>
        <v>83.9063396691543</v>
      </c>
      <c r="CF88" s="19" t="n">
        <f aca="false">IF(Time!CF37=1,CF87-CF85,0)</f>
        <v>85.7266802816021</v>
      </c>
      <c r="CG88" s="19" t="n">
        <f aca="false">IF(Time!CG37=1,CG87-CG85,0)</f>
        <v>117.096383366817</v>
      </c>
      <c r="CH88" s="19" t="n">
        <f aca="false">IF(Time!CH37=1,CH87-CH85,0)</f>
        <v>101.90128413794</v>
      </c>
      <c r="CI88" s="19" t="n">
        <f aca="false">IF(Time!CI37=1,CI87-CI85,0)</f>
        <v>107.045435928543</v>
      </c>
      <c r="CJ88" s="19" t="n">
        <f aca="false">IF(Time!CJ37=1,CJ87-CJ85,0)</f>
        <v>109.01076402104</v>
      </c>
      <c r="CK88" s="19" t="n">
        <f aca="false">IF(Time!CK37=1,CK87-CK85,0)</f>
        <v>127.610462485065</v>
      </c>
      <c r="CL88" s="19" t="n">
        <f aca="false">IF(Time!CL37=1,CL87-CL85,0)</f>
        <v>121.80835637211</v>
      </c>
      <c r="CM88" s="19" t="n">
        <f aca="false">IF(Time!CM37=1,CM87-CM85,0)</f>
        <v>112.822960710612</v>
      </c>
      <c r="CN88" s="19" t="n">
        <f aca="false">IF(Time!CN37=1,CN87-CN85,0)</f>
        <v>115.460060091551</v>
      </c>
      <c r="CO88" s="19" t="n">
        <f aca="false">IF(Time!CO37=1,CO87-CO85,0)</f>
        <v>120.966241848082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607.070383164091</v>
      </c>
      <c r="AK89" s="19" t="n">
        <f aca="false">AK84-AK88</f>
        <v>596.349038607287</v>
      </c>
      <c r="AL89" s="19" t="n">
        <f aca="false">AL84-AL88</f>
        <v>585.628770083335</v>
      </c>
      <c r="AM89" s="19" t="n">
        <f aca="false">AM84-AM88</f>
        <v>572.407144117053</v>
      </c>
      <c r="AN89" s="19" t="n">
        <f aca="false">AN84-AN88</f>
        <v>559.574748142923</v>
      </c>
      <c r="AO89" s="19" t="n">
        <f aca="false">AO84-AO88</f>
        <v>541.956133309864</v>
      </c>
      <c r="AP89" s="19" t="n">
        <f aca="false">AP84-AP88</f>
        <v>523.541109123295</v>
      </c>
      <c r="AQ89" s="19" t="n">
        <f aca="false">AQ84-AQ88</f>
        <v>511.346322869689</v>
      </c>
      <c r="AR89" s="19" t="n">
        <f aca="false">AR84-AR88</f>
        <v>499.565328770001</v>
      </c>
      <c r="AS89" s="19" t="n">
        <f aca="false">AS84-AS88</f>
        <v>487.175509699415</v>
      </c>
      <c r="AT89" s="19" t="n">
        <f aca="false">AT84-AT88</f>
        <v>474.334481843356</v>
      </c>
      <c r="AU89" s="19" t="n">
        <f aca="false">AU84-AU88</f>
        <v>459.918084099751</v>
      </c>
      <c r="AV89" s="19" t="n">
        <f aca="false">AV84-AV88</f>
        <v>444.990121701168</v>
      </c>
      <c r="AW89" s="19" t="n">
        <f aca="false">AW84-AW88</f>
        <v>422.788013928513</v>
      </c>
      <c r="AX89" s="19" t="n">
        <f aca="false">AX84-AX88</f>
        <v>399.972052499359</v>
      </c>
      <c r="AY89" s="19" t="n">
        <f aca="false">AY84-AY88</f>
        <v>377.814562639206</v>
      </c>
      <c r="AZ89" s="19" t="n">
        <f aca="false">AZ84-AZ88</f>
        <v>354.807366180936</v>
      </c>
      <c r="BA89" s="19" t="n">
        <f aca="false">BA84-BA88</f>
        <v>331.74166033751</v>
      </c>
      <c r="BB89" s="19" t="n">
        <f aca="false">BB84-BB88</f>
        <v>309.702442386132</v>
      </c>
      <c r="BC89" s="19" t="n">
        <f aca="false">BC84-BC88</f>
        <v>274.405400496978</v>
      </c>
      <c r="BD89" s="19" t="n">
        <f aca="false">BD84-BD88</f>
        <v>238.150947769707</v>
      </c>
      <c r="BE89" s="19" t="n">
        <f aca="false">BE84-BE88</f>
        <v>195.639586566651</v>
      </c>
      <c r="BF89" s="19" t="n">
        <f aca="false">BF84-BF88</f>
        <v>154.084664536977</v>
      </c>
      <c r="BG89" s="19" t="n">
        <f aca="false">BG84-BG88</f>
        <v>113.151462776427</v>
      </c>
      <c r="BH89" s="19" t="n">
        <f aca="false">BH84-BH88</f>
        <v>71.0335193920016</v>
      </c>
      <c r="BI89" s="19" t="n">
        <f aca="false">BI84-BI88</f>
        <v>26.3817995366676</v>
      </c>
      <c r="BJ89" s="19" t="n">
        <f aca="false">BJ84-BJ88</f>
        <v>-19.3092920102666</v>
      </c>
      <c r="BK89" s="19" t="n">
        <f aca="false">BK84-BK88</f>
        <v>-67.9285572471568</v>
      </c>
      <c r="BL89" s="19" t="n">
        <f aca="false">BL84-BL88</f>
        <v>-117.683398416937</v>
      </c>
      <c r="BM89" s="19" t="n">
        <f aca="false">BM84-BM88</f>
        <v>-170.540571696002</v>
      </c>
      <c r="BN89" s="19" t="n">
        <f aca="false">BN84-BN88</f>
        <v>-224.635898501827</v>
      </c>
      <c r="BO89" s="19" t="n">
        <f aca="false">BO84-BO88</f>
        <v>-267.062088966217</v>
      </c>
      <c r="BP89" s="19" t="n">
        <f aca="false">BP84-BP88</f>
        <v>-310.786069204365</v>
      </c>
      <c r="BQ89" s="19" t="n">
        <f aca="false">BQ84-BQ88</f>
        <v>-357.390195396863</v>
      </c>
      <c r="BR89" s="19" t="n">
        <f aca="false">BR84-BR88</f>
        <v>-404.680869667905</v>
      </c>
      <c r="BS89" s="19" t="n">
        <f aca="false">BS84-BS88</f>
        <v>-455.230056800103</v>
      </c>
      <c r="BT89" s="19" t="n">
        <f aca="false">BT84-BT88</f>
        <v>-506.546841067122</v>
      </c>
      <c r="BU89" s="19" t="n">
        <f aca="false">BU84-BU88</f>
        <v>-588.573351585613</v>
      </c>
      <c r="BV89" s="19" t="n">
        <f aca="false">BV84-BV88</f>
        <v>-672.091144648111</v>
      </c>
      <c r="BW89" s="19" t="n">
        <f aca="false">BW84-BW88</f>
        <v>-749.634019757551</v>
      </c>
      <c r="BX89" s="19" t="n">
        <f aca="false">BX84-BX88</f>
        <v>-826.624676627253</v>
      </c>
      <c r="BY89" s="19" t="n">
        <f aca="false">BY84-BY88</f>
        <v>-907.441926769958</v>
      </c>
      <c r="BZ89" s="19" t="n">
        <f aca="false">BZ84-BZ88</f>
        <v>-989.671381468</v>
      </c>
      <c r="CA89" s="19" t="n">
        <f aca="false">CA84-CA88</f>
        <v>-1066.57787542353</v>
      </c>
      <c r="CB89" s="19" t="n">
        <f aca="false">CB84-CB88</f>
        <v>-1144.80841975114</v>
      </c>
      <c r="CC89" s="19" t="n">
        <f aca="false">CC84-CC88</f>
        <v>-1227.38538101884</v>
      </c>
      <c r="CD89" s="19" t="n">
        <f aca="false">CD84-CD88</f>
        <v>-1311.40701357735</v>
      </c>
      <c r="CE89" s="19" t="n">
        <f aca="false">CE84-CE88</f>
        <v>-1395.3133532465</v>
      </c>
      <c r="CF89" s="19" t="n">
        <f aca="false">CF84-CF88</f>
        <v>-1481.0400335281</v>
      </c>
      <c r="CG89" s="19" t="n">
        <f aca="false">CG84-CG88</f>
        <v>-1598.13641689492</v>
      </c>
      <c r="CH89" s="19" t="n">
        <f aca="false">CH84-CH88</f>
        <v>-1700.03770103286</v>
      </c>
      <c r="CI89" s="19" t="n">
        <f aca="false">CI84-CI88</f>
        <v>-1807.0831369614</v>
      </c>
      <c r="CJ89" s="19" t="n">
        <f aca="false">CJ84-CJ88</f>
        <v>-1916.09390098244</v>
      </c>
      <c r="CK89" s="19" t="n">
        <f aca="false">CK84-CK88</f>
        <v>-2043.70436346751</v>
      </c>
      <c r="CL89" s="19" t="n">
        <f aca="false">CL84-CL88</f>
        <v>-2165.51271983962</v>
      </c>
      <c r="CM89" s="19" t="n">
        <f aca="false">CM84-CM88</f>
        <v>-2278.33568055023</v>
      </c>
      <c r="CN89" s="19" t="n">
        <f aca="false">CN84-CN88</f>
        <v>-2393.79574064178</v>
      </c>
      <c r="CO89" s="19" t="n">
        <f aca="false">CO84-CO88</f>
        <v>-2514.76198248987</v>
      </c>
      <c r="CP89" s="19" t="n">
        <f aca="false">CP84-CP88</f>
        <v>-2514.76198248987</v>
      </c>
      <c r="CQ89" s="19" t="n">
        <f aca="false">CQ84-CQ88</f>
        <v>-2514.76198248987</v>
      </c>
      <c r="CR89" s="19" t="n">
        <f aca="false">CR84-CR88</f>
        <v>-2514.76198248987</v>
      </c>
      <c r="CS89" s="19" t="n">
        <f aca="false">CS84-CS88</f>
        <v>-2514.76198248987</v>
      </c>
      <c r="CT89" s="19" t="n">
        <f aca="false">CT84-CT88</f>
        <v>-2514.76198248987</v>
      </c>
      <c r="CU89" s="19" t="n">
        <f aca="false">CU84-CU88</f>
        <v>-2514.76198248987</v>
      </c>
      <c r="CV89" s="19" t="n">
        <f aca="false">CV84-CV88</f>
        <v>-2514.76198248987</v>
      </c>
      <c r="CW89" s="19" t="n">
        <f aca="false">CW84-CW88</f>
        <v>-2514.76198248987</v>
      </c>
      <c r="CX89" s="19" t="n">
        <f aca="false">CX84-CX88</f>
        <v>-2514.76198248987</v>
      </c>
      <c r="CY89" s="19" t="n">
        <f aca="false">CY84-CY88</f>
        <v>-2514.76198248987</v>
      </c>
      <c r="CZ89" s="19" t="n">
        <f aca="false">CZ84-CZ88</f>
        <v>-2514.76198248987</v>
      </c>
      <c r="DA89" s="19" t="n">
        <f aca="false">DA84-DA88</f>
        <v>-2514.76198248987</v>
      </c>
      <c r="DB89" s="19" t="n">
        <f aca="false">DB84-DB88</f>
        <v>-2514.76198248987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614.926495333089</v>
      </c>
      <c r="AK93" s="19" t="n">
        <f aca="false">AJ94</f>
        <v>594.458241394088</v>
      </c>
      <c r="AL93" s="19" t="n">
        <f aca="false">AK94</f>
        <v>584.745548171273</v>
      </c>
      <c r="AM93" s="19" t="n">
        <f aca="false">AL94</f>
        <v>575.224557216382</v>
      </c>
      <c r="AN93" s="19" t="n">
        <f aca="false">AM94</f>
        <v>564.136423944001</v>
      </c>
      <c r="AO93" s="19" t="n">
        <f aca="false">AN94</f>
        <v>553.359083853139</v>
      </c>
      <c r="AP93" s="19" t="n">
        <f aca="false">AO94</f>
        <v>539.601316387658</v>
      </c>
      <c r="AQ93" s="19" t="n">
        <f aca="false">AP94</f>
        <v>525.249090375486</v>
      </c>
      <c r="AR93" s="19" t="n">
        <f aca="false">AQ94</f>
        <v>515.16003029059</v>
      </c>
      <c r="AS93" s="19" t="n">
        <f aca="false">AR94</f>
        <v>505.466473694351</v>
      </c>
      <c r="AT93" s="19" t="n">
        <f aca="false">AS94</f>
        <v>495.453900667108</v>
      </c>
      <c r="AU93" s="19" t="n">
        <f aca="false">AT94</f>
        <v>485.22167541481</v>
      </c>
      <c r="AV93" s="19" t="n">
        <f aca="false">AU94</f>
        <v>474.045038334485</v>
      </c>
      <c r="AW93" s="19" t="n">
        <f aca="false">AV94</f>
        <v>462.994769734238</v>
      </c>
      <c r="AX93" s="19" t="n">
        <f aca="false">AW94</f>
        <v>446.587181504887</v>
      </c>
      <c r="AY93" s="19" t="n">
        <f aca="false">AX94</f>
        <v>445.795773425056</v>
      </c>
      <c r="AZ93" s="19" t="n">
        <f aca="false">AY94</f>
        <v>445.591469030112</v>
      </c>
      <c r="BA93" s="19" t="n">
        <f aca="false">AZ94</f>
        <v>445.242560207537</v>
      </c>
      <c r="BB93" s="19" t="n">
        <f aca="false">BA94</f>
        <v>445.13915943232</v>
      </c>
      <c r="BC93" s="19" t="n">
        <f aca="false">BB94</f>
        <v>445.13915943232</v>
      </c>
      <c r="BD93" s="19" t="n">
        <f aca="false">BC94</f>
        <v>439.611598550938</v>
      </c>
      <c r="BE93" s="19" t="n">
        <f aca="false">BD94</f>
        <v>433.915010986222</v>
      </c>
      <c r="BF93" s="19" t="n">
        <f aca="false">BE94</f>
        <v>425.462217627385</v>
      </c>
      <c r="BG93" s="19" t="n">
        <f aca="false">BF94</f>
        <v>417.789594516907</v>
      </c>
      <c r="BH93" s="19" t="n">
        <f aca="false">BG94</f>
        <v>410.753906703225</v>
      </c>
      <c r="BI93" s="19" t="n">
        <f aca="false">BH94</f>
        <v>403.470595206042</v>
      </c>
      <c r="BJ93" s="19" t="n">
        <f aca="false">BI94</f>
        <v>395.286901669362</v>
      </c>
      <c r="BK93" s="19" t="n">
        <f aca="false">BJ94</f>
        <v>386.943115768496</v>
      </c>
      <c r="BL93" s="19" t="n">
        <f aca="false">BK94</f>
        <v>377.52345239589</v>
      </c>
      <c r="BM93" s="19" t="n">
        <f aca="false">BL94</f>
        <v>367.914611963066</v>
      </c>
      <c r="BN93" s="19" t="n">
        <f aca="false">BM94</f>
        <v>357.163102342437</v>
      </c>
      <c r="BO93" s="19" t="n">
        <f aca="false">BN94</f>
        <v>346.191141164922</v>
      </c>
      <c r="BP93" s="19" t="n">
        <f aca="false">BO94</f>
        <v>341.328585167074</v>
      </c>
      <c r="BQ93" s="19" t="n">
        <f aca="false">BP94</f>
        <v>336.236352526476</v>
      </c>
      <c r="BR93" s="19" t="n">
        <f aca="false">BQ94</f>
        <v>330.150075219635</v>
      </c>
      <c r="BS93" s="19" t="n">
        <f aca="false">BR94</f>
        <v>324.154255951874</v>
      </c>
      <c r="BT93" s="19" t="n">
        <f aca="false">BS94</f>
        <v>317.000660245556</v>
      </c>
      <c r="BU93" s="19" t="n">
        <f aca="false">BT94</f>
        <v>309.919877713383</v>
      </c>
      <c r="BV93" s="19" t="n">
        <f aca="false">BU94</f>
        <v>288.267278350921</v>
      </c>
      <c r="BW93" s="19" t="n">
        <f aca="false">BV94</f>
        <v>266.356414609348</v>
      </c>
      <c r="BX93" s="19" t="n">
        <f aca="false">BW94</f>
        <v>247.841990189663</v>
      </c>
      <c r="BY93" s="19" t="n">
        <f aca="false">BX94</f>
        <v>230.10285680002</v>
      </c>
      <c r="BZ93" s="19" t="n">
        <f aca="false">BY94</f>
        <v>210.999122747976</v>
      </c>
      <c r="CA93" s="19" t="n">
        <f aca="false">BZ94</f>
        <v>191.725766898331</v>
      </c>
      <c r="CB93" s="19" t="n">
        <f aca="false">CA94</f>
        <v>175.594093356724</v>
      </c>
      <c r="CC93" s="19" t="n">
        <f aca="false">CB94</f>
        <v>159.362919783609</v>
      </c>
      <c r="CD93" s="19" t="n">
        <f aca="false">CC94</f>
        <v>141.574446117297</v>
      </c>
      <c r="CE93" s="19" t="n">
        <f aca="false">CD94</f>
        <v>123.656766025284</v>
      </c>
      <c r="CF93" s="19" t="n">
        <f aca="false">CE94</f>
        <v>106.388008822096</v>
      </c>
      <c r="CG93" s="19" t="n">
        <f aca="false">CF94</f>
        <v>88.835174271781</v>
      </c>
      <c r="CH93" s="19" t="n">
        <f aca="false">CG94</f>
        <v>56.5455852027691</v>
      </c>
      <c r="CI93" s="19" t="n">
        <f aca="false">CH94</f>
        <v>32.334556662287</v>
      </c>
      <c r="CJ93" s="19" t="n">
        <f aca="false">CI94</f>
        <v>6.26000468913347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614.926495333089</v>
      </c>
      <c r="AJ94" s="19" t="n">
        <f aca="false">IF(Time!AJ35=1,AJ77,AJ93-Waterfall!AJ22-Waterfall!AJ38)</f>
        <v>594.458241394088</v>
      </c>
      <c r="AK94" s="19" t="n">
        <f aca="false">IF(Time!AK35=1,AK77,AK93-Waterfall!AK22-Waterfall!AK38)</f>
        <v>584.745548171273</v>
      </c>
      <c r="AL94" s="19" t="n">
        <f aca="false">IF(Time!AL35=1,AL77,AL93-Waterfall!AL22-Waterfall!AL38)</f>
        <v>575.224557216382</v>
      </c>
      <c r="AM94" s="19" t="n">
        <f aca="false">IF(Time!AM35=1,AM77,AM93-Waterfall!AM22-Waterfall!AM38)</f>
        <v>564.136423944001</v>
      </c>
      <c r="AN94" s="19" t="n">
        <f aca="false">IF(Time!AN35=1,AN77,AN93-Waterfall!AN22-Waterfall!AN38)</f>
        <v>553.359083853139</v>
      </c>
      <c r="AO94" s="19" t="n">
        <f aca="false">IF(Time!AO35=1,AO77,AO93-Waterfall!AO22-Waterfall!AO38)</f>
        <v>539.601316387658</v>
      </c>
      <c r="AP94" s="19" t="n">
        <f aca="false">IF(Time!AP35=1,AP77,AP93-Waterfall!AP22-Waterfall!AP38)</f>
        <v>525.249090375486</v>
      </c>
      <c r="AQ94" s="19" t="n">
        <f aca="false">IF(Time!AQ35=1,AQ77,AQ93-Waterfall!AQ22-Waterfall!AQ38)</f>
        <v>515.16003029059</v>
      </c>
      <c r="AR94" s="19" t="n">
        <f aca="false">IF(Time!AR35=1,AR77,AR93-Waterfall!AR22-Waterfall!AR38)</f>
        <v>505.466473694351</v>
      </c>
      <c r="AS94" s="19" t="n">
        <f aca="false">IF(Time!AS35=1,AS77,AS93-Waterfall!AS22-Waterfall!AS38)</f>
        <v>495.453900667108</v>
      </c>
      <c r="AT94" s="19" t="n">
        <f aca="false">IF(Time!AT35=1,AT77,AT93-Waterfall!AT22-Waterfall!AT38)</f>
        <v>485.22167541481</v>
      </c>
      <c r="AU94" s="19" t="n">
        <f aca="false">IF(Time!AU35=1,AU77,AU93-Waterfall!AU22-Waterfall!AU38)</f>
        <v>474.045038334485</v>
      </c>
      <c r="AV94" s="19" t="n">
        <f aca="false">IF(Time!AV35=1,AV77,AV93-Waterfall!AV22-Waterfall!AV38)</f>
        <v>462.994769734238</v>
      </c>
      <c r="AW94" s="19" t="n">
        <f aca="false">IF(Time!AW35=1,AW77,AW93-Waterfall!AW22-Waterfall!AW38)</f>
        <v>446.587181504887</v>
      </c>
      <c r="AX94" s="19" t="n">
        <f aca="false">IF(Time!AX35=1,AX77,AX93-Waterfall!AX22-Waterfall!AX38)</f>
        <v>445.795773425056</v>
      </c>
      <c r="AY94" s="19" t="n">
        <f aca="false">IF(Time!AY35=1,AY77,AY93-Waterfall!AY22-Waterfall!AY38)</f>
        <v>445.591469030112</v>
      </c>
      <c r="AZ94" s="19" t="n">
        <f aca="false">IF(Time!AZ35=1,AZ77,AZ93-Waterfall!AZ22-Waterfall!AZ38)</f>
        <v>445.242560207537</v>
      </c>
      <c r="BA94" s="19" t="n">
        <f aca="false">IF(Time!BA35=1,BA77,BA93-Waterfall!BA22-Waterfall!BA38)</f>
        <v>445.13915943232</v>
      </c>
      <c r="BB94" s="19" t="n">
        <f aca="false">IF(Time!BB35=1,BB77,BB93-Waterfall!BB22-Waterfall!BB38)</f>
        <v>445.13915943232</v>
      </c>
      <c r="BC94" s="19" t="n">
        <f aca="false">IF(Time!BC35=1,BC77,BC93-Waterfall!BC22-Waterfall!BC38)</f>
        <v>439.611598550938</v>
      </c>
      <c r="BD94" s="19" t="n">
        <f aca="false">IF(Time!BD35=1,BD77,BD93-Waterfall!BD22-Waterfall!BD38)</f>
        <v>433.915010986222</v>
      </c>
      <c r="BE94" s="19" t="n">
        <f aca="false">IF(Time!BE35=1,BE77,BE93-Waterfall!BE22-Waterfall!BE38)</f>
        <v>425.462217627385</v>
      </c>
      <c r="BF94" s="19" t="n">
        <f aca="false">IF(Time!BF35=1,BF77,BF93-Waterfall!BF22-Waterfall!BF38)</f>
        <v>417.789594516907</v>
      </c>
      <c r="BG94" s="19" t="n">
        <f aca="false">IF(Time!BG35=1,BG77,BG93-Waterfall!BG22-Waterfall!BG38)</f>
        <v>410.753906703225</v>
      </c>
      <c r="BH94" s="19" t="n">
        <f aca="false">IF(Time!BH35=1,BH77,BH93-Waterfall!BH22-Waterfall!BH38)</f>
        <v>403.470595206042</v>
      </c>
      <c r="BI94" s="19" t="n">
        <f aca="false">IF(Time!BI35=1,BI77,BI93-Waterfall!BI22-Waterfall!BI38)</f>
        <v>395.286901669362</v>
      </c>
      <c r="BJ94" s="19" t="n">
        <f aca="false">IF(Time!BJ35=1,BJ77,BJ93-Waterfall!BJ22-Waterfall!BJ38)</f>
        <v>386.943115768496</v>
      </c>
      <c r="BK94" s="19" t="n">
        <f aca="false">IF(Time!BK35=1,BK77,BK93-Waterfall!BK22-Waterfall!BK38)</f>
        <v>377.52345239589</v>
      </c>
      <c r="BL94" s="19" t="n">
        <f aca="false">IF(Time!BL35=1,BL77,BL93-Waterfall!BL22-Waterfall!BL38)</f>
        <v>367.914611963066</v>
      </c>
      <c r="BM94" s="19" t="n">
        <f aca="false">IF(Time!BM35=1,BM77,BM93-Waterfall!BM22-Waterfall!BM38)</f>
        <v>357.163102342437</v>
      </c>
      <c r="BN94" s="19" t="n">
        <f aca="false">IF(Time!BN35=1,BN77,BN93-Waterfall!BN22-Waterfall!BN38)</f>
        <v>346.191141164922</v>
      </c>
      <c r="BO94" s="19" t="n">
        <f aca="false">IF(Time!BO35=1,BO77,BO93-Waterfall!BO22-Waterfall!BO38)</f>
        <v>341.328585167074</v>
      </c>
      <c r="BP94" s="19" t="n">
        <f aca="false">IF(Time!BP35=1,BP77,BP93-Waterfall!BP22-Waterfall!BP38)</f>
        <v>336.236352526476</v>
      </c>
      <c r="BQ94" s="19" t="n">
        <f aca="false">IF(Time!BQ35=1,BQ77,BQ93-Waterfall!BQ22-Waterfall!BQ38)</f>
        <v>330.150075219635</v>
      </c>
      <c r="BR94" s="19" t="n">
        <f aca="false">IF(Time!BR35=1,BR77,BR93-Waterfall!BR22-Waterfall!BR38)</f>
        <v>324.154255951874</v>
      </c>
      <c r="BS94" s="19" t="n">
        <f aca="false">IF(Time!BS35=1,BS77,BS93-Waterfall!BS22-Waterfall!BS38)</f>
        <v>317.000660245556</v>
      </c>
      <c r="BT94" s="19" t="n">
        <f aca="false">IF(Time!BT35=1,BT77,BT93-Waterfall!BT22-Waterfall!BT38)</f>
        <v>309.919877713383</v>
      </c>
      <c r="BU94" s="19" t="n">
        <f aca="false">IF(Time!BU35=1,BU77,BU93-Waterfall!BU22-Waterfall!BU38)</f>
        <v>288.267278350921</v>
      </c>
      <c r="BV94" s="19" t="n">
        <f aca="false">IF(Time!BV35=1,BV77,BV93-Waterfall!BV22-Waterfall!BV38)</f>
        <v>266.356414609348</v>
      </c>
      <c r="BW94" s="19" t="n">
        <f aca="false">IF(Time!BW35=1,BW77,BW93-Waterfall!BW22-Waterfall!BW38)</f>
        <v>247.841990189663</v>
      </c>
      <c r="BX94" s="19" t="n">
        <f aca="false">IF(Time!BX35=1,BX77,BX93-Waterfall!BX22-Waterfall!BX38)</f>
        <v>230.10285680002</v>
      </c>
      <c r="BY94" s="19" t="n">
        <f aca="false">IF(Time!BY35=1,BY77,BY93-Waterfall!BY22-Waterfall!BY38)</f>
        <v>210.999122747976</v>
      </c>
      <c r="BZ94" s="19" t="n">
        <f aca="false">IF(Time!BZ35=1,BZ77,BZ93-Waterfall!BZ22-Waterfall!BZ38)</f>
        <v>191.725766898331</v>
      </c>
      <c r="CA94" s="19" t="n">
        <f aca="false">IF(Time!CA35=1,CA77,CA93-Waterfall!CA22-Waterfall!CA38)</f>
        <v>175.594093356724</v>
      </c>
      <c r="CB94" s="19" t="n">
        <f aca="false">IF(Time!CB35=1,CB77,CB93-Waterfall!CB22-Waterfall!CB38)</f>
        <v>159.362919783609</v>
      </c>
      <c r="CC94" s="19" t="n">
        <f aca="false">IF(Time!CC35=1,CC77,CC93-Waterfall!CC22-Waterfall!CC38)</f>
        <v>141.574446117297</v>
      </c>
      <c r="CD94" s="19" t="n">
        <f aca="false">IF(Time!CD35=1,CD77,CD93-Waterfall!CD22-Waterfall!CD38)</f>
        <v>123.656766025284</v>
      </c>
      <c r="CE94" s="19" t="n">
        <f aca="false">IF(Time!CE35=1,CE77,CE93-Waterfall!CE22-Waterfall!CE38)</f>
        <v>106.388008822096</v>
      </c>
      <c r="CF94" s="19" t="n">
        <f aca="false">IF(Time!CF35=1,CF77,CF93-Waterfall!CF22-Waterfall!CF38)</f>
        <v>88.835174271781</v>
      </c>
      <c r="CG94" s="19" t="n">
        <f aca="false">IF(Time!CG35=1,CG77,CG93-Waterfall!CG22-Waterfall!CG38)</f>
        <v>56.5455852027691</v>
      </c>
      <c r="CH94" s="19" t="n">
        <f aca="false">IF(Time!CH35=1,CH77,CH93-Waterfall!CH22-Waterfall!CH38)</f>
        <v>32.334556662287</v>
      </c>
      <c r="CI94" s="19" t="n">
        <f aca="false">IF(Time!CI35=1,CI77,CI93-Waterfall!CI22-Waterfall!CI38)</f>
        <v>6.26000468913347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566.679110611913</v>
      </c>
      <c r="AL96" s="19" t="n">
        <f aca="false">AK102</f>
        <v>569.535794347601</v>
      </c>
      <c r="AM96" s="19" t="n">
        <f aca="false">AL102</f>
        <v>572.360067738749</v>
      </c>
      <c r="AN96" s="19" t="n">
        <f aca="false">AM102</f>
        <v>575.245389724062</v>
      </c>
      <c r="AO96" s="19" t="n">
        <f aca="false">AN102</f>
        <v>578.097976451187</v>
      </c>
      <c r="AP96" s="19" t="n">
        <f aca="false">AO102</f>
        <v>581.01222378453</v>
      </c>
      <c r="AQ96" s="19" t="n">
        <f aca="false">AP102</f>
        <v>583.893407688777</v>
      </c>
      <c r="AR96" s="19" t="n">
        <f aca="false">AQ102</f>
        <v>586.836870346715</v>
      </c>
      <c r="AS96" s="19" t="n">
        <f aca="false">AR102</f>
        <v>589.76301583721</v>
      </c>
      <c r="AT96" s="19" t="n">
        <f aca="false">AS102</f>
        <v>592.736067752664</v>
      </c>
      <c r="AU96" s="19" t="n">
        <f aca="false">AT102</f>
        <v>595.675389074944</v>
      </c>
      <c r="AV96" s="19" t="n">
        <f aca="false">AU102</f>
        <v>598.678245830829</v>
      </c>
      <c r="AW96" s="19" t="n">
        <f aca="false">AV102</f>
        <v>601.647033844401</v>
      </c>
      <c r="AX96" s="19" t="n">
        <f aca="false">AW102</f>
        <v>604.679994234192</v>
      </c>
      <c r="AY96" s="19" t="n">
        <f aca="false">AX102</f>
        <v>604.610172255889</v>
      </c>
      <c r="AZ96" s="19" t="n">
        <f aca="false">AY102</f>
        <v>604.610172255889</v>
      </c>
      <c r="BA96" s="19" t="n">
        <f aca="false">AZ102</f>
        <v>604.610172255889</v>
      </c>
      <c r="BB96" s="19" t="n">
        <f aca="false">BA102</f>
        <v>604.610172255889</v>
      </c>
      <c r="BC96" s="19" t="n">
        <f aca="false">BB102</f>
        <v>604.610172255889</v>
      </c>
      <c r="BD96" s="19" t="n">
        <f aca="false">BC102</f>
        <v>602.050300158475</v>
      </c>
      <c r="BE96" s="19" t="n">
        <f aca="false">BD102</f>
        <v>599.283742284682</v>
      </c>
      <c r="BF96" s="19" t="n">
        <f aca="false">BE102</f>
        <v>595.158529218113</v>
      </c>
      <c r="BG96" s="19" t="n">
        <f aca="false">BF102</f>
        <v>591.379606482839</v>
      </c>
      <c r="BH96" s="19" t="n">
        <f aca="false">BG102</f>
        <v>588.16000704538</v>
      </c>
      <c r="BI96" s="19" t="n">
        <f aca="false">BH102</f>
        <v>584.75378800258</v>
      </c>
      <c r="BJ96" s="19" t="n">
        <f aca="false">BI102</f>
        <v>580.991992033291</v>
      </c>
      <c r="BK96" s="19" t="n">
        <f aca="false">BJ102</f>
        <v>577.053353574418</v>
      </c>
      <c r="BL96" s="19" t="n">
        <f aca="false">BK102</f>
        <v>572.714997617559</v>
      </c>
      <c r="BM96" s="19" t="n">
        <f aca="false">BL102</f>
        <v>568.194354149777</v>
      </c>
      <c r="BN96" s="19" t="n">
        <f aca="false">BM102</f>
        <v>563.243525503202</v>
      </c>
      <c r="BO96" s="19" t="n">
        <f aca="false">BN102</f>
        <v>558.104854104877</v>
      </c>
      <c r="BP96" s="19" t="n">
        <f aca="false">BO102</f>
        <v>556.619418902238</v>
      </c>
      <c r="BQ96" s="19" t="n">
        <f aca="false">BP102</f>
        <v>554.95834571703</v>
      </c>
      <c r="BR96" s="19" t="n">
        <f aca="false">BQ102</f>
        <v>552.879285799642</v>
      </c>
      <c r="BS96" s="19" t="n">
        <f aca="false">BR102</f>
        <v>550.767166345268</v>
      </c>
      <c r="BT96" s="19" t="n">
        <f aca="false">BS102</f>
        <v>548.196755703897</v>
      </c>
      <c r="BU96" s="19" t="n">
        <f aca="false">BT102</f>
        <v>545.592263263854</v>
      </c>
      <c r="BV96" s="19" t="n">
        <f aca="false">BU102</f>
        <v>534.997314088101</v>
      </c>
      <c r="BW96" s="19" t="n">
        <f aca="false">BV102</f>
        <v>524.269538670672</v>
      </c>
      <c r="BX96" s="19" t="n">
        <f aca="false">BW102</f>
        <v>515.73371223729</v>
      </c>
      <c r="BY96" s="19" t="n">
        <f aca="false">BX102</f>
        <v>507.680807664922</v>
      </c>
      <c r="BZ96" s="19" t="n">
        <f aca="false">BY102</f>
        <v>499.077451553904</v>
      </c>
      <c r="CA96" s="19" t="n">
        <f aca="false">BZ102</f>
        <v>490.394314900826</v>
      </c>
      <c r="CB96" s="19" t="n">
        <f aca="false">CA102</f>
        <v>483.744655639453</v>
      </c>
      <c r="CC96" s="19" t="n">
        <f aca="false">CB102</f>
        <v>477.046025112406</v>
      </c>
      <c r="CD96" s="19" t="n">
        <f aca="false">CC102</f>
        <v>469.723113152475</v>
      </c>
      <c r="CE96" s="19" t="n">
        <f aca="false">CD102</f>
        <v>462.351419854514</v>
      </c>
      <c r="CF96" s="19" t="n">
        <f aca="false">CE102</f>
        <v>455.605644847591</v>
      </c>
      <c r="CG96" s="19" t="n">
        <f aca="false">CF102</f>
        <v>448.767249233888</v>
      </c>
      <c r="CH96" s="19" t="n">
        <f aca="false">CG102</f>
        <v>433.868984366961</v>
      </c>
      <c r="CI96" s="19" t="n">
        <f aca="false">CH102</f>
        <v>423.634841248624</v>
      </c>
      <c r="CJ96" s="19" t="n">
        <f aca="false">CI102</f>
        <v>412.651594540888</v>
      </c>
      <c r="CK96" s="19" t="n">
        <f aca="false">CJ102</f>
        <v>401.605385998456</v>
      </c>
      <c r="CL96" s="19" t="n">
        <f aca="false">CK102</f>
        <v>386.139818794452</v>
      </c>
      <c r="CM96" s="19" t="n">
        <f aca="false">CL102</f>
        <v>372.830599311306</v>
      </c>
      <c r="CN96" s="19" t="n">
        <f aca="false">CM102</f>
        <v>362.74076263366</v>
      </c>
      <c r="CO96" s="19" t="n">
        <f aca="false">CN102</f>
        <v>352.500444917615</v>
      </c>
      <c r="CP96" s="19" t="n">
        <f aca="false">CO102</f>
        <v>341.458096727757</v>
      </c>
      <c r="CQ96" s="19" t="n">
        <f aca="false">CP102</f>
        <v>320.492170892904</v>
      </c>
      <c r="CR96" s="19" t="n">
        <f aca="false">CQ102</f>
        <v>297.952613493893</v>
      </c>
      <c r="CS96" s="19" t="n">
        <f aca="false">CR102</f>
        <v>275.304947189006</v>
      </c>
      <c r="CT96" s="19" t="n">
        <f aca="false">CS102</f>
        <v>236.823908480677</v>
      </c>
      <c r="CU96" s="19" t="n">
        <f aca="false">CT102</f>
        <v>209.328052476768</v>
      </c>
      <c r="CV96" s="19" t="n">
        <f aca="false">CU102</f>
        <v>182.904611310378</v>
      </c>
      <c r="CW96" s="19" t="n">
        <f aca="false">CV102</f>
        <v>156.279723086132</v>
      </c>
      <c r="CX96" s="19" t="n">
        <f aca="false">CW102</f>
        <v>128.008496834147</v>
      </c>
      <c r="CY96" s="19" t="n">
        <f aca="false">CX102</f>
        <v>99.7174100887092</v>
      </c>
      <c r="CZ96" s="19" t="n">
        <f aca="false">CY102</f>
        <v>69.5096298426176</v>
      </c>
      <c r="DA96" s="19" t="n">
        <f aca="false">CZ102</f>
        <v>39.2797560941465</v>
      </c>
      <c r="DB96" s="19" t="n">
        <f aca="false">DA102</f>
        <v>3.35447225552343E-011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527.725294636542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2.8116132743953</v>
      </c>
      <c r="AK97" s="19" t="n">
        <f aca="false">AK96*Time!AK50*Time!AK9/Inputs!$F$45</f>
        <v>2.85668373568745</v>
      </c>
      <c r="AL97" s="19" t="n">
        <f aca="false">AL96*Time!AL50*Time!AL9/Inputs!$F$45</f>
        <v>2.82427339114838</v>
      </c>
      <c r="AM97" s="19" t="n">
        <f aca="false">AM96*Time!AM50*Time!AM9/Inputs!$F$45</f>
        <v>2.88532198531315</v>
      </c>
      <c r="AN97" s="19" t="n">
        <f aca="false">AN96*Time!AN50*Time!AN9/Inputs!$F$45</f>
        <v>2.8525867271248</v>
      </c>
      <c r="AO97" s="19" t="n">
        <f aca="false">AO96*Time!AO50*Time!AO9/Inputs!$F$45</f>
        <v>2.91424733334297</v>
      </c>
      <c r="AP97" s="19" t="n">
        <f aca="false">AP96*Time!AP50*Time!AP9/Inputs!$F$45</f>
        <v>2.88118390424657</v>
      </c>
      <c r="AQ97" s="19" t="n">
        <f aca="false">AQ96*Time!AQ50*Time!AQ9/Inputs!$F$45</f>
        <v>2.94346265793794</v>
      </c>
      <c r="AR97" s="19" t="n">
        <f aca="false">AR96*Time!AR50*Time!AR9/Inputs!$F$45</f>
        <v>2.92614549049595</v>
      </c>
      <c r="AS97" s="19" t="n">
        <f aca="false">AS96*Time!AS50*Time!AS9/Inputs!$F$45</f>
        <v>2.97305191545334</v>
      </c>
      <c r="AT97" s="19" t="n">
        <f aca="false">AT96*Time!AT50*Time!AT9/Inputs!$F$45</f>
        <v>2.93932132228033</v>
      </c>
      <c r="AU97" s="19" t="n">
        <f aca="false">AU96*Time!AU50*Time!AU9/Inputs!$F$45</f>
        <v>3.00285675588465</v>
      </c>
      <c r="AV97" s="19" t="n">
        <f aca="false">AV96*Time!AV50*Time!AV9/Inputs!$F$45</f>
        <v>2.96878801357206</v>
      </c>
      <c r="AW97" s="19" t="n">
        <f aca="false">AW96*Time!AW50*Time!AW9/Inputs!$F$45</f>
        <v>3.03296038979095</v>
      </c>
      <c r="AX97" s="19" t="n">
        <f aca="false">AX96*Time!AX50*Time!AX9/Inputs!$F$45</f>
        <v>9.17556333168628</v>
      </c>
      <c r="AY97" s="19" t="n">
        <f aca="false">AY96*Time!AY50*Time!AY9/Inputs!$F$45</f>
        <v>9.32656743525906</v>
      </c>
      <c r="AZ97" s="19" t="n">
        <f aca="false">AZ96*Time!AZ50*Time!AZ9/Inputs!$F$45</f>
        <v>9.22519170226712</v>
      </c>
      <c r="BA97" s="19" t="n">
        <f aca="false">BA96*Time!BA50*Time!BA9/Inputs!$F$45</f>
        <v>9.32656743525906</v>
      </c>
      <c r="BB97" s="19" t="n">
        <f aca="false">BB96*Time!BB50*Time!BB9/Inputs!$F$45</f>
        <v>9.17450383577114</v>
      </c>
      <c r="BC97" s="19" t="n">
        <f aca="false">BC96*Time!BC50*Time!BC9/Inputs!$F$45</f>
        <v>9.32656743525906</v>
      </c>
      <c r="BD97" s="19" t="n">
        <f aca="false">BD96*Time!BD50*Time!BD9/Inputs!$F$45</f>
        <v>9.13565970536364</v>
      </c>
      <c r="BE97" s="19" t="n">
        <f aca="false">BE96*Time!BE50*Time!BE9/Inputs!$F$45</f>
        <v>9.24440323988951</v>
      </c>
      <c r="BF97" s="19" t="n">
        <f aca="false">BF96*Time!BF50*Time!BF9/Inputs!$F$45</f>
        <v>9.03108227377382</v>
      </c>
      <c r="BG97" s="19" t="n">
        <f aca="false">BG96*Time!BG50*Time!BG9/Inputs!$F$45</f>
        <v>9.12247598997528</v>
      </c>
      <c r="BH97" s="19" t="n">
        <f aca="false">BH96*Time!BH50*Time!BH9/Inputs!$F$45</f>
        <v>8.9741937294168</v>
      </c>
      <c r="BI97" s="19" t="n">
        <f aca="false">BI96*Time!BI50*Time!BI9/Inputs!$F$45</f>
        <v>9.02026774786226</v>
      </c>
      <c r="BJ97" s="19" t="n">
        <f aca="false">BJ96*Time!BJ50*Time!BJ9/Inputs!$F$45</f>
        <v>8.81611574541256</v>
      </c>
      <c r="BK97" s="19" t="n">
        <f aca="false">BK96*Time!BK50*Time!BK9/Inputs!$F$45</f>
        <v>8.90148274511069</v>
      </c>
      <c r="BL97" s="19" t="n">
        <f aca="false">BL96*Time!BL50*Time!BL9/Inputs!$F$45</f>
        <v>8.69051859124551</v>
      </c>
      <c r="BM97" s="19" t="n">
        <f aca="false">BM96*Time!BM50*Time!BM9/Inputs!$F$45</f>
        <v>8.764826004397</v>
      </c>
      <c r="BN97" s="19" t="n">
        <f aca="false">BN96*Time!BN50*Time!BN9/Inputs!$F$45</f>
        <v>8.54679613795078</v>
      </c>
      <c r="BO97" s="19" t="n">
        <f aca="false">BO96*Time!BO50*Time!BO9/Inputs!$F$45</f>
        <v>8.6091878645263</v>
      </c>
      <c r="BP97" s="19" t="n">
        <f aca="false">BP96*Time!BP50*Time!BP9/Inputs!$F$45</f>
        <v>8.49294484315163</v>
      </c>
      <c r="BQ97" s="19" t="n">
        <f aca="false">BQ96*Time!BQ50*Time!BQ9/Inputs!$F$45</f>
        <v>8.56065060198675</v>
      </c>
      <c r="BR97" s="19" t="n">
        <f aca="false">BR96*Time!BR50*Time!BR9/Inputs!$F$45</f>
        <v>8.389526609123</v>
      </c>
      <c r="BS97" s="19" t="n">
        <f aca="false">BS96*Time!BS50*Time!BS9/Inputs!$F$45</f>
        <v>8.49599850243945</v>
      </c>
      <c r="BT97" s="19" t="n">
        <f aca="false">BT96*Time!BT50*Time!BT9/Inputs!$F$45</f>
        <v>8.3184727428537</v>
      </c>
      <c r="BU97" s="19" t="n">
        <f aca="false">BU96*Time!BU50*Time!BU9/Inputs!$F$45</f>
        <v>8.41617172350905</v>
      </c>
      <c r="BV97" s="19" t="n">
        <f aca="false">BV96*Time!BV50*Time!BV9/Inputs!$F$45</f>
        <v>8.11818116111879</v>
      </c>
      <c r="BW97" s="19" t="n">
        <f aca="false">BW96*Time!BW50*Time!BW9/Inputs!$F$45</f>
        <v>8.08725263159275</v>
      </c>
      <c r="BX97" s="19" t="n">
        <f aca="false">BX96*Time!BX50*Time!BX9/Inputs!$F$45</f>
        <v>7.86910737038881</v>
      </c>
      <c r="BY97" s="19" t="n">
        <f aca="false">BY96*Time!BY50*Time!BY9/Inputs!$F$45</f>
        <v>7.83135895747007</v>
      </c>
      <c r="BZ97" s="19" t="n">
        <f aca="false">BZ96*Time!BZ50*Time!BZ9/Inputs!$F$45</f>
        <v>7.57312431007247</v>
      </c>
      <c r="CA97" s="19" t="n">
        <f aca="false">CA96*Time!CA50*Time!CA9/Inputs!$F$45</f>
        <v>7.56470178251401</v>
      </c>
      <c r="CB97" s="19" t="n">
        <f aca="false">CB96*Time!CB50*Time!CB9/Inputs!$F$45</f>
        <v>7.3404606841772</v>
      </c>
      <c r="CC97" s="19" t="n">
        <f aca="false">CC96*Time!CC50*Time!CC9/Inputs!$F$45</f>
        <v>7.35879435559696</v>
      </c>
      <c r="CD97" s="19" t="n">
        <f aca="false">CD96*Time!CD50*Time!CD9/Inputs!$F$45</f>
        <v>7.12769434111314</v>
      </c>
      <c r="CE97" s="19" t="n">
        <f aca="false">CE96*Time!CE50*Time!CE9/Inputs!$F$45</f>
        <v>7.13211899821605</v>
      </c>
      <c r="CF97" s="19" t="n">
        <f aca="false">CF96*Time!CF50*Time!CF9/Inputs!$F$45</f>
        <v>6.95166837612384</v>
      </c>
      <c r="CG97" s="19" t="n">
        <f aca="false">CG96*Time!CG50*Time!CG9/Inputs!$F$45</f>
        <v>6.92257293174379</v>
      </c>
      <c r="CH97" s="19" t="n">
        <f aca="false">CH96*Time!CH50*Time!CH9/Inputs!$F$45</f>
        <v>6.58363495017767</v>
      </c>
      <c r="CI97" s="19" t="n">
        <f aca="false">CI96*Time!CI50*Time!CI9/Inputs!$F$45</f>
        <v>6.53488660319522</v>
      </c>
      <c r="CJ97" s="19" t="n">
        <f aca="false">CJ96*Time!CJ50*Time!CJ9/Inputs!$F$45</f>
        <v>6.26167704527167</v>
      </c>
      <c r="CK97" s="19" t="n">
        <f aca="false">CK96*Time!CK50*Time!CK9/Inputs!$F$45</f>
        <v>6.1950656584266</v>
      </c>
      <c r="CL97" s="19" t="n">
        <f aca="false">CL96*Time!CL50*Time!CL9/Inputs!$F$45</f>
        <v>5.85938082294508</v>
      </c>
      <c r="CM97" s="19" t="n">
        <f aca="false">CM96*Time!CM50*Time!CM9/Inputs!$F$45</f>
        <v>5.7511928941435</v>
      </c>
      <c r="CN97" s="19" t="n">
        <f aca="false">CN96*Time!CN50*Time!CN9/Inputs!$F$45</f>
        <v>5.53472837057365</v>
      </c>
      <c r="CO97" s="19" t="n">
        <f aca="false">CO96*Time!CO50*Time!CO9/Inputs!$F$45</f>
        <v>5.43758494538121</v>
      </c>
      <c r="CP97" s="19" t="n">
        <f aca="false">CP96*Time!CP50*Time!CP9/Inputs!$F$45</f>
        <v>5.18136935489412</v>
      </c>
      <c r="CQ97" s="19" t="n">
        <f aca="false">CQ96*Time!CQ50*Time!CQ9/Inputs!$F$45</f>
        <v>4.94383320272714</v>
      </c>
      <c r="CR97" s="19" t="n">
        <f aca="false">CR96*Time!CR50*Time!CR9/Inputs!$F$45</f>
        <v>4.52120642492404</v>
      </c>
      <c r="CS97" s="19" t="n">
        <f aca="false">CS96*Time!CS50*Time!CS9/Inputs!$F$45</f>
        <v>4.24678623192597</v>
      </c>
      <c r="CT97" s="19" t="n">
        <f aca="false">CT96*Time!CT50*Time!CT9/Inputs!$F$45</f>
        <v>3.59362438222213</v>
      </c>
      <c r="CU97" s="19" t="n">
        <f aca="false">CU96*Time!CU50*Time!CU9/Inputs!$F$45</f>
        <v>3.22904292237039</v>
      </c>
      <c r="CV97" s="19" t="n">
        <f aca="false">CV96*Time!CV50*Time!CV9/Inputs!$F$45</f>
        <v>2.79077359262947</v>
      </c>
      <c r="CW97" s="19" t="n">
        <f aca="false">CW96*Time!CW50*Time!CW9/Inputs!$F$45</f>
        <v>2.41073247360044</v>
      </c>
      <c r="CX97" s="19" t="n">
        <f aca="false">CX96*Time!CX50*Time!CX9/Inputs!$F$45</f>
        <v>1.94243249470029</v>
      </c>
      <c r="CY97" s="19" t="n">
        <f aca="false">CY96*Time!CY50*Time!CY9/Inputs!$F$45</f>
        <v>1.53821618017389</v>
      </c>
      <c r="CZ97" s="19" t="n">
        <f aca="false">CZ96*Time!CZ50*Time!CZ9/Inputs!$F$45</f>
        <v>1.05475626259266</v>
      </c>
      <c r="DA97" s="19" t="n">
        <f aca="false">DA96*Time!DA50*Time!DA9/Inputs!$F$45</f>
        <v>0.605919832088993</v>
      </c>
      <c r="DB97" s="19" t="n">
        <f aca="false">DB96*Time!DB50*Time!DB9/Inputs!$F$45</f>
        <v>5.09015891354578E-013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387.179616518582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0</v>
      </c>
      <c r="AK98" s="19" t="n">
        <f aca="false">AK97*Time!AK51*(1-Time!AK20)</f>
        <v>0</v>
      </c>
      <c r="AL98" s="19" t="n">
        <f aca="false">AL97*Time!AL51*(1-Time!AL20)</f>
        <v>0</v>
      </c>
      <c r="AM98" s="19" t="n">
        <f aca="false">AM97*Time!AM51*(1-Time!AM20)</f>
        <v>0</v>
      </c>
      <c r="AN98" s="19" t="n">
        <f aca="false">AN97*Time!AN51*(1-Time!AN20)</f>
        <v>0</v>
      </c>
      <c r="AO98" s="19" t="n">
        <f aca="false">AO97*Time!AO51*(1-Time!AO20)</f>
        <v>0</v>
      </c>
      <c r="AP98" s="19" t="n">
        <f aca="false">AP97*Time!AP51*(1-Time!AP20)</f>
        <v>0</v>
      </c>
      <c r="AQ98" s="19" t="n">
        <f aca="false">AQ97*Time!AQ51*(1-Time!AQ20)</f>
        <v>0</v>
      </c>
      <c r="AR98" s="19" t="n">
        <f aca="false">AR97*Time!AR51*(1-Time!AR20)</f>
        <v>0</v>
      </c>
      <c r="AS98" s="19" t="n">
        <f aca="false">AS97*Time!AS51*(1-Time!AS20)</f>
        <v>0</v>
      </c>
      <c r="AT98" s="19" t="n">
        <f aca="false">AT97*Time!AT51*(1-Time!AT20)</f>
        <v>0</v>
      </c>
      <c r="AU98" s="19" t="n">
        <f aca="false">AU97*Time!AU51*(1-Time!AU20)</f>
        <v>0</v>
      </c>
      <c r="AV98" s="19" t="n">
        <f aca="false">AV97*Time!AV51*(1-Time!AV20)</f>
        <v>0</v>
      </c>
      <c r="AW98" s="19" t="n">
        <f aca="false">AW97*Time!AW51*(1-Time!AW20)</f>
        <v>0</v>
      </c>
      <c r="AX98" s="19" t="n">
        <f aca="false">AX97*Time!AX51*(1-Time!AX20)</f>
        <v>9.17556333168628</v>
      </c>
      <c r="AY98" s="19" t="n">
        <f aca="false">AY97*Time!AY51*(1-Time!AY20)</f>
        <v>9.32656743525906</v>
      </c>
      <c r="AZ98" s="19" t="n">
        <f aca="false">AZ97*Time!AZ51*(1-Time!AZ20)</f>
        <v>9.22519170226712</v>
      </c>
      <c r="BA98" s="19" t="n">
        <f aca="false">BA97*Time!BA51*(1-Time!BA20)</f>
        <v>9.32656743525906</v>
      </c>
      <c r="BB98" s="19" t="n">
        <f aca="false">BB97*Time!BB51*(1-Time!BB20)</f>
        <v>9.17450383577114</v>
      </c>
      <c r="BC98" s="19" t="n">
        <f aca="false">BC97*Time!BC51*(1-Time!BC20)</f>
        <v>9.32656743525906</v>
      </c>
      <c r="BD98" s="19" t="n">
        <f aca="false">BD97*Time!BD51*(1-Time!BD20)</f>
        <v>9.13565970536364</v>
      </c>
      <c r="BE98" s="19" t="n">
        <f aca="false">BE97*Time!BE51*(1-Time!BE20)</f>
        <v>9.24440323988951</v>
      </c>
      <c r="BF98" s="19" t="n">
        <f aca="false">BF97*Time!BF51*(1-Time!BF20)</f>
        <v>9.03108227377382</v>
      </c>
      <c r="BG98" s="19" t="n">
        <f aca="false">BG97*Time!BG51*(1-Time!BG20)</f>
        <v>9.12247598997528</v>
      </c>
      <c r="BH98" s="19" t="n">
        <f aca="false">BH97*Time!BH51*(1-Time!BH20)</f>
        <v>8.9741937294168</v>
      </c>
      <c r="BI98" s="19" t="n">
        <f aca="false">BI97*Time!BI51*(1-Time!BI20)</f>
        <v>9.02026774786226</v>
      </c>
      <c r="BJ98" s="19" t="n">
        <f aca="false">BJ97*Time!BJ51*(1-Time!BJ20)</f>
        <v>8.81611574541256</v>
      </c>
      <c r="BK98" s="19" t="n">
        <f aca="false">BK97*Time!BK51*(1-Time!BK20)</f>
        <v>8.90148274511069</v>
      </c>
      <c r="BL98" s="19" t="n">
        <f aca="false">BL97*Time!BL51*(1-Time!BL20)</f>
        <v>8.69051859124551</v>
      </c>
      <c r="BM98" s="19" t="n">
        <f aca="false">BM97*Time!BM51*(1-Time!BM20)</f>
        <v>8.764826004397</v>
      </c>
      <c r="BN98" s="19" t="n">
        <f aca="false">BN97*Time!BN51*(1-Time!BN20)</f>
        <v>8.54679613795078</v>
      </c>
      <c r="BO98" s="19" t="n">
        <f aca="false">BO97*Time!BO51*(1-Time!BO20)</f>
        <v>8.6091878645263</v>
      </c>
      <c r="BP98" s="19" t="n">
        <f aca="false">BP97*Time!BP51*(1-Time!BP20)</f>
        <v>8.49294484315163</v>
      </c>
      <c r="BQ98" s="19" t="n">
        <f aca="false">BQ97*Time!BQ51*(1-Time!BQ20)</f>
        <v>8.56065060198675</v>
      </c>
      <c r="BR98" s="19" t="n">
        <f aca="false">BR97*Time!BR51*(1-Time!BR20)</f>
        <v>8.389526609123</v>
      </c>
      <c r="BS98" s="19" t="n">
        <f aca="false">BS97*Time!BS51*(1-Time!BS20)</f>
        <v>8.49599850243945</v>
      </c>
      <c r="BT98" s="19" t="n">
        <f aca="false">BT97*Time!BT51*(1-Time!BT20)</f>
        <v>8.3184727428537</v>
      </c>
      <c r="BU98" s="19" t="n">
        <f aca="false">BU97*Time!BU51*(1-Time!BU20)</f>
        <v>8.41617172350905</v>
      </c>
      <c r="BV98" s="19" t="n">
        <f aca="false">BV97*Time!BV51*(1-Time!BV20)</f>
        <v>8.11818116111879</v>
      </c>
      <c r="BW98" s="19" t="n">
        <f aca="false">BW97*Time!BW51*(1-Time!BW20)</f>
        <v>8.08725263159275</v>
      </c>
      <c r="BX98" s="19" t="n">
        <f aca="false">BX97*Time!BX51*(1-Time!BX20)</f>
        <v>7.86910737038881</v>
      </c>
      <c r="BY98" s="19" t="n">
        <f aca="false">BY97*Time!BY51*(1-Time!BY20)</f>
        <v>7.83135895747007</v>
      </c>
      <c r="BZ98" s="19" t="n">
        <f aca="false">BZ97*Time!BZ51*(1-Time!BZ20)</f>
        <v>7.57312431007247</v>
      </c>
      <c r="CA98" s="19" t="n">
        <f aca="false">CA97*Time!CA51*(1-Time!CA20)</f>
        <v>7.56470178251401</v>
      </c>
      <c r="CB98" s="19" t="n">
        <f aca="false">CB97*Time!CB51*(1-Time!CB20)</f>
        <v>7.3404606841772</v>
      </c>
      <c r="CC98" s="19" t="n">
        <f aca="false">CC97*Time!CC51*(1-Time!CC20)</f>
        <v>7.35879435559696</v>
      </c>
      <c r="CD98" s="19" t="n">
        <f aca="false">CD97*Time!CD51*(1-Time!CD20)</f>
        <v>7.12769434111314</v>
      </c>
      <c r="CE98" s="19" t="n">
        <f aca="false">CE97*Time!CE51*(1-Time!CE20)</f>
        <v>7.13211899821605</v>
      </c>
      <c r="CF98" s="19" t="n">
        <f aca="false">CF97*Time!CF51*(1-Time!CF20)</f>
        <v>6.95166837612384</v>
      </c>
      <c r="CG98" s="19" t="n">
        <f aca="false">CG97*Time!CG51*(1-Time!CG20)</f>
        <v>6.92257293174379</v>
      </c>
      <c r="CH98" s="19" t="n">
        <f aca="false">CH97*Time!CH51*(1-Time!CH20)</f>
        <v>6.58363495017767</v>
      </c>
      <c r="CI98" s="19" t="n">
        <f aca="false">CI97*Time!CI51*(1-Time!CI20)</f>
        <v>6.53488660319522</v>
      </c>
      <c r="CJ98" s="19" t="n">
        <f aca="false">CJ97*Time!CJ51*(1-Time!CJ20)</f>
        <v>6.26167704527167</v>
      </c>
      <c r="CK98" s="19" t="n">
        <f aca="false">CK97*Time!CK51*(1-Time!CK20)</f>
        <v>6.1950656584266</v>
      </c>
      <c r="CL98" s="19" t="n">
        <f aca="false">CL97*Time!CL51*(1-Time!CL20)</f>
        <v>5.85938082294508</v>
      </c>
      <c r="CM98" s="19" t="n">
        <f aca="false">CM97*Time!CM51*(1-Time!CM20)</f>
        <v>5.7511928941435</v>
      </c>
      <c r="CN98" s="19" t="n">
        <f aca="false">CN97*Time!CN51*(1-Time!CN20)</f>
        <v>5.53472837057365</v>
      </c>
      <c r="CO98" s="19" t="n">
        <f aca="false">CO97*Time!CO51*(1-Time!CO20)</f>
        <v>5.43758494538121</v>
      </c>
      <c r="CP98" s="19" t="n">
        <f aca="false">CP97*Time!CP51*(1-Time!CP20)</f>
        <v>5.18136935489412</v>
      </c>
      <c r="CQ98" s="19" t="n">
        <f aca="false">CQ97*Time!CQ51*(1-Time!CQ20)</f>
        <v>4.94383320272714</v>
      </c>
      <c r="CR98" s="19" t="n">
        <f aca="false">CR97*Time!CR51*(1-Time!CR20)</f>
        <v>4.52120642492404</v>
      </c>
      <c r="CS98" s="19" t="n">
        <f aca="false">CS97*Time!CS51*(1-Time!CS20)</f>
        <v>4.24678623192597</v>
      </c>
      <c r="CT98" s="19" t="n">
        <f aca="false">CT97*Time!CT51*(1-Time!CT20)</f>
        <v>3.59362438222213</v>
      </c>
      <c r="CU98" s="19" t="n">
        <f aca="false">CU97*Time!CU51*(1-Time!CU20)</f>
        <v>3.22904292237039</v>
      </c>
      <c r="CV98" s="19" t="n">
        <f aca="false">CV97*Time!CV51*(1-Time!CV20)</f>
        <v>2.79077359262947</v>
      </c>
      <c r="CW98" s="19" t="n">
        <f aca="false">CW97*Time!CW51*(1-Time!CW20)</f>
        <v>2.41073247360044</v>
      </c>
      <c r="CX98" s="19" t="n">
        <f aca="false">CX97*Time!CX51*(1-Time!CX20)</f>
        <v>1.94243249470029</v>
      </c>
      <c r="CY98" s="19" t="n">
        <f aca="false">CY97*Time!CY51*(1-Time!CY20)</f>
        <v>1.53821618017389</v>
      </c>
      <c r="CZ98" s="19" t="n">
        <f aca="false">CZ97*Time!CZ51*(1-Time!CZ20)</f>
        <v>1.05475626259266</v>
      </c>
      <c r="DA98" s="19" t="n">
        <f aca="false">DA97*Time!DA51*(1-Time!DA20)</f>
        <v>0.605919832088993</v>
      </c>
      <c r="DB98" s="19" t="n">
        <f aca="false">DB97*Time!DB51*(1-Time!DB20)</f>
        <v>5.09015891354578E-013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604.679994234158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0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</v>
      </c>
      <c r="AV99" s="19" t="n">
        <f aca="false">MIN(AV116,AV96+AV97-AV98)*(1-Time!AV20)</f>
        <v>0</v>
      </c>
      <c r="AW99" s="19" t="n">
        <f aca="false">MIN(AW116,AW96+AW97-AW98)*(1-Time!AW20)</f>
        <v>0</v>
      </c>
      <c r="AX99" s="19" t="n">
        <f aca="false">MIN(AX116,AX96+AX97-AX98)*(1-Time!AX20)</f>
        <v>0.0698219783025849</v>
      </c>
      <c r="AY99" s="19" t="n">
        <f aca="false">MIN(AY116,AY96+AY97-AY98)*(1-Time!AY20)</f>
        <v>0</v>
      </c>
      <c r="AZ99" s="19" t="n">
        <f aca="false">MIN(AZ116,AZ96+AZ97-AZ98)*(1-Time!AZ20)</f>
        <v>0</v>
      </c>
      <c r="BA99" s="19" t="n">
        <f aca="false">MIN(BA116,BA96+BA97-BA98)*(1-Time!BA20)</f>
        <v>0</v>
      </c>
      <c r="BB99" s="19" t="n">
        <f aca="false">MIN(BB116,BB96+BB97-BB98)*(1-Time!BB20)</f>
        <v>0</v>
      </c>
      <c r="BC99" s="19" t="n">
        <f aca="false">MIN(BC116,BC96+BC97-BC98)*(1-Time!BC20)</f>
        <v>2.55987209741435</v>
      </c>
      <c r="BD99" s="19" t="n">
        <f aca="false">MIN(BD116,BD96+BD97-BD98)*(1-Time!BD20)</f>
        <v>2.76655787379327</v>
      </c>
      <c r="BE99" s="19" t="n">
        <f aca="false">MIN(BE116,BE96+BE97-BE98)*(1-Time!BE20)</f>
        <v>4.12521306656819</v>
      </c>
      <c r="BF99" s="19" t="n">
        <f aca="false">MIN(BF116,BF96+BF97-BF98)*(1-Time!BF20)</f>
        <v>3.77892273527398</v>
      </c>
      <c r="BG99" s="19" t="n">
        <f aca="false">MIN(BG116,BG96+BG97-BG98)*(1-Time!BG20)</f>
        <v>3.21959943745923</v>
      </c>
      <c r="BH99" s="19" t="n">
        <f aca="false">MIN(BH116,BH96+BH97-BH98)*(1-Time!BH20)</f>
        <v>3.40621904280053</v>
      </c>
      <c r="BI99" s="19" t="n">
        <f aca="false">MIN(BI116,BI96+BI97-BI98)*(1-Time!BI20)</f>
        <v>3.76179596928842</v>
      </c>
      <c r="BJ99" s="19" t="n">
        <f aca="false">MIN(BJ116,BJ96+BJ97-BJ98)*(1-Time!BJ20)</f>
        <v>3.93863845887332</v>
      </c>
      <c r="BK99" s="19" t="n">
        <f aca="false">MIN(BK116,BK96+BK97-BK98)*(1-Time!BK20)</f>
        <v>4.33835595685883</v>
      </c>
      <c r="BL99" s="19" t="n">
        <f aca="false">MIN(BL116,BL96+BL97-BL98)*(1-Time!BL20)</f>
        <v>4.520643467782</v>
      </c>
      <c r="BM99" s="19" t="n">
        <f aca="false">MIN(BM116,BM96+BM97-BM98)*(1-Time!BM20)</f>
        <v>4.95082864657498</v>
      </c>
      <c r="BN99" s="19" t="n">
        <f aca="false">MIN(BN116,BN96+BN97-BN98)*(1-Time!BN20)</f>
        <v>5.13867139832513</v>
      </c>
      <c r="BO99" s="19" t="n">
        <f aca="false">MIN(BO116,BO96+BO97-BO98)*(1-Time!BO20)</f>
        <v>1.4854352026389</v>
      </c>
      <c r="BP99" s="19" t="n">
        <f aca="false">MIN(BP116,BP96+BP97-BP98)*(1-Time!BP20)</f>
        <v>1.66107318520848</v>
      </c>
      <c r="BQ99" s="19" t="n">
        <f aca="false">MIN(BQ116,BQ96+BQ97-BQ98)*(1-Time!BQ20)</f>
        <v>2.07905991738776</v>
      </c>
      <c r="BR99" s="19" t="n">
        <f aca="false">MIN(BR116,BR96+BR97-BR98)*(1-Time!BR20)</f>
        <v>2.11211945437354</v>
      </c>
      <c r="BS99" s="19" t="n">
        <f aca="false">MIN(BS116,BS96+BS97-BS98)*(1-Time!BS20)</f>
        <v>2.57041064137173</v>
      </c>
      <c r="BT99" s="19" t="n">
        <f aca="false">MIN(BT116,BT96+BT97-BT98)*(1-Time!BT20)</f>
        <v>2.60449244004244</v>
      </c>
      <c r="BU99" s="19" t="n">
        <f aca="false">MIN(BU116,BU96+BU97-BU98)*(1-Time!BU20)</f>
        <v>10.5949491757527</v>
      </c>
      <c r="BV99" s="19" t="n">
        <f aca="false">MIN(BV116,BV96+BV97-BV98)*(1-Time!BV20)</f>
        <v>10.727775417429</v>
      </c>
      <c r="BW99" s="19" t="n">
        <f aca="false">MIN(BW116,BW96+BW97-BW98)*(1-Time!BW20)</f>
        <v>8.53582643338258</v>
      </c>
      <c r="BX99" s="19" t="n">
        <f aca="false">MIN(BX116,BX96+BX97-BX98)*(1-Time!BX20)</f>
        <v>8.05290457236801</v>
      </c>
      <c r="BY99" s="19" t="n">
        <f aca="false">MIN(BY116,BY96+BY97-BY98)*(1-Time!BY20)</f>
        <v>8.60335611101771</v>
      </c>
      <c r="BZ99" s="19" t="n">
        <f aca="false">MIN(BZ116,BZ96+BZ97-BZ98)*(1-Time!BZ20)</f>
        <v>8.68313665307775</v>
      </c>
      <c r="CA99" s="19" t="n">
        <f aca="false">MIN(CA116,CA96+CA97-CA98)*(1-Time!CA20)</f>
        <v>6.64965926137305</v>
      </c>
      <c r="CB99" s="19" t="n">
        <f aca="false">MIN(CB116,CB96+CB97-CB98)*(1-Time!CB20)</f>
        <v>6.69863052704726</v>
      </c>
      <c r="CC99" s="19" t="n">
        <f aca="false">MIN(CC116,CC96+CC97-CC98)*(1-Time!CC20)</f>
        <v>7.32291195993135</v>
      </c>
      <c r="CD99" s="19" t="n">
        <f aca="false">MIN(CD116,CD96+CD97-CD98)*(1-Time!CD20)</f>
        <v>7.37169329796044</v>
      </c>
      <c r="CE99" s="19" t="n">
        <f aca="false">MIN(CE116,CE96+CE97-CE98)*(1-Time!CE20)</f>
        <v>6.74577500692371</v>
      </c>
      <c r="CF99" s="19" t="n">
        <f aca="false">MIN(CF116,CF96+CF97-CF98)*(1-Time!CF20)</f>
        <v>6.83839561370266</v>
      </c>
      <c r="CG99" s="19" t="n">
        <f aca="false">MIN(CG116,CG96+CG97-CG98)*(1-Time!CG20)</f>
        <v>14.8982648669268</v>
      </c>
      <c r="CH99" s="19" t="n">
        <f aca="false">MIN(CH116,CH96+CH97-CH98)*(1-Time!CH20)</f>
        <v>10.234143118337</v>
      </c>
      <c r="CI99" s="19" t="n">
        <f aca="false">MIN(CI116,CI96+CI97-CI98)*(1-Time!CI20)</f>
        <v>10.9832467077365</v>
      </c>
      <c r="CJ99" s="19" t="n">
        <f aca="false">MIN(CJ116,CJ96+CJ97-CJ98)*(1-Time!CJ20)</f>
        <v>11.0462085424312</v>
      </c>
      <c r="CK99" s="19" t="n">
        <f aca="false">MIN(CK116,CK96+CK97-CK98)*(1-Time!CK20)</f>
        <v>15.4655672040041</v>
      </c>
      <c r="CL99" s="19" t="n">
        <f aca="false">MIN(CL116,CL96+CL97-CL98)*(1-Time!CL20)</f>
        <v>13.3092194831465</v>
      </c>
      <c r="CM99" s="19" t="n">
        <f aca="false">MIN(CM116,CM96+CM97-CM98)*(1-Time!CM20)</f>
        <v>10.0898366776454</v>
      </c>
      <c r="CN99" s="19" t="n">
        <f aca="false">MIN(CN116,CN96+CN97-CN98)*(1-Time!CN20)</f>
        <v>10.240317716045</v>
      </c>
      <c r="CO99" s="19" t="n">
        <f aca="false">MIN(CO116,CO96+CO97-CO98)*(1-Time!CO20)</f>
        <v>11.0423481898588</v>
      </c>
      <c r="CP99" s="19" t="n">
        <f aca="false">MIN(CP116,CP96+CP97-CP98)*(1-Time!CP20)</f>
        <v>20.9659258348527</v>
      </c>
      <c r="CQ99" s="19" t="n">
        <f aca="false">MIN(CQ116,CQ96+CQ97-CQ98)*(1-Time!CQ20)</f>
        <v>22.539557399011</v>
      </c>
      <c r="CR99" s="19" t="n">
        <f aca="false">MIN(CR116,CR96+CR97-CR98)*(1-Time!CR20)</f>
        <v>22.6476663048869</v>
      </c>
      <c r="CS99" s="19" t="n">
        <f aca="false">MIN(CS116,CS96+CS97-CS98)*(1-Time!CS20)</f>
        <v>38.481038708329</v>
      </c>
      <c r="CT99" s="19" t="n">
        <f aca="false">MIN(CT116,CT96+CT97-CT98)*(1-Time!CT20)</f>
        <v>27.4958560039095</v>
      </c>
      <c r="CU99" s="19" t="n">
        <f aca="false">MIN(CU116,CU96+CU97-CU98)*(1-Time!CU20)</f>
        <v>26.4234411663895</v>
      </c>
      <c r="CV99" s="19" t="n">
        <f aca="false">MIN(CV116,CV96+CV97-CV98)*(1-Time!CV20)</f>
        <v>26.6248882242457</v>
      </c>
      <c r="CW99" s="19" t="n">
        <f aca="false">MIN(CW116,CW96+CW97-CW98)*(1-Time!CW20)</f>
        <v>28.2712262519853</v>
      </c>
      <c r="CX99" s="19" t="n">
        <f aca="false">MIN(CX116,CX96+CX97-CX98)*(1-Time!CX20)</f>
        <v>28.2910867454378</v>
      </c>
      <c r="CY99" s="19" t="n">
        <f aca="false">MIN(CY116,CY96+CY97-CY98)*(1-Time!CY20)</f>
        <v>30.2077802460917</v>
      </c>
      <c r="CZ99" s="19" t="n">
        <f aca="false">MIN(CZ116,CZ96+CZ97-CZ98)*(1-Time!CZ20)</f>
        <v>30.2298737484711</v>
      </c>
      <c r="DA99" s="19" t="n">
        <f aca="false">MIN(DA116,DA96+DA97-DA98)*(1-Time!DA20)</f>
        <v>39.279756094113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991.85961075274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0</v>
      </c>
      <c r="AK100" s="19" t="n">
        <f aca="false">AK98+AK99+AJ101</f>
        <v>0</v>
      </c>
      <c r="AL100" s="19" t="n">
        <f aca="false">AL98+AL99+AK101</f>
        <v>0</v>
      </c>
      <c r="AM100" s="19" t="n">
        <f aca="false">AM98+AM99+AL101</f>
        <v>0</v>
      </c>
      <c r="AN100" s="19" t="n">
        <f aca="false">AN98+AN99+AM101</f>
        <v>0</v>
      </c>
      <c r="AO100" s="19" t="n">
        <f aca="false">AO98+AO99+AN101</f>
        <v>0</v>
      </c>
      <c r="AP100" s="19" t="n">
        <f aca="false">AP98+AP99+AO101</f>
        <v>0</v>
      </c>
      <c r="AQ100" s="19" t="n">
        <f aca="false">AQ98+AQ99+AP101</f>
        <v>0</v>
      </c>
      <c r="AR100" s="19" t="n">
        <f aca="false">AR98+AR99+AQ101</f>
        <v>0</v>
      </c>
      <c r="AS100" s="19" t="n">
        <f aca="false">AS98+AS99+AR101</f>
        <v>0</v>
      </c>
      <c r="AT100" s="19" t="n">
        <f aca="false">AT98+AT99+AS101</f>
        <v>0</v>
      </c>
      <c r="AU100" s="19" t="n">
        <f aca="false">AU98+AU99+AT101</f>
        <v>0</v>
      </c>
      <c r="AV100" s="19" t="n">
        <f aca="false">AV98+AV99+AU101</f>
        <v>0</v>
      </c>
      <c r="AW100" s="19" t="n">
        <f aca="false">AW98+AW99+AV101</f>
        <v>0</v>
      </c>
      <c r="AX100" s="19" t="n">
        <f aca="false">AX98+AX99+AW101</f>
        <v>9.24538530998887</v>
      </c>
      <c r="AY100" s="19" t="n">
        <f aca="false">AY98+AY99+AX101</f>
        <v>9.32656743525906</v>
      </c>
      <c r="AZ100" s="19" t="n">
        <f aca="false">AZ98+AZ99+AY101</f>
        <v>9.22519170226712</v>
      </c>
      <c r="BA100" s="19" t="n">
        <f aca="false">BA98+BA99+AZ101</f>
        <v>9.32656743525906</v>
      </c>
      <c r="BB100" s="19" t="n">
        <f aca="false">BB98+BB99+BA101</f>
        <v>9.17450383577114</v>
      </c>
      <c r="BC100" s="19" t="n">
        <f aca="false">BC98+BC99+BB101</f>
        <v>11.8864395326734</v>
      </c>
      <c r="BD100" s="19" t="n">
        <f aca="false">BD98+BD99+BC101</f>
        <v>11.9022175791569</v>
      </c>
      <c r="BE100" s="19" t="n">
        <f aca="false">BE98+BE99+BD101</f>
        <v>13.3696163064577</v>
      </c>
      <c r="BF100" s="19" t="n">
        <f aca="false">BF98+BF99+BE101</f>
        <v>12.8100050090478</v>
      </c>
      <c r="BG100" s="19" t="n">
        <f aca="false">BG98+BG99+BF101</f>
        <v>12.3420754274345</v>
      </c>
      <c r="BH100" s="19" t="n">
        <f aca="false">BH98+BH99+BG101</f>
        <v>12.3804127722173</v>
      </c>
      <c r="BI100" s="19" t="n">
        <f aca="false">BI98+BI99+BH101</f>
        <v>12.7820637171507</v>
      </c>
      <c r="BJ100" s="19" t="n">
        <f aca="false">BJ98+BJ99+BI101</f>
        <v>12.7547542042859</v>
      </c>
      <c r="BK100" s="19" t="n">
        <f aca="false">BK98+BK99+BJ101</f>
        <v>13.2398387019695</v>
      </c>
      <c r="BL100" s="19" t="n">
        <f aca="false">BL98+BL99+BK101</f>
        <v>13.2111620590275</v>
      </c>
      <c r="BM100" s="19" t="n">
        <f aca="false">BM98+BM99+BL101</f>
        <v>13.715654650972</v>
      </c>
      <c r="BN100" s="19" t="n">
        <f aca="false">BN98+BN99+BM101</f>
        <v>13.6854675362759</v>
      </c>
      <c r="BO100" s="19" t="n">
        <f aca="false">BO98+BO99+BN101</f>
        <v>10.0946230671652</v>
      </c>
      <c r="BP100" s="19" t="n">
        <f aca="false">BP98+BP99+BO101</f>
        <v>10.1540180283601</v>
      </c>
      <c r="BQ100" s="19" t="n">
        <f aca="false">BQ98+BQ99+BP101</f>
        <v>10.6397105193745</v>
      </c>
      <c r="BR100" s="19" t="n">
        <f aca="false">BR98+BR99+BQ101</f>
        <v>10.5016460634965</v>
      </c>
      <c r="BS100" s="19" t="n">
        <f aca="false">BS98+BS99+BR101</f>
        <v>11.0664091438112</v>
      </c>
      <c r="BT100" s="19" t="n">
        <f aca="false">BT98+BT99+BS101</f>
        <v>10.9229651828961</v>
      </c>
      <c r="BU100" s="19" t="n">
        <f aca="false">BU98+BU99+BT101</f>
        <v>19.0111208992618</v>
      </c>
      <c r="BV100" s="19" t="n">
        <f aca="false">BV98+BV99+BU101</f>
        <v>18.8459565785478</v>
      </c>
      <c r="BW100" s="19" t="n">
        <f aca="false">BW98+BW99+BV101</f>
        <v>16.6230790649753</v>
      </c>
      <c r="BX100" s="19" t="n">
        <f aca="false">BX98+BX99+BW101</f>
        <v>15.9220119427568</v>
      </c>
      <c r="BY100" s="19" t="n">
        <f aca="false">BY98+BY99+BX101</f>
        <v>16.4347150684878</v>
      </c>
      <c r="BZ100" s="19" t="n">
        <f aca="false">BZ98+BZ99+BY101</f>
        <v>16.2562609631502</v>
      </c>
      <c r="CA100" s="19" t="n">
        <f aca="false">CA98+CA99+BZ101</f>
        <v>14.2143610438871</v>
      </c>
      <c r="CB100" s="19" t="n">
        <f aca="false">CB98+CB99+CA101</f>
        <v>14.0390912112245</v>
      </c>
      <c r="CC100" s="19" t="n">
        <f aca="false">CC98+CC99+CB101</f>
        <v>14.6817063155283</v>
      </c>
      <c r="CD100" s="19" t="n">
        <f aca="false">CD98+CD99+CC101</f>
        <v>14.4993876390736</v>
      </c>
      <c r="CE100" s="19" t="n">
        <f aca="false">CE98+CE99+CD101</f>
        <v>13.8778940051398</v>
      </c>
      <c r="CF100" s="19" t="n">
        <f aca="false">CF98+CF99+CE101</f>
        <v>13.7900639898265</v>
      </c>
      <c r="CG100" s="19" t="n">
        <f aca="false">CG98+CG99+CF101</f>
        <v>21.8208377986706</v>
      </c>
      <c r="CH100" s="19" t="n">
        <f aca="false">CH98+CH99+CG101</f>
        <v>16.8177780685147</v>
      </c>
      <c r="CI100" s="19" t="n">
        <f aca="false">CI98+CI99+CH101</f>
        <v>17.5181333109317</v>
      </c>
      <c r="CJ100" s="19" t="n">
        <f aca="false">CJ98+CJ99+CI101</f>
        <v>17.3078855877029</v>
      </c>
      <c r="CK100" s="19" t="n">
        <f aca="false">CK98+CK99+CJ101</f>
        <v>21.6606328624307</v>
      </c>
      <c r="CL100" s="19" t="n">
        <f aca="false">CL98+CL99+CK101</f>
        <v>19.1686003060915</v>
      </c>
      <c r="CM100" s="19" t="n">
        <f aca="false">CM98+CM99+CL101</f>
        <v>15.8410295717889</v>
      </c>
      <c r="CN100" s="19" t="n">
        <f aca="false">CN98+CN99+CM101</f>
        <v>15.7750460866186</v>
      </c>
      <c r="CO100" s="19" t="n">
        <f aca="false">CO98+CO99+CN101</f>
        <v>16.47993313524</v>
      </c>
      <c r="CP100" s="19" t="n">
        <f aca="false">CP98+CP99+CO101</f>
        <v>26.1472951897468</v>
      </c>
      <c r="CQ100" s="19" t="n">
        <f aca="false">CQ98+CQ99+CP101</f>
        <v>27.4833906017382</v>
      </c>
      <c r="CR100" s="19" t="n">
        <f aca="false">CR98+CR99+CQ101</f>
        <v>27.168872729811</v>
      </c>
      <c r="CS100" s="19" t="n">
        <f aca="false">CS98+CS99+CR101</f>
        <v>42.727824940255</v>
      </c>
      <c r="CT100" s="19" t="n">
        <f aca="false">CT98+CT99+CS101</f>
        <v>31.0894803861316</v>
      </c>
      <c r="CU100" s="19" t="n">
        <f aca="false">CU98+CU99+CT101</f>
        <v>29.6524840887599</v>
      </c>
      <c r="CV100" s="19" t="n">
        <f aca="false">CV98+CV99+CU101</f>
        <v>29.4156618168751</v>
      </c>
      <c r="CW100" s="19" t="n">
        <f aca="false">CW98+CW99+CV101</f>
        <v>30.6819587255858</v>
      </c>
      <c r="CX100" s="19" t="n">
        <f aca="false">CX98+CX99+CW101</f>
        <v>30.2335192401381</v>
      </c>
      <c r="CY100" s="19" t="n">
        <f aca="false">CY98+CY99+CX101</f>
        <v>31.7459964262656</v>
      </c>
      <c r="CZ100" s="19" t="n">
        <f aca="false">CZ98+CZ99+CY101</f>
        <v>31.2846300110637</v>
      </c>
      <c r="DA100" s="19" t="n">
        <f aca="false">DA98+DA99+CZ101</f>
        <v>39.885675926202</v>
      </c>
      <c r="DB100" s="19" t="n">
        <f aca="false">DB98+DB99+DA101</f>
        <v>5.09015891354578E-013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566.679110611913</v>
      </c>
      <c r="AK102" s="19" t="n">
        <f aca="false">IF(Time!AK20=1,AK96+Funding!AK34+AK97,AK96+AK97-Waterfall!AK35)</f>
        <v>569.535794347601</v>
      </c>
      <c r="AL102" s="19" t="n">
        <f aca="false">IF(Time!AL20=1,AL96+Funding!AL34+AL97,AL96+AL97-Waterfall!AL35)</f>
        <v>572.360067738749</v>
      </c>
      <c r="AM102" s="19" t="n">
        <f aca="false">IF(Time!AM20=1,AM96+Funding!AM34+AM97,AM96+AM97-Waterfall!AM35)</f>
        <v>575.245389724062</v>
      </c>
      <c r="AN102" s="19" t="n">
        <f aca="false">IF(Time!AN20=1,AN96+Funding!AN34+AN97,AN96+AN97-Waterfall!AN35)</f>
        <v>578.097976451187</v>
      </c>
      <c r="AO102" s="19" t="n">
        <f aca="false">IF(Time!AO20=1,AO96+Funding!AO34+AO97,AO96+AO97-Waterfall!AO35)</f>
        <v>581.01222378453</v>
      </c>
      <c r="AP102" s="19" t="n">
        <f aca="false">IF(Time!AP20=1,AP96+Funding!AP34+AP97,AP96+AP97-Waterfall!AP35)</f>
        <v>583.893407688777</v>
      </c>
      <c r="AQ102" s="19" t="n">
        <f aca="false">IF(Time!AQ20=1,AQ96+Funding!AQ34+AQ97,AQ96+AQ97-Waterfall!AQ35)</f>
        <v>586.836870346715</v>
      </c>
      <c r="AR102" s="19" t="n">
        <f aca="false">IF(Time!AR20=1,AR96+Funding!AR34+AR97,AR96+AR97-Waterfall!AR35)</f>
        <v>589.76301583721</v>
      </c>
      <c r="AS102" s="19" t="n">
        <f aca="false">IF(Time!AS20=1,AS96+Funding!AS34+AS97,AS96+AS97-Waterfall!AS35)</f>
        <v>592.736067752664</v>
      </c>
      <c r="AT102" s="19" t="n">
        <f aca="false">IF(Time!AT20=1,AT96+Funding!AT34+AT97,AT96+AT97-Waterfall!AT35)</f>
        <v>595.675389074944</v>
      </c>
      <c r="AU102" s="19" t="n">
        <f aca="false">IF(Time!AU20=1,AU96+Funding!AU34+AU97,AU96+AU97-Waterfall!AU35)</f>
        <v>598.678245830829</v>
      </c>
      <c r="AV102" s="19" t="n">
        <f aca="false">IF(Time!AV20=1,AV96+Funding!AV34+AV97,AV96+AV97-Waterfall!AV35)</f>
        <v>601.647033844401</v>
      </c>
      <c r="AW102" s="19" t="n">
        <f aca="false">IF(Time!AW20=1,AW96+Funding!AW34+AW97,AW96+AW97-Waterfall!AW35)</f>
        <v>604.679994234192</v>
      </c>
      <c r="AX102" s="19" t="n">
        <f aca="false">IF(Time!AX20=1,AX96+Funding!AX34+AX97,AX96+AX97-Waterfall!AX35)</f>
        <v>604.610172255889</v>
      </c>
      <c r="AY102" s="19" t="n">
        <f aca="false">IF(Time!AY20=1,AY96+Funding!AY34+AY97,AY96+AY97-Waterfall!AY35)</f>
        <v>604.610172255889</v>
      </c>
      <c r="AZ102" s="19" t="n">
        <f aca="false">IF(Time!AZ20=1,AZ96+Funding!AZ34+AZ97,AZ96+AZ97-Waterfall!AZ35)</f>
        <v>604.610172255889</v>
      </c>
      <c r="BA102" s="19" t="n">
        <f aca="false">IF(Time!BA20=1,BA96+Funding!BA34+BA97,BA96+BA97-Waterfall!BA35)</f>
        <v>604.610172255889</v>
      </c>
      <c r="BB102" s="19" t="n">
        <f aca="false">IF(Time!BB20=1,BB96+Funding!BB34+BB97,BB96+BB97-Waterfall!BB35)</f>
        <v>604.610172255889</v>
      </c>
      <c r="BC102" s="19" t="n">
        <f aca="false">IF(Time!BC20=1,BC96+Funding!BC34+BC97,BC96+BC97-Waterfall!BC35)</f>
        <v>602.050300158475</v>
      </c>
      <c r="BD102" s="19" t="n">
        <f aca="false">IF(Time!BD20=1,BD96+Funding!BD34+BD97,BD96+BD97-Waterfall!BD35)</f>
        <v>599.283742284682</v>
      </c>
      <c r="BE102" s="19" t="n">
        <f aca="false">IF(Time!BE20=1,BE96+Funding!BE34+BE97,BE96+BE97-Waterfall!BE35)</f>
        <v>595.158529218113</v>
      </c>
      <c r="BF102" s="19" t="n">
        <f aca="false">IF(Time!BF20=1,BF96+Funding!BF34+BF97,BF96+BF97-Waterfall!BF35)</f>
        <v>591.379606482839</v>
      </c>
      <c r="BG102" s="19" t="n">
        <f aca="false">IF(Time!BG20=1,BG96+Funding!BG34+BG97,BG96+BG97-Waterfall!BG35)</f>
        <v>588.16000704538</v>
      </c>
      <c r="BH102" s="19" t="n">
        <f aca="false">IF(Time!BH20=1,BH96+Funding!BH34+BH97,BH96+BH97-Waterfall!BH35)</f>
        <v>584.75378800258</v>
      </c>
      <c r="BI102" s="19" t="n">
        <f aca="false">IF(Time!BI20=1,BI96+Funding!BI34+BI97,BI96+BI97-Waterfall!BI35)</f>
        <v>580.991992033291</v>
      </c>
      <c r="BJ102" s="19" t="n">
        <f aca="false">IF(Time!BJ20=1,BJ96+Funding!BJ34+BJ97,BJ96+BJ97-Waterfall!BJ35)</f>
        <v>577.053353574418</v>
      </c>
      <c r="BK102" s="19" t="n">
        <f aca="false">IF(Time!BK20=1,BK96+Funding!BK34+BK97,BK96+BK97-Waterfall!BK35)</f>
        <v>572.714997617559</v>
      </c>
      <c r="BL102" s="19" t="n">
        <f aca="false">IF(Time!BL20=1,BL96+Funding!BL34+BL97,BL96+BL97-Waterfall!BL35)</f>
        <v>568.194354149777</v>
      </c>
      <c r="BM102" s="19" t="n">
        <f aca="false">IF(Time!BM20=1,BM96+Funding!BM34+BM97,BM96+BM97-Waterfall!BM35)</f>
        <v>563.243525503202</v>
      </c>
      <c r="BN102" s="19" t="n">
        <f aca="false">IF(Time!BN20=1,BN96+Funding!BN34+BN97,BN96+BN97-Waterfall!BN35)</f>
        <v>558.104854104877</v>
      </c>
      <c r="BO102" s="19" t="n">
        <f aca="false">IF(Time!BO20=1,BO96+Funding!BO34+BO97,BO96+BO97-Waterfall!BO35)</f>
        <v>556.619418902238</v>
      </c>
      <c r="BP102" s="19" t="n">
        <f aca="false">IF(Time!BP20=1,BP96+Funding!BP34+BP97,BP96+BP97-Waterfall!BP35)</f>
        <v>554.95834571703</v>
      </c>
      <c r="BQ102" s="19" t="n">
        <f aca="false">IF(Time!BQ20=1,BQ96+Funding!BQ34+BQ97,BQ96+BQ97-Waterfall!BQ35)</f>
        <v>552.879285799642</v>
      </c>
      <c r="BR102" s="19" t="n">
        <f aca="false">IF(Time!BR20=1,BR96+Funding!BR34+BR97,BR96+BR97-Waterfall!BR35)</f>
        <v>550.767166345268</v>
      </c>
      <c r="BS102" s="19" t="n">
        <f aca="false">IF(Time!BS20=1,BS96+Funding!BS34+BS97,BS96+BS97-Waterfall!BS35)</f>
        <v>548.196755703897</v>
      </c>
      <c r="BT102" s="19" t="n">
        <f aca="false">IF(Time!BT20=1,BT96+Funding!BT34+BT97,BT96+BT97-Waterfall!BT35)</f>
        <v>545.592263263854</v>
      </c>
      <c r="BU102" s="19" t="n">
        <f aca="false">IF(Time!BU20=1,BU96+Funding!BU34+BU97,BU96+BU97-Waterfall!BU35)</f>
        <v>534.997314088101</v>
      </c>
      <c r="BV102" s="19" t="n">
        <f aca="false">IF(Time!BV20=1,BV96+Funding!BV34+BV97,BV96+BV97-Waterfall!BV35)</f>
        <v>524.269538670672</v>
      </c>
      <c r="BW102" s="19" t="n">
        <f aca="false">IF(Time!BW20=1,BW96+Funding!BW34+BW97,BW96+BW97-Waterfall!BW35)</f>
        <v>515.73371223729</v>
      </c>
      <c r="BX102" s="19" t="n">
        <f aca="false">IF(Time!BX20=1,BX96+Funding!BX34+BX97,BX96+BX97-Waterfall!BX35)</f>
        <v>507.680807664922</v>
      </c>
      <c r="BY102" s="19" t="n">
        <f aca="false">IF(Time!BY20=1,BY96+Funding!BY34+BY97,BY96+BY97-Waterfall!BY35)</f>
        <v>499.077451553904</v>
      </c>
      <c r="BZ102" s="19" t="n">
        <f aca="false">IF(Time!BZ20=1,BZ96+Funding!BZ34+BZ97,BZ96+BZ97-Waterfall!BZ35)</f>
        <v>490.394314900826</v>
      </c>
      <c r="CA102" s="19" t="n">
        <f aca="false">IF(Time!CA20=1,CA96+Funding!CA34+CA97,CA96+CA97-Waterfall!CA35)</f>
        <v>483.744655639453</v>
      </c>
      <c r="CB102" s="19" t="n">
        <f aca="false">IF(Time!CB20=1,CB96+Funding!CB34+CB97,CB96+CB97-Waterfall!CB35)</f>
        <v>477.046025112406</v>
      </c>
      <c r="CC102" s="19" t="n">
        <f aca="false">IF(Time!CC20=1,CC96+Funding!CC34+CC97,CC96+CC97-Waterfall!CC35)</f>
        <v>469.723113152475</v>
      </c>
      <c r="CD102" s="19" t="n">
        <f aca="false">IF(Time!CD20=1,CD96+Funding!CD34+CD97,CD96+CD97-Waterfall!CD35)</f>
        <v>462.351419854514</v>
      </c>
      <c r="CE102" s="19" t="n">
        <f aca="false">IF(Time!CE20=1,CE96+Funding!CE34+CE97,CE96+CE97-Waterfall!CE35)</f>
        <v>455.605644847591</v>
      </c>
      <c r="CF102" s="19" t="n">
        <f aca="false">IF(Time!CF20=1,CF96+Funding!CF34+CF97,CF96+CF97-Waterfall!CF35)</f>
        <v>448.767249233888</v>
      </c>
      <c r="CG102" s="19" t="n">
        <f aca="false">IF(Time!CG20=1,CG96+Funding!CG34+CG97,CG96+CG97-Waterfall!CG35)</f>
        <v>433.868984366961</v>
      </c>
      <c r="CH102" s="19" t="n">
        <f aca="false">IF(Time!CH20=1,CH96+Funding!CH34+CH97,CH96+CH97-Waterfall!CH35)</f>
        <v>423.634841248624</v>
      </c>
      <c r="CI102" s="19" t="n">
        <f aca="false">IF(Time!CI20=1,CI96+Funding!CI34+CI97,CI96+CI97-Waterfall!CI35)</f>
        <v>412.651594540888</v>
      </c>
      <c r="CJ102" s="19" t="n">
        <f aca="false">IF(Time!CJ20=1,CJ96+Funding!CJ34+CJ97,CJ96+CJ97-Waterfall!CJ35)</f>
        <v>401.605385998456</v>
      </c>
      <c r="CK102" s="19" t="n">
        <f aca="false">IF(Time!CK20=1,CK96+Funding!CK34+CK97,CK96+CK97-Waterfall!CK35)</f>
        <v>386.139818794452</v>
      </c>
      <c r="CL102" s="19" t="n">
        <f aca="false">IF(Time!CL20=1,CL96+Funding!CL34+CL97,CL96+CL97-Waterfall!CL35)</f>
        <v>372.830599311306</v>
      </c>
      <c r="CM102" s="19" t="n">
        <f aca="false">IF(Time!CM20=1,CM96+Funding!CM34+CM97,CM96+CM97-Waterfall!CM35)</f>
        <v>362.74076263366</v>
      </c>
      <c r="CN102" s="19" t="n">
        <f aca="false">IF(Time!CN20=1,CN96+Funding!CN34+CN97,CN96+CN97-Waterfall!CN35)</f>
        <v>352.500444917615</v>
      </c>
      <c r="CO102" s="19" t="n">
        <f aca="false">IF(Time!CO20=1,CO96+Funding!CO34+CO97,CO96+CO97-Waterfall!CO35)</f>
        <v>341.458096727757</v>
      </c>
      <c r="CP102" s="19" t="n">
        <f aca="false">IF(Time!CP20=1,CP96+Funding!CP34+CP97,CP96+CP97-Waterfall!CP35)</f>
        <v>320.492170892904</v>
      </c>
      <c r="CQ102" s="19" t="n">
        <f aca="false">IF(Time!CQ20=1,CQ96+Funding!CQ34+CQ97,CQ96+CQ97-Waterfall!CQ35)</f>
        <v>297.952613493893</v>
      </c>
      <c r="CR102" s="19" t="n">
        <f aca="false">IF(Time!CR20=1,CR96+Funding!CR34+CR97,CR96+CR97-Waterfall!CR35)</f>
        <v>275.304947189006</v>
      </c>
      <c r="CS102" s="19" t="n">
        <f aca="false">IF(Time!CS20=1,CS96+Funding!CS34+CS97,CS96+CS97-Waterfall!CS35)</f>
        <v>236.823908480677</v>
      </c>
      <c r="CT102" s="19" t="n">
        <f aca="false">IF(Time!CT20=1,CT96+Funding!CT34+CT97,CT96+CT97-Waterfall!CT35)</f>
        <v>209.328052476768</v>
      </c>
      <c r="CU102" s="19" t="n">
        <f aca="false">IF(Time!CU20=1,CU96+Funding!CU34+CU97,CU96+CU97-Waterfall!CU35)</f>
        <v>182.904611310378</v>
      </c>
      <c r="CV102" s="19" t="n">
        <f aca="false">IF(Time!CV20=1,CV96+Funding!CV34+CV97,CV96+CV97-Waterfall!CV35)</f>
        <v>156.279723086132</v>
      </c>
      <c r="CW102" s="19" t="n">
        <f aca="false">IF(Time!CW20=1,CW96+Funding!CW34+CW97,CW96+CW97-Waterfall!CW35)</f>
        <v>128.008496834147</v>
      </c>
      <c r="CX102" s="19" t="n">
        <f aca="false">IF(Time!CX20=1,CX96+Funding!CX34+CX97,CX96+CX97-Waterfall!CX35)</f>
        <v>99.7174100887092</v>
      </c>
      <c r="CY102" s="19" t="n">
        <f aca="false">IF(Time!CY20=1,CY96+Funding!CY34+CY97,CY96+CY97-Waterfall!CY35)</f>
        <v>69.5096298426176</v>
      </c>
      <c r="CZ102" s="19" t="n">
        <f aca="false">IF(Time!CZ20=1,CZ96+Funding!CZ34+CZ97,CZ96+CZ97-Waterfall!CZ35)</f>
        <v>39.2797560941465</v>
      </c>
      <c r="DA102" s="19" t="n">
        <f aca="false">IF(Time!DA20=1,DA96+Funding!DA34+DA97,DA96+DA97-Waterfall!DA35)</f>
        <v>3.35447225552343E-011</v>
      </c>
      <c r="DB102" s="19" t="n">
        <f aca="false">IF(Time!DB20=1,DB96+Funding!DB34+DB97,DB96+DB97-Waterfall!DB35)</f>
        <v>3.35447225552343E-011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2209.63637866877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14.4335477229002</v>
      </c>
      <c r="AA104" s="19" t="n">
        <f aca="false">AA13-IF(Inputs!$F$215=1,AA87,AA34-AA39)</f>
        <v>17.0914884408586</v>
      </c>
      <c r="AB104" s="19" t="n">
        <f aca="false">AB13-IF(Inputs!$F$215=1,AB87,AB34-AB39)</f>
        <v>8.99854340070927</v>
      </c>
      <c r="AC104" s="19" t="n">
        <f aca="false">AC13-IF(Inputs!$F$215=1,AC87,AC34-AC39)</f>
        <v>16.4507987511094</v>
      </c>
      <c r="AD104" s="19" t="n">
        <f aca="false">AD13-IF(Inputs!$F$215=1,AD87,AD34-AD39)</f>
        <v>18.005820723622</v>
      </c>
      <c r="AE104" s="19" t="n">
        <f aca="false">AE13-IF(Inputs!$F$215=1,AE87,AE34-AE39)</f>
        <v>23.0650335069316</v>
      </c>
      <c r="AF104" s="19" t="n">
        <f aca="false">AF13-IF(Inputs!$F$215=1,AF87,AF34-AF39)</f>
        <v>19.7110588731622</v>
      </c>
      <c r="AG104" s="19" t="n">
        <f aca="false">AG13-IF(Inputs!$F$215=1,AG87,AG34-AG39)</f>
        <v>24.8127200956232</v>
      </c>
      <c r="AH104" s="19" t="n">
        <f aca="false">AH13-IF(Inputs!$F$215=1,AH87,AH34-AH39)</f>
        <v>24.6930763855976</v>
      </c>
      <c r="AI104" s="19" t="n">
        <f aca="false">AI13-IF(Inputs!$F$215=1,AI87,AI34-AI39)</f>
        <v>25.3575479901645</v>
      </c>
      <c r="AJ104" s="19" t="n">
        <f aca="false">AJ13-IF(Inputs!$F$215=1,AJ87,AJ34-AJ39)</f>
        <v>7.06102133999746</v>
      </c>
      <c r="AK104" s="19" t="n">
        <f aca="false">AK13-IF(Inputs!$F$215=1,AK87,AK34-AK39)</f>
        <v>7.86049179824648</v>
      </c>
      <c r="AL104" s="19" t="n">
        <f aca="false">AL13-IF(Inputs!$F$215=1,AL87,AL34-AL39)</f>
        <v>7.77815070253121</v>
      </c>
      <c r="AM104" s="19" t="n">
        <f aca="false">AM13-IF(Inputs!$F$215=1,AM87,AM34-AM39)</f>
        <v>8.44654788102231</v>
      </c>
      <c r="AN104" s="19" t="n">
        <f aca="false">AN13-IF(Inputs!$F$215=1,AN87,AN34-AN39)</f>
        <v>8.22863344473445</v>
      </c>
      <c r="AO104" s="19" t="n">
        <f aca="false">AO13-IF(Inputs!$F$215=1,AO87,AO34-AO39)</f>
        <v>9.56633127321111</v>
      </c>
      <c r="AP104" s="19" t="n">
        <f aca="false">AP13-IF(Inputs!$F$215=1,AP87,AP34-AP39)</f>
        <v>9.67047167579111</v>
      </c>
      <c r="AQ104" s="19" t="n">
        <f aca="false">AQ13-IF(Inputs!$F$215=1,AQ87,AQ34-AQ39)</f>
        <v>7.66352536087493</v>
      </c>
      <c r="AR104" s="19" t="n">
        <f aca="false">AR13-IF(Inputs!$F$215=1,AR87,AR34-AR39)</f>
        <v>7.44609759985956</v>
      </c>
      <c r="AS104" s="19" t="n">
        <f aca="false">AS13-IF(Inputs!$F$215=1,AS87,AS34-AS39)</f>
        <v>7.53862048626629</v>
      </c>
      <c r="AT104" s="19" t="n">
        <f aca="false">AT13-IF(Inputs!$F$215=1,AT87,AT34-AT39)</f>
        <v>7.57920100601828</v>
      </c>
      <c r="AU104" s="19" t="n">
        <f aca="false">AU13-IF(Inputs!$F$215=1,AU87,AU34-AU39)</f>
        <v>7.95357810918312</v>
      </c>
      <c r="AV104" s="19" t="n">
        <f aca="false">AV13-IF(Inputs!$F$215=1,AV87,AV34-AV39)</f>
        <v>7.99676206293791</v>
      </c>
      <c r="AW104" s="19" t="n">
        <f aca="false">AW13-IF(Inputs!$F$215=1,AW87,AW34-AW39)</f>
        <v>10.0648067628107</v>
      </c>
      <c r="AX104" s="19" t="n">
        <f aca="false">AX13-IF(Inputs!$F$215=1,AX87,AX34-AX39)</f>
        <v>10.0791167352991</v>
      </c>
      <c r="AY104" s="19" t="n">
        <f aca="false">AY13-IF(Inputs!$F$215=1,AY87,AY34-AY39)</f>
        <v>9.70703315966601</v>
      </c>
      <c r="AZ104" s="19" t="n">
        <f aca="false">AZ13-IF(Inputs!$F$215=1,AZ87,AZ34-AZ39)</f>
        <v>9.79244034167099</v>
      </c>
      <c r="BA104" s="19" t="n">
        <f aca="false">BA13-IF(Inputs!$F$215=1,BA87,BA34-BA39)</f>
        <v>9.63398810431213</v>
      </c>
      <c r="BB104" s="19" t="n">
        <f aca="false">BB13-IF(Inputs!$F$215=1,BB87,BB34-BB39)</f>
        <v>9.14958908699534</v>
      </c>
      <c r="BC104" s="19" t="n">
        <f aca="false">BC13-IF(Inputs!$F$215=1,BC87,BC34-BC39)</f>
        <v>12.9583362509999</v>
      </c>
      <c r="BD104" s="19" t="n">
        <f aca="false">BD13-IF(Inputs!$F$215=1,BD87,BD34-BD39)</f>
        <v>12.9755371319832</v>
      </c>
      <c r="BE104" s="19" t="n">
        <f aca="false">BE13-IF(Inputs!$F$215=1,BE87,BE34-BE39)</f>
        <v>14.5752631113553</v>
      </c>
      <c r="BF104" s="19" t="n">
        <f aca="false">BF13-IF(Inputs!$F$215=1,BF87,BF34-BF39)</f>
        <v>13.9631194461369</v>
      </c>
      <c r="BG104" s="19" t="n">
        <f aca="false">BG13-IF(Inputs!$F$215=1,BG87,BG34-BG39)</f>
        <v>13.4587082118728</v>
      </c>
      <c r="BH104" s="19" t="n">
        <f aca="false">BH13-IF(Inputs!$F$215=1,BH87,BH34-BH39)</f>
        <v>13.5009917055674</v>
      </c>
      <c r="BI104" s="19" t="n">
        <f aca="false">BI13-IF(Inputs!$F$215=1,BI87,BI34-BI39)</f>
        <v>13.938922379949</v>
      </c>
      <c r="BJ104" s="19" t="n">
        <f aca="false">BJ13-IF(Inputs!$F$215=1,BJ87,BJ34-BJ39)</f>
        <v>13.9091482305358</v>
      </c>
      <c r="BK104" s="19" t="n">
        <f aca="false">BK13-IF(Inputs!$F$215=1,BK87,BK34-BK39)</f>
        <v>14.4380634871885</v>
      </c>
      <c r="BL104" s="19" t="n">
        <f aca="false">BL13-IF(Inputs!$F$215=1,BL87,BL34-BL39)</f>
        <v>14.4067988879934</v>
      </c>
      <c r="BM104" s="19" t="n">
        <f aca="false">BM13-IF(Inputs!$F$215=1,BM87,BM34-BM39)</f>
        <v>14.95687398583</v>
      </c>
      <c r="BN104" s="19" t="n">
        <f aca="false">BN13-IF(Inputs!$F$215=1,BN87,BN34-BN39)</f>
        <v>14.923962668273</v>
      </c>
      <c r="BO104" s="19" t="n">
        <f aca="false">BO13-IF(Inputs!$F$215=1,BO87,BO34-BO39)</f>
        <v>11.0093925157781</v>
      </c>
      <c r="BP104" s="19" t="n">
        <f aca="false">BP13-IF(Inputs!$F$215=1,BP87,BP34-BP39)</f>
        <v>11.0741690908527</v>
      </c>
      <c r="BQ104" s="19" t="n">
        <f aca="false">BQ13-IF(Inputs!$F$215=1,BQ87,BQ34-BQ39)</f>
        <v>11.6037244283361</v>
      </c>
      <c r="BR104" s="19" t="n">
        <f aca="false">BR13-IF(Inputs!$F$215=1,BR87,BR34-BR39)</f>
        <v>11.4531672865266</v>
      </c>
      <c r="BS104" s="19" t="n">
        <f aca="false">BS13-IF(Inputs!$F$215=1,BS87,BS34-BS39)</f>
        <v>12.0689474866998</v>
      </c>
      <c r="BT104" s="19" t="n">
        <f aca="false">BT13-IF(Inputs!$F$215=1,BT87,BT34-BT39)</f>
        <v>11.9125253455849</v>
      </c>
      <c r="BU104" s="19" t="n">
        <f aca="false">BU13-IF(Inputs!$F$215=1,BU87,BU34-BU39)</f>
        <v>20.7328698213838</v>
      </c>
      <c r="BV104" s="19" t="n">
        <f aca="false">BV13-IF(Inputs!$F$215=1,BV87,BV34-BV39)</f>
        <v>20.5527517791196</v>
      </c>
      <c r="BW104" s="19" t="n">
        <f aca="false">BW13-IF(Inputs!$F$215=1,BW87,BW34-BW39)</f>
        <v>18.121365276274</v>
      </c>
      <c r="BX104" s="19" t="n">
        <f aca="false">BX13-IF(Inputs!$F$215=1,BX87,BX34-BX39)</f>
        <v>17.3624968097651</v>
      </c>
      <c r="BY104" s="19" t="n">
        <f aca="false">BY13-IF(Inputs!$F$215=1,BY87,BY34-BY39)</f>
        <v>17.9214962666131</v>
      </c>
      <c r="BZ104" s="19" t="n">
        <f aca="false">BZ13-IF(Inputs!$F$215=1,BZ87,BZ34-BZ39)</f>
        <v>17.7269056696226</v>
      </c>
      <c r="CA104" s="19" t="n">
        <f aca="false">CA13-IF(Inputs!$F$215=1,CA87,CA34-CA39)</f>
        <v>15.500962118429</v>
      </c>
      <c r="CB104" s="19" t="n">
        <f aca="false">CB13-IF(Inputs!$F$215=1,CB87,CB34-CB39)</f>
        <v>15.3098425512925</v>
      </c>
      <c r="CC104" s="19" t="n">
        <f aca="false">CC13-IF(Inputs!$F$215=1,CC87,CC34-CC39)</f>
        <v>16.0153039692134</v>
      </c>
      <c r="CD104" s="19" t="n">
        <f aca="false">CD13-IF(Inputs!$F$215=1,CD87,CD34-CD39)</f>
        <v>15.8169916027589</v>
      </c>
      <c r="CE104" s="19" t="n">
        <f aca="false">CE13-IF(Inputs!$F$215=1,CE87,CE34-CE39)</f>
        <v>15.1396382468796</v>
      </c>
      <c r="CF104" s="19" t="n">
        <f aca="false">CF13-IF(Inputs!$F$215=1,CF87,CF34-CF39)</f>
        <v>15.0438569321449</v>
      </c>
      <c r="CG104" s="19" t="n">
        <f aca="false">CG13-IF(Inputs!$F$215=1,CG87,CG34-CG39)</f>
        <v>23.7989587535552</v>
      </c>
      <c r="CH104" s="19" t="n">
        <f aca="false">CH13-IF(Inputs!$F$215=1,CH87,CH34-CH39)</f>
        <v>18.3446416521357</v>
      </c>
      <c r="CI104" s="19" t="n">
        <f aca="false">CI13-IF(Inputs!$F$215=1,CI87,CI34-CI39)</f>
        <v>19.1083423656616</v>
      </c>
      <c r="CJ104" s="19" t="n">
        <f aca="false">CJ13-IF(Inputs!$F$215=1,CJ87,CJ34-CJ39)</f>
        <v>18.8790432085573</v>
      </c>
      <c r="CK104" s="19" t="n">
        <f aca="false">CK13-IF(Inputs!$F$215=1,CK87,CK34-CK39)</f>
        <v>23.6250204030039</v>
      </c>
      <c r="CL104" s="19" t="n">
        <f aca="false">CL13-IF(Inputs!$F$215=1,CL87,CL34-CL39)</f>
        <v>20.9081685311065</v>
      </c>
      <c r="CM104" s="19" t="n">
        <f aca="false">CM13-IF(Inputs!$F$215=1,CM87,CM34-CM39)</f>
        <v>17.2807159064105</v>
      </c>
      <c r="CN104" s="19" t="n">
        <f aca="false">CN13-IF(Inputs!$F$215=1,CN87,CN34-CN39)</f>
        <v>17.2087500712561</v>
      </c>
      <c r="CO104" s="19" t="n">
        <f aca="false">CO13-IF(Inputs!$F$215=1,CO87,CO34-CO39)</f>
        <v>17.977335138515</v>
      </c>
      <c r="CP104" s="19" t="n">
        <f aca="false">CP13-IF(Inputs!$F$215=1,CP87,CP34-CP39)</f>
        <v>77.0471256016325</v>
      </c>
      <c r="CQ104" s="19" t="n">
        <f aca="false">CQ13-IF(Inputs!$F$215=1,CQ87,CQ34-CQ39)</f>
        <v>80.9825138268942</v>
      </c>
      <c r="CR104" s="19" t="n">
        <f aca="false">CR13-IF(Inputs!$F$215=1,CR87,CR34-CR39)</f>
        <v>80.0559082041861</v>
      </c>
      <c r="CS104" s="19" t="n">
        <f aca="false">CS13-IF(Inputs!$F$215=1,CS87,CS34-CS39)</f>
        <v>125.896157296543</v>
      </c>
      <c r="CT104" s="19" t="n">
        <f aca="false">CT13-IF(Inputs!$F$215=1,CT87,CT34-CT39)</f>
        <v>91.5804595753685</v>
      </c>
      <c r="CU104" s="19" t="n">
        <f aca="false">CU13-IF(Inputs!$F$215=1,CU87,CU34-CU39)</f>
        <v>87.3709623339191</v>
      </c>
      <c r="CV104" s="19" t="n">
        <f aca="false">CV13-IF(Inputs!$F$215=1,CV87,CV34-CV39)</f>
        <v>86.673422823051</v>
      </c>
      <c r="CW104" s="19" t="n">
        <f aca="false">CW13-IF(Inputs!$F$215=1,CW87,CW34-CW39)</f>
        <v>90.4030159970879</v>
      </c>
      <c r="CX104" s="19" t="n">
        <f aca="false">CX13-IF(Inputs!$F$215=1,CX87,CX34-CX39)</f>
        <v>89.0820261185741</v>
      </c>
      <c r="CY104" s="19" t="n">
        <f aca="false">CY13-IF(Inputs!$F$215=1,CY87,CY34-CY39)</f>
        <v>93.5368552077883</v>
      </c>
      <c r="CZ104" s="19" t="n">
        <f aca="false">CZ13-IF(Inputs!$F$215=1,CZ87,CZ34-CZ39)</f>
        <v>92.1777942346027</v>
      </c>
      <c r="DA104" s="19" t="n">
        <f aca="false">DA13-IF(Inputs!$F$215=1,DA87,DA34-DA39)</f>
        <v>117.507083821186</v>
      </c>
      <c r="DB104" s="19" t="n">
        <f aca="false">DB13-IF(Inputs!$F$215=1,DB87,DB34-DB39)</f>
        <v>121.983902080668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</v>
      </c>
      <c r="AK105" s="27" t="n">
        <f aca="false">IF(Time!AK47=1,IF(Time!AJ47=1,AJ105,1)/(1+Time!AK50*Time!AK9/Inputs!$F$45),0)</f>
        <v>0</v>
      </c>
      <c r="AL105" s="27" t="n">
        <f aca="false">IF(Time!AL47=1,IF(Time!AK47=1,AK105,1)/(1+Time!AL50*Time!AL9/Inputs!$F$45),0)</f>
        <v>0</v>
      </c>
      <c r="AM105" s="27" t="n">
        <f aca="false">IF(Time!AM47=1,IF(Time!AL47=1,AL105,1)/(1+Time!AM50*Time!AM9/Inputs!$F$45),0)</f>
        <v>0</v>
      </c>
      <c r="AN105" s="27" t="n">
        <f aca="false">IF(Time!AN47=1,IF(Time!AM47=1,AM105,1)/(1+Time!AN50*Time!AN9/Inputs!$F$45),0)</f>
        <v>0</v>
      </c>
      <c r="AO105" s="27" t="n">
        <f aca="false">IF(Time!AO47=1,IF(Time!AN47=1,AN105,1)/(1+Time!AO50*Time!AO9/Inputs!$F$45),0)</f>
        <v>0</v>
      </c>
      <c r="AP105" s="27" t="n">
        <f aca="false">IF(Time!AP47=1,IF(Time!AO47=1,AO105,1)/(1+Time!AP50*Time!AP9/Inputs!$F$45),0)</f>
        <v>0</v>
      </c>
      <c r="AQ105" s="27" t="n">
        <f aca="false">IF(Time!AQ47=1,IF(Time!AP47=1,AP105,1)/(1+Time!AQ50*Time!AQ9/Inputs!$F$45),0)</f>
        <v>0</v>
      </c>
      <c r="AR105" s="27" t="n">
        <f aca="false">IF(Time!AR47=1,IF(Time!AQ47=1,AQ105,1)/(1+Time!AR50*Time!AR9/Inputs!$F$45),0)</f>
        <v>0</v>
      </c>
      <c r="AS105" s="27" t="n">
        <f aca="false">IF(Time!AS47=1,IF(Time!AR47=1,AR105,1)/(1+Time!AS50*Time!AS9/Inputs!$F$45),0)</f>
        <v>0</v>
      </c>
      <c r="AT105" s="27" t="n">
        <f aca="false">IF(Time!AT47=1,IF(Time!AS47=1,AS105,1)/(1+Time!AT50*Time!AT9/Inputs!$F$45),0)</f>
        <v>0</v>
      </c>
      <c r="AU105" s="27" t="n">
        <f aca="false">IF(Time!AU47=1,IF(Time!AT47=1,AT105,1)/(1+Time!AU50*Time!AU9/Inputs!$F$45),0)</f>
        <v>0</v>
      </c>
      <c r="AV105" s="27" t="n">
        <f aca="false">IF(Time!AV47=1,IF(Time!AU47=1,AU105,1)/(1+Time!AV50*Time!AV9/Inputs!$F$45),0)</f>
        <v>0</v>
      </c>
      <c r="AW105" s="27" t="n">
        <f aca="false">IF(Time!AW47=1,IF(Time!AV47=1,AV105,1)/(1+Time!AW50*Time!AW9/Inputs!$F$45),0)</f>
        <v>0</v>
      </c>
      <c r="AX105" s="27" t="n">
        <f aca="false">IF(Time!AX47=1,IF(Time!AW47=1,AW105,1)/(1+Time!AX50*Time!AX9/Inputs!$F$45),0)</f>
        <v>0.985052569421917</v>
      </c>
      <c r="AY105" s="27" t="n">
        <f aca="false">IF(Time!AY47=1,IF(Time!AX47=1,AX105,1)/(1+Time!AY50*Time!AY9/Inputs!$F$45),0)</f>
        <v>0.97008822762245</v>
      </c>
      <c r="AZ105" s="27" t="n">
        <f aca="false">IF(Time!AZ47=1,IF(Time!AY47=1,AY105,1)/(1+Time!AZ50*Time!AZ9/Inputs!$F$45),0)</f>
        <v>0.95550899287419</v>
      </c>
      <c r="BA105" s="27" t="n">
        <f aca="false">IF(Time!BA47=1,IF(Time!AZ47=1,AZ105,1)/(1+Time!BA50*Time!BA9/Inputs!$F$45),0)</f>
        <v>0.940993459789265</v>
      </c>
      <c r="BB105" s="27" t="n">
        <f aca="false">IF(Time!BB47=1,IF(Time!BA47=1,BA105,1)/(1+Time!BB50*Time!BB9/Inputs!$F$45),0)</f>
        <v>0.926928025374636</v>
      </c>
      <c r="BC105" s="27" t="n">
        <f aca="false">IF(Time!BC47=1,IF(Time!BB47=1,BB105,1)/(1+Time!BC50*Time!BC9/Inputs!$F$45),0)</f>
        <v>0.912846677611286</v>
      </c>
      <c r="BD105" s="27" t="n">
        <f aca="false">IF(Time!BD47=1,IF(Time!BC47=1,BC105,1)/(1+Time!BD50*Time!BD9/Inputs!$F$45),0)</f>
        <v>0.899201965269258</v>
      </c>
      <c r="BE105" s="27" t="n">
        <f aca="false">IF(Time!BE47=1,IF(Time!BD47=1,BD105,1)/(1+Time!BE50*Time!BE9/Inputs!$F$45),0)</f>
        <v>0.885541815574975</v>
      </c>
      <c r="BF105" s="27" t="n">
        <f aca="false">IF(Time!BF47=1,IF(Time!BE47=1,BE105,1)/(1+Time!BF50*Time!BF9/Inputs!$F$45),0)</f>
        <v>0.872305240762678</v>
      </c>
      <c r="BG105" s="27" t="n">
        <f aca="false">IF(Time!BG47=1,IF(Time!BF47=1,BF105,1)/(1+Time!BG50*Time!BG9/Inputs!$F$45),0)</f>
        <v>0.859053690356694</v>
      </c>
      <c r="BH105" s="27" t="n">
        <f aca="false">IF(Time!BH47=1,IF(Time!BG47=1,BG105,1)/(1+Time!BH50*Time!BH9/Inputs!$F$45),0)</f>
        <v>0.846143168348026</v>
      </c>
      <c r="BI105" s="27" t="n">
        <f aca="false">IF(Time!BI47=1,IF(Time!BH47=1,BH105,1)/(1+Time!BI50*Time!BI9/Inputs!$F$45),0)</f>
        <v>0.833289056825963</v>
      </c>
      <c r="BJ105" s="27" t="n">
        <f aca="false">IF(Time!BJ47=1,IF(Time!BI47=1,BI105,1)/(1+Time!BJ50*Time!BJ9/Inputs!$F$45),0)</f>
        <v>0.820833526497581</v>
      </c>
      <c r="BK105" s="27" t="n">
        <f aca="false">IF(Time!BK47=1,IF(Time!BJ47=1,BJ105,1)/(1+Time!BK50*Time!BK9/Inputs!$F$45),0)</f>
        <v>0.808363904233482</v>
      </c>
      <c r="BL105" s="27" t="n">
        <f aca="false">IF(Time!BL47=1,IF(Time!BK47=1,BK105,1)/(1+Time!BL50*Time!BL9/Inputs!$F$45),0)</f>
        <v>0.796280940893124</v>
      </c>
      <c r="BM105" s="27" t="n">
        <f aca="false">IF(Time!BM47=1,IF(Time!BL47=1,BL105,1)/(1+Time!BM50*Time!BM9/Inputs!$F$45),0)</f>
        <v>0.784184307131822</v>
      </c>
      <c r="BN105" s="27" t="n">
        <f aca="false">IF(Time!BN47=1,IF(Time!BM47=1,BM105,1)/(1+Time!BN50*Time!BN9/Inputs!$F$45),0)</f>
        <v>0.772462766640548</v>
      </c>
      <c r="BO105" s="27" t="n">
        <f aca="false">IF(Time!BO47=1,IF(Time!BN47=1,BN105,1)/(1+Time!BO50*Time!BO9/Inputs!$F$45),0)</f>
        <v>0.760727964634849</v>
      </c>
      <c r="BP105" s="27" t="n">
        <f aca="false">IF(Time!BP47=1,IF(Time!BO47=1,BO105,1)/(1+Time!BP50*Time!BP9/Inputs!$F$45),0)</f>
        <v>0.749295157535272</v>
      </c>
      <c r="BQ105" s="27" t="n">
        <f aca="false">IF(Time!BQ47=1,IF(Time!BP47=1,BP105,1)/(1+Time!BQ50*Time!BQ9/Inputs!$F$45),0)</f>
        <v>0.737912304280421</v>
      </c>
      <c r="BR105" s="27" t="n">
        <f aca="false">IF(Time!BR47=1,IF(Time!BQ47=1,BQ105,1)/(1+Time!BR50*Time!BR9/Inputs!$F$45),0)</f>
        <v>0.726882411339477</v>
      </c>
      <c r="BS105" s="27" t="n">
        <f aca="false">IF(Time!BS47=1,IF(Time!BR47=1,BR105,1)/(1+Time!BS50*Time!BS9/Inputs!$F$45),0)</f>
        <v>0.715840039400192</v>
      </c>
      <c r="BT105" s="27" t="n">
        <f aca="false">IF(Time!BT47=1,IF(Time!BS47=1,BS105,1)/(1+Time!BT50*Time!BT9/Inputs!$F$45),0)</f>
        <v>0.705140070106246</v>
      </c>
      <c r="BU105" s="27" t="n">
        <f aca="false">IF(Time!BU47=1,IF(Time!BT47=1,BT105,1)/(1+Time!BU50*Time!BU9/Inputs!$F$45),0)</f>
        <v>0.694427995082918</v>
      </c>
      <c r="BV105" s="27" t="n">
        <f aca="false">IF(Time!BV47=1,IF(Time!BU47=1,BU105,1)/(1+Time!BV50*Time!BV9/Inputs!$F$45),0)</f>
        <v>0.684048080834938</v>
      </c>
      <c r="BW105" s="27" t="n">
        <f aca="false">IF(Time!BW47=1,IF(Time!BV47=1,BV105,1)/(1+Time!BW50*Time!BW9/Inputs!$F$45),0)</f>
        <v>0.673656422961399</v>
      </c>
      <c r="BX105" s="27" t="n">
        <f aca="false">IF(Time!BX47=1,IF(Time!BW47=1,BW105,1)/(1+Time!BX50*Time!BX9/Inputs!$F$45),0)</f>
        <v>0.663532194205322</v>
      </c>
      <c r="BY105" s="27" t="n">
        <f aca="false">IF(Time!BY47=1,IF(Time!BX47=1,BX105,1)/(1+Time!BY50*Time!BY9/Inputs!$F$45),0)</f>
        <v>0.653452201667598</v>
      </c>
      <c r="BZ105" s="27" t="n">
        <f aca="false">IF(Time!BZ47=1,IF(Time!BY47=1,BY105,1)/(1+Time!BZ50*Time!BZ9/Inputs!$F$45),0)</f>
        <v>0.643684770247076</v>
      </c>
      <c r="CA105" s="27" t="n">
        <f aca="false">IF(Time!CA47=1,IF(Time!BZ47=1,BZ105,1)/(1+Time!CA50*Time!CA9/Inputs!$F$45),0)</f>
        <v>0.633906288151708</v>
      </c>
      <c r="CB105" s="27" t="n">
        <f aca="false">IF(Time!CB47=1,IF(Time!CA47=1,CA105,1)/(1+Time!CB50*Time!CB9/Inputs!$F$45),0)</f>
        <v>0.62443101791655</v>
      </c>
      <c r="CC105" s="27" t="n">
        <f aca="false">IF(Time!CC47=1,IF(Time!CB47=1,CB105,1)/(1+Time!CC50*Time!CC9/Inputs!$F$45),0)</f>
        <v>0.614945027551816</v>
      </c>
      <c r="CD105" s="27" t="n">
        <f aca="false">IF(Time!CD47=1,IF(Time!CC47=1,CC105,1)/(1+Time!CD50*Time!CD9/Inputs!$F$45),0)</f>
        <v>0.605753179443148</v>
      </c>
      <c r="CE105" s="27" t="n">
        <f aca="false">IF(Time!CE47=1,IF(Time!CD47=1,CD105,1)/(1+Time!CE50*Time!CE9/Inputs!$F$45),0)</f>
        <v>0.59655093186298</v>
      </c>
      <c r="CF105" s="27" t="n">
        <f aca="false">IF(Time!CF47=1,IF(Time!CE47=1,CE105,1)/(1+Time!CF50*Time!CF9/Inputs!$F$45),0)</f>
        <v>0.587585503949027</v>
      </c>
      <c r="CG105" s="27" t="n">
        <f aca="false">IF(Time!CG47=1,IF(Time!CF47=1,CF105,1)/(1+Time!CG50*Time!CG9/Inputs!$F$45),0)</f>
        <v>0.578659249056189</v>
      </c>
      <c r="CH105" s="27" t="n">
        <f aca="false">IF(Time!CH47=1,IF(Time!CG47=1,CG105,1)/(1+Time!CH50*Time!CH9/Inputs!$F$45),0)</f>
        <v>0.570009780102556</v>
      </c>
      <c r="CI105" s="27" t="n">
        <f aca="false">IF(Time!CI47=1,IF(Time!CH47=1,CH105,1)/(1+Time!CI50*Time!CI9/Inputs!$F$45),0)</f>
        <v>0.561350525314256</v>
      </c>
      <c r="CJ105" s="27" t="n">
        <f aca="false">IF(Time!CJ47=1,IF(Time!CI47=1,CI105,1)/(1+Time!CJ50*Time!CJ9/Inputs!$F$45),0)</f>
        <v>0.552959777307151</v>
      </c>
      <c r="CK105" s="27" t="n">
        <f aca="false">IF(Time!CK47=1,IF(Time!CJ47=1,CJ105,1)/(1+Time!CK50*Time!CK9/Inputs!$F$45),0)</f>
        <v>0.544559536177038</v>
      </c>
      <c r="CL105" s="27" t="n">
        <f aca="false">IF(Time!CL47=1,IF(Time!CK47=1,CK105,1)/(1+Time!CL50*Time!CL9/Inputs!$F$45),0)</f>
        <v>0.536419770314399</v>
      </c>
      <c r="CM105" s="27" t="n">
        <f aca="false">IF(Time!CM47=1,IF(Time!CL47=1,CL105,1)/(1+Time!CM50*Time!CM9/Inputs!$F$45),0)</f>
        <v>0.528270795284887</v>
      </c>
      <c r="CN105" s="27" t="n">
        <f aca="false">IF(Time!CN47=1,IF(Time!CM47=1,CM105,1)/(1+Time!CN50*Time!CN9/Inputs!$F$45),0)</f>
        <v>0.520331533972558</v>
      </c>
      <c r="CO105" s="27" t="n">
        <f aca="false">IF(Time!CO47=1,IF(Time!CN47=1,CN105,1)/(1+Time!CO50*Time!CO9/Inputs!$F$45),0)</f>
        <v>0.512426962008469</v>
      </c>
      <c r="CP105" s="27" t="n">
        <f aca="false">IF(Time!CP47=1,IF(Time!CO47=1,CO105,1)/(1+Time!CP50*Time!CP9/Inputs!$F$45),0)</f>
        <v>0.50476749556751</v>
      </c>
      <c r="CQ105" s="27" t="n">
        <f aca="false">IF(Time!CQ47=1,IF(Time!CP47=1,CP105,1)/(1+Time!CQ50*Time!CQ9/Inputs!$F$45),0)</f>
        <v>0.497099363360752</v>
      </c>
      <c r="CR105" s="27" t="n">
        <f aca="false">IF(Time!CR47=1,IF(Time!CQ47=1,CQ105,1)/(1+Time!CR50*Time!CR9/Inputs!$F$45),0)</f>
        <v>0.489669005136508</v>
      </c>
      <c r="CS105" s="27" t="n">
        <f aca="false">IF(Time!CS47=1,IF(Time!CR47=1,CR105,1)/(1+Time!CS50*Time!CS9/Inputs!$F$45),0)</f>
        <v>0.482230240354881</v>
      </c>
      <c r="CT105" s="27" t="n">
        <f aca="false">IF(Time!CT47=1,IF(Time!CS47=1,CS105,1)/(1+Time!CT50*Time!CT9/Inputs!$F$45),0)</f>
        <v>0.475022137314524</v>
      </c>
      <c r="CU105" s="27" t="n">
        <f aca="false">IF(Time!CU47=1,IF(Time!CT47=1,CT105,1)/(1+Time!CU50*Time!CU9/Inputs!$F$45),0)</f>
        <v>0.467805879171814</v>
      </c>
      <c r="CV105" s="27" t="n">
        <f aca="false">IF(Time!CV47=1,IF(Time!CU47=1,CU105,1)/(1+Time!CV50*Time!CV9/Inputs!$F$45),0)</f>
        <v>0.460775331294971</v>
      </c>
      <c r="CW105" s="27" t="n">
        <f aca="false">IF(Time!CW47=1,IF(Time!CV47=1,CV105,1)/(1+Time!CW50*Time!CW9/Inputs!$F$45),0)</f>
        <v>0.453775502286548</v>
      </c>
      <c r="CX105" s="27" t="n">
        <f aca="false">IF(Time!CX47=1,IF(Time!CW47=1,CW105,1)/(1+Time!CX50*Time!CX9/Inputs!$F$45),0)</f>
        <v>0.446992724468085</v>
      </c>
      <c r="CY105" s="27" t="n">
        <f aca="false">IF(Time!CY47=1,IF(Time!CX47=1,CX105,1)/(1+Time!CY50*Time!CY9/Inputs!$F$45),0)</f>
        <v>0.440202272751645</v>
      </c>
      <c r="CZ105" s="27" t="n">
        <f aca="false">IF(Time!CZ47=1,IF(Time!CY47=1,CY105,1)/(1+Time!CZ50*Time!CZ9/Inputs!$F$45),0)</f>
        <v>0.433622379839375</v>
      </c>
      <c r="DA105" s="27" t="n">
        <f aca="false">IF(Time!DA47=1,IF(Time!CZ47=1,CZ105,1)/(1+Time!DA50*Time!DA9/Inputs!$F$45),0)</f>
        <v>0.427035042569017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0</v>
      </c>
      <c r="AA106" s="19" t="n">
        <f aca="false">IF(Time!AA49=1,Z102,Z112)</f>
        <v>0</v>
      </c>
      <c r="AB106" s="19" t="n">
        <f aca="false">IF(Time!AB49=1,AA102,AA112)</f>
        <v>0</v>
      </c>
      <c r="AC106" s="19" t="n">
        <f aca="false">IF(Time!AC49=1,AB102,AB112)</f>
        <v>0</v>
      </c>
      <c r="AD106" s="19" t="n">
        <f aca="false">IF(Time!AD49=1,AC102,AC112)</f>
        <v>0</v>
      </c>
      <c r="AE106" s="19" t="n">
        <f aca="false">IF(Time!AE49=1,AD102,AD112)</f>
        <v>0</v>
      </c>
      <c r="AF106" s="19" t="n">
        <f aca="false">IF(Time!AF49=1,AE102,AE112)</f>
        <v>0</v>
      </c>
      <c r="AG106" s="19" t="n">
        <f aca="false">IF(Time!AG49=1,AF102,AF112)</f>
        <v>0</v>
      </c>
      <c r="AH106" s="19" t="n">
        <f aca="false">IF(Time!AH49=1,AG102,AG112)</f>
        <v>0</v>
      </c>
      <c r="AI106" s="19" t="n">
        <f aca="false">IF(Time!AI49=1,AH102,AH112)</f>
        <v>0</v>
      </c>
      <c r="AJ106" s="19" t="n">
        <f aca="false">IF(Time!AJ49=1,AI102,AI112)</f>
        <v>563.867497337518</v>
      </c>
      <c r="AK106" s="19" t="n">
        <f aca="false">IF(Time!AK49=1,AJ102,AJ112)</f>
        <v>566.679110611913</v>
      </c>
      <c r="AL106" s="19" t="n">
        <f aca="false">IF(Time!AL49=1,AK102,AK112)</f>
        <v>569.535794347601</v>
      </c>
      <c r="AM106" s="19" t="n">
        <f aca="false">IF(Time!AM49=1,AL102,AL112)</f>
        <v>572.360067738749</v>
      </c>
      <c r="AN106" s="19" t="n">
        <f aca="false">IF(Time!AN49=1,AM102,AM112)</f>
        <v>575.245389724062</v>
      </c>
      <c r="AO106" s="19" t="n">
        <f aca="false">IF(Time!AO49=1,AN102,AN112)</f>
        <v>578.097976451187</v>
      </c>
      <c r="AP106" s="19" t="n">
        <f aca="false">IF(Time!AP49=1,AO102,AO112)</f>
        <v>581.01222378453</v>
      </c>
      <c r="AQ106" s="19" t="n">
        <f aca="false">IF(Time!AQ49=1,AP102,AP112)</f>
        <v>583.893407688777</v>
      </c>
      <c r="AR106" s="19" t="n">
        <f aca="false">IF(Time!AR49=1,AQ102,AQ112)</f>
        <v>586.836870346715</v>
      </c>
      <c r="AS106" s="19" t="n">
        <f aca="false">IF(Time!AS49=1,AR102,AR112)</f>
        <v>589.76301583721</v>
      </c>
      <c r="AT106" s="19" t="n">
        <f aca="false">IF(Time!AT49=1,AS102,AS112)</f>
        <v>592.736067752664</v>
      </c>
      <c r="AU106" s="19" t="n">
        <f aca="false">IF(Time!AU49=1,AT102,AT112)</f>
        <v>595.675389074944</v>
      </c>
      <c r="AV106" s="19" t="n">
        <f aca="false">IF(Time!AV49=1,AU102,AU112)</f>
        <v>598.678245830829</v>
      </c>
      <c r="AW106" s="19" t="n">
        <f aca="false">IF(Time!AW49=1,AV102,AV112)</f>
        <v>601.647033844401</v>
      </c>
      <c r="AX106" s="19" t="n">
        <f aca="false">IF(Time!AX49=1,AW102,AW112)</f>
        <v>604.679994234192</v>
      </c>
      <c r="AY106" s="19" t="n">
        <f aca="false">IF(Time!AY49=1,AX102,AX112)</f>
        <v>604.679994234192</v>
      </c>
      <c r="AZ106" s="19" t="n">
        <f aca="false">IF(Time!AZ49=1,AY102,AY112)</f>
        <v>604.679994234192</v>
      </c>
      <c r="BA106" s="19" t="n">
        <f aca="false">IF(Time!BA49=1,AZ102,AZ112)</f>
        <v>604.679994234192</v>
      </c>
      <c r="BB106" s="19" t="n">
        <f aca="false">IF(Time!BB49=1,BA102,BA112)</f>
        <v>604.679994234192</v>
      </c>
      <c r="BC106" s="19" t="n">
        <f aca="false">IF(Time!BC49=1,BB102,BB112)</f>
        <v>604.679994234192</v>
      </c>
      <c r="BD106" s="19" t="n">
        <f aca="false">IF(Time!BD49=1,BC102,BC112)</f>
        <v>604.679994234192</v>
      </c>
      <c r="BE106" s="19" t="n">
        <f aca="false">IF(Time!BE49=1,BD102,BD112)</f>
        <v>604.679994234192</v>
      </c>
      <c r="BF106" s="19" t="n">
        <f aca="false">IF(Time!BF49=1,BE102,BE112)</f>
        <v>604.290796651835</v>
      </c>
      <c r="BG106" s="19" t="n">
        <f aca="false">IF(Time!BG49=1,BF102,BF112)</f>
        <v>604.151707906015</v>
      </c>
      <c r="BH106" s="19" t="n">
        <f aca="false">IF(Time!BH49=1,BG102,BG112)</f>
        <v>604.151707906015</v>
      </c>
      <c r="BI106" s="19" t="n">
        <f aca="false">IF(Time!BI49=1,BH102,BH112)</f>
        <v>604.151707906015</v>
      </c>
      <c r="BJ106" s="19" t="n">
        <f aca="false">IF(Time!BJ49=1,BI102,BI112)</f>
        <v>604.151707906015</v>
      </c>
      <c r="BK106" s="19" t="n">
        <f aca="false">IF(Time!BK49=1,BJ102,BJ112)</f>
        <v>604.046489403672</v>
      </c>
      <c r="BL106" s="19" t="n">
        <f aca="false">IF(Time!BL49=1,BK102,BK112)</f>
        <v>603.738985948117</v>
      </c>
      <c r="BM106" s="19" t="n">
        <f aca="false">IF(Time!BM49=1,BL102,BL112)</f>
        <v>603.295737596045</v>
      </c>
      <c r="BN106" s="19" t="n">
        <f aca="false">IF(Time!BN49=1,BM102,BM112)</f>
        <v>602.630779562462</v>
      </c>
      <c r="BO106" s="19" t="n">
        <f aca="false">IF(Time!BO49=1,BN102,BN112)</f>
        <v>601.825939159918</v>
      </c>
      <c r="BP106" s="19" t="n">
        <f aca="false">IF(Time!BP49=1,BO102,BO112)</f>
        <v>601.825939159918</v>
      </c>
      <c r="BQ106" s="19" t="n">
        <f aca="false">IF(Time!BQ49=1,BP102,BP112)</f>
        <v>601.825939159918</v>
      </c>
      <c r="BR106" s="19" t="n">
        <f aca="false">IF(Time!BR49=1,BQ102,BQ112)</f>
        <v>601.825939159918</v>
      </c>
      <c r="BS106" s="19" t="n">
        <f aca="false">IF(Time!BS49=1,BR102,BR112)</f>
        <v>601.825939159918</v>
      </c>
      <c r="BT106" s="19" t="n">
        <f aca="false">IF(Time!BT49=1,BS102,BS112)</f>
        <v>601.825939159918</v>
      </c>
      <c r="BU106" s="19" t="n">
        <f aca="false">IF(Time!BU49=1,BT102,BT112)</f>
        <v>601.825939159918</v>
      </c>
      <c r="BV106" s="19" t="n">
        <f aca="false">IF(Time!BV49=1,BU102,BU112)</f>
        <v>597.287644487706</v>
      </c>
      <c r="BW106" s="19" t="n">
        <f aca="false">IF(Time!BW49=1,BV102,BV112)</f>
        <v>592.649199962155</v>
      </c>
      <c r="BX106" s="19" t="n">
        <f aca="false">IF(Time!BX49=1,BW102,BW112)</f>
        <v>589.710350203909</v>
      </c>
      <c r="BY106" s="19" t="n">
        <f aca="false">IF(Time!BY49=1,BX102,BX112)</f>
        <v>587.133201323488</v>
      </c>
      <c r="BZ106" s="19" t="n">
        <f aca="false">IF(Time!BZ49=1,BY102,BY112)</f>
        <v>584.242509136792</v>
      </c>
      <c r="CA106" s="19" t="n">
        <f aca="false">IF(Time!CA49=1,BZ102,BZ112)</f>
        <v>581.290011917148</v>
      </c>
      <c r="CB106" s="19" t="n">
        <f aca="false">IF(Time!CB49=1,CA102,CA112)</f>
        <v>579.922873563579</v>
      </c>
      <c r="CC106" s="19" t="n">
        <f aca="false">IF(Time!CC49=1,CB102,CB112)</f>
        <v>578.516204540852</v>
      </c>
      <c r="CD106" s="19" t="n">
        <f aca="false">IF(Time!CD49=1,CC102,CC112)</f>
        <v>576.763383551459</v>
      </c>
      <c r="CE106" s="19" t="n">
        <f aca="false">IF(Time!CE49=1,CD102,CD112)</f>
        <v>574.970672280592</v>
      </c>
      <c r="CF106" s="19" t="n">
        <f aca="false">IF(Time!CF49=1,CE102,CE112)</f>
        <v>573.746935933016</v>
      </c>
      <c r="CG106" s="19" t="n">
        <f aca="false">IF(Time!CG49=1,CF102,CF112)</f>
        <v>572.471975884001</v>
      </c>
      <c r="CH106" s="19" t="n">
        <f aca="false">IF(Time!CH49=1,CG102,CG112)</f>
        <v>565.436814924144</v>
      </c>
      <c r="CI106" s="19" t="n">
        <f aca="false">IF(Time!CI49=1,CH102,CH112)</f>
        <v>561.787131475155</v>
      </c>
      <c r="CJ106" s="19" t="n">
        <f aca="false">IF(Time!CJ49=1,CI102,CI112)</f>
        <v>557.714226331996</v>
      </c>
      <c r="CK106" s="19" t="n">
        <f aca="false">IF(Time!CK49=1,CJ102,CJ112)</f>
        <v>553.591090715229</v>
      </c>
      <c r="CL106" s="19" t="n">
        <f aca="false">IF(Time!CL49=1,CK102,CK112)</f>
        <v>546.380636776687</v>
      </c>
      <c r="CM106" s="19" t="n">
        <f aca="false">IF(Time!CM49=1,CL102,CL112)</f>
        <v>540.732772262391</v>
      </c>
      <c r="CN106" s="19" t="n">
        <f aca="false">IF(Time!CN49=1,CM102,CM112)</f>
        <v>537.553505405002</v>
      </c>
      <c r="CO106" s="19" t="n">
        <f aca="false">IF(Time!CO49=1,CN102,CN112)</f>
        <v>534.283040925447</v>
      </c>
      <c r="CP106" s="19" t="n">
        <f aca="false">IF(Time!CP49=1,CO102,CO112)</f>
        <v>530.539869281396</v>
      </c>
      <c r="CQ106" s="19" t="n">
        <f aca="false">IF(Time!CQ49=1,CP102,CP112)</f>
        <v>487.225661674833</v>
      </c>
      <c r="CR106" s="19" t="n">
        <f aca="false">IF(Time!CR49=1,CQ102,CQ112)</f>
        <v>440.753142042732</v>
      </c>
      <c r="CS106" s="19" t="n">
        <f aca="false">IF(Time!CS49=1,CR102,CR112)</f>
        <v>394.070633429488</v>
      </c>
      <c r="CT106" s="19" t="n">
        <f aca="false">IF(Time!CT49=1,CS102,CS112)</f>
        <v>316.218698321641</v>
      </c>
      <c r="CU106" s="19" t="n">
        <f aca="false">IF(Time!CU49=1,CT102,CT112)</f>
        <v>259.963439104795</v>
      </c>
      <c r="CV106" s="19" t="n">
        <f aca="false">IF(Time!CV49=1,CU102,CU112)</f>
        <v>205.726262793239</v>
      </c>
      <c r="CW106" s="19" t="n">
        <f aca="false">IF(Time!CW49=1,CV102,CV112)</f>
        <v>151.082969137912</v>
      </c>
      <c r="CX106" s="19" t="n">
        <f aca="false">IF(Time!CX49=1,CW102,CW112)</f>
        <v>93.1448604351068</v>
      </c>
      <c r="CY106" s="19" t="n">
        <f aca="false">IF(Time!CY49=1,CX102,CX112)</f>
        <v>35.1702461021922</v>
      </c>
      <c r="CZ106" s="19" t="n">
        <f aca="false">IF(Time!CZ49=1,CY102,CY112)</f>
        <v>-26.6451298254097</v>
      </c>
      <c r="DA106" s="19" t="n">
        <f aca="false">IF(Time!DA49=1,CZ102,CZ112)</f>
        <v>-88.501312418481</v>
      </c>
      <c r="DB106" s="19" t="n">
        <f aca="false">IF(Time!DB49=1,DA102,DA112)</f>
        <v>-168.204567722398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477.17470846488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0</v>
      </c>
      <c r="AA107" s="19" t="n">
        <f aca="false">AA106*Time!AA50*Time!AA9/Inputs!$F$45</f>
        <v>0</v>
      </c>
      <c r="AB107" s="19" t="n">
        <f aca="false">AB106*Time!AB50*Time!AB9/Inputs!$F$45</f>
        <v>0</v>
      </c>
      <c r="AC107" s="19" t="n">
        <f aca="false">AC106*Time!AC50*Time!AC9/Inputs!$F$45</f>
        <v>0</v>
      </c>
      <c r="AD107" s="19" t="n">
        <f aca="false">AD106*Time!AD50*Time!AD9/Inputs!$F$45</f>
        <v>0</v>
      </c>
      <c r="AE107" s="19" t="n">
        <f aca="false">AE106*Time!AE50*Time!AE9/Inputs!$F$45</f>
        <v>0</v>
      </c>
      <c r="AF107" s="19" t="n">
        <f aca="false">AF106*Time!AF50*Time!AF9/Inputs!$F$45</f>
        <v>0</v>
      </c>
      <c r="AG107" s="19" t="n">
        <f aca="false">AG106*Time!AG50*Time!AG9/Inputs!$F$45</f>
        <v>0</v>
      </c>
      <c r="AH107" s="19" t="n">
        <f aca="false">AH106*Time!AH50*Time!AH9/Inputs!$F$45</f>
        <v>0</v>
      </c>
      <c r="AI107" s="19" t="n">
        <f aca="false">AI106*Time!AI50*Time!AI9/Inputs!$F$45</f>
        <v>0</v>
      </c>
      <c r="AJ107" s="19" t="n">
        <f aca="false">AJ106*Time!AJ50*Time!AJ9/Inputs!$F$45</f>
        <v>2.8116132743953</v>
      </c>
      <c r="AK107" s="19" t="n">
        <f aca="false">AK106*Time!AK50*Time!AK9/Inputs!$F$45</f>
        <v>2.85668373568745</v>
      </c>
      <c r="AL107" s="19" t="n">
        <f aca="false">AL106*Time!AL50*Time!AL9/Inputs!$F$45</f>
        <v>2.82427339114838</v>
      </c>
      <c r="AM107" s="19" t="n">
        <f aca="false">AM106*Time!AM50*Time!AM9/Inputs!$F$45</f>
        <v>2.88532198531315</v>
      </c>
      <c r="AN107" s="19" t="n">
        <f aca="false">AN106*Time!AN50*Time!AN9/Inputs!$F$45</f>
        <v>2.8525867271248</v>
      </c>
      <c r="AO107" s="19" t="n">
        <f aca="false">AO106*Time!AO50*Time!AO9/Inputs!$F$45</f>
        <v>2.91424733334297</v>
      </c>
      <c r="AP107" s="19" t="n">
        <f aca="false">AP106*Time!AP50*Time!AP9/Inputs!$F$45</f>
        <v>2.88118390424657</v>
      </c>
      <c r="AQ107" s="19" t="n">
        <f aca="false">AQ106*Time!AQ50*Time!AQ9/Inputs!$F$45</f>
        <v>2.94346265793794</v>
      </c>
      <c r="AR107" s="19" t="n">
        <f aca="false">AR106*Time!AR50*Time!AR9/Inputs!$F$45</f>
        <v>2.92614549049595</v>
      </c>
      <c r="AS107" s="19" t="n">
        <f aca="false">AS106*Time!AS50*Time!AS9/Inputs!$F$45</f>
        <v>2.97305191545334</v>
      </c>
      <c r="AT107" s="19" t="n">
        <f aca="false">AT106*Time!AT50*Time!AT9/Inputs!$F$45</f>
        <v>2.93932132228033</v>
      </c>
      <c r="AU107" s="19" t="n">
        <f aca="false">AU106*Time!AU50*Time!AU9/Inputs!$F$45</f>
        <v>3.00285675588465</v>
      </c>
      <c r="AV107" s="19" t="n">
        <f aca="false">AV106*Time!AV50*Time!AV9/Inputs!$F$45</f>
        <v>2.96878801357206</v>
      </c>
      <c r="AW107" s="19" t="n">
        <f aca="false">AW106*Time!AW50*Time!AW9/Inputs!$F$45</f>
        <v>3.03296038979095</v>
      </c>
      <c r="AX107" s="19" t="n">
        <f aca="false">AX106*Time!AX50*Time!AX9/Inputs!$F$45</f>
        <v>9.17556333168628</v>
      </c>
      <c r="AY107" s="19" t="n">
        <f aca="false">AY106*Time!AY50*Time!AY9/Inputs!$F$45</f>
        <v>9.32764449187998</v>
      </c>
      <c r="AZ107" s="19" t="n">
        <f aca="false">AZ106*Time!AZ50*Time!AZ9/Inputs!$F$45</f>
        <v>9.22625705175085</v>
      </c>
      <c r="BA107" s="19" t="n">
        <f aca="false">BA106*Time!BA50*Time!BA9/Inputs!$F$45</f>
        <v>9.32764449187998</v>
      </c>
      <c r="BB107" s="19" t="n">
        <f aca="false">BB106*Time!BB50*Time!BB9/Inputs!$F$45</f>
        <v>9.17556333168628</v>
      </c>
      <c r="BC107" s="19" t="n">
        <f aca="false">BC106*Time!BC50*Time!BC9/Inputs!$F$45</f>
        <v>9.32764449187998</v>
      </c>
      <c r="BD107" s="19" t="n">
        <f aca="false">BD106*Time!BD50*Time!BD9/Inputs!$F$45</f>
        <v>9.17556333168628</v>
      </c>
      <c r="BE107" s="19" t="n">
        <f aca="false">BE106*Time!BE50*Time!BE9/Inputs!$F$45</f>
        <v>9.32764449187998</v>
      </c>
      <c r="BF107" s="19" t="n">
        <f aca="false">BF106*Time!BF50*Time!BF9/Inputs!$F$45</f>
        <v>9.16965755160507</v>
      </c>
      <c r="BG107" s="19" t="n">
        <f aca="false">BG106*Time!BG50*Time!BG9/Inputs!$F$45</f>
        <v>9.31949527724391</v>
      </c>
      <c r="BH107" s="19" t="n">
        <f aca="false">BH106*Time!BH50*Time!BH9/Inputs!$F$45</f>
        <v>9.21819641553474</v>
      </c>
      <c r="BI107" s="19" t="n">
        <f aca="false">BI106*Time!BI50*Time!BI9/Inputs!$F$45</f>
        <v>9.31949527724391</v>
      </c>
      <c r="BJ107" s="19" t="n">
        <f aca="false">BJ106*Time!BJ50*Time!BJ9/Inputs!$F$45</f>
        <v>9.16754698468015</v>
      </c>
      <c r="BK107" s="19" t="n">
        <f aca="false">BK106*Time!BK50*Time!BK9/Inputs!$F$45</f>
        <v>9.31787220257105</v>
      </c>
      <c r="BL107" s="19" t="n">
        <f aca="false">BL106*Time!BL50*Time!BL9/Inputs!$F$45</f>
        <v>9.16128423992395</v>
      </c>
      <c r="BM107" s="19" t="n">
        <f aca="false">BM106*Time!BM50*Time!BM9/Inputs!$F$45</f>
        <v>9.30629129030349</v>
      </c>
      <c r="BN107" s="19" t="n">
        <f aca="false">BN106*Time!BN50*Time!BN9/Inputs!$F$45</f>
        <v>9.14446804297165</v>
      </c>
      <c r="BO107" s="19" t="n">
        <f aca="false">BO106*Time!BO50*Time!BO9/Inputs!$F$45</f>
        <v>9.28361854204385</v>
      </c>
      <c r="BP107" s="19" t="n">
        <f aca="false">BP106*Time!BP50*Time!BP9/Inputs!$F$45</f>
        <v>9.18270964484772</v>
      </c>
      <c r="BQ107" s="19" t="n">
        <f aca="false">BQ106*Time!BQ50*Time!BQ9/Inputs!$F$45</f>
        <v>9.28361854204385</v>
      </c>
      <c r="BR107" s="19" t="n">
        <f aca="false">BR106*Time!BR50*Time!BR9/Inputs!$F$45</f>
        <v>9.13225519624965</v>
      </c>
      <c r="BS107" s="19" t="n">
        <f aca="false">BS106*Time!BS50*Time!BS9/Inputs!$F$45</f>
        <v>9.28361854204385</v>
      </c>
      <c r="BT107" s="19" t="n">
        <f aca="false">BT106*Time!BT50*Time!BT9/Inputs!$F$45</f>
        <v>9.13225519624965</v>
      </c>
      <c r="BU107" s="19" t="n">
        <f aca="false">BU106*Time!BU50*Time!BU9/Inputs!$F$45</f>
        <v>9.28361854204385</v>
      </c>
      <c r="BV107" s="19" t="n">
        <f aca="false">BV106*Time!BV50*Time!BV9/Inputs!$F$45</f>
        <v>9.06338999386195</v>
      </c>
      <c r="BW107" s="19" t="n">
        <f aca="false">BW106*Time!BW50*Time!BW9/Inputs!$F$45</f>
        <v>9.14206042593676</v>
      </c>
      <c r="BX107" s="19" t="n">
        <f aca="false">BX106*Time!BX50*Time!BX9/Inputs!$F$45</f>
        <v>8.9978489927551</v>
      </c>
      <c r="BY107" s="19" t="n">
        <f aca="false">BY106*Time!BY50*Time!BY9/Inputs!$F$45</f>
        <v>9.05697199104593</v>
      </c>
      <c r="BZ107" s="19" t="n">
        <f aca="false">BZ106*Time!BZ50*Time!BZ9/Inputs!$F$45</f>
        <v>8.86543989343845</v>
      </c>
      <c r="CA107" s="19" t="n">
        <f aca="false">CA106*Time!CA50*Time!CA9/Inputs!$F$45</f>
        <v>8.96683639205017</v>
      </c>
      <c r="CB107" s="19" t="n">
        <f aca="false">CB106*Time!CB50*Time!CB9/Inputs!$F$45</f>
        <v>8.7998926781349</v>
      </c>
      <c r="CC107" s="19" t="n">
        <f aca="false">CC106*Time!CC50*Time!CC9/Inputs!$F$45</f>
        <v>8.92404832341593</v>
      </c>
      <c r="CD107" s="19" t="n">
        <f aca="false">CD106*Time!CD50*Time!CD9/Inputs!$F$45</f>
        <v>8.75194979763866</v>
      </c>
      <c r="CE107" s="19" t="n">
        <f aca="false">CE106*Time!CE50*Time!CE9/Inputs!$F$45</f>
        <v>8.86935581700999</v>
      </c>
      <c r="CF107" s="19" t="n">
        <f aca="false">CF106*Time!CF50*Time!CF9/Inputs!$F$45</f>
        <v>8.75427790574836</v>
      </c>
      <c r="CG107" s="19" t="n">
        <f aca="false">CG106*Time!CG50*Time!CG9/Inputs!$F$45</f>
        <v>8.83081154251309</v>
      </c>
      <c r="CH107" s="19" t="n">
        <f aca="false">CH106*Time!CH50*Time!CH9/Inputs!$F$45</f>
        <v>8.58007765243524</v>
      </c>
      <c r="CI107" s="19" t="n">
        <f aca="false">CI106*Time!CI50*Time!CI9/Inputs!$F$45</f>
        <v>8.66598976728141</v>
      </c>
      <c r="CJ107" s="19" t="n">
        <f aca="false">CJ106*Time!CJ50*Time!CJ9/Inputs!$F$45</f>
        <v>8.46289318893806</v>
      </c>
      <c r="CK107" s="19" t="n">
        <f aca="false">CK106*Time!CK50*Time!CK9/Inputs!$F$45</f>
        <v>8.53955966346034</v>
      </c>
      <c r="CL107" s="19" t="n">
        <f aca="false">CL106*Time!CL50*Time!CL9/Inputs!$F$45</f>
        <v>8.29091450644207</v>
      </c>
      <c r="CM107" s="19" t="n">
        <f aca="false">CM106*Time!CM50*Time!CM9/Inputs!$F$45</f>
        <v>8.34121041355114</v>
      </c>
      <c r="CN107" s="19" t="n">
        <f aca="false">CN106*Time!CN50*Time!CN9/Inputs!$F$45</f>
        <v>8.20203556794941</v>
      </c>
      <c r="CO107" s="19" t="n">
        <f aca="false">CO106*Time!CO50*Time!CO9/Inputs!$F$45</f>
        <v>8.24171844829216</v>
      </c>
      <c r="CP107" s="19" t="n">
        <f aca="false">CP106*Time!CP50*Time!CP9/Inputs!$F$45</f>
        <v>8.05054279452586</v>
      </c>
      <c r="CQ107" s="19" t="n">
        <f aca="false">CQ106*Time!CQ50*Time!CQ9/Inputs!$F$45</f>
        <v>7.5158229191616</v>
      </c>
      <c r="CR107" s="19" t="n">
        <f aca="false">CR106*Time!CR50*Time!CR9/Inputs!$F$45</f>
        <v>6.68809685621336</v>
      </c>
      <c r="CS107" s="19" t="n">
        <f aca="false">CS106*Time!CS50*Time!CS9/Inputs!$F$45</f>
        <v>6.07883642318189</v>
      </c>
      <c r="CT107" s="19" t="n">
        <f aca="false">CT106*Time!CT50*Time!CT9/Inputs!$F$45</f>
        <v>4.79838050006642</v>
      </c>
      <c r="CU107" s="19" t="n">
        <f aca="false">CU106*Time!CU50*Time!CU9/Inputs!$F$45</f>
        <v>4.01013191105655</v>
      </c>
      <c r="CV107" s="19" t="n">
        <f aca="false">CV106*Time!CV50*Time!CV9/Inputs!$F$45</f>
        <v>3.13898822670714</v>
      </c>
      <c r="CW107" s="19" t="n">
        <f aca="false">CW106*Time!CW50*Time!CW9/Inputs!$F$45</f>
        <v>2.33056862858658</v>
      </c>
      <c r="CX107" s="19" t="n">
        <f aca="false">CX106*Time!CX50*Time!CX9/Inputs!$F$45</f>
        <v>1.41340307946817</v>
      </c>
      <c r="CY107" s="19" t="n">
        <f aca="false">CY106*Time!CY50*Time!CY9/Inputs!$F$45</f>
        <v>0.54252754425694</v>
      </c>
      <c r="CZ107" s="19" t="n">
        <f aca="false">CZ106*Time!CZ50*Time!CZ9/Inputs!$F$45</f>
        <v>-0.404319770002779</v>
      </c>
      <c r="DA107" s="19" t="n">
        <f aca="false">DA106*Time!DA50*Time!DA9/Inputs!$F$45</f>
        <v>-1.36519942312607</v>
      </c>
      <c r="DB107" s="19" t="n">
        <f aca="false">DB106*Time!DB50*Time!DB9/Inputs!$F$45</f>
        <v>-2.55237758571855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436.362211568206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0</v>
      </c>
      <c r="AK108" s="19" t="n">
        <f aca="false">AK107*Time!AK51</f>
        <v>0</v>
      </c>
      <c r="AL108" s="19" t="n">
        <f aca="false">AL107*Time!AL51</f>
        <v>0</v>
      </c>
      <c r="AM108" s="19" t="n">
        <f aca="false">AM107*Time!AM51</f>
        <v>0</v>
      </c>
      <c r="AN108" s="19" t="n">
        <f aca="false">AN107*Time!AN51</f>
        <v>0</v>
      </c>
      <c r="AO108" s="19" t="n">
        <f aca="false">AO107*Time!AO51</f>
        <v>0</v>
      </c>
      <c r="AP108" s="19" t="n">
        <f aca="false">AP107*Time!AP51</f>
        <v>0</v>
      </c>
      <c r="AQ108" s="19" t="n">
        <f aca="false">AQ107*Time!AQ51</f>
        <v>0</v>
      </c>
      <c r="AR108" s="19" t="n">
        <f aca="false">AR107*Time!AR51</f>
        <v>0</v>
      </c>
      <c r="AS108" s="19" t="n">
        <f aca="false">AS107*Time!AS51</f>
        <v>0</v>
      </c>
      <c r="AT108" s="19" t="n">
        <f aca="false">AT107*Time!AT51</f>
        <v>0</v>
      </c>
      <c r="AU108" s="19" t="n">
        <f aca="false">AU107*Time!AU51</f>
        <v>0</v>
      </c>
      <c r="AV108" s="19" t="n">
        <f aca="false">AV107*Time!AV51</f>
        <v>0</v>
      </c>
      <c r="AW108" s="19" t="n">
        <f aca="false">AW107*Time!AW51</f>
        <v>0</v>
      </c>
      <c r="AX108" s="19" t="n">
        <f aca="false">AX107*Time!AX51</f>
        <v>9.17556333168628</v>
      </c>
      <c r="AY108" s="19" t="n">
        <f aca="false">AY107*Time!AY51</f>
        <v>9.32764449187998</v>
      </c>
      <c r="AZ108" s="19" t="n">
        <f aca="false">AZ107*Time!AZ51</f>
        <v>9.22625705175085</v>
      </c>
      <c r="BA108" s="19" t="n">
        <f aca="false">BA107*Time!BA51</f>
        <v>9.32764449187998</v>
      </c>
      <c r="BB108" s="19" t="n">
        <f aca="false">BB107*Time!BB51</f>
        <v>9.17556333168628</v>
      </c>
      <c r="BC108" s="19" t="n">
        <f aca="false">BC107*Time!BC51</f>
        <v>9.32764449187998</v>
      </c>
      <c r="BD108" s="19" t="n">
        <f aca="false">BD107*Time!BD51</f>
        <v>9.17556333168628</v>
      </c>
      <c r="BE108" s="19" t="n">
        <f aca="false">BE107*Time!BE51</f>
        <v>9.32764449187998</v>
      </c>
      <c r="BF108" s="19" t="n">
        <f aca="false">BF107*Time!BF51</f>
        <v>9.16965755160507</v>
      </c>
      <c r="BG108" s="19" t="n">
        <f aca="false">BG107*Time!BG51</f>
        <v>9.31949527724391</v>
      </c>
      <c r="BH108" s="19" t="n">
        <f aca="false">BH107*Time!BH51</f>
        <v>9.21819641553474</v>
      </c>
      <c r="BI108" s="19" t="n">
        <f aca="false">BI107*Time!BI51</f>
        <v>9.31949527724391</v>
      </c>
      <c r="BJ108" s="19" t="n">
        <f aca="false">BJ107*Time!BJ51</f>
        <v>9.16754698468015</v>
      </c>
      <c r="BK108" s="19" t="n">
        <f aca="false">BK107*Time!BK51</f>
        <v>9.31787220257105</v>
      </c>
      <c r="BL108" s="19" t="n">
        <f aca="false">BL107*Time!BL51</f>
        <v>9.16128423992395</v>
      </c>
      <c r="BM108" s="19" t="n">
        <f aca="false">BM107*Time!BM51</f>
        <v>9.30629129030349</v>
      </c>
      <c r="BN108" s="19" t="n">
        <f aca="false">BN107*Time!BN51</f>
        <v>9.14446804297165</v>
      </c>
      <c r="BO108" s="19" t="n">
        <f aca="false">BO107*Time!BO51</f>
        <v>9.28361854204385</v>
      </c>
      <c r="BP108" s="19" t="n">
        <f aca="false">BP107*Time!BP51</f>
        <v>9.18270964484772</v>
      </c>
      <c r="BQ108" s="19" t="n">
        <f aca="false">BQ107*Time!BQ51</f>
        <v>9.28361854204385</v>
      </c>
      <c r="BR108" s="19" t="n">
        <f aca="false">BR107*Time!BR51</f>
        <v>9.13225519624965</v>
      </c>
      <c r="BS108" s="19" t="n">
        <f aca="false">BS107*Time!BS51</f>
        <v>9.28361854204385</v>
      </c>
      <c r="BT108" s="19" t="n">
        <f aca="false">BT107*Time!BT51</f>
        <v>9.13225519624965</v>
      </c>
      <c r="BU108" s="19" t="n">
        <f aca="false">BU107*Time!BU51</f>
        <v>9.28361854204385</v>
      </c>
      <c r="BV108" s="19" t="n">
        <f aca="false">BV107*Time!BV51</f>
        <v>9.06338999386195</v>
      </c>
      <c r="BW108" s="19" t="n">
        <f aca="false">BW107*Time!BW51</f>
        <v>9.14206042593676</v>
      </c>
      <c r="BX108" s="19" t="n">
        <f aca="false">BX107*Time!BX51</f>
        <v>8.9978489927551</v>
      </c>
      <c r="BY108" s="19" t="n">
        <f aca="false">BY107*Time!BY51</f>
        <v>9.05697199104593</v>
      </c>
      <c r="BZ108" s="19" t="n">
        <f aca="false">BZ107*Time!BZ51</f>
        <v>8.86543989343845</v>
      </c>
      <c r="CA108" s="19" t="n">
        <f aca="false">CA107*Time!CA51</f>
        <v>8.96683639205017</v>
      </c>
      <c r="CB108" s="19" t="n">
        <f aca="false">CB107*Time!CB51</f>
        <v>8.7998926781349</v>
      </c>
      <c r="CC108" s="19" t="n">
        <f aca="false">CC107*Time!CC51</f>
        <v>8.92404832341593</v>
      </c>
      <c r="CD108" s="19" t="n">
        <f aca="false">CD107*Time!CD51</f>
        <v>8.75194979763866</v>
      </c>
      <c r="CE108" s="19" t="n">
        <f aca="false">CE107*Time!CE51</f>
        <v>8.86935581700999</v>
      </c>
      <c r="CF108" s="19" t="n">
        <f aca="false">CF107*Time!CF51</f>
        <v>8.75427790574836</v>
      </c>
      <c r="CG108" s="19" t="n">
        <f aca="false">CG107*Time!CG51</f>
        <v>8.83081154251309</v>
      </c>
      <c r="CH108" s="19" t="n">
        <f aca="false">CH107*Time!CH51</f>
        <v>8.58007765243524</v>
      </c>
      <c r="CI108" s="19" t="n">
        <f aca="false">CI107*Time!CI51</f>
        <v>8.66598976728141</v>
      </c>
      <c r="CJ108" s="19" t="n">
        <f aca="false">CJ107*Time!CJ51</f>
        <v>8.46289318893806</v>
      </c>
      <c r="CK108" s="19" t="n">
        <f aca="false">CK107*Time!CK51</f>
        <v>8.53955966346034</v>
      </c>
      <c r="CL108" s="19" t="n">
        <f aca="false">CL107*Time!CL51</f>
        <v>8.29091450644207</v>
      </c>
      <c r="CM108" s="19" t="n">
        <f aca="false">CM107*Time!CM51</f>
        <v>8.34121041355114</v>
      </c>
      <c r="CN108" s="19" t="n">
        <f aca="false">CN107*Time!CN51</f>
        <v>8.20203556794941</v>
      </c>
      <c r="CO108" s="19" t="n">
        <f aca="false">CO107*Time!CO51</f>
        <v>8.24171844829216</v>
      </c>
      <c r="CP108" s="19" t="n">
        <f aca="false">CP107*Time!CP51</f>
        <v>8.05054279452586</v>
      </c>
      <c r="CQ108" s="19" t="n">
        <f aca="false">CQ107*Time!CQ51</f>
        <v>7.5158229191616</v>
      </c>
      <c r="CR108" s="19" t="n">
        <f aca="false">CR107*Time!CR51</f>
        <v>6.68809685621336</v>
      </c>
      <c r="CS108" s="19" t="n">
        <f aca="false">CS107*Time!CS51</f>
        <v>6.07883642318189</v>
      </c>
      <c r="CT108" s="19" t="n">
        <f aca="false">CT107*Time!CT51</f>
        <v>4.79838050006642</v>
      </c>
      <c r="CU108" s="19" t="n">
        <f aca="false">CU107*Time!CU51</f>
        <v>4.01013191105655</v>
      </c>
      <c r="CV108" s="19" t="n">
        <f aca="false">CV107*Time!CV51</f>
        <v>3.13898822670714</v>
      </c>
      <c r="CW108" s="19" t="n">
        <f aca="false">CW107*Time!CW51</f>
        <v>2.33056862858658</v>
      </c>
      <c r="CX108" s="19" t="n">
        <f aca="false">CX107*Time!CX51</f>
        <v>1.41340307946817</v>
      </c>
      <c r="CY108" s="19" t="n">
        <f aca="false">CY107*Time!CY51</f>
        <v>0.54252754425694</v>
      </c>
      <c r="CZ108" s="19" t="n">
        <f aca="false">CZ107*Time!CZ51</f>
        <v>-0.404319770002779</v>
      </c>
      <c r="DA108" s="19" t="n">
        <f aca="false">DA107*Time!DA51</f>
        <v>-1.36519942312607</v>
      </c>
      <c r="DB108" s="19" t="n">
        <f aca="false">DB107*Time!DB51</f>
        <v>-2.55237758571855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1</v>
      </c>
      <c r="AY109" s="14" t="n">
        <f aca="false">IF(AND(Time!AY47=1,AY108&gt;AY104/$F$115),1,0)</f>
        <v>1</v>
      </c>
      <c r="AZ109" s="14" t="n">
        <f aca="false">IF(AND(Time!AZ47=1,AZ108&gt;AZ104/$F$115),1,0)</f>
        <v>1</v>
      </c>
      <c r="BA109" s="14" t="n">
        <f aca="false">IF(AND(Time!BA47=1,BA108&gt;BA104/$F$115),1,0)</f>
        <v>1</v>
      </c>
      <c r="BB109" s="14" t="n">
        <f aca="false">IF(AND(Time!BB47=1,BB108&gt;BB104/$F$115),1,0)</f>
        <v>1</v>
      </c>
      <c r="BC109" s="14" t="n">
        <f aca="false">IF(AND(Time!BC47=1,BC108&gt;BC104/$F$115),1,0)</f>
        <v>1</v>
      </c>
      <c r="BD109" s="14" t="n">
        <f aca="false">IF(AND(Time!BD47=1,BD108&gt;BD104/$F$115),1,0)</f>
        <v>1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1</v>
      </c>
      <c r="BH109" s="14" t="n">
        <f aca="false">IF(AND(Time!BH47=1,BH108&gt;BH104/$F$115),1,0)</f>
        <v>1</v>
      </c>
      <c r="BI109" s="14" t="n">
        <f aca="false">IF(AND(Time!BI47=1,BI108&gt;BI104/$F$115),1,0)</f>
        <v>1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1</v>
      </c>
      <c r="BP109" s="14" t="n">
        <f aca="false">IF(AND(Time!BP47=1,BP108&gt;BP104/$F$115),1,0)</f>
        <v>1</v>
      </c>
      <c r="BQ109" s="14" t="n">
        <f aca="false">IF(AND(Time!BQ47=1,BQ108&gt;BQ104/$F$115),1,0)</f>
        <v>1</v>
      </c>
      <c r="BR109" s="14" t="n">
        <f aca="false">IF(AND(Time!BR47=1,BR108&gt;BR104/$F$115),1,0)</f>
        <v>1</v>
      </c>
      <c r="BS109" s="14" t="n">
        <f aca="false">IF(AND(Time!BS47=1,BS108&gt;BS104/$F$115),1,0)</f>
        <v>1</v>
      </c>
      <c r="BT109" s="14" t="n">
        <f aca="false">IF(AND(Time!BT47=1,BT108&gt;BT104/$F$115),1,0)</f>
        <v>1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1211.79915111051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0</v>
      </c>
      <c r="AK110" s="19" t="n">
        <f aca="false">IF(Time!AK47=1,MAX(AK108,AK104/$F$115),0)</f>
        <v>0</v>
      </c>
      <c r="AL110" s="19" t="n">
        <f aca="false">IF(Time!AL47=1,MAX(AL108,AL104/$F$115),0)</f>
        <v>0</v>
      </c>
      <c r="AM110" s="19" t="n">
        <f aca="false">IF(Time!AM47=1,MAX(AM108,AM104/$F$115),0)</f>
        <v>0</v>
      </c>
      <c r="AN110" s="19" t="n">
        <f aca="false">IF(Time!AN47=1,MAX(AN108,AN104/$F$115),0)</f>
        <v>0</v>
      </c>
      <c r="AO110" s="19" t="n">
        <f aca="false">IF(Time!AO47=1,MAX(AO108,AO104/$F$115),0)</f>
        <v>0</v>
      </c>
      <c r="AP110" s="19" t="n">
        <f aca="false">IF(Time!AP47=1,MAX(AP108,AP104/$F$115),0)</f>
        <v>0</v>
      </c>
      <c r="AQ110" s="19" t="n">
        <f aca="false">IF(Time!AQ47=1,MAX(AQ108,AQ104/$F$115),0)</f>
        <v>0</v>
      </c>
      <c r="AR110" s="19" t="n">
        <f aca="false">IF(Time!AR47=1,MAX(AR108,AR104/$F$115),0)</f>
        <v>0</v>
      </c>
      <c r="AS110" s="19" t="n">
        <f aca="false">IF(Time!AS47=1,MAX(AS108,AS104/$F$115),0)</f>
        <v>0</v>
      </c>
      <c r="AT110" s="19" t="n">
        <f aca="false">IF(Time!AT47=1,MAX(AT108,AT104/$F$115),0)</f>
        <v>0</v>
      </c>
      <c r="AU110" s="19" t="n">
        <f aca="false">IF(Time!AU47=1,MAX(AU108,AU104/$F$115),0)</f>
        <v>0</v>
      </c>
      <c r="AV110" s="19" t="n">
        <f aca="false">IF(Time!AV47=1,MAX(AV108,AV104/$F$115),0)</f>
        <v>0</v>
      </c>
      <c r="AW110" s="19" t="n">
        <f aca="false">IF(Time!AW47=1,MAX(AW108,AW104/$F$115),0)</f>
        <v>0</v>
      </c>
      <c r="AX110" s="19" t="n">
        <f aca="false">IF(Time!AX47=1,MAX(AX108,AX104/$F$115),0)</f>
        <v>9.17556333168628</v>
      </c>
      <c r="AY110" s="19" t="n">
        <f aca="false">IF(Time!AY47=1,MAX(AY108,AY104/$F$115),0)</f>
        <v>9.32764449187998</v>
      </c>
      <c r="AZ110" s="19" t="n">
        <f aca="false">IF(Time!AZ47=1,MAX(AZ108,AZ104/$F$115),0)</f>
        <v>9.22625705175085</v>
      </c>
      <c r="BA110" s="19" t="n">
        <f aca="false">IF(Time!BA47=1,MAX(BA108,BA104/$F$115),0)</f>
        <v>9.32764449187998</v>
      </c>
      <c r="BB110" s="19" t="n">
        <f aca="false">IF(Time!BB47=1,MAX(BB108,BB104/$F$115),0)</f>
        <v>9.17556333168628</v>
      </c>
      <c r="BC110" s="19" t="n">
        <f aca="false">IF(Time!BC47=1,MAX(BC108,BC104/$F$115),0)</f>
        <v>9.32764449187998</v>
      </c>
      <c r="BD110" s="19" t="n">
        <f aca="false">IF(Time!BD47=1,MAX(BD108,BD104/$F$115),0)</f>
        <v>9.17556333168628</v>
      </c>
      <c r="BE110" s="19" t="n">
        <f aca="false">IF(Time!BE47=1,MAX(BE108,BE104/$F$115),0)</f>
        <v>9.71684207423689</v>
      </c>
      <c r="BF110" s="19" t="n">
        <f aca="false">IF(Time!BF47=1,MAX(BF108,BF104/$F$115),0)</f>
        <v>9.30874629742458</v>
      </c>
      <c r="BG110" s="19" t="n">
        <f aca="false">IF(Time!BG47=1,MAX(BG108,BG104/$F$115),0)</f>
        <v>9.31949527724391</v>
      </c>
      <c r="BH110" s="19" t="n">
        <f aca="false">IF(Time!BH47=1,MAX(BH108,BH104/$F$115),0)</f>
        <v>9.21819641553474</v>
      </c>
      <c r="BI110" s="19" t="n">
        <f aca="false">IF(Time!BI47=1,MAX(BI108,BI104/$F$115),0)</f>
        <v>9.31949527724391</v>
      </c>
      <c r="BJ110" s="19" t="n">
        <f aca="false">IF(Time!BJ47=1,MAX(BJ108,BJ104/$F$115),0)</f>
        <v>9.27276548702384</v>
      </c>
      <c r="BK110" s="19" t="n">
        <f aca="false">IF(Time!BK47=1,MAX(BK108,BK104/$F$115),0)</f>
        <v>9.62537565812569</v>
      </c>
      <c r="BL110" s="19" t="n">
        <f aca="false">IF(Time!BL47=1,MAX(BL108,BL104/$F$115),0)</f>
        <v>9.60453259199559</v>
      </c>
      <c r="BM110" s="19" t="n">
        <f aca="false">IF(Time!BM47=1,MAX(BM108,BM104/$F$115),0)</f>
        <v>9.97124932388666</v>
      </c>
      <c r="BN110" s="19" t="n">
        <f aca="false">IF(Time!BN47=1,MAX(BN108,BN104/$F$115),0)</f>
        <v>9.94930844551531</v>
      </c>
      <c r="BO110" s="19" t="n">
        <f aca="false">IF(Time!BO47=1,MAX(BO108,BO104/$F$115),0)</f>
        <v>9.28361854204385</v>
      </c>
      <c r="BP110" s="19" t="n">
        <f aca="false">IF(Time!BP47=1,MAX(BP108,BP104/$F$115),0)</f>
        <v>9.18270964484772</v>
      </c>
      <c r="BQ110" s="19" t="n">
        <f aca="false">IF(Time!BQ47=1,MAX(BQ108,BQ104/$F$115),0)</f>
        <v>9.28361854204385</v>
      </c>
      <c r="BR110" s="19" t="n">
        <f aca="false">IF(Time!BR47=1,MAX(BR108,BR104/$F$115),0)</f>
        <v>9.13225519624965</v>
      </c>
      <c r="BS110" s="19" t="n">
        <f aca="false">IF(Time!BS47=1,MAX(BS108,BS104/$F$115),0)</f>
        <v>9.28361854204385</v>
      </c>
      <c r="BT110" s="19" t="n">
        <f aca="false">IF(Time!BT47=1,MAX(BT108,BT104/$F$115),0)</f>
        <v>9.13225519624965</v>
      </c>
      <c r="BU110" s="19" t="n">
        <f aca="false">IF(Time!BU47=1,MAX(BU108,BU104/$F$115),0)</f>
        <v>13.8219132142558</v>
      </c>
      <c r="BV110" s="19" t="n">
        <f aca="false">IF(Time!BV47=1,MAX(BV108,BV104/$F$115),0)</f>
        <v>13.7018345194131</v>
      </c>
      <c r="BW110" s="19" t="n">
        <f aca="false">IF(Time!BW47=1,MAX(BW108,BW104/$F$115),0)</f>
        <v>12.0809101841827</v>
      </c>
      <c r="BX110" s="19" t="n">
        <f aca="false">IF(Time!BX47=1,MAX(BX108,BX104/$F$115),0)</f>
        <v>11.5749978731767</v>
      </c>
      <c r="BY110" s="19" t="n">
        <f aca="false">IF(Time!BY47=1,MAX(BY108,BY104/$F$115),0)</f>
        <v>11.947664177742</v>
      </c>
      <c r="BZ110" s="19" t="n">
        <f aca="false">IF(Time!BZ47=1,MAX(BZ108,BZ104/$F$115),0)</f>
        <v>11.8179371130817</v>
      </c>
      <c r="CA110" s="19" t="n">
        <f aca="false">IF(Time!CA47=1,MAX(CA108,CA104/$F$115),0)</f>
        <v>10.3339747456193</v>
      </c>
      <c r="CB110" s="19" t="n">
        <f aca="false">IF(Time!CB47=1,MAX(CB108,CB104/$F$115),0)</f>
        <v>10.2065617008617</v>
      </c>
      <c r="CC110" s="19" t="n">
        <f aca="false">IF(Time!CC47=1,MAX(CC108,CC104/$F$115),0)</f>
        <v>10.6768693128089</v>
      </c>
      <c r="CD110" s="19" t="n">
        <f aca="false">IF(Time!CD47=1,MAX(CD108,CD104/$F$115),0)</f>
        <v>10.544661068506</v>
      </c>
      <c r="CE110" s="19" t="n">
        <f aca="false">IF(Time!CE47=1,MAX(CE108,CE104/$F$115),0)</f>
        <v>10.0930921645864</v>
      </c>
      <c r="CF110" s="19" t="n">
        <f aca="false">IF(Time!CF47=1,MAX(CF108,CF104/$F$115),0)</f>
        <v>10.0292379547633</v>
      </c>
      <c r="CG110" s="19" t="n">
        <f aca="false">IF(Time!CG47=1,MAX(CG108,CG104/$F$115),0)</f>
        <v>15.8659725023701</v>
      </c>
      <c r="CH110" s="19" t="n">
        <f aca="false">IF(Time!CH47=1,MAX(CH108,CH104/$F$115),0)</f>
        <v>12.2297611014238</v>
      </c>
      <c r="CI110" s="19" t="n">
        <f aca="false">IF(Time!CI47=1,MAX(CI108,CI104/$F$115),0)</f>
        <v>12.738894910441</v>
      </c>
      <c r="CJ110" s="19" t="n">
        <f aca="false">IF(Time!CJ47=1,MAX(CJ108,CJ104/$F$115),0)</f>
        <v>12.5860288057049</v>
      </c>
      <c r="CK110" s="19" t="n">
        <f aca="false">IF(Time!CK47=1,MAX(CK108,CK104/$F$115),0)</f>
        <v>15.7500136020026</v>
      </c>
      <c r="CL110" s="19" t="n">
        <f aca="false">IF(Time!CL47=1,MAX(CL108,CL104/$F$115),0)</f>
        <v>13.9387790207377</v>
      </c>
      <c r="CM110" s="19" t="n">
        <f aca="false">IF(Time!CM47=1,MAX(CM108,CM104/$F$115),0)</f>
        <v>11.5204772709403</v>
      </c>
      <c r="CN110" s="19" t="n">
        <f aca="false">IF(Time!CN47=1,MAX(CN108,CN104/$F$115),0)</f>
        <v>11.4725000475041</v>
      </c>
      <c r="CO110" s="19" t="n">
        <f aca="false">IF(Time!CO47=1,MAX(CO108,CO104/$F$115),0)</f>
        <v>11.9848900923433</v>
      </c>
      <c r="CP110" s="19" t="n">
        <f aca="false">IF(Time!CP47=1,MAX(CP108,CP104/$F$115),0)</f>
        <v>51.3647504010884</v>
      </c>
      <c r="CQ110" s="19" t="n">
        <f aca="false">IF(Time!CQ47=1,MAX(CQ108,CQ104/$F$115),0)</f>
        <v>53.9883425512628</v>
      </c>
      <c r="CR110" s="19" t="n">
        <f aca="false">IF(Time!CR47=1,MAX(CR108,CR104/$F$115),0)</f>
        <v>53.3706054694574</v>
      </c>
      <c r="CS110" s="19" t="n">
        <f aca="false">IF(Time!CS47=1,MAX(CS108,CS104/$F$115),0)</f>
        <v>83.930771531029</v>
      </c>
      <c r="CT110" s="19" t="n">
        <f aca="false">IF(Time!CT47=1,MAX(CT108,CT104/$F$115),0)</f>
        <v>61.0536397169123</v>
      </c>
      <c r="CU110" s="19" t="n">
        <f aca="false">IF(Time!CU47=1,MAX(CU108,CU104/$F$115),0)</f>
        <v>58.2473082226127</v>
      </c>
      <c r="CV110" s="19" t="n">
        <f aca="false">IF(Time!CV47=1,MAX(CV108,CV104/$F$115),0)</f>
        <v>57.782281882034</v>
      </c>
      <c r="CW110" s="19" t="n">
        <f aca="false">IF(Time!CW47=1,MAX(CW108,CW104/$F$115),0)</f>
        <v>60.2686773313919</v>
      </c>
      <c r="CX110" s="19" t="n">
        <f aca="false">IF(Time!CX47=1,MAX(CX108,CX104/$F$115),0)</f>
        <v>59.3880174123828</v>
      </c>
      <c r="CY110" s="19" t="n">
        <f aca="false">IF(Time!CY47=1,MAX(CY108,CY104/$F$115),0)</f>
        <v>62.3579034718589</v>
      </c>
      <c r="CZ110" s="19" t="n">
        <f aca="false">IF(Time!CZ47=1,MAX(CZ108,CZ104/$F$115),0)</f>
        <v>61.4518628230685</v>
      </c>
      <c r="DA110" s="19" t="n">
        <f aca="false">IF(Time!DA47=1,MAX(DA108,DA104/$F$115),0)</f>
        <v>78.3380558807907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772.884561956589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0</v>
      </c>
      <c r="AK111" s="19" t="n">
        <f aca="false">IF(Time!AK47=1,AK110-AK108,0)</f>
        <v>0</v>
      </c>
      <c r="AL111" s="19" t="n">
        <f aca="false">IF(Time!AL47=1,AL110-AL108,0)</f>
        <v>0</v>
      </c>
      <c r="AM111" s="19" t="n">
        <f aca="false">IF(Time!AM47=1,AM110-AM108,0)</f>
        <v>0</v>
      </c>
      <c r="AN111" s="19" t="n">
        <f aca="false">IF(Time!AN47=1,AN110-AN108,0)</f>
        <v>0</v>
      </c>
      <c r="AO111" s="19" t="n">
        <f aca="false">IF(Time!AO47=1,AO110-AO108,0)</f>
        <v>0</v>
      </c>
      <c r="AP111" s="19" t="n">
        <f aca="false">IF(Time!AP47=1,AP110-AP108,0)</f>
        <v>0</v>
      </c>
      <c r="AQ111" s="19" t="n">
        <f aca="false">IF(Time!AQ47=1,AQ110-AQ108,0)</f>
        <v>0</v>
      </c>
      <c r="AR111" s="19" t="n">
        <f aca="false">IF(Time!AR47=1,AR110-AR108,0)</f>
        <v>0</v>
      </c>
      <c r="AS111" s="19" t="n">
        <f aca="false">IF(Time!AS47=1,AS110-AS108,0)</f>
        <v>0</v>
      </c>
      <c r="AT111" s="19" t="n">
        <f aca="false">IF(Time!AT47=1,AT110-AT108,0)</f>
        <v>0</v>
      </c>
      <c r="AU111" s="19" t="n">
        <f aca="false">IF(Time!AU47=1,AU110-AU108,0)</f>
        <v>0</v>
      </c>
      <c r="AV111" s="19" t="n">
        <f aca="false">IF(Time!AV47=1,AV110-AV108,0)</f>
        <v>0</v>
      </c>
      <c r="AW111" s="19" t="n">
        <f aca="false">IF(Time!AW47=1,AW110-AW108,0)</f>
        <v>0</v>
      </c>
      <c r="AX111" s="19" t="n">
        <f aca="false">IF(Time!AX47=1,AX110-AX108,0)</f>
        <v>0</v>
      </c>
      <c r="AY111" s="19" t="n">
        <f aca="false">IF(Time!AY47=1,AY110-AY108,0)</f>
        <v>0</v>
      </c>
      <c r="AZ111" s="19" t="n">
        <f aca="false">IF(Time!AZ47=1,AZ110-AZ108,0)</f>
        <v>0</v>
      </c>
      <c r="BA111" s="19" t="n">
        <f aca="false">IF(Time!BA47=1,BA110-BA108,0)</f>
        <v>0</v>
      </c>
      <c r="BB111" s="19" t="n">
        <f aca="false">IF(Time!BB47=1,BB110-BB108,0)</f>
        <v>0</v>
      </c>
      <c r="BC111" s="19" t="n">
        <f aca="false">IF(Time!BC47=1,BC110-BC108,0)</f>
        <v>0</v>
      </c>
      <c r="BD111" s="19" t="n">
        <f aca="false">IF(Time!BD47=1,BD110-BD108,0)</f>
        <v>0</v>
      </c>
      <c r="BE111" s="19" t="n">
        <f aca="false">IF(Time!BE47=1,BE110-BE108,0)</f>
        <v>0.389197582356905</v>
      </c>
      <c r="BF111" s="19" t="n">
        <f aca="false">IF(Time!BF47=1,BF110-BF108,0)</f>
        <v>0.139088745819505</v>
      </c>
      <c r="BG111" s="19" t="n">
        <f aca="false">IF(Time!BG47=1,BG110-BG108,0)</f>
        <v>0</v>
      </c>
      <c r="BH111" s="19" t="n">
        <f aca="false">IF(Time!BH47=1,BH110-BH108,0)</f>
        <v>0</v>
      </c>
      <c r="BI111" s="19" t="n">
        <f aca="false">IF(Time!BI47=1,BI110-BI108,0)</f>
        <v>0</v>
      </c>
      <c r="BJ111" s="19" t="n">
        <f aca="false">IF(Time!BJ47=1,BJ110-BJ108,0)</f>
        <v>0.105218502343686</v>
      </c>
      <c r="BK111" s="19" t="n">
        <f aca="false">IF(Time!BK47=1,BK110-BK108,0)</f>
        <v>0.307503455554638</v>
      </c>
      <c r="BL111" s="19" t="n">
        <f aca="false">IF(Time!BL47=1,BL110-BL108,0)</f>
        <v>0.443248352071647</v>
      </c>
      <c r="BM111" s="19" t="n">
        <f aca="false">IF(Time!BM47=1,BM110-BM108,0)</f>
        <v>0.664958033583174</v>
      </c>
      <c r="BN111" s="19" t="n">
        <f aca="false">IF(Time!BN47=1,BN110-BN108,0)</f>
        <v>0.804840402543665</v>
      </c>
      <c r="BO111" s="19" t="n">
        <f aca="false">IF(Time!BO47=1,BO110-BO108,0)</f>
        <v>0</v>
      </c>
      <c r="BP111" s="19" t="n">
        <f aca="false">IF(Time!BP47=1,BP110-BP108,0)</f>
        <v>0</v>
      </c>
      <c r="BQ111" s="19" t="n">
        <f aca="false">IF(Time!BQ47=1,BQ110-BQ108,0)</f>
        <v>0</v>
      </c>
      <c r="BR111" s="19" t="n">
        <f aca="false">IF(Time!BR47=1,BR110-BR108,0)</f>
        <v>0</v>
      </c>
      <c r="BS111" s="19" t="n">
        <f aca="false">IF(Time!BS47=1,BS110-BS108,0)</f>
        <v>0</v>
      </c>
      <c r="BT111" s="19" t="n">
        <f aca="false">IF(Time!BT47=1,BT110-BT108,0)</f>
        <v>0</v>
      </c>
      <c r="BU111" s="19" t="n">
        <f aca="false">IF(Time!BU47=1,BU110-BU108,0)</f>
        <v>4.53829467221199</v>
      </c>
      <c r="BV111" s="19" t="n">
        <f aca="false">IF(Time!BV47=1,BV110-BV108,0)</f>
        <v>4.63844452555112</v>
      </c>
      <c r="BW111" s="19" t="n">
        <f aca="false">IF(Time!BW47=1,BW110-BW108,0)</f>
        <v>2.93884975824591</v>
      </c>
      <c r="BX111" s="19" t="n">
        <f aca="false">IF(Time!BX47=1,BX110-BX108,0)</f>
        <v>2.57714888042165</v>
      </c>
      <c r="BY111" s="19" t="n">
        <f aca="false">IF(Time!BY47=1,BY110-BY108,0)</f>
        <v>2.89069218669611</v>
      </c>
      <c r="BZ111" s="19" t="n">
        <f aca="false">IF(Time!BZ47=1,BZ110-BZ108,0)</f>
        <v>2.95249721964329</v>
      </c>
      <c r="CA111" s="19" t="n">
        <f aca="false">IF(Time!CA47=1,CA110-CA108,0)</f>
        <v>1.36713835356915</v>
      </c>
      <c r="CB111" s="19" t="n">
        <f aca="false">IF(Time!CB47=1,CB110-CB108,0)</f>
        <v>1.40666902272675</v>
      </c>
      <c r="CC111" s="19" t="n">
        <f aca="false">IF(Time!CC47=1,CC110-CC108,0)</f>
        <v>1.752820989393</v>
      </c>
      <c r="CD111" s="19" t="n">
        <f aca="false">IF(Time!CD47=1,CD110-CD108,0)</f>
        <v>1.79271127086729</v>
      </c>
      <c r="CE111" s="19" t="n">
        <f aca="false">IF(Time!CE47=1,CE110-CE108,0)</f>
        <v>1.2237363475764</v>
      </c>
      <c r="CF111" s="19" t="n">
        <f aca="false">IF(Time!CF47=1,CF110-CF108,0)</f>
        <v>1.27496004901489</v>
      </c>
      <c r="CG111" s="19" t="n">
        <f aca="false">IF(Time!CG47=1,CG110-CG108,0)</f>
        <v>7.03516095985702</v>
      </c>
      <c r="CH111" s="19" t="n">
        <f aca="false">IF(Time!CH47=1,CH110-CH108,0)</f>
        <v>3.64968344898858</v>
      </c>
      <c r="CI111" s="19" t="n">
        <f aca="false">IF(Time!CI47=1,CI110-CI108,0)</f>
        <v>4.07290514315963</v>
      </c>
      <c r="CJ111" s="19" t="n">
        <f aca="false">IF(Time!CJ47=1,CJ110-CJ108,0)</f>
        <v>4.12313561676679</v>
      </c>
      <c r="CK111" s="19" t="n">
        <f aca="false">IF(Time!CK47=1,CK110-CK108,0)</f>
        <v>7.21045393854228</v>
      </c>
      <c r="CL111" s="19" t="n">
        <f aca="false">IF(Time!CL47=1,CL110-CL108,0)</f>
        <v>5.64786451429559</v>
      </c>
      <c r="CM111" s="19" t="n">
        <f aca="false">IF(Time!CM47=1,CM110-CM108,0)</f>
        <v>3.17926685738918</v>
      </c>
      <c r="CN111" s="19" t="n">
        <f aca="false">IF(Time!CN47=1,CN110-CN108,0)</f>
        <v>3.27046447955468</v>
      </c>
      <c r="CO111" s="19" t="n">
        <f aca="false">IF(Time!CO47=1,CO110-CO108,0)</f>
        <v>3.74317164405115</v>
      </c>
      <c r="CP111" s="19" t="n">
        <f aca="false">IF(Time!CP47=1,CP110-CP108,0)</f>
        <v>43.3142076065625</v>
      </c>
      <c r="CQ111" s="19" t="n">
        <f aca="false">IF(Time!CQ47=1,CQ110-CQ108,0)</f>
        <v>46.4725196321012</v>
      </c>
      <c r="CR111" s="19" t="n">
        <f aca="false">IF(Time!CR47=1,CR110-CR108,0)</f>
        <v>46.682508613244</v>
      </c>
      <c r="CS111" s="19" t="n">
        <f aca="false">IF(Time!CS47=1,CS110-CS108,0)</f>
        <v>77.8519351078471</v>
      </c>
      <c r="CT111" s="19" t="n">
        <f aca="false">IF(Time!CT47=1,CT110-CT108,0)</f>
        <v>56.2552592168459</v>
      </c>
      <c r="CU111" s="19" t="n">
        <f aca="false">IF(Time!CU47=1,CU110-CU108,0)</f>
        <v>54.2371763115562</v>
      </c>
      <c r="CV111" s="19" t="n">
        <f aca="false">IF(Time!CV47=1,CV110-CV108,0)</f>
        <v>54.6432936553269</v>
      </c>
      <c r="CW111" s="19" t="n">
        <f aca="false">IF(Time!CW47=1,CW110-CW108,0)</f>
        <v>57.9381087028054</v>
      </c>
      <c r="CX111" s="19" t="n">
        <f aca="false">IF(Time!CX47=1,CX110-CX108,0)</f>
        <v>57.9746143329146</v>
      </c>
      <c r="CY111" s="19" t="n">
        <f aca="false">IF(Time!CY47=1,CY110-CY108,0)</f>
        <v>61.8153759276019</v>
      </c>
      <c r="CZ111" s="19" t="n">
        <f aca="false">IF(Time!CZ47=1,CZ110-CZ108,0)</f>
        <v>61.8561825930713</v>
      </c>
      <c r="DA111" s="19" t="n">
        <f aca="false">IF(Time!DA47=1,DA110-DA108,0)</f>
        <v>79.7032553039167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0</v>
      </c>
      <c r="AA112" s="19" t="n">
        <f aca="false">AA106+AA107-AA108-AA111</f>
        <v>0</v>
      </c>
      <c r="AB112" s="19" t="n">
        <f aca="false">AB106+AB107-AB108-AB111</f>
        <v>0</v>
      </c>
      <c r="AC112" s="19" t="n">
        <f aca="false">AC106+AC107-AC108-AC111</f>
        <v>0</v>
      </c>
      <c r="AD112" s="19" t="n">
        <f aca="false">AD106+AD107-AD108-AD111</f>
        <v>0</v>
      </c>
      <c r="AE112" s="19" t="n">
        <f aca="false">AE106+AE107-AE108-AE111</f>
        <v>0</v>
      </c>
      <c r="AF112" s="19" t="n">
        <f aca="false">AF106+AF107-AF108-AF111</f>
        <v>0</v>
      </c>
      <c r="AG112" s="19" t="n">
        <f aca="false">AG106+AG107-AG108-AG111</f>
        <v>0</v>
      </c>
      <c r="AH112" s="19" t="n">
        <f aca="false">AH106+AH107-AH108-AH111</f>
        <v>0</v>
      </c>
      <c r="AI112" s="19" t="n">
        <f aca="false">AI106+AI107-AI108-AI111</f>
        <v>0</v>
      </c>
      <c r="AJ112" s="19" t="n">
        <f aca="false">AJ106+AJ107-AJ108-AJ111</f>
        <v>566.679110611913</v>
      </c>
      <c r="AK112" s="19" t="n">
        <f aca="false">AK106+AK107-AK108-AK111</f>
        <v>569.535794347601</v>
      </c>
      <c r="AL112" s="19" t="n">
        <f aca="false">AL106+AL107-AL108-AL111</f>
        <v>572.360067738749</v>
      </c>
      <c r="AM112" s="19" t="n">
        <f aca="false">AM106+AM107-AM108-AM111</f>
        <v>575.245389724062</v>
      </c>
      <c r="AN112" s="19" t="n">
        <f aca="false">AN106+AN107-AN108-AN111</f>
        <v>578.097976451187</v>
      </c>
      <c r="AO112" s="19" t="n">
        <f aca="false">AO106+AO107-AO108-AO111</f>
        <v>581.01222378453</v>
      </c>
      <c r="AP112" s="19" t="n">
        <f aca="false">AP106+AP107-AP108-AP111</f>
        <v>583.893407688777</v>
      </c>
      <c r="AQ112" s="19" t="n">
        <f aca="false">AQ106+AQ107-AQ108-AQ111</f>
        <v>586.836870346715</v>
      </c>
      <c r="AR112" s="19" t="n">
        <f aca="false">AR106+AR107-AR108-AR111</f>
        <v>589.76301583721</v>
      </c>
      <c r="AS112" s="19" t="n">
        <f aca="false">AS106+AS107-AS108-AS111</f>
        <v>592.736067752664</v>
      </c>
      <c r="AT112" s="19" t="n">
        <f aca="false">AT106+AT107-AT108-AT111</f>
        <v>595.675389074944</v>
      </c>
      <c r="AU112" s="19" t="n">
        <f aca="false">AU106+AU107-AU108-AU111</f>
        <v>598.678245830829</v>
      </c>
      <c r="AV112" s="19" t="n">
        <f aca="false">AV106+AV107-AV108-AV111</f>
        <v>601.647033844401</v>
      </c>
      <c r="AW112" s="19" t="n">
        <f aca="false">AW106+AW107-AW108-AW111</f>
        <v>604.679994234192</v>
      </c>
      <c r="AX112" s="19" t="n">
        <f aca="false">AX106+AX107-AX108-AX111</f>
        <v>604.679994234192</v>
      </c>
      <c r="AY112" s="19" t="n">
        <f aca="false">AY106+AY107-AY108-AY111</f>
        <v>604.679994234192</v>
      </c>
      <c r="AZ112" s="19" t="n">
        <f aca="false">AZ106+AZ107-AZ108-AZ111</f>
        <v>604.679994234192</v>
      </c>
      <c r="BA112" s="19" t="n">
        <f aca="false">BA106+BA107-BA108-BA111</f>
        <v>604.679994234192</v>
      </c>
      <c r="BB112" s="19" t="n">
        <f aca="false">BB106+BB107-BB108-BB111</f>
        <v>604.679994234192</v>
      </c>
      <c r="BC112" s="19" t="n">
        <f aca="false">BC106+BC107-BC108-BC111</f>
        <v>604.679994234192</v>
      </c>
      <c r="BD112" s="19" t="n">
        <f aca="false">BD106+BD107-BD108-BD111</f>
        <v>604.679994234192</v>
      </c>
      <c r="BE112" s="19" t="n">
        <f aca="false">BE106+BE107-BE108-BE111</f>
        <v>604.290796651835</v>
      </c>
      <c r="BF112" s="19" t="n">
        <f aca="false">BF106+BF107-BF108-BF111</f>
        <v>604.151707906015</v>
      </c>
      <c r="BG112" s="19" t="n">
        <f aca="false">BG106+BG107-BG108-BG111</f>
        <v>604.151707906015</v>
      </c>
      <c r="BH112" s="19" t="n">
        <f aca="false">BH106+BH107-BH108-BH111</f>
        <v>604.151707906015</v>
      </c>
      <c r="BI112" s="19" t="n">
        <f aca="false">BI106+BI107-BI108-BI111</f>
        <v>604.151707906015</v>
      </c>
      <c r="BJ112" s="19" t="n">
        <f aca="false">BJ106+BJ107-BJ108-BJ111</f>
        <v>604.046489403672</v>
      </c>
      <c r="BK112" s="19" t="n">
        <f aca="false">BK106+BK107-BK108-BK111</f>
        <v>603.738985948117</v>
      </c>
      <c r="BL112" s="19" t="n">
        <f aca="false">BL106+BL107-BL108-BL111</f>
        <v>603.295737596045</v>
      </c>
      <c r="BM112" s="19" t="n">
        <f aca="false">BM106+BM107-BM108-BM111</f>
        <v>602.630779562462</v>
      </c>
      <c r="BN112" s="19" t="n">
        <f aca="false">BN106+BN107-BN108-BN111</f>
        <v>601.825939159918</v>
      </c>
      <c r="BO112" s="19" t="n">
        <f aca="false">BO106+BO107-BO108-BO111</f>
        <v>601.825939159918</v>
      </c>
      <c r="BP112" s="19" t="n">
        <f aca="false">BP106+BP107-BP108-BP111</f>
        <v>601.825939159918</v>
      </c>
      <c r="BQ112" s="19" t="n">
        <f aca="false">BQ106+BQ107-BQ108-BQ111</f>
        <v>601.825939159918</v>
      </c>
      <c r="BR112" s="19" t="n">
        <f aca="false">BR106+BR107-BR108-BR111</f>
        <v>601.825939159918</v>
      </c>
      <c r="BS112" s="19" t="n">
        <f aca="false">BS106+BS107-BS108-BS111</f>
        <v>601.825939159918</v>
      </c>
      <c r="BT112" s="19" t="n">
        <f aca="false">BT106+BT107-BT108-BT111</f>
        <v>601.825939159918</v>
      </c>
      <c r="BU112" s="19" t="n">
        <f aca="false">BU106+BU107-BU108-BU111</f>
        <v>597.287644487706</v>
      </c>
      <c r="BV112" s="19" t="n">
        <f aca="false">BV106+BV107-BV108-BV111</f>
        <v>592.649199962155</v>
      </c>
      <c r="BW112" s="19" t="n">
        <f aca="false">BW106+BW107-BW108-BW111</f>
        <v>589.710350203909</v>
      </c>
      <c r="BX112" s="19" t="n">
        <f aca="false">BX106+BX107-BX108-BX111</f>
        <v>587.133201323488</v>
      </c>
      <c r="BY112" s="19" t="n">
        <f aca="false">BY106+BY107-BY108-BY111</f>
        <v>584.242509136792</v>
      </c>
      <c r="BZ112" s="19" t="n">
        <f aca="false">BZ106+BZ107-BZ108-BZ111</f>
        <v>581.290011917148</v>
      </c>
      <c r="CA112" s="19" t="n">
        <f aca="false">CA106+CA107-CA108-CA111</f>
        <v>579.922873563579</v>
      </c>
      <c r="CB112" s="19" t="n">
        <f aca="false">CB106+CB107-CB108-CB111</f>
        <v>578.516204540852</v>
      </c>
      <c r="CC112" s="19" t="n">
        <f aca="false">CC106+CC107-CC108-CC111</f>
        <v>576.763383551459</v>
      </c>
      <c r="CD112" s="19" t="n">
        <f aca="false">CD106+CD107-CD108-CD111</f>
        <v>574.970672280592</v>
      </c>
      <c r="CE112" s="19" t="n">
        <f aca="false">CE106+CE107-CE108-CE111</f>
        <v>573.746935933016</v>
      </c>
      <c r="CF112" s="19" t="n">
        <f aca="false">CF106+CF107-CF108-CF111</f>
        <v>572.471975884001</v>
      </c>
      <c r="CG112" s="19" t="n">
        <f aca="false">CG106+CG107-CG108-CG111</f>
        <v>565.436814924144</v>
      </c>
      <c r="CH112" s="19" t="n">
        <f aca="false">CH106+CH107-CH108-CH111</f>
        <v>561.787131475155</v>
      </c>
      <c r="CI112" s="19" t="n">
        <f aca="false">CI106+CI107-CI108-CI111</f>
        <v>557.714226331996</v>
      </c>
      <c r="CJ112" s="19" t="n">
        <f aca="false">CJ106+CJ107-CJ108-CJ111</f>
        <v>553.591090715229</v>
      </c>
      <c r="CK112" s="19" t="n">
        <f aca="false">CK106+CK107-CK108-CK111</f>
        <v>546.380636776687</v>
      </c>
      <c r="CL112" s="19" t="n">
        <f aca="false">CL106+CL107-CL108-CL111</f>
        <v>540.732772262391</v>
      </c>
      <c r="CM112" s="19" t="n">
        <f aca="false">CM106+CM107-CM108-CM111</f>
        <v>537.553505405002</v>
      </c>
      <c r="CN112" s="19" t="n">
        <f aca="false">CN106+CN107-CN108-CN111</f>
        <v>534.283040925447</v>
      </c>
      <c r="CO112" s="19" t="n">
        <f aca="false">CO106+CO107-CO108-CO111</f>
        <v>530.539869281396</v>
      </c>
      <c r="CP112" s="19" t="n">
        <f aca="false">CP106+CP107-CP108-CP111</f>
        <v>487.225661674833</v>
      </c>
      <c r="CQ112" s="19" t="n">
        <f aca="false">CQ106+CQ107-CQ108-CQ111</f>
        <v>440.753142042732</v>
      </c>
      <c r="CR112" s="19" t="n">
        <f aca="false">CR106+CR107-CR108-CR111</f>
        <v>394.070633429488</v>
      </c>
      <c r="CS112" s="19" t="n">
        <f aca="false">CS106+CS107-CS108-CS111</f>
        <v>316.218698321641</v>
      </c>
      <c r="CT112" s="19" t="n">
        <f aca="false">CT106+CT107-CT108-CT111</f>
        <v>259.963439104795</v>
      </c>
      <c r="CU112" s="19" t="n">
        <f aca="false">CU106+CU107-CU108-CU111</f>
        <v>205.726262793239</v>
      </c>
      <c r="CV112" s="19" t="n">
        <f aca="false">CV106+CV107-CV108-CV111</f>
        <v>151.082969137912</v>
      </c>
      <c r="CW112" s="19" t="n">
        <f aca="false">CW106+CW107-CW108-CW111</f>
        <v>93.1448604351068</v>
      </c>
      <c r="CX112" s="19" t="n">
        <f aca="false">CX106+CX107-CX108-CX111</f>
        <v>35.1702461021922</v>
      </c>
      <c r="CY112" s="19" t="n">
        <f aca="false">CY106+CY107-CY108-CY111</f>
        <v>-26.6451298254097</v>
      </c>
      <c r="CZ112" s="19" t="n">
        <f aca="false">CZ106+CZ107-CZ108-CZ111</f>
        <v>-88.501312418481</v>
      </c>
      <c r="DA112" s="19" t="n">
        <f aca="false">DA106+DA107-DA108-DA111</f>
        <v>-168.204567722398</v>
      </c>
      <c r="DB112" s="19" t="n">
        <f aca="false">DB106+DB107-DB108-DB111</f>
        <v>-168.204567722398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604.679994234192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604.679994234158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0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</v>
      </c>
      <c r="AV116" s="19" t="n">
        <f aca="false">IF($F$114=1,AV111,IF(Inputs!$F$215=1,Inputs!AV278,Inputs!AV274))</f>
        <v>0</v>
      </c>
      <c r="AW116" s="19" t="n">
        <f aca="false">IF($F$114=1,AW111,IF(Inputs!$F$215=1,Inputs!AW278,Inputs!AW274))</f>
        <v>0</v>
      </c>
      <c r="AX116" s="19" t="n">
        <f aca="false">IF($F$114=1,AX111,IF(Inputs!$F$215=1,Inputs!AX278,Inputs!AX274))</f>
        <v>0.0698219783025849</v>
      </c>
      <c r="AY116" s="19" t="n">
        <f aca="false">IF($F$114=1,AY111,IF(Inputs!$F$215=1,Inputs!AY278,Inputs!AY274))</f>
        <v>0</v>
      </c>
      <c r="AZ116" s="19" t="n">
        <f aca="false">IF($F$114=1,AZ111,IF(Inputs!$F$215=1,Inputs!AZ278,Inputs!AZ274))</f>
        <v>0</v>
      </c>
      <c r="BA116" s="19" t="n">
        <f aca="false">IF($F$114=1,BA111,IF(Inputs!$F$215=1,Inputs!BA278,Inputs!BA274))</f>
        <v>0</v>
      </c>
      <c r="BB116" s="19" t="n">
        <f aca="false">IF($F$114=1,BB111,IF(Inputs!$F$215=1,Inputs!BB278,Inputs!BB274))</f>
        <v>0</v>
      </c>
      <c r="BC116" s="19" t="n">
        <f aca="false">IF($F$114=1,BC111,IF(Inputs!$F$215=1,Inputs!BC278,Inputs!BC274))</f>
        <v>2.55987209741435</v>
      </c>
      <c r="BD116" s="19" t="n">
        <f aca="false">IF($F$114=1,BD111,IF(Inputs!$F$215=1,Inputs!BD278,Inputs!BD274))</f>
        <v>2.76655787379327</v>
      </c>
      <c r="BE116" s="19" t="n">
        <f aca="false">IF($F$114=1,BE111,IF(Inputs!$F$215=1,Inputs!BE278,Inputs!BE274))</f>
        <v>4.12521306656819</v>
      </c>
      <c r="BF116" s="19" t="n">
        <f aca="false">IF($F$114=1,BF111,IF(Inputs!$F$215=1,Inputs!BF278,Inputs!BF274))</f>
        <v>3.77892273527398</v>
      </c>
      <c r="BG116" s="19" t="n">
        <f aca="false">IF($F$114=1,BG111,IF(Inputs!$F$215=1,Inputs!BG278,Inputs!BG274))</f>
        <v>3.21959943745923</v>
      </c>
      <c r="BH116" s="19" t="n">
        <f aca="false">IF($F$114=1,BH111,IF(Inputs!$F$215=1,Inputs!BH278,Inputs!BH274))</f>
        <v>3.40621904280053</v>
      </c>
      <c r="BI116" s="19" t="n">
        <f aca="false">IF($F$114=1,BI111,IF(Inputs!$F$215=1,Inputs!BI278,Inputs!BI274))</f>
        <v>3.76179596928842</v>
      </c>
      <c r="BJ116" s="19" t="n">
        <f aca="false">IF($F$114=1,BJ111,IF(Inputs!$F$215=1,Inputs!BJ278,Inputs!BJ274))</f>
        <v>3.93863845887332</v>
      </c>
      <c r="BK116" s="19" t="n">
        <f aca="false">IF($F$114=1,BK111,IF(Inputs!$F$215=1,Inputs!BK278,Inputs!BK274))</f>
        <v>4.33835595685883</v>
      </c>
      <c r="BL116" s="19" t="n">
        <f aca="false">IF($F$114=1,BL111,IF(Inputs!$F$215=1,Inputs!BL278,Inputs!BL274))</f>
        <v>4.520643467782</v>
      </c>
      <c r="BM116" s="19" t="n">
        <f aca="false">IF($F$114=1,BM111,IF(Inputs!$F$215=1,Inputs!BM278,Inputs!BM274))</f>
        <v>4.95082864657498</v>
      </c>
      <c r="BN116" s="19" t="n">
        <f aca="false">IF($F$114=1,BN111,IF(Inputs!$F$215=1,Inputs!BN278,Inputs!BN274))</f>
        <v>5.13867139832513</v>
      </c>
      <c r="BO116" s="19" t="n">
        <f aca="false">IF($F$114=1,BO111,IF(Inputs!$F$215=1,Inputs!BO278,Inputs!BO274))</f>
        <v>1.4854352026389</v>
      </c>
      <c r="BP116" s="19" t="n">
        <f aca="false">IF($F$114=1,BP111,IF(Inputs!$F$215=1,Inputs!BP278,Inputs!BP274))</f>
        <v>1.66107318520848</v>
      </c>
      <c r="BQ116" s="19" t="n">
        <f aca="false">IF($F$114=1,BQ111,IF(Inputs!$F$215=1,Inputs!BQ278,Inputs!BQ274))</f>
        <v>2.07905991738776</v>
      </c>
      <c r="BR116" s="19" t="n">
        <f aca="false">IF($F$114=1,BR111,IF(Inputs!$F$215=1,Inputs!BR278,Inputs!BR274))</f>
        <v>2.11211945437354</v>
      </c>
      <c r="BS116" s="19" t="n">
        <f aca="false">IF($F$114=1,BS111,IF(Inputs!$F$215=1,Inputs!BS278,Inputs!BS274))</f>
        <v>2.57041064137173</v>
      </c>
      <c r="BT116" s="19" t="n">
        <f aca="false">IF($F$114=1,BT111,IF(Inputs!$F$215=1,Inputs!BT278,Inputs!BT274))</f>
        <v>2.60449244004244</v>
      </c>
      <c r="BU116" s="19" t="n">
        <f aca="false">IF($F$114=1,BU111,IF(Inputs!$F$215=1,Inputs!BU278,Inputs!BU274))</f>
        <v>10.5949491757527</v>
      </c>
      <c r="BV116" s="19" t="n">
        <f aca="false">IF($F$114=1,BV111,IF(Inputs!$F$215=1,Inputs!BV278,Inputs!BV274))</f>
        <v>10.727775417429</v>
      </c>
      <c r="BW116" s="19" t="n">
        <f aca="false">IF($F$114=1,BW111,IF(Inputs!$F$215=1,Inputs!BW278,Inputs!BW274))</f>
        <v>8.53582643338258</v>
      </c>
      <c r="BX116" s="19" t="n">
        <f aca="false">IF($F$114=1,BX111,IF(Inputs!$F$215=1,Inputs!BX278,Inputs!BX274))</f>
        <v>8.05290457236801</v>
      </c>
      <c r="BY116" s="19" t="n">
        <f aca="false">IF($F$114=1,BY111,IF(Inputs!$F$215=1,Inputs!BY278,Inputs!BY274))</f>
        <v>8.60335611101771</v>
      </c>
      <c r="BZ116" s="19" t="n">
        <f aca="false">IF($F$114=1,BZ111,IF(Inputs!$F$215=1,Inputs!BZ278,Inputs!BZ274))</f>
        <v>8.68313665307775</v>
      </c>
      <c r="CA116" s="19" t="n">
        <f aca="false">IF($F$114=1,CA111,IF(Inputs!$F$215=1,Inputs!CA278,Inputs!CA274))</f>
        <v>6.64965926137305</v>
      </c>
      <c r="CB116" s="19" t="n">
        <f aca="false">IF($F$114=1,CB111,IF(Inputs!$F$215=1,Inputs!CB278,Inputs!CB274))</f>
        <v>6.69863052704726</v>
      </c>
      <c r="CC116" s="19" t="n">
        <f aca="false">IF($F$114=1,CC111,IF(Inputs!$F$215=1,Inputs!CC278,Inputs!CC274))</f>
        <v>7.32291195993135</v>
      </c>
      <c r="CD116" s="19" t="n">
        <f aca="false">IF($F$114=1,CD111,IF(Inputs!$F$215=1,Inputs!CD278,Inputs!CD274))</f>
        <v>7.37169329796044</v>
      </c>
      <c r="CE116" s="19" t="n">
        <f aca="false">IF($F$114=1,CE111,IF(Inputs!$F$215=1,Inputs!CE278,Inputs!CE274))</f>
        <v>6.74577500692371</v>
      </c>
      <c r="CF116" s="19" t="n">
        <f aca="false">IF($F$114=1,CF111,IF(Inputs!$F$215=1,Inputs!CF278,Inputs!CF274))</f>
        <v>6.83839561370266</v>
      </c>
      <c r="CG116" s="19" t="n">
        <f aca="false">IF($F$114=1,CG111,IF(Inputs!$F$215=1,Inputs!CG278,Inputs!CG274))</f>
        <v>14.8982648669268</v>
      </c>
      <c r="CH116" s="19" t="n">
        <f aca="false">IF($F$114=1,CH111,IF(Inputs!$F$215=1,Inputs!CH278,Inputs!CH274))</f>
        <v>10.234143118337</v>
      </c>
      <c r="CI116" s="19" t="n">
        <f aca="false">IF($F$114=1,CI111,IF(Inputs!$F$215=1,Inputs!CI278,Inputs!CI274))</f>
        <v>10.9832467077365</v>
      </c>
      <c r="CJ116" s="19" t="n">
        <f aca="false">IF($F$114=1,CJ111,IF(Inputs!$F$215=1,Inputs!CJ278,Inputs!CJ274))</f>
        <v>11.0462085424312</v>
      </c>
      <c r="CK116" s="19" t="n">
        <f aca="false">IF($F$114=1,CK111,IF(Inputs!$F$215=1,Inputs!CK278,Inputs!CK274))</f>
        <v>15.4655672040041</v>
      </c>
      <c r="CL116" s="19" t="n">
        <f aca="false">IF($F$114=1,CL111,IF(Inputs!$F$215=1,Inputs!CL278,Inputs!CL274))</f>
        <v>13.3092194831465</v>
      </c>
      <c r="CM116" s="19" t="n">
        <f aca="false">IF($F$114=1,CM111,IF(Inputs!$F$215=1,Inputs!CM278,Inputs!CM274))</f>
        <v>10.0898366776454</v>
      </c>
      <c r="CN116" s="19" t="n">
        <f aca="false">IF($F$114=1,CN111,IF(Inputs!$F$215=1,Inputs!CN278,Inputs!CN274))</f>
        <v>10.240317716045</v>
      </c>
      <c r="CO116" s="19" t="n">
        <f aca="false">IF($F$114=1,CO111,IF(Inputs!$F$215=1,Inputs!CO278,Inputs!CO274))</f>
        <v>11.0423481898588</v>
      </c>
      <c r="CP116" s="19" t="n">
        <f aca="false">IF($F$114=1,CP111,IF(Inputs!$F$215=1,Inputs!CP278,Inputs!CP274))</f>
        <v>20.9659258348527</v>
      </c>
      <c r="CQ116" s="19" t="n">
        <f aca="false">IF($F$114=1,CQ111,IF(Inputs!$F$215=1,Inputs!CQ278,Inputs!CQ274))</f>
        <v>22.539557399011</v>
      </c>
      <c r="CR116" s="19" t="n">
        <f aca="false">IF($F$114=1,CR111,IF(Inputs!$F$215=1,Inputs!CR278,Inputs!CR274))</f>
        <v>22.6476663048869</v>
      </c>
      <c r="CS116" s="19" t="n">
        <f aca="false">IF($F$114=1,CS111,IF(Inputs!$F$215=1,Inputs!CS278,Inputs!CS274))</f>
        <v>38.481038708329</v>
      </c>
      <c r="CT116" s="19" t="n">
        <f aca="false">IF($F$114=1,CT111,IF(Inputs!$F$215=1,Inputs!CT278,Inputs!CT274))</f>
        <v>27.4958560039095</v>
      </c>
      <c r="CU116" s="19" t="n">
        <f aca="false">IF($F$114=1,CU111,IF(Inputs!$F$215=1,Inputs!CU278,Inputs!CU274))</f>
        <v>26.4234411663895</v>
      </c>
      <c r="CV116" s="19" t="n">
        <f aca="false">IF($F$114=1,CV111,IF(Inputs!$F$215=1,Inputs!CV278,Inputs!CV274))</f>
        <v>26.6248882242457</v>
      </c>
      <c r="CW116" s="19" t="n">
        <f aca="false">IF($F$114=1,CW111,IF(Inputs!$F$215=1,Inputs!CW278,Inputs!CW274))</f>
        <v>28.2712262519853</v>
      </c>
      <c r="CX116" s="19" t="n">
        <f aca="false">IF($F$114=1,CX111,IF(Inputs!$F$215=1,Inputs!CX278,Inputs!CX274))</f>
        <v>28.2910867454378</v>
      </c>
      <c r="CY116" s="19" t="n">
        <f aca="false">IF($F$114=1,CY111,IF(Inputs!$F$215=1,Inputs!CY278,Inputs!CY274))</f>
        <v>30.2077802460917</v>
      </c>
      <c r="CZ116" s="19" t="n">
        <f aca="false">IF($F$114=1,CZ111,IF(Inputs!$F$215=1,Inputs!CZ278,Inputs!CZ274))</f>
        <v>30.2298737484711</v>
      </c>
      <c r="DA116" s="19" t="n">
        <f aca="false">IF($F$114=1,DA111,IF(Inputs!$F$215=1,Inputs!DA278,Inputs!DA274))</f>
        <v>39.279756094113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23.9580886858464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24.5974738346671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24.3834250636284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24.5974738346671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24.4547746539746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15.6806256309938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15.1586851555492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14.9110114783675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14.6682262090177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14.385478810572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14.2133894252695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13.7572138818164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13.3938518045749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13.1365807724101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12.8893950792059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12.6340744670113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12.3731527230777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12.8371026511178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12.5786763766282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11.5720966172827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11.7114912828429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11.4570860605091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11.3510485655242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16.8786094469065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16.9066833277643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19.517626138986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18.5219096599766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17.6893224738622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17.7575361181156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18.4721937144345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18.4236018934347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19.2867128247027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19.2356884689183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20.1333322256871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20.0796202872474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13.6904300975535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13.7961115623589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14.6603042962663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14.414646185861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15.4195292330906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15.1642993684354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29.5555562441525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29.2616793395216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25.3065129922234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24.0591041394794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24.9713569004454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24.6538334797176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21.0206805975144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20.7088229537122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21.8522281207937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21.5278284680037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20.4220047368325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20.2657287752789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34.5548860129424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25.6529409631527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26.8990831680418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6.41963480870637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0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0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0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0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0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0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0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0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0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0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0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0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0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0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0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0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0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0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23.9580886858464</v>
      </c>
      <c r="AF7" s="19" t="n">
        <f aca="false">IF(Time!AF20=1,IF(Time!AF8=Inputs!$F$15,AF6*Inputs!$F$115/Time!AG14,0),IF(Time!AF35=1,0,IF(Time!AG14=0,0,AF6*Inputs!$F$115/Time!AG14)))</f>
        <v>24.5974738346671</v>
      </c>
      <c r="AG7" s="19" t="n">
        <f aca="false">IF(Time!AG20=1,IF(Time!AG8=Inputs!$F$15,AG6*Inputs!$F$115/Time!AH14,0),IF(Time!AG35=1,0,IF(Time!AH14=0,0,AG6*Inputs!$F$115/Time!AH14)))</f>
        <v>24.3834250636284</v>
      </c>
      <c r="AH7" s="19" t="n">
        <f aca="false">IF(Time!AH20=1,IF(Time!AH8=Inputs!$F$15,AH6*Inputs!$F$115/Time!AI14,0),IF(Time!AH35=1,0,IF(Time!AI14=0,0,AH6*Inputs!$F$115/Time!AI14)))</f>
        <v>24.5974738346671</v>
      </c>
      <c r="AI7" s="19" t="n">
        <f aca="false">IF(Time!AI20=1,IF(Time!AI8=Inputs!$F$15,AI6*Inputs!$F$115/Time!AJ14,0),IF(Time!AI35=1,0,IF(Time!AJ14=0,0,AI6*Inputs!$F$115/Time!AJ14)))</f>
        <v>0</v>
      </c>
      <c r="AJ7" s="19" t="n">
        <f aca="false">IF(Time!AJ20=1,IF(Time!AJ8=Inputs!$F$15,AJ6*Inputs!$F$115/Time!AK14,0),IF(Time!AJ35=1,0,IF(Time!AK14=0,0,AJ6*Inputs!$F$115/Time!AK14)))</f>
        <v>15.6806256309938</v>
      </c>
      <c r="AK7" s="19" t="n">
        <f aca="false">IF(Time!AK20=1,IF(Time!AK8=Inputs!$F$15,AK6*Inputs!$F$115/Time!AL14,0),IF(Time!AK35=1,0,IF(Time!AL14=0,0,AK6*Inputs!$F$115/Time!AL14)))</f>
        <v>15.1586851555492</v>
      </c>
      <c r="AL7" s="19" t="n">
        <f aca="false">IF(Time!AL20=1,IF(Time!AL8=Inputs!$F$15,AL6*Inputs!$F$115/Time!AM14,0),IF(Time!AL35=1,0,IF(Time!AM14=0,0,AL6*Inputs!$F$115/Time!AM14)))</f>
        <v>14.9110114783675</v>
      </c>
      <c r="AM7" s="19" t="n">
        <f aca="false">IF(Time!AM20=1,IF(Time!AM8=Inputs!$F$15,AM6*Inputs!$F$115/Time!AN14,0),IF(Time!AM35=1,0,IF(Time!AN14=0,0,AM6*Inputs!$F$115/Time!AN14)))</f>
        <v>14.6682262090177</v>
      </c>
      <c r="AN7" s="19" t="n">
        <f aca="false">IF(Time!AN20=1,IF(Time!AN8=Inputs!$F$15,AN6*Inputs!$F$115/Time!AO14,0),IF(Time!AN35=1,0,IF(Time!AO14=0,0,AN6*Inputs!$F$115/Time!AO14)))</f>
        <v>14.385478810572</v>
      </c>
      <c r="AO7" s="19" t="n">
        <f aca="false">IF(Time!AO20=1,IF(Time!AO8=Inputs!$F$15,AO6*Inputs!$F$115/Time!AP14,0),IF(Time!AO35=1,0,IF(Time!AP14=0,0,AO6*Inputs!$F$115/Time!AP14)))</f>
        <v>14.2133894252695</v>
      </c>
      <c r="AP7" s="19" t="n">
        <f aca="false">IF(Time!AP20=1,IF(Time!AP8=Inputs!$F$15,AP6*Inputs!$F$115/Time!AQ14,0),IF(Time!AP35=1,0,IF(Time!AQ14=0,0,AP6*Inputs!$F$115/Time!AQ14)))</f>
        <v>13.7572138818164</v>
      </c>
      <c r="AQ7" s="19" t="n">
        <f aca="false">IF(Time!AQ20=1,IF(Time!AQ8=Inputs!$F$15,AQ6*Inputs!$F$115/Time!AR14,0),IF(Time!AQ35=1,0,IF(Time!AR14=0,0,AQ6*Inputs!$F$115/Time!AR14)))</f>
        <v>13.3938518045749</v>
      </c>
      <c r="AR7" s="19" t="n">
        <f aca="false">IF(Time!AR20=1,IF(Time!AR8=Inputs!$F$15,AR6*Inputs!$F$115/Time!AS14,0),IF(Time!AR35=1,0,IF(Time!AS14=0,0,AR6*Inputs!$F$115/Time!AS14)))</f>
        <v>13.1365807724101</v>
      </c>
      <c r="AS7" s="19" t="n">
        <f aca="false">IF(Time!AS20=1,IF(Time!AS8=Inputs!$F$15,AS6*Inputs!$F$115/Time!AT14,0),IF(Time!AS35=1,0,IF(Time!AT14=0,0,AS6*Inputs!$F$115/Time!AT14)))</f>
        <v>12.8893950792059</v>
      </c>
      <c r="AT7" s="19" t="n">
        <f aca="false">IF(Time!AT20=1,IF(Time!AT8=Inputs!$F$15,AT6*Inputs!$F$115/Time!AU14,0),IF(Time!AT35=1,0,IF(Time!AU14=0,0,AT6*Inputs!$F$115/Time!AU14)))</f>
        <v>12.6340744670113</v>
      </c>
      <c r="AU7" s="19" t="n">
        <f aca="false">IF(Time!AU20=1,IF(Time!AU8=Inputs!$F$15,AU6*Inputs!$F$115/Time!AV14,0),IF(Time!AU35=1,0,IF(Time!AV14=0,0,AU6*Inputs!$F$115/Time!AV14)))</f>
        <v>12.3731527230777</v>
      </c>
      <c r="AV7" s="19" t="n">
        <f aca="false">IF(Time!AV20=1,IF(Time!AV8=Inputs!$F$15,AV6*Inputs!$F$115/Time!AW14,0),IF(Time!AV35=1,0,IF(Time!AW14=0,0,AV6*Inputs!$F$115/Time!AW14)))</f>
        <v>12.8371026511178</v>
      </c>
      <c r="AW7" s="19" t="n">
        <f aca="false">IF(Time!AW20=1,IF(Time!AW8=Inputs!$F$15,AW6*Inputs!$F$115/Time!AX14,0),IF(Time!AW35=1,0,IF(Time!AX14=0,0,AW6*Inputs!$F$115/Time!AX14)))</f>
        <v>12.5786763766282</v>
      </c>
      <c r="AX7" s="19" t="n">
        <f aca="false">IF(Time!AX20=1,IF(Time!AX8=Inputs!$F$15,AX6*Inputs!$F$115/Time!AY14,0),IF(Time!AX35=1,0,IF(Time!AY14=0,0,AX6*Inputs!$F$115/Time!AY14)))</f>
        <v>11.5720966172827</v>
      </c>
      <c r="AY7" s="19" t="n">
        <f aca="false">IF(Time!AY20=1,IF(Time!AY8=Inputs!$F$15,AY6*Inputs!$F$115/Time!AZ14,0),IF(Time!AY35=1,0,IF(Time!AZ14=0,0,AY6*Inputs!$F$115/Time!AZ14)))</f>
        <v>11.7114912828429</v>
      </c>
      <c r="AZ7" s="19" t="n">
        <f aca="false">IF(Time!AZ20=1,IF(Time!AZ8=Inputs!$F$15,AZ6*Inputs!$F$115/Time!BA14,0),IF(Time!AZ35=1,0,IF(Time!BA14=0,0,AZ6*Inputs!$F$115/Time!BA14)))</f>
        <v>11.4570860605091</v>
      </c>
      <c r="BA7" s="19" t="n">
        <f aca="false">IF(Time!BA20=1,IF(Time!BA8=Inputs!$F$15,BA6*Inputs!$F$115/Time!BB14,0),IF(Time!BA35=1,0,IF(Time!BB14=0,0,BA6*Inputs!$F$115/Time!BB14)))</f>
        <v>11.3510485655242</v>
      </c>
      <c r="BB7" s="19" t="n">
        <f aca="false">IF(Time!BB20=1,IF(Time!BB8=Inputs!$F$15,BB6*Inputs!$F$115/Time!BC14,0),IF(Time!BB35=1,0,IF(Time!BC14=0,0,BB6*Inputs!$F$115/Time!BC14)))</f>
        <v>16.8786094469065</v>
      </c>
      <c r="BC7" s="19" t="n">
        <f aca="false">IF(Time!BC20=1,IF(Time!BC8=Inputs!$F$15,BC6*Inputs!$F$115/Time!BD14,0),IF(Time!BC35=1,0,IF(Time!BD14=0,0,BC6*Inputs!$F$115/Time!BD14)))</f>
        <v>16.9066833277643</v>
      </c>
      <c r="BD7" s="19" t="n">
        <f aca="false">IF(Time!BD20=1,IF(Time!BD8=Inputs!$F$15,BD6*Inputs!$F$115/Time!BE14,0),IF(Time!BD35=1,0,IF(Time!BE14=0,0,BD6*Inputs!$F$115/Time!BE14)))</f>
        <v>19.517626138986</v>
      </c>
      <c r="BE7" s="19" t="n">
        <f aca="false">IF(Time!BE20=1,IF(Time!BE8=Inputs!$F$15,BE6*Inputs!$F$115/Time!BF14,0),IF(Time!BE35=1,0,IF(Time!BF14=0,0,BE6*Inputs!$F$115/Time!BF14)))</f>
        <v>18.5219096599766</v>
      </c>
      <c r="BF7" s="19" t="n">
        <f aca="false">IF(Time!BF20=1,IF(Time!BF8=Inputs!$F$15,BF6*Inputs!$F$115/Time!BG14,0),IF(Time!BF35=1,0,IF(Time!BG14=0,0,BF6*Inputs!$F$115/Time!BG14)))</f>
        <v>17.6893224738622</v>
      </c>
      <c r="BG7" s="19" t="n">
        <f aca="false">IF(Time!BG20=1,IF(Time!BG8=Inputs!$F$15,BG6*Inputs!$F$115/Time!BH14,0),IF(Time!BG35=1,0,IF(Time!BH14=0,0,BG6*Inputs!$F$115/Time!BH14)))</f>
        <v>17.7575361181156</v>
      </c>
      <c r="BH7" s="19" t="n">
        <f aca="false">IF(Time!BH20=1,IF(Time!BH8=Inputs!$F$15,BH6*Inputs!$F$115/Time!BI14,0),IF(Time!BH35=1,0,IF(Time!BI14=0,0,BH6*Inputs!$F$115/Time!BI14)))</f>
        <v>18.4721937144345</v>
      </c>
      <c r="BI7" s="19" t="n">
        <f aca="false">IF(Time!BI20=1,IF(Time!BI8=Inputs!$F$15,BI6*Inputs!$F$115/Time!BJ14,0),IF(Time!BI35=1,0,IF(Time!BJ14=0,0,BI6*Inputs!$F$115/Time!BJ14)))</f>
        <v>18.4236018934347</v>
      </c>
      <c r="BJ7" s="19" t="n">
        <f aca="false">IF(Time!BJ20=1,IF(Time!BJ8=Inputs!$F$15,BJ6*Inputs!$F$115/Time!BK14,0),IF(Time!BJ35=1,0,IF(Time!BK14=0,0,BJ6*Inputs!$F$115/Time!BK14)))</f>
        <v>19.2867128247027</v>
      </c>
      <c r="BK7" s="19" t="n">
        <f aca="false">IF(Time!BK20=1,IF(Time!BK8=Inputs!$F$15,BK6*Inputs!$F$115/Time!BL14,0),IF(Time!BK35=1,0,IF(Time!BL14=0,0,BK6*Inputs!$F$115/Time!BL14)))</f>
        <v>19.2356884689183</v>
      </c>
      <c r="BL7" s="19" t="n">
        <f aca="false">IF(Time!BL20=1,IF(Time!BL8=Inputs!$F$15,BL6*Inputs!$F$115/Time!BM14,0),IF(Time!BL35=1,0,IF(Time!BM14=0,0,BL6*Inputs!$F$115/Time!BM14)))</f>
        <v>20.1333322256871</v>
      </c>
      <c r="BM7" s="19" t="n">
        <f aca="false">IF(Time!BM20=1,IF(Time!BM8=Inputs!$F$15,BM6*Inputs!$F$115/Time!BN14,0),IF(Time!BM35=1,0,IF(Time!BN14=0,0,BM6*Inputs!$F$115/Time!BN14)))</f>
        <v>20.0796202872474</v>
      </c>
      <c r="BN7" s="19" t="n">
        <f aca="false">IF(Time!BN20=1,IF(Time!BN8=Inputs!$F$15,BN6*Inputs!$F$115/Time!BO14,0),IF(Time!BN35=1,0,IF(Time!BO14=0,0,BN6*Inputs!$F$115/Time!BO14)))</f>
        <v>13.6904300975535</v>
      </c>
      <c r="BO7" s="19" t="n">
        <f aca="false">IF(Time!BO20=1,IF(Time!BO8=Inputs!$F$15,BO6*Inputs!$F$115/Time!BP14,0),IF(Time!BO35=1,0,IF(Time!BP14=0,0,BO6*Inputs!$F$115/Time!BP14)))</f>
        <v>13.7961115623589</v>
      </c>
      <c r="BP7" s="19" t="n">
        <f aca="false">IF(Time!BP20=1,IF(Time!BP8=Inputs!$F$15,BP6*Inputs!$F$115/Time!BQ14,0),IF(Time!BP35=1,0,IF(Time!BQ14=0,0,BP6*Inputs!$F$115/Time!BQ14)))</f>
        <v>14.6603042962663</v>
      </c>
      <c r="BQ7" s="19" t="n">
        <f aca="false">IF(Time!BQ20=1,IF(Time!BQ8=Inputs!$F$15,BQ6*Inputs!$F$115/Time!BR14,0),IF(Time!BQ35=1,0,IF(Time!BR14=0,0,BQ6*Inputs!$F$115/Time!BR14)))</f>
        <v>14.414646185861</v>
      </c>
      <c r="BR7" s="19" t="n">
        <f aca="false">IF(Time!BR20=1,IF(Time!BR8=Inputs!$F$15,BR6*Inputs!$F$115/Time!BS14,0),IF(Time!BR35=1,0,IF(Time!BS14=0,0,BR6*Inputs!$F$115/Time!BS14)))</f>
        <v>15.4195292330906</v>
      </c>
      <c r="BS7" s="19" t="n">
        <f aca="false">IF(Time!BS20=1,IF(Time!BS8=Inputs!$F$15,BS6*Inputs!$F$115/Time!BT14,0),IF(Time!BS35=1,0,IF(Time!BT14=0,0,BS6*Inputs!$F$115/Time!BT14)))</f>
        <v>15.1642993684354</v>
      </c>
      <c r="BT7" s="19" t="n">
        <f aca="false">IF(Time!BT20=1,IF(Time!BT8=Inputs!$F$15,BT6*Inputs!$F$115/Time!BU14,0),IF(Time!BT35=1,0,IF(Time!BU14=0,0,BT6*Inputs!$F$115/Time!BU14)))</f>
        <v>29.5555562441525</v>
      </c>
      <c r="BU7" s="19" t="n">
        <f aca="false">IF(Time!BU20=1,IF(Time!BU8=Inputs!$F$15,BU6*Inputs!$F$115/Time!BV14,0),IF(Time!BU35=1,0,IF(Time!BV14=0,0,BU6*Inputs!$F$115/Time!BV14)))</f>
        <v>29.2616793395216</v>
      </c>
      <c r="BV7" s="19" t="n">
        <f aca="false">IF(Time!BV20=1,IF(Time!BV8=Inputs!$F$15,BV6*Inputs!$F$115/Time!BW14,0),IF(Time!BV35=1,0,IF(Time!BW14=0,0,BV6*Inputs!$F$115/Time!BW14)))</f>
        <v>25.3065129922234</v>
      </c>
      <c r="BW7" s="19" t="n">
        <f aca="false">IF(Time!BW20=1,IF(Time!BW8=Inputs!$F$15,BW6*Inputs!$F$115/Time!BX14,0),IF(Time!BW35=1,0,IF(Time!BX14=0,0,BW6*Inputs!$F$115/Time!BX14)))</f>
        <v>24.0591041394794</v>
      </c>
      <c r="BX7" s="19" t="n">
        <f aca="false">IF(Time!BX20=1,IF(Time!BX8=Inputs!$F$15,BX6*Inputs!$F$115/Time!BY14,0),IF(Time!BX35=1,0,IF(Time!BY14=0,0,BX6*Inputs!$F$115/Time!BY14)))</f>
        <v>24.9713569004454</v>
      </c>
      <c r="BY7" s="19" t="n">
        <f aca="false">IF(Time!BY20=1,IF(Time!BY8=Inputs!$F$15,BY6*Inputs!$F$115/Time!BZ14,0),IF(Time!BY35=1,0,IF(Time!BZ14=0,0,BY6*Inputs!$F$115/Time!BZ14)))</f>
        <v>24.6538334797176</v>
      </c>
      <c r="BZ7" s="19" t="n">
        <f aca="false">IF(Time!BZ20=1,IF(Time!BZ8=Inputs!$F$15,BZ6*Inputs!$F$115/Time!CA14,0),IF(Time!BZ35=1,0,IF(Time!CA14=0,0,BZ6*Inputs!$F$115/Time!CA14)))</f>
        <v>21.0206805975144</v>
      </c>
      <c r="CA7" s="19" t="n">
        <f aca="false">IF(Time!CA20=1,IF(Time!CA8=Inputs!$F$15,CA6*Inputs!$F$115/Time!CB14,0),IF(Time!CA35=1,0,IF(Time!CB14=0,0,CA6*Inputs!$F$115/Time!CB14)))</f>
        <v>20.7088229537122</v>
      </c>
      <c r="CB7" s="19" t="n">
        <f aca="false">IF(Time!CB20=1,IF(Time!CB8=Inputs!$F$15,CB6*Inputs!$F$115/Time!CC14,0),IF(Time!CB35=1,0,IF(Time!CC14=0,0,CB6*Inputs!$F$115/Time!CC14)))</f>
        <v>21.8522281207937</v>
      </c>
      <c r="CC7" s="19" t="n">
        <f aca="false">IF(Time!CC20=1,IF(Time!CC8=Inputs!$F$15,CC6*Inputs!$F$115/Time!CD14,0),IF(Time!CC35=1,0,IF(Time!CD14=0,0,CC6*Inputs!$F$115/Time!CD14)))</f>
        <v>21.5278284680037</v>
      </c>
      <c r="CD7" s="19" t="n">
        <f aca="false">IF(Time!CD20=1,IF(Time!CD8=Inputs!$F$15,CD6*Inputs!$F$115/Time!CE14,0),IF(Time!CD35=1,0,IF(Time!CE14=0,0,CD6*Inputs!$F$115/Time!CE14)))</f>
        <v>20.4220047368325</v>
      </c>
      <c r="CE7" s="19" t="n">
        <f aca="false">IF(Time!CE20=1,IF(Time!CE8=Inputs!$F$15,CE6*Inputs!$F$115/Time!CF14,0),IF(Time!CE35=1,0,IF(Time!CF14=0,0,CE6*Inputs!$F$115/Time!CF14)))</f>
        <v>20.2657287752789</v>
      </c>
      <c r="CF7" s="19" t="n">
        <f aca="false">IF(Time!CF20=1,IF(Time!CF8=Inputs!$F$15,CF6*Inputs!$F$115/Time!CG14,0),IF(Time!CF35=1,0,IF(Time!CG14=0,0,CF6*Inputs!$F$115/Time!CG14)))</f>
        <v>34.5548860129424</v>
      </c>
      <c r="CG7" s="19" t="n">
        <f aca="false">IF(Time!CG20=1,IF(Time!CG8=Inputs!$F$15,CG6*Inputs!$F$115/Time!CH14,0),IF(Time!CG35=1,0,IF(Time!CH14=0,0,CG6*Inputs!$F$115/Time!CH14)))</f>
        <v>25.6529409631527</v>
      </c>
      <c r="CH7" s="19" t="n">
        <f aca="false">IF(Time!CH20=1,IF(Time!CH8=Inputs!$F$15,CH6*Inputs!$F$115/Time!CI14,0),IF(Time!CH35=1,0,IF(Time!CI14=0,0,CH6*Inputs!$F$115/Time!CI14)))</f>
        <v>26.8990831680418</v>
      </c>
      <c r="CI7" s="19" t="n">
        <f aca="false">IF(Time!CI20=1,IF(Time!CI8=Inputs!$F$15,CI6*Inputs!$F$115/Time!CJ14,0),IF(Time!CI35=1,0,IF(Time!CJ14=0,0,CI6*Inputs!$F$115/Time!CJ14)))</f>
        <v>6.41963480870637</v>
      </c>
      <c r="CJ7" s="19" t="n">
        <f aca="false">IF(Time!CJ20=1,IF(Time!CJ8=Inputs!$F$15,CJ6*Inputs!$F$115/Time!CK14,0),IF(Time!CJ35=1,0,IF(Time!CK14=0,0,CJ6*Inputs!$F$115/Time!CK14)))</f>
        <v>0</v>
      </c>
      <c r="CK7" s="19" t="n">
        <f aca="false">IF(Time!CK20=1,IF(Time!CK8=Inputs!$F$15,CK6*Inputs!$F$115/Time!CL14,0),IF(Time!CK35=1,0,IF(Time!CL14=0,0,CK6*Inputs!$F$115/Time!CL14)))</f>
        <v>0</v>
      </c>
      <c r="CL7" s="19" t="n">
        <f aca="false">IF(Time!CL20=1,IF(Time!CL8=Inputs!$F$15,CL6*Inputs!$F$115/Time!CM14,0),IF(Time!CL35=1,0,IF(Time!CM14=0,0,CL6*Inputs!$F$115/Time!CM14)))</f>
        <v>0</v>
      </c>
      <c r="CM7" s="19" t="n">
        <f aca="false">IF(Time!CM20=1,IF(Time!CM8=Inputs!$F$15,CM6*Inputs!$F$115/Time!CN14,0),IF(Time!CM35=1,0,IF(Time!CN14=0,0,CM6*Inputs!$F$115/Time!CN14)))</f>
        <v>0</v>
      </c>
      <c r="CN7" s="19" t="n">
        <f aca="false">IF(Time!CN20=1,IF(Time!CN8=Inputs!$F$15,CN6*Inputs!$F$115/Time!CO14,0),IF(Time!CN35=1,0,IF(Time!CO14=0,0,CN6*Inputs!$F$115/Time!CO14)))</f>
        <v>0</v>
      </c>
      <c r="CO7" s="19" t="n">
        <f aca="false">IF(Time!CO20=1,IF(Time!CO8=Inputs!$F$15,CO6*Inputs!$F$115/Time!CP14,0),IF(Time!CO35=1,0,IF(Time!CP14=0,0,CO6*Inputs!$F$115/Time!CP14)))</f>
        <v>0</v>
      </c>
      <c r="CP7" s="19" t="n">
        <f aca="false">IF(Time!CP20=1,IF(Time!CP8=Inputs!$F$15,CP6*Inputs!$F$115/Time!CQ14,0),IF(Time!CP35=1,0,IF(Time!CQ14=0,0,CP6*Inputs!$F$115/Time!CQ14)))</f>
        <v>0</v>
      </c>
      <c r="CQ7" s="19" t="n">
        <f aca="false">IF(Time!CQ20=1,IF(Time!CQ8=Inputs!$F$15,CQ6*Inputs!$F$115/Time!CR14,0),IF(Time!CQ35=1,0,IF(Time!CR14=0,0,CQ6*Inputs!$F$115/Time!CR14)))</f>
        <v>0</v>
      </c>
      <c r="CR7" s="19" t="n">
        <f aca="false">IF(Time!CR20=1,IF(Time!CR8=Inputs!$F$15,CR6*Inputs!$F$115/Time!CS14,0),IF(Time!CR35=1,0,IF(Time!CS14=0,0,CR6*Inputs!$F$115/Time!CS14)))</f>
        <v>0</v>
      </c>
      <c r="CS7" s="19" t="n">
        <f aca="false">IF(Time!CS20=1,IF(Time!CS8=Inputs!$F$15,CS6*Inputs!$F$115/Time!CT14,0),IF(Time!CS35=1,0,IF(Time!CT14=0,0,CS6*Inputs!$F$115/Time!CT14)))</f>
        <v>0</v>
      </c>
      <c r="CT7" s="19" t="n">
        <f aca="false">IF(Time!CT20=1,IF(Time!CT8=Inputs!$F$15,CT6*Inputs!$F$115/Time!CU14,0),IF(Time!CT35=1,0,IF(Time!CU14=0,0,CT6*Inputs!$F$115/Time!CU14)))</f>
        <v>0</v>
      </c>
      <c r="CU7" s="19" t="n">
        <f aca="false">IF(Time!CU20=1,IF(Time!CU8=Inputs!$F$15,CU6*Inputs!$F$115/Time!CV14,0),IF(Time!CU35=1,0,IF(Time!CV14=0,0,CU6*Inputs!$F$115/Time!CV14)))</f>
        <v>0</v>
      </c>
      <c r="CV7" s="19" t="n">
        <f aca="false">IF(Time!CV20=1,IF(Time!CV8=Inputs!$F$15,CV6*Inputs!$F$115/Time!CW14,0),IF(Time!CV35=1,0,IF(Time!CW14=0,0,CV6*Inputs!$F$115/Time!CW14)))</f>
        <v>0</v>
      </c>
      <c r="CW7" s="19" t="n">
        <f aca="false">IF(Time!CW20=1,IF(Time!CW8=Inputs!$F$15,CW6*Inputs!$F$115/Time!CX14,0),IF(Time!CW35=1,0,IF(Time!CX14=0,0,CW6*Inputs!$F$115/Time!CX14)))</f>
        <v>0</v>
      </c>
      <c r="CX7" s="19" t="n">
        <f aca="false">IF(Time!CX20=1,IF(Time!CX8=Inputs!$F$15,CX6*Inputs!$F$115/Time!CY14,0),IF(Time!CX35=1,0,IF(Time!CY14=0,0,CX6*Inputs!$F$115/Time!CY14)))</f>
        <v>0</v>
      </c>
      <c r="CY7" s="19" t="n">
        <f aca="false">IF(Time!CY20=1,IF(Time!CY8=Inputs!$F$15,CY6*Inputs!$F$115/Time!CZ14,0),IF(Time!CY35=1,0,IF(Time!CZ14=0,0,CY6*Inputs!$F$115/Time!CZ14)))</f>
        <v>0</v>
      </c>
      <c r="CZ7" s="19" t="n">
        <f aca="false">IF(Time!CZ20=1,IF(Time!CZ8=Inputs!$F$15,CZ6*Inputs!$F$115/Time!DA14,0),IF(Time!CZ35=1,0,IF(Time!DA14=0,0,CZ6*Inputs!$F$115/Time!DA14)))</f>
        <v>0</v>
      </c>
      <c r="DA7" s="19" t="n">
        <f aca="false">IF(Time!DA20=1,IF(Time!DA8=Inputs!$F$15,DA6*Inputs!$F$115/Time!DB14,0),IF(Time!DA35=1,0,IF(Time!DB14=0,0,DA6*Inputs!$F$115/Time!DB14)))</f>
        <v>0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11.8736349379167</v>
      </c>
      <c r="AD8" s="19" t="n">
        <f aca="false">AC13</f>
        <v>7.74984045311604</v>
      </c>
      <c r="AE8" s="19" t="n">
        <f aca="false">AD13</f>
        <v>23.9321371074356</v>
      </c>
      <c r="AF8" s="19" t="n">
        <f aca="false">AE13</f>
        <v>23.9580886858464</v>
      </c>
      <c r="AG8" s="19" t="n">
        <f aca="false">AF13</f>
        <v>18.3639027508622</v>
      </c>
      <c r="AH8" s="19" t="n">
        <f aca="false">AG13</f>
        <v>18.5791490118183</v>
      </c>
      <c r="AI8" s="19" t="n">
        <f aca="false">AH13</f>
        <v>18.8888003337875</v>
      </c>
      <c r="AJ8" s="19" t="n">
        <f aca="false">AI13</f>
        <v>0</v>
      </c>
      <c r="AK8" s="19" t="n">
        <f aca="false">AJ13</f>
        <v>15.6806256309938</v>
      </c>
      <c r="AL8" s="19" t="n">
        <f aca="false">AK13</f>
        <v>15.1586851555492</v>
      </c>
      <c r="AM8" s="19" t="n">
        <f aca="false">AL13</f>
        <v>14.9110114783675</v>
      </c>
      <c r="AN8" s="19" t="n">
        <f aca="false">AM13</f>
        <v>14.6682262090177</v>
      </c>
      <c r="AO8" s="19" t="n">
        <f aca="false">AN13</f>
        <v>14.385478810572</v>
      </c>
      <c r="AP8" s="19" t="n">
        <f aca="false">AO13</f>
        <v>14.2133894252695</v>
      </c>
      <c r="AQ8" s="19" t="n">
        <f aca="false">AP13</f>
        <v>13.7572138818164</v>
      </c>
      <c r="AR8" s="19" t="n">
        <f aca="false">AQ13</f>
        <v>13.3938518045749</v>
      </c>
      <c r="AS8" s="19" t="n">
        <f aca="false">AR13</f>
        <v>13.1365807724101</v>
      </c>
      <c r="AT8" s="19" t="n">
        <f aca="false">AS13</f>
        <v>12.8893950792059</v>
      </c>
      <c r="AU8" s="19" t="n">
        <f aca="false">AT13</f>
        <v>12.6340744670113</v>
      </c>
      <c r="AV8" s="19" t="n">
        <f aca="false">AU13</f>
        <v>12.3731527230777</v>
      </c>
      <c r="AW8" s="19" t="n">
        <f aca="false">AV13</f>
        <v>12.8371026511178</v>
      </c>
      <c r="AX8" s="19" t="n">
        <f aca="false">AW13</f>
        <v>12.5786763766282</v>
      </c>
      <c r="AY8" s="19" t="n">
        <f aca="false">AX13</f>
        <v>11.5720966172827</v>
      </c>
      <c r="AZ8" s="19" t="n">
        <f aca="false">AY13</f>
        <v>11.7114912828429</v>
      </c>
      <c r="BA8" s="19" t="n">
        <f aca="false">AZ13</f>
        <v>11.4570860605091</v>
      </c>
      <c r="BB8" s="19" t="n">
        <f aca="false">BA13</f>
        <v>11.3510485655242</v>
      </c>
      <c r="BC8" s="19" t="n">
        <f aca="false">BB13</f>
        <v>16.8786094469065</v>
      </c>
      <c r="BD8" s="19" t="n">
        <f aca="false">BC13</f>
        <v>16.9066833277643</v>
      </c>
      <c r="BE8" s="19" t="n">
        <f aca="false">BD13</f>
        <v>19.517626138986</v>
      </c>
      <c r="BF8" s="19" t="n">
        <f aca="false">BE13</f>
        <v>18.5219096599766</v>
      </c>
      <c r="BG8" s="19" t="n">
        <f aca="false">BF13</f>
        <v>17.6893224738622</v>
      </c>
      <c r="BH8" s="19" t="n">
        <f aca="false">BG13</f>
        <v>17.7575361181156</v>
      </c>
      <c r="BI8" s="19" t="n">
        <f aca="false">BH13</f>
        <v>18.4721937144345</v>
      </c>
      <c r="BJ8" s="19" t="n">
        <f aca="false">BI13</f>
        <v>18.4236018934347</v>
      </c>
      <c r="BK8" s="19" t="n">
        <f aca="false">BJ13</f>
        <v>19.2867128247027</v>
      </c>
      <c r="BL8" s="19" t="n">
        <f aca="false">BK13</f>
        <v>19.2356884689183</v>
      </c>
      <c r="BM8" s="19" t="n">
        <f aca="false">BL13</f>
        <v>20.1333322256871</v>
      </c>
      <c r="BN8" s="19" t="n">
        <f aca="false">BM13</f>
        <v>20.0796202872474</v>
      </c>
      <c r="BO8" s="19" t="n">
        <f aca="false">BN13</f>
        <v>13.6904300975535</v>
      </c>
      <c r="BP8" s="19" t="n">
        <f aca="false">BO13</f>
        <v>13.7961115623589</v>
      </c>
      <c r="BQ8" s="19" t="n">
        <f aca="false">BP13</f>
        <v>14.6603042962663</v>
      </c>
      <c r="BR8" s="19" t="n">
        <f aca="false">BQ13</f>
        <v>14.414646185861</v>
      </c>
      <c r="BS8" s="19" t="n">
        <f aca="false">BR13</f>
        <v>15.4195292330906</v>
      </c>
      <c r="BT8" s="19" t="n">
        <f aca="false">BS13</f>
        <v>15.1642993684354</v>
      </c>
      <c r="BU8" s="19" t="n">
        <f aca="false">BT13</f>
        <v>29.5555562441525</v>
      </c>
      <c r="BV8" s="19" t="n">
        <f aca="false">BU13</f>
        <v>29.2616793395216</v>
      </c>
      <c r="BW8" s="19" t="n">
        <f aca="false">BV13</f>
        <v>25.3065129922234</v>
      </c>
      <c r="BX8" s="19" t="n">
        <f aca="false">BW13</f>
        <v>24.0591041394794</v>
      </c>
      <c r="BY8" s="19" t="n">
        <f aca="false">BX13</f>
        <v>24.9713569004454</v>
      </c>
      <c r="BZ8" s="19" t="n">
        <f aca="false">BY13</f>
        <v>24.6538334797176</v>
      </c>
      <c r="CA8" s="19" t="n">
        <f aca="false">BZ13</f>
        <v>21.0206805975144</v>
      </c>
      <c r="CB8" s="19" t="n">
        <f aca="false">CA13</f>
        <v>20.7088229537122</v>
      </c>
      <c r="CC8" s="19" t="n">
        <f aca="false">CB13</f>
        <v>21.8522281207937</v>
      </c>
      <c r="CD8" s="19" t="n">
        <f aca="false">CC13</f>
        <v>21.5278284680037</v>
      </c>
      <c r="CE8" s="19" t="n">
        <f aca="false">CD13</f>
        <v>20.4220047368325</v>
      </c>
      <c r="CF8" s="19" t="n">
        <f aca="false">CE13</f>
        <v>20.2657287752789</v>
      </c>
      <c r="CG8" s="19" t="n">
        <f aca="false">CF13</f>
        <v>34.5548860129424</v>
      </c>
      <c r="CH8" s="19" t="n">
        <f aca="false">CG13</f>
        <v>25.6529409631527</v>
      </c>
      <c r="CI8" s="19" t="n">
        <f aca="false">CH13</f>
        <v>26.8990831680418</v>
      </c>
      <c r="CJ8" s="19" t="n">
        <f aca="false">CI13</f>
        <v>6.41963480870637</v>
      </c>
      <c r="CK8" s="19" t="n">
        <f aca="false">CJ13</f>
        <v>0</v>
      </c>
      <c r="CL8" s="19" t="n">
        <f aca="false">CK13</f>
        <v>0</v>
      </c>
      <c r="CM8" s="19" t="n">
        <f aca="false">CL13</f>
        <v>0</v>
      </c>
      <c r="CN8" s="19" t="n">
        <f aca="false">CM13</f>
        <v>0</v>
      </c>
      <c r="CO8" s="19" t="n">
        <f aca="false">CN13</f>
        <v>0</v>
      </c>
      <c r="CP8" s="19" t="n">
        <f aca="false">CO13</f>
        <v>0</v>
      </c>
      <c r="CQ8" s="19" t="n">
        <f aca="false">CP13</f>
        <v>0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11.8736349379167</v>
      </c>
      <c r="AC9" s="19" t="n">
        <f aca="false">AC8-Waterfall!AC23</f>
        <v>7.74984045311604</v>
      </c>
      <c r="AD9" s="19" t="n">
        <f aca="false">AD8-Waterfall!AD23</f>
        <v>7.74984045311604</v>
      </c>
      <c r="AE9" s="19" t="n">
        <f aca="false">AE8-Waterfall!AE23</f>
        <v>23.9321371074356</v>
      </c>
      <c r="AF9" s="19" t="n">
        <f aca="false">AF8-Waterfall!AF23</f>
        <v>18.3639027508622</v>
      </c>
      <c r="AG9" s="19" t="n">
        <f aca="false">AG8-Waterfall!AG23</f>
        <v>18.3639027508622</v>
      </c>
      <c r="AH9" s="19" t="n">
        <f aca="false">AH8-Waterfall!AH23</f>
        <v>18.5791490118183</v>
      </c>
      <c r="AI9" s="19" t="n">
        <f aca="false">AI8-Waterfall!AI23</f>
        <v>18.8888003337875</v>
      </c>
      <c r="AJ9" s="19" t="n">
        <f aca="false">AJ8-Waterfall!AJ23</f>
        <v>0</v>
      </c>
      <c r="AK9" s="19" t="n">
        <f aca="false">AK8-Waterfall!AK23</f>
        <v>15.6806256309938</v>
      </c>
      <c r="AL9" s="19" t="n">
        <f aca="false">AL8-Waterfall!AL23</f>
        <v>15.1586851555492</v>
      </c>
      <c r="AM9" s="19" t="n">
        <f aca="false">AM8-Waterfall!AM23</f>
        <v>14.9110114783675</v>
      </c>
      <c r="AN9" s="19" t="n">
        <f aca="false">AN8-Waterfall!AN23</f>
        <v>14.6682262090177</v>
      </c>
      <c r="AO9" s="19" t="n">
        <f aca="false">AO8-Waterfall!AO23</f>
        <v>14.385478810572</v>
      </c>
      <c r="AP9" s="19" t="n">
        <f aca="false">AP8-Waterfall!AP23</f>
        <v>14.2133894252695</v>
      </c>
      <c r="AQ9" s="19" t="n">
        <f aca="false">AQ8-Waterfall!AQ23</f>
        <v>13.7572138818164</v>
      </c>
      <c r="AR9" s="19" t="n">
        <f aca="false">AR8-Waterfall!AR23</f>
        <v>13.3938518045749</v>
      </c>
      <c r="AS9" s="19" t="n">
        <f aca="false">AS8-Waterfall!AS23</f>
        <v>13.1365807724101</v>
      </c>
      <c r="AT9" s="19" t="n">
        <f aca="false">AT8-Waterfall!AT23</f>
        <v>12.8893950792059</v>
      </c>
      <c r="AU9" s="19" t="n">
        <f aca="false">AU8-Waterfall!AU23</f>
        <v>12.6340744670113</v>
      </c>
      <c r="AV9" s="19" t="n">
        <f aca="false">AV8-Waterfall!AV23</f>
        <v>12.3731527230777</v>
      </c>
      <c r="AW9" s="19" t="n">
        <f aca="false">AW8-Waterfall!AW23</f>
        <v>12.8371026511178</v>
      </c>
      <c r="AX9" s="19" t="n">
        <f aca="false">AX8-Waterfall!AX23</f>
        <v>12.5786763766282</v>
      </c>
      <c r="AY9" s="19" t="n">
        <f aca="false">AY8-Waterfall!AY23</f>
        <v>11.5720966172827</v>
      </c>
      <c r="AZ9" s="19" t="n">
        <f aca="false">AZ8-Waterfall!AZ23</f>
        <v>11.7114912828429</v>
      </c>
      <c r="BA9" s="19" t="n">
        <f aca="false">BA8-Waterfall!BA23</f>
        <v>11.4570860605091</v>
      </c>
      <c r="BB9" s="19" t="n">
        <f aca="false">BB8-Waterfall!BB23</f>
        <v>11.3510485655242</v>
      </c>
      <c r="BC9" s="19" t="n">
        <f aca="false">BC8-Waterfall!BC23</f>
        <v>16.8786094469065</v>
      </c>
      <c r="BD9" s="19" t="n">
        <f aca="false">BD8-Waterfall!BD23</f>
        <v>16.9066833277643</v>
      </c>
      <c r="BE9" s="19" t="n">
        <f aca="false">BE8-Waterfall!BE23</f>
        <v>19.517626138986</v>
      </c>
      <c r="BF9" s="19" t="n">
        <f aca="false">BF8-Waterfall!BF23</f>
        <v>18.5219096599766</v>
      </c>
      <c r="BG9" s="19" t="n">
        <f aca="false">BG8-Waterfall!BG23</f>
        <v>17.6893224738622</v>
      </c>
      <c r="BH9" s="19" t="n">
        <f aca="false">BH8-Waterfall!BH23</f>
        <v>17.7575361181156</v>
      </c>
      <c r="BI9" s="19" t="n">
        <f aca="false">BI8-Waterfall!BI23</f>
        <v>18.4721937144345</v>
      </c>
      <c r="BJ9" s="19" t="n">
        <f aca="false">BJ8-Waterfall!BJ23</f>
        <v>18.4236018934347</v>
      </c>
      <c r="BK9" s="19" t="n">
        <f aca="false">BK8-Waterfall!BK23</f>
        <v>19.2867128247027</v>
      </c>
      <c r="BL9" s="19" t="n">
        <f aca="false">BL8-Waterfall!BL23</f>
        <v>19.2356884689183</v>
      </c>
      <c r="BM9" s="19" t="n">
        <f aca="false">BM8-Waterfall!BM23</f>
        <v>20.1333322256871</v>
      </c>
      <c r="BN9" s="19" t="n">
        <f aca="false">BN8-Waterfall!BN23</f>
        <v>20.0796202872474</v>
      </c>
      <c r="BO9" s="19" t="n">
        <f aca="false">BO8-Waterfall!BO23</f>
        <v>13.6904300975535</v>
      </c>
      <c r="BP9" s="19" t="n">
        <f aca="false">BP8-Waterfall!BP23</f>
        <v>13.7961115623589</v>
      </c>
      <c r="BQ9" s="19" t="n">
        <f aca="false">BQ8-Waterfall!BQ23</f>
        <v>14.6603042962663</v>
      </c>
      <c r="BR9" s="19" t="n">
        <f aca="false">BR8-Waterfall!BR23</f>
        <v>14.414646185861</v>
      </c>
      <c r="BS9" s="19" t="n">
        <f aca="false">BS8-Waterfall!BS23</f>
        <v>15.4195292330906</v>
      </c>
      <c r="BT9" s="19" t="n">
        <f aca="false">BT8-Waterfall!BT23</f>
        <v>15.1642993684354</v>
      </c>
      <c r="BU9" s="19" t="n">
        <f aca="false">BU8-Waterfall!BU23</f>
        <v>29.5555562441525</v>
      </c>
      <c r="BV9" s="19" t="n">
        <f aca="false">BV8-Waterfall!BV23</f>
        <v>29.2616793395216</v>
      </c>
      <c r="BW9" s="19" t="n">
        <f aca="false">BW8-Waterfall!BW23</f>
        <v>25.3065129922234</v>
      </c>
      <c r="BX9" s="19" t="n">
        <f aca="false">BX8-Waterfall!BX23</f>
        <v>24.0591041394794</v>
      </c>
      <c r="BY9" s="19" t="n">
        <f aca="false">BY8-Waterfall!BY23</f>
        <v>24.9713569004454</v>
      </c>
      <c r="BZ9" s="19" t="n">
        <f aca="false">BZ8-Waterfall!BZ23</f>
        <v>24.6538334797176</v>
      </c>
      <c r="CA9" s="19" t="n">
        <f aca="false">CA8-Waterfall!CA23</f>
        <v>21.0206805975144</v>
      </c>
      <c r="CB9" s="19" t="n">
        <f aca="false">CB8-Waterfall!CB23</f>
        <v>20.7088229537122</v>
      </c>
      <c r="CC9" s="19" t="n">
        <f aca="false">CC8-Waterfall!CC23</f>
        <v>21.8522281207937</v>
      </c>
      <c r="CD9" s="19" t="n">
        <f aca="false">CD8-Waterfall!CD23</f>
        <v>21.5278284680037</v>
      </c>
      <c r="CE9" s="19" t="n">
        <f aca="false">CE8-Waterfall!CE23</f>
        <v>20.4220047368325</v>
      </c>
      <c r="CF9" s="19" t="n">
        <f aca="false">CF8-Waterfall!CF23</f>
        <v>20.2657287752789</v>
      </c>
      <c r="CG9" s="19" t="n">
        <f aca="false">CG8-Waterfall!CG23</f>
        <v>34.5548860129424</v>
      </c>
      <c r="CH9" s="19" t="n">
        <f aca="false">CH8-Waterfall!CH23</f>
        <v>25.6529409631527</v>
      </c>
      <c r="CI9" s="19" t="n">
        <f aca="false">CI8-Waterfall!CI23</f>
        <v>26.8990831680418</v>
      </c>
      <c r="CJ9" s="19" t="n">
        <f aca="false">CJ8-Waterfall!CJ23</f>
        <v>6.41963480870637</v>
      </c>
      <c r="CK9" s="19" t="n">
        <f aca="false">CK8-Waterfall!CK23</f>
        <v>0</v>
      </c>
      <c r="CL9" s="19" t="n">
        <f aca="false">CL8-Waterfall!CL23</f>
        <v>0</v>
      </c>
      <c r="CM9" s="19" t="n">
        <f aca="false">CM8-Waterfall!CM23</f>
        <v>0</v>
      </c>
      <c r="CN9" s="19" t="n">
        <f aca="false">CN8-Waterfall!CN23</f>
        <v>0</v>
      </c>
      <c r="CO9" s="19" t="n">
        <f aca="false">CO8-Waterfall!CO23</f>
        <v>0</v>
      </c>
      <c r="CP9" s="19" t="n">
        <f aca="false">CP8-Waterfall!CP23</f>
        <v>0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8.70095829799331</v>
      </c>
      <c r="AC10" s="19" t="n">
        <f aca="false">AC7-AC9</f>
        <v>15.9839261220659</v>
      </c>
      <c r="AD10" s="19" t="n">
        <f aca="false">AD7-AD9</f>
        <v>16.1822966543195</v>
      </c>
      <c r="AE10" s="19" t="n">
        <f aca="false">AE7-AE9</f>
        <v>0.0259515784108828</v>
      </c>
      <c r="AF10" s="19" t="n">
        <f aca="false">AF7-AF9</f>
        <v>6.23357108380498</v>
      </c>
      <c r="AG10" s="19" t="n">
        <f aca="false">AG7-AG9</f>
        <v>6.01952231276621</v>
      </c>
      <c r="AH10" s="19" t="n">
        <f aca="false">AH7-AH9</f>
        <v>6.01832482284888</v>
      </c>
      <c r="AI10" s="19" t="n">
        <f aca="false">AI7-AI9</f>
        <v>-18.8888003337875</v>
      </c>
      <c r="AJ10" s="19" t="n">
        <f aca="false">AJ7-AJ9</f>
        <v>15.6806256309938</v>
      </c>
      <c r="AK10" s="19" t="n">
        <f aca="false">AK7-AK9</f>
        <v>-0.52194047544452</v>
      </c>
      <c r="AL10" s="19" t="n">
        <f aca="false">AL7-AL9</f>
        <v>-0.24767367718178</v>
      </c>
      <c r="AM10" s="19" t="n">
        <f aca="false">AM7-AM9</f>
        <v>-0.242785269349735</v>
      </c>
      <c r="AN10" s="19" t="n">
        <f aca="false">AN7-AN9</f>
        <v>-0.282747398445714</v>
      </c>
      <c r="AO10" s="19" t="n">
        <f aca="false">AO7-AO9</f>
        <v>-0.172089385302536</v>
      </c>
      <c r="AP10" s="19" t="n">
        <f aca="false">AP7-AP9</f>
        <v>-0.456175543453069</v>
      </c>
      <c r="AQ10" s="19" t="n">
        <f aca="false">AQ7-AQ9</f>
        <v>-0.363362077241513</v>
      </c>
      <c r="AR10" s="19" t="n">
        <f aca="false">AR7-AR9</f>
        <v>-0.257271032164839</v>
      </c>
      <c r="AS10" s="19" t="n">
        <f aca="false">AS7-AS9</f>
        <v>-0.247185693204115</v>
      </c>
      <c r="AT10" s="19" t="n">
        <f aca="false">AT7-AT9</f>
        <v>-0.255320612194689</v>
      </c>
      <c r="AU10" s="19" t="n">
        <f aca="false">AU7-AU9</f>
        <v>-0.260921743933599</v>
      </c>
      <c r="AV10" s="19" t="n">
        <f aca="false">AV7-AV9</f>
        <v>0.463949928040135</v>
      </c>
      <c r="AW10" s="19" t="n">
        <f aca="false">AW7-AW9</f>
        <v>-0.258426274489636</v>
      </c>
      <c r="AX10" s="19" t="n">
        <f aca="false">AX7-AX9</f>
        <v>-1.00657975934546</v>
      </c>
      <c r="AY10" s="19" t="n">
        <f aca="false">AY7-AY9</f>
        <v>0.139394665560218</v>
      </c>
      <c r="AZ10" s="19" t="n">
        <f aca="false">AZ7-AZ9</f>
        <v>-0.254405222333773</v>
      </c>
      <c r="BA10" s="19" t="n">
        <f aca="false">BA7-BA9</f>
        <v>-0.106037494984978</v>
      </c>
      <c r="BB10" s="19" t="n">
        <f aca="false">BB7-BB9</f>
        <v>5.52756088138232</v>
      </c>
      <c r="BC10" s="19" t="n">
        <f aca="false">BC7-BC9</f>
        <v>0.0280738808578604</v>
      </c>
      <c r="BD10" s="19" t="n">
        <f aca="false">BD7-BD9</f>
        <v>2.61094281122161</v>
      </c>
      <c r="BE10" s="19" t="n">
        <f aca="false">BE7-BE9</f>
        <v>-0.995716479009367</v>
      </c>
      <c r="BF10" s="19" t="n">
        <f aca="false">BF7-BF9</f>
        <v>-0.832587186114367</v>
      </c>
      <c r="BG10" s="19" t="n">
        <f aca="false">BG7-BG9</f>
        <v>0.0682136442534258</v>
      </c>
      <c r="BH10" s="19" t="n">
        <f aca="false">BH7-BH9</f>
        <v>0.71465759631883</v>
      </c>
      <c r="BI10" s="19" t="n">
        <f aca="false">BI7-BI9</f>
        <v>-0.0485918209997678</v>
      </c>
      <c r="BJ10" s="19" t="n">
        <f aca="false">BJ7-BJ9</f>
        <v>0.863110931268032</v>
      </c>
      <c r="BK10" s="19" t="n">
        <f aca="false">BK7-BK9</f>
        <v>-0.0510243557843921</v>
      </c>
      <c r="BL10" s="19" t="n">
        <f aca="false">BL7-BL9</f>
        <v>0.897643756768733</v>
      </c>
      <c r="BM10" s="19" t="n">
        <f aca="false">BM7-BM9</f>
        <v>-0.0537119384396547</v>
      </c>
      <c r="BN10" s="19" t="n">
        <f aca="false">BN7-BN9</f>
        <v>-6.38919018969392</v>
      </c>
      <c r="BO10" s="19" t="n">
        <f aca="false">BO7-BO9</f>
        <v>0.10568146480535</v>
      </c>
      <c r="BP10" s="19" t="n">
        <f aca="false">BP7-BP9</f>
        <v>0.864192733907423</v>
      </c>
      <c r="BQ10" s="19" t="n">
        <f aca="false">BQ7-BQ9</f>
        <v>-0.245658110405252</v>
      </c>
      <c r="BR10" s="19" t="n">
        <f aca="false">BR7-BR9</f>
        <v>1.0048830472296</v>
      </c>
      <c r="BS10" s="19" t="n">
        <f aca="false">BS7-BS9</f>
        <v>-0.255229864655242</v>
      </c>
      <c r="BT10" s="19" t="n">
        <f aca="false">BT7-BT9</f>
        <v>14.3912568757171</v>
      </c>
      <c r="BU10" s="19" t="n">
        <f aca="false">BU7-BU9</f>
        <v>-0.293876904630899</v>
      </c>
      <c r="BV10" s="19" t="n">
        <f aca="false">BV7-BV9</f>
        <v>-3.9551663472982</v>
      </c>
      <c r="BW10" s="19" t="n">
        <f aca="false">BW7-BW9</f>
        <v>-1.24740885274397</v>
      </c>
      <c r="BX10" s="19" t="n">
        <f aca="false">BX7-BX9</f>
        <v>0.91225276096597</v>
      </c>
      <c r="BY10" s="19" t="n">
        <f aca="false">BY7-BY9</f>
        <v>-0.317523420727731</v>
      </c>
      <c r="BZ10" s="19" t="n">
        <f aca="false">BZ7-BZ9</f>
        <v>-3.63315288220321</v>
      </c>
      <c r="CA10" s="19" t="n">
        <f aca="false">CA7-CA9</f>
        <v>-0.311857643802227</v>
      </c>
      <c r="CB10" s="19" t="n">
        <f aca="false">CB7-CB9</f>
        <v>1.14340516708149</v>
      </c>
      <c r="CC10" s="19" t="n">
        <f aca="false">CC7-CC9</f>
        <v>-0.32439965279001</v>
      </c>
      <c r="CD10" s="19" t="n">
        <f aca="false">CD7-CD9</f>
        <v>-1.10582373117114</v>
      </c>
      <c r="CE10" s="19" t="n">
        <f aca="false">CE7-CE9</f>
        <v>-0.1562759615537</v>
      </c>
      <c r="CF10" s="19" t="n">
        <f aca="false">CF7-CF9</f>
        <v>14.2891572376635</v>
      </c>
      <c r="CG10" s="19" t="n">
        <f aca="false">CG7-CG9</f>
        <v>-8.90194504978964</v>
      </c>
      <c r="CH10" s="19" t="n">
        <f aca="false">CH7-CH9</f>
        <v>1.24614220488913</v>
      </c>
      <c r="CI10" s="19" t="n">
        <f aca="false">CI7-CI9</f>
        <v>-20.4794483593355</v>
      </c>
      <c r="CJ10" s="19" t="n">
        <f aca="false">CJ7-CJ9</f>
        <v>-6.41963480870637</v>
      </c>
      <c r="CK10" s="19" t="n">
        <f aca="false">CK7-CK9</f>
        <v>0</v>
      </c>
      <c r="CL10" s="19" t="n">
        <f aca="false">CL7-CL9</f>
        <v>0</v>
      </c>
      <c r="CM10" s="19" t="n">
        <f aca="false">CM7-CM9</f>
        <v>0</v>
      </c>
      <c r="CN10" s="19" t="n">
        <f aca="false">CN7-CN9</f>
        <v>0</v>
      </c>
      <c r="CO10" s="19" t="n">
        <f aca="false">CO7-CO9</f>
        <v>0</v>
      </c>
      <c r="CP10" s="19" t="n">
        <f aca="false">CP7-CP9</f>
        <v>0</v>
      </c>
      <c r="CQ10" s="19" t="n">
        <f aca="false">CQ7-CQ9</f>
        <v>0</v>
      </c>
      <c r="CR10" s="19" t="n">
        <f aca="false">CR7-CR9</f>
        <v>0</v>
      </c>
      <c r="CS10" s="19" t="n">
        <f aca="false">CS7-CS9</f>
        <v>0</v>
      </c>
      <c r="CT10" s="19" t="n">
        <f aca="false">CT7-CT9</f>
        <v>0</v>
      </c>
      <c r="CU10" s="19" t="n">
        <f aca="false">CU7-CU9</f>
        <v>0</v>
      </c>
      <c r="CV10" s="19" t="n">
        <f aca="false">CV7-CV9</f>
        <v>0</v>
      </c>
      <c r="CW10" s="19" t="n">
        <f aca="false">CW7-CW9</f>
        <v>0</v>
      </c>
      <c r="CX10" s="19" t="n">
        <f aca="false">CX7-CX9</f>
        <v>0</v>
      </c>
      <c r="CY10" s="19" t="n">
        <f aca="false">CY7-CY9</f>
        <v>0</v>
      </c>
      <c r="CZ10" s="19" t="n">
        <f aca="false">CZ7-CZ9</f>
        <v>0</v>
      </c>
      <c r="DA10" s="19" t="n">
        <f aca="false">DA7-DA9</f>
        <v>0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83.0996853945675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0</v>
      </c>
      <c r="AC11" s="19" t="n">
        <f aca="false">MIN(MAX(0,Waterfall!AC24),MAX(0,AC10))*(1-Time!AC20)</f>
        <v>0</v>
      </c>
      <c r="AD11" s="19" t="n">
        <f aca="false">MIN(MAX(0,Waterfall!AD24),MAX(0,AD10))*(1-Time!AD20)</f>
        <v>16.1822966543195</v>
      </c>
      <c r="AE11" s="19" t="n">
        <f aca="false">MIN(MAX(0,Waterfall!AE24),MAX(0,AE10))*(1-Time!AE20)</f>
        <v>0.0259515784108828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0.215246260956096</v>
      </c>
      <c r="AH11" s="19" t="n">
        <f aca="false">MIN(MAX(0,Waterfall!AH24),MAX(0,AH10))*(1-Time!AH20)</f>
        <v>0.309651321969223</v>
      </c>
      <c r="AI11" s="19" t="n">
        <f aca="false">MIN(MAX(0,Waterfall!AI24),MAX(0,AI10))*(1-Time!AI20)</f>
        <v>0</v>
      </c>
      <c r="AJ11" s="19" t="n">
        <f aca="false">MIN(MAX(0,Waterfall!AJ24),MAX(0,AJ10))*(1-Time!AJ20)</f>
        <v>15.6806256309938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</v>
      </c>
      <c r="AU11" s="19" t="n">
        <f aca="false">MIN(MAX(0,Waterfall!AU24),MAX(0,AU10))*(1-Time!AU20)</f>
        <v>0</v>
      </c>
      <c r="AV11" s="19" t="n">
        <f aca="false">MIN(MAX(0,Waterfall!AV24),MAX(0,AV10))*(1-Time!AV20)</f>
        <v>0.463949928040135</v>
      </c>
      <c r="AW11" s="19" t="n">
        <f aca="false">MIN(MAX(0,Waterfall!AW24),MAX(0,AW10))*(1-Time!AW20)</f>
        <v>0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0.139394665560218</v>
      </c>
      <c r="AZ11" s="19" t="n">
        <f aca="false">MIN(MAX(0,Waterfall!AZ24),MAX(0,AZ10))*(1-Time!AZ20)</f>
        <v>0</v>
      </c>
      <c r="BA11" s="19" t="n">
        <f aca="false">MIN(MAX(0,Waterfall!BA24),MAX(0,BA10))*(1-Time!BA20)</f>
        <v>0</v>
      </c>
      <c r="BB11" s="19" t="n">
        <f aca="false">MIN(MAX(0,Waterfall!BB24),MAX(0,BB10))*(1-Time!BB20)</f>
        <v>5.52756088138232</v>
      </c>
      <c r="BC11" s="19" t="n">
        <f aca="false">MIN(MAX(0,Waterfall!BC24),MAX(0,BC10))*(1-Time!BC20)</f>
        <v>0.0280738808578604</v>
      </c>
      <c r="BD11" s="19" t="n">
        <f aca="false">MIN(MAX(0,Waterfall!BD24),MAX(0,BD10))*(1-Time!BD20)</f>
        <v>2.61094281122161</v>
      </c>
      <c r="BE11" s="19" t="n">
        <f aca="false">MIN(MAX(0,Waterfall!BE24),MAX(0,BE10))*(1-Time!BE20)</f>
        <v>0</v>
      </c>
      <c r="BF11" s="19" t="n">
        <f aca="false">MIN(MAX(0,Waterfall!BF24),MAX(0,BF10))*(1-Time!BF20)</f>
        <v>0</v>
      </c>
      <c r="BG11" s="19" t="n">
        <f aca="false">MIN(MAX(0,Waterfall!BG24),MAX(0,BG10))*(1-Time!BG20)</f>
        <v>0.0682136442534258</v>
      </c>
      <c r="BH11" s="19" t="n">
        <f aca="false">MIN(MAX(0,Waterfall!BH24),MAX(0,BH10))*(1-Time!BH20)</f>
        <v>0.71465759631883</v>
      </c>
      <c r="BI11" s="19" t="n">
        <f aca="false">MIN(MAX(0,Waterfall!BI24),MAX(0,BI10))*(1-Time!BI20)</f>
        <v>0</v>
      </c>
      <c r="BJ11" s="19" t="n">
        <f aca="false">MIN(MAX(0,Waterfall!BJ24),MAX(0,BJ10))*(1-Time!BJ20)</f>
        <v>0.863110931268032</v>
      </c>
      <c r="BK11" s="19" t="n">
        <f aca="false">MIN(MAX(0,Waterfall!BK24),MAX(0,BK10))*(1-Time!BK20)</f>
        <v>0</v>
      </c>
      <c r="BL11" s="19" t="n">
        <f aca="false">MIN(MAX(0,Waterfall!BL24),MAX(0,BL10))*(1-Time!BL20)</f>
        <v>0.897643756768733</v>
      </c>
      <c r="BM11" s="19" t="n">
        <f aca="false">MIN(MAX(0,Waterfall!BM24),MAX(0,BM10))*(1-Time!BM20)</f>
        <v>0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0.10568146480535</v>
      </c>
      <c r="BP11" s="19" t="n">
        <f aca="false">MIN(MAX(0,Waterfall!BP24),MAX(0,BP10))*(1-Time!BP20)</f>
        <v>0.864192733907423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1.0048830472296</v>
      </c>
      <c r="BS11" s="19" t="n">
        <f aca="false">MIN(MAX(0,Waterfall!BS24),MAX(0,BS10))*(1-Time!BS20)</f>
        <v>0</v>
      </c>
      <c r="BT11" s="19" t="n">
        <f aca="false">MIN(MAX(0,Waterfall!BT24),MAX(0,BT10))*(1-Time!BT20)</f>
        <v>14.3912568757171</v>
      </c>
      <c r="BU11" s="19" t="n">
        <f aca="false">MIN(MAX(0,Waterfall!BU24),MAX(0,BU10))*(1-Time!BU20)</f>
        <v>0</v>
      </c>
      <c r="BV11" s="19" t="n">
        <f aca="false">MIN(MAX(0,Waterfall!BV24),MAX(0,BV10))*(1-Time!BV20)</f>
        <v>0</v>
      </c>
      <c r="BW11" s="19" t="n">
        <f aca="false">MIN(MAX(0,Waterfall!BW24),MAX(0,BW10))*(1-Time!BW20)</f>
        <v>0</v>
      </c>
      <c r="BX11" s="19" t="n">
        <f aca="false">MIN(MAX(0,Waterfall!BX24),MAX(0,BX10))*(1-Time!BX20)</f>
        <v>0.91225276096597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1.14340516708149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</v>
      </c>
      <c r="CE11" s="19" t="n">
        <f aca="false">MIN(MAX(0,Waterfall!CE24),MAX(0,CE10))*(1-Time!CE20)</f>
        <v>0</v>
      </c>
      <c r="CF11" s="19" t="n">
        <f aca="false">MIN(MAX(0,Waterfall!CF24),MAX(0,CF10))*(1-Time!CF20)</f>
        <v>14.2891572376635</v>
      </c>
      <c r="CG11" s="19" t="n">
        <f aca="false">MIN(MAX(0,Waterfall!CG24),MAX(0,CG10))*(1-Time!CG20)</f>
        <v>0</v>
      </c>
      <c r="CH11" s="19" t="n">
        <f aca="false">MIN(MAX(0,Waterfall!CH24),MAX(0,CH10))*(1-Time!CH20)</f>
        <v>1.24614220488913</v>
      </c>
      <c r="CI11" s="19" t="n">
        <f aca="false">MIN(MAX(0,Waterfall!CI24),MAX(0,CI10))*(1-Time!CI20)</f>
        <v>0</v>
      </c>
      <c r="CJ11" s="19" t="n">
        <f aca="false">MIN(MAX(0,Waterfall!CJ24),MAX(0,CJ10))*(1-Time!CJ20)</f>
        <v>0</v>
      </c>
      <c r="CK11" s="19" t="n">
        <f aca="false">MIN(MAX(0,Waterfall!CK24),MAX(0,CK10))*(1-Time!CK20)</f>
        <v>0</v>
      </c>
      <c r="CL11" s="19" t="n">
        <f aca="false">MIN(MAX(0,Waterfall!CL24),MAX(0,CL10))*(1-Time!CL20)</f>
        <v>0</v>
      </c>
      <c r="CM11" s="19" t="n">
        <f aca="false">MIN(MAX(0,Waterfall!CM24),MAX(0,CM10))*(1-Time!CM20)</f>
        <v>0</v>
      </c>
      <c r="CN11" s="19" t="n">
        <f aca="false">MIN(MAX(0,Waterfall!CN24),MAX(0,CN10))*(1-Time!CN20)</f>
        <v>0</v>
      </c>
      <c r="CO11" s="19" t="n">
        <f aca="false">MIN(MAX(0,Waterfall!CO24),MAX(0,CO10))*(1-Time!CO20)</f>
        <v>0</v>
      </c>
      <c r="CP11" s="19" t="n">
        <f aca="false">MIN(MAX(0,Waterfall!CP24),MAX(0,CP10))*(1-Time!CP20)</f>
        <v>0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79.839945552712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</v>
      </c>
      <c r="AF12" s="19" t="n">
        <f aca="false">MAX(0,-AF10)*(1-Time!AF20)</f>
        <v>0</v>
      </c>
      <c r="AG12" s="19" t="n">
        <f aca="false">MAX(0,-AG10)*(1-Time!AG20)</f>
        <v>0</v>
      </c>
      <c r="AH12" s="19" t="n">
        <f aca="false">MAX(0,-AH10)*(1-Time!AH20)</f>
        <v>0</v>
      </c>
      <c r="AI12" s="19" t="n">
        <f aca="false">MAX(0,-AI10)*(1-Time!AI20)</f>
        <v>18.8888003337875</v>
      </c>
      <c r="AJ12" s="19" t="n">
        <f aca="false">MAX(0,-AJ10)*(1-Time!AJ20)</f>
        <v>0</v>
      </c>
      <c r="AK12" s="19" t="n">
        <f aca="false">MAX(0,-AK10)*(1-Time!AK20)</f>
        <v>0.52194047544452</v>
      </c>
      <c r="AL12" s="19" t="n">
        <f aca="false">MAX(0,-AL10)*(1-Time!AL20)</f>
        <v>0.24767367718178</v>
      </c>
      <c r="AM12" s="19" t="n">
        <f aca="false">MAX(0,-AM10)*(1-Time!AM20)</f>
        <v>0.242785269349735</v>
      </c>
      <c r="AN12" s="19" t="n">
        <f aca="false">MAX(0,-AN10)*(1-Time!AN20)</f>
        <v>0.282747398445714</v>
      </c>
      <c r="AO12" s="19" t="n">
        <f aca="false">MAX(0,-AO10)*(1-Time!AO20)</f>
        <v>0.172089385302536</v>
      </c>
      <c r="AP12" s="19" t="n">
        <f aca="false">MAX(0,-AP10)*(1-Time!AP20)</f>
        <v>0.456175543453069</v>
      </c>
      <c r="AQ12" s="19" t="n">
        <f aca="false">MAX(0,-AQ10)*(1-Time!AQ20)</f>
        <v>0.363362077241513</v>
      </c>
      <c r="AR12" s="19" t="n">
        <f aca="false">MAX(0,-AR10)*(1-Time!AR20)</f>
        <v>0.257271032164839</v>
      </c>
      <c r="AS12" s="19" t="n">
        <f aca="false">MAX(0,-AS10)*(1-Time!AS20)</f>
        <v>0.247185693204115</v>
      </c>
      <c r="AT12" s="19" t="n">
        <f aca="false">MAX(0,-AT10)*(1-Time!AT20)</f>
        <v>0.255320612194689</v>
      </c>
      <c r="AU12" s="19" t="n">
        <f aca="false">MAX(0,-AU10)*(1-Time!AU20)</f>
        <v>0.260921743933599</v>
      </c>
      <c r="AV12" s="19" t="n">
        <f aca="false">MAX(0,-AV10)*(1-Time!AV20)</f>
        <v>0</v>
      </c>
      <c r="AW12" s="19" t="n">
        <f aca="false">MAX(0,-AW10)*(1-Time!AW20)</f>
        <v>0.258426274489636</v>
      </c>
      <c r="AX12" s="19" t="n">
        <f aca="false">MAX(0,-AX10)*(1-Time!AX20)</f>
        <v>1.00657975934546</v>
      </c>
      <c r="AY12" s="19" t="n">
        <f aca="false">MAX(0,-AY10)*(1-Time!AY20)</f>
        <v>0</v>
      </c>
      <c r="AZ12" s="19" t="n">
        <f aca="false">MAX(0,-AZ10)*(1-Time!AZ20)</f>
        <v>0.254405222333773</v>
      </c>
      <c r="BA12" s="19" t="n">
        <f aca="false">MAX(0,-BA10)*(1-Time!BA20)</f>
        <v>0.106037494984978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0.995716479009367</v>
      </c>
      <c r="BF12" s="19" t="n">
        <f aca="false">MAX(0,-BF10)*(1-Time!BF20)</f>
        <v>0.832587186114367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0.0485918209997678</v>
      </c>
      <c r="BJ12" s="19" t="n">
        <f aca="false">MAX(0,-BJ10)*(1-Time!BJ20)</f>
        <v>0</v>
      </c>
      <c r="BK12" s="19" t="n">
        <f aca="false">MAX(0,-BK10)*(1-Time!BK20)</f>
        <v>0.0510243557843921</v>
      </c>
      <c r="BL12" s="19" t="n">
        <f aca="false">MAX(0,-BL10)*(1-Time!BL20)</f>
        <v>0</v>
      </c>
      <c r="BM12" s="19" t="n">
        <f aca="false">MAX(0,-BM10)*(1-Time!BM20)</f>
        <v>0.0537119384396547</v>
      </c>
      <c r="BN12" s="19" t="n">
        <f aca="false">MAX(0,-BN10)*(1-Time!BN20)</f>
        <v>6.38919018969392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0.245658110405252</v>
      </c>
      <c r="BR12" s="19" t="n">
        <f aca="false">MAX(0,-BR10)*(1-Time!BR20)</f>
        <v>0</v>
      </c>
      <c r="BS12" s="19" t="n">
        <f aca="false">MAX(0,-BS10)*(1-Time!BS20)</f>
        <v>0.255229864655242</v>
      </c>
      <c r="BT12" s="19" t="n">
        <f aca="false">MAX(0,-BT10)*(1-Time!BT20)</f>
        <v>0</v>
      </c>
      <c r="BU12" s="19" t="n">
        <f aca="false">MAX(0,-BU10)*(1-Time!BU20)</f>
        <v>0.293876904630899</v>
      </c>
      <c r="BV12" s="19" t="n">
        <f aca="false">MAX(0,-BV10)*(1-Time!BV20)</f>
        <v>3.9551663472982</v>
      </c>
      <c r="BW12" s="19" t="n">
        <f aca="false">MAX(0,-BW10)*(1-Time!BW20)</f>
        <v>1.24740885274397</v>
      </c>
      <c r="BX12" s="19" t="n">
        <f aca="false">MAX(0,-BX10)*(1-Time!BX20)</f>
        <v>0</v>
      </c>
      <c r="BY12" s="19" t="n">
        <f aca="false">MAX(0,-BY10)*(1-Time!BY20)</f>
        <v>0.317523420727731</v>
      </c>
      <c r="BZ12" s="19" t="n">
        <f aca="false">MAX(0,-BZ10)*(1-Time!BZ20)</f>
        <v>3.63315288220321</v>
      </c>
      <c r="CA12" s="19" t="n">
        <f aca="false">MAX(0,-CA10)*(1-Time!CA20)</f>
        <v>0.311857643802227</v>
      </c>
      <c r="CB12" s="19" t="n">
        <f aca="false">MAX(0,-CB10)*(1-Time!CB20)</f>
        <v>0</v>
      </c>
      <c r="CC12" s="19" t="n">
        <f aca="false">MAX(0,-CC10)*(1-Time!CC20)</f>
        <v>0.32439965279001</v>
      </c>
      <c r="CD12" s="19" t="n">
        <f aca="false">MAX(0,-CD10)*(1-Time!CD20)</f>
        <v>1.10582373117114</v>
      </c>
      <c r="CE12" s="19" t="n">
        <f aca="false">MAX(0,-CE10)*(1-Time!CE20)</f>
        <v>0.1562759615537</v>
      </c>
      <c r="CF12" s="19" t="n">
        <f aca="false">MAX(0,-CF10)*(1-Time!CF20)</f>
        <v>0</v>
      </c>
      <c r="CG12" s="19" t="n">
        <f aca="false">MAX(0,-CG10)*(1-Time!CG20)</f>
        <v>8.90194504978964</v>
      </c>
      <c r="CH12" s="19" t="n">
        <f aca="false">MAX(0,-CH10)*(1-Time!CH20)</f>
        <v>0</v>
      </c>
      <c r="CI12" s="19" t="n">
        <f aca="false">MAX(0,-CI10)*(1-Time!CI20)</f>
        <v>20.4794483593355</v>
      </c>
      <c r="CJ12" s="19" t="n">
        <f aca="false">MAX(0,-CJ10)*(1-Time!CJ20)</f>
        <v>6.41963480870637</v>
      </c>
      <c r="CK12" s="19" t="n">
        <f aca="false">MAX(0,-CK10)*(1-Time!CK20)</f>
        <v>-0</v>
      </c>
      <c r="CL12" s="19" t="n">
        <f aca="false">MAX(0,-CL10)*(1-Time!CL20)</f>
        <v>-0</v>
      </c>
      <c r="CM12" s="19" t="n">
        <f aca="false">MAX(0,-CM10)*(1-Time!CM20)</f>
        <v>-0</v>
      </c>
      <c r="CN12" s="19" t="n">
        <f aca="false">MAX(0,-CN10)*(1-Time!CN20)</f>
        <v>-0</v>
      </c>
      <c r="CO12" s="19" t="n">
        <f aca="false">MAX(0,-CO10)*(1-Time!CO20)</f>
        <v>-0</v>
      </c>
      <c r="CP12" s="19" t="n">
        <f aca="false">MAX(0,-CP10)*(1-Time!CP20)</f>
        <v>-0</v>
      </c>
      <c r="CQ12" s="19" t="n">
        <f aca="false">MAX(0,-CQ10)*(1-Time!CQ20)</f>
        <v>-0</v>
      </c>
      <c r="CR12" s="19" t="n">
        <f aca="false">MAX(0,-CR10)*(1-Time!CR20)</f>
        <v>-0</v>
      </c>
      <c r="CS12" s="19" t="n">
        <f aca="false">MAX(0,-CS10)*(1-Time!CS20)</f>
        <v>-0</v>
      </c>
      <c r="CT12" s="19" t="n">
        <f aca="false">MAX(0,-CT10)*(1-Time!CT20)</f>
        <v>-0</v>
      </c>
      <c r="CU12" s="19" t="n">
        <f aca="false">MAX(0,-CU10)*(1-Time!CU20)</f>
        <v>-0</v>
      </c>
      <c r="CV12" s="19" t="n">
        <f aca="false">MAX(0,-CV10)*(1-Time!CV20)</f>
        <v>-0</v>
      </c>
      <c r="CW12" s="19" t="n">
        <f aca="false">MAX(0,-CW10)*(1-Time!CW20)</f>
        <v>-0</v>
      </c>
      <c r="CX12" s="19" t="n">
        <f aca="false">MAX(0,-CX10)*(1-Time!CX20)</f>
        <v>-0</v>
      </c>
      <c r="CY12" s="19" t="n">
        <f aca="false">MAX(0,-CY10)*(1-Time!CY20)</f>
        <v>-0</v>
      </c>
      <c r="CZ12" s="19" t="n">
        <f aca="false">MAX(0,-CZ10)*(1-Time!CZ20)</f>
        <v>-0</v>
      </c>
      <c r="DA12" s="19" t="n">
        <f aca="false">MAX(0,-DA10)*(1-Time!DA20)</f>
        <v>-0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11.8736349379167</v>
      </c>
      <c r="AC13" s="19" t="n">
        <f aca="false">IF(Time!AC20=1,AC8+Funding!AC21,AC9+AC11-AC12)</f>
        <v>7.74984045311604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23.9580886858464</v>
      </c>
      <c r="AF13" s="19" t="n">
        <f aca="false">IF(Time!AF20=1,AF8+Funding!AF21,AF9+AF11-AF12)</f>
        <v>18.3639027508622</v>
      </c>
      <c r="AG13" s="19" t="n">
        <f aca="false">IF(Time!AG20=1,AG8+Funding!AG21,AG9+AG11-AG12)</f>
        <v>18.5791490118183</v>
      </c>
      <c r="AH13" s="19" t="n">
        <f aca="false">IF(Time!AH20=1,AH8+Funding!AH21,AH9+AH11-AH12)</f>
        <v>18.8888003337875</v>
      </c>
      <c r="AI13" s="19" t="n">
        <f aca="false">IF(Time!AI20=1,AI8+Funding!AI21,AI9+AI11-AI12)</f>
        <v>0</v>
      </c>
      <c r="AJ13" s="19" t="n">
        <f aca="false">IF(Time!AJ20=1,AJ8+Funding!AJ21,AJ9+AJ11-AJ12)</f>
        <v>15.6806256309938</v>
      </c>
      <c r="AK13" s="19" t="n">
        <f aca="false">IF(Time!AK20=1,AK8+Funding!AK21,AK9+AK11-AK12)</f>
        <v>15.1586851555492</v>
      </c>
      <c r="AL13" s="19" t="n">
        <f aca="false">IF(Time!AL20=1,AL8+Funding!AL21,AL9+AL11-AL12)</f>
        <v>14.9110114783675</v>
      </c>
      <c r="AM13" s="19" t="n">
        <f aca="false">IF(Time!AM20=1,AM8+Funding!AM21,AM9+AM11-AM12)</f>
        <v>14.6682262090177</v>
      </c>
      <c r="AN13" s="19" t="n">
        <f aca="false">IF(Time!AN20=1,AN8+Funding!AN21,AN9+AN11-AN12)</f>
        <v>14.385478810572</v>
      </c>
      <c r="AO13" s="19" t="n">
        <f aca="false">IF(Time!AO20=1,AO8+Funding!AO21,AO9+AO11-AO12)</f>
        <v>14.2133894252695</v>
      </c>
      <c r="AP13" s="19" t="n">
        <f aca="false">IF(Time!AP20=1,AP8+Funding!AP21,AP9+AP11-AP12)</f>
        <v>13.7572138818164</v>
      </c>
      <c r="AQ13" s="19" t="n">
        <f aca="false">IF(Time!AQ20=1,AQ8+Funding!AQ21,AQ9+AQ11-AQ12)</f>
        <v>13.3938518045749</v>
      </c>
      <c r="AR13" s="19" t="n">
        <f aca="false">IF(Time!AR20=1,AR8+Funding!AR21,AR9+AR11-AR12)</f>
        <v>13.1365807724101</v>
      </c>
      <c r="AS13" s="19" t="n">
        <f aca="false">IF(Time!AS20=1,AS8+Funding!AS21,AS9+AS11-AS12)</f>
        <v>12.8893950792059</v>
      </c>
      <c r="AT13" s="19" t="n">
        <f aca="false">IF(Time!AT20=1,AT8+Funding!AT21,AT9+AT11-AT12)</f>
        <v>12.6340744670113</v>
      </c>
      <c r="AU13" s="19" t="n">
        <f aca="false">IF(Time!AU20=1,AU8+Funding!AU21,AU9+AU11-AU12)</f>
        <v>12.3731527230777</v>
      </c>
      <c r="AV13" s="19" t="n">
        <f aca="false">IF(Time!AV20=1,AV8+Funding!AV21,AV9+AV11-AV12)</f>
        <v>12.8371026511178</v>
      </c>
      <c r="AW13" s="19" t="n">
        <f aca="false">IF(Time!AW20=1,AW8+Funding!AW21,AW9+AW11-AW12)</f>
        <v>12.5786763766282</v>
      </c>
      <c r="AX13" s="19" t="n">
        <f aca="false">IF(Time!AX20=1,AX8+Funding!AX21,AX9+AX11-AX12)</f>
        <v>11.5720966172827</v>
      </c>
      <c r="AY13" s="19" t="n">
        <f aca="false">IF(Time!AY20=1,AY8+Funding!AY21,AY9+AY11-AY12)</f>
        <v>11.7114912828429</v>
      </c>
      <c r="AZ13" s="19" t="n">
        <f aca="false">IF(Time!AZ20=1,AZ8+Funding!AZ21,AZ9+AZ11-AZ12)</f>
        <v>11.4570860605091</v>
      </c>
      <c r="BA13" s="19" t="n">
        <f aca="false">IF(Time!BA20=1,BA8+Funding!BA21,BA9+BA11-BA12)</f>
        <v>11.3510485655242</v>
      </c>
      <c r="BB13" s="19" t="n">
        <f aca="false">IF(Time!BB20=1,BB8+Funding!BB21,BB9+BB11-BB12)</f>
        <v>16.8786094469065</v>
      </c>
      <c r="BC13" s="19" t="n">
        <f aca="false">IF(Time!BC20=1,BC8+Funding!BC21,BC9+BC11-BC12)</f>
        <v>16.9066833277643</v>
      </c>
      <c r="BD13" s="19" t="n">
        <f aca="false">IF(Time!BD20=1,BD8+Funding!BD21,BD9+BD11-BD12)</f>
        <v>19.517626138986</v>
      </c>
      <c r="BE13" s="19" t="n">
        <f aca="false">IF(Time!BE20=1,BE8+Funding!BE21,BE9+BE11-BE12)</f>
        <v>18.5219096599766</v>
      </c>
      <c r="BF13" s="19" t="n">
        <f aca="false">IF(Time!BF20=1,BF8+Funding!BF21,BF9+BF11-BF12)</f>
        <v>17.6893224738622</v>
      </c>
      <c r="BG13" s="19" t="n">
        <f aca="false">IF(Time!BG20=1,BG8+Funding!BG21,BG9+BG11-BG12)</f>
        <v>17.7575361181156</v>
      </c>
      <c r="BH13" s="19" t="n">
        <f aca="false">IF(Time!BH20=1,BH8+Funding!BH21,BH9+BH11-BH12)</f>
        <v>18.4721937144345</v>
      </c>
      <c r="BI13" s="19" t="n">
        <f aca="false">IF(Time!BI20=1,BI8+Funding!BI21,BI9+BI11-BI12)</f>
        <v>18.4236018934347</v>
      </c>
      <c r="BJ13" s="19" t="n">
        <f aca="false">IF(Time!BJ20=1,BJ8+Funding!BJ21,BJ9+BJ11-BJ12)</f>
        <v>19.2867128247027</v>
      </c>
      <c r="BK13" s="19" t="n">
        <f aca="false">IF(Time!BK20=1,BK8+Funding!BK21,BK9+BK11-BK12)</f>
        <v>19.2356884689183</v>
      </c>
      <c r="BL13" s="19" t="n">
        <f aca="false">IF(Time!BL20=1,BL8+Funding!BL21,BL9+BL11-BL12)</f>
        <v>20.1333322256871</v>
      </c>
      <c r="BM13" s="19" t="n">
        <f aca="false">IF(Time!BM20=1,BM8+Funding!BM21,BM9+BM11-BM12)</f>
        <v>20.0796202872474</v>
      </c>
      <c r="BN13" s="19" t="n">
        <f aca="false">IF(Time!BN20=1,BN8+Funding!BN21,BN9+BN11-BN12)</f>
        <v>13.6904300975535</v>
      </c>
      <c r="BO13" s="19" t="n">
        <f aca="false">IF(Time!BO20=1,BO8+Funding!BO21,BO9+BO11-BO12)</f>
        <v>13.7961115623589</v>
      </c>
      <c r="BP13" s="19" t="n">
        <f aca="false">IF(Time!BP20=1,BP8+Funding!BP21,BP9+BP11-BP12)</f>
        <v>14.6603042962663</v>
      </c>
      <c r="BQ13" s="19" t="n">
        <f aca="false">IF(Time!BQ20=1,BQ8+Funding!BQ21,BQ9+BQ11-BQ12)</f>
        <v>14.414646185861</v>
      </c>
      <c r="BR13" s="19" t="n">
        <f aca="false">IF(Time!BR20=1,BR8+Funding!BR21,BR9+BR11-BR12)</f>
        <v>15.4195292330906</v>
      </c>
      <c r="BS13" s="19" t="n">
        <f aca="false">IF(Time!BS20=1,BS8+Funding!BS21,BS9+BS11-BS12)</f>
        <v>15.1642993684354</v>
      </c>
      <c r="BT13" s="19" t="n">
        <f aca="false">IF(Time!BT20=1,BT8+Funding!BT21,BT9+BT11-BT12)</f>
        <v>29.5555562441525</v>
      </c>
      <c r="BU13" s="19" t="n">
        <f aca="false">IF(Time!BU20=1,BU8+Funding!BU21,BU9+BU11-BU12)</f>
        <v>29.2616793395216</v>
      </c>
      <c r="BV13" s="19" t="n">
        <f aca="false">IF(Time!BV20=1,BV8+Funding!BV21,BV9+BV11-BV12)</f>
        <v>25.3065129922234</v>
      </c>
      <c r="BW13" s="19" t="n">
        <f aca="false">IF(Time!BW20=1,BW8+Funding!BW21,BW9+BW11-BW12)</f>
        <v>24.0591041394794</v>
      </c>
      <c r="BX13" s="19" t="n">
        <f aca="false">IF(Time!BX20=1,BX8+Funding!BX21,BX9+BX11-BX12)</f>
        <v>24.9713569004454</v>
      </c>
      <c r="BY13" s="19" t="n">
        <f aca="false">IF(Time!BY20=1,BY8+Funding!BY21,BY9+BY11-BY12)</f>
        <v>24.6538334797176</v>
      </c>
      <c r="BZ13" s="19" t="n">
        <f aca="false">IF(Time!BZ20=1,BZ8+Funding!BZ21,BZ9+BZ11-BZ12)</f>
        <v>21.0206805975144</v>
      </c>
      <c r="CA13" s="19" t="n">
        <f aca="false">IF(Time!CA20=1,CA8+Funding!CA21,CA9+CA11-CA12)</f>
        <v>20.7088229537122</v>
      </c>
      <c r="CB13" s="19" t="n">
        <f aca="false">IF(Time!CB20=1,CB8+Funding!CB21,CB9+CB11-CB12)</f>
        <v>21.8522281207937</v>
      </c>
      <c r="CC13" s="19" t="n">
        <f aca="false">IF(Time!CC20=1,CC8+Funding!CC21,CC9+CC11-CC12)</f>
        <v>21.5278284680037</v>
      </c>
      <c r="CD13" s="19" t="n">
        <f aca="false">IF(Time!CD20=1,CD8+Funding!CD21,CD9+CD11-CD12)</f>
        <v>20.4220047368325</v>
      </c>
      <c r="CE13" s="19" t="n">
        <f aca="false">IF(Time!CE20=1,CE8+Funding!CE21,CE9+CE11-CE12)</f>
        <v>20.2657287752789</v>
      </c>
      <c r="CF13" s="19" t="n">
        <f aca="false">IF(Time!CF20=1,CF8+Funding!CF21,CF9+CF11-CF12)</f>
        <v>34.5548860129424</v>
      </c>
      <c r="CG13" s="19" t="n">
        <f aca="false">IF(Time!CG20=1,CG8+Funding!CG21,CG9+CG11-CG12)</f>
        <v>25.6529409631527</v>
      </c>
      <c r="CH13" s="19" t="n">
        <f aca="false">IF(Time!CH20=1,CH8+Funding!CH21,CH9+CH11-CH12)</f>
        <v>26.8990831680418</v>
      </c>
      <c r="CI13" s="19" t="n">
        <f aca="false">IF(Time!CI20=1,CI8+Funding!CI21,CI9+CI11-CI12)</f>
        <v>6.41963480870637</v>
      </c>
      <c r="CJ13" s="19" t="n">
        <f aca="false">IF(Time!CJ20=1,CJ8+Funding!CJ21,CJ9+CJ11-CJ12)</f>
        <v>0</v>
      </c>
      <c r="CK13" s="19" t="n">
        <f aca="false">IF(Time!CK20=1,CK8+Funding!CK21,CK9+CK11-CK12)</f>
        <v>0</v>
      </c>
      <c r="CL13" s="19" t="n">
        <f aca="false">IF(Time!CL20=1,CL8+Funding!CL21,CL9+CL11-CL12)</f>
        <v>0</v>
      </c>
      <c r="CM13" s="19" t="n">
        <f aca="false">IF(Time!CM20=1,CM8+Funding!CM21,CM9+CM11-CM12)</f>
        <v>0</v>
      </c>
      <c r="CN13" s="19" t="n">
        <f aca="false">IF(Time!CN20=1,CN8+Funding!CN21,CN9+CN11-CN12)</f>
        <v>0</v>
      </c>
      <c r="CO13" s="19" t="n">
        <f aca="false">IF(Time!CO20=1,CO8+Funding!CO21,CO9+CO11-CO12)</f>
        <v>0</v>
      </c>
      <c r="CP13" s="19" t="n">
        <f aca="false">IF(Time!CP20=1,CP8+Funding!CP21,CP9+CP11-CP12)</f>
        <v>0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3.35974276913047</v>
      </c>
      <c r="AK18" s="19" t="n">
        <f aca="false">AJ19</f>
        <v>6.71948553826095</v>
      </c>
      <c r="AL18" s="19" t="n">
        <f aca="false">AK19</f>
        <v>10.0792283073914</v>
      </c>
      <c r="AM18" s="19" t="n">
        <f aca="false">AL19</f>
        <v>13.4389710765219</v>
      </c>
      <c r="AN18" s="19" t="n">
        <f aca="false">AM19</f>
        <v>16.7987138456524</v>
      </c>
      <c r="AO18" s="19" t="n">
        <f aca="false">AN19</f>
        <v>20.1584566147828</v>
      </c>
      <c r="AP18" s="19" t="n">
        <f aca="false">AO19</f>
        <v>0</v>
      </c>
      <c r="AQ18" s="19" t="n">
        <f aca="false">AP19</f>
        <v>0</v>
      </c>
      <c r="AR18" s="19" t="n">
        <f aca="false">AQ19</f>
        <v>10.7471609722561</v>
      </c>
      <c r="AS18" s="19" t="n">
        <f aca="false">AR19</f>
        <v>21.4943219445122</v>
      </c>
      <c r="AT18" s="19" t="n">
        <f aca="false">AS19</f>
        <v>32.2414829167683</v>
      </c>
      <c r="AU18" s="19" t="n">
        <f aca="false">AT19</f>
        <v>42.9886438890244</v>
      </c>
      <c r="AV18" s="19" t="n">
        <f aca="false">AU19</f>
        <v>53.7358048612806</v>
      </c>
      <c r="AW18" s="19" t="n">
        <f aca="false">AV19</f>
        <v>64.4829658335367</v>
      </c>
      <c r="AX18" s="19" t="n">
        <f aca="false">AW19</f>
        <v>8.66655373227214</v>
      </c>
      <c r="AY18" s="19" t="n">
        <f aca="false">AX19</f>
        <v>17.3331074645443</v>
      </c>
      <c r="AZ18" s="19" t="n">
        <f aca="false">AY19</f>
        <v>30.093181521613</v>
      </c>
      <c r="BA18" s="19" t="n">
        <f aca="false">AZ19</f>
        <v>42.8532555786817</v>
      </c>
      <c r="BB18" s="19" t="n">
        <f aca="false">BA19</f>
        <v>55.6133296357503</v>
      </c>
      <c r="BC18" s="19" t="n">
        <f aca="false">BB19</f>
        <v>68.373403692819</v>
      </c>
      <c r="BD18" s="19" t="n">
        <f aca="false">BC19</f>
        <v>20.4676016239828</v>
      </c>
      <c r="BE18" s="19" t="n">
        <f aca="false">BD19</f>
        <v>24.5611219487794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19.4412937087111</v>
      </c>
      <c r="BQ18" s="19" t="n">
        <f aca="false">BP19</f>
        <v>38.8825874174222</v>
      </c>
      <c r="BR18" s="19" t="n">
        <f aca="false">BQ19</f>
        <v>58.3238811261332</v>
      </c>
      <c r="BS18" s="19" t="n">
        <f aca="false">BR19</f>
        <v>77.7651748348443</v>
      </c>
      <c r="BT18" s="19" t="n">
        <f aca="false">BS19</f>
        <v>97.2064685435554</v>
      </c>
      <c r="BU18" s="19" t="n">
        <f aca="false">BT19</f>
        <v>116.647762252266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12.5517538803071</v>
      </c>
      <c r="CC18" s="19" t="n">
        <f aca="false">CB19</f>
        <v>25.1035077606142</v>
      </c>
      <c r="CD18" s="19" t="n">
        <f aca="false">CC19</f>
        <v>37.6552616409212</v>
      </c>
      <c r="CE18" s="19" t="n">
        <f aca="false">CD19</f>
        <v>50.2070155212283</v>
      </c>
      <c r="CF18" s="19" t="n">
        <f aca="false">CE19</f>
        <v>68.8356233319841</v>
      </c>
      <c r="CG18" s="19" t="n">
        <f aca="false">CF19</f>
        <v>87.46423114274</v>
      </c>
      <c r="CH18" s="19" t="n">
        <f aca="false">CG19</f>
        <v>18.2305617913462</v>
      </c>
      <c r="CI18" s="19" t="n">
        <f aca="false">CH19</f>
        <v>24.307415721795</v>
      </c>
      <c r="CJ18" s="19" t="n">
        <f aca="false">CI19</f>
        <v>30.3842696522437</v>
      </c>
      <c r="CK18" s="19" t="n">
        <f aca="false">CJ19</f>
        <v>36.4611235826925</v>
      </c>
      <c r="CL18" s="19" t="n">
        <f aca="false">CK19</f>
        <v>0</v>
      </c>
      <c r="CM18" s="19" t="n">
        <f aca="false">CL19</f>
        <v>0</v>
      </c>
      <c r="CN18" s="19" t="n">
        <f aca="false">CM19</f>
        <v>19.4386689348609</v>
      </c>
      <c r="CO18" s="19" t="n">
        <f aca="false">CN19</f>
        <v>38.8773378697217</v>
      </c>
      <c r="CP18" s="19" t="n">
        <f aca="false">CO19</f>
        <v>58.3160068045826</v>
      </c>
      <c r="CQ18" s="19" t="n">
        <f aca="false">CP19</f>
        <v>77.7546757394434</v>
      </c>
      <c r="CR18" s="19" t="n">
        <f aca="false">CQ19</f>
        <v>97.1933446743043</v>
      </c>
      <c r="CS18" s="19" t="n">
        <f aca="false">CR19</f>
        <v>116.632013609165</v>
      </c>
      <c r="CT18" s="19" t="n">
        <f aca="false">CS19</f>
        <v>0</v>
      </c>
      <c r="CU18" s="19" t="n">
        <f aca="false">CT19</f>
        <v>0</v>
      </c>
      <c r="CV18" s="19" t="n">
        <f aca="false">CU19</f>
        <v>7.40405643660328</v>
      </c>
      <c r="CW18" s="19" t="n">
        <f aca="false">CV19</f>
        <v>14.8081128732066</v>
      </c>
      <c r="CX18" s="19" t="n">
        <f aca="false">CW19</f>
        <v>22.2121693098098</v>
      </c>
      <c r="CY18" s="19" t="n">
        <f aca="false">CX19</f>
        <v>29.6162257464131</v>
      </c>
      <c r="CZ18" s="19" t="n">
        <f aca="false">CY19</f>
        <v>37.0202821830164</v>
      </c>
      <c r="DA18" s="19" t="n">
        <f aca="false">CZ19</f>
        <v>44.4243386196197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3.35974276913047</v>
      </c>
      <c r="AJ19" s="19" t="n">
        <f aca="false">AJ18+Operations!AJ37-Operations!AJ36</f>
        <v>6.71948553826095</v>
      </c>
      <c r="AK19" s="19" t="n">
        <f aca="false">AK18+Operations!AK37-Operations!AK36</f>
        <v>10.0792283073914</v>
      </c>
      <c r="AL19" s="19" t="n">
        <f aca="false">AL18+Operations!AL37-Operations!AL36</f>
        <v>13.4389710765219</v>
      </c>
      <c r="AM19" s="19" t="n">
        <f aca="false">AM18+Operations!AM37-Operations!AM36</f>
        <v>16.7987138456524</v>
      </c>
      <c r="AN19" s="19" t="n">
        <f aca="false">AN18+Operations!AN37-Operations!AN36</f>
        <v>20.1584566147828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10.7471609722561</v>
      </c>
      <c r="AR19" s="19" t="n">
        <f aca="false">AR18+Operations!AR37-Operations!AR36</f>
        <v>21.4943219445122</v>
      </c>
      <c r="AS19" s="19" t="n">
        <f aca="false">AS18+Operations!AS37-Operations!AS36</f>
        <v>32.2414829167683</v>
      </c>
      <c r="AT19" s="19" t="n">
        <f aca="false">AT18+Operations!AT37-Operations!AT36</f>
        <v>42.9886438890244</v>
      </c>
      <c r="AU19" s="19" t="n">
        <f aca="false">AU18+Operations!AU37-Operations!AU36</f>
        <v>53.7358048612806</v>
      </c>
      <c r="AV19" s="19" t="n">
        <f aca="false">AV18+Operations!AV37-Operations!AV36</f>
        <v>64.4829658335367</v>
      </c>
      <c r="AW19" s="19" t="n">
        <f aca="false">AW18+Operations!AW37-Operations!AW36</f>
        <v>8.66655373227214</v>
      </c>
      <c r="AX19" s="19" t="n">
        <f aca="false">AX18+Operations!AX37-Operations!AX36</f>
        <v>17.3331074645443</v>
      </c>
      <c r="AY19" s="19" t="n">
        <f aca="false">AY18+Operations!AY37-Operations!AY36</f>
        <v>30.093181521613</v>
      </c>
      <c r="AZ19" s="19" t="n">
        <f aca="false">AZ18+Operations!AZ37-Operations!AZ36</f>
        <v>42.8532555786817</v>
      </c>
      <c r="BA19" s="19" t="n">
        <f aca="false">BA18+Operations!BA37-Operations!BA36</f>
        <v>55.6133296357503</v>
      </c>
      <c r="BB19" s="19" t="n">
        <f aca="false">BB18+Operations!BB37-Operations!BB36</f>
        <v>68.373403692819</v>
      </c>
      <c r="BC19" s="19" t="n">
        <f aca="false">BC18+Operations!BC37-Operations!BC36</f>
        <v>20.4676016239828</v>
      </c>
      <c r="BD19" s="19" t="n">
        <f aca="false">BD18+Operations!BD37-Operations!BD36</f>
        <v>24.5611219487794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19.4412937087111</v>
      </c>
      <c r="BP19" s="19" t="n">
        <f aca="false">BP18+Operations!BP37-Operations!BP36</f>
        <v>38.8825874174222</v>
      </c>
      <c r="BQ19" s="19" t="n">
        <f aca="false">BQ18+Operations!BQ37-Operations!BQ36</f>
        <v>58.3238811261332</v>
      </c>
      <c r="BR19" s="19" t="n">
        <f aca="false">BR18+Operations!BR37-Operations!BR36</f>
        <v>77.7651748348443</v>
      </c>
      <c r="BS19" s="19" t="n">
        <f aca="false">BS18+Operations!BS37-Operations!BS36</f>
        <v>97.2064685435554</v>
      </c>
      <c r="BT19" s="19" t="n">
        <f aca="false">BT18+Operations!BT37-Operations!BT36</f>
        <v>116.647762252266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12.5517538803071</v>
      </c>
      <c r="CB19" s="19" t="n">
        <f aca="false">CB18+Operations!CB37-Operations!CB36</f>
        <v>25.1035077606142</v>
      </c>
      <c r="CC19" s="19" t="n">
        <f aca="false">CC18+Operations!CC37-Operations!CC36</f>
        <v>37.6552616409212</v>
      </c>
      <c r="CD19" s="19" t="n">
        <f aca="false">CD18+Operations!CD37-Operations!CD36</f>
        <v>50.2070155212283</v>
      </c>
      <c r="CE19" s="19" t="n">
        <f aca="false">CE18+Operations!CE37-Operations!CE36</f>
        <v>68.8356233319841</v>
      </c>
      <c r="CF19" s="19" t="n">
        <f aca="false">CF18+Operations!CF37-Operations!CF36</f>
        <v>87.46423114274</v>
      </c>
      <c r="CG19" s="19" t="n">
        <f aca="false">CG18+Operations!CG37-Operations!CG36</f>
        <v>18.2305617913462</v>
      </c>
      <c r="CH19" s="19" t="n">
        <f aca="false">CH18+Operations!CH37-Operations!CH36</f>
        <v>24.307415721795</v>
      </c>
      <c r="CI19" s="19" t="n">
        <f aca="false">CI18+Operations!CI37-Operations!CI36</f>
        <v>30.3842696522437</v>
      </c>
      <c r="CJ19" s="19" t="n">
        <f aca="false">CJ18+Operations!CJ37-Operations!CJ36</f>
        <v>36.4611235826925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19.4386689348609</v>
      </c>
      <c r="CN19" s="19" t="n">
        <f aca="false">CN18+Operations!CN37-Operations!CN36</f>
        <v>38.8773378697217</v>
      </c>
      <c r="CO19" s="19" t="n">
        <f aca="false">CO18+Operations!CO37-Operations!CO36</f>
        <v>58.3160068045826</v>
      </c>
      <c r="CP19" s="19" t="n">
        <f aca="false">CP18+Operations!CP37-Operations!CP36</f>
        <v>77.7546757394434</v>
      </c>
      <c r="CQ19" s="19" t="n">
        <f aca="false">CQ18+Operations!CQ37-Operations!CQ36</f>
        <v>97.1933446743043</v>
      </c>
      <c r="CR19" s="19" t="n">
        <f aca="false">CR18+Operations!CR37-Operations!CR36</f>
        <v>116.632013609165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7.40405643660328</v>
      </c>
      <c r="CV19" s="19" t="n">
        <f aca="false">CV18+Operations!CV37-Operations!CV36</f>
        <v>14.8081128732066</v>
      </c>
      <c r="CW19" s="19" t="n">
        <f aca="false">CW18+Operations!CW37-Operations!CW36</f>
        <v>22.2121693098098</v>
      </c>
      <c r="CX19" s="19" t="n">
        <f aca="false">CX18+Operations!CX37-Operations!CX36</f>
        <v>29.6162257464131</v>
      </c>
      <c r="CY19" s="19" t="n">
        <f aca="false">CY18+Operations!CY37-Operations!CY36</f>
        <v>37.0202821830164</v>
      </c>
      <c r="CZ19" s="19" t="n">
        <f aca="false">CZ18+Operations!CZ37-Operations!CZ36</f>
        <v>44.4243386196197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0</v>
      </c>
      <c r="CI21" s="19" t="n">
        <f aca="false">CH23</f>
        <v>0</v>
      </c>
      <c r="CJ21" s="19" t="n">
        <f aca="false">CI23</f>
        <v>0</v>
      </c>
      <c r="CK21" s="19" t="n">
        <f aca="false">CJ23</f>
        <v>0</v>
      </c>
      <c r="CL21" s="19" t="n">
        <f aca="false">CK23</f>
        <v>0</v>
      </c>
      <c r="CM21" s="19" t="n">
        <f aca="false">CL23</f>
        <v>0</v>
      </c>
      <c r="CN21" s="19" t="n">
        <f aca="false">CM23</f>
        <v>0</v>
      </c>
      <c r="CO21" s="19" t="n">
        <f aca="false">CN23</f>
        <v>0</v>
      </c>
      <c r="CP21" s="19" t="n">
        <f aca="false">CO23</f>
        <v>0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11.6632013609165</v>
      </c>
      <c r="CU21" s="19" t="n">
        <f aca="false">CT23</f>
        <v>23.6179827558559</v>
      </c>
      <c r="CV21" s="19" t="n">
        <f aca="false">CU23</f>
        <v>35.5727641507954</v>
      </c>
      <c r="CW21" s="19" t="n">
        <f aca="false">CV23</f>
        <v>47.8264150806083</v>
      </c>
      <c r="CX21" s="19" t="n">
        <f aca="false">CW23</f>
        <v>60.0800660104212</v>
      </c>
      <c r="CY21" s="19" t="n">
        <f aca="false">CX23</f>
        <v>72.6400582134794</v>
      </c>
      <c r="CZ21" s="19" t="n">
        <f aca="false">CY23</f>
        <v>85.2000504165376</v>
      </c>
      <c r="DA21" s="19" t="n">
        <f aca="false">CZ23</f>
        <v>98.0740424246723</v>
      </c>
      <c r="DB21" s="19" t="n">
        <f aca="false">DA23</f>
        <v>110.948034432807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124.143876241145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0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124.143876241145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0</v>
      </c>
      <c r="CH23" s="19" t="n">
        <f aca="false">CH21+Operations!CH39-CH22</f>
        <v>0</v>
      </c>
      <c r="CI23" s="19" t="n">
        <f aca="false">CI21+Operations!CI39-CI22</f>
        <v>0</v>
      </c>
      <c r="CJ23" s="19" t="n">
        <f aca="false">CJ21+Operations!CJ39-CJ22</f>
        <v>0</v>
      </c>
      <c r="CK23" s="19" t="n">
        <f aca="false">CK21+Operations!CK39-CK22</f>
        <v>0</v>
      </c>
      <c r="CL23" s="19" t="n">
        <f aca="false">CL21+Operations!CL39-CL22</f>
        <v>0</v>
      </c>
      <c r="CM23" s="19" t="n">
        <f aca="false">CM21+Operations!CM39-CM22</f>
        <v>0</v>
      </c>
      <c r="CN23" s="19" t="n">
        <f aca="false">CN21+Operations!CN39-CN22</f>
        <v>0</v>
      </c>
      <c r="CO23" s="19" t="n">
        <f aca="false">CO21+Operations!CO39-CO22</f>
        <v>0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11.6632013609165</v>
      </c>
      <c r="CT23" s="19" t="n">
        <f aca="false">CT21+Operations!CT39-CT22</f>
        <v>23.6179827558559</v>
      </c>
      <c r="CU23" s="19" t="n">
        <f aca="false">CU21+Operations!CU39-CU22</f>
        <v>35.5727641507954</v>
      </c>
      <c r="CV23" s="19" t="n">
        <f aca="false">CV21+Operations!CV39-CV22</f>
        <v>47.8264150806083</v>
      </c>
      <c r="CW23" s="19" t="n">
        <f aca="false">CW21+Operations!CW39-CW22</f>
        <v>60.0800660104212</v>
      </c>
      <c r="CX23" s="19" t="n">
        <f aca="false">CX21+Operations!CX39-CX22</f>
        <v>72.6400582134794</v>
      </c>
      <c r="CY23" s="19" t="n">
        <f aca="false">CY21+Operations!CY39-CY22</f>
        <v>85.2000504165376</v>
      </c>
      <c r="CZ23" s="19" t="n">
        <f aca="false">CZ21+Operations!CZ39-CZ22</f>
        <v>98.0740424246723</v>
      </c>
      <c r="DA23" s="19" t="n">
        <f aca="false">DA21+Operations!DA39-DA22</f>
        <v>110.948034432807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78.3</v>
      </c>
      <c r="AK29" s="19" t="n">
        <f aca="false">AJ30</f>
        <v>58.725</v>
      </c>
      <c r="AL29" s="19" t="n">
        <f aca="false">AK30</f>
        <v>39.15</v>
      </c>
      <c r="AM29" s="19" t="n">
        <f aca="false">AL30</f>
        <v>19.575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78.3</v>
      </c>
      <c r="AJ30" s="19" t="n">
        <f aca="false">AJ29-Operations!AJ45+Time!AJ35*Inputs!$F$172</f>
        <v>58.725</v>
      </c>
      <c r="AK30" s="19" t="n">
        <f aca="false">AK29-Operations!AK45+Time!AK35*Inputs!$F$172</f>
        <v>39.15</v>
      </c>
      <c r="AL30" s="19" t="n">
        <f aca="false">AL29-Operations!AL45+Time!AL35*Inputs!$F$172</f>
        <v>19.575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5.0866396036232</v>
      </c>
      <c r="AB6" s="19" t="n">
        <f aca="false">AA51</f>
        <v>2.87509153720747</v>
      </c>
      <c r="AC6" s="19" t="n">
        <f aca="false">AB51</f>
        <v>0</v>
      </c>
      <c r="AD6" s="19" t="n">
        <f aca="false">AC51</f>
        <v>0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41.7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4818.7014308574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14.4335477229002</v>
      </c>
      <c r="AA7" s="29" t="n">
        <f aca="false">Operations!AA48</f>
        <v>17.0914884408586</v>
      </c>
      <c r="AB7" s="29" t="n">
        <f aca="false">Operations!AB48</f>
        <v>8.99854340070927</v>
      </c>
      <c r="AC7" s="29" t="n">
        <f aca="false">Operations!AC48</f>
        <v>16.4507987511094</v>
      </c>
      <c r="AD7" s="29" t="n">
        <f aca="false">Operations!AD48</f>
        <v>18.005820723622</v>
      </c>
      <c r="AE7" s="29" t="n">
        <f aca="false">Operations!AE48</f>
        <v>23.0650335069316</v>
      </c>
      <c r="AF7" s="29" t="n">
        <f aca="false">Operations!AF48</f>
        <v>19.7110588731622</v>
      </c>
      <c r="AG7" s="29" t="n">
        <f aca="false">Operations!AG48</f>
        <v>24.8127200956232</v>
      </c>
      <c r="AH7" s="29" t="n">
        <f aca="false">Operations!AH48</f>
        <v>24.6930763855976</v>
      </c>
      <c r="AI7" s="29" t="n">
        <f aca="false">Operations!AI48</f>
        <v>25.3575479901645</v>
      </c>
      <c r="AJ7" s="29" t="n">
        <f aca="false">Operations!AJ48</f>
        <v>30.597759139989</v>
      </c>
      <c r="AK7" s="29" t="n">
        <f aca="false">Operations!AK48</f>
        <v>34.0621311257348</v>
      </c>
      <c r="AL7" s="29" t="n">
        <f aca="false">Operations!AL48</f>
        <v>33.7053197109686</v>
      </c>
      <c r="AM7" s="29" t="n">
        <f aca="false">Operations!AM48</f>
        <v>36.60170748443</v>
      </c>
      <c r="AN7" s="29" t="n">
        <f aca="false">Operations!AN48</f>
        <v>35.6574115938493</v>
      </c>
      <c r="AO7" s="29" t="n">
        <f aca="false">Operations!AO48</f>
        <v>41.4541021839148</v>
      </c>
      <c r="AP7" s="29" t="n">
        <f aca="false">Operations!AP48</f>
        <v>41.9053772617615</v>
      </c>
      <c r="AQ7" s="29" t="n">
        <f aca="false">Operations!AQ48</f>
        <v>33.2086098971247</v>
      </c>
      <c r="AR7" s="29" t="n">
        <f aca="false">Operations!AR48</f>
        <v>32.2664229327247</v>
      </c>
      <c r="AS7" s="29" t="n">
        <f aca="false">Operations!AS48</f>
        <v>32.6673554404873</v>
      </c>
      <c r="AT7" s="29" t="n">
        <f aca="false">Operations!AT48</f>
        <v>32.8432043594126</v>
      </c>
      <c r="AU7" s="29" t="n">
        <f aca="false">Operations!AU48</f>
        <v>34.4655051397935</v>
      </c>
      <c r="AV7" s="29" t="n">
        <f aca="false">Operations!AV48</f>
        <v>34.6526356060643</v>
      </c>
      <c r="AW7" s="29" t="n">
        <f aca="false">Operations!AW48</f>
        <v>43.6141626388462</v>
      </c>
      <c r="AX7" s="29" t="n">
        <f aca="false">Operations!AX48</f>
        <v>43.6761725196293</v>
      </c>
      <c r="AY7" s="29" t="n">
        <f aca="false">Operations!AY48</f>
        <v>42.0638103585527</v>
      </c>
      <c r="AZ7" s="29" t="n">
        <f aca="false">Operations!AZ48</f>
        <v>42.4339081472409</v>
      </c>
      <c r="BA7" s="29" t="n">
        <f aca="false">Operations!BA48</f>
        <v>41.7472817853526</v>
      </c>
      <c r="BB7" s="29" t="n">
        <f aca="false">Operations!BB48</f>
        <v>39.6482193769798</v>
      </c>
      <c r="BC7" s="29" t="n">
        <f aca="false">Operations!BC48</f>
        <v>56.1527904209994</v>
      </c>
      <c r="BD7" s="29" t="n">
        <f aca="false">Operations!BD48</f>
        <v>56.2273275719272</v>
      </c>
      <c r="BE7" s="29" t="n">
        <f aca="false">Operations!BE48</f>
        <v>63.1594734825397</v>
      </c>
      <c r="BF7" s="29" t="n">
        <f aca="false">Operations!BF48</f>
        <v>60.5068509332598</v>
      </c>
      <c r="BG7" s="29" t="n">
        <f aca="false">Operations!BG48</f>
        <v>58.3210689181156</v>
      </c>
      <c r="BH7" s="29" t="n">
        <f aca="false">Operations!BH48</f>
        <v>58.5042973907921</v>
      </c>
      <c r="BI7" s="29" t="n">
        <f aca="false">Operations!BI48</f>
        <v>60.401996979779</v>
      </c>
      <c r="BJ7" s="29" t="n">
        <f aca="false">Operations!BJ48</f>
        <v>60.2729756656549</v>
      </c>
      <c r="BK7" s="29" t="n">
        <f aca="false">Operations!BK48</f>
        <v>62.5649417778169</v>
      </c>
      <c r="BL7" s="29" t="n">
        <f aca="false">Operations!BL48</f>
        <v>62.4294618479714</v>
      </c>
      <c r="BM7" s="29" t="n">
        <f aca="false">Operations!BM48</f>
        <v>64.8131206052633</v>
      </c>
      <c r="BN7" s="29" t="n">
        <f aca="false">Operations!BN48</f>
        <v>64.6705048958496</v>
      </c>
      <c r="BO7" s="29" t="n">
        <f aca="false">Operations!BO48</f>
        <v>47.7073675683716</v>
      </c>
      <c r="BP7" s="29" t="n">
        <f aca="false">Operations!BP48</f>
        <v>47.9880660603619</v>
      </c>
      <c r="BQ7" s="29" t="n">
        <f aca="false">Operations!BQ48</f>
        <v>50.2828058561231</v>
      </c>
      <c r="BR7" s="29" t="n">
        <f aca="false">Operations!BR48</f>
        <v>49.6303915749486</v>
      </c>
      <c r="BS7" s="29" t="n">
        <f aca="false">Operations!BS48</f>
        <v>52.298772442366</v>
      </c>
      <c r="BT7" s="29" t="n">
        <f aca="false">Operations!BT48</f>
        <v>51.6209431642013</v>
      </c>
      <c r="BU7" s="29" t="n">
        <f aca="false">Operations!BU48</f>
        <v>89.8424358926629</v>
      </c>
      <c r="BV7" s="29" t="n">
        <f aca="false">Operations!BV48</f>
        <v>89.061924376185</v>
      </c>
      <c r="BW7" s="29" t="n">
        <f aca="false">Operations!BW48</f>
        <v>78.5259161971874</v>
      </c>
      <c r="BX7" s="29" t="n">
        <f aca="false">Operations!BX48</f>
        <v>75.2374861756489</v>
      </c>
      <c r="BY7" s="29" t="n">
        <f aca="false">Operations!BY48</f>
        <v>77.6598171553233</v>
      </c>
      <c r="BZ7" s="29" t="n">
        <f aca="false">Operations!BZ48</f>
        <v>76.8165912350313</v>
      </c>
      <c r="CA7" s="29" t="n">
        <f aca="false">Operations!CA48</f>
        <v>67.1708358465255</v>
      </c>
      <c r="CB7" s="29" t="n">
        <f aca="false">Operations!CB48</f>
        <v>66.3426510556007</v>
      </c>
      <c r="CC7" s="29" t="n">
        <f aca="false">Operations!CC48</f>
        <v>69.399650533258</v>
      </c>
      <c r="CD7" s="29" t="n">
        <f aca="false">Operations!CD48</f>
        <v>68.5402969452887</v>
      </c>
      <c r="CE7" s="29" t="n">
        <f aca="false">Operations!CE48</f>
        <v>65.6050990698115</v>
      </c>
      <c r="CF7" s="29" t="n">
        <f aca="false">Operations!CF48</f>
        <v>65.1900467059611</v>
      </c>
      <c r="CG7" s="29" t="n">
        <f aca="false">Operations!CG48</f>
        <v>103.128821265406</v>
      </c>
      <c r="CH7" s="29" t="n">
        <f aca="false">Operations!CH48</f>
        <v>79.4934471592548</v>
      </c>
      <c r="CI7" s="29" t="n">
        <f aca="false">Operations!CI48</f>
        <v>82.8028169178667</v>
      </c>
      <c r="CJ7" s="29" t="n">
        <f aca="false">Operations!CJ48</f>
        <v>81.8091872370815</v>
      </c>
      <c r="CK7" s="29" t="n">
        <f aca="false">Operations!CK48</f>
        <v>102.375088413017</v>
      </c>
      <c r="CL7" s="29" t="n">
        <f aca="false">Operations!CL48</f>
        <v>90.6020636347948</v>
      </c>
      <c r="CM7" s="29" t="n">
        <f aca="false">Operations!CM48</f>
        <v>74.8831022611121</v>
      </c>
      <c r="CN7" s="29" t="n">
        <f aca="false">Operations!CN48</f>
        <v>74.5712503087766</v>
      </c>
      <c r="CO7" s="29" t="n">
        <f aca="false">Operations!CO48</f>
        <v>77.9017856002315</v>
      </c>
      <c r="CP7" s="29" t="n">
        <f aca="false">Operations!CP48</f>
        <v>77.0471256016325</v>
      </c>
      <c r="CQ7" s="29" t="n">
        <f aca="false">Operations!CQ48</f>
        <v>80.9825138268942</v>
      </c>
      <c r="CR7" s="29" t="n">
        <f aca="false">Operations!CR48</f>
        <v>80.0559082041861</v>
      </c>
      <c r="CS7" s="29" t="n">
        <f aca="false">Operations!CS48</f>
        <v>125.896157296543</v>
      </c>
      <c r="CT7" s="29" t="n">
        <f aca="false">Operations!CT48</f>
        <v>91.5804595753685</v>
      </c>
      <c r="CU7" s="29" t="n">
        <f aca="false">Operations!CU48</f>
        <v>87.3709623339191</v>
      </c>
      <c r="CV7" s="29" t="n">
        <f aca="false">Operations!CV48</f>
        <v>86.673422823051</v>
      </c>
      <c r="CW7" s="29" t="n">
        <f aca="false">Operations!CW48</f>
        <v>90.4030159970879</v>
      </c>
      <c r="CX7" s="29" t="n">
        <f aca="false">Operations!CX48</f>
        <v>89.0820261185741</v>
      </c>
      <c r="CY7" s="29" t="n">
        <f aca="false">Operations!CY48</f>
        <v>93.5368552077883</v>
      </c>
      <c r="CZ7" s="29" t="n">
        <f aca="false">Operations!CZ48</f>
        <v>92.1777942346027</v>
      </c>
      <c r="DA7" s="29" t="n">
        <f aca="false">Operations!DA48</f>
        <v>117.507083821186</v>
      </c>
      <c r="DB7" s="29" t="n">
        <f aca="false">Operations!DB48</f>
        <v>121.983902080668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45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22.5</v>
      </c>
      <c r="AE9" s="19" t="n">
        <f aca="false">Inputs!$F$213*IFERROR(INDEX(Inputs!$J$264:$K$264,MATCH(Time!AE13,Inputs!$J$263:$K$263,0)),0)</f>
        <v>22.5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19.1422523057775</v>
      </c>
      <c r="AA10" s="19" t="n">
        <f aca="false">(AA6+AA7+AA8+AA9)*(1-Time!AA20)</f>
        <v>30.2433488220497</v>
      </c>
      <c r="AB10" s="19" t="n">
        <f aca="false">(AB6+AB7+AB8+AB9)*(1-Time!AB20)</f>
        <v>15.9680921518066</v>
      </c>
      <c r="AC10" s="19" t="n">
        <f aca="false">(AC6+AC7+AC8+AC9)*(1-Time!AC20)</f>
        <v>19.8083426226349</v>
      </c>
      <c r="AD10" s="19" t="n">
        <f aca="false">(AD6+AD7+AD8+AD9)*(1-Time!AD20)</f>
        <v>40.505820723622</v>
      </c>
      <c r="AE10" s="19" t="n">
        <f aca="false">(AE6+AE7+AE8+AE9)*(1-Time!AE20)</f>
        <v>45.5650335069316</v>
      </c>
      <c r="AF10" s="19" t="n">
        <f aca="false">(AF6+AF7+AF8+AF9)*(1-Time!AF20)</f>
        <v>19.7110588731622</v>
      </c>
      <c r="AG10" s="19" t="n">
        <f aca="false">(AG6+AG7+AG8+AG9)*(1-Time!AG20)</f>
        <v>24.8127200956232</v>
      </c>
      <c r="AH10" s="19" t="n">
        <f aca="false">(AH6+AH7+AH8+AH9)*(1-Time!AH20)</f>
        <v>24.6930763855976</v>
      </c>
      <c r="AI10" s="19" t="n">
        <f aca="false">(AI6+AI7+AI8+AI9)*(1-Time!AI20)</f>
        <v>25.3575479901645</v>
      </c>
      <c r="AJ10" s="19" t="n">
        <f aca="false">(AJ6+AJ7+AJ8+AJ9)*(1-Time!AJ20)</f>
        <v>72.297759139989</v>
      </c>
      <c r="AK10" s="19" t="n">
        <f aca="false">(AK6+AK7+AK8+AK9)*(1-Time!AK20)</f>
        <v>34.0621311257348</v>
      </c>
      <c r="AL10" s="19" t="n">
        <f aca="false">(AL6+AL7+AL8+AL9)*(1-Time!AL20)</f>
        <v>33.7053197109686</v>
      </c>
      <c r="AM10" s="19" t="n">
        <f aca="false">(AM6+AM7+AM8+AM9)*(1-Time!AM20)</f>
        <v>36.60170748443</v>
      </c>
      <c r="AN10" s="19" t="n">
        <f aca="false">(AN6+AN7+AN8+AN9)*(1-Time!AN20)</f>
        <v>35.6574115938493</v>
      </c>
      <c r="AO10" s="19" t="n">
        <f aca="false">(AO6+AO7+AO8+AO9)*(1-Time!AO20)</f>
        <v>41.4541021839148</v>
      </c>
      <c r="AP10" s="19" t="n">
        <f aca="false">(AP6+AP7+AP8+AP9)*(1-Time!AP20)</f>
        <v>41.9053772617615</v>
      </c>
      <c r="AQ10" s="19" t="n">
        <f aca="false">(AQ6+AQ7+AQ8+AQ9)*(1-Time!AQ20)</f>
        <v>33.2086098971247</v>
      </c>
      <c r="AR10" s="19" t="n">
        <f aca="false">(AR6+AR7+AR8+AR9)*(1-Time!AR20)</f>
        <v>32.2664229327247</v>
      </c>
      <c r="AS10" s="19" t="n">
        <f aca="false">(AS6+AS7+AS8+AS9)*(1-Time!AS20)</f>
        <v>32.6673554404873</v>
      </c>
      <c r="AT10" s="19" t="n">
        <f aca="false">(AT6+AT7+AT8+AT9)*(1-Time!AT20)</f>
        <v>32.8432043594126</v>
      </c>
      <c r="AU10" s="19" t="n">
        <f aca="false">(AU6+AU7+AU8+AU9)*(1-Time!AU20)</f>
        <v>34.4655051397935</v>
      </c>
      <c r="AV10" s="19" t="n">
        <f aca="false">(AV6+AV7+AV8+AV9)*(1-Time!AV20)</f>
        <v>34.6526356060643</v>
      </c>
      <c r="AW10" s="19" t="n">
        <f aca="false">(AW6+AW7+AW8+AW9)*(1-Time!AW20)</f>
        <v>43.6141626388462</v>
      </c>
      <c r="AX10" s="19" t="n">
        <f aca="false">(AX6+AX7+AX8+AX9)*(1-Time!AX20)</f>
        <v>43.6761725196293</v>
      </c>
      <c r="AY10" s="19" t="n">
        <f aca="false">(AY6+AY7+AY8+AY9)*(1-Time!AY20)</f>
        <v>42.0638103585527</v>
      </c>
      <c r="AZ10" s="19" t="n">
        <f aca="false">(AZ6+AZ7+AZ8+AZ9)*(1-Time!AZ20)</f>
        <v>42.4339081472409</v>
      </c>
      <c r="BA10" s="19" t="n">
        <f aca="false">(BA6+BA7+BA8+BA9)*(1-Time!BA20)</f>
        <v>41.7472817853526</v>
      </c>
      <c r="BB10" s="19" t="n">
        <f aca="false">(BB6+BB7+BB8+BB9)*(1-Time!BB20)</f>
        <v>39.6482193769798</v>
      </c>
      <c r="BC10" s="19" t="n">
        <f aca="false">(BC6+BC7+BC8+BC9)*(1-Time!BC20)</f>
        <v>56.1527904209994</v>
      </c>
      <c r="BD10" s="19" t="n">
        <f aca="false">(BD6+BD7+BD8+BD9)*(1-Time!BD20)</f>
        <v>56.2273275719272</v>
      </c>
      <c r="BE10" s="19" t="n">
        <f aca="false">(BE6+BE7+BE8+BE9)*(1-Time!BE20)</f>
        <v>63.1594734825397</v>
      </c>
      <c r="BF10" s="19" t="n">
        <f aca="false">(BF6+BF7+BF8+BF9)*(1-Time!BF20)</f>
        <v>60.5068509332598</v>
      </c>
      <c r="BG10" s="19" t="n">
        <f aca="false">(BG6+BG7+BG8+BG9)*(1-Time!BG20)</f>
        <v>58.3210689181156</v>
      </c>
      <c r="BH10" s="19" t="n">
        <f aca="false">(BH6+BH7+BH8+BH9)*(1-Time!BH20)</f>
        <v>58.5042973907921</v>
      </c>
      <c r="BI10" s="19" t="n">
        <f aca="false">(BI6+BI7+BI8+BI9)*(1-Time!BI20)</f>
        <v>60.401996979779</v>
      </c>
      <c r="BJ10" s="19" t="n">
        <f aca="false">(BJ6+BJ7+BJ8+BJ9)*(1-Time!BJ20)</f>
        <v>60.2729756656549</v>
      </c>
      <c r="BK10" s="19" t="n">
        <f aca="false">(BK6+BK7+BK8+BK9)*(1-Time!BK20)</f>
        <v>62.5649417778169</v>
      </c>
      <c r="BL10" s="19" t="n">
        <f aca="false">(BL6+BL7+BL8+BL9)*(1-Time!BL20)</f>
        <v>62.4294618479714</v>
      </c>
      <c r="BM10" s="19" t="n">
        <f aca="false">(BM6+BM7+BM8+BM9)*(1-Time!BM20)</f>
        <v>64.8131206052633</v>
      </c>
      <c r="BN10" s="19" t="n">
        <f aca="false">(BN6+BN7+BN8+BN9)*(1-Time!BN20)</f>
        <v>64.6705048958496</v>
      </c>
      <c r="BO10" s="19" t="n">
        <f aca="false">(BO6+BO7+BO8+BO9)*(1-Time!BO20)</f>
        <v>47.7073675683716</v>
      </c>
      <c r="BP10" s="19" t="n">
        <f aca="false">(BP6+BP7+BP8+BP9)*(1-Time!BP20)</f>
        <v>47.9880660603619</v>
      </c>
      <c r="BQ10" s="19" t="n">
        <f aca="false">(BQ6+BQ7+BQ8+BQ9)*(1-Time!BQ20)</f>
        <v>50.2828058561231</v>
      </c>
      <c r="BR10" s="19" t="n">
        <f aca="false">(BR6+BR7+BR8+BR9)*(1-Time!BR20)</f>
        <v>49.6303915749486</v>
      </c>
      <c r="BS10" s="19" t="n">
        <f aca="false">(BS6+BS7+BS8+BS9)*(1-Time!BS20)</f>
        <v>52.298772442366</v>
      </c>
      <c r="BT10" s="19" t="n">
        <f aca="false">(BT6+BT7+BT8+BT9)*(1-Time!BT20)</f>
        <v>51.6209431642013</v>
      </c>
      <c r="BU10" s="19" t="n">
        <f aca="false">(BU6+BU7+BU8+BU9)*(1-Time!BU20)</f>
        <v>89.8424358926629</v>
      </c>
      <c r="BV10" s="19" t="n">
        <f aca="false">(BV6+BV7+BV8+BV9)*(1-Time!BV20)</f>
        <v>89.061924376185</v>
      </c>
      <c r="BW10" s="19" t="n">
        <f aca="false">(BW6+BW7+BW8+BW9)*(1-Time!BW20)</f>
        <v>78.5259161971874</v>
      </c>
      <c r="BX10" s="19" t="n">
        <f aca="false">(BX6+BX7+BX8+BX9)*(1-Time!BX20)</f>
        <v>75.2374861756489</v>
      </c>
      <c r="BY10" s="19" t="n">
        <f aca="false">(BY6+BY7+BY8+BY9)*(1-Time!BY20)</f>
        <v>77.6598171553233</v>
      </c>
      <c r="BZ10" s="19" t="n">
        <f aca="false">(BZ6+BZ7+BZ8+BZ9)*(1-Time!BZ20)</f>
        <v>76.8165912350313</v>
      </c>
      <c r="CA10" s="19" t="n">
        <f aca="false">(CA6+CA7+CA8+CA9)*(1-Time!CA20)</f>
        <v>67.1708358465255</v>
      </c>
      <c r="CB10" s="19" t="n">
        <f aca="false">(CB6+CB7+CB8+CB9)*(1-Time!CB20)</f>
        <v>66.3426510556007</v>
      </c>
      <c r="CC10" s="19" t="n">
        <f aca="false">(CC6+CC7+CC8+CC9)*(1-Time!CC20)</f>
        <v>69.399650533258</v>
      </c>
      <c r="CD10" s="19" t="n">
        <f aca="false">(CD6+CD7+CD8+CD9)*(1-Time!CD20)</f>
        <v>68.5402969452887</v>
      </c>
      <c r="CE10" s="19" t="n">
        <f aca="false">(CE6+CE7+CE8+CE9)*(1-Time!CE20)</f>
        <v>65.6050990698115</v>
      </c>
      <c r="CF10" s="19" t="n">
        <f aca="false">(CF6+CF7+CF8+CF9)*(1-Time!CF20)</f>
        <v>65.1900467059611</v>
      </c>
      <c r="CG10" s="19" t="n">
        <f aca="false">(CG6+CG7+CG8+CG9)*(1-Time!CG20)</f>
        <v>103.128821265406</v>
      </c>
      <c r="CH10" s="19" t="n">
        <f aca="false">(CH6+CH7+CH8+CH9)*(1-Time!CH20)</f>
        <v>79.4934471592548</v>
      </c>
      <c r="CI10" s="19" t="n">
        <f aca="false">(CI6+CI7+CI8+CI9)*(1-Time!CI20)</f>
        <v>82.8028169178667</v>
      </c>
      <c r="CJ10" s="19" t="n">
        <f aca="false">(CJ6+CJ7+CJ8+CJ9)*(1-Time!CJ20)</f>
        <v>81.8091872370815</v>
      </c>
      <c r="CK10" s="19" t="n">
        <f aca="false">(CK6+CK7+CK8+CK9)*(1-Time!CK20)</f>
        <v>102.375088413017</v>
      </c>
      <c r="CL10" s="19" t="n">
        <f aca="false">(CL6+CL7+CL8+CL9)*(1-Time!CL20)</f>
        <v>90.6020636347948</v>
      </c>
      <c r="CM10" s="19" t="n">
        <f aca="false">(CM6+CM7+CM8+CM9)*(1-Time!CM20)</f>
        <v>74.8831022611121</v>
      </c>
      <c r="CN10" s="19" t="n">
        <f aca="false">(CN6+CN7+CN8+CN9)*(1-Time!CN20)</f>
        <v>74.5712503087766</v>
      </c>
      <c r="CO10" s="19" t="n">
        <f aca="false">(CO6+CO7+CO8+CO9)*(1-Time!CO20)</f>
        <v>77.9017856002315</v>
      </c>
      <c r="CP10" s="19" t="n">
        <f aca="false">(CP6+CP7+CP8+CP9)*(1-Time!CP20)</f>
        <v>77.0471256016325</v>
      </c>
      <c r="CQ10" s="19" t="n">
        <f aca="false">(CQ6+CQ7+CQ8+CQ9)*(1-Time!CQ20)</f>
        <v>80.9825138268942</v>
      </c>
      <c r="CR10" s="19" t="n">
        <f aca="false">(CR6+CR7+CR8+CR9)*(1-Time!CR20)</f>
        <v>80.0559082041861</v>
      </c>
      <c r="CS10" s="19" t="n">
        <f aca="false">(CS6+CS7+CS8+CS9)*(1-Time!CS20)</f>
        <v>125.896157296543</v>
      </c>
      <c r="CT10" s="19" t="n">
        <f aca="false">(CT6+CT7+CT8+CT9)*(1-Time!CT20)</f>
        <v>91.5804595753685</v>
      </c>
      <c r="CU10" s="19" t="n">
        <f aca="false">(CU6+CU7+CU8+CU9)*(1-Time!CU20)</f>
        <v>87.3709623339191</v>
      </c>
      <c r="CV10" s="19" t="n">
        <f aca="false">(CV6+CV7+CV8+CV9)*(1-Time!CV20)</f>
        <v>86.673422823051</v>
      </c>
      <c r="CW10" s="19" t="n">
        <f aca="false">(CW6+CW7+CW8+CW9)*(1-Time!CW20)</f>
        <v>90.4030159970879</v>
      </c>
      <c r="CX10" s="19" t="n">
        <f aca="false">(CX6+CX7+CX8+CX9)*(1-Time!CX20)</f>
        <v>89.0820261185741</v>
      </c>
      <c r="CY10" s="19" t="n">
        <f aca="false">(CY6+CY7+CY8+CY9)*(1-Time!CY20)</f>
        <v>93.5368552077883</v>
      </c>
      <c r="CZ10" s="19" t="n">
        <f aca="false">(CZ6+CZ7+CZ8+CZ9)*(1-Time!CZ20)</f>
        <v>92.1777942346027</v>
      </c>
      <c r="DA10" s="19" t="n">
        <f aca="false">(DA6+DA7+DA8+DA9)*(1-Time!DA20)</f>
        <v>117.507083821186</v>
      </c>
      <c r="DB10" s="19" t="n">
        <f aca="false">(DB6+DB7+DB8+DB9)*(1-Time!DB20)</f>
        <v>121.983902080668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0</v>
      </c>
      <c r="CT12" s="19" t="n">
        <f aca="false">Debt!CT56+Debt!CT57</f>
        <v>0</v>
      </c>
      <c r="CU12" s="19" t="n">
        <f aca="false">Debt!CU56+Debt!CU57</f>
        <v>0</v>
      </c>
      <c r="CV12" s="19" t="n">
        <f aca="false">Debt!CV56+Debt!CV57</f>
        <v>0</v>
      </c>
      <c r="CW12" s="19" t="n">
        <f aca="false">Debt!CW56+Debt!CW57</f>
        <v>0</v>
      </c>
      <c r="CX12" s="19" t="n">
        <f aca="false">Debt!CX56+Debt!CX57</f>
        <v>0</v>
      </c>
      <c r="CY12" s="19" t="n">
        <f aca="false">Debt!CY56+Debt!CY57</f>
        <v>0</v>
      </c>
      <c r="CZ12" s="19" t="n">
        <f aca="false">Debt!CZ56+Debt!CZ57</f>
        <v>0</v>
      </c>
      <c r="DA12" s="19" t="n">
        <f aca="false">Debt!DA56+Debt!DA57</f>
        <v>0</v>
      </c>
      <c r="DB12" s="19" t="n">
        <f aca="false">Debt!DB56+Debt!DB57</f>
        <v>0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1167.17054475664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12.5766150811783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23.916137022975</v>
      </c>
      <c r="AF13" s="19" t="n">
        <f aca="false">(Debt!AF65+Debt!AF64+AF12+Debt!AF67)*(1-Time!AF20)</f>
        <v>25.3052448081465</v>
      </c>
      <c r="AG13" s="19" t="n">
        <f aca="false">(Debt!AG65+Debt!AG64+AG12+Debt!AG67)*(1-Time!AG20)</f>
        <v>24.5974738346671</v>
      </c>
      <c r="AH13" s="19" t="n">
        <f aca="false">(Debt!AH65+Debt!AH64+AH12+Debt!AH67)*(1-Time!AH20)</f>
        <v>24.3834250636284</v>
      </c>
      <c r="AI13" s="19" t="n">
        <f aca="false">(Debt!AI65+Debt!AI64+AI12+Debt!AI67)*(1-Time!AI20)</f>
        <v>24.5974738346671</v>
      </c>
      <c r="AJ13" s="19" t="n">
        <f aca="false">(Debt!AJ65+Debt!AJ64+AJ12+Debt!AJ67)*(1-Time!AJ20)</f>
        <v>15.6806256309938</v>
      </c>
      <c r="AK13" s="19" t="n">
        <f aca="false">(Debt!AK65+Debt!AK64+AK12+Debt!AK67)*(1-Time!AK20)</f>
        <v>15.1586851555492</v>
      </c>
      <c r="AL13" s="19" t="n">
        <f aca="false">(Debt!AL65+Debt!AL64+AL12+Debt!AL67)*(1-Time!AL20)</f>
        <v>14.9110114783675</v>
      </c>
      <c r="AM13" s="19" t="n">
        <f aca="false">(Debt!AM65+Debt!AM64+AM12+Debt!AM67)*(1-Time!AM20)</f>
        <v>14.6682262090177</v>
      </c>
      <c r="AN13" s="19" t="n">
        <f aca="false">(Debt!AN65+Debt!AN64+AN12+Debt!AN67)*(1-Time!AN20)</f>
        <v>14.385478810572</v>
      </c>
      <c r="AO13" s="19" t="n">
        <f aca="false">(Debt!AO65+Debt!AO64+AO12+Debt!AO67)*(1-Time!AO20)</f>
        <v>14.110656638255</v>
      </c>
      <c r="AP13" s="19" t="n">
        <f aca="false">(Debt!AP65+Debt!AP64+AP12+Debt!AP67)*(1-Time!AP20)</f>
        <v>13.8625663548997</v>
      </c>
      <c r="AQ13" s="19" t="n">
        <f aca="false">(Debt!AQ65+Debt!AQ64+AQ12+Debt!AQ67)*(1-Time!AQ20)</f>
        <v>13.3938518045749</v>
      </c>
      <c r="AR13" s="19" t="n">
        <f aca="false">(Debt!AR65+Debt!AR64+AR12+Debt!AR67)*(1-Time!AR20)</f>
        <v>13.1365807724101</v>
      </c>
      <c r="AS13" s="19" t="n">
        <f aca="false">(Debt!AS65+Debt!AS64+AS12+Debt!AS67)*(1-Time!AS20)</f>
        <v>12.8893950792059</v>
      </c>
      <c r="AT13" s="19" t="n">
        <f aca="false">(Debt!AT65+Debt!AT64+AT12+Debt!AT67)*(1-Time!AT20)</f>
        <v>12.6340744670113</v>
      </c>
      <c r="AU13" s="19" t="n">
        <f aca="false">(Debt!AU65+Debt!AU64+AU12+Debt!AU67)*(1-Time!AU20)</f>
        <v>12.3731527230777</v>
      </c>
      <c r="AV13" s="19" t="n">
        <f aca="false">(Debt!AV65+Debt!AV64+AV12+Debt!AV67)*(1-Time!AV20)</f>
        <v>12.0881484775294</v>
      </c>
      <c r="AW13" s="19" t="n">
        <f aca="false">(Debt!AW65+Debt!AW64+AW12+Debt!AW67)*(1-Time!AW20)</f>
        <v>12.5553208018115</v>
      </c>
      <c r="AX13" s="19" t="n">
        <f aca="false">(Debt!AX65+Debt!AX64+AX12+Debt!AX67)*(1-Time!AX20)</f>
        <v>12.1793812082062</v>
      </c>
      <c r="AY13" s="19" t="n">
        <f aca="false">(Debt!AY65+Debt!AY64+AY12+Debt!AY67)*(1-Time!AY20)</f>
        <v>11.5720966172827</v>
      </c>
      <c r="AZ13" s="19" t="n">
        <f aca="false">(Debt!AZ65+Debt!AZ64+AZ12+Debt!AZ67)*(1-Time!AZ20)</f>
        <v>11.7114912828429</v>
      </c>
      <c r="BA13" s="19" t="n">
        <f aca="false">(Debt!BA65+Debt!BA64+BA12+Debt!BA67)*(1-Time!BA20)</f>
        <v>11.4570860605091</v>
      </c>
      <c r="BB13" s="19" t="n">
        <f aca="false">(Debt!BB65+Debt!BB64+BB12+Debt!BB67)*(1-Time!BB20)</f>
        <v>11.3510485655242</v>
      </c>
      <c r="BC13" s="19" t="n">
        <f aca="false">(Debt!BC65+Debt!BC64+BC12+Debt!BC67)*(1-Time!BC20)</f>
        <v>16.8786094469065</v>
      </c>
      <c r="BD13" s="19" t="n">
        <f aca="false">(Debt!BD65+Debt!BD64+BD12+Debt!BD67)*(1-Time!BD20)</f>
        <v>16.9066833277643</v>
      </c>
      <c r="BE13" s="19" t="n">
        <f aca="false">(Debt!BE65+Debt!BE64+BE12+Debt!BE67)*(1-Time!BE20)</f>
        <v>19.517626138986</v>
      </c>
      <c r="BF13" s="19" t="n">
        <f aca="false">(Debt!BF65+Debt!BF64+BF12+Debt!BF67)*(1-Time!BF20)</f>
        <v>18.5219096599766</v>
      </c>
      <c r="BG13" s="19" t="n">
        <f aca="false">(Debt!BG65+Debt!BG64+BG12+Debt!BG67)*(1-Time!BG20)</f>
        <v>17.6893224738622</v>
      </c>
      <c r="BH13" s="19" t="n">
        <f aca="false">(Debt!BH65+Debt!BH64+BH12+Debt!BH67)*(1-Time!BH20)</f>
        <v>17.7575361181156</v>
      </c>
      <c r="BI13" s="19" t="n">
        <f aca="false">(Debt!BI65+Debt!BI64+BI12+Debt!BI67)*(1-Time!BI20)</f>
        <v>18.4721937144345</v>
      </c>
      <c r="BJ13" s="19" t="n">
        <f aca="false">(Debt!BJ65+Debt!BJ64+BJ12+Debt!BJ67)*(1-Time!BJ20)</f>
        <v>18.4236018934347</v>
      </c>
      <c r="BK13" s="19" t="n">
        <f aca="false">(Debt!BK65+Debt!BK64+BK12+Debt!BK67)*(1-Time!BK20)</f>
        <v>19.2867128247027</v>
      </c>
      <c r="BL13" s="19" t="n">
        <f aca="false">(Debt!BL65+Debt!BL64+BL12+Debt!BL67)*(1-Time!BL20)</f>
        <v>19.2356884689183</v>
      </c>
      <c r="BM13" s="19" t="n">
        <f aca="false">(Debt!BM65+Debt!BM64+BM12+Debt!BM67)*(1-Time!BM20)</f>
        <v>20.1333322256871</v>
      </c>
      <c r="BN13" s="19" t="n">
        <f aca="false">(Debt!BN65+Debt!BN64+BN12+Debt!BN67)*(1-Time!BN20)</f>
        <v>20.0796202872474</v>
      </c>
      <c r="BO13" s="19" t="n">
        <f aca="false">(Debt!BO65+Debt!BO64+BO12+Debt!BO67)*(1-Time!BO20)</f>
        <v>13.6904300975535</v>
      </c>
      <c r="BP13" s="19" t="n">
        <f aca="false">(Debt!BP65+Debt!BP64+BP12+Debt!BP67)*(1-Time!BP20)</f>
        <v>13.7961115623589</v>
      </c>
      <c r="BQ13" s="19" t="n">
        <f aca="false">(Debt!BQ65+Debt!BQ64+BQ12+Debt!BQ67)*(1-Time!BQ20)</f>
        <v>14.6603042962663</v>
      </c>
      <c r="BR13" s="19" t="n">
        <f aca="false">(Debt!BR65+Debt!BR64+BR12+Debt!BR67)*(1-Time!BR20)</f>
        <v>14.414646185861</v>
      </c>
      <c r="BS13" s="19" t="n">
        <f aca="false">(Debt!BS65+Debt!BS64+BS12+Debt!BS67)*(1-Time!BS20)</f>
        <v>15.4195292330906</v>
      </c>
      <c r="BT13" s="19" t="n">
        <f aca="false">(Debt!BT65+Debt!BT64+BT12+Debt!BT67)*(1-Time!BT20)</f>
        <v>15.1642993684354</v>
      </c>
      <c r="BU13" s="19" t="n">
        <f aca="false">(Debt!BU65+Debt!BU64+BU12+Debt!BU67)*(1-Time!BU20)</f>
        <v>29.5555562441525</v>
      </c>
      <c r="BV13" s="19" t="n">
        <f aca="false">(Debt!BV65+Debt!BV64+BV12+Debt!BV67)*(1-Time!BV20)</f>
        <v>29.2616793395216</v>
      </c>
      <c r="BW13" s="19" t="n">
        <f aca="false">(Debt!BW65+Debt!BW64+BW12+Debt!BW67)*(1-Time!BW20)</f>
        <v>25.3065129922234</v>
      </c>
      <c r="BX13" s="19" t="n">
        <f aca="false">(Debt!BX65+Debt!BX64+BX12+Debt!BX67)*(1-Time!BX20)</f>
        <v>24.0591041394794</v>
      </c>
      <c r="BY13" s="19" t="n">
        <f aca="false">(Debt!BY65+Debt!BY64+BY12+Debt!BY67)*(1-Time!BY20)</f>
        <v>24.9713569004454</v>
      </c>
      <c r="BZ13" s="19" t="n">
        <f aca="false">(Debt!BZ65+Debt!BZ64+BZ12+Debt!BZ67)*(1-Time!BZ20)</f>
        <v>24.6538334797176</v>
      </c>
      <c r="CA13" s="19" t="n">
        <f aca="false">(Debt!CA65+Debt!CA64+CA12+Debt!CA67)*(1-Time!CA20)</f>
        <v>21.0206805975144</v>
      </c>
      <c r="CB13" s="19" t="n">
        <f aca="false">(Debt!CB65+Debt!CB64+CB12+Debt!CB67)*(1-Time!CB20)</f>
        <v>20.7088229537122</v>
      </c>
      <c r="CC13" s="19" t="n">
        <f aca="false">(Debt!CC65+Debt!CC64+CC12+Debt!CC67)*(1-Time!CC20)</f>
        <v>21.8522281207937</v>
      </c>
      <c r="CD13" s="19" t="n">
        <f aca="false">(Debt!CD65+Debt!CD64+CD12+Debt!CD67)*(1-Time!CD20)</f>
        <v>21.5278284680037</v>
      </c>
      <c r="CE13" s="19" t="n">
        <f aca="false">(Debt!CE65+Debt!CE64+CE12+Debt!CE67)*(1-Time!CE20)</f>
        <v>20.4220047368325</v>
      </c>
      <c r="CF13" s="19" t="n">
        <f aca="false">(Debt!CF65+Debt!CF64+CF12+Debt!CF67)*(1-Time!CF20)</f>
        <v>20.2657287752789</v>
      </c>
      <c r="CG13" s="19" t="n">
        <f aca="false">(Debt!CG65+Debt!CG64+CG12+Debt!CG67)*(1-Time!CG20)</f>
        <v>34.5548860129424</v>
      </c>
      <c r="CH13" s="19" t="n">
        <f aca="false">(Debt!CH65+Debt!CH64+CH12+Debt!CH67)*(1-Time!CH20)</f>
        <v>25.6529409631527</v>
      </c>
      <c r="CI13" s="19" t="n">
        <f aca="false">(Debt!CI65+Debt!CI64+CI12+Debt!CI67)*(1-Time!CI20)</f>
        <v>26.8990831680418</v>
      </c>
      <c r="CJ13" s="19" t="n">
        <f aca="false">(Debt!CJ65+Debt!CJ64+CJ12+Debt!CJ67)*(1-Time!CJ20)</f>
        <v>6.41963480870637</v>
      </c>
      <c r="CK13" s="19" t="n">
        <f aca="false">(Debt!CK65+Debt!CK64+CK12+Debt!CK67)*(1-Time!CK20)</f>
        <v>0</v>
      </c>
      <c r="CL13" s="19" t="n">
        <f aca="false">(Debt!CL65+Debt!CL64+CL12+Debt!CL67)*(1-Time!CL20)</f>
        <v>0</v>
      </c>
      <c r="CM13" s="19" t="n">
        <f aca="false">(Debt!CM65+Debt!CM64+CM12+Debt!CM67)*(1-Time!CM20)</f>
        <v>0</v>
      </c>
      <c r="CN13" s="19" t="n">
        <f aca="false">(Debt!CN65+Debt!CN64+CN12+Debt!CN67)*(1-Time!CN20)</f>
        <v>0</v>
      </c>
      <c r="CO13" s="19" t="n">
        <f aca="false">(Debt!CO65+Debt!CO64+CO12+Debt!CO67)*(1-Time!CO20)</f>
        <v>0</v>
      </c>
      <c r="CP13" s="19" t="n">
        <f aca="false">(Debt!CP65+Debt!CP64+CP12+Debt!CP67)*(1-Time!CP20)</f>
        <v>0</v>
      </c>
      <c r="CQ13" s="19" t="n">
        <f aca="false">(Debt!CQ65+Debt!CQ64+CQ12+Debt!CQ67)*(1-Time!CQ20)</f>
        <v>0</v>
      </c>
      <c r="CR13" s="19" t="n">
        <f aca="false">(Debt!CR65+Debt!CR64+CR12+Debt!CR67)*(1-Time!CR20)</f>
        <v>0</v>
      </c>
      <c r="CS13" s="19" t="n">
        <f aca="false">(Debt!CS65+Debt!CS64+CS12+Debt!CS67)*(1-Time!CS20)</f>
        <v>0</v>
      </c>
      <c r="CT13" s="19" t="n">
        <f aca="false">(Debt!CT65+Debt!CT64+CT12+Debt!CT67)*(1-Time!CT20)</f>
        <v>0</v>
      </c>
      <c r="CU13" s="19" t="n">
        <f aca="false">(Debt!CU65+Debt!CU64+CU12+Debt!CU67)*(1-Time!CU20)</f>
        <v>0</v>
      </c>
      <c r="CV13" s="19" t="n">
        <f aca="false">(Debt!CV65+Debt!CV64+CV12+Debt!CV67)*(1-Time!CV20)</f>
        <v>0</v>
      </c>
      <c r="CW13" s="19" t="n">
        <f aca="false">(Debt!CW65+Debt!CW64+CW12+Debt!CW67)*(1-Time!CW20)</f>
        <v>0</v>
      </c>
      <c r="CX13" s="19" t="n">
        <f aca="false">(Debt!CX65+Debt!CX64+CX12+Debt!CX67)*(1-Time!CX20)</f>
        <v>0</v>
      </c>
      <c r="CY13" s="19" t="n">
        <f aca="false">(Debt!CY65+Debt!CY64+CY12+Debt!CY67)*(1-Time!CY20)</f>
        <v>0</v>
      </c>
      <c r="CZ13" s="19" t="n">
        <f aca="false">(Debt!CZ65+Debt!CZ64+CZ12+Debt!CZ67)*(1-Time!CZ20)</f>
        <v>0</v>
      </c>
      <c r="DA13" s="19" t="n">
        <f aca="false">(Debt!DA65+Debt!DA64+DA12+Debt!DA67)*(1-Time!DA20)</f>
        <v>0</v>
      </c>
      <c r="DB13" s="19" t="n">
        <f aca="false">(Debt!DB65+Debt!DB64+DB12+Debt!DB67)*(1-Time!DB20)</f>
        <v>0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1167.17054475664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12.5766150811783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23.916137022975</v>
      </c>
      <c r="AF14" s="19" t="n">
        <f aca="false">MIN(AF13,MAX(0,AF10)+Reserves!AF8)*(1-Time!AF20)</f>
        <v>25.3052448081465</v>
      </c>
      <c r="AG14" s="19" t="n">
        <f aca="false">MIN(AG13,MAX(0,AG10)+Reserves!AG8)*(1-Time!AG20)</f>
        <v>24.5974738346671</v>
      </c>
      <c r="AH14" s="19" t="n">
        <f aca="false">MIN(AH13,MAX(0,AH10)+Reserves!AH8)*(1-Time!AH20)</f>
        <v>24.3834250636284</v>
      </c>
      <c r="AI14" s="19" t="n">
        <f aca="false">MIN(AI13,MAX(0,AI10)+Reserves!AI8)*(1-Time!AI20)</f>
        <v>24.5974738346671</v>
      </c>
      <c r="AJ14" s="19" t="n">
        <f aca="false">MIN(AJ13,MAX(0,AJ10)+Reserves!AJ8)*(1-Time!AJ20)</f>
        <v>15.6806256309938</v>
      </c>
      <c r="AK14" s="19" t="n">
        <f aca="false">MIN(AK13,MAX(0,AK10)+Reserves!AK8)*(1-Time!AK20)</f>
        <v>15.1586851555492</v>
      </c>
      <c r="AL14" s="19" t="n">
        <f aca="false">MIN(AL13,MAX(0,AL10)+Reserves!AL8)*(1-Time!AL20)</f>
        <v>14.9110114783675</v>
      </c>
      <c r="AM14" s="19" t="n">
        <f aca="false">MIN(AM13,MAX(0,AM10)+Reserves!AM8)*(1-Time!AM20)</f>
        <v>14.6682262090177</v>
      </c>
      <c r="AN14" s="19" t="n">
        <f aca="false">MIN(AN13,MAX(0,AN10)+Reserves!AN8)*(1-Time!AN20)</f>
        <v>14.385478810572</v>
      </c>
      <c r="AO14" s="19" t="n">
        <f aca="false">MIN(AO13,MAX(0,AO10)+Reserves!AO8)*(1-Time!AO20)</f>
        <v>14.110656638255</v>
      </c>
      <c r="AP14" s="19" t="n">
        <f aca="false">MIN(AP13,MAX(0,AP10)+Reserves!AP8)*(1-Time!AP20)</f>
        <v>13.8625663548997</v>
      </c>
      <c r="AQ14" s="19" t="n">
        <f aca="false">MIN(AQ13,MAX(0,AQ10)+Reserves!AQ8)*(1-Time!AQ20)</f>
        <v>13.3938518045749</v>
      </c>
      <c r="AR14" s="19" t="n">
        <f aca="false">MIN(AR13,MAX(0,AR10)+Reserves!AR8)*(1-Time!AR20)</f>
        <v>13.1365807724101</v>
      </c>
      <c r="AS14" s="19" t="n">
        <f aca="false">MIN(AS13,MAX(0,AS10)+Reserves!AS8)*(1-Time!AS20)</f>
        <v>12.8893950792059</v>
      </c>
      <c r="AT14" s="19" t="n">
        <f aca="false">MIN(AT13,MAX(0,AT10)+Reserves!AT8)*(1-Time!AT20)</f>
        <v>12.6340744670113</v>
      </c>
      <c r="AU14" s="19" t="n">
        <f aca="false">MIN(AU13,MAX(0,AU10)+Reserves!AU8)*(1-Time!AU20)</f>
        <v>12.3731527230777</v>
      </c>
      <c r="AV14" s="19" t="n">
        <f aca="false">MIN(AV13,MAX(0,AV10)+Reserves!AV8)*(1-Time!AV20)</f>
        <v>12.0881484775294</v>
      </c>
      <c r="AW14" s="19" t="n">
        <f aca="false">MIN(AW13,MAX(0,AW10)+Reserves!AW8)*(1-Time!AW20)</f>
        <v>12.5553208018115</v>
      </c>
      <c r="AX14" s="19" t="n">
        <f aca="false">MIN(AX13,MAX(0,AX10)+Reserves!AX8)*(1-Time!AX20)</f>
        <v>12.1793812082062</v>
      </c>
      <c r="AY14" s="19" t="n">
        <f aca="false">MIN(AY13,MAX(0,AY10)+Reserves!AY8)*(1-Time!AY20)</f>
        <v>11.5720966172827</v>
      </c>
      <c r="AZ14" s="19" t="n">
        <f aca="false">MIN(AZ13,MAX(0,AZ10)+Reserves!AZ8)*(1-Time!AZ20)</f>
        <v>11.7114912828429</v>
      </c>
      <c r="BA14" s="19" t="n">
        <f aca="false">MIN(BA13,MAX(0,BA10)+Reserves!BA8)*(1-Time!BA20)</f>
        <v>11.4570860605091</v>
      </c>
      <c r="BB14" s="19" t="n">
        <f aca="false">MIN(BB13,MAX(0,BB10)+Reserves!BB8)*(1-Time!BB20)</f>
        <v>11.3510485655242</v>
      </c>
      <c r="BC14" s="19" t="n">
        <f aca="false">MIN(BC13,MAX(0,BC10)+Reserves!BC8)*(1-Time!BC20)</f>
        <v>16.8786094469065</v>
      </c>
      <c r="BD14" s="19" t="n">
        <f aca="false">MIN(BD13,MAX(0,BD10)+Reserves!BD8)*(1-Time!BD20)</f>
        <v>16.9066833277643</v>
      </c>
      <c r="BE14" s="19" t="n">
        <f aca="false">MIN(BE13,MAX(0,BE10)+Reserves!BE8)*(1-Time!BE20)</f>
        <v>19.517626138986</v>
      </c>
      <c r="BF14" s="19" t="n">
        <f aca="false">MIN(BF13,MAX(0,BF10)+Reserves!BF8)*(1-Time!BF20)</f>
        <v>18.5219096599766</v>
      </c>
      <c r="BG14" s="19" t="n">
        <f aca="false">MIN(BG13,MAX(0,BG10)+Reserves!BG8)*(1-Time!BG20)</f>
        <v>17.6893224738622</v>
      </c>
      <c r="BH14" s="19" t="n">
        <f aca="false">MIN(BH13,MAX(0,BH10)+Reserves!BH8)*(1-Time!BH20)</f>
        <v>17.7575361181156</v>
      </c>
      <c r="BI14" s="19" t="n">
        <f aca="false">MIN(BI13,MAX(0,BI10)+Reserves!BI8)*(1-Time!BI20)</f>
        <v>18.4721937144345</v>
      </c>
      <c r="BJ14" s="19" t="n">
        <f aca="false">MIN(BJ13,MAX(0,BJ10)+Reserves!BJ8)*(1-Time!BJ20)</f>
        <v>18.4236018934347</v>
      </c>
      <c r="BK14" s="19" t="n">
        <f aca="false">MIN(BK13,MAX(0,BK10)+Reserves!BK8)*(1-Time!BK20)</f>
        <v>19.2867128247027</v>
      </c>
      <c r="BL14" s="19" t="n">
        <f aca="false">MIN(BL13,MAX(0,BL10)+Reserves!BL8)*(1-Time!BL20)</f>
        <v>19.2356884689183</v>
      </c>
      <c r="BM14" s="19" t="n">
        <f aca="false">MIN(BM13,MAX(0,BM10)+Reserves!BM8)*(1-Time!BM20)</f>
        <v>20.1333322256871</v>
      </c>
      <c r="BN14" s="19" t="n">
        <f aca="false">MIN(BN13,MAX(0,BN10)+Reserves!BN8)*(1-Time!BN20)</f>
        <v>20.0796202872474</v>
      </c>
      <c r="BO14" s="19" t="n">
        <f aca="false">MIN(BO13,MAX(0,BO10)+Reserves!BO8)*(1-Time!BO20)</f>
        <v>13.6904300975535</v>
      </c>
      <c r="BP14" s="19" t="n">
        <f aca="false">MIN(BP13,MAX(0,BP10)+Reserves!BP8)*(1-Time!BP20)</f>
        <v>13.7961115623589</v>
      </c>
      <c r="BQ14" s="19" t="n">
        <f aca="false">MIN(BQ13,MAX(0,BQ10)+Reserves!BQ8)*(1-Time!BQ20)</f>
        <v>14.6603042962663</v>
      </c>
      <c r="BR14" s="19" t="n">
        <f aca="false">MIN(BR13,MAX(0,BR10)+Reserves!BR8)*(1-Time!BR20)</f>
        <v>14.414646185861</v>
      </c>
      <c r="BS14" s="19" t="n">
        <f aca="false">MIN(BS13,MAX(0,BS10)+Reserves!BS8)*(1-Time!BS20)</f>
        <v>15.4195292330906</v>
      </c>
      <c r="BT14" s="19" t="n">
        <f aca="false">MIN(BT13,MAX(0,BT10)+Reserves!BT8)*(1-Time!BT20)</f>
        <v>15.1642993684354</v>
      </c>
      <c r="BU14" s="19" t="n">
        <f aca="false">MIN(BU13,MAX(0,BU10)+Reserves!BU8)*(1-Time!BU20)</f>
        <v>29.5555562441525</v>
      </c>
      <c r="BV14" s="19" t="n">
        <f aca="false">MIN(BV13,MAX(0,BV10)+Reserves!BV8)*(1-Time!BV20)</f>
        <v>29.2616793395216</v>
      </c>
      <c r="BW14" s="19" t="n">
        <f aca="false">MIN(BW13,MAX(0,BW10)+Reserves!BW8)*(1-Time!BW20)</f>
        <v>25.3065129922234</v>
      </c>
      <c r="BX14" s="19" t="n">
        <f aca="false">MIN(BX13,MAX(0,BX10)+Reserves!BX8)*(1-Time!BX20)</f>
        <v>24.0591041394794</v>
      </c>
      <c r="BY14" s="19" t="n">
        <f aca="false">MIN(BY13,MAX(0,BY10)+Reserves!BY8)*(1-Time!BY20)</f>
        <v>24.9713569004454</v>
      </c>
      <c r="BZ14" s="19" t="n">
        <f aca="false">MIN(BZ13,MAX(0,BZ10)+Reserves!BZ8)*(1-Time!BZ20)</f>
        <v>24.6538334797176</v>
      </c>
      <c r="CA14" s="19" t="n">
        <f aca="false">MIN(CA13,MAX(0,CA10)+Reserves!CA8)*(1-Time!CA20)</f>
        <v>21.0206805975144</v>
      </c>
      <c r="CB14" s="19" t="n">
        <f aca="false">MIN(CB13,MAX(0,CB10)+Reserves!CB8)*(1-Time!CB20)</f>
        <v>20.7088229537122</v>
      </c>
      <c r="CC14" s="19" t="n">
        <f aca="false">MIN(CC13,MAX(0,CC10)+Reserves!CC8)*(1-Time!CC20)</f>
        <v>21.8522281207937</v>
      </c>
      <c r="CD14" s="19" t="n">
        <f aca="false">MIN(CD13,MAX(0,CD10)+Reserves!CD8)*(1-Time!CD20)</f>
        <v>21.5278284680037</v>
      </c>
      <c r="CE14" s="19" t="n">
        <f aca="false">MIN(CE13,MAX(0,CE10)+Reserves!CE8)*(1-Time!CE20)</f>
        <v>20.4220047368325</v>
      </c>
      <c r="CF14" s="19" t="n">
        <f aca="false">MIN(CF13,MAX(0,CF10)+Reserves!CF8)*(1-Time!CF20)</f>
        <v>20.2657287752789</v>
      </c>
      <c r="CG14" s="19" t="n">
        <f aca="false">MIN(CG13,MAX(0,CG10)+Reserves!CG8)*(1-Time!CG20)</f>
        <v>34.5548860129424</v>
      </c>
      <c r="CH14" s="19" t="n">
        <f aca="false">MIN(CH13,MAX(0,CH10)+Reserves!CH8)*(1-Time!CH20)</f>
        <v>25.6529409631527</v>
      </c>
      <c r="CI14" s="19" t="n">
        <f aca="false">MIN(CI13,MAX(0,CI10)+Reserves!CI8)*(1-Time!CI20)</f>
        <v>26.8990831680418</v>
      </c>
      <c r="CJ14" s="19" t="n">
        <f aca="false">MIN(CJ13,MAX(0,CJ10)+Reserves!CJ8)*(1-Time!CJ20)</f>
        <v>6.41963480870637</v>
      </c>
      <c r="CK14" s="19" t="n">
        <f aca="false">MIN(CK13,MAX(0,CK10)+Reserves!CK8)*(1-Time!CK20)</f>
        <v>0</v>
      </c>
      <c r="CL14" s="19" t="n">
        <f aca="false">MIN(CL13,MAX(0,CL10)+Reserves!CL8)*(1-Time!CL20)</f>
        <v>0</v>
      </c>
      <c r="CM14" s="19" t="n">
        <f aca="false">MIN(CM13,MAX(0,CM10)+Reserves!CM8)*(1-Time!CM20)</f>
        <v>0</v>
      </c>
      <c r="CN14" s="19" t="n">
        <f aca="false">MIN(CN13,MAX(0,CN10)+Reserves!CN8)*(1-Time!CN20)</f>
        <v>0</v>
      </c>
      <c r="CO14" s="19" t="n">
        <f aca="false">MIN(CO13,MAX(0,CO10)+Reserves!CO8)*(1-Time!CO20)</f>
        <v>0</v>
      </c>
      <c r="CP14" s="19" t="n">
        <f aca="false">MIN(CP13,MAX(0,CP10)+Reserves!CP8)*(1-Time!CP20)</f>
        <v>0</v>
      </c>
      <c r="CQ14" s="19" t="n">
        <f aca="false">MIN(CQ13,MAX(0,CQ10)+Reserves!CQ8)*(1-Time!CQ20)</f>
        <v>0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2.85890372453753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0.924089424657532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1.93481429988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716.872772566608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23.916137022975</v>
      </c>
      <c r="AF16" s="19" t="n">
        <f aca="false">MIN(Debt!AF64+AF12,AF14-AF15)</f>
        <v>23.3704305082665</v>
      </c>
      <c r="AG16" s="19" t="n">
        <f aca="false">MIN(Debt!AG64+AG12,AG14-AG15)</f>
        <v>24.5974738346671</v>
      </c>
      <c r="AH16" s="19" t="n">
        <f aca="false">MIN(Debt!AH64+AH12,AH14-AH15)</f>
        <v>24.3834250636284</v>
      </c>
      <c r="AI16" s="19" t="n">
        <f aca="false">MIN(Debt!AI64+AI12,AI14-AI15)</f>
        <v>24.5974738346671</v>
      </c>
      <c r="AJ16" s="19" t="n">
        <f aca="false">MIN(Debt!AJ64+AJ12,AJ14-AJ15)</f>
        <v>15.6806256309938</v>
      </c>
      <c r="AK16" s="19" t="n">
        <f aca="false">MIN(Debt!AK64+AK12,AK14-AK15)</f>
        <v>15.1586851555492</v>
      </c>
      <c r="AL16" s="19" t="n">
        <f aca="false">MIN(Debt!AL64+AL12,AL14-AL15)</f>
        <v>14.9110114783675</v>
      </c>
      <c r="AM16" s="19" t="n">
        <f aca="false">MIN(Debt!AM64+AM12,AM14-AM15)</f>
        <v>14.6682262090177</v>
      </c>
      <c r="AN16" s="19" t="n">
        <f aca="false">MIN(Debt!AN64+AN12,AN14-AN15)</f>
        <v>14.385478810572</v>
      </c>
      <c r="AO16" s="19" t="n">
        <f aca="false">MIN(Debt!AO64+AO12,AO14-AO15)</f>
        <v>14.110656638255</v>
      </c>
      <c r="AP16" s="19" t="n">
        <f aca="false">MIN(Debt!AP64+AP12,AP14-AP15)</f>
        <v>13.7598335678853</v>
      </c>
      <c r="AQ16" s="19" t="n">
        <f aca="false">MIN(Debt!AQ64+AQ12,AQ14-AQ15)</f>
        <v>13.3938518045749</v>
      </c>
      <c r="AR16" s="19" t="n">
        <f aca="false">MIN(Debt!AR64+AR12,AR14-AR15)</f>
        <v>13.1365807724101</v>
      </c>
      <c r="AS16" s="19" t="n">
        <f aca="false">MIN(Debt!AS64+AS12,AS14-AS15)</f>
        <v>12.8893950792059</v>
      </c>
      <c r="AT16" s="19" t="n">
        <f aca="false">MIN(Debt!AT64+AT12,AT14-AT15)</f>
        <v>12.6340744670113</v>
      </c>
      <c r="AU16" s="19" t="n">
        <f aca="false">MIN(Debt!AU64+AU12,AU14-AU15)</f>
        <v>12.3731527230777</v>
      </c>
      <c r="AV16" s="19" t="n">
        <f aca="false">MIN(Debt!AV64+AV12,AV14-AV15)</f>
        <v>12.0881484775294</v>
      </c>
      <c r="AW16" s="19" t="n">
        <f aca="false">MIN(Debt!AW64+AW12,AW14-AW15)</f>
        <v>11.8063666282231</v>
      </c>
      <c r="AX16" s="19" t="n">
        <f aca="false">MIN(Debt!AX64+AX12,AX14-AX15)</f>
        <v>11.3879731283746</v>
      </c>
      <c r="AY16" s="19" t="n">
        <f aca="false">MIN(Debt!AY64+AY12,AY14-AY15)</f>
        <v>11.3677922223389</v>
      </c>
      <c r="AZ16" s="19" t="n">
        <f aca="false">MIN(Debt!AZ64+AZ12,AZ14-AZ15)</f>
        <v>11.3625824602679</v>
      </c>
      <c r="BA16" s="19" t="n">
        <f aca="false">MIN(Debt!BA64+BA12,BA14-BA15)</f>
        <v>11.3536852852922</v>
      </c>
      <c r="BB16" s="19" t="n">
        <f aca="false">MIN(Debt!BB64+BB12,BB14-BB15)</f>
        <v>11.3510485655242</v>
      </c>
      <c r="BC16" s="19" t="n">
        <f aca="false">MIN(Debt!BC64+BC12,BC14-BC15)</f>
        <v>11.3510485655242</v>
      </c>
      <c r="BD16" s="19" t="n">
        <f aca="false">MIN(Debt!BD64+BD12,BD14-BD15)</f>
        <v>11.2100957630489</v>
      </c>
      <c r="BE16" s="19" t="n">
        <f aca="false">MIN(Debt!BE64+BE12,BE14-BE15)</f>
        <v>11.0648327801487</v>
      </c>
      <c r="BF16" s="19" t="n">
        <f aca="false">MIN(Debt!BF64+BF12,BF14-BF15)</f>
        <v>10.8492865494983</v>
      </c>
      <c r="BG16" s="19" t="n">
        <f aca="false">MIN(Debt!BG64+BG12,BG14-BG15)</f>
        <v>10.6536346601811</v>
      </c>
      <c r="BH16" s="19" t="n">
        <f aca="false">MIN(Debt!BH64+BH12,BH14-BH15)</f>
        <v>10.4742246209322</v>
      </c>
      <c r="BI16" s="19" t="n">
        <f aca="false">MIN(Debt!BI64+BI12,BI14-BI15)</f>
        <v>10.2885001777541</v>
      </c>
      <c r="BJ16" s="19" t="n">
        <f aca="false">MIN(Debt!BJ64+BJ12,BJ14-BJ15)</f>
        <v>10.0798159925687</v>
      </c>
      <c r="BK16" s="19" t="n">
        <f aca="false">MIN(Debt!BK64+BK12,BK14-BK15)</f>
        <v>9.86704945209664</v>
      </c>
      <c r="BL16" s="19" t="n">
        <f aca="false">MIN(Debt!BL64+BL12,BL14-BL15)</f>
        <v>9.62684803609518</v>
      </c>
      <c r="BM16" s="19" t="n">
        <f aca="false">MIN(Debt!BM64+BM12,BM14-BM15)</f>
        <v>9.38182260505819</v>
      </c>
      <c r="BN16" s="19" t="n">
        <f aca="false">MIN(Debt!BN64+BN12,BN14-BN15)</f>
        <v>9.10765910973216</v>
      </c>
      <c r="BO16" s="19" t="n">
        <f aca="false">MIN(Debt!BO64+BO12,BO14-BO15)</f>
        <v>8.82787409970552</v>
      </c>
      <c r="BP16" s="19" t="n">
        <f aca="false">MIN(Debt!BP64+BP12,BP14-BP15)</f>
        <v>8.70387892176039</v>
      </c>
      <c r="BQ16" s="19" t="n">
        <f aca="false">MIN(Debt!BQ64+BQ12,BQ14-BQ15)</f>
        <v>8.57402698942513</v>
      </c>
      <c r="BR16" s="19" t="n">
        <f aca="false">MIN(Debt!BR64+BR12,BR14-BR15)</f>
        <v>8.41882691810068</v>
      </c>
      <c r="BS16" s="19" t="n">
        <f aca="false">MIN(Debt!BS64+BS12,BS14-BS15)</f>
        <v>8.26593352677279</v>
      </c>
      <c r="BT16" s="19" t="n">
        <f aca="false">MIN(Debt!BT64+BT12,BT14-BT15)</f>
        <v>8.08351683626169</v>
      </c>
      <c r="BU16" s="19" t="n">
        <f aca="false">MIN(Debt!BU64+BU12,BU14-BU15)</f>
        <v>7.90295688169126</v>
      </c>
      <c r="BV16" s="19" t="n">
        <f aca="false">MIN(Debt!BV64+BV12,BV14-BV15)</f>
        <v>7.3508155979485</v>
      </c>
      <c r="BW16" s="19" t="n">
        <f aca="false">MIN(Debt!BW64+BW12,BW14-BW15)</f>
        <v>6.79208857253838</v>
      </c>
      <c r="BX16" s="19" t="n">
        <f aca="false">MIN(Debt!BX64+BX12,BX14-BX15)</f>
        <v>6.31997074983642</v>
      </c>
      <c r="BY16" s="19" t="n">
        <f aca="false">MIN(Debt!BY64+BY12,BY14-BY15)</f>
        <v>5.86762284840052</v>
      </c>
      <c r="BZ16" s="19" t="n">
        <f aca="false">MIN(Debt!BZ64+BZ12,BZ14-BZ15)</f>
        <v>5.38047763007338</v>
      </c>
      <c r="CA16" s="19" t="n">
        <f aca="false">MIN(Debt!CA64+CA12,CA14-CA15)</f>
        <v>4.88900705590745</v>
      </c>
      <c r="CB16" s="19" t="n">
        <f aca="false">MIN(Debt!CB64+CB12,CB14-CB15)</f>
        <v>4.47764938059647</v>
      </c>
      <c r="CC16" s="19" t="n">
        <f aca="false">MIN(Debt!CC64+CC12,CC14-CC15)</f>
        <v>4.06375445448202</v>
      </c>
      <c r="CD16" s="19" t="n">
        <f aca="false">MIN(Debt!CD64+CD12,CD14-CD15)</f>
        <v>3.61014837599107</v>
      </c>
      <c r="CE16" s="19" t="n">
        <f aca="false">MIN(Debt!CE64+CE12,CE14-CE15)</f>
        <v>3.15324753364475</v>
      </c>
      <c r="CF16" s="19" t="n">
        <f aca="false">MIN(Debt!CF64+CF12,CF14-CF15)</f>
        <v>2.71289422496346</v>
      </c>
      <c r="CG16" s="19" t="n">
        <f aca="false">MIN(Debt!CG64+CG12,CG14-CG15)</f>
        <v>2.26529694393042</v>
      </c>
      <c r="CH16" s="19" t="n">
        <f aca="false">MIN(Debt!CH64+CH12,CH14-CH15)</f>
        <v>1.44191242267061</v>
      </c>
      <c r="CI16" s="19" t="n">
        <f aca="false">MIN(Debt!CI64+CI12,CI14-CI15)</f>
        <v>0.824531194888318</v>
      </c>
      <c r="CJ16" s="19" t="n">
        <f aca="false">MIN(Debt!CJ64+CJ12,CJ14-CJ15)</f>
        <v>0.159630119572903</v>
      </c>
      <c r="CK16" s="19" t="n">
        <f aca="false">MIN(Debt!CK64+CK12,CK14-CK15)</f>
        <v>0</v>
      </c>
      <c r="CL16" s="19" t="n">
        <f aca="false">MIN(Debt!CL64+CL12,CL14-CL15)</f>
        <v>0</v>
      </c>
      <c r="CM16" s="19" t="n">
        <f aca="false">MIN(Debt!CM64+CM12,CM14-CM15)</f>
        <v>0</v>
      </c>
      <c r="CN16" s="19" t="n">
        <f aca="false">MIN(Debt!CN64+CN12,CN14-CN15)</f>
        <v>0</v>
      </c>
      <c r="CO16" s="19" t="n">
        <f aca="false">MIN(Debt!CO64+CO12,CO14-CO15)</f>
        <v>0</v>
      </c>
      <c r="CP16" s="19" t="n">
        <f aca="false">MIN(Debt!CP64+CP12,CP14-CP15)</f>
        <v>0</v>
      </c>
      <c r="CQ16" s="19" t="n">
        <f aca="false">MIN(Debt!CQ64+CQ12,CQ14-CQ15)</f>
        <v>0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447.43886846549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0.10273278701443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</v>
      </c>
      <c r="AW17" s="19" t="n">
        <f aca="false">AW14-AW15-AW16</f>
        <v>0.748954173588416</v>
      </c>
      <c r="AX17" s="19" t="n">
        <f aca="false">AX14-AX15-AX16</f>
        <v>0.791408079831591</v>
      </c>
      <c r="AY17" s="19" t="n">
        <f aca="false">AY14-AY15-AY16</f>
        <v>0.204304394943771</v>
      </c>
      <c r="AZ17" s="19" t="n">
        <f aca="false">AZ14-AZ15-AZ16</f>
        <v>0.348908822575057</v>
      </c>
      <c r="BA17" s="19" t="n">
        <f aca="false">BA14-BA15-BA16</f>
        <v>0.103400775216947</v>
      </c>
      <c r="BB17" s="19" t="n">
        <f aca="false">BB14-BB15-BB16</f>
        <v>0</v>
      </c>
      <c r="BC17" s="19" t="n">
        <f aca="false">BC14-BC15-BC16</f>
        <v>5.52756088138233</v>
      </c>
      <c r="BD17" s="19" t="n">
        <f aca="false">BD14-BD15-BD16</f>
        <v>5.69658756471543</v>
      </c>
      <c r="BE17" s="19" t="n">
        <f aca="false">BE14-BE15-BE16</f>
        <v>8.45279335883729</v>
      </c>
      <c r="BF17" s="19" t="n">
        <f aca="false">BF14-BF15-BF16</f>
        <v>7.67262311047828</v>
      </c>
      <c r="BG17" s="19" t="n">
        <f aca="false">BG14-BG15-BG16</f>
        <v>7.0356878136811</v>
      </c>
      <c r="BH17" s="19" t="n">
        <f aca="false">BH14-BH15-BH16</f>
        <v>7.2833114971834</v>
      </c>
      <c r="BI17" s="19" t="n">
        <f aca="false">BI14-BI15-BI16</f>
        <v>8.1836935366804</v>
      </c>
      <c r="BJ17" s="19" t="n">
        <f aca="false">BJ14-BJ15-BJ16</f>
        <v>8.34378590086599</v>
      </c>
      <c r="BK17" s="19" t="n">
        <f aca="false">BK14-BK15-BK16</f>
        <v>9.4196633726061</v>
      </c>
      <c r="BL17" s="19" t="n">
        <f aca="false">BL14-BL15-BL16</f>
        <v>9.60884043282317</v>
      </c>
      <c r="BM17" s="19" t="n">
        <f aca="false">BM14-BM15-BM16</f>
        <v>10.7515096206289</v>
      </c>
      <c r="BN17" s="19" t="n">
        <f aca="false">BN14-BN15-BN16</f>
        <v>10.9719611775153</v>
      </c>
      <c r="BO17" s="19" t="n">
        <f aca="false">BO14-BO15-BO16</f>
        <v>4.86255599784799</v>
      </c>
      <c r="BP17" s="19" t="n">
        <f aca="false">BP14-BP15-BP16</f>
        <v>5.09223264059846</v>
      </c>
      <c r="BQ17" s="19" t="n">
        <f aca="false">BQ14-BQ15-BQ16</f>
        <v>6.08627730684115</v>
      </c>
      <c r="BR17" s="19" t="n">
        <f aca="false">BR14-BR15-BR16</f>
        <v>5.99581926776035</v>
      </c>
      <c r="BS17" s="19" t="n">
        <f aca="false">BS14-BS15-BS16</f>
        <v>7.15359570631784</v>
      </c>
      <c r="BT17" s="19" t="n">
        <f aca="false">BT14-BT15-BT16</f>
        <v>7.0807825321737</v>
      </c>
      <c r="BU17" s="19" t="n">
        <f aca="false">BU14-BU15-BU16</f>
        <v>21.6525993624612</v>
      </c>
      <c r="BV17" s="19" t="n">
        <f aca="false">BV14-BV15-BV16</f>
        <v>21.9108637415731</v>
      </c>
      <c r="BW17" s="19" t="n">
        <f aca="false">BW14-BW15-BW16</f>
        <v>18.514424419685</v>
      </c>
      <c r="BX17" s="19" t="n">
        <f aca="false">BX14-BX15-BX16</f>
        <v>17.739133389643</v>
      </c>
      <c r="BY17" s="19" t="n">
        <f aca="false">BY14-BY15-BY16</f>
        <v>19.1037340520449</v>
      </c>
      <c r="BZ17" s="19" t="n">
        <f aca="false">BZ14-BZ15-BZ16</f>
        <v>19.2733558496443</v>
      </c>
      <c r="CA17" s="19" t="n">
        <f aca="false">CA14-CA15-CA16</f>
        <v>16.131673541607</v>
      </c>
      <c r="CB17" s="19" t="n">
        <f aca="false">CB14-CB15-CB16</f>
        <v>16.2311735731157</v>
      </c>
      <c r="CC17" s="19" t="n">
        <f aca="false">CC14-CC15-CC16</f>
        <v>17.7884736663117</v>
      </c>
      <c r="CD17" s="19" t="n">
        <f aca="false">CD14-CD15-CD16</f>
        <v>17.9176800920126</v>
      </c>
      <c r="CE17" s="19" t="n">
        <f aca="false">CE14-CE15-CE16</f>
        <v>17.2687572031878</v>
      </c>
      <c r="CF17" s="19" t="n">
        <f aca="false">CF14-CF15-CF16</f>
        <v>17.5528345503154</v>
      </c>
      <c r="CG17" s="19" t="n">
        <f aca="false">CG14-CG15-CG16</f>
        <v>32.2895890690119</v>
      </c>
      <c r="CH17" s="19" t="n">
        <f aca="false">CH14-CH15-CH16</f>
        <v>24.2110285404821</v>
      </c>
      <c r="CI17" s="19" t="n">
        <f aca="false">CI14-CI15-CI16</f>
        <v>26.0745519731535</v>
      </c>
      <c r="CJ17" s="19" t="n">
        <f aca="false">CJ14-CJ15-CJ16</f>
        <v>6.26000468913347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0.509245274412104</v>
      </c>
      <c r="AG18" s="16" t="n">
        <f aca="false">IF(Debt!AG64+AG12&gt;0,(Debt!AG44+Debt!AG56)/(Debt!AG64+AG12),0)</f>
        <v>0.533726540861648</v>
      </c>
      <c r="AH18" s="16" t="n">
        <f aca="false">IF(Debt!AH64+AH12&gt;0,(Debt!AH44+Debt!AH56)/(Debt!AH64+AH12),0)</f>
        <v>0.529633380830352</v>
      </c>
      <c r="AI18" s="16" t="n">
        <f aca="false">IF(Debt!AI64+AI12&gt;0,(Debt!AI44+Debt!AI56)/(Debt!AI64+AI12),0)</f>
        <v>0.533726540861648</v>
      </c>
      <c r="AJ18" s="16" t="n">
        <f aca="false">IF(Debt!AJ64+AJ12&gt;0,(Debt!AJ44+Debt!AJ56)/(Debt!AJ64+AJ12),0)</f>
        <v>0</v>
      </c>
      <c r="AK18" s="16" t="n">
        <f aca="false">IF(Debt!AK64+AK12&gt;0,(Debt!AK44+Debt!AK56)/(Debt!AK64+AK12),0)</f>
        <v>0</v>
      </c>
      <c r="AL18" s="16" t="n">
        <f aca="false">IF(Debt!AL64+AL12&gt;0,(Debt!AL44+Debt!AL56)/(Debt!AL64+AL12),0)</f>
        <v>0</v>
      </c>
      <c r="AM18" s="16" t="n">
        <f aca="false">IF(Debt!AM64+AM12&gt;0,(Debt!AM44+Debt!AM56)/(Debt!AM64+AM12),0)</f>
        <v>0</v>
      </c>
      <c r="AN18" s="16" t="n">
        <f aca="false">IF(Debt!AN64+AN12&gt;0,(Debt!AN44+Debt!AN56)/(Debt!AN64+AN12),0)</f>
        <v>0</v>
      </c>
      <c r="AO18" s="16" t="n">
        <f aca="false">IF(Debt!AO64+AO12&gt;0,(Debt!AO44+Debt!AO56)/(Debt!AO64+AO12),0)</f>
        <v>0</v>
      </c>
      <c r="AP18" s="16" t="n">
        <f aca="false">IF(Debt!AP64+AP12&gt;0,(Debt!AP44+Debt!AP56)/(Debt!AP64+AP12),0)</f>
        <v>0</v>
      </c>
      <c r="AQ18" s="16" t="n">
        <f aca="false">IF(Debt!AQ64+AQ12&gt;0,(Debt!AQ44+Debt!AQ56)/(Debt!AQ64+AQ12),0)</f>
        <v>0</v>
      </c>
      <c r="AR18" s="16" t="n">
        <f aca="false">IF(Debt!AR64+AR12&gt;0,(Debt!AR44+Debt!AR56)/(Debt!AR64+AR12),0)</f>
        <v>0</v>
      </c>
      <c r="AS18" s="16" t="n">
        <f aca="false">IF(Debt!AS64+AS12&gt;0,(Debt!AS44+Debt!AS56)/(Debt!AS64+AS12),0)</f>
        <v>0</v>
      </c>
      <c r="AT18" s="16" t="n">
        <f aca="false">IF(Debt!AT64+AT12&gt;0,(Debt!AT44+Debt!AT56)/(Debt!AT64+AT12),0)</f>
        <v>0</v>
      </c>
      <c r="AU18" s="16" t="n">
        <f aca="false">IF(Debt!AU64+AU12&gt;0,(Debt!AU44+Debt!AU56)/(Debt!AU64+AU12),0)</f>
        <v>0</v>
      </c>
      <c r="AV18" s="16" t="n">
        <f aca="false">IF(Debt!AV64+AV12&gt;0,(Debt!AV44+Debt!AV56)/(Debt!AV64+AV12),0)</f>
        <v>0</v>
      </c>
      <c r="AW18" s="16" t="n">
        <f aca="false">IF(Debt!AW64+AW12&gt;0,(Debt!AW44+Debt!AW56)/(Debt!AW64+AW12),0)</f>
        <v>0</v>
      </c>
      <c r="AX18" s="16" t="n">
        <f aca="false">IF(Debt!AX64+AX12&gt;0,(Debt!AX44+Debt!AX56)/(Debt!AX64+AX12),0)</f>
        <v>0</v>
      </c>
      <c r="AY18" s="16" t="n">
        <f aca="false">IF(Debt!AY64+AY12&gt;0,(Debt!AY44+Debt!AY56)/(Debt!AY64+AY12),0)</f>
        <v>0</v>
      </c>
      <c r="AZ18" s="16" t="n">
        <f aca="false">IF(Debt!AZ64+AZ12&gt;0,(Debt!AZ44+Debt!AZ56)/(Debt!AZ64+AZ12),0)</f>
        <v>0</v>
      </c>
      <c r="BA18" s="16" t="n">
        <f aca="false">IF(Debt!BA64+BA12&gt;0,(Debt!BA44+Debt!BA56)/(Debt!BA64+BA12),0)</f>
        <v>0</v>
      </c>
      <c r="BB18" s="16" t="n">
        <f aca="false">IF(Debt!BB64+BB12&gt;0,(Debt!BB44+Debt!BB56)/(Debt!BB64+BB12),0)</f>
        <v>0</v>
      </c>
      <c r="BC18" s="16" t="n">
        <f aca="false">IF(Debt!BC64+BC12&gt;0,(Debt!BC44+Debt!BC56)/(Debt!BC64+BC12),0)</f>
        <v>0</v>
      </c>
      <c r="BD18" s="16" t="n">
        <f aca="false">IF(Debt!BD64+BD12&gt;0,(Debt!BD44+Debt!BD56)/(Debt!BD64+BD12),0)</f>
        <v>0</v>
      </c>
      <c r="BE18" s="16" t="n">
        <f aca="false">IF(Debt!BE64+BE12&gt;0,(Debt!BE44+Debt!BE56)/(Debt!BE64+BE12),0)</f>
        <v>0</v>
      </c>
      <c r="BF18" s="16" t="n">
        <f aca="false">IF(Debt!BF64+BF12&gt;0,(Debt!BF44+Debt!BF56)/(Debt!BF64+BF12),0)</f>
        <v>0</v>
      </c>
      <c r="BG18" s="16" t="n">
        <f aca="false">IF(Debt!BG64+BG12&gt;0,(Debt!BG44+Debt!BG56)/(Debt!BG64+BG12),0)</f>
        <v>0</v>
      </c>
      <c r="BH18" s="16" t="n">
        <f aca="false">IF(Debt!BH64+BH12&gt;0,(Debt!BH44+Debt!BH56)/(Debt!BH64+BH12),0)</f>
        <v>0</v>
      </c>
      <c r="BI18" s="16" t="n">
        <f aca="false">IF(Debt!BI64+BI12&gt;0,(Debt!BI44+Debt!BI56)/(Debt!BI64+BI12),0)</f>
        <v>0</v>
      </c>
      <c r="BJ18" s="16" t="n">
        <f aca="false">IF(Debt!BJ64+BJ12&gt;0,(Debt!BJ44+Debt!BJ56)/(Debt!BJ64+BJ12),0)</f>
        <v>0</v>
      </c>
      <c r="BK18" s="16" t="n">
        <f aca="false">IF(Debt!BK64+BK12&gt;0,(Debt!BK44+Debt!BK56)/(Debt!BK64+BK12),0)</f>
        <v>0</v>
      </c>
      <c r="BL18" s="16" t="n">
        <f aca="false">IF(Debt!BL64+BL12&gt;0,(Debt!BL44+Debt!BL56)/(Debt!BL64+BL12),0)</f>
        <v>0</v>
      </c>
      <c r="BM18" s="16" t="n">
        <f aca="false">IF(Debt!BM64+BM12&gt;0,(Debt!BM44+Debt!BM56)/(Debt!BM64+BM12),0)</f>
        <v>0</v>
      </c>
      <c r="BN18" s="16" t="n">
        <f aca="false">IF(Debt!BN64+BN12&gt;0,(Debt!BN44+Debt!BN56)/(Debt!BN64+BN12),0)</f>
        <v>0</v>
      </c>
      <c r="BO18" s="16" t="n">
        <f aca="false">IF(Debt!BO64+BO12&gt;0,(Debt!BO44+Debt!BO56)/(Debt!BO64+BO12),0)</f>
        <v>0</v>
      </c>
      <c r="BP18" s="16" t="n">
        <f aca="false">IF(Debt!BP64+BP12&gt;0,(Debt!BP44+Debt!BP56)/(Debt!BP64+BP12),0)</f>
        <v>0</v>
      </c>
      <c r="BQ18" s="16" t="n">
        <f aca="false">IF(Debt!BQ64+BQ12&gt;0,(Debt!BQ44+Debt!BQ56)/(Debt!BQ64+BQ12),0)</f>
        <v>0</v>
      </c>
      <c r="BR18" s="16" t="n">
        <f aca="false">IF(Debt!BR64+BR12&gt;0,(Debt!BR44+Debt!BR56)/(Debt!BR64+BR12),0)</f>
        <v>0</v>
      </c>
      <c r="BS18" s="16" t="n">
        <f aca="false">IF(Debt!BS64+BS12&gt;0,(Debt!BS44+Debt!BS56)/(Debt!BS64+BS12),0)</f>
        <v>0</v>
      </c>
      <c r="BT18" s="16" t="n">
        <f aca="false">IF(Debt!BT64+BT12&gt;0,(Debt!BT44+Debt!BT56)/(Debt!BT64+BT12),0)</f>
        <v>0</v>
      </c>
      <c r="BU18" s="16" t="n">
        <f aca="false">IF(Debt!BU64+BU12&gt;0,(Debt!BU44+Debt!BU56)/(Debt!BU64+BU12),0)</f>
        <v>0</v>
      </c>
      <c r="BV18" s="16" t="n">
        <f aca="false">IF(Debt!BV64+BV12&gt;0,(Debt!BV44+Debt!BV56)/(Debt!BV64+BV12),0)</f>
        <v>0</v>
      </c>
      <c r="BW18" s="16" t="n">
        <f aca="false">IF(Debt!BW64+BW12&gt;0,(Debt!BW44+Debt!BW56)/(Debt!BW64+BW12),0)</f>
        <v>0</v>
      </c>
      <c r="BX18" s="16" t="n">
        <f aca="false">IF(Debt!BX64+BX12&gt;0,(Debt!BX44+Debt!BX56)/(Debt!BX64+BX12),0)</f>
        <v>0</v>
      </c>
      <c r="BY18" s="16" t="n">
        <f aca="false">IF(Debt!BY64+BY12&gt;0,(Debt!BY44+Debt!BY56)/(Debt!BY64+BY12),0)</f>
        <v>0</v>
      </c>
      <c r="BZ18" s="16" t="n">
        <f aca="false">IF(Debt!BZ64+BZ12&gt;0,(Debt!BZ44+Debt!BZ56)/(Debt!BZ64+BZ12),0)</f>
        <v>0</v>
      </c>
      <c r="CA18" s="16" t="n">
        <f aca="false">IF(Debt!CA64+CA12&gt;0,(Debt!CA44+Debt!CA56)/(Debt!CA64+CA12),0)</f>
        <v>0</v>
      </c>
      <c r="CB18" s="16" t="n">
        <f aca="false">IF(Debt!CB64+CB12&gt;0,(Debt!CB44+Debt!CB56)/(Debt!CB64+CB12),0)</f>
        <v>0</v>
      </c>
      <c r="CC18" s="16" t="n">
        <f aca="false">IF(Debt!CC64+CC12&gt;0,(Debt!CC44+Debt!CC56)/(Debt!CC64+CC12),0)</f>
        <v>0</v>
      </c>
      <c r="CD18" s="16" t="n">
        <f aca="false">IF(Debt!CD64+CD12&gt;0,(Debt!CD44+Debt!CD56)/(Debt!CD64+CD12),0)</f>
        <v>0</v>
      </c>
      <c r="CE18" s="16" t="n">
        <f aca="false">IF(Debt!CE64+CE12&gt;0,(Debt!CE44+Debt!CE56)/(Debt!CE64+CE12),0)</f>
        <v>0</v>
      </c>
      <c r="CF18" s="16" t="n">
        <f aca="false">IF(Debt!CF64+CF12&gt;0,(Debt!CF44+Debt!CF56)/(Debt!CF64+CF12),0)</f>
        <v>0</v>
      </c>
      <c r="CG18" s="16" t="n">
        <f aca="false">IF(Debt!CG64+CG12&gt;0,(Debt!CG44+Debt!CG56)/(Debt!CG64+CG12),0)</f>
        <v>0</v>
      </c>
      <c r="CH18" s="16" t="n">
        <f aca="false">IF(Debt!CH64+CH12&gt;0,(Debt!CH44+Debt!CH56)/(Debt!CH64+CH12),0)</f>
        <v>0</v>
      </c>
      <c r="CI18" s="16" t="n">
        <f aca="false">IF(Debt!CI64+CI12&gt;0,(Debt!CI44+Debt!CI56)/(Debt!CI64+CI12),0)</f>
        <v>0</v>
      </c>
      <c r="CJ18" s="16" t="n">
        <f aca="false">IF(Debt!CJ64+CJ12&gt;0,(Debt!CJ44+Debt!CJ56)/(Debt!CJ64+CJ12),0)</f>
        <v>0</v>
      </c>
      <c r="CK18" s="16" t="n">
        <f aca="false">IF(Debt!CK64+CK12&gt;0,(Debt!CK44+Debt!CK56)/(Debt!CK64+CK12),0)</f>
        <v>0</v>
      </c>
      <c r="CL18" s="16" t="n">
        <f aca="false">IF(Debt!CL64+CL12&gt;0,(Debt!CL44+Debt!CL56)/(Debt!CL64+CL12),0)</f>
        <v>0</v>
      </c>
      <c r="CM18" s="16" t="n">
        <f aca="false">IF(Debt!CM64+CM12&gt;0,(Debt!CM44+Debt!CM56)/(Debt!CM64+CM12),0)</f>
        <v>0</v>
      </c>
      <c r="CN18" s="16" t="n">
        <f aca="false">IF(Debt!CN64+CN12&gt;0,(Debt!CN44+Debt!CN56)/(Debt!CN64+CN12),0)</f>
        <v>0</v>
      </c>
      <c r="CO18" s="16" t="n">
        <f aca="false">IF(Debt!CO64+CO12&gt;0,(Debt!CO44+Debt!CO56)/(Debt!CO64+CO12),0)</f>
        <v>0</v>
      </c>
      <c r="CP18" s="16" t="n">
        <f aca="false">IF(Debt!CP64+CP12&gt;0,(Debt!CP44+Debt!CP56)/(Debt!CP64+CP12),0)</f>
        <v>0</v>
      </c>
      <c r="CQ18" s="16" t="n">
        <f aca="false">IF(Debt!CQ64+CQ12&gt;0,(Debt!CQ44+Debt!CQ56)/(Debt!CQ64+CQ12),0)</f>
        <v>0</v>
      </c>
      <c r="CR18" s="16" t="n">
        <f aca="false">IF(Debt!CR64+CR12&gt;0,(Debt!CR44+Debt!CR56)/(Debt!CR64+CR12),0)</f>
        <v>0</v>
      </c>
      <c r="CS18" s="16" t="n">
        <f aca="false">IF(Debt!CS64+CS12&gt;0,(Debt!CS44+Debt!CS56)/(Debt!CS64+CS12),0)</f>
        <v>0</v>
      </c>
      <c r="CT18" s="16" t="n">
        <f aca="false">IF(Debt!CT64+CT12&gt;0,(Debt!CT44+Debt!CT56)/(Debt!CT64+CT12),0)</f>
        <v>0</v>
      </c>
      <c r="CU18" s="16" t="n">
        <f aca="false">IF(Debt!CU64+CU12&gt;0,(Debt!CU44+Debt!CU56)/(Debt!CU64+CU12),0)</f>
        <v>0</v>
      </c>
      <c r="CV18" s="16" t="n">
        <f aca="false">IF(Debt!CV64+CV12&gt;0,(Debt!CV44+Debt!CV56)/(Debt!CV64+CV12),0)</f>
        <v>0</v>
      </c>
      <c r="CW18" s="16" t="n">
        <f aca="false">IF(Debt!CW64+CW12&gt;0,(Debt!CW44+Debt!CW56)/(Debt!CW64+CW12),0)</f>
        <v>0</v>
      </c>
      <c r="CX18" s="16" t="n">
        <f aca="false">IF(Debt!CX64+CX12&gt;0,(Debt!CX44+Debt!CX56)/(Debt!CX64+CX12),0)</f>
        <v>0</v>
      </c>
      <c r="CY18" s="16" t="n">
        <f aca="false">IF(Debt!CY64+CY12&gt;0,(Debt!CY44+Debt!CY56)/(Debt!CY64+CY12),0)</f>
        <v>0</v>
      </c>
      <c r="CZ18" s="16" t="n">
        <f aca="false">IF(Debt!CZ64+CZ12&gt;0,(Debt!CZ44+Debt!CZ56)/(Debt!CZ64+CZ12),0)</f>
        <v>0</v>
      </c>
      <c r="DA18" s="16" t="n">
        <f aca="false">IF(Debt!DA64+DA12&gt;0,(Debt!DA44+Debt!DA56)/(Debt!DA64+DA12),0)</f>
        <v>0</v>
      </c>
      <c r="DB18" s="16" t="n">
        <f aca="false">IF(Debt!DB64+DB12&gt;0,(Debt!DB44+Debt!DB56)/(Debt!DB64+DB12),0)</f>
        <v>0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0.490754725587896</v>
      </c>
      <c r="AG19" s="16" t="n">
        <f aca="false">IF(Debt!AG64+AG12&gt;0,(Debt!AG51+Debt!AG57)/(Debt!AG64+AG12),0)</f>
        <v>0.466273459138352</v>
      </c>
      <c r="AH19" s="16" t="n">
        <f aca="false">IF(Debt!AH64+AH12&gt;0,(Debt!AH51+Debt!AH57)/(Debt!AH64+AH12),0)</f>
        <v>0.470366619169648</v>
      </c>
      <c r="AI19" s="16" t="n">
        <f aca="false">IF(Debt!AI64+AI12&gt;0,(Debt!AI51+Debt!AI57)/(Debt!AI64+AI12),0)</f>
        <v>0.466273459138352</v>
      </c>
      <c r="AJ19" s="16" t="n">
        <f aca="false">IF(Debt!AJ64+AJ12&gt;0,(Debt!AJ51+Debt!AJ57)/(Debt!AJ64+AJ12),0)</f>
        <v>0</v>
      </c>
      <c r="AK19" s="16" t="n">
        <f aca="false">IF(Debt!AK64+AK12&gt;0,(Debt!AK51+Debt!AK57)/(Debt!AK64+AK12),0)</f>
        <v>0</v>
      </c>
      <c r="AL19" s="16" t="n">
        <f aca="false">IF(Debt!AL64+AL12&gt;0,(Debt!AL51+Debt!AL57)/(Debt!AL64+AL12),0)</f>
        <v>0</v>
      </c>
      <c r="AM19" s="16" t="n">
        <f aca="false">IF(Debt!AM64+AM12&gt;0,(Debt!AM51+Debt!AM57)/(Debt!AM64+AM12),0)</f>
        <v>0</v>
      </c>
      <c r="AN19" s="16" t="n">
        <f aca="false">IF(Debt!AN64+AN12&gt;0,(Debt!AN51+Debt!AN57)/(Debt!AN64+AN12),0)</f>
        <v>0</v>
      </c>
      <c r="AO19" s="16" t="n">
        <f aca="false">IF(Debt!AO64+AO12&gt;0,(Debt!AO51+Debt!AO57)/(Debt!AO64+AO12),0)</f>
        <v>0</v>
      </c>
      <c r="AP19" s="16" t="n">
        <f aca="false">IF(Debt!AP64+AP12&gt;0,(Debt!AP51+Debt!AP57)/(Debt!AP64+AP12),0)</f>
        <v>0</v>
      </c>
      <c r="AQ19" s="16" t="n">
        <f aca="false">IF(Debt!AQ64+AQ12&gt;0,(Debt!AQ51+Debt!AQ57)/(Debt!AQ64+AQ12),0)</f>
        <v>0</v>
      </c>
      <c r="AR19" s="16" t="n">
        <f aca="false">IF(Debt!AR64+AR12&gt;0,(Debt!AR51+Debt!AR57)/(Debt!AR64+AR12),0)</f>
        <v>0</v>
      </c>
      <c r="AS19" s="16" t="n">
        <f aca="false">IF(Debt!AS64+AS12&gt;0,(Debt!AS51+Debt!AS57)/(Debt!AS64+AS12),0)</f>
        <v>0</v>
      </c>
      <c r="AT19" s="16" t="n">
        <f aca="false">IF(Debt!AT64+AT12&gt;0,(Debt!AT51+Debt!AT57)/(Debt!AT64+AT12),0)</f>
        <v>0</v>
      </c>
      <c r="AU19" s="16" t="n">
        <f aca="false">IF(Debt!AU64+AU12&gt;0,(Debt!AU51+Debt!AU57)/(Debt!AU64+AU12),0)</f>
        <v>0</v>
      </c>
      <c r="AV19" s="16" t="n">
        <f aca="false">IF(Debt!AV64+AV12&gt;0,(Debt!AV51+Debt!AV57)/(Debt!AV64+AV12),0)</f>
        <v>0</v>
      </c>
      <c r="AW19" s="16" t="n">
        <f aca="false">IF(Debt!AW64+AW12&gt;0,(Debt!AW51+Debt!AW57)/(Debt!AW64+AW12),0)</f>
        <v>0</v>
      </c>
      <c r="AX19" s="16" t="n">
        <f aca="false">IF(Debt!AX64+AX12&gt;0,(Debt!AX51+Debt!AX57)/(Debt!AX64+AX12),0)</f>
        <v>0</v>
      </c>
      <c r="AY19" s="16" t="n">
        <f aca="false">IF(Debt!AY64+AY12&gt;0,(Debt!AY51+Debt!AY57)/(Debt!AY64+AY12),0)</f>
        <v>0</v>
      </c>
      <c r="AZ19" s="16" t="n">
        <f aca="false">IF(Debt!AZ64+AZ12&gt;0,(Debt!AZ51+Debt!AZ57)/(Debt!AZ64+AZ12),0)</f>
        <v>0</v>
      </c>
      <c r="BA19" s="16" t="n">
        <f aca="false">IF(Debt!BA64+BA12&gt;0,(Debt!BA51+Debt!BA57)/(Debt!BA64+BA12),0)</f>
        <v>0</v>
      </c>
      <c r="BB19" s="16" t="n">
        <f aca="false">IF(Debt!BB64+BB12&gt;0,(Debt!BB51+Debt!BB57)/(Debt!BB64+BB12),0)</f>
        <v>0</v>
      </c>
      <c r="BC19" s="16" t="n">
        <f aca="false">IF(Debt!BC64+BC12&gt;0,(Debt!BC51+Debt!BC57)/(Debt!BC64+BC12),0)</f>
        <v>0</v>
      </c>
      <c r="BD19" s="16" t="n">
        <f aca="false">IF(Debt!BD64+BD12&gt;0,(Debt!BD51+Debt!BD57)/(Debt!BD64+BD12),0)</f>
        <v>0</v>
      </c>
      <c r="BE19" s="16" t="n">
        <f aca="false">IF(Debt!BE64+BE12&gt;0,(Debt!BE51+Debt!BE57)/(Debt!BE64+BE12),0)</f>
        <v>0</v>
      </c>
      <c r="BF19" s="16" t="n">
        <f aca="false">IF(Debt!BF64+BF12&gt;0,(Debt!BF51+Debt!BF57)/(Debt!BF64+BF12),0)</f>
        <v>0</v>
      </c>
      <c r="BG19" s="16" t="n">
        <f aca="false">IF(Debt!BG64+BG12&gt;0,(Debt!BG51+Debt!BG57)/(Debt!BG64+BG12),0)</f>
        <v>0</v>
      </c>
      <c r="BH19" s="16" t="n">
        <f aca="false">IF(Debt!BH64+BH12&gt;0,(Debt!BH51+Debt!BH57)/(Debt!BH64+BH12),0)</f>
        <v>0</v>
      </c>
      <c r="BI19" s="16" t="n">
        <f aca="false">IF(Debt!BI64+BI12&gt;0,(Debt!BI51+Debt!BI57)/(Debt!BI64+BI12),0)</f>
        <v>0</v>
      </c>
      <c r="BJ19" s="16" t="n">
        <f aca="false">IF(Debt!BJ64+BJ12&gt;0,(Debt!BJ51+Debt!BJ57)/(Debt!BJ64+BJ12),0)</f>
        <v>0</v>
      </c>
      <c r="BK19" s="16" t="n">
        <f aca="false">IF(Debt!BK64+BK12&gt;0,(Debt!BK51+Debt!BK57)/(Debt!BK64+BK12),0)</f>
        <v>0</v>
      </c>
      <c r="BL19" s="16" t="n">
        <f aca="false">IF(Debt!BL64+BL12&gt;0,(Debt!BL51+Debt!BL57)/(Debt!BL64+BL12),0)</f>
        <v>0</v>
      </c>
      <c r="BM19" s="16" t="n">
        <f aca="false">IF(Debt!BM64+BM12&gt;0,(Debt!BM51+Debt!BM57)/(Debt!BM64+BM12),0)</f>
        <v>0</v>
      </c>
      <c r="BN19" s="16" t="n">
        <f aca="false">IF(Debt!BN64+BN12&gt;0,(Debt!BN51+Debt!BN57)/(Debt!BN64+BN12),0)</f>
        <v>0</v>
      </c>
      <c r="BO19" s="16" t="n">
        <f aca="false">IF(Debt!BO64+BO12&gt;0,(Debt!BO51+Debt!BO57)/(Debt!BO64+BO12),0)</f>
        <v>0</v>
      </c>
      <c r="BP19" s="16" t="n">
        <f aca="false">IF(Debt!BP64+BP12&gt;0,(Debt!BP51+Debt!BP57)/(Debt!BP64+BP12),0)</f>
        <v>0</v>
      </c>
      <c r="BQ19" s="16" t="n">
        <f aca="false">IF(Debt!BQ64+BQ12&gt;0,(Debt!BQ51+Debt!BQ57)/(Debt!BQ64+BQ12),0)</f>
        <v>0</v>
      </c>
      <c r="BR19" s="16" t="n">
        <f aca="false">IF(Debt!BR64+BR12&gt;0,(Debt!BR51+Debt!BR57)/(Debt!BR64+BR12),0)</f>
        <v>0</v>
      </c>
      <c r="BS19" s="16" t="n">
        <f aca="false">IF(Debt!BS64+BS12&gt;0,(Debt!BS51+Debt!BS57)/(Debt!BS64+BS12),0)</f>
        <v>0</v>
      </c>
      <c r="BT19" s="16" t="n">
        <f aca="false">IF(Debt!BT64+BT12&gt;0,(Debt!BT51+Debt!BT57)/(Debt!BT64+BT12),0)</f>
        <v>0</v>
      </c>
      <c r="BU19" s="16" t="n">
        <f aca="false">IF(Debt!BU64+BU12&gt;0,(Debt!BU51+Debt!BU57)/(Debt!BU64+BU12),0)</f>
        <v>0</v>
      </c>
      <c r="BV19" s="16" t="n">
        <f aca="false">IF(Debt!BV64+BV12&gt;0,(Debt!BV51+Debt!BV57)/(Debt!BV64+BV12),0)</f>
        <v>0</v>
      </c>
      <c r="BW19" s="16" t="n">
        <f aca="false">IF(Debt!BW64+BW12&gt;0,(Debt!BW51+Debt!BW57)/(Debt!BW64+BW12),0)</f>
        <v>0</v>
      </c>
      <c r="BX19" s="16" t="n">
        <f aca="false">IF(Debt!BX64+BX12&gt;0,(Debt!BX51+Debt!BX57)/(Debt!BX64+BX12),0)</f>
        <v>0</v>
      </c>
      <c r="BY19" s="16" t="n">
        <f aca="false">IF(Debt!BY64+BY12&gt;0,(Debt!BY51+Debt!BY57)/(Debt!BY64+BY12),0)</f>
        <v>0</v>
      </c>
      <c r="BZ19" s="16" t="n">
        <f aca="false">IF(Debt!BZ64+BZ12&gt;0,(Debt!BZ51+Debt!BZ57)/(Debt!BZ64+BZ12),0)</f>
        <v>0</v>
      </c>
      <c r="CA19" s="16" t="n">
        <f aca="false">IF(Debt!CA64+CA12&gt;0,(Debt!CA51+Debt!CA57)/(Debt!CA64+CA12),0)</f>
        <v>0</v>
      </c>
      <c r="CB19" s="16" t="n">
        <f aca="false">IF(Debt!CB64+CB12&gt;0,(Debt!CB51+Debt!CB57)/(Debt!CB64+CB12),0)</f>
        <v>0</v>
      </c>
      <c r="CC19" s="16" t="n">
        <f aca="false">IF(Debt!CC64+CC12&gt;0,(Debt!CC51+Debt!CC57)/(Debt!CC64+CC12),0)</f>
        <v>0</v>
      </c>
      <c r="CD19" s="16" t="n">
        <f aca="false">IF(Debt!CD64+CD12&gt;0,(Debt!CD51+Debt!CD57)/(Debt!CD64+CD12),0)</f>
        <v>0</v>
      </c>
      <c r="CE19" s="16" t="n">
        <f aca="false">IF(Debt!CE64+CE12&gt;0,(Debt!CE51+Debt!CE57)/(Debt!CE64+CE12),0)</f>
        <v>0</v>
      </c>
      <c r="CF19" s="16" t="n">
        <f aca="false">IF(Debt!CF64+CF12&gt;0,(Debt!CF51+Debt!CF57)/(Debt!CF64+CF12),0)</f>
        <v>0</v>
      </c>
      <c r="CG19" s="16" t="n">
        <f aca="false">IF(Debt!CG64+CG12&gt;0,(Debt!CG51+Debt!CG57)/(Debt!CG64+CG12),0)</f>
        <v>0</v>
      </c>
      <c r="CH19" s="16" t="n">
        <f aca="false">IF(Debt!CH64+CH12&gt;0,(Debt!CH51+Debt!CH57)/(Debt!CH64+CH12),0)</f>
        <v>0</v>
      </c>
      <c r="CI19" s="16" t="n">
        <f aca="false">IF(Debt!CI64+CI12&gt;0,(Debt!CI51+Debt!CI57)/(Debt!CI64+CI12),0)</f>
        <v>0</v>
      </c>
      <c r="CJ19" s="16" t="n">
        <f aca="false">IF(Debt!CJ64+CJ12&gt;0,(Debt!CJ51+Debt!CJ57)/(Debt!CJ64+CJ12),0)</f>
        <v>0</v>
      </c>
      <c r="CK19" s="16" t="n">
        <f aca="false">IF(Debt!CK64+CK12&gt;0,(Debt!CK51+Debt!CK57)/(Debt!CK64+CK12),0)</f>
        <v>0</v>
      </c>
      <c r="CL19" s="16" t="n">
        <f aca="false">IF(Debt!CL64+CL12&gt;0,(Debt!CL51+Debt!CL57)/(Debt!CL64+CL12),0)</f>
        <v>0</v>
      </c>
      <c r="CM19" s="16" t="n">
        <f aca="false">IF(Debt!CM64+CM12&gt;0,(Debt!CM51+Debt!CM57)/(Debt!CM64+CM12),0)</f>
        <v>0</v>
      </c>
      <c r="CN19" s="16" t="n">
        <f aca="false">IF(Debt!CN64+CN12&gt;0,(Debt!CN51+Debt!CN57)/(Debt!CN64+CN12),0)</f>
        <v>0</v>
      </c>
      <c r="CO19" s="16" t="n">
        <f aca="false">IF(Debt!CO64+CO12&gt;0,(Debt!CO51+Debt!CO57)/(Debt!CO64+CO12),0)</f>
        <v>0</v>
      </c>
      <c r="CP19" s="16" t="n">
        <f aca="false">IF(Debt!CP64+CP12&gt;0,(Debt!CP51+Debt!CP57)/(Debt!CP64+CP12),0)</f>
        <v>0</v>
      </c>
      <c r="CQ19" s="16" t="n">
        <f aca="false">IF(Debt!CQ64+CQ12&gt;0,(Debt!CQ51+Debt!CQ57)/(Debt!CQ64+CQ12),0)</f>
        <v>0</v>
      </c>
      <c r="CR19" s="16" t="n">
        <f aca="false">IF(Debt!CR64+CR12&gt;0,(Debt!CR51+Debt!CR57)/(Debt!CR64+CR12),0)</f>
        <v>0</v>
      </c>
      <c r="CS19" s="16" t="n">
        <f aca="false">IF(Debt!CS64+CS12&gt;0,(Debt!CS51+Debt!CS57)/(Debt!CS64+CS12),0)</f>
        <v>0</v>
      </c>
      <c r="CT19" s="16" t="n">
        <f aca="false">IF(Debt!CT64+CT12&gt;0,(Debt!CT51+Debt!CT57)/(Debt!CT64+CT12),0)</f>
        <v>0</v>
      </c>
      <c r="CU19" s="16" t="n">
        <f aca="false">IF(Debt!CU64+CU12&gt;0,(Debt!CU51+Debt!CU57)/(Debt!CU64+CU12),0)</f>
        <v>0</v>
      </c>
      <c r="CV19" s="16" t="n">
        <f aca="false">IF(Debt!CV64+CV12&gt;0,(Debt!CV51+Debt!CV57)/(Debt!CV64+CV12),0)</f>
        <v>0</v>
      </c>
      <c r="CW19" s="16" t="n">
        <f aca="false">IF(Debt!CW64+CW12&gt;0,(Debt!CW51+Debt!CW57)/(Debt!CW64+CW12),0)</f>
        <v>0</v>
      </c>
      <c r="CX19" s="16" t="n">
        <f aca="false">IF(Debt!CX64+CX12&gt;0,(Debt!CX51+Debt!CX57)/(Debt!CX64+CX12),0)</f>
        <v>0</v>
      </c>
      <c r="CY19" s="16" t="n">
        <f aca="false">IF(Debt!CY64+CY12&gt;0,(Debt!CY51+Debt!CY57)/(Debt!CY64+CY12),0)</f>
        <v>0</v>
      </c>
      <c r="CZ19" s="16" t="n">
        <f aca="false">IF(Debt!CZ64+CZ12&gt;0,(Debt!CZ51+Debt!CZ57)/(Debt!CZ64+CZ12),0)</f>
        <v>0</v>
      </c>
      <c r="DA19" s="16" t="n">
        <f aca="false">IF(Debt!DA64+DA12&gt;0,(Debt!DA51+Debt!DA57)/(Debt!DA64+DA12),0)</f>
        <v>0</v>
      </c>
      <c r="DB19" s="16" t="n">
        <f aca="false">IF(Debt!DB64+DB12&gt;0,(Debt!DB51+Debt!DB57)/(Debt!DB64+DB12),0)</f>
        <v>0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0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</v>
      </c>
      <c r="AW20" s="19" t="n">
        <f aca="false">IF(Debt!AW67&gt;0,AW17*Debt!AW45/Debt!AW67,0)</f>
        <v>0</v>
      </c>
      <c r="AX20" s="19" t="n">
        <f aca="false">IF(Debt!AX67&gt;0,AX17*Debt!AX45/Debt!AX67,0)</f>
        <v>0</v>
      </c>
      <c r="AY20" s="19" t="n">
        <f aca="false">IF(Debt!AY67&gt;0,AY17*Debt!AY45/Debt!AY67,0)</f>
        <v>0</v>
      </c>
      <c r="AZ20" s="19" t="n">
        <f aca="false">IF(Debt!AZ67&gt;0,AZ17*Debt!AZ45/Debt!AZ67,0)</f>
        <v>0</v>
      </c>
      <c r="BA20" s="19" t="n">
        <f aca="false">IF(Debt!BA67&gt;0,BA17*Debt!BA45/Debt!BA67,0)</f>
        <v>0</v>
      </c>
      <c r="BB20" s="19" t="n">
        <f aca="false">IF(Debt!BB67&gt;0,BB17*Debt!BB45/Debt!BB67,0)</f>
        <v>0</v>
      </c>
      <c r="BC20" s="19" t="n">
        <f aca="false">IF(Debt!BC67&gt;0,BC17*Debt!BC45/Debt!BC67,0)</f>
        <v>0</v>
      </c>
      <c r="BD20" s="19" t="n">
        <f aca="false">IF(Debt!BD67&gt;0,BD17*Debt!BD45/Debt!BD67,0)</f>
        <v>0</v>
      </c>
      <c r="BE20" s="19" t="n">
        <f aca="false">IF(Debt!BE67&gt;0,BE17*Debt!BE45/Debt!BE67,0)</f>
        <v>0</v>
      </c>
      <c r="BF20" s="19" t="n">
        <f aca="false">IF(Debt!BF67&gt;0,BF17*Debt!BF45/Debt!BF67,0)</f>
        <v>0</v>
      </c>
      <c r="BG20" s="19" t="n">
        <f aca="false">IF(Debt!BG67&gt;0,BG17*Debt!BG45/Debt!BG67,0)</f>
        <v>0</v>
      </c>
      <c r="BH20" s="19" t="n">
        <f aca="false">IF(Debt!BH67&gt;0,BH17*Debt!BH45/Debt!BH67,0)</f>
        <v>0</v>
      </c>
      <c r="BI20" s="19" t="n">
        <f aca="false">IF(Debt!BI67&gt;0,BI17*Debt!BI45/Debt!BI67,0)</f>
        <v>0</v>
      </c>
      <c r="BJ20" s="19" t="n">
        <f aca="false">IF(Debt!BJ67&gt;0,BJ17*Debt!BJ45/Debt!BJ67,0)</f>
        <v>0</v>
      </c>
      <c r="BK20" s="19" t="n">
        <f aca="false">IF(Debt!BK67&gt;0,BK17*Debt!BK45/Debt!BK67,0)</f>
        <v>0</v>
      </c>
      <c r="BL20" s="19" t="n">
        <f aca="false">IF(Debt!BL67&gt;0,BL17*Debt!BL45/Debt!BL67,0)</f>
        <v>0</v>
      </c>
      <c r="BM20" s="19" t="n">
        <f aca="false">IF(Debt!BM67&gt;0,BM17*Debt!BM45/Debt!BM67,0)</f>
        <v>0</v>
      </c>
      <c r="BN20" s="19" t="n">
        <f aca="false">IF(Debt!BN67&gt;0,BN17*Debt!BN45/Debt!BN67,0)</f>
        <v>0</v>
      </c>
      <c r="BO20" s="19" t="n">
        <f aca="false">IF(Debt!BO67&gt;0,BO17*Debt!BO45/Debt!BO67,0)</f>
        <v>0</v>
      </c>
      <c r="BP20" s="19" t="n">
        <f aca="false">IF(Debt!BP67&gt;0,BP17*Debt!BP45/Debt!BP67,0)</f>
        <v>0</v>
      </c>
      <c r="BQ20" s="19" t="n">
        <f aca="false">IF(Debt!BQ67&gt;0,BQ17*Debt!BQ45/Debt!BQ67,0)</f>
        <v>0</v>
      </c>
      <c r="BR20" s="19" t="n">
        <f aca="false">IF(Debt!BR67&gt;0,BR17*Debt!BR45/Debt!BR67,0)</f>
        <v>0</v>
      </c>
      <c r="BS20" s="19" t="n">
        <f aca="false">IF(Debt!BS67&gt;0,BS17*Debt!BS45/Debt!BS67,0)</f>
        <v>0</v>
      </c>
      <c r="BT20" s="19" t="n">
        <f aca="false">IF(Debt!BT67&gt;0,BT17*Debt!BT45/Debt!BT67,0)</f>
        <v>0</v>
      </c>
      <c r="BU20" s="19" t="n">
        <f aca="false">IF(Debt!BU67&gt;0,BU17*Debt!BU45/Debt!BU67,0)</f>
        <v>0</v>
      </c>
      <c r="BV20" s="19" t="n">
        <f aca="false">IF(Debt!BV67&gt;0,BV17*Debt!BV45/Debt!BV67,0)</f>
        <v>0</v>
      </c>
      <c r="BW20" s="19" t="n">
        <f aca="false">IF(Debt!BW67&gt;0,BW17*Debt!BW45/Debt!BW67,0)</f>
        <v>0</v>
      </c>
      <c r="BX20" s="19" t="n">
        <f aca="false">IF(Debt!BX67&gt;0,BX17*Debt!BX45/Debt!BX67,0)</f>
        <v>0</v>
      </c>
      <c r="BY20" s="19" t="n">
        <f aca="false">IF(Debt!BY67&gt;0,BY17*Debt!BY45/Debt!BY67,0)</f>
        <v>0</v>
      </c>
      <c r="BZ20" s="19" t="n">
        <f aca="false">IF(Debt!BZ67&gt;0,BZ17*Debt!BZ45/Debt!BZ67,0)</f>
        <v>0</v>
      </c>
      <c r="CA20" s="19" t="n">
        <f aca="false">IF(Debt!CA67&gt;0,CA17*Debt!CA45/Debt!CA67,0)</f>
        <v>0</v>
      </c>
      <c r="CB20" s="19" t="n">
        <f aca="false">IF(Debt!CB67&gt;0,CB17*Debt!CB45/Debt!CB67,0)</f>
        <v>0</v>
      </c>
      <c r="CC20" s="19" t="n">
        <f aca="false">IF(Debt!CC67&gt;0,CC17*Debt!CC45/Debt!CC67,0)</f>
        <v>0</v>
      </c>
      <c r="CD20" s="19" t="n">
        <f aca="false">IF(Debt!CD67&gt;0,CD17*Debt!CD45/Debt!CD67,0)</f>
        <v>0</v>
      </c>
      <c r="CE20" s="19" t="n">
        <f aca="false">IF(Debt!CE67&gt;0,CE17*Debt!CE45/Debt!CE67,0)</f>
        <v>0</v>
      </c>
      <c r="CF20" s="19" t="n">
        <f aca="false">IF(Debt!CF67&gt;0,CF17*Debt!CF45/Debt!CF67,0)</f>
        <v>0</v>
      </c>
      <c r="CG20" s="19" t="n">
        <f aca="false">IF(Debt!CG67&gt;0,CG17*Debt!CG45/Debt!CG67,0)</f>
        <v>0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0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</v>
      </c>
      <c r="AW21" s="19" t="n">
        <f aca="false">IF(Debt!AW67&gt;0,AW17*Debt!AW52/Debt!AW67,0)</f>
        <v>0</v>
      </c>
      <c r="AX21" s="19" t="n">
        <f aca="false">IF(Debt!AX67&gt;0,AX17*Debt!AX52/Debt!AX67,0)</f>
        <v>0</v>
      </c>
      <c r="AY21" s="19" t="n">
        <f aca="false">IF(Debt!AY67&gt;0,AY17*Debt!AY52/Debt!AY67,0)</f>
        <v>0</v>
      </c>
      <c r="AZ21" s="19" t="n">
        <f aca="false">IF(Debt!AZ67&gt;0,AZ17*Debt!AZ52/Debt!AZ67,0)</f>
        <v>0</v>
      </c>
      <c r="BA21" s="19" t="n">
        <f aca="false">IF(Debt!BA67&gt;0,BA17*Debt!BA52/Debt!BA67,0)</f>
        <v>0</v>
      </c>
      <c r="BB21" s="19" t="n">
        <f aca="false">IF(Debt!BB67&gt;0,BB17*Debt!BB52/Debt!BB67,0)</f>
        <v>0</v>
      </c>
      <c r="BC21" s="19" t="n">
        <f aca="false">IF(Debt!BC67&gt;0,BC17*Debt!BC52/Debt!BC67,0)</f>
        <v>0</v>
      </c>
      <c r="BD21" s="19" t="n">
        <f aca="false">IF(Debt!BD67&gt;0,BD17*Debt!BD52/Debt!BD67,0)</f>
        <v>0</v>
      </c>
      <c r="BE21" s="19" t="n">
        <f aca="false">IF(Debt!BE67&gt;0,BE17*Debt!BE52/Debt!BE67,0)</f>
        <v>0</v>
      </c>
      <c r="BF21" s="19" t="n">
        <f aca="false">IF(Debt!BF67&gt;0,BF17*Debt!BF52/Debt!BF67,0)</f>
        <v>0</v>
      </c>
      <c r="BG21" s="19" t="n">
        <f aca="false">IF(Debt!BG67&gt;0,BG17*Debt!BG52/Debt!BG67,0)</f>
        <v>0</v>
      </c>
      <c r="BH21" s="19" t="n">
        <f aca="false">IF(Debt!BH67&gt;0,BH17*Debt!BH52/Debt!BH67,0)</f>
        <v>0</v>
      </c>
      <c r="BI21" s="19" t="n">
        <f aca="false">IF(Debt!BI67&gt;0,BI17*Debt!BI52/Debt!BI67,0)</f>
        <v>0</v>
      </c>
      <c r="BJ21" s="19" t="n">
        <f aca="false">IF(Debt!BJ67&gt;0,BJ17*Debt!BJ52/Debt!BJ67,0)</f>
        <v>0</v>
      </c>
      <c r="BK21" s="19" t="n">
        <f aca="false">IF(Debt!BK67&gt;0,BK17*Debt!BK52/Debt!BK67,0)</f>
        <v>0</v>
      </c>
      <c r="BL21" s="19" t="n">
        <f aca="false">IF(Debt!BL67&gt;0,BL17*Debt!BL52/Debt!BL67,0)</f>
        <v>0</v>
      </c>
      <c r="BM21" s="19" t="n">
        <f aca="false">IF(Debt!BM67&gt;0,BM17*Debt!BM52/Debt!BM67,0)</f>
        <v>0</v>
      </c>
      <c r="BN21" s="19" t="n">
        <f aca="false">IF(Debt!BN67&gt;0,BN17*Debt!BN52/Debt!BN67,0)</f>
        <v>0</v>
      </c>
      <c r="BO21" s="19" t="n">
        <f aca="false">IF(Debt!BO67&gt;0,BO17*Debt!BO52/Debt!BO67,0)</f>
        <v>0</v>
      </c>
      <c r="BP21" s="19" t="n">
        <f aca="false">IF(Debt!BP67&gt;0,BP17*Debt!BP52/Debt!BP67,0)</f>
        <v>0</v>
      </c>
      <c r="BQ21" s="19" t="n">
        <f aca="false">IF(Debt!BQ67&gt;0,BQ17*Debt!BQ52/Debt!BQ67,0)</f>
        <v>0</v>
      </c>
      <c r="BR21" s="19" t="n">
        <f aca="false">IF(Debt!BR67&gt;0,BR17*Debt!BR52/Debt!BR67,0)</f>
        <v>0</v>
      </c>
      <c r="BS21" s="19" t="n">
        <f aca="false">IF(Debt!BS67&gt;0,BS17*Debt!BS52/Debt!BS67,0)</f>
        <v>0</v>
      </c>
      <c r="BT21" s="19" t="n">
        <f aca="false">IF(Debt!BT67&gt;0,BT17*Debt!BT52/Debt!BT67,0)</f>
        <v>0</v>
      </c>
      <c r="BU21" s="19" t="n">
        <f aca="false">IF(Debt!BU67&gt;0,BU17*Debt!BU52/Debt!BU67,0)</f>
        <v>0</v>
      </c>
      <c r="BV21" s="19" t="n">
        <f aca="false">IF(Debt!BV67&gt;0,BV17*Debt!BV52/Debt!BV67,0)</f>
        <v>0</v>
      </c>
      <c r="BW21" s="19" t="n">
        <f aca="false">IF(Debt!BW67&gt;0,BW17*Debt!BW52/Debt!BW67,0)</f>
        <v>0</v>
      </c>
      <c r="BX21" s="19" t="n">
        <f aca="false">IF(Debt!BX67&gt;0,BX17*Debt!BX52/Debt!BX67,0)</f>
        <v>0</v>
      </c>
      <c r="BY21" s="19" t="n">
        <f aca="false">IF(Debt!BY67&gt;0,BY17*Debt!BY52/Debt!BY67,0)</f>
        <v>0</v>
      </c>
      <c r="BZ21" s="19" t="n">
        <f aca="false">IF(Debt!BZ67&gt;0,BZ17*Debt!BZ52/Debt!BZ67,0)</f>
        <v>0</v>
      </c>
      <c r="CA21" s="19" t="n">
        <f aca="false">IF(Debt!CA67&gt;0,CA17*Debt!CA52/Debt!CA67,0)</f>
        <v>0</v>
      </c>
      <c r="CB21" s="19" t="n">
        <f aca="false">IF(Debt!CB67&gt;0,CB17*Debt!CB52/Debt!CB67,0)</f>
        <v>0</v>
      </c>
      <c r="CC21" s="19" t="n">
        <f aca="false">IF(Debt!CC67&gt;0,CC17*Debt!CC52/Debt!CC67,0)</f>
        <v>0</v>
      </c>
      <c r="CD21" s="19" t="n">
        <f aca="false">IF(Debt!CD67&gt;0,CD17*Debt!CD52/Debt!CD67,0)</f>
        <v>0</v>
      </c>
      <c r="CE21" s="19" t="n">
        <f aca="false">IF(Debt!CE67&gt;0,CE17*Debt!CE52/Debt!CE67,0)</f>
        <v>0</v>
      </c>
      <c r="CF21" s="19" t="n">
        <f aca="false">IF(Debt!CF67&gt;0,CF17*Debt!CF52/Debt!CF67,0)</f>
        <v>0</v>
      </c>
      <c r="CG21" s="19" t="n">
        <f aca="false">IF(Debt!CG67&gt;0,CG17*Debt!CG52/Debt!CG67,0)</f>
        <v>0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447.43886846549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0.10273278701443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0.748954173588416</v>
      </c>
      <c r="AX22" s="19" t="n">
        <f aca="false">IF(Debt!AX67&gt;0,AX17*Debt!AX66/Debt!AX67,0)</f>
        <v>0.791408079831591</v>
      </c>
      <c r="AY22" s="19" t="n">
        <f aca="false">IF(Debt!AY67&gt;0,AY17*Debt!AY66/Debt!AY67,0)</f>
        <v>0.204304394943771</v>
      </c>
      <c r="AZ22" s="19" t="n">
        <f aca="false">IF(Debt!AZ67&gt;0,AZ17*Debt!AZ66/Debt!AZ67,0)</f>
        <v>0.348908822575057</v>
      </c>
      <c r="BA22" s="19" t="n">
        <f aca="false">IF(Debt!BA67&gt;0,BA17*Debt!BA66/Debt!BA67,0)</f>
        <v>0.103400775216947</v>
      </c>
      <c r="BB22" s="19" t="n">
        <f aca="false">IF(Debt!BB67&gt;0,BB17*Debt!BB66/Debt!BB67,0)</f>
        <v>0</v>
      </c>
      <c r="BC22" s="19" t="n">
        <f aca="false">IF(Debt!BC67&gt;0,BC17*Debt!BC66/Debt!BC67,0)</f>
        <v>5.52756088138233</v>
      </c>
      <c r="BD22" s="19" t="n">
        <f aca="false">IF(Debt!BD67&gt;0,BD17*Debt!BD66/Debt!BD67,0)</f>
        <v>5.69658756471543</v>
      </c>
      <c r="BE22" s="19" t="n">
        <f aca="false">IF(Debt!BE67&gt;0,BE17*Debt!BE66/Debt!BE67,0)</f>
        <v>8.45279335883729</v>
      </c>
      <c r="BF22" s="19" t="n">
        <f aca="false">IF(Debt!BF67&gt;0,BF17*Debt!BF66/Debt!BF67,0)</f>
        <v>7.67262311047828</v>
      </c>
      <c r="BG22" s="19" t="n">
        <f aca="false">IF(Debt!BG67&gt;0,BG17*Debt!BG66/Debt!BG67,0)</f>
        <v>7.0356878136811</v>
      </c>
      <c r="BH22" s="19" t="n">
        <f aca="false">IF(Debt!BH67&gt;0,BH17*Debt!BH66/Debt!BH67,0)</f>
        <v>7.2833114971834</v>
      </c>
      <c r="BI22" s="19" t="n">
        <f aca="false">IF(Debt!BI67&gt;0,BI17*Debt!BI66/Debt!BI67,0)</f>
        <v>8.1836935366804</v>
      </c>
      <c r="BJ22" s="19" t="n">
        <f aca="false">IF(Debt!BJ67&gt;0,BJ17*Debt!BJ66/Debt!BJ67,0)</f>
        <v>8.34378590086599</v>
      </c>
      <c r="BK22" s="19" t="n">
        <f aca="false">IF(Debt!BK67&gt;0,BK17*Debt!BK66/Debt!BK67,0)</f>
        <v>9.4196633726061</v>
      </c>
      <c r="BL22" s="19" t="n">
        <f aca="false">IF(Debt!BL67&gt;0,BL17*Debt!BL66/Debt!BL67,0)</f>
        <v>9.60884043282317</v>
      </c>
      <c r="BM22" s="19" t="n">
        <f aca="false">IF(Debt!BM67&gt;0,BM17*Debt!BM66/Debt!BM67,0)</f>
        <v>10.7515096206289</v>
      </c>
      <c r="BN22" s="19" t="n">
        <f aca="false">IF(Debt!BN67&gt;0,BN17*Debt!BN66/Debt!BN67,0)</f>
        <v>10.9719611775153</v>
      </c>
      <c r="BO22" s="19" t="n">
        <f aca="false">IF(Debt!BO67&gt;0,BO17*Debt!BO66/Debt!BO67,0)</f>
        <v>4.86255599784799</v>
      </c>
      <c r="BP22" s="19" t="n">
        <f aca="false">IF(Debt!BP67&gt;0,BP17*Debt!BP66/Debt!BP67,0)</f>
        <v>5.09223264059846</v>
      </c>
      <c r="BQ22" s="19" t="n">
        <f aca="false">IF(Debt!BQ67&gt;0,BQ17*Debt!BQ66/Debt!BQ67,0)</f>
        <v>6.08627730684115</v>
      </c>
      <c r="BR22" s="19" t="n">
        <f aca="false">IF(Debt!BR67&gt;0,BR17*Debt!BR66/Debt!BR67,0)</f>
        <v>5.99581926776035</v>
      </c>
      <c r="BS22" s="19" t="n">
        <f aca="false">IF(Debt!BS67&gt;0,BS17*Debt!BS66/Debt!BS67,0)</f>
        <v>7.15359570631784</v>
      </c>
      <c r="BT22" s="19" t="n">
        <f aca="false">IF(Debt!BT67&gt;0,BT17*Debt!BT66/Debt!BT67,0)</f>
        <v>7.0807825321737</v>
      </c>
      <c r="BU22" s="19" t="n">
        <f aca="false">IF(Debt!BU67&gt;0,BU17*Debt!BU66/Debt!BU67,0)</f>
        <v>21.6525993624612</v>
      </c>
      <c r="BV22" s="19" t="n">
        <f aca="false">IF(Debt!BV67&gt;0,BV17*Debt!BV66/Debt!BV67,0)</f>
        <v>21.9108637415731</v>
      </c>
      <c r="BW22" s="19" t="n">
        <f aca="false">IF(Debt!BW67&gt;0,BW17*Debt!BW66/Debt!BW67,0)</f>
        <v>18.514424419685</v>
      </c>
      <c r="BX22" s="19" t="n">
        <f aca="false">IF(Debt!BX67&gt;0,BX17*Debt!BX66/Debt!BX67,0)</f>
        <v>17.739133389643</v>
      </c>
      <c r="BY22" s="19" t="n">
        <f aca="false">IF(Debt!BY67&gt;0,BY17*Debt!BY66/Debt!BY67,0)</f>
        <v>19.1037340520449</v>
      </c>
      <c r="BZ22" s="19" t="n">
        <f aca="false">IF(Debt!BZ67&gt;0,BZ17*Debt!BZ66/Debt!BZ67,0)</f>
        <v>19.2733558496443</v>
      </c>
      <c r="CA22" s="19" t="n">
        <f aca="false">IF(Debt!CA67&gt;0,CA17*Debt!CA66/Debt!CA67,0)</f>
        <v>16.131673541607</v>
      </c>
      <c r="CB22" s="19" t="n">
        <f aca="false">IF(Debt!CB67&gt;0,CB17*Debt!CB66/Debt!CB67,0)</f>
        <v>16.2311735731157</v>
      </c>
      <c r="CC22" s="19" t="n">
        <f aca="false">IF(Debt!CC67&gt;0,CC17*Debt!CC66/Debt!CC67,0)</f>
        <v>17.7884736663117</v>
      </c>
      <c r="CD22" s="19" t="n">
        <f aca="false">IF(Debt!CD67&gt;0,CD17*Debt!CD66/Debt!CD67,0)</f>
        <v>17.9176800920126</v>
      </c>
      <c r="CE22" s="19" t="n">
        <f aca="false">IF(Debt!CE67&gt;0,CE17*Debt!CE66/Debt!CE67,0)</f>
        <v>17.2687572031878</v>
      </c>
      <c r="CF22" s="19" t="n">
        <f aca="false">IF(Debt!CF67&gt;0,CF17*Debt!CF66/Debt!CF67,0)</f>
        <v>17.5528345503154</v>
      </c>
      <c r="CG22" s="19" t="n">
        <f aca="false">IF(Debt!CG67&gt;0,CG17*Debt!CG66/Debt!CG67,0)</f>
        <v>32.2895890690119</v>
      </c>
      <c r="CH22" s="19" t="n">
        <f aca="false">IF(Debt!CH67&gt;0,CH17*Debt!CH66/Debt!CH67,0)</f>
        <v>24.2110285404821</v>
      </c>
      <c r="CI22" s="19" t="n">
        <f aca="false">IF(Debt!CI67&gt;0,CI17*Debt!CI66/Debt!CI67,0)</f>
        <v>26.0745519731535</v>
      </c>
      <c r="CJ22" s="19" t="n">
        <f aca="false">IF(Debt!CJ67&gt;0,CJ17*Debt!CJ66/Debt!CJ67,0)</f>
        <v>6.26000468913347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17.1473819891426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7.42940156935757</v>
      </c>
      <c r="AC23" s="19" t="n">
        <f aca="false">MAX(0,AC14-MAX(0,AC10))</f>
        <v>4.12379448480069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5.59418593498429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0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6.56563722459921</v>
      </c>
      <c r="AA24" s="19" t="n">
        <f aca="false">AA10-AA14+AA23</f>
        <v>6.81148827621875</v>
      </c>
      <c r="AB24" s="19" t="n">
        <f aca="false">AB10-AB14+AB23</f>
        <v>0</v>
      </c>
      <c r="AC24" s="19" t="n">
        <f aca="false">AC10-AC14+AC23</f>
        <v>0</v>
      </c>
      <c r="AD24" s="19" t="n">
        <f aca="false">AD10-AD14+AD23</f>
        <v>16.7720541484401</v>
      </c>
      <c r="AE24" s="19" t="n">
        <f aca="false">AE10-AE14+AE23</f>
        <v>21.6488964839566</v>
      </c>
      <c r="AF24" s="19" t="n">
        <f aca="false">AF10-AF14+AF23</f>
        <v>0</v>
      </c>
      <c r="AG24" s="19" t="n">
        <f aca="false">AG10-AG14+AG23</f>
        <v>0.215246260956096</v>
      </c>
      <c r="AH24" s="19" t="n">
        <f aca="false">AH10-AH14+AH23</f>
        <v>0.309651321969223</v>
      </c>
      <c r="AI24" s="19" t="n">
        <f aca="false">AI10-AI14+AI23</f>
        <v>0.760074155497353</v>
      </c>
      <c r="AJ24" s="19" t="n">
        <f aca="false">AJ10-AJ14+AJ23</f>
        <v>56.6171335089952</v>
      </c>
      <c r="AK24" s="19" t="n">
        <f aca="false">AK10-AK14+AK23</f>
        <v>18.9034459701855</v>
      </c>
      <c r="AL24" s="19" t="n">
        <f aca="false">AL10-AL14+AL23</f>
        <v>18.7943082326011</v>
      </c>
      <c r="AM24" s="19" t="n">
        <f aca="false">AM10-AM14+AM23</f>
        <v>21.9334812754123</v>
      </c>
      <c r="AN24" s="19" t="n">
        <f aca="false">AN10-AN14+AN23</f>
        <v>21.2719327832773</v>
      </c>
      <c r="AO24" s="19" t="n">
        <f aca="false">AO10-AO14+AO23</f>
        <v>27.3434455456597</v>
      </c>
      <c r="AP24" s="19" t="n">
        <f aca="false">AP10-AP14+AP23</f>
        <v>28.0428109068618</v>
      </c>
      <c r="AQ24" s="19" t="n">
        <f aca="false">AQ10-AQ14+AQ23</f>
        <v>19.8147580925498</v>
      </c>
      <c r="AR24" s="19" t="n">
        <f aca="false">AR10-AR14+AR23</f>
        <v>19.1298421603147</v>
      </c>
      <c r="AS24" s="19" t="n">
        <f aca="false">AS10-AS14+AS23</f>
        <v>19.7779603612813</v>
      </c>
      <c r="AT24" s="19" t="n">
        <f aca="false">AT10-AT14+AT23</f>
        <v>20.2091298924013</v>
      </c>
      <c r="AU24" s="19" t="n">
        <f aca="false">AU10-AU14+AU23</f>
        <v>22.0923524167158</v>
      </c>
      <c r="AV24" s="19" t="n">
        <f aca="false">AV10-AV14+AV23</f>
        <v>22.5644871285349</v>
      </c>
      <c r="AW24" s="19" t="n">
        <f aca="false">AW10-AW14+AW23</f>
        <v>31.0588418370347</v>
      </c>
      <c r="AX24" s="19" t="n">
        <f aca="false">AX10-AX14+AX23</f>
        <v>31.4967913114231</v>
      </c>
      <c r="AY24" s="19" t="n">
        <f aca="false">AY10-AY14+AY23</f>
        <v>30.49171374127</v>
      </c>
      <c r="AZ24" s="19" t="n">
        <f aca="false">AZ10-AZ14+AZ23</f>
        <v>30.722416864398</v>
      </c>
      <c r="BA24" s="19" t="n">
        <f aca="false">BA10-BA14+BA23</f>
        <v>30.2901957248434</v>
      </c>
      <c r="BB24" s="19" t="n">
        <f aca="false">BB10-BB14+BB23</f>
        <v>28.2971708114556</v>
      </c>
      <c r="BC24" s="19" t="n">
        <f aca="false">BC10-BC14+BC23</f>
        <v>39.2741809740929</v>
      </c>
      <c r="BD24" s="19" t="n">
        <f aca="false">BD10-BD14+BD23</f>
        <v>39.3206442441628</v>
      </c>
      <c r="BE24" s="19" t="n">
        <f aca="false">BE10-BE14+BE23</f>
        <v>43.6418473435538</v>
      </c>
      <c r="BF24" s="19" t="n">
        <f aca="false">BF10-BF14+BF23</f>
        <v>41.9849412732832</v>
      </c>
      <c r="BG24" s="19" t="n">
        <f aca="false">BG10-BG14+BG23</f>
        <v>40.6317464442533</v>
      </c>
      <c r="BH24" s="19" t="n">
        <f aca="false">BH10-BH14+BH23</f>
        <v>40.7467612726765</v>
      </c>
      <c r="BI24" s="19" t="n">
        <f aca="false">BI10-BI14+BI23</f>
        <v>41.9298032653446</v>
      </c>
      <c r="BJ24" s="19" t="n">
        <f aca="false">BJ10-BJ14+BJ23</f>
        <v>41.8493737722202</v>
      </c>
      <c r="BK24" s="19" t="n">
        <f aca="false">BK10-BK14+BK23</f>
        <v>43.2782289531142</v>
      </c>
      <c r="BL24" s="19" t="n">
        <f aca="false">BL10-BL14+BL23</f>
        <v>43.193773379053</v>
      </c>
      <c r="BM24" s="19" t="n">
        <f aca="false">BM10-BM14+BM23</f>
        <v>44.6797883795762</v>
      </c>
      <c r="BN24" s="19" t="n">
        <f aca="false">BN10-BN14+BN23</f>
        <v>44.5908846086021</v>
      </c>
      <c r="BO24" s="19" t="n">
        <f aca="false">BO10-BO14+BO23</f>
        <v>34.0169374708181</v>
      </c>
      <c r="BP24" s="19" t="n">
        <f aca="false">BP10-BP14+BP23</f>
        <v>34.191954498003</v>
      </c>
      <c r="BQ24" s="19" t="n">
        <f aca="false">BQ10-BQ14+BQ23</f>
        <v>35.6225015598568</v>
      </c>
      <c r="BR24" s="19" t="n">
        <f aca="false">BR10-BR14+BR23</f>
        <v>35.2157453890876</v>
      </c>
      <c r="BS24" s="19" t="n">
        <f aca="false">BS10-BS14+BS23</f>
        <v>36.8792432092754</v>
      </c>
      <c r="BT24" s="19" t="n">
        <f aca="false">BT10-BT14+BT23</f>
        <v>36.4566437957659</v>
      </c>
      <c r="BU24" s="19" t="n">
        <f aca="false">BU10-BU14+BU23</f>
        <v>60.2868796485105</v>
      </c>
      <c r="BV24" s="19" t="n">
        <f aca="false">BV10-BV14+BV23</f>
        <v>59.8002450366634</v>
      </c>
      <c r="BW24" s="19" t="n">
        <f aca="false">BW10-BW14+BW23</f>
        <v>53.219403204964</v>
      </c>
      <c r="BX24" s="19" t="n">
        <f aca="false">BX10-BX14+BX23</f>
        <v>51.1783820361694</v>
      </c>
      <c r="BY24" s="19" t="n">
        <f aca="false">BY10-BY14+BY23</f>
        <v>52.6884602548779</v>
      </c>
      <c r="BZ24" s="19" t="n">
        <f aca="false">BZ10-BZ14+BZ23</f>
        <v>52.1627577553136</v>
      </c>
      <c r="CA24" s="19" t="n">
        <f aca="false">CA10-CA14+CA23</f>
        <v>46.1501552490111</v>
      </c>
      <c r="CB24" s="19" t="n">
        <f aca="false">CB10-CB14+CB23</f>
        <v>45.6338281018885</v>
      </c>
      <c r="CC24" s="19" t="n">
        <f aca="false">CC10-CC14+CC23</f>
        <v>47.5474224124643</v>
      </c>
      <c r="CD24" s="19" t="n">
        <f aca="false">CD10-CD14+CD23</f>
        <v>47.012468477285</v>
      </c>
      <c r="CE24" s="19" t="n">
        <f aca="false">CE10-CE14+CE23</f>
        <v>45.1830943329789</v>
      </c>
      <c r="CF24" s="19" t="n">
        <f aca="false">CF10-CF14+CF23</f>
        <v>44.9243179306823</v>
      </c>
      <c r="CG24" s="19" t="n">
        <f aca="false">CG10-CG14+CG23</f>
        <v>68.5739352524633</v>
      </c>
      <c r="CH24" s="19" t="n">
        <f aca="false">CH10-CH14+CH23</f>
        <v>53.8405061961021</v>
      </c>
      <c r="CI24" s="19" t="n">
        <f aca="false">CI10-CI14+CI23</f>
        <v>55.9037337498249</v>
      </c>
      <c r="CJ24" s="19" t="n">
        <f aca="false">CJ10-CJ14+CJ23</f>
        <v>75.3895524283751</v>
      </c>
      <c r="CK24" s="19" t="n">
        <f aca="false">CK10-CK14+CK23</f>
        <v>102.375088413017</v>
      </c>
      <c r="CL24" s="19" t="n">
        <f aca="false">CL10-CL14+CL23</f>
        <v>90.6020636347948</v>
      </c>
      <c r="CM24" s="19" t="n">
        <f aca="false">CM10-CM14+CM23</f>
        <v>74.8831022611121</v>
      </c>
      <c r="CN24" s="19" t="n">
        <f aca="false">CN10-CN14+CN23</f>
        <v>74.5712503087766</v>
      </c>
      <c r="CO24" s="19" t="n">
        <f aca="false">CO10-CO14+CO23</f>
        <v>77.9017856002315</v>
      </c>
      <c r="CP24" s="19" t="n">
        <f aca="false">CP10-CP14+CP23</f>
        <v>77.0471256016325</v>
      </c>
      <c r="CQ24" s="19" t="n">
        <f aca="false">CQ10-CQ14+CQ23</f>
        <v>80.9825138268942</v>
      </c>
      <c r="CR24" s="19" t="n">
        <f aca="false">CR10-CR14+CR23</f>
        <v>80.0559082041861</v>
      </c>
      <c r="CS24" s="19" t="n">
        <f aca="false">CS10-CS14+CS23</f>
        <v>125.896157296543</v>
      </c>
      <c r="CT24" s="19" t="n">
        <f aca="false">CT10-CT14+CT23</f>
        <v>91.5804595753685</v>
      </c>
      <c r="CU24" s="19" t="n">
        <f aca="false">CU10-CU14+CU23</f>
        <v>87.3709623339191</v>
      </c>
      <c r="CV24" s="19" t="n">
        <f aca="false">CV10-CV14+CV23</f>
        <v>86.673422823051</v>
      </c>
      <c r="CW24" s="19" t="n">
        <f aca="false">CW10-CW14+CW23</f>
        <v>90.4030159970879</v>
      </c>
      <c r="CX24" s="19" t="n">
        <f aca="false">CX10-CX14+CX23</f>
        <v>89.0820261185741</v>
      </c>
      <c r="CY24" s="19" t="n">
        <f aca="false">CY10-CY14+CY23</f>
        <v>93.5368552077883</v>
      </c>
      <c r="CZ24" s="19" t="n">
        <f aca="false">CZ10-CZ14+CZ23</f>
        <v>92.1777942346027</v>
      </c>
      <c r="DA24" s="19" t="n">
        <f aca="false">DA10-DA14+DA23</f>
        <v>117.507083821186</v>
      </c>
      <c r="DB24" s="19" t="n">
        <f aca="false">DB10-DB14+DB23</f>
        <v>121.983902080668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5.0866396036232</v>
      </c>
      <c r="AA26" s="19" t="n">
        <f aca="false">AA24-Reserves!AA11+Reserves!AA12</f>
        <v>2.87509153720747</v>
      </c>
      <c r="AB26" s="19" t="n">
        <f aca="false">AB24-Reserves!AB11+Reserves!AB12</f>
        <v>0</v>
      </c>
      <c r="AC26" s="19" t="n">
        <f aca="false">AC24-Reserves!AC11+Reserves!AC12</f>
        <v>0</v>
      </c>
      <c r="AD26" s="19" t="n">
        <f aca="false">AD24-Reserves!AD11+Reserves!AD12</f>
        <v>0.589757494120562</v>
      </c>
      <c r="AE26" s="19" t="n">
        <f aca="false">AE24-Reserves!AE11+Reserves!AE12</f>
        <v>21.6229449055457</v>
      </c>
      <c r="AF26" s="19" t="n">
        <f aca="false">AF24-Reserves!AF11+Reserves!AF12</f>
        <v>0</v>
      </c>
      <c r="AG26" s="19" t="n">
        <f aca="false">AG24-Reserves!AG11+Reserves!AG12</f>
        <v>0</v>
      </c>
      <c r="AH26" s="19" t="n">
        <f aca="false">AH24-Reserves!AH11+Reserves!AH12</f>
        <v>0</v>
      </c>
      <c r="AI26" s="19" t="n">
        <f aca="false">AI24-Reserves!AI11+Reserves!AI12</f>
        <v>19.6488744892848</v>
      </c>
      <c r="AJ26" s="19" t="n">
        <f aca="false">AJ24-Reserves!AJ11+Reserves!AJ12</f>
        <v>40.9365078780015</v>
      </c>
      <c r="AK26" s="19" t="n">
        <f aca="false">AK24-Reserves!AK11+Reserves!AK12</f>
        <v>19.42538644563</v>
      </c>
      <c r="AL26" s="19" t="n">
        <f aca="false">AL24-Reserves!AL11+Reserves!AL12</f>
        <v>19.0419819097829</v>
      </c>
      <c r="AM26" s="19" t="n">
        <f aca="false">AM24-Reserves!AM11+Reserves!AM12</f>
        <v>22.176266544762</v>
      </c>
      <c r="AN26" s="19" t="n">
        <f aca="false">AN24-Reserves!AN11+Reserves!AN12</f>
        <v>21.554680181723</v>
      </c>
      <c r="AO26" s="19" t="n">
        <f aca="false">AO24-Reserves!AO11+Reserves!AO12</f>
        <v>27.5155349309623</v>
      </c>
      <c r="AP26" s="19" t="n">
        <f aca="false">AP24-Reserves!AP11+Reserves!AP12</f>
        <v>28.4989864503148</v>
      </c>
      <c r="AQ26" s="19" t="n">
        <f aca="false">AQ24-Reserves!AQ11+Reserves!AQ12</f>
        <v>20.1781201697913</v>
      </c>
      <c r="AR26" s="19" t="n">
        <f aca="false">AR24-Reserves!AR11+Reserves!AR12</f>
        <v>19.3871131924795</v>
      </c>
      <c r="AS26" s="19" t="n">
        <f aca="false">AS24-Reserves!AS11+Reserves!AS12</f>
        <v>20.0251460544854</v>
      </c>
      <c r="AT26" s="19" t="n">
        <f aca="false">AT24-Reserves!AT11+Reserves!AT12</f>
        <v>20.464450504596</v>
      </c>
      <c r="AU26" s="19" t="n">
        <f aca="false">AU24-Reserves!AU11+Reserves!AU12</f>
        <v>22.3532741606495</v>
      </c>
      <c r="AV26" s="19" t="n">
        <f aca="false">AV24-Reserves!AV11+Reserves!AV12</f>
        <v>22.1005372004948</v>
      </c>
      <c r="AW26" s="19" t="n">
        <f aca="false">AW24-Reserves!AW11+Reserves!AW12</f>
        <v>31.3172681115243</v>
      </c>
      <c r="AX26" s="19" t="n">
        <f aca="false">AX24-Reserves!AX11+Reserves!AX12</f>
        <v>32.5033710707685</v>
      </c>
      <c r="AY26" s="19" t="n">
        <f aca="false">AY24-Reserves!AY11+Reserves!AY12</f>
        <v>30.3523190757098</v>
      </c>
      <c r="AZ26" s="19" t="n">
        <f aca="false">AZ24-Reserves!AZ11+Reserves!AZ12</f>
        <v>30.9768220867318</v>
      </c>
      <c r="BA26" s="19" t="n">
        <f aca="false">BA24-Reserves!BA11+Reserves!BA12</f>
        <v>30.3962332198284</v>
      </c>
      <c r="BB26" s="19" t="n">
        <f aca="false">BB24-Reserves!BB11+Reserves!BB12</f>
        <v>22.7696099300733</v>
      </c>
      <c r="BC26" s="19" t="n">
        <f aca="false">BC24-Reserves!BC11+Reserves!BC12</f>
        <v>39.246107093235</v>
      </c>
      <c r="BD26" s="19" t="n">
        <f aca="false">BD24-Reserves!BD11+Reserves!BD12</f>
        <v>36.7097014329412</v>
      </c>
      <c r="BE26" s="19" t="n">
        <f aca="false">BE24-Reserves!BE11+Reserves!BE12</f>
        <v>44.6375638225632</v>
      </c>
      <c r="BF26" s="19" t="n">
        <f aca="false">BF24-Reserves!BF11+Reserves!BF12</f>
        <v>42.8175284593975</v>
      </c>
      <c r="BG26" s="19" t="n">
        <f aca="false">BG24-Reserves!BG11+Reserves!BG12</f>
        <v>40.5635327999999</v>
      </c>
      <c r="BH26" s="19" t="n">
        <f aca="false">BH24-Reserves!BH11+Reserves!BH12</f>
        <v>40.0321036763576</v>
      </c>
      <c r="BI26" s="19" t="n">
        <f aca="false">BI24-Reserves!BI11+Reserves!BI12</f>
        <v>41.9783950863443</v>
      </c>
      <c r="BJ26" s="19" t="n">
        <f aca="false">BJ24-Reserves!BJ11+Reserves!BJ12</f>
        <v>40.9862628409522</v>
      </c>
      <c r="BK26" s="19" t="n">
        <f aca="false">BK24-Reserves!BK11+Reserves!BK12</f>
        <v>43.3292533088986</v>
      </c>
      <c r="BL26" s="19" t="n">
        <f aca="false">BL24-Reserves!BL11+Reserves!BL12</f>
        <v>42.2961296222843</v>
      </c>
      <c r="BM26" s="19" t="n">
        <f aca="false">BM24-Reserves!BM11+Reserves!BM12</f>
        <v>44.7335003180159</v>
      </c>
      <c r="BN26" s="19" t="n">
        <f aca="false">BN24-Reserves!BN11+Reserves!BN12</f>
        <v>50.980074798296</v>
      </c>
      <c r="BO26" s="19" t="n">
        <f aca="false">BO24-Reserves!BO11+Reserves!BO12</f>
        <v>33.9112560060127</v>
      </c>
      <c r="BP26" s="19" t="n">
        <f aca="false">BP24-Reserves!BP11+Reserves!BP12</f>
        <v>33.3277617640956</v>
      </c>
      <c r="BQ26" s="19" t="n">
        <f aca="false">BQ24-Reserves!BQ11+Reserves!BQ12</f>
        <v>35.8681596702621</v>
      </c>
      <c r="BR26" s="19" t="n">
        <f aca="false">BR24-Reserves!BR11+Reserves!BR12</f>
        <v>34.210862341858</v>
      </c>
      <c r="BS26" s="19" t="n">
        <f aca="false">BS24-Reserves!BS11+Reserves!BS12</f>
        <v>37.1344730739306</v>
      </c>
      <c r="BT26" s="19" t="n">
        <f aca="false">BT24-Reserves!BT11+Reserves!BT12</f>
        <v>22.0653869200488</v>
      </c>
      <c r="BU26" s="19" t="n">
        <f aca="false">BU24-Reserves!BU11+Reserves!BU12</f>
        <v>60.5807565531414</v>
      </c>
      <c r="BV26" s="19" t="n">
        <f aca="false">BV24-Reserves!BV11+Reserves!BV12</f>
        <v>63.7554113839616</v>
      </c>
      <c r="BW26" s="19" t="n">
        <f aca="false">BW24-Reserves!BW11+Reserves!BW12</f>
        <v>54.466812057708</v>
      </c>
      <c r="BX26" s="19" t="n">
        <f aca="false">BX24-Reserves!BX11+Reserves!BX12</f>
        <v>50.2661292752035</v>
      </c>
      <c r="BY26" s="19" t="n">
        <f aca="false">BY24-Reserves!BY11+Reserves!BY12</f>
        <v>53.0059836756057</v>
      </c>
      <c r="BZ26" s="19" t="n">
        <f aca="false">BZ24-Reserves!BZ11+Reserves!BZ12</f>
        <v>55.7959106375168</v>
      </c>
      <c r="CA26" s="19" t="n">
        <f aca="false">CA24-Reserves!CA11+Reserves!CA12</f>
        <v>46.4620128928133</v>
      </c>
      <c r="CB26" s="19" t="n">
        <f aca="false">CB24-Reserves!CB11+Reserves!CB12</f>
        <v>44.490422934807</v>
      </c>
      <c r="CC26" s="19" t="n">
        <f aca="false">CC24-Reserves!CC11+Reserves!CC12</f>
        <v>47.8718220652544</v>
      </c>
      <c r="CD26" s="19" t="n">
        <f aca="false">CD24-Reserves!CD11+Reserves!CD12</f>
        <v>48.1182922084562</v>
      </c>
      <c r="CE26" s="19" t="n">
        <f aca="false">CE24-Reserves!CE11+Reserves!CE12</f>
        <v>45.3393702945326</v>
      </c>
      <c r="CF26" s="19" t="n">
        <f aca="false">CF24-Reserves!CF11+Reserves!CF12</f>
        <v>30.6351606930188</v>
      </c>
      <c r="CG26" s="19" t="n">
        <f aca="false">CG24-Reserves!CG11+Reserves!CG12</f>
        <v>77.475880302253</v>
      </c>
      <c r="CH26" s="19" t="n">
        <f aca="false">CH24-Reserves!CH11+Reserves!CH12</f>
        <v>52.594363991213</v>
      </c>
      <c r="CI26" s="19" t="n">
        <f aca="false">CI24-Reserves!CI11+Reserves!CI12</f>
        <v>76.3831821091603</v>
      </c>
      <c r="CJ26" s="19" t="n">
        <f aca="false">CJ24-Reserves!CJ11+Reserves!CJ12</f>
        <v>81.8091872370815</v>
      </c>
      <c r="CK26" s="19" t="n">
        <f aca="false">CK24-Reserves!CK11+Reserves!CK12</f>
        <v>102.375088413017</v>
      </c>
      <c r="CL26" s="19" t="n">
        <f aca="false">CL24-Reserves!CL11+Reserves!CL12</f>
        <v>90.6020636347948</v>
      </c>
      <c r="CM26" s="19" t="n">
        <f aca="false">CM24-Reserves!CM11+Reserves!CM12</f>
        <v>74.8831022611121</v>
      </c>
      <c r="CN26" s="19" t="n">
        <f aca="false">CN24-Reserves!CN11+Reserves!CN12</f>
        <v>74.5712503087766</v>
      </c>
      <c r="CO26" s="19" t="n">
        <f aca="false">CO24-Reserves!CO11+Reserves!CO12</f>
        <v>77.9017856002315</v>
      </c>
      <c r="CP26" s="19" t="n">
        <f aca="false">CP24-Reserves!CP11+Reserves!CP12</f>
        <v>77.0471256016325</v>
      </c>
      <c r="CQ26" s="19" t="n">
        <f aca="false">CQ24-Reserves!CQ11+Reserves!CQ12</f>
        <v>80.9825138268942</v>
      </c>
      <c r="CR26" s="19" t="n">
        <f aca="false">CR24-Reserves!CR11+Reserves!CR12</f>
        <v>80.0559082041861</v>
      </c>
      <c r="CS26" s="19" t="n">
        <f aca="false">CS24-Reserves!CS11+Reserves!CS12</f>
        <v>125.896157296543</v>
      </c>
      <c r="CT26" s="19" t="n">
        <f aca="false">CT24-Reserves!CT11+Reserves!CT12</f>
        <v>91.5804595753685</v>
      </c>
      <c r="CU26" s="19" t="n">
        <f aca="false">CU24-Reserves!CU11+Reserves!CU12</f>
        <v>87.3709623339191</v>
      </c>
      <c r="CV26" s="19" t="n">
        <f aca="false">CV24-Reserves!CV11+Reserves!CV12</f>
        <v>86.673422823051</v>
      </c>
      <c r="CW26" s="19" t="n">
        <f aca="false">CW24-Reserves!CW11+Reserves!CW12</f>
        <v>90.4030159970879</v>
      </c>
      <c r="CX26" s="19" t="n">
        <f aca="false">CX24-Reserves!CX11+Reserves!CX12</f>
        <v>89.0820261185741</v>
      </c>
      <c r="CY26" s="19" t="n">
        <f aca="false">CY24-Reserves!CY11+Reserves!CY12</f>
        <v>93.5368552077883</v>
      </c>
      <c r="CZ26" s="19" t="n">
        <f aca="false">CZ24-Reserves!CZ11+Reserves!CZ12</f>
        <v>92.1777942346027</v>
      </c>
      <c r="DA26" s="19" t="n">
        <f aca="false">DA24-Reserves!DA11+Reserves!DA12</f>
        <v>117.507083821186</v>
      </c>
      <c r="DB26" s="19" t="n">
        <f aca="false">DB24-Reserves!DB11+Reserves!DB12</f>
        <v>121.983902080668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396.693185183496</v>
      </c>
      <c r="AF28" s="19" t="n">
        <f aca="false">Debt!AF42-AF20</f>
        <v>386.962859976</v>
      </c>
      <c r="AG28" s="19" t="n">
        <f aca="false">Debt!AG42-AG20</f>
        <v>386.962859976</v>
      </c>
      <c r="AH28" s="19" t="n">
        <f aca="false">Debt!AH42-AH20</f>
        <v>386.962859976</v>
      </c>
      <c r="AI28" s="19" t="n">
        <f aca="false">Debt!AI42-AI20</f>
        <v>386.962859976</v>
      </c>
      <c r="AJ28" s="19" t="n">
        <f aca="false">Debt!AJ42-AJ20</f>
        <v>0</v>
      </c>
      <c r="AK28" s="19" t="n">
        <f aca="false">Debt!AK42-AK20</f>
        <v>0</v>
      </c>
      <c r="AL28" s="19" t="n">
        <f aca="false">Debt!AL42-AL20</f>
        <v>0</v>
      </c>
      <c r="AM28" s="19" t="n">
        <f aca="false">Debt!AM42-AM20</f>
        <v>0</v>
      </c>
      <c r="AN28" s="19" t="n">
        <f aca="false">Debt!AN42-AN20</f>
        <v>0</v>
      </c>
      <c r="AO28" s="19" t="n">
        <f aca="false">Debt!AO42-AO20</f>
        <v>0</v>
      </c>
      <c r="AP28" s="19" t="n">
        <f aca="false">Debt!AP42-AP20</f>
        <v>0</v>
      </c>
      <c r="AQ28" s="19" t="n">
        <f aca="false">Debt!AQ42-AQ20</f>
        <v>0</v>
      </c>
      <c r="AR28" s="19" t="n">
        <f aca="false">Debt!AR42-AR20</f>
        <v>0</v>
      </c>
      <c r="AS28" s="19" t="n">
        <f aca="false">Debt!AS42-AS20</f>
        <v>0</v>
      </c>
      <c r="AT28" s="19" t="n">
        <f aca="false">Debt!AT42-AT20</f>
        <v>0</v>
      </c>
      <c r="AU28" s="19" t="n">
        <f aca="false">Debt!AU42-AU20</f>
        <v>0</v>
      </c>
      <c r="AV28" s="19" t="n">
        <f aca="false">Debt!AV42-AV20</f>
        <v>0</v>
      </c>
      <c r="AW28" s="19" t="n">
        <f aca="false">Debt!AW42-AW20</f>
        <v>0</v>
      </c>
      <c r="AX28" s="19" t="n">
        <f aca="false">Debt!AX42-AX20</f>
        <v>0</v>
      </c>
      <c r="AY28" s="19" t="n">
        <f aca="false">Debt!AY42-AY20</f>
        <v>0</v>
      </c>
      <c r="AZ28" s="19" t="n">
        <f aca="false">Debt!AZ42-AZ20</f>
        <v>0</v>
      </c>
      <c r="BA28" s="19" t="n">
        <f aca="false">Debt!BA42-BA20</f>
        <v>0</v>
      </c>
      <c r="BB28" s="19" t="n">
        <f aca="false">Debt!BB42-BB20</f>
        <v>0</v>
      </c>
      <c r="BC28" s="19" t="n">
        <f aca="false">Debt!BC42-BC20</f>
        <v>0</v>
      </c>
      <c r="BD28" s="19" t="n">
        <f aca="false">Debt!BD42-BD20</f>
        <v>0</v>
      </c>
      <c r="BE28" s="19" t="n">
        <f aca="false">Debt!BE42-BE20</f>
        <v>0</v>
      </c>
      <c r="BF28" s="19" t="n">
        <f aca="false">Debt!BF42-BF20</f>
        <v>0</v>
      </c>
      <c r="BG28" s="19" t="n">
        <f aca="false">Debt!BG42-BG20</f>
        <v>0</v>
      </c>
      <c r="BH28" s="19" t="n">
        <f aca="false">Debt!BH42-BH20</f>
        <v>0</v>
      </c>
      <c r="BI28" s="19" t="n">
        <f aca="false">Debt!BI42-BI20</f>
        <v>0</v>
      </c>
      <c r="BJ28" s="19" t="n">
        <f aca="false">Debt!BJ42-BJ20</f>
        <v>0</v>
      </c>
      <c r="BK28" s="19" t="n">
        <f aca="false">Debt!BK42-BK20</f>
        <v>0</v>
      </c>
      <c r="BL28" s="19" t="n">
        <f aca="false">Debt!BL42-BL20</f>
        <v>0</v>
      </c>
      <c r="BM28" s="19" t="n">
        <f aca="false">Debt!BM42-BM20</f>
        <v>0</v>
      </c>
      <c r="BN28" s="19" t="n">
        <f aca="false">Debt!BN42-BN20</f>
        <v>0</v>
      </c>
      <c r="BO28" s="19" t="n">
        <f aca="false">Debt!BO42-BO20</f>
        <v>0</v>
      </c>
      <c r="BP28" s="19" t="n">
        <f aca="false">Debt!BP42-BP20</f>
        <v>0</v>
      </c>
      <c r="BQ28" s="19" t="n">
        <f aca="false">Debt!BQ42-BQ20</f>
        <v>0</v>
      </c>
      <c r="BR28" s="19" t="n">
        <f aca="false">Debt!BR42-BR20</f>
        <v>0</v>
      </c>
      <c r="BS28" s="19" t="n">
        <f aca="false">Debt!BS42-BS20</f>
        <v>0</v>
      </c>
      <c r="BT28" s="19" t="n">
        <f aca="false">Debt!BT42-BT20</f>
        <v>0</v>
      </c>
      <c r="BU28" s="19" t="n">
        <f aca="false">Debt!BU42-BU20</f>
        <v>0</v>
      </c>
      <c r="BV28" s="19" t="n">
        <f aca="false">Debt!BV42-BV20</f>
        <v>0</v>
      </c>
      <c r="BW28" s="19" t="n">
        <f aca="false">Debt!BW42-BW20</f>
        <v>0</v>
      </c>
      <c r="BX28" s="19" t="n">
        <f aca="false">Debt!BX42-BX20</f>
        <v>0</v>
      </c>
      <c r="BY28" s="19" t="n">
        <f aca="false">Debt!BY42-BY20</f>
        <v>0</v>
      </c>
      <c r="BZ28" s="19" t="n">
        <f aca="false">Debt!BZ42-BZ20</f>
        <v>0</v>
      </c>
      <c r="CA28" s="19" t="n">
        <f aca="false">Debt!CA42-CA20</f>
        <v>0</v>
      </c>
      <c r="CB28" s="19" t="n">
        <f aca="false">Debt!CB42-CB20</f>
        <v>0</v>
      </c>
      <c r="CC28" s="19" t="n">
        <f aca="false">Debt!CC42-CC20</f>
        <v>0</v>
      </c>
      <c r="CD28" s="19" t="n">
        <f aca="false">Debt!CD42-CD20</f>
        <v>0</v>
      </c>
      <c r="CE28" s="19" t="n">
        <f aca="false">Debt!CE42-CE20</f>
        <v>0</v>
      </c>
      <c r="CF28" s="19" t="n">
        <f aca="false">Debt!CF42-CF20</f>
        <v>0</v>
      </c>
      <c r="CG28" s="19" t="n">
        <f aca="false">Debt!CG42-CG20</f>
        <v>0</v>
      </c>
      <c r="CH28" s="19" t="n">
        <f aca="false">Debt!CH42-CH20</f>
        <v>0</v>
      </c>
      <c r="CI28" s="19" t="n">
        <f aca="false">Debt!CI42-CI20</f>
        <v>0</v>
      </c>
      <c r="CJ28" s="19" t="n">
        <f aca="false">Debt!CJ42-CJ20</f>
        <v>0</v>
      </c>
      <c r="CK28" s="19" t="n">
        <f aca="false">Debt!CK42-CK20</f>
        <v>0</v>
      </c>
      <c r="CL28" s="19" t="n">
        <f aca="false">Debt!CL42-CL20</f>
        <v>0</v>
      </c>
      <c r="CM28" s="19" t="n">
        <f aca="false">Debt!CM42-CM20</f>
        <v>0</v>
      </c>
      <c r="CN28" s="19" t="n">
        <f aca="false">Debt!CN42-CN20</f>
        <v>0</v>
      </c>
      <c r="CO28" s="19" t="n">
        <f aca="false">Debt!CO42-CO20</f>
        <v>0</v>
      </c>
      <c r="CP28" s="19" t="n">
        <f aca="false">Debt!CP42-CP20</f>
        <v>0</v>
      </c>
      <c r="CQ28" s="19" t="n">
        <f aca="false">Debt!CQ42-CQ20</f>
        <v>0</v>
      </c>
      <c r="CR28" s="19" t="n">
        <f aca="false">Debt!CR42-CR20</f>
        <v>0</v>
      </c>
      <c r="CS28" s="19" t="n">
        <f aca="false">Debt!CS42-CS20</f>
        <v>0</v>
      </c>
      <c r="CT28" s="19" t="n">
        <f aca="false">Debt!CT42-CT20</f>
        <v>0</v>
      </c>
      <c r="CU28" s="19" t="n">
        <f aca="false">Debt!CU42-CU20</f>
        <v>0</v>
      </c>
      <c r="CV28" s="19" t="n">
        <f aca="false">Debt!CV42-CV20</f>
        <v>0</v>
      </c>
      <c r="CW28" s="19" t="n">
        <f aca="false">Debt!CW42-CW20</f>
        <v>0</v>
      </c>
      <c r="CX28" s="19" t="n">
        <f aca="false">Debt!CX42-CX20</f>
        <v>0</v>
      </c>
      <c r="CY28" s="19" t="n">
        <f aca="false">Debt!CY42-CY20</f>
        <v>0</v>
      </c>
      <c r="CZ28" s="19" t="n">
        <f aca="false">Debt!CZ42-CZ20</f>
        <v>0</v>
      </c>
      <c r="DA28" s="19" t="n">
        <f aca="false">Debt!DA42-DA20</f>
        <v>0</v>
      </c>
      <c r="DB28" s="19" t="n">
        <f aca="false">Debt!DB42-DB20</f>
        <v>0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484.847226335384</v>
      </c>
      <c r="AF29" s="19" t="n">
        <f aca="false">Debt!AF49-AF21</f>
        <v>472.954606637334</v>
      </c>
      <c r="AG29" s="19" t="n">
        <f aca="false">Debt!AG49-AG21</f>
        <v>472.954606637334</v>
      </c>
      <c r="AH29" s="19" t="n">
        <f aca="false">Debt!AH49-AH21</f>
        <v>472.954606637334</v>
      </c>
      <c r="AI29" s="19" t="n">
        <f aca="false">Debt!AI49-AI21</f>
        <v>472.954606637334</v>
      </c>
      <c r="AJ29" s="19" t="n">
        <f aca="false">Debt!AJ49-AJ21</f>
        <v>0</v>
      </c>
      <c r="AK29" s="19" t="n">
        <f aca="false">Debt!AK49-AK21</f>
        <v>0</v>
      </c>
      <c r="AL29" s="19" t="n">
        <f aca="false">Debt!AL49-AL21</f>
        <v>0</v>
      </c>
      <c r="AM29" s="19" t="n">
        <f aca="false">Debt!AM49-AM21</f>
        <v>0</v>
      </c>
      <c r="AN29" s="19" t="n">
        <f aca="false">Debt!AN49-AN21</f>
        <v>0</v>
      </c>
      <c r="AO29" s="19" t="n">
        <f aca="false">Debt!AO49-AO21</f>
        <v>0</v>
      </c>
      <c r="AP29" s="19" t="n">
        <f aca="false">Debt!AP49-AP21</f>
        <v>0</v>
      </c>
      <c r="AQ29" s="19" t="n">
        <f aca="false">Debt!AQ49-AQ21</f>
        <v>0</v>
      </c>
      <c r="AR29" s="19" t="n">
        <f aca="false">Debt!AR49-AR21</f>
        <v>0</v>
      </c>
      <c r="AS29" s="19" t="n">
        <f aca="false">Debt!AS49-AS21</f>
        <v>0</v>
      </c>
      <c r="AT29" s="19" t="n">
        <f aca="false">Debt!AT49-AT21</f>
        <v>0</v>
      </c>
      <c r="AU29" s="19" t="n">
        <f aca="false">Debt!AU49-AU21</f>
        <v>0</v>
      </c>
      <c r="AV29" s="19" t="n">
        <f aca="false">Debt!AV49-AV21</f>
        <v>0</v>
      </c>
      <c r="AW29" s="19" t="n">
        <f aca="false">Debt!AW49-AW21</f>
        <v>0</v>
      </c>
      <c r="AX29" s="19" t="n">
        <f aca="false">Debt!AX49-AX21</f>
        <v>0</v>
      </c>
      <c r="AY29" s="19" t="n">
        <f aca="false">Debt!AY49-AY21</f>
        <v>0</v>
      </c>
      <c r="AZ29" s="19" t="n">
        <f aca="false">Debt!AZ49-AZ21</f>
        <v>0</v>
      </c>
      <c r="BA29" s="19" t="n">
        <f aca="false">Debt!BA49-BA21</f>
        <v>0</v>
      </c>
      <c r="BB29" s="19" t="n">
        <f aca="false">Debt!BB49-BB21</f>
        <v>0</v>
      </c>
      <c r="BC29" s="19" t="n">
        <f aca="false">Debt!BC49-BC21</f>
        <v>0</v>
      </c>
      <c r="BD29" s="19" t="n">
        <f aca="false">Debt!BD49-BD21</f>
        <v>0</v>
      </c>
      <c r="BE29" s="19" t="n">
        <f aca="false">Debt!BE49-BE21</f>
        <v>0</v>
      </c>
      <c r="BF29" s="19" t="n">
        <f aca="false">Debt!BF49-BF21</f>
        <v>0</v>
      </c>
      <c r="BG29" s="19" t="n">
        <f aca="false">Debt!BG49-BG21</f>
        <v>0</v>
      </c>
      <c r="BH29" s="19" t="n">
        <f aca="false">Debt!BH49-BH21</f>
        <v>0</v>
      </c>
      <c r="BI29" s="19" t="n">
        <f aca="false">Debt!BI49-BI21</f>
        <v>0</v>
      </c>
      <c r="BJ29" s="19" t="n">
        <f aca="false">Debt!BJ49-BJ21</f>
        <v>0</v>
      </c>
      <c r="BK29" s="19" t="n">
        <f aca="false">Debt!BK49-BK21</f>
        <v>0</v>
      </c>
      <c r="BL29" s="19" t="n">
        <f aca="false">Debt!BL49-BL21</f>
        <v>0</v>
      </c>
      <c r="BM29" s="19" t="n">
        <f aca="false">Debt!BM49-BM21</f>
        <v>0</v>
      </c>
      <c r="BN29" s="19" t="n">
        <f aca="false">Debt!BN49-BN21</f>
        <v>0</v>
      </c>
      <c r="BO29" s="19" t="n">
        <f aca="false">Debt!BO49-BO21</f>
        <v>0</v>
      </c>
      <c r="BP29" s="19" t="n">
        <f aca="false">Debt!BP49-BP21</f>
        <v>0</v>
      </c>
      <c r="BQ29" s="19" t="n">
        <f aca="false">Debt!BQ49-BQ21</f>
        <v>0</v>
      </c>
      <c r="BR29" s="19" t="n">
        <f aca="false">Debt!BR49-BR21</f>
        <v>0</v>
      </c>
      <c r="BS29" s="19" t="n">
        <f aca="false">Debt!BS49-BS21</f>
        <v>0</v>
      </c>
      <c r="BT29" s="19" t="n">
        <f aca="false">Debt!BT49-BT21</f>
        <v>0</v>
      </c>
      <c r="BU29" s="19" t="n">
        <f aca="false">Debt!BU49-BU21</f>
        <v>0</v>
      </c>
      <c r="BV29" s="19" t="n">
        <f aca="false">Debt!BV49-BV21</f>
        <v>0</v>
      </c>
      <c r="BW29" s="19" t="n">
        <f aca="false">Debt!BW49-BW21</f>
        <v>0</v>
      </c>
      <c r="BX29" s="19" t="n">
        <f aca="false">Debt!BX49-BX21</f>
        <v>0</v>
      </c>
      <c r="BY29" s="19" t="n">
        <f aca="false">Debt!BY49-BY21</f>
        <v>0</v>
      </c>
      <c r="BZ29" s="19" t="n">
        <f aca="false">Debt!BZ49-BZ21</f>
        <v>0</v>
      </c>
      <c r="CA29" s="19" t="n">
        <f aca="false">Debt!CA49-CA21</f>
        <v>0</v>
      </c>
      <c r="CB29" s="19" t="n">
        <f aca="false">Debt!CB49-CB21</f>
        <v>0</v>
      </c>
      <c r="CC29" s="19" t="n">
        <f aca="false">Debt!CC49-CC21</f>
        <v>0</v>
      </c>
      <c r="CD29" s="19" t="n">
        <f aca="false">Debt!CD49-CD21</f>
        <v>0</v>
      </c>
      <c r="CE29" s="19" t="n">
        <f aca="false">Debt!CE49-CE21</f>
        <v>0</v>
      </c>
      <c r="CF29" s="19" t="n">
        <f aca="false">Debt!CF49-CF21</f>
        <v>0</v>
      </c>
      <c r="CG29" s="19" t="n">
        <f aca="false">Debt!CG49-CG21</f>
        <v>0</v>
      </c>
      <c r="CH29" s="19" t="n">
        <f aca="false">Debt!CH49-CH21</f>
        <v>0</v>
      </c>
      <c r="CI29" s="19" t="n">
        <f aca="false">Debt!CI49-CI21</f>
        <v>0</v>
      </c>
      <c r="CJ29" s="19" t="n">
        <f aca="false">Debt!CJ49-CJ21</f>
        <v>0</v>
      </c>
      <c r="CK29" s="19" t="n">
        <f aca="false">Debt!CK49-CK21</f>
        <v>0</v>
      </c>
      <c r="CL29" s="19" t="n">
        <f aca="false">Debt!CL49-CL21</f>
        <v>0</v>
      </c>
      <c r="CM29" s="19" t="n">
        <f aca="false">Debt!CM49-CM21</f>
        <v>0</v>
      </c>
      <c r="CN29" s="19" t="n">
        <f aca="false">Debt!CN49-CN21</f>
        <v>0</v>
      </c>
      <c r="CO29" s="19" t="n">
        <f aca="false">Debt!CO49-CO21</f>
        <v>0</v>
      </c>
      <c r="CP29" s="19" t="n">
        <f aca="false">Debt!CP49-CP21</f>
        <v>0</v>
      </c>
      <c r="CQ29" s="19" t="n">
        <f aca="false">Debt!CQ49-CQ21</f>
        <v>0</v>
      </c>
      <c r="CR29" s="19" t="n">
        <f aca="false">Debt!CR49-CR21</f>
        <v>0</v>
      </c>
      <c r="CS29" s="19" t="n">
        <f aca="false">Debt!CS49-CS21</f>
        <v>0</v>
      </c>
      <c r="CT29" s="19" t="n">
        <f aca="false">Debt!CT49-CT21</f>
        <v>0</v>
      </c>
      <c r="CU29" s="19" t="n">
        <f aca="false">Debt!CU49-CU21</f>
        <v>0</v>
      </c>
      <c r="CV29" s="19" t="n">
        <f aca="false">Debt!CV49-CV21</f>
        <v>0</v>
      </c>
      <c r="CW29" s="19" t="n">
        <f aca="false">Debt!CW49-CW21</f>
        <v>0</v>
      </c>
      <c r="CX29" s="19" t="n">
        <f aca="false">Debt!CX49-CX21</f>
        <v>0</v>
      </c>
      <c r="CY29" s="19" t="n">
        <f aca="false">Debt!CY49-CY21</f>
        <v>0</v>
      </c>
      <c r="CZ29" s="19" t="n">
        <f aca="false">Debt!CZ49-CZ21</f>
        <v>0</v>
      </c>
      <c r="DA29" s="19" t="n">
        <f aca="false">Debt!DA49-DA21</f>
        <v>0</v>
      </c>
      <c r="DB29" s="19" t="n">
        <f aca="false">Debt!DB49-DB21</f>
        <v>0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41.8615768889511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0.589757494120562</v>
      </c>
      <c r="AE30" s="19" t="n">
        <f aca="false">Time!AE34*MIN(MAX(0,AE26),AE28+AE29)</f>
        <v>21.6229449055457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19.6488744892848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18.837709600028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0.265390872354253</v>
      </c>
      <c r="AE31" s="19" t="n">
        <f aca="false">IF(AE30&gt;0,AE30*AE28/(AE28+AE29),0)</f>
        <v>9.73032520749559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8.84199352017817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23.0238672889231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0.324366621766309</v>
      </c>
      <c r="AE32" s="19" t="n">
        <f aca="false">AE30-AE31</f>
        <v>11.8926196980502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10.8068809691067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5.0866396036232</v>
      </c>
      <c r="AA33" s="19" t="n">
        <f aca="false">AA26-AA30</f>
        <v>2.87509153720747</v>
      </c>
      <c r="AB33" s="19" t="n">
        <f aca="false">AB26-AB30</f>
        <v>0</v>
      </c>
      <c r="AC33" s="19" t="n">
        <f aca="false">AC26-AC30</f>
        <v>0</v>
      </c>
      <c r="AD33" s="19" t="n">
        <f aca="false">AD26-AD30</f>
        <v>0</v>
      </c>
      <c r="AE33" s="19" t="n">
        <f aca="false">AE26-AE30</f>
        <v>0</v>
      </c>
      <c r="AF33" s="19" t="n">
        <f aca="false">AF26-AF30</f>
        <v>0</v>
      </c>
      <c r="AG33" s="19" t="n">
        <f aca="false">AG26-AG30</f>
        <v>0</v>
      </c>
      <c r="AH33" s="19" t="n">
        <f aca="false">AH26-AH30</f>
        <v>0</v>
      </c>
      <c r="AI33" s="19" t="n">
        <f aca="false">AI26-AI30</f>
        <v>0</v>
      </c>
      <c r="AJ33" s="19" t="n">
        <f aca="false">AJ26-AJ30</f>
        <v>40.9365078780015</v>
      </c>
      <c r="AK33" s="19" t="n">
        <f aca="false">AK26-AK30</f>
        <v>19.42538644563</v>
      </c>
      <c r="AL33" s="19" t="n">
        <f aca="false">AL26-AL30</f>
        <v>19.0419819097829</v>
      </c>
      <c r="AM33" s="19" t="n">
        <f aca="false">AM26-AM30</f>
        <v>22.176266544762</v>
      </c>
      <c r="AN33" s="19" t="n">
        <f aca="false">AN26-AN30</f>
        <v>21.554680181723</v>
      </c>
      <c r="AO33" s="19" t="n">
        <f aca="false">AO26-AO30</f>
        <v>27.5155349309623</v>
      </c>
      <c r="AP33" s="19" t="n">
        <f aca="false">AP26-AP30</f>
        <v>28.4989864503148</v>
      </c>
      <c r="AQ33" s="19" t="n">
        <f aca="false">AQ26-AQ30</f>
        <v>20.1781201697913</v>
      </c>
      <c r="AR33" s="19" t="n">
        <f aca="false">AR26-AR30</f>
        <v>19.3871131924795</v>
      </c>
      <c r="AS33" s="19" t="n">
        <f aca="false">AS26-AS30</f>
        <v>20.0251460544854</v>
      </c>
      <c r="AT33" s="19" t="n">
        <f aca="false">AT26-AT30</f>
        <v>20.464450504596</v>
      </c>
      <c r="AU33" s="19" t="n">
        <f aca="false">AU26-AU30</f>
        <v>22.3532741606495</v>
      </c>
      <c r="AV33" s="19" t="n">
        <f aca="false">AV26-AV30</f>
        <v>22.1005372004948</v>
      </c>
      <c r="AW33" s="19" t="n">
        <f aca="false">AW26-AW30</f>
        <v>31.3172681115243</v>
      </c>
      <c r="AX33" s="19" t="n">
        <f aca="false">AX26-AX30</f>
        <v>32.5033710707685</v>
      </c>
      <c r="AY33" s="19" t="n">
        <f aca="false">AY26-AY30</f>
        <v>30.3523190757098</v>
      </c>
      <c r="AZ33" s="19" t="n">
        <f aca="false">AZ26-AZ30</f>
        <v>30.9768220867318</v>
      </c>
      <c r="BA33" s="19" t="n">
        <f aca="false">BA26-BA30</f>
        <v>30.3962332198284</v>
      </c>
      <c r="BB33" s="19" t="n">
        <f aca="false">BB26-BB30</f>
        <v>22.7696099300733</v>
      </c>
      <c r="BC33" s="19" t="n">
        <f aca="false">BC26-BC30</f>
        <v>39.246107093235</v>
      </c>
      <c r="BD33" s="19" t="n">
        <f aca="false">BD26-BD30</f>
        <v>36.7097014329412</v>
      </c>
      <c r="BE33" s="19" t="n">
        <f aca="false">BE26-BE30</f>
        <v>44.6375638225632</v>
      </c>
      <c r="BF33" s="19" t="n">
        <f aca="false">BF26-BF30</f>
        <v>42.8175284593975</v>
      </c>
      <c r="BG33" s="19" t="n">
        <f aca="false">BG26-BG30</f>
        <v>40.5635327999999</v>
      </c>
      <c r="BH33" s="19" t="n">
        <f aca="false">BH26-BH30</f>
        <v>40.0321036763576</v>
      </c>
      <c r="BI33" s="19" t="n">
        <f aca="false">BI26-BI30</f>
        <v>41.9783950863443</v>
      </c>
      <c r="BJ33" s="19" t="n">
        <f aca="false">BJ26-BJ30</f>
        <v>40.9862628409522</v>
      </c>
      <c r="BK33" s="19" t="n">
        <f aca="false">BK26-BK30</f>
        <v>43.3292533088986</v>
      </c>
      <c r="BL33" s="19" t="n">
        <f aca="false">BL26-BL30</f>
        <v>42.2961296222843</v>
      </c>
      <c r="BM33" s="19" t="n">
        <f aca="false">BM26-BM30</f>
        <v>44.7335003180159</v>
      </c>
      <c r="BN33" s="19" t="n">
        <f aca="false">BN26-BN30</f>
        <v>50.980074798296</v>
      </c>
      <c r="BO33" s="19" t="n">
        <f aca="false">BO26-BO30</f>
        <v>33.9112560060127</v>
      </c>
      <c r="BP33" s="19" t="n">
        <f aca="false">BP26-BP30</f>
        <v>33.3277617640956</v>
      </c>
      <c r="BQ33" s="19" t="n">
        <f aca="false">BQ26-BQ30</f>
        <v>35.8681596702621</v>
      </c>
      <c r="BR33" s="19" t="n">
        <f aca="false">BR26-BR30</f>
        <v>34.210862341858</v>
      </c>
      <c r="BS33" s="19" t="n">
        <f aca="false">BS26-BS30</f>
        <v>37.1344730739306</v>
      </c>
      <c r="BT33" s="19" t="n">
        <f aca="false">BT26-BT30</f>
        <v>22.0653869200488</v>
      </c>
      <c r="BU33" s="19" t="n">
        <f aca="false">BU26-BU30</f>
        <v>60.5807565531414</v>
      </c>
      <c r="BV33" s="19" t="n">
        <f aca="false">BV26-BV30</f>
        <v>63.7554113839616</v>
      </c>
      <c r="BW33" s="19" t="n">
        <f aca="false">BW26-BW30</f>
        <v>54.466812057708</v>
      </c>
      <c r="BX33" s="19" t="n">
        <f aca="false">BX26-BX30</f>
        <v>50.2661292752035</v>
      </c>
      <c r="BY33" s="19" t="n">
        <f aca="false">BY26-BY30</f>
        <v>53.0059836756057</v>
      </c>
      <c r="BZ33" s="19" t="n">
        <f aca="false">BZ26-BZ30</f>
        <v>55.7959106375168</v>
      </c>
      <c r="CA33" s="19" t="n">
        <f aca="false">CA26-CA30</f>
        <v>46.4620128928133</v>
      </c>
      <c r="CB33" s="19" t="n">
        <f aca="false">CB26-CB30</f>
        <v>44.490422934807</v>
      </c>
      <c r="CC33" s="19" t="n">
        <f aca="false">CC26-CC30</f>
        <v>47.8718220652544</v>
      </c>
      <c r="CD33" s="19" t="n">
        <f aca="false">CD26-CD30</f>
        <v>48.1182922084562</v>
      </c>
      <c r="CE33" s="19" t="n">
        <f aca="false">CE26-CE30</f>
        <v>45.3393702945326</v>
      </c>
      <c r="CF33" s="19" t="n">
        <f aca="false">CF26-CF30</f>
        <v>30.6351606930188</v>
      </c>
      <c r="CG33" s="19" t="n">
        <f aca="false">CG26-CG30</f>
        <v>77.475880302253</v>
      </c>
      <c r="CH33" s="19" t="n">
        <f aca="false">CH26-CH30</f>
        <v>52.594363991213</v>
      </c>
      <c r="CI33" s="19" t="n">
        <f aca="false">CI26-CI30</f>
        <v>76.3831821091603</v>
      </c>
      <c r="CJ33" s="19" t="n">
        <f aca="false">CJ26-CJ30</f>
        <v>81.8091872370815</v>
      </c>
      <c r="CK33" s="19" t="n">
        <f aca="false">CK26-CK30</f>
        <v>102.375088413017</v>
      </c>
      <c r="CL33" s="19" t="n">
        <f aca="false">CL26-CL30</f>
        <v>90.6020636347948</v>
      </c>
      <c r="CM33" s="19" t="n">
        <f aca="false">CM26-CM30</f>
        <v>74.8831022611121</v>
      </c>
      <c r="CN33" s="19" t="n">
        <f aca="false">CN26-CN30</f>
        <v>74.5712503087766</v>
      </c>
      <c r="CO33" s="19" t="n">
        <f aca="false">CO26-CO30</f>
        <v>77.9017856002315</v>
      </c>
      <c r="CP33" s="19" t="n">
        <f aca="false">CP26-CP30</f>
        <v>77.0471256016325</v>
      </c>
      <c r="CQ33" s="19" t="n">
        <f aca="false">CQ26-CQ30</f>
        <v>80.9825138268942</v>
      </c>
      <c r="CR33" s="19" t="n">
        <f aca="false">CR26-CR30</f>
        <v>80.0559082041861</v>
      </c>
      <c r="CS33" s="19" t="n">
        <f aca="false">CS26-CS30</f>
        <v>125.896157296543</v>
      </c>
      <c r="CT33" s="19" t="n">
        <f aca="false">CT26-CT30</f>
        <v>91.5804595753685</v>
      </c>
      <c r="CU33" s="19" t="n">
        <f aca="false">CU26-CU30</f>
        <v>87.3709623339191</v>
      </c>
      <c r="CV33" s="19" t="n">
        <f aca="false">CV26-CV30</f>
        <v>86.673422823051</v>
      </c>
      <c r="CW33" s="19" t="n">
        <f aca="false">CW26-CW30</f>
        <v>90.4030159970879</v>
      </c>
      <c r="CX33" s="19" t="n">
        <f aca="false">CX26-CX30</f>
        <v>89.0820261185741</v>
      </c>
      <c r="CY33" s="19" t="n">
        <f aca="false">CY26-CY30</f>
        <v>93.5368552077883</v>
      </c>
      <c r="CZ33" s="19" t="n">
        <f aca="false">CZ26-CZ30</f>
        <v>92.1777942346027</v>
      </c>
      <c r="DA33" s="19" t="n">
        <f aca="false">DA26-DA30</f>
        <v>117.507083821186</v>
      </c>
      <c r="DB33" s="19" t="n">
        <f aca="false">DB26-DB30</f>
        <v>121.983902080668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991.85961075274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0</v>
      </c>
      <c r="AK35" s="19" t="n">
        <f aca="false">MIN(Debt!AK100,MAX(0,AK33))*(1-Time!AK20)</f>
        <v>0</v>
      </c>
      <c r="AL35" s="19" t="n">
        <f aca="false">MIN(Debt!AL100,MAX(0,AL33))*(1-Time!AL20)</f>
        <v>0</v>
      </c>
      <c r="AM35" s="19" t="n">
        <f aca="false">MIN(Debt!AM100,MAX(0,AM33))*(1-Time!AM20)</f>
        <v>0</v>
      </c>
      <c r="AN35" s="19" t="n">
        <f aca="false">MIN(Debt!AN100,MAX(0,AN33))*(1-Time!AN20)</f>
        <v>0</v>
      </c>
      <c r="AO35" s="19" t="n">
        <f aca="false">MIN(Debt!AO100,MAX(0,AO33))*(1-Time!AO20)</f>
        <v>0</v>
      </c>
      <c r="AP35" s="19" t="n">
        <f aca="false">MIN(Debt!AP100,MAX(0,AP33))*(1-Time!AP20)</f>
        <v>0</v>
      </c>
      <c r="AQ35" s="19" t="n">
        <f aca="false">MIN(Debt!AQ100,MAX(0,AQ33))*(1-Time!AQ20)</f>
        <v>0</v>
      </c>
      <c r="AR35" s="19" t="n">
        <f aca="false">MIN(Debt!AR100,MAX(0,AR33))*(1-Time!AR20)</f>
        <v>0</v>
      </c>
      <c r="AS35" s="19" t="n">
        <f aca="false">MIN(Debt!AS100,MAX(0,AS33))*(1-Time!AS20)</f>
        <v>0</v>
      </c>
      <c r="AT35" s="19" t="n">
        <f aca="false">MIN(Debt!AT100,MAX(0,AT33))*(1-Time!AT20)</f>
        <v>0</v>
      </c>
      <c r="AU35" s="19" t="n">
        <f aca="false">MIN(Debt!AU100,MAX(0,AU33))*(1-Time!AU20)</f>
        <v>0</v>
      </c>
      <c r="AV35" s="19" t="n">
        <f aca="false">MIN(Debt!AV100,MAX(0,AV33))*(1-Time!AV20)</f>
        <v>0</v>
      </c>
      <c r="AW35" s="19" t="n">
        <f aca="false">MIN(Debt!AW100,MAX(0,AW33))*(1-Time!AW20)</f>
        <v>0</v>
      </c>
      <c r="AX35" s="19" t="n">
        <f aca="false">MIN(Debt!AX100,MAX(0,AX33))*(1-Time!AX20)</f>
        <v>9.24538530998887</v>
      </c>
      <c r="AY35" s="19" t="n">
        <f aca="false">MIN(Debt!AY100,MAX(0,AY33))*(1-Time!AY20)</f>
        <v>9.32656743525906</v>
      </c>
      <c r="AZ35" s="19" t="n">
        <f aca="false">MIN(Debt!AZ100,MAX(0,AZ33))*(1-Time!AZ20)</f>
        <v>9.22519170226712</v>
      </c>
      <c r="BA35" s="19" t="n">
        <f aca="false">MIN(Debt!BA100,MAX(0,BA33))*(1-Time!BA20)</f>
        <v>9.32656743525906</v>
      </c>
      <c r="BB35" s="19" t="n">
        <f aca="false">MIN(Debt!BB100,MAX(0,BB33))*(1-Time!BB20)</f>
        <v>9.17450383577114</v>
      </c>
      <c r="BC35" s="19" t="n">
        <f aca="false">MIN(Debt!BC100,MAX(0,BC33))*(1-Time!BC20)</f>
        <v>11.8864395326734</v>
      </c>
      <c r="BD35" s="19" t="n">
        <f aca="false">MIN(Debt!BD100,MAX(0,BD33))*(1-Time!BD20)</f>
        <v>11.9022175791569</v>
      </c>
      <c r="BE35" s="19" t="n">
        <f aca="false">MIN(Debt!BE100,MAX(0,BE33))*(1-Time!BE20)</f>
        <v>13.3696163064577</v>
      </c>
      <c r="BF35" s="19" t="n">
        <f aca="false">MIN(Debt!BF100,MAX(0,BF33))*(1-Time!BF20)</f>
        <v>12.8100050090478</v>
      </c>
      <c r="BG35" s="19" t="n">
        <f aca="false">MIN(Debt!BG100,MAX(0,BG33))*(1-Time!BG20)</f>
        <v>12.3420754274345</v>
      </c>
      <c r="BH35" s="19" t="n">
        <f aca="false">MIN(Debt!BH100,MAX(0,BH33))*(1-Time!BH20)</f>
        <v>12.3804127722173</v>
      </c>
      <c r="BI35" s="19" t="n">
        <f aca="false">MIN(Debt!BI100,MAX(0,BI33))*(1-Time!BI20)</f>
        <v>12.7820637171507</v>
      </c>
      <c r="BJ35" s="19" t="n">
        <f aca="false">MIN(Debt!BJ100,MAX(0,BJ33))*(1-Time!BJ20)</f>
        <v>12.7547542042859</v>
      </c>
      <c r="BK35" s="19" t="n">
        <f aca="false">MIN(Debt!BK100,MAX(0,BK33))*(1-Time!BK20)</f>
        <v>13.2398387019695</v>
      </c>
      <c r="BL35" s="19" t="n">
        <f aca="false">MIN(Debt!BL100,MAX(0,BL33))*(1-Time!BL20)</f>
        <v>13.2111620590275</v>
      </c>
      <c r="BM35" s="19" t="n">
        <f aca="false">MIN(Debt!BM100,MAX(0,BM33))*(1-Time!BM20)</f>
        <v>13.715654650972</v>
      </c>
      <c r="BN35" s="19" t="n">
        <f aca="false">MIN(Debt!BN100,MAX(0,BN33))*(1-Time!BN20)</f>
        <v>13.6854675362759</v>
      </c>
      <c r="BO35" s="19" t="n">
        <f aca="false">MIN(Debt!BO100,MAX(0,BO33))*(1-Time!BO20)</f>
        <v>10.0946230671652</v>
      </c>
      <c r="BP35" s="19" t="n">
        <f aca="false">MIN(Debt!BP100,MAX(0,BP33))*(1-Time!BP20)</f>
        <v>10.1540180283601</v>
      </c>
      <c r="BQ35" s="19" t="n">
        <f aca="false">MIN(Debt!BQ100,MAX(0,BQ33))*(1-Time!BQ20)</f>
        <v>10.6397105193745</v>
      </c>
      <c r="BR35" s="19" t="n">
        <f aca="false">MIN(Debt!BR100,MAX(0,BR33))*(1-Time!BR20)</f>
        <v>10.5016460634965</v>
      </c>
      <c r="BS35" s="19" t="n">
        <f aca="false">MIN(Debt!BS100,MAX(0,BS33))*(1-Time!BS20)</f>
        <v>11.0664091438112</v>
      </c>
      <c r="BT35" s="19" t="n">
        <f aca="false">MIN(Debt!BT100,MAX(0,BT33))*(1-Time!BT20)</f>
        <v>10.9229651828961</v>
      </c>
      <c r="BU35" s="19" t="n">
        <f aca="false">MIN(Debt!BU100,MAX(0,BU33))*(1-Time!BU20)</f>
        <v>19.0111208992618</v>
      </c>
      <c r="BV35" s="19" t="n">
        <f aca="false">MIN(Debt!BV100,MAX(0,BV33))*(1-Time!BV20)</f>
        <v>18.8459565785478</v>
      </c>
      <c r="BW35" s="19" t="n">
        <f aca="false">MIN(Debt!BW100,MAX(0,BW33))*(1-Time!BW20)</f>
        <v>16.6230790649753</v>
      </c>
      <c r="BX35" s="19" t="n">
        <f aca="false">MIN(Debt!BX100,MAX(0,BX33))*(1-Time!BX20)</f>
        <v>15.9220119427568</v>
      </c>
      <c r="BY35" s="19" t="n">
        <f aca="false">MIN(Debt!BY100,MAX(0,BY33))*(1-Time!BY20)</f>
        <v>16.4347150684878</v>
      </c>
      <c r="BZ35" s="19" t="n">
        <f aca="false">MIN(Debt!BZ100,MAX(0,BZ33))*(1-Time!BZ20)</f>
        <v>16.2562609631502</v>
      </c>
      <c r="CA35" s="19" t="n">
        <f aca="false">MIN(Debt!CA100,MAX(0,CA33))*(1-Time!CA20)</f>
        <v>14.2143610438871</v>
      </c>
      <c r="CB35" s="19" t="n">
        <f aca="false">MIN(Debt!CB100,MAX(0,CB33))*(1-Time!CB20)</f>
        <v>14.0390912112245</v>
      </c>
      <c r="CC35" s="19" t="n">
        <f aca="false">MIN(Debt!CC100,MAX(0,CC33))*(1-Time!CC20)</f>
        <v>14.6817063155283</v>
      </c>
      <c r="CD35" s="19" t="n">
        <f aca="false">MIN(Debt!CD100,MAX(0,CD33))*(1-Time!CD20)</f>
        <v>14.4993876390736</v>
      </c>
      <c r="CE35" s="19" t="n">
        <f aca="false">MIN(Debt!CE100,MAX(0,CE33))*(1-Time!CE20)</f>
        <v>13.8778940051398</v>
      </c>
      <c r="CF35" s="19" t="n">
        <f aca="false">MIN(Debt!CF100,MAX(0,CF33))*(1-Time!CF20)</f>
        <v>13.7900639898265</v>
      </c>
      <c r="CG35" s="19" t="n">
        <f aca="false">MIN(Debt!CG100,MAX(0,CG33))*(1-Time!CG20)</f>
        <v>21.8208377986706</v>
      </c>
      <c r="CH35" s="19" t="n">
        <f aca="false">MIN(Debt!CH100,MAX(0,CH33))*(1-Time!CH20)</f>
        <v>16.8177780685147</v>
      </c>
      <c r="CI35" s="19" t="n">
        <f aca="false">MIN(Debt!CI100,MAX(0,CI33))*(1-Time!CI20)</f>
        <v>17.5181333109317</v>
      </c>
      <c r="CJ35" s="19" t="n">
        <f aca="false">MIN(Debt!CJ100,MAX(0,CJ33))*(1-Time!CJ20)</f>
        <v>17.3078855877029</v>
      </c>
      <c r="CK35" s="19" t="n">
        <f aca="false">MIN(Debt!CK100,MAX(0,CK33))*(1-Time!CK20)</f>
        <v>21.6606328624307</v>
      </c>
      <c r="CL35" s="19" t="n">
        <f aca="false">MIN(Debt!CL100,MAX(0,CL33))*(1-Time!CL20)</f>
        <v>19.1686003060915</v>
      </c>
      <c r="CM35" s="19" t="n">
        <f aca="false">MIN(Debt!CM100,MAX(0,CM33))*(1-Time!CM20)</f>
        <v>15.8410295717889</v>
      </c>
      <c r="CN35" s="19" t="n">
        <f aca="false">MIN(Debt!CN100,MAX(0,CN33))*(1-Time!CN20)</f>
        <v>15.7750460866186</v>
      </c>
      <c r="CO35" s="19" t="n">
        <f aca="false">MIN(Debt!CO100,MAX(0,CO33))*(1-Time!CO20)</f>
        <v>16.47993313524</v>
      </c>
      <c r="CP35" s="19" t="n">
        <f aca="false">MIN(Debt!CP100,MAX(0,CP33))*(1-Time!CP20)</f>
        <v>26.1472951897468</v>
      </c>
      <c r="CQ35" s="19" t="n">
        <f aca="false">MIN(Debt!CQ100,MAX(0,CQ33))*(1-Time!CQ20)</f>
        <v>27.4833906017382</v>
      </c>
      <c r="CR35" s="19" t="n">
        <f aca="false">MIN(Debt!CR100,MAX(0,CR33))*(1-Time!CR20)</f>
        <v>27.168872729811</v>
      </c>
      <c r="CS35" s="19" t="n">
        <f aca="false">MIN(Debt!CS100,MAX(0,CS33))*(1-Time!CS20)</f>
        <v>42.727824940255</v>
      </c>
      <c r="CT35" s="19" t="n">
        <f aca="false">MIN(Debt!CT100,MAX(0,CT33))*(1-Time!CT20)</f>
        <v>31.0894803861316</v>
      </c>
      <c r="CU35" s="19" t="n">
        <f aca="false">MIN(Debt!CU100,MAX(0,CU33))*(1-Time!CU20)</f>
        <v>29.6524840887599</v>
      </c>
      <c r="CV35" s="19" t="n">
        <f aca="false">MIN(Debt!CV100,MAX(0,CV33))*(1-Time!CV20)</f>
        <v>29.4156618168751</v>
      </c>
      <c r="CW35" s="19" t="n">
        <f aca="false">MIN(Debt!CW100,MAX(0,CW33))*(1-Time!CW20)</f>
        <v>30.6819587255858</v>
      </c>
      <c r="CX35" s="19" t="n">
        <f aca="false">MIN(Debt!CX100,MAX(0,CX33))*(1-Time!CX20)</f>
        <v>30.2335192401381</v>
      </c>
      <c r="CY35" s="19" t="n">
        <f aca="false">MIN(Debt!CY100,MAX(0,CY33))*(1-Time!CY20)</f>
        <v>31.7459964262656</v>
      </c>
      <c r="CZ35" s="19" t="n">
        <f aca="false">MIN(Debt!CZ100,MAX(0,CZ33))*(1-Time!CZ20)</f>
        <v>31.2846300110637</v>
      </c>
      <c r="DA35" s="19" t="n">
        <f aca="false">MIN(Debt!DA100,MAX(0,DA33))*(1-Time!DA20)</f>
        <v>39.885675926202</v>
      </c>
      <c r="DB35" s="19" t="n">
        <f aca="false">MIN(Debt!DB100,MAX(0,DB33))*(1-Time!DB20)</f>
        <v>5.09015891354578E-013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5.0866396036232</v>
      </c>
      <c r="AA36" s="19" t="n">
        <f aca="false">AA33-AA35</f>
        <v>2.87509153720747</v>
      </c>
      <c r="AB36" s="19" t="n">
        <f aca="false">AB33-AB35</f>
        <v>0</v>
      </c>
      <c r="AC36" s="19" t="n">
        <f aca="false">AC33-AC35</f>
        <v>0</v>
      </c>
      <c r="AD36" s="19" t="n">
        <f aca="false">AD33-AD35</f>
        <v>0</v>
      </c>
      <c r="AE36" s="19" t="n">
        <f aca="false">AE33-AE35</f>
        <v>0</v>
      </c>
      <c r="AF36" s="19" t="n">
        <f aca="false">AF33-AF35</f>
        <v>0</v>
      </c>
      <c r="AG36" s="19" t="n">
        <f aca="false">AG33-AG35</f>
        <v>0</v>
      </c>
      <c r="AH36" s="19" t="n">
        <f aca="false">AH33-AH35</f>
        <v>0</v>
      </c>
      <c r="AI36" s="19" t="n">
        <f aca="false">AI33-AI35</f>
        <v>0</v>
      </c>
      <c r="AJ36" s="19" t="n">
        <f aca="false">AJ33-AJ35</f>
        <v>40.9365078780015</v>
      </c>
      <c r="AK36" s="19" t="n">
        <f aca="false">AK33-AK35</f>
        <v>19.42538644563</v>
      </c>
      <c r="AL36" s="19" t="n">
        <f aca="false">AL33-AL35</f>
        <v>19.0419819097829</v>
      </c>
      <c r="AM36" s="19" t="n">
        <f aca="false">AM33-AM35</f>
        <v>22.176266544762</v>
      </c>
      <c r="AN36" s="19" t="n">
        <f aca="false">AN33-AN35</f>
        <v>21.554680181723</v>
      </c>
      <c r="AO36" s="19" t="n">
        <f aca="false">AO33-AO35</f>
        <v>27.5155349309623</v>
      </c>
      <c r="AP36" s="19" t="n">
        <f aca="false">AP33-AP35</f>
        <v>28.4989864503148</v>
      </c>
      <c r="AQ36" s="19" t="n">
        <f aca="false">AQ33-AQ35</f>
        <v>20.1781201697913</v>
      </c>
      <c r="AR36" s="19" t="n">
        <f aca="false">AR33-AR35</f>
        <v>19.3871131924795</v>
      </c>
      <c r="AS36" s="19" t="n">
        <f aca="false">AS33-AS35</f>
        <v>20.0251460544854</v>
      </c>
      <c r="AT36" s="19" t="n">
        <f aca="false">AT33-AT35</f>
        <v>20.464450504596</v>
      </c>
      <c r="AU36" s="19" t="n">
        <f aca="false">AU33-AU35</f>
        <v>22.3532741606495</v>
      </c>
      <c r="AV36" s="19" t="n">
        <f aca="false">AV33-AV35</f>
        <v>22.1005372004948</v>
      </c>
      <c r="AW36" s="19" t="n">
        <f aca="false">AW33-AW35</f>
        <v>31.3172681115243</v>
      </c>
      <c r="AX36" s="19" t="n">
        <f aca="false">AX33-AX35</f>
        <v>23.2579857607796</v>
      </c>
      <c r="AY36" s="19" t="n">
        <f aca="false">AY33-AY35</f>
        <v>21.0257516404508</v>
      </c>
      <c r="AZ36" s="19" t="n">
        <f aca="false">AZ33-AZ35</f>
        <v>21.7516303844647</v>
      </c>
      <c r="BA36" s="19" t="n">
        <f aca="false">BA33-BA35</f>
        <v>21.0696657845694</v>
      </c>
      <c r="BB36" s="19" t="n">
        <f aca="false">BB33-BB35</f>
        <v>13.5951060943022</v>
      </c>
      <c r="BC36" s="19" t="n">
        <f aca="false">BC33-BC35</f>
        <v>27.3596675605616</v>
      </c>
      <c r="BD36" s="19" t="n">
        <f aca="false">BD33-BD35</f>
        <v>24.8074838537843</v>
      </c>
      <c r="BE36" s="19" t="n">
        <f aca="false">BE33-BE35</f>
        <v>31.2679475161055</v>
      </c>
      <c r="BF36" s="19" t="n">
        <f aca="false">BF33-BF35</f>
        <v>30.0075234503497</v>
      </c>
      <c r="BG36" s="19" t="n">
        <f aca="false">BG33-BG35</f>
        <v>28.2214573725654</v>
      </c>
      <c r="BH36" s="19" t="n">
        <f aca="false">BH33-BH35</f>
        <v>27.6516909041403</v>
      </c>
      <c r="BI36" s="19" t="n">
        <f aca="false">BI33-BI35</f>
        <v>29.1963313691936</v>
      </c>
      <c r="BJ36" s="19" t="n">
        <f aca="false">BJ33-BJ35</f>
        <v>28.2315086366663</v>
      </c>
      <c r="BK36" s="19" t="n">
        <f aca="false">BK33-BK35</f>
        <v>30.0894146069291</v>
      </c>
      <c r="BL36" s="19" t="n">
        <f aca="false">BL33-BL35</f>
        <v>29.0849675632568</v>
      </c>
      <c r="BM36" s="19" t="n">
        <f aca="false">BM33-BM35</f>
        <v>31.0178456670439</v>
      </c>
      <c r="BN36" s="19" t="n">
        <f aca="false">BN33-BN35</f>
        <v>37.2946072620201</v>
      </c>
      <c r="BO36" s="19" t="n">
        <f aca="false">BO33-BO35</f>
        <v>23.8166329388475</v>
      </c>
      <c r="BP36" s="19" t="n">
        <f aca="false">BP33-BP35</f>
        <v>23.1737437357355</v>
      </c>
      <c r="BQ36" s="19" t="n">
        <f aca="false">BQ33-BQ35</f>
        <v>25.2284491508876</v>
      </c>
      <c r="BR36" s="19" t="n">
        <f aca="false">BR33-BR35</f>
        <v>23.7092162783615</v>
      </c>
      <c r="BS36" s="19" t="n">
        <f aca="false">BS33-BS35</f>
        <v>26.0680639301194</v>
      </c>
      <c r="BT36" s="19" t="n">
        <f aca="false">BT33-BT35</f>
        <v>11.1424217371527</v>
      </c>
      <c r="BU36" s="19" t="n">
        <f aca="false">BU33-BU35</f>
        <v>41.5696356538796</v>
      </c>
      <c r="BV36" s="19" t="n">
        <f aca="false">BV33-BV35</f>
        <v>44.9094548054138</v>
      </c>
      <c r="BW36" s="19" t="n">
        <f aca="false">BW33-BW35</f>
        <v>37.8437329927327</v>
      </c>
      <c r="BX36" s="19" t="n">
        <f aca="false">BX33-BX35</f>
        <v>34.3441173324467</v>
      </c>
      <c r="BY36" s="19" t="n">
        <f aca="false">BY33-BY35</f>
        <v>36.5712686071179</v>
      </c>
      <c r="BZ36" s="19" t="n">
        <f aca="false">BZ33-BZ35</f>
        <v>39.5396496743666</v>
      </c>
      <c r="CA36" s="19" t="n">
        <f aca="false">CA33-CA35</f>
        <v>32.2476518489263</v>
      </c>
      <c r="CB36" s="19" t="n">
        <f aca="false">CB33-CB35</f>
        <v>30.4513317235826</v>
      </c>
      <c r="CC36" s="19" t="n">
        <f aca="false">CC33-CC35</f>
        <v>33.1901157497261</v>
      </c>
      <c r="CD36" s="19" t="n">
        <f aca="false">CD33-CD35</f>
        <v>33.6189045693826</v>
      </c>
      <c r="CE36" s="19" t="n">
        <f aca="false">CE33-CE35</f>
        <v>31.4614762893929</v>
      </c>
      <c r="CF36" s="19" t="n">
        <f aca="false">CF33-CF35</f>
        <v>16.8450967031923</v>
      </c>
      <c r="CG36" s="19" t="n">
        <f aca="false">CG33-CG35</f>
        <v>55.6550425035824</v>
      </c>
      <c r="CH36" s="19" t="n">
        <f aca="false">CH33-CH35</f>
        <v>35.7765859226983</v>
      </c>
      <c r="CI36" s="19" t="n">
        <f aca="false">CI33-CI35</f>
        <v>58.8650487982286</v>
      </c>
      <c r="CJ36" s="19" t="n">
        <f aca="false">CJ33-CJ35</f>
        <v>64.5013016493786</v>
      </c>
      <c r="CK36" s="19" t="n">
        <f aca="false">CK33-CK35</f>
        <v>80.7144555505863</v>
      </c>
      <c r="CL36" s="19" t="n">
        <f aca="false">CL33-CL35</f>
        <v>71.4334633287032</v>
      </c>
      <c r="CM36" s="19" t="n">
        <f aca="false">CM33-CM35</f>
        <v>59.0420726893231</v>
      </c>
      <c r="CN36" s="19" t="n">
        <f aca="false">CN33-CN35</f>
        <v>58.7962042221579</v>
      </c>
      <c r="CO36" s="19" t="n">
        <f aca="false">CO33-CO35</f>
        <v>61.4218524649915</v>
      </c>
      <c r="CP36" s="19" t="n">
        <f aca="false">CP33-CP35</f>
        <v>50.8998304118857</v>
      </c>
      <c r="CQ36" s="19" t="n">
        <f aca="false">CQ33-CQ35</f>
        <v>53.4991232251561</v>
      </c>
      <c r="CR36" s="19" t="n">
        <f aca="false">CR33-CR35</f>
        <v>52.8870354743751</v>
      </c>
      <c r="CS36" s="19" t="n">
        <f aca="false">CS33-CS35</f>
        <v>83.1683323562884</v>
      </c>
      <c r="CT36" s="19" t="n">
        <f aca="false">CT33-CT35</f>
        <v>60.4909791892369</v>
      </c>
      <c r="CU36" s="19" t="n">
        <f aca="false">CU33-CU35</f>
        <v>57.7184782451592</v>
      </c>
      <c r="CV36" s="19" t="n">
        <f aca="false">CV33-CV35</f>
        <v>57.2577610061759</v>
      </c>
      <c r="CW36" s="19" t="n">
        <f aca="false">CW33-CW35</f>
        <v>59.7210572715021</v>
      </c>
      <c r="CX36" s="19" t="n">
        <f aca="false">CX33-CX35</f>
        <v>58.848506878436</v>
      </c>
      <c r="CY36" s="19" t="n">
        <f aca="false">CY33-CY35</f>
        <v>61.7908587815228</v>
      </c>
      <c r="CZ36" s="19" t="n">
        <f aca="false">CZ33-CZ35</f>
        <v>60.893164223539</v>
      </c>
      <c r="DA36" s="19" t="n">
        <f aca="false">DA33-DA35</f>
        <v>77.6214078949841</v>
      </c>
      <c r="DB36" s="19" t="n">
        <f aca="false">DB33-DB35</f>
        <v>121.983902080667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167.487626867599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20.4682539390007</v>
      </c>
      <c r="AK38" s="19" t="n">
        <f aca="false">Time!AK38*MIN(Inputs!$F$168*MAX(0,AK36),Debt!AK93-AK22)</f>
        <v>9.71269322281501</v>
      </c>
      <c r="AL38" s="19" t="n">
        <f aca="false">Time!AL38*MIN(Inputs!$F$168*MAX(0,AL36),Debt!AL93-AL22)</f>
        <v>9.52099095489144</v>
      </c>
      <c r="AM38" s="19" t="n">
        <f aca="false">Time!AM38*MIN(Inputs!$F$168*MAX(0,AM36),Debt!AM93-AM22)</f>
        <v>11.088133272381</v>
      </c>
      <c r="AN38" s="19" t="n">
        <f aca="false">Time!AN38*MIN(Inputs!$F$168*MAX(0,AN36),Debt!AN93-AN22)</f>
        <v>10.7773400908615</v>
      </c>
      <c r="AO38" s="19" t="n">
        <f aca="false">Time!AO38*MIN(Inputs!$F$168*MAX(0,AO36),Debt!AO93-AO22)</f>
        <v>13.7577674654811</v>
      </c>
      <c r="AP38" s="19" t="n">
        <f aca="false">Time!AP38*MIN(Inputs!$F$168*MAX(0,AP36),Debt!AP93-AP22)</f>
        <v>14.2494932251574</v>
      </c>
      <c r="AQ38" s="19" t="n">
        <f aca="false">Time!AQ38*MIN(Inputs!$F$168*MAX(0,AQ36),Debt!AQ93-AQ22)</f>
        <v>10.0890600848957</v>
      </c>
      <c r="AR38" s="19" t="n">
        <f aca="false">Time!AR38*MIN(Inputs!$F$168*MAX(0,AR36),Debt!AR93-AR22)</f>
        <v>9.69355659623976</v>
      </c>
      <c r="AS38" s="19" t="n">
        <f aca="false">Time!AS38*MIN(Inputs!$F$168*MAX(0,AS36),Debt!AS93-AS22)</f>
        <v>10.0125730272427</v>
      </c>
      <c r="AT38" s="19" t="n">
        <f aca="false">Time!AT38*MIN(Inputs!$F$168*MAX(0,AT36),Debt!AT93-AT22)</f>
        <v>10.232225252298</v>
      </c>
      <c r="AU38" s="19" t="n">
        <f aca="false">Time!AU38*MIN(Inputs!$F$168*MAX(0,AU36),Debt!AU93-AU22)</f>
        <v>11.1766370803247</v>
      </c>
      <c r="AV38" s="19" t="n">
        <f aca="false">Time!AV38*MIN(Inputs!$F$168*MAX(0,AV36),Debt!AV93-AV22)</f>
        <v>11.0502686002474</v>
      </c>
      <c r="AW38" s="19" t="n">
        <f aca="false">Time!AW38*MIN(Inputs!$F$168*MAX(0,AW36),Debt!AW93-AW22)</f>
        <v>15.6586340557622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5.0866396036232</v>
      </c>
      <c r="AA39" s="19" t="n">
        <f aca="false">AA36-AA38</f>
        <v>2.87509153720747</v>
      </c>
      <c r="AB39" s="19" t="n">
        <f aca="false">AB36-AB38</f>
        <v>0</v>
      </c>
      <c r="AC39" s="19" t="n">
        <f aca="false">AC36-AC38</f>
        <v>0</v>
      </c>
      <c r="AD39" s="19" t="n">
        <f aca="false">AD36-AD38</f>
        <v>0</v>
      </c>
      <c r="AE39" s="19" t="n">
        <f aca="false">AE36-AE38</f>
        <v>0</v>
      </c>
      <c r="AF39" s="19" t="n">
        <f aca="false">AF36-AF38</f>
        <v>0</v>
      </c>
      <c r="AG39" s="19" t="n">
        <f aca="false">AG36-AG38</f>
        <v>0</v>
      </c>
      <c r="AH39" s="19" t="n">
        <f aca="false">AH36-AH38</f>
        <v>0</v>
      </c>
      <c r="AI39" s="19" t="n">
        <f aca="false">AI36-AI38</f>
        <v>0</v>
      </c>
      <c r="AJ39" s="19" t="n">
        <f aca="false">AJ36-AJ38</f>
        <v>20.4682539390007</v>
      </c>
      <c r="AK39" s="19" t="n">
        <f aca="false">AK36-AK38</f>
        <v>9.71269322281501</v>
      </c>
      <c r="AL39" s="19" t="n">
        <f aca="false">AL36-AL38</f>
        <v>9.52099095489144</v>
      </c>
      <c r="AM39" s="19" t="n">
        <f aca="false">AM36-AM38</f>
        <v>11.088133272381</v>
      </c>
      <c r="AN39" s="19" t="n">
        <f aca="false">AN36-AN38</f>
        <v>10.7773400908615</v>
      </c>
      <c r="AO39" s="19" t="n">
        <f aca="false">AO36-AO38</f>
        <v>13.7577674654811</v>
      </c>
      <c r="AP39" s="19" t="n">
        <f aca="false">AP36-AP38</f>
        <v>14.2494932251574</v>
      </c>
      <c r="AQ39" s="19" t="n">
        <f aca="false">AQ36-AQ38</f>
        <v>10.0890600848957</v>
      </c>
      <c r="AR39" s="19" t="n">
        <f aca="false">AR36-AR38</f>
        <v>9.69355659623976</v>
      </c>
      <c r="AS39" s="19" t="n">
        <f aca="false">AS36-AS38</f>
        <v>10.0125730272427</v>
      </c>
      <c r="AT39" s="19" t="n">
        <f aca="false">AT36-AT38</f>
        <v>10.232225252298</v>
      </c>
      <c r="AU39" s="19" t="n">
        <f aca="false">AU36-AU38</f>
        <v>11.1766370803247</v>
      </c>
      <c r="AV39" s="19" t="n">
        <f aca="false">AV36-AV38</f>
        <v>11.0502686002474</v>
      </c>
      <c r="AW39" s="19" t="n">
        <f aca="false">AW36-AW38</f>
        <v>15.6586340557622</v>
      </c>
      <c r="AX39" s="19" t="n">
        <f aca="false">AX36-AX38</f>
        <v>23.2579857607796</v>
      </c>
      <c r="AY39" s="19" t="n">
        <f aca="false">AY36-AY38</f>
        <v>21.0257516404508</v>
      </c>
      <c r="AZ39" s="19" t="n">
        <f aca="false">AZ36-AZ38</f>
        <v>21.7516303844647</v>
      </c>
      <c r="BA39" s="19" t="n">
        <f aca="false">BA36-BA38</f>
        <v>21.0696657845694</v>
      </c>
      <c r="BB39" s="19" t="n">
        <f aca="false">BB36-BB38</f>
        <v>13.5951060943022</v>
      </c>
      <c r="BC39" s="19" t="n">
        <f aca="false">BC36-BC38</f>
        <v>27.3596675605616</v>
      </c>
      <c r="BD39" s="19" t="n">
        <f aca="false">BD36-BD38</f>
        <v>24.8074838537843</v>
      </c>
      <c r="BE39" s="19" t="n">
        <f aca="false">BE36-BE38</f>
        <v>31.2679475161055</v>
      </c>
      <c r="BF39" s="19" t="n">
        <f aca="false">BF36-BF38</f>
        <v>30.0075234503497</v>
      </c>
      <c r="BG39" s="19" t="n">
        <f aca="false">BG36-BG38</f>
        <v>28.2214573725654</v>
      </c>
      <c r="BH39" s="19" t="n">
        <f aca="false">BH36-BH38</f>
        <v>27.6516909041403</v>
      </c>
      <c r="BI39" s="19" t="n">
        <f aca="false">BI36-BI38</f>
        <v>29.1963313691936</v>
      </c>
      <c r="BJ39" s="19" t="n">
        <f aca="false">BJ36-BJ38</f>
        <v>28.2315086366663</v>
      </c>
      <c r="BK39" s="19" t="n">
        <f aca="false">BK36-BK38</f>
        <v>30.0894146069291</v>
      </c>
      <c r="BL39" s="19" t="n">
        <f aca="false">BL36-BL38</f>
        <v>29.0849675632568</v>
      </c>
      <c r="BM39" s="19" t="n">
        <f aca="false">BM36-BM38</f>
        <v>31.0178456670439</v>
      </c>
      <c r="BN39" s="19" t="n">
        <f aca="false">BN36-BN38</f>
        <v>37.2946072620201</v>
      </c>
      <c r="BO39" s="19" t="n">
        <f aca="false">BO36-BO38</f>
        <v>23.8166329388475</v>
      </c>
      <c r="BP39" s="19" t="n">
        <f aca="false">BP36-BP38</f>
        <v>23.1737437357355</v>
      </c>
      <c r="BQ39" s="19" t="n">
        <f aca="false">BQ36-BQ38</f>
        <v>25.2284491508876</v>
      </c>
      <c r="BR39" s="19" t="n">
        <f aca="false">BR36-BR38</f>
        <v>23.7092162783615</v>
      </c>
      <c r="BS39" s="19" t="n">
        <f aca="false">BS36-BS38</f>
        <v>26.0680639301194</v>
      </c>
      <c r="BT39" s="19" t="n">
        <f aca="false">BT36-BT38</f>
        <v>11.1424217371527</v>
      </c>
      <c r="BU39" s="19" t="n">
        <f aca="false">BU36-BU38</f>
        <v>41.5696356538796</v>
      </c>
      <c r="BV39" s="19" t="n">
        <f aca="false">BV36-BV38</f>
        <v>44.9094548054138</v>
      </c>
      <c r="BW39" s="19" t="n">
        <f aca="false">BW36-BW38</f>
        <v>37.8437329927327</v>
      </c>
      <c r="BX39" s="19" t="n">
        <f aca="false">BX36-BX38</f>
        <v>34.3441173324467</v>
      </c>
      <c r="BY39" s="19" t="n">
        <f aca="false">BY36-BY38</f>
        <v>36.5712686071179</v>
      </c>
      <c r="BZ39" s="19" t="n">
        <f aca="false">BZ36-BZ38</f>
        <v>39.5396496743666</v>
      </c>
      <c r="CA39" s="19" t="n">
        <f aca="false">CA36-CA38</f>
        <v>32.2476518489263</v>
      </c>
      <c r="CB39" s="19" t="n">
        <f aca="false">CB36-CB38</f>
        <v>30.4513317235826</v>
      </c>
      <c r="CC39" s="19" t="n">
        <f aca="false">CC36-CC38</f>
        <v>33.1901157497261</v>
      </c>
      <c r="CD39" s="19" t="n">
        <f aca="false">CD36-CD38</f>
        <v>33.6189045693826</v>
      </c>
      <c r="CE39" s="19" t="n">
        <f aca="false">CE36-CE38</f>
        <v>31.4614762893929</v>
      </c>
      <c r="CF39" s="19" t="n">
        <f aca="false">CF36-CF38</f>
        <v>16.8450967031923</v>
      </c>
      <c r="CG39" s="19" t="n">
        <f aca="false">CG36-CG38</f>
        <v>55.6550425035824</v>
      </c>
      <c r="CH39" s="19" t="n">
        <f aca="false">CH36-CH38</f>
        <v>35.7765859226983</v>
      </c>
      <c r="CI39" s="19" t="n">
        <f aca="false">CI36-CI38</f>
        <v>58.8650487982286</v>
      </c>
      <c r="CJ39" s="19" t="n">
        <f aca="false">CJ36-CJ38</f>
        <v>64.5013016493786</v>
      </c>
      <c r="CK39" s="19" t="n">
        <f aca="false">CK36-CK38</f>
        <v>80.7144555505863</v>
      </c>
      <c r="CL39" s="19" t="n">
        <f aca="false">CL36-CL38</f>
        <v>71.4334633287032</v>
      </c>
      <c r="CM39" s="19" t="n">
        <f aca="false">CM36-CM38</f>
        <v>59.0420726893231</v>
      </c>
      <c r="CN39" s="19" t="n">
        <f aca="false">CN36-CN38</f>
        <v>58.7962042221579</v>
      </c>
      <c r="CO39" s="19" t="n">
        <f aca="false">CO36-CO38</f>
        <v>61.4218524649915</v>
      </c>
      <c r="CP39" s="19" t="n">
        <f aca="false">CP36-CP38</f>
        <v>50.8998304118857</v>
      </c>
      <c r="CQ39" s="19" t="n">
        <f aca="false">CQ36-CQ38</f>
        <v>53.4991232251561</v>
      </c>
      <c r="CR39" s="19" t="n">
        <f aca="false">CR36-CR38</f>
        <v>52.8870354743751</v>
      </c>
      <c r="CS39" s="19" t="n">
        <f aca="false">CS36-CS38</f>
        <v>83.1683323562884</v>
      </c>
      <c r="CT39" s="19" t="n">
        <f aca="false">CT36-CT38</f>
        <v>60.4909791892369</v>
      </c>
      <c r="CU39" s="19" t="n">
        <f aca="false">CU36-CU38</f>
        <v>57.7184782451592</v>
      </c>
      <c r="CV39" s="19" t="n">
        <f aca="false">CV36-CV38</f>
        <v>57.2577610061759</v>
      </c>
      <c r="CW39" s="19" t="n">
        <f aca="false">CW36-CW38</f>
        <v>59.7210572715021</v>
      </c>
      <c r="CX39" s="19" t="n">
        <f aca="false">CX36-CX38</f>
        <v>58.848506878436</v>
      </c>
      <c r="CY39" s="19" t="n">
        <f aca="false">CY36-CY38</f>
        <v>61.7908587815228</v>
      </c>
      <c r="CZ39" s="19" t="n">
        <f aca="false">CZ36-CZ38</f>
        <v>60.893164223539</v>
      </c>
      <c r="DA39" s="19" t="n">
        <f aca="false">DA36-DA38</f>
        <v>77.6214078949841</v>
      </c>
      <c r="DB39" s="19" t="n">
        <f aca="false">DB36-DB38</f>
        <v>121.983902080667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2.07861746001568</v>
      </c>
      <c r="AA41" s="31" t="n">
        <f aca="false">IF(Debt!AA68&gt;Inputs!$F$9,AA7/Debt!AA68,0)</f>
        <v>1.11224631400275</v>
      </c>
      <c r="AB41" s="31" t="n">
        <f aca="false">IF(Debt!AB68&gt;Inputs!$F$9,AB7/Debt!AB68,0)</f>
        <v>0.466172428224864</v>
      </c>
      <c r="AC41" s="31" t="n">
        <f aca="false">IF(Debt!AC68&gt;Inputs!$F$9,AC7/Debt!AC68,0)</f>
        <v>0.799568602036652</v>
      </c>
      <c r="AD41" s="31" t="n">
        <f aca="false">IF(Debt!AD68&gt;Inputs!$F$9,AD7/Debt!AD68,0)</f>
        <v>0.758658372516836</v>
      </c>
      <c r="AE41" s="31" t="n">
        <f aca="false">IF(Debt!AE68&gt;Inputs!$F$9,AE7/Debt!AE68,0)</f>
        <v>0.964413002182344</v>
      </c>
      <c r="AF41" s="31" t="n">
        <f aca="false">IF(Debt!AF68&gt;Inputs!$F$9,AF7/Debt!AF68,0)</f>
        <v>0.843418732324597</v>
      </c>
      <c r="AG41" s="31" t="n">
        <f aca="false">IF(Debt!AG68&gt;Inputs!$F$9,AG7/Debt!AG68,0)</f>
        <v>1.00875074661743</v>
      </c>
      <c r="AH41" s="31" t="n">
        <f aca="false">IF(Debt!AH68&gt;Inputs!$F$9,AH7/Debt!AH68,0)</f>
        <v>1.0126992545617</v>
      </c>
      <c r="AI41" s="31" t="n">
        <f aca="false">IF(Debt!AI68&gt;Inputs!$F$9,AI7/Debt!AI68,0)</f>
        <v>1.03090049655531</v>
      </c>
      <c r="AJ41" s="31" t="n">
        <f aca="false">IF(Debt!AJ68&gt;Inputs!$F$9,AJ7/Debt!AJ68,0)</f>
        <v>1.95130984311688</v>
      </c>
      <c r="AK41" s="31" t="n">
        <f aca="false">IF(Debt!AK68&gt;Inputs!$F$9,AK7/Debt!AK68,0)</f>
        <v>2.24703731070405</v>
      </c>
      <c r="AL41" s="31" t="n">
        <f aca="false">IF(Debt!AL68&gt;Inputs!$F$9,AL7/Debt!AL68,0)</f>
        <v>2.26043147776175</v>
      </c>
      <c r="AM41" s="31" t="n">
        <f aca="false">IF(Debt!AM68&gt;Inputs!$F$9,AM7/Debt!AM68,0)</f>
        <v>2.49530563292841</v>
      </c>
      <c r="AN41" s="31" t="n">
        <f aca="false">IF(Debt!AN68&gt;Inputs!$F$9,AN7/Debt!AN68,0)</f>
        <v>2.47870870781474</v>
      </c>
      <c r="AO41" s="31" t="n">
        <f aca="false">IF(Debt!AO68&gt;Inputs!$F$9,AO7/Debt!AO68,0)</f>
        <v>2.93778689728227</v>
      </c>
      <c r="AP41" s="31" t="n">
        <f aca="false">IF(Debt!AP68&gt;Inputs!$F$9,AP7/Debt!AP68,0)</f>
        <v>3.02291626160188</v>
      </c>
      <c r="AQ41" s="31" t="n">
        <f aca="false">IF(Debt!AQ68&gt;Inputs!$F$9,AQ7/Debt!AQ68,0)</f>
        <v>2.47939206597625</v>
      </c>
      <c r="AR41" s="31" t="n">
        <f aca="false">IF(Debt!AR68&gt;Inputs!$F$9,AR7/Debt!AR68,0)</f>
        <v>2.45622688976205</v>
      </c>
      <c r="AS41" s="31" t="n">
        <f aca="false">IF(Debt!AS68&gt;Inputs!$F$9,AS7/Debt!AS68,0)</f>
        <v>2.53443666205782</v>
      </c>
      <c r="AT41" s="31" t="n">
        <f aca="false">IF(Debt!AT68&gt;Inputs!$F$9,AT7/Debt!AT68,0)</f>
        <v>2.59957343493338</v>
      </c>
      <c r="AU41" s="31" t="n">
        <f aca="false">IF(Debt!AU68&gt;Inputs!$F$9,AU7/Debt!AU68,0)</f>
        <v>2.78550713073399</v>
      </c>
      <c r="AV41" s="31" t="n">
        <f aca="false">IF(Debt!AV68&gt;Inputs!$F$9,AV7/Debt!AV68,0)</f>
        <v>2.8666619764375</v>
      </c>
      <c r="AW41" s="31" t="n">
        <f aca="false">IF(Debt!AW68&gt;Inputs!$F$9,AW7/Debt!AW68,0)</f>
        <v>3.47375931904134</v>
      </c>
      <c r="AX41" s="31" t="n">
        <f aca="false">IF(Debt!AX68&gt;Inputs!$F$9,AX7/Debt!AX68,0)</f>
        <v>3.58607484017342</v>
      </c>
      <c r="AY41" s="31" t="n">
        <f aca="false">IF(Debt!AY68&gt;Inputs!$F$9,AY7/Debt!AY68,0)</f>
        <v>3.63493425173544</v>
      </c>
      <c r="AZ41" s="31" t="n">
        <f aca="false">IF(Debt!AZ68&gt;Inputs!$F$9,AZ7/Debt!AZ68,0)</f>
        <v>3.62327112085254</v>
      </c>
      <c r="BA41" s="31" t="n">
        <f aca="false">IF(Debt!BA68&gt;Inputs!$F$9,BA7/Debt!BA68,0)</f>
        <v>3.64379577537165</v>
      </c>
      <c r="BB41" s="31" t="n">
        <f aca="false">IF(Debt!BB68&gt;Inputs!$F$9,BB7/Debt!BB68,0)</f>
        <v>3.49291249597865</v>
      </c>
      <c r="BC41" s="31" t="n">
        <f aca="false">IF(Debt!BC68&gt;Inputs!$F$9,BC7/Debt!BC68,0)</f>
        <v>3.32686117287293</v>
      </c>
      <c r="BD41" s="31" t="n">
        <f aca="false">IF(Debt!BD68&gt;Inputs!$F$9,BD7/Debt!BD68,0)</f>
        <v>3.32574559314008</v>
      </c>
      <c r="BE41" s="31" t="n">
        <f aca="false">IF(Debt!BE68&gt;Inputs!$F$9,BE7/Debt!BE68,0)</f>
        <v>3.2360223027523</v>
      </c>
      <c r="BF41" s="31" t="n">
        <f aca="false">IF(Debt!BF68&gt;Inputs!$F$9,BF7/Debt!BF68,0)</f>
        <v>3.26677173380276</v>
      </c>
      <c r="BG41" s="31" t="n">
        <f aca="false">IF(Debt!BG68&gt;Inputs!$F$9,BG7/Debt!BG68,0)</f>
        <v>3.29696453916146</v>
      </c>
      <c r="BH41" s="31" t="n">
        <f aca="false">IF(Debt!BH68&gt;Inputs!$F$9,BH7/Debt!BH68,0)</f>
        <v>3.29461795834998</v>
      </c>
      <c r="BI41" s="31" t="n">
        <f aca="false">IF(Debt!BI68&gt;Inputs!$F$9,BI7/Debt!BI68,0)</f>
        <v>3.26988758961422</v>
      </c>
      <c r="BJ41" s="31" t="n">
        <f aca="false">IF(Debt!BJ68&gt;Inputs!$F$9,BJ7/Debt!BJ68,0)</f>
        <v>3.27150879693798</v>
      </c>
      <c r="BK41" s="31" t="n">
        <f aca="false">IF(Debt!BK68&gt;Inputs!$F$9,BK7/Debt!BK68,0)</f>
        <v>3.2439401336283</v>
      </c>
      <c r="BL41" s="31" t="n">
        <f aca="false">IF(Debt!BL68&gt;Inputs!$F$9,BL7/Debt!BL68,0)</f>
        <v>3.24550181548464</v>
      </c>
      <c r="BM41" s="31" t="n">
        <f aca="false">IF(Debt!BM68&gt;Inputs!$F$9,BM7/Debt!BM68,0)</f>
        <v>3.21919490915526</v>
      </c>
      <c r="BN41" s="31" t="n">
        <f aca="false">IF(Debt!BN68&gt;Inputs!$F$9,BN7/Debt!BN68,0)</f>
        <v>3.22070357759314</v>
      </c>
      <c r="BO41" s="31" t="n">
        <f aca="false">IF(Debt!BO68&gt;Inputs!$F$9,BO7/Debt!BO68,0)</f>
        <v>3.48472379818783</v>
      </c>
      <c r="BP41" s="31" t="n">
        <f aca="false">IF(Debt!BP68&gt;Inputs!$F$9,BP7/Debt!BP68,0)</f>
        <v>3.47837619632563</v>
      </c>
      <c r="BQ41" s="31" t="n">
        <f aca="false">IF(Debt!BQ68&gt;Inputs!$F$9,BQ7/Debt!BQ68,0)</f>
        <v>3.42986099333076</v>
      </c>
      <c r="BR41" s="31" t="n">
        <f aca="false">IF(Debt!BR68&gt;Inputs!$F$9,BR7/Debt!BR68,0)</f>
        <v>3.44305305416583</v>
      </c>
      <c r="BS41" s="31" t="n">
        <f aca="false">IF(Debt!BS68&gt;Inputs!$F$9,BS7/Debt!BS68,0)</f>
        <v>3.3917230319932</v>
      </c>
      <c r="BT41" s="31" t="n">
        <f aca="false">IF(Debt!BT68&gt;Inputs!$F$9,BT7/Debt!BT68,0)</f>
        <v>3.40411000271142</v>
      </c>
      <c r="BU41" s="31" t="n">
        <f aca="false">IF(Debt!BU68&gt;Inputs!$F$9,BU7/Debt!BU68,0)</f>
        <v>3.0397815947192</v>
      </c>
      <c r="BV41" s="31" t="n">
        <f aca="false">IF(Debt!BV68&gt;Inputs!$F$9,BV7/Debt!BV68,0)</f>
        <v>3.04363681054681</v>
      </c>
      <c r="BW41" s="31" t="n">
        <f aca="false">IF(Debt!BW68&gt;Inputs!$F$9,BW7/Debt!BW68,0)</f>
        <v>3.10299234909678</v>
      </c>
      <c r="BX41" s="31" t="n">
        <f aca="false">IF(Debt!BX68&gt;Inputs!$F$9,BX7/Debt!BX68,0)</f>
        <v>3.12719400271389</v>
      </c>
      <c r="BY41" s="31" t="n">
        <f aca="false">IF(Debt!BY68&gt;Inputs!$F$9,BY7/Debt!BY68,0)</f>
        <v>3.10995583719915</v>
      </c>
      <c r="BZ41" s="31" t="n">
        <f aca="false">IF(Debt!BZ68&gt;Inputs!$F$9,BZ7/Debt!BZ68,0)</f>
        <v>3.11580717449995</v>
      </c>
      <c r="CA41" s="31" t="n">
        <f aca="false">IF(Debt!CA68&gt;Inputs!$F$9,CA7/Debt!CA68,0)</f>
        <v>3.19546436828825</v>
      </c>
      <c r="CB41" s="31" t="n">
        <f aca="false">IF(Debt!CB68&gt;Inputs!$F$9,CB7/Debt!CB68,0)</f>
        <v>3.20359352165442</v>
      </c>
      <c r="CC41" s="31" t="n">
        <f aca="false">IF(Debt!CC68&gt;Inputs!$F$9,CC7/Debt!CC68,0)</f>
        <v>3.17586152540757</v>
      </c>
      <c r="CD41" s="31" t="n">
        <f aca="false">IF(Debt!CD68&gt;Inputs!$F$9,CD7/Debt!CD68,0)</f>
        <v>3.18379984526347</v>
      </c>
      <c r="CE41" s="31" t="n">
        <f aca="false">IF(Debt!CE68&gt;Inputs!$F$9,CE7/Debt!CE68,0)</f>
        <v>3.21247105341661</v>
      </c>
      <c r="CF41" s="31" t="n">
        <f aca="false">IF(Debt!CF68&gt;Inputs!$F$9,CF7/Debt!CF68,0)</f>
        <v>3.2167630105404</v>
      </c>
      <c r="CG41" s="31" t="n">
        <f aca="false">IF(Debt!CG68&gt;Inputs!$F$9,CG7/Debt!CG68,0)</f>
        <v>2.98449316912171</v>
      </c>
      <c r="CH41" s="31" t="n">
        <f aca="false">IF(Debt!CH68&gt;Inputs!$F$9,CH7/Debt!CH68,0)</f>
        <v>3.09880443234315</v>
      </c>
      <c r="CI41" s="31" t="n">
        <f aca="false">IF(Debt!CI68&gt;Inputs!$F$9,CI7/Debt!CI68,0)</f>
        <v>3.07827654944919</v>
      </c>
      <c r="CJ41" s="31" t="n">
        <f aca="false">IF(Debt!CJ68&gt;Inputs!$F$9,CJ7/Debt!CJ68,0)</f>
        <v>12.7435889540214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14.4335477229002</v>
      </c>
      <c r="AA42" s="19" t="n">
        <f aca="false">IF(OR(Time!AA36=1,Time!Z44=0),AA7,AA7+Z7)</f>
        <v>17.0914884408586</v>
      </c>
      <c r="AB42" s="19" t="n">
        <f aca="false">IF(OR(Time!AB36=1,Time!AA44=0),AB7,AB7+AA7)</f>
        <v>26.0900318415678</v>
      </c>
      <c r="AC42" s="19" t="n">
        <f aca="false">IF(OR(Time!AC36=1,Time!AB44=0),AC7,AC7+AB7)</f>
        <v>25.4493421518186</v>
      </c>
      <c r="AD42" s="19" t="n">
        <f aca="false">IF(OR(Time!AD36=1,Time!AC44=0),AD7,AD7+AC7)</f>
        <v>34.4566194747313</v>
      </c>
      <c r="AE42" s="19" t="n">
        <f aca="false">IF(OR(Time!AE36=1,Time!AD44=0),AE7,AE7+AD7)</f>
        <v>41.0708542305536</v>
      </c>
      <c r="AF42" s="19" t="n">
        <f aca="false">IF(OR(Time!AF36=1,Time!AE44=0),AF7,AF7+AE7)</f>
        <v>42.7760923800938</v>
      </c>
      <c r="AG42" s="19" t="n">
        <f aca="false">IF(OR(Time!AG36=1,Time!AF44=0),AG7,AG7+AF7)</f>
        <v>44.5237789687855</v>
      </c>
      <c r="AH42" s="19" t="n">
        <f aca="false">IF(OR(Time!AH36=1,Time!AG44=0),AH7,AH7+AG7)</f>
        <v>49.5057964812208</v>
      </c>
      <c r="AI42" s="19" t="n">
        <f aca="false">IF(OR(Time!AI36=1,Time!AH44=0),AI7,AI7+AH7)</f>
        <v>50.0506243757621</v>
      </c>
      <c r="AJ42" s="19" t="n">
        <f aca="false">IF(OR(Time!AJ36=1,Time!AI44=0),AJ7,AJ7+AI7)</f>
        <v>30.597759139989</v>
      </c>
      <c r="AK42" s="19" t="n">
        <f aca="false">IF(OR(Time!AK36=1,Time!AJ44=0),AK7,AK7+AJ7)</f>
        <v>64.6598902657238</v>
      </c>
      <c r="AL42" s="19" t="n">
        <f aca="false">IF(OR(Time!AL36=1,Time!AK44=0),AL7,AL7+AK7)</f>
        <v>67.7674508367033</v>
      </c>
      <c r="AM42" s="19" t="n">
        <f aca="false">IF(OR(Time!AM36=1,Time!AL44=0),AM7,AM7+AL7)</f>
        <v>70.3070271953986</v>
      </c>
      <c r="AN42" s="19" t="n">
        <f aca="false">IF(OR(Time!AN36=1,Time!AM44=0),AN7,AN7+AM7)</f>
        <v>72.2591190782793</v>
      </c>
      <c r="AO42" s="19" t="n">
        <f aca="false">IF(OR(Time!AO36=1,Time!AN44=0),AO7,AO7+AN7)</f>
        <v>77.1115137777641</v>
      </c>
      <c r="AP42" s="19" t="n">
        <f aca="false">IF(OR(Time!AP36=1,Time!AO44=0),AP7,AP7+AO7)</f>
        <v>83.3594794456763</v>
      </c>
      <c r="AQ42" s="19" t="n">
        <f aca="false">IF(OR(Time!AQ36=1,Time!AP44=0),AQ7,AQ7+AP7)</f>
        <v>75.1139871588862</v>
      </c>
      <c r="AR42" s="19" t="n">
        <f aca="false">IF(OR(Time!AR36=1,Time!AQ44=0),AR7,AR7+AQ7)</f>
        <v>65.4750328298495</v>
      </c>
      <c r="AS42" s="19" t="n">
        <f aca="false">IF(OR(Time!AS36=1,Time!AR44=0),AS7,AS7+AR7)</f>
        <v>64.933778373212</v>
      </c>
      <c r="AT42" s="19" t="n">
        <f aca="false">IF(OR(Time!AT36=1,Time!AS44=0),AT7,AT7+AS7)</f>
        <v>65.5105597998998</v>
      </c>
      <c r="AU42" s="19" t="n">
        <f aca="false">IF(OR(Time!AU36=1,Time!AT44=0),AU7,AU7+AT7)</f>
        <v>67.3087094992061</v>
      </c>
      <c r="AV42" s="19" t="n">
        <f aca="false">IF(OR(Time!AV36=1,Time!AU44=0),AV7,AV7+AU7)</f>
        <v>69.1181407458578</v>
      </c>
      <c r="AW42" s="19" t="n">
        <f aca="false">IF(OR(Time!AW36=1,Time!AV44=0),AW7,AW7+AV7)</f>
        <v>78.2667982449104</v>
      </c>
      <c r="AX42" s="19" t="n">
        <f aca="false">IF(OR(Time!AX36=1,Time!AW44=0),AX7,AX7+AW7)</f>
        <v>87.2903351584754</v>
      </c>
      <c r="AY42" s="19" t="n">
        <f aca="false">IF(OR(Time!AY36=1,Time!AX44=0),AY7,AY7+AX7)</f>
        <v>85.739982878182</v>
      </c>
      <c r="AZ42" s="19" t="n">
        <f aca="false">IF(OR(Time!AZ36=1,Time!AY44=0),AZ7,AZ7+AY7)</f>
        <v>84.4977185057937</v>
      </c>
      <c r="BA42" s="19" t="n">
        <f aca="false">IF(OR(Time!BA36=1,Time!AZ44=0),BA7,BA7+AZ7)</f>
        <v>84.1811899325935</v>
      </c>
      <c r="BB42" s="19" t="n">
        <f aca="false">IF(OR(Time!BB36=1,Time!BA44=0),BB7,BB7+BA7)</f>
        <v>81.3955011623324</v>
      </c>
      <c r="BC42" s="19" t="n">
        <f aca="false">IF(OR(Time!BC36=1,Time!BB44=0),BC7,BC7+BB7)</f>
        <v>95.8010097979792</v>
      </c>
      <c r="BD42" s="19" t="n">
        <f aca="false">IF(OR(Time!BD36=1,Time!BC44=0),BD7,BD7+BC7)</f>
        <v>112.380117992927</v>
      </c>
      <c r="BE42" s="19" t="n">
        <f aca="false">IF(OR(Time!BE36=1,Time!BD44=0),BE7,BE7+BD7)</f>
        <v>119.386801054467</v>
      </c>
      <c r="BF42" s="19" t="n">
        <f aca="false">IF(OR(Time!BF36=1,Time!BE44=0),BF7,BF7+BE7)</f>
        <v>123.6663244158</v>
      </c>
      <c r="BG42" s="19" t="n">
        <f aca="false">IF(OR(Time!BG36=1,Time!BF44=0),BG7,BG7+BF7)</f>
        <v>118.827919851375</v>
      </c>
      <c r="BH42" s="19" t="n">
        <f aca="false">IF(OR(Time!BH36=1,Time!BG44=0),BH7,BH7+BG7)</f>
        <v>116.825366308908</v>
      </c>
      <c r="BI42" s="19" t="n">
        <f aca="false">IF(OR(Time!BI36=1,Time!BH44=0),BI7,BI7+BH7)</f>
        <v>118.906294370571</v>
      </c>
      <c r="BJ42" s="19" t="n">
        <f aca="false">IF(OR(Time!BJ36=1,Time!BI44=0),BJ7,BJ7+BI7)</f>
        <v>120.674972645434</v>
      </c>
      <c r="BK42" s="19" t="n">
        <f aca="false">IF(OR(Time!BK36=1,Time!BJ44=0),BK7,BK7+BJ7)</f>
        <v>122.837917443472</v>
      </c>
      <c r="BL42" s="19" t="n">
        <f aca="false">IF(OR(Time!BL36=1,Time!BK44=0),BL7,BL7+BK7)</f>
        <v>124.994403625788</v>
      </c>
      <c r="BM42" s="19" t="n">
        <f aca="false">IF(OR(Time!BM36=1,Time!BL44=0),BM7,BM7+BL7)</f>
        <v>127.242582453235</v>
      </c>
      <c r="BN42" s="19" t="n">
        <f aca="false">IF(OR(Time!BN36=1,Time!BM44=0),BN7,BN7+BM7)</f>
        <v>129.483625501113</v>
      </c>
      <c r="BO42" s="19" t="n">
        <f aca="false">IF(OR(Time!BO36=1,Time!BN44=0),BO7,BO7+BN7)</f>
        <v>112.377872464221</v>
      </c>
      <c r="BP42" s="19" t="n">
        <f aca="false">IF(OR(Time!BP36=1,Time!BO44=0),BP7,BP7+BO7)</f>
        <v>95.6954336287334</v>
      </c>
      <c r="BQ42" s="19" t="n">
        <f aca="false">IF(OR(Time!BQ36=1,Time!BP44=0),BQ7,BQ7+BP7)</f>
        <v>98.270871916485</v>
      </c>
      <c r="BR42" s="19" t="n">
        <f aca="false">IF(OR(Time!BR36=1,Time!BQ44=0),BR7,BR7+BQ7)</f>
        <v>99.9131974310718</v>
      </c>
      <c r="BS42" s="19" t="n">
        <f aca="false">IF(OR(Time!BS36=1,Time!BR44=0),BS7,BS7+BR7)</f>
        <v>101.929164017315</v>
      </c>
      <c r="BT42" s="19" t="n">
        <f aca="false">IF(OR(Time!BT36=1,Time!BS44=0),BT7,BT7+BS7)</f>
        <v>103.919715606567</v>
      </c>
      <c r="BU42" s="19" t="n">
        <f aca="false">IF(OR(Time!BU36=1,Time!BT44=0),BU7,BU7+BT7)</f>
        <v>141.463379056864</v>
      </c>
      <c r="BV42" s="19" t="n">
        <f aca="false">IF(OR(Time!BV36=1,Time!BU44=0),BV7,BV7+BU7)</f>
        <v>178.904360268848</v>
      </c>
      <c r="BW42" s="19" t="n">
        <f aca="false">IF(OR(Time!BW36=1,Time!BV44=0),BW7,BW7+BV7)</f>
        <v>167.587840573372</v>
      </c>
      <c r="BX42" s="19" t="n">
        <f aca="false">IF(OR(Time!BX36=1,Time!BW44=0),BX7,BX7+BW7)</f>
        <v>153.763402372836</v>
      </c>
      <c r="BY42" s="19" t="n">
        <f aca="false">IF(OR(Time!BY36=1,Time!BX44=0),BY7,BY7+BX7)</f>
        <v>152.897303330972</v>
      </c>
      <c r="BZ42" s="19" t="n">
        <f aca="false">IF(OR(Time!BZ36=1,Time!BY44=0),BZ7,BZ7+BY7)</f>
        <v>154.476408390355</v>
      </c>
      <c r="CA42" s="19" t="n">
        <f aca="false">IF(OR(Time!CA36=1,Time!BZ44=0),CA7,CA7+BZ7)</f>
        <v>143.987427081557</v>
      </c>
      <c r="CB42" s="19" t="n">
        <f aca="false">IF(OR(Time!CB36=1,Time!CA44=0),CB7,CB7+CA7)</f>
        <v>133.513486902126</v>
      </c>
      <c r="CC42" s="19" t="n">
        <f aca="false">IF(OR(Time!CC36=1,Time!CB44=0),CC7,CC7+CB7)</f>
        <v>135.742301588859</v>
      </c>
      <c r="CD42" s="19" t="n">
        <f aca="false">IF(OR(Time!CD36=1,Time!CC44=0),CD7,CD7+CC7)</f>
        <v>137.939947478547</v>
      </c>
      <c r="CE42" s="19" t="n">
        <f aca="false">IF(OR(Time!CE36=1,Time!CD44=0),CE7,CE7+CD7)</f>
        <v>134.1453960151</v>
      </c>
      <c r="CF42" s="19" t="n">
        <f aca="false">IF(OR(Time!CF36=1,Time!CE44=0),CF7,CF7+CE7)</f>
        <v>130.795145775773</v>
      </c>
      <c r="CG42" s="19" t="n">
        <f aca="false">IF(OR(Time!CG36=1,Time!CF44=0),CG7,CG7+CF7)</f>
        <v>168.318867971367</v>
      </c>
      <c r="CH42" s="19" t="n">
        <f aca="false">IF(OR(Time!CH36=1,Time!CG44=0),CH7,CH7+CG7)</f>
        <v>182.622268424661</v>
      </c>
      <c r="CI42" s="19" t="n">
        <f aca="false">IF(OR(Time!CI36=1,Time!CH44=0),CI7,CI7+CH7)</f>
        <v>162.296264077122</v>
      </c>
      <c r="CJ42" s="19" t="n">
        <f aca="false">IF(OR(Time!CJ36=1,Time!CI44=0),CJ7,CJ7+CI7)</f>
        <v>164.612004154948</v>
      </c>
      <c r="CK42" s="19" t="n">
        <f aca="false">IF(OR(Time!CK36=1,Time!CJ44=0),CK7,CK7+CJ7)</f>
        <v>184.184275650099</v>
      </c>
      <c r="CL42" s="19" t="n">
        <f aca="false">IF(OR(Time!CL36=1,Time!CK44=0),CL7,CL7+CK7)</f>
        <v>192.977152047812</v>
      </c>
      <c r="CM42" s="19" t="n">
        <f aca="false">IF(OR(Time!CM36=1,Time!CL44=0),CM7,CM7+CL7)</f>
        <v>165.485165895907</v>
      </c>
      <c r="CN42" s="19" t="n">
        <f aca="false">IF(OR(Time!CN36=1,Time!CM44=0),CN7,CN7+CM7)</f>
        <v>149.454352569889</v>
      </c>
      <c r="CO42" s="19" t="n">
        <f aca="false">IF(OR(Time!CO36=1,Time!CN44=0),CO7,CO7+CN7)</f>
        <v>152.473035909008</v>
      </c>
      <c r="CP42" s="19" t="n">
        <f aca="false">IF(OR(Time!CP36=1,Time!CO44=0),CP7,CP7+CO7)</f>
        <v>154.948911201864</v>
      </c>
      <c r="CQ42" s="19" t="n">
        <f aca="false">IF(OR(Time!CQ36=1,Time!CP44=0),CQ7,CQ7+CP7)</f>
        <v>158.029639428527</v>
      </c>
      <c r="CR42" s="19" t="n">
        <f aca="false">IF(OR(Time!CR36=1,Time!CQ44=0),CR7,CR7+CQ7)</f>
        <v>161.03842203108</v>
      </c>
      <c r="CS42" s="19" t="n">
        <f aca="false">IF(OR(Time!CS36=1,Time!CR44=0),CS7,CS7+CR7)</f>
        <v>205.952065500729</v>
      </c>
      <c r="CT42" s="19" t="n">
        <f aca="false">IF(OR(Time!CT36=1,Time!CS44=0),CT7,CT7+CS7)</f>
        <v>217.476616871912</v>
      </c>
      <c r="CU42" s="19" t="n">
        <f aca="false">IF(OR(Time!CU36=1,Time!CT44=0),CU7,CU7+CT7)</f>
        <v>178.951421909288</v>
      </c>
      <c r="CV42" s="19" t="n">
        <f aca="false">IF(OR(Time!CV36=1,Time!CU44=0),CV7,CV7+CU7)</f>
        <v>174.04438515697</v>
      </c>
      <c r="CW42" s="19" t="n">
        <f aca="false">IF(OR(Time!CW36=1,Time!CV44=0),CW7,CW7+CV7)</f>
        <v>177.076438820139</v>
      </c>
      <c r="CX42" s="19" t="n">
        <f aca="false">IF(OR(Time!CX36=1,Time!CW44=0),CX7,CX7+CW7)</f>
        <v>179.485042115662</v>
      </c>
      <c r="CY42" s="19" t="n">
        <f aca="false">IF(OR(Time!CY36=1,Time!CX44=0),CY7,CY7+CX7)</f>
        <v>182.618881326362</v>
      </c>
      <c r="CZ42" s="19" t="n">
        <f aca="false">IF(OR(Time!CZ36=1,Time!CY44=0),CZ7,CZ7+CY7)</f>
        <v>185.714649442391</v>
      </c>
      <c r="DA42" s="19" t="n">
        <f aca="false">IF(OR(Time!DA36=1,Time!CZ44=0),DA7,DA7+CZ7)</f>
        <v>209.684878055789</v>
      </c>
      <c r="DB42" s="19" t="n">
        <f aca="false">IF(OR(Time!DB36=1,Time!DA44=0),DB7,DB7+DA7)</f>
        <v>239.490985901854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47.6499035981569</v>
      </c>
      <c r="AF43" s="19" t="n">
        <f aca="false">IF(OR(Time!AF36=1,Time!AE44=0),Debt!AF68,Debt!AF68+Debt!AE68)</f>
        <v>47.2865675312415</v>
      </c>
      <c r="AG43" s="19" t="n">
        <f aca="false">IF(OR(Time!AG36=1,Time!AF44=0),Debt!AG68,Debt!AG68+Debt!AF68)</f>
        <v>47.9679043429337</v>
      </c>
      <c r="AH43" s="19" t="n">
        <f aca="false">IF(OR(Time!AH36=1,Time!AG44=0),Debt!AH68,Debt!AH68+Debt!AG68)</f>
        <v>48.9808988982955</v>
      </c>
      <c r="AI43" s="19" t="n">
        <f aca="false">IF(OR(Time!AI36=1,Time!AH44=0),Debt!AI68,Debt!AI68+Debt!AH68)</f>
        <v>48.9808988982955</v>
      </c>
      <c r="AJ43" s="19" t="n">
        <f aca="false">IF(OR(Time!AJ36=1,Time!AI44=0),Debt!AJ68,Debt!AJ68+Debt!AI68)</f>
        <v>15.6806256309938</v>
      </c>
      <c r="AK43" s="19" t="n">
        <f aca="false">IF(OR(Time!AK36=1,Time!AJ44=0),Debt!AK68,Debt!AK68+Debt!AJ68)</f>
        <v>30.839310786543</v>
      </c>
      <c r="AL43" s="19" t="n">
        <f aca="false">IF(OR(Time!AL36=1,Time!AK44=0),Debt!AL68,Debt!AL68+Debt!AK68)</f>
        <v>30.0696966339167</v>
      </c>
      <c r="AM43" s="19" t="n">
        <f aca="false">IF(OR(Time!AM36=1,Time!AL44=0),Debt!AM68,Debt!AM68+Debt!AL68)</f>
        <v>29.5792376873852</v>
      </c>
      <c r="AN43" s="19" t="n">
        <f aca="false">IF(OR(Time!AN36=1,Time!AM44=0),Debt!AN68,Debt!AN68+Debt!AM68)</f>
        <v>29.0537050195897</v>
      </c>
      <c r="AO43" s="19" t="n">
        <f aca="false">IF(OR(Time!AO36=1,Time!AN44=0),Debt!AO68,Debt!AO68+Debt!AN68)</f>
        <v>28.4961354488271</v>
      </c>
      <c r="AP43" s="19" t="n">
        <f aca="false">IF(OR(Time!AP36=1,Time!AO44=0),Debt!AP68,Debt!AP68+Debt!AO68)</f>
        <v>27.9732229931548</v>
      </c>
      <c r="AQ43" s="19" t="n">
        <f aca="false">IF(OR(Time!AQ36=1,Time!AP44=0),Debt!AQ68,Debt!AQ68+Debt!AP68)</f>
        <v>27.2564181594746</v>
      </c>
      <c r="AR43" s="19" t="n">
        <f aca="false">IF(OR(Time!AR36=1,Time!AQ44=0),Debt!AR68,Debt!AR68+Debt!AQ68)</f>
        <v>26.530432576985</v>
      </c>
      <c r="AS43" s="19" t="n">
        <f aca="false">IF(OR(Time!AS36=1,Time!AR44=0),Debt!AS68,Debt!AS68+Debt!AR68)</f>
        <v>26.025975851616</v>
      </c>
      <c r="AT43" s="19" t="n">
        <f aca="false">IF(OR(Time!AT36=1,Time!AS44=0),Debt!AT68,Debt!AT68+Debt!AS68)</f>
        <v>25.5234695462172</v>
      </c>
      <c r="AU43" s="19" t="n">
        <f aca="false">IF(OR(Time!AU36=1,Time!AT44=0),Debt!AU68,Debt!AU68+Debt!AT68)</f>
        <v>25.0072271900889</v>
      </c>
      <c r="AV43" s="19" t="n">
        <f aca="false">IF(OR(Time!AV36=1,Time!AU44=0),Debt!AV68,Debt!AV68+Debt!AU68)</f>
        <v>24.461301200607</v>
      </c>
      <c r="AW43" s="19" t="n">
        <f aca="false">IF(OR(Time!AW36=1,Time!AV44=0),Debt!AW68,Debt!AW68+Debt!AV68)</f>
        <v>24.6434692793409</v>
      </c>
      <c r="AX43" s="19" t="n">
        <f aca="false">IF(OR(Time!AX36=1,Time!AW44=0),Debt!AX68,Debt!AX68+Debt!AW68)</f>
        <v>24.7347020100177</v>
      </c>
      <c r="AY43" s="19" t="n">
        <f aca="false">IF(OR(Time!AY36=1,Time!AX44=0),Debt!AY68,Debt!AY68+Debt!AX68)</f>
        <v>23.7514778254889</v>
      </c>
      <c r="AZ43" s="19" t="n">
        <f aca="false">IF(OR(Time!AZ36=1,Time!AY44=0),Debt!AZ68,Debt!AZ68+Debt!AY68)</f>
        <v>23.2835879001256</v>
      </c>
      <c r="BA43" s="19" t="n">
        <f aca="false">IF(OR(Time!BA36=1,Time!AZ44=0),Debt!BA68,Debt!BA68+Debt!AZ68)</f>
        <v>23.168577343352</v>
      </c>
      <c r="BB43" s="19" t="n">
        <f aca="false">IF(OR(Time!BB36=1,Time!BA44=0),Debt!BB68,Debt!BB68+Debt!BA68)</f>
        <v>22.8081346260333</v>
      </c>
      <c r="BC43" s="19" t="n">
        <f aca="false">IF(OR(Time!BC36=1,Time!BB44=0),Debt!BC68,Debt!BC68+Debt!BB68)</f>
        <v>28.2296580124306</v>
      </c>
      <c r="BD43" s="19" t="n">
        <f aca="false">IF(OR(Time!BD36=1,Time!BC44=0),Debt!BD68,Debt!BD68+Debt!BC68)</f>
        <v>33.7852927746708</v>
      </c>
      <c r="BE43" s="19" t="n">
        <f aca="false">IF(OR(Time!BE36=1,Time!BD44=0),Debt!BE68,Debt!BE68+Debt!BD68)</f>
        <v>36.4243094667503</v>
      </c>
      <c r="BF43" s="19" t="n">
        <f aca="false">IF(OR(Time!BF36=1,Time!BE44=0),Debt!BF68,Debt!BF68+Debt!BE68)</f>
        <v>38.0395357989625</v>
      </c>
      <c r="BG43" s="19" t="n">
        <f aca="false">IF(OR(Time!BG36=1,Time!BF44=0),Debt!BG68,Debt!BG68+Debt!BF68)</f>
        <v>36.2112321338388</v>
      </c>
      <c r="BH43" s="19" t="n">
        <f aca="false">IF(OR(Time!BH36=1,Time!BG44=0),Debt!BH68,Debt!BH68+Debt!BG68)</f>
        <v>35.4468585919779</v>
      </c>
      <c r="BI43" s="19" t="n">
        <f aca="false">IF(OR(Time!BI36=1,Time!BH44=0),Debt!BI68,Debt!BI68+Debt!BH68)</f>
        <v>36.2297298325501</v>
      </c>
      <c r="BJ43" s="19" t="n">
        <f aca="false">IF(OR(Time!BJ36=1,Time!BI44=0),Debt!BJ68,Debt!BJ68+Debt!BI68)</f>
        <v>36.8957956078692</v>
      </c>
      <c r="BK43" s="19" t="n">
        <f aca="false">IF(OR(Time!BK36=1,Time!BJ44=0),Debt!BK68,Debt!BK68+Debt!BJ68)</f>
        <v>37.7103147181375</v>
      </c>
      <c r="BL43" s="19" t="n">
        <f aca="false">IF(OR(Time!BL36=1,Time!BK44=0),Debt!BL68,Debt!BL68+Debt!BK68)</f>
        <v>38.5224012936211</v>
      </c>
      <c r="BM43" s="19" t="n">
        <f aca="false">IF(OR(Time!BM36=1,Time!BL44=0),Debt!BM68,Debt!BM68+Debt!BL68)</f>
        <v>39.3690206946054</v>
      </c>
      <c r="BN43" s="19" t="n">
        <f aca="false">IF(OR(Time!BN36=1,Time!BM44=0),Debt!BN68,Debt!BN68+Debt!BM68)</f>
        <v>40.2129525129345</v>
      </c>
      <c r="BO43" s="19" t="n">
        <f aca="false">IF(OR(Time!BO36=1,Time!BN44=0),Debt!BO68,Debt!BO68+Debt!BN68)</f>
        <v>33.7700503848009</v>
      </c>
      <c r="BP43" s="19" t="n">
        <f aca="false">IF(OR(Time!BP36=1,Time!BO44=0),Debt!BP68,Debt!BP68+Debt!BO68)</f>
        <v>27.4865416599124</v>
      </c>
      <c r="BQ43" s="19" t="n">
        <f aca="false">IF(OR(Time!BQ36=1,Time!BP44=0),Debt!BQ68,Debt!BQ68+Debt!BP68)</f>
        <v>28.4564158586251</v>
      </c>
      <c r="BR43" s="19" t="n">
        <f aca="false">IF(OR(Time!BR36=1,Time!BQ44=0),Debt!BR68,Debt!BR68+Debt!BQ68)</f>
        <v>29.0749504821273</v>
      </c>
      <c r="BS43" s="19" t="n">
        <f aca="false">IF(OR(Time!BS36=1,Time!BR44=0),Debt!BS68,Debt!BS68+Debt!BR68)</f>
        <v>29.8341754189517</v>
      </c>
      <c r="BT43" s="19" t="n">
        <f aca="false">IF(OR(Time!BT36=1,Time!BS44=0),Debt!BT68,Debt!BT68+Debt!BS68)</f>
        <v>30.583828601526</v>
      </c>
      <c r="BU43" s="19" t="n">
        <f aca="false">IF(OR(Time!BU36=1,Time!BT44=0),Debt!BU68,Debt!BU68+Debt!BT68)</f>
        <v>44.7198556125879</v>
      </c>
      <c r="BV43" s="19" t="n">
        <f aca="false">IF(OR(Time!BV36=1,Time!BU44=0),Debt!BV68,Debt!BV68+Debt!BU68)</f>
        <v>58.817235583674</v>
      </c>
      <c r="BW43" s="19" t="n">
        <f aca="false">IF(OR(Time!BW36=1,Time!BV44=0),Debt!BW68,Debt!BW68+Debt!BV68)</f>
        <v>54.5681923317449</v>
      </c>
      <c r="BX43" s="19" t="n">
        <f aca="false">IF(OR(Time!BX36=1,Time!BW44=0),Debt!BX68,Debt!BX68+Debt!BW68)</f>
        <v>49.3656171317028</v>
      </c>
      <c r="BY43" s="19" t="n">
        <f aca="false">IF(OR(Time!BY36=1,Time!BX44=0),Debt!BY68,Debt!BY68+Debt!BX68)</f>
        <v>49.0304610399248</v>
      </c>
      <c r="BZ43" s="19" t="n">
        <f aca="false">IF(OR(Time!BZ36=1,Time!BY44=0),Debt!BZ68,Debt!BZ68+Debt!BY68)</f>
        <v>49.625190380163</v>
      </c>
      <c r="CA43" s="19" t="n">
        <f aca="false">IF(OR(Time!CA36=1,Time!BZ44=0),Debt!CA68,Debt!CA68+Debt!BZ68)</f>
        <v>45.6745140772321</v>
      </c>
      <c r="CB43" s="19" t="n">
        <f aca="false">IF(OR(Time!CB36=1,Time!CA44=0),Debt!CB68,Debt!CB68+Debt!CA68)</f>
        <v>41.7295035512266</v>
      </c>
      <c r="CC43" s="19" t="n">
        <f aca="false">IF(OR(Time!CC36=1,Time!CB44=0),Debt!CC68,Debt!CC68+Debt!CB68)</f>
        <v>42.5610510745059</v>
      </c>
      <c r="CD43" s="19" t="n">
        <f aca="false">IF(OR(Time!CD36=1,Time!CC44=0),Debt!CD68,Debt!CD68+Debt!CC68)</f>
        <v>43.3800565887974</v>
      </c>
      <c r="CE43" s="19" t="n">
        <f aca="false">IF(OR(Time!CE36=1,Time!CD44=0),Debt!CE68,Debt!CE68+Debt!CD68)</f>
        <v>41.9498332048362</v>
      </c>
      <c r="CF43" s="19" t="n">
        <f aca="false">IF(OR(Time!CF36=1,Time!CE44=0),Debt!CF68,Debt!CF68+Debt!CE68)</f>
        <v>40.6877335121114</v>
      </c>
      <c r="CG43" s="19" t="n">
        <f aca="false">IF(OR(Time!CG36=1,Time!CF44=0),Debt!CG68,Debt!CG68+Debt!CF68)</f>
        <v>54.8206147882212</v>
      </c>
      <c r="CH43" s="19" t="n">
        <f aca="false">IF(OR(Time!CH36=1,Time!CG44=0),Debt!CH68,Debt!CH68+Debt!CG68)</f>
        <v>60.2078269760951</v>
      </c>
      <c r="CI43" s="19" t="n">
        <f aca="false">IF(OR(Time!CI36=1,Time!CH44=0),Debt!CI68,Debt!CI68+Debt!CH68)</f>
        <v>52.5520241311946</v>
      </c>
      <c r="CJ43" s="19" t="n">
        <f aca="false">IF(OR(Time!CJ36=1,Time!CI44=0),Debt!CJ68,Debt!CJ68+Debt!CI68)</f>
        <v>33.3187179767482</v>
      </c>
      <c r="CK43" s="19" t="n">
        <f aca="false">IF(OR(Time!CK36=1,Time!CJ44=0),Debt!CK68,Debt!CK68+Debt!CJ68)</f>
        <v>6.41963480870637</v>
      </c>
      <c r="CL43" s="19" t="n">
        <f aca="false">IF(OR(Time!CL36=1,Time!CK44=0),Debt!CL68,Debt!CL68+Debt!CK68)</f>
        <v>0</v>
      </c>
      <c r="CM43" s="19" t="n">
        <f aca="false">IF(OR(Time!CM36=1,Time!CL44=0),Debt!CM68,Debt!CM68+Debt!CL68)</f>
        <v>0</v>
      </c>
      <c r="CN43" s="19" t="n">
        <f aca="false">IF(OR(Time!CN36=1,Time!CM44=0),Debt!CN68,Debt!CN68+Debt!CM68)</f>
        <v>0</v>
      </c>
      <c r="CO43" s="19" t="n">
        <f aca="false">IF(OR(Time!CO36=1,Time!CN44=0),Debt!CO68,Debt!CO68+Debt!CN68)</f>
        <v>0</v>
      </c>
      <c r="CP43" s="19" t="n">
        <f aca="false">IF(OR(Time!CP36=1,Time!CO44=0),Debt!CP68,Debt!CP68+Debt!CO68)</f>
        <v>0</v>
      </c>
      <c r="CQ43" s="19" t="n">
        <f aca="false">IF(OR(Time!CQ36=1,Time!CP44=0),Debt!CQ68,Debt!CQ68+Debt!CP68)</f>
        <v>0</v>
      </c>
      <c r="CR43" s="19" t="n">
        <f aca="false">IF(OR(Time!CR36=1,Time!CQ44=0),Debt!CR68,Debt!CR68+Debt!CQ68)</f>
        <v>0</v>
      </c>
      <c r="CS43" s="19" t="n">
        <f aca="false">IF(OR(Time!CS36=1,Time!CR44=0),Debt!CS68,Debt!CS68+Debt!CR68)</f>
        <v>0</v>
      </c>
      <c r="CT43" s="19" t="n">
        <f aca="false">IF(OR(Time!CT36=1,Time!CS44=0),Debt!CT68,Debt!CT68+Debt!CS68)</f>
        <v>0</v>
      </c>
      <c r="CU43" s="19" t="n">
        <f aca="false">IF(OR(Time!CU36=1,Time!CT44=0),Debt!CU68,Debt!CU68+Debt!CT68)</f>
        <v>0</v>
      </c>
      <c r="CV43" s="19" t="n">
        <f aca="false">IF(OR(Time!CV36=1,Time!CU44=0),Debt!CV68,Debt!CV68+Debt!CU68)</f>
        <v>0</v>
      </c>
      <c r="CW43" s="19" t="n">
        <f aca="false">IF(OR(Time!CW36=1,Time!CV44=0),Debt!CW68,Debt!CW68+Debt!CV68)</f>
        <v>0</v>
      </c>
      <c r="CX43" s="19" t="n">
        <f aca="false">IF(OR(Time!CX36=1,Time!CW44=0),Debt!CX68,Debt!CX68+Debt!CW68)</f>
        <v>0</v>
      </c>
      <c r="CY43" s="19" t="n">
        <f aca="false">IF(OR(Time!CY36=1,Time!CX44=0),Debt!CY68,Debt!CY68+Debt!CX68)</f>
        <v>0</v>
      </c>
      <c r="CZ43" s="19" t="n">
        <f aca="false">IF(OR(Time!CZ36=1,Time!CY44=0),Debt!CZ68,Debt!CZ68+Debt!CY68)</f>
        <v>0</v>
      </c>
      <c r="DA43" s="19" t="n">
        <f aca="false">IF(OR(Time!DA36=1,Time!CZ44=0),Debt!DA68,Debt!DA68+Debt!CZ68)</f>
        <v>0</v>
      </c>
      <c r="DB43" s="19" t="n">
        <f aca="false">IF(OR(Time!DB36=1,Time!DA44=0),Debt!DB68,Debt!DB68+Debt!DA68)</f>
        <v>0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1.11224631400275</v>
      </c>
      <c r="AB44" s="31" t="n">
        <f aca="false">IF(AND(Time!AB44=1,AB43&gt;Inputs!$F$9),AB42/AB43,0)</f>
        <v>0.752531740827842</v>
      </c>
      <c r="AC44" s="31" t="n">
        <f aca="false">IF(AND(Time!AC44=1,AC43&gt;Inputs!$F$9),AC42/AC43,0)</f>
        <v>0.638185928193696</v>
      </c>
      <c r="AD44" s="31" t="n">
        <f aca="false">IF(AND(Time!AD44=1,AD43&gt;Inputs!$F$9),AD42/AD43,0)</f>
        <v>0.777655043464408</v>
      </c>
      <c r="AE44" s="31" t="n">
        <f aca="false">IF(AND(Time!AE44=1,AE43&gt;Inputs!$F$9),AE42/AE43,0)</f>
        <v>0.861929429635661</v>
      </c>
      <c r="AF44" s="31" t="n">
        <f aca="false">IF(AND(Time!AF44=1,AF43&gt;Inputs!$F$9),AF42/AF43,0)</f>
        <v>0.904614029170807</v>
      </c>
      <c r="AG44" s="31" t="n">
        <f aca="false">IF(AND(Time!AG44=1,AG43&gt;Inputs!$F$9),AG42/AG43,0)</f>
        <v>0.92819937786889</v>
      </c>
      <c r="AH44" s="31" t="n">
        <f aca="false">IF(AND(Time!AH44=1,AH43&gt;Inputs!$F$9),AH42/AH43,0)</f>
        <v>1.01071637300931</v>
      </c>
      <c r="AI44" s="31" t="n">
        <f aca="false">IF(AND(Time!AI44=1,AI43&gt;Inputs!$F$9),AI42/AI43,0)</f>
        <v>1.02183964568898</v>
      </c>
      <c r="AJ44" s="31" t="n">
        <f aca="false">IF(AND(Time!AJ44=1,AJ43&gt;Inputs!$F$9),AJ42/AJ43,0)</f>
        <v>1.95130984311688</v>
      </c>
      <c r="AK44" s="31" t="n">
        <f aca="false">IF(AND(Time!AK44=1,AK43&gt;Inputs!$F$9),AK42/AK43,0)</f>
        <v>2.09667105446269</v>
      </c>
      <c r="AL44" s="31" t="n">
        <f aca="false">IF(AND(Time!AL44=1,AL43&gt;Inputs!$F$9),AL42/AL43,0)</f>
        <v>2.25367923267526</v>
      </c>
      <c r="AM44" s="31" t="n">
        <f aca="false">IF(AND(Time!AM44=1,AM43&gt;Inputs!$F$9),AM42/AM43,0)</f>
        <v>2.3769046362335</v>
      </c>
      <c r="AN44" s="31" t="n">
        <f aca="false">IF(AND(Time!AN44=1,AN43&gt;Inputs!$F$9),AN42/AN43,0)</f>
        <v>2.48708793007838</v>
      </c>
      <c r="AO44" s="31" t="n">
        <f aca="false">IF(AND(Time!AO44=1,AO43&gt;Inputs!$F$9),AO42/AO43,0)</f>
        <v>2.70603408368267</v>
      </c>
      <c r="AP44" s="31" t="n">
        <f aca="false">IF(AND(Time!AP44=1,AP43&gt;Inputs!$F$9),AP42/AP43,0)</f>
        <v>2.97997407971455</v>
      </c>
      <c r="AQ44" s="31" t="n">
        <f aca="false">IF(AND(Time!AQ44=1,AQ43&gt;Inputs!$F$9),AQ42/AQ43,0)</f>
        <v>2.75582751627164</v>
      </c>
      <c r="AR44" s="31" t="n">
        <f aca="false">IF(AND(Time!AR44=1,AR43&gt;Inputs!$F$9),AR42/AR43,0)</f>
        <v>2.46792179659554</v>
      </c>
      <c r="AS44" s="31" t="n">
        <f aca="false">IF(AND(Time!AS44=1,AS43&gt;Inputs!$F$9),AS42/AS43,0)</f>
        <v>2.49496037126232</v>
      </c>
      <c r="AT44" s="31" t="n">
        <f aca="false">IF(AND(Time!AT44=1,AT43&gt;Inputs!$F$9),AT42/AT43,0)</f>
        <v>2.56667925499999</v>
      </c>
      <c r="AU44" s="31" t="n">
        <f aca="false">IF(AND(Time!AU44=1,AU43&gt;Inputs!$F$9),AU42/AU43,0)</f>
        <v>2.69157028036609</v>
      </c>
      <c r="AV44" s="31" t="n">
        <f aca="false">IF(AND(Time!AV44=1,AV43&gt;Inputs!$F$9),AV42/AV43,0)</f>
        <v>2.82561177670068</v>
      </c>
      <c r="AW44" s="31" t="n">
        <f aca="false">IF(AND(Time!AW44=1,AW43&gt;Inputs!$F$9),AW42/AW43,0)</f>
        <v>3.1759650947573</v>
      </c>
      <c r="AX44" s="31" t="n">
        <f aca="false">IF(AND(Time!AX44=1,AX43&gt;Inputs!$F$9),AX42/AX43,0)</f>
        <v>3.5290635449387</v>
      </c>
      <c r="AY44" s="31" t="n">
        <f aca="false">IF(AND(Time!AY44=1,AY43&gt;Inputs!$F$9),AY42/AY43,0)</f>
        <v>3.6098799202368</v>
      </c>
      <c r="AZ44" s="31" t="n">
        <f aca="false">IF(AND(Time!AZ44=1,AZ43&gt;Inputs!$F$9),AZ42/AZ43,0)</f>
        <v>3.6290677737574</v>
      </c>
      <c r="BA44" s="31" t="n">
        <f aca="false">IF(AND(Time!BA44=1,BA43&gt;Inputs!$F$9),BA42/BA43,0)</f>
        <v>3.63342076144992</v>
      </c>
      <c r="BB44" s="31" t="n">
        <f aca="false">IF(AND(Time!BB44=1,BB43&gt;Inputs!$F$9),BB42/BB43,0)</f>
        <v>3.56870487205154</v>
      </c>
      <c r="BC44" s="31" t="n">
        <f aca="false">IF(AND(Time!BC44=1,BC43&gt;Inputs!$F$9),BC42/BC43,0)</f>
        <v>3.39362983978744</v>
      </c>
      <c r="BD44" s="31" t="n">
        <f aca="false">IF(AND(Time!BD44=1,BD43&gt;Inputs!$F$9),BD42/BD43,0)</f>
        <v>3.32630291951115</v>
      </c>
      <c r="BE44" s="31" t="n">
        <f aca="false">IF(AND(Time!BE44=1,BE43&gt;Inputs!$F$9),BE42/BE43,0)</f>
        <v>3.27766820571982</v>
      </c>
      <c r="BF44" s="31" t="n">
        <f aca="false">IF(AND(Time!BF44=1,BF43&gt;Inputs!$F$9),BF42/BF43,0)</f>
        <v>3.25099457231474</v>
      </c>
      <c r="BG44" s="31" t="n">
        <f aca="false">IF(AND(Time!BG44=1,BG43&gt;Inputs!$F$9),BG42/BG43,0)</f>
        <v>3.2815210322637</v>
      </c>
      <c r="BH44" s="31" t="n">
        <f aca="false">IF(AND(Time!BH44=1,BH43&gt;Inputs!$F$9),BH42/BH43,0)</f>
        <v>3.29578899088527</v>
      </c>
      <c r="BI44" s="31" t="n">
        <f aca="false">IF(AND(Time!BI44=1,BI43&gt;Inputs!$F$9),BI42/BI43,0)</f>
        <v>3.2820088617868</v>
      </c>
      <c r="BJ44" s="31" t="n">
        <f aca="false">IF(AND(Time!BJ44=1,BJ43&gt;Inputs!$F$9),BJ42/BJ43,0)</f>
        <v>3.2706971257098</v>
      </c>
      <c r="BK44" s="31" t="n">
        <f aca="false">IF(AND(Time!BK44=1,BK43&gt;Inputs!$F$9),BK42/BK43,0)</f>
        <v>3.25740897050617</v>
      </c>
      <c r="BL44" s="31" t="n">
        <f aca="false">IF(AND(Time!BL44=1,BL43&gt;Inputs!$F$9),BL42/BL43,0)</f>
        <v>3.24471994030357</v>
      </c>
      <c r="BM44" s="31" t="n">
        <f aca="false">IF(AND(Time!BM44=1,BM43&gt;Inputs!$F$9),BM42/BM43,0)</f>
        <v>3.23204845353621</v>
      </c>
      <c r="BN44" s="31" t="n">
        <f aca="false">IF(AND(Time!BN44=1,BN43&gt;Inputs!$F$9),BN42/BN43,0)</f>
        <v>3.2199482358194</v>
      </c>
      <c r="BO44" s="31" t="n">
        <f aca="false">IF(AND(Time!BO44=1,BO43&gt;Inputs!$F$9),BO42/BO43,0)</f>
        <v>3.32773777899957</v>
      </c>
      <c r="BP44" s="31" t="n">
        <f aca="false">IF(AND(Time!BP44=1,BP43&gt;Inputs!$F$9),BP42/BP43,0)</f>
        <v>3.48153779448726</v>
      </c>
      <c r="BQ44" s="31" t="n">
        <f aca="false">IF(AND(Time!BQ44=1,BQ43&gt;Inputs!$F$9),BQ42/BQ43,0)</f>
        <v>3.45338191586412</v>
      </c>
      <c r="BR44" s="31" t="n">
        <f aca="false">IF(AND(Time!BR44=1,BR43&gt;Inputs!$F$9),BR42/BR43,0)</f>
        <v>3.43640129301302</v>
      </c>
      <c r="BS44" s="31" t="n">
        <f aca="false">IF(AND(Time!BS44=1,BS43&gt;Inputs!$F$9),BS42/BS43,0)</f>
        <v>3.41652358699231</v>
      </c>
      <c r="BT44" s="31" t="n">
        <f aca="false">IF(AND(Time!BT44=1,BT43&gt;Inputs!$F$9),BT42/BT43,0)</f>
        <v>3.39786483113439</v>
      </c>
      <c r="BU44" s="31" t="n">
        <f aca="false">IF(AND(Time!BU44=1,BU43&gt;Inputs!$F$9),BU42/BU43,0)</f>
        <v>3.16332369859094</v>
      </c>
      <c r="BV44" s="31" t="n">
        <f aca="false">IF(AND(Time!BV44=1,BV43&gt;Inputs!$F$9),BV42/BV43,0)</f>
        <v>3.04169957145192</v>
      </c>
      <c r="BW44" s="31" t="n">
        <f aca="false">IF(AND(Time!BW44=1,BW43&gt;Inputs!$F$9),BW42/BW43,0)</f>
        <v>3.07116350042401</v>
      </c>
      <c r="BX44" s="31" t="n">
        <f aca="false">IF(AND(Time!BX44=1,BX43&gt;Inputs!$F$9),BX42/BX43,0)</f>
        <v>3.1147874027911</v>
      </c>
      <c r="BY44" s="31" t="n">
        <f aca="false">IF(AND(Time!BY44=1,BY43&gt;Inputs!$F$9),BY42/BY43,0)</f>
        <v>3.11841455470855</v>
      </c>
      <c r="BZ44" s="31" t="n">
        <f aca="false">IF(AND(Time!BZ44=1,BZ43&gt;Inputs!$F$9),BZ42/BZ43,0)</f>
        <v>3.11286278615677</v>
      </c>
      <c r="CA44" s="31" t="n">
        <f aca="false">IF(AND(Time!CA44=1,CA43&gt;Inputs!$F$9),CA42/CA43,0)</f>
        <v>3.15246762862294</v>
      </c>
      <c r="CB44" s="31" t="n">
        <f aca="false">IF(AND(Time!CB44=1,CB43&gt;Inputs!$F$9),CB42/CB43,0)</f>
        <v>3.19949856911733</v>
      </c>
      <c r="CC44" s="31" t="n">
        <f aca="false">IF(AND(Time!CC44=1,CC43&gt;Inputs!$F$9),CC42/CC43,0)</f>
        <v>3.18935501266717</v>
      </c>
      <c r="CD44" s="31" t="n">
        <f aca="false">IF(AND(Time!CD44=1,CD43&gt;Inputs!$F$9),CD42/CD43,0)</f>
        <v>3.17980100362914</v>
      </c>
      <c r="CE44" s="31" t="n">
        <f aca="false">IF(AND(Time!CE44=1,CE43&gt;Inputs!$F$9),CE42/CE43,0)</f>
        <v>3.19775755388784</v>
      </c>
      <c r="CF44" s="31" t="n">
        <f aca="false">IF(AND(Time!CF44=1,CF43&gt;Inputs!$F$9),CF42/CF43,0)</f>
        <v>3.21460878957141</v>
      </c>
      <c r="CG44" s="31" t="n">
        <f aca="false">IF(AND(Time!CG44=1,CG43&gt;Inputs!$F$9),CG42/CG43,0)</f>
        <v>3.07035717533638</v>
      </c>
      <c r="CH44" s="31" t="n">
        <f aca="false">IF(AND(Time!CH44=1,CH43&gt;Inputs!$F$9),CH42/CH43,0)</f>
        <v>3.03319813381023</v>
      </c>
      <c r="CI44" s="31" t="n">
        <f aca="false">IF(AND(Time!CI44=1,CI43&gt;Inputs!$F$9),CI42/CI43,0)</f>
        <v>3.08829710672902</v>
      </c>
      <c r="CJ44" s="31" t="n">
        <f aca="false">IF(AND(Time!CJ44=1,CJ43&gt;Inputs!$F$9),CJ42/CJ43,0)</f>
        <v>4.94052635127871</v>
      </c>
      <c r="CK44" s="31" t="n">
        <f aca="false">IF(AND(Time!CK44=1,CK43&gt;Inputs!$F$9),CK42/CK43,0)</f>
        <v>28.6907715373943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1</v>
      </c>
      <c r="AB45" s="14" t="n">
        <f aca="false">IF(AND(Time!AB44=1,AB43&gt;Inputs!$F$9,AB44&lt;Inputs!$F$113),1,0)</f>
        <v>1</v>
      </c>
      <c r="AC45" s="14" t="n">
        <f aca="false">IF(AND(Time!AC44=1,AC43&gt;Inputs!$F$9,AC44&lt;Inputs!$F$113),1,0)</f>
        <v>1</v>
      </c>
      <c r="AD45" s="14" t="n">
        <f aca="false">IF(AND(Time!AD44=1,AD43&gt;Inputs!$F$9,AD44&lt;Inputs!$F$113),1,0)</f>
        <v>1</v>
      </c>
      <c r="AE45" s="14" t="n">
        <f aca="false">IF(AND(Time!AE44=1,AE43&gt;Inputs!$F$9,AE44&lt;Inputs!$F$113),1,0)</f>
        <v>1</v>
      </c>
      <c r="AF45" s="14" t="n">
        <f aca="false">IF(AND(Time!AF44=1,AF43&gt;Inputs!$F$9,AF44&lt;Inputs!$F$113),1,0)</f>
        <v>1</v>
      </c>
      <c r="AG45" s="14" t="n">
        <f aca="false">IF(AND(Time!AG44=1,AG43&gt;Inputs!$F$9,AG44&lt;Inputs!$F$113),1,0)</f>
        <v>1</v>
      </c>
      <c r="AH45" s="14" t="n">
        <f aca="false">IF(AND(Time!AH44=1,AH43&gt;Inputs!$F$9,AH44&lt;Inputs!$F$113),1,0)</f>
        <v>1</v>
      </c>
      <c r="AI45" s="14" t="n">
        <f aca="false">IF(AND(Time!AI44=1,AI43&gt;Inputs!$F$9,AI44&lt;Inputs!$F$113),1,0)</f>
        <v>1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1</v>
      </c>
      <c r="AD46" s="14" t="n">
        <f aca="false">IF(AND(Time!AD45=1,AD43&gt;Inputs!$F$9,AD44&lt;Inputs!$F$114),1,0)</f>
        <v>1</v>
      </c>
      <c r="AE46" s="14" t="n">
        <f aca="false">IF(AND(Time!AE45=1,AE43&gt;Inputs!$F$9,AE44&lt;Inputs!$F$114),1,0)</f>
        <v>1</v>
      </c>
      <c r="AF46" s="14" t="n">
        <f aca="false">IF(AND(Time!AF45=1,AF43&gt;Inputs!$F$9,AF44&lt;Inputs!$F$114),1,0)</f>
        <v>1</v>
      </c>
      <c r="AG46" s="14" t="n">
        <f aca="false">IF(AND(Time!AG45=1,AG43&gt;Inputs!$F$9,AG44&lt;Inputs!$F$114),1,0)</f>
        <v>1</v>
      </c>
      <c r="AH46" s="14" t="n">
        <f aca="false">IF(AND(Time!AH45=1,AH43&gt;Inputs!$F$9,AH44&lt;Inputs!$F$114),1,0)</f>
        <v>1</v>
      </c>
      <c r="AI46" s="14" t="n">
        <f aca="false">IF(AND(Time!AI45=1,AI43&gt;Inputs!$F$9,AI44&lt;Inputs!$F$114),1,0)</f>
        <v>1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1</v>
      </c>
      <c r="AD47" s="14" t="n">
        <f aca="false">IF(AND(Time!AD20=0,Time!AD23=0,OR(AC47=1,AD46=1)),1,0)</f>
        <v>1</v>
      </c>
      <c r="AE47" s="14" t="n">
        <f aca="false">IF(AND(Time!AE20=0,Time!AE23=0,OR(AD47=1,AE46=1)),1,0)</f>
        <v>1</v>
      </c>
      <c r="AF47" s="14" t="n">
        <f aca="false">IF(AND(Time!AF20=0,Time!AF23=0,OR(AE47=1,AF46=1)),1,0)</f>
        <v>1</v>
      </c>
      <c r="AG47" s="14" t="n">
        <f aca="false">IF(AND(Time!AG20=0,Time!AG23=0,OR(AF47=1,AG46=1)),1,0)</f>
        <v>1</v>
      </c>
      <c r="AH47" s="14" t="n">
        <f aca="false">IF(AND(Time!AH20=0,Time!AH23=0,OR(AG47=1,AH46=1)),1,0)</f>
        <v>1</v>
      </c>
      <c r="AI47" s="14" t="n">
        <f aca="false">IF(AND(Time!AI20=0,Time!AI23=0,OR(AH47=1,AI46=1)),1,0)</f>
        <v>1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1</v>
      </c>
      <c r="AE48" s="14" t="n">
        <f aca="false">IF(OR(Time!AE20=1,Time!AE28=1),0,IF(OR(Time!AE33=1,AE45=1,Reserves!AE13&lt;Reserves!AE7-Inputs!$F$9,AE47=1,Time!AE34=1,Debt!AE101&gt;Inputs!$F$9,Debt!AE58+Debt!AE59&gt;Inputs!$F$9),1,0))</f>
        <v>1</v>
      </c>
      <c r="AF48" s="14" t="n">
        <f aca="false">IF(OR(Time!AF20=1,Time!AF28=1),0,IF(OR(Time!AF33=1,AF45=1,Reserves!AF13&lt;Reserves!AF7-Inputs!$F$9,AF47=1,Time!AF34=1,Debt!AF101&gt;Inputs!$F$9,Debt!AF58+Debt!AF59&gt;Inputs!$F$9),1,0))</f>
        <v>1</v>
      </c>
      <c r="AG48" s="14" t="n">
        <f aca="false">IF(OR(Time!AG20=1,Time!AG28=1),0,IF(OR(Time!AG33=1,AG45=1,Reserves!AG13&lt;Reserves!AG7-Inputs!$F$9,AG47=1,Time!AG34=1,Debt!AG101&gt;Inputs!$F$9,Debt!AG58+Debt!AG59&gt;Inputs!$F$9),1,0))</f>
        <v>1</v>
      </c>
      <c r="AH48" s="14" t="n">
        <f aca="false">IF(OR(Time!AH20=1,Time!AH28=1),0,IF(OR(Time!AH33=1,AH45=1,Reserves!AH13&lt;Reserves!AH7-Inputs!$F$9,AH47=1,Time!AH34=1,Debt!AH101&gt;Inputs!$F$9,Debt!AH58+Debt!AH59&gt;Inputs!$F$9),1,0))</f>
        <v>1</v>
      </c>
      <c r="AI48" s="14" t="n">
        <f aca="false">IF(OR(Time!AI20=1,Time!AI28=1),0,IF(OR(Time!AI33=1,AI45=1,Reserves!AI13&lt;Reserves!AI7-Inputs!$F$9,AI47=1,Time!AI34=1,Debt!AI101&gt;Inputs!$F$9,Debt!AI58+Debt!AI59&gt;Inputs!$F$9),1,0))</f>
        <v>1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2571.13564018462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0</v>
      </c>
      <c r="AE49" s="19" t="n">
        <f aca="false">IF(AE48=1,0,MAX(0,AE39))*(1-Time!AE20)</f>
        <v>0</v>
      </c>
      <c r="AF49" s="19" t="n">
        <f aca="false">IF(AF48=1,0,MAX(0,AF39))*(1-Time!AF20)</f>
        <v>0</v>
      </c>
      <c r="AG49" s="19" t="n">
        <f aca="false">IF(AG48=1,0,MAX(0,AG39))*(1-Time!AG20)</f>
        <v>0</v>
      </c>
      <c r="AH49" s="19" t="n">
        <f aca="false">IF(AH48=1,0,MAX(0,AH39))*(1-Time!AH20)</f>
        <v>0</v>
      </c>
      <c r="AI49" s="19" t="n">
        <f aca="false">IF(AI48=1,0,MAX(0,AI39))*(1-Time!AI20)</f>
        <v>0</v>
      </c>
      <c r="AJ49" s="19" t="n">
        <f aca="false">IF(AJ48=1,0,MAX(0,AJ39))*(1-Time!AJ20)</f>
        <v>20.4682539390007</v>
      </c>
      <c r="AK49" s="19" t="n">
        <f aca="false">IF(AK48=1,0,MAX(0,AK39))*(1-Time!AK20)</f>
        <v>9.71269322281501</v>
      </c>
      <c r="AL49" s="19" t="n">
        <f aca="false">IF(AL48=1,0,MAX(0,AL39))*(1-Time!AL20)</f>
        <v>9.52099095489144</v>
      </c>
      <c r="AM49" s="19" t="n">
        <f aca="false">IF(AM48=1,0,MAX(0,AM39))*(1-Time!AM20)</f>
        <v>11.088133272381</v>
      </c>
      <c r="AN49" s="19" t="n">
        <f aca="false">IF(AN48=1,0,MAX(0,AN39))*(1-Time!AN20)</f>
        <v>10.7773400908615</v>
      </c>
      <c r="AO49" s="19" t="n">
        <f aca="false">IF(AO48=1,0,MAX(0,AO39))*(1-Time!AO20)</f>
        <v>13.7577674654811</v>
      </c>
      <c r="AP49" s="19" t="n">
        <f aca="false">IF(AP48=1,0,MAX(0,AP39))*(1-Time!AP20)</f>
        <v>14.2494932251574</v>
      </c>
      <c r="AQ49" s="19" t="n">
        <f aca="false">IF(AQ48=1,0,MAX(0,AQ39))*(1-Time!AQ20)</f>
        <v>10.0890600848957</v>
      </c>
      <c r="AR49" s="19" t="n">
        <f aca="false">IF(AR48=1,0,MAX(0,AR39))*(1-Time!AR20)</f>
        <v>9.69355659623976</v>
      </c>
      <c r="AS49" s="19" t="n">
        <f aca="false">IF(AS48=1,0,MAX(0,AS39))*(1-Time!AS20)</f>
        <v>10.0125730272427</v>
      </c>
      <c r="AT49" s="19" t="n">
        <f aca="false">IF(AT48=1,0,MAX(0,AT39))*(1-Time!AT20)</f>
        <v>10.232225252298</v>
      </c>
      <c r="AU49" s="19" t="n">
        <f aca="false">IF(AU48=1,0,MAX(0,AU39))*(1-Time!AU20)</f>
        <v>11.1766370803247</v>
      </c>
      <c r="AV49" s="19" t="n">
        <f aca="false">IF(AV48=1,0,MAX(0,AV39))*(1-Time!AV20)</f>
        <v>11.0502686002474</v>
      </c>
      <c r="AW49" s="19" t="n">
        <f aca="false">IF(AW48=1,0,MAX(0,AW39))*(1-Time!AW20)</f>
        <v>15.6586340557622</v>
      </c>
      <c r="AX49" s="19" t="n">
        <f aca="false">IF(AX48=1,0,MAX(0,AX39))*(1-Time!AX20)</f>
        <v>23.2579857607796</v>
      </c>
      <c r="AY49" s="19" t="n">
        <f aca="false">IF(AY48=1,0,MAX(0,AY39))*(1-Time!AY20)</f>
        <v>21.0257516404508</v>
      </c>
      <c r="AZ49" s="19" t="n">
        <f aca="false">IF(AZ48=1,0,MAX(0,AZ39))*(1-Time!AZ20)</f>
        <v>21.7516303844647</v>
      </c>
      <c r="BA49" s="19" t="n">
        <f aca="false">IF(BA48=1,0,MAX(0,BA39))*(1-Time!BA20)</f>
        <v>21.0696657845694</v>
      </c>
      <c r="BB49" s="19" t="n">
        <f aca="false">IF(BB48=1,0,MAX(0,BB39))*(1-Time!BB20)</f>
        <v>13.5951060943022</v>
      </c>
      <c r="BC49" s="19" t="n">
        <f aca="false">IF(BC48=1,0,MAX(0,BC39))*(1-Time!BC20)</f>
        <v>27.3596675605616</v>
      </c>
      <c r="BD49" s="19" t="n">
        <f aca="false">IF(BD48=1,0,MAX(0,BD39))*(1-Time!BD20)</f>
        <v>24.8074838537843</v>
      </c>
      <c r="BE49" s="19" t="n">
        <f aca="false">IF(BE48=1,0,MAX(0,BE39))*(1-Time!BE20)</f>
        <v>31.2679475161055</v>
      </c>
      <c r="BF49" s="19" t="n">
        <f aca="false">IF(BF48=1,0,MAX(0,BF39))*(1-Time!BF20)</f>
        <v>30.0075234503497</v>
      </c>
      <c r="BG49" s="19" t="n">
        <f aca="false">IF(BG48=1,0,MAX(0,BG39))*(1-Time!BG20)</f>
        <v>28.2214573725654</v>
      </c>
      <c r="BH49" s="19" t="n">
        <f aca="false">IF(BH48=1,0,MAX(0,BH39))*(1-Time!BH20)</f>
        <v>27.6516909041403</v>
      </c>
      <c r="BI49" s="19" t="n">
        <f aca="false">IF(BI48=1,0,MAX(0,BI39))*(1-Time!BI20)</f>
        <v>29.1963313691936</v>
      </c>
      <c r="BJ49" s="19" t="n">
        <f aca="false">IF(BJ48=1,0,MAX(0,BJ39))*(1-Time!BJ20)</f>
        <v>28.2315086366663</v>
      </c>
      <c r="BK49" s="19" t="n">
        <f aca="false">IF(BK48=1,0,MAX(0,BK39))*(1-Time!BK20)</f>
        <v>30.0894146069291</v>
      </c>
      <c r="BL49" s="19" t="n">
        <f aca="false">IF(BL48=1,0,MAX(0,BL39))*(1-Time!BL20)</f>
        <v>29.0849675632568</v>
      </c>
      <c r="BM49" s="19" t="n">
        <f aca="false">IF(BM48=1,0,MAX(0,BM39))*(1-Time!BM20)</f>
        <v>31.0178456670439</v>
      </c>
      <c r="BN49" s="19" t="n">
        <f aca="false">IF(BN48=1,0,MAX(0,BN39))*(1-Time!BN20)</f>
        <v>37.2946072620201</v>
      </c>
      <c r="BO49" s="19" t="n">
        <f aca="false">IF(BO48=1,0,MAX(0,BO39))*(1-Time!BO20)</f>
        <v>23.8166329388475</v>
      </c>
      <c r="BP49" s="19" t="n">
        <f aca="false">IF(BP48=1,0,MAX(0,BP39))*(1-Time!BP20)</f>
        <v>23.1737437357355</v>
      </c>
      <c r="BQ49" s="19" t="n">
        <f aca="false">IF(BQ48=1,0,MAX(0,BQ39))*(1-Time!BQ20)</f>
        <v>25.2284491508876</v>
      </c>
      <c r="BR49" s="19" t="n">
        <f aca="false">IF(BR48=1,0,MAX(0,BR39))*(1-Time!BR20)</f>
        <v>23.7092162783615</v>
      </c>
      <c r="BS49" s="19" t="n">
        <f aca="false">IF(BS48=1,0,MAX(0,BS39))*(1-Time!BS20)</f>
        <v>26.0680639301194</v>
      </c>
      <c r="BT49" s="19" t="n">
        <f aca="false">IF(BT48=1,0,MAX(0,BT39))*(1-Time!BT20)</f>
        <v>11.1424217371527</v>
      </c>
      <c r="BU49" s="19" t="n">
        <f aca="false">IF(BU48=1,0,MAX(0,BU39))*(1-Time!BU20)</f>
        <v>41.5696356538796</v>
      </c>
      <c r="BV49" s="19" t="n">
        <f aca="false">IF(BV48=1,0,MAX(0,BV39))*(1-Time!BV20)</f>
        <v>44.9094548054138</v>
      </c>
      <c r="BW49" s="19" t="n">
        <f aca="false">IF(BW48=1,0,MAX(0,BW39))*(1-Time!BW20)</f>
        <v>37.8437329927327</v>
      </c>
      <c r="BX49" s="19" t="n">
        <f aca="false">IF(BX48=1,0,MAX(0,BX39))*(1-Time!BX20)</f>
        <v>34.3441173324467</v>
      </c>
      <c r="BY49" s="19" t="n">
        <f aca="false">IF(BY48=1,0,MAX(0,BY39))*(1-Time!BY20)</f>
        <v>36.5712686071179</v>
      </c>
      <c r="BZ49" s="19" t="n">
        <f aca="false">IF(BZ48=1,0,MAX(0,BZ39))*(1-Time!BZ20)</f>
        <v>39.5396496743666</v>
      </c>
      <c r="CA49" s="19" t="n">
        <f aca="false">IF(CA48=1,0,MAX(0,CA39))*(1-Time!CA20)</f>
        <v>32.2476518489263</v>
      </c>
      <c r="CB49" s="19" t="n">
        <f aca="false">IF(CB48=1,0,MAX(0,CB39))*(1-Time!CB20)</f>
        <v>30.4513317235826</v>
      </c>
      <c r="CC49" s="19" t="n">
        <f aca="false">IF(CC48=1,0,MAX(0,CC39))*(1-Time!CC20)</f>
        <v>33.1901157497261</v>
      </c>
      <c r="CD49" s="19" t="n">
        <f aca="false">IF(CD48=1,0,MAX(0,CD39))*(1-Time!CD20)</f>
        <v>33.6189045693826</v>
      </c>
      <c r="CE49" s="19" t="n">
        <f aca="false">IF(CE48=1,0,MAX(0,CE39))*(1-Time!CE20)</f>
        <v>31.4614762893929</v>
      </c>
      <c r="CF49" s="19" t="n">
        <f aca="false">IF(CF48=1,0,MAX(0,CF39))*(1-Time!CF20)</f>
        <v>16.8450967031923</v>
      </c>
      <c r="CG49" s="19" t="n">
        <f aca="false">IF(CG48=1,0,MAX(0,CG39))*(1-Time!CG20)</f>
        <v>55.6550425035824</v>
      </c>
      <c r="CH49" s="19" t="n">
        <f aca="false">IF(CH48=1,0,MAX(0,CH39))*(1-Time!CH20)</f>
        <v>35.7765859226983</v>
      </c>
      <c r="CI49" s="19" t="n">
        <f aca="false">IF(CI48=1,0,MAX(0,CI39))*(1-Time!CI20)</f>
        <v>58.8650487982286</v>
      </c>
      <c r="CJ49" s="19" t="n">
        <f aca="false">IF(CJ48=1,0,MAX(0,CJ39))*(1-Time!CJ20)</f>
        <v>64.5013016493786</v>
      </c>
      <c r="CK49" s="19" t="n">
        <f aca="false">IF(CK48=1,0,MAX(0,CK39))*(1-Time!CK20)</f>
        <v>80.7144555505863</v>
      </c>
      <c r="CL49" s="19" t="n">
        <f aca="false">IF(CL48=1,0,MAX(0,CL39))*(1-Time!CL20)</f>
        <v>71.4334633287032</v>
      </c>
      <c r="CM49" s="19" t="n">
        <f aca="false">IF(CM48=1,0,MAX(0,CM39))*(1-Time!CM20)</f>
        <v>59.0420726893231</v>
      </c>
      <c r="CN49" s="19" t="n">
        <f aca="false">IF(CN48=1,0,MAX(0,CN39))*(1-Time!CN20)</f>
        <v>58.7962042221579</v>
      </c>
      <c r="CO49" s="19" t="n">
        <f aca="false">IF(CO48=1,0,MAX(0,CO39))*(1-Time!CO20)</f>
        <v>61.4218524649915</v>
      </c>
      <c r="CP49" s="19" t="n">
        <f aca="false">IF(CP48=1,0,MAX(0,CP39))*(1-Time!CP20)</f>
        <v>50.8998304118857</v>
      </c>
      <c r="CQ49" s="19" t="n">
        <f aca="false">IF(CQ48=1,0,MAX(0,CQ39))*(1-Time!CQ20)</f>
        <v>53.4991232251561</v>
      </c>
      <c r="CR49" s="19" t="n">
        <f aca="false">IF(CR48=1,0,MAX(0,CR39))*(1-Time!CR20)</f>
        <v>52.8870354743751</v>
      </c>
      <c r="CS49" s="19" t="n">
        <f aca="false">IF(CS48=1,0,MAX(0,CS39))*(1-Time!CS20)</f>
        <v>83.1683323562884</v>
      </c>
      <c r="CT49" s="19" t="n">
        <f aca="false">IF(CT48=1,0,MAX(0,CT39))*(1-Time!CT20)</f>
        <v>60.4909791892369</v>
      </c>
      <c r="CU49" s="19" t="n">
        <f aca="false">IF(CU48=1,0,MAX(0,CU39))*(1-Time!CU20)</f>
        <v>57.7184782451592</v>
      </c>
      <c r="CV49" s="19" t="n">
        <f aca="false">IF(CV48=1,0,MAX(0,CV39))*(1-Time!CV20)</f>
        <v>57.2577610061759</v>
      </c>
      <c r="CW49" s="19" t="n">
        <f aca="false">IF(CW48=1,0,MAX(0,CW39))*(1-Time!CW20)</f>
        <v>59.7210572715021</v>
      </c>
      <c r="CX49" s="19" t="n">
        <f aca="false">IF(CX48=1,0,MAX(0,CX39))*(1-Time!CX20)</f>
        <v>58.848506878436</v>
      </c>
      <c r="CY49" s="19" t="n">
        <f aca="false">IF(CY48=1,0,MAX(0,CY39))*(1-Time!CY20)</f>
        <v>61.7908587815228</v>
      </c>
      <c r="CZ49" s="19" t="n">
        <f aca="false">IF(CZ48=1,0,MAX(0,CZ39))*(1-Time!CZ20)</f>
        <v>60.893164223539</v>
      </c>
      <c r="DA49" s="19" t="n">
        <f aca="false">IF(DA48=1,0,MAX(0,DA39))*(1-Time!DA20)</f>
        <v>77.6214078949841</v>
      </c>
      <c r="DB49" s="19" t="n">
        <f aca="false">IF(DB48=1,0,MAX(0,DB39))*(1-Time!DB20)</f>
        <v>121.983902080667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41.7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41.7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5.0866396036232</v>
      </c>
      <c r="AA51" s="19" t="n">
        <f aca="false">(AA39-AA49+AA50)*(1-Time!AA20)</f>
        <v>2.87509153720747</v>
      </c>
      <c r="AB51" s="19" t="n">
        <f aca="false">(AB39-AB49+AB50)*(1-Time!AB20)</f>
        <v>0</v>
      </c>
      <c r="AC51" s="19" t="n">
        <f aca="false">(AC39-AC49+AC50)*(1-Time!AC20)</f>
        <v>0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41.7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579.030302033648</v>
      </c>
      <c r="AF53" s="19" t="n">
        <f aca="false">AE59</f>
        <v>631.449511612701</v>
      </c>
      <c r="AG53" s="19" t="n">
        <f aca="false">AF59</f>
        <v>663.545311788577</v>
      </c>
      <c r="AH53" s="19" t="n">
        <f aca="false">AG59</f>
        <v>697.831516118255</v>
      </c>
      <c r="AI53" s="19" t="n">
        <f aca="false">AH59</f>
        <v>733.301431742321</v>
      </c>
      <c r="AJ53" s="19" t="n">
        <f aca="false">AI59</f>
        <v>0</v>
      </c>
      <c r="AK53" s="19" t="n">
        <f aca="false">AJ59</f>
        <v>0</v>
      </c>
      <c r="AL53" s="19" t="n">
        <f aca="false">AK59</f>
        <v>0</v>
      </c>
      <c r="AM53" s="19" t="n">
        <f aca="false">AL59</f>
        <v>0</v>
      </c>
      <c r="AN53" s="19" t="n">
        <f aca="false">AM59</f>
        <v>0</v>
      </c>
      <c r="AO53" s="19" t="n">
        <f aca="false">AN59</f>
        <v>0</v>
      </c>
      <c r="AP53" s="19" t="n">
        <f aca="false">AO59</f>
        <v>0</v>
      </c>
      <c r="AQ53" s="19" t="n">
        <f aca="false">AP59</f>
        <v>0</v>
      </c>
      <c r="AR53" s="19" t="n">
        <f aca="false">AQ59</f>
        <v>0</v>
      </c>
      <c r="AS53" s="19" t="n">
        <f aca="false">AR59</f>
        <v>0</v>
      </c>
      <c r="AT53" s="19" t="n">
        <f aca="false">AS59</f>
        <v>0</v>
      </c>
      <c r="AU53" s="19" t="n">
        <f aca="false">AT59</f>
        <v>0</v>
      </c>
      <c r="AV53" s="19" t="n">
        <f aca="false">AU59</f>
        <v>0</v>
      </c>
      <c r="AW53" s="19" t="n">
        <f aca="false">AV59</f>
        <v>0</v>
      </c>
      <c r="AX53" s="19" t="n">
        <f aca="false">AW59</f>
        <v>0</v>
      </c>
      <c r="AY53" s="19" t="n">
        <f aca="false">AX59</f>
        <v>0</v>
      </c>
      <c r="AZ53" s="19" t="n">
        <f aca="false">AY59</f>
        <v>0</v>
      </c>
      <c r="BA53" s="19" t="n">
        <f aca="false">AZ59</f>
        <v>0</v>
      </c>
      <c r="BB53" s="19" t="n">
        <f aca="false">BA59</f>
        <v>0</v>
      </c>
      <c r="BC53" s="19" t="n">
        <f aca="false">BB59</f>
        <v>0</v>
      </c>
      <c r="BD53" s="19" t="n">
        <f aca="false">BC59</f>
        <v>0</v>
      </c>
      <c r="BE53" s="19" t="n">
        <f aca="false">BD59</f>
        <v>0</v>
      </c>
      <c r="BF53" s="19" t="n">
        <f aca="false">BE59</f>
        <v>0</v>
      </c>
      <c r="BG53" s="19" t="n">
        <f aca="false">BF59</f>
        <v>0</v>
      </c>
      <c r="BH53" s="19" t="n">
        <f aca="false">BG59</f>
        <v>0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403.433740381517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29.9192095790537</v>
      </c>
      <c r="AF54" s="19" t="n">
        <f aca="false">AF53*Inputs!$F$89*Time!AF9/Inputs!$F$45</f>
        <v>32.0958001758757</v>
      </c>
      <c r="AG54" s="19" t="n">
        <f aca="false">AG53*Inputs!$F$89*Time!AG9/Inputs!$F$45</f>
        <v>34.2862043296783</v>
      </c>
      <c r="AH54" s="19" t="n">
        <f aca="false">AH53*Inputs!$F$89*Time!AH9/Inputs!$F$45</f>
        <v>35.4699156240656</v>
      </c>
      <c r="AI54" s="19" t="n">
        <f aca="false">AI53*Inputs!$F$89*Time!AI9/Inputs!$F$45</f>
        <v>37.890589048384</v>
      </c>
      <c r="AJ54" s="19" t="n">
        <f aca="false">AJ53*Inputs!$F$89*Time!AJ9/Inputs!$F$45</f>
        <v>0</v>
      </c>
      <c r="AK54" s="19" t="n">
        <f aca="false">AK53*Inputs!$F$89*Time!AK9/Inputs!$F$45</f>
        <v>0</v>
      </c>
      <c r="AL54" s="19" t="n">
        <f aca="false">AL53*Inputs!$F$89*Time!AL9/Inputs!$F$45</f>
        <v>0</v>
      </c>
      <c r="AM54" s="19" t="n">
        <f aca="false">AM53*Inputs!$F$89*Time!AM9/Inputs!$F$45</f>
        <v>0</v>
      </c>
      <c r="AN54" s="19" t="n">
        <f aca="false">AN53*Inputs!$F$89*Time!AN9/Inputs!$F$45</f>
        <v>0</v>
      </c>
      <c r="AO54" s="19" t="n">
        <f aca="false">AO53*Inputs!$F$89*Time!AO9/Inputs!$F$45</f>
        <v>0</v>
      </c>
      <c r="AP54" s="19" t="n">
        <f aca="false">AP53*Inputs!$F$89*Time!AP9/Inputs!$F$45</f>
        <v>0</v>
      </c>
      <c r="AQ54" s="19" t="n">
        <f aca="false">AQ53*Inputs!$F$89*Time!AQ9/Inputs!$F$45</f>
        <v>0</v>
      </c>
      <c r="AR54" s="19" t="n">
        <f aca="false">AR53*Inputs!$F$89*Time!AR9/Inputs!$F$45</f>
        <v>0</v>
      </c>
      <c r="AS54" s="19" t="n">
        <f aca="false">AS53*Inputs!$F$89*Time!AS9/Inputs!$F$45</f>
        <v>0</v>
      </c>
      <c r="AT54" s="19" t="n">
        <f aca="false">AT53*Inputs!$F$89*Time!AT9/Inputs!$F$45</f>
        <v>0</v>
      </c>
      <c r="AU54" s="19" t="n">
        <f aca="false">AU53*Inputs!$F$89*Time!AU9/Inputs!$F$45</f>
        <v>0</v>
      </c>
      <c r="AV54" s="19" t="n">
        <f aca="false">AV53*Inputs!$F$89*Time!AV9/Inputs!$F$45</f>
        <v>0</v>
      </c>
      <c r="AW54" s="19" t="n">
        <f aca="false">AW53*Inputs!$F$89*Time!AW9/Inputs!$F$45</f>
        <v>0</v>
      </c>
      <c r="AX54" s="19" t="n">
        <f aca="false">AX53*Inputs!$F$89*Time!AX9/Inputs!$F$45</f>
        <v>0</v>
      </c>
      <c r="AY54" s="19" t="n">
        <f aca="false">AY53*Inputs!$F$89*Time!AY9/Inputs!$F$45</f>
        <v>0</v>
      </c>
      <c r="AZ54" s="19" t="n">
        <f aca="false">AZ53*Inputs!$F$89*Time!AZ9/Inputs!$F$45</f>
        <v>0</v>
      </c>
      <c r="BA54" s="19" t="n">
        <f aca="false">BA53*Inputs!$F$89*Time!BA9/Inputs!$F$45</f>
        <v>0</v>
      </c>
      <c r="BB54" s="19" t="n">
        <f aca="false">BB53*Inputs!$F$89*Time!BB9/Inputs!$F$45</f>
        <v>0</v>
      </c>
      <c r="BC54" s="19" t="n">
        <f aca="false">BC53*Inputs!$F$89*Time!BC9/Inputs!$F$45</f>
        <v>0</v>
      </c>
      <c r="BD54" s="19" t="n">
        <f aca="false">BD53*Inputs!$F$89*Time!BD9/Inputs!$F$45</f>
        <v>0</v>
      </c>
      <c r="BE54" s="19" t="n">
        <f aca="false">BE53*Inputs!$F$89*Time!BE9/Inputs!$F$45</f>
        <v>0</v>
      </c>
      <c r="BF54" s="19" t="n">
        <f aca="false">BF53*Inputs!$F$89*Time!BF9/Inputs!$F$45</f>
        <v>0</v>
      </c>
      <c r="BG54" s="19" t="n">
        <f aca="false">BG53*Inputs!$F$89*Time!BG9/Inputs!$F$45</f>
        <v>0</v>
      </c>
      <c r="BH54" s="19" t="n">
        <f aca="false">BH53*Inputs!$F$89*Time!BH9/Inputs!$F$45</f>
        <v>0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579.030302033648</v>
      </c>
      <c r="AE55" s="19" t="n">
        <f aca="false">AE53+AE54+AE9+Funding!AE38</f>
        <v>631.449511612701</v>
      </c>
      <c r="AF55" s="19" t="n">
        <f aca="false">AF53+AF54+AF9+Funding!AF38</f>
        <v>663.545311788577</v>
      </c>
      <c r="AG55" s="19" t="n">
        <f aca="false">AG53+AG54+AG9+Funding!AG38</f>
        <v>697.831516118255</v>
      </c>
      <c r="AH55" s="19" t="n">
        <f aca="false">AH53+AH54+AH9+Funding!AH38</f>
        <v>733.301431742321</v>
      </c>
      <c r="AI55" s="19" t="n">
        <f aca="false">AI53+AI54+AI9+Funding!AI38</f>
        <v>771.192020790705</v>
      </c>
      <c r="AJ55" s="19" t="n">
        <f aca="false">AJ53+AJ54+AJ9+Funding!AJ38</f>
        <v>0</v>
      </c>
      <c r="AK55" s="19" t="n">
        <f aca="false">AK53+AK54+AK9+Funding!AK38</f>
        <v>0</v>
      </c>
      <c r="AL55" s="19" t="n">
        <f aca="false">AL53+AL54+AL9+Funding!AL38</f>
        <v>0</v>
      </c>
      <c r="AM55" s="19" t="n">
        <f aca="false">AM53+AM54+AM9+Funding!AM38</f>
        <v>0</v>
      </c>
      <c r="AN55" s="19" t="n">
        <f aca="false">AN53+AN54+AN9+Funding!AN38</f>
        <v>0</v>
      </c>
      <c r="AO55" s="19" t="n">
        <f aca="false">AO53+AO54+AO9+Funding!AO38</f>
        <v>0</v>
      </c>
      <c r="AP55" s="19" t="n">
        <f aca="false">AP53+AP54+AP9+Funding!AP38</f>
        <v>0</v>
      </c>
      <c r="AQ55" s="19" t="n">
        <f aca="false">AQ53+AQ54+AQ9+Funding!AQ38</f>
        <v>0</v>
      </c>
      <c r="AR55" s="19" t="n">
        <f aca="false">AR53+AR54+AR9+Funding!AR38</f>
        <v>0</v>
      </c>
      <c r="AS55" s="19" t="n">
        <f aca="false">AS53+AS54+AS9+Funding!AS38</f>
        <v>0</v>
      </c>
      <c r="AT55" s="19" t="n">
        <f aca="false">AT53+AT54+AT9+Funding!AT38</f>
        <v>0</v>
      </c>
      <c r="AU55" s="19" t="n">
        <f aca="false">AU53+AU54+AU9+Funding!AU38</f>
        <v>0</v>
      </c>
      <c r="AV55" s="19" t="n">
        <f aca="false">AV53+AV54+AV9+Funding!AV38</f>
        <v>0</v>
      </c>
      <c r="AW55" s="19" t="n">
        <f aca="false">AW53+AW54+AW9+Funding!AW38</f>
        <v>0</v>
      </c>
      <c r="AX55" s="19" t="n">
        <f aca="false">AX53+AX54+AX9+Funding!AX38</f>
        <v>0</v>
      </c>
      <c r="AY55" s="19" t="n">
        <f aca="false">AY53+AY54+AY9+Funding!AY38</f>
        <v>0</v>
      </c>
      <c r="AZ55" s="19" t="n">
        <f aca="false">AZ53+AZ54+AZ9+Funding!AZ38</f>
        <v>0</v>
      </c>
      <c r="BA55" s="19" t="n">
        <f aca="false">BA53+BA54+BA9+Funding!BA38</f>
        <v>0</v>
      </c>
      <c r="BB55" s="19" t="n">
        <f aca="false">BB53+BB54+BB9+Funding!BB38</f>
        <v>0</v>
      </c>
      <c r="BC55" s="19" t="n">
        <f aca="false">BC53+BC54+BC9+Funding!BC38</f>
        <v>0</v>
      </c>
      <c r="BD55" s="19" t="n">
        <f aca="false">BD53+BD54+BD9+Funding!BD38</f>
        <v>0</v>
      </c>
      <c r="BE55" s="19" t="n">
        <f aca="false">BE53+BE54+BE9+Funding!BE38</f>
        <v>0</v>
      </c>
      <c r="BF55" s="19" t="n">
        <f aca="false">BF53+BF54+BF9+Funding!BF38</f>
        <v>0</v>
      </c>
      <c r="BG55" s="19" t="n">
        <f aca="false">BG53+BG54+BG9+Funding!BG38</f>
        <v>0</v>
      </c>
      <c r="BH55" s="19" t="n">
        <f aca="false">BH53+BH54+BH9+Funding!BH38</f>
        <v>0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0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0</v>
      </c>
      <c r="AE56" s="19" t="n">
        <f aca="false">MIN(AE49,AE55)</f>
        <v>0</v>
      </c>
      <c r="AF56" s="19" t="n">
        <f aca="false">MIN(AF49,AF55)</f>
        <v>0</v>
      </c>
      <c r="AG56" s="19" t="n">
        <f aca="false">MIN(AG49,AG55)</f>
        <v>0</v>
      </c>
      <c r="AH56" s="19" t="n">
        <f aca="false">MIN(AH49,AH55)</f>
        <v>0</v>
      </c>
      <c r="AI56" s="19" t="n">
        <f aca="false">MIN(AI49,AI55)</f>
        <v>0</v>
      </c>
      <c r="AJ56" s="19" t="n">
        <f aca="false">MIN(AJ49,AJ55)</f>
        <v>0</v>
      </c>
      <c r="AK56" s="19" t="n">
        <f aca="false">MIN(AK49,AK55)</f>
        <v>0</v>
      </c>
      <c r="AL56" s="19" t="n">
        <f aca="false">MIN(AL49,AL55)</f>
        <v>0</v>
      </c>
      <c r="AM56" s="19" t="n">
        <f aca="false">MIN(AM49,AM55)</f>
        <v>0</v>
      </c>
      <c r="AN56" s="19" t="n">
        <f aca="false">MIN(AN49,AN55)</f>
        <v>0</v>
      </c>
      <c r="AO56" s="19" t="n">
        <f aca="false">MIN(AO49,AO55)</f>
        <v>0</v>
      </c>
      <c r="AP56" s="19" t="n">
        <f aca="false">MIN(AP49,AP55)</f>
        <v>0</v>
      </c>
      <c r="AQ56" s="19" t="n">
        <f aca="false">MIN(AQ49,AQ55)</f>
        <v>0</v>
      </c>
      <c r="AR56" s="19" t="n">
        <f aca="false">MIN(AR49,AR55)</f>
        <v>0</v>
      </c>
      <c r="AS56" s="19" t="n">
        <f aca="false">MIN(AS49,AS55)</f>
        <v>0</v>
      </c>
      <c r="AT56" s="19" t="n">
        <f aca="false">MIN(AT49,AT55)</f>
        <v>0</v>
      </c>
      <c r="AU56" s="19" t="n">
        <f aca="false">MIN(AU49,AU55)</f>
        <v>0</v>
      </c>
      <c r="AV56" s="19" t="n">
        <f aca="false">MIN(AV49,AV55)</f>
        <v>0</v>
      </c>
      <c r="AW56" s="19" t="n">
        <f aca="false">MIN(AW49,AW55)</f>
        <v>0</v>
      </c>
      <c r="AX56" s="19" t="n">
        <f aca="false">MIN(AX49,AX55)</f>
        <v>0</v>
      </c>
      <c r="AY56" s="19" t="n">
        <f aca="false">MIN(AY49,AY55)</f>
        <v>0</v>
      </c>
      <c r="AZ56" s="19" t="n">
        <f aca="false">MIN(AZ49,AZ55)</f>
        <v>0</v>
      </c>
      <c r="BA56" s="19" t="n">
        <f aca="false">MIN(BA49,BA55)</f>
        <v>0</v>
      </c>
      <c r="BB56" s="19" t="n">
        <f aca="false">MIN(BB49,BB55)</f>
        <v>0</v>
      </c>
      <c r="BC56" s="19" t="n">
        <f aca="false">MIN(BC49,BC55)</f>
        <v>0</v>
      </c>
      <c r="BD56" s="19" t="n">
        <f aca="false">MIN(BD49,BD55)</f>
        <v>0</v>
      </c>
      <c r="BE56" s="19" t="n">
        <f aca="false">MIN(BE49,BE55)</f>
        <v>0</v>
      </c>
      <c r="BF56" s="19" t="n">
        <f aca="false">MIN(BF49,BF55)</f>
        <v>0</v>
      </c>
      <c r="BG56" s="19" t="n">
        <f aca="false">MIN(BG49,BG55)</f>
        <v>0</v>
      </c>
      <c r="BH56" s="19" t="n">
        <f aca="false">MIN(BH49,BH55)</f>
        <v>0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2571.13564018462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20.4682539390007</v>
      </c>
      <c r="AK57" s="19" t="n">
        <f aca="false">AK49-AK56</f>
        <v>9.71269322281501</v>
      </c>
      <c r="AL57" s="19" t="n">
        <f aca="false">AL49-AL56</f>
        <v>9.52099095489144</v>
      </c>
      <c r="AM57" s="19" t="n">
        <f aca="false">AM49-AM56</f>
        <v>11.088133272381</v>
      </c>
      <c r="AN57" s="19" t="n">
        <f aca="false">AN49-AN56</f>
        <v>10.7773400908615</v>
      </c>
      <c r="AO57" s="19" t="n">
        <f aca="false">AO49-AO56</f>
        <v>13.7577674654811</v>
      </c>
      <c r="AP57" s="19" t="n">
        <f aca="false">AP49-AP56</f>
        <v>14.2494932251574</v>
      </c>
      <c r="AQ57" s="19" t="n">
        <f aca="false">AQ49-AQ56</f>
        <v>10.0890600848957</v>
      </c>
      <c r="AR57" s="19" t="n">
        <f aca="false">AR49-AR56</f>
        <v>9.69355659623976</v>
      </c>
      <c r="AS57" s="19" t="n">
        <f aca="false">AS49-AS56</f>
        <v>10.0125730272427</v>
      </c>
      <c r="AT57" s="19" t="n">
        <f aca="false">AT49-AT56</f>
        <v>10.232225252298</v>
      </c>
      <c r="AU57" s="19" t="n">
        <f aca="false">AU49-AU56</f>
        <v>11.1766370803247</v>
      </c>
      <c r="AV57" s="19" t="n">
        <f aca="false">AV49-AV56</f>
        <v>11.0502686002474</v>
      </c>
      <c r="AW57" s="19" t="n">
        <f aca="false">AW49-AW56</f>
        <v>15.6586340557622</v>
      </c>
      <c r="AX57" s="19" t="n">
        <f aca="false">AX49-AX56</f>
        <v>23.2579857607796</v>
      </c>
      <c r="AY57" s="19" t="n">
        <f aca="false">AY49-AY56</f>
        <v>21.0257516404508</v>
      </c>
      <c r="AZ57" s="19" t="n">
        <f aca="false">AZ49-AZ56</f>
        <v>21.7516303844647</v>
      </c>
      <c r="BA57" s="19" t="n">
        <f aca="false">BA49-BA56</f>
        <v>21.0696657845694</v>
      </c>
      <c r="BB57" s="19" t="n">
        <f aca="false">BB49-BB56</f>
        <v>13.5951060943022</v>
      </c>
      <c r="BC57" s="19" t="n">
        <f aca="false">BC49-BC56</f>
        <v>27.3596675605616</v>
      </c>
      <c r="BD57" s="19" t="n">
        <f aca="false">BD49-BD56</f>
        <v>24.8074838537843</v>
      </c>
      <c r="BE57" s="19" t="n">
        <f aca="false">BE49-BE56</f>
        <v>31.2679475161055</v>
      </c>
      <c r="BF57" s="19" t="n">
        <f aca="false">BF49-BF56</f>
        <v>30.0075234503497</v>
      </c>
      <c r="BG57" s="19" t="n">
        <f aca="false">BG49-BG56</f>
        <v>28.2214573725654</v>
      </c>
      <c r="BH57" s="19" t="n">
        <f aca="false">BH49-BH56</f>
        <v>27.6516909041403</v>
      </c>
      <c r="BI57" s="19" t="n">
        <f aca="false">BI49-BI56</f>
        <v>29.1963313691936</v>
      </c>
      <c r="BJ57" s="19" t="n">
        <f aca="false">BJ49-BJ56</f>
        <v>28.2315086366663</v>
      </c>
      <c r="BK57" s="19" t="n">
        <f aca="false">BK49-BK56</f>
        <v>30.0894146069291</v>
      </c>
      <c r="BL57" s="19" t="n">
        <f aca="false">BL49-BL56</f>
        <v>29.0849675632568</v>
      </c>
      <c r="BM57" s="19" t="n">
        <f aca="false">BM49-BM56</f>
        <v>31.0178456670439</v>
      </c>
      <c r="BN57" s="19" t="n">
        <f aca="false">BN49-BN56</f>
        <v>37.2946072620201</v>
      </c>
      <c r="BO57" s="19" t="n">
        <f aca="false">BO49-BO56</f>
        <v>23.8166329388475</v>
      </c>
      <c r="BP57" s="19" t="n">
        <f aca="false">BP49-BP56</f>
        <v>23.1737437357355</v>
      </c>
      <c r="BQ57" s="19" t="n">
        <f aca="false">BQ49-BQ56</f>
        <v>25.2284491508876</v>
      </c>
      <c r="BR57" s="19" t="n">
        <f aca="false">BR49-BR56</f>
        <v>23.7092162783615</v>
      </c>
      <c r="BS57" s="19" t="n">
        <f aca="false">BS49-BS56</f>
        <v>26.0680639301194</v>
      </c>
      <c r="BT57" s="19" t="n">
        <f aca="false">BT49-BT56</f>
        <v>11.1424217371527</v>
      </c>
      <c r="BU57" s="19" t="n">
        <f aca="false">BU49-BU56</f>
        <v>41.5696356538796</v>
      </c>
      <c r="BV57" s="19" t="n">
        <f aca="false">BV49-BV56</f>
        <v>44.9094548054138</v>
      </c>
      <c r="BW57" s="19" t="n">
        <f aca="false">BW49-BW56</f>
        <v>37.8437329927327</v>
      </c>
      <c r="BX57" s="19" t="n">
        <f aca="false">BX49-BX56</f>
        <v>34.3441173324467</v>
      </c>
      <c r="BY57" s="19" t="n">
        <f aca="false">BY49-BY56</f>
        <v>36.5712686071179</v>
      </c>
      <c r="BZ57" s="19" t="n">
        <f aca="false">BZ49-BZ56</f>
        <v>39.5396496743666</v>
      </c>
      <c r="CA57" s="19" t="n">
        <f aca="false">CA49-CA56</f>
        <v>32.2476518489263</v>
      </c>
      <c r="CB57" s="19" t="n">
        <f aca="false">CB49-CB56</f>
        <v>30.4513317235826</v>
      </c>
      <c r="CC57" s="19" t="n">
        <f aca="false">CC49-CC56</f>
        <v>33.1901157497261</v>
      </c>
      <c r="CD57" s="19" t="n">
        <f aca="false">CD49-CD56</f>
        <v>33.6189045693826</v>
      </c>
      <c r="CE57" s="19" t="n">
        <f aca="false">CE49-CE56</f>
        <v>31.4614762893929</v>
      </c>
      <c r="CF57" s="19" t="n">
        <f aca="false">CF49-CF56</f>
        <v>16.8450967031923</v>
      </c>
      <c r="CG57" s="19" t="n">
        <f aca="false">CG49-CG56</f>
        <v>55.6550425035824</v>
      </c>
      <c r="CH57" s="19" t="n">
        <f aca="false">CH49-CH56</f>
        <v>35.7765859226983</v>
      </c>
      <c r="CI57" s="19" t="n">
        <f aca="false">CI49-CI56</f>
        <v>58.8650487982286</v>
      </c>
      <c r="CJ57" s="19" t="n">
        <f aca="false">CJ49-CJ56</f>
        <v>64.5013016493786</v>
      </c>
      <c r="CK57" s="19" t="n">
        <f aca="false">CK49-CK56</f>
        <v>80.7144555505863</v>
      </c>
      <c r="CL57" s="19" t="n">
        <f aca="false">CL49-CL56</f>
        <v>71.4334633287032</v>
      </c>
      <c r="CM57" s="19" t="n">
        <f aca="false">CM49-CM56</f>
        <v>59.0420726893231</v>
      </c>
      <c r="CN57" s="19" t="n">
        <f aca="false">CN49-CN56</f>
        <v>58.7962042221579</v>
      </c>
      <c r="CO57" s="19" t="n">
        <f aca="false">CO49-CO56</f>
        <v>61.4218524649915</v>
      </c>
      <c r="CP57" s="19" t="n">
        <f aca="false">CP49-CP56</f>
        <v>50.8998304118857</v>
      </c>
      <c r="CQ57" s="19" t="n">
        <f aca="false">CQ49-CQ56</f>
        <v>53.4991232251561</v>
      </c>
      <c r="CR57" s="19" t="n">
        <f aca="false">CR49-CR56</f>
        <v>52.8870354743751</v>
      </c>
      <c r="CS57" s="19" t="n">
        <f aca="false">CS49-CS56</f>
        <v>83.1683323562884</v>
      </c>
      <c r="CT57" s="19" t="n">
        <f aca="false">CT49-CT56</f>
        <v>60.4909791892369</v>
      </c>
      <c r="CU57" s="19" t="n">
        <f aca="false">CU49-CU56</f>
        <v>57.7184782451592</v>
      </c>
      <c r="CV57" s="19" t="n">
        <f aca="false">CV49-CV56</f>
        <v>57.2577610061759</v>
      </c>
      <c r="CW57" s="19" t="n">
        <f aca="false">CW49-CW56</f>
        <v>59.7210572715021</v>
      </c>
      <c r="CX57" s="19" t="n">
        <f aca="false">CX49-CX56</f>
        <v>58.848506878436</v>
      </c>
      <c r="CY57" s="19" t="n">
        <f aca="false">CY49-CY56</f>
        <v>61.7908587815228</v>
      </c>
      <c r="CZ57" s="19" t="n">
        <f aca="false">CZ49-CZ56</f>
        <v>60.893164223539</v>
      </c>
      <c r="DA57" s="19" t="n">
        <f aca="false">DA49-DA56</f>
        <v>77.6214078949841</v>
      </c>
      <c r="DB57" s="19" t="n">
        <f aca="false">DB49-DB56</f>
        <v>121.983902080667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579.030302033648</v>
      </c>
      <c r="AE58" s="19" t="n">
        <f aca="false">AE55-AE56</f>
        <v>631.449511612701</v>
      </c>
      <c r="AF58" s="19" t="n">
        <f aca="false">AF55-AF56</f>
        <v>663.545311788577</v>
      </c>
      <c r="AG58" s="19" t="n">
        <f aca="false">AG55-AG56</f>
        <v>697.831516118255</v>
      </c>
      <c r="AH58" s="19" t="n">
        <f aca="false">AH55-AH56</f>
        <v>733.301431742321</v>
      </c>
      <c r="AI58" s="19" t="n">
        <f aca="false">AI55-AI56</f>
        <v>771.192020790705</v>
      </c>
      <c r="AJ58" s="19" t="n">
        <f aca="false">AJ55-AJ56</f>
        <v>0</v>
      </c>
      <c r="AK58" s="19" t="n">
        <f aca="false">AK55-AK56</f>
        <v>0</v>
      </c>
      <c r="AL58" s="19" t="n">
        <f aca="false">AL55-AL56</f>
        <v>0</v>
      </c>
      <c r="AM58" s="19" t="n">
        <f aca="false">AM55-AM56</f>
        <v>0</v>
      </c>
      <c r="AN58" s="19" t="n">
        <f aca="false">AN55-AN56</f>
        <v>0</v>
      </c>
      <c r="AO58" s="19" t="n">
        <f aca="false">AO55-AO56</f>
        <v>0</v>
      </c>
      <c r="AP58" s="19" t="n">
        <f aca="false">AP55-AP56</f>
        <v>0</v>
      </c>
      <c r="AQ58" s="19" t="n">
        <f aca="false">AQ55-AQ56</f>
        <v>0</v>
      </c>
      <c r="AR58" s="19" t="n">
        <f aca="false">AR55-AR56</f>
        <v>0</v>
      </c>
      <c r="AS58" s="19" t="n">
        <f aca="false">AS55-AS56</f>
        <v>0</v>
      </c>
      <c r="AT58" s="19" t="n">
        <f aca="false">AT55-AT56</f>
        <v>0</v>
      </c>
      <c r="AU58" s="19" t="n">
        <f aca="false">AU55-AU56</f>
        <v>0</v>
      </c>
      <c r="AV58" s="19" t="n">
        <f aca="false">AV55-AV56</f>
        <v>0</v>
      </c>
      <c r="AW58" s="19" t="n">
        <f aca="false">AW55-AW56</f>
        <v>0</v>
      </c>
      <c r="AX58" s="19" t="n">
        <f aca="false">AX55-AX56</f>
        <v>0</v>
      </c>
      <c r="AY58" s="19" t="n">
        <f aca="false">AY55-AY56</f>
        <v>0</v>
      </c>
      <c r="AZ58" s="19" t="n">
        <f aca="false">AZ55-AZ56</f>
        <v>0</v>
      </c>
      <c r="BA58" s="19" t="n">
        <f aca="false">BA55-BA56</f>
        <v>0</v>
      </c>
      <c r="BB58" s="19" t="n">
        <f aca="false">BB55-BB56</f>
        <v>0</v>
      </c>
      <c r="BC58" s="19" t="n">
        <f aca="false">BC55-BC56</f>
        <v>0</v>
      </c>
      <c r="BD58" s="19" t="n">
        <f aca="false">BD55-BD56</f>
        <v>0</v>
      </c>
      <c r="BE58" s="19" t="n">
        <f aca="false">BE55-BE56</f>
        <v>0</v>
      </c>
      <c r="BF58" s="19" t="n">
        <f aca="false">BF55-BF56</f>
        <v>0</v>
      </c>
      <c r="BG58" s="19" t="n">
        <f aca="false">BG55-BG56</f>
        <v>0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579.030302033648</v>
      </c>
      <c r="AE59" s="19" t="n">
        <f aca="false">IF(Time!AE35=1,0,AE58)</f>
        <v>631.449511612701</v>
      </c>
      <c r="AF59" s="19" t="n">
        <f aca="false">IF(Time!AF35=1,0,AF58)</f>
        <v>663.545311788577</v>
      </c>
      <c r="AG59" s="19" t="n">
        <f aca="false">IF(Time!AG35=1,0,AG58)</f>
        <v>697.831516118255</v>
      </c>
      <c r="AH59" s="19" t="n">
        <f aca="false">IF(Time!AH35=1,0,AH58)</f>
        <v>733.301431742321</v>
      </c>
      <c r="AI59" s="19" t="n">
        <f aca="false">IF(Time!AI35=1,0,AI58)</f>
        <v>0</v>
      </c>
      <c r="AJ59" s="19" t="n">
        <f aca="false">IF(Time!AJ35=1,0,AJ58)</f>
        <v>0</v>
      </c>
      <c r="AK59" s="19" t="n">
        <f aca="false">IF(Time!AK35=1,0,AK58)</f>
        <v>0</v>
      </c>
      <c r="AL59" s="19" t="n">
        <f aca="false">IF(Time!AL35=1,0,AL58)</f>
        <v>0</v>
      </c>
      <c r="AM59" s="19" t="n">
        <f aca="false">IF(Time!AM35=1,0,AM58)</f>
        <v>0</v>
      </c>
      <c r="AN59" s="19" t="n">
        <f aca="false">IF(Time!AN35=1,0,AN58)</f>
        <v>0</v>
      </c>
      <c r="AO59" s="19" t="n">
        <f aca="false">IF(Time!AO35=1,0,AO58)</f>
        <v>0</v>
      </c>
      <c r="AP59" s="19" t="n">
        <f aca="false">IF(Time!AP35=1,0,AP58)</f>
        <v>0</v>
      </c>
      <c r="AQ59" s="19" t="n">
        <f aca="false">IF(Time!AQ35=1,0,AQ58)</f>
        <v>0</v>
      </c>
      <c r="AR59" s="19" t="n">
        <f aca="false">IF(Time!AR35=1,0,AR58)</f>
        <v>0</v>
      </c>
      <c r="AS59" s="19" t="n">
        <f aca="false">IF(Time!AS35=1,0,AS58)</f>
        <v>0</v>
      </c>
      <c r="AT59" s="19" t="n">
        <f aca="false">IF(Time!AT35=1,0,AT58)</f>
        <v>0</v>
      </c>
      <c r="AU59" s="19" t="n">
        <f aca="false">IF(Time!AU35=1,0,AU58)</f>
        <v>0</v>
      </c>
      <c r="AV59" s="19" t="n">
        <f aca="false">IF(Time!AV35=1,0,AV58)</f>
        <v>0</v>
      </c>
      <c r="AW59" s="19" t="n">
        <f aca="false">IF(Time!AW35=1,0,AW58)</f>
        <v>0</v>
      </c>
      <c r="AX59" s="19" t="n">
        <f aca="false">IF(Time!AX35=1,0,AX58)</f>
        <v>0</v>
      </c>
      <c r="AY59" s="19" t="n">
        <f aca="false">IF(Time!AY35=1,0,AY58)</f>
        <v>0</v>
      </c>
      <c r="AZ59" s="19" t="n">
        <f aca="false">IF(Time!AZ35=1,0,AZ58)</f>
        <v>0</v>
      </c>
      <c r="BA59" s="19" t="n">
        <f aca="false">IF(Time!BA35=1,0,BA58)</f>
        <v>0</v>
      </c>
      <c r="BB59" s="19" t="n">
        <f aca="false">IF(Time!BB35=1,0,BB58)</f>
        <v>0</v>
      </c>
      <c r="BC59" s="19" t="n">
        <f aca="false">IF(Time!BC35=1,0,BC58)</f>
        <v>0</v>
      </c>
      <c r="BD59" s="19" t="n">
        <f aca="false">IF(Time!BD35=1,0,BD58)</f>
        <v>0</v>
      </c>
      <c r="BE59" s="19" t="n">
        <f aca="false">IF(Time!BE35=1,0,BE58)</f>
        <v>0</v>
      </c>
      <c r="BF59" s="19" t="n">
        <f aca="false">IF(Time!BF35=1,0,BF58)</f>
        <v>0</v>
      </c>
      <c r="BG59" s="19" t="n">
        <f aca="false">IF(Time!BG35=1,0,BG58)</f>
        <v>0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-424.715624010809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-22.5</v>
      </c>
      <c r="AE61" s="19" t="n">
        <f aca="false">IF(Time!AE20=1,-Funding!AE27,IF(Time!AE23=1,0,AE49-AE9))</f>
        <v>-22.5</v>
      </c>
      <c r="AF61" s="19" t="n">
        <f aca="false">IF(Time!AF20=1,-Funding!AF27,IF(Time!AF23=1,0,AF49-AF9))</f>
        <v>0</v>
      </c>
      <c r="AG61" s="19" t="n">
        <f aca="false">IF(Time!AG20=1,-Funding!AG27,IF(Time!AG23=1,0,AG49-AG9))</f>
        <v>0</v>
      </c>
      <c r="AH61" s="19" t="n">
        <f aca="false">IF(Time!AH20=1,-Funding!AH27,IF(Time!AH23=1,0,AH49-AH9))</f>
        <v>0</v>
      </c>
      <c r="AI61" s="19" t="n">
        <f aca="false">IF(Time!AI20=1,-Funding!AI27,IF(Time!AI23=1,0,AI49-AI9))</f>
        <v>0</v>
      </c>
      <c r="AJ61" s="19" t="n">
        <f aca="false">IF(Time!AJ20=1,-Funding!AJ27,IF(Time!AJ23=1,0,AJ49-AJ9))</f>
        <v>0</v>
      </c>
      <c r="AK61" s="19" t="n">
        <f aca="false">IF(Time!AK20=1,-Funding!AK27,IF(Time!AK23=1,0,AK49-AK9))</f>
        <v>0</v>
      </c>
      <c r="AL61" s="19" t="n">
        <f aca="false">IF(Time!AL20=1,-Funding!AL27,IF(Time!AL23=1,0,AL49-AL9))</f>
        <v>0</v>
      </c>
      <c r="AM61" s="19" t="n">
        <f aca="false">IF(Time!AM20=1,-Funding!AM27,IF(Time!AM23=1,0,AM49-AM9))</f>
        <v>0</v>
      </c>
      <c r="AN61" s="19" t="n">
        <f aca="false">IF(Time!AN20=1,-Funding!AN27,IF(Time!AN23=1,0,AN49-AN9))</f>
        <v>0</v>
      </c>
      <c r="AO61" s="19" t="n">
        <f aca="false">IF(Time!AO20=1,-Funding!AO27,IF(Time!AO23=1,0,AO49-AO9))</f>
        <v>0</v>
      </c>
      <c r="AP61" s="19" t="n">
        <f aca="false">IF(Time!AP20=1,-Funding!AP27,IF(Time!AP23=1,0,AP49-AP9))</f>
        <v>0</v>
      </c>
      <c r="AQ61" s="19" t="n">
        <f aca="false">IF(Time!AQ20=1,-Funding!AQ27,IF(Time!AQ23=1,0,AQ49-AQ9))</f>
        <v>0</v>
      </c>
      <c r="AR61" s="19" t="n">
        <f aca="false">IF(Time!AR20=1,-Funding!AR27,IF(Time!AR23=1,0,AR49-AR9))</f>
        <v>0</v>
      </c>
      <c r="AS61" s="19" t="n">
        <f aca="false">IF(Time!AS20=1,-Funding!AS27,IF(Time!AS23=1,0,AS49-AS9))</f>
        <v>0</v>
      </c>
      <c r="AT61" s="19" t="n">
        <f aca="false">IF(Time!AT20=1,-Funding!AT27,IF(Time!AT23=1,0,AT49-AT9))</f>
        <v>0</v>
      </c>
      <c r="AU61" s="19" t="n">
        <f aca="false">IF(Time!AU20=1,-Funding!AU27,IF(Time!AU23=1,0,AU49-AU9))</f>
        <v>0</v>
      </c>
      <c r="AV61" s="19" t="n">
        <f aca="false">IF(Time!AV20=1,-Funding!AV27,IF(Time!AV23=1,0,AV49-AV9))</f>
        <v>0</v>
      </c>
      <c r="AW61" s="19" t="n">
        <f aca="false">IF(Time!AW20=1,-Funding!AW27,IF(Time!AW23=1,0,AW49-AW9))</f>
        <v>0</v>
      </c>
      <c r="AX61" s="19" t="n">
        <f aca="false">IF(Time!AX20=1,-Funding!AX27,IF(Time!AX23=1,0,AX49-AX9))</f>
        <v>0</v>
      </c>
      <c r="AY61" s="19" t="n">
        <f aca="false">IF(Time!AY20=1,-Funding!AY27,IF(Time!AY23=1,0,AY49-AY9))</f>
        <v>0</v>
      </c>
      <c r="AZ61" s="19" t="n">
        <f aca="false">IF(Time!AZ20=1,-Funding!AZ27,IF(Time!AZ23=1,0,AZ49-AZ9))</f>
        <v>0</v>
      </c>
      <c r="BA61" s="19" t="n">
        <f aca="false">IF(Time!BA20=1,-Funding!BA27,IF(Time!BA23=1,0,BA49-BA9))</f>
        <v>0</v>
      </c>
      <c r="BB61" s="19" t="n">
        <f aca="false">IF(Time!BB20=1,-Funding!BB27,IF(Time!BB23=1,0,BB49-BB9))</f>
        <v>0</v>
      </c>
      <c r="BC61" s="19" t="n">
        <f aca="false">IF(Time!BC20=1,-Funding!BC27,IF(Time!BC23=1,0,BC49-BC9))</f>
        <v>0</v>
      </c>
      <c r="BD61" s="19" t="n">
        <f aca="false">IF(Time!BD20=1,-Funding!BD27,IF(Time!BD23=1,0,BD49-BD9))</f>
        <v>0</v>
      </c>
      <c r="BE61" s="19" t="n">
        <f aca="false">IF(Time!BE20=1,-Funding!BE27,IF(Time!BE23=1,0,BE49-BE9))</f>
        <v>0</v>
      </c>
      <c r="BF61" s="19" t="n">
        <f aca="false">IF(Time!BF20=1,-Funding!BF27,IF(Time!BF23=1,0,BF49-BF9))</f>
        <v>0</v>
      </c>
      <c r="BG61" s="19" t="n">
        <f aca="false">IF(Time!BG20=1,-Funding!BG27,IF(Time!BG23=1,0,BG49-BG9))</f>
        <v>0</v>
      </c>
      <c r="BH61" s="19" t="n">
        <f aca="false">IF(Time!BH20=1,-Funding!BH27,IF(Time!BH23=1,0,BH49-BH9))</f>
        <v>0</v>
      </c>
      <c r="BI61" s="19" t="n">
        <f aca="false">IF(Time!BI20=1,-Funding!BI27,IF(Time!BI23=1,0,BI49-BI9))</f>
        <v>0</v>
      </c>
      <c r="BJ61" s="19" t="n">
        <f aca="false">IF(Time!BJ20=1,-Funding!BJ27,IF(Time!BJ23=1,0,BJ49-BJ9))</f>
        <v>0</v>
      </c>
      <c r="BK61" s="19" t="n">
        <f aca="false">IF(Time!BK20=1,-Funding!BK27,IF(Time!BK23=1,0,BK49-BK9))</f>
        <v>0</v>
      </c>
      <c r="BL61" s="19" t="n">
        <f aca="false">IF(Time!BL20=1,-Funding!BL27,IF(Time!BL23=1,0,BL49-BL9))</f>
        <v>0</v>
      </c>
      <c r="BM61" s="19" t="n">
        <f aca="false">IF(Time!BM20=1,-Funding!BM27,IF(Time!BM23=1,0,BM49-BM9))</f>
        <v>0</v>
      </c>
      <c r="BN61" s="19" t="n">
        <f aca="false">IF(Time!BN20=1,-Funding!BN27,IF(Time!BN23=1,0,BN49-BN9))</f>
        <v>0</v>
      </c>
      <c r="BO61" s="19" t="n">
        <f aca="false">IF(Time!BO20=1,-Funding!BO27,IF(Time!BO23=1,0,BO49-BO9))</f>
        <v>0</v>
      </c>
      <c r="BP61" s="19" t="n">
        <f aca="false">IF(Time!BP20=1,-Funding!BP27,IF(Time!BP23=1,0,BP49-BP9))</f>
        <v>0</v>
      </c>
      <c r="BQ61" s="19" t="n">
        <f aca="false">IF(Time!BQ20=1,-Funding!BQ27,IF(Time!BQ23=1,0,BQ49-BQ9))</f>
        <v>0</v>
      </c>
      <c r="BR61" s="19" t="n">
        <f aca="false">IF(Time!BR20=1,-Funding!BR27,IF(Time!BR23=1,0,BR49-BR9))</f>
        <v>0</v>
      </c>
      <c r="BS61" s="19" t="n">
        <f aca="false">IF(Time!BS20=1,-Funding!BS27,IF(Time!BS23=1,0,BS49-BS9))</f>
        <v>0</v>
      </c>
      <c r="BT61" s="19" t="n">
        <f aca="false">IF(Time!BT20=1,-Funding!BT27,IF(Time!BT23=1,0,BT49-BT9))</f>
        <v>0</v>
      </c>
      <c r="BU61" s="19" t="n">
        <f aca="false">IF(Time!BU20=1,-Funding!BU27,IF(Time!BU23=1,0,BU49-BU9))</f>
        <v>0</v>
      </c>
      <c r="BV61" s="19" t="n">
        <f aca="false">IF(Time!BV20=1,-Funding!BV27,IF(Time!BV23=1,0,BV49-BV9))</f>
        <v>0</v>
      </c>
      <c r="BW61" s="19" t="n">
        <f aca="false">IF(Time!BW20=1,-Funding!BW27,IF(Time!BW23=1,0,BW49-BW9))</f>
        <v>0</v>
      </c>
      <c r="BX61" s="19" t="n">
        <f aca="false">IF(Time!BX20=1,-Funding!BX27,IF(Time!BX23=1,0,BX49-BX9))</f>
        <v>0</v>
      </c>
      <c r="BY61" s="19" t="n">
        <f aca="false">IF(Time!BY20=1,-Funding!BY27,IF(Time!BY23=1,0,BY49-BY9))</f>
        <v>0</v>
      </c>
      <c r="BZ61" s="19" t="n">
        <f aca="false">IF(Time!BZ20=1,-Funding!BZ27,IF(Time!BZ23=1,0,BZ49-BZ9))</f>
        <v>0</v>
      </c>
      <c r="CA61" s="19" t="n">
        <f aca="false">IF(Time!CA20=1,-Funding!CA27,IF(Time!CA23=1,0,CA49-CA9))</f>
        <v>0</v>
      </c>
      <c r="CB61" s="19" t="n">
        <f aca="false">IF(Time!CB20=1,-Funding!CB27,IF(Time!CB23=1,0,CB49-CB9))</f>
        <v>0</v>
      </c>
      <c r="CC61" s="19" t="n">
        <f aca="false">IF(Time!CC20=1,-Funding!CC27,IF(Time!CC23=1,0,CC49-CC9))</f>
        <v>0</v>
      </c>
      <c r="CD61" s="19" t="n">
        <f aca="false">IF(Time!CD20=1,-Funding!CD27,IF(Time!CD23=1,0,CD49-CD9))</f>
        <v>0</v>
      </c>
      <c r="CE61" s="19" t="n">
        <f aca="false">IF(Time!CE20=1,-Funding!CE27,IF(Time!CE23=1,0,CE49-CE9))</f>
        <v>0</v>
      </c>
      <c r="CF61" s="19" t="n">
        <f aca="false">IF(Time!CF20=1,-Funding!CF27,IF(Time!CF23=1,0,CF49-CF9))</f>
        <v>0</v>
      </c>
      <c r="CG61" s="19" t="n">
        <f aca="false">IF(Time!CG20=1,-Funding!CG27,IF(Time!CG23=1,0,CG49-CG9))</f>
        <v>0</v>
      </c>
      <c r="CH61" s="19" t="n">
        <f aca="false">IF(Time!CH20=1,-Funding!CH27,IF(Time!CH23=1,0,CH49-CH9))</f>
        <v>0</v>
      </c>
      <c r="CI61" s="19" t="n">
        <f aca="false">IF(Time!CI20=1,-Funding!CI27,IF(Time!CI23=1,0,CI49-CI9))</f>
        <v>0</v>
      </c>
      <c r="CJ61" s="19" t="n">
        <f aca="false">IF(Time!CJ20=1,-Funding!CJ27,IF(Time!CJ23=1,0,CJ49-CJ9))</f>
        <v>0</v>
      </c>
      <c r="CK61" s="19" t="n">
        <f aca="false">IF(Time!CK20=1,-Funding!CK27,IF(Time!CK23=1,0,CK49-CK9))</f>
        <v>0</v>
      </c>
      <c r="CL61" s="19" t="n">
        <f aca="false">IF(Time!CL20=1,-Funding!CL27,IF(Time!CL23=1,0,CL49-CL9))</f>
        <v>0</v>
      </c>
      <c r="CM61" s="19" t="n">
        <f aca="false">IF(Time!CM20=1,-Funding!CM27,IF(Time!CM23=1,0,CM49-CM9))</f>
        <v>0</v>
      </c>
      <c r="CN61" s="19" t="n">
        <f aca="false">IF(Time!CN20=1,-Funding!CN27,IF(Time!CN23=1,0,CN49-CN9))</f>
        <v>0</v>
      </c>
      <c r="CO61" s="19" t="n">
        <f aca="false">IF(Time!CO20=1,-Funding!CO27,IF(Time!CO23=1,0,CO49-CO9))</f>
        <v>0</v>
      </c>
      <c r="CP61" s="19" t="n">
        <f aca="false">IF(Time!CP20=1,-Funding!CP27,IF(Time!CP23=1,0,CP49-CP9))</f>
        <v>0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2451.13564018462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-120</v>
      </c>
      <c r="AJ62" s="19" t="n">
        <f aca="false">IF(Time!AJ23=1,AJ49,0)-Inputs!$F$171*Time!AJ35</f>
        <v>20.4682539390007</v>
      </c>
      <c r="AK62" s="19" t="n">
        <f aca="false">IF(Time!AK23=1,AK49,0)-Inputs!$F$171*Time!AK35</f>
        <v>9.71269322281501</v>
      </c>
      <c r="AL62" s="19" t="n">
        <f aca="false">IF(Time!AL23=1,AL49,0)-Inputs!$F$171*Time!AL35</f>
        <v>9.52099095489144</v>
      </c>
      <c r="AM62" s="19" t="n">
        <f aca="false">IF(Time!AM23=1,AM49,0)-Inputs!$F$171*Time!AM35</f>
        <v>11.088133272381</v>
      </c>
      <c r="AN62" s="19" t="n">
        <f aca="false">IF(Time!AN23=1,AN49,0)-Inputs!$F$171*Time!AN35</f>
        <v>10.7773400908615</v>
      </c>
      <c r="AO62" s="19" t="n">
        <f aca="false">IF(Time!AO23=1,AO49,0)-Inputs!$F$171*Time!AO35</f>
        <v>13.7577674654811</v>
      </c>
      <c r="AP62" s="19" t="n">
        <f aca="false">IF(Time!AP23=1,AP49,0)-Inputs!$F$171*Time!AP35</f>
        <v>14.2494932251574</v>
      </c>
      <c r="AQ62" s="19" t="n">
        <f aca="false">IF(Time!AQ23=1,AQ49,0)-Inputs!$F$171*Time!AQ35</f>
        <v>10.0890600848957</v>
      </c>
      <c r="AR62" s="19" t="n">
        <f aca="false">IF(Time!AR23=1,AR49,0)-Inputs!$F$171*Time!AR35</f>
        <v>9.69355659623976</v>
      </c>
      <c r="AS62" s="19" t="n">
        <f aca="false">IF(Time!AS23=1,AS49,0)-Inputs!$F$171*Time!AS35</f>
        <v>10.0125730272427</v>
      </c>
      <c r="AT62" s="19" t="n">
        <f aca="false">IF(Time!AT23=1,AT49,0)-Inputs!$F$171*Time!AT35</f>
        <v>10.232225252298</v>
      </c>
      <c r="AU62" s="19" t="n">
        <f aca="false">IF(Time!AU23=1,AU49,0)-Inputs!$F$171*Time!AU35</f>
        <v>11.1766370803247</v>
      </c>
      <c r="AV62" s="19" t="n">
        <f aca="false">IF(Time!AV23=1,AV49,0)-Inputs!$F$171*Time!AV35</f>
        <v>11.0502686002474</v>
      </c>
      <c r="AW62" s="19" t="n">
        <f aca="false">IF(Time!AW23=1,AW49,0)-Inputs!$F$171*Time!AW35</f>
        <v>15.6586340557622</v>
      </c>
      <c r="AX62" s="19" t="n">
        <f aca="false">IF(Time!AX23=1,AX49,0)-Inputs!$F$171*Time!AX35</f>
        <v>23.2579857607796</v>
      </c>
      <c r="AY62" s="19" t="n">
        <f aca="false">IF(Time!AY23=1,AY49,0)-Inputs!$F$171*Time!AY35</f>
        <v>21.0257516404508</v>
      </c>
      <c r="AZ62" s="19" t="n">
        <f aca="false">IF(Time!AZ23=1,AZ49,0)-Inputs!$F$171*Time!AZ35</f>
        <v>21.7516303844647</v>
      </c>
      <c r="BA62" s="19" t="n">
        <f aca="false">IF(Time!BA23=1,BA49,0)-Inputs!$F$171*Time!BA35</f>
        <v>21.0696657845694</v>
      </c>
      <c r="BB62" s="19" t="n">
        <f aca="false">IF(Time!BB23=1,BB49,0)-Inputs!$F$171*Time!BB35</f>
        <v>13.5951060943022</v>
      </c>
      <c r="BC62" s="19" t="n">
        <f aca="false">IF(Time!BC23=1,BC49,0)-Inputs!$F$171*Time!BC35</f>
        <v>27.3596675605616</v>
      </c>
      <c r="BD62" s="19" t="n">
        <f aca="false">IF(Time!BD23=1,BD49,0)-Inputs!$F$171*Time!BD35</f>
        <v>24.8074838537843</v>
      </c>
      <c r="BE62" s="19" t="n">
        <f aca="false">IF(Time!BE23=1,BE49,0)-Inputs!$F$171*Time!BE35</f>
        <v>31.2679475161055</v>
      </c>
      <c r="BF62" s="19" t="n">
        <f aca="false">IF(Time!BF23=1,BF49,0)-Inputs!$F$171*Time!BF35</f>
        <v>30.0075234503497</v>
      </c>
      <c r="BG62" s="19" t="n">
        <f aca="false">IF(Time!BG23=1,BG49,0)-Inputs!$F$171*Time!BG35</f>
        <v>28.2214573725654</v>
      </c>
      <c r="BH62" s="19" t="n">
        <f aca="false">IF(Time!BH23=1,BH49,0)-Inputs!$F$171*Time!BH35</f>
        <v>27.6516909041403</v>
      </c>
      <c r="BI62" s="19" t="n">
        <f aca="false">IF(Time!BI23=1,BI49,0)-Inputs!$F$171*Time!BI35</f>
        <v>29.1963313691936</v>
      </c>
      <c r="BJ62" s="19" t="n">
        <f aca="false">IF(Time!BJ23=1,BJ49,0)-Inputs!$F$171*Time!BJ35</f>
        <v>28.2315086366663</v>
      </c>
      <c r="BK62" s="19" t="n">
        <f aca="false">IF(Time!BK23=1,BK49,0)-Inputs!$F$171*Time!BK35</f>
        <v>30.0894146069291</v>
      </c>
      <c r="BL62" s="19" t="n">
        <f aca="false">IF(Time!BL23=1,BL49,0)-Inputs!$F$171*Time!BL35</f>
        <v>29.0849675632568</v>
      </c>
      <c r="BM62" s="19" t="n">
        <f aca="false">IF(Time!BM23=1,BM49,0)-Inputs!$F$171*Time!BM35</f>
        <v>31.0178456670439</v>
      </c>
      <c r="BN62" s="19" t="n">
        <f aca="false">IF(Time!BN23=1,BN49,0)-Inputs!$F$171*Time!BN35</f>
        <v>37.2946072620201</v>
      </c>
      <c r="BO62" s="19" t="n">
        <f aca="false">IF(Time!BO23=1,BO49,0)-Inputs!$F$171*Time!BO35</f>
        <v>23.8166329388475</v>
      </c>
      <c r="BP62" s="19" t="n">
        <f aca="false">IF(Time!BP23=1,BP49,0)-Inputs!$F$171*Time!BP35</f>
        <v>23.1737437357355</v>
      </c>
      <c r="BQ62" s="19" t="n">
        <f aca="false">IF(Time!BQ23=1,BQ49,0)-Inputs!$F$171*Time!BQ35</f>
        <v>25.2284491508876</v>
      </c>
      <c r="BR62" s="19" t="n">
        <f aca="false">IF(Time!BR23=1,BR49,0)-Inputs!$F$171*Time!BR35</f>
        <v>23.7092162783615</v>
      </c>
      <c r="BS62" s="19" t="n">
        <f aca="false">IF(Time!BS23=1,BS49,0)-Inputs!$F$171*Time!BS35</f>
        <v>26.0680639301194</v>
      </c>
      <c r="BT62" s="19" t="n">
        <f aca="false">IF(Time!BT23=1,BT49,0)-Inputs!$F$171*Time!BT35</f>
        <v>11.1424217371527</v>
      </c>
      <c r="BU62" s="19" t="n">
        <f aca="false">IF(Time!BU23=1,BU49,0)-Inputs!$F$171*Time!BU35</f>
        <v>41.5696356538796</v>
      </c>
      <c r="BV62" s="19" t="n">
        <f aca="false">IF(Time!BV23=1,BV49,0)-Inputs!$F$171*Time!BV35</f>
        <v>44.9094548054138</v>
      </c>
      <c r="BW62" s="19" t="n">
        <f aca="false">IF(Time!BW23=1,BW49,0)-Inputs!$F$171*Time!BW35</f>
        <v>37.8437329927327</v>
      </c>
      <c r="BX62" s="19" t="n">
        <f aca="false">IF(Time!BX23=1,BX49,0)-Inputs!$F$171*Time!BX35</f>
        <v>34.3441173324467</v>
      </c>
      <c r="BY62" s="19" t="n">
        <f aca="false">IF(Time!BY23=1,BY49,0)-Inputs!$F$171*Time!BY35</f>
        <v>36.5712686071179</v>
      </c>
      <c r="BZ62" s="19" t="n">
        <f aca="false">IF(Time!BZ23=1,BZ49,0)-Inputs!$F$171*Time!BZ35</f>
        <v>39.5396496743666</v>
      </c>
      <c r="CA62" s="19" t="n">
        <f aca="false">IF(Time!CA23=1,CA49,0)-Inputs!$F$171*Time!CA35</f>
        <v>32.2476518489263</v>
      </c>
      <c r="CB62" s="19" t="n">
        <f aca="false">IF(Time!CB23=1,CB49,0)-Inputs!$F$171*Time!CB35</f>
        <v>30.4513317235826</v>
      </c>
      <c r="CC62" s="19" t="n">
        <f aca="false">IF(Time!CC23=1,CC49,0)-Inputs!$F$171*Time!CC35</f>
        <v>33.1901157497261</v>
      </c>
      <c r="CD62" s="19" t="n">
        <f aca="false">IF(Time!CD23=1,CD49,0)-Inputs!$F$171*Time!CD35</f>
        <v>33.6189045693826</v>
      </c>
      <c r="CE62" s="19" t="n">
        <f aca="false">IF(Time!CE23=1,CE49,0)-Inputs!$F$171*Time!CE35</f>
        <v>31.4614762893929</v>
      </c>
      <c r="CF62" s="19" t="n">
        <f aca="false">IF(Time!CF23=1,CF49,0)-Inputs!$F$171*Time!CF35</f>
        <v>16.8450967031923</v>
      </c>
      <c r="CG62" s="19" t="n">
        <f aca="false">IF(Time!CG23=1,CG49,0)-Inputs!$F$171*Time!CG35</f>
        <v>55.6550425035824</v>
      </c>
      <c r="CH62" s="19" t="n">
        <f aca="false">IF(Time!CH23=1,CH49,0)-Inputs!$F$171*Time!CH35</f>
        <v>35.7765859226983</v>
      </c>
      <c r="CI62" s="19" t="n">
        <f aca="false">IF(Time!CI23=1,CI49,0)-Inputs!$F$171*Time!CI35</f>
        <v>58.8650487982286</v>
      </c>
      <c r="CJ62" s="19" t="n">
        <f aca="false">IF(Time!CJ23=1,CJ49,0)-Inputs!$F$171*Time!CJ35</f>
        <v>64.5013016493786</v>
      </c>
      <c r="CK62" s="19" t="n">
        <f aca="false">IF(Time!CK23=1,CK49,0)-Inputs!$F$171*Time!CK35</f>
        <v>80.7144555505863</v>
      </c>
      <c r="CL62" s="19" t="n">
        <f aca="false">IF(Time!CL23=1,CL49,0)-Inputs!$F$171*Time!CL35</f>
        <v>71.4334633287032</v>
      </c>
      <c r="CM62" s="19" t="n">
        <f aca="false">IF(Time!CM23=1,CM49,0)-Inputs!$F$171*Time!CM35</f>
        <v>59.0420726893231</v>
      </c>
      <c r="CN62" s="19" t="n">
        <f aca="false">IF(Time!CN23=1,CN49,0)-Inputs!$F$171*Time!CN35</f>
        <v>58.7962042221579</v>
      </c>
      <c r="CO62" s="19" t="n">
        <f aca="false">IF(Time!CO23=1,CO49,0)-Inputs!$F$171*Time!CO35</f>
        <v>61.4218524649915</v>
      </c>
      <c r="CP62" s="19" t="n">
        <f aca="false">IF(Time!CP23=1,CP49,0)-Inputs!$F$171*Time!CP35</f>
        <v>50.8998304118857</v>
      </c>
      <c r="CQ62" s="19" t="n">
        <f aca="false">IF(Time!CQ23=1,CQ49,0)-Inputs!$F$171*Time!CQ35</f>
        <v>53.4991232251561</v>
      </c>
      <c r="CR62" s="19" t="n">
        <f aca="false">IF(Time!CR23=1,CR49,0)-Inputs!$F$171*Time!CR35</f>
        <v>52.8870354743751</v>
      </c>
      <c r="CS62" s="19" t="n">
        <f aca="false">IF(Time!CS23=1,CS49,0)-Inputs!$F$171*Time!CS35</f>
        <v>83.1683323562884</v>
      </c>
      <c r="CT62" s="19" t="n">
        <f aca="false">IF(Time!CT23=1,CT49,0)-Inputs!$F$171*Time!CT35</f>
        <v>60.4909791892369</v>
      </c>
      <c r="CU62" s="19" t="n">
        <f aca="false">IF(Time!CU23=1,CU49,0)-Inputs!$F$171*Time!CU35</f>
        <v>57.7184782451592</v>
      </c>
      <c r="CV62" s="19" t="n">
        <f aca="false">IF(Time!CV23=1,CV49,0)-Inputs!$F$171*Time!CV35</f>
        <v>57.2577610061759</v>
      </c>
      <c r="CW62" s="19" t="n">
        <f aca="false">IF(Time!CW23=1,CW49,0)-Inputs!$F$171*Time!CW35</f>
        <v>59.7210572715021</v>
      </c>
      <c r="CX62" s="19" t="n">
        <f aca="false">IF(Time!CX23=1,CX49,0)-Inputs!$F$171*Time!CX35</f>
        <v>58.848506878436</v>
      </c>
      <c r="CY62" s="19" t="n">
        <f aca="false">IF(Time!CY23=1,CY49,0)-Inputs!$F$171*Time!CY35</f>
        <v>61.7908587815228</v>
      </c>
      <c r="CZ62" s="19" t="n">
        <f aca="false">IF(Time!CZ23=1,CZ49,0)-Inputs!$F$171*Time!CZ35</f>
        <v>60.893164223539</v>
      </c>
      <c r="DA62" s="19" t="n">
        <f aca="false">IF(Time!DA23=1,DA49,0)-Inputs!$F$171*Time!DA35</f>
        <v>77.6214078949841</v>
      </c>
      <c r="DB62" s="19" t="n">
        <f aca="false">IF(Time!DB23=1,DB49,0)-Inputs!$F$171*Time!DB35</f>
        <v>121.983902080667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1915.50528045823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9.39410647360741</v>
      </c>
      <c r="AA6" s="19" t="n">
        <f aca="false">IF(Time!AA29&gt;0,Z7*Time!AA25/Time!AA29,0)</f>
        <v>27.1574011638542</v>
      </c>
      <c r="AB6" s="19" t="n">
        <f aca="false">IF(Time!AB29&gt;0,AA7*Time!AB25/Time!AB29,0)</f>
        <v>26.8622120207688</v>
      </c>
      <c r="AC6" s="19" t="n">
        <f aca="false">IF(Time!AC29&gt;0,AB7*Time!AC25/Time!AC29,0)</f>
        <v>27.1574011638542</v>
      </c>
      <c r="AD6" s="19" t="n">
        <f aca="false">IF(Time!AD29&gt;0,AC7*Time!AD25/Time!AD29,0)</f>
        <v>26.7146174492261</v>
      </c>
      <c r="AE6" s="19" t="n">
        <f aca="false">IF(Time!AE29&gt;0,AD7*Time!AE25/Time!AE29,0)</f>
        <v>27.1574011638542</v>
      </c>
      <c r="AF6" s="19" t="n">
        <f aca="false">IF(Time!AF29&gt;0,AE7*Time!AF25/Time!AF29,0)</f>
        <v>26.7146174492261</v>
      </c>
      <c r="AG6" s="19" t="n">
        <f aca="false">IF(Time!AG29&gt;0,AF7*Time!AG25/Time!AG29,0)</f>
        <v>27.1574011638542</v>
      </c>
      <c r="AH6" s="19" t="n">
        <f aca="false">IF(Time!AH29&gt;0,AG7*Time!AH25/Time!AH29,0)</f>
        <v>26.7146174492261</v>
      </c>
      <c r="AI6" s="19" t="n">
        <f aca="false">IF(Time!AI29&gt;0,AH7*Time!AI25/Time!AI29,0)</f>
        <v>27.1574011638542</v>
      </c>
      <c r="AJ6" s="19" t="n">
        <f aca="false">IF(Time!AJ29&gt;0,AI7*Time!AJ25/Time!AJ29,0)</f>
        <v>22.3103863024777</v>
      </c>
      <c r="AK6" s="19" t="n">
        <f aca="false">IF(Time!AK29&gt;0,AJ7*Time!AK25/Time!AK29,0)</f>
        <v>22.8380938201266</v>
      </c>
      <c r="AL6" s="19" t="n">
        <f aca="false">IF(Time!AL29&gt;0,AK7*Time!AL25/Time!AL29,0)</f>
        <v>22.7477357437956</v>
      </c>
      <c r="AM6" s="19" t="n">
        <f aca="false">IF(Time!AM29&gt;0,AL7*Time!AM25/Time!AM29,0)</f>
        <v>23.4156365484303</v>
      </c>
      <c r="AN6" s="19" t="n">
        <f aca="false">IF(Time!AN29&gt;0,AM7*Time!AN25/Time!AN29,0)</f>
        <v>23.3242996557222</v>
      </c>
      <c r="AO6" s="19" t="n">
        <f aca="false">IF(Time!AO29&gt;0,AN7*Time!AO25/Time!AO29,0)</f>
        <v>23.7108902577507</v>
      </c>
      <c r="AP6" s="19" t="n">
        <f aca="false">IF(Time!AP29&gt;0,AO7*Time!AP25/Time!AP29,0)</f>
        <v>23.3242996557222</v>
      </c>
      <c r="AQ6" s="19" t="n">
        <f aca="false">IF(Time!AQ29&gt;0,AP7*Time!AQ25/Time!AQ29,0)</f>
        <v>23.7108902577507</v>
      </c>
      <c r="AR6" s="19" t="n">
        <f aca="false">IF(Time!AR29&gt;0,AQ7*Time!AR25/Time!AR29,0)</f>
        <v>23.4531631897317</v>
      </c>
      <c r="AS6" s="19" t="n">
        <f aca="false">IF(Time!AS29&gt;0,AR7*Time!AS25/Time!AS29,0)</f>
        <v>23.7108902577507</v>
      </c>
      <c r="AT6" s="19" t="n">
        <f aca="false">IF(Time!AT29&gt;0,AS7*Time!AT25/Time!AT29,0)</f>
        <v>23.3242996557222</v>
      </c>
      <c r="AU6" s="19" t="n">
        <f aca="false">IF(Time!AU29&gt;0,AT7*Time!AU25/Time!AU29,0)</f>
        <v>23.7108902577507</v>
      </c>
      <c r="AV6" s="19" t="n">
        <f aca="false">IF(Time!AV29&gt;0,AU7*Time!AV25/Time!AV29,0)</f>
        <v>23.3242996557222</v>
      </c>
      <c r="AW6" s="19" t="n">
        <f aca="false">IF(Time!AW29&gt;0,AV7*Time!AW25/Time!AW29,0)</f>
        <v>23.7108902577507</v>
      </c>
      <c r="AX6" s="19" t="n">
        <f aca="false">IF(Time!AX29&gt;0,AW7*Time!AX25/Time!AX29,0)</f>
        <v>23.3242996557222</v>
      </c>
      <c r="AY6" s="19" t="n">
        <f aca="false">IF(Time!AY29&gt;0,AX7*Time!AY25/Time!AY29,0)</f>
        <v>23.7108902577507</v>
      </c>
      <c r="AZ6" s="19" t="n">
        <f aca="false">IF(Time!AZ29&gt;0,AY7*Time!AZ25/Time!AZ29,0)</f>
        <v>23.4531631897317</v>
      </c>
      <c r="BA6" s="19" t="n">
        <f aca="false">IF(Time!BA29&gt;0,AZ7*Time!BA25/Time!BA29,0)</f>
        <v>23.7108902577507</v>
      </c>
      <c r="BB6" s="19" t="n">
        <f aca="false">IF(Time!BB29&gt;0,BA7*Time!BB25/Time!BB29,0)</f>
        <v>23.3242996557222</v>
      </c>
      <c r="BC6" s="19" t="n">
        <f aca="false">IF(Time!BC29&gt;0,BB7*Time!BC25/Time!BC29,0)</f>
        <v>23.7108902577507</v>
      </c>
      <c r="BD6" s="19" t="n">
        <f aca="false">IF(Time!BD29&gt;0,BC7*Time!BD25/Time!BD29,0)</f>
        <v>23.3242996557222</v>
      </c>
      <c r="BE6" s="19" t="n">
        <f aca="false">IF(Time!BE29&gt;0,BD7*Time!BE25/Time!BE29,0)</f>
        <v>23.7108902577507</v>
      </c>
      <c r="BF6" s="19" t="n">
        <f aca="false">IF(Time!BF29&gt;0,BE7*Time!BF25/Time!BF29,0)</f>
        <v>23.3242996557222</v>
      </c>
      <c r="BG6" s="19" t="n">
        <f aca="false">IF(Time!BG29&gt;0,BF7*Time!BG25/Time!BG29,0)</f>
        <v>23.7108902577507</v>
      </c>
      <c r="BH6" s="19" t="n">
        <f aca="false">IF(Time!BH29&gt;0,BG7*Time!BH25/Time!BH29,0)</f>
        <v>23.4531631897317</v>
      </c>
      <c r="BI6" s="19" t="n">
        <f aca="false">IF(Time!BI29&gt;0,BH7*Time!BI25/Time!BI29,0)</f>
        <v>23.7108902577507</v>
      </c>
      <c r="BJ6" s="19" t="n">
        <f aca="false">IF(Time!BJ29&gt;0,BI7*Time!BJ25/Time!BJ29,0)</f>
        <v>23.3242996557222</v>
      </c>
      <c r="BK6" s="19" t="n">
        <f aca="false">IF(Time!BK29&gt;0,BJ7*Time!BK25/Time!BK29,0)</f>
        <v>23.7108902577508</v>
      </c>
      <c r="BL6" s="19" t="n">
        <f aca="false">IF(Time!BL29&gt;0,BK7*Time!BL25/Time!BL29,0)</f>
        <v>23.3242996557222</v>
      </c>
      <c r="BM6" s="19" t="n">
        <f aca="false">IF(Time!BM29&gt;0,BL7*Time!BM25/Time!BM29,0)</f>
        <v>23.7108902577507</v>
      </c>
      <c r="BN6" s="19" t="n">
        <f aca="false">IF(Time!BN29&gt;0,BM7*Time!BN25/Time!BN29,0)</f>
        <v>23.3242996557222</v>
      </c>
      <c r="BO6" s="19" t="n">
        <f aca="false">IF(Time!BO29&gt;0,BN7*Time!BO25/Time!BO29,0)</f>
        <v>23.7108902577507</v>
      </c>
      <c r="BP6" s="19" t="n">
        <f aca="false">IF(Time!BP29&gt;0,BO7*Time!BP25/Time!BP29,0)</f>
        <v>23.4531631897317</v>
      </c>
      <c r="BQ6" s="19" t="n">
        <f aca="false">IF(Time!BQ29&gt;0,BP7*Time!BQ25/Time!BQ29,0)</f>
        <v>23.7108902577507</v>
      </c>
      <c r="BR6" s="19" t="n">
        <f aca="false">IF(Time!BR29&gt;0,BQ7*Time!BR25/Time!BR29,0)</f>
        <v>23.3242996557222</v>
      </c>
      <c r="BS6" s="19" t="n">
        <f aca="false">IF(Time!BS29&gt;0,BR7*Time!BS25/Time!BS29,0)</f>
        <v>23.7108902577507</v>
      </c>
      <c r="BT6" s="19" t="n">
        <f aca="false">IF(Time!BT29&gt;0,BS7*Time!BT25/Time!BT29,0)</f>
        <v>23.3242996557222</v>
      </c>
      <c r="BU6" s="19" t="n">
        <f aca="false">IF(Time!BU29&gt;0,BT7*Time!BU25/Time!BU29,0)</f>
        <v>23.7108902577507</v>
      </c>
      <c r="BV6" s="19" t="n">
        <f aca="false">IF(Time!BV29&gt;0,BU7*Time!BV25/Time!BV29,0)</f>
        <v>23.3242996557222</v>
      </c>
      <c r="BW6" s="19" t="n">
        <f aca="false">IF(Time!BW29&gt;0,BV7*Time!BW25/Time!BW29,0)</f>
        <v>23.7108902577507</v>
      </c>
      <c r="BX6" s="19" t="n">
        <f aca="false">IF(Time!BX29&gt;0,BW7*Time!BX25/Time!BX29,0)</f>
        <v>23.4531631897317</v>
      </c>
      <c r="BY6" s="19" t="n">
        <f aca="false">IF(Time!BY29&gt;0,BX7*Time!BY25/Time!BY29,0)</f>
        <v>23.7108902577507</v>
      </c>
      <c r="BZ6" s="19" t="n">
        <f aca="false">IF(Time!BZ29&gt;0,BY7*Time!BZ25/Time!BZ29,0)</f>
        <v>23.3242996557222</v>
      </c>
      <c r="CA6" s="19" t="n">
        <f aca="false">IF(Time!CA29&gt;0,BZ7*Time!CA25/Time!CA29,0)</f>
        <v>23.7108902577507</v>
      </c>
      <c r="CB6" s="19" t="n">
        <f aca="false">IF(Time!CB29&gt;0,CA7*Time!CB25/Time!CB29,0)</f>
        <v>23.3242996557222</v>
      </c>
      <c r="CC6" s="19" t="n">
        <f aca="false">IF(Time!CC29&gt;0,CB7*Time!CC25/Time!CC29,0)</f>
        <v>23.7108902577507</v>
      </c>
      <c r="CD6" s="19" t="n">
        <f aca="false">IF(Time!CD29&gt;0,CC7*Time!CD25/Time!CD29,0)</f>
        <v>23.3242996557222</v>
      </c>
      <c r="CE6" s="19" t="n">
        <f aca="false">IF(Time!CE29&gt;0,CD7*Time!CE25/Time!CE29,0)</f>
        <v>23.7108902577507</v>
      </c>
      <c r="CF6" s="19" t="n">
        <f aca="false">IF(Time!CF29&gt;0,CE7*Time!CF25/Time!CF29,0)</f>
        <v>23.4531631897317</v>
      </c>
      <c r="CG6" s="19" t="n">
        <f aca="false">IF(Time!CG29&gt;0,CF7*Time!CG25/Time!CG29,0)</f>
        <v>23.7108902577507</v>
      </c>
      <c r="CH6" s="19" t="n">
        <f aca="false">IF(Time!CH29&gt;0,CG7*Time!CH25/Time!CH29,0)</f>
        <v>23.3242996557222</v>
      </c>
      <c r="CI6" s="19" t="n">
        <f aca="false">IF(Time!CI29&gt;0,CH7*Time!CI25/Time!CI29,0)</f>
        <v>23.7108902577507</v>
      </c>
      <c r="CJ6" s="19" t="n">
        <f aca="false">IF(Time!CJ29&gt;0,CI7*Time!CJ25/Time!CJ29,0)</f>
        <v>23.3242996557222</v>
      </c>
      <c r="CK6" s="19" t="n">
        <f aca="false">IF(Time!CK29&gt;0,CJ7*Time!CK25/Time!CK29,0)</f>
        <v>23.7108902577507</v>
      </c>
      <c r="CL6" s="19" t="n">
        <f aca="false">IF(Time!CL29&gt;0,CK7*Time!CL25/Time!CL29,0)</f>
        <v>23.3242996557222</v>
      </c>
      <c r="CM6" s="19" t="n">
        <f aca="false">IF(Time!CM29&gt;0,CL7*Time!CM25/Time!CM29,0)</f>
        <v>23.7108902577507</v>
      </c>
      <c r="CN6" s="19" t="n">
        <f aca="false">IF(Time!CN29&gt;0,CM7*Time!CN25/Time!CN29,0)</f>
        <v>23.4531631897317</v>
      </c>
      <c r="CO6" s="19" t="n">
        <f aca="false">IF(Time!CO29&gt;0,CN7*Time!CO25/Time!CO29,0)</f>
        <v>23.7108902577507</v>
      </c>
      <c r="CP6" s="19" t="n">
        <f aca="false">IF(Time!CP29&gt;0,CO7*Time!CP25/Time!CP29,0)</f>
        <v>23.3242996557222</v>
      </c>
      <c r="CQ6" s="19" t="n">
        <f aca="false">IF(Time!CQ29&gt;0,CP7*Time!CQ25/Time!CQ29,0)</f>
        <v>23.7108902577507</v>
      </c>
      <c r="CR6" s="19" t="n">
        <f aca="false">IF(Time!CR29&gt;0,CQ7*Time!CR25/Time!CR29,0)</f>
        <v>23.3242996557222</v>
      </c>
      <c r="CS6" s="19" t="n">
        <f aca="false">IF(Time!CS29&gt;0,CR7*Time!CS25/Time!CS29,0)</f>
        <v>23.7108902577507</v>
      </c>
      <c r="CT6" s="19" t="n">
        <f aca="false">IF(Time!CT29&gt;0,CS7*Time!CT25/Time!CT29,0)</f>
        <v>23.3242996557222</v>
      </c>
      <c r="CU6" s="19" t="n">
        <f aca="false">IF(Time!CU29&gt;0,CT7*Time!CU25/Time!CU29,0)</f>
        <v>23.7108902577507</v>
      </c>
      <c r="CV6" s="19" t="n">
        <f aca="false">IF(Time!CV29&gt;0,CU7*Time!CV25/Time!CV29,0)</f>
        <v>23.4531631897317</v>
      </c>
      <c r="CW6" s="19" t="n">
        <f aca="false">IF(Time!CW29&gt;0,CV7*Time!CW25/Time!CW29,0)</f>
        <v>23.7108902577507</v>
      </c>
      <c r="CX6" s="19" t="n">
        <f aca="false">IF(Time!CX29&gt;0,CW7*Time!CX25/Time!CX29,0)</f>
        <v>23.3242996557222</v>
      </c>
      <c r="CY6" s="19" t="n">
        <f aca="false">IF(Time!CY29&gt;0,CX7*Time!CY25/Time!CY29,0)</f>
        <v>23.7108902577507</v>
      </c>
      <c r="CZ6" s="19" t="n">
        <f aca="false">IF(Time!CZ29&gt;0,CY7*Time!CZ25/Time!CZ29,0)</f>
        <v>23.3242996557222</v>
      </c>
      <c r="DA6" s="19" t="n">
        <f aca="false">IF(Time!DA29&gt;0,CZ7*Time!DA25/Time!DA29,0)</f>
        <v>23.7108902577507</v>
      </c>
      <c r="DB6" s="19" t="n">
        <f aca="false">IF(Time!DB29&gt;0,DA7*Time!DB25/Time!DB29,0)</f>
        <v>18.8140759653892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2124.60528045823</v>
      </c>
      <c r="Z7" s="19" t="n">
        <f aca="false">Y7+Tax!Z7-Z6</f>
        <v>1827.81117398462</v>
      </c>
      <c r="AA7" s="19" t="n">
        <f aca="false">Z7+Tax!AA7-AA6</f>
        <v>1800.65377282077</v>
      </c>
      <c r="AB7" s="19" t="n">
        <f aca="false">AA7+Tax!AB7-AB6</f>
        <v>1773.7915608</v>
      </c>
      <c r="AC7" s="19" t="n">
        <f aca="false">AB7+Tax!AC7-AC6</f>
        <v>1746.63415963614</v>
      </c>
      <c r="AD7" s="19" t="n">
        <f aca="false">AC7+Tax!AD7-AD6</f>
        <v>1719.91954218692</v>
      </c>
      <c r="AE7" s="19" t="n">
        <f aca="false">AD7+Tax!AE7-AE6</f>
        <v>1692.76214102306</v>
      </c>
      <c r="AF7" s="19" t="n">
        <f aca="false">AE7+Tax!AF7-AF6</f>
        <v>1666.04752357384</v>
      </c>
      <c r="AG7" s="19" t="n">
        <f aca="false">AF7+Tax!AG7-AG6</f>
        <v>1638.89012240998</v>
      </c>
      <c r="AH7" s="19" t="n">
        <f aca="false">AG7+Tax!AH7-AH6</f>
        <v>1612.17550496076</v>
      </c>
      <c r="AI7" s="19" t="n">
        <f aca="false">AH7+Tax!AI7-AI6</f>
        <v>1585.0181037969</v>
      </c>
      <c r="AJ7" s="19" t="n">
        <f aca="false">AI7+Tax!AJ7-AJ6</f>
        <v>1582.28271749442</v>
      </c>
      <c r="AK7" s="19" t="n">
        <f aca="false">AJ7+Tax!AK7-AK6</f>
        <v>1579.0196236743</v>
      </c>
      <c r="AL7" s="19" t="n">
        <f aca="false">AK7+Tax!AL7-AL6</f>
        <v>1575.8468879305</v>
      </c>
      <c r="AM7" s="19" t="n">
        <f aca="false">AL7+Tax!AM7-AM6</f>
        <v>1572.00625138207</v>
      </c>
      <c r="AN7" s="19" t="n">
        <f aca="false">AM7+Tax!AN7-AN6</f>
        <v>1548.68195172635</v>
      </c>
      <c r="AO7" s="19" t="n">
        <f aca="false">AN7+Tax!AO7-AO6</f>
        <v>1524.9710614686</v>
      </c>
      <c r="AP7" s="19" t="n">
        <f aca="false">AO7+Tax!AP7-AP6</f>
        <v>1501.64676181288</v>
      </c>
      <c r="AQ7" s="19" t="n">
        <f aca="false">AP7+Tax!AQ7-AQ6</f>
        <v>1477.93587155513</v>
      </c>
      <c r="AR7" s="19" t="n">
        <f aca="false">AQ7+Tax!AR7-AR6</f>
        <v>1454.48270836539</v>
      </c>
      <c r="AS7" s="19" t="n">
        <f aca="false">AR7+Tax!AS7-AS6</f>
        <v>1430.77181810764</v>
      </c>
      <c r="AT7" s="19" t="n">
        <f aca="false">AS7+Tax!AT7-AT6</f>
        <v>1407.44751845192</v>
      </c>
      <c r="AU7" s="19" t="n">
        <f aca="false">AT7+Tax!AU7-AU6</f>
        <v>1383.73662819417</v>
      </c>
      <c r="AV7" s="19" t="n">
        <f aca="false">AU7+Tax!AV7-AV6</f>
        <v>1360.41232853845</v>
      </c>
      <c r="AW7" s="19" t="n">
        <f aca="false">AV7+Tax!AW7-AW6</f>
        <v>1336.7014382807</v>
      </c>
      <c r="AX7" s="19" t="n">
        <f aca="false">AW7+Tax!AX7-AX6</f>
        <v>1313.37713862498</v>
      </c>
      <c r="AY7" s="19" t="n">
        <f aca="false">AX7+Tax!AY7-AY6</f>
        <v>1289.66624836723</v>
      </c>
      <c r="AZ7" s="19" t="n">
        <f aca="false">AY7+Tax!AZ7-AZ6</f>
        <v>1266.21308517749</v>
      </c>
      <c r="BA7" s="19" t="n">
        <f aca="false">AZ7+Tax!BA7-BA6</f>
        <v>1242.50219491974</v>
      </c>
      <c r="BB7" s="19" t="n">
        <f aca="false">BA7+Tax!BB7-BB6</f>
        <v>1219.17789526402</v>
      </c>
      <c r="BC7" s="19" t="n">
        <f aca="false">BB7+Tax!BC7-BC6</f>
        <v>1195.46700500627</v>
      </c>
      <c r="BD7" s="19" t="n">
        <f aca="false">BC7+Tax!BD7-BD6</f>
        <v>1172.14270535055</v>
      </c>
      <c r="BE7" s="19" t="n">
        <f aca="false">BD7+Tax!BE7-BE6</f>
        <v>1148.4318150928</v>
      </c>
      <c r="BF7" s="19" t="n">
        <f aca="false">BE7+Tax!BF7-BF6</f>
        <v>1125.10751543707</v>
      </c>
      <c r="BG7" s="19" t="n">
        <f aca="false">BF7+Tax!BG7-BG6</f>
        <v>1101.39662517932</v>
      </c>
      <c r="BH7" s="19" t="n">
        <f aca="false">BG7+Tax!BH7-BH6</f>
        <v>1077.94346198959</v>
      </c>
      <c r="BI7" s="19" t="n">
        <f aca="false">BH7+Tax!BI7-BI6</f>
        <v>1054.23257173184</v>
      </c>
      <c r="BJ7" s="19" t="n">
        <f aca="false">BI7+Tax!BJ7-BJ6</f>
        <v>1030.90827207612</v>
      </c>
      <c r="BK7" s="19" t="n">
        <f aca="false">BJ7+Tax!BK7-BK6</f>
        <v>1007.19738181837</v>
      </c>
      <c r="BL7" s="19" t="n">
        <f aca="false">BK7+Tax!BL7-BL6</f>
        <v>983.873082162647</v>
      </c>
      <c r="BM7" s="19" t="n">
        <f aca="false">BL7+Tax!BM7-BM6</f>
        <v>960.162191904896</v>
      </c>
      <c r="BN7" s="19" t="n">
        <f aca="false">BM7+Tax!BN7-BN6</f>
        <v>936.837892249174</v>
      </c>
      <c r="BO7" s="19" t="n">
        <f aca="false">BN7+Tax!BO7-BO6</f>
        <v>913.127001991423</v>
      </c>
      <c r="BP7" s="19" t="n">
        <f aca="false">BO7+Tax!BP7-BP6</f>
        <v>889.673838801691</v>
      </c>
      <c r="BQ7" s="19" t="n">
        <f aca="false">BP7+Tax!BQ7-BQ6</f>
        <v>865.96294854394</v>
      </c>
      <c r="BR7" s="19" t="n">
        <f aca="false">BQ7+Tax!BR7-BR6</f>
        <v>842.638648888218</v>
      </c>
      <c r="BS7" s="19" t="n">
        <f aca="false">BR7+Tax!BS7-BS6</f>
        <v>818.927758630467</v>
      </c>
      <c r="BT7" s="19" t="n">
        <f aca="false">BS7+Tax!BT7-BT6</f>
        <v>795.603458974745</v>
      </c>
      <c r="BU7" s="19" t="n">
        <f aca="false">BT7+Tax!BU7-BU6</f>
        <v>771.892568716994</v>
      </c>
      <c r="BV7" s="19" t="n">
        <f aca="false">BU7+Tax!BV7-BV6</f>
        <v>748.568269061272</v>
      </c>
      <c r="BW7" s="19" t="n">
        <f aca="false">BV7+Tax!BW7-BW6</f>
        <v>724.857378803521</v>
      </c>
      <c r="BX7" s="19" t="n">
        <f aca="false">BW7+Tax!BX7-BX6</f>
        <v>701.40421561379</v>
      </c>
      <c r="BY7" s="19" t="n">
        <f aca="false">BX7+Tax!BY7-BY6</f>
        <v>677.693325356039</v>
      </c>
      <c r="BZ7" s="19" t="n">
        <f aca="false">BY7+Tax!BZ7-BZ6</f>
        <v>654.369025700317</v>
      </c>
      <c r="CA7" s="19" t="n">
        <f aca="false">BZ7+Tax!CA7-CA6</f>
        <v>630.658135442566</v>
      </c>
      <c r="CB7" s="19" t="n">
        <f aca="false">CA7+Tax!CB7-CB6</f>
        <v>607.333835786844</v>
      </c>
      <c r="CC7" s="19" t="n">
        <f aca="false">CB7+Tax!CC7-CC6</f>
        <v>583.622945529093</v>
      </c>
      <c r="CD7" s="19" t="n">
        <f aca="false">CC7+Tax!CD7-CD6</f>
        <v>560.298645873371</v>
      </c>
      <c r="CE7" s="19" t="n">
        <f aca="false">CD7+Tax!CE7-CE6</f>
        <v>536.58775561562</v>
      </c>
      <c r="CF7" s="19" t="n">
        <f aca="false">CE7+Tax!CF7-CF6</f>
        <v>513.134592425888</v>
      </c>
      <c r="CG7" s="19" t="n">
        <f aca="false">CF7+Tax!CG7-CG6</f>
        <v>489.423702168138</v>
      </c>
      <c r="CH7" s="19" t="n">
        <f aca="false">CG7+Tax!CH7-CH6</f>
        <v>466.099402512415</v>
      </c>
      <c r="CI7" s="19" t="n">
        <f aca="false">CH7+Tax!CI7-CI6</f>
        <v>442.388512254665</v>
      </c>
      <c r="CJ7" s="19" t="n">
        <f aca="false">CI7+Tax!CJ7-CJ6</f>
        <v>419.064212598942</v>
      </c>
      <c r="CK7" s="19" t="n">
        <f aca="false">CJ7+Tax!CK7-CK6</f>
        <v>395.353322341192</v>
      </c>
      <c r="CL7" s="19" t="n">
        <f aca="false">CK7+Tax!CL7-CL6</f>
        <v>372.029022685469</v>
      </c>
      <c r="CM7" s="19" t="n">
        <f aca="false">CL7+Tax!CM7-CM6</f>
        <v>348.318132427719</v>
      </c>
      <c r="CN7" s="19" t="n">
        <f aca="false">CM7+Tax!CN7-CN6</f>
        <v>324.864969237987</v>
      </c>
      <c r="CO7" s="19" t="n">
        <f aca="false">CN7+Tax!CO7-CO6</f>
        <v>301.154078980236</v>
      </c>
      <c r="CP7" s="19" t="n">
        <f aca="false">CO7+Tax!CP7-CP6</f>
        <v>277.829779324514</v>
      </c>
      <c r="CQ7" s="19" t="n">
        <f aca="false">CP7+Tax!CQ7-CQ6</f>
        <v>254.118889066763</v>
      </c>
      <c r="CR7" s="19" t="n">
        <f aca="false">CQ7+Tax!CR7-CR6</f>
        <v>230.794589411041</v>
      </c>
      <c r="CS7" s="19" t="n">
        <f aca="false">CR7+Tax!CS7-CS6</f>
        <v>207.08369915329</v>
      </c>
      <c r="CT7" s="19" t="n">
        <f aca="false">CS7+Tax!CT7-CT6</f>
        <v>183.759399497568</v>
      </c>
      <c r="CU7" s="19" t="n">
        <f aca="false">CT7+Tax!CU7-CU6</f>
        <v>160.048509239817</v>
      </c>
      <c r="CV7" s="19" t="n">
        <f aca="false">CU7+Tax!CV7-CV6</f>
        <v>136.595346050086</v>
      </c>
      <c r="CW7" s="19" t="n">
        <f aca="false">CV7+Tax!CW7-CW6</f>
        <v>112.884455792335</v>
      </c>
      <c r="CX7" s="19" t="n">
        <f aca="false">CW7+Tax!CX7-CX6</f>
        <v>89.5601561366128</v>
      </c>
      <c r="CY7" s="19" t="n">
        <f aca="false">CX7+Tax!CY7-CY6</f>
        <v>65.8492658788621</v>
      </c>
      <c r="CZ7" s="19" t="n">
        <f aca="false">CY7+Tax!CZ7-CZ6</f>
        <v>42.5249662231399</v>
      </c>
      <c r="DA7" s="19" t="n">
        <f aca="false">CZ7+Tax!DA7-DA6</f>
        <v>18.8140759653892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144.43071582608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144.43071582608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1542.07489482738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-22.6391594653339</v>
      </c>
      <c r="AA9" s="19" t="n">
        <f aca="false">(Operations!AA32-Operations!AA36-Reserves!AA22-AA6-Debt!AA64-Tax!AA13-Tax!AA14-Debt!AA65-Tax!AA23)*(1-Time!AA20)+AA8</f>
        <v>-64.3791852737254</v>
      </c>
      <c r="AB9" s="19" t="n">
        <f aca="false">(Operations!AB32-Operations!AB36-Reserves!AB22-AB6-Debt!AB64-Tax!AB13-Tax!AB14-Debt!AB65-Tax!AB23)*(1-Time!AB20)+AB8</f>
        <v>-74.0002182013539</v>
      </c>
      <c r="AC9" s="19" t="n">
        <f aca="false">(Operations!AC32-Operations!AC36-Reserves!AC22-AC6-Debt!AC64-Tax!AC13-Tax!AC14-Debt!AC65-Tax!AC23)*(1-Time!AC20)+AC8</f>
        <v>-67.8750579637431</v>
      </c>
      <c r="AD9" s="19" t="n">
        <f aca="false">(Operations!AD32-Operations!AD36-Reserves!AD22-AD6-Debt!AD64-Tax!AD13-Tax!AD14-Debt!AD65-Tax!AD23)*(1-Time!AD20)+AD8</f>
        <v>-67.1156928807535</v>
      </c>
      <c r="AE9" s="19" t="n">
        <f aca="false">(Operations!AE32-Operations!AE36-Reserves!AE22-AE6-Debt!AE64-Tax!AE13-Tax!AE14-Debt!AE65-Tax!AE23)*(1-Time!AE20)+AE8</f>
        <v>-65.6330974647196</v>
      </c>
      <c r="AF9" s="19" t="n">
        <f aca="false">(Operations!AF32-Operations!AF36-Reserves!AF22-AF6-Debt!AF64-Tax!AF13-Tax!AF14-Debt!AF65-Tax!AF23)*(1-Time!AF20)+AF8</f>
        <v>-72.3770871461195</v>
      </c>
      <c r="AG9" s="19" t="n">
        <f aca="false">(Operations!AG32-Operations!AG36-Reserves!AG22-AG6-Debt!AG64-Tax!AG13-Tax!AG14-Debt!AG65-Tax!AG23)*(1-Time!AG20)+AG8</f>
        <v>-69.1896941553038</v>
      </c>
      <c r="AH9" s="19" t="n">
        <f aca="false">(Operations!AH32-Operations!AH36-Reserves!AH22-AH6-Debt!AH64-Tax!AH13-Tax!AH14-Debt!AH65-Tax!AH23)*(1-Time!AH20)+AH8</f>
        <v>-70.2380541520366</v>
      </c>
      <c r="AI9" s="19" t="n">
        <f aca="false">(Operations!AI32-Operations!AI36-Reserves!AI22-AI6-Debt!AI64-Tax!AI13-Tax!AI14-Debt!AI65-Tax!AI23)*(1-Time!AI20)+AI8</f>
        <v>75.2081699231869</v>
      </c>
      <c r="AJ9" s="19" t="n">
        <f aca="false">(Operations!AJ32-Operations!AJ36-Reserves!AJ22-AJ6-Debt!AJ64-Tax!AJ13-Tax!AJ14-Debt!AJ65-Tax!AJ23)*(1-Time!AJ20)+AJ8</f>
        <v>-6.82947081179437</v>
      </c>
      <c r="AK9" s="19" t="n">
        <f aca="false">(Operations!AK32-Operations!AK36-Reserves!AK22-AK6-Debt!AK64-Tax!AK13-Tax!AK14-Debt!AK65-Tax!AK23)*(1-Time!AK20)+AK8</f>
        <v>-3.19890108483946</v>
      </c>
      <c r="AL9" s="19" t="n">
        <f aca="false">(Operations!AL32-Operations!AL36-Reserves!AL22-AL6-Debt!AL64-Tax!AL13-Tax!AL14-Debt!AL65-Tax!AL23)*(1-Time!AL20)+AL8</f>
        <v>-3.449879411174</v>
      </c>
      <c r="AM9" s="19" t="n">
        <f aca="false">(Operations!AM32-Operations!AM36-Reserves!AM22-AM6-Debt!AM64-Tax!AM13-Tax!AM14-Debt!AM65-Tax!AM23)*(1-Time!AM20)+AM8</f>
        <v>-0.832616503846607</v>
      </c>
      <c r="AN9" s="19" t="n">
        <f aca="false">(Operations!AN32-Operations!AN36-Reserves!AN22-AN6-Debt!AN64-Tax!AN13-Tax!AN14-Debt!AN65-Tax!AN23)*(1-Time!AN20)+AN8</f>
        <v>-1.57589772074321</v>
      </c>
      <c r="AO9" s="19" t="n">
        <f aca="false">(Operations!AO32-Operations!AO36-Reserves!AO22-AO6-Debt!AO64-Tax!AO13-Tax!AO14-Debt!AO65-Tax!AO23)*(1-Time!AO20)+AO8</f>
        <v>-19.3408416597736</v>
      </c>
      <c r="AP9" s="19" t="n">
        <f aca="false">(Operations!AP32-Operations!AP36-Reserves!AP22-AP6-Debt!AP64-Tax!AP13-Tax!AP14-Debt!AP65-Tax!AP23)*(1-Time!AP20)+AP8</f>
        <v>1.98636163145039</v>
      </c>
      <c r="AQ9" s="19" t="n">
        <f aca="false">(Operations!AQ32-Operations!AQ36-Reserves!AQ22-AQ6-Debt!AQ64-Tax!AQ13-Tax!AQ14-Debt!AQ65-Tax!AQ23)*(1-Time!AQ20)+AQ8</f>
        <v>4.00658860738332</v>
      </c>
      <c r="AR9" s="19" t="n">
        <f aca="false">(Operations!AR32-Operations!AR36-Reserves!AR22-AR6-Debt!AR64-Tax!AR13-Tax!AR14-Debt!AR65-Tax!AR23)*(1-Time!AR20)+AR8</f>
        <v>3.54782822855899</v>
      </c>
      <c r="AS9" s="19" t="n">
        <f aca="false">(Operations!AS32-Operations!AS36-Reserves!AS22-AS6-Debt!AS64-Tax!AS13-Tax!AS14-Debt!AS65-Tax!AS23)*(1-Time!AS20)+AS8</f>
        <v>3.9445278756554</v>
      </c>
      <c r="AT9" s="19" t="n">
        <f aca="false">(Operations!AT32-Operations!AT36-Reserves!AT22-AT6-Debt!AT64-Tax!AT13-Tax!AT14-Debt!AT65-Tax!AT23)*(1-Time!AT20)+AT8</f>
        <v>4.74684940986812</v>
      </c>
      <c r="AU9" s="19" t="n">
        <f aca="false">(Operations!AU32-Operations!AU36-Reserves!AU22-AU6-Debt!AU64-Tax!AU13-Tax!AU14-Debt!AU65-Tax!AU23)*(1-Time!AU20)+AU8</f>
        <v>6.23539659054243</v>
      </c>
      <c r="AV9" s="19" t="n">
        <f aca="false">(Operations!AV32-Operations!AV36-Reserves!AV22-AV6-Debt!AV64-Tax!AV13-Tax!AV14-Debt!AV65-Tax!AV23)*(1-Time!AV20)+AV8</f>
        <v>7.07705559018173</v>
      </c>
      <c r="AW9" s="19" t="n">
        <f aca="false">(Operations!AW32-Operations!AW36-Reserves!AW22-AW6-Debt!AW64-Tax!AW13-Tax!AW14-Debt!AW65-Tax!AW23)*(1-Time!AW20)+AW8</f>
        <v>-50.6381421931065</v>
      </c>
      <c r="AX9" s="19" t="n">
        <f aca="false">(Operations!AX32-Operations!AX36-Reserves!AX22-AX6-Debt!AX64-Tax!AX13-Tax!AX14-Debt!AX65-Tax!AX23)*(1-Time!AX20)+AX8</f>
        <v>8.48024638294094</v>
      </c>
      <c r="AY9" s="19" t="n">
        <f aca="false">(Operations!AY32-Operations!AY36-Reserves!AY22-AY6-Debt!AY64-Tax!AY13-Tax!AY14-Debt!AY65-Tax!AY23)*(1-Time!AY20)+AY8</f>
        <v>10.5387711577055</v>
      </c>
      <c r="AZ9" s="19" t="n">
        <f aca="false">(Operations!AZ32-Operations!AZ36-Reserves!AZ22-AZ6-Debt!AZ64-Tax!AZ13-Tax!AZ14-Debt!AZ65-Tax!AZ23)*(1-Time!AZ20)+AZ8</f>
        <v>11.1806038438894</v>
      </c>
      <c r="BA9" s="19" t="n">
        <f aca="false">(Operations!BA32-Operations!BA36-Reserves!BA22-BA6-Debt!BA64-Tax!BA13-Tax!BA14-Debt!BA65-Tax!BA23)*(1-Time!BA20)+BA8</f>
        <v>10.2404229050932</v>
      </c>
      <c r="BB9" s="19" t="n">
        <f aca="false">(Operations!BB32-Operations!BB36-Reserves!BB22-BB6-Debt!BB64-Tax!BB13-Tax!BB14-Debt!BB65-Tax!BB23)*(1-Time!BB20)+BB8</f>
        <v>8.58830568103403</v>
      </c>
      <c r="BC9" s="19" t="n">
        <f aca="false">(Operations!BC32-Operations!BC36-Reserves!BC22-BC6-Debt!BC64-Tax!BC13-Tax!BC14-Debt!BC65-Tax!BC23)*(1-Time!BC20)+BC8</f>
        <v>-36.0111814439914</v>
      </c>
      <c r="BD9" s="19" t="n">
        <f aca="false">(Operations!BD32-Operations!BD36-Reserves!BD22-BD6-Debt!BD64-Tax!BD13-Tax!BD14-Debt!BD65-Tax!BD23)*(1-Time!BD20)+BD8</f>
        <v>16.6831034966919</v>
      </c>
      <c r="BE9" s="19" t="n">
        <f aca="false">(Operations!BE32-Operations!BE36-Reserves!BE22-BE6-Debt!BE64-Tax!BE13-Tax!BE14-Debt!BE65-Tax!BE23)*(1-Time!BE20)+BE8</f>
        <v>-5.28513155312621</v>
      </c>
      <c r="BF9" s="19" t="n">
        <f aca="false">(Operations!BF32-Operations!BF36-Reserves!BF22-BF6-Debt!BF64-Tax!BF13-Tax!BF14-Debt!BF65-Tax!BF23)*(1-Time!BF20)+BF8</f>
        <v>17.3370862253011</v>
      </c>
      <c r="BG9" s="19" t="n">
        <f aca="false">(Operations!BG32-Operations!BG36-Reserves!BG22-BG6-Debt!BG64-Tax!BG13-Tax!BG14-Debt!BG65-Tax!BG23)*(1-Time!BG20)+BG8</f>
        <v>14.9772027428467</v>
      </c>
      <c r="BH9" s="19" t="n">
        <f aca="false">(Operations!BH32-Operations!BH36-Reserves!BH22-BH6-Debt!BH64-Tax!BH13-Tax!BH14-Debt!BH65-Tax!BH23)*(1-Time!BH20)+BH8</f>
        <v>15.6403649881873</v>
      </c>
      <c r="BI9" s="19" t="n">
        <f aca="false">(Operations!BI32-Operations!BI36-Reserves!BI22-BI6-Debt!BI64-Tax!BI13-Tax!BI14-Debt!BI65-Tax!BI23)*(1-Time!BI20)+BI8</f>
        <v>17.5301022240662</v>
      </c>
      <c r="BJ9" s="19" t="n">
        <f aca="false">(Operations!BJ32-Operations!BJ36-Reserves!BJ22-BJ6-Debt!BJ64-Tax!BJ13-Tax!BJ14-Debt!BJ65-Tax!BJ23)*(1-Time!BJ20)+BJ8</f>
        <v>18.0932600258083</v>
      </c>
      <c r="BK9" s="19" t="n">
        <f aca="false">(Operations!BK32-Operations!BK36-Reserves!BK22-BK6-Debt!BK64-Tax!BK13-Tax!BK14-Debt!BK65-Tax!BK23)*(1-Time!BK20)+BK8</f>
        <v>20.2401209135818</v>
      </c>
      <c r="BL9" s="19" t="n">
        <f aca="false">(Operations!BL32-Operations!BL36-Reserves!BL22-BL6-Debt!BL64-Tax!BL13-Tax!BL14-Debt!BL65-Tax!BL23)*(1-Time!BL20)+BL8</f>
        <v>20.8313408509315</v>
      </c>
      <c r="BM9" s="19" t="n">
        <f aca="false">(Operations!BM32-Operations!BM36-Reserves!BM22-BM6-Debt!BM64-Tax!BM13-Tax!BM14-Debt!BM65-Tax!BM23)*(1-Time!BM20)+BM8</f>
        <v>23.1172197903689</v>
      </c>
      <c r="BN9" s="19" t="n">
        <f aca="false">(Operations!BN32-Operations!BN36-Reserves!BN22-BN6-Debt!BN64-Tax!BN13-Tax!BN14-Debt!BN65-Tax!BN23)*(1-Time!BN20)+BN8</f>
        <v>23.7384939340203</v>
      </c>
      <c r="BO9" s="19" t="n">
        <f aca="false">(Operations!BO32-Operations!BO36-Reserves!BO22-BO6-Debt!BO64-Tax!BO13-Tax!BO14-Debt!BO65-Tax!BO23)*(1-Time!BO20)+BO8</f>
        <v>26.169586790702</v>
      </c>
      <c r="BP9" s="19" t="n">
        <f aca="false">(Operations!BP32-Operations!BP36-Reserves!BP22-BP6-Debt!BP64-Tax!BP13-Tax!BP14-Debt!BP65-Tax!BP23)*(1-Time!BP20)+BP8</f>
        <v>26.8294909355437</v>
      </c>
      <c r="BQ9" s="19" t="n">
        <f aca="false">(Operations!BQ32-Operations!BQ36-Reserves!BQ22-BQ6-Debt!BQ64-Tax!BQ13-Tax!BQ14-Debt!BQ65-Tax!BQ23)*(1-Time!BQ20)+BQ8</f>
        <v>29.0548573924333</v>
      </c>
      <c r="BR9" s="19" t="n">
        <f aca="false">(Operations!BR32-Operations!BR36-Reserves!BR22-BR6-Debt!BR64-Tax!BR13-Tax!BR14-Debt!BR65-Tax!BR23)*(1-Time!BR20)+BR8</f>
        <v>28.9278208792959</v>
      </c>
      <c r="BS9" s="19" t="n">
        <f aca="false">(Operations!BS32-Operations!BS36-Reserves!BS22-BS6-Debt!BS64-Tax!BS13-Tax!BS14-Debt!BS65-Tax!BS23)*(1-Time!BS20)+BS8</f>
        <v>31.449604287163</v>
      </c>
      <c r="BT9" s="19" t="n">
        <f aca="false">(Operations!BT32-Operations!BT36-Reserves!BT22-BT6-Debt!BT64-Tax!BT13-Tax!BT14-Debt!BT65-Tax!BT23)*(1-Time!BT20)+BT8</f>
        <v>31.3250592096092</v>
      </c>
      <c r="BU9" s="19" t="n">
        <f aca="false">(Operations!BU32-Operations!BU36-Reserves!BU22-BU6-Debt!BU64-Tax!BU13-Tax!BU14-Debt!BU65-Tax!BU23)*(1-Time!BU20)+BU8</f>
        <v>-66.6468557101651</v>
      </c>
      <c r="BV9" s="19" t="n">
        <f aca="false">(Operations!BV32-Operations!BV36-Reserves!BV22-BV6-Debt!BV64-Tax!BV13-Tax!BV14-Debt!BV65-Tax!BV23)*(1-Time!BV20)+BV8</f>
        <v>50.2580899540763</v>
      </c>
      <c r="BW9" s="19" t="n">
        <f aca="false">(Operations!BW32-Operations!BW36-Reserves!BW22-BW6-Debt!BW64-Tax!BW13-Tax!BW14-Debt!BW65-Tax!BW23)*(1-Time!BW20)+BW8</f>
        <v>40.1303988894494</v>
      </c>
      <c r="BX9" s="19" t="n">
        <f aca="false">(Operations!BX32-Operations!BX36-Reserves!BX22-BX6-Debt!BX64-Tax!BX13-Tax!BX14-Debt!BX65-Tax!BX23)*(1-Time!BX20)+BX8</f>
        <v>37.5850852553701</v>
      </c>
      <c r="BY9" s="19" t="n">
        <f aca="false">(Operations!BY32-Operations!BY36-Reserves!BY22-BY6-Debt!BY64-Tax!BY13-Tax!BY14-Debt!BY65-Tax!BY23)*(1-Time!BY20)+BY8</f>
        <v>40.4509806635013</v>
      </c>
      <c r="BZ9" s="19" t="n">
        <f aca="false">(Operations!BZ32-Operations!BZ36-Reserves!BZ22-BZ6-Debt!BZ64-Tax!BZ13-Tax!BZ14-Debt!BZ65-Tax!BZ23)*(1-Time!BZ20)+BZ8</f>
        <v>40.5289367444625</v>
      </c>
      <c r="CA9" s="19" t="n">
        <f aca="false">(Operations!CA32-Operations!CA36-Reserves!CA22-CA6-Debt!CA64-Tax!CA13-Tax!CA14-Debt!CA65-Tax!CA23)*(1-Time!CA20)+CA8</f>
        <v>43.7654456337865</v>
      </c>
      <c r="CB9" s="19" t="n">
        <f aca="false">(Operations!CB32-Operations!CB36-Reserves!CB22-CB6-Debt!CB64-Tax!CB13-Tax!CB14-Debt!CB65-Tax!CB23)*(1-Time!CB20)+CB8</f>
        <v>43.742677692454</v>
      </c>
      <c r="CC9" s="19" t="n">
        <f aca="false">(Operations!CC32-Operations!CC36-Reserves!CC22-CC6-Debt!CC64-Tax!CC13-Tax!CC14-Debt!CC65-Tax!CC23)*(1-Time!CC20)+CC8</f>
        <v>47.0342648471614</v>
      </c>
      <c r="CD9" s="19" t="n">
        <f aca="false">(Operations!CD32-Operations!CD36-Reserves!CD22-CD6-Debt!CD64-Tax!CD13-Tax!CD14-Debt!CD65-Tax!CD23)*(1-Time!CD20)+CD8</f>
        <v>47.0210762217038</v>
      </c>
      <c r="CE9" s="19" t="n">
        <f aca="false">(Operations!CE32-Operations!CE36-Reserves!CE22-CE6-Debt!CE64-Tax!CE13-Tax!CE14-Debt!CE65-Tax!CE23)*(1-Time!CE20)+CE8</f>
        <v>50.4603897544955</v>
      </c>
      <c r="CF9" s="19" t="n">
        <f aca="false">(Operations!CF32-Operations!CF36-Reserves!CF22-CF6-Debt!CF64-Tax!CF13-Tax!CF14-Debt!CF65-Tax!CF23)*(1-Time!CF20)+CF8</f>
        <v>50.692611477163</v>
      </c>
      <c r="CG9" s="19" t="n">
        <f aca="false">(Operations!CG32-Operations!CG36-Reserves!CG22-CG6-Debt!CG64-Tax!CG13-Tax!CG14-Debt!CG65-Tax!CG23)*(1-Time!CG20)+CG8</f>
        <v>1.22607360889885</v>
      </c>
      <c r="CH9" s="19" t="n">
        <f aca="false">(Operations!CH32-Operations!CH36-Reserves!CH22-CH6-Debt!CH64-Tax!CH13-Tax!CH14-Debt!CH65-Tax!CH23)*(1-Time!CH20)+CH8</f>
        <v>54.2126818094385</v>
      </c>
      <c r="CI9" s="19" t="n">
        <f aca="false">(Operations!CI32-Operations!CI36-Reserves!CI22-CI6-Debt!CI64-Tax!CI13-Tax!CI14-Debt!CI65-Tax!CI23)*(1-Time!CI20)+CI8</f>
        <v>58.0482792510035</v>
      </c>
      <c r="CJ9" s="19" t="n">
        <f aca="false">(Operations!CJ32-Operations!CJ36-Reserves!CJ22-CJ6-Debt!CJ64-Tax!CJ13-Tax!CJ14-Debt!CJ65-Tax!CJ23)*(1-Time!CJ20)+CJ8</f>
        <v>58.1332589268503</v>
      </c>
      <c r="CK9" s="19" t="n">
        <f aca="false">(Operations!CK32-Operations!CK36-Reserves!CK22-CK6-Debt!CK64-Tax!CK13-Tax!CK14-Debt!CK65-Tax!CK23)*(1-Time!CK20)+CK8</f>
        <v>36.2538969549292</v>
      </c>
      <c r="CL9" s="19" t="n">
        <f aca="false">(Operations!CL32-Operations!CL36-Reserves!CL22-CL6-Debt!CL64-Tax!CL13-Tax!CL14-Debt!CL65-Tax!CL23)*(1-Time!CL20)+CL8</f>
        <v>61.4118355966632</v>
      </c>
      <c r="CM9" s="19" t="n">
        <f aca="false">(Operations!CM32-Operations!CM36-Reserves!CM22-CM6-Debt!CM64-Tax!CM13-Tax!CM14-Debt!CM65-Tax!CM23)*(1-Time!CM20)+CM8</f>
        <v>65.115086166438</v>
      </c>
      <c r="CN9" s="19" t="n">
        <f aca="false">(Operations!CN32-Operations!CN36-Reserves!CN22-CN6-Debt!CN64-Tax!CN13-Tax!CN14-Debt!CN65-Tax!CN23)*(1-Time!CN20)+CN8</f>
        <v>65.0161612121733</v>
      </c>
      <c r="CO9" s="19" t="n">
        <f aca="false">(Operations!CO32-Operations!CO36-Reserves!CO22-CO6-Debt!CO64-Tax!CO13-Tax!CO14-Debt!CO65-Tax!CO23)*(1-Time!CO20)+CO8</f>
        <v>68.4545845460963</v>
      </c>
      <c r="CP9" s="19" t="n">
        <f aca="false">(Operations!CP32-Operations!CP36-Reserves!CP22-CP6-Debt!CP64-Tax!CP13-Tax!CP14-Debt!CP65-Tax!CP23)*(1-Time!CP20)+CP8</f>
        <v>67.9749721724755</v>
      </c>
      <c r="CQ9" s="19" t="n">
        <f aca="false">(Operations!CQ32-Operations!CQ36-Reserves!CQ22-CQ6-Debt!CQ64-Tax!CQ13-Tax!CQ14-Debt!CQ65-Tax!CQ23)*(1-Time!CQ20)+CQ8</f>
        <v>72.0388569902207</v>
      </c>
      <c r="CR9" s="19" t="n">
        <f aca="false">(Operations!CR32-Operations!CR36-Reserves!CR22-CR6-Debt!CR64-Tax!CR13-Tax!CR14-Debt!CR65-Tax!CR23)*(1-Time!CR20)+CR8</f>
        <v>71.6446854348162</v>
      </c>
      <c r="CS9" s="19" t="n">
        <f aca="false">(Operations!CS32-Operations!CS36-Reserves!CS22-CS6-Debt!CS64-Tax!CS13-Tax!CS14-Debt!CS65-Tax!CS23)*(1-Time!CS20)+CS8</f>
        <v>-6.74798628410675</v>
      </c>
      <c r="CT9" s="19" t="n">
        <f aca="false">(Operations!CT32-Operations!CT36-Reserves!CT22-CT6-Debt!CT64-Tax!CT13-Tax!CT14-Debt!CT65-Tax!CT23)*(1-Time!CT20)+CT8</f>
        <v>76.6137545386495</v>
      </c>
      <c r="CU9" s="19" t="n">
        <f aca="false">(Operations!CU32-Operations!CU36-Reserves!CU22-CU6-Debt!CU64-Tax!CU13-Tax!CU14-Debt!CU65-Tax!CU23)*(1-Time!CU20)+CU8</f>
        <v>80.0823166011647</v>
      </c>
      <c r="CV9" s="19" t="n">
        <f aca="false">(Operations!CV32-Operations!CV36-Reserves!CV22-CV6-Debt!CV64-Tax!CV13-Tax!CV14-Debt!CV65-Tax!CV23)*(1-Time!CV20)+CV8</f>
        <v>80.0845106323097</v>
      </c>
      <c r="CW9" s="19" t="n">
        <f aca="false">(Operations!CW32-Operations!CW36-Reserves!CW22-CW6-Debt!CW64-Tax!CW13-Tax!CW14-Debt!CW65-Tax!CW23)*(1-Time!CW20)+CW8</f>
        <v>84.2392699093877</v>
      </c>
      <c r="CX9" s="19" t="n">
        <f aca="false">(Operations!CX32-Operations!CX36-Reserves!CX22-CX6-Debt!CX64-Tax!CX13-Tax!CX14-Debt!CX65-Tax!CX23)*(1-Time!CX20)+CX8</f>
        <v>83.7775738363056</v>
      </c>
      <c r="CY9" s="19" t="n">
        <f aca="false">(Operations!CY32-Operations!CY36-Reserves!CY22-CY6-Debt!CY64-Tax!CY13-Tax!CY14-Debt!CY65-Tax!CY23)*(1-Time!CY20)+CY8</f>
        <v>88.5623683153584</v>
      </c>
      <c r="CZ9" s="19" t="n">
        <f aca="false">(Operations!CZ32-Operations!CZ36-Reserves!CZ22-CZ6-Debt!CZ64-Tax!CZ13-Tax!CZ14-Debt!CZ65-Tax!CZ23)*(1-Time!CZ20)+CZ8</f>
        <v>88.0759897491131</v>
      </c>
      <c r="DA9" s="19" t="n">
        <f aca="false">(Operations!DA32-Operations!DA36-Reserves!DA22-DA6-Debt!DA64-Tax!DA13-Tax!DA14-Debt!DA65-Tax!DA23)*(1-Time!DA20)+DA8</f>
        <v>61.9610625698962</v>
      </c>
      <c r="DB9" s="19" t="n">
        <f aca="false">(Operations!DB32-Operations!DB36-Reserves!DB22-DB6-Debt!DB64-Tax!DB13-Tax!DB14-Debt!DB65-Tax!DB23)*(1-Time!DB20)+DB8</f>
        <v>-16.2439725627122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2200.82634905138</v>
      </c>
      <c r="Z11" s="19" t="n">
        <f aca="false">Z7+Operations!Z41+Funding!Z16+Reserves!Z13+Reserves!Z16+Reserves!Z19+Reserves!Z23+Reserves!Z27+Reserves!Z30+Waterfall!Z51</f>
        <v>1907.89188400342</v>
      </c>
      <c r="AA11" s="19" t="n">
        <f aca="false">AA7+Operations!AA41+Funding!AA16+Reserves!AA13+Reserves!AA16+Reserves!AA19+Reserves!AA23+Reserves!AA27+Reserves!AA30+Waterfall!AA51</f>
        <v>1874.67505124764</v>
      </c>
      <c r="AB11" s="19" t="n">
        <f aca="false">AB7+Operations!AB41+Funding!AB16+Reserves!AB13+Reserves!AB16+Reserves!AB19+Reserves!AB23+Reserves!AB27+Reserves!AB30+Waterfall!AB51</f>
        <v>1832.70162529932</v>
      </c>
      <c r="AC11" s="19" t="n">
        <f aca="false">AC7+Operations!AC41+Funding!AC16+Reserves!AC13+Reserves!AC16+Reserves!AC19+Reserves!AC23+Reserves!AC27+Reserves!AC30+Waterfall!AC51</f>
        <v>1798.76037636998</v>
      </c>
      <c r="AD11" s="19" t="n">
        <f aca="false">AD7+Operations!AD41+Funding!AD16+Reserves!AD13+Reserves!AD16+Reserves!AD19+Reserves!AD23+Reserves!AD27+Reserves!AD30+Waterfall!AD51</f>
        <v>1746.25668815192</v>
      </c>
      <c r="AE11" s="19" t="n">
        <f aca="false">AE7+Operations!AE41+Funding!AE16+Reserves!AE13+Reserves!AE16+Reserves!AE19+Reserves!AE23+Reserves!AE27+Reserves!AE30+Waterfall!AE51</f>
        <v>1719.53552910268</v>
      </c>
      <c r="AF11" s="19" t="n">
        <f aca="false">AF7+Operations!AF41+Funding!AF16+Reserves!AF13+Reserves!AF16+Reserves!AF19+Reserves!AF23+Reserves!AF27+Reserves!AF30+Waterfall!AF51</f>
        <v>1687.46915427738</v>
      </c>
      <c r="AG11" s="19" t="n">
        <f aca="false">AG7+Operations!AG41+Funding!AG16+Reserves!AG13+Reserves!AG16+Reserves!AG19+Reserves!AG23+Reserves!AG27+Reserves!AG30+Waterfall!AG51</f>
        <v>1660.92876398336</v>
      </c>
      <c r="AH11" s="19" t="n">
        <f aca="false">AH7+Operations!AH41+Funding!AH16+Reserves!AH13+Reserves!AH16+Reserves!AH19+Reserves!AH23+Reserves!AH27+Reserves!AH30+Waterfall!AH51</f>
        <v>1634.57405682794</v>
      </c>
      <c r="AI11" s="19" t="n">
        <f aca="false">AI7+Operations!AI41+Funding!AI16+Reserves!AI13+Reserves!AI16+Reserves!AI19+Reserves!AI23+Reserves!AI27+Reserves!AI30+Waterfall!AI51</f>
        <v>1712.20077857236</v>
      </c>
      <c r="AJ11" s="19" t="n">
        <f aca="false">AJ7+Operations!AJ41+Funding!AJ16+Reserves!AJ13+Reserves!AJ16+Reserves!AJ19+Reserves!AJ23+Reserves!AJ27+Reserves!AJ30+Waterfall!AJ51</f>
        <v>1667.21101908269</v>
      </c>
      <c r="AK11" s="19" t="n">
        <f aca="false">AK7+Operations!AK41+Funding!AK16+Reserves!AK13+Reserves!AK16+Reserves!AK19+Reserves!AK23+Reserves!AK27+Reserves!AK30+Waterfall!AK51</f>
        <v>1647.47906596179</v>
      </c>
      <c r="AL11" s="19" t="n">
        <f aca="false">AL7+Operations!AL41+Funding!AL16+Reserves!AL13+Reserves!AL16+Reserves!AL19+Reserves!AL23+Reserves!AL27+Reserves!AL30+Waterfall!AL51</f>
        <v>1627.87024455494</v>
      </c>
      <c r="AM11" s="19" t="n">
        <f aca="false">AM7+Operations!AM41+Funding!AM16+Reserves!AM13+Reserves!AM16+Reserves!AM19+Reserves!AM23+Reserves!AM27+Reserves!AM30+Waterfall!AM51</f>
        <v>1607.77351375958</v>
      </c>
      <c r="AN11" s="19" t="n">
        <f aca="false">AN7+Operations!AN41+Funding!AN16+Reserves!AN13+Reserves!AN16+Reserves!AN19+Reserves!AN23+Reserves!AN27+Reserves!AN30+Waterfall!AN51</f>
        <v>1587.55377564328</v>
      </c>
      <c r="AO11" s="19" t="n">
        <f aca="false">AO7+Operations!AO41+Funding!AO16+Reserves!AO13+Reserves!AO16+Reserves!AO19+Reserves!AO23+Reserves!AO27+Reserves!AO30+Waterfall!AO51</f>
        <v>1543.62686146174</v>
      </c>
      <c r="AP11" s="19" t="n">
        <f aca="false">AP7+Operations!AP41+Funding!AP16+Reserves!AP13+Reserves!AP16+Reserves!AP19+Reserves!AP23+Reserves!AP27+Reserves!AP30+Waterfall!AP51</f>
        <v>1519.96188893733</v>
      </c>
      <c r="AQ11" s="19" t="n">
        <f aca="false">AQ7+Operations!AQ41+Funding!AQ16+Reserves!AQ13+Reserves!AQ16+Reserves!AQ19+Reserves!AQ23+Reserves!AQ27+Reserves!AQ30+Waterfall!AQ51</f>
        <v>1506.74899151328</v>
      </c>
      <c r="AR11" s="19" t="n">
        <f aca="false">AR7+Operations!AR41+Funding!AR16+Reserves!AR13+Reserves!AR16+Reserves!AR19+Reserves!AR23+Reserves!AR27+Reserves!AR30+Waterfall!AR51</f>
        <v>1493.90719305036</v>
      </c>
      <c r="AS11" s="19" t="n">
        <f aca="false">AS7+Operations!AS41+Funding!AS16+Reserves!AS13+Reserves!AS16+Reserves!AS19+Reserves!AS23+Reserves!AS27+Reserves!AS30+Waterfall!AS51</f>
        <v>1480.81546110416</v>
      </c>
      <c r="AT11" s="19" t="n">
        <f aca="false">AT7+Operations!AT41+Funding!AT16+Reserves!AT13+Reserves!AT16+Reserves!AT19+Reserves!AT23+Reserves!AT27+Reserves!AT30+Waterfall!AT51</f>
        <v>1468.11073369851</v>
      </c>
      <c r="AU11" s="19" t="n">
        <f aca="false">AU7+Operations!AU41+Funding!AU16+Reserves!AU13+Reserves!AU16+Reserves!AU19+Reserves!AU23+Reserves!AU27+Reserves!AU30+Waterfall!AU51</f>
        <v>1455.01250960589</v>
      </c>
      <c r="AV11" s="19" t="n">
        <f aca="false">AV7+Operations!AV41+Funding!AV16+Reserves!AV13+Reserves!AV16+Reserves!AV19+Reserves!AV23+Reserves!AV27+Reserves!AV30+Waterfall!AV51</f>
        <v>1443.03366086998</v>
      </c>
      <c r="AW11" s="19" t="n">
        <f aca="false">AW7+Operations!AW41+Funding!AW16+Reserves!AW13+Reserves!AW16+Reserves!AW19+Reserves!AW23+Reserves!AW27+Reserves!AW30+Waterfall!AW51</f>
        <v>1363.37977273327</v>
      </c>
      <c r="AX11" s="19" t="n">
        <f aca="false">AX7+Operations!AX41+Funding!AX16+Reserves!AX13+Reserves!AX16+Reserves!AX19+Reserves!AX23+Reserves!AX27+Reserves!AX30+Waterfall!AX51</f>
        <v>1347.81324292866</v>
      </c>
      <c r="AY11" s="19" t="n">
        <f aca="false">AY7+Operations!AY41+Funding!AY16+Reserves!AY13+Reserves!AY16+Reserves!AY19+Reserves!AY23+Reserves!AY27+Reserves!AY30+Waterfall!AY51</f>
        <v>1337.14036449107</v>
      </c>
      <c r="AZ11" s="19" t="n">
        <f aca="false">AZ7+Operations!AZ41+Funding!AZ16+Reserves!AZ13+Reserves!AZ16+Reserves!AZ19+Reserves!AZ23+Reserves!AZ27+Reserves!AZ30+Waterfall!AZ51</f>
        <v>1326.29492011582</v>
      </c>
      <c r="BA11" s="19" t="n">
        <f aca="false">BA7+Operations!BA41+Funding!BA16+Reserves!BA13+Reserves!BA16+Reserves!BA19+Reserves!BA23+Reserves!BA27+Reserves!BA30+Waterfall!BA51</f>
        <v>1315.38130699459</v>
      </c>
      <c r="BB11" s="19" t="n">
        <f aca="false">BB7+Operations!BB41+Funding!BB16+Reserves!BB13+Reserves!BB16+Reserves!BB19+Reserves!BB23+Reserves!BB27+Reserves!BB30+Waterfall!BB51</f>
        <v>1310.45110748704</v>
      </c>
      <c r="BC11" s="19" t="n">
        <f aca="false">BC7+Operations!BC41+Funding!BC16+Reserves!BC13+Reserves!BC16+Reserves!BC19+Reserves!BC23+Reserves!BC27+Reserves!BC30+Waterfall!BC51</f>
        <v>1239.01279468162</v>
      </c>
      <c r="BD11" s="19" t="n">
        <f aca="false">BD7+Operations!BD41+Funding!BD16+Reserves!BD13+Reserves!BD16+Reserves!BD19+Reserves!BD23+Reserves!BD27+Reserves!BD30+Waterfall!BD51</f>
        <v>1222.50404524694</v>
      </c>
      <c r="BE11" s="19" t="n">
        <f aca="false">BE7+Operations!BE41+Funding!BE16+Reserves!BE13+Reserves!BE16+Reserves!BE19+Reserves!BE23+Reserves!BE27+Reserves!BE30+Waterfall!BE51</f>
        <v>1173.3938952</v>
      </c>
      <c r="BF11" s="19" t="n">
        <f aca="false">BF7+Operations!BF41+Funding!BF16+Reserves!BF13+Reserves!BF16+Reserves!BF19+Reserves!BF23+Reserves!BF27+Reserves!BF30+Waterfall!BF51</f>
        <v>1149.35293142621</v>
      </c>
      <c r="BG11" s="19" t="n">
        <f aca="false">BG7+Operations!BG41+Funding!BG16+Reserves!BG13+Reserves!BG16+Reserves!BG19+Reserves!BG23+Reserves!BG27+Reserves!BG30+Waterfall!BG51</f>
        <v>1125.87531957853</v>
      </c>
      <c r="BH11" s="19" t="n">
        <f aca="false">BH7+Operations!BH41+Funding!BH16+Reserves!BH13+Reserves!BH16+Reserves!BH19+Reserves!BH23+Reserves!BH27+Reserves!BH30+Waterfall!BH51</f>
        <v>1103.25779483417</v>
      </c>
      <c r="BI11" s="19" t="n">
        <f aca="false">BI7+Operations!BI41+Funding!BI16+Reserves!BI13+Reserves!BI16+Reserves!BI19+Reserves!BI23+Reserves!BI27+Reserves!BI30+Waterfall!BI51</f>
        <v>1079.66871539028</v>
      </c>
      <c r="BJ11" s="19" t="n">
        <f aca="false">BJ7+Operations!BJ41+Funding!BJ16+Reserves!BJ13+Reserves!BJ16+Reserves!BJ19+Reserves!BJ23+Reserves!BJ27+Reserves!BJ30+Waterfall!BJ51</f>
        <v>1057.3337524176</v>
      </c>
      <c r="BK11" s="19" t="n">
        <f aca="false">BK7+Operations!BK41+Funding!BK16+Reserves!BK13+Reserves!BK16+Reserves!BK19+Reserves!BK23+Reserves!BK27+Reserves!BK30+Waterfall!BK51</f>
        <v>1033.75012629419</v>
      </c>
      <c r="BL11" s="19" t="n">
        <f aca="false">BL7+Operations!BL41+Funding!BL16+Reserves!BL13+Reserves!BL16+Reserves!BL19+Reserves!BL23+Reserves!BL27+Reserves!BL30+Waterfall!BL51</f>
        <v>1011.45517740336</v>
      </c>
      <c r="BM11" s="19" t="n">
        <f aca="false">BM7+Operations!BM41+Funding!BM16+Reserves!BM13+Reserves!BM16+Reserves!BM19+Reserves!BM23+Reserves!BM27+Reserves!BM30+Waterfall!BM51</f>
        <v>987.876978232897</v>
      </c>
      <c r="BN11" s="19" t="n">
        <f aca="false">BN7+Operations!BN41+Funding!BN16+Reserves!BN13+Reserves!BN16+Reserves!BN19+Reserves!BN23+Reserves!BN27+Reserves!BN30+Waterfall!BN51</f>
        <v>958.300921376215</v>
      </c>
      <c r="BO11" s="19" t="n">
        <f aca="false">BO7+Operations!BO41+Funding!BO16+Reserves!BO13+Reserves!BO16+Reserves!BO19+Reserves!BO23+Reserves!BO27+Reserves!BO30+Waterfall!BO51</f>
        <v>954.331758211126</v>
      </c>
      <c r="BP11" s="19" t="n">
        <f aca="false">BP7+Operations!BP41+Funding!BP16+Reserves!BP13+Reserves!BP16+Reserves!BP19+Reserves!BP23+Reserves!BP27+Reserves!BP30+Waterfall!BP51</f>
        <v>951.327493781088</v>
      </c>
      <c r="BQ11" s="19" t="n">
        <f aca="false">BQ7+Operations!BQ41+Funding!BQ16+Reserves!BQ13+Reserves!BQ16+Reserves!BQ19+Reserves!BQ23+Reserves!BQ27+Reserves!BQ30+Waterfall!BQ51</f>
        <v>947.015580099787</v>
      </c>
      <c r="BR11" s="19" t="n">
        <f aca="false">BR7+Operations!BR41+Funding!BR16+Reserves!BR13+Reserves!BR16+Reserves!BR19+Reserves!BR23+Reserves!BR27+Reserves!BR30+Waterfall!BR51</f>
        <v>944.2122841382</v>
      </c>
      <c r="BS11" s="19" t="n">
        <f aca="false">BS7+Operations!BS41+Funding!BS16+Reserves!BS13+Reserves!BS16+Reserves!BS19+Reserves!BS23+Reserves!BS27+Reserves!BS30+Waterfall!BS51</f>
        <v>939.897758047626</v>
      </c>
      <c r="BT11" s="19" t="n">
        <f aca="false">BT7+Operations!BT41+Funding!BT16+Reserves!BT13+Reserves!BT16+Reserves!BT19+Reserves!BT23+Reserves!BT27+Reserves!BT30+Waterfall!BT51</f>
        <v>950.483402059878</v>
      </c>
      <c r="BU11" s="19" t="n">
        <f aca="false">BU7+Operations!BU41+Funding!BU16+Reserves!BU13+Reserves!BU16+Reserves!BU19+Reserves!BU23+Reserves!BU27+Reserves!BU30+Waterfall!BU51</f>
        <v>810.048241110918</v>
      </c>
      <c r="BV11" s="19" t="n">
        <f aca="false">BV7+Operations!BV41+Funding!BV16+Reserves!BV13+Reserves!BV16+Reserves!BV19+Reserves!BV23+Reserves!BV27+Reserves!BV30+Waterfall!BV51</f>
        <v>782.848821045387</v>
      </c>
      <c r="BW11" s="19" t="n">
        <f aca="false">BW7+Operations!BW41+Funding!BW16+Reserves!BW13+Reserves!BW16+Reserves!BW19+Reserves!BW23+Reserves!BW27+Reserves!BW30+Waterfall!BW51</f>
        <v>758.115068735388</v>
      </c>
      <c r="BX11" s="19" t="n">
        <f aca="false">BX7+Operations!BX41+Funding!BX16+Reserves!BX13+Reserves!BX16+Reserves!BX19+Reserves!BX23+Reserves!BX27+Reserves!BX30+Waterfall!BX51</f>
        <v>735.656945578753</v>
      </c>
      <c r="BY11" s="19" t="n">
        <f aca="false">BY7+Operations!BY41+Funding!BY16+Reserves!BY13+Reserves!BY16+Reserves!BY19+Reserves!BY23+Reserves!BY27+Reserves!BY30+Waterfall!BY51</f>
        <v>711.860368638759</v>
      </c>
      <c r="BZ11" s="19" t="n">
        <f aca="false">BZ7+Operations!BZ41+Funding!BZ16+Reserves!BZ13+Reserves!BZ16+Reserves!BZ19+Reserves!BZ23+Reserves!BZ27+Reserves!BZ30+Waterfall!BZ51</f>
        <v>684.98853498906</v>
      </c>
      <c r="CA11" s="19" t="n">
        <f aca="false">CA7+Operations!CA41+Funding!CA16+Reserves!CA13+Reserves!CA16+Reserves!CA19+Reserves!CA23+Reserves!CA27+Reserves!CA30+Waterfall!CA51</f>
        <v>673.756780674879</v>
      </c>
      <c r="CB11" s="19" t="n">
        <f aca="false">CB7+Operations!CB41+Funding!CB16+Reserves!CB13+Reserves!CB16+Reserves!CB19+Reserves!CB23+Reserves!CB27+Reserves!CB30+Waterfall!CB51</f>
        <v>664.21618268213</v>
      </c>
      <c r="CC11" s="19" t="n">
        <f aca="false">CC7+Operations!CC41+Funding!CC16+Reserves!CC13+Reserves!CC16+Reserves!CC19+Reserves!CC23+Reserves!CC27+Reserves!CC30+Waterfall!CC51</f>
        <v>652.982085945139</v>
      </c>
      <c r="CD11" s="19" t="n">
        <f aca="false">CD7+Operations!CD41+Funding!CD16+Reserves!CD13+Reserves!CD16+Reserves!CD19+Reserves!CD23+Reserves!CD27+Reserves!CD30+Waterfall!CD51</f>
        <v>641.195300891317</v>
      </c>
      <c r="CE11" s="19" t="n">
        <f aca="false">CE7+Operations!CE41+Funding!CE16+Reserves!CE13+Reserves!CE16+Reserves!CE19+Reserves!CE23+Reserves!CE27+Reserves!CE30+Waterfall!CE51</f>
        <v>636.213839294099</v>
      </c>
      <c r="CF11" s="19" t="n">
        <f aca="false">CF7+Operations!CF41+Funding!CF16+Reserves!CF13+Reserves!CF16+Reserves!CF19+Reserves!CF23+Reserves!CF27+Reserves!CF30+Waterfall!CF51</f>
        <v>645.773163736928</v>
      </c>
      <c r="CG11" s="19" t="n">
        <f aca="false">CG7+Operations!CG41+Funding!CG16+Reserves!CG13+Reserves!CG16+Reserves!CG19+Reserves!CG23+Reserves!CG27+Reserves!CG30+Waterfall!CG51</f>
        <v>544.191531038155</v>
      </c>
      <c r="CH11" s="19" t="n">
        <f aca="false">CH7+Operations!CH41+Funding!CH16+Reserves!CH13+Reserves!CH16+Reserves!CH19+Reserves!CH23+Reserves!CH27+Reserves!CH30+Waterfall!CH51</f>
        <v>528.288186452811</v>
      </c>
      <c r="CI11" s="19" t="n">
        <f aca="false">CI7+Operations!CI41+Funding!CI16+Reserves!CI13+Reserves!CI16+Reserves!CI19+Reserves!CI23+Reserves!CI27+Reserves!CI30+Waterfall!CI51</f>
        <v>490.450223217517</v>
      </c>
      <c r="CJ11" s="19" t="n">
        <f aca="false">CJ7+Operations!CJ41+Funding!CJ16+Reserves!CJ13+Reserves!CJ16+Reserves!CJ19+Reserves!CJ23+Reserves!CJ27+Reserves!CJ30+Waterfall!CJ51</f>
        <v>466.884462942054</v>
      </c>
      <c r="CK11" s="19" t="n">
        <f aca="false">CK7+Operations!CK41+Funding!CK16+Reserves!CK13+Reserves!CK16+Reserves!CK19+Reserves!CK23+Reserves!CK27+Reserves!CK30+Waterfall!CK51</f>
        <v>406.996010268905</v>
      </c>
      <c r="CL11" s="19" t="n">
        <f aca="false">CL7+Operations!CL41+Funding!CL16+Reserves!CL13+Reserves!CL16+Reserves!CL19+Reserves!CL23+Reserves!CL27+Reserves!CL30+Waterfall!CL51</f>
        <v>383.776494804532</v>
      </c>
      <c r="CM11" s="19" t="n">
        <f aca="false">CM7+Operations!CM41+Funding!CM16+Reserves!CM13+Reserves!CM16+Reserves!CM19+Reserves!CM23+Reserves!CM27+Reserves!CM30+Waterfall!CM51</f>
        <v>379.798801794083</v>
      </c>
      <c r="CN11" s="19" t="n">
        <f aca="false">CN7+Operations!CN41+Funding!CN16+Reserves!CN13+Reserves!CN16+Reserves!CN19+Reserves!CN23+Reserves!CN27+Reserves!CN30+Waterfall!CN51</f>
        <v>375.892685543095</v>
      </c>
      <c r="CO11" s="19" t="n">
        <f aca="false">CO7+Operations!CO41+Funding!CO16+Reserves!CO13+Reserves!CO16+Reserves!CO19+Reserves!CO23+Reserves!CO27+Reserves!CO30+Waterfall!CO51</f>
        <v>371.92330384112</v>
      </c>
      <c r="CP11" s="19" t="n">
        <f aca="false">CP7+Operations!CP41+Funding!CP16+Reserves!CP13+Reserves!CP16+Reserves!CP19+Reserves!CP23+Reserves!CP27+Reserves!CP30+Waterfall!CP51</f>
        <v>368.149752082765</v>
      </c>
      <c r="CQ11" s="19" t="n">
        <f aca="false">CQ7+Operations!CQ41+Funding!CQ16+Reserves!CQ13+Reserves!CQ16+Reserves!CQ19+Reserves!CQ23+Reserves!CQ27+Reserves!CQ30+Waterfall!CQ51</f>
        <v>364.191663185346</v>
      </c>
      <c r="CR11" s="19" t="n">
        <f aca="false">CR7+Operations!CR41+Funding!CR16+Reserves!CR13+Reserves!CR16+Reserves!CR19+Reserves!CR23+Reserves!CR27+Reserves!CR30+Waterfall!CR51</f>
        <v>360.421947329483</v>
      </c>
      <c r="CS11" s="19" t="n">
        <f aca="false">CS7+Operations!CS41+Funding!CS16+Reserves!CS13+Reserves!CS16+Reserves!CS19+Reserves!CS23+Reserves!CS27+Reserves!CS30+Waterfall!CS51</f>
        <v>232.067848793982</v>
      </c>
      <c r="CT11" s="19" t="n">
        <f aca="false">CT7+Operations!CT41+Funding!CT16+Reserves!CT13+Reserves!CT16+Reserves!CT19+Reserves!CT23+Reserves!CT27+Reserves!CT30+Waterfall!CT51</f>
        <v>220.818219067717</v>
      </c>
      <c r="CU11" s="19" t="n">
        <f aca="false">CU7+Operations!CU41+Funding!CU16+Reserves!CU13+Reserves!CU16+Reserves!CU19+Reserves!CU23+Reserves!CU27+Reserves!CU30+Waterfall!CU51</f>
        <v>216.80342320012</v>
      </c>
      <c r="CV11" s="19" t="n">
        <f aca="false">CV7+Operations!CV41+Funding!CV16+Reserves!CV13+Reserves!CV16+Reserves!CV19+Reserves!CV23+Reserves!CV27+Reserves!CV30+Waterfall!CV51</f>
        <v>213.131970217161</v>
      </c>
      <c r="CW11" s="19" t="n">
        <f aca="false">CW7+Operations!CW41+Funding!CW16+Reserves!CW13+Reserves!CW16+Reserves!CW19+Reserves!CW23+Reserves!CW27+Reserves!CW30+Waterfall!CW51</f>
        <v>209.424946294631</v>
      </c>
      <c r="CX11" s="19" t="n">
        <f aca="false">CX7+Operations!CX41+Funding!CX16+Reserves!CX13+Reserves!CX16+Reserves!CX19+Reserves!CX23+Reserves!CX27+Reserves!CX30+Waterfall!CX51</f>
        <v>206.192929575209</v>
      </c>
      <c r="CY11" s="19" t="n">
        <f aca="false">CY7+Operations!CY41+Funding!CY16+Reserves!CY13+Reserves!CY16+Reserves!CY19+Reserves!CY23+Reserves!CY27+Reserves!CY30+Waterfall!CY51</f>
        <v>202.804242214258</v>
      </c>
      <c r="CZ11" s="19" t="n">
        <f aca="false">CZ7+Operations!CZ41+Funding!CZ16+Reserves!CZ13+Reserves!CZ16+Reserves!CZ19+Reserves!CZ23+Reserves!CZ27+Reserves!CZ30+Waterfall!CZ51</f>
        <v>199.890602796897</v>
      </c>
      <c r="DA11" s="19" t="n">
        <f aca="false">DA7+Operations!DA41+Funding!DA16+Reserves!DA13+Reserves!DA16+Reserves!DA19+Reserves!DA23+Reserves!DA27+Reserves!DA30+Waterfall!DA51</f>
        <v>144.999703349447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2143.86900544975</v>
      </c>
      <c r="Z12" s="19" t="n">
        <f aca="false">Debt!Z47+Debt!Z54+Debt!Z60+Debt!Z61+Debt!Z94+Debt!Z102+Funding!Z40+Operations!Z42+Waterfall!Z59+Reserves!Z27</f>
        <v>1873.57369986713</v>
      </c>
      <c r="AA12" s="19" t="n">
        <f aca="false">Debt!AA47+Debt!AA54+Debt!AA60+Debt!AA61+Debt!AA94+Debt!AA102+Funding!AA40+Operations!AA42+Waterfall!AA59+Reserves!AA27</f>
        <v>1904.73605238508</v>
      </c>
      <c r="AB12" s="19" t="n">
        <f aca="false">Debt!AB47+Debt!AB54+Debt!AB60+Debt!AB61+Debt!AB94+Debt!AB102+Funding!AB40+Operations!AB42+Waterfall!AB59+Reserves!AB27</f>
        <v>1936.76284463811</v>
      </c>
      <c r="AC12" s="19" t="n">
        <f aca="false">Debt!AC47+Debt!AC54+Debt!AC60+Debt!AC61+Debt!AC94+Debt!AC102+Funding!AC40+Operations!AC42+Waterfall!AC59+Reserves!AC27</f>
        <v>1970.69665367252</v>
      </c>
      <c r="AD12" s="19" t="n">
        <f aca="false">Debt!AD47+Debt!AD54+Debt!AD60+Debt!AD61+Debt!AD94+Debt!AD102+Funding!AD40+Operations!AD42+Waterfall!AD59+Reserves!AD27</f>
        <v>1985.30865833521</v>
      </c>
      <c r="AE12" s="19" t="n">
        <f aca="false">Debt!AE47+Debt!AE54+Debt!AE60+Debt!AE61+Debt!AE94+Debt!AE102+Funding!AE40+Operations!AE42+Waterfall!AE59+Reserves!AE27</f>
        <v>2024.22059675069</v>
      </c>
      <c r="AF12" s="19" t="n">
        <f aca="false">Debt!AF47+Debt!AF54+Debt!AF60+Debt!AF61+Debt!AF94+Debt!AF102+Funding!AF40+Operations!AF42+Waterfall!AF59+Reserves!AF27</f>
        <v>2064.53130907151</v>
      </c>
      <c r="AG12" s="19" t="n">
        <f aca="false">Debt!AG47+Debt!AG54+Debt!AG60+Debt!AG61+Debt!AG94+Debt!AG102+Funding!AG40+Operations!AG42+Waterfall!AG59+Reserves!AG27</f>
        <v>2107.18061293279</v>
      </c>
      <c r="AH12" s="19" t="n">
        <f aca="false">Debt!AH47+Debt!AH54+Debt!AH60+Debt!AH61+Debt!AH94+Debt!AH102+Funding!AH40+Operations!AH42+Waterfall!AH59+Reserves!AH27</f>
        <v>2151.06395992941</v>
      </c>
      <c r="AI12" s="19" t="n">
        <f aca="false">Debt!AI47+Debt!AI54+Debt!AI60+Debt!AI61+Debt!AI94+Debt!AI102+Funding!AI40+Operations!AI42+Waterfall!AI59+Reserves!AI27</f>
        <v>1181.37910999506</v>
      </c>
      <c r="AJ12" s="19" t="n">
        <f aca="false">Debt!AJ47+Debt!AJ54+Debt!AJ60+Debt!AJ61+Debt!AJ94+Debt!AJ102+Funding!AJ40+Operations!AJ42+Waterfall!AJ59+Reserves!AJ27</f>
        <v>1163.68707525619</v>
      </c>
      <c r="AK12" s="19" t="n">
        <f aca="false">Debt!AK47+Debt!AK54+Debt!AK60+Debt!AK61+Debt!AK94+Debt!AK102+Funding!AK40+Operations!AK42+Waterfall!AK59+Reserves!AK27</f>
        <v>1156.86671644294</v>
      </c>
      <c r="AL12" s="19" t="n">
        <f aca="false">Debt!AL47+Debt!AL54+Debt!AL60+Debt!AL61+Debt!AL94+Debt!AL102+Funding!AL40+Operations!AL42+Waterfall!AL59+Reserves!AL27</f>
        <v>1150.22876540215</v>
      </c>
      <c r="AM12" s="19" t="n">
        <f aca="false">Debt!AM47+Debt!AM54+Debt!AM60+Debt!AM61+Debt!AM94+Debt!AM102+Funding!AM40+Operations!AM42+Waterfall!AM59+Reserves!AM27</f>
        <v>1142.05278438302</v>
      </c>
      <c r="AN12" s="19" t="n">
        <f aca="false">Debt!AN47+Debt!AN54+Debt!AN60+Debt!AN61+Debt!AN94+Debt!AN102+Funding!AN40+Operations!AN42+Waterfall!AN59+Reserves!AN27</f>
        <v>1134.18628407832</v>
      </c>
      <c r="AO12" s="19" t="n">
        <f aca="false">Debt!AO47+Debt!AO54+Debt!AO60+Debt!AO61+Debt!AO94+Debt!AO102+Funding!AO40+Operations!AO42+Waterfall!AO59+Reserves!AO27</f>
        <v>1123.35797902204</v>
      </c>
      <c r="AP12" s="19" t="n">
        <f aca="false">Debt!AP47+Debt!AP54+Debt!AP60+Debt!AP61+Debt!AP94+Debt!AP102+Funding!AP40+Operations!AP42+Waterfall!AP59+Reserves!AP27</f>
        <v>1111.95613809133</v>
      </c>
      <c r="AQ12" s="19" t="n">
        <f aca="false">Debt!AQ47+Debt!AQ54+Debt!AQ60+Debt!AQ61+Debt!AQ94+Debt!AQ102+Funding!AQ40+Operations!AQ42+Waterfall!AQ59+Reserves!AQ27</f>
        <v>1104.8257121448</v>
      </c>
      <c r="AR12" s="19" t="n">
        <f aca="false">Debt!AR47+Debt!AR54+Debt!AR60+Debt!AR61+Debt!AR94+Debt!AR102+Funding!AR40+Operations!AR42+Waterfall!AR59+Reserves!AR27</f>
        <v>1098.12964204956</v>
      </c>
      <c r="AS12" s="19" t="n">
        <f aca="false">Debt!AS47+Debt!AS54+Debt!AS60+Debt!AS61+Debt!AS94+Debt!AS102+Funding!AS40+Operations!AS42+Waterfall!AS59+Reserves!AS27</f>
        <v>1091.10595525494</v>
      </c>
      <c r="AT12" s="19" t="n">
        <f aca="false">Debt!AT47+Debt!AT54+Debt!AT60+Debt!AT61+Debt!AT94+Debt!AT102+Funding!AT40+Operations!AT42+Waterfall!AT59+Reserves!AT27</f>
        <v>1083.88660369172</v>
      </c>
      <c r="AU12" s="19" t="n">
        <f aca="false">Debt!AU47+Debt!AU54+Debt!AU60+Debt!AU61+Debt!AU94+Debt!AU102+Funding!AU40+Operations!AU42+Waterfall!AU59+Reserves!AU27</f>
        <v>1075.72962008889</v>
      </c>
      <c r="AV12" s="19" t="n">
        <f aca="false">Debt!AV47+Debt!AV54+Debt!AV60+Debt!AV61+Debt!AV94+Debt!AV102+Funding!AV40+Operations!AV42+Waterfall!AV59+Reserves!AV27</f>
        <v>1067.72398436304</v>
      </c>
      <c r="AW12" s="19" t="n">
        <f aca="false">Debt!AW47+Debt!AW54+Debt!AW60+Debt!AW61+Debt!AW94+Debt!AW102+Funding!AW40+Operations!AW42+Waterfall!AW59+Reserves!AW27</f>
        <v>1054.3668724752</v>
      </c>
      <c r="AX12" s="19" t="n">
        <f aca="false">Debt!AX47+Debt!AX54+Debt!AX60+Debt!AX61+Debt!AX94+Debt!AX102+Funding!AX40+Operations!AX42+Waterfall!AX59+Reserves!AX27</f>
        <v>1053.57808204843</v>
      </c>
      <c r="AY12" s="19" t="n">
        <f aca="false">Debt!AY47+Debt!AY54+Debt!AY60+Debt!AY61+Debt!AY94+Debt!AY102+Funding!AY40+Operations!AY42+Waterfall!AY59+Reserves!AY27</f>
        <v>1053.39218409358</v>
      </c>
      <c r="AZ12" s="19" t="n">
        <f aca="false">Debt!AZ47+Debt!AZ54+Debt!AZ60+Debt!AZ61+Debt!AZ94+Debt!AZ102+Funding!AZ40+Operations!AZ42+Waterfall!AZ59+Reserves!AZ27</f>
        <v>1053.11776625891</v>
      </c>
      <c r="BA12" s="19" t="n">
        <f aca="false">Debt!BA47+Debt!BA54+Debt!BA60+Debt!BA61+Debt!BA94+Debt!BA102+Funding!BA40+Operations!BA42+Waterfall!BA59+Reserves!BA27</f>
        <v>1053.03339601716</v>
      </c>
      <c r="BB12" s="19" t="n">
        <f aca="false">Debt!BB47+Debt!BB54+Debt!BB60+Debt!BB61+Debt!BB94+Debt!BB102+Funding!BB40+Operations!BB42+Waterfall!BB59+Reserves!BB27</f>
        <v>1053.10999692288</v>
      </c>
      <c r="BC12" s="19" t="n">
        <f aca="false">Debt!BC47+Debt!BC54+Debt!BC60+Debt!BC61+Debt!BC94+Debt!BC102+Funding!BC40+Operations!BC42+Waterfall!BC59+Reserves!BC27</f>
        <v>1045.04253312201</v>
      </c>
      <c r="BD12" s="19" t="n">
        <f aca="false">Debt!BD47+Debt!BD54+Debt!BD60+Debt!BD61+Debt!BD94+Debt!BD102+Funding!BD40+Operations!BD42+Waterfall!BD59+Reserves!BD27</f>
        <v>1036.65816404442</v>
      </c>
      <c r="BE12" s="19" t="n">
        <f aca="false">Debt!BE47+Debt!BE54+Debt!BE60+Debt!BE61+Debt!BE94+Debt!BE102+Funding!BE40+Operations!BE42+Waterfall!BE59+Reserves!BE27</f>
        <v>1024.10109306671</v>
      </c>
      <c r="BF12" s="19" t="n">
        <f aca="false">Debt!BF47+Debt!BF54+Debt!BF60+Debt!BF61+Debt!BF94+Debt!BF102+Funding!BF40+Operations!BF42+Waterfall!BF59+Reserves!BF27</f>
        <v>1012.73056651798</v>
      </c>
      <c r="BG12" s="19" t="n">
        <f aca="false">Debt!BG47+Debt!BG54+Debt!BG60+Debt!BG61+Debt!BG94+Debt!BG102+Funding!BG40+Operations!BG42+Waterfall!BG59+Reserves!BG27</f>
        <v>1002.49720930001</v>
      </c>
      <c r="BH12" s="19" t="n">
        <f aca="false">Debt!BH47+Debt!BH54+Debt!BH60+Debt!BH61+Debt!BH94+Debt!BH102+Funding!BH40+Operations!BH42+Waterfall!BH59+Reserves!BH27</f>
        <v>991.891010471607</v>
      </c>
      <c r="BI12" s="19" t="n">
        <f aca="false">Debt!BI47+Debt!BI54+Debt!BI60+Debt!BI61+Debt!BI94+Debt!BI102+Funding!BI40+Operations!BI42+Waterfall!BI59+Reserves!BI27</f>
        <v>979.968160172841</v>
      </c>
      <c r="BJ12" s="19" t="n">
        <f aca="false">Debt!BJ47+Debt!BJ54+Debt!BJ60+Debt!BJ61+Debt!BJ94+Debt!BJ102+Funding!BJ40+Operations!BJ42+Waterfall!BJ59+Reserves!BJ27</f>
        <v>967.771445811015</v>
      </c>
      <c r="BK12" s="19" t="n">
        <f aca="false">Debt!BK47+Debt!BK54+Debt!BK60+Debt!BK61+Debt!BK94+Debt!BK102+Funding!BK40+Operations!BK42+Waterfall!BK59+Reserves!BK27</f>
        <v>954.037113380952</v>
      </c>
      <c r="BL12" s="19" t="n">
        <f aca="false">Debt!BL47+Debt!BL54+Debt!BL60+Debt!BL61+Debt!BL94+Debt!BL102+Funding!BL40+Operations!BL42+Waterfall!BL59+Reserves!BL27</f>
        <v>939.995791202449</v>
      </c>
      <c r="BM12" s="19" t="n">
        <f aca="false">Debt!BM47+Debt!BM54+Debt!BM60+Debt!BM61+Debt!BM94+Debt!BM102+Funding!BM40+Operations!BM42+Waterfall!BM59+Reserves!BM27</f>
        <v>924.318217908663</v>
      </c>
      <c r="BN12" s="19" t="n">
        <f aca="false">Debt!BN47+Debt!BN54+Debt!BN60+Debt!BN61+Debt!BN94+Debt!BN102+Funding!BN40+Operations!BN42+Waterfall!BN59+Reserves!BN27</f>
        <v>908.29827437998</v>
      </c>
      <c r="BO12" s="19" t="n">
        <f aca="false">Debt!BO47+Debt!BO54+Debt!BO60+Debt!BO61+Debt!BO94+Debt!BO102+Funding!BO40+Operations!BO42+Waterfall!BO59+Reserves!BO27</f>
        <v>901.976157363037</v>
      </c>
      <c r="BP12" s="19" t="n">
        <f aca="false">Debt!BP47+Debt!BP54+Debt!BP60+Debt!BP61+Debt!BP94+Debt!BP102+Funding!BP40+Operations!BP42+Waterfall!BP59+Reserves!BP27</f>
        <v>895.316145733191</v>
      </c>
      <c r="BQ12" s="19" t="n">
        <f aca="false">Debt!BQ47+Debt!BQ54+Debt!BQ60+Debt!BQ61+Debt!BQ94+Debt!BQ102+Funding!BQ40+Operations!BQ42+Waterfall!BQ59+Reserves!BQ27</f>
        <v>887.177823810344</v>
      </c>
      <c r="BR12" s="19" t="n">
        <f aca="false">Debt!BR47+Debt!BR54+Debt!BR60+Debt!BR61+Debt!BR94+Debt!BR102+Funding!BR40+Operations!BR42+Waterfall!BR59+Reserves!BR27</f>
        <v>879.155923247823</v>
      </c>
      <c r="BS12" s="19" t="n">
        <f aca="false">Debt!BS47+Debt!BS54+Debt!BS60+Debt!BS61+Debt!BS94+Debt!BS102+Funding!BS40+Operations!BS42+Waterfall!BS59+Reserves!BS27</f>
        <v>869.459856800205</v>
      </c>
      <c r="BT12" s="19" t="n">
        <f aca="false">Debt!BT47+Debt!BT54+Debt!BT60+Debt!BT61+Debt!BT94+Debt!BT102+Funding!BT40+Operations!BT42+Waterfall!BT59+Reserves!BT27</f>
        <v>859.862863340001</v>
      </c>
      <c r="BU12" s="19" t="n">
        <f aca="false">Debt!BU47+Debt!BU54+Debt!BU60+Debt!BU61+Debt!BU94+Debt!BU102+Funding!BU40+Operations!BU42+Waterfall!BU59+Reserves!BU27</f>
        <v>827.644193755085</v>
      </c>
      <c r="BV12" s="19" t="n">
        <f aca="false">Debt!BV47+Debt!BV54+Debt!BV60+Debt!BV61+Debt!BV94+Debt!BV102+Funding!BV40+Operations!BV42+Waterfall!BV59+Reserves!BV27</f>
        <v>795.096138540892</v>
      </c>
      <c r="BW12" s="19" t="n">
        <f aca="false">Debt!BW47+Debt!BW54+Debt!BW60+Debt!BW61+Debt!BW94+Debt!BW102+Funding!BW40+Operations!BW42+Waterfall!BW59+Reserves!BW27</f>
        <v>768.075720334176</v>
      </c>
      <c r="BX12" s="19" t="n">
        <f aca="false">Debt!BX47+Debt!BX54+Debt!BX60+Debt!BX61+Debt!BX94+Debt!BX102+Funding!BX40+Operations!BX42+Waterfall!BX59+Reserves!BX27</f>
        <v>742.376629254618</v>
      </c>
      <c r="BY12" s="19" t="n">
        <f aca="false">Debt!BY47+Debt!BY54+Debt!BY60+Debt!BY61+Debt!BY94+Debt!BY102+Funding!BY40+Operations!BY42+Waterfall!BY59+Reserves!BY27</f>
        <v>714.70034025824</v>
      </c>
      <c r="BZ12" s="19" t="n">
        <f aca="false">Debt!BZ47+Debt!BZ54+Debt!BZ60+Debt!BZ61+Debt!BZ94+Debt!BZ102+Funding!BZ40+Operations!BZ42+Waterfall!BZ59+Reserves!BZ27</f>
        <v>686.839219538446</v>
      </c>
      <c r="CA12" s="19" t="n">
        <f aca="false">Debt!CA47+Debt!CA54+Debt!CA60+Debt!CA61+Debt!CA94+Debt!CA102+Funding!CA40+Operations!CA42+Waterfall!CA59+Reserves!CA27</f>
        <v>664.089671439404</v>
      </c>
      <c r="CB12" s="19" t="n">
        <f aca="false">Debt!CB47+Debt!CB54+Debt!CB60+Debt!CB61+Debt!CB94+Debt!CB102+Funding!CB40+Operations!CB42+Waterfall!CB59+Reserves!CB27</f>
        <v>641.257727477784</v>
      </c>
      <c r="CC12" s="19" t="n">
        <f aca="false">Debt!CC47+Debt!CC54+Debt!CC60+Debt!CC61+Debt!CC94+Debt!CC102+Funding!CC40+Operations!CC42+Waterfall!CC59+Reserves!CC27</f>
        <v>616.179481643358</v>
      </c>
      <c r="CD12" s="19" t="n">
        <f aca="false">Debt!CD47+Debt!CD54+Debt!CD60+Debt!CD61+Debt!CD94+Debt!CD102+Funding!CD40+Operations!CD42+Waterfall!CD59+Reserves!CD27</f>
        <v>590.990524937214</v>
      </c>
      <c r="CE12" s="19" t="n">
        <f aca="false">Debt!CE47+Debt!CE54+Debt!CE60+Debt!CE61+Debt!CE94+Debt!CE102+Funding!CE40+Operations!CE42+Waterfall!CE59+Reserves!CE27</f>
        <v>567.010149874894</v>
      </c>
      <c r="CF12" s="19" t="n">
        <f aca="false">Debt!CF47+Debt!CF54+Debt!CF60+Debt!CF61+Debt!CF94+Debt!CF102+Funding!CF40+Operations!CF42+Waterfall!CF59+Reserves!CF27</f>
        <v>542.721959543752</v>
      </c>
      <c r="CG12" s="19" t="n">
        <f aca="false">Debt!CG47+Debt!CG54+Debt!CG60+Debt!CG61+Debt!CG94+Debt!CG102+Funding!CG40+Operations!CG42+Waterfall!CG59+Reserves!CG27</f>
        <v>495.569295739663</v>
      </c>
      <c r="CH12" s="19" t="n">
        <f aca="false">Debt!CH47+Debt!CH54+Debt!CH60+Debt!CH61+Debt!CH94+Debt!CH102+Funding!CH40+Operations!CH42+Waterfall!CH59+Reserves!CH27</f>
        <v>461.229855267578</v>
      </c>
      <c r="CI12" s="19" t="n">
        <f aca="false">Debt!CI47+Debt!CI54+Debt!CI60+Debt!CI61+Debt!CI94+Debt!CI102+Funding!CI40+Operations!CI42+Waterfall!CI59+Reserves!CI27</f>
        <v>424.208661579509</v>
      </c>
      <c r="CJ12" s="19" t="n">
        <f aca="false">Debt!CJ47+Debt!CJ54+Debt!CJ60+Debt!CJ61+Debt!CJ94+Debt!CJ102+Funding!CJ40+Operations!CJ42+Waterfall!CJ59+Reserves!CJ27</f>
        <v>407.010944026575</v>
      </c>
      <c r="CK12" s="19" t="n">
        <f aca="false">Debt!CK47+Debt!CK54+Debt!CK60+Debt!CK61+Debt!CK94+Debt!CK102+Funding!CK40+Operations!CK42+Waterfall!CK59+Reserves!CK27</f>
        <v>391.583049949083</v>
      </c>
      <c r="CL12" s="19" t="n">
        <f aca="false">Debt!CL47+Debt!CL54+Debt!CL60+Debt!CL61+Debt!CL94+Debt!CL102+Funding!CL40+Operations!CL42+Waterfall!CL59+Reserves!CL27</f>
        <v>378.38516221675</v>
      </c>
      <c r="CM12" s="19" t="n">
        <f aca="false">Debt!CM47+Debt!CM54+Debt!CM60+Debt!CM61+Debt!CM94+Debt!CM102+Funding!CM40+Operations!CM42+Waterfall!CM59+Reserves!CM27</f>
        <v>368.334455729186</v>
      </c>
      <c r="CN12" s="19" t="n">
        <f aca="false">Debt!CN47+Debt!CN54+Debt!CN60+Debt!CN61+Debt!CN94+Debt!CN102+Funding!CN40+Operations!CN42+Waterfall!CN59+Reserves!CN27</f>
        <v>358.208382488183</v>
      </c>
      <c r="CO12" s="19" t="n">
        <f aca="false">Debt!CO47+Debt!CO54+Debt!CO60+Debt!CO61+Debt!CO94+Debt!CO102+Funding!CO40+Operations!CO42+Waterfall!CO59+Reserves!CO27</f>
        <v>347.206268705103</v>
      </c>
      <c r="CP12" s="19" t="n">
        <f aca="false">Debt!CP47+Debt!CP54+Debt!CP60+Debt!CP61+Debt!CP94+Debt!CP102+Funding!CP40+Operations!CP42+Waterfall!CP59+Reserves!CP27</f>
        <v>326.357575186159</v>
      </c>
      <c r="CQ12" s="19" t="n">
        <f aca="false">Debt!CQ47+Debt!CQ54+Debt!CQ60+Debt!CQ61+Debt!CQ94+Debt!CQ102+Funding!CQ40+Operations!CQ42+Waterfall!CQ59+Reserves!CQ27</f>
        <v>303.859752523674</v>
      </c>
      <c r="CR12" s="19" t="n">
        <f aca="false">Debt!CR47+Debt!CR54+Debt!CR60+Debt!CR61+Debt!CR94+Debt!CR102+Funding!CR40+Operations!CR42+Waterfall!CR59+Reserves!CR27</f>
        <v>281.33238670737</v>
      </c>
      <c r="CS12" s="19" t="n">
        <f aca="false">Debt!CS47+Debt!CS54+Debt!CS60+Debt!CS61+Debt!CS94+Debt!CS102+Funding!CS40+Operations!CS42+Waterfall!CS59+Reserves!CS27</f>
        <v>242.894606812265</v>
      </c>
      <c r="CT12" s="19" t="n">
        <f aca="false">Debt!CT47+Debt!CT54+Debt!CT60+Debt!CT61+Debt!CT94+Debt!CT102+Funding!CT40+Operations!CT42+Waterfall!CT59+Reserves!CT27</f>
        <v>215.522201736587</v>
      </c>
      <c r="CU12" s="19" t="n">
        <f aca="false">Debt!CU47+Debt!CU54+Debt!CU60+Debt!CU61+Debt!CU94+Debt!CU102+Funding!CU40+Operations!CU42+Waterfall!CU59+Reserves!CU27</f>
        <v>189.143567512985</v>
      </c>
      <c r="CV12" s="19" t="n">
        <f aca="false">Debt!CV47+Debt!CV54+Debt!CV60+Debt!CV61+Debt!CV94+Debt!CV102+Funding!CV40+Operations!CV42+Waterfall!CV59+Reserves!CV27</f>
        <v>162.645364903892</v>
      </c>
      <c r="CW12" s="19" t="n">
        <f aca="false">Debt!CW47+Debt!CW54+Debt!CW60+Debt!CW61+Debt!CW94+Debt!CW102+Funding!CW40+Operations!CW42+Waterfall!CW59+Reserves!CW27</f>
        <v>134.420128343476</v>
      </c>
      <c r="CX12" s="19" t="n">
        <f aca="false">Debt!CX47+Debt!CX54+Debt!CX60+Debt!CX61+Debt!CX94+Debt!CX102+Funding!CX40+Operations!CX42+Waterfall!CX59+Reserves!CX27</f>
        <v>106.259044666184</v>
      </c>
      <c r="CY12" s="19" t="n">
        <f aca="false">Debt!CY47+Debt!CY54+Debt!CY60+Debt!CY61+Debt!CY94+Debt!CY102+Funding!CY40+Operations!CY42+Waterfall!CY59+Reserves!CY27</f>
        <v>76.0988477713984</v>
      </c>
      <c r="CZ12" s="19" t="n">
        <f aca="false">Debt!CZ47+Debt!CZ54+Debt!CZ60+Debt!CZ61+Debt!CZ94+Debt!CZ102+Funding!CZ40+Operations!CZ42+Waterfall!CZ59+Reserves!CZ27</f>
        <v>46.0023828284626</v>
      </c>
      <c r="DA12" s="19" t="n">
        <f aca="false">Debt!DA47+Debt!DA54+Debt!DA60+Debt!DA61+Debt!DA94+Debt!DA102+Funding!DA40+Operations!DA42+Waterfall!DA59+Reserves!DA27</f>
        <v>6.77182870610133</v>
      </c>
      <c r="DB12" s="19" t="n">
        <f aca="false">Debt!DB47+Debt!DB54+Debt!DB60+Debt!DB61+Debt!DB94+Debt!DB102+Funding!DB40+Operations!DB42+Waterfall!DB59+Reserves!DB27</f>
        <v>3.35447225552343E-011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257.868724566501</v>
      </c>
      <c r="AJ13" s="19" t="n">
        <f aca="false">AI13+Funding!AJ37+Debt!AJ78+Inputs!$F$171*Time!AJ35</f>
        <v>257.868724566501</v>
      </c>
      <c r="AK13" s="19" t="n">
        <f aca="false">AJ13+Funding!AK37+Debt!AK78+Inputs!$F$171*Time!AK35</f>
        <v>257.868724566501</v>
      </c>
      <c r="AL13" s="19" t="n">
        <f aca="false">AK13+Funding!AL37+Debt!AL78+Inputs!$F$171*Time!AL35</f>
        <v>257.868724566501</v>
      </c>
      <c r="AM13" s="19" t="n">
        <f aca="false">AL13+Funding!AM37+Debt!AM78+Inputs!$F$171*Time!AM35</f>
        <v>257.868724566501</v>
      </c>
      <c r="AN13" s="19" t="n">
        <f aca="false">AM13+Funding!AN37+Debt!AN78+Inputs!$F$171*Time!AN35</f>
        <v>257.868724566501</v>
      </c>
      <c r="AO13" s="19" t="n">
        <f aca="false">AN13+Funding!AO37+Debt!AO78+Inputs!$F$171*Time!AO35</f>
        <v>257.868724566501</v>
      </c>
      <c r="AP13" s="19" t="n">
        <f aca="false">AO13+Funding!AP37+Debt!AP78+Inputs!$F$171*Time!AP35</f>
        <v>257.868724566501</v>
      </c>
      <c r="AQ13" s="19" t="n">
        <f aca="false">AP13+Funding!AQ37+Debt!AQ78+Inputs!$F$171*Time!AQ35</f>
        <v>257.868724566501</v>
      </c>
      <c r="AR13" s="19" t="n">
        <f aca="false">AQ13+Funding!AR37+Debt!AR78+Inputs!$F$171*Time!AR35</f>
        <v>257.868724566501</v>
      </c>
      <c r="AS13" s="19" t="n">
        <f aca="false">AR13+Funding!AS37+Debt!AS78+Inputs!$F$171*Time!AS35</f>
        <v>257.868724566501</v>
      </c>
      <c r="AT13" s="19" t="n">
        <f aca="false">AS13+Funding!AT37+Debt!AT78+Inputs!$F$171*Time!AT35</f>
        <v>257.868724566501</v>
      </c>
      <c r="AU13" s="19" t="n">
        <f aca="false">AT13+Funding!AU37+Debt!AU78+Inputs!$F$171*Time!AU35</f>
        <v>257.868724566501</v>
      </c>
      <c r="AV13" s="19" t="n">
        <f aca="false">AU13+Funding!AV37+Debt!AV78+Inputs!$F$171*Time!AV35</f>
        <v>257.868724566501</v>
      </c>
      <c r="AW13" s="19" t="n">
        <f aca="false">AV13+Funding!AW37+Debt!AW78+Inputs!$F$171*Time!AW35</f>
        <v>257.868724566501</v>
      </c>
      <c r="AX13" s="19" t="n">
        <f aca="false">AW13+Funding!AX37+Debt!AX78+Inputs!$F$171*Time!AX35</f>
        <v>257.868724566501</v>
      </c>
      <c r="AY13" s="19" t="n">
        <f aca="false">AX13+Funding!AY37+Debt!AY78+Inputs!$F$171*Time!AY35</f>
        <v>257.868724566501</v>
      </c>
      <c r="AZ13" s="19" t="n">
        <f aca="false">AY13+Funding!AZ37+Debt!AZ78+Inputs!$F$171*Time!AZ35</f>
        <v>257.868724566501</v>
      </c>
      <c r="BA13" s="19" t="n">
        <f aca="false">AZ13+Funding!BA37+Debt!BA78+Inputs!$F$171*Time!BA35</f>
        <v>257.868724566501</v>
      </c>
      <c r="BB13" s="19" t="n">
        <f aca="false">BA13+Funding!BB37+Debt!BB78+Inputs!$F$171*Time!BB35</f>
        <v>257.868724566501</v>
      </c>
      <c r="BC13" s="19" t="n">
        <f aca="false">BB13+Funding!BC37+Debt!BC78+Inputs!$F$171*Time!BC35</f>
        <v>257.868724566501</v>
      </c>
      <c r="BD13" s="19" t="n">
        <f aca="false">BC13+Funding!BD37+Debt!BD78+Inputs!$F$171*Time!BD35</f>
        <v>257.868724566501</v>
      </c>
      <c r="BE13" s="19" t="n">
        <f aca="false">BD13+Funding!BE37+Debt!BE78+Inputs!$F$171*Time!BE35</f>
        <v>257.868724566501</v>
      </c>
      <c r="BF13" s="19" t="n">
        <f aca="false">BE13+Funding!BF37+Debt!BF78+Inputs!$F$171*Time!BF35</f>
        <v>257.868724566501</v>
      </c>
      <c r="BG13" s="19" t="n">
        <f aca="false">BF13+Funding!BG37+Debt!BG78+Inputs!$F$171*Time!BG35</f>
        <v>257.868724566501</v>
      </c>
      <c r="BH13" s="19" t="n">
        <f aca="false">BG13+Funding!BH37+Debt!BH78+Inputs!$F$171*Time!BH35</f>
        <v>257.868724566501</v>
      </c>
      <c r="BI13" s="19" t="n">
        <f aca="false">BH13+Funding!BI37+Debt!BI78+Inputs!$F$171*Time!BI35</f>
        <v>257.868724566501</v>
      </c>
      <c r="BJ13" s="19" t="n">
        <f aca="false">BI13+Funding!BJ37+Debt!BJ78+Inputs!$F$171*Time!BJ35</f>
        <v>257.868724566501</v>
      </c>
      <c r="BK13" s="19" t="n">
        <f aca="false">BJ13+Funding!BK37+Debt!BK78+Inputs!$F$171*Time!BK35</f>
        <v>257.868724566501</v>
      </c>
      <c r="BL13" s="19" t="n">
        <f aca="false">BK13+Funding!BL37+Debt!BL78+Inputs!$F$171*Time!BL35</f>
        <v>257.868724566501</v>
      </c>
      <c r="BM13" s="19" t="n">
        <f aca="false">BL13+Funding!BM37+Debt!BM78+Inputs!$F$171*Time!BM35</f>
        <v>257.868724566501</v>
      </c>
      <c r="BN13" s="19" t="n">
        <f aca="false">BM13+Funding!BN37+Debt!BN78+Inputs!$F$171*Time!BN35</f>
        <v>257.868724566501</v>
      </c>
      <c r="BO13" s="19" t="n">
        <f aca="false">BN13+Funding!BO37+Debt!BO78+Inputs!$F$171*Time!BO35</f>
        <v>257.868724566501</v>
      </c>
      <c r="BP13" s="19" t="n">
        <f aca="false">BO13+Funding!BP37+Debt!BP78+Inputs!$F$171*Time!BP35</f>
        <v>257.868724566501</v>
      </c>
      <c r="BQ13" s="19" t="n">
        <f aca="false">BP13+Funding!BQ37+Debt!BQ78+Inputs!$F$171*Time!BQ35</f>
        <v>257.868724566501</v>
      </c>
      <c r="BR13" s="19" t="n">
        <f aca="false">BQ13+Funding!BR37+Debt!BR78+Inputs!$F$171*Time!BR35</f>
        <v>257.868724566501</v>
      </c>
      <c r="BS13" s="19" t="n">
        <f aca="false">BR13+Funding!BS37+Debt!BS78+Inputs!$F$171*Time!BS35</f>
        <v>257.868724566501</v>
      </c>
      <c r="BT13" s="19" t="n">
        <f aca="false">BS13+Funding!BT37+Debt!BT78+Inputs!$F$171*Time!BT35</f>
        <v>257.868724566501</v>
      </c>
      <c r="BU13" s="19" t="n">
        <f aca="false">BT13+Funding!BU37+Debt!BU78+Inputs!$F$171*Time!BU35</f>
        <v>257.868724566501</v>
      </c>
      <c r="BV13" s="19" t="n">
        <f aca="false">BU13+Funding!BV37+Debt!BV78+Inputs!$F$171*Time!BV35</f>
        <v>257.868724566501</v>
      </c>
      <c r="BW13" s="19" t="n">
        <f aca="false">BV13+Funding!BW37+Debt!BW78+Inputs!$F$171*Time!BW35</f>
        <v>257.868724566501</v>
      </c>
      <c r="BX13" s="19" t="n">
        <f aca="false">BW13+Funding!BX37+Debt!BX78+Inputs!$F$171*Time!BX35</f>
        <v>257.868724566501</v>
      </c>
      <c r="BY13" s="19" t="n">
        <f aca="false">BX13+Funding!BY37+Debt!BY78+Inputs!$F$171*Time!BY35</f>
        <v>257.868724566501</v>
      </c>
      <c r="BZ13" s="19" t="n">
        <f aca="false">BY13+Funding!BZ37+Debt!BZ78+Inputs!$F$171*Time!BZ35</f>
        <v>257.868724566501</v>
      </c>
      <c r="CA13" s="19" t="n">
        <f aca="false">BZ13+Funding!CA37+Debt!CA78+Inputs!$F$171*Time!CA35</f>
        <v>257.868724566501</v>
      </c>
      <c r="CB13" s="19" t="n">
        <f aca="false">CA13+Funding!CB37+Debt!CB78+Inputs!$F$171*Time!CB35</f>
        <v>257.868724566501</v>
      </c>
      <c r="CC13" s="19" t="n">
        <f aca="false">CB13+Funding!CC37+Debt!CC78+Inputs!$F$171*Time!CC35</f>
        <v>257.868724566501</v>
      </c>
      <c r="CD13" s="19" t="n">
        <f aca="false">CC13+Funding!CD37+Debt!CD78+Inputs!$F$171*Time!CD35</f>
        <v>257.868724566501</v>
      </c>
      <c r="CE13" s="19" t="n">
        <f aca="false">CD13+Funding!CE37+Debt!CE78+Inputs!$F$171*Time!CE35</f>
        <v>257.868724566501</v>
      </c>
      <c r="CF13" s="19" t="n">
        <f aca="false">CE13+Funding!CF37+Debt!CF78+Inputs!$F$171*Time!CF35</f>
        <v>257.868724566501</v>
      </c>
      <c r="CG13" s="19" t="n">
        <f aca="false">CF13+Funding!CG37+Debt!CG78+Inputs!$F$171*Time!CG35</f>
        <v>257.868724566501</v>
      </c>
      <c r="CH13" s="19" t="n">
        <f aca="false">CG13+Funding!CH37+Debt!CH78+Inputs!$F$171*Time!CH35</f>
        <v>257.868724566501</v>
      </c>
      <c r="CI13" s="19" t="n">
        <f aca="false">CH13+Funding!CI37+Debt!CI78+Inputs!$F$171*Time!CI35</f>
        <v>257.868724566501</v>
      </c>
      <c r="CJ13" s="19" t="n">
        <f aca="false">CI13+Funding!CJ37+Debt!CJ78+Inputs!$F$171*Time!CJ35</f>
        <v>257.868724566501</v>
      </c>
      <c r="CK13" s="19" t="n">
        <f aca="false">CJ13+Funding!CK37+Debt!CK78+Inputs!$F$171*Time!CK35</f>
        <v>257.868724566501</v>
      </c>
      <c r="CL13" s="19" t="n">
        <f aca="false">CK13+Funding!CL37+Debt!CL78+Inputs!$F$171*Time!CL35</f>
        <v>257.868724566501</v>
      </c>
      <c r="CM13" s="19" t="n">
        <f aca="false">CL13+Funding!CM37+Debt!CM78+Inputs!$F$171*Time!CM35</f>
        <v>257.868724566501</v>
      </c>
      <c r="CN13" s="19" t="n">
        <f aca="false">CM13+Funding!CN37+Debt!CN78+Inputs!$F$171*Time!CN35</f>
        <v>257.868724566501</v>
      </c>
      <c r="CO13" s="19" t="n">
        <f aca="false">CN13+Funding!CO37+Debt!CO78+Inputs!$F$171*Time!CO35</f>
        <v>257.868724566501</v>
      </c>
      <c r="CP13" s="19" t="n">
        <f aca="false">CO13+Funding!CP37+Debt!CP78+Inputs!$F$171*Time!CP35</f>
        <v>257.868724566501</v>
      </c>
      <c r="CQ13" s="19" t="n">
        <f aca="false">CP13+Funding!CQ37+Debt!CQ78+Inputs!$F$171*Time!CQ35</f>
        <v>257.868724566501</v>
      </c>
      <c r="CR13" s="19" t="n">
        <f aca="false">CQ13+Funding!CR37+Debt!CR78+Inputs!$F$171*Time!CR35</f>
        <v>257.868724566501</v>
      </c>
      <c r="CS13" s="19" t="n">
        <f aca="false">CR13+Funding!CS37+Debt!CS78+Inputs!$F$171*Time!CS35</f>
        <v>257.868724566501</v>
      </c>
      <c r="CT13" s="19" t="n">
        <f aca="false">CS13+Funding!CT37+Debt!CT78+Inputs!$F$171*Time!CT35</f>
        <v>257.868724566501</v>
      </c>
      <c r="CU13" s="19" t="n">
        <f aca="false">CT13+Funding!CU37+Debt!CU78+Inputs!$F$171*Time!CU35</f>
        <v>257.868724566501</v>
      </c>
      <c r="CV13" s="19" t="n">
        <f aca="false">CU13+Funding!CV37+Debt!CV78+Inputs!$F$171*Time!CV35</f>
        <v>257.868724566501</v>
      </c>
      <c r="CW13" s="19" t="n">
        <f aca="false">CV13+Funding!CW37+Debt!CW78+Inputs!$F$171*Time!CW35</f>
        <v>257.868724566501</v>
      </c>
      <c r="CX13" s="19" t="n">
        <f aca="false">CW13+Funding!CX37+Debt!CX78+Inputs!$F$171*Time!CX35</f>
        <v>257.868724566501</v>
      </c>
      <c r="CY13" s="19" t="n">
        <f aca="false">CX13+Funding!CY37+Debt!CY78+Inputs!$F$171*Time!CY35</f>
        <v>257.868724566501</v>
      </c>
      <c r="CZ13" s="19" t="n">
        <f aca="false">CY13+Funding!CZ37+Debt!CZ78+Inputs!$F$171*Time!CZ35</f>
        <v>257.868724566501</v>
      </c>
      <c r="DA13" s="19" t="n">
        <f aca="false">CZ13+Funding!DA37+Debt!DA78+Inputs!$F$171*Time!DA35</f>
        <v>257.868724566501</v>
      </c>
      <c r="DB13" s="19" t="n">
        <f aca="false">DA13+Funding!DB37+Debt!DB78+Inputs!$F$171*Time!DB35</f>
        <v>257.868724566501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771.192020790705</v>
      </c>
      <c r="AJ14" s="19" t="n">
        <f aca="false">AI14+Debt!AJ80</f>
        <v>771.192020790705</v>
      </c>
      <c r="AK14" s="19" t="n">
        <f aca="false">AJ14+Debt!AK80</f>
        <v>771.192020790705</v>
      </c>
      <c r="AL14" s="19" t="n">
        <f aca="false">AK14+Debt!AL80</f>
        <v>771.192020790705</v>
      </c>
      <c r="AM14" s="19" t="n">
        <f aca="false">AL14+Debt!AM80</f>
        <v>771.192020790705</v>
      </c>
      <c r="AN14" s="19" t="n">
        <f aca="false">AM14+Debt!AN80</f>
        <v>771.192020790705</v>
      </c>
      <c r="AO14" s="19" t="n">
        <f aca="false">AN14+Debt!AO80</f>
        <v>771.192020790705</v>
      </c>
      <c r="AP14" s="19" t="n">
        <f aca="false">AO14+Debt!AP80</f>
        <v>771.192020790705</v>
      </c>
      <c r="AQ14" s="19" t="n">
        <f aca="false">AP14+Debt!AQ80</f>
        <v>771.192020790705</v>
      </c>
      <c r="AR14" s="19" t="n">
        <f aca="false">AQ14+Debt!AR80</f>
        <v>771.192020790705</v>
      </c>
      <c r="AS14" s="19" t="n">
        <f aca="false">AR14+Debt!AS80</f>
        <v>771.192020790705</v>
      </c>
      <c r="AT14" s="19" t="n">
        <f aca="false">AS14+Debt!AT80</f>
        <v>771.192020790705</v>
      </c>
      <c r="AU14" s="19" t="n">
        <f aca="false">AT14+Debt!AU80</f>
        <v>771.192020790705</v>
      </c>
      <c r="AV14" s="19" t="n">
        <f aca="false">AU14+Debt!AV80</f>
        <v>771.192020790705</v>
      </c>
      <c r="AW14" s="19" t="n">
        <f aca="false">AV14+Debt!AW80</f>
        <v>771.192020790705</v>
      </c>
      <c r="AX14" s="19" t="n">
        <f aca="false">AW14+Debt!AX80</f>
        <v>771.192020790705</v>
      </c>
      <c r="AY14" s="19" t="n">
        <f aca="false">AX14+Debt!AY80</f>
        <v>771.192020790705</v>
      </c>
      <c r="AZ14" s="19" t="n">
        <f aca="false">AY14+Debt!AZ80</f>
        <v>771.192020790705</v>
      </c>
      <c r="BA14" s="19" t="n">
        <f aca="false">AZ14+Debt!BA80</f>
        <v>771.192020790705</v>
      </c>
      <c r="BB14" s="19" t="n">
        <f aca="false">BA14+Debt!BB80</f>
        <v>771.192020790705</v>
      </c>
      <c r="BC14" s="19" t="n">
        <f aca="false">BB14+Debt!BC80</f>
        <v>771.192020790705</v>
      </c>
      <c r="BD14" s="19" t="n">
        <f aca="false">BC14+Debt!BD80</f>
        <v>771.192020790705</v>
      </c>
      <c r="BE14" s="19" t="n">
        <f aca="false">BD14+Debt!BE80</f>
        <v>771.192020790705</v>
      </c>
      <c r="BF14" s="19" t="n">
        <f aca="false">BE14+Debt!BF80</f>
        <v>771.192020790705</v>
      </c>
      <c r="BG14" s="19" t="n">
        <f aca="false">BF14+Debt!BG80</f>
        <v>771.192020790705</v>
      </c>
      <c r="BH14" s="19" t="n">
        <f aca="false">BG14+Debt!BH80</f>
        <v>771.192020790705</v>
      </c>
      <c r="BI14" s="19" t="n">
        <f aca="false">BH14+Debt!BI80</f>
        <v>771.192020790705</v>
      </c>
      <c r="BJ14" s="19" t="n">
        <f aca="false">BI14+Debt!BJ80</f>
        <v>771.192020790705</v>
      </c>
      <c r="BK14" s="19" t="n">
        <f aca="false">BJ14+Debt!BK80</f>
        <v>771.192020790705</v>
      </c>
      <c r="BL14" s="19" t="n">
        <f aca="false">BK14+Debt!BL80</f>
        <v>771.192020790705</v>
      </c>
      <c r="BM14" s="19" t="n">
        <f aca="false">BL14+Debt!BM80</f>
        <v>771.192020790705</v>
      </c>
      <c r="BN14" s="19" t="n">
        <f aca="false">BM14+Debt!BN80</f>
        <v>771.192020790705</v>
      </c>
      <c r="BO14" s="19" t="n">
        <f aca="false">BN14+Debt!BO80</f>
        <v>771.192020790705</v>
      </c>
      <c r="BP14" s="19" t="n">
        <f aca="false">BO14+Debt!BP80</f>
        <v>771.192020790705</v>
      </c>
      <c r="BQ14" s="19" t="n">
        <f aca="false">BP14+Debt!BQ80</f>
        <v>771.192020790705</v>
      </c>
      <c r="BR14" s="19" t="n">
        <f aca="false">BQ14+Debt!BR80</f>
        <v>771.192020790705</v>
      </c>
      <c r="BS14" s="19" t="n">
        <f aca="false">BR14+Debt!BS80</f>
        <v>771.192020790705</v>
      </c>
      <c r="BT14" s="19" t="n">
        <f aca="false">BS14+Debt!BT80</f>
        <v>771.192020790705</v>
      </c>
      <c r="BU14" s="19" t="n">
        <f aca="false">BT14+Debt!BU80</f>
        <v>771.192020790705</v>
      </c>
      <c r="BV14" s="19" t="n">
        <f aca="false">BU14+Debt!BV80</f>
        <v>771.192020790705</v>
      </c>
      <c r="BW14" s="19" t="n">
        <f aca="false">BV14+Debt!BW80</f>
        <v>771.192020790705</v>
      </c>
      <c r="BX14" s="19" t="n">
        <f aca="false">BW14+Debt!BX80</f>
        <v>771.192020790705</v>
      </c>
      <c r="BY14" s="19" t="n">
        <f aca="false">BX14+Debt!BY80</f>
        <v>771.192020790705</v>
      </c>
      <c r="BZ14" s="19" t="n">
        <f aca="false">BY14+Debt!BZ80</f>
        <v>771.192020790705</v>
      </c>
      <c r="CA14" s="19" t="n">
        <f aca="false">BZ14+Debt!CA80</f>
        <v>771.192020790705</v>
      </c>
      <c r="CB14" s="19" t="n">
        <f aca="false">CA14+Debt!CB80</f>
        <v>771.192020790705</v>
      </c>
      <c r="CC14" s="19" t="n">
        <f aca="false">CB14+Debt!CC80</f>
        <v>771.192020790705</v>
      </c>
      <c r="CD14" s="19" t="n">
        <f aca="false">CC14+Debt!CD80</f>
        <v>771.192020790705</v>
      </c>
      <c r="CE14" s="19" t="n">
        <f aca="false">CD14+Debt!CE80</f>
        <v>771.192020790705</v>
      </c>
      <c r="CF14" s="19" t="n">
        <f aca="false">CE14+Debt!CF80</f>
        <v>771.192020790705</v>
      </c>
      <c r="CG14" s="19" t="n">
        <f aca="false">CF14+Debt!CG80</f>
        <v>771.192020790705</v>
      </c>
      <c r="CH14" s="19" t="n">
        <f aca="false">CG14+Debt!CH80</f>
        <v>771.192020790705</v>
      </c>
      <c r="CI14" s="19" t="n">
        <f aca="false">CH14+Debt!CI80</f>
        <v>771.192020790705</v>
      </c>
      <c r="CJ14" s="19" t="n">
        <f aca="false">CI14+Debt!CJ80</f>
        <v>771.192020790705</v>
      </c>
      <c r="CK14" s="19" t="n">
        <f aca="false">CJ14+Debt!CK80</f>
        <v>771.192020790705</v>
      </c>
      <c r="CL14" s="19" t="n">
        <f aca="false">CK14+Debt!CL80</f>
        <v>771.192020790705</v>
      </c>
      <c r="CM14" s="19" t="n">
        <f aca="false">CL14+Debt!CM80</f>
        <v>771.192020790705</v>
      </c>
      <c r="CN14" s="19" t="n">
        <f aca="false">CM14+Debt!CN80</f>
        <v>771.192020790705</v>
      </c>
      <c r="CO14" s="19" t="n">
        <f aca="false">CN14+Debt!CO80</f>
        <v>771.192020790705</v>
      </c>
      <c r="CP14" s="19" t="n">
        <f aca="false">CO14+Debt!CP80</f>
        <v>771.192020790705</v>
      </c>
      <c r="CQ14" s="19" t="n">
        <f aca="false">CP14+Debt!CQ80</f>
        <v>771.192020790705</v>
      </c>
      <c r="CR14" s="19" t="n">
        <f aca="false">CQ14+Debt!CR80</f>
        <v>771.192020790705</v>
      </c>
      <c r="CS14" s="19" t="n">
        <f aca="false">CR14+Debt!CS80</f>
        <v>771.192020790705</v>
      </c>
      <c r="CT14" s="19" t="n">
        <f aca="false">CS14+Debt!CT80</f>
        <v>771.192020790705</v>
      </c>
      <c r="CU14" s="19" t="n">
        <f aca="false">CT14+Debt!CU80</f>
        <v>771.192020790705</v>
      </c>
      <c r="CV14" s="19" t="n">
        <f aca="false">CU14+Debt!CV80</f>
        <v>771.192020790705</v>
      </c>
      <c r="CW14" s="19" t="n">
        <f aca="false">CV14+Debt!CW80</f>
        <v>771.192020790705</v>
      </c>
      <c r="CX14" s="19" t="n">
        <f aca="false">CW14+Debt!CX80</f>
        <v>771.192020790705</v>
      </c>
      <c r="CY14" s="19" t="n">
        <f aca="false">CX14+Debt!CY80</f>
        <v>771.192020790705</v>
      </c>
      <c r="CZ14" s="19" t="n">
        <f aca="false">CY14+Debt!CZ80</f>
        <v>771.192020790705</v>
      </c>
      <c r="DA14" s="19" t="n">
        <f aca="false">CZ14+Debt!DA80</f>
        <v>771.192020790705</v>
      </c>
      <c r="DB14" s="19" t="n">
        <f aca="false">DA14+Debt!DB80</f>
        <v>771.192020790705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-22.6391594653339</v>
      </c>
      <c r="AA15" s="19" t="n">
        <f aca="false">Z15+AA9-Waterfall!AA57</f>
        <v>-87.0183447390593</v>
      </c>
      <c r="AB15" s="19" t="n">
        <f aca="false">AA15+AB9-Waterfall!AB57</f>
        <v>-161.018562940413</v>
      </c>
      <c r="AC15" s="19" t="n">
        <f aca="false">AB15+AC9-Waterfall!AC57</f>
        <v>-228.893620904156</v>
      </c>
      <c r="AD15" s="19" t="n">
        <f aca="false">AC15+AD9-Waterfall!AD57</f>
        <v>-296.00931378491</v>
      </c>
      <c r="AE15" s="19" t="n">
        <f aca="false">AD15+AE9-Waterfall!AE57</f>
        <v>-361.642411249629</v>
      </c>
      <c r="AF15" s="19" t="n">
        <f aca="false">AE15+AF9-Waterfall!AF57</f>
        <v>-434.019498395749</v>
      </c>
      <c r="AG15" s="19" t="n">
        <f aca="false">AF15+AG9-Waterfall!AG57</f>
        <v>-503.209192551053</v>
      </c>
      <c r="AH15" s="19" t="n">
        <f aca="false">AG15+AH9-Waterfall!AH57</f>
        <v>-573.447246703089</v>
      </c>
      <c r="AI15" s="19" t="n">
        <f aca="false">AH15+AI9-Waterfall!AI57</f>
        <v>-498.239076779902</v>
      </c>
      <c r="AJ15" s="19" t="n">
        <f aca="false">AI15+AJ9-Waterfall!AJ57</f>
        <v>-525.536801530697</v>
      </c>
      <c r="AK15" s="19" t="n">
        <f aca="false">AJ15+AK9-Waterfall!AK57</f>
        <v>-538.448395838352</v>
      </c>
      <c r="AL15" s="19" t="n">
        <f aca="false">AK15+AL9-Waterfall!AL57</f>
        <v>-551.419266204417</v>
      </c>
      <c r="AM15" s="19" t="n">
        <f aca="false">AL15+AM9-Waterfall!AM57</f>
        <v>-563.340015980645</v>
      </c>
      <c r="AN15" s="19" t="n">
        <f aca="false">AM15+AN9-Waterfall!AN57</f>
        <v>-575.69325379225</v>
      </c>
      <c r="AO15" s="19" t="n">
        <f aca="false">AN15+AO9-Waterfall!AO57</f>
        <v>-608.791862917504</v>
      </c>
      <c r="AP15" s="19" t="n">
        <f aca="false">AO15+AP9-Waterfall!AP57</f>
        <v>-621.054994511212</v>
      </c>
      <c r="AQ15" s="19" t="n">
        <f aca="false">AP15+AQ9-Waterfall!AQ57</f>
        <v>-627.137465988724</v>
      </c>
      <c r="AR15" s="19" t="n">
        <f aca="false">AQ15+AR9-Waterfall!AR57</f>
        <v>-633.283194356405</v>
      </c>
      <c r="AS15" s="19" t="n">
        <f aca="false">AR15+AS9-Waterfall!AS57</f>
        <v>-639.351239507992</v>
      </c>
      <c r="AT15" s="19" t="n">
        <f aca="false">AS15+AT9-Waterfall!AT57</f>
        <v>-644.836615350422</v>
      </c>
      <c r="AU15" s="19" t="n">
        <f aca="false">AT15+AU9-Waterfall!AU57</f>
        <v>-649.777855840204</v>
      </c>
      <c r="AV15" s="19" t="n">
        <f aca="false">AU15+AV9-Waterfall!AV57</f>
        <v>-653.75106885027</v>
      </c>
      <c r="AW15" s="19" t="n">
        <f aca="false">AV15+AW9-Waterfall!AW57</f>
        <v>-720.047845099139</v>
      </c>
      <c r="AX15" s="19" t="n">
        <f aca="false">AW15+AX9-Waterfall!AX57</f>
        <v>-734.825584476977</v>
      </c>
      <c r="AY15" s="19" t="n">
        <f aca="false">AX15+AY9-Waterfall!AY57</f>
        <v>-745.312564959723</v>
      </c>
      <c r="AZ15" s="19" t="n">
        <f aca="false">AY15+AZ9-Waterfall!AZ57</f>
        <v>-755.883591500298</v>
      </c>
      <c r="BA15" s="19" t="n">
        <f aca="false">AZ15+BA9-Waterfall!BA57</f>
        <v>-766.712834379774</v>
      </c>
      <c r="BB15" s="19" t="n">
        <f aca="false">BA15+BB9-Waterfall!BB57</f>
        <v>-771.719634793042</v>
      </c>
      <c r="BC15" s="19" t="n">
        <f aca="false">BB15+BC9-Waterfall!BC57</f>
        <v>-835.090483797595</v>
      </c>
      <c r="BD15" s="19" t="n">
        <f aca="false">BC15+BD9-Waterfall!BD57</f>
        <v>-843.214864154688</v>
      </c>
      <c r="BE15" s="19" t="n">
        <f aca="false">BD15+BE9-Waterfall!BE57</f>
        <v>-879.767943223919</v>
      </c>
      <c r="BF15" s="19" t="n">
        <f aca="false">BE15+BF9-Waterfall!BF57</f>
        <v>-892.438380448968</v>
      </c>
      <c r="BG15" s="19" t="n">
        <f aca="false">BF15+BG9-Waterfall!BG57</f>
        <v>-905.682635078687</v>
      </c>
      <c r="BH15" s="19" t="n">
        <f aca="false">BG15+BH9-Waterfall!BH57</f>
        <v>-917.69396099464</v>
      </c>
      <c r="BI15" s="19" t="n">
        <f aca="false">BH15+BI9-Waterfall!BI57</f>
        <v>-929.360190139767</v>
      </c>
      <c r="BJ15" s="19" t="n">
        <f aca="false">BI15+BJ9-Waterfall!BJ57</f>
        <v>-939.498438750625</v>
      </c>
      <c r="BK15" s="19" t="n">
        <f aca="false">BJ15+BK9-Waterfall!BK57</f>
        <v>-949.347732443972</v>
      </c>
      <c r="BL15" s="19" t="n">
        <f aca="false">BK15+BL9-Waterfall!BL57</f>
        <v>-957.601359156298</v>
      </c>
      <c r="BM15" s="19" t="n">
        <f aca="false">BL15+BM9-Waterfall!BM57</f>
        <v>-965.501985032973</v>
      </c>
      <c r="BN15" s="19" t="n">
        <f aca="false">BM15+BN9-Waterfall!BN57</f>
        <v>-979.058098360972</v>
      </c>
      <c r="BO15" s="19" t="n">
        <f aca="false">BN15+BO9-Waterfall!BO57</f>
        <v>-976.705144509118</v>
      </c>
      <c r="BP15" s="19" t="n">
        <f aca="false">BO15+BP9-Waterfall!BP57</f>
        <v>-973.04939730931</v>
      </c>
      <c r="BQ15" s="19" t="n">
        <f aca="false">BP15+BQ9-Waterfall!BQ57</f>
        <v>-969.222989067764</v>
      </c>
      <c r="BR15" s="19" t="n">
        <f aca="false">BQ15+BR9-Waterfall!BR57</f>
        <v>-964.004384466829</v>
      </c>
      <c r="BS15" s="19" t="n">
        <f aca="false">BR15+BS9-Waterfall!BS57</f>
        <v>-958.622844109786</v>
      </c>
      <c r="BT15" s="19" t="n">
        <f aca="false">BS15+BT9-Waterfall!BT57</f>
        <v>-938.440206637329</v>
      </c>
      <c r="BU15" s="19" t="n">
        <f aca="false">BT15+BU9-Waterfall!BU57</f>
        <v>-1046.65669800137</v>
      </c>
      <c r="BV15" s="19" t="n">
        <f aca="false">BU15+BV9-Waterfall!BV57</f>
        <v>-1041.30806285271</v>
      </c>
      <c r="BW15" s="19" t="n">
        <f aca="false">BV15+BW9-Waterfall!BW57</f>
        <v>-1039.02139695599</v>
      </c>
      <c r="BX15" s="19" t="n">
        <f aca="false">BW15+BX9-Waterfall!BX57</f>
        <v>-1035.78042903307</v>
      </c>
      <c r="BY15" s="19" t="n">
        <f aca="false">BX15+BY9-Waterfall!BY57</f>
        <v>-1031.90071697669</v>
      </c>
      <c r="BZ15" s="19" t="n">
        <f aca="false">BY15+BZ9-Waterfall!BZ57</f>
        <v>-1030.91142990659</v>
      </c>
      <c r="CA15" s="19" t="n">
        <f aca="false">BZ15+CA9-Waterfall!CA57</f>
        <v>-1019.39363612173</v>
      </c>
      <c r="CB15" s="19" t="n">
        <f aca="false">CA15+CB9-Waterfall!CB57</f>
        <v>-1006.10229015286</v>
      </c>
      <c r="CC15" s="19" t="n">
        <f aca="false">CB15+CC9-Waterfall!CC57</f>
        <v>-992.258141055425</v>
      </c>
      <c r="CD15" s="19" t="n">
        <f aca="false">CC15+CD9-Waterfall!CD57</f>
        <v>-978.855969403104</v>
      </c>
      <c r="CE15" s="19" t="n">
        <f aca="false">CD15+CE9-Waterfall!CE57</f>
        <v>-959.857055938001</v>
      </c>
      <c r="CF15" s="19" t="n">
        <f aca="false">CE15+CF9-Waterfall!CF57</f>
        <v>-926.00954116403</v>
      </c>
      <c r="CG15" s="19" t="n">
        <f aca="false">CF15+CG9-Waterfall!CG57</f>
        <v>-980.438510058714</v>
      </c>
      <c r="CH15" s="19" t="n">
        <f aca="false">CG15+CH9-Waterfall!CH57</f>
        <v>-962.002414171973</v>
      </c>
      <c r="CI15" s="19" t="n">
        <f aca="false">CH15+CI9-Waterfall!CI57</f>
        <v>-962.819183719199</v>
      </c>
      <c r="CJ15" s="19" t="n">
        <f aca="false">CI15+CJ9-Waterfall!CJ57</f>
        <v>-969.187226441727</v>
      </c>
      <c r="CK15" s="19" t="n">
        <f aca="false">CJ15+CK9-Waterfall!CK57</f>
        <v>-1013.64778503738</v>
      </c>
      <c r="CL15" s="19" t="n">
        <f aca="false">CK15+CL9-Waterfall!CL57</f>
        <v>-1023.66941276942</v>
      </c>
      <c r="CM15" s="19" t="n">
        <f aca="false">CL15+CM9-Waterfall!CM57</f>
        <v>-1017.59639929231</v>
      </c>
      <c r="CN15" s="19" t="n">
        <f aca="false">CM15+CN9-Waterfall!CN57</f>
        <v>-1011.37644230229</v>
      </c>
      <c r="CO15" s="19" t="n">
        <f aca="false">CN15+CO9-Waterfall!CO57</f>
        <v>-1004.34371022119</v>
      </c>
      <c r="CP15" s="19" t="n">
        <f aca="false">CO15+CP9-Waterfall!CP57</f>
        <v>-987.268568460599</v>
      </c>
      <c r="CQ15" s="19" t="n">
        <f aca="false">CP15+CQ9-Waterfall!CQ57</f>
        <v>-968.728834695535</v>
      </c>
      <c r="CR15" s="19" t="n">
        <f aca="false">CQ15+CR9-Waterfall!CR57</f>
        <v>-949.971184735094</v>
      </c>
      <c r="CS15" s="19" t="n">
        <f aca="false">CR15+CS9-Waterfall!CS57</f>
        <v>-1039.88750337549</v>
      </c>
      <c r="CT15" s="19" t="n">
        <f aca="false">CS15+CT9-Waterfall!CT57</f>
        <v>-1023.76472802608</v>
      </c>
      <c r="CU15" s="19" t="n">
        <f aca="false">CT15+CU9-Waterfall!CU57</f>
        <v>-1001.40088967007</v>
      </c>
      <c r="CV15" s="19" t="n">
        <f aca="false">CU15+CV9-Waterfall!CV57</f>
        <v>-978.574140043937</v>
      </c>
      <c r="CW15" s="19" t="n">
        <f aca="false">CV15+CW9-Waterfall!CW57</f>
        <v>-954.055927406051</v>
      </c>
      <c r="CX15" s="19" t="n">
        <f aca="false">CW15+CX9-Waterfall!CX57</f>
        <v>-929.126860448182</v>
      </c>
      <c r="CY15" s="19" t="n">
        <f aca="false">CX15+CY9-Waterfall!CY57</f>
        <v>-902.355350914346</v>
      </c>
      <c r="CZ15" s="19" t="n">
        <f aca="false">CY15+CZ9-Waterfall!CZ57</f>
        <v>-875.172525388772</v>
      </c>
      <c r="DA15" s="19" t="n">
        <f aca="false">CZ15+DA9-Waterfall!DA57</f>
        <v>-890.83287071386</v>
      </c>
      <c r="DB15" s="19" t="n">
        <f aca="false">DA15+DB9-Waterfall!DB57</f>
        <v>-1029.06074535724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34.3181841362874</v>
      </c>
      <c r="AA16" s="19" t="n">
        <f aca="false">AA13+AA14+AA15</f>
        <v>-30.0610011374379</v>
      </c>
      <c r="AB16" s="19" t="n">
        <f aca="false">AB13+AB14+AB15</f>
        <v>-104.061219338792</v>
      </c>
      <c r="AC16" s="19" t="n">
        <f aca="false">AC13+AC14+AC15</f>
        <v>-171.936277302535</v>
      </c>
      <c r="AD16" s="19" t="n">
        <f aca="false">AD13+AD14+AD15</f>
        <v>-239.051970183288</v>
      </c>
      <c r="AE16" s="19" t="n">
        <f aca="false">AE13+AE14+AE15</f>
        <v>-304.685067648008</v>
      </c>
      <c r="AF16" s="19" t="n">
        <f aca="false">AF13+AF14+AF15</f>
        <v>-377.062154794128</v>
      </c>
      <c r="AG16" s="19" t="n">
        <f aca="false">AG13+AG14+AG15</f>
        <v>-446.251848949431</v>
      </c>
      <c r="AH16" s="19" t="n">
        <f aca="false">AH13+AH14+AH15</f>
        <v>-516.489903101468</v>
      </c>
      <c r="AI16" s="19" t="n">
        <f aca="false">AI13+AI14+AI15</f>
        <v>530.821668577304</v>
      </c>
      <c r="AJ16" s="19" t="n">
        <f aca="false">AJ13+AJ14+AJ15</f>
        <v>503.523943826509</v>
      </c>
      <c r="AK16" s="19" t="n">
        <f aca="false">AK13+AK14+AK15</f>
        <v>490.612349518855</v>
      </c>
      <c r="AL16" s="19" t="n">
        <f aca="false">AL13+AL14+AL15</f>
        <v>477.641479152789</v>
      </c>
      <c r="AM16" s="19" t="n">
        <f aca="false">AM13+AM14+AM15</f>
        <v>465.720729376562</v>
      </c>
      <c r="AN16" s="19" t="n">
        <f aca="false">AN13+AN14+AN15</f>
        <v>453.367491564957</v>
      </c>
      <c r="AO16" s="19" t="n">
        <f aca="false">AO13+AO14+AO15</f>
        <v>420.268882439702</v>
      </c>
      <c r="AP16" s="19" t="n">
        <f aca="false">AP13+AP14+AP15</f>
        <v>408.005750845995</v>
      </c>
      <c r="AQ16" s="19" t="n">
        <f aca="false">AQ13+AQ14+AQ15</f>
        <v>401.923279368483</v>
      </c>
      <c r="AR16" s="19" t="n">
        <f aca="false">AR13+AR14+AR15</f>
        <v>395.777551000802</v>
      </c>
      <c r="AS16" s="19" t="n">
        <f aca="false">AS13+AS14+AS15</f>
        <v>389.709505849214</v>
      </c>
      <c r="AT16" s="19" t="n">
        <f aca="false">AT13+AT14+AT15</f>
        <v>384.224130006785</v>
      </c>
      <c r="AU16" s="19" t="n">
        <f aca="false">AU13+AU14+AU15</f>
        <v>379.282889517002</v>
      </c>
      <c r="AV16" s="19" t="n">
        <f aca="false">AV13+AV14+AV15</f>
        <v>375.309676506937</v>
      </c>
      <c r="AW16" s="19" t="n">
        <f aca="false">AW13+AW14+AW15</f>
        <v>309.012900258068</v>
      </c>
      <c r="AX16" s="19" t="n">
        <f aca="false">AX13+AX14+AX15</f>
        <v>294.235160880229</v>
      </c>
      <c r="AY16" s="19" t="n">
        <f aca="false">AY13+AY14+AY15</f>
        <v>283.748180397484</v>
      </c>
      <c r="AZ16" s="19" t="n">
        <f aca="false">AZ13+AZ14+AZ15</f>
        <v>273.177153856909</v>
      </c>
      <c r="BA16" s="19" t="n">
        <f aca="false">BA13+BA14+BA15</f>
        <v>262.347910977433</v>
      </c>
      <c r="BB16" s="19" t="n">
        <f aca="false">BB13+BB14+BB15</f>
        <v>257.341110564164</v>
      </c>
      <c r="BC16" s="19" t="n">
        <f aca="false">BC13+BC14+BC15</f>
        <v>193.970261559611</v>
      </c>
      <c r="BD16" s="19" t="n">
        <f aca="false">BD13+BD14+BD15</f>
        <v>185.845881202519</v>
      </c>
      <c r="BE16" s="19" t="n">
        <f aca="false">BE13+BE14+BE15</f>
        <v>149.292802133287</v>
      </c>
      <c r="BF16" s="19" t="n">
        <f aca="false">BF13+BF14+BF15</f>
        <v>136.622364908239</v>
      </c>
      <c r="BG16" s="19" t="n">
        <f aca="false">BG13+BG14+BG15</f>
        <v>123.37811027852</v>
      </c>
      <c r="BH16" s="19" t="n">
        <f aca="false">BH13+BH14+BH15</f>
        <v>111.366784362567</v>
      </c>
      <c r="BI16" s="19" t="n">
        <f aca="false">BI13+BI14+BI15</f>
        <v>99.7005552174395</v>
      </c>
      <c r="BJ16" s="19" t="n">
        <f aca="false">BJ13+BJ14+BJ15</f>
        <v>89.5623066065814</v>
      </c>
      <c r="BK16" s="19" t="n">
        <f aca="false">BK13+BK14+BK15</f>
        <v>79.7130129132341</v>
      </c>
      <c r="BL16" s="19" t="n">
        <f aca="false">BL13+BL14+BL15</f>
        <v>71.4593862009089</v>
      </c>
      <c r="BM16" s="19" t="n">
        <f aca="false">BM13+BM14+BM15</f>
        <v>63.558760324234</v>
      </c>
      <c r="BN16" s="19" t="n">
        <f aca="false">BN13+BN14+BN15</f>
        <v>50.0026469962342</v>
      </c>
      <c r="BO16" s="19" t="n">
        <f aca="false">BO13+BO14+BO15</f>
        <v>52.3556008480887</v>
      </c>
      <c r="BP16" s="19" t="n">
        <f aca="false">BP13+BP14+BP15</f>
        <v>56.0113480478969</v>
      </c>
      <c r="BQ16" s="19" t="n">
        <f aca="false">BQ13+BQ14+BQ15</f>
        <v>59.8377562894427</v>
      </c>
      <c r="BR16" s="19" t="n">
        <f aca="false">BR13+BR14+BR15</f>
        <v>65.0563608903772</v>
      </c>
      <c r="BS16" s="19" t="n">
        <f aca="false">BS13+BS14+BS15</f>
        <v>70.4379012474208</v>
      </c>
      <c r="BT16" s="19" t="n">
        <f aca="false">BT13+BT14+BT15</f>
        <v>90.6205387198772</v>
      </c>
      <c r="BU16" s="19" t="n">
        <f aca="false">BU13+BU14+BU15</f>
        <v>-17.5959526441675</v>
      </c>
      <c r="BV16" s="19" t="n">
        <f aca="false">BV13+BV14+BV15</f>
        <v>-12.2473174955048</v>
      </c>
      <c r="BW16" s="19" t="n">
        <f aca="false">BW13+BW14+BW15</f>
        <v>-9.96065159878822</v>
      </c>
      <c r="BX16" s="19" t="n">
        <f aca="false">BX13+BX14+BX15</f>
        <v>-6.71968367586464</v>
      </c>
      <c r="BY16" s="19" t="n">
        <f aca="false">BY13+BY14+BY15</f>
        <v>-2.83997161948128</v>
      </c>
      <c r="BZ16" s="19" t="n">
        <f aca="false">BZ13+BZ14+BZ15</f>
        <v>-1.85068454938528</v>
      </c>
      <c r="CA16" s="19" t="n">
        <f aca="false">CA13+CA14+CA15</f>
        <v>9.66710923547498</v>
      </c>
      <c r="CB16" s="19" t="n">
        <f aca="false">CB13+CB14+CB15</f>
        <v>22.9584552043464</v>
      </c>
      <c r="CC16" s="19" t="n">
        <f aca="false">CC13+CC14+CC15</f>
        <v>36.8026043017818</v>
      </c>
      <c r="CD16" s="19" t="n">
        <f aca="false">CD13+CD14+CD15</f>
        <v>50.204775954103</v>
      </c>
      <c r="CE16" s="19" t="n">
        <f aca="false">CE13+CE14+CE15</f>
        <v>69.2036894192056</v>
      </c>
      <c r="CF16" s="19" t="n">
        <f aca="false">CF13+CF14+CF15</f>
        <v>103.051204193176</v>
      </c>
      <c r="CG16" s="19" t="n">
        <f aca="false">CG13+CG14+CG15</f>
        <v>48.6222352984928</v>
      </c>
      <c r="CH16" s="19" t="n">
        <f aca="false">CH13+CH14+CH15</f>
        <v>67.0583311852331</v>
      </c>
      <c r="CI16" s="19" t="n">
        <f aca="false">CI13+CI14+CI15</f>
        <v>66.241561638008</v>
      </c>
      <c r="CJ16" s="19" t="n">
        <f aca="false">CJ13+CJ14+CJ15</f>
        <v>59.8735189154797</v>
      </c>
      <c r="CK16" s="19" t="n">
        <f aca="false">CK13+CK14+CK15</f>
        <v>15.4129603198227</v>
      </c>
      <c r="CL16" s="19" t="n">
        <f aca="false">CL13+CL14+CL15</f>
        <v>5.39133258778259</v>
      </c>
      <c r="CM16" s="19" t="n">
        <f aca="false">CM13+CM14+CM15</f>
        <v>11.4643460648974</v>
      </c>
      <c r="CN16" s="19" t="n">
        <f aca="false">CN13+CN14+CN15</f>
        <v>17.6843030549128</v>
      </c>
      <c r="CO16" s="19" t="n">
        <f aca="false">CO13+CO14+CO15</f>
        <v>24.7170351360176</v>
      </c>
      <c r="CP16" s="19" t="n">
        <f aca="false">CP13+CP14+CP15</f>
        <v>41.7921768966073</v>
      </c>
      <c r="CQ16" s="19" t="n">
        <f aca="false">CQ13+CQ14+CQ15</f>
        <v>60.3319106616719</v>
      </c>
      <c r="CR16" s="19" t="n">
        <f aca="false">CR13+CR14+CR15</f>
        <v>79.089560622113</v>
      </c>
      <c r="CS16" s="19" t="n">
        <f aca="false">CS13+CS14+CS15</f>
        <v>-10.8267580182821</v>
      </c>
      <c r="CT16" s="19" t="n">
        <f aca="false">CT13+CT14+CT15</f>
        <v>5.29601733113043</v>
      </c>
      <c r="CU16" s="19" t="n">
        <f aca="false">CU13+CU14+CU15</f>
        <v>27.659855687136</v>
      </c>
      <c r="CV16" s="19" t="n">
        <f aca="false">CV13+CV14+CV15</f>
        <v>50.4866053132697</v>
      </c>
      <c r="CW16" s="19" t="n">
        <f aca="false">CW13+CW14+CW15</f>
        <v>75.0048179511554</v>
      </c>
      <c r="CX16" s="19" t="n">
        <f aca="false">CX13+CX14+CX15</f>
        <v>99.9338849090249</v>
      </c>
      <c r="CY16" s="19" t="n">
        <f aca="false">CY13+CY14+CY15</f>
        <v>126.705394442861</v>
      </c>
      <c r="CZ16" s="19" t="n">
        <f aca="false">CZ13+CZ14+CZ15</f>
        <v>153.888219968435</v>
      </c>
      <c r="DA16" s="19" t="n">
        <f aca="false">DA13+DA14+DA15</f>
        <v>138.227874643347</v>
      </c>
      <c r="DB16" s="19" t="n">
        <f aca="false">DB13+DB14+DB15</f>
        <v>-3.25144355883822E-011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-0</v>
      </c>
      <c r="AA17" s="19" t="n">
        <f aca="false">ROUND(AA11-AA12-AA16,6)</f>
        <v>-0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-0</v>
      </c>
      <c r="BW17" s="19" t="n">
        <f aca="false">ROUND(BW11-BW12-BW16,6)</f>
        <v>-0</v>
      </c>
      <c r="BX17" s="19" t="n">
        <f aca="false">ROUND(BX11-BX12-BX16,6)</f>
        <v>-0</v>
      </c>
      <c r="BY17" s="19" t="n">
        <f aca="false">ROUND(BY11-BY12-BY16,6)</f>
        <v>-0</v>
      </c>
      <c r="BZ17" s="19" t="n">
        <f aca="false">ROUND(BZ11-BZ12-BZ16,6)</f>
        <v>-0</v>
      </c>
      <c r="CA17" s="19" t="n">
        <f aca="false">ROUND(CA11-CA12-CA16,6)</f>
        <v>-0</v>
      </c>
      <c r="CB17" s="19" t="n">
        <f aca="false">ROUND(CB11-CB12-CB16,6)</f>
        <v>-0</v>
      </c>
      <c r="CC17" s="19" t="n">
        <f aca="false">ROUND(CC11-CC12-CC16,6)</f>
        <v>-0</v>
      </c>
      <c r="CD17" s="19" t="n">
        <f aca="false">ROUND(CD11-CD12-CD16,6)</f>
        <v>-0</v>
      </c>
      <c r="CE17" s="19" t="n">
        <f aca="false">ROUND(CE11-CE12-CE16,6)</f>
        <v>-0</v>
      </c>
      <c r="CF17" s="19" t="n">
        <f aca="false">ROUND(CF11-CF12-CF16,6)</f>
        <v>0</v>
      </c>
      <c r="CG17" s="19" t="n">
        <f aca="false">ROUND(CG11-CG12-CG16,6)</f>
        <v>-0</v>
      </c>
      <c r="CH17" s="19" t="n">
        <f aca="false">ROUND(CH11-CH12-CH16,6)</f>
        <v>-0</v>
      </c>
      <c r="CI17" s="19" t="n">
        <f aca="false">ROUND(CI11-CI12-CI16,6)</f>
        <v>-0</v>
      </c>
      <c r="CJ17" s="19" t="n">
        <f aca="false">ROUND(CJ11-CJ12-CJ16,6)</f>
        <v>-0</v>
      </c>
      <c r="CK17" s="19" t="n">
        <f aca="false">ROUND(CK11-CK12-CK16,6)</f>
        <v>-0</v>
      </c>
      <c r="CL17" s="19" t="n">
        <f aca="false">ROUND(CL11-CL12-CL16,6)</f>
        <v>-0</v>
      </c>
      <c r="CM17" s="19" t="n">
        <f aca="false">ROUND(CM11-CM12-CM16,6)</f>
        <v>-0</v>
      </c>
      <c r="CN17" s="19" t="n">
        <f aca="false">ROUND(CN11-CN12-CN16,6)</f>
        <v>-0</v>
      </c>
      <c r="CO17" s="19" t="n">
        <f aca="false">ROUND(CO11-CO12-CO16,6)</f>
        <v>-0</v>
      </c>
      <c r="CP17" s="19" t="n">
        <f aca="false">ROUND(CP11-CP12-CP16,6)</f>
        <v>-0</v>
      </c>
      <c r="CQ17" s="19" t="n">
        <f aca="false">ROUND(CQ11-CQ12-CQ16,6)</f>
        <v>-0</v>
      </c>
      <c r="CR17" s="19" t="n">
        <f aca="false">ROUND(CR11-CR12-CR16,6)</f>
        <v>-0</v>
      </c>
      <c r="CS17" s="19" t="n">
        <f aca="false">ROUND(CS11-CS12-CS16,6)</f>
        <v>-0</v>
      </c>
      <c r="CT17" s="19" t="n">
        <f aca="false">ROUND(CT11-CT12-CT16,6)</f>
        <v>-0</v>
      </c>
      <c r="CU17" s="19" t="n">
        <f aca="false">ROUND(CU11-CU12-CU16,6)</f>
        <v>-0</v>
      </c>
      <c r="CV17" s="19" t="n">
        <f aca="false">ROUND(CV11-CV12-CV16,6)</f>
        <v>-0</v>
      </c>
      <c r="CW17" s="19" t="n">
        <f aca="false">ROUND(CW11-CW12-CW16,6)</f>
        <v>-0</v>
      </c>
      <c r="CX17" s="19" t="n">
        <f aca="false">ROUND(CX11-CX12-CX16,6)</f>
        <v>-0</v>
      </c>
      <c r="CY17" s="19" t="n">
        <f aca="false">ROUND(CY11-CY12-CY16,6)</f>
        <v>-0</v>
      </c>
      <c r="CZ17" s="19" t="n">
        <f aca="false">ROUND(CZ11-CZ12-CZ16,6)</f>
        <v>-0</v>
      </c>
      <c r="DA17" s="19" t="n">
        <f aca="false">ROUND(DA11-DA12-DA16,6)</f>
        <v>-0</v>
      </c>
      <c r="DB17" s="19" t="n">
        <f aca="false">ROUND(DB11-DB12-DB16,6)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0.758658372516836</v>
      </c>
      <c r="AE6" s="31" t="n">
        <f aca="false">IF(AND(Time!AE30=1,Debt!AE68&gt;Inputs!$F$9),Waterfall!AE7/Debt!AE68,"")</f>
        <v>0.964413002182344</v>
      </c>
      <c r="AF6" s="31" t="n">
        <f aca="false">IF(AND(Time!AF30=1,Debt!AF68&gt;Inputs!$F$9),Waterfall!AF7/Debt!AF68,"")</f>
        <v>0.843418732324597</v>
      </c>
      <c r="AG6" s="31" t="n">
        <f aca="false">IF(AND(Time!AG30=1,Debt!AG68&gt;Inputs!$F$9),Waterfall!AG7/Debt!AG68,"")</f>
        <v>1.00875074661743</v>
      </c>
      <c r="AH6" s="31" t="n">
        <f aca="false">IF(AND(Time!AH30=1,Debt!AH68&gt;Inputs!$F$9),Waterfall!AH7/Debt!AH68,"")</f>
        <v>1.0126992545617</v>
      </c>
      <c r="AI6" s="31" t="n">
        <f aca="false">IF(AND(Time!AI30=1,Debt!AI68&gt;Inputs!$F$9),Waterfall!AI7/Debt!AI68,"")</f>
        <v>1.03090049655531</v>
      </c>
      <c r="AJ6" s="31" t="n">
        <f aca="false">IF(AND(Time!AJ30=1,Debt!AJ68&gt;Inputs!$F$9),Waterfall!AJ7/Debt!AJ68,"")</f>
        <v>1.95130984311688</v>
      </c>
      <c r="AK6" s="31" t="n">
        <f aca="false">IF(AND(Time!AK30=1,Debt!AK68&gt;Inputs!$F$9),Waterfall!AK7/Debt!AK68,"")</f>
        <v>2.24703731070405</v>
      </c>
      <c r="AL6" s="31" t="n">
        <f aca="false">IF(AND(Time!AL30=1,Debt!AL68&gt;Inputs!$F$9),Waterfall!AL7/Debt!AL68,"")</f>
        <v>2.26043147776175</v>
      </c>
      <c r="AM6" s="31" t="n">
        <f aca="false">IF(AND(Time!AM30=1,Debt!AM68&gt;Inputs!$F$9),Waterfall!AM7/Debt!AM68,"")</f>
        <v>2.49530563292841</v>
      </c>
      <c r="AN6" s="31" t="n">
        <f aca="false">IF(AND(Time!AN30=1,Debt!AN68&gt;Inputs!$F$9),Waterfall!AN7/Debt!AN68,"")</f>
        <v>2.47870870781474</v>
      </c>
      <c r="AO6" s="31" t="n">
        <f aca="false">IF(AND(Time!AO30=1,Debt!AO68&gt;Inputs!$F$9),Waterfall!AO7/Debt!AO68,"")</f>
        <v>2.93778689728227</v>
      </c>
      <c r="AP6" s="31" t="n">
        <f aca="false">IF(AND(Time!AP30=1,Debt!AP68&gt;Inputs!$F$9),Waterfall!AP7/Debt!AP68,"")</f>
        <v>3.02291626160188</v>
      </c>
      <c r="AQ6" s="31" t="n">
        <f aca="false">IF(AND(Time!AQ30=1,Debt!AQ68&gt;Inputs!$F$9),Waterfall!AQ7/Debt!AQ68,"")</f>
        <v>2.47939206597625</v>
      </c>
      <c r="AR6" s="31" t="n">
        <f aca="false">IF(AND(Time!AR30=1,Debt!AR68&gt;Inputs!$F$9),Waterfall!AR7/Debt!AR68,"")</f>
        <v>2.45622688976205</v>
      </c>
      <c r="AS6" s="31" t="n">
        <f aca="false">IF(AND(Time!AS30=1,Debt!AS68&gt;Inputs!$F$9),Waterfall!AS7/Debt!AS68,"")</f>
        <v>2.53443666205782</v>
      </c>
      <c r="AT6" s="31" t="n">
        <f aca="false">IF(AND(Time!AT30=1,Debt!AT68&gt;Inputs!$F$9),Waterfall!AT7/Debt!AT68,"")</f>
        <v>2.59957343493338</v>
      </c>
      <c r="AU6" s="31" t="n">
        <f aca="false">IF(AND(Time!AU30=1,Debt!AU68&gt;Inputs!$F$9),Waterfall!AU7/Debt!AU68,"")</f>
        <v>2.78550713073399</v>
      </c>
      <c r="AV6" s="31" t="n">
        <f aca="false">IF(AND(Time!AV30=1,Debt!AV68&gt;Inputs!$F$9),Waterfall!AV7/Debt!AV68,"")</f>
        <v>2.8666619764375</v>
      </c>
      <c r="AW6" s="31" t="n">
        <f aca="false">IF(AND(Time!AW30=1,Debt!AW68&gt;Inputs!$F$9),Waterfall!AW7/Debt!AW68,"")</f>
        <v>3.47375931904134</v>
      </c>
      <c r="AX6" s="31" t="n">
        <f aca="false">IF(AND(Time!AX30=1,Debt!AX68&gt;Inputs!$F$9),Waterfall!AX7/Debt!AX68,"")</f>
        <v>3.58607484017342</v>
      </c>
      <c r="AY6" s="31" t="n">
        <f aca="false">IF(AND(Time!AY30=1,Debt!AY68&gt;Inputs!$F$9),Waterfall!AY7/Debt!AY68,"")</f>
        <v>3.63493425173544</v>
      </c>
      <c r="AZ6" s="31" t="n">
        <f aca="false">IF(AND(Time!AZ30=1,Debt!AZ68&gt;Inputs!$F$9),Waterfall!AZ7/Debt!AZ68,"")</f>
        <v>3.62327112085254</v>
      </c>
      <c r="BA6" s="31" t="n">
        <f aca="false">IF(AND(Time!BA30=1,Debt!BA68&gt;Inputs!$F$9),Waterfall!BA7/Debt!BA68,"")</f>
        <v>3.64379577537165</v>
      </c>
      <c r="BB6" s="31" t="n">
        <f aca="false">IF(AND(Time!BB30=1,Debt!BB68&gt;Inputs!$F$9),Waterfall!BB7/Debt!BB68,"")</f>
        <v>3.49291249597865</v>
      </c>
      <c r="BC6" s="31" t="n">
        <f aca="false">IF(AND(Time!BC30=1,Debt!BC68&gt;Inputs!$F$9),Waterfall!BC7/Debt!BC68,"")</f>
        <v>3.32686117287293</v>
      </c>
      <c r="BD6" s="31" t="n">
        <f aca="false">IF(AND(Time!BD30=1,Debt!BD68&gt;Inputs!$F$9),Waterfall!BD7/Debt!BD68,"")</f>
        <v>3.32574559314008</v>
      </c>
      <c r="BE6" s="31" t="n">
        <f aca="false">IF(AND(Time!BE30=1,Debt!BE68&gt;Inputs!$F$9),Waterfall!BE7/Debt!BE68,"")</f>
        <v>3.2360223027523</v>
      </c>
      <c r="BF6" s="31" t="n">
        <f aca="false">IF(AND(Time!BF30=1,Debt!BF68&gt;Inputs!$F$9),Waterfall!BF7/Debt!BF68,"")</f>
        <v>3.26677173380276</v>
      </c>
      <c r="BG6" s="31" t="n">
        <f aca="false">IF(AND(Time!BG30=1,Debt!BG68&gt;Inputs!$F$9),Waterfall!BG7/Debt!BG68,"")</f>
        <v>3.29696453916146</v>
      </c>
      <c r="BH6" s="31" t="n">
        <f aca="false">IF(AND(Time!BH30=1,Debt!BH68&gt;Inputs!$F$9),Waterfall!BH7/Debt!BH68,"")</f>
        <v>3.29461795834998</v>
      </c>
      <c r="BI6" s="31" t="n">
        <f aca="false">IF(AND(Time!BI30=1,Debt!BI68&gt;Inputs!$F$9),Waterfall!BI7/Debt!BI68,"")</f>
        <v>3.26988758961422</v>
      </c>
      <c r="BJ6" s="31" t="n">
        <f aca="false">IF(AND(Time!BJ30=1,Debt!BJ68&gt;Inputs!$F$9),Waterfall!BJ7/Debt!BJ68,"")</f>
        <v>3.27150879693798</v>
      </c>
      <c r="BK6" s="31" t="n">
        <f aca="false">IF(AND(Time!BK30=1,Debt!BK68&gt;Inputs!$F$9),Waterfall!BK7/Debt!BK68,"")</f>
        <v>3.2439401336283</v>
      </c>
      <c r="BL6" s="31" t="n">
        <f aca="false">IF(AND(Time!BL30=1,Debt!BL68&gt;Inputs!$F$9),Waterfall!BL7/Debt!BL68,"")</f>
        <v>3.24550181548464</v>
      </c>
      <c r="BM6" s="31" t="n">
        <f aca="false">IF(AND(Time!BM30=1,Debt!BM68&gt;Inputs!$F$9),Waterfall!BM7/Debt!BM68,"")</f>
        <v>3.21919490915526</v>
      </c>
      <c r="BN6" s="31" t="n">
        <f aca="false">IF(AND(Time!BN30=1,Debt!BN68&gt;Inputs!$F$9),Waterfall!BN7/Debt!BN68,"")</f>
        <v>3.22070357759314</v>
      </c>
      <c r="BO6" s="31" t="n">
        <f aca="false">IF(AND(Time!BO30=1,Debt!BO68&gt;Inputs!$F$9),Waterfall!BO7/Debt!BO68,"")</f>
        <v>3.48472379818783</v>
      </c>
      <c r="BP6" s="31" t="n">
        <f aca="false">IF(AND(Time!BP30=1,Debt!BP68&gt;Inputs!$F$9),Waterfall!BP7/Debt!BP68,"")</f>
        <v>3.47837619632563</v>
      </c>
      <c r="BQ6" s="31" t="n">
        <f aca="false">IF(AND(Time!BQ30=1,Debt!BQ68&gt;Inputs!$F$9),Waterfall!BQ7/Debt!BQ68,"")</f>
        <v>3.42986099333076</v>
      </c>
      <c r="BR6" s="31" t="n">
        <f aca="false">IF(AND(Time!BR30=1,Debt!BR68&gt;Inputs!$F$9),Waterfall!BR7/Debt!BR68,"")</f>
        <v>3.44305305416583</v>
      </c>
      <c r="BS6" s="31" t="n">
        <f aca="false">IF(AND(Time!BS30=1,Debt!BS68&gt;Inputs!$F$9),Waterfall!BS7/Debt!BS68,"")</f>
        <v>3.3917230319932</v>
      </c>
      <c r="BT6" s="31" t="n">
        <f aca="false">IF(AND(Time!BT30=1,Debt!BT68&gt;Inputs!$F$9),Waterfall!BT7/Debt!BT68,"")</f>
        <v>3.40411000271142</v>
      </c>
      <c r="BU6" s="31" t="n">
        <f aca="false">IF(AND(Time!BU30=1,Debt!BU68&gt;Inputs!$F$9),Waterfall!BU7/Debt!BU68,"")</f>
        <v>3.0397815947192</v>
      </c>
      <c r="BV6" s="31" t="n">
        <f aca="false">IF(AND(Time!BV30=1,Debt!BV68&gt;Inputs!$F$9),Waterfall!BV7/Debt!BV68,"")</f>
        <v>3.04363681054681</v>
      </c>
      <c r="BW6" s="31" t="n">
        <f aca="false">IF(AND(Time!BW30=1,Debt!BW68&gt;Inputs!$F$9),Waterfall!BW7/Debt!BW68,"")</f>
        <v>3.10299234909678</v>
      </c>
      <c r="BX6" s="31" t="n">
        <f aca="false">IF(AND(Time!BX30=1,Debt!BX68&gt;Inputs!$F$9),Waterfall!BX7/Debt!BX68,"")</f>
        <v>3.12719400271389</v>
      </c>
      <c r="BY6" s="31" t="n">
        <f aca="false">IF(AND(Time!BY30=1,Debt!BY68&gt;Inputs!$F$9),Waterfall!BY7/Debt!BY68,"")</f>
        <v>3.10995583719915</v>
      </c>
      <c r="BZ6" s="31" t="n">
        <f aca="false">IF(AND(Time!BZ30=1,Debt!BZ68&gt;Inputs!$F$9),Waterfall!BZ7/Debt!BZ68,"")</f>
        <v>3.11580717449995</v>
      </c>
      <c r="CA6" s="31" t="n">
        <f aca="false">IF(AND(Time!CA30=1,Debt!CA68&gt;Inputs!$F$9),Waterfall!CA7/Debt!CA68,"")</f>
        <v>3.19546436828825</v>
      </c>
      <c r="CB6" s="31" t="n">
        <f aca="false">IF(AND(Time!CB30=1,Debt!CB68&gt;Inputs!$F$9),Waterfall!CB7/Debt!CB68,"")</f>
        <v>3.20359352165442</v>
      </c>
      <c r="CC6" s="31" t="n">
        <f aca="false">IF(AND(Time!CC30=1,Debt!CC68&gt;Inputs!$F$9),Waterfall!CC7/Debt!CC68,"")</f>
        <v>3.17586152540757</v>
      </c>
      <c r="CD6" s="31" t="n">
        <f aca="false">IF(AND(Time!CD30=1,Debt!CD68&gt;Inputs!$F$9),Waterfall!CD7/Debt!CD68,"")</f>
        <v>3.18379984526347</v>
      </c>
      <c r="CE6" s="31" t="n">
        <f aca="false">IF(AND(Time!CE30=1,Debt!CE68&gt;Inputs!$F$9),Waterfall!CE7/Debt!CE68,"")</f>
        <v>3.21247105341661</v>
      </c>
      <c r="CF6" s="31" t="n">
        <f aca="false">IF(AND(Time!CF30=1,Debt!CF68&gt;Inputs!$F$9),Waterfall!CF7/Debt!CF68,"")</f>
        <v>3.2167630105404</v>
      </c>
      <c r="CG6" s="31" t="n">
        <f aca="false">IF(AND(Time!CG30=1,Debt!CG68&gt;Inputs!$F$9),Waterfall!CG7/Debt!CG68,"")</f>
        <v>2.98449316912171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0.758658372516836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2.87054043144104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2.07861746001568</v>
      </c>
      <c r="AA9" s="31" t="n">
        <f aca="false">IF(AND(Time!AA32=1,Debt!AA68&gt;Inputs!$F$9),Waterfall!AA7/Debt!AA68,"")</f>
        <v>1.11224631400275</v>
      </c>
      <c r="AB9" s="31" t="n">
        <f aca="false">IF(AND(Time!AB32=1,Debt!AB68&gt;Inputs!$F$9),Waterfall!AB7/Debt!AB68,"")</f>
        <v>0.466172428224864</v>
      </c>
      <c r="AC9" s="31" t="n">
        <f aca="false">IF(AND(Time!AC32=1,Debt!AC68&gt;Inputs!$F$9),Waterfall!AC7/Debt!AC68,"")</f>
        <v>0.799568602036652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0.466172428224864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str">
        <f aca="false">IF(AND(Time!AJ30=1,Time!AJ47=1,Debt!AJ68+Debt!AJ98+Debt!AJ99&gt;Inputs!$F$9),Waterfall!AJ7/(Debt!AJ68+Debt!AJ98+Debt!AJ99),"")</f>
        <v/>
      </c>
      <c r="AK11" s="31" t="str">
        <f aca="false">IF(AND(Time!AK30=1,Time!AK47=1,Debt!AK68+Debt!AK98+Debt!AK99&gt;Inputs!$F$9),Waterfall!AK7/(Debt!AK68+Debt!AK98+Debt!AK99),"")</f>
        <v/>
      </c>
      <c r="AL11" s="31" t="str">
        <f aca="false">IF(AND(Time!AL30=1,Time!AL47=1,Debt!AL68+Debt!AL98+Debt!AL99&gt;Inputs!$F$9),Waterfall!AL7/(Debt!AL68+Debt!AL98+Debt!AL99),"")</f>
        <v/>
      </c>
      <c r="AM11" s="31" t="str">
        <f aca="false">IF(AND(Time!AM30=1,Time!AM47=1,Debt!AM68+Debt!AM98+Debt!AM99&gt;Inputs!$F$9),Waterfall!AM7/(Debt!AM68+Debt!AM98+Debt!AM99),"")</f>
        <v/>
      </c>
      <c r="AN11" s="31" t="str">
        <f aca="false">IF(AND(Time!AN30=1,Time!AN47=1,Debt!AN68+Debt!AN98+Debt!AN99&gt;Inputs!$F$9),Waterfall!AN7/(Debt!AN68+Debt!AN98+Debt!AN99),"")</f>
        <v/>
      </c>
      <c r="AO11" s="31" t="str">
        <f aca="false">IF(AND(Time!AO30=1,Time!AO47=1,Debt!AO68+Debt!AO98+Debt!AO99&gt;Inputs!$F$9),Waterfall!AO7/(Debt!AO68+Debt!AO98+Debt!AO99),"")</f>
        <v/>
      </c>
      <c r="AP11" s="31" t="str">
        <f aca="false">IF(AND(Time!AP30=1,Time!AP47=1,Debt!AP68+Debt!AP98+Debt!AP99&gt;Inputs!$F$9),Waterfall!AP7/(Debt!AP68+Debt!AP98+Debt!AP99),"")</f>
        <v/>
      </c>
      <c r="AQ11" s="31" t="str">
        <f aca="false">IF(AND(Time!AQ30=1,Time!AQ47=1,Debt!AQ68+Debt!AQ98+Debt!AQ99&gt;Inputs!$F$9),Waterfall!AQ7/(Debt!AQ68+Debt!AQ98+Debt!AQ99),"")</f>
        <v/>
      </c>
      <c r="AR11" s="31" t="str">
        <f aca="false">IF(AND(Time!AR30=1,Time!AR47=1,Debt!AR68+Debt!AR98+Debt!AR99&gt;Inputs!$F$9),Waterfall!AR7/(Debt!AR68+Debt!AR98+Debt!AR99),"")</f>
        <v/>
      </c>
      <c r="AS11" s="31" t="str">
        <f aca="false">IF(AND(Time!AS30=1,Time!AS47=1,Debt!AS68+Debt!AS98+Debt!AS99&gt;Inputs!$F$9),Waterfall!AS7/(Debt!AS68+Debt!AS98+Debt!AS99),"")</f>
        <v/>
      </c>
      <c r="AT11" s="31" t="str">
        <f aca="false">IF(AND(Time!AT30=1,Time!AT47=1,Debt!AT68+Debt!AT98+Debt!AT99&gt;Inputs!$F$9),Waterfall!AT7/(Debt!AT68+Debt!AT98+Debt!AT99),"")</f>
        <v/>
      </c>
      <c r="AU11" s="31" t="str">
        <f aca="false">IF(AND(Time!AU30=1,Time!AU47=1,Debt!AU68+Debt!AU98+Debt!AU99&gt;Inputs!$F$9),Waterfall!AU7/(Debt!AU68+Debt!AU98+Debt!AU99),"")</f>
        <v/>
      </c>
      <c r="AV11" s="31" t="str">
        <f aca="false">IF(AND(Time!AV30=1,Time!AV47=1,Debt!AV68+Debt!AV98+Debt!AV99&gt;Inputs!$F$9),Waterfall!AV7/(Debt!AV68+Debt!AV98+Debt!AV99),"")</f>
        <v/>
      </c>
      <c r="AW11" s="31" t="str">
        <f aca="false">IF(AND(Time!AW30=1,Time!AW47=1,Debt!AW68+Debt!AW98+Debt!AW99&gt;Inputs!$F$9),Waterfall!AW7/(Debt!AW68+Debt!AW98+Debt!AW99),"")</f>
        <v/>
      </c>
      <c r="AX11" s="31" t="n">
        <f aca="false">IF(AND(Time!AX30=1,Time!AX47=1,Debt!AX68+Debt!AX98+Debt!AX99&gt;Inputs!$F$9),Waterfall!AX7/(Debt!AX68+Debt!AX98+Debt!AX99),"")</f>
        <v>2.03858336017511</v>
      </c>
      <c r="AY11" s="31" t="n">
        <f aca="false">IF(AND(Time!AY30=1,Time!AY47=1,Debt!AY68+Debt!AY98+Debt!AY99&gt;Inputs!$F$9),Waterfall!AY7/(Debt!AY68+Debt!AY98+Debt!AY99),"")</f>
        <v>2.0127511621221</v>
      </c>
      <c r="AZ11" s="31" t="n">
        <f aca="false">IF(AND(Time!AZ30=1,Time!AZ47=1,Debt!AZ68+Debt!AZ98+Debt!AZ99&gt;Inputs!$F$9),Waterfall!AZ7/(Debt!AZ68+Debt!AZ98+Debt!AZ99),"")</f>
        <v>2.02677320841222</v>
      </c>
      <c r="BA11" s="31" t="n">
        <f aca="false">IF(AND(Time!BA30=1,Time!BA47=1,Debt!BA68+Debt!BA98+Debt!BA99&gt;Inputs!$F$9),Waterfall!BA7/(Debt!BA68+Debt!BA98+Debt!BA99),"")</f>
        <v>2.0086594396819</v>
      </c>
      <c r="BB11" s="31" t="n">
        <f aca="false">IF(AND(Time!BB30=1,Time!BB47=1,Debt!BB68+Debt!BB98+Debt!BB99&gt;Inputs!$F$9),Waterfall!BB7/(Debt!BB68+Debt!BB98+Debt!BB99),"")</f>
        <v>1.93165175785855</v>
      </c>
      <c r="BC11" s="31" t="n">
        <f aca="false">IF(AND(Time!BC30=1,Time!BC47=1,Debt!BC68+Debt!BC98+Debt!BC99&gt;Inputs!$F$9),Waterfall!BC7/(Debt!BC68+Debt!BC98+Debt!BC99),"")</f>
        <v>1.95211871395949</v>
      </c>
      <c r="BD11" s="31" t="n">
        <f aca="false">IF(AND(Time!BD30=1,Time!BD47=1,Debt!BD68+Debt!BD98+Debt!BD99&gt;Inputs!$F$9),Waterfall!BD7/(Debt!BD68+Debt!BD98+Debt!BD99),"")</f>
        <v>1.95173456125911</v>
      </c>
      <c r="BE11" s="31" t="n">
        <f aca="false">IF(AND(Time!BE30=1,Time!BE47=1,Debt!BE68+Debt!BE98+Debt!BE99&gt;Inputs!$F$9),Waterfall!BE7/(Debt!BE68+Debt!BE98+Debt!BE99),"")</f>
        <v>1.92048553743338</v>
      </c>
      <c r="BF11" s="31" t="n">
        <f aca="false">IF(AND(Time!BF30=1,Time!BF47=1,Debt!BF68+Debt!BF98+Debt!BF99&gt;Inputs!$F$9),Waterfall!BF7/(Debt!BF68+Debt!BF98+Debt!BF99),"")</f>
        <v>1.93115714671209</v>
      </c>
      <c r="BG11" s="31" t="n">
        <f aca="false">IF(AND(Time!BG30=1,Time!BG47=1,Debt!BG68+Debt!BG98+Debt!BG99&gt;Inputs!$F$9),Waterfall!BG7/(Debt!BG68+Debt!BG98+Debt!BG99),"")</f>
        <v>1.94200313651058</v>
      </c>
      <c r="BH11" s="31" t="n">
        <f aca="false">IF(AND(Time!BH30=1,Time!BH47=1,Debt!BH68+Debt!BH98+Debt!BH99&gt;Inputs!$F$9),Waterfall!BH7/(Debt!BH68+Debt!BH98+Debt!BH99),"")</f>
        <v>1.94121695552938</v>
      </c>
      <c r="BI11" s="31" t="n">
        <f aca="false">IF(AND(Time!BI30=1,Time!BI47=1,Debt!BI68+Debt!BI98+Debt!BI99&gt;Inputs!$F$9),Waterfall!BI7/(Debt!BI68+Debt!BI98+Debt!BI99),"")</f>
        <v>1.93260061007681</v>
      </c>
      <c r="BJ11" s="31" t="n">
        <f aca="false">IF(AND(Time!BJ30=1,Time!BJ47=1,Debt!BJ68+Debt!BJ98+Debt!BJ99&gt;Inputs!$F$9),Waterfall!BJ7/(Debt!BJ68+Debt!BJ98+Debt!BJ99),"")</f>
        <v>1.93316720986651</v>
      </c>
      <c r="BK11" s="31" t="n">
        <f aca="false">IF(AND(Time!BK30=1,Time!BK47=1,Debt!BK68+Debt!BK98+Debt!BK99&gt;Inputs!$F$9),Waterfall!BK7/(Debt!BK68+Debt!BK98+Debt!BK99),"")</f>
        <v>1.92350368671923</v>
      </c>
      <c r="BL11" s="31" t="n">
        <f aca="false">IF(AND(Time!BL30=1,Time!BL47=1,Debt!BL68+Debt!BL98+Debt!BL99&gt;Inputs!$F$9),Waterfall!BL7/(Debt!BL68+Debt!BL98+Debt!BL99),"")</f>
        <v>1.92405305390741</v>
      </c>
      <c r="BM11" s="31" t="n">
        <f aca="false">IF(AND(Time!BM30=1,Time!BM47=1,Debt!BM68+Debt!BM98+Debt!BM99&gt;Inputs!$F$9),Waterfall!BM7/(Debt!BM68+Debt!BM98+Debt!BM99),"")</f>
        <v>1.91477283622796</v>
      </c>
      <c r="BN11" s="31" t="n">
        <f aca="false">IF(AND(Time!BN30=1,Time!BN47=1,Debt!BN68+Debt!BN98+Debt!BN99&gt;Inputs!$F$9),Waterfall!BN7/(Debt!BN68+Debt!BN98+Debt!BN99),"")</f>
        <v>1.91530687655417</v>
      </c>
      <c r="BO11" s="31" t="n">
        <f aca="false">IF(AND(Time!BO30=1,Time!BO47=1,Debt!BO68+Debt!BO98+Debt!BO99&gt;Inputs!$F$9),Waterfall!BO7/(Debt!BO68+Debt!BO98+Debt!BO99),"")</f>
        <v>2.00577090317956</v>
      </c>
      <c r="BP11" s="31" t="n">
        <f aca="false">IF(AND(Time!BP30=1,Time!BP47=1,Debt!BP68+Debt!BP98+Debt!BP99&gt;Inputs!$F$9),Waterfall!BP7/(Debt!BP68+Debt!BP98+Debt!BP99),"")</f>
        <v>2.00366623815505</v>
      </c>
      <c r="BQ11" s="31" t="n">
        <f aca="false">IF(AND(Time!BQ30=1,Time!BQ47=1,Debt!BQ68+Debt!BQ98+Debt!BQ99&gt;Inputs!$F$9),Waterfall!BQ7/(Debt!BQ68+Debt!BQ98+Debt!BQ99),"")</f>
        <v>1.98746151820582</v>
      </c>
      <c r="BR11" s="31" t="n">
        <f aca="false">IF(AND(Time!BR30=1,Time!BR47=1,Debt!BR68+Debt!BR98+Debt!BR99&gt;Inputs!$F$9),Waterfall!BR7/(Debt!BR68+Debt!BR98+Debt!BR99),"")</f>
        <v>1.99188511188812</v>
      </c>
      <c r="BS11" s="31" t="n">
        <f aca="false">IF(AND(Time!BS30=1,Time!BS47=1,Debt!BS68+Debt!BS98+Debt!BS99&gt;Inputs!$F$9),Waterfall!BS7/(Debt!BS68+Debt!BS98+Debt!BS99),"")</f>
        <v>1.97458635212923</v>
      </c>
      <c r="BT11" s="31" t="n">
        <f aca="false">IF(AND(Time!BT30=1,Time!BT47=1,Debt!BT68+Debt!BT98+Debt!BT99&gt;Inputs!$F$9),Waterfall!BT7/(Debt!BT68+Debt!BT98+Debt!BT99),"")</f>
        <v>1.97877945626026</v>
      </c>
      <c r="BU11" s="31" t="n">
        <f aca="false">IF(AND(Time!BU30=1,Time!BU47=1,Debt!BU68+Debt!BU98+Debt!BU99&gt;Inputs!$F$9),Waterfall!BU7/(Debt!BU68+Debt!BU98+Debt!BU99),"")</f>
        <v>1.84987817114529</v>
      </c>
      <c r="BV11" s="31" t="n">
        <f aca="false">IF(AND(Time!BV30=1,Time!BV47=1,Debt!BV68+Debt!BV98+Debt!BV99&gt;Inputs!$F$9),Waterfall!BV7/(Debt!BV68+Debt!BV98+Debt!BV99),"")</f>
        <v>1.85130536299609</v>
      </c>
      <c r="BW11" s="31" t="n">
        <f aca="false">IF(AND(Time!BW30=1,Time!BW47=1,Debt!BW68+Debt!BW98+Debt!BW99&gt;Inputs!$F$9),Waterfall!BW7/(Debt!BW68+Debt!BW98+Debt!BW99),"")</f>
        <v>1.87280420210303</v>
      </c>
      <c r="BX11" s="31" t="n">
        <f aca="false">IF(AND(Time!BX30=1,Time!BX47=1,Debt!BX68+Debt!BX98+Debt!BX99&gt;Inputs!$F$9),Waterfall!BX7/(Debt!BX68+Debt!BX98+Debt!BX99),"")</f>
        <v>1.88182556036942</v>
      </c>
      <c r="BY11" s="31" t="n">
        <f aca="false">IF(AND(Time!BY30=1,Time!BY47=1,Debt!BY68+Debt!BY98+Debt!BY99&gt;Inputs!$F$9),Waterfall!BY7/(Debt!BY68+Debt!BY98+Debt!BY99),"")</f>
        <v>1.87556591249687</v>
      </c>
      <c r="BZ11" s="31" t="n">
        <f aca="false">IF(AND(Time!BZ30=1,Time!BZ47=1,Debt!BZ68+Debt!BZ98+Debt!BZ99&gt;Inputs!$F$9),Waterfall!BZ7/(Debt!BZ68+Debt!BZ98+Debt!BZ99),"")</f>
        <v>1.87769283550073</v>
      </c>
      <c r="CA11" s="31" t="n">
        <f aca="false">IF(AND(Time!CA30=1,Time!CA47=1,Debt!CA68+Debt!CA98+Debt!CA99&gt;Inputs!$F$9),Waterfall!CA7/(Debt!CA68+Debt!CA98+Debt!CA99),"")</f>
        <v>1.9063645938082</v>
      </c>
      <c r="CB11" s="31" t="n">
        <f aca="false">IF(AND(Time!CB30=1,Time!CB47=1,Debt!CB68+Debt!CB98+Debt!CB99&gt;Inputs!$F$9),Waterfall!CB7/(Debt!CB68+Debt!CB98+Debt!CB99),"")</f>
        <v>1.90925563879013</v>
      </c>
      <c r="CC11" s="31" t="n">
        <f aca="false">IF(AND(Time!CC30=1,Time!CC47=1,Debt!CC68+Debt!CC98+Debt!CC99&gt;Inputs!$F$9),Waterfall!CC7/(Debt!CC68+Debt!CC98+Debt!CC99),"")</f>
        <v>1.89959421573443</v>
      </c>
      <c r="CD11" s="31" t="n">
        <f aca="false">IF(AND(Time!CD30=1,Time!CD47=1,Debt!CD68+Debt!CD98+Debt!CD99&gt;Inputs!$F$9),Waterfall!CD7/(Debt!CD68+Debt!CD98+Debt!CD99),"")</f>
        <v>1.90245887280268</v>
      </c>
      <c r="CE11" s="31" t="n">
        <f aca="false">IF(AND(Time!CE30=1,Time!CE47=1,Debt!CE68+Debt!CE98+Debt!CE99&gt;Inputs!$F$9),Waterfall!CE7/(Debt!CE68+Debt!CE98+Debt!CE99),"")</f>
        <v>1.91269075058614</v>
      </c>
      <c r="CF11" s="31" t="n">
        <f aca="false">IF(AND(Time!CF30=1,Time!CF47=1,Debt!CF68+Debt!CF98+Debt!CF99&gt;Inputs!$F$9),Waterfall!CF7/(Debt!CF68+Debt!CF98+Debt!CF99),"")</f>
        <v>1.9142131606097</v>
      </c>
      <c r="CG11" s="31" t="n">
        <f aca="false">IF(AND(Time!CG30=1,Time!CG47=1,Debt!CG68+Debt!CG98+Debt!CG99&gt;Inputs!$F$9),Waterfall!CG7/(Debt!CG68+Debt!CG98+Debt!CG99),"")</f>
        <v>1.82931258869553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1.82931258869553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0.922993851768082</v>
      </c>
      <c r="AG13" s="27" t="n">
        <f aca="false">IF(Time!AG8&gt;=Inputs!$F$21,IF(AF13&gt;0,AF13,1)/(1+Debt!AG9),0)</f>
        <v>0.897326317981796</v>
      </c>
      <c r="AH13" s="27" t="n">
        <f aca="false">IF(Time!AH8&gt;=Inputs!$F$21,IF(AG13&gt;0,AG13,1)/(1+Debt!AH9),0)</f>
        <v>0.872583734051299</v>
      </c>
      <c r="AI13" s="27" t="n">
        <f aca="false">IF(Time!AI8&gt;=Inputs!$F$21,IF(AH13&gt;0,AH13,1)/(1+Debt!AI9),0)</f>
        <v>0.848318055106394</v>
      </c>
      <c r="AJ13" s="27" t="n">
        <f aca="false">IF(Time!AJ8&gt;=Inputs!$F$21,IF(AI13&gt;0,AI13,1)/(1+Debt!AJ9),0)</f>
        <v>0.824860255432812</v>
      </c>
      <c r="AK13" s="27" t="n">
        <f aca="false">IF(Time!AK8&gt;=Inputs!$F$21,IF(AJ13&gt;0,AJ13,1)/(1+Debt!AK9),0)</f>
        <v>0.801921718589117</v>
      </c>
      <c r="AL13" s="27" t="n">
        <f aca="false">IF(Time!AL8&gt;=Inputs!$F$21,IF(AK13&gt;0,AK13,1)/(1+Debt!AL9),0)</f>
        <v>0.779809790040641</v>
      </c>
      <c r="AM13" s="27" t="n">
        <f aca="false">IF(Time!AM8&gt;=Inputs!$F$21,IF(AL13&gt;0,AL13,1)/(1+Debt!AM9),0)</f>
        <v>0.758124061479825</v>
      </c>
      <c r="AN13" s="27" t="n">
        <f aca="false">IF(Time!AN8&gt;=Inputs!$F$21,IF(AM13&gt;0,AM13,1)/(1+Debt!AN9),0)</f>
        <v>0.737219795278113</v>
      </c>
      <c r="AO13" s="27" t="n">
        <f aca="false">IF(Time!AO8&gt;=Inputs!$F$21,IF(AN13&gt;0,AN13,1)/(1+Debt!AO9),0)</f>
        <v>0.7167184517784</v>
      </c>
      <c r="AP13" s="27" t="n">
        <f aca="false">IF(Time!AP8&gt;=Inputs!$F$21,IF(AO13&gt;0,AO13,1)/(1+Debt!AP9),0)</f>
        <v>0.696955890386522</v>
      </c>
      <c r="AQ13" s="27" t="n">
        <f aca="false">IF(Time!AQ8&gt;=Inputs!$F$21,IF(AP13&gt;0,AP13,1)/(1+Debt!AQ9),0)</f>
        <v>0.677574245720332</v>
      </c>
      <c r="AR13" s="27" t="n">
        <f aca="false">IF(Time!AR8&gt;=Inputs!$F$21,IF(AQ13&gt;0,AQ13,1)/(1+Debt!AR9),0)</f>
        <v>0.658837875765207</v>
      </c>
      <c r="AS13" s="27" t="n">
        <f aca="false">IF(Time!AS8&gt;=Inputs!$F$21,IF(AR13&gt;0,AR13,1)/(1+Debt!AS9),0)</f>
        <v>0.640516254875215</v>
      </c>
      <c r="AT13" s="27" t="n">
        <f aca="false">IF(Time!AT8&gt;=Inputs!$F$21,IF(AS13&gt;0,AS13,1)/(1+Debt!AT9),0)</f>
        <v>0.622854868066966</v>
      </c>
      <c r="AU13" s="27" t="n">
        <f aca="false">IF(Time!AU8&gt;=Inputs!$F$21,IF(AT13&gt;0,AT13,1)/(1+Debt!AU9),0)</f>
        <v>0.605533898550824</v>
      </c>
      <c r="AV13" s="27" t="n">
        <f aca="false">IF(Time!AV8&gt;=Inputs!$F$21,IF(AU13&gt;0,AU13,1)/(1+Debt!AV9),0)</f>
        <v>0.588837103853715</v>
      </c>
      <c r="AW13" s="27" t="n">
        <f aca="false">IF(Time!AW8&gt;=Inputs!$F$21,IF(AV13&gt;0,AV13,1)/(1+Debt!AW9),0)</f>
        <v>0.572462134260112</v>
      </c>
      <c r="AX13" s="27" t="n">
        <f aca="false">IF(Time!AX8&gt;=Inputs!$F$21,IF(AW13&gt;0,AW13,1)/(1+Debt!AX9),0)</f>
        <v>0.556677249631052</v>
      </c>
      <c r="AY13" s="27" t="n">
        <f aca="false">IF(Time!AY8&gt;=Inputs!$F$21,IF(AX13&gt;0,AX13,1)/(1+Debt!AY9),0)</f>
        <v>0.541196613345565</v>
      </c>
      <c r="AZ13" s="27" t="n">
        <f aca="false">IF(Time!AZ8&gt;=Inputs!$F$21,IF(AY13&gt;0,AY13,1)/(1+Debt!AZ9),0)</f>
        <v>0.52623137517403</v>
      </c>
      <c r="BA13" s="27" t="n">
        <f aca="false">IF(Time!BA8&gt;=Inputs!$F$21,IF(AZ13&gt;0,AZ13,1)/(1+Debt!BA9),0)</f>
        <v>0.511597408137511</v>
      </c>
      <c r="BB13" s="27" t="n">
        <f aca="false">IF(Time!BB8&gt;=Inputs!$F$21,IF(BA13&gt;0,BA13,1)/(1+Debt!BB9),0)</f>
        <v>0.497490787663103</v>
      </c>
      <c r="BC13" s="27" t="n">
        <f aca="false">IF(Time!BC8&gt;=Inputs!$F$21,IF(BB13&gt;0,BB13,1)/(1+Debt!BC9),0)</f>
        <v>0.483656067555003</v>
      </c>
      <c r="BD13" s="27" t="n">
        <f aca="false">IF(Time!BD8&gt;=Inputs!$F$21,IF(BC13&gt;0,BC13,1)/(1+Debt!BD9),0)</f>
        <v>0.470319892514591</v>
      </c>
      <c r="BE13" s="27" t="n">
        <f aca="false">IF(Time!BE8&gt;=Inputs!$F$21,IF(BD13&gt;0,BD13,1)/(1+Debt!BE9),0)</f>
        <v>0.457240767763807</v>
      </c>
      <c r="BF13" s="27" t="n">
        <f aca="false">IF(Time!BF8&gt;=Inputs!$F$21,IF(BE13&gt;0,BE13,1)/(1+Debt!BF9),0)</f>
        <v>0.444632959605136</v>
      </c>
      <c r="BG13" s="27" t="n">
        <f aca="false">IF(Time!BG8&gt;=Inputs!$F$21,IF(BF13&gt;0,BF13,1)/(1+Debt!BG9),0)</f>
        <v>0.432249096991584</v>
      </c>
      <c r="BH13" s="27" t="n">
        <f aca="false">IF(Time!BH8&gt;=Inputs!$F$21,IF(BG13&gt;0,BG13,1)/(1+Debt!BH9),0)</f>
        <v>0.420278150353859</v>
      </c>
      <c r="BI13" s="27" t="n">
        <f aca="false">IF(Time!BI8&gt;=Inputs!$F$21,IF(BH13&gt;0,BH13,1)/(1+Debt!BI9),0)</f>
        <v>0.408572614898093</v>
      </c>
      <c r="BJ13" s="27" t="n">
        <f aca="false">IF(Time!BJ8&gt;=Inputs!$F$21,IF(BI13&gt;0,BI13,1)/(1+Debt!BJ9),0)</f>
        <v>0.397289524376765</v>
      </c>
      <c r="BK13" s="27" t="n">
        <f aca="false">IF(Time!BK8&gt;=Inputs!$F$21,IF(BJ13&gt;0,BJ13,1)/(1+Debt!BK9),0)</f>
        <v>0.386224265309927</v>
      </c>
      <c r="BL13" s="27" t="n">
        <f aca="false">IF(Time!BL8&gt;=Inputs!$F$21,IF(BK13&gt;0,BK13,1)/(1+Debt!BL9),0)</f>
        <v>0.375558344031497</v>
      </c>
      <c r="BM13" s="27" t="n">
        <f aca="false">IF(Time!BM8&gt;=Inputs!$F$21,IF(BL13&gt;0,BL13,1)/(1+Debt!BM9),0)</f>
        <v>0.365098339132198</v>
      </c>
      <c r="BN13" s="27" t="n">
        <f aca="false">IF(Time!BN8&gt;=Inputs!$F$21,IF(BM13&gt;0,BM13,1)/(1+Debt!BN9),0)</f>
        <v>0.355015828803789</v>
      </c>
      <c r="BO13" s="27" t="n">
        <f aca="false">IF(Time!BO8&gt;=Inputs!$F$21,IF(BN13&gt;0,BN13,1)/(1+Debt!BO9),0)</f>
        <v>0.34512797151708</v>
      </c>
      <c r="BP13" s="27" t="n">
        <f aca="false">IF(Time!BP8&gt;=Inputs!$F$21,IF(BO13&gt;0,BO13,1)/(1+Debt!BP9),0)</f>
        <v>0.335569805730334</v>
      </c>
      <c r="BQ13" s="27" t="n">
        <f aca="false">IF(Time!BQ8&gt;=Inputs!$F$21,IF(BP13&gt;0,BP13,1)/(1+Debt!BQ9),0)</f>
        <v>0.326223556691325</v>
      </c>
      <c r="BR13" s="27" t="n">
        <f aca="false">IF(Time!BR8&gt;=Inputs!$F$21,IF(BQ13&gt;0,BQ13,1)/(1+Debt!BR9),0)</f>
        <v>0.317214607520182</v>
      </c>
      <c r="BS13" s="27" t="n">
        <f aca="false">IF(Time!BS8&gt;=Inputs!$F$21,IF(BR13&gt;0,BR13,1)/(1+Debt!BS9),0)</f>
        <v>0.308379585208677</v>
      </c>
      <c r="BT13" s="27" t="n">
        <f aca="false">IF(Time!BT8&gt;=Inputs!$F$21,IF(BS13&gt;0,BS13,1)/(1+Debt!BT9),0)</f>
        <v>0.299863412934852</v>
      </c>
      <c r="BU13" s="27" t="n">
        <f aca="false">IF(Time!BU8&gt;=Inputs!$F$21,IF(BT13&gt;0,BT13,1)/(1+Debt!BU9),0)</f>
        <v>0.291511653965131</v>
      </c>
      <c r="BV13" s="27" t="n">
        <f aca="false">IF(Time!BV8&gt;=Inputs!$F$21,IF(BU13&gt;0,BU13,1)/(1+Debt!BV9),0)</f>
        <v>0.283461304382765</v>
      </c>
      <c r="BW13" s="27" t="n">
        <f aca="false">IF(Time!BW8&gt;=Inputs!$F$21,IF(BV13&gt;0,BV13,1)/(1+Debt!BW9),0)</f>
        <v>0.275566374927126</v>
      </c>
      <c r="BX13" s="27" t="n">
        <f aca="false">IF(Time!BX8&gt;=Inputs!$F$21,IF(BW13&gt;0,BW13,1)/(1+Debt!BX9),0)</f>
        <v>0.26793468664284</v>
      </c>
      <c r="BY13" s="27" t="n">
        <f aca="false">IF(Time!BY8&gt;=Inputs!$F$21,IF(BX13&gt;0,BX13,1)/(1+Debt!BY9),0)</f>
        <v>0.260472202638648</v>
      </c>
      <c r="BZ13" s="27" t="n">
        <f aca="false">IF(Time!BZ8&gt;=Inputs!$F$21,IF(BY13&gt;0,BY13,1)/(1+Debt!BZ9),0)</f>
        <v>0.253279034683926</v>
      </c>
      <c r="CA13" s="27" t="n">
        <f aca="false">IF(Time!CA8&gt;=Inputs!$F$21,IF(BZ13&gt;0,BZ13,1)/(1+Debt!CA9),0)</f>
        <v>0.246224738099156</v>
      </c>
      <c r="CB13" s="27" t="n">
        <f aca="false">IF(Time!CB8&gt;=Inputs!$F$21,IF(CA13&gt;0,CA13,1)/(1+Debt!CB9),0)</f>
        <v>0.239425026353286</v>
      </c>
      <c r="CC13" s="27" t="n">
        <f aca="false">IF(Time!CC8&gt;=Inputs!$F$21,IF(CB13&gt;0,CB13,1)/(1+Debt!CC9),0)</f>
        <v>0.232756589908003</v>
      </c>
      <c r="CD13" s="27" t="n">
        <f aca="false">IF(Time!CD8&gt;=Inputs!$F$21,IF(CC13&gt;0,CC13,1)/(1+Debt!CD9),0)</f>
        <v>0.226328812867628</v>
      </c>
      <c r="CE13" s="27" t="n">
        <f aca="false">IF(Time!CE8&gt;=Inputs!$F$21,IF(CD13&gt;0,CD13,1)/(1+Debt!CE9),0)</f>
        <v>0.220025130552826</v>
      </c>
      <c r="CF13" s="27" t="n">
        <f aca="false">IF(Time!CF8&gt;=Inputs!$F$21,IF(CE13&gt;0,CE13,1)/(1+Debt!CF9),0)</f>
        <v>0.213931632347421</v>
      </c>
      <c r="CG13" s="27" t="n">
        <f aca="false">IF(Time!CG8&gt;=Inputs!$F$21,IF(CF13&gt;0,CF13,1)/(1+Debt!CG9),0)</f>
        <v>0.20797323478275</v>
      </c>
      <c r="CH13" s="27" t="n">
        <f aca="false">IF(Time!CH8&gt;=Inputs!$F$21,IF(CG13&gt;0,CG13,1)/(1+Debt!CH9),0)</f>
        <v>0.202229871795359</v>
      </c>
      <c r="CI13" s="27" t="n">
        <f aca="false">IF(Time!CI8&gt;=Inputs!$F$21,IF(CH13&gt;0,CH13,1)/(1+Debt!CI9),0)</f>
        <v>0.196597390229228</v>
      </c>
      <c r="CJ13" s="27" t="n">
        <f aca="false">IF(Time!CJ8&gt;=Inputs!$F$21,IF(CI13&gt;0,CI13,1)/(1+Debt!CJ9),0)</f>
        <v>0.191168181150283</v>
      </c>
      <c r="CK13" s="27" t="n">
        <f aca="false">IF(Time!CK8&gt;=Inputs!$F$21,IF(CJ13&gt;0,CJ13,1)/(1+Debt!CK9),0)</f>
        <v>0.185843788434209</v>
      </c>
      <c r="CL13" s="27" t="n">
        <f aca="false">IF(Time!CL8&gt;=Inputs!$F$21,IF(CK13&gt;0,CK13,1)/(1+Debt!CL9),0)</f>
        <v>0.180711549485075</v>
      </c>
      <c r="CM13" s="27" t="n">
        <f aca="false">IF(Time!CM8&gt;=Inputs!$F$21,IF(CL13&gt;0,CL13,1)/(1+Debt!CM9),0)</f>
        <v>0.17567839359062</v>
      </c>
      <c r="CN13" s="27" t="n">
        <f aca="false">IF(Time!CN8&gt;=Inputs!$F$21,IF(CM13&gt;0,CM13,1)/(1+Debt!CN9),0)</f>
        <v>0.170813058556466</v>
      </c>
      <c r="CO13" s="27" t="n">
        <f aca="false">IF(Time!CO8&gt;=Inputs!$F$21,IF(CN13&gt;0,CN13,1)/(1+Debt!CO9),0)</f>
        <v>0.166055594216345</v>
      </c>
      <c r="CP13" s="27" t="n">
        <f aca="false">IF(Time!CP8&gt;=Inputs!$F$21,IF(CO13&gt;0,CO13,1)/(1+Debt!CP9),0)</f>
        <v>0.161469823577793</v>
      </c>
      <c r="CQ13" s="27" t="n">
        <f aca="false">IF(Time!CQ8&gt;=Inputs!$F$21,IF(CP13&gt;0,CP13,1)/(1+Debt!CQ9),0)</f>
        <v>0.156972585871444</v>
      </c>
      <c r="CR13" s="27" t="n">
        <f aca="false">IF(Time!CR8&gt;=Inputs!$F$21,IF(CQ13&gt;0,CQ13,1)/(1+Debt!CR9),0)</f>
        <v>0.152637650461746</v>
      </c>
      <c r="CS13" s="27" t="n">
        <f aca="false">IF(Time!CS8&gt;=Inputs!$F$21,IF(CR13&gt;0,CR13,1)/(1+Debt!CS9),0)</f>
        <v>0.148386405356902</v>
      </c>
      <c r="CT13" s="27" t="n">
        <f aca="false">IF(Time!CT8&gt;=Inputs!$F$21,IF(CS13&gt;0,CS13,1)/(1+Debt!CT9),0)</f>
        <v>0.144288584840483</v>
      </c>
      <c r="CU13" s="27" t="n">
        <f aca="false">IF(Time!CU8&gt;=Inputs!$F$21,IF(CT13&gt;0,CT13,1)/(1+Debt!CU9),0)</f>
        <v>0.140269876886499</v>
      </c>
      <c r="CV13" s="27" t="n">
        <f aca="false">IF(Time!CV8&gt;=Inputs!$F$21,IF(CU13&gt;0,CU13,1)/(1+Debt!CV9),0)</f>
        <v>0.136385164985942</v>
      </c>
      <c r="CW13" s="27" t="n">
        <f aca="false">IF(Time!CW8&gt;=Inputs!$F$21,IF(CV13&gt;0,CV13,1)/(1+Debt!CW9),0)</f>
        <v>0.132586582111625</v>
      </c>
      <c r="CX13" s="27" t="n">
        <f aca="false">IF(Time!CX8&gt;=Inputs!$F$21,IF(CW13&gt;0,CW13,1)/(1+Debt!CX9),0)</f>
        <v>0.12892508754902</v>
      </c>
      <c r="CY13" s="27" t="n">
        <f aca="false">IF(Time!CY8&gt;=Inputs!$F$21,IF(CX13&gt;0,CX13,1)/(1+Debt!CY9),0)</f>
        <v>0.125334281835774</v>
      </c>
      <c r="CZ13" s="27" t="n">
        <f aca="false">IF(Time!CZ8&gt;=Inputs!$F$21,IF(CY13&gt;0,CY13,1)/(1+Debt!CZ9),0)</f>
        <v>0.121873065895662</v>
      </c>
      <c r="DA13" s="27" t="n">
        <f aca="false">IF(Time!DA8&gt;=Inputs!$F$21,IF(CZ13&gt;0,CZ13,1)/(1+Debt!DA9),0)</f>
        <v>0.118478672223891</v>
      </c>
      <c r="DB13" s="27" t="n">
        <f aca="false">IF(Time!DB8&gt;=Inputs!$F$21,IF(DA13&gt;0,DA13,1)/(1+Debt!DB9),0)</f>
        <v>0.11520677994623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1.38503395606412</v>
      </c>
      <c r="AE14" s="31" t="n">
        <f aca="false">IF(AND(Time!AE30=1,Debt!AE42+Debt!AE49&gt;Inputs!$F$9),SUMPRODUCT(Waterfall!AE$7:$DB$7,AE$13:$DB$13,Time!AE$30:$DB$30)/(AE13*(1+Debt!AE9))/(Debt!AE42+Debt!AE49),"")</f>
        <v>1.40282450297334</v>
      </c>
      <c r="AF14" s="31" t="n">
        <f aca="false">IF(AND(Time!AF30=1,Debt!AF42+Debt!AF49&gt;Inputs!$F$9),SUMPRODUCT(Waterfall!AF$7:$DB$7,AF$13:$DB$13,Time!AF$30:$DB$30)/(AF13*(1+Debt!AF9))/(Debt!AF42+Debt!AF49),"")</f>
        <v>1.45029220545654</v>
      </c>
      <c r="AG14" s="31" t="n">
        <f aca="false">IF(AND(Time!AG30=1,Debt!AG42+Debt!AG49&gt;Inputs!$F$9),SUMPRODUCT(Waterfall!AG$7:$DB$7,AG$13:$DB$13,Time!AG$30:$DB$30)/(AG13*(1+Debt!AG9))/(Debt!AG42+Debt!AG49),"")</f>
        <v>1.46678552589926</v>
      </c>
      <c r="AH14" s="31" t="n">
        <f aca="false">IF(AND(Time!AH30=1,Debt!AH42+Debt!AH49&gt;Inputs!$F$9),SUMPRODUCT(Waterfall!AH$7:$DB$7,AH$13:$DB$13,Time!AH$30:$DB$30)/(AH13*(1+Debt!AH9))/(Debt!AH42+Debt!AH49),"")</f>
        <v>1.47988736291988</v>
      </c>
      <c r="AI14" s="31" t="n">
        <f aca="false">IF(AND(Time!AI30=1,Debt!AI42+Debt!AI49&gt;Inputs!$F$9),SUMPRODUCT(Waterfall!AI$7:$DB$7,AI$13:$DB$13,Time!AI$30:$DB$30)/(AI13*(1+Debt!AI9))/(Debt!AI42+Debt!AI49),"")</f>
        <v>1.49313473452594</v>
      </c>
      <c r="AJ14" s="31" t="str">
        <f aca="false">IF(AND(Time!AJ30=1,Debt!AJ42+Debt!AJ49&gt;Inputs!$F$9),SUMPRODUCT(Waterfall!AJ$7:$DB$7,AJ$13:$DB$13,Time!AJ$30:$DB$30)/(AJ13*(1+Debt!AJ9))/(Debt!AJ42+Debt!AJ49),"")</f>
        <v/>
      </c>
      <c r="AK14" s="31" t="str">
        <f aca="false">IF(AND(Time!AK30=1,Debt!AK42+Debt!AK49&gt;Inputs!$F$9),SUMPRODUCT(Waterfall!AK$7:$DB$7,AK$13:$DB$13,Time!AK$30:$DB$30)/(AK13*(1+Debt!AK9))/(Debt!AK42+Debt!AK49),"")</f>
        <v/>
      </c>
      <c r="AL14" s="31" t="str">
        <f aca="false">IF(AND(Time!AL30=1,Debt!AL42+Debt!AL49&gt;Inputs!$F$9),SUMPRODUCT(Waterfall!AL$7:$DB$7,AL$13:$DB$13,Time!AL$30:$DB$30)/(AL13*(1+Debt!AL9))/(Debt!AL42+Debt!AL49),"")</f>
        <v/>
      </c>
      <c r="AM14" s="31" t="str">
        <f aca="false">IF(AND(Time!AM30=1,Debt!AM42+Debt!AM49&gt;Inputs!$F$9),SUMPRODUCT(Waterfall!AM$7:$DB$7,AM$13:$DB$13,Time!AM$30:$DB$30)/(AM13*(1+Debt!AM9))/(Debt!AM42+Debt!AM49),"")</f>
        <v/>
      </c>
      <c r="AN14" s="31" t="str">
        <f aca="false">IF(AND(Time!AN30=1,Debt!AN42+Debt!AN49&gt;Inputs!$F$9),SUMPRODUCT(Waterfall!AN$7:$DB$7,AN$13:$DB$13,Time!AN$30:$DB$30)/(AN13*(1+Debt!AN9))/(Debt!AN42+Debt!AN49),"")</f>
        <v/>
      </c>
      <c r="AO14" s="31" t="str">
        <f aca="false">IF(AND(Time!AO30=1,Debt!AO42+Debt!AO49&gt;Inputs!$F$9),SUMPRODUCT(Waterfall!AO$7:$DB$7,AO$13:$DB$13,Time!AO$30:$DB$30)/(AO13*(1+Debt!AO9))/(Debt!AO42+Debt!AO49),"")</f>
        <v/>
      </c>
      <c r="AP14" s="31" t="str">
        <f aca="false">IF(AND(Time!AP30=1,Debt!AP42+Debt!AP49&gt;Inputs!$F$9),SUMPRODUCT(Waterfall!AP$7:$DB$7,AP$13:$DB$13,Time!AP$30:$DB$30)/(AP13*(1+Debt!AP9))/(Debt!AP42+Debt!AP49),"")</f>
        <v/>
      </c>
      <c r="AQ14" s="31" t="str">
        <f aca="false">IF(AND(Time!AQ30=1,Debt!AQ42+Debt!AQ49&gt;Inputs!$F$9),SUMPRODUCT(Waterfall!AQ$7:$DB$7,AQ$13:$DB$13,Time!AQ$30:$DB$30)/(AQ13*(1+Debt!AQ9))/(Debt!AQ42+Debt!AQ49),"")</f>
        <v/>
      </c>
      <c r="AR14" s="31" t="str">
        <f aca="false">IF(AND(Time!AR30=1,Debt!AR42+Debt!AR49&gt;Inputs!$F$9),SUMPRODUCT(Waterfall!AR$7:$DB$7,AR$13:$DB$13,Time!AR$30:$DB$30)/(AR13*(1+Debt!AR9))/(Debt!AR42+Debt!AR49),"")</f>
        <v/>
      </c>
      <c r="AS14" s="31" t="str">
        <f aca="false">IF(AND(Time!AS30=1,Debt!AS42+Debt!AS49&gt;Inputs!$F$9),SUMPRODUCT(Waterfall!AS$7:$DB$7,AS$13:$DB$13,Time!AS$30:$DB$30)/(AS13*(1+Debt!AS9))/(Debt!AS42+Debt!AS49),"")</f>
        <v/>
      </c>
      <c r="AT14" s="31" t="str">
        <f aca="false">IF(AND(Time!AT30=1,Debt!AT42+Debt!AT49&gt;Inputs!$F$9),SUMPRODUCT(Waterfall!AT$7:$DB$7,AT$13:$DB$13,Time!AT$30:$DB$30)/(AT13*(1+Debt!AT9))/(Debt!AT42+Debt!AT49),"")</f>
        <v/>
      </c>
      <c r="AU14" s="31" t="str">
        <f aca="false">IF(AND(Time!AU30=1,Debt!AU42+Debt!AU49&gt;Inputs!$F$9),SUMPRODUCT(Waterfall!AU$7:$DB$7,AU$13:$DB$13,Time!AU$30:$DB$30)/(AU13*(1+Debt!AU9))/(Debt!AU42+Debt!AU49),"")</f>
        <v/>
      </c>
      <c r="AV14" s="31" t="str">
        <f aca="false">IF(AND(Time!AV30=1,Debt!AV42+Debt!AV49&gt;Inputs!$F$9),SUMPRODUCT(Waterfall!AV$7:$DB$7,AV$13:$DB$13,Time!AV$30:$DB$30)/(AV13*(1+Debt!AV9))/(Debt!AV42+Debt!AV49),"")</f>
        <v/>
      </c>
      <c r="AW14" s="31" t="str">
        <f aca="false">IF(AND(Time!AW30=1,Debt!AW42+Debt!AW49&gt;Inputs!$F$9),SUMPRODUCT(Waterfall!AW$7:$DB$7,AW$13:$DB$13,Time!AW$30:$DB$30)/(AW13*(1+Debt!AW9))/(Debt!AW42+Debt!AW49),"")</f>
        <v/>
      </c>
      <c r="AX14" s="31" t="str">
        <f aca="false">IF(AND(Time!AX30=1,Debt!AX42+Debt!AX49&gt;Inputs!$F$9),SUMPRODUCT(Waterfall!AX$7:$DB$7,AX$13:$DB$13,Time!AX$30:$DB$30)/(AX13*(1+Debt!AX9))/(Debt!AX42+Debt!AX49),"")</f>
        <v/>
      </c>
      <c r="AY14" s="31" t="str">
        <f aca="false">IF(AND(Time!AY30=1,Debt!AY42+Debt!AY49&gt;Inputs!$F$9),SUMPRODUCT(Waterfall!AY$7:$DB$7,AY$13:$DB$13,Time!AY$30:$DB$30)/(AY13*(1+Debt!AY9))/(Debt!AY42+Debt!AY49),"")</f>
        <v/>
      </c>
      <c r="AZ14" s="31" t="str">
        <f aca="false">IF(AND(Time!AZ30=1,Debt!AZ42+Debt!AZ49&gt;Inputs!$F$9),SUMPRODUCT(Waterfall!AZ$7:$DB$7,AZ$13:$DB$13,Time!AZ$30:$DB$30)/(AZ13*(1+Debt!AZ9))/(Debt!AZ42+Debt!AZ49),"")</f>
        <v/>
      </c>
      <c r="BA14" s="31" t="str">
        <f aca="false">IF(AND(Time!BA30=1,Debt!BA42+Debt!BA49&gt;Inputs!$F$9),SUMPRODUCT(Waterfall!BA$7:$DB$7,BA$13:$DB$13,Time!BA$30:$DB$30)/(BA13*(1+Debt!BA9))/(Debt!BA42+Debt!BA49),"")</f>
        <v/>
      </c>
      <c r="BB14" s="31" t="str">
        <f aca="false">IF(AND(Time!BB30=1,Debt!BB42+Debt!BB49&gt;Inputs!$F$9),SUMPRODUCT(Waterfall!BB$7:$DB$7,BB$13:$DB$13,Time!BB$30:$DB$30)/(BB13*(1+Debt!BB9))/(Debt!BB42+Debt!BB49),"")</f>
        <v/>
      </c>
      <c r="BC14" s="31" t="str">
        <f aca="false">IF(AND(Time!BC30=1,Debt!BC42+Debt!BC49&gt;Inputs!$F$9),SUMPRODUCT(Waterfall!BC$7:$DB$7,BC$13:$DB$13,Time!BC$30:$DB$30)/(BC13*(1+Debt!BC9))/(Debt!BC42+Debt!BC49),"")</f>
        <v/>
      </c>
      <c r="BD14" s="31" t="str">
        <f aca="false">IF(AND(Time!BD30=1,Debt!BD42+Debt!BD49&gt;Inputs!$F$9),SUMPRODUCT(Waterfall!BD$7:$DB$7,BD$13:$DB$13,Time!BD$30:$DB$30)/(BD13*(1+Debt!BD9))/(Debt!BD42+Debt!BD49),"")</f>
        <v/>
      </c>
      <c r="BE14" s="31" t="str">
        <f aca="false">IF(AND(Time!BE30=1,Debt!BE42+Debt!BE49&gt;Inputs!$F$9),SUMPRODUCT(Waterfall!BE$7:$DB$7,BE$13:$DB$13,Time!BE$30:$DB$30)/(BE13*(1+Debt!BE9))/(Debt!BE42+Debt!BE49),"")</f>
        <v/>
      </c>
      <c r="BF14" s="31" t="str">
        <f aca="false">IF(AND(Time!BF30=1,Debt!BF42+Debt!BF49&gt;Inputs!$F$9),SUMPRODUCT(Waterfall!BF$7:$DB$7,BF$13:$DB$13,Time!BF$30:$DB$30)/(BF13*(1+Debt!BF9))/(Debt!BF42+Debt!BF49),"")</f>
        <v/>
      </c>
      <c r="BG14" s="31" t="str">
        <f aca="false">IF(AND(Time!BG30=1,Debt!BG42+Debt!BG49&gt;Inputs!$F$9),SUMPRODUCT(Waterfall!BG$7:$DB$7,BG$13:$DB$13,Time!BG$30:$DB$30)/(BG13*(1+Debt!BG9))/(Debt!BG42+Debt!BG49),"")</f>
        <v/>
      </c>
      <c r="BH14" s="31" t="str">
        <f aca="false">IF(AND(Time!BH30=1,Debt!BH42+Debt!BH49&gt;Inputs!$F$9),SUMPRODUCT(Waterfall!BH$7:$DB$7,BH$13:$DB$13,Time!BH$30:$DB$30)/(BH13*(1+Debt!BH9))/(Debt!BH42+Debt!BH49),"")</f>
        <v/>
      </c>
      <c r="BI14" s="31" t="str">
        <f aca="false">IF(AND(Time!BI30=1,Debt!BI42+Debt!BI49&gt;Inputs!$F$9),SUMPRODUCT(Waterfall!BI$7:$DB$7,BI$13:$DB$13,Time!BI$30:$DB$30)/(BI13*(1+Debt!BI9))/(Debt!BI42+Debt!BI49),"")</f>
        <v/>
      </c>
      <c r="BJ14" s="31" t="str">
        <f aca="false">IF(AND(Time!BJ30=1,Debt!BJ42+Debt!BJ49&gt;Inputs!$F$9),SUMPRODUCT(Waterfall!BJ$7:$DB$7,BJ$13:$DB$13,Time!BJ$30:$DB$30)/(BJ13*(1+Debt!BJ9))/(Debt!BJ42+Debt!BJ49),"")</f>
        <v/>
      </c>
      <c r="BK14" s="31" t="str">
        <f aca="false">IF(AND(Time!BK30=1,Debt!BK42+Debt!BK49&gt;Inputs!$F$9),SUMPRODUCT(Waterfall!BK$7:$DB$7,BK$13:$DB$13,Time!BK$30:$DB$30)/(BK13*(1+Debt!BK9))/(Debt!BK42+Debt!BK49),"")</f>
        <v/>
      </c>
      <c r="BL14" s="31" t="str">
        <f aca="false">IF(AND(Time!BL30=1,Debt!BL42+Debt!BL49&gt;Inputs!$F$9),SUMPRODUCT(Waterfall!BL$7:$DB$7,BL$13:$DB$13,Time!BL$30:$DB$30)/(BL13*(1+Debt!BL9))/(Debt!BL42+Debt!BL49),"")</f>
        <v/>
      </c>
      <c r="BM14" s="31" t="str">
        <f aca="false">IF(AND(Time!BM30=1,Debt!BM42+Debt!BM49&gt;Inputs!$F$9),SUMPRODUCT(Waterfall!BM$7:$DB$7,BM$13:$DB$13,Time!BM$30:$DB$30)/(BM13*(1+Debt!BM9))/(Debt!BM42+Debt!BM49),"")</f>
        <v/>
      </c>
      <c r="BN14" s="31" t="str">
        <f aca="false">IF(AND(Time!BN30=1,Debt!BN42+Debt!BN49&gt;Inputs!$F$9),SUMPRODUCT(Waterfall!BN$7:$DB$7,BN$13:$DB$13,Time!BN$30:$DB$30)/(BN13*(1+Debt!BN9))/(Debt!BN42+Debt!BN49),"")</f>
        <v/>
      </c>
      <c r="BO14" s="31" t="str">
        <f aca="false">IF(AND(Time!BO30=1,Debt!BO42+Debt!BO49&gt;Inputs!$F$9),SUMPRODUCT(Waterfall!BO$7:$DB$7,BO$13:$DB$13,Time!BO$30:$DB$30)/(BO13*(1+Debt!BO9))/(Debt!BO42+Debt!BO49),"")</f>
        <v/>
      </c>
      <c r="BP14" s="31" t="str">
        <f aca="false">IF(AND(Time!BP30=1,Debt!BP42+Debt!BP49&gt;Inputs!$F$9),SUMPRODUCT(Waterfall!BP$7:$DB$7,BP$13:$DB$13,Time!BP$30:$DB$30)/(BP13*(1+Debt!BP9))/(Debt!BP42+Debt!BP49),"")</f>
        <v/>
      </c>
      <c r="BQ14" s="31" t="str">
        <f aca="false">IF(AND(Time!BQ30=1,Debt!BQ42+Debt!BQ49&gt;Inputs!$F$9),SUMPRODUCT(Waterfall!BQ$7:$DB$7,BQ$13:$DB$13,Time!BQ$30:$DB$30)/(BQ13*(1+Debt!BQ9))/(Debt!BQ42+Debt!BQ49),"")</f>
        <v/>
      </c>
      <c r="BR14" s="31" t="str">
        <f aca="false">IF(AND(Time!BR30=1,Debt!BR42+Debt!BR49&gt;Inputs!$F$9),SUMPRODUCT(Waterfall!BR$7:$DB$7,BR$13:$DB$13,Time!BR$30:$DB$30)/(BR13*(1+Debt!BR9))/(Debt!BR42+Debt!BR49),"")</f>
        <v/>
      </c>
      <c r="BS14" s="31" t="str">
        <f aca="false">IF(AND(Time!BS30=1,Debt!BS42+Debt!BS49&gt;Inputs!$F$9),SUMPRODUCT(Waterfall!BS$7:$DB$7,BS$13:$DB$13,Time!BS$30:$DB$30)/(BS13*(1+Debt!BS9))/(Debt!BS42+Debt!BS49),"")</f>
        <v/>
      </c>
      <c r="BT14" s="31" t="str">
        <f aca="false">IF(AND(Time!BT30=1,Debt!BT42+Debt!BT49&gt;Inputs!$F$9),SUMPRODUCT(Waterfall!BT$7:$DB$7,BT$13:$DB$13,Time!BT$30:$DB$30)/(BT13*(1+Debt!BT9))/(Debt!BT42+Debt!BT49),"")</f>
        <v/>
      </c>
      <c r="BU14" s="31" t="str">
        <f aca="false">IF(AND(Time!BU30=1,Debt!BU42+Debt!BU49&gt;Inputs!$F$9),SUMPRODUCT(Waterfall!BU$7:$DB$7,BU$13:$DB$13,Time!BU$30:$DB$30)/(BU13*(1+Debt!BU9))/(Debt!BU42+Debt!BU49),"")</f>
        <v/>
      </c>
      <c r="BV14" s="31" t="str">
        <f aca="false">IF(AND(Time!BV30=1,Debt!BV42+Debt!BV49&gt;Inputs!$F$9),SUMPRODUCT(Waterfall!BV$7:$DB$7,BV$13:$DB$13,Time!BV$30:$DB$30)/(BV13*(1+Debt!BV9))/(Debt!BV42+Debt!BV49),"")</f>
        <v/>
      </c>
      <c r="BW14" s="31" t="str">
        <f aca="false">IF(AND(Time!BW30=1,Debt!BW42+Debt!BW49&gt;Inputs!$F$9),SUMPRODUCT(Waterfall!BW$7:$DB$7,BW$13:$DB$13,Time!BW$30:$DB$30)/(BW13*(1+Debt!BW9))/(Debt!BW42+Debt!BW49),"")</f>
        <v/>
      </c>
      <c r="BX14" s="31" t="str">
        <f aca="false">IF(AND(Time!BX30=1,Debt!BX42+Debt!BX49&gt;Inputs!$F$9),SUMPRODUCT(Waterfall!BX$7:$DB$7,BX$13:$DB$13,Time!BX$30:$DB$30)/(BX13*(1+Debt!BX9))/(Debt!BX42+Debt!BX49),"")</f>
        <v/>
      </c>
      <c r="BY14" s="31" t="str">
        <f aca="false">IF(AND(Time!BY30=1,Debt!BY42+Debt!BY49&gt;Inputs!$F$9),SUMPRODUCT(Waterfall!BY$7:$DB$7,BY$13:$DB$13,Time!BY$30:$DB$30)/(BY13*(1+Debt!BY9))/(Debt!BY42+Debt!BY49),"")</f>
        <v/>
      </c>
      <c r="BZ14" s="31" t="str">
        <f aca="false">IF(AND(Time!BZ30=1,Debt!BZ42+Debt!BZ49&gt;Inputs!$F$9),SUMPRODUCT(Waterfall!BZ$7:$DB$7,BZ$13:$DB$13,Time!BZ$30:$DB$30)/(BZ13*(1+Debt!BZ9))/(Debt!BZ42+Debt!BZ49),"")</f>
        <v/>
      </c>
      <c r="CA14" s="31" t="str">
        <f aca="false">IF(AND(Time!CA30=1,Debt!CA42+Debt!CA49&gt;Inputs!$F$9),SUMPRODUCT(Waterfall!CA$7:$DB$7,CA$13:$DB$13,Time!CA$30:$DB$30)/(CA13*(1+Debt!CA9))/(Debt!CA42+Debt!CA49),"")</f>
        <v/>
      </c>
      <c r="CB14" s="31" t="str">
        <f aca="false">IF(AND(Time!CB30=1,Debt!CB42+Debt!CB49&gt;Inputs!$F$9),SUMPRODUCT(Waterfall!CB$7:$DB$7,CB$13:$DB$13,Time!CB$30:$DB$30)/(CB13*(1+Debt!CB9))/(Debt!CB42+Debt!CB49),"")</f>
        <v/>
      </c>
      <c r="CC14" s="31" t="str">
        <f aca="false">IF(AND(Time!CC30=1,Debt!CC42+Debt!CC49&gt;Inputs!$F$9),SUMPRODUCT(Waterfall!CC$7:$DB$7,CC$13:$DB$13,Time!CC$30:$DB$30)/(CC13*(1+Debt!CC9))/(Debt!CC42+Debt!CC49),"")</f>
        <v/>
      </c>
      <c r="CD14" s="31" t="str">
        <f aca="false">IF(AND(Time!CD30=1,Debt!CD42+Debt!CD49&gt;Inputs!$F$9),SUMPRODUCT(Waterfall!CD$7:$DB$7,CD$13:$DB$13,Time!CD$30:$DB$30)/(CD13*(1+Debt!CD9))/(Debt!CD42+Debt!CD49),"")</f>
        <v/>
      </c>
      <c r="CE14" s="31" t="str">
        <f aca="false">IF(AND(Time!CE30=1,Debt!CE42+Debt!CE49&gt;Inputs!$F$9),SUMPRODUCT(Waterfall!CE$7:$DB$7,CE$13:$DB$13,Time!CE$30:$DB$30)/(CE13*(1+Debt!CE9))/(Debt!CE42+Debt!CE49),"")</f>
        <v/>
      </c>
      <c r="CF14" s="31" t="str">
        <f aca="false">IF(AND(Time!CF30=1,Debt!CF42+Debt!CF49&gt;Inputs!$F$9),SUMPRODUCT(Waterfall!CF$7:$DB$7,CF$13:$DB$13,Time!CF$30:$DB$30)/(CF13*(1+Debt!CF9))/(Debt!CF42+Debt!CF49),"")</f>
        <v/>
      </c>
      <c r="CG14" s="31" t="str">
        <f aca="false">IF(AND(Time!CG30=1,Debt!CG42+Debt!CG49&gt;Inputs!$F$9),SUMPRODUCT(Waterfall!CG$7:$DB$7,CG$13:$DB$13,Time!CG$30:$DB$30)/(CG13*(1+Debt!CG9))/(Debt!CG42+Debt!CG49),"")</f>
        <v/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1.38503395606412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1.38503395606412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1.71374950911797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n">
        <f aca="false">IF(AND(Time!AJ37=1,Debt!AJ68&gt;Inputs!$F$9),Waterfall!AJ7/Debt!AJ68,"")</f>
        <v>1.95130984311688</v>
      </c>
      <c r="AK18" s="31" t="n">
        <f aca="false">IF(AND(Time!AK37=1,Debt!AK68&gt;Inputs!$F$9),Waterfall!AK7/Debt!AK68,"")</f>
        <v>2.24703731070405</v>
      </c>
      <c r="AL18" s="31" t="n">
        <f aca="false">IF(AND(Time!AL37=1,Debt!AL68&gt;Inputs!$F$9),Waterfall!AL7/Debt!AL68,"")</f>
        <v>2.26043147776175</v>
      </c>
      <c r="AM18" s="31" t="n">
        <f aca="false">IF(AND(Time!AM37=1,Debt!AM68&gt;Inputs!$F$9),Waterfall!AM7/Debt!AM68,"")</f>
        <v>2.49530563292841</v>
      </c>
      <c r="AN18" s="31" t="n">
        <f aca="false">IF(AND(Time!AN37=1,Debt!AN68&gt;Inputs!$F$9),Waterfall!AN7/Debt!AN68,"")</f>
        <v>2.47870870781474</v>
      </c>
      <c r="AO18" s="31" t="n">
        <f aca="false">IF(AND(Time!AO37=1,Debt!AO68&gt;Inputs!$F$9),Waterfall!AO7/Debt!AO68,"")</f>
        <v>2.93778689728227</v>
      </c>
      <c r="AP18" s="31" t="n">
        <f aca="false">IF(AND(Time!AP37=1,Debt!AP68&gt;Inputs!$F$9),Waterfall!AP7/Debt!AP68,"")</f>
        <v>3.02291626160188</v>
      </c>
      <c r="AQ18" s="31" t="n">
        <f aca="false">IF(AND(Time!AQ37=1,Debt!AQ68&gt;Inputs!$F$9),Waterfall!AQ7/Debt!AQ68,"")</f>
        <v>2.47939206597625</v>
      </c>
      <c r="AR18" s="31" t="n">
        <f aca="false">IF(AND(Time!AR37=1,Debt!AR68&gt;Inputs!$F$9),Waterfall!AR7/Debt!AR68,"")</f>
        <v>2.45622688976205</v>
      </c>
      <c r="AS18" s="31" t="n">
        <f aca="false">IF(AND(Time!AS37=1,Debt!AS68&gt;Inputs!$F$9),Waterfall!AS7/Debt!AS68,"")</f>
        <v>2.53443666205782</v>
      </c>
      <c r="AT18" s="31" t="n">
        <f aca="false">IF(AND(Time!AT37=1,Debt!AT68&gt;Inputs!$F$9),Waterfall!AT7/Debt!AT68,"")</f>
        <v>2.59957343493338</v>
      </c>
      <c r="AU18" s="31" t="n">
        <f aca="false">IF(AND(Time!AU37=1,Debt!AU68&gt;Inputs!$F$9),Waterfall!AU7/Debt!AU68,"")</f>
        <v>2.78550713073399</v>
      </c>
      <c r="AV18" s="31" t="n">
        <f aca="false">IF(AND(Time!AV37=1,Debt!AV68&gt;Inputs!$F$9),Waterfall!AV7/Debt!AV68,"")</f>
        <v>2.8666619764375</v>
      </c>
      <c r="AW18" s="31" t="n">
        <f aca="false">IF(AND(Time!AW37=1,Debt!AW68&gt;Inputs!$F$9),Waterfall!AW7/Debt!AW68,"")</f>
        <v>3.47375931904134</v>
      </c>
      <c r="AX18" s="31" t="n">
        <f aca="false">IF(AND(Time!AX37=1,Debt!AX68&gt;Inputs!$F$9),Waterfall!AX7/Debt!AX68,"")</f>
        <v>3.58607484017342</v>
      </c>
      <c r="AY18" s="31" t="n">
        <f aca="false">IF(AND(Time!AY37=1,Debt!AY68&gt;Inputs!$F$9),Waterfall!AY7/Debt!AY68,"")</f>
        <v>3.63493425173544</v>
      </c>
      <c r="AZ18" s="31" t="n">
        <f aca="false">IF(AND(Time!AZ37=1,Debt!AZ68&gt;Inputs!$F$9),Waterfall!AZ7/Debt!AZ68,"")</f>
        <v>3.62327112085254</v>
      </c>
      <c r="BA18" s="31" t="n">
        <f aca="false">IF(AND(Time!BA37=1,Debt!BA68&gt;Inputs!$F$9),Waterfall!BA7/Debt!BA68,"")</f>
        <v>3.64379577537165</v>
      </c>
      <c r="BB18" s="31" t="n">
        <f aca="false">IF(AND(Time!BB37=1,Debt!BB68&gt;Inputs!$F$9),Waterfall!BB7/Debt!BB68,"")</f>
        <v>3.49291249597865</v>
      </c>
      <c r="BC18" s="31" t="n">
        <f aca="false">IF(AND(Time!BC37=1,Debt!BC68&gt;Inputs!$F$9),Waterfall!BC7/Debt!BC68,"")</f>
        <v>3.32686117287293</v>
      </c>
      <c r="BD18" s="31" t="n">
        <f aca="false">IF(AND(Time!BD37=1,Debt!BD68&gt;Inputs!$F$9),Waterfall!BD7/Debt!BD68,"")</f>
        <v>3.32574559314008</v>
      </c>
      <c r="BE18" s="31" t="n">
        <f aca="false">IF(AND(Time!BE37=1,Debt!BE68&gt;Inputs!$F$9),Waterfall!BE7/Debt!BE68,"")</f>
        <v>3.2360223027523</v>
      </c>
      <c r="BF18" s="31" t="n">
        <f aca="false">IF(AND(Time!BF37=1,Debt!BF68&gt;Inputs!$F$9),Waterfall!BF7/Debt!BF68,"")</f>
        <v>3.26677173380276</v>
      </c>
      <c r="BG18" s="31" t="n">
        <f aca="false">IF(AND(Time!BG37=1,Debt!BG68&gt;Inputs!$F$9),Waterfall!BG7/Debt!BG68,"")</f>
        <v>3.29696453916146</v>
      </c>
      <c r="BH18" s="31" t="n">
        <f aca="false">IF(AND(Time!BH37=1,Debt!BH68&gt;Inputs!$F$9),Waterfall!BH7/Debt!BH68,"")</f>
        <v>3.29461795834998</v>
      </c>
      <c r="BI18" s="31" t="n">
        <f aca="false">IF(AND(Time!BI37=1,Debt!BI68&gt;Inputs!$F$9),Waterfall!BI7/Debt!BI68,"")</f>
        <v>3.26988758961422</v>
      </c>
      <c r="BJ18" s="31" t="n">
        <f aca="false">IF(AND(Time!BJ37=1,Debt!BJ68&gt;Inputs!$F$9),Waterfall!BJ7/Debt!BJ68,"")</f>
        <v>3.27150879693798</v>
      </c>
      <c r="BK18" s="31" t="n">
        <f aca="false">IF(AND(Time!BK37=1,Debt!BK68&gt;Inputs!$F$9),Waterfall!BK7/Debt!BK68,"")</f>
        <v>3.2439401336283</v>
      </c>
      <c r="BL18" s="31" t="n">
        <f aca="false">IF(AND(Time!BL37=1,Debt!BL68&gt;Inputs!$F$9),Waterfall!BL7/Debt!BL68,"")</f>
        <v>3.24550181548464</v>
      </c>
      <c r="BM18" s="31" t="n">
        <f aca="false">IF(AND(Time!BM37=1,Debt!BM68&gt;Inputs!$F$9),Waterfall!BM7/Debt!BM68,"")</f>
        <v>3.21919490915526</v>
      </c>
      <c r="BN18" s="31" t="n">
        <f aca="false">IF(AND(Time!BN37=1,Debt!BN68&gt;Inputs!$F$9),Waterfall!BN7/Debt!BN68,"")</f>
        <v>3.22070357759314</v>
      </c>
      <c r="BO18" s="31" t="n">
        <f aca="false">IF(AND(Time!BO37=1,Debt!BO68&gt;Inputs!$F$9),Waterfall!BO7/Debt!BO68,"")</f>
        <v>3.48472379818783</v>
      </c>
      <c r="BP18" s="31" t="n">
        <f aca="false">IF(AND(Time!BP37=1,Debt!BP68&gt;Inputs!$F$9),Waterfall!BP7/Debt!BP68,"")</f>
        <v>3.47837619632563</v>
      </c>
      <c r="BQ18" s="31" t="n">
        <f aca="false">IF(AND(Time!BQ37=1,Debt!BQ68&gt;Inputs!$F$9),Waterfall!BQ7/Debt!BQ68,"")</f>
        <v>3.42986099333076</v>
      </c>
      <c r="BR18" s="31" t="n">
        <f aca="false">IF(AND(Time!BR37=1,Debt!BR68&gt;Inputs!$F$9),Waterfall!BR7/Debt!BR68,"")</f>
        <v>3.44305305416583</v>
      </c>
      <c r="BS18" s="31" t="n">
        <f aca="false">IF(AND(Time!BS37=1,Debt!BS68&gt;Inputs!$F$9),Waterfall!BS7/Debt!BS68,"")</f>
        <v>3.3917230319932</v>
      </c>
      <c r="BT18" s="31" t="n">
        <f aca="false">IF(AND(Time!BT37=1,Debt!BT68&gt;Inputs!$F$9),Waterfall!BT7/Debt!BT68,"")</f>
        <v>3.40411000271142</v>
      </c>
      <c r="BU18" s="31" t="n">
        <f aca="false">IF(AND(Time!BU37=1,Debt!BU68&gt;Inputs!$F$9),Waterfall!BU7/Debt!BU68,"")</f>
        <v>3.0397815947192</v>
      </c>
      <c r="BV18" s="31" t="n">
        <f aca="false">IF(AND(Time!BV37=1,Debt!BV68&gt;Inputs!$F$9),Waterfall!BV7/Debt!BV68,"")</f>
        <v>3.04363681054681</v>
      </c>
      <c r="BW18" s="31" t="n">
        <f aca="false">IF(AND(Time!BW37=1,Debt!BW68&gt;Inputs!$F$9),Waterfall!BW7/Debt!BW68,"")</f>
        <v>3.10299234909678</v>
      </c>
      <c r="BX18" s="31" t="n">
        <f aca="false">IF(AND(Time!BX37=1,Debt!BX68&gt;Inputs!$F$9),Waterfall!BX7/Debt!BX68,"")</f>
        <v>3.12719400271389</v>
      </c>
      <c r="BY18" s="31" t="n">
        <f aca="false">IF(AND(Time!BY37=1,Debt!BY68&gt;Inputs!$F$9),Waterfall!BY7/Debt!BY68,"")</f>
        <v>3.10995583719915</v>
      </c>
      <c r="BZ18" s="31" t="n">
        <f aca="false">IF(AND(Time!BZ37=1,Debt!BZ68&gt;Inputs!$F$9),Waterfall!BZ7/Debt!BZ68,"")</f>
        <v>3.11580717449995</v>
      </c>
      <c r="CA18" s="31" t="n">
        <f aca="false">IF(AND(Time!CA37=1,Debt!CA68&gt;Inputs!$F$9),Waterfall!CA7/Debt!CA68,"")</f>
        <v>3.19546436828825</v>
      </c>
      <c r="CB18" s="31" t="n">
        <f aca="false">IF(AND(Time!CB37=1,Debt!CB68&gt;Inputs!$F$9),Waterfall!CB7/Debt!CB68,"")</f>
        <v>3.20359352165442</v>
      </c>
      <c r="CC18" s="31" t="n">
        <f aca="false">IF(AND(Time!CC37=1,Debt!CC68&gt;Inputs!$F$9),Waterfall!CC7/Debt!CC68,"")</f>
        <v>3.17586152540757</v>
      </c>
      <c r="CD18" s="31" t="n">
        <f aca="false">IF(AND(Time!CD37=1,Debt!CD68&gt;Inputs!$F$9),Waterfall!CD7/Debt!CD68,"")</f>
        <v>3.18379984526347</v>
      </c>
      <c r="CE18" s="31" t="n">
        <f aca="false">IF(AND(Time!CE37=1,Debt!CE68&gt;Inputs!$F$9),Waterfall!CE7/Debt!CE68,"")</f>
        <v>3.21247105341661</v>
      </c>
      <c r="CF18" s="31" t="n">
        <f aca="false">IF(AND(Time!CF37=1,Debt!CF68&gt;Inputs!$F$9),Waterfall!CF7/Debt!CF68,"")</f>
        <v>3.2167630105404</v>
      </c>
      <c r="CG18" s="31" t="n">
        <f aca="false">IF(AND(Time!CG37=1,Debt!CG68&gt;Inputs!$F$9),Waterfall!CG7/Debt!CG68,"")</f>
        <v>2.98449316912171</v>
      </c>
      <c r="CH18" s="31" t="n">
        <f aca="false">IF(AND(Time!CH37=1,Debt!CH68&gt;Inputs!$F$9),Waterfall!CH7/Debt!CH68,"")</f>
        <v>3.09880443234315</v>
      </c>
      <c r="CI18" s="31" t="n">
        <f aca="false">IF(AND(Time!CI37=1,Debt!CI68&gt;Inputs!$F$9),Waterfall!CI7/Debt!CI68,"")</f>
        <v>3.07827654944919</v>
      </c>
      <c r="CJ18" s="31" t="n">
        <f aca="false">IF(AND(Time!CJ37=1,Debt!CJ68&gt;Inputs!$F$9),Waterfall!CJ7/Debt!CJ68,"")</f>
        <v>12.7435889540214</v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1.95130984311688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3.28400176399535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6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17.1473819891426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-424.715624010809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-22.5</v>
      </c>
      <c r="AE6" s="29" t="n">
        <f aca="false">Waterfall!AE61</f>
        <v>-22.5</v>
      </c>
      <c r="AF6" s="29" t="n">
        <f aca="false">Waterfall!AF61</f>
        <v>0</v>
      </c>
      <c r="AG6" s="29" t="n">
        <f aca="false">Waterfall!AG61</f>
        <v>0</v>
      </c>
      <c r="AH6" s="29" t="n">
        <f aca="false">Waterfall!AH61</f>
        <v>0</v>
      </c>
      <c r="AI6" s="29" t="n">
        <f aca="false">Waterfall!AI61</f>
        <v>0</v>
      </c>
      <c r="AJ6" s="29" t="n">
        <f aca="false">Waterfall!AJ61</f>
        <v>0</v>
      </c>
      <c r="AK6" s="29" t="n">
        <f aca="false">Waterfall!AK61</f>
        <v>0</v>
      </c>
      <c r="AL6" s="29" t="n">
        <f aca="false">Waterfall!AL61</f>
        <v>0</v>
      </c>
      <c r="AM6" s="29" t="n">
        <f aca="false">Waterfall!AM61</f>
        <v>0</v>
      </c>
      <c r="AN6" s="29" t="n">
        <f aca="false">Waterfall!AN61</f>
        <v>0</v>
      </c>
      <c r="AO6" s="29" t="n">
        <f aca="false">Waterfall!AO61</f>
        <v>0</v>
      </c>
      <c r="AP6" s="29" t="n">
        <f aca="false">Waterfall!AP61</f>
        <v>0</v>
      </c>
      <c r="AQ6" s="29" t="n">
        <f aca="false">Waterfall!AQ61</f>
        <v>0</v>
      </c>
      <c r="AR6" s="29" t="n">
        <f aca="false">Waterfall!AR61</f>
        <v>0</v>
      </c>
      <c r="AS6" s="29" t="n">
        <f aca="false">Waterfall!AS61</f>
        <v>0</v>
      </c>
      <c r="AT6" s="29" t="n">
        <f aca="false">Waterfall!AT61</f>
        <v>0</v>
      </c>
      <c r="AU6" s="29" t="n">
        <f aca="false">Waterfall!AU61</f>
        <v>0</v>
      </c>
      <c r="AV6" s="29" t="n">
        <f aca="false">Waterfall!AV61</f>
        <v>0</v>
      </c>
      <c r="AW6" s="29" t="n">
        <f aca="false">Waterfall!AW61</f>
        <v>0</v>
      </c>
      <c r="AX6" s="29" t="n">
        <f aca="false">Waterfall!AX61</f>
        <v>0</v>
      </c>
      <c r="AY6" s="29" t="n">
        <f aca="false">Waterfall!AY61</f>
        <v>0</v>
      </c>
      <c r="AZ6" s="29" t="n">
        <f aca="false">Waterfall!AZ61</f>
        <v>0</v>
      </c>
      <c r="BA6" s="29" t="n">
        <f aca="false">Waterfall!BA61</f>
        <v>0</v>
      </c>
      <c r="BB6" s="29" t="n">
        <f aca="false">Waterfall!BB61</f>
        <v>0</v>
      </c>
      <c r="BC6" s="29" t="n">
        <f aca="false">Waterfall!BC61</f>
        <v>0</v>
      </c>
      <c r="BD6" s="29" t="n">
        <f aca="false">Waterfall!BD61</f>
        <v>0</v>
      </c>
      <c r="BE6" s="29" t="n">
        <f aca="false">Waterfall!BE61</f>
        <v>0</v>
      </c>
      <c r="BF6" s="29" t="n">
        <f aca="false">Waterfall!BF61</f>
        <v>0</v>
      </c>
      <c r="BG6" s="29" t="n">
        <f aca="false">Waterfall!BG61</f>
        <v>0</v>
      </c>
      <c r="BH6" s="29" t="n">
        <f aca="false">Waterfall!BH61</f>
        <v>0</v>
      </c>
      <c r="BI6" s="29" t="n">
        <f aca="false">Waterfall!BI61</f>
        <v>0</v>
      </c>
      <c r="BJ6" s="29" t="n">
        <f aca="false">Waterfall!BJ61</f>
        <v>0</v>
      </c>
      <c r="BK6" s="29" t="n">
        <f aca="false">Waterfall!BK61</f>
        <v>0</v>
      </c>
      <c r="BL6" s="29" t="n">
        <f aca="false">Waterfall!BL61</f>
        <v>0</v>
      </c>
      <c r="BM6" s="29" t="n">
        <f aca="false">Waterfall!BM61</f>
        <v>0</v>
      </c>
      <c r="BN6" s="29" t="n">
        <f aca="false">Waterfall!BN61</f>
        <v>0</v>
      </c>
      <c r="BO6" s="29" t="n">
        <f aca="false">Waterfall!BO61</f>
        <v>0</v>
      </c>
      <c r="BP6" s="29" t="n">
        <f aca="false">Waterfall!BP61</f>
        <v>0</v>
      </c>
      <c r="BQ6" s="29" t="n">
        <f aca="false">Waterfall!BQ61</f>
        <v>0</v>
      </c>
      <c r="BR6" s="29" t="n">
        <f aca="false">Waterfall!BR61</f>
        <v>0</v>
      </c>
      <c r="BS6" s="29" t="n">
        <f aca="false">Waterfall!BS61</f>
        <v>0</v>
      </c>
      <c r="BT6" s="29" t="n">
        <f aca="false">Waterfall!BT61</f>
        <v>0</v>
      </c>
      <c r="BU6" s="29" t="n">
        <f aca="false">Waterfall!BU61</f>
        <v>0</v>
      </c>
      <c r="BV6" s="29" t="n">
        <f aca="false">Waterfall!BV61</f>
        <v>0</v>
      </c>
      <c r="BW6" s="29" t="n">
        <f aca="false">Waterfall!BW61</f>
        <v>0</v>
      </c>
      <c r="BX6" s="29" t="n">
        <f aca="false">Waterfall!BX61</f>
        <v>0</v>
      </c>
      <c r="BY6" s="29" t="n">
        <f aca="false">Waterfall!BY61</f>
        <v>0</v>
      </c>
      <c r="BZ6" s="29" t="n">
        <f aca="false">Waterfall!BZ61</f>
        <v>0</v>
      </c>
      <c r="CA6" s="29" t="n">
        <f aca="false">Waterfall!CA61</f>
        <v>0</v>
      </c>
      <c r="CB6" s="29" t="n">
        <f aca="false">Waterfall!CB61</f>
        <v>0</v>
      </c>
      <c r="CC6" s="29" t="n">
        <f aca="false">Waterfall!CC61</f>
        <v>0</v>
      </c>
      <c r="CD6" s="29" t="n">
        <f aca="false">Waterfall!CD61</f>
        <v>0</v>
      </c>
      <c r="CE6" s="29" t="n">
        <f aca="false">Waterfall!CE61</f>
        <v>0</v>
      </c>
      <c r="CF6" s="29" t="n">
        <f aca="false">Waterfall!CF61</f>
        <v>0</v>
      </c>
      <c r="CG6" s="29" t="n">
        <f aca="false">Waterfall!CG61</f>
        <v>0</v>
      </c>
      <c r="CH6" s="29" t="n">
        <f aca="false">Waterfall!CH61</f>
        <v>0</v>
      </c>
      <c r="CI6" s="29" t="n">
        <f aca="false">Waterfall!CI61</f>
        <v>0</v>
      </c>
      <c r="CJ6" s="29" t="n">
        <f aca="false">Waterfall!CJ61</f>
        <v>0</v>
      </c>
      <c r="CK6" s="29" t="n">
        <f aca="false">Waterfall!CK61</f>
        <v>0</v>
      </c>
      <c r="CL6" s="29" t="n">
        <f aca="false">Waterfall!CL61</f>
        <v>0</v>
      </c>
      <c r="CM6" s="29" t="n">
        <f aca="false">Waterfall!CM61</f>
        <v>0</v>
      </c>
      <c r="CN6" s="29" t="n">
        <f aca="false">Waterfall!CN61</f>
        <v>0</v>
      </c>
      <c r="CO6" s="29" t="n">
        <f aca="false">Waterfall!CO61</f>
        <v>0</v>
      </c>
      <c r="CP6" s="29" t="n">
        <f aca="false">Waterfall!CP61</f>
        <v>0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str">
        <f aca="false">IFERROR(XIRR($J$6:$DB$6,Time!$J$8:$DB$8),"n/a")</f>
        <v>n/a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-375.127033580962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424.715624010809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3186.4014308574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-90.316615797031</v>
      </c>
      <c r="Z11" s="19" t="n">
        <f aca="false">-Construction!Z13+Funding!Z39+Waterfall!Z7*(1-Time!Z20)-Operations!Z45</f>
        <v>301.8335477229</v>
      </c>
      <c r="AA11" s="19" t="n">
        <f aca="false">-Construction!AA13+Funding!AA39+Waterfall!AA7*(1-Time!AA20)-Operations!AA45</f>
        <v>17.0914884408586</v>
      </c>
      <c r="AB11" s="19" t="n">
        <f aca="false">-Construction!AB13+Funding!AB39+Waterfall!AB7*(1-Time!AB20)-Operations!AB45</f>
        <v>8.99854340070927</v>
      </c>
      <c r="AC11" s="19" t="n">
        <f aca="false">-Construction!AC13+Funding!AC39+Waterfall!AC7*(1-Time!AC20)-Operations!AC45</f>
        <v>16.4507987511094</v>
      </c>
      <c r="AD11" s="19" t="n">
        <f aca="false">-Construction!AD13+Funding!AD39+Waterfall!AD7*(1-Time!AD20)-Operations!AD45</f>
        <v>18.005820723622</v>
      </c>
      <c r="AE11" s="19" t="n">
        <f aca="false">-Construction!AE13+Funding!AE39+Waterfall!AE7*(1-Time!AE20)-Operations!AE45</f>
        <v>23.0650335069316</v>
      </c>
      <c r="AF11" s="19" t="n">
        <f aca="false">-Construction!AF13+Funding!AF39+Waterfall!AF7*(1-Time!AF20)-Operations!AF45</f>
        <v>19.7110588731622</v>
      </c>
      <c r="AG11" s="19" t="n">
        <f aca="false">-Construction!AG13+Funding!AG39+Waterfall!AG7*(1-Time!AG20)-Operations!AG45</f>
        <v>24.8127200956232</v>
      </c>
      <c r="AH11" s="19" t="n">
        <f aca="false">-Construction!AH13+Funding!AH39+Waterfall!AH7*(1-Time!AH20)-Operations!AH45</f>
        <v>24.6930763855976</v>
      </c>
      <c r="AI11" s="19" t="n">
        <f aca="false">-Construction!AI13+Funding!AI39+Waterfall!AI7*(1-Time!AI20)-Operations!AI45</f>
        <v>25.3575479901645</v>
      </c>
      <c r="AJ11" s="19" t="n">
        <f aca="false">-Construction!AJ13+Funding!AJ39+Waterfall!AJ7*(1-Time!AJ20)-Operations!AJ45</f>
        <v>11.022759139989</v>
      </c>
      <c r="AK11" s="19" t="n">
        <f aca="false">-Construction!AK13+Funding!AK39+Waterfall!AK7*(1-Time!AK20)-Operations!AK45</f>
        <v>14.4871311257348</v>
      </c>
      <c r="AL11" s="19" t="n">
        <f aca="false">-Construction!AL13+Funding!AL39+Waterfall!AL7*(1-Time!AL20)-Operations!AL45</f>
        <v>14.1303197109686</v>
      </c>
      <c r="AM11" s="19" t="n">
        <f aca="false">-Construction!AM13+Funding!AM39+Waterfall!AM7*(1-Time!AM20)-Operations!AM45</f>
        <v>17.02670748443</v>
      </c>
      <c r="AN11" s="19" t="n">
        <f aca="false">-Construction!AN13+Funding!AN39+Waterfall!AN7*(1-Time!AN20)-Operations!AN45</f>
        <v>35.6574115938493</v>
      </c>
      <c r="AO11" s="19" t="n">
        <f aca="false">-Construction!AO13+Funding!AO39+Waterfall!AO7*(1-Time!AO20)-Operations!AO45</f>
        <v>41.4541021839148</v>
      </c>
      <c r="AP11" s="19" t="n">
        <f aca="false">-Construction!AP13+Funding!AP39+Waterfall!AP7*(1-Time!AP20)-Operations!AP45</f>
        <v>41.9053772617615</v>
      </c>
      <c r="AQ11" s="19" t="n">
        <f aca="false">-Construction!AQ13+Funding!AQ39+Waterfall!AQ7*(1-Time!AQ20)-Operations!AQ45</f>
        <v>33.2086098971247</v>
      </c>
      <c r="AR11" s="19" t="n">
        <f aca="false">-Construction!AR13+Funding!AR39+Waterfall!AR7*(1-Time!AR20)-Operations!AR45</f>
        <v>32.2664229327247</v>
      </c>
      <c r="AS11" s="19" t="n">
        <f aca="false">-Construction!AS13+Funding!AS39+Waterfall!AS7*(1-Time!AS20)-Operations!AS45</f>
        <v>32.6673554404873</v>
      </c>
      <c r="AT11" s="19" t="n">
        <f aca="false">-Construction!AT13+Funding!AT39+Waterfall!AT7*(1-Time!AT20)-Operations!AT45</f>
        <v>32.8432043594126</v>
      </c>
      <c r="AU11" s="19" t="n">
        <f aca="false">-Construction!AU13+Funding!AU39+Waterfall!AU7*(1-Time!AU20)-Operations!AU45</f>
        <v>34.4655051397935</v>
      </c>
      <c r="AV11" s="19" t="n">
        <f aca="false">-Construction!AV13+Funding!AV39+Waterfall!AV7*(1-Time!AV20)-Operations!AV45</f>
        <v>34.6526356060643</v>
      </c>
      <c r="AW11" s="19" t="n">
        <f aca="false">-Construction!AW13+Funding!AW39+Waterfall!AW7*(1-Time!AW20)-Operations!AW45</f>
        <v>43.6141626388462</v>
      </c>
      <c r="AX11" s="19" t="n">
        <f aca="false">-Construction!AX13+Funding!AX39+Waterfall!AX7*(1-Time!AX20)-Operations!AX45</f>
        <v>43.6761725196293</v>
      </c>
      <c r="AY11" s="19" t="n">
        <f aca="false">-Construction!AY13+Funding!AY39+Waterfall!AY7*(1-Time!AY20)-Operations!AY45</f>
        <v>42.0638103585527</v>
      </c>
      <c r="AZ11" s="19" t="n">
        <f aca="false">-Construction!AZ13+Funding!AZ39+Waterfall!AZ7*(1-Time!AZ20)-Operations!AZ45</f>
        <v>42.4339081472409</v>
      </c>
      <c r="BA11" s="19" t="n">
        <f aca="false">-Construction!BA13+Funding!BA39+Waterfall!BA7*(1-Time!BA20)-Operations!BA45</f>
        <v>41.7472817853526</v>
      </c>
      <c r="BB11" s="19" t="n">
        <f aca="false">-Construction!BB13+Funding!BB39+Waterfall!BB7*(1-Time!BB20)-Operations!BB45</f>
        <v>39.6482193769798</v>
      </c>
      <c r="BC11" s="19" t="n">
        <f aca="false">-Construction!BC13+Funding!BC39+Waterfall!BC7*(1-Time!BC20)-Operations!BC45</f>
        <v>56.1527904209994</v>
      </c>
      <c r="BD11" s="19" t="n">
        <f aca="false">-Construction!BD13+Funding!BD39+Waterfall!BD7*(1-Time!BD20)-Operations!BD45</f>
        <v>56.2273275719272</v>
      </c>
      <c r="BE11" s="19" t="n">
        <f aca="false">-Construction!BE13+Funding!BE39+Waterfall!BE7*(1-Time!BE20)-Operations!BE45</f>
        <v>63.1594734825397</v>
      </c>
      <c r="BF11" s="19" t="n">
        <f aca="false">-Construction!BF13+Funding!BF39+Waterfall!BF7*(1-Time!BF20)-Operations!BF45</f>
        <v>60.5068509332598</v>
      </c>
      <c r="BG11" s="19" t="n">
        <f aca="false">-Construction!BG13+Funding!BG39+Waterfall!BG7*(1-Time!BG20)-Operations!BG45</f>
        <v>58.3210689181156</v>
      </c>
      <c r="BH11" s="19" t="n">
        <f aca="false">-Construction!BH13+Funding!BH39+Waterfall!BH7*(1-Time!BH20)-Operations!BH45</f>
        <v>58.5042973907921</v>
      </c>
      <c r="BI11" s="19" t="n">
        <f aca="false">-Construction!BI13+Funding!BI39+Waterfall!BI7*(1-Time!BI20)-Operations!BI45</f>
        <v>60.401996979779</v>
      </c>
      <c r="BJ11" s="19" t="n">
        <f aca="false">-Construction!BJ13+Funding!BJ39+Waterfall!BJ7*(1-Time!BJ20)-Operations!BJ45</f>
        <v>60.2729756656549</v>
      </c>
      <c r="BK11" s="19" t="n">
        <f aca="false">-Construction!BK13+Funding!BK39+Waterfall!BK7*(1-Time!BK20)-Operations!BK45</f>
        <v>62.5649417778169</v>
      </c>
      <c r="BL11" s="19" t="n">
        <f aca="false">-Construction!BL13+Funding!BL39+Waterfall!BL7*(1-Time!BL20)-Operations!BL45</f>
        <v>62.4294618479714</v>
      </c>
      <c r="BM11" s="19" t="n">
        <f aca="false">-Construction!BM13+Funding!BM39+Waterfall!BM7*(1-Time!BM20)-Operations!BM45</f>
        <v>64.8131206052633</v>
      </c>
      <c r="BN11" s="19" t="n">
        <f aca="false">-Construction!BN13+Funding!BN39+Waterfall!BN7*(1-Time!BN20)-Operations!BN45</f>
        <v>64.6705048958496</v>
      </c>
      <c r="BO11" s="19" t="n">
        <f aca="false">-Construction!BO13+Funding!BO39+Waterfall!BO7*(1-Time!BO20)-Operations!BO45</f>
        <v>47.7073675683716</v>
      </c>
      <c r="BP11" s="19" t="n">
        <f aca="false">-Construction!BP13+Funding!BP39+Waterfall!BP7*(1-Time!BP20)-Operations!BP45</f>
        <v>47.9880660603619</v>
      </c>
      <c r="BQ11" s="19" t="n">
        <f aca="false">-Construction!BQ13+Funding!BQ39+Waterfall!BQ7*(1-Time!BQ20)-Operations!BQ45</f>
        <v>50.2828058561231</v>
      </c>
      <c r="BR11" s="19" t="n">
        <f aca="false">-Construction!BR13+Funding!BR39+Waterfall!BR7*(1-Time!BR20)-Operations!BR45</f>
        <v>49.6303915749486</v>
      </c>
      <c r="BS11" s="19" t="n">
        <f aca="false">-Construction!BS13+Funding!BS39+Waterfall!BS7*(1-Time!BS20)-Operations!BS45</f>
        <v>52.298772442366</v>
      </c>
      <c r="BT11" s="19" t="n">
        <f aca="false">-Construction!BT13+Funding!BT39+Waterfall!BT7*(1-Time!BT20)-Operations!BT45</f>
        <v>51.6209431642013</v>
      </c>
      <c r="BU11" s="19" t="n">
        <f aca="false">-Construction!BU13+Funding!BU39+Waterfall!BU7*(1-Time!BU20)-Operations!BU45</f>
        <v>89.8424358926629</v>
      </c>
      <c r="BV11" s="19" t="n">
        <f aca="false">-Construction!BV13+Funding!BV39+Waterfall!BV7*(1-Time!BV20)-Operations!BV45</f>
        <v>89.061924376185</v>
      </c>
      <c r="BW11" s="19" t="n">
        <f aca="false">-Construction!BW13+Funding!BW39+Waterfall!BW7*(1-Time!BW20)-Operations!BW45</f>
        <v>78.5259161971874</v>
      </c>
      <c r="BX11" s="19" t="n">
        <f aca="false">-Construction!BX13+Funding!BX39+Waterfall!BX7*(1-Time!BX20)-Operations!BX45</f>
        <v>75.2374861756489</v>
      </c>
      <c r="BY11" s="19" t="n">
        <f aca="false">-Construction!BY13+Funding!BY39+Waterfall!BY7*(1-Time!BY20)-Operations!BY45</f>
        <v>77.6598171553233</v>
      </c>
      <c r="BZ11" s="19" t="n">
        <f aca="false">-Construction!BZ13+Funding!BZ39+Waterfall!BZ7*(1-Time!BZ20)-Operations!BZ45</f>
        <v>76.8165912350313</v>
      </c>
      <c r="CA11" s="19" t="n">
        <f aca="false">-Construction!CA13+Funding!CA39+Waterfall!CA7*(1-Time!CA20)-Operations!CA45</f>
        <v>67.1708358465255</v>
      </c>
      <c r="CB11" s="19" t="n">
        <f aca="false">-Construction!CB13+Funding!CB39+Waterfall!CB7*(1-Time!CB20)-Operations!CB45</f>
        <v>66.3426510556007</v>
      </c>
      <c r="CC11" s="19" t="n">
        <f aca="false">-Construction!CC13+Funding!CC39+Waterfall!CC7*(1-Time!CC20)-Operations!CC45</f>
        <v>69.399650533258</v>
      </c>
      <c r="CD11" s="19" t="n">
        <f aca="false">-Construction!CD13+Funding!CD39+Waterfall!CD7*(1-Time!CD20)-Operations!CD45</f>
        <v>68.5402969452887</v>
      </c>
      <c r="CE11" s="19" t="n">
        <f aca="false">-Construction!CE13+Funding!CE39+Waterfall!CE7*(1-Time!CE20)-Operations!CE45</f>
        <v>65.6050990698115</v>
      </c>
      <c r="CF11" s="19" t="n">
        <f aca="false">-Construction!CF13+Funding!CF39+Waterfall!CF7*(1-Time!CF20)-Operations!CF45</f>
        <v>65.1900467059611</v>
      </c>
      <c r="CG11" s="19" t="n">
        <f aca="false">-Construction!CG13+Funding!CG39+Waterfall!CG7*(1-Time!CG20)-Operations!CG45</f>
        <v>103.128821265406</v>
      </c>
      <c r="CH11" s="19" t="n">
        <f aca="false">-Construction!CH13+Funding!CH39+Waterfall!CH7*(1-Time!CH20)-Operations!CH45</f>
        <v>79.4934471592548</v>
      </c>
      <c r="CI11" s="19" t="n">
        <f aca="false">-Construction!CI13+Funding!CI39+Waterfall!CI7*(1-Time!CI20)-Operations!CI45</f>
        <v>82.8028169178667</v>
      </c>
      <c r="CJ11" s="19" t="n">
        <f aca="false">-Construction!CJ13+Funding!CJ39+Waterfall!CJ7*(1-Time!CJ20)-Operations!CJ45</f>
        <v>81.8091872370815</v>
      </c>
      <c r="CK11" s="19" t="n">
        <f aca="false">-Construction!CK13+Funding!CK39+Waterfall!CK7*(1-Time!CK20)-Operations!CK45</f>
        <v>102.375088413017</v>
      </c>
      <c r="CL11" s="19" t="n">
        <f aca="false">-Construction!CL13+Funding!CL39+Waterfall!CL7*(1-Time!CL20)-Operations!CL45</f>
        <v>90.6020636347948</v>
      </c>
      <c r="CM11" s="19" t="n">
        <f aca="false">-Construction!CM13+Funding!CM39+Waterfall!CM7*(1-Time!CM20)-Operations!CM45</f>
        <v>74.8831022611121</v>
      </c>
      <c r="CN11" s="19" t="n">
        <f aca="false">-Construction!CN13+Funding!CN39+Waterfall!CN7*(1-Time!CN20)-Operations!CN45</f>
        <v>74.5712503087766</v>
      </c>
      <c r="CO11" s="19" t="n">
        <f aca="false">-Construction!CO13+Funding!CO39+Waterfall!CO7*(1-Time!CO20)-Operations!CO45</f>
        <v>77.9017856002315</v>
      </c>
      <c r="CP11" s="19" t="n">
        <f aca="false">-Construction!CP13+Funding!CP39+Waterfall!CP7*(1-Time!CP20)-Operations!CP45</f>
        <v>77.0471256016325</v>
      </c>
      <c r="CQ11" s="19" t="n">
        <f aca="false">-Construction!CQ13+Funding!CQ39+Waterfall!CQ7*(1-Time!CQ20)-Operations!CQ45</f>
        <v>80.9825138268942</v>
      </c>
      <c r="CR11" s="19" t="n">
        <f aca="false">-Construction!CR13+Funding!CR39+Waterfall!CR7*(1-Time!CR20)-Operations!CR45</f>
        <v>80.0559082041861</v>
      </c>
      <c r="CS11" s="19" t="n">
        <f aca="false">-Construction!CS13+Funding!CS39+Waterfall!CS7*(1-Time!CS20)-Operations!CS45</f>
        <v>125.896157296543</v>
      </c>
      <c r="CT11" s="19" t="n">
        <f aca="false">-Construction!CT13+Funding!CT39+Waterfall!CT7*(1-Time!CT20)-Operations!CT45</f>
        <v>91.5804595753685</v>
      </c>
      <c r="CU11" s="19" t="n">
        <f aca="false">-Construction!CU13+Funding!CU39+Waterfall!CU7*(1-Time!CU20)-Operations!CU45</f>
        <v>87.3709623339191</v>
      </c>
      <c r="CV11" s="19" t="n">
        <f aca="false">-Construction!CV13+Funding!CV39+Waterfall!CV7*(1-Time!CV20)-Operations!CV45</f>
        <v>86.673422823051</v>
      </c>
      <c r="CW11" s="19" t="n">
        <f aca="false">-Construction!CW13+Funding!CW39+Waterfall!CW7*(1-Time!CW20)-Operations!CW45</f>
        <v>90.4030159970879</v>
      </c>
      <c r="CX11" s="19" t="n">
        <f aca="false">-Construction!CX13+Funding!CX39+Waterfall!CX7*(1-Time!CX20)-Operations!CX45</f>
        <v>89.0820261185741</v>
      </c>
      <c r="CY11" s="19" t="n">
        <f aca="false">-Construction!CY13+Funding!CY39+Waterfall!CY7*(1-Time!CY20)-Operations!CY45</f>
        <v>93.5368552077883</v>
      </c>
      <c r="CZ11" s="19" t="n">
        <f aca="false">-Construction!CZ13+Funding!CZ39+Waterfall!CZ7*(1-Time!CZ20)-Operations!CZ45</f>
        <v>92.1777942346027</v>
      </c>
      <c r="DA11" s="19" t="n">
        <f aca="false">-Construction!DA13+Funding!DA39+Waterfall!DA7*(1-Time!DA20)-Operations!DA45</f>
        <v>117.507083821186</v>
      </c>
      <c r="DB11" s="19" t="n">
        <f aca="false">-Construction!DB13+Funding!DB39+Waterfall!DB7*(1-Time!DB20)-Operations!DB45</f>
        <v>121.983902080668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0.0454117797098716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4170.24107007479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-90.316615797031</v>
      </c>
      <c r="Z13" s="19" t="n">
        <f aca="false">Z11+Tax!Z23</f>
        <v>301.8335477229</v>
      </c>
      <c r="AA13" s="19" t="n">
        <f aca="false">AA11+Tax!AA23</f>
        <v>17.0914884408586</v>
      </c>
      <c r="AB13" s="19" t="n">
        <f aca="false">AB11+Tax!AB23</f>
        <v>8.99854340070927</v>
      </c>
      <c r="AC13" s="19" t="n">
        <f aca="false">AC11+Tax!AC23</f>
        <v>16.4507987511094</v>
      </c>
      <c r="AD13" s="19" t="n">
        <f aca="false">AD11+Tax!AD23</f>
        <v>18.005820723622</v>
      </c>
      <c r="AE13" s="19" t="n">
        <f aca="false">AE11+Tax!AE23</f>
        <v>23.0650335069316</v>
      </c>
      <c r="AF13" s="19" t="n">
        <f aca="false">AF11+Tax!AF23</f>
        <v>19.7110588731622</v>
      </c>
      <c r="AG13" s="19" t="n">
        <f aca="false">AG11+Tax!AG23</f>
        <v>24.8127200956232</v>
      </c>
      <c r="AH13" s="19" t="n">
        <f aca="false">AH11+Tax!AH23</f>
        <v>24.6930763855976</v>
      </c>
      <c r="AI13" s="19" t="n">
        <f aca="false">AI11+Tax!AI23</f>
        <v>25.3575479901645</v>
      </c>
      <c r="AJ13" s="19" t="n">
        <f aca="false">AJ11+Tax!AJ23</f>
        <v>11.022759139989</v>
      </c>
      <c r="AK13" s="19" t="n">
        <f aca="false">AK11+Tax!AK23</f>
        <v>14.4871311257348</v>
      </c>
      <c r="AL13" s="19" t="n">
        <f aca="false">AL11+Tax!AL23</f>
        <v>14.1303197109686</v>
      </c>
      <c r="AM13" s="19" t="n">
        <f aca="false">AM11+Tax!AM23</f>
        <v>17.02670748443</v>
      </c>
      <c r="AN13" s="19" t="n">
        <f aca="false">AN11+Tax!AN23</f>
        <v>36.1580428496174</v>
      </c>
      <c r="AO13" s="19" t="n">
        <f aca="false">AO11+Tax!AO23</f>
        <v>41.4541021839148</v>
      </c>
      <c r="AP13" s="19" t="n">
        <f aca="false">AP11+Tax!AP23</f>
        <v>41.9053772617615</v>
      </c>
      <c r="AQ13" s="19" t="n">
        <f aca="false">AQ11+Tax!AQ23</f>
        <v>33.2086098971247</v>
      </c>
      <c r="AR13" s="19" t="n">
        <f aca="false">AR11+Tax!AR23</f>
        <v>33.9250122268913</v>
      </c>
      <c r="AS13" s="19" t="n">
        <f aca="false">AS11+Tax!AS23</f>
        <v>35.8325396352094</v>
      </c>
      <c r="AT13" s="19" t="n">
        <f aca="false">AT11+Tax!AT23</f>
        <v>36.3281970709648</v>
      </c>
      <c r="AU13" s="19" t="n">
        <f aca="false">AU11+Tax!AU23</f>
        <v>38.6124902123244</v>
      </c>
      <c r="AV13" s="19" t="n">
        <f aca="false">AV11+Tax!AV23</f>
        <v>39.1362881091795</v>
      </c>
      <c r="AW13" s="19" t="n">
        <f aca="false">AW11+Tax!AW23</f>
        <v>43.6141626388462</v>
      </c>
      <c r="AX13" s="19" t="n">
        <f aca="false">AX11+Tax!AX23</f>
        <v>43.6761725196293</v>
      </c>
      <c r="AY13" s="19" t="n">
        <f aca="false">AY11+Tax!AY23</f>
        <v>42.0638103585527</v>
      </c>
      <c r="AZ13" s="19" t="n">
        <f aca="false">AZ11+Tax!AZ23</f>
        <v>42.4339081472409</v>
      </c>
      <c r="BA13" s="19" t="n">
        <f aca="false">BA11+Tax!BA23</f>
        <v>44.7099570227762</v>
      </c>
      <c r="BB13" s="19" t="n">
        <f aca="false">BB11+Tax!BB23</f>
        <v>44.7795504904603</v>
      </c>
      <c r="BC13" s="19" t="n">
        <f aca="false">BC11+Tax!BC23</f>
        <v>56.1527904209994</v>
      </c>
      <c r="BD13" s="19" t="n">
        <f aca="false">BD11+Tax!BD23</f>
        <v>56.2273275719272</v>
      </c>
      <c r="BE13" s="19" t="n">
        <f aca="false">BE11+Tax!BE23</f>
        <v>63.1594734825397</v>
      </c>
      <c r="BF13" s="19" t="n">
        <f aca="false">BF11+Tax!BF23</f>
        <v>63.2391142403063</v>
      </c>
      <c r="BG13" s="19" t="n">
        <f aca="false">BG11+Tax!BG23</f>
        <v>66.2145423416339</v>
      </c>
      <c r="BH13" s="19" t="n">
        <f aca="false">BH11+Tax!BH23</f>
        <v>66.6659541589967</v>
      </c>
      <c r="BI13" s="19" t="n">
        <f aca="false">BI11+Tax!BI23</f>
        <v>69.389570180963</v>
      </c>
      <c r="BJ13" s="19" t="n">
        <f aca="false">BJ11+Tax!BJ23</f>
        <v>69.4778586411815</v>
      </c>
      <c r="BK13" s="19" t="n">
        <f aca="false">BK11+Tax!BK23</f>
        <v>72.7139515602218</v>
      </c>
      <c r="BL13" s="19" t="n">
        <f aca="false">BL11+Tax!BL23</f>
        <v>72.807808034265</v>
      </c>
      <c r="BM13" s="19" t="n">
        <f aca="false">BM11+Tax!BM23</f>
        <v>76.1951727634341</v>
      </c>
      <c r="BN13" s="19" t="n">
        <f aca="false">BN11+Tax!BN23</f>
        <v>76.2947738320384</v>
      </c>
      <c r="BO13" s="19" t="n">
        <f aca="false">BO11+Tax!BO23</f>
        <v>60.3975770123994</v>
      </c>
      <c r="BP13" s="19" t="n">
        <f aca="false">BP11+Tax!BP23</f>
        <v>60.9450625202906</v>
      </c>
      <c r="BQ13" s="19" t="n">
        <f aca="false">BQ11+Tax!BQ23</f>
        <v>64.2095598437501</v>
      </c>
      <c r="BR13" s="19" t="n">
        <f aca="false">BR11+Tax!BR23</f>
        <v>63.4786577733985</v>
      </c>
      <c r="BS13" s="19" t="n">
        <f aca="false">BS11+Tax!BS23</f>
        <v>67.2518465277342</v>
      </c>
      <c r="BT13" s="19" t="n">
        <f aca="false">BT11+Tax!BT23</f>
        <v>66.4965972184997</v>
      </c>
      <c r="BU13" s="19" t="n">
        <f aca="false">BU11+Tax!BU23</f>
        <v>89.8424358926629</v>
      </c>
      <c r="BV13" s="19" t="n">
        <f aca="false">BV11+Tax!BV23</f>
        <v>89.061924376185</v>
      </c>
      <c r="BW13" s="19" t="n">
        <f aca="false">BW11+Tax!BW23</f>
        <v>93.1008750005474</v>
      </c>
      <c r="BX13" s="19" t="n">
        <f aca="false">BX11+Tax!BX23</f>
        <v>92.8040230583604</v>
      </c>
      <c r="BY13" s="19" t="n">
        <f aca="false">BY11+Tax!BY23</f>
        <v>96.470623973408</v>
      </c>
      <c r="BZ13" s="19" t="n">
        <f aca="false">BZ11+Tax!BZ23</f>
        <v>95.6367642328382</v>
      </c>
      <c r="CA13" s="19" t="n">
        <f aca="false">CA11+Tax!CA23</f>
        <v>87.4021276518753</v>
      </c>
      <c r="CB13" s="19" t="n">
        <f aca="false">CB11+Tax!CB23</f>
        <v>86.5401416025469</v>
      </c>
      <c r="CC13" s="19" t="n">
        <f aca="false">CC11+Tax!CC23</f>
        <v>91.0318648586256</v>
      </c>
      <c r="CD13" s="19" t="n">
        <f aca="false">CD11+Tax!CD23</f>
        <v>90.1428154333419</v>
      </c>
      <c r="CE13" s="19" t="n">
        <f aca="false">CE11+Tax!CE23</f>
        <v>88.7056526411794</v>
      </c>
      <c r="CF13" s="19" t="n">
        <f aca="false">CF11+Tax!CF23</f>
        <v>88.3740948265839</v>
      </c>
      <c r="CG13" s="19" t="n">
        <f aca="false">CG11+Tax!CG23</f>
        <v>105.128953631518</v>
      </c>
      <c r="CH13" s="19" t="n">
        <f aca="false">CH11+Tax!CH23</f>
        <v>104.178082327766</v>
      </c>
      <c r="CI13" s="19" t="n">
        <f aca="false">CI11+Tax!CI23</f>
        <v>109.155323130595</v>
      </c>
      <c r="CJ13" s="19" t="n">
        <f aca="false">CJ11+Tax!CJ23</f>
        <v>108.174069741626</v>
      </c>
      <c r="CK13" s="19" t="n">
        <f aca="false">CK11+Tax!CK23</f>
        <v>119.387145070285</v>
      </c>
      <c r="CL13" s="19" t="n">
        <f aca="false">CL11+Tax!CL23</f>
        <v>118.372050426402</v>
      </c>
      <c r="CM13" s="19" t="n">
        <f aca="false">CM11+Tax!CM23</f>
        <v>104.264240009027</v>
      </c>
      <c r="CN13" s="19" t="n">
        <f aca="false">CN11+Tax!CN23</f>
        <v>103.893962601547</v>
      </c>
      <c r="CO13" s="19" t="n">
        <f aca="false">CO11+Tax!CO23</f>
        <v>108.714136939428</v>
      </c>
      <c r="CP13" s="19" t="n">
        <f aca="false">CP11+Tax!CP23</f>
        <v>107.629885211445</v>
      </c>
      <c r="CQ13" s="19" t="n">
        <f aca="false">CQ11+Tax!CQ23</f>
        <v>113.330981927859</v>
      </c>
      <c r="CR13" s="19" t="n">
        <f aca="false">CR11+Tax!CR23</f>
        <v>112.211402069287</v>
      </c>
      <c r="CS13" s="19" t="n">
        <f aca="false">CS11+Tax!CS23</f>
        <v>125.896157296543</v>
      </c>
      <c r="CT13" s="19" t="n">
        <f aca="false">CT11+Tax!CT23</f>
        <v>124.448232611223</v>
      </c>
      <c r="CU13" s="19" t="n">
        <f aca="false">CU11+Tax!CU23</f>
        <v>123.166627411002</v>
      </c>
      <c r="CV13" s="19" t="n">
        <f aca="false">CV11+Tax!CV23</f>
        <v>122.453999153022</v>
      </c>
      <c r="CW13" s="19" t="n">
        <f aca="false">CW11+Tax!CW23</f>
        <v>127.980232491981</v>
      </c>
      <c r="CX13" s="19" t="n">
        <f aca="false">CX11+Tax!CX23</f>
        <v>126.4373292986</v>
      </c>
      <c r="CY13" s="19" t="n">
        <f aca="false">CY11+Tax!CY23</f>
        <v>132.966828162383</v>
      </c>
      <c r="CZ13" s="19" t="n">
        <f aca="false">CZ11+Tax!CZ23</f>
        <v>131.375275662974</v>
      </c>
      <c r="DA13" s="19" t="n">
        <f aca="false">DA11+Tax!DA23</f>
        <v>145.536497170583</v>
      </c>
      <c r="DB13" s="19" t="n">
        <f aca="false">DB11+Tax!DB23</f>
        <v>121.983902080668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0.0519382121190039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308.968576291052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5824.14107007479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14.4335477229002</v>
      </c>
      <c r="AA17" s="19" t="n">
        <f aca="false">Operations!AA32-Operations!AA44-Operations!AA36-Reserves!AA22+Operations!AA31</f>
        <v>17.0914884408586</v>
      </c>
      <c r="AB17" s="19" t="n">
        <f aca="false">Operations!AB32-Operations!AB44-Operations!AB36-Reserves!AB22+Operations!AB31</f>
        <v>8.99854340070927</v>
      </c>
      <c r="AC17" s="19" t="n">
        <f aca="false">Operations!AC32-Operations!AC44-Operations!AC36-Reserves!AC22+Operations!AC31</f>
        <v>16.4507987511094</v>
      </c>
      <c r="AD17" s="19" t="n">
        <f aca="false">Operations!AD32-Operations!AD44-Operations!AD36-Reserves!AD22+Operations!AD31</f>
        <v>18.005820723622</v>
      </c>
      <c r="AE17" s="19" t="n">
        <f aca="false">Operations!AE32-Operations!AE44-Operations!AE36-Reserves!AE22+Operations!AE31</f>
        <v>23.0650335069316</v>
      </c>
      <c r="AF17" s="19" t="n">
        <f aca="false">Operations!AF32-Operations!AF44-Operations!AF36-Reserves!AF22+Operations!AF31</f>
        <v>25.1110588731622</v>
      </c>
      <c r="AG17" s="19" t="n">
        <f aca="false">Operations!AG32-Operations!AG44-Operations!AG36-Reserves!AG22+Operations!AG31</f>
        <v>30.2127200956232</v>
      </c>
      <c r="AH17" s="19" t="n">
        <f aca="false">Operations!AH32-Operations!AH44-Operations!AH36-Reserves!AH22+Operations!AH31</f>
        <v>30.0930763855976</v>
      </c>
      <c r="AI17" s="19" t="n">
        <f aca="false">Operations!AI32-Operations!AI44-Operations!AI36-Reserves!AI22+Operations!AI31</f>
        <v>34.117290759295</v>
      </c>
      <c r="AJ17" s="19" t="n">
        <f aca="false">Operations!AJ32-Operations!AJ44-Operations!AJ36-Reserves!AJ22+Operations!AJ31</f>
        <v>33.9575019091195</v>
      </c>
      <c r="AK17" s="19" t="n">
        <f aca="false">Operations!AK32-Operations!AK44-Operations!AK36-Reserves!AK22+Operations!AK31</f>
        <v>37.4218738948652</v>
      </c>
      <c r="AL17" s="19" t="n">
        <f aca="false">Operations!AL32-Operations!AL44-Operations!AL36-Reserves!AL22+Operations!AL31</f>
        <v>37.065062480099</v>
      </c>
      <c r="AM17" s="19" t="n">
        <f aca="false">Operations!AM32-Operations!AM44-Operations!AM36-Reserves!AM22+Operations!AM31</f>
        <v>39.9614502535605</v>
      </c>
      <c r="AN17" s="19" t="n">
        <f aca="false">Operations!AN32-Operations!AN44-Operations!AN36-Reserves!AN22+Operations!AN31</f>
        <v>39.5177856187479</v>
      </c>
      <c r="AO17" s="19" t="n">
        <f aca="false">Operations!AO32-Operations!AO44-Operations!AO36-Reserves!AO22+Operations!AO31</f>
        <v>21.2956455691319</v>
      </c>
      <c r="AP17" s="19" t="n">
        <f aca="false">Operations!AP32-Operations!AP44-Operations!AP36-Reserves!AP22+Operations!AP31</f>
        <v>41.9053772617615</v>
      </c>
      <c r="AQ17" s="19" t="n">
        <f aca="false">Operations!AQ32-Operations!AQ44-Operations!AQ36-Reserves!AQ22+Operations!AQ31</f>
        <v>43.9557708693808</v>
      </c>
      <c r="AR17" s="19" t="n">
        <f aca="false">Operations!AR32-Operations!AR44-Operations!AR36-Reserves!AR22+Operations!AR31</f>
        <v>44.6721731991474</v>
      </c>
      <c r="AS17" s="19" t="n">
        <f aca="false">Operations!AS32-Operations!AS44-Operations!AS36-Reserves!AS22+Operations!AS31</f>
        <v>46.5797006074655</v>
      </c>
      <c r="AT17" s="19" t="n">
        <f aca="false">Operations!AT32-Operations!AT44-Operations!AT36-Reserves!AT22+Operations!AT31</f>
        <v>47.0753580432209</v>
      </c>
      <c r="AU17" s="19" t="n">
        <f aca="false">Operations!AU32-Operations!AU44-Operations!AU36-Reserves!AU22+Operations!AU31</f>
        <v>49.3596511845805</v>
      </c>
      <c r="AV17" s="19" t="n">
        <f aca="false">Operations!AV32-Operations!AV44-Operations!AV36-Reserves!AV22+Operations!AV31</f>
        <v>49.8834490814356</v>
      </c>
      <c r="AW17" s="19" t="n">
        <f aca="false">Operations!AW32-Operations!AW44-Operations!AW36-Reserves!AW22+Operations!AW31</f>
        <v>-12.2022494624184</v>
      </c>
      <c r="AX17" s="19" t="n">
        <f aca="false">Operations!AX32-Operations!AX44-Operations!AX36-Reserves!AX22+Operations!AX31</f>
        <v>52.3427262519014</v>
      </c>
      <c r="AY17" s="19" t="n">
        <f aca="false">Operations!AY32-Operations!AY44-Operations!AY36-Reserves!AY22+Operations!AY31</f>
        <v>54.8238844156214</v>
      </c>
      <c r="AZ17" s="19" t="n">
        <f aca="false">Operations!AZ32-Operations!AZ44-Operations!AZ36-Reserves!AZ22+Operations!AZ31</f>
        <v>55.1939822043096</v>
      </c>
      <c r="BA17" s="19" t="n">
        <f aca="false">Operations!BA32-Operations!BA44-Operations!BA36-Reserves!BA22+Operations!BA31</f>
        <v>57.4700310798449</v>
      </c>
      <c r="BB17" s="19" t="n">
        <f aca="false">Operations!BB32-Operations!BB44-Operations!BB36-Reserves!BB22+Operations!BB31</f>
        <v>57.539624547529</v>
      </c>
      <c r="BC17" s="19" t="n">
        <f aca="false">Operations!BC32-Operations!BC44-Operations!BC36-Reserves!BC22+Operations!BC31</f>
        <v>8.24698835216316</v>
      </c>
      <c r="BD17" s="19" t="n">
        <f aca="false">Operations!BD32-Operations!BD44-Operations!BD36-Reserves!BD22+Operations!BD31</f>
        <v>60.3208478967237</v>
      </c>
      <c r="BE17" s="19" t="n">
        <f aca="false">Operations!BE32-Operations!BE44-Operations!BE36-Reserves!BE22+Operations!BE31</f>
        <v>38.5983515337604</v>
      </c>
      <c r="BF17" s="19" t="n">
        <f aca="false">Operations!BF32-Operations!BF44-Operations!BF36-Reserves!BF22+Operations!BF31</f>
        <v>63.2391142403063</v>
      </c>
      <c r="BG17" s="19" t="n">
        <f aca="false">Operations!BG32-Operations!BG44-Operations!BG36-Reserves!BG22+Operations!BG31</f>
        <v>66.2145423416339</v>
      </c>
      <c r="BH17" s="19" t="n">
        <f aca="false">Operations!BH32-Operations!BH44-Operations!BH36-Reserves!BH22+Operations!BH31</f>
        <v>66.6659541589967</v>
      </c>
      <c r="BI17" s="19" t="n">
        <f aca="false">Operations!BI32-Operations!BI44-Operations!BI36-Reserves!BI22+Operations!BI31</f>
        <v>69.389570180963</v>
      </c>
      <c r="BJ17" s="19" t="n">
        <f aca="false">Operations!BJ32-Operations!BJ44-Operations!BJ36-Reserves!BJ22+Operations!BJ31</f>
        <v>69.4778586411815</v>
      </c>
      <c r="BK17" s="19" t="n">
        <f aca="false">Operations!BK32-Operations!BK44-Operations!BK36-Reserves!BK22+Operations!BK31</f>
        <v>72.7139515602218</v>
      </c>
      <c r="BL17" s="19" t="n">
        <f aca="false">Operations!BL32-Operations!BL44-Operations!BL36-Reserves!BL22+Operations!BL31</f>
        <v>72.807808034265</v>
      </c>
      <c r="BM17" s="19" t="n">
        <f aca="false">Operations!BM32-Operations!BM44-Operations!BM36-Reserves!BM22+Operations!BM31</f>
        <v>76.1951727634341</v>
      </c>
      <c r="BN17" s="19" t="n">
        <f aca="false">Operations!BN32-Operations!BN44-Operations!BN36-Reserves!BN22+Operations!BN31</f>
        <v>76.2947738320384</v>
      </c>
      <c r="BO17" s="19" t="n">
        <f aca="false">Operations!BO32-Operations!BO44-Operations!BO36-Reserves!BO22+Operations!BO31</f>
        <v>79.8388707211105</v>
      </c>
      <c r="BP17" s="19" t="n">
        <f aca="false">Operations!BP32-Operations!BP44-Operations!BP36-Reserves!BP22+Operations!BP31</f>
        <v>80.3863562290017</v>
      </c>
      <c r="BQ17" s="19" t="n">
        <f aca="false">Operations!BQ32-Operations!BQ44-Operations!BQ36-Reserves!BQ22+Operations!BQ31</f>
        <v>83.6508535524612</v>
      </c>
      <c r="BR17" s="19" t="n">
        <f aca="false">Operations!BR32-Operations!BR44-Operations!BR36-Reserves!BR22+Operations!BR31</f>
        <v>82.9199514821096</v>
      </c>
      <c r="BS17" s="19" t="n">
        <f aca="false">Operations!BS32-Operations!BS44-Operations!BS36-Reserves!BS22+Operations!BS31</f>
        <v>86.6931402364453</v>
      </c>
      <c r="BT17" s="19" t="n">
        <f aca="false">Operations!BT32-Operations!BT44-Operations!BT36-Reserves!BT22+Operations!BT31</f>
        <v>85.9378909272108</v>
      </c>
      <c r="BU17" s="19" t="n">
        <f aca="false">Operations!BU32-Operations!BU44-Operations!BU36-Reserves!BU22+Operations!BU31</f>
        <v>-26.8053263596035</v>
      </c>
      <c r="BV17" s="19" t="n">
        <f aca="false">Operations!BV32-Operations!BV44-Operations!BV36-Reserves!BV22+Operations!BV31</f>
        <v>89.061924376185</v>
      </c>
      <c r="BW17" s="19" t="n">
        <f aca="false">Operations!BW32-Operations!BW44-Operations!BW36-Reserves!BW22+Operations!BW31</f>
        <v>93.1008750005474</v>
      </c>
      <c r="BX17" s="19" t="n">
        <f aca="false">Operations!BX32-Operations!BX44-Operations!BX36-Reserves!BX22+Operations!BX31</f>
        <v>92.8040230583604</v>
      </c>
      <c r="BY17" s="19" t="n">
        <f aca="false">Operations!BY32-Operations!BY44-Operations!BY36-Reserves!BY22+Operations!BY31</f>
        <v>96.470623973408</v>
      </c>
      <c r="BZ17" s="19" t="n">
        <f aca="false">Operations!BZ32-Operations!BZ44-Operations!BZ36-Reserves!BZ22+Operations!BZ31</f>
        <v>95.6367642328382</v>
      </c>
      <c r="CA17" s="19" t="n">
        <f aca="false">Operations!CA32-Operations!CA44-Operations!CA36-Reserves!CA22+Operations!CA31</f>
        <v>99.9538815321824</v>
      </c>
      <c r="CB17" s="19" t="n">
        <f aca="false">Operations!CB32-Operations!CB44-Operations!CB36-Reserves!CB22+Operations!CB31</f>
        <v>99.091895482854</v>
      </c>
      <c r="CC17" s="19" t="n">
        <f aca="false">Operations!CC32-Operations!CC44-Operations!CC36-Reserves!CC22+Operations!CC31</f>
        <v>103.583618738933</v>
      </c>
      <c r="CD17" s="19" t="n">
        <f aca="false">Operations!CD32-Operations!CD44-Operations!CD36-Reserves!CD22+Operations!CD31</f>
        <v>102.694569313649</v>
      </c>
      <c r="CE17" s="19" t="n">
        <f aca="false">Operations!CE32-Operations!CE44-Operations!CE36-Reserves!CE22+Operations!CE31</f>
        <v>107.334260451935</v>
      </c>
      <c r="CF17" s="19" t="n">
        <f aca="false">Operations!CF32-Operations!CF44-Operations!CF36-Reserves!CF22+Operations!CF31</f>
        <v>107.00270263734</v>
      </c>
      <c r="CG17" s="19" t="n">
        <f aca="false">Operations!CG32-Operations!CG44-Operations!CG36-Reserves!CG22+Operations!CG31</f>
        <v>35.8952842801242</v>
      </c>
      <c r="CH17" s="19" t="n">
        <f aca="false">Operations!CH32-Operations!CH44-Operations!CH36-Reserves!CH22+Operations!CH31</f>
        <v>110.254936258215</v>
      </c>
      <c r="CI17" s="19" t="n">
        <f aca="false">Operations!CI32-Operations!CI44-Operations!CI36-Reserves!CI22+Operations!CI31</f>
        <v>115.232177061044</v>
      </c>
      <c r="CJ17" s="19" t="n">
        <f aca="false">Operations!CJ32-Operations!CJ44-Operations!CJ36-Reserves!CJ22+Operations!CJ31</f>
        <v>114.250923672075</v>
      </c>
      <c r="CK17" s="19" t="n">
        <f aca="false">Operations!CK32-Operations!CK44-Operations!CK36-Reserves!CK22+Operations!CK31</f>
        <v>82.9260214875926</v>
      </c>
      <c r="CL17" s="19" t="n">
        <f aca="false">Operations!CL32-Operations!CL44-Operations!CL36-Reserves!CL22+Operations!CL31</f>
        <v>118.372050426402</v>
      </c>
      <c r="CM17" s="19" t="n">
        <f aca="false">Operations!CM32-Operations!CM44-Operations!CM36-Reserves!CM22+Operations!CM31</f>
        <v>123.702908943888</v>
      </c>
      <c r="CN17" s="19" t="n">
        <f aca="false">Operations!CN32-Operations!CN44-Operations!CN36-Reserves!CN22+Operations!CN31</f>
        <v>123.332631536407</v>
      </c>
      <c r="CO17" s="19" t="n">
        <f aca="false">Operations!CO32-Operations!CO44-Operations!CO36-Reserves!CO22+Operations!CO31</f>
        <v>128.152805874289</v>
      </c>
      <c r="CP17" s="19" t="n">
        <f aca="false">Operations!CP32-Operations!CP44-Operations!CP36-Reserves!CP22+Operations!CP31</f>
        <v>127.068554146306</v>
      </c>
      <c r="CQ17" s="19" t="n">
        <f aca="false">Operations!CQ32-Operations!CQ44-Operations!CQ36-Reserves!CQ22+Operations!CQ31</f>
        <v>132.769650862719</v>
      </c>
      <c r="CR17" s="19" t="n">
        <f aca="false">Operations!CR32-Operations!CR44-Operations!CR36-Reserves!CR22+Operations!CR31</f>
        <v>131.650071004148</v>
      </c>
      <c r="CS17" s="19" t="n">
        <f aca="false">Operations!CS32-Operations!CS44-Operations!CS36-Reserves!CS22+Operations!CS31</f>
        <v>20.9273450482948</v>
      </c>
      <c r="CT17" s="19" t="n">
        <f aca="false">Operations!CT32-Operations!CT44-Operations!CT36-Reserves!CT22+Operations!CT31</f>
        <v>136.403014006162</v>
      </c>
      <c r="CU17" s="19" t="n">
        <f aca="false">Operations!CU32-Operations!CU44-Operations!CU36-Reserves!CU22+Operations!CU31</f>
        <v>142.525465242545</v>
      </c>
      <c r="CV17" s="19" t="n">
        <f aca="false">Operations!CV32-Operations!CV44-Operations!CV36-Reserves!CV22+Operations!CV31</f>
        <v>142.111706519439</v>
      </c>
      <c r="CW17" s="19" t="n">
        <f aca="false">Operations!CW32-Operations!CW44-Operations!CW36-Reserves!CW22+Operations!CW31</f>
        <v>147.637939858397</v>
      </c>
      <c r="CX17" s="19" t="n">
        <f aca="false">Operations!CX32-Operations!CX44-Operations!CX36-Reserves!CX22+Operations!CX31</f>
        <v>146.401377938261</v>
      </c>
      <c r="CY17" s="19" t="n">
        <f aca="false">Operations!CY32-Operations!CY44-Operations!CY36-Reserves!CY22+Operations!CY31</f>
        <v>152.930876802045</v>
      </c>
      <c r="CZ17" s="19" t="n">
        <f aca="false">Operations!CZ32-Operations!CZ44-Operations!CZ36-Reserves!CZ22+Operations!CZ31</f>
        <v>151.653324107712</v>
      </c>
      <c r="DA17" s="19" t="n">
        <f aca="false">Operations!DA32-Operations!DA44-Operations!DA36-Reserves!DA22+Operations!DA31</f>
        <v>113.986150559098</v>
      </c>
      <c r="DB17" s="19" t="n">
        <f aca="false">Operations!DB32-Operations!DB44-Operations!DB36-Reserves!DB22+Operations!DB31</f>
        <v>11.0358676478609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1155.51073721165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1143.01073721165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859.917466613334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424.715624010809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1823.32458949664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275.959872120585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1</v>
      </c>
      <c r="CL26" s="14" t="n">
        <f aca="false">IF(AND(Inputs!$F$215=1,Time!CL8&gt;Inputs!$F$20,Debt!CL93&lt;=Inputs!$F$9),1,0)</f>
        <v>1</v>
      </c>
      <c r="CM26" s="14" t="n">
        <f aca="false">IF(AND(Inputs!$F$215=1,Time!CM8&gt;Inputs!$F$20,Debt!CM93&lt;=Inputs!$F$9),1,0)</f>
        <v>1</v>
      </c>
      <c r="CN26" s="14" t="n">
        <f aca="false">IF(AND(Inputs!$F$215=1,Time!CN8&gt;Inputs!$F$20,Debt!CN93&lt;=Inputs!$F$9),1,0)</f>
        <v>1</v>
      </c>
      <c r="CO26" s="14" t="n">
        <f aca="false">IF(AND(Inputs!$F$215=1,Time!CO8&gt;Inputs!$F$20,Debt!CO93&lt;=Inputs!$F$9),1,0)</f>
        <v>1</v>
      </c>
      <c r="CP26" s="14" t="n">
        <f aca="false">IF(AND(Inputs!$F$215=1,Time!CP8&gt;Inputs!$F$20,Debt!CP93&lt;=Inputs!$F$9),1,0)</f>
        <v>1</v>
      </c>
      <c r="CQ26" s="14" t="n">
        <f aca="false">IF(AND(Inputs!$F$215=1,Time!CQ8&gt;Inputs!$F$20,Debt!CQ93&lt;=Inputs!$F$9),1,0)</f>
        <v>1</v>
      </c>
      <c r="CR26" s="14" t="n">
        <f aca="false">IF(AND(Inputs!$F$215=1,Time!CR8&gt;Inputs!$F$20,Debt!CR93&lt;=Inputs!$F$9),1,0)</f>
        <v>1</v>
      </c>
      <c r="CS26" s="14" t="n">
        <f aca="false">IF(AND(Inputs!$F$215=1,Time!CS8&gt;Inputs!$F$20,Debt!CS93&lt;=Inputs!$F$9),1,0)</f>
        <v>1</v>
      </c>
      <c r="CT26" s="14" t="n">
        <f aca="false">IF(AND(Inputs!$F$215=1,Time!CT8&gt;Inputs!$F$20,Debt!CT93&lt;=Inputs!$F$9),1,0)</f>
        <v>1</v>
      </c>
      <c r="CU26" s="14" t="n">
        <f aca="false">IF(AND(Inputs!$F$215=1,Time!CU8&gt;Inputs!$F$20,Debt!CU93&lt;=Inputs!$F$9),1,0)</f>
        <v>1</v>
      </c>
      <c r="CV26" s="14" t="n">
        <f aca="false">IF(AND(Inputs!$F$215=1,Time!CV8&gt;Inputs!$F$20,Debt!CV93&lt;=Inputs!$F$9),1,0)</f>
        <v>1</v>
      </c>
      <c r="CW26" s="14" t="n">
        <f aca="false">IF(AND(Inputs!$F$215=1,Time!CW8&gt;Inputs!$F$20,Debt!CW93&lt;=Inputs!$F$9),1,0)</f>
        <v>1</v>
      </c>
      <c r="CX26" s="14" t="n">
        <f aca="false">IF(AND(Inputs!$F$215=1,Time!CX8&gt;Inputs!$F$20,Debt!CX93&lt;=Inputs!$F$9),1,0)</f>
        <v>1</v>
      </c>
      <c r="CY26" s="14" t="n">
        <f aca="false">IF(AND(Inputs!$F$215=1,Time!CY8&gt;Inputs!$F$20,Debt!CY93&lt;=Inputs!$F$9),1,0)</f>
        <v>1</v>
      </c>
      <c r="CZ26" s="14" t="n">
        <f aca="false">IF(AND(Inputs!$F$215=1,Time!CZ8&gt;Inputs!$F$20,Debt!CZ93&lt;=Inputs!$F$9),1,0)</f>
        <v>1</v>
      </c>
      <c r="DA26" s="14" t="n">
        <f aca="false">IF(AND(Inputs!$F$215=1,Time!DA8&gt;Inputs!$F$20,Debt!DA93&lt;=Inputs!$F$9),1,0)</f>
        <v>1</v>
      </c>
      <c r="DB26" s="14" t="n">
        <f aca="false">IF(AND(Inputs!$F$215=1,Time!DB8&gt;Inputs!$F$20,Debt!DB93&lt;=Inputs!$F$9),1,0)</f>
        <v>1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0.616779486448232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234.041628739016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41.3014638951205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78.6985361048795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1104.78654402936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36.1488795699945</v>
      </c>
      <c r="AK31" s="19" t="n">
        <f aca="false">IF(Time!AK23=1,Waterfall!AK16+Waterfall!AK22+Waterfall!AK38,0)</f>
        <v>24.8713783783643</v>
      </c>
      <c r="AL31" s="19" t="n">
        <f aca="false">IF(Time!AL23=1,Waterfall!AL16+Waterfall!AL22+Waterfall!AL38,0)</f>
        <v>24.4320024332589</v>
      </c>
      <c r="AM31" s="19" t="n">
        <f aca="false">IF(Time!AM23=1,Waterfall!AM16+Waterfall!AM22+Waterfall!AM38,0)</f>
        <v>25.7563594813987</v>
      </c>
      <c r="AN31" s="19" t="n">
        <f aca="false">IF(Time!AN23=1,Waterfall!AN16+Waterfall!AN22+Waterfall!AN38,0)</f>
        <v>25.1628189014335</v>
      </c>
      <c r="AO31" s="19" t="n">
        <f aca="false">IF(Time!AO23=1,Waterfall!AO16+Waterfall!AO22+Waterfall!AO38,0)</f>
        <v>27.8684241037362</v>
      </c>
      <c r="AP31" s="19" t="n">
        <f aca="false">IF(Time!AP23=1,Waterfall!AP16+Waterfall!AP22+Waterfall!AP38,0)</f>
        <v>28.1120595800571</v>
      </c>
      <c r="AQ31" s="19" t="n">
        <f aca="false">IF(Time!AQ23=1,Waterfall!AQ16+Waterfall!AQ22+Waterfall!AQ38,0)</f>
        <v>23.4829118894706</v>
      </c>
      <c r="AR31" s="19" t="n">
        <f aca="false">IF(Time!AR23=1,Waterfall!AR16+Waterfall!AR22+Waterfall!AR38,0)</f>
        <v>22.8301373686498</v>
      </c>
      <c r="AS31" s="19" t="n">
        <f aca="false">IF(Time!AS23=1,Waterfall!AS16+Waterfall!AS22+Waterfall!AS38,0)</f>
        <v>22.9019681064487</v>
      </c>
      <c r="AT31" s="19" t="n">
        <f aca="false">IF(Time!AT23=1,Waterfall!AT16+Waterfall!AT22+Waterfall!AT38,0)</f>
        <v>22.8662997193092</v>
      </c>
      <c r="AU31" s="19" t="n">
        <f aca="false">IF(Time!AU23=1,Waterfall!AU16+Waterfall!AU22+Waterfall!AU38,0)</f>
        <v>23.5497898034024</v>
      </c>
      <c r="AV31" s="19" t="n">
        <f aca="false">IF(Time!AV23=1,Waterfall!AV16+Waterfall!AV22+Waterfall!AV38,0)</f>
        <v>23.1384170777767</v>
      </c>
      <c r="AW31" s="19" t="n">
        <f aca="false">IF(Time!AW23=1,Waterfall!AW16+Waterfall!AW22+Waterfall!AW38,0)</f>
        <v>28.2139548575736</v>
      </c>
      <c r="AX31" s="19" t="n">
        <f aca="false">IF(Time!AX23=1,Waterfall!AX16+Waterfall!AX22+Waterfall!AX38,0)</f>
        <v>12.1793812082062</v>
      </c>
      <c r="AY31" s="19" t="n">
        <f aca="false">IF(Time!AY23=1,Waterfall!AY16+Waterfall!AY22+Waterfall!AY38,0)</f>
        <v>11.5720966172827</v>
      </c>
      <c r="AZ31" s="19" t="n">
        <f aca="false">IF(Time!AZ23=1,Waterfall!AZ16+Waterfall!AZ22+Waterfall!AZ38,0)</f>
        <v>11.7114912828429</v>
      </c>
      <c r="BA31" s="19" t="n">
        <f aca="false">IF(Time!BA23=1,Waterfall!BA16+Waterfall!BA22+Waterfall!BA38,0)</f>
        <v>11.4570860605091</v>
      </c>
      <c r="BB31" s="19" t="n">
        <f aca="false">IF(Time!BB23=1,Waterfall!BB16+Waterfall!BB22+Waterfall!BB38,0)</f>
        <v>11.3510485655242</v>
      </c>
      <c r="BC31" s="19" t="n">
        <f aca="false">IF(Time!BC23=1,Waterfall!BC16+Waterfall!BC22+Waterfall!BC38,0)</f>
        <v>16.8786094469065</v>
      </c>
      <c r="BD31" s="19" t="n">
        <f aca="false">IF(Time!BD23=1,Waterfall!BD16+Waterfall!BD22+Waterfall!BD38,0)</f>
        <v>16.9066833277643</v>
      </c>
      <c r="BE31" s="19" t="n">
        <f aca="false">IF(Time!BE23=1,Waterfall!BE16+Waterfall!BE22+Waterfall!BE38,0)</f>
        <v>19.517626138986</v>
      </c>
      <c r="BF31" s="19" t="n">
        <f aca="false">IF(Time!BF23=1,Waterfall!BF16+Waterfall!BF22+Waterfall!BF38,0)</f>
        <v>18.5219096599766</v>
      </c>
      <c r="BG31" s="19" t="n">
        <f aca="false">IF(Time!BG23=1,Waterfall!BG16+Waterfall!BG22+Waterfall!BG38,0)</f>
        <v>17.6893224738622</v>
      </c>
      <c r="BH31" s="19" t="n">
        <f aca="false">IF(Time!BH23=1,Waterfall!BH16+Waterfall!BH22+Waterfall!BH38,0)</f>
        <v>17.7575361181156</v>
      </c>
      <c r="BI31" s="19" t="n">
        <f aca="false">IF(Time!BI23=1,Waterfall!BI16+Waterfall!BI22+Waterfall!BI38,0)</f>
        <v>18.4721937144345</v>
      </c>
      <c r="BJ31" s="19" t="n">
        <f aca="false">IF(Time!BJ23=1,Waterfall!BJ16+Waterfall!BJ22+Waterfall!BJ38,0)</f>
        <v>18.4236018934347</v>
      </c>
      <c r="BK31" s="19" t="n">
        <f aca="false">IF(Time!BK23=1,Waterfall!BK16+Waterfall!BK22+Waterfall!BK38,0)</f>
        <v>19.2867128247027</v>
      </c>
      <c r="BL31" s="19" t="n">
        <f aca="false">IF(Time!BL23=1,Waterfall!BL16+Waterfall!BL22+Waterfall!BL38,0)</f>
        <v>19.2356884689183</v>
      </c>
      <c r="BM31" s="19" t="n">
        <f aca="false">IF(Time!BM23=1,Waterfall!BM16+Waterfall!BM22+Waterfall!BM38,0)</f>
        <v>20.1333322256871</v>
      </c>
      <c r="BN31" s="19" t="n">
        <f aca="false">IF(Time!BN23=1,Waterfall!BN16+Waterfall!BN22+Waterfall!BN38,0)</f>
        <v>20.0796202872474</v>
      </c>
      <c r="BO31" s="19" t="n">
        <f aca="false">IF(Time!BO23=1,Waterfall!BO16+Waterfall!BO22+Waterfall!BO38,0)</f>
        <v>13.6904300975535</v>
      </c>
      <c r="BP31" s="19" t="n">
        <f aca="false">IF(Time!BP23=1,Waterfall!BP16+Waterfall!BP22+Waterfall!BP38,0)</f>
        <v>13.7961115623589</v>
      </c>
      <c r="BQ31" s="19" t="n">
        <f aca="false">IF(Time!BQ23=1,Waterfall!BQ16+Waterfall!BQ22+Waterfall!BQ38,0)</f>
        <v>14.6603042962663</v>
      </c>
      <c r="BR31" s="19" t="n">
        <f aca="false">IF(Time!BR23=1,Waterfall!BR16+Waterfall!BR22+Waterfall!BR38,0)</f>
        <v>14.414646185861</v>
      </c>
      <c r="BS31" s="19" t="n">
        <f aca="false">IF(Time!BS23=1,Waterfall!BS16+Waterfall!BS22+Waterfall!BS38,0)</f>
        <v>15.4195292330906</v>
      </c>
      <c r="BT31" s="19" t="n">
        <f aca="false">IF(Time!BT23=1,Waterfall!BT16+Waterfall!BT22+Waterfall!BT38,0)</f>
        <v>15.1642993684354</v>
      </c>
      <c r="BU31" s="19" t="n">
        <f aca="false">IF(Time!BU23=1,Waterfall!BU16+Waterfall!BU22+Waterfall!BU38,0)</f>
        <v>29.5555562441525</v>
      </c>
      <c r="BV31" s="19" t="n">
        <f aca="false">IF(Time!BV23=1,Waterfall!BV16+Waterfall!BV22+Waterfall!BV38,0)</f>
        <v>29.2616793395216</v>
      </c>
      <c r="BW31" s="19" t="n">
        <f aca="false">IF(Time!BW23=1,Waterfall!BW16+Waterfall!BW22+Waterfall!BW38,0)</f>
        <v>25.3065129922234</v>
      </c>
      <c r="BX31" s="19" t="n">
        <f aca="false">IF(Time!BX23=1,Waterfall!BX16+Waterfall!BX22+Waterfall!BX38,0)</f>
        <v>24.0591041394794</v>
      </c>
      <c r="BY31" s="19" t="n">
        <f aca="false">IF(Time!BY23=1,Waterfall!BY16+Waterfall!BY22+Waterfall!BY38,0)</f>
        <v>24.9713569004454</v>
      </c>
      <c r="BZ31" s="19" t="n">
        <f aca="false">IF(Time!BZ23=1,Waterfall!BZ16+Waterfall!BZ22+Waterfall!BZ38,0)</f>
        <v>24.6538334797176</v>
      </c>
      <c r="CA31" s="19" t="n">
        <f aca="false">IF(Time!CA23=1,Waterfall!CA16+Waterfall!CA22+Waterfall!CA38,0)</f>
        <v>21.0206805975144</v>
      </c>
      <c r="CB31" s="19" t="n">
        <f aca="false">IF(Time!CB23=1,Waterfall!CB16+Waterfall!CB22+Waterfall!CB38,0)</f>
        <v>20.7088229537122</v>
      </c>
      <c r="CC31" s="19" t="n">
        <f aca="false">IF(Time!CC23=1,Waterfall!CC16+Waterfall!CC22+Waterfall!CC38,0)</f>
        <v>21.8522281207937</v>
      </c>
      <c r="CD31" s="19" t="n">
        <f aca="false">IF(Time!CD23=1,Waterfall!CD16+Waterfall!CD22+Waterfall!CD38,0)</f>
        <v>21.5278284680037</v>
      </c>
      <c r="CE31" s="19" t="n">
        <f aca="false">IF(Time!CE23=1,Waterfall!CE16+Waterfall!CE22+Waterfall!CE38,0)</f>
        <v>20.4220047368325</v>
      </c>
      <c r="CF31" s="19" t="n">
        <f aca="false">IF(Time!CF23=1,Waterfall!CF16+Waterfall!CF22+Waterfall!CF38,0)</f>
        <v>20.2657287752789</v>
      </c>
      <c r="CG31" s="19" t="n">
        <f aca="false">IF(Time!CG23=1,Waterfall!CG16+Waterfall!CG22+Waterfall!CG38,0)</f>
        <v>34.5548860129424</v>
      </c>
      <c r="CH31" s="19" t="n">
        <f aca="false">IF(Time!CH23=1,Waterfall!CH16+Waterfall!CH22+Waterfall!CH38,0)</f>
        <v>25.6529409631527</v>
      </c>
      <c r="CI31" s="19" t="n">
        <f aca="false">IF(Time!CI23=1,Waterfall!CI16+Waterfall!CI22+Waterfall!CI38,0)</f>
        <v>26.8990831680418</v>
      </c>
      <c r="CJ31" s="19" t="n">
        <f aca="false">IF(Time!CJ23=1,Waterfall!CJ16+Waterfall!CJ22+Waterfall!CJ38,0)</f>
        <v>6.41963480870637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499.797985202402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809.113809648801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0.906967110424113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1.04925674725612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563.867497337518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491.277686916993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0.871264418035653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4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4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0.758658372516836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2.87054043144104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1.82931258869553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1.38503395606412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1.71374950911797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str">
        <f aca="false">Returns!$F$7</f>
        <v>n/a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-375.127033580962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0.0454117797098716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