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Inputs!$F$6</definedName>
  </definedNames>
  <calcPr iterateCount="1000" refMode="A1" iterate="true" iterateDelta="1E-01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<sst xmlns="http://schemas.openxmlformats.org/spreadsheetml/2006/main" count="1500" uniqueCount="767">
  <si>
    <t xml:space="preserve">Case T: Merrick Link toll road PPP  |  Cover</t>
  </si>
  <si>
    <t xml:space="preserve">Case T reference model: the Merrick Link toll road PPP, State of Brannock, Commonwealth of Ardmore.</t>
  </si>
  <si>
    <t xml:space="preserve">Model version 1.0; story as of October 3, 2026. Currency: Ardmore dollar (ARD), millions, nominal.</t>
  </si>
  <si>
    <t xml:space="preserve">Python mirror: model/case_t.py (source of truth); verification: model/case_t_verification.md.</t>
  </si>
  <si>
    <t xml:space="preserve">How to use: choose the scenario in Inputs!F (named range Scenario):</t>
  </si>
  <si>
    <t xml:space="preserve">   1 = Bid base (Pellow traffic), locked financing</t>
  </si>
  <si>
    <t xml:space="preserve">   2 = Banking case (Ridgeway traffic), live debt sizing</t>
  </si>
  <si>
    <t xml:space="preserve">   3 = Downside traffic, locked financing</t>
  </si>
  <si>
    <t xml:space="preserve">   4 = Actual history to 2026H1, then Ridgeway 2023 case; restructuring at 2023-12-31</t>
  </si>
  <si>
    <t xml:space="preserve">   5 = Restructuring case: actual history to 2023H2, Ridgeway 2023 case from 2024 (live notes sculpting)</t>
  </si>
  <si>
    <t xml:space="preserve">   6 = Retender valuation at 2022-06-30 (actual to 2022H1, retender traffic case after)</t>
  </si>
  <si>
    <t xml:space="preserve">   7 = Sensitivity: traffic -10%</t>
  </si>
  <si>
    <t xml:space="preserve">   8 = Sensitivity: ramp-up one year slower</t>
  </si>
  <si>
    <t xml:space="preserve">   9 = Sensitivity: toll escalation CPI only</t>
  </si>
  <si>
    <t xml:space="preserve">   10 = Sensitivity: opex +10%</t>
  </si>
  <si>
    <t xml:space="preserve">   11 = Sensitivity: lifecycle +20%</t>
  </si>
  <si>
    <t xml:space="preserve">   12 = Sensitivity: interest +100 bp on refinancing</t>
  </si>
  <si>
    <t xml:space="preserve">   13 = Sensitivity: heavy-vehicle share -2 points</t>
  </si>
  <si>
    <t xml:space="preserve">Contribution option (Inputs): 1 = bid ARD 287.4 million; 2 = contribution solved by the Python mirror for an</t>
  </si>
  <si>
    <t xml:space="preserve">   11.4% equity IRR on the banking case (run with Scenario 2; Returns shows the IRR it delivers).</t>
  </si>
  <si>
    <t xml:space="preserve">Circularity: financing costs during construction, the funding requirement, debt sizing, tax and the sculpting</t>
  </si>
  <si>
    <t xml:space="preserve">   divisors are circular. The file is saved with iterative calculation on (File &gt; Options &gt; Formulas &gt;</t>
  </si>
  <si>
    <t xml:space="preserve">   Enable iterative calculation, 1,000 iterations, maximum change 0.0000001). Circuit breaker: Inputs Circ.</t>
  </si>
  <si>
    <t xml:space="preserve">   Set Circ to 0 if errors ever propagate (the locked financing is then used and the loop is cut), recalculate,</t>
  </si>
  <si>
    <t xml:space="preserve">   then set it back to 1.</t>
  </si>
  <si>
    <t xml:space="preserve">Sizing: Scenario 2 sizes the debt live. Every other scenario uses the locked banking-case financing on the</t>
  </si>
  <si>
    <t xml:space="preserve">   Inputs sheet (as a lender's model does once the debt is sized). Checks shows live = locked in Scenario 2.</t>
  </si>
  <si>
    <t xml:space="preserve">   Scenario 5 sculpts the Restructured Senior Notes and the restructured NILO loan live; Scenario 4 uses</t>
  </si>
  <si>
    <t xml:space="preserve">   those profiles locked.</t>
  </si>
  <si>
    <t xml:space="preserve">Sheets: Inputs, Time, Construction, Operations, Tax, Funding, Debt, Reserves, Waterfall, Financials, Ratios,</t>
  </si>
  <si>
    <t xml:space="preserve">   Returns (equity, project, PSC and value for money, termination, restructuring), Checks, Outputs.</t>
  </si>
  <si>
    <t xml:space="preserve">Conventions: time across columns from column J; one formula per row; flags are 1/0; costs positive and</t>
  </si>
  <si>
    <t xml:space="preserve">   subtracted; tables show negatives in parentheses.</t>
  </si>
  <si>
    <t xml:space="preserve">Case T: Merrick Link toll road PPP  |  Inputs</t>
  </si>
  <si>
    <t xml:space="preserve">Units: ARD millions unless stated. Inputs blue on yellow; links green; calculations black.</t>
  </si>
  <si>
    <t xml:space="preserve">Period end</t>
  </si>
  <si>
    <t xml:space="preserve">date</t>
  </si>
  <si>
    <t xml:space="preserve">Switches</t>
  </si>
  <si>
    <t xml:space="preserve">Scenario (1-13, see Cover)</t>
  </si>
  <si>
    <t xml:space="preserve">#</t>
  </si>
  <si>
    <t xml:space="preserve">Contribution option (1 = bid, 2 = solved for 11.4% on banking)</t>
  </si>
  <si>
    <t xml:space="preserve">Circuit breaker (1 = live circular links, 0 = cut)</t>
  </si>
  <si>
    <t xml:space="preserve">flag</t>
  </si>
  <si>
    <t xml:space="preserve">Test tolerance</t>
  </si>
  <si>
    <t xml:space="preserve">ARD m</t>
  </si>
  <si>
    <t xml:space="preserve">Large number for MIN helper rows</t>
  </si>
  <si>
    <t xml:space="preserve">Dates</t>
  </si>
  <si>
    <t xml:space="preserve">Financial close</t>
  </si>
  <si>
    <t xml:space="preserve">End of first model period</t>
  </si>
  <si>
    <t xml:space="preserve">Scheduled completion and end of construction funding</t>
  </si>
  <si>
    <t xml:space="preserve">Scheduled opening</t>
  </si>
  <si>
    <t xml:space="preserve">Actual opening</t>
  </si>
  <si>
    <t xml:space="preserve">Concession expiry (original)</t>
  </si>
  <si>
    <t xml:space="preserve">Concession expiry (extended 2023)</t>
  </si>
  <si>
    <t xml:space="preserve">Restructuring (model date)</t>
  </si>
  <si>
    <t xml:space="preserve">Senior first repayment</t>
  </si>
  <si>
    <t xml:space="preserve">Senior final repayment</t>
  </si>
  <si>
    <t xml:space="preserve">Bank margin step-up date</t>
  </si>
  <si>
    <t xml:space="preserve">Bank mini-perm maturity (refinancing or A&amp;E date)</t>
  </si>
  <si>
    <t xml:space="preserve">Swap end</t>
  </si>
  <si>
    <t xml:space="preserve">NILO interest capitalized to</t>
  </si>
  <si>
    <t xml:space="preserve">NILO first repayment (original)</t>
  </si>
  <si>
    <t xml:space="preserve">NILO final repayment (original)</t>
  </si>
  <si>
    <t xml:space="preserve">NILO first repayment (restructured)</t>
  </si>
  <si>
    <t xml:space="preserve">NILO final repayment (restructured)</t>
  </si>
  <si>
    <t xml:space="preserve">NILO PIK period end (restructured)</t>
  </si>
  <si>
    <t xml:space="preserve">Restructured notes final repayment</t>
  </si>
  <si>
    <t xml:space="preserve">Notes 50% cash sweep end</t>
  </si>
  <si>
    <t xml:space="preserve">First DSCR test date</t>
  </si>
  <si>
    <t xml:space="preserve">First default DSCR test date</t>
  </si>
  <si>
    <t xml:space="preserve">Termination comparison and fair value date</t>
  </si>
  <si>
    <t xml:space="preserve">Construction insurance second instalment</t>
  </si>
  <si>
    <t xml:space="preserve">Restructuring costs: first period end</t>
  </si>
  <si>
    <t xml:space="preserve">Interchange upgrade: first period end</t>
  </si>
  <si>
    <t xml:space="preserve">Interchange upgrade: last period end</t>
  </si>
  <si>
    <t xml:space="preserve">PSC present value date</t>
  </si>
  <si>
    <t xml:space="preserve">PSC: contribution payment date</t>
  </si>
  <si>
    <t xml:space="preserve">Conventions</t>
  </si>
  <si>
    <t xml:space="preserve">Days per year (ACT/365)</t>
  </si>
  <si>
    <t xml:space="preserve">days</t>
  </si>
  <si>
    <t xml:space="preserve">Days per year (30/360)</t>
  </si>
  <si>
    <t xml:space="preserve">Average days per month (period length in months)</t>
  </si>
  <si>
    <t xml:space="preserve">Defects period</t>
  </si>
  <si>
    <t xml:space="preserve">months</t>
  </si>
  <si>
    <t xml:space="preserve">Handback funding window</t>
  </si>
  <si>
    <t xml:space="preserve">Bridge draws: last construction months</t>
  </si>
  <si>
    <t xml:space="preserve">Toll escalation month (July 1)</t>
  </si>
  <si>
    <t xml:space="preserve">Toll rounding (decimal places)</t>
  </si>
  <si>
    <t xml:space="preserve">Last year of the 3% escalation floor (July 1)</t>
  </si>
  <si>
    <t xml:space="preserve">year</t>
  </si>
  <si>
    <t xml:space="preserve">CPI-only escalation from (restructured)</t>
  </si>
  <si>
    <t xml:space="preserve">Traffic growth band 1 ends</t>
  </si>
  <si>
    <t xml:space="preserve">Traffic growth band 2 ends</t>
  </si>
  <si>
    <t xml:space="preserve">First ramp-up year</t>
  </si>
  <si>
    <t xml:space="preserve">Last ramp-up year in table</t>
  </si>
  <si>
    <t xml:space="preserve">Heavy-vehicle uplift from (restructured case)</t>
  </si>
  <si>
    <t xml:space="preserve">Operating year base (OY = year - base)</t>
  </si>
  <si>
    <t xml:space="preserve">CPI product for revenue-share threshold: from year</t>
  </si>
  <si>
    <t xml:space="preserve">CPI product for revenue-share threshold: to year (2023 prices)</t>
  </si>
  <si>
    <t xml:space="preserve">Half-year code multiplier (year x 10 + half)</t>
  </si>
  <si>
    <t xml:space="preserve">Thousand trips</t>
  </si>
  <si>
    <t xml:space="preserve">ARD per ARD million</t>
  </si>
  <si>
    <t xml:space="preserve">Construction costs</t>
  </si>
  <si>
    <t xml:space="preserve">D&amp;C contract price (lump sum)</t>
  </si>
  <si>
    <t xml:space="preserve">Retention released at completion</t>
  </si>
  <si>
    <t xml:space="preserve">%</t>
  </si>
  <si>
    <t xml:space="preserve">Retention released at end of defects period</t>
  </si>
  <si>
    <t xml:space="preserve">Development and bid costs reimbursed (at close)</t>
  </si>
  <si>
    <t xml:space="preserve">Project company costs during construction (flat by day)</t>
  </si>
  <si>
    <t xml:space="preserve">Insurance during construction</t>
  </si>
  <si>
    <t xml:space="preserve">Insurance share paid at close</t>
  </si>
  <si>
    <t xml:space="preserve">Independent certifier (flat by day)</t>
  </si>
  <si>
    <t xml:space="preserve">Lenders' advisors and legal (flat by day)</t>
  </si>
  <si>
    <t xml:space="preserve">Contingency (pro rata with D&amp;C)</t>
  </si>
  <si>
    <t xml:space="preserve">Delay LDs received (actual)</t>
  </si>
  <si>
    <t xml:space="preserve">State contribution and bridge</t>
  </si>
  <si>
    <t xml:space="preserve">State construction contribution (bid)</t>
  </si>
  <si>
    <t xml:space="preserve">Contribution for 11.4% on banking (solved by Python mirror)</t>
  </si>
  <si>
    <t xml:space="preserve">Bridge margin over ABBR</t>
  </si>
  <si>
    <t xml:space="preserve">Bridge upfront fee</t>
  </si>
  <si>
    <t xml:space="preserve">Equity and sizing</t>
  </si>
  <si>
    <t xml:space="preserve">Equity share of funding requirement net of contribution</t>
  </si>
  <si>
    <t xml:space="preserve">Share capital share of equity</t>
  </si>
  <si>
    <t xml:space="preserve">Shareholder loan rate</t>
  </si>
  <si>
    <t xml:space="preserve">Bid target equity IRR (nominal post-tax)</t>
  </si>
  <si>
    <t xml:space="preserve">Senior sculpting / minimum DSCR, banking</t>
  </si>
  <si>
    <t xml:space="preserve">x</t>
  </si>
  <si>
    <t xml:space="preserve">Minimum DSCR, downside</t>
  </si>
  <si>
    <t xml:space="preserve">Minimum LLCR, banking</t>
  </si>
  <si>
    <t xml:space="preserve">Senior cap, % of funding net of contribution</t>
  </si>
  <si>
    <t xml:space="preserve">Ramp-up interest account target DSCR</t>
  </si>
  <si>
    <t xml:space="preserve">Senior split: bank</t>
  </si>
  <si>
    <t xml:space="preserve">Senior split: bonds</t>
  </si>
  <si>
    <t xml:space="preserve">Senior debt terms</t>
  </si>
  <si>
    <t xml:space="preserve">Bank swap fixed rate</t>
  </si>
  <si>
    <t xml:space="preserve">%pa</t>
  </si>
  <si>
    <t xml:space="preserve">Market swap rate at 2023-12-31</t>
  </si>
  <si>
    <t xml:space="preserve">Bank margin to 2020-05-27</t>
  </si>
  <si>
    <t xml:space="preserve">Bank margin 2020-05-27 to 2022-05-27</t>
  </si>
  <si>
    <t xml:space="preserve">Base-case refinancing margin from 2022-05-27</t>
  </si>
  <si>
    <t xml:space="preserve">Amend-and-extend margin from 2022-05-27 (actual)</t>
  </si>
  <si>
    <t xml:space="preserve">Base-case refinancing fee</t>
  </si>
  <si>
    <t xml:space="preserve">Amend-and-extend fee</t>
  </si>
  <si>
    <t xml:space="preserve">Bank upfront fee</t>
  </si>
  <si>
    <t xml:space="preserve">Bank commitment fee</t>
  </si>
  <si>
    <t xml:space="preserve">Bond coupon</t>
  </si>
  <si>
    <t xml:space="preserve">Bond escrow earnings rate</t>
  </si>
  <si>
    <t xml:space="preserve">Bond issue costs</t>
  </si>
  <si>
    <t xml:space="preserve">Lock-up DSCR (historic)</t>
  </si>
  <si>
    <t xml:space="preserve">Event of default DSCR (historic)</t>
  </si>
  <si>
    <t xml:space="preserve">DSRA months of debt service</t>
  </si>
  <si>
    <t xml:space="preserve">NILO loan</t>
  </si>
  <si>
    <t xml:space="preserve">NILO fixed rate</t>
  </si>
  <si>
    <t xml:space="preserve">NILO PIK rate to 2030 (restructured)</t>
  </si>
  <si>
    <t xml:space="preserve">NILO maximum share of eligible costs</t>
  </si>
  <si>
    <t xml:space="preserve">NILO application fee</t>
  </si>
  <si>
    <t xml:space="preserve">Combined senior plus NILO minimum DSCR (banking)</t>
  </si>
  <si>
    <t xml:space="preserve">Tolls, traffic and revenue</t>
  </si>
  <si>
    <t xml:space="preserve">Car toll per km, June 2014 prices</t>
  </si>
  <si>
    <t xml:space="preserve">ARD/km</t>
  </si>
  <si>
    <t xml:space="preserve">Escalation floor to 2030</t>
  </si>
  <si>
    <t xml:space="preserve">Average trip length</t>
  </si>
  <si>
    <t xml:space="preserve">km</t>
  </si>
  <si>
    <t xml:space="preserve">Revenue leakage</t>
  </si>
  <si>
    <t xml:space="preserve">Vehicle mix: car (original)</t>
  </si>
  <si>
    <t xml:space="preserve">Vehicle mix: light commercial (original)</t>
  </si>
  <si>
    <t xml:space="preserve">Vehicle mix: heavy (original)</t>
  </si>
  <si>
    <t xml:space="preserve">Vehicle mix: car (from 2024)</t>
  </si>
  <si>
    <t xml:space="preserve">Vehicle mix: light commercial (from 2024)</t>
  </si>
  <si>
    <t xml:space="preserve">Vehicle mix: heavy (from 2024)</t>
  </si>
  <si>
    <t xml:space="preserve">Class multiplier: light commercial</t>
  </si>
  <si>
    <t xml:space="preserve">factor</t>
  </si>
  <si>
    <t xml:space="preserve">Class multiplier: heavy (original)</t>
  </si>
  <si>
    <t xml:space="preserve">Class multiplier: heavy (from 2024)</t>
  </si>
  <si>
    <t xml:space="preserve">Class multiplier: car</t>
  </si>
  <si>
    <t xml:space="preserve">Operating costs (2015 prices) and lifecycle</t>
  </si>
  <si>
    <t xml:space="preserve">Corvus fixed O&amp;M</t>
  </si>
  <si>
    <t xml:space="preserve">O&amp;M fee cut from 2024 (restructured)</t>
  </si>
  <si>
    <t xml:space="preserve">Tolling back office, % of toll revenue</t>
  </si>
  <si>
    <t xml:space="preserve">Tolling back office fixed</t>
  </si>
  <si>
    <t xml:space="preserve">Insurance</t>
  </si>
  <si>
    <t xml:space="preserve">Project company costs</t>
  </si>
  <si>
    <t xml:space="preserve">Pavement resurfacing (OY12, 24, 36)</t>
  </si>
  <si>
    <t xml:space="preserve">Pavement cycle</t>
  </si>
  <si>
    <t xml:space="preserve">years</t>
  </si>
  <si>
    <t xml:space="preserve">Tunnel M&amp;E (OY15, 30)</t>
  </si>
  <si>
    <t xml:space="preserve">Tunnel cycle</t>
  </si>
  <si>
    <t xml:space="preserve">Tolling and ITS replacement (every 8 years from OY8)</t>
  </si>
  <si>
    <t xml:space="preserve">Tolling and ITS cycle</t>
  </si>
  <si>
    <t xml:space="preserve">Lifecycle reserve accumulation periods</t>
  </si>
  <si>
    <t xml:space="preserve">Handback works estimate</t>
  </si>
  <si>
    <t xml:space="preserve">Handback funding periods</t>
  </si>
  <si>
    <t xml:space="preserve">Toll receivable days</t>
  </si>
  <si>
    <t xml:space="preserve">Payable days</t>
  </si>
  <si>
    <t xml:space="preserve">Corporate tax rate</t>
  </si>
  <si>
    <t xml:space="preserve">Events and restructuring</t>
  </si>
  <si>
    <t xml:space="preserve">Restructuring costs 2022-2023</t>
  </si>
  <si>
    <t xml:space="preserve">Restructuring cost periods</t>
  </si>
  <si>
    <t xml:space="preserve">Restructured notes, % of net claims</t>
  </si>
  <si>
    <t xml:space="preserve">Claims cancelled</t>
  </si>
  <si>
    <t xml:space="preserve">Claims converted to equity</t>
  </si>
  <si>
    <t xml:space="preserve">Restructured notes coupon</t>
  </si>
  <si>
    <t xml:space="preserve">Notes minimum DSCR (sculpting floor)</t>
  </si>
  <si>
    <t xml:space="preserve">Notes excess cash sweep to 2030</t>
  </si>
  <si>
    <t xml:space="preserve">Senior creditors' share of new equity</t>
  </si>
  <si>
    <t xml:space="preserve">State share of new equity</t>
  </si>
  <si>
    <t xml:space="preserve">State new money</t>
  </si>
  <si>
    <t xml:space="preserve">Holloway Junction interchange upgrade</t>
  </si>
  <si>
    <t xml:space="preserve">Upgrade spending periods</t>
  </si>
  <si>
    <t xml:space="preserve">Reserve top-up (to cash at restructuring)</t>
  </si>
  <si>
    <t xml:space="preserve">Warrants over new equity (original sponsors)</t>
  </si>
  <si>
    <t xml:space="preserve">State share of toll revenue above threshold</t>
  </si>
  <si>
    <t xml:space="preserve">Revenue share threshold (2023 prices, a year)</t>
  </si>
  <si>
    <t xml:space="preserve">Plan valuation: new equity discount rate</t>
  </si>
  <si>
    <t xml:space="preserve">Plan valuation: notes market yield</t>
  </si>
  <si>
    <t xml:space="preserve">Fair value 2022: pre-tax discount rate</t>
  </si>
  <si>
    <t xml:space="preserve">Retendering costs</t>
  </si>
  <si>
    <t xml:space="preserve">Public sector comparator (PV at 2012-12-31)</t>
  </si>
  <si>
    <t xml:space="preserve">PSC discount rate (nominal)</t>
  </si>
  <si>
    <t xml:space="preserve">Raw capital cost</t>
  </si>
  <si>
    <t xml:space="preserve">O&amp;M and lifecycle</t>
  </si>
  <si>
    <t xml:space="preserve">Toll revenue retained by the state</t>
  </si>
  <si>
    <t xml:space="preserve">Construction risk</t>
  </si>
  <si>
    <t xml:space="preserve">Traffic revenue risk</t>
  </si>
  <si>
    <t xml:space="preserve">Operating risk</t>
  </si>
  <si>
    <t xml:space="preserve">Competitive neutrality</t>
  </si>
  <si>
    <t xml:space="preserve">Reference (shadow bid) contribution</t>
  </si>
  <si>
    <t xml:space="preserve">PPP retained risks</t>
  </si>
  <si>
    <t xml:space="preserve">PPP contract management</t>
  </si>
  <si>
    <t xml:space="preserve">Scenario table (columns J to V = scenarios 1 to 13)</t>
  </si>
  <si>
    <t xml:space="preserve">Scenario number</t>
  </si>
  <si>
    <t xml:space="preserve">History run (actual events)</t>
  </si>
  <si>
    <t xml:space="preserve">Actual traffic used to</t>
  </si>
  <si>
    <t xml:space="preserve">Restructured (extension and new terms)</t>
  </si>
  <si>
    <t xml:space="preserve">CPI path (1 bid 2.5%, 2 actual)</t>
  </si>
  <si>
    <t xml:space="preserve">Traffic case (1 Pellow, 2 Ridgeway, 3 downside, 4 R2023, 5 retender)</t>
  </si>
  <si>
    <t xml:space="preserve">Traffic factor</t>
  </si>
  <si>
    <t xml:space="preserve">Ramp-up lag</t>
  </si>
  <si>
    <t xml:space="preserve">Toll escalation CPI only</t>
  </si>
  <si>
    <t xml:space="preserve">Opex factor</t>
  </si>
  <si>
    <t xml:space="preserve">Lifecycle factor</t>
  </si>
  <si>
    <t xml:space="preserve">Refinancing margin add</t>
  </si>
  <si>
    <t xml:space="preserve">Heavy-vehicle share change (points)</t>
  </si>
  <si>
    <t xml:space="preserve">Live senior sizing</t>
  </si>
  <si>
    <t xml:space="preserve">Live restructured sculpting</t>
  </si>
  <si>
    <t xml:space="preserve">Selected scenario values</t>
  </si>
  <si>
    <t xml:space="preserve">History run (selected)</t>
  </si>
  <si>
    <t xml:space="preserve">Actual traffic used to (selected)</t>
  </si>
  <si>
    <t xml:space="preserve">Restructured (selected)</t>
  </si>
  <si>
    <t xml:space="preserve">CPI path (selected)</t>
  </si>
  <si>
    <t xml:space="preserve">Traffic case (selected)</t>
  </si>
  <si>
    <t xml:space="preserve">Traffic factor (selected)</t>
  </si>
  <si>
    <t xml:space="preserve">Ramp-up lag (selected)</t>
  </si>
  <si>
    <t xml:space="preserve">CPI-only escalation (selected)</t>
  </si>
  <si>
    <t xml:space="preserve">Opex factor (selected)</t>
  </si>
  <si>
    <t xml:space="preserve">Lifecycle factor (selected)</t>
  </si>
  <si>
    <t xml:space="preserve">Refinancing margin add (selected)</t>
  </si>
  <si>
    <t xml:space="preserve">Heavy-vehicle share change (selected)</t>
  </si>
  <si>
    <t xml:space="preserve">Live senior sizing (selected)</t>
  </si>
  <si>
    <t xml:space="preserve">Live restructured sculpting (selected)</t>
  </si>
  <si>
    <t xml:space="preserve">State contribution used</t>
  </si>
  <si>
    <t xml:space="preserve">Traffic cases (columns J to N = cases 1 to 5)</t>
  </si>
  <si>
    <t xml:space="preserve">Base level (k trips/day)</t>
  </si>
  <si>
    <t xml:space="preserve">k/day</t>
  </si>
  <si>
    <t xml:space="preserve">Base year</t>
  </si>
  <si>
    <t xml:space="preserve">Growth to band 1 end</t>
  </si>
  <si>
    <t xml:space="preserve">Growth band 2</t>
  </si>
  <si>
    <t xml:space="preserve">Growth after band 2</t>
  </si>
  <si>
    <t xml:space="preserve">Ramp-up factor 2019</t>
  </si>
  <si>
    <t xml:space="preserve">Ramp-up factor 2020</t>
  </si>
  <si>
    <t xml:space="preserve">Ramp-up factor 2021</t>
  </si>
  <si>
    <t xml:space="preserve">Ramp-up factor 2022</t>
  </si>
  <si>
    <t xml:space="preserve">Ramp-up factor 2023</t>
  </si>
  <si>
    <t xml:space="preserve">Heavy-vehicle uplift in total trips</t>
  </si>
  <si>
    <t xml:space="preserve">Selected traffic case: L0</t>
  </si>
  <si>
    <t xml:space="preserve">Selected traffic case: BY</t>
  </si>
  <si>
    <t xml:space="preserve">Selected traffic case: G1</t>
  </si>
  <si>
    <t xml:space="preserve">Selected traffic case: G2</t>
  </si>
  <si>
    <t xml:space="preserve">Selected traffic case: G3</t>
  </si>
  <si>
    <t xml:space="preserve">Selected traffic case: Upl</t>
  </si>
  <si>
    <t xml:space="preserve">Selected ramp-up factors follow (2019 to 2023)</t>
  </si>
  <si>
    <t xml:space="preserve">Selected ramp-up factor 2019</t>
  </si>
  <si>
    <t xml:space="preserve">Selected ramp-up factor 2020</t>
  </si>
  <si>
    <t xml:space="preserve">Selected ramp-up factor 2021</t>
  </si>
  <si>
    <t xml:space="preserve">Selected ramp-up factor 2022</t>
  </si>
  <si>
    <t xml:space="preserve">Selected ramp-up factor 2023</t>
  </si>
  <si>
    <t xml:space="preserve">Annual and half-year tables</t>
  </si>
  <si>
    <t xml:space="preserve">Year</t>
  </si>
  <si>
    <t xml:space="preserve">Ardmore CPI, annual average change (actual path)</t>
  </si>
  <si>
    <t xml:space="preserve">Ardmore CPI, bid-date path</t>
  </si>
  <si>
    <t xml:space="preserve">ABBR fixing code (year x 10 + half)</t>
  </si>
  <si>
    <t xml:space="preserve">code</t>
  </si>
  <si>
    <t xml:space="preserve">6-month ABBR fixing</t>
  </si>
  <si>
    <t xml:space="preserve">ABBR from 2027</t>
  </si>
  <si>
    <t xml:space="preserve">Actual traffic code</t>
  </si>
  <si>
    <t xml:space="preserve">Actual traffic (k trips/day)</t>
  </si>
  <si>
    <t xml:space="preserve">Sponsor support code</t>
  </si>
  <si>
    <t xml:space="preserve">Sponsor support (subordinated shareholder loans)</t>
  </si>
  <si>
    <t xml:space="preserve">Time-based inputs (aligned with the model timeline, column J = first period)</t>
  </si>
  <si>
    <t xml:space="preserve">D&amp;C payment profile (excludes 5% retention)</t>
  </si>
  <si>
    <t xml:space="preserve">Locked financing from the banking run (Scenario 2); Checks confirms live = locked</t>
  </si>
  <si>
    <t xml:space="preserve">Senior debt (bank plus bonds)</t>
  </si>
  <si>
    <t xml:space="preserve">Equity</t>
  </si>
  <si>
    <t xml:space="preserve">Scheduled senior principal</t>
  </si>
  <si>
    <t xml:space="preserve">Ramp-up interest account releases</t>
  </si>
  <si>
    <t xml:space="preserve">Scheduled NILO principal (original)</t>
  </si>
  <si>
    <t xml:space="preserve">Downside CFADS (from the downside run)</t>
  </si>
  <si>
    <t xml:space="preserve">Locked restructured profiles from Scenario 5</t>
  </si>
  <si>
    <t xml:space="preserve">Scheduled restructured notes principal</t>
  </si>
  <si>
    <t xml:space="preserve">Scheduled NILO principal (restructured)</t>
  </si>
  <si>
    <t xml:space="preserve">Case T: Merrick Link toll road PPP  |  Time</t>
  </si>
  <si>
    <t xml:space="preserve">Timeline</t>
  </si>
  <si>
    <t xml:space="preserve">Period number</t>
  </si>
  <si>
    <t xml:space="preserve">Period start</t>
  </si>
  <si>
    <t xml:space="preserve">Days in period</t>
  </si>
  <si>
    <t xml:space="preserve">Days in period (30/360)</t>
  </si>
  <si>
    <t xml:space="preserve">Calendar year</t>
  </si>
  <si>
    <t xml:space="preserve">Half (1 = Jan-Jun, 2 = Jul-Dec)</t>
  </si>
  <si>
    <t xml:space="preserve">Half-year code</t>
  </si>
  <si>
    <t xml:space="preserve">Months in period</t>
  </si>
  <si>
    <t xml:space="preserve">Key dates for the selected scenario</t>
  </si>
  <si>
    <t xml:space="preserve">Opening date</t>
  </si>
  <si>
    <t xml:space="preserve">Concession expiry</t>
  </si>
  <si>
    <t xml:space="preserve">Construction days (close to scheduled completion)</t>
  </si>
  <si>
    <t xml:space="preserve">Flags</t>
  </si>
  <si>
    <t xml:space="preserve">Flag_Construction</t>
  </si>
  <si>
    <t xml:space="preserve">Flag_FirstPostConstruction</t>
  </si>
  <si>
    <t xml:space="preserve">Flag_BridgeDraw (last six construction quarters)</t>
  </si>
  <si>
    <t xml:space="preserve">Flag_PostRestructuring</t>
  </si>
  <si>
    <t xml:space="preserve">Applicable concession expiry</t>
  </si>
  <si>
    <t xml:space="preserve">Operating days</t>
  </si>
  <si>
    <t xml:space="preserve">Flag_Operations</t>
  </si>
  <si>
    <t xml:space="preserve">Flag_OpeningPeriod</t>
  </si>
  <si>
    <t xml:space="preserve">Flag_FinalPeriod (concession expiry)</t>
  </si>
  <si>
    <t xml:space="preserve">Remaining concession days from period start</t>
  </si>
  <si>
    <t xml:space="preserve">Flag_Repayment (senior, original)</t>
  </si>
  <si>
    <t xml:space="preserve">Flag_FirstRepayment</t>
  </si>
  <si>
    <t xml:space="preserve">Flag_RampUp (operations before first repayment)</t>
  </si>
  <si>
    <t xml:space="preserve">Flag_BeforeFirstRepayment</t>
  </si>
  <si>
    <t xml:space="preserve">Flag_Standstill</t>
  </si>
  <si>
    <t xml:space="preserve">Flag_Restructuring</t>
  </si>
  <si>
    <t xml:space="preserve">Flag_FirstNotesPeriod</t>
  </si>
  <si>
    <t xml:space="preserve">Flag_NotesRepayment</t>
  </si>
  <si>
    <t xml:space="preserve">Flag_NotesSweep</t>
  </si>
  <si>
    <t xml:space="preserve">Flag_ActualTraffic</t>
  </si>
  <si>
    <t xml:space="preserve">Share of period before margin step</t>
  </si>
  <si>
    <t xml:space="preserve">Share of period before mini-perm maturity</t>
  </si>
  <si>
    <t xml:space="preserve">Flag_MiniPermMaturity</t>
  </si>
  <si>
    <t xml:space="preserve">Flag_Hedged</t>
  </si>
  <si>
    <t xml:space="preserve">Flag_DSCRTest</t>
  </si>
  <si>
    <t xml:space="preserve">Flag_DefaultTest</t>
  </si>
  <si>
    <t xml:space="preserve">Flag_RetentionRelease</t>
  </si>
  <si>
    <t xml:space="preserve">Flag_NILORepayment</t>
  </si>
  <si>
    <t xml:space="preserve">Flag_NILOFirstRepayment</t>
  </si>
  <si>
    <t xml:space="preserve">Flag_NILOScheduleStart</t>
  </si>
  <si>
    <t xml:space="preserve">NILO interest rate</t>
  </si>
  <si>
    <t xml:space="preserve">NILO interest paid in cash (share)</t>
  </si>
  <si>
    <t xml:space="preserve">Flag_SwapRemaining (after 2023-12-31)</t>
  </si>
  <si>
    <t xml:space="preserve">Macro</t>
  </si>
  <si>
    <t xml:space="preserve">6-month ABBR</t>
  </si>
  <si>
    <t xml:space="preserve">Ardmore CPI change for the year (selected path)</t>
  </si>
  <si>
    <t xml:space="preserve">CPI factor (2015 = 1.0)</t>
  </si>
  <si>
    <t xml:space="preserve">CPI factor 2023 (2015 = 1.0)</t>
  </si>
  <si>
    <t xml:space="preserve">Flag_TollEscalation (contains July 1)</t>
  </si>
  <si>
    <t xml:space="preserve">Toll escalation factor</t>
  </si>
  <si>
    <t xml:space="preserve">Car toll per km</t>
  </si>
  <si>
    <t xml:space="preserve">Case T: Merrick Link toll road PPP  |  Construction</t>
  </si>
  <si>
    <t xml:space="preserve">Construction costs (paid at period end)</t>
  </si>
  <si>
    <t xml:space="preserve">D&amp;C contract payments (incl. 5% retention at completion)</t>
  </si>
  <si>
    <t xml:space="preserve">Development and bid costs</t>
  </si>
  <si>
    <t xml:space="preserve">Independent certifier</t>
  </si>
  <si>
    <t xml:space="preserve">Lenders' advisors and legal</t>
  </si>
  <si>
    <t xml:space="preserve">Contingency</t>
  </si>
  <si>
    <t xml:space="preserve">Total construction costs before financing</t>
  </si>
  <si>
    <t xml:space="preserve">Retention deposited at completion (released after defects period)</t>
  </si>
  <si>
    <t xml:space="preserve">Case T: Merrick Link toll road PPP  |  Operations</t>
  </si>
  <si>
    <t xml:space="preserve">Traffic</t>
  </si>
  <si>
    <t xml:space="preserve">Growth rate for the year</t>
  </si>
  <si>
    <t xml:space="preserve">Underlying traffic level</t>
  </si>
  <si>
    <t xml:space="preserve">Ramp-up table year</t>
  </si>
  <si>
    <t xml:space="preserve">Ramp-up factor</t>
  </si>
  <si>
    <t xml:space="preserve">Heavy-vehicle uplift factor</t>
  </si>
  <si>
    <t xml:space="preserve">Forecast traffic</t>
  </si>
  <si>
    <t xml:space="preserve">Actual traffic</t>
  </si>
  <si>
    <t xml:space="preserve">Traffic used (average daily trips)</t>
  </si>
  <si>
    <t xml:space="preserve">Toll revenue</t>
  </si>
  <si>
    <t xml:space="preserve">Weighted class multiplier, original</t>
  </si>
  <si>
    <t xml:space="preserve">Weighted class multiplier, from 2024 (restructured)</t>
  </si>
  <si>
    <t xml:space="preserve">Weighted class multiplier</t>
  </si>
  <si>
    <t xml:space="preserve">Gross toll revenue</t>
  </si>
  <si>
    <t xml:space="preserve">Net toll revenue</t>
  </si>
  <si>
    <t xml:space="preserve">Delay liquidated damages received</t>
  </si>
  <si>
    <t xml:space="preserve">Operating costs</t>
  </si>
  <si>
    <t xml:space="preserve">Cost factor (CPI x operating days / 365 x opex factor)</t>
  </si>
  <si>
    <t xml:space="preserve">Tolling back office, fixed</t>
  </si>
  <si>
    <t xml:space="preserve">Tolling back office, variable</t>
  </si>
  <si>
    <t xml:space="preserve">Total operating costs</t>
  </si>
  <si>
    <t xml:space="preserve">State revenue share</t>
  </si>
  <si>
    <t xml:space="preserve">Restructuring costs</t>
  </si>
  <si>
    <t xml:space="preserve">EBITDA</t>
  </si>
  <si>
    <t xml:space="preserve">Lifecycle and handback</t>
  </si>
  <si>
    <t xml:space="preserve">Operating year (H2 periods)</t>
  </si>
  <si>
    <t xml:space="preserve">Lifecycle works (2015 prices)</t>
  </si>
  <si>
    <t xml:space="preserve">Lifecycle works (nominal), paid from the MMRA</t>
  </si>
  <si>
    <t xml:space="preserve">Lifecycle reserve contribution (next six periods / 6)</t>
  </si>
  <si>
    <t xml:space="preserve">Flag_HandbackFunding</t>
  </si>
  <si>
    <t xml:space="preserve">Handback reserve contribution</t>
  </si>
  <si>
    <t xml:space="preserve">Working capital</t>
  </si>
  <si>
    <t xml:space="preserve">Toll receivables</t>
  </si>
  <si>
    <t xml:space="preserve">Operating payables</t>
  </si>
  <si>
    <t xml:space="preserve">Net working capital</t>
  </si>
  <si>
    <t xml:space="preserve">Increase in working capital</t>
  </si>
  <si>
    <t xml:space="preserve">Interchange upgrade capex (from the upgrade account)</t>
  </si>
  <si>
    <t xml:space="preserve">Cash flow available for debt service</t>
  </si>
  <si>
    <t xml:space="preserve">Tax paid</t>
  </si>
  <si>
    <t xml:space="preserve">CFADS</t>
  </si>
  <si>
    <t xml:space="preserve">Case T: Merrick Link toll road PPP  |  Tax</t>
  </si>
  <si>
    <t xml:space="preserve">Tax cost base of the concession asset</t>
  </si>
  <si>
    <t xml:space="preserve">Opening tax written-down value</t>
  </si>
  <si>
    <t xml:space="preserve">Additions (capitalized cost less contribution plus upgrade)</t>
  </si>
  <si>
    <t xml:space="preserve">Tax amortization (straight line over remaining term)</t>
  </si>
  <si>
    <t xml:space="preserve">Value before forgiveness</t>
  </si>
  <si>
    <t xml:space="preserve">Debt forgiveness applied to cost base</t>
  </si>
  <si>
    <t xml:space="preserve">Closing tax written-down value</t>
  </si>
  <si>
    <t xml:space="preserve">Taxable income</t>
  </si>
  <si>
    <t xml:space="preserve">NILO interest accrued (deductible)</t>
  </si>
  <si>
    <t xml:space="preserve">Shareholder loan interest accrued (deductible)</t>
  </si>
  <si>
    <t xml:space="preserve">Taxable income before losses</t>
  </si>
  <si>
    <t xml:space="preserve">Tax losses brought forward</t>
  </si>
  <si>
    <t xml:space="preserve">Losses used</t>
  </si>
  <si>
    <t xml:space="preserve">Losses added</t>
  </si>
  <si>
    <t xml:space="preserve">Forgiven commercial debt (cancelled claims plus shareholder loans)</t>
  </si>
  <si>
    <t xml:space="preserve">Forgiveness applied to losses</t>
  </si>
  <si>
    <t xml:space="preserve">Tax losses carried forward</t>
  </si>
  <si>
    <t xml:space="preserve">Taxable income after losses</t>
  </si>
  <si>
    <t xml:space="preserve">Case T: Merrick Link toll road PPP  |  Funding</t>
  </si>
  <si>
    <t xml:space="preserve">Commitments</t>
  </si>
  <si>
    <t xml:space="preserve">Bank mini-perm commitment</t>
  </si>
  <si>
    <t xml:space="preserve">Bond face value (fully funded at close into escrow)</t>
  </si>
  <si>
    <t xml:space="preserve">Uses of funds</t>
  </si>
  <si>
    <t xml:space="preserve">Upfront fees (bank, bond issue, NILO, bridge)</t>
  </si>
  <si>
    <t xml:space="preserve">Bank interest during construction</t>
  </si>
  <si>
    <t xml:space="preserve">Bond interest during construction</t>
  </si>
  <si>
    <t xml:space="preserve">Bond escrow: opening</t>
  </si>
  <si>
    <t xml:space="preserve">Bond escrow earnings (deducted)</t>
  </si>
  <si>
    <t xml:space="preserve">Bond escrow: closing</t>
  </si>
  <si>
    <t xml:space="preserve">Contribution bridge: opening</t>
  </si>
  <si>
    <t xml:space="preserve">Bridge interest</t>
  </si>
  <si>
    <t xml:space="preserve">Bridge interest during construction</t>
  </si>
  <si>
    <t xml:space="preserve">Bridge interest after completion (paid from operations)</t>
  </si>
  <si>
    <t xml:space="preserve">DSRA initial funding</t>
  </si>
  <si>
    <t xml:space="preserve">Ramp-up interest account funding</t>
  </si>
  <si>
    <t xml:space="preserve">Total uses</t>
  </si>
  <si>
    <t xml:space="preserve">Total uses (eligible costs)</t>
  </si>
  <si>
    <t xml:space="preserve">Funding requirement net of the state contribution</t>
  </si>
  <si>
    <t xml:space="preserve">Sources of funds (equity first, then debt pro rata; bridge in the last six quarters)</t>
  </si>
  <si>
    <t xml:space="preserve">Equity drawn</t>
  </si>
  <si>
    <t xml:space="preserve">Cumulative equity</t>
  </si>
  <si>
    <t xml:space="preserve">Funding need after equity</t>
  </si>
  <si>
    <t xml:space="preserve">Need in the bridge draw quarters</t>
  </si>
  <si>
    <t xml:space="preserve">Bridge drawn</t>
  </si>
  <si>
    <t xml:space="preserve">Debt drawn (senior plus NILO)</t>
  </si>
  <si>
    <t xml:space="preserve">Senior drawn</t>
  </si>
  <si>
    <t xml:space="preserve">NILO drawn</t>
  </si>
  <si>
    <t xml:space="preserve">Bank drawn</t>
  </si>
  <si>
    <t xml:space="preserve">Bond escrow released</t>
  </si>
  <si>
    <t xml:space="preserve">Equity: share capital</t>
  </si>
  <si>
    <t xml:space="preserve">Equity: shareholder loans</t>
  </si>
  <si>
    <t xml:space="preserve">State contribution received (repays the bridge)</t>
  </si>
  <si>
    <t xml:space="preserve">Contribution bridge: closing</t>
  </si>
  <si>
    <t xml:space="preserve">Capitalized cost (uses less reserves plus capitalized NILO and SHL interest)</t>
  </si>
  <si>
    <t xml:space="preserve">Sources less uses</t>
  </si>
  <si>
    <t xml:space="preserve">Case T: Merrick Link toll road PPP  |  Debt</t>
  </si>
  <si>
    <t xml:space="preserve">Rates</t>
  </si>
  <si>
    <t xml:space="preserve">Bank margin after the mini-perm maturity</t>
  </si>
  <si>
    <t xml:space="preserve">Bank margin (day-weighted)</t>
  </si>
  <si>
    <t xml:space="preserve">Bank all-in rate</t>
  </si>
  <si>
    <t xml:space="preserve">Senior blended period rate</t>
  </si>
  <si>
    <t xml:space="preserve">Notes period rate</t>
  </si>
  <si>
    <t xml:space="preserve">Senior sizing (live in Scenario 2)</t>
  </si>
  <si>
    <t xml:space="preserve">Discount factor from 2021-01-01 at the senior rate</t>
  </si>
  <si>
    <t xml:space="preserve">PV of CFADS over the repayment periods</t>
  </si>
  <si>
    <t xml:space="preserve">Capacity: 55% of funding requirement net of contribution</t>
  </si>
  <si>
    <t xml:space="preserve">Capacity: sculpted at 1.50x (PV / 1.50)</t>
  </si>
  <si>
    <t xml:space="preserve">Capacity: LLCR 1.55x</t>
  </si>
  <si>
    <t xml:space="preserve">Interest-only capacity at 1.50x</t>
  </si>
  <si>
    <t xml:space="preserve">Capacity: interest cover 1.50x in every repayment period</t>
  </si>
  <si>
    <t xml:space="preserve">Downside interest-only capacity at 1.15x</t>
  </si>
  <si>
    <t xml:space="preserve">Capacity: downside interest cover 1.15x</t>
  </si>
  <si>
    <t xml:space="preserve">Senior debt, live sizing (lesser of the constraints)</t>
  </si>
  <si>
    <t xml:space="preserve">Binding constraint (1 gearing, 2 sculpt, 3 LLCR, 4 interest cover, 5 downside)</t>
  </si>
  <si>
    <t xml:space="preserve">Live sizing active (Live and Circ)</t>
  </si>
  <si>
    <t xml:space="preserve">Live restructured sculpting active</t>
  </si>
  <si>
    <t xml:space="preserve">Senior debt applied</t>
  </si>
  <si>
    <t xml:space="preserve">NILO, live (remainder, capped at 33% of eligible costs)</t>
  </si>
  <si>
    <t xml:space="preserve">NILO applied</t>
  </si>
  <si>
    <t xml:space="preserve">Equity applied</t>
  </si>
  <si>
    <t xml:space="preserve">Senior sculpting: DS = MAX(interest, CFADS / s) from June 2021</t>
  </si>
  <si>
    <t xml:space="preserve">Scheduled balance: opening</t>
  </si>
  <si>
    <t xml:space="preserve">Scheduled interest</t>
  </si>
  <si>
    <t xml:space="preserve">Flag_InterestOnly (interest above CFADS / s)</t>
  </si>
  <si>
    <t xml:space="preserve">Scheduled debt service</t>
  </si>
  <si>
    <t xml:space="preserve">Scheduled principal (live)</t>
  </si>
  <si>
    <t xml:space="preserve">Scheduled balance: closing</t>
  </si>
  <si>
    <t xml:space="preserve">Sculpting divisor s (fixed point)</t>
  </si>
  <si>
    <t xml:space="preserve">Ramp-up interest account release (live)</t>
  </si>
  <si>
    <t xml:space="preserve">Ramp-up interest account release (applied)</t>
  </si>
  <si>
    <t xml:space="preserve">Scheduled senior principal (applied)</t>
  </si>
  <si>
    <t xml:space="preserve">Bank mini-perm</t>
  </si>
  <si>
    <t xml:space="preserve">Opening balance</t>
  </si>
  <si>
    <t xml:space="preserve">Interest</t>
  </si>
  <si>
    <t xml:space="preserve">Interest due from operations</t>
  </si>
  <si>
    <t xml:space="preserve">Principal due</t>
  </si>
  <si>
    <t xml:space="preserve">Closing balance before restructuring</t>
  </si>
  <si>
    <t xml:space="preserve">Closing balance</t>
  </si>
  <si>
    <t xml:space="preserve">Revenue bonds</t>
  </si>
  <si>
    <t xml:space="preserve">Interest (30/360)</t>
  </si>
  <si>
    <t xml:space="preserve">Senior arrears (interest unpaid under the standstill)</t>
  </si>
  <si>
    <t xml:space="preserve">Bank arrears: opening</t>
  </si>
  <si>
    <t xml:space="preserve">Bond arrears: opening</t>
  </si>
  <si>
    <t xml:space="preserve">Bank arrears: closing before restructuring</t>
  </si>
  <si>
    <t xml:space="preserve">Bond arrears: closing before restructuring</t>
  </si>
  <si>
    <t xml:space="preserve">Bank arrears: closing</t>
  </si>
  <si>
    <t xml:space="preserve">Bond arrears: closing</t>
  </si>
  <si>
    <t xml:space="preserve">Debt service due (all senior)</t>
  </si>
  <si>
    <t xml:space="preserve">Restructured notes interest due (30/360)</t>
  </si>
  <si>
    <t xml:space="preserve">Senior interest due</t>
  </si>
  <si>
    <t xml:space="preserve">Refinancing / A&amp;E fee and post-completion bridge interest</t>
  </si>
  <si>
    <t xml:space="preserve">Notes principal due</t>
  </si>
  <si>
    <t xml:space="preserve">Senior principal due</t>
  </si>
  <si>
    <t xml:space="preserve">Scheduled senior cash debt service (covenant basis)</t>
  </si>
  <si>
    <t xml:space="preserve">Restructuring at 2023-12-31</t>
  </si>
  <si>
    <t xml:space="preserve">Original scheduled senior balance (swap notional basis)</t>
  </si>
  <si>
    <t xml:space="preserve">Swap discount factor at 4.36%</t>
  </si>
  <si>
    <t xml:space="preserve">PV of swap net receipts (market less fixed)</t>
  </si>
  <si>
    <t xml:space="preserve">Swap mark-to-market at 2023-12-31 (owed to the concessionaire)</t>
  </si>
  <si>
    <t xml:space="preserve">Senior claims: principal plus arrears</t>
  </si>
  <si>
    <t xml:space="preserve">Swap termination value set off</t>
  </si>
  <si>
    <t xml:space="preserve">Senior claims net of set-off</t>
  </si>
  <si>
    <t xml:space="preserve">Restructured Senior Notes issued (76%)</t>
  </si>
  <si>
    <t xml:space="preserve">Claims converted to equity (10%)</t>
  </si>
  <si>
    <t xml:space="preserve">Claims cancelled (14%)</t>
  </si>
  <si>
    <t xml:space="preserve">Shareholder loans written off</t>
  </si>
  <si>
    <t xml:space="preserve">Notes face value</t>
  </si>
  <si>
    <t xml:space="preserve">Restructured notes sculpting (live in Scenario 5)</t>
  </si>
  <si>
    <t xml:space="preserve">Discount factor at the notes rate</t>
  </si>
  <si>
    <t xml:space="preserve">Scheduled notes balance: opening</t>
  </si>
  <si>
    <t xml:space="preserve">Scheduled notes interest</t>
  </si>
  <si>
    <t xml:space="preserve">Flag_InterestOnly (notes)</t>
  </si>
  <si>
    <t xml:space="preserve">Scheduled notes debt service</t>
  </si>
  <si>
    <t xml:space="preserve">Scheduled notes principal (live)</t>
  </si>
  <si>
    <t xml:space="preserve">Scheduled notes balance: closing</t>
  </si>
  <si>
    <t xml:space="preserve">Notes sculpting divisor (fixed point)</t>
  </si>
  <si>
    <t xml:space="preserve">Scheduled notes principal (applied)</t>
  </si>
  <si>
    <t xml:space="preserve">Restructured Senior Notes</t>
  </si>
  <si>
    <t xml:space="preserve">Interest accrued (cash and capitalized)</t>
  </si>
  <si>
    <t xml:space="preserve">Cash interest due</t>
  </si>
  <si>
    <t xml:space="preserve">Total due incl. shortfall brought forward</t>
  </si>
  <si>
    <t xml:space="preserve">Shortfall carried forward</t>
  </si>
  <si>
    <t xml:space="preserve">NILO sculpting on CFADS after senior debt service (live in Scenarios 2 and 5)</t>
  </si>
  <si>
    <t xml:space="preserve">CFADS after scheduled senior or notes debt service</t>
  </si>
  <si>
    <t xml:space="preserve">Discount factor at the NILO rate</t>
  </si>
  <si>
    <t xml:space="preserve">Scheduled NILO balance: opening</t>
  </si>
  <si>
    <t xml:space="preserve">Scheduled interest accrued</t>
  </si>
  <si>
    <t xml:space="preserve">Scheduled cash interest</t>
  </si>
  <si>
    <t xml:space="preserve">Flag_InterestOnly (NILO)</t>
  </si>
  <si>
    <t xml:space="preserve">Scheduled NILO debt service</t>
  </si>
  <si>
    <t xml:space="preserve">Scheduled NILO principal (live)</t>
  </si>
  <si>
    <t xml:space="preserve">Scheduled NILO balance: closing</t>
  </si>
  <si>
    <t xml:space="preserve">Scheduled balance at the first NILO repayment period</t>
  </si>
  <si>
    <t xml:space="preserve">NILO live sculpting active</t>
  </si>
  <si>
    <t xml:space="preserve">NILO sculpting divisor (fixed point)</t>
  </si>
  <si>
    <t xml:space="preserve">Scheduled NILO principal (applied)</t>
  </si>
  <si>
    <t xml:space="preserve">Case T: Merrick Link toll road PPP  |  Reserves</t>
  </si>
  <si>
    <t xml:space="preserve">Debt service reserve account (six months of scheduled senior cash debt service)</t>
  </si>
  <si>
    <t xml:space="preserve">Next period scheduled cash debt service</t>
  </si>
  <si>
    <t xml:space="preserve">DSRA target</t>
  </si>
  <si>
    <t xml:space="preserve">DSRA: opening</t>
  </si>
  <si>
    <t xml:space="preserve">DSRA after draws</t>
  </si>
  <si>
    <t xml:space="preserve">Shortfall against target</t>
  </si>
  <si>
    <t xml:space="preserve">Top-up from cash flow</t>
  </si>
  <si>
    <t xml:space="preserve">Release of excess</t>
  </si>
  <si>
    <t xml:space="preserve">DSRA: closing</t>
  </si>
  <si>
    <t xml:space="preserve">Ramp-up interest account</t>
  </si>
  <si>
    <t xml:space="preserve">Opening</t>
  </si>
  <si>
    <t xml:space="preserve">Closing</t>
  </si>
  <si>
    <t xml:space="preserve">Lifecycle reserve (MMRA)</t>
  </si>
  <si>
    <t xml:space="preserve">Handback reserve</t>
  </si>
  <si>
    <t xml:space="preserve">Handback works at expiry</t>
  </si>
  <si>
    <t xml:space="preserve">Retention account</t>
  </si>
  <si>
    <t xml:space="preserve">Released to the D&amp;C contractor</t>
  </si>
  <si>
    <t xml:space="preserve">Interchange upgrade account (state new money)</t>
  </si>
  <si>
    <t xml:space="preserve">Case T: Merrick Link toll road PPP  |  Waterfall</t>
  </si>
  <si>
    <t xml:space="preserve">Cash available</t>
  </si>
  <si>
    <t xml:space="preserve">Cash account (locked-up cash) brought forward</t>
  </si>
  <si>
    <t xml:space="preserve">Ramp-up interest account release</t>
  </si>
  <si>
    <t xml:space="preserve">Sponsor support loans</t>
  </si>
  <si>
    <t xml:space="preserve">Cash available for senior debt service</t>
  </si>
  <si>
    <t xml:space="preserve">1. Senior fees, interest (including arrears) and principal</t>
  </si>
  <si>
    <t xml:space="preserve">Senior arrears brought forward</t>
  </si>
  <si>
    <t xml:space="preserve">Senior amounts due</t>
  </si>
  <si>
    <t xml:space="preserve">Senior amounts paid (cash plus DSRA)</t>
  </si>
  <si>
    <t xml:space="preserve">Fees paid</t>
  </si>
  <si>
    <t xml:space="preserve">Interest paid</t>
  </si>
  <si>
    <t xml:space="preserve">Principal paid</t>
  </si>
  <si>
    <t xml:space="preserve">Bank share of interest paid</t>
  </si>
  <si>
    <t xml:space="preserve">Bond share of interest paid</t>
  </si>
  <si>
    <t xml:space="preserve">Bank principal paid</t>
  </si>
  <si>
    <t xml:space="preserve">Bond principal paid</t>
  </si>
  <si>
    <t xml:space="preserve">Notes principal paid</t>
  </si>
  <si>
    <t xml:space="preserve">DSRA drawn</t>
  </si>
  <si>
    <t xml:space="preserve">Cash after senior debt service</t>
  </si>
  <si>
    <t xml:space="preserve">2. DSRA top-up or release</t>
  </si>
  <si>
    <t xml:space="preserve">Cash after DSRA</t>
  </si>
  <si>
    <t xml:space="preserve">3. Standstill cash sweep (100% to senior principal)</t>
  </si>
  <si>
    <t xml:space="preserve">Bank balance after scheduled principal</t>
  </si>
  <si>
    <t xml:space="preserve">Bond balance after scheduled principal</t>
  </si>
  <si>
    <t xml:space="preserve">Standstill sweep</t>
  </si>
  <si>
    <t xml:space="preserve">Standstill sweep to bank</t>
  </si>
  <si>
    <t xml:space="preserve">Standstill sweep to bonds</t>
  </si>
  <si>
    <t xml:space="preserve">Cash after standstill sweep</t>
  </si>
  <si>
    <t xml:space="preserve">4. NILO debt service</t>
  </si>
  <si>
    <t xml:space="preserve">NILO paid</t>
  </si>
  <si>
    <t xml:space="preserve">Cash after NILO</t>
  </si>
  <si>
    <t xml:space="preserve">5. Notes cash sweep (50% to 2030)</t>
  </si>
  <si>
    <t xml:space="preserve">Notes cash sweep</t>
  </si>
  <si>
    <t xml:space="preserve">Cash available for distribution</t>
  </si>
  <si>
    <t xml:space="preserve">6. Distribution tests</t>
  </si>
  <si>
    <t xml:space="preserve">Senior DSCR, period</t>
  </si>
  <si>
    <t xml:space="preserve">Historic CFADS (12 months; 6 months at the first test)</t>
  </si>
  <si>
    <t xml:space="preserve">Historic scheduled debt service</t>
  </si>
  <si>
    <t xml:space="preserve">Senior DSCR, historic (covenant)</t>
  </si>
  <si>
    <t xml:space="preserve">Lock-up test failed</t>
  </si>
  <si>
    <t xml:space="preserve">Default test failed</t>
  </si>
  <si>
    <t xml:space="preserve">Event of default continuing</t>
  </si>
  <si>
    <t xml:space="preserve">Distributions blocked</t>
  </si>
  <si>
    <t xml:space="preserve">Distributions to equity</t>
  </si>
  <si>
    <t xml:space="preserve">State reserve top-up received</t>
  </si>
  <si>
    <t xml:space="preserve">Cash account carried forward</t>
  </si>
  <si>
    <t xml:space="preserve">Shareholder loans and dividends</t>
  </si>
  <si>
    <t xml:space="preserve">Shareholder loans: opening (incl. capitalized interest)</t>
  </si>
  <si>
    <t xml:space="preserve">Shareholder loan interest accrued</t>
  </si>
  <si>
    <t xml:space="preserve">Shareholder loans outstanding before payment</t>
  </si>
  <si>
    <t xml:space="preserve">Paid on shareholder loans</t>
  </si>
  <si>
    <t xml:space="preserve">Dividends</t>
  </si>
  <si>
    <t xml:space="preserve">Shareholder loans: closing before restructuring</t>
  </si>
  <si>
    <t xml:space="preserve">Shareholder loans: closing</t>
  </si>
  <si>
    <t xml:space="preserve">Equity cash flows</t>
  </si>
  <si>
    <t xml:space="preserve">Original sponsors' cash flow</t>
  </si>
  <si>
    <t xml:space="preserve">New equity cash flow (creditors 85%, state 15%)</t>
  </si>
  <si>
    <t xml:space="preserve">Case T: Merrick Link toll road PPP  |  Financials</t>
  </si>
  <si>
    <t xml:space="preserve">Income statement</t>
  </si>
  <si>
    <t xml:space="preserve">Book amortization of the concession asset</t>
  </si>
  <si>
    <t xml:space="preserve">Concession intangible: net book value</t>
  </si>
  <si>
    <t xml:space="preserve">Restructuring gain (cancelled claims and swap termination)</t>
  </si>
  <si>
    <t xml:space="preserve">Net income</t>
  </si>
  <si>
    <t xml:space="preserve">Balance sheet</t>
  </si>
  <si>
    <t xml:space="preserve">Total assets</t>
  </si>
  <si>
    <t xml:space="preserve">Total liabilities</t>
  </si>
  <si>
    <t xml:space="preserve">Share capital</t>
  </si>
  <si>
    <t xml:space="preserve">Shareholder loans forgiven (equity reserve)</t>
  </si>
  <si>
    <t xml:space="preserve">Retained earnings</t>
  </si>
  <si>
    <t xml:space="preserve">Total equity</t>
  </si>
  <si>
    <t xml:space="preserve">Balance check (assets less liabilities less equity)</t>
  </si>
  <si>
    <t xml:space="preserve">Case T: Merrick Link toll road PPP  |  Ratios</t>
  </si>
  <si>
    <t xml:space="preserve">Senior ratios (original debt, repayment periods)</t>
  </si>
  <si>
    <t xml:space="preserve">DSCR, repayment periods</t>
  </si>
  <si>
    <t xml:space="preserve">Minimum DSCR, repayment periods</t>
  </si>
  <si>
    <t xml:space="preserve">Average DSCR, repayment periods</t>
  </si>
  <si>
    <t xml:space="preserve">DSCR, ramp-up periods</t>
  </si>
  <si>
    <t xml:space="preserve">Minimum DSCR, ramp-up</t>
  </si>
  <si>
    <t xml:space="preserve">Senior plus NILO DSCR</t>
  </si>
  <si>
    <t xml:space="preserve">Minimum senior plus NILO DSCR</t>
  </si>
  <si>
    <t xml:space="preserve">Discount factor from 2021-01-01 (all periods)</t>
  </si>
  <si>
    <t xml:space="preserve">LLCR</t>
  </si>
  <si>
    <t xml:space="preserve">LLCR at the first repayment period</t>
  </si>
  <si>
    <t xml:space="preserve">Minimum LLCR</t>
  </si>
  <si>
    <t xml:space="preserve">PLCR at the first repayment period</t>
  </si>
  <si>
    <t xml:space="preserve">Notes DSCR</t>
  </si>
  <si>
    <t xml:space="preserve">Minimum notes DSCR</t>
  </si>
  <si>
    <t xml:space="preserve">Average notes DSCR</t>
  </si>
  <si>
    <t xml:space="preserve">Lock-up periods after the first repayment date</t>
  </si>
  <si>
    <t xml:space="preserve">DSRA drawn in total</t>
  </si>
  <si>
    <t xml:space="preserve">Senior debt, % of funding net of contribution</t>
  </si>
  <si>
    <t xml:space="preserve">NILO, % of funding net of contribution</t>
  </si>
  <si>
    <t xml:space="preserve">Equity, % of funding net of contribution</t>
  </si>
  <si>
    <t xml:space="preserve">NILO, % of eligible costs</t>
  </si>
  <si>
    <t xml:space="preserve">Case T: Merrick Link toll road PPP  |  Returns</t>
  </si>
  <si>
    <t xml:space="preserve">Original sponsors' equity</t>
  </si>
  <si>
    <t xml:space="preserve">Equity cash flow</t>
  </si>
  <si>
    <t xml:space="preserve">Equity IRR (XIRR on period-end dates)</t>
  </si>
  <si>
    <t xml:space="preserve">Equity NPV at 11.4% at financial close</t>
  </si>
  <si>
    <t xml:space="preserve">Equity invested (incl. sponsor support)</t>
  </si>
  <si>
    <t xml:space="preserve">Project cash flow (post-tax, before financing)</t>
  </si>
  <si>
    <t xml:space="preserve">Project cash flow</t>
  </si>
  <si>
    <t xml:space="preserve">Project IRR, post-tax</t>
  </si>
  <si>
    <t xml:space="preserve">Project cash flow before tax</t>
  </si>
  <si>
    <t xml:space="preserve">Project IRR, pre-tax</t>
  </si>
  <si>
    <t xml:space="preserve">Termination values at 2022-06-30</t>
  </si>
  <si>
    <t xml:space="preserve">NPV at 11.4% of distributions after 2022-06-30 (authority-default equity compensation when run on the bid base)</t>
  </si>
  <si>
    <t xml:space="preserve">Pre-tax unlevered cash flow (retender valuation)</t>
  </si>
  <si>
    <t xml:space="preserve">Estimated fair value at 2022-06-30 (run in Scenario 6)</t>
  </si>
  <si>
    <t xml:space="preserve">Concessionaire-default compensation (fair value less retendering costs)</t>
  </si>
  <si>
    <t xml:space="preserve">Senior claims at 2022-06-30 (principal plus arrears)</t>
  </si>
  <si>
    <t xml:space="preserve">NILO outstanding at 2022-06-30</t>
  </si>
  <si>
    <t xml:space="preserve">Equity contributed less distributions to 2022-06-30</t>
  </si>
  <si>
    <t xml:space="preserve">Prolonged force majeure compensation</t>
  </si>
  <si>
    <t xml:space="preserve">Restructuring valuation (run in Scenario 5)</t>
  </si>
  <si>
    <t xml:space="preserve">New equity value at the plan rate (14.0%)</t>
  </si>
  <si>
    <t xml:space="preserve">Flag_NotesRepaid</t>
  </si>
  <si>
    <t xml:space="preserve">Warrants: 3% of distributions after the notes are repaid</t>
  </si>
  <si>
    <t xml:space="preserve">Equity value to senior creditors (85%)</t>
  </si>
  <si>
    <t xml:space="preserve">Equity value to the state (15%)</t>
  </si>
  <si>
    <t xml:space="preserve">State money in excess of plan value (implied capital grant)</t>
  </si>
  <si>
    <t xml:space="preserve">Payments to noteholders</t>
  </si>
  <si>
    <t xml:space="preserve">Notes market value at the 7.50% yield</t>
  </si>
  <si>
    <t xml:space="preserve">Senior recovery (notes at market plus equity at plan value)</t>
  </si>
  <si>
    <t xml:space="preserve">Senior recovery with notes at par</t>
  </si>
  <si>
    <t xml:space="preserve">NILO claim at 2023-12-31</t>
  </si>
  <si>
    <t xml:space="preserve">PV of NILO receipts at 3.06%</t>
  </si>
  <si>
    <t xml:space="preserve">NILO recovery in PV terms</t>
  </si>
  <si>
    <t xml:space="preserve">Public sector comparator and value for money (PV at 2012-12-31)</t>
  </si>
  <si>
    <t xml:space="preserve">Risk-adjusted PSC</t>
  </si>
  <si>
    <t xml:space="preserve">Raw PSC (before risk and competitive neutrality)</t>
  </si>
  <si>
    <t xml:space="preserve">Discount factor, contribution date to PV date</t>
  </si>
  <si>
    <t xml:space="preserve">PPP reference project cost</t>
  </si>
  <si>
    <t xml:space="preserve">PPP cost at the winning bid</t>
  </si>
  <si>
    <t xml:space="preserve">Value for money, reference</t>
  </si>
  <si>
    <t xml:space="preserve">Value for money, reference, % of risk-adjusted PSC</t>
  </si>
  <si>
    <t xml:space="preserve">Value for money, winning bid</t>
  </si>
  <si>
    <t xml:space="preserve">Value for money, winning bid, % of risk-adjusted PSC</t>
  </si>
  <si>
    <t xml:space="preserve">Case T: Merrick Link toll road PPP  |  Checks</t>
  </si>
  <si>
    <t xml:space="preserve">Integrity checks (0 = pass)</t>
  </si>
  <si>
    <t xml:space="preserve">Sources equal uses in every construction period</t>
  </si>
  <si>
    <t xml:space="preserve">Total sources at close equal total uses</t>
  </si>
  <si>
    <t xml:space="preserve">Equity drawn equals equity commitment</t>
  </si>
  <si>
    <t xml:space="preserve">Bond escrow fully used at completion</t>
  </si>
  <si>
    <t xml:space="preserve">Bridge repaid at opening</t>
  </si>
  <si>
    <t xml:space="preserve">Balance sheet balances</t>
  </si>
  <si>
    <t xml:space="preserve">Live senior schedule repays by 2048 (Scenario 2)</t>
  </si>
  <si>
    <t xml:space="preserve">Live sizing equals locked financing (Scenario 2, bid contribution)</t>
  </si>
  <si>
    <t xml:space="preserve">Live notes schedule equals locked (Scenario 5)</t>
  </si>
  <si>
    <t xml:space="preserve">Senior debt repaid by concession expiry</t>
  </si>
  <si>
    <t xml:space="preserve">NILO repaid by concession expiry</t>
  </si>
  <si>
    <t xml:space="preserve">Reserves never negative</t>
  </si>
  <si>
    <t xml:space="preserve">Ramp-up account fully used</t>
  </si>
  <si>
    <t xml:space="preserve">Cash account never negative</t>
  </si>
  <si>
    <t xml:space="preserve">NILO within 33% of eligible costs</t>
  </si>
  <si>
    <t xml:space="preserve">Equity at least 22% of funding net of contribution</t>
  </si>
  <si>
    <t xml:space="preserve">Restructuring: notes plus converted plus cancelled equal net claims</t>
  </si>
  <si>
    <t xml:space="preserve">All checks</t>
  </si>
  <si>
    <t xml:space="preserve">Case T: Merrick Link toll road PPP  |  Outputs</t>
  </si>
  <si>
    <t xml:space="preserve">Dashboard (selected scenario)</t>
  </si>
  <si>
    <t xml:space="preserve">Scenario</t>
  </si>
  <si>
    <t xml:space="preserve">Funding requirement net of contribution</t>
  </si>
  <si>
    <t xml:space="preserve">Binding sizing constraint</t>
  </si>
  <si>
    <t xml:space="preserve">Senior sculpting divisor</t>
  </si>
  <si>
    <t xml:space="preserve">Senior IDC net of escrow income plus bridge interest</t>
  </si>
  <si>
    <t xml:space="preserve">Upfront and commitment fees</t>
  </si>
  <si>
    <t xml:space="preserve">Minimum senior DSCR (repayment periods)</t>
  </si>
  <si>
    <t xml:space="preserve">Average senior DSCR</t>
  </si>
  <si>
    <t xml:space="preserve">LLCR at first repayment</t>
  </si>
  <si>
    <t xml:space="preserve">PLCR at first repayment</t>
  </si>
  <si>
    <t xml:space="preserve">Equity IRR</t>
  </si>
  <si>
    <t xml:space="preserve">Equity NPV at 11.4%</t>
  </si>
  <si>
    <t xml:space="preserve">Project IRR post-tax</t>
  </si>
  <si>
    <t xml:space="preserve">All checks (0 = pass)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</si>
</sst>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yyyy\-mm\-dd"/>
    <numFmt numFmtId="166" formatCode="0"/>
    <numFmt numFmtId="167" formatCode="0.000000"/>
    <numFmt numFmtId="168" formatCode="0.0E+00"/>
    <numFmt numFmtId="169" formatCode="0.0"/>
    <numFmt numFmtId="170" formatCode="#,##0.0;\(#,##0.0\);\–"/>
    <numFmt numFmtId="171" formatCode="0.00%"/>
    <numFmt numFmtId="172" formatCode="0.00\x"/>
    <numFmt numFmtId="173" formatCode="0.00"/>
    <numFmt numFmtId="174" formatCode="0.0000"/>
    <numFmt numFmtId="175" formatCode="#,##0.00"/>
    <numFmt numFmtId="176" formatCode="0.000"/>
    <numFmt numFmtId="177" formatCode="0.0000%"/>
    <numFmt numFmtId="178" formatCode="#,##0.000000"/>
    <numFmt numFmtId="179" formatCode="#,##0.0000"/>
    <numFmt numFmtId="180" formatCode="#,##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120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0</v>
      </c>
    </row>
    <row r="3" customFormat="false" ht="15" hidden="false" customHeight="false" outlineLevel="0" collapsed="false">
      <c r="D3" s="0" t="s">
        <v>1</v>
      </c>
    </row>
    <row r="4" customFormat="false" ht="15" hidden="false" customHeight="false" outlineLevel="0" collapsed="false">
      <c r="D4" s="0" t="s">
        <v>2</v>
      </c>
    </row>
    <row r="5" customFormat="false" ht="15" hidden="false" customHeight="false" outlineLevel="0" collapsed="false">
      <c r="D5" s="0" t="s">
        <v>3</v>
      </c>
    </row>
    <row r="7" customFormat="false" ht="15" hidden="false" customHeight="false" outlineLevel="0" collapsed="false">
      <c r="D7" s="0" t="s">
        <v>4</v>
      </c>
    </row>
    <row r="8" customFormat="false" ht="15" hidden="false" customHeight="false" outlineLevel="0" collapsed="false">
      <c r="D8" s="0" t="s">
        <v>5</v>
      </c>
    </row>
    <row r="9" customFormat="false" ht="15" hidden="false" customHeight="false" outlineLevel="0" collapsed="false">
      <c r="D9" s="0" t="s">
        <v>6</v>
      </c>
    </row>
    <row r="10" customFormat="false" ht="15" hidden="false" customHeight="false" outlineLevel="0" collapsed="false">
      <c r="D10" s="0" t="s">
        <v>7</v>
      </c>
    </row>
    <row r="11" customFormat="false" ht="15" hidden="false" customHeight="false" outlineLevel="0" collapsed="false">
      <c r="D11" s="0" t="s">
        <v>8</v>
      </c>
    </row>
    <row r="12" customFormat="false" ht="15" hidden="false" customHeight="false" outlineLevel="0" collapsed="false">
      <c r="D12" s="0" t="s">
        <v>9</v>
      </c>
    </row>
    <row r="13" customFormat="false" ht="15" hidden="false" customHeight="false" outlineLevel="0" collapsed="false">
      <c r="D13" s="0" t="s">
        <v>10</v>
      </c>
    </row>
    <row r="14" customFormat="false" ht="15" hidden="false" customHeight="false" outlineLevel="0" collapsed="false">
      <c r="D14" s="0" t="s">
        <v>11</v>
      </c>
    </row>
    <row r="15" customFormat="false" ht="15" hidden="false" customHeight="false" outlineLevel="0" collapsed="false">
      <c r="D15" s="0" t="s">
        <v>12</v>
      </c>
    </row>
    <row r="16" customFormat="false" ht="15" hidden="false" customHeight="false" outlineLevel="0" collapsed="false">
      <c r="D16" s="0" t="s">
        <v>13</v>
      </c>
    </row>
    <row r="17" customFormat="false" ht="15" hidden="false" customHeight="false" outlineLevel="0" collapsed="false">
      <c r="D17" s="0" t="s">
        <v>14</v>
      </c>
    </row>
    <row r="18" customFormat="false" ht="15" hidden="false" customHeight="false" outlineLevel="0" collapsed="false">
      <c r="D18" s="0" t="s">
        <v>15</v>
      </c>
    </row>
    <row r="19" customFormat="false" ht="15" hidden="false" customHeight="false" outlineLevel="0" collapsed="false">
      <c r="D19" s="0" t="s">
        <v>16</v>
      </c>
    </row>
    <row r="20" customFormat="false" ht="15" hidden="false" customHeight="false" outlineLevel="0" collapsed="false">
      <c r="D20" s="0" t="s">
        <v>17</v>
      </c>
    </row>
    <row r="22" customFormat="false" ht="15" hidden="false" customHeight="false" outlineLevel="0" collapsed="false">
      <c r="D22" s="0" t="s">
        <v>18</v>
      </c>
    </row>
    <row r="23" customFormat="false" ht="15" hidden="false" customHeight="false" outlineLevel="0" collapsed="false">
      <c r="D23" s="0" t="s">
        <v>19</v>
      </c>
    </row>
    <row r="25" customFormat="false" ht="15" hidden="false" customHeight="false" outlineLevel="0" collapsed="false">
      <c r="D25" s="0" t="s">
        <v>20</v>
      </c>
    </row>
    <row r="26" customFormat="false" ht="15" hidden="false" customHeight="false" outlineLevel="0" collapsed="false">
      <c r="D26" s="0" t="s">
        <v>21</v>
      </c>
    </row>
    <row r="27" customFormat="false" ht="15" hidden="false" customHeight="false" outlineLevel="0" collapsed="false">
      <c r="D27" s="0" t="s">
        <v>22</v>
      </c>
    </row>
    <row r="28" customFormat="false" ht="15" hidden="false" customHeight="false" outlineLevel="0" collapsed="false">
      <c r="D28" s="0" t="s">
        <v>23</v>
      </c>
    </row>
    <row r="29" customFormat="false" ht="15" hidden="false" customHeight="false" outlineLevel="0" collapsed="false">
      <c r="D29" s="0" t="s">
        <v>24</v>
      </c>
    </row>
    <row r="31" customFormat="false" ht="15" hidden="false" customHeight="false" outlineLevel="0" collapsed="false">
      <c r="D31" s="0" t="s">
        <v>25</v>
      </c>
    </row>
    <row r="32" customFormat="false" ht="15" hidden="false" customHeight="false" outlineLevel="0" collapsed="false">
      <c r="D32" s="0" t="s">
        <v>26</v>
      </c>
    </row>
    <row r="33" customFormat="false" ht="15" hidden="false" customHeight="false" outlineLevel="0" collapsed="false">
      <c r="D33" s="0" t="s">
        <v>27</v>
      </c>
    </row>
    <row r="34" customFormat="false" ht="15" hidden="false" customHeight="false" outlineLevel="0" collapsed="false">
      <c r="D34" s="0" t="s">
        <v>28</v>
      </c>
    </row>
    <row r="36" customFormat="false" ht="15" hidden="false" customHeight="false" outlineLevel="0" collapsed="false">
      <c r="D36" s="0" t="s">
        <v>29</v>
      </c>
    </row>
    <row r="37" customFormat="false" ht="15" hidden="false" customHeight="false" outlineLevel="0" collapsed="false">
      <c r="D37" s="0" t="s">
        <v>30</v>
      </c>
    </row>
    <row r="38" customFormat="false" ht="15" hidden="false" customHeight="false" outlineLevel="0" collapsed="false">
      <c r="D38" s="0" t="s">
        <v>31</v>
      </c>
    </row>
    <row r="39" customFormat="false" ht="15" hidden="false" customHeight="false" outlineLevel="0" collapsed="false">
      <c r="D39" s="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33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37</v>
      </c>
    </row>
    <row r="6" customFormat="false" ht="15" hidden="false" customHeight="false" outlineLevel="0" collapsed="false">
      <c r="D6" s="0" t="s">
        <v>38</v>
      </c>
      <c r="E6" s="0" t="s">
        <v>39</v>
      </c>
      <c r="F6" s="4" t="n">
        <v>9</v>
      </c>
    </row>
    <row r="7" customFormat="false" ht="15" hidden="false" customHeight="false" outlineLevel="0" collapsed="false">
      <c r="D7" s="0" t="s">
        <v>40</v>
      </c>
      <c r="E7" s="0" t="s">
        <v>39</v>
      </c>
      <c r="F7" s="4" t="n">
        <v>1</v>
      </c>
    </row>
    <row r="8" customFormat="false" ht="15" hidden="false" customHeight="false" outlineLevel="0" collapsed="false">
      <c r="D8" s="0" t="s">
        <v>41</v>
      </c>
      <c r="E8" s="0" t="s">
        <v>42</v>
      </c>
      <c r="F8" s="4" t="n">
        <v>1</v>
      </c>
    </row>
    <row r="9" customFormat="false" ht="15" hidden="false" customHeight="false" outlineLevel="0" collapsed="false">
      <c r="D9" s="0" t="s">
        <v>43</v>
      </c>
      <c r="E9" s="0" t="s">
        <v>44</v>
      </c>
      <c r="F9" s="5" t="n">
        <v>1E-006</v>
      </c>
    </row>
    <row r="10" customFormat="false" ht="15" hidden="false" customHeight="false" outlineLevel="0" collapsed="false">
      <c r="D10" s="0" t="s">
        <v>45</v>
      </c>
      <c r="E10" s="0" t="s">
        <v>39</v>
      </c>
      <c r="F10" s="6" t="n">
        <v>1000000000000</v>
      </c>
    </row>
    <row r="12" customFormat="false" ht="15" hidden="false" customHeight="false" outlineLevel="0" collapsed="false">
      <c r="D12" s="3" t="s">
        <v>46</v>
      </c>
    </row>
    <row r="13" customFormat="false" ht="15" hidden="false" customHeight="false" outlineLevel="0" collapsed="false">
      <c r="D13" s="0" t="s">
        <v>47</v>
      </c>
      <c r="E13" s="0" t="s">
        <v>36</v>
      </c>
      <c r="F13" s="7" t="n">
        <v>42151</v>
      </c>
    </row>
    <row r="14" customFormat="false" ht="15" hidden="false" customHeight="false" outlineLevel="0" collapsed="false">
      <c r="D14" s="0" t="s">
        <v>48</v>
      </c>
      <c r="E14" s="0" t="s">
        <v>36</v>
      </c>
      <c r="F14" s="7" t="n">
        <v>42185</v>
      </c>
    </row>
    <row r="15" customFormat="false" ht="15" hidden="false" customHeight="false" outlineLevel="0" collapsed="false">
      <c r="D15" s="0" t="s">
        <v>49</v>
      </c>
      <c r="E15" s="0" t="s">
        <v>36</v>
      </c>
      <c r="F15" s="7" t="n">
        <v>43555</v>
      </c>
    </row>
    <row r="16" customFormat="false" ht="15" hidden="false" customHeight="false" outlineLevel="0" collapsed="false">
      <c r="D16" s="0" t="s">
        <v>50</v>
      </c>
      <c r="E16" s="0" t="s">
        <v>36</v>
      </c>
      <c r="F16" s="7" t="n">
        <v>43555</v>
      </c>
    </row>
    <row r="17" customFormat="false" ht="15" hidden="false" customHeight="false" outlineLevel="0" collapsed="false">
      <c r="D17" s="0" t="s">
        <v>51</v>
      </c>
      <c r="E17" s="0" t="s">
        <v>36</v>
      </c>
      <c r="F17" s="7" t="n">
        <v>43591</v>
      </c>
    </row>
    <row r="18" customFormat="false" ht="15" hidden="false" customHeight="false" outlineLevel="0" collapsed="false">
      <c r="D18" s="0" t="s">
        <v>52</v>
      </c>
      <c r="E18" s="0" t="s">
        <v>36</v>
      </c>
      <c r="F18" s="7" t="n">
        <v>56030</v>
      </c>
    </row>
    <row r="19" customFormat="false" ht="15" hidden="false" customHeight="false" outlineLevel="0" collapsed="false">
      <c r="D19" s="0" t="s">
        <v>53</v>
      </c>
      <c r="E19" s="0" t="s">
        <v>36</v>
      </c>
      <c r="F19" s="7" t="n">
        <v>58221</v>
      </c>
    </row>
    <row r="20" customFormat="false" ht="15" hidden="false" customHeight="false" outlineLevel="0" collapsed="false">
      <c r="D20" s="0" t="s">
        <v>54</v>
      </c>
      <c r="E20" s="0" t="s">
        <v>36</v>
      </c>
      <c r="F20" s="7" t="n">
        <v>45291</v>
      </c>
    </row>
    <row r="21" customFormat="false" ht="15" hidden="false" customHeight="false" outlineLevel="0" collapsed="false">
      <c r="D21" s="0" t="s">
        <v>55</v>
      </c>
      <c r="E21" s="0" t="s">
        <v>36</v>
      </c>
      <c r="F21" s="7" t="n">
        <v>44377</v>
      </c>
    </row>
    <row r="22" customFormat="false" ht="15" hidden="false" customHeight="false" outlineLevel="0" collapsed="false">
      <c r="D22" s="0" t="s">
        <v>56</v>
      </c>
      <c r="E22" s="0" t="s">
        <v>36</v>
      </c>
      <c r="F22" s="7" t="n">
        <v>54423</v>
      </c>
    </row>
    <row r="23" customFormat="false" ht="15" hidden="false" customHeight="false" outlineLevel="0" collapsed="false">
      <c r="D23" s="0" t="s">
        <v>57</v>
      </c>
      <c r="E23" s="0" t="s">
        <v>36</v>
      </c>
      <c r="F23" s="7" t="n">
        <v>43978</v>
      </c>
    </row>
    <row r="24" customFormat="false" ht="15" hidden="false" customHeight="false" outlineLevel="0" collapsed="false">
      <c r="D24" s="0" t="s">
        <v>58</v>
      </c>
      <c r="E24" s="0" t="s">
        <v>36</v>
      </c>
      <c r="F24" s="7" t="n">
        <v>44708</v>
      </c>
    </row>
    <row r="25" customFormat="false" ht="15" hidden="false" customHeight="false" outlineLevel="0" collapsed="false">
      <c r="D25" s="0" t="s">
        <v>59</v>
      </c>
      <c r="E25" s="0" t="s">
        <v>36</v>
      </c>
      <c r="F25" s="7" t="n">
        <v>49490</v>
      </c>
    </row>
    <row r="26" customFormat="false" ht="15" hidden="false" customHeight="false" outlineLevel="0" collapsed="false">
      <c r="D26" s="0" t="s">
        <v>60</v>
      </c>
      <c r="E26" s="0" t="s">
        <v>36</v>
      </c>
      <c r="F26" s="7" t="n">
        <v>45382</v>
      </c>
    </row>
    <row r="27" customFormat="false" ht="15" hidden="false" customHeight="false" outlineLevel="0" collapsed="false">
      <c r="D27" s="0" t="s">
        <v>61</v>
      </c>
      <c r="E27" s="0" t="s">
        <v>36</v>
      </c>
      <c r="F27" s="7" t="n">
        <v>45473</v>
      </c>
    </row>
    <row r="28" customFormat="false" ht="15" hidden="false" customHeight="false" outlineLevel="0" collapsed="false">
      <c r="D28" s="0" t="s">
        <v>62</v>
      </c>
      <c r="E28" s="0" t="s">
        <v>36</v>
      </c>
      <c r="F28" s="7" t="n">
        <v>55884</v>
      </c>
    </row>
    <row r="29" customFormat="false" ht="15" hidden="false" customHeight="false" outlineLevel="0" collapsed="false">
      <c r="D29" s="0" t="s">
        <v>63</v>
      </c>
      <c r="E29" s="0" t="s">
        <v>36</v>
      </c>
      <c r="F29" s="7" t="n">
        <v>48029</v>
      </c>
    </row>
    <row r="30" customFormat="false" ht="15" hidden="false" customHeight="false" outlineLevel="0" collapsed="false">
      <c r="D30" s="0" t="s">
        <v>64</v>
      </c>
      <c r="E30" s="0" t="s">
        <v>36</v>
      </c>
      <c r="F30" s="7" t="n">
        <v>58075</v>
      </c>
    </row>
    <row r="31" customFormat="false" ht="15" hidden="false" customHeight="false" outlineLevel="0" collapsed="false">
      <c r="D31" s="0" t="s">
        <v>65</v>
      </c>
      <c r="E31" s="0" t="s">
        <v>36</v>
      </c>
      <c r="F31" s="7" t="n">
        <v>47848</v>
      </c>
    </row>
    <row r="32" customFormat="false" ht="15" hidden="false" customHeight="false" outlineLevel="0" collapsed="false">
      <c r="D32" s="0" t="s">
        <v>66</v>
      </c>
      <c r="E32" s="0" t="s">
        <v>36</v>
      </c>
      <c r="F32" s="7" t="n">
        <v>55884</v>
      </c>
    </row>
    <row r="33" customFormat="false" ht="15" hidden="false" customHeight="false" outlineLevel="0" collapsed="false">
      <c r="D33" s="0" t="s">
        <v>67</v>
      </c>
      <c r="E33" s="0" t="s">
        <v>36</v>
      </c>
      <c r="F33" s="7" t="n">
        <v>47848</v>
      </c>
    </row>
    <row r="34" customFormat="false" ht="15" hidden="false" customHeight="false" outlineLevel="0" collapsed="false">
      <c r="D34" s="0" t="s">
        <v>68</v>
      </c>
      <c r="E34" s="0" t="s">
        <v>36</v>
      </c>
      <c r="F34" s="7" t="n">
        <v>43830</v>
      </c>
    </row>
    <row r="35" customFormat="false" ht="15" hidden="false" customHeight="false" outlineLevel="0" collapsed="false">
      <c r="D35" s="0" t="s">
        <v>69</v>
      </c>
      <c r="E35" s="0" t="s">
        <v>36</v>
      </c>
      <c r="F35" s="7" t="n">
        <v>44196</v>
      </c>
    </row>
    <row r="36" customFormat="false" ht="15" hidden="false" customHeight="false" outlineLevel="0" collapsed="false">
      <c r="D36" s="0" t="s">
        <v>70</v>
      </c>
      <c r="E36" s="0" t="s">
        <v>36</v>
      </c>
      <c r="F36" s="7" t="n">
        <v>44742</v>
      </c>
    </row>
    <row r="37" customFormat="false" ht="15" hidden="false" customHeight="false" outlineLevel="0" collapsed="false">
      <c r="D37" s="0" t="s">
        <v>71</v>
      </c>
      <c r="E37" s="0" t="s">
        <v>36</v>
      </c>
      <c r="F37" s="7" t="n">
        <v>42916</v>
      </c>
    </row>
    <row r="38" customFormat="false" ht="15" hidden="false" customHeight="false" outlineLevel="0" collapsed="false">
      <c r="D38" s="0" t="s">
        <v>72</v>
      </c>
      <c r="E38" s="0" t="s">
        <v>36</v>
      </c>
      <c r="F38" s="7" t="n">
        <v>44742</v>
      </c>
    </row>
    <row r="39" customFormat="false" ht="15" hidden="false" customHeight="false" outlineLevel="0" collapsed="false">
      <c r="D39" s="0" t="s">
        <v>73</v>
      </c>
      <c r="E39" s="0" t="s">
        <v>36</v>
      </c>
      <c r="F39" s="7" t="n">
        <v>45473</v>
      </c>
    </row>
    <row r="40" customFormat="false" ht="15" hidden="false" customHeight="false" outlineLevel="0" collapsed="false">
      <c r="D40" s="0" t="s">
        <v>74</v>
      </c>
      <c r="E40" s="0" t="s">
        <v>36</v>
      </c>
      <c r="F40" s="7" t="n">
        <v>46022</v>
      </c>
    </row>
    <row r="41" customFormat="false" ht="15" hidden="false" customHeight="false" outlineLevel="0" collapsed="false">
      <c r="D41" s="0" t="s">
        <v>75</v>
      </c>
      <c r="E41" s="0" t="s">
        <v>36</v>
      </c>
      <c r="F41" s="7" t="n">
        <v>41274</v>
      </c>
    </row>
    <row r="42" customFormat="false" ht="15" hidden="false" customHeight="false" outlineLevel="0" collapsed="false">
      <c r="D42" s="0" t="s">
        <v>76</v>
      </c>
      <c r="E42" s="0" t="s">
        <v>36</v>
      </c>
      <c r="F42" s="7" t="n">
        <v>43555</v>
      </c>
    </row>
    <row r="44" customFormat="false" ht="15" hidden="false" customHeight="false" outlineLevel="0" collapsed="false">
      <c r="D44" s="3" t="s">
        <v>77</v>
      </c>
    </row>
    <row r="45" customFormat="false" ht="15" hidden="false" customHeight="false" outlineLevel="0" collapsed="false">
      <c r="D45" s="0" t="s">
        <v>78</v>
      </c>
      <c r="E45" s="0" t="s">
        <v>79</v>
      </c>
      <c r="F45" s="4" t="n">
        <v>365</v>
      </c>
    </row>
    <row r="46" customFormat="false" ht="15" hidden="false" customHeight="false" outlineLevel="0" collapsed="false">
      <c r="D46" s="0" t="s">
        <v>80</v>
      </c>
      <c r="E46" s="0" t="s">
        <v>79</v>
      </c>
      <c r="F46" s="4" t="n">
        <v>360</v>
      </c>
    </row>
    <row r="47" customFormat="false" ht="15" hidden="false" customHeight="false" outlineLevel="0" collapsed="false">
      <c r="D47" s="0" t="s">
        <v>81</v>
      </c>
      <c r="E47" s="0" t="s">
        <v>79</v>
      </c>
      <c r="F47" s="8" t="n">
        <v>30.4</v>
      </c>
    </row>
    <row r="48" customFormat="false" ht="15" hidden="false" customHeight="false" outlineLevel="0" collapsed="false">
      <c r="D48" s="0" t="s">
        <v>82</v>
      </c>
      <c r="E48" s="0" t="s">
        <v>83</v>
      </c>
      <c r="F48" s="4" t="n">
        <v>24</v>
      </c>
    </row>
    <row r="49" customFormat="false" ht="15" hidden="false" customHeight="false" outlineLevel="0" collapsed="false">
      <c r="D49" s="0" t="s">
        <v>84</v>
      </c>
      <c r="E49" s="0" t="s">
        <v>83</v>
      </c>
      <c r="F49" s="4" t="n">
        <v>60</v>
      </c>
    </row>
    <row r="50" customFormat="false" ht="15" hidden="false" customHeight="false" outlineLevel="0" collapsed="false">
      <c r="D50" s="0" t="s">
        <v>85</v>
      </c>
      <c r="E50" s="0" t="s">
        <v>83</v>
      </c>
      <c r="F50" s="4" t="n">
        <v>18</v>
      </c>
    </row>
    <row r="51" customFormat="false" ht="15" hidden="false" customHeight="false" outlineLevel="0" collapsed="false">
      <c r="D51" s="0" t="s">
        <v>86</v>
      </c>
      <c r="E51" s="0" t="s">
        <v>39</v>
      </c>
      <c r="F51" s="4" t="n">
        <v>7</v>
      </c>
    </row>
    <row r="52" customFormat="false" ht="15" hidden="false" customHeight="false" outlineLevel="0" collapsed="false">
      <c r="D52" s="0" t="s">
        <v>87</v>
      </c>
      <c r="E52" s="0" t="s">
        <v>39</v>
      </c>
      <c r="F52" s="4" t="n">
        <v>4</v>
      </c>
    </row>
    <row r="53" customFormat="false" ht="15" hidden="false" customHeight="false" outlineLevel="0" collapsed="false">
      <c r="D53" s="0" t="s">
        <v>88</v>
      </c>
      <c r="E53" s="0" t="s">
        <v>89</v>
      </c>
      <c r="F53" s="4" t="n">
        <v>2029</v>
      </c>
    </row>
    <row r="54" customFormat="false" ht="15" hidden="false" customHeight="false" outlineLevel="0" collapsed="false">
      <c r="D54" s="0" t="s">
        <v>90</v>
      </c>
      <c r="E54" s="0" t="s">
        <v>89</v>
      </c>
      <c r="F54" s="4" t="n">
        <v>2024</v>
      </c>
    </row>
    <row r="55" customFormat="false" ht="15" hidden="false" customHeight="false" outlineLevel="0" collapsed="false">
      <c r="D55" s="0" t="s">
        <v>91</v>
      </c>
      <c r="E55" s="0" t="s">
        <v>89</v>
      </c>
      <c r="F55" s="4" t="n">
        <v>2030</v>
      </c>
    </row>
    <row r="56" customFormat="false" ht="15" hidden="false" customHeight="false" outlineLevel="0" collapsed="false">
      <c r="D56" s="0" t="s">
        <v>92</v>
      </c>
      <c r="E56" s="0" t="s">
        <v>89</v>
      </c>
      <c r="F56" s="4" t="n">
        <v>2040</v>
      </c>
    </row>
    <row r="57" customFormat="false" ht="15" hidden="false" customHeight="false" outlineLevel="0" collapsed="false">
      <c r="D57" s="0" t="s">
        <v>93</v>
      </c>
      <c r="E57" s="0" t="s">
        <v>89</v>
      </c>
      <c r="F57" s="4" t="n">
        <v>2019</v>
      </c>
    </row>
    <row r="58" customFormat="false" ht="15" hidden="false" customHeight="false" outlineLevel="0" collapsed="false">
      <c r="D58" s="0" t="s">
        <v>94</v>
      </c>
      <c r="E58" s="0" t="s">
        <v>89</v>
      </c>
      <c r="F58" s="4" t="n">
        <v>2023</v>
      </c>
    </row>
    <row r="59" customFormat="false" ht="15" hidden="false" customHeight="false" outlineLevel="0" collapsed="false">
      <c r="D59" s="0" t="s">
        <v>95</v>
      </c>
      <c r="E59" s="0" t="s">
        <v>89</v>
      </c>
      <c r="F59" s="4" t="n">
        <v>2024</v>
      </c>
    </row>
    <row r="60" customFormat="false" ht="15" hidden="false" customHeight="false" outlineLevel="0" collapsed="false">
      <c r="D60" s="0" t="s">
        <v>96</v>
      </c>
      <c r="E60" s="0" t="s">
        <v>89</v>
      </c>
      <c r="F60" s="4" t="n">
        <v>2018</v>
      </c>
    </row>
    <row r="61" customFormat="false" ht="15" hidden="false" customHeight="false" outlineLevel="0" collapsed="false">
      <c r="D61" s="0" t="s">
        <v>97</v>
      </c>
      <c r="E61" s="0" t="s">
        <v>89</v>
      </c>
      <c r="F61" s="4" t="n">
        <v>2016</v>
      </c>
    </row>
    <row r="62" customFormat="false" ht="15" hidden="false" customHeight="false" outlineLevel="0" collapsed="false">
      <c r="D62" s="0" t="s">
        <v>98</v>
      </c>
      <c r="E62" s="0" t="s">
        <v>89</v>
      </c>
      <c r="F62" s="4" t="n">
        <v>2023</v>
      </c>
    </row>
    <row r="63" customFormat="false" ht="15" hidden="false" customHeight="false" outlineLevel="0" collapsed="false">
      <c r="D63" s="0" t="s">
        <v>99</v>
      </c>
      <c r="E63" s="0" t="s">
        <v>39</v>
      </c>
      <c r="F63" s="4" t="n">
        <v>10</v>
      </c>
    </row>
    <row r="64" customFormat="false" ht="15" hidden="false" customHeight="false" outlineLevel="0" collapsed="false">
      <c r="D64" s="0" t="s">
        <v>100</v>
      </c>
      <c r="E64" s="0" t="s">
        <v>39</v>
      </c>
      <c r="F64" s="4" t="n">
        <v>1000</v>
      </c>
    </row>
    <row r="65" customFormat="false" ht="15" hidden="false" customHeight="false" outlineLevel="0" collapsed="false">
      <c r="D65" s="0" t="s">
        <v>101</v>
      </c>
      <c r="E65" s="0" t="s">
        <v>39</v>
      </c>
      <c r="F65" s="4" t="n">
        <v>1000000</v>
      </c>
    </row>
    <row r="67" customFormat="false" ht="15" hidden="false" customHeight="false" outlineLevel="0" collapsed="false">
      <c r="D67" s="3" t="s">
        <v>102</v>
      </c>
    </row>
    <row r="68" customFormat="false" ht="15" hidden="false" customHeight="false" outlineLevel="0" collapsed="false">
      <c r="D68" s="0" t="s">
        <v>103</v>
      </c>
      <c r="E68" s="0" t="s">
        <v>44</v>
      </c>
      <c r="F68" s="9" t="n">
        <v>1684.3</v>
      </c>
    </row>
    <row r="69" customFormat="false" ht="15" hidden="false" customHeight="false" outlineLevel="0" collapsed="false">
      <c r="D69" s="0" t="s">
        <v>104</v>
      </c>
      <c r="E69" s="0" t="s">
        <v>105</v>
      </c>
      <c r="F69" s="10" t="n">
        <v>0.025</v>
      </c>
    </row>
    <row r="70" customFormat="false" ht="15" hidden="false" customHeight="false" outlineLevel="0" collapsed="false">
      <c r="D70" s="0" t="s">
        <v>106</v>
      </c>
      <c r="E70" s="0" t="s">
        <v>105</v>
      </c>
      <c r="F70" s="10" t="n">
        <v>0.025</v>
      </c>
    </row>
    <row r="71" customFormat="false" ht="15" hidden="false" customHeight="false" outlineLevel="0" collapsed="false">
      <c r="D71" s="0" t="s">
        <v>107</v>
      </c>
      <c r="E71" s="0" t="s">
        <v>44</v>
      </c>
      <c r="F71" s="9" t="n">
        <v>41.2</v>
      </c>
    </row>
    <row r="72" customFormat="false" ht="15" hidden="false" customHeight="false" outlineLevel="0" collapsed="false">
      <c r="D72" s="0" t="s">
        <v>108</v>
      </c>
      <c r="E72" s="0" t="s">
        <v>44</v>
      </c>
      <c r="F72" s="9" t="n">
        <v>37.8</v>
      </c>
    </row>
    <row r="73" customFormat="false" ht="15" hidden="false" customHeight="false" outlineLevel="0" collapsed="false">
      <c r="D73" s="0" t="s">
        <v>109</v>
      </c>
      <c r="E73" s="0" t="s">
        <v>44</v>
      </c>
      <c r="F73" s="9" t="n">
        <v>12.6</v>
      </c>
    </row>
    <row r="74" customFormat="false" ht="15" hidden="false" customHeight="false" outlineLevel="0" collapsed="false">
      <c r="D74" s="0" t="s">
        <v>110</v>
      </c>
      <c r="E74" s="0" t="s">
        <v>105</v>
      </c>
      <c r="F74" s="10" t="n">
        <v>0.8</v>
      </c>
    </row>
    <row r="75" customFormat="false" ht="15" hidden="false" customHeight="false" outlineLevel="0" collapsed="false">
      <c r="D75" s="0" t="s">
        <v>111</v>
      </c>
      <c r="E75" s="0" t="s">
        <v>44</v>
      </c>
      <c r="F75" s="9" t="n">
        <v>3.4</v>
      </c>
    </row>
    <row r="76" customFormat="false" ht="15" hidden="false" customHeight="false" outlineLevel="0" collapsed="false">
      <c r="D76" s="0" t="s">
        <v>112</v>
      </c>
      <c r="E76" s="0" t="s">
        <v>44</v>
      </c>
      <c r="F76" s="9" t="n">
        <v>9.7</v>
      </c>
    </row>
    <row r="77" customFormat="false" ht="15" hidden="false" customHeight="false" outlineLevel="0" collapsed="false">
      <c r="D77" s="0" t="s">
        <v>113</v>
      </c>
      <c r="E77" s="0" t="s">
        <v>44</v>
      </c>
      <c r="F77" s="9" t="n">
        <v>52.4</v>
      </c>
    </row>
    <row r="78" customFormat="false" ht="15" hidden="false" customHeight="false" outlineLevel="0" collapsed="false">
      <c r="D78" s="0" t="s">
        <v>114</v>
      </c>
      <c r="E78" s="0" t="s">
        <v>44</v>
      </c>
      <c r="F78" s="9" t="n">
        <v>10.26</v>
      </c>
    </row>
    <row r="80" customFormat="false" ht="15" hidden="false" customHeight="false" outlineLevel="0" collapsed="false">
      <c r="D80" s="3" t="s">
        <v>115</v>
      </c>
    </row>
    <row r="81" customFormat="false" ht="15" hidden="false" customHeight="false" outlineLevel="0" collapsed="false">
      <c r="D81" s="0" t="s">
        <v>116</v>
      </c>
      <c r="E81" s="0" t="s">
        <v>44</v>
      </c>
      <c r="F81" s="9" t="n">
        <v>287.4</v>
      </c>
    </row>
    <row r="82" customFormat="false" ht="15" hidden="false" customHeight="false" outlineLevel="0" collapsed="false">
      <c r="D82" s="0" t="s">
        <v>117</v>
      </c>
      <c r="E82" s="0" t="s">
        <v>44</v>
      </c>
      <c r="F82" s="9" t="n">
        <v>537.716259</v>
      </c>
    </row>
    <row r="83" customFormat="false" ht="15" hidden="false" customHeight="false" outlineLevel="0" collapsed="false">
      <c r="D83" s="0" t="s">
        <v>118</v>
      </c>
      <c r="E83" s="0" t="s">
        <v>105</v>
      </c>
      <c r="F83" s="10" t="n">
        <v>0.016</v>
      </c>
    </row>
    <row r="84" customFormat="false" ht="15" hidden="false" customHeight="false" outlineLevel="0" collapsed="false">
      <c r="D84" s="0" t="s">
        <v>119</v>
      </c>
      <c r="E84" s="0" t="s">
        <v>105</v>
      </c>
      <c r="F84" s="10" t="n">
        <v>0.01</v>
      </c>
    </row>
    <row r="86" customFormat="false" ht="15" hidden="false" customHeight="false" outlineLevel="0" collapsed="false">
      <c r="D86" s="3" t="s">
        <v>120</v>
      </c>
    </row>
    <row r="87" customFormat="false" ht="15" hidden="false" customHeight="false" outlineLevel="0" collapsed="false">
      <c r="D87" s="0" t="s">
        <v>121</v>
      </c>
      <c r="E87" s="0" t="s">
        <v>105</v>
      </c>
      <c r="F87" s="10" t="n">
        <v>0.22</v>
      </c>
    </row>
    <row r="88" customFormat="false" ht="15" hidden="false" customHeight="false" outlineLevel="0" collapsed="false">
      <c r="D88" s="0" t="s">
        <v>122</v>
      </c>
      <c r="E88" s="0" t="s">
        <v>105</v>
      </c>
      <c r="F88" s="10" t="n">
        <v>0.15</v>
      </c>
    </row>
    <row r="89" customFormat="false" ht="15" hidden="false" customHeight="false" outlineLevel="0" collapsed="false">
      <c r="D89" s="0" t="s">
        <v>123</v>
      </c>
      <c r="E89" s="0" t="s">
        <v>105</v>
      </c>
      <c r="F89" s="10" t="n">
        <v>0.1025</v>
      </c>
    </row>
    <row r="90" customFormat="false" ht="15" hidden="false" customHeight="false" outlineLevel="0" collapsed="false">
      <c r="D90" s="0" t="s">
        <v>124</v>
      </c>
      <c r="E90" s="0" t="s">
        <v>105</v>
      </c>
      <c r="F90" s="10" t="n">
        <v>0.114</v>
      </c>
    </row>
    <row r="91" customFormat="false" ht="15" hidden="false" customHeight="false" outlineLevel="0" collapsed="false">
      <c r="D91" s="0" t="s">
        <v>125</v>
      </c>
      <c r="E91" s="0" t="s">
        <v>126</v>
      </c>
      <c r="F91" s="11" t="n">
        <v>1.5</v>
      </c>
    </row>
    <row r="92" customFormat="false" ht="15" hidden="false" customHeight="false" outlineLevel="0" collapsed="false">
      <c r="D92" s="0" t="s">
        <v>127</v>
      </c>
      <c r="E92" s="0" t="s">
        <v>126</v>
      </c>
      <c r="F92" s="11" t="n">
        <v>1.15</v>
      </c>
    </row>
    <row r="93" customFormat="false" ht="15" hidden="false" customHeight="false" outlineLevel="0" collapsed="false">
      <c r="D93" s="0" t="s">
        <v>128</v>
      </c>
      <c r="E93" s="0" t="s">
        <v>126</v>
      </c>
      <c r="F93" s="11" t="n">
        <v>1.55</v>
      </c>
    </row>
    <row r="94" customFormat="false" ht="15" hidden="false" customHeight="false" outlineLevel="0" collapsed="false">
      <c r="D94" s="0" t="s">
        <v>129</v>
      </c>
      <c r="E94" s="0" t="s">
        <v>105</v>
      </c>
      <c r="F94" s="10" t="n">
        <v>0.55</v>
      </c>
    </row>
    <row r="95" customFormat="false" ht="15" hidden="false" customHeight="false" outlineLevel="0" collapsed="false">
      <c r="D95" s="0" t="s">
        <v>130</v>
      </c>
      <c r="E95" s="0" t="s">
        <v>126</v>
      </c>
      <c r="F95" s="11" t="n">
        <v>1.5</v>
      </c>
    </row>
    <row r="96" customFormat="false" ht="15" hidden="false" customHeight="false" outlineLevel="0" collapsed="false">
      <c r="D96" s="0" t="s">
        <v>131</v>
      </c>
      <c r="E96" s="0" t="s">
        <v>105</v>
      </c>
      <c r="F96" s="10" t="n">
        <v>0.45</v>
      </c>
    </row>
    <row r="97" customFormat="false" ht="15" hidden="false" customHeight="false" outlineLevel="0" collapsed="false">
      <c r="D97" s="0" t="s">
        <v>132</v>
      </c>
      <c r="E97" s="0" t="s">
        <v>105</v>
      </c>
      <c r="F97" s="10" t="n">
        <v>0.55</v>
      </c>
    </row>
    <row r="99" customFormat="false" ht="15" hidden="false" customHeight="false" outlineLevel="0" collapsed="false">
      <c r="D99" s="3" t="s">
        <v>133</v>
      </c>
    </row>
    <row r="100" customFormat="false" ht="15" hidden="false" customHeight="false" outlineLevel="0" collapsed="false">
      <c r="D100" s="0" t="s">
        <v>134</v>
      </c>
      <c r="E100" s="0" t="s">
        <v>135</v>
      </c>
      <c r="F100" s="12" t="n">
        <v>3.48</v>
      </c>
    </row>
    <row r="101" customFormat="false" ht="15" hidden="false" customHeight="false" outlineLevel="0" collapsed="false">
      <c r="D101" s="0" t="s">
        <v>136</v>
      </c>
      <c r="E101" s="0" t="s">
        <v>135</v>
      </c>
      <c r="F101" s="12" t="n">
        <v>4.36</v>
      </c>
    </row>
    <row r="102" customFormat="false" ht="15" hidden="false" customHeight="false" outlineLevel="0" collapsed="false">
      <c r="D102" s="0" t="s">
        <v>137</v>
      </c>
      <c r="E102" s="0" t="s">
        <v>135</v>
      </c>
      <c r="F102" s="12" t="n">
        <v>2.35</v>
      </c>
    </row>
    <row r="103" customFormat="false" ht="15" hidden="false" customHeight="false" outlineLevel="0" collapsed="false">
      <c r="D103" s="0" t="s">
        <v>138</v>
      </c>
      <c r="E103" s="0" t="s">
        <v>135</v>
      </c>
      <c r="F103" s="12" t="n">
        <v>2.6</v>
      </c>
    </row>
    <row r="104" customFormat="false" ht="15" hidden="false" customHeight="false" outlineLevel="0" collapsed="false">
      <c r="D104" s="0" t="s">
        <v>139</v>
      </c>
      <c r="E104" s="0" t="s">
        <v>135</v>
      </c>
      <c r="F104" s="12" t="n">
        <v>2.25</v>
      </c>
    </row>
    <row r="105" customFormat="false" ht="15" hidden="false" customHeight="false" outlineLevel="0" collapsed="false">
      <c r="D105" s="0" t="s">
        <v>140</v>
      </c>
      <c r="E105" s="0" t="s">
        <v>135</v>
      </c>
      <c r="F105" s="12" t="n">
        <v>3.25</v>
      </c>
    </row>
    <row r="106" customFormat="false" ht="15" hidden="false" customHeight="false" outlineLevel="0" collapsed="false">
      <c r="D106" s="0" t="s">
        <v>141</v>
      </c>
      <c r="E106" s="0" t="s">
        <v>105</v>
      </c>
      <c r="F106" s="10" t="n">
        <v>0.0125</v>
      </c>
    </row>
    <row r="107" customFormat="false" ht="15" hidden="false" customHeight="false" outlineLevel="0" collapsed="false">
      <c r="D107" s="0" t="s">
        <v>142</v>
      </c>
      <c r="E107" s="0" t="s">
        <v>105</v>
      </c>
      <c r="F107" s="10" t="n">
        <v>0.005</v>
      </c>
    </row>
    <row r="108" customFormat="false" ht="15" hidden="false" customHeight="false" outlineLevel="0" collapsed="false">
      <c r="D108" s="0" t="s">
        <v>143</v>
      </c>
      <c r="E108" s="0" t="s">
        <v>105</v>
      </c>
      <c r="F108" s="10" t="n">
        <v>0.0185</v>
      </c>
    </row>
    <row r="109" customFormat="false" ht="15" hidden="false" customHeight="false" outlineLevel="0" collapsed="false">
      <c r="D109" s="0" t="s">
        <v>144</v>
      </c>
      <c r="E109" s="0" t="s">
        <v>105</v>
      </c>
      <c r="F109" s="10" t="n">
        <v>0.0095</v>
      </c>
    </row>
    <row r="110" customFormat="false" ht="15" hidden="false" customHeight="false" outlineLevel="0" collapsed="false">
      <c r="D110" s="0" t="s">
        <v>145</v>
      </c>
      <c r="E110" s="0" t="s">
        <v>105</v>
      </c>
      <c r="F110" s="10" t="n">
        <v>0.0485</v>
      </c>
    </row>
    <row r="111" customFormat="false" ht="15" hidden="false" customHeight="false" outlineLevel="0" collapsed="false">
      <c r="D111" s="0" t="s">
        <v>146</v>
      </c>
      <c r="E111" s="0" t="s">
        <v>105</v>
      </c>
      <c r="F111" s="10" t="n">
        <v>0.021</v>
      </c>
    </row>
    <row r="112" customFormat="false" ht="15" hidden="false" customHeight="false" outlineLevel="0" collapsed="false">
      <c r="D112" s="0" t="s">
        <v>147</v>
      </c>
      <c r="E112" s="0" t="s">
        <v>105</v>
      </c>
      <c r="F112" s="10" t="n">
        <v>0.012</v>
      </c>
    </row>
    <row r="113" customFormat="false" ht="15" hidden="false" customHeight="false" outlineLevel="0" collapsed="false">
      <c r="D113" s="0" t="s">
        <v>148</v>
      </c>
      <c r="E113" s="0" t="s">
        <v>126</v>
      </c>
      <c r="F113" s="11" t="n">
        <v>1.2</v>
      </c>
    </row>
    <row r="114" customFormat="false" ht="15" hidden="false" customHeight="false" outlineLevel="0" collapsed="false">
      <c r="D114" s="0" t="s">
        <v>149</v>
      </c>
      <c r="E114" s="0" t="s">
        <v>126</v>
      </c>
      <c r="F114" s="11" t="n">
        <v>1.05</v>
      </c>
    </row>
    <row r="115" customFormat="false" ht="15" hidden="false" customHeight="false" outlineLevel="0" collapsed="false">
      <c r="D115" s="0" t="s">
        <v>150</v>
      </c>
      <c r="E115" s="0" t="s">
        <v>83</v>
      </c>
      <c r="F115" s="4" t="n">
        <v>6</v>
      </c>
    </row>
    <row r="117" customFormat="false" ht="15" hidden="false" customHeight="false" outlineLevel="0" collapsed="false">
      <c r="D117" s="3" t="s">
        <v>151</v>
      </c>
    </row>
    <row r="118" customFormat="false" ht="15" hidden="false" customHeight="false" outlineLevel="0" collapsed="false">
      <c r="D118" s="0" t="s">
        <v>152</v>
      </c>
      <c r="E118" s="0" t="s">
        <v>105</v>
      </c>
      <c r="F118" s="10" t="n">
        <v>0.0306</v>
      </c>
    </row>
    <row r="119" customFormat="false" ht="15" hidden="false" customHeight="false" outlineLevel="0" collapsed="false">
      <c r="D119" s="0" t="s">
        <v>153</v>
      </c>
      <c r="E119" s="0" t="s">
        <v>105</v>
      </c>
      <c r="F119" s="10" t="n">
        <v>0.01</v>
      </c>
    </row>
    <row r="120" customFormat="false" ht="15" hidden="false" customHeight="false" outlineLevel="0" collapsed="false">
      <c r="D120" s="0" t="s">
        <v>154</v>
      </c>
      <c r="E120" s="0" t="s">
        <v>105</v>
      </c>
      <c r="F120" s="10" t="n">
        <v>0.33</v>
      </c>
    </row>
    <row r="121" customFormat="false" ht="15" hidden="false" customHeight="false" outlineLevel="0" collapsed="false">
      <c r="D121" s="0" t="s">
        <v>155</v>
      </c>
      <c r="E121" s="0" t="s">
        <v>105</v>
      </c>
      <c r="F121" s="10" t="n">
        <v>0.001</v>
      </c>
    </row>
    <row r="122" customFormat="false" ht="15" hidden="false" customHeight="false" outlineLevel="0" collapsed="false">
      <c r="D122" s="0" t="s">
        <v>156</v>
      </c>
      <c r="E122" s="0" t="s">
        <v>126</v>
      </c>
      <c r="F122" s="11" t="n">
        <v>1.25</v>
      </c>
    </row>
    <row r="124" customFormat="false" ht="15" hidden="false" customHeight="false" outlineLevel="0" collapsed="false">
      <c r="D124" s="3" t="s">
        <v>157</v>
      </c>
    </row>
    <row r="125" customFormat="false" ht="15" hidden="false" customHeight="false" outlineLevel="0" collapsed="false">
      <c r="D125" s="0" t="s">
        <v>158</v>
      </c>
      <c r="E125" s="0" t="s">
        <v>159</v>
      </c>
      <c r="F125" s="13" t="n">
        <v>0.1525</v>
      </c>
    </row>
    <row r="126" customFormat="false" ht="15" hidden="false" customHeight="false" outlineLevel="0" collapsed="false">
      <c r="D126" s="0" t="s">
        <v>160</v>
      </c>
      <c r="E126" s="0" t="s">
        <v>105</v>
      </c>
      <c r="F126" s="10" t="n">
        <v>0.03</v>
      </c>
    </row>
    <row r="127" customFormat="false" ht="15" hidden="false" customHeight="false" outlineLevel="0" collapsed="false">
      <c r="D127" s="0" t="s">
        <v>161</v>
      </c>
      <c r="E127" s="0" t="s">
        <v>162</v>
      </c>
      <c r="F127" s="8" t="n">
        <v>23.8</v>
      </c>
    </row>
    <row r="128" customFormat="false" ht="15" hidden="false" customHeight="false" outlineLevel="0" collapsed="false">
      <c r="D128" s="0" t="s">
        <v>163</v>
      </c>
      <c r="E128" s="0" t="s">
        <v>105</v>
      </c>
      <c r="F128" s="10" t="n">
        <v>0.018</v>
      </c>
    </row>
    <row r="129" customFormat="false" ht="15" hidden="false" customHeight="false" outlineLevel="0" collapsed="false">
      <c r="D129" s="0" t="s">
        <v>164</v>
      </c>
      <c r="E129" s="0" t="s">
        <v>135</v>
      </c>
      <c r="F129" s="12" t="n">
        <v>79.4</v>
      </c>
    </row>
    <row r="130" customFormat="false" ht="15" hidden="false" customHeight="false" outlineLevel="0" collapsed="false">
      <c r="D130" s="0" t="s">
        <v>165</v>
      </c>
      <c r="E130" s="0" t="s">
        <v>135</v>
      </c>
      <c r="F130" s="12" t="n">
        <v>9</v>
      </c>
    </row>
    <row r="131" customFormat="false" ht="15" hidden="false" customHeight="false" outlineLevel="0" collapsed="false">
      <c r="D131" s="0" t="s">
        <v>166</v>
      </c>
      <c r="E131" s="0" t="s">
        <v>135</v>
      </c>
      <c r="F131" s="12" t="n">
        <v>11.6</v>
      </c>
    </row>
    <row r="132" customFormat="false" ht="15" hidden="false" customHeight="false" outlineLevel="0" collapsed="false">
      <c r="D132" s="0" t="s">
        <v>167</v>
      </c>
      <c r="E132" s="0" t="s">
        <v>135</v>
      </c>
      <c r="F132" s="12" t="n">
        <v>77.6</v>
      </c>
    </row>
    <row r="133" customFormat="false" ht="15" hidden="false" customHeight="false" outlineLevel="0" collapsed="false">
      <c r="D133" s="0" t="s">
        <v>168</v>
      </c>
      <c r="E133" s="0" t="s">
        <v>135</v>
      </c>
      <c r="F133" s="12" t="n">
        <v>8.6</v>
      </c>
    </row>
    <row r="134" customFormat="false" ht="15" hidden="false" customHeight="false" outlineLevel="0" collapsed="false">
      <c r="D134" s="0" t="s">
        <v>169</v>
      </c>
      <c r="E134" s="0" t="s">
        <v>135</v>
      </c>
      <c r="F134" s="12" t="n">
        <v>13.8</v>
      </c>
    </row>
    <row r="135" customFormat="false" ht="15" hidden="false" customHeight="false" outlineLevel="0" collapsed="false">
      <c r="D135" s="0" t="s">
        <v>170</v>
      </c>
      <c r="E135" s="0" t="s">
        <v>171</v>
      </c>
      <c r="F135" s="13" t="n">
        <v>1.6</v>
      </c>
    </row>
    <row r="136" customFormat="false" ht="15" hidden="false" customHeight="false" outlineLevel="0" collapsed="false">
      <c r="D136" s="0" t="s">
        <v>172</v>
      </c>
      <c r="E136" s="0" t="s">
        <v>171</v>
      </c>
      <c r="F136" s="13" t="n">
        <v>2.85</v>
      </c>
    </row>
    <row r="137" customFormat="false" ht="15" hidden="false" customHeight="false" outlineLevel="0" collapsed="false">
      <c r="D137" s="0" t="s">
        <v>173</v>
      </c>
      <c r="E137" s="0" t="s">
        <v>171</v>
      </c>
      <c r="F137" s="13" t="n">
        <v>2.4</v>
      </c>
    </row>
    <row r="138" customFormat="false" ht="15" hidden="false" customHeight="false" outlineLevel="0" collapsed="false">
      <c r="D138" s="0" t="s">
        <v>174</v>
      </c>
      <c r="E138" s="0" t="s">
        <v>171</v>
      </c>
      <c r="F138" s="13" t="n">
        <v>1</v>
      </c>
    </row>
    <row r="140" customFormat="false" ht="15" hidden="false" customHeight="false" outlineLevel="0" collapsed="false">
      <c r="D140" s="3" t="s">
        <v>175</v>
      </c>
    </row>
    <row r="141" customFormat="false" ht="15" hidden="false" customHeight="false" outlineLevel="0" collapsed="false">
      <c r="D141" s="0" t="s">
        <v>176</v>
      </c>
      <c r="E141" s="0" t="s">
        <v>44</v>
      </c>
      <c r="F141" s="9" t="n">
        <v>11.84</v>
      </c>
    </row>
    <row r="142" customFormat="false" ht="15" hidden="false" customHeight="false" outlineLevel="0" collapsed="false">
      <c r="D142" s="0" t="s">
        <v>177</v>
      </c>
      <c r="E142" s="0" t="s">
        <v>105</v>
      </c>
      <c r="F142" s="10" t="n">
        <v>0.08</v>
      </c>
    </row>
    <row r="143" customFormat="false" ht="15" hidden="false" customHeight="false" outlineLevel="0" collapsed="false">
      <c r="D143" s="0" t="s">
        <v>178</v>
      </c>
      <c r="E143" s="0" t="s">
        <v>105</v>
      </c>
      <c r="F143" s="10" t="n">
        <v>0.062</v>
      </c>
    </row>
    <row r="144" customFormat="false" ht="15" hidden="false" customHeight="false" outlineLevel="0" collapsed="false">
      <c r="D144" s="0" t="s">
        <v>179</v>
      </c>
      <c r="E144" s="0" t="s">
        <v>44</v>
      </c>
      <c r="F144" s="9" t="n">
        <v>2.15</v>
      </c>
    </row>
    <row r="145" customFormat="false" ht="15" hidden="false" customHeight="false" outlineLevel="0" collapsed="false">
      <c r="D145" s="0" t="s">
        <v>180</v>
      </c>
      <c r="E145" s="0" t="s">
        <v>44</v>
      </c>
      <c r="F145" s="9" t="n">
        <v>3.36</v>
      </c>
    </row>
    <row r="146" customFormat="false" ht="15" hidden="false" customHeight="false" outlineLevel="0" collapsed="false">
      <c r="D146" s="0" t="s">
        <v>181</v>
      </c>
      <c r="E146" s="0" t="s">
        <v>44</v>
      </c>
      <c r="F146" s="9" t="n">
        <v>2.71</v>
      </c>
    </row>
    <row r="147" customFormat="false" ht="15" hidden="false" customHeight="false" outlineLevel="0" collapsed="false">
      <c r="D147" s="0" t="s">
        <v>182</v>
      </c>
      <c r="E147" s="0" t="s">
        <v>44</v>
      </c>
      <c r="F147" s="9" t="n">
        <v>42.6</v>
      </c>
    </row>
    <row r="148" customFormat="false" ht="15" hidden="false" customHeight="false" outlineLevel="0" collapsed="false">
      <c r="D148" s="0" t="s">
        <v>183</v>
      </c>
      <c r="E148" s="0" t="s">
        <v>184</v>
      </c>
      <c r="F148" s="4" t="n">
        <v>12</v>
      </c>
    </row>
    <row r="149" customFormat="false" ht="15" hidden="false" customHeight="false" outlineLevel="0" collapsed="false">
      <c r="D149" s="0" t="s">
        <v>185</v>
      </c>
      <c r="E149" s="0" t="s">
        <v>44</v>
      </c>
      <c r="F149" s="9" t="n">
        <v>31.9</v>
      </c>
    </row>
    <row r="150" customFormat="false" ht="15" hidden="false" customHeight="false" outlineLevel="0" collapsed="false">
      <c r="D150" s="0" t="s">
        <v>186</v>
      </c>
      <c r="E150" s="0" t="s">
        <v>184</v>
      </c>
      <c r="F150" s="4" t="n">
        <v>15</v>
      </c>
    </row>
    <row r="151" customFormat="false" ht="15" hidden="false" customHeight="false" outlineLevel="0" collapsed="false">
      <c r="D151" s="0" t="s">
        <v>187</v>
      </c>
      <c r="E151" s="0" t="s">
        <v>44</v>
      </c>
      <c r="F151" s="9" t="n">
        <v>14.7</v>
      </c>
    </row>
    <row r="152" customFormat="false" ht="15" hidden="false" customHeight="false" outlineLevel="0" collapsed="false">
      <c r="D152" s="0" t="s">
        <v>188</v>
      </c>
      <c r="E152" s="0" t="s">
        <v>184</v>
      </c>
      <c r="F152" s="4" t="n">
        <v>8</v>
      </c>
    </row>
    <row r="153" customFormat="false" ht="15" hidden="false" customHeight="false" outlineLevel="0" collapsed="false">
      <c r="D153" s="0" t="s">
        <v>189</v>
      </c>
      <c r="E153" s="0" t="s">
        <v>39</v>
      </c>
      <c r="F153" s="4" t="n">
        <v>6</v>
      </c>
    </row>
    <row r="154" customFormat="false" ht="15" hidden="false" customHeight="false" outlineLevel="0" collapsed="false">
      <c r="D154" s="0" t="s">
        <v>190</v>
      </c>
      <c r="E154" s="0" t="s">
        <v>44</v>
      </c>
      <c r="F154" s="9" t="n">
        <v>42.6</v>
      </c>
    </row>
    <row r="155" customFormat="false" ht="15" hidden="false" customHeight="false" outlineLevel="0" collapsed="false">
      <c r="D155" s="0" t="s">
        <v>191</v>
      </c>
      <c r="E155" s="0" t="s">
        <v>39</v>
      </c>
      <c r="F155" s="4" t="n">
        <v>10</v>
      </c>
    </row>
    <row r="156" customFormat="false" ht="15" hidden="false" customHeight="false" outlineLevel="0" collapsed="false">
      <c r="D156" s="0" t="s">
        <v>192</v>
      </c>
      <c r="E156" s="0" t="s">
        <v>79</v>
      </c>
      <c r="F156" s="4" t="n">
        <v>14</v>
      </c>
    </row>
    <row r="157" customFormat="false" ht="15" hidden="false" customHeight="false" outlineLevel="0" collapsed="false">
      <c r="D157" s="0" t="s">
        <v>193</v>
      </c>
      <c r="E157" s="0" t="s">
        <v>79</v>
      </c>
      <c r="F157" s="4" t="n">
        <v>30</v>
      </c>
    </row>
    <row r="158" customFormat="false" ht="15" hidden="false" customHeight="false" outlineLevel="0" collapsed="false">
      <c r="D158" s="0" t="s">
        <v>194</v>
      </c>
      <c r="E158" s="0" t="s">
        <v>105</v>
      </c>
      <c r="F158" s="10" t="n">
        <v>0.3</v>
      </c>
    </row>
    <row r="160" customFormat="false" ht="15" hidden="false" customHeight="false" outlineLevel="0" collapsed="false">
      <c r="D160" s="3" t="s">
        <v>195</v>
      </c>
    </row>
    <row r="161" customFormat="false" ht="15" hidden="false" customHeight="false" outlineLevel="0" collapsed="false">
      <c r="D161" s="0" t="s">
        <v>196</v>
      </c>
      <c r="E161" s="0" t="s">
        <v>44</v>
      </c>
      <c r="F161" s="9" t="n">
        <v>21.6</v>
      </c>
    </row>
    <row r="162" customFormat="false" ht="15" hidden="false" customHeight="false" outlineLevel="0" collapsed="false">
      <c r="D162" s="0" t="s">
        <v>197</v>
      </c>
      <c r="E162" s="0" t="s">
        <v>39</v>
      </c>
      <c r="F162" s="4" t="n">
        <v>4</v>
      </c>
    </row>
    <row r="163" customFormat="false" ht="15" hidden="false" customHeight="false" outlineLevel="0" collapsed="false">
      <c r="D163" s="0" t="s">
        <v>198</v>
      </c>
      <c r="E163" s="0" t="s">
        <v>105</v>
      </c>
      <c r="F163" s="10" t="n">
        <v>0.76</v>
      </c>
    </row>
    <row r="164" customFormat="false" ht="15" hidden="false" customHeight="false" outlineLevel="0" collapsed="false">
      <c r="D164" s="0" t="s">
        <v>199</v>
      </c>
      <c r="E164" s="0" t="s">
        <v>105</v>
      </c>
      <c r="F164" s="10" t="n">
        <v>0.14</v>
      </c>
    </row>
    <row r="165" customFormat="false" ht="15" hidden="false" customHeight="false" outlineLevel="0" collapsed="false">
      <c r="D165" s="0" t="s">
        <v>200</v>
      </c>
      <c r="E165" s="0" t="s">
        <v>105</v>
      </c>
      <c r="F165" s="10" t="n">
        <v>0.1</v>
      </c>
    </row>
    <row r="166" customFormat="false" ht="15" hidden="false" customHeight="false" outlineLevel="0" collapsed="false">
      <c r="D166" s="0" t="s">
        <v>201</v>
      </c>
      <c r="E166" s="0" t="s">
        <v>105</v>
      </c>
      <c r="F166" s="10" t="n">
        <v>0.051</v>
      </c>
    </row>
    <row r="167" customFormat="false" ht="15" hidden="false" customHeight="false" outlineLevel="0" collapsed="false">
      <c r="D167" s="0" t="s">
        <v>202</v>
      </c>
      <c r="E167" s="0" t="s">
        <v>126</v>
      </c>
      <c r="F167" s="11" t="n">
        <v>1.3</v>
      </c>
    </row>
    <row r="168" customFormat="false" ht="15" hidden="false" customHeight="false" outlineLevel="0" collapsed="false">
      <c r="D168" s="0" t="s">
        <v>203</v>
      </c>
      <c r="E168" s="0" t="s">
        <v>105</v>
      </c>
      <c r="F168" s="10" t="n">
        <v>0.5</v>
      </c>
    </row>
    <row r="169" customFormat="false" ht="15" hidden="false" customHeight="false" outlineLevel="0" collapsed="false">
      <c r="D169" s="0" t="s">
        <v>204</v>
      </c>
      <c r="E169" s="0" t="s">
        <v>105</v>
      </c>
      <c r="F169" s="10" t="n">
        <v>0.85</v>
      </c>
    </row>
    <row r="170" customFormat="false" ht="15" hidden="false" customHeight="false" outlineLevel="0" collapsed="false">
      <c r="D170" s="0" t="s">
        <v>205</v>
      </c>
      <c r="E170" s="0" t="s">
        <v>105</v>
      </c>
      <c r="F170" s="10" t="n">
        <v>0.15</v>
      </c>
    </row>
    <row r="171" customFormat="false" ht="15" hidden="false" customHeight="false" outlineLevel="0" collapsed="false">
      <c r="D171" s="0" t="s">
        <v>206</v>
      </c>
      <c r="E171" s="0" t="s">
        <v>44</v>
      </c>
      <c r="F171" s="9" t="n">
        <v>120</v>
      </c>
    </row>
    <row r="172" customFormat="false" ht="15" hidden="false" customHeight="false" outlineLevel="0" collapsed="false">
      <c r="D172" s="0" t="s">
        <v>207</v>
      </c>
      <c r="E172" s="0" t="s">
        <v>44</v>
      </c>
      <c r="F172" s="9" t="n">
        <v>78.3</v>
      </c>
    </row>
    <row r="173" customFormat="false" ht="15" hidden="false" customHeight="false" outlineLevel="0" collapsed="false">
      <c r="D173" s="0" t="s">
        <v>208</v>
      </c>
      <c r="E173" s="0" t="s">
        <v>39</v>
      </c>
      <c r="F173" s="4" t="n">
        <v>4</v>
      </c>
    </row>
    <row r="174" customFormat="false" ht="15" hidden="false" customHeight="false" outlineLevel="0" collapsed="false">
      <c r="D174" s="0" t="s">
        <v>209</v>
      </c>
      <c r="E174" s="0" t="s">
        <v>44</v>
      </c>
      <c r="F174" s="9" t="n">
        <v>41.7</v>
      </c>
    </row>
    <row r="175" customFormat="false" ht="15" hidden="false" customHeight="false" outlineLevel="0" collapsed="false">
      <c r="D175" s="0" t="s">
        <v>210</v>
      </c>
      <c r="E175" s="0" t="s">
        <v>105</v>
      </c>
      <c r="F175" s="10" t="n">
        <v>0.03</v>
      </c>
    </row>
    <row r="176" customFormat="false" ht="15" hidden="false" customHeight="false" outlineLevel="0" collapsed="false">
      <c r="D176" s="0" t="s">
        <v>211</v>
      </c>
      <c r="E176" s="0" t="s">
        <v>105</v>
      </c>
      <c r="F176" s="10" t="n">
        <v>0.3</v>
      </c>
    </row>
    <row r="177" customFormat="false" ht="15" hidden="false" customHeight="false" outlineLevel="0" collapsed="false">
      <c r="D177" s="0" t="s">
        <v>212</v>
      </c>
      <c r="E177" s="0" t="s">
        <v>44</v>
      </c>
      <c r="F177" s="9" t="n">
        <v>260</v>
      </c>
    </row>
    <row r="178" customFormat="false" ht="15" hidden="false" customHeight="false" outlineLevel="0" collapsed="false">
      <c r="D178" s="0" t="s">
        <v>213</v>
      </c>
      <c r="E178" s="0" t="s">
        <v>105</v>
      </c>
      <c r="F178" s="10" t="n">
        <v>0.14</v>
      </c>
    </row>
    <row r="179" customFormat="false" ht="15" hidden="false" customHeight="false" outlineLevel="0" collapsed="false">
      <c r="D179" s="0" t="s">
        <v>214</v>
      </c>
      <c r="E179" s="0" t="s">
        <v>105</v>
      </c>
      <c r="F179" s="10" t="n">
        <v>0.075</v>
      </c>
    </row>
    <row r="180" customFormat="false" ht="15" hidden="false" customHeight="false" outlineLevel="0" collapsed="false">
      <c r="D180" s="0" t="s">
        <v>215</v>
      </c>
      <c r="E180" s="0" t="s">
        <v>105</v>
      </c>
      <c r="F180" s="10" t="n">
        <v>0.09</v>
      </c>
    </row>
    <row r="181" customFormat="false" ht="15" hidden="false" customHeight="false" outlineLevel="0" collapsed="false">
      <c r="D181" s="0" t="s">
        <v>216</v>
      </c>
      <c r="E181" s="0" t="s">
        <v>44</v>
      </c>
      <c r="F181" s="9" t="n">
        <v>12.5</v>
      </c>
    </row>
    <row r="183" customFormat="false" ht="15" hidden="false" customHeight="false" outlineLevel="0" collapsed="false">
      <c r="D183" s="3" t="s">
        <v>217</v>
      </c>
    </row>
    <row r="184" customFormat="false" ht="15" hidden="false" customHeight="false" outlineLevel="0" collapsed="false">
      <c r="D184" s="0" t="s">
        <v>218</v>
      </c>
      <c r="E184" s="0" t="s">
        <v>105</v>
      </c>
      <c r="F184" s="10" t="n">
        <v>0.0685</v>
      </c>
    </row>
    <row r="185" customFormat="false" ht="15" hidden="false" customHeight="false" outlineLevel="0" collapsed="false">
      <c r="D185" s="0" t="s">
        <v>219</v>
      </c>
      <c r="E185" s="0" t="s">
        <v>44</v>
      </c>
      <c r="F185" s="9" t="n">
        <v>1478.6</v>
      </c>
    </row>
    <row r="186" customFormat="false" ht="15" hidden="false" customHeight="false" outlineLevel="0" collapsed="false">
      <c r="D186" s="0" t="s">
        <v>220</v>
      </c>
      <c r="E186" s="0" t="s">
        <v>44</v>
      </c>
      <c r="F186" s="9" t="n">
        <v>486.2</v>
      </c>
    </row>
    <row r="187" customFormat="false" ht="15" hidden="false" customHeight="false" outlineLevel="0" collapsed="false">
      <c r="D187" s="0" t="s">
        <v>221</v>
      </c>
      <c r="E187" s="0" t="s">
        <v>44</v>
      </c>
      <c r="F187" s="9" t="n">
        <v>-1821.4</v>
      </c>
    </row>
    <row r="188" customFormat="false" ht="15" hidden="false" customHeight="false" outlineLevel="0" collapsed="false">
      <c r="D188" s="0" t="s">
        <v>222</v>
      </c>
      <c r="E188" s="0" t="s">
        <v>44</v>
      </c>
      <c r="F188" s="9" t="n">
        <v>115.3</v>
      </c>
    </row>
    <row r="189" customFormat="false" ht="15" hidden="false" customHeight="false" outlineLevel="0" collapsed="false">
      <c r="D189" s="0" t="s">
        <v>223</v>
      </c>
      <c r="E189" s="0" t="s">
        <v>44</v>
      </c>
      <c r="F189" s="9" t="n">
        <v>87.4</v>
      </c>
    </row>
    <row r="190" customFormat="false" ht="15" hidden="false" customHeight="false" outlineLevel="0" collapsed="false">
      <c r="D190" s="0" t="s">
        <v>224</v>
      </c>
      <c r="E190" s="0" t="s">
        <v>44</v>
      </c>
      <c r="F190" s="9" t="n">
        <v>18.5</v>
      </c>
    </row>
    <row r="191" customFormat="false" ht="15" hidden="false" customHeight="false" outlineLevel="0" collapsed="false">
      <c r="D191" s="0" t="s">
        <v>225</v>
      </c>
      <c r="E191" s="0" t="s">
        <v>44</v>
      </c>
      <c r="F191" s="9" t="n">
        <v>19.6</v>
      </c>
    </row>
    <row r="192" customFormat="false" ht="15" hidden="false" customHeight="false" outlineLevel="0" collapsed="false">
      <c r="D192" s="0" t="s">
        <v>226</v>
      </c>
      <c r="E192" s="0" t="s">
        <v>44</v>
      </c>
      <c r="F192" s="9" t="n">
        <v>410</v>
      </c>
    </row>
    <row r="193" customFormat="false" ht="15" hidden="false" customHeight="false" outlineLevel="0" collapsed="false">
      <c r="D193" s="0" t="s">
        <v>227</v>
      </c>
      <c r="E193" s="0" t="s">
        <v>44</v>
      </c>
      <c r="F193" s="9" t="n">
        <v>52.8</v>
      </c>
    </row>
    <row r="194" customFormat="false" ht="15" hidden="false" customHeight="false" outlineLevel="0" collapsed="false">
      <c r="D194" s="0" t="s">
        <v>228</v>
      </c>
      <c r="E194" s="0" t="s">
        <v>44</v>
      </c>
      <c r="F194" s="9" t="n">
        <v>21.6</v>
      </c>
    </row>
    <row r="196" customFormat="false" ht="15" hidden="false" customHeight="false" outlineLevel="0" collapsed="false">
      <c r="D196" s="3" t="s">
        <v>229</v>
      </c>
    </row>
    <row r="197" customFormat="false" ht="15" hidden="false" customHeight="false" outlineLevel="0" collapsed="false">
      <c r="D197" s="0" t="s">
        <v>230</v>
      </c>
      <c r="E197" s="0" t="s">
        <v>39</v>
      </c>
      <c r="J197" s="4" t="n">
        <v>1</v>
      </c>
      <c r="K197" s="4" t="n">
        <v>2</v>
      </c>
      <c r="L197" s="4" t="n">
        <v>3</v>
      </c>
      <c r="M197" s="4" t="n">
        <v>4</v>
      </c>
      <c r="N197" s="4" t="n">
        <v>5</v>
      </c>
      <c r="O197" s="4" t="n">
        <v>6</v>
      </c>
      <c r="P197" s="4" t="n">
        <v>7</v>
      </c>
      <c r="Q197" s="4" t="n">
        <v>8</v>
      </c>
      <c r="R197" s="4" t="n">
        <v>9</v>
      </c>
      <c r="S197" s="4" t="n">
        <v>10</v>
      </c>
      <c r="T197" s="4" t="n">
        <v>11</v>
      </c>
      <c r="U197" s="4" t="n">
        <v>12</v>
      </c>
      <c r="V197" s="4" t="n">
        <v>13</v>
      </c>
    </row>
    <row r="198" customFormat="false" ht="15" hidden="false" customHeight="false" outlineLevel="0" collapsed="false">
      <c r="D198" s="0" t="s">
        <v>231</v>
      </c>
      <c r="E198" s="0" t="s">
        <v>42</v>
      </c>
      <c r="J198" s="4" t="n">
        <v>0</v>
      </c>
      <c r="K198" s="4" t="n">
        <v>0</v>
      </c>
      <c r="L198" s="4" t="n">
        <v>0</v>
      </c>
      <c r="M198" s="4" t="n">
        <v>1</v>
      </c>
      <c r="N198" s="4" t="n">
        <v>1</v>
      </c>
      <c r="O198" s="4" t="n">
        <v>1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</row>
    <row r="199" customFormat="false" ht="15" hidden="false" customHeight="false" outlineLevel="0" collapsed="false">
      <c r="D199" s="0" t="s">
        <v>232</v>
      </c>
      <c r="E199" s="0" t="s">
        <v>36</v>
      </c>
      <c r="J199" s="7" t="n">
        <v>1</v>
      </c>
      <c r="K199" s="7" t="n">
        <v>1</v>
      </c>
      <c r="L199" s="7" t="n">
        <v>1</v>
      </c>
      <c r="M199" s="7" t="n">
        <v>46203</v>
      </c>
      <c r="N199" s="7" t="n">
        <v>45291</v>
      </c>
      <c r="O199" s="7" t="n">
        <v>44742</v>
      </c>
      <c r="P199" s="7" t="n">
        <v>1</v>
      </c>
      <c r="Q199" s="7" t="n">
        <v>1</v>
      </c>
      <c r="R199" s="7" t="n">
        <v>1</v>
      </c>
      <c r="S199" s="7" t="n">
        <v>1</v>
      </c>
      <c r="T199" s="7" t="n">
        <v>1</v>
      </c>
      <c r="U199" s="7" t="n">
        <v>1</v>
      </c>
      <c r="V199" s="7" t="n">
        <v>1</v>
      </c>
    </row>
    <row r="200" customFormat="false" ht="15" hidden="false" customHeight="false" outlineLevel="0" collapsed="false">
      <c r="D200" s="0" t="s">
        <v>233</v>
      </c>
      <c r="E200" s="0" t="s">
        <v>42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</row>
    <row r="201" customFormat="false" ht="15" hidden="false" customHeight="false" outlineLevel="0" collapsed="false">
      <c r="D201" s="0" t="s">
        <v>234</v>
      </c>
      <c r="E201" s="0" t="s">
        <v>39</v>
      </c>
      <c r="J201" s="4" t="n">
        <v>1</v>
      </c>
      <c r="K201" s="4" t="n">
        <v>1</v>
      </c>
      <c r="L201" s="4" t="n">
        <v>1</v>
      </c>
      <c r="M201" s="4" t="n">
        <v>2</v>
      </c>
      <c r="N201" s="4" t="n">
        <v>2</v>
      </c>
      <c r="O201" s="4" t="n">
        <v>2</v>
      </c>
      <c r="P201" s="4" t="n">
        <v>1</v>
      </c>
      <c r="Q201" s="4" t="n">
        <v>1</v>
      </c>
      <c r="R201" s="4" t="n">
        <v>1</v>
      </c>
      <c r="S201" s="4" t="n">
        <v>1</v>
      </c>
      <c r="T201" s="4" t="n">
        <v>1</v>
      </c>
      <c r="U201" s="4" t="n">
        <v>1</v>
      </c>
      <c r="V201" s="4" t="n">
        <v>1</v>
      </c>
    </row>
    <row r="202" customFormat="false" ht="15" hidden="false" customHeight="false" outlineLevel="0" collapsed="false">
      <c r="D202" s="0" t="s">
        <v>235</v>
      </c>
      <c r="E202" s="0" t="s">
        <v>39</v>
      </c>
      <c r="J202" s="4" t="n">
        <v>1</v>
      </c>
      <c r="K202" s="4" t="n">
        <v>2</v>
      </c>
      <c r="L202" s="4" t="n">
        <v>3</v>
      </c>
      <c r="M202" s="4" t="n">
        <v>4</v>
      </c>
      <c r="N202" s="4" t="n">
        <v>4</v>
      </c>
      <c r="O202" s="4" t="n">
        <v>5</v>
      </c>
      <c r="P202" s="4" t="n">
        <v>1</v>
      </c>
      <c r="Q202" s="4" t="n">
        <v>1</v>
      </c>
      <c r="R202" s="4" t="n">
        <v>1</v>
      </c>
      <c r="S202" s="4" t="n">
        <v>1</v>
      </c>
      <c r="T202" s="4" t="n">
        <v>1</v>
      </c>
      <c r="U202" s="4" t="n">
        <v>1</v>
      </c>
      <c r="V202" s="4" t="n">
        <v>1</v>
      </c>
    </row>
    <row r="203" customFormat="false" ht="15" hidden="false" customHeight="false" outlineLevel="0" collapsed="false">
      <c r="D203" s="0" t="s">
        <v>236</v>
      </c>
      <c r="E203" s="0" t="s">
        <v>171</v>
      </c>
      <c r="J203" s="13" t="n">
        <v>1</v>
      </c>
      <c r="K203" s="13" t="n">
        <v>1</v>
      </c>
      <c r="L203" s="13" t="n">
        <v>1</v>
      </c>
      <c r="M203" s="13" t="n">
        <v>1</v>
      </c>
      <c r="N203" s="13" t="n">
        <v>1</v>
      </c>
      <c r="O203" s="13" t="n">
        <v>1</v>
      </c>
      <c r="P203" s="13" t="n">
        <v>0.9</v>
      </c>
      <c r="Q203" s="13" t="n">
        <v>1</v>
      </c>
      <c r="R203" s="13" t="n">
        <v>1</v>
      </c>
      <c r="S203" s="13" t="n">
        <v>1</v>
      </c>
      <c r="T203" s="13" t="n">
        <v>1</v>
      </c>
      <c r="U203" s="13" t="n">
        <v>1</v>
      </c>
      <c r="V203" s="13" t="n">
        <v>1</v>
      </c>
    </row>
    <row r="204" customFormat="false" ht="15" hidden="false" customHeight="false" outlineLevel="0" collapsed="false">
      <c r="D204" s="0" t="s">
        <v>237</v>
      </c>
      <c r="E204" s="0" t="s">
        <v>184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</row>
    <row r="205" customFormat="false" ht="15" hidden="false" customHeight="false" outlineLevel="0" collapsed="false">
      <c r="D205" s="0" t="s">
        <v>238</v>
      </c>
      <c r="E205" s="0" t="s">
        <v>42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  <c r="U205" s="4" t="n">
        <v>0</v>
      </c>
      <c r="V205" s="4" t="n">
        <v>0</v>
      </c>
    </row>
    <row r="206" customFormat="false" ht="15" hidden="false" customHeight="false" outlineLevel="0" collapsed="false">
      <c r="D206" s="0" t="s">
        <v>239</v>
      </c>
      <c r="E206" s="0" t="s">
        <v>171</v>
      </c>
      <c r="J206" s="13" t="n">
        <v>1</v>
      </c>
      <c r="K206" s="13" t="n">
        <v>1</v>
      </c>
      <c r="L206" s="13" t="n">
        <v>1</v>
      </c>
      <c r="M206" s="13" t="n">
        <v>1</v>
      </c>
      <c r="N206" s="13" t="n">
        <v>1</v>
      </c>
      <c r="O206" s="13" t="n">
        <v>1</v>
      </c>
      <c r="P206" s="13" t="n">
        <v>1</v>
      </c>
      <c r="Q206" s="13" t="n">
        <v>1</v>
      </c>
      <c r="R206" s="13" t="n">
        <v>1</v>
      </c>
      <c r="S206" s="13" t="n">
        <v>1.1</v>
      </c>
      <c r="T206" s="13" t="n">
        <v>1</v>
      </c>
      <c r="U206" s="13" t="n">
        <v>1</v>
      </c>
      <c r="V206" s="13" t="n">
        <v>1</v>
      </c>
    </row>
    <row r="207" customFormat="false" ht="15" hidden="false" customHeight="false" outlineLevel="0" collapsed="false">
      <c r="D207" s="0" t="s">
        <v>240</v>
      </c>
      <c r="E207" s="0" t="s">
        <v>171</v>
      </c>
      <c r="J207" s="13" t="n">
        <v>1</v>
      </c>
      <c r="K207" s="13" t="n">
        <v>1</v>
      </c>
      <c r="L207" s="13" t="n">
        <v>1</v>
      </c>
      <c r="M207" s="13" t="n">
        <v>1</v>
      </c>
      <c r="N207" s="13" t="n">
        <v>1</v>
      </c>
      <c r="O207" s="13" t="n">
        <v>1</v>
      </c>
      <c r="P207" s="13" t="n">
        <v>1</v>
      </c>
      <c r="Q207" s="13" t="n">
        <v>1</v>
      </c>
      <c r="R207" s="13" t="n">
        <v>1</v>
      </c>
      <c r="S207" s="13" t="n">
        <v>1</v>
      </c>
      <c r="T207" s="13" t="n">
        <v>1.2</v>
      </c>
      <c r="U207" s="13" t="n">
        <v>1</v>
      </c>
      <c r="V207" s="13" t="n">
        <v>1</v>
      </c>
    </row>
    <row r="208" customFormat="false" ht="15" hidden="false" customHeight="false" outlineLevel="0" collapsed="false">
      <c r="D208" s="0" t="s">
        <v>241</v>
      </c>
      <c r="E208" s="0" t="s">
        <v>135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0</v>
      </c>
      <c r="P208" s="12" t="n">
        <v>0</v>
      </c>
      <c r="Q208" s="12" t="n">
        <v>0</v>
      </c>
      <c r="R208" s="12" t="n">
        <v>0</v>
      </c>
      <c r="S208" s="12" t="n">
        <v>0</v>
      </c>
      <c r="T208" s="12" t="n">
        <v>0</v>
      </c>
      <c r="U208" s="12" t="n">
        <v>1</v>
      </c>
      <c r="V208" s="12" t="n">
        <v>0</v>
      </c>
    </row>
    <row r="209" customFormat="false" ht="15" hidden="false" customHeight="false" outlineLevel="0" collapsed="false">
      <c r="D209" s="0" t="s">
        <v>242</v>
      </c>
      <c r="E209" s="0" t="s">
        <v>135</v>
      </c>
      <c r="J209" s="12" t="n">
        <v>0</v>
      </c>
      <c r="K209" s="12" t="n">
        <v>0</v>
      </c>
      <c r="L209" s="12" t="n">
        <v>0</v>
      </c>
      <c r="M209" s="12" t="n">
        <v>0</v>
      </c>
      <c r="N209" s="12" t="n">
        <v>0</v>
      </c>
      <c r="O209" s="12" t="n">
        <v>0</v>
      </c>
      <c r="P209" s="12" t="n">
        <v>0</v>
      </c>
      <c r="Q209" s="12" t="n">
        <v>0</v>
      </c>
      <c r="R209" s="12" t="n">
        <v>0</v>
      </c>
      <c r="S209" s="12" t="n">
        <v>0</v>
      </c>
      <c r="T209" s="12" t="n">
        <v>0</v>
      </c>
      <c r="U209" s="12" t="n">
        <v>0</v>
      </c>
      <c r="V209" s="12" t="n">
        <v>-2</v>
      </c>
    </row>
    <row r="210" customFormat="false" ht="15" hidden="false" customHeight="false" outlineLevel="0" collapsed="false">
      <c r="D210" s="0" t="s">
        <v>243</v>
      </c>
      <c r="E210" s="0" t="s">
        <v>42</v>
      </c>
      <c r="J210" s="4" t="n">
        <v>0</v>
      </c>
      <c r="K210" s="4" t="n">
        <v>1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</row>
    <row r="211" customFormat="false" ht="15" hidden="false" customHeight="false" outlineLevel="0" collapsed="false">
      <c r="D211" s="0" t="s">
        <v>244</v>
      </c>
      <c r="E211" s="0" t="s">
        <v>42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</row>
    <row r="212" customFormat="false" ht="15" hidden="false" customHeight="false" outlineLevel="0" collapsed="false">
      <c r="D212" s="3" t="s">
        <v>245</v>
      </c>
    </row>
    <row r="213" customFormat="false" ht="15" hidden="false" customHeight="false" outlineLevel="0" collapsed="false">
      <c r="D213" s="0" t="s">
        <v>246</v>
      </c>
      <c r="E213" s="0" t="s">
        <v>42</v>
      </c>
      <c r="F213" s="14" t="n">
        <f aca="false">INDEX($J$198:$V$198,$F$6)</f>
        <v>0</v>
      </c>
    </row>
    <row r="214" customFormat="false" ht="15" hidden="false" customHeight="false" outlineLevel="0" collapsed="false">
      <c r="D214" s="0" t="s">
        <v>247</v>
      </c>
      <c r="E214" s="0" t="s">
        <v>36</v>
      </c>
      <c r="F214" s="15" t="n">
        <f aca="false">INDEX($J$199:$V$199,$F$6)</f>
        <v>1</v>
      </c>
    </row>
    <row r="215" customFormat="false" ht="15" hidden="false" customHeight="false" outlineLevel="0" collapsed="false">
      <c r="D215" s="0" t="s">
        <v>248</v>
      </c>
      <c r="E215" s="0" t="s">
        <v>42</v>
      </c>
      <c r="F215" s="14" t="n">
        <f aca="false">INDEX($J$200:$V$200,$F$6)</f>
        <v>0</v>
      </c>
    </row>
    <row r="216" customFormat="false" ht="15" hidden="false" customHeight="false" outlineLevel="0" collapsed="false">
      <c r="D216" s="0" t="s">
        <v>249</v>
      </c>
      <c r="E216" s="0" t="s">
        <v>39</v>
      </c>
      <c r="F216" s="14" t="n">
        <f aca="false">INDEX($J$201:$V$201,$F$6)</f>
        <v>1</v>
      </c>
    </row>
    <row r="217" customFormat="false" ht="15" hidden="false" customHeight="false" outlineLevel="0" collapsed="false">
      <c r="D217" s="0" t="s">
        <v>250</v>
      </c>
      <c r="E217" s="0" t="s">
        <v>39</v>
      </c>
      <c r="F217" s="14" t="n">
        <f aca="false">INDEX($J$202:$V$202,$F$6)</f>
        <v>1</v>
      </c>
    </row>
    <row r="218" customFormat="false" ht="15" hidden="false" customHeight="false" outlineLevel="0" collapsed="false">
      <c r="D218" s="0" t="s">
        <v>251</v>
      </c>
      <c r="E218" s="0" t="s">
        <v>171</v>
      </c>
      <c r="F218" s="16" t="n">
        <f aca="false">INDEX($J$203:$V$203,$F$6)</f>
        <v>1</v>
      </c>
    </row>
    <row r="219" customFormat="false" ht="15" hidden="false" customHeight="false" outlineLevel="0" collapsed="false">
      <c r="D219" s="0" t="s">
        <v>252</v>
      </c>
      <c r="E219" s="0" t="s">
        <v>184</v>
      </c>
      <c r="F219" s="17" t="n">
        <f aca="false">INDEX($J$204:$V$204,$F$6)</f>
        <v>0</v>
      </c>
    </row>
    <row r="220" customFormat="false" ht="15" hidden="false" customHeight="false" outlineLevel="0" collapsed="false">
      <c r="D220" s="0" t="s">
        <v>253</v>
      </c>
      <c r="E220" s="0" t="s">
        <v>42</v>
      </c>
      <c r="F220" s="14" t="n">
        <f aca="false">INDEX($J$205:$V$205,$F$6)</f>
        <v>1</v>
      </c>
    </row>
    <row r="221" customFormat="false" ht="15" hidden="false" customHeight="false" outlineLevel="0" collapsed="false">
      <c r="D221" s="0" t="s">
        <v>254</v>
      </c>
      <c r="E221" s="0" t="s">
        <v>171</v>
      </c>
      <c r="F221" s="16" t="n">
        <f aca="false">INDEX($J$206:$V$206,$F$6)</f>
        <v>1</v>
      </c>
    </row>
    <row r="222" customFormat="false" ht="15" hidden="false" customHeight="false" outlineLevel="0" collapsed="false">
      <c r="D222" s="0" t="s">
        <v>255</v>
      </c>
      <c r="E222" s="0" t="s">
        <v>171</v>
      </c>
      <c r="F222" s="16" t="n">
        <f aca="false">INDEX($J$207:$V$207,$F$6)</f>
        <v>1</v>
      </c>
    </row>
    <row r="223" customFormat="false" ht="15" hidden="false" customHeight="false" outlineLevel="0" collapsed="false">
      <c r="D223" s="0" t="s">
        <v>256</v>
      </c>
      <c r="E223" s="0" t="s">
        <v>135</v>
      </c>
      <c r="F223" s="18" t="n">
        <f aca="false">INDEX($J$208:$V$208,$F$6)</f>
        <v>0</v>
      </c>
    </row>
    <row r="224" customFormat="false" ht="15" hidden="false" customHeight="false" outlineLevel="0" collapsed="false">
      <c r="D224" s="0" t="s">
        <v>257</v>
      </c>
      <c r="E224" s="0" t="s">
        <v>135</v>
      </c>
      <c r="F224" s="18" t="n">
        <f aca="false">INDEX($J$209:$V$209,$F$6)</f>
        <v>0</v>
      </c>
    </row>
    <row r="225" customFormat="false" ht="15" hidden="false" customHeight="false" outlineLevel="0" collapsed="false">
      <c r="D225" s="0" t="s">
        <v>258</v>
      </c>
      <c r="E225" s="0" t="s">
        <v>42</v>
      </c>
      <c r="F225" s="14" t="n">
        <f aca="false">INDEX($J$210:$V$210,$F$6)</f>
        <v>0</v>
      </c>
    </row>
    <row r="226" customFormat="false" ht="15" hidden="false" customHeight="false" outlineLevel="0" collapsed="false">
      <c r="D226" s="0" t="s">
        <v>259</v>
      </c>
      <c r="E226" s="0" t="s">
        <v>42</v>
      </c>
      <c r="F226" s="14" t="n">
        <f aca="false">INDEX($J$211:$V$211,$F$6)</f>
        <v>0</v>
      </c>
    </row>
    <row r="227" customFormat="false" ht="15" hidden="false" customHeight="false" outlineLevel="0" collapsed="false">
      <c r="D227" s="0" t="s">
        <v>260</v>
      </c>
      <c r="E227" s="0" t="s">
        <v>44</v>
      </c>
      <c r="F227" s="19" t="n">
        <f aca="false">IF($F$7=2,$F$82,$F$81)</f>
        <v>287.4</v>
      </c>
    </row>
    <row r="229" customFormat="false" ht="15" hidden="false" customHeight="false" outlineLevel="0" collapsed="false">
      <c r="D229" s="3" t="s">
        <v>261</v>
      </c>
    </row>
    <row r="230" customFormat="false" ht="15" hidden="false" customHeight="false" outlineLevel="0" collapsed="false">
      <c r="D230" s="0" t="s">
        <v>262</v>
      </c>
      <c r="E230" s="0" t="s">
        <v>263</v>
      </c>
      <c r="J230" s="8" t="n">
        <v>58.4</v>
      </c>
      <c r="K230" s="8" t="n">
        <v>52.6</v>
      </c>
      <c r="L230" s="8" t="n">
        <v>46.7</v>
      </c>
      <c r="M230" s="8" t="n">
        <v>42.6</v>
      </c>
      <c r="N230" s="8" t="n">
        <v>42.6</v>
      </c>
    </row>
    <row r="231" customFormat="false" ht="15" hidden="false" customHeight="false" outlineLevel="0" collapsed="false">
      <c r="D231" s="0" t="s">
        <v>264</v>
      </c>
      <c r="E231" s="0" t="s">
        <v>89</v>
      </c>
      <c r="J231" s="4" t="n">
        <v>2019</v>
      </c>
      <c r="K231" s="4" t="n">
        <v>2019</v>
      </c>
      <c r="L231" s="4" t="n">
        <v>2019</v>
      </c>
      <c r="M231" s="4" t="n">
        <v>2023</v>
      </c>
      <c r="N231" s="4" t="n">
        <v>2023</v>
      </c>
    </row>
    <row r="232" customFormat="false" ht="15" hidden="false" customHeight="false" outlineLevel="0" collapsed="false">
      <c r="D232" s="0" t="s">
        <v>265</v>
      </c>
      <c r="E232" s="0" t="s">
        <v>135</v>
      </c>
      <c r="J232" s="12" t="n">
        <v>3.4</v>
      </c>
      <c r="K232" s="12" t="n">
        <v>2.9</v>
      </c>
      <c r="L232" s="12" t="n">
        <v>2.2</v>
      </c>
      <c r="M232" s="12" t="n">
        <v>2.6</v>
      </c>
      <c r="N232" s="12" t="n">
        <v>2.6</v>
      </c>
    </row>
    <row r="233" customFormat="false" ht="15" hidden="false" customHeight="false" outlineLevel="0" collapsed="false">
      <c r="D233" s="0" t="s">
        <v>266</v>
      </c>
      <c r="E233" s="0" t="s">
        <v>135</v>
      </c>
      <c r="J233" s="12" t="n">
        <v>2.3</v>
      </c>
      <c r="K233" s="12" t="n">
        <v>2</v>
      </c>
      <c r="L233" s="12" t="n">
        <v>1.6</v>
      </c>
      <c r="M233" s="12" t="n">
        <v>1.8</v>
      </c>
      <c r="N233" s="12" t="n">
        <v>1.8</v>
      </c>
    </row>
    <row r="234" customFormat="false" ht="15" hidden="false" customHeight="false" outlineLevel="0" collapsed="false">
      <c r="D234" s="0" t="s">
        <v>267</v>
      </c>
      <c r="E234" s="0" t="s">
        <v>135</v>
      </c>
      <c r="J234" s="12" t="n">
        <v>1.2</v>
      </c>
      <c r="K234" s="12" t="n">
        <v>1</v>
      </c>
      <c r="L234" s="12" t="n">
        <v>0.8</v>
      </c>
      <c r="M234" s="12" t="n">
        <v>0.9</v>
      </c>
      <c r="N234" s="12" t="n">
        <v>0.9</v>
      </c>
    </row>
    <row r="235" customFormat="false" ht="15" hidden="false" customHeight="false" outlineLevel="0" collapsed="false">
      <c r="D235" s="0" t="s">
        <v>268</v>
      </c>
      <c r="E235" s="0" t="s">
        <v>171</v>
      </c>
      <c r="J235" s="13" t="n">
        <v>0.8</v>
      </c>
      <c r="K235" s="13" t="n">
        <v>0.72</v>
      </c>
      <c r="L235" s="13" t="n">
        <v>0.65</v>
      </c>
      <c r="M235" s="13" t="n">
        <v>1</v>
      </c>
      <c r="N235" s="13" t="n">
        <v>1</v>
      </c>
    </row>
    <row r="236" customFormat="false" ht="15" hidden="false" customHeight="false" outlineLevel="0" collapsed="false">
      <c r="D236" s="0" t="s">
        <v>269</v>
      </c>
      <c r="E236" s="0" t="s">
        <v>171</v>
      </c>
      <c r="J236" s="13" t="n">
        <v>0.9</v>
      </c>
      <c r="K236" s="13" t="n">
        <v>0.84</v>
      </c>
      <c r="L236" s="13" t="n">
        <v>0.78</v>
      </c>
      <c r="M236" s="13" t="n">
        <v>1</v>
      </c>
      <c r="N236" s="13" t="n">
        <v>1</v>
      </c>
    </row>
    <row r="237" customFormat="false" ht="15" hidden="false" customHeight="false" outlineLevel="0" collapsed="false">
      <c r="D237" s="0" t="s">
        <v>270</v>
      </c>
      <c r="E237" s="0" t="s">
        <v>171</v>
      </c>
      <c r="J237" s="13" t="n">
        <v>0.96</v>
      </c>
      <c r="K237" s="13" t="n">
        <v>0.93</v>
      </c>
      <c r="L237" s="13" t="n">
        <v>0.88</v>
      </c>
      <c r="M237" s="13" t="n">
        <v>1</v>
      </c>
      <c r="N237" s="13" t="n">
        <v>1</v>
      </c>
    </row>
    <row r="238" customFormat="false" ht="15" hidden="false" customHeight="false" outlineLevel="0" collapsed="false">
      <c r="D238" s="0" t="s">
        <v>271</v>
      </c>
      <c r="E238" s="0" t="s">
        <v>171</v>
      </c>
      <c r="J238" s="13" t="n">
        <v>1</v>
      </c>
      <c r="K238" s="13" t="n">
        <v>0.98</v>
      </c>
      <c r="L238" s="13" t="n">
        <v>0.95</v>
      </c>
      <c r="M238" s="13" t="n">
        <v>1</v>
      </c>
      <c r="N238" s="13" t="n">
        <v>1</v>
      </c>
    </row>
    <row r="239" customFormat="false" ht="15" hidden="false" customHeight="false" outlineLevel="0" collapsed="false">
      <c r="D239" s="0" t="s">
        <v>272</v>
      </c>
      <c r="E239" s="0" t="s">
        <v>171</v>
      </c>
      <c r="J239" s="13" t="n">
        <v>1</v>
      </c>
      <c r="K239" s="13" t="n">
        <v>1</v>
      </c>
      <c r="L239" s="13" t="n">
        <v>1</v>
      </c>
      <c r="M239" s="13" t="n">
        <v>1</v>
      </c>
      <c r="N239" s="13" t="n">
        <v>1</v>
      </c>
    </row>
    <row r="240" customFormat="false" ht="15" hidden="false" customHeight="false" outlineLevel="0" collapsed="false">
      <c r="D240" s="0" t="s">
        <v>273</v>
      </c>
      <c r="E240" s="0" t="s">
        <v>135</v>
      </c>
      <c r="J240" s="12" t="n">
        <v>0</v>
      </c>
      <c r="K240" s="12" t="n">
        <v>0</v>
      </c>
      <c r="L240" s="12" t="n">
        <v>0</v>
      </c>
      <c r="M240" s="12" t="n">
        <v>2.4</v>
      </c>
      <c r="N240" s="12" t="n">
        <v>0</v>
      </c>
    </row>
    <row r="241" customFormat="false" ht="15" hidden="false" customHeight="false" outlineLevel="0" collapsed="false">
      <c r="D241" s="0" t="s">
        <v>274</v>
      </c>
      <c r="E241" s="0" t="s">
        <v>39</v>
      </c>
      <c r="F241" s="20" t="n">
        <f aca="false">INDEX($J$230:$N$230,$F$217)</f>
        <v>58.4</v>
      </c>
    </row>
    <row r="242" customFormat="false" ht="15" hidden="false" customHeight="false" outlineLevel="0" collapsed="false">
      <c r="D242" s="0" t="s">
        <v>275</v>
      </c>
      <c r="E242" s="0" t="s">
        <v>39</v>
      </c>
      <c r="F242" s="20" t="n">
        <f aca="false">INDEX($J$231:$N$231,$F$217)</f>
        <v>2019</v>
      </c>
    </row>
    <row r="243" customFormat="false" ht="15" hidden="false" customHeight="false" outlineLevel="0" collapsed="false">
      <c r="D243" s="0" t="s">
        <v>276</v>
      </c>
      <c r="E243" s="0" t="s">
        <v>39</v>
      </c>
      <c r="F243" s="20" t="n">
        <f aca="false">INDEX($J$232:$N$232,$F$217)</f>
        <v>3.4</v>
      </c>
    </row>
    <row r="244" customFormat="false" ht="15" hidden="false" customHeight="false" outlineLevel="0" collapsed="false">
      <c r="D244" s="0" t="s">
        <v>277</v>
      </c>
      <c r="E244" s="0" t="s">
        <v>39</v>
      </c>
      <c r="F244" s="20" t="n">
        <f aca="false">INDEX($J$233:$N$233,$F$217)</f>
        <v>2.3</v>
      </c>
    </row>
    <row r="245" customFormat="false" ht="15" hidden="false" customHeight="false" outlineLevel="0" collapsed="false">
      <c r="D245" s="0" t="s">
        <v>278</v>
      </c>
      <c r="E245" s="0" t="s">
        <v>39</v>
      </c>
      <c r="F245" s="20" t="n">
        <f aca="false">INDEX($J$234:$N$234,$F$217)</f>
        <v>1.2</v>
      </c>
    </row>
    <row r="246" customFormat="false" ht="15" hidden="false" customHeight="false" outlineLevel="0" collapsed="false">
      <c r="D246" s="0" t="s">
        <v>279</v>
      </c>
      <c r="E246" s="0" t="s">
        <v>39</v>
      </c>
      <c r="F246" s="20" t="n">
        <f aca="false">INDEX($J$240:$N$240,$F$217)</f>
        <v>0</v>
      </c>
    </row>
    <row r="247" customFormat="false" ht="15" hidden="false" customHeight="false" outlineLevel="0" collapsed="false">
      <c r="D247" s="0" t="s">
        <v>280</v>
      </c>
      <c r="F247" s="17" t="n">
        <f aca="false">0</f>
        <v>0</v>
      </c>
    </row>
    <row r="248" customFormat="false" ht="15" hidden="false" customHeight="false" outlineLevel="0" collapsed="false">
      <c r="D248" s="0" t="s">
        <v>281</v>
      </c>
      <c r="E248" s="0" t="s">
        <v>171</v>
      </c>
      <c r="F248" s="16" t="n">
        <f aca="false">INDEX($J$235:$N$235,$F$217)</f>
        <v>0.8</v>
      </c>
    </row>
    <row r="249" customFormat="false" ht="15" hidden="false" customHeight="false" outlineLevel="0" collapsed="false">
      <c r="D249" s="0" t="s">
        <v>282</v>
      </c>
      <c r="E249" s="0" t="s">
        <v>171</v>
      </c>
      <c r="F249" s="16" t="n">
        <f aca="false">INDEX($J$236:$N$236,$F$217)</f>
        <v>0.9</v>
      </c>
    </row>
    <row r="250" customFormat="false" ht="15" hidden="false" customHeight="false" outlineLevel="0" collapsed="false">
      <c r="D250" s="0" t="s">
        <v>283</v>
      </c>
      <c r="E250" s="0" t="s">
        <v>171</v>
      </c>
      <c r="F250" s="16" t="n">
        <f aca="false">INDEX($J$237:$N$237,$F$217)</f>
        <v>0.96</v>
      </c>
    </row>
    <row r="251" customFormat="false" ht="15" hidden="false" customHeight="false" outlineLevel="0" collapsed="false">
      <c r="D251" s="0" t="s">
        <v>284</v>
      </c>
      <c r="E251" s="0" t="s">
        <v>171</v>
      </c>
      <c r="F251" s="16" t="n">
        <f aca="false">INDEX($J$238:$N$238,$F$217)</f>
        <v>1</v>
      </c>
    </row>
    <row r="252" customFormat="false" ht="15" hidden="false" customHeight="false" outlineLevel="0" collapsed="false">
      <c r="D252" s="0" t="s">
        <v>285</v>
      </c>
      <c r="E252" s="0" t="s">
        <v>171</v>
      </c>
      <c r="F252" s="16" t="n">
        <f aca="false">INDEX($J$239:$N$239,$F$217)</f>
        <v>1</v>
      </c>
    </row>
    <row r="254" customFormat="false" ht="15" hidden="false" customHeight="false" outlineLevel="0" collapsed="false">
      <c r="D254" s="3" t="s">
        <v>286</v>
      </c>
    </row>
    <row r="255" customFormat="false" ht="15" hidden="false" customHeight="false" outlineLevel="0" collapsed="false">
      <c r="D255" s="0" t="s">
        <v>287</v>
      </c>
      <c r="E255" s="0" t="s">
        <v>89</v>
      </c>
      <c r="J255" s="4" t="n">
        <v>2012</v>
      </c>
      <c r="K255" s="4" t="n">
        <v>2013</v>
      </c>
      <c r="L255" s="4" t="n">
        <v>2014</v>
      </c>
      <c r="M255" s="4" t="n">
        <v>2015</v>
      </c>
      <c r="N255" s="4" t="n">
        <v>2016</v>
      </c>
      <c r="O255" s="4" t="n">
        <v>2017</v>
      </c>
      <c r="P255" s="4" t="n">
        <v>2018</v>
      </c>
      <c r="Q255" s="4" t="n">
        <v>2019</v>
      </c>
      <c r="R255" s="4" t="n">
        <v>2020</v>
      </c>
      <c r="S255" s="4" t="n">
        <v>2021</v>
      </c>
      <c r="T255" s="4" t="n">
        <v>2022</v>
      </c>
      <c r="U255" s="4" t="n">
        <v>2023</v>
      </c>
      <c r="V255" s="4" t="n">
        <v>2024</v>
      </c>
      <c r="W255" s="4" t="n">
        <v>2025</v>
      </c>
      <c r="X255" s="4" t="n">
        <v>2026</v>
      </c>
      <c r="Y255" s="4" t="n">
        <v>2027</v>
      </c>
      <c r="Z255" s="4" t="n">
        <v>2028</v>
      </c>
      <c r="AA255" s="4" t="n">
        <v>2029</v>
      </c>
      <c r="AB255" s="4" t="n">
        <v>2030</v>
      </c>
      <c r="AC255" s="4" t="n">
        <v>2031</v>
      </c>
      <c r="AD255" s="4" t="n">
        <v>2032</v>
      </c>
      <c r="AE255" s="4" t="n">
        <v>2033</v>
      </c>
      <c r="AF255" s="4" t="n">
        <v>2034</v>
      </c>
      <c r="AG255" s="4" t="n">
        <v>2035</v>
      </c>
      <c r="AH255" s="4" t="n">
        <v>2036</v>
      </c>
      <c r="AI255" s="4" t="n">
        <v>2037</v>
      </c>
      <c r="AJ255" s="4" t="n">
        <v>2038</v>
      </c>
      <c r="AK255" s="4" t="n">
        <v>2039</v>
      </c>
      <c r="AL255" s="4" t="n">
        <v>2040</v>
      </c>
      <c r="AM255" s="4" t="n">
        <v>2041</v>
      </c>
      <c r="AN255" s="4" t="n">
        <v>2042</v>
      </c>
      <c r="AO255" s="4" t="n">
        <v>2043</v>
      </c>
      <c r="AP255" s="4" t="n">
        <v>2044</v>
      </c>
      <c r="AQ255" s="4" t="n">
        <v>2045</v>
      </c>
      <c r="AR255" s="4" t="n">
        <v>2046</v>
      </c>
      <c r="AS255" s="4" t="n">
        <v>2047</v>
      </c>
      <c r="AT255" s="4" t="n">
        <v>2048</v>
      </c>
      <c r="AU255" s="4" t="n">
        <v>2049</v>
      </c>
      <c r="AV255" s="4" t="n">
        <v>2050</v>
      </c>
      <c r="AW255" s="4" t="n">
        <v>2051</v>
      </c>
      <c r="AX255" s="4" t="n">
        <v>2052</v>
      </c>
      <c r="AY255" s="4" t="n">
        <v>2053</v>
      </c>
      <c r="AZ255" s="4" t="n">
        <v>2054</v>
      </c>
      <c r="BA255" s="4" t="n">
        <v>2055</v>
      </c>
      <c r="BB255" s="4" t="n">
        <v>2056</v>
      </c>
      <c r="BC255" s="4" t="n">
        <v>2057</v>
      </c>
      <c r="BD255" s="4" t="n">
        <v>2058</v>
      </c>
      <c r="BE255" s="4" t="n">
        <v>2059</v>
      </c>
    </row>
    <row r="256" customFormat="false" ht="15" hidden="false" customHeight="false" outlineLevel="0" collapsed="false">
      <c r="D256" s="0" t="s">
        <v>288</v>
      </c>
      <c r="E256" s="0" t="s">
        <v>135</v>
      </c>
      <c r="J256" s="12" t="n">
        <v>2</v>
      </c>
      <c r="K256" s="12" t="n">
        <v>2.4</v>
      </c>
      <c r="L256" s="12" t="n">
        <v>2.5</v>
      </c>
      <c r="M256" s="12" t="n">
        <v>1.6</v>
      </c>
      <c r="N256" s="12" t="n">
        <v>1.4</v>
      </c>
      <c r="O256" s="12" t="n">
        <v>1.9</v>
      </c>
      <c r="P256" s="12" t="n">
        <v>1.9</v>
      </c>
      <c r="Q256" s="12" t="n">
        <v>1.6</v>
      </c>
      <c r="R256" s="12" t="n">
        <v>0.9</v>
      </c>
      <c r="S256" s="12" t="n">
        <v>3.4</v>
      </c>
      <c r="T256" s="12" t="n">
        <v>7.1</v>
      </c>
      <c r="U256" s="12" t="n">
        <v>5.4</v>
      </c>
      <c r="V256" s="12" t="n">
        <v>3.3</v>
      </c>
      <c r="W256" s="12" t="n">
        <v>2.7</v>
      </c>
      <c r="X256" s="12" t="n">
        <v>2.6</v>
      </c>
      <c r="Y256" s="12" t="n">
        <v>2.5</v>
      </c>
      <c r="Z256" s="12" t="n">
        <v>2.5</v>
      </c>
      <c r="AA256" s="12" t="n">
        <v>2.5</v>
      </c>
      <c r="AB256" s="12" t="n">
        <v>2.5</v>
      </c>
      <c r="AC256" s="12" t="n">
        <v>2.5</v>
      </c>
      <c r="AD256" s="12" t="n">
        <v>2.5</v>
      </c>
      <c r="AE256" s="12" t="n">
        <v>2.5</v>
      </c>
      <c r="AF256" s="12" t="n">
        <v>2.5</v>
      </c>
      <c r="AG256" s="12" t="n">
        <v>2.5</v>
      </c>
      <c r="AH256" s="12" t="n">
        <v>2.5</v>
      </c>
      <c r="AI256" s="12" t="n">
        <v>2.5</v>
      </c>
      <c r="AJ256" s="12" t="n">
        <v>2.5</v>
      </c>
      <c r="AK256" s="12" t="n">
        <v>2.5</v>
      </c>
      <c r="AL256" s="12" t="n">
        <v>2.5</v>
      </c>
      <c r="AM256" s="12" t="n">
        <v>2.5</v>
      </c>
      <c r="AN256" s="12" t="n">
        <v>2.5</v>
      </c>
      <c r="AO256" s="12" t="n">
        <v>2.5</v>
      </c>
      <c r="AP256" s="12" t="n">
        <v>2.5</v>
      </c>
      <c r="AQ256" s="12" t="n">
        <v>2.5</v>
      </c>
      <c r="AR256" s="12" t="n">
        <v>2.5</v>
      </c>
      <c r="AS256" s="12" t="n">
        <v>2.5</v>
      </c>
      <c r="AT256" s="12" t="n">
        <v>2.5</v>
      </c>
      <c r="AU256" s="12" t="n">
        <v>2.5</v>
      </c>
      <c r="AV256" s="12" t="n">
        <v>2.5</v>
      </c>
      <c r="AW256" s="12" t="n">
        <v>2.5</v>
      </c>
      <c r="AX256" s="12" t="n">
        <v>2.5</v>
      </c>
      <c r="AY256" s="12" t="n">
        <v>2.5</v>
      </c>
      <c r="AZ256" s="12" t="n">
        <v>2.5</v>
      </c>
      <c r="BA256" s="12" t="n">
        <v>2.5</v>
      </c>
      <c r="BB256" s="12" t="n">
        <v>2.5</v>
      </c>
      <c r="BC256" s="12" t="n">
        <v>2.5</v>
      </c>
      <c r="BD256" s="12" t="n">
        <v>2.5</v>
      </c>
      <c r="BE256" s="12" t="n">
        <v>2.5</v>
      </c>
    </row>
    <row r="257" customFormat="false" ht="15" hidden="false" customHeight="false" outlineLevel="0" collapsed="false">
      <c r="D257" s="0" t="s">
        <v>289</v>
      </c>
      <c r="E257" s="0" t="s">
        <v>135</v>
      </c>
      <c r="J257" s="12" t="n">
        <v>2.5</v>
      </c>
      <c r="K257" s="12" t="n">
        <v>2.5</v>
      </c>
      <c r="L257" s="12" t="n">
        <v>2.5</v>
      </c>
      <c r="M257" s="12" t="n">
        <v>2.5</v>
      </c>
      <c r="N257" s="12" t="n">
        <v>2.5</v>
      </c>
      <c r="O257" s="12" t="n">
        <v>2.5</v>
      </c>
      <c r="P257" s="12" t="n">
        <v>2.5</v>
      </c>
      <c r="Q257" s="12" t="n">
        <v>2.5</v>
      </c>
      <c r="R257" s="12" t="n">
        <v>2.5</v>
      </c>
      <c r="S257" s="12" t="n">
        <v>2.5</v>
      </c>
      <c r="T257" s="12" t="n">
        <v>2.5</v>
      </c>
      <c r="U257" s="12" t="n">
        <v>2.5</v>
      </c>
      <c r="V257" s="12" t="n">
        <v>2.5</v>
      </c>
      <c r="W257" s="12" t="n">
        <v>2.5</v>
      </c>
      <c r="X257" s="12" t="n">
        <v>2.5</v>
      </c>
      <c r="Y257" s="12" t="n">
        <v>2.5</v>
      </c>
      <c r="Z257" s="12" t="n">
        <v>2.5</v>
      </c>
      <c r="AA257" s="12" t="n">
        <v>2.5</v>
      </c>
      <c r="AB257" s="12" t="n">
        <v>2.5</v>
      </c>
      <c r="AC257" s="12" t="n">
        <v>2.5</v>
      </c>
      <c r="AD257" s="12" t="n">
        <v>2.5</v>
      </c>
      <c r="AE257" s="12" t="n">
        <v>2.5</v>
      </c>
      <c r="AF257" s="12" t="n">
        <v>2.5</v>
      </c>
      <c r="AG257" s="12" t="n">
        <v>2.5</v>
      </c>
      <c r="AH257" s="12" t="n">
        <v>2.5</v>
      </c>
      <c r="AI257" s="12" t="n">
        <v>2.5</v>
      </c>
      <c r="AJ257" s="12" t="n">
        <v>2.5</v>
      </c>
      <c r="AK257" s="12" t="n">
        <v>2.5</v>
      </c>
      <c r="AL257" s="12" t="n">
        <v>2.5</v>
      </c>
      <c r="AM257" s="12" t="n">
        <v>2.5</v>
      </c>
      <c r="AN257" s="12" t="n">
        <v>2.5</v>
      </c>
      <c r="AO257" s="12" t="n">
        <v>2.5</v>
      </c>
      <c r="AP257" s="12" t="n">
        <v>2.5</v>
      </c>
      <c r="AQ257" s="12" t="n">
        <v>2.5</v>
      </c>
      <c r="AR257" s="12" t="n">
        <v>2.5</v>
      </c>
      <c r="AS257" s="12" t="n">
        <v>2.5</v>
      </c>
      <c r="AT257" s="12" t="n">
        <v>2.5</v>
      </c>
      <c r="AU257" s="12" t="n">
        <v>2.5</v>
      </c>
      <c r="AV257" s="12" t="n">
        <v>2.5</v>
      </c>
      <c r="AW257" s="12" t="n">
        <v>2.5</v>
      </c>
      <c r="AX257" s="12" t="n">
        <v>2.5</v>
      </c>
      <c r="AY257" s="12" t="n">
        <v>2.5</v>
      </c>
      <c r="AZ257" s="12" t="n">
        <v>2.5</v>
      </c>
      <c r="BA257" s="12" t="n">
        <v>2.5</v>
      </c>
      <c r="BB257" s="12" t="n">
        <v>2.5</v>
      </c>
      <c r="BC257" s="12" t="n">
        <v>2.5</v>
      </c>
      <c r="BD257" s="12" t="n">
        <v>2.5</v>
      </c>
      <c r="BE257" s="12" t="n">
        <v>2.5</v>
      </c>
    </row>
    <row r="258" customFormat="false" ht="15" hidden="false" customHeight="false" outlineLevel="0" collapsed="false">
      <c r="D258" s="0" t="s">
        <v>290</v>
      </c>
      <c r="E258" s="0" t="s">
        <v>291</v>
      </c>
      <c r="J258" s="4" t="n">
        <v>20151</v>
      </c>
      <c r="K258" s="4" t="n">
        <v>20152</v>
      </c>
      <c r="L258" s="4" t="n">
        <v>20161</v>
      </c>
      <c r="M258" s="4" t="n">
        <v>20162</v>
      </c>
      <c r="N258" s="4" t="n">
        <v>20171</v>
      </c>
      <c r="O258" s="4" t="n">
        <v>20172</v>
      </c>
      <c r="P258" s="4" t="n">
        <v>20181</v>
      </c>
      <c r="Q258" s="4" t="n">
        <v>20182</v>
      </c>
      <c r="R258" s="4" t="n">
        <v>20191</v>
      </c>
      <c r="S258" s="4" t="n">
        <v>20192</v>
      </c>
      <c r="T258" s="4" t="n">
        <v>20201</v>
      </c>
      <c r="U258" s="4" t="n">
        <v>20202</v>
      </c>
      <c r="V258" s="4" t="n">
        <v>20211</v>
      </c>
      <c r="W258" s="4" t="n">
        <v>20212</v>
      </c>
      <c r="X258" s="4" t="n">
        <v>20221</v>
      </c>
      <c r="Y258" s="4" t="n">
        <v>20222</v>
      </c>
      <c r="Z258" s="4" t="n">
        <v>20231</v>
      </c>
      <c r="AA258" s="4" t="n">
        <v>20232</v>
      </c>
      <c r="AB258" s="4" t="n">
        <v>20241</v>
      </c>
      <c r="AC258" s="4" t="n">
        <v>20242</v>
      </c>
      <c r="AD258" s="4" t="n">
        <v>20251</v>
      </c>
      <c r="AE258" s="4" t="n">
        <v>20252</v>
      </c>
      <c r="AF258" s="4" t="n">
        <v>20261</v>
      </c>
      <c r="AG258" s="4" t="n">
        <v>20262</v>
      </c>
    </row>
    <row r="259" customFormat="false" ht="15" hidden="false" customHeight="false" outlineLevel="0" collapsed="false">
      <c r="D259" s="0" t="s">
        <v>292</v>
      </c>
      <c r="E259" s="0" t="s">
        <v>135</v>
      </c>
      <c r="J259" s="12" t="n">
        <v>2.31</v>
      </c>
      <c r="K259" s="12" t="n">
        <v>2.18</v>
      </c>
      <c r="L259" s="12" t="n">
        <v>2.02</v>
      </c>
      <c r="M259" s="12" t="n">
        <v>1.84</v>
      </c>
      <c r="N259" s="12" t="n">
        <v>1.79</v>
      </c>
      <c r="O259" s="12" t="n">
        <v>1.77</v>
      </c>
      <c r="P259" s="12" t="n">
        <v>1.94</v>
      </c>
      <c r="Q259" s="12" t="n">
        <v>1.98</v>
      </c>
      <c r="R259" s="12" t="n">
        <v>1.66</v>
      </c>
      <c r="S259" s="12" t="n">
        <v>0.92</v>
      </c>
      <c r="T259" s="12" t="n">
        <v>0.41</v>
      </c>
      <c r="U259" s="12" t="n">
        <v>0.11</v>
      </c>
      <c r="V259" s="12" t="n">
        <v>0.06</v>
      </c>
      <c r="W259" s="12" t="n">
        <v>0.07</v>
      </c>
      <c r="X259" s="12" t="n">
        <v>0.95</v>
      </c>
      <c r="Y259" s="12" t="n">
        <v>3.06</v>
      </c>
      <c r="Z259" s="12" t="n">
        <v>3.96</v>
      </c>
      <c r="AA259" s="12" t="n">
        <v>4.38</v>
      </c>
      <c r="AB259" s="12" t="n">
        <v>4.41</v>
      </c>
      <c r="AC259" s="12" t="n">
        <v>4.37</v>
      </c>
      <c r="AD259" s="12" t="n">
        <v>4.02</v>
      </c>
      <c r="AE259" s="12" t="n">
        <v>3.7</v>
      </c>
      <c r="AF259" s="12" t="n">
        <v>3.62</v>
      </c>
      <c r="AG259" s="12" t="n">
        <v>3.58</v>
      </c>
    </row>
    <row r="260" customFormat="false" ht="15" hidden="false" customHeight="false" outlineLevel="0" collapsed="false">
      <c r="D260" s="0" t="s">
        <v>293</v>
      </c>
      <c r="E260" s="0" t="s">
        <v>135</v>
      </c>
      <c r="F260" s="12" t="n">
        <v>3.5</v>
      </c>
    </row>
    <row r="261" customFormat="false" ht="15" hidden="false" customHeight="false" outlineLevel="0" collapsed="false">
      <c r="D261" s="0" t="s">
        <v>294</v>
      </c>
      <c r="E261" s="0" t="s">
        <v>291</v>
      </c>
      <c r="J261" s="4" t="n">
        <v>20191</v>
      </c>
      <c r="K261" s="4" t="n">
        <v>20192</v>
      </c>
      <c r="L261" s="4" t="n">
        <v>20201</v>
      </c>
      <c r="M261" s="4" t="n">
        <v>20202</v>
      </c>
      <c r="N261" s="4" t="n">
        <v>20211</v>
      </c>
      <c r="O261" s="4" t="n">
        <v>20212</v>
      </c>
      <c r="P261" s="4" t="n">
        <v>20221</v>
      </c>
      <c r="Q261" s="4" t="n">
        <v>20222</v>
      </c>
      <c r="R261" s="4" t="n">
        <v>20231</v>
      </c>
      <c r="S261" s="4" t="n">
        <v>20232</v>
      </c>
      <c r="T261" s="4" t="n">
        <v>20241</v>
      </c>
      <c r="U261" s="4" t="n">
        <v>20242</v>
      </c>
      <c r="V261" s="4" t="n">
        <v>20251</v>
      </c>
      <c r="W261" s="4" t="n">
        <v>20252</v>
      </c>
      <c r="X261" s="4" t="n">
        <v>20261</v>
      </c>
    </row>
    <row r="262" customFormat="false" ht="15" hidden="false" customHeight="false" outlineLevel="0" collapsed="false">
      <c r="D262" s="0" t="s">
        <v>295</v>
      </c>
      <c r="E262" s="0" t="s">
        <v>263</v>
      </c>
      <c r="J262" s="8" t="n">
        <v>28.1</v>
      </c>
      <c r="K262" s="8" t="n">
        <v>31.1</v>
      </c>
      <c r="L262" s="8" t="n">
        <v>21.4</v>
      </c>
      <c r="M262" s="8" t="n">
        <v>30</v>
      </c>
      <c r="N262" s="8" t="n">
        <v>31.8</v>
      </c>
      <c r="O262" s="8" t="n">
        <v>36</v>
      </c>
      <c r="P262" s="8" t="n">
        <v>39.1</v>
      </c>
      <c r="Q262" s="8" t="n">
        <v>41.3</v>
      </c>
      <c r="R262" s="8" t="n">
        <v>41.9</v>
      </c>
      <c r="S262" s="8" t="n">
        <v>43.3</v>
      </c>
      <c r="T262" s="8" t="n">
        <v>43.9</v>
      </c>
      <c r="U262" s="8" t="n">
        <v>45.5</v>
      </c>
      <c r="V262" s="8" t="n">
        <v>45.8</v>
      </c>
      <c r="W262" s="8" t="n">
        <v>46.8</v>
      </c>
      <c r="X262" s="8" t="n">
        <v>47.1</v>
      </c>
    </row>
    <row r="263" customFormat="false" ht="15" hidden="false" customHeight="false" outlineLevel="0" collapsed="false">
      <c r="D263" s="0" t="s">
        <v>296</v>
      </c>
      <c r="E263" s="0" t="s">
        <v>291</v>
      </c>
      <c r="J263" s="4" t="n">
        <v>20211</v>
      </c>
      <c r="K263" s="4" t="n">
        <v>20212</v>
      </c>
    </row>
    <row r="264" customFormat="false" ht="15" hidden="false" customHeight="false" outlineLevel="0" collapsed="false">
      <c r="D264" s="0" t="s">
        <v>297</v>
      </c>
      <c r="E264" s="0" t="s">
        <v>44</v>
      </c>
      <c r="J264" s="9" t="n">
        <v>22.5</v>
      </c>
      <c r="K264" s="9" t="n">
        <v>22.5</v>
      </c>
    </row>
    <row r="266" customFormat="false" ht="15" hidden="false" customHeight="false" outlineLevel="0" collapsed="false">
      <c r="D266" s="3" t="s">
        <v>298</v>
      </c>
    </row>
    <row r="267" customFormat="false" ht="15" hidden="false" customHeight="false" outlineLevel="0" collapsed="false">
      <c r="D267" s="0" t="s">
        <v>299</v>
      </c>
      <c r="E267" s="0" t="s">
        <v>105</v>
      </c>
      <c r="G267" s="21" t="n">
        <f aca="false">SUM(J267:DB267)</f>
        <v>0.95</v>
      </c>
      <c r="J267" s="22" t="n">
        <v>0.001632</v>
      </c>
      <c r="K267" s="22" t="n">
        <v>0.012858</v>
      </c>
      <c r="L267" s="22" t="n">
        <v>0.030959</v>
      </c>
      <c r="M267" s="22" t="n">
        <v>0.052023</v>
      </c>
      <c r="N267" s="22" t="n">
        <v>0.072788</v>
      </c>
      <c r="O267" s="22" t="n">
        <v>0.090645</v>
      </c>
      <c r="P267" s="22" t="n">
        <v>0.103637</v>
      </c>
      <c r="Q267" s="22" t="n">
        <v>0.110459</v>
      </c>
      <c r="R267" s="22" t="n">
        <v>0.110457</v>
      </c>
      <c r="S267" s="22" t="n">
        <v>0.103637</v>
      </c>
      <c r="T267" s="22" t="n">
        <v>0.090645</v>
      </c>
      <c r="U267" s="22" t="n">
        <v>0.072788</v>
      </c>
      <c r="V267" s="22" t="n">
        <v>0.052023</v>
      </c>
      <c r="W267" s="22" t="n">
        <v>0.030959</v>
      </c>
      <c r="X267" s="22" t="n">
        <v>0.012858</v>
      </c>
      <c r="Y267" s="22" t="n">
        <v>0.001632</v>
      </c>
      <c r="Z267" s="22" t="n">
        <v>0</v>
      </c>
      <c r="AA267" s="22" t="n">
        <v>0</v>
      </c>
      <c r="AB267" s="22" t="n">
        <v>0</v>
      </c>
      <c r="AC267" s="22" t="n">
        <v>0</v>
      </c>
      <c r="AD267" s="22" t="n">
        <v>0</v>
      </c>
      <c r="AE267" s="22" t="n">
        <v>0</v>
      </c>
      <c r="AF267" s="22" t="n">
        <v>0</v>
      </c>
      <c r="AG267" s="22" t="n">
        <v>0</v>
      </c>
      <c r="AH267" s="22" t="n">
        <v>0</v>
      </c>
      <c r="AI267" s="22" t="n">
        <v>0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0</v>
      </c>
      <c r="CS267" s="22" t="n">
        <v>0</v>
      </c>
      <c r="CT267" s="22" t="n">
        <v>0</v>
      </c>
      <c r="CU267" s="22" t="n">
        <v>0</v>
      </c>
      <c r="CV267" s="22" t="n">
        <v>0</v>
      </c>
      <c r="CW267" s="22" t="n">
        <v>0</v>
      </c>
      <c r="CX267" s="22" t="n">
        <v>0</v>
      </c>
      <c r="CY267" s="22" t="n">
        <v>0</v>
      </c>
      <c r="CZ267" s="22" t="n">
        <v>0</v>
      </c>
      <c r="DA267" s="22" t="n">
        <v>0</v>
      </c>
      <c r="DB267" s="22" t="n">
        <v>0</v>
      </c>
    </row>
    <row r="268" customFormat="false" ht="15" hidden="false" customHeight="false" outlineLevel="0" collapsed="false">
      <c r="D268" s="3" t="s">
        <v>300</v>
      </c>
    </row>
    <row r="269" customFormat="false" ht="15" hidden="false" customHeight="false" outlineLevel="0" collapsed="false">
      <c r="D269" s="0" t="s">
        <v>301</v>
      </c>
      <c r="E269" s="0" t="s">
        <v>44</v>
      </c>
      <c r="F269" s="23" t="n">
        <v>882.130169013</v>
      </c>
    </row>
    <row r="270" customFormat="false" ht="15" hidden="false" customHeight="false" outlineLevel="0" collapsed="false">
      <c r="D270" s="0" t="s">
        <v>151</v>
      </c>
      <c r="E270" s="0" t="s">
        <v>44</v>
      </c>
      <c r="F270" s="23" t="n">
        <v>464.134316116232</v>
      </c>
    </row>
    <row r="271" customFormat="false" ht="15" hidden="false" customHeight="false" outlineLevel="0" collapsed="false">
      <c r="D271" s="0" t="s">
        <v>302</v>
      </c>
      <c r="E271" s="0" t="s">
        <v>44</v>
      </c>
      <c r="F271" s="23" t="n">
        <v>379.715624010809</v>
      </c>
    </row>
    <row r="272" customFormat="false" ht="15" hidden="false" customHeight="false" outlineLevel="0" collapsed="false">
      <c r="D272" s="0" t="s">
        <v>303</v>
      </c>
      <c r="E272" s="0" t="s">
        <v>44</v>
      </c>
      <c r="G272" s="24" t="n">
        <f aca="false">SUM(J272:DB272)</f>
        <v>882.130169012998</v>
      </c>
      <c r="J272" s="25" t="n">
        <v>0</v>
      </c>
      <c r="K272" s="25" t="n">
        <v>0</v>
      </c>
      <c r="L272" s="25" t="n">
        <v>0</v>
      </c>
      <c r="M272" s="25" t="n">
        <v>0</v>
      </c>
      <c r="N272" s="25" t="n">
        <v>0</v>
      </c>
      <c r="O272" s="25" t="n">
        <v>0</v>
      </c>
      <c r="P272" s="25" t="n">
        <v>0</v>
      </c>
      <c r="Q272" s="25" t="n">
        <v>0</v>
      </c>
      <c r="R272" s="25" t="n">
        <v>0</v>
      </c>
      <c r="S272" s="25" t="n">
        <v>0</v>
      </c>
      <c r="T272" s="25" t="n">
        <v>0</v>
      </c>
      <c r="U272" s="25" t="n">
        <v>0</v>
      </c>
      <c r="V272" s="25" t="n">
        <v>0</v>
      </c>
      <c r="W272" s="25" t="n">
        <v>0</v>
      </c>
      <c r="X272" s="25" t="n">
        <v>0</v>
      </c>
      <c r="Y272" s="25" t="n">
        <v>0</v>
      </c>
      <c r="Z272" s="25" t="n">
        <v>0</v>
      </c>
      <c r="AA272" s="25" t="n">
        <v>0</v>
      </c>
      <c r="AB272" s="25" t="n">
        <v>0</v>
      </c>
      <c r="AC272" s="25" t="n">
        <v>0</v>
      </c>
      <c r="AD272" s="25" t="n">
        <v>0</v>
      </c>
      <c r="AE272" s="25" t="n">
        <v>0</v>
      </c>
      <c r="AF272" s="25" t="n">
        <v>0</v>
      </c>
      <c r="AG272" s="25" t="n">
        <v>0</v>
      </c>
      <c r="AH272" s="25" t="n">
        <v>0</v>
      </c>
      <c r="AI272" s="25" t="n">
        <v>0</v>
      </c>
      <c r="AJ272" s="25" t="n">
        <v>0</v>
      </c>
      <c r="AK272" s="25" t="n">
        <v>0</v>
      </c>
      <c r="AL272" s="25" t="n">
        <v>0</v>
      </c>
      <c r="AM272" s="25" t="n">
        <v>0</v>
      </c>
      <c r="AN272" s="25" t="n">
        <v>0</v>
      </c>
      <c r="AO272" s="25" t="n">
        <v>0</v>
      </c>
      <c r="AP272" s="25" t="n">
        <v>0</v>
      </c>
      <c r="AQ272" s="25" t="n">
        <v>0</v>
      </c>
      <c r="AR272" s="25" t="n">
        <v>0</v>
      </c>
      <c r="AS272" s="25" t="n">
        <v>0</v>
      </c>
      <c r="AT272" s="25" t="n">
        <v>0</v>
      </c>
      <c r="AU272" s="25" t="n">
        <v>0</v>
      </c>
      <c r="AV272" s="25" t="n">
        <v>0.00854143669764795</v>
      </c>
      <c r="AW272" s="25" t="n">
        <v>1.8188654606659</v>
      </c>
      <c r="AX272" s="25" t="n">
        <v>2.15380278569582</v>
      </c>
      <c r="AY272" s="25" t="n">
        <v>1.8477732657243</v>
      </c>
      <c r="AZ272" s="25" t="n">
        <v>2.2903340475361</v>
      </c>
      <c r="BA272" s="25" t="n">
        <v>3.41168840760226</v>
      </c>
      <c r="BB272" s="25" t="n">
        <v>3.7968561509099</v>
      </c>
      <c r="BC272" s="25" t="n">
        <v>8.24500633497842</v>
      </c>
      <c r="BD272" s="25" t="n">
        <v>8.76091863485227</v>
      </c>
      <c r="BE272" s="25" t="n">
        <v>11.7718202138285</v>
      </c>
      <c r="BF272" s="25" t="n">
        <v>12.3825236893896</v>
      </c>
      <c r="BG272" s="25" t="n">
        <v>14.0461196572116</v>
      </c>
      <c r="BH272" s="25" t="n">
        <v>14.859079928644</v>
      </c>
      <c r="BI272" s="25" t="n">
        <v>16.5676033597876</v>
      </c>
      <c r="BJ272" s="25" t="n">
        <v>17.3058378202104</v>
      </c>
      <c r="BK272" s="25" t="n">
        <v>19.3078290084499</v>
      </c>
      <c r="BL272" s="25" t="n">
        <v>20.1175910192576</v>
      </c>
      <c r="BM272" s="25" t="n">
        <v>22.2705533768037</v>
      </c>
      <c r="BN272" s="25" t="n">
        <v>23.1556018310152</v>
      </c>
      <c r="BO272" s="25" t="n">
        <v>18.4990703184665</v>
      </c>
      <c r="BP272" s="25" t="n">
        <v>19.4772861006713</v>
      </c>
      <c r="BQ272" s="25" t="n">
        <v>21.6141190179319</v>
      </c>
      <c r="BR272" s="25" t="n">
        <v>21.9991115570427</v>
      </c>
      <c r="BS272" s="25" t="n">
        <v>24.4409197504442</v>
      </c>
      <c r="BT272" s="25" t="n">
        <v>24.8798633454126</v>
      </c>
      <c r="BU272" s="25" t="n">
        <v>34.4655200693578</v>
      </c>
      <c r="BV272" s="25" t="n">
        <v>35.1451208728523</v>
      </c>
      <c r="BW272" s="25" t="n">
        <v>38.1031798545429</v>
      </c>
      <c r="BX272" s="25" t="n">
        <v>39.0986210314139</v>
      </c>
      <c r="BY272" s="25" t="n">
        <v>42.0056948052348</v>
      </c>
      <c r="BZ272" s="25" t="n">
        <v>42.8276691356576</v>
      </c>
      <c r="CA272" s="25" t="n">
        <v>41.6656098744902</v>
      </c>
      <c r="CB272" s="25" t="n">
        <v>42.4480859385433</v>
      </c>
      <c r="CC272" s="25" t="n">
        <v>45.8839385476507</v>
      </c>
      <c r="CD272" s="25" t="n">
        <v>46.7458778290808</v>
      </c>
      <c r="CE272" s="25" t="n">
        <v>48.2124009665059</v>
      </c>
      <c r="CF272" s="25" t="n">
        <v>43.1947119407219</v>
      </c>
      <c r="CG272" s="25" t="n">
        <v>47.3050216277163</v>
      </c>
      <c r="CH272" s="25" t="n">
        <v>0</v>
      </c>
      <c r="CI272" s="25" t="n">
        <v>0</v>
      </c>
      <c r="CJ272" s="25" t="n">
        <v>0</v>
      </c>
      <c r="CK272" s="25" t="n">
        <v>0</v>
      </c>
      <c r="CL272" s="25" t="n">
        <v>0</v>
      </c>
      <c r="CM272" s="25" t="n">
        <v>0</v>
      </c>
      <c r="CN272" s="25" t="n">
        <v>0</v>
      </c>
      <c r="CO272" s="25" t="n">
        <v>0</v>
      </c>
      <c r="CP272" s="25" t="n">
        <v>0</v>
      </c>
      <c r="CQ272" s="25" t="n">
        <v>0</v>
      </c>
      <c r="CR272" s="25" t="n">
        <v>0</v>
      </c>
      <c r="CS272" s="25" t="n">
        <v>0</v>
      </c>
      <c r="CT272" s="25" t="n">
        <v>0</v>
      </c>
      <c r="CU272" s="25" t="n">
        <v>0</v>
      </c>
      <c r="CV272" s="25" t="n">
        <v>0</v>
      </c>
      <c r="CW272" s="25" t="n">
        <v>0</v>
      </c>
      <c r="CX272" s="25" t="n">
        <v>0</v>
      </c>
      <c r="CY272" s="25" t="n">
        <v>0</v>
      </c>
      <c r="CZ272" s="25" t="n">
        <v>0</v>
      </c>
      <c r="DA272" s="25" t="n">
        <v>0</v>
      </c>
      <c r="DB272" s="25" t="n">
        <v>0</v>
      </c>
    </row>
    <row r="273" customFormat="false" ht="15" hidden="false" customHeight="false" outlineLevel="0" collapsed="false">
      <c r="D273" s="0" t="s">
        <v>304</v>
      </c>
      <c r="E273" s="0" t="s">
        <v>44</v>
      </c>
      <c r="G273" s="24" t="n">
        <f aca="false">SUM(J273:DB273)</f>
        <v>20.2259264458606</v>
      </c>
      <c r="J273" s="25" t="n">
        <v>0</v>
      </c>
      <c r="K273" s="25" t="n">
        <v>0</v>
      </c>
      <c r="L273" s="25" t="n">
        <v>0</v>
      </c>
      <c r="M273" s="25" t="n">
        <v>0</v>
      </c>
      <c r="N273" s="25" t="n">
        <v>0</v>
      </c>
      <c r="O273" s="25" t="n">
        <v>0</v>
      </c>
      <c r="P273" s="25" t="n">
        <v>0</v>
      </c>
      <c r="Q273" s="25" t="n">
        <v>0</v>
      </c>
      <c r="R273" s="25" t="n">
        <v>0</v>
      </c>
      <c r="S273" s="25" t="n">
        <v>0</v>
      </c>
      <c r="T273" s="25" t="n">
        <v>0</v>
      </c>
      <c r="U273" s="25" t="n">
        <v>0</v>
      </c>
      <c r="V273" s="25" t="n">
        <v>0</v>
      </c>
      <c r="W273" s="25" t="n">
        <v>0</v>
      </c>
      <c r="X273" s="25" t="n">
        <v>0</v>
      </c>
      <c r="Y273" s="25" t="n">
        <v>0</v>
      </c>
      <c r="Z273" s="25" t="n">
        <v>4.70870458287729</v>
      </c>
      <c r="AA273" s="25" t="n">
        <v>8.06522077756791</v>
      </c>
      <c r="AB273" s="25" t="n">
        <v>4.09445721388988</v>
      </c>
      <c r="AC273" s="25" t="n">
        <v>3.35754387152552</v>
      </c>
      <c r="AD273" s="25" t="n">
        <v>0</v>
      </c>
      <c r="AE273" s="25" t="n">
        <v>0</v>
      </c>
      <c r="AF273" s="25" t="n">
        <v>0</v>
      </c>
      <c r="AG273" s="25" t="n">
        <v>0</v>
      </c>
      <c r="AH273" s="25" t="n">
        <v>0</v>
      </c>
      <c r="AI273" s="25" t="n">
        <v>0</v>
      </c>
      <c r="AJ273" s="25" t="n">
        <v>0</v>
      </c>
      <c r="AK273" s="25" t="n">
        <v>0</v>
      </c>
      <c r="AL273" s="25" t="n">
        <v>0</v>
      </c>
      <c r="AM273" s="25" t="n">
        <v>0</v>
      </c>
      <c r="AN273" s="25" t="n">
        <v>0</v>
      </c>
      <c r="AO273" s="25" t="n">
        <v>0</v>
      </c>
      <c r="AP273" s="25" t="n">
        <v>0</v>
      </c>
      <c r="AQ273" s="25" t="n">
        <v>0</v>
      </c>
      <c r="AR273" s="25" t="n">
        <v>0</v>
      </c>
      <c r="AS273" s="25" t="n">
        <v>0</v>
      </c>
      <c r="AT273" s="25" t="n">
        <v>0</v>
      </c>
      <c r="AU273" s="25" t="n">
        <v>0</v>
      </c>
      <c r="AV273" s="25" t="n">
        <v>0</v>
      </c>
      <c r="AW273" s="25" t="n">
        <v>0</v>
      </c>
      <c r="AX273" s="25" t="n">
        <v>0</v>
      </c>
      <c r="AY273" s="25" t="n">
        <v>0</v>
      </c>
      <c r="AZ273" s="25" t="n">
        <v>0</v>
      </c>
      <c r="BA273" s="25" t="n">
        <v>0</v>
      </c>
      <c r="BB273" s="25" t="n">
        <v>0</v>
      </c>
      <c r="BC273" s="25" t="n">
        <v>0</v>
      </c>
      <c r="BD273" s="25" t="n">
        <v>0</v>
      </c>
      <c r="BE273" s="25" t="n">
        <v>0</v>
      </c>
      <c r="BF273" s="25" t="n">
        <v>0</v>
      </c>
      <c r="BG273" s="25" t="n">
        <v>0</v>
      </c>
      <c r="BH273" s="25" t="n">
        <v>0</v>
      </c>
      <c r="BI273" s="25" t="n">
        <v>0</v>
      </c>
      <c r="BJ273" s="25" t="n">
        <v>0</v>
      </c>
      <c r="BK273" s="25" t="n">
        <v>0</v>
      </c>
      <c r="BL273" s="25" t="n">
        <v>0</v>
      </c>
      <c r="BM273" s="25" t="n">
        <v>0</v>
      </c>
      <c r="BN273" s="25" t="n">
        <v>0</v>
      </c>
      <c r="BO273" s="25" t="n">
        <v>0</v>
      </c>
      <c r="BP273" s="25" t="n">
        <v>0</v>
      </c>
      <c r="BQ273" s="25" t="n">
        <v>0</v>
      </c>
      <c r="BR273" s="25" t="n">
        <v>0</v>
      </c>
      <c r="BS273" s="25" t="n">
        <v>0</v>
      </c>
      <c r="BT273" s="25" t="n">
        <v>0</v>
      </c>
      <c r="BU273" s="25" t="n">
        <v>0</v>
      </c>
      <c r="BV273" s="25" t="n">
        <v>0</v>
      </c>
      <c r="BW273" s="25" t="n">
        <v>0</v>
      </c>
      <c r="BX273" s="25" t="n">
        <v>0</v>
      </c>
      <c r="BY273" s="25" t="n">
        <v>0</v>
      </c>
      <c r="BZ273" s="25" t="n">
        <v>0</v>
      </c>
      <c r="CA273" s="25" t="n">
        <v>0</v>
      </c>
      <c r="CB273" s="25" t="n">
        <v>0</v>
      </c>
      <c r="CC273" s="25" t="n">
        <v>0</v>
      </c>
      <c r="CD273" s="25" t="n">
        <v>0</v>
      </c>
      <c r="CE273" s="25" t="n">
        <v>0</v>
      </c>
      <c r="CF273" s="25" t="n">
        <v>0</v>
      </c>
      <c r="CG273" s="25" t="n">
        <v>0</v>
      </c>
      <c r="CH273" s="25" t="n">
        <v>0</v>
      </c>
      <c r="CI273" s="25" t="n">
        <v>0</v>
      </c>
      <c r="CJ273" s="25" t="n">
        <v>0</v>
      </c>
      <c r="CK273" s="25" t="n">
        <v>0</v>
      </c>
      <c r="CL273" s="25" t="n">
        <v>0</v>
      </c>
      <c r="CM273" s="25" t="n">
        <v>0</v>
      </c>
      <c r="CN273" s="25" t="n">
        <v>0</v>
      </c>
      <c r="CO273" s="25" t="n">
        <v>0</v>
      </c>
      <c r="CP273" s="25" t="n">
        <v>0</v>
      </c>
      <c r="CQ273" s="25" t="n">
        <v>0</v>
      </c>
      <c r="CR273" s="25" t="n">
        <v>0</v>
      </c>
      <c r="CS273" s="25" t="n">
        <v>0</v>
      </c>
      <c r="CT273" s="25" t="n">
        <v>0</v>
      </c>
      <c r="CU273" s="25" t="n">
        <v>0</v>
      </c>
      <c r="CV273" s="25" t="n">
        <v>0</v>
      </c>
      <c r="CW273" s="25" t="n">
        <v>0</v>
      </c>
      <c r="CX273" s="25" t="n">
        <v>0</v>
      </c>
      <c r="CY273" s="25" t="n">
        <v>0</v>
      </c>
      <c r="CZ273" s="25" t="n">
        <v>0</v>
      </c>
      <c r="DA273" s="25" t="n">
        <v>0</v>
      </c>
      <c r="DB273" s="25" t="n">
        <v>0</v>
      </c>
    </row>
    <row r="274" customFormat="false" ht="15" hidden="false" customHeight="false" outlineLevel="0" collapsed="false">
      <c r="D274" s="0" t="s">
        <v>305</v>
      </c>
      <c r="E274" s="0" t="s">
        <v>44</v>
      </c>
      <c r="G274" s="24" t="n">
        <f aca="false">SUM(J274:DB274)</f>
        <v>568.169265647343</v>
      </c>
      <c r="J274" s="25" t="n">
        <v>0</v>
      </c>
      <c r="K274" s="25" t="n">
        <v>0</v>
      </c>
      <c r="L274" s="25" t="n">
        <v>0</v>
      </c>
      <c r="M274" s="25" t="n">
        <v>0</v>
      </c>
      <c r="N274" s="25" t="n">
        <v>0</v>
      </c>
      <c r="O274" s="25" t="n">
        <v>0</v>
      </c>
      <c r="P274" s="25" t="n">
        <v>0</v>
      </c>
      <c r="Q274" s="25" t="n">
        <v>0</v>
      </c>
      <c r="R274" s="25" t="n">
        <v>0</v>
      </c>
      <c r="S274" s="25" t="n">
        <v>0</v>
      </c>
      <c r="T274" s="25" t="n">
        <v>0</v>
      </c>
      <c r="U274" s="25" t="n">
        <v>0</v>
      </c>
      <c r="V274" s="25" t="n">
        <v>0</v>
      </c>
      <c r="W274" s="25" t="n">
        <v>0</v>
      </c>
      <c r="X274" s="25" t="n">
        <v>0</v>
      </c>
      <c r="Y274" s="25" t="n">
        <v>0</v>
      </c>
      <c r="Z274" s="25" t="n">
        <v>0</v>
      </c>
      <c r="AA274" s="25" t="n">
        <v>0</v>
      </c>
      <c r="AB274" s="25" t="n">
        <v>0</v>
      </c>
      <c r="AC274" s="25" t="n">
        <v>0</v>
      </c>
      <c r="AD274" s="25" t="n">
        <v>0</v>
      </c>
      <c r="AE274" s="25" t="n">
        <v>0</v>
      </c>
      <c r="AF274" s="25" t="n">
        <v>0</v>
      </c>
      <c r="AG274" s="25" t="n">
        <v>0</v>
      </c>
      <c r="AH274" s="25" t="n">
        <v>0</v>
      </c>
      <c r="AI274" s="25" t="n">
        <v>0</v>
      </c>
      <c r="AJ274" s="25" t="n">
        <v>1.16295003985589</v>
      </c>
      <c r="AK274" s="25" t="n">
        <v>0</v>
      </c>
      <c r="AL274" s="25" t="n">
        <v>0</v>
      </c>
      <c r="AM274" s="25" t="n">
        <v>0</v>
      </c>
      <c r="AN274" s="25" t="n">
        <v>0</v>
      </c>
      <c r="AO274" s="25" t="n">
        <v>0</v>
      </c>
      <c r="AP274" s="25" t="n">
        <v>0.207721560034845</v>
      </c>
      <c r="AQ274" s="25" t="n">
        <v>0</v>
      </c>
      <c r="AR274" s="25" t="n">
        <v>0</v>
      </c>
      <c r="AS274" s="25" t="n">
        <v>0</v>
      </c>
      <c r="AT274" s="25" t="n">
        <v>0</v>
      </c>
      <c r="AU274" s="25" t="n">
        <v>0.380177994339237</v>
      </c>
      <c r="AV274" s="25" t="n">
        <v>0.812983622138857</v>
      </c>
      <c r="AW274" s="25" t="n">
        <v>1.49805291943913</v>
      </c>
      <c r="AX274" s="25" t="n">
        <v>1.70404046116088</v>
      </c>
      <c r="AY274" s="25" t="n">
        <v>1.51654818799883</v>
      </c>
      <c r="AZ274" s="25" t="n">
        <v>1.74420799756022</v>
      </c>
      <c r="BA274" s="25" t="n">
        <v>2.16059935514077</v>
      </c>
      <c r="BB274" s="25" t="n">
        <v>2.37923413408387</v>
      </c>
      <c r="BC274" s="25" t="n">
        <v>4.12560890567634</v>
      </c>
      <c r="BD274" s="25" t="n">
        <v>4.37537065294437</v>
      </c>
      <c r="BE274" s="25" t="n">
        <v>5.51324602351582</v>
      </c>
      <c r="BF274" s="25" t="n">
        <v>5.78448100914656</v>
      </c>
      <c r="BG274" s="25" t="n">
        <v>6.37133875234303</v>
      </c>
      <c r="BH274" s="25" t="n">
        <v>6.69180870649548</v>
      </c>
      <c r="BI274" s="25" t="n">
        <v>7.29065678670304</v>
      </c>
      <c r="BJ274" s="25" t="n">
        <v>7.58769896359983</v>
      </c>
      <c r="BK274" s="25" t="n">
        <v>8.27375474236911</v>
      </c>
      <c r="BL274" s="25" t="n">
        <v>8.58483890186792</v>
      </c>
      <c r="BM274" s="25" t="n">
        <v>9.31842687558383</v>
      </c>
      <c r="BN274" s="25" t="n">
        <v>9.64362902715235</v>
      </c>
      <c r="BO274" s="25" t="n">
        <v>7.58274461953063</v>
      </c>
      <c r="BP274" s="25" t="n">
        <v>7.93930584936783</v>
      </c>
      <c r="BQ274" s="25" t="n">
        <v>8.68456314477735</v>
      </c>
      <c r="BR274" s="25" t="n">
        <v>8.80165228387526</v>
      </c>
      <c r="BS274" s="25" t="n">
        <v>9.63836067351253</v>
      </c>
      <c r="BT274" s="25" t="n">
        <v>9.7611391621134</v>
      </c>
      <c r="BU274" s="25" t="n">
        <v>13.4976111081573</v>
      </c>
      <c r="BV274" s="25" t="n">
        <v>13.6695075381271</v>
      </c>
      <c r="BW274" s="25" t="n">
        <v>14.6517609168806</v>
      </c>
      <c r="BX274" s="25" t="n">
        <v>14.9115457052276</v>
      </c>
      <c r="BY274" s="25" t="n">
        <v>15.8692326890171</v>
      </c>
      <c r="BZ274" s="25" t="n">
        <v>16.0531685853623</v>
      </c>
      <c r="CA274" s="25" t="n">
        <v>15.3095487024017</v>
      </c>
      <c r="CB274" s="25" t="n">
        <v>15.4718386291519</v>
      </c>
      <c r="CC274" s="25" t="n">
        <v>16.6002782175154</v>
      </c>
      <c r="CD274" s="25" t="n">
        <v>16.7690922334504</v>
      </c>
      <c r="CE274" s="25" t="n">
        <v>17.0679987044056</v>
      </c>
      <c r="CF274" s="25" t="n">
        <v>14.8010055916905</v>
      </c>
      <c r="CG274" s="25" t="n">
        <v>16.2052073255819</v>
      </c>
      <c r="CH274" s="25" t="n">
        <v>22.6387528773424</v>
      </c>
      <c r="CI274" s="25" t="n">
        <v>24.1319203720971</v>
      </c>
      <c r="CJ274" s="25" t="n">
        <v>24.2485893301882</v>
      </c>
      <c r="CK274" s="25" t="n">
        <v>29.8108964365842</v>
      </c>
      <c r="CL274" s="25" t="n">
        <v>27.419817318878</v>
      </c>
      <c r="CM274" s="25" t="n">
        <v>29.0933152817809</v>
      </c>
      <c r="CN274" s="25" t="n">
        <v>29.4158943737417</v>
      </c>
      <c r="CO274" s="25" t="n">
        <v>30.9971423574338</v>
      </c>
      <c r="CP274" s="25" t="n">
        <v>0</v>
      </c>
      <c r="CQ274" s="25" t="n">
        <v>0</v>
      </c>
      <c r="CR274" s="25" t="n">
        <v>0</v>
      </c>
      <c r="CS274" s="25" t="n">
        <v>0</v>
      </c>
      <c r="CT274" s="25" t="n">
        <v>0</v>
      </c>
      <c r="CU274" s="25" t="n">
        <v>0</v>
      </c>
      <c r="CV274" s="25" t="n">
        <v>0</v>
      </c>
      <c r="CW274" s="25" t="n">
        <v>0</v>
      </c>
      <c r="CX274" s="25" t="n">
        <v>0</v>
      </c>
      <c r="CY274" s="25" t="n">
        <v>0</v>
      </c>
      <c r="CZ274" s="25" t="n">
        <v>0</v>
      </c>
      <c r="DA274" s="25" t="n">
        <v>0</v>
      </c>
      <c r="DB274" s="25" t="n">
        <v>0</v>
      </c>
    </row>
    <row r="275" customFormat="false" ht="15" hidden="false" customHeight="false" outlineLevel="0" collapsed="false">
      <c r="D275" s="0" t="s">
        <v>306</v>
      </c>
      <c r="E275" s="0" t="s">
        <v>44</v>
      </c>
      <c r="G275" s="24" t="n">
        <f aca="false">SUM(J275:DB275)</f>
        <v>4809.26982214448</v>
      </c>
      <c r="J275" s="25" t="n">
        <v>0</v>
      </c>
      <c r="K275" s="25" t="n">
        <v>0</v>
      </c>
      <c r="L275" s="25" t="n">
        <v>0</v>
      </c>
      <c r="M275" s="25" t="n">
        <v>0</v>
      </c>
      <c r="N275" s="25" t="n">
        <v>0</v>
      </c>
      <c r="O275" s="25" t="n">
        <v>0</v>
      </c>
      <c r="P275" s="25" t="n">
        <v>0</v>
      </c>
      <c r="Q275" s="25" t="n">
        <v>0</v>
      </c>
      <c r="R275" s="25" t="n">
        <v>0</v>
      </c>
      <c r="S275" s="25" t="n">
        <v>0</v>
      </c>
      <c r="T275" s="25" t="n">
        <v>0</v>
      </c>
      <c r="U275" s="25" t="n">
        <v>0</v>
      </c>
      <c r="V275" s="25" t="n">
        <v>0</v>
      </c>
      <c r="W275" s="25" t="n">
        <v>0</v>
      </c>
      <c r="X275" s="25" t="n">
        <v>0</v>
      </c>
      <c r="Y275" s="25" t="n">
        <v>0</v>
      </c>
      <c r="Z275" s="25" t="n">
        <v>7.61387530212544</v>
      </c>
      <c r="AA275" s="25" t="n">
        <v>16.2593728499346</v>
      </c>
      <c r="AB275" s="25" t="n">
        <v>21.6242201084219</v>
      </c>
      <c r="AC275" s="25" t="n">
        <v>23.1968828126326</v>
      </c>
      <c r="AD275" s="25" t="n">
        <v>27.5049983209575</v>
      </c>
      <c r="AE275" s="25" t="n">
        <v>29.4163758592099</v>
      </c>
      <c r="AF275" s="25" t="n">
        <v>32.6694929376555</v>
      </c>
      <c r="AG275" s="25" t="n">
        <v>34.7285555411321</v>
      </c>
      <c r="AH275" s="25" t="n">
        <v>37.2523234659526</v>
      </c>
      <c r="AI275" s="25" t="n">
        <v>36.2649561390429</v>
      </c>
      <c r="AJ275" s="25" t="n">
        <v>36.7357951173162</v>
      </c>
      <c r="AK275" s="25" t="n">
        <v>38.6914564403622</v>
      </c>
      <c r="AL275" s="25" t="n">
        <v>38.9577986520741</v>
      </c>
      <c r="AM275" s="25" t="n">
        <v>41.2599648113765</v>
      </c>
      <c r="AN275" s="25" t="n">
        <v>41.5422354970617</v>
      </c>
      <c r="AO275" s="25" t="n">
        <v>47.165490778131</v>
      </c>
      <c r="AP275" s="25" t="n">
        <v>47.4624093478134</v>
      </c>
      <c r="AQ275" s="25" t="n">
        <v>39.7251285762564</v>
      </c>
      <c r="AR275" s="25" t="n">
        <v>40.3176811801181</v>
      </c>
      <c r="AS275" s="25" t="n">
        <v>42.7279433976428</v>
      </c>
      <c r="AT275" s="25" t="n">
        <v>43.0604452436419</v>
      </c>
      <c r="AU275" s="25" t="n">
        <v>45.8979698932259</v>
      </c>
      <c r="AV275" s="25" t="n">
        <v>46.2495574332394</v>
      </c>
      <c r="AW275" s="25" t="n">
        <v>50.8944466963001</v>
      </c>
      <c r="AX275" s="25" t="n">
        <v>50.8337186470046</v>
      </c>
      <c r="AY275" s="25" t="n">
        <v>49.670217399359</v>
      </c>
      <c r="AZ275" s="25" t="n">
        <v>49.9507975291599</v>
      </c>
      <c r="BA275" s="25" t="n">
        <v>52.4660461586948</v>
      </c>
      <c r="BB275" s="25" t="n">
        <v>52.4023222901665</v>
      </c>
      <c r="BC275" s="25" t="n">
        <v>63.6879129658572</v>
      </c>
      <c r="BD275" s="25" t="n">
        <v>63.6236203404649</v>
      </c>
      <c r="BE275" s="25" t="n">
        <v>70.6749355165711</v>
      </c>
      <c r="BF275" s="25" t="n">
        <v>70.6099576101535</v>
      </c>
      <c r="BG275" s="25" t="n">
        <v>73.8601117348231</v>
      </c>
      <c r="BH275" s="25" t="n">
        <v>74.1999512629992</v>
      </c>
      <c r="BI275" s="25" t="n">
        <v>77.192251077517</v>
      </c>
      <c r="BJ275" s="25" t="n">
        <v>77.1232949837578</v>
      </c>
      <c r="BK275" s="25" t="n">
        <v>80.6786257756089</v>
      </c>
      <c r="BL275" s="25" t="n">
        <v>80.6086229156374</v>
      </c>
      <c r="BM275" s="25" t="n">
        <v>84.2923236932482</v>
      </c>
      <c r="BN275" s="25" t="n">
        <v>84.2187694483084</v>
      </c>
      <c r="BO275" s="25" t="n">
        <v>69.4656884855112</v>
      </c>
      <c r="BP275" s="25" t="n">
        <v>69.8772222080626</v>
      </c>
      <c r="BQ275" s="25" t="n">
        <v>73.4094814009894</v>
      </c>
      <c r="BR275" s="25" t="n">
        <v>72.5224733362084</v>
      </c>
      <c r="BS275" s="25" t="n">
        <v>76.6195195102172</v>
      </c>
      <c r="BT275" s="25" t="n">
        <v>75.7039464507355</v>
      </c>
      <c r="BU275" s="25" t="n">
        <v>98.5434116141919</v>
      </c>
      <c r="BV275" s="25" t="n">
        <v>97.5981998581381</v>
      </c>
      <c r="BW275" s="25" t="n">
        <v>101.980212768959</v>
      </c>
      <c r="BX275" s="25" t="n">
        <v>101.562227921722</v>
      </c>
      <c r="BY275" s="25" t="n">
        <v>105.53347517156</v>
      </c>
      <c r="BZ275" s="25" t="n">
        <v>104.525680085656</v>
      </c>
      <c r="CA275" s="25" t="n">
        <v>97.1957306301451</v>
      </c>
      <c r="CB275" s="25" t="n">
        <v>96.1549476778556</v>
      </c>
      <c r="CC275" s="25" t="n">
        <v>100.988209302363</v>
      </c>
      <c r="CD275" s="25" t="n">
        <v>99.9132783064534</v>
      </c>
      <c r="CE275" s="25" t="n">
        <v>99.0891447654632</v>
      </c>
      <c r="CF275" s="25" t="n">
        <v>98.6186091646429</v>
      </c>
      <c r="CG275" s="25" t="n">
        <v>105.551523707267</v>
      </c>
      <c r="CH275" s="25" t="n">
        <v>104.166484734213</v>
      </c>
      <c r="CI275" s="25" t="n">
        <v>109.51691504933</v>
      </c>
      <c r="CJ275" s="25" t="n">
        <v>108.087771848347</v>
      </c>
      <c r="CK275" s="25" t="n">
        <v>119.420665072768</v>
      </c>
      <c r="CL275" s="25" t="n">
        <v>117.946009856281</v>
      </c>
      <c r="CM275" s="25" t="n">
        <v>123.672291542128</v>
      </c>
      <c r="CN275" s="25" t="n">
        <v>122.886573693313</v>
      </c>
      <c r="CO275" s="25" t="n">
        <v>128.055505353445</v>
      </c>
      <c r="CP275" s="25" t="n">
        <v>107.351766877558</v>
      </c>
      <c r="CQ275" s="25" t="n">
        <v>0</v>
      </c>
      <c r="CR275" s="25" t="n">
        <v>0</v>
      </c>
      <c r="CS275" s="25" t="n">
        <v>0</v>
      </c>
      <c r="CT275" s="25" t="n">
        <v>0</v>
      </c>
      <c r="CU275" s="25" t="n">
        <v>0</v>
      </c>
      <c r="CV275" s="25" t="n">
        <v>0</v>
      </c>
      <c r="CW275" s="25" t="n">
        <v>0</v>
      </c>
      <c r="CX275" s="25" t="n">
        <v>0</v>
      </c>
      <c r="CY275" s="25" t="n">
        <v>0</v>
      </c>
      <c r="CZ275" s="25" t="n">
        <v>0</v>
      </c>
      <c r="DA275" s="25" t="n">
        <v>0</v>
      </c>
      <c r="DB275" s="25" t="n">
        <v>0</v>
      </c>
    </row>
    <row r="276" customFormat="false" ht="15" hidden="false" customHeight="false" outlineLevel="0" collapsed="false">
      <c r="D276" s="3" t="s">
        <v>307</v>
      </c>
    </row>
    <row r="277" customFormat="false" ht="15" hidden="false" customHeight="false" outlineLevel="0" collapsed="false">
      <c r="D277" s="0" t="s">
        <v>308</v>
      </c>
      <c r="E277" s="0" t="s">
        <v>44</v>
      </c>
      <c r="G277" s="24" t="n">
        <f aca="false">SUM(J277:DB277)</f>
        <v>614.926495333081</v>
      </c>
      <c r="J277" s="25" t="n">
        <v>0</v>
      </c>
      <c r="K277" s="25" t="n">
        <v>0</v>
      </c>
      <c r="L277" s="25" t="n">
        <v>0</v>
      </c>
      <c r="M277" s="25" t="n">
        <v>0</v>
      </c>
      <c r="N277" s="25" t="n">
        <v>0</v>
      </c>
      <c r="O277" s="25" t="n">
        <v>0</v>
      </c>
      <c r="P277" s="25" t="n">
        <v>0</v>
      </c>
      <c r="Q277" s="25" t="n">
        <v>0</v>
      </c>
      <c r="R277" s="25" t="n">
        <v>0</v>
      </c>
      <c r="S277" s="25" t="n">
        <v>0</v>
      </c>
      <c r="T277" s="25" t="n">
        <v>0</v>
      </c>
      <c r="U277" s="25" t="n">
        <v>0</v>
      </c>
      <c r="V277" s="25" t="n">
        <v>0</v>
      </c>
      <c r="W277" s="25" t="n">
        <v>0</v>
      </c>
      <c r="X277" s="25" t="n">
        <v>0</v>
      </c>
      <c r="Y277" s="25" t="n">
        <v>0</v>
      </c>
      <c r="Z277" s="25" t="n">
        <v>0</v>
      </c>
      <c r="AA277" s="25" t="n">
        <v>0</v>
      </c>
      <c r="AB277" s="25" t="n">
        <v>0</v>
      </c>
      <c r="AC277" s="25" t="n">
        <v>0</v>
      </c>
      <c r="AD277" s="25" t="n">
        <v>0</v>
      </c>
      <c r="AE277" s="25" t="n">
        <v>0</v>
      </c>
      <c r="AF277" s="25" t="n">
        <v>0</v>
      </c>
      <c r="AG277" s="25" t="n">
        <v>0</v>
      </c>
      <c r="AH277" s="25" t="n">
        <v>0</v>
      </c>
      <c r="AI277" s="25" t="n">
        <v>0</v>
      </c>
      <c r="AJ277" s="25" t="n">
        <v>0</v>
      </c>
      <c r="AK277" s="25" t="n">
        <v>0</v>
      </c>
      <c r="AL277" s="25" t="n">
        <v>0</v>
      </c>
      <c r="AM277" s="25" t="n">
        <v>0</v>
      </c>
      <c r="AN277" s="25" t="n">
        <v>0</v>
      </c>
      <c r="AO277" s="25" t="n">
        <v>0</v>
      </c>
      <c r="AP277" s="25" t="n">
        <v>0.10273278701443</v>
      </c>
      <c r="AQ277" s="25" t="n">
        <v>0</v>
      </c>
      <c r="AR277" s="25" t="n">
        <v>0</v>
      </c>
      <c r="AS277" s="25" t="n">
        <v>0</v>
      </c>
      <c r="AT277" s="25" t="n">
        <v>0</v>
      </c>
      <c r="AU277" s="25" t="n">
        <v>0</v>
      </c>
      <c r="AV277" s="25" t="n">
        <v>0</v>
      </c>
      <c r="AW277" s="25" t="n">
        <v>0.748954173588416</v>
      </c>
      <c r="AX277" s="25" t="n">
        <v>0.791408079831591</v>
      </c>
      <c r="AY277" s="25" t="n">
        <v>0.204304394943771</v>
      </c>
      <c r="AZ277" s="25" t="n">
        <v>0.348908822575057</v>
      </c>
      <c r="BA277" s="25" t="n">
        <v>0.103400775216947</v>
      </c>
      <c r="BB277" s="25" t="n">
        <v>0</v>
      </c>
      <c r="BC277" s="25" t="n">
        <v>5.52756088138232</v>
      </c>
      <c r="BD277" s="25" t="n">
        <v>5.69658756471544</v>
      </c>
      <c r="BE277" s="25" t="n">
        <v>8.45279335883729</v>
      </c>
      <c r="BF277" s="25" t="n">
        <v>7.67262311047827</v>
      </c>
      <c r="BG277" s="25" t="n">
        <v>7.0356878136811</v>
      </c>
      <c r="BH277" s="25" t="n">
        <v>7.2833114971834</v>
      </c>
      <c r="BI277" s="25" t="n">
        <v>8.1836935366804</v>
      </c>
      <c r="BJ277" s="25" t="n">
        <v>8.34378590086599</v>
      </c>
      <c r="BK277" s="25" t="n">
        <v>9.4196633726061</v>
      </c>
      <c r="BL277" s="25" t="n">
        <v>9.60884043282316</v>
      </c>
      <c r="BM277" s="25" t="n">
        <v>10.7515096206289</v>
      </c>
      <c r="BN277" s="25" t="n">
        <v>10.9719611775153</v>
      </c>
      <c r="BO277" s="25" t="n">
        <v>4.86255599784799</v>
      </c>
      <c r="BP277" s="25" t="n">
        <v>5.09223264059846</v>
      </c>
      <c r="BQ277" s="25" t="n">
        <v>6.08627730684115</v>
      </c>
      <c r="BR277" s="25" t="n">
        <v>5.99581926776035</v>
      </c>
      <c r="BS277" s="25" t="n">
        <v>7.15359570631784</v>
      </c>
      <c r="BT277" s="25" t="n">
        <v>7.0807825321737</v>
      </c>
      <c r="BU277" s="25" t="n">
        <v>21.6525993624612</v>
      </c>
      <c r="BV277" s="25" t="n">
        <v>21.9108637415731</v>
      </c>
      <c r="BW277" s="25" t="n">
        <v>18.514424419685</v>
      </c>
      <c r="BX277" s="25" t="n">
        <v>17.739133389643</v>
      </c>
      <c r="BY277" s="25" t="n">
        <v>19.1037340520449</v>
      </c>
      <c r="BZ277" s="25" t="n">
        <v>19.2733558496443</v>
      </c>
      <c r="CA277" s="25" t="n">
        <v>16.131673541607</v>
      </c>
      <c r="CB277" s="25" t="n">
        <v>16.2311735731157</v>
      </c>
      <c r="CC277" s="25" t="n">
        <v>17.7884736663117</v>
      </c>
      <c r="CD277" s="25" t="n">
        <v>17.9176800920126</v>
      </c>
      <c r="CE277" s="25" t="n">
        <v>17.2687572031878</v>
      </c>
      <c r="CF277" s="25" t="n">
        <v>17.5528345503154</v>
      </c>
      <c r="CG277" s="25" t="n">
        <v>32.2895890690119</v>
      </c>
      <c r="CH277" s="25" t="n">
        <v>24.2110285404821</v>
      </c>
      <c r="CI277" s="25" t="n">
        <v>26.0745519731535</v>
      </c>
      <c r="CJ277" s="25" t="n">
        <v>26.3653592378864</v>
      </c>
      <c r="CK277" s="25" t="n">
        <v>34.7825198829638</v>
      </c>
      <c r="CL277" s="25" t="n">
        <v>31.2354001781786</v>
      </c>
      <c r="CM277" s="25" t="n">
        <v>26.1111556952551</v>
      </c>
      <c r="CN277" s="25" t="n">
        <v>26.6595857388212</v>
      </c>
      <c r="CO277" s="25" t="n">
        <v>28.5936108236194</v>
      </c>
      <c r="CP277" s="25" t="n">
        <v>0</v>
      </c>
      <c r="CQ277" s="25" t="n">
        <v>0</v>
      </c>
      <c r="CR277" s="25" t="n">
        <v>0</v>
      </c>
      <c r="CS277" s="25" t="n">
        <v>0</v>
      </c>
      <c r="CT277" s="25" t="n">
        <v>0</v>
      </c>
      <c r="CU277" s="25" t="n">
        <v>0</v>
      </c>
      <c r="CV277" s="25" t="n">
        <v>0</v>
      </c>
      <c r="CW277" s="25" t="n">
        <v>0</v>
      </c>
      <c r="CX277" s="25" t="n">
        <v>0</v>
      </c>
      <c r="CY277" s="25" t="n">
        <v>0</v>
      </c>
      <c r="CZ277" s="25" t="n">
        <v>0</v>
      </c>
      <c r="DA277" s="25" t="n">
        <v>0</v>
      </c>
      <c r="DB277" s="25" t="n">
        <v>0</v>
      </c>
    </row>
    <row r="278" customFormat="false" ht="15" hidden="false" customHeight="false" outlineLevel="0" collapsed="false">
      <c r="D278" s="0" t="s">
        <v>309</v>
      </c>
      <c r="E278" s="0" t="s">
        <v>44</v>
      </c>
      <c r="G278" s="24" t="n">
        <f aca="false">SUM(J278:DB278)</f>
        <v>604.679994234158</v>
      </c>
      <c r="J278" s="25" t="n">
        <v>0</v>
      </c>
      <c r="K278" s="25" t="n">
        <v>0</v>
      </c>
      <c r="L278" s="25" t="n">
        <v>0</v>
      </c>
      <c r="M278" s="25" t="n">
        <v>0</v>
      </c>
      <c r="N278" s="25" t="n">
        <v>0</v>
      </c>
      <c r="O278" s="25" t="n">
        <v>0</v>
      </c>
      <c r="P278" s="25" t="n">
        <v>0</v>
      </c>
      <c r="Q278" s="25" t="n">
        <v>0</v>
      </c>
      <c r="R278" s="25" t="n">
        <v>0</v>
      </c>
      <c r="S278" s="25" t="n">
        <v>0</v>
      </c>
      <c r="T278" s="25" t="n">
        <v>0</v>
      </c>
      <c r="U278" s="25" t="n">
        <v>0</v>
      </c>
      <c r="V278" s="25" t="n">
        <v>0</v>
      </c>
      <c r="W278" s="25" t="n">
        <v>0</v>
      </c>
      <c r="X278" s="25" t="n">
        <v>0</v>
      </c>
      <c r="Y278" s="25" t="n">
        <v>0</v>
      </c>
      <c r="Z278" s="25" t="n">
        <v>0</v>
      </c>
      <c r="AA278" s="25" t="n">
        <v>0</v>
      </c>
      <c r="AB278" s="25" t="n">
        <v>0</v>
      </c>
      <c r="AC278" s="25" t="n">
        <v>0</v>
      </c>
      <c r="AD278" s="25" t="n">
        <v>0</v>
      </c>
      <c r="AE278" s="25" t="n">
        <v>0</v>
      </c>
      <c r="AF278" s="25" t="n">
        <v>0</v>
      </c>
      <c r="AG278" s="25" t="n">
        <v>0</v>
      </c>
      <c r="AH278" s="25" t="n">
        <v>0</v>
      </c>
      <c r="AI278" s="25" t="n">
        <v>0</v>
      </c>
      <c r="AJ278" s="25" t="n">
        <v>0</v>
      </c>
      <c r="AK278" s="25" t="n">
        <v>0</v>
      </c>
      <c r="AL278" s="25" t="n">
        <v>0</v>
      </c>
      <c r="AM278" s="25" t="n">
        <v>0</v>
      </c>
      <c r="AN278" s="25" t="n">
        <v>0</v>
      </c>
      <c r="AO278" s="25" t="n">
        <v>0</v>
      </c>
      <c r="AP278" s="25" t="n">
        <v>0</v>
      </c>
      <c r="AQ278" s="25" t="n">
        <v>0</v>
      </c>
      <c r="AR278" s="25" t="n">
        <v>0</v>
      </c>
      <c r="AS278" s="25" t="n">
        <v>0</v>
      </c>
      <c r="AT278" s="25" t="n">
        <v>0</v>
      </c>
      <c r="AU278" s="25" t="n">
        <v>0</v>
      </c>
      <c r="AV278" s="25" t="n">
        <v>0</v>
      </c>
      <c r="AW278" s="25" t="n">
        <v>0</v>
      </c>
      <c r="AX278" s="25" t="n">
        <v>0.0698219783025849</v>
      </c>
      <c r="AY278" s="25" t="n">
        <v>0</v>
      </c>
      <c r="AZ278" s="25" t="n">
        <v>0</v>
      </c>
      <c r="BA278" s="25" t="n">
        <v>0</v>
      </c>
      <c r="BB278" s="25" t="n">
        <v>0</v>
      </c>
      <c r="BC278" s="25" t="n">
        <v>2.55987209741435</v>
      </c>
      <c r="BD278" s="25" t="n">
        <v>2.76655787379327</v>
      </c>
      <c r="BE278" s="25" t="n">
        <v>4.12521306656819</v>
      </c>
      <c r="BF278" s="25" t="n">
        <v>3.77892273527398</v>
      </c>
      <c r="BG278" s="25" t="n">
        <v>3.21959943745923</v>
      </c>
      <c r="BH278" s="25" t="n">
        <v>3.40621904280053</v>
      </c>
      <c r="BI278" s="25" t="n">
        <v>3.76179596928842</v>
      </c>
      <c r="BJ278" s="25" t="n">
        <v>3.93863845887332</v>
      </c>
      <c r="BK278" s="25" t="n">
        <v>4.33835595685883</v>
      </c>
      <c r="BL278" s="25" t="n">
        <v>4.520643467782</v>
      </c>
      <c r="BM278" s="25" t="n">
        <v>4.95082864657498</v>
      </c>
      <c r="BN278" s="25" t="n">
        <v>5.13867139832513</v>
      </c>
      <c r="BO278" s="25" t="n">
        <v>1.4854352026389</v>
      </c>
      <c r="BP278" s="25" t="n">
        <v>1.66107318520848</v>
      </c>
      <c r="BQ278" s="25" t="n">
        <v>2.07905991738776</v>
      </c>
      <c r="BR278" s="25" t="n">
        <v>2.11211945437354</v>
      </c>
      <c r="BS278" s="25" t="n">
        <v>2.57041064137173</v>
      </c>
      <c r="BT278" s="25" t="n">
        <v>2.60449244004244</v>
      </c>
      <c r="BU278" s="25" t="n">
        <v>10.5949491757527</v>
      </c>
      <c r="BV278" s="25" t="n">
        <v>10.727775417429</v>
      </c>
      <c r="BW278" s="25" t="n">
        <v>8.53582643338258</v>
      </c>
      <c r="BX278" s="25" t="n">
        <v>8.05290457236801</v>
      </c>
      <c r="BY278" s="25" t="n">
        <v>8.60335611101771</v>
      </c>
      <c r="BZ278" s="25" t="n">
        <v>8.68313665307775</v>
      </c>
      <c r="CA278" s="25" t="n">
        <v>6.64965926137305</v>
      </c>
      <c r="CB278" s="25" t="n">
        <v>6.69863052704726</v>
      </c>
      <c r="CC278" s="25" t="n">
        <v>7.32291195993135</v>
      </c>
      <c r="CD278" s="25" t="n">
        <v>7.37169329796044</v>
      </c>
      <c r="CE278" s="25" t="n">
        <v>6.74577500692371</v>
      </c>
      <c r="CF278" s="25" t="n">
        <v>6.83839561370266</v>
      </c>
      <c r="CG278" s="25" t="n">
        <v>14.8982648669268</v>
      </c>
      <c r="CH278" s="25" t="n">
        <v>10.234143118337</v>
      </c>
      <c r="CI278" s="25" t="n">
        <v>10.9832467077365</v>
      </c>
      <c r="CJ278" s="25" t="n">
        <v>11.0462085424312</v>
      </c>
      <c r="CK278" s="25" t="n">
        <v>15.4655672040041</v>
      </c>
      <c r="CL278" s="25" t="n">
        <v>13.3092194831465</v>
      </c>
      <c r="CM278" s="25" t="n">
        <v>10.0898366776454</v>
      </c>
      <c r="CN278" s="25" t="n">
        <v>10.240317716045</v>
      </c>
      <c r="CO278" s="25" t="n">
        <v>11.0423481898588</v>
      </c>
      <c r="CP278" s="25" t="n">
        <v>20.9659258348527</v>
      </c>
      <c r="CQ278" s="25" t="n">
        <v>22.539557399011</v>
      </c>
      <c r="CR278" s="25" t="n">
        <v>22.6476663048869</v>
      </c>
      <c r="CS278" s="25" t="n">
        <v>38.481038708329</v>
      </c>
      <c r="CT278" s="25" t="n">
        <v>27.4958560039095</v>
      </c>
      <c r="CU278" s="25" t="n">
        <v>26.4234411663895</v>
      </c>
      <c r="CV278" s="25" t="n">
        <v>26.6248882242457</v>
      </c>
      <c r="CW278" s="25" t="n">
        <v>28.2712262519853</v>
      </c>
      <c r="CX278" s="25" t="n">
        <v>28.2910867454378</v>
      </c>
      <c r="CY278" s="25" t="n">
        <v>30.2077802460917</v>
      </c>
      <c r="CZ278" s="25" t="n">
        <v>30.2298737484711</v>
      </c>
      <c r="DA278" s="25" t="n">
        <v>39.279756094113</v>
      </c>
      <c r="DB278" s="2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310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J8</f>
        <v>42185</v>
      </c>
      <c r="K3" s="2" t="n">
        <f aca="false">K8</f>
        <v>42277</v>
      </c>
      <c r="L3" s="2" t="n">
        <f aca="false">L8</f>
        <v>42369</v>
      </c>
      <c r="M3" s="2" t="n">
        <f aca="false">M8</f>
        <v>42460</v>
      </c>
      <c r="N3" s="2" t="n">
        <f aca="false">N8</f>
        <v>42551</v>
      </c>
      <c r="O3" s="2" t="n">
        <f aca="false">O8</f>
        <v>42643</v>
      </c>
      <c r="P3" s="2" t="n">
        <f aca="false">P8</f>
        <v>42735</v>
      </c>
      <c r="Q3" s="2" t="n">
        <f aca="false">Q8</f>
        <v>42825</v>
      </c>
      <c r="R3" s="2" t="n">
        <f aca="false">R8</f>
        <v>42916</v>
      </c>
      <c r="S3" s="2" t="n">
        <f aca="false">S8</f>
        <v>43008</v>
      </c>
      <c r="T3" s="2" t="n">
        <f aca="false">T8</f>
        <v>43100</v>
      </c>
      <c r="U3" s="2" t="n">
        <f aca="false">U8</f>
        <v>43190</v>
      </c>
      <c r="V3" s="2" t="n">
        <f aca="false">V8</f>
        <v>43281</v>
      </c>
      <c r="W3" s="2" t="n">
        <f aca="false">W8</f>
        <v>43373</v>
      </c>
      <c r="X3" s="2" t="n">
        <f aca="false">X8</f>
        <v>43465</v>
      </c>
      <c r="Y3" s="2" t="n">
        <f aca="false">Y8</f>
        <v>43555</v>
      </c>
      <c r="Z3" s="2" t="n">
        <f aca="false">Z8</f>
        <v>43646</v>
      </c>
      <c r="AA3" s="2" t="n">
        <f aca="false">AA8</f>
        <v>43830</v>
      </c>
      <c r="AB3" s="2" t="n">
        <f aca="false">AB8</f>
        <v>44012</v>
      </c>
      <c r="AC3" s="2" t="n">
        <f aca="false">AC8</f>
        <v>44196</v>
      </c>
      <c r="AD3" s="2" t="n">
        <f aca="false">AD8</f>
        <v>44377</v>
      </c>
      <c r="AE3" s="2" t="n">
        <f aca="false">AE8</f>
        <v>44561</v>
      </c>
      <c r="AF3" s="2" t="n">
        <f aca="false">AF8</f>
        <v>44742</v>
      </c>
      <c r="AG3" s="2" t="n">
        <f aca="false">AG8</f>
        <v>44926</v>
      </c>
      <c r="AH3" s="2" t="n">
        <f aca="false">AH8</f>
        <v>45107</v>
      </c>
      <c r="AI3" s="2" t="n">
        <f aca="false">AI8</f>
        <v>45291</v>
      </c>
      <c r="AJ3" s="2" t="n">
        <f aca="false">AJ8</f>
        <v>45473</v>
      </c>
      <c r="AK3" s="2" t="n">
        <f aca="false">AK8</f>
        <v>45657</v>
      </c>
      <c r="AL3" s="2" t="n">
        <f aca="false">AL8</f>
        <v>45838</v>
      </c>
      <c r="AM3" s="2" t="n">
        <f aca="false">AM8</f>
        <v>46022</v>
      </c>
      <c r="AN3" s="2" t="n">
        <f aca="false">AN8</f>
        <v>46203</v>
      </c>
      <c r="AO3" s="2" t="n">
        <f aca="false">AO8</f>
        <v>46387</v>
      </c>
      <c r="AP3" s="2" t="n">
        <f aca="false">AP8</f>
        <v>46568</v>
      </c>
      <c r="AQ3" s="2" t="n">
        <f aca="false">AQ8</f>
        <v>46752</v>
      </c>
      <c r="AR3" s="2" t="n">
        <f aca="false">AR8</f>
        <v>46934</v>
      </c>
      <c r="AS3" s="2" t="n">
        <f aca="false">AS8</f>
        <v>47118</v>
      </c>
      <c r="AT3" s="2" t="n">
        <f aca="false">AT8</f>
        <v>47299</v>
      </c>
      <c r="AU3" s="2" t="n">
        <f aca="false">AU8</f>
        <v>47483</v>
      </c>
      <c r="AV3" s="2" t="n">
        <f aca="false">AV8</f>
        <v>47664</v>
      </c>
      <c r="AW3" s="2" t="n">
        <f aca="false">AW8</f>
        <v>47848</v>
      </c>
      <c r="AX3" s="2" t="n">
        <f aca="false">AX8</f>
        <v>48029</v>
      </c>
      <c r="AY3" s="2" t="n">
        <f aca="false">AY8</f>
        <v>48213</v>
      </c>
      <c r="AZ3" s="2" t="n">
        <f aca="false">AZ8</f>
        <v>48395</v>
      </c>
      <c r="BA3" s="2" t="n">
        <f aca="false">BA8</f>
        <v>48579</v>
      </c>
      <c r="BB3" s="2" t="n">
        <f aca="false">BB8</f>
        <v>48760</v>
      </c>
      <c r="BC3" s="2" t="n">
        <f aca="false">BC8</f>
        <v>48944</v>
      </c>
      <c r="BD3" s="2" t="n">
        <f aca="false">BD8</f>
        <v>49125</v>
      </c>
      <c r="BE3" s="2" t="n">
        <f aca="false">BE8</f>
        <v>49309</v>
      </c>
      <c r="BF3" s="2" t="n">
        <f aca="false">BF8</f>
        <v>49490</v>
      </c>
      <c r="BG3" s="2" t="n">
        <f aca="false">BG8</f>
        <v>49674</v>
      </c>
      <c r="BH3" s="2" t="n">
        <f aca="false">BH8</f>
        <v>49856</v>
      </c>
      <c r="BI3" s="2" t="n">
        <f aca="false">BI8</f>
        <v>50040</v>
      </c>
      <c r="BJ3" s="2" t="n">
        <f aca="false">BJ8</f>
        <v>50221</v>
      </c>
      <c r="BK3" s="2" t="n">
        <f aca="false">BK8</f>
        <v>50405</v>
      </c>
      <c r="BL3" s="2" t="n">
        <f aca="false">BL8</f>
        <v>50586</v>
      </c>
      <c r="BM3" s="2" t="n">
        <f aca="false">BM8</f>
        <v>50770</v>
      </c>
      <c r="BN3" s="2" t="n">
        <f aca="false">BN8</f>
        <v>50951</v>
      </c>
      <c r="BO3" s="2" t="n">
        <f aca="false">BO8</f>
        <v>51135</v>
      </c>
      <c r="BP3" s="2" t="n">
        <f aca="false">BP8</f>
        <v>51317</v>
      </c>
      <c r="BQ3" s="2" t="n">
        <f aca="false">BQ8</f>
        <v>51501</v>
      </c>
      <c r="BR3" s="2" t="n">
        <f aca="false">BR8</f>
        <v>51682</v>
      </c>
      <c r="BS3" s="2" t="n">
        <f aca="false">BS8</f>
        <v>51866</v>
      </c>
      <c r="BT3" s="2" t="n">
        <f aca="false">BT8</f>
        <v>52047</v>
      </c>
      <c r="BU3" s="2" t="n">
        <f aca="false">BU8</f>
        <v>52231</v>
      </c>
      <c r="BV3" s="2" t="n">
        <f aca="false">BV8</f>
        <v>52412</v>
      </c>
      <c r="BW3" s="2" t="n">
        <f aca="false">BW8</f>
        <v>52596</v>
      </c>
      <c r="BX3" s="2" t="n">
        <f aca="false">BX8</f>
        <v>52778</v>
      </c>
      <c r="BY3" s="2" t="n">
        <f aca="false">BY8</f>
        <v>52962</v>
      </c>
      <c r="BZ3" s="2" t="n">
        <f aca="false">BZ8</f>
        <v>53143</v>
      </c>
      <c r="CA3" s="2" t="n">
        <f aca="false">CA8</f>
        <v>53327</v>
      </c>
      <c r="CB3" s="2" t="n">
        <f aca="false">CB8</f>
        <v>53508</v>
      </c>
      <c r="CC3" s="2" t="n">
        <f aca="false">CC8</f>
        <v>53692</v>
      </c>
      <c r="CD3" s="2" t="n">
        <f aca="false">CD8</f>
        <v>53873</v>
      </c>
      <c r="CE3" s="2" t="n">
        <f aca="false">CE8</f>
        <v>54057</v>
      </c>
      <c r="CF3" s="2" t="n">
        <f aca="false">CF8</f>
        <v>54239</v>
      </c>
      <c r="CG3" s="2" t="n">
        <f aca="false">CG8</f>
        <v>54423</v>
      </c>
      <c r="CH3" s="2" t="n">
        <f aca="false">CH8</f>
        <v>54604</v>
      </c>
      <c r="CI3" s="2" t="n">
        <f aca="false">CI8</f>
        <v>54788</v>
      </c>
      <c r="CJ3" s="2" t="n">
        <f aca="false">CJ8</f>
        <v>54969</v>
      </c>
      <c r="CK3" s="2" t="n">
        <f aca="false">CK8</f>
        <v>55153</v>
      </c>
      <c r="CL3" s="2" t="n">
        <f aca="false">CL8</f>
        <v>55334</v>
      </c>
      <c r="CM3" s="2" t="n">
        <f aca="false">CM8</f>
        <v>55518</v>
      </c>
      <c r="CN3" s="2" t="n">
        <f aca="false">CN8</f>
        <v>55700</v>
      </c>
      <c r="CO3" s="2" t="n">
        <f aca="false">CO8</f>
        <v>55884</v>
      </c>
      <c r="CP3" s="2" t="n">
        <f aca="false">CP8</f>
        <v>56065</v>
      </c>
      <c r="CQ3" s="2" t="n">
        <f aca="false">CQ8</f>
        <v>56249</v>
      </c>
      <c r="CR3" s="2" t="n">
        <f aca="false">CR8</f>
        <v>56430</v>
      </c>
      <c r="CS3" s="2" t="n">
        <f aca="false">CS8</f>
        <v>56614</v>
      </c>
      <c r="CT3" s="2" t="n">
        <f aca="false">CT8</f>
        <v>56795</v>
      </c>
      <c r="CU3" s="2" t="n">
        <f aca="false">CU8</f>
        <v>56979</v>
      </c>
      <c r="CV3" s="2" t="n">
        <f aca="false">CV8</f>
        <v>57161</v>
      </c>
      <c r="CW3" s="2" t="n">
        <f aca="false">CW8</f>
        <v>57345</v>
      </c>
      <c r="CX3" s="2" t="n">
        <f aca="false">CX8</f>
        <v>57526</v>
      </c>
      <c r="CY3" s="2" t="n">
        <f aca="false">CY8</f>
        <v>57710</v>
      </c>
      <c r="CZ3" s="2" t="n">
        <f aca="false">CZ8</f>
        <v>57891</v>
      </c>
      <c r="DA3" s="2" t="n">
        <f aca="false">DA8</f>
        <v>58075</v>
      </c>
      <c r="DB3" s="2" t="n">
        <f aca="false">DB8</f>
        <v>58256</v>
      </c>
    </row>
    <row r="5" customFormat="false" ht="15" hidden="false" customHeight="false" outlineLevel="0" collapsed="false">
      <c r="D5" s="3" t="s">
        <v>311</v>
      </c>
    </row>
    <row r="6" customFormat="false" ht="15" hidden="false" customHeight="false" outlineLevel="0" collapsed="false">
      <c r="D6" s="0" t="s">
        <v>312</v>
      </c>
      <c r="E6" s="0" t="s">
        <v>39</v>
      </c>
      <c r="J6" s="14" t="n">
        <f aca="false">I6+1</f>
        <v>1</v>
      </c>
      <c r="K6" s="14" t="n">
        <f aca="false">J6+1</f>
        <v>2</v>
      </c>
      <c r="L6" s="14" t="n">
        <f aca="false">K6+1</f>
        <v>3</v>
      </c>
      <c r="M6" s="14" t="n">
        <f aca="false">L6+1</f>
        <v>4</v>
      </c>
      <c r="N6" s="14" t="n">
        <f aca="false">M6+1</f>
        <v>5</v>
      </c>
      <c r="O6" s="14" t="n">
        <f aca="false">N6+1</f>
        <v>6</v>
      </c>
      <c r="P6" s="14" t="n">
        <f aca="false">O6+1</f>
        <v>7</v>
      </c>
      <c r="Q6" s="14" t="n">
        <f aca="false">P6+1</f>
        <v>8</v>
      </c>
      <c r="R6" s="14" t="n">
        <f aca="false">Q6+1</f>
        <v>9</v>
      </c>
      <c r="S6" s="14" t="n">
        <f aca="false">R6+1</f>
        <v>10</v>
      </c>
      <c r="T6" s="14" t="n">
        <f aca="false">S6+1</f>
        <v>11</v>
      </c>
      <c r="U6" s="14" t="n">
        <f aca="false">T6+1</f>
        <v>12</v>
      </c>
      <c r="V6" s="14" t="n">
        <f aca="false">U6+1</f>
        <v>13</v>
      </c>
      <c r="W6" s="14" t="n">
        <f aca="false">V6+1</f>
        <v>14</v>
      </c>
      <c r="X6" s="14" t="n">
        <f aca="false">W6+1</f>
        <v>15</v>
      </c>
      <c r="Y6" s="14" t="n">
        <f aca="false">X6+1</f>
        <v>16</v>
      </c>
      <c r="Z6" s="14" t="n">
        <f aca="false">Y6+1</f>
        <v>17</v>
      </c>
      <c r="AA6" s="14" t="n">
        <f aca="false">Z6+1</f>
        <v>18</v>
      </c>
      <c r="AB6" s="14" t="n">
        <f aca="false">AA6+1</f>
        <v>19</v>
      </c>
      <c r="AC6" s="14" t="n">
        <f aca="false">AB6+1</f>
        <v>20</v>
      </c>
      <c r="AD6" s="14" t="n">
        <f aca="false">AC6+1</f>
        <v>21</v>
      </c>
      <c r="AE6" s="14" t="n">
        <f aca="false">AD6+1</f>
        <v>22</v>
      </c>
      <c r="AF6" s="14" t="n">
        <f aca="false">AE6+1</f>
        <v>23</v>
      </c>
      <c r="AG6" s="14" t="n">
        <f aca="false">AF6+1</f>
        <v>24</v>
      </c>
      <c r="AH6" s="14" t="n">
        <f aca="false">AG6+1</f>
        <v>25</v>
      </c>
      <c r="AI6" s="14" t="n">
        <f aca="false">AH6+1</f>
        <v>26</v>
      </c>
      <c r="AJ6" s="14" t="n">
        <f aca="false">AI6+1</f>
        <v>27</v>
      </c>
      <c r="AK6" s="14" t="n">
        <f aca="false">AJ6+1</f>
        <v>28</v>
      </c>
      <c r="AL6" s="14" t="n">
        <f aca="false">AK6+1</f>
        <v>29</v>
      </c>
      <c r="AM6" s="14" t="n">
        <f aca="false">AL6+1</f>
        <v>30</v>
      </c>
      <c r="AN6" s="14" t="n">
        <f aca="false">AM6+1</f>
        <v>31</v>
      </c>
      <c r="AO6" s="14" t="n">
        <f aca="false">AN6+1</f>
        <v>32</v>
      </c>
      <c r="AP6" s="14" t="n">
        <f aca="false">AO6+1</f>
        <v>33</v>
      </c>
      <c r="AQ6" s="14" t="n">
        <f aca="false">AP6+1</f>
        <v>34</v>
      </c>
      <c r="AR6" s="14" t="n">
        <f aca="false">AQ6+1</f>
        <v>35</v>
      </c>
      <c r="AS6" s="14" t="n">
        <f aca="false">AR6+1</f>
        <v>36</v>
      </c>
      <c r="AT6" s="14" t="n">
        <f aca="false">AS6+1</f>
        <v>37</v>
      </c>
      <c r="AU6" s="14" t="n">
        <f aca="false">AT6+1</f>
        <v>38</v>
      </c>
      <c r="AV6" s="14" t="n">
        <f aca="false">AU6+1</f>
        <v>39</v>
      </c>
      <c r="AW6" s="14" t="n">
        <f aca="false">AV6+1</f>
        <v>40</v>
      </c>
      <c r="AX6" s="14" t="n">
        <f aca="false">AW6+1</f>
        <v>41</v>
      </c>
      <c r="AY6" s="14" t="n">
        <f aca="false">AX6+1</f>
        <v>42</v>
      </c>
      <c r="AZ6" s="14" t="n">
        <f aca="false">AY6+1</f>
        <v>43</v>
      </c>
      <c r="BA6" s="14" t="n">
        <f aca="false">AZ6+1</f>
        <v>44</v>
      </c>
      <c r="BB6" s="14" t="n">
        <f aca="false">BA6+1</f>
        <v>45</v>
      </c>
      <c r="BC6" s="14" t="n">
        <f aca="false">BB6+1</f>
        <v>46</v>
      </c>
      <c r="BD6" s="14" t="n">
        <f aca="false">BC6+1</f>
        <v>47</v>
      </c>
      <c r="BE6" s="14" t="n">
        <f aca="false">BD6+1</f>
        <v>48</v>
      </c>
      <c r="BF6" s="14" t="n">
        <f aca="false">BE6+1</f>
        <v>49</v>
      </c>
      <c r="BG6" s="14" t="n">
        <f aca="false">BF6+1</f>
        <v>50</v>
      </c>
      <c r="BH6" s="14" t="n">
        <f aca="false">BG6+1</f>
        <v>51</v>
      </c>
      <c r="BI6" s="14" t="n">
        <f aca="false">BH6+1</f>
        <v>52</v>
      </c>
      <c r="BJ6" s="14" t="n">
        <f aca="false">BI6+1</f>
        <v>53</v>
      </c>
      <c r="BK6" s="14" t="n">
        <f aca="false">BJ6+1</f>
        <v>54</v>
      </c>
      <c r="BL6" s="14" t="n">
        <f aca="false">BK6+1</f>
        <v>55</v>
      </c>
      <c r="BM6" s="14" t="n">
        <f aca="false">BL6+1</f>
        <v>56</v>
      </c>
      <c r="BN6" s="14" t="n">
        <f aca="false">BM6+1</f>
        <v>57</v>
      </c>
      <c r="BO6" s="14" t="n">
        <f aca="false">BN6+1</f>
        <v>58</v>
      </c>
      <c r="BP6" s="14" t="n">
        <f aca="false">BO6+1</f>
        <v>59</v>
      </c>
      <c r="BQ6" s="14" t="n">
        <f aca="false">BP6+1</f>
        <v>60</v>
      </c>
      <c r="BR6" s="14" t="n">
        <f aca="false">BQ6+1</f>
        <v>61</v>
      </c>
      <c r="BS6" s="14" t="n">
        <f aca="false">BR6+1</f>
        <v>62</v>
      </c>
      <c r="BT6" s="14" t="n">
        <f aca="false">BS6+1</f>
        <v>63</v>
      </c>
      <c r="BU6" s="14" t="n">
        <f aca="false">BT6+1</f>
        <v>64</v>
      </c>
      <c r="BV6" s="14" t="n">
        <f aca="false">BU6+1</f>
        <v>65</v>
      </c>
      <c r="BW6" s="14" t="n">
        <f aca="false">BV6+1</f>
        <v>66</v>
      </c>
      <c r="BX6" s="14" t="n">
        <f aca="false">BW6+1</f>
        <v>67</v>
      </c>
      <c r="BY6" s="14" t="n">
        <f aca="false">BX6+1</f>
        <v>68</v>
      </c>
      <c r="BZ6" s="14" t="n">
        <f aca="false">BY6+1</f>
        <v>69</v>
      </c>
      <c r="CA6" s="14" t="n">
        <f aca="false">BZ6+1</f>
        <v>70</v>
      </c>
      <c r="CB6" s="14" t="n">
        <f aca="false">CA6+1</f>
        <v>71</v>
      </c>
      <c r="CC6" s="14" t="n">
        <f aca="false">CB6+1</f>
        <v>72</v>
      </c>
      <c r="CD6" s="14" t="n">
        <f aca="false">CC6+1</f>
        <v>73</v>
      </c>
      <c r="CE6" s="14" t="n">
        <f aca="false">CD6+1</f>
        <v>74</v>
      </c>
      <c r="CF6" s="14" t="n">
        <f aca="false">CE6+1</f>
        <v>75</v>
      </c>
      <c r="CG6" s="14" t="n">
        <f aca="false">CF6+1</f>
        <v>76</v>
      </c>
      <c r="CH6" s="14" t="n">
        <f aca="false">CG6+1</f>
        <v>77</v>
      </c>
      <c r="CI6" s="14" t="n">
        <f aca="false">CH6+1</f>
        <v>78</v>
      </c>
      <c r="CJ6" s="14" t="n">
        <f aca="false">CI6+1</f>
        <v>79</v>
      </c>
      <c r="CK6" s="14" t="n">
        <f aca="false">CJ6+1</f>
        <v>80</v>
      </c>
      <c r="CL6" s="14" t="n">
        <f aca="false">CK6+1</f>
        <v>81</v>
      </c>
      <c r="CM6" s="14" t="n">
        <f aca="false">CL6+1</f>
        <v>82</v>
      </c>
      <c r="CN6" s="14" t="n">
        <f aca="false">CM6+1</f>
        <v>83</v>
      </c>
      <c r="CO6" s="14" t="n">
        <f aca="false">CN6+1</f>
        <v>84</v>
      </c>
      <c r="CP6" s="14" t="n">
        <f aca="false">CO6+1</f>
        <v>85</v>
      </c>
      <c r="CQ6" s="14" t="n">
        <f aca="false">CP6+1</f>
        <v>86</v>
      </c>
      <c r="CR6" s="14" t="n">
        <f aca="false">CQ6+1</f>
        <v>87</v>
      </c>
      <c r="CS6" s="14" t="n">
        <f aca="false">CR6+1</f>
        <v>88</v>
      </c>
      <c r="CT6" s="14" t="n">
        <f aca="false">CS6+1</f>
        <v>89</v>
      </c>
      <c r="CU6" s="14" t="n">
        <f aca="false">CT6+1</f>
        <v>90</v>
      </c>
      <c r="CV6" s="14" t="n">
        <f aca="false">CU6+1</f>
        <v>91</v>
      </c>
      <c r="CW6" s="14" t="n">
        <f aca="false">CV6+1</f>
        <v>92</v>
      </c>
      <c r="CX6" s="14" t="n">
        <f aca="false">CW6+1</f>
        <v>93</v>
      </c>
      <c r="CY6" s="14" t="n">
        <f aca="false">CX6+1</f>
        <v>94</v>
      </c>
      <c r="CZ6" s="14" t="n">
        <f aca="false">CY6+1</f>
        <v>95</v>
      </c>
      <c r="DA6" s="14" t="n">
        <f aca="false">CZ6+1</f>
        <v>96</v>
      </c>
      <c r="DB6" s="14" t="n">
        <f aca="false">DA6+1</f>
        <v>97</v>
      </c>
    </row>
    <row r="7" customFormat="false" ht="15" hidden="false" customHeight="false" outlineLevel="0" collapsed="false">
      <c r="D7" s="0" t="s">
        <v>313</v>
      </c>
      <c r="E7" s="0" t="s">
        <v>36</v>
      </c>
      <c r="J7" s="15" t="n">
        <f aca="false">IF(J6=1,Inputs!$F$13,I8)</f>
        <v>42151</v>
      </c>
      <c r="K7" s="15" t="n">
        <f aca="false">IF(K6=1,Inputs!$F$13,J8)</f>
        <v>42185</v>
      </c>
      <c r="L7" s="15" t="n">
        <f aca="false">IF(L6=1,Inputs!$F$13,K8)</f>
        <v>42277</v>
      </c>
      <c r="M7" s="15" t="n">
        <f aca="false">IF(M6=1,Inputs!$F$13,L8)</f>
        <v>42369</v>
      </c>
      <c r="N7" s="15" t="n">
        <f aca="false">IF(N6=1,Inputs!$F$13,M8)</f>
        <v>42460</v>
      </c>
      <c r="O7" s="15" t="n">
        <f aca="false">IF(O6=1,Inputs!$F$13,N8)</f>
        <v>42551</v>
      </c>
      <c r="P7" s="15" t="n">
        <f aca="false">IF(P6=1,Inputs!$F$13,O8)</f>
        <v>42643</v>
      </c>
      <c r="Q7" s="15" t="n">
        <f aca="false">IF(Q6=1,Inputs!$F$13,P8)</f>
        <v>42735</v>
      </c>
      <c r="R7" s="15" t="n">
        <f aca="false">IF(R6=1,Inputs!$F$13,Q8)</f>
        <v>42825</v>
      </c>
      <c r="S7" s="15" t="n">
        <f aca="false">IF(S6=1,Inputs!$F$13,R8)</f>
        <v>42916</v>
      </c>
      <c r="T7" s="15" t="n">
        <f aca="false">IF(T6=1,Inputs!$F$13,S8)</f>
        <v>43008</v>
      </c>
      <c r="U7" s="15" t="n">
        <f aca="false">IF(U6=1,Inputs!$F$13,T8)</f>
        <v>43100</v>
      </c>
      <c r="V7" s="15" t="n">
        <f aca="false">IF(V6=1,Inputs!$F$13,U8)</f>
        <v>43190</v>
      </c>
      <c r="W7" s="15" t="n">
        <f aca="false">IF(W6=1,Inputs!$F$13,V8)</f>
        <v>43281</v>
      </c>
      <c r="X7" s="15" t="n">
        <f aca="false">IF(X6=1,Inputs!$F$13,W8)</f>
        <v>43373</v>
      </c>
      <c r="Y7" s="15" t="n">
        <f aca="false">IF(Y6=1,Inputs!$F$13,X8)</f>
        <v>43465</v>
      </c>
      <c r="Z7" s="15" t="n">
        <f aca="false">IF(Z6=1,Inputs!$F$13,Y8)</f>
        <v>43555</v>
      </c>
      <c r="AA7" s="15" t="n">
        <f aca="false">IF(AA6=1,Inputs!$F$13,Z8)</f>
        <v>43646</v>
      </c>
      <c r="AB7" s="15" t="n">
        <f aca="false">IF(AB6=1,Inputs!$F$13,AA8)</f>
        <v>43830</v>
      </c>
      <c r="AC7" s="15" t="n">
        <f aca="false">IF(AC6=1,Inputs!$F$13,AB8)</f>
        <v>44012</v>
      </c>
      <c r="AD7" s="15" t="n">
        <f aca="false">IF(AD6=1,Inputs!$F$13,AC8)</f>
        <v>44196</v>
      </c>
      <c r="AE7" s="15" t="n">
        <f aca="false">IF(AE6=1,Inputs!$F$13,AD8)</f>
        <v>44377</v>
      </c>
      <c r="AF7" s="15" t="n">
        <f aca="false">IF(AF6=1,Inputs!$F$13,AE8)</f>
        <v>44561</v>
      </c>
      <c r="AG7" s="15" t="n">
        <f aca="false">IF(AG6=1,Inputs!$F$13,AF8)</f>
        <v>44742</v>
      </c>
      <c r="AH7" s="15" t="n">
        <f aca="false">IF(AH6=1,Inputs!$F$13,AG8)</f>
        <v>44926</v>
      </c>
      <c r="AI7" s="15" t="n">
        <f aca="false">IF(AI6=1,Inputs!$F$13,AH8)</f>
        <v>45107</v>
      </c>
      <c r="AJ7" s="15" t="n">
        <f aca="false">IF(AJ6=1,Inputs!$F$13,AI8)</f>
        <v>45291</v>
      </c>
      <c r="AK7" s="15" t="n">
        <f aca="false">IF(AK6=1,Inputs!$F$13,AJ8)</f>
        <v>45473</v>
      </c>
      <c r="AL7" s="15" t="n">
        <f aca="false">IF(AL6=1,Inputs!$F$13,AK8)</f>
        <v>45657</v>
      </c>
      <c r="AM7" s="15" t="n">
        <f aca="false">IF(AM6=1,Inputs!$F$13,AL8)</f>
        <v>45838</v>
      </c>
      <c r="AN7" s="15" t="n">
        <f aca="false">IF(AN6=1,Inputs!$F$13,AM8)</f>
        <v>46022</v>
      </c>
      <c r="AO7" s="15" t="n">
        <f aca="false">IF(AO6=1,Inputs!$F$13,AN8)</f>
        <v>46203</v>
      </c>
      <c r="AP7" s="15" t="n">
        <f aca="false">IF(AP6=1,Inputs!$F$13,AO8)</f>
        <v>46387</v>
      </c>
      <c r="AQ7" s="15" t="n">
        <f aca="false">IF(AQ6=1,Inputs!$F$13,AP8)</f>
        <v>46568</v>
      </c>
      <c r="AR7" s="15" t="n">
        <f aca="false">IF(AR6=1,Inputs!$F$13,AQ8)</f>
        <v>46752</v>
      </c>
      <c r="AS7" s="15" t="n">
        <f aca="false">IF(AS6=1,Inputs!$F$13,AR8)</f>
        <v>46934</v>
      </c>
      <c r="AT7" s="15" t="n">
        <f aca="false">IF(AT6=1,Inputs!$F$13,AS8)</f>
        <v>47118</v>
      </c>
      <c r="AU7" s="15" t="n">
        <f aca="false">IF(AU6=1,Inputs!$F$13,AT8)</f>
        <v>47299</v>
      </c>
      <c r="AV7" s="15" t="n">
        <f aca="false">IF(AV6=1,Inputs!$F$13,AU8)</f>
        <v>47483</v>
      </c>
      <c r="AW7" s="15" t="n">
        <f aca="false">IF(AW6=1,Inputs!$F$13,AV8)</f>
        <v>47664</v>
      </c>
      <c r="AX7" s="15" t="n">
        <f aca="false">IF(AX6=1,Inputs!$F$13,AW8)</f>
        <v>47848</v>
      </c>
      <c r="AY7" s="15" t="n">
        <f aca="false">IF(AY6=1,Inputs!$F$13,AX8)</f>
        <v>48029</v>
      </c>
      <c r="AZ7" s="15" t="n">
        <f aca="false">IF(AZ6=1,Inputs!$F$13,AY8)</f>
        <v>48213</v>
      </c>
      <c r="BA7" s="15" t="n">
        <f aca="false">IF(BA6=1,Inputs!$F$13,AZ8)</f>
        <v>48395</v>
      </c>
      <c r="BB7" s="15" t="n">
        <f aca="false">IF(BB6=1,Inputs!$F$13,BA8)</f>
        <v>48579</v>
      </c>
      <c r="BC7" s="15" t="n">
        <f aca="false">IF(BC6=1,Inputs!$F$13,BB8)</f>
        <v>48760</v>
      </c>
      <c r="BD7" s="15" t="n">
        <f aca="false">IF(BD6=1,Inputs!$F$13,BC8)</f>
        <v>48944</v>
      </c>
      <c r="BE7" s="15" t="n">
        <f aca="false">IF(BE6=1,Inputs!$F$13,BD8)</f>
        <v>49125</v>
      </c>
      <c r="BF7" s="15" t="n">
        <f aca="false">IF(BF6=1,Inputs!$F$13,BE8)</f>
        <v>49309</v>
      </c>
      <c r="BG7" s="15" t="n">
        <f aca="false">IF(BG6=1,Inputs!$F$13,BF8)</f>
        <v>49490</v>
      </c>
      <c r="BH7" s="15" t="n">
        <f aca="false">IF(BH6=1,Inputs!$F$13,BG8)</f>
        <v>49674</v>
      </c>
      <c r="BI7" s="15" t="n">
        <f aca="false">IF(BI6=1,Inputs!$F$13,BH8)</f>
        <v>49856</v>
      </c>
      <c r="BJ7" s="15" t="n">
        <f aca="false">IF(BJ6=1,Inputs!$F$13,BI8)</f>
        <v>50040</v>
      </c>
      <c r="BK7" s="15" t="n">
        <f aca="false">IF(BK6=1,Inputs!$F$13,BJ8)</f>
        <v>50221</v>
      </c>
      <c r="BL7" s="15" t="n">
        <f aca="false">IF(BL6=1,Inputs!$F$13,BK8)</f>
        <v>50405</v>
      </c>
      <c r="BM7" s="15" t="n">
        <f aca="false">IF(BM6=1,Inputs!$F$13,BL8)</f>
        <v>50586</v>
      </c>
      <c r="BN7" s="15" t="n">
        <f aca="false">IF(BN6=1,Inputs!$F$13,BM8)</f>
        <v>50770</v>
      </c>
      <c r="BO7" s="15" t="n">
        <f aca="false">IF(BO6=1,Inputs!$F$13,BN8)</f>
        <v>50951</v>
      </c>
      <c r="BP7" s="15" t="n">
        <f aca="false">IF(BP6=1,Inputs!$F$13,BO8)</f>
        <v>51135</v>
      </c>
      <c r="BQ7" s="15" t="n">
        <f aca="false">IF(BQ6=1,Inputs!$F$13,BP8)</f>
        <v>51317</v>
      </c>
      <c r="BR7" s="15" t="n">
        <f aca="false">IF(BR6=1,Inputs!$F$13,BQ8)</f>
        <v>51501</v>
      </c>
      <c r="BS7" s="15" t="n">
        <f aca="false">IF(BS6=1,Inputs!$F$13,BR8)</f>
        <v>51682</v>
      </c>
      <c r="BT7" s="15" t="n">
        <f aca="false">IF(BT6=1,Inputs!$F$13,BS8)</f>
        <v>51866</v>
      </c>
      <c r="BU7" s="15" t="n">
        <f aca="false">IF(BU6=1,Inputs!$F$13,BT8)</f>
        <v>52047</v>
      </c>
      <c r="BV7" s="15" t="n">
        <f aca="false">IF(BV6=1,Inputs!$F$13,BU8)</f>
        <v>52231</v>
      </c>
      <c r="BW7" s="15" t="n">
        <f aca="false">IF(BW6=1,Inputs!$F$13,BV8)</f>
        <v>52412</v>
      </c>
      <c r="BX7" s="15" t="n">
        <f aca="false">IF(BX6=1,Inputs!$F$13,BW8)</f>
        <v>52596</v>
      </c>
      <c r="BY7" s="15" t="n">
        <f aca="false">IF(BY6=1,Inputs!$F$13,BX8)</f>
        <v>52778</v>
      </c>
      <c r="BZ7" s="15" t="n">
        <f aca="false">IF(BZ6=1,Inputs!$F$13,BY8)</f>
        <v>52962</v>
      </c>
      <c r="CA7" s="15" t="n">
        <f aca="false">IF(CA6=1,Inputs!$F$13,BZ8)</f>
        <v>53143</v>
      </c>
      <c r="CB7" s="15" t="n">
        <f aca="false">IF(CB6=1,Inputs!$F$13,CA8)</f>
        <v>53327</v>
      </c>
      <c r="CC7" s="15" t="n">
        <f aca="false">IF(CC6=1,Inputs!$F$13,CB8)</f>
        <v>53508</v>
      </c>
      <c r="CD7" s="15" t="n">
        <f aca="false">IF(CD6=1,Inputs!$F$13,CC8)</f>
        <v>53692</v>
      </c>
      <c r="CE7" s="15" t="n">
        <f aca="false">IF(CE6=1,Inputs!$F$13,CD8)</f>
        <v>53873</v>
      </c>
      <c r="CF7" s="15" t="n">
        <f aca="false">IF(CF6=1,Inputs!$F$13,CE8)</f>
        <v>54057</v>
      </c>
      <c r="CG7" s="15" t="n">
        <f aca="false">IF(CG6=1,Inputs!$F$13,CF8)</f>
        <v>54239</v>
      </c>
      <c r="CH7" s="15" t="n">
        <f aca="false">IF(CH6=1,Inputs!$F$13,CG8)</f>
        <v>54423</v>
      </c>
      <c r="CI7" s="15" t="n">
        <f aca="false">IF(CI6=1,Inputs!$F$13,CH8)</f>
        <v>54604</v>
      </c>
      <c r="CJ7" s="15" t="n">
        <f aca="false">IF(CJ6=1,Inputs!$F$13,CI8)</f>
        <v>54788</v>
      </c>
      <c r="CK7" s="15" t="n">
        <f aca="false">IF(CK6=1,Inputs!$F$13,CJ8)</f>
        <v>54969</v>
      </c>
      <c r="CL7" s="15" t="n">
        <f aca="false">IF(CL6=1,Inputs!$F$13,CK8)</f>
        <v>55153</v>
      </c>
      <c r="CM7" s="15" t="n">
        <f aca="false">IF(CM6=1,Inputs!$F$13,CL8)</f>
        <v>55334</v>
      </c>
      <c r="CN7" s="15" t="n">
        <f aca="false">IF(CN6=1,Inputs!$F$13,CM8)</f>
        <v>55518</v>
      </c>
      <c r="CO7" s="15" t="n">
        <f aca="false">IF(CO6=1,Inputs!$F$13,CN8)</f>
        <v>55700</v>
      </c>
      <c r="CP7" s="15" t="n">
        <f aca="false">IF(CP6=1,Inputs!$F$13,CO8)</f>
        <v>55884</v>
      </c>
      <c r="CQ7" s="15" t="n">
        <f aca="false">IF(CQ6=1,Inputs!$F$13,CP8)</f>
        <v>56065</v>
      </c>
      <c r="CR7" s="15" t="n">
        <f aca="false">IF(CR6=1,Inputs!$F$13,CQ8)</f>
        <v>56249</v>
      </c>
      <c r="CS7" s="15" t="n">
        <f aca="false">IF(CS6=1,Inputs!$F$13,CR8)</f>
        <v>56430</v>
      </c>
      <c r="CT7" s="15" t="n">
        <f aca="false">IF(CT6=1,Inputs!$F$13,CS8)</f>
        <v>56614</v>
      </c>
      <c r="CU7" s="15" t="n">
        <f aca="false">IF(CU6=1,Inputs!$F$13,CT8)</f>
        <v>56795</v>
      </c>
      <c r="CV7" s="15" t="n">
        <f aca="false">IF(CV6=1,Inputs!$F$13,CU8)</f>
        <v>56979</v>
      </c>
      <c r="CW7" s="15" t="n">
        <f aca="false">IF(CW6=1,Inputs!$F$13,CV8)</f>
        <v>57161</v>
      </c>
      <c r="CX7" s="15" t="n">
        <f aca="false">IF(CX6=1,Inputs!$F$13,CW8)</f>
        <v>57345</v>
      </c>
      <c r="CY7" s="15" t="n">
        <f aca="false">IF(CY6=1,Inputs!$F$13,CX8)</f>
        <v>57526</v>
      </c>
      <c r="CZ7" s="15" t="n">
        <f aca="false">IF(CZ6=1,Inputs!$F$13,CY8)</f>
        <v>57710</v>
      </c>
      <c r="DA7" s="15" t="n">
        <f aca="false">IF(DA6=1,Inputs!$F$13,CZ8)</f>
        <v>57891</v>
      </c>
      <c r="DB7" s="15" t="n">
        <f aca="false">IF(DB6=1,Inputs!$F$13,DA8)</f>
        <v>58075</v>
      </c>
    </row>
    <row r="8" customFormat="false" ht="15" hidden="false" customHeight="false" outlineLevel="0" collapsed="false">
      <c r="D8" s="0" t="s">
        <v>35</v>
      </c>
      <c r="E8" s="0" t="s">
        <v>36</v>
      </c>
      <c r="J8" s="15" t="n">
        <f aca="false">IF(J6=1,Inputs!$F$14,EOMONTH(I8,IF(I8&lt;=Inputs!$F$15,3,6)))</f>
        <v>42185</v>
      </c>
      <c r="K8" s="15" t="n">
        <f aca="false">IF(K6=1,Inputs!$F$14,EOMONTH(J8,IF(J8&lt;=Inputs!$F$15,3,6)))</f>
        <v>42277</v>
      </c>
      <c r="L8" s="15" t="n">
        <f aca="false">IF(L6=1,Inputs!$F$14,EOMONTH(K8,IF(K8&lt;=Inputs!$F$15,3,6)))</f>
        <v>42369</v>
      </c>
      <c r="M8" s="15" t="n">
        <f aca="false">IF(M6=1,Inputs!$F$14,EOMONTH(L8,IF(L8&lt;=Inputs!$F$15,3,6)))</f>
        <v>42460</v>
      </c>
      <c r="N8" s="15" t="n">
        <f aca="false">IF(N6=1,Inputs!$F$14,EOMONTH(M8,IF(M8&lt;=Inputs!$F$15,3,6)))</f>
        <v>42551</v>
      </c>
      <c r="O8" s="15" t="n">
        <f aca="false">IF(O6=1,Inputs!$F$14,EOMONTH(N8,IF(N8&lt;=Inputs!$F$15,3,6)))</f>
        <v>42643</v>
      </c>
      <c r="P8" s="15" t="n">
        <f aca="false">IF(P6=1,Inputs!$F$14,EOMONTH(O8,IF(O8&lt;=Inputs!$F$15,3,6)))</f>
        <v>42735</v>
      </c>
      <c r="Q8" s="15" t="n">
        <f aca="false">IF(Q6=1,Inputs!$F$14,EOMONTH(P8,IF(P8&lt;=Inputs!$F$15,3,6)))</f>
        <v>42825</v>
      </c>
      <c r="R8" s="15" t="n">
        <f aca="false">IF(R6=1,Inputs!$F$14,EOMONTH(Q8,IF(Q8&lt;=Inputs!$F$15,3,6)))</f>
        <v>42916</v>
      </c>
      <c r="S8" s="15" t="n">
        <f aca="false">IF(S6=1,Inputs!$F$14,EOMONTH(R8,IF(R8&lt;=Inputs!$F$15,3,6)))</f>
        <v>43008</v>
      </c>
      <c r="T8" s="15" t="n">
        <f aca="false">IF(T6=1,Inputs!$F$14,EOMONTH(S8,IF(S8&lt;=Inputs!$F$15,3,6)))</f>
        <v>43100</v>
      </c>
      <c r="U8" s="15" t="n">
        <f aca="false">IF(U6=1,Inputs!$F$14,EOMONTH(T8,IF(T8&lt;=Inputs!$F$15,3,6)))</f>
        <v>43190</v>
      </c>
      <c r="V8" s="15" t="n">
        <f aca="false">IF(V6=1,Inputs!$F$14,EOMONTH(U8,IF(U8&lt;=Inputs!$F$15,3,6)))</f>
        <v>43281</v>
      </c>
      <c r="W8" s="15" t="n">
        <f aca="false">IF(W6=1,Inputs!$F$14,EOMONTH(V8,IF(V8&lt;=Inputs!$F$15,3,6)))</f>
        <v>43373</v>
      </c>
      <c r="X8" s="15" t="n">
        <f aca="false">IF(X6=1,Inputs!$F$14,EOMONTH(W8,IF(W8&lt;=Inputs!$F$15,3,6)))</f>
        <v>43465</v>
      </c>
      <c r="Y8" s="15" t="n">
        <f aca="false">IF(Y6=1,Inputs!$F$14,EOMONTH(X8,IF(X8&lt;=Inputs!$F$15,3,6)))</f>
        <v>43555</v>
      </c>
      <c r="Z8" s="15" t="n">
        <f aca="false">IF(Z6=1,Inputs!$F$14,EOMONTH(Y8,IF(Y8&lt;=Inputs!$F$15,3,6)))</f>
        <v>43646</v>
      </c>
      <c r="AA8" s="15" t="n">
        <f aca="false">IF(AA6=1,Inputs!$F$14,EOMONTH(Z8,IF(Z8&lt;=Inputs!$F$15,3,6)))</f>
        <v>43830</v>
      </c>
      <c r="AB8" s="15" t="n">
        <f aca="false">IF(AB6=1,Inputs!$F$14,EOMONTH(AA8,IF(AA8&lt;=Inputs!$F$15,3,6)))</f>
        <v>44012</v>
      </c>
      <c r="AC8" s="15" t="n">
        <f aca="false">IF(AC6=1,Inputs!$F$14,EOMONTH(AB8,IF(AB8&lt;=Inputs!$F$15,3,6)))</f>
        <v>44196</v>
      </c>
      <c r="AD8" s="15" t="n">
        <f aca="false">IF(AD6=1,Inputs!$F$14,EOMONTH(AC8,IF(AC8&lt;=Inputs!$F$15,3,6)))</f>
        <v>44377</v>
      </c>
      <c r="AE8" s="15" t="n">
        <f aca="false">IF(AE6=1,Inputs!$F$14,EOMONTH(AD8,IF(AD8&lt;=Inputs!$F$15,3,6)))</f>
        <v>44561</v>
      </c>
      <c r="AF8" s="15" t="n">
        <f aca="false">IF(AF6=1,Inputs!$F$14,EOMONTH(AE8,IF(AE8&lt;=Inputs!$F$15,3,6)))</f>
        <v>44742</v>
      </c>
      <c r="AG8" s="15" t="n">
        <f aca="false">IF(AG6=1,Inputs!$F$14,EOMONTH(AF8,IF(AF8&lt;=Inputs!$F$15,3,6)))</f>
        <v>44926</v>
      </c>
      <c r="AH8" s="15" t="n">
        <f aca="false">IF(AH6=1,Inputs!$F$14,EOMONTH(AG8,IF(AG8&lt;=Inputs!$F$15,3,6)))</f>
        <v>45107</v>
      </c>
      <c r="AI8" s="15" t="n">
        <f aca="false">IF(AI6=1,Inputs!$F$14,EOMONTH(AH8,IF(AH8&lt;=Inputs!$F$15,3,6)))</f>
        <v>45291</v>
      </c>
      <c r="AJ8" s="15" t="n">
        <f aca="false">IF(AJ6=1,Inputs!$F$14,EOMONTH(AI8,IF(AI8&lt;=Inputs!$F$15,3,6)))</f>
        <v>45473</v>
      </c>
      <c r="AK8" s="15" t="n">
        <f aca="false">IF(AK6=1,Inputs!$F$14,EOMONTH(AJ8,IF(AJ8&lt;=Inputs!$F$15,3,6)))</f>
        <v>45657</v>
      </c>
      <c r="AL8" s="15" t="n">
        <f aca="false">IF(AL6=1,Inputs!$F$14,EOMONTH(AK8,IF(AK8&lt;=Inputs!$F$15,3,6)))</f>
        <v>45838</v>
      </c>
      <c r="AM8" s="15" t="n">
        <f aca="false">IF(AM6=1,Inputs!$F$14,EOMONTH(AL8,IF(AL8&lt;=Inputs!$F$15,3,6)))</f>
        <v>46022</v>
      </c>
      <c r="AN8" s="15" t="n">
        <f aca="false">IF(AN6=1,Inputs!$F$14,EOMONTH(AM8,IF(AM8&lt;=Inputs!$F$15,3,6)))</f>
        <v>46203</v>
      </c>
      <c r="AO8" s="15" t="n">
        <f aca="false">IF(AO6=1,Inputs!$F$14,EOMONTH(AN8,IF(AN8&lt;=Inputs!$F$15,3,6)))</f>
        <v>46387</v>
      </c>
      <c r="AP8" s="15" t="n">
        <f aca="false">IF(AP6=1,Inputs!$F$14,EOMONTH(AO8,IF(AO8&lt;=Inputs!$F$15,3,6)))</f>
        <v>46568</v>
      </c>
      <c r="AQ8" s="15" t="n">
        <f aca="false">IF(AQ6=1,Inputs!$F$14,EOMONTH(AP8,IF(AP8&lt;=Inputs!$F$15,3,6)))</f>
        <v>46752</v>
      </c>
      <c r="AR8" s="15" t="n">
        <f aca="false">IF(AR6=1,Inputs!$F$14,EOMONTH(AQ8,IF(AQ8&lt;=Inputs!$F$15,3,6)))</f>
        <v>46934</v>
      </c>
      <c r="AS8" s="15" t="n">
        <f aca="false">IF(AS6=1,Inputs!$F$14,EOMONTH(AR8,IF(AR8&lt;=Inputs!$F$15,3,6)))</f>
        <v>47118</v>
      </c>
      <c r="AT8" s="15" t="n">
        <f aca="false">IF(AT6=1,Inputs!$F$14,EOMONTH(AS8,IF(AS8&lt;=Inputs!$F$15,3,6)))</f>
        <v>47299</v>
      </c>
      <c r="AU8" s="15" t="n">
        <f aca="false">IF(AU6=1,Inputs!$F$14,EOMONTH(AT8,IF(AT8&lt;=Inputs!$F$15,3,6)))</f>
        <v>47483</v>
      </c>
      <c r="AV8" s="15" t="n">
        <f aca="false">IF(AV6=1,Inputs!$F$14,EOMONTH(AU8,IF(AU8&lt;=Inputs!$F$15,3,6)))</f>
        <v>47664</v>
      </c>
      <c r="AW8" s="15" t="n">
        <f aca="false">IF(AW6=1,Inputs!$F$14,EOMONTH(AV8,IF(AV8&lt;=Inputs!$F$15,3,6)))</f>
        <v>47848</v>
      </c>
      <c r="AX8" s="15" t="n">
        <f aca="false">IF(AX6=1,Inputs!$F$14,EOMONTH(AW8,IF(AW8&lt;=Inputs!$F$15,3,6)))</f>
        <v>48029</v>
      </c>
      <c r="AY8" s="15" t="n">
        <f aca="false">IF(AY6=1,Inputs!$F$14,EOMONTH(AX8,IF(AX8&lt;=Inputs!$F$15,3,6)))</f>
        <v>48213</v>
      </c>
      <c r="AZ8" s="15" t="n">
        <f aca="false">IF(AZ6=1,Inputs!$F$14,EOMONTH(AY8,IF(AY8&lt;=Inputs!$F$15,3,6)))</f>
        <v>48395</v>
      </c>
      <c r="BA8" s="15" t="n">
        <f aca="false">IF(BA6=1,Inputs!$F$14,EOMONTH(AZ8,IF(AZ8&lt;=Inputs!$F$15,3,6)))</f>
        <v>48579</v>
      </c>
      <c r="BB8" s="15" t="n">
        <f aca="false">IF(BB6=1,Inputs!$F$14,EOMONTH(BA8,IF(BA8&lt;=Inputs!$F$15,3,6)))</f>
        <v>48760</v>
      </c>
      <c r="BC8" s="15" t="n">
        <f aca="false">IF(BC6=1,Inputs!$F$14,EOMONTH(BB8,IF(BB8&lt;=Inputs!$F$15,3,6)))</f>
        <v>48944</v>
      </c>
      <c r="BD8" s="15" t="n">
        <f aca="false">IF(BD6=1,Inputs!$F$14,EOMONTH(BC8,IF(BC8&lt;=Inputs!$F$15,3,6)))</f>
        <v>49125</v>
      </c>
      <c r="BE8" s="15" t="n">
        <f aca="false">IF(BE6=1,Inputs!$F$14,EOMONTH(BD8,IF(BD8&lt;=Inputs!$F$15,3,6)))</f>
        <v>49309</v>
      </c>
      <c r="BF8" s="15" t="n">
        <f aca="false">IF(BF6=1,Inputs!$F$14,EOMONTH(BE8,IF(BE8&lt;=Inputs!$F$15,3,6)))</f>
        <v>49490</v>
      </c>
      <c r="BG8" s="15" t="n">
        <f aca="false">IF(BG6=1,Inputs!$F$14,EOMONTH(BF8,IF(BF8&lt;=Inputs!$F$15,3,6)))</f>
        <v>49674</v>
      </c>
      <c r="BH8" s="15" t="n">
        <f aca="false">IF(BH6=1,Inputs!$F$14,EOMONTH(BG8,IF(BG8&lt;=Inputs!$F$15,3,6)))</f>
        <v>49856</v>
      </c>
      <c r="BI8" s="15" t="n">
        <f aca="false">IF(BI6=1,Inputs!$F$14,EOMONTH(BH8,IF(BH8&lt;=Inputs!$F$15,3,6)))</f>
        <v>50040</v>
      </c>
      <c r="BJ8" s="15" t="n">
        <f aca="false">IF(BJ6=1,Inputs!$F$14,EOMONTH(BI8,IF(BI8&lt;=Inputs!$F$15,3,6)))</f>
        <v>50221</v>
      </c>
      <c r="BK8" s="15" t="n">
        <f aca="false">IF(BK6=1,Inputs!$F$14,EOMONTH(BJ8,IF(BJ8&lt;=Inputs!$F$15,3,6)))</f>
        <v>50405</v>
      </c>
      <c r="BL8" s="15" t="n">
        <f aca="false">IF(BL6=1,Inputs!$F$14,EOMONTH(BK8,IF(BK8&lt;=Inputs!$F$15,3,6)))</f>
        <v>50586</v>
      </c>
      <c r="BM8" s="15" t="n">
        <f aca="false">IF(BM6=1,Inputs!$F$14,EOMONTH(BL8,IF(BL8&lt;=Inputs!$F$15,3,6)))</f>
        <v>50770</v>
      </c>
      <c r="BN8" s="15" t="n">
        <f aca="false">IF(BN6=1,Inputs!$F$14,EOMONTH(BM8,IF(BM8&lt;=Inputs!$F$15,3,6)))</f>
        <v>50951</v>
      </c>
      <c r="BO8" s="15" t="n">
        <f aca="false">IF(BO6=1,Inputs!$F$14,EOMONTH(BN8,IF(BN8&lt;=Inputs!$F$15,3,6)))</f>
        <v>51135</v>
      </c>
      <c r="BP8" s="15" t="n">
        <f aca="false">IF(BP6=1,Inputs!$F$14,EOMONTH(BO8,IF(BO8&lt;=Inputs!$F$15,3,6)))</f>
        <v>51317</v>
      </c>
      <c r="BQ8" s="15" t="n">
        <f aca="false">IF(BQ6=1,Inputs!$F$14,EOMONTH(BP8,IF(BP8&lt;=Inputs!$F$15,3,6)))</f>
        <v>51501</v>
      </c>
      <c r="BR8" s="15" t="n">
        <f aca="false">IF(BR6=1,Inputs!$F$14,EOMONTH(BQ8,IF(BQ8&lt;=Inputs!$F$15,3,6)))</f>
        <v>51682</v>
      </c>
      <c r="BS8" s="15" t="n">
        <f aca="false">IF(BS6=1,Inputs!$F$14,EOMONTH(BR8,IF(BR8&lt;=Inputs!$F$15,3,6)))</f>
        <v>51866</v>
      </c>
      <c r="BT8" s="15" t="n">
        <f aca="false">IF(BT6=1,Inputs!$F$14,EOMONTH(BS8,IF(BS8&lt;=Inputs!$F$15,3,6)))</f>
        <v>52047</v>
      </c>
      <c r="BU8" s="15" t="n">
        <f aca="false">IF(BU6=1,Inputs!$F$14,EOMONTH(BT8,IF(BT8&lt;=Inputs!$F$15,3,6)))</f>
        <v>52231</v>
      </c>
      <c r="BV8" s="15" t="n">
        <f aca="false">IF(BV6=1,Inputs!$F$14,EOMONTH(BU8,IF(BU8&lt;=Inputs!$F$15,3,6)))</f>
        <v>52412</v>
      </c>
      <c r="BW8" s="15" t="n">
        <f aca="false">IF(BW6=1,Inputs!$F$14,EOMONTH(BV8,IF(BV8&lt;=Inputs!$F$15,3,6)))</f>
        <v>52596</v>
      </c>
      <c r="BX8" s="15" t="n">
        <f aca="false">IF(BX6=1,Inputs!$F$14,EOMONTH(BW8,IF(BW8&lt;=Inputs!$F$15,3,6)))</f>
        <v>52778</v>
      </c>
      <c r="BY8" s="15" t="n">
        <f aca="false">IF(BY6=1,Inputs!$F$14,EOMONTH(BX8,IF(BX8&lt;=Inputs!$F$15,3,6)))</f>
        <v>52962</v>
      </c>
      <c r="BZ8" s="15" t="n">
        <f aca="false">IF(BZ6=1,Inputs!$F$14,EOMONTH(BY8,IF(BY8&lt;=Inputs!$F$15,3,6)))</f>
        <v>53143</v>
      </c>
      <c r="CA8" s="15" t="n">
        <f aca="false">IF(CA6=1,Inputs!$F$14,EOMONTH(BZ8,IF(BZ8&lt;=Inputs!$F$15,3,6)))</f>
        <v>53327</v>
      </c>
      <c r="CB8" s="15" t="n">
        <f aca="false">IF(CB6=1,Inputs!$F$14,EOMONTH(CA8,IF(CA8&lt;=Inputs!$F$15,3,6)))</f>
        <v>53508</v>
      </c>
      <c r="CC8" s="15" t="n">
        <f aca="false">IF(CC6=1,Inputs!$F$14,EOMONTH(CB8,IF(CB8&lt;=Inputs!$F$15,3,6)))</f>
        <v>53692</v>
      </c>
      <c r="CD8" s="15" t="n">
        <f aca="false">IF(CD6=1,Inputs!$F$14,EOMONTH(CC8,IF(CC8&lt;=Inputs!$F$15,3,6)))</f>
        <v>53873</v>
      </c>
      <c r="CE8" s="15" t="n">
        <f aca="false">IF(CE6=1,Inputs!$F$14,EOMONTH(CD8,IF(CD8&lt;=Inputs!$F$15,3,6)))</f>
        <v>54057</v>
      </c>
      <c r="CF8" s="15" t="n">
        <f aca="false">IF(CF6=1,Inputs!$F$14,EOMONTH(CE8,IF(CE8&lt;=Inputs!$F$15,3,6)))</f>
        <v>54239</v>
      </c>
      <c r="CG8" s="15" t="n">
        <f aca="false">IF(CG6=1,Inputs!$F$14,EOMONTH(CF8,IF(CF8&lt;=Inputs!$F$15,3,6)))</f>
        <v>54423</v>
      </c>
      <c r="CH8" s="15" t="n">
        <f aca="false">IF(CH6=1,Inputs!$F$14,EOMONTH(CG8,IF(CG8&lt;=Inputs!$F$15,3,6)))</f>
        <v>54604</v>
      </c>
      <c r="CI8" s="15" t="n">
        <f aca="false">IF(CI6=1,Inputs!$F$14,EOMONTH(CH8,IF(CH8&lt;=Inputs!$F$15,3,6)))</f>
        <v>54788</v>
      </c>
      <c r="CJ8" s="15" t="n">
        <f aca="false">IF(CJ6=1,Inputs!$F$14,EOMONTH(CI8,IF(CI8&lt;=Inputs!$F$15,3,6)))</f>
        <v>54969</v>
      </c>
      <c r="CK8" s="15" t="n">
        <f aca="false">IF(CK6=1,Inputs!$F$14,EOMONTH(CJ8,IF(CJ8&lt;=Inputs!$F$15,3,6)))</f>
        <v>55153</v>
      </c>
      <c r="CL8" s="15" t="n">
        <f aca="false">IF(CL6=1,Inputs!$F$14,EOMONTH(CK8,IF(CK8&lt;=Inputs!$F$15,3,6)))</f>
        <v>55334</v>
      </c>
      <c r="CM8" s="15" t="n">
        <f aca="false">IF(CM6=1,Inputs!$F$14,EOMONTH(CL8,IF(CL8&lt;=Inputs!$F$15,3,6)))</f>
        <v>55518</v>
      </c>
      <c r="CN8" s="15" t="n">
        <f aca="false">IF(CN6=1,Inputs!$F$14,EOMONTH(CM8,IF(CM8&lt;=Inputs!$F$15,3,6)))</f>
        <v>55700</v>
      </c>
      <c r="CO8" s="15" t="n">
        <f aca="false">IF(CO6=1,Inputs!$F$14,EOMONTH(CN8,IF(CN8&lt;=Inputs!$F$15,3,6)))</f>
        <v>55884</v>
      </c>
      <c r="CP8" s="15" t="n">
        <f aca="false">IF(CP6=1,Inputs!$F$14,EOMONTH(CO8,IF(CO8&lt;=Inputs!$F$15,3,6)))</f>
        <v>56065</v>
      </c>
      <c r="CQ8" s="15" t="n">
        <f aca="false">IF(CQ6=1,Inputs!$F$14,EOMONTH(CP8,IF(CP8&lt;=Inputs!$F$15,3,6)))</f>
        <v>56249</v>
      </c>
      <c r="CR8" s="15" t="n">
        <f aca="false">IF(CR6=1,Inputs!$F$14,EOMONTH(CQ8,IF(CQ8&lt;=Inputs!$F$15,3,6)))</f>
        <v>56430</v>
      </c>
      <c r="CS8" s="15" t="n">
        <f aca="false">IF(CS6=1,Inputs!$F$14,EOMONTH(CR8,IF(CR8&lt;=Inputs!$F$15,3,6)))</f>
        <v>56614</v>
      </c>
      <c r="CT8" s="15" t="n">
        <f aca="false">IF(CT6=1,Inputs!$F$14,EOMONTH(CS8,IF(CS8&lt;=Inputs!$F$15,3,6)))</f>
        <v>56795</v>
      </c>
      <c r="CU8" s="15" t="n">
        <f aca="false">IF(CU6=1,Inputs!$F$14,EOMONTH(CT8,IF(CT8&lt;=Inputs!$F$15,3,6)))</f>
        <v>56979</v>
      </c>
      <c r="CV8" s="15" t="n">
        <f aca="false">IF(CV6=1,Inputs!$F$14,EOMONTH(CU8,IF(CU8&lt;=Inputs!$F$15,3,6)))</f>
        <v>57161</v>
      </c>
      <c r="CW8" s="15" t="n">
        <f aca="false">IF(CW6=1,Inputs!$F$14,EOMONTH(CV8,IF(CV8&lt;=Inputs!$F$15,3,6)))</f>
        <v>57345</v>
      </c>
      <c r="CX8" s="15" t="n">
        <f aca="false">IF(CX6=1,Inputs!$F$14,EOMONTH(CW8,IF(CW8&lt;=Inputs!$F$15,3,6)))</f>
        <v>57526</v>
      </c>
      <c r="CY8" s="15" t="n">
        <f aca="false">IF(CY6=1,Inputs!$F$14,EOMONTH(CX8,IF(CX8&lt;=Inputs!$F$15,3,6)))</f>
        <v>57710</v>
      </c>
      <c r="CZ8" s="15" t="n">
        <f aca="false">IF(CZ6=1,Inputs!$F$14,EOMONTH(CY8,IF(CY8&lt;=Inputs!$F$15,3,6)))</f>
        <v>57891</v>
      </c>
      <c r="DA8" s="15" t="n">
        <f aca="false">IF(DA6=1,Inputs!$F$14,EOMONTH(CZ8,IF(CZ8&lt;=Inputs!$F$15,3,6)))</f>
        <v>58075</v>
      </c>
      <c r="DB8" s="15" t="n">
        <f aca="false">IF(DB6=1,Inputs!$F$14,EOMONTH(DA8,IF(DA8&lt;=Inputs!$F$15,3,6)))</f>
        <v>58256</v>
      </c>
    </row>
    <row r="9" customFormat="false" ht="15" hidden="false" customHeight="false" outlineLevel="0" collapsed="false">
      <c r="D9" s="0" t="s">
        <v>314</v>
      </c>
      <c r="E9" s="0" t="s">
        <v>79</v>
      </c>
      <c r="J9" s="14" t="n">
        <f aca="false">J8-J7</f>
        <v>34</v>
      </c>
      <c r="K9" s="14" t="n">
        <f aca="false">K8-K7</f>
        <v>92</v>
      </c>
      <c r="L9" s="14" t="n">
        <f aca="false">L8-L7</f>
        <v>92</v>
      </c>
      <c r="M9" s="14" t="n">
        <f aca="false">M8-M7</f>
        <v>91</v>
      </c>
      <c r="N9" s="14" t="n">
        <f aca="false">N8-N7</f>
        <v>91</v>
      </c>
      <c r="O9" s="14" t="n">
        <f aca="false">O8-O7</f>
        <v>92</v>
      </c>
      <c r="P9" s="14" t="n">
        <f aca="false">P8-P7</f>
        <v>92</v>
      </c>
      <c r="Q9" s="14" t="n">
        <f aca="false">Q8-Q7</f>
        <v>90</v>
      </c>
      <c r="R9" s="14" t="n">
        <f aca="false">R8-R7</f>
        <v>91</v>
      </c>
      <c r="S9" s="14" t="n">
        <f aca="false">S8-S7</f>
        <v>92</v>
      </c>
      <c r="T9" s="14" t="n">
        <f aca="false">T8-T7</f>
        <v>92</v>
      </c>
      <c r="U9" s="14" t="n">
        <f aca="false">U8-U7</f>
        <v>90</v>
      </c>
      <c r="V9" s="14" t="n">
        <f aca="false">V8-V7</f>
        <v>91</v>
      </c>
      <c r="W9" s="14" t="n">
        <f aca="false">W8-W7</f>
        <v>92</v>
      </c>
      <c r="X9" s="14" t="n">
        <f aca="false">X8-X7</f>
        <v>92</v>
      </c>
      <c r="Y9" s="14" t="n">
        <f aca="false">Y8-Y7</f>
        <v>90</v>
      </c>
      <c r="Z9" s="14" t="n">
        <f aca="false">Z8-Z7</f>
        <v>91</v>
      </c>
      <c r="AA9" s="14" t="n">
        <f aca="false">AA8-AA7</f>
        <v>184</v>
      </c>
      <c r="AB9" s="14" t="n">
        <f aca="false">AB8-AB7</f>
        <v>182</v>
      </c>
      <c r="AC9" s="14" t="n">
        <f aca="false">AC8-AC7</f>
        <v>184</v>
      </c>
      <c r="AD9" s="14" t="n">
        <f aca="false">AD8-AD7</f>
        <v>181</v>
      </c>
      <c r="AE9" s="14" t="n">
        <f aca="false">AE8-AE7</f>
        <v>184</v>
      </c>
      <c r="AF9" s="14" t="n">
        <f aca="false">AF8-AF7</f>
        <v>181</v>
      </c>
      <c r="AG9" s="14" t="n">
        <f aca="false">AG8-AG7</f>
        <v>184</v>
      </c>
      <c r="AH9" s="14" t="n">
        <f aca="false">AH8-AH7</f>
        <v>181</v>
      </c>
      <c r="AI9" s="14" t="n">
        <f aca="false">AI8-AI7</f>
        <v>184</v>
      </c>
      <c r="AJ9" s="14" t="n">
        <f aca="false">AJ8-AJ7</f>
        <v>182</v>
      </c>
      <c r="AK9" s="14" t="n">
        <f aca="false">AK8-AK7</f>
        <v>184</v>
      </c>
      <c r="AL9" s="14" t="n">
        <f aca="false">AL8-AL7</f>
        <v>181</v>
      </c>
      <c r="AM9" s="14" t="n">
        <f aca="false">AM8-AM7</f>
        <v>184</v>
      </c>
      <c r="AN9" s="14" t="n">
        <f aca="false">AN8-AN7</f>
        <v>181</v>
      </c>
      <c r="AO9" s="14" t="n">
        <f aca="false">AO8-AO7</f>
        <v>184</v>
      </c>
      <c r="AP9" s="14" t="n">
        <f aca="false">AP8-AP7</f>
        <v>181</v>
      </c>
      <c r="AQ9" s="14" t="n">
        <f aca="false">AQ8-AQ7</f>
        <v>184</v>
      </c>
      <c r="AR9" s="14" t="n">
        <f aca="false">AR8-AR7</f>
        <v>182</v>
      </c>
      <c r="AS9" s="14" t="n">
        <f aca="false">AS8-AS7</f>
        <v>184</v>
      </c>
      <c r="AT9" s="14" t="n">
        <f aca="false">AT8-AT7</f>
        <v>181</v>
      </c>
      <c r="AU9" s="14" t="n">
        <f aca="false">AU8-AU7</f>
        <v>184</v>
      </c>
      <c r="AV9" s="14" t="n">
        <f aca="false">AV8-AV7</f>
        <v>181</v>
      </c>
      <c r="AW9" s="14" t="n">
        <f aca="false">AW8-AW7</f>
        <v>184</v>
      </c>
      <c r="AX9" s="14" t="n">
        <f aca="false">AX8-AX7</f>
        <v>181</v>
      </c>
      <c r="AY9" s="14" t="n">
        <f aca="false">AY8-AY7</f>
        <v>184</v>
      </c>
      <c r="AZ9" s="14" t="n">
        <f aca="false">AZ8-AZ7</f>
        <v>182</v>
      </c>
      <c r="BA9" s="14" t="n">
        <f aca="false">BA8-BA7</f>
        <v>184</v>
      </c>
      <c r="BB9" s="14" t="n">
        <f aca="false">BB8-BB7</f>
        <v>181</v>
      </c>
      <c r="BC9" s="14" t="n">
        <f aca="false">BC8-BC7</f>
        <v>184</v>
      </c>
      <c r="BD9" s="14" t="n">
        <f aca="false">BD8-BD7</f>
        <v>181</v>
      </c>
      <c r="BE9" s="14" t="n">
        <f aca="false">BE8-BE7</f>
        <v>184</v>
      </c>
      <c r="BF9" s="14" t="n">
        <f aca="false">BF8-BF7</f>
        <v>181</v>
      </c>
      <c r="BG9" s="14" t="n">
        <f aca="false">BG8-BG7</f>
        <v>184</v>
      </c>
      <c r="BH9" s="14" t="n">
        <f aca="false">BH8-BH7</f>
        <v>182</v>
      </c>
      <c r="BI9" s="14" t="n">
        <f aca="false">BI8-BI7</f>
        <v>184</v>
      </c>
      <c r="BJ9" s="14" t="n">
        <f aca="false">BJ8-BJ7</f>
        <v>181</v>
      </c>
      <c r="BK9" s="14" t="n">
        <f aca="false">BK8-BK7</f>
        <v>184</v>
      </c>
      <c r="BL9" s="14" t="n">
        <f aca="false">BL8-BL7</f>
        <v>181</v>
      </c>
      <c r="BM9" s="14" t="n">
        <f aca="false">BM8-BM7</f>
        <v>184</v>
      </c>
      <c r="BN9" s="14" t="n">
        <f aca="false">BN8-BN7</f>
        <v>181</v>
      </c>
      <c r="BO9" s="14" t="n">
        <f aca="false">BO8-BO7</f>
        <v>184</v>
      </c>
      <c r="BP9" s="14" t="n">
        <f aca="false">BP8-BP7</f>
        <v>182</v>
      </c>
      <c r="BQ9" s="14" t="n">
        <f aca="false">BQ8-BQ7</f>
        <v>184</v>
      </c>
      <c r="BR9" s="14" t="n">
        <f aca="false">BR8-BR7</f>
        <v>181</v>
      </c>
      <c r="BS9" s="14" t="n">
        <f aca="false">BS8-BS7</f>
        <v>184</v>
      </c>
      <c r="BT9" s="14" t="n">
        <f aca="false">BT8-BT7</f>
        <v>181</v>
      </c>
      <c r="BU9" s="14" t="n">
        <f aca="false">BU8-BU7</f>
        <v>184</v>
      </c>
      <c r="BV9" s="14" t="n">
        <f aca="false">BV8-BV7</f>
        <v>181</v>
      </c>
      <c r="BW9" s="14" t="n">
        <f aca="false">BW8-BW7</f>
        <v>184</v>
      </c>
      <c r="BX9" s="14" t="n">
        <f aca="false">BX8-BX7</f>
        <v>182</v>
      </c>
      <c r="BY9" s="14" t="n">
        <f aca="false">BY8-BY7</f>
        <v>184</v>
      </c>
      <c r="BZ9" s="14" t="n">
        <f aca="false">BZ8-BZ7</f>
        <v>181</v>
      </c>
      <c r="CA9" s="14" t="n">
        <f aca="false">CA8-CA7</f>
        <v>184</v>
      </c>
      <c r="CB9" s="14" t="n">
        <f aca="false">CB8-CB7</f>
        <v>181</v>
      </c>
      <c r="CC9" s="14" t="n">
        <f aca="false">CC8-CC7</f>
        <v>184</v>
      </c>
      <c r="CD9" s="14" t="n">
        <f aca="false">CD8-CD7</f>
        <v>181</v>
      </c>
      <c r="CE9" s="14" t="n">
        <f aca="false">CE8-CE7</f>
        <v>184</v>
      </c>
      <c r="CF9" s="14" t="n">
        <f aca="false">CF8-CF7</f>
        <v>182</v>
      </c>
      <c r="CG9" s="14" t="n">
        <f aca="false">CG8-CG7</f>
        <v>184</v>
      </c>
      <c r="CH9" s="14" t="n">
        <f aca="false">CH8-CH7</f>
        <v>181</v>
      </c>
      <c r="CI9" s="14" t="n">
        <f aca="false">CI8-CI7</f>
        <v>184</v>
      </c>
      <c r="CJ9" s="14" t="n">
        <f aca="false">CJ8-CJ7</f>
        <v>181</v>
      </c>
      <c r="CK9" s="14" t="n">
        <f aca="false">CK8-CK7</f>
        <v>184</v>
      </c>
      <c r="CL9" s="14" t="n">
        <f aca="false">CL8-CL7</f>
        <v>181</v>
      </c>
      <c r="CM9" s="14" t="n">
        <f aca="false">CM8-CM7</f>
        <v>184</v>
      </c>
      <c r="CN9" s="14" t="n">
        <f aca="false">CN8-CN7</f>
        <v>182</v>
      </c>
      <c r="CO9" s="14" t="n">
        <f aca="false">CO8-CO7</f>
        <v>184</v>
      </c>
      <c r="CP9" s="14" t="n">
        <f aca="false">CP8-CP7</f>
        <v>181</v>
      </c>
      <c r="CQ9" s="14" t="n">
        <f aca="false">CQ8-CQ7</f>
        <v>184</v>
      </c>
      <c r="CR9" s="14" t="n">
        <f aca="false">CR8-CR7</f>
        <v>181</v>
      </c>
      <c r="CS9" s="14" t="n">
        <f aca="false">CS8-CS7</f>
        <v>184</v>
      </c>
      <c r="CT9" s="14" t="n">
        <f aca="false">CT8-CT7</f>
        <v>181</v>
      </c>
      <c r="CU9" s="14" t="n">
        <f aca="false">CU8-CU7</f>
        <v>184</v>
      </c>
      <c r="CV9" s="14" t="n">
        <f aca="false">CV8-CV7</f>
        <v>182</v>
      </c>
      <c r="CW9" s="14" t="n">
        <f aca="false">CW8-CW7</f>
        <v>184</v>
      </c>
      <c r="CX9" s="14" t="n">
        <f aca="false">CX8-CX7</f>
        <v>181</v>
      </c>
      <c r="CY9" s="14" t="n">
        <f aca="false">CY8-CY7</f>
        <v>184</v>
      </c>
      <c r="CZ9" s="14" t="n">
        <f aca="false">CZ8-CZ7</f>
        <v>181</v>
      </c>
      <c r="DA9" s="14" t="n">
        <f aca="false">DA8-DA7</f>
        <v>184</v>
      </c>
      <c r="DB9" s="14" t="n">
        <f aca="false">DB8-DB7</f>
        <v>181</v>
      </c>
    </row>
    <row r="10" customFormat="false" ht="15" hidden="false" customHeight="false" outlineLevel="0" collapsed="false">
      <c r="D10" s="0" t="s">
        <v>315</v>
      </c>
      <c r="E10" s="0" t="s">
        <v>79</v>
      </c>
      <c r="J10" s="14" t="n">
        <f aca="false">Inputs!$F$46*(YEAR(J8)-YEAR(J7))+30*(MONTH(J8)-MONTH(J7))+MIN(DAY(J8),30)-MIN(DAY(J7),30)</f>
        <v>33</v>
      </c>
      <c r="K10" s="14" t="n">
        <f aca="false">Inputs!$F$46*(YEAR(K8)-YEAR(K7))+30*(MONTH(K8)-MONTH(K7))+MIN(DAY(K8),30)-MIN(DAY(K7),30)</f>
        <v>90</v>
      </c>
      <c r="L10" s="14" t="n">
        <f aca="false">Inputs!$F$46*(YEAR(L8)-YEAR(L7))+30*(MONTH(L8)-MONTH(L7))+MIN(DAY(L8),30)-MIN(DAY(L7),30)</f>
        <v>90</v>
      </c>
      <c r="M10" s="14" t="n">
        <f aca="false">Inputs!$F$46*(YEAR(M8)-YEAR(M7))+30*(MONTH(M8)-MONTH(M7))+MIN(DAY(M8),30)-MIN(DAY(M7),30)</f>
        <v>90</v>
      </c>
      <c r="N10" s="14" t="n">
        <f aca="false">Inputs!$F$46*(YEAR(N8)-YEAR(N7))+30*(MONTH(N8)-MONTH(N7))+MIN(DAY(N8),30)-MIN(DAY(N7),30)</f>
        <v>90</v>
      </c>
      <c r="O10" s="14" t="n">
        <f aca="false">Inputs!$F$46*(YEAR(O8)-YEAR(O7))+30*(MONTH(O8)-MONTH(O7))+MIN(DAY(O8),30)-MIN(DAY(O7),30)</f>
        <v>90</v>
      </c>
      <c r="P10" s="14" t="n">
        <f aca="false">Inputs!$F$46*(YEAR(P8)-YEAR(P7))+30*(MONTH(P8)-MONTH(P7))+MIN(DAY(P8),30)-MIN(DAY(P7),30)</f>
        <v>90</v>
      </c>
      <c r="Q10" s="14" t="n">
        <f aca="false">Inputs!$F$46*(YEAR(Q8)-YEAR(Q7))+30*(MONTH(Q8)-MONTH(Q7))+MIN(DAY(Q8),30)-MIN(DAY(Q7),30)</f>
        <v>90</v>
      </c>
      <c r="R10" s="14" t="n">
        <f aca="false">Inputs!$F$46*(YEAR(R8)-YEAR(R7))+30*(MONTH(R8)-MONTH(R7))+MIN(DAY(R8),30)-MIN(DAY(R7),30)</f>
        <v>90</v>
      </c>
      <c r="S10" s="14" t="n">
        <f aca="false">Inputs!$F$46*(YEAR(S8)-YEAR(S7))+30*(MONTH(S8)-MONTH(S7))+MIN(DAY(S8),30)-MIN(DAY(S7),30)</f>
        <v>90</v>
      </c>
      <c r="T10" s="14" t="n">
        <f aca="false">Inputs!$F$46*(YEAR(T8)-YEAR(T7))+30*(MONTH(T8)-MONTH(T7))+MIN(DAY(T8),30)-MIN(DAY(T7),30)</f>
        <v>90</v>
      </c>
      <c r="U10" s="14" t="n">
        <f aca="false">Inputs!$F$46*(YEAR(U8)-YEAR(U7))+30*(MONTH(U8)-MONTH(U7))+MIN(DAY(U8),30)-MIN(DAY(U7),30)</f>
        <v>90</v>
      </c>
      <c r="V10" s="14" t="n">
        <f aca="false">Inputs!$F$46*(YEAR(V8)-YEAR(V7))+30*(MONTH(V8)-MONTH(V7))+MIN(DAY(V8),30)-MIN(DAY(V7),30)</f>
        <v>90</v>
      </c>
      <c r="W10" s="14" t="n">
        <f aca="false">Inputs!$F$46*(YEAR(W8)-YEAR(W7))+30*(MONTH(W8)-MONTH(W7))+MIN(DAY(W8),30)-MIN(DAY(W7),30)</f>
        <v>90</v>
      </c>
      <c r="X10" s="14" t="n">
        <f aca="false">Inputs!$F$46*(YEAR(X8)-YEAR(X7))+30*(MONTH(X8)-MONTH(X7))+MIN(DAY(X8),30)-MIN(DAY(X7),30)</f>
        <v>90</v>
      </c>
      <c r="Y10" s="14" t="n">
        <f aca="false">Inputs!$F$46*(YEAR(Y8)-YEAR(Y7))+30*(MONTH(Y8)-MONTH(Y7))+MIN(DAY(Y8),30)-MIN(DAY(Y7),30)</f>
        <v>90</v>
      </c>
      <c r="Z10" s="14" t="n">
        <f aca="false">Inputs!$F$46*(YEAR(Z8)-YEAR(Z7))+30*(MONTH(Z8)-MONTH(Z7))+MIN(DAY(Z8),30)-MIN(DAY(Z7),30)</f>
        <v>90</v>
      </c>
      <c r="AA10" s="14" t="n">
        <f aca="false">Inputs!$F$46*(YEAR(AA8)-YEAR(AA7))+30*(MONTH(AA8)-MONTH(AA7))+MIN(DAY(AA8),30)-MIN(DAY(AA7),30)</f>
        <v>180</v>
      </c>
      <c r="AB10" s="14" t="n">
        <f aca="false">Inputs!$F$46*(YEAR(AB8)-YEAR(AB7))+30*(MONTH(AB8)-MONTH(AB7))+MIN(DAY(AB8),30)-MIN(DAY(AB7),30)</f>
        <v>180</v>
      </c>
      <c r="AC10" s="14" t="n">
        <f aca="false">Inputs!$F$46*(YEAR(AC8)-YEAR(AC7))+30*(MONTH(AC8)-MONTH(AC7))+MIN(DAY(AC8),30)-MIN(DAY(AC7),30)</f>
        <v>180</v>
      </c>
      <c r="AD10" s="14" t="n">
        <f aca="false">Inputs!$F$46*(YEAR(AD8)-YEAR(AD7))+30*(MONTH(AD8)-MONTH(AD7))+MIN(DAY(AD8),30)-MIN(DAY(AD7),30)</f>
        <v>180</v>
      </c>
      <c r="AE10" s="14" t="n">
        <f aca="false">Inputs!$F$46*(YEAR(AE8)-YEAR(AE7))+30*(MONTH(AE8)-MONTH(AE7))+MIN(DAY(AE8),30)-MIN(DAY(AE7),30)</f>
        <v>180</v>
      </c>
      <c r="AF10" s="14" t="n">
        <f aca="false">Inputs!$F$46*(YEAR(AF8)-YEAR(AF7))+30*(MONTH(AF8)-MONTH(AF7))+MIN(DAY(AF8),30)-MIN(DAY(AF7),30)</f>
        <v>180</v>
      </c>
      <c r="AG10" s="14" t="n">
        <f aca="false">Inputs!$F$46*(YEAR(AG8)-YEAR(AG7))+30*(MONTH(AG8)-MONTH(AG7))+MIN(DAY(AG8),30)-MIN(DAY(AG7),30)</f>
        <v>180</v>
      </c>
      <c r="AH10" s="14" t="n">
        <f aca="false">Inputs!$F$46*(YEAR(AH8)-YEAR(AH7))+30*(MONTH(AH8)-MONTH(AH7))+MIN(DAY(AH8),30)-MIN(DAY(AH7),30)</f>
        <v>180</v>
      </c>
      <c r="AI10" s="14" t="n">
        <f aca="false">Inputs!$F$46*(YEAR(AI8)-YEAR(AI7))+30*(MONTH(AI8)-MONTH(AI7))+MIN(DAY(AI8),30)-MIN(DAY(AI7),30)</f>
        <v>180</v>
      </c>
      <c r="AJ10" s="14" t="n">
        <f aca="false">Inputs!$F$46*(YEAR(AJ8)-YEAR(AJ7))+30*(MONTH(AJ8)-MONTH(AJ7))+MIN(DAY(AJ8),30)-MIN(DAY(AJ7),30)</f>
        <v>180</v>
      </c>
      <c r="AK10" s="14" t="n">
        <f aca="false">Inputs!$F$46*(YEAR(AK8)-YEAR(AK7))+30*(MONTH(AK8)-MONTH(AK7))+MIN(DAY(AK8),30)-MIN(DAY(AK7),30)</f>
        <v>180</v>
      </c>
      <c r="AL10" s="14" t="n">
        <f aca="false">Inputs!$F$46*(YEAR(AL8)-YEAR(AL7))+30*(MONTH(AL8)-MONTH(AL7))+MIN(DAY(AL8),30)-MIN(DAY(AL7),30)</f>
        <v>180</v>
      </c>
      <c r="AM10" s="14" t="n">
        <f aca="false">Inputs!$F$46*(YEAR(AM8)-YEAR(AM7))+30*(MONTH(AM8)-MONTH(AM7))+MIN(DAY(AM8),30)-MIN(DAY(AM7),30)</f>
        <v>180</v>
      </c>
      <c r="AN10" s="14" t="n">
        <f aca="false">Inputs!$F$46*(YEAR(AN8)-YEAR(AN7))+30*(MONTH(AN8)-MONTH(AN7))+MIN(DAY(AN8),30)-MIN(DAY(AN7),30)</f>
        <v>180</v>
      </c>
      <c r="AO10" s="14" t="n">
        <f aca="false">Inputs!$F$46*(YEAR(AO8)-YEAR(AO7))+30*(MONTH(AO8)-MONTH(AO7))+MIN(DAY(AO8),30)-MIN(DAY(AO7),30)</f>
        <v>180</v>
      </c>
      <c r="AP10" s="14" t="n">
        <f aca="false">Inputs!$F$46*(YEAR(AP8)-YEAR(AP7))+30*(MONTH(AP8)-MONTH(AP7))+MIN(DAY(AP8),30)-MIN(DAY(AP7),30)</f>
        <v>180</v>
      </c>
      <c r="AQ10" s="14" t="n">
        <f aca="false">Inputs!$F$46*(YEAR(AQ8)-YEAR(AQ7))+30*(MONTH(AQ8)-MONTH(AQ7))+MIN(DAY(AQ8),30)-MIN(DAY(AQ7),30)</f>
        <v>180</v>
      </c>
      <c r="AR10" s="14" t="n">
        <f aca="false">Inputs!$F$46*(YEAR(AR8)-YEAR(AR7))+30*(MONTH(AR8)-MONTH(AR7))+MIN(DAY(AR8),30)-MIN(DAY(AR7),30)</f>
        <v>180</v>
      </c>
      <c r="AS10" s="14" t="n">
        <f aca="false">Inputs!$F$46*(YEAR(AS8)-YEAR(AS7))+30*(MONTH(AS8)-MONTH(AS7))+MIN(DAY(AS8),30)-MIN(DAY(AS7),30)</f>
        <v>180</v>
      </c>
      <c r="AT10" s="14" t="n">
        <f aca="false">Inputs!$F$46*(YEAR(AT8)-YEAR(AT7))+30*(MONTH(AT8)-MONTH(AT7))+MIN(DAY(AT8),30)-MIN(DAY(AT7),30)</f>
        <v>180</v>
      </c>
      <c r="AU10" s="14" t="n">
        <f aca="false">Inputs!$F$46*(YEAR(AU8)-YEAR(AU7))+30*(MONTH(AU8)-MONTH(AU7))+MIN(DAY(AU8),30)-MIN(DAY(AU7),30)</f>
        <v>180</v>
      </c>
      <c r="AV10" s="14" t="n">
        <f aca="false">Inputs!$F$46*(YEAR(AV8)-YEAR(AV7))+30*(MONTH(AV8)-MONTH(AV7))+MIN(DAY(AV8),30)-MIN(DAY(AV7),30)</f>
        <v>180</v>
      </c>
      <c r="AW10" s="14" t="n">
        <f aca="false">Inputs!$F$46*(YEAR(AW8)-YEAR(AW7))+30*(MONTH(AW8)-MONTH(AW7))+MIN(DAY(AW8),30)-MIN(DAY(AW7),30)</f>
        <v>180</v>
      </c>
      <c r="AX10" s="14" t="n">
        <f aca="false">Inputs!$F$46*(YEAR(AX8)-YEAR(AX7))+30*(MONTH(AX8)-MONTH(AX7))+MIN(DAY(AX8),30)-MIN(DAY(AX7),30)</f>
        <v>180</v>
      </c>
      <c r="AY10" s="14" t="n">
        <f aca="false">Inputs!$F$46*(YEAR(AY8)-YEAR(AY7))+30*(MONTH(AY8)-MONTH(AY7))+MIN(DAY(AY8),30)-MIN(DAY(AY7),30)</f>
        <v>180</v>
      </c>
      <c r="AZ10" s="14" t="n">
        <f aca="false">Inputs!$F$46*(YEAR(AZ8)-YEAR(AZ7))+30*(MONTH(AZ8)-MONTH(AZ7))+MIN(DAY(AZ8),30)-MIN(DAY(AZ7),30)</f>
        <v>180</v>
      </c>
      <c r="BA10" s="14" t="n">
        <f aca="false">Inputs!$F$46*(YEAR(BA8)-YEAR(BA7))+30*(MONTH(BA8)-MONTH(BA7))+MIN(DAY(BA8),30)-MIN(DAY(BA7),30)</f>
        <v>180</v>
      </c>
      <c r="BB10" s="14" t="n">
        <f aca="false">Inputs!$F$46*(YEAR(BB8)-YEAR(BB7))+30*(MONTH(BB8)-MONTH(BB7))+MIN(DAY(BB8),30)-MIN(DAY(BB7),30)</f>
        <v>180</v>
      </c>
      <c r="BC10" s="14" t="n">
        <f aca="false">Inputs!$F$46*(YEAR(BC8)-YEAR(BC7))+30*(MONTH(BC8)-MONTH(BC7))+MIN(DAY(BC8),30)-MIN(DAY(BC7),30)</f>
        <v>180</v>
      </c>
      <c r="BD10" s="14" t="n">
        <f aca="false">Inputs!$F$46*(YEAR(BD8)-YEAR(BD7))+30*(MONTH(BD8)-MONTH(BD7))+MIN(DAY(BD8),30)-MIN(DAY(BD7),30)</f>
        <v>180</v>
      </c>
      <c r="BE10" s="14" t="n">
        <f aca="false">Inputs!$F$46*(YEAR(BE8)-YEAR(BE7))+30*(MONTH(BE8)-MONTH(BE7))+MIN(DAY(BE8),30)-MIN(DAY(BE7),30)</f>
        <v>180</v>
      </c>
      <c r="BF10" s="14" t="n">
        <f aca="false">Inputs!$F$46*(YEAR(BF8)-YEAR(BF7))+30*(MONTH(BF8)-MONTH(BF7))+MIN(DAY(BF8),30)-MIN(DAY(BF7),30)</f>
        <v>180</v>
      </c>
      <c r="BG10" s="14" t="n">
        <f aca="false">Inputs!$F$46*(YEAR(BG8)-YEAR(BG7))+30*(MONTH(BG8)-MONTH(BG7))+MIN(DAY(BG8),30)-MIN(DAY(BG7),30)</f>
        <v>180</v>
      </c>
      <c r="BH10" s="14" t="n">
        <f aca="false">Inputs!$F$46*(YEAR(BH8)-YEAR(BH7))+30*(MONTH(BH8)-MONTH(BH7))+MIN(DAY(BH8),30)-MIN(DAY(BH7),30)</f>
        <v>180</v>
      </c>
      <c r="BI10" s="14" t="n">
        <f aca="false">Inputs!$F$46*(YEAR(BI8)-YEAR(BI7))+30*(MONTH(BI8)-MONTH(BI7))+MIN(DAY(BI8),30)-MIN(DAY(BI7),30)</f>
        <v>180</v>
      </c>
      <c r="BJ10" s="14" t="n">
        <f aca="false">Inputs!$F$46*(YEAR(BJ8)-YEAR(BJ7))+30*(MONTH(BJ8)-MONTH(BJ7))+MIN(DAY(BJ8),30)-MIN(DAY(BJ7),30)</f>
        <v>180</v>
      </c>
      <c r="BK10" s="14" t="n">
        <f aca="false">Inputs!$F$46*(YEAR(BK8)-YEAR(BK7))+30*(MONTH(BK8)-MONTH(BK7))+MIN(DAY(BK8),30)-MIN(DAY(BK7),30)</f>
        <v>180</v>
      </c>
      <c r="BL10" s="14" t="n">
        <f aca="false">Inputs!$F$46*(YEAR(BL8)-YEAR(BL7))+30*(MONTH(BL8)-MONTH(BL7))+MIN(DAY(BL8),30)-MIN(DAY(BL7),30)</f>
        <v>180</v>
      </c>
      <c r="BM10" s="14" t="n">
        <f aca="false">Inputs!$F$46*(YEAR(BM8)-YEAR(BM7))+30*(MONTH(BM8)-MONTH(BM7))+MIN(DAY(BM8),30)-MIN(DAY(BM7),30)</f>
        <v>180</v>
      </c>
      <c r="BN10" s="14" t="n">
        <f aca="false">Inputs!$F$46*(YEAR(BN8)-YEAR(BN7))+30*(MONTH(BN8)-MONTH(BN7))+MIN(DAY(BN8),30)-MIN(DAY(BN7),30)</f>
        <v>180</v>
      </c>
      <c r="BO10" s="14" t="n">
        <f aca="false">Inputs!$F$46*(YEAR(BO8)-YEAR(BO7))+30*(MONTH(BO8)-MONTH(BO7))+MIN(DAY(BO8),30)-MIN(DAY(BO7),30)</f>
        <v>180</v>
      </c>
      <c r="BP10" s="14" t="n">
        <f aca="false">Inputs!$F$46*(YEAR(BP8)-YEAR(BP7))+30*(MONTH(BP8)-MONTH(BP7))+MIN(DAY(BP8),30)-MIN(DAY(BP7),30)</f>
        <v>180</v>
      </c>
      <c r="BQ10" s="14" t="n">
        <f aca="false">Inputs!$F$46*(YEAR(BQ8)-YEAR(BQ7))+30*(MONTH(BQ8)-MONTH(BQ7))+MIN(DAY(BQ8),30)-MIN(DAY(BQ7),30)</f>
        <v>180</v>
      </c>
      <c r="BR10" s="14" t="n">
        <f aca="false">Inputs!$F$46*(YEAR(BR8)-YEAR(BR7))+30*(MONTH(BR8)-MONTH(BR7))+MIN(DAY(BR8),30)-MIN(DAY(BR7),30)</f>
        <v>180</v>
      </c>
      <c r="BS10" s="14" t="n">
        <f aca="false">Inputs!$F$46*(YEAR(BS8)-YEAR(BS7))+30*(MONTH(BS8)-MONTH(BS7))+MIN(DAY(BS8),30)-MIN(DAY(BS7),30)</f>
        <v>180</v>
      </c>
      <c r="BT10" s="14" t="n">
        <f aca="false">Inputs!$F$46*(YEAR(BT8)-YEAR(BT7))+30*(MONTH(BT8)-MONTH(BT7))+MIN(DAY(BT8),30)-MIN(DAY(BT7),30)</f>
        <v>180</v>
      </c>
      <c r="BU10" s="14" t="n">
        <f aca="false">Inputs!$F$46*(YEAR(BU8)-YEAR(BU7))+30*(MONTH(BU8)-MONTH(BU7))+MIN(DAY(BU8),30)-MIN(DAY(BU7),30)</f>
        <v>180</v>
      </c>
      <c r="BV10" s="14" t="n">
        <f aca="false">Inputs!$F$46*(YEAR(BV8)-YEAR(BV7))+30*(MONTH(BV8)-MONTH(BV7))+MIN(DAY(BV8),30)-MIN(DAY(BV7),30)</f>
        <v>180</v>
      </c>
      <c r="BW10" s="14" t="n">
        <f aca="false">Inputs!$F$46*(YEAR(BW8)-YEAR(BW7))+30*(MONTH(BW8)-MONTH(BW7))+MIN(DAY(BW8),30)-MIN(DAY(BW7),30)</f>
        <v>180</v>
      </c>
      <c r="BX10" s="14" t="n">
        <f aca="false">Inputs!$F$46*(YEAR(BX8)-YEAR(BX7))+30*(MONTH(BX8)-MONTH(BX7))+MIN(DAY(BX8),30)-MIN(DAY(BX7),30)</f>
        <v>180</v>
      </c>
      <c r="BY10" s="14" t="n">
        <f aca="false">Inputs!$F$46*(YEAR(BY8)-YEAR(BY7))+30*(MONTH(BY8)-MONTH(BY7))+MIN(DAY(BY8),30)-MIN(DAY(BY7),30)</f>
        <v>180</v>
      </c>
      <c r="BZ10" s="14" t="n">
        <f aca="false">Inputs!$F$46*(YEAR(BZ8)-YEAR(BZ7))+30*(MONTH(BZ8)-MONTH(BZ7))+MIN(DAY(BZ8),30)-MIN(DAY(BZ7),30)</f>
        <v>180</v>
      </c>
      <c r="CA10" s="14" t="n">
        <f aca="false">Inputs!$F$46*(YEAR(CA8)-YEAR(CA7))+30*(MONTH(CA8)-MONTH(CA7))+MIN(DAY(CA8),30)-MIN(DAY(CA7),30)</f>
        <v>180</v>
      </c>
      <c r="CB10" s="14" t="n">
        <f aca="false">Inputs!$F$46*(YEAR(CB8)-YEAR(CB7))+30*(MONTH(CB8)-MONTH(CB7))+MIN(DAY(CB8),30)-MIN(DAY(CB7),30)</f>
        <v>180</v>
      </c>
      <c r="CC10" s="14" t="n">
        <f aca="false">Inputs!$F$46*(YEAR(CC8)-YEAR(CC7))+30*(MONTH(CC8)-MONTH(CC7))+MIN(DAY(CC8),30)-MIN(DAY(CC7),30)</f>
        <v>180</v>
      </c>
      <c r="CD10" s="14" t="n">
        <f aca="false">Inputs!$F$46*(YEAR(CD8)-YEAR(CD7))+30*(MONTH(CD8)-MONTH(CD7))+MIN(DAY(CD8),30)-MIN(DAY(CD7),30)</f>
        <v>180</v>
      </c>
      <c r="CE10" s="14" t="n">
        <f aca="false">Inputs!$F$46*(YEAR(CE8)-YEAR(CE7))+30*(MONTH(CE8)-MONTH(CE7))+MIN(DAY(CE8),30)-MIN(DAY(CE7),30)</f>
        <v>180</v>
      </c>
      <c r="CF10" s="14" t="n">
        <f aca="false">Inputs!$F$46*(YEAR(CF8)-YEAR(CF7))+30*(MONTH(CF8)-MONTH(CF7))+MIN(DAY(CF8),30)-MIN(DAY(CF7),30)</f>
        <v>180</v>
      </c>
      <c r="CG10" s="14" t="n">
        <f aca="false">Inputs!$F$46*(YEAR(CG8)-YEAR(CG7))+30*(MONTH(CG8)-MONTH(CG7))+MIN(DAY(CG8),30)-MIN(DAY(CG7),30)</f>
        <v>180</v>
      </c>
      <c r="CH10" s="14" t="n">
        <f aca="false">Inputs!$F$46*(YEAR(CH8)-YEAR(CH7))+30*(MONTH(CH8)-MONTH(CH7))+MIN(DAY(CH8),30)-MIN(DAY(CH7),30)</f>
        <v>180</v>
      </c>
      <c r="CI10" s="14" t="n">
        <f aca="false">Inputs!$F$46*(YEAR(CI8)-YEAR(CI7))+30*(MONTH(CI8)-MONTH(CI7))+MIN(DAY(CI8),30)-MIN(DAY(CI7),30)</f>
        <v>180</v>
      </c>
      <c r="CJ10" s="14" t="n">
        <f aca="false">Inputs!$F$46*(YEAR(CJ8)-YEAR(CJ7))+30*(MONTH(CJ8)-MONTH(CJ7))+MIN(DAY(CJ8),30)-MIN(DAY(CJ7),30)</f>
        <v>180</v>
      </c>
      <c r="CK10" s="14" t="n">
        <f aca="false">Inputs!$F$46*(YEAR(CK8)-YEAR(CK7))+30*(MONTH(CK8)-MONTH(CK7))+MIN(DAY(CK8),30)-MIN(DAY(CK7),30)</f>
        <v>180</v>
      </c>
      <c r="CL10" s="14" t="n">
        <f aca="false">Inputs!$F$46*(YEAR(CL8)-YEAR(CL7))+30*(MONTH(CL8)-MONTH(CL7))+MIN(DAY(CL8),30)-MIN(DAY(CL7),30)</f>
        <v>180</v>
      </c>
      <c r="CM10" s="14" t="n">
        <f aca="false">Inputs!$F$46*(YEAR(CM8)-YEAR(CM7))+30*(MONTH(CM8)-MONTH(CM7))+MIN(DAY(CM8),30)-MIN(DAY(CM7),30)</f>
        <v>180</v>
      </c>
      <c r="CN10" s="14" t="n">
        <f aca="false">Inputs!$F$46*(YEAR(CN8)-YEAR(CN7))+30*(MONTH(CN8)-MONTH(CN7))+MIN(DAY(CN8),30)-MIN(DAY(CN7),30)</f>
        <v>180</v>
      </c>
      <c r="CO10" s="14" t="n">
        <f aca="false">Inputs!$F$46*(YEAR(CO8)-YEAR(CO7))+30*(MONTH(CO8)-MONTH(CO7))+MIN(DAY(CO8),30)-MIN(DAY(CO7),30)</f>
        <v>180</v>
      </c>
      <c r="CP10" s="14" t="n">
        <f aca="false">Inputs!$F$46*(YEAR(CP8)-YEAR(CP7))+30*(MONTH(CP8)-MONTH(CP7))+MIN(DAY(CP8),30)-MIN(DAY(CP7),30)</f>
        <v>180</v>
      </c>
      <c r="CQ10" s="14" t="n">
        <f aca="false">Inputs!$F$46*(YEAR(CQ8)-YEAR(CQ7))+30*(MONTH(CQ8)-MONTH(CQ7))+MIN(DAY(CQ8),30)-MIN(DAY(CQ7),30)</f>
        <v>180</v>
      </c>
      <c r="CR10" s="14" t="n">
        <f aca="false">Inputs!$F$46*(YEAR(CR8)-YEAR(CR7))+30*(MONTH(CR8)-MONTH(CR7))+MIN(DAY(CR8),30)-MIN(DAY(CR7),30)</f>
        <v>180</v>
      </c>
      <c r="CS10" s="14" t="n">
        <f aca="false">Inputs!$F$46*(YEAR(CS8)-YEAR(CS7))+30*(MONTH(CS8)-MONTH(CS7))+MIN(DAY(CS8),30)-MIN(DAY(CS7),30)</f>
        <v>180</v>
      </c>
      <c r="CT10" s="14" t="n">
        <f aca="false">Inputs!$F$46*(YEAR(CT8)-YEAR(CT7))+30*(MONTH(CT8)-MONTH(CT7))+MIN(DAY(CT8),30)-MIN(DAY(CT7),30)</f>
        <v>180</v>
      </c>
      <c r="CU10" s="14" t="n">
        <f aca="false">Inputs!$F$46*(YEAR(CU8)-YEAR(CU7))+30*(MONTH(CU8)-MONTH(CU7))+MIN(DAY(CU8),30)-MIN(DAY(CU7),30)</f>
        <v>180</v>
      </c>
      <c r="CV10" s="14" t="n">
        <f aca="false">Inputs!$F$46*(YEAR(CV8)-YEAR(CV7))+30*(MONTH(CV8)-MONTH(CV7))+MIN(DAY(CV8),30)-MIN(DAY(CV7),30)</f>
        <v>180</v>
      </c>
      <c r="CW10" s="14" t="n">
        <f aca="false">Inputs!$F$46*(YEAR(CW8)-YEAR(CW7))+30*(MONTH(CW8)-MONTH(CW7))+MIN(DAY(CW8),30)-MIN(DAY(CW7),30)</f>
        <v>180</v>
      </c>
      <c r="CX10" s="14" t="n">
        <f aca="false">Inputs!$F$46*(YEAR(CX8)-YEAR(CX7))+30*(MONTH(CX8)-MONTH(CX7))+MIN(DAY(CX8),30)-MIN(DAY(CX7),30)</f>
        <v>180</v>
      </c>
      <c r="CY10" s="14" t="n">
        <f aca="false">Inputs!$F$46*(YEAR(CY8)-YEAR(CY7))+30*(MONTH(CY8)-MONTH(CY7))+MIN(DAY(CY8),30)-MIN(DAY(CY7),30)</f>
        <v>180</v>
      </c>
      <c r="CZ10" s="14" t="n">
        <f aca="false">Inputs!$F$46*(YEAR(CZ8)-YEAR(CZ7))+30*(MONTH(CZ8)-MONTH(CZ7))+MIN(DAY(CZ8),30)-MIN(DAY(CZ7),30)</f>
        <v>180</v>
      </c>
      <c r="DA10" s="14" t="n">
        <f aca="false">Inputs!$F$46*(YEAR(DA8)-YEAR(DA7))+30*(MONTH(DA8)-MONTH(DA7))+MIN(DAY(DA8),30)-MIN(DAY(DA7),30)</f>
        <v>180</v>
      </c>
      <c r="DB10" s="14" t="n">
        <f aca="false">Inputs!$F$46*(YEAR(DB8)-YEAR(DB7))+30*(MONTH(DB8)-MONTH(DB7))+MIN(DAY(DB8),30)-MIN(DAY(DB7),30)</f>
        <v>180</v>
      </c>
    </row>
    <row r="11" customFormat="false" ht="15" hidden="false" customHeight="false" outlineLevel="0" collapsed="false">
      <c r="D11" s="0" t="s">
        <v>316</v>
      </c>
      <c r="E11" s="0" t="s">
        <v>89</v>
      </c>
      <c r="J11" s="14" t="n">
        <f aca="false">YEAR(J8)</f>
        <v>2015</v>
      </c>
      <c r="K11" s="14" t="n">
        <f aca="false">YEAR(K8)</f>
        <v>2015</v>
      </c>
      <c r="L11" s="14" t="n">
        <f aca="false">YEAR(L8)</f>
        <v>2015</v>
      </c>
      <c r="M11" s="14" t="n">
        <f aca="false">YEAR(M8)</f>
        <v>2016</v>
      </c>
      <c r="N11" s="14" t="n">
        <f aca="false">YEAR(N8)</f>
        <v>2016</v>
      </c>
      <c r="O11" s="14" t="n">
        <f aca="false">YEAR(O8)</f>
        <v>2016</v>
      </c>
      <c r="P11" s="14" t="n">
        <f aca="false">YEAR(P8)</f>
        <v>2016</v>
      </c>
      <c r="Q11" s="14" t="n">
        <f aca="false">YEAR(Q8)</f>
        <v>2017</v>
      </c>
      <c r="R11" s="14" t="n">
        <f aca="false">YEAR(R8)</f>
        <v>2017</v>
      </c>
      <c r="S11" s="14" t="n">
        <f aca="false">YEAR(S8)</f>
        <v>2017</v>
      </c>
      <c r="T11" s="14" t="n">
        <f aca="false">YEAR(T8)</f>
        <v>2017</v>
      </c>
      <c r="U11" s="14" t="n">
        <f aca="false">YEAR(U8)</f>
        <v>2018</v>
      </c>
      <c r="V11" s="14" t="n">
        <f aca="false">YEAR(V8)</f>
        <v>2018</v>
      </c>
      <c r="W11" s="14" t="n">
        <f aca="false">YEAR(W8)</f>
        <v>2018</v>
      </c>
      <c r="X11" s="14" t="n">
        <f aca="false">YEAR(X8)</f>
        <v>2018</v>
      </c>
      <c r="Y11" s="14" t="n">
        <f aca="false">YEAR(Y8)</f>
        <v>2019</v>
      </c>
      <c r="Z11" s="14" t="n">
        <f aca="false">YEAR(Z8)</f>
        <v>2019</v>
      </c>
      <c r="AA11" s="14" t="n">
        <f aca="false">YEAR(AA8)</f>
        <v>2019</v>
      </c>
      <c r="AB11" s="14" t="n">
        <f aca="false">YEAR(AB8)</f>
        <v>2020</v>
      </c>
      <c r="AC11" s="14" t="n">
        <f aca="false">YEAR(AC8)</f>
        <v>2020</v>
      </c>
      <c r="AD11" s="14" t="n">
        <f aca="false">YEAR(AD8)</f>
        <v>2021</v>
      </c>
      <c r="AE11" s="14" t="n">
        <f aca="false">YEAR(AE8)</f>
        <v>2021</v>
      </c>
      <c r="AF11" s="14" t="n">
        <f aca="false">YEAR(AF8)</f>
        <v>2022</v>
      </c>
      <c r="AG11" s="14" t="n">
        <f aca="false">YEAR(AG8)</f>
        <v>2022</v>
      </c>
      <c r="AH11" s="14" t="n">
        <f aca="false">YEAR(AH8)</f>
        <v>2023</v>
      </c>
      <c r="AI11" s="14" t="n">
        <f aca="false">YEAR(AI8)</f>
        <v>2023</v>
      </c>
      <c r="AJ11" s="14" t="n">
        <f aca="false">YEAR(AJ8)</f>
        <v>2024</v>
      </c>
      <c r="AK11" s="14" t="n">
        <f aca="false">YEAR(AK8)</f>
        <v>2024</v>
      </c>
      <c r="AL11" s="14" t="n">
        <f aca="false">YEAR(AL8)</f>
        <v>2025</v>
      </c>
      <c r="AM11" s="14" t="n">
        <f aca="false">YEAR(AM8)</f>
        <v>2025</v>
      </c>
      <c r="AN11" s="14" t="n">
        <f aca="false">YEAR(AN8)</f>
        <v>2026</v>
      </c>
      <c r="AO11" s="14" t="n">
        <f aca="false">YEAR(AO8)</f>
        <v>2026</v>
      </c>
      <c r="AP11" s="14" t="n">
        <f aca="false">YEAR(AP8)</f>
        <v>2027</v>
      </c>
      <c r="AQ11" s="14" t="n">
        <f aca="false">YEAR(AQ8)</f>
        <v>2027</v>
      </c>
      <c r="AR11" s="14" t="n">
        <f aca="false">YEAR(AR8)</f>
        <v>2028</v>
      </c>
      <c r="AS11" s="14" t="n">
        <f aca="false">YEAR(AS8)</f>
        <v>2028</v>
      </c>
      <c r="AT11" s="14" t="n">
        <f aca="false">YEAR(AT8)</f>
        <v>2029</v>
      </c>
      <c r="AU11" s="14" t="n">
        <f aca="false">YEAR(AU8)</f>
        <v>2029</v>
      </c>
      <c r="AV11" s="14" t="n">
        <f aca="false">YEAR(AV8)</f>
        <v>2030</v>
      </c>
      <c r="AW11" s="14" t="n">
        <f aca="false">YEAR(AW8)</f>
        <v>2030</v>
      </c>
      <c r="AX11" s="14" t="n">
        <f aca="false">YEAR(AX8)</f>
        <v>2031</v>
      </c>
      <c r="AY11" s="14" t="n">
        <f aca="false">YEAR(AY8)</f>
        <v>2031</v>
      </c>
      <c r="AZ11" s="14" t="n">
        <f aca="false">YEAR(AZ8)</f>
        <v>2032</v>
      </c>
      <c r="BA11" s="14" t="n">
        <f aca="false">YEAR(BA8)</f>
        <v>2032</v>
      </c>
      <c r="BB11" s="14" t="n">
        <f aca="false">YEAR(BB8)</f>
        <v>2033</v>
      </c>
      <c r="BC11" s="14" t="n">
        <f aca="false">YEAR(BC8)</f>
        <v>2033</v>
      </c>
      <c r="BD11" s="14" t="n">
        <f aca="false">YEAR(BD8)</f>
        <v>2034</v>
      </c>
      <c r="BE11" s="14" t="n">
        <f aca="false">YEAR(BE8)</f>
        <v>2034</v>
      </c>
      <c r="BF11" s="14" t="n">
        <f aca="false">YEAR(BF8)</f>
        <v>2035</v>
      </c>
      <c r="BG11" s="14" t="n">
        <f aca="false">YEAR(BG8)</f>
        <v>2035</v>
      </c>
      <c r="BH11" s="14" t="n">
        <f aca="false">YEAR(BH8)</f>
        <v>2036</v>
      </c>
      <c r="BI11" s="14" t="n">
        <f aca="false">YEAR(BI8)</f>
        <v>2036</v>
      </c>
      <c r="BJ11" s="14" t="n">
        <f aca="false">YEAR(BJ8)</f>
        <v>2037</v>
      </c>
      <c r="BK11" s="14" t="n">
        <f aca="false">YEAR(BK8)</f>
        <v>2037</v>
      </c>
      <c r="BL11" s="14" t="n">
        <f aca="false">YEAR(BL8)</f>
        <v>2038</v>
      </c>
      <c r="BM11" s="14" t="n">
        <f aca="false">YEAR(BM8)</f>
        <v>2038</v>
      </c>
      <c r="BN11" s="14" t="n">
        <f aca="false">YEAR(BN8)</f>
        <v>2039</v>
      </c>
      <c r="BO11" s="14" t="n">
        <f aca="false">YEAR(BO8)</f>
        <v>2039</v>
      </c>
      <c r="BP11" s="14" t="n">
        <f aca="false">YEAR(BP8)</f>
        <v>2040</v>
      </c>
      <c r="BQ11" s="14" t="n">
        <f aca="false">YEAR(BQ8)</f>
        <v>2040</v>
      </c>
      <c r="BR11" s="14" t="n">
        <f aca="false">YEAR(BR8)</f>
        <v>2041</v>
      </c>
      <c r="BS11" s="14" t="n">
        <f aca="false">YEAR(BS8)</f>
        <v>2041</v>
      </c>
      <c r="BT11" s="14" t="n">
        <f aca="false">YEAR(BT8)</f>
        <v>2042</v>
      </c>
      <c r="BU11" s="14" t="n">
        <f aca="false">YEAR(BU8)</f>
        <v>2042</v>
      </c>
      <c r="BV11" s="14" t="n">
        <f aca="false">YEAR(BV8)</f>
        <v>2043</v>
      </c>
      <c r="BW11" s="14" t="n">
        <f aca="false">YEAR(BW8)</f>
        <v>2043</v>
      </c>
      <c r="BX11" s="14" t="n">
        <f aca="false">YEAR(BX8)</f>
        <v>2044</v>
      </c>
      <c r="BY11" s="14" t="n">
        <f aca="false">YEAR(BY8)</f>
        <v>2044</v>
      </c>
      <c r="BZ11" s="14" t="n">
        <f aca="false">YEAR(BZ8)</f>
        <v>2045</v>
      </c>
      <c r="CA11" s="14" t="n">
        <f aca="false">YEAR(CA8)</f>
        <v>2045</v>
      </c>
      <c r="CB11" s="14" t="n">
        <f aca="false">YEAR(CB8)</f>
        <v>2046</v>
      </c>
      <c r="CC11" s="14" t="n">
        <f aca="false">YEAR(CC8)</f>
        <v>2046</v>
      </c>
      <c r="CD11" s="14" t="n">
        <f aca="false">YEAR(CD8)</f>
        <v>2047</v>
      </c>
      <c r="CE11" s="14" t="n">
        <f aca="false">YEAR(CE8)</f>
        <v>2047</v>
      </c>
      <c r="CF11" s="14" t="n">
        <f aca="false">YEAR(CF8)</f>
        <v>2048</v>
      </c>
      <c r="CG11" s="14" t="n">
        <f aca="false">YEAR(CG8)</f>
        <v>2048</v>
      </c>
      <c r="CH11" s="14" t="n">
        <f aca="false">YEAR(CH8)</f>
        <v>2049</v>
      </c>
      <c r="CI11" s="14" t="n">
        <f aca="false">YEAR(CI8)</f>
        <v>2049</v>
      </c>
      <c r="CJ11" s="14" t="n">
        <f aca="false">YEAR(CJ8)</f>
        <v>2050</v>
      </c>
      <c r="CK11" s="14" t="n">
        <f aca="false">YEAR(CK8)</f>
        <v>2050</v>
      </c>
      <c r="CL11" s="14" t="n">
        <f aca="false">YEAR(CL8)</f>
        <v>2051</v>
      </c>
      <c r="CM11" s="14" t="n">
        <f aca="false">YEAR(CM8)</f>
        <v>2051</v>
      </c>
      <c r="CN11" s="14" t="n">
        <f aca="false">YEAR(CN8)</f>
        <v>2052</v>
      </c>
      <c r="CO11" s="14" t="n">
        <f aca="false">YEAR(CO8)</f>
        <v>2052</v>
      </c>
      <c r="CP11" s="14" t="n">
        <f aca="false">YEAR(CP8)</f>
        <v>2053</v>
      </c>
      <c r="CQ11" s="14" t="n">
        <f aca="false">YEAR(CQ8)</f>
        <v>2053</v>
      </c>
      <c r="CR11" s="14" t="n">
        <f aca="false">YEAR(CR8)</f>
        <v>2054</v>
      </c>
      <c r="CS11" s="14" t="n">
        <f aca="false">YEAR(CS8)</f>
        <v>2054</v>
      </c>
      <c r="CT11" s="14" t="n">
        <f aca="false">YEAR(CT8)</f>
        <v>2055</v>
      </c>
      <c r="CU11" s="14" t="n">
        <f aca="false">YEAR(CU8)</f>
        <v>2055</v>
      </c>
      <c r="CV11" s="14" t="n">
        <f aca="false">YEAR(CV8)</f>
        <v>2056</v>
      </c>
      <c r="CW11" s="14" t="n">
        <f aca="false">YEAR(CW8)</f>
        <v>2056</v>
      </c>
      <c r="CX11" s="14" t="n">
        <f aca="false">YEAR(CX8)</f>
        <v>2057</v>
      </c>
      <c r="CY11" s="14" t="n">
        <f aca="false">YEAR(CY8)</f>
        <v>2057</v>
      </c>
      <c r="CZ11" s="14" t="n">
        <f aca="false">YEAR(CZ8)</f>
        <v>2058</v>
      </c>
      <c r="DA11" s="14" t="n">
        <f aca="false">YEAR(DA8)</f>
        <v>2058</v>
      </c>
      <c r="DB11" s="14" t="n">
        <f aca="false">YEAR(DB8)</f>
        <v>2059</v>
      </c>
    </row>
    <row r="12" customFormat="false" ht="15" hidden="false" customHeight="false" outlineLevel="0" collapsed="false">
      <c r="D12" s="0" t="s">
        <v>317</v>
      </c>
      <c r="E12" s="0" t="s">
        <v>39</v>
      </c>
      <c r="J12" s="14" t="n">
        <f aca="false">IF(MONTH(J8)&lt;=6,1,2)</f>
        <v>1</v>
      </c>
      <c r="K12" s="14" t="n">
        <f aca="false">IF(MONTH(K8)&lt;=6,1,2)</f>
        <v>2</v>
      </c>
      <c r="L12" s="14" t="n">
        <f aca="false">IF(MONTH(L8)&lt;=6,1,2)</f>
        <v>2</v>
      </c>
      <c r="M12" s="14" t="n">
        <f aca="false">IF(MONTH(M8)&lt;=6,1,2)</f>
        <v>1</v>
      </c>
      <c r="N12" s="14" t="n">
        <f aca="false">IF(MONTH(N8)&lt;=6,1,2)</f>
        <v>1</v>
      </c>
      <c r="O12" s="14" t="n">
        <f aca="false">IF(MONTH(O8)&lt;=6,1,2)</f>
        <v>2</v>
      </c>
      <c r="P12" s="14" t="n">
        <f aca="false">IF(MONTH(P8)&lt;=6,1,2)</f>
        <v>2</v>
      </c>
      <c r="Q12" s="14" t="n">
        <f aca="false">IF(MONTH(Q8)&lt;=6,1,2)</f>
        <v>1</v>
      </c>
      <c r="R12" s="14" t="n">
        <f aca="false">IF(MONTH(R8)&lt;=6,1,2)</f>
        <v>1</v>
      </c>
      <c r="S12" s="14" t="n">
        <f aca="false">IF(MONTH(S8)&lt;=6,1,2)</f>
        <v>2</v>
      </c>
      <c r="T12" s="14" t="n">
        <f aca="false">IF(MONTH(T8)&lt;=6,1,2)</f>
        <v>2</v>
      </c>
      <c r="U12" s="14" t="n">
        <f aca="false">IF(MONTH(U8)&lt;=6,1,2)</f>
        <v>1</v>
      </c>
      <c r="V12" s="14" t="n">
        <f aca="false">IF(MONTH(V8)&lt;=6,1,2)</f>
        <v>1</v>
      </c>
      <c r="W12" s="14" t="n">
        <f aca="false">IF(MONTH(W8)&lt;=6,1,2)</f>
        <v>2</v>
      </c>
      <c r="X12" s="14" t="n">
        <f aca="false">IF(MONTH(X8)&lt;=6,1,2)</f>
        <v>2</v>
      </c>
      <c r="Y12" s="14" t="n">
        <f aca="false">IF(MONTH(Y8)&lt;=6,1,2)</f>
        <v>1</v>
      </c>
      <c r="Z12" s="14" t="n">
        <f aca="false">IF(MONTH(Z8)&lt;=6,1,2)</f>
        <v>1</v>
      </c>
      <c r="AA12" s="14" t="n">
        <f aca="false">IF(MONTH(AA8)&lt;=6,1,2)</f>
        <v>2</v>
      </c>
      <c r="AB12" s="14" t="n">
        <f aca="false">IF(MONTH(AB8)&lt;=6,1,2)</f>
        <v>1</v>
      </c>
      <c r="AC12" s="14" t="n">
        <f aca="false">IF(MONTH(AC8)&lt;=6,1,2)</f>
        <v>2</v>
      </c>
      <c r="AD12" s="14" t="n">
        <f aca="false">IF(MONTH(AD8)&lt;=6,1,2)</f>
        <v>1</v>
      </c>
      <c r="AE12" s="14" t="n">
        <f aca="false">IF(MONTH(AE8)&lt;=6,1,2)</f>
        <v>2</v>
      </c>
      <c r="AF12" s="14" t="n">
        <f aca="false">IF(MONTH(AF8)&lt;=6,1,2)</f>
        <v>1</v>
      </c>
      <c r="AG12" s="14" t="n">
        <f aca="false">IF(MONTH(AG8)&lt;=6,1,2)</f>
        <v>2</v>
      </c>
      <c r="AH12" s="14" t="n">
        <f aca="false">IF(MONTH(AH8)&lt;=6,1,2)</f>
        <v>1</v>
      </c>
      <c r="AI12" s="14" t="n">
        <f aca="false">IF(MONTH(AI8)&lt;=6,1,2)</f>
        <v>2</v>
      </c>
      <c r="AJ12" s="14" t="n">
        <f aca="false">IF(MONTH(AJ8)&lt;=6,1,2)</f>
        <v>1</v>
      </c>
      <c r="AK12" s="14" t="n">
        <f aca="false">IF(MONTH(AK8)&lt;=6,1,2)</f>
        <v>2</v>
      </c>
      <c r="AL12" s="14" t="n">
        <f aca="false">IF(MONTH(AL8)&lt;=6,1,2)</f>
        <v>1</v>
      </c>
      <c r="AM12" s="14" t="n">
        <f aca="false">IF(MONTH(AM8)&lt;=6,1,2)</f>
        <v>2</v>
      </c>
      <c r="AN12" s="14" t="n">
        <f aca="false">IF(MONTH(AN8)&lt;=6,1,2)</f>
        <v>1</v>
      </c>
      <c r="AO12" s="14" t="n">
        <f aca="false">IF(MONTH(AO8)&lt;=6,1,2)</f>
        <v>2</v>
      </c>
      <c r="AP12" s="14" t="n">
        <f aca="false">IF(MONTH(AP8)&lt;=6,1,2)</f>
        <v>1</v>
      </c>
      <c r="AQ12" s="14" t="n">
        <f aca="false">IF(MONTH(AQ8)&lt;=6,1,2)</f>
        <v>2</v>
      </c>
      <c r="AR12" s="14" t="n">
        <f aca="false">IF(MONTH(AR8)&lt;=6,1,2)</f>
        <v>1</v>
      </c>
      <c r="AS12" s="14" t="n">
        <f aca="false">IF(MONTH(AS8)&lt;=6,1,2)</f>
        <v>2</v>
      </c>
      <c r="AT12" s="14" t="n">
        <f aca="false">IF(MONTH(AT8)&lt;=6,1,2)</f>
        <v>1</v>
      </c>
      <c r="AU12" s="14" t="n">
        <f aca="false">IF(MONTH(AU8)&lt;=6,1,2)</f>
        <v>2</v>
      </c>
      <c r="AV12" s="14" t="n">
        <f aca="false">IF(MONTH(AV8)&lt;=6,1,2)</f>
        <v>1</v>
      </c>
      <c r="AW12" s="14" t="n">
        <f aca="false">IF(MONTH(AW8)&lt;=6,1,2)</f>
        <v>2</v>
      </c>
      <c r="AX12" s="14" t="n">
        <f aca="false">IF(MONTH(AX8)&lt;=6,1,2)</f>
        <v>1</v>
      </c>
      <c r="AY12" s="14" t="n">
        <f aca="false">IF(MONTH(AY8)&lt;=6,1,2)</f>
        <v>2</v>
      </c>
      <c r="AZ12" s="14" t="n">
        <f aca="false">IF(MONTH(AZ8)&lt;=6,1,2)</f>
        <v>1</v>
      </c>
      <c r="BA12" s="14" t="n">
        <f aca="false">IF(MONTH(BA8)&lt;=6,1,2)</f>
        <v>2</v>
      </c>
      <c r="BB12" s="14" t="n">
        <f aca="false">IF(MONTH(BB8)&lt;=6,1,2)</f>
        <v>1</v>
      </c>
      <c r="BC12" s="14" t="n">
        <f aca="false">IF(MONTH(BC8)&lt;=6,1,2)</f>
        <v>2</v>
      </c>
      <c r="BD12" s="14" t="n">
        <f aca="false">IF(MONTH(BD8)&lt;=6,1,2)</f>
        <v>1</v>
      </c>
      <c r="BE12" s="14" t="n">
        <f aca="false">IF(MONTH(BE8)&lt;=6,1,2)</f>
        <v>2</v>
      </c>
      <c r="BF12" s="14" t="n">
        <f aca="false">IF(MONTH(BF8)&lt;=6,1,2)</f>
        <v>1</v>
      </c>
      <c r="BG12" s="14" t="n">
        <f aca="false">IF(MONTH(BG8)&lt;=6,1,2)</f>
        <v>2</v>
      </c>
      <c r="BH12" s="14" t="n">
        <f aca="false">IF(MONTH(BH8)&lt;=6,1,2)</f>
        <v>1</v>
      </c>
      <c r="BI12" s="14" t="n">
        <f aca="false">IF(MONTH(BI8)&lt;=6,1,2)</f>
        <v>2</v>
      </c>
      <c r="BJ12" s="14" t="n">
        <f aca="false">IF(MONTH(BJ8)&lt;=6,1,2)</f>
        <v>1</v>
      </c>
      <c r="BK12" s="14" t="n">
        <f aca="false">IF(MONTH(BK8)&lt;=6,1,2)</f>
        <v>2</v>
      </c>
      <c r="BL12" s="14" t="n">
        <f aca="false">IF(MONTH(BL8)&lt;=6,1,2)</f>
        <v>1</v>
      </c>
      <c r="BM12" s="14" t="n">
        <f aca="false">IF(MONTH(BM8)&lt;=6,1,2)</f>
        <v>2</v>
      </c>
      <c r="BN12" s="14" t="n">
        <f aca="false">IF(MONTH(BN8)&lt;=6,1,2)</f>
        <v>1</v>
      </c>
      <c r="BO12" s="14" t="n">
        <f aca="false">IF(MONTH(BO8)&lt;=6,1,2)</f>
        <v>2</v>
      </c>
      <c r="BP12" s="14" t="n">
        <f aca="false">IF(MONTH(BP8)&lt;=6,1,2)</f>
        <v>1</v>
      </c>
      <c r="BQ12" s="14" t="n">
        <f aca="false">IF(MONTH(BQ8)&lt;=6,1,2)</f>
        <v>2</v>
      </c>
      <c r="BR12" s="14" t="n">
        <f aca="false">IF(MONTH(BR8)&lt;=6,1,2)</f>
        <v>1</v>
      </c>
      <c r="BS12" s="14" t="n">
        <f aca="false">IF(MONTH(BS8)&lt;=6,1,2)</f>
        <v>2</v>
      </c>
      <c r="BT12" s="14" t="n">
        <f aca="false">IF(MONTH(BT8)&lt;=6,1,2)</f>
        <v>1</v>
      </c>
      <c r="BU12" s="14" t="n">
        <f aca="false">IF(MONTH(BU8)&lt;=6,1,2)</f>
        <v>2</v>
      </c>
      <c r="BV12" s="14" t="n">
        <f aca="false">IF(MONTH(BV8)&lt;=6,1,2)</f>
        <v>1</v>
      </c>
      <c r="BW12" s="14" t="n">
        <f aca="false">IF(MONTH(BW8)&lt;=6,1,2)</f>
        <v>2</v>
      </c>
      <c r="BX12" s="14" t="n">
        <f aca="false">IF(MONTH(BX8)&lt;=6,1,2)</f>
        <v>1</v>
      </c>
      <c r="BY12" s="14" t="n">
        <f aca="false">IF(MONTH(BY8)&lt;=6,1,2)</f>
        <v>2</v>
      </c>
      <c r="BZ12" s="14" t="n">
        <f aca="false">IF(MONTH(BZ8)&lt;=6,1,2)</f>
        <v>1</v>
      </c>
      <c r="CA12" s="14" t="n">
        <f aca="false">IF(MONTH(CA8)&lt;=6,1,2)</f>
        <v>2</v>
      </c>
      <c r="CB12" s="14" t="n">
        <f aca="false">IF(MONTH(CB8)&lt;=6,1,2)</f>
        <v>1</v>
      </c>
      <c r="CC12" s="14" t="n">
        <f aca="false">IF(MONTH(CC8)&lt;=6,1,2)</f>
        <v>2</v>
      </c>
      <c r="CD12" s="14" t="n">
        <f aca="false">IF(MONTH(CD8)&lt;=6,1,2)</f>
        <v>1</v>
      </c>
      <c r="CE12" s="14" t="n">
        <f aca="false">IF(MONTH(CE8)&lt;=6,1,2)</f>
        <v>2</v>
      </c>
      <c r="CF12" s="14" t="n">
        <f aca="false">IF(MONTH(CF8)&lt;=6,1,2)</f>
        <v>1</v>
      </c>
      <c r="CG12" s="14" t="n">
        <f aca="false">IF(MONTH(CG8)&lt;=6,1,2)</f>
        <v>2</v>
      </c>
      <c r="CH12" s="14" t="n">
        <f aca="false">IF(MONTH(CH8)&lt;=6,1,2)</f>
        <v>1</v>
      </c>
      <c r="CI12" s="14" t="n">
        <f aca="false">IF(MONTH(CI8)&lt;=6,1,2)</f>
        <v>2</v>
      </c>
      <c r="CJ12" s="14" t="n">
        <f aca="false">IF(MONTH(CJ8)&lt;=6,1,2)</f>
        <v>1</v>
      </c>
      <c r="CK12" s="14" t="n">
        <f aca="false">IF(MONTH(CK8)&lt;=6,1,2)</f>
        <v>2</v>
      </c>
      <c r="CL12" s="14" t="n">
        <f aca="false">IF(MONTH(CL8)&lt;=6,1,2)</f>
        <v>1</v>
      </c>
      <c r="CM12" s="14" t="n">
        <f aca="false">IF(MONTH(CM8)&lt;=6,1,2)</f>
        <v>2</v>
      </c>
      <c r="CN12" s="14" t="n">
        <f aca="false">IF(MONTH(CN8)&lt;=6,1,2)</f>
        <v>1</v>
      </c>
      <c r="CO12" s="14" t="n">
        <f aca="false">IF(MONTH(CO8)&lt;=6,1,2)</f>
        <v>2</v>
      </c>
      <c r="CP12" s="14" t="n">
        <f aca="false">IF(MONTH(CP8)&lt;=6,1,2)</f>
        <v>1</v>
      </c>
      <c r="CQ12" s="14" t="n">
        <f aca="false">IF(MONTH(CQ8)&lt;=6,1,2)</f>
        <v>2</v>
      </c>
      <c r="CR12" s="14" t="n">
        <f aca="false">IF(MONTH(CR8)&lt;=6,1,2)</f>
        <v>1</v>
      </c>
      <c r="CS12" s="14" t="n">
        <f aca="false">IF(MONTH(CS8)&lt;=6,1,2)</f>
        <v>2</v>
      </c>
      <c r="CT12" s="14" t="n">
        <f aca="false">IF(MONTH(CT8)&lt;=6,1,2)</f>
        <v>1</v>
      </c>
      <c r="CU12" s="14" t="n">
        <f aca="false">IF(MONTH(CU8)&lt;=6,1,2)</f>
        <v>2</v>
      </c>
      <c r="CV12" s="14" t="n">
        <f aca="false">IF(MONTH(CV8)&lt;=6,1,2)</f>
        <v>1</v>
      </c>
      <c r="CW12" s="14" t="n">
        <f aca="false">IF(MONTH(CW8)&lt;=6,1,2)</f>
        <v>2</v>
      </c>
      <c r="CX12" s="14" t="n">
        <f aca="false">IF(MONTH(CX8)&lt;=6,1,2)</f>
        <v>1</v>
      </c>
      <c r="CY12" s="14" t="n">
        <f aca="false">IF(MONTH(CY8)&lt;=6,1,2)</f>
        <v>2</v>
      </c>
      <c r="CZ12" s="14" t="n">
        <f aca="false">IF(MONTH(CZ8)&lt;=6,1,2)</f>
        <v>1</v>
      </c>
      <c r="DA12" s="14" t="n">
        <f aca="false">IF(MONTH(DA8)&lt;=6,1,2)</f>
        <v>2</v>
      </c>
      <c r="DB12" s="14" t="n">
        <f aca="false">IF(MONTH(DB8)&lt;=6,1,2)</f>
        <v>1</v>
      </c>
    </row>
    <row r="13" customFormat="false" ht="15" hidden="false" customHeight="false" outlineLevel="0" collapsed="false">
      <c r="D13" s="0" t="s">
        <v>318</v>
      </c>
      <c r="E13" s="0" t="s">
        <v>291</v>
      </c>
      <c r="J13" s="14" t="n">
        <f aca="false">J11*Inputs!$F$63+J12</f>
        <v>20151</v>
      </c>
      <c r="K13" s="14" t="n">
        <f aca="false">K11*Inputs!$F$63+K12</f>
        <v>20152</v>
      </c>
      <c r="L13" s="14" t="n">
        <f aca="false">L11*Inputs!$F$63+L12</f>
        <v>20152</v>
      </c>
      <c r="M13" s="14" t="n">
        <f aca="false">M11*Inputs!$F$63+M12</f>
        <v>20161</v>
      </c>
      <c r="N13" s="14" t="n">
        <f aca="false">N11*Inputs!$F$63+N12</f>
        <v>20161</v>
      </c>
      <c r="O13" s="14" t="n">
        <f aca="false">O11*Inputs!$F$63+O12</f>
        <v>20162</v>
      </c>
      <c r="P13" s="14" t="n">
        <f aca="false">P11*Inputs!$F$63+P12</f>
        <v>20162</v>
      </c>
      <c r="Q13" s="14" t="n">
        <f aca="false">Q11*Inputs!$F$63+Q12</f>
        <v>20171</v>
      </c>
      <c r="R13" s="14" t="n">
        <f aca="false">R11*Inputs!$F$63+R12</f>
        <v>20171</v>
      </c>
      <c r="S13" s="14" t="n">
        <f aca="false">S11*Inputs!$F$63+S12</f>
        <v>20172</v>
      </c>
      <c r="T13" s="14" t="n">
        <f aca="false">T11*Inputs!$F$63+T12</f>
        <v>20172</v>
      </c>
      <c r="U13" s="14" t="n">
        <f aca="false">U11*Inputs!$F$63+U12</f>
        <v>20181</v>
      </c>
      <c r="V13" s="14" t="n">
        <f aca="false">V11*Inputs!$F$63+V12</f>
        <v>20181</v>
      </c>
      <c r="W13" s="14" t="n">
        <f aca="false">W11*Inputs!$F$63+W12</f>
        <v>20182</v>
      </c>
      <c r="X13" s="14" t="n">
        <f aca="false">X11*Inputs!$F$63+X12</f>
        <v>20182</v>
      </c>
      <c r="Y13" s="14" t="n">
        <f aca="false">Y11*Inputs!$F$63+Y12</f>
        <v>20191</v>
      </c>
      <c r="Z13" s="14" t="n">
        <f aca="false">Z11*Inputs!$F$63+Z12</f>
        <v>20191</v>
      </c>
      <c r="AA13" s="14" t="n">
        <f aca="false">AA11*Inputs!$F$63+AA12</f>
        <v>20192</v>
      </c>
      <c r="AB13" s="14" t="n">
        <f aca="false">AB11*Inputs!$F$63+AB12</f>
        <v>20201</v>
      </c>
      <c r="AC13" s="14" t="n">
        <f aca="false">AC11*Inputs!$F$63+AC12</f>
        <v>20202</v>
      </c>
      <c r="AD13" s="14" t="n">
        <f aca="false">AD11*Inputs!$F$63+AD12</f>
        <v>20211</v>
      </c>
      <c r="AE13" s="14" t="n">
        <f aca="false">AE11*Inputs!$F$63+AE12</f>
        <v>20212</v>
      </c>
      <c r="AF13" s="14" t="n">
        <f aca="false">AF11*Inputs!$F$63+AF12</f>
        <v>20221</v>
      </c>
      <c r="AG13" s="14" t="n">
        <f aca="false">AG11*Inputs!$F$63+AG12</f>
        <v>20222</v>
      </c>
      <c r="AH13" s="14" t="n">
        <f aca="false">AH11*Inputs!$F$63+AH12</f>
        <v>20231</v>
      </c>
      <c r="AI13" s="14" t="n">
        <f aca="false">AI11*Inputs!$F$63+AI12</f>
        <v>20232</v>
      </c>
      <c r="AJ13" s="14" t="n">
        <f aca="false">AJ11*Inputs!$F$63+AJ12</f>
        <v>20241</v>
      </c>
      <c r="AK13" s="14" t="n">
        <f aca="false">AK11*Inputs!$F$63+AK12</f>
        <v>20242</v>
      </c>
      <c r="AL13" s="14" t="n">
        <f aca="false">AL11*Inputs!$F$63+AL12</f>
        <v>20251</v>
      </c>
      <c r="AM13" s="14" t="n">
        <f aca="false">AM11*Inputs!$F$63+AM12</f>
        <v>20252</v>
      </c>
      <c r="AN13" s="14" t="n">
        <f aca="false">AN11*Inputs!$F$63+AN12</f>
        <v>20261</v>
      </c>
      <c r="AO13" s="14" t="n">
        <f aca="false">AO11*Inputs!$F$63+AO12</f>
        <v>20262</v>
      </c>
      <c r="AP13" s="14" t="n">
        <f aca="false">AP11*Inputs!$F$63+AP12</f>
        <v>20271</v>
      </c>
      <c r="AQ13" s="14" t="n">
        <f aca="false">AQ11*Inputs!$F$63+AQ12</f>
        <v>20272</v>
      </c>
      <c r="AR13" s="14" t="n">
        <f aca="false">AR11*Inputs!$F$63+AR12</f>
        <v>20281</v>
      </c>
      <c r="AS13" s="14" t="n">
        <f aca="false">AS11*Inputs!$F$63+AS12</f>
        <v>20282</v>
      </c>
      <c r="AT13" s="14" t="n">
        <f aca="false">AT11*Inputs!$F$63+AT12</f>
        <v>20291</v>
      </c>
      <c r="AU13" s="14" t="n">
        <f aca="false">AU11*Inputs!$F$63+AU12</f>
        <v>20292</v>
      </c>
      <c r="AV13" s="14" t="n">
        <f aca="false">AV11*Inputs!$F$63+AV12</f>
        <v>20301</v>
      </c>
      <c r="AW13" s="14" t="n">
        <f aca="false">AW11*Inputs!$F$63+AW12</f>
        <v>20302</v>
      </c>
      <c r="AX13" s="14" t="n">
        <f aca="false">AX11*Inputs!$F$63+AX12</f>
        <v>20311</v>
      </c>
      <c r="AY13" s="14" t="n">
        <f aca="false">AY11*Inputs!$F$63+AY12</f>
        <v>20312</v>
      </c>
      <c r="AZ13" s="14" t="n">
        <f aca="false">AZ11*Inputs!$F$63+AZ12</f>
        <v>20321</v>
      </c>
      <c r="BA13" s="14" t="n">
        <f aca="false">BA11*Inputs!$F$63+BA12</f>
        <v>20322</v>
      </c>
      <c r="BB13" s="14" t="n">
        <f aca="false">BB11*Inputs!$F$63+BB12</f>
        <v>20331</v>
      </c>
      <c r="BC13" s="14" t="n">
        <f aca="false">BC11*Inputs!$F$63+BC12</f>
        <v>20332</v>
      </c>
      <c r="BD13" s="14" t="n">
        <f aca="false">BD11*Inputs!$F$63+BD12</f>
        <v>20341</v>
      </c>
      <c r="BE13" s="14" t="n">
        <f aca="false">BE11*Inputs!$F$63+BE12</f>
        <v>20342</v>
      </c>
      <c r="BF13" s="14" t="n">
        <f aca="false">BF11*Inputs!$F$63+BF12</f>
        <v>20351</v>
      </c>
      <c r="BG13" s="14" t="n">
        <f aca="false">BG11*Inputs!$F$63+BG12</f>
        <v>20352</v>
      </c>
      <c r="BH13" s="14" t="n">
        <f aca="false">BH11*Inputs!$F$63+BH12</f>
        <v>20361</v>
      </c>
      <c r="BI13" s="14" t="n">
        <f aca="false">BI11*Inputs!$F$63+BI12</f>
        <v>20362</v>
      </c>
      <c r="BJ13" s="14" t="n">
        <f aca="false">BJ11*Inputs!$F$63+BJ12</f>
        <v>20371</v>
      </c>
      <c r="BK13" s="14" t="n">
        <f aca="false">BK11*Inputs!$F$63+BK12</f>
        <v>20372</v>
      </c>
      <c r="BL13" s="14" t="n">
        <f aca="false">BL11*Inputs!$F$63+BL12</f>
        <v>20381</v>
      </c>
      <c r="BM13" s="14" t="n">
        <f aca="false">BM11*Inputs!$F$63+BM12</f>
        <v>20382</v>
      </c>
      <c r="BN13" s="14" t="n">
        <f aca="false">BN11*Inputs!$F$63+BN12</f>
        <v>20391</v>
      </c>
      <c r="BO13" s="14" t="n">
        <f aca="false">BO11*Inputs!$F$63+BO12</f>
        <v>20392</v>
      </c>
      <c r="BP13" s="14" t="n">
        <f aca="false">BP11*Inputs!$F$63+BP12</f>
        <v>20401</v>
      </c>
      <c r="BQ13" s="14" t="n">
        <f aca="false">BQ11*Inputs!$F$63+BQ12</f>
        <v>20402</v>
      </c>
      <c r="BR13" s="14" t="n">
        <f aca="false">BR11*Inputs!$F$63+BR12</f>
        <v>20411</v>
      </c>
      <c r="BS13" s="14" t="n">
        <f aca="false">BS11*Inputs!$F$63+BS12</f>
        <v>20412</v>
      </c>
      <c r="BT13" s="14" t="n">
        <f aca="false">BT11*Inputs!$F$63+BT12</f>
        <v>20421</v>
      </c>
      <c r="BU13" s="14" t="n">
        <f aca="false">BU11*Inputs!$F$63+BU12</f>
        <v>20422</v>
      </c>
      <c r="BV13" s="14" t="n">
        <f aca="false">BV11*Inputs!$F$63+BV12</f>
        <v>20431</v>
      </c>
      <c r="BW13" s="14" t="n">
        <f aca="false">BW11*Inputs!$F$63+BW12</f>
        <v>20432</v>
      </c>
      <c r="BX13" s="14" t="n">
        <f aca="false">BX11*Inputs!$F$63+BX12</f>
        <v>20441</v>
      </c>
      <c r="BY13" s="14" t="n">
        <f aca="false">BY11*Inputs!$F$63+BY12</f>
        <v>20442</v>
      </c>
      <c r="BZ13" s="14" t="n">
        <f aca="false">BZ11*Inputs!$F$63+BZ12</f>
        <v>20451</v>
      </c>
      <c r="CA13" s="14" t="n">
        <f aca="false">CA11*Inputs!$F$63+CA12</f>
        <v>20452</v>
      </c>
      <c r="CB13" s="14" t="n">
        <f aca="false">CB11*Inputs!$F$63+CB12</f>
        <v>20461</v>
      </c>
      <c r="CC13" s="14" t="n">
        <f aca="false">CC11*Inputs!$F$63+CC12</f>
        <v>20462</v>
      </c>
      <c r="CD13" s="14" t="n">
        <f aca="false">CD11*Inputs!$F$63+CD12</f>
        <v>20471</v>
      </c>
      <c r="CE13" s="14" t="n">
        <f aca="false">CE11*Inputs!$F$63+CE12</f>
        <v>20472</v>
      </c>
      <c r="CF13" s="14" t="n">
        <f aca="false">CF11*Inputs!$F$63+CF12</f>
        <v>20481</v>
      </c>
      <c r="CG13" s="14" t="n">
        <f aca="false">CG11*Inputs!$F$63+CG12</f>
        <v>20482</v>
      </c>
      <c r="CH13" s="14" t="n">
        <f aca="false">CH11*Inputs!$F$63+CH12</f>
        <v>20491</v>
      </c>
      <c r="CI13" s="14" t="n">
        <f aca="false">CI11*Inputs!$F$63+CI12</f>
        <v>20492</v>
      </c>
      <c r="CJ13" s="14" t="n">
        <f aca="false">CJ11*Inputs!$F$63+CJ12</f>
        <v>20501</v>
      </c>
      <c r="CK13" s="14" t="n">
        <f aca="false">CK11*Inputs!$F$63+CK12</f>
        <v>20502</v>
      </c>
      <c r="CL13" s="14" t="n">
        <f aca="false">CL11*Inputs!$F$63+CL12</f>
        <v>20511</v>
      </c>
      <c r="CM13" s="14" t="n">
        <f aca="false">CM11*Inputs!$F$63+CM12</f>
        <v>20512</v>
      </c>
      <c r="CN13" s="14" t="n">
        <f aca="false">CN11*Inputs!$F$63+CN12</f>
        <v>20521</v>
      </c>
      <c r="CO13" s="14" t="n">
        <f aca="false">CO11*Inputs!$F$63+CO12</f>
        <v>20522</v>
      </c>
      <c r="CP13" s="14" t="n">
        <f aca="false">CP11*Inputs!$F$63+CP12</f>
        <v>20531</v>
      </c>
      <c r="CQ13" s="14" t="n">
        <f aca="false">CQ11*Inputs!$F$63+CQ12</f>
        <v>20532</v>
      </c>
      <c r="CR13" s="14" t="n">
        <f aca="false">CR11*Inputs!$F$63+CR12</f>
        <v>20541</v>
      </c>
      <c r="CS13" s="14" t="n">
        <f aca="false">CS11*Inputs!$F$63+CS12</f>
        <v>20542</v>
      </c>
      <c r="CT13" s="14" t="n">
        <f aca="false">CT11*Inputs!$F$63+CT12</f>
        <v>20551</v>
      </c>
      <c r="CU13" s="14" t="n">
        <f aca="false">CU11*Inputs!$F$63+CU12</f>
        <v>20552</v>
      </c>
      <c r="CV13" s="14" t="n">
        <f aca="false">CV11*Inputs!$F$63+CV12</f>
        <v>20561</v>
      </c>
      <c r="CW13" s="14" t="n">
        <f aca="false">CW11*Inputs!$F$63+CW12</f>
        <v>20562</v>
      </c>
      <c r="CX13" s="14" t="n">
        <f aca="false">CX11*Inputs!$F$63+CX12</f>
        <v>20571</v>
      </c>
      <c r="CY13" s="14" t="n">
        <f aca="false">CY11*Inputs!$F$63+CY12</f>
        <v>20572</v>
      </c>
      <c r="CZ13" s="14" t="n">
        <f aca="false">CZ11*Inputs!$F$63+CZ12</f>
        <v>20581</v>
      </c>
      <c r="DA13" s="14" t="n">
        <f aca="false">DA11*Inputs!$F$63+DA12</f>
        <v>20582</v>
      </c>
      <c r="DB13" s="14" t="n">
        <f aca="false">DB11*Inputs!$F$63+DB12</f>
        <v>20591</v>
      </c>
    </row>
    <row r="14" customFormat="false" ht="15" hidden="false" customHeight="false" outlineLevel="0" collapsed="false">
      <c r="D14" s="0" t="s">
        <v>319</v>
      </c>
      <c r="E14" s="0" t="s">
        <v>39</v>
      </c>
      <c r="J14" s="14" t="n">
        <f aca="false">ROUND(J9/Inputs!$F$47,0)</f>
        <v>1</v>
      </c>
      <c r="K14" s="14" t="n">
        <f aca="false">ROUND(K9/Inputs!$F$47,0)</f>
        <v>3</v>
      </c>
      <c r="L14" s="14" t="n">
        <f aca="false">ROUND(L9/Inputs!$F$47,0)</f>
        <v>3</v>
      </c>
      <c r="M14" s="14" t="n">
        <f aca="false">ROUND(M9/Inputs!$F$47,0)</f>
        <v>3</v>
      </c>
      <c r="N14" s="14" t="n">
        <f aca="false">ROUND(N9/Inputs!$F$47,0)</f>
        <v>3</v>
      </c>
      <c r="O14" s="14" t="n">
        <f aca="false">ROUND(O9/Inputs!$F$47,0)</f>
        <v>3</v>
      </c>
      <c r="P14" s="14" t="n">
        <f aca="false">ROUND(P9/Inputs!$F$47,0)</f>
        <v>3</v>
      </c>
      <c r="Q14" s="14" t="n">
        <f aca="false">ROUND(Q9/Inputs!$F$47,0)</f>
        <v>3</v>
      </c>
      <c r="R14" s="14" t="n">
        <f aca="false">ROUND(R9/Inputs!$F$47,0)</f>
        <v>3</v>
      </c>
      <c r="S14" s="14" t="n">
        <f aca="false">ROUND(S9/Inputs!$F$47,0)</f>
        <v>3</v>
      </c>
      <c r="T14" s="14" t="n">
        <f aca="false">ROUND(T9/Inputs!$F$47,0)</f>
        <v>3</v>
      </c>
      <c r="U14" s="14" t="n">
        <f aca="false">ROUND(U9/Inputs!$F$47,0)</f>
        <v>3</v>
      </c>
      <c r="V14" s="14" t="n">
        <f aca="false">ROUND(V9/Inputs!$F$47,0)</f>
        <v>3</v>
      </c>
      <c r="W14" s="14" t="n">
        <f aca="false">ROUND(W9/Inputs!$F$47,0)</f>
        <v>3</v>
      </c>
      <c r="X14" s="14" t="n">
        <f aca="false">ROUND(X9/Inputs!$F$47,0)</f>
        <v>3</v>
      </c>
      <c r="Y14" s="14" t="n">
        <f aca="false">ROUND(Y9/Inputs!$F$47,0)</f>
        <v>3</v>
      </c>
      <c r="Z14" s="14" t="n">
        <f aca="false">ROUND(Z9/Inputs!$F$47,0)</f>
        <v>3</v>
      </c>
      <c r="AA14" s="14" t="n">
        <f aca="false">ROUND(AA9/Inputs!$F$47,0)</f>
        <v>6</v>
      </c>
      <c r="AB14" s="14" t="n">
        <f aca="false">ROUND(AB9/Inputs!$F$47,0)</f>
        <v>6</v>
      </c>
      <c r="AC14" s="14" t="n">
        <f aca="false">ROUND(AC9/Inputs!$F$47,0)</f>
        <v>6</v>
      </c>
      <c r="AD14" s="14" t="n">
        <f aca="false">ROUND(AD9/Inputs!$F$47,0)</f>
        <v>6</v>
      </c>
      <c r="AE14" s="14" t="n">
        <f aca="false">ROUND(AE9/Inputs!$F$47,0)</f>
        <v>6</v>
      </c>
      <c r="AF14" s="14" t="n">
        <f aca="false">ROUND(AF9/Inputs!$F$47,0)</f>
        <v>6</v>
      </c>
      <c r="AG14" s="14" t="n">
        <f aca="false">ROUND(AG9/Inputs!$F$47,0)</f>
        <v>6</v>
      </c>
      <c r="AH14" s="14" t="n">
        <f aca="false">ROUND(AH9/Inputs!$F$47,0)</f>
        <v>6</v>
      </c>
      <c r="AI14" s="14" t="n">
        <f aca="false">ROUND(AI9/Inputs!$F$47,0)</f>
        <v>6</v>
      </c>
      <c r="AJ14" s="14" t="n">
        <f aca="false">ROUND(AJ9/Inputs!$F$47,0)</f>
        <v>6</v>
      </c>
      <c r="AK14" s="14" t="n">
        <f aca="false">ROUND(AK9/Inputs!$F$47,0)</f>
        <v>6</v>
      </c>
      <c r="AL14" s="14" t="n">
        <f aca="false">ROUND(AL9/Inputs!$F$47,0)</f>
        <v>6</v>
      </c>
      <c r="AM14" s="14" t="n">
        <f aca="false">ROUND(AM9/Inputs!$F$47,0)</f>
        <v>6</v>
      </c>
      <c r="AN14" s="14" t="n">
        <f aca="false">ROUND(AN9/Inputs!$F$47,0)</f>
        <v>6</v>
      </c>
      <c r="AO14" s="14" t="n">
        <f aca="false">ROUND(AO9/Inputs!$F$47,0)</f>
        <v>6</v>
      </c>
      <c r="AP14" s="14" t="n">
        <f aca="false">ROUND(AP9/Inputs!$F$47,0)</f>
        <v>6</v>
      </c>
      <c r="AQ14" s="14" t="n">
        <f aca="false">ROUND(AQ9/Inputs!$F$47,0)</f>
        <v>6</v>
      </c>
      <c r="AR14" s="14" t="n">
        <f aca="false">ROUND(AR9/Inputs!$F$47,0)</f>
        <v>6</v>
      </c>
      <c r="AS14" s="14" t="n">
        <f aca="false">ROUND(AS9/Inputs!$F$47,0)</f>
        <v>6</v>
      </c>
      <c r="AT14" s="14" t="n">
        <f aca="false">ROUND(AT9/Inputs!$F$47,0)</f>
        <v>6</v>
      </c>
      <c r="AU14" s="14" t="n">
        <f aca="false">ROUND(AU9/Inputs!$F$47,0)</f>
        <v>6</v>
      </c>
      <c r="AV14" s="14" t="n">
        <f aca="false">ROUND(AV9/Inputs!$F$47,0)</f>
        <v>6</v>
      </c>
      <c r="AW14" s="14" t="n">
        <f aca="false">ROUND(AW9/Inputs!$F$47,0)</f>
        <v>6</v>
      </c>
      <c r="AX14" s="14" t="n">
        <f aca="false">ROUND(AX9/Inputs!$F$47,0)</f>
        <v>6</v>
      </c>
      <c r="AY14" s="14" t="n">
        <f aca="false">ROUND(AY9/Inputs!$F$47,0)</f>
        <v>6</v>
      </c>
      <c r="AZ14" s="14" t="n">
        <f aca="false">ROUND(AZ9/Inputs!$F$47,0)</f>
        <v>6</v>
      </c>
      <c r="BA14" s="14" t="n">
        <f aca="false">ROUND(BA9/Inputs!$F$47,0)</f>
        <v>6</v>
      </c>
      <c r="BB14" s="14" t="n">
        <f aca="false">ROUND(BB9/Inputs!$F$47,0)</f>
        <v>6</v>
      </c>
      <c r="BC14" s="14" t="n">
        <f aca="false">ROUND(BC9/Inputs!$F$47,0)</f>
        <v>6</v>
      </c>
      <c r="BD14" s="14" t="n">
        <f aca="false">ROUND(BD9/Inputs!$F$47,0)</f>
        <v>6</v>
      </c>
      <c r="BE14" s="14" t="n">
        <f aca="false">ROUND(BE9/Inputs!$F$47,0)</f>
        <v>6</v>
      </c>
      <c r="BF14" s="14" t="n">
        <f aca="false">ROUND(BF9/Inputs!$F$47,0)</f>
        <v>6</v>
      </c>
      <c r="BG14" s="14" t="n">
        <f aca="false">ROUND(BG9/Inputs!$F$47,0)</f>
        <v>6</v>
      </c>
      <c r="BH14" s="14" t="n">
        <f aca="false">ROUND(BH9/Inputs!$F$47,0)</f>
        <v>6</v>
      </c>
      <c r="BI14" s="14" t="n">
        <f aca="false">ROUND(BI9/Inputs!$F$47,0)</f>
        <v>6</v>
      </c>
      <c r="BJ14" s="14" t="n">
        <f aca="false">ROUND(BJ9/Inputs!$F$47,0)</f>
        <v>6</v>
      </c>
      <c r="BK14" s="14" t="n">
        <f aca="false">ROUND(BK9/Inputs!$F$47,0)</f>
        <v>6</v>
      </c>
      <c r="BL14" s="14" t="n">
        <f aca="false">ROUND(BL9/Inputs!$F$47,0)</f>
        <v>6</v>
      </c>
      <c r="BM14" s="14" t="n">
        <f aca="false">ROUND(BM9/Inputs!$F$47,0)</f>
        <v>6</v>
      </c>
      <c r="BN14" s="14" t="n">
        <f aca="false">ROUND(BN9/Inputs!$F$47,0)</f>
        <v>6</v>
      </c>
      <c r="BO14" s="14" t="n">
        <f aca="false">ROUND(BO9/Inputs!$F$47,0)</f>
        <v>6</v>
      </c>
      <c r="BP14" s="14" t="n">
        <f aca="false">ROUND(BP9/Inputs!$F$47,0)</f>
        <v>6</v>
      </c>
      <c r="BQ14" s="14" t="n">
        <f aca="false">ROUND(BQ9/Inputs!$F$47,0)</f>
        <v>6</v>
      </c>
      <c r="BR14" s="14" t="n">
        <f aca="false">ROUND(BR9/Inputs!$F$47,0)</f>
        <v>6</v>
      </c>
      <c r="BS14" s="14" t="n">
        <f aca="false">ROUND(BS9/Inputs!$F$47,0)</f>
        <v>6</v>
      </c>
      <c r="BT14" s="14" t="n">
        <f aca="false">ROUND(BT9/Inputs!$F$47,0)</f>
        <v>6</v>
      </c>
      <c r="BU14" s="14" t="n">
        <f aca="false">ROUND(BU9/Inputs!$F$47,0)</f>
        <v>6</v>
      </c>
      <c r="BV14" s="14" t="n">
        <f aca="false">ROUND(BV9/Inputs!$F$47,0)</f>
        <v>6</v>
      </c>
      <c r="BW14" s="14" t="n">
        <f aca="false">ROUND(BW9/Inputs!$F$47,0)</f>
        <v>6</v>
      </c>
      <c r="BX14" s="14" t="n">
        <f aca="false">ROUND(BX9/Inputs!$F$47,0)</f>
        <v>6</v>
      </c>
      <c r="BY14" s="14" t="n">
        <f aca="false">ROUND(BY9/Inputs!$F$47,0)</f>
        <v>6</v>
      </c>
      <c r="BZ14" s="14" t="n">
        <f aca="false">ROUND(BZ9/Inputs!$F$47,0)</f>
        <v>6</v>
      </c>
      <c r="CA14" s="14" t="n">
        <f aca="false">ROUND(CA9/Inputs!$F$47,0)</f>
        <v>6</v>
      </c>
      <c r="CB14" s="14" t="n">
        <f aca="false">ROUND(CB9/Inputs!$F$47,0)</f>
        <v>6</v>
      </c>
      <c r="CC14" s="14" t="n">
        <f aca="false">ROUND(CC9/Inputs!$F$47,0)</f>
        <v>6</v>
      </c>
      <c r="CD14" s="14" t="n">
        <f aca="false">ROUND(CD9/Inputs!$F$47,0)</f>
        <v>6</v>
      </c>
      <c r="CE14" s="14" t="n">
        <f aca="false">ROUND(CE9/Inputs!$F$47,0)</f>
        <v>6</v>
      </c>
      <c r="CF14" s="14" t="n">
        <f aca="false">ROUND(CF9/Inputs!$F$47,0)</f>
        <v>6</v>
      </c>
      <c r="CG14" s="14" t="n">
        <f aca="false">ROUND(CG9/Inputs!$F$47,0)</f>
        <v>6</v>
      </c>
      <c r="CH14" s="14" t="n">
        <f aca="false">ROUND(CH9/Inputs!$F$47,0)</f>
        <v>6</v>
      </c>
      <c r="CI14" s="14" t="n">
        <f aca="false">ROUND(CI9/Inputs!$F$47,0)</f>
        <v>6</v>
      </c>
      <c r="CJ14" s="14" t="n">
        <f aca="false">ROUND(CJ9/Inputs!$F$47,0)</f>
        <v>6</v>
      </c>
      <c r="CK14" s="14" t="n">
        <f aca="false">ROUND(CK9/Inputs!$F$47,0)</f>
        <v>6</v>
      </c>
      <c r="CL14" s="14" t="n">
        <f aca="false">ROUND(CL9/Inputs!$F$47,0)</f>
        <v>6</v>
      </c>
      <c r="CM14" s="14" t="n">
        <f aca="false">ROUND(CM9/Inputs!$F$47,0)</f>
        <v>6</v>
      </c>
      <c r="CN14" s="14" t="n">
        <f aca="false">ROUND(CN9/Inputs!$F$47,0)</f>
        <v>6</v>
      </c>
      <c r="CO14" s="14" t="n">
        <f aca="false">ROUND(CO9/Inputs!$F$47,0)</f>
        <v>6</v>
      </c>
      <c r="CP14" s="14" t="n">
        <f aca="false">ROUND(CP9/Inputs!$F$47,0)</f>
        <v>6</v>
      </c>
      <c r="CQ14" s="14" t="n">
        <f aca="false">ROUND(CQ9/Inputs!$F$47,0)</f>
        <v>6</v>
      </c>
      <c r="CR14" s="14" t="n">
        <f aca="false">ROUND(CR9/Inputs!$F$47,0)</f>
        <v>6</v>
      </c>
      <c r="CS14" s="14" t="n">
        <f aca="false">ROUND(CS9/Inputs!$F$47,0)</f>
        <v>6</v>
      </c>
      <c r="CT14" s="14" t="n">
        <f aca="false">ROUND(CT9/Inputs!$F$47,0)</f>
        <v>6</v>
      </c>
      <c r="CU14" s="14" t="n">
        <f aca="false">ROUND(CU9/Inputs!$F$47,0)</f>
        <v>6</v>
      </c>
      <c r="CV14" s="14" t="n">
        <f aca="false">ROUND(CV9/Inputs!$F$47,0)</f>
        <v>6</v>
      </c>
      <c r="CW14" s="14" t="n">
        <f aca="false">ROUND(CW9/Inputs!$F$47,0)</f>
        <v>6</v>
      </c>
      <c r="CX14" s="14" t="n">
        <f aca="false">ROUND(CX9/Inputs!$F$47,0)</f>
        <v>6</v>
      </c>
      <c r="CY14" s="14" t="n">
        <f aca="false">ROUND(CY9/Inputs!$F$47,0)</f>
        <v>6</v>
      </c>
      <c r="CZ14" s="14" t="n">
        <f aca="false">ROUND(CZ9/Inputs!$F$47,0)</f>
        <v>6</v>
      </c>
      <c r="DA14" s="14" t="n">
        <f aca="false">ROUND(DA9/Inputs!$F$47,0)</f>
        <v>6</v>
      </c>
      <c r="DB14" s="14" t="n">
        <f aca="false">ROUND(DB9/Inputs!$F$47,0)</f>
        <v>6</v>
      </c>
    </row>
    <row r="15" customFormat="false" ht="15" hidden="false" customHeight="false" outlineLevel="0" collapsed="false">
      <c r="D15" s="3" t="s">
        <v>320</v>
      </c>
    </row>
    <row r="16" customFormat="false" ht="15" hidden="false" customHeight="false" outlineLevel="0" collapsed="false">
      <c r="D16" s="0" t="s">
        <v>321</v>
      </c>
      <c r="E16" s="0" t="s">
        <v>36</v>
      </c>
      <c r="F16" s="15" t="n">
        <f aca="false">IF(Inputs!$F$213=1,Inputs!$F$17,Inputs!$F$16)</f>
        <v>43555</v>
      </c>
    </row>
    <row r="17" customFormat="false" ht="15" hidden="false" customHeight="false" outlineLevel="0" collapsed="false">
      <c r="D17" s="0" t="s">
        <v>322</v>
      </c>
      <c r="E17" s="0" t="s">
        <v>36</v>
      </c>
      <c r="F17" s="15" t="n">
        <f aca="false">IF(Inputs!$F$215=1,Inputs!$F$19,Inputs!$F$18)</f>
        <v>56030</v>
      </c>
    </row>
    <row r="18" customFormat="false" ht="15" hidden="false" customHeight="false" outlineLevel="0" collapsed="false">
      <c r="D18" s="0" t="s">
        <v>323</v>
      </c>
      <c r="E18" s="0" t="s">
        <v>79</v>
      </c>
      <c r="F18" s="14" t="n">
        <f aca="false">Inputs!$F$15-Inputs!$F$13</f>
        <v>1404</v>
      </c>
    </row>
    <row r="19" customFormat="false" ht="15" hidden="false" customHeight="false" outlineLevel="0" collapsed="false">
      <c r="D19" s="3" t="s">
        <v>324</v>
      </c>
    </row>
    <row r="20" customFormat="false" ht="15" hidden="false" customHeight="false" outlineLevel="0" collapsed="false">
      <c r="D20" s="0" t="s">
        <v>325</v>
      </c>
      <c r="E20" s="0" t="s">
        <v>42</v>
      </c>
      <c r="J20" s="14" t="n">
        <f aca="false">IF(J8&lt;=Inputs!$F$15,1,0)</f>
        <v>1</v>
      </c>
      <c r="K20" s="14" t="n">
        <f aca="false">IF(K8&lt;=Inputs!$F$15,1,0)</f>
        <v>1</v>
      </c>
      <c r="L20" s="14" t="n">
        <f aca="false">IF(L8&lt;=Inputs!$F$15,1,0)</f>
        <v>1</v>
      </c>
      <c r="M20" s="14" t="n">
        <f aca="false">IF(M8&lt;=Inputs!$F$15,1,0)</f>
        <v>1</v>
      </c>
      <c r="N20" s="14" t="n">
        <f aca="false">IF(N8&lt;=Inputs!$F$15,1,0)</f>
        <v>1</v>
      </c>
      <c r="O20" s="14" t="n">
        <f aca="false">IF(O8&lt;=Inputs!$F$15,1,0)</f>
        <v>1</v>
      </c>
      <c r="P20" s="14" t="n">
        <f aca="false">IF(P8&lt;=Inputs!$F$15,1,0)</f>
        <v>1</v>
      </c>
      <c r="Q20" s="14" t="n">
        <f aca="false">IF(Q8&lt;=Inputs!$F$15,1,0)</f>
        <v>1</v>
      </c>
      <c r="R20" s="14" t="n">
        <f aca="false">IF(R8&lt;=Inputs!$F$15,1,0)</f>
        <v>1</v>
      </c>
      <c r="S20" s="14" t="n">
        <f aca="false">IF(S8&lt;=Inputs!$F$15,1,0)</f>
        <v>1</v>
      </c>
      <c r="T20" s="14" t="n">
        <f aca="false">IF(T8&lt;=Inputs!$F$15,1,0)</f>
        <v>1</v>
      </c>
      <c r="U20" s="14" t="n">
        <f aca="false">IF(U8&lt;=Inputs!$F$15,1,0)</f>
        <v>1</v>
      </c>
      <c r="V20" s="14" t="n">
        <f aca="false">IF(V8&lt;=Inputs!$F$15,1,0)</f>
        <v>1</v>
      </c>
      <c r="W20" s="14" t="n">
        <f aca="false">IF(W8&lt;=Inputs!$F$15,1,0)</f>
        <v>1</v>
      </c>
      <c r="X20" s="14" t="n">
        <f aca="false">IF(X8&lt;=Inputs!$F$15,1,0)</f>
        <v>1</v>
      </c>
      <c r="Y20" s="14" t="n">
        <f aca="false">IF(Y8&lt;=Inputs!$F$15,1,0)</f>
        <v>1</v>
      </c>
      <c r="Z20" s="14" t="n">
        <f aca="false">IF(Z8&lt;=Inputs!$F$15,1,0)</f>
        <v>0</v>
      </c>
      <c r="AA20" s="14" t="n">
        <f aca="false">IF(AA8&lt;=Inputs!$F$15,1,0)</f>
        <v>0</v>
      </c>
      <c r="AB20" s="14" t="n">
        <f aca="false">IF(AB8&lt;=Inputs!$F$15,1,0)</f>
        <v>0</v>
      </c>
      <c r="AC20" s="14" t="n">
        <f aca="false">IF(AC8&lt;=Inputs!$F$15,1,0)</f>
        <v>0</v>
      </c>
      <c r="AD20" s="14" t="n">
        <f aca="false">IF(AD8&lt;=Inputs!$F$15,1,0)</f>
        <v>0</v>
      </c>
      <c r="AE20" s="14" t="n">
        <f aca="false">IF(AE8&lt;=Inputs!$F$15,1,0)</f>
        <v>0</v>
      </c>
      <c r="AF20" s="14" t="n">
        <f aca="false">IF(AF8&lt;=Inputs!$F$15,1,0)</f>
        <v>0</v>
      </c>
      <c r="AG20" s="14" t="n">
        <f aca="false">IF(AG8&lt;=Inputs!$F$15,1,0)</f>
        <v>0</v>
      </c>
      <c r="AH20" s="14" t="n">
        <f aca="false">IF(AH8&lt;=Inputs!$F$15,1,0)</f>
        <v>0</v>
      </c>
      <c r="AI20" s="14" t="n">
        <f aca="false">IF(AI8&lt;=Inputs!$F$15,1,0)</f>
        <v>0</v>
      </c>
      <c r="AJ20" s="14" t="n">
        <f aca="false">IF(AJ8&lt;=Inputs!$F$15,1,0)</f>
        <v>0</v>
      </c>
      <c r="AK20" s="14" t="n">
        <f aca="false">IF(AK8&lt;=Inputs!$F$15,1,0)</f>
        <v>0</v>
      </c>
      <c r="AL20" s="14" t="n">
        <f aca="false">IF(AL8&lt;=Inputs!$F$15,1,0)</f>
        <v>0</v>
      </c>
      <c r="AM20" s="14" t="n">
        <f aca="false">IF(AM8&lt;=Inputs!$F$15,1,0)</f>
        <v>0</v>
      </c>
      <c r="AN20" s="14" t="n">
        <f aca="false">IF(AN8&lt;=Inputs!$F$15,1,0)</f>
        <v>0</v>
      </c>
      <c r="AO20" s="14" t="n">
        <f aca="false">IF(AO8&lt;=Inputs!$F$15,1,0)</f>
        <v>0</v>
      </c>
      <c r="AP20" s="14" t="n">
        <f aca="false">IF(AP8&lt;=Inputs!$F$15,1,0)</f>
        <v>0</v>
      </c>
      <c r="AQ20" s="14" t="n">
        <f aca="false">IF(AQ8&lt;=Inputs!$F$15,1,0)</f>
        <v>0</v>
      </c>
      <c r="AR20" s="14" t="n">
        <f aca="false">IF(AR8&lt;=Inputs!$F$15,1,0)</f>
        <v>0</v>
      </c>
      <c r="AS20" s="14" t="n">
        <f aca="false">IF(AS8&lt;=Inputs!$F$15,1,0)</f>
        <v>0</v>
      </c>
      <c r="AT20" s="14" t="n">
        <f aca="false">IF(AT8&lt;=Inputs!$F$15,1,0)</f>
        <v>0</v>
      </c>
      <c r="AU20" s="14" t="n">
        <f aca="false">IF(AU8&lt;=Inputs!$F$15,1,0)</f>
        <v>0</v>
      </c>
      <c r="AV20" s="14" t="n">
        <f aca="false">IF(AV8&lt;=Inputs!$F$15,1,0)</f>
        <v>0</v>
      </c>
      <c r="AW20" s="14" t="n">
        <f aca="false">IF(AW8&lt;=Inputs!$F$15,1,0)</f>
        <v>0</v>
      </c>
      <c r="AX20" s="14" t="n">
        <f aca="false">IF(AX8&lt;=Inputs!$F$15,1,0)</f>
        <v>0</v>
      </c>
      <c r="AY20" s="14" t="n">
        <f aca="false">IF(AY8&lt;=Inputs!$F$15,1,0)</f>
        <v>0</v>
      </c>
      <c r="AZ20" s="14" t="n">
        <f aca="false">IF(AZ8&lt;=Inputs!$F$15,1,0)</f>
        <v>0</v>
      </c>
      <c r="BA20" s="14" t="n">
        <f aca="false">IF(BA8&lt;=Inputs!$F$15,1,0)</f>
        <v>0</v>
      </c>
      <c r="BB20" s="14" t="n">
        <f aca="false">IF(BB8&lt;=Inputs!$F$15,1,0)</f>
        <v>0</v>
      </c>
      <c r="BC20" s="14" t="n">
        <f aca="false">IF(BC8&lt;=Inputs!$F$15,1,0)</f>
        <v>0</v>
      </c>
      <c r="BD20" s="14" t="n">
        <f aca="false">IF(BD8&lt;=Inputs!$F$15,1,0)</f>
        <v>0</v>
      </c>
      <c r="BE20" s="14" t="n">
        <f aca="false">IF(BE8&lt;=Inputs!$F$15,1,0)</f>
        <v>0</v>
      </c>
      <c r="BF20" s="14" t="n">
        <f aca="false">IF(BF8&lt;=Inputs!$F$15,1,0)</f>
        <v>0</v>
      </c>
      <c r="BG20" s="14" t="n">
        <f aca="false">IF(BG8&lt;=Inputs!$F$15,1,0)</f>
        <v>0</v>
      </c>
      <c r="BH20" s="14" t="n">
        <f aca="false">IF(BH8&lt;=Inputs!$F$15,1,0)</f>
        <v>0</v>
      </c>
      <c r="BI20" s="14" t="n">
        <f aca="false">IF(BI8&lt;=Inputs!$F$15,1,0)</f>
        <v>0</v>
      </c>
      <c r="BJ20" s="14" t="n">
        <f aca="false">IF(BJ8&lt;=Inputs!$F$15,1,0)</f>
        <v>0</v>
      </c>
      <c r="BK20" s="14" t="n">
        <f aca="false">IF(BK8&lt;=Inputs!$F$15,1,0)</f>
        <v>0</v>
      </c>
      <c r="BL20" s="14" t="n">
        <f aca="false">IF(BL8&lt;=Inputs!$F$15,1,0)</f>
        <v>0</v>
      </c>
      <c r="BM20" s="14" t="n">
        <f aca="false">IF(BM8&lt;=Inputs!$F$15,1,0)</f>
        <v>0</v>
      </c>
      <c r="BN20" s="14" t="n">
        <f aca="false">IF(BN8&lt;=Inputs!$F$15,1,0)</f>
        <v>0</v>
      </c>
      <c r="BO20" s="14" t="n">
        <f aca="false">IF(BO8&lt;=Inputs!$F$15,1,0)</f>
        <v>0</v>
      </c>
      <c r="BP20" s="14" t="n">
        <f aca="false">IF(BP8&lt;=Inputs!$F$15,1,0)</f>
        <v>0</v>
      </c>
      <c r="BQ20" s="14" t="n">
        <f aca="false">IF(BQ8&lt;=Inputs!$F$15,1,0)</f>
        <v>0</v>
      </c>
      <c r="BR20" s="14" t="n">
        <f aca="false">IF(BR8&lt;=Inputs!$F$15,1,0)</f>
        <v>0</v>
      </c>
      <c r="BS20" s="14" t="n">
        <f aca="false">IF(BS8&lt;=Inputs!$F$15,1,0)</f>
        <v>0</v>
      </c>
      <c r="BT20" s="14" t="n">
        <f aca="false">IF(BT8&lt;=Inputs!$F$15,1,0)</f>
        <v>0</v>
      </c>
      <c r="BU20" s="14" t="n">
        <f aca="false">IF(BU8&lt;=Inputs!$F$15,1,0)</f>
        <v>0</v>
      </c>
      <c r="BV20" s="14" t="n">
        <f aca="false">IF(BV8&lt;=Inputs!$F$15,1,0)</f>
        <v>0</v>
      </c>
      <c r="BW20" s="14" t="n">
        <f aca="false">IF(BW8&lt;=Inputs!$F$15,1,0)</f>
        <v>0</v>
      </c>
      <c r="BX20" s="14" t="n">
        <f aca="false">IF(BX8&lt;=Inputs!$F$15,1,0)</f>
        <v>0</v>
      </c>
      <c r="BY20" s="14" t="n">
        <f aca="false">IF(BY8&lt;=Inputs!$F$15,1,0)</f>
        <v>0</v>
      </c>
      <c r="BZ20" s="14" t="n">
        <f aca="false">IF(BZ8&lt;=Inputs!$F$15,1,0)</f>
        <v>0</v>
      </c>
      <c r="CA20" s="14" t="n">
        <f aca="false">IF(CA8&lt;=Inputs!$F$15,1,0)</f>
        <v>0</v>
      </c>
      <c r="CB20" s="14" t="n">
        <f aca="false">IF(CB8&lt;=Inputs!$F$15,1,0)</f>
        <v>0</v>
      </c>
      <c r="CC20" s="14" t="n">
        <f aca="false">IF(CC8&lt;=Inputs!$F$15,1,0)</f>
        <v>0</v>
      </c>
      <c r="CD20" s="14" t="n">
        <f aca="false">IF(CD8&lt;=Inputs!$F$15,1,0)</f>
        <v>0</v>
      </c>
      <c r="CE20" s="14" t="n">
        <f aca="false">IF(CE8&lt;=Inputs!$F$15,1,0)</f>
        <v>0</v>
      </c>
      <c r="CF20" s="14" t="n">
        <f aca="false">IF(CF8&lt;=Inputs!$F$15,1,0)</f>
        <v>0</v>
      </c>
      <c r="CG20" s="14" t="n">
        <f aca="false">IF(CG8&lt;=Inputs!$F$15,1,0)</f>
        <v>0</v>
      </c>
      <c r="CH20" s="14" t="n">
        <f aca="false">IF(CH8&lt;=Inputs!$F$15,1,0)</f>
        <v>0</v>
      </c>
      <c r="CI20" s="14" t="n">
        <f aca="false">IF(CI8&lt;=Inputs!$F$15,1,0)</f>
        <v>0</v>
      </c>
      <c r="CJ20" s="14" t="n">
        <f aca="false">IF(CJ8&lt;=Inputs!$F$15,1,0)</f>
        <v>0</v>
      </c>
      <c r="CK20" s="14" t="n">
        <f aca="false">IF(CK8&lt;=Inputs!$F$15,1,0)</f>
        <v>0</v>
      </c>
      <c r="CL20" s="14" t="n">
        <f aca="false">IF(CL8&lt;=Inputs!$F$15,1,0)</f>
        <v>0</v>
      </c>
      <c r="CM20" s="14" t="n">
        <f aca="false">IF(CM8&lt;=Inputs!$F$15,1,0)</f>
        <v>0</v>
      </c>
      <c r="CN20" s="14" t="n">
        <f aca="false">IF(CN8&lt;=Inputs!$F$15,1,0)</f>
        <v>0</v>
      </c>
      <c r="CO20" s="14" t="n">
        <f aca="false">IF(CO8&lt;=Inputs!$F$15,1,0)</f>
        <v>0</v>
      </c>
      <c r="CP20" s="14" t="n">
        <f aca="false">IF(CP8&lt;=Inputs!$F$15,1,0)</f>
        <v>0</v>
      </c>
      <c r="CQ20" s="14" t="n">
        <f aca="false">IF(CQ8&lt;=Inputs!$F$15,1,0)</f>
        <v>0</v>
      </c>
      <c r="CR20" s="14" t="n">
        <f aca="false">IF(CR8&lt;=Inputs!$F$15,1,0)</f>
        <v>0</v>
      </c>
      <c r="CS20" s="14" t="n">
        <f aca="false">IF(CS8&lt;=Inputs!$F$15,1,0)</f>
        <v>0</v>
      </c>
      <c r="CT20" s="14" t="n">
        <f aca="false">IF(CT8&lt;=Inputs!$F$15,1,0)</f>
        <v>0</v>
      </c>
      <c r="CU20" s="14" t="n">
        <f aca="false">IF(CU8&lt;=Inputs!$F$15,1,0)</f>
        <v>0</v>
      </c>
      <c r="CV20" s="14" t="n">
        <f aca="false">IF(CV8&lt;=Inputs!$F$15,1,0)</f>
        <v>0</v>
      </c>
      <c r="CW20" s="14" t="n">
        <f aca="false">IF(CW8&lt;=Inputs!$F$15,1,0)</f>
        <v>0</v>
      </c>
      <c r="CX20" s="14" t="n">
        <f aca="false">IF(CX8&lt;=Inputs!$F$15,1,0)</f>
        <v>0</v>
      </c>
      <c r="CY20" s="14" t="n">
        <f aca="false">IF(CY8&lt;=Inputs!$F$15,1,0)</f>
        <v>0</v>
      </c>
      <c r="CZ20" s="14" t="n">
        <f aca="false">IF(CZ8&lt;=Inputs!$F$15,1,0)</f>
        <v>0</v>
      </c>
      <c r="DA20" s="14" t="n">
        <f aca="false">IF(DA8&lt;=Inputs!$F$15,1,0)</f>
        <v>0</v>
      </c>
      <c r="DB20" s="14" t="n">
        <f aca="false">IF(DB8&lt;=Inputs!$F$15,1,0)</f>
        <v>0</v>
      </c>
    </row>
    <row r="21" customFormat="false" ht="15" hidden="false" customHeight="false" outlineLevel="0" collapsed="false">
      <c r="D21" s="0" t="s">
        <v>326</v>
      </c>
      <c r="E21" s="0" t="s">
        <v>42</v>
      </c>
      <c r="J21" s="14" t="n">
        <f aca="false">IF(AND(I20=1,J20=0),1,0)</f>
        <v>0</v>
      </c>
      <c r="K21" s="14" t="n">
        <f aca="false">IF(AND(J20=1,K20=0),1,0)</f>
        <v>0</v>
      </c>
      <c r="L21" s="14" t="n">
        <f aca="false">IF(AND(K20=1,L20=0),1,0)</f>
        <v>0</v>
      </c>
      <c r="M21" s="14" t="n">
        <f aca="false">IF(AND(L20=1,M20=0),1,0)</f>
        <v>0</v>
      </c>
      <c r="N21" s="14" t="n">
        <f aca="false">IF(AND(M20=1,N20=0),1,0)</f>
        <v>0</v>
      </c>
      <c r="O21" s="14" t="n">
        <f aca="false">IF(AND(N20=1,O20=0),1,0)</f>
        <v>0</v>
      </c>
      <c r="P21" s="14" t="n">
        <f aca="false">IF(AND(O20=1,P20=0),1,0)</f>
        <v>0</v>
      </c>
      <c r="Q21" s="14" t="n">
        <f aca="false">IF(AND(P20=1,Q20=0),1,0)</f>
        <v>0</v>
      </c>
      <c r="R21" s="14" t="n">
        <f aca="false">IF(AND(Q20=1,R20=0),1,0)</f>
        <v>0</v>
      </c>
      <c r="S21" s="14" t="n">
        <f aca="false">IF(AND(R20=1,S20=0),1,0)</f>
        <v>0</v>
      </c>
      <c r="T21" s="14" t="n">
        <f aca="false">IF(AND(S20=1,T20=0),1,0)</f>
        <v>0</v>
      </c>
      <c r="U21" s="14" t="n">
        <f aca="false">IF(AND(T20=1,U20=0),1,0)</f>
        <v>0</v>
      </c>
      <c r="V21" s="14" t="n">
        <f aca="false">IF(AND(U20=1,V20=0),1,0)</f>
        <v>0</v>
      </c>
      <c r="W21" s="14" t="n">
        <f aca="false">IF(AND(V20=1,W20=0),1,0)</f>
        <v>0</v>
      </c>
      <c r="X21" s="14" t="n">
        <f aca="false">IF(AND(W20=1,X20=0),1,0)</f>
        <v>0</v>
      </c>
      <c r="Y21" s="14" t="n">
        <f aca="false">IF(AND(X20=1,Y20=0),1,0)</f>
        <v>0</v>
      </c>
      <c r="Z21" s="14" t="n">
        <f aca="false">IF(AND(Y20=1,Z20=0),1,0)</f>
        <v>1</v>
      </c>
      <c r="AA21" s="14" t="n">
        <f aca="false">IF(AND(Z20=1,AA20=0),1,0)</f>
        <v>0</v>
      </c>
      <c r="AB21" s="14" t="n">
        <f aca="false">IF(AND(AA20=1,AB20=0),1,0)</f>
        <v>0</v>
      </c>
      <c r="AC21" s="14" t="n">
        <f aca="false">IF(AND(AB20=1,AC20=0),1,0)</f>
        <v>0</v>
      </c>
      <c r="AD21" s="14" t="n">
        <f aca="false">IF(AND(AC20=1,AD20=0),1,0)</f>
        <v>0</v>
      </c>
      <c r="AE21" s="14" t="n">
        <f aca="false">IF(AND(AD20=1,AE20=0),1,0)</f>
        <v>0</v>
      </c>
      <c r="AF21" s="14" t="n">
        <f aca="false">IF(AND(AE20=1,AF20=0),1,0)</f>
        <v>0</v>
      </c>
      <c r="AG21" s="14" t="n">
        <f aca="false">IF(AND(AF20=1,AG20=0),1,0)</f>
        <v>0</v>
      </c>
      <c r="AH21" s="14" t="n">
        <f aca="false">IF(AND(AG20=1,AH20=0),1,0)</f>
        <v>0</v>
      </c>
      <c r="AI21" s="14" t="n">
        <f aca="false">IF(AND(AH20=1,AI20=0),1,0)</f>
        <v>0</v>
      </c>
      <c r="AJ21" s="14" t="n">
        <f aca="false">IF(AND(AI20=1,AJ20=0),1,0)</f>
        <v>0</v>
      </c>
      <c r="AK21" s="14" t="n">
        <f aca="false">IF(AND(AJ20=1,AK20=0),1,0)</f>
        <v>0</v>
      </c>
      <c r="AL21" s="14" t="n">
        <f aca="false">IF(AND(AK20=1,AL20=0),1,0)</f>
        <v>0</v>
      </c>
      <c r="AM21" s="14" t="n">
        <f aca="false">IF(AND(AL20=1,AM20=0),1,0)</f>
        <v>0</v>
      </c>
      <c r="AN21" s="14" t="n">
        <f aca="false">IF(AND(AM20=1,AN20=0),1,0)</f>
        <v>0</v>
      </c>
      <c r="AO21" s="14" t="n">
        <f aca="false">IF(AND(AN20=1,AO20=0),1,0)</f>
        <v>0</v>
      </c>
      <c r="AP21" s="14" t="n">
        <f aca="false">IF(AND(AO20=1,AP20=0),1,0)</f>
        <v>0</v>
      </c>
      <c r="AQ21" s="14" t="n">
        <f aca="false">IF(AND(AP20=1,AQ20=0),1,0)</f>
        <v>0</v>
      </c>
      <c r="AR21" s="14" t="n">
        <f aca="false">IF(AND(AQ20=1,AR20=0),1,0)</f>
        <v>0</v>
      </c>
      <c r="AS21" s="14" t="n">
        <f aca="false">IF(AND(AR20=1,AS20=0),1,0)</f>
        <v>0</v>
      </c>
      <c r="AT21" s="14" t="n">
        <f aca="false">IF(AND(AS20=1,AT20=0),1,0)</f>
        <v>0</v>
      </c>
      <c r="AU21" s="14" t="n">
        <f aca="false">IF(AND(AT20=1,AU20=0),1,0)</f>
        <v>0</v>
      </c>
      <c r="AV21" s="14" t="n">
        <f aca="false">IF(AND(AU20=1,AV20=0),1,0)</f>
        <v>0</v>
      </c>
      <c r="AW21" s="14" t="n">
        <f aca="false">IF(AND(AV20=1,AW20=0),1,0)</f>
        <v>0</v>
      </c>
      <c r="AX21" s="14" t="n">
        <f aca="false">IF(AND(AW20=1,AX20=0),1,0)</f>
        <v>0</v>
      </c>
      <c r="AY21" s="14" t="n">
        <f aca="false">IF(AND(AX20=1,AY20=0),1,0)</f>
        <v>0</v>
      </c>
      <c r="AZ21" s="14" t="n">
        <f aca="false">IF(AND(AY20=1,AZ20=0),1,0)</f>
        <v>0</v>
      </c>
      <c r="BA21" s="14" t="n">
        <f aca="false">IF(AND(AZ20=1,BA20=0),1,0)</f>
        <v>0</v>
      </c>
      <c r="BB21" s="14" t="n">
        <f aca="false">IF(AND(BA20=1,BB20=0),1,0)</f>
        <v>0</v>
      </c>
      <c r="BC21" s="14" t="n">
        <f aca="false">IF(AND(BB20=1,BC20=0),1,0)</f>
        <v>0</v>
      </c>
      <c r="BD21" s="14" t="n">
        <f aca="false">IF(AND(BC20=1,BD20=0),1,0)</f>
        <v>0</v>
      </c>
      <c r="BE21" s="14" t="n">
        <f aca="false">IF(AND(BD20=1,BE20=0),1,0)</f>
        <v>0</v>
      </c>
      <c r="BF21" s="14" t="n">
        <f aca="false">IF(AND(BE20=1,BF20=0),1,0)</f>
        <v>0</v>
      </c>
      <c r="BG21" s="14" t="n">
        <f aca="false">IF(AND(BF20=1,BG20=0),1,0)</f>
        <v>0</v>
      </c>
      <c r="BH21" s="14" t="n">
        <f aca="false">IF(AND(BG20=1,BH20=0),1,0)</f>
        <v>0</v>
      </c>
      <c r="BI21" s="14" t="n">
        <f aca="false">IF(AND(BH20=1,BI20=0),1,0)</f>
        <v>0</v>
      </c>
      <c r="BJ21" s="14" t="n">
        <f aca="false">IF(AND(BI20=1,BJ20=0),1,0)</f>
        <v>0</v>
      </c>
      <c r="BK21" s="14" t="n">
        <f aca="false">IF(AND(BJ20=1,BK20=0),1,0)</f>
        <v>0</v>
      </c>
      <c r="BL21" s="14" t="n">
        <f aca="false">IF(AND(BK20=1,BL20=0),1,0)</f>
        <v>0</v>
      </c>
      <c r="BM21" s="14" t="n">
        <f aca="false">IF(AND(BL20=1,BM20=0),1,0)</f>
        <v>0</v>
      </c>
      <c r="BN21" s="14" t="n">
        <f aca="false">IF(AND(BM20=1,BN20=0),1,0)</f>
        <v>0</v>
      </c>
      <c r="BO21" s="14" t="n">
        <f aca="false">IF(AND(BN20=1,BO20=0),1,0)</f>
        <v>0</v>
      </c>
      <c r="BP21" s="14" t="n">
        <f aca="false">IF(AND(BO20=1,BP20=0),1,0)</f>
        <v>0</v>
      </c>
      <c r="BQ21" s="14" t="n">
        <f aca="false">IF(AND(BP20=1,BQ20=0),1,0)</f>
        <v>0</v>
      </c>
      <c r="BR21" s="14" t="n">
        <f aca="false">IF(AND(BQ20=1,BR20=0),1,0)</f>
        <v>0</v>
      </c>
      <c r="BS21" s="14" t="n">
        <f aca="false">IF(AND(BR20=1,BS20=0),1,0)</f>
        <v>0</v>
      </c>
      <c r="BT21" s="14" t="n">
        <f aca="false">IF(AND(BS20=1,BT20=0),1,0)</f>
        <v>0</v>
      </c>
      <c r="BU21" s="14" t="n">
        <f aca="false">IF(AND(BT20=1,BU20=0),1,0)</f>
        <v>0</v>
      </c>
      <c r="BV21" s="14" t="n">
        <f aca="false">IF(AND(BU20=1,BV20=0),1,0)</f>
        <v>0</v>
      </c>
      <c r="BW21" s="14" t="n">
        <f aca="false">IF(AND(BV20=1,BW20=0),1,0)</f>
        <v>0</v>
      </c>
      <c r="BX21" s="14" t="n">
        <f aca="false">IF(AND(BW20=1,BX20=0),1,0)</f>
        <v>0</v>
      </c>
      <c r="BY21" s="14" t="n">
        <f aca="false">IF(AND(BX20=1,BY20=0),1,0)</f>
        <v>0</v>
      </c>
      <c r="BZ21" s="14" t="n">
        <f aca="false">IF(AND(BY20=1,BZ20=0),1,0)</f>
        <v>0</v>
      </c>
      <c r="CA21" s="14" t="n">
        <f aca="false">IF(AND(BZ20=1,CA20=0),1,0)</f>
        <v>0</v>
      </c>
      <c r="CB21" s="14" t="n">
        <f aca="false">IF(AND(CA20=1,CB20=0),1,0)</f>
        <v>0</v>
      </c>
      <c r="CC21" s="14" t="n">
        <f aca="false">IF(AND(CB20=1,CC20=0),1,0)</f>
        <v>0</v>
      </c>
      <c r="CD21" s="14" t="n">
        <f aca="false">IF(AND(CC20=1,CD20=0),1,0)</f>
        <v>0</v>
      </c>
      <c r="CE21" s="14" t="n">
        <f aca="false">IF(AND(CD20=1,CE20=0),1,0)</f>
        <v>0</v>
      </c>
      <c r="CF21" s="14" t="n">
        <f aca="false">IF(AND(CE20=1,CF20=0),1,0)</f>
        <v>0</v>
      </c>
      <c r="CG21" s="14" t="n">
        <f aca="false">IF(AND(CF20=1,CG20=0),1,0)</f>
        <v>0</v>
      </c>
      <c r="CH21" s="14" t="n">
        <f aca="false">IF(AND(CG20=1,CH20=0),1,0)</f>
        <v>0</v>
      </c>
      <c r="CI21" s="14" t="n">
        <f aca="false">IF(AND(CH20=1,CI20=0),1,0)</f>
        <v>0</v>
      </c>
      <c r="CJ21" s="14" t="n">
        <f aca="false">IF(AND(CI20=1,CJ20=0),1,0)</f>
        <v>0</v>
      </c>
      <c r="CK21" s="14" t="n">
        <f aca="false">IF(AND(CJ20=1,CK20=0),1,0)</f>
        <v>0</v>
      </c>
      <c r="CL21" s="14" t="n">
        <f aca="false">IF(AND(CK20=1,CL20=0),1,0)</f>
        <v>0</v>
      </c>
      <c r="CM21" s="14" t="n">
        <f aca="false">IF(AND(CL20=1,CM20=0),1,0)</f>
        <v>0</v>
      </c>
      <c r="CN21" s="14" t="n">
        <f aca="false">IF(AND(CM20=1,CN20=0),1,0)</f>
        <v>0</v>
      </c>
      <c r="CO21" s="14" t="n">
        <f aca="false">IF(AND(CN20=1,CO20=0),1,0)</f>
        <v>0</v>
      </c>
      <c r="CP21" s="14" t="n">
        <f aca="false">IF(AND(CO20=1,CP20=0),1,0)</f>
        <v>0</v>
      </c>
      <c r="CQ21" s="14" t="n">
        <f aca="false">IF(AND(CP20=1,CQ20=0),1,0)</f>
        <v>0</v>
      </c>
      <c r="CR21" s="14" t="n">
        <f aca="false">IF(AND(CQ20=1,CR20=0),1,0)</f>
        <v>0</v>
      </c>
      <c r="CS21" s="14" t="n">
        <f aca="false">IF(AND(CR20=1,CS20=0),1,0)</f>
        <v>0</v>
      </c>
      <c r="CT21" s="14" t="n">
        <f aca="false">IF(AND(CS20=1,CT20=0),1,0)</f>
        <v>0</v>
      </c>
      <c r="CU21" s="14" t="n">
        <f aca="false">IF(AND(CT20=1,CU20=0),1,0)</f>
        <v>0</v>
      </c>
      <c r="CV21" s="14" t="n">
        <f aca="false">IF(AND(CU20=1,CV20=0),1,0)</f>
        <v>0</v>
      </c>
      <c r="CW21" s="14" t="n">
        <f aca="false">IF(AND(CV20=1,CW20=0),1,0)</f>
        <v>0</v>
      </c>
      <c r="CX21" s="14" t="n">
        <f aca="false">IF(AND(CW20=1,CX20=0),1,0)</f>
        <v>0</v>
      </c>
      <c r="CY21" s="14" t="n">
        <f aca="false">IF(AND(CX20=1,CY20=0),1,0)</f>
        <v>0</v>
      </c>
      <c r="CZ21" s="14" t="n">
        <f aca="false">IF(AND(CY20=1,CZ20=0),1,0)</f>
        <v>0</v>
      </c>
      <c r="DA21" s="14" t="n">
        <f aca="false">IF(AND(CZ20=1,DA20=0),1,0)</f>
        <v>0</v>
      </c>
      <c r="DB21" s="14" t="n">
        <f aca="false">IF(AND(DA20=1,DB20=0),1,0)</f>
        <v>0</v>
      </c>
    </row>
    <row r="22" customFormat="false" ht="15" hidden="false" customHeight="false" outlineLevel="0" collapsed="false">
      <c r="D22" s="0" t="s">
        <v>327</v>
      </c>
      <c r="E22" s="0" t="s">
        <v>42</v>
      </c>
      <c r="J22" s="14" t="n">
        <f aca="false">IF(AND(J20=1,J8&gt;EDATE(Inputs!$F$15,-Inputs!$F$50)),1,0)</f>
        <v>0</v>
      </c>
      <c r="K22" s="14" t="n">
        <f aca="false">IF(AND(K20=1,K8&gt;EDATE(Inputs!$F$15,-Inputs!$F$50)),1,0)</f>
        <v>0</v>
      </c>
      <c r="L22" s="14" t="n">
        <f aca="false">IF(AND(L20=1,L8&gt;EDATE(Inputs!$F$15,-Inputs!$F$50)),1,0)</f>
        <v>0</v>
      </c>
      <c r="M22" s="14" t="n">
        <f aca="false">IF(AND(M20=1,M8&gt;EDATE(Inputs!$F$15,-Inputs!$F$50)),1,0)</f>
        <v>0</v>
      </c>
      <c r="N22" s="14" t="n">
        <f aca="false">IF(AND(N20=1,N8&gt;EDATE(Inputs!$F$15,-Inputs!$F$50)),1,0)</f>
        <v>0</v>
      </c>
      <c r="O22" s="14" t="n">
        <f aca="false">IF(AND(O20=1,O8&gt;EDATE(Inputs!$F$15,-Inputs!$F$50)),1,0)</f>
        <v>0</v>
      </c>
      <c r="P22" s="14" t="n">
        <f aca="false">IF(AND(P20=1,P8&gt;EDATE(Inputs!$F$15,-Inputs!$F$50)),1,0)</f>
        <v>0</v>
      </c>
      <c r="Q22" s="14" t="n">
        <f aca="false">IF(AND(Q20=1,Q8&gt;EDATE(Inputs!$F$15,-Inputs!$F$50)),1,0)</f>
        <v>0</v>
      </c>
      <c r="R22" s="14" t="n">
        <f aca="false">IF(AND(R20=1,R8&gt;EDATE(Inputs!$F$15,-Inputs!$F$50)),1,0)</f>
        <v>0</v>
      </c>
      <c r="S22" s="14" t="n">
        <f aca="false">IF(AND(S20=1,S8&gt;EDATE(Inputs!$F$15,-Inputs!$F$50)),1,0)</f>
        <v>0</v>
      </c>
      <c r="T22" s="14" t="n">
        <f aca="false">IF(AND(T20=1,T8&gt;EDATE(Inputs!$F$15,-Inputs!$F$50)),1,0)</f>
        <v>1</v>
      </c>
      <c r="U22" s="14" t="n">
        <f aca="false">IF(AND(U20=1,U8&gt;EDATE(Inputs!$F$15,-Inputs!$F$50)),1,0)</f>
        <v>1</v>
      </c>
      <c r="V22" s="14" t="n">
        <f aca="false">IF(AND(V20=1,V8&gt;EDATE(Inputs!$F$15,-Inputs!$F$50)),1,0)</f>
        <v>1</v>
      </c>
      <c r="W22" s="14" t="n">
        <f aca="false">IF(AND(W20=1,W8&gt;EDATE(Inputs!$F$15,-Inputs!$F$50)),1,0)</f>
        <v>1</v>
      </c>
      <c r="X22" s="14" t="n">
        <f aca="false">IF(AND(X20=1,X8&gt;EDATE(Inputs!$F$15,-Inputs!$F$50)),1,0)</f>
        <v>1</v>
      </c>
      <c r="Y22" s="14" t="n">
        <f aca="false">IF(AND(Y20=1,Y8&gt;EDATE(Inputs!$F$15,-Inputs!$F$50)),1,0)</f>
        <v>1</v>
      </c>
      <c r="Z22" s="14" t="n">
        <f aca="false">IF(AND(Z20=1,Z8&gt;EDATE(Inputs!$F$15,-Inputs!$F$50)),1,0)</f>
        <v>0</v>
      </c>
      <c r="AA22" s="14" t="n">
        <f aca="false">IF(AND(AA20=1,AA8&gt;EDATE(Inputs!$F$15,-Inputs!$F$50)),1,0)</f>
        <v>0</v>
      </c>
      <c r="AB22" s="14" t="n">
        <f aca="false">IF(AND(AB20=1,AB8&gt;EDATE(Inputs!$F$15,-Inputs!$F$50)),1,0)</f>
        <v>0</v>
      </c>
      <c r="AC22" s="14" t="n">
        <f aca="false">IF(AND(AC20=1,AC8&gt;EDATE(Inputs!$F$15,-Inputs!$F$50)),1,0)</f>
        <v>0</v>
      </c>
      <c r="AD22" s="14" t="n">
        <f aca="false">IF(AND(AD20=1,AD8&gt;EDATE(Inputs!$F$15,-Inputs!$F$50)),1,0)</f>
        <v>0</v>
      </c>
      <c r="AE22" s="14" t="n">
        <f aca="false">IF(AND(AE20=1,AE8&gt;EDATE(Inputs!$F$15,-Inputs!$F$50)),1,0)</f>
        <v>0</v>
      </c>
      <c r="AF22" s="14" t="n">
        <f aca="false">IF(AND(AF20=1,AF8&gt;EDATE(Inputs!$F$15,-Inputs!$F$50)),1,0)</f>
        <v>0</v>
      </c>
      <c r="AG22" s="14" t="n">
        <f aca="false">IF(AND(AG20=1,AG8&gt;EDATE(Inputs!$F$15,-Inputs!$F$50)),1,0)</f>
        <v>0</v>
      </c>
      <c r="AH22" s="14" t="n">
        <f aca="false">IF(AND(AH20=1,AH8&gt;EDATE(Inputs!$F$15,-Inputs!$F$50)),1,0)</f>
        <v>0</v>
      </c>
      <c r="AI22" s="14" t="n">
        <f aca="false">IF(AND(AI20=1,AI8&gt;EDATE(Inputs!$F$15,-Inputs!$F$50)),1,0)</f>
        <v>0</v>
      </c>
      <c r="AJ22" s="14" t="n">
        <f aca="false">IF(AND(AJ20=1,AJ8&gt;EDATE(Inputs!$F$15,-Inputs!$F$50)),1,0)</f>
        <v>0</v>
      </c>
      <c r="AK22" s="14" t="n">
        <f aca="false">IF(AND(AK20=1,AK8&gt;EDATE(Inputs!$F$15,-Inputs!$F$50)),1,0)</f>
        <v>0</v>
      </c>
      <c r="AL22" s="14" t="n">
        <f aca="false">IF(AND(AL20=1,AL8&gt;EDATE(Inputs!$F$15,-Inputs!$F$50)),1,0)</f>
        <v>0</v>
      </c>
      <c r="AM22" s="14" t="n">
        <f aca="false">IF(AND(AM20=1,AM8&gt;EDATE(Inputs!$F$15,-Inputs!$F$50)),1,0)</f>
        <v>0</v>
      </c>
      <c r="AN22" s="14" t="n">
        <f aca="false">IF(AND(AN20=1,AN8&gt;EDATE(Inputs!$F$15,-Inputs!$F$50)),1,0)</f>
        <v>0</v>
      </c>
      <c r="AO22" s="14" t="n">
        <f aca="false">IF(AND(AO20=1,AO8&gt;EDATE(Inputs!$F$15,-Inputs!$F$50)),1,0)</f>
        <v>0</v>
      </c>
      <c r="AP22" s="14" t="n">
        <f aca="false">IF(AND(AP20=1,AP8&gt;EDATE(Inputs!$F$15,-Inputs!$F$50)),1,0)</f>
        <v>0</v>
      </c>
      <c r="AQ22" s="14" t="n">
        <f aca="false">IF(AND(AQ20=1,AQ8&gt;EDATE(Inputs!$F$15,-Inputs!$F$50)),1,0)</f>
        <v>0</v>
      </c>
      <c r="AR22" s="14" t="n">
        <f aca="false">IF(AND(AR20=1,AR8&gt;EDATE(Inputs!$F$15,-Inputs!$F$50)),1,0)</f>
        <v>0</v>
      </c>
      <c r="AS22" s="14" t="n">
        <f aca="false">IF(AND(AS20=1,AS8&gt;EDATE(Inputs!$F$15,-Inputs!$F$50)),1,0)</f>
        <v>0</v>
      </c>
      <c r="AT22" s="14" t="n">
        <f aca="false">IF(AND(AT20=1,AT8&gt;EDATE(Inputs!$F$15,-Inputs!$F$50)),1,0)</f>
        <v>0</v>
      </c>
      <c r="AU22" s="14" t="n">
        <f aca="false">IF(AND(AU20=1,AU8&gt;EDATE(Inputs!$F$15,-Inputs!$F$50)),1,0)</f>
        <v>0</v>
      </c>
      <c r="AV22" s="14" t="n">
        <f aca="false">IF(AND(AV20=1,AV8&gt;EDATE(Inputs!$F$15,-Inputs!$F$50)),1,0)</f>
        <v>0</v>
      </c>
      <c r="AW22" s="14" t="n">
        <f aca="false">IF(AND(AW20=1,AW8&gt;EDATE(Inputs!$F$15,-Inputs!$F$50)),1,0)</f>
        <v>0</v>
      </c>
      <c r="AX22" s="14" t="n">
        <f aca="false">IF(AND(AX20=1,AX8&gt;EDATE(Inputs!$F$15,-Inputs!$F$50)),1,0)</f>
        <v>0</v>
      </c>
      <c r="AY22" s="14" t="n">
        <f aca="false">IF(AND(AY20=1,AY8&gt;EDATE(Inputs!$F$15,-Inputs!$F$50)),1,0)</f>
        <v>0</v>
      </c>
      <c r="AZ22" s="14" t="n">
        <f aca="false">IF(AND(AZ20=1,AZ8&gt;EDATE(Inputs!$F$15,-Inputs!$F$50)),1,0)</f>
        <v>0</v>
      </c>
      <c r="BA22" s="14" t="n">
        <f aca="false">IF(AND(BA20=1,BA8&gt;EDATE(Inputs!$F$15,-Inputs!$F$50)),1,0)</f>
        <v>0</v>
      </c>
      <c r="BB22" s="14" t="n">
        <f aca="false">IF(AND(BB20=1,BB8&gt;EDATE(Inputs!$F$15,-Inputs!$F$50)),1,0)</f>
        <v>0</v>
      </c>
      <c r="BC22" s="14" t="n">
        <f aca="false">IF(AND(BC20=1,BC8&gt;EDATE(Inputs!$F$15,-Inputs!$F$50)),1,0)</f>
        <v>0</v>
      </c>
      <c r="BD22" s="14" t="n">
        <f aca="false">IF(AND(BD20=1,BD8&gt;EDATE(Inputs!$F$15,-Inputs!$F$50)),1,0)</f>
        <v>0</v>
      </c>
      <c r="BE22" s="14" t="n">
        <f aca="false">IF(AND(BE20=1,BE8&gt;EDATE(Inputs!$F$15,-Inputs!$F$50)),1,0)</f>
        <v>0</v>
      </c>
      <c r="BF22" s="14" t="n">
        <f aca="false">IF(AND(BF20=1,BF8&gt;EDATE(Inputs!$F$15,-Inputs!$F$50)),1,0)</f>
        <v>0</v>
      </c>
      <c r="BG22" s="14" t="n">
        <f aca="false">IF(AND(BG20=1,BG8&gt;EDATE(Inputs!$F$15,-Inputs!$F$50)),1,0)</f>
        <v>0</v>
      </c>
      <c r="BH22" s="14" t="n">
        <f aca="false">IF(AND(BH20=1,BH8&gt;EDATE(Inputs!$F$15,-Inputs!$F$50)),1,0)</f>
        <v>0</v>
      </c>
      <c r="BI22" s="14" t="n">
        <f aca="false">IF(AND(BI20=1,BI8&gt;EDATE(Inputs!$F$15,-Inputs!$F$50)),1,0)</f>
        <v>0</v>
      </c>
      <c r="BJ22" s="14" t="n">
        <f aca="false">IF(AND(BJ20=1,BJ8&gt;EDATE(Inputs!$F$15,-Inputs!$F$50)),1,0)</f>
        <v>0</v>
      </c>
      <c r="BK22" s="14" t="n">
        <f aca="false">IF(AND(BK20=1,BK8&gt;EDATE(Inputs!$F$15,-Inputs!$F$50)),1,0)</f>
        <v>0</v>
      </c>
      <c r="BL22" s="14" t="n">
        <f aca="false">IF(AND(BL20=1,BL8&gt;EDATE(Inputs!$F$15,-Inputs!$F$50)),1,0)</f>
        <v>0</v>
      </c>
      <c r="BM22" s="14" t="n">
        <f aca="false">IF(AND(BM20=1,BM8&gt;EDATE(Inputs!$F$15,-Inputs!$F$50)),1,0)</f>
        <v>0</v>
      </c>
      <c r="BN22" s="14" t="n">
        <f aca="false">IF(AND(BN20=1,BN8&gt;EDATE(Inputs!$F$15,-Inputs!$F$50)),1,0)</f>
        <v>0</v>
      </c>
      <c r="BO22" s="14" t="n">
        <f aca="false">IF(AND(BO20=1,BO8&gt;EDATE(Inputs!$F$15,-Inputs!$F$50)),1,0)</f>
        <v>0</v>
      </c>
      <c r="BP22" s="14" t="n">
        <f aca="false">IF(AND(BP20=1,BP8&gt;EDATE(Inputs!$F$15,-Inputs!$F$50)),1,0)</f>
        <v>0</v>
      </c>
      <c r="BQ22" s="14" t="n">
        <f aca="false">IF(AND(BQ20=1,BQ8&gt;EDATE(Inputs!$F$15,-Inputs!$F$50)),1,0)</f>
        <v>0</v>
      </c>
      <c r="BR22" s="14" t="n">
        <f aca="false">IF(AND(BR20=1,BR8&gt;EDATE(Inputs!$F$15,-Inputs!$F$50)),1,0)</f>
        <v>0</v>
      </c>
      <c r="BS22" s="14" t="n">
        <f aca="false">IF(AND(BS20=1,BS8&gt;EDATE(Inputs!$F$15,-Inputs!$F$50)),1,0)</f>
        <v>0</v>
      </c>
      <c r="BT22" s="14" t="n">
        <f aca="false">IF(AND(BT20=1,BT8&gt;EDATE(Inputs!$F$15,-Inputs!$F$50)),1,0)</f>
        <v>0</v>
      </c>
      <c r="BU22" s="14" t="n">
        <f aca="false">IF(AND(BU20=1,BU8&gt;EDATE(Inputs!$F$15,-Inputs!$F$50)),1,0)</f>
        <v>0</v>
      </c>
      <c r="BV22" s="14" t="n">
        <f aca="false">IF(AND(BV20=1,BV8&gt;EDATE(Inputs!$F$15,-Inputs!$F$50)),1,0)</f>
        <v>0</v>
      </c>
      <c r="BW22" s="14" t="n">
        <f aca="false">IF(AND(BW20=1,BW8&gt;EDATE(Inputs!$F$15,-Inputs!$F$50)),1,0)</f>
        <v>0</v>
      </c>
      <c r="BX22" s="14" t="n">
        <f aca="false">IF(AND(BX20=1,BX8&gt;EDATE(Inputs!$F$15,-Inputs!$F$50)),1,0)</f>
        <v>0</v>
      </c>
      <c r="BY22" s="14" t="n">
        <f aca="false">IF(AND(BY20=1,BY8&gt;EDATE(Inputs!$F$15,-Inputs!$F$50)),1,0)</f>
        <v>0</v>
      </c>
      <c r="BZ22" s="14" t="n">
        <f aca="false">IF(AND(BZ20=1,BZ8&gt;EDATE(Inputs!$F$15,-Inputs!$F$50)),1,0)</f>
        <v>0</v>
      </c>
      <c r="CA22" s="14" t="n">
        <f aca="false">IF(AND(CA20=1,CA8&gt;EDATE(Inputs!$F$15,-Inputs!$F$50)),1,0)</f>
        <v>0</v>
      </c>
      <c r="CB22" s="14" t="n">
        <f aca="false">IF(AND(CB20=1,CB8&gt;EDATE(Inputs!$F$15,-Inputs!$F$50)),1,0)</f>
        <v>0</v>
      </c>
      <c r="CC22" s="14" t="n">
        <f aca="false">IF(AND(CC20=1,CC8&gt;EDATE(Inputs!$F$15,-Inputs!$F$50)),1,0)</f>
        <v>0</v>
      </c>
      <c r="CD22" s="14" t="n">
        <f aca="false">IF(AND(CD20=1,CD8&gt;EDATE(Inputs!$F$15,-Inputs!$F$50)),1,0)</f>
        <v>0</v>
      </c>
      <c r="CE22" s="14" t="n">
        <f aca="false">IF(AND(CE20=1,CE8&gt;EDATE(Inputs!$F$15,-Inputs!$F$50)),1,0)</f>
        <v>0</v>
      </c>
      <c r="CF22" s="14" t="n">
        <f aca="false">IF(AND(CF20=1,CF8&gt;EDATE(Inputs!$F$15,-Inputs!$F$50)),1,0)</f>
        <v>0</v>
      </c>
      <c r="CG22" s="14" t="n">
        <f aca="false">IF(AND(CG20=1,CG8&gt;EDATE(Inputs!$F$15,-Inputs!$F$50)),1,0)</f>
        <v>0</v>
      </c>
      <c r="CH22" s="14" t="n">
        <f aca="false">IF(AND(CH20=1,CH8&gt;EDATE(Inputs!$F$15,-Inputs!$F$50)),1,0)</f>
        <v>0</v>
      </c>
      <c r="CI22" s="14" t="n">
        <f aca="false">IF(AND(CI20=1,CI8&gt;EDATE(Inputs!$F$15,-Inputs!$F$50)),1,0)</f>
        <v>0</v>
      </c>
      <c r="CJ22" s="14" t="n">
        <f aca="false">IF(AND(CJ20=1,CJ8&gt;EDATE(Inputs!$F$15,-Inputs!$F$50)),1,0)</f>
        <v>0</v>
      </c>
      <c r="CK22" s="14" t="n">
        <f aca="false">IF(AND(CK20=1,CK8&gt;EDATE(Inputs!$F$15,-Inputs!$F$50)),1,0)</f>
        <v>0</v>
      </c>
      <c r="CL22" s="14" t="n">
        <f aca="false">IF(AND(CL20=1,CL8&gt;EDATE(Inputs!$F$15,-Inputs!$F$50)),1,0)</f>
        <v>0</v>
      </c>
      <c r="CM22" s="14" t="n">
        <f aca="false">IF(AND(CM20=1,CM8&gt;EDATE(Inputs!$F$15,-Inputs!$F$50)),1,0)</f>
        <v>0</v>
      </c>
      <c r="CN22" s="14" t="n">
        <f aca="false">IF(AND(CN20=1,CN8&gt;EDATE(Inputs!$F$15,-Inputs!$F$50)),1,0)</f>
        <v>0</v>
      </c>
      <c r="CO22" s="14" t="n">
        <f aca="false">IF(AND(CO20=1,CO8&gt;EDATE(Inputs!$F$15,-Inputs!$F$50)),1,0)</f>
        <v>0</v>
      </c>
      <c r="CP22" s="14" t="n">
        <f aca="false">IF(AND(CP20=1,CP8&gt;EDATE(Inputs!$F$15,-Inputs!$F$50)),1,0)</f>
        <v>0</v>
      </c>
      <c r="CQ22" s="14" t="n">
        <f aca="false">IF(AND(CQ20=1,CQ8&gt;EDATE(Inputs!$F$15,-Inputs!$F$50)),1,0)</f>
        <v>0</v>
      </c>
      <c r="CR22" s="14" t="n">
        <f aca="false">IF(AND(CR20=1,CR8&gt;EDATE(Inputs!$F$15,-Inputs!$F$50)),1,0)</f>
        <v>0</v>
      </c>
      <c r="CS22" s="14" t="n">
        <f aca="false">IF(AND(CS20=1,CS8&gt;EDATE(Inputs!$F$15,-Inputs!$F$50)),1,0)</f>
        <v>0</v>
      </c>
      <c r="CT22" s="14" t="n">
        <f aca="false">IF(AND(CT20=1,CT8&gt;EDATE(Inputs!$F$15,-Inputs!$F$50)),1,0)</f>
        <v>0</v>
      </c>
      <c r="CU22" s="14" t="n">
        <f aca="false">IF(AND(CU20=1,CU8&gt;EDATE(Inputs!$F$15,-Inputs!$F$50)),1,0)</f>
        <v>0</v>
      </c>
      <c r="CV22" s="14" t="n">
        <f aca="false">IF(AND(CV20=1,CV8&gt;EDATE(Inputs!$F$15,-Inputs!$F$50)),1,0)</f>
        <v>0</v>
      </c>
      <c r="CW22" s="14" t="n">
        <f aca="false">IF(AND(CW20=1,CW8&gt;EDATE(Inputs!$F$15,-Inputs!$F$50)),1,0)</f>
        <v>0</v>
      </c>
      <c r="CX22" s="14" t="n">
        <f aca="false">IF(AND(CX20=1,CX8&gt;EDATE(Inputs!$F$15,-Inputs!$F$50)),1,0)</f>
        <v>0</v>
      </c>
      <c r="CY22" s="14" t="n">
        <f aca="false">IF(AND(CY20=1,CY8&gt;EDATE(Inputs!$F$15,-Inputs!$F$50)),1,0)</f>
        <v>0</v>
      </c>
      <c r="CZ22" s="14" t="n">
        <f aca="false">IF(AND(CZ20=1,CZ8&gt;EDATE(Inputs!$F$15,-Inputs!$F$50)),1,0)</f>
        <v>0</v>
      </c>
      <c r="DA22" s="14" t="n">
        <f aca="false">IF(AND(DA20=1,DA8&gt;EDATE(Inputs!$F$15,-Inputs!$F$50)),1,0)</f>
        <v>0</v>
      </c>
      <c r="DB22" s="14" t="n">
        <f aca="false">IF(AND(DB20=1,DB8&gt;EDATE(Inputs!$F$15,-Inputs!$F$50)),1,0)</f>
        <v>0</v>
      </c>
    </row>
    <row r="23" customFormat="false" ht="15" hidden="false" customHeight="false" outlineLevel="0" collapsed="false">
      <c r="D23" s="0" t="s">
        <v>328</v>
      </c>
      <c r="E23" s="0" t="s">
        <v>42</v>
      </c>
      <c r="J23" s="14" t="n">
        <f aca="false">IF(AND(Inputs!$F$215=1,J8&gt;Inputs!$F$20),1,0)</f>
        <v>0</v>
      </c>
      <c r="K23" s="14" t="n">
        <f aca="false">IF(AND(Inputs!$F$215=1,K8&gt;Inputs!$F$20),1,0)</f>
        <v>0</v>
      </c>
      <c r="L23" s="14" t="n">
        <f aca="false">IF(AND(Inputs!$F$215=1,L8&gt;Inputs!$F$20),1,0)</f>
        <v>0</v>
      </c>
      <c r="M23" s="14" t="n">
        <f aca="false">IF(AND(Inputs!$F$215=1,M8&gt;Inputs!$F$20),1,0)</f>
        <v>0</v>
      </c>
      <c r="N23" s="14" t="n">
        <f aca="false">IF(AND(Inputs!$F$215=1,N8&gt;Inputs!$F$20),1,0)</f>
        <v>0</v>
      </c>
      <c r="O23" s="14" t="n">
        <f aca="false">IF(AND(Inputs!$F$215=1,O8&gt;Inputs!$F$20),1,0)</f>
        <v>0</v>
      </c>
      <c r="P23" s="14" t="n">
        <f aca="false">IF(AND(Inputs!$F$215=1,P8&gt;Inputs!$F$20),1,0)</f>
        <v>0</v>
      </c>
      <c r="Q23" s="14" t="n">
        <f aca="false">IF(AND(Inputs!$F$215=1,Q8&gt;Inputs!$F$20),1,0)</f>
        <v>0</v>
      </c>
      <c r="R23" s="14" t="n">
        <f aca="false">IF(AND(Inputs!$F$215=1,R8&gt;Inputs!$F$20),1,0)</f>
        <v>0</v>
      </c>
      <c r="S23" s="14" t="n">
        <f aca="false">IF(AND(Inputs!$F$215=1,S8&gt;Inputs!$F$20),1,0)</f>
        <v>0</v>
      </c>
      <c r="T23" s="14" t="n">
        <f aca="false">IF(AND(Inputs!$F$215=1,T8&gt;Inputs!$F$20),1,0)</f>
        <v>0</v>
      </c>
      <c r="U23" s="14" t="n">
        <f aca="false">IF(AND(Inputs!$F$215=1,U8&gt;Inputs!$F$20),1,0)</f>
        <v>0</v>
      </c>
      <c r="V23" s="14" t="n">
        <f aca="false">IF(AND(Inputs!$F$215=1,V8&gt;Inputs!$F$20),1,0)</f>
        <v>0</v>
      </c>
      <c r="W23" s="14" t="n">
        <f aca="false">IF(AND(Inputs!$F$215=1,W8&gt;Inputs!$F$20),1,0)</f>
        <v>0</v>
      </c>
      <c r="X23" s="14" t="n">
        <f aca="false">IF(AND(Inputs!$F$215=1,X8&gt;Inputs!$F$20),1,0)</f>
        <v>0</v>
      </c>
      <c r="Y23" s="14" t="n">
        <f aca="false">IF(AND(Inputs!$F$215=1,Y8&gt;Inputs!$F$20),1,0)</f>
        <v>0</v>
      </c>
      <c r="Z23" s="14" t="n">
        <f aca="false">IF(AND(Inputs!$F$215=1,Z8&gt;Inputs!$F$20),1,0)</f>
        <v>0</v>
      </c>
      <c r="AA23" s="14" t="n">
        <f aca="false">IF(AND(Inputs!$F$215=1,AA8&gt;Inputs!$F$20),1,0)</f>
        <v>0</v>
      </c>
      <c r="AB23" s="14" t="n">
        <f aca="false">IF(AND(Inputs!$F$215=1,AB8&gt;Inputs!$F$20),1,0)</f>
        <v>0</v>
      </c>
      <c r="AC23" s="14" t="n">
        <f aca="false">IF(AND(Inputs!$F$215=1,AC8&gt;Inputs!$F$20),1,0)</f>
        <v>0</v>
      </c>
      <c r="AD23" s="14" t="n">
        <f aca="false">IF(AND(Inputs!$F$215=1,AD8&gt;Inputs!$F$20),1,0)</f>
        <v>0</v>
      </c>
      <c r="AE23" s="14" t="n">
        <f aca="false">IF(AND(Inputs!$F$215=1,AE8&gt;Inputs!$F$20),1,0)</f>
        <v>0</v>
      </c>
      <c r="AF23" s="14" t="n">
        <f aca="false">IF(AND(Inputs!$F$215=1,AF8&gt;Inputs!$F$20),1,0)</f>
        <v>0</v>
      </c>
      <c r="AG23" s="14" t="n">
        <f aca="false">IF(AND(Inputs!$F$215=1,AG8&gt;Inputs!$F$20),1,0)</f>
        <v>0</v>
      </c>
      <c r="AH23" s="14" t="n">
        <f aca="false">IF(AND(Inputs!$F$215=1,AH8&gt;Inputs!$F$20),1,0)</f>
        <v>0</v>
      </c>
      <c r="AI23" s="14" t="n">
        <f aca="false">IF(AND(Inputs!$F$215=1,AI8&gt;Inputs!$F$20),1,0)</f>
        <v>0</v>
      </c>
      <c r="AJ23" s="14" t="n">
        <f aca="false">IF(AND(Inputs!$F$215=1,AJ8&gt;Inputs!$F$20),1,0)</f>
        <v>0</v>
      </c>
      <c r="AK23" s="14" t="n">
        <f aca="false">IF(AND(Inputs!$F$215=1,AK8&gt;Inputs!$F$20),1,0)</f>
        <v>0</v>
      </c>
      <c r="AL23" s="14" t="n">
        <f aca="false">IF(AND(Inputs!$F$215=1,AL8&gt;Inputs!$F$20),1,0)</f>
        <v>0</v>
      </c>
      <c r="AM23" s="14" t="n">
        <f aca="false">IF(AND(Inputs!$F$215=1,AM8&gt;Inputs!$F$20),1,0)</f>
        <v>0</v>
      </c>
      <c r="AN23" s="14" t="n">
        <f aca="false">IF(AND(Inputs!$F$215=1,AN8&gt;Inputs!$F$20),1,0)</f>
        <v>0</v>
      </c>
      <c r="AO23" s="14" t="n">
        <f aca="false">IF(AND(Inputs!$F$215=1,AO8&gt;Inputs!$F$20),1,0)</f>
        <v>0</v>
      </c>
      <c r="AP23" s="14" t="n">
        <f aca="false">IF(AND(Inputs!$F$215=1,AP8&gt;Inputs!$F$20),1,0)</f>
        <v>0</v>
      </c>
      <c r="AQ23" s="14" t="n">
        <f aca="false">IF(AND(Inputs!$F$215=1,AQ8&gt;Inputs!$F$20),1,0)</f>
        <v>0</v>
      </c>
      <c r="AR23" s="14" t="n">
        <f aca="false">IF(AND(Inputs!$F$215=1,AR8&gt;Inputs!$F$20),1,0)</f>
        <v>0</v>
      </c>
      <c r="AS23" s="14" t="n">
        <f aca="false">IF(AND(Inputs!$F$215=1,AS8&gt;Inputs!$F$20),1,0)</f>
        <v>0</v>
      </c>
      <c r="AT23" s="14" t="n">
        <f aca="false">IF(AND(Inputs!$F$215=1,AT8&gt;Inputs!$F$20),1,0)</f>
        <v>0</v>
      </c>
      <c r="AU23" s="14" t="n">
        <f aca="false">IF(AND(Inputs!$F$215=1,AU8&gt;Inputs!$F$20),1,0)</f>
        <v>0</v>
      </c>
      <c r="AV23" s="14" t="n">
        <f aca="false">IF(AND(Inputs!$F$215=1,AV8&gt;Inputs!$F$20),1,0)</f>
        <v>0</v>
      </c>
      <c r="AW23" s="14" t="n">
        <f aca="false">IF(AND(Inputs!$F$215=1,AW8&gt;Inputs!$F$20),1,0)</f>
        <v>0</v>
      </c>
      <c r="AX23" s="14" t="n">
        <f aca="false">IF(AND(Inputs!$F$215=1,AX8&gt;Inputs!$F$20),1,0)</f>
        <v>0</v>
      </c>
      <c r="AY23" s="14" t="n">
        <f aca="false">IF(AND(Inputs!$F$215=1,AY8&gt;Inputs!$F$20),1,0)</f>
        <v>0</v>
      </c>
      <c r="AZ23" s="14" t="n">
        <f aca="false">IF(AND(Inputs!$F$215=1,AZ8&gt;Inputs!$F$20),1,0)</f>
        <v>0</v>
      </c>
      <c r="BA23" s="14" t="n">
        <f aca="false">IF(AND(Inputs!$F$215=1,BA8&gt;Inputs!$F$20),1,0)</f>
        <v>0</v>
      </c>
      <c r="BB23" s="14" t="n">
        <f aca="false">IF(AND(Inputs!$F$215=1,BB8&gt;Inputs!$F$20),1,0)</f>
        <v>0</v>
      </c>
      <c r="BC23" s="14" t="n">
        <f aca="false">IF(AND(Inputs!$F$215=1,BC8&gt;Inputs!$F$20),1,0)</f>
        <v>0</v>
      </c>
      <c r="BD23" s="14" t="n">
        <f aca="false">IF(AND(Inputs!$F$215=1,BD8&gt;Inputs!$F$20),1,0)</f>
        <v>0</v>
      </c>
      <c r="BE23" s="14" t="n">
        <f aca="false">IF(AND(Inputs!$F$215=1,BE8&gt;Inputs!$F$20),1,0)</f>
        <v>0</v>
      </c>
      <c r="BF23" s="14" t="n">
        <f aca="false">IF(AND(Inputs!$F$215=1,BF8&gt;Inputs!$F$20),1,0)</f>
        <v>0</v>
      </c>
      <c r="BG23" s="14" t="n">
        <f aca="false">IF(AND(Inputs!$F$215=1,BG8&gt;Inputs!$F$20),1,0)</f>
        <v>0</v>
      </c>
      <c r="BH23" s="14" t="n">
        <f aca="false">IF(AND(Inputs!$F$215=1,BH8&gt;Inputs!$F$20),1,0)</f>
        <v>0</v>
      </c>
      <c r="BI23" s="14" t="n">
        <f aca="false">IF(AND(Inputs!$F$215=1,BI8&gt;Inputs!$F$20),1,0)</f>
        <v>0</v>
      </c>
      <c r="BJ23" s="14" t="n">
        <f aca="false">IF(AND(Inputs!$F$215=1,BJ8&gt;Inputs!$F$20),1,0)</f>
        <v>0</v>
      </c>
      <c r="BK23" s="14" t="n">
        <f aca="false">IF(AND(Inputs!$F$215=1,BK8&gt;Inputs!$F$20),1,0)</f>
        <v>0</v>
      </c>
      <c r="BL23" s="14" t="n">
        <f aca="false">IF(AND(Inputs!$F$215=1,BL8&gt;Inputs!$F$20),1,0)</f>
        <v>0</v>
      </c>
      <c r="BM23" s="14" t="n">
        <f aca="false">IF(AND(Inputs!$F$215=1,BM8&gt;Inputs!$F$20),1,0)</f>
        <v>0</v>
      </c>
      <c r="BN23" s="14" t="n">
        <f aca="false">IF(AND(Inputs!$F$215=1,BN8&gt;Inputs!$F$20),1,0)</f>
        <v>0</v>
      </c>
      <c r="BO23" s="14" t="n">
        <f aca="false">IF(AND(Inputs!$F$215=1,BO8&gt;Inputs!$F$20),1,0)</f>
        <v>0</v>
      </c>
      <c r="BP23" s="14" t="n">
        <f aca="false">IF(AND(Inputs!$F$215=1,BP8&gt;Inputs!$F$20),1,0)</f>
        <v>0</v>
      </c>
      <c r="BQ23" s="14" t="n">
        <f aca="false">IF(AND(Inputs!$F$215=1,BQ8&gt;Inputs!$F$20),1,0)</f>
        <v>0</v>
      </c>
      <c r="BR23" s="14" t="n">
        <f aca="false">IF(AND(Inputs!$F$215=1,BR8&gt;Inputs!$F$20),1,0)</f>
        <v>0</v>
      </c>
      <c r="BS23" s="14" t="n">
        <f aca="false">IF(AND(Inputs!$F$215=1,BS8&gt;Inputs!$F$20),1,0)</f>
        <v>0</v>
      </c>
      <c r="BT23" s="14" t="n">
        <f aca="false">IF(AND(Inputs!$F$215=1,BT8&gt;Inputs!$F$20),1,0)</f>
        <v>0</v>
      </c>
      <c r="BU23" s="14" t="n">
        <f aca="false">IF(AND(Inputs!$F$215=1,BU8&gt;Inputs!$F$20),1,0)</f>
        <v>0</v>
      </c>
      <c r="BV23" s="14" t="n">
        <f aca="false">IF(AND(Inputs!$F$215=1,BV8&gt;Inputs!$F$20),1,0)</f>
        <v>0</v>
      </c>
      <c r="BW23" s="14" t="n">
        <f aca="false">IF(AND(Inputs!$F$215=1,BW8&gt;Inputs!$F$20),1,0)</f>
        <v>0</v>
      </c>
      <c r="BX23" s="14" t="n">
        <f aca="false">IF(AND(Inputs!$F$215=1,BX8&gt;Inputs!$F$20),1,0)</f>
        <v>0</v>
      </c>
      <c r="BY23" s="14" t="n">
        <f aca="false">IF(AND(Inputs!$F$215=1,BY8&gt;Inputs!$F$20),1,0)</f>
        <v>0</v>
      </c>
      <c r="BZ23" s="14" t="n">
        <f aca="false">IF(AND(Inputs!$F$215=1,BZ8&gt;Inputs!$F$20),1,0)</f>
        <v>0</v>
      </c>
      <c r="CA23" s="14" t="n">
        <f aca="false">IF(AND(Inputs!$F$215=1,CA8&gt;Inputs!$F$20),1,0)</f>
        <v>0</v>
      </c>
      <c r="CB23" s="14" t="n">
        <f aca="false">IF(AND(Inputs!$F$215=1,CB8&gt;Inputs!$F$20),1,0)</f>
        <v>0</v>
      </c>
      <c r="CC23" s="14" t="n">
        <f aca="false">IF(AND(Inputs!$F$215=1,CC8&gt;Inputs!$F$20),1,0)</f>
        <v>0</v>
      </c>
      <c r="CD23" s="14" t="n">
        <f aca="false">IF(AND(Inputs!$F$215=1,CD8&gt;Inputs!$F$20),1,0)</f>
        <v>0</v>
      </c>
      <c r="CE23" s="14" t="n">
        <f aca="false">IF(AND(Inputs!$F$215=1,CE8&gt;Inputs!$F$20),1,0)</f>
        <v>0</v>
      </c>
      <c r="CF23" s="14" t="n">
        <f aca="false">IF(AND(Inputs!$F$215=1,CF8&gt;Inputs!$F$20),1,0)</f>
        <v>0</v>
      </c>
      <c r="CG23" s="14" t="n">
        <f aca="false">IF(AND(Inputs!$F$215=1,CG8&gt;Inputs!$F$20),1,0)</f>
        <v>0</v>
      </c>
      <c r="CH23" s="14" t="n">
        <f aca="false">IF(AND(Inputs!$F$215=1,CH8&gt;Inputs!$F$20),1,0)</f>
        <v>0</v>
      </c>
      <c r="CI23" s="14" t="n">
        <f aca="false">IF(AND(Inputs!$F$215=1,CI8&gt;Inputs!$F$20),1,0)</f>
        <v>0</v>
      </c>
      <c r="CJ23" s="14" t="n">
        <f aca="false">IF(AND(Inputs!$F$215=1,CJ8&gt;Inputs!$F$20),1,0)</f>
        <v>0</v>
      </c>
      <c r="CK23" s="14" t="n">
        <f aca="false">IF(AND(Inputs!$F$215=1,CK8&gt;Inputs!$F$20),1,0)</f>
        <v>0</v>
      </c>
      <c r="CL23" s="14" t="n">
        <f aca="false">IF(AND(Inputs!$F$215=1,CL8&gt;Inputs!$F$20),1,0)</f>
        <v>0</v>
      </c>
      <c r="CM23" s="14" t="n">
        <f aca="false">IF(AND(Inputs!$F$215=1,CM8&gt;Inputs!$F$20),1,0)</f>
        <v>0</v>
      </c>
      <c r="CN23" s="14" t="n">
        <f aca="false">IF(AND(Inputs!$F$215=1,CN8&gt;Inputs!$F$20),1,0)</f>
        <v>0</v>
      </c>
      <c r="CO23" s="14" t="n">
        <f aca="false">IF(AND(Inputs!$F$215=1,CO8&gt;Inputs!$F$20),1,0)</f>
        <v>0</v>
      </c>
      <c r="CP23" s="14" t="n">
        <f aca="false">IF(AND(Inputs!$F$215=1,CP8&gt;Inputs!$F$20),1,0)</f>
        <v>0</v>
      </c>
      <c r="CQ23" s="14" t="n">
        <f aca="false">IF(AND(Inputs!$F$215=1,CQ8&gt;Inputs!$F$20),1,0)</f>
        <v>0</v>
      </c>
      <c r="CR23" s="14" t="n">
        <f aca="false">IF(AND(Inputs!$F$215=1,CR8&gt;Inputs!$F$20),1,0)</f>
        <v>0</v>
      </c>
      <c r="CS23" s="14" t="n">
        <f aca="false">IF(AND(Inputs!$F$215=1,CS8&gt;Inputs!$F$20),1,0)</f>
        <v>0</v>
      </c>
      <c r="CT23" s="14" t="n">
        <f aca="false">IF(AND(Inputs!$F$215=1,CT8&gt;Inputs!$F$20),1,0)</f>
        <v>0</v>
      </c>
      <c r="CU23" s="14" t="n">
        <f aca="false">IF(AND(Inputs!$F$215=1,CU8&gt;Inputs!$F$20),1,0)</f>
        <v>0</v>
      </c>
      <c r="CV23" s="14" t="n">
        <f aca="false">IF(AND(Inputs!$F$215=1,CV8&gt;Inputs!$F$20),1,0)</f>
        <v>0</v>
      </c>
      <c r="CW23" s="14" t="n">
        <f aca="false">IF(AND(Inputs!$F$215=1,CW8&gt;Inputs!$F$20),1,0)</f>
        <v>0</v>
      </c>
      <c r="CX23" s="14" t="n">
        <f aca="false">IF(AND(Inputs!$F$215=1,CX8&gt;Inputs!$F$20),1,0)</f>
        <v>0</v>
      </c>
      <c r="CY23" s="14" t="n">
        <f aca="false">IF(AND(Inputs!$F$215=1,CY8&gt;Inputs!$F$20),1,0)</f>
        <v>0</v>
      </c>
      <c r="CZ23" s="14" t="n">
        <f aca="false">IF(AND(Inputs!$F$215=1,CZ8&gt;Inputs!$F$20),1,0)</f>
        <v>0</v>
      </c>
      <c r="DA23" s="14" t="n">
        <f aca="false">IF(AND(Inputs!$F$215=1,DA8&gt;Inputs!$F$20),1,0)</f>
        <v>0</v>
      </c>
      <c r="DB23" s="14" t="n">
        <f aca="false">IF(AND(Inputs!$F$215=1,DB8&gt;Inputs!$F$20),1,0)</f>
        <v>0</v>
      </c>
    </row>
    <row r="24" customFormat="false" ht="15" hidden="false" customHeight="false" outlineLevel="0" collapsed="false">
      <c r="D24" s="0" t="s">
        <v>329</v>
      </c>
      <c r="E24" s="0" t="s">
        <v>36</v>
      </c>
      <c r="J24" s="15" t="n">
        <f aca="false">IF(J23=1,Inputs!$F$19,Inputs!$F$18)</f>
        <v>56030</v>
      </c>
      <c r="K24" s="15" t="n">
        <f aca="false">IF(K23=1,Inputs!$F$19,Inputs!$F$18)</f>
        <v>56030</v>
      </c>
      <c r="L24" s="15" t="n">
        <f aca="false">IF(L23=1,Inputs!$F$19,Inputs!$F$18)</f>
        <v>56030</v>
      </c>
      <c r="M24" s="15" t="n">
        <f aca="false">IF(M23=1,Inputs!$F$19,Inputs!$F$18)</f>
        <v>56030</v>
      </c>
      <c r="N24" s="15" t="n">
        <f aca="false">IF(N23=1,Inputs!$F$19,Inputs!$F$18)</f>
        <v>56030</v>
      </c>
      <c r="O24" s="15" t="n">
        <f aca="false">IF(O23=1,Inputs!$F$19,Inputs!$F$18)</f>
        <v>56030</v>
      </c>
      <c r="P24" s="15" t="n">
        <f aca="false">IF(P23=1,Inputs!$F$19,Inputs!$F$18)</f>
        <v>56030</v>
      </c>
      <c r="Q24" s="15" t="n">
        <f aca="false">IF(Q23=1,Inputs!$F$19,Inputs!$F$18)</f>
        <v>56030</v>
      </c>
      <c r="R24" s="15" t="n">
        <f aca="false">IF(R23=1,Inputs!$F$19,Inputs!$F$18)</f>
        <v>56030</v>
      </c>
      <c r="S24" s="15" t="n">
        <f aca="false">IF(S23=1,Inputs!$F$19,Inputs!$F$18)</f>
        <v>56030</v>
      </c>
      <c r="T24" s="15" t="n">
        <f aca="false">IF(T23=1,Inputs!$F$19,Inputs!$F$18)</f>
        <v>56030</v>
      </c>
      <c r="U24" s="15" t="n">
        <f aca="false">IF(U23=1,Inputs!$F$19,Inputs!$F$18)</f>
        <v>56030</v>
      </c>
      <c r="V24" s="15" t="n">
        <f aca="false">IF(V23=1,Inputs!$F$19,Inputs!$F$18)</f>
        <v>56030</v>
      </c>
      <c r="W24" s="15" t="n">
        <f aca="false">IF(W23=1,Inputs!$F$19,Inputs!$F$18)</f>
        <v>56030</v>
      </c>
      <c r="X24" s="15" t="n">
        <f aca="false">IF(X23=1,Inputs!$F$19,Inputs!$F$18)</f>
        <v>56030</v>
      </c>
      <c r="Y24" s="15" t="n">
        <f aca="false">IF(Y23=1,Inputs!$F$19,Inputs!$F$18)</f>
        <v>56030</v>
      </c>
      <c r="Z24" s="15" t="n">
        <f aca="false">IF(Z23=1,Inputs!$F$19,Inputs!$F$18)</f>
        <v>56030</v>
      </c>
      <c r="AA24" s="15" t="n">
        <f aca="false">IF(AA23=1,Inputs!$F$19,Inputs!$F$18)</f>
        <v>56030</v>
      </c>
      <c r="AB24" s="15" t="n">
        <f aca="false">IF(AB23=1,Inputs!$F$19,Inputs!$F$18)</f>
        <v>56030</v>
      </c>
      <c r="AC24" s="15" t="n">
        <f aca="false">IF(AC23=1,Inputs!$F$19,Inputs!$F$18)</f>
        <v>56030</v>
      </c>
      <c r="AD24" s="15" t="n">
        <f aca="false">IF(AD23=1,Inputs!$F$19,Inputs!$F$18)</f>
        <v>56030</v>
      </c>
      <c r="AE24" s="15" t="n">
        <f aca="false">IF(AE23=1,Inputs!$F$19,Inputs!$F$18)</f>
        <v>56030</v>
      </c>
      <c r="AF24" s="15" t="n">
        <f aca="false">IF(AF23=1,Inputs!$F$19,Inputs!$F$18)</f>
        <v>56030</v>
      </c>
      <c r="AG24" s="15" t="n">
        <f aca="false">IF(AG23=1,Inputs!$F$19,Inputs!$F$18)</f>
        <v>56030</v>
      </c>
      <c r="AH24" s="15" t="n">
        <f aca="false">IF(AH23=1,Inputs!$F$19,Inputs!$F$18)</f>
        <v>56030</v>
      </c>
      <c r="AI24" s="15" t="n">
        <f aca="false">IF(AI23=1,Inputs!$F$19,Inputs!$F$18)</f>
        <v>56030</v>
      </c>
      <c r="AJ24" s="15" t="n">
        <f aca="false">IF(AJ23=1,Inputs!$F$19,Inputs!$F$18)</f>
        <v>56030</v>
      </c>
      <c r="AK24" s="15" t="n">
        <f aca="false">IF(AK23=1,Inputs!$F$19,Inputs!$F$18)</f>
        <v>56030</v>
      </c>
      <c r="AL24" s="15" t="n">
        <f aca="false">IF(AL23=1,Inputs!$F$19,Inputs!$F$18)</f>
        <v>56030</v>
      </c>
      <c r="AM24" s="15" t="n">
        <f aca="false">IF(AM23=1,Inputs!$F$19,Inputs!$F$18)</f>
        <v>56030</v>
      </c>
      <c r="AN24" s="15" t="n">
        <f aca="false">IF(AN23=1,Inputs!$F$19,Inputs!$F$18)</f>
        <v>56030</v>
      </c>
      <c r="AO24" s="15" t="n">
        <f aca="false">IF(AO23=1,Inputs!$F$19,Inputs!$F$18)</f>
        <v>56030</v>
      </c>
      <c r="AP24" s="15" t="n">
        <f aca="false">IF(AP23=1,Inputs!$F$19,Inputs!$F$18)</f>
        <v>56030</v>
      </c>
      <c r="AQ24" s="15" t="n">
        <f aca="false">IF(AQ23=1,Inputs!$F$19,Inputs!$F$18)</f>
        <v>56030</v>
      </c>
      <c r="AR24" s="15" t="n">
        <f aca="false">IF(AR23=1,Inputs!$F$19,Inputs!$F$18)</f>
        <v>56030</v>
      </c>
      <c r="AS24" s="15" t="n">
        <f aca="false">IF(AS23=1,Inputs!$F$19,Inputs!$F$18)</f>
        <v>56030</v>
      </c>
      <c r="AT24" s="15" t="n">
        <f aca="false">IF(AT23=1,Inputs!$F$19,Inputs!$F$18)</f>
        <v>56030</v>
      </c>
      <c r="AU24" s="15" t="n">
        <f aca="false">IF(AU23=1,Inputs!$F$19,Inputs!$F$18)</f>
        <v>56030</v>
      </c>
      <c r="AV24" s="15" t="n">
        <f aca="false">IF(AV23=1,Inputs!$F$19,Inputs!$F$18)</f>
        <v>56030</v>
      </c>
      <c r="AW24" s="15" t="n">
        <f aca="false">IF(AW23=1,Inputs!$F$19,Inputs!$F$18)</f>
        <v>56030</v>
      </c>
      <c r="AX24" s="15" t="n">
        <f aca="false">IF(AX23=1,Inputs!$F$19,Inputs!$F$18)</f>
        <v>56030</v>
      </c>
      <c r="AY24" s="15" t="n">
        <f aca="false">IF(AY23=1,Inputs!$F$19,Inputs!$F$18)</f>
        <v>56030</v>
      </c>
      <c r="AZ24" s="15" t="n">
        <f aca="false">IF(AZ23=1,Inputs!$F$19,Inputs!$F$18)</f>
        <v>56030</v>
      </c>
      <c r="BA24" s="15" t="n">
        <f aca="false">IF(BA23=1,Inputs!$F$19,Inputs!$F$18)</f>
        <v>56030</v>
      </c>
      <c r="BB24" s="15" t="n">
        <f aca="false">IF(BB23=1,Inputs!$F$19,Inputs!$F$18)</f>
        <v>56030</v>
      </c>
      <c r="BC24" s="15" t="n">
        <f aca="false">IF(BC23=1,Inputs!$F$19,Inputs!$F$18)</f>
        <v>56030</v>
      </c>
      <c r="BD24" s="15" t="n">
        <f aca="false">IF(BD23=1,Inputs!$F$19,Inputs!$F$18)</f>
        <v>56030</v>
      </c>
      <c r="BE24" s="15" t="n">
        <f aca="false">IF(BE23=1,Inputs!$F$19,Inputs!$F$18)</f>
        <v>56030</v>
      </c>
      <c r="BF24" s="15" t="n">
        <f aca="false">IF(BF23=1,Inputs!$F$19,Inputs!$F$18)</f>
        <v>56030</v>
      </c>
      <c r="BG24" s="15" t="n">
        <f aca="false">IF(BG23=1,Inputs!$F$19,Inputs!$F$18)</f>
        <v>56030</v>
      </c>
      <c r="BH24" s="15" t="n">
        <f aca="false">IF(BH23=1,Inputs!$F$19,Inputs!$F$18)</f>
        <v>56030</v>
      </c>
      <c r="BI24" s="15" t="n">
        <f aca="false">IF(BI23=1,Inputs!$F$19,Inputs!$F$18)</f>
        <v>56030</v>
      </c>
      <c r="BJ24" s="15" t="n">
        <f aca="false">IF(BJ23=1,Inputs!$F$19,Inputs!$F$18)</f>
        <v>56030</v>
      </c>
      <c r="BK24" s="15" t="n">
        <f aca="false">IF(BK23=1,Inputs!$F$19,Inputs!$F$18)</f>
        <v>56030</v>
      </c>
      <c r="BL24" s="15" t="n">
        <f aca="false">IF(BL23=1,Inputs!$F$19,Inputs!$F$18)</f>
        <v>56030</v>
      </c>
      <c r="BM24" s="15" t="n">
        <f aca="false">IF(BM23=1,Inputs!$F$19,Inputs!$F$18)</f>
        <v>56030</v>
      </c>
      <c r="BN24" s="15" t="n">
        <f aca="false">IF(BN23=1,Inputs!$F$19,Inputs!$F$18)</f>
        <v>56030</v>
      </c>
      <c r="BO24" s="15" t="n">
        <f aca="false">IF(BO23=1,Inputs!$F$19,Inputs!$F$18)</f>
        <v>56030</v>
      </c>
      <c r="BP24" s="15" t="n">
        <f aca="false">IF(BP23=1,Inputs!$F$19,Inputs!$F$18)</f>
        <v>56030</v>
      </c>
      <c r="BQ24" s="15" t="n">
        <f aca="false">IF(BQ23=1,Inputs!$F$19,Inputs!$F$18)</f>
        <v>56030</v>
      </c>
      <c r="BR24" s="15" t="n">
        <f aca="false">IF(BR23=1,Inputs!$F$19,Inputs!$F$18)</f>
        <v>56030</v>
      </c>
      <c r="BS24" s="15" t="n">
        <f aca="false">IF(BS23=1,Inputs!$F$19,Inputs!$F$18)</f>
        <v>56030</v>
      </c>
      <c r="BT24" s="15" t="n">
        <f aca="false">IF(BT23=1,Inputs!$F$19,Inputs!$F$18)</f>
        <v>56030</v>
      </c>
      <c r="BU24" s="15" t="n">
        <f aca="false">IF(BU23=1,Inputs!$F$19,Inputs!$F$18)</f>
        <v>56030</v>
      </c>
      <c r="BV24" s="15" t="n">
        <f aca="false">IF(BV23=1,Inputs!$F$19,Inputs!$F$18)</f>
        <v>56030</v>
      </c>
      <c r="BW24" s="15" t="n">
        <f aca="false">IF(BW23=1,Inputs!$F$19,Inputs!$F$18)</f>
        <v>56030</v>
      </c>
      <c r="BX24" s="15" t="n">
        <f aca="false">IF(BX23=1,Inputs!$F$19,Inputs!$F$18)</f>
        <v>56030</v>
      </c>
      <c r="BY24" s="15" t="n">
        <f aca="false">IF(BY23=1,Inputs!$F$19,Inputs!$F$18)</f>
        <v>56030</v>
      </c>
      <c r="BZ24" s="15" t="n">
        <f aca="false">IF(BZ23=1,Inputs!$F$19,Inputs!$F$18)</f>
        <v>56030</v>
      </c>
      <c r="CA24" s="15" t="n">
        <f aca="false">IF(CA23=1,Inputs!$F$19,Inputs!$F$18)</f>
        <v>56030</v>
      </c>
      <c r="CB24" s="15" t="n">
        <f aca="false">IF(CB23=1,Inputs!$F$19,Inputs!$F$18)</f>
        <v>56030</v>
      </c>
      <c r="CC24" s="15" t="n">
        <f aca="false">IF(CC23=1,Inputs!$F$19,Inputs!$F$18)</f>
        <v>56030</v>
      </c>
      <c r="CD24" s="15" t="n">
        <f aca="false">IF(CD23=1,Inputs!$F$19,Inputs!$F$18)</f>
        <v>56030</v>
      </c>
      <c r="CE24" s="15" t="n">
        <f aca="false">IF(CE23=1,Inputs!$F$19,Inputs!$F$18)</f>
        <v>56030</v>
      </c>
      <c r="CF24" s="15" t="n">
        <f aca="false">IF(CF23=1,Inputs!$F$19,Inputs!$F$18)</f>
        <v>56030</v>
      </c>
      <c r="CG24" s="15" t="n">
        <f aca="false">IF(CG23=1,Inputs!$F$19,Inputs!$F$18)</f>
        <v>56030</v>
      </c>
      <c r="CH24" s="15" t="n">
        <f aca="false">IF(CH23=1,Inputs!$F$19,Inputs!$F$18)</f>
        <v>56030</v>
      </c>
      <c r="CI24" s="15" t="n">
        <f aca="false">IF(CI23=1,Inputs!$F$19,Inputs!$F$18)</f>
        <v>56030</v>
      </c>
      <c r="CJ24" s="15" t="n">
        <f aca="false">IF(CJ23=1,Inputs!$F$19,Inputs!$F$18)</f>
        <v>56030</v>
      </c>
      <c r="CK24" s="15" t="n">
        <f aca="false">IF(CK23=1,Inputs!$F$19,Inputs!$F$18)</f>
        <v>56030</v>
      </c>
      <c r="CL24" s="15" t="n">
        <f aca="false">IF(CL23=1,Inputs!$F$19,Inputs!$F$18)</f>
        <v>56030</v>
      </c>
      <c r="CM24" s="15" t="n">
        <f aca="false">IF(CM23=1,Inputs!$F$19,Inputs!$F$18)</f>
        <v>56030</v>
      </c>
      <c r="CN24" s="15" t="n">
        <f aca="false">IF(CN23=1,Inputs!$F$19,Inputs!$F$18)</f>
        <v>56030</v>
      </c>
      <c r="CO24" s="15" t="n">
        <f aca="false">IF(CO23=1,Inputs!$F$19,Inputs!$F$18)</f>
        <v>56030</v>
      </c>
      <c r="CP24" s="15" t="n">
        <f aca="false">IF(CP23=1,Inputs!$F$19,Inputs!$F$18)</f>
        <v>56030</v>
      </c>
      <c r="CQ24" s="15" t="n">
        <f aca="false">IF(CQ23=1,Inputs!$F$19,Inputs!$F$18)</f>
        <v>56030</v>
      </c>
      <c r="CR24" s="15" t="n">
        <f aca="false">IF(CR23=1,Inputs!$F$19,Inputs!$F$18)</f>
        <v>56030</v>
      </c>
      <c r="CS24" s="15" t="n">
        <f aca="false">IF(CS23=1,Inputs!$F$19,Inputs!$F$18)</f>
        <v>56030</v>
      </c>
      <c r="CT24" s="15" t="n">
        <f aca="false">IF(CT23=1,Inputs!$F$19,Inputs!$F$18)</f>
        <v>56030</v>
      </c>
      <c r="CU24" s="15" t="n">
        <f aca="false">IF(CU23=1,Inputs!$F$19,Inputs!$F$18)</f>
        <v>56030</v>
      </c>
      <c r="CV24" s="15" t="n">
        <f aca="false">IF(CV23=1,Inputs!$F$19,Inputs!$F$18)</f>
        <v>56030</v>
      </c>
      <c r="CW24" s="15" t="n">
        <f aca="false">IF(CW23=1,Inputs!$F$19,Inputs!$F$18)</f>
        <v>56030</v>
      </c>
      <c r="CX24" s="15" t="n">
        <f aca="false">IF(CX23=1,Inputs!$F$19,Inputs!$F$18)</f>
        <v>56030</v>
      </c>
      <c r="CY24" s="15" t="n">
        <f aca="false">IF(CY23=1,Inputs!$F$19,Inputs!$F$18)</f>
        <v>56030</v>
      </c>
      <c r="CZ24" s="15" t="n">
        <f aca="false">IF(CZ23=1,Inputs!$F$19,Inputs!$F$18)</f>
        <v>56030</v>
      </c>
      <c r="DA24" s="15" t="n">
        <f aca="false">IF(DA23=1,Inputs!$F$19,Inputs!$F$18)</f>
        <v>56030</v>
      </c>
      <c r="DB24" s="15" t="n">
        <f aca="false">IF(DB23=1,Inputs!$F$19,Inputs!$F$18)</f>
        <v>56030</v>
      </c>
    </row>
    <row r="25" customFormat="false" ht="15" hidden="false" customHeight="false" outlineLevel="0" collapsed="false">
      <c r="D25" s="0" t="s">
        <v>330</v>
      </c>
      <c r="E25" s="0" t="s">
        <v>79</v>
      </c>
      <c r="J25" s="14" t="n">
        <f aca="false">MAX(0,MIN(J8,$F$17)-MAX(J7,$F$16))</f>
        <v>0</v>
      </c>
      <c r="K25" s="14" t="n">
        <f aca="false">MAX(0,MIN(K8,$F$17)-MAX(K7,$F$16))</f>
        <v>0</v>
      </c>
      <c r="L25" s="14" t="n">
        <f aca="false">MAX(0,MIN(L8,$F$17)-MAX(L7,$F$16))</f>
        <v>0</v>
      </c>
      <c r="M25" s="14" t="n">
        <f aca="false">MAX(0,MIN(M8,$F$17)-MAX(M7,$F$16))</f>
        <v>0</v>
      </c>
      <c r="N25" s="14" t="n">
        <f aca="false">MAX(0,MIN(N8,$F$17)-MAX(N7,$F$16))</f>
        <v>0</v>
      </c>
      <c r="O25" s="14" t="n">
        <f aca="false">MAX(0,MIN(O8,$F$17)-MAX(O7,$F$16))</f>
        <v>0</v>
      </c>
      <c r="P25" s="14" t="n">
        <f aca="false">MAX(0,MIN(P8,$F$17)-MAX(P7,$F$16))</f>
        <v>0</v>
      </c>
      <c r="Q25" s="14" t="n">
        <f aca="false">MAX(0,MIN(Q8,$F$17)-MAX(Q7,$F$16))</f>
        <v>0</v>
      </c>
      <c r="R25" s="14" t="n">
        <f aca="false">MAX(0,MIN(R8,$F$17)-MAX(R7,$F$16))</f>
        <v>0</v>
      </c>
      <c r="S25" s="14" t="n">
        <f aca="false">MAX(0,MIN(S8,$F$17)-MAX(S7,$F$16))</f>
        <v>0</v>
      </c>
      <c r="T25" s="14" t="n">
        <f aca="false">MAX(0,MIN(T8,$F$17)-MAX(T7,$F$16))</f>
        <v>0</v>
      </c>
      <c r="U25" s="14" t="n">
        <f aca="false">MAX(0,MIN(U8,$F$17)-MAX(U7,$F$16))</f>
        <v>0</v>
      </c>
      <c r="V25" s="14" t="n">
        <f aca="false">MAX(0,MIN(V8,$F$17)-MAX(V7,$F$16))</f>
        <v>0</v>
      </c>
      <c r="W25" s="14" t="n">
        <f aca="false">MAX(0,MIN(W8,$F$17)-MAX(W7,$F$16))</f>
        <v>0</v>
      </c>
      <c r="X25" s="14" t="n">
        <f aca="false">MAX(0,MIN(X8,$F$17)-MAX(X7,$F$16))</f>
        <v>0</v>
      </c>
      <c r="Y25" s="14" t="n">
        <f aca="false">MAX(0,MIN(Y8,$F$17)-MAX(Y7,$F$16))</f>
        <v>0</v>
      </c>
      <c r="Z25" s="14" t="n">
        <f aca="false">MAX(0,MIN(Z8,$F$17)-MAX(Z7,$F$16))</f>
        <v>91</v>
      </c>
      <c r="AA25" s="14" t="n">
        <f aca="false">MAX(0,MIN(AA8,$F$17)-MAX(AA7,$F$16))</f>
        <v>184</v>
      </c>
      <c r="AB25" s="14" t="n">
        <f aca="false">MAX(0,MIN(AB8,$F$17)-MAX(AB7,$F$16))</f>
        <v>182</v>
      </c>
      <c r="AC25" s="14" t="n">
        <f aca="false">MAX(0,MIN(AC8,$F$17)-MAX(AC7,$F$16))</f>
        <v>184</v>
      </c>
      <c r="AD25" s="14" t="n">
        <f aca="false">MAX(0,MIN(AD8,$F$17)-MAX(AD7,$F$16))</f>
        <v>181</v>
      </c>
      <c r="AE25" s="14" t="n">
        <f aca="false">MAX(0,MIN(AE8,$F$17)-MAX(AE7,$F$16))</f>
        <v>184</v>
      </c>
      <c r="AF25" s="14" t="n">
        <f aca="false">MAX(0,MIN(AF8,$F$17)-MAX(AF7,$F$16))</f>
        <v>181</v>
      </c>
      <c r="AG25" s="14" t="n">
        <f aca="false">MAX(0,MIN(AG8,$F$17)-MAX(AG7,$F$16))</f>
        <v>184</v>
      </c>
      <c r="AH25" s="14" t="n">
        <f aca="false">MAX(0,MIN(AH8,$F$17)-MAX(AH7,$F$16))</f>
        <v>181</v>
      </c>
      <c r="AI25" s="14" t="n">
        <f aca="false">MAX(0,MIN(AI8,$F$17)-MAX(AI7,$F$16))</f>
        <v>184</v>
      </c>
      <c r="AJ25" s="14" t="n">
        <f aca="false">MAX(0,MIN(AJ8,$F$17)-MAX(AJ7,$F$16))</f>
        <v>182</v>
      </c>
      <c r="AK25" s="14" t="n">
        <f aca="false">MAX(0,MIN(AK8,$F$17)-MAX(AK7,$F$16))</f>
        <v>184</v>
      </c>
      <c r="AL25" s="14" t="n">
        <f aca="false">MAX(0,MIN(AL8,$F$17)-MAX(AL7,$F$16))</f>
        <v>181</v>
      </c>
      <c r="AM25" s="14" t="n">
        <f aca="false">MAX(0,MIN(AM8,$F$17)-MAX(AM7,$F$16))</f>
        <v>184</v>
      </c>
      <c r="AN25" s="14" t="n">
        <f aca="false">MAX(0,MIN(AN8,$F$17)-MAX(AN7,$F$16))</f>
        <v>181</v>
      </c>
      <c r="AO25" s="14" t="n">
        <f aca="false">MAX(0,MIN(AO8,$F$17)-MAX(AO7,$F$16))</f>
        <v>184</v>
      </c>
      <c r="AP25" s="14" t="n">
        <f aca="false">MAX(0,MIN(AP8,$F$17)-MAX(AP7,$F$16))</f>
        <v>181</v>
      </c>
      <c r="AQ25" s="14" t="n">
        <f aca="false">MAX(0,MIN(AQ8,$F$17)-MAX(AQ7,$F$16))</f>
        <v>184</v>
      </c>
      <c r="AR25" s="14" t="n">
        <f aca="false">MAX(0,MIN(AR8,$F$17)-MAX(AR7,$F$16))</f>
        <v>182</v>
      </c>
      <c r="AS25" s="14" t="n">
        <f aca="false">MAX(0,MIN(AS8,$F$17)-MAX(AS7,$F$16))</f>
        <v>184</v>
      </c>
      <c r="AT25" s="14" t="n">
        <f aca="false">MAX(0,MIN(AT8,$F$17)-MAX(AT7,$F$16))</f>
        <v>181</v>
      </c>
      <c r="AU25" s="14" t="n">
        <f aca="false">MAX(0,MIN(AU8,$F$17)-MAX(AU7,$F$16))</f>
        <v>184</v>
      </c>
      <c r="AV25" s="14" t="n">
        <f aca="false">MAX(0,MIN(AV8,$F$17)-MAX(AV7,$F$16))</f>
        <v>181</v>
      </c>
      <c r="AW25" s="14" t="n">
        <f aca="false">MAX(0,MIN(AW8,$F$17)-MAX(AW7,$F$16))</f>
        <v>184</v>
      </c>
      <c r="AX25" s="14" t="n">
        <f aca="false">MAX(0,MIN(AX8,$F$17)-MAX(AX7,$F$16))</f>
        <v>181</v>
      </c>
      <c r="AY25" s="14" t="n">
        <f aca="false">MAX(0,MIN(AY8,$F$17)-MAX(AY7,$F$16))</f>
        <v>184</v>
      </c>
      <c r="AZ25" s="14" t="n">
        <f aca="false">MAX(0,MIN(AZ8,$F$17)-MAX(AZ7,$F$16))</f>
        <v>182</v>
      </c>
      <c r="BA25" s="14" t="n">
        <f aca="false">MAX(0,MIN(BA8,$F$17)-MAX(BA7,$F$16))</f>
        <v>184</v>
      </c>
      <c r="BB25" s="14" t="n">
        <f aca="false">MAX(0,MIN(BB8,$F$17)-MAX(BB7,$F$16))</f>
        <v>181</v>
      </c>
      <c r="BC25" s="14" t="n">
        <f aca="false">MAX(0,MIN(BC8,$F$17)-MAX(BC7,$F$16))</f>
        <v>184</v>
      </c>
      <c r="BD25" s="14" t="n">
        <f aca="false">MAX(0,MIN(BD8,$F$17)-MAX(BD7,$F$16))</f>
        <v>181</v>
      </c>
      <c r="BE25" s="14" t="n">
        <f aca="false">MAX(0,MIN(BE8,$F$17)-MAX(BE7,$F$16))</f>
        <v>184</v>
      </c>
      <c r="BF25" s="14" t="n">
        <f aca="false">MAX(0,MIN(BF8,$F$17)-MAX(BF7,$F$16))</f>
        <v>181</v>
      </c>
      <c r="BG25" s="14" t="n">
        <f aca="false">MAX(0,MIN(BG8,$F$17)-MAX(BG7,$F$16))</f>
        <v>184</v>
      </c>
      <c r="BH25" s="14" t="n">
        <f aca="false">MAX(0,MIN(BH8,$F$17)-MAX(BH7,$F$16))</f>
        <v>182</v>
      </c>
      <c r="BI25" s="14" t="n">
        <f aca="false">MAX(0,MIN(BI8,$F$17)-MAX(BI7,$F$16))</f>
        <v>184</v>
      </c>
      <c r="BJ25" s="14" t="n">
        <f aca="false">MAX(0,MIN(BJ8,$F$17)-MAX(BJ7,$F$16))</f>
        <v>181</v>
      </c>
      <c r="BK25" s="14" t="n">
        <f aca="false">MAX(0,MIN(BK8,$F$17)-MAX(BK7,$F$16))</f>
        <v>184</v>
      </c>
      <c r="BL25" s="14" t="n">
        <f aca="false">MAX(0,MIN(BL8,$F$17)-MAX(BL7,$F$16))</f>
        <v>181</v>
      </c>
      <c r="BM25" s="14" t="n">
        <f aca="false">MAX(0,MIN(BM8,$F$17)-MAX(BM7,$F$16))</f>
        <v>184</v>
      </c>
      <c r="BN25" s="14" t="n">
        <f aca="false">MAX(0,MIN(BN8,$F$17)-MAX(BN7,$F$16))</f>
        <v>181</v>
      </c>
      <c r="BO25" s="14" t="n">
        <f aca="false">MAX(0,MIN(BO8,$F$17)-MAX(BO7,$F$16))</f>
        <v>184</v>
      </c>
      <c r="BP25" s="14" t="n">
        <f aca="false">MAX(0,MIN(BP8,$F$17)-MAX(BP7,$F$16))</f>
        <v>182</v>
      </c>
      <c r="BQ25" s="14" t="n">
        <f aca="false">MAX(0,MIN(BQ8,$F$17)-MAX(BQ7,$F$16))</f>
        <v>184</v>
      </c>
      <c r="BR25" s="14" t="n">
        <f aca="false">MAX(0,MIN(BR8,$F$17)-MAX(BR7,$F$16))</f>
        <v>181</v>
      </c>
      <c r="BS25" s="14" t="n">
        <f aca="false">MAX(0,MIN(BS8,$F$17)-MAX(BS7,$F$16))</f>
        <v>184</v>
      </c>
      <c r="BT25" s="14" t="n">
        <f aca="false">MAX(0,MIN(BT8,$F$17)-MAX(BT7,$F$16))</f>
        <v>181</v>
      </c>
      <c r="BU25" s="14" t="n">
        <f aca="false">MAX(0,MIN(BU8,$F$17)-MAX(BU7,$F$16))</f>
        <v>184</v>
      </c>
      <c r="BV25" s="14" t="n">
        <f aca="false">MAX(0,MIN(BV8,$F$17)-MAX(BV7,$F$16))</f>
        <v>181</v>
      </c>
      <c r="BW25" s="14" t="n">
        <f aca="false">MAX(0,MIN(BW8,$F$17)-MAX(BW7,$F$16))</f>
        <v>184</v>
      </c>
      <c r="BX25" s="14" t="n">
        <f aca="false">MAX(0,MIN(BX8,$F$17)-MAX(BX7,$F$16))</f>
        <v>182</v>
      </c>
      <c r="BY25" s="14" t="n">
        <f aca="false">MAX(0,MIN(BY8,$F$17)-MAX(BY7,$F$16))</f>
        <v>184</v>
      </c>
      <c r="BZ25" s="14" t="n">
        <f aca="false">MAX(0,MIN(BZ8,$F$17)-MAX(BZ7,$F$16))</f>
        <v>181</v>
      </c>
      <c r="CA25" s="14" t="n">
        <f aca="false">MAX(0,MIN(CA8,$F$17)-MAX(CA7,$F$16))</f>
        <v>184</v>
      </c>
      <c r="CB25" s="14" t="n">
        <f aca="false">MAX(0,MIN(CB8,$F$17)-MAX(CB7,$F$16))</f>
        <v>181</v>
      </c>
      <c r="CC25" s="14" t="n">
        <f aca="false">MAX(0,MIN(CC8,$F$17)-MAX(CC7,$F$16))</f>
        <v>184</v>
      </c>
      <c r="CD25" s="14" t="n">
        <f aca="false">MAX(0,MIN(CD8,$F$17)-MAX(CD7,$F$16))</f>
        <v>181</v>
      </c>
      <c r="CE25" s="14" t="n">
        <f aca="false">MAX(0,MIN(CE8,$F$17)-MAX(CE7,$F$16))</f>
        <v>184</v>
      </c>
      <c r="CF25" s="14" t="n">
        <f aca="false">MAX(0,MIN(CF8,$F$17)-MAX(CF7,$F$16))</f>
        <v>182</v>
      </c>
      <c r="CG25" s="14" t="n">
        <f aca="false">MAX(0,MIN(CG8,$F$17)-MAX(CG7,$F$16))</f>
        <v>184</v>
      </c>
      <c r="CH25" s="14" t="n">
        <f aca="false">MAX(0,MIN(CH8,$F$17)-MAX(CH7,$F$16))</f>
        <v>181</v>
      </c>
      <c r="CI25" s="14" t="n">
        <f aca="false">MAX(0,MIN(CI8,$F$17)-MAX(CI7,$F$16))</f>
        <v>184</v>
      </c>
      <c r="CJ25" s="14" t="n">
        <f aca="false">MAX(0,MIN(CJ8,$F$17)-MAX(CJ7,$F$16))</f>
        <v>181</v>
      </c>
      <c r="CK25" s="14" t="n">
        <f aca="false">MAX(0,MIN(CK8,$F$17)-MAX(CK7,$F$16))</f>
        <v>184</v>
      </c>
      <c r="CL25" s="14" t="n">
        <f aca="false">MAX(0,MIN(CL8,$F$17)-MAX(CL7,$F$16))</f>
        <v>181</v>
      </c>
      <c r="CM25" s="14" t="n">
        <f aca="false">MAX(0,MIN(CM8,$F$17)-MAX(CM7,$F$16))</f>
        <v>184</v>
      </c>
      <c r="CN25" s="14" t="n">
        <f aca="false">MAX(0,MIN(CN8,$F$17)-MAX(CN7,$F$16))</f>
        <v>182</v>
      </c>
      <c r="CO25" s="14" t="n">
        <f aca="false">MAX(0,MIN(CO8,$F$17)-MAX(CO7,$F$16))</f>
        <v>184</v>
      </c>
      <c r="CP25" s="14" t="n">
        <f aca="false">MAX(0,MIN(CP8,$F$17)-MAX(CP7,$F$16))</f>
        <v>146</v>
      </c>
      <c r="CQ25" s="14" t="n">
        <f aca="false">MAX(0,MIN(CQ8,$F$17)-MAX(CQ7,$F$16))</f>
        <v>0</v>
      </c>
      <c r="CR25" s="14" t="n">
        <f aca="false">MAX(0,MIN(CR8,$F$17)-MAX(CR7,$F$16))</f>
        <v>0</v>
      </c>
      <c r="CS25" s="14" t="n">
        <f aca="false">MAX(0,MIN(CS8,$F$17)-MAX(CS7,$F$16))</f>
        <v>0</v>
      </c>
      <c r="CT25" s="14" t="n">
        <f aca="false">MAX(0,MIN(CT8,$F$17)-MAX(CT7,$F$16))</f>
        <v>0</v>
      </c>
      <c r="CU25" s="14" t="n">
        <f aca="false">MAX(0,MIN(CU8,$F$17)-MAX(CU7,$F$16))</f>
        <v>0</v>
      </c>
      <c r="CV25" s="14" t="n">
        <f aca="false">MAX(0,MIN(CV8,$F$17)-MAX(CV7,$F$16))</f>
        <v>0</v>
      </c>
      <c r="CW25" s="14" t="n">
        <f aca="false">MAX(0,MIN(CW8,$F$17)-MAX(CW7,$F$16))</f>
        <v>0</v>
      </c>
      <c r="CX25" s="14" t="n">
        <f aca="false">MAX(0,MIN(CX8,$F$17)-MAX(CX7,$F$16))</f>
        <v>0</v>
      </c>
      <c r="CY25" s="14" t="n">
        <f aca="false">MAX(0,MIN(CY8,$F$17)-MAX(CY7,$F$16))</f>
        <v>0</v>
      </c>
      <c r="CZ25" s="14" t="n">
        <f aca="false">MAX(0,MIN(CZ8,$F$17)-MAX(CZ7,$F$16))</f>
        <v>0</v>
      </c>
      <c r="DA25" s="14" t="n">
        <f aca="false">MAX(0,MIN(DA8,$F$17)-MAX(DA7,$F$16))</f>
        <v>0</v>
      </c>
      <c r="DB25" s="14" t="n">
        <f aca="false">MAX(0,MIN(DB8,$F$17)-MAX(DB7,$F$16))</f>
        <v>0</v>
      </c>
    </row>
    <row r="26" customFormat="false" ht="15" hidden="false" customHeight="false" outlineLevel="0" collapsed="false">
      <c r="D26" s="0" t="s">
        <v>331</v>
      </c>
      <c r="E26" s="0" t="s">
        <v>42</v>
      </c>
      <c r="J26" s="14" t="n">
        <f aca="false">IF(J25&gt;0,1,0)</f>
        <v>0</v>
      </c>
      <c r="K26" s="14" t="n">
        <f aca="false">IF(K25&gt;0,1,0)</f>
        <v>0</v>
      </c>
      <c r="L26" s="14" t="n">
        <f aca="false">IF(L25&gt;0,1,0)</f>
        <v>0</v>
      </c>
      <c r="M26" s="14" t="n">
        <f aca="false">IF(M25&gt;0,1,0)</f>
        <v>0</v>
      </c>
      <c r="N26" s="14" t="n">
        <f aca="false">IF(N25&gt;0,1,0)</f>
        <v>0</v>
      </c>
      <c r="O26" s="14" t="n">
        <f aca="false">IF(O25&gt;0,1,0)</f>
        <v>0</v>
      </c>
      <c r="P26" s="14" t="n">
        <f aca="false">IF(P25&gt;0,1,0)</f>
        <v>0</v>
      </c>
      <c r="Q26" s="14" t="n">
        <f aca="false">IF(Q25&gt;0,1,0)</f>
        <v>0</v>
      </c>
      <c r="R26" s="14" t="n">
        <f aca="false">IF(R25&gt;0,1,0)</f>
        <v>0</v>
      </c>
      <c r="S26" s="14" t="n">
        <f aca="false">IF(S25&gt;0,1,0)</f>
        <v>0</v>
      </c>
      <c r="T26" s="14" t="n">
        <f aca="false">IF(T25&gt;0,1,0)</f>
        <v>0</v>
      </c>
      <c r="U26" s="14" t="n">
        <f aca="false">IF(U25&gt;0,1,0)</f>
        <v>0</v>
      </c>
      <c r="V26" s="14" t="n">
        <f aca="false">IF(V25&gt;0,1,0)</f>
        <v>0</v>
      </c>
      <c r="W26" s="14" t="n">
        <f aca="false">IF(W25&gt;0,1,0)</f>
        <v>0</v>
      </c>
      <c r="X26" s="14" t="n">
        <f aca="false">IF(X25&gt;0,1,0)</f>
        <v>0</v>
      </c>
      <c r="Y26" s="14" t="n">
        <f aca="false">IF(Y25&gt;0,1,0)</f>
        <v>0</v>
      </c>
      <c r="Z26" s="14" t="n">
        <f aca="false">IF(Z25&gt;0,1,0)</f>
        <v>1</v>
      </c>
      <c r="AA26" s="14" t="n">
        <f aca="false">IF(AA25&gt;0,1,0)</f>
        <v>1</v>
      </c>
      <c r="AB26" s="14" t="n">
        <f aca="false">IF(AB25&gt;0,1,0)</f>
        <v>1</v>
      </c>
      <c r="AC26" s="14" t="n">
        <f aca="false">IF(AC25&gt;0,1,0)</f>
        <v>1</v>
      </c>
      <c r="AD26" s="14" t="n">
        <f aca="false">IF(AD25&gt;0,1,0)</f>
        <v>1</v>
      </c>
      <c r="AE26" s="14" t="n">
        <f aca="false">IF(AE25&gt;0,1,0)</f>
        <v>1</v>
      </c>
      <c r="AF26" s="14" t="n">
        <f aca="false">IF(AF25&gt;0,1,0)</f>
        <v>1</v>
      </c>
      <c r="AG26" s="14" t="n">
        <f aca="false">IF(AG25&gt;0,1,0)</f>
        <v>1</v>
      </c>
      <c r="AH26" s="14" t="n">
        <f aca="false">IF(AH25&gt;0,1,0)</f>
        <v>1</v>
      </c>
      <c r="AI26" s="14" t="n">
        <f aca="false">IF(AI25&gt;0,1,0)</f>
        <v>1</v>
      </c>
      <c r="AJ26" s="14" t="n">
        <f aca="false">IF(AJ25&gt;0,1,0)</f>
        <v>1</v>
      </c>
      <c r="AK26" s="14" t="n">
        <f aca="false">IF(AK25&gt;0,1,0)</f>
        <v>1</v>
      </c>
      <c r="AL26" s="14" t="n">
        <f aca="false">IF(AL25&gt;0,1,0)</f>
        <v>1</v>
      </c>
      <c r="AM26" s="14" t="n">
        <f aca="false">IF(AM25&gt;0,1,0)</f>
        <v>1</v>
      </c>
      <c r="AN26" s="14" t="n">
        <f aca="false">IF(AN25&gt;0,1,0)</f>
        <v>1</v>
      </c>
      <c r="AO26" s="14" t="n">
        <f aca="false">IF(AO25&gt;0,1,0)</f>
        <v>1</v>
      </c>
      <c r="AP26" s="14" t="n">
        <f aca="false">IF(AP25&gt;0,1,0)</f>
        <v>1</v>
      </c>
      <c r="AQ26" s="14" t="n">
        <f aca="false">IF(AQ25&gt;0,1,0)</f>
        <v>1</v>
      </c>
      <c r="AR26" s="14" t="n">
        <f aca="false">IF(AR25&gt;0,1,0)</f>
        <v>1</v>
      </c>
      <c r="AS26" s="14" t="n">
        <f aca="false">IF(AS25&gt;0,1,0)</f>
        <v>1</v>
      </c>
      <c r="AT26" s="14" t="n">
        <f aca="false">IF(AT25&gt;0,1,0)</f>
        <v>1</v>
      </c>
      <c r="AU26" s="14" t="n">
        <f aca="false">IF(AU25&gt;0,1,0)</f>
        <v>1</v>
      </c>
      <c r="AV26" s="14" t="n">
        <f aca="false">IF(AV25&gt;0,1,0)</f>
        <v>1</v>
      </c>
      <c r="AW26" s="14" t="n">
        <f aca="false">IF(AW25&gt;0,1,0)</f>
        <v>1</v>
      </c>
      <c r="AX26" s="14" t="n">
        <f aca="false">IF(AX25&gt;0,1,0)</f>
        <v>1</v>
      </c>
      <c r="AY26" s="14" t="n">
        <f aca="false">IF(AY25&gt;0,1,0)</f>
        <v>1</v>
      </c>
      <c r="AZ26" s="14" t="n">
        <f aca="false">IF(AZ25&gt;0,1,0)</f>
        <v>1</v>
      </c>
      <c r="BA26" s="14" t="n">
        <f aca="false">IF(BA25&gt;0,1,0)</f>
        <v>1</v>
      </c>
      <c r="BB26" s="14" t="n">
        <f aca="false">IF(BB25&gt;0,1,0)</f>
        <v>1</v>
      </c>
      <c r="BC26" s="14" t="n">
        <f aca="false">IF(BC25&gt;0,1,0)</f>
        <v>1</v>
      </c>
      <c r="BD26" s="14" t="n">
        <f aca="false">IF(BD25&gt;0,1,0)</f>
        <v>1</v>
      </c>
      <c r="BE26" s="14" t="n">
        <f aca="false">IF(BE25&gt;0,1,0)</f>
        <v>1</v>
      </c>
      <c r="BF26" s="14" t="n">
        <f aca="false">IF(BF25&gt;0,1,0)</f>
        <v>1</v>
      </c>
      <c r="BG26" s="14" t="n">
        <f aca="false">IF(BG25&gt;0,1,0)</f>
        <v>1</v>
      </c>
      <c r="BH26" s="14" t="n">
        <f aca="false">IF(BH25&gt;0,1,0)</f>
        <v>1</v>
      </c>
      <c r="BI26" s="14" t="n">
        <f aca="false">IF(BI25&gt;0,1,0)</f>
        <v>1</v>
      </c>
      <c r="BJ26" s="14" t="n">
        <f aca="false">IF(BJ25&gt;0,1,0)</f>
        <v>1</v>
      </c>
      <c r="BK26" s="14" t="n">
        <f aca="false">IF(BK25&gt;0,1,0)</f>
        <v>1</v>
      </c>
      <c r="BL26" s="14" t="n">
        <f aca="false">IF(BL25&gt;0,1,0)</f>
        <v>1</v>
      </c>
      <c r="BM26" s="14" t="n">
        <f aca="false">IF(BM25&gt;0,1,0)</f>
        <v>1</v>
      </c>
      <c r="BN26" s="14" t="n">
        <f aca="false">IF(BN25&gt;0,1,0)</f>
        <v>1</v>
      </c>
      <c r="BO26" s="14" t="n">
        <f aca="false">IF(BO25&gt;0,1,0)</f>
        <v>1</v>
      </c>
      <c r="BP26" s="14" t="n">
        <f aca="false">IF(BP25&gt;0,1,0)</f>
        <v>1</v>
      </c>
      <c r="BQ26" s="14" t="n">
        <f aca="false">IF(BQ25&gt;0,1,0)</f>
        <v>1</v>
      </c>
      <c r="BR26" s="14" t="n">
        <f aca="false">IF(BR25&gt;0,1,0)</f>
        <v>1</v>
      </c>
      <c r="BS26" s="14" t="n">
        <f aca="false">IF(BS25&gt;0,1,0)</f>
        <v>1</v>
      </c>
      <c r="BT26" s="14" t="n">
        <f aca="false">IF(BT25&gt;0,1,0)</f>
        <v>1</v>
      </c>
      <c r="BU26" s="14" t="n">
        <f aca="false">IF(BU25&gt;0,1,0)</f>
        <v>1</v>
      </c>
      <c r="BV26" s="14" t="n">
        <f aca="false">IF(BV25&gt;0,1,0)</f>
        <v>1</v>
      </c>
      <c r="BW26" s="14" t="n">
        <f aca="false">IF(BW25&gt;0,1,0)</f>
        <v>1</v>
      </c>
      <c r="BX26" s="14" t="n">
        <f aca="false">IF(BX25&gt;0,1,0)</f>
        <v>1</v>
      </c>
      <c r="BY26" s="14" t="n">
        <f aca="false">IF(BY25&gt;0,1,0)</f>
        <v>1</v>
      </c>
      <c r="BZ26" s="14" t="n">
        <f aca="false">IF(BZ25&gt;0,1,0)</f>
        <v>1</v>
      </c>
      <c r="CA26" s="14" t="n">
        <f aca="false">IF(CA25&gt;0,1,0)</f>
        <v>1</v>
      </c>
      <c r="CB26" s="14" t="n">
        <f aca="false">IF(CB25&gt;0,1,0)</f>
        <v>1</v>
      </c>
      <c r="CC26" s="14" t="n">
        <f aca="false">IF(CC25&gt;0,1,0)</f>
        <v>1</v>
      </c>
      <c r="CD26" s="14" t="n">
        <f aca="false">IF(CD25&gt;0,1,0)</f>
        <v>1</v>
      </c>
      <c r="CE26" s="14" t="n">
        <f aca="false">IF(CE25&gt;0,1,0)</f>
        <v>1</v>
      </c>
      <c r="CF26" s="14" t="n">
        <f aca="false">IF(CF25&gt;0,1,0)</f>
        <v>1</v>
      </c>
      <c r="CG26" s="14" t="n">
        <f aca="false">IF(CG25&gt;0,1,0)</f>
        <v>1</v>
      </c>
      <c r="CH26" s="14" t="n">
        <f aca="false">IF(CH25&gt;0,1,0)</f>
        <v>1</v>
      </c>
      <c r="CI26" s="14" t="n">
        <f aca="false">IF(CI25&gt;0,1,0)</f>
        <v>1</v>
      </c>
      <c r="CJ26" s="14" t="n">
        <f aca="false">IF(CJ25&gt;0,1,0)</f>
        <v>1</v>
      </c>
      <c r="CK26" s="14" t="n">
        <f aca="false">IF(CK25&gt;0,1,0)</f>
        <v>1</v>
      </c>
      <c r="CL26" s="14" t="n">
        <f aca="false">IF(CL25&gt;0,1,0)</f>
        <v>1</v>
      </c>
      <c r="CM26" s="14" t="n">
        <f aca="false">IF(CM25&gt;0,1,0)</f>
        <v>1</v>
      </c>
      <c r="CN26" s="14" t="n">
        <f aca="false">IF(CN25&gt;0,1,0)</f>
        <v>1</v>
      </c>
      <c r="CO26" s="14" t="n">
        <f aca="false">IF(CO25&gt;0,1,0)</f>
        <v>1</v>
      </c>
      <c r="CP26" s="14" t="n">
        <f aca="false">IF(CP25&gt;0,1,0)</f>
        <v>1</v>
      </c>
      <c r="CQ26" s="14" t="n">
        <f aca="false">IF(CQ25&gt;0,1,0)</f>
        <v>0</v>
      </c>
      <c r="CR26" s="14" t="n">
        <f aca="false">IF(CR25&gt;0,1,0)</f>
        <v>0</v>
      </c>
      <c r="CS26" s="14" t="n">
        <f aca="false">IF(CS25&gt;0,1,0)</f>
        <v>0</v>
      </c>
      <c r="CT26" s="14" t="n">
        <f aca="false">IF(CT25&gt;0,1,0)</f>
        <v>0</v>
      </c>
      <c r="CU26" s="14" t="n">
        <f aca="false">IF(CU25&gt;0,1,0)</f>
        <v>0</v>
      </c>
      <c r="CV26" s="14" t="n">
        <f aca="false">IF(CV25&gt;0,1,0)</f>
        <v>0</v>
      </c>
      <c r="CW26" s="14" t="n">
        <f aca="false">IF(CW25&gt;0,1,0)</f>
        <v>0</v>
      </c>
      <c r="CX26" s="14" t="n">
        <f aca="false">IF(CX25&gt;0,1,0)</f>
        <v>0</v>
      </c>
      <c r="CY26" s="14" t="n">
        <f aca="false">IF(CY25&gt;0,1,0)</f>
        <v>0</v>
      </c>
      <c r="CZ26" s="14" t="n">
        <f aca="false">IF(CZ25&gt;0,1,0)</f>
        <v>0</v>
      </c>
      <c r="DA26" s="14" t="n">
        <f aca="false">IF(DA25&gt;0,1,0)</f>
        <v>0</v>
      </c>
      <c r="DB26" s="14" t="n">
        <f aca="false">IF(DB25&gt;0,1,0)</f>
        <v>0</v>
      </c>
    </row>
    <row r="27" customFormat="false" ht="15" hidden="false" customHeight="false" outlineLevel="0" collapsed="false">
      <c r="D27" s="0" t="s">
        <v>332</v>
      </c>
      <c r="E27" s="0" t="s">
        <v>42</v>
      </c>
      <c r="J27" s="14" t="n">
        <f aca="false">IF(AND(J7&lt;$F$16,$F$16&lt;=J8),1,0)</f>
        <v>0</v>
      </c>
      <c r="K27" s="14" t="n">
        <f aca="false">IF(AND(K7&lt;$F$16,$F$16&lt;=K8),1,0)</f>
        <v>0</v>
      </c>
      <c r="L27" s="14" t="n">
        <f aca="false">IF(AND(L7&lt;$F$16,$F$16&lt;=L8),1,0)</f>
        <v>0</v>
      </c>
      <c r="M27" s="14" t="n">
        <f aca="false">IF(AND(M7&lt;$F$16,$F$16&lt;=M8),1,0)</f>
        <v>0</v>
      </c>
      <c r="N27" s="14" t="n">
        <f aca="false">IF(AND(N7&lt;$F$16,$F$16&lt;=N8),1,0)</f>
        <v>0</v>
      </c>
      <c r="O27" s="14" t="n">
        <f aca="false">IF(AND(O7&lt;$F$16,$F$16&lt;=O8),1,0)</f>
        <v>0</v>
      </c>
      <c r="P27" s="14" t="n">
        <f aca="false">IF(AND(P7&lt;$F$16,$F$16&lt;=P8),1,0)</f>
        <v>0</v>
      </c>
      <c r="Q27" s="14" t="n">
        <f aca="false">IF(AND(Q7&lt;$F$16,$F$16&lt;=Q8),1,0)</f>
        <v>0</v>
      </c>
      <c r="R27" s="14" t="n">
        <f aca="false">IF(AND(R7&lt;$F$16,$F$16&lt;=R8),1,0)</f>
        <v>0</v>
      </c>
      <c r="S27" s="14" t="n">
        <f aca="false">IF(AND(S7&lt;$F$16,$F$16&lt;=S8),1,0)</f>
        <v>0</v>
      </c>
      <c r="T27" s="14" t="n">
        <f aca="false">IF(AND(T7&lt;$F$16,$F$16&lt;=T8),1,0)</f>
        <v>0</v>
      </c>
      <c r="U27" s="14" t="n">
        <f aca="false">IF(AND(U7&lt;$F$16,$F$16&lt;=U8),1,0)</f>
        <v>0</v>
      </c>
      <c r="V27" s="14" t="n">
        <f aca="false">IF(AND(V7&lt;$F$16,$F$16&lt;=V8),1,0)</f>
        <v>0</v>
      </c>
      <c r="W27" s="14" t="n">
        <f aca="false">IF(AND(W7&lt;$F$16,$F$16&lt;=W8),1,0)</f>
        <v>0</v>
      </c>
      <c r="X27" s="14" t="n">
        <f aca="false">IF(AND(X7&lt;$F$16,$F$16&lt;=X8),1,0)</f>
        <v>0</v>
      </c>
      <c r="Y27" s="14" t="n">
        <f aca="false">IF(AND(Y7&lt;$F$16,$F$16&lt;=Y8),1,0)</f>
        <v>1</v>
      </c>
      <c r="Z27" s="14" t="n">
        <f aca="false">IF(AND(Z7&lt;$F$16,$F$16&lt;=Z8),1,0)</f>
        <v>0</v>
      </c>
      <c r="AA27" s="14" t="n">
        <f aca="false">IF(AND(AA7&lt;$F$16,$F$16&lt;=AA8),1,0)</f>
        <v>0</v>
      </c>
      <c r="AB27" s="14" t="n">
        <f aca="false">IF(AND(AB7&lt;$F$16,$F$16&lt;=AB8),1,0)</f>
        <v>0</v>
      </c>
      <c r="AC27" s="14" t="n">
        <f aca="false">IF(AND(AC7&lt;$F$16,$F$16&lt;=AC8),1,0)</f>
        <v>0</v>
      </c>
      <c r="AD27" s="14" t="n">
        <f aca="false">IF(AND(AD7&lt;$F$16,$F$16&lt;=AD8),1,0)</f>
        <v>0</v>
      </c>
      <c r="AE27" s="14" t="n">
        <f aca="false">IF(AND(AE7&lt;$F$16,$F$16&lt;=AE8),1,0)</f>
        <v>0</v>
      </c>
      <c r="AF27" s="14" t="n">
        <f aca="false">IF(AND(AF7&lt;$F$16,$F$16&lt;=AF8),1,0)</f>
        <v>0</v>
      </c>
      <c r="AG27" s="14" t="n">
        <f aca="false">IF(AND(AG7&lt;$F$16,$F$16&lt;=AG8),1,0)</f>
        <v>0</v>
      </c>
      <c r="AH27" s="14" t="n">
        <f aca="false">IF(AND(AH7&lt;$F$16,$F$16&lt;=AH8),1,0)</f>
        <v>0</v>
      </c>
      <c r="AI27" s="14" t="n">
        <f aca="false">IF(AND(AI7&lt;$F$16,$F$16&lt;=AI8),1,0)</f>
        <v>0</v>
      </c>
      <c r="AJ27" s="14" t="n">
        <f aca="false">IF(AND(AJ7&lt;$F$16,$F$16&lt;=AJ8),1,0)</f>
        <v>0</v>
      </c>
      <c r="AK27" s="14" t="n">
        <f aca="false">IF(AND(AK7&lt;$F$16,$F$16&lt;=AK8),1,0)</f>
        <v>0</v>
      </c>
      <c r="AL27" s="14" t="n">
        <f aca="false">IF(AND(AL7&lt;$F$16,$F$16&lt;=AL8),1,0)</f>
        <v>0</v>
      </c>
      <c r="AM27" s="14" t="n">
        <f aca="false">IF(AND(AM7&lt;$F$16,$F$16&lt;=AM8),1,0)</f>
        <v>0</v>
      </c>
      <c r="AN27" s="14" t="n">
        <f aca="false">IF(AND(AN7&lt;$F$16,$F$16&lt;=AN8),1,0)</f>
        <v>0</v>
      </c>
      <c r="AO27" s="14" t="n">
        <f aca="false">IF(AND(AO7&lt;$F$16,$F$16&lt;=AO8),1,0)</f>
        <v>0</v>
      </c>
      <c r="AP27" s="14" t="n">
        <f aca="false">IF(AND(AP7&lt;$F$16,$F$16&lt;=AP8),1,0)</f>
        <v>0</v>
      </c>
      <c r="AQ27" s="14" t="n">
        <f aca="false">IF(AND(AQ7&lt;$F$16,$F$16&lt;=AQ8),1,0)</f>
        <v>0</v>
      </c>
      <c r="AR27" s="14" t="n">
        <f aca="false">IF(AND(AR7&lt;$F$16,$F$16&lt;=AR8),1,0)</f>
        <v>0</v>
      </c>
      <c r="AS27" s="14" t="n">
        <f aca="false">IF(AND(AS7&lt;$F$16,$F$16&lt;=AS8),1,0)</f>
        <v>0</v>
      </c>
      <c r="AT27" s="14" t="n">
        <f aca="false">IF(AND(AT7&lt;$F$16,$F$16&lt;=AT8),1,0)</f>
        <v>0</v>
      </c>
      <c r="AU27" s="14" t="n">
        <f aca="false">IF(AND(AU7&lt;$F$16,$F$16&lt;=AU8),1,0)</f>
        <v>0</v>
      </c>
      <c r="AV27" s="14" t="n">
        <f aca="false">IF(AND(AV7&lt;$F$16,$F$16&lt;=AV8),1,0)</f>
        <v>0</v>
      </c>
      <c r="AW27" s="14" t="n">
        <f aca="false">IF(AND(AW7&lt;$F$16,$F$16&lt;=AW8),1,0)</f>
        <v>0</v>
      </c>
      <c r="AX27" s="14" t="n">
        <f aca="false">IF(AND(AX7&lt;$F$16,$F$16&lt;=AX8),1,0)</f>
        <v>0</v>
      </c>
      <c r="AY27" s="14" t="n">
        <f aca="false">IF(AND(AY7&lt;$F$16,$F$16&lt;=AY8),1,0)</f>
        <v>0</v>
      </c>
      <c r="AZ27" s="14" t="n">
        <f aca="false">IF(AND(AZ7&lt;$F$16,$F$16&lt;=AZ8),1,0)</f>
        <v>0</v>
      </c>
      <c r="BA27" s="14" t="n">
        <f aca="false">IF(AND(BA7&lt;$F$16,$F$16&lt;=BA8),1,0)</f>
        <v>0</v>
      </c>
      <c r="BB27" s="14" t="n">
        <f aca="false">IF(AND(BB7&lt;$F$16,$F$16&lt;=BB8),1,0)</f>
        <v>0</v>
      </c>
      <c r="BC27" s="14" t="n">
        <f aca="false">IF(AND(BC7&lt;$F$16,$F$16&lt;=BC8),1,0)</f>
        <v>0</v>
      </c>
      <c r="BD27" s="14" t="n">
        <f aca="false">IF(AND(BD7&lt;$F$16,$F$16&lt;=BD8),1,0)</f>
        <v>0</v>
      </c>
      <c r="BE27" s="14" t="n">
        <f aca="false">IF(AND(BE7&lt;$F$16,$F$16&lt;=BE8),1,0)</f>
        <v>0</v>
      </c>
      <c r="BF27" s="14" t="n">
        <f aca="false">IF(AND(BF7&lt;$F$16,$F$16&lt;=BF8),1,0)</f>
        <v>0</v>
      </c>
      <c r="BG27" s="14" t="n">
        <f aca="false">IF(AND(BG7&lt;$F$16,$F$16&lt;=BG8),1,0)</f>
        <v>0</v>
      </c>
      <c r="BH27" s="14" t="n">
        <f aca="false">IF(AND(BH7&lt;$F$16,$F$16&lt;=BH8),1,0)</f>
        <v>0</v>
      </c>
      <c r="BI27" s="14" t="n">
        <f aca="false">IF(AND(BI7&lt;$F$16,$F$16&lt;=BI8),1,0)</f>
        <v>0</v>
      </c>
      <c r="BJ27" s="14" t="n">
        <f aca="false">IF(AND(BJ7&lt;$F$16,$F$16&lt;=BJ8),1,0)</f>
        <v>0</v>
      </c>
      <c r="BK27" s="14" t="n">
        <f aca="false">IF(AND(BK7&lt;$F$16,$F$16&lt;=BK8),1,0)</f>
        <v>0</v>
      </c>
      <c r="BL27" s="14" t="n">
        <f aca="false">IF(AND(BL7&lt;$F$16,$F$16&lt;=BL8),1,0)</f>
        <v>0</v>
      </c>
      <c r="BM27" s="14" t="n">
        <f aca="false">IF(AND(BM7&lt;$F$16,$F$16&lt;=BM8),1,0)</f>
        <v>0</v>
      </c>
      <c r="BN27" s="14" t="n">
        <f aca="false">IF(AND(BN7&lt;$F$16,$F$16&lt;=BN8),1,0)</f>
        <v>0</v>
      </c>
      <c r="BO27" s="14" t="n">
        <f aca="false">IF(AND(BO7&lt;$F$16,$F$16&lt;=BO8),1,0)</f>
        <v>0</v>
      </c>
      <c r="BP27" s="14" t="n">
        <f aca="false">IF(AND(BP7&lt;$F$16,$F$16&lt;=BP8),1,0)</f>
        <v>0</v>
      </c>
      <c r="BQ27" s="14" t="n">
        <f aca="false">IF(AND(BQ7&lt;$F$16,$F$16&lt;=BQ8),1,0)</f>
        <v>0</v>
      </c>
      <c r="BR27" s="14" t="n">
        <f aca="false">IF(AND(BR7&lt;$F$16,$F$16&lt;=BR8),1,0)</f>
        <v>0</v>
      </c>
      <c r="BS27" s="14" t="n">
        <f aca="false">IF(AND(BS7&lt;$F$16,$F$16&lt;=BS8),1,0)</f>
        <v>0</v>
      </c>
      <c r="BT27" s="14" t="n">
        <f aca="false">IF(AND(BT7&lt;$F$16,$F$16&lt;=BT8),1,0)</f>
        <v>0</v>
      </c>
      <c r="BU27" s="14" t="n">
        <f aca="false">IF(AND(BU7&lt;$F$16,$F$16&lt;=BU8),1,0)</f>
        <v>0</v>
      </c>
      <c r="BV27" s="14" t="n">
        <f aca="false">IF(AND(BV7&lt;$F$16,$F$16&lt;=BV8),1,0)</f>
        <v>0</v>
      </c>
      <c r="BW27" s="14" t="n">
        <f aca="false">IF(AND(BW7&lt;$F$16,$F$16&lt;=BW8),1,0)</f>
        <v>0</v>
      </c>
      <c r="BX27" s="14" t="n">
        <f aca="false">IF(AND(BX7&lt;$F$16,$F$16&lt;=BX8),1,0)</f>
        <v>0</v>
      </c>
      <c r="BY27" s="14" t="n">
        <f aca="false">IF(AND(BY7&lt;$F$16,$F$16&lt;=BY8),1,0)</f>
        <v>0</v>
      </c>
      <c r="BZ27" s="14" t="n">
        <f aca="false">IF(AND(BZ7&lt;$F$16,$F$16&lt;=BZ8),1,0)</f>
        <v>0</v>
      </c>
      <c r="CA27" s="14" t="n">
        <f aca="false">IF(AND(CA7&lt;$F$16,$F$16&lt;=CA8),1,0)</f>
        <v>0</v>
      </c>
      <c r="CB27" s="14" t="n">
        <f aca="false">IF(AND(CB7&lt;$F$16,$F$16&lt;=CB8),1,0)</f>
        <v>0</v>
      </c>
      <c r="CC27" s="14" t="n">
        <f aca="false">IF(AND(CC7&lt;$F$16,$F$16&lt;=CC8),1,0)</f>
        <v>0</v>
      </c>
      <c r="CD27" s="14" t="n">
        <f aca="false">IF(AND(CD7&lt;$F$16,$F$16&lt;=CD8),1,0)</f>
        <v>0</v>
      </c>
      <c r="CE27" s="14" t="n">
        <f aca="false">IF(AND(CE7&lt;$F$16,$F$16&lt;=CE8),1,0)</f>
        <v>0</v>
      </c>
      <c r="CF27" s="14" t="n">
        <f aca="false">IF(AND(CF7&lt;$F$16,$F$16&lt;=CF8),1,0)</f>
        <v>0</v>
      </c>
      <c r="CG27" s="14" t="n">
        <f aca="false">IF(AND(CG7&lt;$F$16,$F$16&lt;=CG8),1,0)</f>
        <v>0</v>
      </c>
      <c r="CH27" s="14" t="n">
        <f aca="false">IF(AND(CH7&lt;$F$16,$F$16&lt;=CH8),1,0)</f>
        <v>0</v>
      </c>
      <c r="CI27" s="14" t="n">
        <f aca="false">IF(AND(CI7&lt;$F$16,$F$16&lt;=CI8),1,0)</f>
        <v>0</v>
      </c>
      <c r="CJ27" s="14" t="n">
        <f aca="false">IF(AND(CJ7&lt;$F$16,$F$16&lt;=CJ8),1,0)</f>
        <v>0</v>
      </c>
      <c r="CK27" s="14" t="n">
        <f aca="false">IF(AND(CK7&lt;$F$16,$F$16&lt;=CK8),1,0)</f>
        <v>0</v>
      </c>
      <c r="CL27" s="14" t="n">
        <f aca="false">IF(AND(CL7&lt;$F$16,$F$16&lt;=CL8),1,0)</f>
        <v>0</v>
      </c>
      <c r="CM27" s="14" t="n">
        <f aca="false">IF(AND(CM7&lt;$F$16,$F$16&lt;=CM8),1,0)</f>
        <v>0</v>
      </c>
      <c r="CN27" s="14" t="n">
        <f aca="false">IF(AND(CN7&lt;$F$16,$F$16&lt;=CN8),1,0)</f>
        <v>0</v>
      </c>
      <c r="CO27" s="14" t="n">
        <f aca="false">IF(AND(CO7&lt;$F$16,$F$16&lt;=CO8),1,0)</f>
        <v>0</v>
      </c>
      <c r="CP27" s="14" t="n">
        <f aca="false">IF(AND(CP7&lt;$F$16,$F$16&lt;=CP8),1,0)</f>
        <v>0</v>
      </c>
      <c r="CQ27" s="14" t="n">
        <f aca="false">IF(AND(CQ7&lt;$F$16,$F$16&lt;=CQ8),1,0)</f>
        <v>0</v>
      </c>
      <c r="CR27" s="14" t="n">
        <f aca="false">IF(AND(CR7&lt;$F$16,$F$16&lt;=CR8),1,0)</f>
        <v>0</v>
      </c>
      <c r="CS27" s="14" t="n">
        <f aca="false">IF(AND(CS7&lt;$F$16,$F$16&lt;=CS8),1,0)</f>
        <v>0</v>
      </c>
      <c r="CT27" s="14" t="n">
        <f aca="false">IF(AND(CT7&lt;$F$16,$F$16&lt;=CT8),1,0)</f>
        <v>0</v>
      </c>
      <c r="CU27" s="14" t="n">
        <f aca="false">IF(AND(CU7&lt;$F$16,$F$16&lt;=CU8),1,0)</f>
        <v>0</v>
      </c>
      <c r="CV27" s="14" t="n">
        <f aca="false">IF(AND(CV7&lt;$F$16,$F$16&lt;=CV8),1,0)</f>
        <v>0</v>
      </c>
      <c r="CW27" s="14" t="n">
        <f aca="false">IF(AND(CW7&lt;$F$16,$F$16&lt;=CW8),1,0)</f>
        <v>0</v>
      </c>
      <c r="CX27" s="14" t="n">
        <f aca="false">IF(AND(CX7&lt;$F$16,$F$16&lt;=CX8),1,0)</f>
        <v>0</v>
      </c>
      <c r="CY27" s="14" t="n">
        <f aca="false">IF(AND(CY7&lt;$F$16,$F$16&lt;=CY8),1,0)</f>
        <v>0</v>
      </c>
      <c r="CZ27" s="14" t="n">
        <f aca="false">IF(AND(CZ7&lt;$F$16,$F$16&lt;=CZ8),1,0)</f>
        <v>0</v>
      </c>
      <c r="DA27" s="14" t="n">
        <f aca="false">IF(AND(DA7&lt;$F$16,$F$16&lt;=DA8),1,0)</f>
        <v>0</v>
      </c>
      <c r="DB27" s="14" t="n">
        <f aca="false">IF(AND(DB7&lt;$F$16,$F$16&lt;=DB8),1,0)</f>
        <v>0</v>
      </c>
    </row>
    <row r="28" customFormat="false" ht="15" hidden="false" customHeight="false" outlineLevel="0" collapsed="false">
      <c r="D28" s="0" t="s">
        <v>333</v>
      </c>
      <c r="E28" s="0" t="s">
        <v>42</v>
      </c>
      <c r="J28" s="14" t="n">
        <f aca="false">IF(AND(J7&lt;$F$17,$F$17&lt;=J8),1,0)</f>
        <v>0</v>
      </c>
      <c r="K28" s="14" t="n">
        <f aca="false">IF(AND(K7&lt;$F$17,$F$17&lt;=K8),1,0)</f>
        <v>0</v>
      </c>
      <c r="L28" s="14" t="n">
        <f aca="false">IF(AND(L7&lt;$F$17,$F$17&lt;=L8),1,0)</f>
        <v>0</v>
      </c>
      <c r="M28" s="14" t="n">
        <f aca="false">IF(AND(M7&lt;$F$17,$F$17&lt;=M8),1,0)</f>
        <v>0</v>
      </c>
      <c r="N28" s="14" t="n">
        <f aca="false">IF(AND(N7&lt;$F$17,$F$17&lt;=N8),1,0)</f>
        <v>0</v>
      </c>
      <c r="O28" s="14" t="n">
        <f aca="false">IF(AND(O7&lt;$F$17,$F$17&lt;=O8),1,0)</f>
        <v>0</v>
      </c>
      <c r="P28" s="14" t="n">
        <f aca="false">IF(AND(P7&lt;$F$17,$F$17&lt;=P8),1,0)</f>
        <v>0</v>
      </c>
      <c r="Q28" s="14" t="n">
        <f aca="false">IF(AND(Q7&lt;$F$17,$F$17&lt;=Q8),1,0)</f>
        <v>0</v>
      </c>
      <c r="R28" s="14" t="n">
        <f aca="false">IF(AND(R7&lt;$F$17,$F$17&lt;=R8),1,0)</f>
        <v>0</v>
      </c>
      <c r="S28" s="14" t="n">
        <f aca="false">IF(AND(S7&lt;$F$17,$F$17&lt;=S8),1,0)</f>
        <v>0</v>
      </c>
      <c r="T28" s="14" t="n">
        <f aca="false">IF(AND(T7&lt;$F$17,$F$17&lt;=T8),1,0)</f>
        <v>0</v>
      </c>
      <c r="U28" s="14" t="n">
        <f aca="false">IF(AND(U7&lt;$F$17,$F$17&lt;=U8),1,0)</f>
        <v>0</v>
      </c>
      <c r="V28" s="14" t="n">
        <f aca="false">IF(AND(V7&lt;$F$17,$F$17&lt;=V8),1,0)</f>
        <v>0</v>
      </c>
      <c r="W28" s="14" t="n">
        <f aca="false">IF(AND(W7&lt;$F$17,$F$17&lt;=W8),1,0)</f>
        <v>0</v>
      </c>
      <c r="X28" s="14" t="n">
        <f aca="false">IF(AND(X7&lt;$F$17,$F$17&lt;=X8),1,0)</f>
        <v>0</v>
      </c>
      <c r="Y28" s="14" t="n">
        <f aca="false">IF(AND(Y7&lt;$F$17,$F$17&lt;=Y8),1,0)</f>
        <v>0</v>
      </c>
      <c r="Z28" s="14" t="n">
        <f aca="false">IF(AND(Z7&lt;$F$17,$F$17&lt;=Z8),1,0)</f>
        <v>0</v>
      </c>
      <c r="AA28" s="14" t="n">
        <f aca="false">IF(AND(AA7&lt;$F$17,$F$17&lt;=AA8),1,0)</f>
        <v>0</v>
      </c>
      <c r="AB28" s="14" t="n">
        <f aca="false">IF(AND(AB7&lt;$F$17,$F$17&lt;=AB8),1,0)</f>
        <v>0</v>
      </c>
      <c r="AC28" s="14" t="n">
        <f aca="false">IF(AND(AC7&lt;$F$17,$F$17&lt;=AC8),1,0)</f>
        <v>0</v>
      </c>
      <c r="AD28" s="14" t="n">
        <f aca="false">IF(AND(AD7&lt;$F$17,$F$17&lt;=AD8),1,0)</f>
        <v>0</v>
      </c>
      <c r="AE28" s="14" t="n">
        <f aca="false">IF(AND(AE7&lt;$F$17,$F$17&lt;=AE8),1,0)</f>
        <v>0</v>
      </c>
      <c r="AF28" s="14" t="n">
        <f aca="false">IF(AND(AF7&lt;$F$17,$F$17&lt;=AF8),1,0)</f>
        <v>0</v>
      </c>
      <c r="AG28" s="14" t="n">
        <f aca="false">IF(AND(AG7&lt;$F$17,$F$17&lt;=AG8),1,0)</f>
        <v>0</v>
      </c>
      <c r="AH28" s="14" t="n">
        <f aca="false">IF(AND(AH7&lt;$F$17,$F$17&lt;=AH8),1,0)</f>
        <v>0</v>
      </c>
      <c r="AI28" s="14" t="n">
        <f aca="false">IF(AND(AI7&lt;$F$17,$F$17&lt;=AI8),1,0)</f>
        <v>0</v>
      </c>
      <c r="AJ28" s="14" t="n">
        <f aca="false">IF(AND(AJ7&lt;$F$17,$F$17&lt;=AJ8),1,0)</f>
        <v>0</v>
      </c>
      <c r="AK28" s="14" t="n">
        <f aca="false">IF(AND(AK7&lt;$F$17,$F$17&lt;=AK8),1,0)</f>
        <v>0</v>
      </c>
      <c r="AL28" s="14" t="n">
        <f aca="false">IF(AND(AL7&lt;$F$17,$F$17&lt;=AL8),1,0)</f>
        <v>0</v>
      </c>
      <c r="AM28" s="14" t="n">
        <f aca="false">IF(AND(AM7&lt;$F$17,$F$17&lt;=AM8),1,0)</f>
        <v>0</v>
      </c>
      <c r="AN28" s="14" t="n">
        <f aca="false">IF(AND(AN7&lt;$F$17,$F$17&lt;=AN8),1,0)</f>
        <v>0</v>
      </c>
      <c r="AO28" s="14" t="n">
        <f aca="false">IF(AND(AO7&lt;$F$17,$F$17&lt;=AO8),1,0)</f>
        <v>0</v>
      </c>
      <c r="AP28" s="14" t="n">
        <f aca="false">IF(AND(AP7&lt;$F$17,$F$17&lt;=AP8),1,0)</f>
        <v>0</v>
      </c>
      <c r="AQ28" s="14" t="n">
        <f aca="false">IF(AND(AQ7&lt;$F$17,$F$17&lt;=AQ8),1,0)</f>
        <v>0</v>
      </c>
      <c r="AR28" s="14" t="n">
        <f aca="false">IF(AND(AR7&lt;$F$17,$F$17&lt;=AR8),1,0)</f>
        <v>0</v>
      </c>
      <c r="AS28" s="14" t="n">
        <f aca="false">IF(AND(AS7&lt;$F$17,$F$17&lt;=AS8),1,0)</f>
        <v>0</v>
      </c>
      <c r="AT28" s="14" t="n">
        <f aca="false">IF(AND(AT7&lt;$F$17,$F$17&lt;=AT8),1,0)</f>
        <v>0</v>
      </c>
      <c r="AU28" s="14" t="n">
        <f aca="false">IF(AND(AU7&lt;$F$17,$F$17&lt;=AU8),1,0)</f>
        <v>0</v>
      </c>
      <c r="AV28" s="14" t="n">
        <f aca="false">IF(AND(AV7&lt;$F$17,$F$17&lt;=AV8),1,0)</f>
        <v>0</v>
      </c>
      <c r="AW28" s="14" t="n">
        <f aca="false">IF(AND(AW7&lt;$F$17,$F$17&lt;=AW8),1,0)</f>
        <v>0</v>
      </c>
      <c r="AX28" s="14" t="n">
        <f aca="false">IF(AND(AX7&lt;$F$17,$F$17&lt;=AX8),1,0)</f>
        <v>0</v>
      </c>
      <c r="AY28" s="14" t="n">
        <f aca="false">IF(AND(AY7&lt;$F$17,$F$17&lt;=AY8),1,0)</f>
        <v>0</v>
      </c>
      <c r="AZ28" s="14" t="n">
        <f aca="false">IF(AND(AZ7&lt;$F$17,$F$17&lt;=AZ8),1,0)</f>
        <v>0</v>
      </c>
      <c r="BA28" s="14" t="n">
        <f aca="false">IF(AND(BA7&lt;$F$17,$F$17&lt;=BA8),1,0)</f>
        <v>0</v>
      </c>
      <c r="BB28" s="14" t="n">
        <f aca="false">IF(AND(BB7&lt;$F$17,$F$17&lt;=BB8),1,0)</f>
        <v>0</v>
      </c>
      <c r="BC28" s="14" t="n">
        <f aca="false">IF(AND(BC7&lt;$F$17,$F$17&lt;=BC8),1,0)</f>
        <v>0</v>
      </c>
      <c r="BD28" s="14" t="n">
        <f aca="false">IF(AND(BD7&lt;$F$17,$F$17&lt;=BD8),1,0)</f>
        <v>0</v>
      </c>
      <c r="BE28" s="14" t="n">
        <f aca="false">IF(AND(BE7&lt;$F$17,$F$17&lt;=BE8),1,0)</f>
        <v>0</v>
      </c>
      <c r="BF28" s="14" t="n">
        <f aca="false">IF(AND(BF7&lt;$F$17,$F$17&lt;=BF8),1,0)</f>
        <v>0</v>
      </c>
      <c r="BG28" s="14" t="n">
        <f aca="false">IF(AND(BG7&lt;$F$17,$F$17&lt;=BG8),1,0)</f>
        <v>0</v>
      </c>
      <c r="BH28" s="14" t="n">
        <f aca="false">IF(AND(BH7&lt;$F$17,$F$17&lt;=BH8),1,0)</f>
        <v>0</v>
      </c>
      <c r="BI28" s="14" t="n">
        <f aca="false">IF(AND(BI7&lt;$F$17,$F$17&lt;=BI8),1,0)</f>
        <v>0</v>
      </c>
      <c r="BJ28" s="14" t="n">
        <f aca="false">IF(AND(BJ7&lt;$F$17,$F$17&lt;=BJ8),1,0)</f>
        <v>0</v>
      </c>
      <c r="BK28" s="14" t="n">
        <f aca="false">IF(AND(BK7&lt;$F$17,$F$17&lt;=BK8),1,0)</f>
        <v>0</v>
      </c>
      <c r="BL28" s="14" t="n">
        <f aca="false">IF(AND(BL7&lt;$F$17,$F$17&lt;=BL8),1,0)</f>
        <v>0</v>
      </c>
      <c r="BM28" s="14" t="n">
        <f aca="false">IF(AND(BM7&lt;$F$17,$F$17&lt;=BM8),1,0)</f>
        <v>0</v>
      </c>
      <c r="BN28" s="14" t="n">
        <f aca="false">IF(AND(BN7&lt;$F$17,$F$17&lt;=BN8),1,0)</f>
        <v>0</v>
      </c>
      <c r="BO28" s="14" t="n">
        <f aca="false">IF(AND(BO7&lt;$F$17,$F$17&lt;=BO8),1,0)</f>
        <v>0</v>
      </c>
      <c r="BP28" s="14" t="n">
        <f aca="false">IF(AND(BP7&lt;$F$17,$F$17&lt;=BP8),1,0)</f>
        <v>0</v>
      </c>
      <c r="BQ28" s="14" t="n">
        <f aca="false">IF(AND(BQ7&lt;$F$17,$F$17&lt;=BQ8),1,0)</f>
        <v>0</v>
      </c>
      <c r="BR28" s="14" t="n">
        <f aca="false">IF(AND(BR7&lt;$F$17,$F$17&lt;=BR8),1,0)</f>
        <v>0</v>
      </c>
      <c r="BS28" s="14" t="n">
        <f aca="false">IF(AND(BS7&lt;$F$17,$F$17&lt;=BS8),1,0)</f>
        <v>0</v>
      </c>
      <c r="BT28" s="14" t="n">
        <f aca="false">IF(AND(BT7&lt;$F$17,$F$17&lt;=BT8),1,0)</f>
        <v>0</v>
      </c>
      <c r="BU28" s="14" t="n">
        <f aca="false">IF(AND(BU7&lt;$F$17,$F$17&lt;=BU8),1,0)</f>
        <v>0</v>
      </c>
      <c r="BV28" s="14" t="n">
        <f aca="false">IF(AND(BV7&lt;$F$17,$F$17&lt;=BV8),1,0)</f>
        <v>0</v>
      </c>
      <c r="BW28" s="14" t="n">
        <f aca="false">IF(AND(BW7&lt;$F$17,$F$17&lt;=BW8),1,0)</f>
        <v>0</v>
      </c>
      <c r="BX28" s="14" t="n">
        <f aca="false">IF(AND(BX7&lt;$F$17,$F$17&lt;=BX8),1,0)</f>
        <v>0</v>
      </c>
      <c r="BY28" s="14" t="n">
        <f aca="false">IF(AND(BY7&lt;$F$17,$F$17&lt;=BY8),1,0)</f>
        <v>0</v>
      </c>
      <c r="BZ28" s="14" t="n">
        <f aca="false">IF(AND(BZ7&lt;$F$17,$F$17&lt;=BZ8),1,0)</f>
        <v>0</v>
      </c>
      <c r="CA28" s="14" t="n">
        <f aca="false">IF(AND(CA7&lt;$F$17,$F$17&lt;=CA8),1,0)</f>
        <v>0</v>
      </c>
      <c r="CB28" s="14" t="n">
        <f aca="false">IF(AND(CB7&lt;$F$17,$F$17&lt;=CB8),1,0)</f>
        <v>0</v>
      </c>
      <c r="CC28" s="14" t="n">
        <f aca="false">IF(AND(CC7&lt;$F$17,$F$17&lt;=CC8),1,0)</f>
        <v>0</v>
      </c>
      <c r="CD28" s="14" t="n">
        <f aca="false">IF(AND(CD7&lt;$F$17,$F$17&lt;=CD8),1,0)</f>
        <v>0</v>
      </c>
      <c r="CE28" s="14" t="n">
        <f aca="false">IF(AND(CE7&lt;$F$17,$F$17&lt;=CE8),1,0)</f>
        <v>0</v>
      </c>
      <c r="CF28" s="14" t="n">
        <f aca="false">IF(AND(CF7&lt;$F$17,$F$17&lt;=CF8),1,0)</f>
        <v>0</v>
      </c>
      <c r="CG28" s="14" t="n">
        <f aca="false">IF(AND(CG7&lt;$F$17,$F$17&lt;=CG8),1,0)</f>
        <v>0</v>
      </c>
      <c r="CH28" s="14" t="n">
        <f aca="false">IF(AND(CH7&lt;$F$17,$F$17&lt;=CH8),1,0)</f>
        <v>0</v>
      </c>
      <c r="CI28" s="14" t="n">
        <f aca="false">IF(AND(CI7&lt;$F$17,$F$17&lt;=CI8),1,0)</f>
        <v>0</v>
      </c>
      <c r="CJ28" s="14" t="n">
        <f aca="false">IF(AND(CJ7&lt;$F$17,$F$17&lt;=CJ8),1,0)</f>
        <v>0</v>
      </c>
      <c r="CK28" s="14" t="n">
        <f aca="false">IF(AND(CK7&lt;$F$17,$F$17&lt;=CK8),1,0)</f>
        <v>0</v>
      </c>
      <c r="CL28" s="14" t="n">
        <f aca="false">IF(AND(CL7&lt;$F$17,$F$17&lt;=CL8),1,0)</f>
        <v>0</v>
      </c>
      <c r="CM28" s="14" t="n">
        <f aca="false">IF(AND(CM7&lt;$F$17,$F$17&lt;=CM8),1,0)</f>
        <v>0</v>
      </c>
      <c r="CN28" s="14" t="n">
        <f aca="false">IF(AND(CN7&lt;$F$17,$F$17&lt;=CN8),1,0)</f>
        <v>0</v>
      </c>
      <c r="CO28" s="14" t="n">
        <f aca="false">IF(AND(CO7&lt;$F$17,$F$17&lt;=CO8),1,0)</f>
        <v>0</v>
      </c>
      <c r="CP28" s="14" t="n">
        <f aca="false">IF(AND(CP7&lt;$F$17,$F$17&lt;=CP8),1,0)</f>
        <v>1</v>
      </c>
      <c r="CQ28" s="14" t="n">
        <f aca="false">IF(AND(CQ7&lt;$F$17,$F$17&lt;=CQ8),1,0)</f>
        <v>0</v>
      </c>
      <c r="CR28" s="14" t="n">
        <f aca="false">IF(AND(CR7&lt;$F$17,$F$17&lt;=CR8),1,0)</f>
        <v>0</v>
      </c>
      <c r="CS28" s="14" t="n">
        <f aca="false">IF(AND(CS7&lt;$F$17,$F$17&lt;=CS8),1,0)</f>
        <v>0</v>
      </c>
      <c r="CT28" s="14" t="n">
        <f aca="false">IF(AND(CT7&lt;$F$17,$F$17&lt;=CT8),1,0)</f>
        <v>0</v>
      </c>
      <c r="CU28" s="14" t="n">
        <f aca="false">IF(AND(CU7&lt;$F$17,$F$17&lt;=CU8),1,0)</f>
        <v>0</v>
      </c>
      <c r="CV28" s="14" t="n">
        <f aca="false">IF(AND(CV7&lt;$F$17,$F$17&lt;=CV8),1,0)</f>
        <v>0</v>
      </c>
      <c r="CW28" s="14" t="n">
        <f aca="false">IF(AND(CW7&lt;$F$17,$F$17&lt;=CW8),1,0)</f>
        <v>0</v>
      </c>
      <c r="CX28" s="14" t="n">
        <f aca="false">IF(AND(CX7&lt;$F$17,$F$17&lt;=CX8),1,0)</f>
        <v>0</v>
      </c>
      <c r="CY28" s="14" t="n">
        <f aca="false">IF(AND(CY7&lt;$F$17,$F$17&lt;=CY8),1,0)</f>
        <v>0</v>
      </c>
      <c r="CZ28" s="14" t="n">
        <f aca="false">IF(AND(CZ7&lt;$F$17,$F$17&lt;=CZ8),1,0)</f>
        <v>0</v>
      </c>
      <c r="DA28" s="14" t="n">
        <f aca="false">IF(AND(DA7&lt;$F$17,$F$17&lt;=DA8),1,0)</f>
        <v>0</v>
      </c>
      <c r="DB28" s="14" t="n">
        <f aca="false">IF(AND(DB7&lt;$F$17,$F$17&lt;=DB8),1,0)</f>
        <v>0</v>
      </c>
    </row>
    <row r="29" customFormat="false" ht="15" hidden="false" customHeight="false" outlineLevel="0" collapsed="false">
      <c r="D29" s="0" t="s">
        <v>334</v>
      </c>
      <c r="E29" s="0" t="s">
        <v>79</v>
      </c>
      <c r="J29" s="14" t="n">
        <f aca="false">MAX(0,J24-MAX(J7,$F$16))</f>
        <v>12475</v>
      </c>
      <c r="K29" s="14" t="n">
        <f aca="false">MAX(0,K24-MAX(K7,$F$16))</f>
        <v>12475</v>
      </c>
      <c r="L29" s="14" t="n">
        <f aca="false">MAX(0,L24-MAX(L7,$F$16))</f>
        <v>12475</v>
      </c>
      <c r="M29" s="14" t="n">
        <f aca="false">MAX(0,M24-MAX(M7,$F$16))</f>
        <v>12475</v>
      </c>
      <c r="N29" s="14" t="n">
        <f aca="false">MAX(0,N24-MAX(N7,$F$16))</f>
        <v>12475</v>
      </c>
      <c r="O29" s="14" t="n">
        <f aca="false">MAX(0,O24-MAX(O7,$F$16))</f>
        <v>12475</v>
      </c>
      <c r="P29" s="14" t="n">
        <f aca="false">MAX(0,P24-MAX(P7,$F$16))</f>
        <v>12475</v>
      </c>
      <c r="Q29" s="14" t="n">
        <f aca="false">MAX(0,Q24-MAX(Q7,$F$16))</f>
        <v>12475</v>
      </c>
      <c r="R29" s="14" t="n">
        <f aca="false">MAX(0,R24-MAX(R7,$F$16))</f>
        <v>12475</v>
      </c>
      <c r="S29" s="14" t="n">
        <f aca="false">MAX(0,S24-MAX(S7,$F$16))</f>
        <v>12475</v>
      </c>
      <c r="T29" s="14" t="n">
        <f aca="false">MAX(0,T24-MAX(T7,$F$16))</f>
        <v>12475</v>
      </c>
      <c r="U29" s="14" t="n">
        <f aca="false">MAX(0,U24-MAX(U7,$F$16))</f>
        <v>12475</v>
      </c>
      <c r="V29" s="14" t="n">
        <f aca="false">MAX(0,V24-MAX(V7,$F$16))</f>
        <v>12475</v>
      </c>
      <c r="W29" s="14" t="n">
        <f aca="false">MAX(0,W24-MAX(W7,$F$16))</f>
        <v>12475</v>
      </c>
      <c r="X29" s="14" t="n">
        <f aca="false">MAX(0,X24-MAX(X7,$F$16))</f>
        <v>12475</v>
      </c>
      <c r="Y29" s="14" t="n">
        <f aca="false">MAX(0,Y24-MAX(Y7,$F$16))</f>
        <v>12475</v>
      </c>
      <c r="Z29" s="14" t="n">
        <f aca="false">MAX(0,Z24-MAX(Z7,$F$16))</f>
        <v>12475</v>
      </c>
      <c r="AA29" s="14" t="n">
        <f aca="false">MAX(0,AA24-MAX(AA7,$F$16))</f>
        <v>12384</v>
      </c>
      <c r="AB29" s="14" t="n">
        <f aca="false">MAX(0,AB24-MAX(AB7,$F$16))</f>
        <v>12200</v>
      </c>
      <c r="AC29" s="14" t="n">
        <f aca="false">MAX(0,AC24-MAX(AC7,$F$16))</f>
        <v>12018</v>
      </c>
      <c r="AD29" s="14" t="n">
        <f aca="false">MAX(0,AD24-MAX(AD7,$F$16))</f>
        <v>11834</v>
      </c>
      <c r="AE29" s="14" t="n">
        <f aca="false">MAX(0,AE24-MAX(AE7,$F$16))</f>
        <v>11653</v>
      </c>
      <c r="AF29" s="14" t="n">
        <f aca="false">MAX(0,AF24-MAX(AF7,$F$16))</f>
        <v>11469</v>
      </c>
      <c r="AG29" s="14" t="n">
        <f aca="false">MAX(0,AG24-MAX(AG7,$F$16))</f>
        <v>11288</v>
      </c>
      <c r="AH29" s="14" t="n">
        <f aca="false">MAX(0,AH24-MAX(AH7,$F$16))</f>
        <v>11104</v>
      </c>
      <c r="AI29" s="14" t="n">
        <f aca="false">MAX(0,AI24-MAX(AI7,$F$16))</f>
        <v>10923</v>
      </c>
      <c r="AJ29" s="14" t="n">
        <f aca="false">MAX(0,AJ24-MAX(AJ7,$F$16))</f>
        <v>10739</v>
      </c>
      <c r="AK29" s="14" t="n">
        <f aca="false">MAX(0,AK24-MAX(AK7,$F$16))</f>
        <v>10557</v>
      </c>
      <c r="AL29" s="14" t="n">
        <f aca="false">MAX(0,AL24-MAX(AL7,$F$16))</f>
        <v>10373</v>
      </c>
      <c r="AM29" s="14" t="n">
        <f aca="false">MAX(0,AM24-MAX(AM7,$F$16))</f>
        <v>10192</v>
      </c>
      <c r="AN29" s="14" t="n">
        <f aca="false">MAX(0,AN24-MAX(AN7,$F$16))</f>
        <v>10008</v>
      </c>
      <c r="AO29" s="14" t="n">
        <f aca="false">MAX(0,AO24-MAX(AO7,$F$16))</f>
        <v>9827</v>
      </c>
      <c r="AP29" s="14" t="n">
        <f aca="false">MAX(0,AP24-MAX(AP7,$F$16))</f>
        <v>9643</v>
      </c>
      <c r="AQ29" s="14" t="n">
        <f aca="false">MAX(0,AQ24-MAX(AQ7,$F$16))</f>
        <v>9462</v>
      </c>
      <c r="AR29" s="14" t="n">
        <f aca="false">MAX(0,AR24-MAX(AR7,$F$16))</f>
        <v>9278</v>
      </c>
      <c r="AS29" s="14" t="n">
        <f aca="false">MAX(0,AS24-MAX(AS7,$F$16))</f>
        <v>9096</v>
      </c>
      <c r="AT29" s="14" t="n">
        <f aca="false">MAX(0,AT24-MAX(AT7,$F$16))</f>
        <v>8912</v>
      </c>
      <c r="AU29" s="14" t="n">
        <f aca="false">MAX(0,AU24-MAX(AU7,$F$16))</f>
        <v>8731</v>
      </c>
      <c r="AV29" s="14" t="n">
        <f aca="false">MAX(0,AV24-MAX(AV7,$F$16))</f>
        <v>8547</v>
      </c>
      <c r="AW29" s="14" t="n">
        <f aca="false">MAX(0,AW24-MAX(AW7,$F$16))</f>
        <v>8366</v>
      </c>
      <c r="AX29" s="14" t="n">
        <f aca="false">MAX(0,AX24-MAX(AX7,$F$16))</f>
        <v>8182</v>
      </c>
      <c r="AY29" s="14" t="n">
        <f aca="false">MAX(0,AY24-MAX(AY7,$F$16))</f>
        <v>8001</v>
      </c>
      <c r="AZ29" s="14" t="n">
        <f aca="false">MAX(0,AZ24-MAX(AZ7,$F$16))</f>
        <v>7817</v>
      </c>
      <c r="BA29" s="14" t="n">
        <f aca="false">MAX(0,BA24-MAX(BA7,$F$16))</f>
        <v>7635</v>
      </c>
      <c r="BB29" s="14" t="n">
        <f aca="false">MAX(0,BB24-MAX(BB7,$F$16))</f>
        <v>7451</v>
      </c>
      <c r="BC29" s="14" t="n">
        <f aca="false">MAX(0,BC24-MAX(BC7,$F$16))</f>
        <v>7270</v>
      </c>
      <c r="BD29" s="14" t="n">
        <f aca="false">MAX(0,BD24-MAX(BD7,$F$16))</f>
        <v>7086</v>
      </c>
      <c r="BE29" s="14" t="n">
        <f aca="false">MAX(0,BE24-MAX(BE7,$F$16))</f>
        <v>6905</v>
      </c>
      <c r="BF29" s="14" t="n">
        <f aca="false">MAX(0,BF24-MAX(BF7,$F$16))</f>
        <v>6721</v>
      </c>
      <c r="BG29" s="14" t="n">
        <f aca="false">MAX(0,BG24-MAX(BG7,$F$16))</f>
        <v>6540</v>
      </c>
      <c r="BH29" s="14" t="n">
        <f aca="false">MAX(0,BH24-MAX(BH7,$F$16))</f>
        <v>6356</v>
      </c>
      <c r="BI29" s="14" t="n">
        <f aca="false">MAX(0,BI24-MAX(BI7,$F$16))</f>
        <v>6174</v>
      </c>
      <c r="BJ29" s="14" t="n">
        <f aca="false">MAX(0,BJ24-MAX(BJ7,$F$16))</f>
        <v>5990</v>
      </c>
      <c r="BK29" s="14" t="n">
        <f aca="false">MAX(0,BK24-MAX(BK7,$F$16))</f>
        <v>5809</v>
      </c>
      <c r="BL29" s="14" t="n">
        <f aca="false">MAX(0,BL24-MAX(BL7,$F$16))</f>
        <v>5625</v>
      </c>
      <c r="BM29" s="14" t="n">
        <f aca="false">MAX(0,BM24-MAX(BM7,$F$16))</f>
        <v>5444</v>
      </c>
      <c r="BN29" s="14" t="n">
        <f aca="false">MAX(0,BN24-MAX(BN7,$F$16))</f>
        <v>5260</v>
      </c>
      <c r="BO29" s="14" t="n">
        <f aca="false">MAX(0,BO24-MAX(BO7,$F$16))</f>
        <v>5079</v>
      </c>
      <c r="BP29" s="14" t="n">
        <f aca="false">MAX(0,BP24-MAX(BP7,$F$16))</f>
        <v>4895</v>
      </c>
      <c r="BQ29" s="14" t="n">
        <f aca="false">MAX(0,BQ24-MAX(BQ7,$F$16))</f>
        <v>4713</v>
      </c>
      <c r="BR29" s="14" t="n">
        <f aca="false">MAX(0,BR24-MAX(BR7,$F$16))</f>
        <v>4529</v>
      </c>
      <c r="BS29" s="14" t="n">
        <f aca="false">MAX(0,BS24-MAX(BS7,$F$16))</f>
        <v>4348</v>
      </c>
      <c r="BT29" s="14" t="n">
        <f aca="false">MAX(0,BT24-MAX(BT7,$F$16))</f>
        <v>4164</v>
      </c>
      <c r="BU29" s="14" t="n">
        <f aca="false">MAX(0,BU24-MAX(BU7,$F$16))</f>
        <v>3983</v>
      </c>
      <c r="BV29" s="14" t="n">
        <f aca="false">MAX(0,BV24-MAX(BV7,$F$16))</f>
        <v>3799</v>
      </c>
      <c r="BW29" s="14" t="n">
        <f aca="false">MAX(0,BW24-MAX(BW7,$F$16))</f>
        <v>3618</v>
      </c>
      <c r="BX29" s="14" t="n">
        <f aca="false">MAX(0,BX24-MAX(BX7,$F$16))</f>
        <v>3434</v>
      </c>
      <c r="BY29" s="14" t="n">
        <f aca="false">MAX(0,BY24-MAX(BY7,$F$16))</f>
        <v>3252</v>
      </c>
      <c r="BZ29" s="14" t="n">
        <f aca="false">MAX(0,BZ24-MAX(BZ7,$F$16))</f>
        <v>3068</v>
      </c>
      <c r="CA29" s="14" t="n">
        <f aca="false">MAX(0,CA24-MAX(CA7,$F$16))</f>
        <v>2887</v>
      </c>
      <c r="CB29" s="14" t="n">
        <f aca="false">MAX(0,CB24-MAX(CB7,$F$16))</f>
        <v>2703</v>
      </c>
      <c r="CC29" s="14" t="n">
        <f aca="false">MAX(0,CC24-MAX(CC7,$F$16))</f>
        <v>2522</v>
      </c>
      <c r="CD29" s="14" t="n">
        <f aca="false">MAX(0,CD24-MAX(CD7,$F$16))</f>
        <v>2338</v>
      </c>
      <c r="CE29" s="14" t="n">
        <f aca="false">MAX(0,CE24-MAX(CE7,$F$16))</f>
        <v>2157</v>
      </c>
      <c r="CF29" s="14" t="n">
        <f aca="false">MAX(0,CF24-MAX(CF7,$F$16))</f>
        <v>1973</v>
      </c>
      <c r="CG29" s="14" t="n">
        <f aca="false">MAX(0,CG24-MAX(CG7,$F$16))</f>
        <v>1791</v>
      </c>
      <c r="CH29" s="14" t="n">
        <f aca="false">MAX(0,CH24-MAX(CH7,$F$16))</f>
        <v>1607</v>
      </c>
      <c r="CI29" s="14" t="n">
        <f aca="false">MAX(0,CI24-MAX(CI7,$F$16))</f>
        <v>1426</v>
      </c>
      <c r="CJ29" s="14" t="n">
        <f aca="false">MAX(0,CJ24-MAX(CJ7,$F$16))</f>
        <v>1242</v>
      </c>
      <c r="CK29" s="14" t="n">
        <f aca="false">MAX(0,CK24-MAX(CK7,$F$16))</f>
        <v>1061</v>
      </c>
      <c r="CL29" s="14" t="n">
        <f aca="false">MAX(0,CL24-MAX(CL7,$F$16))</f>
        <v>877</v>
      </c>
      <c r="CM29" s="14" t="n">
        <f aca="false">MAX(0,CM24-MAX(CM7,$F$16))</f>
        <v>696</v>
      </c>
      <c r="CN29" s="14" t="n">
        <f aca="false">MAX(0,CN24-MAX(CN7,$F$16))</f>
        <v>512</v>
      </c>
      <c r="CO29" s="14" t="n">
        <f aca="false">MAX(0,CO24-MAX(CO7,$F$16))</f>
        <v>330</v>
      </c>
      <c r="CP29" s="14" t="n">
        <f aca="false">MAX(0,CP24-MAX(CP7,$F$16))</f>
        <v>146</v>
      </c>
      <c r="CQ29" s="14" t="n">
        <f aca="false">MAX(0,CQ24-MAX(CQ7,$F$16))</f>
        <v>0</v>
      </c>
      <c r="CR29" s="14" t="n">
        <f aca="false">MAX(0,CR24-MAX(CR7,$F$16))</f>
        <v>0</v>
      </c>
      <c r="CS29" s="14" t="n">
        <f aca="false">MAX(0,CS24-MAX(CS7,$F$16))</f>
        <v>0</v>
      </c>
      <c r="CT29" s="14" t="n">
        <f aca="false">MAX(0,CT24-MAX(CT7,$F$16))</f>
        <v>0</v>
      </c>
      <c r="CU29" s="14" t="n">
        <f aca="false">MAX(0,CU24-MAX(CU7,$F$16))</f>
        <v>0</v>
      </c>
      <c r="CV29" s="14" t="n">
        <f aca="false">MAX(0,CV24-MAX(CV7,$F$16))</f>
        <v>0</v>
      </c>
      <c r="CW29" s="14" t="n">
        <f aca="false">MAX(0,CW24-MAX(CW7,$F$16))</f>
        <v>0</v>
      </c>
      <c r="CX29" s="14" t="n">
        <f aca="false">MAX(0,CX24-MAX(CX7,$F$16))</f>
        <v>0</v>
      </c>
      <c r="CY29" s="14" t="n">
        <f aca="false">MAX(0,CY24-MAX(CY7,$F$16))</f>
        <v>0</v>
      </c>
      <c r="CZ29" s="14" t="n">
        <f aca="false">MAX(0,CZ24-MAX(CZ7,$F$16))</f>
        <v>0</v>
      </c>
      <c r="DA29" s="14" t="n">
        <f aca="false">MAX(0,DA24-MAX(DA7,$F$16))</f>
        <v>0</v>
      </c>
      <c r="DB29" s="14" t="n">
        <f aca="false">MAX(0,DB24-MAX(DB7,$F$16))</f>
        <v>0</v>
      </c>
    </row>
    <row r="30" customFormat="false" ht="15" hidden="false" customHeight="false" outlineLevel="0" collapsed="false">
      <c r="D30" s="0" t="s">
        <v>335</v>
      </c>
      <c r="E30" s="0" t="s">
        <v>42</v>
      </c>
      <c r="J30" s="14" t="n">
        <f aca="false">IF(AND(J8&gt;=Inputs!$F$21,J8&lt;=Inputs!$F$22),1,0)</f>
        <v>0</v>
      </c>
      <c r="K30" s="14" t="n">
        <f aca="false">IF(AND(K8&gt;=Inputs!$F$21,K8&lt;=Inputs!$F$22),1,0)</f>
        <v>0</v>
      </c>
      <c r="L30" s="14" t="n">
        <f aca="false">IF(AND(L8&gt;=Inputs!$F$21,L8&lt;=Inputs!$F$22),1,0)</f>
        <v>0</v>
      </c>
      <c r="M30" s="14" t="n">
        <f aca="false">IF(AND(M8&gt;=Inputs!$F$21,M8&lt;=Inputs!$F$22),1,0)</f>
        <v>0</v>
      </c>
      <c r="N30" s="14" t="n">
        <f aca="false">IF(AND(N8&gt;=Inputs!$F$21,N8&lt;=Inputs!$F$22),1,0)</f>
        <v>0</v>
      </c>
      <c r="O30" s="14" t="n">
        <f aca="false">IF(AND(O8&gt;=Inputs!$F$21,O8&lt;=Inputs!$F$22),1,0)</f>
        <v>0</v>
      </c>
      <c r="P30" s="14" t="n">
        <f aca="false">IF(AND(P8&gt;=Inputs!$F$21,P8&lt;=Inputs!$F$22),1,0)</f>
        <v>0</v>
      </c>
      <c r="Q30" s="14" t="n">
        <f aca="false">IF(AND(Q8&gt;=Inputs!$F$21,Q8&lt;=Inputs!$F$22),1,0)</f>
        <v>0</v>
      </c>
      <c r="R30" s="14" t="n">
        <f aca="false">IF(AND(R8&gt;=Inputs!$F$21,R8&lt;=Inputs!$F$22),1,0)</f>
        <v>0</v>
      </c>
      <c r="S30" s="14" t="n">
        <f aca="false">IF(AND(S8&gt;=Inputs!$F$21,S8&lt;=Inputs!$F$22),1,0)</f>
        <v>0</v>
      </c>
      <c r="T30" s="14" t="n">
        <f aca="false">IF(AND(T8&gt;=Inputs!$F$21,T8&lt;=Inputs!$F$22),1,0)</f>
        <v>0</v>
      </c>
      <c r="U30" s="14" t="n">
        <f aca="false">IF(AND(U8&gt;=Inputs!$F$21,U8&lt;=Inputs!$F$22),1,0)</f>
        <v>0</v>
      </c>
      <c r="V30" s="14" t="n">
        <f aca="false">IF(AND(V8&gt;=Inputs!$F$21,V8&lt;=Inputs!$F$22),1,0)</f>
        <v>0</v>
      </c>
      <c r="W30" s="14" t="n">
        <f aca="false">IF(AND(W8&gt;=Inputs!$F$21,W8&lt;=Inputs!$F$22),1,0)</f>
        <v>0</v>
      </c>
      <c r="X30" s="14" t="n">
        <f aca="false">IF(AND(X8&gt;=Inputs!$F$21,X8&lt;=Inputs!$F$22),1,0)</f>
        <v>0</v>
      </c>
      <c r="Y30" s="14" t="n">
        <f aca="false">IF(AND(Y8&gt;=Inputs!$F$21,Y8&lt;=Inputs!$F$22),1,0)</f>
        <v>0</v>
      </c>
      <c r="Z30" s="14" t="n">
        <f aca="false">IF(AND(Z8&gt;=Inputs!$F$21,Z8&lt;=Inputs!$F$22),1,0)</f>
        <v>0</v>
      </c>
      <c r="AA30" s="14" t="n">
        <f aca="false">IF(AND(AA8&gt;=Inputs!$F$21,AA8&lt;=Inputs!$F$22),1,0)</f>
        <v>0</v>
      </c>
      <c r="AB30" s="14" t="n">
        <f aca="false">IF(AND(AB8&gt;=Inputs!$F$21,AB8&lt;=Inputs!$F$22),1,0)</f>
        <v>0</v>
      </c>
      <c r="AC30" s="14" t="n">
        <f aca="false">IF(AND(AC8&gt;=Inputs!$F$21,AC8&lt;=Inputs!$F$22),1,0)</f>
        <v>0</v>
      </c>
      <c r="AD30" s="14" t="n">
        <f aca="false">IF(AND(AD8&gt;=Inputs!$F$21,AD8&lt;=Inputs!$F$22),1,0)</f>
        <v>1</v>
      </c>
      <c r="AE30" s="14" t="n">
        <f aca="false">IF(AND(AE8&gt;=Inputs!$F$21,AE8&lt;=Inputs!$F$22),1,0)</f>
        <v>1</v>
      </c>
      <c r="AF30" s="14" t="n">
        <f aca="false">IF(AND(AF8&gt;=Inputs!$F$21,AF8&lt;=Inputs!$F$22),1,0)</f>
        <v>1</v>
      </c>
      <c r="AG30" s="14" t="n">
        <f aca="false">IF(AND(AG8&gt;=Inputs!$F$21,AG8&lt;=Inputs!$F$22),1,0)</f>
        <v>1</v>
      </c>
      <c r="AH30" s="14" t="n">
        <f aca="false">IF(AND(AH8&gt;=Inputs!$F$21,AH8&lt;=Inputs!$F$22),1,0)</f>
        <v>1</v>
      </c>
      <c r="AI30" s="14" t="n">
        <f aca="false">IF(AND(AI8&gt;=Inputs!$F$21,AI8&lt;=Inputs!$F$22),1,0)</f>
        <v>1</v>
      </c>
      <c r="AJ30" s="14" t="n">
        <f aca="false">IF(AND(AJ8&gt;=Inputs!$F$21,AJ8&lt;=Inputs!$F$22),1,0)</f>
        <v>1</v>
      </c>
      <c r="AK30" s="14" t="n">
        <f aca="false">IF(AND(AK8&gt;=Inputs!$F$21,AK8&lt;=Inputs!$F$22),1,0)</f>
        <v>1</v>
      </c>
      <c r="AL30" s="14" t="n">
        <f aca="false">IF(AND(AL8&gt;=Inputs!$F$21,AL8&lt;=Inputs!$F$22),1,0)</f>
        <v>1</v>
      </c>
      <c r="AM30" s="14" t="n">
        <f aca="false">IF(AND(AM8&gt;=Inputs!$F$21,AM8&lt;=Inputs!$F$22),1,0)</f>
        <v>1</v>
      </c>
      <c r="AN30" s="14" t="n">
        <f aca="false">IF(AND(AN8&gt;=Inputs!$F$21,AN8&lt;=Inputs!$F$22),1,0)</f>
        <v>1</v>
      </c>
      <c r="AO30" s="14" t="n">
        <f aca="false">IF(AND(AO8&gt;=Inputs!$F$21,AO8&lt;=Inputs!$F$22),1,0)</f>
        <v>1</v>
      </c>
      <c r="AP30" s="14" t="n">
        <f aca="false">IF(AND(AP8&gt;=Inputs!$F$21,AP8&lt;=Inputs!$F$22),1,0)</f>
        <v>1</v>
      </c>
      <c r="AQ30" s="14" t="n">
        <f aca="false">IF(AND(AQ8&gt;=Inputs!$F$21,AQ8&lt;=Inputs!$F$22),1,0)</f>
        <v>1</v>
      </c>
      <c r="AR30" s="14" t="n">
        <f aca="false">IF(AND(AR8&gt;=Inputs!$F$21,AR8&lt;=Inputs!$F$22),1,0)</f>
        <v>1</v>
      </c>
      <c r="AS30" s="14" t="n">
        <f aca="false">IF(AND(AS8&gt;=Inputs!$F$21,AS8&lt;=Inputs!$F$22),1,0)</f>
        <v>1</v>
      </c>
      <c r="AT30" s="14" t="n">
        <f aca="false">IF(AND(AT8&gt;=Inputs!$F$21,AT8&lt;=Inputs!$F$22),1,0)</f>
        <v>1</v>
      </c>
      <c r="AU30" s="14" t="n">
        <f aca="false">IF(AND(AU8&gt;=Inputs!$F$21,AU8&lt;=Inputs!$F$22),1,0)</f>
        <v>1</v>
      </c>
      <c r="AV30" s="14" t="n">
        <f aca="false">IF(AND(AV8&gt;=Inputs!$F$21,AV8&lt;=Inputs!$F$22),1,0)</f>
        <v>1</v>
      </c>
      <c r="AW30" s="14" t="n">
        <f aca="false">IF(AND(AW8&gt;=Inputs!$F$21,AW8&lt;=Inputs!$F$22),1,0)</f>
        <v>1</v>
      </c>
      <c r="AX30" s="14" t="n">
        <f aca="false">IF(AND(AX8&gt;=Inputs!$F$21,AX8&lt;=Inputs!$F$22),1,0)</f>
        <v>1</v>
      </c>
      <c r="AY30" s="14" t="n">
        <f aca="false">IF(AND(AY8&gt;=Inputs!$F$21,AY8&lt;=Inputs!$F$22),1,0)</f>
        <v>1</v>
      </c>
      <c r="AZ30" s="14" t="n">
        <f aca="false">IF(AND(AZ8&gt;=Inputs!$F$21,AZ8&lt;=Inputs!$F$22),1,0)</f>
        <v>1</v>
      </c>
      <c r="BA30" s="14" t="n">
        <f aca="false">IF(AND(BA8&gt;=Inputs!$F$21,BA8&lt;=Inputs!$F$22),1,0)</f>
        <v>1</v>
      </c>
      <c r="BB30" s="14" t="n">
        <f aca="false">IF(AND(BB8&gt;=Inputs!$F$21,BB8&lt;=Inputs!$F$22),1,0)</f>
        <v>1</v>
      </c>
      <c r="BC30" s="14" t="n">
        <f aca="false">IF(AND(BC8&gt;=Inputs!$F$21,BC8&lt;=Inputs!$F$22),1,0)</f>
        <v>1</v>
      </c>
      <c r="BD30" s="14" t="n">
        <f aca="false">IF(AND(BD8&gt;=Inputs!$F$21,BD8&lt;=Inputs!$F$22),1,0)</f>
        <v>1</v>
      </c>
      <c r="BE30" s="14" t="n">
        <f aca="false">IF(AND(BE8&gt;=Inputs!$F$21,BE8&lt;=Inputs!$F$22),1,0)</f>
        <v>1</v>
      </c>
      <c r="BF30" s="14" t="n">
        <f aca="false">IF(AND(BF8&gt;=Inputs!$F$21,BF8&lt;=Inputs!$F$22),1,0)</f>
        <v>1</v>
      </c>
      <c r="BG30" s="14" t="n">
        <f aca="false">IF(AND(BG8&gt;=Inputs!$F$21,BG8&lt;=Inputs!$F$22),1,0)</f>
        <v>1</v>
      </c>
      <c r="BH30" s="14" t="n">
        <f aca="false">IF(AND(BH8&gt;=Inputs!$F$21,BH8&lt;=Inputs!$F$22),1,0)</f>
        <v>1</v>
      </c>
      <c r="BI30" s="14" t="n">
        <f aca="false">IF(AND(BI8&gt;=Inputs!$F$21,BI8&lt;=Inputs!$F$22),1,0)</f>
        <v>1</v>
      </c>
      <c r="BJ30" s="14" t="n">
        <f aca="false">IF(AND(BJ8&gt;=Inputs!$F$21,BJ8&lt;=Inputs!$F$22),1,0)</f>
        <v>1</v>
      </c>
      <c r="BK30" s="14" t="n">
        <f aca="false">IF(AND(BK8&gt;=Inputs!$F$21,BK8&lt;=Inputs!$F$22),1,0)</f>
        <v>1</v>
      </c>
      <c r="BL30" s="14" t="n">
        <f aca="false">IF(AND(BL8&gt;=Inputs!$F$21,BL8&lt;=Inputs!$F$22),1,0)</f>
        <v>1</v>
      </c>
      <c r="BM30" s="14" t="n">
        <f aca="false">IF(AND(BM8&gt;=Inputs!$F$21,BM8&lt;=Inputs!$F$22),1,0)</f>
        <v>1</v>
      </c>
      <c r="BN30" s="14" t="n">
        <f aca="false">IF(AND(BN8&gt;=Inputs!$F$21,BN8&lt;=Inputs!$F$22),1,0)</f>
        <v>1</v>
      </c>
      <c r="BO30" s="14" t="n">
        <f aca="false">IF(AND(BO8&gt;=Inputs!$F$21,BO8&lt;=Inputs!$F$22),1,0)</f>
        <v>1</v>
      </c>
      <c r="BP30" s="14" t="n">
        <f aca="false">IF(AND(BP8&gt;=Inputs!$F$21,BP8&lt;=Inputs!$F$22),1,0)</f>
        <v>1</v>
      </c>
      <c r="BQ30" s="14" t="n">
        <f aca="false">IF(AND(BQ8&gt;=Inputs!$F$21,BQ8&lt;=Inputs!$F$22),1,0)</f>
        <v>1</v>
      </c>
      <c r="BR30" s="14" t="n">
        <f aca="false">IF(AND(BR8&gt;=Inputs!$F$21,BR8&lt;=Inputs!$F$22),1,0)</f>
        <v>1</v>
      </c>
      <c r="BS30" s="14" t="n">
        <f aca="false">IF(AND(BS8&gt;=Inputs!$F$21,BS8&lt;=Inputs!$F$22),1,0)</f>
        <v>1</v>
      </c>
      <c r="BT30" s="14" t="n">
        <f aca="false">IF(AND(BT8&gt;=Inputs!$F$21,BT8&lt;=Inputs!$F$22),1,0)</f>
        <v>1</v>
      </c>
      <c r="BU30" s="14" t="n">
        <f aca="false">IF(AND(BU8&gt;=Inputs!$F$21,BU8&lt;=Inputs!$F$22),1,0)</f>
        <v>1</v>
      </c>
      <c r="BV30" s="14" t="n">
        <f aca="false">IF(AND(BV8&gt;=Inputs!$F$21,BV8&lt;=Inputs!$F$22),1,0)</f>
        <v>1</v>
      </c>
      <c r="BW30" s="14" t="n">
        <f aca="false">IF(AND(BW8&gt;=Inputs!$F$21,BW8&lt;=Inputs!$F$22),1,0)</f>
        <v>1</v>
      </c>
      <c r="BX30" s="14" t="n">
        <f aca="false">IF(AND(BX8&gt;=Inputs!$F$21,BX8&lt;=Inputs!$F$22),1,0)</f>
        <v>1</v>
      </c>
      <c r="BY30" s="14" t="n">
        <f aca="false">IF(AND(BY8&gt;=Inputs!$F$21,BY8&lt;=Inputs!$F$22),1,0)</f>
        <v>1</v>
      </c>
      <c r="BZ30" s="14" t="n">
        <f aca="false">IF(AND(BZ8&gt;=Inputs!$F$21,BZ8&lt;=Inputs!$F$22),1,0)</f>
        <v>1</v>
      </c>
      <c r="CA30" s="14" t="n">
        <f aca="false">IF(AND(CA8&gt;=Inputs!$F$21,CA8&lt;=Inputs!$F$22),1,0)</f>
        <v>1</v>
      </c>
      <c r="CB30" s="14" t="n">
        <f aca="false">IF(AND(CB8&gt;=Inputs!$F$21,CB8&lt;=Inputs!$F$22),1,0)</f>
        <v>1</v>
      </c>
      <c r="CC30" s="14" t="n">
        <f aca="false">IF(AND(CC8&gt;=Inputs!$F$21,CC8&lt;=Inputs!$F$22),1,0)</f>
        <v>1</v>
      </c>
      <c r="CD30" s="14" t="n">
        <f aca="false">IF(AND(CD8&gt;=Inputs!$F$21,CD8&lt;=Inputs!$F$22),1,0)</f>
        <v>1</v>
      </c>
      <c r="CE30" s="14" t="n">
        <f aca="false">IF(AND(CE8&gt;=Inputs!$F$21,CE8&lt;=Inputs!$F$22),1,0)</f>
        <v>1</v>
      </c>
      <c r="CF30" s="14" t="n">
        <f aca="false">IF(AND(CF8&gt;=Inputs!$F$21,CF8&lt;=Inputs!$F$22),1,0)</f>
        <v>1</v>
      </c>
      <c r="CG30" s="14" t="n">
        <f aca="false">IF(AND(CG8&gt;=Inputs!$F$21,CG8&lt;=Inputs!$F$22),1,0)</f>
        <v>1</v>
      </c>
      <c r="CH30" s="14" t="n">
        <f aca="false">IF(AND(CH8&gt;=Inputs!$F$21,CH8&lt;=Inputs!$F$22),1,0)</f>
        <v>0</v>
      </c>
      <c r="CI30" s="14" t="n">
        <f aca="false">IF(AND(CI8&gt;=Inputs!$F$21,CI8&lt;=Inputs!$F$22),1,0)</f>
        <v>0</v>
      </c>
      <c r="CJ30" s="14" t="n">
        <f aca="false">IF(AND(CJ8&gt;=Inputs!$F$21,CJ8&lt;=Inputs!$F$22),1,0)</f>
        <v>0</v>
      </c>
      <c r="CK30" s="14" t="n">
        <f aca="false">IF(AND(CK8&gt;=Inputs!$F$21,CK8&lt;=Inputs!$F$22),1,0)</f>
        <v>0</v>
      </c>
      <c r="CL30" s="14" t="n">
        <f aca="false">IF(AND(CL8&gt;=Inputs!$F$21,CL8&lt;=Inputs!$F$22),1,0)</f>
        <v>0</v>
      </c>
      <c r="CM30" s="14" t="n">
        <f aca="false">IF(AND(CM8&gt;=Inputs!$F$21,CM8&lt;=Inputs!$F$22),1,0)</f>
        <v>0</v>
      </c>
      <c r="CN30" s="14" t="n">
        <f aca="false">IF(AND(CN8&gt;=Inputs!$F$21,CN8&lt;=Inputs!$F$22),1,0)</f>
        <v>0</v>
      </c>
      <c r="CO30" s="14" t="n">
        <f aca="false">IF(AND(CO8&gt;=Inputs!$F$21,CO8&lt;=Inputs!$F$22),1,0)</f>
        <v>0</v>
      </c>
      <c r="CP30" s="14" t="n">
        <f aca="false">IF(AND(CP8&gt;=Inputs!$F$21,CP8&lt;=Inputs!$F$22),1,0)</f>
        <v>0</v>
      </c>
      <c r="CQ30" s="14" t="n">
        <f aca="false">IF(AND(CQ8&gt;=Inputs!$F$21,CQ8&lt;=Inputs!$F$22),1,0)</f>
        <v>0</v>
      </c>
      <c r="CR30" s="14" t="n">
        <f aca="false">IF(AND(CR8&gt;=Inputs!$F$21,CR8&lt;=Inputs!$F$22),1,0)</f>
        <v>0</v>
      </c>
      <c r="CS30" s="14" t="n">
        <f aca="false">IF(AND(CS8&gt;=Inputs!$F$21,CS8&lt;=Inputs!$F$22),1,0)</f>
        <v>0</v>
      </c>
      <c r="CT30" s="14" t="n">
        <f aca="false">IF(AND(CT8&gt;=Inputs!$F$21,CT8&lt;=Inputs!$F$22),1,0)</f>
        <v>0</v>
      </c>
      <c r="CU30" s="14" t="n">
        <f aca="false">IF(AND(CU8&gt;=Inputs!$F$21,CU8&lt;=Inputs!$F$22),1,0)</f>
        <v>0</v>
      </c>
      <c r="CV30" s="14" t="n">
        <f aca="false">IF(AND(CV8&gt;=Inputs!$F$21,CV8&lt;=Inputs!$F$22),1,0)</f>
        <v>0</v>
      </c>
      <c r="CW30" s="14" t="n">
        <f aca="false">IF(AND(CW8&gt;=Inputs!$F$21,CW8&lt;=Inputs!$F$22),1,0)</f>
        <v>0</v>
      </c>
      <c r="CX30" s="14" t="n">
        <f aca="false">IF(AND(CX8&gt;=Inputs!$F$21,CX8&lt;=Inputs!$F$22),1,0)</f>
        <v>0</v>
      </c>
      <c r="CY30" s="14" t="n">
        <f aca="false">IF(AND(CY8&gt;=Inputs!$F$21,CY8&lt;=Inputs!$F$22),1,0)</f>
        <v>0</v>
      </c>
      <c r="CZ30" s="14" t="n">
        <f aca="false">IF(AND(CZ8&gt;=Inputs!$F$21,CZ8&lt;=Inputs!$F$22),1,0)</f>
        <v>0</v>
      </c>
      <c r="DA30" s="14" t="n">
        <f aca="false">IF(AND(DA8&gt;=Inputs!$F$21,DA8&lt;=Inputs!$F$22),1,0)</f>
        <v>0</v>
      </c>
      <c r="DB30" s="14" t="n">
        <f aca="false">IF(AND(DB8&gt;=Inputs!$F$21,DB8&lt;=Inputs!$F$22),1,0)</f>
        <v>0</v>
      </c>
    </row>
    <row r="31" customFormat="false" ht="15" hidden="false" customHeight="false" outlineLevel="0" collapsed="false">
      <c r="D31" s="0" t="s">
        <v>336</v>
      </c>
      <c r="E31" s="0" t="s">
        <v>42</v>
      </c>
      <c r="J31" s="14" t="n">
        <f aca="false">IF(AND(J30=1,I30=0),1,0)</f>
        <v>0</v>
      </c>
      <c r="K31" s="14" t="n">
        <f aca="false">IF(AND(K30=1,J30=0),1,0)</f>
        <v>0</v>
      </c>
      <c r="L31" s="14" t="n">
        <f aca="false">IF(AND(L30=1,K30=0),1,0)</f>
        <v>0</v>
      </c>
      <c r="M31" s="14" t="n">
        <f aca="false">IF(AND(M30=1,L30=0),1,0)</f>
        <v>0</v>
      </c>
      <c r="N31" s="14" t="n">
        <f aca="false">IF(AND(N30=1,M30=0),1,0)</f>
        <v>0</v>
      </c>
      <c r="O31" s="14" t="n">
        <f aca="false">IF(AND(O30=1,N30=0),1,0)</f>
        <v>0</v>
      </c>
      <c r="P31" s="14" t="n">
        <f aca="false">IF(AND(P30=1,O30=0),1,0)</f>
        <v>0</v>
      </c>
      <c r="Q31" s="14" t="n">
        <f aca="false">IF(AND(Q30=1,P30=0),1,0)</f>
        <v>0</v>
      </c>
      <c r="R31" s="14" t="n">
        <f aca="false">IF(AND(R30=1,Q30=0),1,0)</f>
        <v>0</v>
      </c>
      <c r="S31" s="14" t="n">
        <f aca="false">IF(AND(S30=1,R30=0),1,0)</f>
        <v>0</v>
      </c>
      <c r="T31" s="14" t="n">
        <f aca="false">IF(AND(T30=1,S30=0),1,0)</f>
        <v>0</v>
      </c>
      <c r="U31" s="14" t="n">
        <f aca="false">IF(AND(U30=1,T30=0),1,0)</f>
        <v>0</v>
      </c>
      <c r="V31" s="14" t="n">
        <f aca="false">IF(AND(V30=1,U30=0),1,0)</f>
        <v>0</v>
      </c>
      <c r="W31" s="14" t="n">
        <f aca="false">IF(AND(W30=1,V30=0),1,0)</f>
        <v>0</v>
      </c>
      <c r="X31" s="14" t="n">
        <f aca="false">IF(AND(X30=1,W30=0),1,0)</f>
        <v>0</v>
      </c>
      <c r="Y31" s="14" t="n">
        <f aca="false">IF(AND(Y30=1,X30=0),1,0)</f>
        <v>0</v>
      </c>
      <c r="Z31" s="14" t="n">
        <f aca="false">IF(AND(Z30=1,Y30=0),1,0)</f>
        <v>0</v>
      </c>
      <c r="AA31" s="14" t="n">
        <f aca="false">IF(AND(AA30=1,Z30=0),1,0)</f>
        <v>0</v>
      </c>
      <c r="AB31" s="14" t="n">
        <f aca="false">IF(AND(AB30=1,AA30=0),1,0)</f>
        <v>0</v>
      </c>
      <c r="AC31" s="14" t="n">
        <f aca="false">IF(AND(AC30=1,AB30=0),1,0)</f>
        <v>0</v>
      </c>
      <c r="AD31" s="14" t="n">
        <f aca="false">IF(AND(AD30=1,AC30=0),1,0)</f>
        <v>1</v>
      </c>
      <c r="AE31" s="14" t="n">
        <f aca="false">IF(AND(AE30=1,AD30=0),1,0)</f>
        <v>0</v>
      </c>
      <c r="AF31" s="14" t="n">
        <f aca="false">IF(AND(AF30=1,AE30=0),1,0)</f>
        <v>0</v>
      </c>
      <c r="AG31" s="14" t="n">
        <f aca="false">IF(AND(AG30=1,AF30=0),1,0)</f>
        <v>0</v>
      </c>
      <c r="AH31" s="14" t="n">
        <f aca="false">IF(AND(AH30=1,AG30=0),1,0)</f>
        <v>0</v>
      </c>
      <c r="AI31" s="14" t="n">
        <f aca="false">IF(AND(AI30=1,AH30=0),1,0)</f>
        <v>0</v>
      </c>
      <c r="AJ31" s="14" t="n">
        <f aca="false">IF(AND(AJ30=1,AI30=0),1,0)</f>
        <v>0</v>
      </c>
      <c r="AK31" s="14" t="n">
        <f aca="false">IF(AND(AK30=1,AJ30=0),1,0)</f>
        <v>0</v>
      </c>
      <c r="AL31" s="14" t="n">
        <f aca="false">IF(AND(AL30=1,AK30=0),1,0)</f>
        <v>0</v>
      </c>
      <c r="AM31" s="14" t="n">
        <f aca="false">IF(AND(AM30=1,AL30=0),1,0)</f>
        <v>0</v>
      </c>
      <c r="AN31" s="14" t="n">
        <f aca="false">IF(AND(AN30=1,AM30=0),1,0)</f>
        <v>0</v>
      </c>
      <c r="AO31" s="14" t="n">
        <f aca="false">IF(AND(AO30=1,AN30=0),1,0)</f>
        <v>0</v>
      </c>
      <c r="AP31" s="14" t="n">
        <f aca="false">IF(AND(AP30=1,AO30=0),1,0)</f>
        <v>0</v>
      </c>
      <c r="AQ31" s="14" t="n">
        <f aca="false">IF(AND(AQ30=1,AP30=0),1,0)</f>
        <v>0</v>
      </c>
      <c r="AR31" s="14" t="n">
        <f aca="false">IF(AND(AR30=1,AQ30=0),1,0)</f>
        <v>0</v>
      </c>
      <c r="AS31" s="14" t="n">
        <f aca="false">IF(AND(AS30=1,AR30=0),1,0)</f>
        <v>0</v>
      </c>
      <c r="AT31" s="14" t="n">
        <f aca="false">IF(AND(AT30=1,AS30=0),1,0)</f>
        <v>0</v>
      </c>
      <c r="AU31" s="14" t="n">
        <f aca="false">IF(AND(AU30=1,AT30=0),1,0)</f>
        <v>0</v>
      </c>
      <c r="AV31" s="14" t="n">
        <f aca="false">IF(AND(AV30=1,AU30=0),1,0)</f>
        <v>0</v>
      </c>
      <c r="AW31" s="14" t="n">
        <f aca="false">IF(AND(AW30=1,AV30=0),1,0)</f>
        <v>0</v>
      </c>
      <c r="AX31" s="14" t="n">
        <f aca="false">IF(AND(AX30=1,AW30=0),1,0)</f>
        <v>0</v>
      </c>
      <c r="AY31" s="14" t="n">
        <f aca="false">IF(AND(AY30=1,AX30=0),1,0)</f>
        <v>0</v>
      </c>
      <c r="AZ31" s="14" t="n">
        <f aca="false">IF(AND(AZ30=1,AY30=0),1,0)</f>
        <v>0</v>
      </c>
      <c r="BA31" s="14" t="n">
        <f aca="false">IF(AND(BA30=1,AZ30=0),1,0)</f>
        <v>0</v>
      </c>
      <c r="BB31" s="14" t="n">
        <f aca="false">IF(AND(BB30=1,BA30=0),1,0)</f>
        <v>0</v>
      </c>
      <c r="BC31" s="14" t="n">
        <f aca="false">IF(AND(BC30=1,BB30=0),1,0)</f>
        <v>0</v>
      </c>
      <c r="BD31" s="14" t="n">
        <f aca="false">IF(AND(BD30=1,BC30=0),1,0)</f>
        <v>0</v>
      </c>
      <c r="BE31" s="14" t="n">
        <f aca="false">IF(AND(BE30=1,BD30=0),1,0)</f>
        <v>0</v>
      </c>
      <c r="BF31" s="14" t="n">
        <f aca="false">IF(AND(BF30=1,BE30=0),1,0)</f>
        <v>0</v>
      </c>
      <c r="BG31" s="14" t="n">
        <f aca="false">IF(AND(BG30=1,BF30=0),1,0)</f>
        <v>0</v>
      </c>
      <c r="BH31" s="14" t="n">
        <f aca="false">IF(AND(BH30=1,BG30=0),1,0)</f>
        <v>0</v>
      </c>
      <c r="BI31" s="14" t="n">
        <f aca="false">IF(AND(BI30=1,BH30=0),1,0)</f>
        <v>0</v>
      </c>
      <c r="BJ31" s="14" t="n">
        <f aca="false">IF(AND(BJ30=1,BI30=0),1,0)</f>
        <v>0</v>
      </c>
      <c r="BK31" s="14" t="n">
        <f aca="false">IF(AND(BK30=1,BJ30=0),1,0)</f>
        <v>0</v>
      </c>
      <c r="BL31" s="14" t="n">
        <f aca="false">IF(AND(BL30=1,BK30=0),1,0)</f>
        <v>0</v>
      </c>
      <c r="BM31" s="14" t="n">
        <f aca="false">IF(AND(BM30=1,BL30=0),1,0)</f>
        <v>0</v>
      </c>
      <c r="BN31" s="14" t="n">
        <f aca="false">IF(AND(BN30=1,BM30=0),1,0)</f>
        <v>0</v>
      </c>
      <c r="BO31" s="14" t="n">
        <f aca="false">IF(AND(BO30=1,BN30=0),1,0)</f>
        <v>0</v>
      </c>
      <c r="BP31" s="14" t="n">
        <f aca="false">IF(AND(BP30=1,BO30=0),1,0)</f>
        <v>0</v>
      </c>
      <c r="BQ31" s="14" t="n">
        <f aca="false">IF(AND(BQ30=1,BP30=0),1,0)</f>
        <v>0</v>
      </c>
      <c r="BR31" s="14" t="n">
        <f aca="false">IF(AND(BR30=1,BQ30=0),1,0)</f>
        <v>0</v>
      </c>
      <c r="BS31" s="14" t="n">
        <f aca="false">IF(AND(BS30=1,BR30=0),1,0)</f>
        <v>0</v>
      </c>
      <c r="BT31" s="14" t="n">
        <f aca="false">IF(AND(BT30=1,BS30=0),1,0)</f>
        <v>0</v>
      </c>
      <c r="BU31" s="14" t="n">
        <f aca="false">IF(AND(BU30=1,BT30=0),1,0)</f>
        <v>0</v>
      </c>
      <c r="BV31" s="14" t="n">
        <f aca="false">IF(AND(BV30=1,BU30=0),1,0)</f>
        <v>0</v>
      </c>
      <c r="BW31" s="14" t="n">
        <f aca="false">IF(AND(BW30=1,BV30=0),1,0)</f>
        <v>0</v>
      </c>
      <c r="BX31" s="14" t="n">
        <f aca="false">IF(AND(BX30=1,BW30=0),1,0)</f>
        <v>0</v>
      </c>
      <c r="BY31" s="14" t="n">
        <f aca="false">IF(AND(BY30=1,BX30=0),1,0)</f>
        <v>0</v>
      </c>
      <c r="BZ31" s="14" t="n">
        <f aca="false">IF(AND(BZ30=1,BY30=0),1,0)</f>
        <v>0</v>
      </c>
      <c r="CA31" s="14" t="n">
        <f aca="false">IF(AND(CA30=1,BZ30=0),1,0)</f>
        <v>0</v>
      </c>
      <c r="CB31" s="14" t="n">
        <f aca="false">IF(AND(CB30=1,CA30=0),1,0)</f>
        <v>0</v>
      </c>
      <c r="CC31" s="14" t="n">
        <f aca="false">IF(AND(CC30=1,CB30=0),1,0)</f>
        <v>0</v>
      </c>
      <c r="CD31" s="14" t="n">
        <f aca="false">IF(AND(CD30=1,CC30=0),1,0)</f>
        <v>0</v>
      </c>
      <c r="CE31" s="14" t="n">
        <f aca="false">IF(AND(CE30=1,CD30=0),1,0)</f>
        <v>0</v>
      </c>
      <c r="CF31" s="14" t="n">
        <f aca="false">IF(AND(CF30=1,CE30=0),1,0)</f>
        <v>0</v>
      </c>
      <c r="CG31" s="14" t="n">
        <f aca="false">IF(AND(CG30=1,CF30=0),1,0)</f>
        <v>0</v>
      </c>
      <c r="CH31" s="14" t="n">
        <f aca="false">IF(AND(CH30=1,CG30=0),1,0)</f>
        <v>0</v>
      </c>
      <c r="CI31" s="14" t="n">
        <f aca="false">IF(AND(CI30=1,CH30=0),1,0)</f>
        <v>0</v>
      </c>
      <c r="CJ31" s="14" t="n">
        <f aca="false">IF(AND(CJ30=1,CI30=0),1,0)</f>
        <v>0</v>
      </c>
      <c r="CK31" s="14" t="n">
        <f aca="false">IF(AND(CK30=1,CJ30=0),1,0)</f>
        <v>0</v>
      </c>
      <c r="CL31" s="14" t="n">
        <f aca="false">IF(AND(CL30=1,CK30=0),1,0)</f>
        <v>0</v>
      </c>
      <c r="CM31" s="14" t="n">
        <f aca="false">IF(AND(CM30=1,CL30=0),1,0)</f>
        <v>0</v>
      </c>
      <c r="CN31" s="14" t="n">
        <f aca="false">IF(AND(CN30=1,CM30=0),1,0)</f>
        <v>0</v>
      </c>
      <c r="CO31" s="14" t="n">
        <f aca="false">IF(AND(CO30=1,CN30=0),1,0)</f>
        <v>0</v>
      </c>
      <c r="CP31" s="14" t="n">
        <f aca="false">IF(AND(CP30=1,CO30=0),1,0)</f>
        <v>0</v>
      </c>
      <c r="CQ31" s="14" t="n">
        <f aca="false">IF(AND(CQ30=1,CP30=0),1,0)</f>
        <v>0</v>
      </c>
      <c r="CR31" s="14" t="n">
        <f aca="false">IF(AND(CR30=1,CQ30=0),1,0)</f>
        <v>0</v>
      </c>
      <c r="CS31" s="14" t="n">
        <f aca="false">IF(AND(CS30=1,CR30=0),1,0)</f>
        <v>0</v>
      </c>
      <c r="CT31" s="14" t="n">
        <f aca="false">IF(AND(CT30=1,CS30=0),1,0)</f>
        <v>0</v>
      </c>
      <c r="CU31" s="14" t="n">
        <f aca="false">IF(AND(CU30=1,CT30=0),1,0)</f>
        <v>0</v>
      </c>
      <c r="CV31" s="14" t="n">
        <f aca="false">IF(AND(CV30=1,CU30=0),1,0)</f>
        <v>0</v>
      </c>
      <c r="CW31" s="14" t="n">
        <f aca="false">IF(AND(CW30=1,CV30=0),1,0)</f>
        <v>0</v>
      </c>
      <c r="CX31" s="14" t="n">
        <f aca="false">IF(AND(CX30=1,CW30=0),1,0)</f>
        <v>0</v>
      </c>
      <c r="CY31" s="14" t="n">
        <f aca="false">IF(AND(CY30=1,CX30=0),1,0)</f>
        <v>0</v>
      </c>
      <c r="CZ31" s="14" t="n">
        <f aca="false">IF(AND(CZ30=1,CY30=0),1,0)</f>
        <v>0</v>
      </c>
      <c r="DA31" s="14" t="n">
        <f aca="false">IF(AND(DA30=1,CZ30=0),1,0)</f>
        <v>0</v>
      </c>
      <c r="DB31" s="14" t="n">
        <f aca="false">IF(AND(DB30=1,DA30=0),1,0)</f>
        <v>0</v>
      </c>
    </row>
    <row r="32" customFormat="false" ht="15" hidden="false" customHeight="false" outlineLevel="0" collapsed="false">
      <c r="D32" s="0" t="s">
        <v>337</v>
      </c>
      <c r="E32" s="0" t="s">
        <v>42</v>
      </c>
      <c r="J32" s="14" t="n">
        <f aca="false">IF(AND(J26=1,J8&lt;Inputs!$F$21),1,0)</f>
        <v>0</v>
      </c>
      <c r="K32" s="14" t="n">
        <f aca="false">IF(AND(K26=1,K8&lt;Inputs!$F$21),1,0)</f>
        <v>0</v>
      </c>
      <c r="L32" s="14" t="n">
        <f aca="false">IF(AND(L26=1,L8&lt;Inputs!$F$21),1,0)</f>
        <v>0</v>
      </c>
      <c r="M32" s="14" t="n">
        <f aca="false">IF(AND(M26=1,M8&lt;Inputs!$F$21),1,0)</f>
        <v>0</v>
      </c>
      <c r="N32" s="14" t="n">
        <f aca="false">IF(AND(N26=1,N8&lt;Inputs!$F$21),1,0)</f>
        <v>0</v>
      </c>
      <c r="O32" s="14" t="n">
        <f aca="false">IF(AND(O26=1,O8&lt;Inputs!$F$21),1,0)</f>
        <v>0</v>
      </c>
      <c r="P32" s="14" t="n">
        <f aca="false">IF(AND(P26=1,P8&lt;Inputs!$F$21),1,0)</f>
        <v>0</v>
      </c>
      <c r="Q32" s="14" t="n">
        <f aca="false">IF(AND(Q26=1,Q8&lt;Inputs!$F$21),1,0)</f>
        <v>0</v>
      </c>
      <c r="R32" s="14" t="n">
        <f aca="false">IF(AND(R26=1,R8&lt;Inputs!$F$21),1,0)</f>
        <v>0</v>
      </c>
      <c r="S32" s="14" t="n">
        <f aca="false">IF(AND(S26=1,S8&lt;Inputs!$F$21),1,0)</f>
        <v>0</v>
      </c>
      <c r="T32" s="14" t="n">
        <f aca="false">IF(AND(T26=1,T8&lt;Inputs!$F$21),1,0)</f>
        <v>0</v>
      </c>
      <c r="U32" s="14" t="n">
        <f aca="false">IF(AND(U26=1,U8&lt;Inputs!$F$21),1,0)</f>
        <v>0</v>
      </c>
      <c r="V32" s="14" t="n">
        <f aca="false">IF(AND(V26=1,V8&lt;Inputs!$F$21),1,0)</f>
        <v>0</v>
      </c>
      <c r="W32" s="14" t="n">
        <f aca="false">IF(AND(W26=1,W8&lt;Inputs!$F$21),1,0)</f>
        <v>0</v>
      </c>
      <c r="X32" s="14" t="n">
        <f aca="false">IF(AND(X26=1,X8&lt;Inputs!$F$21),1,0)</f>
        <v>0</v>
      </c>
      <c r="Y32" s="14" t="n">
        <f aca="false">IF(AND(Y26=1,Y8&lt;Inputs!$F$21),1,0)</f>
        <v>0</v>
      </c>
      <c r="Z32" s="14" t="n">
        <f aca="false">IF(AND(Z26=1,Z8&lt;Inputs!$F$21),1,0)</f>
        <v>1</v>
      </c>
      <c r="AA32" s="14" t="n">
        <f aca="false">IF(AND(AA26=1,AA8&lt;Inputs!$F$21),1,0)</f>
        <v>1</v>
      </c>
      <c r="AB32" s="14" t="n">
        <f aca="false">IF(AND(AB26=1,AB8&lt;Inputs!$F$21),1,0)</f>
        <v>1</v>
      </c>
      <c r="AC32" s="14" t="n">
        <f aca="false">IF(AND(AC26=1,AC8&lt;Inputs!$F$21),1,0)</f>
        <v>1</v>
      </c>
      <c r="AD32" s="14" t="n">
        <f aca="false">IF(AND(AD26=1,AD8&lt;Inputs!$F$21),1,0)</f>
        <v>0</v>
      </c>
      <c r="AE32" s="14" t="n">
        <f aca="false">IF(AND(AE26=1,AE8&lt;Inputs!$F$21),1,0)</f>
        <v>0</v>
      </c>
      <c r="AF32" s="14" t="n">
        <f aca="false">IF(AND(AF26=1,AF8&lt;Inputs!$F$21),1,0)</f>
        <v>0</v>
      </c>
      <c r="AG32" s="14" t="n">
        <f aca="false">IF(AND(AG26=1,AG8&lt;Inputs!$F$21),1,0)</f>
        <v>0</v>
      </c>
      <c r="AH32" s="14" t="n">
        <f aca="false">IF(AND(AH26=1,AH8&lt;Inputs!$F$21),1,0)</f>
        <v>0</v>
      </c>
      <c r="AI32" s="14" t="n">
        <f aca="false">IF(AND(AI26=1,AI8&lt;Inputs!$F$21),1,0)</f>
        <v>0</v>
      </c>
      <c r="AJ32" s="14" t="n">
        <f aca="false">IF(AND(AJ26=1,AJ8&lt;Inputs!$F$21),1,0)</f>
        <v>0</v>
      </c>
      <c r="AK32" s="14" t="n">
        <f aca="false">IF(AND(AK26=1,AK8&lt;Inputs!$F$21),1,0)</f>
        <v>0</v>
      </c>
      <c r="AL32" s="14" t="n">
        <f aca="false">IF(AND(AL26=1,AL8&lt;Inputs!$F$21),1,0)</f>
        <v>0</v>
      </c>
      <c r="AM32" s="14" t="n">
        <f aca="false">IF(AND(AM26=1,AM8&lt;Inputs!$F$21),1,0)</f>
        <v>0</v>
      </c>
      <c r="AN32" s="14" t="n">
        <f aca="false">IF(AND(AN26=1,AN8&lt;Inputs!$F$21),1,0)</f>
        <v>0</v>
      </c>
      <c r="AO32" s="14" t="n">
        <f aca="false">IF(AND(AO26=1,AO8&lt;Inputs!$F$21),1,0)</f>
        <v>0</v>
      </c>
      <c r="AP32" s="14" t="n">
        <f aca="false">IF(AND(AP26=1,AP8&lt;Inputs!$F$21),1,0)</f>
        <v>0</v>
      </c>
      <c r="AQ32" s="14" t="n">
        <f aca="false">IF(AND(AQ26=1,AQ8&lt;Inputs!$F$21),1,0)</f>
        <v>0</v>
      </c>
      <c r="AR32" s="14" t="n">
        <f aca="false">IF(AND(AR26=1,AR8&lt;Inputs!$F$21),1,0)</f>
        <v>0</v>
      </c>
      <c r="AS32" s="14" t="n">
        <f aca="false">IF(AND(AS26=1,AS8&lt;Inputs!$F$21),1,0)</f>
        <v>0</v>
      </c>
      <c r="AT32" s="14" t="n">
        <f aca="false">IF(AND(AT26=1,AT8&lt;Inputs!$F$21),1,0)</f>
        <v>0</v>
      </c>
      <c r="AU32" s="14" t="n">
        <f aca="false">IF(AND(AU26=1,AU8&lt;Inputs!$F$21),1,0)</f>
        <v>0</v>
      </c>
      <c r="AV32" s="14" t="n">
        <f aca="false">IF(AND(AV26=1,AV8&lt;Inputs!$F$21),1,0)</f>
        <v>0</v>
      </c>
      <c r="AW32" s="14" t="n">
        <f aca="false">IF(AND(AW26=1,AW8&lt;Inputs!$F$21),1,0)</f>
        <v>0</v>
      </c>
      <c r="AX32" s="14" t="n">
        <f aca="false">IF(AND(AX26=1,AX8&lt;Inputs!$F$21),1,0)</f>
        <v>0</v>
      </c>
      <c r="AY32" s="14" t="n">
        <f aca="false">IF(AND(AY26=1,AY8&lt;Inputs!$F$21),1,0)</f>
        <v>0</v>
      </c>
      <c r="AZ32" s="14" t="n">
        <f aca="false">IF(AND(AZ26=1,AZ8&lt;Inputs!$F$21),1,0)</f>
        <v>0</v>
      </c>
      <c r="BA32" s="14" t="n">
        <f aca="false">IF(AND(BA26=1,BA8&lt;Inputs!$F$21),1,0)</f>
        <v>0</v>
      </c>
      <c r="BB32" s="14" t="n">
        <f aca="false">IF(AND(BB26=1,BB8&lt;Inputs!$F$21),1,0)</f>
        <v>0</v>
      </c>
      <c r="BC32" s="14" t="n">
        <f aca="false">IF(AND(BC26=1,BC8&lt;Inputs!$F$21),1,0)</f>
        <v>0</v>
      </c>
      <c r="BD32" s="14" t="n">
        <f aca="false">IF(AND(BD26=1,BD8&lt;Inputs!$F$21),1,0)</f>
        <v>0</v>
      </c>
      <c r="BE32" s="14" t="n">
        <f aca="false">IF(AND(BE26=1,BE8&lt;Inputs!$F$21),1,0)</f>
        <v>0</v>
      </c>
      <c r="BF32" s="14" t="n">
        <f aca="false">IF(AND(BF26=1,BF8&lt;Inputs!$F$21),1,0)</f>
        <v>0</v>
      </c>
      <c r="BG32" s="14" t="n">
        <f aca="false">IF(AND(BG26=1,BG8&lt;Inputs!$F$21),1,0)</f>
        <v>0</v>
      </c>
      <c r="BH32" s="14" t="n">
        <f aca="false">IF(AND(BH26=1,BH8&lt;Inputs!$F$21),1,0)</f>
        <v>0</v>
      </c>
      <c r="BI32" s="14" t="n">
        <f aca="false">IF(AND(BI26=1,BI8&lt;Inputs!$F$21),1,0)</f>
        <v>0</v>
      </c>
      <c r="BJ32" s="14" t="n">
        <f aca="false">IF(AND(BJ26=1,BJ8&lt;Inputs!$F$21),1,0)</f>
        <v>0</v>
      </c>
      <c r="BK32" s="14" t="n">
        <f aca="false">IF(AND(BK26=1,BK8&lt;Inputs!$F$21),1,0)</f>
        <v>0</v>
      </c>
      <c r="BL32" s="14" t="n">
        <f aca="false">IF(AND(BL26=1,BL8&lt;Inputs!$F$21),1,0)</f>
        <v>0</v>
      </c>
      <c r="BM32" s="14" t="n">
        <f aca="false">IF(AND(BM26=1,BM8&lt;Inputs!$F$21),1,0)</f>
        <v>0</v>
      </c>
      <c r="BN32" s="14" t="n">
        <f aca="false">IF(AND(BN26=1,BN8&lt;Inputs!$F$21),1,0)</f>
        <v>0</v>
      </c>
      <c r="BO32" s="14" t="n">
        <f aca="false">IF(AND(BO26=1,BO8&lt;Inputs!$F$21),1,0)</f>
        <v>0</v>
      </c>
      <c r="BP32" s="14" t="n">
        <f aca="false">IF(AND(BP26=1,BP8&lt;Inputs!$F$21),1,0)</f>
        <v>0</v>
      </c>
      <c r="BQ32" s="14" t="n">
        <f aca="false">IF(AND(BQ26=1,BQ8&lt;Inputs!$F$21),1,0)</f>
        <v>0</v>
      </c>
      <c r="BR32" s="14" t="n">
        <f aca="false">IF(AND(BR26=1,BR8&lt;Inputs!$F$21),1,0)</f>
        <v>0</v>
      </c>
      <c r="BS32" s="14" t="n">
        <f aca="false">IF(AND(BS26=1,BS8&lt;Inputs!$F$21),1,0)</f>
        <v>0</v>
      </c>
      <c r="BT32" s="14" t="n">
        <f aca="false">IF(AND(BT26=1,BT8&lt;Inputs!$F$21),1,0)</f>
        <v>0</v>
      </c>
      <c r="BU32" s="14" t="n">
        <f aca="false">IF(AND(BU26=1,BU8&lt;Inputs!$F$21),1,0)</f>
        <v>0</v>
      </c>
      <c r="BV32" s="14" t="n">
        <f aca="false">IF(AND(BV26=1,BV8&lt;Inputs!$F$21),1,0)</f>
        <v>0</v>
      </c>
      <c r="BW32" s="14" t="n">
        <f aca="false">IF(AND(BW26=1,BW8&lt;Inputs!$F$21),1,0)</f>
        <v>0</v>
      </c>
      <c r="BX32" s="14" t="n">
        <f aca="false">IF(AND(BX26=1,BX8&lt;Inputs!$F$21),1,0)</f>
        <v>0</v>
      </c>
      <c r="BY32" s="14" t="n">
        <f aca="false">IF(AND(BY26=1,BY8&lt;Inputs!$F$21),1,0)</f>
        <v>0</v>
      </c>
      <c r="BZ32" s="14" t="n">
        <f aca="false">IF(AND(BZ26=1,BZ8&lt;Inputs!$F$21),1,0)</f>
        <v>0</v>
      </c>
      <c r="CA32" s="14" t="n">
        <f aca="false">IF(AND(CA26=1,CA8&lt;Inputs!$F$21),1,0)</f>
        <v>0</v>
      </c>
      <c r="CB32" s="14" t="n">
        <f aca="false">IF(AND(CB26=1,CB8&lt;Inputs!$F$21),1,0)</f>
        <v>0</v>
      </c>
      <c r="CC32" s="14" t="n">
        <f aca="false">IF(AND(CC26=1,CC8&lt;Inputs!$F$21),1,0)</f>
        <v>0</v>
      </c>
      <c r="CD32" s="14" t="n">
        <f aca="false">IF(AND(CD26=1,CD8&lt;Inputs!$F$21),1,0)</f>
        <v>0</v>
      </c>
      <c r="CE32" s="14" t="n">
        <f aca="false">IF(AND(CE26=1,CE8&lt;Inputs!$F$21),1,0)</f>
        <v>0</v>
      </c>
      <c r="CF32" s="14" t="n">
        <f aca="false">IF(AND(CF26=1,CF8&lt;Inputs!$F$21),1,0)</f>
        <v>0</v>
      </c>
      <c r="CG32" s="14" t="n">
        <f aca="false">IF(AND(CG26=1,CG8&lt;Inputs!$F$21),1,0)</f>
        <v>0</v>
      </c>
      <c r="CH32" s="14" t="n">
        <f aca="false">IF(AND(CH26=1,CH8&lt;Inputs!$F$21),1,0)</f>
        <v>0</v>
      </c>
      <c r="CI32" s="14" t="n">
        <f aca="false">IF(AND(CI26=1,CI8&lt;Inputs!$F$21),1,0)</f>
        <v>0</v>
      </c>
      <c r="CJ32" s="14" t="n">
        <f aca="false">IF(AND(CJ26=1,CJ8&lt;Inputs!$F$21),1,0)</f>
        <v>0</v>
      </c>
      <c r="CK32" s="14" t="n">
        <f aca="false">IF(AND(CK26=1,CK8&lt;Inputs!$F$21),1,0)</f>
        <v>0</v>
      </c>
      <c r="CL32" s="14" t="n">
        <f aca="false">IF(AND(CL26=1,CL8&lt;Inputs!$F$21),1,0)</f>
        <v>0</v>
      </c>
      <c r="CM32" s="14" t="n">
        <f aca="false">IF(AND(CM26=1,CM8&lt;Inputs!$F$21),1,0)</f>
        <v>0</v>
      </c>
      <c r="CN32" s="14" t="n">
        <f aca="false">IF(AND(CN26=1,CN8&lt;Inputs!$F$21),1,0)</f>
        <v>0</v>
      </c>
      <c r="CO32" s="14" t="n">
        <f aca="false">IF(AND(CO26=1,CO8&lt;Inputs!$F$21),1,0)</f>
        <v>0</v>
      </c>
      <c r="CP32" s="14" t="n">
        <f aca="false">IF(AND(CP26=1,CP8&lt;Inputs!$F$21),1,0)</f>
        <v>0</v>
      </c>
      <c r="CQ32" s="14" t="n">
        <f aca="false">IF(AND(CQ26=1,CQ8&lt;Inputs!$F$21),1,0)</f>
        <v>0</v>
      </c>
      <c r="CR32" s="14" t="n">
        <f aca="false">IF(AND(CR26=1,CR8&lt;Inputs!$F$21),1,0)</f>
        <v>0</v>
      </c>
      <c r="CS32" s="14" t="n">
        <f aca="false">IF(AND(CS26=1,CS8&lt;Inputs!$F$21),1,0)</f>
        <v>0</v>
      </c>
      <c r="CT32" s="14" t="n">
        <f aca="false">IF(AND(CT26=1,CT8&lt;Inputs!$F$21),1,0)</f>
        <v>0</v>
      </c>
      <c r="CU32" s="14" t="n">
        <f aca="false">IF(AND(CU26=1,CU8&lt;Inputs!$F$21),1,0)</f>
        <v>0</v>
      </c>
      <c r="CV32" s="14" t="n">
        <f aca="false">IF(AND(CV26=1,CV8&lt;Inputs!$F$21),1,0)</f>
        <v>0</v>
      </c>
      <c r="CW32" s="14" t="n">
        <f aca="false">IF(AND(CW26=1,CW8&lt;Inputs!$F$21),1,0)</f>
        <v>0</v>
      </c>
      <c r="CX32" s="14" t="n">
        <f aca="false">IF(AND(CX26=1,CX8&lt;Inputs!$F$21),1,0)</f>
        <v>0</v>
      </c>
      <c r="CY32" s="14" t="n">
        <f aca="false">IF(AND(CY26=1,CY8&lt;Inputs!$F$21),1,0)</f>
        <v>0</v>
      </c>
      <c r="CZ32" s="14" t="n">
        <f aca="false">IF(AND(CZ26=1,CZ8&lt;Inputs!$F$21),1,0)</f>
        <v>0</v>
      </c>
      <c r="DA32" s="14" t="n">
        <f aca="false">IF(AND(DA26=1,DA8&lt;Inputs!$F$21),1,0)</f>
        <v>0</v>
      </c>
      <c r="DB32" s="14" t="n">
        <f aca="false">IF(AND(DB26=1,DB8&lt;Inputs!$F$21),1,0)</f>
        <v>0</v>
      </c>
    </row>
    <row r="33" customFormat="false" ht="15" hidden="false" customHeight="false" outlineLevel="0" collapsed="false">
      <c r="D33" s="0" t="s">
        <v>338</v>
      </c>
      <c r="E33" s="0" t="s">
        <v>42</v>
      </c>
      <c r="J33" s="14" t="n">
        <f aca="false">IF(J8&lt;Inputs!$F$21,1,0)</f>
        <v>1</v>
      </c>
      <c r="K33" s="14" t="n">
        <f aca="false">IF(K8&lt;Inputs!$F$21,1,0)</f>
        <v>1</v>
      </c>
      <c r="L33" s="14" t="n">
        <f aca="false">IF(L8&lt;Inputs!$F$21,1,0)</f>
        <v>1</v>
      </c>
      <c r="M33" s="14" t="n">
        <f aca="false">IF(M8&lt;Inputs!$F$21,1,0)</f>
        <v>1</v>
      </c>
      <c r="N33" s="14" t="n">
        <f aca="false">IF(N8&lt;Inputs!$F$21,1,0)</f>
        <v>1</v>
      </c>
      <c r="O33" s="14" t="n">
        <f aca="false">IF(O8&lt;Inputs!$F$21,1,0)</f>
        <v>1</v>
      </c>
      <c r="P33" s="14" t="n">
        <f aca="false">IF(P8&lt;Inputs!$F$21,1,0)</f>
        <v>1</v>
      </c>
      <c r="Q33" s="14" t="n">
        <f aca="false">IF(Q8&lt;Inputs!$F$21,1,0)</f>
        <v>1</v>
      </c>
      <c r="R33" s="14" t="n">
        <f aca="false">IF(R8&lt;Inputs!$F$21,1,0)</f>
        <v>1</v>
      </c>
      <c r="S33" s="14" t="n">
        <f aca="false">IF(S8&lt;Inputs!$F$21,1,0)</f>
        <v>1</v>
      </c>
      <c r="T33" s="14" t="n">
        <f aca="false">IF(T8&lt;Inputs!$F$21,1,0)</f>
        <v>1</v>
      </c>
      <c r="U33" s="14" t="n">
        <f aca="false">IF(U8&lt;Inputs!$F$21,1,0)</f>
        <v>1</v>
      </c>
      <c r="V33" s="14" t="n">
        <f aca="false">IF(V8&lt;Inputs!$F$21,1,0)</f>
        <v>1</v>
      </c>
      <c r="W33" s="14" t="n">
        <f aca="false">IF(W8&lt;Inputs!$F$21,1,0)</f>
        <v>1</v>
      </c>
      <c r="X33" s="14" t="n">
        <f aca="false">IF(X8&lt;Inputs!$F$21,1,0)</f>
        <v>1</v>
      </c>
      <c r="Y33" s="14" t="n">
        <f aca="false">IF(Y8&lt;Inputs!$F$21,1,0)</f>
        <v>1</v>
      </c>
      <c r="Z33" s="14" t="n">
        <f aca="false">IF(Z8&lt;Inputs!$F$21,1,0)</f>
        <v>1</v>
      </c>
      <c r="AA33" s="14" t="n">
        <f aca="false">IF(AA8&lt;Inputs!$F$21,1,0)</f>
        <v>1</v>
      </c>
      <c r="AB33" s="14" t="n">
        <f aca="false">IF(AB8&lt;Inputs!$F$21,1,0)</f>
        <v>1</v>
      </c>
      <c r="AC33" s="14" t="n">
        <f aca="false">IF(AC8&lt;Inputs!$F$21,1,0)</f>
        <v>1</v>
      </c>
      <c r="AD33" s="14" t="n">
        <f aca="false">IF(AD8&lt;Inputs!$F$21,1,0)</f>
        <v>0</v>
      </c>
      <c r="AE33" s="14" t="n">
        <f aca="false">IF(AE8&lt;Inputs!$F$21,1,0)</f>
        <v>0</v>
      </c>
      <c r="AF33" s="14" t="n">
        <f aca="false">IF(AF8&lt;Inputs!$F$21,1,0)</f>
        <v>0</v>
      </c>
      <c r="AG33" s="14" t="n">
        <f aca="false">IF(AG8&lt;Inputs!$F$21,1,0)</f>
        <v>0</v>
      </c>
      <c r="AH33" s="14" t="n">
        <f aca="false">IF(AH8&lt;Inputs!$F$21,1,0)</f>
        <v>0</v>
      </c>
      <c r="AI33" s="14" t="n">
        <f aca="false">IF(AI8&lt;Inputs!$F$21,1,0)</f>
        <v>0</v>
      </c>
      <c r="AJ33" s="14" t="n">
        <f aca="false">IF(AJ8&lt;Inputs!$F$21,1,0)</f>
        <v>0</v>
      </c>
      <c r="AK33" s="14" t="n">
        <f aca="false">IF(AK8&lt;Inputs!$F$21,1,0)</f>
        <v>0</v>
      </c>
      <c r="AL33" s="14" t="n">
        <f aca="false">IF(AL8&lt;Inputs!$F$21,1,0)</f>
        <v>0</v>
      </c>
      <c r="AM33" s="14" t="n">
        <f aca="false">IF(AM8&lt;Inputs!$F$21,1,0)</f>
        <v>0</v>
      </c>
      <c r="AN33" s="14" t="n">
        <f aca="false">IF(AN8&lt;Inputs!$F$21,1,0)</f>
        <v>0</v>
      </c>
      <c r="AO33" s="14" t="n">
        <f aca="false">IF(AO8&lt;Inputs!$F$21,1,0)</f>
        <v>0</v>
      </c>
      <c r="AP33" s="14" t="n">
        <f aca="false">IF(AP8&lt;Inputs!$F$21,1,0)</f>
        <v>0</v>
      </c>
      <c r="AQ33" s="14" t="n">
        <f aca="false">IF(AQ8&lt;Inputs!$F$21,1,0)</f>
        <v>0</v>
      </c>
      <c r="AR33" s="14" t="n">
        <f aca="false">IF(AR8&lt;Inputs!$F$21,1,0)</f>
        <v>0</v>
      </c>
      <c r="AS33" s="14" t="n">
        <f aca="false">IF(AS8&lt;Inputs!$F$21,1,0)</f>
        <v>0</v>
      </c>
      <c r="AT33" s="14" t="n">
        <f aca="false">IF(AT8&lt;Inputs!$F$21,1,0)</f>
        <v>0</v>
      </c>
      <c r="AU33" s="14" t="n">
        <f aca="false">IF(AU8&lt;Inputs!$F$21,1,0)</f>
        <v>0</v>
      </c>
      <c r="AV33" s="14" t="n">
        <f aca="false">IF(AV8&lt;Inputs!$F$21,1,0)</f>
        <v>0</v>
      </c>
      <c r="AW33" s="14" t="n">
        <f aca="false">IF(AW8&lt;Inputs!$F$21,1,0)</f>
        <v>0</v>
      </c>
      <c r="AX33" s="14" t="n">
        <f aca="false">IF(AX8&lt;Inputs!$F$21,1,0)</f>
        <v>0</v>
      </c>
      <c r="AY33" s="14" t="n">
        <f aca="false">IF(AY8&lt;Inputs!$F$21,1,0)</f>
        <v>0</v>
      </c>
      <c r="AZ33" s="14" t="n">
        <f aca="false">IF(AZ8&lt;Inputs!$F$21,1,0)</f>
        <v>0</v>
      </c>
      <c r="BA33" s="14" t="n">
        <f aca="false">IF(BA8&lt;Inputs!$F$21,1,0)</f>
        <v>0</v>
      </c>
      <c r="BB33" s="14" t="n">
        <f aca="false">IF(BB8&lt;Inputs!$F$21,1,0)</f>
        <v>0</v>
      </c>
      <c r="BC33" s="14" t="n">
        <f aca="false">IF(BC8&lt;Inputs!$F$21,1,0)</f>
        <v>0</v>
      </c>
      <c r="BD33" s="14" t="n">
        <f aca="false">IF(BD8&lt;Inputs!$F$21,1,0)</f>
        <v>0</v>
      </c>
      <c r="BE33" s="14" t="n">
        <f aca="false">IF(BE8&lt;Inputs!$F$21,1,0)</f>
        <v>0</v>
      </c>
      <c r="BF33" s="14" t="n">
        <f aca="false">IF(BF8&lt;Inputs!$F$21,1,0)</f>
        <v>0</v>
      </c>
      <c r="BG33" s="14" t="n">
        <f aca="false">IF(BG8&lt;Inputs!$F$21,1,0)</f>
        <v>0</v>
      </c>
      <c r="BH33" s="14" t="n">
        <f aca="false">IF(BH8&lt;Inputs!$F$21,1,0)</f>
        <v>0</v>
      </c>
      <c r="BI33" s="14" t="n">
        <f aca="false">IF(BI8&lt;Inputs!$F$21,1,0)</f>
        <v>0</v>
      </c>
      <c r="BJ33" s="14" t="n">
        <f aca="false">IF(BJ8&lt;Inputs!$F$21,1,0)</f>
        <v>0</v>
      </c>
      <c r="BK33" s="14" t="n">
        <f aca="false">IF(BK8&lt;Inputs!$F$21,1,0)</f>
        <v>0</v>
      </c>
      <c r="BL33" s="14" t="n">
        <f aca="false">IF(BL8&lt;Inputs!$F$21,1,0)</f>
        <v>0</v>
      </c>
      <c r="BM33" s="14" t="n">
        <f aca="false">IF(BM8&lt;Inputs!$F$21,1,0)</f>
        <v>0</v>
      </c>
      <c r="BN33" s="14" t="n">
        <f aca="false">IF(BN8&lt;Inputs!$F$21,1,0)</f>
        <v>0</v>
      </c>
      <c r="BO33" s="14" t="n">
        <f aca="false">IF(BO8&lt;Inputs!$F$21,1,0)</f>
        <v>0</v>
      </c>
      <c r="BP33" s="14" t="n">
        <f aca="false">IF(BP8&lt;Inputs!$F$21,1,0)</f>
        <v>0</v>
      </c>
      <c r="BQ33" s="14" t="n">
        <f aca="false">IF(BQ8&lt;Inputs!$F$21,1,0)</f>
        <v>0</v>
      </c>
      <c r="BR33" s="14" t="n">
        <f aca="false">IF(BR8&lt;Inputs!$F$21,1,0)</f>
        <v>0</v>
      </c>
      <c r="BS33" s="14" t="n">
        <f aca="false">IF(BS8&lt;Inputs!$F$21,1,0)</f>
        <v>0</v>
      </c>
      <c r="BT33" s="14" t="n">
        <f aca="false">IF(BT8&lt;Inputs!$F$21,1,0)</f>
        <v>0</v>
      </c>
      <c r="BU33" s="14" t="n">
        <f aca="false">IF(BU8&lt;Inputs!$F$21,1,0)</f>
        <v>0</v>
      </c>
      <c r="BV33" s="14" t="n">
        <f aca="false">IF(BV8&lt;Inputs!$F$21,1,0)</f>
        <v>0</v>
      </c>
      <c r="BW33" s="14" t="n">
        <f aca="false">IF(BW8&lt;Inputs!$F$21,1,0)</f>
        <v>0</v>
      </c>
      <c r="BX33" s="14" t="n">
        <f aca="false">IF(BX8&lt;Inputs!$F$21,1,0)</f>
        <v>0</v>
      </c>
      <c r="BY33" s="14" t="n">
        <f aca="false">IF(BY8&lt;Inputs!$F$21,1,0)</f>
        <v>0</v>
      </c>
      <c r="BZ33" s="14" t="n">
        <f aca="false">IF(BZ8&lt;Inputs!$F$21,1,0)</f>
        <v>0</v>
      </c>
      <c r="CA33" s="14" t="n">
        <f aca="false">IF(CA8&lt;Inputs!$F$21,1,0)</f>
        <v>0</v>
      </c>
      <c r="CB33" s="14" t="n">
        <f aca="false">IF(CB8&lt;Inputs!$F$21,1,0)</f>
        <v>0</v>
      </c>
      <c r="CC33" s="14" t="n">
        <f aca="false">IF(CC8&lt;Inputs!$F$21,1,0)</f>
        <v>0</v>
      </c>
      <c r="CD33" s="14" t="n">
        <f aca="false">IF(CD8&lt;Inputs!$F$21,1,0)</f>
        <v>0</v>
      </c>
      <c r="CE33" s="14" t="n">
        <f aca="false">IF(CE8&lt;Inputs!$F$21,1,0)</f>
        <v>0</v>
      </c>
      <c r="CF33" s="14" t="n">
        <f aca="false">IF(CF8&lt;Inputs!$F$21,1,0)</f>
        <v>0</v>
      </c>
      <c r="CG33" s="14" t="n">
        <f aca="false">IF(CG8&lt;Inputs!$F$21,1,0)</f>
        <v>0</v>
      </c>
      <c r="CH33" s="14" t="n">
        <f aca="false">IF(CH8&lt;Inputs!$F$21,1,0)</f>
        <v>0</v>
      </c>
      <c r="CI33" s="14" t="n">
        <f aca="false">IF(CI8&lt;Inputs!$F$21,1,0)</f>
        <v>0</v>
      </c>
      <c r="CJ33" s="14" t="n">
        <f aca="false">IF(CJ8&lt;Inputs!$F$21,1,0)</f>
        <v>0</v>
      </c>
      <c r="CK33" s="14" t="n">
        <f aca="false">IF(CK8&lt;Inputs!$F$21,1,0)</f>
        <v>0</v>
      </c>
      <c r="CL33" s="14" t="n">
        <f aca="false">IF(CL8&lt;Inputs!$F$21,1,0)</f>
        <v>0</v>
      </c>
      <c r="CM33" s="14" t="n">
        <f aca="false">IF(CM8&lt;Inputs!$F$21,1,0)</f>
        <v>0</v>
      </c>
      <c r="CN33" s="14" t="n">
        <f aca="false">IF(CN8&lt;Inputs!$F$21,1,0)</f>
        <v>0</v>
      </c>
      <c r="CO33" s="14" t="n">
        <f aca="false">IF(CO8&lt;Inputs!$F$21,1,0)</f>
        <v>0</v>
      </c>
      <c r="CP33" s="14" t="n">
        <f aca="false">IF(CP8&lt;Inputs!$F$21,1,0)</f>
        <v>0</v>
      </c>
      <c r="CQ33" s="14" t="n">
        <f aca="false">IF(CQ8&lt;Inputs!$F$21,1,0)</f>
        <v>0</v>
      </c>
      <c r="CR33" s="14" t="n">
        <f aca="false">IF(CR8&lt;Inputs!$F$21,1,0)</f>
        <v>0</v>
      </c>
      <c r="CS33" s="14" t="n">
        <f aca="false">IF(CS8&lt;Inputs!$F$21,1,0)</f>
        <v>0</v>
      </c>
      <c r="CT33" s="14" t="n">
        <f aca="false">IF(CT8&lt;Inputs!$F$21,1,0)</f>
        <v>0</v>
      </c>
      <c r="CU33" s="14" t="n">
        <f aca="false">IF(CU8&lt;Inputs!$F$21,1,0)</f>
        <v>0</v>
      </c>
      <c r="CV33" s="14" t="n">
        <f aca="false">IF(CV8&lt;Inputs!$F$21,1,0)</f>
        <v>0</v>
      </c>
      <c r="CW33" s="14" t="n">
        <f aca="false">IF(CW8&lt;Inputs!$F$21,1,0)</f>
        <v>0</v>
      </c>
      <c r="CX33" s="14" t="n">
        <f aca="false">IF(CX8&lt;Inputs!$F$21,1,0)</f>
        <v>0</v>
      </c>
      <c r="CY33" s="14" t="n">
        <f aca="false">IF(CY8&lt;Inputs!$F$21,1,0)</f>
        <v>0</v>
      </c>
      <c r="CZ33" s="14" t="n">
        <f aca="false">IF(CZ8&lt;Inputs!$F$21,1,0)</f>
        <v>0</v>
      </c>
      <c r="DA33" s="14" t="n">
        <f aca="false">IF(DA8&lt;Inputs!$F$21,1,0)</f>
        <v>0</v>
      </c>
      <c r="DB33" s="14" t="n">
        <f aca="false">IF(DB8&lt;Inputs!$F$21,1,0)</f>
        <v>0</v>
      </c>
    </row>
    <row r="34" customFormat="false" ht="15" hidden="false" customHeight="false" outlineLevel="0" collapsed="false">
      <c r="D34" s="0" t="s">
        <v>339</v>
      </c>
      <c r="E34" s="0" t="s">
        <v>42</v>
      </c>
      <c r="J34" s="14" t="n">
        <f aca="false">IF(AND(Inputs!$F$213=1,J8&gt;=Inputs!$F$21,J8&lt;=Inputs!$F$20),1,0)</f>
        <v>0</v>
      </c>
      <c r="K34" s="14" t="n">
        <f aca="false">IF(AND(Inputs!$F$213=1,K8&gt;=Inputs!$F$21,K8&lt;=Inputs!$F$20),1,0)</f>
        <v>0</v>
      </c>
      <c r="L34" s="14" t="n">
        <f aca="false">IF(AND(Inputs!$F$213=1,L8&gt;=Inputs!$F$21,L8&lt;=Inputs!$F$20),1,0)</f>
        <v>0</v>
      </c>
      <c r="M34" s="14" t="n">
        <f aca="false">IF(AND(Inputs!$F$213=1,M8&gt;=Inputs!$F$21,M8&lt;=Inputs!$F$20),1,0)</f>
        <v>0</v>
      </c>
      <c r="N34" s="14" t="n">
        <f aca="false">IF(AND(Inputs!$F$213=1,N8&gt;=Inputs!$F$21,N8&lt;=Inputs!$F$20),1,0)</f>
        <v>0</v>
      </c>
      <c r="O34" s="14" t="n">
        <f aca="false">IF(AND(Inputs!$F$213=1,O8&gt;=Inputs!$F$21,O8&lt;=Inputs!$F$20),1,0)</f>
        <v>0</v>
      </c>
      <c r="P34" s="14" t="n">
        <f aca="false">IF(AND(Inputs!$F$213=1,P8&gt;=Inputs!$F$21,P8&lt;=Inputs!$F$20),1,0)</f>
        <v>0</v>
      </c>
      <c r="Q34" s="14" t="n">
        <f aca="false">IF(AND(Inputs!$F$213=1,Q8&gt;=Inputs!$F$21,Q8&lt;=Inputs!$F$20),1,0)</f>
        <v>0</v>
      </c>
      <c r="R34" s="14" t="n">
        <f aca="false">IF(AND(Inputs!$F$213=1,R8&gt;=Inputs!$F$21,R8&lt;=Inputs!$F$20),1,0)</f>
        <v>0</v>
      </c>
      <c r="S34" s="14" t="n">
        <f aca="false">IF(AND(Inputs!$F$213=1,S8&gt;=Inputs!$F$21,S8&lt;=Inputs!$F$20),1,0)</f>
        <v>0</v>
      </c>
      <c r="T34" s="14" t="n">
        <f aca="false">IF(AND(Inputs!$F$213=1,T8&gt;=Inputs!$F$21,T8&lt;=Inputs!$F$20),1,0)</f>
        <v>0</v>
      </c>
      <c r="U34" s="14" t="n">
        <f aca="false">IF(AND(Inputs!$F$213=1,U8&gt;=Inputs!$F$21,U8&lt;=Inputs!$F$20),1,0)</f>
        <v>0</v>
      </c>
      <c r="V34" s="14" t="n">
        <f aca="false">IF(AND(Inputs!$F$213=1,V8&gt;=Inputs!$F$21,V8&lt;=Inputs!$F$20),1,0)</f>
        <v>0</v>
      </c>
      <c r="W34" s="14" t="n">
        <f aca="false">IF(AND(Inputs!$F$213=1,W8&gt;=Inputs!$F$21,W8&lt;=Inputs!$F$20),1,0)</f>
        <v>0</v>
      </c>
      <c r="X34" s="14" t="n">
        <f aca="false">IF(AND(Inputs!$F$213=1,X8&gt;=Inputs!$F$21,X8&lt;=Inputs!$F$20),1,0)</f>
        <v>0</v>
      </c>
      <c r="Y34" s="14" t="n">
        <f aca="false">IF(AND(Inputs!$F$213=1,Y8&gt;=Inputs!$F$21,Y8&lt;=Inputs!$F$20),1,0)</f>
        <v>0</v>
      </c>
      <c r="Z34" s="14" t="n">
        <f aca="false">IF(AND(Inputs!$F$213=1,Z8&gt;=Inputs!$F$21,Z8&lt;=Inputs!$F$20),1,0)</f>
        <v>0</v>
      </c>
      <c r="AA34" s="14" t="n">
        <f aca="false">IF(AND(Inputs!$F$213=1,AA8&gt;=Inputs!$F$21,AA8&lt;=Inputs!$F$20),1,0)</f>
        <v>0</v>
      </c>
      <c r="AB34" s="14" t="n">
        <f aca="false">IF(AND(Inputs!$F$213=1,AB8&gt;=Inputs!$F$21,AB8&lt;=Inputs!$F$20),1,0)</f>
        <v>0</v>
      </c>
      <c r="AC34" s="14" t="n">
        <f aca="false">IF(AND(Inputs!$F$213=1,AC8&gt;=Inputs!$F$21,AC8&lt;=Inputs!$F$20),1,0)</f>
        <v>0</v>
      </c>
      <c r="AD34" s="14" t="n">
        <f aca="false">IF(AND(Inputs!$F$213=1,AD8&gt;=Inputs!$F$21,AD8&lt;=Inputs!$F$20),1,0)</f>
        <v>0</v>
      </c>
      <c r="AE34" s="14" t="n">
        <f aca="false">IF(AND(Inputs!$F$213=1,AE8&gt;=Inputs!$F$21,AE8&lt;=Inputs!$F$20),1,0)</f>
        <v>0</v>
      </c>
      <c r="AF34" s="14" t="n">
        <f aca="false">IF(AND(Inputs!$F$213=1,AF8&gt;=Inputs!$F$21,AF8&lt;=Inputs!$F$20),1,0)</f>
        <v>0</v>
      </c>
      <c r="AG34" s="14" t="n">
        <f aca="false">IF(AND(Inputs!$F$213=1,AG8&gt;=Inputs!$F$21,AG8&lt;=Inputs!$F$20),1,0)</f>
        <v>0</v>
      </c>
      <c r="AH34" s="14" t="n">
        <f aca="false">IF(AND(Inputs!$F$213=1,AH8&gt;=Inputs!$F$21,AH8&lt;=Inputs!$F$20),1,0)</f>
        <v>0</v>
      </c>
      <c r="AI34" s="14" t="n">
        <f aca="false">IF(AND(Inputs!$F$213=1,AI8&gt;=Inputs!$F$21,AI8&lt;=Inputs!$F$20),1,0)</f>
        <v>0</v>
      </c>
      <c r="AJ34" s="14" t="n">
        <f aca="false">IF(AND(Inputs!$F$213=1,AJ8&gt;=Inputs!$F$21,AJ8&lt;=Inputs!$F$20),1,0)</f>
        <v>0</v>
      </c>
      <c r="AK34" s="14" t="n">
        <f aca="false">IF(AND(Inputs!$F$213=1,AK8&gt;=Inputs!$F$21,AK8&lt;=Inputs!$F$20),1,0)</f>
        <v>0</v>
      </c>
      <c r="AL34" s="14" t="n">
        <f aca="false">IF(AND(Inputs!$F$213=1,AL8&gt;=Inputs!$F$21,AL8&lt;=Inputs!$F$20),1,0)</f>
        <v>0</v>
      </c>
      <c r="AM34" s="14" t="n">
        <f aca="false">IF(AND(Inputs!$F$213=1,AM8&gt;=Inputs!$F$21,AM8&lt;=Inputs!$F$20),1,0)</f>
        <v>0</v>
      </c>
      <c r="AN34" s="14" t="n">
        <f aca="false">IF(AND(Inputs!$F$213=1,AN8&gt;=Inputs!$F$21,AN8&lt;=Inputs!$F$20),1,0)</f>
        <v>0</v>
      </c>
      <c r="AO34" s="14" t="n">
        <f aca="false">IF(AND(Inputs!$F$213=1,AO8&gt;=Inputs!$F$21,AO8&lt;=Inputs!$F$20),1,0)</f>
        <v>0</v>
      </c>
      <c r="AP34" s="14" t="n">
        <f aca="false">IF(AND(Inputs!$F$213=1,AP8&gt;=Inputs!$F$21,AP8&lt;=Inputs!$F$20),1,0)</f>
        <v>0</v>
      </c>
      <c r="AQ34" s="14" t="n">
        <f aca="false">IF(AND(Inputs!$F$213=1,AQ8&gt;=Inputs!$F$21,AQ8&lt;=Inputs!$F$20),1,0)</f>
        <v>0</v>
      </c>
      <c r="AR34" s="14" t="n">
        <f aca="false">IF(AND(Inputs!$F$213=1,AR8&gt;=Inputs!$F$21,AR8&lt;=Inputs!$F$20),1,0)</f>
        <v>0</v>
      </c>
      <c r="AS34" s="14" t="n">
        <f aca="false">IF(AND(Inputs!$F$213=1,AS8&gt;=Inputs!$F$21,AS8&lt;=Inputs!$F$20),1,0)</f>
        <v>0</v>
      </c>
      <c r="AT34" s="14" t="n">
        <f aca="false">IF(AND(Inputs!$F$213=1,AT8&gt;=Inputs!$F$21,AT8&lt;=Inputs!$F$20),1,0)</f>
        <v>0</v>
      </c>
      <c r="AU34" s="14" t="n">
        <f aca="false">IF(AND(Inputs!$F$213=1,AU8&gt;=Inputs!$F$21,AU8&lt;=Inputs!$F$20),1,0)</f>
        <v>0</v>
      </c>
      <c r="AV34" s="14" t="n">
        <f aca="false">IF(AND(Inputs!$F$213=1,AV8&gt;=Inputs!$F$21,AV8&lt;=Inputs!$F$20),1,0)</f>
        <v>0</v>
      </c>
      <c r="AW34" s="14" t="n">
        <f aca="false">IF(AND(Inputs!$F$213=1,AW8&gt;=Inputs!$F$21,AW8&lt;=Inputs!$F$20),1,0)</f>
        <v>0</v>
      </c>
      <c r="AX34" s="14" t="n">
        <f aca="false">IF(AND(Inputs!$F$213=1,AX8&gt;=Inputs!$F$21,AX8&lt;=Inputs!$F$20),1,0)</f>
        <v>0</v>
      </c>
      <c r="AY34" s="14" t="n">
        <f aca="false">IF(AND(Inputs!$F$213=1,AY8&gt;=Inputs!$F$21,AY8&lt;=Inputs!$F$20),1,0)</f>
        <v>0</v>
      </c>
      <c r="AZ34" s="14" t="n">
        <f aca="false">IF(AND(Inputs!$F$213=1,AZ8&gt;=Inputs!$F$21,AZ8&lt;=Inputs!$F$20),1,0)</f>
        <v>0</v>
      </c>
      <c r="BA34" s="14" t="n">
        <f aca="false">IF(AND(Inputs!$F$213=1,BA8&gt;=Inputs!$F$21,BA8&lt;=Inputs!$F$20),1,0)</f>
        <v>0</v>
      </c>
      <c r="BB34" s="14" t="n">
        <f aca="false">IF(AND(Inputs!$F$213=1,BB8&gt;=Inputs!$F$21,BB8&lt;=Inputs!$F$20),1,0)</f>
        <v>0</v>
      </c>
      <c r="BC34" s="14" t="n">
        <f aca="false">IF(AND(Inputs!$F$213=1,BC8&gt;=Inputs!$F$21,BC8&lt;=Inputs!$F$20),1,0)</f>
        <v>0</v>
      </c>
      <c r="BD34" s="14" t="n">
        <f aca="false">IF(AND(Inputs!$F$213=1,BD8&gt;=Inputs!$F$21,BD8&lt;=Inputs!$F$20),1,0)</f>
        <v>0</v>
      </c>
      <c r="BE34" s="14" t="n">
        <f aca="false">IF(AND(Inputs!$F$213=1,BE8&gt;=Inputs!$F$21,BE8&lt;=Inputs!$F$20),1,0)</f>
        <v>0</v>
      </c>
      <c r="BF34" s="14" t="n">
        <f aca="false">IF(AND(Inputs!$F$213=1,BF8&gt;=Inputs!$F$21,BF8&lt;=Inputs!$F$20),1,0)</f>
        <v>0</v>
      </c>
      <c r="BG34" s="14" t="n">
        <f aca="false">IF(AND(Inputs!$F$213=1,BG8&gt;=Inputs!$F$21,BG8&lt;=Inputs!$F$20),1,0)</f>
        <v>0</v>
      </c>
      <c r="BH34" s="14" t="n">
        <f aca="false">IF(AND(Inputs!$F$213=1,BH8&gt;=Inputs!$F$21,BH8&lt;=Inputs!$F$20),1,0)</f>
        <v>0</v>
      </c>
      <c r="BI34" s="14" t="n">
        <f aca="false">IF(AND(Inputs!$F$213=1,BI8&gt;=Inputs!$F$21,BI8&lt;=Inputs!$F$20),1,0)</f>
        <v>0</v>
      </c>
      <c r="BJ34" s="14" t="n">
        <f aca="false">IF(AND(Inputs!$F$213=1,BJ8&gt;=Inputs!$F$21,BJ8&lt;=Inputs!$F$20),1,0)</f>
        <v>0</v>
      </c>
      <c r="BK34" s="14" t="n">
        <f aca="false">IF(AND(Inputs!$F$213=1,BK8&gt;=Inputs!$F$21,BK8&lt;=Inputs!$F$20),1,0)</f>
        <v>0</v>
      </c>
      <c r="BL34" s="14" t="n">
        <f aca="false">IF(AND(Inputs!$F$213=1,BL8&gt;=Inputs!$F$21,BL8&lt;=Inputs!$F$20),1,0)</f>
        <v>0</v>
      </c>
      <c r="BM34" s="14" t="n">
        <f aca="false">IF(AND(Inputs!$F$213=1,BM8&gt;=Inputs!$F$21,BM8&lt;=Inputs!$F$20),1,0)</f>
        <v>0</v>
      </c>
      <c r="BN34" s="14" t="n">
        <f aca="false">IF(AND(Inputs!$F$213=1,BN8&gt;=Inputs!$F$21,BN8&lt;=Inputs!$F$20),1,0)</f>
        <v>0</v>
      </c>
      <c r="BO34" s="14" t="n">
        <f aca="false">IF(AND(Inputs!$F$213=1,BO8&gt;=Inputs!$F$21,BO8&lt;=Inputs!$F$20),1,0)</f>
        <v>0</v>
      </c>
      <c r="BP34" s="14" t="n">
        <f aca="false">IF(AND(Inputs!$F$213=1,BP8&gt;=Inputs!$F$21,BP8&lt;=Inputs!$F$20),1,0)</f>
        <v>0</v>
      </c>
      <c r="BQ34" s="14" t="n">
        <f aca="false">IF(AND(Inputs!$F$213=1,BQ8&gt;=Inputs!$F$21,BQ8&lt;=Inputs!$F$20),1,0)</f>
        <v>0</v>
      </c>
      <c r="BR34" s="14" t="n">
        <f aca="false">IF(AND(Inputs!$F$213=1,BR8&gt;=Inputs!$F$21,BR8&lt;=Inputs!$F$20),1,0)</f>
        <v>0</v>
      </c>
      <c r="BS34" s="14" t="n">
        <f aca="false">IF(AND(Inputs!$F$213=1,BS8&gt;=Inputs!$F$21,BS8&lt;=Inputs!$F$20),1,0)</f>
        <v>0</v>
      </c>
      <c r="BT34" s="14" t="n">
        <f aca="false">IF(AND(Inputs!$F$213=1,BT8&gt;=Inputs!$F$21,BT8&lt;=Inputs!$F$20),1,0)</f>
        <v>0</v>
      </c>
      <c r="BU34" s="14" t="n">
        <f aca="false">IF(AND(Inputs!$F$213=1,BU8&gt;=Inputs!$F$21,BU8&lt;=Inputs!$F$20),1,0)</f>
        <v>0</v>
      </c>
      <c r="BV34" s="14" t="n">
        <f aca="false">IF(AND(Inputs!$F$213=1,BV8&gt;=Inputs!$F$21,BV8&lt;=Inputs!$F$20),1,0)</f>
        <v>0</v>
      </c>
      <c r="BW34" s="14" t="n">
        <f aca="false">IF(AND(Inputs!$F$213=1,BW8&gt;=Inputs!$F$21,BW8&lt;=Inputs!$F$20),1,0)</f>
        <v>0</v>
      </c>
      <c r="BX34" s="14" t="n">
        <f aca="false">IF(AND(Inputs!$F$213=1,BX8&gt;=Inputs!$F$21,BX8&lt;=Inputs!$F$20),1,0)</f>
        <v>0</v>
      </c>
      <c r="BY34" s="14" t="n">
        <f aca="false">IF(AND(Inputs!$F$213=1,BY8&gt;=Inputs!$F$21,BY8&lt;=Inputs!$F$20),1,0)</f>
        <v>0</v>
      </c>
      <c r="BZ34" s="14" t="n">
        <f aca="false">IF(AND(Inputs!$F$213=1,BZ8&gt;=Inputs!$F$21,BZ8&lt;=Inputs!$F$20),1,0)</f>
        <v>0</v>
      </c>
      <c r="CA34" s="14" t="n">
        <f aca="false">IF(AND(Inputs!$F$213=1,CA8&gt;=Inputs!$F$21,CA8&lt;=Inputs!$F$20),1,0)</f>
        <v>0</v>
      </c>
      <c r="CB34" s="14" t="n">
        <f aca="false">IF(AND(Inputs!$F$213=1,CB8&gt;=Inputs!$F$21,CB8&lt;=Inputs!$F$20),1,0)</f>
        <v>0</v>
      </c>
      <c r="CC34" s="14" t="n">
        <f aca="false">IF(AND(Inputs!$F$213=1,CC8&gt;=Inputs!$F$21,CC8&lt;=Inputs!$F$20),1,0)</f>
        <v>0</v>
      </c>
      <c r="CD34" s="14" t="n">
        <f aca="false">IF(AND(Inputs!$F$213=1,CD8&gt;=Inputs!$F$21,CD8&lt;=Inputs!$F$20),1,0)</f>
        <v>0</v>
      </c>
      <c r="CE34" s="14" t="n">
        <f aca="false">IF(AND(Inputs!$F$213=1,CE8&gt;=Inputs!$F$21,CE8&lt;=Inputs!$F$20),1,0)</f>
        <v>0</v>
      </c>
      <c r="CF34" s="14" t="n">
        <f aca="false">IF(AND(Inputs!$F$213=1,CF8&gt;=Inputs!$F$21,CF8&lt;=Inputs!$F$20),1,0)</f>
        <v>0</v>
      </c>
      <c r="CG34" s="14" t="n">
        <f aca="false">IF(AND(Inputs!$F$213=1,CG8&gt;=Inputs!$F$21,CG8&lt;=Inputs!$F$20),1,0)</f>
        <v>0</v>
      </c>
      <c r="CH34" s="14" t="n">
        <f aca="false">IF(AND(Inputs!$F$213=1,CH8&gt;=Inputs!$F$21,CH8&lt;=Inputs!$F$20),1,0)</f>
        <v>0</v>
      </c>
      <c r="CI34" s="14" t="n">
        <f aca="false">IF(AND(Inputs!$F$213=1,CI8&gt;=Inputs!$F$21,CI8&lt;=Inputs!$F$20),1,0)</f>
        <v>0</v>
      </c>
      <c r="CJ34" s="14" t="n">
        <f aca="false">IF(AND(Inputs!$F$213=1,CJ8&gt;=Inputs!$F$21,CJ8&lt;=Inputs!$F$20),1,0)</f>
        <v>0</v>
      </c>
      <c r="CK34" s="14" t="n">
        <f aca="false">IF(AND(Inputs!$F$213=1,CK8&gt;=Inputs!$F$21,CK8&lt;=Inputs!$F$20),1,0)</f>
        <v>0</v>
      </c>
      <c r="CL34" s="14" t="n">
        <f aca="false">IF(AND(Inputs!$F$213=1,CL8&gt;=Inputs!$F$21,CL8&lt;=Inputs!$F$20),1,0)</f>
        <v>0</v>
      </c>
      <c r="CM34" s="14" t="n">
        <f aca="false">IF(AND(Inputs!$F$213=1,CM8&gt;=Inputs!$F$21,CM8&lt;=Inputs!$F$20),1,0)</f>
        <v>0</v>
      </c>
      <c r="CN34" s="14" t="n">
        <f aca="false">IF(AND(Inputs!$F$213=1,CN8&gt;=Inputs!$F$21,CN8&lt;=Inputs!$F$20),1,0)</f>
        <v>0</v>
      </c>
      <c r="CO34" s="14" t="n">
        <f aca="false">IF(AND(Inputs!$F$213=1,CO8&gt;=Inputs!$F$21,CO8&lt;=Inputs!$F$20),1,0)</f>
        <v>0</v>
      </c>
      <c r="CP34" s="14" t="n">
        <f aca="false">IF(AND(Inputs!$F$213=1,CP8&gt;=Inputs!$F$21,CP8&lt;=Inputs!$F$20),1,0)</f>
        <v>0</v>
      </c>
      <c r="CQ34" s="14" t="n">
        <f aca="false">IF(AND(Inputs!$F$213=1,CQ8&gt;=Inputs!$F$21,CQ8&lt;=Inputs!$F$20),1,0)</f>
        <v>0</v>
      </c>
      <c r="CR34" s="14" t="n">
        <f aca="false">IF(AND(Inputs!$F$213=1,CR8&gt;=Inputs!$F$21,CR8&lt;=Inputs!$F$20),1,0)</f>
        <v>0</v>
      </c>
      <c r="CS34" s="14" t="n">
        <f aca="false">IF(AND(Inputs!$F$213=1,CS8&gt;=Inputs!$F$21,CS8&lt;=Inputs!$F$20),1,0)</f>
        <v>0</v>
      </c>
      <c r="CT34" s="14" t="n">
        <f aca="false">IF(AND(Inputs!$F$213=1,CT8&gt;=Inputs!$F$21,CT8&lt;=Inputs!$F$20),1,0)</f>
        <v>0</v>
      </c>
      <c r="CU34" s="14" t="n">
        <f aca="false">IF(AND(Inputs!$F$213=1,CU8&gt;=Inputs!$F$21,CU8&lt;=Inputs!$F$20),1,0)</f>
        <v>0</v>
      </c>
      <c r="CV34" s="14" t="n">
        <f aca="false">IF(AND(Inputs!$F$213=1,CV8&gt;=Inputs!$F$21,CV8&lt;=Inputs!$F$20),1,0)</f>
        <v>0</v>
      </c>
      <c r="CW34" s="14" t="n">
        <f aca="false">IF(AND(Inputs!$F$213=1,CW8&gt;=Inputs!$F$21,CW8&lt;=Inputs!$F$20),1,0)</f>
        <v>0</v>
      </c>
      <c r="CX34" s="14" t="n">
        <f aca="false">IF(AND(Inputs!$F$213=1,CX8&gt;=Inputs!$F$21,CX8&lt;=Inputs!$F$20),1,0)</f>
        <v>0</v>
      </c>
      <c r="CY34" s="14" t="n">
        <f aca="false">IF(AND(Inputs!$F$213=1,CY8&gt;=Inputs!$F$21,CY8&lt;=Inputs!$F$20),1,0)</f>
        <v>0</v>
      </c>
      <c r="CZ34" s="14" t="n">
        <f aca="false">IF(AND(Inputs!$F$213=1,CZ8&gt;=Inputs!$F$21,CZ8&lt;=Inputs!$F$20),1,0)</f>
        <v>0</v>
      </c>
      <c r="DA34" s="14" t="n">
        <f aca="false">IF(AND(Inputs!$F$213=1,DA8&gt;=Inputs!$F$21,DA8&lt;=Inputs!$F$20),1,0)</f>
        <v>0</v>
      </c>
      <c r="DB34" s="14" t="n">
        <f aca="false">IF(AND(Inputs!$F$213=1,DB8&gt;=Inputs!$F$21,DB8&lt;=Inputs!$F$20),1,0)</f>
        <v>0</v>
      </c>
    </row>
    <row r="35" customFormat="false" ht="15" hidden="false" customHeight="false" outlineLevel="0" collapsed="false">
      <c r="D35" s="0" t="s">
        <v>340</v>
      </c>
      <c r="E35" s="0" t="s">
        <v>42</v>
      </c>
      <c r="J35" s="14" t="n">
        <f aca="false">IF(AND(Inputs!$F$215=1,J8=Inputs!$F$20),1,0)</f>
        <v>0</v>
      </c>
      <c r="K35" s="14" t="n">
        <f aca="false">IF(AND(Inputs!$F$215=1,K8=Inputs!$F$20),1,0)</f>
        <v>0</v>
      </c>
      <c r="L35" s="14" t="n">
        <f aca="false">IF(AND(Inputs!$F$215=1,L8=Inputs!$F$20),1,0)</f>
        <v>0</v>
      </c>
      <c r="M35" s="14" t="n">
        <f aca="false">IF(AND(Inputs!$F$215=1,M8=Inputs!$F$20),1,0)</f>
        <v>0</v>
      </c>
      <c r="N35" s="14" t="n">
        <f aca="false">IF(AND(Inputs!$F$215=1,N8=Inputs!$F$20),1,0)</f>
        <v>0</v>
      </c>
      <c r="O35" s="14" t="n">
        <f aca="false">IF(AND(Inputs!$F$215=1,O8=Inputs!$F$20),1,0)</f>
        <v>0</v>
      </c>
      <c r="P35" s="14" t="n">
        <f aca="false">IF(AND(Inputs!$F$215=1,P8=Inputs!$F$20),1,0)</f>
        <v>0</v>
      </c>
      <c r="Q35" s="14" t="n">
        <f aca="false">IF(AND(Inputs!$F$215=1,Q8=Inputs!$F$20),1,0)</f>
        <v>0</v>
      </c>
      <c r="R35" s="14" t="n">
        <f aca="false">IF(AND(Inputs!$F$215=1,R8=Inputs!$F$20),1,0)</f>
        <v>0</v>
      </c>
      <c r="S35" s="14" t="n">
        <f aca="false">IF(AND(Inputs!$F$215=1,S8=Inputs!$F$20),1,0)</f>
        <v>0</v>
      </c>
      <c r="T35" s="14" t="n">
        <f aca="false">IF(AND(Inputs!$F$215=1,T8=Inputs!$F$20),1,0)</f>
        <v>0</v>
      </c>
      <c r="U35" s="14" t="n">
        <f aca="false">IF(AND(Inputs!$F$215=1,U8=Inputs!$F$20),1,0)</f>
        <v>0</v>
      </c>
      <c r="V35" s="14" t="n">
        <f aca="false">IF(AND(Inputs!$F$215=1,V8=Inputs!$F$20),1,0)</f>
        <v>0</v>
      </c>
      <c r="W35" s="14" t="n">
        <f aca="false">IF(AND(Inputs!$F$215=1,W8=Inputs!$F$20),1,0)</f>
        <v>0</v>
      </c>
      <c r="X35" s="14" t="n">
        <f aca="false">IF(AND(Inputs!$F$215=1,X8=Inputs!$F$20),1,0)</f>
        <v>0</v>
      </c>
      <c r="Y35" s="14" t="n">
        <f aca="false">IF(AND(Inputs!$F$215=1,Y8=Inputs!$F$20),1,0)</f>
        <v>0</v>
      </c>
      <c r="Z35" s="14" t="n">
        <f aca="false">IF(AND(Inputs!$F$215=1,Z8=Inputs!$F$20),1,0)</f>
        <v>0</v>
      </c>
      <c r="AA35" s="14" t="n">
        <f aca="false">IF(AND(Inputs!$F$215=1,AA8=Inputs!$F$20),1,0)</f>
        <v>0</v>
      </c>
      <c r="AB35" s="14" t="n">
        <f aca="false">IF(AND(Inputs!$F$215=1,AB8=Inputs!$F$20),1,0)</f>
        <v>0</v>
      </c>
      <c r="AC35" s="14" t="n">
        <f aca="false">IF(AND(Inputs!$F$215=1,AC8=Inputs!$F$20),1,0)</f>
        <v>0</v>
      </c>
      <c r="AD35" s="14" t="n">
        <f aca="false">IF(AND(Inputs!$F$215=1,AD8=Inputs!$F$20),1,0)</f>
        <v>0</v>
      </c>
      <c r="AE35" s="14" t="n">
        <f aca="false">IF(AND(Inputs!$F$215=1,AE8=Inputs!$F$20),1,0)</f>
        <v>0</v>
      </c>
      <c r="AF35" s="14" t="n">
        <f aca="false">IF(AND(Inputs!$F$215=1,AF8=Inputs!$F$20),1,0)</f>
        <v>0</v>
      </c>
      <c r="AG35" s="14" t="n">
        <f aca="false">IF(AND(Inputs!$F$215=1,AG8=Inputs!$F$20),1,0)</f>
        <v>0</v>
      </c>
      <c r="AH35" s="14" t="n">
        <f aca="false">IF(AND(Inputs!$F$215=1,AH8=Inputs!$F$20),1,0)</f>
        <v>0</v>
      </c>
      <c r="AI35" s="14" t="n">
        <f aca="false">IF(AND(Inputs!$F$215=1,AI8=Inputs!$F$20),1,0)</f>
        <v>0</v>
      </c>
      <c r="AJ35" s="14" t="n">
        <f aca="false">IF(AND(Inputs!$F$215=1,AJ8=Inputs!$F$20),1,0)</f>
        <v>0</v>
      </c>
      <c r="AK35" s="14" t="n">
        <f aca="false">IF(AND(Inputs!$F$215=1,AK8=Inputs!$F$20),1,0)</f>
        <v>0</v>
      </c>
      <c r="AL35" s="14" t="n">
        <f aca="false">IF(AND(Inputs!$F$215=1,AL8=Inputs!$F$20),1,0)</f>
        <v>0</v>
      </c>
      <c r="AM35" s="14" t="n">
        <f aca="false">IF(AND(Inputs!$F$215=1,AM8=Inputs!$F$20),1,0)</f>
        <v>0</v>
      </c>
      <c r="AN35" s="14" t="n">
        <f aca="false">IF(AND(Inputs!$F$215=1,AN8=Inputs!$F$20),1,0)</f>
        <v>0</v>
      </c>
      <c r="AO35" s="14" t="n">
        <f aca="false">IF(AND(Inputs!$F$215=1,AO8=Inputs!$F$20),1,0)</f>
        <v>0</v>
      </c>
      <c r="AP35" s="14" t="n">
        <f aca="false">IF(AND(Inputs!$F$215=1,AP8=Inputs!$F$20),1,0)</f>
        <v>0</v>
      </c>
      <c r="AQ35" s="14" t="n">
        <f aca="false">IF(AND(Inputs!$F$215=1,AQ8=Inputs!$F$20),1,0)</f>
        <v>0</v>
      </c>
      <c r="AR35" s="14" t="n">
        <f aca="false">IF(AND(Inputs!$F$215=1,AR8=Inputs!$F$20),1,0)</f>
        <v>0</v>
      </c>
      <c r="AS35" s="14" t="n">
        <f aca="false">IF(AND(Inputs!$F$215=1,AS8=Inputs!$F$20),1,0)</f>
        <v>0</v>
      </c>
      <c r="AT35" s="14" t="n">
        <f aca="false">IF(AND(Inputs!$F$215=1,AT8=Inputs!$F$20),1,0)</f>
        <v>0</v>
      </c>
      <c r="AU35" s="14" t="n">
        <f aca="false">IF(AND(Inputs!$F$215=1,AU8=Inputs!$F$20),1,0)</f>
        <v>0</v>
      </c>
      <c r="AV35" s="14" t="n">
        <f aca="false">IF(AND(Inputs!$F$215=1,AV8=Inputs!$F$20),1,0)</f>
        <v>0</v>
      </c>
      <c r="AW35" s="14" t="n">
        <f aca="false">IF(AND(Inputs!$F$215=1,AW8=Inputs!$F$20),1,0)</f>
        <v>0</v>
      </c>
      <c r="AX35" s="14" t="n">
        <f aca="false">IF(AND(Inputs!$F$215=1,AX8=Inputs!$F$20),1,0)</f>
        <v>0</v>
      </c>
      <c r="AY35" s="14" t="n">
        <f aca="false">IF(AND(Inputs!$F$215=1,AY8=Inputs!$F$20),1,0)</f>
        <v>0</v>
      </c>
      <c r="AZ35" s="14" t="n">
        <f aca="false">IF(AND(Inputs!$F$215=1,AZ8=Inputs!$F$20),1,0)</f>
        <v>0</v>
      </c>
      <c r="BA35" s="14" t="n">
        <f aca="false">IF(AND(Inputs!$F$215=1,BA8=Inputs!$F$20),1,0)</f>
        <v>0</v>
      </c>
      <c r="BB35" s="14" t="n">
        <f aca="false">IF(AND(Inputs!$F$215=1,BB8=Inputs!$F$20),1,0)</f>
        <v>0</v>
      </c>
      <c r="BC35" s="14" t="n">
        <f aca="false">IF(AND(Inputs!$F$215=1,BC8=Inputs!$F$20),1,0)</f>
        <v>0</v>
      </c>
      <c r="BD35" s="14" t="n">
        <f aca="false">IF(AND(Inputs!$F$215=1,BD8=Inputs!$F$20),1,0)</f>
        <v>0</v>
      </c>
      <c r="BE35" s="14" t="n">
        <f aca="false">IF(AND(Inputs!$F$215=1,BE8=Inputs!$F$20),1,0)</f>
        <v>0</v>
      </c>
      <c r="BF35" s="14" t="n">
        <f aca="false">IF(AND(Inputs!$F$215=1,BF8=Inputs!$F$20),1,0)</f>
        <v>0</v>
      </c>
      <c r="BG35" s="14" t="n">
        <f aca="false">IF(AND(Inputs!$F$215=1,BG8=Inputs!$F$20),1,0)</f>
        <v>0</v>
      </c>
      <c r="BH35" s="14" t="n">
        <f aca="false">IF(AND(Inputs!$F$215=1,BH8=Inputs!$F$20),1,0)</f>
        <v>0</v>
      </c>
      <c r="BI35" s="14" t="n">
        <f aca="false">IF(AND(Inputs!$F$215=1,BI8=Inputs!$F$20),1,0)</f>
        <v>0</v>
      </c>
      <c r="BJ35" s="14" t="n">
        <f aca="false">IF(AND(Inputs!$F$215=1,BJ8=Inputs!$F$20),1,0)</f>
        <v>0</v>
      </c>
      <c r="BK35" s="14" t="n">
        <f aca="false">IF(AND(Inputs!$F$215=1,BK8=Inputs!$F$20),1,0)</f>
        <v>0</v>
      </c>
      <c r="BL35" s="14" t="n">
        <f aca="false">IF(AND(Inputs!$F$215=1,BL8=Inputs!$F$20),1,0)</f>
        <v>0</v>
      </c>
      <c r="BM35" s="14" t="n">
        <f aca="false">IF(AND(Inputs!$F$215=1,BM8=Inputs!$F$20),1,0)</f>
        <v>0</v>
      </c>
      <c r="BN35" s="14" t="n">
        <f aca="false">IF(AND(Inputs!$F$215=1,BN8=Inputs!$F$20),1,0)</f>
        <v>0</v>
      </c>
      <c r="BO35" s="14" t="n">
        <f aca="false">IF(AND(Inputs!$F$215=1,BO8=Inputs!$F$20),1,0)</f>
        <v>0</v>
      </c>
      <c r="BP35" s="14" t="n">
        <f aca="false">IF(AND(Inputs!$F$215=1,BP8=Inputs!$F$20),1,0)</f>
        <v>0</v>
      </c>
      <c r="BQ35" s="14" t="n">
        <f aca="false">IF(AND(Inputs!$F$215=1,BQ8=Inputs!$F$20),1,0)</f>
        <v>0</v>
      </c>
      <c r="BR35" s="14" t="n">
        <f aca="false">IF(AND(Inputs!$F$215=1,BR8=Inputs!$F$20),1,0)</f>
        <v>0</v>
      </c>
      <c r="BS35" s="14" t="n">
        <f aca="false">IF(AND(Inputs!$F$215=1,BS8=Inputs!$F$20),1,0)</f>
        <v>0</v>
      </c>
      <c r="BT35" s="14" t="n">
        <f aca="false">IF(AND(Inputs!$F$215=1,BT8=Inputs!$F$20),1,0)</f>
        <v>0</v>
      </c>
      <c r="BU35" s="14" t="n">
        <f aca="false">IF(AND(Inputs!$F$215=1,BU8=Inputs!$F$20),1,0)</f>
        <v>0</v>
      </c>
      <c r="BV35" s="14" t="n">
        <f aca="false">IF(AND(Inputs!$F$215=1,BV8=Inputs!$F$20),1,0)</f>
        <v>0</v>
      </c>
      <c r="BW35" s="14" t="n">
        <f aca="false">IF(AND(Inputs!$F$215=1,BW8=Inputs!$F$20),1,0)</f>
        <v>0</v>
      </c>
      <c r="BX35" s="14" t="n">
        <f aca="false">IF(AND(Inputs!$F$215=1,BX8=Inputs!$F$20),1,0)</f>
        <v>0</v>
      </c>
      <c r="BY35" s="14" t="n">
        <f aca="false">IF(AND(Inputs!$F$215=1,BY8=Inputs!$F$20),1,0)</f>
        <v>0</v>
      </c>
      <c r="BZ35" s="14" t="n">
        <f aca="false">IF(AND(Inputs!$F$215=1,BZ8=Inputs!$F$20),1,0)</f>
        <v>0</v>
      </c>
      <c r="CA35" s="14" t="n">
        <f aca="false">IF(AND(Inputs!$F$215=1,CA8=Inputs!$F$20),1,0)</f>
        <v>0</v>
      </c>
      <c r="CB35" s="14" t="n">
        <f aca="false">IF(AND(Inputs!$F$215=1,CB8=Inputs!$F$20),1,0)</f>
        <v>0</v>
      </c>
      <c r="CC35" s="14" t="n">
        <f aca="false">IF(AND(Inputs!$F$215=1,CC8=Inputs!$F$20),1,0)</f>
        <v>0</v>
      </c>
      <c r="CD35" s="14" t="n">
        <f aca="false">IF(AND(Inputs!$F$215=1,CD8=Inputs!$F$20),1,0)</f>
        <v>0</v>
      </c>
      <c r="CE35" s="14" t="n">
        <f aca="false">IF(AND(Inputs!$F$215=1,CE8=Inputs!$F$20),1,0)</f>
        <v>0</v>
      </c>
      <c r="CF35" s="14" t="n">
        <f aca="false">IF(AND(Inputs!$F$215=1,CF8=Inputs!$F$20),1,0)</f>
        <v>0</v>
      </c>
      <c r="CG35" s="14" t="n">
        <f aca="false">IF(AND(Inputs!$F$215=1,CG8=Inputs!$F$20),1,0)</f>
        <v>0</v>
      </c>
      <c r="CH35" s="14" t="n">
        <f aca="false">IF(AND(Inputs!$F$215=1,CH8=Inputs!$F$20),1,0)</f>
        <v>0</v>
      </c>
      <c r="CI35" s="14" t="n">
        <f aca="false">IF(AND(Inputs!$F$215=1,CI8=Inputs!$F$20),1,0)</f>
        <v>0</v>
      </c>
      <c r="CJ35" s="14" t="n">
        <f aca="false">IF(AND(Inputs!$F$215=1,CJ8=Inputs!$F$20),1,0)</f>
        <v>0</v>
      </c>
      <c r="CK35" s="14" t="n">
        <f aca="false">IF(AND(Inputs!$F$215=1,CK8=Inputs!$F$20),1,0)</f>
        <v>0</v>
      </c>
      <c r="CL35" s="14" t="n">
        <f aca="false">IF(AND(Inputs!$F$215=1,CL8=Inputs!$F$20),1,0)</f>
        <v>0</v>
      </c>
      <c r="CM35" s="14" t="n">
        <f aca="false">IF(AND(Inputs!$F$215=1,CM8=Inputs!$F$20),1,0)</f>
        <v>0</v>
      </c>
      <c r="CN35" s="14" t="n">
        <f aca="false">IF(AND(Inputs!$F$215=1,CN8=Inputs!$F$20),1,0)</f>
        <v>0</v>
      </c>
      <c r="CO35" s="14" t="n">
        <f aca="false">IF(AND(Inputs!$F$215=1,CO8=Inputs!$F$20),1,0)</f>
        <v>0</v>
      </c>
      <c r="CP35" s="14" t="n">
        <f aca="false">IF(AND(Inputs!$F$215=1,CP8=Inputs!$F$20),1,0)</f>
        <v>0</v>
      </c>
      <c r="CQ35" s="14" t="n">
        <f aca="false">IF(AND(Inputs!$F$215=1,CQ8=Inputs!$F$20),1,0)</f>
        <v>0</v>
      </c>
      <c r="CR35" s="14" t="n">
        <f aca="false">IF(AND(Inputs!$F$215=1,CR8=Inputs!$F$20),1,0)</f>
        <v>0</v>
      </c>
      <c r="CS35" s="14" t="n">
        <f aca="false">IF(AND(Inputs!$F$215=1,CS8=Inputs!$F$20),1,0)</f>
        <v>0</v>
      </c>
      <c r="CT35" s="14" t="n">
        <f aca="false">IF(AND(Inputs!$F$215=1,CT8=Inputs!$F$20),1,0)</f>
        <v>0</v>
      </c>
      <c r="CU35" s="14" t="n">
        <f aca="false">IF(AND(Inputs!$F$215=1,CU8=Inputs!$F$20),1,0)</f>
        <v>0</v>
      </c>
      <c r="CV35" s="14" t="n">
        <f aca="false">IF(AND(Inputs!$F$215=1,CV8=Inputs!$F$20),1,0)</f>
        <v>0</v>
      </c>
      <c r="CW35" s="14" t="n">
        <f aca="false">IF(AND(Inputs!$F$215=1,CW8=Inputs!$F$20),1,0)</f>
        <v>0</v>
      </c>
      <c r="CX35" s="14" t="n">
        <f aca="false">IF(AND(Inputs!$F$215=1,CX8=Inputs!$F$20),1,0)</f>
        <v>0</v>
      </c>
      <c r="CY35" s="14" t="n">
        <f aca="false">IF(AND(Inputs!$F$215=1,CY8=Inputs!$F$20),1,0)</f>
        <v>0</v>
      </c>
      <c r="CZ35" s="14" t="n">
        <f aca="false">IF(AND(Inputs!$F$215=1,CZ8=Inputs!$F$20),1,0)</f>
        <v>0</v>
      </c>
      <c r="DA35" s="14" t="n">
        <f aca="false">IF(AND(Inputs!$F$215=1,DA8=Inputs!$F$20),1,0)</f>
        <v>0</v>
      </c>
      <c r="DB35" s="14" t="n">
        <f aca="false">IF(AND(Inputs!$F$215=1,DB8=Inputs!$F$20),1,0)</f>
        <v>0</v>
      </c>
    </row>
    <row r="36" customFormat="false" ht="15" hidden="false" customHeight="false" outlineLevel="0" collapsed="false">
      <c r="D36" s="0" t="s">
        <v>341</v>
      </c>
      <c r="E36" s="0" t="s">
        <v>42</v>
      </c>
      <c r="J36" s="14" t="n">
        <f aca="false">IF(AND(J23=1,I35=1),1,0)</f>
        <v>0</v>
      </c>
      <c r="K36" s="14" t="n">
        <f aca="false">IF(AND(K23=1,J35=1),1,0)</f>
        <v>0</v>
      </c>
      <c r="L36" s="14" t="n">
        <f aca="false">IF(AND(L23=1,K35=1),1,0)</f>
        <v>0</v>
      </c>
      <c r="M36" s="14" t="n">
        <f aca="false">IF(AND(M23=1,L35=1),1,0)</f>
        <v>0</v>
      </c>
      <c r="N36" s="14" t="n">
        <f aca="false">IF(AND(N23=1,M35=1),1,0)</f>
        <v>0</v>
      </c>
      <c r="O36" s="14" t="n">
        <f aca="false">IF(AND(O23=1,N35=1),1,0)</f>
        <v>0</v>
      </c>
      <c r="P36" s="14" t="n">
        <f aca="false">IF(AND(P23=1,O35=1),1,0)</f>
        <v>0</v>
      </c>
      <c r="Q36" s="14" t="n">
        <f aca="false">IF(AND(Q23=1,P35=1),1,0)</f>
        <v>0</v>
      </c>
      <c r="R36" s="14" t="n">
        <f aca="false">IF(AND(R23=1,Q35=1),1,0)</f>
        <v>0</v>
      </c>
      <c r="S36" s="14" t="n">
        <f aca="false">IF(AND(S23=1,R35=1),1,0)</f>
        <v>0</v>
      </c>
      <c r="T36" s="14" t="n">
        <f aca="false">IF(AND(T23=1,S35=1),1,0)</f>
        <v>0</v>
      </c>
      <c r="U36" s="14" t="n">
        <f aca="false">IF(AND(U23=1,T35=1),1,0)</f>
        <v>0</v>
      </c>
      <c r="V36" s="14" t="n">
        <f aca="false">IF(AND(V23=1,U35=1),1,0)</f>
        <v>0</v>
      </c>
      <c r="W36" s="14" t="n">
        <f aca="false">IF(AND(W23=1,V35=1),1,0)</f>
        <v>0</v>
      </c>
      <c r="X36" s="14" t="n">
        <f aca="false">IF(AND(X23=1,W35=1),1,0)</f>
        <v>0</v>
      </c>
      <c r="Y36" s="14" t="n">
        <f aca="false">IF(AND(Y23=1,X35=1),1,0)</f>
        <v>0</v>
      </c>
      <c r="Z36" s="14" t="n">
        <f aca="false">IF(AND(Z23=1,Y35=1),1,0)</f>
        <v>0</v>
      </c>
      <c r="AA36" s="14" t="n">
        <f aca="false">IF(AND(AA23=1,Z35=1),1,0)</f>
        <v>0</v>
      </c>
      <c r="AB36" s="14" t="n">
        <f aca="false">IF(AND(AB23=1,AA35=1),1,0)</f>
        <v>0</v>
      </c>
      <c r="AC36" s="14" t="n">
        <f aca="false">IF(AND(AC23=1,AB35=1),1,0)</f>
        <v>0</v>
      </c>
      <c r="AD36" s="14" t="n">
        <f aca="false">IF(AND(AD23=1,AC35=1),1,0)</f>
        <v>0</v>
      </c>
      <c r="AE36" s="14" t="n">
        <f aca="false">IF(AND(AE23=1,AD35=1),1,0)</f>
        <v>0</v>
      </c>
      <c r="AF36" s="14" t="n">
        <f aca="false">IF(AND(AF23=1,AE35=1),1,0)</f>
        <v>0</v>
      </c>
      <c r="AG36" s="14" t="n">
        <f aca="false">IF(AND(AG23=1,AF35=1),1,0)</f>
        <v>0</v>
      </c>
      <c r="AH36" s="14" t="n">
        <f aca="false">IF(AND(AH23=1,AG35=1),1,0)</f>
        <v>0</v>
      </c>
      <c r="AI36" s="14" t="n">
        <f aca="false">IF(AND(AI23=1,AH35=1),1,0)</f>
        <v>0</v>
      </c>
      <c r="AJ36" s="14" t="n">
        <f aca="false">IF(AND(AJ23=1,AI35=1),1,0)</f>
        <v>0</v>
      </c>
      <c r="AK36" s="14" t="n">
        <f aca="false">IF(AND(AK23=1,AJ35=1),1,0)</f>
        <v>0</v>
      </c>
      <c r="AL36" s="14" t="n">
        <f aca="false">IF(AND(AL23=1,AK35=1),1,0)</f>
        <v>0</v>
      </c>
      <c r="AM36" s="14" t="n">
        <f aca="false">IF(AND(AM23=1,AL35=1),1,0)</f>
        <v>0</v>
      </c>
      <c r="AN36" s="14" t="n">
        <f aca="false">IF(AND(AN23=1,AM35=1),1,0)</f>
        <v>0</v>
      </c>
      <c r="AO36" s="14" t="n">
        <f aca="false">IF(AND(AO23=1,AN35=1),1,0)</f>
        <v>0</v>
      </c>
      <c r="AP36" s="14" t="n">
        <f aca="false">IF(AND(AP23=1,AO35=1),1,0)</f>
        <v>0</v>
      </c>
      <c r="AQ36" s="14" t="n">
        <f aca="false">IF(AND(AQ23=1,AP35=1),1,0)</f>
        <v>0</v>
      </c>
      <c r="AR36" s="14" t="n">
        <f aca="false">IF(AND(AR23=1,AQ35=1),1,0)</f>
        <v>0</v>
      </c>
      <c r="AS36" s="14" t="n">
        <f aca="false">IF(AND(AS23=1,AR35=1),1,0)</f>
        <v>0</v>
      </c>
      <c r="AT36" s="14" t="n">
        <f aca="false">IF(AND(AT23=1,AS35=1),1,0)</f>
        <v>0</v>
      </c>
      <c r="AU36" s="14" t="n">
        <f aca="false">IF(AND(AU23=1,AT35=1),1,0)</f>
        <v>0</v>
      </c>
      <c r="AV36" s="14" t="n">
        <f aca="false">IF(AND(AV23=1,AU35=1),1,0)</f>
        <v>0</v>
      </c>
      <c r="AW36" s="14" t="n">
        <f aca="false">IF(AND(AW23=1,AV35=1),1,0)</f>
        <v>0</v>
      </c>
      <c r="AX36" s="14" t="n">
        <f aca="false">IF(AND(AX23=1,AW35=1),1,0)</f>
        <v>0</v>
      </c>
      <c r="AY36" s="14" t="n">
        <f aca="false">IF(AND(AY23=1,AX35=1),1,0)</f>
        <v>0</v>
      </c>
      <c r="AZ36" s="14" t="n">
        <f aca="false">IF(AND(AZ23=1,AY35=1),1,0)</f>
        <v>0</v>
      </c>
      <c r="BA36" s="14" t="n">
        <f aca="false">IF(AND(BA23=1,AZ35=1),1,0)</f>
        <v>0</v>
      </c>
      <c r="BB36" s="14" t="n">
        <f aca="false">IF(AND(BB23=1,BA35=1),1,0)</f>
        <v>0</v>
      </c>
      <c r="BC36" s="14" t="n">
        <f aca="false">IF(AND(BC23=1,BB35=1),1,0)</f>
        <v>0</v>
      </c>
      <c r="BD36" s="14" t="n">
        <f aca="false">IF(AND(BD23=1,BC35=1),1,0)</f>
        <v>0</v>
      </c>
      <c r="BE36" s="14" t="n">
        <f aca="false">IF(AND(BE23=1,BD35=1),1,0)</f>
        <v>0</v>
      </c>
      <c r="BF36" s="14" t="n">
        <f aca="false">IF(AND(BF23=1,BE35=1),1,0)</f>
        <v>0</v>
      </c>
      <c r="BG36" s="14" t="n">
        <f aca="false">IF(AND(BG23=1,BF35=1),1,0)</f>
        <v>0</v>
      </c>
      <c r="BH36" s="14" t="n">
        <f aca="false">IF(AND(BH23=1,BG35=1),1,0)</f>
        <v>0</v>
      </c>
      <c r="BI36" s="14" t="n">
        <f aca="false">IF(AND(BI23=1,BH35=1),1,0)</f>
        <v>0</v>
      </c>
      <c r="BJ36" s="14" t="n">
        <f aca="false">IF(AND(BJ23=1,BI35=1),1,0)</f>
        <v>0</v>
      </c>
      <c r="BK36" s="14" t="n">
        <f aca="false">IF(AND(BK23=1,BJ35=1),1,0)</f>
        <v>0</v>
      </c>
      <c r="BL36" s="14" t="n">
        <f aca="false">IF(AND(BL23=1,BK35=1),1,0)</f>
        <v>0</v>
      </c>
      <c r="BM36" s="14" t="n">
        <f aca="false">IF(AND(BM23=1,BL35=1),1,0)</f>
        <v>0</v>
      </c>
      <c r="BN36" s="14" t="n">
        <f aca="false">IF(AND(BN23=1,BM35=1),1,0)</f>
        <v>0</v>
      </c>
      <c r="BO36" s="14" t="n">
        <f aca="false">IF(AND(BO23=1,BN35=1),1,0)</f>
        <v>0</v>
      </c>
      <c r="BP36" s="14" t="n">
        <f aca="false">IF(AND(BP23=1,BO35=1),1,0)</f>
        <v>0</v>
      </c>
      <c r="BQ36" s="14" t="n">
        <f aca="false">IF(AND(BQ23=1,BP35=1),1,0)</f>
        <v>0</v>
      </c>
      <c r="BR36" s="14" t="n">
        <f aca="false">IF(AND(BR23=1,BQ35=1),1,0)</f>
        <v>0</v>
      </c>
      <c r="BS36" s="14" t="n">
        <f aca="false">IF(AND(BS23=1,BR35=1),1,0)</f>
        <v>0</v>
      </c>
      <c r="BT36" s="14" t="n">
        <f aca="false">IF(AND(BT23=1,BS35=1),1,0)</f>
        <v>0</v>
      </c>
      <c r="BU36" s="14" t="n">
        <f aca="false">IF(AND(BU23=1,BT35=1),1,0)</f>
        <v>0</v>
      </c>
      <c r="BV36" s="14" t="n">
        <f aca="false">IF(AND(BV23=1,BU35=1),1,0)</f>
        <v>0</v>
      </c>
      <c r="BW36" s="14" t="n">
        <f aca="false">IF(AND(BW23=1,BV35=1),1,0)</f>
        <v>0</v>
      </c>
      <c r="BX36" s="14" t="n">
        <f aca="false">IF(AND(BX23=1,BW35=1),1,0)</f>
        <v>0</v>
      </c>
      <c r="BY36" s="14" t="n">
        <f aca="false">IF(AND(BY23=1,BX35=1),1,0)</f>
        <v>0</v>
      </c>
      <c r="BZ36" s="14" t="n">
        <f aca="false">IF(AND(BZ23=1,BY35=1),1,0)</f>
        <v>0</v>
      </c>
      <c r="CA36" s="14" t="n">
        <f aca="false">IF(AND(CA23=1,BZ35=1),1,0)</f>
        <v>0</v>
      </c>
      <c r="CB36" s="14" t="n">
        <f aca="false">IF(AND(CB23=1,CA35=1),1,0)</f>
        <v>0</v>
      </c>
      <c r="CC36" s="14" t="n">
        <f aca="false">IF(AND(CC23=1,CB35=1),1,0)</f>
        <v>0</v>
      </c>
      <c r="CD36" s="14" t="n">
        <f aca="false">IF(AND(CD23=1,CC35=1),1,0)</f>
        <v>0</v>
      </c>
      <c r="CE36" s="14" t="n">
        <f aca="false">IF(AND(CE23=1,CD35=1),1,0)</f>
        <v>0</v>
      </c>
      <c r="CF36" s="14" t="n">
        <f aca="false">IF(AND(CF23=1,CE35=1),1,0)</f>
        <v>0</v>
      </c>
      <c r="CG36" s="14" t="n">
        <f aca="false">IF(AND(CG23=1,CF35=1),1,0)</f>
        <v>0</v>
      </c>
      <c r="CH36" s="14" t="n">
        <f aca="false">IF(AND(CH23=1,CG35=1),1,0)</f>
        <v>0</v>
      </c>
      <c r="CI36" s="14" t="n">
        <f aca="false">IF(AND(CI23=1,CH35=1),1,0)</f>
        <v>0</v>
      </c>
      <c r="CJ36" s="14" t="n">
        <f aca="false">IF(AND(CJ23=1,CI35=1),1,0)</f>
        <v>0</v>
      </c>
      <c r="CK36" s="14" t="n">
        <f aca="false">IF(AND(CK23=1,CJ35=1),1,0)</f>
        <v>0</v>
      </c>
      <c r="CL36" s="14" t="n">
        <f aca="false">IF(AND(CL23=1,CK35=1),1,0)</f>
        <v>0</v>
      </c>
      <c r="CM36" s="14" t="n">
        <f aca="false">IF(AND(CM23=1,CL35=1),1,0)</f>
        <v>0</v>
      </c>
      <c r="CN36" s="14" t="n">
        <f aca="false">IF(AND(CN23=1,CM35=1),1,0)</f>
        <v>0</v>
      </c>
      <c r="CO36" s="14" t="n">
        <f aca="false">IF(AND(CO23=1,CN35=1),1,0)</f>
        <v>0</v>
      </c>
      <c r="CP36" s="14" t="n">
        <f aca="false">IF(AND(CP23=1,CO35=1),1,0)</f>
        <v>0</v>
      </c>
      <c r="CQ36" s="14" t="n">
        <f aca="false">IF(AND(CQ23=1,CP35=1),1,0)</f>
        <v>0</v>
      </c>
      <c r="CR36" s="14" t="n">
        <f aca="false">IF(AND(CR23=1,CQ35=1),1,0)</f>
        <v>0</v>
      </c>
      <c r="CS36" s="14" t="n">
        <f aca="false">IF(AND(CS23=1,CR35=1),1,0)</f>
        <v>0</v>
      </c>
      <c r="CT36" s="14" t="n">
        <f aca="false">IF(AND(CT23=1,CS35=1),1,0)</f>
        <v>0</v>
      </c>
      <c r="CU36" s="14" t="n">
        <f aca="false">IF(AND(CU23=1,CT35=1),1,0)</f>
        <v>0</v>
      </c>
      <c r="CV36" s="14" t="n">
        <f aca="false">IF(AND(CV23=1,CU35=1),1,0)</f>
        <v>0</v>
      </c>
      <c r="CW36" s="14" t="n">
        <f aca="false">IF(AND(CW23=1,CV35=1),1,0)</f>
        <v>0</v>
      </c>
      <c r="CX36" s="14" t="n">
        <f aca="false">IF(AND(CX23=1,CW35=1),1,0)</f>
        <v>0</v>
      </c>
      <c r="CY36" s="14" t="n">
        <f aca="false">IF(AND(CY23=1,CX35=1),1,0)</f>
        <v>0</v>
      </c>
      <c r="CZ36" s="14" t="n">
        <f aca="false">IF(AND(CZ23=1,CY35=1),1,0)</f>
        <v>0</v>
      </c>
      <c r="DA36" s="14" t="n">
        <f aca="false">IF(AND(DA23=1,CZ35=1),1,0)</f>
        <v>0</v>
      </c>
      <c r="DB36" s="14" t="n">
        <f aca="false">IF(AND(DB23=1,DA35=1),1,0)</f>
        <v>0</v>
      </c>
    </row>
    <row r="37" customFormat="false" ht="15" hidden="false" customHeight="false" outlineLevel="0" collapsed="false">
      <c r="D37" s="0" t="s">
        <v>342</v>
      </c>
      <c r="E37" s="0" t="s">
        <v>42</v>
      </c>
      <c r="J37" s="14" t="n">
        <f aca="false">IF(AND(J23=1,J8&lt;=Inputs!$F$32),1,0)</f>
        <v>0</v>
      </c>
      <c r="K37" s="14" t="n">
        <f aca="false">IF(AND(K23=1,K8&lt;=Inputs!$F$32),1,0)</f>
        <v>0</v>
      </c>
      <c r="L37" s="14" t="n">
        <f aca="false">IF(AND(L23=1,L8&lt;=Inputs!$F$32),1,0)</f>
        <v>0</v>
      </c>
      <c r="M37" s="14" t="n">
        <f aca="false">IF(AND(M23=1,M8&lt;=Inputs!$F$32),1,0)</f>
        <v>0</v>
      </c>
      <c r="N37" s="14" t="n">
        <f aca="false">IF(AND(N23=1,N8&lt;=Inputs!$F$32),1,0)</f>
        <v>0</v>
      </c>
      <c r="O37" s="14" t="n">
        <f aca="false">IF(AND(O23=1,O8&lt;=Inputs!$F$32),1,0)</f>
        <v>0</v>
      </c>
      <c r="P37" s="14" t="n">
        <f aca="false">IF(AND(P23=1,P8&lt;=Inputs!$F$32),1,0)</f>
        <v>0</v>
      </c>
      <c r="Q37" s="14" t="n">
        <f aca="false">IF(AND(Q23=1,Q8&lt;=Inputs!$F$32),1,0)</f>
        <v>0</v>
      </c>
      <c r="R37" s="14" t="n">
        <f aca="false">IF(AND(R23=1,R8&lt;=Inputs!$F$32),1,0)</f>
        <v>0</v>
      </c>
      <c r="S37" s="14" t="n">
        <f aca="false">IF(AND(S23=1,S8&lt;=Inputs!$F$32),1,0)</f>
        <v>0</v>
      </c>
      <c r="T37" s="14" t="n">
        <f aca="false">IF(AND(T23=1,T8&lt;=Inputs!$F$32),1,0)</f>
        <v>0</v>
      </c>
      <c r="U37" s="14" t="n">
        <f aca="false">IF(AND(U23=1,U8&lt;=Inputs!$F$32),1,0)</f>
        <v>0</v>
      </c>
      <c r="V37" s="14" t="n">
        <f aca="false">IF(AND(V23=1,V8&lt;=Inputs!$F$32),1,0)</f>
        <v>0</v>
      </c>
      <c r="W37" s="14" t="n">
        <f aca="false">IF(AND(W23=1,W8&lt;=Inputs!$F$32),1,0)</f>
        <v>0</v>
      </c>
      <c r="X37" s="14" t="n">
        <f aca="false">IF(AND(X23=1,X8&lt;=Inputs!$F$32),1,0)</f>
        <v>0</v>
      </c>
      <c r="Y37" s="14" t="n">
        <f aca="false">IF(AND(Y23=1,Y8&lt;=Inputs!$F$32),1,0)</f>
        <v>0</v>
      </c>
      <c r="Z37" s="14" t="n">
        <f aca="false">IF(AND(Z23=1,Z8&lt;=Inputs!$F$32),1,0)</f>
        <v>0</v>
      </c>
      <c r="AA37" s="14" t="n">
        <f aca="false">IF(AND(AA23=1,AA8&lt;=Inputs!$F$32),1,0)</f>
        <v>0</v>
      </c>
      <c r="AB37" s="14" t="n">
        <f aca="false">IF(AND(AB23=1,AB8&lt;=Inputs!$F$32),1,0)</f>
        <v>0</v>
      </c>
      <c r="AC37" s="14" t="n">
        <f aca="false">IF(AND(AC23=1,AC8&lt;=Inputs!$F$32),1,0)</f>
        <v>0</v>
      </c>
      <c r="AD37" s="14" t="n">
        <f aca="false">IF(AND(AD23=1,AD8&lt;=Inputs!$F$32),1,0)</f>
        <v>0</v>
      </c>
      <c r="AE37" s="14" t="n">
        <f aca="false">IF(AND(AE23=1,AE8&lt;=Inputs!$F$32),1,0)</f>
        <v>0</v>
      </c>
      <c r="AF37" s="14" t="n">
        <f aca="false">IF(AND(AF23=1,AF8&lt;=Inputs!$F$32),1,0)</f>
        <v>0</v>
      </c>
      <c r="AG37" s="14" t="n">
        <f aca="false">IF(AND(AG23=1,AG8&lt;=Inputs!$F$32),1,0)</f>
        <v>0</v>
      </c>
      <c r="AH37" s="14" t="n">
        <f aca="false">IF(AND(AH23=1,AH8&lt;=Inputs!$F$32),1,0)</f>
        <v>0</v>
      </c>
      <c r="AI37" s="14" t="n">
        <f aca="false">IF(AND(AI23=1,AI8&lt;=Inputs!$F$32),1,0)</f>
        <v>0</v>
      </c>
      <c r="AJ37" s="14" t="n">
        <f aca="false">IF(AND(AJ23=1,AJ8&lt;=Inputs!$F$32),1,0)</f>
        <v>0</v>
      </c>
      <c r="AK37" s="14" t="n">
        <f aca="false">IF(AND(AK23=1,AK8&lt;=Inputs!$F$32),1,0)</f>
        <v>0</v>
      </c>
      <c r="AL37" s="14" t="n">
        <f aca="false">IF(AND(AL23=1,AL8&lt;=Inputs!$F$32),1,0)</f>
        <v>0</v>
      </c>
      <c r="AM37" s="14" t="n">
        <f aca="false">IF(AND(AM23=1,AM8&lt;=Inputs!$F$32),1,0)</f>
        <v>0</v>
      </c>
      <c r="AN37" s="14" t="n">
        <f aca="false">IF(AND(AN23=1,AN8&lt;=Inputs!$F$32),1,0)</f>
        <v>0</v>
      </c>
      <c r="AO37" s="14" t="n">
        <f aca="false">IF(AND(AO23=1,AO8&lt;=Inputs!$F$32),1,0)</f>
        <v>0</v>
      </c>
      <c r="AP37" s="14" t="n">
        <f aca="false">IF(AND(AP23=1,AP8&lt;=Inputs!$F$32),1,0)</f>
        <v>0</v>
      </c>
      <c r="AQ37" s="14" t="n">
        <f aca="false">IF(AND(AQ23=1,AQ8&lt;=Inputs!$F$32),1,0)</f>
        <v>0</v>
      </c>
      <c r="AR37" s="14" t="n">
        <f aca="false">IF(AND(AR23=1,AR8&lt;=Inputs!$F$32),1,0)</f>
        <v>0</v>
      </c>
      <c r="AS37" s="14" t="n">
        <f aca="false">IF(AND(AS23=1,AS8&lt;=Inputs!$F$32),1,0)</f>
        <v>0</v>
      </c>
      <c r="AT37" s="14" t="n">
        <f aca="false">IF(AND(AT23=1,AT8&lt;=Inputs!$F$32),1,0)</f>
        <v>0</v>
      </c>
      <c r="AU37" s="14" t="n">
        <f aca="false">IF(AND(AU23=1,AU8&lt;=Inputs!$F$32),1,0)</f>
        <v>0</v>
      </c>
      <c r="AV37" s="14" t="n">
        <f aca="false">IF(AND(AV23=1,AV8&lt;=Inputs!$F$32),1,0)</f>
        <v>0</v>
      </c>
      <c r="AW37" s="14" t="n">
        <f aca="false">IF(AND(AW23=1,AW8&lt;=Inputs!$F$32),1,0)</f>
        <v>0</v>
      </c>
      <c r="AX37" s="14" t="n">
        <f aca="false">IF(AND(AX23=1,AX8&lt;=Inputs!$F$32),1,0)</f>
        <v>0</v>
      </c>
      <c r="AY37" s="14" t="n">
        <f aca="false">IF(AND(AY23=1,AY8&lt;=Inputs!$F$32),1,0)</f>
        <v>0</v>
      </c>
      <c r="AZ37" s="14" t="n">
        <f aca="false">IF(AND(AZ23=1,AZ8&lt;=Inputs!$F$32),1,0)</f>
        <v>0</v>
      </c>
      <c r="BA37" s="14" t="n">
        <f aca="false">IF(AND(BA23=1,BA8&lt;=Inputs!$F$32),1,0)</f>
        <v>0</v>
      </c>
      <c r="BB37" s="14" t="n">
        <f aca="false">IF(AND(BB23=1,BB8&lt;=Inputs!$F$32),1,0)</f>
        <v>0</v>
      </c>
      <c r="BC37" s="14" t="n">
        <f aca="false">IF(AND(BC23=1,BC8&lt;=Inputs!$F$32),1,0)</f>
        <v>0</v>
      </c>
      <c r="BD37" s="14" t="n">
        <f aca="false">IF(AND(BD23=1,BD8&lt;=Inputs!$F$32),1,0)</f>
        <v>0</v>
      </c>
      <c r="BE37" s="14" t="n">
        <f aca="false">IF(AND(BE23=1,BE8&lt;=Inputs!$F$32),1,0)</f>
        <v>0</v>
      </c>
      <c r="BF37" s="14" t="n">
        <f aca="false">IF(AND(BF23=1,BF8&lt;=Inputs!$F$32),1,0)</f>
        <v>0</v>
      </c>
      <c r="BG37" s="14" t="n">
        <f aca="false">IF(AND(BG23=1,BG8&lt;=Inputs!$F$32),1,0)</f>
        <v>0</v>
      </c>
      <c r="BH37" s="14" t="n">
        <f aca="false">IF(AND(BH23=1,BH8&lt;=Inputs!$F$32),1,0)</f>
        <v>0</v>
      </c>
      <c r="BI37" s="14" t="n">
        <f aca="false">IF(AND(BI23=1,BI8&lt;=Inputs!$F$32),1,0)</f>
        <v>0</v>
      </c>
      <c r="BJ37" s="14" t="n">
        <f aca="false">IF(AND(BJ23=1,BJ8&lt;=Inputs!$F$32),1,0)</f>
        <v>0</v>
      </c>
      <c r="BK37" s="14" t="n">
        <f aca="false">IF(AND(BK23=1,BK8&lt;=Inputs!$F$32),1,0)</f>
        <v>0</v>
      </c>
      <c r="BL37" s="14" t="n">
        <f aca="false">IF(AND(BL23=1,BL8&lt;=Inputs!$F$32),1,0)</f>
        <v>0</v>
      </c>
      <c r="BM37" s="14" t="n">
        <f aca="false">IF(AND(BM23=1,BM8&lt;=Inputs!$F$32),1,0)</f>
        <v>0</v>
      </c>
      <c r="BN37" s="14" t="n">
        <f aca="false">IF(AND(BN23=1,BN8&lt;=Inputs!$F$32),1,0)</f>
        <v>0</v>
      </c>
      <c r="BO37" s="14" t="n">
        <f aca="false">IF(AND(BO23=1,BO8&lt;=Inputs!$F$32),1,0)</f>
        <v>0</v>
      </c>
      <c r="BP37" s="14" t="n">
        <f aca="false">IF(AND(BP23=1,BP8&lt;=Inputs!$F$32),1,0)</f>
        <v>0</v>
      </c>
      <c r="BQ37" s="14" t="n">
        <f aca="false">IF(AND(BQ23=1,BQ8&lt;=Inputs!$F$32),1,0)</f>
        <v>0</v>
      </c>
      <c r="BR37" s="14" t="n">
        <f aca="false">IF(AND(BR23=1,BR8&lt;=Inputs!$F$32),1,0)</f>
        <v>0</v>
      </c>
      <c r="BS37" s="14" t="n">
        <f aca="false">IF(AND(BS23=1,BS8&lt;=Inputs!$F$32),1,0)</f>
        <v>0</v>
      </c>
      <c r="BT37" s="14" t="n">
        <f aca="false">IF(AND(BT23=1,BT8&lt;=Inputs!$F$32),1,0)</f>
        <v>0</v>
      </c>
      <c r="BU37" s="14" t="n">
        <f aca="false">IF(AND(BU23=1,BU8&lt;=Inputs!$F$32),1,0)</f>
        <v>0</v>
      </c>
      <c r="BV37" s="14" t="n">
        <f aca="false">IF(AND(BV23=1,BV8&lt;=Inputs!$F$32),1,0)</f>
        <v>0</v>
      </c>
      <c r="BW37" s="14" t="n">
        <f aca="false">IF(AND(BW23=1,BW8&lt;=Inputs!$F$32),1,0)</f>
        <v>0</v>
      </c>
      <c r="BX37" s="14" t="n">
        <f aca="false">IF(AND(BX23=1,BX8&lt;=Inputs!$F$32),1,0)</f>
        <v>0</v>
      </c>
      <c r="BY37" s="14" t="n">
        <f aca="false">IF(AND(BY23=1,BY8&lt;=Inputs!$F$32),1,0)</f>
        <v>0</v>
      </c>
      <c r="BZ37" s="14" t="n">
        <f aca="false">IF(AND(BZ23=1,BZ8&lt;=Inputs!$F$32),1,0)</f>
        <v>0</v>
      </c>
      <c r="CA37" s="14" t="n">
        <f aca="false">IF(AND(CA23=1,CA8&lt;=Inputs!$F$32),1,0)</f>
        <v>0</v>
      </c>
      <c r="CB37" s="14" t="n">
        <f aca="false">IF(AND(CB23=1,CB8&lt;=Inputs!$F$32),1,0)</f>
        <v>0</v>
      </c>
      <c r="CC37" s="14" t="n">
        <f aca="false">IF(AND(CC23=1,CC8&lt;=Inputs!$F$32),1,0)</f>
        <v>0</v>
      </c>
      <c r="CD37" s="14" t="n">
        <f aca="false">IF(AND(CD23=1,CD8&lt;=Inputs!$F$32),1,0)</f>
        <v>0</v>
      </c>
      <c r="CE37" s="14" t="n">
        <f aca="false">IF(AND(CE23=1,CE8&lt;=Inputs!$F$32),1,0)</f>
        <v>0</v>
      </c>
      <c r="CF37" s="14" t="n">
        <f aca="false">IF(AND(CF23=1,CF8&lt;=Inputs!$F$32),1,0)</f>
        <v>0</v>
      </c>
      <c r="CG37" s="14" t="n">
        <f aca="false">IF(AND(CG23=1,CG8&lt;=Inputs!$F$32),1,0)</f>
        <v>0</v>
      </c>
      <c r="CH37" s="14" t="n">
        <f aca="false">IF(AND(CH23=1,CH8&lt;=Inputs!$F$32),1,0)</f>
        <v>0</v>
      </c>
      <c r="CI37" s="14" t="n">
        <f aca="false">IF(AND(CI23=1,CI8&lt;=Inputs!$F$32),1,0)</f>
        <v>0</v>
      </c>
      <c r="CJ37" s="14" t="n">
        <f aca="false">IF(AND(CJ23=1,CJ8&lt;=Inputs!$F$32),1,0)</f>
        <v>0</v>
      </c>
      <c r="CK37" s="14" t="n">
        <f aca="false">IF(AND(CK23=1,CK8&lt;=Inputs!$F$32),1,0)</f>
        <v>0</v>
      </c>
      <c r="CL37" s="14" t="n">
        <f aca="false">IF(AND(CL23=1,CL8&lt;=Inputs!$F$32),1,0)</f>
        <v>0</v>
      </c>
      <c r="CM37" s="14" t="n">
        <f aca="false">IF(AND(CM23=1,CM8&lt;=Inputs!$F$32),1,0)</f>
        <v>0</v>
      </c>
      <c r="CN37" s="14" t="n">
        <f aca="false">IF(AND(CN23=1,CN8&lt;=Inputs!$F$32),1,0)</f>
        <v>0</v>
      </c>
      <c r="CO37" s="14" t="n">
        <f aca="false">IF(AND(CO23=1,CO8&lt;=Inputs!$F$32),1,0)</f>
        <v>0</v>
      </c>
      <c r="CP37" s="14" t="n">
        <f aca="false">IF(AND(CP23=1,CP8&lt;=Inputs!$F$32),1,0)</f>
        <v>0</v>
      </c>
      <c r="CQ37" s="14" t="n">
        <f aca="false">IF(AND(CQ23=1,CQ8&lt;=Inputs!$F$32),1,0)</f>
        <v>0</v>
      </c>
      <c r="CR37" s="14" t="n">
        <f aca="false">IF(AND(CR23=1,CR8&lt;=Inputs!$F$32),1,0)</f>
        <v>0</v>
      </c>
      <c r="CS37" s="14" t="n">
        <f aca="false">IF(AND(CS23=1,CS8&lt;=Inputs!$F$32),1,0)</f>
        <v>0</v>
      </c>
      <c r="CT37" s="14" t="n">
        <f aca="false">IF(AND(CT23=1,CT8&lt;=Inputs!$F$32),1,0)</f>
        <v>0</v>
      </c>
      <c r="CU37" s="14" t="n">
        <f aca="false">IF(AND(CU23=1,CU8&lt;=Inputs!$F$32),1,0)</f>
        <v>0</v>
      </c>
      <c r="CV37" s="14" t="n">
        <f aca="false">IF(AND(CV23=1,CV8&lt;=Inputs!$F$32),1,0)</f>
        <v>0</v>
      </c>
      <c r="CW37" s="14" t="n">
        <f aca="false">IF(AND(CW23=1,CW8&lt;=Inputs!$F$32),1,0)</f>
        <v>0</v>
      </c>
      <c r="CX37" s="14" t="n">
        <f aca="false">IF(AND(CX23=1,CX8&lt;=Inputs!$F$32),1,0)</f>
        <v>0</v>
      </c>
      <c r="CY37" s="14" t="n">
        <f aca="false">IF(AND(CY23=1,CY8&lt;=Inputs!$F$32),1,0)</f>
        <v>0</v>
      </c>
      <c r="CZ37" s="14" t="n">
        <f aca="false">IF(AND(CZ23=1,CZ8&lt;=Inputs!$F$32),1,0)</f>
        <v>0</v>
      </c>
      <c r="DA37" s="14" t="n">
        <f aca="false">IF(AND(DA23=1,DA8&lt;=Inputs!$F$32),1,0)</f>
        <v>0</v>
      </c>
      <c r="DB37" s="14" t="n">
        <f aca="false">IF(AND(DB23=1,DB8&lt;=Inputs!$F$32),1,0)</f>
        <v>0</v>
      </c>
    </row>
    <row r="38" customFormat="false" ht="15" hidden="false" customHeight="false" outlineLevel="0" collapsed="false">
      <c r="D38" s="0" t="s">
        <v>343</v>
      </c>
      <c r="E38" s="0" t="s">
        <v>42</v>
      </c>
      <c r="J38" s="14" t="n">
        <f aca="false">IF(AND(J23=1,J8&lt;=Inputs!$F$33),1,0)</f>
        <v>0</v>
      </c>
      <c r="K38" s="14" t="n">
        <f aca="false">IF(AND(K23=1,K8&lt;=Inputs!$F$33),1,0)</f>
        <v>0</v>
      </c>
      <c r="L38" s="14" t="n">
        <f aca="false">IF(AND(L23=1,L8&lt;=Inputs!$F$33),1,0)</f>
        <v>0</v>
      </c>
      <c r="M38" s="14" t="n">
        <f aca="false">IF(AND(M23=1,M8&lt;=Inputs!$F$33),1,0)</f>
        <v>0</v>
      </c>
      <c r="N38" s="14" t="n">
        <f aca="false">IF(AND(N23=1,N8&lt;=Inputs!$F$33),1,0)</f>
        <v>0</v>
      </c>
      <c r="O38" s="14" t="n">
        <f aca="false">IF(AND(O23=1,O8&lt;=Inputs!$F$33),1,0)</f>
        <v>0</v>
      </c>
      <c r="P38" s="14" t="n">
        <f aca="false">IF(AND(P23=1,P8&lt;=Inputs!$F$33),1,0)</f>
        <v>0</v>
      </c>
      <c r="Q38" s="14" t="n">
        <f aca="false">IF(AND(Q23=1,Q8&lt;=Inputs!$F$33),1,0)</f>
        <v>0</v>
      </c>
      <c r="R38" s="14" t="n">
        <f aca="false">IF(AND(R23=1,R8&lt;=Inputs!$F$33),1,0)</f>
        <v>0</v>
      </c>
      <c r="S38" s="14" t="n">
        <f aca="false">IF(AND(S23=1,S8&lt;=Inputs!$F$33),1,0)</f>
        <v>0</v>
      </c>
      <c r="T38" s="14" t="n">
        <f aca="false">IF(AND(T23=1,T8&lt;=Inputs!$F$33),1,0)</f>
        <v>0</v>
      </c>
      <c r="U38" s="14" t="n">
        <f aca="false">IF(AND(U23=1,U8&lt;=Inputs!$F$33),1,0)</f>
        <v>0</v>
      </c>
      <c r="V38" s="14" t="n">
        <f aca="false">IF(AND(V23=1,V8&lt;=Inputs!$F$33),1,0)</f>
        <v>0</v>
      </c>
      <c r="W38" s="14" t="n">
        <f aca="false">IF(AND(W23=1,W8&lt;=Inputs!$F$33),1,0)</f>
        <v>0</v>
      </c>
      <c r="X38" s="14" t="n">
        <f aca="false">IF(AND(X23=1,X8&lt;=Inputs!$F$33),1,0)</f>
        <v>0</v>
      </c>
      <c r="Y38" s="14" t="n">
        <f aca="false">IF(AND(Y23=1,Y8&lt;=Inputs!$F$33),1,0)</f>
        <v>0</v>
      </c>
      <c r="Z38" s="14" t="n">
        <f aca="false">IF(AND(Z23=1,Z8&lt;=Inputs!$F$33),1,0)</f>
        <v>0</v>
      </c>
      <c r="AA38" s="14" t="n">
        <f aca="false">IF(AND(AA23=1,AA8&lt;=Inputs!$F$33),1,0)</f>
        <v>0</v>
      </c>
      <c r="AB38" s="14" t="n">
        <f aca="false">IF(AND(AB23=1,AB8&lt;=Inputs!$F$33),1,0)</f>
        <v>0</v>
      </c>
      <c r="AC38" s="14" t="n">
        <f aca="false">IF(AND(AC23=1,AC8&lt;=Inputs!$F$33),1,0)</f>
        <v>0</v>
      </c>
      <c r="AD38" s="14" t="n">
        <f aca="false">IF(AND(AD23=1,AD8&lt;=Inputs!$F$33),1,0)</f>
        <v>0</v>
      </c>
      <c r="AE38" s="14" t="n">
        <f aca="false">IF(AND(AE23=1,AE8&lt;=Inputs!$F$33),1,0)</f>
        <v>0</v>
      </c>
      <c r="AF38" s="14" t="n">
        <f aca="false">IF(AND(AF23=1,AF8&lt;=Inputs!$F$33),1,0)</f>
        <v>0</v>
      </c>
      <c r="AG38" s="14" t="n">
        <f aca="false">IF(AND(AG23=1,AG8&lt;=Inputs!$F$33),1,0)</f>
        <v>0</v>
      </c>
      <c r="AH38" s="14" t="n">
        <f aca="false">IF(AND(AH23=1,AH8&lt;=Inputs!$F$33),1,0)</f>
        <v>0</v>
      </c>
      <c r="AI38" s="14" t="n">
        <f aca="false">IF(AND(AI23=1,AI8&lt;=Inputs!$F$33),1,0)</f>
        <v>0</v>
      </c>
      <c r="AJ38" s="14" t="n">
        <f aca="false">IF(AND(AJ23=1,AJ8&lt;=Inputs!$F$33),1,0)</f>
        <v>0</v>
      </c>
      <c r="AK38" s="14" t="n">
        <f aca="false">IF(AND(AK23=1,AK8&lt;=Inputs!$F$33),1,0)</f>
        <v>0</v>
      </c>
      <c r="AL38" s="14" t="n">
        <f aca="false">IF(AND(AL23=1,AL8&lt;=Inputs!$F$33),1,0)</f>
        <v>0</v>
      </c>
      <c r="AM38" s="14" t="n">
        <f aca="false">IF(AND(AM23=1,AM8&lt;=Inputs!$F$33),1,0)</f>
        <v>0</v>
      </c>
      <c r="AN38" s="14" t="n">
        <f aca="false">IF(AND(AN23=1,AN8&lt;=Inputs!$F$33),1,0)</f>
        <v>0</v>
      </c>
      <c r="AO38" s="14" t="n">
        <f aca="false">IF(AND(AO23=1,AO8&lt;=Inputs!$F$33),1,0)</f>
        <v>0</v>
      </c>
      <c r="AP38" s="14" t="n">
        <f aca="false">IF(AND(AP23=1,AP8&lt;=Inputs!$F$33),1,0)</f>
        <v>0</v>
      </c>
      <c r="AQ38" s="14" t="n">
        <f aca="false">IF(AND(AQ23=1,AQ8&lt;=Inputs!$F$33),1,0)</f>
        <v>0</v>
      </c>
      <c r="AR38" s="14" t="n">
        <f aca="false">IF(AND(AR23=1,AR8&lt;=Inputs!$F$33),1,0)</f>
        <v>0</v>
      </c>
      <c r="AS38" s="14" t="n">
        <f aca="false">IF(AND(AS23=1,AS8&lt;=Inputs!$F$33),1,0)</f>
        <v>0</v>
      </c>
      <c r="AT38" s="14" t="n">
        <f aca="false">IF(AND(AT23=1,AT8&lt;=Inputs!$F$33),1,0)</f>
        <v>0</v>
      </c>
      <c r="AU38" s="14" t="n">
        <f aca="false">IF(AND(AU23=1,AU8&lt;=Inputs!$F$33),1,0)</f>
        <v>0</v>
      </c>
      <c r="AV38" s="14" t="n">
        <f aca="false">IF(AND(AV23=1,AV8&lt;=Inputs!$F$33),1,0)</f>
        <v>0</v>
      </c>
      <c r="AW38" s="14" t="n">
        <f aca="false">IF(AND(AW23=1,AW8&lt;=Inputs!$F$33),1,0)</f>
        <v>0</v>
      </c>
      <c r="AX38" s="14" t="n">
        <f aca="false">IF(AND(AX23=1,AX8&lt;=Inputs!$F$33),1,0)</f>
        <v>0</v>
      </c>
      <c r="AY38" s="14" t="n">
        <f aca="false">IF(AND(AY23=1,AY8&lt;=Inputs!$F$33),1,0)</f>
        <v>0</v>
      </c>
      <c r="AZ38" s="14" t="n">
        <f aca="false">IF(AND(AZ23=1,AZ8&lt;=Inputs!$F$33),1,0)</f>
        <v>0</v>
      </c>
      <c r="BA38" s="14" t="n">
        <f aca="false">IF(AND(BA23=1,BA8&lt;=Inputs!$F$33),1,0)</f>
        <v>0</v>
      </c>
      <c r="BB38" s="14" t="n">
        <f aca="false">IF(AND(BB23=1,BB8&lt;=Inputs!$F$33),1,0)</f>
        <v>0</v>
      </c>
      <c r="BC38" s="14" t="n">
        <f aca="false">IF(AND(BC23=1,BC8&lt;=Inputs!$F$33),1,0)</f>
        <v>0</v>
      </c>
      <c r="BD38" s="14" t="n">
        <f aca="false">IF(AND(BD23=1,BD8&lt;=Inputs!$F$33),1,0)</f>
        <v>0</v>
      </c>
      <c r="BE38" s="14" t="n">
        <f aca="false">IF(AND(BE23=1,BE8&lt;=Inputs!$F$33),1,0)</f>
        <v>0</v>
      </c>
      <c r="BF38" s="14" t="n">
        <f aca="false">IF(AND(BF23=1,BF8&lt;=Inputs!$F$33),1,0)</f>
        <v>0</v>
      </c>
      <c r="BG38" s="14" t="n">
        <f aca="false">IF(AND(BG23=1,BG8&lt;=Inputs!$F$33),1,0)</f>
        <v>0</v>
      </c>
      <c r="BH38" s="14" t="n">
        <f aca="false">IF(AND(BH23=1,BH8&lt;=Inputs!$F$33),1,0)</f>
        <v>0</v>
      </c>
      <c r="BI38" s="14" t="n">
        <f aca="false">IF(AND(BI23=1,BI8&lt;=Inputs!$F$33),1,0)</f>
        <v>0</v>
      </c>
      <c r="BJ38" s="14" t="n">
        <f aca="false">IF(AND(BJ23=1,BJ8&lt;=Inputs!$F$33),1,0)</f>
        <v>0</v>
      </c>
      <c r="BK38" s="14" t="n">
        <f aca="false">IF(AND(BK23=1,BK8&lt;=Inputs!$F$33),1,0)</f>
        <v>0</v>
      </c>
      <c r="BL38" s="14" t="n">
        <f aca="false">IF(AND(BL23=1,BL8&lt;=Inputs!$F$33),1,0)</f>
        <v>0</v>
      </c>
      <c r="BM38" s="14" t="n">
        <f aca="false">IF(AND(BM23=1,BM8&lt;=Inputs!$F$33),1,0)</f>
        <v>0</v>
      </c>
      <c r="BN38" s="14" t="n">
        <f aca="false">IF(AND(BN23=1,BN8&lt;=Inputs!$F$33),1,0)</f>
        <v>0</v>
      </c>
      <c r="BO38" s="14" t="n">
        <f aca="false">IF(AND(BO23=1,BO8&lt;=Inputs!$F$33),1,0)</f>
        <v>0</v>
      </c>
      <c r="BP38" s="14" t="n">
        <f aca="false">IF(AND(BP23=1,BP8&lt;=Inputs!$F$33),1,0)</f>
        <v>0</v>
      </c>
      <c r="BQ38" s="14" t="n">
        <f aca="false">IF(AND(BQ23=1,BQ8&lt;=Inputs!$F$33),1,0)</f>
        <v>0</v>
      </c>
      <c r="BR38" s="14" t="n">
        <f aca="false">IF(AND(BR23=1,BR8&lt;=Inputs!$F$33),1,0)</f>
        <v>0</v>
      </c>
      <c r="BS38" s="14" t="n">
        <f aca="false">IF(AND(BS23=1,BS8&lt;=Inputs!$F$33),1,0)</f>
        <v>0</v>
      </c>
      <c r="BT38" s="14" t="n">
        <f aca="false">IF(AND(BT23=1,BT8&lt;=Inputs!$F$33),1,0)</f>
        <v>0</v>
      </c>
      <c r="BU38" s="14" t="n">
        <f aca="false">IF(AND(BU23=1,BU8&lt;=Inputs!$F$33),1,0)</f>
        <v>0</v>
      </c>
      <c r="BV38" s="14" t="n">
        <f aca="false">IF(AND(BV23=1,BV8&lt;=Inputs!$F$33),1,0)</f>
        <v>0</v>
      </c>
      <c r="BW38" s="14" t="n">
        <f aca="false">IF(AND(BW23=1,BW8&lt;=Inputs!$F$33),1,0)</f>
        <v>0</v>
      </c>
      <c r="BX38" s="14" t="n">
        <f aca="false">IF(AND(BX23=1,BX8&lt;=Inputs!$F$33),1,0)</f>
        <v>0</v>
      </c>
      <c r="BY38" s="14" t="n">
        <f aca="false">IF(AND(BY23=1,BY8&lt;=Inputs!$F$33),1,0)</f>
        <v>0</v>
      </c>
      <c r="BZ38" s="14" t="n">
        <f aca="false">IF(AND(BZ23=1,BZ8&lt;=Inputs!$F$33),1,0)</f>
        <v>0</v>
      </c>
      <c r="CA38" s="14" t="n">
        <f aca="false">IF(AND(CA23=1,CA8&lt;=Inputs!$F$33),1,0)</f>
        <v>0</v>
      </c>
      <c r="CB38" s="14" t="n">
        <f aca="false">IF(AND(CB23=1,CB8&lt;=Inputs!$F$33),1,0)</f>
        <v>0</v>
      </c>
      <c r="CC38" s="14" t="n">
        <f aca="false">IF(AND(CC23=1,CC8&lt;=Inputs!$F$33),1,0)</f>
        <v>0</v>
      </c>
      <c r="CD38" s="14" t="n">
        <f aca="false">IF(AND(CD23=1,CD8&lt;=Inputs!$F$33),1,0)</f>
        <v>0</v>
      </c>
      <c r="CE38" s="14" t="n">
        <f aca="false">IF(AND(CE23=1,CE8&lt;=Inputs!$F$33),1,0)</f>
        <v>0</v>
      </c>
      <c r="CF38" s="14" t="n">
        <f aca="false">IF(AND(CF23=1,CF8&lt;=Inputs!$F$33),1,0)</f>
        <v>0</v>
      </c>
      <c r="CG38" s="14" t="n">
        <f aca="false">IF(AND(CG23=1,CG8&lt;=Inputs!$F$33),1,0)</f>
        <v>0</v>
      </c>
      <c r="CH38" s="14" t="n">
        <f aca="false">IF(AND(CH23=1,CH8&lt;=Inputs!$F$33),1,0)</f>
        <v>0</v>
      </c>
      <c r="CI38" s="14" t="n">
        <f aca="false">IF(AND(CI23=1,CI8&lt;=Inputs!$F$33),1,0)</f>
        <v>0</v>
      </c>
      <c r="CJ38" s="14" t="n">
        <f aca="false">IF(AND(CJ23=1,CJ8&lt;=Inputs!$F$33),1,0)</f>
        <v>0</v>
      </c>
      <c r="CK38" s="14" t="n">
        <f aca="false">IF(AND(CK23=1,CK8&lt;=Inputs!$F$33),1,0)</f>
        <v>0</v>
      </c>
      <c r="CL38" s="14" t="n">
        <f aca="false">IF(AND(CL23=1,CL8&lt;=Inputs!$F$33),1,0)</f>
        <v>0</v>
      </c>
      <c r="CM38" s="14" t="n">
        <f aca="false">IF(AND(CM23=1,CM8&lt;=Inputs!$F$33),1,0)</f>
        <v>0</v>
      </c>
      <c r="CN38" s="14" t="n">
        <f aca="false">IF(AND(CN23=1,CN8&lt;=Inputs!$F$33),1,0)</f>
        <v>0</v>
      </c>
      <c r="CO38" s="14" t="n">
        <f aca="false">IF(AND(CO23=1,CO8&lt;=Inputs!$F$33),1,0)</f>
        <v>0</v>
      </c>
      <c r="CP38" s="14" t="n">
        <f aca="false">IF(AND(CP23=1,CP8&lt;=Inputs!$F$33),1,0)</f>
        <v>0</v>
      </c>
      <c r="CQ38" s="14" t="n">
        <f aca="false">IF(AND(CQ23=1,CQ8&lt;=Inputs!$F$33),1,0)</f>
        <v>0</v>
      </c>
      <c r="CR38" s="14" t="n">
        <f aca="false">IF(AND(CR23=1,CR8&lt;=Inputs!$F$33),1,0)</f>
        <v>0</v>
      </c>
      <c r="CS38" s="14" t="n">
        <f aca="false">IF(AND(CS23=1,CS8&lt;=Inputs!$F$33),1,0)</f>
        <v>0</v>
      </c>
      <c r="CT38" s="14" t="n">
        <f aca="false">IF(AND(CT23=1,CT8&lt;=Inputs!$F$33),1,0)</f>
        <v>0</v>
      </c>
      <c r="CU38" s="14" t="n">
        <f aca="false">IF(AND(CU23=1,CU8&lt;=Inputs!$F$33),1,0)</f>
        <v>0</v>
      </c>
      <c r="CV38" s="14" t="n">
        <f aca="false">IF(AND(CV23=1,CV8&lt;=Inputs!$F$33),1,0)</f>
        <v>0</v>
      </c>
      <c r="CW38" s="14" t="n">
        <f aca="false">IF(AND(CW23=1,CW8&lt;=Inputs!$F$33),1,0)</f>
        <v>0</v>
      </c>
      <c r="CX38" s="14" t="n">
        <f aca="false">IF(AND(CX23=1,CX8&lt;=Inputs!$F$33),1,0)</f>
        <v>0</v>
      </c>
      <c r="CY38" s="14" t="n">
        <f aca="false">IF(AND(CY23=1,CY8&lt;=Inputs!$F$33),1,0)</f>
        <v>0</v>
      </c>
      <c r="CZ38" s="14" t="n">
        <f aca="false">IF(AND(CZ23=1,CZ8&lt;=Inputs!$F$33),1,0)</f>
        <v>0</v>
      </c>
      <c r="DA38" s="14" t="n">
        <f aca="false">IF(AND(DA23=1,DA8&lt;=Inputs!$F$33),1,0)</f>
        <v>0</v>
      </c>
      <c r="DB38" s="14" t="n">
        <f aca="false">IF(AND(DB23=1,DB8&lt;=Inputs!$F$33),1,0)</f>
        <v>0</v>
      </c>
    </row>
    <row r="39" customFormat="false" ht="15" hidden="false" customHeight="false" outlineLevel="0" collapsed="false">
      <c r="D39" s="0" t="s">
        <v>344</v>
      </c>
      <c r="E39" s="0" t="s">
        <v>42</v>
      </c>
      <c r="J39" s="14" t="n">
        <f aca="false">IF(AND(Inputs!$F$213=1,J26=1,J8&lt;=Inputs!$F$214),1,0)</f>
        <v>0</v>
      </c>
      <c r="K39" s="14" t="n">
        <f aca="false">IF(AND(Inputs!$F$213=1,K26=1,K8&lt;=Inputs!$F$214),1,0)</f>
        <v>0</v>
      </c>
      <c r="L39" s="14" t="n">
        <f aca="false">IF(AND(Inputs!$F$213=1,L26=1,L8&lt;=Inputs!$F$214),1,0)</f>
        <v>0</v>
      </c>
      <c r="M39" s="14" t="n">
        <f aca="false">IF(AND(Inputs!$F$213=1,M26=1,M8&lt;=Inputs!$F$214),1,0)</f>
        <v>0</v>
      </c>
      <c r="N39" s="14" t="n">
        <f aca="false">IF(AND(Inputs!$F$213=1,N26=1,N8&lt;=Inputs!$F$214),1,0)</f>
        <v>0</v>
      </c>
      <c r="O39" s="14" t="n">
        <f aca="false">IF(AND(Inputs!$F$213=1,O26=1,O8&lt;=Inputs!$F$214),1,0)</f>
        <v>0</v>
      </c>
      <c r="P39" s="14" t="n">
        <f aca="false">IF(AND(Inputs!$F$213=1,P26=1,P8&lt;=Inputs!$F$214),1,0)</f>
        <v>0</v>
      </c>
      <c r="Q39" s="14" t="n">
        <f aca="false">IF(AND(Inputs!$F$213=1,Q26=1,Q8&lt;=Inputs!$F$214),1,0)</f>
        <v>0</v>
      </c>
      <c r="R39" s="14" t="n">
        <f aca="false">IF(AND(Inputs!$F$213=1,R26=1,R8&lt;=Inputs!$F$214),1,0)</f>
        <v>0</v>
      </c>
      <c r="S39" s="14" t="n">
        <f aca="false">IF(AND(Inputs!$F$213=1,S26=1,S8&lt;=Inputs!$F$214),1,0)</f>
        <v>0</v>
      </c>
      <c r="T39" s="14" t="n">
        <f aca="false">IF(AND(Inputs!$F$213=1,T26=1,T8&lt;=Inputs!$F$214),1,0)</f>
        <v>0</v>
      </c>
      <c r="U39" s="14" t="n">
        <f aca="false">IF(AND(Inputs!$F$213=1,U26=1,U8&lt;=Inputs!$F$214),1,0)</f>
        <v>0</v>
      </c>
      <c r="V39" s="14" t="n">
        <f aca="false">IF(AND(Inputs!$F$213=1,V26=1,V8&lt;=Inputs!$F$214),1,0)</f>
        <v>0</v>
      </c>
      <c r="W39" s="14" t="n">
        <f aca="false">IF(AND(Inputs!$F$213=1,W26=1,W8&lt;=Inputs!$F$214),1,0)</f>
        <v>0</v>
      </c>
      <c r="X39" s="14" t="n">
        <f aca="false">IF(AND(Inputs!$F$213=1,X26=1,X8&lt;=Inputs!$F$214),1,0)</f>
        <v>0</v>
      </c>
      <c r="Y39" s="14" t="n">
        <f aca="false">IF(AND(Inputs!$F$213=1,Y26=1,Y8&lt;=Inputs!$F$214),1,0)</f>
        <v>0</v>
      </c>
      <c r="Z39" s="14" t="n">
        <f aca="false">IF(AND(Inputs!$F$213=1,Z26=1,Z8&lt;=Inputs!$F$214),1,0)</f>
        <v>0</v>
      </c>
      <c r="AA39" s="14" t="n">
        <f aca="false">IF(AND(Inputs!$F$213=1,AA26=1,AA8&lt;=Inputs!$F$214),1,0)</f>
        <v>0</v>
      </c>
      <c r="AB39" s="14" t="n">
        <f aca="false">IF(AND(Inputs!$F$213=1,AB26=1,AB8&lt;=Inputs!$F$214),1,0)</f>
        <v>0</v>
      </c>
      <c r="AC39" s="14" t="n">
        <f aca="false">IF(AND(Inputs!$F$213=1,AC26=1,AC8&lt;=Inputs!$F$214),1,0)</f>
        <v>0</v>
      </c>
      <c r="AD39" s="14" t="n">
        <f aca="false">IF(AND(Inputs!$F$213=1,AD26=1,AD8&lt;=Inputs!$F$214),1,0)</f>
        <v>0</v>
      </c>
      <c r="AE39" s="14" t="n">
        <f aca="false">IF(AND(Inputs!$F$213=1,AE26=1,AE8&lt;=Inputs!$F$214),1,0)</f>
        <v>0</v>
      </c>
      <c r="AF39" s="14" t="n">
        <f aca="false">IF(AND(Inputs!$F$213=1,AF26=1,AF8&lt;=Inputs!$F$214),1,0)</f>
        <v>0</v>
      </c>
      <c r="AG39" s="14" t="n">
        <f aca="false">IF(AND(Inputs!$F$213=1,AG26=1,AG8&lt;=Inputs!$F$214),1,0)</f>
        <v>0</v>
      </c>
      <c r="AH39" s="14" t="n">
        <f aca="false">IF(AND(Inputs!$F$213=1,AH26=1,AH8&lt;=Inputs!$F$214),1,0)</f>
        <v>0</v>
      </c>
      <c r="AI39" s="14" t="n">
        <f aca="false">IF(AND(Inputs!$F$213=1,AI26=1,AI8&lt;=Inputs!$F$214),1,0)</f>
        <v>0</v>
      </c>
      <c r="AJ39" s="14" t="n">
        <f aca="false">IF(AND(Inputs!$F$213=1,AJ26=1,AJ8&lt;=Inputs!$F$214),1,0)</f>
        <v>0</v>
      </c>
      <c r="AK39" s="14" t="n">
        <f aca="false">IF(AND(Inputs!$F$213=1,AK26=1,AK8&lt;=Inputs!$F$214),1,0)</f>
        <v>0</v>
      </c>
      <c r="AL39" s="14" t="n">
        <f aca="false">IF(AND(Inputs!$F$213=1,AL26=1,AL8&lt;=Inputs!$F$214),1,0)</f>
        <v>0</v>
      </c>
      <c r="AM39" s="14" t="n">
        <f aca="false">IF(AND(Inputs!$F$213=1,AM26=1,AM8&lt;=Inputs!$F$214),1,0)</f>
        <v>0</v>
      </c>
      <c r="AN39" s="14" t="n">
        <f aca="false">IF(AND(Inputs!$F$213=1,AN26=1,AN8&lt;=Inputs!$F$214),1,0)</f>
        <v>0</v>
      </c>
      <c r="AO39" s="14" t="n">
        <f aca="false">IF(AND(Inputs!$F$213=1,AO26=1,AO8&lt;=Inputs!$F$214),1,0)</f>
        <v>0</v>
      </c>
      <c r="AP39" s="14" t="n">
        <f aca="false">IF(AND(Inputs!$F$213=1,AP26=1,AP8&lt;=Inputs!$F$214),1,0)</f>
        <v>0</v>
      </c>
      <c r="AQ39" s="14" t="n">
        <f aca="false">IF(AND(Inputs!$F$213=1,AQ26=1,AQ8&lt;=Inputs!$F$214),1,0)</f>
        <v>0</v>
      </c>
      <c r="AR39" s="14" t="n">
        <f aca="false">IF(AND(Inputs!$F$213=1,AR26=1,AR8&lt;=Inputs!$F$214),1,0)</f>
        <v>0</v>
      </c>
      <c r="AS39" s="14" t="n">
        <f aca="false">IF(AND(Inputs!$F$213=1,AS26=1,AS8&lt;=Inputs!$F$214),1,0)</f>
        <v>0</v>
      </c>
      <c r="AT39" s="14" t="n">
        <f aca="false">IF(AND(Inputs!$F$213=1,AT26=1,AT8&lt;=Inputs!$F$214),1,0)</f>
        <v>0</v>
      </c>
      <c r="AU39" s="14" t="n">
        <f aca="false">IF(AND(Inputs!$F$213=1,AU26=1,AU8&lt;=Inputs!$F$214),1,0)</f>
        <v>0</v>
      </c>
      <c r="AV39" s="14" t="n">
        <f aca="false">IF(AND(Inputs!$F$213=1,AV26=1,AV8&lt;=Inputs!$F$214),1,0)</f>
        <v>0</v>
      </c>
      <c r="AW39" s="14" t="n">
        <f aca="false">IF(AND(Inputs!$F$213=1,AW26=1,AW8&lt;=Inputs!$F$214),1,0)</f>
        <v>0</v>
      </c>
      <c r="AX39" s="14" t="n">
        <f aca="false">IF(AND(Inputs!$F$213=1,AX26=1,AX8&lt;=Inputs!$F$214),1,0)</f>
        <v>0</v>
      </c>
      <c r="AY39" s="14" t="n">
        <f aca="false">IF(AND(Inputs!$F$213=1,AY26=1,AY8&lt;=Inputs!$F$214),1,0)</f>
        <v>0</v>
      </c>
      <c r="AZ39" s="14" t="n">
        <f aca="false">IF(AND(Inputs!$F$213=1,AZ26=1,AZ8&lt;=Inputs!$F$214),1,0)</f>
        <v>0</v>
      </c>
      <c r="BA39" s="14" t="n">
        <f aca="false">IF(AND(Inputs!$F$213=1,BA26=1,BA8&lt;=Inputs!$F$214),1,0)</f>
        <v>0</v>
      </c>
      <c r="BB39" s="14" t="n">
        <f aca="false">IF(AND(Inputs!$F$213=1,BB26=1,BB8&lt;=Inputs!$F$214),1,0)</f>
        <v>0</v>
      </c>
      <c r="BC39" s="14" t="n">
        <f aca="false">IF(AND(Inputs!$F$213=1,BC26=1,BC8&lt;=Inputs!$F$214),1,0)</f>
        <v>0</v>
      </c>
      <c r="BD39" s="14" t="n">
        <f aca="false">IF(AND(Inputs!$F$213=1,BD26=1,BD8&lt;=Inputs!$F$214),1,0)</f>
        <v>0</v>
      </c>
      <c r="BE39" s="14" t="n">
        <f aca="false">IF(AND(Inputs!$F$213=1,BE26=1,BE8&lt;=Inputs!$F$214),1,0)</f>
        <v>0</v>
      </c>
      <c r="BF39" s="14" t="n">
        <f aca="false">IF(AND(Inputs!$F$213=1,BF26=1,BF8&lt;=Inputs!$F$214),1,0)</f>
        <v>0</v>
      </c>
      <c r="BG39" s="14" t="n">
        <f aca="false">IF(AND(Inputs!$F$213=1,BG26=1,BG8&lt;=Inputs!$F$214),1,0)</f>
        <v>0</v>
      </c>
      <c r="BH39" s="14" t="n">
        <f aca="false">IF(AND(Inputs!$F$213=1,BH26=1,BH8&lt;=Inputs!$F$214),1,0)</f>
        <v>0</v>
      </c>
      <c r="BI39" s="14" t="n">
        <f aca="false">IF(AND(Inputs!$F$213=1,BI26=1,BI8&lt;=Inputs!$F$214),1,0)</f>
        <v>0</v>
      </c>
      <c r="BJ39" s="14" t="n">
        <f aca="false">IF(AND(Inputs!$F$213=1,BJ26=1,BJ8&lt;=Inputs!$F$214),1,0)</f>
        <v>0</v>
      </c>
      <c r="BK39" s="14" t="n">
        <f aca="false">IF(AND(Inputs!$F$213=1,BK26=1,BK8&lt;=Inputs!$F$214),1,0)</f>
        <v>0</v>
      </c>
      <c r="BL39" s="14" t="n">
        <f aca="false">IF(AND(Inputs!$F$213=1,BL26=1,BL8&lt;=Inputs!$F$214),1,0)</f>
        <v>0</v>
      </c>
      <c r="BM39" s="14" t="n">
        <f aca="false">IF(AND(Inputs!$F$213=1,BM26=1,BM8&lt;=Inputs!$F$214),1,0)</f>
        <v>0</v>
      </c>
      <c r="BN39" s="14" t="n">
        <f aca="false">IF(AND(Inputs!$F$213=1,BN26=1,BN8&lt;=Inputs!$F$214),1,0)</f>
        <v>0</v>
      </c>
      <c r="BO39" s="14" t="n">
        <f aca="false">IF(AND(Inputs!$F$213=1,BO26=1,BO8&lt;=Inputs!$F$214),1,0)</f>
        <v>0</v>
      </c>
      <c r="BP39" s="14" t="n">
        <f aca="false">IF(AND(Inputs!$F$213=1,BP26=1,BP8&lt;=Inputs!$F$214),1,0)</f>
        <v>0</v>
      </c>
      <c r="BQ39" s="14" t="n">
        <f aca="false">IF(AND(Inputs!$F$213=1,BQ26=1,BQ8&lt;=Inputs!$F$214),1,0)</f>
        <v>0</v>
      </c>
      <c r="BR39" s="14" t="n">
        <f aca="false">IF(AND(Inputs!$F$213=1,BR26=1,BR8&lt;=Inputs!$F$214),1,0)</f>
        <v>0</v>
      </c>
      <c r="BS39" s="14" t="n">
        <f aca="false">IF(AND(Inputs!$F$213=1,BS26=1,BS8&lt;=Inputs!$F$214),1,0)</f>
        <v>0</v>
      </c>
      <c r="BT39" s="14" t="n">
        <f aca="false">IF(AND(Inputs!$F$213=1,BT26=1,BT8&lt;=Inputs!$F$214),1,0)</f>
        <v>0</v>
      </c>
      <c r="BU39" s="14" t="n">
        <f aca="false">IF(AND(Inputs!$F$213=1,BU26=1,BU8&lt;=Inputs!$F$214),1,0)</f>
        <v>0</v>
      </c>
      <c r="BV39" s="14" t="n">
        <f aca="false">IF(AND(Inputs!$F$213=1,BV26=1,BV8&lt;=Inputs!$F$214),1,0)</f>
        <v>0</v>
      </c>
      <c r="BW39" s="14" t="n">
        <f aca="false">IF(AND(Inputs!$F$213=1,BW26=1,BW8&lt;=Inputs!$F$214),1,0)</f>
        <v>0</v>
      </c>
      <c r="BX39" s="14" t="n">
        <f aca="false">IF(AND(Inputs!$F$213=1,BX26=1,BX8&lt;=Inputs!$F$214),1,0)</f>
        <v>0</v>
      </c>
      <c r="BY39" s="14" t="n">
        <f aca="false">IF(AND(Inputs!$F$213=1,BY26=1,BY8&lt;=Inputs!$F$214),1,0)</f>
        <v>0</v>
      </c>
      <c r="BZ39" s="14" t="n">
        <f aca="false">IF(AND(Inputs!$F$213=1,BZ26=1,BZ8&lt;=Inputs!$F$214),1,0)</f>
        <v>0</v>
      </c>
      <c r="CA39" s="14" t="n">
        <f aca="false">IF(AND(Inputs!$F$213=1,CA26=1,CA8&lt;=Inputs!$F$214),1,0)</f>
        <v>0</v>
      </c>
      <c r="CB39" s="14" t="n">
        <f aca="false">IF(AND(Inputs!$F$213=1,CB26=1,CB8&lt;=Inputs!$F$214),1,0)</f>
        <v>0</v>
      </c>
      <c r="CC39" s="14" t="n">
        <f aca="false">IF(AND(Inputs!$F$213=1,CC26=1,CC8&lt;=Inputs!$F$214),1,0)</f>
        <v>0</v>
      </c>
      <c r="CD39" s="14" t="n">
        <f aca="false">IF(AND(Inputs!$F$213=1,CD26=1,CD8&lt;=Inputs!$F$214),1,0)</f>
        <v>0</v>
      </c>
      <c r="CE39" s="14" t="n">
        <f aca="false">IF(AND(Inputs!$F$213=1,CE26=1,CE8&lt;=Inputs!$F$214),1,0)</f>
        <v>0</v>
      </c>
      <c r="CF39" s="14" t="n">
        <f aca="false">IF(AND(Inputs!$F$213=1,CF26=1,CF8&lt;=Inputs!$F$214),1,0)</f>
        <v>0</v>
      </c>
      <c r="CG39" s="14" t="n">
        <f aca="false">IF(AND(Inputs!$F$213=1,CG26=1,CG8&lt;=Inputs!$F$214),1,0)</f>
        <v>0</v>
      </c>
      <c r="CH39" s="14" t="n">
        <f aca="false">IF(AND(Inputs!$F$213=1,CH26=1,CH8&lt;=Inputs!$F$214),1,0)</f>
        <v>0</v>
      </c>
      <c r="CI39" s="14" t="n">
        <f aca="false">IF(AND(Inputs!$F$213=1,CI26=1,CI8&lt;=Inputs!$F$214),1,0)</f>
        <v>0</v>
      </c>
      <c r="CJ39" s="14" t="n">
        <f aca="false">IF(AND(Inputs!$F$213=1,CJ26=1,CJ8&lt;=Inputs!$F$214),1,0)</f>
        <v>0</v>
      </c>
      <c r="CK39" s="14" t="n">
        <f aca="false">IF(AND(Inputs!$F$213=1,CK26=1,CK8&lt;=Inputs!$F$214),1,0)</f>
        <v>0</v>
      </c>
      <c r="CL39" s="14" t="n">
        <f aca="false">IF(AND(Inputs!$F$213=1,CL26=1,CL8&lt;=Inputs!$F$214),1,0)</f>
        <v>0</v>
      </c>
      <c r="CM39" s="14" t="n">
        <f aca="false">IF(AND(Inputs!$F$213=1,CM26=1,CM8&lt;=Inputs!$F$214),1,0)</f>
        <v>0</v>
      </c>
      <c r="CN39" s="14" t="n">
        <f aca="false">IF(AND(Inputs!$F$213=1,CN26=1,CN8&lt;=Inputs!$F$214),1,0)</f>
        <v>0</v>
      </c>
      <c r="CO39" s="14" t="n">
        <f aca="false">IF(AND(Inputs!$F$213=1,CO26=1,CO8&lt;=Inputs!$F$214),1,0)</f>
        <v>0</v>
      </c>
      <c r="CP39" s="14" t="n">
        <f aca="false">IF(AND(Inputs!$F$213=1,CP26=1,CP8&lt;=Inputs!$F$214),1,0)</f>
        <v>0</v>
      </c>
      <c r="CQ39" s="14" t="n">
        <f aca="false">IF(AND(Inputs!$F$213=1,CQ26=1,CQ8&lt;=Inputs!$F$214),1,0)</f>
        <v>0</v>
      </c>
      <c r="CR39" s="14" t="n">
        <f aca="false">IF(AND(Inputs!$F$213=1,CR26=1,CR8&lt;=Inputs!$F$214),1,0)</f>
        <v>0</v>
      </c>
      <c r="CS39" s="14" t="n">
        <f aca="false">IF(AND(Inputs!$F$213=1,CS26=1,CS8&lt;=Inputs!$F$214),1,0)</f>
        <v>0</v>
      </c>
      <c r="CT39" s="14" t="n">
        <f aca="false">IF(AND(Inputs!$F$213=1,CT26=1,CT8&lt;=Inputs!$F$214),1,0)</f>
        <v>0</v>
      </c>
      <c r="CU39" s="14" t="n">
        <f aca="false">IF(AND(Inputs!$F$213=1,CU26=1,CU8&lt;=Inputs!$F$214),1,0)</f>
        <v>0</v>
      </c>
      <c r="CV39" s="14" t="n">
        <f aca="false">IF(AND(Inputs!$F$213=1,CV26=1,CV8&lt;=Inputs!$F$214),1,0)</f>
        <v>0</v>
      </c>
      <c r="CW39" s="14" t="n">
        <f aca="false">IF(AND(Inputs!$F$213=1,CW26=1,CW8&lt;=Inputs!$F$214),1,0)</f>
        <v>0</v>
      </c>
      <c r="CX39" s="14" t="n">
        <f aca="false">IF(AND(Inputs!$F$213=1,CX26=1,CX8&lt;=Inputs!$F$214),1,0)</f>
        <v>0</v>
      </c>
      <c r="CY39" s="14" t="n">
        <f aca="false">IF(AND(Inputs!$F$213=1,CY26=1,CY8&lt;=Inputs!$F$214),1,0)</f>
        <v>0</v>
      </c>
      <c r="CZ39" s="14" t="n">
        <f aca="false">IF(AND(Inputs!$F$213=1,CZ26=1,CZ8&lt;=Inputs!$F$214),1,0)</f>
        <v>0</v>
      </c>
      <c r="DA39" s="14" t="n">
        <f aca="false">IF(AND(Inputs!$F$213=1,DA26=1,DA8&lt;=Inputs!$F$214),1,0)</f>
        <v>0</v>
      </c>
      <c r="DB39" s="14" t="n">
        <f aca="false">IF(AND(Inputs!$F$213=1,DB26=1,DB8&lt;=Inputs!$F$214),1,0)</f>
        <v>0</v>
      </c>
    </row>
    <row r="40" customFormat="false" ht="15" hidden="false" customHeight="false" outlineLevel="0" collapsed="false">
      <c r="D40" s="0" t="s">
        <v>345</v>
      </c>
      <c r="E40" s="0" t="s">
        <v>171</v>
      </c>
      <c r="J40" s="16" t="n">
        <f aca="false">MIN(1,MAX(0,(MIN(J8,Inputs!$F$23)-J7)/J9))</f>
        <v>1</v>
      </c>
      <c r="K40" s="16" t="n">
        <f aca="false">MIN(1,MAX(0,(MIN(K8,Inputs!$F$23)-K7)/K9))</f>
        <v>1</v>
      </c>
      <c r="L40" s="16" t="n">
        <f aca="false">MIN(1,MAX(0,(MIN(L8,Inputs!$F$23)-L7)/L9))</f>
        <v>1</v>
      </c>
      <c r="M40" s="16" t="n">
        <f aca="false">MIN(1,MAX(0,(MIN(M8,Inputs!$F$23)-M7)/M9))</f>
        <v>1</v>
      </c>
      <c r="N40" s="16" t="n">
        <f aca="false">MIN(1,MAX(0,(MIN(N8,Inputs!$F$23)-N7)/N9))</f>
        <v>1</v>
      </c>
      <c r="O40" s="16" t="n">
        <f aca="false">MIN(1,MAX(0,(MIN(O8,Inputs!$F$23)-O7)/O9))</f>
        <v>1</v>
      </c>
      <c r="P40" s="16" t="n">
        <f aca="false">MIN(1,MAX(0,(MIN(P8,Inputs!$F$23)-P7)/P9))</f>
        <v>1</v>
      </c>
      <c r="Q40" s="16" t="n">
        <f aca="false">MIN(1,MAX(0,(MIN(Q8,Inputs!$F$23)-Q7)/Q9))</f>
        <v>1</v>
      </c>
      <c r="R40" s="16" t="n">
        <f aca="false">MIN(1,MAX(0,(MIN(R8,Inputs!$F$23)-R7)/R9))</f>
        <v>1</v>
      </c>
      <c r="S40" s="16" t="n">
        <f aca="false">MIN(1,MAX(0,(MIN(S8,Inputs!$F$23)-S7)/S9))</f>
        <v>1</v>
      </c>
      <c r="T40" s="16" t="n">
        <f aca="false">MIN(1,MAX(0,(MIN(T8,Inputs!$F$23)-T7)/T9))</f>
        <v>1</v>
      </c>
      <c r="U40" s="16" t="n">
        <f aca="false">MIN(1,MAX(0,(MIN(U8,Inputs!$F$23)-U7)/U9))</f>
        <v>1</v>
      </c>
      <c r="V40" s="16" t="n">
        <f aca="false">MIN(1,MAX(0,(MIN(V8,Inputs!$F$23)-V7)/V9))</f>
        <v>1</v>
      </c>
      <c r="W40" s="16" t="n">
        <f aca="false">MIN(1,MAX(0,(MIN(W8,Inputs!$F$23)-W7)/W9))</f>
        <v>1</v>
      </c>
      <c r="X40" s="16" t="n">
        <f aca="false">MIN(1,MAX(0,(MIN(X8,Inputs!$F$23)-X7)/X9))</f>
        <v>1</v>
      </c>
      <c r="Y40" s="16" t="n">
        <f aca="false">MIN(1,MAX(0,(MIN(Y8,Inputs!$F$23)-Y7)/Y9))</f>
        <v>1</v>
      </c>
      <c r="Z40" s="16" t="n">
        <f aca="false">MIN(1,MAX(0,(MIN(Z8,Inputs!$F$23)-Z7)/Z9))</f>
        <v>1</v>
      </c>
      <c r="AA40" s="16" t="n">
        <f aca="false">MIN(1,MAX(0,(MIN(AA8,Inputs!$F$23)-AA7)/AA9))</f>
        <v>1</v>
      </c>
      <c r="AB40" s="16" t="n">
        <f aca="false">MIN(1,MAX(0,(MIN(AB8,Inputs!$F$23)-AB7)/AB9))</f>
        <v>0.813186813186813</v>
      </c>
      <c r="AC40" s="16" t="n">
        <f aca="false">MIN(1,MAX(0,(MIN(AC8,Inputs!$F$23)-AC7)/AC9))</f>
        <v>0</v>
      </c>
      <c r="AD40" s="16" t="n">
        <f aca="false">MIN(1,MAX(0,(MIN(AD8,Inputs!$F$23)-AD7)/AD9))</f>
        <v>0</v>
      </c>
      <c r="AE40" s="16" t="n">
        <f aca="false">MIN(1,MAX(0,(MIN(AE8,Inputs!$F$23)-AE7)/AE9))</f>
        <v>0</v>
      </c>
      <c r="AF40" s="16" t="n">
        <f aca="false">MIN(1,MAX(0,(MIN(AF8,Inputs!$F$23)-AF7)/AF9))</f>
        <v>0</v>
      </c>
      <c r="AG40" s="16" t="n">
        <f aca="false">MIN(1,MAX(0,(MIN(AG8,Inputs!$F$23)-AG7)/AG9))</f>
        <v>0</v>
      </c>
      <c r="AH40" s="16" t="n">
        <f aca="false">MIN(1,MAX(0,(MIN(AH8,Inputs!$F$23)-AH7)/AH9))</f>
        <v>0</v>
      </c>
      <c r="AI40" s="16" t="n">
        <f aca="false">MIN(1,MAX(0,(MIN(AI8,Inputs!$F$23)-AI7)/AI9))</f>
        <v>0</v>
      </c>
      <c r="AJ40" s="16" t="n">
        <f aca="false">MIN(1,MAX(0,(MIN(AJ8,Inputs!$F$23)-AJ7)/AJ9))</f>
        <v>0</v>
      </c>
      <c r="AK40" s="16" t="n">
        <f aca="false">MIN(1,MAX(0,(MIN(AK8,Inputs!$F$23)-AK7)/AK9))</f>
        <v>0</v>
      </c>
      <c r="AL40" s="16" t="n">
        <f aca="false">MIN(1,MAX(0,(MIN(AL8,Inputs!$F$23)-AL7)/AL9))</f>
        <v>0</v>
      </c>
      <c r="AM40" s="16" t="n">
        <f aca="false">MIN(1,MAX(0,(MIN(AM8,Inputs!$F$23)-AM7)/AM9))</f>
        <v>0</v>
      </c>
      <c r="AN40" s="16" t="n">
        <f aca="false">MIN(1,MAX(0,(MIN(AN8,Inputs!$F$23)-AN7)/AN9))</f>
        <v>0</v>
      </c>
      <c r="AO40" s="16" t="n">
        <f aca="false">MIN(1,MAX(0,(MIN(AO8,Inputs!$F$23)-AO7)/AO9))</f>
        <v>0</v>
      </c>
      <c r="AP40" s="16" t="n">
        <f aca="false">MIN(1,MAX(0,(MIN(AP8,Inputs!$F$23)-AP7)/AP9))</f>
        <v>0</v>
      </c>
      <c r="AQ40" s="16" t="n">
        <f aca="false">MIN(1,MAX(0,(MIN(AQ8,Inputs!$F$23)-AQ7)/AQ9))</f>
        <v>0</v>
      </c>
      <c r="AR40" s="16" t="n">
        <f aca="false">MIN(1,MAX(0,(MIN(AR8,Inputs!$F$23)-AR7)/AR9))</f>
        <v>0</v>
      </c>
      <c r="AS40" s="16" t="n">
        <f aca="false">MIN(1,MAX(0,(MIN(AS8,Inputs!$F$23)-AS7)/AS9))</f>
        <v>0</v>
      </c>
      <c r="AT40" s="16" t="n">
        <f aca="false">MIN(1,MAX(0,(MIN(AT8,Inputs!$F$23)-AT7)/AT9))</f>
        <v>0</v>
      </c>
      <c r="AU40" s="16" t="n">
        <f aca="false">MIN(1,MAX(0,(MIN(AU8,Inputs!$F$23)-AU7)/AU9))</f>
        <v>0</v>
      </c>
      <c r="AV40" s="16" t="n">
        <f aca="false">MIN(1,MAX(0,(MIN(AV8,Inputs!$F$23)-AV7)/AV9))</f>
        <v>0</v>
      </c>
      <c r="AW40" s="16" t="n">
        <f aca="false">MIN(1,MAX(0,(MIN(AW8,Inputs!$F$23)-AW7)/AW9))</f>
        <v>0</v>
      </c>
      <c r="AX40" s="16" t="n">
        <f aca="false">MIN(1,MAX(0,(MIN(AX8,Inputs!$F$23)-AX7)/AX9))</f>
        <v>0</v>
      </c>
      <c r="AY40" s="16" t="n">
        <f aca="false">MIN(1,MAX(0,(MIN(AY8,Inputs!$F$23)-AY7)/AY9))</f>
        <v>0</v>
      </c>
      <c r="AZ40" s="16" t="n">
        <f aca="false">MIN(1,MAX(0,(MIN(AZ8,Inputs!$F$23)-AZ7)/AZ9))</f>
        <v>0</v>
      </c>
      <c r="BA40" s="16" t="n">
        <f aca="false">MIN(1,MAX(0,(MIN(BA8,Inputs!$F$23)-BA7)/BA9))</f>
        <v>0</v>
      </c>
      <c r="BB40" s="16" t="n">
        <f aca="false">MIN(1,MAX(0,(MIN(BB8,Inputs!$F$23)-BB7)/BB9))</f>
        <v>0</v>
      </c>
      <c r="BC40" s="16" t="n">
        <f aca="false">MIN(1,MAX(0,(MIN(BC8,Inputs!$F$23)-BC7)/BC9))</f>
        <v>0</v>
      </c>
      <c r="BD40" s="16" t="n">
        <f aca="false">MIN(1,MAX(0,(MIN(BD8,Inputs!$F$23)-BD7)/BD9))</f>
        <v>0</v>
      </c>
      <c r="BE40" s="16" t="n">
        <f aca="false">MIN(1,MAX(0,(MIN(BE8,Inputs!$F$23)-BE7)/BE9))</f>
        <v>0</v>
      </c>
      <c r="BF40" s="16" t="n">
        <f aca="false">MIN(1,MAX(0,(MIN(BF8,Inputs!$F$23)-BF7)/BF9))</f>
        <v>0</v>
      </c>
      <c r="BG40" s="16" t="n">
        <f aca="false">MIN(1,MAX(0,(MIN(BG8,Inputs!$F$23)-BG7)/BG9))</f>
        <v>0</v>
      </c>
      <c r="BH40" s="16" t="n">
        <f aca="false">MIN(1,MAX(0,(MIN(BH8,Inputs!$F$23)-BH7)/BH9))</f>
        <v>0</v>
      </c>
      <c r="BI40" s="16" t="n">
        <f aca="false">MIN(1,MAX(0,(MIN(BI8,Inputs!$F$23)-BI7)/BI9))</f>
        <v>0</v>
      </c>
      <c r="BJ40" s="16" t="n">
        <f aca="false">MIN(1,MAX(0,(MIN(BJ8,Inputs!$F$23)-BJ7)/BJ9))</f>
        <v>0</v>
      </c>
      <c r="BK40" s="16" t="n">
        <f aca="false">MIN(1,MAX(0,(MIN(BK8,Inputs!$F$23)-BK7)/BK9))</f>
        <v>0</v>
      </c>
      <c r="BL40" s="16" t="n">
        <f aca="false">MIN(1,MAX(0,(MIN(BL8,Inputs!$F$23)-BL7)/BL9))</f>
        <v>0</v>
      </c>
      <c r="BM40" s="16" t="n">
        <f aca="false">MIN(1,MAX(0,(MIN(BM8,Inputs!$F$23)-BM7)/BM9))</f>
        <v>0</v>
      </c>
      <c r="BN40" s="16" t="n">
        <f aca="false">MIN(1,MAX(0,(MIN(BN8,Inputs!$F$23)-BN7)/BN9))</f>
        <v>0</v>
      </c>
      <c r="BO40" s="16" t="n">
        <f aca="false">MIN(1,MAX(0,(MIN(BO8,Inputs!$F$23)-BO7)/BO9))</f>
        <v>0</v>
      </c>
      <c r="BP40" s="16" t="n">
        <f aca="false">MIN(1,MAX(0,(MIN(BP8,Inputs!$F$23)-BP7)/BP9))</f>
        <v>0</v>
      </c>
      <c r="BQ40" s="16" t="n">
        <f aca="false">MIN(1,MAX(0,(MIN(BQ8,Inputs!$F$23)-BQ7)/BQ9))</f>
        <v>0</v>
      </c>
      <c r="BR40" s="16" t="n">
        <f aca="false">MIN(1,MAX(0,(MIN(BR8,Inputs!$F$23)-BR7)/BR9))</f>
        <v>0</v>
      </c>
      <c r="BS40" s="16" t="n">
        <f aca="false">MIN(1,MAX(0,(MIN(BS8,Inputs!$F$23)-BS7)/BS9))</f>
        <v>0</v>
      </c>
      <c r="BT40" s="16" t="n">
        <f aca="false">MIN(1,MAX(0,(MIN(BT8,Inputs!$F$23)-BT7)/BT9))</f>
        <v>0</v>
      </c>
      <c r="BU40" s="16" t="n">
        <f aca="false">MIN(1,MAX(0,(MIN(BU8,Inputs!$F$23)-BU7)/BU9))</f>
        <v>0</v>
      </c>
      <c r="BV40" s="16" t="n">
        <f aca="false">MIN(1,MAX(0,(MIN(BV8,Inputs!$F$23)-BV7)/BV9))</f>
        <v>0</v>
      </c>
      <c r="BW40" s="16" t="n">
        <f aca="false">MIN(1,MAX(0,(MIN(BW8,Inputs!$F$23)-BW7)/BW9))</f>
        <v>0</v>
      </c>
      <c r="BX40" s="16" t="n">
        <f aca="false">MIN(1,MAX(0,(MIN(BX8,Inputs!$F$23)-BX7)/BX9))</f>
        <v>0</v>
      </c>
      <c r="BY40" s="16" t="n">
        <f aca="false">MIN(1,MAX(0,(MIN(BY8,Inputs!$F$23)-BY7)/BY9))</f>
        <v>0</v>
      </c>
      <c r="BZ40" s="16" t="n">
        <f aca="false">MIN(1,MAX(0,(MIN(BZ8,Inputs!$F$23)-BZ7)/BZ9))</f>
        <v>0</v>
      </c>
      <c r="CA40" s="16" t="n">
        <f aca="false">MIN(1,MAX(0,(MIN(CA8,Inputs!$F$23)-CA7)/CA9))</f>
        <v>0</v>
      </c>
      <c r="CB40" s="16" t="n">
        <f aca="false">MIN(1,MAX(0,(MIN(CB8,Inputs!$F$23)-CB7)/CB9))</f>
        <v>0</v>
      </c>
      <c r="CC40" s="16" t="n">
        <f aca="false">MIN(1,MAX(0,(MIN(CC8,Inputs!$F$23)-CC7)/CC9))</f>
        <v>0</v>
      </c>
      <c r="CD40" s="16" t="n">
        <f aca="false">MIN(1,MAX(0,(MIN(CD8,Inputs!$F$23)-CD7)/CD9))</f>
        <v>0</v>
      </c>
      <c r="CE40" s="16" t="n">
        <f aca="false">MIN(1,MAX(0,(MIN(CE8,Inputs!$F$23)-CE7)/CE9))</f>
        <v>0</v>
      </c>
      <c r="CF40" s="16" t="n">
        <f aca="false">MIN(1,MAX(0,(MIN(CF8,Inputs!$F$23)-CF7)/CF9))</f>
        <v>0</v>
      </c>
      <c r="CG40" s="16" t="n">
        <f aca="false">MIN(1,MAX(0,(MIN(CG8,Inputs!$F$23)-CG7)/CG9))</f>
        <v>0</v>
      </c>
      <c r="CH40" s="16" t="n">
        <f aca="false">MIN(1,MAX(0,(MIN(CH8,Inputs!$F$23)-CH7)/CH9))</f>
        <v>0</v>
      </c>
      <c r="CI40" s="16" t="n">
        <f aca="false">MIN(1,MAX(0,(MIN(CI8,Inputs!$F$23)-CI7)/CI9))</f>
        <v>0</v>
      </c>
      <c r="CJ40" s="16" t="n">
        <f aca="false">MIN(1,MAX(0,(MIN(CJ8,Inputs!$F$23)-CJ7)/CJ9))</f>
        <v>0</v>
      </c>
      <c r="CK40" s="16" t="n">
        <f aca="false">MIN(1,MAX(0,(MIN(CK8,Inputs!$F$23)-CK7)/CK9))</f>
        <v>0</v>
      </c>
      <c r="CL40" s="16" t="n">
        <f aca="false">MIN(1,MAX(0,(MIN(CL8,Inputs!$F$23)-CL7)/CL9))</f>
        <v>0</v>
      </c>
      <c r="CM40" s="16" t="n">
        <f aca="false">MIN(1,MAX(0,(MIN(CM8,Inputs!$F$23)-CM7)/CM9))</f>
        <v>0</v>
      </c>
      <c r="CN40" s="16" t="n">
        <f aca="false">MIN(1,MAX(0,(MIN(CN8,Inputs!$F$23)-CN7)/CN9))</f>
        <v>0</v>
      </c>
      <c r="CO40" s="16" t="n">
        <f aca="false">MIN(1,MAX(0,(MIN(CO8,Inputs!$F$23)-CO7)/CO9))</f>
        <v>0</v>
      </c>
      <c r="CP40" s="16" t="n">
        <f aca="false">MIN(1,MAX(0,(MIN(CP8,Inputs!$F$23)-CP7)/CP9))</f>
        <v>0</v>
      </c>
      <c r="CQ40" s="16" t="n">
        <f aca="false">MIN(1,MAX(0,(MIN(CQ8,Inputs!$F$23)-CQ7)/CQ9))</f>
        <v>0</v>
      </c>
      <c r="CR40" s="16" t="n">
        <f aca="false">MIN(1,MAX(0,(MIN(CR8,Inputs!$F$23)-CR7)/CR9))</f>
        <v>0</v>
      </c>
      <c r="CS40" s="16" t="n">
        <f aca="false">MIN(1,MAX(0,(MIN(CS8,Inputs!$F$23)-CS7)/CS9))</f>
        <v>0</v>
      </c>
      <c r="CT40" s="16" t="n">
        <f aca="false">MIN(1,MAX(0,(MIN(CT8,Inputs!$F$23)-CT7)/CT9))</f>
        <v>0</v>
      </c>
      <c r="CU40" s="16" t="n">
        <f aca="false">MIN(1,MAX(0,(MIN(CU8,Inputs!$F$23)-CU7)/CU9))</f>
        <v>0</v>
      </c>
      <c r="CV40" s="16" t="n">
        <f aca="false">MIN(1,MAX(0,(MIN(CV8,Inputs!$F$23)-CV7)/CV9))</f>
        <v>0</v>
      </c>
      <c r="CW40" s="16" t="n">
        <f aca="false">MIN(1,MAX(0,(MIN(CW8,Inputs!$F$23)-CW7)/CW9))</f>
        <v>0</v>
      </c>
      <c r="CX40" s="16" t="n">
        <f aca="false">MIN(1,MAX(0,(MIN(CX8,Inputs!$F$23)-CX7)/CX9))</f>
        <v>0</v>
      </c>
      <c r="CY40" s="16" t="n">
        <f aca="false">MIN(1,MAX(0,(MIN(CY8,Inputs!$F$23)-CY7)/CY9))</f>
        <v>0</v>
      </c>
      <c r="CZ40" s="16" t="n">
        <f aca="false">MIN(1,MAX(0,(MIN(CZ8,Inputs!$F$23)-CZ7)/CZ9))</f>
        <v>0</v>
      </c>
      <c r="DA40" s="16" t="n">
        <f aca="false">MIN(1,MAX(0,(MIN(DA8,Inputs!$F$23)-DA7)/DA9))</f>
        <v>0</v>
      </c>
      <c r="DB40" s="16" t="n">
        <f aca="false">MIN(1,MAX(0,(MIN(DB8,Inputs!$F$23)-DB7)/DB9))</f>
        <v>0</v>
      </c>
    </row>
    <row r="41" customFormat="false" ht="15" hidden="false" customHeight="false" outlineLevel="0" collapsed="false">
      <c r="D41" s="0" t="s">
        <v>346</v>
      </c>
      <c r="E41" s="0" t="s">
        <v>171</v>
      </c>
      <c r="J41" s="16" t="n">
        <f aca="false">MIN(1,MAX(0,(MIN(J8,Inputs!$F$24)-J7)/J9))</f>
        <v>1</v>
      </c>
      <c r="K41" s="16" t="n">
        <f aca="false">MIN(1,MAX(0,(MIN(K8,Inputs!$F$24)-K7)/K9))</f>
        <v>1</v>
      </c>
      <c r="L41" s="16" t="n">
        <f aca="false">MIN(1,MAX(0,(MIN(L8,Inputs!$F$24)-L7)/L9))</f>
        <v>1</v>
      </c>
      <c r="M41" s="16" t="n">
        <f aca="false">MIN(1,MAX(0,(MIN(M8,Inputs!$F$24)-M7)/M9))</f>
        <v>1</v>
      </c>
      <c r="N41" s="16" t="n">
        <f aca="false">MIN(1,MAX(0,(MIN(N8,Inputs!$F$24)-N7)/N9))</f>
        <v>1</v>
      </c>
      <c r="O41" s="16" t="n">
        <f aca="false">MIN(1,MAX(0,(MIN(O8,Inputs!$F$24)-O7)/O9))</f>
        <v>1</v>
      </c>
      <c r="P41" s="16" t="n">
        <f aca="false">MIN(1,MAX(0,(MIN(P8,Inputs!$F$24)-P7)/P9))</f>
        <v>1</v>
      </c>
      <c r="Q41" s="16" t="n">
        <f aca="false">MIN(1,MAX(0,(MIN(Q8,Inputs!$F$24)-Q7)/Q9))</f>
        <v>1</v>
      </c>
      <c r="R41" s="16" t="n">
        <f aca="false">MIN(1,MAX(0,(MIN(R8,Inputs!$F$24)-R7)/R9))</f>
        <v>1</v>
      </c>
      <c r="S41" s="16" t="n">
        <f aca="false">MIN(1,MAX(0,(MIN(S8,Inputs!$F$24)-S7)/S9))</f>
        <v>1</v>
      </c>
      <c r="T41" s="16" t="n">
        <f aca="false">MIN(1,MAX(0,(MIN(T8,Inputs!$F$24)-T7)/T9))</f>
        <v>1</v>
      </c>
      <c r="U41" s="16" t="n">
        <f aca="false">MIN(1,MAX(0,(MIN(U8,Inputs!$F$24)-U7)/U9))</f>
        <v>1</v>
      </c>
      <c r="V41" s="16" t="n">
        <f aca="false">MIN(1,MAX(0,(MIN(V8,Inputs!$F$24)-V7)/V9))</f>
        <v>1</v>
      </c>
      <c r="W41" s="16" t="n">
        <f aca="false">MIN(1,MAX(0,(MIN(W8,Inputs!$F$24)-W7)/W9))</f>
        <v>1</v>
      </c>
      <c r="X41" s="16" t="n">
        <f aca="false">MIN(1,MAX(0,(MIN(X8,Inputs!$F$24)-X7)/X9))</f>
        <v>1</v>
      </c>
      <c r="Y41" s="16" t="n">
        <f aca="false">MIN(1,MAX(0,(MIN(Y8,Inputs!$F$24)-Y7)/Y9))</f>
        <v>1</v>
      </c>
      <c r="Z41" s="16" t="n">
        <f aca="false">MIN(1,MAX(0,(MIN(Z8,Inputs!$F$24)-Z7)/Z9))</f>
        <v>1</v>
      </c>
      <c r="AA41" s="16" t="n">
        <f aca="false">MIN(1,MAX(0,(MIN(AA8,Inputs!$F$24)-AA7)/AA9))</f>
        <v>1</v>
      </c>
      <c r="AB41" s="16" t="n">
        <f aca="false">MIN(1,MAX(0,(MIN(AB8,Inputs!$F$24)-AB7)/AB9))</f>
        <v>1</v>
      </c>
      <c r="AC41" s="16" t="n">
        <f aca="false">MIN(1,MAX(0,(MIN(AC8,Inputs!$F$24)-AC7)/AC9))</f>
        <v>1</v>
      </c>
      <c r="AD41" s="16" t="n">
        <f aca="false">MIN(1,MAX(0,(MIN(AD8,Inputs!$F$24)-AD7)/AD9))</f>
        <v>1</v>
      </c>
      <c r="AE41" s="16" t="n">
        <f aca="false">MIN(1,MAX(0,(MIN(AE8,Inputs!$F$24)-AE7)/AE9))</f>
        <v>1</v>
      </c>
      <c r="AF41" s="16" t="n">
        <f aca="false">MIN(1,MAX(0,(MIN(AF8,Inputs!$F$24)-AF7)/AF9))</f>
        <v>0.812154696132597</v>
      </c>
      <c r="AG41" s="16" t="n">
        <f aca="false">MIN(1,MAX(0,(MIN(AG8,Inputs!$F$24)-AG7)/AG9))</f>
        <v>0</v>
      </c>
      <c r="AH41" s="16" t="n">
        <f aca="false">MIN(1,MAX(0,(MIN(AH8,Inputs!$F$24)-AH7)/AH9))</f>
        <v>0</v>
      </c>
      <c r="AI41" s="16" t="n">
        <f aca="false">MIN(1,MAX(0,(MIN(AI8,Inputs!$F$24)-AI7)/AI9))</f>
        <v>0</v>
      </c>
      <c r="AJ41" s="16" t="n">
        <f aca="false">MIN(1,MAX(0,(MIN(AJ8,Inputs!$F$24)-AJ7)/AJ9))</f>
        <v>0</v>
      </c>
      <c r="AK41" s="16" t="n">
        <f aca="false">MIN(1,MAX(0,(MIN(AK8,Inputs!$F$24)-AK7)/AK9))</f>
        <v>0</v>
      </c>
      <c r="AL41" s="16" t="n">
        <f aca="false">MIN(1,MAX(0,(MIN(AL8,Inputs!$F$24)-AL7)/AL9))</f>
        <v>0</v>
      </c>
      <c r="AM41" s="16" t="n">
        <f aca="false">MIN(1,MAX(0,(MIN(AM8,Inputs!$F$24)-AM7)/AM9))</f>
        <v>0</v>
      </c>
      <c r="AN41" s="16" t="n">
        <f aca="false">MIN(1,MAX(0,(MIN(AN8,Inputs!$F$24)-AN7)/AN9))</f>
        <v>0</v>
      </c>
      <c r="AO41" s="16" t="n">
        <f aca="false">MIN(1,MAX(0,(MIN(AO8,Inputs!$F$24)-AO7)/AO9))</f>
        <v>0</v>
      </c>
      <c r="AP41" s="16" t="n">
        <f aca="false">MIN(1,MAX(0,(MIN(AP8,Inputs!$F$24)-AP7)/AP9))</f>
        <v>0</v>
      </c>
      <c r="AQ41" s="16" t="n">
        <f aca="false">MIN(1,MAX(0,(MIN(AQ8,Inputs!$F$24)-AQ7)/AQ9))</f>
        <v>0</v>
      </c>
      <c r="AR41" s="16" t="n">
        <f aca="false">MIN(1,MAX(0,(MIN(AR8,Inputs!$F$24)-AR7)/AR9))</f>
        <v>0</v>
      </c>
      <c r="AS41" s="16" t="n">
        <f aca="false">MIN(1,MAX(0,(MIN(AS8,Inputs!$F$24)-AS7)/AS9))</f>
        <v>0</v>
      </c>
      <c r="AT41" s="16" t="n">
        <f aca="false">MIN(1,MAX(0,(MIN(AT8,Inputs!$F$24)-AT7)/AT9))</f>
        <v>0</v>
      </c>
      <c r="AU41" s="16" t="n">
        <f aca="false">MIN(1,MAX(0,(MIN(AU8,Inputs!$F$24)-AU7)/AU9))</f>
        <v>0</v>
      </c>
      <c r="AV41" s="16" t="n">
        <f aca="false">MIN(1,MAX(0,(MIN(AV8,Inputs!$F$24)-AV7)/AV9))</f>
        <v>0</v>
      </c>
      <c r="AW41" s="16" t="n">
        <f aca="false">MIN(1,MAX(0,(MIN(AW8,Inputs!$F$24)-AW7)/AW9))</f>
        <v>0</v>
      </c>
      <c r="AX41" s="16" t="n">
        <f aca="false">MIN(1,MAX(0,(MIN(AX8,Inputs!$F$24)-AX7)/AX9))</f>
        <v>0</v>
      </c>
      <c r="AY41" s="16" t="n">
        <f aca="false">MIN(1,MAX(0,(MIN(AY8,Inputs!$F$24)-AY7)/AY9))</f>
        <v>0</v>
      </c>
      <c r="AZ41" s="16" t="n">
        <f aca="false">MIN(1,MAX(0,(MIN(AZ8,Inputs!$F$24)-AZ7)/AZ9))</f>
        <v>0</v>
      </c>
      <c r="BA41" s="16" t="n">
        <f aca="false">MIN(1,MAX(0,(MIN(BA8,Inputs!$F$24)-BA7)/BA9))</f>
        <v>0</v>
      </c>
      <c r="BB41" s="16" t="n">
        <f aca="false">MIN(1,MAX(0,(MIN(BB8,Inputs!$F$24)-BB7)/BB9))</f>
        <v>0</v>
      </c>
      <c r="BC41" s="16" t="n">
        <f aca="false">MIN(1,MAX(0,(MIN(BC8,Inputs!$F$24)-BC7)/BC9))</f>
        <v>0</v>
      </c>
      <c r="BD41" s="16" t="n">
        <f aca="false">MIN(1,MAX(0,(MIN(BD8,Inputs!$F$24)-BD7)/BD9))</f>
        <v>0</v>
      </c>
      <c r="BE41" s="16" t="n">
        <f aca="false">MIN(1,MAX(0,(MIN(BE8,Inputs!$F$24)-BE7)/BE9))</f>
        <v>0</v>
      </c>
      <c r="BF41" s="16" t="n">
        <f aca="false">MIN(1,MAX(0,(MIN(BF8,Inputs!$F$24)-BF7)/BF9))</f>
        <v>0</v>
      </c>
      <c r="BG41" s="16" t="n">
        <f aca="false">MIN(1,MAX(0,(MIN(BG8,Inputs!$F$24)-BG7)/BG9))</f>
        <v>0</v>
      </c>
      <c r="BH41" s="16" t="n">
        <f aca="false">MIN(1,MAX(0,(MIN(BH8,Inputs!$F$24)-BH7)/BH9))</f>
        <v>0</v>
      </c>
      <c r="BI41" s="16" t="n">
        <f aca="false">MIN(1,MAX(0,(MIN(BI8,Inputs!$F$24)-BI7)/BI9))</f>
        <v>0</v>
      </c>
      <c r="BJ41" s="16" t="n">
        <f aca="false">MIN(1,MAX(0,(MIN(BJ8,Inputs!$F$24)-BJ7)/BJ9))</f>
        <v>0</v>
      </c>
      <c r="BK41" s="16" t="n">
        <f aca="false">MIN(1,MAX(0,(MIN(BK8,Inputs!$F$24)-BK7)/BK9))</f>
        <v>0</v>
      </c>
      <c r="BL41" s="16" t="n">
        <f aca="false">MIN(1,MAX(0,(MIN(BL8,Inputs!$F$24)-BL7)/BL9))</f>
        <v>0</v>
      </c>
      <c r="BM41" s="16" t="n">
        <f aca="false">MIN(1,MAX(0,(MIN(BM8,Inputs!$F$24)-BM7)/BM9))</f>
        <v>0</v>
      </c>
      <c r="BN41" s="16" t="n">
        <f aca="false">MIN(1,MAX(0,(MIN(BN8,Inputs!$F$24)-BN7)/BN9))</f>
        <v>0</v>
      </c>
      <c r="BO41" s="16" t="n">
        <f aca="false">MIN(1,MAX(0,(MIN(BO8,Inputs!$F$24)-BO7)/BO9))</f>
        <v>0</v>
      </c>
      <c r="BP41" s="16" t="n">
        <f aca="false">MIN(1,MAX(0,(MIN(BP8,Inputs!$F$24)-BP7)/BP9))</f>
        <v>0</v>
      </c>
      <c r="BQ41" s="16" t="n">
        <f aca="false">MIN(1,MAX(0,(MIN(BQ8,Inputs!$F$24)-BQ7)/BQ9))</f>
        <v>0</v>
      </c>
      <c r="BR41" s="16" t="n">
        <f aca="false">MIN(1,MAX(0,(MIN(BR8,Inputs!$F$24)-BR7)/BR9))</f>
        <v>0</v>
      </c>
      <c r="BS41" s="16" t="n">
        <f aca="false">MIN(1,MAX(0,(MIN(BS8,Inputs!$F$24)-BS7)/BS9))</f>
        <v>0</v>
      </c>
      <c r="BT41" s="16" t="n">
        <f aca="false">MIN(1,MAX(0,(MIN(BT8,Inputs!$F$24)-BT7)/BT9))</f>
        <v>0</v>
      </c>
      <c r="BU41" s="16" t="n">
        <f aca="false">MIN(1,MAX(0,(MIN(BU8,Inputs!$F$24)-BU7)/BU9))</f>
        <v>0</v>
      </c>
      <c r="BV41" s="16" t="n">
        <f aca="false">MIN(1,MAX(0,(MIN(BV8,Inputs!$F$24)-BV7)/BV9))</f>
        <v>0</v>
      </c>
      <c r="BW41" s="16" t="n">
        <f aca="false">MIN(1,MAX(0,(MIN(BW8,Inputs!$F$24)-BW7)/BW9))</f>
        <v>0</v>
      </c>
      <c r="BX41" s="16" t="n">
        <f aca="false">MIN(1,MAX(0,(MIN(BX8,Inputs!$F$24)-BX7)/BX9))</f>
        <v>0</v>
      </c>
      <c r="BY41" s="16" t="n">
        <f aca="false">MIN(1,MAX(0,(MIN(BY8,Inputs!$F$24)-BY7)/BY9))</f>
        <v>0</v>
      </c>
      <c r="BZ41" s="16" t="n">
        <f aca="false">MIN(1,MAX(0,(MIN(BZ8,Inputs!$F$24)-BZ7)/BZ9))</f>
        <v>0</v>
      </c>
      <c r="CA41" s="16" t="n">
        <f aca="false">MIN(1,MAX(0,(MIN(CA8,Inputs!$F$24)-CA7)/CA9))</f>
        <v>0</v>
      </c>
      <c r="CB41" s="16" t="n">
        <f aca="false">MIN(1,MAX(0,(MIN(CB8,Inputs!$F$24)-CB7)/CB9))</f>
        <v>0</v>
      </c>
      <c r="CC41" s="16" t="n">
        <f aca="false">MIN(1,MAX(0,(MIN(CC8,Inputs!$F$24)-CC7)/CC9))</f>
        <v>0</v>
      </c>
      <c r="CD41" s="16" t="n">
        <f aca="false">MIN(1,MAX(0,(MIN(CD8,Inputs!$F$24)-CD7)/CD9))</f>
        <v>0</v>
      </c>
      <c r="CE41" s="16" t="n">
        <f aca="false">MIN(1,MAX(0,(MIN(CE8,Inputs!$F$24)-CE7)/CE9))</f>
        <v>0</v>
      </c>
      <c r="CF41" s="16" t="n">
        <f aca="false">MIN(1,MAX(0,(MIN(CF8,Inputs!$F$24)-CF7)/CF9))</f>
        <v>0</v>
      </c>
      <c r="CG41" s="16" t="n">
        <f aca="false">MIN(1,MAX(0,(MIN(CG8,Inputs!$F$24)-CG7)/CG9))</f>
        <v>0</v>
      </c>
      <c r="CH41" s="16" t="n">
        <f aca="false">MIN(1,MAX(0,(MIN(CH8,Inputs!$F$24)-CH7)/CH9))</f>
        <v>0</v>
      </c>
      <c r="CI41" s="16" t="n">
        <f aca="false">MIN(1,MAX(0,(MIN(CI8,Inputs!$F$24)-CI7)/CI9))</f>
        <v>0</v>
      </c>
      <c r="CJ41" s="16" t="n">
        <f aca="false">MIN(1,MAX(0,(MIN(CJ8,Inputs!$F$24)-CJ7)/CJ9))</f>
        <v>0</v>
      </c>
      <c r="CK41" s="16" t="n">
        <f aca="false">MIN(1,MAX(0,(MIN(CK8,Inputs!$F$24)-CK7)/CK9))</f>
        <v>0</v>
      </c>
      <c r="CL41" s="16" t="n">
        <f aca="false">MIN(1,MAX(0,(MIN(CL8,Inputs!$F$24)-CL7)/CL9))</f>
        <v>0</v>
      </c>
      <c r="CM41" s="16" t="n">
        <f aca="false">MIN(1,MAX(0,(MIN(CM8,Inputs!$F$24)-CM7)/CM9))</f>
        <v>0</v>
      </c>
      <c r="CN41" s="16" t="n">
        <f aca="false">MIN(1,MAX(0,(MIN(CN8,Inputs!$F$24)-CN7)/CN9))</f>
        <v>0</v>
      </c>
      <c r="CO41" s="16" t="n">
        <f aca="false">MIN(1,MAX(0,(MIN(CO8,Inputs!$F$24)-CO7)/CO9))</f>
        <v>0</v>
      </c>
      <c r="CP41" s="16" t="n">
        <f aca="false">MIN(1,MAX(0,(MIN(CP8,Inputs!$F$24)-CP7)/CP9))</f>
        <v>0</v>
      </c>
      <c r="CQ41" s="16" t="n">
        <f aca="false">MIN(1,MAX(0,(MIN(CQ8,Inputs!$F$24)-CQ7)/CQ9))</f>
        <v>0</v>
      </c>
      <c r="CR41" s="16" t="n">
        <f aca="false">MIN(1,MAX(0,(MIN(CR8,Inputs!$F$24)-CR7)/CR9))</f>
        <v>0</v>
      </c>
      <c r="CS41" s="16" t="n">
        <f aca="false">MIN(1,MAX(0,(MIN(CS8,Inputs!$F$24)-CS7)/CS9))</f>
        <v>0</v>
      </c>
      <c r="CT41" s="16" t="n">
        <f aca="false">MIN(1,MAX(0,(MIN(CT8,Inputs!$F$24)-CT7)/CT9))</f>
        <v>0</v>
      </c>
      <c r="CU41" s="16" t="n">
        <f aca="false">MIN(1,MAX(0,(MIN(CU8,Inputs!$F$24)-CU7)/CU9))</f>
        <v>0</v>
      </c>
      <c r="CV41" s="16" t="n">
        <f aca="false">MIN(1,MAX(0,(MIN(CV8,Inputs!$F$24)-CV7)/CV9))</f>
        <v>0</v>
      </c>
      <c r="CW41" s="16" t="n">
        <f aca="false">MIN(1,MAX(0,(MIN(CW8,Inputs!$F$24)-CW7)/CW9))</f>
        <v>0</v>
      </c>
      <c r="CX41" s="16" t="n">
        <f aca="false">MIN(1,MAX(0,(MIN(CX8,Inputs!$F$24)-CX7)/CX9))</f>
        <v>0</v>
      </c>
      <c r="CY41" s="16" t="n">
        <f aca="false">MIN(1,MAX(0,(MIN(CY8,Inputs!$F$24)-CY7)/CY9))</f>
        <v>0</v>
      </c>
      <c r="CZ41" s="16" t="n">
        <f aca="false">MIN(1,MAX(0,(MIN(CZ8,Inputs!$F$24)-CZ7)/CZ9))</f>
        <v>0</v>
      </c>
      <c r="DA41" s="16" t="n">
        <f aca="false">MIN(1,MAX(0,(MIN(DA8,Inputs!$F$24)-DA7)/DA9))</f>
        <v>0</v>
      </c>
      <c r="DB41" s="16" t="n">
        <f aca="false">MIN(1,MAX(0,(MIN(DB8,Inputs!$F$24)-DB7)/DB9))</f>
        <v>0</v>
      </c>
    </row>
    <row r="42" customFormat="false" ht="15" hidden="false" customHeight="false" outlineLevel="0" collapsed="false">
      <c r="D42" s="0" t="s">
        <v>347</v>
      </c>
      <c r="E42" s="0" t="s">
        <v>42</v>
      </c>
      <c r="J42" s="14" t="n">
        <f aca="false">IF(AND(J7&lt;Inputs!$F$24,Inputs!$F$24&lt;=J8),1,0)</f>
        <v>0</v>
      </c>
      <c r="K42" s="14" t="n">
        <f aca="false">IF(AND(K7&lt;Inputs!$F$24,Inputs!$F$24&lt;=K8),1,0)</f>
        <v>0</v>
      </c>
      <c r="L42" s="14" t="n">
        <f aca="false">IF(AND(L7&lt;Inputs!$F$24,Inputs!$F$24&lt;=L8),1,0)</f>
        <v>0</v>
      </c>
      <c r="M42" s="14" t="n">
        <f aca="false">IF(AND(M7&lt;Inputs!$F$24,Inputs!$F$24&lt;=M8),1,0)</f>
        <v>0</v>
      </c>
      <c r="N42" s="14" t="n">
        <f aca="false">IF(AND(N7&lt;Inputs!$F$24,Inputs!$F$24&lt;=N8),1,0)</f>
        <v>0</v>
      </c>
      <c r="O42" s="14" t="n">
        <f aca="false">IF(AND(O7&lt;Inputs!$F$24,Inputs!$F$24&lt;=O8),1,0)</f>
        <v>0</v>
      </c>
      <c r="P42" s="14" t="n">
        <f aca="false">IF(AND(P7&lt;Inputs!$F$24,Inputs!$F$24&lt;=P8),1,0)</f>
        <v>0</v>
      </c>
      <c r="Q42" s="14" t="n">
        <f aca="false">IF(AND(Q7&lt;Inputs!$F$24,Inputs!$F$24&lt;=Q8),1,0)</f>
        <v>0</v>
      </c>
      <c r="R42" s="14" t="n">
        <f aca="false">IF(AND(R7&lt;Inputs!$F$24,Inputs!$F$24&lt;=R8),1,0)</f>
        <v>0</v>
      </c>
      <c r="S42" s="14" t="n">
        <f aca="false">IF(AND(S7&lt;Inputs!$F$24,Inputs!$F$24&lt;=S8),1,0)</f>
        <v>0</v>
      </c>
      <c r="T42" s="14" t="n">
        <f aca="false">IF(AND(T7&lt;Inputs!$F$24,Inputs!$F$24&lt;=T8),1,0)</f>
        <v>0</v>
      </c>
      <c r="U42" s="14" t="n">
        <f aca="false">IF(AND(U7&lt;Inputs!$F$24,Inputs!$F$24&lt;=U8),1,0)</f>
        <v>0</v>
      </c>
      <c r="V42" s="14" t="n">
        <f aca="false">IF(AND(V7&lt;Inputs!$F$24,Inputs!$F$24&lt;=V8),1,0)</f>
        <v>0</v>
      </c>
      <c r="W42" s="14" t="n">
        <f aca="false">IF(AND(W7&lt;Inputs!$F$24,Inputs!$F$24&lt;=W8),1,0)</f>
        <v>0</v>
      </c>
      <c r="X42" s="14" t="n">
        <f aca="false">IF(AND(X7&lt;Inputs!$F$24,Inputs!$F$24&lt;=X8),1,0)</f>
        <v>0</v>
      </c>
      <c r="Y42" s="14" t="n">
        <f aca="false">IF(AND(Y7&lt;Inputs!$F$24,Inputs!$F$24&lt;=Y8),1,0)</f>
        <v>0</v>
      </c>
      <c r="Z42" s="14" t="n">
        <f aca="false">IF(AND(Z7&lt;Inputs!$F$24,Inputs!$F$24&lt;=Z8),1,0)</f>
        <v>0</v>
      </c>
      <c r="AA42" s="14" t="n">
        <f aca="false">IF(AND(AA7&lt;Inputs!$F$24,Inputs!$F$24&lt;=AA8),1,0)</f>
        <v>0</v>
      </c>
      <c r="AB42" s="14" t="n">
        <f aca="false">IF(AND(AB7&lt;Inputs!$F$24,Inputs!$F$24&lt;=AB8),1,0)</f>
        <v>0</v>
      </c>
      <c r="AC42" s="14" t="n">
        <f aca="false">IF(AND(AC7&lt;Inputs!$F$24,Inputs!$F$24&lt;=AC8),1,0)</f>
        <v>0</v>
      </c>
      <c r="AD42" s="14" t="n">
        <f aca="false">IF(AND(AD7&lt;Inputs!$F$24,Inputs!$F$24&lt;=AD8),1,0)</f>
        <v>0</v>
      </c>
      <c r="AE42" s="14" t="n">
        <f aca="false">IF(AND(AE7&lt;Inputs!$F$24,Inputs!$F$24&lt;=AE8),1,0)</f>
        <v>0</v>
      </c>
      <c r="AF42" s="14" t="n">
        <f aca="false">IF(AND(AF7&lt;Inputs!$F$24,Inputs!$F$24&lt;=AF8),1,0)</f>
        <v>1</v>
      </c>
      <c r="AG42" s="14" t="n">
        <f aca="false">IF(AND(AG7&lt;Inputs!$F$24,Inputs!$F$24&lt;=AG8),1,0)</f>
        <v>0</v>
      </c>
      <c r="AH42" s="14" t="n">
        <f aca="false">IF(AND(AH7&lt;Inputs!$F$24,Inputs!$F$24&lt;=AH8),1,0)</f>
        <v>0</v>
      </c>
      <c r="AI42" s="14" t="n">
        <f aca="false">IF(AND(AI7&lt;Inputs!$F$24,Inputs!$F$24&lt;=AI8),1,0)</f>
        <v>0</v>
      </c>
      <c r="AJ42" s="14" t="n">
        <f aca="false">IF(AND(AJ7&lt;Inputs!$F$24,Inputs!$F$24&lt;=AJ8),1,0)</f>
        <v>0</v>
      </c>
      <c r="AK42" s="14" t="n">
        <f aca="false">IF(AND(AK7&lt;Inputs!$F$24,Inputs!$F$24&lt;=AK8),1,0)</f>
        <v>0</v>
      </c>
      <c r="AL42" s="14" t="n">
        <f aca="false">IF(AND(AL7&lt;Inputs!$F$24,Inputs!$F$24&lt;=AL8),1,0)</f>
        <v>0</v>
      </c>
      <c r="AM42" s="14" t="n">
        <f aca="false">IF(AND(AM7&lt;Inputs!$F$24,Inputs!$F$24&lt;=AM8),1,0)</f>
        <v>0</v>
      </c>
      <c r="AN42" s="14" t="n">
        <f aca="false">IF(AND(AN7&lt;Inputs!$F$24,Inputs!$F$24&lt;=AN8),1,0)</f>
        <v>0</v>
      </c>
      <c r="AO42" s="14" t="n">
        <f aca="false">IF(AND(AO7&lt;Inputs!$F$24,Inputs!$F$24&lt;=AO8),1,0)</f>
        <v>0</v>
      </c>
      <c r="AP42" s="14" t="n">
        <f aca="false">IF(AND(AP7&lt;Inputs!$F$24,Inputs!$F$24&lt;=AP8),1,0)</f>
        <v>0</v>
      </c>
      <c r="AQ42" s="14" t="n">
        <f aca="false">IF(AND(AQ7&lt;Inputs!$F$24,Inputs!$F$24&lt;=AQ8),1,0)</f>
        <v>0</v>
      </c>
      <c r="AR42" s="14" t="n">
        <f aca="false">IF(AND(AR7&lt;Inputs!$F$24,Inputs!$F$24&lt;=AR8),1,0)</f>
        <v>0</v>
      </c>
      <c r="AS42" s="14" t="n">
        <f aca="false">IF(AND(AS7&lt;Inputs!$F$24,Inputs!$F$24&lt;=AS8),1,0)</f>
        <v>0</v>
      </c>
      <c r="AT42" s="14" t="n">
        <f aca="false">IF(AND(AT7&lt;Inputs!$F$24,Inputs!$F$24&lt;=AT8),1,0)</f>
        <v>0</v>
      </c>
      <c r="AU42" s="14" t="n">
        <f aca="false">IF(AND(AU7&lt;Inputs!$F$24,Inputs!$F$24&lt;=AU8),1,0)</f>
        <v>0</v>
      </c>
      <c r="AV42" s="14" t="n">
        <f aca="false">IF(AND(AV7&lt;Inputs!$F$24,Inputs!$F$24&lt;=AV8),1,0)</f>
        <v>0</v>
      </c>
      <c r="AW42" s="14" t="n">
        <f aca="false">IF(AND(AW7&lt;Inputs!$F$24,Inputs!$F$24&lt;=AW8),1,0)</f>
        <v>0</v>
      </c>
      <c r="AX42" s="14" t="n">
        <f aca="false">IF(AND(AX7&lt;Inputs!$F$24,Inputs!$F$24&lt;=AX8),1,0)</f>
        <v>0</v>
      </c>
      <c r="AY42" s="14" t="n">
        <f aca="false">IF(AND(AY7&lt;Inputs!$F$24,Inputs!$F$24&lt;=AY8),1,0)</f>
        <v>0</v>
      </c>
      <c r="AZ42" s="14" t="n">
        <f aca="false">IF(AND(AZ7&lt;Inputs!$F$24,Inputs!$F$24&lt;=AZ8),1,0)</f>
        <v>0</v>
      </c>
      <c r="BA42" s="14" t="n">
        <f aca="false">IF(AND(BA7&lt;Inputs!$F$24,Inputs!$F$24&lt;=BA8),1,0)</f>
        <v>0</v>
      </c>
      <c r="BB42" s="14" t="n">
        <f aca="false">IF(AND(BB7&lt;Inputs!$F$24,Inputs!$F$24&lt;=BB8),1,0)</f>
        <v>0</v>
      </c>
      <c r="BC42" s="14" t="n">
        <f aca="false">IF(AND(BC7&lt;Inputs!$F$24,Inputs!$F$24&lt;=BC8),1,0)</f>
        <v>0</v>
      </c>
      <c r="BD42" s="14" t="n">
        <f aca="false">IF(AND(BD7&lt;Inputs!$F$24,Inputs!$F$24&lt;=BD8),1,0)</f>
        <v>0</v>
      </c>
      <c r="BE42" s="14" t="n">
        <f aca="false">IF(AND(BE7&lt;Inputs!$F$24,Inputs!$F$24&lt;=BE8),1,0)</f>
        <v>0</v>
      </c>
      <c r="BF42" s="14" t="n">
        <f aca="false">IF(AND(BF7&lt;Inputs!$F$24,Inputs!$F$24&lt;=BF8),1,0)</f>
        <v>0</v>
      </c>
      <c r="BG42" s="14" t="n">
        <f aca="false">IF(AND(BG7&lt;Inputs!$F$24,Inputs!$F$24&lt;=BG8),1,0)</f>
        <v>0</v>
      </c>
      <c r="BH42" s="14" t="n">
        <f aca="false">IF(AND(BH7&lt;Inputs!$F$24,Inputs!$F$24&lt;=BH8),1,0)</f>
        <v>0</v>
      </c>
      <c r="BI42" s="14" t="n">
        <f aca="false">IF(AND(BI7&lt;Inputs!$F$24,Inputs!$F$24&lt;=BI8),1,0)</f>
        <v>0</v>
      </c>
      <c r="BJ42" s="14" t="n">
        <f aca="false">IF(AND(BJ7&lt;Inputs!$F$24,Inputs!$F$24&lt;=BJ8),1,0)</f>
        <v>0</v>
      </c>
      <c r="BK42" s="14" t="n">
        <f aca="false">IF(AND(BK7&lt;Inputs!$F$24,Inputs!$F$24&lt;=BK8),1,0)</f>
        <v>0</v>
      </c>
      <c r="BL42" s="14" t="n">
        <f aca="false">IF(AND(BL7&lt;Inputs!$F$24,Inputs!$F$24&lt;=BL8),1,0)</f>
        <v>0</v>
      </c>
      <c r="BM42" s="14" t="n">
        <f aca="false">IF(AND(BM7&lt;Inputs!$F$24,Inputs!$F$24&lt;=BM8),1,0)</f>
        <v>0</v>
      </c>
      <c r="BN42" s="14" t="n">
        <f aca="false">IF(AND(BN7&lt;Inputs!$F$24,Inputs!$F$24&lt;=BN8),1,0)</f>
        <v>0</v>
      </c>
      <c r="BO42" s="14" t="n">
        <f aca="false">IF(AND(BO7&lt;Inputs!$F$24,Inputs!$F$24&lt;=BO8),1,0)</f>
        <v>0</v>
      </c>
      <c r="BP42" s="14" t="n">
        <f aca="false">IF(AND(BP7&lt;Inputs!$F$24,Inputs!$F$24&lt;=BP8),1,0)</f>
        <v>0</v>
      </c>
      <c r="BQ42" s="14" t="n">
        <f aca="false">IF(AND(BQ7&lt;Inputs!$F$24,Inputs!$F$24&lt;=BQ8),1,0)</f>
        <v>0</v>
      </c>
      <c r="BR42" s="14" t="n">
        <f aca="false">IF(AND(BR7&lt;Inputs!$F$24,Inputs!$F$24&lt;=BR8),1,0)</f>
        <v>0</v>
      </c>
      <c r="BS42" s="14" t="n">
        <f aca="false">IF(AND(BS7&lt;Inputs!$F$24,Inputs!$F$24&lt;=BS8),1,0)</f>
        <v>0</v>
      </c>
      <c r="BT42" s="14" t="n">
        <f aca="false">IF(AND(BT7&lt;Inputs!$F$24,Inputs!$F$24&lt;=BT8),1,0)</f>
        <v>0</v>
      </c>
      <c r="BU42" s="14" t="n">
        <f aca="false">IF(AND(BU7&lt;Inputs!$F$24,Inputs!$F$24&lt;=BU8),1,0)</f>
        <v>0</v>
      </c>
      <c r="BV42" s="14" t="n">
        <f aca="false">IF(AND(BV7&lt;Inputs!$F$24,Inputs!$F$24&lt;=BV8),1,0)</f>
        <v>0</v>
      </c>
      <c r="BW42" s="14" t="n">
        <f aca="false">IF(AND(BW7&lt;Inputs!$F$24,Inputs!$F$24&lt;=BW8),1,0)</f>
        <v>0</v>
      </c>
      <c r="BX42" s="14" t="n">
        <f aca="false">IF(AND(BX7&lt;Inputs!$F$24,Inputs!$F$24&lt;=BX8),1,0)</f>
        <v>0</v>
      </c>
      <c r="BY42" s="14" t="n">
        <f aca="false">IF(AND(BY7&lt;Inputs!$F$24,Inputs!$F$24&lt;=BY8),1,0)</f>
        <v>0</v>
      </c>
      <c r="BZ42" s="14" t="n">
        <f aca="false">IF(AND(BZ7&lt;Inputs!$F$24,Inputs!$F$24&lt;=BZ8),1,0)</f>
        <v>0</v>
      </c>
      <c r="CA42" s="14" t="n">
        <f aca="false">IF(AND(CA7&lt;Inputs!$F$24,Inputs!$F$24&lt;=CA8),1,0)</f>
        <v>0</v>
      </c>
      <c r="CB42" s="14" t="n">
        <f aca="false">IF(AND(CB7&lt;Inputs!$F$24,Inputs!$F$24&lt;=CB8),1,0)</f>
        <v>0</v>
      </c>
      <c r="CC42" s="14" t="n">
        <f aca="false">IF(AND(CC7&lt;Inputs!$F$24,Inputs!$F$24&lt;=CC8),1,0)</f>
        <v>0</v>
      </c>
      <c r="CD42" s="14" t="n">
        <f aca="false">IF(AND(CD7&lt;Inputs!$F$24,Inputs!$F$24&lt;=CD8),1,0)</f>
        <v>0</v>
      </c>
      <c r="CE42" s="14" t="n">
        <f aca="false">IF(AND(CE7&lt;Inputs!$F$24,Inputs!$F$24&lt;=CE8),1,0)</f>
        <v>0</v>
      </c>
      <c r="CF42" s="14" t="n">
        <f aca="false">IF(AND(CF7&lt;Inputs!$F$24,Inputs!$F$24&lt;=CF8),1,0)</f>
        <v>0</v>
      </c>
      <c r="CG42" s="14" t="n">
        <f aca="false">IF(AND(CG7&lt;Inputs!$F$24,Inputs!$F$24&lt;=CG8),1,0)</f>
        <v>0</v>
      </c>
      <c r="CH42" s="14" t="n">
        <f aca="false">IF(AND(CH7&lt;Inputs!$F$24,Inputs!$F$24&lt;=CH8),1,0)</f>
        <v>0</v>
      </c>
      <c r="CI42" s="14" t="n">
        <f aca="false">IF(AND(CI7&lt;Inputs!$F$24,Inputs!$F$24&lt;=CI8),1,0)</f>
        <v>0</v>
      </c>
      <c r="CJ42" s="14" t="n">
        <f aca="false">IF(AND(CJ7&lt;Inputs!$F$24,Inputs!$F$24&lt;=CJ8),1,0)</f>
        <v>0</v>
      </c>
      <c r="CK42" s="14" t="n">
        <f aca="false">IF(AND(CK7&lt;Inputs!$F$24,Inputs!$F$24&lt;=CK8),1,0)</f>
        <v>0</v>
      </c>
      <c r="CL42" s="14" t="n">
        <f aca="false">IF(AND(CL7&lt;Inputs!$F$24,Inputs!$F$24&lt;=CL8),1,0)</f>
        <v>0</v>
      </c>
      <c r="CM42" s="14" t="n">
        <f aca="false">IF(AND(CM7&lt;Inputs!$F$24,Inputs!$F$24&lt;=CM8),1,0)</f>
        <v>0</v>
      </c>
      <c r="CN42" s="14" t="n">
        <f aca="false">IF(AND(CN7&lt;Inputs!$F$24,Inputs!$F$24&lt;=CN8),1,0)</f>
        <v>0</v>
      </c>
      <c r="CO42" s="14" t="n">
        <f aca="false">IF(AND(CO7&lt;Inputs!$F$24,Inputs!$F$24&lt;=CO8),1,0)</f>
        <v>0</v>
      </c>
      <c r="CP42" s="14" t="n">
        <f aca="false">IF(AND(CP7&lt;Inputs!$F$24,Inputs!$F$24&lt;=CP8),1,0)</f>
        <v>0</v>
      </c>
      <c r="CQ42" s="14" t="n">
        <f aca="false">IF(AND(CQ7&lt;Inputs!$F$24,Inputs!$F$24&lt;=CQ8),1,0)</f>
        <v>0</v>
      </c>
      <c r="CR42" s="14" t="n">
        <f aca="false">IF(AND(CR7&lt;Inputs!$F$24,Inputs!$F$24&lt;=CR8),1,0)</f>
        <v>0</v>
      </c>
      <c r="CS42" s="14" t="n">
        <f aca="false">IF(AND(CS7&lt;Inputs!$F$24,Inputs!$F$24&lt;=CS8),1,0)</f>
        <v>0</v>
      </c>
      <c r="CT42" s="14" t="n">
        <f aca="false">IF(AND(CT7&lt;Inputs!$F$24,Inputs!$F$24&lt;=CT8),1,0)</f>
        <v>0</v>
      </c>
      <c r="CU42" s="14" t="n">
        <f aca="false">IF(AND(CU7&lt;Inputs!$F$24,Inputs!$F$24&lt;=CU8),1,0)</f>
        <v>0</v>
      </c>
      <c r="CV42" s="14" t="n">
        <f aca="false">IF(AND(CV7&lt;Inputs!$F$24,Inputs!$F$24&lt;=CV8),1,0)</f>
        <v>0</v>
      </c>
      <c r="CW42" s="14" t="n">
        <f aca="false">IF(AND(CW7&lt;Inputs!$F$24,Inputs!$F$24&lt;=CW8),1,0)</f>
        <v>0</v>
      </c>
      <c r="CX42" s="14" t="n">
        <f aca="false">IF(AND(CX7&lt;Inputs!$F$24,Inputs!$F$24&lt;=CX8),1,0)</f>
        <v>0</v>
      </c>
      <c r="CY42" s="14" t="n">
        <f aca="false">IF(AND(CY7&lt;Inputs!$F$24,Inputs!$F$24&lt;=CY8),1,0)</f>
        <v>0</v>
      </c>
      <c r="CZ42" s="14" t="n">
        <f aca="false">IF(AND(CZ7&lt;Inputs!$F$24,Inputs!$F$24&lt;=CZ8),1,0)</f>
        <v>0</v>
      </c>
      <c r="DA42" s="14" t="n">
        <f aca="false">IF(AND(DA7&lt;Inputs!$F$24,Inputs!$F$24&lt;=DA8),1,0)</f>
        <v>0</v>
      </c>
      <c r="DB42" s="14" t="n">
        <f aca="false">IF(AND(DB7&lt;Inputs!$F$24,Inputs!$F$24&lt;=DB8),1,0)</f>
        <v>0</v>
      </c>
    </row>
    <row r="43" customFormat="false" ht="15" hidden="false" customHeight="false" outlineLevel="0" collapsed="false">
      <c r="D43" s="0" t="s">
        <v>348</v>
      </c>
      <c r="E43" s="0" t="s">
        <v>42</v>
      </c>
      <c r="J43" s="14" t="n">
        <f aca="false">IF(J8&lt;=Inputs!$F$25,1,0)</f>
        <v>1</v>
      </c>
      <c r="K43" s="14" t="n">
        <f aca="false">IF(K8&lt;=Inputs!$F$25,1,0)</f>
        <v>1</v>
      </c>
      <c r="L43" s="14" t="n">
        <f aca="false">IF(L8&lt;=Inputs!$F$25,1,0)</f>
        <v>1</v>
      </c>
      <c r="M43" s="14" t="n">
        <f aca="false">IF(M8&lt;=Inputs!$F$25,1,0)</f>
        <v>1</v>
      </c>
      <c r="N43" s="14" t="n">
        <f aca="false">IF(N8&lt;=Inputs!$F$25,1,0)</f>
        <v>1</v>
      </c>
      <c r="O43" s="14" t="n">
        <f aca="false">IF(O8&lt;=Inputs!$F$25,1,0)</f>
        <v>1</v>
      </c>
      <c r="P43" s="14" t="n">
        <f aca="false">IF(P8&lt;=Inputs!$F$25,1,0)</f>
        <v>1</v>
      </c>
      <c r="Q43" s="14" t="n">
        <f aca="false">IF(Q8&lt;=Inputs!$F$25,1,0)</f>
        <v>1</v>
      </c>
      <c r="R43" s="14" t="n">
        <f aca="false">IF(R8&lt;=Inputs!$F$25,1,0)</f>
        <v>1</v>
      </c>
      <c r="S43" s="14" t="n">
        <f aca="false">IF(S8&lt;=Inputs!$F$25,1,0)</f>
        <v>1</v>
      </c>
      <c r="T43" s="14" t="n">
        <f aca="false">IF(T8&lt;=Inputs!$F$25,1,0)</f>
        <v>1</v>
      </c>
      <c r="U43" s="14" t="n">
        <f aca="false">IF(U8&lt;=Inputs!$F$25,1,0)</f>
        <v>1</v>
      </c>
      <c r="V43" s="14" t="n">
        <f aca="false">IF(V8&lt;=Inputs!$F$25,1,0)</f>
        <v>1</v>
      </c>
      <c r="W43" s="14" t="n">
        <f aca="false">IF(W8&lt;=Inputs!$F$25,1,0)</f>
        <v>1</v>
      </c>
      <c r="X43" s="14" t="n">
        <f aca="false">IF(X8&lt;=Inputs!$F$25,1,0)</f>
        <v>1</v>
      </c>
      <c r="Y43" s="14" t="n">
        <f aca="false">IF(Y8&lt;=Inputs!$F$25,1,0)</f>
        <v>1</v>
      </c>
      <c r="Z43" s="14" t="n">
        <f aca="false">IF(Z8&lt;=Inputs!$F$25,1,0)</f>
        <v>1</v>
      </c>
      <c r="AA43" s="14" t="n">
        <f aca="false">IF(AA8&lt;=Inputs!$F$25,1,0)</f>
        <v>1</v>
      </c>
      <c r="AB43" s="14" t="n">
        <f aca="false">IF(AB8&lt;=Inputs!$F$25,1,0)</f>
        <v>1</v>
      </c>
      <c r="AC43" s="14" t="n">
        <f aca="false">IF(AC8&lt;=Inputs!$F$25,1,0)</f>
        <v>1</v>
      </c>
      <c r="AD43" s="14" t="n">
        <f aca="false">IF(AD8&lt;=Inputs!$F$25,1,0)</f>
        <v>1</v>
      </c>
      <c r="AE43" s="14" t="n">
        <f aca="false">IF(AE8&lt;=Inputs!$F$25,1,0)</f>
        <v>1</v>
      </c>
      <c r="AF43" s="14" t="n">
        <f aca="false">IF(AF8&lt;=Inputs!$F$25,1,0)</f>
        <v>1</v>
      </c>
      <c r="AG43" s="14" t="n">
        <f aca="false">IF(AG8&lt;=Inputs!$F$25,1,0)</f>
        <v>1</v>
      </c>
      <c r="AH43" s="14" t="n">
        <f aca="false">IF(AH8&lt;=Inputs!$F$25,1,0)</f>
        <v>1</v>
      </c>
      <c r="AI43" s="14" t="n">
        <f aca="false">IF(AI8&lt;=Inputs!$F$25,1,0)</f>
        <v>1</v>
      </c>
      <c r="AJ43" s="14" t="n">
        <f aca="false">IF(AJ8&lt;=Inputs!$F$25,1,0)</f>
        <v>1</v>
      </c>
      <c r="AK43" s="14" t="n">
        <f aca="false">IF(AK8&lt;=Inputs!$F$25,1,0)</f>
        <v>1</v>
      </c>
      <c r="AL43" s="14" t="n">
        <f aca="false">IF(AL8&lt;=Inputs!$F$25,1,0)</f>
        <v>1</v>
      </c>
      <c r="AM43" s="14" t="n">
        <f aca="false">IF(AM8&lt;=Inputs!$F$25,1,0)</f>
        <v>1</v>
      </c>
      <c r="AN43" s="14" t="n">
        <f aca="false">IF(AN8&lt;=Inputs!$F$25,1,0)</f>
        <v>1</v>
      </c>
      <c r="AO43" s="14" t="n">
        <f aca="false">IF(AO8&lt;=Inputs!$F$25,1,0)</f>
        <v>1</v>
      </c>
      <c r="AP43" s="14" t="n">
        <f aca="false">IF(AP8&lt;=Inputs!$F$25,1,0)</f>
        <v>1</v>
      </c>
      <c r="AQ43" s="14" t="n">
        <f aca="false">IF(AQ8&lt;=Inputs!$F$25,1,0)</f>
        <v>1</v>
      </c>
      <c r="AR43" s="14" t="n">
        <f aca="false">IF(AR8&lt;=Inputs!$F$25,1,0)</f>
        <v>1</v>
      </c>
      <c r="AS43" s="14" t="n">
        <f aca="false">IF(AS8&lt;=Inputs!$F$25,1,0)</f>
        <v>1</v>
      </c>
      <c r="AT43" s="14" t="n">
        <f aca="false">IF(AT8&lt;=Inputs!$F$25,1,0)</f>
        <v>1</v>
      </c>
      <c r="AU43" s="14" t="n">
        <f aca="false">IF(AU8&lt;=Inputs!$F$25,1,0)</f>
        <v>1</v>
      </c>
      <c r="AV43" s="14" t="n">
        <f aca="false">IF(AV8&lt;=Inputs!$F$25,1,0)</f>
        <v>1</v>
      </c>
      <c r="AW43" s="14" t="n">
        <f aca="false">IF(AW8&lt;=Inputs!$F$25,1,0)</f>
        <v>1</v>
      </c>
      <c r="AX43" s="14" t="n">
        <f aca="false">IF(AX8&lt;=Inputs!$F$25,1,0)</f>
        <v>1</v>
      </c>
      <c r="AY43" s="14" t="n">
        <f aca="false">IF(AY8&lt;=Inputs!$F$25,1,0)</f>
        <v>1</v>
      </c>
      <c r="AZ43" s="14" t="n">
        <f aca="false">IF(AZ8&lt;=Inputs!$F$25,1,0)</f>
        <v>1</v>
      </c>
      <c r="BA43" s="14" t="n">
        <f aca="false">IF(BA8&lt;=Inputs!$F$25,1,0)</f>
        <v>1</v>
      </c>
      <c r="BB43" s="14" t="n">
        <f aca="false">IF(BB8&lt;=Inputs!$F$25,1,0)</f>
        <v>1</v>
      </c>
      <c r="BC43" s="14" t="n">
        <f aca="false">IF(BC8&lt;=Inputs!$F$25,1,0)</f>
        <v>1</v>
      </c>
      <c r="BD43" s="14" t="n">
        <f aca="false">IF(BD8&lt;=Inputs!$F$25,1,0)</f>
        <v>1</v>
      </c>
      <c r="BE43" s="14" t="n">
        <f aca="false">IF(BE8&lt;=Inputs!$F$25,1,0)</f>
        <v>1</v>
      </c>
      <c r="BF43" s="14" t="n">
        <f aca="false">IF(BF8&lt;=Inputs!$F$25,1,0)</f>
        <v>1</v>
      </c>
      <c r="BG43" s="14" t="n">
        <f aca="false">IF(BG8&lt;=Inputs!$F$25,1,0)</f>
        <v>0</v>
      </c>
      <c r="BH43" s="14" t="n">
        <f aca="false">IF(BH8&lt;=Inputs!$F$25,1,0)</f>
        <v>0</v>
      </c>
      <c r="BI43" s="14" t="n">
        <f aca="false">IF(BI8&lt;=Inputs!$F$25,1,0)</f>
        <v>0</v>
      </c>
      <c r="BJ43" s="14" t="n">
        <f aca="false">IF(BJ8&lt;=Inputs!$F$25,1,0)</f>
        <v>0</v>
      </c>
      <c r="BK43" s="14" t="n">
        <f aca="false">IF(BK8&lt;=Inputs!$F$25,1,0)</f>
        <v>0</v>
      </c>
      <c r="BL43" s="14" t="n">
        <f aca="false">IF(BL8&lt;=Inputs!$F$25,1,0)</f>
        <v>0</v>
      </c>
      <c r="BM43" s="14" t="n">
        <f aca="false">IF(BM8&lt;=Inputs!$F$25,1,0)</f>
        <v>0</v>
      </c>
      <c r="BN43" s="14" t="n">
        <f aca="false">IF(BN8&lt;=Inputs!$F$25,1,0)</f>
        <v>0</v>
      </c>
      <c r="BO43" s="14" t="n">
        <f aca="false">IF(BO8&lt;=Inputs!$F$25,1,0)</f>
        <v>0</v>
      </c>
      <c r="BP43" s="14" t="n">
        <f aca="false">IF(BP8&lt;=Inputs!$F$25,1,0)</f>
        <v>0</v>
      </c>
      <c r="BQ43" s="14" t="n">
        <f aca="false">IF(BQ8&lt;=Inputs!$F$25,1,0)</f>
        <v>0</v>
      </c>
      <c r="BR43" s="14" t="n">
        <f aca="false">IF(BR8&lt;=Inputs!$F$25,1,0)</f>
        <v>0</v>
      </c>
      <c r="BS43" s="14" t="n">
        <f aca="false">IF(BS8&lt;=Inputs!$F$25,1,0)</f>
        <v>0</v>
      </c>
      <c r="BT43" s="14" t="n">
        <f aca="false">IF(BT8&lt;=Inputs!$F$25,1,0)</f>
        <v>0</v>
      </c>
      <c r="BU43" s="14" t="n">
        <f aca="false">IF(BU8&lt;=Inputs!$F$25,1,0)</f>
        <v>0</v>
      </c>
      <c r="BV43" s="14" t="n">
        <f aca="false">IF(BV8&lt;=Inputs!$F$25,1,0)</f>
        <v>0</v>
      </c>
      <c r="BW43" s="14" t="n">
        <f aca="false">IF(BW8&lt;=Inputs!$F$25,1,0)</f>
        <v>0</v>
      </c>
      <c r="BX43" s="14" t="n">
        <f aca="false">IF(BX8&lt;=Inputs!$F$25,1,0)</f>
        <v>0</v>
      </c>
      <c r="BY43" s="14" t="n">
        <f aca="false">IF(BY8&lt;=Inputs!$F$25,1,0)</f>
        <v>0</v>
      </c>
      <c r="BZ43" s="14" t="n">
        <f aca="false">IF(BZ8&lt;=Inputs!$F$25,1,0)</f>
        <v>0</v>
      </c>
      <c r="CA43" s="14" t="n">
        <f aca="false">IF(CA8&lt;=Inputs!$F$25,1,0)</f>
        <v>0</v>
      </c>
      <c r="CB43" s="14" t="n">
        <f aca="false">IF(CB8&lt;=Inputs!$F$25,1,0)</f>
        <v>0</v>
      </c>
      <c r="CC43" s="14" t="n">
        <f aca="false">IF(CC8&lt;=Inputs!$F$25,1,0)</f>
        <v>0</v>
      </c>
      <c r="CD43" s="14" t="n">
        <f aca="false">IF(CD8&lt;=Inputs!$F$25,1,0)</f>
        <v>0</v>
      </c>
      <c r="CE43" s="14" t="n">
        <f aca="false">IF(CE8&lt;=Inputs!$F$25,1,0)</f>
        <v>0</v>
      </c>
      <c r="CF43" s="14" t="n">
        <f aca="false">IF(CF8&lt;=Inputs!$F$25,1,0)</f>
        <v>0</v>
      </c>
      <c r="CG43" s="14" t="n">
        <f aca="false">IF(CG8&lt;=Inputs!$F$25,1,0)</f>
        <v>0</v>
      </c>
      <c r="CH43" s="14" t="n">
        <f aca="false">IF(CH8&lt;=Inputs!$F$25,1,0)</f>
        <v>0</v>
      </c>
      <c r="CI43" s="14" t="n">
        <f aca="false">IF(CI8&lt;=Inputs!$F$25,1,0)</f>
        <v>0</v>
      </c>
      <c r="CJ43" s="14" t="n">
        <f aca="false">IF(CJ8&lt;=Inputs!$F$25,1,0)</f>
        <v>0</v>
      </c>
      <c r="CK43" s="14" t="n">
        <f aca="false">IF(CK8&lt;=Inputs!$F$25,1,0)</f>
        <v>0</v>
      </c>
      <c r="CL43" s="14" t="n">
        <f aca="false">IF(CL8&lt;=Inputs!$F$25,1,0)</f>
        <v>0</v>
      </c>
      <c r="CM43" s="14" t="n">
        <f aca="false">IF(CM8&lt;=Inputs!$F$25,1,0)</f>
        <v>0</v>
      </c>
      <c r="CN43" s="14" t="n">
        <f aca="false">IF(CN8&lt;=Inputs!$F$25,1,0)</f>
        <v>0</v>
      </c>
      <c r="CO43" s="14" t="n">
        <f aca="false">IF(CO8&lt;=Inputs!$F$25,1,0)</f>
        <v>0</v>
      </c>
      <c r="CP43" s="14" t="n">
        <f aca="false">IF(CP8&lt;=Inputs!$F$25,1,0)</f>
        <v>0</v>
      </c>
      <c r="CQ43" s="14" t="n">
        <f aca="false">IF(CQ8&lt;=Inputs!$F$25,1,0)</f>
        <v>0</v>
      </c>
      <c r="CR43" s="14" t="n">
        <f aca="false">IF(CR8&lt;=Inputs!$F$25,1,0)</f>
        <v>0</v>
      </c>
      <c r="CS43" s="14" t="n">
        <f aca="false">IF(CS8&lt;=Inputs!$F$25,1,0)</f>
        <v>0</v>
      </c>
      <c r="CT43" s="14" t="n">
        <f aca="false">IF(CT8&lt;=Inputs!$F$25,1,0)</f>
        <v>0</v>
      </c>
      <c r="CU43" s="14" t="n">
        <f aca="false">IF(CU8&lt;=Inputs!$F$25,1,0)</f>
        <v>0</v>
      </c>
      <c r="CV43" s="14" t="n">
        <f aca="false">IF(CV8&lt;=Inputs!$F$25,1,0)</f>
        <v>0</v>
      </c>
      <c r="CW43" s="14" t="n">
        <f aca="false">IF(CW8&lt;=Inputs!$F$25,1,0)</f>
        <v>0</v>
      </c>
      <c r="CX43" s="14" t="n">
        <f aca="false">IF(CX8&lt;=Inputs!$F$25,1,0)</f>
        <v>0</v>
      </c>
      <c r="CY43" s="14" t="n">
        <f aca="false">IF(CY8&lt;=Inputs!$F$25,1,0)</f>
        <v>0</v>
      </c>
      <c r="CZ43" s="14" t="n">
        <f aca="false">IF(CZ8&lt;=Inputs!$F$25,1,0)</f>
        <v>0</v>
      </c>
      <c r="DA43" s="14" t="n">
        <f aca="false">IF(DA8&lt;=Inputs!$F$25,1,0)</f>
        <v>0</v>
      </c>
      <c r="DB43" s="14" t="n">
        <f aca="false">IF(DB8&lt;=Inputs!$F$25,1,0)</f>
        <v>0</v>
      </c>
    </row>
    <row r="44" customFormat="false" ht="15" hidden="false" customHeight="false" outlineLevel="0" collapsed="false">
      <c r="D44" s="0" t="s">
        <v>349</v>
      </c>
      <c r="E44" s="0" t="s">
        <v>42</v>
      </c>
      <c r="J44" s="14" t="n">
        <f aca="false">IF(AND(J26=1,J8&gt;=Inputs!$F$34),1,0)</f>
        <v>0</v>
      </c>
      <c r="K44" s="14" t="n">
        <f aca="false">IF(AND(K26=1,K8&gt;=Inputs!$F$34),1,0)</f>
        <v>0</v>
      </c>
      <c r="L44" s="14" t="n">
        <f aca="false">IF(AND(L26=1,L8&gt;=Inputs!$F$34),1,0)</f>
        <v>0</v>
      </c>
      <c r="M44" s="14" t="n">
        <f aca="false">IF(AND(M26=1,M8&gt;=Inputs!$F$34),1,0)</f>
        <v>0</v>
      </c>
      <c r="N44" s="14" t="n">
        <f aca="false">IF(AND(N26=1,N8&gt;=Inputs!$F$34),1,0)</f>
        <v>0</v>
      </c>
      <c r="O44" s="14" t="n">
        <f aca="false">IF(AND(O26=1,O8&gt;=Inputs!$F$34),1,0)</f>
        <v>0</v>
      </c>
      <c r="P44" s="14" t="n">
        <f aca="false">IF(AND(P26=1,P8&gt;=Inputs!$F$34),1,0)</f>
        <v>0</v>
      </c>
      <c r="Q44" s="14" t="n">
        <f aca="false">IF(AND(Q26=1,Q8&gt;=Inputs!$F$34),1,0)</f>
        <v>0</v>
      </c>
      <c r="R44" s="14" t="n">
        <f aca="false">IF(AND(R26=1,R8&gt;=Inputs!$F$34),1,0)</f>
        <v>0</v>
      </c>
      <c r="S44" s="14" t="n">
        <f aca="false">IF(AND(S26=1,S8&gt;=Inputs!$F$34),1,0)</f>
        <v>0</v>
      </c>
      <c r="T44" s="14" t="n">
        <f aca="false">IF(AND(T26=1,T8&gt;=Inputs!$F$34),1,0)</f>
        <v>0</v>
      </c>
      <c r="U44" s="14" t="n">
        <f aca="false">IF(AND(U26=1,U8&gt;=Inputs!$F$34),1,0)</f>
        <v>0</v>
      </c>
      <c r="V44" s="14" t="n">
        <f aca="false">IF(AND(V26=1,V8&gt;=Inputs!$F$34),1,0)</f>
        <v>0</v>
      </c>
      <c r="W44" s="14" t="n">
        <f aca="false">IF(AND(W26=1,W8&gt;=Inputs!$F$34),1,0)</f>
        <v>0</v>
      </c>
      <c r="X44" s="14" t="n">
        <f aca="false">IF(AND(X26=1,X8&gt;=Inputs!$F$34),1,0)</f>
        <v>0</v>
      </c>
      <c r="Y44" s="14" t="n">
        <f aca="false">IF(AND(Y26=1,Y8&gt;=Inputs!$F$34),1,0)</f>
        <v>0</v>
      </c>
      <c r="Z44" s="14" t="n">
        <f aca="false">IF(AND(Z26=1,Z8&gt;=Inputs!$F$34),1,0)</f>
        <v>0</v>
      </c>
      <c r="AA44" s="14" t="n">
        <f aca="false">IF(AND(AA26=1,AA8&gt;=Inputs!$F$34),1,0)</f>
        <v>1</v>
      </c>
      <c r="AB44" s="14" t="n">
        <f aca="false">IF(AND(AB26=1,AB8&gt;=Inputs!$F$34),1,0)</f>
        <v>1</v>
      </c>
      <c r="AC44" s="14" t="n">
        <f aca="false">IF(AND(AC26=1,AC8&gt;=Inputs!$F$34),1,0)</f>
        <v>1</v>
      </c>
      <c r="AD44" s="14" t="n">
        <f aca="false">IF(AND(AD26=1,AD8&gt;=Inputs!$F$34),1,0)</f>
        <v>1</v>
      </c>
      <c r="AE44" s="14" t="n">
        <f aca="false">IF(AND(AE26=1,AE8&gt;=Inputs!$F$34),1,0)</f>
        <v>1</v>
      </c>
      <c r="AF44" s="14" t="n">
        <f aca="false">IF(AND(AF26=1,AF8&gt;=Inputs!$F$34),1,0)</f>
        <v>1</v>
      </c>
      <c r="AG44" s="14" t="n">
        <f aca="false">IF(AND(AG26=1,AG8&gt;=Inputs!$F$34),1,0)</f>
        <v>1</v>
      </c>
      <c r="AH44" s="14" t="n">
        <f aca="false">IF(AND(AH26=1,AH8&gt;=Inputs!$F$34),1,0)</f>
        <v>1</v>
      </c>
      <c r="AI44" s="14" t="n">
        <f aca="false">IF(AND(AI26=1,AI8&gt;=Inputs!$F$34),1,0)</f>
        <v>1</v>
      </c>
      <c r="AJ44" s="14" t="n">
        <f aca="false">IF(AND(AJ26=1,AJ8&gt;=Inputs!$F$34),1,0)</f>
        <v>1</v>
      </c>
      <c r="AK44" s="14" t="n">
        <f aca="false">IF(AND(AK26=1,AK8&gt;=Inputs!$F$34),1,0)</f>
        <v>1</v>
      </c>
      <c r="AL44" s="14" t="n">
        <f aca="false">IF(AND(AL26=1,AL8&gt;=Inputs!$F$34),1,0)</f>
        <v>1</v>
      </c>
      <c r="AM44" s="14" t="n">
        <f aca="false">IF(AND(AM26=1,AM8&gt;=Inputs!$F$34),1,0)</f>
        <v>1</v>
      </c>
      <c r="AN44" s="14" t="n">
        <f aca="false">IF(AND(AN26=1,AN8&gt;=Inputs!$F$34),1,0)</f>
        <v>1</v>
      </c>
      <c r="AO44" s="14" t="n">
        <f aca="false">IF(AND(AO26=1,AO8&gt;=Inputs!$F$34),1,0)</f>
        <v>1</v>
      </c>
      <c r="AP44" s="14" t="n">
        <f aca="false">IF(AND(AP26=1,AP8&gt;=Inputs!$F$34),1,0)</f>
        <v>1</v>
      </c>
      <c r="AQ44" s="14" t="n">
        <f aca="false">IF(AND(AQ26=1,AQ8&gt;=Inputs!$F$34),1,0)</f>
        <v>1</v>
      </c>
      <c r="AR44" s="14" t="n">
        <f aca="false">IF(AND(AR26=1,AR8&gt;=Inputs!$F$34),1,0)</f>
        <v>1</v>
      </c>
      <c r="AS44" s="14" t="n">
        <f aca="false">IF(AND(AS26=1,AS8&gt;=Inputs!$F$34),1,0)</f>
        <v>1</v>
      </c>
      <c r="AT44" s="14" t="n">
        <f aca="false">IF(AND(AT26=1,AT8&gt;=Inputs!$F$34),1,0)</f>
        <v>1</v>
      </c>
      <c r="AU44" s="14" t="n">
        <f aca="false">IF(AND(AU26=1,AU8&gt;=Inputs!$F$34),1,0)</f>
        <v>1</v>
      </c>
      <c r="AV44" s="14" t="n">
        <f aca="false">IF(AND(AV26=1,AV8&gt;=Inputs!$F$34),1,0)</f>
        <v>1</v>
      </c>
      <c r="AW44" s="14" t="n">
        <f aca="false">IF(AND(AW26=1,AW8&gt;=Inputs!$F$34),1,0)</f>
        <v>1</v>
      </c>
      <c r="AX44" s="14" t="n">
        <f aca="false">IF(AND(AX26=1,AX8&gt;=Inputs!$F$34),1,0)</f>
        <v>1</v>
      </c>
      <c r="AY44" s="14" t="n">
        <f aca="false">IF(AND(AY26=1,AY8&gt;=Inputs!$F$34),1,0)</f>
        <v>1</v>
      </c>
      <c r="AZ44" s="14" t="n">
        <f aca="false">IF(AND(AZ26=1,AZ8&gt;=Inputs!$F$34),1,0)</f>
        <v>1</v>
      </c>
      <c r="BA44" s="14" t="n">
        <f aca="false">IF(AND(BA26=1,BA8&gt;=Inputs!$F$34),1,0)</f>
        <v>1</v>
      </c>
      <c r="BB44" s="14" t="n">
        <f aca="false">IF(AND(BB26=1,BB8&gt;=Inputs!$F$34),1,0)</f>
        <v>1</v>
      </c>
      <c r="BC44" s="14" t="n">
        <f aca="false">IF(AND(BC26=1,BC8&gt;=Inputs!$F$34),1,0)</f>
        <v>1</v>
      </c>
      <c r="BD44" s="14" t="n">
        <f aca="false">IF(AND(BD26=1,BD8&gt;=Inputs!$F$34),1,0)</f>
        <v>1</v>
      </c>
      <c r="BE44" s="14" t="n">
        <f aca="false">IF(AND(BE26=1,BE8&gt;=Inputs!$F$34),1,0)</f>
        <v>1</v>
      </c>
      <c r="BF44" s="14" t="n">
        <f aca="false">IF(AND(BF26=1,BF8&gt;=Inputs!$F$34),1,0)</f>
        <v>1</v>
      </c>
      <c r="BG44" s="14" t="n">
        <f aca="false">IF(AND(BG26=1,BG8&gt;=Inputs!$F$34),1,0)</f>
        <v>1</v>
      </c>
      <c r="BH44" s="14" t="n">
        <f aca="false">IF(AND(BH26=1,BH8&gt;=Inputs!$F$34),1,0)</f>
        <v>1</v>
      </c>
      <c r="BI44" s="14" t="n">
        <f aca="false">IF(AND(BI26=1,BI8&gt;=Inputs!$F$34),1,0)</f>
        <v>1</v>
      </c>
      <c r="BJ44" s="14" t="n">
        <f aca="false">IF(AND(BJ26=1,BJ8&gt;=Inputs!$F$34),1,0)</f>
        <v>1</v>
      </c>
      <c r="BK44" s="14" t="n">
        <f aca="false">IF(AND(BK26=1,BK8&gt;=Inputs!$F$34),1,0)</f>
        <v>1</v>
      </c>
      <c r="BL44" s="14" t="n">
        <f aca="false">IF(AND(BL26=1,BL8&gt;=Inputs!$F$34),1,0)</f>
        <v>1</v>
      </c>
      <c r="BM44" s="14" t="n">
        <f aca="false">IF(AND(BM26=1,BM8&gt;=Inputs!$F$34),1,0)</f>
        <v>1</v>
      </c>
      <c r="BN44" s="14" t="n">
        <f aca="false">IF(AND(BN26=1,BN8&gt;=Inputs!$F$34),1,0)</f>
        <v>1</v>
      </c>
      <c r="BO44" s="14" t="n">
        <f aca="false">IF(AND(BO26=1,BO8&gt;=Inputs!$F$34),1,0)</f>
        <v>1</v>
      </c>
      <c r="BP44" s="14" t="n">
        <f aca="false">IF(AND(BP26=1,BP8&gt;=Inputs!$F$34),1,0)</f>
        <v>1</v>
      </c>
      <c r="BQ44" s="14" t="n">
        <f aca="false">IF(AND(BQ26=1,BQ8&gt;=Inputs!$F$34),1,0)</f>
        <v>1</v>
      </c>
      <c r="BR44" s="14" t="n">
        <f aca="false">IF(AND(BR26=1,BR8&gt;=Inputs!$F$34),1,0)</f>
        <v>1</v>
      </c>
      <c r="BS44" s="14" t="n">
        <f aca="false">IF(AND(BS26=1,BS8&gt;=Inputs!$F$34),1,0)</f>
        <v>1</v>
      </c>
      <c r="BT44" s="14" t="n">
        <f aca="false">IF(AND(BT26=1,BT8&gt;=Inputs!$F$34),1,0)</f>
        <v>1</v>
      </c>
      <c r="BU44" s="14" t="n">
        <f aca="false">IF(AND(BU26=1,BU8&gt;=Inputs!$F$34),1,0)</f>
        <v>1</v>
      </c>
      <c r="BV44" s="14" t="n">
        <f aca="false">IF(AND(BV26=1,BV8&gt;=Inputs!$F$34),1,0)</f>
        <v>1</v>
      </c>
      <c r="BW44" s="14" t="n">
        <f aca="false">IF(AND(BW26=1,BW8&gt;=Inputs!$F$34),1,0)</f>
        <v>1</v>
      </c>
      <c r="BX44" s="14" t="n">
        <f aca="false">IF(AND(BX26=1,BX8&gt;=Inputs!$F$34),1,0)</f>
        <v>1</v>
      </c>
      <c r="BY44" s="14" t="n">
        <f aca="false">IF(AND(BY26=1,BY8&gt;=Inputs!$F$34),1,0)</f>
        <v>1</v>
      </c>
      <c r="BZ44" s="14" t="n">
        <f aca="false">IF(AND(BZ26=1,BZ8&gt;=Inputs!$F$34),1,0)</f>
        <v>1</v>
      </c>
      <c r="CA44" s="14" t="n">
        <f aca="false">IF(AND(CA26=1,CA8&gt;=Inputs!$F$34),1,0)</f>
        <v>1</v>
      </c>
      <c r="CB44" s="14" t="n">
        <f aca="false">IF(AND(CB26=1,CB8&gt;=Inputs!$F$34),1,0)</f>
        <v>1</v>
      </c>
      <c r="CC44" s="14" t="n">
        <f aca="false">IF(AND(CC26=1,CC8&gt;=Inputs!$F$34),1,0)</f>
        <v>1</v>
      </c>
      <c r="CD44" s="14" t="n">
        <f aca="false">IF(AND(CD26=1,CD8&gt;=Inputs!$F$34),1,0)</f>
        <v>1</v>
      </c>
      <c r="CE44" s="14" t="n">
        <f aca="false">IF(AND(CE26=1,CE8&gt;=Inputs!$F$34),1,0)</f>
        <v>1</v>
      </c>
      <c r="CF44" s="14" t="n">
        <f aca="false">IF(AND(CF26=1,CF8&gt;=Inputs!$F$34),1,0)</f>
        <v>1</v>
      </c>
      <c r="CG44" s="14" t="n">
        <f aca="false">IF(AND(CG26=1,CG8&gt;=Inputs!$F$34),1,0)</f>
        <v>1</v>
      </c>
      <c r="CH44" s="14" t="n">
        <f aca="false">IF(AND(CH26=1,CH8&gt;=Inputs!$F$34),1,0)</f>
        <v>1</v>
      </c>
      <c r="CI44" s="14" t="n">
        <f aca="false">IF(AND(CI26=1,CI8&gt;=Inputs!$F$34),1,0)</f>
        <v>1</v>
      </c>
      <c r="CJ44" s="14" t="n">
        <f aca="false">IF(AND(CJ26=1,CJ8&gt;=Inputs!$F$34),1,0)</f>
        <v>1</v>
      </c>
      <c r="CK44" s="14" t="n">
        <f aca="false">IF(AND(CK26=1,CK8&gt;=Inputs!$F$34),1,0)</f>
        <v>1</v>
      </c>
      <c r="CL44" s="14" t="n">
        <f aca="false">IF(AND(CL26=1,CL8&gt;=Inputs!$F$34),1,0)</f>
        <v>1</v>
      </c>
      <c r="CM44" s="14" t="n">
        <f aca="false">IF(AND(CM26=1,CM8&gt;=Inputs!$F$34),1,0)</f>
        <v>1</v>
      </c>
      <c r="CN44" s="14" t="n">
        <f aca="false">IF(AND(CN26=1,CN8&gt;=Inputs!$F$34),1,0)</f>
        <v>1</v>
      </c>
      <c r="CO44" s="14" t="n">
        <f aca="false">IF(AND(CO26=1,CO8&gt;=Inputs!$F$34),1,0)</f>
        <v>1</v>
      </c>
      <c r="CP44" s="14" t="n">
        <f aca="false">IF(AND(CP26=1,CP8&gt;=Inputs!$F$34),1,0)</f>
        <v>1</v>
      </c>
      <c r="CQ44" s="14" t="n">
        <f aca="false">IF(AND(CQ26=1,CQ8&gt;=Inputs!$F$34),1,0)</f>
        <v>0</v>
      </c>
      <c r="CR44" s="14" t="n">
        <f aca="false">IF(AND(CR26=1,CR8&gt;=Inputs!$F$34),1,0)</f>
        <v>0</v>
      </c>
      <c r="CS44" s="14" t="n">
        <f aca="false">IF(AND(CS26=1,CS8&gt;=Inputs!$F$34),1,0)</f>
        <v>0</v>
      </c>
      <c r="CT44" s="14" t="n">
        <f aca="false">IF(AND(CT26=1,CT8&gt;=Inputs!$F$34),1,0)</f>
        <v>0</v>
      </c>
      <c r="CU44" s="14" t="n">
        <f aca="false">IF(AND(CU26=1,CU8&gt;=Inputs!$F$34),1,0)</f>
        <v>0</v>
      </c>
      <c r="CV44" s="14" t="n">
        <f aca="false">IF(AND(CV26=1,CV8&gt;=Inputs!$F$34),1,0)</f>
        <v>0</v>
      </c>
      <c r="CW44" s="14" t="n">
        <f aca="false">IF(AND(CW26=1,CW8&gt;=Inputs!$F$34),1,0)</f>
        <v>0</v>
      </c>
      <c r="CX44" s="14" t="n">
        <f aca="false">IF(AND(CX26=1,CX8&gt;=Inputs!$F$34),1,0)</f>
        <v>0</v>
      </c>
      <c r="CY44" s="14" t="n">
        <f aca="false">IF(AND(CY26=1,CY8&gt;=Inputs!$F$34),1,0)</f>
        <v>0</v>
      </c>
      <c r="CZ44" s="14" t="n">
        <f aca="false">IF(AND(CZ26=1,CZ8&gt;=Inputs!$F$34),1,0)</f>
        <v>0</v>
      </c>
      <c r="DA44" s="14" t="n">
        <f aca="false">IF(AND(DA26=1,DA8&gt;=Inputs!$F$34),1,0)</f>
        <v>0</v>
      </c>
      <c r="DB44" s="14" t="n">
        <f aca="false">IF(AND(DB26=1,DB8&gt;=Inputs!$F$34),1,0)</f>
        <v>0</v>
      </c>
    </row>
    <row r="45" customFormat="false" ht="15" hidden="false" customHeight="false" outlineLevel="0" collapsed="false">
      <c r="D45" s="0" t="s">
        <v>350</v>
      </c>
      <c r="E45" s="0" t="s">
        <v>42</v>
      </c>
      <c r="J45" s="14" t="n">
        <f aca="false">IF(J8&gt;=Inputs!$F$35,1,0)</f>
        <v>0</v>
      </c>
      <c r="K45" s="14" t="n">
        <f aca="false">IF(K8&gt;=Inputs!$F$35,1,0)</f>
        <v>0</v>
      </c>
      <c r="L45" s="14" t="n">
        <f aca="false">IF(L8&gt;=Inputs!$F$35,1,0)</f>
        <v>0</v>
      </c>
      <c r="M45" s="14" t="n">
        <f aca="false">IF(M8&gt;=Inputs!$F$35,1,0)</f>
        <v>0</v>
      </c>
      <c r="N45" s="14" t="n">
        <f aca="false">IF(N8&gt;=Inputs!$F$35,1,0)</f>
        <v>0</v>
      </c>
      <c r="O45" s="14" t="n">
        <f aca="false">IF(O8&gt;=Inputs!$F$35,1,0)</f>
        <v>0</v>
      </c>
      <c r="P45" s="14" t="n">
        <f aca="false">IF(P8&gt;=Inputs!$F$35,1,0)</f>
        <v>0</v>
      </c>
      <c r="Q45" s="14" t="n">
        <f aca="false">IF(Q8&gt;=Inputs!$F$35,1,0)</f>
        <v>0</v>
      </c>
      <c r="R45" s="14" t="n">
        <f aca="false">IF(R8&gt;=Inputs!$F$35,1,0)</f>
        <v>0</v>
      </c>
      <c r="S45" s="14" t="n">
        <f aca="false">IF(S8&gt;=Inputs!$F$35,1,0)</f>
        <v>0</v>
      </c>
      <c r="T45" s="14" t="n">
        <f aca="false">IF(T8&gt;=Inputs!$F$35,1,0)</f>
        <v>0</v>
      </c>
      <c r="U45" s="14" t="n">
        <f aca="false">IF(U8&gt;=Inputs!$F$35,1,0)</f>
        <v>0</v>
      </c>
      <c r="V45" s="14" t="n">
        <f aca="false">IF(V8&gt;=Inputs!$F$35,1,0)</f>
        <v>0</v>
      </c>
      <c r="W45" s="14" t="n">
        <f aca="false">IF(W8&gt;=Inputs!$F$35,1,0)</f>
        <v>0</v>
      </c>
      <c r="X45" s="14" t="n">
        <f aca="false">IF(X8&gt;=Inputs!$F$35,1,0)</f>
        <v>0</v>
      </c>
      <c r="Y45" s="14" t="n">
        <f aca="false">IF(Y8&gt;=Inputs!$F$35,1,0)</f>
        <v>0</v>
      </c>
      <c r="Z45" s="14" t="n">
        <f aca="false">IF(Z8&gt;=Inputs!$F$35,1,0)</f>
        <v>0</v>
      </c>
      <c r="AA45" s="14" t="n">
        <f aca="false">IF(AA8&gt;=Inputs!$F$35,1,0)</f>
        <v>0</v>
      </c>
      <c r="AB45" s="14" t="n">
        <f aca="false">IF(AB8&gt;=Inputs!$F$35,1,0)</f>
        <v>0</v>
      </c>
      <c r="AC45" s="14" t="n">
        <f aca="false">IF(AC8&gt;=Inputs!$F$35,1,0)</f>
        <v>1</v>
      </c>
      <c r="AD45" s="14" t="n">
        <f aca="false">IF(AD8&gt;=Inputs!$F$35,1,0)</f>
        <v>1</v>
      </c>
      <c r="AE45" s="14" t="n">
        <f aca="false">IF(AE8&gt;=Inputs!$F$35,1,0)</f>
        <v>1</v>
      </c>
      <c r="AF45" s="14" t="n">
        <f aca="false">IF(AF8&gt;=Inputs!$F$35,1,0)</f>
        <v>1</v>
      </c>
      <c r="AG45" s="14" t="n">
        <f aca="false">IF(AG8&gt;=Inputs!$F$35,1,0)</f>
        <v>1</v>
      </c>
      <c r="AH45" s="14" t="n">
        <f aca="false">IF(AH8&gt;=Inputs!$F$35,1,0)</f>
        <v>1</v>
      </c>
      <c r="AI45" s="14" t="n">
        <f aca="false">IF(AI8&gt;=Inputs!$F$35,1,0)</f>
        <v>1</v>
      </c>
      <c r="AJ45" s="14" t="n">
        <f aca="false">IF(AJ8&gt;=Inputs!$F$35,1,0)</f>
        <v>1</v>
      </c>
      <c r="AK45" s="14" t="n">
        <f aca="false">IF(AK8&gt;=Inputs!$F$35,1,0)</f>
        <v>1</v>
      </c>
      <c r="AL45" s="14" t="n">
        <f aca="false">IF(AL8&gt;=Inputs!$F$35,1,0)</f>
        <v>1</v>
      </c>
      <c r="AM45" s="14" t="n">
        <f aca="false">IF(AM8&gt;=Inputs!$F$35,1,0)</f>
        <v>1</v>
      </c>
      <c r="AN45" s="14" t="n">
        <f aca="false">IF(AN8&gt;=Inputs!$F$35,1,0)</f>
        <v>1</v>
      </c>
      <c r="AO45" s="14" t="n">
        <f aca="false">IF(AO8&gt;=Inputs!$F$35,1,0)</f>
        <v>1</v>
      </c>
      <c r="AP45" s="14" t="n">
        <f aca="false">IF(AP8&gt;=Inputs!$F$35,1,0)</f>
        <v>1</v>
      </c>
      <c r="AQ45" s="14" t="n">
        <f aca="false">IF(AQ8&gt;=Inputs!$F$35,1,0)</f>
        <v>1</v>
      </c>
      <c r="AR45" s="14" t="n">
        <f aca="false">IF(AR8&gt;=Inputs!$F$35,1,0)</f>
        <v>1</v>
      </c>
      <c r="AS45" s="14" t="n">
        <f aca="false">IF(AS8&gt;=Inputs!$F$35,1,0)</f>
        <v>1</v>
      </c>
      <c r="AT45" s="14" t="n">
        <f aca="false">IF(AT8&gt;=Inputs!$F$35,1,0)</f>
        <v>1</v>
      </c>
      <c r="AU45" s="14" t="n">
        <f aca="false">IF(AU8&gt;=Inputs!$F$35,1,0)</f>
        <v>1</v>
      </c>
      <c r="AV45" s="14" t="n">
        <f aca="false">IF(AV8&gt;=Inputs!$F$35,1,0)</f>
        <v>1</v>
      </c>
      <c r="AW45" s="14" t="n">
        <f aca="false">IF(AW8&gt;=Inputs!$F$35,1,0)</f>
        <v>1</v>
      </c>
      <c r="AX45" s="14" t="n">
        <f aca="false">IF(AX8&gt;=Inputs!$F$35,1,0)</f>
        <v>1</v>
      </c>
      <c r="AY45" s="14" t="n">
        <f aca="false">IF(AY8&gt;=Inputs!$F$35,1,0)</f>
        <v>1</v>
      </c>
      <c r="AZ45" s="14" t="n">
        <f aca="false">IF(AZ8&gt;=Inputs!$F$35,1,0)</f>
        <v>1</v>
      </c>
      <c r="BA45" s="14" t="n">
        <f aca="false">IF(BA8&gt;=Inputs!$F$35,1,0)</f>
        <v>1</v>
      </c>
      <c r="BB45" s="14" t="n">
        <f aca="false">IF(BB8&gt;=Inputs!$F$35,1,0)</f>
        <v>1</v>
      </c>
      <c r="BC45" s="14" t="n">
        <f aca="false">IF(BC8&gt;=Inputs!$F$35,1,0)</f>
        <v>1</v>
      </c>
      <c r="BD45" s="14" t="n">
        <f aca="false">IF(BD8&gt;=Inputs!$F$35,1,0)</f>
        <v>1</v>
      </c>
      <c r="BE45" s="14" t="n">
        <f aca="false">IF(BE8&gt;=Inputs!$F$35,1,0)</f>
        <v>1</v>
      </c>
      <c r="BF45" s="14" t="n">
        <f aca="false">IF(BF8&gt;=Inputs!$F$35,1,0)</f>
        <v>1</v>
      </c>
      <c r="BG45" s="14" t="n">
        <f aca="false">IF(BG8&gt;=Inputs!$F$35,1,0)</f>
        <v>1</v>
      </c>
      <c r="BH45" s="14" t="n">
        <f aca="false">IF(BH8&gt;=Inputs!$F$35,1,0)</f>
        <v>1</v>
      </c>
      <c r="BI45" s="14" t="n">
        <f aca="false">IF(BI8&gt;=Inputs!$F$35,1,0)</f>
        <v>1</v>
      </c>
      <c r="BJ45" s="14" t="n">
        <f aca="false">IF(BJ8&gt;=Inputs!$F$35,1,0)</f>
        <v>1</v>
      </c>
      <c r="BK45" s="14" t="n">
        <f aca="false">IF(BK8&gt;=Inputs!$F$35,1,0)</f>
        <v>1</v>
      </c>
      <c r="BL45" s="14" t="n">
        <f aca="false">IF(BL8&gt;=Inputs!$F$35,1,0)</f>
        <v>1</v>
      </c>
      <c r="BM45" s="14" t="n">
        <f aca="false">IF(BM8&gt;=Inputs!$F$35,1,0)</f>
        <v>1</v>
      </c>
      <c r="BN45" s="14" t="n">
        <f aca="false">IF(BN8&gt;=Inputs!$F$35,1,0)</f>
        <v>1</v>
      </c>
      <c r="BO45" s="14" t="n">
        <f aca="false">IF(BO8&gt;=Inputs!$F$35,1,0)</f>
        <v>1</v>
      </c>
      <c r="BP45" s="14" t="n">
        <f aca="false">IF(BP8&gt;=Inputs!$F$35,1,0)</f>
        <v>1</v>
      </c>
      <c r="BQ45" s="14" t="n">
        <f aca="false">IF(BQ8&gt;=Inputs!$F$35,1,0)</f>
        <v>1</v>
      </c>
      <c r="BR45" s="14" t="n">
        <f aca="false">IF(BR8&gt;=Inputs!$F$35,1,0)</f>
        <v>1</v>
      </c>
      <c r="BS45" s="14" t="n">
        <f aca="false">IF(BS8&gt;=Inputs!$F$35,1,0)</f>
        <v>1</v>
      </c>
      <c r="BT45" s="14" t="n">
        <f aca="false">IF(BT8&gt;=Inputs!$F$35,1,0)</f>
        <v>1</v>
      </c>
      <c r="BU45" s="14" t="n">
        <f aca="false">IF(BU8&gt;=Inputs!$F$35,1,0)</f>
        <v>1</v>
      </c>
      <c r="BV45" s="14" t="n">
        <f aca="false">IF(BV8&gt;=Inputs!$F$35,1,0)</f>
        <v>1</v>
      </c>
      <c r="BW45" s="14" t="n">
        <f aca="false">IF(BW8&gt;=Inputs!$F$35,1,0)</f>
        <v>1</v>
      </c>
      <c r="BX45" s="14" t="n">
        <f aca="false">IF(BX8&gt;=Inputs!$F$35,1,0)</f>
        <v>1</v>
      </c>
      <c r="BY45" s="14" t="n">
        <f aca="false">IF(BY8&gt;=Inputs!$F$35,1,0)</f>
        <v>1</v>
      </c>
      <c r="BZ45" s="14" t="n">
        <f aca="false">IF(BZ8&gt;=Inputs!$F$35,1,0)</f>
        <v>1</v>
      </c>
      <c r="CA45" s="14" t="n">
        <f aca="false">IF(CA8&gt;=Inputs!$F$35,1,0)</f>
        <v>1</v>
      </c>
      <c r="CB45" s="14" t="n">
        <f aca="false">IF(CB8&gt;=Inputs!$F$35,1,0)</f>
        <v>1</v>
      </c>
      <c r="CC45" s="14" t="n">
        <f aca="false">IF(CC8&gt;=Inputs!$F$35,1,0)</f>
        <v>1</v>
      </c>
      <c r="CD45" s="14" t="n">
        <f aca="false">IF(CD8&gt;=Inputs!$F$35,1,0)</f>
        <v>1</v>
      </c>
      <c r="CE45" s="14" t="n">
        <f aca="false">IF(CE8&gt;=Inputs!$F$35,1,0)</f>
        <v>1</v>
      </c>
      <c r="CF45" s="14" t="n">
        <f aca="false">IF(CF8&gt;=Inputs!$F$35,1,0)</f>
        <v>1</v>
      </c>
      <c r="CG45" s="14" t="n">
        <f aca="false">IF(CG8&gt;=Inputs!$F$35,1,0)</f>
        <v>1</v>
      </c>
      <c r="CH45" s="14" t="n">
        <f aca="false">IF(CH8&gt;=Inputs!$F$35,1,0)</f>
        <v>1</v>
      </c>
      <c r="CI45" s="14" t="n">
        <f aca="false">IF(CI8&gt;=Inputs!$F$35,1,0)</f>
        <v>1</v>
      </c>
      <c r="CJ45" s="14" t="n">
        <f aca="false">IF(CJ8&gt;=Inputs!$F$35,1,0)</f>
        <v>1</v>
      </c>
      <c r="CK45" s="14" t="n">
        <f aca="false">IF(CK8&gt;=Inputs!$F$35,1,0)</f>
        <v>1</v>
      </c>
      <c r="CL45" s="14" t="n">
        <f aca="false">IF(CL8&gt;=Inputs!$F$35,1,0)</f>
        <v>1</v>
      </c>
      <c r="CM45" s="14" t="n">
        <f aca="false">IF(CM8&gt;=Inputs!$F$35,1,0)</f>
        <v>1</v>
      </c>
      <c r="CN45" s="14" t="n">
        <f aca="false">IF(CN8&gt;=Inputs!$F$35,1,0)</f>
        <v>1</v>
      </c>
      <c r="CO45" s="14" t="n">
        <f aca="false">IF(CO8&gt;=Inputs!$F$35,1,0)</f>
        <v>1</v>
      </c>
      <c r="CP45" s="14" t="n">
        <f aca="false">IF(CP8&gt;=Inputs!$F$35,1,0)</f>
        <v>1</v>
      </c>
      <c r="CQ45" s="14" t="n">
        <f aca="false">IF(CQ8&gt;=Inputs!$F$35,1,0)</f>
        <v>1</v>
      </c>
      <c r="CR45" s="14" t="n">
        <f aca="false">IF(CR8&gt;=Inputs!$F$35,1,0)</f>
        <v>1</v>
      </c>
      <c r="CS45" s="14" t="n">
        <f aca="false">IF(CS8&gt;=Inputs!$F$35,1,0)</f>
        <v>1</v>
      </c>
      <c r="CT45" s="14" t="n">
        <f aca="false">IF(CT8&gt;=Inputs!$F$35,1,0)</f>
        <v>1</v>
      </c>
      <c r="CU45" s="14" t="n">
        <f aca="false">IF(CU8&gt;=Inputs!$F$35,1,0)</f>
        <v>1</v>
      </c>
      <c r="CV45" s="14" t="n">
        <f aca="false">IF(CV8&gt;=Inputs!$F$35,1,0)</f>
        <v>1</v>
      </c>
      <c r="CW45" s="14" t="n">
        <f aca="false">IF(CW8&gt;=Inputs!$F$35,1,0)</f>
        <v>1</v>
      </c>
      <c r="CX45" s="14" t="n">
        <f aca="false">IF(CX8&gt;=Inputs!$F$35,1,0)</f>
        <v>1</v>
      </c>
      <c r="CY45" s="14" t="n">
        <f aca="false">IF(CY8&gt;=Inputs!$F$35,1,0)</f>
        <v>1</v>
      </c>
      <c r="CZ45" s="14" t="n">
        <f aca="false">IF(CZ8&gt;=Inputs!$F$35,1,0)</f>
        <v>1</v>
      </c>
      <c r="DA45" s="14" t="n">
        <f aca="false">IF(DA8&gt;=Inputs!$F$35,1,0)</f>
        <v>1</v>
      </c>
      <c r="DB45" s="14" t="n">
        <f aca="false">IF(DB8&gt;=Inputs!$F$35,1,0)</f>
        <v>1</v>
      </c>
    </row>
    <row r="46" customFormat="false" ht="15" hidden="false" customHeight="false" outlineLevel="0" collapsed="false">
      <c r="D46" s="0" t="s">
        <v>351</v>
      </c>
      <c r="E46" s="0" t="s">
        <v>42</v>
      </c>
      <c r="J46" s="14" t="n">
        <f aca="false">IF(AND(J7&lt;EDATE($F$16,Inputs!$F$48),EDATE($F$16,Inputs!$F$48)&lt;=J8),1,0)</f>
        <v>0</v>
      </c>
      <c r="K46" s="14" t="n">
        <f aca="false">IF(AND(K7&lt;EDATE($F$16,Inputs!$F$48),EDATE($F$16,Inputs!$F$48)&lt;=K8),1,0)</f>
        <v>0</v>
      </c>
      <c r="L46" s="14" t="n">
        <f aca="false">IF(AND(L7&lt;EDATE($F$16,Inputs!$F$48),EDATE($F$16,Inputs!$F$48)&lt;=L8),1,0)</f>
        <v>0</v>
      </c>
      <c r="M46" s="14" t="n">
        <f aca="false">IF(AND(M7&lt;EDATE($F$16,Inputs!$F$48),EDATE($F$16,Inputs!$F$48)&lt;=M8),1,0)</f>
        <v>0</v>
      </c>
      <c r="N46" s="14" t="n">
        <f aca="false">IF(AND(N7&lt;EDATE($F$16,Inputs!$F$48),EDATE($F$16,Inputs!$F$48)&lt;=N8),1,0)</f>
        <v>0</v>
      </c>
      <c r="O46" s="14" t="n">
        <f aca="false">IF(AND(O7&lt;EDATE($F$16,Inputs!$F$48),EDATE($F$16,Inputs!$F$48)&lt;=O8),1,0)</f>
        <v>0</v>
      </c>
      <c r="P46" s="14" t="n">
        <f aca="false">IF(AND(P7&lt;EDATE($F$16,Inputs!$F$48),EDATE($F$16,Inputs!$F$48)&lt;=P8),1,0)</f>
        <v>0</v>
      </c>
      <c r="Q46" s="14" t="n">
        <f aca="false">IF(AND(Q7&lt;EDATE($F$16,Inputs!$F$48),EDATE($F$16,Inputs!$F$48)&lt;=Q8),1,0)</f>
        <v>0</v>
      </c>
      <c r="R46" s="14" t="n">
        <f aca="false">IF(AND(R7&lt;EDATE($F$16,Inputs!$F$48),EDATE($F$16,Inputs!$F$48)&lt;=R8),1,0)</f>
        <v>0</v>
      </c>
      <c r="S46" s="14" t="n">
        <f aca="false">IF(AND(S7&lt;EDATE($F$16,Inputs!$F$48),EDATE($F$16,Inputs!$F$48)&lt;=S8),1,0)</f>
        <v>0</v>
      </c>
      <c r="T46" s="14" t="n">
        <f aca="false">IF(AND(T7&lt;EDATE($F$16,Inputs!$F$48),EDATE($F$16,Inputs!$F$48)&lt;=T8),1,0)</f>
        <v>0</v>
      </c>
      <c r="U46" s="14" t="n">
        <f aca="false">IF(AND(U7&lt;EDATE($F$16,Inputs!$F$48),EDATE($F$16,Inputs!$F$48)&lt;=U8),1,0)</f>
        <v>0</v>
      </c>
      <c r="V46" s="14" t="n">
        <f aca="false">IF(AND(V7&lt;EDATE($F$16,Inputs!$F$48),EDATE($F$16,Inputs!$F$48)&lt;=V8),1,0)</f>
        <v>0</v>
      </c>
      <c r="W46" s="14" t="n">
        <f aca="false">IF(AND(W7&lt;EDATE($F$16,Inputs!$F$48),EDATE($F$16,Inputs!$F$48)&lt;=W8),1,0)</f>
        <v>0</v>
      </c>
      <c r="X46" s="14" t="n">
        <f aca="false">IF(AND(X7&lt;EDATE($F$16,Inputs!$F$48),EDATE($F$16,Inputs!$F$48)&lt;=X8),1,0)</f>
        <v>0</v>
      </c>
      <c r="Y46" s="14" t="n">
        <f aca="false">IF(AND(Y7&lt;EDATE($F$16,Inputs!$F$48),EDATE($F$16,Inputs!$F$48)&lt;=Y8),1,0)</f>
        <v>0</v>
      </c>
      <c r="Z46" s="14" t="n">
        <f aca="false">IF(AND(Z7&lt;EDATE($F$16,Inputs!$F$48),EDATE($F$16,Inputs!$F$48)&lt;=Z8),1,0)</f>
        <v>0</v>
      </c>
      <c r="AA46" s="14" t="n">
        <f aca="false">IF(AND(AA7&lt;EDATE($F$16,Inputs!$F$48),EDATE($F$16,Inputs!$F$48)&lt;=AA8),1,0)</f>
        <v>0</v>
      </c>
      <c r="AB46" s="14" t="n">
        <f aca="false">IF(AND(AB7&lt;EDATE($F$16,Inputs!$F$48),EDATE($F$16,Inputs!$F$48)&lt;=AB8),1,0)</f>
        <v>0</v>
      </c>
      <c r="AC46" s="14" t="n">
        <f aca="false">IF(AND(AC7&lt;EDATE($F$16,Inputs!$F$48),EDATE($F$16,Inputs!$F$48)&lt;=AC8),1,0)</f>
        <v>0</v>
      </c>
      <c r="AD46" s="14" t="n">
        <f aca="false">IF(AND(AD7&lt;EDATE($F$16,Inputs!$F$48),EDATE($F$16,Inputs!$F$48)&lt;=AD8),1,0)</f>
        <v>1</v>
      </c>
      <c r="AE46" s="14" t="n">
        <f aca="false">IF(AND(AE7&lt;EDATE($F$16,Inputs!$F$48),EDATE($F$16,Inputs!$F$48)&lt;=AE8),1,0)</f>
        <v>0</v>
      </c>
      <c r="AF46" s="14" t="n">
        <f aca="false">IF(AND(AF7&lt;EDATE($F$16,Inputs!$F$48),EDATE($F$16,Inputs!$F$48)&lt;=AF8),1,0)</f>
        <v>0</v>
      </c>
      <c r="AG46" s="14" t="n">
        <f aca="false">IF(AND(AG7&lt;EDATE($F$16,Inputs!$F$48),EDATE($F$16,Inputs!$F$48)&lt;=AG8),1,0)</f>
        <v>0</v>
      </c>
      <c r="AH46" s="14" t="n">
        <f aca="false">IF(AND(AH7&lt;EDATE($F$16,Inputs!$F$48),EDATE($F$16,Inputs!$F$48)&lt;=AH8),1,0)</f>
        <v>0</v>
      </c>
      <c r="AI46" s="14" t="n">
        <f aca="false">IF(AND(AI7&lt;EDATE($F$16,Inputs!$F$48),EDATE($F$16,Inputs!$F$48)&lt;=AI8),1,0)</f>
        <v>0</v>
      </c>
      <c r="AJ46" s="14" t="n">
        <f aca="false">IF(AND(AJ7&lt;EDATE($F$16,Inputs!$F$48),EDATE($F$16,Inputs!$F$48)&lt;=AJ8),1,0)</f>
        <v>0</v>
      </c>
      <c r="AK46" s="14" t="n">
        <f aca="false">IF(AND(AK7&lt;EDATE($F$16,Inputs!$F$48),EDATE($F$16,Inputs!$F$48)&lt;=AK8),1,0)</f>
        <v>0</v>
      </c>
      <c r="AL46" s="14" t="n">
        <f aca="false">IF(AND(AL7&lt;EDATE($F$16,Inputs!$F$48),EDATE($F$16,Inputs!$F$48)&lt;=AL8),1,0)</f>
        <v>0</v>
      </c>
      <c r="AM46" s="14" t="n">
        <f aca="false">IF(AND(AM7&lt;EDATE($F$16,Inputs!$F$48),EDATE($F$16,Inputs!$F$48)&lt;=AM8),1,0)</f>
        <v>0</v>
      </c>
      <c r="AN46" s="14" t="n">
        <f aca="false">IF(AND(AN7&lt;EDATE($F$16,Inputs!$F$48),EDATE($F$16,Inputs!$F$48)&lt;=AN8),1,0)</f>
        <v>0</v>
      </c>
      <c r="AO46" s="14" t="n">
        <f aca="false">IF(AND(AO7&lt;EDATE($F$16,Inputs!$F$48),EDATE($F$16,Inputs!$F$48)&lt;=AO8),1,0)</f>
        <v>0</v>
      </c>
      <c r="AP46" s="14" t="n">
        <f aca="false">IF(AND(AP7&lt;EDATE($F$16,Inputs!$F$48),EDATE($F$16,Inputs!$F$48)&lt;=AP8),1,0)</f>
        <v>0</v>
      </c>
      <c r="AQ46" s="14" t="n">
        <f aca="false">IF(AND(AQ7&lt;EDATE($F$16,Inputs!$F$48),EDATE($F$16,Inputs!$F$48)&lt;=AQ8),1,0)</f>
        <v>0</v>
      </c>
      <c r="AR46" s="14" t="n">
        <f aca="false">IF(AND(AR7&lt;EDATE($F$16,Inputs!$F$48),EDATE($F$16,Inputs!$F$48)&lt;=AR8),1,0)</f>
        <v>0</v>
      </c>
      <c r="AS46" s="14" t="n">
        <f aca="false">IF(AND(AS7&lt;EDATE($F$16,Inputs!$F$48),EDATE($F$16,Inputs!$F$48)&lt;=AS8),1,0)</f>
        <v>0</v>
      </c>
      <c r="AT46" s="14" t="n">
        <f aca="false">IF(AND(AT7&lt;EDATE($F$16,Inputs!$F$48),EDATE($F$16,Inputs!$F$48)&lt;=AT8),1,0)</f>
        <v>0</v>
      </c>
      <c r="AU46" s="14" t="n">
        <f aca="false">IF(AND(AU7&lt;EDATE($F$16,Inputs!$F$48),EDATE($F$16,Inputs!$F$48)&lt;=AU8),1,0)</f>
        <v>0</v>
      </c>
      <c r="AV46" s="14" t="n">
        <f aca="false">IF(AND(AV7&lt;EDATE($F$16,Inputs!$F$48),EDATE($F$16,Inputs!$F$48)&lt;=AV8),1,0)</f>
        <v>0</v>
      </c>
      <c r="AW46" s="14" t="n">
        <f aca="false">IF(AND(AW7&lt;EDATE($F$16,Inputs!$F$48),EDATE($F$16,Inputs!$F$48)&lt;=AW8),1,0)</f>
        <v>0</v>
      </c>
      <c r="AX46" s="14" t="n">
        <f aca="false">IF(AND(AX7&lt;EDATE($F$16,Inputs!$F$48),EDATE($F$16,Inputs!$F$48)&lt;=AX8),1,0)</f>
        <v>0</v>
      </c>
      <c r="AY46" s="14" t="n">
        <f aca="false">IF(AND(AY7&lt;EDATE($F$16,Inputs!$F$48),EDATE($F$16,Inputs!$F$48)&lt;=AY8),1,0)</f>
        <v>0</v>
      </c>
      <c r="AZ46" s="14" t="n">
        <f aca="false">IF(AND(AZ7&lt;EDATE($F$16,Inputs!$F$48),EDATE($F$16,Inputs!$F$48)&lt;=AZ8),1,0)</f>
        <v>0</v>
      </c>
      <c r="BA46" s="14" t="n">
        <f aca="false">IF(AND(BA7&lt;EDATE($F$16,Inputs!$F$48),EDATE($F$16,Inputs!$F$48)&lt;=BA8),1,0)</f>
        <v>0</v>
      </c>
      <c r="BB46" s="14" t="n">
        <f aca="false">IF(AND(BB7&lt;EDATE($F$16,Inputs!$F$48),EDATE($F$16,Inputs!$F$48)&lt;=BB8),1,0)</f>
        <v>0</v>
      </c>
      <c r="BC46" s="14" t="n">
        <f aca="false">IF(AND(BC7&lt;EDATE($F$16,Inputs!$F$48),EDATE($F$16,Inputs!$F$48)&lt;=BC8),1,0)</f>
        <v>0</v>
      </c>
      <c r="BD46" s="14" t="n">
        <f aca="false">IF(AND(BD7&lt;EDATE($F$16,Inputs!$F$48),EDATE($F$16,Inputs!$F$48)&lt;=BD8),1,0)</f>
        <v>0</v>
      </c>
      <c r="BE46" s="14" t="n">
        <f aca="false">IF(AND(BE7&lt;EDATE($F$16,Inputs!$F$48),EDATE($F$16,Inputs!$F$48)&lt;=BE8),1,0)</f>
        <v>0</v>
      </c>
      <c r="BF46" s="14" t="n">
        <f aca="false">IF(AND(BF7&lt;EDATE($F$16,Inputs!$F$48),EDATE($F$16,Inputs!$F$48)&lt;=BF8),1,0)</f>
        <v>0</v>
      </c>
      <c r="BG46" s="14" t="n">
        <f aca="false">IF(AND(BG7&lt;EDATE($F$16,Inputs!$F$48),EDATE($F$16,Inputs!$F$48)&lt;=BG8),1,0)</f>
        <v>0</v>
      </c>
      <c r="BH46" s="14" t="n">
        <f aca="false">IF(AND(BH7&lt;EDATE($F$16,Inputs!$F$48),EDATE($F$16,Inputs!$F$48)&lt;=BH8),1,0)</f>
        <v>0</v>
      </c>
      <c r="BI46" s="14" t="n">
        <f aca="false">IF(AND(BI7&lt;EDATE($F$16,Inputs!$F$48),EDATE($F$16,Inputs!$F$48)&lt;=BI8),1,0)</f>
        <v>0</v>
      </c>
      <c r="BJ46" s="14" t="n">
        <f aca="false">IF(AND(BJ7&lt;EDATE($F$16,Inputs!$F$48),EDATE($F$16,Inputs!$F$48)&lt;=BJ8),1,0)</f>
        <v>0</v>
      </c>
      <c r="BK46" s="14" t="n">
        <f aca="false">IF(AND(BK7&lt;EDATE($F$16,Inputs!$F$48),EDATE($F$16,Inputs!$F$48)&lt;=BK8),1,0)</f>
        <v>0</v>
      </c>
      <c r="BL46" s="14" t="n">
        <f aca="false">IF(AND(BL7&lt;EDATE($F$16,Inputs!$F$48),EDATE($F$16,Inputs!$F$48)&lt;=BL8),1,0)</f>
        <v>0</v>
      </c>
      <c r="BM46" s="14" t="n">
        <f aca="false">IF(AND(BM7&lt;EDATE($F$16,Inputs!$F$48),EDATE($F$16,Inputs!$F$48)&lt;=BM8),1,0)</f>
        <v>0</v>
      </c>
      <c r="BN46" s="14" t="n">
        <f aca="false">IF(AND(BN7&lt;EDATE($F$16,Inputs!$F$48),EDATE($F$16,Inputs!$F$48)&lt;=BN8),1,0)</f>
        <v>0</v>
      </c>
      <c r="BO46" s="14" t="n">
        <f aca="false">IF(AND(BO7&lt;EDATE($F$16,Inputs!$F$48),EDATE($F$16,Inputs!$F$48)&lt;=BO8),1,0)</f>
        <v>0</v>
      </c>
      <c r="BP46" s="14" t="n">
        <f aca="false">IF(AND(BP7&lt;EDATE($F$16,Inputs!$F$48),EDATE($F$16,Inputs!$F$48)&lt;=BP8),1,0)</f>
        <v>0</v>
      </c>
      <c r="BQ46" s="14" t="n">
        <f aca="false">IF(AND(BQ7&lt;EDATE($F$16,Inputs!$F$48),EDATE($F$16,Inputs!$F$48)&lt;=BQ8),1,0)</f>
        <v>0</v>
      </c>
      <c r="BR46" s="14" t="n">
        <f aca="false">IF(AND(BR7&lt;EDATE($F$16,Inputs!$F$48),EDATE($F$16,Inputs!$F$48)&lt;=BR8),1,0)</f>
        <v>0</v>
      </c>
      <c r="BS46" s="14" t="n">
        <f aca="false">IF(AND(BS7&lt;EDATE($F$16,Inputs!$F$48),EDATE($F$16,Inputs!$F$48)&lt;=BS8),1,0)</f>
        <v>0</v>
      </c>
      <c r="BT46" s="14" t="n">
        <f aca="false">IF(AND(BT7&lt;EDATE($F$16,Inputs!$F$48),EDATE($F$16,Inputs!$F$48)&lt;=BT8),1,0)</f>
        <v>0</v>
      </c>
      <c r="BU46" s="14" t="n">
        <f aca="false">IF(AND(BU7&lt;EDATE($F$16,Inputs!$F$48),EDATE($F$16,Inputs!$F$48)&lt;=BU8),1,0)</f>
        <v>0</v>
      </c>
      <c r="BV46" s="14" t="n">
        <f aca="false">IF(AND(BV7&lt;EDATE($F$16,Inputs!$F$48),EDATE($F$16,Inputs!$F$48)&lt;=BV8),1,0)</f>
        <v>0</v>
      </c>
      <c r="BW46" s="14" t="n">
        <f aca="false">IF(AND(BW7&lt;EDATE($F$16,Inputs!$F$48),EDATE($F$16,Inputs!$F$48)&lt;=BW8),1,0)</f>
        <v>0</v>
      </c>
      <c r="BX46" s="14" t="n">
        <f aca="false">IF(AND(BX7&lt;EDATE($F$16,Inputs!$F$48),EDATE($F$16,Inputs!$F$48)&lt;=BX8),1,0)</f>
        <v>0</v>
      </c>
      <c r="BY46" s="14" t="n">
        <f aca="false">IF(AND(BY7&lt;EDATE($F$16,Inputs!$F$48),EDATE($F$16,Inputs!$F$48)&lt;=BY8),1,0)</f>
        <v>0</v>
      </c>
      <c r="BZ46" s="14" t="n">
        <f aca="false">IF(AND(BZ7&lt;EDATE($F$16,Inputs!$F$48),EDATE($F$16,Inputs!$F$48)&lt;=BZ8),1,0)</f>
        <v>0</v>
      </c>
      <c r="CA46" s="14" t="n">
        <f aca="false">IF(AND(CA7&lt;EDATE($F$16,Inputs!$F$48),EDATE($F$16,Inputs!$F$48)&lt;=CA8),1,0)</f>
        <v>0</v>
      </c>
      <c r="CB46" s="14" t="n">
        <f aca="false">IF(AND(CB7&lt;EDATE($F$16,Inputs!$F$48),EDATE($F$16,Inputs!$F$48)&lt;=CB8),1,0)</f>
        <v>0</v>
      </c>
      <c r="CC46" s="14" t="n">
        <f aca="false">IF(AND(CC7&lt;EDATE($F$16,Inputs!$F$48),EDATE($F$16,Inputs!$F$48)&lt;=CC8),1,0)</f>
        <v>0</v>
      </c>
      <c r="CD46" s="14" t="n">
        <f aca="false">IF(AND(CD7&lt;EDATE($F$16,Inputs!$F$48),EDATE($F$16,Inputs!$F$48)&lt;=CD8),1,0)</f>
        <v>0</v>
      </c>
      <c r="CE46" s="14" t="n">
        <f aca="false">IF(AND(CE7&lt;EDATE($F$16,Inputs!$F$48),EDATE($F$16,Inputs!$F$48)&lt;=CE8),1,0)</f>
        <v>0</v>
      </c>
      <c r="CF46" s="14" t="n">
        <f aca="false">IF(AND(CF7&lt;EDATE($F$16,Inputs!$F$48),EDATE($F$16,Inputs!$F$48)&lt;=CF8),1,0)</f>
        <v>0</v>
      </c>
      <c r="CG46" s="14" t="n">
        <f aca="false">IF(AND(CG7&lt;EDATE($F$16,Inputs!$F$48),EDATE($F$16,Inputs!$F$48)&lt;=CG8),1,0)</f>
        <v>0</v>
      </c>
      <c r="CH46" s="14" t="n">
        <f aca="false">IF(AND(CH7&lt;EDATE($F$16,Inputs!$F$48),EDATE($F$16,Inputs!$F$48)&lt;=CH8),1,0)</f>
        <v>0</v>
      </c>
      <c r="CI46" s="14" t="n">
        <f aca="false">IF(AND(CI7&lt;EDATE($F$16,Inputs!$F$48),EDATE($F$16,Inputs!$F$48)&lt;=CI8),1,0)</f>
        <v>0</v>
      </c>
      <c r="CJ46" s="14" t="n">
        <f aca="false">IF(AND(CJ7&lt;EDATE($F$16,Inputs!$F$48),EDATE($F$16,Inputs!$F$48)&lt;=CJ8),1,0)</f>
        <v>0</v>
      </c>
      <c r="CK46" s="14" t="n">
        <f aca="false">IF(AND(CK7&lt;EDATE($F$16,Inputs!$F$48),EDATE($F$16,Inputs!$F$48)&lt;=CK8),1,0)</f>
        <v>0</v>
      </c>
      <c r="CL46" s="14" t="n">
        <f aca="false">IF(AND(CL7&lt;EDATE($F$16,Inputs!$F$48),EDATE($F$16,Inputs!$F$48)&lt;=CL8),1,0)</f>
        <v>0</v>
      </c>
      <c r="CM46" s="14" t="n">
        <f aca="false">IF(AND(CM7&lt;EDATE($F$16,Inputs!$F$48),EDATE($F$16,Inputs!$F$48)&lt;=CM8),1,0)</f>
        <v>0</v>
      </c>
      <c r="CN46" s="14" t="n">
        <f aca="false">IF(AND(CN7&lt;EDATE($F$16,Inputs!$F$48),EDATE($F$16,Inputs!$F$48)&lt;=CN8),1,0)</f>
        <v>0</v>
      </c>
      <c r="CO46" s="14" t="n">
        <f aca="false">IF(AND(CO7&lt;EDATE($F$16,Inputs!$F$48),EDATE($F$16,Inputs!$F$48)&lt;=CO8),1,0)</f>
        <v>0</v>
      </c>
      <c r="CP46" s="14" t="n">
        <f aca="false">IF(AND(CP7&lt;EDATE($F$16,Inputs!$F$48),EDATE($F$16,Inputs!$F$48)&lt;=CP8),1,0)</f>
        <v>0</v>
      </c>
      <c r="CQ46" s="14" t="n">
        <f aca="false">IF(AND(CQ7&lt;EDATE($F$16,Inputs!$F$48),EDATE($F$16,Inputs!$F$48)&lt;=CQ8),1,0)</f>
        <v>0</v>
      </c>
      <c r="CR46" s="14" t="n">
        <f aca="false">IF(AND(CR7&lt;EDATE($F$16,Inputs!$F$48),EDATE($F$16,Inputs!$F$48)&lt;=CR8),1,0)</f>
        <v>0</v>
      </c>
      <c r="CS46" s="14" t="n">
        <f aca="false">IF(AND(CS7&lt;EDATE($F$16,Inputs!$F$48),EDATE($F$16,Inputs!$F$48)&lt;=CS8),1,0)</f>
        <v>0</v>
      </c>
      <c r="CT46" s="14" t="n">
        <f aca="false">IF(AND(CT7&lt;EDATE($F$16,Inputs!$F$48),EDATE($F$16,Inputs!$F$48)&lt;=CT8),1,0)</f>
        <v>0</v>
      </c>
      <c r="CU46" s="14" t="n">
        <f aca="false">IF(AND(CU7&lt;EDATE($F$16,Inputs!$F$48),EDATE($F$16,Inputs!$F$48)&lt;=CU8),1,0)</f>
        <v>0</v>
      </c>
      <c r="CV46" s="14" t="n">
        <f aca="false">IF(AND(CV7&lt;EDATE($F$16,Inputs!$F$48),EDATE($F$16,Inputs!$F$48)&lt;=CV8),1,0)</f>
        <v>0</v>
      </c>
      <c r="CW46" s="14" t="n">
        <f aca="false">IF(AND(CW7&lt;EDATE($F$16,Inputs!$F$48),EDATE($F$16,Inputs!$F$48)&lt;=CW8),1,0)</f>
        <v>0</v>
      </c>
      <c r="CX46" s="14" t="n">
        <f aca="false">IF(AND(CX7&lt;EDATE($F$16,Inputs!$F$48),EDATE($F$16,Inputs!$F$48)&lt;=CX8),1,0)</f>
        <v>0</v>
      </c>
      <c r="CY46" s="14" t="n">
        <f aca="false">IF(AND(CY7&lt;EDATE($F$16,Inputs!$F$48),EDATE($F$16,Inputs!$F$48)&lt;=CY8),1,0)</f>
        <v>0</v>
      </c>
      <c r="CZ46" s="14" t="n">
        <f aca="false">IF(AND(CZ7&lt;EDATE($F$16,Inputs!$F$48),EDATE($F$16,Inputs!$F$48)&lt;=CZ8),1,0)</f>
        <v>0</v>
      </c>
      <c r="DA46" s="14" t="n">
        <f aca="false">IF(AND(DA7&lt;EDATE($F$16,Inputs!$F$48),EDATE($F$16,Inputs!$F$48)&lt;=DA8),1,0)</f>
        <v>0</v>
      </c>
      <c r="DB46" s="14" t="n">
        <f aca="false">IF(AND(DB7&lt;EDATE($F$16,Inputs!$F$48),EDATE($F$16,Inputs!$F$48)&lt;=DB8),1,0)</f>
        <v>0</v>
      </c>
    </row>
    <row r="47" customFormat="false" ht="15" hidden="false" customHeight="false" outlineLevel="0" collapsed="false">
      <c r="D47" s="0" t="s">
        <v>352</v>
      </c>
      <c r="E47" s="0" t="s">
        <v>42</v>
      </c>
      <c r="J47" s="14" t="n">
        <f aca="false">IF(Inputs!$F$215=1,IF(AND(J8&gt;=Inputs!$F$29,J8&lt;=Inputs!$F$30),1,0),IF(AND(J8&gt;=Inputs!$F$27,J8&lt;=Inputs!$F$28),1,0))</f>
        <v>0</v>
      </c>
      <c r="K47" s="14" t="n">
        <f aca="false">IF(Inputs!$F$215=1,IF(AND(K8&gt;=Inputs!$F$29,K8&lt;=Inputs!$F$30),1,0),IF(AND(K8&gt;=Inputs!$F$27,K8&lt;=Inputs!$F$28),1,0))</f>
        <v>0</v>
      </c>
      <c r="L47" s="14" t="n">
        <f aca="false">IF(Inputs!$F$215=1,IF(AND(L8&gt;=Inputs!$F$29,L8&lt;=Inputs!$F$30),1,0),IF(AND(L8&gt;=Inputs!$F$27,L8&lt;=Inputs!$F$28),1,0))</f>
        <v>0</v>
      </c>
      <c r="M47" s="14" t="n">
        <f aca="false">IF(Inputs!$F$215=1,IF(AND(M8&gt;=Inputs!$F$29,M8&lt;=Inputs!$F$30),1,0),IF(AND(M8&gt;=Inputs!$F$27,M8&lt;=Inputs!$F$28),1,0))</f>
        <v>0</v>
      </c>
      <c r="N47" s="14" t="n">
        <f aca="false">IF(Inputs!$F$215=1,IF(AND(N8&gt;=Inputs!$F$29,N8&lt;=Inputs!$F$30),1,0),IF(AND(N8&gt;=Inputs!$F$27,N8&lt;=Inputs!$F$28),1,0))</f>
        <v>0</v>
      </c>
      <c r="O47" s="14" t="n">
        <f aca="false">IF(Inputs!$F$215=1,IF(AND(O8&gt;=Inputs!$F$29,O8&lt;=Inputs!$F$30),1,0),IF(AND(O8&gt;=Inputs!$F$27,O8&lt;=Inputs!$F$28),1,0))</f>
        <v>0</v>
      </c>
      <c r="P47" s="14" t="n">
        <f aca="false">IF(Inputs!$F$215=1,IF(AND(P8&gt;=Inputs!$F$29,P8&lt;=Inputs!$F$30),1,0),IF(AND(P8&gt;=Inputs!$F$27,P8&lt;=Inputs!$F$28),1,0))</f>
        <v>0</v>
      </c>
      <c r="Q47" s="14" t="n">
        <f aca="false">IF(Inputs!$F$215=1,IF(AND(Q8&gt;=Inputs!$F$29,Q8&lt;=Inputs!$F$30),1,0),IF(AND(Q8&gt;=Inputs!$F$27,Q8&lt;=Inputs!$F$28),1,0))</f>
        <v>0</v>
      </c>
      <c r="R47" s="14" t="n">
        <f aca="false">IF(Inputs!$F$215=1,IF(AND(R8&gt;=Inputs!$F$29,R8&lt;=Inputs!$F$30),1,0),IF(AND(R8&gt;=Inputs!$F$27,R8&lt;=Inputs!$F$28),1,0))</f>
        <v>0</v>
      </c>
      <c r="S47" s="14" t="n">
        <f aca="false">IF(Inputs!$F$215=1,IF(AND(S8&gt;=Inputs!$F$29,S8&lt;=Inputs!$F$30),1,0),IF(AND(S8&gt;=Inputs!$F$27,S8&lt;=Inputs!$F$28),1,0))</f>
        <v>0</v>
      </c>
      <c r="T47" s="14" t="n">
        <f aca="false">IF(Inputs!$F$215=1,IF(AND(T8&gt;=Inputs!$F$29,T8&lt;=Inputs!$F$30),1,0),IF(AND(T8&gt;=Inputs!$F$27,T8&lt;=Inputs!$F$28),1,0))</f>
        <v>0</v>
      </c>
      <c r="U47" s="14" t="n">
        <f aca="false">IF(Inputs!$F$215=1,IF(AND(U8&gt;=Inputs!$F$29,U8&lt;=Inputs!$F$30),1,0),IF(AND(U8&gt;=Inputs!$F$27,U8&lt;=Inputs!$F$28),1,0))</f>
        <v>0</v>
      </c>
      <c r="V47" s="14" t="n">
        <f aca="false">IF(Inputs!$F$215=1,IF(AND(V8&gt;=Inputs!$F$29,V8&lt;=Inputs!$F$30),1,0),IF(AND(V8&gt;=Inputs!$F$27,V8&lt;=Inputs!$F$28),1,0))</f>
        <v>0</v>
      </c>
      <c r="W47" s="14" t="n">
        <f aca="false">IF(Inputs!$F$215=1,IF(AND(W8&gt;=Inputs!$F$29,W8&lt;=Inputs!$F$30),1,0),IF(AND(W8&gt;=Inputs!$F$27,W8&lt;=Inputs!$F$28),1,0))</f>
        <v>0</v>
      </c>
      <c r="X47" s="14" t="n">
        <f aca="false">IF(Inputs!$F$215=1,IF(AND(X8&gt;=Inputs!$F$29,X8&lt;=Inputs!$F$30),1,0),IF(AND(X8&gt;=Inputs!$F$27,X8&lt;=Inputs!$F$28),1,0))</f>
        <v>0</v>
      </c>
      <c r="Y47" s="14" t="n">
        <f aca="false">IF(Inputs!$F$215=1,IF(AND(Y8&gt;=Inputs!$F$29,Y8&lt;=Inputs!$F$30),1,0),IF(AND(Y8&gt;=Inputs!$F$27,Y8&lt;=Inputs!$F$28),1,0))</f>
        <v>0</v>
      </c>
      <c r="Z47" s="14" t="n">
        <f aca="false">IF(Inputs!$F$215=1,IF(AND(Z8&gt;=Inputs!$F$29,Z8&lt;=Inputs!$F$30),1,0),IF(AND(Z8&gt;=Inputs!$F$27,Z8&lt;=Inputs!$F$28),1,0))</f>
        <v>0</v>
      </c>
      <c r="AA47" s="14" t="n">
        <f aca="false">IF(Inputs!$F$215=1,IF(AND(AA8&gt;=Inputs!$F$29,AA8&lt;=Inputs!$F$30),1,0),IF(AND(AA8&gt;=Inputs!$F$27,AA8&lt;=Inputs!$F$28),1,0))</f>
        <v>0</v>
      </c>
      <c r="AB47" s="14" t="n">
        <f aca="false">IF(Inputs!$F$215=1,IF(AND(AB8&gt;=Inputs!$F$29,AB8&lt;=Inputs!$F$30),1,0),IF(AND(AB8&gt;=Inputs!$F$27,AB8&lt;=Inputs!$F$28),1,0))</f>
        <v>0</v>
      </c>
      <c r="AC47" s="14" t="n">
        <f aca="false">IF(Inputs!$F$215=1,IF(AND(AC8&gt;=Inputs!$F$29,AC8&lt;=Inputs!$F$30),1,0),IF(AND(AC8&gt;=Inputs!$F$27,AC8&lt;=Inputs!$F$28),1,0))</f>
        <v>0</v>
      </c>
      <c r="AD47" s="14" t="n">
        <f aca="false">IF(Inputs!$F$215=1,IF(AND(AD8&gt;=Inputs!$F$29,AD8&lt;=Inputs!$F$30),1,0),IF(AND(AD8&gt;=Inputs!$F$27,AD8&lt;=Inputs!$F$28),1,0))</f>
        <v>0</v>
      </c>
      <c r="AE47" s="14" t="n">
        <f aca="false">IF(Inputs!$F$215=1,IF(AND(AE8&gt;=Inputs!$F$29,AE8&lt;=Inputs!$F$30),1,0),IF(AND(AE8&gt;=Inputs!$F$27,AE8&lt;=Inputs!$F$28),1,0))</f>
        <v>0</v>
      </c>
      <c r="AF47" s="14" t="n">
        <f aca="false">IF(Inputs!$F$215=1,IF(AND(AF8&gt;=Inputs!$F$29,AF8&lt;=Inputs!$F$30),1,0),IF(AND(AF8&gt;=Inputs!$F$27,AF8&lt;=Inputs!$F$28),1,0))</f>
        <v>0</v>
      </c>
      <c r="AG47" s="14" t="n">
        <f aca="false">IF(Inputs!$F$215=1,IF(AND(AG8&gt;=Inputs!$F$29,AG8&lt;=Inputs!$F$30),1,0),IF(AND(AG8&gt;=Inputs!$F$27,AG8&lt;=Inputs!$F$28),1,0))</f>
        <v>0</v>
      </c>
      <c r="AH47" s="14" t="n">
        <f aca="false">IF(Inputs!$F$215=1,IF(AND(AH8&gt;=Inputs!$F$29,AH8&lt;=Inputs!$F$30),1,0),IF(AND(AH8&gt;=Inputs!$F$27,AH8&lt;=Inputs!$F$28),1,0))</f>
        <v>0</v>
      </c>
      <c r="AI47" s="14" t="n">
        <f aca="false">IF(Inputs!$F$215=1,IF(AND(AI8&gt;=Inputs!$F$29,AI8&lt;=Inputs!$F$30),1,0),IF(AND(AI8&gt;=Inputs!$F$27,AI8&lt;=Inputs!$F$28),1,0))</f>
        <v>0</v>
      </c>
      <c r="AJ47" s="14" t="n">
        <f aca="false">IF(Inputs!$F$215=1,IF(AND(AJ8&gt;=Inputs!$F$29,AJ8&lt;=Inputs!$F$30),1,0),IF(AND(AJ8&gt;=Inputs!$F$27,AJ8&lt;=Inputs!$F$28),1,0))</f>
        <v>1</v>
      </c>
      <c r="AK47" s="14" t="n">
        <f aca="false">IF(Inputs!$F$215=1,IF(AND(AK8&gt;=Inputs!$F$29,AK8&lt;=Inputs!$F$30),1,0),IF(AND(AK8&gt;=Inputs!$F$27,AK8&lt;=Inputs!$F$28),1,0))</f>
        <v>1</v>
      </c>
      <c r="AL47" s="14" t="n">
        <f aca="false">IF(Inputs!$F$215=1,IF(AND(AL8&gt;=Inputs!$F$29,AL8&lt;=Inputs!$F$30),1,0),IF(AND(AL8&gt;=Inputs!$F$27,AL8&lt;=Inputs!$F$28),1,0))</f>
        <v>1</v>
      </c>
      <c r="AM47" s="14" t="n">
        <f aca="false">IF(Inputs!$F$215=1,IF(AND(AM8&gt;=Inputs!$F$29,AM8&lt;=Inputs!$F$30),1,0),IF(AND(AM8&gt;=Inputs!$F$27,AM8&lt;=Inputs!$F$28),1,0))</f>
        <v>1</v>
      </c>
      <c r="AN47" s="14" t="n">
        <f aca="false">IF(Inputs!$F$215=1,IF(AND(AN8&gt;=Inputs!$F$29,AN8&lt;=Inputs!$F$30),1,0),IF(AND(AN8&gt;=Inputs!$F$27,AN8&lt;=Inputs!$F$28),1,0))</f>
        <v>1</v>
      </c>
      <c r="AO47" s="14" t="n">
        <f aca="false">IF(Inputs!$F$215=1,IF(AND(AO8&gt;=Inputs!$F$29,AO8&lt;=Inputs!$F$30),1,0),IF(AND(AO8&gt;=Inputs!$F$27,AO8&lt;=Inputs!$F$28),1,0))</f>
        <v>1</v>
      </c>
      <c r="AP47" s="14" t="n">
        <f aca="false">IF(Inputs!$F$215=1,IF(AND(AP8&gt;=Inputs!$F$29,AP8&lt;=Inputs!$F$30),1,0),IF(AND(AP8&gt;=Inputs!$F$27,AP8&lt;=Inputs!$F$28),1,0))</f>
        <v>1</v>
      </c>
      <c r="AQ47" s="14" t="n">
        <f aca="false">IF(Inputs!$F$215=1,IF(AND(AQ8&gt;=Inputs!$F$29,AQ8&lt;=Inputs!$F$30),1,0),IF(AND(AQ8&gt;=Inputs!$F$27,AQ8&lt;=Inputs!$F$28),1,0))</f>
        <v>1</v>
      </c>
      <c r="AR47" s="14" t="n">
        <f aca="false">IF(Inputs!$F$215=1,IF(AND(AR8&gt;=Inputs!$F$29,AR8&lt;=Inputs!$F$30),1,0),IF(AND(AR8&gt;=Inputs!$F$27,AR8&lt;=Inputs!$F$28),1,0))</f>
        <v>1</v>
      </c>
      <c r="AS47" s="14" t="n">
        <f aca="false">IF(Inputs!$F$215=1,IF(AND(AS8&gt;=Inputs!$F$29,AS8&lt;=Inputs!$F$30),1,0),IF(AND(AS8&gt;=Inputs!$F$27,AS8&lt;=Inputs!$F$28),1,0))</f>
        <v>1</v>
      </c>
      <c r="AT47" s="14" t="n">
        <f aca="false">IF(Inputs!$F$215=1,IF(AND(AT8&gt;=Inputs!$F$29,AT8&lt;=Inputs!$F$30),1,0),IF(AND(AT8&gt;=Inputs!$F$27,AT8&lt;=Inputs!$F$28),1,0))</f>
        <v>1</v>
      </c>
      <c r="AU47" s="14" t="n">
        <f aca="false">IF(Inputs!$F$215=1,IF(AND(AU8&gt;=Inputs!$F$29,AU8&lt;=Inputs!$F$30),1,0),IF(AND(AU8&gt;=Inputs!$F$27,AU8&lt;=Inputs!$F$28),1,0))</f>
        <v>1</v>
      </c>
      <c r="AV47" s="14" t="n">
        <f aca="false">IF(Inputs!$F$215=1,IF(AND(AV8&gt;=Inputs!$F$29,AV8&lt;=Inputs!$F$30),1,0),IF(AND(AV8&gt;=Inputs!$F$27,AV8&lt;=Inputs!$F$28),1,0))</f>
        <v>1</v>
      </c>
      <c r="AW47" s="14" t="n">
        <f aca="false">IF(Inputs!$F$215=1,IF(AND(AW8&gt;=Inputs!$F$29,AW8&lt;=Inputs!$F$30),1,0),IF(AND(AW8&gt;=Inputs!$F$27,AW8&lt;=Inputs!$F$28),1,0))</f>
        <v>1</v>
      </c>
      <c r="AX47" s="14" t="n">
        <f aca="false">IF(Inputs!$F$215=1,IF(AND(AX8&gt;=Inputs!$F$29,AX8&lt;=Inputs!$F$30),1,0),IF(AND(AX8&gt;=Inputs!$F$27,AX8&lt;=Inputs!$F$28),1,0))</f>
        <v>1</v>
      </c>
      <c r="AY47" s="14" t="n">
        <f aca="false">IF(Inputs!$F$215=1,IF(AND(AY8&gt;=Inputs!$F$29,AY8&lt;=Inputs!$F$30),1,0),IF(AND(AY8&gt;=Inputs!$F$27,AY8&lt;=Inputs!$F$28),1,0))</f>
        <v>1</v>
      </c>
      <c r="AZ47" s="14" t="n">
        <f aca="false">IF(Inputs!$F$215=1,IF(AND(AZ8&gt;=Inputs!$F$29,AZ8&lt;=Inputs!$F$30),1,0),IF(AND(AZ8&gt;=Inputs!$F$27,AZ8&lt;=Inputs!$F$28),1,0))</f>
        <v>1</v>
      </c>
      <c r="BA47" s="14" t="n">
        <f aca="false">IF(Inputs!$F$215=1,IF(AND(BA8&gt;=Inputs!$F$29,BA8&lt;=Inputs!$F$30),1,0),IF(AND(BA8&gt;=Inputs!$F$27,BA8&lt;=Inputs!$F$28),1,0))</f>
        <v>1</v>
      </c>
      <c r="BB47" s="14" t="n">
        <f aca="false">IF(Inputs!$F$215=1,IF(AND(BB8&gt;=Inputs!$F$29,BB8&lt;=Inputs!$F$30),1,0),IF(AND(BB8&gt;=Inputs!$F$27,BB8&lt;=Inputs!$F$28),1,0))</f>
        <v>1</v>
      </c>
      <c r="BC47" s="14" t="n">
        <f aca="false">IF(Inputs!$F$215=1,IF(AND(BC8&gt;=Inputs!$F$29,BC8&lt;=Inputs!$F$30),1,0),IF(AND(BC8&gt;=Inputs!$F$27,BC8&lt;=Inputs!$F$28),1,0))</f>
        <v>1</v>
      </c>
      <c r="BD47" s="14" t="n">
        <f aca="false">IF(Inputs!$F$215=1,IF(AND(BD8&gt;=Inputs!$F$29,BD8&lt;=Inputs!$F$30),1,0),IF(AND(BD8&gt;=Inputs!$F$27,BD8&lt;=Inputs!$F$28),1,0))</f>
        <v>1</v>
      </c>
      <c r="BE47" s="14" t="n">
        <f aca="false">IF(Inputs!$F$215=1,IF(AND(BE8&gt;=Inputs!$F$29,BE8&lt;=Inputs!$F$30),1,0),IF(AND(BE8&gt;=Inputs!$F$27,BE8&lt;=Inputs!$F$28),1,0))</f>
        <v>1</v>
      </c>
      <c r="BF47" s="14" t="n">
        <f aca="false">IF(Inputs!$F$215=1,IF(AND(BF8&gt;=Inputs!$F$29,BF8&lt;=Inputs!$F$30),1,0),IF(AND(BF8&gt;=Inputs!$F$27,BF8&lt;=Inputs!$F$28),1,0))</f>
        <v>1</v>
      </c>
      <c r="BG47" s="14" t="n">
        <f aca="false">IF(Inputs!$F$215=1,IF(AND(BG8&gt;=Inputs!$F$29,BG8&lt;=Inputs!$F$30),1,0),IF(AND(BG8&gt;=Inputs!$F$27,BG8&lt;=Inputs!$F$28),1,0))</f>
        <v>1</v>
      </c>
      <c r="BH47" s="14" t="n">
        <f aca="false">IF(Inputs!$F$215=1,IF(AND(BH8&gt;=Inputs!$F$29,BH8&lt;=Inputs!$F$30),1,0),IF(AND(BH8&gt;=Inputs!$F$27,BH8&lt;=Inputs!$F$28),1,0))</f>
        <v>1</v>
      </c>
      <c r="BI47" s="14" t="n">
        <f aca="false">IF(Inputs!$F$215=1,IF(AND(BI8&gt;=Inputs!$F$29,BI8&lt;=Inputs!$F$30),1,0),IF(AND(BI8&gt;=Inputs!$F$27,BI8&lt;=Inputs!$F$28),1,0))</f>
        <v>1</v>
      </c>
      <c r="BJ47" s="14" t="n">
        <f aca="false">IF(Inputs!$F$215=1,IF(AND(BJ8&gt;=Inputs!$F$29,BJ8&lt;=Inputs!$F$30),1,0),IF(AND(BJ8&gt;=Inputs!$F$27,BJ8&lt;=Inputs!$F$28),1,0))</f>
        <v>1</v>
      </c>
      <c r="BK47" s="14" t="n">
        <f aca="false">IF(Inputs!$F$215=1,IF(AND(BK8&gt;=Inputs!$F$29,BK8&lt;=Inputs!$F$30),1,0),IF(AND(BK8&gt;=Inputs!$F$27,BK8&lt;=Inputs!$F$28),1,0))</f>
        <v>1</v>
      </c>
      <c r="BL47" s="14" t="n">
        <f aca="false">IF(Inputs!$F$215=1,IF(AND(BL8&gt;=Inputs!$F$29,BL8&lt;=Inputs!$F$30),1,0),IF(AND(BL8&gt;=Inputs!$F$27,BL8&lt;=Inputs!$F$28),1,0))</f>
        <v>1</v>
      </c>
      <c r="BM47" s="14" t="n">
        <f aca="false">IF(Inputs!$F$215=1,IF(AND(BM8&gt;=Inputs!$F$29,BM8&lt;=Inputs!$F$30),1,0),IF(AND(BM8&gt;=Inputs!$F$27,BM8&lt;=Inputs!$F$28),1,0))</f>
        <v>1</v>
      </c>
      <c r="BN47" s="14" t="n">
        <f aca="false">IF(Inputs!$F$215=1,IF(AND(BN8&gt;=Inputs!$F$29,BN8&lt;=Inputs!$F$30),1,0),IF(AND(BN8&gt;=Inputs!$F$27,BN8&lt;=Inputs!$F$28),1,0))</f>
        <v>1</v>
      </c>
      <c r="BO47" s="14" t="n">
        <f aca="false">IF(Inputs!$F$215=1,IF(AND(BO8&gt;=Inputs!$F$29,BO8&lt;=Inputs!$F$30),1,0),IF(AND(BO8&gt;=Inputs!$F$27,BO8&lt;=Inputs!$F$28),1,0))</f>
        <v>1</v>
      </c>
      <c r="BP47" s="14" t="n">
        <f aca="false">IF(Inputs!$F$215=1,IF(AND(BP8&gt;=Inputs!$F$29,BP8&lt;=Inputs!$F$30),1,0),IF(AND(BP8&gt;=Inputs!$F$27,BP8&lt;=Inputs!$F$28),1,0))</f>
        <v>1</v>
      </c>
      <c r="BQ47" s="14" t="n">
        <f aca="false">IF(Inputs!$F$215=1,IF(AND(BQ8&gt;=Inputs!$F$29,BQ8&lt;=Inputs!$F$30),1,0),IF(AND(BQ8&gt;=Inputs!$F$27,BQ8&lt;=Inputs!$F$28),1,0))</f>
        <v>1</v>
      </c>
      <c r="BR47" s="14" t="n">
        <f aca="false">IF(Inputs!$F$215=1,IF(AND(BR8&gt;=Inputs!$F$29,BR8&lt;=Inputs!$F$30),1,0),IF(AND(BR8&gt;=Inputs!$F$27,BR8&lt;=Inputs!$F$28),1,0))</f>
        <v>1</v>
      </c>
      <c r="BS47" s="14" t="n">
        <f aca="false">IF(Inputs!$F$215=1,IF(AND(BS8&gt;=Inputs!$F$29,BS8&lt;=Inputs!$F$30),1,0),IF(AND(BS8&gt;=Inputs!$F$27,BS8&lt;=Inputs!$F$28),1,0))</f>
        <v>1</v>
      </c>
      <c r="BT47" s="14" t="n">
        <f aca="false">IF(Inputs!$F$215=1,IF(AND(BT8&gt;=Inputs!$F$29,BT8&lt;=Inputs!$F$30),1,0),IF(AND(BT8&gt;=Inputs!$F$27,BT8&lt;=Inputs!$F$28),1,0))</f>
        <v>1</v>
      </c>
      <c r="BU47" s="14" t="n">
        <f aca="false">IF(Inputs!$F$215=1,IF(AND(BU8&gt;=Inputs!$F$29,BU8&lt;=Inputs!$F$30),1,0),IF(AND(BU8&gt;=Inputs!$F$27,BU8&lt;=Inputs!$F$28),1,0))</f>
        <v>1</v>
      </c>
      <c r="BV47" s="14" t="n">
        <f aca="false">IF(Inputs!$F$215=1,IF(AND(BV8&gt;=Inputs!$F$29,BV8&lt;=Inputs!$F$30),1,0),IF(AND(BV8&gt;=Inputs!$F$27,BV8&lt;=Inputs!$F$28),1,0))</f>
        <v>1</v>
      </c>
      <c r="BW47" s="14" t="n">
        <f aca="false">IF(Inputs!$F$215=1,IF(AND(BW8&gt;=Inputs!$F$29,BW8&lt;=Inputs!$F$30),1,0),IF(AND(BW8&gt;=Inputs!$F$27,BW8&lt;=Inputs!$F$28),1,0))</f>
        <v>1</v>
      </c>
      <c r="BX47" s="14" t="n">
        <f aca="false">IF(Inputs!$F$215=1,IF(AND(BX8&gt;=Inputs!$F$29,BX8&lt;=Inputs!$F$30),1,0),IF(AND(BX8&gt;=Inputs!$F$27,BX8&lt;=Inputs!$F$28),1,0))</f>
        <v>1</v>
      </c>
      <c r="BY47" s="14" t="n">
        <f aca="false">IF(Inputs!$F$215=1,IF(AND(BY8&gt;=Inputs!$F$29,BY8&lt;=Inputs!$F$30),1,0),IF(AND(BY8&gt;=Inputs!$F$27,BY8&lt;=Inputs!$F$28),1,0))</f>
        <v>1</v>
      </c>
      <c r="BZ47" s="14" t="n">
        <f aca="false">IF(Inputs!$F$215=1,IF(AND(BZ8&gt;=Inputs!$F$29,BZ8&lt;=Inputs!$F$30),1,0),IF(AND(BZ8&gt;=Inputs!$F$27,BZ8&lt;=Inputs!$F$28),1,0))</f>
        <v>1</v>
      </c>
      <c r="CA47" s="14" t="n">
        <f aca="false">IF(Inputs!$F$215=1,IF(AND(CA8&gt;=Inputs!$F$29,CA8&lt;=Inputs!$F$30),1,0),IF(AND(CA8&gt;=Inputs!$F$27,CA8&lt;=Inputs!$F$28),1,0))</f>
        <v>1</v>
      </c>
      <c r="CB47" s="14" t="n">
        <f aca="false">IF(Inputs!$F$215=1,IF(AND(CB8&gt;=Inputs!$F$29,CB8&lt;=Inputs!$F$30),1,0),IF(AND(CB8&gt;=Inputs!$F$27,CB8&lt;=Inputs!$F$28),1,0))</f>
        <v>1</v>
      </c>
      <c r="CC47" s="14" t="n">
        <f aca="false">IF(Inputs!$F$215=1,IF(AND(CC8&gt;=Inputs!$F$29,CC8&lt;=Inputs!$F$30),1,0),IF(AND(CC8&gt;=Inputs!$F$27,CC8&lt;=Inputs!$F$28),1,0))</f>
        <v>1</v>
      </c>
      <c r="CD47" s="14" t="n">
        <f aca="false">IF(Inputs!$F$215=1,IF(AND(CD8&gt;=Inputs!$F$29,CD8&lt;=Inputs!$F$30),1,0),IF(AND(CD8&gt;=Inputs!$F$27,CD8&lt;=Inputs!$F$28),1,0))</f>
        <v>1</v>
      </c>
      <c r="CE47" s="14" t="n">
        <f aca="false">IF(Inputs!$F$215=1,IF(AND(CE8&gt;=Inputs!$F$29,CE8&lt;=Inputs!$F$30),1,0),IF(AND(CE8&gt;=Inputs!$F$27,CE8&lt;=Inputs!$F$28),1,0))</f>
        <v>1</v>
      </c>
      <c r="CF47" s="14" t="n">
        <f aca="false">IF(Inputs!$F$215=1,IF(AND(CF8&gt;=Inputs!$F$29,CF8&lt;=Inputs!$F$30),1,0),IF(AND(CF8&gt;=Inputs!$F$27,CF8&lt;=Inputs!$F$28),1,0))</f>
        <v>1</v>
      </c>
      <c r="CG47" s="14" t="n">
        <f aca="false">IF(Inputs!$F$215=1,IF(AND(CG8&gt;=Inputs!$F$29,CG8&lt;=Inputs!$F$30),1,0),IF(AND(CG8&gt;=Inputs!$F$27,CG8&lt;=Inputs!$F$28),1,0))</f>
        <v>1</v>
      </c>
      <c r="CH47" s="14" t="n">
        <f aca="false">IF(Inputs!$F$215=1,IF(AND(CH8&gt;=Inputs!$F$29,CH8&lt;=Inputs!$F$30),1,0),IF(AND(CH8&gt;=Inputs!$F$27,CH8&lt;=Inputs!$F$28),1,0))</f>
        <v>1</v>
      </c>
      <c r="CI47" s="14" t="n">
        <f aca="false">IF(Inputs!$F$215=1,IF(AND(CI8&gt;=Inputs!$F$29,CI8&lt;=Inputs!$F$30),1,0),IF(AND(CI8&gt;=Inputs!$F$27,CI8&lt;=Inputs!$F$28),1,0))</f>
        <v>1</v>
      </c>
      <c r="CJ47" s="14" t="n">
        <f aca="false">IF(Inputs!$F$215=1,IF(AND(CJ8&gt;=Inputs!$F$29,CJ8&lt;=Inputs!$F$30),1,0),IF(AND(CJ8&gt;=Inputs!$F$27,CJ8&lt;=Inputs!$F$28),1,0))</f>
        <v>1</v>
      </c>
      <c r="CK47" s="14" t="n">
        <f aca="false">IF(Inputs!$F$215=1,IF(AND(CK8&gt;=Inputs!$F$29,CK8&lt;=Inputs!$F$30),1,0),IF(AND(CK8&gt;=Inputs!$F$27,CK8&lt;=Inputs!$F$28),1,0))</f>
        <v>1</v>
      </c>
      <c r="CL47" s="14" t="n">
        <f aca="false">IF(Inputs!$F$215=1,IF(AND(CL8&gt;=Inputs!$F$29,CL8&lt;=Inputs!$F$30),1,0),IF(AND(CL8&gt;=Inputs!$F$27,CL8&lt;=Inputs!$F$28),1,0))</f>
        <v>1</v>
      </c>
      <c r="CM47" s="14" t="n">
        <f aca="false">IF(Inputs!$F$215=1,IF(AND(CM8&gt;=Inputs!$F$29,CM8&lt;=Inputs!$F$30),1,0),IF(AND(CM8&gt;=Inputs!$F$27,CM8&lt;=Inputs!$F$28),1,0))</f>
        <v>1</v>
      </c>
      <c r="CN47" s="14" t="n">
        <f aca="false">IF(Inputs!$F$215=1,IF(AND(CN8&gt;=Inputs!$F$29,CN8&lt;=Inputs!$F$30),1,0),IF(AND(CN8&gt;=Inputs!$F$27,CN8&lt;=Inputs!$F$28),1,0))</f>
        <v>1</v>
      </c>
      <c r="CO47" s="14" t="n">
        <f aca="false">IF(Inputs!$F$215=1,IF(AND(CO8&gt;=Inputs!$F$29,CO8&lt;=Inputs!$F$30),1,0),IF(AND(CO8&gt;=Inputs!$F$27,CO8&lt;=Inputs!$F$28),1,0))</f>
        <v>1</v>
      </c>
      <c r="CP47" s="14" t="n">
        <f aca="false">IF(Inputs!$F$215=1,IF(AND(CP8&gt;=Inputs!$F$29,CP8&lt;=Inputs!$F$30),1,0),IF(AND(CP8&gt;=Inputs!$F$27,CP8&lt;=Inputs!$F$28),1,0))</f>
        <v>0</v>
      </c>
      <c r="CQ47" s="14" t="n">
        <f aca="false">IF(Inputs!$F$215=1,IF(AND(CQ8&gt;=Inputs!$F$29,CQ8&lt;=Inputs!$F$30),1,0),IF(AND(CQ8&gt;=Inputs!$F$27,CQ8&lt;=Inputs!$F$28),1,0))</f>
        <v>0</v>
      </c>
      <c r="CR47" s="14" t="n">
        <f aca="false">IF(Inputs!$F$215=1,IF(AND(CR8&gt;=Inputs!$F$29,CR8&lt;=Inputs!$F$30),1,0),IF(AND(CR8&gt;=Inputs!$F$27,CR8&lt;=Inputs!$F$28),1,0))</f>
        <v>0</v>
      </c>
      <c r="CS47" s="14" t="n">
        <f aca="false">IF(Inputs!$F$215=1,IF(AND(CS8&gt;=Inputs!$F$29,CS8&lt;=Inputs!$F$30),1,0),IF(AND(CS8&gt;=Inputs!$F$27,CS8&lt;=Inputs!$F$28),1,0))</f>
        <v>0</v>
      </c>
      <c r="CT47" s="14" t="n">
        <f aca="false">IF(Inputs!$F$215=1,IF(AND(CT8&gt;=Inputs!$F$29,CT8&lt;=Inputs!$F$30),1,0),IF(AND(CT8&gt;=Inputs!$F$27,CT8&lt;=Inputs!$F$28),1,0))</f>
        <v>0</v>
      </c>
      <c r="CU47" s="14" t="n">
        <f aca="false">IF(Inputs!$F$215=1,IF(AND(CU8&gt;=Inputs!$F$29,CU8&lt;=Inputs!$F$30),1,0),IF(AND(CU8&gt;=Inputs!$F$27,CU8&lt;=Inputs!$F$28),1,0))</f>
        <v>0</v>
      </c>
      <c r="CV47" s="14" t="n">
        <f aca="false">IF(Inputs!$F$215=1,IF(AND(CV8&gt;=Inputs!$F$29,CV8&lt;=Inputs!$F$30),1,0),IF(AND(CV8&gt;=Inputs!$F$27,CV8&lt;=Inputs!$F$28),1,0))</f>
        <v>0</v>
      </c>
      <c r="CW47" s="14" t="n">
        <f aca="false">IF(Inputs!$F$215=1,IF(AND(CW8&gt;=Inputs!$F$29,CW8&lt;=Inputs!$F$30),1,0),IF(AND(CW8&gt;=Inputs!$F$27,CW8&lt;=Inputs!$F$28),1,0))</f>
        <v>0</v>
      </c>
      <c r="CX47" s="14" t="n">
        <f aca="false">IF(Inputs!$F$215=1,IF(AND(CX8&gt;=Inputs!$F$29,CX8&lt;=Inputs!$F$30),1,0),IF(AND(CX8&gt;=Inputs!$F$27,CX8&lt;=Inputs!$F$28),1,0))</f>
        <v>0</v>
      </c>
      <c r="CY47" s="14" t="n">
        <f aca="false">IF(Inputs!$F$215=1,IF(AND(CY8&gt;=Inputs!$F$29,CY8&lt;=Inputs!$F$30),1,0),IF(AND(CY8&gt;=Inputs!$F$27,CY8&lt;=Inputs!$F$28),1,0))</f>
        <v>0</v>
      </c>
      <c r="CZ47" s="14" t="n">
        <f aca="false">IF(Inputs!$F$215=1,IF(AND(CZ8&gt;=Inputs!$F$29,CZ8&lt;=Inputs!$F$30),1,0),IF(AND(CZ8&gt;=Inputs!$F$27,CZ8&lt;=Inputs!$F$28),1,0))</f>
        <v>0</v>
      </c>
      <c r="DA47" s="14" t="n">
        <f aca="false">IF(Inputs!$F$215=1,IF(AND(DA8&gt;=Inputs!$F$29,DA8&lt;=Inputs!$F$30),1,0),IF(AND(DA8&gt;=Inputs!$F$27,DA8&lt;=Inputs!$F$28),1,0))</f>
        <v>0</v>
      </c>
      <c r="DB47" s="14" t="n">
        <f aca="false">IF(Inputs!$F$215=1,IF(AND(DB8&gt;=Inputs!$F$29,DB8&lt;=Inputs!$F$30),1,0),IF(AND(DB8&gt;=Inputs!$F$27,DB8&lt;=Inputs!$F$28),1,0))</f>
        <v>0</v>
      </c>
    </row>
    <row r="48" customFormat="false" ht="15" hidden="false" customHeight="false" outlineLevel="0" collapsed="false">
      <c r="D48" s="0" t="s">
        <v>353</v>
      </c>
      <c r="E48" s="0" t="s">
        <v>42</v>
      </c>
      <c r="J48" s="14" t="n">
        <f aca="false">IF(AND(J47=1,I47=0),1,0)</f>
        <v>0</v>
      </c>
      <c r="K48" s="14" t="n">
        <f aca="false">IF(AND(K47=1,J47=0),1,0)</f>
        <v>0</v>
      </c>
      <c r="L48" s="14" t="n">
        <f aca="false">IF(AND(L47=1,K47=0),1,0)</f>
        <v>0</v>
      </c>
      <c r="M48" s="14" t="n">
        <f aca="false">IF(AND(M47=1,L47=0),1,0)</f>
        <v>0</v>
      </c>
      <c r="N48" s="14" t="n">
        <f aca="false">IF(AND(N47=1,M47=0),1,0)</f>
        <v>0</v>
      </c>
      <c r="O48" s="14" t="n">
        <f aca="false">IF(AND(O47=1,N47=0),1,0)</f>
        <v>0</v>
      </c>
      <c r="P48" s="14" t="n">
        <f aca="false">IF(AND(P47=1,O47=0),1,0)</f>
        <v>0</v>
      </c>
      <c r="Q48" s="14" t="n">
        <f aca="false">IF(AND(Q47=1,P47=0),1,0)</f>
        <v>0</v>
      </c>
      <c r="R48" s="14" t="n">
        <f aca="false">IF(AND(R47=1,Q47=0),1,0)</f>
        <v>0</v>
      </c>
      <c r="S48" s="14" t="n">
        <f aca="false">IF(AND(S47=1,R47=0),1,0)</f>
        <v>0</v>
      </c>
      <c r="T48" s="14" t="n">
        <f aca="false">IF(AND(T47=1,S47=0),1,0)</f>
        <v>0</v>
      </c>
      <c r="U48" s="14" t="n">
        <f aca="false">IF(AND(U47=1,T47=0),1,0)</f>
        <v>0</v>
      </c>
      <c r="V48" s="14" t="n">
        <f aca="false">IF(AND(V47=1,U47=0),1,0)</f>
        <v>0</v>
      </c>
      <c r="W48" s="14" t="n">
        <f aca="false">IF(AND(W47=1,V47=0),1,0)</f>
        <v>0</v>
      </c>
      <c r="X48" s="14" t="n">
        <f aca="false">IF(AND(X47=1,W47=0),1,0)</f>
        <v>0</v>
      </c>
      <c r="Y48" s="14" t="n">
        <f aca="false">IF(AND(Y47=1,X47=0),1,0)</f>
        <v>0</v>
      </c>
      <c r="Z48" s="14" t="n">
        <f aca="false">IF(AND(Z47=1,Y47=0),1,0)</f>
        <v>0</v>
      </c>
      <c r="AA48" s="14" t="n">
        <f aca="false">IF(AND(AA47=1,Z47=0),1,0)</f>
        <v>0</v>
      </c>
      <c r="AB48" s="14" t="n">
        <f aca="false">IF(AND(AB47=1,AA47=0),1,0)</f>
        <v>0</v>
      </c>
      <c r="AC48" s="14" t="n">
        <f aca="false">IF(AND(AC47=1,AB47=0),1,0)</f>
        <v>0</v>
      </c>
      <c r="AD48" s="14" t="n">
        <f aca="false">IF(AND(AD47=1,AC47=0),1,0)</f>
        <v>0</v>
      </c>
      <c r="AE48" s="14" t="n">
        <f aca="false">IF(AND(AE47=1,AD47=0),1,0)</f>
        <v>0</v>
      </c>
      <c r="AF48" s="14" t="n">
        <f aca="false">IF(AND(AF47=1,AE47=0),1,0)</f>
        <v>0</v>
      </c>
      <c r="AG48" s="14" t="n">
        <f aca="false">IF(AND(AG47=1,AF47=0),1,0)</f>
        <v>0</v>
      </c>
      <c r="AH48" s="14" t="n">
        <f aca="false">IF(AND(AH47=1,AG47=0),1,0)</f>
        <v>0</v>
      </c>
      <c r="AI48" s="14" t="n">
        <f aca="false">IF(AND(AI47=1,AH47=0),1,0)</f>
        <v>0</v>
      </c>
      <c r="AJ48" s="14" t="n">
        <f aca="false">IF(AND(AJ47=1,AI47=0),1,0)</f>
        <v>1</v>
      </c>
      <c r="AK48" s="14" t="n">
        <f aca="false">IF(AND(AK47=1,AJ47=0),1,0)</f>
        <v>0</v>
      </c>
      <c r="AL48" s="14" t="n">
        <f aca="false">IF(AND(AL47=1,AK47=0),1,0)</f>
        <v>0</v>
      </c>
      <c r="AM48" s="14" t="n">
        <f aca="false">IF(AND(AM47=1,AL47=0),1,0)</f>
        <v>0</v>
      </c>
      <c r="AN48" s="14" t="n">
        <f aca="false">IF(AND(AN47=1,AM47=0),1,0)</f>
        <v>0</v>
      </c>
      <c r="AO48" s="14" t="n">
        <f aca="false">IF(AND(AO47=1,AN47=0),1,0)</f>
        <v>0</v>
      </c>
      <c r="AP48" s="14" t="n">
        <f aca="false">IF(AND(AP47=1,AO47=0),1,0)</f>
        <v>0</v>
      </c>
      <c r="AQ48" s="14" t="n">
        <f aca="false">IF(AND(AQ47=1,AP47=0),1,0)</f>
        <v>0</v>
      </c>
      <c r="AR48" s="14" t="n">
        <f aca="false">IF(AND(AR47=1,AQ47=0),1,0)</f>
        <v>0</v>
      </c>
      <c r="AS48" s="14" t="n">
        <f aca="false">IF(AND(AS47=1,AR47=0),1,0)</f>
        <v>0</v>
      </c>
      <c r="AT48" s="14" t="n">
        <f aca="false">IF(AND(AT47=1,AS47=0),1,0)</f>
        <v>0</v>
      </c>
      <c r="AU48" s="14" t="n">
        <f aca="false">IF(AND(AU47=1,AT47=0),1,0)</f>
        <v>0</v>
      </c>
      <c r="AV48" s="14" t="n">
        <f aca="false">IF(AND(AV47=1,AU47=0),1,0)</f>
        <v>0</v>
      </c>
      <c r="AW48" s="14" t="n">
        <f aca="false">IF(AND(AW47=1,AV47=0),1,0)</f>
        <v>0</v>
      </c>
      <c r="AX48" s="14" t="n">
        <f aca="false">IF(AND(AX47=1,AW47=0),1,0)</f>
        <v>0</v>
      </c>
      <c r="AY48" s="14" t="n">
        <f aca="false">IF(AND(AY47=1,AX47=0),1,0)</f>
        <v>0</v>
      </c>
      <c r="AZ48" s="14" t="n">
        <f aca="false">IF(AND(AZ47=1,AY47=0),1,0)</f>
        <v>0</v>
      </c>
      <c r="BA48" s="14" t="n">
        <f aca="false">IF(AND(BA47=1,AZ47=0),1,0)</f>
        <v>0</v>
      </c>
      <c r="BB48" s="14" t="n">
        <f aca="false">IF(AND(BB47=1,BA47=0),1,0)</f>
        <v>0</v>
      </c>
      <c r="BC48" s="14" t="n">
        <f aca="false">IF(AND(BC47=1,BB47=0),1,0)</f>
        <v>0</v>
      </c>
      <c r="BD48" s="14" t="n">
        <f aca="false">IF(AND(BD47=1,BC47=0),1,0)</f>
        <v>0</v>
      </c>
      <c r="BE48" s="14" t="n">
        <f aca="false">IF(AND(BE47=1,BD47=0),1,0)</f>
        <v>0</v>
      </c>
      <c r="BF48" s="14" t="n">
        <f aca="false">IF(AND(BF47=1,BE47=0),1,0)</f>
        <v>0</v>
      </c>
      <c r="BG48" s="14" t="n">
        <f aca="false">IF(AND(BG47=1,BF47=0),1,0)</f>
        <v>0</v>
      </c>
      <c r="BH48" s="14" t="n">
        <f aca="false">IF(AND(BH47=1,BG47=0),1,0)</f>
        <v>0</v>
      </c>
      <c r="BI48" s="14" t="n">
        <f aca="false">IF(AND(BI47=1,BH47=0),1,0)</f>
        <v>0</v>
      </c>
      <c r="BJ48" s="14" t="n">
        <f aca="false">IF(AND(BJ47=1,BI47=0),1,0)</f>
        <v>0</v>
      </c>
      <c r="BK48" s="14" t="n">
        <f aca="false">IF(AND(BK47=1,BJ47=0),1,0)</f>
        <v>0</v>
      </c>
      <c r="BL48" s="14" t="n">
        <f aca="false">IF(AND(BL47=1,BK47=0),1,0)</f>
        <v>0</v>
      </c>
      <c r="BM48" s="14" t="n">
        <f aca="false">IF(AND(BM47=1,BL47=0),1,0)</f>
        <v>0</v>
      </c>
      <c r="BN48" s="14" t="n">
        <f aca="false">IF(AND(BN47=1,BM47=0),1,0)</f>
        <v>0</v>
      </c>
      <c r="BO48" s="14" t="n">
        <f aca="false">IF(AND(BO47=1,BN47=0),1,0)</f>
        <v>0</v>
      </c>
      <c r="BP48" s="14" t="n">
        <f aca="false">IF(AND(BP47=1,BO47=0),1,0)</f>
        <v>0</v>
      </c>
      <c r="BQ48" s="14" t="n">
        <f aca="false">IF(AND(BQ47=1,BP47=0),1,0)</f>
        <v>0</v>
      </c>
      <c r="BR48" s="14" t="n">
        <f aca="false">IF(AND(BR47=1,BQ47=0),1,0)</f>
        <v>0</v>
      </c>
      <c r="BS48" s="14" t="n">
        <f aca="false">IF(AND(BS47=1,BR47=0),1,0)</f>
        <v>0</v>
      </c>
      <c r="BT48" s="14" t="n">
        <f aca="false">IF(AND(BT47=1,BS47=0),1,0)</f>
        <v>0</v>
      </c>
      <c r="BU48" s="14" t="n">
        <f aca="false">IF(AND(BU47=1,BT47=0),1,0)</f>
        <v>0</v>
      </c>
      <c r="BV48" s="14" t="n">
        <f aca="false">IF(AND(BV47=1,BU47=0),1,0)</f>
        <v>0</v>
      </c>
      <c r="BW48" s="14" t="n">
        <f aca="false">IF(AND(BW47=1,BV47=0),1,0)</f>
        <v>0</v>
      </c>
      <c r="BX48" s="14" t="n">
        <f aca="false">IF(AND(BX47=1,BW47=0),1,0)</f>
        <v>0</v>
      </c>
      <c r="BY48" s="14" t="n">
        <f aca="false">IF(AND(BY47=1,BX47=0),1,0)</f>
        <v>0</v>
      </c>
      <c r="BZ48" s="14" t="n">
        <f aca="false">IF(AND(BZ47=1,BY47=0),1,0)</f>
        <v>0</v>
      </c>
      <c r="CA48" s="14" t="n">
        <f aca="false">IF(AND(CA47=1,BZ47=0),1,0)</f>
        <v>0</v>
      </c>
      <c r="CB48" s="14" t="n">
        <f aca="false">IF(AND(CB47=1,CA47=0),1,0)</f>
        <v>0</v>
      </c>
      <c r="CC48" s="14" t="n">
        <f aca="false">IF(AND(CC47=1,CB47=0),1,0)</f>
        <v>0</v>
      </c>
      <c r="CD48" s="14" t="n">
        <f aca="false">IF(AND(CD47=1,CC47=0),1,0)</f>
        <v>0</v>
      </c>
      <c r="CE48" s="14" t="n">
        <f aca="false">IF(AND(CE47=1,CD47=0),1,0)</f>
        <v>0</v>
      </c>
      <c r="CF48" s="14" t="n">
        <f aca="false">IF(AND(CF47=1,CE47=0),1,0)</f>
        <v>0</v>
      </c>
      <c r="CG48" s="14" t="n">
        <f aca="false">IF(AND(CG47=1,CF47=0),1,0)</f>
        <v>0</v>
      </c>
      <c r="CH48" s="14" t="n">
        <f aca="false">IF(AND(CH47=1,CG47=0),1,0)</f>
        <v>0</v>
      </c>
      <c r="CI48" s="14" t="n">
        <f aca="false">IF(AND(CI47=1,CH47=0),1,0)</f>
        <v>0</v>
      </c>
      <c r="CJ48" s="14" t="n">
        <f aca="false">IF(AND(CJ47=1,CI47=0),1,0)</f>
        <v>0</v>
      </c>
      <c r="CK48" s="14" t="n">
        <f aca="false">IF(AND(CK47=1,CJ47=0),1,0)</f>
        <v>0</v>
      </c>
      <c r="CL48" s="14" t="n">
        <f aca="false">IF(AND(CL47=1,CK47=0),1,0)</f>
        <v>0</v>
      </c>
      <c r="CM48" s="14" t="n">
        <f aca="false">IF(AND(CM47=1,CL47=0),1,0)</f>
        <v>0</v>
      </c>
      <c r="CN48" s="14" t="n">
        <f aca="false">IF(AND(CN47=1,CM47=0),1,0)</f>
        <v>0</v>
      </c>
      <c r="CO48" s="14" t="n">
        <f aca="false">IF(AND(CO47=1,CN47=0),1,0)</f>
        <v>0</v>
      </c>
      <c r="CP48" s="14" t="n">
        <f aca="false">IF(AND(CP47=1,CO47=0),1,0)</f>
        <v>0</v>
      </c>
      <c r="CQ48" s="14" t="n">
        <f aca="false">IF(AND(CQ47=1,CP47=0),1,0)</f>
        <v>0</v>
      </c>
      <c r="CR48" s="14" t="n">
        <f aca="false">IF(AND(CR47=1,CQ47=0),1,0)</f>
        <v>0</v>
      </c>
      <c r="CS48" s="14" t="n">
        <f aca="false">IF(AND(CS47=1,CR47=0),1,0)</f>
        <v>0</v>
      </c>
      <c r="CT48" s="14" t="n">
        <f aca="false">IF(AND(CT47=1,CS47=0),1,0)</f>
        <v>0</v>
      </c>
      <c r="CU48" s="14" t="n">
        <f aca="false">IF(AND(CU47=1,CT47=0),1,0)</f>
        <v>0</v>
      </c>
      <c r="CV48" s="14" t="n">
        <f aca="false">IF(AND(CV47=1,CU47=0),1,0)</f>
        <v>0</v>
      </c>
      <c r="CW48" s="14" t="n">
        <f aca="false">IF(AND(CW47=1,CV47=0),1,0)</f>
        <v>0</v>
      </c>
      <c r="CX48" s="14" t="n">
        <f aca="false">IF(AND(CX47=1,CW47=0),1,0)</f>
        <v>0</v>
      </c>
      <c r="CY48" s="14" t="n">
        <f aca="false">IF(AND(CY47=1,CX47=0),1,0)</f>
        <v>0</v>
      </c>
      <c r="CZ48" s="14" t="n">
        <f aca="false">IF(AND(CZ47=1,CY47=0),1,0)</f>
        <v>0</v>
      </c>
      <c r="DA48" s="14" t="n">
        <f aca="false">IF(AND(DA47=1,CZ47=0),1,0)</f>
        <v>0</v>
      </c>
      <c r="DB48" s="14" t="n">
        <f aca="false">IF(AND(DB47=1,DA47=0),1,0)</f>
        <v>0</v>
      </c>
    </row>
    <row r="49" customFormat="false" ht="15" hidden="false" customHeight="false" outlineLevel="0" collapsed="false">
      <c r="D49" s="0" t="s">
        <v>354</v>
      </c>
      <c r="E49" s="0" t="s">
        <v>42</v>
      </c>
      <c r="J49" s="14" t="n">
        <f aca="false">IF(Inputs!$F$215=1,J36,J21)</f>
        <v>0</v>
      </c>
      <c r="K49" s="14" t="n">
        <f aca="false">IF(Inputs!$F$215=1,K36,K21)</f>
        <v>0</v>
      </c>
      <c r="L49" s="14" t="n">
        <f aca="false">IF(Inputs!$F$215=1,L36,L21)</f>
        <v>0</v>
      </c>
      <c r="M49" s="14" t="n">
        <f aca="false">IF(Inputs!$F$215=1,M36,M21)</f>
        <v>0</v>
      </c>
      <c r="N49" s="14" t="n">
        <f aca="false">IF(Inputs!$F$215=1,N36,N21)</f>
        <v>0</v>
      </c>
      <c r="O49" s="14" t="n">
        <f aca="false">IF(Inputs!$F$215=1,O36,O21)</f>
        <v>0</v>
      </c>
      <c r="P49" s="14" t="n">
        <f aca="false">IF(Inputs!$F$215=1,P36,P21)</f>
        <v>0</v>
      </c>
      <c r="Q49" s="14" t="n">
        <f aca="false">IF(Inputs!$F$215=1,Q36,Q21)</f>
        <v>0</v>
      </c>
      <c r="R49" s="14" t="n">
        <f aca="false">IF(Inputs!$F$215=1,R36,R21)</f>
        <v>0</v>
      </c>
      <c r="S49" s="14" t="n">
        <f aca="false">IF(Inputs!$F$215=1,S36,S21)</f>
        <v>0</v>
      </c>
      <c r="T49" s="14" t="n">
        <f aca="false">IF(Inputs!$F$215=1,T36,T21)</f>
        <v>0</v>
      </c>
      <c r="U49" s="14" t="n">
        <f aca="false">IF(Inputs!$F$215=1,U36,U21)</f>
        <v>0</v>
      </c>
      <c r="V49" s="14" t="n">
        <f aca="false">IF(Inputs!$F$215=1,V36,V21)</f>
        <v>0</v>
      </c>
      <c r="W49" s="14" t="n">
        <f aca="false">IF(Inputs!$F$215=1,W36,W21)</f>
        <v>0</v>
      </c>
      <c r="X49" s="14" t="n">
        <f aca="false">IF(Inputs!$F$215=1,X36,X21)</f>
        <v>0</v>
      </c>
      <c r="Y49" s="14" t="n">
        <f aca="false">IF(Inputs!$F$215=1,Y36,Y21)</f>
        <v>0</v>
      </c>
      <c r="Z49" s="14" t="n">
        <f aca="false">IF(Inputs!$F$215=1,Z36,Z21)</f>
        <v>1</v>
      </c>
      <c r="AA49" s="14" t="n">
        <f aca="false">IF(Inputs!$F$215=1,AA36,AA21)</f>
        <v>0</v>
      </c>
      <c r="AB49" s="14" t="n">
        <f aca="false">IF(Inputs!$F$215=1,AB36,AB21)</f>
        <v>0</v>
      </c>
      <c r="AC49" s="14" t="n">
        <f aca="false">IF(Inputs!$F$215=1,AC36,AC21)</f>
        <v>0</v>
      </c>
      <c r="AD49" s="14" t="n">
        <f aca="false">IF(Inputs!$F$215=1,AD36,AD21)</f>
        <v>0</v>
      </c>
      <c r="AE49" s="14" t="n">
        <f aca="false">IF(Inputs!$F$215=1,AE36,AE21)</f>
        <v>0</v>
      </c>
      <c r="AF49" s="14" t="n">
        <f aca="false">IF(Inputs!$F$215=1,AF36,AF21)</f>
        <v>0</v>
      </c>
      <c r="AG49" s="14" t="n">
        <f aca="false">IF(Inputs!$F$215=1,AG36,AG21)</f>
        <v>0</v>
      </c>
      <c r="AH49" s="14" t="n">
        <f aca="false">IF(Inputs!$F$215=1,AH36,AH21)</f>
        <v>0</v>
      </c>
      <c r="AI49" s="14" t="n">
        <f aca="false">IF(Inputs!$F$215=1,AI36,AI21)</f>
        <v>0</v>
      </c>
      <c r="AJ49" s="14" t="n">
        <f aca="false">IF(Inputs!$F$215=1,AJ36,AJ21)</f>
        <v>0</v>
      </c>
      <c r="AK49" s="14" t="n">
        <f aca="false">IF(Inputs!$F$215=1,AK36,AK21)</f>
        <v>0</v>
      </c>
      <c r="AL49" s="14" t="n">
        <f aca="false">IF(Inputs!$F$215=1,AL36,AL21)</f>
        <v>0</v>
      </c>
      <c r="AM49" s="14" t="n">
        <f aca="false">IF(Inputs!$F$215=1,AM36,AM21)</f>
        <v>0</v>
      </c>
      <c r="AN49" s="14" t="n">
        <f aca="false">IF(Inputs!$F$215=1,AN36,AN21)</f>
        <v>0</v>
      </c>
      <c r="AO49" s="14" t="n">
        <f aca="false">IF(Inputs!$F$215=1,AO36,AO21)</f>
        <v>0</v>
      </c>
      <c r="AP49" s="14" t="n">
        <f aca="false">IF(Inputs!$F$215=1,AP36,AP21)</f>
        <v>0</v>
      </c>
      <c r="AQ49" s="14" t="n">
        <f aca="false">IF(Inputs!$F$215=1,AQ36,AQ21)</f>
        <v>0</v>
      </c>
      <c r="AR49" s="14" t="n">
        <f aca="false">IF(Inputs!$F$215=1,AR36,AR21)</f>
        <v>0</v>
      </c>
      <c r="AS49" s="14" t="n">
        <f aca="false">IF(Inputs!$F$215=1,AS36,AS21)</f>
        <v>0</v>
      </c>
      <c r="AT49" s="14" t="n">
        <f aca="false">IF(Inputs!$F$215=1,AT36,AT21)</f>
        <v>0</v>
      </c>
      <c r="AU49" s="14" t="n">
        <f aca="false">IF(Inputs!$F$215=1,AU36,AU21)</f>
        <v>0</v>
      </c>
      <c r="AV49" s="14" t="n">
        <f aca="false">IF(Inputs!$F$215=1,AV36,AV21)</f>
        <v>0</v>
      </c>
      <c r="AW49" s="14" t="n">
        <f aca="false">IF(Inputs!$F$215=1,AW36,AW21)</f>
        <v>0</v>
      </c>
      <c r="AX49" s="14" t="n">
        <f aca="false">IF(Inputs!$F$215=1,AX36,AX21)</f>
        <v>0</v>
      </c>
      <c r="AY49" s="14" t="n">
        <f aca="false">IF(Inputs!$F$215=1,AY36,AY21)</f>
        <v>0</v>
      </c>
      <c r="AZ49" s="14" t="n">
        <f aca="false">IF(Inputs!$F$215=1,AZ36,AZ21)</f>
        <v>0</v>
      </c>
      <c r="BA49" s="14" t="n">
        <f aca="false">IF(Inputs!$F$215=1,BA36,BA21)</f>
        <v>0</v>
      </c>
      <c r="BB49" s="14" t="n">
        <f aca="false">IF(Inputs!$F$215=1,BB36,BB21)</f>
        <v>0</v>
      </c>
      <c r="BC49" s="14" t="n">
        <f aca="false">IF(Inputs!$F$215=1,BC36,BC21)</f>
        <v>0</v>
      </c>
      <c r="BD49" s="14" t="n">
        <f aca="false">IF(Inputs!$F$215=1,BD36,BD21)</f>
        <v>0</v>
      </c>
      <c r="BE49" s="14" t="n">
        <f aca="false">IF(Inputs!$F$215=1,BE36,BE21)</f>
        <v>0</v>
      </c>
      <c r="BF49" s="14" t="n">
        <f aca="false">IF(Inputs!$F$215=1,BF36,BF21)</f>
        <v>0</v>
      </c>
      <c r="BG49" s="14" t="n">
        <f aca="false">IF(Inputs!$F$215=1,BG36,BG21)</f>
        <v>0</v>
      </c>
      <c r="BH49" s="14" t="n">
        <f aca="false">IF(Inputs!$F$215=1,BH36,BH21)</f>
        <v>0</v>
      </c>
      <c r="BI49" s="14" t="n">
        <f aca="false">IF(Inputs!$F$215=1,BI36,BI21)</f>
        <v>0</v>
      </c>
      <c r="BJ49" s="14" t="n">
        <f aca="false">IF(Inputs!$F$215=1,BJ36,BJ21)</f>
        <v>0</v>
      </c>
      <c r="BK49" s="14" t="n">
        <f aca="false">IF(Inputs!$F$215=1,BK36,BK21)</f>
        <v>0</v>
      </c>
      <c r="BL49" s="14" t="n">
        <f aca="false">IF(Inputs!$F$215=1,BL36,BL21)</f>
        <v>0</v>
      </c>
      <c r="BM49" s="14" t="n">
        <f aca="false">IF(Inputs!$F$215=1,BM36,BM21)</f>
        <v>0</v>
      </c>
      <c r="BN49" s="14" t="n">
        <f aca="false">IF(Inputs!$F$215=1,BN36,BN21)</f>
        <v>0</v>
      </c>
      <c r="BO49" s="14" t="n">
        <f aca="false">IF(Inputs!$F$215=1,BO36,BO21)</f>
        <v>0</v>
      </c>
      <c r="BP49" s="14" t="n">
        <f aca="false">IF(Inputs!$F$215=1,BP36,BP21)</f>
        <v>0</v>
      </c>
      <c r="BQ49" s="14" t="n">
        <f aca="false">IF(Inputs!$F$215=1,BQ36,BQ21)</f>
        <v>0</v>
      </c>
      <c r="BR49" s="14" t="n">
        <f aca="false">IF(Inputs!$F$215=1,BR36,BR21)</f>
        <v>0</v>
      </c>
      <c r="BS49" s="14" t="n">
        <f aca="false">IF(Inputs!$F$215=1,BS36,BS21)</f>
        <v>0</v>
      </c>
      <c r="BT49" s="14" t="n">
        <f aca="false">IF(Inputs!$F$215=1,BT36,BT21)</f>
        <v>0</v>
      </c>
      <c r="BU49" s="14" t="n">
        <f aca="false">IF(Inputs!$F$215=1,BU36,BU21)</f>
        <v>0</v>
      </c>
      <c r="BV49" s="14" t="n">
        <f aca="false">IF(Inputs!$F$215=1,BV36,BV21)</f>
        <v>0</v>
      </c>
      <c r="BW49" s="14" t="n">
        <f aca="false">IF(Inputs!$F$215=1,BW36,BW21)</f>
        <v>0</v>
      </c>
      <c r="BX49" s="14" t="n">
        <f aca="false">IF(Inputs!$F$215=1,BX36,BX21)</f>
        <v>0</v>
      </c>
      <c r="BY49" s="14" t="n">
        <f aca="false">IF(Inputs!$F$215=1,BY36,BY21)</f>
        <v>0</v>
      </c>
      <c r="BZ49" s="14" t="n">
        <f aca="false">IF(Inputs!$F$215=1,BZ36,BZ21)</f>
        <v>0</v>
      </c>
      <c r="CA49" s="14" t="n">
        <f aca="false">IF(Inputs!$F$215=1,CA36,CA21)</f>
        <v>0</v>
      </c>
      <c r="CB49" s="14" t="n">
        <f aca="false">IF(Inputs!$F$215=1,CB36,CB21)</f>
        <v>0</v>
      </c>
      <c r="CC49" s="14" t="n">
        <f aca="false">IF(Inputs!$F$215=1,CC36,CC21)</f>
        <v>0</v>
      </c>
      <c r="CD49" s="14" t="n">
        <f aca="false">IF(Inputs!$F$215=1,CD36,CD21)</f>
        <v>0</v>
      </c>
      <c r="CE49" s="14" t="n">
        <f aca="false">IF(Inputs!$F$215=1,CE36,CE21)</f>
        <v>0</v>
      </c>
      <c r="CF49" s="14" t="n">
        <f aca="false">IF(Inputs!$F$215=1,CF36,CF21)</f>
        <v>0</v>
      </c>
      <c r="CG49" s="14" t="n">
        <f aca="false">IF(Inputs!$F$215=1,CG36,CG21)</f>
        <v>0</v>
      </c>
      <c r="CH49" s="14" t="n">
        <f aca="false">IF(Inputs!$F$215=1,CH36,CH21)</f>
        <v>0</v>
      </c>
      <c r="CI49" s="14" t="n">
        <f aca="false">IF(Inputs!$F$215=1,CI36,CI21)</f>
        <v>0</v>
      </c>
      <c r="CJ49" s="14" t="n">
        <f aca="false">IF(Inputs!$F$215=1,CJ36,CJ21)</f>
        <v>0</v>
      </c>
      <c r="CK49" s="14" t="n">
        <f aca="false">IF(Inputs!$F$215=1,CK36,CK21)</f>
        <v>0</v>
      </c>
      <c r="CL49" s="14" t="n">
        <f aca="false">IF(Inputs!$F$215=1,CL36,CL21)</f>
        <v>0</v>
      </c>
      <c r="CM49" s="14" t="n">
        <f aca="false">IF(Inputs!$F$215=1,CM36,CM21)</f>
        <v>0</v>
      </c>
      <c r="CN49" s="14" t="n">
        <f aca="false">IF(Inputs!$F$215=1,CN36,CN21)</f>
        <v>0</v>
      </c>
      <c r="CO49" s="14" t="n">
        <f aca="false">IF(Inputs!$F$215=1,CO36,CO21)</f>
        <v>0</v>
      </c>
      <c r="CP49" s="14" t="n">
        <f aca="false">IF(Inputs!$F$215=1,CP36,CP21)</f>
        <v>0</v>
      </c>
      <c r="CQ49" s="14" t="n">
        <f aca="false">IF(Inputs!$F$215=1,CQ36,CQ21)</f>
        <v>0</v>
      </c>
      <c r="CR49" s="14" t="n">
        <f aca="false">IF(Inputs!$F$215=1,CR36,CR21)</f>
        <v>0</v>
      </c>
      <c r="CS49" s="14" t="n">
        <f aca="false">IF(Inputs!$F$215=1,CS36,CS21)</f>
        <v>0</v>
      </c>
      <c r="CT49" s="14" t="n">
        <f aca="false">IF(Inputs!$F$215=1,CT36,CT21)</f>
        <v>0</v>
      </c>
      <c r="CU49" s="14" t="n">
        <f aca="false">IF(Inputs!$F$215=1,CU36,CU21)</f>
        <v>0</v>
      </c>
      <c r="CV49" s="14" t="n">
        <f aca="false">IF(Inputs!$F$215=1,CV36,CV21)</f>
        <v>0</v>
      </c>
      <c r="CW49" s="14" t="n">
        <f aca="false">IF(Inputs!$F$215=1,CW36,CW21)</f>
        <v>0</v>
      </c>
      <c r="CX49" s="14" t="n">
        <f aca="false">IF(Inputs!$F$215=1,CX36,CX21)</f>
        <v>0</v>
      </c>
      <c r="CY49" s="14" t="n">
        <f aca="false">IF(Inputs!$F$215=1,CY36,CY21)</f>
        <v>0</v>
      </c>
      <c r="CZ49" s="14" t="n">
        <f aca="false">IF(Inputs!$F$215=1,CZ36,CZ21)</f>
        <v>0</v>
      </c>
      <c r="DA49" s="14" t="n">
        <f aca="false">IF(Inputs!$F$215=1,DA36,DA21)</f>
        <v>0</v>
      </c>
      <c r="DB49" s="14" t="n">
        <f aca="false">IF(Inputs!$F$215=1,DB36,DB21)</f>
        <v>0</v>
      </c>
    </row>
    <row r="50" customFormat="false" ht="15" hidden="false" customHeight="false" outlineLevel="0" collapsed="false">
      <c r="D50" s="0" t="s">
        <v>355</v>
      </c>
      <c r="E50" s="0" t="s">
        <v>105</v>
      </c>
      <c r="J50" s="26" t="n">
        <f aca="false">IF(AND(J23=1,J8&lt;=Inputs!$F$31),Inputs!$F$119,Inputs!$F$118)</f>
        <v>0.0306</v>
      </c>
      <c r="K50" s="26" t="n">
        <f aca="false">IF(AND(K23=1,K8&lt;=Inputs!$F$31),Inputs!$F$119,Inputs!$F$118)</f>
        <v>0.0306</v>
      </c>
      <c r="L50" s="26" t="n">
        <f aca="false">IF(AND(L23=1,L8&lt;=Inputs!$F$31),Inputs!$F$119,Inputs!$F$118)</f>
        <v>0.0306</v>
      </c>
      <c r="M50" s="26" t="n">
        <f aca="false">IF(AND(M23=1,M8&lt;=Inputs!$F$31),Inputs!$F$119,Inputs!$F$118)</f>
        <v>0.0306</v>
      </c>
      <c r="N50" s="26" t="n">
        <f aca="false">IF(AND(N23=1,N8&lt;=Inputs!$F$31),Inputs!$F$119,Inputs!$F$118)</f>
        <v>0.0306</v>
      </c>
      <c r="O50" s="26" t="n">
        <f aca="false">IF(AND(O23=1,O8&lt;=Inputs!$F$31),Inputs!$F$119,Inputs!$F$118)</f>
        <v>0.0306</v>
      </c>
      <c r="P50" s="26" t="n">
        <f aca="false">IF(AND(P23=1,P8&lt;=Inputs!$F$31),Inputs!$F$119,Inputs!$F$118)</f>
        <v>0.0306</v>
      </c>
      <c r="Q50" s="26" t="n">
        <f aca="false">IF(AND(Q23=1,Q8&lt;=Inputs!$F$31),Inputs!$F$119,Inputs!$F$118)</f>
        <v>0.0306</v>
      </c>
      <c r="R50" s="26" t="n">
        <f aca="false">IF(AND(R23=1,R8&lt;=Inputs!$F$31),Inputs!$F$119,Inputs!$F$118)</f>
        <v>0.0306</v>
      </c>
      <c r="S50" s="26" t="n">
        <f aca="false">IF(AND(S23=1,S8&lt;=Inputs!$F$31),Inputs!$F$119,Inputs!$F$118)</f>
        <v>0.0306</v>
      </c>
      <c r="T50" s="26" t="n">
        <f aca="false">IF(AND(T23=1,T8&lt;=Inputs!$F$31),Inputs!$F$119,Inputs!$F$118)</f>
        <v>0.0306</v>
      </c>
      <c r="U50" s="26" t="n">
        <f aca="false">IF(AND(U23=1,U8&lt;=Inputs!$F$31),Inputs!$F$119,Inputs!$F$118)</f>
        <v>0.0306</v>
      </c>
      <c r="V50" s="26" t="n">
        <f aca="false">IF(AND(V23=1,V8&lt;=Inputs!$F$31),Inputs!$F$119,Inputs!$F$118)</f>
        <v>0.0306</v>
      </c>
      <c r="W50" s="26" t="n">
        <f aca="false">IF(AND(W23=1,W8&lt;=Inputs!$F$31),Inputs!$F$119,Inputs!$F$118)</f>
        <v>0.0306</v>
      </c>
      <c r="X50" s="26" t="n">
        <f aca="false">IF(AND(X23=1,X8&lt;=Inputs!$F$31),Inputs!$F$119,Inputs!$F$118)</f>
        <v>0.0306</v>
      </c>
      <c r="Y50" s="26" t="n">
        <f aca="false">IF(AND(Y23=1,Y8&lt;=Inputs!$F$31),Inputs!$F$119,Inputs!$F$118)</f>
        <v>0.0306</v>
      </c>
      <c r="Z50" s="26" t="n">
        <f aca="false">IF(AND(Z23=1,Z8&lt;=Inputs!$F$31),Inputs!$F$119,Inputs!$F$118)</f>
        <v>0.0306</v>
      </c>
      <c r="AA50" s="26" t="n">
        <f aca="false">IF(AND(AA23=1,AA8&lt;=Inputs!$F$31),Inputs!$F$119,Inputs!$F$118)</f>
        <v>0.0306</v>
      </c>
      <c r="AB50" s="26" t="n">
        <f aca="false">IF(AND(AB23=1,AB8&lt;=Inputs!$F$31),Inputs!$F$119,Inputs!$F$118)</f>
        <v>0.0306</v>
      </c>
      <c r="AC50" s="26" t="n">
        <f aca="false">IF(AND(AC23=1,AC8&lt;=Inputs!$F$31),Inputs!$F$119,Inputs!$F$118)</f>
        <v>0.0306</v>
      </c>
      <c r="AD50" s="26" t="n">
        <f aca="false">IF(AND(AD23=1,AD8&lt;=Inputs!$F$31),Inputs!$F$119,Inputs!$F$118)</f>
        <v>0.0306</v>
      </c>
      <c r="AE50" s="26" t="n">
        <f aca="false">IF(AND(AE23=1,AE8&lt;=Inputs!$F$31),Inputs!$F$119,Inputs!$F$118)</f>
        <v>0.0306</v>
      </c>
      <c r="AF50" s="26" t="n">
        <f aca="false">IF(AND(AF23=1,AF8&lt;=Inputs!$F$31),Inputs!$F$119,Inputs!$F$118)</f>
        <v>0.0306</v>
      </c>
      <c r="AG50" s="26" t="n">
        <f aca="false">IF(AND(AG23=1,AG8&lt;=Inputs!$F$31),Inputs!$F$119,Inputs!$F$118)</f>
        <v>0.0306</v>
      </c>
      <c r="AH50" s="26" t="n">
        <f aca="false">IF(AND(AH23=1,AH8&lt;=Inputs!$F$31),Inputs!$F$119,Inputs!$F$118)</f>
        <v>0.0306</v>
      </c>
      <c r="AI50" s="26" t="n">
        <f aca="false">IF(AND(AI23=1,AI8&lt;=Inputs!$F$31),Inputs!$F$119,Inputs!$F$118)</f>
        <v>0.0306</v>
      </c>
      <c r="AJ50" s="26" t="n">
        <f aca="false">IF(AND(AJ23=1,AJ8&lt;=Inputs!$F$31),Inputs!$F$119,Inputs!$F$118)</f>
        <v>0.0306</v>
      </c>
      <c r="AK50" s="26" t="n">
        <f aca="false">IF(AND(AK23=1,AK8&lt;=Inputs!$F$31),Inputs!$F$119,Inputs!$F$118)</f>
        <v>0.0306</v>
      </c>
      <c r="AL50" s="26" t="n">
        <f aca="false">IF(AND(AL23=1,AL8&lt;=Inputs!$F$31),Inputs!$F$119,Inputs!$F$118)</f>
        <v>0.0306</v>
      </c>
      <c r="AM50" s="26" t="n">
        <f aca="false">IF(AND(AM23=1,AM8&lt;=Inputs!$F$31),Inputs!$F$119,Inputs!$F$118)</f>
        <v>0.0306</v>
      </c>
      <c r="AN50" s="26" t="n">
        <f aca="false">IF(AND(AN23=1,AN8&lt;=Inputs!$F$31),Inputs!$F$119,Inputs!$F$118)</f>
        <v>0.0306</v>
      </c>
      <c r="AO50" s="26" t="n">
        <f aca="false">IF(AND(AO23=1,AO8&lt;=Inputs!$F$31),Inputs!$F$119,Inputs!$F$118)</f>
        <v>0.0306</v>
      </c>
      <c r="AP50" s="26" t="n">
        <f aca="false">IF(AND(AP23=1,AP8&lt;=Inputs!$F$31),Inputs!$F$119,Inputs!$F$118)</f>
        <v>0.0306</v>
      </c>
      <c r="AQ50" s="26" t="n">
        <f aca="false">IF(AND(AQ23=1,AQ8&lt;=Inputs!$F$31),Inputs!$F$119,Inputs!$F$118)</f>
        <v>0.0306</v>
      </c>
      <c r="AR50" s="26" t="n">
        <f aca="false">IF(AND(AR23=1,AR8&lt;=Inputs!$F$31),Inputs!$F$119,Inputs!$F$118)</f>
        <v>0.0306</v>
      </c>
      <c r="AS50" s="26" t="n">
        <f aca="false">IF(AND(AS23=1,AS8&lt;=Inputs!$F$31),Inputs!$F$119,Inputs!$F$118)</f>
        <v>0.0306</v>
      </c>
      <c r="AT50" s="26" t="n">
        <f aca="false">IF(AND(AT23=1,AT8&lt;=Inputs!$F$31),Inputs!$F$119,Inputs!$F$118)</f>
        <v>0.0306</v>
      </c>
      <c r="AU50" s="26" t="n">
        <f aca="false">IF(AND(AU23=1,AU8&lt;=Inputs!$F$31),Inputs!$F$119,Inputs!$F$118)</f>
        <v>0.0306</v>
      </c>
      <c r="AV50" s="26" t="n">
        <f aca="false">IF(AND(AV23=1,AV8&lt;=Inputs!$F$31),Inputs!$F$119,Inputs!$F$118)</f>
        <v>0.0306</v>
      </c>
      <c r="AW50" s="26" t="n">
        <f aca="false">IF(AND(AW23=1,AW8&lt;=Inputs!$F$31),Inputs!$F$119,Inputs!$F$118)</f>
        <v>0.0306</v>
      </c>
      <c r="AX50" s="26" t="n">
        <f aca="false">IF(AND(AX23=1,AX8&lt;=Inputs!$F$31),Inputs!$F$119,Inputs!$F$118)</f>
        <v>0.0306</v>
      </c>
      <c r="AY50" s="26" t="n">
        <f aca="false">IF(AND(AY23=1,AY8&lt;=Inputs!$F$31),Inputs!$F$119,Inputs!$F$118)</f>
        <v>0.0306</v>
      </c>
      <c r="AZ50" s="26" t="n">
        <f aca="false">IF(AND(AZ23=1,AZ8&lt;=Inputs!$F$31),Inputs!$F$119,Inputs!$F$118)</f>
        <v>0.0306</v>
      </c>
      <c r="BA50" s="26" t="n">
        <f aca="false">IF(AND(BA23=1,BA8&lt;=Inputs!$F$31),Inputs!$F$119,Inputs!$F$118)</f>
        <v>0.0306</v>
      </c>
      <c r="BB50" s="26" t="n">
        <f aca="false">IF(AND(BB23=1,BB8&lt;=Inputs!$F$31),Inputs!$F$119,Inputs!$F$118)</f>
        <v>0.0306</v>
      </c>
      <c r="BC50" s="26" t="n">
        <f aca="false">IF(AND(BC23=1,BC8&lt;=Inputs!$F$31),Inputs!$F$119,Inputs!$F$118)</f>
        <v>0.0306</v>
      </c>
      <c r="BD50" s="26" t="n">
        <f aca="false">IF(AND(BD23=1,BD8&lt;=Inputs!$F$31),Inputs!$F$119,Inputs!$F$118)</f>
        <v>0.0306</v>
      </c>
      <c r="BE50" s="26" t="n">
        <f aca="false">IF(AND(BE23=1,BE8&lt;=Inputs!$F$31),Inputs!$F$119,Inputs!$F$118)</f>
        <v>0.0306</v>
      </c>
      <c r="BF50" s="26" t="n">
        <f aca="false">IF(AND(BF23=1,BF8&lt;=Inputs!$F$31),Inputs!$F$119,Inputs!$F$118)</f>
        <v>0.0306</v>
      </c>
      <c r="BG50" s="26" t="n">
        <f aca="false">IF(AND(BG23=1,BG8&lt;=Inputs!$F$31),Inputs!$F$119,Inputs!$F$118)</f>
        <v>0.0306</v>
      </c>
      <c r="BH50" s="26" t="n">
        <f aca="false">IF(AND(BH23=1,BH8&lt;=Inputs!$F$31),Inputs!$F$119,Inputs!$F$118)</f>
        <v>0.0306</v>
      </c>
      <c r="BI50" s="26" t="n">
        <f aca="false">IF(AND(BI23=1,BI8&lt;=Inputs!$F$31),Inputs!$F$119,Inputs!$F$118)</f>
        <v>0.0306</v>
      </c>
      <c r="BJ50" s="26" t="n">
        <f aca="false">IF(AND(BJ23=1,BJ8&lt;=Inputs!$F$31),Inputs!$F$119,Inputs!$F$118)</f>
        <v>0.0306</v>
      </c>
      <c r="BK50" s="26" t="n">
        <f aca="false">IF(AND(BK23=1,BK8&lt;=Inputs!$F$31),Inputs!$F$119,Inputs!$F$118)</f>
        <v>0.0306</v>
      </c>
      <c r="BL50" s="26" t="n">
        <f aca="false">IF(AND(BL23=1,BL8&lt;=Inputs!$F$31),Inputs!$F$119,Inputs!$F$118)</f>
        <v>0.0306</v>
      </c>
      <c r="BM50" s="26" t="n">
        <f aca="false">IF(AND(BM23=1,BM8&lt;=Inputs!$F$31),Inputs!$F$119,Inputs!$F$118)</f>
        <v>0.0306</v>
      </c>
      <c r="BN50" s="26" t="n">
        <f aca="false">IF(AND(BN23=1,BN8&lt;=Inputs!$F$31),Inputs!$F$119,Inputs!$F$118)</f>
        <v>0.0306</v>
      </c>
      <c r="BO50" s="26" t="n">
        <f aca="false">IF(AND(BO23=1,BO8&lt;=Inputs!$F$31),Inputs!$F$119,Inputs!$F$118)</f>
        <v>0.0306</v>
      </c>
      <c r="BP50" s="26" t="n">
        <f aca="false">IF(AND(BP23=1,BP8&lt;=Inputs!$F$31),Inputs!$F$119,Inputs!$F$118)</f>
        <v>0.0306</v>
      </c>
      <c r="BQ50" s="26" t="n">
        <f aca="false">IF(AND(BQ23=1,BQ8&lt;=Inputs!$F$31),Inputs!$F$119,Inputs!$F$118)</f>
        <v>0.0306</v>
      </c>
      <c r="BR50" s="26" t="n">
        <f aca="false">IF(AND(BR23=1,BR8&lt;=Inputs!$F$31),Inputs!$F$119,Inputs!$F$118)</f>
        <v>0.0306</v>
      </c>
      <c r="BS50" s="26" t="n">
        <f aca="false">IF(AND(BS23=1,BS8&lt;=Inputs!$F$31),Inputs!$F$119,Inputs!$F$118)</f>
        <v>0.0306</v>
      </c>
      <c r="BT50" s="26" t="n">
        <f aca="false">IF(AND(BT23=1,BT8&lt;=Inputs!$F$31),Inputs!$F$119,Inputs!$F$118)</f>
        <v>0.0306</v>
      </c>
      <c r="BU50" s="26" t="n">
        <f aca="false">IF(AND(BU23=1,BU8&lt;=Inputs!$F$31),Inputs!$F$119,Inputs!$F$118)</f>
        <v>0.0306</v>
      </c>
      <c r="BV50" s="26" t="n">
        <f aca="false">IF(AND(BV23=1,BV8&lt;=Inputs!$F$31),Inputs!$F$119,Inputs!$F$118)</f>
        <v>0.0306</v>
      </c>
      <c r="BW50" s="26" t="n">
        <f aca="false">IF(AND(BW23=1,BW8&lt;=Inputs!$F$31),Inputs!$F$119,Inputs!$F$118)</f>
        <v>0.0306</v>
      </c>
      <c r="BX50" s="26" t="n">
        <f aca="false">IF(AND(BX23=1,BX8&lt;=Inputs!$F$31),Inputs!$F$119,Inputs!$F$118)</f>
        <v>0.0306</v>
      </c>
      <c r="BY50" s="26" t="n">
        <f aca="false">IF(AND(BY23=1,BY8&lt;=Inputs!$F$31),Inputs!$F$119,Inputs!$F$118)</f>
        <v>0.0306</v>
      </c>
      <c r="BZ50" s="26" t="n">
        <f aca="false">IF(AND(BZ23=1,BZ8&lt;=Inputs!$F$31),Inputs!$F$119,Inputs!$F$118)</f>
        <v>0.0306</v>
      </c>
      <c r="CA50" s="26" t="n">
        <f aca="false">IF(AND(CA23=1,CA8&lt;=Inputs!$F$31),Inputs!$F$119,Inputs!$F$118)</f>
        <v>0.0306</v>
      </c>
      <c r="CB50" s="26" t="n">
        <f aca="false">IF(AND(CB23=1,CB8&lt;=Inputs!$F$31),Inputs!$F$119,Inputs!$F$118)</f>
        <v>0.0306</v>
      </c>
      <c r="CC50" s="26" t="n">
        <f aca="false">IF(AND(CC23=1,CC8&lt;=Inputs!$F$31),Inputs!$F$119,Inputs!$F$118)</f>
        <v>0.0306</v>
      </c>
      <c r="CD50" s="26" t="n">
        <f aca="false">IF(AND(CD23=1,CD8&lt;=Inputs!$F$31),Inputs!$F$119,Inputs!$F$118)</f>
        <v>0.0306</v>
      </c>
      <c r="CE50" s="26" t="n">
        <f aca="false">IF(AND(CE23=1,CE8&lt;=Inputs!$F$31),Inputs!$F$119,Inputs!$F$118)</f>
        <v>0.0306</v>
      </c>
      <c r="CF50" s="26" t="n">
        <f aca="false">IF(AND(CF23=1,CF8&lt;=Inputs!$F$31),Inputs!$F$119,Inputs!$F$118)</f>
        <v>0.0306</v>
      </c>
      <c r="CG50" s="26" t="n">
        <f aca="false">IF(AND(CG23=1,CG8&lt;=Inputs!$F$31),Inputs!$F$119,Inputs!$F$118)</f>
        <v>0.0306</v>
      </c>
      <c r="CH50" s="26" t="n">
        <f aca="false">IF(AND(CH23=1,CH8&lt;=Inputs!$F$31),Inputs!$F$119,Inputs!$F$118)</f>
        <v>0.0306</v>
      </c>
      <c r="CI50" s="26" t="n">
        <f aca="false">IF(AND(CI23=1,CI8&lt;=Inputs!$F$31),Inputs!$F$119,Inputs!$F$118)</f>
        <v>0.0306</v>
      </c>
      <c r="CJ50" s="26" t="n">
        <f aca="false">IF(AND(CJ23=1,CJ8&lt;=Inputs!$F$31),Inputs!$F$119,Inputs!$F$118)</f>
        <v>0.0306</v>
      </c>
      <c r="CK50" s="26" t="n">
        <f aca="false">IF(AND(CK23=1,CK8&lt;=Inputs!$F$31),Inputs!$F$119,Inputs!$F$118)</f>
        <v>0.0306</v>
      </c>
      <c r="CL50" s="26" t="n">
        <f aca="false">IF(AND(CL23=1,CL8&lt;=Inputs!$F$31),Inputs!$F$119,Inputs!$F$118)</f>
        <v>0.0306</v>
      </c>
      <c r="CM50" s="26" t="n">
        <f aca="false">IF(AND(CM23=1,CM8&lt;=Inputs!$F$31),Inputs!$F$119,Inputs!$F$118)</f>
        <v>0.0306</v>
      </c>
      <c r="CN50" s="26" t="n">
        <f aca="false">IF(AND(CN23=1,CN8&lt;=Inputs!$F$31),Inputs!$F$119,Inputs!$F$118)</f>
        <v>0.0306</v>
      </c>
      <c r="CO50" s="26" t="n">
        <f aca="false">IF(AND(CO23=1,CO8&lt;=Inputs!$F$31),Inputs!$F$119,Inputs!$F$118)</f>
        <v>0.0306</v>
      </c>
      <c r="CP50" s="26" t="n">
        <f aca="false">IF(AND(CP23=1,CP8&lt;=Inputs!$F$31),Inputs!$F$119,Inputs!$F$118)</f>
        <v>0.0306</v>
      </c>
      <c r="CQ50" s="26" t="n">
        <f aca="false">IF(AND(CQ23=1,CQ8&lt;=Inputs!$F$31),Inputs!$F$119,Inputs!$F$118)</f>
        <v>0.0306</v>
      </c>
      <c r="CR50" s="26" t="n">
        <f aca="false">IF(AND(CR23=1,CR8&lt;=Inputs!$F$31),Inputs!$F$119,Inputs!$F$118)</f>
        <v>0.0306</v>
      </c>
      <c r="CS50" s="26" t="n">
        <f aca="false">IF(AND(CS23=1,CS8&lt;=Inputs!$F$31),Inputs!$F$119,Inputs!$F$118)</f>
        <v>0.0306</v>
      </c>
      <c r="CT50" s="26" t="n">
        <f aca="false">IF(AND(CT23=1,CT8&lt;=Inputs!$F$31),Inputs!$F$119,Inputs!$F$118)</f>
        <v>0.0306</v>
      </c>
      <c r="CU50" s="26" t="n">
        <f aca="false">IF(AND(CU23=1,CU8&lt;=Inputs!$F$31),Inputs!$F$119,Inputs!$F$118)</f>
        <v>0.0306</v>
      </c>
      <c r="CV50" s="26" t="n">
        <f aca="false">IF(AND(CV23=1,CV8&lt;=Inputs!$F$31),Inputs!$F$119,Inputs!$F$118)</f>
        <v>0.0306</v>
      </c>
      <c r="CW50" s="26" t="n">
        <f aca="false">IF(AND(CW23=1,CW8&lt;=Inputs!$F$31),Inputs!$F$119,Inputs!$F$118)</f>
        <v>0.0306</v>
      </c>
      <c r="CX50" s="26" t="n">
        <f aca="false">IF(AND(CX23=1,CX8&lt;=Inputs!$F$31),Inputs!$F$119,Inputs!$F$118)</f>
        <v>0.0306</v>
      </c>
      <c r="CY50" s="26" t="n">
        <f aca="false">IF(AND(CY23=1,CY8&lt;=Inputs!$F$31),Inputs!$F$119,Inputs!$F$118)</f>
        <v>0.0306</v>
      </c>
      <c r="CZ50" s="26" t="n">
        <f aca="false">IF(AND(CZ23=1,CZ8&lt;=Inputs!$F$31),Inputs!$F$119,Inputs!$F$118)</f>
        <v>0.0306</v>
      </c>
      <c r="DA50" s="26" t="n">
        <f aca="false">IF(AND(DA23=1,DA8&lt;=Inputs!$F$31),Inputs!$F$119,Inputs!$F$118)</f>
        <v>0.0306</v>
      </c>
      <c r="DB50" s="26" t="n">
        <f aca="false">IF(AND(DB23=1,DB8&lt;=Inputs!$F$31),Inputs!$F$119,Inputs!$F$118)</f>
        <v>0.0306</v>
      </c>
    </row>
    <row r="51" customFormat="false" ht="15" hidden="false" customHeight="false" outlineLevel="0" collapsed="false">
      <c r="D51" s="0" t="s">
        <v>356</v>
      </c>
      <c r="E51" s="0" t="s">
        <v>171</v>
      </c>
      <c r="J51" s="16" t="n">
        <f aca="false">IF(AND(J23=1,J8&lt;=Inputs!$F$31),0,1-MIN(1,MAX(0,(MIN(J8,Inputs!$F$26)-J7)/J9)))</f>
        <v>0</v>
      </c>
      <c r="K51" s="16" t="n">
        <f aca="false">IF(AND(K23=1,K8&lt;=Inputs!$F$31),0,1-MIN(1,MAX(0,(MIN(K8,Inputs!$F$26)-K7)/K9)))</f>
        <v>0</v>
      </c>
      <c r="L51" s="16" t="n">
        <f aca="false">IF(AND(L23=1,L8&lt;=Inputs!$F$31),0,1-MIN(1,MAX(0,(MIN(L8,Inputs!$F$26)-L7)/L9)))</f>
        <v>0</v>
      </c>
      <c r="M51" s="16" t="n">
        <f aca="false">IF(AND(M23=1,M8&lt;=Inputs!$F$31),0,1-MIN(1,MAX(0,(MIN(M8,Inputs!$F$26)-M7)/M9)))</f>
        <v>0</v>
      </c>
      <c r="N51" s="16" t="n">
        <f aca="false">IF(AND(N23=1,N8&lt;=Inputs!$F$31),0,1-MIN(1,MAX(0,(MIN(N8,Inputs!$F$26)-N7)/N9)))</f>
        <v>0</v>
      </c>
      <c r="O51" s="16" t="n">
        <f aca="false">IF(AND(O23=1,O8&lt;=Inputs!$F$31),0,1-MIN(1,MAX(0,(MIN(O8,Inputs!$F$26)-O7)/O9)))</f>
        <v>0</v>
      </c>
      <c r="P51" s="16" t="n">
        <f aca="false">IF(AND(P23=1,P8&lt;=Inputs!$F$31),0,1-MIN(1,MAX(0,(MIN(P8,Inputs!$F$26)-P7)/P9)))</f>
        <v>0</v>
      </c>
      <c r="Q51" s="16" t="n">
        <f aca="false">IF(AND(Q23=1,Q8&lt;=Inputs!$F$31),0,1-MIN(1,MAX(0,(MIN(Q8,Inputs!$F$26)-Q7)/Q9)))</f>
        <v>0</v>
      </c>
      <c r="R51" s="16" t="n">
        <f aca="false">IF(AND(R23=1,R8&lt;=Inputs!$F$31),0,1-MIN(1,MAX(0,(MIN(R8,Inputs!$F$26)-R7)/R9)))</f>
        <v>0</v>
      </c>
      <c r="S51" s="16" t="n">
        <f aca="false">IF(AND(S23=1,S8&lt;=Inputs!$F$31),0,1-MIN(1,MAX(0,(MIN(S8,Inputs!$F$26)-S7)/S9)))</f>
        <v>0</v>
      </c>
      <c r="T51" s="16" t="n">
        <f aca="false">IF(AND(T23=1,T8&lt;=Inputs!$F$31),0,1-MIN(1,MAX(0,(MIN(T8,Inputs!$F$26)-T7)/T9)))</f>
        <v>0</v>
      </c>
      <c r="U51" s="16" t="n">
        <f aca="false">IF(AND(U23=1,U8&lt;=Inputs!$F$31),0,1-MIN(1,MAX(0,(MIN(U8,Inputs!$F$26)-U7)/U9)))</f>
        <v>0</v>
      </c>
      <c r="V51" s="16" t="n">
        <f aca="false">IF(AND(V23=1,V8&lt;=Inputs!$F$31),0,1-MIN(1,MAX(0,(MIN(V8,Inputs!$F$26)-V7)/V9)))</f>
        <v>0</v>
      </c>
      <c r="W51" s="16" t="n">
        <f aca="false">IF(AND(W23=1,W8&lt;=Inputs!$F$31),0,1-MIN(1,MAX(0,(MIN(W8,Inputs!$F$26)-W7)/W9)))</f>
        <v>0</v>
      </c>
      <c r="X51" s="16" t="n">
        <f aca="false">IF(AND(X23=1,X8&lt;=Inputs!$F$31),0,1-MIN(1,MAX(0,(MIN(X8,Inputs!$F$26)-X7)/X9)))</f>
        <v>0</v>
      </c>
      <c r="Y51" s="16" t="n">
        <f aca="false">IF(AND(Y23=1,Y8&lt;=Inputs!$F$31),0,1-MIN(1,MAX(0,(MIN(Y8,Inputs!$F$26)-Y7)/Y9)))</f>
        <v>0</v>
      </c>
      <c r="Z51" s="16" t="n">
        <f aca="false">IF(AND(Z23=1,Z8&lt;=Inputs!$F$31),0,1-MIN(1,MAX(0,(MIN(Z8,Inputs!$F$26)-Z7)/Z9)))</f>
        <v>0</v>
      </c>
      <c r="AA51" s="16" t="n">
        <f aca="false">IF(AND(AA23=1,AA8&lt;=Inputs!$F$31),0,1-MIN(1,MAX(0,(MIN(AA8,Inputs!$F$26)-AA7)/AA9)))</f>
        <v>0</v>
      </c>
      <c r="AB51" s="16" t="n">
        <f aca="false">IF(AND(AB23=1,AB8&lt;=Inputs!$F$31),0,1-MIN(1,MAX(0,(MIN(AB8,Inputs!$F$26)-AB7)/AB9)))</f>
        <v>0</v>
      </c>
      <c r="AC51" s="16" t="n">
        <f aca="false">IF(AND(AC23=1,AC8&lt;=Inputs!$F$31),0,1-MIN(1,MAX(0,(MIN(AC8,Inputs!$F$26)-AC7)/AC9)))</f>
        <v>0</v>
      </c>
      <c r="AD51" s="16" t="n">
        <f aca="false">IF(AND(AD23=1,AD8&lt;=Inputs!$F$31),0,1-MIN(1,MAX(0,(MIN(AD8,Inputs!$F$26)-AD7)/AD9)))</f>
        <v>0</v>
      </c>
      <c r="AE51" s="16" t="n">
        <f aca="false">IF(AND(AE23=1,AE8&lt;=Inputs!$F$31),0,1-MIN(1,MAX(0,(MIN(AE8,Inputs!$F$26)-AE7)/AE9)))</f>
        <v>0</v>
      </c>
      <c r="AF51" s="16" t="n">
        <f aca="false">IF(AND(AF23=1,AF8&lt;=Inputs!$F$31),0,1-MIN(1,MAX(0,(MIN(AF8,Inputs!$F$26)-AF7)/AF9)))</f>
        <v>0</v>
      </c>
      <c r="AG51" s="16" t="n">
        <f aca="false">IF(AND(AG23=1,AG8&lt;=Inputs!$F$31),0,1-MIN(1,MAX(0,(MIN(AG8,Inputs!$F$26)-AG7)/AG9)))</f>
        <v>0</v>
      </c>
      <c r="AH51" s="16" t="n">
        <f aca="false">IF(AND(AH23=1,AH8&lt;=Inputs!$F$31),0,1-MIN(1,MAX(0,(MIN(AH8,Inputs!$F$26)-AH7)/AH9)))</f>
        <v>0</v>
      </c>
      <c r="AI51" s="16" t="n">
        <f aca="false">IF(AND(AI23=1,AI8&lt;=Inputs!$F$31),0,1-MIN(1,MAX(0,(MIN(AI8,Inputs!$F$26)-AI7)/AI9)))</f>
        <v>0</v>
      </c>
      <c r="AJ51" s="16" t="n">
        <f aca="false">IF(AND(AJ23=1,AJ8&lt;=Inputs!$F$31),0,1-MIN(1,MAX(0,(MIN(AJ8,Inputs!$F$26)-AJ7)/AJ9)))</f>
        <v>0.5</v>
      </c>
      <c r="AK51" s="16" t="n">
        <f aca="false">IF(AND(AK23=1,AK8&lt;=Inputs!$F$31),0,1-MIN(1,MAX(0,(MIN(AK8,Inputs!$F$26)-AK7)/AK9)))</f>
        <v>1</v>
      </c>
      <c r="AL51" s="16" t="n">
        <f aca="false">IF(AND(AL23=1,AL8&lt;=Inputs!$F$31),0,1-MIN(1,MAX(0,(MIN(AL8,Inputs!$F$26)-AL7)/AL9)))</f>
        <v>1</v>
      </c>
      <c r="AM51" s="16" t="n">
        <f aca="false">IF(AND(AM23=1,AM8&lt;=Inputs!$F$31),0,1-MIN(1,MAX(0,(MIN(AM8,Inputs!$F$26)-AM7)/AM9)))</f>
        <v>1</v>
      </c>
      <c r="AN51" s="16" t="n">
        <f aca="false">IF(AND(AN23=1,AN8&lt;=Inputs!$F$31),0,1-MIN(1,MAX(0,(MIN(AN8,Inputs!$F$26)-AN7)/AN9)))</f>
        <v>1</v>
      </c>
      <c r="AO51" s="16" t="n">
        <f aca="false">IF(AND(AO23=1,AO8&lt;=Inputs!$F$31),0,1-MIN(1,MAX(0,(MIN(AO8,Inputs!$F$26)-AO7)/AO9)))</f>
        <v>1</v>
      </c>
      <c r="AP51" s="16" t="n">
        <f aca="false">IF(AND(AP23=1,AP8&lt;=Inputs!$F$31),0,1-MIN(1,MAX(0,(MIN(AP8,Inputs!$F$26)-AP7)/AP9)))</f>
        <v>1</v>
      </c>
      <c r="AQ51" s="16" t="n">
        <f aca="false">IF(AND(AQ23=1,AQ8&lt;=Inputs!$F$31),0,1-MIN(1,MAX(0,(MIN(AQ8,Inputs!$F$26)-AQ7)/AQ9)))</f>
        <v>1</v>
      </c>
      <c r="AR51" s="16" t="n">
        <f aca="false">IF(AND(AR23=1,AR8&lt;=Inputs!$F$31),0,1-MIN(1,MAX(0,(MIN(AR8,Inputs!$F$26)-AR7)/AR9)))</f>
        <v>1</v>
      </c>
      <c r="AS51" s="16" t="n">
        <f aca="false">IF(AND(AS23=1,AS8&lt;=Inputs!$F$31),0,1-MIN(1,MAX(0,(MIN(AS8,Inputs!$F$26)-AS7)/AS9)))</f>
        <v>1</v>
      </c>
      <c r="AT51" s="16" t="n">
        <f aca="false">IF(AND(AT23=1,AT8&lt;=Inputs!$F$31),0,1-MIN(1,MAX(0,(MIN(AT8,Inputs!$F$26)-AT7)/AT9)))</f>
        <v>1</v>
      </c>
      <c r="AU51" s="16" t="n">
        <f aca="false">IF(AND(AU23=1,AU8&lt;=Inputs!$F$31),0,1-MIN(1,MAX(0,(MIN(AU8,Inputs!$F$26)-AU7)/AU9)))</f>
        <v>1</v>
      </c>
      <c r="AV51" s="16" t="n">
        <f aca="false">IF(AND(AV23=1,AV8&lt;=Inputs!$F$31),0,1-MIN(1,MAX(0,(MIN(AV8,Inputs!$F$26)-AV7)/AV9)))</f>
        <v>1</v>
      </c>
      <c r="AW51" s="16" t="n">
        <f aca="false">IF(AND(AW23=1,AW8&lt;=Inputs!$F$31),0,1-MIN(1,MAX(0,(MIN(AW8,Inputs!$F$26)-AW7)/AW9)))</f>
        <v>1</v>
      </c>
      <c r="AX51" s="16" t="n">
        <f aca="false">IF(AND(AX23=1,AX8&lt;=Inputs!$F$31),0,1-MIN(1,MAX(0,(MIN(AX8,Inputs!$F$26)-AX7)/AX9)))</f>
        <v>1</v>
      </c>
      <c r="AY51" s="16" t="n">
        <f aca="false">IF(AND(AY23=1,AY8&lt;=Inputs!$F$31),0,1-MIN(1,MAX(0,(MIN(AY8,Inputs!$F$26)-AY7)/AY9)))</f>
        <v>1</v>
      </c>
      <c r="AZ51" s="16" t="n">
        <f aca="false">IF(AND(AZ23=1,AZ8&lt;=Inputs!$F$31),0,1-MIN(1,MAX(0,(MIN(AZ8,Inputs!$F$26)-AZ7)/AZ9)))</f>
        <v>1</v>
      </c>
      <c r="BA51" s="16" t="n">
        <f aca="false">IF(AND(BA23=1,BA8&lt;=Inputs!$F$31),0,1-MIN(1,MAX(0,(MIN(BA8,Inputs!$F$26)-BA7)/BA9)))</f>
        <v>1</v>
      </c>
      <c r="BB51" s="16" t="n">
        <f aca="false">IF(AND(BB23=1,BB8&lt;=Inputs!$F$31),0,1-MIN(1,MAX(0,(MIN(BB8,Inputs!$F$26)-BB7)/BB9)))</f>
        <v>1</v>
      </c>
      <c r="BC51" s="16" t="n">
        <f aca="false">IF(AND(BC23=1,BC8&lt;=Inputs!$F$31),0,1-MIN(1,MAX(0,(MIN(BC8,Inputs!$F$26)-BC7)/BC9)))</f>
        <v>1</v>
      </c>
      <c r="BD51" s="16" t="n">
        <f aca="false">IF(AND(BD23=1,BD8&lt;=Inputs!$F$31),0,1-MIN(1,MAX(0,(MIN(BD8,Inputs!$F$26)-BD7)/BD9)))</f>
        <v>1</v>
      </c>
      <c r="BE51" s="16" t="n">
        <f aca="false">IF(AND(BE23=1,BE8&lt;=Inputs!$F$31),0,1-MIN(1,MAX(0,(MIN(BE8,Inputs!$F$26)-BE7)/BE9)))</f>
        <v>1</v>
      </c>
      <c r="BF51" s="16" t="n">
        <f aca="false">IF(AND(BF23=1,BF8&lt;=Inputs!$F$31),0,1-MIN(1,MAX(0,(MIN(BF8,Inputs!$F$26)-BF7)/BF9)))</f>
        <v>1</v>
      </c>
      <c r="BG51" s="16" t="n">
        <f aca="false">IF(AND(BG23=1,BG8&lt;=Inputs!$F$31),0,1-MIN(1,MAX(0,(MIN(BG8,Inputs!$F$26)-BG7)/BG9)))</f>
        <v>1</v>
      </c>
      <c r="BH51" s="16" t="n">
        <f aca="false">IF(AND(BH23=1,BH8&lt;=Inputs!$F$31),0,1-MIN(1,MAX(0,(MIN(BH8,Inputs!$F$26)-BH7)/BH9)))</f>
        <v>1</v>
      </c>
      <c r="BI51" s="16" t="n">
        <f aca="false">IF(AND(BI23=1,BI8&lt;=Inputs!$F$31),0,1-MIN(1,MAX(0,(MIN(BI8,Inputs!$F$26)-BI7)/BI9)))</f>
        <v>1</v>
      </c>
      <c r="BJ51" s="16" t="n">
        <f aca="false">IF(AND(BJ23=1,BJ8&lt;=Inputs!$F$31),0,1-MIN(1,MAX(0,(MIN(BJ8,Inputs!$F$26)-BJ7)/BJ9)))</f>
        <v>1</v>
      </c>
      <c r="BK51" s="16" t="n">
        <f aca="false">IF(AND(BK23=1,BK8&lt;=Inputs!$F$31),0,1-MIN(1,MAX(0,(MIN(BK8,Inputs!$F$26)-BK7)/BK9)))</f>
        <v>1</v>
      </c>
      <c r="BL51" s="16" t="n">
        <f aca="false">IF(AND(BL23=1,BL8&lt;=Inputs!$F$31),0,1-MIN(1,MAX(0,(MIN(BL8,Inputs!$F$26)-BL7)/BL9)))</f>
        <v>1</v>
      </c>
      <c r="BM51" s="16" t="n">
        <f aca="false">IF(AND(BM23=1,BM8&lt;=Inputs!$F$31),0,1-MIN(1,MAX(0,(MIN(BM8,Inputs!$F$26)-BM7)/BM9)))</f>
        <v>1</v>
      </c>
      <c r="BN51" s="16" t="n">
        <f aca="false">IF(AND(BN23=1,BN8&lt;=Inputs!$F$31),0,1-MIN(1,MAX(0,(MIN(BN8,Inputs!$F$26)-BN7)/BN9)))</f>
        <v>1</v>
      </c>
      <c r="BO51" s="16" t="n">
        <f aca="false">IF(AND(BO23=1,BO8&lt;=Inputs!$F$31),0,1-MIN(1,MAX(0,(MIN(BO8,Inputs!$F$26)-BO7)/BO9)))</f>
        <v>1</v>
      </c>
      <c r="BP51" s="16" t="n">
        <f aca="false">IF(AND(BP23=1,BP8&lt;=Inputs!$F$31),0,1-MIN(1,MAX(0,(MIN(BP8,Inputs!$F$26)-BP7)/BP9)))</f>
        <v>1</v>
      </c>
      <c r="BQ51" s="16" t="n">
        <f aca="false">IF(AND(BQ23=1,BQ8&lt;=Inputs!$F$31),0,1-MIN(1,MAX(0,(MIN(BQ8,Inputs!$F$26)-BQ7)/BQ9)))</f>
        <v>1</v>
      </c>
      <c r="BR51" s="16" t="n">
        <f aca="false">IF(AND(BR23=1,BR8&lt;=Inputs!$F$31),0,1-MIN(1,MAX(0,(MIN(BR8,Inputs!$F$26)-BR7)/BR9)))</f>
        <v>1</v>
      </c>
      <c r="BS51" s="16" t="n">
        <f aca="false">IF(AND(BS23=1,BS8&lt;=Inputs!$F$31),0,1-MIN(1,MAX(0,(MIN(BS8,Inputs!$F$26)-BS7)/BS9)))</f>
        <v>1</v>
      </c>
      <c r="BT51" s="16" t="n">
        <f aca="false">IF(AND(BT23=1,BT8&lt;=Inputs!$F$31),0,1-MIN(1,MAX(0,(MIN(BT8,Inputs!$F$26)-BT7)/BT9)))</f>
        <v>1</v>
      </c>
      <c r="BU51" s="16" t="n">
        <f aca="false">IF(AND(BU23=1,BU8&lt;=Inputs!$F$31),0,1-MIN(1,MAX(0,(MIN(BU8,Inputs!$F$26)-BU7)/BU9)))</f>
        <v>1</v>
      </c>
      <c r="BV51" s="16" t="n">
        <f aca="false">IF(AND(BV23=1,BV8&lt;=Inputs!$F$31),0,1-MIN(1,MAX(0,(MIN(BV8,Inputs!$F$26)-BV7)/BV9)))</f>
        <v>1</v>
      </c>
      <c r="BW51" s="16" t="n">
        <f aca="false">IF(AND(BW23=1,BW8&lt;=Inputs!$F$31),0,1-MIN(1,MAX(0,(MIN(BW8,Inputs!$F$26)-BW7)/BW9)))</f>
        <v>1</v>
      </c>
      <c r="BX51" s="16" t="n">
        <f aca="false">IF(AND(BX23=1,BX8&lt;=Inputs!$F$31),0,1-MIN(1,MAX(0,(MIN(BX8,Inputs!$F$26)-BX7)/BX9)))</f>
        <v>1</v>
      </c>
      <c r="BY51" s="16" t="n">
        <f aca="false">IF(AND(BY23=1,BY8&lt;=Inputs!$F$31),0,1-MIN(1,MAX(0,(MIN(BY8,Inputs!$F$26)-BY7)/BY9)))</f>
        <v>1</v>
      </c>
      <c r="BZ51" s="16" t="n">
        <f aca="false">IF(AND(BZ23=1,BZ8&lt;=Inputs!$F$31),0,1-MIN(1,MAX(0,(MIN(BZ8,Inputs!$F$26)-BZ7)/BZ9)))</f>
        <v>1</v>
      </c>
      <c r="CA51" s="16" t="n">
        <f aca="false">IF(AND(CA23=1,CA8&lt;=Inputs!$F$31),0,1-MIN(1,MAX(0,(MIN(CA8,Inputs!$F$26)-CA7)/CA9)))</f>
        <v>1</v>
      </c>
      <c r="CB51" s="16" t="n">
        <f aca="false">IF(AND(CB23=1,CB8&lt;=Inputs!$F$31),0,1-MIN(1,MAX(0,(MIN(CB8,Inputs!$F$26)-CB7)/CB9)))</f>
        <v>1</v>
      </c>
      <c r="CC51" s="16" t="n">
        <f aca="false">IF(AND(CC23=1,CC8&lt;=Inputs!$F$31),0,1-MIN(1,MAX(0,(MIN(CC8,Inputs!$F$26)-CC7)/CC9)))</f>
        <v>1</v>
      </c>
      <c r="CD51" s="16" t="n">
        <f aca="false">IF(AND(CD23=1,CD8&lt;=Inputs!$F$31),0,1-MIN(1,MAX(0,(MIN(CD8,Inputs!$F$26)-CD7)/CD9)))</f>
        <v>1</v>
      </c>
      <c r="CE51" s="16" t="n">
        <f aca="false">IF(AND(CE23=1,CE8&lt;=Inputs!$F$31),0,1-MIN(1,MAX(0,(MIN(CE8,Inputs!$F$26)-CE7)/CE9)))</f>
        <v>1</v>
      </c>
      <c r="CF51" s="16" t="n">
        <f aca="false">IF(AND(CF23=1,CF8&lt;=Inputs!$F$31),0,1-MIN(1,MAX(0,(MIN(CF8,Inputs!$F$26)-CF7)/CF9)))</f>
        <v>1</v>
      </c>
      <c r="CG51" s="16" t="n">
        <f aca="false">IF(AND(CG23=1,CG8&lt;=Inputs!$F$31),0,1-MIN(1,MAX(0,(MIN(CG8,Inputs!$F$26)-CG7)/CG9)))</f>
        <v>1</v>
      </c>
      <c r="CH51" s="16" t="n">
        <f aca="false">IF(AND(CH23=1,CH8&lt;=Inputs!$F$31),0,1-MIN(1,MAX(0,(MIN(CH8,Inputs!$F$26)-CH7)/CH9)))</f>
        <v>1</v>
      </c>
      <c r="CI51" s="16" t="n">
        <f aca="false">IF(AND(CI23=1,CI8&lt;=Inputs!$F$31),0,1-MIN(1,MAX(0,(MIN(CI8,Inputs!$F$26)-CI7)/CI9)))</f>
        <v>1</v>
      </c>
      <c r="CJ51" s="16" t="n">
        <f aca="false">IF(AND(CJ23=1,CJ8&lt;=Inputs!$F$31),0,1-MIN(1,MAX(0,(MIN(CJ8,Inputs!$F$26)-CJ7)/CJ9)))</f>
        <v>1</v>
      </c>
      <c r="CK51" s="16" t="n">
        <f aca="false">IF(AND(CK23=1,CK8&lt;=Inputs!$F$31),0,1-MIN(1,MAX(0,(MIN(CK8,Inputs!$F$26)-CK7)/CK9)))</f>
        <v>1</v>
      </c>
      <c r="CL51" s="16" t="n">
        <f aca="false">IF(AND(CL23=1,CL8&lt;=Inputs!$F$31),0,1-MIN(1,MAX(0,(MIN(CL8,Inputs!$F$26)-CL7)/CL9)))</f>
        <v>1</v>
      </c>
      <c r="CM51" s="16" t="n">
        <f aca="false">IF(AND(CM23=1,CM8&lt;=Inputs!$F$31),0,1-MIN(1,MAX(0,(MIN(CM8,Inputs!$F$26)-CM7)/CM9)))</f>
        <v>1</v>
      </c>
      <c r="CN51" s="16" t="n">
        <f aca="false">IF(AND(CN23=1,CN8&lt;=Inputs!$F$31),0,1-MIN(1,MAX(0,(MIN(CN8,Inputs!$F$26)-CN7)/CN9)))</f>
        <v>1</v>
      </c>
      <c r="CO51" s="16" t="n">
        <f aca="false">IF(AND(CO23=1,CO8&lt;=Inputs!$F$31),0,1-MIN(1,MAX(0,(MIN(CO8,Inputs!$F$26)-CO7)/CO9)))</f>
        <v>1</v>
      </c>
      <c r="CP51" s="16" t="n">
        <f aca="false">IF(AND(CP23=1,CP8&lt;=Inputs!$F$31),0,1-MIN(1,MAX(0,(MIN(CP8,Inputs!$F$26)-CP7)/CP9)))</f>
        <v>1</v>
      </c>
      <c r="CQ51" s="16" t="n">
        <f aca="false">IF(AND(CQ23=1,CQ8&lt;=Inputs!$F$31),0,1-MIN(1,MAX(0,(MIN(CQ8,Inputs!$F$26)-CQ7)/CQ9)))</f>
        <v>1</v>
      </c>
      <c r="CR51" s="16" t="n">
        <f aca="false">IF(AND(CR23=1,CR8&lt;=Inputs!$F$31),0,1-MIN(1,MAX(0,(MIN(CR8,Inputs!$F$26)-CR7)/CR9)))</f>
        <v>1</v>
      </c>
      <c r="CS51" s="16" t="n">
        <f aca="false">IF(AND(CS23=1,CS8&lt;=Inputs!$F$31),0,1-MIN(1,MAX(0,(MIN(CS8,Inputs!$F$26)-CS7)/CS9)))</f>
        <v>1</v>
      </c>
      <c r="CT51" s="16" t="n">
        <f aca="false">IF(AND(CT23=1,CT8&lt;=Inputs!$F$31),0,1-MIN(1,MAX(0,(MIN(CT8,Inputs!$F$26)-CT7)/CT9)))</f>
        <v>1</v>
      </c>
      <c r="CU51" s="16" t="n">
        <f aca="false">IF(AND(CU23=1,CU8&lt;=Inputs!$F$31),0,1-MIN(1,MAX(0,(MIN(CU8,Inputs!$F$26)-CU7)/CU9)))</f>
        <v>1</v>
      </c>
      <c r="CV51" s="16" t="n">
        <f aca="false">IF(AND(CV23=1,CV8&lt;=Inputs!$F$31),0,1-MIN(1,MAX(0,(MIN(CV8,Inputs!$F$26)-CV7)/CV9)))</f>
        <v>1</v>
      </c>
      <c r="CW51" s="16" t="n">
        <f aca="false">IF(AND(CW23=1,CW8&lt;=Inputs!$F$31),0,1-MIN(1,MAX(0,(MIN(CW8,Inputs!$F$26)-CW7)/CW9)))</f>
        <v>1</v>
      </c>
      <c r="CX51" s="16" t="n">
        <f aca="false">IF(AND(CX23=1,CX8&lt;=Inputs!$F$31),0,1-MIN(1,MAX(0,(MIN(CX8,Inputs!$F$26)-CX7)/CX9)))</f>
        <v>1</v>
      </c>
      <c r="CY51" s="16" t="n">
        <f aca="false">IF(AND(CY23=1,CY8&lt;=Inputs!$F$31),0,1-MIN(1,MAX(0,(MIN(CY8,Inputs!$F$26)-CY7)/CY9)))</f>
        <v>1</v>
      </c>
      <c r="CZ51" s="16" t="n">
        <f aca="false">IF(AND(CZ23=1,CZ8&lt;=Inputs!$F$31),0,1-MIN(1,MAX(0,(MIN(CZ8,Inputs!$F$26)-CZ7)/CZ9)))</f>
        <v>1</v>
      </c>
      <c r="DA51" s="16" t="n">
        <f aca="false">IF(AND(DA23=1,DA8&lt;=Inputs!$F$31),0,1-MIN(1,MAX(0,(MIN(DA8,Inputs!$F$26)-DA7)/DA9)))</f>
        <v>1</v>
      </c>
      <c r="DB51" s="16" t="n">
        <f aca="false">IF(AND(DB23=1,DB8&lt;=Inputs!$F$31),0,1-MIN(1,MAX(0,(MIN(DB8,Inputs!$F$26)-DB7)/DB9)))</f>
        <v>1</v>
      </c>
    </row>
    <row r="52" customFormat="false" ht="15" hidden="false" customHeight="false" outlineLevel="0" collapsed="false">
      <c r="D52" s="0" t="s">
        <v>357</v>
      </c>
      <c r="E52" s="0" t="s">
        <v>42</v>
      </c>
      <c r="J52" s="14" t="n">
        <f aca="false">IF(AND(J8&gt;Inputs!$F$20,J43=1),1,0)</f>
        <v>0</v>
      </c>
      <c r="K52" s="14" t="n">
        <f aca="false">IF(AND(K8&gt;Inputs!$F$20,K43=1),1,0)</f>
        <v>0</v>
      </c>
      <c r="L52" s="14" t="n">
        <f aca="false">IF(AND(L8&gt;Inputs!$F$20,L43=1),1,0)</f>
        <v>0</v>
      </c>
      <c r="M52" s="14" t="n">
        <f aca="false">IF(AND(M8&gt;Inputs!$F$20,M43=1),1,0)</f>
        <v>0</v>
      </c>
      <c r="N52" s="14" t="n">
        <f aca="false">IF(AND(N8&gt;Inputs!$F$20,N43=1),1,0)</f>
        <v>0</v>
      </c>
      <c r="O52" s="14" t="n">
        <f aca="false">IF(AND(O8&gt;Inputs!$F$20,O43=1),1,0)</f>
        <v>0</v>
      </c>
      <c r="P52" s="14" t="n">
        <f aca="false">IF(AND(P8&gt;Inputs!$F$20,P43=1),1,0)</f>
        <v>0</v>
      </c>
      <c r="Q52" s="14" t="n">
        <f aca="false">IF(AND(Q8&gt;Inputs!$F$20,Q43=1),1,0)</f>
        <v>0</v>
      </c>
      <c r="R52" s="14" t="n">
        <f aca="false">IF(AND(R8&gt;Inputs!$F$20,R43=1),1,0)</f>
        <v>0</v>
      </c>
      <c r="S52" s="14" t="n">
        <f aca="false">IF(AND(S8&gt;Inputs!$F$20,S43=1),1,0)</f>
        <v>0</v>
      </c>
      <c r="T52" s="14" t="n">
        <f aca="false">IF(AND(T8&gt;Inputs!$F$20,T43=1),1,0)</f>
        <v>0</v>
      </c>
      <c r="U52" s="14" t="n">
        <f aca="false">IF(AND(U8&gt;Inputs!$F$20,U43=1),1,0)</f>
        <v>0</v>
      </c>
      <c r="V52" s="14" t="n">
        <f aca="false">IF(AND(V8&gt;Inputs!$F$20,V43=1),1,0)</f>
        <v>0</v>
      </c>
      <c r="W52" s="14" t="n">
        <f aca="false">IF(AND(W8&gt;Inputs!$F$20,W43=1),1,0)</f>
        <v>0</v>
      </c>
      <c r="X52" s="14" t="n">
        <f aca="false">IF(AND(X8&gt;Inputs!$F$20,X43=1),1,0)</f>
        <v>0</v>
      </c>
      <c r="Y52" s="14" t="n">
        <f aca="false">IF(AND(Y8&gt;Inputs!$F$20,Y43=1),1,0)</f>
        <v>0</v>
      </c>
      <c r="Z52" s="14" t="n">
        <f aca="false">IF(AND(Z8&gt;Inputs!$F$20,Z43=1),1,0)</f>
        <v>0</v>
      </c>
      <c r="AA52" s="14" t="n">
        <f aca="false">IF(AND(AA8&gt;Inputs!$F$20,AA43=1),1,0)</f>
        <v>0</v>
      </c>
      <c r="AB52" s="14" t="n">
        <f aca="false">IF(AND(AB8&gt;Inputs!$F$20,AB43=1),1,0)</f>
        <v>0</v>
      </c>
      <c r="AC52" s="14" t="n">
        <f aca="false">IF(AND(AC8&gt;Inputs!$F$20,AC43=1),1,0)</f>
        <v>0</v>
      </c>
      <c r="AD52" s="14" t="n">
        <f aca="false">IF(AND(AD8&gt;Inputs!$F$20,AD43=1),1,0)</f>
        <v>0</v>
      </c>
      <c r="AE52" s="14" t="n">
        <f aca="false">IF(AND(AE8&gt;Inputs!$F$20,AE43=1),1,0)</f>
        <v>0</v>
      </c>
      <c r="AF52" s="14" t="n">
        <f aca="false">IF(AND(AF8&gt;Inputs!$F$20,AF43=1),1,0)</f>
        <v>0</v>
      </c>
      <c r="AG52" s="14" t="n">
        <f aca="false">IF(AND(AG8&gt;Inputs!$F$20,AG43=1),1,0)</f>
        <v>0</v>
      </c>
      <c r="AH52" s="14" t="n">
        <f aca="false">IF(AND(AH8&gt;Inputs!$F$20,AH43=1),1,0)</f>
        <v>0</v>
      </c>
      <c r="AI52" s="14" t="n">
        <f aca="false">IF(AND(AI8&gt;Inputs!$F$20,AI43=1),1,0)</f>
        <v>0</v>
      </c>
      <c r="AJ52" s="14" t="n">
        <f aca="false">IF(AND(AJ8&gt;Inputs!$F$20,AJ43=1),1,0)</f>
        <v>1</v>
      </c>
      <c r="AK52" s="14" t="n">
        <f aca="false">IF(AND(AK8&gt;Inputs!$F$20,AK43=1),1,0)</f>
        <v>1</v>
      </c>
      <c r="AL52" s="14" t="n">
        <f aca="false">IF(AND(AL8&gt;Inputs!$F$20,AL43=1),1,0)</f>
        <v>1</v>
      </c>
      <c r="AM52" s="14" t="n">
        <f aca="false">IF(AND(AM8&gt;Inputs!$F$20,AM43=1),1,0)</f>
        <v>1</v>
      </c>
      <c r="AN52" s="14" t="n">
        <f aca="false">IF(AND(AN8&gt;Inputs!$F$20,AN43=1),1,0)</f>
        <v>1</v>
      </c>
      <c r="AO52" s="14" t="n">
        <f aca="false">IF(AND(AO8&gt;Inputs!$F$20,AO43=1),1,0)</f>
        <v>1</v>
      </c>
      <c r="AP52" s="14" t="n">
        <f aca="false">IF(AND(AP8&gt;Inputs!$F$20,AP43=1),1,0)</f>
        <v>1</v>
      </c>
      <c r="AQ52" s="14" t="n">
        <f aca="false">IF(AND(AQ8&gt;Inputs!$F$20,AQ43=1),1,0)</f>
        <v>1</v>
      </c>
      <c r="AR52" s="14" t="n">
        <f aca="false">IF(AND(AR8&gt;Inputs!$F$20,AR43=1),1,0)</f>
        <v>1</v>
      </c>
      <c r="AS52" s="14" t="n">
        <f aca="false">IF(AND(AS8&gt;Inputs!$F$20,AS43=1),1,0)</f>
        <v>1</v>
      </c>
      <c r="AT52" s="14" t="n">
        <f aca="false">IF(AND(AT8&gt;Inputs!$F$20,AT43=1),1,0)</f>
        <v>1</v>
      </c>
      <c r="AU52" s="14" t="n">
        <f aca="false">IF(AND(AU8&gt;Inputs!$F$20,AU43=1),1,0)</f>
        <v>1</v>
      </c>
      <c r="AV52" s="14" t="n">
        <f aca="false">IF(AND(AV8&gt;Inputs!$F$20,AV43=1),1,0)</f>
        <v>1</v>
      </c>
      <c r="AW52" s="14" t="n">
        <f aca="false">IF(AND(AW8&gt;Inputs!$F$20,AW43=1),1,0)</f>
        <v>1</v>
      </c>
      <c r="AX52" s="14" t="n">
        <f aca="false">IF(AND(AX8&gt;Inputs!$F$20,AX43=1),1,0)</f>
        <v>1</v>
      </c>
      <c r="AY52" s="14" t="n">
        <f aca="false">IF(AND(AY8&gt;Inputs!$F$20,AY43=1),1,0)</f>
        <v>1</v>
      </c>
      <c r="AZ52" s="14" t="n">
        <f aca="false">IF(AND(AZ8&gt;Inputs!$F$20,AZ43=1),1,0)</f>
        <v>1</v>
      </c>
      <c r="BA52" s="14" t="n">
        <f aca="false">IF(AND(BA8&gt;Inputs!$F$20,BA43=1),1,0)</f>
        <v>1</v>
      </c>
      <c r="BB52" s="14" t="n">
        <f aca="false">IF(AND(BB8&gt;Inputs!$F$20,BB43=1),1,0)</f>
        <v>1</v>
      </c>
      <c r="BC52" s="14" t="n">
        <f aca="false">IF(AND(BC8&gt;Inputs!$F$20,BC43=1),1,0)</f>
        <v>1</v>
      </c>
      <c r="BD52" s="14" t="n">
        <f aca="false">IF(AND(BD8&gt;Inputs!$F$20,BD43=1),1,0)</f>
        <v>1</v>
      </c>
      <c r="BE52" s="14" t="n">
        <f aca="false">IF(AND(BE8&gt;Inputs!$F$20,BE43=1),1,0)</f>
        <v>1</v>
      </c>
      <c r="BF52" s="14" t="n">
        <f aca="false">IF(AND(BF8&gt;Inputs!$F$20,BF43=1),1,0)</f>
        <v>1</v>
      </c>
      <c r="BG52" s="14" t="n">
        <f aca="false">IF(AND(BG8&gt;Inputs!$F$20,BG43=1),1,0)</f>
        <v>0</v>
      </c>
      <c r="BH52" s="14" t="n">
        <f aca="false">IF(AND(BH8&gt;Inputs!$F$20,BH43=1),1,0)</f>
        <v>0</v>
      </c>
      <c r="BI52" s="14" t="n">
        <f aca="false">IF(AND(BI8&gt;Inputs!$F$20,BI43=1),1,0)</f>
        <v>0</v>
      </c>
      <c r="BJ52" s="14" t="n">
        <f aca="false">IF(AND(BJ8&gt;Inputs!$F$20,BJ43=1),1,0)</f>
        <v>0</v>
      </c>
      <c r="BK52" s="14" t="n">
        <f aca="false">IF(AND(BK8&gt;Inputs!$F$20,BK43=1),1,0)</f>
        <v>0</v>
      </c>
      <c r="BL52" s="14" t="n">
        <f aca="false">IF(AND(BL8&gt;Inputs!$F$20,BL43=1),1,0)</f>
        <v>0</v>
      </c>
      <c r="BM52" s="14" t="n">
        <f aca="false">IF(AND(BM8&gt;Inputs!$F$20,BM43=1),1,0)</f>
        <v>0</v>
      </c>
      <c r="BN52" s="14" t="n">
        <f aca="false">IF(AND(BN8&gt;Inputs!$F$20,BN43=1),1,0)</f>
        <v>0</v>
      </c>
      <c r="BO52" s="14" t="n">
        <f aca="false">IF(AND(BO8&gt;Inputs!$F$20,BO43=1),1,0)</f>
        <v>0</v>
      </c>
      <c r="BP52" s="14" t="n">
        <f aca="false">IF(AND(BP8&gt;Inputs!$F$20,BP43=1),1,0)</f>
        <v>0</v>
      </c>
      <c r="BQ52" s="14" t="n">
        <f aca="false">IF(AND(BQ8&gt;Inputs!$F$20,BQ43=1),1,0)</f>
        <v>0</v>
      </c>
      <c r="BR52" s="14" t="n">
        <f aca="false">IF(AND(BR8&gt;Inputs!$F$20,BR43=1),1,0)</f>
        <v>0</v>
      </c>
      <c r="BS52" s="14" t="n">
        <f aca="false">IF(AND(BS8&gt;Inputs!$F$20,BS43=1),1,0)</f>
        <v>0</v>
      </c>
      <c r="BT52" s="14" t="n">
        <f aca="false">IF(AND(BT8&gt;Inputs!$F$20,BT43=1),1,0)</f>
        <v>0</v>
      </c>
      <c r="BU52" s="14" t="n">
        <f aca="false">IF(AND(BU8&gt;Inputs!$F$20,BU43=1),1,0)</f>
        <v>0</v>
      </c>
      <c r="BV52" s="14" t="n">
        <f aca="false">IF(AND(BV8&gt;Inputs!$F$20,BV43=1),1,0)</f>
        <v>0</v>
      </c>
      <c r="BW52" s="14" t="n">
        <f aca="false">IF(AND(BW8&gt;Inputs!$F$20,BW43=1),1,0)</f>
        <v>0</v>
      </c>
      <c r="BX52" s="14" t="n">
        <f aca="false">IF(AND(BX8&gt;Inputs!$F$20,BX43=1),1,0)</f>
        <v>0</v>
      </c>
      <c r="BY52" s="14" t="n">
        <f aca="false">IF(AND(BY8&gt;Inputs!$F$20,BY43=1),1,0)</f>
        <v>0</v>
      </c>
      <c r="BZ52" s="14" t="n">
        <f aca="false">IF(AND(BZ8&gt;Inputs!$F$20,BZ43=1),1,0)</f>
        <v>0</v>
      </c>
      <c r="CA52" s="14" t="n">
        <f aca="false">IF(AND(CA8&gt;Inputs!$F$20,CA43=1),1,0)</f>
        <v>0</v>
      </c>
      <c r="CB52" s="14" t="n">
        <f aca="false">IF(AND(CB8&gt;Inputs!$F$20,CB43=1),1,0)</f>
        <v>0</v>
      </c>
      <c r="CC52" s="14" t="n">
        <f aca="false">IF(AND(CC8&gt;Inputs!$F$20,CC43=1),1,0)</f>
        <v>0</v>
      </c>
      <c r="CD52" s="14" t="n">
        <f aca="false">IF(AND(CD8&gt;Inputs!$F$20,CD43=1),1,0)</f>
        <v>0</v>
      </c>
      <c r="CE52" s="14" t="n">
        <f aca="false">IF(AND(CE8&gt;Inputs!$F$20,CE43=1),1,0)</f>
        <v>0</v>
      </c>
      <c r="CF52" s="14" t="n">
        <f aca="false">IF(AND(CF8&gt;Inputs!$F$20,CF43=1),1,0)</f>
        <v>0</v>
      </c>
      <c r="CG52" s="14" t="n">
        <f aca="false">IF(AND(CG8&gt;Inputs!$F$20,CG43=1),1,0)</f>
        <v>0</v>
      </c>
      <c r="CH52" s="14" t="n">
        <f aca="false">IF(AND(CH8&gt;Inputs!$F$20,CH43=1),1,0)</f>
        <v>0</v>
      </c>
      <c r="CI52" s="14" t="n">
        <f aca="false">IF(AND(CI8&gt;Inputs!$F$20,CI43=1),1,0)</f>
        <v>0</v>
      </c>
      <c r="CJ52" s="14" t="n">
        <f aca="false">IF(AND(CJ8&gt;Inputs!$F$20,CJ43=1),1,0)</f>
        <v>0</v>
      </c>
      <c r="CK52" s="14" t="n">
        <f aca="false">IF(AND(CK8&gt;Inputs!$F$20,CK43=1),1,0)</f>
        <v>0</v>
      </c>
      <c r="CL52" s="14" t="n">
        <f aca="false">IF(AND(CL8&gt;Inputs!$F$20,CL43=1),1,0)</f>
        <v>0</v>
      </c>
      <c r="CM52" s="14" t="n">
        <f aca="false">IF(AND(CM8&gt;Inputs!$F$20,CM43=1),1,0)</f>
        <v>0</v>
      </c>
      <c r="CN52" s="14" t="n">
        <f aca="false">IF(AND(CN8&gt;Inputs!$F$20,CN43=1),1,0)</f>
        <v>0</v>
      </c>
      <c r="CO52" s="14" t="n">
        <f aca="false">IF(AND(CO8&gt;Inputs!$F$20,CO43=1),1,0)</f>
        <v>0</v>
      </c>
      <c r="CP52" s="14" t="n">
        <f aca="false">IF(AND(CP8&gt;Inputs!$F$20,CP43=1),1,0)</f>
        <v>0</v>
      </c>
      <c r="CQ52" s="14" t="n">
        <f aca="false">IF(AND(CQ8&gt;Inputs!$F$20,CQ43=1),1,0)</f>
        <v>0</v>
      </c>
      <c r="CR52" s="14" t="n">
        <f aca="false">IF(AND(CR8&gt;Inputs!$F$20,CR43=1),1,0)</f>
        <v>0</v>
      </c>
      <c r="CS52" s="14" t="n">
        <f aca="false">IF(AND(CS8&gt;Inputs!$F$20,CS43=1),1,0)</f>
        <v>0</v>
      </c>
      <c r="CT52" s="14" t="n">
        <f aca="false">IF(AND(CT8&gt;Inputs!$F$20,CT43=1),1,0)</f>
        <v>0</v>
      </c>
      <c r="CU52" s="14" t="n">
        <f aca="false">IF(AND(CU8&gt;Inputs!$F$20,CU43=1),1,0)</f>
        <v>0</v>
      </c>
      <c r="CV52" s="14" t="n">
        <f aca="false">IF(AND(CV8&gt;Inputs!$F$20,CV43=1),1,0)</f>
        <v>0</v>
      </c>
      <c r="CW52" s="14" t="n">
        <f aca="false">IF(AND(CW8&gt;Inputs!$F$20,CW43=1),1,0)</f>
        <v>0</v>
      </c>
      <c r="CX52" s="14" t="n">
        <f aca="false">IF(AND(CX8&gt;Inputs!$F$20,CX43=1),1,0)</f>
        <v>0</v>
      </c>
      <c r="CY52" s="14" t="n">
        <f aca="false">IF(AND(CY8&gt;Inputs!$F$20,CY43=1),1,0)</f>
        <v>0</v>
      </c>
      <c r="CZ52" s="14" t="n">
        <f aca="false">IF(AND(CZ8&gt;Inputs!$F$20,CZ43=1),1,0)</f>
        <v>0</v>
      </c>
      <c r="DA52" s="14" t="n">
        <f aca="false">IF(AND(DA8&gt;Inputs!$F$20,DA43=1),1,0)</f>
        <v>0</v>
      </c>
      <c r="DB52" s="14" t="n">
        <f aca="false">IF(AND(DB8&gt;Inputs!$F$20,DB43=1),1,0)</f>
        <v>0</v>
      </c>
    </row>
    <row r="53" customFormat="false" ht="15" hidden="false" customHeight="false" outlineLevel="0" collapsed="false">
      <c r="D53" s="3" t="s">
        <v>358</v>
      </c>
    </row>
    <row r="54" customFormat="false" ht="15" hidden="false" customHeight="false" outlineLevel="0" collapsed="false">
      <c r="D54" s="0" t="s">
        <v>359</v>
      </c>
      <c r="E54" s="0" t="s">
        <v>135</v>
      </c>
      <c r="J54" s="18" t="n">
        <f aca="false">IFERROR(INDEX(Inputs!$J$259:$AG$259,MATCH(J13,Inputs!$J$258:$AG$258,0)),Inputs!$F$260)</f>
        <v>2.31</v>
      </c>
      <c r="K54" s="18" t="n">
        <f aca="false">IFERROR(INDEX(Inputs!$J$259:$AG$259,MATCH(K13,Inputs!$J$258:$AG$258,0)),Inputs!$F$260)</f>
        <v>2.18</v>
      </c>
      <c r="L54" s="18" t="n">
        <f aca="false">IFERROR(INDEX(Inputs!$J$259:$AG$259,MATCH(L13,Inputs!$J$258:$AG$258,0)),Inputs!$F$260)</f>
        <v>2.18</v>
      </c>
      <c r="M54" s="18" t="n">
        <f aca="false">IFERROR(INDEX(Inputs!$J$259:$AG$259,MATCH(M13,Inputs!$J$258:$AG$258,0)),Inputs!$F$260)</f>
        <v>2.02</v>
      </c>
      <c r="N54" s="18" t="n">
        <f aca="false">IFERROR(INDEX(Inputs!$J$259:$AG$259,MATCH(N13,Inputs!$J$258:$AG$258,0)),Inputs!$F$260)</f>
        <v>2.02</v>
      </c>
      <c r="O54" s="18" t="n">
        <f aca="false">IFERROR(INDEX(Inputs!$J$259:$AG$259,MATCH(O13,Inputs!$J$258:$AG$258,0)),Inputs!$F$260)</f>
        <v>1.84</v>
      </c>
      <c r="P54" s="18" t="n">
        <f aca="false">IFERROR(INDEX(Inputs!$J$259:$AG$259,MATCH(P13,Inputs!$J$258:$AG$258,0)),Inputs!$F$260)</f>
        <v>1.84</v>
      </c>
      <c r="Q54" s="18" t="n">
        <f aca="false">IFERROR(INDEX(Inputs!$J$259:$AG$259,MATCH(Q13,Inputs!$J$258:$AG$258,0)),Inputs!$F$260)</f>
        <v>1.79</v>
      </c>
      <c r="R54" s="18" t="n">
        <f aca="false">IFERROR(INDEX(Inputs!$J$259:$AG$259,MATCH(R13,Inputs!$J$258:$AG$258,0)),Inputs!$F$260)</f>
        <v>1.79</v>
      </c>
      <c r="S54" s="18" t="n">
        <f aca="false">IFERROR(INDEX(Inputs!$J$259:$AG$259,MATCH(S13,Inputs!$J$258:$AG$258,0)),Inputs!$F$260)</f>
        <v>1.77</v>
      </c>
      <c r="T54" s="18" t="n">
        <f aca="false">IFERROR(INDEX(Inputs!$J$259:$AG$259,MATCH(T13,Inputs!$J$258:$AG$258,0)),Inputs!$F$260)</f>
        <v>1.77</v>
      </c>
      <c r="U54" s="18" t="n">
        <f aca="false">IFERROR(INDEX(Inputs!$J$259:$AG$259,MATCH(U13,Inputs!$J$258:$AG$258,0)),Inputs!$F$260)</f>
        <v>1.94</v>
      </c>
      <c r="V54" s="18" t="n">
        <f aca="false">IFERROR(INDEX(Inputs!$J$259:$AG$259,MATCH(V13,Inputs!$J$258:$AG$258,0)),Inputs!$F$260)</f>
        <v>1.94</v>
      </c>
      <c r="W54" s="18" t="n">
        <f aca="false">IFERROR(INDEX(Inputs!$J$259:$AG$259,MATCH(W13,Inputs!$J$258:$AG$258,0)),Inputs!$F$260)</f>
        <v>1.98</v>
      </c>
      <c r="X54" s="18" t="n">
        <f aca="false">IFERROR(INDEX(Inputs!$J$259:$AG$259,MATCH(X13,Inputs!$J$258:$AG$258,0)),Inputs!$F$260)</f>
        <v>1.98</v>
      </c>
      <c r="Y54" s="18" t="n">
        <f aca="false">IFERROR(INDEX(Inputs!$J$259:$AG$259,MATCH(Y13,Inputs!$J$258:$AG$258,0)),Inputs!$F$260)</f>
        <v>1.66</v>
      </c>
      <c r="Z54" s="18" t="n">
        <f aca="false">IFERROR(INDEX(Inputs!$J$259:$AG$259,MATCH(Z13,Inputs!$J$258:$AG$258,0)),Inputs!$F$260)</f>
        <v>1.66</v>
      </c>
      <c r="AA54" s="18" t="n">
        <f aca="false">IFERROR(INDEX(Inputs!$J$259:$AG$259,MATCH(AA13,Inputs!$J$258:$AG$258,0)),Inputs!$F$260)</f>
        <v>0.92</v>
      </c>
      <c r="AB54" s="18" t="n">
        <f aca="false">IFERROR(INDEX(Inputs!$J$259:$AG$259,MATCH(AB13,Inputs!$J$258:$AG$258,0)),Inputs!$F$260)</f>
        <v>0.41</v>
      </c>
      <c r="AC54" s="18" t="n">
        <f aca="false">IFERROR(INDEX(Inputs!$J$259:$AG$259,MATCH(AC13,Inputs!$J$258:$AG$258,0)),Inputs!$F$260)</f>
        <v>0.11</v>
      </c>
      <c r="AD54" s="18" t="n">
        <f aca="false">IFERROR(INDEX(Inputs!$J$259:$AG$259,MATCH(AD13,Inputs!$J$258:$AG$258,0)),Inputs!$F$260)</f>
        <v>0.06</v>
      </c>
      <c r="AE54" s="18" t="n">
        <f aca="false">IFERROR(INDEX(Inputs!$J$259:$AG$259,MATCH(AE13,Inputs!$J$258:$AG$258,0)),Inputs!$F$260)</f>
        <v>0.07</v>
      </c>
      <c r="AF54" s="18" t="n">
        <f aca="false">IFERROR(INDEX(Inputs!$J$259:$AG$259,MATCH(AF13,Inputs!$J$258:$AG$258,0)),Inputs!$F$260)</f>
        <v>0.95</v>
      </c>
      <c r="AG54" s="18" t="n">
        <f aca="false">IFERROR(INDEX(Inputs!$J$259:$AG$259,MATCH(AG13,Inputs!$J$258:$AG$258,0)),Inputs!$F$260)</f>
        <v>3.06</v>
      </c>
      <c r="AH54" s="18" t="n">
        <f aca="false">IFERROR(INDEX(Inputs!$J$259:$AG$259,MATCH(AH13,Inputs!$J$258:$AG$258,0)),Inputs!$F$260)</f>
        <v>3.96</v>
      </c>
      <c r="AI54" s="18" t="n">
        <f aca="false">IFERROR(INDEX(Inputs!$J$259:$AG$259,MATCH(AI13,Inputs!$J$258:$AG$258,0)),Inputs!$F$260)</f>
        <v>4.38</v>
      </c>
      <c r="AJ54" s="18" t="n">
        <f aca="false">IFERROR(INDEX(Inputs!$J$259:$AG$259,MATCH(AJ13,Inputs!$J$258:$AG$258,0)),Inputs!$F$260)</f>
        <v>4.41</v>
      </c>
      <c r="AK54" s="18" t="n">
        <f aca="false">IFERROR(INDEX(Inputs!$J$259:$AG$259,MATCH(AK13,Inputs!$J$258:$AG$258,0)),Inputs!$F$260)</f>
        <v>4.37</v>
      </c>
      <c r="AL54" s="18" t="n">
        <f aca="false">IFERROR(INDEX(Inputs!$J$259:$AG$259,MATCH(AL13,Inputs!$J$258:$AG$258,0)),Inputs!$F$260)</f>
        <v>4.02</v>
      </c>
      <c r="AM54" s="18" t="n">
        <f aca="false">IFERROR(INDEX(Inputs!$J$259:$AG$259,MATCH(AM13,Inputs!$J$258:$AG$258,0)),Inputs!$F$260)</f>
        <v>3.7</v>
      </c>
      <c r="AN54" s="18" t="n">
        <f aca="false">IFERROR(INDEX(Inputs!$J$259:$AG$259,MATCH(AN13,Inputs!$J$258:$AG$258,0)),Inputs!$F$260)</f>
        <v>3.62</v>
      </c>
      <c r="AO54" s="18" t="n">
        <f aca="false">IFERROR(INDEX(Inputs!$J$259:$AG$259,MATCH(AO13,Inputs!$J$258:$AG$258,0)),Inputs!$F$260)</f>
        <v>3.58</v>
      </c>
      <c r="AP54" s="18" t="n">
        <f aca="false">IFERROR(INDEX(Inputs!$J$259:$AG$259,MATCH(AP13,Inputs!$J$258:$AG$258,0)),Inputs!$F$260)</f>
        <v>3.5</v>
      </c>
      <c r="AQ54" s="18" t="n">
        <f aca="false">IFERROR(INDEX(Inputs!$J$259:$AG$259,MATCH(AQ13,Inputs!$J$258:$AG$258,0)),Inputs!$F$260)</f>
        <v>3.5</v>
      </c>
      <c r="AR54" s="18" t="n">
        <f aca="false">IFERROR(INDEX(Inputs!$J$259:$AG$259,MATCH(AR13,Inputs!$J$258:$AG$258,0)),Inputs!$F$260)</f>
        <v>3.5</v>
      </c>
      <c r="AS54" s="18" t="n">
        <f aca="false">IFERROR(INDEX(Inputs!$J$259:$AG$259,MATCH(AS13,Inputs!$J$258:$AG$258,0)),Inputs!$F$260)</f>
        <v>3.5</v>
      </c>
      <c r="AT54" s="18" t="n">
        <f aca="false">IFERROR(INDEX(Inputs!$J$259:$AG$259,MATCH(AT13,Inputs!$J$258:$AG$258,0)),Inputs!$F$260)</f>
        <v>3.5</v>
      </c>
      <c r="AU54" s="18" t="n">
        <f aca="false">IFERROR(INDEX(Inputs!$J$259:$AG$259,MATCH(AU13,Inputs!$J$258:$AG$258,0)),Inputs!$F$260)</f>
        <v>3.5</v>
      </c>
      <c r="AV54" s="18" t="n">
        <f aca="false">IFERROR(INDEX(Inputs!$J$259:$AG$259,MATCH(AV13,Inputs!$J$258:$AG$258,0)),Inputs!$F$260)</f>
        <v>3.5</v>
      </c>
      <c r="AW54" s="18" t="n">
        <f aca="false">IFERROR(INDEX(Inputs!$J$259:$AG$259,MATCH(AW13,Inputs!$J$258:$AG$258,0)),Inputs!$F$260)</f>
        <v>3.5</v>
      </c>
      <c r="AX54" s="18" t="n">
        <f aca="false">IFERROR(INDEX(Inputs!$J$259:$AG$259,MATCH(AX13,Inputs!$J$258:$AG$258,0)),Inputs!$F$260)</f>
        <v>3.5</v>
      </c>
      <c r="AY54" s="18" t="n">
        <f aca="false">IFERROR(INDEX(Inputs!$J$259:$AG$259,MATCH(AY13,Inputs!$J$258:$AG$258,0)),Inputs!$F$260)</f>
        <v>3.5</v>
      </c>
      <c r="AZ54" s="18" t="n">
        <f aca="false">IFERROR(INDEX(Inputs!$J$259:$AG$259,MATCH(AZ13,Inputs!$J$258:$AG$258,0)),Inputs!$F$260)</f>
        <v>3.5</v>
      </c>
      <c r="BA54" s="18" t="n">
        <f aca="false">IFERROR(INDEX(Inputs!$J$259:$AG$259,MATCH(BA13,Inputs!$J$258:$AG$258,0)),Inputs!$F$260)</f>
        <v>3.5</v>
      </c>
      <c r="BB54" s="18" t="n">
        <f aca="false">IFERROR(INDEX(Inputs!$J$259:$AG$259,MATCH(BB13,Inputs!$J$258:$AG$258,0)),Inputs!$F$260)</f>
        <v>3.5</v>
      </c>
      <c r="BC54" s="18" t="n">
        <f aca="false">IFERROR(INDEX(Inputs!$J$259:$AG$259,MATCH(BC13,Inputs!$J$258:$AG$258,0)),Inputs!$F$260)</f>
        <v>3.5</v>
      </c>
      <c r="BD54" s="18" t="n">
        <f aca="false">IFERROR(INDEX(Inputs!$J$259:$AG$259,MATCH(BD13,Inputs!$J$258:$AG$258,0)),Inputs!$F$260)</f>
        <v>3.5</v>
      </c>
      <c r="BE54" s="18" t="n">
        <f aca="false">IFERROR(INDEX(Inputs!$J$259:$AG$259,MATCH(BE13,Inputs!$J$258:$AG$258,0)),Inputs!$F$260)</f>
        <v>3.5</v>
      </c>
      <c r="BF54" s="18" t="n">
        <f aca="false">IFERROR(INDEX(Inputs!$J$259:$AG$259,MATCH(BF13,Inputs!$J$258:$AG$258,0)),Inputs!$F$260)</f>
        <v>3.5</v>
      </c>
      <c r="BG54" s="18" t="n">
        <f aca="false">IFERROR(INDEX(Inputs!$J$259:$AG$259,MATCH(BG13,Inputs!$J$258:$AG$258,0)),Inputs!$F$260)</f>
        <v>3.5</v>
      </c>
      <c r="BH54" s="18" t="n">
        <f aca="false">IFERROR(INDEX(Inputs!$J$259:$AG$259,MATCH(BH13,Inputs!$J$258:$AG$258,0)),Inputs!$F$260)</f>
        <v>3.5</v>
      </c>
      <c r="BI54" s="18" t="n">
        <f aca="false">IFERROR(INDEX(Inputs!$J$259:$AG$259,MATCH(BI13,Inputs!$J$258:$AG$258,0)),Inputs!$F$260)</f>
        <v>3.5</v>
      </c>
      <c r="BJ54" s="18" t="n">
        <f aca="false">IFERROR(INDEX(Inputs!$J$259:$AG$259,MATCH(BJ13,Inputs!$J$258:$AG$258,0)),Inputs!$F$260)</f>
        <v>3.5</v>
      </c>
      <c r="BK54" s="18" t="n">
        <f aca="false">IFERROR(INDEX(Inputs!$J$259:$AG$259,MATCH(BK13,Inputs!$J$258:$AG$258,0)),Inputs!$F$260)</f>
        <v>3.5</v>
      </c>
      <c r="BL54" s="18" t="n">
        <f aca="false">IFERROR(INDEX(Inputs!$J$259:$AG$259,MATCH(BL13,Inputs!$J$258:$AG$258,0)),Inputs!$F$260)</f>
        <v>3.5</v>
      </c>
      <c r="BM54" s="18" t="n">
        <f aca="false">IFERROR(INDEX(Inputs!$J$259:$AG$259,MATCH(BM13,Inputs!$J$258:$AG$258,0)),Inputs!$F$260)</f>
        <v>3.5</v>
      </c>
      <c r="BN54" s="18" t="n">
        <f aca="false">IFERROR(INDEX(Inputs!$J$259:$AG$259,MATCH(BN13,Inputs!$J$258:$AG$258,0)),Inputs!$F$260)</f>
        <v>3.5</v>
      </c>
      <c r="BO54" s="18" t="n">
        <f aca="false">IFERROR(INDEX(Inputs!$J$259:$AG$259,MATCH(BO13,Inputs!$J$258:$AG$258,0)),Inputs!$F$260)</f>
        <v>3.5</v>
      </c>
      <c r="BP54" s="18" t="n">
        <f aca="false">IFERROR(INDEX(Inputs!$J$259:$AG$259,MATCH(BP13,Inputs!$J$258:$AG$258,0)),Inputs!$F$260)</f>
        <v>3.5</v>
      </c>
      <c r="BQ54" s="18" t="n">
        <f aca="false">IFERROR(INDEX(Inputs!$J$259:$AG$259,MATCH(BQ13,Inputs!$J$258:$AG$258,0)),Inputs!$F$260)</f>
        <v>3.5</v>
      </c>
      <c r="BR54" s="18" t="n">
        <f aca="false">IFERROR(INDEX(Inputs!$J$259:$AG$259,MATCH(BR13,Inputs!$J$258:$AG$258,0)),Inputs!$F$260)</f>
        <v>3.5</v>
      </c>
      <c r="BS54" s="18" t="n">
        <f aca="false">IFERROR(INDEX(Inputs!$J$259:$AG$259,MATCH(BS13,Inputs!$J$258:$AG$258,0)),Inputs!$F$260)</f>
        <v>3.5</v>
      </c>
      <c r="BT54" s="18" t="n">
        <f aca="false">IFERROR(INDEX(Inputs!$J$259:$AG$259,MATCH(BT13,Inputs!$J$258:$AG$258,0)),Inputs!$F$260)</f>
        <v>3.5</v>
      </c>
      <c r="BU54" s="18" t="n">
        <f aca="false">IFERROR(INDEX(Inputs!$J$259:$AG$259,MATCH(BU13,Inputs!$J$258:$AG$258,0)),Inputs!$F$260)</f>
        <v>3.5</v>
      </c>
      <c r="BV54" s="18" t="n">
        <f aca="false">IFERROR(INDEX(Inputs!$J$259:$AG$259,MATCH(BV13,Inputs!$J$258:$AG$258,0)),Inputs!$F$260)</f>
        <v>3.5</v>
      </c>
      <c r="BW54" s="18" t="n">
        <f aca="false">IFERROR(INDEX(Inputs!$J$259:$AG$259,MATCH(BW13,Inputs!$J$258:$AG$258,0)),Inputs!$F$260)</f>
        <v>3.5</v>
      </c>
      <c r="BX54" s="18" t="n">
        <f aca="false">IFERROR(INDEX(Inputs!$J$259:$AG$259,MATCH(BX13,Inputs!$J$258:$AG$258,0)),Inputs!$F$260)</f>
        <v>3.5</v>
      </c>
      <c r="BY54" s="18" t="n">
        <f aca="false">IFERROR(INDEX(Inputs!$J$259:$AG$259,MATCH(BY13,Inputs!$J$258:$AG$258,0)),Inputs!$F$260)</f>
        <v>3.5</v>
      </c>
      <c r="BZ54" s="18" t="n">
        <f aca="false">IFERROR(INDEX(Inputs!$J$259:$AG$259,MATCH(BZ13,Inputs!$J$258:$AG$258,0)),Inputs!$F$260)</f>
        <v>3.5</v>
      </c>
      <c r="CA54" s="18" t="n">
        <f aca="false">IFERROR(INDEX(Inputs!$J$259:$AG$259,MATCH(CA13,Inputs!$J$258:$AG$258,0)),Inputs!$F$260)</f>
        <v>3.5</v>
      </c>
      <c r="CB54" s="18" t="n">
        <f aca="false">IFERROR(INDEX(Inputs!$J$259:$AG$259,MATCH(CB13,Inputs!$J$258:$AG$258,0)),Inputs!$F$260)</f>
        <v>3.5</v>
      </c>
      <c r="CC54" s="18" t="n">
        <f aca="false">IFERROR(INDEX(Inputs!$J$259:$AG$259,MATCH(CC13,Inputs!$J$258:$AG$258,0)),Inputs!$F$260)</f>
        <v>3.5</v>
      </c>
      <c r="CD54" s="18" t="n">
        <f aca="false">IFERROR(INDEX(Inputs!$J$259:$AG$259,MATCH(CD13,Inputs!$J$258:$AG$258,0)),Inputs!$F$260)</f>
        <v>3.5</v>
      </c>
      <c r="CE54" s="18" t="n">
        <f aca="false">IFERROR(INDEX(Inputs!$J$259:$AG$259,MATCH(CE13,Inputs!$J$258:$AG$258,0)),Inputs!$F$260)</f>
        <v>3.5</v>
      </c>
      <c r="CF54" s="18" t="n">
        <f aca="false">IFERROR(INDEX(Inputs!$J$259:$AG$259,MATCH(CF13,Inputs!$J$258:$AG$258,0)),Inputs!$F$260)</f>
        <v>3.5</v>
      </c>
      <c r="CG54" s="18" t="n">
        <f aca="false">IFERROR(INDEX(Inputs!$J$259:$AG$259,MATCH(CG13,Inputs!$J$258:$AG$258,0)),Inputs!$F$260)</f>
        <v>3.5</v>
      </c>
      <c r="CH54" s="18" t="n">
        <f aca="false">IFERROR(INDEX(Inputs!$J$259:$AG$259,MATCH(CH13,Inputs!$J$258:$AG$258,0)),Inputs!$F$260)</f>
        <v>3.5</v>
      </c>
      <c r="CI54" s="18" t="n">
        <f aca="false">IFERROR(INDEX(Inputs!$J$259:$AG$259,MATCH(CI13,Inputs!$J$258:$AG$258,0)),Inputs!$F$260)</f>
        <v>3.5</v>
      </c>
      <c r="CJ54" s="18" t="n">
        <f aca="false">IFERROR(INDEX(Inputs!$J$259:$AG$259,MATCH(CJ13,Inputs!$J$258:$AG$258,0)),Inputs!$F$260)</f>
        <v>3.5</v>
      </c>
      <c r="CK54" s="18" t="n">
        <f aca="false">IFERROR(INDEX(Inputs!$J$259:$AG$259,MATCH(CK13,Inputs!$J$258:$AG$258,0)),Inputs!$F$260)</f>
        <v>3.5</v>
      </c>
      <c r="CL54" s="18" t="n">
        <f aca="false">IFERROR(INDEX(Inputs!$J$259:$AG$259,MATCH(CL13,Inputs!$J$258:$AG$258,0)),Inputs!$F$260)</f>
        <v>3.5</v>
      </c>
      <c r="CM54" s="18" t="n">
        <f aca="false">IFERROR(INDEX(Inputs!$J$259:$AG$259,MATCH(CM13,Inputs!$J$258:$AG$258,0)),Inputs!$F$260)</f>
        <v>3.5</v>
      </c>
      <c r="CN54" s="18" t="n">
        <f aca="false">IFERROR(INDEX(Inputs!$J$259:$AG$259,MATCH(CN13,Inputs!$J$258:$AG$258,0)),Inputs!$F$260)</f>
        <v>3.5</v>
      </c>
      <c r="CO54" s="18" t="n">
        <f aca="false">IFERROR(INDEX(Inputs!$J$259:$AG$259,MATCH(CO13,Inputs!$J$258:$AG$258,0)),Inputs!$F$260)</f>
        <v>3.5</v>
      </c>
      <c r="CP54" s="18" t="n">
        <f aca="false">IFERROR(INDEX(Inputs!$J$259:$AG$259,MATCH(CP13,Inputs!$J$258:$AG$258,0)),Inputs!$F$260)</f>
        <v>3.5</v>
      </c>
      <c r="CQ54" s="18" t="n">
        <f aca="false">IFERROR(INDEX(Inputs!$J$259:$AG$259,MATCH(CQ13,Inputs!$J$258:$AG$258,0)),Inputs!$F$260)</f>
        <v>3.5</v>
      </c>
      <c r="CR54" s="18" t="n">
        <f aca="false">IFERROR(INDEX(Inputs!$J$259:$AG$259,MATCH(CR13,Inputs!$J$258:$AG$258,0)),Inputs!$F$260)</f>
        <v>3.5</v>
      </c>
      <c r="CS54" s="18" t="n">
        <f aca="false">IFERROR(INDEX(Inputs!$J$259:$AG$259,MATCH(CS13,Inputs!$J$258:$AG$258,0)),Inputs!$F$260)</f>
        <v>3.5</v>
      </c>
      <c r="CT54" s="18" t="n">
        <f aca="false">IFERROR(INDEX(Inputs!$J$259:$AG$259,MATCH(CT13,Inputs!$J$258:$AG$258,0)),Inputs!$F$260)</f>
        <v>3.5</v>
      </c>
      <c r="CU54" s="18" t="n">
        <f aca="false">IFERROR(INDEX(Inputs!$J$259:$AG$259,MATCH(CU13,Inputs!$J$258:$AG$258,0)),Inputs!$F$260)</f>
        <v>3.5</v>
      </c>
      <c r="CV54" s="18" t="n">
        <f aca="false">IFERROR(INDEX(Inputs!$J$259:$AG$259,MATCH(CV13,Inputs!$J$258:$AG$258,0)),Inputs!$F$260)</f>
        <v>3.5</v>
      </c>
      <c r="CW54" s="18" t="n">
        <f aca="false">IFERROR(INDEX(Inputs!$J$259:$AG$259,MATCH(CW13,Inputs!$J$258:$AG$258,0)),Inputs!$F$260)</f>
        <v>3.5</v>
      </c>
      <c r="CX54" s="18" t="n">
        <f aca="false">IFERROR(INDEX(Inputs!$J$259:$AG$259,MATCH(CX13,Inputs!$J$258:$AG$258,0)),Inputs!$F$260)</f>
        <v>3.5</v>
      </c>
      <c r="CY54" s="18" t="n">
        <f aca="false">IFERROR(INDEX(Inputs!$J$259:$AG$259,MATCH(CY13,Inputs!$J$258:$AG$258,0)),Inputs!$F$260)</f>
        <v>3.5</v>
      </c>
      <c r="CZ54" s="18" t="n">
        <f aca="false">IFERROR(INDEX(Inputs!$J$259:$AG$259,MATCH(CZ13,Inputs!$J$258:$AG$258,0)),Inputs!$F$260)</f>
        <v>3.5</v>
      </c>
      <c r="DA54" s="18" t="n">
        <f aca="false">IFERROR(INDEX(Inputs!$J$259:$AG$259,MATCH(DA13,Inputs!$J$258:$AG$258,0)),Inputs!$F$260)</f>
        <v>3.5</v>
      </c>
      <c r="DB54" s="18" t="n">
        <f aca="false">IFERROR(INDEX(Inputs!$J$259:$AG$259,MATCH(DB13,Inputs!$J$258:$AG$258,0)),Inputs!$F$260)</f>
        <v>3.5</v>
      </c>
    </row>
    <row r="55" customFormat="false" ht="15" hidden="false" customHeight="false" outlineLevel="0" collapsed="false">
      <c r="D55" s="0" t="s">
        <v>360</v>
      </c>
      <c r="E55" s="0" t="s">
        <v>135</v>
      </c>
      <c r="J55" s="18" t="n">
        <f aca="false">IF(Inputs!$F$216=1,INDEX(Inputs!$J$257:$BE$257,MATCH(J11,Inputs!$J$255:$BE$255,0)),INDEX(Inputs!$J$256:$BE$256,MATCH(J11,Inputs!$J$255:$BE$255,0)))</f>
        <v>2.5</v>
      </c>
      <c r="K55" s="18" t="n">
        <f aca="false">IF(Inputs!$F$216=1,INDEX(Inputs!$J$257:$BE$257,MATCH(K11,Inputs!$J$255:$BE$255,0)),INDEX(Inputs!$J$256:$BE$256,MATCH(K11,Inputs!$J$255:$BE$255,0)))</f>
        <v>2.5</v>
      </c>
      <c r="L55" s="18" t="n">
        <f aca="false">IF(Inputs!$F$216=1,INDEX(Inputs!$J$257:$BE$257,MATCH(L11,Inputs!$J$255:$BE$255,0)),INDEX(Inputs!$J$256:$BE$256,MATCH(L11,Inputs!$J$255:$BE$255,0)))</f>
        <v>2.5</v>
      </c>
      <c r="M55" s="18" t="n">
        <f aca="false">IF(Inputs!$F$216=1,INDEX(Inputs!$J$257:$BE$257,MATCH(M11,Inputs!$J$255:$BE$255,0)),INDEX(Inputs!$J$256:$BE$256,MATCH(M11,Inputs!$J$255:$BE$255,0)))</f>
        <v>2.5</v>
      </c>
      <c r="N55" s="18" t="n">
        <f aca="false">IF(Inputs!$F$216=1,INDEX(Inputs!$J$257:$BE$257,MATCH(N11,Inputs!$J$255:$BE$255,0)),INDEX(Inputs!$J$256:$BE$256,MATCH(N11,Inputs!$J$255:$BE$255,0)))</f>
        <v>2.5</v>
      </c>
      <c r="O55" s="18" t="n">
        <f aca="false">IF(Inputs!$F$216=1,INDEX(Inputs!$J$257:$BE$257,MATCH(O11,Inputs!$J$255:$BE$255,0)),INDEX(Inputs!$J$256:$BE$256,MATCH(O11,Inputs!$J$255:$BE$255,0)))</f>
        <v>2.5</v>
      </c>
      <c r="P55" s="18" t="n">
        <f aca="false">IF(Inputs!$F$216=1,INDEX(Inputs!$J$257:$BE$257,MATCH(P11,Inputs!$J$255:$BE$255,0)),INDEX(Inputs!$J$256:$BE$256,MATCH(P11,Inputs!$J$255:$BE$255,0)))</f>
        <v>2.5</v>
      </c>
      <c r="Q55" s="18" t="n">
        <f aca="false">IF(Inputs!$F$216=1,INDEX(Inputs!$J$257:$BE$257,MATCH(Q11,Inputs!$J$255:$BE$255,0)),INDEX(Inputs!$J$256:$BE$256,MATCH(Q11,Inputs!$J$255:$BE$255,0)))</f>
        <v>2.5</v>
      </c>
      <c r="R55" s="18" t="n">
        <f aca="false">IF(Inputs!$F$216=1,INDEX(Inputs!$J$257:$BE$257,MATCH(R11,Inputs!$J$255:$BE$255,0)),INDEX(Inputs!$J$256:$BE$256,MATCH(R11,Inputs!$J$255:$BE$255,0)))</f>
        <v>2.5</v>
      </c>
      <c r="S55" s="18" t="n">
        <f aca="false">IF(Inputs!$F$216=1,INDEX(Inputs!$J$257:$BE$257,MATCH(S11,Inputs!$J$255:$BE$255,0)),INDEX(Inputs!$J$256:$BE$256,MATCH(S11,Inputs!$J$255:$BE$255,0)))</f>
        <v>2.5</v>
      </c>
      <c r="T55" s="18" t="n">
        <f aca="false">IF(Inputs!$F$216=1,INDEX(Inputs!$J$257:$BE$257,MATCH(T11,Inputs!$J$255:$BE$255,0)),INDEX(Inputs!$J$256:$BE$256,MATCH(T11,Inputs!$J$255:$BE$255,0)))</f>
        <v>2.5</v>
      </c>
      <c r="U55" s="18" t="n">
        <f aca="false">IF(Inputs!$F$216=1,INDEX(Inputs!$J$257:$BE$257,MATCH(U11,Inputs!$J$255:$BE$255,0)),INDEX(Inputs!$J$256:$BE$256,MATCH(U11,Inputs!$J$255:$BE$255,0)))</f>
        <v>2.5</v>
      </c>
      <c r="V55" s="18" t="n">
        <f aca="false">IF(Inputs!$F$216=1,INDEX(Inputs!$J$257:$BE$257,MATCH(V11,Inputs!$J$255:$BE$255,0)),INDEX(Inputs!$J$256:$BE$256,MATCH(V11,Inputs!$J$255:$BE$255,0)))</f>
        <v>2.5</v>
      </c>
      <c r="W55" s="18" t="n">
        <f aca="false">IF(Inputs!$F$216=1,INDEX(Inputs!$J$257:$BE$257,MATCH(W11,Inputs!$J$255:$BE$255,0)),INDEX(Inputs!$J$256:$BE$256,MATCH(W11,Inputs!$J$255:$BE$255,0)))</f>
        <v>2.5</v>
      </c>
      <c r="X55" s="18" t="n">
        <f aca="false">IF(Inputs!$F$216=1,INDEX(Inputs!$J$257:$BE$257,MATCH(X11,Inputs!$J$255:$BE$255,0)),INDEX(Inputs!$J$256:$BE$256,MATCH(X11,Inputs!$J$255:$BE$255,0)))</f>
        <v>2.5</v>
      </c>
      <c r="Y55" s="18" t="n">
        <f aca="false">IF(Inputs!$F$216=1,INDEX(Inputs!$J$257:$BE$257,MATCH(Y11,Inputs!$J$255:$BE$255,0)),INDEX(Inputs!$J$256:$BE$256,MATCH(Y11,Inputs!$J$255:$BE$255,0)))</f>
        <v>2.5</v>
      </c>
      <c r="Z55" s="18" t="n">
        <f aca="false">IF(Inputs!$F$216=1,INDEX(Inputs!$J$257:$BE$257,MATCH(Z11,Inputs!$J$255:$BE$255,0)),INDEX(Inputs!$J$256:$BE$256,MATCH(Z11,Inputs!$J$255:$BE$255,0)))</f>
        <v>2.5</v>
      </c>
      <c r="AA55" s="18" t="n">
        <f aca="false">IF(Inputs!$F$216=1,INDEX(Inputs!$J$257:$BE$257,MATCH(AA11,Inputs!$J$255:$BE$255,0)),INDEX(Inputs!$J$256:$BE$256,MATCH(AA11,Inputs!$J$255:$BE$255,0)))</f>
        <v>2.5</v>
      </c>
      <c r="AB55" s="18" t="n">
        <f aca="false">IF(Inputs!$F$216=1,INDEX(Inputs!$J$257:$BE$257,MATCH(AB11,Inputs!$J$255:$BE$255,0)),INDEX(Inputs!$J$256:$BE$256,MATCH(AB11,Inputs!$J$255:$BE$255,0)))</f>
        <v>2.5</v>
      </c>
      <c r="AC55" s="18" t="n">
        <f aca="false">IF(Inputs!$F$216=1,INDEX(Inputs!$J$257:$BE$257,MATCH(AC11,Inputs!$J$255:$BE$255,0)),INDEX(Inputs!$J$256:$BE$256,MATCH(AC11,Inputs!$J$255:$BE$255,0)))</f>
        <v>2.5</v>
      </c>
      <c r="AD55" s="18" t="n">
        <f aca="false">IF(Inputs!$F$216=1,INDEX(Inputs!$J$257:$BE$257,MATCH(AD11,Inputs!$J$255:$BE$255,0)),INDEX(Inputs!$J$256:$BE$256,MATCH(AD11,Inputs!$J$255:$BE$255,0)))</f>
        <v>2.5</v>
      </c>
      <c r="AE55" s="18" t="n">
        <f aca="false">IF(Inputs!$F$216=1,INDEX(Inputs!$J$257:$BE$257,MATCH(AE11,Inputs!$J$255:$BE$255,0)),INDEX(Inputs!$J$256:$BE$256,MATCH(AE11,Inputs!$J$255:$BE$255,0)))</f>
        <v>2.5</v>
      </c>
      <c r="AF55" s="18" t="n">
        <f aca="false">IF(Inputs!$F$216=1,INDEX(Inputs!$J$257:$BE$257,MATCH(AF11,Inputs!$J$255:$BE$255,0)),INDEX(Inputs!$J$256:$BE$256,MATCH(AF11,Inputs!$J$255:$BE$255,0)))</f>
        <v>2.5</v>
      </c>
      <c r="AG55" s="18" t="n">
        <f aca="false">IF(Inputs!$F$216=1,INDEX(Inputs!$J$257:$BE$257,MATCH(AG11,Inputs!$J$255:$BE$255,0)),INDEX(Inputs!$J$256:$BE$256,MATCH(AG11,Inputs!$J$255:$BE$255,0)))</f>
        <v>2.5</v>
      </c>
      <c r="AH55" s="18" t="n">
        <f aca="false">IF(Inputs!$F$216=1,INDEX(Inputs!$J$257:$BE$257,MATCH(AH11,Inputs!$J$255:$BE$255,0)),INDEX(Inputs!$J$256:$BE$256,MATCH(AH11,Inputs!$J$255:$BE$255,0)))</f>
        <v>2.5</v>
      </c>
      <c r="AI55" s="18" t="n">
        <f aca="false">IF(Inputs!$F$216=1,INDEX(Inputs!$J$257:$BE$257,MATCH(AI11,Inputs!$J$255:$BE$255,0)),INDEX(Inputs!$J$256:$BE$256,MATCH(AI11,Inputs!$J$255:$BE$255,0)))</f>
        <v>2.5</v>
      </c>
      <c r="AJ55" s="18" t="n">
        <f aca="false">IF(Inputs!$F$216=1,INDEX(Inputs!$J$257:$BE$257,MATCH(AJ11,Inputs!$J$255:$BE$255,0)),INDEX(Inputs!$J$256:$BE$256,MATCH(AJ11,Inputs!$J$255:$BE$255,0)))</f>
        <v>2.5</v>
      </c>
      <c r="AK55" s="18" t="n">
        <f aca="false">IF(Inputs!$F$216=1,INDEX(Inputs!$J$257:$BE$257,MATCH(AK11,Inputs!$J$255:$BE$255,0)),INDEX(Inputs!$J$256:$BE$256,MATCH(AK11,Inputs!$J$255:$BE$255,0)))</f>
        <v>2.5</v>
      </c>
      <c r="AL55" s="18" t="n">
        <f aca="false">IF(Inputs!$F$216=1,INDEX(Inputs!$J$257:$BE$257,MATCH(AL11,Inputs!$J$255:$BE$255,0)),INDEX(Inputs!$J$256:$BE$256,MATCH(AL11,Inputs!$J$255:$BE$255,0)))</f>
        <v>2.5</v>
      </c>
      <c r="AM55" s="18" t="n">
        <f aca="false">IF(Inputs!$F$216=1,INDEX(Inputs!$J$257:$BE$257,MATCH(AM11,Inputs!$J$255:$BE$255,0)),INDEX(Inputs!$J$256:$BE$256,MATCH(AM11,Inputs!$J$255:$BE$255,0)))</f>
        <v>2.5</v>
      </c>
      <c r="AN55" s="18" t="n">
        <f aca="false">IF(Inputs!$F$216=1,INDEX(Inputs!$J$257:$BE$257,MATCH(AN11,Inputs!$J$255:$BE$255,0)),INDEX(Inputs!$J$256:$BE$256,MATCH(AN11,Inputs!$J$255:$BE$255,0)))</f>
        <v>2.5</v>
      </c>
      <c r="AO55" s="18" t="n">
        <f aca="false">IF(Inputs!$F$216=1,INDEX(Inputs!$J$257:$BE$257,MATCH(AO11,Inputs!$J$255:$BE$255,0)),INDEX(Inputs!$J$256:$BE$256,MATCH(AO11,Inputs!$J$255:$BE$255,0)))</f>
        <v>2.5</v>
      </c>
      <c r="AP55" s="18" t="n">
        <f aca="false">IF(Inputs!$F$216=1,INDEX(Inputs!$J$257:$BE$257,MATCH(AP11,Inputs!$J$255:$BE$255,0)),INDEX(Inputs!$J$256:$BE$256,MATCH(AP11,Inputs!$J$255:$BE$255,0)))</f>
        <v>2.5</v>
      </c>
      <c r="AQ55" s="18" t="n">
        <f aca="false">IF(Inputs!$F$216=1,INDEX(Inputs!$J$257:$BE$257,MATCH(AQ11,Inputs!$J$255:$BE$255,0)),INDEX(Inputs!$J$256:$BE$256,MATCH(AQ11,Inputs!$J$255:$BE$255,0)))</f>
        <v>2.5</v>
      </c>
      <c r="AR55" s="18" t="n">
        <f aca="false">IF(Inputs!$F$216=1,INDEX(Inputs!$J$257:$BE$257,MATCH(AR11,Inputs!$J$255:$BE$255,0)),INDEX(Inputs!$J$256:$BE$256,MATCH(AR11,Inputs!$J$255:$BE$255,0)))</f>
        <v>2.5</v>
      </c>
      <c r="AS55" s="18" t="n">
        <f aca="false">IF(Inputs!$F$216=1,INDEX(Inputs!$J$257:$BE$257,MATCH(AS11,Inputs!$J$255:$BE$255,0)),INDEX(Inputs!$J$256:$BE$256,MATCH(AS11,Inputs!$J$255:$BE$255,0)))</f>
        <v>2.5</v>
      </c>
      <c r="AT55" s="18" t="n">
        <f aca="false">IF(Inputs!$F$216=1,INDEX(Inputs!$J$257:$BE$257,MATCH(AT11,Inputs!$J$255:$BE$255,0)),INDEX(Inputs!$J$256:$BE$256,MATCH(AT11,Inputs!$J$255:$BE$255,0)))</f>
        <v>2.5</v>
      </c>
      <c r="AU55" s="18" t="n">
        <f aca="false">IF(Inputs!$F$216=1,INDEX(Inputs!$J$257:$BE$257,MATCH(AU11,Inputs!$J$255:$BE$255,0)),INDEX(Inputs!$J$256:$BE$256,MATCH(AU11,Inputs!$J$255:$BE$255,0)))</f>
        <v>2.5</v>
      </c>
      <c r="AV55" s="18" t="n">
        <f aca="false">IF(Inputs!$F$216=1,INDEX(Inputs!$J$257:$BE$257,MATCH(AV11,Inputs!$J$255:$BE$255,0)),INDEX(Inputs!$J$256:$BE$256,MATCH(AV11,Inputs!$J$255:$BE$255,0)))</f>
        <v>2.5</v>
      </c>
      <c r="AW55" s="18" t="n">
        <f aca="false">IF(Inputs!$F$216=1,INDEX(Inputs!$J$257:$BE$257,MATCH(AW11,Inputs!$J$255:$BE$255,0)),INDEX(Inputs!$J$256:$BE$256,MATCH(AW11,Inputs!$J$255:$BE$255,0)))</f>
        <v>2.5</v>
      </c>
      <c r="AX55" s="18" t="n">
        <f aca="false">IF(Inputs!$F$216=1,INDEX(Inputs!$J$257:$BE$257,MATCH(AX11,Inputs!$J$255:$BE$255,0)),INDEX(Inputs!$J$256:$BE$256,MATCH(AX11,Inputs!$J$255:$BE$255,0)))</f>
        <v>2.5</v>
      </c>
      <c r="AY55" s="18" t="n">
        <f aca="false">IF(Inputs!$F$216=1,INDEX(Inputs!$J$257:$BE$257,MATCH(AY11,Inputs!$J$255:$BE$255,0)),INDEX(Inputs!$J$256:$BE$256,MATCH(AY11,Inputs!$J$255:$BE$255,0)))</f>
        <v>2.5</v>
      </c>
      <c r="AZ55" s="18" t="n">
        <f aca="false">IF(Inputs!$F$216=1,INDEX(Inputs!$J$257:$BE$257,MATCH(AZ11,Inputs!$J$255:$BE$255,0)),INDEX(Inputs!$J$256:$BE$256,MATCH(AZ11,Inputs!$J$255:$BE$255,0)))</f>
        <v>2.5</v>
      </c>
      <c r="BA55" s="18" t="n">
        <f aca="false">IF(Inputs!$F$216=1,INDEX(Inputs!$J$257:$BE$257,MATCH(BA11,Inputs!$J$255:$BE$255,0)),INDEX(Inputs!$J$256:$BE$256,MATCH(BA11,Inputs!$J$255:$BE$255,0)))</f>
        <v>2.5</v>
      </c>
      <c r="BB55" s="18" t="n">
        <f aca="false">IF(Inputs!$F$216=1,INDEX(Inputs!$J$257:$BE$257,MATCH(BB11,Inputs!$J$255:$BE$255,0)),INDEX(Inputs!$J$256:$BE$256,MATCH(BB11,Inputs!$J$255:$BE$255,0)))</f>
        <v>2.5</v>
      </c>
      <c r="BC55" s="18" t="n">
        <f aca="false">IF(Inputs!$F$216=1,INDEX(Inputs!$J$257:$BE$257,MATCH(BC11,Inputs!$J$255:$BE$255,0)),INDEX(Inputs!$J$256:$BE$256,MATCH(BC11,Inputs!$J$255:$BE$255,0)))</f>
        <v>2.5</v>
      </c>
      <c r="BD55" s="18" t="n">
        <f aca="false">IF(Inputs!$F$216=1,INDEX(Inputs!$J$257:$BE$257,MATCH(BD11,Inputs!$J$255:$BE$255,0)),INDEX(Inputs!$J$256:$BE$256,MATCH(BD11,Inputs!$J$255:$BE$255,0)))</f>
        <v>2.5</v>
      </c>
      <c r="BE55" s="18" t="n">
        <f aca="false">IF(Inputs!$F$216=1,INDEX(Inputs!$J$257:$BE$257,MATCH(BE11,Inputs!$J$255:$BE$255,0)),INDEX(Inputs!$J$256:$BE$256,MATCH(BE11,Inputs!$J$255:$BE$255,0)))</f>
        <v>2.5</v>
      </c>
      <c r="BF55" s="18" t="n">
        <f aca="false">IF(Inputs!$F$216=1,INDEX(Inputs!$J$257:$BE$257,MATCH(BF11,Inputs!$J$255:$BE$255,0)),INDEX(Inputs!$J$256:$BE$256,MATCH(BF11,Inputs!$J$255:$BE$255,0)))</f>
        <v>2.5</v>
      </c>
      <c r="BG55" s="18" t="n">
        <f aca="false">IF(Inputs!$F$216=1,INDEX(Inputs!$J$257:$BE$257,MATCH(BG11,Inputs!$J$255:$BE$255,0)),INDEX(Inputs!$J$256:$BE$256,MATCH(BG11,Inputs!$J$255:$BE$255,0)))</f>
        <v>2.5</v>
      </c>
      <c r="BH55" s="18" t="n">
        <f aca="false">IF(Inputs!$F$216=1,INDEX(Inputs!$J$257:$BE$257,MATCH(BH11,Inputs!$J$255:$BE$255,0)),INDEX(Inputs!$J$256:$BE$256,MATCH(BH11,Inputs!$J$255:$BE$255,0)))</f>
        <v>2.5</v>
      </c>
      <c r="BI55" s="18" t="n">
        <f aca="false">IF(Inputs!$F$216=1,INDEX(Inputs!$J$257:$BE$257,MATCH(BI11,Inputs!$J$255:$BE$255,0)),INDEX(Inputs!$J$256:$BE$256,MATCH(BI11,Inputs!$J$255:$BE$255,0)))</f>
        <v>2.5</v>
      </c>
      <c r="BJ55" s="18" t="n">
        <f aca="false">IF(Inputs!$F$216=1,INDEX(Inputs!$J$257:$BE$257,MATCH(BJ11,Inputs!$J$255:$BE$255,0)),INDEX(Inputs!$J$256:$BE$256,MATCH(BJ11,Inputs!$J$255:$BE$255,0)))</f>
        <v>2.5</v>
      </c>
      <c r="BK55" s="18" t="n">
        <f aca="false">IF(Inputs!$F$216=1,INDEX(Inputs!$J$257:$BE$257,MATCH(BK11,Inputs!$J$255:$BE$255,0)),INDEX(Inputs!$J$256:$BE$256,MATCH(BK11,Inputs!$J$255:$BE$255,0)))</f>
        <v>2.5</v>
      </c>
      <c r="BL55" s="18" t="n">
        <f aca="false">IF(Inputs!$F$216=1,INDEX(Inputs!$J$257:$BE$257,MATCH(BL11,Inputs!$J$255:$BE$255,0)),INDEX(Inputs!$J$256:$BE$256,MATCH(BL11,Inputs!$J$255:$BE$255,0)))</f>
        <v>2.5</v>
      </c>
      <c r="BM55" s="18" t="n">
        <f aca="false">IF(Inputs!$F$216=1,INDEX(Inputs!$J$257:$BE$257,MATCH(BM11,Inputs!$J$255:$BE$255,0)),INDEX(Inputs!$J$256:$BE$256,MATCH(BM11,Inputs!$J$255:$BE$255,0)))</f>
        <v>2.5</v>
      </c>
      <c r="BN55" s="18" t="n">
        <f aca="false">IF(Inputs!$F$216=1,INDEX(Inputs!$J$257:$BE$257,MATCH(BN11,Inputs!$J$255:$BE$255,0)),INDEX(Inputs!$J$256:$BE$256,MATCH(BN11,Inputs!$J$255:$BE$255,0)))</f>
        <v>2.5</v>
      </c>
      <c r="BO55" s="18" t="n">
        <f aca="false">IF(Inputs!$F$216=1,INDEX(Inputs!$J$257:$BE$257,MATCH(BO11,Inputs!$J$255:$BE$255,0)),INDEX(Inputs!$J$256:$BE$256,MATCH(BO11,Inputs!$J$255:$BE$255,0)))</f>
        <v>2.5</v>
      </c>
      <c r="BP55" s="18" t="n">
        <f aca="false">IF(Inputs!$F$216=1,INDEX(Inputs!$J$257:$BE$257,MATCH(BP11,Inputs!$J$255:$BE$255,0)),INDEX(Inputs!$J$256:$BE$256,MATCH(BP11,Inputs!$J$255:$BE$255,0)))</f>
        <v>2.5</v>
      </c>
      <c r="BQ55" s="18" t="n">
        <f aca="false">IF(Inputs!$F$216=1,INDEX(Inputs!$J$257:$BE$257,MATCH(BQ11,Inputs!$J$255:$BE$255,0)),INDEX(Inputs!$J$256:$BE$256,MATCH(BQ11,Inputs!$J$255:$BE$255,0)))</f>
        <v>2.5</v>
      </c>
      <c r="BR55" s="18" t="n">
        <f aca="false">IF(Inputs!$F$216=1,INDEX(Inputs!$J$257:$BE$257,MATCH(BR11,Inputs!$J$255:$BE$255,0)),INDEX(Inputs!$J$256:$BE$256,MATCH(BR11,Inputs!$J$255:$BE$255,0)))</f>
        <v>2.5</v>
      </c>
      <c r="BS55" s="18" t="n">
        <f aca="false">IF(Inputs!$F$216=1,INDEX(Inputs!$J$257:$BE$257,MATCH(BS11,Inputs!$J$255:$BE$255,0)),INDEX(Inputs!$J$256:$BE$256,MATCH(BS11,Inputs!$J$255:$BE$255,0)))</f>
        <v>2.5</v>
      </c>
      <c r="BT55" s="18" t="n">
        <f aca="false">IF(Inputs!$F$216=1,INDEX(Inputs!$J$257:$BE$257,MATCH(BT11,Inputs!$J$255:$BE$255,0)),INDEX(Inputs!$J$256:$BE$256,MATCH(BT11,Inputs!$J$255:$BE$255,0)))</f>
        <v>2.5</v>
      </c>
      <c r="BU55" s="18" t="n">
        <f aca="false">IF(Inputs!$F$216=1,INDEX(Inputs!$J$257:$BE$257,MATCH(BU11,Inputs!$J$255:$BE$255,0)),INDEX(Inputs!$J$256:$BE$256,MATCH(BU11,Inputs!$J$255:$BE$255,0)))</f>
        <v>2.5</v>
      </c>
      <c r="BV55" s="18" t="n">
        <f aca="false">IF(Inputs!$F$216=1,INDEX(Inputs!$J$257:$BE$257,MATCH(BV11,Inputs!$J$255:$BE$255,0)),INDEX(Inputs!$J$256:$BE$256,MATCH(BV11,Inputs!$J$255:$BE$255,0)))</f>
        <v>2.5</v>
      </c>
      <c r="BW55" s="18" t="n">
        <f aca="false">IF(Inputs!$F$216=1,INDEX(Inputs!$J$257:$BE$257,MATCH(BW11,Inputs!$J$255:$BE$255,0)),INDEX(Inputs!$J$256:$BE$256,MATCH(BW11,Inputs!$J$255:$BE$255,0)))</f>
        <v>2.5</v>
      </c>
      <c r="BX55" s="18" t="n">
        <f aca="false">IF(Inputs!$F$216=1,INDEX(Inputs!$J$257:$BE$257,MATCH(BX11,Inputs!$J$255:$BE$255,0)),INDEX(Inputs!$J$256:$BE$256,MATCH(BX11,Inputs!$J$255:$BE$255,0)))</f>
        <v>2.5</v>
      </c>
      <c r="BY55" s="18" t="n">
        <f aca="false">IF(Inputs!$F$216=1,INDEX(Inputs!$J$257:$BE$257,MATCH(BY11,Inputs!$J$255:$BE$255,0)),INDEX(Inputs!$J$256:$BE$256,MATCH(BY11,Inputs!$J$255:$BE$255,0)))</f>
        <v>2.5</v>
      </c>
      <c r="BZ55" s="18" t="n">
        <f aca="false">IF(Inputs!$F$216=1,INDEX(Inputs!$J$257:$BE$257,MATCH(BZ11,Inputs!$J$255:$BE$255,0)),INDEX(Inputs!$J$256:$BE$256,MATCH(BZ11,Inputs!$J$255:$BE$255,0)))</f>
        <v>2.5</v>
      </c>
      <c r="CA55" s="18" t="n">
        <f aca="false">IF(Inputs!$F$216=1,INDEX(Inputs!$J$257:$BE$257,MATCH(CA11,Inputs!$J$255:$BE$255,0)),INDEX(Inputs!$J$256:$BE$256,MATCH(CA11,Inputs!$J$255:$BE$255,0)))</f>
        <v>2.5</v>
      </c>
      <c r="CB55" s="18" t="n">
        <f aca="false">IF(Inputs!$F$216=1,INDEX(Inputs!$J$257:$BE$257,MATCH(CB11,Inputs!$J$255:$BE$255,0)),INDEX(Inputs!$J$256:$BE$256,MATCH(CB11,Inputs!$J$255:$BE$255,0)))</f>
        <v>2.5</v>
      </c>
      <c r="CC55" s="18" t="n">
        <f aca="false">IF(Inputs!$F$216=1,INDEX(Inputs!$J$257:$BE$257,MATCH(CC11,Inputs!$J$255:$BE$255,0)),INDEX(Inputs!$J$256:$BE$256,MATCH(CC11,Inputs!$J$255:$BE$255,0)))</f>
        <v>2.5</v>
      </c>
      <c r="CD55" s="18" t="n">
        <f aca="false">IF(Inputs!$F$216=1,INDEX(Inputs!$J$257:$BE$257,MATCH(CD11,Inputs!$J$255:$BE$255,0)),INDEX(Inputs!$J$256:$BE$256,MATCH(CD11,Inputs!$J$255:$BE$255,0)))</f>
        <v>2.5</v>
      </c>
      <c r="CE55" s="18" t="n">
        <f aca="false">IF(Inputs!$F$216=1,INDEX(Inputs!$J$257:$BE$257,MATCH(CE11,Inputs!$J$255:$BE$255,0)),INDEX(Inputs!$J$256:$BE$256,MATCH(CE11,Inputs!$J$255:$BE$255,0)))</f>
        <v>2.5</v>
      </c>
      <c r="CF55" s="18" t="n">
        <f aca="false">IF(Inputs!$F$216=1,INDEX(Inputs!$J$257:$BE$257,MATCH(CF11,Inputs!$J$255:$BE$255,0)),INDEX(Inputs!$J$256:$BE$256,MATCH(CF11,Inputs!$J$255:$BE$255,0)))</f>
        <v>2.5</v>
      </c>
      <c r="CG55" s="18" t="n">
        <f aca="false">IF(Inputs!$F$216=1,INDEX(Inputs!$J$257:$BE$257,MATCH(CG11,Inputs!$J$255:$BE$255,0)),INDEX(Inputs!$J$256:$BE$256,MATCH(CG11,Inputs!$J$255:$BE$255,0)))</f>
        <v>2.5</v>
      </c>
      <c r="CH55" s="18" t="n">
        <f aca="false">IF(Inputs!$F$216=1,INDEX(Inputs!$J$257:$BE$257,MATCH(CH11,Inputs!$J$255:$BE$255,0)),INDEX(Inputs!$J$256:$BE$256,MATCH(CH11,Inputs!$J$255:$BE$255,0)))</f>
        <v>2.5</v>
      </c>
      <c r="CI55" s="18" t="n">
        <f aca="false">IF(Inputs!$F$216=1,INDEX(Inputs!$J$257:$BE$257,MATCH(CI11,Inputs!$J$255:$BE$255,0)),INDEX(Inputs!$J$256:$BE$256,MATCH(CI11,Inputs!$J$255:$BE$255,0)))</f>
        <v>2.5</v>
      </c>
      <c r="CJ55" s="18" t="n">
        <f aca="false">IF(Inputs!$F$216=1,INDEX(Inputs!$J$257:$BE$257,MATCH(CJ11,Inputs!$J$255:$BE$255,0)),INDEX(Inputs!$J$256:$BE$256,MATCH(CJ11,Inputs!$J$255:$BE$255,0)))</f>
        <v>2.5</v>
      </c>
      <c r="CK55" s="18" t="n">
        <f aca="false">IF(Inputs!$F$216=1,INDEX(Inputs!$J$257:$BE$257,MATCH(CK11,Inputs!$J$255:$BE$255,0)),INDEX(Inputs!$J$256:$BE$256,MATCH(CK11,Inputs!$J$255:$BE$255,0)))</f>
        <v>2.5</v>
      </c>
      <c r="CL55" s="18" t="n">
        <f aca="false">IF(Inputs!$F$216=1,INDEX(Inputs!$J$257:$BE$257,MATCH(CL11,Inputs!$J$255:$BE$255,0)),INDEX(Inputs!$J$256:$BE$256,MATCH(CL11,Inputs!$J$255:$BE$255,0)))</f>
        <v>2.5</v>
      </c>
      <c r="CM55" s="18" t="n">
        <f aca="false">IF(Inputs!$F$216=1,INDEX(Inputs!$J$257:$BE$257,MATCH(CM11,Inputs!$J$255:$BE$255,0)),INDEX(Inputs!$J$256:$BE$256,MATCH(CM11,Inputs!$J$255:$BE$255,0)))</f>
        <v>2.5</v>
      </c>
      <c r="CN55" s="18" t="n">
        <f aca="false">IF(Inputs!$F$216=1,INDEX(Inputs!$J$257:$BE$257,MATCH(CN11,Inputs!$J$255:$BE$255,0)),INDEX(Inputs!$J$256:$BE$256,MATCH(CN11,Inputs!$J$255:$BE$255,0)))</f>
        <v>2.5</v>
      </c>
      <c r="CO55" s="18" t="n">
        <f aca="false">IF(Inputs!$F$216=1,INDEX(Inputs!$J$257:$BE$257,MATCH(CO11,Inputs!$J$255:$BE$255,0)),INDEX(Inputs!$J$256:$BE$256,MATCH(CO11,Inputs!$J$255:$BE$255,0)))</f>
        <v>2.5</v>
      </c>
      <c r="CP55" s="18" t="n">
        <f aca="false">IF(Inputs!$F$216=1,INDEX(Inputs!$J$257:$BE$257,MATCH(CP11,Inputs!$J$255:$BE$255,0)),INDEX(Inputs!$J$256:$BE$256,MATCH(CP11,Inputs!$J$255:$BE$255,0)))</f>
        <v>2.5</v>
      </c>
      <c r="CQ55" s="18" t="n">
        <f aca="false">IF(Inputs!$F$216=1,INDEX(Inputs!$J$257:$BE$257,MATCH(CQ11,Inputs!$J$255:$BE$255,0)),INDEX(Inputs!$J$256:$BE$256,MATCH(CQ11,Inputs!$J$255:$BE$255,0)))</f>
        <v>2.5</v>
      </c>
      <c r="CR55" s="18" t="n">
        <f aca="false">IF(Inputs!$F$216=1,INDEX(Inputs!$J$257:$BE$257,MATCH(CR11,Inputs!$J$255:$BE$255,0)),INDEX(Inputs!$J$256:$BE$256,MATCH(CR11,Inputs!$J$255:$BE$255,0)))</f>
        <v>2.5</v>
      </c>
      <c r="CS55" s="18" t="n">
        <f aca="false">IF(Inputs!$F$216=1,INDEX(Inputs!$J$257:$BE$257,MATCH(CS11,Inputs!$J$255:$BE$255,0)),INDEX(Inputs!$J$256:$BE$256,MATCH(CS11,Inputs!$J$255:$BE$255,0)))</f>
        <v>2.5</v>
      </c>
      <c r="CT55" s="18" t="n">
        <f aca="false">IF(Inputs!$F$216=1,INDEX(Inputs!$J$257:$BE$257,MATCH(CT11,Inputs!$J$255:$BE$255,0)),INDEX(Inputs!$J$256:$BE$256,MATCH(CT11,Inputs!$J$255:$BE$255,0)))</f>
        <v>2.5</v>
      </c>
      <c r="CU55" s="18" t="n">
        <f aca="false">IF(Inputs!$F$216=1,INDEX(Inputs!$J$257:$BE$257,MATCH(CU11,Inputs!$J$255:$BE$255,0)),INDEX(Inputs!$J$256:$BE$256,MATCH(CU11,Inputs!$J$255:$BE$255,0)))</f>
        <v>2.5</v>
      </c>
      <c r="CV55" s="18" t="n">
        <f aca="false">IF(Inputs!$F$216=1,INDEX(Inputs!$J$257:$BE$257,MATCH(CV11,Inputs!$J$255:$BE$255,0)),INDEX(Inputs!$J$256:$BE$256,MATCH(CV11,Inputs!$J$255:$BE$255,0)))</f>
        <v>2.5</v>
      </c>
      <c r="CW55" s="18" t="n">
        <f aca="false">IF(Inputs!$F$216=1,INDEX(Inputs!$J$257:$BE$257,MATCH(CW11,Inputs!$J$255:$BE$255,0)),INDEX(Inputs!$J$256:$BE$256,MATCH(CW11,Inputs!$J$255:$BE$255,0)))</f>
        <v>2.5</v>
      </c>
      <c r="CX55" s="18" t="n">
        <f aca="false">IF(Inputs!$F$216=1,INDEX(Inputs!$J$257:$BE$257,MATCH(CX11,Inputs!$J$255:$BE$255,0)),INDEX(Inputs!$J$256:$BE$256,MATCH(CX11,Inputs!$J$255:$BE$255,0)))</f>
        <v>2.5</v>
      </c>
      <c r="CY55" s="18" t="n">
        <f aca="false">IF(Inputs!$F$216=1,INDEX(Inputs!$J$257:$BE$257,MATCH(CY11,Inputs!$J$255:$BE$255,0)),INDEX(Inputs!$J$256:$BE$256,MATCH(CY11,Inputs!$J$255:$BE$255,0)))</f>
        <v>2.5</v>
      </c>
      <c r="CZ55" s="18" t="n">
        <f aca="false">IF(Inputs!$F$216=1,INDEX(Inputs!$J$257:$BE$257,MATCH(CZ11,Inputs!$J$255:$BE$255,0)),INDEX(Inputs!$J$256:$BE$256,MATCH(CZ11,Inputs!$J$255:$BE$255,0)))</f>
        <v>2.5</v>
      </c>
      <c r="DA55" s="18" t="n">
        <f aca="false">IF(Inputs!$F$216=1,INDEX(Inputs!$J$257:$BE$257,MATCH(DA11,Inputs!$J$255:$BE$255,0)),INDEX(Inputs!$J$256:$BE$256,MATCH(DA11,Inputs!$J$255:$BE$255,0)))</f>
        <v>2.5</v>
      </c>
      <c r="DB55" s="18" t="n">
        <f aca="false">IF(Inputs!$F$216=1,INDEX(Inputs!$J$257:$BE$257,MATCH(DB11,Inputs!$J$255:$BE$255,0)),INDEX(Inputs!$J$256:$BE$256,MATCH(DB11,Inputs!$J$255:$BE$255,0)))</f>
        <v>2.5</v>
      </c>
    </row>
    <row r="56" customFormat="false" ht="15" hidden="false" customHeight="false" outlineLevel="0" collapsed="false">
      <c r="D56" s="0" t="s">
        <v>361</v>
      </c>
      <c r="E56" s="0" t="s">
        <v>171</v>
      </c>
      <c r="J56" s="27" t="n">
        <f aca="false">IF(J6=1,1,I56*IF(J11&gt;I11,1+J55/100,1))</f>
        <v>1</v>
      </c>
      <c r="K56" s="27" t="n">
        <f aca="false">IF(K6=1,1,J56*IF(K11&gt;J11,1+K55/100,1))</f>
        <v>1</v>
      </c>
      <c r="L56" s="27" t="n">
        <f aca="false">IF(L6=1,1,K56*IF(L11&gt;K11,1+L55/100,1))</f>
        <v>1</v>
      </c>
      <c r="M56" s="27" t="n">
        <f aca="false">IF(M6=1,1,L56*IF(M11&gt;L11,1+M55/100,1))</f>
        <v>1.025</v>
      </c>
      <c r="N56" s="27" t="n">
        <f aca="false">IF(N6=1,1,M56*IF(N11&gt;M11,1+N55/100,1))</f>
        <v>1.025</v>
      </c>
      <c r="O56" s="27" t="n">
        <f aca="false">IF(O6=1,1,N56*IF(O11&gt;N11,1+O55/100,1))</f>
        <v>1.025</v>
      </c>
      <c r="P56" s="27" t="n">
        <f aca="false">IF(P6=1,1,O56*IF(P11&gt;O11,1+P55/100,1))</f>
        <v>1.025</v>
      </c>
      <c r="Q56" s="27" t="n">
        <f aca="false">IF(Q6=1,1,P56*IF(Q11&gt;P11,1+Q55/100,1))</f>
        <v>1.050625</v>
      </c>
      <c r="R56" s="27" t="n">
        <f aca="false">IF(R6=1,1,Q56*IF(R11&gt;Q11,1+R55/100,1))</f>
        <v>1.050625</v>
      </c>
      <c r="S56" s="27" t="n">
        <f aca="false">IF(S6=1,1,R56*IF(S11&gt;R11,1+S55/100,1))</f>
        <v>1.050625</v>
      </c>
      <c r="T56" s="27" t="n">
        <f aca="false">IF(T6=1,1,S56*IF(T11&gt;S11,1+T55/100,1))</f>
        <v>1.050625</v>
      </c>
      <c r="U56" s="27" t="n">
        <f aca="false">IF(U6=1,1,T56*IF(U11&gt;T11,1+U55/100,1))</f>
        <v>1.076890625</v>
      </c>
      <c r="V56" s="27" t="n">
        <f aca="false">IF(V6=1,1,U56*IF(V11&gt;U11,1+V55/100,1))</f>
        <v>1.076890625</v>
      </c>
      <c r="W56" s="27" t="n">
        <f aca="false">IF(W6=1,1,V56*IF(W11&gt;V11,1+W55/100,1))</f>
        <v>1.076890625</v>
      </c>
      <c r="X56" s="27" t="n">
        <f aca="false">IF(X6=1,1,W56*IF(X11&gt;W11,1+X55/100,1))</f>
        <v>1.076890625</v>
      </c>
      <c r="Y56" s="27" t="n">
        <f aca="false">IF(Y6=1,1,X56*IF(Y11&gt;X11,1+Y55/100,1))</f>
        <v>1.103812890625</v>
      </c>
      <c r="Z56" s="27" t="n">
        <f aca="false">IF(Z6=1,1,Y56*IF(Z11&gt;Y11,1+Z55/100,1))</f>
        <v>1.103812890625</v>
      </c>
      <c r="AA56" s="27" t="n">
        <f aca="false">IF(AA6=1,1,Z56*IF(AA11&gt;Z11,1+AA55/100,1))</f>
        <v>1.103812890625</v>
      </c>
      <c r="AB56" s="27" t="n">
        <f aca="false">IF(AB6=1,1,AA56*IF(AB11&gt;AA11,1+AB55/100,1))</f>
        <v>1.13140821289062</v>
      </c>
      <c r="AC56" s="27" t="n">
        <f aca="false">IF(AC6=1,1,AB56*IF(AC11&gt;AB11,1+AC55/100,1))</f>
        <v>1.13140821289062</v>
      </c>
      <c r="AD56" s="27" t="n">
        <f aca="false">IF(AD6=1,1,AC56*IF(AD11&gt;AC11,1+AD55/100,1))</f>
        <v>1.15969341821289</v>
      </c>
      <c r="AE56" s="27" t="n">
        <f aca="false">IF(AE6=1,1,AD56*IF(AE11&gt;AD11,1+AE55/100,1))</f>
        <v>1.15969341821289</v>
      </c>
      <c r="AF56" s="27" t="n">
        <f aca="false">IF(AF6=1,1,AE56*IF(AF11&gt;AE11,1+AF55/100,1))</f>
        <v>1.18868575366821</v>
      </c>
      <c r="AG56" s="27" t="n">
        <f aca="false">IF(AG6=1,1,AF56*IF(AG11&gt;AF11,1+AG55/100,1))</f>
        <v>1.18868575366821</v>
      </c>
      <c r="AH56" s="27" t="n">
        <f aca="false">IF(AH6=1,1,AG56*IF(AH11&gt;AG11,1+AH55/100,1))</f>
        <v>1.21840289750992</v>
      </c>
      <c r="AI56" s="27" t="n">
        <f aca="false">IF(AI6=1,1,AH56*IF(AI11&gt;AH11,1+AI55/100,1))</f>
        <v>1.21840289750992</v>
      </c>
      <c r="AJ56" s="27" t="n">
        <f aca="false">IF(AJ6=1,1,AI56*IF(AJ11&gt;AI11,1+AJ55/100,1))</f>
        <v>1.24886296994767</v>
      </c>
      <c r="AK56" s="27" t="n">
        <f aca="false">IF(AK6=1,1,AJ56*IF(AK11&gt;AJ11,1+AK55/100,1))</f>
        <v>1.24886296994767</v>
      </c>
      <c r="AL56" s="27" t="n">
        <f aca="false">IF(AL6=1,1,AK56*IF(AL11&gt;AK11,1+AL55/100,1))</f>
        <v>1.28008454419636</v>
      </c>
      <c r="AM56" s="27" t="n">
        <f aca="false">IF(AM6=1,1,AL56*IF(AM11&gt;AL11,1+AM55/100,1))</f>
        <v>1.28008454419636</v>
      </c>
      <c r="AN56" s="27" t="n">
        <f aca="false">IF(AN6=1,1,AM56*IF(AN11&gt;AM11,1+AN55/100,1))</f>
        <v>1.31208665780127</v>
      </c>
      <c r="AO56" s="27" t="n">
        <f aca="false">IF(AO6=1,1,AN56*IF(AO11&gt;AN11,1+AO55/100,1))</f>
        <v>1.31208665780127</v>
      </c>
      <c r="AP56" s="27" t="n">
        <f aca="false">IF(AP6=1,1,AO56*IF(AP11&gt;AO11,1+AP55/100,1))</f>
        <v>1.3448888242463</v>
      </c>
      <c r="AQ56" s="27" t="n">
        <f aca="false">IF(AQ6=1,1,AP56*IF(AQ11&gt;AP11,1+AQ55/100,1))</f>
        <v>1.3448888242463</v>
      </c>
      <c r="AR56" s="27" t="n">
        <f aca="false">IF(AR6=1,1,AQ56*IF(AR11&gt;AQ11,1+AR55/100,1))</f>
        <v>1.37851104485245</v>
      </c>
      <c r="AS56" s="27" t="n">
        <f aca="false">IF(AS6=1,1,AR56*IF(AS11&gt;AR11,1+AS55/100,1))</f>
        <v>1.37851104485245</v>
      </c>
      <c r="AT56" s="27" t="n">
        <f aca="false">IF(AT6=1,1,AS56*IF(AT11&gt;AS11,1+AT55/100,1))</f>
        <v>1.41297382097377</v>
      </c>
      <c r="AU56" s="27" t="n">
        <f aca="false">IF(AU6=1,1,AT56*IF(AU11&gt;AT11,1+AU55/100,1))</f>
        <v>1.41297382097377</v>
      </c>
      <c r="AV56" s="27" t="n">
        <f aca="false">IF(AV6=1,1,AU56*IF(AV11&gt;AU11,1+AV55/100,1))</f>
        <v>1.44829816649811</v>
      </c>
      <c r="AW56" s="27" t="n">
        <f aca="false">IF(AW6=1,1,AV56*IF(AW11&gt;AV11,1+AW55/100,1))</f>
        <v>1.44829816649811</v>
      </c>
      <c r="AX56" s="27" t="n">
        <f aca="false">IF(AX6=1,1,AW56*IF(AX11&gt;AW11,1+AX55/100,1))</f>
        <v>1.48450562066056</v>
      </c>
      <c r="AY56" s="27" t="n">
        <f aca="false">IF(AY6=1,1,AX56*IF(AY11&gt;AX11,1+AY55/100,1))</f>
        <v>1.48450562066056</v>
      </c>
      <c r="AZ56" s="27" t="n">
        <f aca="false">IF(AZ6=1,1,AY56*IF(AZ11&gt;AY11,1+AZ55/100,1))</f>
        <v>1.52161826117708</v>
      </c>
      <c r="BA56" s="27" t="n">
        <f aca="false">IF(BA6=1,1,AZ56*IF(BA11&gt;AZ11,1+BA55/100,1))</f>
        <v>1.52161826117708</v>
      </c>
      <c r="BB56" s="27" t="n">
        <f aca="false">IF(BB6=1,1,BA56*IF(BB11&gt;BA11,1+BB55/100,1))</f>
        <v>1.5596587177065</v>
      </c>
      <c r="BC56" s="27" t="n">
        <f aca="false">IF(BC6=1,1,BB56*IF(BC11&gt;BB11,1+BC55/100,1))</f>
        <v>1.5596587177065</v>
      </c>
      <c r="BD56" s="27" t="n">
        <f aca="false">IF(BD6=1,1,BC56*IF(BD11&gt;BC11,1+BD55/100,1))</f>
        <v>1.59865018564917</v>
      </c>
      <c r="BE56" s="27" t="n">
        <f aca="false">IF(BE6=1,1,BD56*IF(BE11&gt;BD11,1+BE55/100,1))</f>
        <v>1.59865018564917</v>
      </c>
      <c r="BF56" s="27" t="n">
        <f aca="false">IF(BF6=1,1,BE56*IF(BF11&gt;BE11,1+BF55/100,1))</f>
        <v>1.63861644029039</v>
      </c>
      <c r="BG56" s="27" t="n">
        <f aca="false">IF(BG6=1,1,BF56*IF(BG11&gt;BF11,1+BG55/100,1))</f>
        <v>1.63861644029039</v>
      </c>
      <c r="BH56" s="27" t="n">
        <f aca="false">IF(BH6=1,1,BG56*IF(BH11&gt;BG11,1+BH55/100,1))</f>
        <v>1.67958185129765</v>
      </c>
      <c r="BI56" s="27" t="n">
        <f aca="false">IF(BI6=1,1,BH56*IF(BI11&gt;BH11,1+BI55/100,1))</f>
        <v>1.67958185129765</v>
      </c>
      <c r="BJ56" s="27" t="n">
        <f aca="false">IF(BJ6=1,1,BI56*IF(BJ11&gt;BI11,1+BJ55/100,1))</f>
        <v>1.7215713975801</v>
      </c>
      <c r="BK56" s="27" t="n">
        <f aca="false">IF(BK6=1,1,BJ56*IF(BK11&gt;BJ11,1+BK55/100,1))</f>
        <v>1.7215713975801</v>
      </c>
      <c r="BL56" s="27" t="n">
        <f aca="false">IF(BL6=1,1,BK56*IF(BL11&gt;BK11,1+BL55/100,1))</f>
        <v>1.7646106825196</v>
      </c>
      <c r="BM56" s="27" t="n">
        <f aca="false">IF(BM6=1,1,BL56*IF(BM11&gt;BL11,1+BM55/100,1))</f>
        <v>1.7646106825196</v>
      </c>
      <c r="BN56" s="27" t="n">
        <f aca="false">IF(BN6=1,1,BM56*IF(BN11&gt;BM11,1+BN55/100,1))</f>
        <v>1.80872594958259</v>
      </c>
      <c r="BO56" s="27" t="n">
        <f aca="false">IF(BO6=1,1,BN56*IF(BO11&gt;BN11,1+BO55/100,1))</f>
        <v>1.80872594958259</v>
      </c>
      <c r="BP56" s="27" t="n">
        <f aca="false">IF(BP6=1,1,BO56*IF(BP11&gt;BO11,1+BP55/100,1))</f>
        <v>1.85394409832215</v>
      </c>
      <c r="BQ56" s="27" t="n">
        <f aca="false">IF(BQ6=1,1,BP56*IF(BQ11&gt;BP11,1+BQ55/100,1))</f>
        <v>1.85394409832215</v>
      </c>
      <c r="BR56" s="27" t="n">
        <f aca="false">IF(BR6=1,1,BQ56*IF(BR11&gt;BQ11,1+BR55/100,1))</f>
        <v>1.90029270078021</v>
      </c>
      <c r="BS56" s="27" t="n">
        <f aca="false">IF(BS6=1,1,BR56*IF(BS11&gt;BR11,1+BS55/100,1))</f>
        <v>1.90029270078021</v>
      </c>
      <c r="BT56" s="27" t="n">
        <f aca="false">IF(BT6=1,1,BS56*IF(BT11&gt;BS11,1+BT55/100,1))</f>
        <v>1.94780001829971</v>
      </c>
      <c r="BU56" s="27" t="n">
        <f aca="false">IF(BU6=1,1,BT56*IF(BU11&gt;BT11,1+BU55/100,1))</f>
        <v>1.94780001829971</v>
      </c>
      <c r="BV56" s="27" t="n">
        <f aca="false">IF(BV6=1,1,BU56*IF(BV11&gt;BU11,1+BV55/100,1))</f>
        <v>1.9964950187572</v>
      </c>
      <c r="BW56" s="27" t="n">
        <f aca="false">IF(BW6=1,1,BV56*IF(BW11&gt;BV11,1+BW55/100,1))</f>
        <v>1.9964950187572</v>
      </c>
      <c r="BX56" s="27" t="n">
        <f aca="false">IF(BX6=1,1,BW56*IF(BX11&gt;BW11,1+BX55/100,1))</f>
        <v>2.04640739422613</v>
      </c>
      <c r="BY56" s="27" t="n">
        <f aca="false">IF(BY6=1,1,BX56*IF(BY11&gt;BX11,1+BY55/100,1))</f>
        <v>2.04640739422613</v>
      </c>
      <c r="BZ56" s="27" t="n">
        <f aca="false">IF(BZ6=1,1,BY56*IF(BZ11&gt;BY11,1+BZ55/100,1))</f>
        <v>2.09756757908179</v>
      </c>
      <c r="CA56" s="27" t="n">
        <f aca="false">IF(CA6=1,1,BZ56*IF(CA11&gt;BZ11,1+CA55/100,1))</f>
        <v>2.09756757908179</v>
      </c>
      <c r="CB56" s="27" t="n">
        <f aca="false">IF(CB6=1,1,CA56*IF(CB11&gt;CA11,1+CB55/100,1))</f>
        <v>2.15000676855883</v>
      </c>
      <c r="CC56" s="27" t="n">
        <f aca="false">IF(CC6=1,1,CB56*IF(CC11&gt;CB11,1+CC55/100,1))</f>
        <v>2.15000676855883</v>
      </c>
      <c r="CD56" s="27" t="n">
        <f aca="false">IF(CD6=1,1,CC56*IF(CD11&gt;CC11,1+CD55/100,1))</f>
        <v>2.2037569377728</v>
      </c>
      <c r="CE56" s="27" t="n">
        <f aca="false">IF(CE6=1,1,CD56*IF(CE11&gt;CD11,1+CE55/100,1))</f>
        <v>2.2037569377728</v>
      </c>
      <c r="CF56" s="27" t="n">
        <f aca="false">IF(CF6=1,1,CE56*IF(CF11&gt;CE11,1+CF55/100,1))</f>
        <v>2.25885086121712</v>
      </c>
      <c r="CG56" s="27" t="n">
        <f aca="false">IF(CG6=1,1,CF56*IF(CG11&gt;CF11,1+CG55/100,1))</f>
        <v>2.25885086121712</v>
      </c>
      <c r="CH56" s="27" t="n">
        <f aca="false">IF(CH6=1,1,CG56*IF(CH11&gt;CG11,1+CH55/100,1))</f>
        <v>2.31532213274755</v>
      </c>
      <c r="CI56" s="27" t="n">
        <f aca="false">IF(CI6=1,1,CH56*IF(CI11&gt;CH11,1+CI55/100,1))</f>
        <v>2.31532213274755</v>
      </c>
      <c r="CJ56" s="27" t="n">
        <f aca="false">IF(CJ6=1,1,CI56*IF(CJ11&gt;CI11,1+CJ55/100,1))</f>
        <v>2.37320518606624</v>
      </c>
      <c r="CK56" s="27" t="n">
        <f aca="false">IF(CK6=1,1,CJ56*IF(CK11&gt;CJ11,1+CK55/100,1))</f>
        <v>2.37320518606624</v>
      </c>
      <c r="CL56" s="27" t="n">
        <f aca="false">IF(CL6=1,1,CK56*IF(CL11&gt;CK11,1+CL55/100,1))</f>
        <v>2.43253531571789</v>
      </c>
      <c r="CM56" s="27" t="n">
        <f aca="false">IF(CM6=1,1,CL56*IF(CM11&gt;CL11,1+CM55/100,1))</f>
        <v>2.43253531571789</v>
      </c>
      <c r="CN56" s="27" t="n">
        <f aca="false">IF(CN6=1,1,CM56*IF(CN11&gt;CM11,1+CN55/100,1))</f>
        <v>2.49334869861084</v>
      </c>
      <c r="CO56" s="27" t="n">
        <f aca="false">IF(CO6=1,1,CN56*IF(CO11&gt;CN11,1+CO55/100,1))</f>
        <v>2.49334869861084</v>
      </c>
      <c r="CP56" s="27" t="n">
        <f aca="false">IF(CP6=1,1,CO56*IF(CP11&gt;CO11,1+CP55/100,1))</f>
        <v>2.55568241607611</v>
      </c>
      <c r="CQ56" s="27" t="n">
        <f aca="false">IF(CQ6=1,1,CP56*IF(CQ11&gt;CP11,1+CQ55/100,1))</f>
        <v>2.55568241607611</v>
      </c>
      <c r="CR56" s="27" t="n">
        <f aca="false">IF(CR6=1,1,CQ56*IF(CR11&gt;CQ11,1+CR55/100,1))</f>
        <v>2.61957447647801</v>
      </c>
      <c r="CS56" s="27" t="n">
        <f aca="false">IF(CS6=1,1,CR56*IF(CS11&gt;CR11,1+CS55/100,1))</f>
        <v>2.61957447647801</v>
      </c>
      <c r="CT56" s="27" t="n">
        <f aca="false">IF(CT6=1,1,CS56*IF(CT11&gt;CS11,1+CT55/100,1))</f>
        <v>2.68506383838996</v>
      </c>
      <c r="CU56" s="27" t="n">
        <f aca="false">IF(CU6=1,1,CT56*IF(CU11&gt;CT11,1+CU55/100,1))</f>
        <v>2.68506383838996</v>
      </c>
      <c r="CV56" s="27" t="n">
        <f aca="false">IF(CV6=1,1,CU56*IF(CV11&gt;CU11,1+CV55/100,1))</f>
        <v>2.75219043434971</v>
      </c>
      <c r="CW56" s="27" t="n">
        <f aca="false">IF(CW6=1,1,CV56*IF(CW11&gt;CV11,1+CW55/100,1))</f>
        <v>2.75219043434971</v>
      </c>
      <c r="CX56" s="27" t="n">
        <f aca="false">IF(CX6=1,1,CW56*IF(CX11&gt;CW11,1+CX55/100,1))</f>
        <v>2.82099519520845</v>
      </c>
      <c r="CY56" s="27" t="n">
        <f aca="false">IF(CY6=1,1,CX56*IF(CY11&gt;CX11,1+CY55/100,1))</f>
        <v>2.82099519520845</v>
      </c>
      <c r="CZ56" s="27" t="n">
        <f aca="false">IF(CZ6=1,1,CY56*IF(CZ11&gt;CY11,1+CZ55/100,1))</f>
        <v>2.89152007508867</v>
      </c>
      <c r="DA56" s="27" t="n">
        <f aca="false">IF(DA6=1,1,CZ56*IF(DA11&gt;CZ11,1+DA55/100,1))</f>
        <v>2.89152007508867</v>
      </c>
      <c r="DB56" s="27" t="n">
        <f aca="false">IF(DB6=1,1,DA56*IF(DB11&gt;DA11,1+DB55/100,1))</f>
        <v>2.96380807696588</v>
      </c>
    </row>
    <row r="57" customFormat="false" ht="15" hidden="false" customHeight="false" outlineLevel="0" collapsed="false">
      <c r="D57" s="0" t="s">
        <v>362</v>
      </c>
      <c r="E57" s="0" t="s">
        <v>171</v>
      </c>
      <c r="F57" s="27" t="n">
        <f aca="false">IF(Inputs!$F$216=1,EXP(SUMPRODUCT((Inputs!$J$255:$BE$255&gt;=Inputs!$F$61)*(Inputs!$J$255:$BE$255&lt;=Inputs!$F$62)*LN(1+Inputs!$J$257:$BE$257/100))),EXP(SUMPRODUCT((Inputs!$J$255:$BE$255&gt;=Inputs!$F$61)*(Inputs!$J$255:$BE$255&lt;=Inputs!$F$62)*LN(1+Inputs!$J$256:$BE$256/100))))</f>
        <v>1.21840289750992</v>
      </c>
    </row>
    <row r="58" customFormat="false" ht="15" hidden="false" customHeight="false" outlineLevel="0" collapsed="false">
      <c r="D58" s="0" t="s">
        <v>363</v>
      </c>
      <c r="E58" s="0" t="s">
        <v>42</v>
      </c>
      <c r="J58" s="14" t="n">
        <f aca="false">IF(AND(J7&lt;DATE(J11,Inputs!$F$51,1),DATE(J11,Inputs!$F$51,1)&lt;=J8),1,0)</f>
        <v>0</v>
      </c>
      <c r="K58" s="14" t="n">
        <f aca="false">IF(AND(K7&lt;DATE(K11,Inputs!$F$51,1),DATE(K11,Inputs!$F$51,1)&lt;=K8),1,0)</f>
        <v>1</v>
      </c>
      <c r="L58" s="14" t="n">
        <f aca="false">IF(AND(L7&lt;DATE(L11,Inputs!$F$51,1),DATE(L11,Inputs!$F$51,1)&lt;=L8),1,0)</f>
        <v>0</v>
      </c>
      <c r="M58" s="14" t="n">
        <f aca="false">IF(AND(M7&lt;DATE(M11,Inputs!$F$51,1),DATE(M11,Inputs!$F$51,1)&lt;=M8),1,0)</f>
        <v>0</v>
      </c>
      <c r="N58" s="14" t="n">
        <f aca="false">IF(AND(N7&lt;DATE(N11,Inputs!$F$51,1),DATE(N11,Inputs!$F$51,1)&lt;=N8),1,0)</f>
        <v>0</v>
      </c>
      <c r="O58" s="14" t="n">
        <f aca="false">IF(AND(O7&lt;DATE(O11,Inputs!$F$51,1),DATE(O11,Inputs!$F$51,1)&lt;=O8),1,0)</f>
        <v>1</v>
      </c>
      <c r="P58" s="14" t="n">
        <f aca="false">IF(AND(P7&lt;DATE(P11,Inputs!$F$51,1),DATE(P11,Inputs!$F$51,1)&lt;=P8),1,0)</f>
        <v>0</v>
      </c>
      <c r="Q58" s="14" t="n">
        <f aca="false">IF(AND(Q7&lt;DATE(Q11,Inputs!$F$51,1),DATE(Q11,Inputs!$F$51,1)&lt;=Q8),1,0)</f>
        <v>0</v>
      </c>
      <c r="R58" s="14" t="n">
        <f aca="false">IF(AND(R7&lt;DATE(R11,Inputs!$F$51,1),DATE(R11,Inputs!$F$51,1)&lt;=R8),1,0)</f>
        <v>0</v>
      </c>
      <c r="S58" s="14" t="n">
        <f aca="false">IF(AND(S7&lt;DATE(S11,Inputs!$F$51,1),DATE(S11,Inputs!$F$51,1)&lt;=S8),1,0)</f>
        <v>1</v>
      </c>
      <c r="T58" s="14" t="n">
        <f aca="false">IF(AND(T7&lt;DATE(T11,Inputs!$F$51,1),DATE(T11,Inputs!$F$51,1)&lt;=T8),1,0)</f>
        <v>0</v>
      </c>
      <c r="U58" s="14" t="n">
        <f aca="false">IF(AND(U7&lt;DATE(U11,Inputs!$F$51,1),DATE(U11,Inputs!$F$51,1)&lt;=U8),1,0)</f>
        <v>0</v>
      </c>
      <c r="V58" s="14" t="n">
        <f aca="false">IF(AND(V7&lt;DATE(V11,Inputs!$F$51,1),DATE(V11,Inputs!$F$51,1)&lt;=V8),1,0)</f>
        <v>0</v>
      </c>
      <c r="W58" s="14" t="n">
        <f aca="false">IF(AND(W7&lt;DATE(W11,Inputs!$F$51,1),DATE(W11,Inputs!$F$51,1)&lt;=W8),1,0)</f>
        <v>1</v>
      </c>
      <c r="X58" s="14" t="n">
        <f aca="false">IF(AND(X7&lt;DATE(X11,Inputs!$F$51,1),DATE(X11,Inputs!$F$51,1)&lt;=X8),1,0)</f>
        <v>0</v>
      </c>
      <c r="Y58" s="14" t="n">
        <f aca="false">IF(AND(Y7&lt;DATE(Y11,Inputs!$F$51,1),DATE(Y11,Inputs!$F$51,1)&lt;=Y8),1,0)</f>
        <v>0</v>
      </c>
      <c r="Z58" s="14" t="n">
        <f aca="false">IF(AND(Z7&lt;DATE(Z11,Inputs!$F$51,1),DATE(Z11,Inputs!$F$51,1)&lt;=Z8),1,0)</f>
        <v>0</v>
      </c>
      <c r="AA58" s="14" t="n">
        <f aca="false">IF(AND(AA7&lt;DATE(AA11,Inputs!$F$51,1),DATE(AA11,Inputs!$F$51,1)&lt;=AA8),1,0)</f>
        <v>1</v>
      </c>
      <c r="AB58" s="14" t="n">
        <f aca="false">IF(AND(AB7&lt;DATE(AB11,Inputs!$F$51,1),DATE(AB11,Inputs!$F$51,1)&lt;=AB8),1,0)</f>
        <v>0</v>
      </c>
      <c r="AC58" s="14" t="n">
        <f aca="false">IF(AND(AC7&lt;DATE(AC11,Inputs!$F$51,1),DATE(AC11,Inputs!$F$51,1)&lt;=AC8),1,0)</f>
        <v>1</v>
      </c>
      <c r="AD58" s="14" t="n">
        <f aca="false">IF(AND(AD7&lt;DATE(AD11,Inputs!$F$51,1),DATE(AD11,Inputs!$F$51,1)&lt;=AD8),1,0)</f>
        <v>0</v>
      </c>
      <c r="AE58" s="14" t="n">
        <f aca="false">IF(AND(AE7&lt;DATE(AE11,Inputs!$F$51,1),DATE(AE11,Inputs!$F$51,1)&lt;=AE8),1,0)</f>
        <v>1</v>
      </c>
      <c r="AF58" s="14" t="n">
        <f aca="false">IF(AND(AF7&lt;DATE(AF11,Inputs!$F$51,1),DATE(AF11,Inputs!$F$51,1)&lt;=AF8),1,0)</f>
        <v>0</v>
      </c>
      <c r="AG58" s="14" t="n">
        <f aca="false">IF(AND(AG7&lt;DATE(AG11,Inputs!$F$51,1),DATE(AG11,Inputs!$F$51,1)&lt;=AG8),1,0)</f>
        <v>1</v>
      </c>
      <c r="AH58" s="14" t="n">
        <f aca="false">IF(AND(AH7&lt;DATE(AH11,Inputs!$F$51,1),DATE(AH11,Inputs!$F$51,1)&lt;=AH8),1,0)</f>
        <v>0</v>
      </c>
      <c r="AI58" s="14" t="n">
        <f aca="false">IF(AND(AI7&lt;DATE(AI11,Inputs!$F$51,1),DATE(AI11,Inputs!$F$51,1)&lt;=AI8),1,0)</f>
        <v>1</v>
      </c>
      <c r="AJ58" s="14" t="n">
        <f aca="false">IF(AND(AJ7&lt;DATE(AJ11,Inputs!$F$51,1),DATE(AJ11,Inputs!$F$51,1)&lt;=AJ8),1,0)</f>
        <v>0</v>
      </c>
      <c r="AK58" s="14" t="n">
        <f aca="false">IF(AND(AK7&lt;DATE(AK11,Inputs!$F$51,1),DATE(AK11,Inputs!$F$51,1)&lt;=AK8),1,0)</f>
        <v>1</v>
      </c>
      <c r="AL58" s="14" t="n">
        <f aca="false">IF(AND(AL7&lt;DATE(AL11,Inputs!$F$51,1),DATE(AL11,Inputs!$F$51,1)&lt;=AL8),1,0)</f>
        <v>0</v>
      </c>
      <c r="AM58" s="14" t="n">
        <f aca="false">IF(AND(AM7&lt;DATE(AM11,Inputs!$F$51,1),DATE(AM11,Inputs!$F$51,1)&lt;=AM8),1,0)</f>
        <v>1</v>
      </c>
      <c r="AN58" s="14" t="n">
        <f aca="false">IF(AND(AN7&lt;DATE(AN11,Inputs!$F$51,1),DATE(AN11,Inputs!$F$51,1)&lt;=AN8),1,0)</f>
        <v>0</v>
      </c>
      <c r="AO58" s="14" t="n">
        <f aca="false">IF(AND(AO7&lt;DATE(AO11,Inputs!$F$51,1),DATE(AO11,Inputs!$F$51,1)&lt;=AO8),1,0)</f>
        <v>1</v>
      </c>
      <c r="AP58" s="14" t="n">
        <f aca="false">IF(AND(AP7&lt;DATE(AP11,Inputs!$F$51,1),DATE(AP11,Inputs!$F$51,1)&lt;=AP8),1,0)</f>
        <v>0</v>
      </c>
      <c r="AQ58" s="14" t="n">
        <f aca="false">IF(AND(AQ7&lt;DATE(AQ11,Inputs!$F$51,1),DATE(AQ11,Inputs!$F$51,1)&lt;=AQ8),1,0)</f>
        <v>1</v>
      </c>
      <c r="AR58" s="14" t="n">
        <f aca="false">IF(AND(AR7&lt;DATE(AR11,Inputs!$F$51,1),DATE(AR11,Inputs!$F$51,1)&lt;=AR8),1,0)</f>
        <v>0</v>
      </c>
      <c r="AS58" s="14" t="n">
        <f aca="false">IF(AND(AS7&lt;DATE(AS11,Inputs!$F$51,1),DATE(AS11,Inputs!$F$51,1)&lt;=AS8),1,0)</f>
        <v>1</v>
      </c>
      <c r="AT58" s="14" t="n">
        <f aca="false">IF(AND(AT7&lt;DATE(AT11,Inputs!$F$51,1),DATE(AT11,Inputs!$F$51,1)&lt;=AT8),1,0)</f>
        <v>0</v>
      </c>
      <c r="AU58" s="14" t="n">
        <f aca="false">IF(AND(AU7&lt;DATE(AU11,Inputs!$F$51,1),DATE(AU11,Inputs!$F$51,1)&lt;=AU8),1,0)</f>
        <v>1</v>
      </c>
      <c r="AV58" s="14" t="n">
        <f aca="false">IF(AND(AV7&lt;DATE(AV11,Inputs!$F$51,1),DATE(AV11,Inputs!$F$51,1)&lt;=AV8),1,0)</f>
        <v>0</v>
      </c>
      <c r="AW58" s="14" t="n">
        <f aca="false">IF(AND(AW7&lt;DATE(AW11,Inputs!$F$51,1),DATE(AW11,Inputs!$F$51,1)&lt;=AW8),1,0)</f>
        <v>1</v>
      </c>
      <c r="AX58" s="14" t="n">
        <f aca="false">IF(AND(AX7&lt;DATE(AX11,Inputs!$F$51,1),DATE(AX11,Inputs!$F$51,1)&lt;=AX8),1,0)</f>
        <v>0</v>
      </c>
      <c r="AY58" s="14" t="n">
        <f aca="false">IF(AND(AY7&lt;DATE(AY11,Inputs!$F$51,1),DATE(AY11,Inputs!$F$51,1)&lt;=AY8),1,0)</f>
        <v>1</v>
      </c>
      <c r="AZ58" s="14" t="n">
        <f aca="false">IF(AND(AZ7&lt;DATE(AZ11,Inputs!$F$51,1),DATE(AZ11,Inputs!$F$51,1)&lt;=AZ8),1,0)</f>
        <v>0</v>
      </c>
      <c r="BA58" s="14" t="n">
        <f aca="false">IF(AND(BA7&lt;DATE(BA11,Inputs!$F$51,1),DATE(BA11,Inputs!$F$51,1)&lt;=BA8),1,0)</f>
        <v>1</v>
      </c>
      <c r="BB58" s="14" t="n">
        <f aca="false">IF(AND(BB7&lt;DATE(BB11,Inputs!$F$51,1),DATE(BB11,Inputs!$F$51,1)&lt;=BB8),1,0)</f>
        <v>0</v>
      </c>
      <c r="BC58" s="14" t="n">
        <f aca="false">IF(AND(BC7&lt;DATE(BC11,Inputs!$F$51,1),DATE(BC11,Inputs!$F$51,1)&lt;=BC8),1,0)</f>
        <v>1</v>
      </c>
      <c r="BD58" s="14" t="n">
        <f aca="false">IF(AND(BD7&lt;DATE(BD11,Inputs!$F$51,1),DATE(BD11,Inputs!$F$51,1)&lt;=BD8),1,0)</f>
        <v>0</v>
      </c>
      <c r="BE58" s="14" t="n">
        <f aca="false">IF(AND(BE7&lt;DATE(BE11,Inputs!$F$51,1),DATE(BE11,Inputs!$F$51,1)&lt;=BE8),1,0)</f>
        <v>1</v>
      </c>
      <c r="BF58" s="14" t="n">
        <f aca="false">IF(AND(BF7&lt;DATE(BF11,Inputs!$F$51,1),DATE(BF11,Inputs!$F$51,1)&lt;=BF8),1,0)</f>
        <v>0</v>
      </c>
      <c r="BG58" s="14" t="n">
        <f aca="false">IF(AND(BG7&lt;DATE(BG11,Inputs!$F$51,1),DATE(BG11,Inputs!$F$51,1)&lt;=BG8),1,0)</f>
        <v>1</v>
      </c>
      <c r="BH58" s="14" t="n">
        <f aca="false">IF(AND(BH7&lt;DATE(BH11,Inputs!$F$51,1),DATE(BH11,Inputs!$F$51,1)&lt;=BH8),1,0)</f>
        <v>0</v>
      </c>
      <c r="BI58" s="14" t="n">
        <f aca="false">IF(AND(BI7&lt;DATE(BI11,Inputs!$F$51,1),DATE(BI11,Inputs!$F$51,1)&lt;=BI8),1,0)</f>
        <v>1</v>
      </c>
      <c r="BJ58" s="14" t="n">
        <f aca="false">IF(AND(BJ7&lt;DATE(BJ11,Inputs!$F$51,1),DATE(BJ11,Inputs!$F$51,1)&lt;=BJ8),1,0)</f>
        <v>0</v>
      </c>
      <c r="BK58" s="14" t="n">
        <f aca="false">IF(AND(BK7&lt;DATE(BK11,Inputs!$F$51,1),DATE(BK11,Inputs!$F$51,1)&lt;=BK8),1,0)</f>
        <v>1</v>
      </c>
      <c r="BL58" s="14" t="n">
        <f aca="false">IF(AND(BL7&lt;DATE(BL11,Inputs!$F$51,1),DATE(BL11,Inputs!$F$51,1)&lt;=BL8),1,0)</f>
        <v>0</v>
      </c>
      <c r="BM58" s="14" t="n">
        <f aca="false">IF(AND(BM7&lt;DATE(BM11,Inputs!$F$51,1),DATE(BM11,Inputs!$F$51,1)&lt;=BM8),1,0)</f>
        <v>1</v>
      </c>
      <c r="BN58" s="14" t="n">
        <f aca="false">IF(AND(BN7&lt;DATE(BN11,Inputs!$F$51,1),DATE(BN11,Inputs!$F$51,1)&lt;=BN8),1,0)</f>
        <v>0</v>
      </c>
      <c r="BO58" s="14" t="n">
        <f aca="false">IF(AND(BO7&lt;DATE(BO11,Inputs!$F$51,1),DATE(BO11,Inputs!$F$51,1)&lt;=BO8),1,0)</f>
        <v>1</v>
      </c>
      <c r="BP58" s="14" t="n">
        <f aca="false">IF(AND(BP7&lt;DATE(BP11,Inputs!$F$51,1),DATE(BP11,Inputs!$F$51,1)&lt;=BP8),1,0)</f>
        <v>0</v>
      </c>
      <c r="BQ58" s="14" t="n">
        <f aca="false">IF(AND(BQ7&lt;DATE(BQ11,Inputs!$F$51,1),DATE(BQ11,Inputs!$F$51,1)&lt;=BQ8),1,0)</f>
        <v>1</v>
      </c>
      <c r="BR58" s="14" t="n">
        <f aca="false">IF(AND(BR7&lt;DATE(BR11,Inputs!$F$51,1),DATE(BR11,Inputs!$F$51,1)&lt;=BR8),1,0)</f>
        <v>0</v>
      </c>
      <c r="BS58" s="14" t="n">
        <f aca="false">IF(AND(BS7&lt;DATE(BS11,Inputs!$F$51,1),DATE(BS11,Inputs!$F$51,1)&lt;=BS8),1,0)</f>
        <v>1</v>
      </c>
      <c r="BT58" s="14" t="n">
        <f aca="false">IF(AND(BT7&lt;DATE(BT11,Inputs!$F$51,1),DATE(BT11,Inputs!$F$51,1)&lt;=BT8),1,0)</f>
        <v>0</v>
      </c>
      <c r="BU58" s="14" t="n">
        <f aca="false">IF(AND(BU7&lt;DATE(BU11,Inputs!$F$51,1),DATE(BU11,Inputs!$F$51,1)&lt;=BU8),1,0)</f>
        <v>1</v>
      </c>
      <c r="BV58" s="14" t="n">
        <f aca="false">IF(AND(BV7&lt;DATE(BV11,Inputs!$F$51,1),DATE(BV11,Inputs!$F$51,1)&lt;=BV8),1,0)</f>
        <v>0</v>
      </c>
      <c r="BW58" s="14" t="n">
        <f aca="false">IF(AND(BW7&lt;DATE(BW11,Inputs!$F$51,1),DATE(BW11,Inputs!$F$51,1)&lt;=BW8),1,0)</f>
        <v>1</v>
      </c>
      <c r="BX58" s="14" t="n">
        <f aca="false">IF(AND(BX7&lt;DATE(BX11,Inputs!$F$51,1),DATE(BX11,Inputs!$F$51,1)&lt;=BX8),1,0)</f>
        <v>0</v>
      </c>
      <c r="BY58" s="14" t="n">
        <f aca="false">IF(AND(BY7&lt;DATE(BY11,Inputs!$F$51,1),DATE(BY11,Inputs!$F$51,1)&lt;=BY8),1,0)</f>
        <v>1</v>
      </c>
      <c r="BZ58" s="14" t="n">
        <f aca="false">IF(AND(BZ7&lt;DATE(BZ11,Inputs!$F$51,1),DATE(BZ11,Inputs!$F$51,1)&lt;=BZ8),1,0)</f>
        <v>0</v>
      </c>
      <c r="CA58" s="14" t="n">
        <f aca="false">IF(AND(CA7&lt;DATE(CA11,Inputs!$F$51,1),DATE(CA11,Inputs!$F$51,1)&lt;=CA8),1,0)</f>
        <v>1</v>
      </c>
      <c r="CB58" s="14" t="n">
        <f aca="false">IF(AND(CB7&lt;DATE(CB11,Inputs!$F$51,1),DATE(CB11,Inputs!$F$51,1)&lt;=CB8),1,0)</f>
        <v>0</v>
      </c>
      <c r="CC58" s="14" t="n">
        <f aca="false">IF(AND(CC7&lt;DATE(CC11,Inputs!$F$51,1),DATE(CC11,Inputs!$F$51,1)&lt;=CC8),1,0)</f>
        <v>1</v>
      </c>
      <c r="CD58" s="14" t="n">
        <f aca="false">IF(AND(CD7&lt;DATE(CD11,Inputs!$F$51,1),DATE(CD11,Inputs!$F$51,1)&lt;=CD8),1,0)</f>
        <v>0</v>
      </c>
      <c r="CE58" s="14" t="n">
        <f aca="false">IF(AND(CE7&lt;DATE(CE11,Inputs!$F$51,1),DATE(CE11,Inputs!$F$51,1)&lt;=CE8),1,0)</f>
        <v>1</v>
      </c>
      <c r="CF58" s="14" t="n">
        <f aca="false">IF(AND(CF7&lt;DATE(CF11,Inputs!$F$51,1),DATE(CF11,Inputs!$F$51,1)&lt;=CF8),1,0)</f>
        <v>0</v>
      </c>
      <c r="CG58" s="14" t="n">
        <f aca="false">IF(AND(CG7&lt;DATE(CG11,Inputs!$F$51,1),DATE(CG11,Inputs!$F$51,1)&lt;=CG8),1,0)</f>
        <v>1</v>
      </c>
      <c r="CH58" s="14" t="n">
        <f aca="false">IF(AND(CH7&lt;DATE(CH11,Inputs!$F$51,1),DATE(CH11,Inputs!$F$51,1)&lt;=CH8),1,0)</f>
        <v>0</v>
      </c>
      <c r="CI58" s="14" t="n">
        <f aca="false">IF(AND(CI7&lt;DATE(CI11,Inputs!$F$51,1),DATE(CI11,Inputs!$F$51,1)&lt;=CI8),1,0)</f>
        <v>1</v>
      </c>
      <c r="CJ58" s="14" t="n">
        <f aca="false">IF(AND(CJ7&lt;DATE(CJ11,Inputs!$F$51,1),DATE(CJ11,Inputs!$F$51,1)&lt;=CJ8),1,0)</f>
        <v>0</v>
      </c>
      <c r="CK58" s="14" t="n">
        <f aca="false">IF(AND(CK7&lt;DATE(CK11,Inputs!$F$51,1),DATE(CK11,Inputs!$F$51,1)&lt;=CK8),1,0)</f>
        <v>1</v>
      </c>
      <c r="CL58" s="14" t="n">
        <f aca="false">IF(AND(CL7&lt;DATE(CL11,Inputs!$F$51,1),DATE(CL11,Inputs!$F$51,1)&lt;=CL8),1,0)</f>
        <v>0</v>
      </c>
      <c r="CM58" s="14" t="n">
        <f aca="false">IF(AND(CM7&lt;DATE(CM11,Inputs!$F$51,1),DATE(CM11,Inputs!$F$51,1)&lt;=CM8),1,0)</f>
        <v>1</v>
      </c>
      <c r="CN58" s="14" t="n">
        <f aca="false">IF(AND(CN7&lt;DATE(CN11,Inputs!$F$51,1),DATE(CN11,Inputs!$F$51,1)&lt;=CN8),1,0)</f>
        <v>0</v>
      </c>
      <c r="CO58" s="14" t="n">
        <f aca="false">IF(AND(CO7&lt;DATE(CO11,Inputs!$F$51,1),DATE(CO11,Inputs!$F$51,1)&lt;=CO8),1,0)</f>
        <v>1</v>
      </c>
      <c r="CP58" s="14" t="n">
        <f aca="false">IF(AND(CP7&lt;DATE(CP11,Inputs!$F$51,1),DATE(CP11,Inputs!$F$51,1)&lt;=CP8),1,0)</f>
        <v>0</v>
      </c>
      <c r="CQ58" s="14" t="n">
        <f aca="false">IF(AND(CQ7&lt;DATE(CQ11,Inputs!$F$51,1),DATE(CQ11,Inputs!$F$51,1)&lt;=CQ8),1,0)</f>
        <v>1</v>
      </c>
      <c r="CR58" s="14" t="n">
        <f aca="false">IF(AND(CR7&lt;DATE(CR11,Inputs!$F$51,1),DATE(CR11,Inputs!$F$51,1)&lt;=CR8),1,0)</f>
        <v>0</v>
      </c>
      <c r="CS58" s="14" t="n">
        <f aca="false">IF(AND(CS7&lt;DATE(CS11,Inputs!$F$51,1),DATE(CS11,Inputs!$F$51,1)&lt;=CS8),1,0)</f>
        <v>1</v>
      </c>
      <c r="CT58" s="14" t="n">
        <f aca="false">IF(AND(CT7&lt;DATE(CT11,Inputs!$F$51,1),DATE(CT11,Inputs!$F$51,1)&lt;=CT8),1,0)</f>
        <v>0</v>
      </c>
      <c r="CU58" s="14" t="n">
        <f aca="false">IF(AND(CU7&lt;DATE(CU11,Inputs!$F$51,1),DATE(CU11,Inputs!$F$51,1)&lt;=CU8),1,0)</f>
        <v>1</v>
      </c>
      <c r="CV58" s="14" t="n">
        <f aca="false">IF(AND(CV7&lt;DATE(CV11,Inputs!$F$51,1),DATE(CV11,Inputs!$F$51,1)&lt;=CV8),1,0)</f>
        <v>0</v>
      </c>
      <c r="CW58" s="14" t="n">
        <f aca="false">IF(AND(CW7&lt;DATE(CW11,Inputs!$F$51,1),DATE(CW11,Inputs!$F$51,1)&lt;=CW8),1,0)</f>
        <v>1</v>
      </c>
      <c r="CX58" s="14" t="n">
        <f aca="false">IF(AND(CX7&lt;DATE(CX11,Inputs!$F$51,1),DATE(CX11,Inputs!$F$51,1)&lt;=CX8),1,0)</f>
        <v>0</v>
      </c>
      <c r="CY58" s="14" t="n">
        <f aca="false">IF(AND(CY7&lt;DATE(CY11,Inputs!$F$51,1),DATE(CY11,Inputs!$F$51,1)&lt;=CY8),1,0)</f>
        <v>1</v>
      </c>
      <c r="CZ58" s="14" t="n">
        <f aca="false">IF(AND(CZ7&lt;DATE(CZ11,Inputs!$F$51,1),DATE(CZ11,Inputs!$F$51,1)&lt;=CZ8),1,0)</f>
        <v>0</v>
      </c>
      <c r="DA58" s="14" t="n">
        <f aca="false">IF(AND(DA7&lt;DATE(DA11,Inputs!$F$51,1),DATE(DA11,Inputs!$F$51,1)&lt;=DA8),1,0)</f>
        <v>1</v>
      </c>
      <c r="DB58" s="14" t="n">
        <f aca="false">IF(AND(DB7&lt;DATE(DB11,Inputs!$F$51,1),DATE(DB11,Inputs!$F$51,1)&lt;=DB8),1,0)</f>
        <v>0</v>
      </c>
    </row>
    <row r="59" customFormat="false" ht="15" hidden="false" customHeight="false" outlineLevel="0" collapsed="false">
      <c r="D59" s="0" t="s">
        <v>364</v>
      </c>
      <c r="E59" s="0" t="s">
        <v>171</v>
      </c>
      <c r="J59" s="27" t="n">
        <f aca="false">IF(OR(Inputs!$F$220=1,AND(Inputs!$F$215=1,J11&gt;=Inputs!$F$54),J11&gt;Inputs!$F$53),1+J55/100,MAX(1+J55/100,1+Inputs!$F$126))</f>
        <v>1.025</v>
      </c>
      <c r="K59" s="27" t="n">
        <f aca="false">IF(OR(Inputs!$F$220=1,AND(Inputs!$F$215=1,K11&gt;=Inputs!$F$54),K11&gt;Inputs!$F$53),1+K55/100,MAX(1+K55/100,1+Inputs!$F$126))</f>
        <v>1.025</v>
      </c>
      <c r="L59" s="27" t="n">
        <f aca="false">IF(OR(Inputs!$F$220=1,AND(Inputs!$F$215=1,L11&gt;=Inputs!$F$54),L11&gt;Inputs!$F$53),1+L55/100,MAX(1+L55/100,1+Inputs!$F$126))</f>
        <v>1.025</v>
      </c>
      <c r="M59" s="27" t="n">
        <f aca="false">IF(OR(Inputs!$F$220=1,AND(Inputs!$F$215=1,M11&gt;=Inputs!$F$54),M11&gt;Inputs!$F$53),1+M55/100,MAX(1+M55/100,1+Inputs!$F$126))</f>
        <v>1.025</v>
      </c>
      <c r="N59" s="27" t="n">
        <f aca="false">IF(OR(Inputs!$F$220=1,AND(Inputs!$F$215=1,N11&gt;=Inputs!$F$54),N11&gt;Inputs!$F$53),1+N55/100,MAX(1+N55/100,1+Inputs!$F$126))</f>
        <v>1.025</v>
      </c>
      <c r="O59" s="27" t="n">
        <f aca="false">IF(OR(Inputs!$F$220=1,AND(Inputs!$F$215=1,O11&gt;=Inputs!$F$54),O11&gt;Inputs!$F$53),1+O55/100,MAX(1+O55/100,1+Inputs!$F$126))</f>
        <v>1.025</v>
      </c>
      <c r="P59" s="27" t="n">
        <f aca="false">IF(OR(Inputs!$F$220=1,AND(Inputs!$F$215=1,P11&gt;=Inputs!$F$54),P11&gt;Inputs!$F$53),1+P55/100,MAX(1+P55/100,1+Inputs!$F$126))</f>
        <v>1.025</v>
      </c>
      <c r="Q59" s="27" t="n">
        <f aca="false">IF(OR(Inputs!$F$220=1,AND(Inputs!$F$215=1,Q11&gt;=Inputs!$F$54),Q11&gt;Inputs!$F$53),1+Q55/100,MAX(1+Q55/100,1+Inputs!$F$126))</f>
        <v>1.025</v>
      </c>
      <c r="R59" s="27" t="n">
        <f aca="false">IF(OR(Inputs!$F$220=1,AND(Inputs!$F$215=1,R11&gt;=Inputs!$F$54),R11&gt;Inputs!$F$53),1+R55/100,MAX(1+R55/100,1+Inputs!$F$126))</f>
        <v>1.025</v>
      </c>
      <c r="S59" s="27" t="n">
        <f aca="false">IF(OR(Inputs!$F$220=1,AND(Inputs!$F$215=1,S11&gt;=Inputs!$F$54),S11&gt;Inputs!$F$53),1+S55/100,MAX(1+S55/100,1+Inputs!$F$126))</f>
        <v>1.025</v>
      </c>
      <c r="T59" s="27" t="n">
        <f aca="false">IF(OR(Inputs!$F$220=1,AND(Inputs!$F$215=1,T11&gt;=Inputs!$F$54),T11&gt;Inputs!$F$53),1+T55/100,MAX(1+T55/100,1+Inputs!$F$126))</f>
        <v>1.025</v>
      </c>
      <c r="U59" s="27" t="n">
        <f aca="false">IF(OR(Inputs!$F$220=1,AND(Inputs!$F$215=1,U11&gt;=Inputs!$F$54),U11&gt;Inputs!$F$53),1+U55/100,MAX(1+U55/100,1+Inputs!$F$126))</f>
        <v>1.025</v>
      </c>
      <c r="V59" s="27" t="n">
        <f aca="false">IF(OR(Inputs!$F$220=1,AND(Inputs!$F$215=1,V11&gt;=Inputs!$F$54),V11&gt;Inputs!$F$53),1+V55/100,MAX(1+V55/100,1+Inputs!$F$126))</f>
        <v>1.025</v>
      </c>
      <c r="W59" s="27" t="n">
        <f aca="false">IF(OR(Inputs!$F$220=1,AND(Inputs!$F$215=1,W11&gt;=Inputs!$F$54),W11&gt;Inputs!$F$53),1+W55/100,MAX(1+W55/100,1+Inputs!$F$126))</f>
        <v>1.025</v>
      </c>
      <c r="X59" s="27" t="n">
        <f aca="false">IF(OR(Inputs!$F$220=1,AND(Inputs!$F$215=1,X11&gt;=Inputs!$F$54),X11&gt;Inputs!$F$53),1+X55/100,MAX(1+X55/100,1+Inputs!$F$126))</f>
        <v>1.025</v>
      </c>
      <c r="Y59" s="27" t="n">
        <f aca="false">IF(OR(Inputs!$F$220=1,AND(Inputs!$F$215=1,Y11&gt;=Inputs!$F$54),Y11&gt;Inputs!$F$53),1+Y55/100,MAX(1+Y55/100,1+Inputs!$F$126))</f>
        <v>1.025</v>
      </c>
      <c r="Z59" s="27" t="n">
        <f aca="false">IF(OR(Inputs!$F$220=1,AND(Inputs!$F$215=1,Z11&gt;=Inputs!$F$54),Z11&gt;Inputs!$F$53),1+Z55/100,MAX(1+Z55/100,1+Inputs!$F$126))</f>
        <v>1.025</v>
      </c>
      <c r="AA59" s="27" t="n">
        <f aca="false">IF(OR(Inputs!$F$220=1,AND(Inputs!$F$215=1,AA11&gt;=Inputs!$F$54),AA11&gt;Inputs!$F$53),1+AA55/100,MAX(1+AA55/100,1+Inputs!$F$126))</f>
        <v>1.025</v>
      </c>
      <c r="AB59" s="27" t="n">
        <f aca="false">IF(OR(Inputs!$F$220=1,AND(Inputs!$F$215=1,AB11&gt;=Inputs!$F$54),AB11&gt;Inputs!$F$53),1+AB55/100,MAX(1+AB55/100,1+Inputs!$F$126))</f>
        <v>1.025</v>
      </c>
      <c r="AC59" s="27" t="n">
        <f aca="false">IF(OR(Inputs!$F$220=1,AND(Inputs!$F$215=1,AC11&gt;=Inputs!$F$54),AC11&gt;Inputs!$F$53),1+AC55/100,MAX(1+AC55/100,1+Inputs!$F$126))</f>
        <v>1.025</v>
      </c>
      <c r="AD59" s="27" t="n">
        <f aca="false">IF(OR(Inputs!$F$220=1,AND(Inputs!$F$215=1,AD11&gt;=Inputs!$F$54),AD11&gt;Inputs!$F$53),1+AD55/100,MAX(1+AD55/100,1+Inputs!$F$126))</f>
        <v>1.025</v>
      </c>
      <c r="AE59" s="27" t="n">
        <f aca="false">IF(OR(Inputs!$F$220=1,AND(Inputs!$F$215=1,AE11&gt;=Inputs!$F$54),AE11&gt;Inputs!$F$53),1+AE55/100,MAX(1+AE55/100,1+Inputs!$F$126))</f>
        <v>1.025</v>
      </c>
      <c r="AF59" s="27" t="n">
        <f aca="false">IF(OR(Inputs!$F$220=1,AND(Inputs!$F$215=1,AF11&gt;=Inputs!$F$54),AF11&gt;Inputs!$F$53),1+AF55/100,MAX(1+AF55/100,1+Inputs!$F$126))</f>
        <v>1.025</v>
      </c>
      <c r="AG59" s="27" t="n">
        <f aca="false">IF(OR(Inputs!$F$220=1,AND(Inputs!$F$215=1,AG11&gt;=Inputs!$F$54),AG11&gt;Inputs!$F$53),1+AG55/100,MAX(1+AG55/100,1+Inputs!$F$126))</f>
        <v>1.025</v>
      </c>
      <c r="AH59" s="27" t="n">
        <f aca="false">IF(OR(Inputs!$F$220=1,AND(Inputs!$F$215=1,AH11&gt;=Inputs!$F$54),AH11&gt;Inputs!$F$53),1+AH55/100,MAX(1+AH55/100,1+Inputs!$F$126))</f>
        <v>1.025</v>
      </c>
      <c r="AI59" s="27" t="n">
        <f aca="false">IF(OR(Inputs!$F$220=1,AND(Inputs!$F$215=1,AI11&gt;=Inputs!$F$54),AI11&gt;Inputs!$F$53),1+AI55/100,MAX(1+AI55/100,1+Inputs!$F$126))</f>
        <v>1.025</v>
      </c>
      <c r="AJ59" s="27" t="n">
        <f aca="false">IF(OR(Inputs!$F$220=1,AND(Inputs!$F$215=1,AJ11&gt;=Inputs!$F$54),AJ11&gt;Inputs!$F$53),1+AJ55/100,MAX(1+AJ55/100,1+Inputs!$F$126))</f>
        <v>1.025</v>
      </c>
      <c r="AK59" s="27" t="n">
        <f aca="false">IF(OR(Inputs!$F$220=1,AND(Inputs!$F$215=1,AK11&gt;=Inputs!$F$54),AK11&gt;Inputs!$F$53),1+AK55/100,MAX(1+AK55/100,1+Inputs!$F$126))</f>
        <v>1.025</v>
      </c>
      <c r="AL59" s="27" t="n">
        <f aca="false">IF(OR(Inputs!$F$220=1,AND(Inputs!$F$215=1,AL11&gt;=Inputs!$F$54),AL11&gt;Inputs!$F$53),1+AL55/100,MAX(1+AL55/100,1+Inputs!$F$126))</f>
        <v>1.025</v>
      </c>
      <c r="AM59" s="27" t="n">
        <f aca="false">IF(OR(Inputs!$F$220=1,AND(Inputs!$F$215=1,AM11&gt;=Inputs!$F$54),AM11&gt;Inputs!$F$53),1+AM55/100,MAX(1+AM55/100,1+Inputs!$F$126))</f>
        <v>1.025</v>
      </c>
      <c r="AN59" s="27" t="n">
        <f aca="false">IF(OR(Inputs!$F$220=1,AND(Inputs!$F$215=1,AN11&gt;=Inputs!$F$54),AN11&gt;Inputs!$F$53),1+AN55/100,MAX(1+AN55/100,1+Inputs!$F$126))</f>
        <v>1.025</v>
      </c>
      <c r="AO59" s="27" t="n">
        <f aca="false">IF(OR(Inputs!$F$220=1,AND(Inputs!$F$215=1,AO11&gt;=Inputs!$F$54),AO11&gt;Inputs!$F$53),1+AO55/100,MAX(1+AO55/100,1+Inputs!$F$126))</f>
        <v>1.025</v>
      </c>
      <c r="AP59" s="27" t="n">
        <f aca="false">IF(OR(Inputs!$F$220=1,AND(Inputs!$F$215=1,AP11&gt;=Inputs!$F$54),AP11&gt;Inputs!$F$53),1+AP55/100,MAX(1+AP55/100,1+Inputs!$F$126))</f>
        <v>1.025</v>
      </c>
      <c r="AQ59" s="27" t="n">
        <f aca="false">IF(OR(Inputs!$F$220=1,AND(Inputs!$F$215=1,AQ11&gt;=Inputs!$F$54),AQ11&gt;Inputs!$F$53),1+AQ55/100,MAX(1+AQ55/100,1+Inputs!$F$126))</f>
        <v>1.025</v>
      </c>
      <c r="AR59" s="27" t="n">
        <f aca="false">IF(OR(Inputs!$F$220=1,AND(Inputs!$F$215=1,AR11&gt;=Inputs!$F$54),AR11&gt;Inputs!$F$53),1+AR55/100,MAX(1+AR55/100,1+Inputs!$F$126))</f>
        <v>1.025</v>
      </c>
      <c r="AS59" s="27" t="n">
        <f aca="false">IF(OR(Inputs!$F$220=1,AND(Inputs!$F$215=1,AS11&gt;=Inputs!$F$54),AS11&gt;Inputs!$F$53),1+AS55/100,MAX(1+AS55/100,1+Inputs!$F$126))</f>
        <v>1.025</v>
      </c>
      <c r="AT59" s="27" t="n">
        <f aca="false">IF(OR(Inputs!$F$220=1,AND(Inputs!$F$215=1,AT11&gt;=Inputs!$F$54),AT11&gt;Inputs!$F$53),1+AT55/100,MAX(1+AT55/100,1+Inputs!$F$126))</f>
        <v>1.025</v>
      </c>
      <c r="AU59" s="27" t="n">
        <f aca="false">IF(OR(Inputs!$F$220=1,AND(Inputs!$F$215=1,AU11&gt;=Inputs!$F$54),AU11&gt;Inputs!$F$53),1+AU55/100,MAX(1+AU55/100,1+Inputs!$F$126))</f>
        <v>1.025</v>
      </c>
      <c r="AV59" s="27" t="n">
        <f aca="false">IF(OR(Inputs!$F$220=1,AND(Inputs!$F$215=1,AV11&gt;=Inputs!$F$54),AV11&gt;Inputs!$F$53),1+AV55/100,MAX(1+AV55/100,1+Inputs!$F$126))</f>
        <v>1.025</v>
      </c>
      <c r="AW59" s="27" t="n">
        <f aca="false">IF(OR(Inputs!$F$220=1,AND(Inputs!$F$215=1,AW11&gt;=Inputs!$F$54),AW11&gt;Inputs!$F$53),1+AW55/100,MAX(1+AW55/100,1+Inputs!$F$126))</f>
        <v>1.025</v>
      </c>
      <c r="AX59" s="27" t="n">
        <f aca="false">IF(OR(Inputs!$F$220=1,AND(Inputs!$F$215=1,AX11&gt;=Inputs!$F$54),AX11&gt;Inputs!$F$53),1+AX55/100,MAX(1+AX55/100,1+Inputs!$F$126))</f>
        <v>1.025</v>
      </c>
      <c r="AY59" s="27" t="n">
        <f aca="false">IF(OR(Inputs!$F$220=1,AND(Inputs!$F$215=1,AY11&gt;=Inputs!$F$54),AY11&gt;Inputs!$F$53),1+AY55/100,MAX(1+AY55/100,1+Inputs!$F$126))</f>
        <v>1.025</v>
      </c>
      <c r="AZ59" s="27" t="n">
        <f aca="false">IF(OR(Inputs!$F$220=1,AND(Inputs!$F$215=1,AZ11&gt;=Inputs!$F$54),AZ11&gt;Inputs!$F$53),1+AZ55/100,MAX(1+AZ55/100,1+Inputs!$F$126))</f>
        <v>1.025</v>
      </c>
      <c r="BA59" s="27" t="n">
        <f aca="false">IF(OR(Inputs!$F$220=1,AND(Inputs!$F$215=1,BA11&gt;=Inputs!$F$54),BA11&gt;Inputs!$F$53),1+BA55/100,MAX(1+BA55/100,1+Inputs!$F$126))</f>
        <v>1.025</v>
      </c>
      <c r="BB59" s="27" t="n">
        <f aca="false">IF(OR(Inputs!$F$220=1,AND(Inputs!$F$215=1,BB11&gt;=Inputs!$F$54),BB11&gt;Inputs!$F$53),1+BB55/100,MAX(1+BB55/100,1+Inputs!$F$126))</f>
        <v>1.025</v>
      </c>
      <c r="BC59" s="27" t="n">
        <f aca="false">IF(OR(Inputs!$F$220=1,AND(Inputs!$F$215=1,BC11&gt;=Inputs!$F$54),BC11&gt;Inputs!$F$53),1+BC55/100,MAX(1+BC55/100,1+Inputs!$F$126))</f>
        <v>1.025</v>
      </c>
      <c r="BD59" s="27" t="n">
        <f aca="false">IF(OR(Inputs!$F$220=1,AND(Inputs!$F$215=1,BD11&gt;=Inputs!$F$54),BD11&gt;Inputs!$F$53),1+BD55/100,MAX(1+BD55/100,1+Inputs!$F$126))</f>
        <v>1.025</v>
      </c>
      <c r="BE59" s="27" t="n">
        <f aca="false">IF(OR(Inputs!$F$220=1,AND(Inputs!$F$215=1,BE11&gt;=Inputs!$F$54),BE11&gt;Inputs!$F$53),1+BE55/100,MAX(1+BE55/100,1+Inputs!$F$126))</f>
        <v>1.025</v>
      </c>
      <c r="BF59" s="27" t="n">
        <f aca="false">IF(OR(Inputs!$F$220=1,AND(Inputs!$F$215=1,BF11&gt;=Inputs!$F$54),BF11&gt;Inputs!$F$53),1+BF55/100,MAX(1+BF55/100,1+Inputs!$F$126))</f>
        <v>1.025</v>
      </c>
      <c r="BG59" s="27" t="n">
        <f aca="false">IF(OR(Inputs!$F$220=1,AND(Inputs!$F$215=1,BG11&gt;=Inputs!$F$54),BG11&gt;Inputs!$F$53),1+BG55/100,MAX(1+BG55/100,1+Inputs!$F$126))</f>
        <v>1.025</v>
      </c>
      <c r="BH59" s="27" t="n">
        <f aca="false">IF(OR(Inputs!$F$220=1,AND(Inputs!$F$215=1,BH11&gt;=Inputs!$F$54),BH11&gt;Inputs!$F$53),1+BH55/100,MAX(1+BH55/100,1+Inputs!$F$126))</f>
        <v>1.025</v>
      </c>
      <c r="BI59" s="27" t="n">
        <f aca="false">IF(OR(Inputs!$F$220=1,AND(Inputs!$F$215=1,BI11&gt;=Inputs!$F$54),BI11&gt;Inputs!$F$53),1+BI55/100,MAX(1+BI55/100,1+Inputs!$F$126))</f>
        <v>1.025</v>
      </c>
      <c r="BJ59" s="27" t="n">
        <f aca="false">IF(OR(Inputs!$F$220=1,AND(Inputs!$F$215=1,BJ11&gt;=Inputs!$F$54),BJ11&gt;Inputs!$F$53),1+BJ55/100,MAX(1+BJ55/100,1+Inputs!$F$126))</f>
        <v>1.025</v>
      </c>
      <c r="BK59" s="27" t="n">
        <f aca="false">IF(OR(Inputs!$F$220=1,AND(Inputs!$F$215=1,BK11&gt;=Inputs!$F$54),BK11&gt;Inputs!$F$53),1+BK55/100,MAX(1+BK55/100,1+Inputs!$F$126))</f>
        <v>1.025</v>
      </c>
      <c r="BL59" s="27" t="n">
        <f aca="false">IF(OR(Inputs!$F$220=1,AND(Inputs!$F$215=1,BL11&gt;=Inputs!$F$54),BL11&gt;Inputs!$F$53),1+BL55/100,MAX(1+BL55/100,1+Inputs!$F$126))</f>
        <v>1.025</v>
      </c>
      <c r="BM59" s="27" t="n">
        <f aca="false">IF(OR(Inputs!$F$220=1,AND(Inputs!$F$215=1,BM11&gt;=Inputs!$F$54),BM11&gt;Inputs!$F$53),1+BM55/100,MAX(1+BM55/100,1+Inputs!$F$126))</f>
        <v>1.025</v>
      </c>
      <c r="BN59" s="27" t="n">
        <f aca="false">IF(OR(Inputs!$F$220=1,AND(Inputs!$F$215=1,BN11&gt;=Inputs!$F$54),BN11&gt;Inputs!$F$53),1+BN55/100,MAX(1+BN55/100,1+Inputs!$F$126))</f>
        <v>1.025</v>
      </c>
      <c r="BO59" s="27" t="n">
        <f aca="false">IF(OR(Inputs!$F$220=1,AND(Inputs!$F$215=1,BO11&gt;=Inputs!$F$54),BO11&gt;Inputs!$F$53),1+BO55/100,MAX(1+BO55/100,1+Inputs!$F$126))</f>
        <v>1.025</v>
      </c>
      <c r="BP59" s="27" t="n">
        <f aca="false">IF(OR(Inputs!$F$220=1,AND(Inputs!$F$215=1,BP11&gt;=Inputs!$F$54),BP11&gt;Inputs!$F$53),1+BP55/100,MAX(1+BP55/100,1+Inputs!$F$126))</f>
        <v>1.025</v>
      </c>
      <c r="BQ59" s="27" t="n">
        <f aca="false">IF(OR(Inputs!$F$220=1,AND(Inputs!$F$215=1,BQ11&gt;=Inputs!$F$54),BQ11&gt;Inputs!$F$53),1+BQ55/100,MAX(1+BQ55/100,1+Inputs!$F$126))</f>
        <v>1.025</v>
      </c>
      <c r="BR59" s="27" t="n">
        <f aca="false">IF(OR(Inputs!$F$220=1,AND(Inputs!$F$215=1,BR11&gt;=Inputs!$F$54),BR11&gt;Inputs!$F$53),1+BR55/100,MAX(1+BR55/100,1+Inputs!$F$126))</f>
        <v>1.025</v>
      </c>
      <c r="BS59" s="27" t="n">
        <f aca="false">IF(OR(Inputs!$F$220=1,AND(Inputs!$F$215=1,BS11&gt;=Inputs!$F$54),BS11&gt;Inputs!$F$53),1+BS55/100,MAX(1+BS55/100,1+Inputs!$F$126))</f>
        <v>1.025</v>
      </c>
      <c r="BT59" s="27" t="n">
        <f aca="false">IF(OR(Inputs!$F$220=1,AND(Inputs!$F$215=1,BT11&gt;=Inputs!$F$54),BT11&gt;Inputs!$F$53),1+BT55/100,MAX(1+BT55/100,1+Inputs!$F$126))</f>
        <v>1.025</v>
      </c>
      <c r="BU59" s="27" t="n">
        <f aca="false">IF(OR(Inputs!$F$220=1,AND(Inputs!$F$215=1,BU11&gt;=Inputs!$F$54),BU11&gt;Inputs!$F$53),1+BU55/100,MAX(1+BU55/100,1+Inputs!$F$126))</f>
        <v>1.025</v>
      </c>
      <c r="BV59" s="27" t="n">
        <f aca="false">IF(OR(Inputs!$F$220=1,AND(Inputs!$F$215=1,BV11&gt;=Inputs!$F$54),BV11&gt;Inputs!$F$53),1+BV55/100,MAX(1+BV55/100,1+Inputs!$F$126))</f>
        <v>1.025</v>
      </c>
      <c r="BW59" s="27" t="n">
        <f aca="false">IF(OR(Inputs!$F$220=1,AND(Inputs!$F$215=1,BW11&gt;=Inputs!$F$54),BW11&gt;Inputs!$F$53),1+BW55/100,MAX(1+BW55/100,1+Inputs!$F$126))</f>
        <v>1.025</v>
      </c>
      <c r="BX59" s="27" t="n">
        <f aca="false">IF(OR(Inputs!$F$220=1,AND(Inputs!$F$215=1,BX11&gt;=Inputs!$F$54),BX11&gt;Inputs!$F$53),1+BX55/100,MAX(1+BX55/100,1+Inputs!$F$126))</f>
        <v>1.025</v>
      </c>
      <c r="BY59" s="27" t="n">
        <f aca="false">IF(OR(Inputs!$F$220=1,AND(Inputs!$F$215=1,BY11&gt;=Inputs!$F$54),BY11&gt;Inputs!$F$53),1+BY55/100,MAX(1+BY55/100,1+Inputs!$F$126))</f>
        <v>1.025</v>
      </c>
      <c r="BZ59" s="27" t="n">
        <f aca="false">IF(OR(Inputs!$F$220=1,AND(Inputs!$F$215=1,BZ11&gt;=Inputs!$F$54),BZ11&gt;Inputs!$F$53),1+BZ55/100,MAX(1+BZ55/100,1+Inputs!$F$126))</f>
        <v>1.025</v>
      </c>
      <c r="CA59" s="27" t="n">
        <f aca="false">IF(OR(Inputs!$F$220=1,AND(Inputs!$F$215=1,CA11&gt;=Inputs!$F$54),CA11&gt;Inputs!$F$53),1+CA55/100,MAX(1+CA55/100,1+Inputs!$F$126))</f>
        <v>1.025</v>
      </c>
      <c r="CB59" s="27" t="n">
        <f aca="false">IF(OR(Inputs!$F$220=1,AND(Inputs!$F$215=1,CB11&gt;=Inputs!$F$54),CB11&gt;Inputs!$F$53),1+CB55/100,MAX(1+CB55/100,1+Inputs!$F$126))</f>
        <v>1.025</v>
      </c>
      <c r="CC59" s="27" t="n">
        <f aca="false">IF(OR(Inputs!$F$220=1,AND(Inputs!$F$215=1,CC11&gt;=Inputs!$F$54),CC11&gt;Inputs!$F$53),1+CC55/100,MAX(1+CC55/100,1+Inputs!$F$126))</f>
        <v>1.025</v>
      </c>
      <c r="CD59" s="27" t="n">
        <f aca="false">IF(OR(Inputs!$F$220=1,AND(Inputs!$F$215=1,CD11&gt;=Inputs!$F$54),CD11&gt;Inputs!$F$53),1+CD55/100,MAX(1+CD55/100,1+Inputs!$F$126))</f>
        <v>1.025</v>
      </c>
      <c r="CE59" s="27" t="n">
        <f aca="false">IF(OR(Inputs!$F$220=1,AND(Inputs!$F$215=1,CE11&gt;=Inputs!$F$54),CE11&gt;Inputs!$F$53),1+CE55/100,MAX(1+CE55/100,1+Inputs!$F$126))</f>
        <v>1.025</v>
      </c>
      <c r="CF59" s="27" t="n">
        <f aca="false">IF(OR(Inputs!$F$220=1,AND(Inputs!$F$215=1,CF11&gt;=Inputs!$F$54),CF11&gt;Inputs!$F$53),1+CF55/100,MAX(1+CF55/100,1+Inputs!$F$126))</f>
        <v>1.025</v>
      </c>
      <c r="CG59" s="27" t="n">
        <f aca="false">IF(OR(Inputs!$F$220=1,AND(Inputs!$F$215=1,CG11&gt;=Inputs!$F$54),CG11&gt;Inputs!$F$53),1+CG55/100,MAX(1+CG55/100,1+Inputs!$F$126))</f>
        <v>1.025</v>
      </c>
      <c r="CH59" s="27" t="n">
        <f aca="false">IF(OR(Inputs!$F$220=1,AND(Inputs!$F$215=1,CH11&gt;=Inputs!$F$54),CH11&gt;Inputs!$F$53),1+CH55/100,MAX(1+CH55/100,1+Inputs!$F$126))</f>
        <v>1.025</v>
      </c>
      <c r="CI59" s="27" t="n">
        <f aca="false">IF(OR(Inputs!$F$220=1,AND(Inputs!$F$215=1,CI11&gt;=Inputs!$F$54),CI11&gt;Inputs!$F$53),1+CI55/100,MAX(1+CI55/100,1+Inputs!$F$126))</f>
        <v>1.025</v>
      </c>
      <c r="CJ59" s="27" t="n">
        <f aca="false">IF(OR(Inputs!$F$220=1,AND(Inputs!$F$215=1,CJ11&gt;=Inputs!$F$54),CJ11&gt;Inputs!$F$53),1+CJ55/100,MAX(1+CJ55/100,1+Inputs!$F$126))</f>
        <v>1.025</v>
      </c>
      <c r="CK59" s="27" t="n">
        <f aca="false">IF(OR(Inputs!$F$220=1,AND(Inputs!$F$215=1,CK11&gt;=Inputs!$F$54),CK11&gt;Inputs!$F$53),1+CK55/100,MAX(1+CK55/100,1+Inputs!$F$126))</f>
        <v>1.025</v>
      </c>
      <c r="CL59" s="27" t="n">
        <f aca="false">IF(OR(Inputs!$F$220=1,AND(Inputs!$F$215=1,CL11&gt;=Inputs!$F$54),CL11&gt;Inputs!$F$53),1+CL55/100,MAX(1+CL55/100,1+Inputs!$F$126))</f>
        <v>1.025</v>
      </c>
      <c r="CM59" s="27" t="n">
        <f aca="false">IF(OR(Inputs!$F$220=1,AND(Inputs!$F$215=1,CM11&gt;=Inputs!$F$54),CM11&gt;Inputs!$F$53),1+CM55/100,MAX(1+CM55/100,1+Inputs!$F$126))</f>
        <v>1.025</v>
      </c>
      <c r="CN59" s="27" t="n">
        <f aca="false">IF(OR(Inputs!$F$220=1,AND(Inputs!$F$215=1,CN11&gt;=Inputs!$F$54),CN11&gt;Inputs!$F$53),1+CN55/100,MAX(1+CN55/100,1+Inputs!$F$126))</f>
        <v>1.025</v>
      </c>
      <c r="CO59" s="27" t="n">
        <f aca="false">IF(OR(Inputs!$F$220=1,AND(Inputs!$F$215=1,CO11&gt;=Inputs!$F$54),CO11&gt;Inputs!$F$53),1+CO55/100,MAX(1+CO55/100,1+Inputs!$F$126))</f>
        <v>1.025</v>
      </c>
      <c r="CP59" s="27" t="n">
        <f aca="false">IF(OR(Inputs!$F$220=1,AND(Inputs!$F$215=1,CP11&gt;=Inputs!$F$54),CP11&gt;Inputs!$F$53),1+CP55/100,MAX(1+CP55/100,1+Inputs!$F$126))</f>
        <v>1.025</v>
      </c>
      <c r="CQ59" s="27" t="n">
        <f aca="false">IF(OR(Inputs!$F$220=1,AND(Inputs!$F$215=1,CQ11&gt;=Inputs!$F$54),CQ11&gt;Inputs!$F$53),1+CQ55/100,MAX(1+CQ55/100,1+Inputs!$F$126))</f>
        <v>1.025</v>
      </c>
      <c r="CR59" s="27" t="n">
        <f aca="false">IF(OR(Inputs!$F$220=1,AND(Inputs!$F$215=1,CR11&gt;=Inputs!$F$54),CR11&gt;Inputs!$F$53),1+CR55/100,MAX(1+CR55/100,1+Inputs!$F$126))</f>
        <v>1.025</v>
      </c>
      <c r="CS59" s="27" t="n">
        <f aca="false">IF(OR(Inputs!$F$220=1,AND(Inputs!$F$215=1,CS11&gt;=Inputs!$F$54),CS11&gt;Inputs!$F$53),1+CS55/100,MAX(1+CS55/100,1+Inputs!$F$126))</f>
        <v>1.025</v>
      </c>
      <c r="CT59" s="27" t="n">
        <f aca="false">IF(OR(Inputs!$F$220=1,AND(Inputs!$F$215=1,CT11&gt;=Inputs!$F$54),CT11&gt;Inputs!$F$53),1+CT55/100,MAX(1+CT55/100,1+Inputs!$F$126))</f>
        <v>1.025</v>
      </c>
      <c r="CU59" s="27" t="n">
        <f aca="false">IF(OR(Inputs!$F$220=1,AND(Inputs!$F$215=1,CU11&gt;=Inputs!$F$54),CU11&gt;Inputs!$F$53),1+CU55/100,MAX(1+CU55/100,1+Inputs!$F$126))</f>
        <v>1.025</v>
      </c>
      <c r="CV59" s="27" t="n">
        <f aca="false">IF(OR(Inputs!$F$220=1,AND(Inputs!$F$215=1,CV11&gt;=Inputs!$F$54),CV11&gt;Inputs!$F$53),1+CV55/100,MAX(1+CV55/100,1+Inputs!$F$126))</f>
        <v>1.025</v>
      </c>
      <c r="CW59" s="27" t="n">
        <f aca="false">IF(OR(Inputs!$F$220=1,AND(Inputs!$F$215=1,CW11&gt;=Inputs!$F$54),CW11&gt;Inputs!$F$53),1+CW55/100,MAX(1+CW55/100,1+Inputs!$F$126))</f>
        <v>1.025</v>
      </c>
      <c r="CX59" s="27" t="n">
        <f aca="false">IF(OR(Inputs!$F$220=1,AND(Inputs!$F$215=1,CX11&gt;=Inputs!$F$54),CX11&gt;Inputs!$F$53),1+CX55/100,MAX(1+CX55/100,1+Inputs!$F$126))</f>
        <v>1.025</v>
      </c>
      <c r="CY59" s="27" t="n">
        <f aca="false">IF(OR(Inputs!$F$220=1,AND(Inputs!$F$215=1,CY11&gt;=Inputs!$F$54),CY11&gt;Inputs!$F$53),1+CY55/100,MAX(1+CY55/100,1+Inputs!$F$126))</f>
        <v>1.025</v>
      </c>
      <c r="CZ59" s="27" t="n">
        <f aca="false">IF(OR(Inputs!$F$220=1,AND(Inputs!$F$215=1,CZ11&gt;=Inputs!$F$54),CZ11&gt;Inputs!$F$53),1+CZ55/100,MAX(1+CZ55/100,1+Inputs!$F$126))</f>
        <v>1.025</v>
      </c>
      <c r="DA59" s="27" t="n">
        <f aca="false">IF(OR(Inputs!$F$220=1,AND(Inputs!$F$215=1,DA11&gt;=Inputs!$F$54),DA11&gt;Inputs!$F$53),1+DA55/100,MAX(1+DA55/100,1+Inputs!$F$126))</f>
        <v>1.025</v>
      </c>
      <c r="DB59" s="27" t="n">
        <f aca="false">IF(OR(Inputs!$F$220=1,AND(Inputs!$F$215=1,DB11&gt;=Inputs!$F$54),DB11&gt;Inputs!$F$53),1+DB55/100,MAX(1+DB55/100,1+Inputs!$F$126))</f>
        <v>1.025</v>
      </c>
    </row>
    <row r="60" customFormat="false" ht="15" hidden="false" customHeight="false" outlineLevel="0" collapsed="false">
      <c r="D60" s="0" t="s">
        <v>365</v>
      </c>
      <c r="E60" s="0" t="s">
        <v>159</v>
      </c>
      <c r="J60" s="16" t="n">
        <f aca="false">IF(J6=1,IF(J58=1,ROUND(Inputs!$F$125*J59,Inputs!$F$52),Inputs!$F$125),IF(J58=1,ROUND(I60*J59,Inputs!$F$52),I60))</f>
        <v>0.1525</v>
      </c>
      <c r="K60" s="16" t="n">
        <f aca="false">IF(K6=1,IF(K58=1,ROUND(Inputs!$F$125*K59,Inputs!$F$52),Inputs!$F$125),IF(K58=1,ROUND(J60*K59,Inputs!$F$52),J60))</f>
        <v>0.1563</v>
      </c>
      <c r="L60" s="16" t="n">
        <f aca="false">IF(L6=1,IF(L58=1,ROUND(Inputs!$F$125*L59,Inputs!$F$52),Inputs!$F$125),IF(L58=1,ROUND(K60*L59,Inputs!$F$52),K60))</f>
        <v>0.1563</v>
      </c>
      <c r="M60" s="16" t="n">
        <f aca="false">IF(M6=1,IF(M58=1,ROUND(Inputs!$F$125*M59,Inputs!$F$52),Inputs!$F$125),IF(M58=1,ROUND(L60*M59,Inputs!$F$52),L60))</f>
        <v>0.1563</v>
      </c>
      <c r="N60" s="16" t="n">
        <f aca="false">IF(N6=1,IF(N58=1,ROUND(Inputs!$F$125*N59,Inputs!$F$52),Inputs!$F$125),IF(N58=1,ROUND(M60*N59,Inputs!$F$52),M60))</f>
        <v>0.1563</v>
      </c>
      <c r="O60" s="16" t="n">
        <f aca="false">IF(O6=1,IF(O58=1,ROUND(Inputs!$F$125*O59,Inputs!$F$52),Inputs!$F$125),IF(O58=1,ROUND(N60*O59,Inputs!$F$52),N60))</f>
        <v>0.1602</v>
      </c>
      <c r="P60" s="16" t="n">
        <f aca="false">IF(P6=1,IF(P58=1,ROUND(Inputs!$F$125*P59,Inputs!$F$52),Inputs!$F$125),IF(P58=1,ROUND(O60*P59,Inputs!$F$52),O60))</f>
        <v>0.1602</v>
      </c>
      <c r="Q60" s="16" t="n">
        <f aca="false">IF(Q6=1,IF(Q58=1,ROUND(Inputs!$F$125*Q59,Inputs!$F$52),Inputs!$F$125),IF(Q58=1,ROUND(P60*Q59,Inputs!$F$52),P60))</f>
        <v>0.1602</v>
      </c>
      <c r="R60" s="16" t="n">
        <f aca="false">IF(R6=1,IF(R58=1,ROUND(Inputs!$F$125*R59,Inputs!$F$52),Inputs!$F$125),IF(R58=1,ROUND(Q60*R59,Inputs!$F$52),Q60))</f>
        <v>0.1602</v>
      </c>
      <c r="S60" s="16" t="n">
        <f aca="false">IF(S6=1,IF(S58=1,ROUND(Inputs!$F$125*S59,Inputs!$F$52),Inputs!$F$125),IF(S58=1,ROUND(R60*S59,Inputs!$F$52),R60))</f>
        <v>0.1642</v>
      </c>
      <c r="T60" s="16" t="n">
        <f aca="false">IF(T6=1,IF(T58=1,ROUND(Inputs!$F$125*T59,Inputs!$F$52),Inputs!$F$125),IF(T58=1,ROUND(S60*T59,Inputs!$F$52),S60))</f>
        <v>0.1642</v>
      </c>
      <c r="U60" s="16" t="n">
        <f aca="false">IF(U6=1,IF(U58=1,ROUND(Inputs!$F$125*U59,Inputs!$F$52),Inputs!$F$125),IF(U58=1,ROUND(T60*U59,Inputs!$F$52),T60))</f>
        <v>0.1642</v>
      </c>
      <c r="V60" s="16" t="n">
        <f aca="false">IF(V6=1,IF(V58=1,ROUND(Inputs!$F$125*V59,Inputs!$F$52),Inputs!$F$125),IF(V58=1,ROUND(U60*V59,Inputs!$F$52),U60))</f>
        <v>0.1642</v>
      </c>
      <c r="W60" s="16" t="n">
        <f aca="false">IF(W6=1,IF(W58=1,ROUND(Inputs!$F$125*W59,Inputs!$F$52),Inputs!$F$125),IF(W58=1,ROUND(V60*W59,Inputs!$F$52),V60))</f>
        <v>0.1683</v>
      </c>
      <c r="X60" s="16" t="n">
        <f aca="false">IF(X6=1,IF(X58=1,ROUND(Inputs!$F$125*X59,Inputs!$F$52),Inputs!$F$125),IF(X58=1,ROUND(W60*X59,Inputs!$F$52),W60))</f>
        <v>0.1683</v>
      </c>
      <c r="Y60" s="16" t="n">
        <f aca="false">IF(Y6=1,IF(Y58=1,ROUND(Inputs!$F$125*Y59,Inputs!$F$52),Inputs!$F$125),IF(Y58=1,ROUND(X60*Y59,Inputs!$F$52),X60))</f>
        <v>0.1683</v>
      </c>
      <c r="Z60" s="16" t="n">
        <f aca="false">IF(Z6=1,IF(Z58=1,ROUND(Inputs!$F$125*Z59,Inputs!$F$52),Inputs!$F$125),IF(Z58=1,ROUND(Y60*Z59,Inputs!$F$52),Y60))</f>
        <v>0.1683</v>
      </c>
      <c r="AA60" s="16" t="n">
        <f aca="false">IF(AA6=1,IF(AA58=1,ROUND(Inputs!$F$125*AA59,Inputs!$F$52),Inputs!$F$125),IF(AA58=1,ROUND(Z60*AA59,Inputs!$F$52),Z60))</f>
        <v>0.1725</v>
      </c>
      <c r="AB60" s="16" t="n">
        <f aca="false">IF(AB6=1,IF(AB58=1,ROUND(Inputs!$F$125*AB59,Inputs!$F$52),Inputs!$F$125),IF(AB58=1,ROUND(AA60*AB59,Inputs!$F$52),AA60))</f>
        <v>0.1725</v>
      </c>
      <c r="AC60" s="16" t="n">
        <f aca="false">IF(AC6=1,IF(AC58=1,ROUND(Inputs!$F$125*AC59,Inputs!$F$52),Inputs!$F$125),IF(AC58=1,ROUND(AB60*AC59,Inputs!$F$52),AB60))</f>
        <v>0.1768</v>
      </c>
      <c r="AD60" s="16" t="n">
        <f aca="false">IF(AD6=1,IF(AD58=1,ROUND(Inputs!$F$125*AD59,Inputs!$F$52),Inputs!$F$125),IF(AD58=1,ROUND(AC60*AD59,Inputs!$F$52),AC60))</f>
        <v>0.1768</v>
      </c>
      <c r="AE60" s="16" t="n">
        <f aca="false">IF(AE6=1,IF(AE58=1,ROUND(Inputs!$F$125*AE59,Inputs!$F$52),Inputs!$F$125),IF(AE58=1,ROUND(AD60*AE59,Inputs!$F$52),AD60))</f>
        <v>0.1812</v>
      </c>
      <c r="AF60" s="16" t="n">
        <f aca="false">IF(AF6=1,IF(AF58=1,ROUND(Inputs!$F$125*AF59,Inputs!$F$52),Inputs!$F$125),IF(AF58=1,ROUND(AE60*AF59,Inputs!$F$52),AE60))</f>
        <v>0.1812</v>
      </c>
      <c r="AG60" s="16" t="n">
        <f aca="false">IF(AG6=1,IF(AG58=1,ROUND(Inputs!$F$125*AG59,Inputs!$F$52),Inputs!$F$125),IF(AG58=1,ROUND(AF60*AG59,Inputs!$F$52),AF60))</f>
        <v>0.1857</v>
      </c>
      <c r="AH60" s="16" t="n">
        <f aca="false">IF(AH6=1,IF(AH58=1,ROUND(Inputs!$F$125*AH59,Inputs!$F$52),Inputs!$F$125),IF(AH58=1,ROUND(AG60*AH59,Inputs!$F$52),AG60))</f>
        <v>0.1857</v>
      </c>
      <c r="AI60" s="16" t="n">
        <f aca="false">IF(AI6=1,IF(AI58=1,ROUND(Inputs!$F$125*AI59,Inputs!$F$52),Inputs!$F$125),IF(AI58=1,ROUND(AH60*AI59,Inputs!$F$52),AH60))</f>
        <v>0.1903</v>
      </c>
      <c r="AJ60" s="16" t="n">
        <f aca="false">IF(AJ6=1,IF(AJ58=1,ROUND(Inputs!$F$125*AJ59,Inputs!$F$52),Inputs!$F$125),IF(AJ58=1,ROUND(AI60*AJ59,Inputs!$F$52),AI60))</f>
        <v>0.1903</v>
      </c>
      <c r="AK60" s="16" t="n">
        <f aca="false">IF(AK6=1,IF(AK58=1,ROUND(Inputs!$F$125*AK59,Inputs!$F$52),Inputs!$F$125),IF(AK58=1,ROUND(AJ60*AK59,Inputs!$F$52),AJ60))</f>
        <v>0.1951</v>
      </c>
      <c r="AL60" s="16" t="n">
        <f aca="false">IF(AL6=1,IF(AL58=1,ROUND(Inputs!$F$125*AL59,Inputs!$F$52),Inputs!$F$125),IF(AL58=1,ROUND(AK60*AL59,Inputs!$F$52),AK60))</f>
        <v>0.1951</v>
      </c>
      <c r="AM60" s="16" t="n">
        <f aca="false">IF(AM6=1,IF(AM58=1,ROUND(Inputs!$F$125*AM59,Inputs!$F$52),Inputs!$F$125),IF(AM58=1,ROUND(AL60*AM59,Inputs!$F$52),AL60))</f>
        <v>0.2</v>
      </c>
      <c r="AN60" s="16" t="n">
        <f aca="false">IF(AN6=1,IF(AN58=1,ROUND(Inputs!$F$125*AN59,Inputs!$F$52),Inputs!$F$125),IF(AN58=1,ROUND(AM60*AN59,Inputs!$F$52),AM60))</f>
        <v>0.2</v>
      </c>
      <c r="AO60" s="16" t="n">
        <f aca="false">IF(AO6=1,IF(AO58=1,ROUND(Inputs!$F$125*AO59,Inputs!$F$52),Inputs!$F$125),IF(AO58=1,ROUND(AN60*AO59,Inputs!$F$52),AN60))</f>
        <v>0.205</v>
      </c>
      <c r="AP60" s="16" t="n">
        <f aca="false">IF(AP6=1,IF(AP58=1,ROUND(Inputs!$F$125*AP59,Inputs!$F$52),Inputs!$F$125),IF(AP58=1,ROUND(AO60*AP59,Inputs!$F$52),AO60))</f>
        <v>0.205</v>
      </c>
      <c r="AQ60" s="16" t="n">
        <f aca="false">IF(AQ6=1,IF(AQ58=1,ROUND(Inputs!$F$125*AQ59,Inputs!$F$52),Inputs!$F$125),IF(AQ58=1,ROUND(AP60*AQ59,Inputs!$F$52),AP60))</f>
        <v>0.2101</v>
      </c>
      <c r="AR60" s="16" t="n">
        <f aca="false">IF(AR6=1,IF(AR58=1,ROUND(Inputs!$F$125*AR59,Inputs!$F$52),Inputs!$F$125),IF(AR58=1,ROUND(AQ60*AR59,Inputs!$F$52),AQ60))</f>
        <v>0.2101</v>
      </c>
      <c r="AS60" s="16" t="n">
        <f aca="false">IF(AS6=1,IF(AS58=1,ROUND(Inputs!$F$125*AS59,Inputs!$F$52),Inputs!$F$125),IF(AS58=1,ROUND(AR60*AS59,Inputs!$F$52),AR60))</f>
        <v>0.2154</v>
      </c>
      <c r="AT60" s="16" t="n">
        <f aca="false">IF(AT6=1,IF(AT58=1,ROUND(Inputs!$F$125*AT59,Inputs!$F$52),Inputs!$F$125),IF(AT58=1,ROUND(AS60*AT59,Inputs!$F$52),AS60))</f>
        <v>0.2154</v>
      </c>
      <c r="AU60" s="16" t="n">
        <f aca="false">IF(AU6=1,IF(AU58=1,ROUND(Inputs!$F$125*AU59,Inputs!$F$52),Inputs!$F$125),IF(AU58=1,ROUND(AT60*AU59,Inputs!$F$52),AT60))</f>
        <v>0.2208</v>
      </c>
      <c r="AV60" s="16" t="n">
        <f aca="false">IF(AV6=1,IF(AV58=1,ROUND(Inputs!$F$125*AV59,Inputs!$F$52),Inputs!$F$125),IF(AV58=1,ROUND(AU60*AV59,Inputs!$F$52),AU60))</f>
        <v>0.2208</v>
      </c>
      <c r="AW60" s="16" t="n">
        <f aca="false">IF(AW6=1,IF(AW58=1,ROUND(Inputs!$F$125*AW59,Inputs!$F$52),Inputs!$F$125),IF(AW58=1,ROUND(AV60*AW59,Inputs!$F$52),AV60))</f>
        <v>0.2263</v>
      </c>
      <c r="AX60" s="16" t="n">
        <f aca="false">IF(AX6=1,IF(AX58=1,ROUND(Inputs!$F$125*AX59,Inputs!$F$52),Inputs!$F$125),IF(AX58=1,ROUND(AW60*AX59,Inputs!$F$52),AW60))</f>
        <v>0.2263</v>
      </c>
      <c r="AY60" s="16" t="n">
        <f aca="false">IF(AY6=1,IF(AY58=1,ROUND(Inputs!$F$125*AY59,Inputs!$F$52),Inputs!$F$125),IF(AY58=1,ROUND(AX60*AY59,Inputs!$F$52),AX60))</f>
        <v>0.232</v>
      </c>
      <c r="AZ60" s="16" t="n">
        <f aca="false">IF(AZ6=1,IF(AZ58=1,ROUND(Inputs!$F$125*AZ59,Inputs!$F$52),Inputs!$F$125),IF(AZ58=1,ROUND(AY60*AZ59,Inputs!$F$52),AY60))</f>
        <v>0.232</v>
      </c>
      <c r="BA60" s="16" t="n">
        <f aca="false">IF(BA6=1,IF(BA58=1,ROUND(Inputs!$F$125*BA59,Inputs!$F$52),Inputs!$F$125),IF(BA58=1,ROUND(AZ60*BA59,Inputs!$F$52),AZ60))</f>
        <v>0.2378</v>
      </c>
      <c r="BB60" s="16" t="n">
        <f aca="false">IF(BB6=1,IF(BB58=1,ROUND(Inputs!$F$125*BB59,Inputs!$F$52),Inputs!$F$125),IF(BB58=1,ROUND(BA60*BB59,Inputs!$F$52),BA60))</f>
        <v>0.2378</v>
      </c>
      <c r="BC60" s="16" t="n">
        <f aca="false">IF(BC6=1,IF(BC58=1,ROUND(Inputs!$F$125*BC59,Inputs!$F$52),Inputs!$F$125),IF(BC58=1,ROUND(BB60*BC59,Inputs!$F$52),BB60))</f>
        <v>0.2437</v>
      </c>
      <c r="BD60" s="16" t="n">
        <f aca="false">IF(BD6=1,IF(BD58=1,ROUND(Inputs!$F$125*BD59,Inputs!$F$52),Inputs!$F$125),IF(BD58=1,ROUND(BC60*BD59,Inputs!$F$52),BC60))</f>
        <v>0.2437</v>
      </c>
      <c r="BE60" s="16" t="n">
        <f aca="false">IF(BE6=1,IF(BE58=1,ROUND(Inputs!$F$125*BE59,Inputs!$F$52),Inputs!$F$125),IF(BE58=1,ROUND(BD60*BE59,Inputs!$F$52),BD60))</f>
        <v>0.2498</v>
      </c>
      <c r="BF60" s="16" t="n">
        <f aca="false">IF(BF6=1,IF(BF58=1,ROUND(Inputs!$F$125*BF59,Inputs!$F$52),Inputs!$F$125),IF(BF58=1,ROUND(BE60*BF59,Inputs!$F$52),BE60))</f>
        <v>0.2498</v>
      </c>
      <c r="BG60" s="16" t="n">
        <f aca="false">IF(BG6=1,IF(BG58=1,ROUND(Inputs!$F$125*BG59,Inputs!$F$52),Inputs!$F$125),IF(BG58=1,ROUND(BF60*BG59,Inputs!$F$52),BF60))</f>
        <v>0.256</v>
      </c>
      <c r="BH60" s="16" t="n">
        <f aca="false">IF(BH6=1,IF(BH58=1,ROUND(Inputs!$F$125*BH59,Inputs!$F$52),Inputs!$F$125),IF(BH58=1,ROUND(BG60*BH59,Inputs!$F$52),BG60))</f>
        <v>0.256</v>
      </c>
      <c r="BI60" s="16" t="n">
        <f aca="false">IF(BI6=1,IF(BI58=1,ROUND(Inputs!$F$125*BI59,Inputs!$F$52),Inputs!$F$125),IF(BI58=1,ROUND(BH60*BI59,Inputs!$F$52),BH60))</f>
        <v>0.2624</v>
      </c>
      <c r="BJ60" s="16" t="n">
        <f aca="false">IF(BJ6=1,IF(BJ58=1,ROUND(Inputs!$F$125*BJ59,Inputs!$F$52),Inputs!$F$125),IF(BJ58=1,ROUND(BI60*BJ59,Inputs!$F$52),BI60))</f>
        <v>0.2624</v>
      </c>
      <c r="BK60" s="16" t="n">
        <f aca="false">IF(BK6=1,IF(BK58=1,ROUND(Inputs!$F$125*BK59,Inputs!$F$52),Inputs!$F$125),IF(BK58=1,ROUND(BJ60*BK59,Inputs!$F$52),BJ60))</f>
        <v>0.269</v>
      </c>
      <c r="BL60" s="16" t="n">
        <f aca="false">IF(BL6=1,IF(BL58=1,ROUND(Inputs!$F$125*BL59,Inputs!$F$52),Inputs!$F$125),IF(BL58=1,ROUND(BK60*BL59,Inputs!$F$52),BK60))</f>
        <v>0.269</v>
      </c>
      <c r="BM60" s="16" t="n">
        <f aca="false">IF(BM6=1,IF(BM58=1,ROUND(Inputs!$F$125*BM59,Inputs!$F$52),Inputs!$F$125),IF(BM58=1,ROUND(BL60*BM59,Inputs!$F$52),BL60))</f>
        <v>0.2757</v>
      </c>
      <c r="BN60" s="16" t="n">
        <f aca="false">IF(BN6=1,IF(BN58=1,ROUND(Inputs!$F$125*BN59,Inputs!$F$52),Inputs!$F$125),IF(BN58=1,ROUND(BM60*BN59,Inputs!$F$52),BM60))</f>
        <v>0.2757</v>
      </c>
      <c r="BO60" s="16" t="n">
        <f aca="false">IF(BO6=1,IF(BO58=1,ROUND(Inputs!$F$125*BO59,Inputs!$F$52),Inputs!$F$125),IF(BO58=1,ROUND(BN60*BO59,Inputs!$F$52),BN60))</f>
        <v>0.2826</v>
      </c>
      <c r="BP60" s="16" t="n">
        <f aca="false">IF(BP6=1,IF(BP58=1,ROUND(Inputs!$F$125*BP59,Inputs!$F$52),Inputs!$F$125),IF(BP58=1,ROUND(BO60*BP59,Inputs!$F$52),BO60))</f>
        <v>0.2826</v>
      </c>
      <c r="BQ60" s="16" t="n">
        <f aca="false">IF(BQ6=1,IF(BQ58=1,ROUND(Inputs!$F$125*BQ59,Inputs!$F$52),Inputs!$F$125),IF(BQ58=1,ROUND(BP60*BQ59,Inputs!$F$52),BP60))</f>
        <v>0.2897</v>
      </c>
      <c r="BR60" s="16" t="n">
        <f aca="false">IF(BR6=1,IF(BR58=1,ROUND(Inputs!$F$125*BR59,Inputs!$F$52),Inputs!$F$125),IF(BR58=1,ROUND(BQ60*BR59,Inputs!$F$52),BQ60))</f>
        <v>0.2897</v>
      </c>
      <c r="BS60" s="16" t="n">
        <f aca="false">IF(BS6=1,IF(BS58=1,ROUND(Inputs!$F$125*BS59,Inputs!$F$52),Inputs!$F$125),IF(BS58=1,ROUND(BR60*BS59,Inputs!$F$52),BR60))</f>
        <v>0.2969</v>
      </c>
      <c r="BT60" s="16" t="n">
        <f aca="false">IF(BT6=1,IF(BT58=1,ROUND(Inputs!$F$125*BT59,Inputs!$F$52),Inputs!$F$125),IF(BT58=1,ROUND(BS60*BT59,Inputs!$F$52),BS60))</f>
        <v>0.2969</v>
      </c>
      <c r="BU60" s="16" t="n">
        <f aca="false">IF(BU6=1,IF(BU58=1,ROUND(Inputs!$F$125*BU59,Inputs!$F$52),Inputs!$F$125),IF(BU58=1,ROUND(BT60*BU59,Inputs!$F$52),BT60))</f>
        <v>0.3043</v>
      </c>
      <c r="BV60" s="16" t="n">
        <f aca="false">IF(BV6=1,IF(BV58=1,ROUND(Inputs!$F$125*BV59,Inputs!$F$52),Inputs!$F$125),IF(BV58=1,ROUND(BU60*BV59,Inputs!$F$52),BU60))</f>
        <v>0.3043</v>
      </c>
      <c r="BW60" s="16" t="n">
        <f aca="false">IF(BW6=1,IF(BW58=1,ROUND(Inputs!$F$125*BW59,Inputs!$F$52),Inputs!$F$125),IF(BW58=1,ROUND(BV60*BW59,Inputs!$F$52),BV60))</f>
        <v>0.3119</v>
      </c>
      <c r="BX60" s="16" t="n">
        <f aca="false">IF(BX6=1,IF(BX58=1,ROUND(Inputs!$F$125*BX59,Inputs!$F$52),Inputs!$F$125),IF(BX58=1,ROUND(BW60*BX59,Inputs!$F$52),BW60))</f>
        <v>0.3119</v>
      </c>
      <c r="BY60" s="16" t="n">
        <f aca="false">IF(BY6=1,IF(BY58=1,ROUND(Inputs!$F$125*BY59,Inputs!$F$52),Inputs!$F$125),IF(BY58=1,ROUND(BX60*BY59,Inputs!$F$52),BX60))</f>
        <v>0.3197</v>
      </c>
      <c r="BZ60" s="16" t="n">
        <f aca="false">IF(BZ6=1,IF(BZ58=1,ROUND(Inputs!$F$125*BZ59,Inputs!$F$52),Inputs!$F$125),IF(BZ58=1,ROUND(BY60*BZ59,Inputs!$F$52),BY60))</f>
        <v>0.3197</v>
      </c>
      <c r="CA60" s="16" t="n">
        <f aca="false">IF(CA6=1,IF(CA58=1,ROUND(Inputs!$F$125*CA59,Inputs!$F$52),Inputs!$F$125),IF(CA58=1,ROUND(BZ60*CA59,Inputs!$F$52),BZ60))</f>
        <v>0.3277</v>
      </c>
      <c r="CB60" s="16" t="n">
        <f aca="false">IF(CB6=1,IF(CB58=1,ROUND(Inputs!$F$125*CB59,Inputs!$F$52),Inputs!$F$125),IF(CB58=1,ROUND(CA60*CB59,Inputs!$F$52),CA60))</f>
        <v>0.3277</v>
      </c>
      <c r="CC60" s="16" t="n">
        <f aca="false">IF(CC6=1,IF(CC58=1,ROUND(Inputs!$F$125*CC59,Inputs!$F$52),Inputs!$F$125),IF(CC58=1,ROUND(CB60*CC59,Inputs!$F$52),CB60))</f>
        <v>0.3359</v>
      </c>
      <c r="CD60" s="16" t="n">
        <f aca="false">IF(CD6=1,IF(CD58=1,ROUND(Inputs!$F$125*CD59,Inputs!$F$52),Inputs!$F$125),IF(CD58=1,ROUND(CC60*CD59,Inputs!$F$52),CC60))</f>
        <v>0.3359</v>
      </c>
      <c r="CE60" s="16" t="n">
        <f aca="false">IF(CE6=1,IF(CE58=1,ROUND(Inputs!$F$125*CE59,Inputs!$F$52),Inputs!$F$125),IF(CE58=1,ROUND(CD60*CE59,Inputs!$F$52),CD60))</f>
        <v>0.3443</v>
      </c>
      <c r="CF60" s="16" t="n">
        <f aca="false">IF(CF6=1,IF(CF58=1,ROUND(Inputs!$F$125*CF59,Inputs!$F$52),Inputs!$F$125),IF(CF58=1,ROUND(CE60*CF59,Inputs!$F$52),CE60))</f>
        <v>0.3443</v>
      </c>
      <c r="CG60" s="16" t="n">
        <f aca="false">IF(CG6=1,IF(CG58=1,ROUND(Inputs!$F$125*CG59,Inputs!$F$52),Inputs!$F$125),IF(CG58=1,ROUND(CF60*CG59,Inputs!$F$52),CF60))</f>
        <v>0.3529</v>
      </c>
      <c r="CH60" s="16" t="n">
        <f aca="false">IF(CH6=1,IF(CH58=1,ROUND(Inputs!$F$125*CH59,Inputs!$F$52),Inputs!$F$125),IF(CH58=1,ROUND(CG60*CH59,Inputs!$F$52),CG60))</f>
        <v>0.3529</v>
      </c>
      <c r="CI60" s="16" t="n">
        <f aca="false">IF(CI6=1,IF(CI58=1,ROUND(Inputs!$F$125*CI59,Inputs!$F$52),Inputs!$F$125),IF(CI58=1,ROUND(CH60*CI59,Inputs!$F$52),CH60))</f>
        <v>0.3617</v>
      </c>
      <c r="CJ60" s="16" t="n">
        <f aca="false">IF(CJ6=1,IF(CJ58=1,ROUND(Inputs!$F$125*CJ59,Inputs!$F$52),Inputs!$F$125),IF(CJ58=1,ROUND(CI60*CJ59,Inputs!$F$52),CI60))</f>
        <v>0.3617</v>
      </c>
      <c r="CK60" s="16" t="n">
        <f aca="false">IF(CK6=1,IF(CK58=1,ROUND(Inputs!$F$125*CK59,Inputs!$F$52),Inputs!$F$125),IF(CK58=1,ROUND(CJ60*CK59,Inputs!$F$52),CJ60))</f>
        <v>0.3707</v>
      </c>
      <c r="CL60" s="16" t="n">
        <f aca="false">IF(CL6=1,IF(CL58=1,ROUND(Inputs!$F$125*CL59,Inputs!$F$52),Inputs!$F$125),IF(CL58=1,ROUND(CK60*CL59,Inputs!$F$52),CK60))</f>
        <v>0.3707</v>
      </c>
      <c r="CM60" s="16" t="n">
        <f aca="false">IF(CM6=1,IF(CM58=1,ROUND(Inputs!$F$125*CM59,Inputs!$F$52),Inputs!$F$125),IF(CM58=1,ROUND(CL60*CM59,Inputs!$F$52),CL60))</f>
        <v>0.38</v>
      </c>
      <c r="CN60" s="16" t="n">
        <f aca="false">IF(CN6=1,IF(CN58=1,ROUND(Inputs!$F$125*CN59,Inputs!$F$52),Inputs!$F$125),IF(CN58=1,ROUND(CM60*CN59,Inputs!$F$52),CM60))</f>
        <v>0.38</v>
      </c>
      <c r="CO60" s="16" t="n">
        <f aca="false">IF(CO6=1,IF(CO58=1,ROUND(Inputs!$F$125*CO59,Inputs!$F$52),Inputs!$F$125),IF(CO58=1,ROUND(CN60*CO59,Inputs!$F$52),CN60))</f>
        <v>0.3895</v>
      </c>
      <c r="CP60" s="16" t="n">
        <f aca="false">IF(CP6=1,IF(CP58=1,ROUND(Inputs!$F$125*CP59,Inputs!$F$52),Inputs!$F$125),IF(CP58=1,ROUND(CO60*CP59,Inputs!$F$52),CO60))</f>
        <v>0.3895</v>
      </c>
      <c r="CQ60" s="16" t="n">
        <f aca="false">IF(CQ6=1,IF(CQ58=1,ROUND(Inputs!$F$125*CQ59,Inputs!$F$52),Inputs!$F$125),IF(CQ58=1,ROUND(CP60*CQ59,Inputs!$F$52),CP60))</f>
        <v>0.3992</v>
      </c>
      <c r="CR60" s="16" t="n">
        <f aca="false">IF(CR6=1,IF(CR58=1,ROUND(Inputs!$F$125*CR59,Inputs!$F$52),Inputs!$F$125),IF(CR58=1,ROUND(CQ60*CR59,Inputs!$F$52),CQ60))</f>
        <v>0.3992</v>
      </c>
      <c r="CS60" s="16" t="n">
        <f aca="false">IF(CS6=1,IF(CS58=1,ROUND(Inputs!$F$125*CS59,Inputs!$F$52),Inputs!$F$125),IF(CS58=1,ROUND(CR60*CS59,Inputs!$F$52),CR60))</f>
        <v>0.4092</v>
      </c>
      <c r="CT60" s="16" t="n">
        <f aca="false">IF(CT6=1,IF(CT58=1,ROUND(Inputs!$F$125*CT59,Inputs!$F$52),Inputs!$F$125),IF(CT58=1,ROUND(CS60*CT59,Inputs!$F$52),CS60))</f>
        <v>0.4092</v>
      </c>
      <c r="CU60" s="16" t="n">
        <f aca="false">IF(CU6=1,IF(CU58=1,ROUND(Inputs!$F$125*CU59,Inputs!$F$52),Inputs!$F$125),IF(CU58=1,ROUND(CT60*CU59,Inputs!$F$52),CT60))</f>
        <v>0.4194</v>
      </c>
      <c r="CV60" s="16" t="n">
        <f aca="false">IF(CV6=1,IF(CV58=1,ROUND(Inputs!$F$125*CV59,Inputs!$F$52),Inputs!$F$125),IF(CV58=1,ROUND(CU60*CV59,Inputs!$F$52),CU60))</f>
        <v>0.4194</v>
      </c>
      <c r="CW60" s="16" t="n">
        <f aca="false">IF(CW6=1,IF(CW58=1,ROUND(Inputs!$F$125*CW59,Inputs!$F$52),Inputs!$F$125),IF(CW58=1,ROUND(CV60*CW59,Inputs!$F$52),CV60))</f>
        <v>0.4299</v>
      </c>
      <c r="CX60" s="16" t="n">
        <f aca="false">IF(CX6=1,IF(CX58=1,ROUND(Inputs!$F$125*CX59,Inputs!$F$52),Inputs!$F$125),IF(CX58=1,ROUND(CW60*CX59,Inputs!$F$52),CW60))</f>
        <v>0.4299</v>
      </c>
      <c r="CY60" s="16" t="n">
        <f aca="false">IF(CY6=1,IF(CY58=1,ROUND(Inputs!$F$125*CY59,Inputs!$F$52),Inputs!$F$125),IF(CY58=1,ROUND(CX60*CY59,Inputs!$F$52),CX60))</f>
        <v>0.4406</v>
      </c>
      <c r="CZ60" s="16" t="n">
        <f aca="false">IF(CZ6=1,IF(CZ58=1,ROUND(Inputs!$F$125*CZ59,Inputs!$F$52),Inputs!$F$125),IF(CZ58=1,ROUND(CY60*CZ59,Inputs!$F$52),CY60))</f>
        <v>0.4406</v>
      </c>
      <c r="DA60" s="16" t="n">
        <f aca="false">IF(DA6=1,IF(DA58=1,ROUND(Inputs!$F$125*DA59,Inputs!$F$52),Inputs!$F$125),IF(DA58=1,ROUND(CZ60*DA59,Inputs!$F$52),CZ60))</f>
        <v>0.4516</v>
      </c>
      <c r="DB60" s="16" t="n">
        <f aca="false">IF(DB6=1,IF(DB58=1,ROUND(Inputs!$F$125*DB59,Inputs!$F$52),Inputs!$F$125),IF(DB58=1,ROUND(DA60*DB59,Inputs!$F$52),DA60))</f>
        <v>0.4516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366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367</v>
      </c>
    </row>
    <row r="6" customFormat="false" ht="15" hidden="false" customHeight="false" outlineLevel="0" collapsed="false">
      <c r="D6" s="0" t="s">
        <v>368</v>
      </c>
      <c r="E6" s="0" t="s">
        <v>44</v>
      </c>
      <c r="G6" s="19" t="n">
        <f aca="false">SUM(J6:DB6)</f>
        <v>1684.3</v>
      </c>
      <c r="J6" s="19" t="n">
        <f aca="false">Inputs!$F$68*Inputs!J267+IF(Time!J8=Inputs!$F$15,Inputs!$F$68*(Inputs!$F$69+Inputs!$F$70),0)</f>
        <v>2.7487776</v>
      </c>
      <c r="K6" s="19" t="n">
        <f aca="false">Inputs!$F$68*Inputs!K267+IF(Time!K8=Inputs!$F$15,Inputs!$F$68*(Inputs!$F$69+Inputs!$F$70),0)</f>
        <v>21.6567294</v>
      </c>
      <c r="L6" s="19" t="n">
        <f aca="false">Inputs!$F$68*Inputs!L267+IF(Time!L8=Inputs!$F$15,Inputs!$F$68*(Inputs!$F$69+Inputs!$F$70),0)</f>
        <v>52.1442437</v>
      </c>
      <c r="M6" s="19" t="n">
        <f aca="false">Inputs!$F$68*Inputs!M267+IF(Time!M8=Inputs!$F$15,Inputs!$F$68*(Inputs!$F$69+Inputs!$F$70),0)</f>
        <v>87.6223389</v>
      </c>
      <c r="N6" s="19" t="n">
        <f aca="false">Inputs!$F$68*Inputs!N267+IF(Time!N8=Inputs!$F$15,Inputs!$F$68*(Inputs!$F$69+Inputs!$F$70),0)</f>
        <v>122.5968284</v>
      </c>
      <c r="O6" s="19" t="n">
        <f aca="false">Inputs!$F$68*Inputs!O267+IF(Time!O8=Inputs!$F$15,Inputs!$F$68*(Inputs!$F$69+Inputs!$F$70),0)</f>
        <v>152.6733735</v>
      </c>
      <c r="P6" s="19" t="n">
        <f aca="false">Inputs!$F$68*Inputs!P267+IF(Time!P8=Inputs!$F$15,Inputs!$F$68*(Inputs!$F$69+Inputs!$F$70),0)</f>
        <v>174.5557991</v>
      </c>
      <c r="Q6" s="19" t="n">
        <f aca="false">Inputs!$F$68*Inputs!Q267+IF(Time!Q8=Inputs!$F$15,Inputs!$F$68*(Inputs!$F$69+Inputs!$F$70),0)</f>
        <v>186.0460937</v>
      </c>
      <c r="R6" s="19" t="n">
        <f aca="false">Inputs!$F$68*Inputs!R267+IF(Time!R8=Inputs!$F$15,Inputs!$F$68*(Inputs!$F$69+Inputs!$F$70),0)</f>
        <v>186.0427251</v>
      </c>
      <c r="S6" s="19" t="n">
        <f aca="false">Inputs!$F$68*Inputs!S267+IF(Time!S8=Inputs!$F$15,Inputs!$F$68*(Inputs!$F$69+Inputs!$F$70),0)</f>
        <v>174.5557991</v>
      </c>
      <c r="T6" s="19" t="n">
        <f aca="false">Inputs!$F$68*Inputs!T267+IF(Time!T8=Inputs!$F$15,Inputs!$F$68*(Inputs!$F$69+Inputs!$F$70),0)</f>
        <v>152.6733735</v>
      </c>
      <c r="U6" s="19" t="n">
        <f aca="false">Inputs!$F$68*Inputs!U267+IF(Time!U8=Inputs!$F$15,Inputs!$F$68*(Inputs!$F$69+Inputs!$F$70),0)</f>
        <v>122.5968284</v>
      </c>
      <c r="V6" s="19" t="n">
        <f aca="false">Inputs!$F$68*Inputs!V267+IF(Time!V8=Inputs!$F$15,Inputs!$F$68*(Inputs!$F$69+Inputs!$F$70),0)</f>
        <v>87.6223389</v>
      </c>
      <c r="W6" s="19" t="n">
        <f aca="false">Inputs!$F$68*Inputs!W267+IF(Time!W8=Inputs!$F$15,Inputs!$F$68*(Inputs!$F$69+Inputs!$F$70),0)</f>
        <v>52.1442437</v>
      </c>
      <c r="X6" s="19" t="n">
        <f aca="false">Inputs!$F$68*Inputs!X267+IF(Time!X8=Inputs!$F$15,Inputs!$F$68*(Inputs!$F$69+Inputs!$F$70),0)</f>
        <v>21.6567294</v>
      </c>
      <c r="Y6" s="19" t="n">
        <f aca="false">Inputs!$F$68*Inputs!Y267+IF(Time!Y8=Inputs!$F$15,Inputs!$F$68*(Inputs!$F$69+Inputs!$F$70),0)</f>
        <v>86.9637776</v>
      </c>
      <c r="Z6" s="19" t="n">
        <f aca="false">Inputs!$F$68*Inputs!Z267+IF(Time!Z8=Inputs!$F$15,Inputs!$F$68*(Inputs!$F$69+Inputs!$F$70),0)</f>
        <v>0</v>
      </c>
      <c r="AA6" s="19" t="n">
        <f aca="false">Inputs!$F$68*Inputs!AA267+IF(Time!AA8=Inputs!$F$15,Inputs!$F$68*(Inputs!$F$69+Inputs!$F$70),0)</f>
        <v>0</v>
      </c>
      <c r="AB6" s="19" t="n">
        <f aca="false">Inputs!$F$68*Inputs!AB267+IF(Time!AB8=Inputs!$F$15,Inputs!$F$68*(Inputs!$F$69+Inputs!$F$70),0)</f>
        <v>0</v>
      </c>
      <c r="AC6" s="19" t="n">
        <f aca="false">Inputs!$F$68*Inputs!AC267+IF(Time!AC8=Inputs!$F$15,Inputs!$F$68*(Inputs!$F$69+Inputs!$F$70),0)</f>
        <v>0</v>
      </c>
      <c r="AD6" s="19" t="n">
        <f aca="false">Inputs!$F$68*Inputs!AD267+IF(Time!AD8=Inputs!$F$15,Inputs!$F$68*(Inputs!$F$69+Inputs!$F$70),0)</f>
        <v>0</v>
      </c>
      <c r="AE6" s="19" t="n">
        <f aca="false">Inputs!$F$68*Inputs!AE267+IF(Time!AE8=Inputs!$F$15,Inputs!$F$68*(Inputs!$F$69+Inputs!$F$70),0)</f>
        <v>0</v>
      </c>
      <c r="AF6" s="19" t="n">
        <f aca="false">Inputs!$F$68*Inputs!AF267+IF(Time!AF8=Inputs!$F$15,Inputs!$F$68*(Inputs!$F$69+Inputs!$F$70),0)</f>
        <v>0</v>
      </c>
      <c r="AG6" s="19" t="n">
        <f aca="false">Inputs!$F$68*Inputs!AG267+IF(Time!AG8=Inputs!$F$15,Inputs!$F$68*(Inputs!$F$69+Inputs!$F$70),0)</f>
        <v>0</v>
      </c>
      <c r="AH6" s="19" t="n">
        <f aca="false">Inputs!$F$68*Inputs!AH267+IF(Time!AH8=Inputs!$F$15,Inputs!$F$68*(Inputs!$F$69+Inputs!$F$70),0)</f>
        <v>0</v>
      </c>
      <c r="AI6" s="19" t="n">
        <f aca="false">Inputs!$F$68*Inputs!AI267+IF(Time!AI8=Inputs!$F$15,Inputs!$F$68*(Inputs!$F$69+Inputs!$F$70),0)</f>
        <v>0</v>
      </c>
      <c r="AJ6" s="19" t="n">
        <f aca="false">Inputs!$F$68*Inputs!AJ267+IF(Time!AJ8=Inputs!$F$15,Inputs!$F$68*(Inputs!$F$69+Inputs!$F$70),0)</f>
        <v>0</v>
      </c>
      <c r="AK6" s="19" t="n">
        <f aca="false">Inputs!$F$68*Inputs!AK267+IF(Time!AK8=Inputs!$F$15,Inputs!$F$68*(Inputs!$F$69+Inputs!$F$70),0)</f>
        <v>0</v>
      </c>
      <c r="AL6" s="19" t="n">
        <f aca="false">Inputs!$F$68*Inputs!AL267+IF(Time!AL8=Inputs!$F$15,Inputs!$F$68*(Inputs!$F$69+Inputs!$F$70),0)</f>
        <v>0</v>
      </c>
      <c r="AM6" s="19" t="n">
        <f aca="false">Inputs!$F$68*Inputs!AM267+IF(Time!AM8=Inputs!$F$15,Inputs!$F$68*(Inputs!$F$69+Inputs!$F$70),0)</f>
        <v>0</v>
      </c>
      <c r="AN6" s="19" t="n">
        <f aca="false">Inputs!$F$68*Inputs!AN267+IF(Time!AN8=Inputs!$F$15,Inputs!$F$68*(Inputs!$F$69+Inputs!$F$70),0)</f>
        <v>0</v>
      </c>
      <c r="AO6" s="19" t="n">
        <f aca="false">Inputs!$F$68*Inputs!AO267+IF(Time!AO8=Inputs!$F$15,Inputs!$F$68*(Inputs!$F$69+Inputs!$F$70),0)</f>
        <v>0</v>
      </c>
      <c r="AP6" s="19" t="n">
        <f aca="false">Inputs!$F$68*Inputs!AP267+IF(Time!AP8=Inputs!$F$15,Inputs!$F$68*(Inputs!$F$69+Inputs!$F$70),0)</f>
        <v>0</v>
      </c>
      <c r="AQ6" s="19" t="n">
        <f aca="false">Inputs!$F$68*Inputs!AQ267+IF(Time!AQ8=Inputs!$F$15,Inputs!$F$68*(Inputs!$F$69+Inputs!$F$70),0)</f>
        <v>0</v>
      </c>
      <c r="AR6" s="19" t="n">
        <f aca="false">Inputs!$F$68*Inputs!AR267+IF(Time!AR8=Inputs!$F$15,Inputs!$F$68*(Inputs!$F$69+Inputs!$F$70),0)</f>
        <v>0</v>
      </c>
      <c r="AS6" s="19" t="n">
        <f aca="false">Inputs!$F$68*Inputs!AS267+IF(Time!AS8=Inputs!$F$15,Inputs!$F$68*(Inputs!$F$69+Inputs!$F$70),0)</f>
        <v>0</v>
      </c>
      <c r="AT6" s="19" t="n">
        <f aca="false">Inputs!$F$68*Inputs!AT267+IF(Time!AT8=Inputs!$F$15,Inputs!$F$68*(Inputs!$F$69+Inputs!$F$70),0)</f>
        <v>0</v>
      </c>
      <c r="AU6" s="19" t="n">
        <f aca="false">Inputs!$F$68*Inputs!AU267+IF(Time!AU8=Inputs!$F$15,Inputs!$F$68*(Inputs!$F$69+Inputs!$F$70),0)</f>
        <v>0</v>
      </c>
      <c r="AV6" s="19" t="n">
        <f aca="false">Inputs!$F$68*Inputs!AV267+IF(Time!AV8=Inputs!$F$15,Inputs!$F$68*(Inputs!$F$69+Inputs!$F$70),0)</f>
        <v>0</v>
      </c>
      <c r="AW6" s="19" t="n">
        <f aca="false">Inputs!$F$68*Inputs!AW267+IF(Time!AW8=Inputs!$F$15,Inputs!$F$68*(Inputs!$F$69+Inputs!$F$70),0)</f>
        <v>0</v>
      </c>
      <c r="AX6" s="19" t="n">
        <f aca="false">Inputs!$F$68*Inputs!AX267+IF(Time!AX8=Inputs!$F$15,Inputs!$F$68*(Inputs!$F$69+Inputs!$F$70),0)</f>
        <v>0</v>
      </c>
      <c r="AY6" s="19" t="n">
        <f aca="false">Inputs!$F$68*Inputs!AY267+IF(Time!AY8=Inputs!$F$15,Inputs!$F$68*(Inputs!$F$69+Inputs!$F$70),0)</f>
        <v>0</v>
      </c>
      <c r="AZ6" s="19" t="n">
        <f aca="false">Inputs!$F$68*Inputs!AZ267+IF(Time!AZ8=Inputs!$F$15,Inputs!$F$68*(Inputs!$F$69+Inputs!$F$70),0)</f>
        <v>0</v>
      </c>
      <c r="BA6" s="19" t="n">
        <f aca="false">Inputs!$F$68*Inputs!BA267+IF(Time!BA8=Inputs!$F$15,Inputs!$F$68*(Inputs!$F$69+Inputs!$F$70),0)</f>
        <v>0</v>
      </c>
      <c r="BB6" s="19" t="n">
        <f aca="false">Inputs!$F$68*Inputs!BB267+IF(Time!BB8=Inputs!$F$15,Inputs!$F$68*(Inputs!$F$69+Inputs!$F$70),0)</f>
        <v>0</v>
      </c>
      <c r="BC6" s="19" t="n">
        <f aca="false">Inputs!$F$68*Inputs!BC267+IF(Time!BC8=Inputs!$F$15,Inputs!$F$68*(Inputs!$F$69+Inputs!$F$70),0)</f>
        <v>0</v>
      </c>
      <c r="BD6" s="19" t="n">
        <f aca="false">Inputs!$F$68*Inputs!BD267+IF(Time!BD8=Inputs!$F$15,Inputs!$F$68*(Inputs!$F$69+Inputs!$F$70),0)</f>
        <v>0</v>
      </c>
      <c r="BE6" s="19" t="n">
        <f aca="false">Inputs!$F$68*Inputs!BE267+IF(Time!BE8=Inputs!$F$15,Inputs!$F$68*(Inputs!$F$69+Inputs!$F$70),0)</f>
        <v>0</v>
      </c>
      <c r="BF6" s="19" t="n">
        <f aca="false">Inputs!$F$68*Inputs!BF267+IF(Time!BF8=Inputs!$F$15,Inputs!$F$68*(Inputs!$F$69+Inputs!$F$70),0)</f>
        <v>0</v>
      </c>
      <c r="BG6" s="19" t="n">
        <f aca="false">Inputs!$F$68*Inputs!BG267+IF(Time!BG8=Inputs!$F$15,Inputs!$F$68*(Inputs!$F$69+Inputs!$F$70),0)</f>
        <v>0</v>
      </c>
      <c r="BH6" s="19" t="n">
        <f aca="false">Inputs!$F$68*Inputs!BH267+IF(Time!BH8=Inputs!$F$15,Inputs!$F$68*(Inputs!$F$69+Inputs!$F$70),0)</f>
        <v>0</v>
      </c>
      <c r="BI6" s="19" t="n">
        <f aca="false">Inputs!$F$68*Inputs!BI267+IF(Time!BI8=Inputs!$F$15,Inputs!$F$68*(Inputs!$F$69+Inputs!$F$70),0)</f>
        <v>0</v>
      </c>
      <c r="BJ6" s="19" t="n">
        <f aca="false">Inputs!$F$68*Inputs!BJ267+IF(Time!BJ8=Inputs!$F$15,Inputs!$F$68*(Inputs!$F$69+Inputs!$F$70),0)</f>
        <v>0</v>
      </c>
      <c r="BK6" s="19" t="n">
        <f aca="false">Inputs!$F$68*Inputs!BK267+IF(Time!BK8=Inputs!$F$15,Inputs!$F$68*(Inputs!$F$69+Inputs!$F$70),0)</f>
        <v>0</v>
      </c>
      <c r="BL6" s="19" t="n">
        <f aca="false">Inputs!$F$68*Inputs!BL267+IF(Time!BL8=Inputs!$F$15,Inputs!$F$68*(Inputs!$F$69+Inputs!$F$70),0)</f>
        <v>0</v>
      </c>
      <c r="BM6" s="19" t="n">
        <f aca="false">Inputs!$F$68*Inputs!BM267+IF(Time!BM8=Inputs!$F$15,Inputs!$F$68*(Inputs!$F$69+Inputs!$F$70),0)</f>
        <v>0</v>
      </c>
      <c r="BN6" s="19" t="n">
        <f aca="false">Inputs!$F$68*Inputs!BN267+IF(Time!BN8=Inputs!$F$15,Inputs!$F$68*(Inputs!$F$69+Inputs!$F$70),0)</f>
        <v>0</v>
      </c>
      <c r="BO6" s="19" t="n">
        <f aca="false">Inputs!$F$68*Inputs!BO267+IF(Time!BO8=Inputs!$F$15,Inputs!$F$68*(Inputs!$F$69+Inputs!$F$70),0)</f>
        <v>0</v>
      </c>
      <c r="BP6" s="19" t="n">
        <f aca="false">Inputs!$F$68*Inputs!BP267+IF(Time!BP8=Inputs!$F$15,Inputs!$F$68*(Inputs!$F$69+Inputs!$F$70),0)</f>
        <v>0</v>
      </c>
      <c r="BQ6" s="19" t="n">
        <f aca="false">Inputs!$F$68*Inputs!BQ267+IF(Time!BQ8=Inputs!$F$15,Inputs!$F$68*(Inputs!$F$69+Inputs!$F$70),0)</f>
        <v>0</v>
      </c>
      <c r="BR6" s="19" t="n">
        <f aca="false">Inputs!$F$68*Inputs!BR267+IF(Time!BR8=Inputs!$F$15,Inputs!$F$68*(Inputs!$F$69+Inputs!$F$70),0)</f>
        <v>0</v>
      </c>
      <c r="BS6" s="19" t="n">
        <f aca="false">Inputs!$F$68*Inputs!BS267+IF(Time!BS8=Inputs!$F$15,Inputs!$F$68*(Inputs!$F$69+Inputs!$F$70),0)</f>
        <v>0</v>
      </c>
      <c r="BT6" s="19" t="n">
        <f aca="false">Inputs!$F$68*Inputs!BT267+IF(Time!BT8=Inputs!$F$15,Inputs!$F$68*(Inputs!$F$69+Inputs!$F$70),0)</f>
        <v>0</v>
      </c>
      <c r="BU6" s="19" t="n">
        <f aca="false">Inputs!$F$68*Inputs!BU267+IF(Time!BU8=Inputs!$F$15,Inputs!$F$68*(Inputs!$F$69+Inputs!$F$70),0)</f>
        <v>0</v>
      </c>
      <c r="BV6" s="19" t="n">
        <f aca="false">Inputs!$F$68*Inputs!BV267+IF(Time!BV8=Inputs!$F$15,Inputs!$F$68*(Inputs!$F$69+Inputs!$F$70),0)</f>
        <v>0</v>
      </c>
      <c r="BW6" s="19" t="n">
        <f aca="false">Inputs!$F$68*Inputs!BW267+IF(Time!BW8=Inputs!$F$15,Inputs!$F$68*(Inputs!$F$69+Inputs!$F$70),0)</f>
        <v>0</v>
      </c>
      <c r="BX6" s="19" t="n">
        <f aca="false">Inputs!$F$68*Inputs!BX267+IF(Time!BX8=Inputs!$F$15,Inputs!$F$68*(Inputs!$F$69+Inputs!$F$70),0)</f>
        <v>0</v>
      </c>
      <c r="BY6" s="19" t="n">
        <f aca="false">Inputs!$F$68*Inputs!BY267+IF(Time!BY8=Inputs!$F$15,Inputs!$F$68*(Inputs!$F$69+Inputs!$F$70),0)</f>
        <v>0</v>
      </c>
      <c r="BZ6" s="19" t="n">
        <f aca="false">Inputs!$F$68*Inputs!BZ267+IF(Time!BZ8=Inputs!$F$15,Inputs!$F$68*(Inputs!$F$69+Inputs!$F$70),0)</f>
        <v>0</v>
      </c>
      <c r="CA6" s="19" t="n">
        <f aca="false">Inputs!$F$68*Inputs!CA267+IF(Time!CA8=Inputs!$F$15,Inputs!$F$68*(Inputs!$F$69+Inputs!$F$70),0)</f>
        <v>0</v>
      </c>
      <c r="CB6" s="19" t="n">
        <f aca="false">Inputs!$F$68*Inputs!CB267+IF(Time!CB8=Inputs!$F$15,Inputs!$F$68*(Inputs!$F$69+Inputs!$F$70),0)</f>
        <v>0</v>
      </c>
      <c r="CC6" s="19" t="n">
        <f aca="false">Inputs!$F$68*Inputs!CC267+IF(Time!CC8=Inputs!$F$15,Inputs!$F$68*(Inputs!$F$69+Inputs!$F$70),0)</f>
        <v>0</v>
      </c>
      <c r="CD6" s="19" t="n">
        <f aca="false">Inputs!$F$68*Inputs!CD267+IF(Time!CD8=Inputs!$F$15,Inputs!$F$68*(Inputs!$F$69+Inputs!$F$70),0)</f>
        <v>0</v>
      </c>
      <c r="CE6" s="19" t="n">
        <f aca="false">Inputs!$F$68*Inputs!CE267+IF(Time!CE8=Inputs!$F$15,Inputs!$F$68*(Inputs!$F$69+Inputs!$F$70),0)</f>
        <v>0</v>
      </c>
      <c r="CF6" s="19" t="n">
        <f aca="false">Inputs!$F$68*Inputs!CF267+IF(Time!CF8=Inputs!$F$15,Inputs!$F$68*(Inputs!$F$69+Inputs!$F$70),0)</f>
        <v>0</v>
      </c>
      <c r="CG6" s="19" t="n">
        <f aca="false">Inputs!$F$68*Inputs!CG267+IF(Time!CG8=Inputs!$F$15,Inputs!$F$68*(Inputs!$F$69+Inputs!$F$70),0)</f>
        <v>0</v>
      </c>
      <c r="CH6" s="19" t="n">
        <f aca="false">Inputs!$F$68*Inputs!CH267+IF(Time!CH8=Inputs!$F$15,Inputs!$F$68*(Inputs!$F$69+Inputs!$F$70),0)</f>
        <v>0</v>
      </c>
      <c r="CI6" s="19" t="n">
        <f aca="false">Inputs!$F$68*Inputs!CI267+IF(Time!CI8=Inputs!$F$15,Inputs!$F$68*(Inputs!$F$69+Inputs!$F$70),0)</f>
        <v>0</v>
      </c>
      <c r="CJ6" s="19" t="n">
        <f aca="false">Inputs!$F$68*Inputs!CJ267+IF(Time!CJ8=Inputs!$F$15,Inputs!$F$68*(Inputs!$F$69+Inputs!$F$70),0)</f>
        <v>0</v>
      </c>
      <c r="CK6" s="19" t="n">
        <f aca="false">Inputs!$F$68*Inputs!CK267+IF(Time!CK8=Inputs!$F$15,Inputs!$F$68*(Inputs!$F$69+Inputs!$F$70),0)</f>
        <v>0</v>
      </c>
      <c r="CL6" s="19" t="n">
        <f aca="false">Inputs!$F$68*Inputs!CL267+IF(Time!CL8=Inputs!$F$15,Inputs!$F$68*(Inputs!$F$69+Inputs!$F$70),0)</f>
        <v>0</v>
      </c>
      <c r="CM6" s="19" t="n">
        <f aca="false">Inputs!$F$68*Inputs!CM267+IF(Time!CM8=Inputs!$F$15,Inputs!$F$68*(Inputs!$F$69+Inputs!$F$70),0)</f>
        <v>0</v>
      </c>
      <c r="CN6" s="19" t="n">
        <f aca="false">Inputs!$F$68*Inputs!CN267+IF(Time!CN8=Inputs!$F$15,Inputs!$F$68*(Inputs!$F$69+Inputs!$F$70),0)</f>
        <v>0</v>
      </c>
      <c r="CO6" s="19" t="n">
        <f aca="false">Inputs!$F$68*Inputs!CO267+IF(Time!CO8=Inputs!$F$15,Inputs!$F$68*(Inputs!$F$69+Inputs!$F$70),0)</f>
        <v>0</v>
      </c>
      <c r="CP6" s="19" t="n">
        <f aca="false">Inputs!$F$68*Inputs!CP267+IF(Time!CP8=Inputs!$F$15,Inputs!$F$68*(Inputs!$F$69+Inputs!$F$70),0)</f>
        <v>0</v>
      </c>
      <c r="CQ6" s="19" t="n">
        <f aca="false">Inputs!$F$68*Inputs!CQ267+IF(Time!CQ8=Inputs!$F$15,Inputs!$F$68*(Inputs!$F$69+Inputs!$F$70),0)</f>
        <v>0</v>
      </c>
      <c r="CR6" s="19" t="n">
        <f aca="false">Inputs!$F$68*Inputs!CR267+IF(Time!CR8=Inputs!$F$15,Inputs!$F$68*(Inputs!$F$69+Inputs!$F$70),0)</f>
        <v>0</v>
      </c>
      <c r="CS6" s="19" t="n">
        <f aca="false">Inputs!$F$68*Inputs!CS267+IF(Time!CS8=Inputs!$F$15,Inputs!$F$68*(Inputs!$F$69+Inputs!$F$70),0)</f>
        <v>0</v>
      </c>
      <c r="CT6" s="19" t="n">
        <f aca="false">Inputs!$F$68*Inputs!CT267+IF(Time!CT8=Inputs!$F$15,Inputs!$F$68*(Inputs!$F$69+Inputs!$F$70),0)</f>
        <v>0</v>
      </c>
      <c r="CU6" s="19" t="n">
        <f aca="false">Inputs!$F$68*Inputs!CU267+IF(Time!CU8=Inputs!$F$15,Inputs!$F$68*(Inputs!$F$69+Inputs!$F$70),0)</f>
        <v>0</v>
      </c>
      <c r="CV6" s="19" t="n">
        <f aca="false">Inputs!$F$68*Inputs!CV267+IF(Time!CV8=Inputs!$F$15,Inputs!$F$68*(Inputs!$F$69+Inputs!$F$70),0)</f>
        <v>0</v>
      </c>
      <c r="CW6" s="19" t="n">
        <f aca="false">Inputs!$F$68*Inputs!CW267+IF(Time!CW8=Inputs!$F$15,Inputs!$F$68*(Inputs!$F$69+Inputs!$F$70),0)</f>
        <v>0</v>
      </c>
      <c r="CX6" s="19" t="n">
        <f aca="false">Inputs!$F$68*Inputs!CX267+IF(Time!CX8=Inputs!$F$15,Inputs!$F$68*(Inputs!$F$69+Inputs!$F$70),0)</f>
        <v>0</v>
      </c>
      <c r="CY6" s="19" t="n">
        <f aca="false">Inputs!$F$68*Inputs!CY267+IF(Time!CY8=Inputs!$F$15,Inputs!$F$68*(Inputs!$F$69+Inputs!$F$70),0)</f>
        <v>0</v>
      </c>
      <c r="CZ6" s="19" t="n">
        <f aca="false">Inputs!$F$68*Inputs!CZ267+IF(Time!CZ8=Inputs!$F$15,Inputs!$F$68*(Inputs!$F$69+Inputs!$F$70),0)</f>
        <v>0</v>
      </c>
      <c r="DA6" s="19" t="n">
        <f aca="false">Inputs!$F$68*Inputs!DA267+IF(Time!DA8=Inputs!$F$15,Inputs!$F$68*(Inputs!$F$69+Inputs!$F$70),0)</f>
        <v>0</v>
      </c>
      <c r="DB6" s="19" t="n">
        <f aca="false">Inputs!$F$68*Inputs!DB267+IF(Time!DB8=Inputs!$F$15,Inputs!$F$68*(Inputs!$F$69+Inputs!$F$70),0)</f>
        <v>0</v>
      </c>
    </row>
    <row r="7" customFormat="false" ht="15" hidden="false" customHeight="false" outlineLevel="0" collapsed="false">
      <c r="D7" s="0" t="s">
        <v>369</v>
      </c>
      <c r="E7" s="0" t="s">
        <v>44</v>
      </c>
      <c r="G7" s="19" t="n">
        <f aca="false">SUM(J7:DB7)</f>
        <v>41.2</v>
      </c>
      <c r="J7" s="19" t="n">
        <f aca="false">IF(Time!J6=1,Inputs!$F$71,0)</f>
        <v>41.2</v>
      </c>
      <c r="K7" s="19" t="n">
        <f aca="false">IF(Time!K6=1,Inputs!$F$71,0)</f>
        <v>0</v>
      </c>
      <c r="L7" s="19" t="n">
        <f aca="false">IF(Time!L6=1,Inputs!$F$71,0)</f>
        <v>0</v>
      </c>
      <c r="M7" s="19" t="n">
        <f aca="false">IF(Time!M6=1,Inputs!$F$71,0)</f>
        <v>0</v>
      </c>
      <c r="N7" s="19" t="n">
        <f aca="false">IF(Time!N6=1,Inputs!$F$71,0)</f>
        <v>0</v>
      </c>
      <c r="O7" s="19" t="n">
        <f aca="false">IF(Time!O6=1,Inputs!$F$71,0)</f>
        <v>0</v>
      </c>
      <c r="P7" s="19" t="n">
        <f aca="false">IF(Time!P6=1,Inputs!$F$71,0)</f>
        <v>0</v>
      </c>
      <c r="Q7" s="19" t="n">
        <f aca="false">IF(Time!Q6=1,Inputs!$F$71,0)</f>
        <v>0</v>
      </c>
      <c r="R7" s="19" t="n">
        <f aca="false">IF(Time!R6=1,Inputs!$F$71,0)</f>
        <v>0</v>
      </c>
      <c r="S7" s="19" t="n">
        <f aca="false">IF(Time!S6=1,Inputs!$F$71,0)</f>
        <v>0</v>
      </c>
      <c r="T7" s="19" t="n">
        <f aca="false">IF(Time!T6=1,Inputs!$F$71,0)</f>
        <v>0</v>
      </c>
      <c r="U7" s="19" t="n">
        <f aca="false">IF(Time!U6=1,Inputs!$F$71,0)</f>
        <v>0</v>
      </c>
      <c r="V7" s="19" t="n">
        <f aca="false">IF(Time!V6=1,Inputs!$F$71,0)</f>
        <v>0</v>
      </c>
      <c r="W7" s="19" t="n">
        <f aca="false">IF(Time!W6=1,Inputs!$F$71,0)</f>
        <v>0</v>
      </c>
      <c r="X7" s="19" t="n">
        <f aca="false">IF(Time!X6=1,Inputs!$F$71,0)</f>
        <v>0</v>
      </c>
      <c r="Y7" s="19" t="n">
        <f aca="false">IF(Time!Y6=1,Inputs!$F$71,0)</f>
        <v>0</v>
      </c>
      <c r="Z7" s="19" t="n">
        <f aca="false">IF(Time!Z6=1,Inputs!$F$71,0)</f>
        <v>0</v>
      </c>
      <c r="AA7" s="19" t="n">
        <f aca="false">IF(Time!AA6=1,Inputs!$F$71,0)</f>
        <v>0</v>
      </c>
      <c r="AB7" s="19" t="n">
        <f aca="false">IF(Time!AB6=1,Inputs!$F$71,0)</f>
        <v>0</v>
      </c>
      <c r="AC7" s="19" t="n">
        <f aca="false">IF(Time!AC6=1,Inputs!$F$71,0)</f>
        <v>0</v>
      </c>
      <c r="AD7" s="19" t="n">
        <f aca="false">IF(Time!AD6=1,Inputs!$F$71,0)</f>
        <v>0</v>
      </c>
      <c r="AE7" s="19" t="n">
        <f aca="false">IF(Time!AE6=1,Inputs!$F$71,0)</f>
        <v>0</v>
      </c>
      <c r="AF7" s="19" t="n">
        <f aca="false">IF(Time!AF6=1,Inputs!$F$71,0)</f>
        <v>0</v>
      </c>
      <c r="AG7" s="19" t="n">
        <f aca="false">IF(Time!AG6=1,Inputs!$F$71,0)</f>
        <v>0</v>
      </c>
      <c r="AH7" s="19" t="n">
        <f aca="false">IF(Time!AH6=1,Inputs!$F$71,0)</f>
        <v>0</v>
      </c>
      <c r="AI7" s="19" t="n">
        <f aca="false">IF(Time!AI6=1,Inputs!$F$71,0)</f>
        <v>0</v>
      </c>
      <c r="AJ7" s="19" t="n">
        <f aca="false">IF(Time!AJ6=1,Inputs!$F$71,0)</f>
        <v>0</v>
      </c>
      <c r="AK7" s="19" t="n">
        <f aca="false">IF(Time!AK6=1,Inputs!$F$71,0)</f>
        <v>0</v>
      </c>
      <c r="AL7" s="19" t="n">
        <f aca="false">IF(Time!AL6=1,Inputs!$F$71,0)</f>
        <v>0</v>
      </c>
      <c r="AM7" s="19" t="n">
        <f aca="false">IF(Time!AM6=1,Inputs!$F$71,0)</f>
        <v>0</v>
      </c>
      <c r="AN7" s="19" t="n">
        <f aca="false">IF(Time!AN6=1,Inputs!$F$71,0)</f>
        <v>0</v>
      </c>
      <c r="AO7" s="19" t="n">
        <f aca="false">IF(Time!AO6=1,Inputs!$F$71,0)</f>
        <v>0</v>
      </c>
      <c r="AP7" s="19" t="n">
        <f aca="false">IF(Time!AP6=1,Inputs!$F$71,0)</f>
        <v>0</v>
      </c>
      <c r="AQ7" s="19" t="n">
        <f aca="false">IF(Time!AQ6=1,Inputs!$F$71,0)</f>
        <v>0</v>
      </c>
      <c r="AR7" s="19" t="n">
        <f aca="false">IF(Time!AR6=1,Inputs!$F$71,0)</f>
        <v>0</v>
      </c>
      <c r="AS7" s="19" t="n">
        <f aca="false">IF(Time!AS6=1,Inputs!$F$71,0)</f>
        <v>0</v>
      </c>
      <c r="AT7" s="19" t="n">
        <f aca="false">IF(Time!AT6=1,Inputs!$F$71,0)</f>
        <v>0</v>
      </c>
      <c r="AU7" s="19" t="n">
        <f aca="false">IF(Time!AU6=1,Inputs!$F$71,0)</f>
        <v>0</v>
      </c>
      <c r="AV7" s="19" t="n">
        <f aca="false">IF(Time!AV6=1,Inputs!$F$71,0)</f>
        <v>0</v>
      </c>
      <c r="AW7" s="19" t="n">
        <f aca="false">IF(Time!AW6=1,Inputs!$F$71,0)</f>
        <v>0</v>
      </c>
      <c r="AX7" s="19" t="n">
        <f aca="false">IF(Time!AX6=1,Inputs!$F$71,0)</f>
        <v>0</v>
      </c>
      <c r="AY7" s="19" t="n">
        <f aca="false">IF(Time!AY6=1,Inputs!$F$71,0)</f>
        <v>0</v>
      </c>
      <c r="AZ7" s="19" t="n">
        <f aca="false">IF(Time!AZ6=1,Inputs!$F$71,0)</f>
        <v>0</v>
      </c>
      <c r="BA7" s="19" t="n">
        <f aca="false">IF(Time!BA6=1,Inputs!$F$71,0)</f>
        <v>0</v>
      </c>
      <c r="BB7" s="19" t="n">
        <f aca="false">IF(Time!BB6=1,Inputs!$F$71,0)</f>
        <v>0</v>
      </c>
      <c r="BC7" s="19" t="n">
        <f aca="false">IF(Time!BC6=1,Inputs!$F$71,0)</f>
        <v>0</v>
      </c>
      <c r="BD7" s="19" t="n">
        <f aca="false">IF(Time!BD6=1,Inputs!$F$71,0)</f>
        <v>0</v>
      </c>
      <c r="BE7" s="19" t="n">
        <f aca="false">IF(Time!BE6=1,Inputs!$F$71,0)</f>
        <v>0</v>
      </c>
      <c r="BF7" s="19" t="n">
        <f aca="false">IF(Time!BF6=1,Inputs!$F$71,0)</f>
        <v>0</v>
      </c>
      <c r="BG7" s="19" t="n">
        <f aca="false">IF(Time!BG6=1,Inputs!$F$71,0)</f>
        <v>0</v>
      </c>
      <c r="BH7" s="19" t="n">
        <f aca="false">IF(Time!BH6=1,Inputs!$F$71,0)</f>
        <v>0</v>
      </c>
      <c r="BI7" s="19" t="n">
        <f aca="false">IF(Time!BI6=1,Inputs!$F$71,0)</f>
        <v>0</v>
      </c>
      <c r="BJ7" s="19" t="n">
        <f aca="false">IF(Time!BJ6=1,Inputs!$F$71,0)</f>
        <v>0</v>
      </c>
      <c r="BK7" s="19" t="n">
        <f aca="false">IF(Time!BK6=1,Inputs!$F$71,0)</f>
        <v>0</v>
      </c>
      <c r="BL7" s="19" t="n">
        <f aca="false">IF(Time!BL6=1,Inputs!$F$71,0)</f>
        <v>0</v>
      </c>
      <c r="BM7" s="19" t="n">
        <f aca="false">IF(Time!BM6=1,Inputs!$F$71,0)</f>
        <v>0</v>
      </c>
      <c r="BN7" s="19" t="n">
        <f aca="false">IF(Time!BN6=1,Inputs!$F$71,0)</f>
        <v>0</v>
      </c>
      <c r="BO7" s="19" t="n">
        <f aca="false">IF(Time!BO6=1,Inputs!$F$71,0)</f>
        <v>0</v>
      </c>
      <c r="BP7" s="19" t="n">
        <f aca="false">IF(Time!BP6=1,Inputs!$F$71,0)</f>
        <v>0</v>
      </c>
      <c r="BQ7" s="19" t="n">
        <f aca="false">IF(Time!BQ6=1,Inputs!$F$71,0)</f>
        <v>0</v>
      </c>
      <c r="BR7" s="19" t="n">
        <f aca="false">IF(Time!BR6=1,Inputs!$F$71,0)</f>
        <v>0</v>
      </c>
      <c r="BS7" s="19" t="n">
        <f aca="false">IF(Time!BS6=1,Inputs!$F$71,0)</f>
        <v>0</v>
      </c>
      <c r="BT7" s="19" t="n">
        <f aca="false">IF(Time!BT6=1,Inputs!$F$71,0)</f>
        <v>0</v>
      </c>
      <c r="BU7" s="19" t="n">
        <f aca="false">IF(Time!BU6=1,Inputs!$F$71,0)</f>
        <v>0</v>
      </c>
      <c r="BV7" s="19" t="n">
        <f aca="false">IF(Time!BV6=1,Inputs!$F$71,0)</f>
        <v>0</v>
      </c>
      <c r="BW7" s="19" t="n">
        <f aca="false">IF(Time!BW6=1,Inputs!$F$71,0)</f>
        <v>0</v>
      </c>
      <c r="BX7" s="19" t="n">
        <f aca="false">IF(Time!BX6=1,Inputs!$F$71,0)</f>
        <v>0</v>
      </c>
      <c r="BY7" s="19" t="n">
        <f aca="false">IF(Time!BY6=1,Inputs!$F$71,0)</f>
        <v>0</v>
      </c>
      <c r="BZ7" s="19" t="n">
        <f aca="false">IF(Time!BZ6=1,Inputs!$F$71,0)</f>
        <v>0</v>
      </c>
      <c r="CA7" s="19" t="n">
        <f aca="false">IF(Time!CA6=1,Inputs!$F$71,0)</f>
        <v>0</v>
      </c>
      <c r="CB7" s="19" t="n">
        <f aca="false">IF(Time!CB6=1,Inputs!$F$71,0)</f>
        <v>0</v>
      </c>
      <c r="CC7" s="19" t="n">
        <f aca="false">IF(Time!CC6=1,Inputs!$F$71,0)</f>
        <v>0</v>
      </c>
      <c r="CD7" s="19" t="n">
        <f aca="false">IF(Time!CD6=1,Inputs!$F$71,0)</f>
        <v>0</v>
      </c>
      <c r="CE7" s="19" t="n">
        <f aca="false">IF(Time!CE6=1,Inputs!$F$71,0)</f>
        <v>0</v>
      </c>
      <c r="CF7" s="19" t="n">
        <f aca="false">IF(Time!CF6=1,Inputs!$F$71,0)</f>
        <v>0</v>
      </c>
      <c r="CG7" s="19" t="n">
        <f aca="false">IF(Time!CG6=1,Inputs!$F$71,0)</f>
        <v>0</v>
      </c>
      <c r="CH7" s="19" t="n">
        <f aca="false">IF(Time!CH6=1,Inputs!$F$71,0)</f>
        <v>0</v>
      </c>
      <c r="CI7" s="19" t="n">
        <f aca="false">IF(Time!CI6=1,Inputs!$F$71,0)</f>
        <v>0</v>
      </c>
      <c r="CJ7" s="19" t="n">
        <f aca="false">IF(Time!CJ6=1,Inputs!$F$71,0)</f>
        <v>0</v>
      </c>
      <c r="CK7" s="19" t="n">
        <f aca="false">IF(Time!CK6=1,Inputs!$F$71,0)</f>
        <v>0</v>
      </c>
      <c r="CL7" s="19" t="n">
        <f aca="false">IF(Time!CL6=1,Inputs!$F$71,0)</f>
        <v>0</v>
      </c>
      <c r="CM7" s="19" t="n">
        <f aca="false">IF(Time!CM6=1,Inputs!$F$71,0)</f>
        <v>0</v>
      </c>
      <c r="CN7" s="19" t="n">
        <f aca="false">IF(Time!CN6=1,Inputs!$F$71,0)</f>
        <v>0</v>
      </c>
      <c r="CO7" s="19" t="n">
        <f aca="false">IF(Time!CO6=1,Inputs!$F$71,0)</f>
        <v>0</v>
      </c>
      <c r="CP7" s="19" t="n">
        <f aca="false">IF(Time!CP6=1,Inputs!$F$71,0)</f>
        <v>0</v>
      </c>
      <c r="CQ7" s="19" t="n">
        <f aca="false">IF(Time!CQ6=1,Inputs!$F$71,0)</f>
        <v>0</v>
      </c>
      <c r="CR7" s="19" t="n">
        <f aca="false">IF(Time!CR6=1,Inputs!$F$71,0)</f>
        <v>0</v>
      </c>
      <c r="CS7" s="19" t="n">
        <f aca="false">IF(Time!CS6=1,Inputs!$F$71,0)</f>
        <v>0</v>
      </c>
      <c r="CT7" s="19" t="n">
        <f aca="false">IF(Time!CT6=1,Inputs!$F$71,0)</f>
        <v>0</v>
      </c>
      <c r="CU7" s="19" t="n">
        <f aca="false">IF(Time!CU6=1,Inputs!$F$71,0)</f>
        <v>0</v>
      </c>
      <c r="CV7" s="19" t="n">
        <f aca="false">IF(Time!CV6=1,Inputs!$F$71,0)</f>
        <v>0</v>
      </c>
      <c r="CW7" s="19" t="n">
        <f aca="false">IF(Time!CW6=1,Inputs!$F$71,0)</f>
        <v>0</v>
      </c>
      <c r="CX7" s="19" t="n">
        <f aca="false">IF(Time!CX6=1,Inputs!$F$71,0)</f>
        <v>0</v>
      </c>
      <c r="CY7" s="19" t="n">
        <f aca="false">IF(Time!CY6=1,Inputs!$F$71,0)</f>
        <v>0</v>
      </c>
      <c r="CZ7" s="19" t="n">
        <f aca="false">IF(Time!CZ6=1,Inputs!$F$71,0)</f>
        <v>0</v>
      </c>
      <c r="DA7" s="19" t="n">
        <f aca="false">IF(Time!DA6=1,Inputs!$F$71,0)</f>
        <v>0</v>
      </c>
      <c r="DB7" s="19" t="n">
        <f aca="false">IF(Time!DB6=1,Inputs!$F$71,0)</f>
        <v>0</v>
      </c>
    </row>
    <row r="8" customFormat="false" ht="15" hidden="false" customHeight="false" outlineLevel="0" collapsed="false">
      <c r="D8" s="0" t="s">
        <v>181</v>
      </c>
      <c r="E8" s="0" t="s">
        <v>44</v>
      </c>
      <c r="G8" s="19" t="n">
        <f aca="false">SUM(J8:DB8)</f>
        <v>37.8</v>
      </c>
      <c r="J8" s="19" t="n">
        <f aca="false">Inputs!$F$72*Time!J9/Time!$F$18*Time!J20</f>
        <v>0.915384615384615</v>
      </c>
      <c r="K8" s="19" t="n">
        <f aca="false">Inputs!$F$72*Time!K9/Time!$F$18*Time!K20</f>
        <v>2.47692307692308</v>
      </c>
      <c r="L8" s="19" t="n">
        <f aca="false">Inputs!$F$72*Time!L9/Time!$F$18*Time!L20</f>
        <v>2.47692307692308</v>
      </c>
      <c r="M8" s="19" t="n">
        <f aca="false">Inputs!$F$72*Time!M9/Time!$F$18*Time!M20</f>
        <v>2.45</v>
      </c>
      <c r="N8" s="19" t="n">
        <f aca="false">Inputs!$F$72*Time!N9/Time!$F$18*Time!N20</f>
        <v>2.45</v>
      </c>
      <c r="O8" s="19" t="n">
        <f aca="false">Inputs!$F$72*Time!O9/Time!$F$18*Time!O20</f>
        <v>2.47692307692308</v>
      </c>
      <c r="P8" s="19" t="n">
        <f aca="false">Inputs!$F$72*Time!P9/Time!$F$18*Time!P20</f>
        <v>2.47692307692308</v>
      </c>
      <c r="Q8" s="19" t="n">
        <f aca="false">Inputs!$F$72*Time!Q9/Time!$F$18*Time!Q20</f>
        <v>2.42307692307692</v>
      </c>
      <c r="R8" s="19" t="n">
        <f aca="false">Inputs!$F$72*Time!R9/Time!$F$18*Time!R20</f>
        <v>2.45</v>
      </c>
      <c r="S8" s="19" t="n">
        <f aca="false">Inputs!$F$72*Time!S9/Time!$F$18*Time!S20</f>
        <v>2.47692307692308</v>
      </c>
      <c r="T8" s="19" t="n">
        <f aca="false">Inputs!$F$72*Time!T9/Time!$F$18*Time!T20</f>
        <v>2.47692307692308</v>
      </c>
      <c r="U8" s="19" t="n">
        <f aca="false">Inputs!$F$72*Time!U9/Time!$F$18*Time!U20</f>
        <v>2.42307692307692</v>
      </c>
      <c r="V8" s="19" t="n">
        <f aca="false">Inputs!$F$72*Time!V9/Time!$F$18*Time!V20</f>
        <v>2.45</v>
      </c>
      <c r="W8" s="19" t="n">
        <f aca="false">Inputs!$F$72*Time!W9/Time!$F$18*Time!W20</f>
        <v>2.47692307692308</v>
      </c>
      <c r="X8" s="19" t="n">
        <f aca="false">Inputs!$F$72*Time!X9/Time!$F$18*Time!X20</f>
        <v>2.47692307692308</v>
      </c>
      <c r="Y8" s="19" t="n">
        <f aca="false">Inputs!$F$72*Time!Y9/Time!$F$18*Time!Y20</f>
        <v>2.42307692307692</v>
      </c>
      <c r="Z8" s="19" t="n">
        <f aca="false">Inputs!$F$72*Time!Z9/Time!$F$18*Time!Z20</f>
        <v>0</v>
      </c>
      <c r="AA8" s="19" t="n">
        <f aca="false">Inputs!$F$72*Time!AA9/Time!$F$18*Time!AA20</f>
        <v>0</v>
      </c>
      <c r="AB8" s="19" t="n">
        <f aca="false">Inputs!$F$72*Time!AB9/Time!$F$18*Time!AB20</f>
        <v>0</v>
      </c>
      <c r="AC8" s="19" t="n">
        <f aca="false">Inputs!$F$72*Time!AC9/Time!$F$18*Time!AC20</f>
        <v>0</v>
      </c>
      <c r="AD8" s="19" t="n">
        <f aca="false">Inputs!$F$72*Time!AD9/Time!$F$18*Time!AD20</f>
        <v>0</v>
      </c>
      <c r="AE8" s="19" t="n">
        <f aca="false">Inputs!$F$72*Time!AE9/Time!$F$18*Time!AE20</f>
        <v>0</v>
      </c>
      <c r="AF8" s="19" t="n">
        <f aca="false">Inputs!$F$72*Time!AF9/Time!$F$18*Time!AF20</f>
        <v>0</v>
      </c>
      <c r="AG8" s="19" t="n">
        <f aca="false">Inputs!$F$72*Time!AG9/Time!$F$18*Time!AG20</f>
        <v>0</v>
      </c>
      <c r="AH8" s="19" t="n">
        <f aca="false">Inputs!$F$72*Time!AH9/Time!$F$18*Time!AH20</f>
        <v>0</v>
      </c>
      <c r="AI8" s="19" t="n">
        <f aca="false">Inputs!$F$72*Time!AI9/Time!$F$18*Time!AI20</f>
        <v>0</v>
      </c>
      <c r="AJ8" s="19" t="n">
        <f aca="false">Inputs!$F$72*Time!AJ9/Time!$F$18*Time!AJ20</f>
        <v>0</v>
      </c>
      <c r="AK8" s="19" t="n">
        <f aca="false">Inputs!$F$72*Time!AK9/Time!$F$18*Time!AK20</f>
        <v>0</v>
      </c>
      <c r="AL8" s="19" t="n">
        <f aca="false">Inputs!$F$72*Time!AL9/Time!$F$18*Time!AL20</f>
        <v>0</v>
      </c>
      <c r="AM8" s="19" t="n">
        <f aca="false">Inputs!$F$72*Time!AM9/Time!$F$18*Time!AM20</f>
        <v>0</v>
      </c>
      <c r="AN8" s="19" t="n">
        <f aca="false">Inputs!$F$72*Time!AN9/Time!$F$18*Time!AN20</f>
        <v>0</v>
      </c>
      <c r="AO8" s="19" t="n">
        <f aca="false">Inputs!$F$72*Time!AO9/Time!$F$18*Time!AO20</f>
        <v>0</v>
      </c>
      <c r="AP8" s="19" t="n">
        <f aca="false">Inputs!$F$72*Time!AP9/Time!$F$18*Time!AP20</f>
        <v>0</v>
      </c>
      <c r="AQ8" s="19" t="n">
        <f aca="false">Inputs!$F$72*Time!AQ9/Time!$F$18*Time!AQ20</f>
        <v>0</v>
      </c>
      <c r="AR8" s="19" t="n">
        <f aca="false">Inputs!$F$72*Time!AR9/Time!$F$18*Time!AR20</f>
        <v>0</v>
      </c>
      <c r="AS8" s="19" t="n">
        <f aca="false">Inputs!$F$72*Time!AS9/Time!$F$18*Time!AS20</f>
        <v>0</v>
      </c>
      <c r="AT8" s="19" t="n">
        <f aca="false">Inputs!$F$72*Time!AT9/Time!$F$18*Time!AT20</f>
        <v>0</v>
      </c>
      <c r="AU8" s="19" t="n">
        <f aca="false">Inputs!$F$72*Time!AU9/Time!$F$18*Time!AU20</f>
        <v>0</v>
      </c>
      <c r="AV8" s="19" t="n">
        <f aca="false">Inputs!$F$72*Time!AV9/Time!$F$18*Time!AV20</f>
        <v>0</v>
      </c>
      <c r="AW8" s="19" t="n">
        <f aca="false">Inputs!$F$72*Time!AW9/Time!$F$18*Time!AW20</f>
        <v>0</v>
      </c>
      <c r="AX8" s="19" t="n">
        <f aca="false">Inputs!$F$72*Time!AX9/Time!$F$18*Time!AX20</f>
        <v>0</v>
      </c>
      <c r="AY8" s="19" t="n">
        <f aca="false">Inputs!$F$72*Time!AY9/Time!$F$18*Time!AY20</f>
        <v>0</v>
      </c>
      <c r="AZ8" s="19" t="n">
        <f aca="false">Inputs!$F$72*Time!AZ9/Time!$F$18*Time!AZ20</f>
        <v>0</v>
      </c>
      <c r="BA8" s="19" t="n">
        <f aca="false">Inputs!$F$72*Time!BA9/Time!$F$18*Time!BA20</f>
        <v>0</v>
      </c>
      <c r="BB8" s="19" t="n">
        <f aca="false">Inputs!$F$72*Time!BB9/Time!$F$18*Time!BB20</f>
        <v>0</v>
      </c>
      <c r="BC8" s="19" t="n">
        <f aca="false">Inputs!$F$72*Time!BC9/Time!$F$18*Time!BC20</f>
        <v>0</v>
      </c>
      <c r="BD8" s="19" t="n">
        <f aca="false">Inputs!$F$72*Time!BD9/Time!$F$18*Time!BD20</f>
        <v>0</v>
      </c>
      <c r="BE8" s="19" t="n">
        <f aca="false">Inputs!$F$72*Time!BE9/Time!$F$18*Time!BE20</f>
        <v>0</v>
      </c>
      <c r="BF8" s="19" t="n">
        <f aca="false">Inputs!$F$72*Time!BF9/Time!$F$18*Time!BF20</f>
        <v>0</v>
      </c>
      <c r="BG8" s="19" t="n">
        <f aca="false">Inputs!$F$72*Time!BG9/Time!$F$18*Time!BG20</f>
        <v>0</v>
      </c>
      <c r="BH8" s="19" t="n">
        <f aca="false">Inputs!$F$72*Time!BH9/Time!$F$18*Time!BH20</f>
        <v>0</v>
      </c>
      <c r="BI8" s="19" t="n">
        <f aca="false">Inputs!$F$72*Time!BI9/Time!$F$18*Time!BI20</f>
        <v>0</v>
      </c>
      <c r="BJ8" s="19" t="n">
        <f aca="false">Inputs!$F$72*Time!BJ9/Time!$F$18*Time!BJ20</f>
        <v>0</v>
      </c>
      <c r="BK8" s="19" t="n">
        <f aca="false">Inputs!$F$72*Time!BK9/Time!$F$18*Time!BK20</f>
        <v>0</v>
      </c>
      <c r="BL8" s="19" t="n">
        <f aca="false">Inputs!$F$72*Time!BL9/Time!$F$18*Time!BL20</f>
        <v>0</v>
      </c>
      <c r="BM8" s="19" t="n">
        <f aca="false">Inputs!$F$72*Time!BM9/Time!$F$18*Time!BM20</f>
        <v>0</v>
      </c>
      <c r="BN8" s="19" t="n">
        <f aca="false">Inputs!$F$72*Time!BN9/Time!$F$18*Time!BN20</f>
        <v>0</v>
      </c>
      <c r="BO8" s="19" t="n">
        <f aca="false">Inputs!$F$72*Time!BO9/Time!$F$18*Time!BO20</f>
        <v>0</v>
      </c>
      <c r="BP8" s="19" t="n">
        <f aca="false">Inputs!$F$72*Time!BP9/Time!$F$18*Time!BP20</f>
        <v>0</v>
      </c>
      <c r="BQ8" s="19" t="n">
        <f aca="false">Inputs!$F$72*Time!BQ9/Time!$F$18*Time!BQ20</f>
        <v>0</v>
      </c>
      <c r="BR8" s="19" t="n">
        <f aca="false">Inputs!$F$72*Time!BR9/Time!$F$18*Time!BR20</f>
        <v>0</v>
      </c>
      <c r="BS8" s="19" t="n">
        <f aca="false">Inputs!$F$72*Time!BS9/Time!$F$18*Time!BS20</f>
        <v>0</v>
      </c>
      <c r="BT8" s="19" t="n">
        <f aca="false">Inputs!$F$72*Time!BT9/Time!$F$18*Time!BT20</f>
        <v>0</v>
      </c>
      <c r="BU8" s="19" t="n">
        <f aca="false">Inputs!$F$72*Time!BU9/Time!$F$18*Time!BU20</f>
        <v>0</v>
      </c>
      <c r="BV8" s="19" t="n">
        <f aca="false">Inputs!$F$72*Time!BV9/Time!$F$18*Time!BV20</f>
        <v>0</v>
      </c>
      <c r="BW8" s="19" t="n">
        <f aca="false">Inputs!$F$72*Time!BW9/Time!$F$18*Time!BW20</f>
        <v>0</v>
      </c>
      <c r="BX8" s="19" t="n">
        <f aca="false">Inputs!$F$72*Time!BX9/Time!$F$18*Time!BX20</f>
        <v>0</v>
      </c>
      <c r="BY8" s="19" t="n">
        <f aca="false">Inputs!$F$72*Time!BY9/Time!$F$18*Time!BY20</f>
        <v>0</v>
      </c>
      <c r="BZ8" s="19" t="n">
        <f aca="false">Inputs!$F$72*Time!BZ9/Time!$F$18*Time!BZ20</f>
        <v>0</v>
      </c>
      <c r="CA8" s="19" t="n">
        <f aca="false">Inputs!$F$72*Time!CA9/Time!$F$18*Time!CA20</f>
        <v>0</v>
      </c>
      <c r="CB8" s="19" t="n">
        <f aca="false">Inputs!$F$72*Time!CB9/Time!$F$18*Time!CB20</f>
        <v>0</v>
      </c>
      <c r="CC8" s="19" t="n">
        <f aca="false">Inputs!$F$72*Time!CC9/Time!$F$18*Time!CC20</f>
        <v>0</v>
      </c>
      <c r="CD8" s="19" t="n">
        <f aca="false">Inputs!$F$72*Time!CD9/Time!$F$18*Time!CD20</f>
        <v>0</v>
      </c>
      <c r="CE8" s="19" t="n">
        <f aca="false">Inputs!$F$72*Time!CE9/Time!$F$18*Time!CE20</f>
        <v>0</v>
      </c>
      <c r="CF8" s="19" t="n">
        <f aca="false">Inputs!$F$72*Time!CF9/Time!$F$18*Time!CF20</f>
        <v>0</v>
      </c>
      <c r="CG8" s="19" t="n">
        <f aca="false">Inputs!$F$72*Time!CG9/Time!$F$18*Time!CG20</f>
        <v>0</v>
      </c>
      <c r="CH8" s="19" t="n">
        <f aca="false">Inputs!$F$72*Time!CH9/Time!$F$18*Time!CH20</f>
        <v>0</v>
      </c>
      <c r="CI8" s="19" t="n">
        <f aca="false">Inputs!$F$72*Time!CI9/Time!$F$18*Time!CI20</f>
        <v>0</v>
      </c>
      <c r="CJ8" s="19" t="n">
        <f aca="false">Inputs!$F$72*Time!CJ9/Time!$F$18*Time!CJ20</f>
        <v>0</v>
      </c>
      <c r="CK8" s="19" t="n">
        <f aca="false">Inputs!$F$72*Time!CK9/Time!$F$18*Time!CK20</f>
        <v>0</v>
      </c>
      <c r="CL8" s="19" t="n">
        <f aca="false">Inputs!$F$72*Time!CL9/Time!$F$18*Time!CL20</f>
        <v>0</v>
      </c>
      <c r="CM8" s="19" t="n">
        <f aca="false">Inputs!$F$72*Time!CM9/Time!$F$18*Time!CM20</f>
        <v>0</v>
      </c>
      <c r="CN8" s="19" t="n">
        <f aca="false">Inputs!$F$72*Time!CN9/Time!$F$18*Time!CN20</f>
        <v>0</v>
      </c>
      <c r="CO8" s="19" t="n">
        <f aca="false">Inputs!$F$72*Time!CO9/Time!$F$18*Time!CO20</f>
        <v>0</v>
      </c>
      <c r="CP8" s="19" t="n">
        <f aca="false">Inputs!$F$72*Time!CP9/Time!$F$18*Time!CP20</f>
        <v>0</v>
      </c>
      <c r="CQ8" s="19" t="n">
        <f aca="false">Inputs!$F$72*Time!CQ9/Time!$F$18*Time!CQ20</f>
        <v>0</v>
      </c>
      <c r="CR8" s="19" t="n">
        <f aca="false">Inputs!$F$72*Time!CR9/Time!$F$18*Time!CR20</f>
        <v>0</v>
      </c>
      <c r="CS8" s="19" t="n">
        <f aca="false">Inputs!$F$72*Time!CS9/Time!$F$18*Time!CS20</f>
        <v>0</v>
      </c>
      <c r="CT8" s="19" t="n">
        <f aca="false">Inputs!$F$72*Time!CT9/Time!$F$18*Time!CT20</f>
        <v>0</v>
      </c>
      <c r="CU8" s="19" t="n">
        <f aca="false">Inputs!$F$72*Time!CU9/Time!$F$18*Time!CU20</f>
        <v>0</v>
      </c>
      <c r="CV8" s="19" t="n">
        <f aca="false">Inputs!$F$72*Time!CV9/Time!$F$18*Time!CV20</f>
        <v>0</v>
      </c>
      <c r="CW8" s="19" t="n">
        <f aca="false">Inputs!$F$72*Time!CW9/Time!$F$18*Time!CW20</f>
        <v>0</v>
      </c>
      <c r="CX8" s="19" t="n">
        <f aca="false">Inputs!$F$72*Time!CX9/Time!$F$18*Time!CX20</f>
        <v>0</v>
      </c>
      <c r="CY8" s="19" t="n">
        <f aca="false">Inputs!$F$72*Time!CY9/Time!$F$18*Time!CY20</f>
        <v>0</v>
      </c>
      <c r="CZ8" s="19" t="n">
        <f aca="false">Inputs!$F$72*Time!CZ9/Time!$F$18*Time!CZ20</f>
        <v>0</v>
      </c>
      <c r="DA8" s="19" t="n">
        <f aca="false">Inputs!$F$72*Time!DA9/Time!$F$18*Time!DA20</f>
        <v>0</v>
      </c>
      <c r="DB8" s="19" t="n">
        <f aca="false">Inputs!$F$72*Time!DB9/Time!$F$18*Time!DB20</f>
        <v>0</v>
      </c>
    </row>
    <row r="9" customFormat="false" ht="15" hidden="false" customHeight="false" outlineLevel="0" collapsed="false">
      <c r="D9" s="0" t="s">
        <v>109</v>
      </c>
      <c r="E9" s="0" t="s">
        <v>44</v>
      </c>
      <c r="G9" s="19" t="n">
        <f aca="false">SUM(J9:DB9)</f>
        <v>12.6</v>
      </c>
      <c r="J9" s="19" t="n">
        <f aca="false">IF(Time!J6=1,Inputs!$F$73*Inputs!$F$74,IF(Time!J8=Inputs!$F$37,Inputs!$F$73*(1-Inputs!$F$74),0))</f>
        <v>10.08</v>
      </c>
      <c r="K9" s="19" t="n">
        <f aca="false">IF(Time!K6=1,Inputs!$F$73*Inputs!$F$74,IF(Time!K8=Inputs!$F$37,Inputs!$F$73*(1-Inputs!$F$74),0))</f>
        <v>0</v>
      </c>
      <c r="L9" s="19" t="n">
        <f aca="false">IF(Time!L6=1,Inputs!$F$73*Inputs!$F$74,IF(Time!L8=Inputs!$F$37,Inputs!$F$73*(1-Inputs!$F$74),0))</f>
        <v>0</v>
      </c>
      <c r="M9" s="19" t="n">
        <f aca="false">IF(Time!M6=1,Inputs!$F$73*Inputs!$F$74,IF(Time!M8=Inputs!$F$37,Inputs!$F$73*(1-Inputs!$F$74),0))</f>
        <v>0</v>
      </c>
      <c r="N9" s="19" t="n">
        <f aca="false">IF(Time!N6=1,Inputs!$F$73*Inputs!$F$74,IF(Time!N8=Inputs!$F$37,Inputs!$F$73*(1-Inputs!$F$74),0))</f>
        <v>0</v>
      </c>
      <c r="O9" s="19" t="n">
        <f aca="false">IF(Time!O6=1,Inputs!$F$73*Inputs!$F$74,IF(Time!O8=Inputs!$F$37,Inputs!$F$73*(1-Inputs!$F$74),0))</f>
        <v>0</v>
      </c>
      <c r="P9" s="19" t="n">
        <f aca="false">IF(Time!P6=1,Inputs!$F$73*Inputs!$F$74,IF(Time!P8=Inputs!$F$37,Inputs!$F$73*(1-Inputs!$F$74),0))</f>
        <v>0</v>
      </c>
      <c r="Q9" s="19" t="n">
        <f aca="false">IF(Time!Q6=1,Inputs!$F$73*Inputs!$F$74,IF(Time!Q8=Inputs!$F$37,Inputs!$F$73*(1-Inputs!$F$74),0))</f>
        <v>0</v>
      </c>
      <c r="R9" s="19" t="n">
        <f aca="false">IF(Time!R6=1,Inputs!$F$73*Inputs!$F$74,IF(Time!R8=Inputs!$F$37,Inputs!$F$73*(1-Inputs!$F$74),0))</f>
        <v>2.52</v>
      </c>
      <c r="S9" s="19" t="n">
        <f aca="false">IF(Time!S6=1,Inputs!$F$73*Inputs!$F$74,IF(Time!S8=Inputs!$F$37,Inputs!$F$73*(1-Inputs!$F$74),0))</f>
        <v>0</v>
      </c>
      <c r="T9" s="19" t="n">
        <f aca="false">IF(Time!T6=1,Inputs!$F$73*Inputs!$F$74,IF(Time!T8=Inputs!$F$37,Inputs!$F$73*(1-Inputs!$F$74),0))</f>
        <v>0</v>
      </c>
      <c r="U9" s="19" t="n">
        <f aca="false">IF(Time!U6=1,Inputs!$F$73*Inputs!$F$74,IF(Time!U8=Inputs!$F$37,Inputs!$F$73*(1-Inputs!$F$74),0))</f>
        <v>0</v>
      </c>
      <c r="V9" s="19" t="n">
        <f aca="false">IF(Time!V6=1,Inputs!$F$73*Inputs!$F$74,IF(Time!V8=Inputs!$F$37,Inputs!$F$73*(1-Inputs!$F$74),0))</f>
        <v>0</v>
      </c>
      <c r="W9" s="19" t="n">
        <f aca="false">IF(Time!W6=1,Inputs!$F$73*Inputs!$F$74,IF(Time!W8=Inputs!$F$37,Inputs!$F$73*(1-Inputs!$F$74),0))</f>
        <v>0</v>
      </c>
      <c r="X9" s="19" t="n">
        <f aca="false">IF(Time!X6=1,Inputs!$F$73*Inputs!$F$74,IF(Time!X8=Inputs!$F$37,Inputs!$F$73*(1-Inputs!$F$74),0))</f>
        <v>0</v>
      </c>
      <c r="Y9" s="19" t="n">
        <f aca="false">IF(Time!Y6=1,Inputs!$F$73*Inputs!$F$74,IF(Time!Y8=Inputs!$F$37,Inputs!$F$73*(1-Inputs!$F$74),0))</f>
        <v>0</v>
      </c>
      <c r="Z9" s="19" t="n">
        <f aca="false">IF(Time!Z6=1,Inputs!$F$73*Inputs!$F$74,IF(Time!Z8=Inputs!$F$37,Inputs!$F$73*(1-Inputs!$F$74),0))</f>
        <v>0</v>
      </c>
      <c r="AA9" s="19" t="n">
        <f aca="false">IF(Time!AA6=1,Inputs!$F$73*Inputs!$F$74,IF(Time!AA8=Inputs!$F$37,Inputs!$F$73*(1-Inputs!$F$74),0))</f>
        <v>0</v>
      </c>
      <c r="AB9" s="19" t="n">
        <f aca="false">IF(Time!AB6=1,Inputs!$F$73*Inputs!$F$74,IF(Time!AB8=Inputs!$F$37,Inputs!$F$73*(1-Inputs!$F$74),0))</f>
        <v>0</v>
      </c>
      <c r="AC9" s="19" t="n">
        <f aca="false">IF(Time!AC6=1,Inputs!$F$73*Inputs!$F$74,IF(Time!AC8=Inputs!$F$37,Inputs!$F$73*(1-Inputs!$F$74),0))</f>
        <v>0</v>
      </c>
      <c r="AD9" s="19" t="n">
        <f aca="false">IF(Time!AD6=1,Inputs!$F$73*Inputs!$F$74,IF(Time!AD8=Inputs!$F$37,Inputs!$F$73*(1-Inputs!$F$74),0))</f>
        <v>0</v>
      </c>
      <c r="AE9" s="19" t="n">
        <f aca="false">IF(Time!AE6=1,Inputs!$F$73*Inputs!$F$74,IF(Time!AE8=Inputs!$F$37,Inputs!$F$73*(1-Inputs!$F$74),0))</f>
        <v>0</v>
      </c>
      <c r="AF9" s="19" t="n">
        <f aca="false">IF(Time!AF6=1,Inputs!$F$73*Inputs!$F$74,IF(Time!AF8=Inputs!$F$37,Inputs!$F$73*(1-Inputs!$F$74),0))</f>
        <v>0</v>
      </c>
      <c r="AG9" s="19" t="n">
        <f aca="false">IF(Time!AG6=1,Inputs!$F$73*Inputs!$F$74,IF(Time!AG8=Inputs!$F$37,Inputs!$F$73*(1-Inputs!$F$74),0))</f>
        <v>0</v>
      </c>
      <c r="AH9" s="19" t="n">
        <f aca="false">IF(Time!AH6=1,Inputs!$F$73*Inputs!$F$74,IF(Time!AH8=Inputs!$F$37,Inputs!$F$73*(1-Inputs!$F$74),0))</f>
        <v>0</v>
      </c>
      <c r="AI9" s="19" t="n">
        <f aca="false">IF(Time!AI6=1,Inputs!$F$73*Inputs!$F$74,IF(Time!AI8=Inputs!$F$37,Inputs!$F$73*(1-Inputs!$F$74),0))</f>
        <v>0</v>
      </c>
      <c r="AJ9" s="19" t="n">
        <f aca="false">IF(Time!AJ6=1,Inputs!$F$73*Inputs!$F$74,IF(Time!AJ8=Inputs!$F$37,Inputs!$F$73*(1-Inputs!$F$74),0))</f>
        <v>0</v>
      </c>
      <c r="AK9" s="19" t="n">
        <f aca="false">IF(Time!AK6=1,Inputs!$F$73*Inputs!$F$74,IF(Time!AK8=Inputs!$F$37,Inputs!$F$73*(1-Inputs!$F$74),0))</f>
        <v>0</v>
      </c>
      <c r="AL9" s="19" t="n">
        <f aca="false">IF(Time!AL6=1,Inputs!$F$73*Inputs!$F$74,IF(Time!AL8=Inputs!$F$37,Inputs!$F$73*(1-Inputs!$F$74),0))</f>
        <v>0</v>
      </c>
      <c r="AM9" s="19" t="n">
        <f aca="false">IF(Time!AM6=1,Inputs!$F$73*Inputs!$F$74,IF(Time!AM8=Inputs!$F$37,Inputs!$F$73*(1-Inputs!$F$74),0))</f>
        <v>0</v>
      </c>
      <c r="AN9" s="19" t="n">
        <f aca="false">IF(Time!AN6=1,Inputs!$F$73*Inputs!$F$74,IF(Time!AN8=Inputs!$F$37,Inputs!$F$73*(1-Inputs!$F$74),0))</f>
        <v>0</v>
      </c>
      <c r="AO9" s="19" t="n">
        <f aca="false">IF(Time!AO6=1,Inputs!$F$73*Inputs!$F$74,IF(Time!AO8=Inputs!$F$37,Inputs!$F$73*(1-Inputs!$F$74),0))</f>
        <v>0</v>
      </c>
      <c r="AP9" s="19" t="n">
        <f aca="false">IF(Time!AP6=1,Inputs!$F$73*Inputs!$F$74,IF(Time!AP8=Inputs!$F$37,Inputs!$F$73*(1-Inputs!$F$74),0))</f>
        <v>0</v>
      </c>
      <c r="AQ9" s="19" t="n">
        <f aca="false">IF(Time!AQ6=1,Inputs!$F$73*Inputs!$F$74,IF(Time!AQ8=Inputs!$F$37,Inputs!$F$73*(1-Inputs!$F$74),0))</f>
        <v>0</v>
      </c>
      <c r="AR9" s="19" t="n">
        <f aca="false">IF(Time!AR6=1,Inputs!$F$73*Inputs!$F$74,IF(Time!AR8=Inputs!$F$37,Inputs!$F$73*(1-Inputs!$F$74),0))</f>
        <v>0</v>
      </c>
      <c r="AS9" s="19" t="n">
        <f aca="false">IF(Time!AS6=1,Inputs!$F$73*Inputs!$F$74,IF(Time!AS8=Inputs!$F$37,Inputs!$F$73*(1-Inputs!$F$74),0))</f>
        <v>0</v>
      </c>
      <c r="AT9" s="19" t="n">
        <f aca="false">IF(Time!AT6=1,Inputs!$F$73*Inputs!$F$74,IF(Time!AT8=Inputs!$F$37,Inputs!$F$73*(1-Inputs!$F$74),0))</f>
        <v>0</v>
      </c>
      <c r="AU9" s="19" t="n">
        <f aca="false">IF(Time!AU6=1,Inputs!$F$73*Inputs!$F$74,IF(Time!AU8=Inputs!$F$37,Inputs!$F$73*(1-Inputs!$F$74),0))</f>
        <v>0</v>
      </c>
      <c r="AV9" s="19" t="n">
        <f aca="false">IF(Time!AV6=1,Inputs!$F$73*Inputs!$F$74,IF(Time!AV8=Inputs!$F$37,Inputs!$F$73*(1-Inputs!$F$74),0))</f>
        <v>0</v>
      </c>
      <c r="AW9" s="19" t="n">
        <f aca="false">IF(Time!AW6=1,Inputs!$F$73*Inputs!$F$74,IF(Time!AW8=Inputs!$F$37,Inputs!$F$73*(1-Inputs!$F$74),0))</f>
        <v>0</v>
      </c>
      <c r="AX9" s="19" t="n">
        <f aca="false">IF(Time!AX6=1,Inputs!$F$73*Inputs!$F$74,IF(Time!AX8=Inputs!$F$37,Inputs!$F$73*(1-Inputs!$F$74),0))</f>
        <v>0</v>
      </c>
      <c r="AY9" s="19" t="n">
        <f aca="false">IF(Time!AY6=1,Inputs!$F$73*Inputs!$F$74,IF(Time!AY8=Inputs!$F$37,Inputs!$F$73*(1-Inputs!$F$74),0))</f>
        <v>0</v>
      </c>
      <c r="AZ9" s="19" t="n">
        <f aca="false">IF(Time!AZ6=1,Inputs!$F$73*Inputs!$F$74,IF(Time!AZ8=Inputs!$F$37,Inputs!$F$73*(1-Inputs!$F$74),0))</f>
        <v>0</v>
      </c>
      <c r="BA9" s="19" t="n">
        <f aca="false">IF(Time!BA6=1,Inputs!$F$73*Inputs!$F$74,IF(Time!BA8=Inputs!$F$37,Inputs!$F$73*(1-Inputs!$F$74),0))</f>
        <v>0</v>
      </c>
      <c r="BB9" s="19" t="n">
        <f aca="false">IF(Time!BB6=1,Inputs!$F$73*Inputs!$F$74,IF(Time!BB8=Inputs!$F$37,Inputs!$F$73*(1-Inputs!$F$74),0))</f>
        <v>0</v>
      </c>
      <c r="BC9" s="19" t="n">
        <f aca="false">IF(Time!BC6=1,Inputs!$F$73*Inputs!$F$74,IF(Time!BC8=Inputs!$F$37,Inputs!$F$73*(1-Inputs!$F$74),0))</f>
        <v>0</v>
      </c>
      <c r="BD9" s="19" t="n">
        <f aca="false">IF(Time!BD6=1,Inputs!$F$73*Inputs!$F$74,IF(Time!BD8=Inputs!$F$37,Inputs!$F$73*(1-Inputs!$F$74),0))</f>
        <v>0</v>
      </c>
      <c r="BE9" s="19" t="n">
        <f aca="false">IF(Time!BE6=1,Inputs!$F$73*Inputs!$F$74,IF(Time!BE8=Inputs!$F$37,Inputs!$F$73*(1-Inputs!$F$74),0))</f>
        <v>0</v>
      </c>
      <c r="BF9" s="19" t="n">
        <f aca="false">IF(Time!BF6=1,Inputs!$F$73*Inputs!$F$74,IF(Time!BF8=Inputs!$F$37,Inputs!$F$73*(1-Inputs!$F$74),0))</f>
        <v>0</v>
      </c>
      <c r="BG9" s="19" t="n">
        <f aca="false">IF(Time!BG6=1,Inputs!$F$73*Inputs!$F$74,IF(Time!BG8=Inputs!$F$37,Inputs!$F$73*(1-Inputs!$F$74),0))</f>
        <v>0</v>
      </c>
      <c r="BH9" s="19" t="n">
        <f aca="false">IF(Time!BH6=1,Inputs!$F$73*Inputs!$F$74,IF(Time!BH8=Inputs!$F$37,Inputs!$F$73*(1-Inputs!$F$74),0))</f>
        <v>0</v>
      </c>
      <c r="BI9" s="19" t="n">
        <f aca="false">IF(Time!BI6=1,Inputs!$F$73*Inputs!$F$74,IF(Time!BI8=Inputs!$F$37,Inputs!$F$73*(1-Inputs!$F$74),0))</f>
        <v>0</v>
      </c>
      <c r="BJ9" s="19" t="n">
        <f aca="false">IF(Time!BJ6=1,Inputs!$F$73*Inputs!$F$74,IF(Time!BJ8=Inputs!$F$37,Inputs!$F$73*(1-Inputs!$F$74),0))</f>
        <v>0</v>
      </c>
      <c r="BK9" s="19" t="n">
        <f aca="false">IF(Time!BK6=1,Inputs!$F$73*Inputs!$F$74,IF(Time!BK8=Inputs!$F$37,Inputs!$F$73*(1-Inputs!$F$74),0))</f>
        <v>0</v>
      </c>
      <c r="BL9" s="19" t="n">
        <f aca="false">IF(Time!BL6=1,Inputs!$F$73*Inputs!$F$74,IF(Time!BL8=Inputs!$F$37,Inputs!$F$73*(1-Inputs!$F$74),0))</f>
        <v>0</v>
      </c>
      <c r="BM9" s="19" t="n">
        <f aca="false">IF(Time!BM6=1,Inputs!$F$73*Inputs!$F$74,IF(Time!BM8=Inputs!$F$37,Inputs!$F$73*(1-Inputs!$F$74),0))</f>
        <v>0</v>
      </c>
      <c r="BN9" s="19" t="n">
        <f aca="false">IF(Time!BN6=1,Inputs!$F$73*Inputs!$F$74,IF(Time!BN8=Inputs!$F$37,Inputs!$F$73*(1-Inputs!$F$74),0))</f>
        <v>0</v>
      </c>
      <c r="BO9" s="19" t="n">
        <f aca="false">IF(Time!BO6=1,Inputs!$F$73*Inputs!$F$74,IF(Time!BO8=Inputs!$F$37,Inputs!$F$73*(1-Inputs!$F$74),0))</f>
        <v>0</v>
      </c>
      <c r="BP9" s="19" t="n">
        <f aca="false">IF(Time!BP6=1,Inputs!$F$73*Inputs!$F$74,IF(Time!BP8=Inputs!$F$37,Inputs!$F$73*(1-Inputs!$F$74),0))</f>
        <v>0</v>
      </c>
      <c r="BQ9" s="19" t="n">
        <f aca="false">IF(Time!BQ6=1,Inputs!$F$73*Inputs!$F$74,IF(Time!BQ8=Inputs!$F$37,Inputs!$F$73*(1-Inputs!$F$74),0))</f>
        <v>0</v>
      </c>
      <c r="BR9" s="19" t="n">
        <f aca="false">IF(Time!BR6=1,Inputs!$F$73*Inputs!$F$74,IF(Time!BR8=Inputs!$F$37,Inputs!$F$73*(1-Inputs!$F$74),0))</f>
        <v>0</v>
      </c>
      <c r="BS9" s="19" t="n">
        <f aca="false">IF(Time!BS6=1,Inputs!$F$73*Inputs!$F$74,IF(Time!BS8=Inputs!$F$37,Inputs!$F$73*(1-Inputs!$F$74),0))</f>
        <v>0</v>
      </c>
      <c r="BT9" s="19" t="n">
        <f aca="false">IF(Time!BT6=1,Inputs!$F$73*Inputs!$F$74,IF(Time!BT8=Inputs!$F$37,Inputs!$F$73*(1-Inputs!$F$74),0))</f>
        <v>0</v>
      </c>
      <c r="BU9" s="19" t="n">
        <f aca="false">IF(Time!BU6=1,Inputs!$F$73*Inputs!$F$74,IF(Time!BU8=Inputs!$F$37,Inputs!$F$73*(1-Inputs!$F$74),0))</f>
        <v>0</v>
      </c>
      <c r="BV9" s="19" t="n">
        <f aca="false">IF(Time!BV6=1,Inputs!$F$73*Inputs!$F$74,IF(Time!BV8=Inputs!$F$37,Inputs!$F$73*(1-Inputs!$F$74),0))</f>
        <v>0</v>
      </c>
      <c r="BW9" s="19" t="n">
        <f aca="false">IF(Time!BW6=1,Inputs!$F$73*Inputs!$F$74,IF(Time!BW8=Inputs!$F$37,Inputs!$F$73*(1-Inputs!$F$74),0))</f>
        <v>0</v>
      </c>
      <c r="BX9" s="19" t="n">
        <f aca="false">IF(Time!BX6=1,Inputs!$F$73*Inputs!$F$74,IF(Time!BX8=Inputs!$F$37,Inputs!$F$73*(1-Inputs!$F$74),0))</f>
        <v>0</v>
      </c>
      <c r="BY9" s="19" t="n">
        <f aca="false">IF(Time!BY6=1,Inputs!$F$73*Inputs!$F$74,IF(Time!BY8=Inputs!$F$37,Inputs!$F$73*(1-Inputs!$F$74),0))</f>
        <v>0</v>
      </c>
      <c r="BZ9" s="19" t="n">
        <f aca="false">IF(Time!BZ6=1,Inputs!$F$73*Inputs!$F$74,IF(Time!BZ8=Inputs!$F$37,Inputs!$F$73*(1-Inputs!$F$74),0))</f>
        <v>0</v>
      </c>
      <c r="CA9" s="19" t="n">
        <f aca="false">IF(Time!CA6=1,Inputs!$F$73*Inputs!$F$74,IF(Time!CA8=Inputs!$F$37,Inputs!$F$73*(1-Inputs!$F$74),0))</f>
        <v>0</v>
      </c>
      <c r="CB9" s="19" t="n">
        <f aca="false">IF(Time!CB6=1,Inputs!$F$73*Inputs!$F$74,IF(Time!CB8=Inputs!$F$37,Inputs!$F$73*(1-Inputs!$F$74),0))</f>
        <v>0</v>
      </c>
      <c r="CC9" s="19" t="n">
        <f aca="false">IF(Time!CC6=1,Inputs!$F$73*Inputs!$F$74,IF(Time!CC8=Inputs!$F$37,Inputs!$F$73*(1-Inputs!$F$74),0))</f>
        <v>0</v>
      </c>
      <c r="CD9" s="19" t="n">
        <f aca="false">IF(Time!CD6=1,Inputs!$F$73*Inputs!$F$74,IF(Time!CD8=Inputs!$F$37,Inputs!$F$73*(1-Inputs!$F$74),0))</f>
        <v>0</v>
      </c>
      <c r="CE9" s="19" t="n">
        <f aca="false">IF(Time!CE6=1,Inputs!$F$73*Inputs!$F$74,IF(Time!CE8=Inputs!$F$37,Inputs!$F$73*(1-Inputs!$F$74),0))</f>
        <v>0</v>
      </c>
      <c r="CF9" s="19" t="n">
        <f aca="false">IF(Time!CF6=1,Inputs!$F$73*Inputs!$F$74,IF(Time!CF8=Inputs!$F$37,Inputs!$F$73*(1-Inputs!$F$74),0))</f>
        <v>0</v>
      </c>
      <c r="CG9" s="19" t="n">
        <f aca="false">IF(Time!CG6=1,Inputs!$F$73*Inputs!$F$74,IF(Time!CG8=Inputs!$F$37,Inputs!$F$73*(1-Inputs!$F$74),0))</f>
        <v>0</v>
      </c>
      <c r="CH9" s="19" t="n">
        <f aca="false">IF(Time!CH6=1,Inputs!$F$73*Inputs!$F$74,IF(Time!CH8=Inputs!$F$37,Inputs!$F$73*(1-Inputs!$F$74),0))</f>
        <v>0</v>
      </c>
      <c r="CI9" s="19" t="n">
        <f aca="false">IF(Time!CI6=1,Inputs!$F$73*Inputs!$F$74,IF(Time!CI8=Inputs!$F$37,Inputs!$F$73*(1-Inputs!$F$74),0))</f>
        <v>0</v>
      </c>
      <c r="CJ9" s="19" t="n">
        <f aca="false">IF(Time!CJ6=1,Inputs!$F$73*Inputs!$F$74,IF(Time!CJ8=Inputs!$F$37,Inputs!$F$73*(1-Inputs!$F$74),0))</f>
        <v>0</v>
      </c>
      <c r="CK9" s="19" t="n">
        <f aca="false">IF(Time!CK6=1,Inputs!$F$73*Inputs!$F$74,IF(Time!CK8=Inputs!$F$37,Inputs!$F$73*(1-Inputs!$F$74),0))</f>
        <v>0</v>
      </c>
      <c r="CL9" s="19" t="n">
        <f aca="false">IF(Time!CL6=1,Inputs!$F$73*Inputs!$F$74,IF(Time!CL8=Inputs!$F$37,Inputs!$F$73*(1-Inputs!$F$74),0))</f>
        <v>0</v>
      </c>
      <c r="CM9" s="19" t="n">
        <f aca="false">IF(Time!CM6=1,Inputs!$F$73*Inputs!$F$74,IF(Time!CM8=Inputs!$F$37,Inputs!$F$73*(1-Inputs!$F$74),0))</f>
        <v>0</v>
      </c>
      <c r="CN9" s="19" t="n">
        <f aca="false">IF(Time!CN6=1,Inputs!$F$73*Inputs!$F$74,IF(Time!CN8=Inputs!$F$37,Inputs!$F$73*(1-Inputs!$F$74),0))</f>
        <v>0</v>
      </c>
      <c r="CO9" s="19" t="n">
        <f aca="false">IF(Time!CO6=1,Inputs!$F$73*Inputs!$F$74,IF(Time!CO8=Inputs!$F$37,Inputs!$F$73*(1-Inputs!$F$74),0))</f>
        <v>0</v>
      </c>
      <c r="CP9" s="19" t="n">
        <f aca="false">IF(Time!CP6=1,Inputs!$F$73*Inputs!$F$74,IF(Time!CP8=Inputs!$F$37,Inputs!$F$73*(1-Inputs!$F$74),0))</f>
        <v>0</v>
      </c>
      <c r="CQ9" s="19" t="n">
        <f aca="false">IF(Time!CQ6=1,Inputs!$F$73*Inputs!$F$74,IF(Time!CQ8=Inputs!$F$37,Inputs!$F$73*(1-Inputs!$F$74),0))</f>
        <v>0</v>
      </c>
      <c r="CR9" s="19" t="n">
        <f aca="false">IF(Time!CR6=1,Inputs!$F$73*Inputs!$F$74,IF(Time!CR8=Inputs!$F$37,Inputs!$F$73*(1-Inputs!$F$74),0))</f>
        <v>0</v>
      </c>
      <c r="CS9" s="19" t="n">
        <f aca="false">IF(Time!CS6=1,Inputs!$F$73*Inputs!$F$74,IF(Time!CS8=Inputs!$F$37,Inputs!$F$73*(1-Inputs!$F$74),0))</f>
        <v>0</v>
      </c>
      <c r="CT9" s="19" t="n">
        <f aca="false">IF(Time!CT6=1,Inputs!$F$73*Inputs!$F$74,IF(Time!CT8=Inputs!$F$37,Inputs!$F$73*(1-Inputs!$F$74),0))</f>
        <v>0</v>
      </c>
      <c r="CU9" s="19" t="n">
        <f aca="false">IF(Time!CU6=1,Inputs!$F$73*Inputs!$F$74,IF(Time!CU8=Inputs!$F$37,Inputs!$F$73*(1-Inputs!$F$74),0))</f>
        <v>0</v>
      </c>
      <c r="CV9" s="19" t="n">
        <f aca="false">IF(Time!CV6=1,Inputs!$F$73*Inputs!$F$74,IF(Time!CV8=Inputs!$F$37,Inputs!$F$73*(1-Inputs!$F$74),0))</f>
        <v>0</v>
      </c>
      <c r="CW9" s="19" t="n">
        <f aca="false">IF(Time!CW6=1,Inputs!$F$73*Inputs!$F$74,IF(Time!CW8=Inputs!$F$37,Inputs!$F$73*(1-Inputs!$F$74),0))</f>
        <v>0</v>
      </c>
      <c r="CX9" s="19" t="n">
        <f aca="false">IF(Time!CX6=1,Inputs!$F$73*Inputs!$F$74,IF(Time!CX8=Inputs!$F$37,Inputs!$F$73*(1-Inputs!$F$74),0))</f>
        <v>0</v>
      </c>
      <c r="CY9" s="19" t="n">
        <f aca="false">IF(Time!CY6=1,Inputs!$F$73*Inputs!$F$74,IF(Time!CY8=Inputs!$F$37,Inputs!$F$73*(1-Inputs!$F$74),0))</f>
        <v>0</v>
      </c>
      <c r="CZ9" s="19" t="n">
        <f aca="false">IF(Time!CZ6=1,Inputs!$F$73*Inputs!$F$74,IF(Time!CZ8=Inputs!$F$37,Inputs!$F$73*(1-Inputs!$F$74),0))</f>
        <v>0</v>
      </c>
      <c r="DA9" s="19" t="n">
        <f aca="false">IF(Time!DA6=1,Inputs!$F$73*Inputs!$F$74,IF(Time!DA8=Inputs!$F$37,Inputs!$F$73*(1-Inputs!$F$74),0))</f>
        <v>0</v>
      </c>
      <c r="DB9" s="19" t="n">
        <f aca="false">IF(Time!DB6=1,Inputs!$F$73*Inputs!$F$74,IF(Time!DB8=Inputs!$F$37,Inputs!$F$73*(1-Inputs!$F$74),0))</f>
        <v>0</v>
      </c>
    </row>
    <row r="10" customFormat="false" ht="15" hidden="false" customHeight="false" outlineLevel="0" collapsed="false">
      <c r="D10" s="0" t="s">
        <v>370</v>
      </c>
      <c r="E10" s="0" t="s">
        <v>44</v>
      </c>
      <c r="G10" s="19" t="n">
        <f aca="false">SUM(J10:DB10)</f>
        <v>3.4</v>
      </c>
      <c r="J10" s="19" t="n">
        <f aca="false">Inputs!$F$75*Time!J9/Time!$F$18*Time!J20</f>
        <v>0.0823361823361823</v>
      </c>
      <c r="K10" s="19" t="n">
        <f aca="false">Inputs!$F$75*Time!K9/Time!$F$18*Time!K20</f>
        <v>0.222792022792023</v>
      </c>
      <c r="L10" s="19" t="n">
        <f aca="false">Inputs!$F$75*Time!L9/Time!$F$18*Time!L20</f>
        <v>0.222792022792023</v>
      </c>
      <c r="M10" s="19" t="n">
        <f aca="false">Inputs!$F$75*Time!M9/Time!$F$18*Time!M20</f>
        <v>0.22037037037037</v>
      </c>
      <c r="N10" s="19" t="n">
        <f aca="false">Inputs!$F$75*Time!N9/Time!$F$18*Time!N20</f>
        <v>0.22037037037037</v>
      </c>
      <c r="O10" s="19" t="n">
        <f aca="false">Inputs!$F$75*Time!O9/Time!$F$18*Time!O20</f>
        <v>0.222792022792023</v>
      </c>
      <c r="P10" s="19" t="n">
        <f aca="false">Inputs!$F$75*Time!P9/Time!$F$18*Time!P20</f>
        <v>0.222792022792023</v>
      </c>
      <c r="Q10" s="19" t="n">
        <f aca="false">Inputs!$F$75*Time!Q9/Time!$F$18*Time!Q20</f>
        <v>0.217948717948718</v>
      </c>
      <c r="R10" s="19" t="n">
        <f aca="false">Inputs!$F$75*Time!R9/Time!$F$18*Time!R20</f>
        <v>0.22037037037037</v>
      </c>
      <c r="S10" s="19" t="n">
        <f aca="false">Inputs!$F$75*Time!S9/Time!$F$18*Time!S20</f>
        <v>0.222792022792023</v>
      </c>
      <c r="T10" s="19" t="n">
        <f aca="false">Inputs!$F$75*Time!T9/Time!$F$18*Time!T20</f>
        <v>0.222792022792023</v>
      </c>
      <c r="U10" s="19" t="n">
        <f aca="false">Inputs!$F$75*Time!U9/Time!$F$18*Time!U20</f>
        <v>0.217948717948718</v>
      </c>
      <c r="V10" s="19" t="n">
        <f aca="false">Inputs!$F$75*Time!V9/Time!$F$18*Time!V20</f>
        <v>0.22037037037037</v>
      </c>
      <c r="W10" s="19" t="n">
        <f aca="false">Inputs!$F$75*Time!W9/Time!$F$18*Time!W20</f>
        <v>0.222792022792023</v>
      </c>
      <c r="X10" s="19" t="n">
        <f aca="false">Inputs!$F$75*Time!X9/Time!$F$18*Time!X20</f>
        <v>0.222792022792023</v>
      </c>
      <c r="Y10" s="19" t="n">
        <f aca="false">Inputs!$F$75*Time!Y9/Time!$F$18*Time!Y20</f>
        <v>0.217948717948718</v>
      </c>
      <c r="Z10" s="19" t="n">
        <f aca="false">Inputs!$F$75*Time!Z9/Time!$F$18*Time!Z20</f>
        <v>0</v>
      </c>
      <c r="AA10" s="19" t="n">
        <f aca="false">Inputs!$F$75*Time!AA9/Time!$F$18*Time!AA20</f>
        <v>0</v>
      </c>
      <c r="AB10" s="19" t="n">
        <f aca="false">Inputs!$F$75*Time!AB9/Time!$F$18*Time!AB20</f>
        <v>0</v>
      </c>
      <c r="AC10" s="19" t="n">
        <f aca="false">Inputs!$F$75*Time!AC9/Time!$F$18*Time!AC20</f>
        <v>0</v>
      </c>
      <c r="AD10" s="19" t="n">
        <f aca="false">Inputs!$F$75*Time!AD9/Time!$F$18*Time!AD20</f>
        <v>0</v>
      </c>
      <c r="AE10" s="19" t="n">
        <f aca="false">Inputs!$F$75*Time!AE9/Time!$F$18*Time!AE20</f>
        <v>0</v>
      </c>
      <c r="AF10" s="19" t="n">
        <f aca="false">Inputs!$F$75*Time!AF9/Time!$F$18*Time!AF20</f>
        <v>0</v>
      </c>
      <c r="AG10" s="19" t="n">
        <f aca="false">Inputs!$F$75*Time!AG9/Time!$F$18*Time!AG20</f>
        <v>0</v>
      </c>
      <c r="AH10" s="19" t="n">
        <f aca="false">Inputs!$F$75*Time!AH9/Time!$F$18*Time!AH20</f>
        <v>0</v>
      </c>
      <c r="AI10" s="19" t="n">
        <f aca="false">Inputs!$F$75*Time!AI9/Time!$F$18*Time!AI20</f>
        <v>0</v>
      </c>
      <c r="AJ10" s="19" t="n">
        <f aca="false">Inputs!$F$75*Time!AJ9/Time!$F$18*Time!AJ20</f>
        <v>0</v>
      </c>
      <c r="AK10" s="19" t="n">
        <f aca="false">Inputs!$F$75*Time!AK9/Time!$F$18*Time!AK20</f>
        <v>0</v>
      </c>
      <c r="AL10" s="19" t="n">
        <f aca="false">Inputs!$F$75*Time!AL9/Time!$F$18*Time!AL20</f>
        <v>0</v>
      </c>
      <c r="AM10" s="19" t="n">
        <f aca="false">Inputs!$F$75*Time!AM9/Time!$F$18*Time!AM20</f>
        <v>0</v>
      </c>
      <c r="AN10" s="19" t="n">
        <f aca="false">Inputs!$F$75*Time!AN9/Time!$F$18*Time!AN20</f>
        <v>0</v>
      </c>
      <c r="AO10" s="19" t="n">
        <f aca="false">Inputs!$F$75*Time!AO9/Time!$F$18*Time!AO20</f>
        <v>0</v>
      </c>
      <c r="AP10" s="19" t="n">
        <f aca="false">Inputs!$F$75*Time!AP9/Time!$F$18*Time!AP20</f>
        <v>0</v>
      </c>
      <c r="AQ10" s="19" t="n">
        <f aca="false">Inputs!$F$75*Time!AQ9/Time!$F$18*Time!AQ20</f>
        <v>0</v>
      </c>
      <c r="AR10" s="19" t="n">
        <f aca="false">Inputs!$F$75*Time!AR9/Time!$F$18*Time!AR20</f>
        <v>0</v>
      </c>
      <c r="AS10" s="19" t="n">
        <f aca="false">Inputs!$F$75*Time!AS9/Time!$F$18*Time!AS20</f>
        <v>0</v>
      </c>
      <c r="AT10" s="19" t="n">
        <f aca="false">Inputs!$F$75*Time!AT9/Time!$F$18*Time!AT20</f>
        <v>0</v>
      </c>
      <c r="AU10" s="19" t="n">
        <f aca="false">Inputs!$F$75*Time!AU9/Time!$F$18*Time!AU20</f>
        <v>0</v>
      </c>
      <c r="AV10" s="19" t="n">
        <f aca="false">Inputs!$F$75*Time!AV9/Time!$F$18*Time!AV20</f>
        <v>0</v>
      </c>
      <c r="AW10" s="19" t="n">
        <f aca="false">Inputs!$F$75*Time!AW9/Time!$F$18*Time!AW20</f>
        <v>0</v>
      </c>
      <c r="AX10" s="19" t="n">
        <f aca="false">Inputs!$F$75*Time!AX9/Time!$F$18*Time!AX20</f>
        <v>0</v>
      </c>
      <c r="AY10" s="19" t="n">
        <f aca="false">Inputs!$F$75*Time!AY9/Time!$F$18*Time!AY20</f>
        <v>0</v>
      </c>
      <c r="AZ10" s="19" t="n">
        <f aca="false">Inputs!$F$75*Time!AZ9/Time!$F$18*Time!AZ20</f>
        <v>0</v>
      </c>
      <c r="BA10" s="19" t="n">
        <f aca="false">Inputs!$F$75*Time!BA9/Time!$F$18*Time!BA20</f>
        <v>0</v>
      </c>
      <c r="BB10" s="19" t="n">
        <f aca="false">Inputs!$F$75*Time!BB9/Time!$F$18*Time!BB20</f>
        <v>0</v>
      </c>
      <c r="BC10" s="19" t="n">
        <f aca="false">Inputs!$F$75*Time!BC9/Time!$F$18*Time!BC20</f>
        <v>0</v>
      </c>
      <c r="BD10" s="19" t="n">
        <f aca="false">Inputs!$F$75*Time!BD9/Time!$F$18*Time!BD20</f>
        <v>0</v>
      </c>
      <c r="BE10" s="19" t="n">
        <f aca="false">Inputs!$F$75*Time!BE9/Time!$F$18*Time!BE20</f>
        <v>0</v>
      </c>
      <c r="BF10" s="19" t="n">
        <f aca="false">Inputs!$F$75*Time!BF9/Time!$F$18*Time!BF20</f>
        <v>0</v>
      </c>
      <c r="BG10" s="19" t="n">
        <f aca="false">Inputs!$F$75*Time!BG9/Time!$F$18*Time!BG20</f>
        <v>0</v>
      </c>
      <c r="BH10" s="19" t="n">
        <f aca="false">Inputs!$F$75*Time!BH9/Time!$F$18*Time!BH20</f>
        <v>0</v>
      </c>
      <c r="BI10" s="19" t="n">
        <f aca="false">Inputs!$F$75*Time!BI9/Time!$F$18*Time!BI20</f>
        <v>0</v>
      </c>
      <c r="BJ10" s="19" t="n">
        <f aca="false">Inputs!$F$75*Time!BJ9/Time!$F$18*Time!BJ20</f>
        <v>0</v>
      </c>
      <c r="BK10" s="19" t="n">
        <f aca="false">Inputs!$F$75*Time!BK9/Time!$F$18*Time!BK20</f>
        <v>0</v>
      </c>
      <c r="BL10" s="19" t="n">
        <f aca="false">Inputs!$F$75*Time!BL9/Time!$F$18*Time!BL20</f>
        <v>0</v>
      </c>
      <c r="BM10" s="19" t="n">
        <f aca="false">Inputs!$F$75*Time!BM9/Time!$F$18*Time!BM20</f>
        <v>0</v>
      </c>
      <c r="BN10" s="19" t="n">
        <f aca="false">Inputs!$F$75*Time!BN9/Time!$F$18*Time!BN20</f>
        <v>0</v>
      </c>
      <c r="BO10" s="19" t="n">
        <f aca="false">Inputs!$F$75*Time!BO9/Time!$F$18*Time!BO20</f>
        <v>0</v>
      </c>
      <c r="BP10" s="19" t="n">
        <f aca="false">Inputs!$F$75*Time!BP9/Time!$F$18*Time!BP20</f>
        <v>0</v>
      </c>
      <c r="BQ10" s="19" t="n">
        <f aca="false">Inputs!$F$75*Time!BQ9/Time!$F$18*Time!BQ20</f>
        <v>0</v>
      </c>
      <c r="BR10" s="19" t="n">
        <f aca="false">Inputs!$F$75*Time!BR9/Time!$F$18*Time!BR20</f>
        <v>0</v>
      </c>
      <c r="BS10" s="19" t="n">
        <f aca="false">Inputs!$F$75*Time!BS9/Time!$F$18*Time!BS20</f>
        <v>0</v>
      </c>
      <c r="BT10" s="19" t="n">
        <f aca="false">Inputs!$F$75*Time!BT9/Time!$F$18*Time!BT20</f>
        <v>0</v>
      </c>
      <c r="BU10" s="19" t="n">
        <f aca="false">Inputs!$F$75*Time!BU9/Time!$F$18*Time!BU20</f>
        <v>0</v>
      </c>
      <c r="BV10" s="19" t="n">
        <f aca="false">Inputs!$F$75*Time!BV9/Time!$F$18*Time!BV20</f>
        <v>0</v>
      </c>
      <c r="BW10" s="19" t="n">
        <f aca="false">Inputs!$F$75*Time!BW9/Time!$F$18*Time!BW20</f>
        <v>0</v>
      </c>
      <c r="BX10" s="19" t="n">
        <f aca="false">Inputs!$F$75*Time!BX9/Time!$F$18*Time!BX20</f>
        <v>0</v>
      </c>
      <c r="BY10" s="19" t="n">
        <f aca="false">Inputs!$F$75*Time!BY9/Time!$F$18*Time!BY20</f>
        <v>0</v>
      </c>
      <c r="BZ10" s="19" t="n">
        <f aca="false">Inputs!$F$75*Time!BZ9/Time!$F$18*Time!BZ20</f>
        <v>0</v>
      </c>
      <c r="CA10" s="19" t="n">
        <f aca="false">Inputs!$F$75*Time!CA9/Time!$F$18*Time!CA20</f>
        <v>0</v>
      </c>
      <c r="CB10" s="19" t="n">
        <f aca="false">Inputs!$F$75*Time!CB9/Time!$F$18*Time!CB20</f>
        <v>0</v>
      </c>
      <c r="CC10" s="19" t="n">
        <f aca="false">Inputs!$F$75*Time!CC9/Time!$F$18*Time!CC20</f>
        <v>0</v>
      </c>
      <c r="CD10" s="19" t="n">
        <f aca="false">Inputs!$F$75*Time!CD9/Time!$F$18*Time!CD20</f>
        <v>0</v>
      </c>
      <c r="CE10" s="19" t="n">
        <f aca="false">Inputs!$F$75*Time!CE9/Time!$F$18*Time!CE20</f>
        <v>0</v>
      </c>
      <c r="CF10" s="19" t="n">
        <f aca="false">Inputs!$F$75*Time!CF9/Time!$F$18*Time!CF20</f>
        <v>0</v>
      </c>
      <c r="CG10" s="19" t="n">
        <f aca="false">Inputs!$F$75*Time!CG9/Time!$F$18*Time!CG20</f>
        <v>0</v>
      </c>
      <c r="CH10" s="19" t="n">
        <f aca="false">Inputs!$F$75*Time!CH9/Time!$F$18*Time!CH20</f>
        <v>0</v>
      </c>
      <c r="CI10" s="19" t="n">
        <f aca="false">Inputs!$F$75*Time!CI9/Time!$F$18*Time!CI20</f>
        <v>0</v>
      </c>
      <c r="CJ10" s="19" t="n">
        <f aca="false">Inputs!$F$75*Time!CJ9/Time!$F$18*Time!CJ20</f>
        <v>0</v>
      </c>
      <c r="CK10" s="19" t="n">
        <f aca="false">Inputs!$F$75*Time!CK9/Time!$F$18*Time!CK20</f>
        <v>0</v>
      </c>
      <c r="CL10" s="19" t="n">
        <f aca="false">Inputs!$F$75*Time!CL9/Time!$F$18*Time!CL20</f>
        <v>0</v>
      </c>
      <c r="CM10" s="19" t="n">
        <f aca="false">Inputs!$F$75*Time!CM9/Time!$F$18*Time!CM20</f>
        <v>0</v>
      </c>
      <c r="CN10" s="19" t="n">
        <f aca="false">Inputs!$F$75*Time!CN9/Time!$F$18*Time!CN20</f>
        <v>0</v>
      </c>
      <c r="CO10" s="19" t="n">
        <f aca="false">Inputs!$F$75*Time!CO9/Time!$F$18*Time!CO20</f>
        <v>0</v>
      </c>
      <c r="CP10" s="19" t="n">
        <f aca="false">Inputs!$F$75*Time!CP9/Time!$F$18*Time!CP20</f>
        <v>0</v>
      </c>
      <c r="CQ10" s="19" t="n">
        <f aca="false">Inputs!$F$75*Time!CQ9/Time!$F$18*Time!CQ20</f>
        <v>0</v>
      </c>
      <c r="CR10" s="19" t="n">
        <f aca="false">Inputs!$F$75*Time!CR9/Time!$F$18*Time!CR20</f>
        <v>0</v>
      </c>
      <c r="CS10" s="19" t="n">
        <f aca="false">Inputs!$F$75*Time!CS9/Time!$F$18*Time!CS20</f>
        <v>0</v>
      </c>
      <c r="CT10" s="19" t="n">
        <f aca="false">Inputs!$F$75*Time!CT9/Time!$F$18*Time!CT20</f>
        <v>0</v>
      </c>
      <c r="CU10" s="19" t="n">
        <f aca="false">Inputs!$F$75*Time!CU9/Time!$F$18*Time!CU20</f>
        <v>0</v>
      </c>
      <c r="CV10" s="19" t="n">
        <f aca="false">Inputs!$F$75*Time!CV9/Time!$F$18*Time!CV20</f>
        <v>0</v>
      </c>
      <c r="CW10" s="19" t="n">
        <f aca="false">Inputs!$F$75*Time!CW9/Time!$F$18*Time!CW20</f>
        <v>0</v>
      </c>
      <c r="CX10" s="19" t="n">
        <f aca="false">Inputs!$F$75*Time!CX9/Time!$F$18*Time!CX20</f>
        <v>0</v>
      </c>
      <c r="CY10" s="19" t="n">
        <f aca="false">Inputs!$F$75*Time!CY9/Time!$F$18*Time!CY20</f>
        <v>0</v>
      </c>
      <c r="CZ10" s="19" t="n">
        <f aca="false">Inputs!$F$75*Time!CZ9/Time!$F$18*Time!CZ20</f>
        <v>0</v>
      </c>
      <c r="DA10" s="19" t="n">
        <f aca="false">Inputs!$F$75*Time!DA9/Time!$F$18*Time!DA20</f>
        <v>0</v>
      </c>
      <c r="DB10" s="19" t="n">
        <f aca="false">Inputs!$F$75*Time!DB9/Time!$F$18*Time!DB20</f>
        <v>0</v>
      </c>
    </row>
    <row r="11" customFormat="false" ht="15" hidden="false" customHeight="false" outlineLevel="0" collapsed="false">
      <c r="D11" s="0" t="s">
        <v>371</v>
      </c>
      <c r="E11" s="0" t="s">
        <v>44</v>
      </c>
      <c r="G11" s="19" t="n">
        <f aca="false">SUM(J11:DB11)</f>
        <v>9.7</v>
      </c>
      <c r="J11" s="19" t="n">
        <f aca="false">Inputs!$F$76*Time!J9/Time!$F$18*Time!J20</f>
        <v>0.234900284900285</v>
      </c>
      <c r="K11" s="19" t="n">
        <f aca="false">Inputs!$F$76*Time!K9/Time!$F$18*Time!K20</f>
        <v>0.635612535612536</v>
      </c>
      <c r="L11" s="19" t="n">
        <f aca="false">Inputs!$F$76*Time!L9/Time!$F$18*Time!L20</f>
        <v>0.635612535612536</v>
      </c>
      <c r="M11" s="19" t="n">
        <f aca="false">Inputs!$F$76*Time!M9/Time!$F$18*Time!M20</f>
        <v>0.628703703703704</v>
      </c>
      <c r="N11" s="19" t="n">
        <f aca="false">Inputs!$F$76*Time!N9/Time!$F$18*Time!N20</f>
        <v>0.628703703703704</v>
      </c>
      <c r="O11" s="19" t="n">
        <f aca="false">Inputs!$F$76*Time!O9/Time!$F$18*Time!O20</f>
        <v>0.635612535612536</v>
      </c>
      <c r="P11" s="19" t="n">
        <f aca="false">Inputs!$F$76*Time!P9/Time!$F$18*Time!P20</f>
        <v>0.635612535612536</v>
      </c>
      <c r="Q11" s="19" t="n">
        <f aca="false">Inputs!$F$76*Time!Q9/Time!$F$18*Time!Q20</f>
        <v>0.621794871794872</v>
      </c>
      <c r="R11" s="19" t="n">
        <f aca="false">Inputs!$F$76*Time!R9/Time!$F$18*Time!R20</f>
        <v>0.628703703703704</v>
      </c>
      <c r="S11" s="19" t="n">
        <f aca="false">Inputs!$F$76*Time!S9/Time!$F$18*Time!S20</f>
        <v>0.635612535612536</v>
      </c>
      <c r="T11" s="19" t="n">
        <f aca="false">Inputs!$F$76*Time!T9/Time!$F$18*Time!T20</f>
        <v>0.635612535612536</v>
      </c>
      <c r="U11" s="19" t="n">
        <f aca="false">Inputs!$F$76*Time!U9/Time!$F$18*Time!U20</f>
        <v>0.621794871794872</v>
      </c>
      <c r="V11" s="19" t="n">
        <f aca="false">Inputs!$F$76*Time!V9/Time!$F$18*Time!V20</f>
        <v>0.628703703703704</v>
      </c>
      <c r="W11" s="19" t="n">
        <f aca="false">Inputs!$F$76*Time!W9/Time!$F$18*Time!W20</f>
        <v>0.635612535612536</v>
      </c>
      <c r="X11" s="19" t="n">
        <f aca="false">Inputs!$F$76*Time!X9/Time!$F$18*Time!X20</f>
        <v>0.635612535612536</v>
      </c>
      <c r="Y11" s="19" t="n">
        <f aca="false">Inputs!$F$76*Time!Y9/Time!$F$18*Time!Y20</f>
        <v>0.621794871794872</v>
      </c>
      <c r="Z11" s="19" t="n">
        <f aca="false">Inputs!$F$76*Time!Z9/Time!$F$18*Time!Z20</f>
        <v>0</v>
      </c>
      <c r="AA11" s="19" t="n">
        <f aca="false">Inputs!$F$76*Time!AA9/Time!$F$18*Time!AA20</f>
        <v>0</v>
      </c>
      <c r="AB11" s="19" t="n">
        <f aca="false">Inputs!$F$76*Time!AB9/Time!$F$18*Time!AB20</f>
        <v>0</v>
      </c>
      <c r="AC11" s="19" t="n">
        <f aca="false">Inputs!$F$76*Time!AC9/Time!$F$18*Time!AC20</f>
        <v>0</v>
      </c>
      <c r="AD11" s="19" t="n">
        <f aca="false">Inputs!$F$76*Time!AD9/Time!$F$18*Time!AD20</f>
        <v>0</v>
      </c>
      <c r="AE11" s="19" t="n">
        <f aca="false">Inputs!$F$76*Time!AE9/Time!$F$18*Time!AE20</f>
        <v>0</v>
      </c>
      <c r="AF11" s="19" t="n">
        <f aca="false">Inputs!$F$76*Time!AF9/Time!$F$18*Time!AF20</f>
        <v>0</v>
      </c>
      <c r="AG11" s="19" t="n">
        <f aca="false">Inputs!$F$76*Time!AG9/Time!$F$18*Time!AG20</f>
        <v>0</v>
      </c>
      <c r="AH11" s="19" t="n">
        <f aca="false">Inputs!$F$76*Time!AH9/Time!$F$18*Time!AH20</f>
        <v>0</v>
      </c>
      <c r="AI11" s="19" t="n">
        <f aca="false">Inputs!$F$76*Time!AI9/Time!$F$18*Time!AI20</f>
        <v>0</v>
      </c>
      <c r="AJ11" s="19" t="n">
        <f aca="false">Inputs!$F$76*Time!AJ9/Time!$F$18*Time!AJ20</f>
        <v>0</v>
      </c>
      <c r="AK11" s="19" t="n">
        <f aca="false">Inputs!$F$76*Time!AK9/Time!$F$18*Time!AK20</f>
        <v>0</v>
      </c>
      <c r="AL11" s="19" t="n">
        <f aca="false">Inputs!$F$76*Time!AL9/Time!$F$18*Time!AL20</f>
        <v>0</v>
      </c>
      <c r="AM11" s="19" t="n">
        <f aca="false">Inputs!$F$76*Time!AM9/Time!$F$18*Time!AM20</f>
        <v>0</v>
      </c>
      <c r="AN11" s="19" t="n">
        <f aca="false">Inputs!$F$76*Time!AN9/Time!$F$18*Time!AN20</f>
        <v>0</v>
      </c>
      <c r="AO11" s="19" t="n">
        <f aca="false">Inputs!$F$76*Time!AO9/Time!$F$18*Time!AO20</f>
        <v>0</v>
      </c>
      <c r="AP11" s="19" t="n">
        <f aca="false">Inputs!$F$76*Time!AP9/Time!$F$18*Time!AP20</f>
        <v>0</v>
      </c>
      <c r="AQ11" s="19" t="n">
        <f aca="false">Inputs!$F$76*Time!AQ9/Time!$F$18*Time!AQ20</f>
        <v>0</v>
      </c>
      <c r="AR11" s="19" t="n">
        <f aca="false">Inputs!$F$76*Time!AR9/Time!$F$18*Time!AR20</f>
        <v>0</v>
      </c>
      <c r="AS11" s="19" t="n">
        <f aca="false">Inputs!$F$76*Time!AS9/Time!$F$18*Time!AS20</f>
        <v>0</v>
      </c>
      <c r="AT11" s="19" t="n">
        <f aca="false">Inputs!$F$76*Time!AT9/Time!$F$18*Time!AT20</f>
        <v>0</v>
      </c>
      <c r="AU11" s="19" t="n">
        <f aca="false">Inputs!$F$76*Time!AU9/Time!$F$18*Time!AU20</f>
        <v>0</v>
      </c>
      <c r="AV11" s="19" t="n">
        <f aca="false">Inputs!$F$76*Time!AV9/Time!$F$18*Time!AV20</f>
        <v>0</v>
      </c>
      <c r="AW11" s="19" t="n">
        <f aca="false">Inputs!$F$76*Time!AW9/Time!$F$18*Time!AW20</f>
        <v>0</v>
      </c>
      <c r="AX11" s="19" t="n">
        <f aca="false">Inputs!$F$76*Time!AX9/Time!$F$18*Time!AX20</f>
        <v>0</v>
      </c>
      <c r="AY11" s="19" t="n">
        <f aca="false">Inputs!$F$76*Time!AY9/Time!$F$18*Time!AY20</f>
        <v>0</v>
      </c>
      <c r="AZ11" s="19" t="n">
        <f aca="false">Inputs!$F$76*Time!AZ9/Time!$F$18*Time!AZ20</f>
        <v>0</v>
      </c>
      <c r="BA11" s="19" t="n">
        <f aca="false">Inputs!$F$76*Time!BA9/Time!$F$18*Time!BA20</f>
        <v>0</v>
      </c>
      <c r="BB11" s="19" t="n">
        <f aca="false">Inputs!$F$76*Time!BB9/Time!$F$18*Time!BB20</f>
        <v>0</v>
      </c>
      <c r="BC11" s="19" t="n">
        <f aca="false">Inputs!$F$76*Time!BC9/Time!$F$18*Time!BC20</f>
        <v>0</v>
      </c>
      <c r="BD11" s="19" t="n">
        <f aca="false">Inputs!$F$76*Time!BD9/Time!$F$18*Time!BD20</f>
        <v>0</v>
      </c>
      <c r="BE11" s="19" t="n">
        <f aca="false">Inputs!$F$76*Time!BE9/Time!$F$18*Time!BE20</f>
        <v>0</v>
      </c>
      <c r="BF11" s="19" t="n">
        <f aca="false">Inputs!$F$76*Time!BF9/Time!$F$18*Time!BF20</f>
        <v>0</v>
      </c>
      <c r="BG11" s="19" t="n">
        <f aca="false">Inputs!$F$76*Time!BG9/Time!$F$18*Time!BG20</f>
        <v>0</v>
      </c>
      <c r="BH11" s="19" t="n">
        <f aca="false">Inputs!$F$76*Time!BH9/Time!$F$18*Time!BH20</f>
        <v>0</v>
      </c>
      <c r="BI11" s="19" t="n">
        <f aca="false">Inputs!$F$76*Time!BI9/Time!$F$18*Time!BI20</f>
        <v>0</v>
      </c>
      <c r="BJ11" s="19" t="n">
        <f aca="false">Inputs!$F$76*Time!BJ9/Time!$F$18*Time!BJ20</f>
        <v>0</v>
      </c>
      <c r="BK11" s="19" t="n">
        <f aca="false">Inputs!$F$76*Time!BK9/Time!$F$18*Time!BK20</f>
        <v>0</v>
      </c>
      <c r="BL11" s="19" t="n">
        <f aca="false">Inputs!$F$76*Time!BL9/Time!$F$18*Time!BL20</f>
        <v>0</v>
      </c>
      <c r="BM11" s="19" t="n">
        <f aca="false">Inputs!$F$76*Time!BM9/Time!$F$18*Time!BM20</f>
        <v>0</v>
      </c>
      <c r="BN11" s="19" t="n">
        <f aca="false">Inputs!$F$76*Time!BN9/Time!$F$18*Time!BN20</f>
        <v>0</v>
      </c>
      <c r="BO11" s="19" t="n">
        <f aca="false">Inputs!$F$76*Time!BO9/Time!$F$18*Time!BO20</f>
        <v>0</v>
      </c>
      <c r="BP11" s="19" t="n">
        <f aca="false">Inputs!$F$76*Time!BP9/Time!$F$18*Time!BP20</f>
        <v>0</v>
      </c>
      <c r="BQ11" s="19" t="n">
        <f aca="false">Inputs!$F$76*Time!BQ9/Time!$F$18*Time!BQ20</f>
        <v>0</v>
      </c>
      <c r="BR11" s="19" t="n">
        <f aca="false">Inputs!$F$76*Time!BR9/Time!$F$18*Time!BR20</f>
        <v>0</v>
      </c>
      <c r="BS11" s="19" t="n">
        <f aca="false">Inputs!$F$76*Time!BS9/Time!$F$18*Time!BS20</f>
        <v>0</v>
      </c>
      <c r="BT11" s="19" t="n">
        <f aca="false">Inputs!$F$76*Time!BT9/Time!$F$18*Time!BT20</f>
        <v>0</v>
      </c>
      <c r="BU11" s="19" t="n">
        <f aca="false">Inputs!$F$76*Time!BU9/Time!$F$18*Time!BU20</f>
        <v>0</v>
      </c>
      <c r="BV11" s="19" t="n">
        <f aca="false">Inputs!$F$76*Time!BV9/Time!$F$18*Time!BV20</f>
        <v>0</v>
      </c>
      <c r="BW11" s="19" t="n">
        <f aca="false">Inputs!$F$76*Time!BW9/Time!$F$18*Time!BW20</f>
        <v>0</v>
      </c>
      <c r="BX11" s="19" t="n">
        <f aca="false">Inputs!$F$76*Time!BX9/Time!$F$18*Time!BX20</f>
        <v>0</v>
      </c>
      <c r="BY11" s="19" t="n">
        <f aca="false">Inputs!$F$76*Time!BY9/Time!$F$18*Time!BY20</f>
        <v>0</v>
      </c>
      <c r="BZ11" s="19" t="n">
        <f aca="false">Inputs!$F$76*Time!BZ9/Time!$F$18*Time!BZ20</f>
        <v>0</v>
      </c>
      <c r="CA11" s="19" t="n">
        <f aca="false">Inputs!$F$76*Time!CA9/Time!$F$18*Time!CA20</f>
        <v>0</v>
      </c>
      <c r="CB11" s="19" t="n">
        <f aca="false">Inputs!$F$76*Time!CB9/Time!$F$18*Time!CB20</f>
        <v>0</v>
      </c>
      <c r="CC11" s="19" t="n">
        <f aca="false">Inputs!$F$76*Time!CC9/Time!$F$18*Time!CC20</f>
        <v>0</v>
      </c>
      <c r="CD11" s="19" t="n">
        <f aca="false">Inputs!$F$76*Time!CD9/Time!$F$18*Time!CD20</f>
        <v>0</v>
      </c>
      <c r="CE11" s="19" t="n">
        <f aca="false">Inputs!$F$76*Time!CE9/Time!$F$18*Time!CE20</f>
        <v>0</v>
      </c>
      <c r="CF11" s="19" t="n">
        <f aca="false">Inputs!$F$76*Time!CF9/Time!$F$18*Time!CF20</f>
        <v>0</v>
      </c>
      <c r="CG11" s="19" t="n">
        <f aca="false">Inputs!$F$76*Time!CG9/Time!$F$18*Time!CG20</f>
        <v>0</v>
      </c>
      <c r="CH11" s="19" t="n">
        <f aca="false">Inputs!$F$76*Time!CH9/Time!$F$18*Time!CH20</f>
        <v>0</v>
      </c>
      <c r="CI11" s="19" t="n">
        <f aca="false">Inputs!$F$76*Time!CI9/Time!$F$18*Time!CI20</f>
        <v>0</v>
      </c>
      <c r="CJ11" s="19" t="n">
        <f aca="false">Inputs!$F$76*Time!CJ9/Time!$F$18*Time!CJ20</f>
        <v>0</v>
      </c>
      <c r="CK11" s="19" t="n">
        <f aca="false">Inputs!$F$76*Time!CK9/Time!$F$18*Time!CK20</f>
        <v>0</v>
      </c>
      <c r="CL11" s="19" t="n">
        <f aca="false">Inputs!$F$76*Time!CL9/Time!$F$18*Time!CL20</f>
        <v>0</v>
      </c>
      <c r="CM11" s="19" t="n">
        <f aca="false">Inputs!$F$76*Time!CM9/Time!$F$18*Time!CM20</f>
        <v>0</v>
      </c>
      <c r="CN11" s="19" t="n">
        <f aca="false">Inputs!$F$76*Time!CN9/Time!$F$18*Time!CN20</f>
        <v>0</v>
      </c>
      <c r="CO11" s="19" t="n">
        <f aca="false">Inputs!$F$76*Time!CO9/Time!$F$18*Time!CO20</f>
        <v>0</v>
      </c>
      <c r="CP11" s="19" t="n">
        <f aca="false">Inputs!$F$76*Time!CP9/Time!$F$18*Time!CP20</f>
        <v>0</v>
      </c>
      <c r="CQ11" s="19" t="n">
        <f aca="false">Inputs!$F$76*Time!CQ9/Time!$F$18*Time!CQ20</f>
        <v>0</v>
      </c>
      <c r="CR11" s="19" t="n">
        <f aca="false">Inputs!$F$76*Time!CR9/Time!$F$18*Time!CR20</f>
        <v>0</v>
      </c>
      <c r="CS11" s="19" t="n">
        <f aca="false">Inputs!$F$76*Time!CS9/Time!$F$18*Time!CS20</f>
        <v>0</v>
      </c>
      <c r="CT11" s="19" t="n">
        <f aca="false">Inputs!$F$76*Time!CT9/Time!$F$18*Time!CT20</f>
        <v>0</v>
      </c>
      <c r="CU11" s="19" t="n">
        <f aca="false">Inputs!$F$76*Time!CU9/Time!$F$18*Time!CU20</f>
        <v>0</v>
      </c>
      <c r="CV11" s="19" t="n">
        <f aca="false">Inputs!$F$76*Time!CV9/Time!$F$18*Time!CV20</f>
        <v>0</v>
      </c>
      <c r="CW11" s="19" t="n">
        <f aca="false">Inputs!$F$76*Time!CW9/Time!$F$18*Time!CW20</f>
        <v>0</v>
      </c>
      <c r="CX11" s="19" t="n">
        <f aca="false">Inputs!$F$76*Time!CX9/Time!$F$18*Time!CX20</f>
        <v>0</v>
      </c>
      <c r="CY11" s="19" t="n">
        <f aca="false">Inputs!$F$76*Time!CY9/Time!$F$18*Time!CY20</f>
        <v>0</v>
      </c>
      <c r="CZ11" s="19" t="n">
        <f aca="false">Inputs!$F$76*Time!CZ9/Time!$F$18*Time!CZ20</f>
        <v>0</v>
      </c>
      <c r="DA11" s="19" t="n">
        <f aca="false">Inputs!$F$76*Time!DA9/Time!$F$18*Time!DA20</f>
        <v>0</v>
      </c>
      <c r="DB11" s="19" t="n">
        <f aca="false">Inputs!$F$76*Time!DB9/Time!$F$18*Time!DB20</f>
        <v>0</v>
      </c>
    </row>
    <row r="12" customFormat="false" ht="15" hidden="false" customHeight="false" outlineLevel="0" collapsed="false">
      <c r="D12" s="0" t="s">
        <v>372</v>
      </c>
      <c r="E12" s="0" t="s">
        <v>44</v>
      </c>
      <c r="G12" s="19" t="n">
        <f aca="false">SUM(J12:DB12)</f>
        <v>52.4</v>
      </c>
      <c r="J12" s="19" t="n">
        <f aca="false">Inputs!$F$77*Inputs!J267/SUM(Inputs!$J$267:$DB$267)</f>
        <v>0.0900176842105263</v>
      </c>
      <c r="K12" s="19" t="n">
        <f aca="false">Inputs!$F$77*Inputs!K267/SUM(Inputs!$J$267:$DB$267)</f>
        <v>0.709220210526316</v>
      </c>
      <c r="L12" s="19" t="n">
        <f aca="false">Inputs!$F$77*Inputs!L267/SUM(Inputs!$J$267:$DB$267)</f>
        <v>1.70763326315789</v>
      </c>
      <c r="M12" s="19" t="n">
        <f aca="false">Inputs!$F$77*Inputs!M267/SUM(Inputs!$J$267:$DB$267)</f>
        <v>2.86947915789474</v>
      </c>
      <c r="N12" s="19" t="n">
        <f aca="false">Inputs!$F$77*Inputs!N267/SUM(Inputs!$J$267:$DB$267)</f>
        <v>4.01483284210526</v>
      </c>
      <c r="O12" s="19" t="n">
        <f aca="false">Inputs!$F$77*Inputs!O267/SUM(Inputs!$J$267:$DB$267)</f>
        <v>4.99978736842105</v>
      </c>
      <c r="P12" s="19" t="n">
        <f aca="false">Inputs!$F$77*Inputs!P267/SUM(Inputs!$J$267:$DB$267)</f>
        <v>5.71639873684211</v>
      </c>
      <c r="Q12" s="19" t="n">
        <f aca="false">Inputs!$F$77*Inputs!Q267/SUM(Inputs!$J$267:$DB$267)</f>
        <v>6.09268589473684</v>
      </c>
      <c r="R12" s="19" t="n">
        <f aca="false">Inputs!$F$77*Inputs!R267/SUM(Inputs!$J$267:$DB$267)</f>
        <v>6.09257557894737</v>
      </c>
      <c r="S12" s="19" t="n">
        <f aca="false">Inputs!$F$77*Inputs!S267/SUM(Inputs!$J$267:$DB$267)</f>
        <v>5.71639873684211</v>
      </c>
      <c r="T12" s="19" t="n">
        <f aca="false">Inputs!$F$77*Inputs!T267/SUM(Inputs!$J$267:$DB$267)</f>
        <v>4.99978736842105</v>
      </c>
      <c r="U12" s="19" t="n">
        <f aca="false">Inputs!$F$77*Inputs!U267/SUM(Inputs!$J$267:$DB$267)</f>
        <v>4.01483284210526</v>
      </c>
      <c r="V12" s="19" t="n">
        <f aca="false">Inputs!$F$77*Inputs!V267/SUM(Inputs!$J$267:$DB$267)</f>
        <v>2.86947915789474</v>
      </c>
      <c r="W12" s="19" t="n">
        <f aca="false">Inputs!$F$77*Inputs!W267/SUM(Inputs!$J$267:$DB$267)</f>
        <v>1.70763326315789</v>
      </c>
      <c r="X12" s="19" t="n">
        <f aca="false">Inputs!$F$77*Inputs!X267/SUM(Inputs!$J$267:$DB$267)</f>
        <v>0.709220210526316</v>
      </c>
      <c r="Y12" s="19" t="n">
        <f aca="false">Inputs!$F$77*Inputs!Y267/SUM(Inputs!$J$267:$DB$267)</f>
        <v>0.0900176842105263</v>
      </c>
      <c r="Z12" s="19" t="n">
        <f aca="false">Inputs!$F$77*Inputs!Z267/SUM(Inputs!$J$267:$DB$267)</f>
        <v>0</v>
      </c>
      <c r="AA12" s="19" t="n">
        <f aca="false">Inputs!$F$77*Inputs!AA267/SUM(Inputs!$J$267:$DB$267)</f>
        <v>0</v>
      </c>
      <c r="AB12" s="19" t="n">
        <f aca="false">Inputs!$F$77*Inputs!AB267/SUM(Inputs!$J$267:$DB$267)</f>
        <v>0</v>
      </c>
      <c r="AC12" s="19" t="n">
        <f aca="false">Inputs!$F$77*Inputs!AC267/SUM(Inputs!$J$267:$DB$267)</f>
        <v>0</v>
      </c>
      <c r="AD12" s="19" t="n">
        <f aca="false">Inputs!$F$77*Inputs!AD267/SUM(Inputs!$J$267:$DB$267)</f>
        <v>0</v>
      </c>
      <c r="AE12" s="19" t="n">
        <f aca="false">Inputs!$F$77*Inputs!AE267/SUM(Inputs!$J$267:$DB$267)</f>
        <v>0</v>
      </c>
      <c r="AF12" s="19" t="n">
        <f aca="false">Inputs!$F$77*Inputs!AF267/SUM(Inputs!$J$267:$DB$267)</f>
        <v>0</v>
      </c>
      <c r="AG12" s="19" t="n">
        <f aca="false">Inputs!$F$77*Inputs!AG267/SUM(Inputs!$J$267:$DB$267)</f>
        <v>0</v>
      </c>
      <c r="AH12" s="19" t="n">
        <f aca="false">Inputs!$F$77*Inputs!AH267/SUM(Inputs!$J$267:$DB$267)</f>
        <v>0</v>
      </c>
      <c r="AI12" s="19" t="n">
        <f aca="false">Inputs!$F$77*Inputs!AI267/SUM(Inputs!$J$267:$DB$267)</f>
        <v>0</v>
      </c>
      <c r="AJ12" s="19" t="n">
        <f aca="false">Inputs!$F$77*Inputs!AJ267/SUM(Inputs!$J$267:$DB$267)</f>
        <v>0</v>
      </c>
      <c r="AK12" s="19" t="n">
        <f aca="false">Inputs!$F$77*Inputs!AK267/SUM(Inputs!$J$267:$DB$267)</f>
        <v>0</v>
      </c>
      <c r="AL12" s="19" t="n">
        <f aca="false">Inputs!$F$77*Inputs!AL267/SUM(Inputs!$J$267:$DB$267)</f>
        <v>0</v>
      </c>
      <c r="AM12" s="19" t="n">
        <f aca="false">Inputs!$F$77*Inputs!AM267/SUM(Inputs!$J$267:$DB$267)</f>
        <v>0</v>
      </c>
      <c r="AN12" s="19" t="n">
        <f aca="false">Inputs!$F$77*Inputs!AN267/SUM(Inputs!$J$267:$DB$267)</f>
        <v>0</v>
      </c>
      <c r="AO12" s="19" t="n">
        <f aca="false">Inputs!$F$77*Inputs!AO267/SUM(Inputs!$J$267:$DB$267)</f>
        <v>0</v>
      </c>
      <c r="AP12" s="19" t="n">
        <f aca="false">Inputs!$F$77*Inputs!AP267/SUM(Inputs!$J$267:$DB$267)</f>
        <v>0</v>
      </c>
      <c r="AQ12" s="19" t="n">
        <f aca="false">Inputs!$F$77*Inputs!AQ267/SUM(Inputs!$J$267:$DB$267)</f>
        <v>0</v>
      </c>
      <c r="AR12" s="19" t="n">
        <f aca="false">Inputs!$F$77*Inputs!AR267/SUM(Inputs!$J$267:$DB$267)</f>
        <v>0</v>
      </c>
      <c r="AS12" s="19" t="n">
        <f aca="false">Inputs!$F$77*Inputs!AS267/SUM(Inputs!$J$267:$DB$267)</f>
        <v>0</v>
      </c>
      <c r="AT12" s="19" t="n">
        <f aca="false">Inputs!$F$77*Inputs!AT267/SUM(Inputs!$J$267:$DB$267)</f>
        <v>0</v>
      </c>
      <c r="AU12" s="19" t="n">
        <f aca="false">Inputs!$F$77*Inputs!AU267/SUM(Inputs!$J$267:$DB$267)</f>
        <v>0</v>
      </c>
      <c r="AV12" s="19" t="n">
        <f aca="false">Inputs!$F$77*Inputs!AV267/SUM(Inputs!$J$267:$DB$267)</f>
        <v>0</v>
      </c>
      <c r="AW12" s="19" t="n">
        <f aca="false">Inputs!$F$77*Inputs!AW267/SUM(Inputs!$J$267:$DB$267)</f>
        <v>0</v>
      </c>
      <c r="AX12" s="19" t="n">
        <f aca="false">Inputs!$F$77*Inputs!AX267/SUM(Inputs!$J$267:$DB$267)</f>
        <v>0</v>
      </c>
      <c r="AY12" s="19" t="n">
        <f aca="false">Inputs!$F$77*Inputs!AY267/SUM(Inputs!$J$267:$DB$267)</f>
        <v>0</v>
      </c>
      <c r="AZ12" s="19" t="n">
        <f aca="false">Inputs!$F$77*Inputs!AZ267/SUM(Inputs!$J$267:$DB$267)</f>
        <v>0</v>
      </c>
      <c r="BA12" s="19" t="n">
        <f aca="false">Inputs!$F$77*Inputs!BA267/SUM(Inputs!$J$267:$DB$267)</f>
        <v>0</v>
      </c>
      <c r="BB12" s="19" t="n">
        <f aca="false">Inputs!$F$77*Inputs!BB267/SUM(Inputs!$J$267:$DB$267)</f>
        <v>0</v>
      </c>
      <c r="BC12" s="19" t="n">
        <f aca="false">Inputs!$F$77*Inputs!BC267/SUM(Inputs!$J$267:$DB$267)</f>
        <v>0</v>
      </c>
      <c r="BD12" s="19" t="n">
        <f aca="false">Inputs!$F$77*Inputs!BD267/SUM(Inputs!$J$267:$DB$267)</f>
        <v>0</v>
      </c>
      <c r="BE12" s="19" t="n">
        <f aca="false">Inputs!$F$77*Inputs!BE267/SUM(Inputs!$J$267:$DB$267)</f>
        <v>0</v>
      </c>
      <c r="BF12" s="19" t="n">
        <f aca="false">Inputs!$F$77*Inputs!BF267/SUM(Inputs!$J$267:$DB$267)</f>
        <v>0</v>
      </c>
      <c r="BG12" s="19" t="n">
        <f aca="false">Inputs!$F$77*Inputs!BG267/SUM(Inputs!$J$267:$DB$267)</f>
        <v>0</v>
      </c>
      <c r="BH12" s="19" t="n">
        <f aca="false">Inputs!$F$77*Inputs!BH267/SUM(Inputs!$J$267:$DB$267)</f>
        <v>0</v>
      </c>
      <c r="BI12" s="19" t="n">
        <f aca="false">Inputs!$F$77*Inputs!BI267/SUM(Inputs!$J$267:$DB$267)</f>
        <v>0</v>
      </c>
      <c r="BJ12" s="19" t="n">
        <f aca="false">Inputs!$F$77*Inputs!BJ267/SUM(Inputs!$J$267:$DB$267)</f>
        <v>0</v>
      </c>
      <c r="BK12" s="19" t="n">
        <f aca="false">Inputs!$F$77*Inputs!BK267/SUM(Inputs!$J$267:$DB$267)</f>
        <v>0</v>
      </c>
      <c r="BL12" s="19" t="n">
        <f aca="false">Inputs!$F$77*Inputs!BL267/SUM(Inputs!$J$267:$DB$267)</f>
        <v>0</v>
      </c>
      <c r="BM12" s="19" t="n">
        <f aca="false">Inputs!$F$77*Inputs!BM267/SUM(Inputs!$J$267:$DB$267)</f>
        <v>0</v>
      </c>
      <c r="BN12" s="19" t="n">
        <f aca="false">Inputs!$F$77*Inputs!BN267/SUM(Inputs!$J$267:$DB$267)</f>
        <v>0</v>
      </c>
      <c r="BO12" s="19" t="n">
        <f aca="false">Inputs!$F$77*Inputs!BO267/SUM(Inputs!$J$267:$DB$267)</f>
        <v>0</v>
      </c>
      <c r="BP12" s="19" t="n">
        <f aca="false">Inputs!$F$77*Inputs!BP267/SUM(Inputs!$J$267:$DB$267)</f>
        <v>0</v>
      </c>
      <c r="BQ12" s="19" t="n">
        <f aca="false">Inputs!$F$77*Inputs!BQ267/SUM(Inputs!$J$267:$DB$267)</f>
        <v>0</v>
      </c>
      <c r="BR12" s="19" t="n">
        <f aca="false">Inputs!$F$77*Inputs!BR267/SUM(Inputs!$J$267:$DB$267)</f>
        <v>0</v>
      </c>
      <c r="BS12" s="19" t="n">
        <f aca="false">Inputs!$F$77*Inputs!BS267/SUM(Inputs!$J$267:$DB$267)</f>
        <v>0</v>
      </c>
      <c r="BT12" s="19" t="n">
        <f aca="false">Inputs!$F$77*Inputs!BT267/SUM(Inputs!$J$267:$DB$267)</f>
        <v>0</v>
      </c>
      <c r="BU12" s="19" t="n">
        <f aca="false">Inputs!$F$77*Inputs!BU267/SUM(Inputs!$J$267:$DB$267)</f>
        <v>0</v>
      </c>
      <c r="BV12" s="19" t="n">
        <f aca="false">Inputs!$F$77*Inputs!BV267/SUM(Inputs!$J$267:$DB$267)</f>
        <v>0</v>
      </c>
      <c r="BW12" s="19" t="n">
        <f aca="false">Inputs!$F$77*Inputs!BW267/SUM(Inputs!$J$267:$DB$267)</f>
        <v>0</v>
      </c>
      <c r="BX12" s="19" t="n">
        <f aca="false">Inputs!$F$77*Inputs!BX267/SUM(Inputs!$J$267:$DB$267)</f>
        <v>0</v>
      </c>
      <c r="BY12" s="19" t="n">
        <f aca="false">Inputs!$F$77*Inputs!BY267/SUM(Inputs!$J$267:$DB$267)</f>
        <v>0</v>
      </c>
      <c r="BZ12" s="19" t="n">
        <f aca="false">Inputs!$F$77*Inputs!BZ267/SUM(Inputs!$J$267:$DB$267)</f>
        <v>0</v>
      </c>
      <c r="CA12" s="19" t="n">
        <f aca="false">Inputs!$F$77*Inputs!CA267/SUM(Inputs!$J$267:$DB$267)</f>
        <v>0</v>
      </c>
      <c r="CB12" s="19" t="n">
        <f aca="false">Inputs!$F$77*Inputs!CB267/SUM(Inputs!$J$267:$DB$267)</f>
        <v>0</v>
      </c>
      <c r="CC12" s="19" t="n">
        <f aca="false">Inputs!$F$77*Inputs!CC267/SUM(Inputs!$J$267:$DB$267)</f>
        <v>0</v>
      </c>
      <c r="CD12" s="19" t="n">
        <f aca="false">Inputs!$F$77*Inputs!CD267/SUM(Inputs!$J$267:$DB$267)</f>
        <v>0</v>
      </c>
      <c r="CE12" s="19" t="n">
        <f aca="false">Inputs!$F$77*Inputs!CE267/SUM(Inputs!$J$267:$DB$267)</f>
        <v>0</v>
      </c>
      <c r="CF12" s="19" t="n">
        <f aca="false">Inputs!$F$77*Inputs!CF267/SUM(Inputs!$J$267:$DB$267)</f>
        <v>0</v>
      </c>
      <c r="CG12" s="19" t="n">
        <f aca="false">Inputs!$F$77*Inputs!CG267/SUM(Inputs!$J$267:$DB$267)</f>
        <v>0</v>
      </c>
      <c r="CH12" s="19" t="n">
        <f aca="false">Inputs!$F$77*Inputs!CH267/SUM(Inputs!$J$267:$DB$267)</f>
        <v>0</v>
      </c>
      <c r="CI12" s="19" t="n">
        <f aca="false">Inputs!$F$77*Inputs!CI267/SUM(Inputs!$J$267:$DB$267)</f>
        <v>0</v>
      </c>
      <c r="CJ12" s="19" t="n">
        <f aca="false">Inputs!$F$77*Inputs!CJ267/SUM(Inputs!$J$267:$DB$267)</f>
        <v>0</v>
      </c>
      <c r="CK12" s="19" t="n">
        <f aca="false">Inputs!$F$77*Inputs!CK267/SUM(Inputs!$J$267:$DB$267)</f>
        <v>0</v>
      </c>
      <c r="CL12" s="19" t="n">
        <f aca="false">Inputs!$F$77*Inputs!CL267/SUM(Inputs!$J$267:$DB$267)</f>
        <v>0</v>
      </c>
      <c r="CM12" s="19" t="n">
        <f aca="false">Inputs!$F$77*Inputs!CM267/SUM(Inputs!$J$267:$DB$267)</f>
        <v>0</v>
      </c>
      <c r="CN12" s="19" t="n">
        <f aca="false">Inputs!$F$77*Inputs!CN267/SUM(Inputs!$J$267:$DB$267)</f>
        <v>0</v>
      </c>
      <c r="CO12" s="19" t="n">
        <f aca="false">Inputs!$F$77*Inputs!CO267/SUM(Inputs!$J$267:$DB$267)</f>
        <v>0</v>
      </c>
      <c r="CP12" s="19" t="n">
        <f aca="false">Inputs!$F$77*Inputs!CP267/SUM(Inputs!$J$267:$DB$267)</f>
        <v>0</v>
      </c>
      <c r="CQ12" s="19" t="n">
        <f aca="false">Inputs!$F$77*Inputs!CQ267/SUM(Inputs!$J$267:$DB$267)</f>
        <v>0</v>
      </c>
      <c r="CR12" s="19" t="n">
        <f aca="false">Inputs!$F$77*Inputs!CR267/SUM(Inputs!$J$267:$DB$267)</f>
        <v>0</v>
      </c>
      <c r="CS12" s="19" t="n">
        <f aca="false">Inputs!$F$77*Inputs!CS267/SUM(Inputs!$J$267:$DB$267)</f>
        <v>0</v>
      </c>
      <c r="CT12" s="19" t="n">
        <f aca="false">Inputs!$F$77*Inputs!CT267/SUM(Inputs!$J$267:$DB$267)</f>
        <v>0</v>
      </c>
      <c r="CU12" s="19" t="n">
        <f aca="false">Inputs!$F$77*Inputs!CU267/SUM(Inputs!$J$267:$DB$267)</f>
        <v>0</v>
      </c>
      <c r="CV12" s="19" t="n">
        <f aca="false">Inputs!$F$77*Inputs!CV267/SUM(Inputs!$J$267:$DB$267)</f>
        <v>0</v>
      </c>
      <c r="CW12" s="19" t="n">
        <f aca="false">Inputs!$F$77*Inputs!CW267/SUM(Inputs!$J$267:$DB$267)</f>
        <v>0</v>
      </c>
      <c r="CX12" s="19" t="n">
        <f aca="false">Inputs!$F$77*Inputs!CX267/SUM(Inputs!$J$267:$DB$267)</f>
        <v>0</v>
      </c>
      <c r="CY12" s="19" t="n">
        <f aca="false">Inputs!$F$77*Inputs!CY267/SUM(Inputs!$J$267:$DB$267)</f>
        <v>0</v>
      </c>
      <c r="CZ12" s="19" t="n">
        <f aca="false">Inputs!$F$77*Inputs!CZ267/SUM(Inputs!$J$267:$DB$267)</f>
        <v>0</v>
      </c>
      <c r="DA12" s="19" t="n">
        <f aca="false">Inputs!$F$77*Inputs!DA267/SUM(Inputs!$J$267:$DB$267)</f>
        <v>0</v>
      </c>
      <c r="DB12" s="19" t="n">
        <f aca="false">Inputs!$F$77*Inputs!DB267/SUM(Inputs!$J$267:$DB$267)</f>
        <v>0</v>
      </c>
    </row>
    <row r="13" customFormat="false" ht="15" hidden="false" customHeight="false" outlineLevel="0" collapsed="false">
      <c r="D13" s="0" t="s">
        <v>373</v>
      </c>
      <c r="E13" s="0" t="s">
        <v>44</v>
      </c>
      <c r="G13" s="19" t="n">
        <f aca="false">SUM(J13:DB13)</f>
        <v>1841.4</v>
      </c>
      <c r="J13" s="19" t="n">
        <f aca="false">J6+J7+J8+J9+J10+J11+J12</f>
        <v>55.3514163668316</v>
      </c>
      <c r="K13" s="19" t="n">
        <f aca="false">K6+K7+K8+K9+K10+K11+K12</f>
        <v>25.7012772458539</v>
      </c>
      <c r="L13" s="19" t="n">
        <f aca="false">L6+L7+L8+L9+L10+L11+L12</f>
        <v>57.1872045984855</v>
      </c>
      <c r="M13" s="19" t="n">
        <f aca="false">M6+M7+M8+M9+M10+M11+M12</f>
        <v>93.7908921319688</v>
      </c>
      <c r="N13" s="19" t="n">
        <f aca="false">N6+N7+N8+N9+N10+N11+N12</f>
        <v>129.910735316179</v>
      </c>
      <c r="O13" s="19" t="n">
        <f aca="false">O6+O7+O8+O9+O10+O11+O12</f>
        <v>161.008488503749</v>
      </c>
      <c r="P13" s="19" t="n">
        <f aca="false">P6+P7+P8+P9+P10+P11+P12</f>
        <v>183.60752547217</v>
      </c>
      <c r="Q13" s="19" t="n">
        <f aca="false">Q6+Q7+Q8+Q9+Q10+Q11+Q12</f>
        <v>195.401600107557</v>
      </c>
      <c r="R13" s="19" t="n">
        <f aca="false">R6+R7+R8+R9+R10+R11+R12</f>
        <v>197.954374753021</v>
      </c>
      <c r="S13" s="19" t="n">
        <f aca="false">S6+S7+S8+S9+S10+S11+S12</f>
        <v>183.60752547217</v>
      </c>
      <c r="T13" s="19" t="n">
        <f aca="false">T6+T7+T8+T9+T10+T11+T12</f>
        <v>161.008488503749</v>
      </c>
      <c r="U13" s="19" t="n">
        <f aca="false">U6+U7+U8+U9+U10+U11+U12</f>
        <v>129.874481754926</v>
      </c>
      <c r="V13" s="19" t="n">
        <f aca="false">V6+V7+V8+V9+V10+V11+V12</f>
        <v>93.7908921319688</v>
      </c>
      <c r="W13" s="19" t="n">
        <f aca="false">W6+W7+W8+W9+W10+W11+W12</f>
        <v>57.1872045984855</v>
      </c>
      <c r="X13" s="19" t="n">
        <f aca="false">X6+X7+X8+X9+X10+X11+X12</f>
        <v>25.7012772458539</v>
      </c>
      <c r="Y13" s="19" t="n">
        <f aca="false">Y6+Y7+Y8+Y9+Y10+Y11+Y12</f>
        <v>90.316615797031</v>
      </c>
      <c r="Z13" s="19" t="n">
        <f aca="false">Z6+Z7+Z8+Z9+Z10+Z11+Z12</f>
        <v>0</v>
      </c>
      <c r="AA13" s="19" t="n">
        <f aca="false">AA6+AA7+AA8+AA9+AA10+AA11+AA12</f>
        <v>0</v>
      </c>
      <c r="AB13" s="19" t="n">
        <f aca="false">AB6+AB7+AB8+AB9+AB10+AB11+AB12</f>
        <v>0</v>
      </c>
      <c r="AC13" s="19" t="n">
        <f aca="false">AC6+AC7+AC8+AC9+AC10+AC11+AC12</f>
        <v>0</v>
      </c>
      <c r="AD13" s="19" t="n">
        <f aca="false">AD6+AD7+AD8+AD9+AD10+AD11+AD12</f>
        <v>0</v>
      </c>
      <c r="AE13" s="19" t="n">
        <f aca="false">AE6+AE7+AE8+AE9+AE10+AE11+AE12</f>
        <v>0</v>
      </c>
      <c r="AF13" s="19" t="n">
        <f aca="false">AF6+AF7+AF8+AF9+AF10+AF11+AF12</f>
        <v>0</v>
      </c>
      <c r="AG13" s="19" t="n">
        <f aca="false">AG6+AG7+AG8+AG9+AG10+AG11+AG12</f>
        <v>0</v>
      </c>
      <c r="AH13" s="19" t="n">
        <f aca="false">AH6+AH7+AH8+AH9+AH10+AH11+AH12</f>
        <v>0</v>
      </c>
      <c r="AI13" s="19" t="n">
        <f aca="false">AI6+AI7+AI8+AI9+AI10+AI11+AI12</f>
        <v>0</v>
      </c>
      <c r="AJ13" s="19" t="n">
        <f aca="false">AJ6+AJ7+AJ8+AJ9+AJ10+AJ11+AJ12</f>
        <v>0</v>
      </c>
      <c r="AK13" s="19" t="n">
        <f aca="false">AK6+AK7+AK8+AK9+AK10+AK11+AK12</f>
        <v>0</v>
      </c>
      <c r="AL13" s="19" t="n">
        <f aca="false">AL6+AL7+AL8+AL9+AL10+AL11+AL12</f>
        <v>0</v>
      </c>
      <c r="AM13" s="19" t="n">
        <f aca="false">AM6+AM7+AM8+AM9+AM10+AM11+AM12</f>
        <v>0</v>
      </c>
      <c r="AN13" s="19" t="n">
        <f aca="false">AN6+AN7+AN8+AN9+AN10+AN11+AN12</f>
        <v>0</v>
      </c>
      <c r="AO13" s="19" t="n">
        <f aca="false">AO6+AO7+AO8+AO9+AO10+AO11+AO12</f>
        <v>0</v>
      </c>
      <c r="AP13" s="19" t="n">
        <f aca="false">AP6+AP7+AP8+AP9+AP10+AP11+AP12</f>
        <v>0</v>
      </c>
      <c r="AQ13" s="19" t="n">
        <f aca="false">AQ6+AQ7+AQ8+AQ9+AQ10+AQ11+AQ12</f>
        <v>0</v>
      </c>
      <c r="AR13" s="19" t="n">
        <f aca="false">AR6+AR7+AR8+AR9+AR10+AR11+AR12</f>
        <v>0</v>
      </c>
      <c r="AS13" s="19" t="n">
        <f aca="false">AS6+AS7+AS8+AS9+AS10+AS11+AS12</f>
        <v>0</v>
      </c>
      <c r="AT13" s="19" t="n">
        <f aca="false">AT6+AT7+AT8+AT9+AT10+AT11+AT12</f>
        <v>0</v>
      </c>
      <c r="AU13" s="19" t="n">
        <f aca="false">AU6+AU7+AU8+AU9+AU10+AU11+AU12</f>
        <v>0</v>
      </c>
      <c r="AV13" s="19" t="n">
        <f aca="false">AV6+AV7+AV8+AV9+AV10+AV11+AV12</f>
        <v>0</v>
      </c>
      <c r="AW13" s="19" t="n">
        <f aca="false">AW6+AW7+AW8+AW9+AW10+AW11+AW12</f>
        <v>0</v>
      </c>
      <c r="AX13" s="19" t="n">
        <f aca="false">AX6+AX7+AX8+AX9+AX10+AX11+AX12</f>
        <v>0</v>
      </c>
      <c r="AY13" s="19" t="n">
        <f aca="false">AY6+AY7+AY8+AY9+AY10+AY11+AY12</f>
        <v>0</v>
      </c>
      <c r="AZ13" s="19" t="n">
        <f aca="false">AZ6+AZ7+AZ8+AZ9+AZ10+AZ11+AZ12</f>
        <v>0</v>
      </c>
      <c r="BA13" s="19" t="n">
        <f aca="false">BA6+BA7+BA8+BA9+BA10+BA11+BA12</f>
        <v>0</v>
      </c>
      <c r="BB13" s="19" t="n">
        <f aca="false">BB6+BB7+BB8+BB9+BB10+BB11+BB12</f>
        <v>0</v>
      </c>
      <c r="BC13" s="19" t="n">
        <f aca="false">BC6+BC7+BC8+BC9+BC10+BC11+BC12</f>
        <v>0</v>
      </c>
      <c r="BD13" s="19" t="n">
        <f aca="false">BD6+BD7+BD8+BD9+BD10+BD11+BD12</f>
        <v>0</v>
      </c>
      <c r="BE13" s="19" t="n">
        <f aca="false">BE6+BE7+BE8+BE9+BE10+BE11+BE12</f>
        <v>0</v>
      </c>
      <c r="BF13" s="19" t="n">
        <f aca="false">BF6+BF7+BF8+BF9+BF10+BF11+BF12</f>
        <v>0</v>
      </c>
      <c r="BG13" s="19" t="n">
        <f aca="false">BG6+BG7+BG8+BG9+BG10+BG11+BG12</f>
        <v>0</v>
      </c>
      <c r="BH13" s="19" t="n">
        <f aca="false">BH6+BH7+BH8+BH9+BH10+BH11+BH12</f>
        <v>0</v>
      </c>
      <c r="BI13" s="19" t="n">
        <f aca="false">BI6+BI7+BI8+BI9+BI10+BI11+BI12</f>
        <v>0</v>
      </c>
      <c r="BJ13" s="19" t="n">
        <f aca="false">BJ6+BJ7+BJ8+BJ9+BJ10+BJ11+BJ12</f>
        <v>0</v>
      </c>
      <c r="BK13" s="19" t="n">
        <f aca="false">BK6+BK7+BK8+BK9+BK10+BK11+BK12</f>
        <v>0</v>
      </c>
      <c r="BL13" s="19" t="n">
        <f aca="false">BL6+BL7+BL8+BL9+BL10+BL11+BL12</f>
        <v>0</v>
      </c>
      <c r="BM13" s="19" t="n">
        <f aca="false">BM6+BM7+BM8+BM9+BM10+BM11+BM12</f>
        <v>0</v>
      </c>
      <c r="BN13" s="19" t="n">
        <f aca="false">BN6+BN7+BN8+BN9+BN10+BN11+BN12</f>
        <v>0</v>
      </c>
      <c r="BO13" s="19" t="n">
        <f aca="false">BO6+BO7+BO8+BO9+BO10+BO11+BO12</f>
        <v>0</v>
      </c>
      <c r="BP13" s="19" t="n">
        <f aca="false">BP6+BP7+BP8+BP9+BP10+BP11+BP12</f>
        <v>0</v>
      </c>
      <c r="BQ13" s="19" t="n">
        <f aca="false">BQ6+BQ7+BQ8+BQ9+BQ10+BQ11+BQ12</f>
        <v>0</v>
      </c>
      <c r="BR13" s="19" t="n">
        <f aca="false">BR6+BR7+BR8+BR9+BR10+BR11+BR12</f>
        <v>0</v>
      </c>
      <c r="BS13" s="19" t="n">
        <f aca="false">BS6+BS7+BS8+BS9+BS10+BS11+BS12</f>
        <v>0</v>
      </c>
      <c r="BT13" s="19" t="n">
        <f aca="false">BT6+BT7+BT8+BT9+BT10+BT11+BT12</f>
        <v>0</v>
      </c>
      <c r="BU13" s="19" t="n">
        <f aca="false">BU6+BU7+BU8+BU9+BU10+BU11+BU12</f>
        <v>0</v>
      </c>
      <c r="BV13" s="19" t="n">
        <f aca="false">BV6+BV7+BV8+BV9+BV10+BV11+BV12</f>
        <v>0</v>
      </c>
      <c r="BW13" s="19" t="n">
        <f aca="false">BW6+BW7+BW8+BW9+BW10+BW11+BW12</f>
        <v>0</v>
      </c>
      <c r="BX13" s="19" t="n">
        <f aca="false">BX6+BX7+BX8+BX9+BX10+BX11+BX12</f>
        <v>0</v>
      </c>
      <c r="BY13" s="19" t="n">
        <f aca="false">BY6+BY7+BY8+BY9+BY10+BY11+BY12</f>
        <v>0</v>
      </c>
      <c r="BZ13" s="19" t="n">
        <f aca="false">BZ6+BZ7+BZ8+BZ9+BZ10+BZ11+BZ12</f>
        <v>0</v>
      </c>
      <c r="CA13" s="19" t="n">
        <f aca="false">CA6+CA7+CA8+CA9+CA10+CA11+CA12</f>
        <v>0</v>
      </c>
      <c r="CB13" s="19" t="n">
        <f aca="false">CB6+CB7+CB8+CB9+CB10+CB11+CB12</f>
        <v>0</v>
      </c>
      <c r="CC13" s="19" t="n">
        <f aca="false">CC6+CC7+CC8+CC9+CC10+CC11+CC12</f>
        <v>0</v>
      </c>
      <c r="CD13" s="19" t="n">
        <f aca="false">CD6+CD7+CD8+CD9+CD10+CD11+CD12</f>
        <v>0</v>
      </c>
      <c r="CE13" s="19" t="n">
        <f aca="false">CE6+CE7+CE8+CE9+CE10+CE11+CE12</f>
        <v>0</v>
      </c>
      <c r="CF13" s="19" t="n">
        <f aca="false">CF6+CF7+CF8+CF9+CF10+CF11+CF12</f>
        <v>0</v>
      </c>
      <c r="CG13" s="19" t="n">
        <f aca="false">CG6+CG7+CG8+CG9+CG10+CG11+CG12</f>
        <v>0</v>
      </c>
      <c r="CH13" s="19" t="n">
        <f aca="false">CH6+CH7+CH8+CH9+CH10+CH11+CH12</f>
        <v>0</v>
      </c>
      <c r="CI13" s="19" t="n">
        <f aca="false">CI6+CI7+CI8+CI9+CI10+CI11+CI12</f>
        <v>0</v>
      </c>
      <c r="CJ13" s="19" t="n">
        <f aca="false">CJ6+CJ7+CJ8+CJ9+CJ10+CJ11+CJ12</f>
        <v>0</v>
      </c>
      <c r="CK13" s="19" t="n">
        <f aca="false">CK6+CK7+CK8+CK9+CK10+CK11+CK12</f>
        <v>0</v>
      </c>
      <c r="CL13" s="19" t="n">
        <f aca="false">CL6+CL7+CL8+CL9+CL10+CL11+CL12</f>
        <v>0</v>
      </c>
      <c r="CM13" s="19" t="n">
        <f aca="false">CM6+CM7+CM8+CM9+CM10+CM11+CM12</f>
        <v>0</v>
      </c>
      <c r="CN13" s="19" t="n">
        <f aca="false">CN6+CN7+CN8+CN9+CN10+CN11+CN12</f>
        <v>0</v>
      </c>
      <c r="CO13" s="19" t="n">
        <f aca="false">CO6+CO7+CO8+CO9+CO10+CO11+CO12</f>
        <v>0</v>
      </c>
      <c r="CP13" s="19" t="n">
        <f aca="false">CP6+CP7+CP8+CP9+CP10+CP11+CP12</f>
        <v>0</v>
      </c>
      <c r="CQ13" s="19" t="n">
        <f aca="false">CQ6+CQ7+CQ8+CQ9+CQ10+CQ11+CQ12</f>
        <v>0</v>
      </c>
      <c r="CR13" s="19" t="n">
        <f aca="false">CR6+CR7+CR8+CR9+CR10+CR11+CR12</f>
        <v>0</v>
      </c>
      <c r="CS13" s="19" t="n">
        <f aca="false">CS6+CS7+CS8+CS9+CS10+CS11+CS12</f>
        <v>0</v>
      </c>
      <c r="CT13" s="19" t="n">
        <f aca="false">CT6+CT7+CT8+CT9+CT10+CT11+CT12</f>
        <v>0</v>
      </c>
      <c r="CU13" s="19" t="n">
        <f aca="false">CU6+CU7+CU8+CU9+CU10+CU11+CU12</f>
        <v>0</v>
      </c>
      <c r="CV13" s="19" t="n">
        <f aca="false">CV6+CV7+CV8+CV9+CV10+CV11+CV12</f>
        <v>0</v>
      </c>
      <c r="CW13" s="19" t="n">
        <f aca="false">CW6+CW7+CW8+CW9+CW10+CW11+CW12</f>
        <v>0</v>
      </c>
      <c r="CX13" s="19" t="n">
        <f aca="false">CX6+CX7+CX8+CX9+CX10+CX11+CX12</f>
        <v>0</v>
      </c>
      <c r="CY13" s="19" t="n">
        <f aca="false">CY6+CY7+CY8+CY9+CY10+CY11+CY12</f>
        <v>0</v>
      </c>
      <c r="CZ13" s="19" t="n">
        <f aca="false">CZ6+CZ7+CZ8+CZ9+CZ10+CZ11+CZ12</f>
        <v>0</v>
      </c>
      <c r="DA13" s="19" t="n">
        <f aca="false">DA6+DA7+DA8+DA9+DA10+DA11+DA12</f>
        <v>0</v>
      </c>
      <c r="DB13" s="19" t="n">
        <f aca="false">DB6+DB7+DB8+DB9+DB10+DB11+DB12</f>
        <v>0</v>
      </c>
    </row>
    <row r="14" customFormat="false" ht="15" hidden="false" customHeight="false" outlineLevel="0" collapsed="false">
      <c r="D14" s="0" t="s">
        <v>374</v>
      </c>
      <c r="E14" s="0" t="s">
        <v>44</v>
      </c>
      <c r="G14" s="19" t="n">
        <f aca="false">SUM(J14:DB14)</f>
        <v>42.1075</v>
      </c>
      <c r="J14" s="19" t="n">
        <f aca="false">IF(Time!J8=Inputs!$F$15,Inputs!$F$68*Inputs!$F$70,0)</f>
        <v>0</v>
      </c>
      <c r="K14" s="19" t="n">
        <f aca="false">IF(Time!K8=Inputs!$F$15,Inputs!$F$68*Inputs!$F$70,0)</f>
        <v>0</v>
      </c>
      <c r="L14" s="19" t="n">
        <f aca="false">IF(Time!L8=Inputs!$F$15,Inputs!$F$68*Inputs!$F$70,0)</f>
        <v>0</v>
      </c>
      <c r="M14" s="19" t="n">
        <f aca="false">IF(Time!M8=Inputs!$F$15,Inputs!$F$68*Inputs!$F$70,0)</f>
        <v>0</v>
      </c>
      <c r="N14" s="19" t="n">
        <f aca="false">IF(Time!N8=Inputs!$F$15,Inputs!$F$68*Inputs!$F$70,0)</f>
        <v>0</v>
      </c>
      <c r="O14" s="19" t="n">
        <f aca="false">IF(Time!O8=Inputs!$F$15,Inputs!$F$68*Inputs!$F$70,0)</f>
        <v>0</v>
      </c>
      <c r="P14" s="19" t="n">
        <f aca="false">IF(Time!P8=Inputs!$F$15,Inputs!$F$68*Inputs!$F$70,0)</f>
        <v>0</v>
      </c>
      <c r="Q14" s="19" t="n">
        <f aca="false">IF(Time!Q8=Inputs!$F$15,Inputs!$F$68*Inputs!$F$70,0)</f>
        <v>0</v>
      </c>
      <c r="R14" s="19" t="n">
        <f aca="false">IF(Time!R8=Inputs!$F$15,Inputs!$F$68*Inputs!$F$70,0)</f>
        <v>0</v>
      </c>
      <c r="S14" s="19" t="n">
        <f aca="false">IF(Time!S8=Inputs!$F$15,Inputs!$F$68*Inputs!$F$70,0)</f>
        <v>0</v>
      </c>
      <c r="T14" s="19" t="n">
        <f aca="false">IF(Time!T8=Inputs!$F$15,Inputs!$F$68*Inputs!$F$70,0)</f>
        <v>0</v>
      </c>
      <c r="U14" s="19" t="n">
        <f aca="false">IF(Time!U8=Inputs!$F$15,Inputs!$F$68*Inputs!$F$70,0)</f>
        <v>0</v>
      </c>
      <c r="V14" s="19" t="n">
        <f aca="false">IF(Time!V8=Inputs!$F$15,Inputs!$F$68*Inputs!$F$70,0)</f>
        <v>0</v>
      </c>
      <c r="W14" s="19" t="n">
        <f aca="false">IF(Time!W8=Inputs!$F$15,Inputs!$F$68*Inputs!$F$70,0)</f>
        <v>0</v>
      </c>
      <c r="X14" s="19" t="n">
        <f aca="false">IF(Time!X8=Inputs!$F$15,Inputs!$F$68*Inputs!$F$70,0)</f>
        <v>0</v>
      </c>
      <c r="Y14" s="19" t="n">
        <f aca="false">IF(Time!Y8=Inputs!$F$15,Inputs!$F$68*Inputs!$F$70,0)</f>
        <v>42.1075</v>
      </c>
      <c r="Z14" s="19" t="n">
        <f aca="false">IF(Time!Z8=Inputs!$F$15,Inputs!$F$68*Inputs!$F$70,0)</f>
        <v>0</v>
      </c>
      <c r="AA14" s="19" t="n">
        <f aca="false">IF(Time!AA8=Inputs!$F$15,Inputs!$F$68*Inputs!$F$70,0)</f>
        <v>0</v>
      </c>
      <c r="AB14" s="19" t="n">
        <f aca="false">IF(Time!AB8=Inputs!$F$15,Inputs!$F$68*Inputs!$F$70,0)</f>
        <v>0</v>
      </c>
      <c r="AC14" s="19" t="n">
        <f aca="false">IF(Time!AC8=Inputs!$F$15,Inputs!$F$68*Inputs!$F$70,0)</f>
        <v>0</v>
      </c>
      <c r="AD14" s="19" t="n">
        <f aca="false">IF(Time!AD8=Inputs!$F$15,Inputs!$F$68*Inputs!$F$70,0)</f>
        <v>0</v>
      </c>
      <c r="AE14" s="19" t="n">
        <f aca="false">IF(Time!AE8=Inputs!$F$15,Inputs!$F$68*Inputs!$F$70,0)</f>
        <v>0</v>
      </c>
      <c r="AF14" s="19" t="n">
        <f aca="false">IF(Time!AF8=Inputs!$F$15,Inputs!$F$68*Inputs!$F$70,0)</f>
        <v>0</v>
      </c>
      <c r="AG14" s="19" t="n">
        <f aca="false">IF(Time!AG8=Inputs!$F$15,Inputs!$F$68*Inputs!$F$70,0)</f>
        <v>0</v>
      </c>
      <c r="AH14" s="19" t="n">
        <f aca="false">IF(Time!AH8=Inputs!$F$15,Inputs!$F$68*Inputs!$F$70,0)</f>
        <v>0</v>
      </c>
      <c r="AI14" s="19" t="n">
        <f aca="false">IF(Time!AI8=Inputs!$F$15,Inputs!$F$68*Inputs!$F$70,0)</f>
        <v>0</v>
      </c>
      <c r="AJ14" s="19" t="n">
        <f aca="false">IF(Time!AJ8=Inputs!$F$15,Inputs!$F$68*Inputs!$F$70,0)</f>
        <v>0</v>
      </c>
      <c r="AK14" s="19" t="n">
        <f aca="false">IF(Time!AK8=Inputs!$F$15,Inputs!$F$68*Inputs!$F$70,0)</f>
        <v>0</v>
      </c>
      <c r="AL14" s="19" t="n">
        <f aca="false">IF(Time!AL8=Inputs!$F$15,Inputs!$F$68*Inputs!$F$70,0)</f>
        <v>0</v>
      </c>
      <c r="AM14" s="19" t="n">
        <f aca="false">IF(Time!AM8=Inputs!$F$15,Inputs!$F$68*Inputs!$F$70,0)</f>
        <v>0</v>
      </c>
      <c r="AN14" s="19" t="n">
        <f aca="false">IF(Time!AN8=Inputs!$F$15,Inputs!$F$68*Inputs!$F$70,0)</f>
        <v>0</v>
      </c>
      <c r="AO14" s="19" t="n">
        <f aca="false">IF(Time!AO8=Inputs!$F$15,Inputs!$F$68*Inputs!$F$70,0)</f>
        <v>0</v>
      </c>
      <c r="AP14" s="19" t="n">
        <f aca="false">IF(Time!AP8=Inputs!$F$15,Inputs!$F$68*Inputs!$F$70,0)</f>
        <v>0</v>
      </c>
      <c r="AQ14" s="19" t="n">
        <f aca="false">IF(Time!AQ8=Inputs!$F$15,Inputs!$F$68*Inputs!$F$70,0)</f>
        <v>0</v>
      </c>
      <c r="AR14" s="19" t="n">
        <f aca="false">IF(Time!AR8=Inputs!$F$15,Inputs!$F$68*Inputs!$F$70,0)</f>
        <v>0</v>
      </c>
      <c r="AS14" s="19" t="n">
        <f aca="false">IF(Time!AS8=Inputs!$F$15,Inputs!$F$68*Inputs!$F$70,0)</f>
        <v>0</v>
      </c>
      <c r="AT14" s="19" t="n">
        <f aca="false">IF(Time!AT8=Inputs!$F$15,Inputs!$F$68*Inputs!$F$70,0)</f>
        <v>0</v>
      </c>
      <c r="AU14" s="19" t="n">
        <f aca="false">IF(Time!AU8=Inputs!$F$15,Inputs!$F$68*Inputs!$F$70,0)</f>
        <v>0</v>
      </c>
      <c r="AV14" s="19" t="n">
        <f aca="false">IF(Time!AV8=Inputs!$F$15,Inputs!$F$68*Inputs!$F$70,0)</f>
        <v>0</v>
      </c>
      <c r="AW14" s="19" t="n">
        <f aca="false">IF(Time!AW8=Inputs!$F$15,Inputs!$F$68*Inputs!$F$70,0)</f>
        <v>0</v>
      </c>
      <c r="AX14" s="19" t="n">
        <f aca="false">IF(Time!AX8=Inputs!$F$15,Inputs!$F$68*Inputs!$F$70,0)</f>
        <v>0</v>
      </c>
      <c r="AY14" s="19" t="n">
        <f aca="false">IF(Time!AY8=Inputs!$F$15,Inputs!$F$68*Inputs!$F$70,0)</f>
        <v>0</v>
      </c>
      <c r="AZ14" s="19" t="n">
        <f aca="false">IF(Time!AZ8=Inputs!$F$15,Inputs!$F$68*Inputs!$F$70,0)</f>
        <v>0</v>
      </c>
      <c r="BA14" s="19" t="n">
        <f aca="false">IF(Time!BA8=Inputs!$F$15,Inputs!$F$68*Inputs!$F$70,0)</f>
        <v>0</v>
      </c>
      <c r="BB14" s="19" t="n">
        <f aca="false">IF(Time!BB8=Inputs!$F$15,Inputs!$F$68*Inputs!$F$70,0)</f>
        <v>0</v>
      </c>
      <c r="BC14" s="19" t="n">
        <f aca="false">IF(Time!BC8=Inputs!$F$15,Inputs!$F$68*Inputs!$F$70,0)</f>
        <v>0</v>
      </c>
      <c r="BD14" s="19" t="n">
        <f aca="false">IF(Time!BD8=Inputs!$F$15,Inputs!$F$68*Inputs!$F$70,0)</f>
        <v>0</v>
      </c>
      <c r="BE14" s="19" t="n">
        <f aca="false">IF(Time!BE8=Inputs!$F$15,Inputs!$F$68*Inputs!$F$70,0)</f>
        <v>0</v>
      </c>
      <c r="BF14" s="19" t="n">
        <f aca="false">IF(Time!BF8=Inputs!$F$15,Inputs!$F$68*Inputs!$F$70,0)</f>
        <v>0</v>
      </c>
      <c r="BG14" s="19" t="n">
        <f aca="false">IF(Time!BG8=Inputs!$F$15,Inputs!$F$68*Inputs!$F$70,0)</f>
        <v>0</v>
      </c>
      <c r="BH14" s="19" t="n">
        <f aca="false">IF(Time!BH8=Inputs!$F$15,Inputs!$F$68*Inputs!$F$70,0)</f>
        <v>0</v>
      </c>
      <c r="BI14" s="19" t="n">
        <f aca="false">IF(Time!BI8=Inputs!$F$15,Inputs!$F$68*Inputs!$F$70,0)</f>
        <v>0</v>
      </c>
      <c r="BJ14" s="19" t="n">
        <f aca="false">IF(Time!BJ8=Inputs!$F$15,Inputs!$F$68*Inputs!$F$70,0)</f>
        <v>0</v>
      </c>
      <c r="BK14" s="19" t="n">
        <f aca="false">IF(Time!BK8=Inputs!$F$15,Inputs!$F$68*Inputs!$F$70,0)</f>
        <v>0</v>
      </c>
      <c r="BL14" s="19" t="n">
        <f aca="false">IF(Time!BL8=Inputs!$F$15,Inputs!$F$68*Inputs!$F$70,0)</f>
        <v>0</v>
      </c>
      <c r="BM14" s="19" t="n">
        <f aca="false">IF(Time!BM8=Inputs!$F$15,Inputs!$F$68*Inputs!$F$70,0)</f>
        <v>0</v>
      </c>
      <c r="BN14" s="19" t="n">
        <f aca="false">IF(Time!BN8=Inputs!$F$15,Inputs!$F$68*Inputs!$F$70,0)</f>
        <v>0</v>
      </c>
      <c r="BO14" s="19" t="n">
        <f aca="false">IF(Time!BO8=Inputs!$F$15,Inputs!$F$68*Inputs!$F$70,0)</f>
        <v>0</v>
      </c>
      <c r="BP14" s="19" t="n">
        <f aca="false">IF(Time!BP8=Inputs!$F$15,Inputs!$F$68*Inputs!$F$70,0)</f>
        <v>0</v>
      </c>
      <c r="BQ14" s="19" t="n">
        <f aca="false">IF(Time!BQ8=Inputs!$F$15,Inputs!$F$68*Inputs!$F$70,0)</f>
        <v>0</v>
      </c>
      <c r="BR14" s="19" t="n">
        <f aca="false">IF(Time!BR8=Inputs!$F$15,Inputs!$F$68*Inputs!$F$70,0)</f>
        <v>0</v>
      </c>
      <c r="BS14" s="19" t="n">
        <f aca="false">IF(Time!BS8=Inputs!$F$15,Inputs!$F$68*Inputs!$F$70,0)</f>
        <v>0</v>
      </c>
      <c r="BT14" s="19" t="n">
        <f aca="false">IF(Time!BT8=Inputs!$F$15,Inputs!$F$68*Inputs!$F$70,0)</f>
        <v>0</v>
      </c>
      <c r="BU14" s="19" t="n">
        <f aca="false">IF(Time!BU8=Inputs!$F$15,Inputs!$F$68*Inputs!$F$70,0)</f>
        <v>0</v>
      </c>
      <c r="BV14" s="19" t="n">
        <f aca="false">IF(Time!BV8=Inputs!$F$15,Inputs!$F$68*Inputs!$F$70,0)</f>
        <v>0</v>
      </c>
      <c r="BW14" s="19" t="n">
        <f aca="false">IF(Time!BW8=Inputs!$F$15,Inputs!$F$68*Inputs!$F$70,0)</f>
        <v>0</v>
      </c>
      <c r="BX14" s="19" t="n">
        <f aca="false">IF(Time!BX8=Inputs!$F$15,Inputs!$F$68*Inputs!$F$70,0)</f>
        <v>0</v>
      </c>
      <c r="BY14" s="19" t="n">
        <f aca="false">IF(Time!BY8=Inputs!$F$15,Inputs!$F$68*Inputs!$F$70,0)</f>
        <v>0</v>
      </c>
      <c r="BZ14" s="19" t="n">
        <f aca="false">IF(Time!BZ8=Inputs!$F$15,Inputs!$F$68*Inputs!$F$70,0)</f>
        <v>0</v>
      </c>
      <c r="CA14" s="19" t="n">
        <f aca="false">IF(Time!CA8=Inputs!$F$15,Inputs!$F$68*Inputs!$F$70,0)</f>
        <v>0</v>
      </c>
      <c r="CB14" s="19" t="n">
        <f aca="false">IF(Time!CB8=Inputs!$F$15,Inputs!$F$68*Inputs!$F$70,0)</f>
        <v>0</v>
      </c>
      <c r="CC14" s="19" t="n">
        <f aca="false">IF(Time!CC8=Inputs!$F$15,Inputs!$F$68*Inputs!$F$70,0)</f>
        <v>0</v>
      </c>
      <c r="CD14" s="19" t="n">
        <f aca="false">IF(Time!CD8=Inputs!$F$15,Inputs!$F$68*Inputs!$F$70,0)</f>
        <v>0</v>
      </c>
      <c r="CE14" s="19" t="n">
        <f aca="false">IF(Time!CE8=Inputs!$F$15,Inputs!$F$68*Inputs!$F$70,0)</f>
        <v>0</v>
      </c>
      <c r="CF14" s="19" t="n">
        <f aca="false">IF(Time!CF8=Inputs!$F$15,Inputs!$F$68*Inputs!$F$70,0)</f>
        <v>0</v>
      </c>
      <c r="CG14" s="19" t="n">
        <f aca="false">IF(Time!CG8=Inputs!$F$15,Inputs!$F$68*Inputs!$F$70,0)</f>
        <v>0</v>
      </c>
      <c r="CH14" s="19" t="n">
        <f aca="false">IF(Time!CH8=Inputs!$F$15,Inputs!$F$68*Inputs!$F$70,0)</f>
        <v>0</v>
      </c>
      <c r="CI14" s="19" t="n">
        <f aca="false">IF(Time!CI8=Inputs!$F$15,Inputs!$F$68*Inputs!$F$70,0)</f>
        <v>0</v>
      </c>
      <c r="CJ14" s="19" t="n">
        <f aca="false">IF(Time!CJ8=Inputs!$F$15,Inputs!$F$68*Inputs!$F$70,0)</f>
        <v>0</v>
      </c>
      <c r="CK14" s="19" t="n">
        <f aca="false">IF(Time!CK8=Inputs!$F$15,Inputs!$F$68*Inputs!$F$70,0)</f>
        <v>0</v>
      </c>
      <c r="CL14" s="19" t="n">
        <f aca="false">IF(Time!CL8=Inputs!$F$15,Inputs!$F$68*Inputs!$F$70,0)</f>
        <v>0</v>
      </c>
      <c r="CM14" s="19" t="n">
        <f aca="false">IF(Time!CM8=Inputs!$F$15,Inputs!$F$68*Inputs!$F$70,0)</f>
        <v>0</v>
      </c>
      <c r="CN14" s="19" t="n">
        <f aca="false">IF(Time!CN8=Inputs!$F$15,Inputs!$F$68*Inputs!$F$70,0)</f>
        <v>0</v>
      </c>
      <c r="CO14" s="19" t="n">
        <f aca="false">IF(Time!CO8=Inputs!$F$15,Inputs!$F$68*Inputs!$F$70,0)</f>
        <v>0</v>
      </c>
      <c r="CP14" s="19" t="n">
        <f aca="false">IF(Time!CP8=Inputs!$F$15,Inputs!$F$68*Inputs!$F$70,0)</f>
        <v>0</v>
      </c>
      <c r="CQ14" s="19" t="n">
        <f aca="false">IF(Time!CQ8=Inputs!$F$15,Inputs!$F$68*Inputs!$F$70,0)</f>
        <v>0</v>
      </c>
      <c r="CR14" s="19" t="n">
        <f aca="false">IF(Time!CR8=Inputs!$F$15,Inputs!$F$68*Inputs!$F$70,0)</f>
        <v>0</v>
      </c>
      <c r="CS14" s="19" t="n">
        <f aca="false">IF(Time!CS8=Inputs!$F$15,Inputs!$F$68*Inputs!$F$70,0)</f>
        <v>0</v>
      </c>
      <c r="CT14" s="19" t="n">
        <f aca="false">IF(Time!CT8=Inputs!$F$15,Inputs!$F$68*Inputs!$F$70,0)</f>
        <v>0</v>
      </c>
      <c r="CU14" s="19" t="n">
        <f aca="false">IF(Time!CU8=Inputs!$F$15,Inputs!$F$68*Inputs!$F$70,0)</f>
        <v>0</v>
      </c>
      <c r="CV14" s="19" t="n">
        <f aca="false">IF(Time!CV8=Inputs!$F$15,Inputs!$F$68*Inputs!$F$70,0)</f>
        <v>0</v>
      </c>
      <c r="CW14" s="19" t="n">
        <f aca="false">IF(Time!CW8=Inputs!$F$15,Inputs!$F$68*Inputs!$F$70,0)</f>
        <v>0</v>
      </c>
      <c r="CX14" s="19" t="n">
        <f aca="false">IF(Time!CX8=Inputs!$F$15,Inputs!$F$68*Inputs!$F$70,0)</f>
        <v>0</v>
      </c>
      <c r="CY14" s="19" t="n">
        <f aca="false">IF(Time!CY8=Inputs!$F$15,Inputs!$F$68*Inputs!$F$70,0)</f>
        <v>0</v>
      </c>
      <c r="CZ14" s="19" t="n">
        <f aca="false">IF(Time!CZ8=Inputs!$F$15,Inputs!$F$68*Inputs!$F$70,0)</f>
        <v>0</v>
      </c>
      <c r="DA14" s="19" t="n">
        <f aca="false">IF(Time!DA8=Inputs!$F$15,Inputs!$F$68*Inputs!$F$70,0)</f>
        <v>0</v>
      </c>
      <c r="DB14" s="19" t="n">
        <f aca="false">IF(Time!DB8=Inputs!$F$15,Inputs!$F$68*Inputs!$F$70,0)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375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376</v>
      </c>
    </row>
    <row r="6" customFormat="false" ht="15" hidden="false" customHeight="false" outlineLevel="0" collapsed="false">
      <c r="D6" s="0" t="s">
        <v>377</v>
      </c>
      <c r="E6" s="0" t="s">
        <v>135</v>
      </c>
      <c r="J6" s="18" t="n">
        <f aca="false">IF(Time!J11&lt;=Inputs!$F$55,Inputs!$F$243,IF(Time!J11&lt;=Inputs!$F$56,Inputs!$F$244,Inputs!$F$245))</f>
        <v>3.4</v>
      </c>
      <c r="K6" s="18" t="n">
        <f aca="false">IF(Time!K11&lt;=Inputs!$F$55,Inputs!$F$243,IF(Time!K11&lt;=Inputs!$F$56,Inputs!$F$244,Inputs!$F$245))</f>
        <v>3.4</v>
      </c>
      <c r="L6" s="18" t="n">
        <f aca="false">IF(Time!L11&lt;=Inputs!$F$55,Inputs!$F$243,IF(Time!L11&lt;=Inputs!$F$56,Inputs!$F$244,Inputs!$F$245))</f>
        <v>3.4</v>
      </c>
      <c r="M6" s="18" t="n">
        <f aca="false">IF(Time!M11&lt;=Inputs!$F$55,Inputs!$F$243,IF(Time!M11&lt;=Inputs!$F$56,Inputs!$F$244,Inputs!$F$245))</f>
        <v>3.4</v>
      </c>
      <c r="N6" s="18" t="n">
        <f aca="false">IF(Time!N11&lt;=Inputs!$F$55,Inputs!$F$243,IF(Time!N11&lt;=Inputs!$F$56,Inputs!$F$244,Inputs!$F$245))</f>
        <v>3.4</v>
      </c>
      <c r="O6" s="18" t="n">
        <f aca="false">IF(Time!O11&lt;=Inputs!$F$55,Inputs!$F$243,IF(Time!O11&lt;=Inputs!$F$56,Inputs!$F$244,Inputs!$F$245))</f>
        <v>3.4</v>
      </c>
      <c r="P6" s="18" t="n">
        <f aca="false">IF(Time!P11&lt;=Inputs!$F$55,Inputs!$F$243,IF(Time!P11&lt;=Inputs!$F$56,Inputs!$F$244,Inputs!$F$245))</f>
        <v>3.4</v>
      </c>
      <c r="Q6" s="18" t="n">
        <f aca="false">IF(Time!Q11&lt;=Inputs!$F$55,Inputs!$F$243,IF(Time!Q11&lt;=Inputs!$F$56,Inputs!$F$244,Inputs!$F$245))</f>
        <v>3.4</v>
      </c>
      <c r="R6" s="18" t="n">
        <f aca="false">IF(Time!R11&lt;=Inputs!$F$55,Inputs!$F$243,IF(Time!R11&lt;=Inputs!$F$56,Inputs!$F$244,Inputs!$F$245))</f>
        <v>3.4</v>
      </c>
      <c r="S6" s="18" t="n">
        <f aca="false">IF(Time!S11&lt;=Inputs!$F$55,Inputs!$F$243,IF(Time!S11&lt;=Inputs!$F$56,Inputs!$F$244,Inputs!$F$245))</f>
        <v>3.4</v>
      </c>
      <c r="T6" s="18" t="n">
        <f aca="false">IF(Time!T11&lt;=Inputs!$F$55,Inputs!$F$243,IF(Time!T11&lt;=Inputs!$F$56,Inputs!$F$244,Inputs!$F$245))</f>
        <v>3.4</v>
      </c>
      <c r="U6" s="18" t="n">
        <f aca="false">IF(Time!U11&lt;=Inputs!$F$55,Inputs!$F$243,IF(Time!U11&lt;=Inputs!$F$56,Inputs!$F$244,Inputs!$F$245))</f>
        <v>3.4</v>
      </c>
      <c r="V6" s="18" t="n">
        <f aca="false">IF(Time!V11&lt;=Inputs!$F$55,Inputs!$F$243,IF(Time!V11&lt;=Inputs!$F$56,Inputs!$F$244,Inputs!$F$245))</f>
        <v>3.4</v>
      </c>
      <c r="W6" s="18" t="n">
        <f aca="false">IF(Time!W11&lt;=Inputs!$F$55,Inputs!$F$243,IF(Time!W11&lt;=Inputs!$F$56,Inputs!$F$244,Inputs!$F$245))</f>
        <v>3.4</v>
      </c>
      <c r="X6" s="18" t="n">
        <f aca="false">IF(Time!X11&lt;=Inputs!$F$55,Inputs!$F$243,IF(Time!X11&lt;=Inputs!$F$56,Inputs!$F$244,Inputs!$F$245))</f>
        <v>3.4</v>
      </c>
      <c r="Y6" s="18" t="n">
        <f aca="false">IF(Time!Y11&lt;=Inputs!$F$55,Inputs!$F$243,IF(Time!Y11&lt;=Inputs!$F$56,Inputs!$F$244,Inputs!$F$245))</f>
        <v>3.4</v>
      </c>
      <c r="Z6" s="18" t="n">
        <f aca="false">IF(Time!Z11&lt;=Inputs!$F$55,Inputs!$F$243,IF(Time!Z11&lt;=Inputs!$F$56,Inputs!$F$244,Inputs!$F$245))</f>
        <v>3.4</v>
      </c>
      <c r="AA6" s="18" t="n">
        <f aca="false">IF(Time!AA11&lt;=Inputs!$F$55,Inputs!$F$243,IF(Time!AA11&lt;=Inputs!$F$56,Inputs!$F$244,Inputs!$F$245))</f>
        <v>3.4</v>
      </c>
      <c r="AB6" s="18" t="n">
        <f aca="false">IF(Time!AB11&lt;=Inputs!$F$55,Inputs!$F$243,IF(Time!AB11&lt;=Inputs!$F$56,Inputs!$F$244,Inputs!$F$245))</f>
        <v>3.4</v>
      </c>
      <c r="AC6" s="18" t="n">
        <f aca="false">IF(Time!AC11&lt;=Inputs!$F$55,Inputs!$F$243,IF(Time!AC11&lt;=Inputs!$F$56,Inputs!$F$244,Inputs!$F$245))</f>
        <v>3.4</v>
      </c>
      <c r="AD6" s="18" t="n">
        <f aca="false">IF(Time!AD11&lt;=Inputs!$F$55,Inputs!$F$243,IF(Time!AD11&lt;=Inputs!$F$56,Inputs!$F$244,Inputs!$F$245))</f>
        <v>3.4</v>
      </c>
      <c r="AE6" s="18" t="n">
        <f aca="false">IF(Time!AE11&lt;=Inputs!$F$55,Inputs!$F$243,IF(Time!AE11&lt;=Inputs!$F$56,Inputs!$F$244,Inputs!$F$245))</f>
        <v>3.4</v>
      </c>
      <c r="AF6" s="18" t="n">
        <f aca="false">IF(Time!AF11&lt;=Inputs!$F$55,Inputs!$F$243,IF(Time!AF11&lt;=Inputs!$F$56,Inputs!$F$244,Inputs!$F$245))</f>
        <v>3.4</v>
      </c>
      <c r="AG6" s="18" t="n">
        <f aca="false">IF(Time!AG11&lt;=Inputs!$F$55,Inputs!$F$243,IF(Time!AG11&lt;=Inputs!$F$56,Inputs!$F$244,Inputs!$F$245))</f>
        <v>3.4</v>
      </c>
      <c r="AH6" s="18" t="n">
        <f aca="false">IF(Time!AH11&lt;=Inputs!$F$55,Inputs!$F$243,IF(Time!AH11&lt;=Inputs!$F$56,Inputs!$F$244,Inputs!$F$245))</f>
        <v>3.4</v>
      </c>
      <c r="AI6" s="18" t="n">
        <f aca="false">IF(Time!AI11&lt;=Inputs!$F$55,Inputs!$F$243,IF(Time!AI11&lt;=Inputs!$F$56,Inputs!$F$244,Inputs!$F$245))</f>
        <v>3.4</v>
      </c>
      <c r="AJ6" s="18" t="n">
        <f aca="false">IF(Time!AJ11&lt;=Inputs!$F$55,Inputs!$F$243,IF(Time!AJ11&lt;=Inputs!$F$56,Inputs!$F$244,Inputs!$F$245))</f>
        <v>3.4</v>
      </c>
      <c r="AK6" s="18" t="n">
        <f aca="false">IF(Time!AK11&lt;=Inputs!$F$55,Inputs!$F$243,IF(Time!AK11&lt;=Inputs!$F$56,Inputs!$F$244,Inputs!$F$245))</f>
        <v>3.4</v>
      </c>
      <c r="AL6" s="18" t="n">
        <f aca="false">IF(Time!AL11&lt;=Inputs!$F$55,Inputs!$F$243,IF(Time!AL11&lt;=Inputs!$F$56,Inputs!$F$244,Inputs!$F$245))</f>
        <v>3.4</v>
      </c>
      <c r="AM6" s="18" t="n">
        <f aca="false">IF(Time!AM11&lt;=Inputs!$F$55,Inputs!$F$243,IF(Time!AM11&lt;=Inputs!$F$56,Inputs!$F$244,Inputs!$F$245))</f>
        <v>3.4</v>
      </c>
      <c r="AN6" s="18" t="n">
        <f aca="false">IF(Time!AN11&lt;=Inputs!$F$55,Inputs!$F$243,IF(Time!AN11&lt;=Inputs!$F$56,Inputs!$F$244,Inputs!$F$245))</f>
        <v>3.4</v>
      </c>
      <c r="AO6" s="18" t="n">
        <f aca="false">IF(Time!AO11&lt;=Inputs!$F$55,Inputs!$F$243,IF(Time!AO11&lt;=Inputs!$F$56,Inputs!$F$244,Inputs!$F$245))</f>
        <v>3.4</v>
      </c>
      <c r="AP6" s="18" t="n">
        <f aca="false">IF(Time!AP11&lt;=Inputs!$F$55,Inputs!$F$243,IF(Time!AP11&lt;=Inputs!$F$56,Inputs!$F$244,Inputs!$F$245))</f>
        <v>3.4</v>
      </c>
      <c r="AQ6" s="18" t="n">
        <f aca="false">IF(Time!AQ11&lt;=Inputs!$F$55,Inputs!$F$243,IF(Time!AQ11&lt;=Inputs!$F$56,Inputs!$F$244,Inputs!$F$245))</f>
        <v>3.4</v>
      </c>
      <c r="AR6" s="18" t="n">
        <f aca="false">IF(Time!AR11&lt;=Inputs!$F$55,Inputs!$F$243,IF(Time!AR11&lt;=Inputs!$F$56,Inputs!$F$244,Inputs!$F$245))</f>
        <v>3.4</v>
      </c>
      <c r="AS6" s="18" t="n">
        <f aca="false">IF(Time!AS11&lt;=Inputs!$F$55,Inputs!$F$243,IF(Time!AS11&lt;=Inputs!$F$56,Inputs!$F$244,Inputs!$F$245))</f>
        <v>3.4</v>
      </c>
      <c r="AT6" s="18" t="n">
        <f aca="false">IF(Time!AT11&lt;=Inputs!$F$55,Inputs!$F$243,IF(Time!AT11&lt;=Inputs!$F$56,Inputs!$F$244,Inputs!$F$245))</f>
        <v>3.4</v>
      </c>
      <c r="AU6" s="18" t="n">
        <f aca="false">IF(Time!AU11&lt;=Inputs!$F$55,Inputs!$F$243,IF(Time!AU11&lt;=Inputs!$F$56,Inputs!$F$244,Inputs!$F$245))</f>
        <v>3.4</v>
      </c>
      <c r="AV6" s="18" t="n">
        <f aca="false">IF(Time!AV11&lt;=Inputs!$F$55,Inputs!$F$243,IF(Time!AV11&lt;=Inputs!$F$56,Inputs!$F$244,Inputs!$F$245))</f>
        <v>3.4</v>
      </c>
      <c r="AW6" s="18" t="n">
        <f aca="false">IF(Time!AW11&lt;=Inputs!$F$55,Inputs!$F$243,IF(Time!AW11&lt;=Inputs!$F$56,Inputs!$F$244,Inputs!$F$245))</f>
        <v>3.4</v>
      </c>
      <c r="AX6" s="18" t="n">
        <f aca="false">IF(Time!AX11&lt;=Inputs!$F$55,Inputs!$F$243,IF(Time!AX11&lt;=Inputs!$F$56,Inputs!$F$244,Inputs!$F$245))</f>
        <v>2.3</v>
      </c>
      <c r="AY6" s="18" t="n">
        <f aca="false">IF(Time!AY11&lt;=Inputs!$F$55,Inputs!$F$243,IF(Time!AY11&lt;=Inputs!$F$56,Inputs!$F$244,Inputs!$F$245))</f>
        <v>2.3</v>
      </c>
      <c r="AZ6" s="18" t="n">
        <f aca="false">IF(Time!AZ11&lt;=Inputs!$F$55,Inputs!$F$243,IF(Time!AZ11&lt;=Inputs!$F$56,Inputs!$F$244,Inputs!$F$245))</f>
        <v>2.3</v>
      </c>
      <c r="BA6" s="18" t="n">
        <f aca="false">IF(Time!BA11&lt;=Inputs!$F$55,Inputs!$F$243,IF(Time!BA11&lt;=Inputs!$F$56,Inputs!$F$244,Inputs!$F$245))</f>
        <v>2.3</v>
      </c>
      <c r="BB6" s="18" t="n">
        <f aca="false">IF(Time!BB11&lt;=Inputs!$F$55,Inputs!$F$243,IF(Time!BB11&lt;=Inputs!$F$56,Inputs!$F$244,Inputs!$F$245))</f>
        <v>2.3</v>
      </c>
      <c r="BC6" s="18" t="n">
        <f aca="false">IF(Time!BC11&lt;=Inputs!$F$55,Inputs!$F$243,IF(Time!BC11&lt;=Inputs!$F$56,Inputs!$F$244,Inputs!$F$245))</f>
        <v>2.3</v>
      </c>
      <c r="BD6" s="18" t="n">
        <f aca="false">IF(Time!BD11&lt;=Inputs!$F$55,Inputs!$F$243,IF(Time!BD11&lt;=Inputs!$F$56,Inputs!$F$244,Inputs!$F$245))</f>
        <v>2.3</v>
      </c>
      <c r="BE6" s="18" t="n">
        <f aca="false">IF(Time!BE11&lt;=Inputs!$F$55,Inputs!$F$243,IF(Time!BE11&lt;=Inputs!$F$56,Inputs!$F$244,Inputs!$F$245))</f>
        <v>2.3</v>
      </c>
      <c r="BF6" s="18" t="n">
        <f aca="false">IF(Time!BF11&lt;=Inputs!$F$55,Inputs!$F$243,IF(Time!BF11&lt;=Inputs!$F$56,Inputs!$F$244,Inputs!$F$245))</f>
        <v>2.3</v>
      </c>
      <c r="BG6" s="18" t="n">
        <f aca="false">IF(Time!BG11&lt;=Inputs!$F$55,Inputs!$F$243,IF(Time!BG11&lt;=Inputs!$F$56,Inputs!$F$244,Inputs!$F$245))</f>
        <v>2.3</v>
      </c>
      <c r="BH6" s="18" t="n">
        <f aca="false">IF(Time!BH11&lt;=Inputs!$F$55,Inputs!$F$243,IF(Time!BH11&lt;=Inputs!$F$56,Inputs!$F$244,Inputs!$F$245))</f>
        <v>2.3</v>
      </c>
      <c r="BI6" s="18" t="n">
        <f aca="false">IF(Time!BI11&lt;=Inputs!$F$55,Inputs!$F$243,IF(Time!BI11&lt;=Inputs!$F$56,Inputs!$F$244,Inputs!$F$245))</f>
        <v>2.3</v>
      </c>
      <c r="BJ6" s="18" t="n">
        <f aca="false">IF(Time!BJ11&lt;=Inputs!$F$55,Inputs!$F$243,IF(Time!BJ11&lt;=Inputs!$F$56,Inputs!$F$244,Inputs!$F$245))</f>
        <v>2.3</v>
      </c>
      <c r="BK6" s="18" t="n">
        <f aca="false">IF(Time!BK11&lt;=Inputs!$F$55,Inputs!$F$243,IF(Time!BK11&lt;=Inputs!$F$56,Inputs!$F$244,Inputs!$F$245))</f>
        <v>2.3</v>
      </c>
      <c r="BL6" s="18" t="n">
        <f aca="false">IF(Time!BL11&lt;=Inputs!$F$55,Inputs!$F$243,IF(Time!BL11&lt;=Inputs!$F$56,Inputs!$F$244,Inputs!$F$245))</f>
        <v>2.3</v>
      </c>
      <c r="BM6" s="18" t="n">
        <f aca="false">IF(Time!BM11&lt;=Inputs!$F$55,Inputs!$F$243,IF(Time!BM11&lt;=Inputs!$F$56,Inputs!$F$244,Inputs!$F$245))</f>
        <v>2.3</v>
      </c>
      <c r="BN6" s="18" t="n">
        <f aca="false">IF(Time!BN11&lt;=Inputs!$F$55,Inputs!$F$243,IF(Time!BN11&lt;=Inputs!$F$56,Inputs!$F$244,Inputs!$F$245))</f>
        <v>2.3</v>
      </c>
      <c r="BO6" s="18" t="n">
        <f aca="false">IF(Time!BO11&lt;=Inputs!$F$55,Inputs!$F$243,IF(Time!BO11&lt;=Inputs!$F$56,Inputs!$F$244,Inputs!$F$245))</f>
        <v>2.3</v>
      </c>
      <c r="BP6" s="18" t="n">
        <f aca="false">IF(Time!BP11&lt;=Inputs!$F$55,Inputs!$F$243,IF(Time!BP11&lt;=Inputs!$F$56,Inputs!$F$244,Inputs!$F$245))</f>
        <v>2.3</v>
      </c>
      <c r="BQ6" s="18" t="n">
        <f aca="false">IF(Time!BQ11&lt;=Inputs!$F$55,Inputs!$F$243,IF(Time!BQ11&lt;=Inputs!$F$56,Inputs!$F$244,Inputs!$F$245))</f>
        <v>2.3</v>
      </c>
      <c r="BR6" s="18" t="n">
        <f aca="false">IF(Time!BR11&lt;=Inputs!$F$55,Inputs!$F$243,IF(Time!BR11&lt;=Inputs!$F$56,Inputs!$F$244,Inputs!$F$245))</f>
        <v>1.2</v>
      </c>
      <c r="BS6" s="18" t="n">
        <f aca="false">IF(Time!BS11&lt;=Inputs!$F$55,Inputs!$F$243,IF(Time!BS11&lt;=Inputs!$F$56,Inputs!$F$244,Inputs!$F$245))</f>
        <v>1.2</v>
      </c>
      <c r="BT6" s="18" t="n">
        <f aca="false">IF(Time!BT11&lt;=Inputs!$F$55,Inputs!$F$243,IF(Time!BT11&lt;=Inputs!$F$56,Inputs!$F$244,Inputs!$F$245))</f>
        <v>1.2</v>
      </c>
      <c r="BU6" s="18" t="n">
        <f aca="false">IF(Time!BU11&lt;=Inputs!$F$55,Inputs!$F$243,IF(Time!BU11&lt;=Inputs!$F$56,Inputs!$F$244,Inputs!$F$245))</f>
        <v>1.2</v>
      </c>
      <c r="BV6" s="18" t="n">
        <f aca="false">IF(Time!BV11&lt;=Inputs!$F$55,Inputs!$F$243,IF(Time!BV11&lt;=Inputs!$F$56,Inputs!$F$244,Inputs!$F$245))</f>
        <v>1.2</v>
      </c>
      <c r="BW6" s="18" t="n">
        <f aca="false">IF(Time!BW11&lt;=Inputs!$F$55,Inputs!$F$243,IF(Time!BW11&lt;=Inputs!$F$56,Inputs!$F$244,Inputs!$F$245))</f>
        <v>1.2</v>
      </c>
      <c r="BX6" s="18" t="n">
        <f aca="false">IF(Time!BX11&lt;=Inputs!$F$55,Inputs!$F$243,IF(Time!BX11&lt;=Inputs!$F$56,Inputs!$F$244,Inputs!$F$245))</f>
        <v>1.2</v>
      </c>
      <c r="BY6" s="18" t="n">
        <f aca="false">IF(Time!BY11&lt;=Inputs!$F$55,Inputs!$F$243,IF(Time!BY11&lt;=Inputs!$F$56,Inputs!$F$244,Inputs!$F$245))</f>
        <v>1.2</v>
      </c>
      <c r="BZ6" s="18" t="n">
        <f aca="false">IF(Time!BZ11&lt;=Inputs!$F$55,Inputs!$F$243,IF(Time!BZ11&lt;=Inputs!$F$56,Inputs!$F$244,Inputs!$F$245))</f>
        <v>1.2</v>
      </c>
      <c r="CA6" s="18" t="n">
        <f aca="false">IF(Time!CA11&lt;=Inputs!$F$55,Inputs!$F$243,IF(Time!CA11&lt;=Inputs!$F$56,Inputs!$F$244,Inputs!$F$245))</f>
        <v>1.2</v>
      </c>
      <c r="CB6" s="18" t="n">
        <f aca="false">IF(Time!CB11&lt;=Inputs!$F$55,Inputs!$F$243,IF(Time!CB11&lt;=Inputs!$F$56,Inputs!$F$244,Inputs!$F$245))</f>
        <v>1.2</v>
      </c>
      <c r="CC6" s="18" t="n">
        <f aca="false">IF(Time!CC11&lt;=Inputs!$F$55,Inputs!$F$243,IF(Time!CC11&lt;=Inputs!$F$56,Inputs!$F$244,Inputs!$F$245))</f>
        <v>1.2</v>
      </c>
      <c r="CD6" s="18" t="n">
        <f aca="false">IF(Time!CD11&lt;=Inputs!$F$55,Inputs!$F$243,IF(Time!CD11&lt;=Inputs!$F$56,Inputs!$F$244,Inputs!$F$245))</f>
        <v>1.2</v>
      </c>
      <c r="CE6" s="18" t="n">
        <f aca="false">IF(Time!CE11&lt;=Inputs!$F$55,Inputs!$F$243,IF(Time!CE11&lt;=Inputs!$F$56,Inputs!$F$244,Inputs!$F$245))</f>
        <v>1.2</v>
      </c>
      <c r="CF6" s="18" t="n">
        <f aca="false">IF(Time!CF11&lt;=Inputs!$F$55,Inputs!$F$243,IF(Time!CF11&lt;=Inputs!$F$56,Inputs!$F$244,Inputs!$F$245))</f>
        <v>1.2</v>
      </c>
      <c r="CG6" s="18" t="n">
        <f aca="false">IF(Time!CG11&lt;=Inputs!$F$55,Inputs!$F$243,IF(Time!CG11&lt;=Inputs!$F$56,Inputs!$F$244,Inputs!$F$245))</f>
        <v>1.2</v>
      </c>
      <c r="CH6" s="18" t="n">
        <f aca="false">IF(Time!CH11&lt;=Inputs!$F$55,Inputs!$F$243,IF(Time!CH11&lt;=Inputs!$F$56,Inputs!$F$244,Inputs!$F$245))</f>
        <v>1.2</v>
      </c>
      <c r="CI6" s="18" t="n">
        <f aca="false">IF(Time!CI11&lt;=Inputs!$F$55,Inputs!$F$243,IF(Time!CI11&lt;=Inputs!$F$56,Inputs!$F$244,Inputs!$F$245))</f>
        <v>1.2</v>
      </c>
      <c r="CJ6" s="18" t="n">
        <f aca="false">IF(Time!CJ11&lt;=Inputs!$F$55,Inputs!$F$243,IF(Time!CJ11&lt;=Inputs!$F$56,Inputs!$F$244,Inputs!$F$245))</f>
        <v>1.2</v>
      </c>
      <c r="CK6" s="18" t="n">
        <f aca="false">IF(Time!CK11&lt;=Inputs!$F$55,Inputs!$F$243,IF(Time!CK11&lt;=Inputs!$F$56,Inputs!$F$244,Inputs!$F$245))</f>
        <v>1.2</v>
      </c>
      <c r="CL6" s="18" t="n">
        <f aca="false">IF(Time!CL11&lt;=Inputs!$F$55,Inputs!$F$243,IF(Time!CL11&lt;=Inputs!$F$56,Inputs!$F$244,Inputs!$F$245))</f>
        <v>1.2</v>
      </c>
      <c r="CM6" s="18" t="n">
        <f aca="false">IF(Time!CM11&lt;=Inputs!$F$55,Inputs!$F$243,IF(Time!CM11&lt;=Inputs!$F$56,Inputs!$F$244,Inputs!$F$245))</f>
        <v>1.2</v>
      </c>
      <c r="CN6" s="18" t="n">
        <f aca="false">IF(Time!CN11&lt;=Inputs!$F$55,Inputs!$F$243,IF(Time!CN11&lt;=Inputs!$F$56,Inputs!$F$244,Inputs!$F$245))</f>
        <v>1.2</v>
      </c>
      <c r="CO6" s="18" t="n">
        <f aca="false">IF(Time!CO11&lt;=Inputs!$F$55,Inputs!$F$243,IF(Time!CO11&lt;=Inputs!$F$56,Inputs!$F$244,Inputs!$F$245))</f>
        <v>1.2</v>
      </c>
      <c r="CP6" s="18" t="n">
        <f aca="false">IF(Time!CP11&lt;=Inputs!$F$55,Inputs!$F$243,IF(Time!CP11&lt;=Inputs!$F$56,Inputs!$F$244,Inputs!$F$245))</f>
        <v>1.2</v>
      </c>
      <c r="CQ6" s="18" t="n">
        <f aca="false">IF(Time!CQ11&lt;=Inputs!$F$55,Inputs!$F$243,IF(Time!CQ11&lt;=Inputs!$F$56,Inputs!$F$244,Inputs!$F$245))</f>
        <v>1.2</v>
      </c>
      <c r="CR6" s="18" t="n">
        <f aca="false">IF(Time!CR11&lt;=Inputs!$F$55,Inputs!$F$243,IF(Time!CR11&lt;=Inputs!$F$56,Inputs!$F$244,Inputs!$F$245))</f>
        <v>1.2</v>
      </c>
      <c r="CS6" s="18" t="n">
        <f aca="false">IF(Time!CS11&lt;=Inputs!$F$55,Inputs!$F$243,IF(Time!CS11&lt;=Inputs!$F$56,Inputs!$F$244,Inputs!$F$245))</f>
        <v>1.2</v>
      </c>
      <c r="CT6" s="18" t="n">
        <f aca="false">IF(Time!CT11&lt;=Inputs!$F$55,Inputs!$F$243,IF(Time!CT11&lt;=Inputs!$F$56,Inputs!$F$244,Inputs!$F$245))</f>
        <v>1.2</v>
      </c>
      <c r="CU6" s="18" t="n">
        <f aca="false">IF(Time!CU11&lt;=Inputs!$F$55,Inputs!$F$243,IF(Time!CU11&lt;=Inputs!$F$56,Inputs!$F$244,Inputs!$F$245))</f>
        <v>1.2</v>
      </c>
      <c r="CV6" s="18" t="n">
        <f aca="false">IF(Time!CV11&lt;=Inputs!$F$55,Inputs!$F$243,IF(Time!CV11&lt;=Inputs!$F$56,Inputs!$F$244,Inputs!$F$245))</f>
        <v>1.2</v>
      </c>
      <c r="CW6" s="18" t="n">
        <f aca="false">IF(Time!CW11&lt;=Inputs!$F$55,Inputs!$F$243,IF(Time!CW11&lt;=Inputs!$F$56,Inputs!$F$244,Inputs!$F$245))</f>
        <v>1.2</v>
      </c>
      <c r="CX6" s="18" t="n">
        <f aca="false">IF(Time!CX11&lt;=Inputs!$F$55,Inputs!$F$243,IF(Time!CX11&lt;=Inputs!$F$56,Inputs!$F$244,Inputs!$F$245))</f>
        <v>1.2</v>
      </c>
      <c r="CY6" s="18" t="n">
        <f aca="false">IF(Time!CY11&lt;=Inputs!$F$55,Inputs!$F$243,IF(Time!CY11&lt;=Inputs!$F$56,Inputs!$F$244,Inputs!$F$245))</f>
        <v>1.2</v>
      </c>
      <c r="CZ6" s="18" t="n">
        <f aca="false">IF(Time!CZ11&lt;=Inputs!$F$55,Inputs!$F$243,IF(Time!CZ11&lt;=Inputs!$F$56,Inputs!$F$244,Inputs!$F$245))</f>
        <v>1.2</v>
      </c>
      <c r="DA6" s="18" t="n">
        <f aca="false">IF(Time!DA11&lt;=Inputs!$F$55,Inputs!$F$243,IF(Time!DA11&lt;=Inputs!$F$56,Inputs!$F$244,Inputs!$F$245))</f>
        <v>1.2</v>
      </c>
      <c r="DB6" s="18" t="n">
        <f aca="false">IF(Time!DB11&lt;=Inputs!$F$55,Inputs!$F$243,IF(Time!DB11&lt;=Inputs!$F$56,Inputs!$F$244,Inputs!$F$245))</f>
        <v>1.2</v>
      </c>
    </row>
    <row r="7" customFormat="false" ht="15" hidden="false" customHeight="false" outlineLevel="0" collapsed="false">
      <c r="D7" s="0" t="s">
        <v>378</v>
      </c>
      <c r="E7" s="0" t="s">
        <v>263</v>
      </c>
      <c r="J7" s="16" t="n">
        <f aca="false">IF(Time!J11&lt;=Inputs!$F$242,Inputs!$F$241/(1+Inputs!$F$243/100)^(Inputs!$F$242-Time!J11),I7*IF(Time!J11&gt;Time!I11,1+J6/100,1))</f>
        <v>51.0893870333431</v>
      </c>
      <c r="K7" s="16" t="n">
        <f aca="false">IF(Time!K11&lt;=Inputs!$F$242,Inputs!$F$241/(1+Inputs!$F$243/100)^(Inputs!$F$242-Time!K11),J7*IF(Time!K11&gt;Time!J11,1+K6/100,1))</f>
        <v>51.0893870333431</v>
      </c>
      <c r="L7" s="16" t="n">
        <f aca="false">IF(Time!L11&lt;=Inputs!$F$242,Inputs!$F$241/(1+Inputs!$F$243/100)^(Inputs!$F$242-Time!L11),K7*IF(Time!L11&gt;Time!K11,1+L6/100,1))</f>
        <v>51.0893870333431</v>
      </c>
      <c r="M7" s="16" t="n">
        <f aca="false">IF(Time!M11&lt;=Inputs!$F$242,Inputs!$F$241/(1+Inputs!$F$243/100)^(Inputs!$F$242-Time!M11),L7*IF(Time!M11&gt;Time!L11,1+M6/100,1))</f>
        <v>52.8264261924768</v>
      </c>
      <c r="N7" s="16" t="n">
        <f aca="false">IF(Time!N11&lt;=Inputs!$F$242,Inputs!$F$241/(1+Inputs!$F$243/100)^(Inputs!$F$242-Time!N11),M7*IF(Time!N11&gt;Time!M11,1+N6/100,1))</f>
        <v>52.8264261924768</v>
      </c>
      <c r="O7" s="16" t="n">
        <f aca="false">IF(Time!O11&lt;=Inputs!$F$242,Inputs!$F$241/(1+Inputs!$F$243/100)^(Inputs!$F$242-Time!O11),N7*IF(Time!O11&gt;Time!N11,1+O6/100,1))</f>
        <v>52.8264261924768</v>
      </c>
      <c r="P7" s="16" t="n">
        <f aca="false">IF(Time!P11&lt;=Inputs!$F$242,Inputs!$F$241/(1+Inputs!$F$243/100)^(Inputs!$F$242-Time!P11),O7*IF(Time!P11&gt;Time!O11,1+P6/100,1))</f>
        <v>52.8264261924768</v>
      </c>
      <c r="Q7" s="16" t="n">
        <f aca="false">IF(Time!Q11&lt;=Inputs!$F$242,Inputs!$F$241/(1+Inputs!$F$243/100)^(Inputs!$F$242-Time!Q11),P7*IF(Time!Q11&gt;Time!P11,1+Q6/100,1))</f>
        <v>54.622524683021</v>
      </c>
      <c r="R7" s="16" t="n">
        <f aca="false">IF(Time!R11&lt;=Inputs!$F$242,Inputs!$F$241/(1+Inputs!$F$243/100)^(Inputs!$F$242-Time!R11),Q7*IF(Time!R11&gt;Time!Q11,1+R6/100,1))</f>
        <v>54.622524683021</v>
      </c>
      <c r="S7" s="16" t="n">
        <f aca="false">IF(Time!S11&lt;=Inputs!$F$242,Inputs!$F$241/(1+Inputs!$F$243/100)^(Inputs!$F$242-Time!S11),R7*IF(Time!S11&gt;Time!R11,1+S6/100,1))</f>
        <v>54.622524683021</v>
      </c>
      <c r="T7" s="16" t="n">
        <f aca="false">IF(Time!T11&lt;=Inputs!$F$242,Inputs!$F$241/(1+Inputs!$F$243/100)^(Inputs!$F$242-Time!T11),S7*IF(Time!T11&gt;Time!S11,1+T6/100,1))</f>
        <v>54.622524683021</v>
      </c>
      <c r="U7" s="16" t="n">
        <f aca="false">IF(Time!U11&lt;=Inputs!$F$242,Inputs!$F$241/(1+Inputs!$F$243/100)^(Inputs!$F$242-Time!U11),T7*IF(Time!U11&gt;Time!T11,1+U6/100,1))</f>
        <v>56.4796905222437</v>
      </c>
      <c r="V7" s="16" t="n">
        <f aca="false">IF(Time!V11&lt;=Inputs!$F$242,Inputs!$F$241/(1+Inputs!$F$243/100)^(Inputs!$F$242-Time!V11),U7*IF(Time!V11&gt;Time!U11,1+V6/100,1))</f>
        <v>56.4796905222437</v>
      </c>
      <c r="W7" s="16" t="n">
        <f aca="false">IF(Time!W11&lt;=Inputs!$F$242,Inputs!$F$241/(1+Inputs!$F$243/100)^(Inputs!$F$242-Time!W11),V7*IF(Time!W11&gt;Time!V11,1+W6/100,1))</f>
        <v>56.4796905222437</v>
      </c>
      <c r="X7" s="16" t="n">
        <f aca="false">IF(Time!X11&lt;=Inputs!$F$242,Inputs!$F$241/(1+Inputs!$F$243/100)^(Inputs!$F$242-Time!X11),W7*IF(Time!X11&gt;Time!W11,1+X6/100,1))</f>
        <v>56.4796905222437</v>
      </c>
      <c r="Y7" s="16" t="n">
        <f aca="false">IF(Time!Y11&lt;=Inputs!$F$242,Inputs!$F$241/(1+Inputs!$F$243/100)^(Inputs!$F$242-Time!Y11),X7*IF(Time!Y11&gt;Time!X11,1+Y6/100,1))</f>
        <v>58.4</v>
      </c>
      <c r="Z7" s="16" t="n">
        <f aca="false">IF(Time!Z11&lt;=Inputs!$F$242,Inputs!$F$241/(1+Inputs!$F$243/100)^(Inputs!$F$242-Time!Z11),Y7*IF(Time!Z11&gt;Time!Y11,1+Z6/100,1))</f>
        <v>58.4</v>
      </c>
      <c r="AA7" s="16" t="n">
        <f aca="false">IF(Time!AA11&lt;=Inputs!$F$242,Inputs!$F$241/(1+Inputs!$F$243/100)^(Inputs!$F$242-Time!AA11),Z7*IF(Time!AA11&gt;Time!Z11,1+AA6/100,1))</f>
        <v>58.4</v>
      </c>
      <c r="AB7" s="16" t="n">
        <f aca="false">IF(Time!AB11&lt;=Inputs!$F$242,Inputs!$F$241/(1+Inputs!$F$243/100)^(Inputs!$F$242-Time!AB11),AA7*IF(Time!AB11&gt;Time!AA11,1+AB6/100,1))</f>
        <v>60.3856</v>
      </c>
      <c r="AC7" s="16" t="n">
        <f aca="false">IF(Time!AC11&lt;=Inputs!$F$242,Inputs!$F$241/(1+Inputs!$F$243/100)^(Inputs!$F$242-Time!AC11),AB7*IF(Time!AC11&gt;Time!AB11,1+AC6/100,1))</f>
        <v>60.3856</v>
      </c>
      <c r="AD7" s="16" t="n">
        <f aca="false">IF(Time!AD11&lt;=Inputs!$F$242,Inputs!$F$241/(1+Inputs!$F$243/100)^(Inputs!$F$242-Time!AD11),AC7*IF(Time!AD11&gt;Time!AC11,1+AD6/100,1))</f>
        <v>62.4387104</v>
      </c>
      <c r="AE7" s="16" t="n">
        <f aca="false">IF(Time!AE11&lt;=Inputs!$F$242,Inputs!$F$241/(1+Inputs!$F$243/100)^(Inputs!$F$242-Time!AE11),AD7*IF(Time!AE11&gt;Time!AD11,1+AE6/100,1))</f>
        <v>62.4387104</v>
      </c>
      <c r="AF7" s="16" t="n">
        <f aca="false">IF(Time!AF11&lt;=Inputs!$F$242,Inputs!$F$241/(1+Inputs!$F$243/100)^(Inputs!$F$242-Time!AF11),AE7*IF(Time!AF11&gt;Time!AE11,1+AF6/100,1))</f>
        <v>64.5616265536</v>
      </c>
      <c r="AG7" s="16" t="n">
        <f aca="false">IF(Time!AG11&lt;=Inputs!$F$242,Inputs!$F$241/(1+Inputs!$F$243/100)^(Inputs!$F$242-Time!AG11),AF7*IF(Time!AG11&gt;Time!AF11,1+AG6/100,1))</f>
        <v>64.5616265536</v>
      </c>
      <c r="AH7" s="16" t="n">
        <f aca="false">IF(Time!AH11&lt;=Inputs!$F$242,Inputs!$F$241/(1+Inputs!$F$243/100)^(Inputs!$F$242-Time!AH11),AG7*IF(Time!AH11&gt;Time!AG11,1+AH6/100,1))</f>
        <v>66.7567218564224</v>
      </c>
      <c r="AI7" s="16" t="n">
        <f aca="false">IF(Time!AI11&lt;=Inputs!$F$242,Inputs!$F$241/(1+Inputs!$F$243/100)^(Inputs!$F$242-Time!AI11),AH7*IF(Time!AI11&gt;Time!AH11,1+AI6/100,1))</f>
        <v>66.7567218564224</v>
      </c>
      <c r="AJ7" s="16" t="n">
        <f aca="false">IF(Time!AJ11&lt;=Inputs!$F$242,Inputs!$F$241/(1+Inputs!$F$243/100)^(Inputs!$F$242-Time!AJ11),AI7*IF(Time!AJ11&gt;Time!AI11,1+AJ6/100,1))</f>
        <v>69.0264503995408</v>
      </c>
      <c r="AK7" s="16" t="n">
        <f aca="false">IF(Time!AK11&lt;=Inputs!$F$242,Inputs!$F$241/(1+Inputs!$F$243/100)^(Inputs!$F$242-Time!AK11),AJ7*IF(Time!AK11&gt;Time!AJ11,1+AK6/100,1))</f>
        <v>69.0264503995408</v>
      </c>
      <c r="AL7" s="16" t="n">
        <f aca="false">IF(Time!AL11&lt;=Inputs!$F$242,Inputs!$F$241/(1+Inputs!$F$243/100)^(Inputs!$F$242-Time!AL11),AK7*IF(Time!AL11&gt;Time!AK11,1+AL6/100,1))</f>
        <v>71.3733497131252</v>
      </c>
      <c r="AM7" s="16" t="n">
        <f aca="false">IF(Time!AM11&lt;=Inputs!$F$242,Inputs!$F$241/(1+Inputs!$F$243/100)^(Inputs!$F$242-Time!AM11),AL7*IF(Time!AM11&gt;Time!AL11,1+AM6/100,1))</f>
        <v>71.3733497131252</v>
      </c>
      <c r="AN7" s="16" t="n">
        <f aca="false">IF(Time!AN11&lt;=Inputs!$F$242,Inputs!$F$241/(1+Inputs!$F$243/100)^(Inputs!$F$242-Time!AN11),AM7*IF(Time!AN11&gt;Time!AM11,1+AN6/100,1))</f>
        <v>73.8000436033714</v>
      </c>
      <c r="AO7" s="16" t="n">
        <f aca="false">IF(Time!AO11&lt;=Inputs!$F$242,Inputs!$F$241/(1+Inputs!$F$243/100)^(Inputs!$F$242-Time!AO11),AN7*IF(Time!AO11&gt;Time!AN11,1+AO6/100,1))</f>
        <v>73.8000436033714</v>
      </c>
      <c r="AP7" s="16" t="n">
        <f aca="false">IF(Time!AP11&lt;=Inputs!$F$242,Inputs!$F$241/(1+Inputs!$F$243/100)^(Inputs!$F$242-Time!AP11),AO7*IF(Time!AP11&gt;Time!AO11,1+AP6/100,1))</f>
        <v>76.3092450858861</v>
      </c>
      <c r="AQ7" s="16" t="n">
        <f aca="false">IF(Time!AQ11&lt;=Inputs!$F$242,Inputs!$F$241/(1+Inputs!$F$243/100)^(Inputs!$F$242-Time!AQ11),AP7*IF(Time!AQ11&gt;Time!AP11,1+AQ6/100,1))</f>
        <v>76.3092450858861</v>
      </c>
      <c r="AR7" s="16" t="n">
        <f aca="false">IF(Time!AR11&lt;=Inputs!$F$242,Inputs!$F$241/(1+Inputs!$F$243/100)^(Inputs!$F$242-Time!AR11),AQ7*IF(Time!AR11&gt;Time!AQ11,1+AR6/100,1))</f>
        <v>78.9037594188062</v>
      </c>
      <c r="AS7" s="16" t="n">
        <f aca="false">IF(Time!AS11&lt;=Inputs!$F$242,Inputs!$F$241/(1+Inputs!$F$243/100)^(Inputs!$F$242-Time!AS11),AR7*IF(Time!AS11&gt;Time!AR11,1+AS6/100,1))</f>
        <v>78.9037594188062</v>
      </c>
      <c r="AT7" s="16" t="n">
        <f aca="false">IF(Time!AT11&lt;=Inputs!$F$242,Inputs!$F$241/(1+Inputs!$F$243/100)^(Inputs!$F$242-Time!AT11),AS7*IF(Time!AT11&gt;Time!AS11,1+AT6/100,1))</f>
        <v>81.5864872390456</v>
      </c>
      <c r="AU7" s="16" t="n">
        <f aca="false">IF(Time!AU11&lt;=Inputs!$F$242,Inputs!$F$241/(1+Inputs!$F$243/100)^(Inputs!$F$242-Time!AU11),AT7*IF(Time!AU11&gt;Time!AT11,1+AU6/100,1))</f>
        <v>81.5864872390456</v>
      </c>
      <c r="AV7" s="16" t="n">
        <f aca="false">IF(Time!AV11&lt;=Inputs!$F$242,Inputs!$F$241/(1+Inputs!$F$243/100)^(Inputs!$F$242-Time!AV11),AU7*IF(Time!AV11&gt;Time!AU11,1+AV6/100,1))</f>
        <v>84.3604278051731</v>
      </c>
      <c r="AW7" s="16" t="n">
        <f aca="false">IF(Time!AW11&lt;=Inputs!$F$242,Inputs!$F$241/(1+Inputs!$F$243/100)^(Inputs!$F$242-Time!AW11),AV7*IF(Time!AW11&gt;Time!AV11,1+AW6/100,1))</f>
        <v>84.3604278051731</v>
      </c>
      <c r="AX7" s="16" t="n">
        <f aca="false">IF(Time!AX11&lt;=Inputs!$F$242,Inputs!$F$241/(1+Inputs!$F$243/100)^(Inputs!$F$242-Time!AX11),AW7*IF(Time!AX11&gt;Time!AW11,1+AX6/100,1))</f>
        <v>86.3007176446921</v>
      </c>
      <c r="AY7" s="16" t="n">
        <f aca="false">IF(Time!AY11&lt;=Inputs!$F$242,Inputs!$F$241/(1+Inputs!$F$243/100)^(Inputs!$F$242-Time!AY11),AX7*IF(Time!AY11&gt;Time!AX11,1+AY6/100,1))</f>
        <v>86.3007176446921</v>
      </c>
      <c r="AZ7" s="16" t="n">
        <f aca="false">IF(Time!AZ11&lt;=Inputs!$F$242,Inputs!$F$241/(1+Inputs!$F$243/100)^(Inputs!$F$242-Time!AZ11),AY7*IF(Time!AZ11&gt;Time!AY11,1+AZ6/100,1))</f>
        <v>88.28563415052</v>
      </c>
      <c r="BA7" s="16" t="n">
        <f aca="false">IF(Time!BA11&lt;=Inputs!$F$242,Inputs!$F$241/(1+Inputs!$F$243/100)^(Inputs!$F$242-Time!BA11),AZ7*IF(Time!BA11&gt;Time!AZ11,1+BA6/100,1))</f>
        <v>88.28563415052</v>
      </c>
      <c r="BB7" s="16" t="n">
        <f aca="false">IF(Time!BB11&lt;=Inputs!$F$242,Inputs!$F$241/(1+Inputs!$F$243/100)^(Inputs!$F$242-Time!BB11),BA7*IF(Time!BB11&gt;Time!BA11,1+BB6/100,1))</f>
        <v>90.316203735982</v>
      </c>
      <c r="BC7" s="16" t="n">
        <f aca="false">IF(Time!BC11&lt;=Inputs!$F$242,Inputs!$F$241/(1+Inputs!$F$243/100)^(Inputs!$F$242-Time!BC11),BB7*IF(Time!BC11&gt;Time!BB11,1+BC6/100,1))</f>
        <v>90.316203735982</v>
      </c>
      <c r="BD7" s="16" t="n">
        <f aca="false">IF(Time!BD11&lt;=Inputs!$F$242,Inputs!$F$241/(1+Inputs!$F$243/100)^(Inputs!$F$242-Time!BD11),BC7*IF(Time!BD11&gt;Time!BC11,1+BD6/100,1))</f>
        <v>92.3934764219095</v>
      </c>
      <c r="BE7" s="16" t="n">
        <f aca="false">IF(Time!BE11&lt;=Inputs!$F$242,Inputs!$F$241/(1+Inputs!$F$243/100)^(Inputs!$F$242-Time!BE11),BD7*IF(Time!BE11&gt;Time!BD11,1+BE6/100,1))</f>
        <v>92.3934764219095</v>
      </c>
      <c r="BF7" s="16" t="n">
        <f aca="false">IF(Time!BF11&lt;=Inputs!$F$242,Inputs!$F$241/(1+Inputs!$F$243/100)^(Inputs!$F$242-Time!BF11),BE7*IF(Time!BF11&gt;Time!BE11,1+BF6/100,1))</f>
        <v>94.5185263796135</v>
      </c>
      <c r="BG7" s="16" t="n">
        <f aca="false">IF(Time!BG11&lt;=Inputs!$F$242,Inputs!$F$241/(1+Inputs!$F$243/100)^(Inputs!$F$242-Time!BG11),BF7*IF(Time!BG11&gt;Time!BF11,1+BG6/100,1))</f>
        <v>94.5185263796135</v>
      </c>
      <c r="BH7" s="16" t="n">
        <f aca="false">IF(Time!BH11&lt;=Inputs!$F$242,Inputs!$F$241/(1+Inputs!$F$243/100)^(Inputs!$F$242-Time!BH11),BG7*IF(Time!BH11&gt;Time!BG11,1+BH6/100,1))</f>
        <v>96.6924524863446</v>
      </c>
      <c r="BI7" s="16" t="n">
        <f aca="false">IF(Time!BI11&lt;=Inputs!$F$242,Inputs!$F$241/(1+Inputs!$F$243/100)^(Inputs!$F$242-Time!BI11),BH7*IF(Time!BI11&gt;Time!BH11,1+BI6/100,1))</f>
        <v>96.6924524863446</v>
      </c>
      <c r="BJ7" s="16" t="n">
        <f aca="false">IF(Time!BJ11&lt;=Inputs!$F$242,Inputs!$F$241/(1+Inputs!$F$243/100)^(Inputs!$F$242-Time!BJ11),BI7*IF(Time!BJ11&gt;Time!BI11,1+BJ6/100,1))</f>
        <v>98.9163788935305</v>
      </c>
      <c r="BK7" s="16" t="n">
        <f aca="false">IF(Time!BK11&lt;=Inputs!$F$242,Inputs!$F$241/(1+Inputs!$F$243/100)^(Inputs!$F$242-Time!BK11),BJ7*IF(Time!BK11&gt;Time!BJ11,1+BK6/100,1))</f>
        <v>98.9163788935305</v>
      </c>
      <c r="BL7" s="16" t="n">
        <f aca="false">IF(Time!BL11&lt;=Inputs!$F$242,Inputs!$F$241/(1+Inputs!$F$243/100)^(Inputs!$F$242-Time!BL11),BK7*IF(Time!BL11&gt;Time!BK11,1+BL6/100,1))</f>
        <v>101.191455608082</v>
      </c>
      <c r="BM7" s="16" t="n">
        <f aca="false">IF(Time!BM11&lt;=Inputs!$F$242,Inputs!$F$241/(1+Inputs!$F$243/100)^(Inputs!$F$242-Time!BM11),BL7*IF(Time!BM11&gt;Time!BL11,1+BM6/100,1))</f>
        <v>101.191455608082</v>
      </c>
      <c r="BN7" s="16" t="n">
        <f aca="false">IF(Time!BN11&lt;=Inputs!$F$242,Inputs!$F$241/(1+Inputs!$F$243/100)^(Inputs!$F$242-Time!BN11),BM7*IF(Time!BN11&gt;Time!BM11,1+BN6/100,1))</f>
        <v>103.518859087068</v>
      </c>
      <c r="BO7" s="16" t="n">
        <f aca="false">IF(Time!BO11&lt;=Inputs!$F$242,Inputs!$F$241/(1+Inputs!$F$243/100)^(Inputs!$F$242-Time!BO11),BN7*IF(Time!BO11&gt;Time!BN11,1+BO6/100,1))</f>
        <v>103.518859087068</v>
      </c>
      <c r="BP7" s="16" t="n">
        <f aca="false">IF(Time!BP11&lt;=Inputs!$F$242,Inputs!$F$241/(1+Inputs!$F$243/100)^(Inputs!$F$242-Time!BP11),BO7*IF(Time!BP11&gt;Time!BO11,1+BP6/100,1))</f>
        <v>105.89979284607</v>
      </c>
      <c r="BQ7" s="16" t="n">
        <f aca="false">IF(Time!BQ11&lt;=Inputs!$F$242,Inputs!$F$241/(1+Inputs!$F$243/100)^(Inputs!$F$242-Time!BQ11),BP7*IF(Time!BQ11&gt;Time!BP11,1+BQ6/100,1))</f>
        <v>105.89979284607</v>
      </c>
      <c r="BR7" s="16" t="n">
        <f aca="false">IF(Time!BR11&lt;=Inputs!$F$242,Inputs!$F$241/(1+Inputs!$F$243/100)^(Inputs!$F$242-Time!BR11),BQ7*IF(Time!BR11&gt;Time!BQ11,1+BR6/100,1))</f>
        <v>107.170590360223</v>
      </c>
      <c r="BS7" s="16" t="n">
        <f aca="false">IF(Time!BS11&lt;=Inputs!$F$242,Inputs!$F$241/(1+Inputs!$F$243/100)^(Inputs!$F$242-Time!BS11),BR7*IF(Time!BS11&gt;Time!BR11,1+BS6/100,1))</f>
        <v>107.170590360223</v>
      </c>
      <c r="BT7" s="16" t="n">
        <f aca="false">IF(Time!BT11&lt;=Inputs!$F$242,Inputs!$F$241/(1+Inputs!$F$243/100)^(Inputs!$F$242-Time!BT11),BS7*IF(Time!BT11&gt;Time!BS11,1+BT6/100,1))</f>
        <v>108.456637444546</v>
      </c>
      <c r="BU7" s="16" t="n">
        <f aca="false">IF(Time!BU11&lt;=Inputs!$F$242,Inputs!$F$241/(1+Inputs!$F$243/100)^(Inputs!$F$242-Time!BU11),BT7*IF(Time!BU11&gt;Time!BT11,1+BU6/100,1))</f>
        <v>108.456637444546</v>
      </c>
      <c r="BV7" s="16" t="n">
        <f aca="false">IF(Time!BV11&lt;=Inputs!$F$242,Inputs!$F$241/(1+Inputs!$F$243/100)^(Inputs!$F$242-Time!BV11),BU7*IF(Time!BV11&gt;Time!BU11,1+BV6/100,1))</f>
        <v>109.75811709388</v>
      </c>
      <c r="BW7" s="16" t="n">
        <f aca="false">IF(Time!BW11&lt;=Inputs!$F$242,Inputs!$F$241/(1+Inputs!$F$243/100)^(Inputs!$F$242-Time!BW11),BV7*IF(Time!BW11&gt;Time!BV11,1+BW6/100,1))</f>
        <v>109.75811709388</v>
      </c>
      <c r="BX7" s="16" t="n">
        <f aca="false">IF(Time!BX11&lt;=Inputs!$F$242,Inputs!$F$241/(1+Inputs!$F$243/100)^(Inputs!$F$242-Time!BX11),BW7*IF(Time!BX11&gt;Time!BW11,1+BX6/100,1))</f>
        <v>111.075214499007</v>
      </c>
      <c r="BY7" s="16" t="n">
        <f aca="false">IF(Time!BY11&lt;=Inputs!$F$242,Inputs!$F$241/(1+Inputs!$F$243/100)^(Inputs!$F$242-Time!BY11),BX7*IF(Time!BY11&gt;Time!BX11,1+BY6/100,1))</f>
        <v>111.075214499007</v>
      </c>
      <c r="BZ7" s="16" t="n">
        <f aca="false">IF(Time!BZ11&lt;=Inputs!$F$242,Inputs!$F$241/(1+Inputs!$F$243/100)^(Inputs!$F$242-Time!BZ11),BY7*IF(Time!BZ11&gt;Time!BY11,1+BZ6/100,1))</f>
        <v>112.408117072995</v>
      </c>
      <c r="CA7" s="16" t="n">
        <f aca="false">IF(Time!CA11&lt;=Inputs!$F$242,Inputs!$F$241/(1+Inputs!$F$243/100)^(Inputs!$F$242-Time!CA11),BZ7*IF(Time!CA11&gt;Time!BZ11,1+CA6/100,1))</f>
        <v>112.408117072995</v>
      </c>
      <c r="CB7" s="16" t="n">
        <f aca="false">IF(Time!CB11&lt;=Inputs!$F$242,Inputs!$F$241/(1+Inputs!$F$243/100)^(Inputs!$F$242-Time!CB11),CA7*IF(Time!CB11&gt;Time!CA11,1+CB6/100,1))</f>
        <v>113.757014477871</v>
      </c>
      <c r="CC7" s="16" t="n">
        <f aca="false">IF(Time!CC11&lt;=Inputs!$F$242,Inputs!$F$241/(1+Inputs!$F$243/100)^(Inputs!$F$242-Time!CC11),CB7*IF(Time!CC11&gt;Time!CB11,1+CC6/100,1))</f>
        <v>113.757014477871</v>
      </c>
      <c r="CD7" s="16" t="n">
        <f aca="false">IF(Time!CD11&lt;=Inputs!$F$242,Inputs!$F$241/(1+Inputs!$F$243/100)^(Inputs!$F$242-Time!CD11),CC7*IF(Time!CD11&gt;Time!CC11,1+CD6/100,1))</f>
        <v>115.122098651605</v>
      </c>
      <c r="CE7" s="16" t="n">
        <f aca="false">IF(Time!CE11&lt;=Inputs!$F$242,Inputs!$F$241/(1+Inputs!$F$243/100)^(Inputs!$F$242-Time!CE11),CD7*IF(Time!CE11&gt;Time!CD11,1+CE6/100,1))</f>
        <v>115.122098651605</v>
      </c>
      <c r="CF7" s="16" t="n">
        <f aca="false">IF(Time!CF11&lt;=Inputs!$F$242,Inputs!$F$241/(1+Inputs!$F$243/100)^(Inputs!$F$242-Time!CF11),CE7*IF(Time!CF11&gt;Time!CE11,1+CF6/100,1))</f>
        <v>116.503563835424</v>
      </c>
      <c r="CG7" s="16" t="n">
        <f aca="false">IF(Time!CG11&lt;=Inputs!$F$242,Inputs!$F$241/(1+Inputs!$F$243/100)^(Inputs!$F$242-Time!CG11),CF7*IF(Time!CG11&gt;Time!CF11,1+CG6/100,1))</f>
        <v>116.503563835424</v>
      </c>
      <c r="CH7" s="16" t="n">
        <f aca="false">IF(Time!CH11&lt;=Inputs!$F$242,Inputs!$F$241/(1+Inputs!$F$243/100)^(Inputs!$F$242-Time!CH11),CG7*IF(Time!CH11&gt;Time!CG11,1+CH6/100,1))</f>
        <v>117.90160660145</v>
      </c>
      <c r="CI7" s="16" t="n">
        <f aca="false">IF(Time!CI11&lt;=Inputs!$F$242,Inputs!$F$241/(1+Inputs!$F$243/100)^(Inputs!$F$242-Time!CI11),CH7*IF(Time!CI11&gt;Time!CH11,1+CI6/100,1))</f>
        <v>117.90160660145</v>
      </c>
      <c r="CJ7" s="16" t="n">
        <f aca="false">IF(Time!CJ11&lt;=Inputs!$F$242,Inputs!$F$241/(1+Inputs!$F$243/100)^(Inputs!$F$242-Time!CJ11),CI7*IF(Time!CJ11&gt;Time!CI11,1+CJ6/100,1))</f>
        <v>119.316425880667</v>
      </c>
      <c r="CK7" s="16" t="n">
        <f aca="false">IF(Time!CK11&lt;=Inputs!$F$242,Inputs!$F$241/(1+Inputs!$F$243/100)^(Inputs!$F$242-Time!CK11),CJ7*IF(Time!CK11&gt;Time!CJ11,1+CK6/100,1))</f>
        <v>119.316425880667</v>
      </c>
      <c r="CL7" s="16" t="n">
        <f aca="false">IF(Time!CL11&lt;=Inputs!$F$242,Inputs!$F$241/(1+Inputs!$F$243/100)^(Inputs!$F$242-Time!CL11),CK7*IF(Time!CL11&gt;Time!CK11,1+CL6/100,1))</f>
        <v>120.748222991235</v>
      </c>
      <c r="CM7" s="16" t="n">
        <f aca="false">IF(Time!CM11&lt;=Inputs!$F$242,Inputs!$F$241/(1+Inputs!$F$243/100)^(Inputs!$F$242-Time!CM11),CL7*IF(Time!CM11&gt;Time!CL11,1+CM6/100,1))</f>
        <v>120.748222991235</v>
      </c>
      <c r="CN7" s="16" t="n">
        <f aca="false">IF(Time!CN11&lt;=Inputs!$F$242,Inputs!$F$241/(1+Inputs!$F$243/100)^(Inputs!$F$242-Time!CN11),CM7*IF(Time!CN11&gt;Time!CM11,1+CN6/100,1))</f>
        <v>122.19720166713</v>
      </c>
      <c r="CO7" s="16" t="n">
        <f aca="false">IF(Time!CO11&lt;=Inputs!$F$242,Inputs!$F$241/(1+Inputs!$F$243/100)^(Inputs!$F$242-Time!CO11),CN7*IF(Time!CO11&gt;Time!CN11,1+CO6/100,1))</f>
        <v>122.19720166713</v>
      </c>
      <c r="CP7" s="16" t="n">
        <f aca="false">IF(Time!CP11&lt;=Inputs!$F$242,Inputs!$F$241/(1+Inputs!$F$243/100)^(Inputs!$F$242-Time!CP11),CO7*IF(Time!CP11&gt;Time!CO11,1+CP6/100,1))</f>
        <v>123.663568087135</v>
      </c>
      <c r="CQ7" s="16" t="n">
        <f aca="false">IF(Time!CQ11&lt;=Inputs!$F$242,Inputs!$F$241/(1+Inputs!$F$243/100)^(Inputs!$F$242-Time!CQ11),CP7*IF(Time!CQ11&gt;Time!CP11,1+CQ6/100,1))</f>
        <v>123.663568087135</v>
      </c>
      <c r="CR7" s="16" t="n">
        <f aca="false">IF(Time!CR11&lt;=Inputs!$F$242,Inputs!$F$241/(1+Inputs!$F$243/100)^(Inputs!$F$242-Time!CR11),CQ7*IF(Time!CR11&gt;Time!CQ11,1+CR6/100,1))</f>
        <v>125.147530904181</v>
      </c>
      <c r="CS7" s="16" t="n">
        <f aca="false">IF(Time!CS11&lt;=Inputs!$F$242,Inputs!$F$241/(1+Inputs!$F$243/100)^(Inputs!$F$242-Time!CS11),CR7*IF(Time!CS11&gt;Time!CR11,1+CS6/100,1))</f>
        <v>125.147530904181</v>
      </c>
      <c r="CT7" s="16" t="n">
        <f aca="false">IF(Time!CT11&lt;=Inputs!$F$242,Inputs!$F$241/(1+Inputs!$F$243/100)^(Inputs!$F$242-Time!CT11),CS7*IF(Time!CT11&gt;Time!CS11,1+CT6/100,1))</f>
        <v>126.649301275031</v>
      </c>
      <c r="CU7" s="16" t="n">
        <f aca="false">IF(Time!CU11&lt;=Inputs!$F$242,Inputs!$F$241/(1+Inputs!$F$243/100)^(Inputs!$F$242-Time!CU11),CT7*IF(Time!CU11&gt;Time!CT11,1+CU6/100,1))</f>
        <v>126.649301275031</v>
      </c>
      <c r="CV7" s="16" t="n">
        <f aca="false">IF(Time!CV11&lt;=Inputs!$F$242,Inputs!$F$241/(1+Inputs!$F$243/100)^(Inputs!$F$242-Time!CV11),CU7*IF(Time!CV11&gt;Time!CU11,1+CV6/100,1))</f>
        <v>128.169092890331</v>
      </c>
      <c r="CW7" s="16" t="n">
        <f aca="false">IF(Time!CW11&lt;=Inputs!$F$242,Inputs!$F$241/(1+Inputs!$F$243/100)^(Inputs!$F$242-Time!CW11),CV7*IF(Time!CW11&gt;Time!CV11,1+CW6/100,1))</f>
        <v>128.169092890331</v>
      </c>
      <c r="CX7" s="16" t="n">
        <f aca="false">IF(Time!CX11&lt;=Inputs!$F$242,Inputs!$F$241/(1+Inputs!$F$243/100)^(Inputs!$F$242-Time!CX11),CW7*IF(Time!CX11&gt;Time!CW11,1+CX6/100,1))</f>
        <v>129.707122005015</v>
      </c>
      <c r="CY7" s="16" t="n">
        <f aca="false">IF(Time!CY11&lt;=Inputs!$F$242,Inputs!$F$241/(1+Inputs!$F$243/100)^(Inputs!$F$242-Time!CY11),CX7*IF(Time!CY11&gt;Time!CX11,1+CY6/100,1))</f>
        <v>129.707122005015</v>
      </c>
      <c r="CZ7" s="16" t="n">
        <f aca="false">IF(Time!CZ11&lt;=Inputs!$F$242,Inputs!$F$241/(1+Inputs!$F$243/100)^(Inputs!$F$242-Time!CZ11),CY7*IF(Time!CZ11&gt;Time!CY11,1+CZ6/100,1))</f>
        <v>131.263607469076</v>
      </c>
      <c r="DA7" s="16" t="n">
        <f aca="false">IF(Time!DA11&lt;=Inputs!$F$242,Inputs!$F$241/(1+Inputs!$F$243/100)^(Inputs!$F$242-Time!DA11),CZ7*IF(Time!DA11&gt;Time!CZ11,1+DA6/100,1))</f>
        <v>131.263607469076</v>
      </c>
      <c r="DB7" s="16" t="n">
        <f aca="false">IF(Time!DB11&lt;=Inputs!$F$242,Inputs!$F$241/(1+Inputs!$F$243/100)^(Inputs!$F$242-Time!DB11),DA7*IF(Time!DB11&gt;Time!DA11,1+DB6/100,1))</f>
        <v>132.838770758705</v>
      </c>
    </row>
    <row r="8" customFormat="false" ht="15" hidden="false" customHeight="false" outlineLevel="0" collapsed="false">
      <c r="D8" s="0" t="s">
        <v>379</v>
      </c>
      <c r="E8" s="0" t="s">
        <v>89</v>
      </c>
      <c r="J8" s="14" t="n">
        <f aca="false">MAX(Inputs!$F$57,MIN(Inputs!$F$58,Time!J11-Inputs!$F$219))</f>
        <v>2019</v>
      </c>
      <c r="K8" s="14" t="n">
        <f aca="false">MAX(Inputs!$F$57,MIN(Inputs!$F$58,Time!K11-Inputs!$F$219))</f>
        <v>2019</v>
      </c>
      <c r="L8" s="14" t="n">
        <f aca="false">MAX(Inputs!$F$57,MIN(Inputs!$F$58,Time!L11-Inputs!$F$219))</f>
        <v>2019</v>
      </c>
      <c r="M8" s="14" t="n">
        <f aca="false">MAX(Inputs!$F$57,MIN(Inputs!$F$58,Time!M11-Inputs!$F$219))</f>
        <v>2019</v>
      </c>
      <c r="N8" s="14" t="n">
        <f aca="false">MAX(Inputs!$F$57,MIN(Inputs!$F$58,Time!N11-Inputs!$F$219))</f>
        <v>2019</v>
      </c>
      <c r="O8" s="14" t="n">
        <f aca="false">MAX(Inputs!$F$57,MIN(Inputs!$F$58,Time!O11-Inputs!$F$219))</f>
        <v>2019</v>
      </c>
      <c r="P8" s="14" t="n">
        <f aca="false">MAX(Inputs!$F$57,MIN(Inputs!$F$58,Time!P11-Inputs!$F$219))</f>
        <v>2019</v>
      </c>
      <c r="Q8" s="14" t="n">
        <f aca="false">MAX(Inputs!$F$57,MIN(Inputs!$F$58,Time!Q11-Inputs!$F$219))</f>
        <v>2019</v>
      </c>
      <c r="R8" s="14" t="n">
        <f aca="false">MAX(Inputs!$F$57,MIN(Inputs!$F$58,Time!R11-Inputs!$F$219))</f>
        <v>2019</v>
      </c>
      <c r="S8" s="14" t="n">
        <f aca="false">MAX(Inputs!$F$57,MIN(Inputs!$F$58,Time!S11-Inputs!$F$219))</f>
        <v>2019</v>
      </c>
      <c r="T8" s="14" t="n">
        <f aca="false">MAX(Inputs!$F$57,MIN(Inputs!$F$58,Time!T11-Inputs!$F$219))</f>
        <v>2019</v>
      </c>
      <c r="U8" s="14" t="n">
        <f aca="false">MAX(Inputs!$F$57,MIN(Inputs!$F$58,Time!U11-Inputs!$F$219))</f>
        <v>2019</v>
      </c>
      <c r="V8" s="14" t="n">
        <f aca="false">MAX(Inputs!$F$57,MIN(Inputs!$F$58,Time!V11-Inputs!$F$219))</f>
        <v>2019</v>
      </c>
      <c r="W8" s="14" t="n">
        <f aca="false">MAX(Inputs!$F$57,MIN(Inputs!$F$58,Time!W11-Inputs!$F$219))</f>
        <v>2019</v>
      </c>
      <c r="X8" s="14" t="n">
        <f aca="false">MAX(Inputs!$F$57,MIN(Inputs!$F$58,Time!X11-Inputs!$F$219))</f>
        <v>2019</v>
      </c>
      <c r="Y8" s="14" t="n">
        <f aca="false">MAX(Inputs!$F$57,MIN(Inputs!$F$58,Time!Y11-Inputs!$F$219))</f>
        <v>2019</v>
      </c>
      <c r="Z8" s="14" t="n">
        <f aca="false">MAX(Inputs!$F$57,MIN(Inputs!$F$58,Time!Z11-Inputs!$F$219))</f>
        <v>2019</v>
      </c>
      <c r="AA8" s="14" t="n">
        <f aca="false">MAX(Inputs!$F$57,MIN(Inputs!$F$58,Time!AA11-Inputs!$F$219))</f>
        <v>2019</v>
      </c>
      <c r="AB8" s="14" t="n">
        <f aca="false">MAX(Inputs!$F$57,MIN(Inputs!$F$58,Time!AB11-Inputs!$F$219))</f>
        <v>2020</v>
      </c>
      <c r="AC8" s="14" t="n">
        <f aca="false">MAX(Inputs!$F$57,MIN(Inputs!$F$58,Time!AC11-Inputs!$F$219))</f>
        <v>2020</v>
      </c>
      <c r="AD8" s="14" t="n">
        <f aca="false">MAX(Inputs!$F$57,MIN(Inputs!$F$58,Time!AD11-Inputs!$F$219))</f>
        <v>2021</v>
      </c>
      <c r="AE8" s="14" t="n">
        <f aca="false">MAX(Inputs!$F$57,MIN(Inputs!$F$58,Time!AE11-Inputs!$F$219))</f>
        <v>2021</v>
      </c>
      <c r="AF8" s="14" t="n">
        <f aca="false">MAX(Inputs!$F$57,MIN(Inputs!$F$58,Time!AF11-Inputs!$F$219))</f>
        <v>2022</v>
      </c>
      <c r="AG8" s="14" t="n">
        <f aca="false">MAX(Inputs!$F$57,MIN(Inputs!$F$58,Time!AG11-Inputs!$F$219))</f>
        <v>2022</v>
      </c>
      <c r="AH8" s="14" t="n">
        <f aca="false">MAX(Inputs!$F$57,MIN(Inputs!$F$58,Time!AH11-Inputs!$F$219))</f>
        <v>2023</v>
      </c>
      <c r="AI8" s="14" t="n">
        <f aca="false">MAX(Inputs!$F$57,MIN(Inputs!$F$58,Time!AI11-Inputs!$F$219))</f>
        <v>2023</v>
      </c>
      <c r="AJ8" s="14" t="n">
        <f aca="false">MAX(Inputs!$F$57,MIN(Inputs!$F$58,Time!AJ11-Inputs!$F$219))</f>
        <v>2023</v>
      </c>
      <c r="AK8" s="14" t="n">
        <f aca="false">MAX(Inputs!$F$57,MIN(Inputs!$F$58,Time!AK11-Inputs!$F$219))</f>
        <v>2023</v>
      </c>
      <c r="AL8" s="14" t="n">
        <f aca="false">MAX(Inputs!$F$57,MIN(Inputs!$F$58,Time!AL11-Inputs!$F$219))</f>
        <v>2023</v>
      </c>
      <c r="AM8" s="14" t="n">
        <f aca="false">MAX(Inputs!$F$57,MIN(Inputs!$F$58,Time!AM11-Inputs!$F$219))</f>
        <v>2023</v>
      </c>
      <c r="AN8" s="14" t="n">
        <f aca="false">MAX(Inputs!$F$57,MIN(Inputs!$F$58,Time!AN11-Inputs!$F$219))</f>
        <v>2023</v>
      </c>
      <c r="AO8" s="14" t="n">
        <f aca="false">MAX(Inputs!$F$57,MIN(Inputs!$F$58,Time!AO11-Inputs!$F$219))</f>
        <v>2023</v>
      </c>
      <c r="AP8" s="14" t="n">
        <f aca="false">MAX(Inputs!$F$57,MIN(Inputs!$F$58,Time!AP11-Inputs!$F$219))</f>
        <v>2023</v>
      </c>
      <c r="AQ8" s="14" t="n">
        <f aca="false">MAX(Inputs!$F$57,MIN(Inputs!$F$58,Time!AQ11-Inputs!$F$219))</f>
        <v>2023</v>
      </c>
      <c r="AR8" s="14" t="n">
        <f aca="false">MAX(Inputs!$F$57,MIN(Inputs!$F$58,Time!AR11-Inputs!$F$219))</f>
        <v>2023</v>
      </c>
      <c r="AS8" s="14" t="n">
        <f aca="false">MAX(Inputs!$F$57,MIN(Inputs!$F$58,Time!AS11-Inputs!$F$219))</f>
        <v>2023</v>
      </c>
      <c r="AT8" s="14" t="n">
        <f aca="false">MAX(Inputs!$F$57,MIN(Inputs!$F$58,Time!AT11-Inputs!$F$219))</f>
        <v>2023</v>
      </c>
      <c r="AU8" s="14" t="n">
        <f aca="false">MAX(Inputs!$F$57,MIN(Inputs!$F$58,Time!AU11-Inputs!$F$219))</f>
        <v>2023</v>
      </c>
      <c r="AV8" s="14" t="n">
        <f aca="false">MAX(Inputs!$F$57,MIN(Inputs!$F$58,Time!AV11-Inputs!$F$219))</f>
        <v>2023</v>
      </c>
      <c r="AW8" s="14" t="n">
        <f aca="false">MAX(Inputs!$F$57,MIN(Inputs!$F$58,Time!AW11-Inputs!$F$219))</f>
        <v>2023</v>
      </c>
      <c r="AX8" s="14" t="n">
        <f aca="false">MAX(Inputs!$F$57,MIN(Inputs!$F$58,Time!AX11-Inputs!$F$219))</f>
        <v>2023</v>
      </c>
      <c r="AY8" s="14" t="n">
        <f aca="false">MAX(Inputs!$F$57,MIN(Inputs!$F$58,Time!AY11-Inputs!$F$219))</f>
        <v>2023</v>
      </c>
      <c r="AZ8" s="14" t="n">
        <f aca="false">MAX(Inputs!$F$57,MIN(Inputs!$F$58,Time!AZ11-Inputs!$F$219))</f>
        <v>2023</v>
      </c>
      <c r="BA8" s="14" t="n">
        <f aca="false">MAX(Inputs!$F$57,MIN(Inputs!$F$58,Time!BA11-Inputs!$F$219))</f>
        <v>2023</v>
      </c>
      <c r="BB8" s="14" t="n">
        <f aca="false">MAX(Inputs!$F$57,MIN(Inputs!$F$58,Time!BB11-Inputs!$F$219))</f>
        <v>2023</v>
      </c>
      <c r="BC8" s="14" t="n">
        <f aca="false">MAX(Inputs!$F$57,MIN(Inputs!$F$58,Time!BC11-Inputs!$F$219))</f>
        <v>2023</v>
      </c>
      <c r="BD8" s="14" t="n">
        <f aca="false">MAX(Inputs!$F$57,MIN(Inputs!$F$58,Time!BD11-Inputs!$F$219))</f>
        <v>2023</v>
      </c>
      <c r="BE8" s="14" t="n">
        <f aca="false">MAX(Inputs!$F$57,MIN(Inputs!$F$58,Time!BE11-Inputs!$F$219))</f>
        <v>2023</v>
      </c>
      <c r="BF8" s="14" t="n">
        <f aca="false">MAX(Inputs!$F$57,MIN(Inputs!$F$58,Time!BF11-Inputs!$F$219))</f>
        <v>2023</v>
      </c>
      <c r="BG8" s="14" t="n">
        <f aca="false">MAX(Inputs!$F$57,MIN(Inputs!$F$58,Time!BG11-Inputs!$F$219))</f>
        <v>2023</v>
      </c>
      <c r="BH8" s="14" t="n">
        <f aca="false">MAX(Inputs!$F$57,MIN(Inputs!$F$58,Time!BH11-Inputs!$F$219))</f>
        <v>2023</v>
      </c>
      <c r="BI8" s="14" t="n">
        <f aca="false">MAX(Inputs!$F$57,MIN(Inputs!$F$58,Time!BI11-Inputs!$F$219))</f>
        <v>2023</v>
      </c>
      <c r="BJ8" s="14" t="n">
        <f aca="false">MAX(Inputs!$F$57,MIN(Inputs!$F$58,Time!BJ11-Inputs!$F$219))</f>
        <v>2023</v>
      </c>
      <c r="BK8" s="14" t="n">
        <f aca="false">MAX(Inputs!$F$57,MIN(Inputs!$F$58,Time!BK11-Inputs!$F$219))</f>
        <v>2023</v>
      </c>
      <c r="BL8" s="14" t="n">
        <f aca="false">MAX(Inputs!$F$57,MIN(Inputs!$F$58,Time!BL11-Inputs!$F$219))</f>
        <v>2023</v>
      </c>
      <c r="BM8" s="14" t="n">
        <f aca="false">MAX(Inputs!$F$57,MIN(Inputs!$F$58,Time!BM11-Inputs!$F$219))</f>
        <v>2023</v>
      </c>
      <c r="BN8" s="14" t="n">
        <f aca="false">MAX(Inputs!$F$57,MIN(Inputs!$F$58,Time!BN11-Inputs!$F$219))</f>
        <v>2023</v>
      </c>
      <c r="BO8" s="14" t="n">
        <f aca="false">MAX(Inputs!$F$57,MIN(Inputs!$F$58,Time!BO11-Inputs!$F$219))</f>
        <v>2023</v>
      </c>
      <c r="BP8" s="14" t="n">
        <f aca="false">MAX(Inputs!$F$57,MIN(Inputs!$F$58,Time!BP11-Inputs!$F$219))</f>
        <v>2023</v>
      </c>
      <c r="BQ8" s="14" t="n">
        <f aca="false">MAX(Inputs!$F$57,MIN(Inputs!$F$58,Time!BQ11-Inputs!$F$219))</f>
        <v>2023</v>
      </c>
      <c r="BR8" s="14" t="n">
        <f aca="false">MAX(Inputs!$F$57,MIN(Inputs!$F$58,Time!BR11-Inputs!$F$219))</f>
        <v>2023</v>
      </c>
      <c r="BS8" s="14" t="n">
        <f aca="false">MAX(Inputs!$F$57,MIN(Inputs!$F$58,Time!BS11-Inputs!$F$219))</f>
        <v>2023</v>
      </c>
      <c r="BT8" s="14" t="n">
        <f aca="false">MAX(Inputs!$F$57,MIN(Inputs!$F$58,Time!BT11-Inputs!$F$219))</f>
        <v>2023</v>
      </c>
      <c r="BU8" s="14" t="n">
        <f aca="false">MAX(Inputs!$F$57,MIN(Inputs!$F$58,Time!BU11-Inputs!$F$219))</f>
        <v>2023</v>
      </c>
      <c r="BV8" s="14" t="n">
        <f aca="false">MAX(Inputs!$F$57,MIN(Inputs!$F$58,Time!BV11-Inputs!$F$219))</f>
        <v>2023</v>
      </c>
      <c r="BW8" s="14" t="n">
        <f aca="false">MAX(Inputs!$F$57,MIN(Inputs!$F$58,Time!BW11-Inputs!$F$219))</f>
        <v>2023</v>
      </c>
      <c r="BX8" s="14" t="n">
        <f aca="false">MAX(Inputs!$F$57,MIN(Inputs!$F$58,Time!BX11-Inputs!$F$219))</f>
        <v>2023</v>
      </c>
      <c r="BY8" s="14" t="n">
        <f aca="false">MAX(Inputs!$F$57,MIN(Inputs!$F$58,Time!BY11-Inputs!$F$219))</f>
        <v>2023</v>
      </c>
      <c r="BZ8" s="14" t="n">
        <f aca="false">MAX(Inputs!$F$57,MIN(Inputs!$F$58,Time!BZ11-Inputs!$F$219))</f>
        <v>2023</v>
      </c>
      <c r="CA8" s="14" t="n">
        <f aca="false">MAX(Inputs!$F$57,MIN(Inputs!$F$58,Time!CA11-Inputs!$F$219))</f>
        <v>2023</v>
      </c>
      <c r="CB8" s="14" t="n">
        <f aca="false">MAX(Inputs!$F$57,MIN(Inputs!$F$58,Time!CB11-Inputs!$F$219))</f>
        <v>2023</v>
      </c>
      <c r="CC8" s="14" t="n">
        <f aca="false">MAX(Inputs!$F$57,MIN(Inputs!$F$58,Time!CC11-Inputs!$F$219))</f>
        <v>2023</v>
      </c>
      <c r="CD8" s="14" t="n">
        <f aca="false">MAX(Inputs!$F$57,MIN(Inputs!$F$58,Time!CD11-Inputs!$F$219))</f>
        <v>2023</v>
      </c>
      <c r="CE8" s="14" t="n">
        <f aca="false">MAX(Inputs!$F$57,MIN(Inputs!$F$58,Time!CE11-Inputs!$F$219))</f>
        <v>2023</v>
      </c>
      <c r="CF8" s="14" t="n">
        <f aca="false">MAX(Inputs!$F$57,MIN(Inputs!$F$58,Time!CF11-Inputs!$F$219))</f>
        <v>2023</v>
      </c>
      <c r="CG8" s="14" t="n">
        <f aca="false">MAX(Inputs!$F$57,MIN(Inputs!$F$58,Time!CG11-Inputs!$F$219))</f>
        <v>2023</v>
      </c>
      <c r="CH8" s="14" t="n">
        <f aca="false">MAX(Inputs!$F$57,MIN(Inputs!$F$58,Time!CH11-Inputs!$F$219))</f>
        <v>2023</v>
      </c>
      <c r="CI8" s="14" t="n">
        <f aca="false">MAX(Inputs!$F$57,MIN(Inputs!$F$58,Time!CI11-Inputs!$F$219))</f>
        <v>2023</v>
      </c>
      <c r="CJ8" s="14" t="n">
        <f aca="false">MAX(Inputs!$F$57,MIN(Inputs!$F$58,Time!CJ11-Inputs!$F$219))</f>
        <v>2023</v>
      </c>
      <c r="CK8" s="14" t="n">
        <f aca="false">MAX(Inputs!$F$57,MIN(Inputs!$F$58,Time!CK11-Inputs!$F$219))</f>
        <v>2023</v>
      </c>
      <c r="CL8" s="14" t="n">
        <f aca="false">MAX(Inputs!$F$57,MIN(Inputs!$F$58,Time!CL11-Inputs!$F$219))</f>
        <v>2023</v>
      </c>
      <c r="CM8" s="14" t="n">
        <f aca="false">MAX(Inputs!$F$57,MIN(Inputs!$F$58,Time!CM11-Inputs!$F$219))</f>
        <v>2023</v>
      </c>
      <c r="CN8" s="14" t="n">
        <f aca="false">MAX(Inputs!$F$57,MIN(Inputs!$F$58,Time!CN11-Inputs!$F$219))</f>
        <v>2023</v>
      </c>
      <c r="CO8" s="14" t="n">
        <f aca="false">MAX(Inputs!$F$57,MIN(Inputs!$F$58,Time!CO11-Inputs!$F$219))</f>
        <v>2023</v>
      </c>
      <c r="CP8" s="14" t="n">
        <f aca="false">MAX(Inputs!$F$57,MIN(Inputs!$F$58,Time!CP11-Inputs!$F$219))</f>
        <v>2023</v>
      </c>
      <c r="CQ8" s="14" t="n">
        <f aca="false">MAX(Inputs!$F$57,MIN(Inputs!$F$58,Time!CQ11-Inputs!$F$219))</f>
        <v>2023</v>
      </c>
      <c r="CR8" s="14" t="n">
        <f aca="false">MAX(Inputs!$F$57,MIN(Inputs!$F$58,Time!CR11-Inputs!$F$219))</f>
        <v>2023</v>
      </c>
      <c r="CS8" s="14" t="n">
        <f aca="false">MAX(Inputs!$F$57,MIN(Inputs!$F$58,Time!CS11-Inputs!$F$219))</f>
        <v>2023</v>
      </c>
      <c r="CT8" s="14" t="n">
        <f aca="false">MAX(Inputs!$F$57,MIN(Inputs!$F$58,Time!CT11-Inputs!$F$219))</f>
        <v>2023</v>
      </c>
      <c r="CU8" s="14" t="n">
        <f aca="false">MAX(Inputs!$F$57,MIN(Inputs!$F$58,Time!CU11-Inputs!$F$219))</f>
        <v>2023</v>
      </c>
      <c r="CV8" s="14" t="n">
        <f aca="false">MAX(Inputs!$F$57,MIN(Inputs!$F$58,Time!CV11-Inputs!$F$219))</f>
        <v>2023</v>
      </c>
      <c r="CW8" s="14" t="n">
        <f aca="false">MAX(Inputs!$F$57,MIN(Inputs!$F$58,Time!CW11-Inputs!$F$219))</f>
        <v>2023</v>
      </c>
      <c r="CX8" s="14" t="n">
        <f aca="false">MAX(Inputs!$F$57,MIN(Inputs!$F$58,Time!CX11-Inputs!$F$219))</f>
        <v>2023</v>
      </c>
      <c r="CY8" s="14" t="n">
        <f aca="false">MAX(Inputs!$F$57,MIN(Inputs!$F$58,Time!CY11-Inputs!$F$219))</f>
        <v>2023</v>
      </c>
      <c r="CZ8" s="14" t="n">
        <f aca="false">MAX(Inputs!$F$57,MIN(Inputs!$F$58,Time!CZ11-Inputs!$F$219))</f>
        <v>2023</v>
      </c>
      <c r="DA8" s="14" t="n">
        <f aca="false">MAX(Inputs!$F$57,MIN(Inputs!$F$58,Time!DA11-Inputs!$F$219))</f>
        <v>2023</v>
      </c>
      <c r="DB8" s="14" t="n">
        <f aca="false">MAX(Inputs!$F$57,MIN(Inputs!$F$58,Time!DB11-Inputs!$F$219))</f>
        <v>2023</v>
      </c>
    </row>
    <row r="9" customFormat="false" ht="15" hidden="false" customHeight="false" outlineLevel="0" collapsed="false">
      <c r="D9" s="0" t="s">
        <v>380</v>
      </c>
      <c r="E9" s="0" t="s">
        <v>171</v>
      </c>
      <c r="J9" s="16" t="n">
        <f aca="false">CHOOSE(J8-Inputs!$F$57+1,Inputs!$F$248,Inputs!$F$249,Inputs!$F$250,Inputs!$F$251,Inputs!$F$252)</f>
        <v>0.8</v>
      </c>
      <c r="K9" s="16" t="n">
        <f aca="false">CHOOSE(K8-Inputs!$F$57+1,Inputs!$F$248,Inputs!$F$249,Inputs!$F$250,Inputs!$F$251,Inputs!$F$252)</f>
        <v>0.8</v>
      </c>
      <c r="L9" s="16" t="n">
        <f aca="false">CHOOSE(L8-Inputs!$F$57+1,Inputs!$F$248,Inputs!$F$249,Inputs!$F$250,Inputs!$F$251,Inputs!$F$252)</f>
        <v>0.8</v>
      </c>
      <c r="M9" s="16" t="n">
        <f aca="false">CHOOSE(M8-Inputs!$F$57+1,Inputs!$F$248,Inputs!$F$249,Inputs!$F$250,Inputs!$F$251,Inputs!$F$252)</f>
        <v>0.8</v>
      </c>
      <c r="N9" s="16" t="n">
        <f aca="false">CHOOSE(N8-Inputs!$F$57+1,Inputs!$F$248,Inputs!$F$249,Inputs!$F$250,Inputs!$F$251,Inputs!$F$252)</f>
        <v>0.8</v>
      </c>
      <c r="O9" s="16" t="n">
        <f aca="false">CHOOSE(O8-Inputs!$F$57+1,Inputs!$F$248,Inputs!$F$249,Inputs!$F$250,Inputs!$F$251,Inputs!$F$252)</f>
        <v>0.8</v>
      </c>
      <c r="P9" s="16" t="n">
        <f aca="false">CHOOSE(P8-Inputs!$F$57+1,Inputs!$F$248,Inputs!$F$249,Inputs!$F$250,Inputs!$F$251,Inputs!$F$252)</f>
        <v>0.8</v>
      </c>
      <c r="Q9" s="16" t="n">
        <f aca="false">CHOOSE(Q8-Inputs!$F$57+1,Inputs!$F$248,Inputs!$F$249,Inputs!$F$250,Inputs!$F$251,Inputs!$F$252)</f>
        <v>0.8</v>
      </c>
      <c r="R9" s="16" t="n">
        <f aca="false">CHOOSE(R8-Inputs!$F$57+1,Inputs!$F$248,Inputs!$F$249,Inputs!$F$250,Inputs!$F$251,Inputs!$F$252)</f>
        <v>0.8</v>
      </c>
      <c r="S9" s="16" t="n">
        <f aca="false">CHOOSE(S8-Inputs!$F$57+1,Inputs!$F$248,Inputs!$F$249,Inputs!$F$250,Inputs!$F$251,Inputs!$F$252)</f>
        <v>0.8</v>
      </c>
      <c r="T9" s="16" t="n">
        <f aca="false">CHOOSE(T8-Inputs!$F$57+1,Inputs!$F$248,Inputs!$F$249,Inputs!$F$250,Inputs!$F$251,Inputs!$F$252)</f>
        <v>0.8</v>
      </c>
      <c r="U9" s="16" t="n">
        <f aca="false">CHOOSE(U8-Inputs!$F$57+1,Inputs!$F$248,Inputs!$F$249,Inputs!$F$250,Inputs!$F$251,Inputs!$F$252)</f>
        <v>0.8</v>
      </c>
      <c r="V9" s="16" t="n">
        <f aca="false">CHOOSE(V8-Inputs!$F$57+1,Inputs!$F$248,Inputs!$F$249,Inputs!$F$250,Inputs!$F$251,Inputs!$F$252)</f>
        <v>0.8</v>
      </c>
      <c r="W9" s="16" t="n">
        <f aca="false">CHOOSE(W8-Inputs!$F$57+1,Inputs!$F$248,Inputs!$F$249,Inputs!$F$250,Inputs!$F$251,Inputs!$F$252)</f>
        <v>0.8</v>
      </c>
      <c r="X9" s="16" t="n">
        <f aca="false">CHOOSE(X8-Inputs!$F$57+1,Inputs!$F$248,Inputs!$F$249,Inputs!$F$250,Inputs!$F$251,Inputs!$F$252)</f>
        <v>0.8</v>
      </c>
      <c r="Y9" s="16" t="n">
        <f aca="false">CHOOSE(Y8-Inputs!$F$57+1,Inputs!$F$248,Inputs!$F$249,Inputs!$F$250,Inputs!$F$251,Inputs!$F$252)</f>
        <v>0.8</v>
      </c>
      <c r="Z9" s="16" t="n">
        <f aca="false">CHOOSE(Z8-Inputs!$F$57+1,Inputs!$F$248,Inputs!$F$249,Inputs!$F$250,Inputs!$F$251,Inputs!$F$252)</f>
        <v>0.8</v>
      </c>
      <c r="AA9" s="16" t="n">
        <f aca="false">CHOOSE(AA8-Inputs!$F$57+1,Inputs!$F$248,Inputs!$F$249,Inputs!$F$250,Inputs!$F$251,Inputs!$F$252)</f>
        <v>0.8</v>
      </c>
      <c r="AB9" s="16" t="n">
        <f aca="false">CHOOSE(AB8-Inputs!$F$57+1,Inputs!$F$248,Inputs!$F$249,Inputs!$F$250,Inputs!$F$251,Inputs!$F$252)</f>
        <v>0.9</v>
      </c>
      <c r="AC9" s="16" t="n">
        <f aca="false">CHOOSE(AC8-Inputs!$F$57+1,Inputs!$F$248,Inputs!$F$249,Inputs!$F$250,Inputs!$F$251,Inputs!$F$252)</f>
        <v>0.9</v>
      </c>
      <c r="AD9" s="16" t="n">
        <f aca="false">CHOOSE(AD8-Inputs!$F$57+1,Inputs!$F$248,Inputs!$F$249,Inputs!$F$250,Inputs!$F$251,Inputs!$F$252)</f>
        <v>0.96</v>
      </c>
      <c r="AE9" s="16" t="n">
        <f aca="false">CHOOSE(AE8-Inputs!$F$57+1,Inputs!$F$248,Inputs!$F$249,Inputs!$F$250,Inputs!$F$251,Inputs!$F$252)</f>
        <v>0.96</v>
      </c>
      <c r="AF9" s="16" t="n">
        <f aca="false">CHOOSE(AF8-Inputs!$F$57+1,Inputs!$F$248,Inputs!$F$249,Inputs!$F$250,Inputs!$F$251,Inputs!$F$252)</f>
        <v>1</v>
      </c>
      <c r="AG9" s="16" t="n">
        <f aca="false">CHOOSE(AG8-Inputs!$F$57+1,Inputs!$F$248,Inputs!$F$249,Inputs!$F$250,Inputs!$F$251,Inputs!$F$252)</f>
        <v>1</v>
      </c>
      <c r="AH9" s="16" t="n">
        <f aca="false">CHOOSE(AH8-Inputs!$F$57+1,Inputs!$F$248,Inputs!$F$249,Inputs!$F$250,Inputs!$F$251,Inputs!$F$252)</f>
        <v>1</v>
      </c>
      <c r="AI9" s="16" t="n">
        <f aca="false">CHOOSE(AI8-Inputs!$F$57+1,Inputs!$F$248,Inputs!$F$249,Inputs!$F$250,Inputs!$F$251,Inputs!$F$252)</f>
        <v>1</v>
      </c>
      <c r="AJ9" s="16" t="n">
        <f aca="false">CHOOSE(AJ8-Inputs!$F$57+1,Inputs!$F$248,Inputs!$F$249,Inputs!$F$250,Inputs!$F$251,Inputs!$F$252)</f>
        <v>1</v>
      </c>
      <c r="AK9" s="16" t="n">
        <f aca="false">CHOOSE(AK8-Inputs!$F$57+1,Inputs!$F$248,Inputs!$F$249,Inputs!$F$250,Inputs!$F$251,Inputs!$F$252)</f>
        <v>1</v>
      </c>
      <c r="AL9" s="16" t="n">
        <f aca="false">CHOOSE(AL8-Inputs!$F$57+1,Inputs!$F$248,Inputs!$F$249,Inputs!$F$250,Inputs!$F$251,Inputs!$F$252)</f>
        <v>1</v>
      </c>
      <c r="AM9" s="16" t="n">
        <f aca="false">CHOOSE(AM8-Inputs!$F$57+1,Inputs!$F$248,Inputs!$F$249,Inputs!$F$250,Inputs!$F$251,Inputs!$F$252)</f>
        <v>1</v>
      </c>
      <c r="AN9" s="16" t="n">
        <f aca="false">CHOOSE(AN8-Inputs!$F$57+1,Inputs!$F$248,Inputs!$F$249,Inputs!$F$250,Inputs!$F$251,Inputs!$F$252)</f>
        <v>1</v>
      </c>
      <c r="AO9" s="16" t="n">
        <f aca="false">CHOOSE(AO8-Inputs!$F$57+1,Inputs!$F$248,Inputs!$F$249,Inputs!$F$250,Inputs!$F$251,Inputs!$F$252)</f>
        <v>1</v>
      </c>
      <c r="AP9" s="16" t="n">
        <f aca="false">CHOOSE(AP8-Inputs!$F$57+1,Inputs!$F$248,Inputs!$F$249,Inputs!$F$250,Inputs!$F$251,Inputs!$F$252)</f>
        <v>1</v>
      </c>
      <c r="AQ9" s="16" t="n">
        <f aca="false">CHOOSE(AQ8-Inputs!$F$57+1,Inputs!$F$248,Inputs!$F$249,Inputs!$F$250,Inputs!$F$251,Inputs!$F$252)</f>
        <v>1</v>
      </c>
      <c r="AR9" s="16" t="n">
        <f aca="false">CHOOSE(AR8-Inputs!$F$57+1,Inputs!$F$248,Inputs!$F$249,Inputs!$F$250,Inputs!$F$251,Inputs!$F$252)</f>
        <v>1</v>
      </c>
      <c r="AS9" s="16" t="n">
        <f aca="false">CHOOSE(AS8-Inputs!$F$57+1,Inputs!$F$248,Inputs!$F$249,Inputs!$F$250,Inputs!$F$251,Inputs!$F$252)</f>
        <v>1</v>
      </c>
      <c r="AT9" s="16" t="n">
        <f aca="false">CHOOSE(AT8-Inputs!$F$57+1,Inputs!$F$248,Inputs!$F$249,Inputs!$F$250,Inputs!$F$251,Inputs!$F$252)</f>
        <v>1</v>
      </c>
      <c r="AU9" s="16" t="n">
        <f aca="false">CHOOSE(AU8-Inputs!$F$57+1,Inputs!$F$248,Inputs!$F$249,Inputs!$F$250,Inputs!$F$251,Inputs!$F$252)</f>
        <v>1</v>
      </c>
      <c r="AV9" s="16" t="n">
        <f aca="false">CHOOSE(AV8-Inputs!$F$57+1,Inputs!$F$248,Inputs!$F$249,Inputs!$F$250,Inputs!$F$251,Inputs!$F$252)</f>
        <v>1</v>
      </c>
      <c r="AW9" s="16" t="n">
        <f aca="false">CHOOSE(AW8-Inputs!$F$57+1,Inputs!$F$248,Inputs!$F$249,Inputs!$F$250,Inputs!$F$251,Inputs!$F$252)</f>
        <v>1</v>
      </c>
      <c r="AX9" s="16" t="n">
        <f aca="false">CHOOSE(AX8-Inputs!$F$57+1,Inputs!$F$248,Inputs!$F$249,Inputs!$F$250,Inputs!$F$251,Inputs!$F$252)</f>
        <v>1</v>
      </c>
      <c r="AY9" s="16" t="n">
        <f aca="false">CHOOSE(AY8-Inputs!$F$57+1,Inputs!$F$248,Inputs!$F$249,Inputs!$F$250,Inputs!$F$251,Inputs!$F$252)</f>
        <v>1</v>
      </c>
      <c r="AZ9" s="16" t="n">
        <f aca="false">CHOOSE(AZ8-Inputs!$F$57+1,Inputs!$F$248,Inputs!$F$249,Inputs!$F$250,Inputs!$F$251,Inputs!$F$252)</f>
        <v>1</v>
      </c>
      <c r="BA9" s="16" t="n">
        <f aca="false">CHOOSE(BA8-Inputs!$F$57+1,Inputs!$F$248,Inputs!$F$249,Inputs!$F$250,Inputs!$F$251,Inputs!$F$252)</f>
        <v>1</v>
      </c>
      <c r="BB9" s="16" t="n">
        <f aca="false">CHOOSE(BB8-Inputs!$F$57+1,Inputs!$F$248,Inputs!$F$249,Inputs!$F$250,Inputs!$F$251,Inputs!$F$252)</f>
        <v>1</v>
      </c>
      <c r="BC9" s="16" t="n">
        <f aca="false">CHOOSE(BC8-Inputs!$F$57+1,Inputs!$F$248,Inputs!$F$249,Inputs!$F$250,Inputs!$F$251,Inputs!$F$252)</f>
        <v>1</v>
      </c>
      <c r="BD9" s="16" t="n">
        <f aca="false">CHOOSE(BD8-Inputs!$F$57+1,Inputs!$F$248,Inputs!$F$249,Inputs!$F$250,Inputs!$F$251,Inputs!$F$252)</f>
        <v>1</v>
      </c>
      <c r="BE9" s="16" t="n">
        <f aca="false">CHOOSE(BE8-Inputs!$F$57+1,Inputs!$F$248,Inputs!$F$249,Inputs!$F$250,Inputs!$F$251,Inputs!$F$252)</f>
        <v>1</v>
      </c>
      <c r="BF9" s="16" t="n">
        <f aca="false">CHOOSE(BF8-Inputs!$F$57+1,Inputs!$F$248,Inputs!$F$249,Inputs!$F$250,Inputs!$F$251,Inputs!$F$252)</f>
        <v>1</v>
      </c>
      <c r="BG9" s="16" t="n">
        <f aca="false">CHOOSE(BG8-Inputs!$F$57+1,Inputs!$F$248,Inputs!$F$249,Inputs!$F$250,Inputs!$F$251,Inputs!$F$252)</f>
        <v>1</v>
      </c>
      <c r="BH9" s="16" t="n">
        <f aca="false">CHOOSE(BH8-Inputs!$F$57+1,Inputs!$F$248,Inputs!$F$249,Inputs!$F$250,Inputs!$F$251,Inputs!$F$252)</f>
        <v>1</v>
      </c>
      <c r="BI9" s="16" t="n">
        <f aca="false">CHOOSE(BI8-Inputs!$F$57+1,Inputs!$F$248,Inputs!$F$249,Inputs!$F$250,Inputs!$F$251,Inputs!$F$252)</f>
        <v>1</v>
      </c>
      <c r="BJ9" s="16" t="n">
        <f aca="false">CHOOSE(BJ8-Inputs!$F$57+1,Inputs!$F$248,Inputs!$F$249,Inputs!$F$250,Inputs!$F$251,Inputs!$F$252)</f>
        <v>1</v>
      </c>
      <c r="BK9" s="16" t="n">
        <f aca="false">CHOOSE(BK8-Inputs!$F$57+1,Inputs!$F$248,Inputs!$F$249,Inputs!$F$250,Inputs!$F$251,Inputs!$F$252)</f>
        <v>1</v>
      </c>
      <c r="BL9" s="16" t="n">
        <f aca="false">CHOOSE(BL8-Inputs!$F$57+1,Inputs!$F$248,Inputs!$F$249,Inputs!$F$250,Inputs!$F$251,Inputs!$F$252)</f>
        <v>1</v>
      </c>
      <c r="BM9" s="16" t="n">
        <f aca="false">CHOOSE(BM8-Inputs!$F$57+1,Inputs!$F$248,Inputs!$F$249,Inputs!$F$250,Inputs!$F$251,Inputs!$F$252)</f>
        <v>1</v>
      </c>
      <c r="BN9" s="16" t="n">
        <f aca="false">CHOOSE(BN8-Inputs!$F$57+1,Inputs!$F$248,Inputs!$F$249,Inputs!$F$250,Inputs!$F$251,Inputs!$F$252)</f>
        <v>1</v>
      </c>
      <c r="BO9" s="16" t="n">
        <f aca="false">CHOOSE(BO8-Inputs!$F$57+1,Inputs!$F$248,Inputs!$F$249,Inputs!$F$250,Inputs!$F$251,Inputs!$F$252)</f>
        <v>1</v>
      </c>
      <c r="BP9" s="16" t="n">
        <f aca="false">CHOOSE(BP8-Inputs!$F$57+1,Inputs!$F$248,Inputs!$F$249,Inputs!$F$250,Inputs!$F$251,Inputs!$F$252)</f>
        <v>1</v>
      </c>
      <c r="BQ9" s="16" t="n">
        <f aca="false">CHOOSE(BQ8-Inputs!$F$57+1,Inputs!$F$248,Inputs!$F$249,Inputs!$F$250,Inputs!$F$251,Inputs!$F$252)</f>
        <v>1</v>
      </c>
      <c r="BR9" s="16" t="n">
        <f aca="false">CHOOSE(BR8-Inputs!$F$57+1,Inputs!$F$248,Inputs!$F$249,Inputs!$F$250,Inputs!$F$251,Inputs!$F$252)</f>
        <v>1</v>
      </c>
      <c r="BS9" s="16" t="n">
        <f aca="false">CHOOSE(BS8-Inputs!$F$57+1,Inputs!$F$248,Inputs!$F$249,Inputs!$F$250,Inputs!$F$251,Inputs!$F$252)</f>
        <v>1</v>
      </c>
      <c r="BT9" s="16" t="n">
        <f aca="false">CHOOSE(BT8-Inputs!$F$57+1,Inputs!$F$248,Inputs!$F$249,Inputs!$F$250,Inputs!$F$251,Inputs!$F$252)</f>
        <v>1</v>
      </c>
      <c r="BU9" s="16" t="n">
        <f aca="false">CHOOSE(BU8-Inputs!$F$57+1,Inputs!$F$248,Inputs!$F$249,Inputs!$F$250,Inputs!$F$251,Inputs!$F$252)</f>
        <v>1</v>
      </c>
      <c r="BV9" s="16" t="n">
        <f aca="false">CHOOSE(BV8-Inputs!$F$57+1,Inputs!$F$248,Inputs!$F$249,Inputs!$F$250,Inputs!$F$251,Inputs!$F$252)</f>
        <v>1</v>
      </c>
      <c r="BW9" s="16" t="n">
        <f aca="false">CHOOSE(BW8-Inputs!$F$57+1,Inputs!$F$248,Inputs!$F$249,Inputs!$F$250,Inputs!$F$251,Inputs!$F$252)</f>
        <v>1</v>
      </c>
      <c r="BX9" s="16" t="n">
        <f aca="false">CHOOSE(BX8-Inputs!$F$57+1,Inputs!$F$248,Inputs!$F$249,Inputs!$F$250,Inputs!$F$251,Inputs!$F$252)</f>
        <v>1</v>
      </c>
      <c r="BY9" s="16" t="n">
        <f aca="false">CHOOSE(BY8-Inputs!$F$57+1,Inputs!$F$248,Inputs!$F$249,Inputs!$F$250,Inputs!$F$251,Inputs!$F$252)</f>
        <v>1</v>
      </c>
      <c r="BZ9" s="16" t="n">
        <f aca="false">CHOOSE(BZ8-Inputs!$F$57+1,Inputs!$F$248,Inputs!$F$249,Inputs!$F$250,Inputs!$F$251,Inputs!$F$252)</f>
        <v>1</v>
      </c>
      <c r="CA9" s="16" t="n">
        <f aca="false">CHOOSE(CA8-Inputs!$F$57+1,Inputs!$F$248,Inputs!$F$249,Inputs!$F$250,Inputs!$F$251,Inputs!$F$252)</f>
        <v>1</v>
      </c>
      <c r="CB9" s="16" t="n">
        <f aca="false">CHOOSE(CB8-Inputs!$F$57+1,Inputs!$F$248,Inputs!$F$249,Inputs!$F$250,Inputs!$F$251,Inputs!$F$252)</f>
        <v>1</v>
      </c>
      <c r="CC9" s="16" t="n">
        <f aca="false">CHOOSE(CC8-Inputs!$F$57+1,Inputs!$F$248,Inputs!$F$249,Inputs!$F$250,Inputs!$F$251,Inputs!$F$252)</f>
        <v>1</v>
      </c>
      <c r="CD9" s="16" t="n">
        <f aca="false">CHOOSE(CD8-Inputs!$F$57+1,Inputs!$F$248,Inputs!$F$249,Inputs!$F$250,Inputs!$F$251,Inputs!$F$252)</f>
        <v>1</v>
      </c>
      <c r="CE9" s="16" t="n">
        <f aca="false">CHOOSE(CE8-Inputs!$F$57+1,Inputs!$F$248,Inputs!$F$249,Inputs!$F$250,Inputs!$F$251,Inputs!$F$252)</f>
        <v>1</v>
      </c>
      <c r="CF9" s="16" t="n">
        <f aca="false">CHOOSE(CF8-Inputs!$F$57+1,Inputs!$F$248,Inputs!$F$249,Inputs!$F$250,Inputs!$F$251,Inputs!$F$252)</f>
        <v>1</v>
      </c>
      <c r="CG9" s="16" t="n">
        <f aca="false">CHOOSE(CG8-Inputs!$F$57+1,Inputs!$F$248,Inputs!$F$249,Inputs!$F$250,Inputs!$F$251,Inputs!$F$252)</f>
        <v>1</v>
      </c>
      <c r="CH9" s="16" t="n">
        <f aca="false">CHOOSE(CH8-Inputs!$F$57+1,Inputs!$F$248,Inputs!$F$249,Inputs!$F$250,Inputs!$F$251,Inputs!$F$252)</f>
        <v>1</v>
      </c>
      <c r="CI9" s="16" t="n">
        <f aca="false">CHOOSE(CI8-Inputs!$F$57+1,Inputs!$F$248,Inputs!$F$249,Inputs!$F$250,Inputs!$F$251,Inputs!$F$252)</f>
        <v>1</v>
      </c>
      <c r="CJ9" s="16" t="n">
        <f aca="false">CHOOSE(CJ8-Inputs!$F$57+1,Inputs!$F$248,Inputs!$F$249,Inputs!$F$250,Inputs!$F$251,Inputs!$F$252)</f>
        <v>1</v>
      </c>
      <c r="CK9" s="16" t="n">
        <f aca="false">CHOOSE(CK8-Inputs!$F$57+1,Inputs!$F$248,Inputs!$F$249,Inputs!$F$250,Inputs!$F$251,Inputs!$F$252)</f>
        <v>1</v>
      </c>
      <c r="CL9" s="16" t="n">
        <f aca="false">CHOOSE(CL8-Inputs!$F$57+1,Inputs!$F$248,Inputs!$F$249,Inputs!$F$250,Inputs!$F$251,Inputs!$F$252)</f>
        <v>1</v>
      </c>
      <c r="CM9" s="16" t="n">
        <f aca="false">CHOOSE(CM8-Inputs!$F$57+1,Inputs!$F$248,Inputs!$F$249,Inputs!$F$250,Inputs!$F$251,Inputs!$F$252)</f>
        <v>1</v>
      </c>
      <c r="CN9" s="16" t="n">
        <f aca="false">CHOOSE(CN8-Inputs!$F$57+1,Inputs!$F$248,Inputs!$F$249,Inputs!$F$250,Inputs!$F$251,Inputs!$F$252)</f>
        <v>1</v>
      </c>
      <c r="CO9" s="16" t="n">
        <f aca="false">CHOOSE(CO8-Inputs!$F$57+1,Inputs!$F$248,Inputs!$F$249,Inputs!$F$250,Inputs!$F$251,Inputs!$F$252)</f>
        <v>1</v>
      </c>
      <c r="CP9" s="16" t="n">
        <f aca="false">CHOOSE(CP8-Inputs!$F$57+1,Inputs!$F$248,Inputs!$F$249,Inputs!$F$250,Inputs!$F$251,Inputs!$F$252)</f>
        <v>1</v>
      </c>
      <c r="CQ9" s="16" t="n">
        <f aca="false">CHOOSE(CQ8-Inputs!$F$57+1,Inputs!$F$248,Inputs!$F$249,Inputs!$F$250,Inputs!$F$251,Inputs!$F$252)</f>
        <v>1</v>
      </c>
      <c r="CR9" s="16" t="n">
        <f aca="false">CHOOSE(CR8-Inputs!$F$57+1,Inputs!$F$248,Inputs!$F$249,Inputs!$F$250,Inputs!$F$251,Inputs!$F$252)</f>
        <v>1</v>
      </c>
      <c r="CS9" s="16" t="n">
        <f aca="false">CHOOSE(CS8-Inputs!$F$57+1,Inputs!$F$248,Inputs!$F$249,Inputs!$F$250,Inputs!$F$251,Inputs!$F$252)</f>
        <v>1</v>
      </c>
      <c r="CT9" s="16" t="n">
        <f aca="false">CHOOSE(CT8-Inputs!$F$57+1,Inputs!$F$248,Inputs!$F$249,Inputs!$F$250,Inputs!$F$251,Inputs!$F$252)</f>
        <v>1</v>
      </c>
      <c r="CU9" s="16" t="n">
        <f aca="false">CHOOSE(CU8-Inputs!$F$57+1,Inputs!$F$248,Inputs!$F$249,Inputs!$F$250,Inputs!$F$251,Inputs!$F$252)</f>
        <v>1</v>
      </c>
      <c r="CV9" s="16" t="n">
        <f aca="false">CHOOSE(CV8-Inputs!$F$57+1,Inputs!$F$248,Inputs!$F$249,Inputs!$F$250,Inputs!$F$251,Inputs!$F$252)</f>
        <v>1</v>
      </c>
      <c r="CW9" s="16" t="n">
        <f aca="false">CHOOSE(CW8-Inputs!$F$57+1,Inputs!$F$248,Inputs!$F$249,Inputs!$F$250,Inputs!$F$251,Inputs!$F$252)</f>
        <v>1</v>
      </c>
      <c r="CX9" s="16" t="n">
        <f aca="false">CHOOSE(CX8-Inputs!$F$57+1,Inputs!$F$248,Inputs!$F$249,Inputs!$F$250,Inputs!$F$251,Inputs!$F$252)</f>
        <v>1</v>
      </c>
      <c r="CY9" s="16" t="n">
        <f aca="false">CHOOSE(CY8-Inputs!$F$57+1,Inputs!$F$248,Inputs!$F$249,Inputs!$F$250,Inputs!$F$251,Inputs!$F$252)</f>
        <v>1</v>
      </c>
      <c r="CZ9" s="16" t="n">
        <f aca="false">CHOOSE(CZ8-Inputs!$F$57+1,Inputs!$F$248,Inputs!$F$249,Inputs!$F$250,Inputs!$F$251,Inputs!$F$252)</f>
        <v>1</v>
      </c>
      <c r="DA9" s="16" t="n">
        <f aca="false">CHOOSE(DA8-Inputs!$F$57+1,Inputs!$F$248,Inputs!$F$249,Inputs!$F$250,Inputs!$F$251,Inputs!$F$252)</f>
        <v>1</v>
      </c>
      <c r="DB9" s="16" t="n">
        <f aca="false">CHOOSE(DB8-Inputs!$F$57+1,Inputs!$F$248,Inputs!$F$249,Inputs!$F$250,Inputs!$F$251,Inputs!$F$252)</f>
        <v>1</v>
      </c>
    </row>
    <row r="10" customFormat="false" ht="15" hidden="false" customHeight="false" outlineLevel="0" collapsed="false">
      <c r="D10" s="0" t="s">
        <v>381</v>
      </c>
      <c r="E10" s="0" t="s">
        <v>171</v>
      </c>
      <c r="J10" s="16" t="n">
        <f aca="false">IF(Time!J11&gt;=Inputs!$F$59,1+Inputs!$F$246/100,1)</f>
        <v>1</v>
      </c>
      <c r="K10" s="16" t="n">
        <f aca="false">IF(Time!K11&gt;=Inputs!$F$59,1+Inputs!$F$246/100,1)</f>
        <v>1</v>
      </c>
      <c r="L10" s="16" t="n">
        <f aca="false">IF(Time!L11&gt;=Inputs!$F$59,1+Inputs!$F$246/100,1)</f>
        <v>1</v>
      </c>
      <c r="M10" s="16" t="n">
        <f aca="false">IF(Time!M11&gt;=Inputs!$F$59,1+Inputs!$F$246/100,1)</f>
        <v>1</v>
      </c>
      <c r="N10" s="16" t="n">
        <f aca="false">IF(Time!N11&gt;=Inputs!$F$59,1+Inputs!$F$246/100,1)</f>
        <v>1</v>
      </c>
      <c r="O10" s="16" t="n">
        <f aca="false">IF(Time!O11&gt;=Inputs!$F$59,1+Inputs!$F$246/100,1)</f>
        <v>1</v>
      </c>
      <c r="P10" s="16" t="n">
        <f aca="false">IF(Time!P11&gt;=Inputs!$F$59,1+Inputs!$F$246/100,1)</f>
        <v>1</v>
      </c>
      <c r="Q10" s="16" t="n">
        <f aca="false">IF(Time!Q11&gt;=Inputs!$F$59,1+Inputs!$F$246/100,1)</f>
        <v>1</v>
      </c>
      <c r="R10" s="16" t="n">
        <f aca="false">IF(Time!R11&gt;=Inputs!$F$59,1+Inputs!$F$246/100,1)</f>
        <v>1</v>
      </c>
      <c r="S10" s="16" t="n">
        <f aca="false">IF(Time!S11&gt;=Inputs!$F$59,1+Inputs!$F$246/100,1)</f>
        <v>1</v>
      </c>
      <c r="T10" s="16" t="n">
        <f aca="false">IF(Time!T11&gt;=Inputs!$F$59,1+Inputs!$F$246/100,1)</f>
        <v>1</v>
      </c>
      <c r="U10" s="16" t="n">
        <f aca="false">IF(Time!U11&gt;=Inputs!$F$59,1+Inputs!$F$246/100,1)</f>
        <v>1</v>
      </c>
      <c r="V10" s="16" t="n">
        <f aca="false">IF(Time!V11&gt;=Inputs!$F$59,1+Inputs!$F$246/100,1)</f>
        <v>1</v>
      </c>
      <c r="W10" s="16" t="n">
        <f aca="false">IF(Time!W11&gt;=Inputs!$F$59,1+Inputs!$F$246/100,1)</f>
        <v>1</v>
      </c>
      <c r="X10" s="16" t="n">
        <f aca="false">IF(Time!X11&gt;=Inputs!$F$59,1+Inputs!$F$246/100,1)</f>
        <v>1</v>
      </c>
      <c r="Y10" s="16" t="n">
        <f aca="false">IF(Time!Y11&gt;=Inputs!$F$59,1+Inputs!$F$246/100,1)</f>
        <v>1</v>
      </c>
      <c r="Z10" s="16" t="n">
        <f aca="false">IF(Time!Z11&gt;=Inputs!$F$59,1+Inputs!$F$246/100,1)</f>
        <v>1</v>
      </c>
      <c r="AA10" s="16" t="n">
        <f aca="false">IF(Time!AA11&gt;=Inputs!$F$59,1+Inputs!$F$246/100,1)</f>
        <v>1</v>
      </c>
      <c r="AB10" s="16" t="n">
        <f aca="false">IF(Time!AB11&gt;=Inputs!$F$59,1+Inputs!$F$246/100,1)</f>
        <v>1</v>
      </c>
      <c r="AC10" s="16" t="n">
        <f aca="false">IF(Time!AC11&gt;=Inputs!$F$59,1+Inputs!$F$246/100,1)</f>
        <v>1</v>
      </c>
      <c r="AD10" s="16" t="n">
        <f aca="false">IF(Time!AD11&gt;=Inputs!$F$59,1+Inputs!$F$246/100,1)</f>
        <v>1</v>
      </c>
      <c r="AE10" s="16" t="n">
        <f aca="false">IF(Time!AE11&gt;=Inputs!$F$59,1+Inputs!$F$246/100,1)</f>
        <v>1</v>
      </c>
      <c r="AF10" s="16" t="n">
        <f aca="false">IF(Time!AF11&gt;=Inputs!$F$59,1+Inputs!$F$246/100,1)</f>
        <v>1</v>
      </c>
      <c r="AG10" s="16" t="n">
        <f aca="false">IF(Time!AG11&gt;=Inputs!$F$59,1+Inputs!$F$246/100,1)</f>
        <v>1</v>
      </c>
      <c r="AH10" s="16" t="n">
        <f aca="false">IF(Time!AH11&gt;=Inputs!$F$59,1+Inputs!$F$246/100,1)</f>
        <v>1</v>
      </c>
      <c r="AI10" s="16" t="n">
        <f aca="false">IF(Time!AI11&gt;=Inputs!$F$59,1+Inputs!$F$246/100,1)</f>
        <v>1</v>
      </c>
      <c r="AJ10" s="16" t="n">
        <f aca="false">IF(Time!AJ11&gt;=Inputs!$F$59,1+Inputs!$F$246/100,1)</f>
        <v>1</v>
      </c>
      <c r="AK10" s="16" t="n">
        <f aca="false">IF(Time!AK11&gt;=Inputs!$F$59,1+Inputs!$F$246/100,1)</f>
        <v>1</v>
      </c>
      <c r="AL10" s="16" t="n">
        <f aca="false">IF(Time!AL11&gt;=Inputs!$F$59,1+Inputs!$F$246/100,1)</f>
        <v>1</v>
      </c>
      <c r="AM10" s="16" t="n">
        <f aca="false">IF(Time!AM11&gt;=Inputs!$F$59,1+Inputs!$F$246/100,1)</f>
        <v>1</v>
      </c>
      <c r="AN10" s="16" t="n">
        <f aca="false">IF(Time!AN11&gt;=Inputs!$F$59,1+Inputs!$F$246/100,1)</f>
        <v>1</v>
      </c>
      <c r="AO10" s="16" t="n">
        <f aca="false">IF(Time!AO11&gt;=Inputs!$F$59,1+Inputs!$F$246/100,1)</f>
        <v>1</v>
      </c>
      <c r="AP10" s="16" t="n">
        <f aca="false">IF(Time!AP11&gt;=Inputs!$F$59,1+Inputs!$F$246/100,1)</f>
        <v>1</v>
      </c>
      <c r="AQ10" s="16" t="n">
        <f aca="false">IF(Time!AQ11&gt;=Inputs!$F$59,1+Inputs!$F$246/100,1)</f>
        <v>1</v>
      </c>
      <c r="AR10" s="16" t="n">
        <f aca="false">IF(Time!AR11&gt;=Inputs!$F$59,1+Inputs!$F$246/100,1)</f>
        <v>1</v>
      </c>
      <c r="AS10" s="16" t="n">
        <f aca="false">IF(Time!AS11&gt;=Inputs!$F$59,1+Inputs!$F$246/100,1)</f>
        <v>1</v>
      </c>
      <c r="AT10" s="16" t="n">
        <f aca="false">IF(Time!AT11&gt;=Inputs!$F$59,1+Inputs!$F$246/100,1)</f>
        <v>1</v>
      </c>
      <c r="AU10" s="16" t="n">
        <f aca="false">IF(Time!AU11&gt;=Inputs!$F$59,1+Inputs!$F$246/100,1)</f>
        <v>1</v>
      </c>
      <c r="AV10" s="16" t="n">
        <f aca="false">IF(Time!AV11&gt;=Inputs!$F$59,1+Inputs!$F$246/100,1)</f>
        <v>1</v>
      </c>
      <c r="AW10" s="16" t="n">
        <f aca="false">IF(Time!AW11&gt;=Inputs!$F$59,1+Inputs!$F$246/100,1)</f>
        <v>1</v>
      </c>
      <c r="AX10" s="16" t="n">
        <f aca="false">IF(Time!AX11&gt;=Inputs!$F$59,1+Inputs!$F$246/100,1)</f>
        <v>1</v>
      </c>
      <c r="AY10" s="16" t="n">
        <f aca="false">IF(Time!AY11&gt;=Inputs!$F$59,1+Inputs!$F$246/100,1)</f>
        <v>1</v>
      </c>
      <c r="AZ10" s="16" t="n">
        <f aca="false">IF(Time!AZ11&gt;=Inputs!$F$59,1+Inputs!$F$246/100,1)</f>
        <v>1</v>
      </c>
      <c r="BA10" s="16" t="n">
        <f aca="false">IF(Time!BA11&gt;=Inputs!$F$59,1+Inputs!$F$246/100,1)</f>
        <v>1</v>
      </c>
      <c r="BB10" s="16" t="n">
        <f aca="false">IF(Time!BB11&gt;=Inputs!$F$59,1+Inputs!$F$246/100,1)</f>
        <v>1</v>
      </c>
      <c r="BC10" s="16" t="n">
        <f aca="false">IF(Time!BC11&gt;=Inputs!$F$59,1+Inputs!$F$246/100,1)</f>
        <v>1</v>
      </c>
      <c r="BD10" s="16" t="n">
        <f aca="false">IF(Time!BD11&gt;=Inputs!$F$59,1+Inputs!$F$246/100,1)</f>
        <v>1</v>
      </c>
      <c r="BE10" s="16" t="n">
        <f aca="false">IF(Time!BE11&gt;=Inputs!$F$59,1+Inputs!$F$246/100,1)</f>
        <v>1</v>
      </c>
      <c r="BF10" s="16" t="n">
        <f aca="false">IF(Time!BF11&gt;=Inputs!$F$59,1+Inputs!$F$246/100,1)</f>
        <v>1</v>
      </c>
      <c r="BG10" s="16" t="n">
        <f aca="false">IF(Time!BG11&gt;=Inputs!$F$59,1+Inputs!$F$246/100,1)</f>
        <v>1</v>
      </c>
      <c r="BH10" s="16" t="n">
        <f aca="false">IF(Time!BH11&gt;=Inputs!$F$59,1+Inputs!$F$246/100,1)</f>
        <v>1</v>
      </c>
      <c r="BI10" s="16" t="n">
        <f aca="false">IF(Time!BI11&gt;=Inputs!$F$59,1+Inputs!$F$246/100,1)</f>
        <v>1</v>
      </c>
      <c r="BJ10" s="16" t="n">
        <f aca="false">IF(Time!BJ11&gt;=Inputs!$F$59,1+Inputs!$F$246/100,1)</f>
        <v>1</v>
      </c>
      <c r="BK10" s="16" t="n">
        <f aca="false">IF(Time!BK11&gt;=Inputs!$F$59,1+Inputs!$F$246/100,1)</f>
        <v>1</v>
      </c>
      <c r="BL10" s="16" t="n">
        <f aca="false">IF(Time!BL11&gt;=Inputs!$F$59,1+Inputs!$F$246/100,1)</f>
        <v>1</v>
      </c>
      <c r="BM10" s="16" t="n">
        <f aca="false">IF(Time!BM11&gt;=Inputs!$F$59,1+Inputs!$F$246/100,1)</f>
        <v>1</v>
      </c>
      <c r="BN10" s="16" t="n">
        <f aca="false">IF(Time!BN11&gt;=Inputs!$F$59,1+Inputs!$F$246/100,1)</f>
        <v>1</v>
      </c>
      <c r="BO10" s="16" t="n">
        <f aca="false">IF(Time!BO11&gt;=Inputs!$F$59,1+Inputs!$F$246/100,1)</f>
        <v>1</v>
      </c>
      <c r="BP10" s="16" t="n">
        <f aca="false">IF(Time!BP11&gt;=Inputs!$F$59,1+Inputs!$F$246/100,1)</f>
        <v>1</v>
      </c>
      <c r="BQ10" s="16" t="n">
        <f aca="false">IF(Time!BQ11&gt;=Inputs!$F$59,1+Inputs!$F$246/100,1)</f>
        <v>1</v>
      </c>
      <c r="BR10" s="16" t="n">
        <f aca="false">IF(Time!BR11&gt;=Inputs!$F$59,1+Inputs!$F$246/100,1)</f>
        <v>1</v>
      </c>
      <c r="BS10" s="16" t="n">
        <f aca="false">IF(Time!BS11&gt;=Inputs!$F$59,1+Inputs!$F$246/100,1)</f>
        <v>1</v>
      </c>
      <c r="BT10" s="16" t="n">
        <f aca="false">IF(Time!BT11&gt;=Inputs!$F$59,1+Inputs!$F$246/100,1)</f>
        <v>1</v>
      </c>
      <c r="BU10" s="16" t="n">
        <f aca="false">IF(Time!BU11&gt;=Inputs!$F$59,1+Inputs!$F$246/100,1)</f>
        <v>1</v>
      </c>
      <c r="BV10" s="16" t="n">
        <f aca="false">IF(Time!BV11&gt;=Inputs!$F$59,1+Inputs!$F$246/100,1)</f>
        <v>1</v>
      </c>
      <c r="BW10" s="16" t="n">
        <f aca="false">IF(Time!BW11&gt;=Inputs!$F$59,1+Inputs!$F$246/100,1)</f>
        <v>1</v>
      </c>
      <c r="BX10" s="16" t="n">
        <f aca="false">IF(Time!BX11&gt;=Inputs!$F$59,1+Inputs!$F$246/100,1)</f>
        <v>1</v>
      </c>
      <c r="BY10" s="16" t="n">
        <f aca="false">IF(Time!BY11&gt;=Inputs!$F$59,1+Inputs!$F$246/100,1)</f>
        <v>1</v>
      </c>
      <c r="BZ10" s="16" t="n">
        <f aca="false">IF(Time!BZ11&gt;=Inputs!$F$59,1+Inputs!$F$246/100,1)</f>
        <v>1</v>
      </c>
      <c r="CA10" s="16" t="n">
        <f aca="false">IF(Time!CA11&gt;=Inputs!$F$59,1+Inputs!$F$246/100,1)</f>
        <v>1</v>
      </c>
      <c r="CB10" s="16" t="n">
        <f aca="false">IF(Time!CB11&gt;=Inputs!$F$59,1+Inputs!$F$246/100,1)</f>
        <v>1</v>
      </c>
      <c r="CC10" s="16" t="n">
        <f aca="false">IF(Time!CC11&gt;=Inputs!$F$59,1+Inputs!$F$246/100,1)</f>
        <v>1</v>
      </c>
      <c r="CD10" s="16" t="n">
        <f aca="false">IF(Time!CD11&gt;=Inputs!$F$59,1+Inputs!$F$246/100,1)</f>
        <v>1</v>
      </c>
      <c r="CE10" s="16" t="n">
        <f aca="false">IF(Time!CE11&gt;=Inputs!$F$59,1+Inputs!$F$246/100,1)</f>
        <v>1</v>
      </c>
      <c r="CF10" s="16" t="n">
        <f aca="false">IF(Time!CF11&gt;=Inputs!$F$59,1+Inputs!$F$246/100,1)</f>
        <v>1</v>
      </c>
      <c r="CG10" s="16" t="n">
        <f aca="false">IF(Time!CG11&gt;=Inputs!$F$59,1+Inputs!$F$246/100,1)</f>
        <v>1</v>
      </c>
      <c r="CH10" s="16" t="n">
        <f aca="false">IF(Time!CH11&gt;=Inputs!$F$59,1+Inputs!$F$246/100,1)</f>
        <v>1</v>
      </c>
      <c r="CI10" s="16" t="n">
        <f aca="false">IF(Time!CI11&gt;=Inputs!$F$59,1+Inputs!$F$246/100,1)</f>
        <v>1</v>
      </c>
      <c r="CJ10" s="16" t="n">
        <f aca="false">IF(Time!CJ11&gt;=Inputs!$F$59,1+Inputs!$F$246/100,1)</f>
        <v>1</v>
      </c>
      <c r="CK10" s="16" t="n">
        <f aca="false">IF(Time!CK11&gt;=Inputs!$F$59,1+Inputs!$F$246/100,1)</f>
        <v>1</v>
      </c>
      <c r="CL10" s="16" t="n">
        <f aca="false">IF(Time!CL11&gt;=Inputs!$F$59,1+Inputs!$F$246/100,1)</f>
        <v>1</v>
      </c>
      <c r="CM10" s="16" t="n">
        <f aca="false">IF(Time!CM11&gt;=Inputs!$F$59,1+Inputs!$F$246/100,1)</f>
        <v>1</v>
      </c>
      <c r="CN10" s="16" t="n">
        <f aca="false">IF(Time!CN11&gt;=Inputs!$F$59,1+Inputs!$F$246/100,1)</f>
        <v>1</v>
      </c>
      <c r="CO10" s="16" t="n">
        <f aca="false">IF(Time!CO11&gt;=Inputs!$F$59,1+Inputs!$F$246/100,1)</f>
        <v>1</v>
      </c>
      <c r="CP10" s="16" t="n">
        <f aca="false">IF(Time!CP11&gt;=Inputs!$F$59,1+Inputs!$F$246/100,1)</f>
        <v>1</v>
      </c>
      <c r="CQ10" s="16" t="n">
        <f aca="false">IF(Time!CQ11&gt;=Inputs!$F$59,1+Inputs!$F$246/100,1)</f>
        <v>1</v>
      </c>
      <c r="CR10" s="16" t="n">
        <f aca="false">IF(Time!CR11&gt;=Inputs!$F$59,1+Inputs!$F$246/100,1)</f>
        <v>1</v>
      </c>
      <c r="CS10" s="16" t="n">
        <f aca="false">IF(Time!CS11&gt;=Inputs!$F$59,1+Inputs!$F$246/100,1)</f>
        <v>1</v>
      </c>
      <c r="CT10" s="16" t="n">
        <f aca="false">IF(Time!CT11&gt;=Inputs!$F$59,1+Inputs!$F$246/100,1)</f>
        <v>1</v>
      </c>
      <c r="CU10" s="16" t="n">
        <f aca="false">IF(Time!CU11&gt;=Inputs!$F$59,1+Inputs!$F$246/100,1)</f>
        <v>1</v>
      </c>
      <c r="CV10" s="16" t="n">
        <f aca="false">IF(Time!CV11&gt;=Inputs!$F$59,1+Inputs!$F$246/100,1)</f>
        <v>1</v>
      </c>
      <c r="CW10" s="16" t="n">
        <f aca="false">IF(Time!CW11&gt;=Inputs!$F$59,1+Inputs!$F$246/100,1)</f>
        <v>1</v>
      </c>
      <c r="CX10" s="16" t="n">
        <f aca="false">IF(Time!CX11&gt;=Inputs!$F$59,1+Inputs!$F$246/100,1)</f>
        <v>1</v>
      </c>
      <c r="CY10" s="16" t="n">
        <f aca="false">IF(Time!CY11&gt;=Inputs!$F$59,1+Inputs!$F$246/100,1)</f>
        <v>1</v>
      </c>
      <c r="CZ10" s="16" t="n">
        <f aca="false">IF(Time!CZ11&gt;=Inputs!$F$59,1+Inputs!$F$246/100,1)</f>
        <v>1</v>
      </c>
      <c r="DA10" s="16" t="n">
        <f aca="false">IF(Time!DA11&gt;=Inputs!$F$59,1+Inputs!$F$246/100,1)</f>
        <v>1</v>
      </c>
      <c r="DB10" s="16" t="n">
        <f aca="false">IF(Time!DB11&gt;=Inputs!$F$59,1+Inputs!$F$246/100,1)</f>
        <v>1</v>
      </c>
    </row>
    <row r="11" customFormat="false" ht="15" hidden="false" customHeight="false" outlineLevel="0" collapsed="false">
      <c r="D11" s="0" t="s">
        <v>382</v>
      </c>
      <c r="E11" s="0" t="s">
        <v>263</v>
      </c>
      <c r="J11" s="16" t="n">
        <f aca="false">J7*J9*J10*Inputs!$F$218</f>
        <v>40.8715096266745</v>
      </c>
      <c r="K11" s="16" t="n">
        <f aca="false">K7*K9*K10*Inputs!$F$218</f>
        <v>40.8715096266745</v>
      </c>
      <c r="L11" s="16" t="n">
        <f aca="false">L7*L9*L10*Inputs!$F$218</f>
        <v>40.8715096266745</v>
      </c>
      <c r="M11" s="16" t="n">
        <f aca="false">M7*M9*M10*Inputs!$F$218</f>
        <v>42.2611409539814</v>
      </c>
      <c r="N11" s="16" t="n">
        <f aca="false">N7*N9*N10*Inputs!$F$218</f>
        <v>42.2611409539814</v>
      </c>
      <c r="O11" s="16" t="n">
        <f aca="false">O7*O9*O10*Inputs!$F$218</f>
        <v>42.2611409539814</v>
      </c>
      <c r="P11" s="16" t="n">
        <f aca="false">P7*P9*P10*Inputs!$F$218</f>
        <v>42.2611409539814</v>
      </c>
      <c r="Q11" s="16" t="n">
        <f aca="false">Q7*Q9*Q10*Inputs!$F$218</f>
        <v>43.6980197464168</v>
      </c>
      <c r="R11" s="16" t="n">
        <f aca="false">R7*R9*R10*Inputs!$F$218</f>
        <v>43.6980197464168</v>
      </c>
      <c r="S11" s="16" t="n">
        <f aca="false">S7*S9*S10*Inputs!$F$218</f>
        <v>43.6980197464168</v>
      </c>
      <c r="T11" s="16" t="n">
        <f aca="false">T7*T9*T10*Inputs!$F$218</f>
        <v>43.6980197464168</v>
      </c>
      <c r="U11" s="16" t="n">
        <f aca="false">U7*U9*U10*Inputs!$F$218</f>
        <v>45.183752417795</v>
      </c>
      <c r="V11" s="16" t="n">
        <f aca="false">V7*V9*V10*Inputs!$F$218</f>
        <v>45.183752417795</v>
      </c>
      <c r="W11" s="16" t="n">
        <f aca="false">W7*W9*W10*Inputs!$F$218</f>
        <v>45.183752417795</v>
      </c>
      <c r="X11" s="16" t="n">
        <f aca="false">X7*X9*X10*Inputs!$F$218</f>
        <v>45.183752417795</v>
      </c>
      <c r="Y11" s="16" t="n">
        <f aca="false">Y7*Y9*Y10*Inputs!$F$218</f>
        <v>46.72</v>
      </c>
      <c r="Z11" s="16" t="n">
        <f aca="false">Z7*Z9*Z10*Inputs!$F$218</f>
        <v>46.72</v>
      </c>
      <c r="AA11" s="16" t="n">
        <f aca="false">AA7*AA9*AA10*Inputs!$F$218</f>
        <v>46.72</v>
      </c>
      <c r="AB11" s="16" t="n">
        <f aca="false">AB7*AB9*AB10*Inputs!$F$218</f>
        <v>54.34704</v>
      </c>
      <c r="AC11" s="16" t="n">
        <f aca="false">AC7*AC9*AC10*Inputs!$F$218</f>
        <v>54.34704</v>
      </c>
      <c r="AD11" s="16" t="n">
        <f aca="false">AD7*AD9*AD10*Inputs!$F$218</f>
        <v>59.941161984</v>
      </c>
      <c r="AE11" s="16" t="n">
        <f aca="false">AE7*AE9*AE10*Inputs!$F$218</f>
        <v>59.941161984</v>
      </c>
      <c r="AF11" s="16" t="n">
        <f aca="false">AF7*AF9*AF10*Inputs!$F$218</f>
        <v>64.5616265536</v>
      </c>
      <c r="AG11" s="16" t="n">
        <f aca="false">AG7*AG9*AG10*Inputs!$F$218</f>
        <v>64.5616265536</v>
      </c>
      <c r="AH11" s="16" t="n">
        <f aca="false">AH7*AH9*AH10*Inputs!$F$218</f>
        <v>66.7567218564224</v>
      </c>
      <c r="AI11" s="16" t="n">
        <f aca="false">AI7*AI9*AI10*Inputs!$F$218</f>
        <v>66.7567218564224</v>
      </c>
      <c r="AJ11" s="16" t="n">
        <f aca="false">AJ7*AJ9*AJ10*Inputs!$F$218</f>
        <v>69.0264503995408</v>
      </c>
      <c r="AK11" s="16" t="n">
        <f aca="false">AK7*AK9*AK10*Inputs!$F$218</f>
        <v>69.0264503995408</v>
      </c>
      <c r="AL11" s="16" t="n">
        <f aca="false">AL7*AL9*AL10*Inputs!$F$218</f>
        <v>71.3733497131252</v>
      </c>
      <c r="AM11" s="16" t="n">
        <f aca="false">AM7*AM9*AM10*Inputs!$F$218</f>
        <v>71.3733497131252</v>
      </c>
      <c r="AN11" s="16" t="n">
        <f aca="false">AN7*AN9*AN10*Inputs!$F$218</f>
        <v>73.8000436033714</v>
      </c>
      <c r="AO11" s="16" t="n">
        <f aca="false">AO7*AO9*AO10*Inputs!$F$218</f>
        <v>73.8000436033714</v>
      </c>
      <c r="AP11" s="16" t="n">
        <f aca="false">AP7*AP9*AP10*Inputs!$F$218</f>
        <v>76.3092450858861</v>
      </c>
      <c r="AQ11" s="16" t="n">
        <f aca="false">AQ7*AQ9*AQ10*Inputs!$F$218</f>
        <v>76.3092450858861</v>
      </c>
      <c r="AR11" s="16" t="n">
        <f aca="false">AR7*AR9*AR10*Inputs!$F$218</f>
        <v>78.9037594188062</v>
      </c>
      <c r="AS11" s="16" t="n">
        <f aca="false">AS7*AS9*AS10*Inputs!$F$218</f>
        <v>78.9037594188062</v>
      </c>
      <c r="AT11" s="16" t="n">
        <f aca="false">AT7*AT9*AT10*Inputs!$F$218</f>
        <v>81.5864872390456</v>
      </c>
      <c r="AU11" s="16" t="n">
        <f aca="false">AU7*AU9*AU10*Inputs!$F$218</f>
        <v>81.5864872390456</v>
      </c>
      <c r="AV11" s="16" t="n">
        <f aca="false">AV7*AV9*AV10*Inputs!$F$218</f>
        <v>84.3604278051731</v>
      </c>
      <c r="AW11" s="16" t="n">
        <f aca="false">AW7*AW9*AW10*Inputs!$F$218</f>
        <v>84.3604278051731</v>
      </c>
      <c r="AX11" s="16" t="n">
        <f aca="false">AX7*AX9*AX10*Inputs!$F$218</f>
        <v>86.3007176446921</v>
      </c>
      <c r="AY11" s="16" t="n">
        <f aca="false">AY7*AY9*AY10*Inputs!$F$218</f>
        <v>86.3007176446921</v>
      </c>
      <c r="AZ11" s="16" t="n">
        <f aca="false">AZ7*AZ9*AZ10*Inputs!$F$218</f>
        <v>88.28563415052</v>
      </c>
      <c r="BA11" s="16" t="n">
        <f aca="false">BA7*BA9*BA10*Inputs!$F$218</f>
        <v>88.28563415052</v>
      </c>
      <c r="BB11" s="16" t="n">
        <f aca="false">BB7*BB9*BB10*Inputs!$F$218</f>
        <v>90.316203735982</v>
      </c>
      <c r="BC11" s="16" t="n">
        <f aca="false">BC7*BC9*BC10*Inputs!$F$218</f>
        <v>90.316203735982</v>
      </c>
      <c r="BD11" s="16" t="n">
        <f aca="false">BD7*BD9*BD10*Inputs!$F$218</f>
        <v>92.3934764219095</v>
      </c>
      <c r="BE11" s="16" t="n">
        <f aca="false">BE7*BE9*BE10*Inputs!$F$218</f>
        <v>92.3934764219095</v>
      </c>
      <c r="BF11" s="16" t="n">
        <f aca="false">BF7*BF9*BF10*Inputs!$F$218</f>
        <v>94.5185263796135</v>
      </c>
      <c r="BG11" s="16" t="n">
        <f aca="false">BG7*BG9*BG10*Inputs!$F$218</f>
        <v>94.5185263796135</v>
      </c>
      <c r="BH11" s="16" t="n">
        <f aca="false">BH7*BH9*BH10*Inputs!$F$218</f>
        <v>96.6924524863446</v>
      </c>
      <c r="BI11" s="16" t="n">
        <f aca="false">BI7*BI9*BI10*Inputs!$F$218</f>
        <v>96.6924524863446</v>
      </c>
      <c r="BJ11" s="16" t="n">
        <f aca="false">BJ7*BJ9*BJ10*Inputs!$F$218</f>
        <v>98.9163788935305</v>
      </c>
      <c r="BK11" s="16" t="n">
        <f aca="false">BK7*BK9*BK10*Inputs!$F$218</f>
        <v>98.9163788935305</v>
      </c>
      <c r="BL11" s="16" t="n">
        <f aca="false">BL7*BL9*BL10*Inputs!$F$218</f>
        <v>101.191455608082</v>
      </c>
      <c r="BM11" s="16" t="n">
        <f aca="false">BM7*BM9*BM10*Inputs!$F$218</f>
        <v>101.191455608082</v>
      </c>
      <c r="BN11" s="16" t="n">
        <f aca="false">BN7*BN9*BN10*Inputs!$F$218</f>
        <v>103.518859087068</v>
      </c>
      <c r="BO11" s="16" t="n">
        <f aca="false">BO7*BO9*BO10*Inputs!$F$218</f>
        <v>103.518859087068</v>
      </c>
      <c r="BP11" s="16" t="n">
        <f aca="false">BP7*BP9*BP10*Inputs!$F$218</f>
        <v>105.89979284607</v>
      </c>
      <c r="BQ11" s="16" t="n">
        <f aca="false">BQ7*BQ9*BQ10*Inputs!$F$218</f>
        <v>105.89979284607</v>
      </c>
      <c r="BR11" s="16" t="n">
        <f aca="false">BR7*BR9*BR10*Inputs!$F$218</f>
        <v>107.170590360223</v>
      </c>
      <c r="BS11" s="16" t="n">
        <f aca="false">BS7*BS9*BS10*Inputs!$F$218</f>
        <v>107.170590360223</v>
      </c>
      <c r="BT11" s="16" t="n">
        <f aca="false">BT7*BT9*BT10*Inputs!$F$218</f>
        <v>108.456637444546</v>
      </c>
      <c r="BU11" s="16" t="n">
        <f aca="false">BU7*BU9*BU10*Inputs!$F$218</f>
        <v>108.456637444546</v>
      </c>
      <c r="BV11" s="16" t="n">
        <f aca="false">BV7*BV9*BV10*Inputs!$F$218</f>
        <v>109.75811709388</v>
      </c>
      <c r="BW11" s="16" t="n">
        <f aca="false">BW7*BW9*BW10*Inputs!$F$218</f>
        <v>109.75811709388</v>
      </c>
      <c r="BX11" s="16" t="n">
        <f aca="false">BX7*BX9*BX10*Inputs!$F$218</f>
        <v>111.075214499007</v>
      </c>
      <c r="BY11" s="16" t="n">
        <f aca="false">BY7*BY9*BY10*Inputs!$F$218</f>
        <v>111.075214499007</v>
      </c>
      <c r="BZ11" s="16" t="n">
        <f aca="false">BZ7*BZ9*BZ10*Inputs!$F$218</f>
        <v>112.408117072995</v>
      </c>
      <c r="CA11" s="16" t="n">
        <f aca="false">CA7*CA9*CA10*Inputs!$F$218</f>
        <v>112.408117072995</v>
      </c>
      <c r="CB11" s="16" t="n">
        <f aca="false">CB7*CB9*CB10*Inputs!$F$218</f>
        <v>113.757014477871</v>
      </c>
      <c r="CC11" s="16" t="n">
        <f aca="false">CC7*CC9*CC10*Inputs!$F$218</f>
        <v>113.757014477871</v>
      </c>
      <c r="CD11" s="16" t="n">
        <f aca="false">CD7*CD9*CD10*Inputs!$F$218</f>
        <v>115.122098651605</v>
      </c>
      <c r="CE11" s="16" t="n">
        <f aca="false">CE7*CE9*CE10*Inputs!$F$218</f>
        <v>115.122098651605</v>
      </c>
      <c r="CF11" s="16" t="n">
        <f aca="false">CF7*CF9*CF10*Inputs!$F$218</f>
        <v>116.503563835424</v>
      </c>
      <c r="CG11" s="16" t="n">
        <f aca="false">CG7*CG9*CG10*Inputs!$F$218</f>
        <v>116.503563835424</v>
      </c>
      <c r="CH11" s="16" t="n">
        <f aca="false">CH7*CH9*CH10*Inputs!$F$218</f>
        <v>117.90160660145</v>
      </c>
      <c r="CI11" s="16" t="n">
        <f aca="false">CI7*CI9*CI10*Inputs!$F$218</f>
        <v>117.90160660145</v>
      </c>
      <c r="CJ11" s="16" t="n">
        <f aca="false">CJ7*CJ9*CJ10*Inputs!$F$218</f>
        <v>119.316425880667</v>
      </c>
      <c r="CK11" s="16" t="n">
        <f aca="false">CK7*CK9*CK10*Inputs!$F$218</f>
        <v>119.316425880667</v>
      </c>
      <c r="CL11" s="16" t="n">
        <f aca="false">CL7*CL9*CL10*Inputs!$F$218</f>
        <v>120.748222991235</v>
      </c>
      <c r="CM11" s="16" t="n">
        <f aca="false">CM7*CM9*CM10*Inputs!$F$218</f>
        <v>120.748222991235</v>
      </c>
      <c r="CN11" s="16" t="n">
        <f aca="false">CN7*CN9*CN10*Inputs!$F$218</f>
        <v>122.19720166713</v>
      </c>
      <c r="CO11" s="16" t="n">
        <f aca="false">CO7*CO9*CO10*Inputs!$F$218</f>
        <v>122.19720166713</v>
      </c>
      <c r="CP11" s="16" t="n">
        <f aca="false">CP7*CP9*CP10*Inputs!$F$218</f>
        <v>123.663568087135</v>
      </c>
      <c r="CQ11" s="16" t="n">
        <f aca="false">CQ7*CQ9*CQ10*Inputs!$F$218</f>
        <v>123.663568087135</v>
      </c>
      <c r="CR11" s="16" t="n">
        <f aca="false">CR7*CR9*CR10*Inputs!$F$218</f>
        <v>125.147530904181</v>
      </c>
      <c r="CS11" s="16" t="n">
        <f aca="false">CS7*CS9*CS10*Inputs!$F$218</f>
        <v>125.147530904181</v>
      </c>
      <c r="CT11" s="16" t="n">
        <f aca="false">CT7*CT9*CT10*Inputs!$F$218</f>
        <v>126.649301275031</v>
      </c>
      <c r="CU11" s="16" t="n">
        <f aca="false">CU7*CU9*CU10*Inputs!$F$218</f>
        <v>126.649301275031</v>
      </c>
      <c r="CV11" s="16" t="n">
        <f aca="false">CV7*CV9*CV10*Inputs!$F$218</f>
        <v>128.169092890331</v>
      </c>
      <c r="CW11" s="16" t="n">
        <f aca="false">CW7*CW9*CW10*Inputs!$F$218</f>
        <v>128.169092890331</v>
      </c>
      <c r="CX11" s="16" t="n">
        <f aca="false">CX7*CX9*CX10*Inputs!$F$218</f>
        <v>129.707122005015</v>
      </c>
      <c r="CY11" s="16" t="n">
        <f aca="false">CY7*CY9*CY10*Inputs!$F$218</f>
        <v>129.707122005015</v>
      </c>
      <c r="CZ11" s="16" t="n">
        <f aca="false">CZ7*CZ9*CZ10*Inputs!$F$218</f>
        <v>131.263607469076</v>
      </c>
      <c r="DA11" s="16" t="n">
        <f aca="false">DA7*DA9*DA10*Inputs!$F$218</f>
        <v>131.263607469076</v>
      </c>
      <c r="DB11" s="16" t="n">
        <f aca="false">DB7*DB9*DB10*Inputs!$F$218</f>
        <v>132.838770758705</v>
      </c>
    </row>
    <row r="12" customFormat="false" ht="15" hidden="false" customHeight="false" outlineLevel="0" collapsed="false">
      <c r="D12" s="0" t="s">
        <v>383</v>
      </c>
      <c r="E12" s="0" t="s">
        <v>263</v>
      </c>
      <c r="J12" s="28" t="n">
        <f aca="false">IFERROR(INDEX(Inputs!$J$262:$X$262,MATCH(Time!J13,Inputs!$J$261:$X$261,0)),0)</f>
        <v>0</v>
      </c>
      <c r="K12" s="28" t="n">
        <f aca="false">IFERROR(INDEX(Inputs!$J$262:$X$262,MATCH(Time!K13,Inputs!$J$261:$X$261,0)),0)</f>
        <v>0</v>
      </c>
      <c r="L12" s="28" t="n">
        <f aca="false">IFERROR(INDEX(Inputs!$J$262:$X$262,MATCH(Time!L13,Inputs!$J$261:$X$261,0)),0)</f>
        <v>0</v>
      </c>
      <c r="M12" s="28" t="n">
        <f aca="false">IFERROR(INDEX(Inputs!$J$262:$X$262,MATCH(Time!M13,Inputs!$J$261:$X$261,0)),0)</f>
        <v>0</v>
      </c>
      <c r="N12" s="28" t="n">
        <f aca="false">IFERROR(INDEX(Inputs!$J$262:$X$262,MATCH(Time!N13,Inputs!$J$261:$X$261,0)),0)</f>
        <v>0</v>
      </c>
      <c r="O12" s="28" t="n">
        <f aca="false">IFERROR(INDEX(Inputs!$J$262:$X$262,MATCH(Time!O13,Inputs!$J$261:$X$261,0)),0)</f>
        <v>0</v>
      </c>
      <c r="P12" s="28" t="n">
        <f aca="false">IFERROR(INDEX(Inputs!$J$262:$X$262,MATCH(Time!P13,Inputs!$J$261:$X$261,0)),0)</f>
        <v>0</v>
      </c>
      <c r="Q12" s="28" t="n">
        <f aca="false">IFERROR(INDEX(Inputs!$J$262:$X$262,MATCH(Time!Q13,Inputs!$J$261:$X$261,0)),0)</f>
        <v>0</v>
      </c>
      <c r="R12" s="28" t="n">
        <f aca="false">IFERROR(INDEX(Inputs!$J$262:$X$262,MATCH(Time!R13,Inputs!$J$261:$X$261,0)),0)</f>
        <v>0</v>
      </c>
      <c r="S12" s="28" t="n">
        <f aca="false">IFERROR(INDEX(Inputs!$J$262:$X$262,MATCH(Time!S13,Inputs!$J$261:$X$261,0)),0)</f>
        <v>0</v>
      </c>
      <c r="T12" s="28" t="n">
        <f aca="false">IFERROR(INDEX(Inputs!$J$262:$X$262,MATCH(Time!T13,Inputs!$J$261:$X$261,0)),0)</f>
        <v>0</v>
      </c>
      <c r="U12" s="28" t="n">
        <f aca="false">IFERROR(INDEX(Inputs!$J$262:$X$262,MATCH(Time!U13,Inputs!$J$261:$X$261,0)),0)</f>
        <v>0</v>
      </c>
      <c r="V12" s="28" t="n">
        <f aca="false">IFERROR(INDEX(Inputs!$J$262:$X$262,MATCH(Time!V13,Inputs!$J$261:$X$261,0)),0)</f>
        <v>0</v>
      </c>
      <c r="W12" s="28" t="n">
        <f aca="false">IFERROR(INDEX(Inputs!$J$262:$X$262,MATCH(Time!W13,Inputs!$J$261:$X$261,0)),0)</f>
        <v>0</v>
      </c>
      <c r="X12" s="28" t="n">
        <f aca="false">IFERROR(INDEX(Inputs!$J$262:$X$262,MATCH(Time!X13,Inputs!$J$261:$X$261,0)),0)</f>
        <v>0</v>
      </c>
      <c r="Y12" s="28" t="n">
        <f aca="false">IFERROR(INDEX(Inputs!$J$262:$X$262,MATCH(Time!Y13,Inputs!$J$261:$X$261,0)),0)</f>
        <v>28.1</v>
      </c>
      <c r="Z12" s="28" t="n">
        <f aca="false">IFERROR(INDEX(Inputs!$J$262:$X$262,MATCH(Time!Z13,Inputs!$J$261:$X$261,0)),0)</f>
        <v>28.1</v>
      </c>
      <c r="AA12" s="28" t="n">
        <f aca="false">IFERROR(INDEX(Inputs!$J$262:$X$262,MATCH(Time!AA13,Inputs!$J$261:$X$261,0)),0)</f>
        <v>31.1</v>
      </c>
      <c r="AB12" s="28" t="n">
        <f aca="false">IFERROR(INDEX(Inputs!$J$262:$X$262,MATCH(Time!AB13,Inputs!$J$261:$X$261,0)),0)</f>
        <v>21.4</v>
      </c>
      <c r="AC12" s="28" t="n">
        <f aca="false">IFERROR(INDEX(Inputs!$J$262:$X$262,MATCH(Time!AC13,Inputs!$J$261:$X$261,0)),0)</f>
        <v>30</v>
      </c>
      <c r="AD12" s="28" t="n">
        <f aca="false">IFERROR(INDEX(Inputs!$J$262:$X$262,MATCH(Time!AD13,Inputs!$J$261:$X$261,0)),0)</f>
        <v>31.8</v>
      </c>
      <c r="AE12" s="28" t="n">
        <f aca="false">IFERROR(INDEX(Inputs!$J$262:$X$262,MATCH(Time!AE13,Inputs!$J$261:$X$261,0)),0)</f>
        <v>36</v>
      </c>
      <c r="AF12" s="28" t="n">
        <f aca="false">IFERROR(INDEX(Inputs!$J$262:$X$262,MATCH(Time!AF13,Inputs!$J$261:$X$261,0)),0)</f>
        <v>39.1</v>
      </c>
      <c r="AG12" s="28" t="n">
        <f aca="false">IFERROR(INDEX(Inputs!$J$262:$X$262,MATCH(Time!AG13,Inputs!$J$261:$X$261,0)),0)</f>
        <v>41.3</v>
      </c>
      <c r="AH12" s="28" t="n">
        <f aca="false">IFERROR(INDEX(Inputs!$J$262:$X$262,MATCH(Time!AH13,Inputs!$J$261:$X$261,0)),0)</f>
        <v>41.9</v>
      </c>
      <c r="AI12" s="28" t="n">
        <f aca="false">IFERROR(INDEX(Inputs!$J$262:$X$262,MATCH(Time!AI13,Inputs!$J$261:$X$261,0)),0)</f>
        <v>43.3</v>
      </c>
      <c r="AJ12" s="28" t="n">
        <f aca="false">IFERROR(INDEX(Inputs!$J$262:$X$262,MATCH(Time!AJ13,Inputs!$J$261:$X$261,0)),0)</f>
        <v>43.9</v>
      </c>
      <c r="AK12" s="28" t="n">
        <f aca="false">IFERROR(INDEX(Inputs!$J$262:$X$262,MATCH(Time!AK13,Inputs!$J$261:$X$261,0)),0)</f>
        <v>45.5</v>
      </c>
      <c r="AL12" s="28" t="n">
        <f aca="false">IFERROR(INDEX(Inputs!$J$262:$X$262,MATCH(Time!AL13,Inputs!$J$261:$X$261,0)),0)</f>
        <v>45.8</v>
      </c>
      <c r="AM12" s="28" t="n">
        <f aca="false">IFERROR(INDEX(Inputs!$J$262:$X$262,MATCH(Time!AM13,Inputs!$J$261:$X$261,0)),0)</f>
        <v>46.8</v>
      </c>
      <c r="AN12" s="28" t="n">
        <f aca="false">IFERROR(INDEX(Inputs!$J$262:$X$262,MATCH(Time!AN13,Inputs!$J$261:$X$261,0)),0)</f>
        <v>47.1</v>
      </c>
      <c r="AO12" s="28" t="n">
        <f aca="false">IFERROR(INDEX(Inputs!$J$262:$X$262,MATCH(Time!AO13,Inputs!$J$261:$X$261,0)),0)</f>
        <v>0</v>
      </c>
      <c r="AP12" s="28" t="n">
        <f aca="false">IFERROR(INDEX(Inputs!$J$262:$X$262,MATCH(Time!AP13,Inputs!$J$261:$X$261,0)),0)</f>
        <v>0</v>
      </c>
      <c r="AQ12" s="28" t="n">
        <f aca="false">IFERROR(INDEX(Inputs!$J$262:$X$262,MATCH(Time!AQ13,Inputs!$J$261:$X$261,0)),0)</f>
        <v>0</v>
      </c>
      <c r="AR12" s="28" t="n">
        <f aca="false">IFERROR(INDEX(Inputs!$J$262:$X$262,MATCH(Time!AR13,Inputs!$J$261:$X$261,0)),0)</f>
        <v>0</v>
      </c>
      <c r="AS12" s="28" t="n">
        <f aca="false">IFERROR(INDEX(Inputs!$J$262:$X$262,MATCH(Time!AS13,Inputs!$J$261:$X$261,0)),0)</f>
        <v>0</v>
      </c>
      <c r="AT12" s="28" t="n">
        <f aca="false">IFERROR(INDEX(Inputs!$J$262:$X$262,MATCH(Time!AT13,Inputs!$J$261:$X$261,0)),0)</f>
        <v>0</v>
      </c>
      <c r="AU12" s="28" t="n">
        <f aca="false">IFERROR(INDEX(Inputs!$J$262:$X$262,MATCH(Time!AU13,Inputs!$J$261:$X$261,0)),0)</f>
        <v>0</v>
      </c>
      <c r="AV12" s="28" t="n">
        <f aca="false">IFERROR(INDEX(Inputs!$J$262:$X$262,MATCH(Time!AV13,Inputs!$J$261:$X$261,0)),0)</f>
        <v>0</v>
      </c>
      <c r="AW12" s="28" t="n">
        <f aca="false">IFERROR(INDEX(Inputs!$J$262:$X$262,MATCH(Time!AW13,Inputs!$J$261:$X$261,0)),0)</f>
        <v>0</v>
      </c>
      <c r="AX12" s="28" t="n">
        <f aca="false">IFERROR(INDEX(Inputs!$J$262:$X$262,MATCH(Time!AX13,Inputs!$J$261:$X$261,0)),0)</f>
        <v>0</v>
      </c>
      <c r="AY12" s="28" t="n">
        <f aca="false">IFERROR(INDEX(Inputs!$J$262:$X$262,MATCH(Time!AY13,Inputs!$J$261:$X$261,0)),0)</f>
        <v>0</v>
      </c>
      <c r="AZ12" s="28" t="n">
        <f aca="false">IFERROR(INDEX(Inputs!$J$262:$X$262,MATCH(Time!AZ13,Inputs!$J$261:$X$261,0)),0)</f>
        <v>0</v>
      </c>
      <c r="BA12" s="28" t="n">
        <f aca="false">IFERROR(INDEX(Inputs!$J$262:$X$262,MATCH(Time!BA13,Inputs!$J$261:$X$261,0)),0)</f>
        <v>0</v>
      </c>
      <c r="BB12" s="28" t="n">
        <f aca="false">IFERROR(INDEX(Inputs!$J$262:$X$262,MATCH(Time!BB13,Inputs!$J$261:$X$261,0)),0)</f>
        <v>0</v>
      </c>
      <c r="BC12" s="28" t="n">
        <f aca="false">IFERROR(INDEX(Inputs!$J$262:$X$262,MATCH(Time!BC13,Inputs!$J$261:$X$261,0)),0)</f>
        <v>0</v>
      </c>
      <c r="BD12" s="28" t="n">
        <f aca="false">IFERROR(INDEX(Inputs!$J$262:$X$262,MATCH(Time!BD13,Inputs!$J$261:$X$261,0)),0)</f>
        <v>0</v>
      </c>
      <c r="BE12" s="28" t="n">
        <f aca="false">IFERROR(INDEX(Inputs!$J$262:$X$262,MATCH(Time!BE13,Inputs!$J$261:$X$261,0)),0)</f>
        <v>0</v>
      </c>
      <c r="BF12" s="28" t="n">
        <f aca="false">IFERROR(INDEX(Inputs!$J$262:$X$262,MATCH(Time!BF13,Inputs!$J$261:$X$261,0)),0)</f>
        <v>0</v>
      </c>
      <c r="BG12" s="28" t="n">
        <f aca="false">IFERROR(INDEX(Inputs!$J$262:$X$262,MATCH(Time!BG13,Inputs!$J$261:$X$261,0)),0)</f>
        <v>0</v>
      </c>
      <c r="BH12" s="28" t="n">
        <f aca="false">IFERROR(INDEX(Inputs!$J$262:$X$262,MATCH(Time!BH13,Inputs!$J$261:$X$261,0)),0)</f>
        <v>0</v>
      </c>
      <c r="BI12" s="28" t="n">
        <f aca="false">IFERROR(INDEX(Inputs!$J$262:$X$262,MATCH(Time!BI13,Inputs!$J$261:$X$261,0)),0)</f>
        <v>0</v>
      </c>
      <c r="BJ12" s="28" t="n">
        <f aca="false">IFERROR(INDEX(Inputs!$J$262:$X$262,MATCH(Time!BJ13,Inputs!$J$261:$X$261,0)),0)</f>
        <v>0</v>
      </c>
      <c r="BK12" s="28" t="n">
        <f aca="false">IFERROR(INDEX(Inputs!$J$262:$X$262,MATCH(Time!BK13,Inputs!$J$261:$X$261,0)),0)</f>
        <v>0</v>
      </c>
      <c r="BL12" s="28" t="n">
        <f aca="false">IFERROR(INDEX(Inputs!$J$262:$X$262,MATCH(Time!BL13,Inputs!$J$261:$X$261,0)),0)</f>
        <v>0</v>
      </c>
      <c r="BM12" s="28" t="n">
        <f aca="false">IFERROR(INDEX(Inputs!$J$262:$X$262,MATCH(Time!BM13,Inputs!$J$261:$X$261,0)),0)</f>
        <v>0</v>
      </c>
      <c r="BN12" s="28" t="n">
        <f aca="false">IFERROR(INDEX(Inputs!$J$262:$X$262,MATCH(Time!BN13,Inputs!$J$261:$X$261,0)),0)</f>
        <v>0</v>
      </c>
      <c r="BO12" s="28" t="n">
        <f aca="false">IFERROR(INDEX(Inputs!$J$262:$X$262,MATCH(Time!BO13,Inputs!$J$261:$X$261,0)),0)</f>
        <v>0</v>
      </c>
      <c r="BP12" s="28" t="n">
        <f aca="false">IFERROR(INDEX(Inputs!$J$262:$X$262,MATCH(Time!BP13,Inputs!$J$261:$X$261,0)),0)</f>
        <v>0</v>
      </c>
      <c r="BQ12" s="28" t="n">
        <f aca="false">IFERROR(INDEX(Inputs!$J$262:$X$262,MATCH(Time!BQ13,Inputs!$J$261:$X$261,0)),0)</f>
        <v>0</v>
      </c>
      <c r="BR12" s="28" t="n">
        <f aca="false">IFERROR(INDEX(Inputs!$J$262:$X$262,MATCH(Time!BR13,Inputs!$J$261:$X$261,0)),0)</f>
        <v>0</v>
      </c>
      <c r="BS12" s="28" t="n">
        <f aca="false">IFERROR(INDEX(Inputs!$J$262:$X$262,MATCH(Time!BS13,Inputs!$J$261:$X$261,0)),0)</f>
        <v>0</v>
      </c>
      <c r="BT12" s="28" t="n">
        <f aca="false">IFERROR(INDEX(Inputs!$J$262:$X$262,MATCH(Time!BT13,Inputs!$J$261:$X$261,0)),0)</f>
        <v>0</v>
      </c>
      <c r="BU12" s="28" t="n">
        <f aca="false">IFERROR(INDEX(Inputs!$J$262:$X$262,MATCH(Time!BU13,Inputs!$J$261:$X$261,0)),0)</f>
        <v>0</v>
      </c>
      <c r="BV12" s="28" t="n">
        <f aca="false">IFERROR(INDEX(Inputs!$J$262:$X$262,MATCH(Time!BV13,Inputs!$J$261:$X$261,0)),0)</f>
        <v>0</v>
      </c>
      <c r="BW12" s="28" t="n">
        <f aca="false">IFERROR(INDEX(Inputs!$J$262:$X$262,MATCH(Time!BW13,Inputs!$J$261:$X$261,0)),0)</f>
        <v>0</v>
      </c>
      <c r="BX12" s="28" t="n">
        <f aca="false">IFERROR(INDEX(Inputs!$J$262:$X$262,MATCH(Time!BX13,Inputs!$J$261:$X$261,0)),0)</f>
        <v>0</v>
      </c>
      <c r="BY12" s="28" t="n">
        <f aca="false">IFERROR(INDEX(Inputs!$J$262:$X$262,MATCH(Time!BY13,Inputs!$J$261:$X$261,0)),0)</f>
        <v>0</v>
      </c>
      <c r="BZ12" s="28" t="n">
        <f aca="false">IFERROR(INDEX(Inputs!$J$262:$X$262,MATCH(Time!BZ13,Inputs!$J$261:$X$261,0)),0)</f>
        <v>0</v>
      </c>
      <c r="CA12" s="28" t="n">
        <f aca="false">IFERROR(INDEX(Inputs!$J$262:$X$262,MATCH(Time!CA13,Inputs!$J$261:$X$261,0)),0)</f>
        <v>0</v>
      </c>
      <c r="CB12" s="28" t="n">
        <f aca="false">IFERROR(INDEX(Inputs!$J$262:$X$262,MATCH(Time!CB13,Inputs!$J$261:$X$261,0)),0)</f>
        <v>0</v>
      </c>
      <c r="CC12" s="28" t="n">
        <f aca="false">IFERROR(INDEX(Inputs!$J$262:$X$262,MATCH(Time!CC13,Inputs!$J$261:$X$261,0)),0)</f>
        <v>0</v>
      </c>
      <c r="CD12" s="28" t="n">
        <f aca="false">IFERROR(INDEX(Inputs!$J$262:$X$262,MATCH(Time!CD13,Inputs!$J$261:$X$261,0)),0)</f>
        <v>0</v>
      </c>
      <c r="CE12" s="28" t="n">
        <f aca="false">IFERROR(INDEX(Inputs!$J$262:$X$262,MATCH(Time!CE13,Inputs!$J$261:$X$261,0)),0)</f>
        <v>0</v>
      </c>
      <c r="CF12" s="28" t="n">
        <f aca="false">IFERROR(INDEX(Inputs!$J$262:$X$262,MATCH(Time!CF13,Inputs!$J$261:$X$261,0)),0)</f>
        <v>0</v>
      </c>
      <c r="CG12" s="28" t="n">
        <f aca="false">IFERROR(INDEX(Inputs!$J$262:$X$262,MATCH(Time!CG13,Inputs!$J$261:$X$261,0)),0)</f>
        <v>0</v>
      </c>
      <c r="CH12" s="28" t="n">
        <f aca="false">IFERROR(INDEX(Inputs!$J$262:$X$262,MATCH(Time!CH13,Inputs!$J$261:$X$261,0)),0)</f>
        <v>0</v>
      </c>
      <c r="CI12" s="28" t="n">
        <f aca="false">IFERROR(INDEX(Inputs!$J$262:$X$262,MATCH(Time!CI13,Inputs!$J$261:$X$261,0)),0)</f>
        <v>0</v>
      </c>
      <c r="CJ12" s="28" t="n">
        <f aca="false">IFERROR(INDEX(Inputs!$J$262:$X$262,MATCH(Time!CJ13,Inputs!$J$261:$X$261,0)),0)</f>
        <v>0</v>
      </c>
      <c r="CK12" s="28" t="n">
        <f aca="false">IFERROR(INDEX(Inputs!$J$262:$X$262,MATCH(Time!CK13,Inputs!$J$261:$X$261,0)),0)</f>
        <v>0</v>
      </c>
      <c r="CL12" s="28" t="n">
        <f aca="false">IFERROR(INDEX(Inputs!$J$262:$X$262,MATCH(Time!CL13,Inputs!$J$261:$X$261,0)),0)</f>
        <v>0</v>
      </c>
      <c r="CM12" s="28" t="n">
        <f aca="false">IFERROR(INDEX(Inputs!$J$262:$X$262,MATCH(Time!CM13,Inputs!$J$261:$X$261,0)),0)</f>
        <v>0</v>
      </c>
      <c r="CN12" s="28" t="n">
        <f aca="false">IFERROR(INDEX(Inputs!$J$262:$X$262,MATCH(Time!CN13,Inputs!$J$261:$X$261,0)),0)</f>
        <v>0</v>
      </c>
      <c r="CO12" s="28" t="n">
        <f aca="false">IFERROR(INDEX(Inputs!$J$262:$X$262,MATCH(Time!CO13,Inputs!$J$261:$X$261,0)),0)</f>
        <v>0</v>
      </c>
      <c r="CP12" s="28" t="n">
        <f aca="false">IFERROR(INDEX(Inputs!$J$262:$X$262,MATCH(Time!CP13,Inputs!$J$261:$X$261,0)),0)</f>
        <v>0</v>
      </c>
      <c r="CQ12" s="28" t="n">
        <f aca="false">IFERROR(INDEX(Inputs!$J$262:$X$262,MATCH(Time!CQ13,Inputs!$J$261:$X$261,0)),0)</f>
        <v>0</v>
      </c>
      <c r="CR12" s="28" t="n">
        <f aca="false">IFERROR(INDEX(Inputs!$J$262:$X$262,MATCH(Time!CR13,Inputs!$J$261:$X$261,0)),0)</f>
        <v>0</v>
      </c>
      <c r="CS12" s="28" t="n">
        <f aca="false">IFERROR(INDEX(Inputs!$J$262:$X$262,MATCH(Time!CS13,Inputs!$J$261:$X$261,0)),0)</f>
        <v>0</v>
      </c>
      <c r="CT12" s="28" t="n">
        <f aca="false">IFERROR(INDEX(Inputs!$J$262:$X$262,MATCH(Time!CT13,Inputs!$J$261:$X$261,0)),0)</f>
        <v>0</v>
      </c>
      <c r="CU12" s="28" t="n">
        <f aca="false">IFERROR(INDEX(Inputs!$J$262:$X$262,MATCH(Time!CU13,Inputs!$J$261:$X$261,0)),0)</f>
        <v>0</v>
      </c>
      <c r="CV12" s="28" t="n">
        <f aca="false">IFERROR(INDEX(Inputs!$J$262:$X$262,MATCH(Time!CV13,Inputs!$J$261:$X$261,0)),0)</f>
        <v>0</v>
      </c>
      <c r="CW12" s="28" t="n">
        <f aca="false">IFERROR(INDEX(Inputs!$J$262:$X$262,MATCH(Time!CW13,Inputs!$J$261:$X$261,0)),0)</f>
        <v>0</v>
      </c>
      <c r="CX12" s="28" t="n">
        <f aca="false">IFERROR(INDEX(Inputs!$J$262:$X$262,MATCH(Time!CX13,Inputs!$J$261:$X$261,0)),0)</f>
        <v>0</v>
      </c>
      <c r="CY12" s="28" t="n">
        <f aca="false">IFERROR(INDEX(Inputs!$J$262:$X$262,MATCH(Time!CY13,Inputs!$J$261:$X$261,0)),0)</f>
        <v>0</v>
      </c>
      <c r="CZ12" s="28" t="n">
        <f aca="false">IFERROR(INDEX(Inputs!$J$262:$X$262,MATCH(Time!CZ13,Inputs!$J$261:$X$261,0)),0)</f>
        <v>0</v>
      </c>
      <c r="DA12" s="28" t="n">
        <f aca="false">IFERROR(INDEX(Inputs!$J$262:$X$262,MATCH(Time!DA13,Inputs!$J$261:$X$261,0)),0)</f>
        <v>0</v>
      </c>
      <c r="DB12" s="28" t="n">
        <f aca="false">IFERROR(INDEX(Inputs!$J$262:$X$262,MATCH(Time!DB13,Inputs!$J$261:$X$261,0)),0)</f>
        <v>0</v>
      </c>
    </row>
    <row r="13" customFormat="false" ht="15" hidden="false" customHeight="false" outlineLevel="0" collapsed="false">
      <c r="D13" s="0" t="s">
        <v>384</v>
      </c>
      <c r="E13" s="0" t="s">
        <v>263</v>
      </c>
      <c r="J13" s="16" t="n">
        <f aca="false">IF(Time!J39=1,J12,J11)*Time!J26</f>
        <v>0</v>
      </c>
      <c r="K13" s="16" t="n">
        <f aca="false">IF(Time!K39=1,K12,K11)*Time!K26</f>
        <v>0</v>
      </c>
      <c r="L13" s="16" t="n">
        <f aca="false">IF(Time!L39=1,L12,L11)*Time!L26</f>
        <v>0</v>
      </c>
      <c r="M13" s="16" t="n">
        <f aca="false">IF(Time!M39=1,M12,M11)*Time!M26</f>
        <v>0</v>
      </c>
      <c r="N13" s="16" t="n">
        <f aca="false">IF(Time!N39=1,N12,N11)*Time!N26</f>
        <v>0</v>
      </c>
      <c r="O13" s="16" t="n">
        <f aca="false">IF(Time!O39=1,O12,O11)*Time!O26</f>
        <v>0</v>
      </c>
      <c r="P13" s="16" t="n">
        <f aca="false">IF(Time!P39=1,P12,P11)*Time!P26</f>
        <v>0</v>
      </c>
      <c r="Q13" s="16" t="n">
        <f aca="false">IF(Time!Q39=1,Q12,Q11)*Time!Q26</f>
        <v>0</v>
      </c>
      <c r="R13" s="16" t="n">
        <f aca="false">IF(Time!R39=1,R12,R11)*Time!R26</f>
        <v>0</v>
      </c>
      <c r="S13" s="16" t="n">
        <f aca="false">IF(Time!S39=1,S12,S11)*Time!S26</f>
        <v>0</v>
      </c>
      <c r="T13" s="16" t="n">
        <f aca="false">IF(Time!T39=1,T12,T11)*Time!T26</f>
        <v>0</v>
      </c>
      <c r="U13" s="16" t="n">
        <f aca="false">IF(Time!U39=1,U12,U11)*Time!U26</f>
        <v>0</v>
      </c>
      <c r="V13" s="16" t="n">
        <f aca="false">IF(Time!V39=1,V12,V11)*Time!V26</f>
        <v>0</v>
      </c>
      <c r="W13" s="16" t="n">
        <f aca="false">IF(Time!W39=1,W12,W11)*Time!W26</f>
        <v>0</v>
      </c>
      <c r="X13" s="16" t="n">
        <f aca="false">IF(Time!X39=1,X12,X11)*Time!X26</f>
        <v>0</v>
      </c>
      <c r="Y13" s="16" t="n">
        <f aca="false">IF(Time!Y39=1,Y12,Y11)*Time!Y26</f>
        <v>0</v>
      </c>
      <c r="Z13" s="16" t="n">
        <f aca="false">IF(Time!Z39=1,Z12,Z11)*Time!Z26</f>
        <v>46.72</v>
      </c>
      <c r="AA13" s="16" t="n">
        <f aca="false">IF(Time!AA39=1,AA12,AA11)*Time!AA26</f>
        <v>46.72</v>
      </c>
      <c r="AB13" s="16" t="n">
        <f aca="false">IF(Time!AB39=1,AB12,AB11)*Time!AB26</f>
        <v>54.34704</v>
      </c>
      <c r="AC13" s="16" t="n">
        <f aca="false">IF(Time!AC39=1,AC12,AC11)*Time!AC26</f>
        <v>54.34704</v>
      </c>
      <c r="AD13" s="16" t="n">
        <f aca="false">IF(Time!AD39=1,AD12,AD11)*Time!AD26</f>
        <v>59.941161984</v>
      </c>
      <c r="AE13" s="16" t="n">
        <f aca="false">IF(Time!AE39=1,AE12,AE11)*Time!AE26</f>
        <v>59.941161984</v>
      </c>
      <c r="AF13" s="16" t="n">
        <f aca="false">IF(Time!AF39=1,AF12,AF11)*Time!AF26</f>
        <v>64.5616265536</v>
      </c>
      <c r="AG13" s="16" t="n">
        <f aca="false">IF(Time!AG39=1,AG12,AG11)*Time!AG26</f>
        <v>64.5616265536</v>
      </c>
      <c r="AH13" s="16" t="n">
        <f aca="false">IF(Time!AH39=1,AH12,AH11)*Time!AH26</f>
        <v>66.7567218564224</v>
      </c>
      <c r="AI13" s="16" t="n">
        <f aca="false">IF(Time!AI39=1,AI12,AI11)*Time!AI26</f>
        <v>66.7567218564224</v>
      </c>
      <c r="AJ13" s="16" t="n">
        <f aca="false">IF(Time!AJ39=1,AJ12,AJ11)*Time!AJ26</f>
        <v>69.0264503995408</v>
      </c>
      <c r="AK13" s="16" t="n">
        <f aca="false">IF(Time!AK39=1,AK12,AK11)*Time!AK26</f>
        <v>69.0264503995408</v>
      </c>
      <c r="AL13" s="16" t="n">
        <f aca="false">IF(Time!AL39=1,AL12,AL11)*Time!AL26</f>
        <v>71.3733497131252</v>
      </c>
      <c r="AM13" s="16" t="n">
        <f aca="false">IF(Time!AM39=1,AM12,AM11)*Time!AM26</f>
        <v>71.3733497131252</v>
      </c>
      <c r="AN13" s="16" t="n">
        <f aca="false">IF(Time!AN39=1,AN12,AN11)*Time!AN26</f>
        <v>73.8000436033714</v>
      </c>
      <c r="AO13" s="16" t="n">
        <f aca="false">IF(Time!AO39=1,AO12,AO11)*Time!AO26</f>
        <v>73.8000436033714</v>
      </c>
      <c r="AP13" s="16" t="n">
        <f aca="false">IF(Time!AP39=1,AP12,AP11)*Time!AP26</f>
        <v>76.3092450858861</v>
      </c>
      <c r="AQ13" s="16" t="n">
        <f aca="false">IF(Time!AQ39=1,AQ12,AQ11)*Time!AQ26</f>
        <v>76.3092450858861</v>
      </c>
      <c r="AR13" s="16" t="n">
        <f aca="false">IF(Time!AR39=1,AR12,AR11)*Time!AR26</f>
        <v>78.9037594188062</v>
      </c>
      <c r="AS13" s="16" t="n">
        <f aca="false">IF(Time!AS39=1,AS12,AS11)*Time!AS26</f>
        <v>78.9037594188062</v>
      </c>
      <c r="AT13" s="16" t="n">
        <f aca="false">IF(Time!AT39=1,AT12,AT11)*Time!AT26</f>
        <v>81.5864872390456</v>
      </c>
      <c r="AU13" s="16" t="n">
        <f aca="false">IF(Time!AU39=1,AU12,AU11)*Time!AU26</f>
        <v>81.5864872390456</v>
      </c>
      <c r="AV13" s="16" t="n">
        <f aca="false">IF(Time!AV39=1,AV12,AV11)*Time!AV26</f>
        <v>84.3604278051731</v>
      </c>
      <c r="AW13" s="16" t="n">
        <f aca="false">IF(Time!AW39=1,AW12,AW11)*Time!AW26</f>
        <v>84.3604278051731</v>
      </c>
      <c r="AX13" s="16" t="n">
        <f aca="false">IF(Time!AX39=1,AX12,AX11)*Time!AX26</f>
        <v>86.3007176446921</v>
      </c>
      <c r="AY13" s="16" t="n">
        <f aca="false">IF(Time!AY39=1,AY12,AY11)*Time!AY26</f>
        <v>86.3007176446921</v>
      </c>
      <c r="AZ13" s="16" t="n">
        <f aca="false">IF(Time!AZ39=1,AZ12,AZ11)*Time!AZ26</f>
        <v>88.28563415052</v>
      </c>
      <c r="BA13" s="16" t="n">
        <f aca="false">IF(Time!BA39=1,BA12,BA11)*Time!BA26</f>
        <v>88.28563415052</v>
      </c>
      <c r="BB13" s="16" t="n">
        <f aca="false">IF(Time!BB39=1,BB12,BB11)*Time!BB26</f>
        <v>90.316203735982</v>
      </c>
      <c r="BC13" s="16" t="n">
        <f aca="false">IF(Time!BC39=1,BC12,BC11)*Time!BC26</f>
        <v>90.316203735982</v>
      </c>
      <c r="BD13" s="16" t="n">
        <f aca="false">IF(Time!BD39=1,BD12,BD11)*Time!BD26</f>
        <v>92.3934764219095</v>
      </c>
      <c r="BE13" s="16" t="n">
        <f aca="false">IF(Time!BE39=1,BE12,BE11)*Time!BE26</f>
        <v>92.3934764219095</v>
      </c>
      <c r="BF13" s="16" t="n">
        <f aca="false">IF(Time!BF39=1,BF12,BF11)*Time!BF26</f>
        <v>94.5185263796135</v>
      </c>
      <c r="BG13" s="16" t="n">
        <f aca="false">IF(Time!BG39=1,BG12,BG11)*Time!BG26</f>
        <v>94.5185263796135</v>
      </c>
      <c r="BH13" s="16" t="n">
        <f aca="false">IF(Time!BH39=1,BH12,BH11)*Time!BH26</f>
        <v>96.6924524863446</v>
      </c>
      <c r="BI13" s="16" t="n">
        <f aca="false">IF(Time!BI39=1,BI12,BI11)*Time!BI26</f>
        <v>96.6924524863446</v>
      </c>
      <c r="BJ13" s="16" t="n">
        <f aca="false">IF(Time!BJ39=1,BJ12,BJ11)*Time!BJ26</f>
        <v>98.9163788935305</v>
      </c>
      <c r="BK13" s="16" t="n">
        <f aca="false">IF(Time!BK39=1,BK12,BK11)*Time!BK26</f>
        <v>98.9163788935305</v>
      </c>
      <c r="BL13" s="16" t="n">
        <f aca="false">IF(Time!BL39=1,BL12,BL11)*Time!BL26</f>
        <v>101.191455608082</v>
      </c>
      <c r="BM13" s="16" t="n">
        <f aca="false">IF(Time!BM39=1,BM12,BM11)*Time!BM26</f>
        <v>101.191455608082</v>
      </c>
      <c r="BN13" s="16" t="n">
        <f aca="false">IF(Time!BN39=1,BN12,BN11)*Time!BN26</f>
        <v>103.518859087068</v>
      </c>
      <c r="BO13" s="16" t="n">
        <f aca="false">IF(Time!BO39=1,BO12,BO11)*Time!BO26</f>
        <v>103.518859087068</v>
      </c>
      <c r="BP13" s="16" t="n">
        <f aca="false">IF(Time!BP39=1,BP12,BP11)*Time!BP26</f>
        <v>105.89979284607</v>
      </c>
      <c r="BQ13" s="16" t="n">
        <f aca="false">IF(Time!BQ39=1,BQ12,BQ11)*Time!BQ26</f>
        <v>105.89979284607</v>
      </c>
      <c r="BR13" s="16" t="n">
        <f aca="false">IF(Time!BR39=1,BR12,BR11)*Time!BR26</f>
        <v>107.170590360223</v>
      </c>
      <c r="BS13" s="16" t="n">
        <f aca="false">IF(Time!BS39=1,BS12,BS11)*Time!BS26</f>
        <v>107.170590360223</v>
      </c>
      <c r="BT13" s="16" t="n">
        <f aca="false">IF(Time!BT39=1,BT12,BT11)*Time!BT26</f>
        <v>108.456637444546</v>
      </c>
      <c r="BU13" s="16" t="n">
        <f aca="false">IF(Time!BU39=1,BU12,BU11)*Time!BU26</f>
        <v>108.456637444546</v>
      </c>
      <c r="BV13" s="16" t="n">
        <f aca="false">IF(Time!BV39=1,BV12,BV11)*Time!BV26</f>
        <v>109.75811709388</v>
      </c>
      <c r="BW13" s="16" t="n">
        <f aca="false">IF(Time!BW39=1,BW12,BW11)*Time!BW26</f>
        <v>109.75811709388</v>
      </c>
      <c r="BX13" s="16" t="n">
        <f aca="false">IF(Time!BX39=1,BX12,BX11)*Time!BX26</f>
        <v>111.075214499007</v>
      </c>
      <c r="BY13" s="16" t="n">
        <f aca="false">IF(Time!BY39=1,BY12,BY11)*Time!BY26</f>
        <v>111.075214499007</v>
      </c>
      <c r="BZ13" s="16" t="n">
        <f aca="false">IF(Time!BZ39=1,BZ12,BZ11)*Time!BZ26</f>
        <v>112.408117072995</v>
      </c>
      <c r="CA13" s="16" t="n">
        <f aca="false">IF(Time!CA39=1,CA12,CA11)*Time!CA26</f>
        <v>112.408117072995</v>
      </c>
      <c r="CB13" s="16" t="n">
        <f aca="false">IF(Time!CB39=1,CB12,CB11)*Time!CB26</f>
        <v>113.757014477871</v>
      </c>
      <c r="CC13" s="16" t="n">
        <f aca="false">IF(Time!CC39=1,CC12,CC11)*Time!CC26</f>
        <v>113.757014477871</v>
      </c>
      <c r="CD13" s="16" t="n">
        <f aca="false">IF(Time!CD39=1,CD12,CD11)*Time!CD26</f>
        <v>115.122098651605</v>
      </c>
      <c r="CE13" s="16" t="n">
        <f aca="false">IF(Time!CE39=1,CE12,CE11)*Time!CE26</f>
        <v>115.122098651605</v>
      </c>
      <c r="CF13" s="16" t="n">
        <f aca="false">IF(Time!CF39=1,CF12,CF11)*Time!CF26</f>
        <v>116.503563835424</v>
      </c>
      <c r="CG13" s="16" t="n">
        <f aca="false">IF(Time!CG39=1,CG12,CG11)*Time!CG26</f>
        <v>116.503563835424</v>
      </c>
      <c r="CH13" s="16" t="n">
        <f aca="false">IF(Time!CH39=1,CH12,CH11)*Time!CH26</f>
        <v>117.90160660145</v>
      </c>
      <c r="CI13" s="16" t="n">
        <f aca="false">IF(Time!CI39=1,CI12,CI11)*Time!CI26</f>
        <v>117.90160660145</v>
      </c>
      <c r="CJ13" s="16" t="n">
        <f aca="false">IF(Time!CJ39=1,CJ12,CJ11)*Time!CJ26</f>
        <v>119.316425880667</v>
      </c>
      <c r="CK13" s="16" t="n">
        <f aca="false">IF(Time!CK39=1,CK12,CK11)*Time!CK26</f>
        <v>119.316425880667</v>
      </c>
      <c r="CL13" s="16" t="n">
        <f aca="false">IF(Time!CL39=1,CL12,CL11)*Time!CL26</f>
        <v>120.748222991235</v>
      </c>
      <c r="CM13" s="16" t="n">
        <f aca="false">IF(Time!CM39=1,CM12,CM11)*Time!CM26</f>
        <v>120.748222991235</v>
      </c>
      <c r="CN13" s="16" t="n">
        <f aca="false">IF(Time!CN39=1,CN12,CN11)*Time!CN26</f>
        <v>122.19720166713</v>
      </c>
      <c r="CO13" s="16" t="n">
        <f aca="false">IF(Time!CO39=1,CO12,CO11)*Time!CO26</f>
        <v>122.19720166713</v>
      </c>
      <c r="CP13" s="16" t="n">
        <f aca="false">IF(Time!CP39=1,CP12,CP11)*Time!CP26</f>
        <v>123.663568087135</v>
      </c>
      <c r="CQ13" s="16" t="n">
        <f aca="false">IF(Time!CQ39=1,CQ12,CQ11)*Time!CQ26</f>
        <v>0</v>
      </c>
      <c r="CR13" s="16" t="n">
        <f aca="false">IF(Time!CR39=1,CR12,CR11)*Time!CR26</f>
        <v>0</v>
      </c>
      <c r="CS13" s="16" t="n">
        <f aca="false">IF(Time!CS39=1,CS12,CS11)*Time!CS26</f>
        <v>0</v>
      </c>
      <c r="CT13" s="16" t="n">
        <f aca="false">IF(Time!CT39=1,CT12,CT11)*Time!CT26</f>
        <v>0</v>
      </c>
      <c r="CU13" s="16" t="n">
        <f aca="false">IF(Time!CU39=1,CU12,CU11)*Time!CU26</f>
        <v>0</v>
      </c>
      <c r="CV13" s="16" t="n">
        <f aca="false">IF(Time!CV39=1,CV12,CV11)*Time!CV26</f>
        <v>0</v>
      </c>
      <c r="CW13" s="16" t="n">
        <f aca="false">IF(Time!CW39=1,CW12,CW11)*Time!CW26</f>
        <v>0</v>
      </c>
      <c r="CX13" s="16" t="n">
        <f aca="false">IF(Time!CX39=1,CX12,CX11)*Time!CX26</f>
        <v>0</v>
      </c>
      <c r="CY13" s="16" t="n">
        <f aca="false">IF(Time!CY39=1,CY12,CY11)*Time!CY26</f>
        <v>0</v>
      </c>
      <c r="CZ13" s="16" t="n">
        <f aca="false">IF(Time!CZ39=1,CZ12,CZ11)*Time!CZ26</f>
        <v>0</v>
      </c>
      <c r="DA13" s="16" t="n">
        <f aca="false">IF(Time!DA39=1,DA12,DA11)*Time!DA26</f>
        <v>0</v>
      </c>
      <c r="DB13" s="16" t="n">
        <f aca="false">IF(Time!DB39=1,DB12,DB11)*Time!DB26</f>
        <v>0</v>
      </c>
    </row>
    <row r="14" customFormat="false" ht="15" hidden="false" customHeight="false" outlineLevel="0" collapsed="false">
      <c r="D14" s="3" t="s">
        <v>385</v>
      </c>
    </row>
    <row r="15" customFormat="false" ht="15" hidden="false" customHeight="false" outlineLevel="0" collapsed="false">
      <c r="D15" s="0" t="s">
        <v>386</v>
      </c>
      <c r="E15" s="0" t="s">
        <v>171</v>
      </c>
      <c r="F15" s="27" t="n">
        <f aca="false">((Inputs!$F$129-Inputs!$F$224)*Inputs!$F$138+Inputs!$F$130*Inputs!$F$135+(Inputs!$F$131+Inputs!$F$224)*Inputs!$F$136)/100</f>
        <v>1.2686</v>
      </c>
    </row>
    <row r="16" customFormat="false" ht="15" hidden="false" customHeight="false" outlineLevel="0" collapsed="false">
      <c r="D16" s="0" t="s">
        <v>387</v>
      </c>
      <c r="E16" s="0" t="s">
        <v>171</v>
      </c>
      <c r="F16" s="27" t="n">
        <f aca="false">(Inputs!$F$132*Inputs!$F$138+Inputs!$F$133*Inputs!$F$135+Inputs!$F$134*Inputs!$F$137)/100</f>
        <v>1.2448</v>
      </c>
    </row>
    <row r="17" customFormat="false" ht="15" hidden="false" customHeight="false" outlineLevel="0" collapsed="false">
      <c r="D17" s="0" t="s">
        <v>388</v>
      </c>
      <c r="E17" s="0" t="s">
        <v>171</v>
      </c>
      <c r="J17" s="27" t="n">
        <f aca="false">IF(Time!J23=1,$F$16,$F$15)</f>
        <v>1.2686</v>
      </c>
      <c r="K17" s="27" t="n">
        <f aca="false">IF(Time!K23=1,$F$16,$F$15)</f>
        <v>1.2686</v>
      </c>
      <c r="L17" s="27" t="n">
        <f aca="false">IF(Time!L23=1,$F$16,$F$15)</f>
        <v>1.2686</v>
      </c>
      <c r="M17" s="27" t="n">
        <f aca="false">IF(Time!M23=1,$F$16,$F$15)</f>
        <v>1.2686</v>
      </c>
      <c r="N17" s="27" t="n">
        <f aca="false">IF(Time!N23=1,$F$16,$F$15)</f>
        <v>1.2686</v>
      </c>
      <c r="O17" s="27" t="n">
        <f aca="false">IF(Time!O23=1,$F$16,$F$15)</f>
        <v>1.2686</v>
      </c>
      <c r="P17" s="27" t="n">
        <f aca="false">IF(Time!P23=1,$F$16,$F$15)</f>
        <v>1.2686</v>
      </c>
      <c r="Q17" s="27" t="n">
        <f aca="false">IF(Time!Q23=1,$F$16,$F$15)</f>
        <v>1.2686</v>
      </c>
      <c r="R17" s="27" t="n">
        <f aca="false">IF(Time!R23=1,$F$16,$F$15)</f>
        <v>1.2686</v>
      </c>
      <c r="S17" s="27" t="n">
        <f aca="false">IF(Time!S23=1,$F$16,$F$15)</f>
        <v>1.2686</v>
      </c>
      <c r="T17" s="27" t="n">
        <f aca="false">IF(Time!T23=1,$F$16,$F$15)</f>
        <v>1.2686</v>
      </c>
      <c r="U17" s="27" t="n">
        <f aca="false">IF(Time!U23=1,$F$16,$F$15)</f>
        <v>1.2686</v>
      </c>
      <c r="V17" s="27" t="n">
        <f aca="false">IF(Time!V23=1,$F$16,$F$15)</f>
        <v>1.2686</v>
      </c>
      <c r="W17" s="27" t="n">
        <f aca="false">IF(Time!W23=1,$F$16,$F$15)</f>
        <v>1.2686</v>
      </c>
      <c r="X17" s="27" t="n">
        <f aca="false">IF(Time!X23=1,$F$16,$F$15)</f>
        <v>1.2686</v>
      </c>
      <c r="Y17" s="27" t="n">
        <f aca="false">IF(Time!Y23=1,$F$16,$F$15)</f>
        <v>1.2686</v>
      </c>
      <c r="Z17" s="27" t="n">
        <f aca="false">IF(Time!Z23=1,$F$16,$F$15)</f>
        <v>1.2686</v>
      </c>
      <c r="AA17" s="27" t="n">
        <f aca="false">IF(Time!AA23=1,$F$16,$F$15)</f>
        <v>1.2686</v>
      </c>
      <c r="AB17" s="27" t="n">
        <f aca="false">IF(Time!AB23=1,$F$16,$F$15)</f>
        <v>1.2686</v>
      </c>
      <c r="AC17" s="27" t="n">
        <f aca="false">IF(Time!AC23=1,$F$16,$F$15)</f>
        <v>1.2686</v>
      </c>
      <c r="AD17" s="27" t="n">
        <f aca="false">IF(Time!AD23=1,$F$16,$F$15)</f>
        <v>1.2686</v>
      </c>
      <c r="AE17" s="27" t="n">
        <f aca="false">IF(Time!AE23=1,$F$16,$F$15)</f>
        <v>1.2686</v>
      </c>
      <c r="AF17" s="27" t="n">
        <f aca="false">IF(Time!AF23=1,$F$16,$F$15)</f>
        <v>1.2686</v>
      </c>
      <c r="AG17" s="27" t="n">
        <f aca="false">IF(Time!AG23=1,$F$16,$F$15)</f>
        <v>1.2686</v>
      </c>
      <c r="AH17" s="27" t="n">
        <f aca="false">IF(Time!AH23=1,$F$16,$F$15)</f>
        <v>1.2686</v>
      </c>
      <c r="AI17" s="27" t="n">
        <f aca="false">IF(Time!AI23=1,$F$16,$F$15)</f>
        <v>1.2686</v>
      </c>
      <c r="AJ17" s="27" t="n">
        <f aca="false">IF(Time!AJ23=1,$F$16,$F$15)</f>
        <v>1.2686</v>
      </c>
      <c r="AK17" s="27" t="n">
        <f aca="false">IF(Time!AK23=1,$F$16,$F$15)</f>
        <v>1.2686</v>
      </c>
      <c r="AL17" s="27" t="n">
        <f aca="false">IF(Time!AL23=1,$F$16,$F$15)</f>
        <v>1.2686</v>
      </c>
      <c r="AM17" s="27" t="n">
        <f aca="false">IF(Time!AM23=1,$F$16,$F$15)</f>
        <v>1.2686</v>
      </c>
      <c r="AN17" s="27" t="n">
        <f aca="false">IF(Time!AN23=1,$F$16,$F$15)</f>
        <v>1.2686</v>
      </c>
      <c r="AO17" s="27" t="n">
        <f aca="false">IF(Time!AO23=1,$F$16,$F$15)</f>
        <v>1.2686</v>
      </c>
      <c r="AP17" s="27" t="n">
        <f aca="false">IF(Time!AP23=1,$F$16,$F$15)</f>
        <v>1.2686</v>
      </c>
      <c r="AQ17" s="27" t="n">
        <f aca="false">IF(Time!AQ23=1,$F$16,$F$15)</f>
        <v>1.2686</v>
      </c>
      <c r="AR17" s="27" t="n">
        <f aca="false">IF(Time!AR23=1,$F$16,$F$15)</f>
        <v>1.2686</v>
      </c>
      <c r="AS17" s="27" t="n">
        <f aca="false">IF(Time!AS23=1,$F$16,$F$15)</f>
        <v>1.2686</v>
      </c>
      <c r="AT17" s="27" t="n">
        <f aca="false">IF(Time!AT23=1,$F$16,$F$15)</f>
        <v>1.2686</v>
      </c>
      <c r="AU17" s="27" t="n">
        <f aca="false">IF(Time!AU23=1,$F$16,$F$15)</f>
        <v>1.2686</v>
      </c>
      <c r="AV17" s="27" t="n">
        <f aca="false">IF(Time!AV23=1,$F$16,$F$15)</f>
        <v>1.2686</v>
      </c>
      <c r="AW17" s="27" t="n">
        <f aca="false">IF(Time!AW23=1,$F$16,$F$15)</f>
        <v>1.2686</v>
      </c>
      <c r="AX17" s="27" t="n">
        <f aca="false">IF(Time!AX23=1,$F$16,$F$15)</f>
        <v>1.2686</v>
      </c>
      <c r="AY17" s="27" t="n">
        <f aca="false">IF(Time!AY23=1,$F$16,$F$15)</f>
        <v>1.2686</v>
      </c>
      <c r="AZ17" s="27" t="n">
        <f aca="false">IF(Time!AZ23=1,$F$16,$F$15)</f>
        <v>1.2686</v>
      </c>
      <c r="BA17" s="27" t="n">
        <f aca="false">IF(Time!BA23=1,$F$16,$F$15)</f>
        <v>1.2686</v>
      </c>
      <c r="BB17" s="27" t="n">
        <f aca="false">IF(Time!BB23=1,$F$16,$F$15)</f>
        <v>1.2686</v>
      </c>
      <c r="BC17" s="27" t="n">
        <f aca="false">IF(Time!BC23=1,$F$16,$F$15)</f>
        <v>1.2686</v>
      </c>
      <c r="BD17" s="27" t="n">
        <f aca="false">IF(Time!BD23=1,$F$16,$F$15)</f>
        <v>1.2686</v>
      </c>
      <c r="BE17" s="27" t="n">
        <f aca="false">IF(Time!BE23=1,$F$16,$F$15)</f>
        <v>1.2686</v>
      </c>
      <c r="BF17" s="27" t="n">
        <f aca="false">IF(Time!BF23=1,$F$16,$F$15)</f>
        <v>1.2686</v>
      </c>
      <c r="BG17" s="27" t="n">
        <f aca="false">IF(Time!BG23=1,$F$16,$F$15)</f>
        <v>1.2686</v>
      </c>
      <c r="BH17" s="27" t="n">
        <f aca="false">IF(Time!BH23=1,$F$16,$F$15)</f>
        <v>1.2686</v>
      </c>
      <c r="BI17" s="27" t="n">
        <f aca="false">IF(Time!BI23=1,$F$16,$F$15)</f>
        <v>1.2686</v>
      </c>
      <c r="BJ17" s="27" t="n">
        <f aca="false">IF(Time!BJ23=1,$F$16,$F$15)</f>
        <v>1.2686</v>
      </c>
      <c r="BK17" s="27" t="n">
        <f aca="false">IF(Time!BK23=1,$F$16,$F$15)</f>
        <v>1.2686</v>
      </c>
      <c r="BL17" s="27" t="n">
        <f aca="false">IF(Time!BL23=1,$F$16,$F$15)</f>
        <v>1.2686</v>
      </c>
      <c r="BM17" s="27" t="n">
        <f aca="false">IF(Time!BM23=1,$F$16,$F$15)</f>
        <v>1.2686</v>
      </c>
      <c r="BN17" s="27" t="n">
        <f aca="false">IF(Time!BN23=1,$F$16,$F$15)</f>
        <v>1.2686</v>
      </c>
      <c r="BO17" s="27" t="n">
        <f aca="false">IF(Time!BO23=1,$F$16,$F$15)</f>
        <v>1.2686</v>
      </c>
      <c r="BP17" s="27" t="n">
        <f aca="false">IF(Time!BP23=1,$F$16,$F$15)</f>
        <v>1.2686</v>
      </c>
      <c r="BQ17" s="27" t="n">
        <f aca="false">IF(Time!BQ23=1,$F$16,$F$15)</f>
        <v>1.2686</v>
      </c>
      <c r="BR17" s="27" t="n">
        <f aca="false">IF(Time!BR23=1,$F$16,$F$15)</f>
        <v>1.2686</v>
      </c>
      <c r="BS17" s="27" t="n">
        <f aca="false">IF(Time!BS23=1,$F$16,$F$15)</f>
        <v>1.2686</v>
      </c>
      <c r="BT17" s="27" t="n">
        <f aca="false">IF(Time!BT23=1,$F$16,$F$15)</f>
        <v>1.2686</v>
      </c>
      <c r="BU17" s="27" t="n">
        <f aca="false">IF(Time!BU23=1,$F$16,$F$15)</f>
        <v>1.2686</v>
      </c>
      <c r="BV17" s="27" t="n">
        <f aca="false">IF(Time!BV23=1,$F$16,$F$15)</f>
        <v>1.2686</v>
      </c>
      <c r="BW17" s="27" t="n">
        <f aca="false">IF(Time!BW23=1,$F$16,$F$15)</f>
        <v>1.2686</v>
      </c>
      <c r="BX17" s="27" t="n">
        <f aca="false">IF(Time!BX23=1,$F$16,$F$15)</f>
        <v>1.2686</v>
      </c>
      <c r="BY17" s="27" t="n">
        <f aca="false">IF(Time!BY23=1,$F$16,$F$15)</f>
        <v>1.2686</v>
      </c>
      <c r="BZ17" s="27" t="n">
        <f aca="false">IF(Time!BZ23=1,$F$16,$F$15)</f>
        <v>1.2686</v>
      </c>
      <c r="CA17" s="27" t="n">
        <f aca="false">IF(Time!CA23=1,$F$16,$F$15)</f>
        <v>1.2686</v>
      </c>
      <c r="CB17" s="27" t="n">
        <f aca="false">IF(Time!CB23=1,$F$16,$F$15)</f>
        <v>1.2686</v>
      </c>
      <c r="CC17" s="27" t="n">
        <f aca="false">IF(Time!CC23=1,$F$16,$F$15)</f>
        <v>1.2686</v>
      </c>
      <c r="CD17" s="27" t="n">
        <f aca="false">IF(Time!CD23=1,$F$16,$F$15)</f>
        <v>1.2686</v>
      </c>
      <c r="CE17" s="27" t="n">
        <f aca="false">IF(Time!CE23=1,$F$16,$F$15)</f>
        <v>1.2686</v>
      </c>
      <c r="CF17" s="27" t="n">
        <f aca="false">IF(Time!CF23=1,$F$16,$F$15)</f>
        <v>1.2686</v>
      </c>
      <c r="CG17" s="27" t="n">
        <f aca="false">IF(Time!CG23=1,$F$16,$F$15)</f>
        <v>1.2686</v>
      </c>
      <c r="CH17" s="27" t="n">
        <f aca="false">IF(Time!CH23=1,$F$16,$F$15)</f>
        <v>1.2686</v>
      </c>
      <c r="CI17" s="27" t="n">
        <f aca="false">IF(Time!CI23=1,$F$16,$F$15)</f>
        <v>1.2686</v>
      </c>
      <c r="CJ17" s="27" t="n">
        <f aca="false">IF(Time!CJ23=1,$F$16,$F$15)</f>
        <v>1.2686</v>
      </c>
      <c r="CK17" s="27" t="n">
        <f aca="false">IF(Time!CK23=1,$F$16,$F$15)</f>
        <v>1.2686</v>
      </c>
      <c r="CL17" s="27" t="n">
        <f aca="false">IF(Time!CL23=1,$F$16,$F$15)</f>
        <v>1.2686</v>
      </c>
      <c r="CM17" s="27" t="n">
        <f aca="false">IF(Time!CM23=1,$F$16,$F$15)</f>
        <v>1.2686</v>
      </c>
      <c r="CN17" s="27" t="n">
        <f aca="false">IF(Time!CN23=1,$F$16,$F$15)</f>
        <v>1.2686</v>
      </c>
      <c r="CO17" s="27" t="n">
        <f aca="false">IF(Time!CO23=1,$F$16,$F$15)</f>
        <v>1.2686</v>
      </c>
      <c r="CP17" s="27" t="n">
        <f aca="false">IF(Time!CP23=1,$F$16,$F$15)</f>
        <v>1.2686</v>
      </c>
      <c r="CQ17" s="27" t="n">
        <f aca="false">IF(Time!CQ23=1,$F$16,$F$15)</f>
        <v>1.2686</v>
      </c>
      <c r="CR17" s="27" t="n">
        <f aca="false">IF(Time!CR23=1,$F$16,$F$15)</f>
        <v>1.2686</v>
      </c>
      <c r="CS17" s="27" t="n">
        <f aca="false">IF(Time!CS23=1,$F$16,$F$15)</f>
        <v>1.2686</v>
      </c>
      <c r="CT17" s="27" t="n">
        <f aca="false">IF(Time!CT23=1,$F$16,$F$15)</f>
        <v>1.2686</v>
      </c>
      <c r="CU17" s="27" t="n">
        <f aca="false">IF(Time!CU23=1,$F$16,$F$15)</f>
        <v>1.2686</v>
      </c>
      <c r="CV17" s="27" t="n">
        <f aca="false">IF(Time!CV23=1,$F$16,$F$15)</f>
        <v>1.2686</v>
      </c>
      <c r="CW17" s="27" t="n">
        <f aca="false">IF(Time!CW23=1,$F$16,$F$15)</f>
        <v>1.2686</v>
      </c>
      <c r="CX17" s="27" t="n">
        <f aca="false">IF(Time!CX23=1,$F$16,$F$15)</f>
        <v>1.2686</v>
      </c>
      <c r="CY17" s="27" t="n">
        <f aca="false">IF(Time!CY23=1,$F$16,$F$15)</f>
        <v>1.2686</v>
      </c>
      <c r="CZ17" s="27" t="n">
        <f aca="false">IF(Time!CZ23=1,$F$16,$F$15)</f>
        <v>1.2686</v>
      </c>
      <c r="DA17" s="27" t="n">
        <f aca="false">IF(Time!DA23=1,$F$16,$F$15)</f>
        <v>1.2686</v>
      </c>
      <c r="DB17" s="27" t="n">
        <f aca="false">IF(Time!DB23=1,$F$16,$F$15)</f>
        <v>1.2686</v>
      </c>
    </row>
    <row r="18" customFormat="false" ht="15" hidden="false" customHeight="false" outlineLevel="0" collapsed="false">
      <c r="D18" s="0" t="s">
        <v>389</v>
      </c>
      <c r="E18" s="0" t="s">
        <v>44</v>
      </c>
      <c r="G18" s="19" t="n">
        <f aca="false">SUM(J18:DB18)</f>
        <v>9855.59476330893</v>
      </c>
      <c r="J18" s="19" t="n">
        <f aca="false">J13*Inputs!$F$64*Time!J25*Inputs!$F$127*Time!J60*J17/Inputs!$F$65</f>
        <v>0</v>
      </c>
      <c r="K18" s="19" t="n">
        <f aca="false">K13*Inputs!$F$64*Time!K25*Inputs!$F$127*Time!K60*K17/Inputs!$F$65</f>
        <v>0</v>
      </c>
      <c r="L18" s="19" t="n">
        <f aca="false">L13*Inputs!$F$64*Time!L25*Inputs!$F$127*Time!L60*L17/Inputs!$F$65</f>
        <v>0</v>
      </c>
      <c r="M18" s="19" t="n">
        <f aca="false">M13*Inputs!$F$64*Time!M25*Inputs!$F$127*Time!M60*M17/Inputs!$F$65</f>
        <v>0</v>
      </c>
      <c r="N18" s="19" t="n">
        <f aca="false">N13*Inputs!$F$64*Time!N25*Inputs!$F$127*Time!N60*N17/Inputs!$F$65</f>
        <v>0</v>
      </c>
      <c r="O18" s="19" t="n">
        <f aca="false">O13*Inputs!$F$64*Time!O25*Inputs!$F$127*Time!O60*O17/Inputs!$F$65</f>
        <v>0</v>
      </c>
      <c r="P18" s="19" t="n">
        <f aca="false">P13*Inputs!$F$64*Time!P25*Inputs!$F$127*Time!P60*P17/Inputs!$F$65</f>
        <v>0</v>
      </c>
      <c r="Q18" s="19" t="n">
        <f aca="false">Q13*Inputs!$F$64*Time!Q25*Inputs!$F$127*Time!Q60*Q17/Inputs!$F$65</f>
        <v>0</v>
      </c>
      <c r="R18" s="19" t="n">
        <f aca="false">R13*Inputs!$F$64*Time!R25*Inputs!$F$127*Time!R60*R17/Inputs!$F$65</f>
        <v>0</v>
      </c>
      <c r="S18" s="19" t="n">
        <f aca="false">S13*Inputs!$F$64*Time!S25*Inputs!$F$127*Time!S60*S17/Inputs!$F$65</f>
        <v>0</v>
      </c>
      <c r="T18" s="19" t="n">
        <f aca="false">T13*Inputs!$F$64*Time!T25*Inputs!$F$127*Time!T60*T17/Inputs!$F$65</f>
        <v>0</v>
      </c>
      <c r="U18" s="19" t="n">
        <f aca="false">U13*Inputs!$F$64*Time!U25*Inputs!$F$127*Time!U60*U17/Inputs!$F$65</f>
        <v>0</v>
      </c>
      <c r="V18" s="19" t="n">
        <f aca="false">V13*Inputs!$F$64*Time!V25*Inputs!$F$127*Time!V60*V17/Inputs!$F$65</f>
        <v>0</v>
      </c>
      <c r="W18" s="19" t="n">
        <f aca="false">W13*Inputs!$F$64*Time!W25*Inputs!$F$127*Time!W60*W17/Inputs!$F$65</f>
        <v>0</v>
      </c>
      <c r="X18" s="19" t="n">
        <f aca="false">X13*Inputs!$F$64*Time!X25*Inputs!$F$127*Time!X60*X17/Inputs!$F$65</f>
        <v>0</v>
      </c>
      <c r="Y18" s="19" t="n">
        <f aca="false">Y13*Inputs!$F$64*Time!Y25*Inputs!$F$127*Time!Y60*Y17/Inputs!$F$65</f>
        <v>0</v>
      </c>
      <c r="Z18" s="19" t="n">
        <f aca="false">Z13*Inputs!$F$64*Time!Z25*Inputs!$F$127*Time!Z60*Z17/Inputs!$F$65</f>
        <v>21.6037929576269</v>
      </c>
      <c r="AA18" s="19" t="n">
        <f aca="false">AA13*Inputs!$F$64*Time!AA25*Inputs!$F$127*Time!AA60*AA17/Inputs!$F$65</f>
        <v>44.772507784704</v>
      </c>
      <c r="AB18" s="19" t="n">
        <f aca="false">AB13*Inputs!$F$64*Time!AB25*Inputs!$F$127*Time!AB60*AB17/Inputs!$F$65</f>
        <v>51.5155151188118</v>
      </c>
      <c r="AC18" s="19" t="n">
        <f aca="false">AC13*Inputs!$F$64*Time!AC25*Inputs!$F$127*Time!AC60*AC17/Inputs!$F$65</f>
        <v>53.3798861421592</v>
      </c>
      <c r="AD18" s="19" t="n">
        <f aca="false">AD13*Inputs!$F$64*Time!AD25*Inputs!$F$127*Time!AD60*AD17/Inputs!$F$65</f>
        <v>57.9145461510126</v>
      </c>
      <c r="AE18" s="19" t="n">
        <f aca="false">AE13*Inputs!$F$64*Time!AE25*Inputs!$F$127*Time!AE60*AE17/Inputs!$F$65</f>
        <v>60.3396571433114</v>
      </c>
      <c r="AF18" s="19" t="n">
        <f aca="false">AF13*Inputs!$F$64*Time!AF25*Inputs!$F$127*Time!AF60*AF17/Inputs!$F$65</f>
        <v>63.9312058027588</v>
      </c>
      <c r="AG18" s="19" t="n">
        <f aca="false">AG13*Inputs!$F$64*Time!AG25*Inputs!$F$127*Time!AG60*AG17/Inputs!$F$65</f>
        <v>66.604849951621</v>
      </c>
      <c r="AH18" s="19" t="n">
        <f aca="false">AH13*Inputs!$F$64*Time!AH25*Inputs!$F$127*Time!AH60*AH17/Inputs!$F$65</f>
        <v>67.746543955683</v>
      </c>
      <c r="AI18" s="19" t="n">
        <f aca="false">AI13*Inputs!$F$64*Time!AI25*Inputs!$F$127*Time!AI60*AI17/Inputs!$F$65</f>
        <v>70.57538850808</v>
      </c>
      <c r="AJ18" s="19" t="n">
        <f aca="false">AJ13*Inputs!$F$64*Time!AJ25*Inputs!$F$127*Time!AJ60*AJ17/Inputs!$F$65</f>
        <v>72.1817457204269</v>
      </c>
      <c r="AK18" s="19" t="n">
        <f aca="false">AK13*Inputs!$F$64*Time!AK25*Inputs!$F$127*Time!AK60*AK17/Inputs!$F$65</f>
        <v>74.815623121681</v>
      </c>
      <c r="AL18" s="19" t="n">
        <f aca="false">AL13*Inputs!$F$64*Time!AL25*Inputs!$F$127*Time!AL60*AL17/Inputs!$F$65</f>
        <v>76.098060487582</v>
      </c>
      <c r="AM18" s="19" t="n">
        <f aca="false">AM13*Inputs!$F$64*Time!AM25*Inputs!$F$127*Time!AM60*AM17/Inputs!$F$65</f>
        <v>79.3022596697265</v>
      </c>
      <c r="AN18" s="19" t="n">
        <f aca="false">AN13*Inputs!$F$64*Time!AN25*Inputs!$F$127*Time!AN60*AN17/Inputs!$F$65</f>
        <v>80.6616038381956</v>
      </c>
      <c r="AO18" s="19" t="n">
        <f aca="false">AO13*Inputs!$F$64*Time!AO25*Inputs!$F$127*Time!AO60*AO17/Inputs!$F$65</f>
        <v>84.0484999109596</v>
      </c>
      <c r="AP18" s="19" t="n">
        <f aca="false">AP13*Inputs!$F$64*Time!AP25*Inputs!$F$127*Time!AP60*AP17/Inputs!$F$65</f>
        <v>85.4892008279116</v>
      </c>
      <c r="AQ18" s="19" t="n">
        <f aca="false">AQ13*Inputs!$F$64*Time!AQ25*Inputs!$F$127*Time!AQ60*AQ17/Inputs!$F$65</f>
        <v>89.0682043197881</v>
      </c>
      <c r="AR18" s="19" t="n">
        <f aca="false">AR13*Inputs!$F$64*Time!AR25*Inputs!$F$127*Time!AR60*AR17/Inputs!$F$65</f>
        <v>91.095474100719</v>
      </c>
      <c r="AS18" s="19" t="n">
        <f aca="false">AS13*Inputs!$F$64*Time!AS25*Inputs!$F$127*Time!AS60*AS17/Inputs!$F$65</f>
        <v>94.4197577898085</v>
      </c>
      <c r="AT18" s="19" t="n">
        <f aca="false">AT13*Inputs!$F$64*Time!AT25*Inputs!$F$127*Time!AT60*AT17/Inputs!$F$65</f>
        <v>96.0382355945316</v>
      </c>
      <c r="AU18" s="19" t="n">
        <f aca="false">AU13*Inputs!$F$64*Time!AU25*Inputs!$F$127*Time!AU60*AU17/Inputs!$F$65</f>
        <v>100.077579042105</v>
      </c>
      <c r="AV18" s="19" t="n">
        <f aca="false">AV13*Inputs!$F$64*Time!AV25*Inputs!$F$127*Time!AV60*AV17/Inputs!$F$65</f>
        <v>101.793039282859</v>
      </c>
      <c r="AW18" s="19" t="n">
        <f aca="false">AW13*Inputs!$F$64*Time!AW25*Inputs!$F$127*Time!AW60*AW17/Inputs!$F$65</f>
        <v>106.057848939738</v>
      </c>
      <c r="AX18" s="19" t="n">
        <f aca="false">AX13*Inputs!$F$64*Time!AX25*Inputs!$F$127*Time!AX60*AX17/Inputs!$F$65</f>
        <v>106.728203713199</v>
      </c>
      <c r="AY18" s="19" t="n">
        <f aca="false">AY13*Inputs!$F$64*Time!AY25*Inputs!$F$127*Time!AY60*AY17/Inputs!$F$65</f>
        <v>111.229985134607</v>
      </c>
      <c r="AZ18" s="19" t="n">
        <f aca="false">AZ13*Inputs!$F$64*Time!AZ25*Inputs!$F$127*Time!AZ60*AZ17/Inputs!$F$65</f>
        <v>112.551445718869</v>
      </c>
      <c r="BA18" s="19" t="n">
        <f aca="false">BA13*Inputs!$F$64*Time!BA25*Inputs!$F$127*Time!BA60*BA17/Inputs!$F$65</f>
        <v>116.632981662521</v>
      </c>
      <c r="BB18" s="19" t="n">
        <f aca="false">BB13*Inputs!$F$64*Time!BB25*Inputs!$F$127*Time!BB60*BB17/Inputs!$F$65</f>
        <v>117.370178171616</v>
      </c>
      <c r="BC18" s="19" t="n">
        <f aca="false">BC13*Inputs!$F$64*Time!BC25*Inputs!$F$127*Time!BC60*BC17/Inputs!$F$65</f>
        <v>122.275850112165</v>
      </c>
      <c r="BD18" s="19" t="n">
        <f aca="false">BD13*Inputs!$F$64*Time!BD25*Inputs!$F$127*Time!BD60*BD17/Inputs!$F$65</f>
        <v>123.048713229994</v>
      </c>
      <c r="BE18" s="19" t="n">
        <f aca="false">BE13*Inputs!$F$64*Time!BE25*Inputs!$F$127*Time!BE60*BE17/Inputs!$F$65</f>
        <v>128.219249188565</v>
      </c>
      <c r="BF18" s="19" t="n">
        <f aca="false">BF13*Inputs!$F$64*Time!BF25*Inputs!$F$127*Time!BF60*BF17/Inputs!$F$65</f>
        <v>129.029678464686</v>
      </c>
      <c r="BG18" s="19" t="n">
        <f aca="false">BG13*Inputs!$F$64*Time!BG25*Inputs!$F$127*Time!BG60*BG17/Inputs!$F$65</f>
        <v>134.423870021997</v>
      </c>
      <c r="BH18" s="19" t="n">
        <f aca="false">BH13*Inputs!$F$64*Time!BH25*Inputs!$F$127*Time!BH60*BH17/Inputs!$F$65</f>
        <v>136.020884043019</v>
      </c>
      <c r="BI18" s="19" t="n">
        <f aca="false">BI13*Inputs!$F$64*Time!BI25*Inputs!$F$127*Time!BI60*BI17/Inputs!$F$65</f>
        <v>140.953509508316</v>
      </c>
      <c r="BJ18" s="19" t="n">
        <f aca="false">BJ13*Inputs!$F$64*Time!BJ25*Inputs!$F$127*Time!BJ60*BJ17/Inputs!$F$65</f>
        <v>141.84442761461</v>
      </c>
      <c r="BK18" s="19" t="n">
        <f aca="false">BK13*Inputs!$F$64*Time!BK25*Inputs!$F$127*Time!BK60*BK17/Inputs!$F$65</f>
        <v>147.822307244912</v>
      </c>
      <c r="BL18" s="19" t="n">
        <f aca="false">BL13*Inputs!$F$64*Time!BL25*Inputs!$F$127*Time!BL60*BL17/Inputs!$F$65</f>
        <v>148.756640632552</v>
      </c>
      <c r="BM18" s="19" t="n">
        <f aca="false">BM13*Inputs!$F$64*Time!BM25*Inputs!$F$127*Time!BM60*BM17/Inputs!$F$65</f>
        <v>154.988721709639</v>
      </c>
      <c r="BN18" s="19" t="n">
        <f aca="false">BN13*Inputs!$F$64*Time!BN25*Inputs!$F$127*Time!BN60*BN17/Inputs!$F$65</f>
        <v>155.968351510445</v>
      </c>
      <c r="BO18" s="19" t="n">
        <f aca="false">BO13*Inputs!$F$64*Time!BO25*Inputs!$F$127*Time!BO60*BO17/Inputs!$F$65</f>
        <v>162.52161207295</v>
      </c>
      <c r="BP18" s="19" t="n">
        <f aca="false">BP13*Inputs!$F$64*Time!BP25*Inputs!$F$127*Time!BP60*BP17/Inputs!$F$65</f>
        <v>164.452439485947</v>
      </c>
      <c r="BQ18" s="19" t="n">
        <f aca="false">BQ13*Inputs!$F$64*Time!BQ25*Inputs!$F$127*Time!BQ60*BQ17/Inputs!$F$65</f>
        <v>170.436690626103</v>
      </c>
      <c r="BR18" s="19" t="n">
        <f aca="false">BR13*Inputs!$F$64*Time!BR25*Inputs!$F$127*Time!BR60*BR17/Inputs!$F$65</f>
        <v>169.669725518286</v>
      </c>
      <c r="BS18" s="19" t="n">
        <f aca="false">BS13*Inputs!$F$64*Time!BS25*Inputs!$F$127*Time!BS60*BS17/Inputs!$F$65</f>
        <v>176.768675485857</v>
      </c>
      <c r="BT18" s="19" t="n">
        <f aca="false">BT13*Inputs!$F$64*Time!BT25*Inputs!$F$127*Time!BT60*BT17/Inputs!$F$65</f>
        <v>175.973216446171</v>
      </c>
      <c r="BU18" s="19" t="n">
        <f aca="false">BU13*Inputs!$F$64*Time!BU25*Inputs!$F$127*Time!BU60*BU17/Inputs!$F$65</f>
        <v>183.34859025177</v>
      </c>
      <c r="BV18" s="19" t="n">
        <f aca="false">BV13*Inputs!$F$64*Time!BV25*Inputs!$F$127*Time!BV60*BV17/Inputs!$F$65</f>
        <v>182.523521595637</v>
      </c>
      <c r="BW18" s="19" t="n">
        <f aca="false">BW13*Inputs!$F$64*Time!BW25*Inputs!$F$127*Time!BW60*BW17/Inputs!$F$65</f>
        <v>190.182919497605</v>
      </c>
      <c r="BX18" s="19" t="n">
        <f aca="false">BX13*Inputs!$F$64*Time!BX25*Inputs!$F$127*Time!BX60*BX17/Inputs!$F$65</f>
        <v>190.373102417103</v>
      </c>
      <c r="BY18" s="19" t="n">
        <f aca="false">BY13*Inputs!$F$64*Time!BY25*Inputs!$F$127*Time!BY60*BY17/Inputs!$F$65</f>
        <v>197.278285077733</v>
      </c>
      <c r="BZ18" s="19" t="n">
        <f aca="false">BZ13*Inputs!$F$64*Time!BZ25*Inputs!$F$127*Time!BZ60*BZ17/Inputs!$F$65</f>
        <v>196.390532794884</v>
      </c>
      <c r="CA18" s="19" t="n">
        <f aca="false">CA13*Inputs!$F$64*Time!CA25*Inputs!$F$127*Time!CA60*CA17/Inputs!$F$65</f>
        <v>204.641448696318</v>
      </c>
      <c r="CB18" s="19" t="n">
        <f aca="false">CB13*Inputs!$F$64*Time!CB25*Inputs!$F$127*Time!CB60*CB17/Inputs!$F$65</f>
        <v>203.720562177185</v>
      </c>
      <c r="CC18" s="19" t="n">
        <f aca="false">CC13*Inputs!$F$64*Time!CC25*Inputs!$F$127*Time!CC60*CC17/Inputs!$F$65</f>
        <v>212.279314520898</v>
      </c>
      <c r="CD18" s="19" t="n">
        <f aca="false">CD13*Inputs!$F$64*Time!CD25*Inputs!$F$127*Time!CD60*CD17/Inputs!$F$65</f>
        <v>211.324057605554</v>
      </c>
      <c r="CE18" s="19" t="n">
        <f aca="false">CE13*Inputs!$F$64*Time!CE25*Inputs!$F$127*Time!CE60*CE17/Inputs!$F$65</f>
        <v>220.198931841083</v>
      </c>
      <c r="CF18" s="19" t="n">
        <f aca="false">CF13*Inputs!$F$64*Time!CF25*Inputs!$F$127*Time!CF60*CF17/Inputs!$F$65</f>
        <v>220.419130772924</v>
      </c>
      <c r="CG18" s="19" t="n">
        <f aca="false">CG13*Inputs!$F$64*Time!CG25*Inputs!$F$127*Time!CG60*CG17/Inputs!$F$65</f>
        <v>228.407497773102</v>
      </c>
      <c r="CH18" s="19" t="n">
        <f aca="false">CH13*Inputs!$F$64*Time!CH25*Inputs!$F$127*Time!CH60*CH17/Inputs!$F$65</f>
        <v>227.379664033123</v>
      </c>
      <c r="CI18" s="19" t="n">
        <f aca="false">CI13*Inputs!$F$64*Time!CI25*Inputs!$F$127*Time!CI60*CI17/Inputs!$F$65</f>
        <v>236.912360010953</v>
      </c>
      <c r="CJ18" s="19" t="n">
        <f aca="false">CJ13*Inputs!$F$64*Time!CJ25*Inputs!$F$127*Time!CJ60*CJ17/Inputs!$F$65</f>
        <v>235.846254390903</v>
      </c>
      <c r="CK18" s="19" t="n">
        <f aca="false">CK13*Inputs!$F$64*Time!CK25*Inputs!$F$127*Time!CK60*CK17/Inputs!$F$65</f>
        <v>245.721019624918</v>
      </c>
      <c r="CL18" s="19" t="n">
        <f aca="false">CL13*Inputs!$F$64*Time!CL25*Inputs!$F$127*Time!CL60*CL17/Inputs!$F$65</f>
        <v>244.615275036606</v>
      </c>
      <c r="CM18" s="19" t="n">
        <f aca="false">CM13*Inputs!$F$64*Time!CM25*Inputs!$F$127*Time!CM60*CM17/Inputs!$F$65</f>
        <v>254.908215017423</v>
      </c>
      <c r="CN18" s="19" t="n">
        <f aca="false">CN13*Inputs!$F$64*Time!CN25*Inputs!$F$127*Time!CN60*CN17/Inputs!$F$65</f>
        <v>255.16312323244</v>
      </c>
      <c r="CO18" s="19" t="n">
        <f aca="false">CO13*Inputs!$F$64*Time!CO25*Inputs!$F$127*Time!CO60*CO17/Inputs!$F$65</f>
        <v>264.416291437572</v>
      </c>
      <c r="CP18" s="19" t="n">
        <f aca="false">CP13*Inputs!$F$64*Time!CP25*Inputs!$F$127*Time!CP60*CP17/Inputs!$F$65</f>
        <v>212.326282024371</v>
      </c>
      <c r="CQ18" s="19" t="n">
        <f aca="false">CQ13*Inputs!$F$64*Time!CQ25*Inputs!$F$127*Time!CQ60*CQ17/Inputs!$F$65</f>
        <v>0</v>
      </c>
      <c r="CR18" s="19" t="n">
        <f aca="false">CR13*Inputs!$F$64*Time!CR25*Inputs!$F$127*Time!CR60*CR17/Inputs!$F$65</f>
        <v>0</v>
      </c>
      <c r="CS18" s="19" t="n">
        <f aca="false">CS13*Inputs!$F$64*Time!CS25*Inputs!$F$127*Time!CS60*CS17/Inputs!$F$65</f>
        <v>0</v>
      </c>
      <c r="CT18" s="19" t="n">
        <f aca="false">CT13*Inputs!$F$64*Time!CT25*Inputs!$F$127*Time!CT60*CT17/Inputs!$F$65</f>
        <v>0</v>
      </c>
      <c r="CU18" s="19" t="n">
        <f aca="false">CU13*Inputs!$F$64*Time!CU25*Inputs!$F$127*Time!CU60*CU17/Inputs!$F$65</f>
        <v>0</v>
      </c>
      <c r="CV18" s="19" t="n">
        <f aca="false">CV13*Inputs!$F$64*Time!CV25*Inputs!$F$127*Time!CV60*CV17/Inputs!$F$65</f>
        <v>0</v>
      </c>
      <c r="CW18" s="19" t="n">
        <f aca="false">CW13*Inputs!$F$64*Time!CW25*Inputs!$F$127*Time!CW60*CW17/Inputs!$F$65</f>
        <v>0</v>
      </c>
      <c r="CX18" s="19" t="n">
        <f aca="false">CX13*Inputs!$F$64*Time!CX25*Inputs!$F$127*Time!CX60*CX17/Inputs!$F$65</f>
        <v>0</v>
      </c>
      <c r="CY18" s="19" t="n">
        <f aca="false">CY13*Inputs!$F$64*Time!CY25*Inputs!$F$127*Time!CY60*CY17/Inputs!$F$65</f>
        <v>0</v>
      </c>
      <c r="CZ18" s="19" t="n">
        <f aca="false">CZ13*Inputs!$F$64*Time!CZ25*Inputs!$F$127*Time!CZ60*CZ17/Inputs!$F$65</f>
        <v>0</v>
      </c>
      <c r="DA18" s="19" t="n">
        <f aca="false">DA13*Inputs!$F$64*Time!DA25*Inputs!$F$127*Time!DA60*DA17/Inputs!$F$65</f>
        <v>0</v>
      </c>
      <c r="DB18" s="19" t="n">
        <f aca="false">DB13*Inputs!$F$64*Time!DB25*Inputs!$F$127*Time!DB60*DB17/Inputs!$F$65</f>
        <v>0</v>
      </c>
    </row>
    <row r="19" customFormat="false" ht="15" hidden="false" customHeight="false" outlineLevel="0" collapsed="false">
      <c r="D19" s="0" t="s">
        <v>163</v>
      </c>
      <c r="E19" s="0" t="s">
        <v>44</v>
      </c>
      <c r="G19" s="19" t="n">
        <f aca="false">SUM(J19:DB19)</f>
        <v>177.400705739561</v>
      </c>
      <c r="J19" s="19" t="n">
        <f aca="false">J18*Inputs!$F$128</f>
        <v>0</v>
      </c>
      <c r="K19" s="19" t="n">
        <f aca="false">K18*Inputs!$F$128</f>
        <v>0</v>
      </c>
      <c r="L19" s="19" t="n">
        <f aca="false">L18*Inputs!$F$128</f>
        <v>0</v>
      </c>
      <c r="M19" s="19" t="n">
        <f aca="false">M18*Inputs!$F$128</f>
        <v>0</v>
      </c>
      <c r="N19" s="19" t="n">
        <f aca="false">N18*Inputs!$F$128</f>
        <v>0</v>
      </c>
      <c r="O19" s="19" t="n">
        <f aca="false">O18*Inputs!$F$128</f>
        <v>0</v>
      </c>
      <c r="P19" s="19" t="n">
        <f aca="false">P18*Inputs!$F$128</f>
        <v>0</v>
      </c>
      <c r="Q19" s="19" t="n">
        <f aca="false">Q18*Inputs!$F$128</f>
        <v>0</v>
      </c>
      <c r="R19" s="19" t="n">
        <f aca="false">R18*Inputs!$F$128</f>
        <v>0</v>
      </c>
      <c r="S19" s="19" t="n">
        <f aca="false">S18*Inputs!$F$128</f>
        <v>0</v>
      </c>
      <c r="T19" s="19" t="n">
        <f aca="false">T18*Inputs!$F$128</f>
        <v>0</v>
      </c>
      <c r="U19" s="19" t="n">
        <f aca="false">U18*Inputs!$F$128</f>
        <v>0</v>
      </c>
      <c r="V19" s="19" t="n">
        <f aca="false">V18*Inputs!$F$128</f>
        <v>0</v>
      </c>
      <c r="W19" s="19" t="n">
        <f aca="false">W18*Inputs!$F$128</f>
        <v>0</v>
      </c>
      <c r="X19" s="19" t="n">
        <f aca="false">X18*Inputs!$F$128</f>
        <v>0</v>
      </c>
      <c r="Y19" s="19" t="n">
        <f aca="false">Y18*Inputs!$F$128</f>
        <v>0</v>
      </c>
      <c r="Z19" s="19" t="n">
        <f aca="false">Z18*Inputs!$F$128</f>
        <v>0.388868273237284</v>
      </c>
      <c r="AA19" s="19" t="n">
        <f aca="false">AA18*Inputs!$F$128</f>
        <v>0.805905140124672</v>
      </c>
      <c r="AB19" s="19" t="n">
        <f aca="false">AB18*Inputs!$F$128</f>
        <v>0.927279272138612</v>
      </c>
      <c r="AC19" s="19" t="n">
        <f aca="false">AC18*Inputs!$F$128</f>
        <v>0.960837950558866</v>
      </c>
      <c r="AD19" s="19" t="n">
        <f aca="false">AD18*Inputs!$F$128</f>
        <v>1.04246183071823</v>
      </c>
      <c r="AE19" s="19" t="n">
        <f aca="false">AE18*Inputs!$F$128</f>
        <v>1.08611382857961</v>
      </c>
      <c r="AF19" s="19" t="n">
        <f aca="false">AF18*Inputs!$F$128</f>
        <v>1.15076170444966</v>
      </c>
      <c r="AG19" s="19" t="n">
        <f aca="false">AG18*Inputs!$F$128</f>
        <v>1.19888729912918</v>
      </c>
      <c r="AH19" s="19" t="n">
        <f aca="false">AH18*Inputs!$F$128</f>
        <v>1.21943779120229</v>
      </c>
      <c r="AI19" s="19" t="n">
        <f aca="false">AI18*Inputs!$F$128</f>
        <v>1.27035699314544</v>
      </c>
      <c r="AJ19" s="19" t="n">
        <f aca="false">AJ18*Inputs!$F$128</f>
        <v>1.29927142296768</v>
      </c>
      <c r="AK19" s="19" t="n">
        <f aca="false">AK18*Inputs!$F$128</f>
        <v>1.34668121619026</v>
      </c>
      <c r="AL19" s="19" t="n">
        <f aca="false">AL18*Inputs!$F$128</f>
        <v>1.36976508877648</v>
      </c>
      <c r="AM19" s="19" t="n">
        <f aca="false">AM18*Inputs!$F$128</f>
        <v>1.42744067405508</v>
      </c>
      <c r="AN19" s="19" t="n">
        <f aca="false">AN18*Inputs!$F$128</f>
        <v>1.45190886908752</v>
      </c>
      <c r="AO19" s="19" t="n">
        <f aca="false">AO18*Inputs!$F$128</f>
        <v>1.51287299839727</v>
      </c>
      <c r="AP19" s="19" t="n">
        <f aca="false">AP18*Inputs!$F$128</f>
        <v>1.53880561490241</v>
      </c>
      <c r="AQ19" s="19" t="n">
        <f aca="false">AQ18*Inputs!$F$128</f>
        <v>1.60322767775619</v>
      </c>
      <c r="AR19" s="19" t="n">
        <f aca="false">AR18*Inputs!$F$128</f>
        <v>1.63971853381294</v>
      </c>
      <c r="AS19" s="19" t="n">
        <f aca="false">AS18*Inputs!$F$128</f>
        <v>1.69955564021655</v>
      </c>
      <c r="AT19" s="19" t="n">
        <f aca="false">AT18*Inputs!$F$128</f>
        <v>1.72868824070157</v>
      </c>
      <c r="AU19" s="19" t="n">
        <f aca="false">AU18*Inputs!$F$128</f>
        <v>1.80139642275789</v>
      </c>
      <c r="AV19" s="19" t="n">
        <f aca="false">AV18*Inputs!$F$128</f>
        <v>1.83227470709146</v>
      </c>
      <c r="AW19" s="19" t="n">
        <f aca="false">AW18*Inputs!$F$128</f>
        <v>1.90904128091528</v>
      </c>
      <c r="AX19" s="19" t="n">
        <f aca="false">AX18*Inputs!$F$128</f>
        <v>1.92110766683758</v>
      </c>
      <c r="AY19" s="19" t="n">
        <f aca="false">AY18*Inputs!$F$128</f>
        <v>2.00213973242293</v>
      </c>
      <c r="AZ19" s="19" t="n">
        <f aca="false">AZ18*Inputs!$F$128</f>
        <v>2.02592602293965</v>
      </c>
      <c r="BA19" s="19" t="n">
        <f aca="false">BA18*Inputs!$F$128</f>
        <v>2.09939366992537</v>
      </c>
      <c r="BB19" s="19" t="n">
        <f aca="false">BB18*Inputs!$F$128</f>
        <v>2.11266320708908</v>
      </c>
      <c r="BC19" s="19" t="n">
        <f aca="false">BC18*Inputs!$F$128</f>
        <v>2.20096530201897</v>
      </c>
      <c r="BD19" s="19" t="n">
        <f aca="false">BD18*Inputs!$F$128</f>
        <v>2.21487683813988</v>
      </c>
      <c r="BE19" s="19" t="n">
        <f aca="false">BE18*Inputs!$F$128</f>
        <v>2.30794648539417</v>
      </c>
      <c r="BF19" s="19" t="n">
        <f aca="false">BF18*Inputs!$F$128</f>
        <v>2.32253421236435</v>
      </c>
      <c r="BG19" s="19" t="n">
        <f aca="false">BG18*Inputs!$F$128</f>
        <v>2.41962966039595</v>
      </c>
      <c r="BH19" s="19" t="n">
        <f aca="false">BH18*Inputs!$F$128</f>
        <v>2.44837591277435</v>
      </c>
      <c r="BI19" s="19" t="n">
        <f aca="false">BI18*Inputs!$F$128</f>
        <v>2.53716317114968</v>
      </c>
      <c r="BJ19" s="19" t="n">
        <f aca="false">BJ18*Inputs!$F$128</f>
        <v>2.55319969706298</v>
      </c>
      <c r="BK19" s="19" t="n">
        <f aca="false">BK18*Inputs!$F$128</f>
        <v>2.66080153040841</v>
      </c>
      <c r="BL19" s="19" t="n">
        <f aca="false">BL18*Inputs!$F$128</f>
        <v>2.67761953138594</v>
      </c>
      <c r="BM19" s="19" t="n">
        <f aca="false">BM18*Inputs!$F$128</f>
        <v>2.7897969907735</v>
      </c>
      <c r="BN19" s="19" t="n">
        <f aca="false">BN18*Inputs!$F$128</f>
        <v>2.80743032718801</v>
      </c>
      <c r="BO19" s="19" t="n">
        <f aca="false">BO18*Inputs!$F$128</f>
        <v>2.9253890173131</v>
      </c>
      <c r="BP19" s="19" t="n">
        <f aca="false">BP18*Inputs!$F$128</f>
        <v>2.96014391074704</v>
      </c>
      <c r="BQ19" s="19" t="n">
        <f aca="false">BQ18*Inputs!$F$128</f>
        <v>3.06786043126986</v>
      </c>
      <c r="BR19" s="19" t="n">
        <f aca="false">BR18*Inputs!$F$128</f>
        <v>3.05405505932915</v>
      </c>
      <c r="BS19" s="19" t="n">
        <f aca="false">BS18*Inputs!$F$128</f>
        <v>3.18183615874543</v>
      </c>
      <c r="BT19" s="19" t="n">
        <f aca="false">BT18*Inputs!$F$128</f>
        <v>3.16751789603107</v>
      </c>
      <c r="BU19" s="19" t="n">
        <f aca="false">BU18*Inputs!$F$128</f>
        <v>3.30027462453186</v>
      </c>
      <c r="BV19" s="19" t="n">
        <f aca="false">BV18*Inputs!$F$128</f>
        <v>3.28542338872146</v>
      </c>
      <c r="BW19" s="19" t="n">
        <f aca="false">BW18*Inputs!$F$128</f>
        <v>3.4232925509569</v>
      </c>
      <c r="BX19" s="19" t="n">
        <f aca="false">BX18*Inputs!$F$128</f>
        <v>3.42671584350785</v>
      </c>
      <c r="BY19" s="19" t="n">
        <f aca="false">BY18*Inputs!$F$128</f>
        <v>3.5510091313992</v>
      </c>
      <c r="BZ19" s="19" t="n">
        <f aca="false">BZ18*Inputs!$F$128</f>
        <v>3.5350295903079</v>
      </c>
      <c r="CA19" s="19" t="n">
        <f aca="false">CA18*Inputs!$F$128</f>
        <v>3.68354607653373</v>
      </c>
      <c r="CB19" s="19" t="n">
        <f aca="false">CB18*Inputs!$F$128</f>
        <v>3.66697011918933</v>
      </c>
      <c r="CC19" s="19" t="n">
        <f aca="false">CC18*Inputs!$F$128</f>
        <v>3.82102766137617</v>
      </c>
      <c r="CD19" s="19" t="n">
        <f aca="false">CD18*Inputs!$F$128</f>
        <v>3.80383303689998</v>
      </c>
      <c r="CE19" s="19" t="n">
        <f aca="false">CE18*Inputs!$F$128</f>
        <v>3.9635807731395</v>
      </c>
      <c r="CF19" s="19" t="n">
        <f aca="false">CF18*Inputs!$F$128</f>
        <v>3.96754435391264</v>
      </c>
      <c r="CG19" s="19" t="n">
        <f aca="false">CG18*Inputs!$F$128</f>
        <v>4.11133495991583</v>
      </c>
      <c r="CH19" s="19" t="n">
        <f aca="false">CH18*Inputs!$F$128</f>
        <v>4.09283395259621</v>
      </c>
      <c r="CI19" s="19" t="n">
        <f aca="false">CI18*Inputs!$F$128</f>
        <v>4.26442248019715</v>
      </c>
      <c r="CJ19" s="19" t="n">
        <f aca="false">CJ18*Inputs!$F$128</f>
        <v>4.24523257903626</v>
      </c>
      <c r="CK19" s="19" t="n">
        <f aca="false">CK18*Inputs!$F$128</f>
        <v>4.42297835324853</v>
      </c>
      <c r="CL19" s="19" t="n">
        <f aca="false">CL18*Inputs!$F$128</f>
        <v>4.40307495065891</v>
      </c>
      <c r="CM19" s="19" t="n">
        <f aca="false">CM18*Inputs!$F$128</f>
        <v>4.58834787031361</v>
      </c>
      <c r="CN19" s="19" t="n">
        <f aca="false">CN18*Inputs!$F$128</f>
        <v>4.59293621818392</v>
      </c>
      <c r="CO19" s="19" t="n">
        <f aca="false">CO18*Inputs!$F$128</f>
        <v>4.7594932458763</v>
      </c>
      <c r="CP19" s="19" t="n">
        <f aca="false">CP18*Inputs!$F$128</f>
        <v>3.82187307643867</v>
      </c>
      <c r="CQ19" s="19" t="n">
        <f aca="false">CQ18*Inputs!$F$128</f>
        <v>0</v>
      </c>
      <c r="CR19" s="19" t="n">
        <f aca="false">CR18*Inputs!$F$128</f>
        <v>0</v>
      </c>
      <c r="CS19" s="19" t="n">
        <f aca="false">CS18*Inputs!$F$128</f>
        <v>0</v>
      </c>
      <c r="CT19" s="19" t="n">
        <f aca="false">CT18*Inputs!$F$128</f>
        <v>0</v>
      </c>
      <c r="CU19" s="19" t="n">
        <f aca="false">CU18*Inputs!$F$128</f>
        <v>0</v>
      </c>
      <c r="CV19" s="19" t="n">
        <f aca="false">CV18*Inputs!$F$128</f>
        <v>0</v>
      </c>
      <c r="CW19" s="19" t="n">
        <f aca="false">CW18*Inputs!$F$128</f>
        <v>0</v>
      </c>
      <c r="CX19" s="19" t="n">
        <f aca="false">CX18*Inputs!$F$128</f>
        <v>0</v>
      </c>
      <c r="CY19" s="19" t="n">
        <f aca="false">CY18*Inputs!$F$128</f>
        <v>0</v>
      </c>
      <c r="CZ19" s="19" t="n">
        <f aca="false">CZ18*Inputs!$F$128</f>
        <v>0</v>
      </c>
      <c r="DA19" s="19" t="n">
        <f aca="false">DA18*Inputs!$F$128</f>
        <v>0</v>
      </c>
      <c r="DB19" s="19" t="n">
        <f aca="false">DB18*Inputs!$F$128</f>
        <v>0</v>
      </c>
    </row>
    <row r="20" customFormat="false" ht="15" hidden="false" customHeight="false" outlineLevel="0" collapsed="false">
      <c r="D20" s="0" t="s">
        <v>390</v>
      </c>
      <c r="E20" s="0" t="s">
        <v>44</v>
      </c>
      <c r="G20" s="19" t="n">
        <f aca="false">SUM(J20:DB20)</f>
        <v>9678.19405756937</v>
      </c>
      <c r="J20" s="19" t="n">
        <f aca="false">J18-J19</f>
        <v>0</v>
      </c>
      <c r="K20" s="19" t="n">
        <f aca="false">K18-K19</f>
        <v>0</v>
      </c>
      <c r="L20" s="19" t="n">
        <f aca="false">L18-L19</f>
        <v>0</v>
      </c>
      <c r="M20" s="19" t="n">
        <f aca="false">M18-M19</f>
        <v>0</v>
      </c>
      <c r="N20" s="19" t="n">
        <f aca="false">N18-N19</f>
        <v>0</v>
      </c>
      <c r="O20" s="19" t="n">
        <f aca="false">O18-O19</f>
        <v>0</v>
      </c>
      <c r="P20" s="19" t="n">
        <f aca="false">P18-P19</f>
        <v>0</v>
      </c>
      <c r="Q20" s="19" t="n">
        <f aca="false">Q18-Q19</f>
        <v>0</v>
      </c>
      <c r="R20" s="19" t="n">
        <f aca="false">R18-R19</f>
        <v>0</v>
      </c>
      <c r="S20" s="19" t="n">
        <f aca="false">S18-S19</f>
        <v>0</v>
      </c>
      <c r="T20" s="19" t="n">
        <f aca="false">T18-T19</f>
        <v>0</v>
      </c>
      <c r="U20" s="19" t="n">
        <f aca="false">U18-U19</f>
        <v>0</v>
      </c>
      <c r="V20" s="19" t="n">
        <f aca="false">V18-V19</f>
        <v>0</v>
      </c>
      <c r="W20" s="19" t="n">
        <f aca="false">W18-W19</f>
        <v>0</v>
      </c>
      <c r="X20" s="19" t="n">
        <f aca="false">X18-X19</f>
        <v>0</v>
      </c>
      <c r="Y20" s="19" t="n">
        <f aca="false">Y18-Y19</f>
        <v>0</v>
      </c>
      <c r="Z20" s="19" t="n">
        <f aca="false">Z18-Z19</f>
        <v>21.2149246843896</v>
      </c>
      <c r="AA20" s="19" t="n">
        <f aca="false">AA18-AA19</f>
        <v>43.9666026445793</v>
      </c>
      <c r="AB20" s="19" t="n">
        <f aca="false">AB18-AB19</f>
        <v>50.5882358466732</v>
      </c>
      <c r="AC20" s="19" t="n">
        <f aca="false">AC18-AC19</f>
        <v>52.4190481916004</v>
      </c>
      <c r="AD20" s="19" t="n">
        <f aca="false">AD18-AD19</f>
        <v>56.8720843202944</v>
      </c>
      <c r="AE20" s="19" t="n">
        <f aca="false">AE18-AE19</f>
        <v>59.2535433147318</v>
      </c>
      <c r="AF20" s="19" t="n">
        <f aca="false">AF18-AF19</f>
        <v>62.7804440983091</v>
      </c>
      <c r="AG20" s="19" t="n">
        <f aca="false">AG18-AG19</f>
        <v>65.4059626524918</v>
      </c>
      <c r="AH20" s="19" t="n">
        <f aca="false">AH18-AH19</f>
        <v>66.5271061644807</v>
      </c>
      <c r="AI20" s="19" t="n">
        <f aca="false">AI18-AI19</f>
        <v>69.3050315149345</v>
      </c>
      <c r="AJ20" s="19" t="n">
        <f aca="false">AJ18-AJ19</f>
        <v>70.8824742974592</v>
      </c>
      <c r="AK20" s="19" t="n">
        <f aca="false">AK18-AK19</f>
        <v>73.4689419054907</v>
      </c>
      <c r="AL20" s="19" t="n">
        <f aca="false">AL18-AL19</f>
        <v>74.7282953988055</v>
      </c>
      <c r="AM20" s="19" t="n">
        <f aca="false">AM18-AM19</f>
        <v>77.8748189956714</v>
      </c>
      <c r="AN20" s="19" t="n">
        <f aca="false">AN18-AN19</f>
        <v>79.2096949691081</v>
      </c>
      <c r="AO20" s="19" t="n">
        <f aca="false">AO18-AO19</f>
        <v>82.5356269125623</v>
      </c>
      <c r="AP20" s="19" t="n">
        <f aca="false">AP18-AP19</f>
        <v>83.9503952130092</v>
      </c>
      <c r="AQ20" s="19" t="n">
        <f aca="false">AQ18-AQ19</f>
        <v>87.4649766420319</v>
      </c>
      <c r="AR20" s="19" t="n">
        <f aca="false">AR18-AR19</f>
        <v>89.455755566906</v>
      </c>
      <c r="AS20" s="19" t="n">
        <f aca="false">AS18-AS19</f>
        <v>92.7202021495919</v>
      </c>
      <c r="AT20" s="19" t="n">
        <f aca="false">AT18-AT19</f>
        <v>94.30954735383</v>
      </c>
      <c r="AU20" s="19" t="n">
        <f aca="false">AU18-AU19</f>
        <v>98.2761826193468</v>
      </c>
      <c r="AV20" s="19" t="n">
        <f aca="false">AV18-AV19</f>
        <v>99.9607645757676</v>
      </c>
      <c r="AW20" s="19" t="n">
        <f aca="false">AW18-AW19</f>
        <v>104.148807658822</v>
      </c>
      <c r="AX20" s="19" t="n">
        <f aca="false">AX18-AX19</f>
        <v>104.807096046362</v>
      </c>
      <c r="AY20" s="19" t="n">
        <f aca="false">AY18-AY19</f>
        <v>109.227845402184</v>
      </c>
      <c r="AZ20" s="19" t="n">
        <f aca="false">AZ18-AZ19</f>
        <v>110.52551969593</v>
      </c>
      <c r="BA20" s="19" t="n">
        <f aca="false">BA18-BA19</f>
        <v>114.533587992595</v>
      </c>
      <c r="BB20" s="19" t="n">
        <f aca="false">BB18-BB19</f>
        <v>115.257514964527</v>
      </c>
      <c r="BC20" s="19" t="n">
        <f aca="false">BC18-BC19</f>
        <v>120.074884810146</v>
      </c>
      <c r="BD20" s="19" t="n">
        <f aca="false">BD18-BD19</f>
        <v>120.833836391854</v>
      </c>
      <c r="BE20" s="19" t="n">
        <f aca="false">BE18-BE19</f>
        <v>125.911302703171</v>
      </c>
      <c r="BF20" s="19" t="n">
        <f aca="false">BF18-BF19</f>
        <v>126.707144252322</v>
      </c>
      <c r="BG20" s="19" t="n">
        <f aca="false">BG18-BG19</f>
        <v>132.004240361601</v>
      </c>
      <c r="BH20" s="19" t="n">
        <f aca="false">BH18-BH19</f>
        <v>133.572508130245</v>
      </c>
      <c r="BI20" s="19" t="n">
        <f aca="false">BI18-BI19</f>
        <v>138.416346337166</v>
      </c>
      <c r="BJ20" s="19" t="n">
        <f aca="false">BJ18-BJ19</f>
        <v>139.291227917547</v>
      </c>
      <c r="BK20" s="19" t="n">
        <f aca="false">BK18-BK19</f>
        <v>145.161505714503</v>
      </c>
      <c r="BL20" s="19" t="n">
        <f aca="false">BL18-BL19</f>
        <v>146.079021101166</v>
      </c>
      <c r="BM20" s="19" t="n">
        <f aca="false">BM18-BM19</f>
        <v>152.198924718865</v>
      </c>
      <c r="BN20" s="19" t="n">
        <f aca="false">BN18-BN19</f>
        <v>153.160921183257</v>
      </c>
      <c r="BO20" s="19" t="n">
        <f aca="false">BO18-BO19</f>
        <v>159.596223055637</v>
      </c>
      <c r="BP20" s="19" t="n">
        <f aca="false">BP18-BP19</f>
        <v>161.4922955752</v>
      </c>
      <c r="BQ20" s="19" t="n">
        <f aca="false">BQ18-BQ19</f>
        <v>167.368830194834</v>
      </c>
      <c r="BR20" s="19" t="n">
        <f aca="false">BR18-BR19</f>
        <v>166.615670458957</v>
      </c>
      <c r="BS20" s="19" t="n">
        <f aca="false">BS18-BS19</f>
        <v>173.586839327112</v>
      </c>
      <c r="BT20" s="19" t="n">
        <f aca="false">BT18-BT19</f>
        <v>172.80569855014</v>
      </c>
      <c r="BU20" s="19" t="n">
        <f aca="false">BU18-BU19</f>
        <v>180.048315627238</v>
      </c>
      <c r="BV20" s="19" t="n">
        <f aca="false">BV18-BV19</f>
        <v>179.238098206915</v>
      </c>
      <c r="BW20" s="19" t="n">
        <f aca="false">BW18-BW19</f>
        <v>186.759626946649</v>
      </c>
      <c r="BX20" s="19" t="n">
        <f aca="false">BX18-BX19</f>
        <v>186.946386573595</v>
      </c>
      <c r="BY20" s="19" t="n">
        <f aca="false">BY18-BY19</f>
        <v>193.727275946334</v>
      </c>
      <c r="BZ20" s="19" t="n">
        <f aca="false">BZ18-BZ19</f>
        <v>192.855503204576</v>
      </c>
      <c r="CA20" s="19" t="n">
        <f aca="false">CA18-CA19</f>
        <v>200.957902619784</v>
      </c>
      <c r="CB20" s="19" t="n">
        <f aca="false">CB18-CB19</f>
        <v>200.053592057995</v>
      </c>
      <c r="CC20" s="19" t="n">
        <f aca="false">CC18-CC19</f>
        <v>208.458286859522</v>
      </c>
      <c r="CD20" s="19" t="n">
        <f aca="false">CD18-CD19</f>
        <v>207.520224568654</v>
      </c>
      <c r="CE20" s="19" t="n">
        <f aca="false">CE18-CE19</f>
        <v>216.235351067944</v>
      </c>
      <c r="CF20" s="19" t="n">
        <f aca="false">CF18-CF19</f>
        <v>216.451586419012</v>
      </c>
      <c r="CG20" s="19" t="n">
        <f aca="false">CG18-CG19</f>
        <v>224.296162813186</v>
      </c>
      <c r="CH20" s="19" t="n">
        <f aca="false">CH18-CH19</f>
        <v>223.286830080526</v>
      </c>
      <c r="CI20" s="19" t="n">
        <f aca="false">CI18-CI19</f>
        <v>232.647937530756</v>
      </c>
      <c r="CJ20" s="19" t="n">
        <f aca="false">CJ18-CJ19</f>
        <v>231.601021811867</v>
      </c>
      <c r="CK20" s="19" t="n">
        <f aca="false">CK18-CK19</f>
        <v>241.29804127167</v>
      </c>
      <c r="CL20" s="19" t="n">
        <f aca="false">CL18-CL19</f>
        <v>240.212200085947</v>
      </c>
      <c r="CM20" s="19" t="n">
        <f aca="false">CM18-CM19</f>
        <v>250.319867147109</v>
      </c>
      <c r="CN20" s="19" t="n">
        <f aca="false">CN18-CN19</f>
        <v>250.570187014256</v>
      </c>
      <c r="CO20" s="19" t="n">
        <f aca="false">CO18-CO19</f>
        <v>259.656798191696</v>
      </c>
      <c r="CP20" s="19" t="n">
        <f aca="false">CP18-CP19</f>
        <v>208.504408947932</v>
      </c>
      <c r="CQ20" s="19" t="n">
        <f aca="false">CQ18-CQ19</f>
        <v>0</v>
      </c>
      <c r="CR20" s="19" t="n">
        <f aca="false">CR18-CR19</f>
        <v>0</v>
      </c>
      <c r="CS20" s="19" t="n">
        <f aca="false">CS18-CS19</f>
        <v>0</v>
      </c>
      <c r="CT20" s="19" t="n">
        <f aca="false">CT18-CT19</f>
        <v>0</v>
      </c>
      <c r="CU20" s="19" t="n">
        <f aca="false">CU18-CU19</f>
        <v>0</v>
      </c>
      <c r="CV20" s="19" t="n">
        <f aca="false">CV18-CV19</f>
        <v>0</v>
      </c>
      <c r="CW20" s="19" t="n">
        <f aca="false">CW18-CW19</f>
        <v>0</v>
      </c>
      <c r="CX20" s="19" t="n">
        <f aca="false">CX18-CX19</f>
        <v>0</v>
      </c>
      <c r="CY20" s="19" t="n">
        <f aca="false">CY18-CY19</f>
        <v>0</v>
      </c>
      <c r="CZ20" s="19" t="n">
        <f aca="false">CZ18-CZ19</f>
        <v>0</v>
      </c>
      <c r="DA20" s="19" t="n">
        <f aca="false">DA18-DA19</f>
        <v>0</v>
      </c>
      <c r="DB20" s="19" t="n">
        <f aca="false">DB18-DB19</f>
        <v>0</v>
      </c>
    </row>
    <row r="21" customFormat="false" ht="15" hidden="false" customHeight="false" outlineLevel="0" collapsed="false">
      <c r="D21" s="0" t="s">
        <v>391</v>
      </c>
      <c r="E21" s="0" t="s">
        <v>44</v>
      </c>
      <c r="G21" s="19" t="n">
        <f aca="false">SUM(J21:DB21)</f>
        <v>0</v>
      </c>
      <c r="J21" s="19" t="n">
        <f aca="false">IF(AND(Inputs!$F$213=1,Time!J27=1),Inputs!$F$78,0)</f>
        <v>0</v>
      </c>
      <c r="K21" s="19" t="n">
        <f aca="false">IF(AND(Inputs!$F$213=1,Time!K27=1),Inputs!$F$78,0)</f>
        <v>0</v>
      </c>
      <c r="L21" s="19" t="n">
        <f aca="false">IF(AND(Inputs!$F$213=1,Time!L27=1),Inputs!$F$78,0)</f>
        <v>0</v>
      </c>
      <c r="M21" s="19" t="n">
        <f aca="false">IF(AND(Inputs!$F$213=1,Time!M27=1),Inputs!$F$78,0)</f>
        <v>0</v>
      </c>
      <c r="N21" s="19" t="n">
        <f aca="false">IF(AND(Inputs!$F$213=1,Time!N27=1),Inputs!$F$78,0)</f>
        <v>0</v>
      </c>
      <c r="O21" s="19" t="n">
        <f aca="false">IF(AND(Inputs!$F$213=1,Time!O27=1),Inputs!$F$78,0)</f>
        <v>0</v>
      </c>
      <c r="P21" s="19" t="n">
        <f aca="false">IF(AND(Inputs!$F$213=1,Time!P27=1),Inputs!$F$78,0)</f>
        <v>0</v>
      </c>
      <c r="Q21" s="19" t="n">
        <f aca="false">IF(AND(Inputs!$F$213=1,Time!Q27=1),Inputs!$F$78,0)</f>
        <v>0</v>
      </c>
      <c r="R21" s="19" t="n">
        <f aca="false">IF(AND(Inputs!$F$213=1,Time!R27=1),Inputs!$F$78,0)</f>
        <v>0</v>
      </c>
      <c r="S21" s="19" t="n">
        <f aca="false">IF(AND(Inputs!$F$213=1,Time!S27=1),Inputs!$F$78,0)</f>
        <v>0</v>
      </c>
      <c r="T21" s="19" t="n">
        <f aca="false">IF(AND(Inputs!$F$213=1,Time!T27=1),Inputs!$F$78,0)</f>
        <v>0</v>
      </c>
      <c r="U21" s="19" t="n">
        <f aca="false">IF(AND(Inputs!$F$213=1,Time!U27=1),Inputs!$F$78,0)</f>
        <v>0</v>
      </c>
      <c r="V21" s="19" t="n">
        <f aca="false">IF(AND(Inputs!$F$213=1,Time!V27=1),Inputs!$F$78,0)</f>
        <v>0</v>
      </c>
      <c r="W21" s="19" t="n">
        <f aca="false">IF(AND(Inputs!$F$213=1,Time!W27=1),Inputs!$F$78,0)</f>
        <v>0</v>
      </c>
      <c r="X21" s="19" t="n">
        <f aca="false">IF(AND(Inputs!$F$213=1,Time!X27=1),Inputs!$F$78,0)</f>
        <v>0</v>
      </c>
      <c r="Y21" s="19" t="n">
        <f aca="false">IF(AND(Inputs!$F$213=1,Time!Y27=1),Inputs!$F$78,0)</f>
        <v>0</v>
      </c>
      <c r="Z21" s="19" t="n">
        <f aca="false">IF(AND(Inputs!$F$213=1,Time!Z27=1),Inputs!$F$78,0)</f>
        <v>0</v>
      </c>
      <c r="AA21" s="19" t="n">
        <f aca="false">IF(AND(Inputs!$F$213=1,Time!AA27=1),Inputs!$F$78,0)</f>
        <v>0</v>
      </c>
      <c r="AB21" s="19" t="n">
        <f aca="false">IF(AND(Inputs!$F$213=1,Time!AB27=1),Inputs!$F$78,0)</f>
        <v>0</v>
      </c>
      <c r="AC21" s="19" t="n">
        <f aca="false">IF(AND(Inputs!$F$213=1,Time!AC27=1),Inputs!$F$78,0)</f>
        <v>0</v>
      </c>
      <c r="AD21" s="19" t="n">
        <f aca="false">IF(AND(Inputs!$F$213=1,Time!AD27=1),Inputs!$F$78,0)</f>
        <v>0</v>
      </c>
      <c r="AE21" s="19" t="n">
        <f aca="false">IF(AND(Inputs!$F$213=1,Time!AE27=1),Inputs!$F$78,0)</f>
        <v>0</v>
      </c>
      <c r="AF21" s="19" t="n">
        <f aca="false">IF(AND(Inputs!$F$213=1,Time!AF27=1),Inputs!$F$78,0)</f>
        <v>0</v>
      </c>
      <c r="AG21" s="19" t="n">
        <f aca="false">IF(AND(Inputs!$F$213=1,Time!AG27=1),Inputs!$F$78,0)</f>
        <v>0</v>
      </c>
      <c r="AH21" s="19" t="n">
        <f aca="false">IF(AND(Inputs!$F$213=1,Time!AH27=1),Inputs!$F$78,0)</f>
        <v>0</v>
      </c>
      <c r="AI21" s="19" t="n">
        <f aca="false">IF(AND(Inputs!$F$213=1,Time!AI27=1),Inputs!$F$78,0)</f>
        <v>0</v>
      </c>
      <c r="AJ21" s="19" t="n">
        <f aca="false">IF(AND(Inputs!$F$213=1,Time!AJ27=1),Inputs!$F$78,0)</f>
        <v>0</v>
      </c>
      <c r="AK21" s="19" t="n">
        <f aca="false">IF(AND(Inputs!$F$213=1,Time!AK27=1),Inputs!$F$78,0)</f>
        <v>0</v>
      </c>
      <c r="AL21" s="19" t="n">
        <f aca="false">IF(AND(Inputs!$F$213=1,Time!AL27=1),Inputs!$F$78,0)</f>
        <v>0</v>
      </c>
      <c r="AM21" s="19" t="n">
        <f aca="false">IF(AND(Inputs!$F$213=1,Time!AM27=1),Inputs!$F$78,0)</f>
        <v>0</v>
      </c>
      <c r="AN21" s="19" t="n">
        <f aca="false">IF(AND(Inputs!$F$213=1,Time!AN27=1),Inputs!$F$78,0)</f>
        <v>0</v>
      </c>
      <c r="AO21" s="19" t="n">
        <f aca="false">IF(AND(Inputs!$F$213=1,Time!AO27=1),Inputs!$F$78,0)</f>
        <v>0</v>
      </c>
      <c r="AP21" s="19" t="n">
        <f aca="false">IF(AND(Inputs!$F$213=1,Time!AP27=1),Inputs!$F$78,0)</f>
        <v>0</v>
      </c>
      <c r="AQ21" s="19" t="n">
        <f aca="false">IF(AND(Inputs!$F$213=1,Time!AQ27=1),Inputs!$F$78,0)</f>
        <v>0</v>
      </c>
      <c r="AR21" s="19" t="n">
        <f aca="false">IF(AND(Inputs!$F$213=1,Time!AR27=1),Inputs!$F$78,0)</f>
        <v>0</v>
      </c>
      <c r="AS21" s="19" t="n">
        <f aca="false">IF(AND(Inputs!$F$213=1,Time!AS27=1),Inputs!$F$78,0)</f>
        <v>0</v>
      </c>
      <c r="AT21" s="19" t="n">
        <f aca="false">IF(AND(Inputs!$F$213=1,Time!AT27=1),Inputs!$F$78,0)</f>
        <v>0</v>
      </c>
      <c r="AU21" s="19" t="n">
        <f aca="false">IF(AND(Inputs!$F$213=1,Time!AU27=1),Inputs!$F$78,0)</f>
        <v>0</v>
      </c>
      <c r="AV21" s="19" t="n">
        <f aca="false">IF(AND(Inputs!$F$213=1,Time!AV27=1),Inputs!$F$78,0)</f>
        <v>0</v>
      </c>
      <c r="AW21" s="19" t="n">
        <f aca="false">IF(AND(Inputs!$F$213=1,Time!AW27=1),Inputs!$F$78,0)</f>
        <v>0</v>
      </c>
      <c r="AX21" s="19" t="n">
        <f aca="false">IF(AND(Inputs!$F$213=1,Time!AX27=1),Inputs!$F$78,0)</f>
        <v>0</v>
      </c>
      <c r="AY21" s="19" t="n">
        <f aca="false">IF(AND(Inputs!$F$213=1,Time!AY27=1),Inputs!$F$78,0)</f>
        <v>0</v>
      </c>
      <c r="AZ21" s="19" t="n">
        <f aca="false">IF(AND(Inputs!$F$213=1,Time!AZ27=1),Inputs!$F$78,0)</f>
        <v>0</v>
      </c>
      <c r="BA21" s="19" t="n">
        <f aca="false">IF(AND(Inputs!$F$213=1,Time!BA27=1),Inputs!$F$78,0)</f>
        <v>0</v>
      </c>
      <c r="BB21" s="19" t="n">
        <f aca="false">IF(AND(Inputs!$F$213=1,Time!BB27=1),Inputs!$F$78,0)</f>
        <v>0</v>
      </c>
      <c r="BC21" s="19" t="n">
        <f aca="false">IF(AND(Inputs!$F$213=1,Time!BC27=1),Inputs!$F$78,0)</f>
        <v>0</v>
      </c>
      <c r="BD21" s="19" t="n">
        <f aca="false">IF(AND(Inputs!$F$213=1,Time!BD27=1),Inputs!$F$78,0)</f>
        <v>0</v>
      </c>
      <c r="BE21" s="19" t="n">
        <f aca="false">IF(AND(Inputs!$F$213=1,Time!BE27=1),Inputs!$F$78,0)</f>
        <v>0</v>
      </c>
      <c r="BF21" s="19" t="n">
        <f aca="false">IF(AND(Inputs!$F$213=1,Time!BF27=1),Inputs!$F$78,0)</f>
        <v>0</v>
      </c>
      <c r="BG21" s="19" t="n">
        <f aca="false">IF(AND(Inputs!$F$213=1,Time!BG27=1),Inputs!$F$78,0)</f>
        <v>0</v>
      </c>
      <c r="BH21" s="19" t="n">
        <f aca="false">IF(AND(Inputs!$F$213=1,Time!BH27=1),Inputs!$F$78,0)</f>
        <v>0</v>
      </c>
      <c r="BI21" s="19" t="n">
        <f aca="false">IF(AND(Inputs!$F$213=1,Time!BI27=1),Inputs!$F$78,0)</f>
        <v>0</v>
      </c>
      <c r="BJ21" s="19" t="n">
        <f aca="false">IF(AND(Inputs!$F$213=1,Time!BJ27=1),Inputs!$F$78,0)</f>
        <v>0</v>
      </c>
      <c r="BK21" s="19" t="n">
        <f aca="false">IF(AND(Inputs!$F$213=1,Time!BK27=1),Inputs!$F$78,0)</f>
        <v>0</v>
      </c>
      <c r="BL21" s="19" t="n">
        <f aca="false">IF(AND(Inputs!$F$213=1,Time!BL27=1),Inputs!$F$78,0)</f>
        <v>0</v>
      </c>
      <c r="BM21" s="19" t="n">
        <f aca="false">IF(AND(Inputs!$F$213=1,Time!BM27=1),Inputs!$F$78,0)</f>
        <v>0</v>
      </c>
      <c r="BN21" s="19" t="n">
        <f aca="false">IF(AND(Inputs!$F$213=1,Time!BN27=1),Inputs!$F$78,0)</f>
        <v>0</v>
      </c>
      <c r="BO21" s="19" t="n">
        <f aca="false">IF(AND(Inputs!$F$213=1,Time!BO27=1),Inputs!$F$78,0)</f>
        <v>0</v>
      </c>
      <c r="BP21" s="19" t="n">
        <f aca="false">IF(AND(Inputs!$F$213=1,Time!BP27=1),Inputs!$F$78,0)</f>
        <v>0</v>
      </c>
      <c r="BQ21" s="19" t="n">
        <f aca="false">IF(AND(Inputs!$F$213=1,Time!BQ27=1),Inputs!$F$78,0)</f>
        <v>0</v>
      </c>
      <c r="BR21" s="19" t="n">
        <f aca="false">IF(AND(Inputs!$F$213=1,Time!BR27=1),Inputs!$F$78,0)</f>
        <v>0</v>
      </c>
      <c r="BS21" s="19" t="n">
        <f aca="false">IF(AND(Inputs!$F$213=1,Time!BS27=1),Inputs!$F$78,0)</f>
        <v>0</v>
      </c>
      <c r="BT21" s="19" t="n">
        <f aca="false">IF(AND(Inputs!$F$213=1,Time!BT27=1),Inputs!$F$78,0)</f>
        <v>0</v>
      </c>
      <c r="BU21" s="19" t="n">
        <f aca="false">IF(AND(Inputs!$F$213=1,Time!BU27=1),Inputs!$F$78,0)</f>
        <v>0</v>
      </c>
      <c r="BV21" s="19" t="n">
        <f aca="false">IF(AND(Inputs!$F$213=1,Time!BV27=1),Inputs!$F$78,0)</f>
        <v>0</v>
      </c>
      <c r="BW21" s="19" t="n">
        <f aca="false">IF(AND(Inputs!$F$213=1,Time!BW27=1),Inputs!$F$78,0)</f>
        <v>0</v>
      </c>
      <c r="BX21" s="19" t="n">
        <f aca="false">IF(AND(Inputs!$F$213=1,Time!BX27=1),Inputs!$F$78,0)</f>
        <v>0</v>
      </c>
      <c r="BY21" s="19" t="n">
        <f aca="false">IF(AND(Inputs!$F$213=1,Time!BY27=1),Inputs!$F$78,0)</f>
        <v>0</v>
      </c>
      <c r="BZ21" s="19" t="n">
        <f aca="false">IF(AND(Inputs!$F$213=1,Time!BZ27=1),Inputs!$F$78,0)</f>
        <v>0</v>
      </c>
      <c r="CA21" s="19" t="n">
        <f aca="false">IF(AND(Inputs!$F$213=1,Time!CA27=1),Inputs!$F$78,0)</f>
        <v>0</v>
      </c>
      <c r="CB21" s="19" t="n">
        <f aca="false">IF(AND(Inputs!$F$213=1,Time!CB27=1),Inputs!$F$78,0)</f>
        <v>0</v>
      </c>
      <c r="CC21" s="19" t="n">
        <f aca="false">IF(AND(Inputs!$F$213=1,Time!CC27=1),Inputs!$F$78,0)</f>
        <v>0</v>
      </c>
      <c r="CD21" s="19" t="n">
        <f aca="false">IF(AND(Inputs!$F$213=1,Time!CD27=1),Inputs!$F$78,0)</f>
        <v>0</v>
      </c>
      <c r="CE21" s="19" t="n">
        <f aca="false">IF(AND(Inputs!$F$213=1,Time!CE27=1),Inputs!$F$78,0)</f>
        <v>0</v>
      </c>
      <c r="CF21" s="19" t="n">
        <f aca="false">IF(AND(Inputs!$F$213=1,Time!CF27=1),Inputs!$F$78,0)</f>
        <v>0</v>
      </c>
      <c r="CG21" s="19" t="n">
        <f aca="false">IF(AND(Inputs!$F$213=1,Time!CG27=1),Inputs!$F$78,0)</f>
        <v>0</v>
      </c>
      <c r="CH21" s="19" t="n">
        <f aca="false">IF(AND(Inputs!$F$213=1,Time!CH27=1),Inputs!$F$78,0)</f>
        <v>0</v>
      </c>
      <c r="CI21" s="19" t="n">
        <f aca="false">IF(AND(Inputs!$F$213=1,Time!CI27=1),Inputs!$F$78,0)</f>
        <v>0</v>
      </c>
      <c r="CJ21" s="19" t="n">
        <f aca="false">IF(AND(Inputs!$F$213=1,Time!CJ27=1),Inputs!$F$78,0)</f>
        <v>0</v>
      </c>
      <c r="CK21" s="19" t="n">
        <f aca="false">IF(AND(Inputs!$F$213=1,Time!CK27=1),Inputs!$F$78,0)</f>
        <v>0</v>
      </c>
      <c r="CL21" s="19" t="n">
        <f aca="false">IF(AND(Inputs!$F$213=1,Time!CL27=1),Inputs!$F$78,0)</f>
        <v>0</v>
      </c>
      <c r="CM21" s="19" t="n">
        <f aca="false">IF(AND(Inputs!$F$213=1,Time!CM27=1),Inputs!$F$78,0)</f>
        <v>0</v>
      </c>
      <c r="CN21" s="19" t="n">
        <f aca="false">IF(AND(Inputs!$F$213=1,Time!CN27=1),Inputs!$F$78,0)</f>
        <v>0</v>
      </c>
      <c r="CO21" s="19" t="n">
        <f aca="false">IF(AND(Inputs!$F$213=1,Time!CO27=1),Inputs!$F$78,0)</f>
        <v>0</v>
      </c>
      <c r="CP21" s="19" t="n">
        <f aca="false">IF(AND(Inputs!$F$213=1,Time!CP27=1),Inputs!$F$78,0)</f>
        <v>0</v>
      </c>
      <c r="CQ21" s="19" t="n">
        <f aca="false">IF(AND(Inputs!$F$213=1,Time!CQ27=1),Inputs!$F$78,0)</f>
        <v>0</v>
      </c>
      <c r="CR21" s="19" t="n">
        <f aca="false">IF(AND(Inputs!$F$213=1,Time!CR27=1),Inputs!$F$78,0)</f>
        <v>0</v>
      </c>
      <c r="CS21" s="19" t="n">
        <f aca="false">IF(AND(Inputs!$F$213=1,Time!CS27=1),Inputs!$F$78,0)</f>
        <v>0</v>
      </c>
      <c r="CT21" s="19" t="n">
        <f aca="false">IF(AND(Inputs!$F$213=1,Time!CT27=1),Inputs!$F$78,0)</f>
        <v>0</v>
      </c>
      <c r="CU21" s="19" t="n">
        <f aca="false">IF(AND(Inputs!$F$213=1,Time!CU27=1),Inputs!$F$78,0)</f>
        <v>0</v>
      </c>
      <c r="CV21" s="19" t="n">
        <f aca="false">IF(AND(Inputs!$F$213=1,Time!CV27=1),Inputs!$F$78,0)</f>
        <v>0</v>
      </c>
      <c r="CW21" s="19" t="n">
        <f aca="false">IF(AND(Inputs!$F$213=1,Time!CW27=1),Inputs!$F$78,0)</f>
        <v>0</v>
      </c>
      <c r="CX21" s="19" t="n">
        <f aca="false">IF(AND(Inputs!$F$213=1,Time!CX27=1),Inputs!$F$78,0)</f>
        <v>0</v>
      </c>
      <c r="CY21" s="19" t="n">
        <f aca="false">IF(AND(Inputs!$F$213=1,Time!CY27=1),Inputs!$F$78,0)</f>
        <v>0</v>
      </c>
      <c r="CZ21" s="19" t="n">
        <f aca="false">IF(AND(Inputs!$F$213=1,Time!CZ27=1),Inputs!$F$78,0)</f>
        <v>0</v>
      </c>
      <c r="DA21" s="19" t="n">
        <f aca="false">IF(AND(Inputs!$F$213=1,Time!DA27=1),Inputs!$F$78,0)</f>
        <v>0</v>
      </c>
      <c r="DB21" s="19" t="n">
        <f aca="false">IF(AND(Inputs!$F$213=1,Time!DB27=1),Inputs!$F$78,0)</f>
        <v>0</v>
      </c>
    </row>
    <row r="22" customFormat="false" ht="15" hidden="false" customHeight="false" outlineLevel="0" collapsed="false">
      <c r="D22" s="3" t="s">
        <v>392</v>
      </c>
    </row>
    <row r="23" customFormat="false" ht="15" hidden="false" customHeight="false" outlineLevel="0" collapsed="false">
      <c r="D23" s="0" t="s">
        <v>393</v>
      </c>
      <c r="E23" s="0" t="s">
        <v>171</v>
      </c>
      <c r="J23" s="27" t="n">
        <f aca="false">Time!J56*Time!J25/Inputs!$F$45*Inputs!$F$221</f>
        <v>0</v>
      </c>
      <c r="K23" s="27" t="n">
        <f aca="false">Time!K56*Time!K25/Inputs!$F$45*Inputs!$F$221</f>
        <v>0</v>
      </c>
      <c r="L23" s="27" t="n">
        <f aca="false">Time!L56*Time!L25/Inputs!$F$45*Inputs!$F$221</f>
        <v>0</v>
      </c>
      <c r="M23" s="27" t="n">
        <f aca="false">Time!M56*Time!M25/Inputs!$F$45*Inputs!$F$221</f>
        <v>0</v>
      </c>
      <c r="N23" s="27" t="n">
        <f aca="false">Time!N56*Time!N25/Inputs!$F$45*Inputs!$F$221</f>
        <v>0</v>
      </c>
      <c r="O23" s="27" t="n">
        <f aca="false">Time!O56*Time!O25/Inputs!$F$45*Inputs!$F$221</f>
        <v>0</v>
      </c>
      <c r="P23" s="27" t="n">
        <f aca="false">Time!P56*Time!P25/Inputs!$F$45*Inputs!$F$221</f>
        <v>0</v>
      </c>
      <c r="Q23" s="27" t="n">
        <f aca="false">Time!Q56*Time!Q25/Inputs!$F$45*Inputs!$F$221</f>
        <v>0</v>
      </c>
      <c r="R23" s="27" t="n">
        <f aca="false">Time!R56*Time!R25/Inputs!$F$45*Inputs!$F$221</f>
        <v>0</v>
      </c>
      <c r="S23" s="27" t="n">
        <f aca="false">Time!S56*Time!S25/Inputs!$F$45*Inputs!$F$221</f>
        <v>0</v>
      </c>
      <c r="T23" s="27" t="n">
        <f aca="false">Time!T56*Time!T25/Inputs!$F$45*Inputs!$F$221</f>
        <v>0</v>
      </c>
      <c r="U23" s="27" t="n">
        <f aca="false">Time!U56*Time!U25/Inputs!$F$45*Inputs!$F$221</f>
        <v>0</v>
      </c>
      <c r="V23" s="27" t="n">
        <f aca="false">Time!V56*Time!V25/Inputs!$F$45*Inputs!$F$221</f>
        <v>0</v>
      </c>
      <c r="W23" s="27" t="n">
        <f aca="false">Time!W56*Time!W25/Inputs!$F$45*Inputs!$F$221</f>
        <v>0</v>
      </c>
      <c r="X23" s="27" t="n">
        <f aca="false">Time!X56*Time!X25/Inputs!$F$45*Inputs!$F$221</f>
        <v>0</v>
      </c>
      <c r="Y23" s="27" t="n">
        <f aca="false">Time!Y56*Time!Y25/Inputs!$F$45*Inputs!$F$221</f>
        <v>0</v>
      </c>
      <c r="Z23" s="27" t="n">
        <f aca="false">Time!Z56*Time!Z25/Inputs!$F$45*Inputs!$F$221</f>
        <v>0.275197186429794</v>
      </c>
      <c r="AA23" s="27" t="n">
        <f aca="false">Time!AA56*Time!AA25/Inputs!$F$45*Inputs!$F$221</f>
        <v>0.556442662671233</v>
      </c>
      <c r="AB23" s="27" t="n">
        <f aca="false">Time!AB56*Time!AB25/Inputs!$F$45*Inputs!$F$221</f>
        <v>0.564154232181079</v>
      </c>
      <c r="AC23" s="27" t="n">
        <f aca="false">Time!AC56*Time!AC25/Inputs!$F$45*Inputs!$F$221</f>
        <v>0.570353729238014</v>
      </c>
      <c r="AD23" s="27" t="n">
        <f aca="false">Time!AD56*Time!AD25/Inputs!$F$45*Inputs!$F$221</f>
        <v>0.575080845743926</v>
      </c>
      <c r="AE23" s="27" t="n">
        <f aca="false">Time!AE56*Time!AE25/Inputs!$F$45*Inputs!$F$221</f>
        <v>0.584612572468964</v>
      </c>
      <c r="AF23" s="27" t="n">
        <f aca="false">Time!AF56*Time!AF25/Inputs!$F$45*Inputs!$F$221</f>
        <v>0.589457866887524</v>
      </c>
      <c r="AG23" s="27" t="n">
        <f aca="false">Time!AG56*Time!AG25/Inputs!$F$45*Inputs!$F$221</f>
        <v>0.599227886780688</v>
      </c>
      <c r="AH23" s="27" t="n">
        <f aca="false">Time!AH56*Time!AH25/Inputs!$F$45*Inputs!$F$221</f>
        <v>0.604194313559713</v>
      </c>
      <c r="AI23" s="27" t="n">
        <f aca="false">Time!AI56*Time!AI25/Inputs!$F$45*Inputs!$F$221</f>
        <v>0.614208583950205</v>
      </c>
      <c r="AJ23" s="27" t="n">
        <f aca="false">Time!AJ56*Time!AJ25/Inputs!$F$45*Inputs!$F$221</f>
        <v>0.622720713782124</v>
      </c>
      <c r="AK23" s="27" t="n">
        <f aca="false">Time!AK56*Time!AK25/Inputs!$F$45*Inputs!$F$221</f>
        <v>0.62956379854896</v>
      </c>
      <c r="AL23" s="27" t="n">
        <f aca="false">Time!AL56*Time!AL25/Inputs!$F$45*Inputs!$F$221</f>
        <v>0.634781650683673</v>
      </c>
      <c r="AM23" s="27" t="n">
        <f aca="false">Time!AM56*Time!AM25/Inputs!$F$45*Inputs!$F$221</f>
        <v>0.645302893512684</v>
      </c>
      <c r="AN23" s="27" t="n">
        <f aca="false">Time!AN56*Time!AN25/Inputs!$F$45*Inputs!$F$221</f>
        <v>0.650651191950765</v>
      </c>
      <c r="AO23" s="27" t="n">
        <f aca="false">Time!AO56*Time!AO25/Inputs!$F$45*Inputs!$F$221</f>
        <v>0.661435465850501</v>
      </c>
      <c r="AP23" s="27" t="n">
        <f aca="false">Time!AP56*Time!AP25/Inputs!$F$45*Inputs!$F$221</f>
        <v>0.666917471749534</v>
      </c>
      <c r="AQ23" s="27" t="n">
        <f aca="false">Time!AQ56*Time!AQ25/Inputs!$F$45*Inputs!$F$221</f>
        <v>0.677971352496763</v>
      </c>
      <c r="AR23" s="27" t="n">
        <f aca="false">Time!AR56*Time!AR25/Inputs!$F$45*Inputs!$F$221</f>
        <v>0.687367151131909</v>
      </c>
      <c r="AS23" s="27" t="n">
        <f aca="false">Time!AS56*Time!AS25/Inputs!$F$45*Inputs!$F$221</f>
        <v>0.694920636309183</v>
      </c>
      <c r="AT23" s="27" t="n">
        <f aca="false">Time!AT56*Time!AT25/Inputs!$F$45*Inputs!$F$221</f>
        <v>0.700680168756854</v>
      </c>
      <c r="AU23" s="27" t="n">
        <f aca="false">Time!AU56*Time!AU25/Inputs!$F$45*Inputs!$F$221</f>
        <v>0.712293652216912</v>
      </c>
      <c r="AV23" s="27" t="n">
        <f aca="false">Time!AV56*Time!AV25/Inputs!$F$45*Inputs!$F$221</f>
        <v>0.718197172975775</v>
      </c>
      <c r="AW23" s="27" t="n">
        <f aca="false">Time!AW56*Time!AW25/Inputs!$F$45*Inputs!$F$221</f>
        <v>0.730100993522335</v>
      </c>
      <c r="AX23" s="27" t="n">
        <f aca="false">Time!AX56*Time!AX25/Inputs!$F$45*Inputs!$F$221</f>
        <v>0.736152102300169</v>
      </c>
      <c r="AY23" s="27" t="n">
        <f aca="false">Time!AY56*Time!AY25/Inputs!$F$45*Inputs!$F$221</f>
        <v>0.748353518360393</v>
      </c>
      <c r="AZ23" s="27" t="n">
        <f aca="false">Time!AZ56*Time!AZ25/Inputs!$F$45*Inputs!$F$221</f>
        <v>0.758724722011583</v>
      </c>
      <c r="BA23" s="27" t="n">
        <f aca="false">Time!BA56*Time!BA25/Inputs!$F$45*Inputs!$F$221</f>
        <v>0.767062356319403</v>
      </c>
      <c r="BB23" s="27" t="n">
        <f aca="false">Time!BB56*Time!BB25/Inputs!$F$45*Inputs!$F$221</f>
        <v>0.773419802479115</v>
      </c>
      <c r="BC23" s="27" t="n">
        <f aca="false">Time!BC56*Time!BC25/Inputs!$F$45*Inputs!$F$221</f>
        <v>0.786238915227388</v>
      </c>
      <c r="BD23" s="27" t="n">
        <f aca="false">Time!BD56*Time!BD25/Inputs!$F$45*Inputs!$F$221</f>
        <v>0.792755297541093</v>
      </c>
      <c r="BE23" s="27" t="n">
        <f aca="false">Time!BE56*Time!BE25/Inputs!$F$45*Inputs!$F$221</f>
        <v>0.805894888108072</v>
      </c>
      <c r="BF23" s="27" t="n">
        <f aca="false">Time!BF56*Time!BF25/Inputs!$F$45*Inputs!$F$221</f>
        <v>0.81257417997962</v>
      </c>
      <c r="BG23" s="27" t="n">
        <f aca="false">Time!BG56*Time!BG25/Inputs!$F$45*Inputs!$F$221</f>
        <v>0.826042260310774</v>
      </c>
      <c r="BH23" s="27" t="n">
        <f aca="false">Time!BH56*Time!BH25/Inputs!$F$45*Inputs!$F$221</f>
        <v>0.837490128592255</v>
      </c>
      <c r="BI23" s="27" t="n">
        <f aca="false">Time!BI56*Time!BI25/Inputs!$F$45*Inputs!$F$221</f>
        <v>0.846693316818543</v>
      </c>
      <c r="BJ23" s="27" t="n">
        <f aca="false">Time!BJ56*Time!BJ25/Inputs!$F$45*Inputs!$F$221</f>
        <v>0.853710747841088</v>
      </c>
      <c r="BK23" s="27" t="n">
        <f aca="false">Time!BK56*Time!BK25/Inputs!$F$45*Inputs!$F$221</f>
        <v>0.867860649739007</v>
      </c>
      <c r="BL23" s="27" t="n">
        <f aca="false">Time!BL56*Time!BL25/Inputs!$F$45*Inputs!$F$221</f>
        <v>0.875053516537115</v>
      </c>
      <c r="BM23" s="27" t="n">
        <f aca="false">Time!BM56*Time!BM25/Inputs!$F$45*Inputs!$F$221</f>
        <v>0.889557165982482</v>
      </c>
      <c r="BN23" s="27" t="n">
        <f aca="false">Time!BN56*Time!BN25/Inputs!$F$45*Inputs!$F$221</f>
        <v>0.896929854450543</v>
      </c>
      <c r="BO23" s="27" t="n">
        <f aca="false">Time!BO56*Time!BO25/Inputs!$F$45*Inputs!$F$221</f>
        <v>0.911796095132044</v>
      </c>
      <c r="BP23" s="27" t="n">
        <f aca="false">Time!BP56*Time!BP25/Inputs!$F$45*Inputs!$F$221</f>
        <v>0.924432399711319</v>
      </c>
      <c r="BQ23" s="27" t="n">
        <f aca="false">Time!BQ56*Time!BQ25/Inputs!$F$45*Inputs!$F$221</f>
        <v>0.934590997510345</v>
      </c>
      <c r="BR23" s="27" t="n">
        <f aca="false">Time!BR56*Time!BR25/Inputs!$F$45*Inputs!$F$221</f>
        <v>0.942336928332102</v>
      </c>
      <c r="BS23" s="27" t="n">
        <f aca="false">Time!BS56*Time!BS25/Inputs!$F$45*Inputs!$F$221</f>
        <v>0.957955772448104</v>
      </c>
      <c r="BT23" s="27" t="n">
        <f aca="false">Time!BT56*Time!BT25/Inputs!$F$45*Inputs!$F$221</f>
        <v>0.965895351540404</v>
      </c>
      <c r="BU23" s="27" t="n">
        <f aca="false">Time!BU56*Time!BU25/Inputs!$F$45*Inputs!$F$221</f>
        <v>0.981904666759306</v>
      </c>
      <c r="BV23" s="27" t="n">
        <f aca="false">Time!BV56*Time!BV25/Inputs!$F$45*Inputs!$F$221</f>
        <v>0.990042735328914</v>
      </c>
      <c r="BW23" s="27" t="n">
        <f aca="false">Time!BW56*Time!BW25/Inputs!$F$45*Inputs!$F$221</f>
        <v>1.00645228342829</v>
      </c>
      <c r="BX23" s="27" t="n">
        <f aca="false">Time!BX56*Time!BX25/Inputs!$F$45*Inputs!$F$221</f>
        <v>1.02040039931276</v>
      </c>
      <c r="BY23" s="27" t="n">
        <f aca="false">Time!BY56*Time!BY25/Inputs!$F$45*Inputs!$F$221</f>
        <v>1.031613590514</v>
      </c>
      <c r="BZ23" s="27" t="n">
        <f aca="false">Time!BZ56*Time!BZ25/Inputs!$F$45*Inputs!$F$221</f>
        <v>1.04016364880494</v>
      </c>
      <c r="CA23" s="27" t="n">
        <f aca="false">Time!CA56*Time!CA25/Inputs!$F$45*Inputs!$F$221</f>
        <v>1.05740393027685</v>
      </c>
      <c r="CB23" s="27" t="n">
        <f aca="false">Time!CB56*Time!CB25/Inputs!$F$45*Inputs!$F$221</f>
        <v>1.06616774002506</v>
      </c>
      <c r="CC23" s="27" t="n">
        <f aca="false">Time!CC56*Time!CC25/Inputs!$F$45*Inputs!$F$221</f>
        <v>1.08383902853377</v>
      </c>
      <c r="CD23" s="27" t="n">
        <f aca="false">Time!CD56*Time!CD25/Inputs!$F$45*Inputs!$F$221</f>
        <v>1.09282193352569</v>
      </c>
      <c r="CE23" s="27" t="n">
        <f aca="false">Time!CE56*Time!CE25/Inputs!$F$45*Inputs!$F$221</f>
        <v>1.11093500424711</v>
      </c>
      <c r="CF23" s="27" t="n">
        <f aca="false">Time!CF56*Time!CF25/Inputs!$F$45*Inputs!$F$221</f>
        <v>1.12633111436032</v>
      </c>
      <c r="CG23" s="27" t="n">
        <f aca="false">Time!CG56*Time!CG25/Inputs!$F$45*Inputs!$F$221</f>
        <v>1.13870837935329</v>
      </c>
      <c r="CH23" s="27" t="n">
        <f aca="false">Time!CH56*Time!CH25/Inputs!$F$45*Inputs!$F$221</f>
        <v>1.14814604391043</v>
      </c>
      <c r="CI23" s="27" t="n">
        <f aca="false">Time!CI56*Time!CI25/Inputs!$F$45*Inputs!$F$221</f>
        <v>1.16717608883712</v>
      </c>
      <c r="CJ23" s="27" t="n">
        <f aca="false">Time!CJ56*Time!CJ25/Inputs!$F$45*Inputs!$F$221</f>
        <v>1.17684969500819</v>
      </c>
      <c r="CK23" s="27" t="n">
        <f aca="false">Time!CK56*Time!CK25/Inputs!$F$45*Inputs!$F$221</f>
        <v>1.19635549105805</v>
      </c>
      <c r="CL23" s="27" t="n">
        <f aca="false">Time!CL56*Time!CL25/Inputs!$F$45*Inputs!$F$221</f>
        <v>1.20627093738339</v>
      </c>
      <c r="CM23" s="27" t="n">
        <f aca="false">Time!CM56*Time!CM25/Inputs!$F$45*Inputs!$F$221</f>
        <v>1.2262643783345</v>
      </c>
      <c r="CN23" s="27" t="n">
        <f aca="false">Time!CN56*Time!CN25/Inputs!$F$45*Inputs!$F$221</f>
        <v>1.24325880314294</v>
      </c>
      <c r="CO23" s="27" t="n">
        <f aca="false">Time!CO56*Time!CO25/Inputs!$F$45*Inputs!$F$221</f>
        <v>1.25692098779286</v>
      </c>
      <c r="CP23" s="27" t="n">
        <f aca="false">Time!CP56*Time!CP25/Inputs!$F$45*Inputs!$F$221</f>
        <v>1.02227296643044</v>
      </c>
      <c r="CQ23" s="27" t="n">
        <f aca="false">Time!CQ56*Time!CQ25/Inputs!$F$45*Inputs!$F$221</f>
        <v>0</v>
      </c>
      <c r="CR23" s="27" t="n">
        <f aca="false">Time!CR56*Time!CR25/Inputs!$F$45*Inputs!$F$221</f>
        <v>0</v>
      </c>
      <c r="CS23" s="27" t="n">
        <f aca="false">Time!CS56*Time!CS25/Inputs!$F$45*Inputs!$F$221</f>
        <v>0</v>
      </c>
      <c r="CT23" s="27" t="n">
        <f aca="false">Time!CT56*Time!CT25/Inputs!$F$45*Inputs!$F$221</f>
        <v>0</v>
      </c>
      <c r="CU23" s="27" t="n">
        <f aca="false">Time!CU56*Time!CU25/Inputs!$F$45*Inputs!$F$221</f>
        <v>0</v>
      </c>
      <c r="CV23" s="27" t="n">
        <f aca="false">Time!CV56*Time!CV25/Inputs!$F$45*Inputs!$F$221</f>
        <v>0</v>
      </c>
      <c r="CW23" s="27" t="n">
        <f aca="false">Time!CW56*Time!CW25/Inputs!$F$45*Inputs!$F$221</f>
        <v>0</v>
      </c>
      <c r="CX23" s="27" t="n">
        <f aca="false">Time!CX56*Time!CX25/Inputs!$F$45*Inputs!$F$221</f>
        <v>0</v>
      </c>
      <c r="CY23" s="27" t="n">
        <f aca="false">Time!CY56*Time!CY25/Inputs!$F$45*Inputs!$F$221</f>
        <v>0</v>
      </c>
      <c r="CZ23" s="27" t="n">
        <f aca="false">Time!CZ56*Time!CZ25/Inputs!$F$45*Inputs!$F$221</f>
        <v>0</v>
      </c>
      <c r="DA23" s="27" t="n">
        <f aca="false">Time!DA56*Time!DA25/Inputs!$F$45*Inputs!$F$221</f>
        <v>0</v>
      </c>
      <c r="DB23" s="27" t="n">
        <f aca="false">Time!DB56*Time!DB25/Inputs!$F$45*Inputs!$F$221</f>
        <v>0</v>
      </c>
    </row>
    <row r="24" customFormat="false" ht="15" hidden="false" customHeight="false" outlineLevel="0" collapsed="false">
      <c r="D24" s="0" t="s">
        <v>176</v>
      </c>
      <c r="E24" s="0" t="s">
        <v>44</v>
      </c>
      <c r="G24" s="19" t="n">
        <f aca="false">SUM(J24:DB24)</f>
        <v>696.993035283357</v>
      </c>
      <c r="J24" s="19" t="n">
        <f aca="false">Inputs!$F$141*J23*IF(Time!J23=1,1-Inputs!$F$142,1)</f>
        <v>0</v>
      </c>
      <c r="K24" s="19" t="n">
        <f aca="false">Inputs!$F$141*K23*IF(Time!K23=1,1-Inputs!$F$142,1)</f>
        <v>0</v>
      </c>
      <c r="L24" s="19" t="n">
        <f aca="false">Inputs!$F$141*L23*IF(Time!L23=1,1-Inputs!$F$142,1)</f>
        <v>0</v>
      </c>
      <c r="M24" s="19" t="n">
        <f aca="false">Inputs!$F$141*M23*IF(Time!M23=1,1-Inputs!$F$142,1)</f>
        <v>0</v>
      </c>
      <c r="N24" s="19" t="n">
        <f aca="false">Inputs!$F$141*N23*IF(Time!N23=1,1-Inputs!$F$142,1)</f>
        <v>0</v>
      </c>
      <c r="O24" s="19" t="n">
        <f aca="false">Inputs!$F$141*O23*IF(Time!O23=1,1-Inputs!$F$142,1)</f>
        <v>0</v>
      </c>
      <c r="P24" s="19" t="n">
        <f aca="false">Inputs!$F$141*P23*IF(Time!P23=1,1-Inputs!$F$142,1)</f>
        <v>0</v>
      </c>
      <c r="Q24" s="19" t="n">
        <f aca="false">Inputs!$F$141*Q23*IF(Time!Q23=1,1-Inputs!$F$142,1)</f>
        <v>0</v>
      </c>
      <c r="R24" s="19" t="n">
        <f aca="false">Inputs!$F$141*R23*IF(Time!R23=1,1-Inputs!$F$142,1)</f>
        <v>0</v>
      </c>
      <c r="S24" s="19" t="n">
        <f aca="false">Inputs!$F$141*S23*IF(Time!S23=1,1-Inputs!$F$142,1)</f>
        <v>0</v>
      </c>
      <c r="T24" s="19" t="n">
        <f aca="false">Inputs!$F$141*T23*IF(Time!T23=1,1-Inputs!$F$142,1)</f>
        <v>0</v>
      </c>
      <c r="U24" s="19" t="n">
        <f aca="false">Inputs!$F$141*U23*IF(Time!U23=1,1-Inputs!$F$142,1)</f>
        <v>0</v>
      </c>
      <c r="V24" s="19" t="n">
        <f aca="false">Inputs!$F$141*V23*IF(Time!V23=1,1-Inputs!$F$142,1)</f>
        <v>0</v>
      </c>
      <c r="W24" s="19" t="n">
        <f aca="false">Inputs!$F$141*W23*IF(Time!W23=1,1-Inputs!$F$142,1)</f>
        <v>0</v>
      </c>
      <c r="X24" s="19" t="n">
        <f aca="false">Inputs!$F$141*X23*IF(Time!X23=1,1-Inputs!$F$142,1)</f>
        <v>0</v>
      </c>
      <c r="Y24" s="19" t="n">
        <f aca="false">Inputs!$F$141*Y23*IF(Time!Y23=1,1-Inputs!$F$142,1)</f>
        <v>0</v>
      </c>
      <c r="Z24" s="19" t="n">
        <f aca="false">Inputs!$F$141*Z23*IF(Time!Z23=1,1-Inputs!$F$142,1)</f>
        <v>3.25833468732877</v>
      </c>
      <c r="AA24" s="19" t="n">
        <f aca="false">Inputs!$F$141*AA23*IF(Time!AA23=1,1-Inputs!$F$142,1)</f>
        <v>6.5882811260274</v>
      </c>
      <c r="AB24" s="19" t="n">
        <f aca="false">Inputs!$F$141*AB23*IF(Time!AB23=1,1-Inputs!$F$142,1)</f>
        <v>6.67958610902397</v>
      </c>
      <c r="AC24" s="19" t="n">
        <f aca="false">Inputs!$F$141*AC23*IF(Time!AC23=1,1-Inputs!$F$142,1)</f>
        <v>6.75298815417808</v>
      </c>
      <c r="AD24" s="19" t="n">
        <f aca="false">Inputs!$F$141*AD23*IF(Time!AD23=1,1-Inputs!$F$142,1)</f>
        <v>6.80895721360809</v>
      </c>
      <c r="AE24" s="19" t="n">
        <f aca="false">Inputs!$F$141*AE23*IF(Time!AE23=1,1-Inputs!$F$142,1)</f>
        <v>6.92181285803253</v>
      </c>
      <c r="AF24" s="19" t="n">
        <f aca="false">Inputs!$F$141*AF23*IF(Time!AF23=1,1-Inputs!$F$142,1)</f>
        <v>6.97918114394829</v>
      </c>
      <c r="AG24" s="19" t="n">
        <f aca="false">Inputs!$F$141*AG23*IF(Time!AG23=1,1-Inputs!$F$142,1)</f>
        <v>7.09485817948334</v>
      </c>
      <c r="AH24" s="19" t="n">
        <f aca="false">Inputs!$F$141*AH23*IF(Time!AH23=1,1-Inputs!$F$142,1)</f>
        <v>7.153660672547</v>
      </c>
      <c r="AI24" s="19" t="n">
        <f aca="false">Inputs!$F$141*AI23*IF(Time!AI23=1,1-Inputs!$F$142,1)</f>
        <v>7.27222963397043</v>
      </c>
      <c r="AJ24" s="19" t="n">
        <f aca="false">Inputs!$F$141*AJ23*IF(Time!AJ23=1,1-Inputs!$F$142,1)</f>
        <v>7.37301325118034</v>
      </c>
      <c r="AK24" s="19" t="n">
        <f aca="false">Inputs!$F$141*AK23*IF(Time!AK23=1,1-Inputs!$F$142,1)</f>
        <v>7.45403537481969</v>
      </c>
      <c r="AL24" s="19" t="n">
        <f aca="false">Inputs!$F$141*AL23*IF(Time!AL23=1,1-Inputs!$F$142,1)</f>
        <v>7.51581474409469</v>
      </c>
      <c r="AM24" s="19" t="n">
        <f aca="false">Inputs!$F$141*AM23*IF(Time!AM23=1,1-Inputs!$F$142,1)</f>
        <v>7.64038625919018</v>
      </c>
      <c r="AN24" s="19" t="n">
        <f aca="false">Inputs!$F$141*AN23*IF(Time!AN23=1,1-Inputs!$F$142,1)</f>
        <v>7.70371011269705</v>
      </c>
      <c r="AO24" s="19" t="n">
        <f aca="false">Inputs!$F$141*AO23*IF(Time!AO23=1,1-Inputs!$F$142,1)</f>
        <v>7.83139591566993</v>
      </c>
      <c r="AP24" s="19" t="n">
        <f aca="false">Inputs!$F$141*AP23*IF(Time!AP23=1,1-Inputs!$F$142,1)</f>
        <v>7.89630286551448</v>
      </c>
      <c r="AQ24" s="19" t="n">
        <f aca="false">Inputs!$F$141*AQ23*IF(Time!AQ23=1,1-Inputs!$F$142,1)</f>
        <v>8.02718081356168</v>
      </c>
      <c r="AR24" s="19" t="n">
        <f aca="false">Inputs!$F$141*AR23*IF(Time!AR23=1,1-Inputs!$F$142,1)</f>
        <v>8.1384270694018</v>
      </c>
      <c r="AS24" s="19" t="n">
        <f aca="false">Inputs!$F$141*AS23*IF(Time!AS23=1,1-Inputs!$F$142,1)</f>
        <v>8.22786033390072</v>
      </c>
      <c r="AT24" s="19" t="n">
        <f aca="false">Inputs!$F$141*AT23*IF(Time!AT23=1,1-Inputs!$F$142,1)</f>
        <v>8.29605319808115</v>
      </c>
      <c r="AU24" s="19" t="n">
        <f aca="false">Inputs!$F$141*AU23*IF(Time!AU23=1,1-Inputs!$F$142,1)</f>
        <v>8.43355684224824</v>
      </c>
      <c r="AV24" s="19" t="n">
        <f aca="false">Inputs!$F$141*AV23*IF(Time!AV23=1,1-Inputs!$F$142,1)</f>
        <v>8.50345452803317</v>
      </c>
      <c r="AW24" s="19" t="n">
        <f aca="false">Inputs!$F$141*AW23*IF(Time!AW23=1,1-Inputs!$F$142,1)</f>
        <v>8.64439576330444</v>
      </c>
      <c r="AX24" s="19" t="n">
        <f aca="false">Inputs!$F$141*AX23*IF(Time!AX23=1,1-Inputs!$F$142,1)</f>
        <v>8.716040891234</v>
      </c>
      <c r="AY24" s="19" t="n">
        <f aca="false">Inputs!$F$141*AY23*IF(Time!AY23=1,1-Inputs!$F$142,1)</f>
        <v>8.86050565738705</v>
      </c>
      <c r="AZ24" s="19" t="n">
        <f aca="false">Inputs!$F$141*AZ23*IF(Time!AZ23=1,1-Inputs!$F$142,1)</f>
        <v>8.98330070861715</v>
      </c>
      <c r="BA24" s="19" t="n">
        <f aca="false">Inputs!$F$141*BA23*IF(Time!BA23=1,1-Inputs!$F$142,1)</f>
        <v>9.08201829882173</v>
      </c>
      <c r="BB24" s="19" t="n">
        <f aca="false">Inputs!$F$141*BB23*IF(Time!BB23=1,1-Inputs!$F$142,1)</f>
        <v>9.15729046135272</v>
      </c>
      <c r="BC24" s="19" t="n">
        <f aca="false">Inputs!$F$141*BC23*IF(Time!BC23=1,1-Inputs!$F$142,1)</f>
        <v>9.30906875629227</v>
      </c>
      <c r="BD24" s="19" t="n">
        <f aca="false">Inputs!$F$141*BD23*IF(Time!BD23=1,1-Inputs!$F$142,1)</f>
        <v>9.38622272288654</v>
      </c>
      <c r="BE24" s="19" t="n">
        <f aca="false">Inputs!$F$141*BE23*IF(Time!BE23=1,1-Inputs!$F$142,1)</f>
        <v>9.54179547519958</v>
      </c>
      <c r="BF24" s="19" t="n">
        <f aca="false">Inputs!$F$141*BF23*IF(Time!BF23=1,1-Inputs!$F$142,1)</f>
        <v>9.6208782909587</v>
      </c>
      <c r="BG24" s="19" t="n">
        <f aca="false">Inputs!$F$141*BG23*IF(Time!BG23=1,1-Inputs!$F$142,1)</f>
        <v>9.78034036207957</v>
      </c>
      <c r="BH24" s="19" t="n">
        <f aca="false">Inputs!$F$141*BH23*IF(Time!BH23=1,1-Inputs!$F$142,1)</f>
        <v>9.9158831225323</v>
      </c>
      <c r="BI24" s="19" t="n">
        <f aca="false">Inputs!$F$141*BI23*IF(Time!BI23=1,1-Inputs!$F$142,1)</f>
        <v>10.0248488711316</v>
      </c>
      <c r="BJ24" s="19" t="n">
        <f aca="false">Inputs!$F$141*BJ23*IF(Time!BJ23=1,1-Inputs!$F$142,1)</f>
        <v>10.1079352544385</v>
      </c>
      <c r="BK24" s="19" t="n">
        <f aca="false">Inputs!$F$141*BK23*IF(Time!BK23=1,1-Inputs!$F$142,1)</f>
        <v>10.2754700929098</v>
      </c>
      <c r="BL24" s="19" t="n">
        <f aca="false">Inputs!$F$141*BL23*IF(Time!BL23=1,1-Inputs!$F$142,1)</f>
        <v>10.3606336357994</v>
      </c>
      <c r="BM24" s="19" t="n">
        <f aca="false">Inputs!$F$141*BM23*IF(Time!BM23=1,1-Inputs!$F$142,1)</f>
        <v>10.5323568452326</v>
      </c>
      <c r="BN24" s="19" t="n">
        <f aca="false">Inputs!$F$141*BN23*IF(Time!BN23=1,1-Inputs!$F$142,1)</f>
        <v>10.6196494766944</v>
      </c>
      <c r="BO24" s="19" t="n">
        <f aca="false">Inputs!$F$141*BO23*IF(Time!BO23=1,1-Inputs!$F$142,1)</f>
        <v>10.7956657663634</v>
      </c>
      <c r="BP24" s="19" t="n">
        <f aca="false">Inputs!$F$141*BP23*IF(Time!BP23=1,1-Inputs!$F$142,1)</f>
        <v>10.945279612582</v>
      </c>
      <c r="BQ24" s="19" t="n">
        <f aca="false">Inputs!$F$141*BQ23*IF(Time!BQ23=1,1-Inputs!$F$142,1)</f>
        <v>11.0655574105225</v>
      </c>
      <c r="BR24" s="19" t="n">
        <f aca="false">Inputs!$F$141*BR23*IF(Time!BR23=1,1-Inputs!$F$142,1)</f>
        <v>11.1572692314521</v>
      </c>
      <c r="BS24" s="19" t="n">
        <f aca="false">Inputs!$F$141*BS23*IF(Time!BS23=1,1-Inputs!$F$142,1)</f>
        <v>11.3421963457855</v>
      </c>
      <c r="BT24" s="19" t="n">
        <f aca="false">Inputs!$F$141*BT23*IF(Time!BT23=1,1-Inputs!$F$142,1)</f>
        <v>11.4362009622384</v>
      </c>
      <c r="BU24" s="19" t="n">
        <f aca="false">Inputs!$F$141*BU23*IF(Time!BU23=1,1-Inputs!$F$142,1)</f>
        <v>11.6257512544302</v>
      </c>
      <c r="BV24" s="19" t="n">
        <f aca="false">Inputs!$F$141*BV23*IF(Time!BV23=1,1-Inputs!$F$142,1)</f>
        <v>11.7221059862943</v>
      </c>
      <c r="BW24" s="19" t="n">
        <f aca="false">Inputs!$F$141*BW23*IF(Time!BW23=1,1-Inputs!$F$142,1)</f>
        <v>11.9163950357909</v>
      </c>
      <c r="BX24" s="19" t="n">
        <f aca="false">Inputs!$F$141*BX23*IF(Time!BX23=1,1-Inputs!$F$142,1)</f>
        <v>12.081540727863</v>
      </c>
      <c r="BY24" s="19" t="n">
        <f aca="false">Inputs!$F$141*BY23*IF(Time!BY23=1,1-Inputs!$F$142,1)</f>
        <v>12.2143049116857</v>
      </c>
      <c r="BZ24" s="19" t="n">
        <f aca="false">Inputs!$F$141*BZ23*IF(Time!BZ23=1,1-Inputs!$F$142,1)</f>
        <v>12.3155376018505</v>
      </c>
      <c r="CA24" s="19" t="n">
        <f aca="false">Inputs!$F$141*CA23*IF(Time!CA23=1,1-Inputs!$F$142,1)</f>
        <v>12.5196625344778</v>
      </c>
      <c r="CB24" s="19" t="n">
        <f aca="false">Inputs!$F$141*CB23*IF(Time!CB23=1,1-Inputs!$F$142,1)</f>
        <v>12.6234260418968</v>
      </c>
      <c r="CC24" s="19" t="n">
        <f aca="false">Inputs!$F$141*CC23*IF(Time!CC23=1,1-Inputs!$F$142,1)</f>
        <v>12.8326540978398</v>
      </c>
      <c r="CD24" s="19" t="n">
        <f aca="false">Inputs!$F$141*CD23*IF(Time!CD23=1,1-Inputs!$F$142,1)</f>
        <v>12.9390116929442</v>
      </c>
      <c r="CE24" s="19" t="n">
        <f aca="false">Inputs!$F$141*CE23*IF(Time!CE23=1,1-Inputs!$F$142,1)</f>
        <v>13.1534704502858</v>
      </c>
      <c r="CF24" s="19" t="n">
        <f aca="false">Inputs!$F$141*CF23*IF(Time!CF23=1,1-Inputs!$F$142,1)</f>
        <v>13.3357603940262</v>
      </c>
      <c r="CG24" s="19" t="n">
        <f aca="false">Inputs!$F$141*CG23*IF(Time!CG23=1,1-Inputs!$F$142,1)</f>
        <v>13.4823072115429</v>
      </c>
      <c r="CH24" s="19" t="n">
        <f aca="false">Inputs!$F$141*CH23*IF(Time!CH23=1,1-Inputs!$F$142,1)</f>
        <v>13.5940491598995</v>
      </c>
      <c r="CI24" s="19" t="n">
        <f aca="false">Inputs!$F$141*CI23*IF(Time!CI23=1,1-Inputs!$F$142,1)</f>
        <v>13.8193648918315</v>
      </c>
      <c r="CJ24" s="19" t="n">
        <f aca="false">Inputs!$F$141*CJ23*IF(Time!CJ23=1,1-Inputs!$F$142,1)</f>
        <v>13.933900388897</v>
      </c>
      <c r="CK24" s="19" t="n">
        <f aca="false">Inputs!$F$141*CK23*IF(Time!CK23=1,1-Inputs!$F$142,1)</f>
        <v>14.1648490141273</v>
      </c>
      <c r="CL24" s="19" t="n">
        <f aca="false">Inputs!$F$141*CL23*IF(Time!CL23=1,1-Inputs!$F$142,1)</f>
        <v>14.2822478986194</v>
      </c>
      <c r="CM24" s="19" t="n">
        <f aca="false">Inputs!$F$141*CM23*IF(Time!CM23=1,1-Inputs!$F$142,1)</f>
        <v>14.5189702394805</v>
      </c>
      <c r="CN24" s="19" t="n">
        <f aca="false">Inputs!$F$141*CN23*IF(Time!CN23=1,1-Inputs!$F$142,1)</f>
        <v>14.7201842292124</v>
      </c>
      <c r="CO24" s="19" t="n">
        <f aca="false">Inputs!$F$141*CO23*IF(Time!CO23=1,1-Inputs!$F$142,1)</f>
        <v>14.8819444954675</v>
      </c>
      <c r="CP24" s="19" t="n">
        <f aca="false">Inputs!$F$141*CP23*IF(Time!CP23=1,1-Inputs!$F$142,1)</f>
        <v>12.1037119225365</v>
      </c>
      <c r="CQ24" s="19" t="n">
        <f aca="false">Inputs!$F$141*CQ23*IF(Time!CQ23=1,1-Inputs!$F$142,1)</f>
        <v>0</v>
      </c>
      <c r="CR24" s="19" t="n">
        <f aca="false">Inputs!$F$141*CR23*IF(Time!CR23=1,1-Inputs!$F$142,1)</f>
        <v>0</v>
      </c>
      <c r="CS24" s="19" t="n">
        <f aca="false">Inputs!$F$141*CS23*IF(Time!CS23=1,1-Inputs!$F$142,1)</f>
        <v>0</v>
      </c>
      <c r="CT24" s="19" t="n">
        <f aca="false">Inputs!$F$141*CT23*IF(Time!CT23=1,1-Inputs!$F$142,1)</f>
        <v>0</v>
      </c>
      <c r="CU24" s="19" t="n">
        <f aca="false">Inputs!$F$141*CU23*IF(Time!CU23=1,1-Inputs!$F$142,1)</f>
        <v>0</v>
      </c>
      <c r="CV24" s="19" t="n">
        <f aca="false">Inputs!$F$141*CV23*IF(Time!CV23=1,1-Inputs!$F$142,1)</f>
        <v>0</v>
      </c>
      <c r="CW24" s="19" t="n">
        <f aca="false">Inputs!$F$141*CW23*IF(Time!CW23=1,1-Inputs!$F$142,1)</f>
        <v>0</v>
      </c>
      <c r="CX24" s="19" t="n">
        <f aca="false">Inputs!$F$141*CX23*IF(Time!CX23=1,1-Inputs!$F$142,1)</f>
        <v>0</v>
      </c>
      <c r="CY24" s="19" t="n">
        <f aca="false">Inputs!$F$141*CY23*IF(Time!CY23=1,1-Inputs!$F$142,1)</f>
        <v>0</v>
      </c>
      <c r="CZ24" s="19" t="n">
        <f aca="false">Inputs!$F$141*CZ23*IF(Time!CZ23=1,1-Inputs!$F$142,1)</f>
        <v>0</v>
      </c>
      <c r="DA24" s="19" t="n">
        <f aca="false">Inputs!$F$141*DA23*IF(Time!DA23=1,1-Inputs!$F$142,1)</f>
        <v>0</v>
      </c>
      <c r="DB24" s="19" t="n">
        <f aca="false">Inputs!$F$141*DB23*IF(Time!DB23=1,1-Inputs!$F$142,1)</f>
        <v>0</v>
      </c>
    </row>
    <row r="25" customFormat="false" ht="15" hidden="false" customHeight="false" outlineLevel="0" collapsed="false">
      <c r="D25" s="0" t="s">
        <v>394</v>
      </c>
      <c r="E25" s="0" t="s">
        <v>44</v>
      </c>
      <c r="G25" s="19" t="n">
        <f aca="false">SUM(J25:DB25)</f>
        <v>126.565458265137</v>
      </c>
      <c r="J25" s="19" t="n">
        <f aca="false">Inputs!$F$144*J23</f>
        <v>0</v>
      </c>
      <c r="K25" s="19" t="n">
        <f aca="false">Inputs!$F$144*K23</f>
        <v>0</v>
      </c>
      <c r="L25" s="19" t="n">
        <f aca="false">Inputs!$F$144*L23</f>
        <v>0</v>
      </c>
      <c r="M25" s="19" t="n">
        <f aca="false">Inputs!$F$144*M23</f>
        <v>0</v>
      </c>
      <c r="N25" s="19" t="n">
        <f aca="false">Inputs!$F$144*N23</f>
        <v>0</v>
      </c>
      <c r="O25" s="19" t="n">
        <f aca="false">Inputs!$F$144*O23</f>
        <v>0</v>
      </c>
      <c r="P25" s="19" t="n">
        <f aca="false">Inputs!$F$144*P23</f>
        <v>0</v>
      </c>
      <c r="Q25" s="19" t="n">
        <f aca="false">Inputs!$F$144*Q23</f>
        <v>0</v>
      </c>
      <c r="R25" s="19" t="n">
        <f aca="false">Inputs!$F$144*R23</f>
        <v>0</v>
      </c>
      <c r="S25" s="19" t="n">
        <f aca="false">Inputs!$F$144*S23</f>
        <v>0</v>
      </c>
      <c r="T25" s="19" t="n">
        <f aca="false">Inputs!$F$144*T23</f>
        <v>0</v>
      </c>
      <c r="U25" s="19" t="n">
        <f aca="false">Inputs!$F$144*U23</f>
        <v>0</v>
      </c>
      <c r="V25" s="19" t="n">
        <f aca="false">Inputs!$F$144*V23</f>
        <v>0</v>
      </c>
      <c r="W25" s="19" t="n">
        <f aca="false">Inputs!$F$144*W23</f>
        <v>0</v>
      </c>
      <c r="X25" s="19" t="n">
        <f aca="false">Inputs!$F$144*X23</f>
        <v>0</v>
      </c>
      <c r="Y25" s="19" t="n">
        <f aca="false">Inputs!$F$144*Y23</f>
        <v>0</v>
      </c>
      <c r="Z25" s="19" t="n">
        <f aca="false">Inputs!$F$144*Z23</f>
        <v>0.591673950824058</v>
      </c>
      <c r="AA25" s="19" t="n">
        <f aca="false">Inputs!$F$144*AA23</f>
        <v>1.19635172474315</v>
      </c>
      <c r="AB25" s="19" t="n">
        <f aca="false">Inputs!$F$144*AB23</f>
        <v>1.21293159918932</v>
      </c>
      <c r="AC25" s="19" t="n">
        <f aca="false">Inputs!$F$144*AC23</f>
        <v>1.22626051786173</v>
      </c>
      <c r="AD25" s="19" t="n">
        <f aca="false">Inputs!$F$144*AD23</f>
        <v>1.23642381834944</v>
      </c>
      <c r="AE25" s="19" t="n">
        <f aca="false">Inputs!$F$144*AE23</f>
        <v>1.25691703080827</v>
      </c>
      <c r="AF25" s="19" t="n">
        <f aca="false">Inputs!$F$144*AF23</f>
        <v>1.26733441380818</v>
      </c>
      <c r="AG25" s="19" t="n">
        <f aca="false">Inputs!$F$144*AG23</f>
        <v>1.28833995657848</v>
      </c>
      <c r="AH25" s="19" t="n">
        <f aca="false">Inputs!$F$144*AH23</f>
        <v>1.29901777415338</v>
      </c>
      <c r="AI25" s="19" t="n">
        <f aca="false">Inputs!$F$144*AI23</f>
        <v>1.32054845549294</v>
      </c>
      <c r="AJ25" s="19" t="n">
        <f aca="false">Inputs!$F$144*AJ23</f>
        <v>1.33884953463157</v>
      </c>
      <c r="AK25" s="19" t="n">
        <f aca="false">Inputs!$F$144*AK23</f>
        <v>1.35356216688026</v>
      </c>
      <c r="AL25" s="19" t="n">
        <f aca="false">Inputs!$F$144*AL23</f>
        <v>1.3647805489699</v>
      </c>
      <c r="AM25" s="19" t="n">
        <f aca="false">Inputs!$F$144*AM23</f>
        <v>1.38740122105227</v>
      </c>
      <c r="AN25" s="19" t="n">
        <f aca="false">Inputs!$F$144*AN23</f>
        <v>1.39890006269414</v>
      </c>
      <c r="AO25" s="19" t="n">
        <f aca="false">Inputs!$F$144*AO23</f>
        <v>1.42208625157858</v>
      </c>
      <c r="AP25" s="19" t="n">
        <f aca="false">Inputs!$F$144*AP23</f>
        <v>1.4338725642615</v>
      </c>
      <c r="AQ25" s="19" t="n">
        <f aca="false">Inputs!$F$144*AQ23</f>
        <v>1.45763840786804</v>
      </c>
      <c r="AR25" s="19" t="n">
        <f aca="false">Inputs!$F$144*AR23</f>
        <v>1.4778393749336</v>
      </c>
      <c r="AS25" s="19" t="n">
        <f aca="false">Inputs!$F$144*AS23</f>
        <v>1.49407936806474</v>
      </c>
      <c r="AT25" s="19" t="n">
        <f aca="false">Inputs!$F$144*AT23</f>
        <v>1.50646236282724</v>
      </c>
      <c r="AU25" s="19" t="n">
        <f aca="false">Inputs!$F$144*AU23</f>
        <v>1.53143135226636</v>
      </c>
      <c r="AV25" s="19" t="n">
        <f aca="false">Inputs!$F$144*AV23</f>
        <v>1.54412392189792</v>
      </c>
      <c r="AW25" s="19" t="n">
        <f aca="false">Inputs!$F$144*AW23</f>
        <v>1.56971713607302</v>
      </c>
      <c r="AX25" s="19" t="n">
        <f aca="false">Inputs!$F$144*AX23</f>
        <v>1.58272701994536</v>
      </c>
      <c r="AY25" s="19" t="n">
        <f aca="false">Inputs!$F$144*AY23</f>
        <v>1.60896006447485</v>
      </c>
      <c r="AZ25" s="19" t="n">
        <f aca="false">Inputs!$F$144*AZ23</f>
        <v>1.6312581523249</v>
      </c>
      <c r="BA25" s="19" t="n">
        <f aca="false">Inputs!$F$144*BA23</f>
        <v>1.64918406608672</v>
      </c>
      <c r="BB25" s="19" t="n">
        <f aca="false">Inputs!$F$144*BB23</f>
        <v>1.6628525753301</v>
      </c>
      <c r="BC25" s="19" t="n">
        <f aca="false">Inputs!$F$144*BC23</f>
        <v>1.69041366773888</v>
      </c>
      <c r="BD25" s="19" t="n">
        <f aca="false">Inputs!$F$144*BD23</f>
        <v>1.70442388971335</v>
      </c>
      <c r="BE25" s="19" t="n">
        <f aca="false">Inputs!$F$144*BE23</f>
        <v>1.73267400943236</v>
      </c>
      <c r="BF25" s="19" t="n">
        <f aca="false">Inputs!$F$144*BF23</f>
        <v>1.74703448695618</v>
      </c>
      <c r="BG25" s="19" t="n">
        <f aca="false">Inputs!$F$144*BG23</f>
        <v>1.77599085966816</v>
      </c>
      <c r="BH25" s="19" t="n">
        <f aca="false">Inputs!$F$144*BH23</f>
        <v>1.80060377647335</v>
      </c>
      <c r="BI25" s="19" t="n">
        <f aca="false">Inputs!$F$144*BI23</f>
        <v>1.82039063115987</v>
      </c>
      <c r="BJ25" s="19" t="n">
        <f aca="false">Inputs!$F$144*BJ23</f>
        <v>1.83547810785834</v>
      </c>
      <c r="BK25" s="19" t="n">
        <f aca="false">Inputs!$F$144*BK23</f>
        <v>1.86590039693886</v>
      </c>
      <c r="BL25" s="19" t="n">
        <f aca="false">Inputs!$F$144*BL23</f>
        <v>1.8813650605548</v>
      </c>
      <c r="BM25" s="19" t="n">
        <f aca="false">Inputs!$F$144*BM23</f>
        <v>1.91254790686234</v>
      </c>
      <c r="BN25" s="19" t="n">
        <f aca="false">Inputs!$F$144*BN23</f>
        <v>1.92839918706867</v>
      </c>
      <c r="BO25" s="19" t="n">
        <f aca="false">Inputs!$F$144*BO23</f>
        <v>1.96036160453389</v>
      </c>
      <c r="BP25" s="19" t="n">
        <f aca="false">Inputs!$F$144*BP23</f>
        <v>1.98752965937934</v>
      </c>
      <c r="BQ25" s="19" t="n">
        <f aca="false">Inputs!$F$144*BQ23</f>
        <v>2.00937064464724</v>
      </c>
      <c r="BR25" s="19" t="n">
        <f aca="false">Inputs!$F$144*BR23</f>
        <v>2.02602439591402</v>
      </c>
      <c r="BS25" s="19" t="n">
        <f aca="false">Inputs!$F$144*BS23</f>
        <v>2.05960491076342</v>
      </c>
      <c r="BT25" s="19" t="n">
        <f aca="false">Inputs!$F$144*BT23</f>
        <v>2.07667500581187</v>
      </c>
      <c r="BU25" s="19" t="n">
        <f aca="false">Inputs!$F$144*BU23</f>
        <v>2.11109503353251</v>
      </c>
      <c r="BV25" s="19" t="n">
        <f aca="false">Inputs!$F$144*BV23</f>
        <v>2.12859188095717</v>
      </c>
      <c r="BW25" s="19" t="n">
        <f aca="false">Inputs!$F$144*BW23</f>
        <v>2.16387240937082</v>
      </c>
      <c r="BX25" s="19" t="n">
        <f aca="false">Inputs!$F$144*BX23</f>
        <v>2.19386085852243</v>
      </c>
      <c r="BY25" s="19" t="n">
        <f aca="false">Inputs!$F$144*BY23</f>
        <v>2.21796921960509</v>
      </c>
      <c r="BZ25" s="19" t="n">
        <f aca="false">Inputs!$F$144*BZ23</f>
        <v>2.23635184493062</v>
      </c>
      <c r="CA25" s="19" t="n">
        <f aca="false">Inputs!$F$144*CA23</f>
        <v>2.27341845009522</v>
      </c>
      <c r="CB25" s="19" t="n">
        <f aca="false">Inputs!$F$144*CB23</f>
        <v>2.29226064105389</v>
      </c>
      <c r="CC25" s="19" t="n">
        <f aca="false">Inputs!$F$144*CC23</f>
        <v>2.3302539113476</v>
      </c>
      <c r="CD25" s="19" t="n">
        <f aca="false">Inputs!$F$144*CD23</f>
        <v>2.34956715708023</v>
      </c>
      <c r="CE25" s="19" t="n">
        <f aca="false">Inputs!$F$144*CE23</f>
        <v>2.38851025913129</v>
      </c>
      <c r="CF25" s="19" t="n">
        <f aca="false">Inputs!$F$144*CF23</f>
        <v>2.42161189587468</v>
      </c>
      <c r="CG25" s="19" t="n">
        <f aca="false">Inputs!$F$144*CG23</f>
        <v>2.44822301560957</v>
      </c>
      <c r="CH25" s="19" t="n">
        <f aca="false">Inputs!$F$144*CH23</f>
        <v>2.46851399440742</v>
      </c>
      <c r="CI25" s="19" t="n">
        <f aca="false">Inputs!$F$144*CI23</f>
        <v>2.50942859099981</v>
      </c>
      <c r="CJ25" s="19" t="n">
        <f aca="false">Inputs!$F$144*CJ23</f>
        <v>2.53022684426761</v>
      </c>
      <c r="CK25" s="19" t="n">
        <f aca="false">Inputs!$F$144*CK23</f>
        <v>2.5721643057748</v>
      </c>
      <c r="CL25" s="19" t="n">
        <f aca="false">Inputs!$F$144*CL23</f>
        <v>2.5934825153743</v>
      </c>
      <c r="CM25" s="19" t="n">
        <f aca="false">Inputs!$F$144*CM23</f>
        <v>2.63646841341917</v>
      </c>
      <c r="CN25" s="19" t="n">
        <f aca="false">Inputs!$F$144*CN23</f>
        <v>2.67300642675732</v>
      </c>
      <c r="CO25" s="19" t="n">
        <f aca="false">Inputs!$F$144*CO23</f>
        <v>2.70238012375465</v>
      </c>
      <c r="CP25" s="19" t="n">
        <f aca="false">Inputs!$F$144*CP23</f>
        <v>2.19788687782546</v>
      </c>
      <c r="CQ25" s="19" t="n">
        <f aca="false">Inputs!$F$144*CQ23</f>
        <v>0</v>
      </c>
      <c r="CR25" s="19" t="n">
        <f aca="false">Inputs!$F$144*CR23</f>
        <v>0</v>
      </c>
      <c r="CS25" s="19" t="n">
        <f aca="false">Inputs!$F$144*CS23</f>
        <v>0</v>
      </c>
      <c r="CT25" s="19" t="n">
        <f aca="false">Inputs!$F$144*CT23</f>
        <v>0</v>
      </c>
      <c r="CU25" s="19" t="n">
        <f aca="false">Inputs!$F$144*CU23</f>
        <v>0</v>
      </c>
      <c r="CV25" s="19" t="n">
        <f aca="false">Inputs!$F$144*CV23</f>
        <v>0</v>
      </c>
      <c r="CW25" s="19" t="n">
        <f aca="false">Inputs!$F$144*CW23</f>
        <v>0</v>
      </c>
      <c r="CX25" s="19" t="n">
        <f aca="false">Inputs!$F$144*CX23</f>
        <v>0</v>
      </c>
      <c r="CY25" s="19" t="n">
        <f aca="false">Inputs!$F$144*CY23</f>
        <v>0</v>
      </c>
      <c r="CZ25" s="19" t="n">
        <f aca="false">Inputs!$F$144*CZ23</f>
        <v>0</v>
      </c>
      <c r="DA25" s="19" t="n">
        <f aca="false">Inputs!$F$144*DA23</f>
        <v>0</v>
      </c>
      <c r="DB25" s="19" t="n">
        <f aca="false">Inputs!$F$144*DB23</f>
        <v>0</v>
      </c>
    </row>
    <row r="26" customFormat="false" ht="15" hidden="false" customHeight="false" outlineLevel="0" collapsed="false">
      <c r="D26" s="0" t="s">
        <v>395</v>
      </c>
      <c r="E26" s="0" t="s">
        <v>44</v>
      </c>
      <c r="G26" s="19" t="n">
        <f aca="false">SUM(J26:DB26)</f>
        <v>600.048031569301</v>
      </c>
      <c r="J26" s="19" t="n">
        <f aca="false">Inputs!$F$143*J20*Inputs!$F$221</f>
        <v>0</v>
      </c>
      <c r="K26" s="19" t="n">
        <f aca="false">Inputs!$F$143*K20*Inputs!$F$221</f>
        <v>0</v>
      </c>
      <c r="L26" s="19" t="n">
        <f aca="false">Inputs!$F$143*L20*Inputs!$F$221</f>
        <v>0</v>
      </c>
      <c r="M26" s="19" t="n">
        <f aca="false">Inputs!$F$143*M20*Inputs!$F$221</f>
        <v>0</v>
      </c>
      <c r="N26" s="19" t="n">
        <f aca="false">Inputs!$F$143*N20*Inputs!$F$221</f>
        <v>0</v>
      </c>
      <c r="O26" s="19" t="n">
        <f aca="false">Inputs!$F$143*O20*Inputs!$F$221</f>
        <v>0</v>
      </c>
      <c r="P26" s="19" t="n">
        <f aca="false">Inputs!$F$143*P20*Inputs!$F$221</f>
        <v>0</v>
      </c>
      <c r="Q26" s="19" t="n">
        <f aca="false">Inputs!$F$143*Q20*Inputs!$F$221</f>
        <v>0</v>
      </c>
      <c r="R26" s="19" t="n">
        <f aca="false">Inputs!$F$143*R20*Inputs!$F$221</f>
        <v>0</v>
      </c>
      <c r="S26" s="19" t="n">
        <f aca="false">Inputs!$F$143*S20*Inputs!$F$221</f>
        <v>0</v>
      </c>
      <c r="T26" s="19" t="n">
        <f aca="false">Inputs!$F$143*T20*Inputs!$F$221</f>
        <v>0</v>
      </c>
      <c r="U26" s="19" t="n">
        <f aca="false">Inputs!$F$143*U20*Inputs!$F$221</f>
        <v>0</v>
      </c>
      <c r="V26" s="19" t="n">
        <f aca="false">Inputs!$F$143*V20*Inputs!$F$221</f>
        <v>0</v>
      </c>
      <c r="W26" s="19" t="n">
        <f aca="false">Inputs!$F$143*W20*Inputs!$F$221</f>
        <v>0</v>
      </c>
      <c r="X26" s="19" t="n">
        <f aca="false">Inputs!$F$143*X20*Inputs!$F$221</f>
        <v>0</v>
      </c>
      <c r="Y26" s="19" t="n">
        <f aca="false">Inputs!$F$143*Y20*Inputs!$F$221</f>
        <v>0</v>
      </c>
      <c r="Z26" s="19" t="n">
        <f aca="false">Inputs!$F$143*Z20*Inputs!$F$221</f>
        <v>1.31532533043216</v>
      </c>
      <c r="AA26" s="19" t="n">
        <f aca="false">Inputs!$F$143*AA20*Inputs!$F$221</f>
        <v>2.72592936396392</v>
      </c>
      <c r="AB26" s="19" t="n">
        <f aca="false">Inputs!$F$143*AB20*Inputs!$F$221</f>
        <v>3.13647062249374</v>
      </c>
      <c r="AC26" s="19" t="n">
        <f aca="false">Inputs!$F$143*AC20*Inputs!$F$221</f>
        <v>3.24998098787922</v>
      </c>
      <c r="AD26" s="19" t="n">
        <f aca="false">Inputs!$F$143*AD20*Inputs!$F$221</f>
        <v>3.52606922785825</v>
      </c>
      <c r="AE26" s="19" t="n">
        <f aca="false">Inputs!$F$143*AE20*Inputs!$F$221</f>
        <v>3.67371968551337</v>
      </c>
      <c r="AF26" s="19" t="n">
        <f aca="false">Inputs!$F$143*AF20*Inputs!$F$221</f>
        <v>3.89238753409516</v>
      </c>
      <c r="AG26" s="19" t="n">
        <f aca="false">Inputs!$F$143*AG20*Inputs!$F$221</f>
        <v>4.05516968445449</v>
      </c>
      <c r="AH26" s="19" t="n">
        <f aca="false">Inputs!$F$143*AH20*Inputs!$F$221</f>
        <v>4.1246805821978</v>
      </c>
      <c r="AI26" s="19" t="n">
        <f aca="false">Inputs!$F$143*AI20*Inputs!$F$221</f>
        <v>4.29691195392594</v>
      </c>
      <c r="AJ26" s="19" t="n">
        <f aca="false">Inputs!$F$143*AJ20*Inputs!$F$221</f>
        <v>4.39471340644247</v>
      </c>
      <c r="AK26" s="19" t="n">
        <f aca="false">Inputs!$F$143*AK20*Inputs!$F$221</f>
        <v>4.55507439814043</v>
      </c>
      <c r="AL26" s="19" t="n">
        <f aca="false">Inputs!$F$143*AL20*Inputs!$F$221</f>
        <v>4.63315431472594</v>
      </c>
      <c r="AM26" s="19" t="n">
        <f aca="false">Inputs!$F$143*AM20*Inputs!$F$221</f>
        <v>4.82823877773163</v>
      </c>
      <c r="AN26" s="19" t="n">
        <f aca="false">Inputs!$F$143*AN20*Inputs!$F$221</f>
        <v>4.9110010880847</v>
      </c>
      <c r="AO26" s="19" t="n">
        <f aca="false">Inputs!$F$143*AO20*Inputs!$F$221</f>
        <v>5.11720886857887</v>
      </c>
      <c r="AP26" s="19" t="n">
        <f aca="false">Inputs!$F$143*AP20*Inputs!$F$221</f>
        <v>5.20492450320657</v>
      </c>
      <c r="AQ26" s="19" t="n">
        <f aca="false">Inputs!$F$143*AQ20*Inputs!$F$221</f>
        <v>5.42282855180598</v>
      </c>
      <c r="AR26" s="19" t="n">
        <f aca="false">Inputs!$F$143*AR20*Inputs!$F$221</f>
        <v>5.54625684514817</v>
      </c>
      <c r="AS26" s="19" t="n">
        <f aca="false">Inputs!$F$143*AS20*Inputs!$F$221</f>
        <v>5.7486525332747</v>
      </c>
      <c r="AT26" s="19" t="n">
        <f aca="false">Inputs!$F$143*AT20*Inputs!$F$221</f>
        <v>5.84719193593746</v>
      </c>
      <c r="AU26" s="19" t="n">
        <f aca="false">Inputs!$F$143*AU20*Inputs!$F$221</f>
        <v>6.0931233223995</v>
      </c>
      <c r="AV26" s="19" t="n">
        <f aca="false">Inputs!$F$143*AV20*Inputs!$F$221</f>
        <v>6.19756740369759</v>
      </c>
      <c r="AW26" s="19" t="n">
        <f aca="false">Inputs!$F$143*AW20*Inputs!$F$221</f>
        <v>6.45722607484698</v>
      </c>
      <c r="AX26" s="19" t="n">
        <f aca="false">Inputs!$F$143*AX20*Inputs!$F$221</f>
        <v>6.49803995487441</v>
      </c>
      <c r="AY26" s="19" t="n">
        <f aca="false">Inputs!$F$143*AY20*Inputs!$F$221</f>
        <v>6.77212641493541</v>
      </c>
      <c r="AZ26" s="19" t="n">
        <f aca="false">Inputs!$F$143*AZ20*Inputs!$F$221</f>
        <v>6.85258222114763</v>
      </c>
      <c r="BA26" s="19" t="n">
        <f aca="false">Inputs!$F$143*BA20*Inputs!$F$221</f>
        <v>7.1010824555409</v>
      </c>
      <c r="BB26" s="19" t="n">
        <f aca="false">Inputs!$F$143*BB20*Inputs!$F$221</f>
        <v>7.14596592780065</v>
      </c>
      <c r="BC26" s="19" t="n">
        <f aca="false">Inputs!$F$143*BC20*Inputs!$F$221</f>
        <v>7.44464285822905</v>
      </c>
      <c r="BD26" s="19" t="n">
        <f aca="false">Inputs!$F$143*BD20*Inputs!$F$221</f>
        <v>7.49169785629493</v>
      </c>
      <c r="BE26" s="19" t="n">
        <f aca="false">Inputs!$F$143*BE20*Inputs!$F$221</f>
        <v>7.80650076759658</v>
      </c>
      <c r="BF26" s="19" t="n">
        <f aca="false">Inputs!$F$143*BF20*Inputs!$F$221</f>
        <v>7.85584294364394</v>
      </c>
      <c r="BG26" s="19" t="n">
        <f aca="false">Inputs!$F$143*BG20*Inputs!$F$221</f>
        <v>8.18426290241927</v>
      </c>
      <c r="BH26" s="19" t="n">
        <f aca="false">Inputs!$F$143*BH20*Inputs!$F$221</f>
        <v>8.28149550407518</v>
      </c>
      <c r="BI26" s="19" t="n">
        <f aca="false">Inputs!$F$143*BI20*Inputs!$F$221</f>
        <v>8.58181347290429</v>
      </c>
      <c r="BJ26" s="19" t="n">
        <f aca="false">Inputs!$F$143*BJ20*Inputs!$F$221</f>
        <v>8.63605613088791</v>
      </c>
      <c r="BK26" s="19" t="n">
        <f aca="false">Inputs!$F$143*BK20*Inputs!$F$221</f>
        <v>9.0000133542992</v>
      </c>
      <c r="BL26" s="19" t="n">
        <f aca="false">Inputs!$F$143*BL20*Inputs!$F$221</f>
        <v>9.0568993082723</v>
      </c>
      <c r="BM26" s="19" t="n">
        <f aca="false">Inputs!$F$143*BM20*Inputs!$F$221</f>
        <v>9.43633333256965</v>
      </c>
      <c r="BN26" s="19" t="n">
        <f aca="false">Inputs!$F$143*BN20*Inputs!$F$221</f>
        <v>9.49597711336193</v>
      </c>
      <c r="BO26" s="19" t="n">
        <f aca="false">Inputs!$F$143*BO20*Inputs!$F$221</f>
        <v>9.89496582944948</v>
      </c>
      <c r="BP26" s="19" t="n">
        <f aca="false">Inputs!$F$143*BP20*Inputs!$F$221</f>
        <v>10.0125223256624</v>
      </c>
      <c r="BQ26" s="19" t="n">
        <f aca="false">Inputs!$F$143*BQ20*Inputs!$F$221</f>
        <v>10.3768674720797</v>
      </c>
      <c r="BR26" s="19" t="n">
        <f aca="false">Inputs!$F$143*BR20*Inputs!$F$221</f>
        <v>10.3301715684553</v>
      </c>
      <c r="BS26" s="19" t="n">
        <f aca="false">Inputs!$F$143*BS20*Inputs!$F$221</f>
        <v>10.7623840382809</v>
      </c>
      <c r="BT26" s="19" t="n">
        <f aca="false">Inputs!$F$143*BT20*Inputs!$F$221</f>
        <v>10.7139533101087</v>
      </c>
      <c r="BU26" s="19" t="n">
        <f aca="false">Inputs!$F$143*BU20*Inputs!$F$221</f>
        <v>11.1629955688888</v>
      </c>
      <c r="BV26" s="19" t="n">
        <f aca="false">Inputs!$F$143*BV20*Inputs!$F$221</f>
        <v>11.1127620888288</v>
      </c>
      <c r="BW26" s="19" t="n">
        <f aca="false">Inputs!$F$143*BW20*Inputs!$F$221</f>
        <v>11.5790968706922</v>
      </c>
      <c r="BX26" s="19" t="n">
        <f aca="false">Inputs!$F$143*BX20*Inputs!$F$221</f>
        <v>11.5906759675629</v>
      </c>
      <c r="BY26" s="19" t="n">
        <f aca="false">Inputs!$F$143*BY20*Inputs!$F$221</f>
        <v>12.0110911086727</v>
      </c>
      <c r="BZ26" s="19" t="n">
        <f aca="false">Inputs!$F$143*BZ20*Inputs!$F$221</f>
        <v>11.9570411986837</v>
      </c>
      <c r="CA26" s="19" t="n">
        <f aca="false">Inputs!$F$143*CA20*Inputs!$F$221</f>
        <v>12.4593899624266</v>
      </c>
      <c r="CB26" s="19" t="n">
        <f aca="false">Inputs!$F$143*CB20*Inputs!$F$221</f>
        <v>12.4033227075957</v>
      </c>
      <c r="CC26" s="19" t="n">
        <f aca="false">Inputs!$F$143*CC20*Inputs!$F$221</f>
        <v>12.9244137852904</v>
      </c>
      <c r="CD26" s="19" t="n">
        <f aca="false">Inputs!$F$143*CD20*Inputs!$F$221</f>
        <v>12.8662539232566</v>
      </c>
      <c r="CE26" s="19" t="n">
        <f aca="false">Inputs!$F$143*CE20*Inputs!$F$221</f>
        <v>13.4065917662125</v>
      </c>
      <c r="CF26" s="19" t="n">
        <f aca="false">Inputs!$F$143*CF20*Inputs!$F$221</f>
        <v>13.4199983579787</v>
      </c>
      <c r="CG26" s="19" t="n">
        <f aca="false">Inputs!$F$143*CG20*Inputs!$F$221</f>
        <v>13.9063620944175</v>
      </c>
      <c r="CH26" s="19" t="n">
        <f aca="false">Inputs!$F$143*CH20*Inputs!$F$221</f>
        <v>13.8437834649926</v>
      </c>
      <c r="CI26" s="19" t="n">
        <f aca="false">Inputs!$F$143*CI20*Inputs!$F$221</f>
        <v>14.4241721269069</v>
      </c>
      <c r="CJ26" s="19" t="n">
        <f aca="false">Inputs!$F$143*CJ20*Inputs!$F$221</f>
        <v>14.3592633523358</v>
      </c>
      <c r="CK26" s="19" t="n">
        <f aca="false">Inputs!$F$143*CK20*Inputs!$F$221</f>
        <v>14.9604785588435</v>
      </c>
      <c r="CL26" s="19" t="n">
        <f aca="false">Inputs!$F$143*CL20*Inputs!$F$221</f>
        <v>14.8931564053287</v>
      </c>
      <c r="CM26" s="19" t="n">
        <f aca="false">Inputs!$F$143*CM20*Inputs!$F$221</f>
        <v>15.5198317631208</v>
      </c>
      <c r="CN26" s="19" t="n">
        <f aca="false">Inputs!$F$143*CN20*Inputs!$F$221</f>
        <v>15.5353515948839</v>
      </c>
      <c r="CO26" s="19" t="n">
        <f aca="false">Inputs!$F$143*CO20*Inputs!$F$221</f>
        <v>16.0987214878852</v>
      </c>
      <c r="CP26" s="19" t="n">
        <f aca="false">Inputs!$F$143*CP20*Inputs!$F$221</f>
        <v>12.9272733547718</v>
      </c>
      <c r="CQ26" s="19" t="n">
        <f aca="false">Inputs!$F$143*CQ20*Inputs!$F$221</f>
        <v>0</v>
      </c>
      <c r="CR26" s="19" t="n">
        <f aca="false">Inputs!$F$143*CR20*Inputs!$F$221</f>
        <v>0</v>
      </c>
      <c r="CS26" s="19" t="n">
        <f aca="false">Inputs!$F$143*CS20*Inputs!$F$221</f>
        <v>0</v>
      </c>
      <c r="CT26" s="19" t="n">
        <f aca="false">Inputs!$F$143*CT20*Inputs!$F$221</f>
        <v>0</v>
      </c>
      <c r="CU26" s="19" t="n">
        <f aca="false">Inputs!$F$143*CU20*Inputs!$F$221</f>
        <v>0</v>
      </c>
      <c r="CV26" s="19" t="n">
        <f aca="false">Inputs!$F$143*CV20*Inputs!$F$221</f>
        <v>0</v>
      </c>
      <c r="CW26" s="19" t="n">
        <f aca="false">Inputs!$F$143*CW20*Inputs!$F$221</f>
        <v>0</v>
      </c>
      <c r="CX26" s="19" t="n">
        <f aca="false">Inputs!$F$143*CX20*Inputs!$F$221</f>
        <v>0</v>
      </c>
      <c r="CY26" s="19" t="n">
        <f aca="false">Inputs!$F$143*CY20*Inputs!$F$221</f>
        <v>0</v>
      </c>
      <c r="CZ26" s="19" t="n">
        <f aca="false">Inputs!$F$143*CZ20*Inputs!$F$221</f>
        <v>0</v>
      </c>
      <c r="DA26" s="19" t="n">
        <f aca="false">Inputs!$F$143*DA20*Inputs!$F$221</f>
        <v>0</v>
      </c>
      <c r="DB26" s="19" t="n">
        <f aca="false">Inputs!$F$143*DB20*Inputs!$F$221</f>
        <v>0</v>
      </c>
    </row>
    <row r="27" customFormat="false" ht="15" hidden="false" customHeight="false" outlineLevel="0" collapsed="false">
      <c r="D27" s="0" t="s">
        <v>180</v>
      </c>
      <c r="E27" s="0" t="s">
        <v>44</v>
      </c>
      <c r="G27" s="19" t="n">
        <f aca="false">SUM(J27:DB27)</f>
        <v>197.795320823655</v>
      </c>
      <c r="J27" s="19" t="n">
        <f aca="false">Inputs!$F$145*J23</f>
        <v>0</v>
      </c>
      <c r="K27" s="19" t="n">
        <f aca="false">Inputs!$F$145*K23</f>
        <v>0</v>
      </c>
      <c r="L27" s="19" t="n">
        <f aca="false">Inputs!$F$145*L23</f>
        <v>0</v>
      </c>
      <c r="M27" s="19" t="n">
        <f aca="false">Inputs!$F$145*M23</f>
        <v>0</v>
      </c>
      <c r="N27" s="19" t="n">
        <f aca="false">Inputs!$F$145*N23</f>
        <v>0</v>
      </c>
      <c r="O27" s="19" t="n">
        <f aca="false">Inputs!$F$145*O23</f>
        <v>0</v>
      </c>
      <c r="P27" s="19" t="n">
        <f aca="false">Inputs!$F$145*P23</f>
        <v>0</v>
      </c>
      <c r="Q27" s="19" t="n">
        <f aca="false">Inputs!$F$145*Q23</f>
        <v>0</v>
      </c>
      <c r="R27" s="19" t="n">
        <f aca="false">Inputs!$F$145*R23</f>
        <v>0</v>
      </c>
      <c r="S27" s="19" t="n">
        <f aca="false">Inputs!$F$145*S23</f>
        <v>0</v>
      </c>
      <c r="T27" s="19" t="n">
        <f aca="false">Inputs!$F$145*T23</f>
        <v>0</v>
      </c>
      <c r="U27" s="19" t="n">
        <f aca="false">Inputs!$F$145*U23</f>
        <v>0</v>
      </c>
      <c r="V27" s="19" t="n">
        <f aca="false">Inputs!$F$145*V23</f>
        <v>0</v>
      </c>
      <c r="W27" s="19" t="n">
        <f aca="false">Inputs!$F$145*W23</f>
        <v>0</v>
      </c>
      <c r="X27" s="19" t="n">
        <f aca="false">Inputs!$F$145*X23</f>
        <v>0</v>
      </c>
      <c r="Y27" s="19" t="n">
        <f aca="false">Inputs!$F$145*Y23</f>
        <v>0</v>
      </c>
      <c r="Z27" s="19" t="n">
        <f aca="false">Inputs!$F$145*Z23</f>
        <v>0.924662546404109</v>
      </c>
      <c r="AA27" s="19" t="n">
        <f aca="false">Inputs!$F$145*AA23</f>
        <v>1.86964734657534</v>
      </c>
      <c r="AB27" s="19" t="n">
        <f aca="false">Inputs!$F$145*AB23</f>
        <v>1.89555822012842</v>
      </c>
      <c r="AC27" s="19" t="n">
        <f aca="false">Inputs!$F$145*AC23</f>
        <v>1.91638853023973</v>
      </c>
      <c r="AD27" s="19" t="n">
        <f aca="false">Inputs!$F$145*AD23</f>
        <v>1.93227164169959</v>
      </c>
      <c r="AE27" s="19" t="n">
        <f aca="false">Inputs!$F$145*AE23</f>
        <v>1.96429824349572</v>
      </c>
      <c r="AF27" s="19" t="n">
        <f aca="false">Inputs!$F$145*AF23</f>
        <v>1.98057843274208</v>
      </c>
      <c r="AG27" s="19" t="n">
        <f aca="false">Inputs!$F$145*AG23</f>
        <v>2.01340569958311</v>
      </c>
      <c r="AH27" s="19" t="n">
        <f aca="false">Inputs!$F$145*AH23</f>
        <v>2.03009289356063</v>
      </c>
      <c r="AI27" s="19" t="n">
        <f aca="false">Inputs!$F$145*AI23</f>
        <v>2.06374084207269</v>
      </c>
      <c r="AJ27" s="19" t="n">
        <f aca="false">Inputs!$F$145*AJ23</f>
        <v>2.09234159830793</v>
      </c>
      <c r="AK27" s="19" t="n">
        <f aca="false">Inputs!$F$145*AK23</f>
        <v>2.11533436312451</v>
      </c>
      <c r="AL27" s="19" t="n">
        <f aca="false">Inputs!$F$145*AL23</f>
        <v>2.13286634629714</v>
      </c>
      <c r="AM27" s="19" t="n">
        <f aca="false">Inputs!$F$145*AM23</f>
        <v>2.16821772220262</v>
      </c>
      <c r="AN27" s="19" t="n">
        <f aca="false">Inputs!$F$145*AN23</f>
        <v>2.18618800495457</v>
      </c>
      <c r="AO27" s="19" t="n">
        <f aca="false">Inputs!$F$145*AO23</f>
        <v>2.22242316525768</v>
      </c>
      <c r="AP27" s="19" t="n">
        <f aca="false">Inputs!$F$145*AP23</f>
        <v>2.24084270507843</v>
      </c>
      <c r="AQ27" s="19" t="n">
        <f aca="false">Inputs!$F$145*AQ23</f>
        <v>2.27798374438913</v>
      </c>
      <c r="AR27" s="19" t="n">
        <f aca="false">Inputs!$F$145*AR23</f>
        <v>2.30955362780321</v>
      </c>
      <c r="AS27" s="19" t="n">
        <f aca="false">Inputs!$F$145*AS23</f>
        <v>2.33493333799885</v>
      </c>
      <c r="AT27" s="19" t="n">
        <f aca="false">Inputs!$F$145*AT23</f>
        <v>2.35428536702303</v>
      </c>
      <c r="AU27" s="19" t="n">
        <f aca="false">Inputs!$F$145*AU23</f>
        <v>2.39330667144882</v>
      </c>
      <c r="AV27" s="19" t="n">
        <f aca="false">Inputs!$F$145*AV23</f>
        <v>2.4131425011986</v>
      </c>
      <c r="AW27" s="19" t="n">
        <f aca="false">Inputs!$F$145*AW23</f>
        <v>2.45313933823504</v>
      </c>
      <c r="AX27" s="19" t="n">
        <f aca="false">Inputs!$F$145*AX23</f>
        <v>2.47347106372857</v>
      </c>
      <c r="AY27" s="19" t="n">
        <f aca="false">Inputs!$F$145*AY23</f>
        <v>2.51446782169092</v>
      </c>
      <c r="AZ27" s="19" t="n">
        <f aca="false">Inputs!$F$145*AZ23</f>
        <v>2.54931506595892</v>
      </c>
      <c r="BA27" s="19" t="n">
        <f aca="false">Inputs!$F$145*BA23</f>
        <v>2.57732951723319</v>
      </c>
      <c r="BB27" s="19" t="n">
        <f aca="false">Inputs!$F$145*BB23</f>
        <v>2.59869053632983</v>
      </c>
      <c r="BC27" s="19" t="n">
        <f aca="false">Inputs!$F$145*BC23</f>
        <v>2.64176275516402</v>
      </c>
      <c r="BD27" s="19" t="n">
        <f aca="false">Inputs!$F$145*BD23</f>
        <v>2.66365779973807</v>
      </c>
      <c r="BE27" s="19" t="n">
        <f aca="false">Inputs!$F$145*BE23</f>
        <v>2.70780682404312</v>
      </c>
      <c r="BF27" s="19" t="n">
        <f aca="false">Inputs!$F$145*BF23</f>
        <v>2.73024924473152</v>
      </c>
      <c r="BG27" s="19" t="n">
        <f aca="false">Inputs!$F$145*BG23</f>
        <v>2.7755019946442</v>
      </c>
      <c r="BH27" s="19" t="n">
        <f aca="false">Inputs!$F$145*BH23</f>
        <v>2.81396683206998</v>
      </c>
      <c r="BI27" s="19" t="n">
        <f aca="false">Inputs!$F$145*BI23</f>
        <v>2.84488954451031</v>
      </c>
      <c r="BJ27" s="19" t="n">
        <f aca="false">Inputs!$F$145*BJ23</f>
        <v>2.86846811274606</v>
      </c>
      <c r="BK27" s="19" t="n">
        <f aca="false">Inputs!$F$145*BK23</f>
        <v>2.91601178312306</v>
      </c>
      <c r="BL27" s="19" t="n">
        <f aca="false">Inputs!$F$145*BL23</f>
        <v>2.94017981556471</v>
      </c>
      <c r="BM27" s="19" t="n">
        <f aca="false">Inputs!$F$145*BM23</f>
        <v>2.98891207770114</v>
      </c>
      <c r="BN27" s="19" t="n">
        <f aca="false">Inputs!$F$145*BN23</f>
        <v>3.01368431095383</v>
      </c>
      <c r="BO27" s="19" t="n">
        <f aca="false">Inputs!$F$145*BO23</f>
        <v>3.06363487964367</v>
      </c>
      <c r="BP27" s="19" t="n">
        <f aca="false">Inputs!$F$145*BP23</f>
        <v>3.10609286303003</v>
      </c>
      <c r="BQ27" s="19" t="n">
        <f aca="false">Inputs!$F$145*BQ23</f>
        <v>3.14022575163476</v>
      </c>
      <c r="BR27" s="19" t="n">
        <f aca="false">Inputs!$F$145*BR23</f>
        <v>3.16625207919586</v>
      </c>
      <c r="BS27" s="19" t="n">
        <f aca="false">Inputs!$F$145*BS23</f>
        <v>3.21873139542563</v>
      </c>
      <c r="BT27" s="19" t="n">
        <f aca="false">Inputs!$F$145*BT23</f>
        <v>3.24540838117576</v>
      </c>
      <c r="BU27" s="19" t="n">
        <f aca="false">Inputs!$F$145*BU23</f>
        <v>3.29919968031127</v>
      </c>
      <c r="BV27" s="19" t="n">
        <f aca="false">Inputs!$F$145*BV23</f>
        <v>3.32654359070515</v>
      </c>
      <c r="BW27" s="19" t="n">
        <f aca="false">Inputs!$F$145*BW23</f>
        <v>3.38167967231905</v>
      </c>
      <c r="BX27" s="19" t="n">
        <f aca="false">Inputs!$F$145*BX23</f>
        <v>3.42854534169086</v>
      </c>
      <c r="BY27" s="19" t="n">
        <f aca="false">Inputs!$F$145*BY23</f>
        <v>3.46622166412703</v>
      </c>
      <c r="BZ27" s="19" t="n">
        <f aca="false">Inputs!$F$145*BZ23</f>
        <v>3.4949498599846</v>
      </c>
      <c r="CA27" s="19" t="n">
        <f aca="false">Inputs!$F$145*CA23</f>
        <v>3.5528772057302</v>
      </c>
      <c r="CB27" s="19" t="n">
        <f aca="false">Inputs!$F$145*CB23</f>
        <v>3.58232360648421</v>
      </c>
      <c r="CC27" s="19" t="n">
        <f aca="false">Inputs!$F$145*CC23</f>
        <v>3.64169913587346</v>
      </c>
      <c r="CD27" s="19" t="n">
        <f aca="false">Inputs!$F$145*CD23</f>
        <v>3.67188169664632</v>
      </c>
      <c r="CE27" s="19" t="n">
        <f aca="false">Inputs!$F$145*CE23</f>
        <v>3.73274161427029</v>
      </c>
      <c r="CF27" s="19" t="n">
        <f aca="false">Inputs!$F$145*CF23</f>
        <v>3.78447254425067</v>
      </c>
      <c r="CG27" s="19" t="n">
        <f aca="false">Inputs!$F$145*CG23</f>
        <v>3.82606015462705</v>
      </c>
      <c r="CH27" s="19" t="n">
        <f aca="false">Inputs!$F$145*CH23</f>
        <v>3.85777070753904</v>
      </c>
      <c r="CI27" s="19" t="n">
        <f aca="false">Inputs!$F$145*CI23</f>
        <v>3.92171165849272</v>
      </c>
      <c r="CJ27" s="19" t="n">
        <f aca="false">Inputs!$F$145*CJ23</f>
        <v>3.95421497522751</v>
      </c>
      <c r="CK27" s="19" t="n">
        <f aca="false">Inputs!$F$145*CK23</f>
        <v>4.01975444995504</v>
      </c>
      <c r="CL27" s="19" t="n">
        <f aca="false">Inputs!$F$145*CL23</f>
        <v>4.0530703496082</v>
      </c>
      <c r="CM27" s="19" t="n">
        <f aca="false">Inputs!$F$145*CM23</f>
        <v>4.12024831120392</v>
      </c>
      <c r="CN27" s="19" t="n">
        <f aca="false">Inputs!$F$145*CN23</f>
        <v>4.17734957856028</v>
      </c>
      <c r="CO27" s="19" t="n">
        <f aca="false">Inputs!$F$145*CO23</f>
        <v>4.22325451898402</v>
      </c>
      <c r="CP27" s="19" t="n">
        <f aca="false">Inputs!$F$145*CP23</f>
        <v>3.43483716720629</v>
      </c>
      <c r="CQ27" s="19" t="n">
        <f aca="false">Inputs!$F$145*CQ23</f>
        <v>0</v>
      </c>
      <c r="CR27" s="19" t="n">
        <f aca="false">Inputs!$F$145*CR23</f>
        <v>0</v>
      </c>
      <c r="CS27" s="19" t="n">
        <f aca="false">Inputs!$F$145*CS23</f>
        <v>0</v>
      </c>
      <c r="CT27" s="19" t="n">
        <f aca="false">Inputs!$F$145*CT23</f>
        <v>0</v>
      </c>
      <c r="CU27" s="19" t="n">
        <f aca="false">Inputs!$F$145*CU23</f>
        <v>0</v>
      </c>
      <c r="CV27" s="19" t="n">
        <f aca="false">Inputs!$F$145*CV23</f>
        <v>0</v>
      </c>
      <c r="CW27" s="19" t="n">
        <f aca="false">Inputs!$F$145*CW23</f>
        <v>0</v>
      </c>
      <c r="CX27" s="19" t="n">
        <f aca="false">Inputs!$F$145*CX23</f>
        <v>0</v>
      </c>
      <c r="CY27" s="19" t="n">
        <f aca="false">Inputs!$F$145*CY23</f>
        <v>0</v>
      </c>
      <c r="CZ27" s="19" t="n">
        <f aca="false">Inputs!$F$145*CZ23</f>
        <v>0</v>
      </c>
      <c r="DA27" s="19" t="n">
        <f aca="false">Inputs!$F$145*DA23</f>
        <v>0</v>
      </c>
      <c r="DB27" s="19" t="n">
        <f aca="false">Inputs!$F$145*DB23</f>
        <v>0</v>
      </c>
    </row>
    <row r="28" customFormat="false" ht="15" hidden="false" customHeight="false" outlineLevel="0" collapsed="false">
      <c r="D28" s="0" t="s">
        <v>181</v>
      </c>
      <c r="E28" s="0" t="s">
        <v>44</v>
      </c>
      <c r="G28" s="19" t="n">
        <f aca="false">SUM(J28:DB28)</f>
        <v>159.531345069079</v>
      </c>
      <c r="J28" s="19" t="n">
        <f aca="false">Inputs!$F$146*J23</f>
        <v>0</v>
      </c>
      <c r="K28" s="19" t="n">
        <f aca="false">Inputs!$F$146*K23</f>
        <v>0</v>
      </c>
      <c r="L28" s="19" t="n">
        <f aca="false">Inputs!$F$146*L23</f>
        <v>0</v>
      </c>
      <c r="M28" s="19" t="n">
        <f aca="false">Inputs!$F$146*M23</f>
        <v>0</v>
      </c>
      <c r="N28" s="19" t="n">
        <f aca="false">Inputs!$F$146*N23</f>
        <v>0</v>
      </c>
      <c r="O28" s="19" t="n">
        <f aca="false">Inputs!$F$146*O23</f>
        <v>0</v>
      </c>
      <c r="P28" s="19" t="n">
        <f aca="false">Inputs!$F$146*P23</f>
        <v>0</v>
      </c>
      <c r="Q28" s="19" t="n">
        <f aca="false">Inputs!$F$146*Q23</f>
        <v>0</v>
      </c>
      <c r="R28" s="19" t="n">
        <f aca="false">Inputs!$F$146*R23</f>
        <v>0</v>
      </c>
      <c r="S28" s="19" t="n">
        <f aca="false">Inputs!$F$146*S23</f>
        <v>0</v>
      </c>
      <c r="T28" s="19" t="n">
        <f aca="false">Inputs!$F$146*T23</f>
        <v>0</v>
      </c>
      <c r="U28" s="19" t="n">
        <f aca="false">Inputs!$F$146*U23</f>
        <v>0</v>
      </c>
      <c r="V28" s="19" t="n">
        <f aca="false">Inputs!$F$146*V23</f>
        <v>0</v>
      </c>
      <c r="W28" s="19" t="n">
        <f aca="false">Inputs!$F$146*W23</f>
        <v>0</v>
      </c>
      <c r="X28" s="19" t="n">
        <f aca="false">Inputs!$F$146*X23</f>
        <v>0</v>
      </c>
      <c r="Y28" s="19" t="n">
        <f aca="false">Inputs!$F$146*Y23</f>
        <v>0</v>
      </c>
      <c r="Z28" s="19" t="n">
        <f aca="false">Inputs!$F$146*Z23</f>
        <v>0.745784375224743</v>
      </c>
      <c r="AA28" s="19" t="n">
        <f aca="false">Inputs!$F$146*AA23</f>
        <v>1.50795961583904</v>
      </c>
      <c r="AB28" s="19" t="n">
        <f aca="false">Inputs!$F$146*AB23</f>
        <v>1.52885796921072</v>
      </c>
      <c r="AC28" s="19" t="n">
        <f aca="false">Inputs!$F$146*AC23</f>
        <v>1.54565860623502</v>
      </c>
      <c r="AD28" s="19" t="n">
        <f aca="false">Inputs!$F$146*AD23</f>
        <v>1.55846909196604</v>
      </c>
      <c r="AE28" s="19" t="n">
        <f aca="false">Inputs!$F$146*AE23</f>
        <v>1.58430007139089</v>
      </c>
      <c r="AF28" s="19" t="n">
        <f aca="false">Inputs!$F$146*AF23</f>
        <v>1.59743081926519</v>
      </c>
      <c r="AG28" s="19" t="n">
        <f aca="false">Inputs!$F$146*AG23</f>
        <v>1.62390757317566</v>
      </c>
      <c r="AH28" s="19" t="n">
        <f aca="false">Inputs!$F$146*AH23</f>
        <v>1.63736658974682</v>
      </c>
      <c r="AI28" s="19" t="n">
        <f aca="false">Inputs!$F$146*AI23</f>
        <v>1.66450526250506</v>
      </c>
      <c r="AJ28" s="19" t="n">
        <f aca="false">Inputs!$F$146*AJ23</f>
        <v>1.68757313434955</v>
      </c>
      <c r="AK28" s="19" t="n">
        <f aca="false">Inputs!$F$146*AK23</f>
        <v>1.70611789406768</v>
      </c>
      <c r="AL28" s="19" t="n">
        <f aca="false">Inputs!$F$146*AL23</f>
        <v>1.72025827335275</v>
      </c>
      <c r="AM28" s="19" t="n">
        <f aca="false">Inputs!$F$146*AM23</f>
        <v>1.74877084141937</v>
      </c>
      <c r="AN28" s="19" t="n">
        <f aca="false">Inputs!$F$146*AN23</f>
        <v>1.76326473018657</v>
      </c>
      <c r="AO28" s="19" t="n">
        <f aca="false">Inputs!$F$146*AO23</f>
        <v>1.79249011245486</v>
      </c>
      <c r="AP28" s="19" t="n">
        <f aca="false">Inputs!$F$146*AP23</f>
        <v>1.80734634844124</v>
      </c>
      <c r="AQ28" s="19" t="n">
        <f aca="false">Inputs!$F$146*AQ23</f>
        <v>1.83730236526623</v>
      </c>
      <c r="AR28" s="19" t="n">
        <f aca="false">Inputs!$F$146*AR23</f>
        <v>1.86276497956747</v>
      </c>
      <c r="AS28" s="19" t="n">
        <f aca="false">Inputs!$F$146*AS23</f>
        <v>1.88323492439788</v>
      </c>
      <c r="AT28" s="19" t="n">
        <f aca="false">Inputs!$F$146*AT23</f>
        <v>1.89884325733107</v>
      </c>
      <c r="AU28" s="19" t="n">
        <f aca="false">Inputs!$F$146*AU23</f>
        <v>1.93031579750783</v>
      </c>
      <c r="AV28" s="19" t="n">
        <f aca="false">Inputs!$F$146*AV23</f>
        <v>1.94631433876435</v>
      </c>
      <c r="AW28" s="19" t="n">
        <f aca="false">Inputs!$F$146*AW23</f>
        <v>1.97857369244553</v>
      </c>
      <c r="AX28" s="19" t="n">
        <f aca="false">Inputs!$F$146*AX23</f>
        <v>1.99497219723346</v>
      </c>
      <c r="AY28" s="19" t="n">
        <f aca="false">Inputs!$F$146*AY23</f>
        <v>2.02803803475667</v>
      </c>
      <c r="AZ28" s="19" t="n">
        <f aca="false">Inputs!$F$146*AZ23</f>
        <v>2.05614399665139</v>
      </c>
      <c r="BA28" s="19" t="n">
        <f aca="false">Inputs!$F$146*BA23</f>
        <v>2.07873898562558</v>
      </c>
      <c r="BB28" s="19" t="n">
        <f aca="false">Inputs!$F$146*BB23</f>
        <v>2.0959676647184</v>
      </c>
      <c r="BC28" s="19" t="n">
        <f aca="false">Inputs!$F$146*BC23</f>
        <v>2.13070746026622</v>
      </c>
      <c r="BD28" s="19" t="n">
        <f aca="false">Inputs!$F$146*BD23</f>
        <v>2.14836685633636</v>
      </c>
      <c r="BE28" s="19" t="n">
        <f aca="false">Inputs!$F$146*BE23</f>
        <v>2.18397514677288</v>
      </c>
      <c r="BF28" s="19" t="n">
        <f aca="false">Inputs!$F$146*BF23</f>
        <v>2.20207602774477</v>
      </c>
      <c r="BG28" s="19" t="n">
        <f aca="false">Inputs!$F$146*BG23</f>
        <v>2.2385745254422</v>
      </c>
      <c r="BH28" s="19" t="n">
        <f aca="false">Inputs!$F$146*BH23</f>
        <v>2.26959824848501</v>
      </c>
      <c r="BI28" s="19" t="n">
        <f aca="false">Inputs!$F$146*BI23</f>
        <v>2.29453888857825</v>
      </c>
      <c r="BJ28" s="19" t="n">
        <f aca="false">Inputs!$F$146*BJ23</f>
        <v>2.31355612664935</v>
      </c>
      <c r="BK28" s="19" t="n">
        <f aca="false">Inputs!$F$146*BK23</f>
        <v>2.35190236079271</v>
      </c>
      <c r="BL28" s="19" t="n">
        <f aca="false">Inputs!$F$146*BL23</f>
        <v>2.37139502981558</v>
      </c>
      <c r="BM28" s="19" t="n">
        <f aca="false">Inputs!$F$146*BM23</f>
        <v>2.41069991981253</v>
      </c>
      <c r="BN28" s="19" t="n">
        <f aca="false">Inputs!$F$146*BN23</f>
        <v>2.43067990556097</v>
      </c>
      <c r="BO28" s="19" t="n">
        <f aca="false">Inputs!$F$146*BO23</f>
        <v>2.47096741780784</v>
      </c>
      <c r="BP28" s="19" t="n">
        <f aca="false">Inputs!$F$146*BP23</f>
        <v>2.50521180321768</v>
      </c>
      <c r="BQ28" s="19" t="n">
        <f aca="false">Inputs!$F$146*BQ23</f>
        <v>2.53274160325303</v>
      </c>
      <c r="BR28" s="19" t="n">
        <f aca="false">Inputs!$F$146*BR23</f>
        <v>2.55373307578</v>
      </c>
      <c r="BS28" s="19" t="n">
        <f aca="false">Inputs!$F$146*BS23</f>
        <v>2.59606014333436</v>
      </c>
      <c r="BT28" s="19" t="n">
        <f aca="false">Inputs!$F$146*BT23</f>
        <v>2.6175764026745</v>
      </c>
      <c r="BU28" s="19" t="n">
        <f aca="false">Inputs!$F$146*BU23</f>
        <v>2.66096164691772</v>
      </c>
      <c r="BV28" s="19" t="n">
        <f aca="false">Inputs!$F$146*BV23</f>
        <v>2.68301581274136</v>
      </c>
      <c r="BW28" s="19" t="n">
        <f aca="false">Inputs!$F$146*BW23</f>
        <v>2.72748568809066</v>
      </c>
      <c r="BX28" s="19" t="n">
        <f aca="false">Inputs!$F$146*BX23</f>
        <v>2.76528508213757</v>
      </c>
      <c r="BY28" s="19" t="n">
        <f aca="false">Inputs!$F$146*BY23</f>
        <v>2.79567283029293</v>
      </c>
      <c r="BZ28" s="19" t="n">
        <f aca="false">Inputs!$F$146*BZ23</f>
        <v>2.81884348826139</v>
      </c>
      <c r="CA28" s="19" t="n">
        <f aca="false">Inputs!$F$146*CA23</f>
        <v>2.86556465105025</v>
      </c>
      <c r="CB28" s="19" t="n">
        <f aca="false">Inputs!$F$146*CB23</f>
        <v>2.88931457546792</v>
      </c>
      <c r="CC28" s="19" t="n">
        <f aca="false">Inputs!$F$146*CC23</f>
        <v>2.93720376732651</v>
      </c>
      <c r="CD28" s="19" t="n">
        <f aca="false">Inputs!$F$146*CD23</f>
        <v>2.96154743985462</v>
      </c>
      <c r="CE28" s="19" t="n">
        <f aca="false">Inputs!$F$146*CE23</f>
        <v>3.01063386150967</v>
      </c>
      <c r="CF28" s="19" t="n">
        <f aca="false">Inputs!$F$146*CF23</f>
        <v>3.05235731991646</v>
      </c>
      <c r="CG28" s="19" t="n">
        <f aca="false">Inputs!$F$146*CG23</f>
        <v>3.08589970804741</v>
      </c>
      <c r="CH28" s="19" t="n">
        <f aca="false">Inputs!$F$146*CH23</f>
        <v>3.11147577899726</v>
      </c>
      <c r="CI28" s="19" t="n">
        <f aca="false">Inputs!$F$146*CI23</f>
        <v>3.1630472007486</v>
      </c>
      <c r="CJ28" s="19" t="n">
        <f aca="false">Inputs!$F$146*CJ23</f>
        <v>3.18926267347219</v>
      </c>
      <c r="CK28" s="19" t="n">
        <f aca="false">Inputs!$F$146*CK23</f>
        <v>3.24212338076731</v>
      </c>
      <c r="CL28" s="19" t="n">
        <f aca="false">Inputs!$F$146*CL23</f>
        <v>3.268994240309</v>
      </c>
      <c r="CM28" s="19" t="n">
        <f aca="false">Inputs!$F$146*CM23</f>
        <v>3.32317646528649</v>
      </c>
      <c r="CN28" s="19" t="n">
        <f aca="false">Inputs!$F$146*CN23</f>
        <v>3.36923135651737</v>
      </c>
      <c r="CO28" s="19" t="n">
        <f aca="false">Inputs!$F$146*CO23</f>
        <v>3.40625587691866</v>
      </c>
      <c r="CP28" s="19" t="n">
        <f aca="false">Inputs!$F$146*CP23</f>
        <v>2.7703597390265</v>
      </c>
      <c r="CQ28" s="19" t="n">
        <f aca="false">Inputs!$F$146*CQ23</f>
        <v>0</v>
      </c>
      <c r="CR28" s="19" t="n">
        <f aca="false">Inputs!$F$146*CR23</f>
        <v>0</v>
      </c>
      <c r="CS28" s="19" t="n">
        <f aca="false">Inputs!$F$146*CS23</f>
        <v>0</v>
      </c>
      <c r="CT28" s="19" t="n">
        <f aca="false">Inputs!$F$146*CT23</f>
        <v>0</v>
      </c>
      <c r="CU28" s="19" t="n">
        <f aca="false">Inputs!$F$146*CU23</f>
        <v>0</v>
      </c>
      <c r="CV28" s="19" t="n">
        <f aca="false">Inputs!$F$146*CV23</f>
        <v>0</v>
      </c>
      <c r="CW28" s="19" t="n">
        <f aca="false">Inputs!$F$146*CW23</f>
        <v>0</v>
      </c>
      <c r="CX28" s="19" t="n">
        <f aca="false">Inputs!$F$146*CX23</f>
        <v>0</v>
      </c>
      <c r="CY28" s="19" t="n">
        <f aca="false">Inputs!$F$146*CY23</f>
        <v>0</v>
      </c>
      <c r="CZ28" s="19" t="n">
        <f aca="false">Inputs!$F$146*CZ23</f>
        <v>0</v>
      </c>
      <c r="DA28" s="19" t="n">
        <f aca="false">Inputs!$F$146*DA23</f>
        <v>0</v>
      </c>
      <c r="DB28" s="19" t="n">
        <f aca="false">Inputs!$F$146*DB23</f>
        <v>0</v>
      </c>
    </row>
    <row r="29" customFormat="false" ht="15" hidden="false" customHeight="false" outlineLevel="0" collapsed="false">
      <c r="D29" s="0" t="s">
        <v>396</v>
      </c>
      <c r="E29" s="0" t="s">
        <v>44</v>
      </c>
      <c r="G29" s="19" t="n">
        <f aca="false">SUM(J29:DB29)</f>
        <v>1780.93319101053</v>
      </c>
      <c r="J29" s="19" t="n">
        <f aca="false">J24+J25+J26+J27+J28</f>
        <v>0</v>
      </c>
      <c r="K29" s="19" t="n">
        <f aca="false">K24+K25+K26+K27+K28</f>
        <v>0</v>
      </c>
      <c r="L29" s="19" t="n">
        <f aca="false">L24+L25+L26+L27+L28</f>
        <v>0</v>
      </c>
      <c r="M29" s="19" t="n">
        <f aca="false">M24+M25+M26+M27+M28</f>
        <v>0</v>
      </c>
      <c r="N29" s="19" t="n">
        <f aca="false">N24+N25+N26+N27+N28</f>
        <v>0</v>
      </c>
      <c r="O29" s="19" t="n">
        <f aca="false">O24+O25+O26+O27+O28</f>
        <v>0</v>
      </c>
      <c r="P29" s="19" t="n">
        <f aca="false">P24+P25+P26+P27+P28</f>
        <v>0</v>
      </c>
      <c r="Q29" s="19" t="n">
        <f aca="false">Q24+Q25+Q26+Q27+Q28</f>
        <v>0</v>
      </c>
      <c r="R29" s="19" t="n">
        <f aca="false">R24+R25+R26+R27+R28</f>
        <v>0</v>
      </c>
      <c r="S29" s="19" t="n">
        <f aca="false">S24+S25+S26+S27+S28</f>
        <v>0</v>
      </c>
      <c r="T29" s="19" t="n">
        <f aca="false">T24+T25+T26+T27+T28</f>
        <v>0</v>
      </c>
      <c r="U29" s="19" t="n">
        <f aca="false">U24+U25+U26+U27+U28</f>
        <v>0</v>
      </c>
      <c r="V29" s="19" t="n">
        <f aca="false">V24+V25+V26+V27+V28</f>
        <v>0</v>
      </c>
      <c r="W29" s="19" t="n">
        <f aca="false">W24+W25+W26+W27+W28</f>
        <v>0</v>
      </c>
      <c r="X29" s="19" t="n">
        <f aca="false">X24+X25+X26+X27+X28</f>
        <v>0</v>
      </c>
      <c r="Y29" s="19" t="n">
        <f aca="false">Y24+Y25+Y26+Y27+Y28</f>
        <v>0</v>
      </c>
      <c r="Z29" s="19" t="n">
        <f aca="false">Z24+Z25+Z26+Z27+Z28</f>
        <v>6.83578089021383</v>
      </c>
      <c r="AA29" s="19" t="n">
        <f aca="false">AA24+AA25+AA26+AA27+AA28</f>
        <v>13.8881691771488</v>
      </c>
      <c r="AB29" s="19" t="n">
        <f aca="false">AB24+AB25+AB26+AB27+AB28</f>
        <v>14.4534045200462</v>
      </c>
      <c r="AC29" s="19" t="n">
        <f aca="false">AC24+AC25+AC26+AC27+AC28</f>
        <v>14.6912767963938</v>
      </c>
      <c r="AD29" s="19" t="n">
        <f aca="false">AD24+AD25+AD26+AD27+AD28</f>
        <v>15.0621909934814</v>
      </c>
      <c r="AE29" s="19" t="n">
        <f aca="false">AE24+AE25+AE26+AE27+AE28</f>
        <v>15.4010478892408</v>
      </c>
      <c r="AF29" s="19" t="n">
        <f aca="false">AF24+AF25+AF26+AF27+AF28</f>
        <v>15.7169123438589</v>
      </c>
      <c r="AG29" s="19" t="n">
        <f aca="false">AG24+AG25+AG26+AG27+AG28</f>
        <v>16.0756810932751</v>
      </c>
      <c r="AH29" s="19" t="n">
        <f aca="false">AH24+AH25+AH26+AH27+AH28</f>
        <v>16.2448185122056</v>
      </c>
      <c r="AI29" s="19" t="n">
        <f aca="false">AI24+AI25+AI26+AI27+AI28</f>
        <v>16.6179361479671</v>
      </c>
      <c r="AJ29" s="19" t="n">
        <f aca="false">AJ24+AJ25+AJ26+AJ27+AJ28</f>
        <v>16.8864909249119</v>
      </c>
      <c r="AK29" s="19" t="n">
        <f aca="false">AK24+AK25+AK26+AK27+AK28</f>
        <v>17.1841241970326</v>
      </c>
      <c r="AL29" s="19" t="n">
        <f aca="false">AL24+AL25+AL26+AL27+AL28</f>
        <v>17.3668742274404</v>
      </c>
      <c r="AM29" s="19" t="n">
        <f aca="false">AM24+AM25+AM26+AM27+AM28</f>
        <v>17.7730148215961</v>
      </c>
      <c r="AN29" s="19" t="n">
        <f aca="false">AN24+AN25+AN26+AN27+AN28</f>
        <v>17.963063998617</v>
      </c>
      <c r="AO29" s="19" t="n">
        <f aca="false">AO24+AO25+AO26+AO27+AO28</f>
        <v>18.3856043135399</v>
      </c>
      <c r="AP29" s="19" t="n">
        <f aca="false">AP24+AP25+AP26+AP27+AP28</f>
        <v>18.5832889865022</v>
      </c>
      <c r="AQ29" s="19" t="n">
        <f aca="false">AQ24+AQ25+AQ26+AQ27+AQ28</f>
        <v>19.0229338828911</v>
      </c>
      <c r="AR29" s="19" t="n">
        <f aca="false">AR24+AR25+AR26+AR27+AR28</f>
        <v>19.3348418968543</v>
      </c>
      <c r="AS29" s="19" t="n">
        <f aca="false">AS24+AS25+AS26+AS27+AS28</f>
        <v>19.6887604976369</v>
      </c>
      <c r="AT29" s="19" t="n">
        <f aca="false">AT24+AT25+AT26+AT27+AT28</f>
        <v>19.9028361211999</v>
      </c>
      <c r="AU29" s="19" t="n">
        <f aca="false">AU24+AU25+AU26+AU27+AU28</f>
        <v>20.3817339858708</v>
      </c>
      <c r="AV29" s="19" t="n">
        <f aca="false">AV24+AV25+AV26+AV27+AV28</f>
        <v>20.6046026935916</v>
      </c>
      <c r="AW29" s="19" t="n">
        <f aca="false">AW24+AW25+AW26+AW27+AW28</f>
        <v>21.103052004905</v>
      </c>
      <c r="AX29" s="19" t="n">
        <f aca="false">AX24+AX25+AX26+AX27+AX28</f>
        <v>21.2652511270158</v>
      </c>
      <c r="AY29" s="19" t="n">
        <f aca="false">AY24+AY25+AY26+AY27+AY28</f>
        <v>21.7840979932449</v>
      </c>
      <c r="AZ29" s="19" t="n">
        <f aca="false">AZ24+AZ25+AZ26+AZ27+AZ28</f>
        <v>22.0726001447</v>
      </c>
      <c r="BA29" s="19" t="n">
        <f aca="false">BA24+BA25+BA26+BA27+BA28</f>
        <v>22.4883533233081</v>
      </c>
      <c r="BB29" s="19" t="n">
        <f aca="false">BB24+BB25+BB26+BB27+BB28</f>
        <v>22.6607671655317</v>
      </c>
      <c r="BC29" s="19" t="n">
        <f aca="false">BC24+BC25+BC26+BC27+BC28</f>
        <v>23.2165954976905</v>
      </c>
      <c r="BD29" s="19" t="n">
        <f aca="false">BD24+BD25+BD26+BD27+BD28</f>
        <v>23.3943691249693</v>
      </c>
      <c r="BE29" s="19" t="n">
        <f aca="false">BE24+BE25+BE26+BE27+BE28</f>
        <v>23.9727522230445</v>
      </c>
      <c r="BF29" s="19" t="n">
        <f aca="false">BF24+BF25+BF26+BF27+BF28</f>
        <v>24.1560809940351</v>
      </c>
      <c r="BG29" s="19" t="n">
        <f aca="false">BG24+BG25+BG26+BG27+BG28</f>
        <v>24.7546706442534</v>
      </c>
      <c r="BH29" s="19" t="n">
        <f aca="false">BH24+BH25+BH26+BH27+BH28</f>
        <v>25.0815474836358</v>
      </c>
      <c r="BI29" s="19" t="n">
        <f aca="false">BI24+BI25+BI26+BI27+BI28</f>
        <v>25.5664814082843</v>
      </c>
      <c r="BJ29" s="19" t="n">
        <f aca="false">BJ24+BJ25+BJ26+BJ27+BJ28</f>
        <v>25.7614937325801</v>
      </c>
      <c r="BK29" s="19" t="n">
        <f aca="false">BK24+BK25+BK26+BK27+BK28</f>
        <v>26.4092979880637</v>
      </c>
      <c r="BL29" s="19" t="n">
        <f aca="false">BL24+BL25+BL26+BL27+BL28</f>
        <v>26.6104728500068</v>
      </c>
      <c r="BM29" s="19" t="n">
        <f aca="false">BM24+BM25+BM26+BM27+BM28</f>
        <v>27.2808500821782</v>
      </c>
      <c r="BN29" s="19" t="n">
        <f aca="false">BN24+BN25+BN26+BN27+BN28</f>
        <v>27.4883899936398</v>
      </c>
      <c r="BO29" s="19" t="n">
        <f aca="false">BO24+BO25+BO26+BO27+BO28</f>
        <v>28.1855954977983</v>
      </c>
      <c r="BP29" s="19" t="n">
        <f aca="false">BP24+BP25+BP26+BP27+BP28</f>
        <v>28.5566362638715</v>
      </c>
      <c r="BQ29" s="19" t="n">
        <f aca="false">BQ24+BQ25+BQ26+BQ27+BQ28</f>
        <v>29.1247628821372</v>
      </c>
      <c r="BR29" s="19" t="n">
        <f aca="false">BR24+BR25+BR26+BR27+BR28</f>
        <v>29.2334503507973</v>
      </c>
      <c r="BS29" s="19" t="n">
        <f aca="false">BS24+BS25+BS26+BS27+BS28</f>
        <v>29.9789768335899</v>
      </c>
      <c r="BT29" s="19" t="n">
        <f aca="false">BT24+BT25+BT26+BT27+BT28</f>
        <v>30.0898140620092</v>
      </c>
      <c r="BU29" s="19" t="n">
        <f aca="false">BU24+BU25+BU26+BU27+BU28</f>
        <v>30.8600031840804</v>
      </c>
      <c r="BV29" s="19" t="n">
        <f aca="false">BV24+BV25+BV26+BV27+BV28</f>
        <v>30.9730193595268</v>
      </c>
      <c r="BW29" s="19" t="n">
        <f aca="false">BW24+BW25+BW26+BW27+BW28</f>
        <v>31.7685296762637</v>
      </c>
      <c r="BX29" s="19" t="n">
        <f aca="false">BX24+BX25+BX26+BX27+BX28</f>
        <v>32.0599079777768</v>
      </c>
      <c r="BY29" s="19" t="n">
        <f aca="false">BY24+BY25+BY26+BY27+BY28</f>
        <v>32.7052597343835</v>
      </c>
      <c r="BZ29" s="19" t="n">
        <f aca="false">BZ24+BZ25+BZ26+BZ27+BZ28</f>
        <v>32.8227239937108</v>
      </c>
      <c r="CA29" s="19" t="n">
        <f aca="false">CA24+CA25+CA26+CA27+CA28</f>
        <v>33.6709128037802</v>
      </c>
      <c r="CB29" s="19" t="n">
        <f aca="false">CB24+CB25+CB26+CB27+CB28</f>
        <v>33.7906475724985</v>
      </c>
      <c r="CC29" s="19" t="n">
        <f aca="false">CC24+CC25+CC26+CC27+CC28</f>
        <v>34.6662246976777</v>
      </c>
      <c r="CD29" s="19" t="n">
        <f aca="false">CD24+CD25+CD26+CD27+CD28</f>
        <v>34.7882619097819</v>
      </c>
      <c r="CE29" s="19" t="n">
        <f aca="false">CE24+CE25+CE26+CE27+CE28</f>
        <v>35.6919479514095</v>
      </c>
      <c r="CF29" s="19" t="n">
        <f aca="false">CF24+CF25+CF26+CF27+CF28</f>
        <v>36.0142005120467</v>
      </c>
      <c r="CG29" s="19" t="n">
        <f aca="false">CG24+CG25+CG26+CG27+CG28</f>
        <v>36.7488521842445</v>
      </c>
      <c r="CH29" s="19" t="n">
        <f aca="false">CH24+CH25+CH26+CH27+CH28</f>
        <v>36.8755931058358</v>
      </c>
      <c r="CI29" s="19" t="n">
        <f aca="false">CI24+CI25+CI26+CI27+CI28</f>
        <v>37.8377244689795</v>
      </c>
      <c r="CJ29" s="19" t="n">
        <f aca="false">CJ24+CJ25+CJ26+CJ27+CJ28</f>
        <v>37.9668682342</v>
      </c>
      <c r="CK29" s="19" t="n">
        <f aca="false">CK24+CK25+CK26+CK27+CK28</f>
        <v>38.959369709468</v>
      </c>
      <c r="CL29" s="19" t="n">
        <f aca="false">CL24+CL25+CL26+CL27+CL28</f>
        <v>39.0909514092396</v>
      </c>
      <c r="CM29" s="19" t="n">
        <f aca="false">CM24+CM25+CM26+CM27+CM28</f>
        <v>40.1186951925108</v>
      </c>
      <c r="CN29" s="19" t="n">
        <f aca="false">CN24+CN25+CN26+CN27+CN28</f>
        <v>40.4751231859312</v>
      </c>
      <c r="CO29" s="19" t="n">
        <f aca="false">CO24+CO25+CO26+CO27+CO28</f>
        <v>41.31255650301</v>
      </c>
      <c r="CP29" s="19" t="n">
        <f aca="false">CP24+CP25+CP26+CP27+CP28</f>
        <v>33.4340690613665</v>
      </c>
      <c r="CQ29" s="19" t="n">
        <f aca="false">CQ24+CQ25+CQ26+CQ27+CQ28</f>
        <v>0</v>
      </c>
      <c r="CR29" s="19" t="n">
        <f aca="false">CR24+CR25+CR26+CR27+CR28</f>
        <v>0</v>
      </c>
      <c r="CS29" s="19" t="n">
        <f aca="false">CS24+CS25+CS26+CS27+CS28</f>
        <v>0</v>
      </c>
      <c r="CT29" s="19" t="n">
        <f aca="false">CT24+CT25+CT26+CT27+CT28</f>
        <v>0</v>
      </c>
      <c r="CU29" s="19" t="n">
        <f aca="false">CU24+CU25+CU26+CU27+CU28</f>
        <v>0</v>
      </c>
      <c r="CV29" s="19" t="n">
        <f aca="false">CV24+CV25+CV26+CV27+CV28</f>
        <v>0</v>
      </c>
      <c r="CW29" s="19" t="n">
        <f aca="false">CW24+CW25+CW26+CW27+CW28</f>
        <v>0</v>
      </c>
      <c r="CX29" s="19" t="n">
        <f aca="false">CX24+CX25+CX26+CX27+CX28</f>
        <v>0</v>
      </c>
      <c r="CY29" s="19" t="n">
        <f aca="false">CY24+CY25+CY26+CY27+CY28</f>
        <v>0</v>
      </c>
      <c r="CZ29" s="19" t="n">
        <f aca="false">CZ24+CZ25+CZ26+CZ27+CZ28</f>
        <v>0</v>
      </c>
      <c r="DA29" s="19" t="n">
        <f aca="false">DA24+DA25+DA26+DA27+DA28</f>
        <v>0</v>
      </c>
      <c r="DB29" s="19" t="n">
        <f aca="false">DB24+DB25+DB26+DB27+DB28</f>
        <v>0</v>
      </c>
    </row>
    <row r="30" customFormat="false" ht="15" hidden="false" customHeight="false" outlineLevel="0" collapsed="false">
      <c r="D30" s="0" t="s">
        <v>397</v>
      </c>
      <c r="E30" s="0" t="s">
        <v>44</v>
      </c>
      <c r="G30" s="19" t="n">
        <f aca="false">SUM(J30:DB30)</f>
        <v>0</v>
      </c>
      <c r="J30" s="19" t="n">
        <f aca="false">IF(Time!J23=1,Inputs!$F$176*MAX(0,J20-Inputs!$F$177*Time!J56/Time!$F$57*Time!J25/Inputs!$F$45),0)</f>
        <v>0</v>
      </c>
      <c r="K30" s="19" t="n">
        <f aca="false">IF(Time!K23=1,Inputs!$F$176*MAX(0,K20-Inputs!$F$177*Time!K56/Time!$F$57*Time!K25/Inputs!$F$45),0)</f>
        <v>0</v>
      </c>
      <c r="L30" s="19" t="n">
        <f aca="false">IF(Time!L23=1,Inputs!$F$176*MAX(0,L20-Inputs!$F$177*Time!L56/Time!$F$57*Time!L25/Inputs!$F$45),0)</f>
        <v>0</v>
      </c>
      <c r="M30" s="19" t="n">
        <f aca="false">IF(Time!M23=1,Inputs!$F$176*MAX(0,M20-Inputs!$F$177*Time!M56/Time!$F$57*Time!M25/Inputs!$F$45),0)</f>
        <v>0</v>
      </c>
      <c r="N30" s="19" t="n">
        <f aca="false">IF(Time!N23=1,Inputs!$F$176*MAX(0,N20-Inputs!$F$177*Time!N56/Time!$F$57*Time!N25/Inputs!$F$45),0)</f>
        <v>0</v>
      </c>
      <c r="O30" s="19" t="n">
        <f aca="false">IF(Time!O23=1,Inputs!$F$176*MAX(0,O20-Inputs!$F$177*Time!O56/Time!$F$57*Time!O25/Inputs!$F$45),0)</f>
        <v>0</v>
      </c>
      <c r="P30" s="19" t="n">
        <f aca="false">IF(Time!P23=1,Inputs!$F$176*MAX(0,P20-Inputs!$F$177*Time!P56/Time!$F$57*Time!P25/Inputs!$F$45),0)</f>
        <v>0</v>
      </c>
      <c r="Q30" s="19" t="n">
        <f aca="false">IF(Time!Q23=1,Inputs!$F$176*MAX(0,Q20-Inputs!$F$177*Time!Q56/Time!$F$57*Time!Q25/Inputs!$F$45),0)</f>
        <v>0</v>
      </c>
      <c r="R30" s="19" t="n">
        <f aca="false">IF(Time!R23=1,Inputs!$F$176*MAX(0,R20-Inputs!$F$177*Time!R56/Time!$F$57*Time!R25/Inputs!$F$45),0)</f>
        <v>0</v>
      </c>
      <c r="S30" s="19" t="n">
        <f aca="false">IF(Time!S23=1,Inputs!$F$176*MAX(0,S20-Inputs!$F$177*Time!S56/Time!$F$57*Time!S25/Inputs!$F$45),0)</f>
        <v>0</v>
      </c>
      <c r="T30" s="19" t="n">
        <f aca="false">IF(Time!T23=1,Inputs!$F$176*MAX(0,T20-Inputs!$F$177*Time!T56/Time!$F$57*Time!T25/Inputs!$F$45),0)</f>
        <v>0</v>
      </c>
      <c r="U30" s="19" t="n">
        <f aca="false">IF(Time!U23=1,Inputs!$F$176*MAX(0,U20-Inputs!$F$177*Time!U56/Time!$F$57*Time!U25/Inputs!$F$45),0)</f>
        <v>0</v>
      </c>
      <c r="V30" s="19" t="n">
        <f aca="false">IF(Time!V23=1,Inputs!$F$176*MAX(0,V20-Inputs!$F$177*Time!V56/Time!$F$57*Time!V25/Inputs!$F$45),0)</f>
        <v>0</v>
      </c>
      <c r="W30" s="19" t="n">
        <f aca="false">IF(Time!W23=1,Inputs!$F$176*MAX(0,W20-Inputs!$F$177*Time!W56/Time!$F$57*Time!W25/Inputs!$F$45),0)</f>
        <v>0</v>
      </c>
      <c r="X30" s="19" t="n">
        <f aca="false">IF(Time!X23=1,Inputs!$F$176*MAX(0,X20-Inputs!$F$177*Time!X56/Time!$F$57*Time!X25/Inputs!$F$45),0)</f>
        <v>0</v>
      </c>
      <c r="Y30" s="19" t="n">
        <f aca="false">IF(Time!Y23=1,Inputs!$F$176*MAX(0,Y20-Inputs!$F$177*Time!Y56/Time!$F$57*Time!Y25/Inputs!$F$45),0)</f>
        <v>0</v>
      </c>
      <c r="Z30" s="19" t="n">
        <f aca="false">IF(Time!Z23=1,Inputs!$F$176*MAX(0,Z20-Inputs!$F$177*Time!Z56/Time!$F$57*Time!Z25/Inputs!$F$45),0)</f>
        <v>0</v>
      </c>
      <c r="AA30" s="19" t="n">
        <f aca="false">IF(Time!AA23=1,Inputs!$F$176*MAX(0,AA20-Inputs!$F$177*Time!AA56/Time!$F$57*Time!AA25/Inputs!$F$45),0)</f>
        <v>0</v>
      </c>
      <c r="AB30" s="19" t="n">
        <f aca="false">IF(Time!AB23=1,Inputs!$F$176*MAX(0,AB20-Inputs!$F$177*Time!AB56/Time!$F$57*Time!AB25/Inputs!$F$45),0)</f>
        <v>0</v>
      </c>
      <c r="AC30" s="19" t="n">
        <f aca="false">IF(Time!AC23=1,Inputs!$F$176*MAX(0,AC20-Inputs!$F$177*Time!AC56/Time!$F$57*Time!AC25/Inputs!$F$45),0)</f>
        <v>0</v>
      </c>
      <c r="AD30" s="19" t="n">
        <f aca="false">IF(Time!AD23=1,Inputs!$F$176*MAX(0,AD20-Inputs!$F$177*Time!AD56/Time!$F$57*Time!AD25/Inputs!$F$45),0)</f>
        <v>0</v>
      </c>
      <c r="AE30" s="19" t="n">
        <f aca="false">IF(Time!AE23=1,Inputs!$F$176*MAX(0,AE20-Inputs!$F$177*Time!AE56/Time!$F$57*Time!AE25/Inputs!$F$45),0)</f>
        <v>0</v>
      </c>
      <c r="AF30" s="19" t="n">
        <f aca="false">IF(Time!AF23=1,Inputs!$F$176*MAX(0,AF20-Inputs!$F$177*Time!AF56/Time!$F$57*Time!AF25/Inputs!$F$45),0)</f>
        <v>0</v>
      </c>
      <c r="AG30" s="19" t="n">
        <f aca="false">IF(Time!AG23=1,Inputs!$F$176*MAX(0,AG20-Inputs!$F$177*Time!AG56/Time!$F$57*Time!AG25/Inputs!$F$45),0)</f>
        <v>0</v>
      </c>
      <c r="AH30" s="19" t="n">
        <f aca="false">IF(Time!AH23=1,Inputs!$F$176*MAX(0,AH20-Inputs!$F$177*Time!AH56/Time!$F$57*Time!AH25/Inputs!$F$45),0)</f>
        <v>0</v>
      </c>
      <c r="AI30" s="19" t="n">
        <f aca="false">IF(Time!AI23=1,Inputs!$F$176*MAX(0,AI20-Inputs!$F$177*Time!AI56/Time!$F$57*Time!AI25/Inputs!$F$45),0)</f>
        <v>0</v>
      </c>
      <c r="AJ30" s="19" t="n">
        <f aca="false">IF(Time!AJ23=1,Inputs!$F$176*MAX(0,AJ20-Inputs!$F$177*Time!AJ56/Time!$F$57*Time!AJ25/Inputs!$F$45),0)</f>
        <v>0</v>
      </c>
      <c r="AK30" s="19" t="n">
        <f aca="false">IF(Time!AK23=1,Inputs!$F$176*MAX(0,AK20-Inputs!$F$177*Time!AK56/Time!$F$57*Time!AK25/Inputs!$F$45),0)</f>
        <v>0</v>
      </c>
      <c r="AL30" s="19" t="n">
        <f aca="false">IF(Time!AL23=1,Inputs!$F$176*MAX(0,AL20-Inputs!$F$177*Time!AL56/Time!$F$57*Time!AL25/Inputs!$F$45),0)</f>
        <v>0</v>
      </c>
      <c r="AM30" s="19" t="n">
        <f aca="false">IF(Time!AM23=1,Inputs!$F$176*MAX(0,AM20-Inputs!$F$177*Time!AM56/Time!$F$57*Time!AM25/Inputs!$F$45),0)</f>
        <v>0</v>
      </c>
      <c r="AN30" s="19" t="n">
        <f aca="false">IF(Time!AN23=1,Inputs!$F$176*MAX(0,AN20-Inputs!$F$177*Time!AN56/Time!$F$57*Time!AN25/Inputs!$F$45),0)</f>
        <v>0</v>
      </c>
      <c r="AO30" s="19" t="n">
        <f aca="false">IF(Time!AO23=1,Inputs!$F$176*MAX(0,AO20-Inputs!$F$177*Time!AO56/Time!$F$57*Time!AO25/Inputs!$F$45),0)</f>
        <v>0</v>
      </c>
      <c r="AP30" s="19" t="n">
        <f aca="false">IF(Time!AP23=1,Inputs!$F$176*MAX(0,AP20-Inputs!$F$177*Time!AP56/Time!$F$57*Time!AP25/Inputs!$F$45),0)</f>
        <v>0</v>
      </c>
      <c r="AQ30" s="19" t="n">
        <f aca="false">IF(Time!AQ23=1,Inputs!$F$176*MAX(0,AQ20-Inputs!$F$177*Time!AQ56/Time!$F$57*Time!AQ25/Inputs!$F$45),0)</f>
        <v>0</v>
      </c>
      <c r="AR30" s="19" t="n">
        <f aca="false">IF(Time!AR23=1,Inputs!$F$176*MAX(0,AR20-Inputs!$F$177*Time!AR56/Time!$F$57*Time!AR25/Inputs!$F$45),0)</f>
        <v>0</v>
      </c>
      <c r="AS30" s="19" t="n">
        <f aca="false">IF(Time!AS23=1,Inputs!$F$176*MAX(0,AS20-Inputs!$F$177*Time!AS56/Time!$F$57*Time!AS25/Inputs!$F$45),0)</f>
        <v>0</v>
      </c>
      <c r="AT30" s="19" t="n">
        <f aca="false">IF(Time!AT23=1,Inputs!$F$176*MAX(0,AT20-Inputs!$F$177*Time!AT56/Time!$F$57*Time!AT25/Inputs!$F$45),0)</f>
        <v>0</v>
      </c>
      <c r="AU30" s="19" t="n">
        <f aca="false">IF(Time!AU23=1,Inputs!$F$176*MAX(0,AU20-Inputs!$F$177*Time!AU56/Time!$F$57*Time!AU25/Inputs!$F$45),0)</f>
        <v>0</v>
      </c>
      <c r="AV30" s="19" t="n">
        <f aca="false">IF(Time!AV23=1,Inputs!$F$176*MAX(0,AV20-Inputs!$F$177*Time!AV56/Time!$F$57*Time!AV25/Inputs!$F$45),0)</f>
        <v>0</v>
      </c>
      <c r="AW30" s="19" t="n">
        <f aca="false">IF(Time!AW23=1,Inputs!$F$176*MAX(0,AW20-Inputs!$F$177*Time!AW56/Time!$F$57*Time!AW25/Inputs!$F$45),0)</f>
        <v>0</v>
      </c>
      <c r="AX30" s="19" t="n">
        <f aca="false">IF(Time!AX23=1,Inputs!$F$176*MAX(0,AX20-Inputs!$F$177*Time!AX56/Time!$F$57*Time!AX25/Inputs!$F$45),0)</f>
        <v>0</v>
      </c>
      <c r="AY30" s="19" t="n">
        <f aca="false">IF(Time!AY23=1,Inputs!$F$176*MAX(0,AY20-Inputs!$F$177*Time!AY56/Time!$F$57*Time!AY25/Inputs!$F$45),0)</f>
        <v>0</v>
      </c>
      <c r="AZ30" s="19" t="n">
        <f aca="false">IF(Time!AZ23=1,Inputs!$F$176*MAX(0,AZ20-Inputs!$F$177*Time!AZ56/Time!$F$57*Time!AZ25/Inputs!$F$45),0)</f>
        <v>0</v>
      </c>
      <c r="BA30" s="19" t="n">
        <f aca="false">IF(Time!BA23=1,Inputs!$F$176*MAX(0,BA20-Inputs!$F$177*Time!BA56/Time!$F$57*Time!BA25/Inputs!$F$45),0)</f>
        <v>0</v>
      </c>
      <c r="BB30" s="19" t="n">
        <f aca="false">IF(Time!BB23=1,Inputs!$F$176*MAX(0,BB20-Inputs!$F$177*Time!BB56/Time!$F$57*Time!BB25/Inputs!$F$45),0)</f>
        <v>0</v>
      </c>
      <c r="BC30" s="19" t="n">
        <f aca="false">IF(Time!BC23=1,Inputs!$F$176*MAX(0,BC20-Inputs!$F$177*Time!BC56/Time!$F$57*Time!BC25/Inputs!$F$45),0)</f>
        <v>0</v>
      </c>
      <c r="BD30" s="19" t="n">
        <f aca="false">IF(Time!BD23=1,Inputs!$F$176*MAX(0,BD20-Inputs!$F$177*Time!BD56/Time!$F$57*Time!BD25/Inputs!$F$45),0)</f>
        <v>0</v>
      </c>
      <c r="BE30" s="19" t="n">
        <f aca="false">IF(Time!BE23=1,Inputs!$F$176*MAX(0,BE20-Inputs!$F$177*Time!BE56/Time!$F$57*Time!BE25/Inputs!$F$45),0)</f>
        <v>0</v>
      </c>
      <c r="BF30" s="19" t="n">
        <f aca="false">IF(Time!BF23=1,Inputs!$F$176*MAX(0,BF20-Inputs!$F$177*Time!BF56/Time!$F$57*Time!BF25/Inputs!$F$45),0)</f>
        <v>0</v>
      </c>
      <c r="BG30" s="19" t="n">
        <f aca="false">IF(Time!BG23=1,Inputs!$F$176*MAX(0,BG20-Inputs!$F$177*Time!BG56/Time!$F$57*Time!BG25/Inputs!$F$45),0)</f>
        <v>0</v>
      </c>
      <c r="BH30" s="19" t="n">
        <f aca="false">IF(Time!BH23=1,Inputs!$F$176*MAX(0,BH20-Inputs!$F$177*Time!BH56/Time!$F$57*Time!BH25/Inputs!$F$45),0)</f>
        <v>0</v>
      </c>
      <c r="BI30" s="19" t="n">
        <f aca="false">IF(Time!BI23=1,Inputs!$F$176*MAX(0,BI20-Inputs!$F$177*Time!BI56/Time!$F$57*Time!BI25/Inputs!$F$45),0)</f>
        <v>0</v>
      </c>
      <c r="BJ30" s="19" t="n">
        <f aca="false">IF(Time!BJ23=1,Inputs!$F$176*MAX(0,BJ20-Inputs!$F$177*Time!BJ56/Time!$F$57*Time!BJ25/Inputs!$F$45),0)</f>
        <v>0</v>
      </c>
      <c r="BK30" s="19" t="n">
        <f aca="false">IF(Time!BK23=1,Inputs!$F$176*MAX(0,BK20-Inputs!$F$177*Time!BK56/Time!$F$57*Time!BK25/Inputs!$F$45),0)</f>
        <v>0</v>
      </c>
      <c r="BL30" s="19" t="n">
        <f aca="false">IF(Time!BL23=1,Inputs!$F$176*MAX(0,BL20-Inputs!$F$177*Time!BL56/Time!$F$57*Time!BL25/Inputs!$F$45),0)</f>
        <v>0</v>
      </c>
      <c r="BM30" s="19" t="n">
        <f aca="false">IF(Time!BM23=1,Inputs!$F$176*MAX(0,BM20-Inputs!$F$177*Time!BM56/Time!$F$57*Time!BM25/Inputs!$F$45),0)</f>
        <v>0</v>
      </c>
      <c r="BN30" s="19" t="n">
        <f aca="false">IF(Time!BN23=1,Inputs!$F$176*MAX(0,BN20-Inputs!$F$177*Time!BN56/Time!$F$57*Time!BN25/Inputs!$F$45),0)</f>
        <v>0</v>
      </c>
      <c r="BO30" s="19" t="n">
        <f aca="false">IF(Time!BO23=1,Inputs!$F$176*MAX(0,BO20-Inputs!$F$177*Time!BO56/Time!$F$57*Time!BO25/Inputs!$F$45),0)</f>
        <v>0</v>
      </c>
      <c r="BP30" s="19" t="n">
        <f aca="false">IF(Time!BP23=1,Inputs!$F$176*MAX(0,BP20-Inputs!$F$177*Time!BP56/Time!$F$57*Time!BP25/Inputs!$F$45),0)</f>
        <v>0</v>
      </c>
      <c r="BQ30" s="19" t="n">
        <f aca="false">IF(Time!BQ23=1,Inputs!$F$176*MAX(0,BQ20-Inputs!$F$177*Time!BQ56/Time!$F$57*Time!BQ25/Inputs!$F$45),0)</f>
        <v>0</v>
      </c>
      <c r="BR30" s="19" t="n">
        <f aca="false">IF(Time!BR23=1,Inputs!$F$176*MAX(0,BR20-Inputs!$F$177*Time!BR56/Time!$F$57*Time!BR25/Inputs!$F$45),0)</f>
        <v>0</v>
      </c>
      <c r="BS30" s="19" t="n">
        <f aca="false">IF(Time!BS23=1,Inputs!$F$176*MAX(0,BS20-Inputs!$F$177*Time!BS56/Time!$F$57*Time!BS25/Inputs!$F$45),0)</f>
        <v>0</v>
      </c>
      <c r="BT30" s="19" t="n">
        <f aca="false">IF(Time!BT23=1,Inputs!$F$176*MAX(0,BT20-Inputs!$F$177*Time!BT56/Time!$F$57*Time!BT25/Inputs!$F$45),0)</f>
        <v>0</v>
      </c>
      <c r="BU30" s="19" t="n">
        <f aca="false">IF(Time!BU23=1,Inputs!$F$176*MAX(0,BU20-Inputs!$F$177*Time!BU56/Time!$F$57*Time!BU25/Inputs!$F$45),0)</f>
        <v>0</v>
      </c>
      <c r="BV30" s="19" t="n">
        <f aca="false">IF(Time!BV23=1,Inputs!$F$176*MAX(0,BV20-Inputs!$F$177*Time!BV56/Time!$F$57*Time!BV25/Inputs!$F$45),0)</f>
        <v>0</v>
      </c>
      <c r="BW30" s="19" t="n">
        <f aca="false">IF(Time!BW23=1,Inputs!$F$176*MAX(0,BW20-Inputs!$F$177*Time!BW56/Time!$F$57*Time!BW25/Inputs!$F$45),0)</f>
        <v>0</v>
      </c>
      <c r="BX30" s="19" t="n">
        <f aca="false">IF(Time!BX23=1,Inputs!$F$176*MAX(0,BX20-Inputs!$F$177*Time!BX56/Time!$F$57*Time!BX25/Inputs!$F$45),0)</f>
        <v>0</v>
      </c>
      <c r="BY30" s="19" t="n">
        <f aca="false">IF(Time!BY23=1,Inputs!$F$176*MAX(0,BY20-Inputs!$F$177*Time!BY56/Time!$F$57*Time!BY25/Inputs!$F$45),0)</f>
        <v>0</v>
      </c>
      <c r="BZ30" s="19" t="n">
        <f aca="false">IF(Time!BZ23=1,Inputs!$F$176*MAX(0,BZ20-Inputs!$F$177*Time!BZ56/Time!$F$57*Time!BZ25/Inputs!$F$45),0)</f>
        <v>0</v>
      </c>
      <c r="CA30" s="19" t="n">
        <f aca="false">IF(Time!CA23=1,Inputs!$F$176*MAX(0,CA20-Inputs!$F$177*Time!CA56/Time!$F$57*Time!CA25/Inputs!$F$45),0)</f>
        <v>0</v>
      </c>
      <c r="CB30" s="19" t="n">
        <f aca="false">IF(Time!CB23=1,Inputs!$F$176*MAX(0,CB20-Inputs!$F$177*Time!CB56/Time!$F$57*Time!CB25/Inputs!$F$45),0)</f>
        <v>0</v>
      </c>
      <c r="CC30" s="19" t="n">
        <f aca="false">IF(Time!CC23=1,Inputs!$F$176*MAX(0,CC20-Inputs!$F$177*Time!CC56/Time!$F$57*Time!CC25/Inputs!$F$45),0)</f>
        <v>0</v>
      </c>
      <c r="CD30" s="19" t="n">
        <f aca="false">IF(Time!CD23=1,Inputs!$F$176*MAX(0,CD20-Inputs!$F$177*Time!CD56/Time!$F$57*Time!CD25/Inputs!$F$45),0)</f>
        <v>0</v>
      </c>
      <c r="CE30" s="19" t="n">
        <f aca="false">IF(Time!CE23=1,Inputs!$F$176*MAX(0,CE20-Inputs!$F$177*Time!CE56/Time!$F$57*Time!CE25/Inputs!$F$45),0)</f>
        <v>0</v>
      </c>
      <c r="CF30" s="19" t="n">
        <f aca="false">IF(Time!CF23=1,Inputs!$F$176*MAX(0,CF20-Inputs!$F$177*Time!CF56/Time!$F$57*Time!CF25/Inputs!$F$45),0)</f>
        <v>0</v>
      </c>
      <c r="CG30" s="19" t="n">
        <f aca="false">IF(Time!CG23=1,Inputs!$F$176*MAX(0,CG20-Inputs!$F$177*Time!CG56/Time!$F$57*Time!CG25/Inputs!$F$45),0)</f>
        <v>0</v>
      </c>
      <c r="CH30" s="19" t="n">
        <f aca="false">IF(Time!CH23=1,Inputs!$F$176*MAX(0,CH20-Inputs!$F$177*Time!CH56/Time!$F$57*Time!CH25/Inputs!$F$45),0)</f>
        <v>0</v>
      </c>
      <c r="CI30" s="19" t="n">
        <f aca="false">IF(Time!CI23=1,Inputs!$F$176*MAX(0,CI20-Inputs!$F$177*Time!CI56/Time!$F$57*Time!CI25/Inputs!$F$45),0)</f>
        <v>0</v>
      </c>
      <c r="CJ30" s="19" t="n">
        <f aca="false">IF(Time!CJ23=1,Inputs!$F$176*MAX(0,CJ20-Inputs!$F$177*Time!CJ56/Time!$F$57*Time!CJ25/Inputs!$F$45),0)</f>
        <v>0</v>
      </c>
      <c r="CK30" s="19" t="n">
        <f aca="false">IF(Time!CK23=1,Inputs!$F$176*MAX(0,CK20-Inputs!$F$177*Time!CK56/Time!$F$57*Time!CK25/Inputs!$F$45),0)</f>
        <v>0</v>
      </c>
      <c r="CL30" s="19" t="n">
        <f aca="false">IF(Time!CL23=1,Inputs!$F$176*MAX(0,CL20-Inputs!$F$177*Time!CL56/Time!$F$57*Time!CL25/Inputs!$F$45),0)</f>
        <v>0</v>
      </c>
      <c r="CM30" s="19" t="n">
        <f aca="false">IF(Time!CM23=1,Inputs!$F$176*MAX(0,CM20-Inputs!$F$177*Time!CM56/Time!$F$57*Time!CM25/Inputs!$F$45),0)</f>
        <v>0</v>
      </c>
      <c r="CN30" s="19" t="n">
        <f aca="false">IF(Time!CN23=1,Inputs!$F$176*MAX(0,CN20-Inputs!$F$177*Time!CN56/Time!$F$57*Time!CN25/Inputs!$F$45),0)</f>
        <v>0</v>
      </c>
      <c r="CO30" s="19" t="n">
        <f aca="false">IF(Time!CO23=1,Inputs!$F$176*MAX(0,CO20-Inputs!$F$177*Time!CO56/Time!$F$57*Time!CO25/Inputs!$F$45),0)</f>
        <v>0</v>
      </c>
      <c r="CP30" s="19" t="n">
        <f aca="false">IF(Time!CP23=1,Inputs!$F$176*MAX(0,CP20-Inputs!$F$177*Time!CP56/Time!$F$57*Time!CP25/Inputs!$F$45),0)</f>
        <v>0</v>
      </c>
      <c r="CQ30" s="19" t="n">
        <f aca="false">IF(Time!CQ23=1,Inputs!$F$176*MAX(0,CQ20-Inputs!$F$177*Time!CQ56/Time!$F$57*Time!CQ25/Inputs!$F$45),0)</f>
        <v>0</v>
      </c>
      <c r="CR30" s="19" t="n">
        <f aca="false">IF(Time!CR23=1,Inputs!$F$176*MAX(0,CR20-Inputs!$F$177*Time!CR56/Time!$F$57*Time!CR25/Inputs!$F$45),0)</f>
        <v>0</v>
      </c>
      <c r="CS30" s="19" t="n">
        <f aca="false">IF(Time!CS23=1,Inputs!$F$176*MAX(0,CS20-Inputs!$F$177*Time!CS56/Time!$F$57*Time!CS25/Inputs!$F$45),0)</f>
        <v>0</v>
      </c>
      <c r="CT30" s="19" t="n">
        <f aca="false">IF(Time!CT23=1,Inputs!$F$176*MAX(0,CT20-Inputs!$F$177*Time!CT56/Time!$F$57*Time!CT25/Inputs!$F$45),0)</f>
        <v>0</v>
      </c>
      <c r="CU30" s="19" t="n">
        <f aca="false">IF(Time!CU23=1,Inputs!$F$176*MAX(0,CU20-Inputs!$F$177*Time!CU56/Time!$F$57*Time!CU25/Inputs!$F$45),0)</f>
        <v>0</v>
      </c>
      <c r="CV30" s="19" t="n">
        <f aca="false">IF(Time!CV23=1,Inputs!$F$176*MAX(0,CV20-Inputs!$F$177*Time!CV56/Time!$F$57*Time!CV25/Inputs!$F$45),0)</f>
        <v>0</v>
      </c>
      <c r="CW30" s="19" t="n">
        <f aca="false">IF(Time!CW23=1,Inputs!$F$176*MAX(0,CW20-Inputs!$F$177*Time!CW56/Time!$F$57*Time!CW25/Inputs!$F$45),0)</f>
        <v>0</v>
      </c>
      <c r="CX30" s="19" t="n">
        <f aca="false">IF(Time!CX23=1,Inputs!$F$176*MAX(0,CX20-Inputs!$F$177*Time!CX56/Time!$F$57*Time!CX25/Inputs!$F$45),0)</f>
        <v>0</v>
      </c>
      <c r="CY30" s="19" t="n">
        <f aca="false">IF(Time!CY23=1,Inputs!$F$176*MAX(0,CY20-Inputs!$F$177*Time!CY56/Time!$F$57*Time!CY25/Inputs!$F$45),0)</f>
        <v>0</v>
      </c>
      <c r="CZ30" s="19" t="n">
        <f aca="false">IF(Time!CZ23=1,Inputs!$F$176*MAX(0,CZ20-Inputs!$F$177*Time!CZ56/Time!$F$57*Time!CZ25/Inputs!$F$45),0)</f>
        <v>0</v>
      </c>
      <c r="DA30" s="19" t="n">
        <f aca="false">IF(Time!DA23=1,Inputs!$F$176*MAX(0,DA20-Inputs!$F$177*Time!DA56/Time!$F$57*Time!DA25/Inputs!$F$45),0)</f>
        <v>0</v>
      </c>
      <c r="DB30" s="19" t="n">
        <f aca="false">IF(Time!DB23=1,Inputs!$F$176*MAX(0,DB20-Inputs!$F$177*Time!DB56/Time!$F$57*Time!DB25/Inputs!$F$45),0)</f>
        <v>0</v>
      </c>
    </row>
    <row r="31" customFormat="false" ht="15" hidden="false" customHeight="false" outlineLevel="0" collapsed="false">
      <c r="D31" s="0" t="s">
        <v>398</v>
      </c>
      <c r="E31" s="0" t="s">
        <v>44</v>
      </c>
      <c r="G31" s="19" t="n">
        <f aca="false">SUM(J31:DB31)</f>
        <v>0</v>
      </c>
      <c r="J31" s="19" t="n">
        <f aca="false">IF(AND(Time!J39=1,Time!J8&gt;=Inputs!$F$38,Time!J8&lt;=Inputs!$F$20),Inputs!$F$161/Inputs!$F$162,0)</f>
        <v>0</v>
      </c>
      <c r="K31" s="19" t="n">
        <f aca="false">IF(AND(Time!K39=1,Time!K8&gt;=Inputs!$F$38,Time!K8&lt;=Inputs!$F$20),Inputs!$F$161/Inputs!$F$162,0)</f>
        <v>0</v>
      </c>
      <c r="L31" s="19" t="n">
        <f aca="false">IF(AND(Time!L39=1,Time!L8&gt;=Inputs!$F$38,Time!L8&lt;=Inputs!$F$20),Inputs!$F$161/Inputs!$F$162,0)</f>
        <v>0</v>
      </c>
      <c r="M31" s="19" t="n">
        <f aca="false">IF(AND(Time!M39=1,Time!M8&gt;=Inputs!$F$38,Time!M8&lt;=Inputs!$F$20),Inputs!$F$161/Inputs!$F$162,0)</f>
        <v>0</v>
      </c>
      <c r="N31" s="19" t="n">
        <f aca="false">IF(AND(Time!N39=1,Time!N8&gt;=Inputs!$F$38,Time!N8&lt;=Inputs!$F$20),Inputs!$F$161/Inputs!$F$162,0)</f>
        <v>0</v>
      </c>
      <c r="O31" s="19" t="n">
        <f aca="false">IF(AND(Time!O39=1,Time!O8&gt;=Inputs!$F$38,Time!O8&lt;=Inputs!$F$20),Inputs!$F$161/Inputs!$F$162,0)</f>
        <v>0</v>
      </c>
      <c r="P31" s="19" t="n">
        <f aca="false">IF(AND(Time!P39=1,Time!P8&gt;=Inputs!$F$38,Time!P8&lt;=Inputs!$F$20),Inputs!$F$161/Inputs!$F$162,0)</f>
        <v>0</v>
      </c>
      <c r="Q31" s="19" t="n">
        <f aca="false">IF(AND(Time!Q39=1,Time!Q8&gt;=Inputs!$F$38,Time!Q8&lt;=Inputs!$F$20),Inputs!$F$161/Inputs!$F$162,0)</f>
        <v>0</v>
      </c>
      <c r="R31" s="19" t="n">
        <f aca="false">IF(AND(Time!R39=1,Time!R8&gt;=Inputs!$F$38,Time!R8&lt;=Inputs!$F$20),Inputs!$F$161/Inputs!$F$162,0)</f>
        <v>0</v>
      </c>
      <c r="S31" s="19" t="n">
        <f aca="false">IF(AND(Time!S39=1,Time!S8&gt;=Inputs!$F$38,Time!S8&lt;=Inputs!$F$20),Inputs!$F$161/Inputs!$F$162,0)</f>
        <v>0</v>
      </c>
      <c r="T31" s="19" t="n">
        <f aca="false">IF(AND(Time!T39=1,Time!T8&gt;=Inputs!$F$38,Time!T8&lt;=Inputs!$F$20),Inputs!$F$161/Inputs!$F$162,0)</f>
        <v>0</v>
      </c>
      <c r="U31" s="19" t="n">
        <f aca="false">IF(AND(Time!U39=1,Time!U8&gt;=Inputs!$F$38,Time!U8&lt;=Inputs!$F$20),Inputs!$F$161/Inputs!$F$162,0)</f>
        <v>0</v>
      </c>
      <c r="V31" s="19" t="n">
        <f aca="false">IF(AND(Time!V39=1,Time!V8&gt;=Inputs!$F$38,Time!V8&lt;=Inputs!$F$20),Inputs!$F$161/Inputs!$F$162,0)</f>
        <v>0</v>
      </c>
      <c r="W31" s="19" t="n">
        <f aca="false">IF(AND(Time!W39=1,Time!W8&gt;=Inputs!$F$38,Time!W8&lt;=Inputs!$F$20),Inputs!$F$161/Inputs!$F$162,0)</f>
        <v>0</v>
      </c>
      <c r="X31" s="19" t="n">
        <f aca="false">IF(AND(Time!X39=1,Time!X8&gt;=Inputs!$F$38,Time!X8&lt;=Inputs!$F$20),Inputs!$F$161/Inputs!$F$162,0)</f>
        <v>0</v>
      </c>
      <c r="Y31" s="19" t="n">
        <f aca="false">IF(AND(Time!Y39=1,Time!Y8&gt;=Inputs!$F$38,Time!Y8&lt;=Inputs!$F$20),Inputs!$F$161/Inputs!$F$162,0)</f>
        <v>0</v>
      </c>
      <c r="Z31" s="19" t="n">
        <f aca="false">IF(AND(Time!Z39=1,Time!Z8&gt;=Inputs!$F$38,Time!Z8&lt;=Inputs!$F$20),Inputs!$F$161/Inputs!$F$162,0)</f>
        <v>0</v>
      </c>
      <c r="AA31" s="19" t="n">
        <f aca="false">IF(AND(Time!AA39=1,Time!AA8&gt;=Inputs!$F$38,Time!AA8&lt;=Inputs!$F$20),Inputs!$F$161/Inputs!$F$162,0)</f>
        <v>0</v>
      </c>
      <c r="AB31" s="19" t="n">
        <f aca="false">IF(AND(Time!AB39=1,Time!AB8&gt;=Inputs!$F$38,Time!AB8&lt;=Inputs!$F$20),Inputs!$F$161/Inputs!$F$162,0)</f>
        <v>0</v>
      </c>
      <c r="AC31" s="19" t="n">
        <f aca="false">IF(AND(Time!AC39=1,Time!AC8&gt;=Inputs!$F$38,Time!AC8&lt;=Inputs!$F$20),Inputs!$F$161/Inputs!$F$162,0)</f>
        <v>0</v>
      </c>
      <c r="AD31" s="19" t="n">
        <f aca="false">IF(AND(Time!AD39=1,Time!AD8&gt;=Inputs!$F$38,Time!AD8&lt;=Inputs!$F$20),Inputs!$F$161/Inputs!$F$162,0)</f>
        <v>0</v>
      </c>
      <c r="AE31" s="19" t="n">
        <f aca="false">IF(AND(Time!AE39=1,Time!AE8&gt;=Inputs!$F$38,Time!AE8&lt;=Inputs!$F$20),Inputs!$F$161/Inputs!$F$162,0)</f>
        <v>0</v>
      </c>
      <c r="AF31" s="19" t="n">
        <f aca="false">IF(AND(Time!AF39=1,Time!AF8&gt;=Inputs!$F$38,Time!AF8&lt;=Inputs!$F$20),Inputs!$F$161/Inputs!$F$162,0)</f>
        <v>0</v>
      </c>
      <c r="AG31" s="19" t="n">
        <f aca="false">IF(AND(Time!AG39=1,Time!AG8&gt;=Inputs!$F$38,Time!AG8&lt;=Inputs!$F$20),Inputs!$F$161/Inputs!$F$162,0)</f>
        <v>0</v>
      </c>
      <c r="AH31" s="19" t="n">
        <f aca="false">IF(AND(Time!AH39=1,Time!AH8&gt;=Inputs!$F$38,Time!AH8&lt;=Inputs!$F$20),Inputs!$F$161/Inputs!$F$162,0)</f>
        <v>0</v>
      </c>
      <c r="AI31" s="19" t="n">
        <f aca="false">IF(AND(Time!AI39=1,Time!AI8&gt;=Inputs!$F$38,Time!AI8&lt;=Inputs!$F$20),Inputs!$F$161/Inputs!$F$162,0)</f>
        <v>0</v>
      </c>
      <c r="AJ31" s="19" t="n">
        <f aca="false">IF(AND(Time!AJ39=1,Time!AJ8&gt;=Inputs!$F$38,Time!AJ8&lt;=Inputs!$F$20),Inputs!$F$161/Inputs!$F$162,0)</f>
        <v>0</v>
      </c>
      <c r="AK31" s="19" t="n">
        <f aca="false">IF(AND(Time!AK39=1,Time!AK8&gt;=Inputs!$F$38,Time!AK8&lt;=Inputs!$F$20),Inputs!$F$161/Inputs!$F$162,0)</f>
        <v>0</v>
      </c>
      <c r="AL31" s="19" t="n">
        <f aca="false">IF(AND(Time!AL39=1,Time!AL8&gt;=Inputs!$F$38,Time!AL8&lt;=Inputs!$F$20),Inputs!$F$161/Inputs!$F$162,0)</f>
        <v>0</v>
      </c>
      <c r="AM31" s="19" t="n">
        <f aca="false">IF(AND(Time!AM39=1,Time!AM8&gt;=Inputs!$F$38,Time!AM8&lt;=Inputs!$F$20),Inputs!$F$161/Inputs!$F$162,0)</f>
        <v>0</v>
      </c>
      <c r="AN31" s="19" t="n">
        <f aca="false">IF(AND(Time!AN39=1,Time!AN8&gt;=Inputs!$F$38,Time!AN8&lt;=Inputs!$F$20),Inputs!$F$161/Inputs!$F$162,0)</f>
        <v>0</v>
      </c>
      <c r="AO31" s="19" t="n">
        <f aca="false">IF(AND(Time!AO39=1,Time!AO8&gt;=Inputs!$F$38,Time!AO8&lt;=Inputs!$F$20),Inputs!$F$161/Inputs!$F$162,0)</f>
        <v>0</v>
      </c>
      <c r="AP31" s="19" t="n">
        <f aca="false">IF(AND(Time!AP39=1,Time!AP8&gt;=Inputs!$F$38,Time!AP8&lt;=Inputs!$F$20),Inputs!$F$161/Inputs!$F$162,0)</f>
        <v>0</v>
      </c>
      <c r="AQ31" s="19" t="n">
        <f aca="false">IF(AND(Time!AQ39=1,Time!AQ8&gt;=Inputs!$F$38,Time!AQ8&lt;=Inputs!$F$20),Inputs!$F$161/Inputs!$F$162,0)</f>
        <v>0</v>
      </c>
      <c r="AR31" s="19" t="n">
        <f aca="false">IF(AND(Time!AR39=1,Time!AR8&gt;=Inputs!$F$38,Time!AR8&lt;=Inputs!$F$20),Inputs!$F$161/Inputs!$F$162,0)</f>
        <v>0</v>
      </c>
      <c r="AS31" s="19" t="n">
        <f aca="false">IF(AND(Time!AS39=1,Time!AS8&gt;=Inputs!$F$38,Time!AS8&lt;=Inputs!$F$20),Inputs!$F$161/Inputs!$F$162,0)</f>
        <v>0</v>
      </c>
      <c r="AT31" s="19" t="n">
        <f aca="false">IF(AND(Time!AT39=1,Time!AT8&gt;=Inputs!$F$38,Time!AT8&lt;=Inputs!$F$20),Inputs!$F$161/Inputs!$F$162,0)</f>
        <v>0</v>
      </c>
      <c r="AU31" s="19" t="n">
        <f aca="false">IF(AND(Time!AU39=1,Time!AU8&gt;=Inputs!$F$38,Time!AU8&lt;=Inputs!$F$20),Inputs!$F$161/Inputs!$F$162,0)</f>
        <v>0</v>
      </c>
      <c r="AV31" s="19" t="n">
        <f aca="false">IF(AND(Time!AV39=1,Time!AV8&gt;=Inputs!$F$38,Time!AV8&lt;=Inputs!$F$20),Inputs!$F$161/Inputs!$F$162,0)</f>
        <v>0</v>
      </c>
      <c r="AW31" s="19" t="n">
        <f aca="false">IF(AND(Time!AW39=1,Time!AW8&gt;=Inputs!$F$38,Time!AW8&lt;=Inputs!$F$20),Inputs!$F$161/Inputs!$F$162,0)</f>
        <v>0</v>
      </c>
      <c r="AX31" s="19" t="n">
        <f aca="false">IF(AND(Time!AX39=1,Time!AX8&gt;=Inputs!$F$38,Time!AX8&lt;=Inputs!$F$20),Inputs!$F$161/Inputs!$F$162,0)</f>
        <v>0</v>
      </c>
      <c r="AY31" s="19" t="n">
        <f aca="false">IF(AND(Time!AY39=1,Time!AY8&gt;=Inputs!$F$38,Time!AY8&lt;=Inputs!$F$20),Inputs!$F$161/Inputs!$F$162,0)</f>
        <v>0</v>
      </c>
      <c r="AZ31" s="19" t="n">
        <f aca="false">IF(AND(Time!AZ39=1,Time!AZ8&gt;=Inputs!$F$38,Time!AZ8&lt;=Inputs!$F$20),Inputs!$F$161/Inputs!$F$162,0)</f>
        <v>0</v>
      </c>
      <c r="BA31" s="19" t="n">
        <f aca="false">IF(AND(Time!BA39=1,Time!BA8&gt;=Inputs!$F$38,Time!BA8&lt;=Inputs!$F$20),Inputs!$F$161/Inputs!$F$162,0)</f>
        <v>0</v>
      </c>
      <c r="BB31" s="19" t="n">
        <f aca="false">IF(AND(Time!BB39=1,Time!BB8&gt;=Inputs!$F$38,Time!BB8&lt;=Inputs!$F$20),Inputs!$F$161/Inputs!$F$162,0)</f>
        <v>0</v>
      </c>
      <c r="BC31" s="19" t="n">
        <f aca="false">IF(AND(Time!BC39=1,Time!BC8&gt;=Inputs!$F$38,Time!BC8&lt;=Inputs!$F$20),Inputs!$F$161/Inputs!$F$162,0)</f>
        <v>0</v>
      </c>
      <c r="BD31" s="19" t="n">
        <f aca="false">IF(AND(Time!BD39=1,Time!BD8&gt;=Inputs!$F$38,Time!BD8&lt;=Inputs!$F$20),Inputs!$F$161/Inputs!$F$162,0)</f>
        <v>0</v>
      </c>
      <c r="BE31" s="19" t="n">
        <f aca="false">IF(AND(Time!BE39=1,Time!BE8&gt;=Inputs!$F$38,Time!BE8&lt;=Inputs!$F$20),Inputs!$F$161/Inputs!$F$162,0)</f>
        <v>0</v>
      </c>
      <c r="BF31" s="19" t="n">
        <f aca="false">IF(AND(Time!BF39=1,Time!BF8&gt;=Inputs!$F$38,Time!BF8&lt;=Inputs!$F$20),Inputs!$F$161/Inputs!$F$162,0)</f>
        <v>0</v>
      </c>
      <c r="BG31" s="19" t="n">
        <f aca="false">IF(AND(Time!BG39=1,Time!BG8&gt;=Inputs!$F$38,Time!BG8&lt;=Inputs!$F$20),Inputs!$F$161/Inputs!$F$162,0)</f>
        <v>0</v>
      </c>
      <c r="BH31" s="19" t="n">
        <f aca="false">IF(AND(Time!BH39=1,Time!BH8&gt;=Inputs!$F$38,Time!BH8&lt;=Inputs!$F$20),Inputs!$F$161/Inputs!$F$162,0)</f>
        <v>0</v>
      </c>
      <c r="BI31" s="19" t="n">
        <f aca="false">IF(AND(Time!BI39=1,Time!BI8&gt;=Inputs!$F$38,Time!BI8&lt;=Inputs!$F$20),Inputs!$F$161/Inputs!$F$162,0)</f>
        <v>0</v>
      </c>
      <c r="BJ31" s="19" t="n">
        <f aca="false">IF(AND(Time!BJ39=1,Time!BJ8&gt;=Inputs!$F$38,Time!BJ8&lt;=Inputs!$F$20),Inputs!$F$161/Inputs!$F$162,0)</f>
        <v>0</v>
      </c>
      <c r="BK31" s="19" t="n">
        <f aca="false">IF(AND(Time!BK39=1,Time!BK8&gt;=Inputs!$F$38,Time!BK8&lt;=Inputs!$F$20),Inputs!$F$161/Inputs!$F$162,0)</f>
        <v>0</v>
      </c>
      <c r="BL31" s="19" t="n">
        <f aca="false">IF(AND(Time!BL39=1,Time!BL8&gt;=Inputs!$F$38,Time!BL8&lt;=Inputs!$F$20),Inputs!$F$161/Inputs!$F$162,0)</f>
        <v>0</v>
      </c>
      <c r="BM31" s="19" t="n">
        <f aca="false">IF(AND(Time!BM39=1,Time!BM8&gt;=Inputs!$F$38,Time!BM8&lt;=Inputs!$F$20),Inputs!$F$161/Inputs!$F$162,0)</f>
        <v>0</v>
      </c>
      <c r="BN31" s="19" t="n">
        <f aca="false">IF(AND(Time!BN39=1,Time!BN8&gt;=Inputs!$F$38,Time!BN8&lt;=Inputs!$F$20),Inputs!$F$161/Inputs!$F$162,0)</f>
        <v>0</v>
      </c>
      <c r="BO31" s="19" t="n">
        <f aca="false">IF(AND(Time!BO39=1,Time!BO8&gt;=Inputs!$F$38,Time!BO8&lt;=Inputs!$F$20),Inputs!$F$161/Inputs!$F$162,0)</f>
        <v>0</v>
      </c>
      <c r="BP31" s="19" t="n">
        <f aca="false">IF(AND(Time!BP39=1,Time!BP8&gt;=Inputs!$F$38,Time!BP8&lt;=Inputs!$F$20),Inputs!$F$161/Inputs!$F$162,0)</f>
        <v>0</v>
      </c>
      <c r="BQ31" s="19" t="n">
        <f aca="false">IF(AND(Time!BQ39=1,Time!BQ8&gt;=Inputs!$F$38,Time!BQ8&lt;=Inputs!$F$20),Inputs!$F$161/Inputs!$F$162,0)</f>
        <v>0</v>
      </c>
      <c r="BR31" s="19" t="n">
        <f aca="false">IF(AND(Time!BR39=1,Time!BR8&gt;=Inputs!$F$38,Time!BR8&lt;=Inputs!$F$20),Inputs!$F$161/Inputs!$F$162,0)</f>
        <v>0</v>
      </c>
      <c r="BS31" s="19" t="n">
        <f aca="false">IF(AND(Time!BS39=1,Time!BS8&gt;=Inputs!$F$38,Time!BS8&lt;=Inputs!$F$20),Inputs!$F$161/Inputs!$F$162,0)</f>
        <v>0</v>
      </c>
      <c r="BT31" s="19" t="n">
        <f aca="false">IF(AND(Time!BT39=1,Time!BT8&gt;=Inputs!$F$38,Time!BT8&lt;=Inputs!$F$20),Inputs!$F$161/Inputs!$F$162,0)</f>
        <v>0</v>
      </c>
      <c r="BU31" s="19" t="n">
        <f aca="false">IF(AND(Time!BU39=1,Time!BU8&gt;=Inputs!$F$38,Time!BU8&lt;=Inputs!$F$20),Inputs!$F$161/Inputs!$F$162,0)</f>
        <v>0</v>
      </c>
      <c r="BV31" s="19" t="n">
        <f aca="false">IF(AND(Time!BV39=1,Time!BV8&gt;=Inputs!$F$38,Time!BV8&lt;=Inputs!$F$20),Inputs!$F$161/Inputs!$F$162,0)</f>
        <v>0</v>
      </c>
      <c r="BW31" s="19" t="n">
        <f aca="false">IF(AND(Time!BW39=1,Time!BW8&gt;=Inputs!$F$38,Time!BW8&lt;=Inputs!$F$20),Inputs!$F$161/Inputs!$F$162,0)</f>
        <v>0</v>
      </c>
      <c r="BX31" s="19" t="n">
        <f aca="false">IF(AND(Time!BX39=1,Time!BX8&gt;=Inputs!$F$38,Time!BX8&lt;=Inputs!$F$20),Inputs!$F$161/Inputs!$F$162,0)</f>
        <v>0</v>
      </c>
      <c r="BY31" s="19" t="n">
        <f aca="false">IF(AND(Time!BY39=1,Time!BY8&gt;=Inputs!$F$38,Time!BY8&lt;=Inputs!$F$20),Inputs!$F$161/Inputs!$F$162,0)</f>
        <v>0</v>
      </c>
      <c r="BZ31" s="19" t="n">
        <f aca="false">IF(AND(Time!BZ39=1,Time!BZ8&gt;=Inputs!$F$38,Time!BZ8&lt;=Inputs!$F$20),Inputs!$F$161/Inputs!$F$162,0)</f>
        <v>0</v>
      </c>
      <c r="CA31" s="19" t="n">
        <f aca="false">IF(AND(Time!CA39=1,Time!CA8&gt;=Inputs!$F$38,Time!CA8&lt;=Inputs!$F$20),Inputs!$F$161/Inputs!$F$162,0)</f>
        <v>0</v>
      </c>
      <c r="CB31" s="19" t="n">
        <f aca="false">IF(AND(Time!CB39=1,Time!CB8&gt;=Inputs!$F$38,Time!CB8&lt;=Inputs!$F$20),Inputs!$F$161/Inputs!$F$162,0)</f>
        <v>0</v>
      </c>
      <c r="CC31" s="19" t="n">
        <f aca="false">IF(AND(Time!CC39=1,Time!CC8&gt;=Inputs!$F$38,Time!CC8&lt;=Inputs!$F$20),Inputs!$F$161/Inputs!$F$162,0)</f>
        <v>0</v>
      </c>
      <c r="CD31" s="19" t="n">
        <f aca="false">IF(AND(Time!CD39=1,Time!CD8&gt;=Inputs!$F$38,Time!CD8&lt;=Inputs!$F$20),Inputs!$F$161/Inputs!$F$162,0)</f>
        <v>0</v>
      </c>
      <c r="CE31" s="19" t="n">
        <f aca="false">IF(AND(Time!CE39=1,Time!CE8&gt;=Inputs!$F$38,Time!CE8&lt;=Inputs!$F$20),Inputs!$F$161/Inputs!$F$162,0)</f>
        <v>0</v>
      </c>
      <c r="CF31" s="19" t="n">
        <f aca="false">IF(AND(Time!CF39=1,Time!CF8&gt;=Inputs!$F$38,Time!CF8&lt;=Inputs!$F$20),Inputs!$F$161/Inputs!$F$162,0)</f>
        <v>0</v>
      </c>
      <c r="CG31" s="19" t="n">
        <f aca="false">IF(AND(Time!CG39=1,Time!CG8&gt;=Inputs!$F$38,Time!CG8&lt;=Inputs!$F$20),Inputs!$F$161/Inputs!$F$162,0)</f>
        <v>0</v>
      </c>
      <c r="CH31" s="19" t="n">
        <f aca="false">IF(AND(Time!CH39=1,Time!CH8&gt;=Inputs!$F$38,Time!CH8&lt;=Inputs!$F$20),Inputs!$F$161/Inputs!$F$162,0)</f>
        <v>0</v>
      </c>
      <c r="CI31" s="19" t="n">
        <f aca="false">IF(AND(Time!CI39=1,Time!CI8&gt;=Inputs!$F$38,Time!CI8&lt;=Inputs!$F$20),Inputs!$F$161/Inputs!$F$162,0)</f>
        <v>0</v>
      </c>
      <c r="CJ31" s="19" t="n">
        <f aca="false">IF(AND(Time!CJ39=1,Time!CJ8&gt;=Inputs!$F$38,Time!CJ8&lt;=Inputs!$F$20),Inputs!$F$161/Inputs!$F$162,0)</f>
        <v>0</v>
      </c>
      <c r="CK31" s="19" t="n">
        <f aca="false">IF(AND(Time!CK39=1,Time!CK8&gt;=Inputs!$F$38,Time!CK8&lt;=Inputs!$F$20),Inputs!$F$161/Inputs!$F$162,0)</f>
        <v>0</v>
      </c>
      <c r="CL31" s="19" t="n">
        <f aca="false">IF(AND(Time!CL39=1,Time!CL8&gt;=Inputs!$F$38,Time!CL8&lt;=Inputs!$F$20),Inputs!$F$161/Inputs!$F$162,0)</f>
        <v>0</v>
      </c>
      <c r="CM31" s="19" t="n">
        <f aca="false">IF(AND(Time!CM39=1,Time!CM8&gt;=Inputs!$F$38,Time!CM8&lt;=Inputs!$F$20),Inputs!$F$161/Inputs!$F$162,0)</f>
        <v>0</v>
      </c>
      <c r="CN31" s="19" t="n">
        <f aca="false">IF(AND(Time!CN39=1,Time!CN8&gt;=Inputs!$F$38,Time!CN8&lt;=Inputs!$F$20),Inputs!$F$161/Inputs!$F$162,0)</f>
        <v>0</v>
      </c>
      <c r="CO31" s="19" t="n">
        <f aca="false">IF(AND(Time!CO39=1,Time!CO8&gt;=Inputs!$F$38,Time!CO8&lt;=Inputs!$F$20),Inputs!$F$161/Inputs!$F$162,0)</f>
        <v>0</v>
      </c>
      <c r="CP31" s="19" t="n">
        <f aca="false">IF(AND(Time!CP39=1,Time!CP8&gt;=Inputs!$F$38,Time!CP8&lt;=Inputs!$F$20),Inputs!$F$161/Inputs!$F$162,0)</f>
        <v>0</v>
      </c>
      <c r="CQ31" s="19" t="n">
        <f aca="false">IF(AND(Time!CQ39=1,Time!CQ8&gt;=Inputs!$F$38,Time!CQ8&lt;=Inputs!$F$20),Inputs!$F$161/Inputs!$F$162,0)</f>
        <v>0</v>
      </c>
      <c r="CR31" s="19" t="n">
        <f aca="false">IF(AND(Time!CR39=1,Time!CR8&gt;=Inputs!$F$38,Time!CR8&lt;=Inputs!$F$20),Inputs!$F$161/Inputs!$F$162,0)</f>
        <v>0</v>
      </c>
      <c r="CS31" s="19" t="n">
        <f aca="false">IF(AND(Time!CS39=1,Time!CS8&gt;=Inputs!$F$38,Time!CS8&lt;=Inputs!$F$20),Inputs!$F$161/Inputs!$F$162,0)</f>
        <v>0</v>
      </c>
      <c r="CT31" s="19" t="n">
        <f aca="false">IF(AND(Time!CT39=1,Time!CT8&gt;=Inputs!$F$38,Time!CT8&lt;=Inputs!$F$20),Inputs!$F$161/Inputs!$F$162,0)</f>
        <v>0</v>
      </c>
      <c r="CU31" s="19" t="n">
        <f aca="false">IF(AND(Time!CU39=1,Time!CU8&gt;=Inputs!$F$38,Time!CU8&lt;=Inputs!$F$20),Inputs!$F$161/Inputs!$F$162,0)</f>
        <v>0</v>
      </c>
      <c r="CV31" s="19" t="n">
        <f aca="false">IF(AND(Time!CV39=1,Time!CV8&gt;=Inputs!$F$38,Time!CV8&lt;=Inputs!$F$20),Inputs!$F$161/Inputs!$F$162,0)</f>
        <v>0</v>
      </c>
      <c r="CW31" s="19" t="n">
        <f aca="false">IF(AND(Time!CW39=1,Time!CW8&gt;=Inputs!$F$38,Time!CW8&lt;=Inputs!$F$20),Inputs!$F$161/Inputs!$F$162,0)</f>
        <v>0</v>
      </c>
      <c r="CX31" s="19" t="n">
        <f aca="false">IF(AND(Time!CX39=1,Time!CX8&gt;=Inputs!$F$38,Time!CX8&lt;=Inputs!$F$20),Inputs!$F$161/Inputs!$F$162,0)</f>
        <v>0</v>
      </c>
      <c r="CY31" s="19" t="n">
        <f aca="false">IF(AND(Time!CY39=1,Time!CY8&gt;=Inputs!$F$38,Time!CY8&lt;=Inputs!$F$20),Inputs!$F$161/Inputs!$F$162,0)</f>
        <v>0</v>
      </c>
      <c r="CZ31" s="19" t="n">
        <f aca="false">IF(AND(Time!CZ39=1,Time!CZ8&gt;=Inputs!$F$38,Time!CZ8&lt;=Inputs!$F$20),Inputs!$F$161/Inputs!$F$162,0)</f>
        <v>0</v>
      </c>
      <c r="DA31" s="19" t="n">
        <f aca="false">IF(AND(Time!DA39=1,Time!DA8&gt;=Inputs!$F$38,Time!DA8&lt;=Inputs!$F$20),Inputs!$F$161/Inputs!$F$162,0)</f>
        <v>0</v>
      </c>
      <c r="DB31" s="19" t="n">
        <f aca="false">IF(AND(Time!DB39=1,Time!DB8&gt;=Inputs!$F$38,Time!DB8&lt;=Inputs!$F$20),Inputs!$F$161/Inputs!$F$162,0)</f>
        <v>0</v>
      </c>
    </row>
    <row r="32" customFormat="false" ht="15" hidden="false" customHeight="false" outlineLevel="0" collapsed="false">
      <c r="D32" s="0" t="s">
        <v>399</v>
      </c>
      <c r="E32" s="0" t="s">
        <v>44</v>
      </c>
      <c r="G32" s="19" t="n">
        <f aca="false">SUM(J32:DB32)</f>
        <v>7897.26086655884</v>
      </c>
      <c r="J32" s="19" t="n">
        <f aca="false">J20+J21-J29-J30-J31</f>
        <v>0</v>
      </c>
      <c r="K32" s="19" t="n">
        <f aca="false">K20+K21-K29-K30-K31</f>
        <v>0</v>
      </c>
      <c r="L32" s="19" t="n">
        <f aca="false">L20+L21-L29-L30-L31</f>
        <v>0</v>
      </c>
      <c r="M32" s="19" t="n">
        <f aca="false">M20+M21-M29-M30-M31</f>
        <v>0</v>
      </c>
      <c r="N32" s="19" t="n">
        <f aca="false">N20+N21-N29-N30-N31</f>
        <v>0</v>
      </c>
      <c r="O32" s="19" t="n">
        <f aca="false">O20+O21-O29-O30-O31</f>
        <v>0</v>
      </c>
      <c r="P32" s="19" t="n">
        <f aca="false">P20+P21-P29-P30-P31</f>
        <v>0</v>
      </c>
      <c r="Q32" s="19" t="n">
        <f aca="false">Q20+Q21-Q29-Q30-Q31</f>
        <v>0</v>
      </c>
      <c r="R32" s="19" t="n">
        <f aca="false">R20+R21-R29-R30-R31</f>
        <v>0</v>
      </c>
      <c r="S32" s="19" t="n">
        <f aca="false">S20+S21-S29-S30-S31</f>
        <v>0</v>
      </c>
      <c r="T32" s="19" t="n">
        <f aca="false">T20+T21-T29-T30-T31</f>
        <v>0</v>
      </c>
      <c r="U32" s="19" t="n">
        <f aca="false">U20+U21-U29-U30-U31</f>
        <v>0</v>
      </c>
      <c r="V32" s="19" t="n">
        <f aca="false">V20+V21-V29-V30-V31</f>
        <v>0</v>
      </c>
      <c r="W32" s="19" t="n">
        <f aca="false">W20+W21-W29-W30-W31</f>
        <v>0</v>
      </c>
      <c r="X32" s="19" t="n">
        <f aca="false">X20+X21-X29-X30-X31</f>
        <v>0</v>
      </c>
      <c r="Y32" s="19" t="n">
        <f aca="false">Y20+Y21-Y29-Y30-Y31</f>
        <v>0</v>
      </c>
      <c r="Z32" s="19" t="n">
        <f aca="false">Z20+Z21-Z29-Z30-Z31</f>
        <v>14.3791437941758</v>
      </c>
      <c r="AA32" s="19" t="n">
        <f aca="false">AA20+AA21-AA29-AA30-AA31</f>
        <v>30.0784334674305</v>
      </c>
      <c r="AB32" s="19" t="n">
        <f aca="false">AB20+AB21-AB29-AB30-AB31</f>
        <v>36.134831326627</v>
      </c>
      <c r="AC32" s="19" t="n">
        <f aca="false">AC20+AC21-AC29-AC30-AC31</f>
        <v>37.7277713952066</v>
      </c>
      <c r="AD32" s="19" t="n">
        <f aca="false">AD20+AD21-AD29-AD30-AD31</f>
        <v>41.8098933268129</v>
      </c>
      <c r="AE32" s="19" t="n">
        <f aca="false">AE20+AE21-AE29-AE30-AE31</f>
        <v>43.852495425491</v>
      </c>
      <c r="AF32" s="19" t="n">
        <f aca="false">AF20+AF21-AF29-AF30-AF31</f>
        <v>47.0635317544502</v>
      </c>
      <c r="AG32" s="19" t="n">
        <f aca="false">AG20+AG21-AG29-AG30-AG31</f>
        <v>49.3302815592167</v>
      </c>
      <c r="AH32" s="19" t="n">
        <f aca="false">AH20+AH21-AH29-AH30-AH31</f>
        <v>50.2822876522751</v>
      </c>
      <c r="AI32" s="19" t="n">
        <f aca="false">AI20+AI21-AI29-AI30-AI31</f>
        <v>52.6870953669675</v>
      </c>
      <c r="AJ32" s="19" t="n">
        <f aca="false">AJ20+AJ21-AJ29-AJ30-AJ31</f>
        <v>53.9959833725474</v>
      </c>
      <c r="AK32" s="19" t="n">
        <f aca="false">AK20+AK21-AK29-AK30-AK31</f>
        <v>56.2848177084582</v>
      </c>
      <c r="AL32" s="19" t="n">
        <f aca="false">AL20+AL21-AL29-AL30-AL31</f>
        <v>57.3614211713651</v>
      </c>
      <c r="AM32" s="19" t="n">
        <f aca="false">AM20+AM21-AM29-AM30-AM31</f>
        <v>60.1018041740753</v>
      </c>
      <c r="AN32" s="19" t="n">
        <f aca="false">AN20+AN21-AN29-AN30-AN31</f>
        <v>61.246630970491</v>
      </c>
      <c r="AO32" s="19" t="n">
        <f aca="false">AO20+AO21-AO29-AO30-AO31</f>
        <v>64.1500225990224</v>
      </c>
      <c r="AP32" s="19" t="n">
        <f aca="false">AP20+AP21-AP29-AP30-AP31</f>
        <v>65.367106226507</v>
      </c>
      <c r="AQ32" s="19" t="n">
        <f aca="false">AQ20+AQ21-AQ29-AQ30-AQ31</f>
        <v>68.4420427591409</v>
      </c>
      <c r="AR32" s="19" t="n">
        <f aca="false">AR20+AR21-AR29-AR30-AR31</f>
        <v>70.1209136700518</v>
      </c>
      <c r="AS32" s="19" t="n">
        <f aca="false">AS20+AS21-AS29-AS30-AS31</f>
        <v>73.031441651955</v>
      </c>
      <c r="AT32" s="19" t="n">
        <f aca="false">AT20+AT21-AT29-AT30-AT31</f>
        <v>74.4067112326301</v>
      </c>
      <c r="AU32" s="19" t="n">
        <f aca="false">AU20+AU21-AU29-AU30-AU31</f>
        <v>77.8944486334761</v>
      </c>
      <c r="AV32" s="19" t="n">
        <f aca="false">AV20+AV21-AV29-AV30-AV31</f>
        <v>79.356161882176</v>
      </c>
      <c r="AW32" s="19" t="n">
        <f aca="false">AW20+AW21-AW29-AW30-AW31</f>
        <v>83.0457556539173</v>
      </c>
      <c r="AX32" s="19" t="n">
        <f aca="false">AX20+AX21-AX29-AX30-AX31</f>
        <v>83.5418449193457</v>
      </c>
      <c r="AY32" s="19" t="n">
        <f aca="false">AY20+AY21-AY29-AY30-AY31</f>
        <v>87.4437474089392</v>
      </c>
      <c r="AZ32" s="19" t="n">
        <f aca="false">AZ20+AZ21-AZ29-AZ30-AZ31</f>
        <v>88.4529195512296</v>
      </c>
      <c r="BA32" s="19" t="n">
        <f aca="false">BA20+BA21-BA29-BA30-BA31</f>
        <v>92.045234669287</v>
      </c>
      <c r="BB32" s="19" t="n">
        <f aca="false">BB20+BB21-BB29-BB30-BB31</f>
        <v>92.5967477989949</v>
      </c>
      <c r="BC32" s="19" t="n">
        <f aca="false">BC20+BC21-BC29-BC30-BC31</f>
        <v>96.8582893124556</v>
      </c>
      <c r="BD32" s="19" t="n">
        <f aca="false">BD20+BD21-BD29-BD30-BD31</f>
        <v>97.4394672668844</v>
      </c>
      <c r="BE32" s="19" t="n">
        <f aca="false">BE20+BE21-BE29-BE30-BE31</f>
        <v>101.938550480126</v>
      </c>
      <c r="BF32" s="19" t="n">
        <f aca="false">BF20+BF21-BF29-BF30-BF31</f>
        <v>102.551063258287</v>
      </c>
      <c r="BG32" s="19" t="n">
        <f aca="false">BG20+BG21-BG29-BG30-BG31</f>
        <v>107.249569717348</v>
      </c>
      <c r="BH32" s="19" t="n">
        <f aca="false">BH20+BH21-BH29-BH30-BH31</f>
        <v>108.490960646609</v>
      </c>
      <c r="BI32" s="19" t="n">
        <f aca="false">BI20+BI21-BI29-BI30-BI31</f>
        <v>112.849864928882</v>
      </c>
      <c r="BJ32" s="19" t="n">
        <f aca="false">BJ20+BJ21-BJ29-BJ30-BJ31</f>
        <v>113.529734184967</v>
      </c>
      <c r="BK32" s="19" t="n">
        <f aca="false">BK20+BK21-BK29-BK30-BK31</f>
        <v>118.75220772644</v>
      </c>
      <c r="BL32" s="19" t="n">
        <f aca="false">BL20+BL21-BL29-BL30-BL31</f>
        <v>119.468548251159</v>
      </c>
      <c r="BM32" s="19" t="n">
        <f aca="false">BM20+BM21-BM29-BM30-BM31</f>
        <v>124.918074636687</v>
      </c>
      <c r="BN32" s="19" t="n">
        <f aca="false">BN20+BN21-BN29-BN30-BN31</f>
        <v>125.672531189617</v>
      </c>
      <c r="BO32" s="19" t="n">
        <f aca="false">BO20+BO21-BO29-BO30-BO31</f>
        <v>131.410627557838</v>
      </c>
      <c r="BP32" s="19" t="n">
        <f aca="false">BP20+BP21-BP29-BP30-BP31</f>
        <v>132.935659311328</v>
      </c>
      <c r="BQ32" s="19" t="n">
        <f aca="false">BQ20+BQ21-BQ29-BQ30-BQ31</f>
        <v>138.244067312696</v>
      </c>
      <c r="BR32" s="19" t="n">
        <f aca="false">BR20+BR21-BR29-BR30-BR31</f>
        <v>137.38222010816</v>
      </c>
      <c r="BS32" s="19" t="n">
        <f aca="false">BS20+BS21-BS29-BS30-BS31</f>
        <v>143.607862493522</v>
      </c>
      <c r="BT32" s="19" t="n">
        <f aca="false">BT20+BT21-BT29-BT30-BT31</f>
        <v>142.71588448813</v>
      </c>
      <c r="BU32" s="19" t="n">
        <f aca="false">BU20+BU21-BU29-BU30-BU31</f>
        <v>149.188312443158</v>
      </c>
      <c r="BV32" s="19" t="n">
        <f aca="false">BV20+BV21-BV29-BV30-BV31</f>
        <v>148.265078847389</v>
      </c>
      <c r="BW32" s="19" t="n">
        <f aca="false">BW20+BW21-BW29-BW30-BW31</f>
        <v>154.991097270385</v>
      </c>
      <c r="BX32" s="19" t="n">
        <f aca="false">BX20+BX21-BX29-BX30-BX31</f>
        <v>154.886478595818</v>
      </c>
      <c r="BY32" s="19" t="n">
        <f aca="false">BY20+BY21-BY29-BY30-BY31</f>
        <v>161.022016211951</v>
      </c>
      <c r="BZ32" s="19" t="n">
        <f aca="false">BZ20+BZ21-BZ29-BZ30-BZ31</f>
        <v>160.032779210865</v>
      </c>
      <c r="CA32" s="19" t="n">
        <f aca="false">CA20+CA21-CA29-CA30-CA31</f>
        <v>167.286989816004</v>
      </c>
      <c r="CB32" s="19" t="n">
        <f aca="false">CB20+CB21-CB29-CB30-CB31</f>
        <v>166.262944485497</v>
      </c>
      <c r="CC32" s="19" t="n">
        <f aca="false">CC20+CC21-CC29-CC30-CC31</f>
        <v>173.792062161844</v>
      </c>
      <c r="CD32" s="19" t="n">
        <f aca="false">CD20+CD21-CD29-CD30-CD31</f>
        <v>172.731962658872</v>
      </c>
      <c r="CE32" s="19" t="n">
        <f aca="false">CE20+CE21-CE29-CE30-CE31</f>
        <v>180.543403116534</v>
      </c>
      <c r="CF32" s="19" t="n">
        <f aca="false">CF20+CF21-CF29-CF30-CF31</f>
        <v>180.437385906965</v>
      </c>
      <c r="CG32" s="19" t="n">
        <f aca="false">CG20+CG21-CG29-CG30-CG31</f>
        <v>187.547310628941</v>
      </c>
      <c r="CH32" s="19" t="n">
        <f aca="false">CH20+CH21-CH29-CH30-CH31</f>
        <v>186.411236974691</v>
      </c>
      <c r="CI32" s="19" t="n">
        <f aca="false">CI20+CI21-CI29-CI30-CI31</f>
        <v>194.810213061776</v>
      </c>
      <c r="CJ32" s="19" t="n">
        <f aca="false">CJ20+CJ21-CJ29-CJ30-CJ31</f>
        <v>193.634153577667</v>
      </c>
      <c r="CK32" s="19" t="n">
        <f aca="false">CK20+CK21-CK29-CK30-CK31</f>
        <v>202.338671562202</v>
      </c>
      <c r="CL32" s="19" t="n">
        <f aca="false">CL20+CL21-CL29-CL30-CL31</f>
        <v>201.121248676708</v>
      </c>
      <c r="CM32" s="19" t="n">
        <f aca="false">CM20+CM21-CM29-CM30-CM31</f>
        <v>210.201171954598</v>
      </c>
      <c r="CN32" s="19" t="n">
        <f aca="false">CN20+CN21-CN29-CN30-CN31</f>
        <v>210.095063828325</v>
      </c>
      <c r="CO32" s="19" t="n">
        <f aca="false">CO20+CO21-CO29-CO30-CO31</f>
        <v>218.344241688686</v>
      </c>
      <c r="CP32" s="19" t="n">
        <f aca="false">CP20+CP21-CP29-CP30-CP31</f>
        <v>175.070339886565</v>
      </c>
      <c r="CQ32" s="19" t="n">
        <f aca="false">CQ20+CQ21-CQ29-CQ30-CQ31</f>
        <v>0</v>
      </c>
      <c r="CR32" s="19" t="n">
        <f aca="false">CR20+CR21-CR29-CR30-CR31</f>
        <v>0</v>
      </c>
      <c r="CS32" s="19" t="n">
        <f aca="false">CS20+CS21-CS29-CS30-CS31</f>
        <v>0</v>
      </c>
      <c r="CT32" s="19" t="n">
        <f aca="false">CT20+CT21-CT29-CT30-CT31</f>
        <v>0</v>
      </c>
      <c r="CU32" s="19" t="n">
        <f aca="false">CU20+CU21-CU29-CU30-CU31</f>
        <v>0</v>
      </c>
      <c r="CV32" s="19" t="n">
        <f aca="false">CV20+CV21-CV29-CV30-CV31</f>
        <v>0</v>
      </c>
      <c r="CW32" s="19" t="n">
        <f aca="false">CW20+CW21-CW29-CW30-CW31</f>
        <v>0</v>
      </c>
      <c r="CX32" s="19" t="n">
        <f aca="false">CX20+CX21-CX29-CX30-CX31</f>
        <v>0</v>
      </c>
      <c r="CY32" s="19" t="n">
        <f aca="false">CY20+CY21-CY29-CY30-CY31</f>
        <v>0</v>
      </c>
      <c r="CZ32" s="19" t="n">
        <f aca="false">CZ20+CZ21-CZ29-CZ30-CZ31</f>
        <v>0</v>
      </c>
      <c r="DA32" s="19" t="n">
        <f aca="false">DA20+DA21-DA29-DA30-DA31</f>
        <v>0</v>
      </c>
      <c r="DB32" s="19" t="n">
        <f aca="false">DB20+DB21-DB29-DB30-DB31</f>
        <v>0</v>
      </c>
    </row>
    <row r="33" customFormat="false" ht="15" hidden="false" customHeight="false" outlineLevel="0" collapsed="false">
      <c r="D33" s="3" t="s">
        <v>400</v>
      </c>
    </row>
    <row r="34" customFormat="false" ht="15" hidden="false" customHeight="false" outlineLevel="0" collapsed="false">
      <c r="D34" s="0" t="s">
        <v>401</v>
      </c>
      <c r="E34" s="0" t="s">
        <v>39</v>
      </c>
      <c r="J34" s="14" t="n">
        <f aca="false">IF(AND(Time!J12=2,Time!J26=1,Time!J8&lt;=Time!$F$17),Time!J11-Inputs!$F$60,0)</f>
        <v>0</v>
      </c>
      <c r="K34" s="14" t="n">
        <f aca="false">IF(AND(Time!K12=2,Time!K26=1,Time!K8&lt;=Time!$F$17),Time!K11-Inputs!$F$60,0)</f>
        <v>0</v>
      </c>
      <c r="L34" s="14" t="n">
        <f aca="false">IF(AND(Time!L12=2,Time!L26=1,Time!L8&lt;=Time!$F$17),Time!L11-Inputs!$F$60,0)</f>
        <v>0</v>
      </c>
      <c r="M34" s="14" t="n">
        <f aca="false">IF(AND(Time!M12=2,Time!M26=1,Time!M8&lt;=Time!$F$17),Time!M11-Inputs!$F$60,0)</f>
        <v>0</v>
      </c>
      <c r="N34" s="14" t="n">
        <f aca="false">IF(AND(Time!N12=2,Time!N26=1,Time!N8&lt;=Time!$F$17),Time!N11-Inputs!$F$60,0)</f>
        <v>0</v>
      </c>
      <c r="O34" s="14" t="n">
        <f aca="false">IF(AND(Time!O12=2,Time!O26=1,Time!O8&lt;=Time!$F$17),Time!O11-Inputs!$F$60,0)</f>
        <v>0</v>
      </c>
      <c r="P34" s="14" t="n">
        <f aca="false">IF(AND(Time!P12=2,Time!P26=1,Time!P8&lt;=Time!$F$17),Time!P11-Inputs!$F$60,0)</f>
        <v>0</v>
      </c>
      <c r="Q34" s="14" t="n">
        <f aca="false">IF(AND(Time!Q12=2,Time!Q26=1,Time!Q8&lt;=Time!$F$17),Time!Q11-Inputs!$F$60,0)</f>
        <v>0</v>
      </c>
      <c r="R34" s="14" t="n">
        <f aca="false">IF(AND(Time!R12=2,Time!R26=1,Time!R8&lt;=Time!$F$17),Time!R11-Inputs!$F$60,0)</f>
        <v>0</v>
      </c>
      <c r="S34" s="14" t="n">
        <f aca="false">IF(AND(Time!S12=2,Time!S26=1,Time!S8&lt;=Time!$F$17),Time!S11-Inputs!$F$60,0)</f>
        <v>0</v>
      </c>
      <c r="T34" s="14" t="n">
        <f aca="false">IF(AND(Time!T12=2,Time!T26=1,Time!T8&lt;=Time!$F$17),Time!T11-Inputs!$F$60,0)</f>
        <v>0</v>
      </c>
      <c r="U34" s="14" t="n">
        <f aca="false">IF(AND(Time!U12=2,Time!U26=1,Time!U8&lt;=Time!$F$17),Time!U11-Inputs!$F$60,0)</f>
        <v>0</v>
      </c>
      <c r="V34" s="14" t="n">
        <f aca="false">IF(AND(Time!V12=2,Time!V26=1,Time!V8&lt;=Time!$F$17),Time!V11-Inputs!$F$60,0)</f>
        <v>0</v>
      </c>
      <c r="W34" s="14" t="n">
        <f aca="false">IF(AND(Time!W12=2,Time!W26=1,Time!W8&lt;=Time!$F$17),Time!W11-Inputs!$F$60,0)</f>
        <v>0</v>
      </c>
      <c r="X34" s="14" t="n">
        <f aca="false">IF(AND(Time!X12=2,Time!X26=1,Time!X8&lt;=Time!$F$17),Time!X11-Inputs!$F$60,0)</f>
        <v>0</v>
      </c>
      <c r="Y34" s="14" t="n">
        <f aca="false">IF(AND(Time!Y12=2,Time!Y26=1,Time!Y8&lt;=Time!$F$17),Time!Y11-Inputs!$F$60,0)</f>
        <v>0</v>
      </c>
      <c r="Z34" s="14" t="n">
        <f aca="false">IF(AND(Time!Z12=2,Time!Z26=1,Time!Z8&lt;=Time!$F$17),Time!Z11-Inputs!$F$60,0)</f>
        <v>0</v>
      </c>
      <c r="AA34" s="14" t="n">
        <f aca="false">IF(AND(Time!AA12=2,Time!AA26=1,Time!AA8&lt;=Time!$F$17),Time!AA11-Inputs!$F$60,0)</f>
        <v>1</v>
      </c>
      <c r="AB34" s="14" t="n">
        <f aca="false">IF(AND(Time!AB12=2,Time!AB26=1,Time!AB8&lt;=Time!$F$17),Time!AB11-Inputs!$F$60,0)</f>
        <v>0</v>
      </c>
      <c r="AC34" s="14" t="n">
        <f aca="false">IF(AND(Time!AC12=2,Time!AC26=1,Time!AC8&lt;=Time!$F$17),Time!AC11-Inputs!$F$60,0)</f>
        <v>2</v>
      </c>
      <c r="AD34" s="14" t="n">
        <f aca="false">IF(AND(Time!AD12=2,Time!AD26=1,Time!AD8&lt;=Time!$F$17),Time!AD11-Inputs!$F$60,0)</f>
        <v>0</v>
      </c>
      <c r="AE34" s="14" t="n">
        <f aca="false">IF(AND(Time!AE12=2,Time!AE26=1,Time!AE8&lt;=Time!$F$17),Time!AE11-Inputs!$F$60,0)</f>
        <v>3</v>
      </c>
      <c r="AF34" s="14" t="n">
        <f aca="false">IF(AND(Time!AF12=2,Time!AF26=1,Time!AF8&lt;=Time!$F$17),Time!AF11-Inputs!$F$60,0)</f>
        <v>0</v>
      </c>
      <c r="AG34" s="14" t="n">
        <f aca="false">IF(AND(Time!AG12=2,Time!AG26=1,Time!AG8&lt;=Time!$F$17),Time!AG11-Inputs!$F$60,0)</f>
        <v>4</v>
      </c>
      <c r="AH34" s="14" t="n">
        <f aca="false">IF(AND(Time!AH12=2,Time!AH26=1,Time!AH8&lt;=Time!$F$17),Time!AH11-Inputs!$F$60,0)</f>
        <v>0</v>
      </c>
      <c r="AI34" s="14" t="n">
        <f aca="false">IF(AND(Time!AI12=2,Time!AI26=1,Time!AI8&lt;=Time!$F$17),Time!AI11-Inputs!$F$60,0)</f>
        <v>5</v>
      </c>
      <c r="AJ34" s="14" t="n">
        <f aca="false">IF(AND(Time!AJ12=2,Time!AJ26=1,Time!AJ8&lt;=Time!$F$17),Time!AJ11-Inputs!$F$60,0)</f>
        <v>0</v>
      </c>
      <c r="AK34" s="14" t="n">
        <f aca="false">IF(AND(Time!AK12=2,Time!AK26=1,Time!AK8&lt;=Time!$F$17),Time!AK11-Inputs!$F$60,0)</f>
        <v>6</v>
      </c>
      <c r="AL34" s="14" t="n">
        <f aca="false">IF(AND(Time!AL12=2,Time!AL26=1,Time!AL8&lt;=Time!$F$17),Time!AL11-Inputs!$F$60,0)</f>
        <v>0</v>
      </c>
      <c r="AM34" s="14" t="n">
        <f aca="false">IF(AND(Time!AM12=2,Time!AM26=1,Time!AM8&lt;=Time!$F$17),Time!AM11-Inputs!$F$60,0)</f>
        <v>7</v>
      </c>
      <c r="AN34" s="14" t="n">
        <f aca="false">IF(AND(Time!AN12=2,Time!AN26=1,Time!AN8&lt;=Time!$F$17),Time!AN11-Inputs!$F$60,0)</f>
        <v>0</v>
      </c>
      <c r="AO34" s="14" t="n">
        <f aca="false">IF(AND(Time!AO12=2,Time!AO26=1,Time!AO8&lt;=Time!$F$17),Time!AO11-Inputs!$F$60,0)</f>
        <v>8</v>
      </c>
      <c r="AP34" s="14" t="n">
        <f aca="false">IF(AND(Time!AP12=2,Time!AP26=1,Time!AP8&lt;=Time!$F$17),Time!AP11-Inputs!$F$60,0)</f>
        <v>0</v>
      </c>
      <c r="AQ34" s="14" t="n">
        <f aca="false">IF(AND(Time!AQ12=2,Time!AQ26=1,Time!AQ8&lt;=Time!$F$17),Time!AQ11-Inputs!$F$60,0)</f>
        <v>9</v>
      </c>
      <c r="AR34" s="14" t="n">
        <f aca="false">IF(AND(Time!AR12=2,Time!AR26=1,Time!AR8&lt;=Time!$F$17),Time!AR11-Inputs!$F$60,0)</f>
        <v>0</v>
      </c>
      <c r="AS34" s="14" t="n">
        <f aca="false">IF(AND(Time!AS12=2,Time!AS26=1,Time!AS8&lt;=Time!$F$17),Time!AS11-Inputs!$F$60,0)</f>
        <v>10</v>
      </c>
      <c r="AT34" s="14" t="n">
        <f aca="false">IF(AND(Time!AT12=2,Time!AT26=1,Time!AT8&lt;=Time!$F$17),Time!AT11-Inputs!$F$60,0)</f>
        <v>0</v>
      </c>
      <c r="AU34" s="14" t="n">
        <f aca="false">IF(AND(Time!AU12=2,Time!AU26=1,Time!AU8&lt;=Time!$F$17),Time!AU11-Inputs!$F$60,0)</f>
        <v>11</v>
      </c>
      <c r="AV34" s="14" t="n">
        <f aca="false">IF(AND(Time!AV12=2,Time!AV26=1,Time!AV8&lt;=Time!$F$17),Time!AV11-Inputs!$F$60,0)</f>
        <v>0</v>
      </c>
      <c r="AW34" s="14" t="n">
        <f aca="false">IF(AND(Time!AW12=2,Time!AW26=1,Time!AW8&lt;=Time!$F$17),Time!AW11-Inputs!$F$60,0)</f>
        <v>12</v>
      </c>
      <c r="AX34" s="14" t="n">
        <f aca="false">IF(AND(Time!AX12=2,Time!AX26=1,Time!AX8&lt;=Time!$F$17),Time!AX11-Inputs!$F$60,0)</f>
        <v>0</v>
      </c>
      <c r="AY34" s="14" t="n">
        <f aca="false">IF(AND(Time!AY12=2,Time!AY26=1,Time!AY8&lt;=Time!$F$17),Time!AY11-Inputs!$F$60,0)</f>
        <v>13</v>
      </c>
      <c r="AZ34" s="14" t="n">
        <f aca="false">IF(AND(Time!AZ12=2,Time!AZ26=1,Time!AZ8&lt;=Time!$F$17),Time!AZ11-Inputs!$F$60,0)</f>
        <v>0</v>
      </c>
      <c r="BA34" s="14" t="n">
        <f aca="false">IF(AND(Time!BA12=2,Time!BA26=1,Time!BA8&lt;=Time!$F$17),Time!BA11-Inputs!$F$60,0)</f>
        <v>14</v>
      </c>
      <c r="BB34" s="14" t="n">
        <f aca="false">IF(AND(Time!BB12=2,Time!BB26=1,Time!BB8&lt;=Time!$F$17),Time!BB11-Inputs!$F$60,0)</f>
        <v>0</v>
      </c>
      <c r="BC34" s="14" t="n">
        <f aca="false">IF(AND(Time!BC12=2,Time!BC26=1,Time!BC8&lt;=Time!$F$17),Time!BC11-Inputs!$F$60,0)</f>
        <v>15</v>
      </c>
      <c r="BD34" s="14" t="n">
        <f aca="false">IF(AND(Time!BD12=2,Time!BD26=1,Time!BD8&lt;=Time!$F$17),Time!BD11-Inputs!$F$60,0)</f>
        <v>0</v>
      </c>
      <c r="BE34" s="14" t="n">
        <f aca="false">IF(AND(Time!BE12=2,Time!BE26=1,Time!BE8&lt;=Time!$F$17),Time!BE11-Inputs!$F$60,0)</f>
        <v>16</v>
      </c>
      <c r="BF34" s="14" t="n">
        <f aca="false">IF(AND(Time!BF12=2,Time!BF26=1,Time!BF8&lt;=Time!$F$17),Time!BF11-Inputs!$F$60,0)</f>
        <v>0</v>
      </c>
      <c r="BG34" s="14" t="n">
        <f aca="false">IF(AND(Time!BG12=2,Time!BG26=1,Time!BG8&lt;=Time!$F$17),Time!BG11-Inputs!$F$60,0)</f>
        <v>17</v>
      </c>
      <c r="BH34" s="14" t="n">
        <f aca="false">IF(AND(Time!BH12=2,Time!BH26=1,Time!BH8&lt;=Time!$F$17),Time!BH11-Inputs!$F$60,0)</f>
        <v>0</v>
      </c>
      <c r="BI34" s="14" t="n">
        <f aca="false">IF(AND(Time!BI12=2,Time!BI26=1,Time!BI8&lt;=Time!$F$17),Time!BI11-Inputs!$F$60,0)</f>
        <v>18</v>
      </c>
      <c r="BJ34" s="14" t="n">
        <f aca="false">IF(AND(Time!BJ12=2,Time!BJ26=1,Time!BJ8&lt;=Time!$F$17),Time!BJ11-Inputs!$F$60,0)</f>
        <v>0</v>
      </c>
      <c r="BK34" s="14" t="n">
        <f aca="false">IF(AND(Time!BK12=2,Time!BK26=1,Time!BK8&lt;=Time!$F$17),Time!BK11-Inputs!$F$60,0)</f>
        <v>19</v>
      </c>
      <c r="BL34" s="14" t="n">
        <f aca="false">IF(AND(Time!BL12=2,Time!BL26=1,Time!BL8&lt;=Time!$F$17),Time!BL11-Inputs!$F$60,0)</f>
        <v>0</v>
      </c>
      <c r="BM34" s="14" t="n">
        <f aca="false">IF(AND(Time!BM12=2,Time!BM26=1,Time!BM8&lt;=Time!$F$17),Time!BM11-Inputs!$F$60,0)</f>
        <v>20</v>
      </c>
      <c r="BN34" s="14" t="n">
        <f aca="false">IF(AND(Time!BN12=2,Time!BN26=1,Time!BN8&lt;=Time!$F$17),Time!BN11-Inputs!$F$60,0)</f>
        <v>0</v>
      </c>
      <c r="BO34" s="14" t="n">
        <f aca="false">IF(AND(Time!BO12=2,Time!BO26=1,Time!BO8&lt;=Time!$F$17),Time!BO11-Inputs!$F$60,0)</f>
        <v>21</v>
      </c>
      <c r="BP34" s="14" t="n">
        <f aca="false">IF(AND(Time!BP12=2,Time!BP26=1,Time!BP8&lt;=Time!$F$17),Time!BP11-Inputs!$F$60,0)</f>
        <v>0</v>
      </c>
      <c r="BQ34" s="14" t="n">
        <f aca="false">IF(AND(Time!BQ12=2,Time!BQ26=1,Time!BQ8&lt;=Time!$F$17),Time!BQ11-Inputs!$F$60,0)</f>
        <v>22</v>
      </c>
      <c r="BR34" s="14" t="n">
        <f aca="false">IF(AND(Time!BR12=2,Time!BR26=1,Time!BR8&lt;=Time!$F$17),Time!BR11-Inputs!$F$60,0)</f>
        <v>0</v>
      </c>
      <c r="BS34" s="14" t="n">
        <f aca="false">IF(AND(Time!BS12=2,Time!BS26=1,Time!BS8&lt;=Time!$F$17),Time!BS11-Inputs!$F$60,0)</f>
        <v>23</v>
      </c>
      <c r="BT34" s="14" t="n">
        <f aca="false">IF(AND(Time!BT12=2,Time!BT26=1,Time!BT8&lt;=Time!$F$17),Time!BT11-Inputs!$F$60,0)</f>
        <v>0</v>
      </c>
      <c r="BU34" s="14" t="n">
        <f aca="false">IF(AND(Time!BU12=2,Time!BU26=1,Time!BU8&lt;=Time!$F$17),Time!BU11-Inputs!$F$60,0)</f>
        <v>24</v>
      </c>
      <c r="BV34" s="14" t="n">
        <f aca="false">IF(AND(Time!BV12=2,Time!BV26=1,Time!BV8&lt;=Time!$F$17),Time!BV11-Inputs!$F$60,0)</f>
        <v>0</v>
      </c>
      <c r="BW34" s="14" t="n">
        <f aca="false">IF(AND(Time!BW12=2,Time!BW26=1,Time!BW8&lt;=Time!$F$17),Time!BW11-Inputs!$F$60,0)</f>
        <v>25</v>
      </c>
      <c r="BX34" s="14" t="n">
        <f aca="false">IF(AND(Time!BX12=2,Time!BX26=1,Time!BX8&lt;=Time!$F$17),Time!BX11-Inputs!$F$60,0)</f>
        <v>0</v>
      </c>
      <c r="BY34" s="14" t="n">
        <f aca="false">IF(AND(Time!BY12=2,Time!BY26=1,Time!BY8&lt;=Time!$F$17),Time!BY11-Inputs!$F$60,0)</f>
        <v>26</v>
      </c>
      <c r="BZ34" s="14" t="n">
        <f aca="false">IF(AND(Time!BZ12=2,Time!BZ26=1,Time!BZ8&lt;=Time!$F$17),Time!BZ11-Inputs!$F$60,0)</f>
        <v>0</v>
      </c>
      <c r="CA34" s="14" t="n">
        <f aca="false">IF(AND(Time!CA12=2,Time!CA26=1,Time!CA8&lt;=Time!$F$17),Time!CA11-Inputs!$F$60,0)</f>
        <v>27</v>
      </c>
      <c r="CB34" s="14" t="n">
        <f aca="false">IF(AND(Time!CB12=2,Time!CB26=1,Time!CB8&lt;=Time!$F$17),Time!CB11-Inputs!$F$60,0)</f>
        <v>0</v>
      </c>
      <c r="CC34" s="14" t="n">
        <f aca="false">IF(AND(Time!CC12=2,Time!CC26=1,Time!CC8&lt;=Time!$F$17),Time!CC11-Inputs!$F$60,0)</f>
        <v>28</v>
      </c>
      <c r="CD34" s="14" t="n">
        <f aca="false">IF(AND(Time!CD12=2,Time!CD26=1,Time!CD8&lt;=Time!$F$17),Time!CD11-Inputs!$F$60,0)</f>
        <v>0</v>
      </c>
      <c r="CE34" s="14" t="n">
        <f aca="false">IF(AND(Time!CE12=2,Time!CE26=1,Time!CE8&lt;=Time!$F$17),Time!CE11-Inputs!$F$60,0)</f>
        <v>29</v>
      </c>
      <c r="CF34" s="14" t="n">
        <f aca="false">IF(AND(Time!CF12=2,Time!CF26=1,Time!CF8&lt;=Time!$F$17),Time!CF11-Inputs!$F$60,0)</f>
        <v>0</v>
      </c>
      <c r="CG34" s="14" t="n">
        <f aca="false">IF(AND(Time!CG12=2,Time!CG26=1,Time!CG8&lt;=Time!$F$17),Time!CG11-Inputs!$F$60,0)</f>
        <v>30</v>
      </c>
      <c r="CH34" s="14" t="n">
        <f aca="false">IF(AND(Time!CH12=2,Time!CH26=1,Time!CH8&lt;=Time!$F$17),Time!CH11-Inputs!$F$60,0)</f>
        <v>0</v>
      </c>
      <c r="CI34" s="14" t="n">
        <f aca="false">IF(AND(Time!CI12=2,Time!CI26=1,Time!CI8&lt;=Time!$F$17),Time!CI11-Inputs!$F$60,0)</f>
        <v>31</v>
      </c>
      <c r="CJ34" s="14" t="n">
        <f aca="false">IF(AND(Time!CJ12=2,Time!CJ26=1,Time!CJ8&lt;=Time!$F$17),Time!CJ11-Inputs!$F$60,0)</f>
        <v>0</v>
      </c>
      <c r="CK34" s="14" t="n">
        <f aca="false">IF(AND(Time!CK12=2,Time!CK26=1,Time!CK8&lt;=Time!$F$17),Time!CK11-Inputs!$F$60,0)</f>
        <v>32</v>
      </c>
      <c r="CL34" s="14" t="n">
        <f aca="false">IF(AND(Time!CL12=2,Time!CL26=1,Time!CL8&lt;=Time!$F$17),Time!CL11-Inputs!$F$60,0)</f>
        <v>0</v>
      </c>
      <c r="CM34" s="14" t="n">
        <f aca="false">IF(AND(Time!CM12=2,Time!CM26=1,Time!CM8&lt;=Time!$F$17),Time!CM11-Inputs!$F$60,0)</f>
        <v>33</v>
      </c>
      <c r="CN34" s="14" t="n">
        <f aca="false">IF(AND(Time!CN12=2,Time!CN26=1,Time!CN8&lt;=Time!$F$17),Time!CN11-Inputs!$F$60,0)</f>
        <v>0</v>
      </c>
      <c r="CO34" s="14" t="n">
        <f aca="false">IF(AND(Time!CO12=2,Time!CO26=1,Time!CO8&lt;=Time!$F$17),Time!CO11-Inputs!$F$60,0)</f>
        <v>34</v>
      </c>
      <c r="CP34" s="14" t="n">
        <f aca="false">IF(AND(Time!CP12=2,Time!CP26=1,Time!CP8&lt;=Time!$F$17),Time!CP11-Inputs!$F$60,0)</f>
        <v>0</v>
      </c>
      <c r="CQ34" s="14" t="n">
        <f aca="false">IF(AND(Time!CQ12=2,Time!CQ26=1,Time!CQ8&lt;=Time!$F$17),Time!CQ11-Inputs!$F$60,0)</f>
        <v>0</v>
      </c>
      <c r="CR34" s="14" t="n">
        <f aca="false">IF(AND(Time!CR12=2,Time!CR26=1,Time!CR8&lt;=Time!$F$17),Time!CR11-Inputs!$F$60,0)</f>
        <v>0</v>
      </c>
      <c r="CS34" s="14" t="n">
        <f aca="false">IF(AND(Time!CS12=2,Time!CS26=1,Time!CS8&lt;=Time!$F$17),Time!CS11-Inputs!$F$60,0)</f>
        <v>0</v>
      </c>
      <c r="CT34" s="14" t="n">
        <f aca="false">IF(AND(Time!CT12=2,Time!CT26=1,Time!CT8&lt;=Time!$F$17),Time!CT11-Inputs!$F$60,0)</f>
        <v>0</v>
      </c>
      <c r="CU34" s="14" t="n">
        <f aca="false">IF(AND(Time!CU12=2,Time!CU26=1,Time!CU8&lt;=Time!$F$17),Time!CU11-Inputs!$F$60,0)</f>
        <v>0</v>
      </c>
      <c r="CV34" s="14" t="n">
        <f aca="false">IF(AND(Time!CV12=2,Time!CV26=1,Time!CV8&lt;=Time!$F$17),Time!CV11-Inputs!$F$60,0)</f>
        <v>0</v>
      </c>
      <c r="CW34" s="14" t="n">
        <f aca="false">IF(AND(Time!CW12=2,Time!CW26=1,Time!CW8&lt;=Time!$F$17),Time!CW11-Inputs!$F$60,0)</f>
        <v>0</v>
      </c>
      <c r="CX34" s="14" t="n">
        <f aca="false">IF(AND(Time!CX12=2,Time!CX26=1,Time!CX8&lt;=Time!$F$17),Time!CX11-Inputs!$F$60,0)</f>
        <v>0</v>
      </c>
      <c r="CY34" s="14" t="n">
        <f aca="false">IF(AND(Time!CY12=2,Time!CY26=1,Time!CY8&lt;=Time!$F$17),Time!CY11-Inputs!$F$60,0)</f>
        <v>0</v>
      </c>
      <c r="CZ34" s="14" t="n">
        <f aca="false">IF(AND(Time!CZ12=2,Time!CZ26=1,Time!CZ8&lt;=Time!$F$17),Time!CZ11-Inputs!$F$60,0)</f>
        <v>0</v>
      </c>
      <c r="DA34" s="14" t="n">
        <f aca="false">IF(AND(Time!DA12=2,Time!DA26=1,Time!DA8&lt;=Time!$F$17),Time!DA11-Inputs!$F$60,0)</f>
        <v>0</v>
      </c>
      <c r="DB34" s="14" t="n">
        <f aca="false">IF(AND(Time!DB12=2,Time!DB26=1,Time!DB8&lt;=Time!$F$17),Time!DB11-Inputs!$F$60,0)</f>
        <v>0</v>
      </c>
    </row>
    <row r="35" customFormat="false" ht="15" hidden="false" customHeight="false" outlineLevel="0" collapsed="false">
      <c r="D35" s="0" t="s">
        <v>402</v>
      </c>
      <c r="E35" s="0" t="s">
        <v>44</v>
      </c>
      <c r="G35" s="19" t="n">
        <f aca="false">SUM(J35:DB35)</f>
        <v>207.8</v>
      </c>
      <c r="J35" s="19" t="n">
        <f aca="false">IF(J34&gt;0,Inputs!$F$147*IF(MOD(J34,Inputs!$F$148)=0,1,0)+Inputs!$F$149*IF(MOD(J34,Inputs!$F$150)=0,1,0)+Inputs!$F$151*IF(MOD(J34,Inputs!$F$152)=0,1,0),0)</f>
        <v>0</v>
      </c>
      <c r="K35" s="19" t="n">
        <f aca="false">IF(K34&gt;0,Inputs!$F$147*IF(MOD(K34,Inputs!$F$148)=0,1,0)+Inputs!$F$149*IF(MOD(K34,Inputs!$F$150)=0,1,0)+Inputs!$F$151*IF(MOD(K34,Inputs!$F$152)=0,1,0),0)</f>
        <v>0</v>
      </c>
      <c r="L35" s="19" t="n">
        <f aca="false">IF(L34&gt;0,Inputs!$F$147*IF(MOD(L34,Inputs!$F$148)=0,1,0)+Inputs!$F$149*IF(MOD(L34,Inputs!$F$150)=0,1,0)+Inputs!$F$151*IF(MOD(L34,Inputs!$F$152)=0,1,0),0)</f>
        <v>0</v>
      </c>
      <c r="M35" s="19" t="n">
        <f aca="false">IF(M34&gt;0,Inputs!$F$147*IF(MOD(M34,Inputs!$F$148)=0,1,0)+Inputs!$F$149*IF(MOD(M34,Inputs!$F$150)=0,1,0)+Inputs!$F$151*IF(MOD(M34,Inputs!$F$152)=0,1,0),0)</f>
        <v>0</v>
      </c>
      <c r="N35" s="19" t="n">
        <f aca="false">IF(N34&gt;0,Inputs!$F$147*IF(MOD(N34,Inputs!$F$148)=0,1,0)+Inputs!$F$149*IF(MOD(N34,Inputs!$F$150)=0,1,0)+Inputs!$F$151*IF(MOD(N34,Inputs!$F$152)=0,1,0),0)</f>
        <v>0</v>
      </c>
      <c r="O35" s="19" t="n">
        <f aca="false">IF(O34&gt;0,Inputs!$F$147*IF(MOD(O34,Inputs!$F$148)=0,1,0)+Inputs!$F$149*IF(MOD(O34,Inputs!$F$150)=0,1,0)+Inputs!$F$151*IF(MOD(O34,Inputs!$F$152)=0,1,0),0)</f>
        <v>0</v>
      </c>
      <c r="P35" s="19" t="n">
        <f aca="false">IF(P34&gt;0,Inputs!$F$147*IF(MOD(P34,Inputs!$F$148)=0,1,0)+Inputs!$F$149*IF(MOD(P34,Inputs!$F$150)=0,1,0)+Inputs!$F$151*IF(MOD(P34,Inputs!$F$152)=0,1,0),0)</f>
        <v>0</v>
      </c>
      <c r="Q35" s="19" t="n">
        <f aca="false">IF(Q34&gt;0,Inputs!$F$147*IF(MOD(Q34,Inputs!$F$148)=0,1,0)+Inputs!$F$149*IF(MOD(Q34,Inputs!$F$150)=0,1,0)+Inputs!$F$151*IF(MOD(Q34,Inputs!$F$152)=0,1,0),0)</f>
        <v>0</v>
      </c>
      <c r="R35" s="19" t="n">
        <f aca="false">IF(R34&gt;0,Inputs!$F$147*IF(MOD(R34,Inputs!$F$148)=0,1,0)+Inputs!$F$149*IF(MOD(R34,Inputs!$F$150)=0,1,0)+Inputs!$F$151*IF(MOD(R34,Inputs!$F$152)=0,1,0),0)</f>
        <v>0</v>
      </c>
      <c r="S35" s="19" t="n">
        <f aca="false">IF(S34&gt;0,Inputs!$F$147*IF(MOD(S34,Inputs!$F$148)=0,1,0)+Inputs!$F$149*IF(MOD(S34,Inputs!$F$150)=0,1,0)+Inputs!$F$151*IF(MOD(S34,Inputs!$F$152)=0,1,0),0)</f>
        <v>0</v>
      </c>
      <c r="T35" s="19" t="n">
        <f aca="false">IF(T34&gt;0,Inputs!$F$147*IF(MOD(T34,Inputs!$F$148)=0,1,0)+Inputs!$F$149*IF(MOD(T34,Inputs!$F$150)=0,1,0)+Inputs!$F$151*IF(MOD(T34,Inputs!$F$152)=0,1,0),0)</f>
        <v>0</v>
      </c>
      <c r="U35" s="19" t="n">
        <f aca="false">IF(U34&gt;0,Inputs!$F$147*IF(MOD(U34,Inputs!$F$148)=0,1,0)+Inputs!$F$149*IF(MOD(U34,Inputs!$F$150)=0,1,0)+Inputs!$F$151*IF(MOD(U34,Inputs!$F$152)=0,1,0),0)</f>
        <v>0</v>
      </c>
      <c r="V35" s="19" t="n">
        <f aca="false">IF(V34&gt;0,Inputs!$F$147*IF(MOD(V34,Inputs!$F$148)=0,1,0)+Inputs!$F$149*IF(MOD(V34,Inputs!$F$150)=0,1,0)+Inputs!$F$151*IF(MOD(V34,Inputs!$F$152)=0,1,0),0)</f>
        <v>0</v>
      </c>
      <c r="W35" s="19" t="n">
        <f aca="false">IF(W34&gt;0,Inputs!$F$147*IF(MOD(W34,Inputs!$F$148)=0,1,0)+Inputs!$F$149*IF(MOD(W34,Inputs!$F$150)=0,1,0)+Inputs!$F$151*IF(MOD(W34,Inputs!$F$152)=0,1,0),0)</f>
        <v>0</v>
      </c>
      <c r="X35" s="19" t="n">
        <f aca="false">IF(X34&gt;0,Inputs!$F$147*IF(MOD(X34,Inputs!$F$148)=0,1,0)+Inputs!$F$149*IF(MOD(X34,Inputs!$F$150)=0,1,0)+Inputs!$F$151*IF(MOD(X34,Inputs!$F$152)=0,1,0),0)</f>
        <v>0</v>
      </c>
      <c r="Y35" s="19" t="n">
        <f aca="false">IF(Y34&gt;0,Inputs!$F$147*IF(MOD(Y34,Inputs!$F$148)=0,1,0)+Inputs!$F$149*IF(MOD(Y34,Inputs!$F$150)=0,1,0)+Inputs!$F$151*IF(MOD(Y34,Inputs!$F$152)=0,1,0),0)</f>
        <v>0</v>
      </c>
      <c r="Z35" s="19" t="n">
        <f aca="false">IF(Z34&gt;0,Inputs!$F$147*IF(MOD(Z34,Inputs!$F$148)=0,1,0)+Inputs!$F$149*IF(MOD(Z34,Inputs!$F$150)=0,1,0)+Inputs!$F$151*IF(MOD(Z34,Inputs!$F$152)=0,1,0),0)</f>
        <v>0</v>
      </c>
      <c r="AA35" s="19" t="n">
        <f aca="false">IF(AA34&gt;0,Inputs!$F$147*IF(MOD(AA34,Inputs!$F$148)=0,1,0)+Inputs!$F$149*IF(MOD(AA34,Inputs!$F$150)=0,1,0)+Inputs!$F$151*IF(MOD(AA34,Inputs!$F$152)=0,1,0),0)</f>
        <v>0</v>
      </c>
      <c r="AB35" s="19" t="n">
        <f aca="false">IF(AB34&gt;0,Inputs!$F$147*IF(MOD(AB34,Inputs!$F$148)=0,1,0)+Inputs!$F$149*IF(MOD(AB34,Inputs!$F$150)=0,1,0)+Inputs!$F$151*IF(MOD(AB34,Inputs!$F$152)=0,1,0),0)</f>
        <v>0</v>
      </c>
      <c r="AC35" s="19" t="n">
        <f aca="false">IF(AC34&gt;0,Inputs!$F$147*IF(MOD(AC34,Inputs!$F$148)=0,1,0)+Inputs!$F$149*IF(MOD(AC34,Inputs!$F$150)=0,1,0)+Inputs!$F$151*IF(MOD(AC34,Inputs!$F$152)=0,1,0),0)</f>
        <v>0</v>
      </c>
      <c r="AD35" s="19" t="n">
        <f aca="false">IF(AD34&gt;0,Inputs!$F$147*IF(MOD(AD34,Inputs!$F$148)=0,1,0)+Inputs!$F$149*IF(MOD(AD34,Inputs!$F$150)=0,1,0)+Inputs!$F$151*IF(MOD(AD34,Inputs!$F$152)=0,1,0),0)</f>
        <v>0</v>
      </c>
      <c r="AE35" s="19" t="n">
        <f aca="false">IF(AE34&gt;0,Inputs!$F$147*IF(MOD(AE34,Inputs!$F$148)=0,1,0)+Inputs!$F$149*IF(MOD(AE34,Inputs!$F$150)=0,1,0)+Inputs!$F$151*IF(MOD(AE34,Inputs!$F$152)=0,1,0),0)</f>
        <v>0</v>
      </c>
      <c r="AF35" s="19" t="n">
        <f aca="false">IF(AF34&gt;0,Inputs!$F$147*IF(MOD(AF34,Inputs!$F$148)=0,1,0)+Inputs!$F$149*IF(MOD(AF34,Inputs!$F$150)=0,1,0)+Inputs!$F$151*IF(MOD(AF34,Inputs!$F$152)=0,1,0),0)</f>
        <v>0</v>
      </c>
      <c r="AG35" s="19" t="n">
        <f aca="false">IF(AG34&gt;0,Inputs!$F$147*IF(MOD(AG34,Inputs!$F$148)=0,1,0)+Inputs!$F$149*IF(MOD(AG34,Inputs!$F$150)=0,1,0)+Inputs!$F$151*IF(MOD(AG34,Inputs!$F$152)=0,1,0),0)</f>
        <v>0</v>
      </c>
      <c r="AH35" s="19" t="n">
        <f aca="false">IF(AH34&gt;0,Inputs!$F$147*IF(MOD(AH34,Inputs!$F$148)=0,1,0)+Inputs!$F$149*IF(MOD(AH34,Inputs!$F$150)=0,1,0)+Inputs!$F$151*IF(MOD(AH34,Inputs!$F$152)=0,1,0),0)</f>
        <v>0</v>
      </c>
      <c r="AI35" s="19" t="n">
        <f aca="false">IF(AI34&gt;0,Inputs!$F$147*IF(MOD(AI34,Inputs!$F$148)=0,1,0)+Inputs!$F$149*IF(MOD(AI34,Inputs!$F$150)=0,1,0)+Inputs!$F$151*IF(MOD(AI34,Inputs!$F$152)=0,1,0),0)</f>
        <v>0</v>
      </c>
      <c r="AJ35" s="19" t="n">
        <f aca="false">IF(AJ34&gt;0,Inputs!$F$147*IF(MOD(AJ34,Inputs!$F$148)=0,1,0)+Inputs!$F$149*IF(MOD(AJ34,Inputs!$F$150)=0,1,0)+Inputs!$F$151*IF(MOD(AJ34,Inputs!$F$152)=0,1,0),0)</f>
        <v>0</v>
      </c>
      <c r="AK35" s="19" t="n">
        <f aca="false">IF(AK34&gt;0,Inputs!$F$147*IF(MOD(AK34,Inputs!$F$148)=0,1,0)+Inputs!$F$149*IF(MOD(AK34,Inputs!$F$150)=0,1,0)+Inputs!$F$151*IF(MOD(AK34,Inputs!$F$152)=0,1,0),0)</f>
        <v>0</v>
      </c>
      <c r="AL35" s="19" t="n">
        <f aca="false">IF(AL34&gt;0,Inputs!$F$147*IF(MOD(AL34,Inputs!$F$148)=0,1,0)+Inputs!$F$149*IF(MOD(AL34,Inputs!$F$150)=0,1,0)+Inputs!$F$151*IF(MOD(AL34,Inputs!$F$152)=0,1,0),0)</f>
        <v>0</v>
      </c>
      <c r="AM35" s="19" t="n">
        <f aca="false">IF(AM34&gt;0,Inputs!$F$147*IF(MOD(AM34,Inputs!$F$148)=0,1,0)+Inputs!$F$149*IF(MOD(AM34,Inputs!$F$150)=0,1,0)+Inputs!$F$151*IF(MOD(AM34,Inputs!$F$152)=0,1,0),0)</f>
        <v>0</v>
      </c>
      <c r="AN35" s="19" t="n">
        <f aca="false">IF(AN34&gt;0,Inputs!$F$147*IF(MOD(AN34,Inputs!$F$148)=0,1,0)+Inputs!$F$149*IF(MOD(AN34,Inputs!$F$150)=0,1,0)+Inputs!$F$151*IF(MOD(AN34,Inputs!$F$152)=0,1,0),0)</f>
        <v>0</v>
      </c>
      <c r="AO35" s="19" t="n">
        <f aca="false">IF(AO34&gt;0,Inputs!$F$147*IF(MOD(AO34,Inputs!$F$148)=0,1,0)+Inputs!$F$149*IF(MOD(AO34,Inputs!$F$150)=0,1,0)+Inputs!$F$151*IF(MOD(AO34,Inputs!$F$152)=0,1,0),0)</f>
        <v>14.7</v>
      </c>
      <c r="AP35" s="19" t="n">
        <f aca="false">IF(AP34&gt;0,Inputs!$F$147*IF(MOD(AP34,Inputs!$F$148)=0,1,0)+Inputs!$F$149*IF(MOD(AP34,Inputs!$F$150)=0,1,0)+Inputs!$F$151*IF(MOD(AP34,Inputs!$F$152)=0,1,0),0)</f>
        <v>0</v>
      </c>
      <c r="AQ35" s="19" t="n">
        <f aca="false">IF(AQ34&gt;0,Inputs!$F$147*IF(MOD(AQ34,Inputs!$F$148)=0,1,0)+Inputs!$F$149*IF(MOD(AQ34,Inputs!$F$150)=0,1,0)+Inputs!$F$151*IF(MOD(AQ34,Inputs!$F$152)=0,1,0),0)</f>
        <v>0</v>
      </c>
      <c r="AR35" s="19" t="n">
        <f aca="false">IF(AR34&gt;0,Inputs!$F$147*IF(MOD(AR34,Inputs!$F$148)=0,1,0)+Inputs!$F$149*IF(MOD(AR34,Inputs!$F$150)=0,1,0)+Inputs!$F$151*IF(MOD(AR34,Inputs!$F$152)=0,1,0),0)</f>
        <v>0</v>
      </c>
      <c r="AS35" s="19" t="n">
        <f aca="false">IF(AS34&gt;0,Inputs!$F$147*IF(MOD(AS34,Inputs!$F$148)=0,1,0)+Inputs!$F$149*IF(MOD(AS34,Inputs!$F$150)=0,1,0)+Inputs!$F$151*IF(MOD(AS34,Inputs!$F$152)=0,1,0),0)</f>
        <v>0</v>
      </c>
      <c r="AT35" s="19" t="n">
        <f aca="false">IF(AT34&gt;0,Inputs!$F$147*IF(MOD(AT34,Inputs!$F$148)=0,1,0)+Inputs!$F$149*IF(MOD(AT34,Inputs!$F$150)=0,1,0)+Inputs!$F$151*IF(MOD(AT34,Inputs!$F$152)=0,1,0),0)</f>
        <v>0</v>
      </c>
      <c r="AU35" s="19" t="n">
        <f aca="false">IF(AU34&gt;0,Inputs!$F$147*IF(MOD(AU34,Inputs!$F$148)=0,1,0)+Inputs!$F$149*IF(MOD(AU34,Inputs!$F$150)=0,1,0)+Inputs!$F$151*IF(MOD(AU34,Inputs!$F$152)=0,1,0),0)</f>
        <v>0</v>
      </c>
      <c r="AV35" s="19" t="n">
        <f aca="false">IF(AV34&gt;0,Inputs!$F$147*IF(MOD(AV34,Inputs!$F$148)=0,1,0)+Inputs!$F$149*IF(MOD(AV34,Inputs!$F$150)=0,1,0)+Inputs!$F$151*IF(MOD(AV34,Inputs!$F$152)=0,1,0),0)</f>
        <v>0</v>
      </c>
      <c r="AW35" s="19" t="n">
        <f aca="false">IF(AW34&gt;0,Inputs!$F$147*IF(MOD(AW34,Inputs!$F$148)=0,1,0)+Inputs!$F$149*IF(MOD(AW34,Inputs!$F$150)=0,1,0)+Inputs!$F$151*IF(MOD(AW34,Inputs!$F$152)=0,1,0),0)</f>
        <v>42.6</v>
      </c>
      <c r="AX35" s="19" t="n">
        <f aca="false">IF(AX34&gt;0,Inputs!$F$147*IF(MOD(AX34,Inputs!$F$148)=0,1,0)+Inputs!$F$149*IF(MOD(AX34,Inputs!$F$150)=0,1,0)+Inputs!$F$151*IF(MOD(AX34,Inputs!$F$152)=0,1,0),0)</f>
        <v>0</v>
      </c>
      <c r="AY35" s="19" t="n">
        <f aca="false">IF(AY34&gt;0,Inputs!$F$147*IF(MOD(AY34,Inputs!$F$148)=0,1,0)+Inputs!$F$149*IF(MOD(AY34,Inputs!$F$150)=0,1,0)+Inputs!$F$151*IF(MOD(AY34,Inputs!$F$152)=0,1,0),0)</f>
        <v>0</v>
      </c>
      <c r="AZ35" s="19" t="n">
        <f aca="false">IF(AZ34&gt;0,Inputs!$F$147*IF(MOD(AZ34,Inputs!$F$148)=0,1,0)+Inputs!$F$149*IF(MOD(AZ34,Inputs!$F$150)=0,1,0)+Inputs!$F$151*IF(MOD(AZ34,Inputs!$F$152)=0,1,0),0)</f>
        <v>0</v>
      </c>
      <c r="BA35" s="19" t="n">
        <f aca="false">IF(BA34&gt;0,Inputs!$F$147*IF(MOD(BA34,Inputs!$F$148)=0,1,0)+Inputs!$F$149*IF(MOD(BA34,Inputs!$F$150)=0,1,0)+Inputs!$F$151*IF(MOD(BA34,Inputs!$F$152)=0,1,0),0)</f>
        <v>0</v>
      </c>
      <c r="BB35" s="19" t="n">
        <f aca="false">IF(BB34&gt;0,Inputs!$F$147*IF(MOD(BB34,Inputs!$F$148)=0,1,0)+Inputs!$F$149*IF(MOD(BB34,Inputs!$F$150)=0,1,0)+Inputs!$F$151*IF(MOD(BB34,Inputs!$F$152)=0,1,0),0)</f>
        <v>0</v>
      </c>
      <c r="BC35" s="19" t="n">
        <f aca="false">IF(BC34&gt;0,Inputs!$F$147*IF(MOD(BC34,Inputs!$F$148)=0,1,0)+Inputs!$F$149*IF(MOD(BC34,Inputs!$F$150)=0,1,0)+Inputs!$F$151*IF(MOD(BC34,Inputs!$F$152)=0,1,0),0)</f>
        <v>31.9</v>
      </c>
      <c r="BD35" s="19" t="n">
        <f aca="false">IF(BD34&gt;0,Inputs!$F$147*IF(MOD(BD34,Inputs!$F$148)=0,1,0)+Inputs!$F$149*IF(MOD(BD34,Inputs!$F$150)=0,1,0)+Inputs!$F$151*IF(MOD(BD34,Inputs!$F$152)=0,1,0),0)</f>
        <v>0</v>
      </c>
      <c r="BE35" s="19" t="n">
        <f aca="false">IF(BE34&gt;0,Inputs!$F$147*IF(MOD(BE34,Inputs!$F$148)=0,1,0)+Inputs!$F$149*IF(MOD(BE34,Inputs!$F$150)=0,1,0)+Inputs!$F$151*IF(MOD(BE34,Inputs!$F$152)=0,1,0),0)</f>
        <v>14.7</v>
      </c>
      <c r="BF35" s="19" t="n">
        <f aca="false">IF(BF34&gt;0,Inputs!$F$147*IF(MOD(BF34,Inputs!$F$148)=0,1,0)+Inputs!$F$149*IF(MOD(BF34,Inputs!$F$150)=0,1,0)+Inputs!$F$151*IF(MOD(BF34,Inputs!$F$152)=0,1,0),0)</f>
        <v>0</v>
      </c>
      <c r="BG35" s="19" t="n">
        <f aca="false">IF(BG34&gt;0,Inputs!$F$147*IF(MOD(BG34,Inputs!$F$148)=0,1,0)+Inputs!$F$149*IF(MOD(BG34,Inputs!$F$150)=0,1,0)+Inputs!$F$151*IF(MOD(BG34,Inputs!$F$152)=0,1,0),0)</f>
        <v>0</v>
      </c>
      <c r="BH35" s="19" t="n">
        <f aca="false">IF(BH34&gt;0,Inputs!$F$147*IF(MOD(BH34,Inputs!$F$148)=0,1,0)+Inputs!$F$149*IF(MOD(BH34,Inputs!$F$150)=0,1,0)+Inputs!$F$151*IF(MOD(BH34,Inputs!$F$152)=0,1,0),0)</f>
        <v>0</v>
      </c>
      <c r="BI35" s="19" t="n">
        <f aca="false">IF(BI34&gt;0,Inputs!$F$147*IF(MOD(BI34,Inputs!$F$148)=0,1,0)+Inputs!$F$149*IF(MOD(BI34,Inputs!$F$150)=0,1,0)+Inputs!$F$151*IF(MOD(BI34,Inputs!$F$152)=0,1,0),0)</f>
        <v>0</v>
      </c>
      <c r="BJ35" s="19" t="n">
        <f aca="false">IF(BJ34&gt;0,Inputs!$F$147*IF(MOD(BJ34,Inputs!$F$148)=0,1,0)+Inputs!$F$149*IF(MOD(BJ34,Inputs!$F$150)=0,1,0)+Inputs!$F$151*IF(MOD(BJ34,Inputs!$F$152)=0,1,0),0)</f>
        <v>0</v>
      </c>
      <c r="BK35" s="19" t="n">
        <f aca="false">IF(BK34&gt;0,Inputs!$F$147*IF(MOD(BK34,Inputs!$F$148)=0,1,0)+Inputs!$F$149*IF(MOD(BK34,Inputs!$F$150)=0,1,0)+Inputs!$F$151*IF(MOD(BK34,Inputs!$F$152)=0,1,0),0)</f>
        <v>0</v>
      </c>
      <c r="BL35" s="19" t="n">
        <f aca="false">IF(BL34&gt;0,Inputs!$F$147*IF(MOD(BL34,Inputs!$F$148)=0,1,0)+Inputs!$F$149*IF(MOD(BL34,Inputs!$F$150)=0,1,0)+Inputs!$F$151*IF(MOD(BL34,Inputs!$F$152)=0,1,0),0)</f>
        <v>0</v>
      </c>
      <c r="BM35" s="19" t="n">
        <f aca="false">IF(BM34&gt;0,Inputs!$F$147*IF(MOD(BM34,Inputs!$F$148)=0,1,0)+Inputs!$F$149*IF(MOD(BM34,Inputs!$F$150)=0,1,0)+Inputs!$F$151*IF(MOD(BM34,Inputs!$F$152)=0,1,0),0)</f>
        <v>0</v>
      </c>
      <c r="BN35" s="19" t="n">
        <f aca="false">IF(BN34&gt;0,Inputs!$F$147*IF(MOD(BN34,Inputs!$F$148)=0,1,0)+Inputs!$F$149*IF(MOD(BN34,Inputs!$F$150)=0,1,0)+Inputs!$F$151*IF(MOD(BN34,Inputs!$F$152)=0,1,0),0)</f>
        <v>0</v>
      </c>
      <c r="BO35" s="19" t="n">
        <f aca="false">IF(BO34&gt;0,Inputs!$F$147*IF(MOD(BO34,Inputs!$F$148)=0,1,0)+Inputs!$F$149*IF(MOD(BO34,Inputs!$F$150)=0,1,0)+Inputs!$F$151*IF(MOD(BO34,Inputs!$F$152)=0,1,0),0)</f>
        <v>0</v>
      </c>
      <c r="BP35" s="19" t="n">
        <f aca="false">IF(BP34&gt;0,Inputs!$F$147*IF(MOD(BP34,Inputs!$F$148)=0,1,0)+Inputs!$F$149*IF(MOD(BP34,Inputs!$F$150)=0,1,0)+Inputs!$F$151*IF(MOD(BP34,Inputs!$F$152)=0,1,0),0)</f>
        <v>0</v>
      </c>
      <c r="BQ35" s="19" t="n">
        <f aca="false">IF(BQ34&gt;0,Inputs!$F$147*IF(MOD(BQ34,Inputs!$F$148)=0,1,0)+Inputs!$F$149*IF(MOD(BQ34,Inputs!$F$150)=0,1,0)+Inputs!$F$151*IF(MOD(BQ34,Inputs!$F$152)=0,1,0),0)</f>
        <v>0</v>
      </c>
      <c r="BR35" s="19" t="n">
        <f aca="false">IF(BR34&gt;0,Inputs!$F$147*IF(MOD(BR34,Inputs!$F$148)=0,1,0)+Inputs!$F$149*IF(MOD(BR34,Inputs!$F$150)=0,1,0)+Inputs!$F$151*IF(MOD(BR34,Inputs!$F$152)=0,1,0),0)</f>
        <v>0</v>
      </c>
      <c r="BS35" s="19" t="n">
        <f aca="false">IF(BS34&gt;0,Inputs!$F$147*IF(MOD(BS34,Inputs!$F$148)=0,1,0)+Inputs!$F$149*IF(MOD(BS34,Inputs!$F$150)=0,1,0)+Inputs!$F$151*IF(MOD(BS34,Inputs!$F$152)=0,1,0),0)</f>
        <v>0</v>
      </c>
      <c r="BT35" s="19" t="n">
        <f aca="false">IF(BT34&gt;0,Inputs!$F$147*IF(MOD(BT34,Inputs!$F$148)=0,1,0)+Inputs!$F$149*IF(MOD(BT34,Inputs!$F$150)=0,1,0)+Inputs!$F$151*IF(MOD(BT34,Inputs!$F$152)=0,1,0),0)</f>
        <v>0</v>
      </c>
      <c r="BU35" s="19" t="n">
        <f aca="false">IF(BU34&gt;0,Inputs!$F$147*IF(MOD(BU34,Inputs!$F$148)=0,1,0)+Inputs!$F$149*IF(MOD(BU34,Inputs!$F$150)=0,1,0)+Inputs!$F$151*IF(MOD(BU34,Inputs!$F$152)=0,1,0),0)</f>
        <v>57.3</v>
      </c>
      <c r="BV35" s="19" t="n">
        <f aca="false">IF(BV34&gt;0,Inputs!$F$147*IF(MOD(BV34,Inputs!$F$148)=0,1,0)+Inputs!$F$149*IF(MOD(BV34,Inputs!$F$150)=0,1,0)+Inputs!$F$151*IF(MOD(BV34,Inputs!$F$152)=0,1,0),0)</f>
        <v>0</v>
      </c>
      <c r="BW35" s="19" t="n">
        <f aca="false">IF(BW34&gt;0,Inputs!$F$147*IF(MOD(BW34,Inputs!$F$148)=0,1,0)+Inputs!$F$149*IF(MOD(BW34,Inputs!$F$150)=0,1,0)+Inputs!$F$151*IF(MOD(BW34,Inputs!$F$152)=0,1,0),0)</f>
        <v>0</v>
      </c>
      <c r="BX35" s="19" t="n">
        <f aca="false">IF(BX34&gt;0,Inputs!$F$147*IF(MOD(BX34,Inputs!$F$148)=0,1,0)+Inputs!$F$149*IF(MOD(BX34,Inputs!$F$150)=0,1,0)+Inputs!$F$151*IF(MOD(BX34,Inputs!$F$152)=0,1,0),0)</f>
        <v>0</v>
      </c>
      <c r="BY35" s="19" t="n">
        <f aca="false">IF(BY34&gt;0,Inputs!$F$147*IF(MOD(BY34,Inputs!$F$148)=0,1,0)+Inputs!$F$149*IF(MOD(BY34,Inputs!$F$150)=0,1,0)+Inputs!$F$151*IF(MOD(BY34,Inputs!$F$152)=0,1,0),0)</f>
        <v>0</v>
      </c>
      <c r="BZ35" s="19" t="n">
        <f aca="false">IF(BZ34&gt;0,Inputs!$F$147*IF(MOD(BZ34,Inputs!$F$148)=0,1,0)+Inputs!$F$149*IF(MOD(BZ34,Inputs!$F$150)=0,1,0)+Inputs!$F$151*IF(MOD(BZ34,Inputs!$F$152)=0,1,0),0)</f>
        <v>0</v>
      </c>
      <c r="CA35" s="19" t="n">
        <f aca="false">IF(CA34&gt;0,Inputs!$F$147*IF(MOD(CA34,Inputs!$F$148)=0,1,0)+Inputs!$F$149*IF(MOD(CA34,Inputs!$F$150)=0,1,0)+Inputs!$F$151*IF(MOD(CA34,Inputs!$F$152)=0,1,0),0)</f>
        <v>0</v>
      </c>
      <c r="CB35" s="19" t="n">
        <f aca="false">IF(CB34&gt;0,Inputs!$F$147*IF(MOD(CB34,Inputs!$F$148)=0,1,0)+Inputs!$F$149*IF(MOD(CB34,Inputs!$F$150)=0,1,0)+Inputs!$F$151*IF(MOD(CB34,Inputs!$F$152)=0,1,0),0)</f>
        <v>0</v>
      </c>
      <c r="CC35" s="19" t="n">
        <f aca="false">IF(CC34&gt;0,Inputs!$F$147*IF(MOD(CC34,Inputs!$F$148)=0,1,0)+Inputs!$F$149*IF(MOD(CC34,Inputs!$F$150)=0,1,0)+Inputs!$F$151*IF(MOD(CC34,Inputs!$F$152)=0,1,0),0)</f>
        <v>0</v>
      </c>
      <c r="CD35" s="19" t="n">
        <f aca="false">IF(CD34&gt;0,Inputs!$F$147*IF(MOD(CD34,Inputs!$F$148)=0,1,0)+Inputs!$F$149*IF(MOD(CD34,Inputs!$F$150)=0,1,0)+Inputs!$F$151*IF(MOD(CD34,Inputs!$F$152)=0,1,0),0)</f>
        <v>0</v>
      </c>
      <c r="CE35" s="19" t="n">
        <f aca="false">IF(CE34&gt;0,Inputs!$F$147*IF(MOD(CE34,Inputs!$F$148)=0,1,0)+Inputs!$F$149*IF(MOD(CE34,Inputs!$F$150)=0,1,0)+Inputs!$F$151*IF(MOD(CE34,Inputs!$F$152)=0,1,0),0)</f>
        <v>0</v>
      </c>
      <c r="CF35" s="19" t="n">
        <f aca="false">IF(CF34&gt;0,Inputs!$F$147*IF(MOD(CF34,Inputs!$F$148)=0,1,0)+Inputs!$F$149*IF(MOD(CF34,Inputs!$F$150)=0,1,0)+Inputs!$F$151*IF(MOD(CF34,Inputs!$F$152)=0,1,0),0)</f>
        <v>0</v>
      </c>
      <c r="CG35" s="19" t="n">
        <f aca="false">IF(CG34&gt;0,Inputs!$F$147*IF(MOD(CG34,Inputs!$F$148)=0,1,0)+Inputs!$F$149*IF(MOD(CG34,Inputs!$F$150)=0,1,0)+Inputs!$F$151*IF(MOD(CG34,Inputs!$F$152)=0,1,0),0)</f>
        <v>31.9</v>
      </c>
      <c r="CH35" s="19" t="n">
        <f aca="false">IF(CH34&gt;0,Inputs!$F$147*IF(MOD(CH34,Inputs!$F$148)=0,1,0)+Inputs!$F$149*IF(MOD(CH34,Inputs!$F$150)=0,1,0)+Inputs!$F$151*IF(MOD(CH34,Inputs!$F$152)=0,1,0),0)</f>
        <v>0</v>
      </c>
      <c r="CI35" s="19" t="n">
        <f aca="false">IF(CI34&gt;0,Inputs!$F$147*IF(MOD(CI34,Inputs!$F$148)=0,1,0)+Inputs!$F$149*IF(MOD(CI34,Inputs!$F$150)=0,1,0)+Inputs!$F$151*IF(MOD(CI34,Inputs!$F$152)=0,1,0),0)</f>
        <v>0</v>
      </c>
      <c r="CJ35" s="19" t="n">
        <f aca="false">IF(CJ34&gt;0,Inputs!$F$147*IF(MOD(CJ34,Inputs!$F$148)=0,1,0)+Inputs!$F$149*IF(MOD(CJ34,Inputs!$F$150)=0,1,0)+Inputs!$F$151*IF(MOD(CJ34,Inputs!$F$152)=0,1,0),0)</f>
        <v>0</v>
      </c>
      <c r="CK35" s="19" t="n">
        <f aca="false">IF(CK34&gt;0,Inputs!$F$147*IF(MOD(CK34,Inputs!$F$148)=0,1,0)+Inputs!$F$149*IF(MOD(CK34,Inputs!$F$150)=0,1,0)+Inputs!$F$151*IF(MOD(CK34,Inputs!$F$152)=0,1,0),0)</f>
        <v>14.7</v>
      </c>
      <c r="CL35" s="19" t="n">
        <f aca="false">IF(CL34&gt;0,Inputs!$F$147*IF(MOD(CL34,Inputs!$F$148)=0,1,0)+Inputs!$F$149*IF(MOD(CL34,Inputs!$F$150)=0,1,0)+Inputs!$F$151*IF(MOD(CL34,Inputs!$F$152)=0,1,0),0)</f>
        <v>0</v>
      </c>
      <c r="CM35" s="19" t="n">
        <f aca="false">IF(CM34&gt;0,Inputs!$F$147*IF(MOD(CM34,Inputs!$F$148)=0,1,0)+Inputs!$F$149*IF(MOD(CM34,Inputs!$F$150)=0,1,0)+Inputs!$F$151*IF(MOD(CM34,Inputs!$F$152)=0,1,0),0)</f>
        <v>0</v>
      </c>
      <c r="CN35" s="19" t="n">
        <f aca="false">IF(CN34&gt;0,Inputs!$F$147*IF(MOD(CN34,Inputs!$F$148)=0,1,0)+Inputs!$F$149*IF(MOD(CN34,Inputs!$F$150)=0,1,0)+Inputs!$F$151*IF(MOD(CN34,Inputs!$F$152)=0,1,0),0)</f>
        <v>0</v>
      </c>
      <c r="CO35" s="19" t="n">
        <f aca="false">IF(CO34&gt;0,Inputs!$F$147*IF(MOD(CO34,Inputs!$F$148)=0,1,0)+Inputs!$F$149*IF(MOD(CO34,Inputs!$F$150)=0,1,0)+Inputs!$F$151*IF(MOD(CO34,Inputs!$F$152)=0,1,0),0)</f>
        <v>0</v>
      </c>
      <c r="CP35" s="19" t="n">
        <f aca="false">IF(CP34&gt;0,Inputs!$F$147*IF(MOD(CP34,Inputs!$F$148)=0,1,0)+Inputs!$F$149*IF(MOD(CP34,Inputs!$F$150)=0,1,0)+Inputs!$F$151*IF(MOD(CP34,Inputs!$F$152)=0,1,0),0)</f>
        <v>0</v>
      </c>
      <c r="CQ35" s="19" t="n">
        <f aca="false">IF(CQ34&gt;0,Inputs!$F$147*IF(MOD(CQ34,Inputs!$F$148)=0,1,0)+Inputs!$F$149*IF(MOD(CQ34,Inputs!$F$150)=0,1,0)+Inputs!$F$151*IF(MOD(CQ34,Inputs!$F$152)=0,1,0),0)</f>
        <v>0</v>
      </c>
      <c r="CR35" s="19" t="n">
        <f aca="false">IF(CR34&gt;0,Inputs!$F$147*IF(MOD(CR34,Inputs!$F$148)=0,1,0)+Inputs!$F$149*IF(MOD(CR34,Inputs!$F$150)=0,1,0)+Inputs!$F$151*IF(MOD(CR34,Inputs!$F$152)=0,1,0),0)</f>
        <v>0</v>
      </c>
      <c r="CS35" s="19" t="n">
        <f aca="false">IF(CS34&gt;0,Inputs!$F$147*IF(MOD(CS34,Inputs!$F$148)=0,1,0)+Inputs!$F$149*IF(MOD(CS34,Inputs!$F$150)=0,1,0)+Inputs!$F$151*IF(MOD(CS34,Inputs!$F$152)=0,1,0),0)</f>
        <v>0</v>
      </c>
      <c r="CT35" s="19" t="n">
        <f aca="false">IF(CT34&gt;0,Inputs!$F$147*IF(MOD(CT34,Inputs!$F$148)=0,1,0)+Inputs!$F$149*IF(MOD(CT34,Inputs!$F$150)=0,1,0)+Inputs!$F$151*IF(MOD(CT34,Inputs!$F$152)=0,1,0),0)</f>
        <v>0</v>
      </c>
      <c r="CU35" s="19" t="n">
        <f aca="false">IF(CU34&gt;0,Inputs!$F$147*IF(MOD(CU34,Inputs!$F$148)=0,1,0)+Inputs!$F$149*IF(MOD(CU34,Inputs!$F$150)=0,1,0)+Inputs!$F$151*IF(MOD(CU34,Inputs!$F$152)=0,1,0),0)</f>
        <v>0</v>
      </c>
      <c r="CV35" s="19" t="n">
        <f aca="false">IF(CV34&gt;0,Inputs!$F$147*IF(MOD(CV34,Inputs!$F$148)=0,1,0)+Inputs!$F$149*IF(MOD(CV34,Inputs!$F$150)=0,1,0)+Inputs!$F$151*IF(MOD(CV34,Inputs!$F$152)=0,1,0),0)</f>
        <v>0</v>
      </c>
      <c r="CW35" s="19" t="n">
        <f aca="false">IF(CW34&gt;0,Inputs!$F$147*IF(MOD(CW34,Inputs!$F$148)=0,1,0)+Inputs!$F$149*IF(MOD(CW34,Inputs!$F$150)=0,1,0)+Inputs!$F$151*IF(MOD(CW34,Inputs!$F$152)=0,1,0),0)</f>
        <v>0</v>
      </c>
      <c r="CX35" s="19" t="n">
        <f aca="false">IF(CX34&gt;0,Inputs!$F$147*IF(MOD(CX34,Inputs!$F$148)=0,1,0)+Inputs!$F$149*IF(MOD(CX34,Inputs!$F$150)=0,1,0)+Inputs!$F$151*IF(MOD(CX34,Inputs!$F$152)=0,1,0),0)</f>
        <v>0</v>
      </c>
      <c r="CY35" s="19" t="n">
        <f aca="false">IF(CY34&gt;0,Inputs!$F$147*IF(MOD(CY34,Inputs!$F$148)=0,1,0)+Inputs!$F$149*IF(MOD(CY34,Inputs!$F$150)=0,1,0)+Inputs!$F$151*IF(MOD(CY34,Inputs!$F$152)=0,1,0),0)</f>
        <v>0</v>
      </c>
      <c r="CZ35" s="19" t="n">
        <f aca="false">IF(CZ34&gt;0,Inputs!$F$147*IF(MOD(CZ34,Inputs!$F$148)=0,1,0)+Inputs!$F$149*IF(MOD(CZ34,Inputs!$F$150)=0,1,0)+Inputs!$F$151*IF(MOD(CZ34,Inputs!$F$152)=0,1,0),0)</f>
        <v>0</v>
      </c>
      <c r="DA35" s="19" t="n">
        <f aca="false">IF(DA34&gt;0,Inputs!$F$147*IF(MOD(DA34,Inputs!$F$148)=0,1,0)+Inputs!$F$149*IF(MOD(DA34,Inputs!$F$150)=0,1,0)+Inputs!$F$151*IF(MOD(DA34,Inputs!$F$152)=0,1,0),0)</f>
        <v>0</v>
      </c>
      <c r="DB35" s="19" t="n">
        <f aca="false">IF(DB34&gt;0,Inputs!$F$147*IF(MOD(DB34,Inputs!$F$148)=0,1,0)+Inputs!$F$149*IF(MOD(DB34,Inputs!$F$150)=0,1,0)+Inputs!$F$151*IF(MOD(DB34,Inputs!$F$152)=0,1,0),0)</f>
        <v>0</v>
      </c>
    </row>
    <row r="36" customFormat="false" ht="15" hidden="false" customHeight="false" outlineLevel="0" collapsed="false">
      <c r="D36" s="0" t="s">
        <v>403</v>
      </c>
      <c r="E36" s="0" t="s">
        <v>44</v>
      </c>
      <c r="G36" s="19" t="n">
        <f aca="false">SUM(J36:DB36)</f>
        <v>372.790846342951</v>
      </c>
      <c r="J36" s="19" t="n">
        <f aca="false">J35*Time!J56*Inputs!$F$222</f>
        <v>0</v>
      </c>
      <c r="K36" s="19" t="n">
        <f aca="false">K35*Time!K56*Inputs!$F$222</f>
        <v>0</v>
      </c>
      <c r="L36" s="19" t="n">
        <f aca="false">L35*Time!L56*Inputs!$F$222</f>
        <v>0</v>
      </c>
      <c r="M36" s="19" t="n">
        <f aca="false">M35*Time!M56*Inputs!$F$222</f>
        <v>0</v>
      </c>
      <c r="N36" s="19" t="n">
        <f aca="false">N35*Time!N56*Inputs!$F$222</f>
        <v>0</v>
      </c>
      <c r="O36" s="19" t="n">
        <f aca="false">O35*Time!O56*Inputs!$F$222</f>
        <v>0</v>
      </c>
      <c r="P36" s="19" t="n">
        <f aca="false">P35*Time!P56*Inputs!$F$222</f>
        <v>0</v>
      </c>
      <c r="Q36" s="19" t="n">
        <f aca="false">Q35*Time!Q56*Inputs!$F$222</f>
        <v>0</v>
      </c>
      <c r="R36" s="19" t="n">
        <f aca="false">R35*Time!R56*Inputs!$F$222</f>
        <v>0</v>
      </c>
      <c r="S36" s="19" t="n">
        <f aca="false">S35*Time!S56*Inputs!$F$222</f>
        <v>0</v>
      </c>
      <c r="T36" s="19" t="n">
        <f aca="false">T35*Time!T56*Inputs!$F$222</f>
        <v>0</v>
      </c>
      <c r="U36" s="19" t="n">
        <f aca="false">U35*Time!U56*Inputs!$F$222</f>
        <v>0</v>
      </c>
      <c r="V36" s="19" t="n">
        <f aca="false">V35*Time!V56*Inputs!$F$222</f>
        <v>0</v>
      </c>
      <c r="W36" s="19" t="n">
        <f aca="false">W35*Time!W56*Inputs!$F$222</f>
        <v>0</v>
      </c>
      <c r="X36" s="19" t="n">
        <f aca="false">X35*Time!X56*Inputs!$F$222</f>
        <v>0</v>
      </c>
      <c r="Y36" s="19" t="n">
        <f aca="false">Y35*Time!Y56*Inputs!$F$222</f>
        <v>0</v>
      </c>
      <c r="Z36" s="19" t="n">
        <f aca="false">Z35*Time!Z56*Inputs!$F$222</f>
        <v>0</v>
      </c>
      <c r="AA36" s="19" t="n">
        <f aca="false">AA35*Time!AA56*Inputs!$F$222</f>
        <v>0</v>
      </c>
      <c r="AB36" s="19" t="n">
        <f aca="false">AB35*Time!AB56*Inputs!$F$222</f>
        <v>0</v>
      </c>
      <c r="AC36" s="19" t="n">
        <f aca="false">AC35*Time!AC56*Inputs!$F$222</f>
        <v>0</v>
      </c>
      <c r="AD36" s="19" t="n">
        <f aca="false">AD35*Time!AD56*Inputs!$F$222</f>
        <v>0</v>
      </c>
      <c r="AE36" s="19" t="n">
        <f aca="false">AE35*Time!AE56*Inputs!$F$222</f>
        <v>0</v>
      </c>
      <c r="AF36" s="19" t="n">
        <f aca="false">AF35*Time!AF56*Inputs!$F$222</f>
        <v>0</v>
      </c>
      <c r="AG36" s="19" t="n">
        <f aca="false">AG35*Time!AG56*Inputs!$F$222</f>
        <v>0</v>
      </c>
      <c r="AH36" s="19" t="n">
        <f aca="false">AH35*Time!AH56*Inputs!$F$222</f>
        <v>0</v>
      </c>
      <c r="AI36" s="19" t="n">
        <f aca="false">AI35*Time!AI56*Inputs!$F$222</f>
        <v>0</v>
      </c>
      <c r="AJ36" s="19" t="n">
        <f aca="false">AJ35*Time!AJ56*Inputs!$F$222</f>
        <v>0</v>
      </c>
      <c r="AK36" s="19" t="n">
        <f aca="false">AK35*Time!AK56*Inputs!$F$222</f>
        <v>0</v>
      </c>
      <c r="AL36" s="19" t="n">
        <f aca="false">AL35*Time!AL56*Inputs!$F$222</f>
        <v>0</v>
      </c>
      <c r="AM36" s="19" t="n">
        <f aca="false">AM35*Time!AM56*Inputs!$F$222</f>
        <v>0</v>
      </c>
      <c r="AN36" s="19" t="n">
        <f aca="false">AN35*Time!AN56*Inputs!$F$222</f>
        <v>0</v>
      </c>
      <c r="AO36" s="19" t="n">
        <f aca="false">AO35*Time!AO56*Inputs!$F$222</f>
        <v>19.2876738696786</v>
      </c>
      <c r="AP36" s="19" t="n">
        <f aca="false">AP35*Time!AP56*Inputs!$F$222</f>
        <v>0</v>
      </c>
      <c r="AQ36" s="19" t="n">
        <f aca="false">AQ35*Time!AQ56*Inputs!$F$222</f>
        <v>0</v>
      </c>
      <c r="AR36" s="19" t="n">
        <f aca="false">AR35*Time!AR56*Inputs!$F$222</f>
        <v>0</v>
      </c>
      <c r="AS36" s="19" t="n">
        <f aca="false">AS35*Time!AS56*Inputs!$F$222</f>
        <v>0</v>
      </c>
      <c r="AT36" s="19" t="n">
        <f aca="false">AT35*Time!AT56*Inputs!$F$222</f>
        <v>0</v>
      </c>
      <c r="AU36" s="19" t="n">
        <f aca="false">AU35*Time!AU56*Inputs!$F$222</f>
        <v>0</v>
      </c>
      <c r="AV36" s="19" t="n">
        <f aca="false">AV35*Time!AV56*Inputs!$F$222</f>
        <v>0</v>
      </c>
      <c r="AW36" s="19" t="n">
        <f aca="false">AW35*Time!AW56*Inputs!$F$222</f>
        <v>61.6975018928195</v>
      </c>
      <c r="AX36" s="19" t="n">
        <f aca="false">AX35*Time!AX56*Inputs!$F$222</f>
        <v>0</v>
      </c>
      <c r="AY36" s="19" t="n">
        <f aca="false">AY35*Time!AY56*Inputs!$F$222</f>
        <v>0</v>
      </c>
      <c r="AZ36" s="19" t="n">
        <f aca="false">AZ35*Time!AZ56*Inputs!$F$222</f>
        <v>0</v>
      </c>
      <c r="BA36" s="19" t="n">
        <f aca="false">BA35*Time!BA56*Inputs!$F$222</f>
        <v>0</v>
      </c>
      <c r="BB36" s="19" t="n">
        <f aca="false">BB35*Time!BB56*Inputs!$F$222</f>
        <v>0</v>
      </c>
      <c r="BC36" s="19" t="n">
        <f aca="false">BC35*Time!BC56*Inputs!$F$222</f>
        <v>49.7531130948374</v>
      </c>
      <c r="BD36" s="19" t="n">
        <f aca="false">BD35*Time!BD56*Inputs!$F$222</f>
        <v>0</v>
      </c>
      <c r="BE36" s="19" t="n">
        <f aca="false">BE35*Time!BE56*Inputs!$F$222</f>
        <v>23.5001577290427</v>
      </c>
      <c r="BF36" s="19" t="n">
        <f aca="false">BF35*Time!BF56*Inputs!$F$222</f>
        <v>0</v>
      </c>
      <c r="BG36" s="19" t="n">
        <f aca="false">BG35*Time!BG56*Inputs!$F$222</f>
        <v>0</v>
      </c>
      <c r="BH36" s="19" t="n">
        <f aca="false">BH35*Time!BH56*Inputs!$F$222</f>
        <v>0</v>
      </c>
      <c r="BI36" s="19" t="n">
        <f aca="false">BI35*Time!BI56*Inputs!$F$222</f>
        <v>0</v>
      </c>
      <c r="BJ36" s="19" t="n">
        <f aca="false">BJ35*Time!BJ56*Inputs!$F$222</f>
        <v>0</v>
      </c>
      <c r="BK36" s="19" t="n">
        <f aca="false">BK35*Time!BK56*Inputs!$F$222</f>
        <v>0</v>
      </c>
      <c r="BL36" s="19" t="n">
        <f aca="false">BL35*Time!BL56*Inputs!$F$222</f>
        <v>0</v>
      </c>
      <c r="BM36" s="19" t="n">
        <f aca="false">BM35*Time!BM56*Inputs!$F$222</f>
        <v>0</v>
      </c>
      <c r="BN36" s="19" t="n">
        <f aca="false">BN35*Time!BN56*Inputs!$F$222</f>
        <v>0</v>
      </c>
      <c r="BO36" s="19" t="n">
        <f aca="false">BO35*Time!BO56*Inputs!$F$222</f>
        <v>0</v>
      </c>
      <c r="BP36" s="19" t="n">
        <f aca="false">BP35*Time!BP56*Inputs!$F$222</f>
        <v>0</v>
      </c>
      <c r="BQ36" s="19" t="n">
        <f aca="false">BQ35*Time!BQ56*Inputs!$F$222</f>
        <v>0</v>
      </c>
      <c r="BR36" s="19" t="n">
        <f aca="false">BR35*Time!BR56*Inputs!$F$222</f>
        <v>0</v>
      </c>
      <c r="BS36" s="19" t="n">
        <f aca="false">BS35*Time!BS56*Inputs!$F$222</f>
        <v>0</v>
      </c>
      <c r="BT36" s="19" t="n">
        <f aca="false">BT35*Time!BT56*Inputs!$F$222</f>
        <v>0</v>
      </c>
      <c r="BU36" s="19" t="n">
        <f aca="false">BU35*Time!BU56*Inputs!$F$222</f>
        <v>111.608941048573</v>
      </c>
      <c r="BV36" s="19" t="n">
        <f aca="false">BV35*Time!BV56*Inputs!$F$222</f>
        <v>0</v>
      </c>
      <c r="BW36" s="19" t="n">
        <f aca="false">BW35*Time!BW56*Inputs!$F$222</f>
        <v>0</v>
      </c>
      <c r="BX36" s="19" t="n">
        <f aca="false">BX35*Time!BX56*Inputs!$F$222</f>
        <v>0</v>
      </c>
      <c r="BY36" s="19" t="n">
        <f aca="false">BY35*Time!BY56*Inputs!$F$222</f>
        <v>0</v>
      </c>
      <c r="BZ36" s="19" t="n">
        <f aca="false">BZ35*Time!BZ56*Inputs!$F$222</f>
        <v>0</v>
      </c>
      <c r="CA36" s="19" t="n">
        <f aca="false">CA35*Time!CA56*Inputs!$F$222</f>
        <v>0</v>
      </c>
      <c r="CB36" s="19" t="n">
        <f aca="false">CB35*Time!CB56*Inputs!$F$222</f>
        <v>0</v>
      </c>
      <c r="CC36" s="19" t="n">
        <f aca="false">CC35*Time!CC56*Inputs!$F$222</f>
        <v>0</v>
      </c>
      <c r="CD36" s="19" t="n">
        <f aca="false">CD35*Time!CD56*Inputs!$F$222</f>
        <v>0</v>
      </c>
      <c r="CE36" s="19" t="n">
        <f aca="false">CE35*Time!CE56*Inputs!$F$222</f>
        <v>0</v>
      </c>
      <c r="CF36" s="19" t="n">
        <f aca="false">CF35*Time!CF56*Inputs!$F$222</f>
        <v>0</v>
      </c>
      <c r="CG36" s="19" t="n">
        <f aca="false">CG35*Time!CG56*Inputs!$F$222</f>
        <v>72.0573424728261</v>
      </c>
      <c r="CH36" s="19" t="n">
        <f aca="false">CH35*Time!CH56*Inputs!$F$222</f>
        <v>0</v>
      </c>
      <c r="CI36" s="19" t="n">
        <f aca="false">CI35*Time!CI56*Inputs!$F$222</f>
        <v>0</v>
      </c>
      <c r="CJ36" s="19" t="n">
        <f aca="false">CJ35*Time!CJ56*Inputs!$F$222</f>
        <v>0</v>
      </c>
      <c r="CK36" s="19" t="n">
        <f aca="false">CK35*Time!CK56*Inputs!$F$222</f>
        <v>34.8861162351737</v>
      </c>
      <c r="CL36" s="19" t="n">
        <f aca="false">CL35*Time!CL56*Inputs!$F$222</f>
        <v>0</v>
      </c>
      <c r="CM36" s="19" t="n">
        <f aca="false">CM35*Time!CM56*Inputs!$F$222</f>
        <v>0</v>
      </c>
      <c r="CN36" s="19" t="n">
        <f aca="false">CN35*Time!CN56*Inputs!$F$222</f>
        <v>0</v>
      </c>
      <c r="CO36" s="19" t="n">
        <f aca="false">CO35*Time!CO56*Inputs!$F$222</f>
        <v>0</v>
      </c>
      <c r="CP36" s="19" t="n">
        <f aca="false">CP35*Time!CP56*Inputs!$F$222</f>
        <v>0</v>
      </c>
      <c r="CQ36" s="19" t="n">
        <f aca="false">CQ35*Time!CQ56*Inputs!$F$222</f>
        <v>0</v>
      </c>
      <c r="CR36" s="19" t="n">
        <f aca="false">CR35*Time!CR56*Inputs!$F$222</f>
        <v>0</v>
      </c>
      <c r="CS36" s="19" t="n">
        <f aca="false">CS35*Time!CS56*Inputs!$F$222</f>
        <v>0</v>
      </c>
      <c r="CT36" s="19" t="n">
        <f aca="false">CT35*Time!CT56*Inputs!$F$222</f>
        <v>0</v>
      </c>
      <c r="CU36" s="19" t="n">
        <f aca="false">CU35*Time!CU56*Inputs!$F$222</f>
        <v>0</v>
      </c>
      <c r="CV36" s="19" t="n">
        <f aca="false">CV35*Time!CV56*Inputs!$F$222</f>
        <v>0</v>
      </c>
      <c r="CW36" s="19" t="n">
        <f aca="false">CW35*Time!CW56*Inputs!$F$222</f>
        <v>0</v>
      </c>
      <c r="CX36" s="19" t="n">
        <f aca="false">CX35*Time!CX56*Inputs!$F$222</f>
        <v>0</v>
      </c>
      <c r="CY36" s="19" t="n">
        <f aca="false">CY35*Time!CY56*Inputs!$F$222</f>
        <v>0</v>
      </c>
      <c r="CZ36" s="19" t="n">
        <f aca="false">CZ35*Time!CZ56*Inputs!$F$222</f>
        <v>0</v>
      </c>
      <c r="DA36" s="19" t="n">
        <f aca="false">DA35*Time!DA56*Inputs!$F$222</f>
        <v>0</v>
      </c>
      <c r="DB36" s="19" t="n">
        <f aca="false">DB35*Time!DB56*Inputs!$F$222</f>
        <v>0</v>
      </c>
    </row>
    <row r="37" customFormat="false" ht="15" hidden="false" customHeight="false" outlineLevel="0" collapsed="false">
      <c r="D37" s="0" t="s">
        <v>404</v>
      </c>
      <c r="E37" s="0" t="s">
        <v>44</v>
      </c>
      <c r="G37" s="19" t="n">
        <f aca="false">SUM(J37:DB37)</f>
        <v>372.790846342951</v>
      </c>
      <c r="J37" s="19" t="n">
        <f aca="false">SUM(K36:P36)/Inputs!$F$153</f>
        <v>0</v>
      </c>
      <c r="K37" s="19" t="n">
        <f aca="false">SUM(L36:Q36)/Inputs!$F$153</f>
        <v>0</v>
      </c>
      <c r="L37" s="19" t="n">
        <f aca="false">SUM(M36:R36)/Inputs!$F$153</f>
        <v>0</v>
      </c>
      <c r="M37" s="19" t="n">
        <f aca="false">SUM(N36:S36)/Inputs!$F$153</f>
        <v>0</v>
      </c>
      <c r="N37" s="19" t="n">
        <f aca="false">SUM(O36:T36)/Inputs!$F$153</f>
        <v>0</v>
      </c>
      <c r="O37" s="19" t="n">
        <f aca="false">SUM(P36:U36)/Inputs!$F$153</f>
        <v>0</v>
      </c>
      <c r="P37" s="19" t="n">
        <f aca="false">SUM(Q36:V36)/Inputs!$F$153</f>
        <v>0</v>
      </c>
      <c r="Q37" s="19" t="n">
        <f aca="false">SUM(R36:W36)/Inputs!$F$153</f>
        <v>0</v>
      </c>
      <c r="R37" s="19" t="n">
        <f aca="false">SUM(S36:X36)/Inputs!$F$153</f>
        <v>0</v>
      </c>
      <c r="S37" s="19" t="n">
        <f aca="false">SUM(T36:Y36)/Inputs!$F$153</f>
        <v>0</v>
      </c>
      <c r="T37" s="19" t="n">
        <f aca="false">SUM(U36:Z36)/Inputs!$F$153</f>
        <v>0</v>
      </c>
      <c r="U37" s="19" t="n">
        <f aca="false">SUM(V36:AA36)/Inputs!$F$153</f>
        <v>0</v>
      </c>
      <c r="V37" s="19" t="n">
        <f aca="false">SUM(W36:AB36)/Inputs!$F$153</f>
        <v>0</v>
      </c>
      <c r="W37" s="19" t="n">
        <f aca="false">SUM(X36:AC36)/Inputs!$F$153</f>
        <v>0</v>
      </c>
      <c r="X37" s="19" t="n">
        <f aca="false">SUM(Y36:AD36)/Inputs!$F$153</f>
        <v>0</v>
      </c>
      <c r="Y37" s="19" t="n">
        <f aca="false">SUM(Z36:AE36)/Inputs!$F$153</f>
        <v>0</v>
      </c>
      <c r="Z37" s="19" t="n">
        <f aca="false">SUM(AA36:AF36)/Inputs!$F$153</f>
        <v>0</v>
      </c>
      <c r="AA37" s="19" t="n">
        <f aca="false">SUM(AB36:AG36)/Inputs!$F$153</f>
        <v>0</v>
      </c>
      <c r="AB37" s="19" t="n">
        <f aca="false">SUM(AC36:AH36)/Inputs!$F$153</f>
        <v>0</v>
      </c>
      <c r="AC37" s="19" t="n">
        <f aca="false">SUM(AD36:AI36)/Inputs!$F$153</f>
        <v>0</v>
      </c>
      <c r="AD37" s="19" t="n">
        <f aca="false">SUM(AE36:AJ36)/Inputs!$F$153</f>
        <v>0</v>
      </c>
      <c r="AE37" s="19" t="n">
        <f aca="false">SUM(AF36:AK36)/Inputs!$F$153</f>
        <v>0</v>
      </c>
      <c r="AF37" s="19" t="n">
        <f aca="false">SUM(AG36:AL36)/Inputs!$F$153</f>
        <v>0</v>
      </c>
      <c r="AG37" s="19" t="n">
        <f aca="false">SUM(AH36:AM36)/Inputs!$F$153</f>
        <v>0</v>
      </c>
      <c r="AH37" s="19" t="n">
        <f aca="false">SUM(AI36:AN36)/Inputs!$F$153</f>
        <v>0</v>
      </c>
      <c r="AI37" s="19" t="n">
        <f aca="false">SUM(AJ36:AO36)/Inputs!$F$153</f>
        <v>3.2146123116131</v>
      </c>
      <c r="AJ37" s="19" t="n">
        <f aca="false">SUM(AK36:AP36)/Inputs!$F$153</f>
        <v>3.2146123116131</v>
      </c>
      <c r="AK37" s="19" t="n">
        <f aca="false">SUM(AL36:AQ36)/Inputs!$F$153</f>
        <v>3.2146123116131</v>
      </c>
      <c r="AL37" s="19" t="n">
        <f aca="false">SUM(AM36:AR36)/Inputs!$F$153</f>
        <v>3.2146123116131</v>
      </c>
      <c r="AM37" s="19" t="n">
        <f aca="false">SUM(AN36:AS36)/Inputs!$F$153</f>
        <v>3.2146123116131</v>
      </c>
      <c r="AN37" s="19" t="n">
        <f aca="false">SUM(AO36:AT36)/Inputs!$F$153</f>
        <v>3.2146123116131</v>
      </c>
      <c r="AO37" s="19" t="n">
        <f aca="false">SUM(AP36:AU36)/Inputs!$F$153</f>
        <v>0</v>
      </c>
      <c r="AP37" s="19" t="n">
        <f aca="false">SUM(AQ36:AV36)/Inputs!$F$153</f>
        <v>0</v>
      </c>
      <c r="AQ37" s="19" t="n">
        <f aca="false">SUM(AR36:AW36)/Inputs!$F$153</f>
        <v>10.2829169821366</v>
      </c>
      <c r="AR37" s="19" t="n">
        <f aca="false">SUM(AS36:AX36)/Inputs!$F$153</f>
        <v>10.2829169821366</v>
      </c>
      <c r="AS37" s="19" t="n">
        <f aca="false">SUM(AT36:AY36)/Inputs!$F$153</f>
        <v>10.2829169821366</v>
      </c>
      <c r="AT37" s="19" t="n">
        <f aca="false">SUM(AU36:AZ36)/Inputs!$F$153</f>
        <v>10.2829169821366</v>
      </c>
      <c r="AU37" s="19" t="n">
        <f aca="false">SUM(AV36:BA36)/Inputs!$F$153</f>
        <v>10.2829169821366</v>
      </c>
      <c r="AV37" s="19" t="n">
        <f aca="false">SUM(AW36:BB36)/Inputs!$F$153</f>
        <v>10.2829169821366</v>
      </c>
      <c r="AW37" s="19" t="n">
        <f aca="false">SUM(AX36:BC36)/Inputs!$F$153</f>
        <v>8.29218551580624</v>
      </c>
      <c r="AX37" s="19" t="n">
        <f aca="false">SUM(AY36:BD36)/Inputs!$F$153</f>
        <v>8.29218551580624</v>
      </c>
      <c r="AY37" s="19" t="n">
        <f aca="false">SUM(AZ36:BE36)/Inputs!$F$153</f>
        <v>12.2088784706467</v>
      </c>
      <c r="AZ37" s="19" t="n">
        <f aca="false">SUM(BA36:BF36)/Inputs!$F$153</f>
        <v>12.2088784706467</v>
      </c>
      <c r="BA37" s="19" t="n">
        <f aca="false">SUM(BB36:BG36)/Inputs!$F$153</f>
        <v>12.2088784706467</v>
      </c>
      <c r="BB37" s="19" t="n">
        <f aca="false">SUM(BC36:BH36)/Inputs!$F$153</f>
        <v>12.2088784706467</v>
      </c>
      <c r="BC37" s="19" t="n">
        <f aca="false">SUM(BD36:BI36)/Inputs!$F$153</f>
        <v>3.91669295484046</v>
      </c>
      <c r="BD37" s="19" t="n">
        <f aca="false">SUM(BE36:BJ36)/Inputs!$F$153</f>
        <v>3.91669295484046</v>
      </c>
      <c r="BE37" s="19" t="n">
        <f aca="false">SUM(BF36:BK36)/Inputs!$F$153</f>
        <v>0</v>
      </c>
      <c r="BF37" s="19" t="n">
        <f aca="false">SUM(BG36:BL36)/Inputs!$F$153</f>
        <v>0</v>
      </c>
      <c r="BG37" s="19" t="n">
        <f aca="false">SUM(BH36:BM36)/Inputs!$F$153</f>
        <v>0</v>
      </c>
      <c r="BH37" s="19" t="n">
        <f aca="false">SUM(BI36:BN36)/Inputs!$F$153</f>
        <v>0</v>
      </c>
      <c r="BI37" s="19" t="n">
        <f aca="false">SUM(BJ36:BO36)/Inputs!$F$153</f>
        <v>0</v>
      </c>
      <c r="BJ37" s="19" t="n">
        <f aca="false">SUM(BK36:BP36)/Inputs!$F$153</f>
        <v>0</v>
      </c>
      <c r="BK37" s="19" t="n">
        <f aca="false">SUM(BL36:BQ36)/Inputs!$F$153</f>
        <v>0</v>
      </c>
      <c r="BL37" s="19" t="n">
        <f aca="false">SUM(BM36:BR36)/Inputs!$F$153</f>
        <v>0</v>
      </c>
      <c r="BM37" s="19" t="n">
        <f aca="false">SUM(BN36:BS36)/Inputs!$F$153</f>
        <v>0</v>
      </c>
      <c r="BN37" s="19" t="n">
        <f aca="false">SUM(BO36:BT36)/Inputs!$F$153</f>
        <v>0</v>
      </c>
      <c r="BO37" s="19" t="n">
        <f aca="false">SUM(BP36:BU36)/Inputs!$F$153</f>
        <v>18.6014901747622</v>
      </c>
      <c r="BP37" s="19" t="n">
        <f aca="false">SUM(BQ36:BV36)/Inputs!$F$153</f>
        <v>18.6014901747622</v>
      </c>
      <c r="BQ37" s="19" t="n">
        <f aca="false">SUM(BR36:BW36)/Inputs!$F$153</f>
        <v>18.6014901747622</v>
      </c>
      <c r="BR37" s="19" t="n">
        <f aca="false">SUM(BS36:BX36)/Inputs!$F$153</f>
        <v>18.6014901747622</v>
      </c>
      <c r="BS37" s="19" t="n">
        <f aca="false">SUM(BT36:BY36)/Inputs!$F$153</f>
        <v>18.6014901747622</v>
      </c>
      <c r="BT37" s="19" t="n">
        <f aca="false">SUM(BU36:BZ36)/Inputs!$F$153</f>
        <v>18.6014901747622</v>
      </c>
      <c r="BU37" s="19" t="n">
        <f aca="false">SUM(BV36:CA36)/Inputs!$F$153</f>
        <v>0</v>
      </c>
      <c r="BV37" s="19" t="n">
        <f aca="false">SUM(BW36:CB36)/Inputs!$F$153</f>
        <v>0</v>
      </c>
      <c r="BW37" s="19" t="n">
        <f aca="false">SUM(BX36:CC36)/Inputs!$F$153</f>
        <v>0</v>
      </c>
      <c r="BX37" s="19" t="n">
        <f aca="false">SUM(BY36:CD36)/Inputs!$F$153</f>
        <v>0</v>
      </c>
      <c r="BY37" s="19" t="n">
        <f aca="false">SUM(BZ36:CE36)/Inputs!$F$153</f>
        <v>0</v>
      </c>
      <c r="BZ37" s="19" t="n">
        <f aca="false">SUM(CA36:CF36)/Inputs!$F$153</f>
        <v>0</v>
      </c>
      <c r="CA37" s="19" t="n">
        <f aca="false">SUM(CB36:CG36)/Inputs!$F$153</f>
        <v>12.0095570788044</v>
      </c>
      <c r="CB37" s="19" t="n">
        <f aca="false">SUM(CC36:CH36)/Inputs!$F$153</f>
        <v>12.0095570788044</v>
      </c>
      <c r="CC37" s="19" t="n">
        <f aca="false">SUM(CD36:CI36)/Inputs!$F$153</f>
        <v>12.0095570788044</v>
      </c>
      <c r="CD37" s="19" t="n">
        <f aca="false">SUM(CE36:CJ36)/Inputs!$F$153</f>
        <v>12.0095570788044</v>
      </c>
      <c r="CE37" s="19" t="n">
        <f aca="false">SUM(CF36:CK36)/Inputs!$F$153</f>
        <v>17.8239097846666</v>
      </c>
      <c r="CF37" s="19" t="n">
        <f aca="false">SUM(CG36:CL36)/Inputs!$F$153</f>
        <v>17.8239097846666</v>
      </c>
      <c r="CG37" s="19" t="n">
        <f aca="false">SUM(CH36:CM36)/Inputs!$F$153</f>
        <v>5.81435270586228</v>
      </c>
      <c r="CH37" s="19" t="n">
        <f aca="false">SUM(CI36:CN36)/Inputs!$F$153</f>
        <v>5.81435270586228</v>
      </c>
      <c r="CI37" s="19" t="n">
        <f aca="false">SUM(CJ36:CO36)/Inputs!$F$153</f>
        <v>5.81435270586228</v>
      </c>
      <c r="CJ37" s="19" t="n">
        <f aca="false">SUM(CK36:CP36)/Inputs!$F$153</f>
        <v>5.81435270586228</v>
      </c>
      <c r="CK37" s="19" t="n">
        <f aca="false">SUM(CL36:CQ36)/Inputs!$F$153</f>
        <v>0</v>
      </c>
      <c r="CL37" s="19" t="n">
        <f aca="false">SUM(CM36:CR36)/Inputs!$F$153</f>
        <v>0</v>
      </c>
      <c r="CM37" s="19" t="n">
        <f aca="false">SUM(CN36:CS36)/Inputs!$F$153</f>
        <v>0</v>
      </c>
      <c r="CN37" s="19" t="n">
        <f aca="false">SUM(CO36:CT36)/Inputs!$F$153</f>
        <v>0</v>
      </c>
      <c r="CO37" s="19" t="n">
        <f aca="false">SUM(CP36:CU36)/Inputs!$F$153</f>
        <v>0</v>
      </c>
      <c r="CP37" s="19" t="n">
        <f aca="false">SUM(CQ36:CV36)/Inputs!$F$153</f>
        <v>0</v>
      </c>
      <c r="CQ37" s="19" t="n">
        <f aca="false">SUM(CR36:CW36)/Inputs!$F$153</f>
        <v>0</v>
      </c>
      <c r="CR37" s="19" t="n">
        <f aca="false">SUM(CS36:CX36)/Inputs!$F$153</f>
        <v>0</v>
      </c>
      <c r="CS37" s="19" t="n">
        <f aca="false">SUM(CT36:CY36)/Inputs!$F$153</f>
        <v>0</v>
      </c>
      <c r="CT37" s="19" t="n">
        <f aca="false">SUM(CU36:CZ36)/Inputs!$F$153</f>
        <v>0</v>
      </c>
      <c r="CU37" s="19" t="n">
        <f aca="false">SUM(CV36:DA36)/Inputs!$F$153</f>
        <v>0</v>
      </c>
      <c r="CV37" s="19" t="n">
        <f aca="false">SUM(CW36:DB36)/Inputs!$F$153</f>
        <v>0</v>
      </c>
      <c r="CW37" s="19" t="n">
        <f aca="false">SUM(CX36:DC36)/Inputs!$F$153</f>
        <v>0</v>
      </c>
      <c r="CX37" s="19" t="n">
        <f aca="false">SUM(CY36:DD36)/Inputs!$F$153</f>
        <v>0</v>
      </c>
      <c r="CY37" s="19" t="n">
        <f aca="false">SUM(CZ36:DE36)/Inputs!$F$153</f>
        <v>0</v>
      </c>
      <c r="CZ37" s="19" t="n">
        <f aca="false">SUM(DA36:DF36)/Inputs!$F$153</f>
        <v>0</v>
      </c>
      <c r="DA37" s="19" t="n">
        <f aca="false">SUM(DB36:DG36)/Inputs!$F$153</f>
        <v>0</v>
      </c>
      <c r="DB37" s="19" t="n">
        <f aca="false">SUM(DC36:DH36)/Inputs!$F$153</f>
        <v>0</v>
      </c>
    </row>
    <row r="38" customFormat="false" ht="15" hidden="false" customHeight="false" outlineLevel="0" collapsed="false">
      <c r="D38" s="0" t="s">
        <v>405</v>
      </c>
      <c r="E38" s="0" t="s">
        <v>42</v>
      </c>
      <c r="J38" s="14" t="n">
        <f aca="false">IF(AND(Time!J26=1,Time!J7&gt;=EDATE(Time!$F$17,-Inputs!$F$49)),1,0)</f>
        <v>0</v>
      </c>
      <c r="K38" s="14" t="n">
        <f aca="false">IF(AND(Time!K26=1,Time!K7&gt;=EDATE(Time!$F$17,-Inputs!$F$49)),1,0)</f>
        <v>0</v>
      </c>
      <c r="L38" s="14" t="n">
        <f aca="false">IF(AND(Time!L26=1,Time!L7&gt;=EDATE(Time!$F$17,-Inputs!$F$49)),1,0)</f>
        <v>0</v>
      </c>
      <c r="M38" s="14" t="n">
        <f aca="false">IF(AND(Time!M26=1,Time!M7&gt;=EDATE(Time!$F$17,-Inputs!$F$49)),1,0)</f>
        <v>0</v>
      </c>
      <c r="N38" s="14" t="n">
        <f aca="false">IF(AND(Time!N26=1,Time!N7&gt;=EDATE(Time!$F$17,-Inputs!$F$49)),1,0)</f>
        <v>0</v>
      </c>
      <c r="O38" s="14" t="n">
        <f aca="false">IF(AND(Time!O26=1,Time!O7&gt;=EDATE(Time!$F$17,-Inputs!$F$49)),1,0)</f>
        <v>0</v>
      </c>
      <c r="P38" s="14" t="n">
        <f aca="false">IF(AND(Time!P26=1,Time!P7&gt;=EDATE(Time!$F$17,-Inputs!$F$49)),1,0)</f>
        <v>0</v>
      </c>
      <c r="Q38" s="14" t="n">
        <f aca="false">IF(AND(Time!Q26=1,Time!Q7&gt;=EDATE(Time!$F$17,-Inputs!$F$49)),1,0)</f>
        <v>0</v>
      </c>
      <c r="R38" s="14" t="n">
        <f aca="false">IF(AND(Time!R26=1,Time!R7&gt;=EDATE(Time!$F$17,-Inputs!$F$49)),1,0)</f>
        <v>0</v>
      </c>
      <c r="S38" s="14" t="n">
        <f aca="false">IF(AND(Time!S26=1,Time!S7&gt;=EDATE(Time!$F$17,-Inputs!$F$49)),1,0)</f>
        <v>0</v>
      </c>
      <c r="T38" s="14" t="n">
        <f aca="false">IF(AND(Time!T26=1,Time!T7&gt;=EDATE(Time!$F$17,-Inputs!$F$49)),1,0)</f>
        <v>0</v>
      </c>
      <c r="U38" s="14" t="n">
        <f aca="false">IF(AND(Time!U26=1,Time!U7&gt;=EDATE(Time!$F$17,-Inputs!$F$49)),1,0)</f>
        <v>0</v>
      </c>
      <c r="V38" s="14" t="n">
        <f aca="false">IF(AND(Time!V26=1,Time!V7&gt;=EDATE(Time!$F$17,-Inputs!$F$49)),1,0)</f>
        <v>0</v>
      </c>
      <c r="W38" s="14" t="n">
        <f aca="false">IF(AND(Time!W26=1,Time!W7&gt;=EDATE(Time!$F$17,-Inputs!$F$49)),1,0)</f>
        <v>0</v>
      </c>
      <c r="X38" s="14" t="n">
        <f aca="false">IF(AND(Time!X26=1,Time!X7&gt;=EDATE(Time!$F$17,-Inputs!$F$49)),1,0)</f>
        <v>0</v>
      </c>
      <c r="Y38" s="14" t="n">
        <f aca="false">IF(AND(Time!Y26=1,Time!Y7&gt;=EDATE(Time!$F$17,-Inputs!$F$49)),1,0)</f>
        <v>0</v>
      </c>
      <c r="Z38" s="14" t="n">
        <f aca="false">IF(AND(Time!Z26=1,Time!Z7&gt;=EDATE(Time!$F$17,-Inputs!$F$49)),1,0)</f>
        <v>0</v>
      </c>
      <c r="AA38" s="14" t="n">
        <f aca="false">IF(AND(Time!AA26=1,Time!AA7&gt;=EDATE(Time!$F$17,-Inputs!$F$49)),1,0)</f>
        <v>0</v>
      </c>
      <c r="AB38" s="14" t="n">
        <f aca="false">IF(AND(Time!AB26=1,Time!AB7&gt;=EDATE(Time!$F$17,-Inputs!$F$49)),1,0)</f>
        <v>0</v>
      </c>
      <c r="AC38" s="14" t="n">
        <f aca="false">IF(AND(Time!AC26=1,Time!AC7&gt;=EDATE(Time!$F$17,-Inputs!$F$49)),1,0)</f>
        <v>0</v>
      </c>
      <c r="AD38" s="14" t="n">
        <f aca="false">IF(AND(Time!AD26=1,Time!AD7&gt;=EDATE(Time!$F$17,-Inputs!$F$49)),1,0)</f>
        <v>0</v>
      </c>
      <c r="AE38" s="14" t="n">
        <f aca="false">IF(AND(Time!AE26=1,Time!AE7&gt;=EDATE(Time!$F$17,-Inputs!$F$49)),1,0)</f>
        <v>0</v>
      </c>
      <c r="AF38" s="14" t="n">
        <f aca="false">IF(AND(Time!AF26=1,Time!AF7&gt;=EDATE(Time!$F$17,-Inputs!$F$49)),1,0)</f>
        <v>0</v>
      </c>
      <c r="AG38" s="14" t="n">
        <f aca="false">IF(AND(Time!AG26=1,Time!AG7&gt;=EDATE(Time!$F$17,-Inputs!$F$49)),1,0)</f>
        <v>0</v>
      </c>
      <c r="AH38" s="14" t="n">
        <f aca="false">IF(AND(Time!AH26=1,Time!AH7&gt;=EDATE(Time!$F$17,-Inputs!$F$49)),1,0)</f>
        <v>0</v>
      </c>
      <c r="AI38" s="14" t="n">
        <f aca="false">IF(AND(Time!AI26=1,Time!AI7&gt;=EDATE(Time!$F$17,-Inputs!$F$49)),1,0)</f>
        <v>0</v>
      </c>
      <c r="AJ38" s="14" t="n">
        <f aca="false">IF(AND(Time!AJ26=1,Time!AJ7&gt;=EDATE(Time!$F$17,-Inputs!$F$49)),1,0)</f>
        <v>0</v>
      </c>
      <c r="AK38" s="14" t="n">
        <f aca="false">IF(AND(Time!AK26=1,Time!AK7&gt;=EDATE(Time!$F$17,-Inputs!$F$49)),1,0)</f>
        <v>0</v>
      </c>
      <c r="AL38" s="14" t="n">
        <f aca="false">IF(AND(Time!AL26=1,Time!AL7&gt;=EDATE(Time!$F$17,-Inputs!$F$49)),1,0)</f>
        <v>0</v>
      </c>
      <c r="AM38" s="14" t="n">
        <f aca="false">IF(AND(Time!AM26=1,Time!AM7&gt;=EDATE(Time!$F$17,-Inputs!$F$49)),1,0)</f>
        <v>0</v>
      </c>
      <c r="AN38" s="14" t="n">
        <f aca="false">IF(AND(Time!AN26=1,Time!AN7&gt;=EDATE(Time!$F$17,-Inputs!$F$49)),1,0)</f>
        <v>0</v>
      </c>
      <c r="AO38" s="14" t="n">
        <f aca="false">IF(AND(Time!AO26=1,Time!AO7&gt;=EDATE(Time!$F$17,-Inputs!$F$49)),1,0)</f>
        <v>0</v>
      </c>
      <c r="AP38" s="14" t="n">
        <f aca="false">IF(AND(Time!AP26=1,Time!AP7&gt;=EDATE(Time!$F$17,-Inputs!$F$49)),1,0)</f>
        <v>0</v>
      </c>
      <c r="AQ38" s="14" t="n">
        <f aca="false">IF(AND(Time!AQ26=1,Time!AQ7&gt;=EDATE(Time!$F$17,-Inputs!$F$49)),1,0)</f>
        <v>0</v>
      </c>
      <c r="AR38" s="14" t="n">
        <f aca="false">IF(AND(Time!AR26=1,Time!AR7&gt;=EDATE(Time!$F$17,-Inputs!$F$49)),1,0)</f>
        <v>0</v>
      </c>
      <c r="AS38" s="14" t="n">
        <f aca="false">IF(AND(Time!AS26=1,Time!AS7&gt;=EDATE(Time!$F$17,-Inputs!$F$49)),1,0)</f>
        <v>0</v>
      </c>
      <c r="AT38" s="14" t="n">
        <f aca="false">IF(AND(Time!AT26=1,Time!AT7&gt;=EDATE(Time!$F$17,-Inputs!$F$49)),1,0)</f>
        <v>0</v>
      </c>
      <c r="AU38" s="14" t="n">
        <f aca="false">IF(AND(Time!AU26=1,Time!AU7&gt;=EDATE(Time!$F$17,-Inputs!$F$49)),1,0)</f>
        <v>0</v>
      </c>
      <c r="AV38" s="14" t="n">
        <f aca="false">IF(AND(Time!AV26=1,Time!AV7&gt;=EDATE(Time!$F$17,-Inputs!$F$49)),1,0)</f>
        <v>0</v>
      </c>
      <c r="AW38" s="14" t="n">
        <f aca="false">IF(AND(Time!AW26=1,Time!AW7&gt;=EDATE(Time!$F$17,-Inputs!$F$49)),1,0)</f>
        <v>0</v>
      </c>
      <c r="AX38" s="14" t="n">
        <f aca="false">IF(AND(Time!AX26=1,Time!AX7&gt;=EDATE(Time!$F$17,-Inputs!$F$49)),1,0)</f>
        <v>0</v>
      </c>
      <c r="AY38" s="14" t="n">
        <f aca="false">IF(AND(Time!AY26=1,Time!AY7&gt;=EDATE(Time!$F$17,-Inputs!$F$49)),1,0)</f>
        <v>0</v>
      </c>
      <c r="AZ38" s="14" t="n">
        <f aca="false">IF(AND(Time!AZ26=1,Time!AZ7&gt;=EDATE(Time!$F$17,-Inputs!$F$49)),1,0)</f>
        <v>0</v>
      </c>
      <c r="BA38" s="14" t="n">
        <f aca="false">IF(AND(Time!BA26=1,Time!BA7&gt;=EDATE(Time!$F$17,-Inputs!$F$49)),1,0)</f>
        <v>0</v>
      </c>
      <c r="BB38" s="14" t="n">
        <f aca="false">IF(AND(Time!BB26=1,Time!BB7&gt;=EDATE(Time!$F$17,-Inputs!$F$49)),1,0)</f>
        <v>0</v>
      </c>
      <c r="BC38" s="14" t="n">
        <f aca="false">IF(AND(Time!BC26=1,Time!BC7&gt;=EDATE(Time!$F$17,-Inputs!$F$49)),1,0)</f>
        <v>0</v>
      </c>
      <c r="BD38" s="14" t="n">
        <f aca="false">IF(AND(Time!BD26=1,Time!BD7&gt;=EDATE(Time!$F$17,-Inputs!$F$49)),1,0)</f>
        <v>0</v>
      </c>
      <c r="BE38" s="14" t="n">
        <f aca="false">IF(AND(Time!BE26=1,Time!BE7&gt;=EDATE(Time!$F$17,-Inputs!$F$49)),1,0)</f>
        <v>0</v>
      </c>
      <c r="BF38" s="14" t="n">
        <f aca="false">IF(AND(Time!BF26=1,Time!BF7&gt;=EDATE(Time!$F$17,-Inputs!$F$49)),1,0)</f>
        <v>0</v>
      </c>
      <c r="BG38" s="14" t="n">
        <f aca="false">IF(AND(Time!BG26=1,Time!BG7&gt;=EDATE(Time!$F$17,-Inputs!$F$49)),1,0)</f>
        <v>0</v>
      </c>
      <c r="BH38" s="14" t="n">
        <f aca="false">IF(AND(Time!BH26=1,Time!BH7&gt;=EDATE(Time!$F$17,-Inputs!$F$49)),1,0)</f>
        <v>0</v>
      </c>
      <c r="BI38" s="14" t="n">
        <f aca="false">IF(AND(Time!BI26=1,Time!BI7&gt;=EDATE(Time!$F$17,-Inputs!$F$49)),1,0)</f>
        <v>0</v>
      </c>
      <c r="BJ38" s="14" t="n">
        <f aca="false">IF(AND(Time!BJ26=1,Time!BJ7&gt;=EDATE(Time!$F$17,-Inputs!$F$49)),1,0)</f>
        <v>0</v>
      </c>
      <c r="BK38" s="14" t="n">
        <f aca="false">IF(AND(Time!BK26=1,Time!BK7&gt;=EDATE(Time!$F$17,-Inputs!$F$49)),1,0)</f>
        <v>0</v>
      </c>
      <c r="BL38" s="14" t="n">
        <f aca="false">IF(AND(Time!BL26=1,Time!BL7&gt;=EDATE(Time!$F$17,-Inputs!$F$49)),1,0)</f>
        <v>0</v>
      </c>
      <c r="BM38" s="14" t="n">
        <f aca="false">IF(AND(Time!BM26=1,Time!BM7&gt;=EDATE(Time!$F$17,-Inputs!$F$49)),1,0)</f>
        <v>0</v>
      </c>
      <c r="BN38" s="14" t="n">
        <f aca="false">IF(AND(Time!BN26=1,Time!BN7&gt;=EDATE(Time!$F$17,-Inputs!$F$49)),1,0)</f>
        <v>0</v>
      </c>
      <c r="BO38" s="14" t="n">
        <f aca="false">IF(AND(Time!BO26=1,Time!BO7&gt;=EDATE(Time!$F$17,-Inputs!$F$49)),1,0)</f>
        <v>0</v>
      </c>
      <c r="BP38" s="14" t="n">
        <f aca="false">IF(AND(Time!BP26=1,Time!BP7&gt;=EDATE(Time!$F$17,-Inputs!$F$49)),1,0)</f>
        <v>0</v>
      </c>
      <c r="BQ38" s="14" t="n">
        <f aca="false">IF(AND(Time!BQ26=1,Time!BQ7&gt;=EDATE(Time!$F$17,-Inputs!$F$49)),1,0)</f>
        <v>0</v>
      </c>
      <c r="BR38" s="14" t="n">
        <f aca="false">IF(AND(Time!BR26=1,Time!BR7&gt;=EDATE(Time!$F$17,-Inputs!$F$49)),1,0)</f>
        <v>0</v>
      </c>
      <c r="BS38" s="14" t="n">
        <f aca="false">IF(AND(Time!BS26=1,Time!BS7&gt;=EDATE(Time!$F$17,-Inputs!$F$49)),1,0)</f>
        <v>0</v>
      </c>
      <c r="BT38" s="14" t="n">
        <f aca="false">IF(AND(Time!BT26=1,Time!BT7&gt;=EDATE(Time!$F$17,-Inputs!$F$49)),1,0)</f>
        <v>0</v>
      </c>
      <c r="BU38" s="14" t="n">
        <f aca="false">IF(AND(Time!BU26=1,Time!BU7&gt;=EDATE(Time!$F$17,-Inputs!$F$49)),1,0)</f>
        <v>0</v>
      </c>
      <c r="BV38" s="14" t="n">
        <f aca="false">IF(AND(Time!BV26=1,Time!BV7&gt;=EDATE(Time!$F$17,-Inputs!$F$49)),1,0)</f>
        <v>0</v>
      </c>
      <c r="BW38" s="14" t="n">
        <f aca="false">IF(AND(Time!BW26=1,Time!BW7&gt;=EDATE(Time!$F$17,-Inputs!$F$49)),1,0)</f>
        <v>0</v>
      </c>
      <c r="BX38" s="14" t="n">
        <f aca="false">IF(AND(Time!BX26=1,Time!BX7&gt;=EDATE(Time!$F$17,-Inputs!$F$49)),1,0)</f>
        <v>0</v>
      </c>
      <c r="BY38" s="14" t="n">
        <f aca="false">IF(AND(Time!BY26=1,Time!BY7&gt;=EDATE(Time!$F$17,-Inputs!$F$49)),1,0)</f>
        <v>0</v>
      </c>
      <c r="BZ38" s="14" t="n">
        <f aca="false">IF(AND(Time!BZ26=1,Time!BZ7&gt;=EDATE(Time!$F$17,-Inputs!$F$49)),1,0)</f>
        <v>0</v>
      </c>
      <c r="CA38" s="14" t="n">
        <f aca="false">IF(AND(Time!CA26=1,Time!CA7&gt;=EDATE(Time!$F$17,-Inputs!$F$49)),1,0)</f>
        <v>0</v>
      </c>
      <c r="CB38" s="14" t="n">
        <f aca="false">IF(AND(Time!CB26=1,Time!CB7&gt;=EDATE(Time!$F$17,-Inputs!$F$49)),1,0)</f>
        <v>0</v>
      </c>
      <c r="CC38" s="14" t="n">
        <f aca="false">IF(AND(Time!CC26=1,Time!CC7&gt;=EDATE(Time!$F$17,-Inputs!$F$49)),1,0)</f>
        <v>0</v>
      </c>
      <c r="CD38" s="14" t="n">
        <f aca="false">IF(AND(Time!CD26=1,Time!CD7&gt;=EDATE(Time!$F$17,-Inputs!$F$49)),1,0)</f>
        <v>0</v>
      </c>
      <c r="CE38" s="14" t="n">
        <f aca="false">IF(AND(Time!CE26=1,Time!CE7&gt;=EDATE(Time!$F$17,-Inputs!$F$49)),1,0)</f>
        <v>0</v>
      </c>
      <c r="CF38" s="14" t="n">
        <f aca="false">IF(AND(Time!CF26=1,Time!CF7&gt;=EDATE(Time!$F$17,-Inputs!$F$49)),1,0)</f>
        <v>0</v>
      </c>
      <c r="CG38" s="14" t="n">
        <f aca="false">IF(AND(Time!CG26=1,Time!CG7&gt;=EDATE(Time!$F$17,-Inputs!$F$49)),1,0)</f>
        <v>1</v>
      </c>
      <c r="CH38" s="14" t="n">
        <f aca="false">IF(AND(Time!CH26=1,Time!CH7&gt;=EDATE(Time!$F$17,-Inputs!$F$49)),1,0)</f>
        <v>1</v>
      </c>
      <c r="CI38" s="14" t="n">
        <f aca="false">IF(AND(Time!CI26=1,Time!CI7&gt;=EDATE(Time!$F$17,-Inputs!$F$49)),1,0)</f>
        <v>1</v>
      </c>
      <c r="CJ38" s="14" t="n">
        <f aca="false">IF(AND(Time!CJ26=1,Time!CJ7&gt;=EDATE(Time!$F$17,-Inputs!$F$49)),1,0)</f>
        <v>1</v>
      </c>
      <c r="CK38" s="14" t="n">
        <f aca="false">IF(AND(Time!CK26=1,Time!CK7&gt;=EDATE(Time!$F$17,-Inputs!$F$49)),1,0)</f>
        <v>1</v>
      </c>
      <c r="CL38" s="14" t="n">
        <f aca="false">IF(AND(Time!CL26=1,Time!CL7&gt;=EDATE(Time!$F$17,-Inputs!$F$49)),1,0)</f>
        <v>1</v>
      </c>
      <c r="CM38" s="14" t="n">
        <f aca="false">IF(AND(Time!CM26=1,Time!CM7&gt;=EDATE(Time!$F$17,-Inputs!$F$49)),1,0)</f>
        <v>1</v>
      </c>
      <c r="CN38" s="14" t="n">
        <f aca="false">IF(AND(Time!CN26=1,Time!CN7&gt;=EDATE(Time!$F$17,-Inputs!$F$49)),1,0)</f>
        <v>1</v>
      </c>
      <c r="CO38" s="14" t="n">
        <f aca="false">IF(AND(Time!CO26=1,Time!CO7&gt;=EDATE(Time!$F$17,-Inputs!$F$49)),1,0)</f>
        <v>1</v>
      </c>
      <c r="CP38" s="14" t="n">
        <f aca="false">IF(AND(Time!CP26=1,Time!CP7&gt;=EDATE(Time!$F$17,-Inputs!$F$49)),1,0)</f>
        <v>1</v>
      </c>
      <c r="CQ38" s="14" t="n">
        <f aca="false">IF(AND(Time!CQ26=1,Time!CQ7&gt;=EDATE(Time!$F$17,-Inputs!$F$49)),1,0)</f>
        <v>0</v>
      </c>
      <c r="CR38" s="14" t="n">
        <f aca="false">IF(AND(Time!CR26=1,Time!CR7&gt;=EDATE(Time!$F$17,-Inputs!$F$49)),1,0)</f>
        <v>0</v>
      </c>
      <c r="CS38" s="14" t="n">
        <f aca="false">IF(AND(Time!CS26=1,Time!CS7&gt;=EDATE(Time!$F$17,-Inputs!$F$49)),1,0)</f>
        <v>0</v>
      </c>
      <c r="CT38" s="14" t="n">
        <f aca="false">IF(AND(Time!CT26=1,Time!CT7&gt;=EDATE(Time!$F$17,-Inputs!$F$49)),1,0)</f>
        <v>0</v>
      </c>
      <c r="CU38" s="14" t="n">
        <f aca="false">IF(AND(Time!CU26=1,Time!CU7&gt;=EDATE(Time!$F$17,-Inputs!$F$49)),1,0)</f>
        <v>0</v>
      </c>
      <c r="CV38" s="14" t="n">
        <f aca="false">IF(AND(Time!CV26=1,Time!CV7&gt;=EDATE(Time!$F$17,-Inputs!$F$49)),1,0)</f>
        <v>0</v>
      </c>
      <c r="CW38" s="14" t="n">
        <f aca="false">IF(AND(Time!CW26=1,Time!CW7&gt;=EDATE(Time!$F$17,-Inputs!$F$49)),1,0)</f>
        <v>0</v>
      </c>
      <c r="CX38" s="14" t="n">
        <f aca="false">IF(AND(Time!CX26=1,Time!CX7&gt;=EDATE(Time!$F$17,-Inputs!$F$49)),1,0)</f>
        <v>0</v>
      </c>
      <c r="CY38" s="14" t="n">
        <f aca="false">IF(AND(Time!CY26=1,Time!CY7&gt;=EDATE(Time!$F$17,-Inputs!$F$49)),1,0)</f>
        <v>0</v>
      </c>
      <c r="CZ38" s="14" t="n">
        <f aca="false">IF(AND(Time!CZ26=1,Time!CZ7&gt;=EDATE(Time!$F$17,-Inputs!$F$49)),1,0)</f>
        <v>0</v>
      </c>
      <c r="DA38" s="14" t="n">
        <f aca="false">IF(AND(Time!DA26=1,Time!DA7&gt;=EDATE(Time!$F$17,-Inputs!$F$49)),1,0)</f>
        <v>0</v>
      </c>
      <c r="DB38" s="14" t="n">
        <f aca="false">IF(AND(Time!DB26=1,Time!DB7&gt;=EDATE(Time!$F$17,-Inputs!$F$49)),1,0)</f>
        <v>0</v>
      </c>
    </row>
    <row r="39" customFormat="false" ht="15" hidden="false" customHeight="false" outlineLevel="0" collapsed="false">
      <c r="D39" s="0" t="s">
        <v>406</v>
      </c>
      <c r="E39" s="0" t="s">
        <v>44</v>
      </c>
      <c r="G39" s="19" t="n">
        <f aca="false">SUM(J39:DB39)</f>
        <v>102.424696319643</v>
      </c>
      <c r="J39" s="19" t="n">
        <f aca="false">Inputs!$F$154*Time!J56*Inputs!$F$222/Inputs!$F$155*J38</f>
        <v>0</v>
      </c>
      <c r="K39" s="19" t="n">
        <f aca="false">Inputs!$F$154*Time!K56*Inputs!$F$222/Inputs!$F$155*K38</f>
        <v>0</v>
      </c>
      <c r="L39" s="19" t="n">
        <f aca="false">Inputs!$F$154*Time!L56*Inputs!$F$222/Inputs!$F$155*L38</f>
        <v>0</v>
      </c>
      <c r="M39" s="19" t="n">
        <f aca="false">Inputs!$F$154*Time!M56*Inputs!$F$222/Inputs!$F$155*M38</f>
        <v>0</v>
      </c>
      <c r="N39" s="19" t="n">
        <f aca="false">Inputs!$F$154*Time!N56*Inputs!$F$222/Inputs!$F$155*N38</f>
        <v>0</v>
      </c>
      <c r="O39" s="19" t="n">
        <f aca="false">Inputs!$F$154*Time!O56*Inputs!$F$222/Inputs!$F$155*O38</f>
        <v>0</v>
      </c>
      <c r="P39" s="19" t="n">
        <f aca="false">Inputs!$F$154*Time!P56*Inputs!$F$222/Inputs!$F$155*P38</f>
        <v>0</v>
      </c>
      <c r="Q39" s="19" t="n">
        <f aca="false">Inputs!$F$154*Time!Q56*Inputs!$F$222/Inputs!$F$155*Q38</f>
        <v>0</v>
      </c>
      <c r="R39" s="19" t="n">
        <f aca="false">Inputs!$F$154*Time!R56*Inputs!$F$222/Inputs!$F$155*R38</f>
        <v>0</v>
      </c>
      <c r="S39" s="19" t="n">
        <f aca="false">Inputs!$F$154*Time!S56*Inputs!$F$222/Inputs!$F$155*S38</f>
        <v>0</v>
      </c>
      <c r="T39" s="19" t="n">
        <f aca="false">Inputs!$F$154*Time!T56*Inputs!$F$222/Inputs!$F$155*T38</f>
        <v>0</v>
      </c>
      <c r="U39" s="19" t="n">
        <f aca="false">Inputs!$F$154*Time!U56*Inputs!$F$222/Inputs!$F$155*U38</f>
        <v>0</v>
      </c>
      <c r="V39" s="19" t="n">
        <f aca="false">Inputs!$F$154*Time!V56*Inputs!$F$222/Inputs!$F$155*V38</f>
        <v>0</v>
      </c>
      <c r="W39" s="19" t="n">
        <f aca="false">Inputs!$F$154*Time!W56*Inputs!$F$222/Inputs!$F$155*W38</f>
        <v>0</v>
      </c>
      <c r="X39" s="19" t="n">
        <f aca="false">Inputs!$F$154*Time!X56*Inputs!$F$222/Inputs!$F$155*X38</f>
        <v>0</v>
      </c>
      <c r="Y39" s="19" t="n">
        <f aca="false">Inputs!$F$154*Time!Y56*Inputs!$F$222/Inputs!$F$155*Y38</f>
        <v>0</v>
      </c>
      <c r="Z39" s="19" t="n">
        <f aca="false">Inputs!$F$154*Time!Z56*Inputs!$F$222/Inputs!$F$155*Z38</f>
        <v>0</v>
      </c>
      <c r="AA39" s="19" t="n">
        <f aca="false">Inputs!$F$154*Time!AA56*Inputs!$F$222/Inputs!$F$155*AA38</f>
        <v>0</v>
      </c>
      <c r="AB39" s="19" t="n">
        <f aca="false">Inputs!$F$154*Time!AB56*Inputs!$F$222/Inputs!$F$155*AB38</f>
        <v>0</v>
      </c>
      <c r="AC39" s="19" t="n">
        <f aca="false">Inputs!$F$154*Time!AC56*Inputs!$F$222/Inputs!$F$155*AC38</f>
        <v>0</v>
      </c>
      <c r="AD39" s="19" t="n">
        <f aca="false">Inputs!$F$154*Time!AD56*Inputs!$F$222/Inputs!$F$155*AD38</f>
        <v>0</v>
      </c>
      <c r="AE39" s="19" t="n">
        <f aca="false">Inputs!$F$154*Time!AE56*Inputs!$F$222/Inputs!$F$155*AE38</f>
        <v>0</v>
      </c>
      <c r="AF39" s="19" t="n">
        <f aca="false">Inputs!$F$154*Time!AF56*Inputs!$F$222/Inputs!$F$155*AF38</f>
        <v>0</v>
      </c>
      <c r="AG39" s="19" t="n">
        <f aca="false">Inputs!$F$154*Time!AG56*Inputs!$F$222/Inputs!$F$155*AG38</f>
        <v>0</v>
      </c>
      <c r="AH39" s="19" t="n">
        <f aca="false">Inputs!$F$154*Time!AH56*Inputs!$F$222/Inputs!$F$155*AH38</f>
        <v>0</v>
      </c>
      <c r="AI39" s="19" t="n">
        <f aca="false">Inputs!$F$154*Time!AI56*Inputs!$F$222/Inputs!$F$155*AI38</f>
        <v>0</v>
      </c>
      <c r="AJ39" s="19" t="n">
        <f aca="false">Inputs!$F$154*Time!AJ56*Inputs!$F$222/Inputs!$F$155*AJ38</f>
        <v>0</v>
      </c>
      <c r="AK39" s="19" t="n">
        <f aca="false">Inputs!$F$154*Time!AK56*Inputs!$F$222/Inputs!$F$155*AK38</f>
        <v>0</v>
      </c>
      <c r="AL39" s="19" t="n">
        <f aca="false">Inputs!$F$154*Time!AL56*Inputs!$F$222/Inputs!$F$155*AL38</f>
        <v>0</v>
      </c>
      <c r="AM39" s="19" t="n">
        <f aca="false">Inputs!$F$154*Time!AM56*Inputs!$F$222/Inputs!$F$155*AM38</f>
        <v>0</v>
      </c>
      <c r="AN39" s="19" t="n">
        <f aca="false">Inputs!$F$154*Time!AN56*Inputs!$F$222/Inputs!$F$155*AN38</f>
        <v>0</v>
      </c>
      <c r="AO39" s="19" t="n">
        <f aca="false">Inputs!$F$154*Time!AO56*Inputs!$F$222/Inputs!$F$155*AO38</f>
        <v>0</v>
      </c>
      <c r="AP39" s="19" t="n">
        <f aca="false">Inputs!$F$154*Time!AP56*Inputs!$F$222/Inputs!$F$155*AP38</f>
        <v>0</v>
      </c>
      <c r="AQ39" s="19" t="n">
        <f aca="false">Inputs!$F$154*Time!AQ56*Inputs!$F$222/Inputs!$F$155*AQ38</f>
        <v>0</v>
      </c>
      <c r="AR39" s="19" t="n">
        <f aca="false">Inputs!$F$154*Time!AR56*Inputs!$F$222/Inputs!$F$155*AR38</f>
        <v>0</v>
      </c>
      <c r="AS39" s="19" t="n">
        <f aca="false">Inputs!$F$154*Time!AS56*Inputs!$F$222/Inputs!$F$155*AS38</f>
        <v>0</v>
      </c>
      <c r="AT39" s="19" t="n">
        <f aca="false">Inputs!$F$154*Time!AT56*Inputs!$F$222/Inputs!$F$155*AT38</f>
        <v>0</v>
      </c>
      <c r="AU39" s="19" t="n">
        <f aca="false">Inputs!$F$154*Time!AU56*Inputs!$F$222/Inputs!$F$155*AU38</f>
        <v>0</v>
      </c>
      <c r="AV39" s="19" t="n">
        <f aca="false">Inputs!$F$154*Time!AV56*Inputs!$F$222/Inputs!$F$155*AV38</f>
        <v>0</v>
      </c>
      <c r="AW39" s="19" t="n">
        <f aca="false">Inputs!$F$154*Time!AW56*Inputs!$F$222/Inputs!$F$155*AW38</f>
        <v>0</v>
      </c>
      <c r="AX39" s="19" t="n">
        <f aca="false">Inputs!$F$154*Time!AX56*Inputs!$F$222/Inputs!$F$155*AX38</f>
        <v>0</v>
      </c>
      <c r="AY39" s="19" t="n">
        <f aca="false">Inputs!$F$154*Time!AY56*Inputs!$F$222/Inputs!$F$155*AY38</f>
        <v>0</v>
      </c>
      <c r="AZ39" s="19" t="n">
        <f aca="false">Inputs!$F$154*Time!AZ56*Inputs!$F$222/Inputs!$F$155*AZ38</f>
        <v>0</v>
      </c>
      <c r="BA39" s="19" t="n">
        <f aca="false">Inputs!$F$154*Time!BA56*Inputs!$F$222/Inputs!$F$155*BA38</f>
        <v>0</v>
      </c>
      <c r="BB39" s="19" t="n">
        <f aca="false">Inputs!$F$154*Time!BB56*Inputs!$F$222/Inputs!$F$155*BB38</f>
        <v>0</v>
      </c>
      <c r="BC39" s="19" t="n">
        <f aca="false">Inputs!$F$154*Time!BC56*Inputs!$F$222/Inputs!$F$155*BC38</f>
        <v>0</v>
      </c>
      <c r="BD39" s="19" t="n">
        <f aca="false">Inputs!$F$154*Time!BD56*Inputs!$F$222/Inputs!$F$155*BD38</f>
        <v>0</v>
      </c>
      <c r="BE39" s="19" t="n">
        <f aca="false">Inputs!$F$154*Time!BE56*Inputs!$F$222/Inputs!$F$155*BE38</f>
        <v>0</v>
      </c>
      <c r="BF39" s="19" t="n">
        <f aca="false">Inputs!$F$154*Time!BF56*Inputs!$F$222/Inputs!$F$155*BF38</f>
        <v>0</v>
      </c>
      <c r="BG39" s="19" t="n">
        <f aca="false">Inputs!$F$154*Time!BG56*Inputs!$F$222/Inputs!$F$155*BG38</f>
        <v>0</v>
      </c>
      <c r="BH39" s="19" t="n">
        <f aca="false">Inputs!$F$154*Time!BH56*Inputs!$F$222/Inputs!$F$155*BH38</f>
        <v>0</v>
      </c>
      <c r="BI39" s="19" t="n">
        <f aca="false">Inputs!$F$154*Time!BI56*Inputs!$F$222/Inputs!$F$155*BI38</f>
        <v>0</v>
      </c>
      <c r="BJ39" s="19" t="n">
        <f aca="false">Inputs!$F$154*Time!BJ56*Inputs!$F$222/Inputs!$F$155*BJ38</f>
        <v>0</v>
      </c>
      <c r="BK39" s="19" t="n">
        <f aca="false">Inputs!$F$154*Time!BK56*Inputs!$F$222/Inputs!$F$155*BK38</f>
        <v>0</v>
      </c>
      <c r="BL39" s="19" t="n">
        <f aca="false">Inputs!$F$154*Time!BL56*Inputs!$F$222/Inputs!$F$155*BL38</f>
        <v>0</v>
      </c>
      <c r="BM39" s="19" t="n">
        <f aca="false">Inputs!$F$154*Time!BM56*Inputs!$F$222/Inputs!$F$155*BM38</f>
        <v>0</v>
      </c>
      <c r="BN39" s="19" t="n">
        <f aca="false">Inputs!$F$154*Time!BN56*Inputs!$F$222/Inputs!$F$155*BN38</f>
        <v>0</v>
      </c>
      <c r="BO39" s="19" t="n">
        <f aca="false">Inputs!$F$154*Time!BO56*Inputs!$F$222/Inputs!$F$155*BO38</f>
        <v>0</v>
      </c>
      <c r="BP39" s="19" t="n">
        <f aca="false">Inputs!$F$154*Time!BP56*Inputs!$F$222/Inputs!$F$155*BP38</f>
        <v>0</v>
      </c>
      <c r="BQ39" s="19" t="n">
        <f aca="false">Inputs!$F$154*Time!BQ56*Inputs!$F$222/Inputs!$F$155*BQ38</f>
        <v>0</v>
      </c>
      <c r="BR39" s="19" t="n">
        <f aca="false">Inputs!$F$154*Time!BR56*Inputs!$F$222/Inputs!$F$155*BR38</f>
        <v>0</v>
      </c>
      <c r="BS39" s="19" t="n">
        <f aca="false">Inputs!$F$154*Time!BS56*Inputs!$F$222/Inputs!$F$155*BS38</f>
        <v>0</v>
      </c>
      <c r="BT39" s="19" t="n">
        <f aca="false">Inputs!$F$154*Time!BT56*Inputs!$F$222/Inputs!$F$155*BT38</f>
        <v>0</v>
      </c>
      <c r="BU39" s="19" t="n">
        <f aca="false">Inputs!$F$154*Time!BU56*Inputs!$F$222/Inputs!$F$155*BU38</f>
        <v>0</v>
      </c>
      <c r="BV39" s="19" t="n">
        <f aca="false">Inputs!$F$154*Time!BV56*Inputs!$F$222/Inputs!$F$155*BV38</f>
        <v>0</v>
      </c>
      <c r="BW39" s="19" t="n">
        <f aca="false">Inputs!$F$154*Time!BW56*Inputs!$F$222/Inputs!$F$155*BW38</f>
        <v>0</v>
      </c>
      <c r="BX39" s="19" t="n">
        <f aca="false">Inputs!$F$154*Time!BX56*Inputs!$F$222/Inputs!$F$155*BX38</f>
        <v>0</v>
      </c>
      <c r="BY39" s="19" t="n">
        <f aca="false">Inputs!$F$154*Time!BY56*Inputs!$F$222/Inputs!$F$155*BY38</f>
        <v>0</v>
      </c>
      <c r="BZ39" s="19" t="n">
        <f aca="false">Inputs!$F$154*Time!BZ56*Inputs!$F$222/Inputs!$F$155*BZ38</f>
        <v>0</v>
      </c>
      <c r="CA39" s="19" t="n">
        <f aca="false">Inputs!$F$154*Time!CA56*Inputs!$F$222/Inputs!$F$155*CA38</f>
        <v>0</v>
      </c>
      <c r="CB39" s="19" t="n">
        <f aca="false">Inputs!$F$154*Time!CB56*Inputs!$F$222/Inputs!$F$155*CB38</f>
        <v>0</v>
      </c>
      <c r="CC39" s="19" t="n">
        <f aca="false">Inputs!$F$154*Time!CC56*Inputs!$F$222/Inputs!$F$155*CC38</f>
        <v>0</v>
      </c>
      <c r="CD39" s="19" t="n">
        <f aca="false">Inputs!$F$154*Time!CD56*Inputs!$F$222/Inputs!$F$155*CD38</f>
        <v>0</v>
      </c>
      <c r="CE39" s="19" t="n">
        <f aca="false">Inputs!$F$154*Time!CE56*Inputs!$F$222/Inputs!$F$155*CE38</f>
        <v>0</v>
      </c>
      <c r="CF39" s="19" t="n">
        <f aca="false">Inputs!$F$154*Time!CF56*Inputs!$F$222/Inputs!$F$155*CF38</f>
        <v>0</v>
      </c>
      <c r="CG39" s="19" t="n">
        <f aca="false">Inputs!$F$154*Time!CG56*Inputs!$F$222/Inputs!$F$155*CG38</f>
        <v>9.62270466878493</v>
      </c>
      <c r="CH39" s="19" t="n">
        <f aca="false">Inputs!$F$154*Time!CH56*Inputs!$F$222/Inputs!$F$155*CH38</f>
        <v>9.86327228550456</v>
      </c>
      <c r="CI39" s="19" t="n">
        <f aca="false">Inputs!$F$154*Time!CI56*Inputs!$F$222/Inputs!$F$155*CI38</f>
        <v>9.86327228550456</v>
      </c>
      <c r="CJ39" s="19" t="n">
        <f aca="false">Inputs!$F$154*Time!CJ56*Inputs!$F$222/Inputs!$F$155*CJ38</f>
        <v>10.1098540926422</v>
      </c>
      <c r="CK39" s="19" t="n">
        <f aca="false">Inputs!$F$154*Time!CK56*Inputs!$F$222/Inputs!$F$155*CK38</f>
        <v>10.1098540926422</v>
      </c>
      <c r="CL39" s="19" t="n">
        <f aca="false">Inputs!$F$154*Time!CL56*Inputs!$F$222/Inputs!$F$155*CL38</f>
        <v>10.3626004449582</v>
      </c>
      <c r="CM39" s="19" t="n">
        <f aca="false">Inputs!$F$154*Time!CM56*Inputs!$F$222/Inputs!$F$155*CM38</f>
        <v>10.3626004449582</v>
      </c>
      <c r="CN39" s="19" t="n">
        <f aca="false">Inputs!$F$154*Time!CN56*Inputs!$F$222/Inputs!$F$155*CN38</f>
        <v>10.6216654560822</v>
      </c>
      <c r="CO39" s="19" t="n">
        <f aca="false">Inputs!$F$154*Time!CO56*Inputs!$F$222/Inputs!$F$155*CO38</f>
        <v>10.6216654560822</v>
      </c>
      <c r="CP39" s="19" t="n">
        <f aca="false">Inputs!$F$154*Time!CP56*Inputs!$F$222/Inputs!$F$155*CP38</f>
        <v>10.8872070924842</v>
      </c>
      <c r="CQ39" s="19" t="n">
        <f aca="false">Inputs!$F$154*Time!CQ56*Inputs!$F$222/Inputs!$F$155*CQ38</f>
        <v>0</v>
      </c>
      <c r="CR39" s="19" t="n">
        <f aca="false">Inputs!$F$154*Time!CR56*Inputs!$F$222/Inputs!$F$155*CR38</f>
        <v>0</v>
      </c>
      <c r="CS39" s="19" t="n">
        <f aca="false">Inputs!$F$154*Time!CS56*Inputs!$F$222/Inputs!$F$155*CS38</f>
        <v>0</v>
      </c>
      <c r="CT39" s="19" t="n">
        <f aca="false">Inputs!$F$154*Time!CT56*Inputs!$F$222/Inputs!$F$155*CT38</f>
        <v>0</v>
      </c>
      <c r="CU39" s="19" t="n">
        <f aca="false">Inputs!$F$154*Time!CU56*Inputs!$F$222/Inputs!$F$155*CU38</f>
        <v>0</v>
      </c>
      <c r="CV39" s="19" t="n">
        <f aca="false">Inputs!$F$154*Time!CV56*Inputs!$F$222/Inputs!$F$155*CV38</f>
        <v>0</v>
      </c>
      <c r="CW39" s="19" t="n">
        <f aca="false">Inputs!$F$154*Time!CW56*Inputs!$F$222/Inputs!$F$155*CW38</f>
        <v>0</v>
      </c>
      <c r="CX39" s="19" t="n">
        <f aca="false">Inputs!$F$154*Time!CX56*Inputs!$F$222/Inputs!$F$155*CX38</f>
        <v>0</v>
      </c>
      <c r="CY39" s="19" t="n">
        <f aca="false">Inputs!$F$154*Time!CY56*Inputs!$F$222/Inputs!$F$155*CY38</f>
        <v>0</v>
      </c>
      <c r="CZ39" s="19" t="n">
        <f aca="false">Inputs!$F$154*Time!CZ56*Inputs!$F$222/Inputs!$F$155*CZ38</f>
        <v>0</v>
      </c>
      <c r="DA39" s="19" t="n">
        <f aca="false">Inputs!$F$154*Time!DA56*Inputs!$F$222/Inputs!$F$155*DA38</f>
        <v>0</v>
      </c>
      <c r="DB39" s="19" t="n">
        <f aca="false">Inputs!$F$154*Time!DB56*Inputs!$F$222/Inputs!$F$155*DB38</f>
        <v>0</v>
      </c>
    </row>
    <row r="40" customFormat="false" ht="15" hidden="false" customHeight="false" outlineLevel="0" collapsed="false">
      <c r="D40" s="3" t="s">
        <v>407</v>
      </c>
    </row>
    <row r="41" customFormat="false" ht="15" hidden="false" customHeight="false" outlineLevel="0" collapsed="false">
      <c r="D41" s="0" t="s">
        <v>408</v>
      </c>
      <c r="E41" s="0" t="s">
        <v>44</v>
      </c>
      <c r="J41" s="19" t="n">
        <f aca="false">IF(AND(Time!J26=1,Time!J28=0),J20/Time!J25*Inputs!$F$156,0)</f>
        <v>0</v>
      </c>
      <c r="K41" s="19" t="n">
        <f aca="false">IF(AND(Time!K26=1,Time!K28=0),K20/Time!K25*Inputs!$F$156,0)</f>
        <v>0</v>
      </c>
      <c r="L41" s="19" t="n">
        <f aca="false">IF(AND(Time!L26=1,Time!L28=0),L20/Time!L25*Inputs!$F$156,0)</f>
        <v>0</v>
      </c>
      <c r="M41" s="19" t="n">
        <f aca="false">IF(AND(Time!M26=1,Time!M28=0),M20/Time!M25*Inputs!$F$156,0)</f>
        <v>0</v>
      </c>
      <c r="N41" s="19" t="n">
        <f aca="false">IF(AND(Time!N26=1,Time!N28=0),N20/Time!N25*Inputs!$F$156,0)</f>
        <v>0</v>
      </c>
      <c r="O41" s="19" t="n">
        <f aca="false">IF(AND(Time!O26=1,Time!O28=0),O20/Time!O25*Inputs!$F$156,0)</f>
        <v>0</v>
      </c>
      <c r="P41" s="19" t="n">
        <f aca="false">IF(AND(Time!P26=1,Time!P28=0),P20/Time!P25*Inputs!$F$156,0)</f>
        <v>0</v>
      </c>
      <c r="Q41" s="19" t="n">
        <f aca="false">IF(AND(Time!Q26=1,Time!Q28=0),Q20/Time!Q25*Inputs!$F$156,0)</f>
        <v>0</v>
      </c>
      <c r="R41" s="19" t="n">
        <f aca="false">IF(AND(Time!R26=1,Time!R28=0),R20/Time!R25*Inputs!$F$156,0)</f>
        <v>0</v>
      </c>
      <c r="S41" s="19" t="n">
        <f aca="false">IF(AND(Time!S26=1,Time!S28=0),S20/Time!S25*Inputs!$F$156,0)</f>
        <v>0</v>
      </c>
      <c r="T41" s="19" t="n">
        <f aca="false">IF(AND(Time!T26=1,Time!T28=0),T20/Time!T25*Inputs!$F$156,0)</f>
        <v>0</v>
      </c>
      <c r="U41" s="19" t="n">
        <f aca="false">IF(AND(Time!U26=1,Time!U28=0),U20/Time!U25*Inputs!$F$156,0)</f>
        <v>0</v>
      </c>
      <c r="V41" s="19" t="n">
        <f aca="false">IF(AND(Time!V26=1,Time!V28=0),V20/Time!V25*Inputs!$F$156,0)</f>
        <v>0</v>
      </c>
      <c r="W41" s="19" t="n">
        <f aca="false">IF(AND(Time!W26=1,Time!W28=0),W20/Time!W25*Inputs!$F$156,0)</f>
        <v>0</v>
      </c>
      <c r="X41" s="19" t="n">
        <f aca="false">IF(AND(Time!X26=1,Time!X28=0),X20/Time!X25*Inputs!$F$156,0)</f>
        <v>0</v>
      </c>
      <c r="Y41" s="19" t="n">
        <f aca="false">IF(AND(Time!Y26=1,Time!Y28=0),Y20/Time!Y25*Inputs!$F$156,0)</f>
        <v>0</v>
      </c>
      <c r="Z41" s="19" t="n">
        <f aca="false">IF(AND(Time!Z26=1,Time!Z28=0),Z20/Time!Z25*Inputs!$F$156,0)</f>
        <v>3.26383456682917</v>
      </c>
      <c r="AA41" s="19" t="n">
        <f aca="false">IF(AND(Time!AA26=1,Time!AA28=0),AA20/Time!AA25*Inputs!$F$156,0)</f>
        <v>3.34528498382669</v>
      </c>
      <c r="AB41" s="19" t="n">
        <f aca="false">IF(AND(Time!AB26=1,Time!AB28=0),AB20/Time!AB25*Inputs!$F$156,0)</f>
        <v>3.8914027574364</v>
      </c>
      <c r="AC41" s="19" t="n">
        <f aca="false">IF(AND(Time!AC26=1,Time!AC28=0),AC20/Time!AC25*Inputs!$F$156,0)</f>
        <v>3.98840584066525</v>
      </c>
      <c r="AD41" s="19" t="n">
        <f aca="false">IF(AND(Time!AD26=1,Time!AD28=0),AD20/Time!AD25*Inputs!$F$156,0)</f>
        <v>4.39894574853106</v>
      </c>
      <c r="AE41" s="19" t="n">
        <f aca="false">IF(AND(Time!AE26=1,Time!AE28=0),AE20/Time!AE25*Inputs!$F$156,0)</f>
        <v>4.50842177394699</v>
      </c>
      <c r="AF41" s="19" t="n">
        <f aca="false">IF(AND(Time!AF26=1,Time!AF28=0),AF20/Time!AF25*Inputs!$F$156,0)</f>
        <v>4.8559459523554</v>
      </c>
      <c r="AG41" s="19" t="n">
        <f aca="false">IF(AND(Time!AG26=1,Time!AG28=0),AG20/Time!AG25*Inputs!$F$156,0)</f>
        <v>4.97654063660264</v>
      </c>
      <c r="AH41" s="19" t="n">
        <f aca="false">IF(AND(Time!AH26=1,Time!AH28=0),AH20/Time!AH25*Inputs!$F$156,0)</f>
        <v>5.14574301824713</v>
      </c>
      <c r="AI41" s="19" t="n">
        <f aca="false">IF(AND(Time!AI26=1,Time!AI28=0),AI20/Time!AI25*Inputs!$F$156,0)</f>
        <v>5.27320891961458</v>
      </c>
      <c r="AJ41" s="19" t="n">
        <f aca="false">IF(AND(Time!AJ26=1,Time!AJ28=0),AJ20/Time!AJ25*Inputs!$F$156,0)</f>
        <v>5.45249802288148</v>
      </c>
      <c r="AK41" s="19" t="n">
        <f aca="false">IF(AND(Time!AK26=1,Time!AK28=0),AK20/Time!AK25*Inputs!$F$156,0)</f>
        <v>5.59002818846125</v>
      </c>
      <c r="AL41" s="19" t="n">
        <f aca="false">IF(AND(Time!AL26=1,Time!AL28=0),AL20/Time!AL25*Inputs!$F$156,0)</f>
        <v>5.78008914686894</v>
      </c>
      <c r="AM41" s="19" t="n">
        <f aca="false">IF(AND(Time!AM26=1,Time!AM28=0),AM20/Time!AM25*Inputs!$F$156,0)</f>
        <v>5.92525796706196</v>
      </c>
      <c r="AN41" s="19" t="n">
        <f aca="false">IF(AND(Time!AN26=1,Time!AN28=0),AN20/Time!AN25*Inputs!$F$156,0)</f>
        <v>6.12671673794206</v>
      </c>
      <c r="AO41" s="19" t="n">
        <f aca="false">IF(AND(Time!AO26=1,Time!AO28=0),AO20/Time!AO25*Inputs!$F$156,0)</f>
        <v>6.27988465639061</v>
      </c>
      <c r="AP41" s="19" t="n">
        <f aca="false">IF(AND(Time!AP26=1,Time!AP28=0),AP20/Time!AP25*Inputs!$F$156,0)</f>
        <v>6.49340073470789</v>
      </c>
      <c r="AQ41" s="19" t="n">
        <f aca="false">IF(AND(Time!AQ26=1,Time!AQ28=0),AQ20/Time!AQ25*Inputs!$F$156,0)</f>
        <v>6.65494387493721</v>
      </c>
      <c r="AR41" s="19" t="n">
        <f aca="false">IF(AND(Time!AR26=1,Time!AR28=0),AR20/Time!AR25*Inputs!$F$156,0)</f>
        <v>6.88121196668508</v>
      </c>
      <c r="AS41" s="19" t="n">
        <f aca="false">IF(AND(Time!AS26=1,Time!AS28=0),AS20/Time!AS25*Inputs!$F$156,0)</f>
        <v>7.05479798964286</v>
      </c>
      <c r="AT41" s="19" t="n">
        <f aca="false">IF(AND(Time!AT26=1,Time!AT28=0),AT20/Time!AT25*Inputs!$F$156,0)</f>
        <v>7.29466112129072</v>
      </c>
      <c r="AU41" s="19" t="n">
        <f aca="false">IF(AND(Time!AU26=1,Time!AU28=0),AU20/Time!AU25*Inputs!$F$156,0)</f>
        <v>7.47753563408074</v>
      </c>
      <c r="AV41" s="19" t="n">
        <f aca="false">IF(AND(Time!AV26=1,Time!AV28=0),AV20/Time!AV25*Inputs!$F$156,0)</f>
        <v>7.73177184563948</v>
      </c>
      <c r="AW41" s="19" t="n">
        <f aca="false">IF(AND(Time!AW26=1,Time!AW28=0),AW20/Time!AW25*Inputs!$F$156,0)</f>
        <v>7.92436580012779</v>
      </c>
      <c r="AX41" s="19" t="n">
        <f aca="false">IF(AND(Time!AX26=1,Time!AX28=0),AX20/Time!AX25*Inputs!$F$156,0)</f>
        <v>8.10662621353072</v>
      </c>
      <c r="AY41" s="19" t="n">
        <f aca="false">IF(AND(Time!AY26=1,Time!AY28=0),AY20/Time!AY25*Inputs!$F$156,0)</f>
        <v>8.31081432407922</v>
      </c>
      <c r="AZ41" s="19" t="n">
        <f aca="false">IF(AND(Time!AZ26=1,Time!AZ28=0),AZ20/Time!AZ25*Inputs!$F$156,0)</f>
        <v>8.50196305353304</v>
      </c>
      <c r="BA41" s="19" t="n">
        <f aca="false">IF(AND(Time!BA26=1,Time!BA28=0),BA20/Time!BA25*Inputs!$F$156,0)</f>
        <v>8.71451212987137</v>
      </c>
      <c r="BB41" s="19" t="n">
        <f aca="false">IF(AND(Time!BB26=1,Time!BB28=0),BB20/Time!BB25*Inputs!$F$156,0)</f>
        <v>8.91494590885841</v>
      </c>
      <c r="BC41" s="19" t="n">
        <f aca="false">IF(AND(Time!BC26=1,Time!BC28=0),BC20/Time!BC25*Inputs!$F$156,0)</f>
        <v>9.13613253990241</v>
      </c>
      <c r="BD41" s="19" t="n">
        <f aca="false">IF(AND(Time!BD26=1,Time!BD28=0),BD20/Time!BD25*Inputs!$F$156,0)</f>
        <v>9.34626358832017</v>
      </c>
      <c r="BE41" s="19" t="n">
        <f aca="false">IF(AND(Time!BE26=1,Time!BE28=0),BE20/Time!BE25*Inputs!$F$156,0)</f>
        <v>9.58020781437168</v>
      </c>
      <c r="BF41" s="19" t="n">
        <f aca="false">IF(AND(Time!BF26=1,Time!BF28=0),BF20/Time!BF25*Inputs!$F$156,0)</f>
        <v>9.80055259410223</v>
      </c>
      <c r="BG41" s="19" t="n">
        <f aca="false">IF(AND(Time!BG26=1,Time!BG28=0),BG20/Time!BG25*Inputs!$F$156,0)</f>
        <v>10.0438008970783</v>
      </c>
      <c r="BH41" s="19" t="n">
        <f aca="false">IF(AND(Time!BH26=1,Time!BH28=0),BH20/Time!BH25*Inputs!$F$156,0)</f>
        <v>10.2748083177111</v>
      </c>
      <c r="BI41" s="19" t="n">
        <f aca="false">IF(AND(Time!BI26=1,Time!BI28=0),BI20/Time!BI25*Inputs!$F$156,0)</f>
        <v>10.5316785256539</v>
      </c>
      <c r="BJ41" s="19" t="n">
        <f aca="false">IF(AND(Time!BJ26=1,Time!BJ28=0),BJ20/Time!BJ25*Inputs!$F$156,0)</f>
        <v>10.773907131744</v>
      </c>
      <c r="BK41" s="19" t="n">
        <f aca="false">IF(AND(Time!BK26=1,Time!BK28=0),BK20/Time!BK25*Inputs!$F$156,0)</f>
        <v>11.0448971739296</v>
      </c>
      <c r="BL41" s="19" t="n">
        <f aca="false">IF(AND(Time!BL26=1,Time!BL28=0),BL20/Time!BL25*Inputs!$F$156,0)</f>
        <v>11.29892980893</v>
      </c>
      <c r="BM41" s="19" t="n">
        <f aca="false">IF(AND(Time!BM26=1,Time!BM28=0),BM20/Time!BM25*Inputs!$F$156,0)</f>
        <v>11.5803529677398</v>
      </c>
      <c r="BN41" s="19" t="n">
        <f aca="false">IF(AND(Time!BN26=1,Time!BN28=0),BN20/Time!BN25*Inputs!$F$156,0)</f>
        <v>11.8467010859978</v>
      </c>
      <c r="BO41" s="19" t="n">
        <f aca="false">IF(AND(Time!BO26=1,Time!BO28=0),BO20/Time!BO25*Inputs!$F$156,0)</f>
        <v>12.143190884668</v>
      </c>
      <c r="BP41" s="19" t="n">
        <f aca="false">IF(AND(Time!BP26=1,Time!BP28=0),BP20/Time!BP25*Inputs!$F$156,0)</f>
        <v>12.4224842750154</v>
      </c>
      <c r="BQ41" s="19" t="n">
        <f aca="false">IF(AND(Time!BQ26=1,Time!BQ28=0),BQ20/Time!BQ25*Inputs!$F$156,0)</f>
        <v>12.7345849061286</v>
      </c>
      <c r="BR41" s="19" t="n">
        <f aca="false">IF(AND(Time!BR26=1,Time!BR28=0),BR20/Time!BR25*Inputs!$F$156,0)</f>
        <v>12.8873999250022</v>
      </c>
      <c r="BS41" s="19" t="n">
        <f aca="false">IF(AND(Time!BS26=1,Time!BS28=0),BS20/Time!BS25*Inputs!$F$156,0)</f>
        <v>13.2076942966281</v>
      </c>
      <c r="BT41" s="19" t="n">
        <f aca="false">IF(AND(Time!BT26=1,Time!BT28=0),BT20/Time!BT25*Inputs!$F$156,0)</f>
        <v>13.3661866281876</v>
      </c>
      <c r="BU41" s="19" t="n">
        <f aca="false">IF(AND(Time!BU26=1,Time!BU28=0),BU20/Time!BU25*Inputs!$F$156,0)</f>
        <v>13.699328362942</v>
      </c>
      <c r="BV41" s="19" t="n">
        <f aca="false">IF(AND(Time!BV26=1,Time!BV28=0),BV20/Time!BV25*Inputs!$F$156,0)</f>
        <v>13.8637203032973</v>
      </c>
      <c r="BW41" s="19" t="n">
        <f aca="false">IF(AND(Time!BW26=1,Time!BW28=0),BW20/Time!BW25*Inputs!$F$156,0)</f>
        <v>14.2099716155059</v>
      </c>
      <c r="BX41" s="19" t="n">
        <f aca="false">IF(AND(Time!BX26=1,Time!BX28=0),BX20/Time!BX25*Inputs!$F$156,0)</f>
        <v>14.3804912748919</v>
      </c>
      <c r="BY41" s="19" t="n">
        <f aca="false">IF(AND(Time!BY26=1,Time!BY28=0),BY20/Time!BY25*Inputs!$F$156,0)</f>
        <v>14.7401188220037</v>
      </c>
      <c r="BZ41" s="19" t="n">
        <f aca="false">IF(AND(Time!BZ26=1,Time!BZ28=0),BZ20/Time!BZ25*Inputs!$F$156,0)</f>
        <v>14.9170002478677</v>
      </c>
      <c r="CA41" s="19" t="n">
        <f aca="false">IF(AND(Time!CA26=1,Time!CA28=0),CA20/Time!CA25*Inputs!$F$156,0)</f>
        <v>15.2902751993314</v>
      </c>
      <c r="CB41" s="19" t="n">
        <f aca="false">IF(AND(Time!CB26=1,Time!CB28=0),CB20/Time!CB25*Inputs!$F$156,0)</f>
        <v>15.4737585017234</v>
      </c>
      <c r="CC41" s="19" t="n">
        <f aca="false">IF(AND(Time!CC26=1,Time!CC28=0),CC20/Time!CC25*Inputs!$F$156,0)</f>
        <v>15.8609566088767</v>
      </c>
      <c r="CD41" s="19" t="n">
        <f aca="false">IF(AND(Time!CD26=1,Time!CD28=0),CD20/Time!CD25*Inputs!$F$156,0)</f>
        <v>16.0512880881832</v>
      </c>
      <c r="CE41" s="19" t="n">
        <f aca="false">IF(AND(Time!CE26=1,Time!CE28=0),CE20/Time!CE25*Inputs!$F$156,0)</f>
        <v>16.4526897551696</v>
      </c>
      <c r="CF41" s="19" t="n">
        <f aca="false">IF(AND(Time!CF26=1,Time!CF28=0),CF20/Time!CF25*Inputs!$F$156,0)</f>
        <v>16.6501220322317</v>
      </c>
      <c r="CG41" s="19" t="n">
        <f aca="false">IF(AND(Time!CG26=1,Time!CG28=0),CG20/Time!CG25*Inputs!$F$156,0)</f>
        <v>17.0660123879598</v>
      </c>
      <c r="CH41" s="19" t="n">
        <f aca="false">IF(AND(Time!CH26=1,Time!CH28=0),CH20/Time!CH25*Inputs!$F$156,0)</f>
        <v>17.2708045366153</v>
      </c>
      <c r="CI41" s="19" t="n">
        <f aca="false">IF(AND(Time!CI26=1,Time!CI28=0),CI20/Time!CI25*Inputs!$F$156,0)</f>
        <v>17.7014735077749</v>
      </c>
      <c r="CJ41" s="19" t="n">
        <f aca="false">IF(AND(Time!CJ26=1,Time!CJ28=0),CJ20/Time!CJ25*Inputs!$F$156,0)</f>
        <v>17.9138911898682</v>
      </c>
      <c r="CK41" s="19" t="n">
        <f aca="false">IF(AND(Time!CK26=1,Time!CK28=0),CK20/Time!CK25*Inputs!$F$156,0)</f>
        <v>18.3596335750183</v>
      </c>
      <c r="CL41" s="19" t="n">
        <f aca="false">IF(AND(Time!CL26=1,Time!CL28=0),CL20/Time!CL25*Inputs!$F$156,0)</f>
        <v>18.5799491779186</v>
      </c>
      <c r="CM41" s="19" t="n">
        <f aca="false">IF(AND(Time!CM26=1,Time!CM28=0),CM20/Time!CM25*Inputs!$F$156,0)</f>
        <v>19.0460768481496</v>
      </c>
      <c r="CN41" s="19" t="n">
        <f aca="false">IF(AND(Time!CN26=1,Time!CN28=0),CN20/Time!CN25*Inputs!$F$156,0)</f>
        <v>19.2746297703274</v>
      </c>
      <c r="CO41" s="19" t="n">
        <f aca="false">IF(AND(Time!CO26=1,Time!CO28=0),CO20/Time!CO25*Inputs!$F$156,0)</f>
        <v>19.7564955145856</v>
      </c>
      <c r="CP41" s="19" t="n">
        <f aca="false">IF(AND(Time!CP26=1,Time!CP28=0),CP20/Time!CP25*Inputs!$F$156,0)</f>
        <v>0</v>
      </c>
      <c r="CQ41" s="19" t="n">
        <f aca="false">IF(AND(Time!CQ26=1,Time!CQ28=0),CQ20/Time!CQ25*Inputs!$F$156,0)</f>
        <v>0</v>
      </c>
      <c r="CR41" s="19" t="n">
        <f aca="false">IF(AND(Time!CR26=1,Time!CR28=0),CR20/Time!CR25*Inputs!$F$156,0)</f>
        <v>0</v>
      </c>
      <c r="CS41" s="19" t="n">
        <f aca="false">IF(AND(Time!CS26=1,Time!CS28=0),CS20/Time!CS25*Inputs!$F$156,0)</f>
        <v>0</v>
      </c>
      <c r="CT41" s="19" t="n">
        <f aca="false">IF(AND(Time!CT26=1,Time!CT28=0),CT20/Time!CT25*Inputs!$F$156,0)</f>
        <v>0</v>
      </c>
      <c r="CU41" s="19" t="n">
        <f aca="false">IF(AND(Time!CU26=1,Time!CU28=0),CU20/Time!CU25*Inputs!$F$156,0)</f>
        <v>0</v>
      </c>
      <c r="CV41" s="19" t="n">
        <f aca="false">IF(AND(Time!CV26=1,Time!CV28=0),CV20/Time!CV25*Inputs!$F$156,0)</f>
        <v>0</v>
      </c>
      <c r="CW41" s="19" t="n">
        <f aca="false">IF(AND(Time!CW26=1,Time!CW28=0),CW20/Time!CW25*Inputs!$F$156,0)</f>
        <v>0</v>
      </c>
      <c r="CX41" s="19" t="n">
        <f aca="false">IF(AND(Time!CX26=1,Time!CX28=0),CX20/Time!CX25*Inputs!$F$156,0)</f>
        <v>0</v>
      </c>
      <c r="CY41" s="19" t="n">
        <f aca="false">IF(AND(Time!CY26=1,Time!CY28=0),CY20/Time!CY25*Inputs!$F$156,0)</f>
        <v>0</v>
      </c>
      <c r="CZ41" s="19" t="n">
        <f aca="false">IF(AND(Time!CZ26=1,Time!CZ28=0),CZ20/Time!CZ25*Inputs!$F$156,0)</f>
        <v>0</v>
      </c>
      <c r="DA41" s="19" t="n">
        <f aca="false">IF(AND(Time!DA26=1,Time!DA28=0),DA20/Time!DA25*Inputs!$F$156,0)</f>
        <v>0</v>
      </c>
      <c r="DB41" s="19" t="n">
        <f aca="false">IF(AND(Time!DB26=1,Time!DB28=0),DB20/Time!DB25*Inputs!$F$156,0)</f>
        <v>0</v>
      </c>
    </row>
    <row r="42" customFormat="false" ht="15" hidden="false" customHeight="false" outlineLevel="0" collapsed="false">
      <c r="D42" s="0" t="s">
        <v>409</v>
      </c>
      <c r="E42" s="0" t="s">
        <v>44</v>
      </c>
      <c r="J42" s="19" t="n">
        <f aca="false">IF(AND(Time!J26=1,Time!J28=0),J29/Time!J25*Inputs!$F$157,0)</f>
        <v>0</v>
      </c>
      <c r="K42" s="19" t="n">
        <f aca="false">IF(AND(Time!K26=1,Time!K28=0),K29/Time!K25*Inputs!$F$157,0)</f>
        <v>0</v>
      </c>
      <c r="L42" s="19" t="n">
        <f aca="false">IF(AND(Time!L26=1,Time!L28=0),L29/Time!L25*Inputs!$F$157,0)</f>
        <v>0</v>
      </c>
      <c r="M42" s="19" t="n">
        <f aca="false">IF(AND(Time!M26=1,Time!M28=0),M29/Time!M25*Inputs!$F$157,0)</f>
        <v>0</v>
      </c>
      <c r="N42" s="19" t="n">
        <f aca="false">IF(AND(Time!N26=1,Time!N28=0),N29/Time!N25*Inputs!$F$157,0)</f>
        <v>0</v>
      </c>
      <c r="O42" s="19" t="n">
        <f aca="false">IF(AND(Time!O26=1,Time!O28=0),O29/Time!O25*Inputs!$F$157,0)</f>
        <v>0</v>
      </c>
      <c r="P42" s="19" t="n">
        <f aca="false">IF(AND(Time!P26=1,Time!P28=0),P29/Time!P25*Inputs!$F$157,0)</f>
        <v>0</v>
      </c>
      <c r="Q42" s="19" t="n">
        <f aca="false">IF(AND(Time!Q26=1,Time!Q28=0),Q29/Time!Q25*Inputs!$F$157,0)</f>
        <v>0</v>
      </c>
      <c r="R42" s="19" t="n">
        <f aca="false">IF(AND(Time!R26=1,Time!R28=0),R29/Time!R25*Inputs!$F$157,0)</f>
        <v>0</v>
      </c>
      <c r="S42" s="19" t="n">
        <f aca="false">IF(AND(Time!S26=1,Time!S28=0),S29/Time!S25*Inputs!$F$157,0)</f>
        <v>0</v>
      </c>
      <c r="T42" s="19" t="n">
        <f aca="false">IF(AND(Time!T26=1,Time!T28=0),T29/Time!T25*Inputs!$F$157,0)</f>
        <v>0</v>
      </c>
      <c r="U42" s="19" t="n">
        <f aca="false">IF(AND(Time!U26=1,Time!U28=0),U29/Time!U25*Inputs!$F$157,0)</f>
        <v>0</v>
      </c>
      <c r="V42" s="19" t="n">
        <f aca="false">IF(AND(Time!V26=1,Time!V28=0),V29/Time!V25*Inputs!$F$157,0)</f>
        <v>0</v>
      </c>
      <c r="W42" s="19" t="n">
        <f aca="false">IF(AND(Time!W26=1,Time!W28=0),W29/Time!W25*Inputs!$F$157,0)</f>
        <v>0</v>
      </c>
      <c r="X42" s="19" t="n">
        <f aca="false">IF(AND(Time!X26=1,Time!X28=0),X29/Time!X25*Inputs!$F$157,0)</f>
        <v>0</v>
      </c>
      <c r="Y42" s="19" t="n">
        <f aca="false">IF(AND(Time!Y26=1,Time!Y28=0),Y29/Time!Y25*Inputs!$F$157,0)</f>
        <v>0</v>
      </c>
      <c r="Z42" s="19" t="n">
        <f aca="false">IF(AND(Time!Z26=1,Time!Z28=0),Z29/Time!Z25*Inputs!$F$157,0)</f>
        <v>2.25355413963093</v>
      </c>
      <c r="AA42" s="19" t="n">
        <f aca="false">IF(AND(Time!AA26=1,Time!AA28=0),AA29/Time!AA25*Inputs!$F$157,0)</f>
        <v>2.26437540931775</v>
      </c>
      <c r="AB42" s="19" t="n">
        <f aca="false">IF(AND(Time!AB26=1,Time!AB28=0),AB29/Time!AB25*Inputs!$F$157,0)</f>
        <v>2.38242931649113</v>
      </c>
      <c r="AC42" s="19" t="n">
        <f aca="false">IF(AND(Time!AC26=1,Time!AC28=0),AC29/Time!AC25*Inputs!$F$157,0)</f>
        <v>2.39531686897725</v>
      </c>
      <c r="AD42" s="19" t="n">
        <f aca="false">IF(AND(Time!AD26=1,Time!AD28=0),AD29/Time!AD25*Inputs!$F$157,0)</f>
        <v>2.49649574477593</v>
      </c>
      <c r="AE42" s="19" t="n">
        <f aca="false">IF(AND(Time!AE26=1,Time!AE28=0),AE29/Time!AE25*Inputs!$F$157,0)</f>
        <v>2.51104041672404</v>
      </c>
      <c r="AF42" s="19" t="n">
        <f aca="false">IF(AND(Time!AF26=1,Time!AF28=0),AF29/Time!AF25*Inputs!$F$157,0)</f>
        <v>2.60501309566722</v>
      </c>
      <c r="AG42" s="19" t="n">
        <f aca="false">IF(AND(Time!AG26=1,Time!AG28=0),AG29/Time!AG25*Inputs!$F$157,0)</f>
        <v>2.62103496086007</v>
      </c>
      <c r="AH42" s="19" t="n">
        <f aca="false">IF(AND(Time!AH26=1,Time!AH28=0),AH29/Time!AH25*Inputs!$F$157,0)</f>
        <v>2.69251135561419</v>
      </c>
      <c r="AI42" s="19" t="n">
        <f aca="false">IF(AND(Time!AI26=1,Time!AI28=0),AI29/Time!AI25*Inputs!$F$157,0)</f>
        <v>2.70944611108159</v>
      </c>
      <c r="AJ42" s="19" t="n">
        <f aca="false">IF(AND(Time!AJ26=1,Time!AJ28=0),AJ29/Time!AJ25*Inputs!$F$157,0)</f>
        <v>2.78348751509536</v>
      </c>
      <c r="AK42" s="19" t="n">
        <f aca="false">IF(AND(Time!AK26=1,Time!AK28=0),AK29/Time!AK25*Inputs!$F$157,0)</f>
        <v>2.80175937995096</v>
      </c>
      <c r="AL42" s="19" t="n">
        <f aca="false">IF(AND(Time!AL26=1,Time!AL28=0),AL29/Time!AL25*Inputs!$F$157,0)</f>
        <v>2.87848744101222</v>
      </c>
      <c r="AM42" s="19" t="n">
        <f aca="false">IF(AND(Time!AM26=1,Time!AM28=0),AM29/Time!AM25*Inputs!$F$157,0)</f>
        <v>2.89777415569501</v>
      </c>
      <c r="AN42" s="19" t="n">
        <f aca="false">IF(AND(Time!AN26=1,Time!AN28=0),AN29/Time!AN25*Inputs!$F$157,0)</f>
        <v>2.97730342518514</v>
      </c>
      <c r="AO42" s="19" t="n">
        <f aca="false">IF(AND(Time!AO26=1,Time!AO28=0),AO29/Time!AO25*Inputs!$F$157,0)</f>
        <v>2.9976528772076</v>
      </c>
      <c r="AP42" s="19" t="n">
        <f aca="false">IF(AND(Time!AP26=1,Time!AP28=0),AP29/Time!AP25*Inputs!$F$157,0)</f>
        <v>3.08010314693407</v>
      </c>
      <c r="AQ42" s="19" t="n">
        <f aca="false">IF(AND(Time!AQ26=1,Time!AQ28=0),AQ29/Time!AQ25*Inputs!$F$157,0)</f>
        <v>3.10156530699311</v>
      </c>
      <c r="AR42" s="19" t="n">
        <f aca="false">IF(AND(Time!AR26=1,Time!AR28=0),AR29/Time!AR25*Inputs!$F$157,0)</f>
        <v>3.18706185112982</v>
      </c>
      <c r="AS42" s="19" t="n">
        <f aca="false">IF(AND(Time!AS26=1,Time!AS28=0),AS29/Time!AS25*Inputs!$F$157,0)</f>
        <v>3.21012399417993</v>
      </c>
      <c r="AT42" s="19" t="n">
        <f aca="false">IF(AND(Time!AT26=1,Time!AT28=0),AT29/Time!AT25*Inputs!$F$157,0)</f>
        <v>3.29881261677347</v>
      </c>
      <c r="AU42" s="19" t="n">
        <f aca="false">IF(AND(Time!AU26=1,Time!AU28=0),AU29/Time!AU25*Inputs!$F$157,0)</f>
        <v>3.32310880204415</v>
      </c>
      <c r="AV42" s="19" t="n">
        <f aca="false">IF(AND(Time!AV26=1,Time!AV28=0),AV29/Time!AV25*Inputs!$F$157,0)</f>
        <v>3.41512751827486</v>
      </c>
      <c r="AW42" s="19" t="n">
        <f aca="false">IF(AND(Time!AW26=1,Time!AW28=0),AW29/Time!AW25*Inputs!$F$157,0)</f>
        <v>3.44071500079973</v>
      </c>
      <c r="AX42" s="19" t="n">
        <f aca="false">IF(AND(Time!AX26=1,Time!AX28=0),AX29/Time!AX25*Inputs!$F$157,0)</f>
        <v>3.52462725862141</v>
      </c>
      <c r="AY42" s="19" t="n">
        <f aca="false">IF(AND(Time!AY26=1,Time!AY28=0),AY29/Time!AY25*Inputs!$F$157,0)</f>
        <v>3.55175510759428</v>
      </c>
      <c r="AZ42" s="19" t="n">
        <f aca="false">IF(AND(Time!AZ26=1,Time!AZ28=0),AZ29/Time!AZ25*Inputs!$F$157,0)</f>
        <v>3.63834068319231</v>
      </c>
      <c r="BA42" s="19" t="n">
        <f aca="false">IF(AND(Time!BA26=1,Time!BA28=0),BA29/Time!BA25*Inputs!$F$157,0)</f>
        <v>3.66657934619154</v>
      </c>
      <c r="BB42" s="19" t="n">
        <f aca="false">IF(AND(Time!BB26=1,Time!BB28=0),BB29/Time!BB25*Inputs!$F$157,0)</f>
        <v>3.75592825948039</v>
      </c>
      <c r="BC42" s="19" t="n">
        <f aca="false">IF(AND(Time!BC26=1,Time!BC28=0),BC29/Time!BC25*Inputs!$F$157,0)</f>
        <v>3.7853144833191</v>
      </c>
      <c r="BD42" s="19" t="n">
        <f aca="false">IF(AND(Time!BD26=1,Time!BD28=0),BD29/Time!BD25*Inputs!$F$157,0)</f>
        <v>3.87751974447004</v>
      </c>
      <c r="BE42" s="19" t="n">
        <f aca="false">IF(AND(Time!BE26=1,Time!BE28=0),BE29/Time!BE25*Inputs!$F$157,0)</f>
        <v>3.90860090593117</v>
      </c>
      <c r="BF42" s="19" t="n">
        <f aca="false">IF(AND(Time!BF26=1,Time!BF28=0),BF29/Time!BF25*Inputs!$F$157,0)</f>
        <v>4.00377033050306</v>
      </c>
      <c r="BG42" s="19" t="n">
        <f aca="false">IF(AND(Time!BG26=1,Time!BG28=0),BG29/Time!BG25*Inputs!$F$157,0)</f>
        <v>4.03608760504132</v>
      </c>
      <c r="BH42" s="19" t="n">
        <f aca="false">IF(AND(Time!BH26=1,Time!BH28=0),BH29/Time!BH25*Inputs!$F$157,0)</f>
        <v>4.13432101378612</v>
      </c>
      <c r="BI42" s="19" t="n">
        <f aca="false">IF(AND(Time!BI26=1,Time!BI28=0),BI29/Time!BI25*Inputs!$F$157,0)</f>
        <v>4.16844805569852</v>
      </c>
      <c r="BJ42" s="19" t="n">
        <f aca="false">IF(AND(Time!BJ26=1,Time!BJ28=0),BJ29/Time!BJ25*Inputs!$F$157,0)</f>
        <v>4.26986083965417</v>
      </c>
      <c r="BK42" s="19" t="n">
        <f aca="false">IF(AND(Time!BK26=1,Time!BK28=0),BK29/Time!BK25*Inputs!$F$157,0)</f>
        <v>4.30586380240169</v>
      </c>
      <c r="BL42" s="19" t="n">
        <f aca="false">IF(AND(Time!BL26=1,Time!BL28=0),BL29/Time!BL25*Inputs!$F$157,0)</f>
        <v>4.41057561049837</v>
      </c>
      <c r="BM42" s="19" t="n">
        <f aca="false">IF(AND(Time!BM26=1,Time!BM28=0),BM29/Time!BM25*Inputs!$F$157,0)</f>
        <v>4.44796468731167</v>
      </c>
      <c r="BN42" s="19" t="n">
        <f aca="false">IF(AND(Time!BN26=1,Time!BN28=0),BN29/Time!BN25*Inputs!$F$157,0)</f>
        <v>4.55608673927732</v>
      </c>
      <c r="BO42" s="19" t="n">
        <f aca="false">IF(AND(Time!BO26=1,Time!BO28=0),BO29/Time!BO25*Inputs!$F$157,0)</f>
        <v>4.59547752681494</v>
      </c>
      <c r="BP42" s="19" t="n">
        <f aca="false">IF(AND(Time!BP26=1,Time!BP28=0),BP29/Time!BP25*Inputs!$F$157,0)</f>
        <v>4.7071378456931</v>
      </c>
      <c r="BQ42" s="19" t="n">
        <f aca="false">IF(AND(Time!BQ26=1,Time!BQ28=0),BQ29/Time!BQ25*Inputs!$F$157,0)</f>
        <v>4.74860264382672</v>
      </c>
      <c r="BR42" s="19" t="n">
        <f aca="false">IF(AND(Time!BR26=1,Time!BR28=0),BR29/Time!BR25*Inputs!$F$157,0)</f>
        <v>4.84532326256309</v>
      </c>
      <c r="BS42" s="19" t="n">
        <f aca="false">IF(AND(Time!BS26=1,Time!BS28=0),BS29/Time!BS25*Inputs!$F$157,0)</f>
        <v>4.88787665765053</v>
      </c>
      <c r="BT42" s="19" t="n">
        <f aca="false">IF(AND(Time!BT26=1,Time!BT28=0),BT29/Time!BT25*Inputs!$F$157,0)</f>
        <v>4.98726199922804</v>
      </c>
      <c r="BU42" s="19" t="n">
        <f aca="false">IF(AND(Time!BU26=1,Time!BU28=0),BU29/Time!BU25*Inputs!$F$157,0)</f>
        <v>5.03152225827398</v>
      </c>
      <c r="BV42" s="19" t="n">
        <f aca="false">IF(AND(Time!BV26=1,Time!BV28=0),BV29/Time!BV25*Inputs!$F$157,0)</f>
        <v>5.13364961760112</v>
      </c>
      <c r="BW42" s="19" t="n">
        <f aca="false">IF(AND(Time!BW26=1,Time!BW28=0),BW29/Time!BW25*Inputs!$F$157,0)</f>
        <v>5.17965157765169</v>
      </c>
      <c r="BX42" s="19" t="n">
        <f aca="false">IF(AND(Time!BX26=1,Time!BX28=0),BX29/Time!BX25*Inputs!$F$157,0)</f>
        <v>5.28460021611705</v>
      </c>
      <c r="BY42" s="19" t="n">
        <f aca="false">IF(AND(Time!BY26=1,Time!BY28=0),BY29/Time!BY25*Inputs!$F$157,0)</f>
        <v>5.33237930451905</v>
      </c>
      <c r="BZ42" s="19" t="n">
        <f aca="false">IF(AND(Time!BZ26=1,Time!BZ28=0),BZ29/Time!BZ25*Inputs!$F$157,0)</f>
        <v>5.44023049619516</v>
      </c>
      <c r="CA42" s="19" t="n">
        <f aca="false">IF(AND(Time!CA26=1,Time!CA28=0),CA29/Time!CA25*Inputs!$F$157,0)</f>
        <v>5.48982273974676</v>
      </c>
      <c r="CB42" s="19" t="n">
        <f aca="false">IF(AND(Time!CB26=1,Time!CB28=0),CB29/Time!CB25*Inputs!$F$157,0)</f>
        <v>5.60065981864616</v>
      </c>
      <c r="CC42" s="19" t="n">
        <f aca="false">IF(AND(Time!CC26=1,Time!CC28=0),CC29/Time!CC25*Inputs!$F$157,0)</f>
        <v>5.65210185288224</v>
      </c>
      <c r="CD42" s="19" t="n">
        <f aca="false">IF(AND(Time!CD26=1,Time!CD28=0),CD29/Time!CD25*Inputs!$F$157,0)</f>
        <v>5.76601026128982</v>
      </c>
      <c r="CE42" s="19" t="n">
        <f aca="false">IF(AND(Time!CE26=1,Time!CE28=0),CE29/Time!CE25*Inputs!$F$157,0)</f>
        <v>5.81933933990373</v>
      </c>
      <c r="CF42" s="19" t="n">
        <f aca="false">IF(AND(Time!CF26=1,Time!CF28=0),CF29/Time!CF25*Inputs!$F$157,0)</f>
        <v>5.93640667780989</v>
      </c>
      <c r="CG42" s="19" t="n">
        <f aca="false">IF(AND(Time!CG26=1,Time!CG28=0),CG29/Time!CG25*Inputs!$F$157,0)</f>
        <v>5.99166068221377</v>
      </c>
      <c r="CH42" s="19" t="n">
        <f aca="false">IF(AND(Time!CH26=1,Time!CH28=0),CH29/Time!CH25*Inputs!$F$157,0)</f>
        <v>6.11197675787334</v>
      </c>
      <c r="CI42" s="19" t="n">
        <f aca="false">IF(AND(Time!CI26=1,Time!CI28=0),CI29/Time!CI25*Inputs!$F$157,0)</f>
        <v>6.16919420689883</v>
      </c>
      <c r="CJ42" s="19" t="n">
        <f aca="false">IF(AND(Time!CJ26=1,Time!CJ28=0),CJ29/Time!CJ25*Inputs!$F$157,0)</f>
        <v>6.29285108854144</v>
      </c>
      <c r="CK42" s="19" t="n">
        <f aca="false">IF(AND(Time!CK26=1,Time!CK28=0),CK29/Time!CK25*Inputs!$F$157,0)</f>
        <v>6.35207114828282</v>
      </c>
      <c r="CL42" s="19" t="n">
        <f aca="false">IF(AND(Time!CL26=1,Time!CL28=0),CL29/Time!CL25*Inputs!$F$157,0)</f>
        <v>6.47916321700104</v>
      </c>
      <c r="CM42" s="19" t="n">
        <f aca="false">IF(AND(Time!CM26=1,Time!CM28=0),CM29/Time!CM25*Inputs!$F$157,0)</f>
        <v>6.54109160747459</v>
      </c>
      <c r="CN42" s="19" t="n">
        <f aca="false">IF(AND(Time!CN26=1,Time!CN28=0),CN29/Time!CN25*Inputs!$F$157,0)</f>
        <v>6.67172360207658</v>
      </c>
      <c r="CO42" s="19" t="n">
        <f aca="false">IF(AND(Time!CO26=1,Time!CO28=0),CO29/Time!CO25*Inputs!$F$157,0)</f>
        <v>6.73574290809945</v>
      </c>
      <c r="CP42" s="19" t="n">
        <f aca="false">IF(AND(Time!CP26=1,Time!CP28=0),CP29/Time!CP25*Inputs!$F$157,0)</f>
        <v>0</v>
      </c>
      <c r="CQ42" s="19" t="n">
        <f aca="false">IF(AND(Time!CQ26=1,Time!CQ28=0),CQ29/Time!CQ25*Inputs!$F$157,0)</f>
        <v>0</v>
      </c>
      <c r="CR42" s="19" t="n">
        <f aca="false">IF(AND(Time!CR26=1,Time!CR28=0),CR29/Time!CR25*Inputs!$F$157,0)</f>
        <v>0</v>
      </c>
      <c r="CS42" s="19" t="n">
        <f aca="false">IF(AND(Time!CS26=1,Time!CS28=0),CS29/Time!CS25*Inputs!$F$157,0)</f>
        <v>0</v>
      </c>
      <c r="CT42" s="19" t="n">
        <f aca="false">IF(AND(Time!CT26=1,Time!CT28=0),CT29/Time!CT25*Inputs!$F$157,0)</f>
        <v>0</v>
      </c>
      <c r="CU42" s="19" t="n">
        <f aca="false">IF(AND(Time!CU26=1,Time!CU28=0),CU29/Time!CU25*Inputs!$F$157,0)</f>
        <v>0</v>
      </c>
      <c r="CV42" s="19" t="n">
        <f aca="false">IF(AND(Time!CV26=1,Time!CV28=0),CV29/Time!CV25*Inputs!$F$157,0)</f>
        <v>0</v>
      </c>
      <c r="CW42" s="19" t="n">
        <f aca="false">IF(AND(Time!CW26=1,Time!CW28=0),CW29/Time!CW25*Inputs!$F$157,0)</f>
        <v>0</v>
      </c>
      <c r="CX42" s="19" t="n">
        <f aca="false">IF(AND(Time!CX26=1,Time!CX28=0),CX29/Time!CX25*Inputs!$F$157,0)</f>
        <v>0</v>
      </c>
      <c r="CY42" s="19" t="n">
        <f aca="false">IF(AND(Time!CY26=1,Time!CY28=0),CY29/Time!CY25*Inputs!$F$157,0)</f>
        <v>0</v>
      </c>
      <c r="CZ42" s="19" t="n">
        <f aca="false">IF(AND(Time!CZ26=1,Time!CZ28=0),CZ29/Time!CZ25*Inputs!$F$157,0)</f>
        <v>0</v>
      </c>
      <c r="DA42" s="19" t="n">
        <f aca="false">IF(AND(Time!DA26=1,Time!DA28=0),DA29/Time!DA25*Inputs!$F$157,0)</f>
        <v>0</v>
      </c>
      <c r="DB42" s="19" t="n">
        <f aca="false">IF(AND(Time!DB26=1,Time!DB28=0),DB29/Time!DB25*Inputs!$F$157,0)</f>
        <v>0</v>
      </c>
    </row>
    <row r="43" customFormat="false" ht="15" hidden="false" customHeight="false" outlineLevel="0" collapsed="false">
      <c r="D43" s="0" t="s">
        <v>410</v>
      </c>
      <c r="E43" s="0" t="s">
        <v>44</v>
      </c>
      <c r="J43" s="19" t="n">
        <f aca="false">J41-J42</f>
        <v>0</v>
      </c>
      <c r="K43" s="19" t="n">
        <f aca="false">K41-K42</f>
        <v>0</v>
      </c>
      <c r="L43" s="19" t="n">
        <f aca="false">L41-L42</f>
        <v>0</v>
      </c>
      <c r="M43" s="19" t="n">
        <f aca="false">M41-M42</f>
        <v>0</v>
      </c>
      <c r="N43" s="19" t="n">
        <f aca="false">N41-N42</f>
        <v>0</v>
      </c>
      <c r="O43" s="19" t="n">
        <f aca="false">O41-O42</f>
        <v>0</v>
      </c>
      <c r="P43" s="19" t="n">
        <f aca="false">P41-P42</f>
        <v>0</v>
      </c>
      <c r="Q43" s="19" t="n">
        <f aca="false">Q41-Q42</f>
        <v>0</v>
      </c>
      <c r="R43" s="19" t="n">
        <f aca="false">R41-R42</f>
        <v>0</v>
      </c>
      <c r="S43" s="19" t="n">
        <f aca="false">S41-S42</f>
        <v>0</v>
      </c>
      <c r="T43" s="19" t="n">
        <f aca="false">T41-T42</f>
        <v>0</v>
      </c>
      <c r="U43" s="19" t="n">
        <f aca="false">U41-U42</f>
        <v>0</v>
      </c>
      <c r="V43" s="19" t="n">
        <f aca="false">V41-V42</f>
        <v>0</v>
      </c>
      <c r="W43" s="19" t="n">
        <f aca="false">W41-W42</f>
        <v>0</v>
      </c>
      <c r="X43" s="19" t="n">
        <f aca="false">X41-X42</f>
        <v>0</v>
      </c>
      <c r="Y43" s="19" t="n">
        <f aca="false">Y41-Y42</f>
        <v>0</v>
      </c>
      <c r="Z43" s="19" t="n">
        <f aca="false">Z41-Z42</f>
        <v>1.01028042719824</v>
      </c>
      <c r="AA43" s="19" t="n">
        <f aca="false">AA41-AA42</f>
        <v>1.08090957450894</v>
      </c>
      <c r="AB43" s="19" t="n">
        <f aca="false">AB41-AB42</f>
        <v>1.50897344094527</v>
      </c>
      <c r="AC43" s="19" t="n">
        <f aca="false">AC41-AC42</f>
        <v>1.593088971688</v>
      </c>
      <c r="AD43" s="19" t="n">
        <f aca="false">AD41-AD42</f>
        <v>1.90245000375513</v>
      </c>
      <c r="AE43" s="19" t="n">
        <f aca="false">AE41-AE42</f>
        <v>1.99738135722294</v>
      </c>
      <c r="AF43" s="19" t="n">
        <f aca="false">AF41-AF42</f>
        <v>2.25093285668818</v>
      </c>
      <c r="AG43" s="19" t="n">
        <f aca="false">AG41-AG42</f>
        <v>2.35550567574257</v>
      </c>
      <c r="AH43" s="19" t="n">
        <f aca="false">AH41-AH42</f>
        <v>2.45323166263293</v>
      </c>
      <c r="AI43" s="19" t="n">
        <f aca="false">AI41-AI42</f>
        <v>2.563762808533</v>
      </c>
      <c r="AJ43" s="19" t="n">
        <f aca="false">AJ41-AJ42</f>
        <v>2.66901050778612</v>
      </c>
      <c r="AK43" s="19" t="n">
        <f aca="false">AK41-AK42</f>
        <v>2.78826880851029</v>
      </c>
      <c r="AL43" s="19" t="n">
        <f aca="false">AL41-AL42</f>
        <v>2.90160170585671</v>
      </c>
      <c r="AM43" s="19" t="n">
        <f aca="false">AM41-AM42</f>
        <v>3.02748381136695</v>
      </c>
      <c r="AN43" s="19" t="n">
        <f aca="false">AN41-AN42</f>
        <v>3.14941331275692</v>
      </c>
      <c r="AO43" s="19" t="n">
        <f aca="false">AO41-AO42</f>
        <v>3.28223177918302</v>
      </c>
      <c r="AP43" s="19" t="n">
        <f aca="false">AP41-AP42</f>
        <v>3.41329758777382</v>
      </c>
      <c r="AQ43" s="19" t="n">
        <f aca="false">AQ41-AQ42</f>
        <v>3.55337856794411</v>
      </c>
      <c r="AR43" s="19" t="n">
        <f aca="false">AR41-AR42</f>
        <v>3.69415011555525</v>
      </c>
      <c r="AS43" s="19" t="n">
        <f aca="false">AS41-AS42</f>
        <v>3.84467399546293</v>
      </c>
      <c r="AT43" s="19" t="n">
        <f aca="false">AT41-AT42</f>
        <v>3.99584850451725</v>
      </c>
      <c r="AU43" s="19" t="n">
        <f aca="false">AU41-AU42</f>
        <v>4.15442683203659</v>
      </c>
      <c r="AV43" s="19" t="n">
        <f aca="false">AV41-AV42</f>
        <v>4.31664432736463</v>
      </c>
      <c r="AW43" s="19" t="n">
        <f aca="false">AW41-AW42</f>
        <v>4.48365079932806</v>
      </c>
      <c r="AX43" s="19" t="n">
        <f aca="false">AX41-AX42</f>
        <v>4.58199895490932</v>
      </c>
      <c r="AY43" s="19" t="n">
        <f aca="false">AY41-AY42</f>
        <v>4.75905921648494</v>
      </c>
      <c r="AZ43" s="19" t="n">
        <f aca="false">AZ41-AZ42</f>
        <v>4.86362237034074</v>
      </c>
      <c r="BA43" s="19" t="n">
        <f aca="false">BA41-BA42</f>
        <v>5.04793278367983</v>
      </c>
      <c r="BB43" s="19" t="n">
        <f aca="false">BB41-BB42</f>
        <v>5.15901764937802</v>
      </c>
      <c r="BC43" s="19" t="n">
        <f aca="false">BC41-BC42</f>
        <v>5.35081805658332</v>
      </c>
      <c r="BD43" s="19" t="n">
        <f aca="false">BD41-BD42</f>
        <v>5.46874384385013</v>
      </c>
      <c r="BE43" s="19" t="n">
        <f aca="false">BE41-BE42</f>
        <v>5.67160690844051</v>
      </c>
      <c r="BF43" s="19" t="n">
        <f aca="false">BF41-BF42</f>
        <v>5.79678226359917</v>
      </c>
      <c r="BG43" s="19" t="n">
        <f aca="false">BG41-BG42</f>
        <v>6.00771329203703</v>
      </c>
      <c r="BH43" s="19" t="n">
        <f aca="false">BH41-BH42</f>
        <v>6.14048730392502</v>
      </c>
      <c r="BI43" s="19" t="n">
        <f aca="false">BI41-BI42</f>
        <v>6.36323046995541</v>
      </c>
      <c r="BJ43" s="19" t="n">
        <f aca="false">BJ41-BJ42</f>
        <v>6.5040462920898</v>
      </c>
      <c r="BK43" s="19" t="n">
        <f aca="false">BK41-BK42</f>
        <v>6.73903337152791</v>
      </c>
      <c r="BL43" s="19" t="n">
        <f aca="false">BL41-BL42</f>
        <v>6.8883541984316</v>
      </c>
      <c r="BM43" s="19" t="n">
        <f aca="false">BM41-BM42</f>
        <v>7.13238828042809</v>
      </c>
      <c r="BN43" s="19" t="n">
        <f aca="false">BN41-BN42</f>
        <v>7.29061434672045</v>
      </c>
      <c r="BO43" s="19" t="n">
        <f aca="false">BO41-BO42</f>
        <v>7.54771335785307</v>
      </c>
      <c r="BP43" s="19" t="n">
        <f aca="false">BP41-BP42</f>
        <v>7.71534642932227</v>
      </c>
      <c r="BQ43" s="19" t="n">
        <f aca="false">BQ41-BQ42</f>
        <v>7.98598226230192</v>
      </c>
      <c r="BR43" s="19" t="n">
        <f aca="false">BR41-BR42</f>
        <v>8.0420766624391</v>
      </c>
      <c r="BS43" s="19" t="n">
        <f aca="false">BS41-BS42</f>
        <v>8.31981763897753</v>
      </c>
      <c r="BT43" s="19" t="n">
        <f aca="false">BT41-BT42</f>
        <v>8.37892462895955</v>
      </c>
      <c r="BU43" s="19" t="n">
        <f aca="false">BU41-BU42</f>
        <v>8.66780610466804</v>
      </c>
      <c r="BV43" s="19" t="n">
        <f aca="false">BV41-BV42</f>
        <v>8.7300706856962</v>
      </c>
      <c r="BW43" s="19" t="n">
        <f aca="false">BW41-BW42</f>
        <v>9.03032003785418</v>
      </c>
      <c r="BX43" s="19" t="n">
        <f aca="false">BX41-BX42</f>
        <v>9.09589105877488</v>
      </c>
      <c r="BY43" s="19" t="n">
        <f aca="false">BY41-BY42</f>
        <v>9.40773951748464</v>
      </c>
      <c r="BZ43" s="19" t="n">
        <f aca="false">BZ41-BZ42</f>
        <v>9.47676975167257</v>
      </c>
      <c r="CA43" s="19" t="n">
        <f aca="false">CA41-CA42</f>
        <v>9.80045245958466</v>
      </c>
      <c r="CB43" s="19" t="n">
        <f aca="false">CB41-CB42</f>
        <v>9.87309868307725</v>
      </c>
      <c r="CC43" s="19" t="n">
        <f aca="false">CC41-CC42</f>
        <v>10.2088547559945</v>
      </c>
      <c r="CD43" s="19" t="n">
        <f aca="false">CD41-CD42</f>
        <v>10.2852778268934</v>
      </c>
      <c r="CE43" s="19" t="n">
        <f aca="false">CE41-CE42</f>
        <v>10.6333504152659</v>
      </c>
      <c r="CF43" s="19" t="n">
        <f aca="false">CF41-CF42</f>
        <v>10.7137153544218</v>
      </c>
      <c r="CG43" s="19" t="n">
        <f aca="false">CG41-CG42</f>
        <v>11.074351705746</v>
      </c>
      <c r="CH43" s="19" t="n">
        <f aca="false">CH41-CH42</f>
        <v>11.158827778742</v>
      </c>
      <c r="CI43" s="19" t="n">
        <f aca="false">CI41-CI42</f>
        <v>11.5322793008761</v>
      </c>
      <c r="CJ43" s="19" t="n">
        <f aca="false">CJ41-CJ42</f>
        <v>11.6210401013267</v>
      </c>
      <c r="CK43" s="19" t="n">
        <f aca="false">CK41-CK42</f>
        <v>12.0075624267355</v>
      </c>
      <c r="CL43" s="19" t="n">
        <f aca="false">CL41-CL42</f>
        <v>12.1007859609175</v>
      </c>
      <c r="CM43" s="19" t="n">
        <f aca="false">CM41-CM42</f>
        <v>12.504985240675</v>
      </c>
      <c r="CN43" s="19" t="n">
        <f aca="false">CN41-CN42</f>
        <v>12.6029061682508</v>
      </c>
      <c r="CO43" s="19" t="n">
        <f aca="false">CO41-CO42</f>
        <v>13.0207526064861</v>
      </c>
      <c r="CP43" s="19" t="n">
        <f aca="false">CP41-CP42</f>
        <v>0</v>
      </c>
      <c r="CQ43" s="19" t="n">
        <f aca="false">CQ41-CQ42</f>
        <v>0</v>
      </c>
      <c r="CR43" s="19" t="n">
        <f aca="false">CR41-CR42</f>
        <v>0</v>
      </c>
      <c r="CS43" s="19" t="n">
        <f aca="false">CS41-CS42</f>
        <v>0</v>
      </c>
      <c r="CT43" s="19" t="n">
        <f aca="false">CT41-CT42</f>
        <v>0</v>
      </c>
      <c r="CU43" s="19" t="n">
        <f aca="false">CU41-CU42</f>
        <v>0</v>
      </c>
      <c r="CV43" s="19" t="n">
        <f aca="false">CV41-CV42</f>
        <v>0</v>
      </c>
      <c r="CW43" s="19" t="n">
        <f aca="false">CW41-CW42</f>
        <v>0</v>
      </c>
      <c r="CX43" s="19" t="n">
        <f aca="false">CX41-CX42</f>
        <v>0</v>
      </c>
      <c r="CY43" s="19" t="n">
        <f aca="false">CY41-CY42</f>
        <v>0</v>
      </c>
      <c r="CZ43" s="19" t="n">
        <f aca="false">CZ41-CZ42</f>
        <v>0</v>
      </c>
      <c r="DA43" s="19" t="n">
        <f aca="false">DA41-DA42</f>
        <v>0</v>
      </c>
      <c r="DB43" s="19" t="n">
        <f aca="false">DB41-DB42</f>
        <v>0</v>
      </c>
    </row>
    <row r="44" customFormat="false" ht="15" hidden="false" customHeight="false" outlineLevel="0" collapsed="false">
      <c r="D44" s="0" t="s">
        <v>411</v>
      </c>
      <c r="E44" s="0" t="s">
        <v>44</v>
      </c>
      <c r="G44" s="19" t="n">
        <f aca="false">SUM(J44:DB44)</f>
        <v>0</v>
      </c>
      <c r="J44" s="19" t="n">
        <f aca="false">J43-I43</f>
        <v>0</v>
      </c>
      <c r="K44" s="19" t="n">
        <f aca="false">K43-J43</f>
        <v>0</v>
      </c>
      <c r="L44" s="19" t="n">
        <f aca="false">L43-K43</f>
        <v>0</v>
      </c>
      <c r="M44" s="19" t="n">
        <f aca="false">M43-L43</f>
        <v>0</v>
      </c>
      <c r="N44" s="19" t="n">
        <f aca="false">N43-M43</f>
        <v>0</v>
      </c>
      <c r="O44" s="19" t="n">
        <f aca="false">O43-N43</f>
        <v>0</v>
      </c>
      <c r="P44" s="19" t="n">
        <f aca="false">P43-O43</f>
        <v>0</v>
      </c>
      <c r="Q44" s="19" t="n">
        <f aca="false">Q43-P43</f>
        <v>0</v>
      </c>
      <c r="R44" s="19" t="n">
        <f aca="false">R43-Q43</f>
        <v>0</v>
      </c>
      <c r="S44" s="19" t="n">
        <f aca="false">S43-R43</f>
        <v>0</v>
      </c>
      <c r="T44" s="19" t="n">
        <f aca="false">T43-S43</f>
        <v>0</v>
      </c>
      <c r="U44" s="19" t="n">
        <f aca="false">U43-T43</f>
        <v>0</v>
      </c>
      <c r="V44" s="19" t="n">
        <f aca="false">V43-U43</f>
        <v>0</v>
      </c>
      <c r="W44" s="19" t="n">
        <f aca="false">W43-V43</f>
        <v>0</v>
      </c>
      <c r="X44" s="19" t="n">
        <f aca="false">X43-W43</f>
        <v>0</v>
      </c>
      <c r="Y44" s="19" t="n">
        <f aca="false">Y43-X43</f>
        <v>0</v>
      </c>
      <c r="Z44" s="19" t="n">
        <f aca="false">Z43-Y43</f>
        <v>1.01028042719824</v>
      </c>
      <c r="AA44" s="19" t="n">
        <f aca="false">AA43-Z43</f>
        <v>0.0706291473107061</v>
      </c>
      <c r="AB44" s="19" t="n">
        <f aca="false">AB43-AA43</f>
        <v>0.428063866436327</v>
      </c>
      <c r="AC44" s="19" t="n">
        <f aca="false">AC43-AB43</f>
        <v>0.0841155307427304</v>
      </c>
      <c r="AD44" s="19" t="n">
        <f aca="false">AD43-AC43</f>
        <v>0.309361032067131</v>
      </c>
      <c r="AE44" s="19" t="n">
        <f aca="false">AE43-AD43</f>
        <v>0.094931353467814</v>
      </c>
      <c r="AF44" s="19" t="n">
        <f aca="false">AF43-AE43</f>
        <v>0.253551499465233</v>
      </c>
      <c r="AG44" s="19" t="n">
        <f aca="false">AG43-AF43</f>
        <v>0.104572819054389</v>
      </c>
      <c r="AH44" s="19" t="n">
        <f aca="false">AH43-AG43</f>
        <v>0.0977259868903646</v>
      </c>
      <c r="AI44" s="19" t="n">
        <f aca="false">AI43-AH43</f>
        <v>0.110531145900067</v>
      </c>
      <c r="AJ44" s="19" t="n">
        <f aca="false">AJ43-AI43</f>
        <v>0.105247699253119</v>
      </c>
      <c r="AK44" s="19" t="n">
        <f aca="false">AK43-AJ43</f>
        <v>0.119258300724173</v>
      </c>
      <c r="AL44" s="19" t="n">
        <f aca="false">AL43-AK43</f>
        <v>0.113332897346423</v>
      </c>
      <c r="AM44" s="19" t="n">
        <f aca="false">AM43-AL43</f>
        <v>0.125882105510232</v>
      </c>
      <c r="AN44" s="19" t="n">
        <f aca="false">AN43-AM43</f>
        <v>0.121929501389971</v>
      </c>
      <c r="AO44" s="19" t="n">
        <f aca="false">AO43-AN43</f>
        <v>0.132818466426102</v>
      </c>
      <c r="AP44" s="19" t="n">
        <f aca="false">AP43-AO43</f>
        <v>0.131065808590806</v>
      </c>
      <c r="AQ44" s="19" t="n">
        <f aca="false">AQ43-AP43</f>
        <v>0.140080980170281</v>
      </c>
      <c r="AR44" s="19" t="n">
        <f aca="false">AR43-AQ43</f>
        <v>0.140771547611148</v>
      </c>
      <c r="AS44" s="19" t="n">
        <f aca="false">AS43-AR43</f>
        <v>0.150523879907681</v>
      </c>
      <c r="AT44" s="19" t="n">
        <f aca="false">AT43-AS43</f>
        <v>0.151174509054314</v>
      </c>
      <c r="AU44" s="19" t="n">
        <f aca="false">AU43-AT43</f>
        <v>0.158578327519345</v>
      </c>
      <c r="AV44" s="19" t="n">
        <f aca="false">AV43-AU43</f>
        <v>0.162217495328033</v>
      </c>
      <c r="AW44" s="19" t="n">
        <f aca="false">AW43-AV43</f>
        <v>0.167006471963429</v>
      </c>
      <c r="AX44" s="19" t="n">
        <f aca="false">AX43-AW43</f>
        <v>0.0983481555812622</v>
      </c>
      <c r="AY44" s="19" t="n">
        <f aca="false">AY43-AX43</f>
        <v>0.177060261575627</v>
      </c>
      <c r="AZ44" s="19" t="n">
        <f aca="false">AZ43-AY43</f>
        <v>0.104563153855793</v>
      </c>
      <c r="BA44" s="19" t="n">
        <f aca="false">BA43-AZ43</f>
        <v>0.184310413339092</v>
      </c>
      <c r="BB44" s="19" t="n">
        <f aca="false">BB43-BA43</f>
        <v>0.111084865698187</v>
      </c>
      <c r="BC44" s="19" t="n">
        <f aca="false">BC43-BB43</f>
        <v>0.191800407205302</v>
      </c>
      <c r="BD44" s="19" t="n">
        <f aca="false">BD43-BC43</f>
        <v>0.11792578726681</v>
      </c>
      <c r="BE44" s="19" t="n">
        <f aca="false">BE43-BD43</f>
        <v>0.20286306459038</v>
      </c>
      <c r="BF44" s="19" t="n">
        <f aca="false">BF43-BE43</f>
        <v>0.12517535515866</v>
      </c>
      <c r="BG44" s="19" t="n">
        <f aca="false">BG43-BF43</f>
        <v>0.21093102843786</v>
      </c>
      <c r="BH44" s="19" t="n">
        <f aca="false">BH43-BG43</f>
        <v>0.132774011887993</v>
      </c>
      <c r="BI44" s="19" t="n">
        <f aca="false">BI43-BH43</f>
        <v>0.222743166030384</v>
      </c>
      <c r="BJ44" s="19" t="n">
        <f aca="false">BJ43-BI43</f>
        <v>0.140815822134392</v>
      </c>
      <c r="BK44" s="19" t="n">
        <f aca="false">BK43-BJ43</f>
        <v>0.234987079438111</v>
      </c>
      <c r="BL44" s="19" t="n">
        <f aca="false">BL43-BK43</f>
        <v>0.149320826903693</v>
      </c>
      <c r="BM44" s="19" t="n">
        <f aca="false">BM43-BL43</f>
        <v>0.244034081996486</v>
      </c>
      <c r="BN44" s="19" t="n">
        <f aca="false">BN43-BM43</f>
        <v>0.158226066292362</v>
      </c>
      <c r="BO44" s="19" t="n">
        <f aca="false">BO43-BN43</f>
        <v>0.257099011132624</v>
      </c>
      <c r="BP44" s="19" t="n">
        <f aca="false">BP43-BO43</f>
        <v>0.1676330714692</v>
      </c>
      <c r="BQ44" s="19" t="n">
        <f aca="false">BQ43-BP43</f>
        <v>0.270635832979644</v>
      </c>
      <c r="BR44" s="19" t="n">
        <f aca="false">BR43-BQ43</f>
        <v>0.0560944001371793</v>
      </c>
      <c r="BS44" s="19" t="n">
        <f aca="false">BS43-BR43</f>
        <v>0.277740976538436</v>
      </c>
      <c r="BT44" s="19" t="n">
        <f aca="false">BT43-BS43</f>
        <v>0.0591069899820198</v>
      </c>
      <c r="BU44" s="19" t="n">
        <f aca="false">BU43-BT43</f>
        <v>0.288881475708482</v>
      </c>
      <c r="BV44" s="19" t="n">
        <f aca="false">BV43-BU43</f>
        <v>0.0622645810281668</v>
      </c>
      <c r="BW44" s="19" t="n">
        <f aca="false">BW43-BV43</f>
        <v>0.300249352157977</v>
      </c>
      <c r="BX44" s="19" t="n">
        <f aca="false">BX43-BW43</f>
        <v>0.0655710209207001</v>
      </c>
      <c r="BY44" s="19" t="n">
        <f aca="false">BY43-BX43</f>
        <v>0.311848458709761</v>
      </c>
      <c r="BZ44" s="19" t="n">
        <f aca="false">BZ43-BY43</f>
        <v>0.0690302341879328</v>
      </c>
      <c r="CA44" s="19" t="n">
        <f aca="false">CA43-BZ43</f>
        <v>0.32368270791209</v>
      </c>
      <c r="CB44" s="19" t="n">
        <f aca="false">CB43-CA43</f>
        <v>0.0726462234925833</v>
      </c>
      <c r="CC44" s="19" t="n">
        <f aca="false">CC43-CB43</f>
        <v>0.335756072917205</v>
      </c>
      <c r="CD44" s="19" t="n">
        <f aca="false">CD43-CC43</f>
        <v>0.0764230708989349</v>
      </c>
      <c r="CE44" s="19" t="n">
        <f aca="false">CE43-CD43</f>
        <v>0.348072588372517</v>
      </c>
      <c r="CF44" s="19" t="n">
        <f aca="false">CF43-CE43</f>
        <v>0.0803649391558636</v>
      </c>
      <c r="CG44" s="19" t="n">
        <f aca="false">CG43-CF43</f>
        <v>0.360636351324246</v>
      </c>
      <c r="CH44" s="19" t="n">
        <f aca="false">CH43-CG43</f>
        <v>0.0844760729959493</v>
      </c>
      <c r="CI44" s="19" t="n">
        <f aca="false">CI43-CH43</f>
        <v>0.373451522134099</v>
      </c>
      <c r="CJ44" s="19" t="n">
        <f aca="false">CJ43-CI43</f>
        <v>0.0887608004506824</v>
      </c>
      <c r="CK44" s="19" t="n">
        <f aca="false">CK43-CJ43</f>
        <v>0.38652232540878</v>
      </c>
      <c r="CL44" s="19" t="n">
        <f aca="false">CL43-CK43</f>
        <v>0.0932235341820054</v>
      </c>
      <c r="CM44" s="19" t="n">
        <f aca="false">CM43-CL43</f>
        <v>0.404199279757478</v>
      </c>
      <c r="CN44" s="19" t="n">
        <f aca="false">CN43-CM43</f>
        <v>0.0979209275758048</v>
      </c>
      <c r="CO44" s="19" t="n">
        <f aca="false">CO43-CN43</f>
        <v>0.417846438235314</v>
      </c>
      <c r="CP44" s="19" t="n">
        <f aca="false">CP43-CO43</f>
        <v>-13.0207526064861</v>
      </c>
      <c r="CQ44" s="19" t="n">
        <f aca="false">CQ43-CP43</f>
        <v>0</v>
      </c>
      <c r="CR44" s="19" t="n">
        <f aca="false">CR43-CQ43</f>
        <v>0</v>
      </c>
      <c r="CS44" s="19" t="n">
        <f aca="false">CS43-CR43</f>
        <v>0</v>
      </c>
      <c r="CT44" s="19" t="n">
        <f aca="false">CT43-CS43</f>
        <v>0</v>
      </c>
      <c r="CU44" s="19" t="n">
        <f aca="false">CU43-CT43</f>
        <v>0</v>
      </c>
      <c r="CV44" s="19" t="n">
        <f aca="false">CV43-CU43</f>
        <v>0</v>
      </c>
      <c r="CW44" s="19" t="n">
        <f aca="false">CW43-CV43</f>
        <v>0</v>
      </c>
      <c r="CX44" s="19" t="n">
        <f aca="false">CX43-CW43</f>
        <v>0</v>
      </c>
      <c r="CY44" s="19" t="n">
        <f aca="false">CY43-CX43</f>
        <v>0</v>
      </c>
      <c r="CZ44" s="19" t="n">
        <f aca="false">CZ43-CY43</f>
        <v>0</v>
      </c>
      <c r="DA44" s="19" t="n">
        <f aca="false">DA43-CZ43</f>
        <v>0</v>
      </c>
      <c r="DB44" s="19" t="n">
        <f aca="false">DB43-DA43</f>
        <v>0</v>
      </c>
    </row>
    <row r="45" customFormat="false" ht="15" hidden="false" customHeight="false" outlineLevel="0" collapsed="false">
      <c r="D45" s="0" t="s">
        <v>412</v>
      </c>
      <c r="E45" s="0" t="s">
        <v>44</v>
      </c>
      <c r="G45" s="19" t="n">
        <f aca="false">SUM(J45:DB45)</f>
        <v>0</v>
      </c>
      <c r="J45" s="19" t="n">
        <f aca="false">IF(AND(Inputs!$F$215=1,Time!J8&gt;=Inputs!$F$39,Time!J8&lt;=Inputs!$F$40),Inputs!$F$172/Inputs!$F$173,0)</f>
        <v>0</v>
      </c>
      <c r="K45" s="19" t="n">
        <f aca="false">IF(AND(Inputs!$F$215=1,Time!K8&gt;=Inputs!$F$39,Time!K8&lt;=Inputs!$F$40),Inputs!$F$172/Inputs!$F$173,0)</f>
        <v>0</v>
      </c>
      <c r="L45" s="19" t="n">
        <f aca="false">IF(AND(Inputs!$F$215=1,Time!L8&gt;=Inputs!$F$39,Time!L8&lt;=Inputs!$F$40),Inputs!$F$172/Inputs!$F$173,0)</f>
        <v>0</v>
      </c>
      <c r="M45" s="19" t="n">
        <f aca="false">IF(AND(Inputs!$F$215=1,Time!M8&gt;=Inputs!$F$39,Time!M8&lt;=Inputs!$F$40),Inputs!$F$172/Inputs!$F$173,0)</f>
        <v>0</v>
      </c>
      <c r="N45" s="19" t="n">
        <f aca="false">IF(AND(Inputs!$F$215=1,Time!N8&gt;=Inputs!$F$39,Time!N8&lt;=Inputs!$F$40),Inputs!$F$172/Inputs!$F$173,0)</f>
        <v>0</v>
      </c>
      <c r="O45" s="19" t="n">
        <f aca="false">IF(AND(Inputs!$F$215=1,Time!O8&gt;=Inputs!$F$39,Time!O8&lt;=Inputs!$F$40),Inputs!$F$172/Inputs!$F$173,0)</f>
        <v>0</v>
      </c>
      <c r="P45" s="19" t="n">
        <f aca="false">IF(AND(Inputs!$F$215=1,Time!P8&gt;=Inputs!$F$39,Time!P8&lt;=Inputs!$F$40),Inputs!$F$172/Inputs!$F$173,0)</f>
        <v>0</v>
      </c>
      <c r="Q45" s="19" t="n">
        <f aca="false">IF(AND(Inputs!$F$215=1,Time!Q8&gt;=Inputs!$F$39,Time!Q8&lt;=Inputs!$F$40),Inputs!$F$172/Inputs!$F$173,0)</f>
        <v>0</v>
      </c>
      <c r="R45" s="19" t="n">
        <f aca="false">IF(AND(Inputs!$F$215=1,Time!R8&gt;=Inputs!$F$39,Time!R8&lt;=Inputs!$F$40),Inputs!$F$172/Inputs!$F$173,0)</f>
        <v>0</v>
      </c>
      <c r="S45" s="19" t="n">
        <f aca="false">IF(AND(Inputs!$F$215=1,Time!S8&gt;=Inputs!$F$39,Time!S8&lt;=Inputs!$F$40),Inputs!$F$172/Inputs!$F$173,0)</f>
        <v>0</v>
      </c>
      <c r="T45" s="19" t="n">
        <f aca="false">IF(AND(Inputs!$F$215=1,Time!T8&gt;=Inputs!$F$39,Time!T8&lt;=Inputs!$F$40),Inputs!$F$172/Inputs!$F$173,0)</f>
        <v>0</v>
      </c>
      <c r="U45" s="19" t="n">
        <f aca="false">IF(AND(Inputs!$F$215=1,Time!U8&gt;=Inputs!$F$39,Time!U8&lt;=Inputs!$F$40),Inputs!$F$172/Inputs!$F$173,0)</f>
        <v>0</v>
      </c>
      <c r="V45" s="19" t="n">
        <f aca="false">IF(AND(Inputs!$F$215=1,Time!V8&gt;=Inputs!$F$39,Time!V8&lt;=Inputs!$F$40),Inputs!$F$172/Inputs!$F$173,0)</f>
        <v>0</v>
      </c>
      <c r="W45" s="19" t="n">
        <f aca="false">IF(AND(Inputs!$F$215=1,Time!W8&gt;=Inputs!$F$39,Time!W8&lt;=Inputs!$F$40),Inputs!$F$172/Inputs!$F$173,0)</f>
        <v>0</v>
      </c>
      <c r="X45" s="19" t="n">
        <f aca="false">IF(AND(Inputs!$F$215=1,Time!X8&gt;=Inputs!$F$39,Time!X8&lt;=Inputs!$F$40),Inputs!$F$172/Inputs!$F$173,0)</f>
        <v>0</v>
      </c>
      <c r="Y45" s="19" t="n">
        <f aca="false">IF(AND(Inputs!$F$215=1,Time!Y8&gt;=Inputs!$F$39,Time!Y8&lt;=Inputs!$F$40),Inputs!$F$172/Inputs!$F$173,0)</f>
        <v>0</v>
      </c>
      <c r="Z45" s="19" t="n">
        <f aca="false">IF(AND(Inputs!$F$215=1,Time!Z8&gt;=Inputs!$F$39,Time!Z8&lt;=Inputs!$F$40),Inputs!$F$172/Inputs!$F$173,0)</f>
        <v>0</v>
      </c>
      <c r="AA45" s="19" t="n">
        <f aca="false">IF(AND(Inputs!$F$215=1,Time!AA8&gt;=Inputs!$F$39,Time!AA8&lt;=Inputs!$F$40),Inputs!$F$172/Inputs!$F$173,0)</f>
        <v>0</v>
      </c>
      <c r="AB45" s="19" t="n">
        <f aca="false">IF(AND(Inputs!$F$215=1,Time!AB8&gt;=Inputs!$F$39,Time!AB8&lt;=Inputs!$F$40),Inputs!$F$172/Inputs!$F$173,0)</f>
        <v>0</v>
      </c>
      <c r="AC45" s="19" t="n">
        <f aca="false">IF(AND(Inputs!$F$215=1,Time!AC8&gt;=Inputs!$F$39,Time!AC8&lt;=Inputs!$F$40),Inputs!$F$172/Inputs!$F$173,0)</f>
        <v>0</v>
      </c>
      <c r="AD45" s="19" t="n">
        <f aca="false">IF(AND(Inputs!$F$215=1,Time!AD8&gt;=Inputs!$F$39,Time!AD8&lt;=Inputs!$F$40),Inputs!$F$172/Inputs!$F$173,0)</f>
        <v>0</v>
      </c>
      <c r="AE45" s="19" t="n">
        <f aca="false">IF(AND(Inputs!$F$215=1,Time!AE8&gt;=Inputs!$F$39,Time!AE8&lt;=Inputs!$F$40),Inputs!$F$172/Inputs!$F$173,0)</f>
        <v>0</v>
      </c>
      <c r="AF45" s="19" t="n">
        <f aca="false">IF(AND(Inputs!$F$215=1,Time!AF8&gt;=Inputs!$F$39,Time!AF8&lt;=Inputs!$F$40),Inputs!$F$172/Inputs!$F$173,0)</f>
        <v>0</v>
      </c>
      <c r="AG45" s="19" t="n">
        <f aca="false">IF(AND(Inputs!$F$215=1,Time!AG8&gt;=Inputs!$F$39,Time!AG8&lt;=Inputs!$F$40),Inputs!$F$172/Inputs!$F$173,0)</f>
        <v>0</v>
      </c>
      <c r="AH45" s="19" t="n">
        <f aca="false">IF(AND(Inputs!$F$215=1,Time!AH8&gt;=Inputs!$F$39,Time!AH8&lt;=Inputs!$F$40),Inputs!$F$172/Inputs!$F$173,0)</f>
        <v>0</v>
      </c>
      <c r="AI45" s="19" t="n">
        <f aca="false">IF(AND(Inputs!$F$215=1,Time!AI8&gt;=Inputs!$F$39,Time!AI8&lt;=Inputs!$F$40),Inputs!$F$172/Inputs!$F$173,0)</f>
        <v>0</v>
      </c>
      <c r="AJ45" s="19" t="n">
        <f aca="false">IF(AND(Inputs!$F$215=1,Time!AJ8&gt;=Inputs!$F$39,Time!AJ8&lt;=Inputs!$F$40),Inputs!$F$172/Inputs!$F$173,0)</f>
        <v>0</v>
      </c>
      <c r="AK45" s="19" t="n">
        <f aca="false">IF(AND(Inputs!$F$215=1,Time!AK8&gt;=Inputs!$F$39,Time!AK8&lt;=Inputs!$F$40),Inputs!$F$172/Inputs!$F$173,0)</f>
        <v>0</v>
      </c>
      <c r="AL45" s="19" t="n">
        <f aca="false">IF(AND(Inputs!$F$215=1,Time!AL8&gt;=Inputs!$F$39,Time!AL8&lt;=Inputs!$F$40),Inputs!$F$172/Inputs!$F$173,0)</f>
        <v>0</v>
      </c>
      <c r="AM45" s="19" t="n">
        <f aca="false">IF(AND(Inputs!$F$215=1,Time!AM8&gt;=Inputs!$F$39,Time!AM8&lt;=Inputs!$F$40),Inputs!$F$172/Inputs!$F$173,0)</f>
        <v>0</v>
      </c>
      <c r="AN45" s="19" t="n">
        <f aca="false">IF(AND(Inputs!$F$215=1,Time!AN8&gt;=Inputs!$F$39,Time!AN8&lt;=Inputs!$F$40),Inputs!$F$172/Inputs!$F$173,0)</f>
        <v>0</v>
      </c>
      <c r="AO45" s="19" t="n">
        <f aca="false">IF(AND(Inputs!$F$215=1,Time!AO8&gt;=Inputs!$F$39,Time!AO8&lt;=Inputs!$F$40),Inputs!$F$172/Inputs!$F$173,0)</f>
        <v>0</v>
      </c>
      <c r="AP45" s="19" t="n">
        <f aca="false">IF(AND(Inputs!$F$215=1,Time!AP8&gt;=Inputs!$F$39,Time!AP8&lt;=Inputs!$F$40),Inputs!$F$172/Inputs!$F$173,0)</f>
        <v>0</v>
      </c>
      <c r="AQ45" s="19" t="n">
        <f aca="false">IF(AND(Inputs!$F$215=1,Time!AQ8&gt;=Inputs!$F$39,Time!AQ8&lt;=Inputs!$F$40),Inputs!$F$172/Inputs!$F$173,0)</f>
        <v>0</v>
      </c>
      <c r="AR45" s="19" t="n">
        <f aca="false">IF(AND(Inputs!$F$215=1,Time!AR8&gt;=Inputs!$F$39,Time!AR8&lt;=Inputs!$F$40),Inputs!$F$172/Inputs!$F$173,0)</f>
        <v>0</v>
      </c>
      <c r="AS45" s="19" t="n">
        <f aca="false">IF(AND(Inputs!$F$215=1,Time!AS8&gt;=Inputs!$F$39,Time!AS8&lt;=Inputs!$F$40),Inputs!$F$172/Inputs!$F$173,0)</f>
        <v>0</v>
      </c>
      <c r="AT45" s="19" t="n">
        <f aca="false">IF(AND(Inputs!$F$215=1,Time!AT8&gt;=Inputs!$F$39,Time!AT8&lt;=Inputs!$F$40),Inputs!$F$172/Inputs!$F$173,0)</f>
        <v>0</v>
      </c>
      <c r="AU45" s="19" t="n">
        <f aca="false">IF(AND(Inputs!$F$215=1,Time!AU8&gt;=Inputs!$F$39,Time!AU8&lt;=Inputs!$F$40),Inputs!$F$172/Inputs!$F$173,0)</f>
        <v>0</v>
      </c>
      <c r="AV45" s="19" t="n">
        <f aca="false">IF(AND(Inputs!$F$215=1,Time!AV8&gt;=Inputs!$F$39,Time!AV8&lt;=Inputs!$F$40),Inputs!$F$172/Inputs!$F$173,0)</f>
        <v>0</v>
      </c>
      <c r="AW45" s="19" t="n">
        <f aca="false">IF(AND(Inputs!$F$215=1,Time!AW8&gt;=Inputs!$F$39,Time!AW8&lt;=Inputs!$F$40),Inputs!$F$172/Inputs!$F$173,0)</f>
        <v>0</v>
      </c>
      <c r="AX45" s="19" t="n">
        <f aca="false">IF(AND(Inputs!$F$215=1,Time!AX8&gt;=Inputs!$F$39,Time!AX8&lt;=Inputs!$F$40),Inputs!$F$172/Inputs!$F$173,0)</f>
        <v>0</v>
      </c>
      <c r="AY45" s="19" t="n">
        <f aca="false">IF(AND(Inputs!$F$215=1,Time!AY8&gt;=Inputs!$F$39,Time!AY8&lt;=Inputs!$F$40),Inputs!$F$172/Inputs!$F$173,0)</f>
        <v>0</v>
      </c>
      <c r="AZ45" s="19" t="n">
        <f aca="false">IF(AND(Inputs!$F$215=1,Time!AZ8&gt;=Inputs!$F$39,Time!AZ8&lt;=Inputs!$F$40),Inputs!$F$172/Inputs!$F$173,0)</f>
        <v>0</v>
      </c>
      <c r="BA45" s="19" t="n">
        <f aca="false">IF(AND(Inputs!$F$215=1,Time!BA8&gt;=Inputs!$F$39,Time!BA8&lt;=Inputs!$F$40),Inputs!$F$172/Inputs!$F$173,0)</f>
        <v>0</v>
      </c>
      <c r="BB45" s="19" t="n">
        <f aca="false">IF(AND(Inputs!$F$215=1,Time!BB8&gt;=Inputs!$F$39,Time!BB8&lt;=Inputs!$F$40),Inputs!$F$172/Inputs!$F$173,0)</f>
        <v>0</v>
      </c>
      <c r="BC45" s="19" t="n">
        <f aca="false">IF(AND(Inputs!$F$215=1,Time!BC8&gt;=Inputs!$F$39,Time!BC8&lt;=Inputs!$F$40),Inputs!$F$172/Inputs!$F$173,0)</f>
        <v>0</v>
      </c>
      <c r="BD45" s="19" t="n">
        <f aca="false">IF(AND(Inputs!$F$215=1,Time!BD8&gt;=Inputs!$F$39,Time!BD8&lt;=Inputs!$F$40),Inputs!$F$172/Inputs!$F$173,0)</f>
        <v>0</v>
      </c>
      <c r="BE45" s="19" t="n">
        <f aca="false">IF(AND(Inputs!$F$215=1,Time!BE8&gt;=Inputs!$F$39,Time!BE8&lt;=Inputs!$F$40),Inputs!$F$172/Inputs!$F$173,0)</f>
        <v>0</v>
      </c>
      <c r="BF45" s="19" t="n">
        <f aca="false">IF(AND(Inputs!$F$215=1,Time!BF8&gt;=Inputs!$F$39,Time!BF8&lt;=Inputs!$F$40),Inputs!$F$172/Inputs!$F$173,0)</f>
        <v>0</v>
      </c>
      <c r="BG45" s="19" t="n">
        <f aca="false">IF(AND(Inputs!$F$215=1,Time!BG8&gt;=Inputs!$F$39,Time!BG8&lt;=Inputs!$F$40),Inputs!$F$172/Inputs!$F$173,0)</f>
        <v>0</v>
      </c>
      <c r="BH45" s="19" t="n">
        <f aca="false">IF(AND(Inputs!$F$215=1,Time!BH8&gt;=Inputs!$F$39,Time!BH8&lt;=Inputs!$F$40),Inputs!$F$172/Inputs!$F$173,0)</f>
        <v>0</v>
      </c>
      <c r="BI45" s="19" t="n">
        <f aca="false">IF(AND(Inputs!$F$215=1,Time!BI8&gt;=Inputs!$F$39,Time!BI8&lt;=Inputs!$F$40),Inputs!$F$172/Inputs!$F$173,0)</f>
        <v>0</v>
      </c>
      <c r="BJ45" s="19" t="n">
        <f aca="false">IF(AND(Inputs!$F$215=1,Time!BJ8&gt;=Inputs!$F$39,Time!BJ8&lt;=Inputs!$F$40),Inputs!$F$172/Inputs!$F$173,0)</f>
        <v>0</v>
      </c>
      <c r="BK45" s="19" t="n">
        <f aca="false">IF(AND(Inputs!$F$215=1,Time!BK8&gt;=Inputs!$F$39,Time!BK8&lt;=Inputs!$F$40),Inputs!$F$172/Inputs!$F$173,0)</f>
        <v>0</v>
      </c>
      <c r="BL45" s="19" t="n">
        <f aca="false">IF(AND(Inputs!$F$215=1,Time!BL8&gt;=Inputs!$F$39,Time!BL8&lt;=Inputs!$F$40),Inputs!$F$172/Inputs!$F$173,0)</f>
        <v>0</v>
      </c>
      <c r="BM45" s="19" t="n">
        <f aca="false">IF(AND(Inputs!$F$215=1,Time!BM8&gt;=Inputs!$F$39,Time!BM8&lt;=Inputs!$F$40),Inputs!$F$172/Inputs!$F$173,0)</f>
        <v>0</v>
      </c>
      <c r="BN45" s="19" t="n">
        <f aca="false">IF(AND(Inputs!$F$215=1,Time!BN8&gt;=Inputs!$F$39,Time!BN8&lt;=Inputs!$F$40),Inputs!$F$172/Inputs!$F$173,0)</f>
        <v>0</v>
      </c>
      <c r="BO45" s="19" t="n">
        <f aca="false">IF(AND(Inputs!$F$215=1,Time!BO8&gt;=Inputs!$F$39,Time!BO8&lt;=Inputs!$F$40),Inputs!$F$172/Inputs!$F$173,0)</f>
        <v>0</v>
      </c>
      <c r="BP45" s="19" t="n">
        <f aca="false">IF(AND(Inputs!$F$215=1,Time!BP8&gt;=Inputs!$F$39,Time!BP8&lt;=Inputs!$F$40),Inputs!$F$172/Inputs!$F$173,0)</f>
        <v>0</v>
      </c>
      <c r="BQ45" s="19" t="n">
        <f aca="false">IF(AND(Inputs!$F$215=1,Time!BQ8&gt;=Inputs!$F$39,Time!BQ8&lt;=Inputs!$F$40),Inputs!$F$172/Inputs!$F$173,0)</f>
        <v>0</v>
      </c>
      <c r="BR45" s="19" t="n">
        <f aca="false">IF(AND(Inputs!$F$215=1,Time!BR8&gt;=Inputs!$F$39,Time!BR8&lt;=Inputs!$F$40),Inputs!$F$172/Inputs!$F$173,0)</f>
        <v>0</v>
      </c>
      <c r="BS45" s="19" t="n">
        <f aca="false">IF(AND(Inputs!$F$215=1,Time!BS8&gt;=Inputs!$F$39,Time!BS8&lt;=Inputs!$F$40),Inputs!$F$172/Inputs!$F$173,0)</f>
        <v>0</v>
      </c>
      <c r="BT45" s="19" t="n">
        <f aca="false">IF(AND(Inputs!$F$215=1,Time!BT8&gt;=Inputs!$F$39,Time!BT8&lt;=Inputs!$F$40),Inputs!$F$172/Inputs!$F$173,0)</f>
        <v>0</v>
      </c>
      <c r="BU45" s="19" t="n">
        <f aca="false">IF(AND(Inputs!$F$215=1,Time!BU8&gt;=Inputs!$F$39,Time!BU8&lt;=Inputs!$F$40),Inputs!$F$172/Inputs!$F$173,0)</f>
        <v>0</v>
      </c>
      <c r="BV45" s="19" t="n">
        <f aca="false">IF(AND(Inputs!$F$215=1,Time!BV8&gt;=Inputs!$F$39,Time!BV8&lt;=Inputs!$F$40),Inputs!$F$172/Inputs!$F$173,0)</f>
        <v>0</v>
      </c>
      <c r="BW45" s="19" t="n">
        <f aca="false">IF(AND(Inputs!$F$215=1,Time!BW8&gt;=Inputs!$F$39,Time!BW8&lt;=Inputs!$F$40),Inputs!$F$172/Inputs!$F$173,0)</f>
        <v>0</v>
      </c>
      <c r="BX45" s="19" t="n">
        <f aca="false">IF(AND(Inputs!$F$215=1,Time!BX8&gt;=Inputs!$F$39,Time!BX8&lt;=Inputs!$F$40),Inputs!$F$172/Inputs!$F$173,0)</f>
        <v>0</v>
      </c>
      <c r="BY45" s="19" t="n">
        <f aca="false">IF(AND(Inputs!$F$215=1,Time!BY8&gt;=Inputs!$F$39,Time!BY8&lt;=Inputs!$F$40),Inputs!$F$172/Inputs!$F$173,0)</f>
        <v>0</v>
      </c>
      <c r="BZ45" s="19" t="n">
        <f aca="false">IF(AND(Inputs!$F$215=1,Time!BZ8&gt;=Inputs!$F$39,Time!BZ8&lt;=Inputs!$F$40),Inputs!$F$172/Inputs!$F$173,0)</f>
        <v>0</v>
      </c>
      <c r="CA45" s="19" t="n">
        <f aca="false">IF(AND(Inputs!$F$215=1,Time!CA8&gt;=Inputs!$F$39,Time!CA8&lt;=Inputs!$F$40),Inputs!$F$172/Inputs!$F$173,0)</f>
        <v>0</v>
      </c>
      <c r="CB45" s="19" t="n">
        <f aca="false">IF(AND(Inputs!$F$215=1,Time!CB8&gt;=Inputs!$F$39,Time!CB8&lt;=Inputs!$F$40),Inputs!$F$172/Inputs!$F$173,0)</f>
        <v>0</v>
      </c>
      <c r="CC45" s="19" t="n">
        <f aca="false">IF(AND(Inputs!$F$215=1,Time!CC8&gt;=Inputs!$F$39,Time!CC8&lt;=Inputs!$F$40),Inputs!$F$172/Inputs!$F$173,0)</f>
        <v>0</v>
      </c>
      <c r="CD45" s="19" t="n">
        <f aca="false">IF(AND(Inputs!$F$215=1,Time!CD8&gt;=Inputs!$F$39,Time!CD8&lt;=Inputs!$F$40),Inputs!$F$172/Inputs!$F$173,0)</f>
        <v>0</v>
      </c>
      <c r="CE45" s="19" t="n">
        <f aca="false">IF(AND(Inputs!$F$215=1,Time!CE8&gt;=Inputs!$F$39,Time!CE8&lt;=Inputs!$F$40),Inputs!$F$172/Inputs!$F$173,0)</f>
        <v>0</v>
      </c>
      <c r="CF45" s="19" t="n">
        <f aca="false">IF(AND(Inputs!$F$215=1,Time!CF8&gt;=Inputs!$F$39,Time!CF8&lt;=Inputs!$F$40),Inputs!$F$172/Inputs!$F$173,0)</f>
        <v>0</v>
      </c>
      <c r="CG45" s="19" t="n">
        <f aca="false">IF(AND(Inputs!$F$215=1,Time!CG8&gt;=Inputs!$F$39,Time!CG8&lt;=Inputs!$F$40),Inputs!$F$172/Inputs!$F$173,0)</f>
        <v>0</v>
      </c>
      <c r="CH45" s="19" t="n">
        <f aca="false">IF(AND(Inputs!$F$215=1,Time!CH8&gt;=Inputs!$F$39,Time!CH8&lt;=Inputs!$F$40),Inputs!$F$172/Inputs!$F$173,0)</f>
        <v>0</v>
      </c>
      <c r="CI45" s="19" t="n">
        <f aca="false">IF(AND(Inputs!$F$215=1,Time!CI8&gt;=Inputs!$F$39,Time!CI8&lt;=Inputs!$F$40),Inputs!$F$172/Inputs!$F$173,0)</f>
        <v>0</v>
      </c>
      <c r="CJ45" s="19" t="n">
        <f aca="false">IF(AND(Inputs!$F$215=1,Time!CJ8&gt;=Inputs!$F$39,Time!CJ8&lt;=Inputs!$F$40),Inputs!$F$172/Inputs!$F$173,0)</f>
        <v>0</v>
      </c>
      <c r="CK45" s="19" t="n">
        <f aca="false">IF(AND(Inputs!$F$215=1,Time!CK8&gt;=Inputs!$F$39,Time!CK8&lt;=Inputs!$F$40),Inputs!$F$172/Inputs!$F$173,0)</f>
        <v>0</v>
      </c>
      <c r="CL45" s="19" t="n">
        <f aca="false">IF(AND(Inputs!$F$215=1,Time!CL8&gt;=Inputs!$F$39,Time!CL8&lt;=Inputs!$F$40),Inputs!$F$172/Inputs!$F$173,0)</f>
        <v>0</v>
      </c>
      <c r="CM45" s="19" t="n">
        <f aca="false">IF(AND(Inputs!$F$215=1,Time!CM8&gt;=Inputs!$F$39,Time!CM8&lt;=Inputs!$F$40),Inputs!$F$172/Inputs!$F$173,0)</f>
        <v>0</v>
      </c>
      <c r="CN45" s="19" t="n">
        <f aca="false">IF(AND(Inputs!$F$215=1,Time!CN8&gt;=Inputs!$F$39,Time!CN8&lt;=Inputs!$F$40),Inputs!$F$172/Inputs!$F$173,0)</f>
        <v>0</v>
      </c>
      <c r="CO45" s="19" t="n">
        <f aca="false">IF(AND(Inputs!$F$215=1,Time!CO8&gt;=Inputs!$F$39,Time!CO8&lt;=Inputs!$F$40),Inputs!$F$172/Inputs!$F$173,0)</f>
        <v>0</v>
      </c>
      <c r="CP45" s="19" t="n">
        <f aca="false">IF(AND(Inputs!$F$215=1,Time!CP8&gt;=Inputs!$F$39,Time!CP8&lt;=Inputs!$F$40),Inputs!$F$172/Inputs!$F$173,0)</f>
        <v>0</v>
      </c>
      <c r="CQ45" s="19" t="n">
        <f aca="false">IF(AND(Inputs!$F$215=1,Time!CQ8&gt;=Inputs!$F$39,Time!CQ8&lt;=Inputs!$F$40),Inputs!$F$172/Inputs!$F$173,0)</f>
        <v>0</v>
      </c>
      <c r="CR45" s="19" t="n">
        <f aca="false">IF(AND(Inputs!$F$215=1,Time!CR8&gt;=Inputs!$F$39,Time!CR8&lt;=Inputs!$F$40),Inputs!$F$172/Inputs!$F$173,0)</f>
        <v>0</v>
      </c>
      <c r="CS45" s="19" t="n">
        <f aca="false">IF(AND(Inputs!$F$215=1,Time!CS8&gt;=Inputs!$F$39,Time!CS8&lt;=Inputs!$F$40),Inputs!$F$172/Inputs!$F$173,0)</f>
        <v>0</v>
      </c>
      <c r="CT45" s="19" t="n">
        <f aca="false">IF(AND(Inputs!$F$215=1,Time!CT8&gt;=Inputs!$F$39,Time!CT8&lt;=Inputs!$F$40),Inputs!$F$172/Inputs!$F$173,0)</f>
        <v>0</v>
      </c>
      <c r="CU45" s="19" t="n">
        <f aca="false">IF(AND(Inputs!$F$215=1,Time!CU8&gt;=Inputs!$F$39,Time!CU8&lt;=Inputs!$F$40),Inputs!$F$172/Inputs!$F$173,0)</f>
        <v>0</v>
      </c>
      <c r="CV45" s="19" t="n">
        <f aca="false">IF(AND(Inputs!$F$215=1,Time!CV8&gt;=Inputs!$F$39,Time!CV8&lt;=Inputs!$F$40),Inputs!$F$172/Inputs!$F$173,0)</f>
        <v>0</v>
      </c>
      <c r="CW45" s="19" t="n">
        <f aca="false">IF(AND(Inputs!$F$215=1,Time!CW8&gt;=Inputs!$F$39,Time!CW8&lt;=Inputs!$F$40),Inputs!$F$172/Inputs!$F$173,0)</f>
        <v>0</v>
      </c>
      <c r="CX45" s="19" t="n">
        <f aca="false">IF(AND(Inputs!$F$215=1,Time!CX8&gt;=Inputs!$F$39,Time!CX8&lt;=Inputs!$F$40),Inputs!$F$172/Inputs!$F$173,0)</f>
        <v>0</v>
      </c>
      <c r="CY45" s="19" t="n">
        <f aca="false">IF(AND(Inputs!$F$215=1,Time!CY8&gt;=Inputs!$F$39,Time!CY8&lt;=Inputs!$F$40),Inputs!$F$172/Inputs!$F$173,0)</f>
        <v>0</v>
      </c>
      <c r="CZ45" s="19" t="n">
        <f aca="false">IF(AND(Inputs!$F$215=1,Time!CZ8&gt;=Inputs!$F$39,Time!CZ8&lt;=Inputs!$F$40),Inputs!$F$172/Inputs!$F$173,0)</f>
        <v>0</v>
      </c>
      <c r="DA45" s="19" t="n">
        <f aca="false">IF(AND(Inputs!$F$215=1,Time!DA8&gt;=Inputs!$F$39,Time!DA8&lt;=Inputs!$F$40),Inputs!$F$172/Inputs!$F$173,0)</f>
        <v>0</v>
      </c>
      <c r="DB45" s="19" t="n">
        <f aca="false">IF(AND(Inputs!$F$215=1,Time!DB8&gt;=Inputs!$F$39,Time!DB8&lt;=Inputs!$F$40),Inputs!$F$172/Inputs!$F$173,0)</f>
        <v>0</v>
      </c>
    </row>
    <row r="46" customFormat="false" ht="15" hidden="false" customHeight="false" outlineLevel="0" collapsed="false">
      <c r="D46" s="3" t="s">
        <v>413</v>
      </c>
    </row>
    <row r="47" customFormat="false" ht="15" hidden="false" customHeight="false" outlineLevel="0" collapsed="false">
      <c r="D47" s="0" t="s">
        <v>414</v>
      </c>
      <c r="E47" s="0" t="s">
        <v>44</v>
      </c>
      <c r="G47" s="19" t="n">
        <f aca="false">SUM(J47:DB47)</f>
        <v>956.310051869597</v>
      </c>
      <c r="J47" s="29" t="n">
        <f aca="false">Tax!J23</f>
        <v>0</v>
      </c>
      <c r="K47" s="29" t="n">
        <f aca="false">Tax!K23</f>
        <v>0</v>
      </c>
      <c r="L47" s="29" t="n">
        <f aca="false">Tax!L23</f>
        <v>0</v>
      </c>
      <c r="M47" s="29" t="n">
        <f aca="false">Tax!M23</f>
        <v>0</v>
      </c>
      <c r="N47" s="29" t="n">
        <f aca="false">Tax!N23</f>
        <v>0</v>
      </c>
      <c r="O47" s="29" t="n">
        <f aca="false">Tax!O23</f>
        <v>0</v>
      </c>
      <c r="P47" s="29" t="n">
        <f aca="false">Tax!P23</f>
        <v>0</v>
      </c>
      <c r="Q47" s="29" t="n">
        <f aca="false">Tax!Q23</f>
        <v>0</v>
      </c>
      <c r="R47" s="29" t="n">
        <f aca="false">Tax!R23</f>
        <v>0</v>
      </c>
      <c r="S47" s="29" t="n">
        <f aca="false">Tax!S23</f>
        <v>0</v>
      </c>
      <c r="T47" s="29" t="n">
        <f aca="false">Tax!T23</f>
        <v>0</v>
      </c>
      <c r="U47" s="29" t="n">
        <f aca="false">Tax!U23</f>
        <v>0</v>
      </c>
      <c r="V47" s="29" t="n">
        <f aca="false">Tax!V23</f>
        <v>0</v>
      </c>
      <c r="W47" s="29" t="n">
        <f aca="false">Tax!W23</f>
        <v>0</v>
      </c>
      <c r="X47" s="29" t="n">
        <f aca="false">Tax!X23</f>
        <v>0</v>
      </c>
      <c r="Y47" s="29" t="n">
        <f aca="false">Tax!Y23</f>
        <v>0</v>
      </c>
      <c r="Z47" s="29" t="n">
        <f aca="false">Tax!Z23</f>
        <v>0</v>
      </c>
      <c r="AA47" s="29" t="n">
        <f aca="false">Tax!AA23</f>
        <v>0</v>
      </c>
      <c r="AB47" s="29" t="n">
        <f aca="false">Tax!AB23</f>
        <v>0</v>
      </c>
      <c r="AC47" s="29" t="n">
        <f aca="false">Tax!AC23</f>
        <v>0</v>
      </c>
      <c r="AD47" s="29" t="n">
        <f aca="false">Tax!AD23</f>
        <v>0</v>
      </c>
      <c r="AE47" s="29" t="n">
        <f aca="false">Tax!AE23</f>
        <v>0</v>
      </c>
      <c r="AF47" s="29" t="n">
        <f aca="false">Tax!AF23</f>
        <v>0</v>
      </c>
      <c r="AG47" s="29" t="n">
        <f aca="false">Tax!AG23</f>
        <v>0</v>
      </c>
      <c r="AH47" s="29" t="n">
        <f aca="false">Tax!AH23</f>
        <v>0</v>
      </c>
      <c r="AI47" s="29" t="n">
        <f aca="false">Tax!AI23</f>
        <v>0</v>
      </c>
      <c r="AJ47" s="29" t="n">
        <f aca="false">Tax!AJ23</f>
        <v>0</v>
      </c>
      <c r="AK47" s="29" t="n">
        <f aca="false">Tax!AK23</f>
        <v>0</v>
      </c>
      <c r="AL47" s="29" t="n">
        <f aca="false">Tax!AL23</f>
        <v>0</v>
      </c>
      <c r="AM47" s="29" t="n">
        <f aca="false">Tax!AM23</f>
        <v>0</v>
      </c>
      <c r="AN47" s="29" t="n">
        <f aca="false">Tax!AN23</f>
        <v>0</v>
      </c>
      <c r="AO47" s="29" t="n">
        <f aca="false">Tax!AO23</f>
        <v>0</v>
      </c>
      <c r="AP47" s="29" t="n">
        <f aca="false">Tax!AP23</f>
        <v>0</v>
      </c>
      <c r="AQ47" s="29" t="n">
        <f aca="false">Tax!AQ23</f>
        <v>0</v>
      </c>
      <c r="AR47" s="29" t="n">
        <f aca="false">Tax!AR23</f>
        <v>0</v>
      </c>
      <c r="AS47" s="29" t="n">
        <f aca="false">Tax!AS23</f>
        <v>0</v>
      </c>
      <c r="AT47" s="29" t="n">
        <f aca="false">Tax!AT23</f>
        <v>0</v>
      </c>
      <c r="AU47" s="29" t="n">
        <f aca="false">Tax!AU23</f>
        <v>0</v>
      </c>
      <c r="AV47" s="29" t="n">
        <f aca="false">Tax!AV23</f>
        <v>0</v>
      </c>
      <c r="AW47" s="29" t="n">
        <f aca="false">Tax!AW23</f>
        <v>0</v>
      </c>
      <c r="AX47" s="29" t="n">
        <f aca="false">Tax!AX23</f>
        <v>0</v>
      </c>
      <c r="AY47" s="29" t="n">
        <f aca="false">Tax!AY23</f>
        <v>0</v>
      </c>
      <c r="AZ47" s="29" t="n">
        <f aca="false">Tax!AZ23</f>
        <v>0</v>
      </c>
      <c r="BA47" s="29" t="n">
        <f aca="false">Tax!BA23</f>
        <v>0</v>
      </c>
      <c r="BB47" s="29" t="n">
        <f aca="false">Tax!BB23</f>
        <v>0</v>
      </c>
      <c r="BC47" s="29" t="n">
        <f aca="false">Tax!BC23</f>
        <v>0</v>
      </c>
      <c r="BD47" s="29" t="n">
        <f aca="false">Tax!BD23</f>
        <v>0</v>
      </c>
      <c r="BE47" s="29" t="n">
        <f aca="false">Tax!BE23</f>
        <v>0</v>
      </c>
      <c r="BF47" s="29" t="n">
        <f aca="false">Tax!BF23</f>
        <v>0</v>
      </c>
      <c r="BG47" s="29" t="n">
        <f aca="false">Tax!BG23</f>
        <v>0</v>
      </c>
      <c r="BH47" s="29" t="n">
        <f aca="false">Tax!BH23</f>
        <v>0</v>
      </c>
      <c r="BI47" s="29" t="n">
        <f aca="false">Tax!BI23</f>
        <v>0</v>
      </c>
      <c r="BJ47" s="29" t="n">
        <f aca="false">Tax!BJ23</f>
        <v>0</v>
      </c>
      <c r="BK47" s="29" t="n">
        <f aca="false">Tax!BK23</f>
        <v>0</v>
      </c>
      <c r="BL47" s="29" t="n">
        <f aca="false">Tax!BL23</f>
        <v>0</v>
      </c>
      <c r="BM47" s="29" t="n">
        <f aca="false">Tax!BM23</f>
        <v>0</v>
      </c>
      <c r="BN47" s="29" t="n">
        <f aca="false">Tax!BN23</f>
        <v>0</v>
      </c>
      <c r="BO47" s="29" t="n">
        <f aca="false">Tax!BO23</f>
        <v>0</v>
      </c>
      <c r="BP47" s="29" t="n">
        <f aca="false">Tax!BP23</f>
        <v>0</v>
      </c>
      <c r="BQ47" s="29" t="n">
        <f aca="false">Tax!BQ23</f>
        <v>17.0204261561108</v>
      </c>
      <c r="BR47" s="29" t="n">
        <f aca="false">Tax!BR23</f>
        <v>26.3287578642113</v>
      </c>
      <c r="BS47" s="29" t="n">
        <f aca="false">Tax!BS23</f>
        <v>28.2055773619636</v>
      </c>
      <c r="BT47" s="29" t="n">
        <f aca="false">Tax!BT23</f>
        <v>28.3773832472173</v>
      </c>
      <c r="BU47" s="29" t="n">
        <f aca="false">Tax!BU23</f>
        <v>0</v>
      </c>
      <c r="BV47" s="29" t="n">
        <f aca="false">Tax!BV23</f>
        <v>27.4910686269791</v>
      </c>
      <c r="BW47" s="29" t="n">
        <f aca="false">Tax!BW23</f>
        <v>32.7773162912459</v>
      </c>
      <c r="BX47" s="29" t="n">
        <f aca="false">Tax!BX23</f>
        <v>33.2413047804403</v>
      </c>
      <c r="BY47" s="29" t="n">
        <f aca="false">Tax!BY23</f>
        <v>35.3344088430365</v>
      </c>
      <c r="BZ47" s="29" t="n">
        <f aca="false">Tax!BZ23</f>
        <v>35.6250379493928</v>
      </c>
      <c r="CA47" s="29" t="n">
        <f aca="false">Tax!CA23</f>
        <v>38.0330342851659</v>
      </c>
      <c r="CB47" s="29" t="n">
        <f aca="false">Tax!CB23</f>
        <v>38.3001820917266</v>
      </c>
      <c r="CC47" s="29" t="n">
        <f aca="false">Tax!CC23</f>
        <v>40.7927133079863</v>
      </c>
      <c r="CD47" s="29" t="n">
        <f aca="false">Tax!CD23</f>
        <v>41.0803479374365</v>
      </c>
      <c r="CE47" s="29" t="n">
        <f aca="false">Tax!CE23</f>
        <v>43.7056493807241</v>
      </c>
      <c r="CF47" s="29" t="n">
        <f aca="false">Tax!CF23</f>
        <v>44.2391275121229</v>
      </c>
      <c r="CG47" s="29" t="n">
        <f aca="false">Tax!CG23</f>
        <v>25.0605324302473</v>
      </c>
      <c r="CH47" s="29" t="n">
        <f aca="false">Tax!CH23</f>
        <v>46.9352712614582</v>
      </c>
      <c r="CI47" s="29" t="n">
        <f aca="false">Tax!CI23</f>
        <v>49.4107560031549</v>
      </c>
      <c r="CJ47" s="29" t="n">
        <f aca="false">Tax!CJ23</f>
        <v>49.3150591608657</v>
      </c>
      <c r="CK47" s="29" t="n">
        <f aca="false">Tax!CK23</f>
        <v>41.4273504266985</v>
      </c>
      <c r="CL47" s="29" t="n">
        <f aca="false">Tax!CL23</f>
        <v>51.8072812806062</v>
      </c>
      <c r="CM47" s="29" t="n">
        <f aca="false">Tax!CM23</f>
        <v>54.5167834785822</v>
      </c>
      <c r="CN47" s="29" t="n">
        <f aca="false">Tax!CN23</f>
        <v>54.7109883701774</v>
      </c>
      <c r="CO47" s="29" t="n">
        <f aca="false">Tax!CO23</f>
        <v>57.2304689911739</v>
      </c>
      <c r="CP47" s="29" t="n">
        <f aca="false">Tax!CP23</f>
        <v>15.3432248308726</v>
      </c>
      <c r="CQ47" s="29" t="n">
        <f aca="false">Tax!CQ23</f>
        <v>0</v>
      </c>
      <c r="CR47" s="29" t="n">
        <f aca="false">Tax!CR23</f>
        <v>0</v>
      </c>
      <c r="CS47" s="29" t="n">
        <f aca="false">Tax!CS23</f>
        <v>0</v>
      </c>
      <c r="CT47" s="29" t="n">
        <f aca="false">Tax!CT23</f>
        <v>0</v>
      </c>
      <c r="CU47" s="29" t="n">
        <f aca="false">Tax!CU23</f>
        <v>0</v>
      </c>
      <c r="CV47" s="29" t="n">
        <f aca="false">Tax!CV23</f>
        <v>0</v>
      </c>
      <c r="CW47" s="29" t="n">
        <f aca="false">Tax!CW23</f>
        <v>0</v>
      </c>
      <c r="CX47" s="29" t="n">
        <f aca="false">Tax!CX23</f>
        <v>0</v>
      </c>
      <c r="CY47" s="29" t="n">
        <f aca="false">Tax!CY23</f>
        <v>0</v>
      </c>
      <c r="CZ47" s="29" t="n">
        <f aca="false">Tax!CZ23</f>
        <v>0</v>
      </c>
      <c r="DA47" s="29" t="n">
        <f aca="false">Tax!DA23</f>
        <v>0</v>
      </c>
      <c r="DB47" s="29" t="n">
        <f aca="false">Tax!DB23</f>
        <v>0</v>
      </c>
    </row>
    <row r="48" customFormat="false" ht="15" hidden="false" customHeight="false" outlineLevel="0" collapsed="false">
      <c r="D48" s="0" t="s">
        <v>415</v>
      </c>
      <c r="E48" s="0" t="s">
        <v>44</v>
      </c>
      <c r="G48" s="19" t="n">
        <f aca="false">SUM(J48:DB48)</f>
        <v>6465.73527202665</v>
      </c>
      <c r="J48" s="19" t="n">
        <f aca="false">(J32-J44-J47-J37-J39)*(1-Time!J20)</f>
        <v>0</v>
      </c>
      <c r="K48" s="19" t="n">
        <f aca="false">(K32-K44-K47-K37-K39)*(1-Time!K20)</f>
        <v>0</v>
      </c>
      <c r="L48" s="19" t="n">
        <f aca="false">(L32-L44-L47-L37-L39)*(1-Time!L20)</f>
        <v>0</v>
      </c>
      <c r="M48" s="19" t="n">
        <f aca="false">(M32-M44-M47-M37-M39)*(1-Time!M20)</f>
        <v>0</v>
      </c>
      <c r="N48" s="19" t="n">
        <f aca="false">(N32-N44-N47-N37-N39)*(1-Time!N20)</f>
        <v>0</v>
      </c>
      <c r="O48" s="19" t="n">
        <f aca="false">(O32-O44-O47-O37-O39)*(1-Time!O20)</f>
        <v>0</v>
      </c>
      <c r="P48" s="19" t="n">
        <f aca="false">(P32-P44-P47-P37-P39)*(1-Time!P20)</f>
        <v>0</v>
      </c>
      <c r="Q48" s="19" t="n">
        <f aca="false">(Q32-Q44-Q47-Q37-Q39)*(1-Time!Q20)</f>
        <v>0</v>
      </c>
      <c r="R48" s="19" t="n">
        <f aca="false">(R32-R44-R47-R37-R39)*(1-Time!R20)</f>
        <v>0</v>
      </c>
      <c r="S48" s="19" t="n">
        <f aca="false">(S32-S44-S47-S37-S39)*(1-Time!S20)</f>
        <v>0</v>
      </c>
      <c r="T48" s="19" t="n">
        <f aca="false">(T32-T44-T47-T37-T39)*(1-Time!T20)</f>
        <v>0</v>
      </c>
      <c r="U48" s="19" t="n">
        <f aca="false">(U32-U44-U47-U37-U39)*(1-Time!U20)</f>
        <v>0</v>
      </c>
      <c r="V48" s="19" t="n">
        <f aca="false">(V32-V44-V47-V37-V39)*(1-Time!V20)</f>
        <v>0</v>
      </c>
      <c r="W48" s="19" t="n">
        <f aca="false">(W32-W44-W47-W37-W39)*(1-Time!W20)</f>
        <v>0</v>
      </c>
      <c r="X48" s="19" t="n">
        <f aca="false">(X32-X44-X47-X37-X39)*(1-Time!X20)</f>
        <v>0</v>
      </c>
      <c r="Y48" s="19" t="n">
        <f aca="false">(Y32-Y44-Y47-Y37-Y39)*(1-Time!Y20)</f>
        <v>0</v>
      </c>
      <c r="Z48" s="19" t="n">
        <f aca="false">(Z32-Z44-Z47-Z37-Z39)*(1-Time!Z20)</f>
        <v>13.3688633669775</v>
      </c>
      <c r="AA48" s="19" t="n">
        <f aca="false">(AA32-AA44-AA47-AA37-AA39)*(1-Time!AA20)</f>
        <v>30.0078043201198</v>
      </c>
      <c r="AB48" s="19" t="n">
        <f aca="false">(AB32-AB44-AB47-AB37-AB39)*(1-Time!AB20)</f>
        <v>35.7067674601907</v>
      </c>
      <c r="AC48" s="19" t="n">
        <f aca="false">(AC32-AC44-AC47-AC37-AC39)*(1-Time!AC20)</f>
        <v>37.6436558644639</v>
      </c>
      <c r="AD48" s="19" t="n">
        <f aca="false">(AD32-AD44-AD47-AD37-AD39)*(1-Time!AD20)</f>
        <v>41.5005322947458</v>
      </c>
      <c r="AE48" s="19" t="n">
        <f aca="false">(AE32-AE44-AE47-AE37-AE39)*(1-Time!AE20)</f>
        <v>43.7575640720232</v>
      </c>
      <c r="AF48" s="19" t="n">
        <f aca="false">(AF32-AF44-AF47-AF37-AF39)*(1-Time!AF20)</f>
        <v>46.809980254985</v>
      </c>
      <c r="AG48" s="19" t="n">
        <f aca="false">(AG32-AG44-AG47-AG37-AG39)*(1-Time!AG20)</f>
        <v>49.2257087401623</v>
      </c>
      <c r="AH48" s="19" t="n">
        <f aca="false">(AH32-AH44-AH47-AH37-AH39)*(1-Time!AH20)</f>
        <v>50.1845616653847</v>
      </c>
      <c r="AI48" s="19" t="n">
        <f aca="false">(AI32-AI44-AI47-AI37-AI39)*(1-Time!AI20)</f>
        <v>49.3619519094543</v>
      </c>
      <c r="AJ48" s="19" t="n">
        <f aca="false">(AJ32-AJ44-AJ47-AJ37-AJ39)*(1-Time!AJ20)</f>
        <v>50.6761233616812</v>
      </c>
      <c r="AK48" s="19" t="n">
        <f aca="false">(AK32-AK44-AK47-AK37-AK39)*(1-Time!AK20)</f>
        <v>52.9509470961209</v>
      </c>
      <c r="AL48" s="19" t="n">
        <f aca="false">(AL32-AL44-AL47-AL37-AL39)*(1-Time!AL20)</f>
        <v>54.0334759624056</v>
      </c>
      <c r="AM48" s="19" t="n">
        <f aca="false">(AM32-AM44-AM47-AM37-AM39)*(1-Time!AM20)</f>
        <v>56.761309756952</v>
      </c>
      <c r="AN48" s="19" t="n">
        <f aca="false">(AN32-AN44-AN47-AN37-AN39)*(1-Time!AN20)</f>
        <v>57.910089157488</v>
      </c>
      <c r="AO48" s="19" t="n">
        <f aca="false">(AO32-AO44-AO47-AO37-AO39)*(1-Time!AO20)</f>
        <v>64.0172041325963</v>
      </c>
      <c r="AP48" s="19" t="n">
        <f aca="false">(AP32-AP44-AP47-AP37-AP39)*(1-Time!AP20)</f>
        <v>65.2360404179162</v>
      </c>
      <c r="AQ48" s="19" t="n">
        <f aca="false">(AQ32-AQ44-AQ47-AQ37-AQ39)*(1-Time!AQ20)</f>
        <v>58.019044796834</v>
      </c>
      <c r="AR48" s="19" t="n">
        <f aca="false">(AR32-AR44-AR47-AR37-AR39)*(1-Time!AR20)</f>
        <v>59.697225140304</v>
      </c>
      <c r="AS48" s="19" t="n">
        <f aca="false">(AS32-AS44-AS47-AS37-AS39)*(1-Time!AS20)</f>
        <v>62.5980007899108</v>
      </c>
      <c r="AT48" s="19" t="n">
        <f aca="false">(AT32-AT44-AT47-AT37-AT39)*(1-Time!AT20)</f>
        <v>63.9726197414392</v>
      </c>
      <c r="AU48" s="19" t="n">
        <f aca="false">(AU32-AU44-AU47-AU37-AU39)*(1-Time!AU20)</f>
        <v>67.4529533238202</v>
      </c>
      <c r="AV48" s="19" t="n">
        <f aca="false">(AV32-AV44-AV47-AV37-AV39)*(1-Time!AV20)</f>
        <v>68.9110274047114</v>
      </c>
      <c r="AW48" s="19" t="n">
        <f aca="false">(AW32-AW44-AW47-AW37-AW39)*(1-Time!AW20)</f>
        <v>74.5865636661476</v>
      </c>
      <c r="AX48" s="19" t="n">
        <f aca="false">(AX32-AX44-AX47-AX37-AX39)*(1-Time!AX20)</f>
        <v>75.1513112479582</v>
      </c>
      <c r="AY48" s="19" t="n">
        <f aca="false">(AY32-AY44-AY47-AY37-AY39)*(1-Time!AY20)</f>
        <v>75.0578086767168</v>
      </c>
      <c r="AZ48" s="19" t="n">
        <f aca="false">(AZ32-AZ44-AZ47-AZ37-AZ39)*(1-Time!AZ20)</f>
        <v>76.1394779267271</v>
      </c>
      <c r="BA48" s="19" t="n">
        <f aca="false">(BA32-BA44-BA47-BA37-BA39)*(1-Time!BA20)</f>
        <v>79.6520457853012</v>
      </c>
      <c r="BB48" s="19" t="n">
        <f aca="false">(BB32-BB44-BB47-BB37-BB39)*(1-Time!BB20)</f>
        <v>80.27678446265</v>
      </c>
      <c r="BC48" s="19" t="n">
        <f aca="false">(BC32-BC44-BC47-BC37-BC39)*(1-Time!BC20)</f>
        <v>92.7497959504098</v>
      </c>
      <c r="BD48" s="19" t="n">
        <f aca="false">(BD32-BD44-BD47-BD37-BD39)*(1-Time!BD20)</f>
        <v>93.4048485247771</v>
      </c>
      <c r="BE48" s="19" t="n">
        <f aca="false">(BE32-BE44-BE47-BE37-BE39)*(1-Time!BE20)</f>
        <v>101.735687415536</v>
      </c>
      <c r="BF48" s="19" t="n">
        <f aca="false">(BF32-BF44-BF47-BF37-BF39)*(1-Time!BF20)</f>
        <v>102.425887903128</v>
      </c>
      <c r="BG48" s="19" t="n">
        <f aca="false">(BG32-BG44-BG47-BG37-BG39)*(1-Time!BG20)</f>
        <v>107.03863868891</v>
      </c>
      <c r="BH48" s="19" t="n">
        <f aca="false">(BH32-BH44-BH47-BH37-BH39)*(1-Time!BH20)</f>
        <v>108.358186634721</v>
      </c>
      <c r="BI48" s="19" t="n">
        <f aca="false">(BI32-BI44-BI47-BI37-BI39)*(1-Time!BI20)</f>
        <v>112.627121762851</v>
      </c>
      <c r="BJ48" s="19" t="n">
        <f aca="false">(BJ32-BJ44-BJ47-BJ37-BJ39)*(1-Time!BJ20)</f>
        <v>113.388918362832</v>
      </c>
      <c r="BK48" s="19" t="n">
        <f aca="false">(BK32-BK44-BK47-BK37-BK39)*(1-Time!BK20)</f>
        <v>118.517220647001</v>
      </c>
      <c r="BL48" s="19" t="n">
        <f aca="false">(BL32-BL44-BL47-BL37-BL39)*(1-Time!BL20)</f>
        <v>119.319227424256</v>
      </c>
      <c r="BM48" s="19" t="n">
        <f aca="false">(BM32-BM44-BM47-BM37-BM39)*(1-Time!BM20)</f>
        <v>124.674040554691</v>
      </c>
      <c r="BN48" s="19" t="n">
        <f aca="false">(BN32-BN44-BN47-BN37-BN39)*(1-Time!BN20)</f>
        <v>125.514305123325</v>
      </c>
      <c r="BO48" s="19" t="n">
        <f aca="false">(BO32-BO44-BO47-BO37-BO39)*(1-Time!BO20)</f>
        <v>112.552038371944</v>
      </c>
      <c r="BP48" s="19" t="n">
        <f aca="false">(BP32-BP44-BP47-BP37-BP39)*(1-Time!BP20)</f>
        <v>114.166536065097</v>
      </c>
      <c r="BQ48" s="19" t="n">
        <f aca="false">(BQ32-BQ44-BQ47-BQ37-BQ39)*(1-Time!BQ20)</f>
        <v>102.351515148844</v>
      </c>
      <c r="BR48" s="19" t="n">
        <f aca="false">(BR32-BR44-BR47-BR37-BR39)*(1-Time!BR20)</f>
        <v>92.3958776690488</v>
      </c>
      <c r="BS48" s="19" t="n">
        <f aca="false">(BS32-BS44-BS47-BS37-BS39)*(1-Time!BS20)</f>
        <v>96.5230539802575</v>
      </c>
      <c r="BT48" s="19" t="n">
        <f aca="false">(BT32-BT44-BT47-BT37-BT39)*(1-Time!BT20)</f>
        <v>95.6779040761689</v>
      </c>
      <c r="BU48" s="19" t="n">
        <f aca="false">(BU32-BU44-BU47-BU37-BU39)*(1-Time!BU20)</f>
        <v>148.899430967449</v>
      </c>
      <c r="BV48" s="19" t="n">
        <f aca="false">(BV32-BV44-BV47-BV37-BV39)*(1-Time!BV20)</f>
        <v>120.711745639381</v>
      </c>
      <c r="BW48" s="19" t="n">
        <f aca="false">(BW32-BW44-BW47-BW37-BW39)*(1-Time!BW20)</f>
        <v>121.913531626981</v>
      </c>
      <c r="BX48" s="19" t="n">
        <f aca="false">(BX32-BX44-BX47-BX37-BX39)*(1-Time!BX20)</f>
        <v>121.579602794457</v>
      </c>
      <c r="BY48" s="19" t="n">
        <f aca="false">(BY32-BY44-BY47-BY37-BY39)*(1-Time!BY20)</f>
        <v>125.375758910204</v>
      </c>
      <c r="BZ48" s="19" t="n">
        <f aca="false">(BZ32-BZ44-BZ47-BZ37-BZ39)*(1-Time!BZ20)</f>
        <v>124.338711027284</v>
      </c>
      <c r="CA48" s="19" t="n">
        <f aca="false">(CA32-CA44-CA47-CA37-CA39)*(1-Time!CA20)</f>
        <v>116.920715744122</v>
      </c>
      <c r="CB48" s="19" t="n">
        <f aca="false">(CB32-CB44-CB47-CB37-CB39)*(1-Time!CB20)</f>
        <v>115.880559091473</v>
      </c>
      <c r="CC48" s="19" t="n">
        <f aca="false">(CC32-CC44-CC47-CC37-CC39)*(1-Time!CC20)</f>
        <v>120.654035702137</v>
      </c>
      <c r="CD48" s="19" t="n">
        <f aca="false">(CD32-CD44-CD47-CD37-CD39)*(1-Time!CD20)</f>
        <v>119.565634571733</v>
      </c>
      <c r="CE48" s="19" t="n">
        <f aca="false">(CE32-CE44-CE47-CE37-CE39)*(1-Time!CE20)</f>
        <v>118.665771362771</v>
      </c>
      <c r="CF48" s="19" t="n">
        <f aca="false">(CF32-CF44-CF47-CF37-CF39)*(1-Time!CF20)</f>
        <v>118.293983671019</v>
      </c>
      <c r="CG48" s="19" t="n">
        <f aca="false">(CG32-CG44-CG47-CG37-CG39)*(1-Time!CG20)</f>
        <v>146.689084472723</v>
      </c>
      <c r="CH48" s="19" t="n">
        <f aca="false">(CH32-CH44-CH47-CH37-CH39)*(1-Time!CH20)</f>
        <v>123.71386464887</v>
      </c>
      <c r="CI48" s="19" t="n">
        <f aca="false">(CI32-CI44-CI47-CI37-CI39)*(1-Time!CI20)</f>
        <v>129.34838054512</v>
      </c>
      <c r="CJ48" s="19" t="n">
        <f aca="false">(CJ32-CJ44-CJ47-CJ37-CJ39)*(1-Time!CJ20)</f>
        <v>128.306126817846</v>
      </c>
      <c r="CK48" s="19" t="n">
        <f aca="false">(CK32-CK44-CK47-CK37-CK39)*(1-Time!CK20)</f>
        <v>150.414944717452</v>
      </c>
      <c r="CL48" s="19" t="n">
        <f aca="false">(CL32-CL44-CL47-CL37-CL39)*(1-Time!CL20)</f>
        <v>138.858143416961</v>
      </c>
      <c r="CM48" s="19" t="n">
        <f aca="false">(CM32-CM44-CM47-CM37-CM39)*(1-Time!CM20)</f>
        <v>144.9175887513</v>
      </c>
      <c r="CN48" s="19" t="n">
        <f aca="false">(CN32-CN44-CN47-CN37-CN39)*(1-Time!CN20)</f>
        <v>144.664489074489</v>
      </c>
      <c r="CO48" s="19" t="n">
        <f aca="false">(CO32-CO44-CO47-CO37-CO39)*(1-Time!CO20)</f>
        <v>150.074260803195</v>
      </c>
      <c r="CP48" s="19" t="n">
        <f aca="false">(CP32-CP44-CP47-CP37-CP39)*(1-Time!CP20)</f>
        <v>161.860660569695</v>
      </c>
      <c r="CQ48" s="19" t="n">
        <f aca="false">(CQ32-CQ44-CQ47-CQ37-CQ39)*(1-Time!CQ20)</f>
        <v>0</v>
      </c>
      <c r="CR48" s="19" t="n">
        <f aca="false">(CR32-CR44-CR47-CR37-CR39)*(1-Time!CR20)</f>
        <v>0</v>
      </c>
      <c r="CS48" s="19" t="n">
        <f aca="false">(CS32-CS44-CS47-CS37-CS39)*(1-Time!CS20)</f>
        <v>0</v>
      </c>
      <c r="CT48" s="19" t="n">
        <f aca="false">(CT32-CT44-CT47-CT37-CT39)*(1-Time!CT20)</f>
        <v>0</v>
      </c>
      <c r="CU48" s="19" t="n">
        <f aca="false">(CU32-CU44-CU47-CU37-CU39)*(1-Time!CU20)</f>
        <v>0</v>
      </c>
      <c r="CV48" s="19" t="n">
        <f aca="false">(CV32-CV44-CV47-CV37-CV39)*(1-Time!CV20)</f>
        <v>0</v>
      </c>
      <c r="CW48" s="19" t="n">
        <f aca="false">(CW32-CW44-CW47-CW37-CW39)*(1-Time!CW20)</f>
        <v>0</v>
      </c>
      <c r="CX48" s="19" t="n">
        <f aca="false">(CX32-CX44-CX47-CX37-CX39)*(1-Time!CX20)</f>
        <v>0</v>
      </c>
      <c r="CY48" s="19" t="n">
        <f aca="false">(CY32-CY44-CY47-CY37-CY39)*(1-Time!CY20)</f>
        <v>0</v>
      </c>
      <c r="CZ48" s="19" t="n">
        <f aca="false">(CZ32-CZ44-CZ47-CZ37-CZ39)*(1-Time!CZ20)</f>
        <v>0</v>
      </c>
      <c r="DA48" s="19" t="n">
        <f aca="false">(DA32-DA44-DA47-DA37-DA39)*(1-Time!DA20)</f>
        <v>0</v>
      </c>
      <c r="DB48" s="19" t="n">
        <f aca="false">(DB32-DB44-DB47-DB37-DB39)*(1-Time!DB20)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416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417</v>
      </c>
    </row>
    <row r="6" customFormat="false" ht="15" hidden="false" customHeight="false" outlineLevel="0" collapsed="false">
      <c r="D6" s="0" t="s">
        <v>418</v>
      </c>
      <c r="E6" s="0" t="s">
        <v>44</v>
      </c>
      <c r="J6" s="19" t="n">
        <f aca="false">I11</f>
        <v>0</v>
      </c>
      <c r="K6" s="19" t="n">
        <f aca="false">J11</f>
        <v>73.4145412566294</v>
      </c>
      <c r="L6" s="19" t="n">
        <f aca="false">K11</f>
        <v>104.993166624136</v>
      </c>
      <c r="M6" s="19" t="n">
        <f aca="false">L11</f>
        <v>168.757442449475</v>
      </c>
      <c r="N6" s="19" t="n">
        <f aca="false">M11</f>
        <v>270.511780998115</v>
      </c>
      <c r="O6" s="19" t="n">
        <f aca="false">N11</f>
        <v>410.610336266944</v>
      </c>
      <c r="P6" s="19" t="n">
        <f aca="false">O11</f>
        <v>584.714108113076</v>
      </c>
      <c r="Q6" s="19" t="n">
        <f aca="false">P11</f>
        <v>782.996680656637</v>
      </c>
      <c r="R6" s="19" t="n">
        <f aca="false">Q11</f>
        <v>994.625079739039</v>
      </c>
      <c r="S6" s="19" t="n">
        <f aca="false">R11</f>
        <v>1210.79192273031</v>
      </c>
      <c r="T6" s="19" t="n">
        <f aca="false">S11</f>
        <v>1414.68140803179</v>
      </c>
      <c r="U6" s="19" t="n">
        <f aca="false">T11</f>
        <v>1597.81100902498</v>
      </c>
      <c r="V6" s="19" t="n">
        <f aca="false">U11</f>
        <v>1751.14319791677</v>
      </c>
      <c r="W6" s="19" t="n">
        <f aca="false">V11</f>
        <v>1870.04506887395</v>
      </c>
      <c r="X6" s="19" t="n">
        <f aca="false">W11</f>
        <v>1953.75987546496</v>
      </c>
      <c r="Y6" s="19" t="n">
        <f aca="false">X11</f>
        <v>2006.88584622423</v>
      </c>
      <c r="Z6" s="19" t="n">
        <f aca="false">Y11</f>
        <v>1837.20528045823</v>
      </c>
      <c r="AA6" s="19" t="n">
        <f aca="false">Z11</f>
        <v>1823.80362270098</v>
      </c>
      <c r="AB6" s="19" t="n">
        <f aca="false">AA11</f>
        <v>1796.70576525775</v>
      </c>
      <c r="AC6" s="19" t="n">
        <f aca="false">AB11</f>
        <v>1769.90244974325</v>
      </c>
      <c r="AD6" s="19" t="n">
        <f aca="false">AC11</f>
        <v>1742.80459230001</v>
      </c>
      <c r="AE6" s="19" t="n">
        <f aca="false">AD11</f>
        <v>1716.14854774988</v>
      </c>
      <c r="AF6" s="19" t="n">
        <f aca="false">AE11</f>
        <v>1689.05069030665</v>
      </c>
      <c r="AG6" s="19" t="n">
        <f aca="false">AF11</f>
        <v>1662.39464575651</v>
      </c>
      <c r="AH6" s="19" t="n">
        <f aca="false">AG11</f>
        <v>1635.29678831328</v>
      </c>
      <c r="AI6" s="19" t="n">
        <f aca="false">AH11</f>
        <v>1608.64074376314</v>
      </c>
      <c r="AJ6" s="19" t="n">
        <f aca="false">AI11</f>
        <v>1581.54288631991</v>
      </c>
      <c r="AK6" s="19" t="n">
        <f aca="false">AJ11</f>
        <v>1554.73957080541</v>
      </c>
      <c r="AL6" s="19" t="n">
        <f aca="false">AK11</f>
        <v>1527.64171336218</v>
      </c>
      <c r="AM6" s="19" t="n">
        <f aca="false">AL11</f>
        <v>1500.98566881204</v>
      </c>
      <c r="AN6" s="19" t="n">
        <f aca="false">AM11</f>
        <v>1473.88781136881</v>
      </c>
      <c r="AO6" s="19" t="n">
        <f aca="false">AN11</f>
        <v>1447.23176681868</v>
      </c>
      <c r="AP6" s="19" t="n">
        <f aca="false">AO11</f>
        <v>1420.13390937545</v>
      </c>
      <c r="AQ6" s="19" t="n">
        <f aca="false">AP11</f>
        <v>1393.47786482531</v>
      </c>
      <c r="AR6" s="19" t="n">
        <f aca="false">AQ11</f>
        <v>1366.38000738208</v>
      </c>
      <c r="AS6" s="19" t="n">
        <f aca="false">AR11</f>
        <v>1339.57669186758</v>
      </c>
      <c r="AT6" s="19" t="n">
        <f aca="false">AS11</f>
        <v>1312.47883442435</v>
      </c>
      <c r="AU6" s="19" t="n">
        <f aca="false">AT11</f>
        <v>1285.82278987421</v>
      </c>
      <c r="AV6" s="19" t="n">
        <f aca="false">AU11</f>
        <v>1258.72493243098</v>
      </c>
      <c r="AW6" s="19" t="n">
        <f aca="false">AV11</f>
        <v>1232.06888788084</v>
      </c>
      <c r="AX6" s="19" t="n">
        <f aca="false">AW11</f>
        <v>1204.97103043761</v>
      </c>
      <c r="AY6" s="19" t="n">
        <f aca="false">AX11</f>
        <v>1178.31498588748</v>
      </c>
      <c r="AZ6" s="19" t="n">
        <f aca="false">AY11</f>
        <v>1151.21712844425</v>
      </c>
      <c r="BA6" s="19" t="n">
        <f aca="false">AZ11</f>
        <v>1124.41381292975</v>
      </c>
      <c r="BB6" s="19" t="n">
        <f aca="false">BA11</f>
        <v>1097.31595548651</v>
      </c>
      <c r="BC6" s="19" t="n">
        <f aca="false">BB11</f>
        <v>1070.65991093638</v>
      </c>
      <c r="BD6" s="19" t="n">
        <f aca="false">BC11</f>
        <v>1043.56205349315</v>
      </c>
      <c r="BE6" s="19" t="n">
        <f aca="false">BD11</f>
        <v>1016.90600894301</v>
      </c>
      <c r="BF6" s="19" t="n">
        <f aca="false">BE11</f>
        <v>989.80815149978</v>
      </c>
      <c r="BG6" s="19" t="n">
        <f aca="false">BF11</f>
        <v>963.152106949644</v>
      </c>
      <c r="BH6" s="19" t="n">
        <f aca="false">BG11</f>
        <v>936.054249506413</v>
      </c>
      <c r="BI6" s="19" t="n">
        <f aca="false">BH11</f>
        <v>909.250933991912</v>
      </c>
      <c r="BJ6" s="19" t="n">
        <f aca="false">BI11</f>
        <v>882.153076548681</v>
      </c>
      <c r="BK6" s="19" t="n">
        <f aca="false">BJ11</f>
        <v>855.497031998545</v>
      </c>
      <c r="BL6" s="19" t="n">
        <f aca="false">BK11</f>
        <v>828.399174555314</v>
      </c>
      <c r="BM6" s="19" t="n">
        <f aca="false">BL11</f>
        <v>801.743130005178</v>
      </c>
      <c r="BN6" s="19" t="n">
        <f aca="false">BM11</f>
        <v>774.645272561947</v>
      </c>
      <c r="BO6" s="19" t="n">
        <f aca="false">BN11</f>
        <v>747.989228011811</v>
      </c>
      <c r="BP6" s="19" t="n">
        <f aca="false">BO11</f>
        <v>720.89137056858</v>
      </c>
      <c r="BQ6" s="19" t="n">
        <f aca="false">BP11</f>
        <v>694.088055054079</v>
      </c>
      <c r="BR6" s="19" t="n">
        <f aca="false">BQ11</f>
        <v>666.990197610847</v>
      </c>
      <c r="BS6" s="19" t="n">
        <f aca="false">BR11</f>
        <v>640.334153060712</v>
      </c>
      <c r="BT6" s="19" t="n">
        <f aca="false">BS11</f>
        <v>613.23629561748</v>
      </c>
      <c r="BU6" s="19" t="n">
        <f aca="false">BT11</f>
        <v>586.580251067345</v>
      </c>
      <c r="BV6" s="19" t="n">
        <f aca="false">BU11</f>
        <v>559.482393624113</v>
      </c>
      <c r="BW6" s="19" t="n">
        <f aca="false">BV11</f>
        <v>532.826349073978</v>
      </c>
      <c r="BX6" s="19" t="n">
        <f aca="false">BW11</f>
        <v>505.728491630746</v>
      </c>
      <c r="BY6" s="19" t="n">
        <f aca="false">BX11</f>
        <v>478.925176116245</v>
      </c>
      <c r="BZ6" s="19" t="n">
        <f aca="false">BY11</f>
        <v>451.827318673014</v>
      </c>
      <c r="CA6" s="19" t="n">
        <f aca="false">BZ11</f>
        <v>425.171274122878</v>
      </c>
      <c r="CB6" s="19" t="n">
        <f aca="false">CA11</f>
        <v>398.073416679647</v>
      </c>
      <c r="CC6" s="19" t="n">
        <f aca="false">CB11</f>
        <v>371.417372129511</v>
      </c>
      <c r="CD6" s="19" t="n">
        <f aca="false">CC11</f>
        <v>344.31951468628</v>
      </c>
      <c r="CE6" s="19" t="n">
        <f aca="false">CD11</f>
        <v>317.663470136144</v>
      </c>
      <c r="CF6" s="19" t="n">
        <f aca="false">CE11</f>
        <v>290.565612692913</v>
      </c>
      <c r="CG6" s="19" t="n">
        <f aca="false">CF11</f>
        <v>263.762297178412</v>
      </c>
      <c r="CH6" s="19" t="n">
        <f aca="false">CG11</f>
        <v>236.66443973518</v>
      </c>
      <c r="CI6" s="19" t="n">
        <f aca="false">CH11</f>
        <v>210.008395185045</v>
      </c>
      <c r="CJ6" s="19" t="n">
        <f aca="false">CI11</f>
        <v>182.910537741813</v>
      </c>
      <c r="CK6" s="19" t="n">
        <f aca="false">CJ11</f>
        <v>156.254493191678</v>
      </c>
      <c r="CL6" s="19" t="n">
        <f aca="false">CK11</f>
        <v>129.156635748446</v>
      </c>
      <c r="CM6" s="19" t="n">
        <f aca="false">CL11</f>
        <v>102.500591198311</v>
      </c>
      <c r="CN6" s="19" t="n">
        <f aca="false">CM11</f>
        <v>75.4027337550792</v>
      </c>
      <c r="CO6" s="19" t="n">
        <f aca="false">CN11</f>
        <v>48.5994182405784</v>
      </c>
      <c r="CP6" s="19" t="n">
        <f aca="false">CO11</f>
        <v>21.5015607973468</v>
      </c>
      <c r="CQ6" s="19" t="n">
        <f aca="false">CP11</f>
        <v>0</v>
      </c>
      <c r="CR6" s="19" t="n">
        <f aca="false">CQ11</f>
        <v>0</v>
      </c>
      <c r="CS6" s="19" t="n">
        <f aca="false">CR11</f>
        <v>0</v>
      </c>
      <c r="CT6" s="19" t="n">
        <f aca="false">CS11</f>
        <v>0</v>
      </c>
      <c r="CU6" s="19" t="n">
        <f aca="false">CT11</f>
        <v>0</v>
      </c>
      <c r="CV6" s="19" t="n">
        <f aca="false">CU11</f>
        <v>0</v>
      </c>
      <c r="CW6" s="19" t="n">
        <f aca="false">CV11</f>
        <v>0</v>
      </c>
      <c r="CX6" s="19" t="n">
        <f aca="false">CW11</f>
        <v>0</v>
      </c>
      <c r="CY6" s="19" t="n">
        <f aca="false">CX11</f>
        <v>0</v>
      </c>
      <c r="CZ6" s="19" t="n">
        <f aca="false">CY11</f>
        <v>0</v>
      </c>
      <c r="DA6" s="19" t="n">
        <f aca="false">CZ11</f>
        <v>0</v>
      </c>
      <c r="DB6" s="19" t="n">
        <f aca="false">DA11</f>
        <v>0</v>
      </c>
    </row>
    <row r="7" customFormat="false" ht="15" hidden="false" customHeight="false" outlineLevel="0" collapsed="false">
      <c r="D7" s="0" t="s">
        <v>419</v>
      </c>
      <c r="E7" s="0" t="s">
        <v>44</v>
      </c>
      <c r="G7" s="19" t="n">
        <f aca="false">SUM(J7:DB7)</f>
        <v>1837.20528045823</v>
      </c>
      <c r="J7" s="19" t="n">
        <f aca="false">Funding!J41-Funding!J39+Operations!J45</f>
        <v>73.4145412566294</v>
      </c>
      <c r="K7" s="19" t="n">
        <f aca="false">Funding!K41-Funding!K39+Operations!K45</f>
        <v>31.5786253675063</v>
      </c>
      <c r="L7" s="19" t="n">
        <f aca="false">Funding!L41-Funding!L39+Operations!L45</f>
        <v>63.7642758253393</v>
      </c>
      <c r="M7" s="19" t="n">
        <f aca="false">Funding!M41-Funding!M39+Operations!M45</f>
        <v>101.75433854864</v>
      </c>
      <c r="N7" s="19" t="n">
        <f aca="false">Funding!N41-Funding!N39+Operations!N45</f>
        <v>140.09855526883</v>
      </c>
      <c r="O7" s="19" t="n">
        <f aca="false">Funding!O41-Funding!O39+Operations!O45</f>
        <v>174.103771846132</v>
      </c>
      <c r="P7" s="19" t="n">
        <f aca="false">Funding!P41-Funding!P39+Operations!P45</f>
        <v>198.28257254356</v>
      </c>
      <c r="Q7" s="19" t="n">
        <f aca="false">Funding!Q41-Funding!Q39+Operations!Q45</f>
        <v>211.628399082402</v>
      </c>
      <c r="R7" s="19" t="n">
        <f aca="false">Funding!R41-Funding!R39+Operations!R45</f>
        <v>216.166842991271</v>
      </c>
      <c r="S7" s="19" t="n">
        <f aca="false">Funding!S41-Funding!S39+Operations!S45</f>
        <v>203.889485301481</v>
      </c>
      <c r="T7" s="19" t="n">
        <f aca="false">Funding!T41-Funding!T39+Operations!T45</f>
        <v>183.12960099319</v>
      </c>
      <c r="U7" s="19" t="n">
        <f aca="false">Funding!U41-Funding!U39+Operations!U45</f>
        <v>153.332188891787</v>
      </c>
      <c r="V7" s="19" t="n">
        <f aca="false">Funding!V41-Funding!V39+Operations!V45</f>
        <v>118.901870957186</v>
      </c>
      <c r="W7" s="19" t="n">
        <f aca="false">Funding!W41-Funding!W39+Operations!W45</f>
        <v>83.7148065910018</v>
      </c>
      <c r="X7" s="19" t="n">
        <f aca="false">Funding!X41-Funding!X39+Operations!X45</f>
        <v>53.1259707592768</v>
      </c>
      <c r="Y7" s="19" t="n">
        <f aca="false">Funding!Y41-Funding!Y39+Operations!Y45</f>
        <v>-169.680565766004</v>
      </c>
      <c r="Z7" s="19" t="n">
        <f aca="false">Funding!Z41-Funding!Z39+Operations!Z45</f>
        <v>0</v>
      </c>
      <c r="AA7" s="19" t="n">
        <f aca="false">Funding!AA41-Funding!AA39+Operations!AA45</f>
        <v>0</v>
      </c>
      <c r="AB7" s="19" t="n">
        <f aca="false">Funding!AB41-Funding!AB39+Operations!AB45</f>
        <v>0</v>
      </c>
      <c r="AC7" s="19" t="n">
        <f aca="false">Funding!AC41-Funding!AC39+Operations!AC45</f>
        <v>0</v>
      </c>
      <c r="AD7" s="19" t="n">
        <f aca="false">Funding!AD41-Funding!AD39+Operations!AD45</f>
        <v>0</v>
      </c>
      <c r="AE7" s="19" t="n">
        <f aca="false">Funding!AE41-Funding!AE39+Operations!AE45</f>
        <v>0</v>
      </c>
      <c r="AF7" s="19" t="n">
        <f aca="false">Funding!AF41-Funding!AF39+Operations!AF45</f>
        <v>0</v>
      </c>
      <c r="AG7" s="19" t="n">
        <f aca="false">Funding!AG41-Funding!AG39+Operations!AG45</f>
        <v>0</v>
      </c>
      <c r="AH7" s="19" t="n">
        <f aca="false">Funding!AH41-Funding!AH39+Operations!AH45</f>
        <v>0</v>
      </c>
      <c r="AI7" s="19" t="n">
        <f aca="false">Funding!AI41-Funding!AI39+Operations!AI45</f>
        <v>0</v>
      </c>
      <c r="AJ7" s="19" t="n">
        <f aca="false">Funding!AJ41-Funding!AJ39+Operations!AJ45</f>
        <v>0</v>
      </c>
      <c r="AK7" s="19" t="n">
        <f aca="false">Funding!AK41-Funding!AK39+Operations!AK45</f>
        <v>0</v>
      </c>
      <c r="AL7" s="19" t="n">
        <f aca="false">Funding!AL41-Funding!AL39+Operations!AL45</f>
        <v>0</v>
      </c>
      <c r="AM7" s="19" t="n">
        <f aca="false">Funding!AM41-Funding!AM39+Operations!AM45</f>
        <v>0</v>
      </c>
      <c r="AN7" s="19" t="n">
        <f aca="false">Funding!AN41-Funding!AN39+Operations!AN45</f>
        <v>0</v>
      </c>
      <c r="AO7" s="19" t="n">
        <f aca="false">Funding!AO41-Funding!AO39+Operations!AO45</f>
        <v>0</v>
      </c>
      <c r="AP7" s="19" t="n">
        <f aca="false">Funding!AP41-Funding!AP39+Operations!AP45</f>
        <v>0</v>
      </c>
      <c r="AQ7" s="19" t="n">
        <f aca="false">Funding!AQ41-Funding!AQ39+Operations!AQ45</f>
        <v>0</v>
      </c>
      <c r="AR7" s="19" t="n">
        <f aca="false">Funding!AR41-Funding!AR39+Operations!AR45</f>
        <v>0</v>
      </c>
      <c r="AS7" s="19" t="n">
        <f aca="false">Funding!AS41-Funding!AS39+Operations!AS45</f>
        <v>0</v>
      </c>
      <c r="AT7" s="19" t="n">
        <f aca="false">Funding!AT41-Funding!AT39+Operations!AT45</f>
        <v>0</v>
      </c>
      <c r="AU7" s="19" t="n">
        <f aca="false">Funding!AU41-Funding!AU39+Operations!AU45</f>
        <v>0</v>
      </c>
      <c r="AV7" s="19" t="n">
        <f aca="false">Funding!AV41-Funding!AV39+Operations!AV45</f>
        <v>0</v>
      </c>
      <c r="AW7" s="19" t="n">
        <f aca="false">Funding!AW41-Funding!AW39+Operations!AW45</f>
        <v>0</v>
      </c>
      <c r="AX7" s="19" t="n">
        <f aca="false">Funding!AX41-Funding!AX39+Operations!AX45</f>
        <v>0</v>
      </c>
      <c r="AY7" s="19" t="n">
        <f aca="false">Funding!AY41-Funding!AY39+Operations!AY45</f>
        <v>0</v>
      </c>
      <c r="AZ7" s="19" t="n">
        <f aca="false">Funding!AZ41-Funding!AZ39+Operations!AZ45</f>
        <v>0</v>
      </c>
      <c r="BA7" s="19" t="n">
        <f aca="false">Funding!BA41-Funding!BA39+Operations!BA45</f>
        <v>0</v>
      </c>
      <c r="BB7" s="19" t="n">
        <f aca="false">Funding!BB41-Funding!BB39+Operations!BB45</f>
        <v>0</v>
      </c>
      <c r="BC7" s="19" t="n">
        <f aca="false">Funding!BC41-Funding!BC39+Operations!BC45</f>
        <v>0</v>
      </c>
      <c r="BD7" s="19" t="n">
        <f aca="false">Funding!BD41-Funding!BD39+Operations!BD45</f>
        <v>0</v>
      </c>
      <c r="BE7" s="19" t="n">
        <f aca="false">Funding!BE41-Funding!BE39+Operations!BE45</f>
        <v>0</v>
      </c>
      <c r="BF7" s="19" t="n">
        <f aca="false">Funding!BF41-Funding!BF39+Operations!BF45</f>
        <v>0</v>
      </c>
      <c r="BG7" s="19" t="n">
        <f aca="false">Funding!BG41-Funding!BG39+Operations!BG45</f>
        <v>0</v>
      </c>
      <c r="BH7" s="19" t="n">
        <f aca="false">Funding!BH41-Funding!BH39+Operations!BH45</f>
        <v>0</v>
      </c>
      <c r="BI7" s="19" t="n">
        <f aca="false">Funding!BI41-Funding!BI39+Operations!BI45</f>
        <v>0</v>
      </c>
      <c r="BJ7" s="19" t="n">
        <f aca="false">Funding!BJ41-Funding!BJ39+Operations!BJ45</f>
        <v>0</v>
      </c>
      <c r="BK7" s="19" t="n">
        <f aca="false">Funding!BK41-Funding!BK39+Operations!BK45</f>
        <v>0</v>
      </c>
      <c r="BL7" s="19" t="n">
        <f aca="false">Funding!BL41-Funding!BL39+Operations!BL45</f>
        <v>0</v>
      </c>
      <c r="BM7" s="19" t="n">
        <f aca="false">Funding!BM41-Funding!BM39+Operations!BM45</f>
        <v>0</v>
      </c>
      <c r="BN7" s="19" t="n">
        <f aca="false">Funding!BN41-Funding!BN39+Operations!BN45</f>
        <v>0</v>
      </c>
      <c r="BO7" s="19" t="n">
        <f aca="false">Funding!BO41-Funding!BO39+Operations!BO45</f>
        <v>0</v>
      </c>
      <c r="BP7" s="19" t="n">
        <f aca="false">Funding!BP41-Funding!BP39+Operations!BP45</f>
        <v>0</v>
      </c>
      <c r="BQ7" s="19" t="n">
        <f aca="false">Funding!BQ41-Funding!BQ39+Operations!BQ45</f>
        <v>0</v>
      </c>
      <c r="BR7" s="19" t="n">
        <f aca="false">Funding!BR41-Funding!BR39+Operations!BR45</f>
        <v>0</v>
      </c>
      <c r="BS7" s="19" t="n">
        <f aca="false">Funding!BS41-Funding!BS39+Operations!BS45</f>
        <v>0</v>
      </c>
      <c r="BT7" s="19" t="n">
        <f aca="false">Funding!BT41-Funding!BT39+Operations!BT45</f>
        <v>0</v>
      </c>
      <c r="BU7" s="19" t="n">
        <f aca="false">Funding!BU41-Funding!BU39+Operations!BU45</f>
        <v>0</v>
      </c>
      <c r="BV7" s="19" t="n">
        <f aca="false">Funding!BV41-Funding!BV39+Operations!BV45</f>
        <v>0</v>
      </c>
      <c r="BW7" s="19" t="n">
        <f aca="false">Funding!BW41-Funding!BW39+Operations!BW45</f>
        <v>0</v>
      </c>
      <c r="BX7" s="19" t="n">
        <f aca="false">Funding!BX41-Funding!BX39+Operations!BX45</f>
        <v>0</v>
      </c>
      <c r="BY7" s="19" t="n">
        <f aca="false">Funding!BY41-Funding!BY39+Operations!BY45</f>
        <v>0</v>
      </c>
      <c r="BZ7" s="19" t="n">
        <f aca="false">Funding!BZ41-Funding!BZ39+Operations!BZ45</f>
        <v>0</v>
      </c>
      <c r="CA7" s="19" t="n">
        <f aca="false">Funding!CA41-Funding!CA39+Operations!CA45</f>
        <v>0</v>
      </c>
      <c r="CB7" s="19" t="n">
        <f aca="false">Funding!CB41-Funding!CB39+Operations!CB45</f>
        <v>0</v>
      </c>
      <c r="CC7" s="19" t="n">
        <f aca="false">Funding!CC41-Funding!CC39+Operations!CC45</f>
        <v>0</v>
      </c>
      <c r="CD7" s="19" t="n">
        <f aca="false">Funding!CD41-Funding!CD39+Operations!CD45</f>
        <v>0</v>
      </c>
      <c r="CE7" s="19" t="n">
        <f aca="false">Funding!CE41-Funding!CE39+Operations!CE45</f>
        <v>0</v>
      </c>
      <c r="CF7" s="19" t="n">
        <f aca="false">Funding!CF41-Funding!CF39+Operations!CF45</f>
        <v>0</v>
      </c>
      <c r="CG7" s="19" t="n">
        <f aca="false">Funding!CG41-Funding!CG39+Operations!CG45</f>
        <v>0</v>
      </c>
      <c r="CH7" s="19" t="n">
        <f aca="false">Funding!CH41-Funding!CH39+Operations!CH45</f>
        <v>0</v>
      </c>
      <c r="CI7" s="19" t="n">
        <f aca="false">Funding!CI41-Funding!CI39+Operations!CI45</f>
        <v>0</v>
      </c>
      <c r="CJ7" s="19" t="n">
        <f aca="false">Funding!CJ41-Funding!CJ39+Operations!CJ45</f>
        <v>0</v>
      </c>
      <c r="CK7" s="19" t="n">
        <f aca="false">Funding!CK41-Funding!CK39+Operations!CK45</f>
        <v>0</v>
      </c>
      <c r="CL7" s="19" t="n">
        <f aca="false">Funding!CL41-Funding!CL39+Operations!CL45</f>
        <v>0</v>
      </c>
      <c r="CM7" s="19" t="n">
        <f aca="false">Funding!CM41-Funding!CM39+Operations!CM45</f>
        <v>0</v>
      </c>
      <c r="CN7" s="19" t="n">
        <f aca="false">Funding!CN41-Funding!CN39+Operations!CN45</f>
        <v>0</v>
      </c>
      <c r="CO7" s="19" t="n">
        <f aca="false">Funding!CO41-Funding!CO39+Operations!CO45</f>
        <v>0</v>
      </c>
      <c r="CP7" s="19" t="n">
        <f aca="false">Funding!CP41-Funding!CP39+Operations!CP45</f>
        <v>0</v>
      </c>
      <c r="CQ7" s="19" t="n">
        <f aca="false">Funding!CQ41-Funding!CQ39+Operations!CQ45</f>
        <v>0</v>
      </c>
      <c r="CR7" s="19" t="n">
        <f aca="false">Funding!CR41-Funding!CR39+Operations!CR45</f>
        <v>0</v>
      </c>
      <c r="CS7" s="19" t="n">
        <f aca="false">Funding!CS41-Funding!CS39+Operations!CS45</f>
        <v>0</v>
      </c>
      <c r="CT7" s="19" t="n">
        <f aca="false">Funding!CT41-Funding!CT39+Operations!CT45</f>
        <v>0</v>
      </c>
      <c r="CU7" s="19" t="n">
        <f aca="false">Funding!CU41-Funding!CU39+Operations!CU45</f>
        <v>0</v>
      </c>
      <c r="CV7" s="19" t="n">
        <f aca="false">Funding!CV41-Funding!CV39+Operations!CV45</f>
        <v>0</v>
      </c>
      <c r="CW7" s="19" t="n">
        <f aca="false">Funding!CW41-Funding!CW39+Operations!CW45</f>
        <v>0</v>
      </c>
      <c r="CX7" s="19" t="n">
        <f aca="false">Funding!CX41-Funding!CX39+Operations!CX45</f>
        <v>0</v>
      </c>
      <c r="CY7" s="19" t="n">
        <f aca="false">Funding!CY41-Funding!CY39+Operations!CY45</f>
        <v>0</v>
      </c>
      <c r="CZ7" s="19" t="n">
        <f aca="false">Funding!CZ41-Funding!CZ39+Operations!CZ45</f>
        <v>0</v>
      </c>
      <c r="DA7" s="19" t="n">
        <f aca="false">Funding!DA41-Funding!DA39+Operations!DA45</f>
        <v>0</v>
      </c>
      <c r="DB7" s="19" t="n">
        <f aca="false">Funding!DB41-Funding!DB39+Operations!DB45</f>
        <v>0</v>
      </c>
    </row>
    <row r="8" customFormat="false" ht="15" hidden="false" customHeight="false" outlineLevel="0" collapsed="false">
      <c r="D8" s="0" t="s">
        <v>420</v>
      </c>
      <c r="E8" s="0" t="s">
        <v>44</v>
      </c>
      <c r="G8" s="19" t="n">
        <f aca="false">SUM(J8:DB8)</f>
        <v>1837.20528045823</v>
      </c>
      <c r="J8" s="19" t="n">
        <f aca="false">IF(Time!J29&gt;0,J6*Time!J25/Time!J29,0)</f>
        <v>0</v>
      </c>
      <c r="K8" s="19" t="n">
        <f aca="false">IF(Time!K29&gt;0,K6*Time!K25/Time!K29,0)</f>
        <v>0</v>
      </c>
      <c r="L8" s="19" t="n">
        <f aca="false">IF(Time!L29&gt;0,L6*Time!L25/Time!L29,0)</f>
        <v>0</v>
      </c>
      <c r="M8" s="19" t="n">
        <f aca="false">IF(Time!M29&gt;0,M6*Time!M25/Time!M29,0)</f>
        <v>0</v>
      </c>
      <c r="N8" s="19" t="n">
        <f aca="false">IF(Time!N29&gt;0,N6*Time!N25/Time!N29,0)</f>
        <v>0</v>
      </c>
      <c r="O8" s="19" t="n">
        <f aca="false">IF(Time!O29&gt;0,O6*Time!O25/Time!O29,0)</f>
        <v>0</v>
      </c>
      <c r="P8" s="19" t="n">
        <f aca="false">IF(Time!P29&gt;0,P6*Time!P25/Time!P29,0)</f>
        <v>0</v>
      </c>
      <c r="Q8" s="19" t="n">
        <f aca="false">IF(Time!Q29&gt;0,Q6*Time!Q25/Time!Q29,0)</f>
        <v>0</v>
      </c>
      <c r="R8" s="19" t="n">
        <f aca="false">IF(Time!R29&gt;0,R6*Time!R25/Time!R29,0)</f>
        <v>0</v>
      </c>
      <c r="S8" s="19" t="n">
        <f aca="false">IF(Time!S29&gt;0,S6*Time!S25/Time!S29,0)</f>
        <v>0</v>
      </c>
      <c r="T8" s="19" t="n">
        <f aca="false">IF(Time!T29&gt;0,T6*Time!T25/Time!T29,0)</f>
        <v>0</v>
      </c>
      <c r="U8" s="19" t="n">
        <f aca="false">IF(Time!U29&gt;0,U6*Time!U25/Time!U29,0)</f>
        <v>0</v>
      </c>
      <c r="V8" s="19" t="n">
        <f aca="false">IF(Time!V29&gt;0,V6*Time!V25/Time!V29,0)</f>
        <v>0</v>
      </c>
      <c r="W8" s="19" t="n">
        <f aca="false">IF(Time!W29&gt;0,W6*Time!W25/Time!W29,0)</f>
        <v>0</v>
      </c>
      <c r="X8" s="19" t="n">
        <f aca="false">IF(Time!X29&gt;0,X6*Time!X25/Time!X29,0)</f>
        <v>0</v>
      </c>
      <c r="Y8" s="19" t="n">
        <f aca="false">IF(Time!Y29&gt;0,Y6*Time!Y25/Time!Y29,0)</f>
        <v>0</v>
      </c>
      <c r="Z8" s="19" t="n">
        <f aca="false">IF(Time!Z29&gt;0,Z6*Time!Z25/Time!Z29,0)</f>
        <v>13.4016577572504</v>
      </c>
      <c r="AA8" s="19" t="n">
        <f aca="false">IF(Time!AA29&gt;0,AA6*Time!AA25/Time!AA29,0)</f>
        <v>27.0978574432316</v>
      </c>
      <c r="AB8" s="19" t="n">
        <f aca="false">IF(Time!AB29&gt;0,AB6*Time!AB25/Time!AB29,0)</f>
        <v>26.8033155145008</v>
      </c>
      <c r="AC8" s="19" t="n">
        <f aca="false">IF(Time!AC29&gt;0,AC6*Time!AC25/Time!AC29,0)</f>
        <v>27.0978574432316</v>
      </c>
      <c r="AD8" s="19" t="n">
        <f aca="false">IF(Time!AD29&gt;0,AD6*Time!AD25/Time!AD29,0)</f>
        <v>26.6560445501354</v>
      </c>
      <c r="AE8" s="19" t="n">
        <f aca="false">IF(Time!AE29&gt;0,AE6*Time!AE25/Time!AE29,0)</f>
        <v>27.0978574432316</v>
      </c>
      <c r="AF8" s="19" t="n">
        <f aca="false">IF(Time!AF29&gt;0,AF6*Time!AF25/Time!AF29,0)</f>
        <v>26.6560445501354</v>
      </c>
      <c r="AG8" s="19" t="n">
        <f aca="false">IF(Time!AG29&gt;0,AG6*Time!AG25/Time!AG29,0)</f>
        <v>27.0978574432316</v>
      </c>
      <c r="AH8" s="19" t="n">
        <f aca="false">IF(Time!AH29&gt;0,AH6*Time!AH25/Time!AH29,0)</f>
        <v>26.6560445501354</v>
      </c>
      <c r="AI8" s="19" t="n">
        <f aca="false">IF(Time!AI29&gt;0,AI6*Time!AI25/Time!AI29,0)</f>
        <v>27.0978574432316</v>
      </c>
      <c r="AJ8" s="19" t="n">
        <f aca="false">IF(Time!AJ29&gt;0,AJ6*Time!AJ25/Time!AJ29,0)</f>
        <v>26.8033155145008</v>
      </c>
      <c r="AK8" s="19" t="n">
        <f aca="false">IF(Time!AK29&gt;0,AK6*Time!AK25/Time!AK29,0)</f>
        <v>27.0978574432316</v>
      </c>
      <c r="AL8" s="19" t="n">
        <f aca="false">IF(Time!AL29&gt;0,AL6*Time!AL25/Time!AL29,0)</f>
        <v>26.6560445501354</v>
      </c>
      <c r="AM8" s="19" t="n">
        <f aca="false">IF(Time!AM29&gt;0,AM6*Time!AM25/Time!AM29,0)</f>
        <v>27.0978574432316</v>
      </c>
      <c r="AN8" s="19" t="n">
        <f aca="false">IF(Time!AN29&gt;0,AN6*Time!AN25/Time!AN29,0)</f>
        <v>26.6560445501354</v>
      </c>
      <c r="AO8" s="19" t="n">
        <f aca="false">IF(Time!AO29&gt;0,AO6*Time!AO25/Time!AO29,0)</f>
        <v>27.0978574432316</v>
      </c>
      <c r="AP8" s="19" t="n">
        <f aca="false">IF(Time!AP29&gt;0,AP6*Time!AP25/Time!AP29,0)</f>
        <v>26.6560445501354</v>
      </c>
      <c r="AQ8" s="19" t="n">
        <f aca="false">IF(Time!AQ29&gt;0,AQ6*Time!AQ25/Time!AQ29,0)</f>
        <v>27.0978574432316</v>
      </c>
      <c r="AR8" s="19" t="n">
        <f aca="false">IF(Time!AR29&gt;0,AR6*Time!AR25/Time!AR29,0)</f>
        <v>26.8033155145008</v>
      </c>
      <c r="AS8" s="19" t="n">
        <f aca="false">IF(Time!AS29&gt;0,AS6*Time!AS25/Time!AS29,0)</f>
        <v>27.0978574432316</v>
      </c>
      <c r="AT8" s="19" t="n">
        <f aca="false">IF(Time!AT29&gt;0,AT6*Time!AT25/Time!AT29,0)</f>
        <v>26.6560445501354</v>
      </c>
      <c r="AU8" s="19" t="n">
        <f aca="false">IF(Time!AU29&gt;0,AU6*Time!AU25/Time!AU29,0)</f>
        <v>27.0978574432316</v>
      </c>
      <c r="AV8" s="19" t="n">
        <f aca="false">IF(Time!AV29&gt;0,AV6*Time!AV25/Time!AV29,0)</f>
        <v>26.6560445501354</v>
      </c>
      <c r="AW8" s="19" t="n">
        <f aca="false">IF(Time!AW29&gt;0,AW6*Time!AW25/Time!AW29,0)</f>
        <v>27.0978574432316</v>
      </c>
      <c r="AX8" s="19" t="n">
        <f aca="false">IF(Time!AX29&gt;0,AX6*Time!AX25/Time!AX29,0)</f>
        <v>26.6560445501354</v>
      </c>
      <c r="AY8" s="19" t="n">
        <f aca="false">IF(Time!AY29&gt;0,AY6*Time!AY25/Time!AY29,0)</f>
        <v>27.0978574432316</v>
      </c>
      <c r="AZ8" s="19" t="n">
        <f aca="false">IF(Time!AZ29&gt;0,AZ6*Time!AZ25/Time!AZ29,0)</f>
        <v>26.8033155145008</v>
      </c>
      <c r="BA8" s="19" t="n">
        <f aca="false">IF(Time!BA29&gt;0,BA6*Time!BA25/Time!BA29,0)</f>
        <v>27.0978574432316</v>
      </c>
      <c r="BB8" s="19" t="n">
        <f aca="false">IF(Time!BB29&gt;0,BB6*Time!BB25/Time!BB29,0)</f>
        <v>26.6560445501354</v>
      </c>
      <c r="BC8" s="19" t="n">
        <f aca="false">IF(Time!BC29&gt;0,BC6*Time!BC25/Time!BC29,0)</f>
        <v>27.0978574432316</v>
      </c>
      <c r="BD8" s="19" t="n">
        <f aca="false">IF(Time!BD29&gt;0,BD6*Time!BD25/Time!BD29,0)</f>
        <v>26.6560445501354</v>
      </c>
      <c r="BE8" s="19" t="n">
        <f aca="false">IF(Time!BE29&gt;0,BE6*Time!BE25/Time!BE29,0)</f>
        <v>27.0978574432316</v>
      </c>
      <c r="BF8" s="19" t="n">
        <f aca="false">IF(Time!BF29&gt;0,BF6*Time!BF25/Time!BF29,0)</f>
        <v>26.6560445501354</v>
      </c>
      <c r="BG8" s="19" t="n">
        <f aca="false">IF(Time!BG29&gt;0,BG6*Time!BG25/Time!BG29,0)</f>
        <v>27.0978574432316</v>
      </c>
      <c r="BH8" s="19" t="n">
        <f aca="false">IF(Time!BH29&gt;0,BH6*Time!BH25/Time!BH29,0)</f>
        <v>26.8033155145008</v>
      </c>
      <c r="BI8" s="19" t="n">
        <f aca="false">IF(Time!BI29&gt;0,BI6*Time!BI25/Time!BI29,0)</f>
        <v>27.0978574432316</v>
      </c>
      <c r="BJ8" s="19" t="n">
        <f aca="false">IF(Time!BJ29&gt;0,BJ6*Time!BJ25/Time!BJ29,0)</f>
        <v>26.6560445501354</v>
      </c>
      <c r="BK8" s="19" t="n">
        <f aca="false">IF(Time!BK29&gt;0,BK6*Time!BK25/Time!BK29,0)</f>
        <v>27.0978574432316</v>
      </c>
      <c r="BL8" s="19" t="n">
        <f aca="false">IF(Time!BL29&gt;0,BL6*Time!BL25/Time!BL29,0)</f>
        <v>26.6560445501354</v>
      </c>
      <c r="BM8" s="19" t="n">
        <f aca="false">IF(Time!BM29&gt;0,BM6*Time!BM25/Time!BM29,0)</f>
        <v>27.0978574432316</v>
      </c>
      <c r="BN8" s="19" t="n">
        <f aca="false">IF(Time!BN29&gt;0,BN6*Time!BN25/Time!BN29,0)</f>
        <v>26.6560445501354</v>
      </c>
      <c r="BO8" s="19" t="n">
        <f aca="false">IF(Time!BO29&gt;0,BO6*Time!BO25/Time!BO29,0)</f>
        <v>27.0978574432316</v>
      </c>
      <c r="BP8" s="19" t="n">
        <f aca="false">IF(Time!BP29&gt;0,BP6*Time!BP25/Time!BP29,0)</f>
        <v>26.8033155145008</v>
      </c>
      <c r="BQ8" s="19" t="n">
        <f aca="false">IF(Time!BQ29&gt;0,BQ6*Time!BQ25/Time!BQ29,0)</f>
        <v>27.0978574432316</v>
      </c>
      <c r="BR8" s="19" t="n">
        <f aca="false">IF(Time!BR29&gt;0,BR6*Time!BR25/Time!BR29,0)</f>
        <v>26.6560445501354</v>
      </c>
      <c r="BS8" s="19" t="n">
        <f aca="false">IF(Time!BS29&gt;0,BS6*Time!BS25/Time!BS29,0)</f>
        <v>27.0978574432316</v>
      </c>
      <c r="BT8" s="19" t="n">
        <f aca="false">IF(Time!BT29&gt;0,BT6*Time!BT25/Time!BT29,0)</f>
        <v>26.6560445501354</v>
      </c>
      <c r="BU8" s="19" t="n">
        <f aca="false">IF(Time!BU29&gt;0,BU6*Time!BU25/Time!BU29,0)</f>
        <v>27.0978574432316</v>
      </c>
      <c r="BV8" s="19" t="n">
        <f aca="false">IF(Time!BV29&gt;0,BV6*Time!BV25/Time!BV29,0)</f>
        <v>26.6560445501354</v>
      </c>
      <c r="BW8" s="19" t="n">
        <f aca="false">IF(Time!BW29&gt;0,BW6*Time!BW25/Time!BW29,0)</f>
        <v>27.0978574432316</v>
      </c>
      <c r="BX8" s="19" t="n">
        <f aca="false">IF(Time!BX29&gt;0,BX6*Time!BX25/Time!BX29,0)</f>
        <v>26.8033155145008</v>
      </c>
      <c r="BY8" s="19" t="n">
        <f aca="false">IF(Time!BY29&gt;0,BY6*Time!BY25/Time!BY29,0)</f>
        <v>27.0978574432316</v>
      </c>
      <c r="BZ8" s="19" t="n">
        <f aca="false">IF(Time!BZ29&gt;0,BZ6*Time!BZ25/Time!BZ29,0)</f>
        <v>26.6560445501354</v>
      </c>
      <c r="CA8" s="19" t="n">
        <f aca="false">IF(Time!CA29&gt;0,CA6*Time!CA25/Time!CA29,0)</f>
        <v>27.0978574432316</v>
      </c>
      <c r="CB8" s="19" t="n">
        <f aca="false">IF(Time!CB29&gt;0,CB6*Time!CB25/Time!CB29,0)</f>
        <v>26.6560445501354</v>
      </c>
      <c r="CC8" s="19" t="n">
        <f aca="false">IF(Time!CC29&gt;0,CC6*Time!CC25/Time!CC29,0)</f>
        <v>27.0978574432316</v>
      </c>
      <c r="CD8" s="19" t="n">
        <f aca="false">IF(Time!CD29&gt;0,CD6*Time!CD25/Time!CD29,0)</f>
        <v>26.6560445501354</v>
      </c>
      <c r="CE8" s="19" t="n">
        <f aca="false">IF(Time!CE29&gt;0,CE6*Time!CE25/Time!CE29,0)</f>
        <v>27.0978574432316</v>
      </c>
      <c r="CF8" s="19" t="n">
        <f aca="false">IF(Time!CF29&gt;0,CF6*Time!CF25/Time!CF29,0)</f>
        <v>26.8033155145008</v>
      </c>
      <c r="CG8" s="19" t="n">
        <f aca="false">IF(Time!CG29&gt;0,CG6*Time!CG25/Time!CG29,0)</f>
        <v>27.0978574432316</v>
      </c>
      <c r="CH8" s="19" t="n">
        <f aca="false">IF(Time!CH29&gt;0,CH6*Time!CH25/Time!CH29,0)</f>
        <v>26.6560445501354</v>
      </c>
      <c r="CI8" s="19" t="n">
        <f aca="false">IF(Time!CI29&gt;0,CI6*Time!CI25/Time!CI29,0)</f>
        <v>27.0978574432316</v>
      </c>
      <c r="CJ8" s="19" t="n">
        <f aca="false">IF(Time!CJ29&gt;0,CJ6*Time!CJ25/Time!CJ29,0)</f>
        <v>26.6560445501354</v>
      </c>
      <c r="CK8" s="19" t="n">
        <f aca="false">IF(Time!CK29&gt;0,CK6*Time!CK25/Time!CK29,0)</f>
        <v>27.0978574432316</v>
      </c>
      <c r="CL8" s="19" t="n">
        <f aca="false">IF(Time!CL29&gt;0,CL6*Time!CL25/Time!CL29,0)</f>
        <v>26.6560445501354</v>
      </c>
      <c r="CM8" s="19" t="n">
        <f aca="false">IF(Time!CM29&gt;0,CM6*Time!CM25/Time!CM29,0)</f>
        <v>27.0978574432316</v>
      </c>
      <c r="CN8" s="19" t="n">
        <f aca="false">IF(Time!CN29&gt;0,CN6*Time!CN25/Time!CN29,0)</f>
        <v>26.8033155145008</v>
      </c>
      <c r="CO8" s="19" t="n">
        <f aca="false">IF(Time!CO29&gt;0,CO6*Time!CO25/Time!CO29,0)</f>
        <v>27.0978574432316</v>
      </c>
      <c r="CP8" s="19" t="n">
        <f aca="false">IF(Time!CP29&gt;0,CP6*Time!CP25/Time!CP29,0)</f>
        <v>21.5015607973468</v>
      </c>
      <c r="CQ8" s="19" t="n">
        <f aca="false">IF(Time!CQ29&gt;0,CQ6*Time!CQ25/Time!CQ29,0)</f>
        <v>0</v>
      </c>
      <c r="CR8" s="19" t="n">
        <f aca="false">IF(Time!CR29&gt;0,CR6*Time!CR25/Time!CR29,0)</f>
        <v>0</v>
      </c>
      <c r="CS8" s="19" t="n">
        <f aca="false">IF(Time!CS29&gt;0,CS6*Time!CS25/Time!CS29,0)</f>
        <v>0</v>
      </c>
      <c r="CT8" s="19" t="n">
        <f aca="false">IF(Time!CT29&gt;0,CT6*Time!CT25/Time!CT29,0)</f>
        <v>0</v>
      </c>
      <c r="CU8" s="19" t="n">
        <f aca="false">IF(Time!CU29&gt;0,CU6*Time!CU25/Time!CU29,0)</f>
        <v>0</v>
      </c>
      <c r="CV8" s="19" t="n">
        <f aca="false">IF(Time!CV29&gt;0,CV6*Time!CV25/Time!CV29,0)</f>
        <v>0</v>
      </c>
      <c r="CW8" s="19" t="n">
        <f aca="false">IF(Time!CW29&gt;0,CW6*Time!CW25/Time!CW29,0)</f>
        <v>0</v>
      </c>
      <c r="CX8" s="19" t="n">
        <f aca="false">IF(Time!CX29&gt;0,CX6*Time!CX25/Time!CX29,0)</f>
        <v>0</v>
      </c>
      <c r="CY8" s="19" t="n">
        <f aca="false">IF(Time!CY29&gt;0,CY6*Time!CY25/Time!CY29,0)</f>
        <v>0</v>
      </c>
      <c r="CZ8" s="19" t="n">
        <f aca="false">IF(Time!CZ29&gt;0,CZ6*Time!CZ25/Time!CZ29,0)</f>
        <v>0</v>
      </c>
      <c r="DA8" s="19" t="n">
        <f aca="false">IF(Time!DA29&gt;0,DA6*Time!DA25/Time!DA29,0)</f>
        <v>0</v>
      </c>
      <c r="DB8" s="19" t="n">
        <f aca="false">IF(Time!DB29&gt;0,DB6*Time!DB25/Time!DB29,0)</f>
        <v>0</v>
      </c>
    </row>
    <row r="9" customFormat="false" ht="15" hidden="false" customHeight="false" outlineLevel="0" collapsed="false">
      <c r="D9" s="0" t="s">
        <v>421</v>
      </c>
      <c r="E9" s="0" t="s">
        <v>44</v>
      </c>
      <c r="J9" s="19" t="n">
        <f aca="false">J6+J7-J8</f>
        <v>73.4145412566294</v>
      </c>
      <c r="K9" s="19" t="n">
        <f aca="false">K6+K7-K8</f>
        <v>104.993166624136</v>
      </c>
      <c r="L9" s="19" t="n">
        <f aca="false">L6+L7-L8</f>
        <v>168.757442449475</v>
      </c>
      <c r="M9" s="19" t="n">
        <f aca="false">M6+M7-M8</f>
        <v>270.511780998115</v>
      </c>
      <c r="N9" s="19" t="n">
        <f aca="false">N6+N7-N8</f>
        <v>410.610336266944</v>
      </c>
      <c r="O9" s="19" t="n">
        <f aca="false">O6+O7-O8</f>
        <v>584.714108113076</v>
      </c>
      <c r="P9" s="19" t="n">
        <f aca="false">P6+P7-P8</f>
        <v>782.996680656637</v>
      </c>
      <c r="Q9" s="19" t="n">
        <f aca="false">Q6+Q7-Q8</f>
        <v>994.625079739039</v>
      </c>
      <c r="R9" s="19" t="n">
        <f aca="false">R6+R7-R8</f>
        <v>1210.79192273031</v>
      </c>
      <c r="S9" s="19" t="n">
        <f aca="false">S6+S7-S8</f>
        <v>1414.68140803179</v>
      </c>
      <c r="T9" s="19" t="n">
        <f aca="false">T6+T7-T8</f>
        <v>1597.81100902498</v>
      </c>
      <c r="U9" s="19" t="n">
        <f aca="false">U6+U7-U8</f>
        <v>1751.14319791677</v>
      </c>
      <c r="V9" s="19" t="n">
        <f aca="false">V6+V7-V8</f>
        <v>1870.04506887395</v>
      </c>
      <c r="W9" s="19" t="n">
        <f aca="false">W6+W7-W8</f>
        <v>1953.75987546496</v>
      </c>
      <c r="X9" s="19" t="n">
        <f aca="false">X6+X7-X8</f>
        <v>2006.88584622423</v>
      </c>
      <c r="Y9" s="19" t="n">
        <f aca="false">Y6+Y7-Y8</f>
        <v>1837.20528045823</v>
      </c>
      <c r="Z9" s="19" t="n">
        <f aca="false">Z6+Z7-Z8</f>
        <v>1823.80362270098</v>
      </c>
      <c r="AA9" s="19" t="n">
        <f aca="false">AA6+AA7-AA8</f>
        <v>1796.70576525775</v>
      </c>
      <c r="AB9" s="19" t="n">
        <f aca="false">AB6+AB7-AB8</f>
        <v>1769.90244974325</v>
      </c>
      <c r="AC9" s="19" t="n">
        <f aca="false">AC6+AC7-AC8</f>
        <v>1742.80459230001</v>
      </c>
      <c r="AD9" s="19" t="n">
        <f aca="false">AD6+AD7-AD8</f>
        <v>1716.14854774988</v>
      </c>
      <c r="AE9" s="19" t="n">
        <f aca="false">AE6+AE7-AE8</f>
        <v>1689.05069030665</v>
      </c>
      <c r="AF9" s="19" t="n">
        <f aca="false">AF6+AF7-AF8</f>
        <v>1662.39464575651</v>
      </c>
      <c r="AG9" s="19" t="n">
        <f aca="false">AG6+AG7-AG8</f>
        <v>1635.29678831328</v>
      </c>
      <c r="AH9" s="19" t="n">
        <f aca="false">AH6+AH7-AH8</f>
        <v>1608.64074376314</v>
      </c>
      <c r="AI9" s="19" t="n">
        <f aca="false">AI6+AI7-AI8</f>
        <v>1581.54288631991</v>
      </c>
      <c r="AJ9" s="19" t="n">
        <f aca="false">AJ6+AJ7-AJ8</f>
        <v>1554.73957080541</v>
      </c>
      <c r="AK9" s="19" t="n">
        <f aca="false">AK6+AK7-AK8</f>
        <v>1527.64171336218</v>
      </c>
      <c r="AL9" s="19" t="n">
        <f aca="false">AL6+AL7-AL8</f>
        <v>1500.98566881204</v>
      </c>
      <c r="AM9" s="19" t="n">
        <f aca="false">AM6+AM7-AM8</f>
        <v>1473.88781136881</v>
      </c>
      <c r="AN9" s="19" t="n">
        <f aca="false">AN6+AN7-AN8</f>
        <v>1447.23176681868</v>
      </c>
      <c r="AO9" s="19" t="n">
        <f aca="false">AO6+AO7-AO8</f>
        <v>1420.13390937545</v>
      </c>
      <c r="AP9" s="19" t="n">
        <f aca="false">AP6+AP7-AP8</f>
        <v>1393.47786482531</v>
      </c>
      <c r="AQ9" s="19" t="n">
        <f aca="false">AQ6+AQ7-AQ8</f>
        <v>1366.38000738208</v>
      </c>
      <c r="AR9" s="19" t="n">
        <f aca="false">AR6+AR7-AR8</f>
        <v>1339.57669186758</v>
      </c>
      <c r="AS9" s="19" t="n">
        <f aca="false">AS6+AS7-AS8</f>
        <v>1312.47883442435</v>
      </c>
      <c r="AT9" s="19" t="n">
        <f aca="false">AT6+AT7-AT8</f>
        <v>1285.82278987421</v>
      </c>
      <c r="AU9" s="19" t="n">
        <f aca="false">AU6+AU7-AU8</f>
        <v>1258.72493243098</v>
      </c>
      <c r="AV9" s="19" t="n">
        <f aca="false">AV6+AV7-AV8</f>
        <v>1232.06888788084</v>
      </c>
      <c r="AW9" s="19" t="n">
        <f aca="false">AW6+AW7-AW8</f>
        <v>1204.97103043761</v>
      </c>
      <c r="AX9" s="19" t="n">
        <f aca="false">AX6+AX7-AX8</f>
        <v>1178.31498588748</v>
      </c>
      <c r="AY9" s="19" t="n">
        <f aca="false">AY6+AY7-AY8</f>
        <v>1151.21712844425</v>
      </c>
      <c r="AZ9" s="19" t="n">
        <f aca="false">AZ6+AZ7-AZ8</f>
        <v>1124.41381292975</v>
      </c>
      <c r="BA9" s="19" t="n">
        <f aca="false">BA6+BA7-BA8</f>
        <v>1097.31595548651</v>
      </c>
      <c r="BB9" s="19" t="n">
        <f aca="false">BB6+BB7-BB8</f>
        <v>1070.65991093638</v>
      </c>
      <c r="BC9" s="19" t="n">
        <f aca="false">BC6+BC7-BC8</f>
        <v>1043.56205349315</v>
      </c>
      <c r="BD9" s="19" t="n">
        <f aca="false">BD6+BD7-BD8</f>
        <v>1016.90600894301</v>
      </c>
      <c r="BE9" s="19" t="n">
        <f aca="false">BE6+BE7-BE8</f>
        <v>989.80815149978</v>
      </c>
      <c r="BF9" s="19" t="n">
        <f aca="false">BF6+BF7-BF8</f>
        <v>963.152106949644</v>
      </c>
      <c r="BG9" s="19" t="n">
        <f aca="false">BG6+BG7-BG8</f>
        <v>936.054249506413</v>
      </c>
      <c r="BH9" s="19" t="n">
        <f aca="false">BH6+BH7-BH8</f>
        <v>909.250933991912</v>
      </c>
      <c r="BI9" s="19" t="n">
        <f aca="false">BI6+BI7-BI8</f>
        <v>882.153076548681</v>
      </c>
      <c r="BJ9" s="19" t="n">
        <f aca="false">BJ6+BJ7-BJ8</f>
        <v>855.497031998545</v>
      </c>
      <c r="BK9" s="19" t="n">
        <f aca="false">BK6+BK7-BK8</f>
        <v>828.399174555314</v>
      </c>
      <c r="BL9" s="19" t="n">
        <f aca="false">BL6+BL7-BL8</f>
        <v>801.743130005178</v>
      </c>
      <c r="BM9" s="19" t="n">
        <f aca="false">BM6+BM7-BM8</f>
        <v>774.645272561947</v>
      </c>
      <c r="BN9" s="19" t="n">
        <f aca="false">BN6+BN7-BN8</f>
        <v>747.989228011811</v>
      </c>
      <c r="BO9" s="19" t="n">
        <f aca="false">BO6+BO7-BO8</f>
        <v>720.89137056858</v>
      </c>
      <c r="BP9" s="19" t="n">
        <f aca="false">BP6+BP7-BP8</f>
        <v>694.088055054079</v>
      </c>
      <c r="BQ9" s="19" t="n">
        <f aca="false">BQ6+BQ7-BQ8</f>
        <v>666.990197610847</v>
      </c>
      <c r="BR9" s="19" t="n">
        <f aca="false">BR6+BR7-BR8</f>
        <v>640.334153060712</v>
      </c>
      <c r="BS9" s="19" t="n">
        <f aca="false">BS6+BS7-BS8</f>
        <v>613.23629561748</v>
      </c>
      <c r="BT9" s="19" t="n">
        <f aca="false">BT6+BT7-BT8</f>
        <v>586.580251067345</v>
      </c>
      <c r="BU9" s="19" t="n">
        <f aca="false">BU6+BU7-BU8</f>
        <v>559.482393624113</v>
      </c>
      <c r="BV9" s="19" t="n">
        <f aca="false">BV6+BV7-BV8</f>
        <v>532.826349073978</v>
      </c>
      <c r="BW9" s="19" t="n">
        <f aca="false">BW6+BW7-BW8</f>
        <v>505.728491630746</v>
      </c>
      <c r="BX9" s="19" t="n">
        <f aca="false">BX6+BX7-BX8</f>
        <v>478.925176116245</v>
      </c>
      <c r="BY9" s="19" t="n">
        <f aca="false">BY6+BY7-BY8</f>
        <v>451.827318673014</v>
      </c>
      <c r="BZ9" s="19" t="n">
        <f aca="false">BZ6+BZ7-BZ8</f>
        <v>425.171274122878</v>
      </c>
      <c r="CA9" s="19" t="n">
        <f aca="false">CA6+CA7-CA8</f>
        <v>398.073416679647</v>
      </c>
      <c r="CB9" s="19" t="n">
        <f aca="false">CB6+CB7-CB8</f>
        <v>371.417372129511</v>
      </c>
      <c r="CC9" s="19" t="n">
        <f aca="false">CC6+CC7-CC8</f>
        <v>344.31951468628</v>
      </c>
      <c r="CD9" s="19" t="n">
        <f aca="false">CD6+CD7-CD8</f>
        <v>317.663470136144</v>
      </c>
      <c r="CE9" s="19" t="n">
        <f aca="false">CE6+CE7-CE8</f>
        <v>290.565612692913</v>
      </c>
      <c r="CF9" s="19" t="n">
        <f aca="false">CF6+CF7-CF8</f>
        <v>263.762297178412</v>
      </c>
      <c r="CG9" s="19" t="n">
        <f aca="false">CG6+CG7-CG8</f>
        <v>236.66443973518</v>
      </c>
      <c r="CH9" s="19" t="n">
        <f aca="false">CH6+CH7-CH8</f>
        <v>210.008395185045</v>
      </c>
      <c r="CI9" s="19" t="n">
        <f aca="false">CI6+CI7-CI8</f>
        <v>182.910537741813</v>
      </c>
      <c r="CJ9" s="19" t="n">
        <f aca="false">CJ6+CJ7-CJ8</f>
        <v>156.254493191678</v>
      </c>
      <c r="CK9" s="19" t="n">
        <f aca="false">CK6+CK7-CK8</f>
        <v>129.156635748446</v>
      </c>
      <c r="CL9" s="19" t="n">
        <f aca="false">CL6+CL7-CL8</f>
        <v>102.500591198311</v>
      </c>
      <c r="CM9" s="19" t="n">
        <f aca="false">CM6+CM7-CM8</f>
        <v>75.4027337550792</v>
      </c>
      <c r="CN9" s="19" t="n">
        <f aca="false">CN6+CN7-CN8</f>
        <v>48.5994182405784</v>
      </c>
      <c r="CO9" s="19" t="n">
        <f aca="false">CO6+CO7-CO8</f>
        <v>21.5015607973468</v>
      </c>
      <c r="CP9" s="19" t="n">
        <f aca="false">CP6+CP7-CP8</f>
        <v>0</v>
      </c>
      <c r="CQ9" s="19" t="n">
        <f aca="false">CQ6+CQ7-CQ8</f>
        <v>0</v>
      </c>
      <c r="CR9" s="19" t="n">
        <f aca="false">CR6+CR7-CR8</f>
        <v>0</v>
      </c>
      <c r="CS9" s="19" t="n">
        <f aca="false">CS6+CS7-CS8</f>
        <v>0</v>
      </c>
      <c r="CT9" s="19" t="n">
        <f aca="false">CT6+CT7-CT8</f>
        <v>0</v>
      </c>
      <c r="CU9" s="19" t="n">
        <f aca="false">CU6+CU7-CU8</f>
        <v>0</v>
      </c>
      <c r="CV9" s="19" t="n">
        <f aca="false">CV6+CV7-CV8</f>
        <v>0</v>
      </c>
      <c r="CW9" s="19" t="n">
        <f aca="false">CW6+CW7-CW8</f>
        <v>0</v>
      </c>
      <c r="CX9" s="19" t="n">
        <f aca="false">CX6+CX7-CX8</f>
        <v>0</v>
      </c>
      <c r="CY9" s="19" t="n">
        <f aca="false">CY6+CY7-CY8</f>
        <v>0</v>
      </c>
      <c r="CZ9" s="19" t="n">
        <f aca="false">CZ6+CZ7-CZ8</f>
        <v>0</v>
      </c>
      <c r="DA9" s="19" t="n">
        <f aca="false">DA6+DA7-DA8</f>
        <v>0</v>
      </c>
      <c r="DB9" s="19" t="n">
        <f aca="false">DB6+DB7-DB8</f>
        <v>0</v>
      </c>
    </row>
    <row r="10" customFormat="false" ht="15" hidden="false" customHeight="false" outlineLevel="0" collapsed="false">
      <c r="D10" s="0" t="s">
        <v>422</v>
      </c>
      <c r="E10" s="0" t="s">
        <v>44</v>
      </c>
      <c r="G10" s="19" t="n">
        <f aca="false">SUM(J10:DB10)</f>
        <v>0</v>
      </c>
      <c r="J10" s="19" t="n">
        <f aca="false">MIN(J19-J20,J9)</f>
        <v>0</v>
      </c>
      <c r="K10" s="19" t="n">
        <f aca="false">MIN(K19-K20,K9)</f>
        <v>0</v>
      </c>
      <c r="L10" s="19" t="n">
        <f aca="false">MIN(L19-L20,L9)</f>
        <v>0</v>
      </c>
      <c r="M10" s="19" t="n">
        <f aca="false">MIN(M19-M20,M9)</f>
        <v>0</v>
      </c>
      <c r="N10" s="19" t="n">
        <f aca="false">MIN(N19-N20,N9)</f>
        <v>0</v>
      </c>
      <c r="O10" s="19" t="n">
        <f aca="false">MIN(O19-O20,O9)</f>
        <v>0</v>
      </c>
      <c r="P10" s="19" t="n">
        <f aca="false">MIN(P19-P20,P9)</f>
        <v>0</v>
      </c>
      <c r="Q10" s="19" t="n">
        <f aca="false">MIN(Q19-Q20,Q9)</f>
        <v>0</v>
      </c>
      <c r="R10" s="19" t="n">
        <f aca="false">MIN(R19-R20,R9)</f>
        <v>0</v>
      </c>
      <c r="S10" s="19" t="n">
        <f aca="false">MIN(S19-S20,S9)</f>
        <v>0</v>
      </c>
      <c r="T10" s="19" t="n">
        <f aca="false">MIN(T19-T20,T9)</f>
        <v>0</v>
      </c>
      <c r="U10" s="19" t="n">
        <f aca="false">MIN(U19-U20,U9)</f>
        <v>0</v>
      </c>
      <c r="V10" s="19" t="n">
        <f aca="false">MIN(V19-V20,V9)</f>
        <v>0</v>
      </c>
      <c r="W10" s="19" t="n">
        <f aca="false">MIN(W19-W20,W9)</f>
        <v>0</v>
      </c>
      <c r="X10" s="19" t="n">
        <f aca="false">MIN(X19-X20,X9)</f>
        <v>0</v>
      </c>
      <c r="Y10" s="19" t="n">
        <f aca="false">MIN(Y19-Y20,Y9)</f>
        <v>0</v>
      </c>
      <c r="Z10" s="19" t="n">
        <f aca="false">MIN(Z19-Z20,Z9)</f>
        <v>0</v>
      </c>
      <c r="AA10" s="19" t="n">
        <f aca="false">MIN(AA19-AA20,AA9)</f>
        <v>0</v>
      </c>
      <c r="AB10" s="19" t="n">
        <f aca="false">MIN(AB19-AB20,AB9)</f>
        <v>0</v>
      </c>
      <c r="AC10" s="19" t="n">
        <f aca="false">MIN(AC19-AC20,AC9)</f>
        <v>0</v>
      </c>
      <c r="AD10" s="19" t="n">
        <f aca="false">MIN(AD19-AD20,AD9)</f>
        <v>0</v>
      </c>
      <c r="AE10" s="19" t="n">
        <f aca="false">MIN(AE19-AE20,AE9)</f>
        <v>0</v>
      </c>
      <c r="AF10" s="19" t="n">
        <f aca="false">MIN(AF19-AF20,AF9)</f>
        <v>0</v>
      </c>
      <c r="AG10" s="19" t="n">
        <f aca="false">MIN(AG19-AG20,AG9)</f>
        <v>0</v>
      </c>
      <c r="AH10" s="19" t="n">
        <f aca="false">MIN(AH19-AH20,AH9)</f>
        <v>0</v>
      </c>
      <c r="AI10" s="19" t="n">
        <f aca="false">MIN(AI19-AI20,AI9)</f>
        <v>0</v>
      </c>
      <c r="AJ10" s="19" t="n">
        <f aca="false">MIN(AJ19-AJ20,AJ9)</f>
        <v>0</v>
      </c>
      <c r="AK10" s="19" t="n">
        <f aca="false">MIN(AK19-AK20,AK9)</f>
        <v>0</v>
      </c>
      <c r="AL10" s="19" t="n">
        <f aca="false">MIN(AL19-AL20,AL9)</f>
        <v>0</v>
      </c>
      <c r="AM10" s="19" t="n">
        <f aca="false">MIN(AM19-AM20,AM9)</f>
        <v>0</v>
      </c>
      <c r="AN10" s="19" t="n">
        <f aca="false">MIN(AN19-AN20,AN9)</f>
        <v>0</v>
      </c>
      <c r="AO10" s="19" t="n">
        <f aca="false">MIN(AO19-AO20,AO9)</f>
        <v>0</v>
      </c>
      <c r="AP10" s="19" t="n">
        <f aca="false">MIN(AP19-AP20,AP9)</f>
        <v>0</v>
      </c>
      <c r="AQ10" s="19" t="n">
        <f aca="false">MIN(AQ19-AQ20,AQ9)</f>
        <v>0</v>
      </c>
      <c r="AR10" s="19" t="n">
        <f aca="false">MIN(AR19-AR20,AR9)</f>
        <v>0</v>
      </c>
      <c r="AS10" s="19" t="n">
        <f aca="false">MIN(AS19-AS20,AS9)</f>
        <v>0</v>
      </c>
      <c r="AT10" s="19" t="n">
        <f aca="false">MIN(AT19-AT20,AT9)</f>
        <v>0</v>
      </c>
      <c r="AU10" s="19" t="n">
        <f aca="false">MIN(AU19-AU20,AU9)</f>
        <v>0</v>
      </c>
      <c r="AV10" s="19" t="n">
        <f aca="false">MIN(AV19-AV20,AV9)</f>
        <v>0</v>
      </c>
      <c r="AW10" s="19" t="n">
        <f aca="false">MIN(AW19-AW20,AW9)</f>
        <v>0</v>
      </c>
      <c r="AX10" s="19" t="n">
        <f aca="false">MIN(AX19-AX20,AX9)</f>
        <v>0</v>
      </c>
      <c r="AY10" s="19" t="n">
        <f aca="false">MIN(AY19-AY20,AY9)</f>
        <v>0</v>
      </c>
      <c r="AZ10" s="19" t="n">
        <f aca="false">MIN(AZ19-AZ20,AZ9)</f>
        <v>0</v>
      </c>
      <c r="BA10" s="19" t="n">
        <f aca="false">MIN(BA19-BA20,BA9)</f>
        <v>0</v>
      </c>
      <c r="BB10" s="19" t="n">
        <f aca="false">MIN(BB19-BB20,BB9)</f>
        <v>0</v>
      </c>
      <c r="BC10" s="19" t="n">
        <f aca="false">MIN(BC19-BC20,BC9)</f>
        <v>0</v>
      </c>
      <c r="BD10" s="19" t="n">
        <f aca="false">MIN(BD19-BD20,BD9)</f>
        <v>0</v>
      </c>
      <c r="BE10" s="19" t="n">
        <f aca="false">MIN(BE19-BE20,BE9)</f>
        <v>0</v>
      </c>
      <c r="BF10" s="19" t="n">
        <f aca="false">MIN(BF19-BF20,BF9)</f>
        <v>0</v>
      </c>
      <c r="BG10" s="19" t="n">
        <f aca="false">MIN(BG19-BG20,BG9)</f>
        <v>0</v>
      </c>
      <c r="BH10" s="19" t="n">
        <f aca="false">MIN(BH19-BH20,BH9)</f>
        <v>0</v>
      </c>
      <c r="BI10" s="19" t="n">
        <f aca="false">MIN(BI19-BI20,BI9)</f>
        <v>0</v>
      </c>
      <c r="BJ10" s="19" t="n">
        <f aca="false">MIN(BJ19-BJ20,BJ9)</f>
        <v>0</v>
      </c>
      <c r="BK10" s="19" t="n">
        <f aca="false">MIN(BK19-BK20,BK9)</f>
        <v>0</v>
      </c>
      <c r="BL10" s="19" t="n">
        <f aca="false">MIN(BL19-BL20,BL9)</f>
        <v>0</v>
      </c>
      <c r="BM10" s="19" t="n">
        <f aca="false">MIN(BM19-BM20,BM9)</f>
        <v>0</v>
      </c>
      <c r="BN10" s="19" t="n">
        <f aca="false">MIN(BN19-BN20,BN9)</f>
        <v>0</v>
      </c>
      <c r="BO10" s="19" t="n">
        <f aca="false">MIN(BO19-BO20,BO9)</f>
        <v>0</v>
      </c>
      <c r="BP10" s="19" t="n">
        <f aca="false">MIN(BP19-BP20,BP9)</f>
        <v>0</v>
      </c>
      <c r="BQ10" s="19" t="n">
        <f aca="false">MIN(BQ19-BQ20,BQ9)</f>
        <v>0</v>
      </c>
      <c r="BR10" s="19" t="n">
        <f aca="false">MIN(BR19-BR20,BR9)</f>
        <v>0</v>
      </c>
      <c r="BS10" s="19" t="n">
        <f aca="false">MIN(BS19-BS20,BS9)</f>
        <v>0</v>
      </c>
      <c r="BT10" s="19" t="n">
        <f aca="false">MIN(BT19-BT20,BT9)</f>
        <v>0</v>
      </c>
      <c r="BU10" s="19" t="n">
        <f aca="false">MIN(BU19-BU20,BU9)</f>
        <v>0</v>
      </c>
      <c r="BV10" s="19" t="n">
        <f aca="false">MIN(BV19-BV20,BV9)</f>
        <v>0</v>
      </c>
      <c r="BW10" s="19" t="n">
        <f aca="false">MIN(BW19-BW20,BW9)</f>
        <v>0</v>
      </c>
      <c r="BX10" s="19" t="n">
        <f aca="false">MIN(BX19-BX20,BX9)</f>
        <v>0</v>
      </c>
      <c r="BY10" s="19" t="n">
        <f aca="false">MIN(BY19-BY20,BY9)</f>
        <v>0</v>
      </c>
      <c r="BZ10" s="19" t="n">
        <f aca="false">MIN(BZ19-BZ20,BZ9)</f>
        <v>0</v>
      </c>
      <c r="CA10" s="19" t="n">
        <f aca="false">MIN(CA19-CA20,CA9)</f>
        <v>0</v>
      </c>
      <c r="CB10" s="19" t="n">
        <f aca="false">MIN(CB19-CB20,CB9)</f>
        <v>0</v>
      </c>
      <c r="CC10" s="19" t="n">
        <f aca="false">MIN(CC19-CC20,CC9)</f>
        <v>0</v>
      </c>
      <c r="CD10" s="19" t="n">
        <f aca="false">MIN(CD19-CD20,CD9)</f>
        <v>0</v>
      </c>
      <c r="CE10" s="19" t="n">
        <f aca="false">MIN(CE19-CE20,CE9)</f>
        <v>0</v>
      </c>
      <c r="CF10" s="19" t="n">
        <f aca="false">MIN(CF19-CF20,CF9)</f>
        <v>0</v>
      </c>
      <c r="CG10" s="19" t="n">
        <f aca="false">MIN(CG19-CG20,CG9)</f>
        <v>0</v>
      </c>
      <c r="CH10" s="19" t="n">
        <f aca="false">MIN(CH19-CH20,CH9)</f>
        <v>0</v>
      </c>
      <c r="CI10" s="19" t="n">
        <f aca="false">MIN(CI19-CI20,CI9)</f>
        <v>0</v>
      </c>
      <c r="CJ10" s="19" t="n">
        <f aca="false">MIN(CJ19-CJ20,CJ9)</f>
        <v>0</v>
      </c>
      <c r="CK10" s="19" t="n">
        <f aca="false">MIN(CK19-CK20,CK9)</f>
        <v>0</v>
      </c>
      <c r="CL10" s="19" t="n">
        <f aca="false">MIN(CL19-CL20,CL9)</f>
        <v>0</v>
      </c>
      <c r="CM10" s="19" t="n">
        <f aca="false">MIN(CM19-CM20,CM9)</f>
        <v>0</v>
      </c>
      <c r="CN10" s="19" t="n">
        <f aca="false">MIN(CN19-CN20,CN9)</f>
        <v>0</v>
      </c>
      <c r="CO10" s="19" t="n">
        <f aca="false">MIN(CO19-CO20,CO9)</f>
        <v>0</v>
      </c>
      <c r="CP10" s="19" t="n">
        <f aca="false">MIN(CP19-CP20,CP9)</f>
        <v>0</v>
      </c>
      <c r="CQ10" s="19" t="n">
        <f aca="false">MIN(CQ19-CQ20,CQ9)</f>
        <v>0</v>
      </c>
      <c r="CR10" s="19" t="n">
        <f aca="false">MIN(CR19-CR20,CR9)</f>
        <v>0</v>
      </c>
      <c r="CS10" s="19" t="n">
        <f aca="false">MIN(CS19-CS20,CS9)</f>
        <v>0</v>
      </c>
      <c r="CT10" s="19" t="n">
        <f aca="false">MIN(CT19-CT20,CT9)</f>
        <v>0</v>
      </c>
      <c r="CU10" s="19" t="n">
        <f aca="false">MIN(CU19-CU20,CU9)</f>
        <v>0</v>
      </c>
      <c r="CV10" s="19" t="n">
        <f aca="false">MIN(CV19-CV20,CV9)</f>
        <v>0</v>
      </c>
      <c r="CW10" s="19" t="n">
        <f aca="false">MIN(CW19-CW20,CW9)</f>
        <v>0</v>
      </c>
      <c r="CX10" s="19" t="n">
        <f aca="false">MIN(CX19-CX20,CX9)</f>
        <v>0</v>
      </c>
      <c r="CY10" s="19" t="n">
        <f aca="false">MIN(CY19-CY20,CY9)</f>
        <v>0</v>
      </c>
      <c r="CZ10" s="19" t="n">
        <f aca="false">MIN(CZ19-CZ20,CZ9)</f>
        <v>0</v>
      </c>
      <c r="DA10" s="19" t="n">
        <f aca="false">MIN(DA19-DA20,DA9)</f>
        <v>0</v>
      </c>
      <c r="DB10" s="19" t="n">
        <f aca="false">MIN(DB19-DB20,DB9)</f>
        <v>0</v>
      </c>
    </row>
    <row r="11" customFormat="false" ht="15" hidden="false" customHeight="false" outlineLevel="0" collapsed="false">
      <c r="D11" s="0" t="s">
        <v>423</v>
      </c>
      <c r="E11" s="0" t="s">
        <v>44</v>
      </c>
      <c r="J11" s="19" t="n">
        <f aca="false">J9-J10</f>
        <v>73.4145412566294</v>
      </c>
      <c r="K11" s="19" t="n">
        <f aca="false">K9-K10</f>
        <v>104.993166624136</v>
      </c>
      <c r="L11" s="19" t="n">
        <f aca="false">L9-L10</f>
        <v>168.757442449475</v>
      </c>
      <c r="M11" s="19" t="n">
        <f aca="false">M9-M10</f>
        <v>270.511780998115</v>
      </c>
      <c r="N11" s="19" t="n">
        <f aca="false">N9-N10</f>
        <v>410.610336266944</v>
      </c>
      <c r="O11" s="19" t="n">
        <f aca="false">O9-O10</f>
        <v>584.714108113076</v>
      </c>
      <c r="P11" s="19" t="n">
        <f aca="false">P9-P10</f>
        <v>782.996680656637</v>
      </c>
      <c r="Q11" s="19" t="n">
        <f aca="false">Q9-Q10</f>
        <v>994.625079739039</v>
      </c>
      <c r="R11" s="19" t="n">
        <f aca="false">R9-R10</f>
        <v>1210.79192273031</v>
      </c>
      <c r="S11" s="19" t="n">
        <f aca="false">S9-S10</f>
        <v>1414.68140803179</v>
      </c>
      <c r="T11" s="19" t="n">
        <f aca="false">T9-T10</f>
        <v>1597.81100902498</v>
      </c>
      <c r="U11" s="19" t="n">
        <f aca="false">U9-U10</f>
        <v>1751.14319791677</v>
      </c>
      <c r="V11" s="19" t="n">
        <f aca="false">V9-V10</f>
        <v>1870.04506887395</v>
      </c>
      <c r="W11" s="19" t="n">
        <f aca="false">W9-W10</f>
        <v>1953.75987546496</v>
      </c>
      <c r="X11" s="19" t="n">
        <f aca="false">X9-X10</f>
        <v>2006.88584622423</v>
      </c>
      <c r="Y11" s="19" t="n">
        <f aca="false">Y9-Y10</f>
        <v>1837.20528045823</v>
      </c>
      <c r="Z11" s="19" t="n">
        <f aca="false">Z9-Z10</f>
        <v>1823.80362270098</v>
      </c>
      <c r="AA11" s="19" t="n">
        <f aca="false">AA9-AA10</f>
        <v>1796.70576525775</v>
      </c>
      <c r="AB11" s="19" t="n">
        <f aca="false">AB9-AB10</f>
        <v>1769.90244974325</v>
      </c>
      <c r="AC11" s="19" t="n">
        <f aca="false">AC9-AC10</f>
        <v>1742.80459230001</v>
      </c>
      <c r="AD11" s="19" t="n">
        <f aca="false">AD9-AD10</f>
        <v>1716.14854774988</v>
      </c>
      <c r="AE11" s="19" t="n">
        <f aca="false">AE9-AE10</f>
        <v>1689.05069030665</v>
      </c>
      <c r="AF11" s="19" t="n">
        <f aca="false">AF9-AF10</f>
        <v>1662.39464575651</v>
      </c>
      <c r="AG11" s="19" t="n">
        <f aca="false">AG9-AG10</f>
        <v>1635.29678831328</v>
      </c>
      <c r="AH11" s="19" t="n">
        <f aca="false">AH9-AH10</f>
        <v>1608.64074376314</v>
      </c>
      <c r="AI11" s="19" t="n">
        <f aca="false">AI9-AI10</f>
        <v>1581.54288631991</v>
      </c>
      <c r="AJ11" s="19" t="n">
        <f aca="false">AJ9-AJ10</f>
        <v>1554.73957080541</v>
      </c>
      <c r="AK11" s="19" t="n">
        <f aca="false">AK9-AK10</f>
        <v>1527.64171336218</v>
      </c>
      <c r="AL11" s="19" t="n">
        <f aca="false">AL9-AL10</f>
        <v>1500.98566881204</v>
      </c>
      <c r="AM11" s="19" t="n">
        <f aca="false">AM9-AM10</f>
        <v>1473.88781136881</v>
      </c>
      <c r="AN11" s="19" t="n">
        <f aca="false">AN9-AN10</f>
        <v>1447.23176681868</v>
      </c>
      <c r="AO11" s="19" t="n">
        <f aca="false">AO9-AO10</f>
        <v>1420.13390937545</v>
      </c>
      <c r="AP11" s="19" t="n">
        <f aca="false">AP9-AP10</f>
        <v>1393.47786482531</v>
      </c>
      <c r="AQ11" s="19" t="n">
        <f aca="false">AQ9-AQ10</f>
        <v>1366.38000738208</v>
      </c>
      <c r="AR11" s="19" t="n">
        <f aca="false">AR9-AR10</f>
        <v>1339.57669186758</v>
      </c>
      <c r="AS11" s="19" t="n">
        <f aca="false">AS9-AS10</f>
        <v>1312.47883442435</v>
      </c>
      <c r="AT11" s="19" t="n">
        <f aca="false">AT9-AT10</f>
        <v>1285.82278987421</v>
      </c>
      <c r="AU11" s="19" t="n">
        <f aca="false">AU9-AU10</f>
        <v>1258.72493243098</v>
      </c>
      <c r="AV11" s="19" t="n">
        <f aca="false">AV9-AV10</f>
        <v>1232.06888788084</v>
      </c>
      <c r="AW11" s="19" t="n">
        <f aca="false">AW9-AW10</f>
        <v>1204.97103043761</v>
      </c>
      <c r="AX11" s="19" t="n">
        <f aca="false">AX9-AX10</f>
        <v>1178.31498588748</v>
      </c>
      <c r="AY11" s="19" t="n">
        <f aca="false">AY9-AY10</f>
        <v>1151.21712844425</v>
      </c>
      <c r="AZ11" s="19" t="n">
        <f aca="false">AZ9-AZ10</f>
        <v>1124.41381292975</v>
      </c>
      <c r="BA11" s="19" t="n">
        <f aca="false">BA9-BA10</f>
        <v>1097.31595548651</v>
      </c>
      <c r="BB11" s="19" t="n">
        <f aca="false">BB9-BB10</f>
        <v>1070.65991093638</v>
      </c>
      <c r="BC11" s="19" t="n">
        <f aca="false">BC9-BC10</f>
        <v>1043.56205349315</v>
      </c>
      <c r="BD11" s="19" t="n">
        <f aca="false">BD9-BD10</f>
        <v>1016.90600894301</v>
      </c>
      <c r="BE11" s="19" t="n">
        <f aca="false">BE9-BE10</f>
        <v>989.80815149978</v>
      </c>
      <c r="BF11" s="19" t="n">
        <f aca="false">BF9-BF10</f>
        <v>963.152106949644</v>
      </c>
      <c r="BG11" s="19" t="n">
        <f aca="false">BG9-BG10</f>
        <v>936.054249506413</v>
      </c>
      <c r="BH11" s="19" t="n">
        <f aca="false">BH9-BH10</f>
        <v>909.250933991912</v>
      </c>
      <c r="BI11" s="19" t="n">
        <f aca="false">BI9-BI10</f>
        <v>882.153076548681</v>
      </c>
      <c r="BJ11" s="19" t="n">
        <f aca="false">BJ9-BJ10</f>
        <v>855.497031998545</v>
      </c>
      <c r="BK11" s="19" t="n">
        <f aca="false">BK9-BK10</f>
        <v>828.399174555314</v>
      </c>
      <c r="BL11" s="19" t="n">
        <f aca="false">BL9-BL10</f>
        <v>801.743130005178</v>
      </c>
      <c r="BM11" s="19" t="n">
        <f aca="false">BM9-BM10</f>
        <v>774.645272561947</v>
      </c>
      <c r="BN11" s="19" t="n">
        <f aca="false">BN9-BN10</f>
        <v>747.989228011811</v>
      </c>
      <c r="BO11" s="19" t="n">
        <f aca="false">BO9-BO10</f>
        <v>720.89137056858</v>
      </c>
      <c r="BP11" s="19" t="n">
        <f aca="false">BP9-BP10</f>
        <v>694.088055054079</v>
      </c>
      <c r="BQ11" s="19" t="n">
        <f aca="false">BQ9-BQ10</f>
        <v>666.990197610847</v>
      </c>
      <c r="BR11" s="19" t="n">
        <f aca="false">BR9-BR10</f>
        <v>640.334153060712</v>
      </c>
      <c r="BS11" s="19" t="n">
        <f aca="false">BS9-BS10</f>
        <v>613.23629561748</v>
      </c>
      <c r="BT11" s="19" t="n">
        <f aca="false">BT9-BT10</f>
        <v>586.580251067345</v>
      </c>
      <c r="BU11" s="19" t="n">
        <f aca="false">BU9-BU10</f>
        <v>559.482393624113</v>
      </c>
      <c r="BV11" s="19" t="n">
        <f aca="false">BV9-BV10</f>
        <v>532.826349073978</v>
      </c>
      <c r="BW11" s="19" t="n">
        <f aca="false">BW9-BW10</f>
        <v>505.728491630746</v>
      </c>
      <c r="BX11" s="19" t="n">
        <f aca="false">BX9-BX10</f>
        <v>478.925176116245</v>
      </c>
      <c r="BY11" s="19" t="n">
        <f aca="false">BY9-BY10</f>
        <v>451.827318673014</v>
      </c>
      <c r="BZ11" s="19" t="n">
        <f aca="false">BZ9-BZ10</f>
        <v>425.171274122878</v>
      </c>
      <c r="CA11" s="19" t="n">
        <f aca="false">CA9-CA10</f>
        <v>398.073416679647</v>
      </c>
      <c r="CB11" s="19" t="n">
        <f aca="false">CB9-CB10</f>
        <v>371.417372129511</v>
      </c>
      <c r="CC11" s="19" t="n">
        <f aca="false">CC9-CC10</f>
        <v>344.31951468628</v>
      </c>
      <c r="CD11" s="19" t="n">
        <f aca="false">CD9-CD10</f>
        <v>317.663470136144</v>
      </c>
      <c r="CE11" s="19" t="n">
        <f aca="false">CE9-CE10</f>
        <v>290.565612692913</v>
      </c>
      <c r="CF11" s="19" t="n">
        <f aca="false">CF9-CF10</f>
        <v>263.762297178412</v>
      </c>
      <c r="CG11" s="19" t="n">
        <f aca="false">CG9-CG10</f>
        <v>236.66443973518</v>
      </c>
      <c r="CH11" s="19" t="n">
        <f aca="false">CH9-CH10</f>
        <v>210.008395185045</v>
      </c>
      <c r="CI11" s="19" t="n">
        <f aca="false">CI9-CI10</f>
        <v>182.910537741813</v>
      </c>
      <c r="CJ11" s="19" t="n">
        <f aca="false">CJ9-CJ10</f>
        <v>156.254493191678</v>
      </c>
      <c r="CK11" s="19" t="n">
        <f aca="false">CK9-CK10</f>
        <v>129.156635748446</v>
      </c>
      <c r="CL11" s="19" t="n">
        <f aca="false">CL9-CL10</f>
        <v>102.500591198311</v>
      </c>
      <c r="CM11" s="19" t="n">
        <f aca="false">CM9-CM10</f>
        <v>75.4027337550792</v>
      </c>
      <c r="CN11" s="19" t="n">
        <f aca="false">CN9-CN10</f>
        <v>48.5994182405784</v>
      </c>
      <c r="CO11" s="19" t="n">
        <f aca="false">CO9-CO10</f>
        <v>21.5015607973468</v>
      </c>
      <c r="CP11" s="19" t="n">
        <f aca="false">CP9-CP10</f>
        <v>0</v>
      </c>
      <c r="CQ11" s="19" t="n">
        <f aca="false">CQ9-CQ10</f>
        <v>0</v>
      </c>
      <c r="CR11" s="19" t="n">
        <f aca="false">CR9-CR10</f>
        <v>0</v>
      </c>
      <c r="CS11" s="19" t="n">
        <f aca="false">CS9-CS10</f>
        <v>0</v>
      </c>
      <c r="CT11" s="19" t="n">
        <f aca="false">CT9-CT10</f>
        <v>0</v>
      </c>
      <c r="CU11" s="19" t="n">
        <f aca="false">CU9-CU10</f>
        <v>0</v>
      </c>
      <c r="CV11" s="19" t="n">
        <f aca="false">CV9-CV10</f>
        <v>0</v>
      </c>
      <c r="CW11" s="19" t="n">
        <f aca="false">CW9-CW10</f>
        <v>0</v>
      </c>
      <c r="CX11" s="19" t="n">
        <f aca="false">CX9-CX10</f>
        <v>0</v>
      </c>
      <c r="CY11" s="19" t="n">
        <f aca="false">CY9-CY10</f>
        <v>0</v>
      </c>
      <c r="CZ11" s="19" t="n">
        <f aca="false">CZ9-CZ10</f>
        <v>0</v>
      </c>
      <c r="DA11" s="19" t="n">
        <f aca="false">DA9-DA10</f>
        <v>0</v>
      </c>
      <c r="DB11" s="19" t="n">
        <f aca="false">DB9-DB10</f>
        <v>0</v>
      </c>
    </row>
    <row r="12" customFormat="false" ht="15" hidden="false" customHeight="false" outlineLevel="0" collapsed="false">
      <c r="D12" s="3" t="s">
        <v>424</v>
      </c>
    </row>
    <row r="13" customFormat="false" ht="15" hidden="false" customHeight="false" outlineLevel="0" collapsed="false">
      <c r="D13" s="0" t="s">
        <v>425</v>
      </c>
      <c r="E13" s="0" t="s">
        <v>44</v>
      </c>
      <c r="G13" s="19" t="n">
        <f aca="false">SUM(J13:DB13)</f>
        <v>458.742054030959</v>
      </c>
      <c r="J13" s="19" t="n">
        <f aca="false">Debt!J97*(1-Time!J20)</f>
        <v>0</v>
      </c>
      <c r="K13" s="19" t="n">
        <f aca="false">Debt!K97*(1-Time!K20)</f>
        <v>0</v>
      </c>
      <c r="L13" s="19" t="n">
        <f aca="false">Debt!L97*(1-Time!L20)</f>
        <v>0</v>
      </c>
      <c r="M13" s="19" t="n">
        <f aca="false">Debt!M97*(1-Time!M20)</f>
        <v>0</v>
      </c>
      <c r="N13" s="19" t="n">
        <f aca="false">Debt!N97*(1-Time!N20)</f>
        <v>0</v>
      </c>
      <c r="O13" s="19" t="n">
        <f aca="false">Debt!O97*(1-Time!O20)</f>
        <v>0</v>
      </c>
      <c r="P13" s="19" t="n">
        <f aca="false">Debt!P97*(1-Time!P20)</f>
        <v>0</v>
      </c>
      <c r="Q13" s="19" t="n">
        <f aca="false">Debt!Q97*(1-Time!Q20)</f>
        <v>0</v>
      </c>
      <c r="R13" s="19" t="n">
        <f aca="false">Debt!R97*(1-Time!R20)</f>
        <v>0</v>
      </c>
      <c r="S13" s="19" t="n">
        <f aca="false">Debt!S97*(1-Time!S20)</f>
        <v>0</v>
      </c>
      <c r="T13" s="19" t="n">
        <f aca="false">Debt!T97*(1-Time!T20)</f>
        <v>0</v>
      </c>
      <c r="U13" s="19" t="n">
        <f aca="false">Debt!U97*(1-Time!U20)</f>
        <v>0</v>
      </c>
      <c r="V13" s="19" t="n">
        <f aca="false">Debt!V97*(1-Time!V20)</f>
        <v>0</v>
      </c>
      <c r="W13" s="19" t="n">
        <f aca="false">Debt!W97*(1-Time!W20)</f>
        <v>0</v>
      </c>
      <c r="X13" s="19" t="n">
        <f aca="false">Debt!X97*(1-Time!X20)</f>
        <v>0</v>
      </c>
      <c r="Y13" s="19" t="n">
        <f aca="false">Debt!Y97*(1-Time!Y20)</f>
        <v>0</v>
      </c>
      <c r="Z13" s="19" t="n">
        <f aca="false">Debt!Z97*(1-Time!Z20)</f>
        <v>3.7231217613133</v>
      </c>
      <c r="AA13" s="19" t="n">
        <f aca="false">Debt!AA97*(1-Time!AA20)</f>
        <v>7.58550233278359</v>
      </c>
      <c r="AB13" s="19" t="n">
        <f aca="false">Debt!AB97*(1-Time!AB20)</f>
        <v>7.61879143853029</v>
      </c>
      <c r="AC13" s="19" t="n">
        <f aca="false">Debt!AC97*(1-Time!AC20)</f>
        <v>7.82004001949594</v>
      </c>
      <c r="AD13" s="19" t="n">
        <f aca="false">Debt!AD97*(1-Time!AD20)</f>
        <v>7.81120258248904</v>
      </c>
      <c r="AE13" s="19" t="n">
        <f aca="false">Debt!AE97*(1-Time!AE20)</f>
        <v>8.06116371359516</v>
      </c>
      <c r="AF13" s="19" t="n">
        <f aca="false">Debt!AF97*(1-Time!AF20)</f>
        <v>8.05205378239997</v>
      </c>
      <c r="AG13" s="19" t="n">
        <f aca="false">Debt!AG97*(1-Time!AG20)</f>
        <v>8.30972223356626</v>
      </c>
      <c r="AH13" s="19" t="n">
        <f aca="false">Debt!AH97*(1-Time!AH20)</f>
        <v>8.30033140607677</v>
      </c>
      <c r="AI13" s="19" t="n">
        <f aca="false">Debt!AI97*(1-Time!AI20)</f>
        <v>8.56594482538173</v>
      </c>
      <c r="AJ13" s="19" t="n">
        <f aca="false">Debt!AJ97*(1-Time!AJ20)</f>
        <v>8.6035366196496</v>
      </c>
      <c r="AK13" s="19" t="n">
        <f aca="false">Debt!AK97*(1-Time!AK20)</f>
        <v>8.74649961478464</v>
      </c>
      <c r="AL13" s="19" t="n">
        <f aca="false">Debt!AL97*(1-Time!AL20)</f>
        <v>8.60389364280446</v>
      </c>
      <c r="AM13" s="19" t="n">
        <f aca="false">Debt!AM97*(1-Time!AM20)</f>
        <v>8.74649961478464</v>
      </c>
      <c r="AN13" s="19" t="n">
        <f aca="false">Debt!AN97*(1-Time!AN20)</f>
        <v>8.60389364280446</v>
      </c>
      <c r="AO13" s="19" t="n">
        <f aca="false">Debt!AO97*(1-Time!AO20)</f>
        <v>8.74649961478464</v>
      </c>
      <c r="AP13" s="19" t="n">
        <f aca="false">Debt!AP97*(1-Time!AP20)</f>
        <v>8.60389364280446</v>
      </c>
      <c r="AQ13" s="19" t="n">
        <f aca="false">Debt!AQ97*(1-Time!AQ20)</f>
        <v>8.74329535321856</v>
      </c>
      <c r="AR13" s="19" t="n">
        <f aca="false">Debt!AR97*(1-Time!AR20)</f>
        <v>8.64825953416183</v>
      </c>
      <c r="AS13" s="19" t="n">
        <f aca="false">Debt!AS97*(1-Time!AS20)</f>
        <v>8.74329535321856</v>
      </c>
      <c r="AT13" s="19" t="n">
        <f aca="false">Debt!AT97*(1-Time!AT20)</f>
        <v>8.60074162463347</v>
      </c>
      <c r="AU13" s="19" t="n">
        <f aca="false">Debt!AU97*(1-Time!AU20)</f>
        <v>8.74329535321856</v>
      </c>
      <c r="AV13" s="19" t="n">
        <f aca="false">Debt!AV97*(1-Time!AV20)</f>
        <v>8.59497271000485</v>
      </c>
      <c r="AW13" s="19" t="n">
        <f aca="false">Debt!AW97*(1-Time!AW20)</f>
        <v>8.724889936327</v>
      </c>
      <c r="AX13" s="19" t="n">
        <f aca="false">Debt!AX97*(1-Time!AX20)</f>
        <v>8.55990447167832</v>
      </c>
      <c r="AY13" s="19" t="n">
        <f aca="false">Debt!AY97*(1-Time!AY20)</f>
        <v>8.67549523339514</v>
      </c>
      <c r="AZ13" s="19" t="n">
        <f aca="false">Debt!AZ97*(1-Time!AZ20)</f>
        <v>8.5580567552623</v>
      </c>
      <c r="BA13" s="19" t="n">
        <f aca="false">Debt!BA97*(1-Time!BA20)</f>
        <v>8.62519561249878</v>
      </c>
      <c r="BB13" s="19" t="n">
        <f aca="false">Debt!BB97*(1-Time!BB20)</f>
        <v>8.45178195579913</v>
      </c>
      <c r="BC13" s="19" t="n">
        <f aca="false">Debt!BC97*(1-Time!BC20)</f>
        <v>8.555165260505</v>
      </c>
      <c r="BD13" s="19" t="n">
        <f aca="false">Debt!BD97*(1-Time!BD20)</f>
        <v>8.35307586357991</v>
      </c>
      <c r="BE13" s="19" t="n">
        <f aca="false">Debt!BE97*(1-Time!BE20)</f>
        <v>8.42403124596566</v>
      </c>
      <c r="BF13" s="19" t="n">
        <f aca="false">Debt!BF97*(1-Time!BF20)</f>
        <v>8.20302355584226</v>
      </c>
      <c r="BG13" s="19" t="n">
        <f aca="false">Debt!BG97*(1-Time!BG20)</f>
        <v>8.24975529450072</v>
      </c>
      <c r="BH13" s="19" t="n">
        <f aca="false">Debt!BH97*(1-Time!BH20)</f>
        <v>8.0628696309447</v>
      </c>
      <c r="BI13" s="19" t="n">
        <f aca="false">Debt!BI97*(1-Time!BI20)</f>
        <v>8.04824640285074</v>
      </c>
      <c r="BJ13" s="19" t="n">
        <f aca="false">Debt!BJ97*(1-Time!BJ20)</f>
        <v>7.80639477033098</v>
      </c>
      <c r="BK13" s="19" t="n">
        <f aca="false">Debt!BK97*(1-Time!BK20)</f>
        <v>7.81873655568223</v>
      </c>
      <c r="BL13" s="19" t="n">
        <f aca="false">Debt!BL97*(1-Time!BL20)</f>
        <v>7.56570916075323</v>
      </c>
      <c r="BM13" s="19" t="n">
        <f aca="false">Debt!BM97*(1-Time!BM20)</f>
        <v>7.55868004703973</v>
      </c>
      <c r="BN13" s="19" t="n">
        <f aca="false">Debt!BN97*(1-Time!BN20)</f>
        <v>7.29404059134228</v>
      </c>
      <c r="BO13" s="19" t="n">
        <f aca="false">Debt!BO97*(1-Time!BO20)</f>
        <v>7.26617604825955</v>
      </c>
      <c r="BP13" s="19" t="n">
        <f aca="false">Debt!BP97*(1-Time!BP20)</f>
        <v>7.07149773317786</v>
      </c>
      <c r="BQ13" s="19" t="n">
        <f aca="false">Debt!BQ97*(1-Time!BQ20)</f>
        <v>7.02673672508123</v>
      </c>
      <c r="BR13" s="19" t="n">
        <f aca="false">Debt!BR97*(1-Time!BR20)</f>
        <v>6.78038866287518</v>
      </c>
      <c r="BS13" s="19" t="n">
        <f aca="false">Debt!BS97*(1-Time!BS20)</f>
        <v>6.75699867754839</v>
      </c>
      <c r="BT13" s="19" t="n">
        <f aca="false">Debt!BT97*(1-Time!BT20)</f>
        <v>6.50057535940727</v>
      </c>
      <c r="BU13" s="19" t="n">
        <f aca="false">Debt!BU97*(1-Time!BU20)</f>
        <v>6.45774677652234</v>
      </c>
      <c r="BV13" s="19" t="n">
        <f aca="false">Debt!BV97*(1-Time!BV20)</f>
        <v>6.14764134777187</v>
      </c>
      <c r="BW13" s="19" t="n">
        <f aca="false">Debt!BW97*(1-Time!BW20)</f>
        <v>6.03867350302635</v>
      </c>
      <c r="BX13" s="19" t="n">
        <f aca="false">Debt!BX97*(1-Time!BX20)</f>
        <v>5.74947797523458</v>
      </c>
      <c r="BY13" s="19" t="n">
        <f aca="false">Debt!BY97*(1-Time!BY20)</f>
        <v>5.58263722465616</v>
      </c>
      <c r="BZ13" s="19" t="n">
        <f aca="false">Debt!BZ97*(1-Time!BZ20)</f>
        <v>5.25081231577388</v>
      </c>
      <c r="CA13" s="19" t="n">
        <f aca="false">Debt!CA97*(1-Time!CA20)</f>
        <v>5.09021013387461</v>
      </c>
      <c r="CB13" s="19" t="n">
        <f aca="false">Debt!CB97*(1-Time!CB20)</f>
        <v>4.77490671037659</v>
      </c>
      <c r="CC13" s="19" t="n">
        <f aca="false">Debt!CC97*(1-Time!CC20)</f>
        <v>4.61538404282919</v>
      </c>
      <c r="CD13" s="19" t="n">
        <f aca="false">Debt!CD97*(1-Time!CD20)</f>
        <v>4.28823650115206</v>
      </c>
      <c r="CE13" s="19" t="n">
        <f aca="false">Debt!CE97*(1-Time!CE20)</f>
        <v>4.10063636231654</v>
      </c>
      <c r="CF13" s="19" t="n">
        <f aca="false">Debt!CF97*(1-Time!CF20)</f>
        <v>3.7956393008625</v>
      </c>
      <c r="CG13" s="19" t="n">
        <f aca="false">Debt!CG97*(1-Time!CG20)</f>
        <v>3.60903296015561</v>
      </c>
      <c r="CH13" s="19" t="n">
        <f aca="false">Debt!CH97*(1-Time!CH20)</f>
        <v>3.30428821969449</v>
      </c>
      <c r="CI13" s="19" t="n">
        <f aca="false">Debt!CI97*(1-Time!CI20)</f>
        <v>3.00983560802809</v>
      </c>
      <c r="CJ13" s="19" t="n">
        <f aca="false">Debt!CJ97*(1-Time!CJ20)</f>
        <v>2.59457849131272</v>
      </c>
      <c r="CK13" s="19" t="n">
        <f aca="false">Debt!CK97*(1-Time!CK20)</f>
        <v>2.26352979480138</v>
      </c>
      <c r="CL13" s="19" t="n">
        <f aca="false">Debt!CL97*(1-Time!CL20)</f>
        <v>1.7742665245515</v>
      </c>
      <c r="CM13" s="19" t="n">
        <f aca="false">Debt!CM97*(1-Time!CM20)</f>
        <v>1.38070291609247</v>
      </c>
      <c r="CN13" s="19" t="n">
        <f aca="false">Debt!CN97*(1-Time!CN20)</f>
        <v>0.921787079899351</v>
      </c>
      <c r="CO13" s="19" t="n">
        <f aca="false">Debt!CO97*(1-Time!CO20)</f>
        <v>0.478154274874783</v>
      </c>
      <c r="CP13" s="19" t="n">
        <f aca="false">Debt!CP97*(1-Time!CP20)</f>
        <v>0</v>
      </c>
      <c r="CQ13" s="19" t="n">
        <f aca="false">Debt!CQ97*(1-Time!CQ20)</f>
        <v>0</v>
      </c>
      <c r="CR13" s="19" t="n">
        <f aca="false">Debt!CR97*(1-Time!CR20)</f>
        <v>0</v>
      </c>
      <c r="CS13" s="19" t="n">
        <f aca="false">Debt!CS97*(1-Time!CS20)</f>
        <v>0</v>
      </c>
      <c r="CT13" s="19" t="n">
        <f aca="false">Debt!CT97*(1-Time!CT20)</f>
        <v>0</v>
      </c>
      <c r="CU13" s="19" t="n">
        <f aca="false">Debt!CU97*(1-Time!CU20)</f>
        <v>0</v>
      </c>
      <c r="CV13" s="19" t="n">
        <f aca="false">Debt!CV97*(1-Time!CV20)</f>
        <v>0</v>
      </c>
      <c r="CW13" s="19" t="n">
        <f aca="false">Debt!CW97*(1-Time!CW20)</f>
        <v>0</v>
      </c>
      <c r="CX13" s="19" t="n">
        <f aca="false">Debt!CX97*(1-Time!CX20)</f>
        <v>0</v>
      </c>
      <c r="CY13" s="19" t="n">
        <f aca="false">Debt!CY97*(1-Time!CY20)</f>
        <v>0</v>
      </c>
      <c r="CZ13" s="19" t="n">
        <f aca="false">Debt!CZ97*(1-Time!CZ20)</f>
        <v>0</v>
      </c>
      <c r="DA13" s="19" t="n">
        <f aca="false">Debt!DA97*(1-Time!DA20)</f>
        <v>0</v>
      </c>
      <c r="DB13" s="19" t="n">
        <f aca="false">Debt!DB97*(1-Time!DB20)</f>
        <v>0</v>
      </c>
    </row>
    <row r="14" customFormat="false" ht="15" hidden="false" customHeight="false" outlineLevel="0" collapsed="false">
      <c r="D14" s="0" t="s">
        <v>426</v>
      </c>
      <c r="E14" s="0" t="s">
        <v>44</v>
      </c>
      <c r="G14" s="19" t="n">
        <f aca="false">SUM(J14:DB14)</f>
        <v>815.685345087567</v>
      </c>
      <c r="J14" s="19" t="n">
        <f aca="false">Waterfall!J54*(1-Time!J20)</f>
        <v>0</v>
      </c>
      <c r="K14" s="19" t="n">
        <f aca="false">Waterfall!K54*(1-Time!K20)</f>
        <v>0</v>
      </c>
      <c r="L14" s="19" t="n">
        <f aca="false">Waterfall!L54*(1-Time!L20)</f>
        <v>0</v>
      </c>
      <c r="M14" s="19" t="n">
        <f aca="false">Waterfall!M54*(1-Time!M20)</f>
        <v>0</v>
      </c>
      <c r="N14" s="19" t="n">
        <f aca="false">Waterfall!N54*(1-Time!N20)</f>
        <v>0</v>
      </c>
      <c r="O14" s="19" t="n">
        <f aca="false">Waterfall!O54*(1-Time!O20)</f>
        <v>0</v>
      </c>
      <c r="P14" s="19" t="n">
        <f aca="false">Waterfall!P54*(1-Time!P20)</f>
        <v>0</v>
      </c>
      <c r="Q14" s="19" t="n">
        <f aca="false">Waterfall!Q54*(1-Time!Q20)</f>
        <v>0</v>
      </c>
      <c r="R14" s="19" t="n">
        <f aca="false">Waterfall!R54*(1-Time!R20)</f>
        <v>0</v>
      </c>
      <c r="S14" s="19" t="n">
        <f aca="false">Waterfall!S54*(1-Time!S20)</f>
        <v>0</v>
      </c>
      <c r="T14" s="19" t="n">
        <f aca="false">Waterfall!T54*(1-Time!T20)</f>
        <v>0</v>
      </c>
      <c r="U14" s="19" t="n">
        <f aca="false">Waterfall!U54*(1-Time!U20)</f>
        <v>0</v>
      </c>
      <c r="V14" s="19" t="n">
        <f aca="false">Waterfall!V54*(1-Time!V20)</f>
        <v>0</v>
      </c>
      <c r="W14" s="19" t="n">
        <f aca="false">Waterfall!W54*(1-Time!W20)</f>
        <v>0</v>
      </c>
      <c r="X14" s="19" t="n">
        <f aca="false">Waterfall!X54*(1-Time!X20)</f>
        <v>0</v>
      </c>
      <c r="Y14" s="19" t="n">
        <f aca="false">Waterfall!Y54*(1-Time!Y20)</f>
        <v>0</v>
      </c>
      <c r="Z14" s="19" t="n">
        <f aca="false">Waterfall!Z54*(1-Time!Z20)</f>
        <v>11.3517390543154</v>
      </c>
      <c r="AA14" s="19" t="n">
        <f aca="false">Waterfall!AA54*(1-Time!AA20)</f>
        <v>23.5395252312866</v>
      </c>
      <c r="AB14" s="19" t="n">
        <f aca="false">Waterfall!AB54*(1-Time!AB20)</f>
        <v>24.4867562873922</v>
      </c>
      <c r="AC14" s="19" t="n">
        <f aca="false">Waterfall!AC54*(1-Time!AC20)</f>
        <v>26.0211024078408</v>
      </c>
      <c r="AD14" s="19" t="n">
        <f aca="false">Waterfall!AD54*(1-Time!AD20)</f>
        <v>26.9194658579445</v>
      </c>
      <c r="AE14" s="19" t="n">
        <f aca="false">Waterfall!AE54*(1-Time!AE20)</f>
        <v>25.5394901966718</v>
      </c>
      <c r="AF14" s="19" t="n">
        <f aca="false">Waterfall!AF54*(1-Time!AF20)</f>
        <v>25.3968630978789</v>
      </c>
      <c r="AG14" s="19" t="n">
        <f aca="false">Waterfall!AG54*(1-Time!AG20)</f>
        <v>26.1681683150567</v>
      </c>
      <c r="AH14" s="19" t="n">
        <f aca="false">Waterfall!AH54*(1-Time!AH20)</f>
        <v>25.7408657529974</v>
      </c>
      <c r="AI14" s="19" t="n">
        <f aca="false">Waterfall!AI54*(1-Time!AI20)</f>
        <v>26.1048871932036</v>
      </c>
      <c r="AJ14" s="19" t="n">
        <f aca="false">Waterfall!AJ54*(1-Time!AJ20)</f>
        <v>25.8134745920762</v>
      </c>
      <c r="AK14" s="19" t="n">
        <f aca="false">Waterfall!AK54*(1-Time!AK20)</f>
        <v>26.2952373282903</v>
      </c>
      <c r="AL14" s="19" t="n">
        <f aca="false">Waterfall!AL54*(1-Time!AL20)</f>
        <v>26.1275462693136</v>
      </c>
      <c r="AM14" s="19" t="n">
        <f aca="false">Waterfall!AM54*(1-Time!AM20)</f>
        <v>26.7636526829583</v>
      </c>
      <c r="AN14" s="19" t="n">
        <f aca="false">Waterfall!AN54*(1-Time!AN20)</f>
        <v>26.4184573557488</v>
      </c>
      <c r="AO14" s="19" t="n">
        <f aca="false">Waterfall!AO54*(1-Time!AO20)</f>
        <v>26.8741078514255</v>
      </c>
      <c r="AP14" s="19" t="n">
        <f aca="false">Waterfall!AP54*(1-Time!AP20)</f>
        <v>26.1639177592749</v>
      </c>
      <c r="AQ14" s="19" t="n">
        <f aca="false">Waterfall!AQ54*(1-Time!AQ20)</f>
        <v>26.2343892873276</v>
      </c>
      <c r="AR14" s="19" t="n">
        <f aca="false">Waterfall!AR54*(1-Time!AR20)</f>
        <v>25.9525936261564</v>
      </c>
      <c r="AS14" s="19" t="n">
        <f aca="false">Waterfall!AS54*(1-Time!AS20)</f>
        <v>26.1414396420804</v>
      </c>
      <c r="AT14" s="19" t="n">
        <f aca="false">Waterfall!AT54*(1-Time!AT20)</f>
        <v>25.4779280930056</v>
      </c>
      <c r="AU14" s="19" t="n">
        <f aca="false">Waterfall!AU54*(1-Time!AU20)</f>
        <v>25.5559701010214</v>
      </c>
      <c r="AV14" s="19" t="n">
        <f aca="false">Waterfall!AV54*(1-Time!AV20)</f>
        <v>24.6452324337212</v>
      </c>
      <c r="AW14" s="19" t="n">
        <f aca="false">Waterfall!AW54*(1-Time!AW20)</f>
        <v>24.5469540091233</v>
      </c>
      <c r="AX14" s="19" t="n">
        <f aca="false">Waterfall!AX54*(1-Time!AX20)</f>
        <v>23.4012871707376</v>
      </c>
      <c r="AY14" s="19" t="n">
        <f aca="false">Waterfall!AY54*(1-Time!AY20)</f>
        <v>22.935989158151</v>
      </c>
      <c r="AZ14" s="19" t="n">
        <f aca="false">Waterfall!AZ54*(1-Time!AZ20)</f>
        <v>21.8339206899632</v>
      </c>
      <c r="BA14" s="19" t="n">
        <f aca="false">Waterfall!BA54*(1-Time!BA20)</f>
        <v>21.1657999550672</v>
      </c>
      <c r="BB14" s="19" t="n">
        <f aca="false">Waterfall!BB54*(1-Time!BB20)</f>
        <v>19.7451670341198</v>
      </c>
      <c r="BC14" s="19" t="n">
        <f aca="false">Waterfall!BC54*(1-Time!BC20)</f>
        <v>19.1099281176742</v>
      </c>
      <c r="BD14" s="19" t="n">
        <f aca="false">Waterfall!BD54*(1-Time!BD20)</f>
        <v>17.2852217381369</v>
      </c>
      <c r="BE14" s="19" t="n">
        <f aca="false">Waterfall!BE54*(1-Time!BE20)</f>
        <v>16.0608941130866</v>
      </c>
      <c r="BF14" s="19" t="n">
        <f aca="false">Waterfall!BF54*(1-Time!BF20)</f>
        <v>13.8948635963566</v>
      </c>
      <c r="BG14" s="19" t="n">
        <f aca="false">Waterfall!BG54*(1-Time!BG20)</f>
        <v>12.124668965952</v>
      </c>
      <c r="BH14" s="19" t="n">
        <f aca="false">Waterfall!BH54*(1-Time!BH20)</f>
        <v>9.73701016967504</v>
      </c>
      <c r="BI14" s="19" t="n">
        <f aca="false">Waterfall!BI54*(1-Time!BI20)</f>
        <v>7.45267012858329</v>
      </c>
      <c r="BJ14" s="19" t="n">
        <f aca="false">Waterfall!BJ54*(1-Time!BJ20)</f>
        <v>4.68228287493666</v>
      </c>
      <c r="BK14" s="19" t="n">
        <f aca="false">Waterfall!BK54*(1-Time!BK20)</f>
        <v>1.9758769490155</v>
      </c>
      <c r="BL14" s="19" t="n">
        <f aca="false">Waterfall!BL54*(1-Time!BL20)</f>
        <v>0</v>
      </c>
      <c r="BM14" s="19" t="n">
        <f aca="false">Waterfall!BM54*(1-Time!BM20)</f>
        <v>0</v>
      </c>
      <c r="BN14" s="19" t="n">
        <f aca="false">Waterfall!BN54*(1-Time!BN20)</f>
        <v>0</v>
      </c>
      <c r="BO14" s="19" t="n">
        <f aca="false">Waterfall!BO54*(1-Time!BO20)</f>
        <v>0</v>
      </c>
      <c r="BP14" s="19" t="n">
        <f aca="false">Waterfall!BP54*(1-Time!BP20)</f>
        <v>0</v>
      </c>
      <c r="BQ14" s="19" t="n">
        <f aca="false">Waterfall!BQ54*(1-Time!BQ20)</f>
        <v>0</v>
      </c>
      <c r="BR14" s="19" t="n">
        <f aca="false">Waterfall!BR54*(1-Time!BR20)</f>
        <v>0</v>
      </c>
      <c r="BS14" s="19" t="n">
        <f aca="false">Waterfall!BS54*(1-Time!BS20)</f>
        <v>0</v>
      </c>
      <c r="BT14" s="19" t="n">
        <f aca="false">Waterfall!BT54*(1-Time!BT20)</f>
        <v>0</v>
      </c>
      <c r="BU14" s="19" t="n">
        <f aca="false">Waterfall!BU54*(1-Time!BU20)</f>
        <v>0</v>
      </c>
      <c r="BV14" s="19" t="n">
        <f aca="false">Waterfall!BV54*(1-Time!BV20)</f>
        <v>0</v>
      </c>
      <c r="BW14" s="19" t="n">
        <f aca="false">Waterfall!BW54*(1-Time!BW20)</f>
        <v>0</v>
      </c>
      <c r="BX14" s="19" t="n">
        <f aca="false">Waterfall!BX54*(1-Time!BX20)</f>
        <v>0</v>
      </c>
      <c r="BY14" s="19" t="n">
        <f aca="false">Waterfall!BY54*(1-Time!BY20)</f>
        <v>0</v>
      </c>
      <c r="BZ14" s="19" t="n">
        <f aca="false">Waterfall!BZ54*(1-Time!BZ20)</f>
        <v>0</v>
      </c>
      <c r="CA14" s="19" t="n">
        <f aca="false">Waterfall!CA54*(1-Time!CA20)</f>
        <v>0</v>
      </c>
      <c r="CB14" s="19" t="n">
        <f aca="false">Waterfall!CB54*(1-Time!CB20)</f>
        <v>0</v>
      </c>
      <c r="CC14" s="19" t="n">
        <f aca="false">Waterfall!CC54*(1-Time!CC20)</f>
        <v>0</v>
      </c>
      <c r="CD14" s="19" t="n">
        <f aca="false">Waterfall!CD54*(1-Time!CD20)</f>
        <v>0</v>
      </c>
      <c r="CE14" s="19" t="n">
        <f aca="false">Waterfall!CE54*(1-Time!CE20)</f>
        <v>0</v>
      </c>
      <c r="CF14" s="19" t="n">
        <f aca="false">Waterfall!CF54*(1-Time!CF20)</f>
        <v>0</v>
      </c>
      <c r="CG14" s="19" t="n">
        <f aca="false">Waterfall!CG54*(1-Time!CG20)</f>
        <v>0</v>
      </c>
      <c r="CH14" s="19" t="n">
        <f aca="false">Waterfall!CH54*(1-Time!CH20)</f>
        <v>0</v>
      </c>
      <c r="CI14" s="19" t="n">
        <f aca="false">Waterfall!CI54*(1-Time!CI20)</f>
        <v>0</v>
      </c>
      <c r="CJ14" s="19" t="n">
        <f aca="false">Waterfall!CJ54*(1-Time!CJ20)</f>
        <v>0</v>
      </c>
      <c r="CK14" s="19" t="n">
        <f aca="false">Waterfall!CK54*(1-Time!CK20)</f>
        <v>0</v>
      </c>
      <c r="CL14" s="19" t="n">
        <f aca="false">Waterfall!CL54*(1-Time!CL20)</f>
        <v>0</v>
      </c>
      <c r="CM14" s="19" t="n">
        <f aca="false">Waterfall!CM54*(1-Time!CM20)</f>
        <v>0</v>
      </c>
      <c r="CN14" s="19" t="n">
        <f aca="false">Waterfall!CN54*(1-Time!CN20)</f>
        <v>0</v>
      </c>
      <c r="CO14" s="19" t="n">
        <f aca="false">Waterfall!CO54*(1-Time!CO20)</f>
        <v>0</v>
      </c>
      <c r="CP14" s="19" t="n">
        <f aca="false">Waterfall!CP54*(1-Time!CP20)</f>
        <v>0</v>
      </c>
      <c r="CQ14" s="19" t="n">
        <f aca="false">Waterfall!CQ54*(1-Time!CQ20)</f>
        <v>0</v>
      </c>
      <c r="CR14" s="19" t="n">
        <f aca="false">Waterfall!CR54*(1-Time!CR20)</f>
        <v>0</v>
      </c>
      <c r="CS14" s="19" t="n">
        <f aca="false">Waterfall!CS54*(1-Time!CS20)</f>
        <v>0</v>
      </c>
      <c r="CT14" s="19" t="n">
        <f aca="false">Waterfall!CT54*(1-Time!CT20)</f>
        <v>0</v>
      </c>
      <c r="CU14" s="19" t="n">
        <f aca="false">Waterfall!CU54*(1-Time!CU20)</f>
        <v>0</v>
      </c>
      <c r="CV14" s="19" t="n">
        <f aca="false">Waterfall!CV54*(1-Time!CV20)</f>
        <v>0</v>
      </c>
      <c r="CW14" s="19" t="n">
        <f aca="false">Waterfall!CW54*(1-Time!CW20)</f>
        <v>0</v>
      </c>
      <c r="CX14" s="19" t="n">
        <f aca="false">Waterfall!CX54*(1-Time!CX20)</f>
        <v>0</v>
      </c>
      <c r="CY14" s="19" t="n">
        <f aca="false">Waterfall!CY54*(1-Time!CY20)</f>
        <v>0</v>
      </c>
      <c r="CZ14" s="19" t="n">
        <f aca="false">Waterfall!CZ54*(1-Time!CZ20)</f>
        <v>0</v>
      </c>
      <c r="DA14" s="19" t="n">
        <f aca="false">Waterfall!DA54*(1-Time!DA20)</f>
        <v>0</v>
      </c>
      <c r="DB14" s="19" t="n">
        <f aca="false">Waterfall!DB54*(1-Time!DB20)</f>
        <v>0</v>
      </c>
    </row>
    <row r="15" customFormat="false" ht="15" hidden="false" customHeight="false" outlineLevel="0" collapsed="false">
      <c r="D15" s="0" t="s">
        <v>427</v>
      </c>
      <c r="E15" s="0" t="s">
        <v>44</v>
      </c>
      <c r="G15" s="19" t="n">
        <f aca="false">SUM(J15:DB15)</f>
        <v>3187.70017289865</v>
      </c>
      <c r="J15" s="19" t="n">
        <f aca="false">(Operations!J32-Operations!J36-Reserves!J22-J8-Debt!J64-J13-J14-Debt!J65)*(1-Time!J20)</f>
        <v>0</v>
      </c>
      <c r="K15" s="19" t="n">
        <f aca="false">(Operations!K32-Operations!K36-Reserves!K22-K8-Debt!K64-K13-K14-Debt!K65)*(1-Time!K20)</f>
        <v>0</v>
      </c>
      <c r="L15" s="19" t="n">
        <f aca="false">(Operations!L32-Operations!L36-Reserves!L22-L8-Debt!L64-L13-L14-Debt!L65)*(1-Time!L20)</f>
        <v>0</v>
      </c>
      <c r="M15" s="19" t="n">
        <f aca="false">(Operations!M32-Operations!M36-Reserves!M22-M8-Debt!M64-M13-M14-Debt!M65)*(1-Time!M20)</f>
        <v>0</v>
      </c>
      <c r="N15" s="19" t="n">
        <f aca="false">(Operations!N32-Operations!N36-Reserves!N22-N8-Debt!N64-N13-N14-Debt!N65)*(1-Time!N20)</f>
        <v>0</v>
      </c>
      <c r="O15" s="19" t="n">
        <f aca="false">(Operations!O32-Operations!O36-Reserves!O22-O8-Debt!O64-O13-O14-Debt!O65)*(1-Time!O20)</f>
        <v>0</v>
      </c>
      <c r="P15" s="19" t="n">
        <f aca="false">(Operations!P32-Operations!P36-Reserves!P22-P8-Debt!P64-P13-P14-Debt!P65)*(1-Time!P20)</f>
        <v>0</v>
      </c>
      <c r="Q15" s="19" t="n">
        <f aca="false">(Operations!Q32-Operations!Q36-Reserves!Q22-Q8-Debt!Q64-Q13-Q14-Debt!Q65)*(1-Time!Q20)</f>
        <v>0</v>
      </c>
      <c r="R15" s="19" t="n">
        <f aca="false">(Operations!R32-Operations!R36-Reserves!R22-R8-Debt!R64-R13-R14-Debt!R65)*(1-Time!R20)</f>
        <v>0</v>
      </c>
      <c r="S15" s="19" t="n">
        <f aca="false">(Operations!S32-Operations!S36-Reserves!S22-S8-Debt!S64-S13-S14-Debt!S65)*(1-Time!S20)</f>
        <v>0</v>
      </c>
      <c r="T15" s="19" t="n">
        <f aca="false">(Operations!T32-Operations!T36-Reserves!T22-T8-Debt!T64-T13-T14-Debt!T65)*(1-Time!T20)</f>
        <v>0</v>
      </c>
      <c r="U15" s="19" t="n">
        <f aca="false">(Operations!U32-Operations!U36-Reserves!U22-U8-Debt!U64-U13-U14-Debt!U65)*(1-Time!U20)</f>
        <v>0</v>
      </c>
      <c r="V15" s="19" t="n">
        <f aca="false">(Operations!V32-Operations!V36-Reserves!V22-V8-Debt!V64-V13-V14-Debt!V65)*(1-Time!V20)</f>
        <v>0</v>
      </c>
      <c r="W15" s="19" t="n">
        <f aca="false">(Operations!W32-Operations!W36-Reserves!W22-W8-Debt!W64-W13-W14-Debt!W65)*(1-Time!W20)</f>
        <v>0</v>
      </c>
      <c r="X15" s="19" t="n">
        <f aca="false">(Operations!X32-Operations!X36-Reserves!X22-X8-Debt!X64-X13-X14-Debt!X65)*(1-Time!X20)</f>
        <v>0</v>
      </c>
      <c r="Y15" s="19" t="n">
        <f aca="false">(Operations!Y32-Operations!Y36-Reserves!Y22-Y8-Debt!Y64-Y13-Y14-Debt!Y65)*(1-Time!Y20)</f>
        <v>0</v>
      </c>
      <c r="Z15" s="19" t="n">
        <f aca="false">(Operations!Z32-Operations!Z36-Reserves!Z22-Z8-Debt!Z64-Z13-Z14-Debt!Z65)*(1-Time!Z20)</f>
        <v>-25.7499004352242</v>
      </c>
      <c r="AA15" s="19" t="n">
        <f aca="false">(Operations!AA32-Operations!AA36-Reserves!AA22-AA8-Debt!AA64-AA13-AA14-Debt!AA65)*(1-Time!AA20)</f>
        <v>-51.5763120857022</v>
      </c>
      <c r="AB15" s="19" t="n">
        <f aca="false">(Operations!AB32-Operations!AB36-Reserves!AB22-AB8-Debt!AB64-AB13-AB14-Debt!AB65)*(1-Time!AB20)</f>
        <v>-46.1715256349605</v>
      </c>
      <c r="AC15" s="19" t="n">
        <f aca="false">(Operations!AC32-Operations!AC36-Reserves!AC22-AC8-Debt!AC64-AC13-AC14-Debt!AC65)*(1-Time!AC20)</f>
        <v>-47.1433655827973</v>
      </c>
      <c r="AD15" s="19" t="n">
        <f aca="false">(Operations!AD32-Operations!AD36-Reserves!AD22-AD8-Debt!AD64-AD13-AD14-Debt!AD65)*(1-Time!AD20)</f>
        <v>-43.3105862389379</v>
      </c>
      <c r="AE15" s="19" t="n">
        <f aca="false">(Operations!AE32-Operations!AE36-Reserves!AE22-AE8-Debt!AE64-AE13-AE14-Debt!AE65)*(1-Time!AE20)</f>
        <v>-40.778153035443</v>
      </c>
      <c r="AF15" s="19" t="n">
        <f aca="false">(Operations!AF32-Operations!AF36-Reserves!AF22-AF8-Debt!AF64-AF13-AF14-Debt!AF65)*(1-Time!AF20)</f>
        <v>-41.6077590804725</v>
      </c>
      <c r="AG15" s="19" t="n">
        <f aca="false">(Operations!AG32-Operations!AG36-Reserves!AG22-AG8-Debt!AG64-AG13-AG14-Debt!AG65)*(1-Time!AG20)</f>
        <v>-35.477216353827</v>
      </c>
      <c r="AH15" s="19" t="n">
        <f aca="false">(Operations!AH32-Operations!AH36-Reserves!AH22-AH8-Debt!AH64-AH13-AH14-Debt!AH65)*(1-Time!AH20)</f>
        <v>-33.4597528021675</v>
      </c>
      <c r="AI15" s="19" t="n">
        <f aca="false">(Operations!AI32-Operations!AI36-Reserves!AI22-AI8-Debt!AI64-AI13-AI14-Debt!AI65)*(1-Time!AI20)</f>
        <v>-32.3133440160385</v>
      </c>
      <c r="AJ15" s="19" t="n">
        <f aca="false">(Operations!AJ32-Operations!AJ36-Reserves!AJ22-AJ8-Debt!AJ64-AJ13-AJ14-Debt!AJ65)*(1-Time!AJ20)</f>
        <v>-30.3314591575642</v>
      </c>
      <c r="AK15" s="19" t="n">
        <f aca="false">(Operations!AK32-Operations!AK36-Reserves!AK22-AK8-Debt!AK64-AK13-AK14-Debt!AK65)*(1-Time!AK20)</f>
        <v>-29.0865265990374</v>
      </c>
      <c r="AL15" s="19" t="n">
        <f aca="false">(Operations!AL32-Operations!AL36-Reserves!AL22-AL8-Debt!AL64-AL13-AL14-Debt!AL65)*(1-Time!AL20)</f>
        <v>-27.0708620361212</v>
      </c>
      <c r="AM15" s="19" t="n">
        <f aca="false">(Operations!AM32-Operations!AM36-Reserves!AM22-AM8-Debt!AM64-AM13-AM14-Debt!AM65)*(1-Time!AM20)</f>
        <v>-25.7379554880883</v>
      </c>
      <c r="AN15" s="19" t="n">
        <f aca="false">(Operations!AN32-Operations!AN36-Reserves!AN22-AN8-Debt!AN64-AN13-AN14-Debt!AN65)*(1-Time!AN20)</f>
        <v>-23.4765633234306</v>
      </c>
      <c r="AO15" s="19" t="n">
        <f aca="false">(Operations!AO32-Operations!AO36-Reserves!AO22-AO8-Debt!AO64-AO13-AO14-Debt!AO65)*(1-Time!AO20)</f>
        <v>-41.087866101287</v>
      </c>
      <c r="AP15" s="19" t="n">
        <f aca="false">(Operations!AP32-Operations!AP36-Reserves!AP22-AP8-Debt!AP64-AP13-AP14-Debt!AP65)*(1-Time!AP20)</f>
        <v>-19.1015484709407</v>
      </c>
      <c r="AQ15" s="19" t="n">
        <f aca="false">(Operations!AQ32-Operations!AQ36-Reserves!AQ22-AQ8-Debt!AQ64-AQ13-AQ14-Debt!AQ65)*(1-Time!AQ20)</f>
        <v>-16.8652492458259</v>
      </c>
      <c r="AR15" s="19" t="n">
        <f aca="false">(Operations!AR32-Operations!AR36-Reserves!AR22-AR8-Debt!AR64-AR13-AR14-Debt!AR65)*(1-Time!AR20)</f>
        <v>-14.3903708086522</v>
      </c>
      <c r="AS15" s="19" t="n">
        <f aca="false">(Operations!AS32-Operations!AS36-Reserves!AS22-AS8-Debt!AS64-AS13-AS14-Debt!AS65)*(1-Time!AS20)</f>
        <v>-12.1829007077646</v>
      </c>
      <c r="AT15" s="19" t="n">
        <f aca="false">(Operations!AT32-Operations!AT36-Reserves!AT22-AT8-Debt!AT64-AT13-AT14-Debt!AT65)*(1-Time!AT20)</f>
        <v>-9.37280178037737</v>
      </c>
      <c r="AU15" s="19" t="n">
        <f aca="false">(Operations!AU32-Operations!AU36-Reserves!AU22-AU8-Debt!AU64-AU13-AU14-Debt!AU65)*(1-Time!AU20)</f>
        <v>-6.73442418518454</v>
      </c>
      <c r="AV15" s="19" t="n">
        <f aca="false">(Operations!AV32-Operations!AV36-Reserves!AV22-AV8-Debt!AV64-AV13-AV14-Debt!AV65)*(1-Time!AV20)</f>
        <v>-3.58488655691837</v>
      </c>
      <c r="AW15" s="19" t="n">
        <f aca="false">(Operations!AW32-Operations!AW36-Reserves!AW22-AW8-Debt!AW64-AW13-AW14-Debt!AW65)*(1-Time!AW20)</f>
        <v>-62.2529726017888</v>
      </c>
      <c r="AX15" s="19" t="n">
        <f aca="false">(Operations!AX32-Operations!AX36-Reserves!AX22-AX8-Debt!AX64-AX13-AX14-Debt!AX65)*(1-Time!AX20)</f>
        <v>1.92754922193058</v>
      </c>
      <c r="AY15" s="19" t="n">
        <f aca="false">(Operations!AY32-Operations!AY36-Reserves!AY22-AY8-Debt!AY64-AY13-AY14-Debt!AY65)*(1-Time!AY20)</f>
        <v>5.60750465484263</v>
      </c>
      <c r="AZ15" s="19" t="n">
        <f aca="false">(Operations!AZ32-Operations!AZ36-Reserves!AZ22-AZ8-Debt!AZ64-AZ13-AZ14-Debt!AZ65)*(1-Time!AZ20)</f>
        <v>8.3031991195083</v>
      </c>
      <c r="BA15" s="19" t="n">
        <f aca="false">(Operations!BA32-Operations!BA36-Reserves!BA22-BA8-Debt!BA64-BA13-BA14-Debt!BA65)*(1-Time!BA20)</f>
        <v>12.1384617916567</v>
      </c>
      <c r="BB15" s="19" t="n">
        <f aca="false">(Operations!BB32-Operations!BB36-Reserves!BB22-BB8-Debt!BB64-BB13-BB14-Debt!BB65)*(1-Time!BB20)</f>
        <v>15.0001918937771</v>
      </c>
      <c r="BC15" s="19" t="n">
        <f aca="false">(Operations!BC32-Operations!BC36-Reserves!BC22-BC8-Debt!BC64-BC13-BC14-Debt!BC65)*(1-Time!BC20)</f>
        <v>-30.4858504880005</v>
      </c>
      <c r="BD15" s="19" t="n">
        <f aca="false">(Operations!BD32-Operations!BD36-Reserves!BD22-BD8-Debt!BD64-BD13-BD14-Debt!BD65)*(1-Time!BD20)</f>
        <v>22.7161447778426</v>
      </c>
      <c r="BE15" s="19" t="n">
        <f aca="false">(Operations!BE32-Operations!BE36-Reserves!BE22-BE8-Debt!BE64-BE13-BE14-Debt!BE65)*(1-Time!BE20)</f>
        <v>4.47540152220252</v>
      </c>
      <c r="BF15" s="19" t="n">
        <f aca="false">(Operations!BF32-Operations!BF36-Reserves!BF22-BF8-Debt!BF64-BF13-BF14-Debt!BF65)*(1-Time!BF20)</f>
        <v>31.9045491916217</v>
      </c>
      <c r="BG15" s="19" t="n">
        <f aca="false">(Operations!BG32-Operations!BG36-Reserves!BG22-BG8-Debt!BG64-BG13-BG14-Debt!BG65)*(1-Time!BG20)</f>
        <v>37.995748294709</v>
      </c>
      <c r="BH15" s="19" t="n">
        <f aca="false">(Operations!BH32-Operations!BH36-Reserves!BH22-BH8-Debt!BH64-BH13-BH14-Debt!BH65)*(1-Time!BH20)</f>
        <v>42.5918497457704</v>
      </c>
      <c r="BI15" s="19" t="n">
        <f aca="false">(Operations!BI32-Operations!BI36-Reserves!BI22-BI8-Debt!BI64-BI13-BI14-Debt!BI65)*(1-Time!BI20)</f>
        <v>49.2321090065962</v>
      </c>
      <c r="BJ15" s="19" t="n">
        <f aca="false">(Operations!BJ32-Operations!BJ36-Reserves!BJ22-BJ8-Debt!BJ64-BJ13-BJ14-Debt!BJ65)*(1-Time!BJ20)</f>
        <v>53.9690250997345</v>
      </c>
      <c r="BK15" s="19" t="n">
        <f aca="false">(Operations!BK32-Operations!BK36-Reserves!BK22-BK8-Debt!BK64-BK13-BK14-Debt!BK65)*(1-Time!BK20)</f>
        <v>61.7343814511437</v>
      </c>
      <c r="BL15" s="19" t="n">
        <f aca="false">(Operations!BL32-Operations!BL36-Reserves!BL22-BL8-Debt!BL64-BL13-BL14-Debt!BL65)*(1-Time!BL20)</f>
        <v>65.7889384095321</v>
      </c>
      <c r="BM15" s="19" t="n">
        <f aca="false">(Operations!BM32-Operations!BM36-Reserves!BM22-BM8-Debt!BM64-BM13-BM14-Debt!BM65)*(1-Time!BM20)</f>
        <v>71.1762770566193</v>
      </c>
      <c r="BN15" s="19" t="n">
        <f aca="false">(Operations!BN32-Operations!BN36-Reserves!BN22-BN8-Debt!BN64-BN13-BN14-Debt!BN65)*(1-Time!BN20)</f>
        <v>73.3738310419433</v>
      </c>
      <c r="BO15" s="19" t="n">
        <f aca="false">(Operations!BO32-Operations!BO36-Reserves!BO22-BO8-Debt!BO64-BO13-BO14-Debt!BO65)*(1-Time!BO20)</f>
        <v>79.1597366228526</v>
      </c>
      <c r="BP15" s="19" t="n">
        <f aca="false">(Operations!BP32-Operations!BP36-Reserves!BP22-BP8-Debt!BP64-BP13-BP14-Debt!BP65)*(1-Time!BP20)</f>
        <v>81.7555250629</v>
      </c>
      <c r="BQ15" s="19" t="n">
        <f aca="false">(Operations!BQ32-Operations!BQ36-Reserves!BQ22-BQ8-Debt!BQ64-BQ13-BQ14-Debt!BQ65)*(1-Time!BQ20)</f>
        <v>87.2344827050715</v>
      </c>
      <c r="BR15" s="19" t="n">
        <f aca="false">(Operations!BR32-Operations!BR36-Reserves!BR22-BR8-Debt!BR64-BR13-BR14-Debt!BR65)*(1-Time!BR20)</f>
        <v>87.7625262140376</v>
      </c>
      <c r="BS15" s="19" t="n">
        <f aca="false">(Operations!BS32-Operations!BS36-Reserves!BS22-BS8-Debt!BS64-BS13-BS14-Debt!BS65)*(1-Time!BS20)</f>
        <v>94.0185912065453</v>
      </c>
      <c r="BT15" s="19" t="n">
        <f aca="false">(Operations!BT32-Operations!BT36-Reserves!BT22-BT8-Debt!BT64-BT13-BT14-Debt!BT65)*(1-Time!BT20)</f>
        <v>94.5912774907242</v>
      </c>
      <c r="BU15" s="19" t="n">
        <f aca="false">(Operations!BU32-Operations!BU36-Reserves!BU22-BU8-Debt!BU64-BU13-BU14-Debt!BU65)*(1-Time!BU20)</f>
        <v>-10.4094998596489</v>
      </c>
      <c r="BV15" s="19" t="n">
        <f aca="false">(Operations!BV32-Operations!BV36-Reserves!BV22-BV8-Debt!BV64-BV13-BV14-Debt!BV65)*(1-Time!BV20)</f>
        <v>102.046395282913</v>
      </c>
      <c r="BW15" s="19" t="n">
        <f aca="false">(Operations!BW32-Operations!BW36-Reserves!BW22-BW8-Debt!BW64-BW13-BW14-Debt!BW65)*(1-Time!BW20)</f>
        <v>109.25772097082</v>
      </c>
      <c r="BX15" s="19" t="n">
        <f aca="false">(Operations!BX32-Operations!BX36-Reserves!BX22-BX8-Debt!BX64-BX13-BX14-Debt!BX65)*(1-Time!BX20)</f>
        <v>110.804349268134</v>
      </c>
      <c r="BY15" s="19" t="n">
        <f aca="false">(Operations!BY32-Operations!BY36-Reserves!BY22-BY8-Debt!BY64-BY13-BY14-Debt!BY65)*(1-Time!BY20)</f>
        <v>117.781362810122</v>
      </c>
      <c r="BZ15" s="19" t="n">
        <f aca="false">(Operations!BZ32-Operations!BZ36-Reserves!BZ22-BZ8-Debt!BZ64-BZ13-BZ14-Debt!BZ65)*(1-Time!BZ20)</f>
        <v>118.750126497976</v>
      </c>
      <c r="CA15" s="19" t="n">
        <f aca="false">(Operations!CA32-Operations!CA36-Reserves!CA22-CA8-Debt!CA64-CA13-CA14-Debt!CA65)*(1-Time!CA20)</f>
        <v>126.776780950553</v>
      </c>
      <c r="CB15" s="19" t="n">
        <f aca="false">(Operations!CB32-Operations!CB36-Reserves!CB22-CB8-Debt!CB64-CB13-CB14-Debt!CB65)*(1-Time!CB20)</f>
        <v>127.667273639089</v>
      </c>
      <c r="CC15" s="19" t="n">
        <f aca="false">(Operations!CC32-Operations!CC36-Reserves!CC22-CC8-Debt!CC64-CC13-CC14-Debt!CC65)*(1-Time!CC20)</f>
        <v>135.975711026621</v>
      </c>
      <c r="CD15" s="19" t="n">
        <f aca="false">(Operations!CD32-Operations!CD36-Reserves!CD22-CD8-Debt!CD64-CD13-CD14-Debt!CD65)*(1-Time!CD20)</f>
        <v>136.934493124788</v>
      </c>
      <c r="CE15" s="19" t="n">
        <f aca="false">(Operations!CE32-Operations!CE36-Reserves!CE22-CE8-Debt!CE64-CE13-CE14-Debt!CE65)*(1-Time!CE20)</f>
        <v>145.685497935747</v>
      </c>
      <c r="CF15" s="19" t="n">
        <f aca="false">(Operations!CF32-Operations!CF36-Reserves!CF22-CF8-Debt!CF64-CF13-CF14-Debt!CF65)*(1-Time!CF20)</f>
        <v>147.463758373743</v>
      </c>
      <c r="CG15" s="19" t="n">
        <f aca="false">(Operations!CG32-Operations!CG36-Reserves!CG22-CG8-Debt!CG64-CG13-CG14-Debt!CG65)*(1-Time!CG20)</f>
        <v>83.5351081008242</v>
      </c>
      <c r="CH15" s="19" t="n">
        <f aca="false">(Operations!CH32-Operations!CH36-Reserves!CH22-CH8-Debt!CH64-CH13-CH14-Debt!CH65)*(1-Time!CH20)</f>
        <v>156.450904204861</v>
      </c>
      <c r="CI15" s="19" t="n">
        <f aca="false">(Operations!CI32-Operations!CI36-Reserves!CI22-CI8-Debt!CI64-CI13-CI14-Debt!CI65)*(1-Time!CI20)</f>
        <v>164.702520010516</v>
      </c>
      <c r="CJ15" s="19" t="n">
        <f aca="false">(Operations!CJ32-Operations!CJ36-Reserves!CJ22-CJ8-Debt!CJ64-CJ13-CJ14-Debt!CJ65)*(1-Time!CJ20)</f>
        <v>164.383530536219</v>
      </c>
      <c r="CK15" s="19" t="n">
        <f aca="false">(Operations!CK32-Operations!CK36-Reserves!CK22-CK8-Debt!CK64-CK13-CK14-Debt!CK65)*(1-Time!CK20)</f>
        <v>138.091168088995</v>
      </c>
      <c r="CL15" s="19" t="n">
        <f aca="false">(Operations!CL32-Operations!CL36-Reserves!CL22-CL8-Debt!CL64-CL13-CL14-Debt!CL65)*(1-Time!CL20)</f>
        <v>172.690937602021</v>
      </c>
      <c r="CM15" s="19" t="n">
        <f aca="false">(Operations!CM32-Operations!CM36-Reserves!CM22-CM8-Debt!CM64-CM13-CM14-Debt!CM65)*(1-Time!CM20)</f>
        <v>181.722611595274</v>
      </c>
      <c r="CN15" s="19" t="n">
        <f aca="false">(Operations!CN32-Operations!CN36-Reserves!CN22-CN8-Debt!CN64-CN13-CN14-Debt!CN65)*(1-Time!CN20)</f>
        <v>182.369961233925</v>
      </c>
      <c r="CO15" s="19" t="n">
        <f aca="false">(Operations!CO32-Operations!CO36-Reserves!CO22-CO8-Debt!CO64-CO13-CO14-Debt!CO65)*(1-Time!CO20)</f>
        <v>190.76822997058</v>
      </c>
      <c r="CP15" s="19" t="n">
        <f aca="false">(Operations!CP32-Operations!CP36-Reserves!CP22-CP8-Debt!CP64-CP13-CP14-Debt!CP65)*(1-Time!CP20)</f>
        <v>51.1440827695752</v>
      </c>
      <c r="CQ15" s="19" t="n">
        <f aca="false">(Operations!CQ32-Operations!CQ36-Reserves!CQ22-CQ8-Debt!CQ64-CQ13-CQ14-Debt!CQ65)*(1-Time!CQ20)</f>
        <v>-5.55648191080975E-014</v>
      </c>
      <c r="CR15" s="19" t="n">
        <f aca="false">(Operations!CR32-Operations!CR36-Reserves!CR22-CR8-Debt!CR64-CR13-CR14-Debt!CR65)*(1-Time!CR20)</f>
        <v>-5.51181991980927E-014</v>
      </c>
      <c r="CS15" s="19" t="n">
        <f aca="false">(Operations!CS32-Operations!CS36-Reserves!CS22-CS8-Debt!CS64-CS13-CS14-Debt!CS65)*(1-Time!CS20)</f>
        <v>-5.55648191080975E-014</v>
      </c>
      <c r="CT15" s="19" t="n">
        <f aca="false">(Operations!CT32-Operations!CT36-Reserves!CT22-CT8-Debt!CT64-CT13-CT14-Debt!CT65)*(1-Time!CT20)</f>
        <v>-5.51181991980927E-014</v>
      </c>
      <c r="CU15" s="19" t="n">
        <f aca="false">(Operations!CU32-Operations!CU36-Reserves!CU22-CU8-Debt!CU64-CU13-CU14-Debt!CU65)*(1-Time!CU20)</f>
        <v>-5.55648191080975E-014</v>
      </c>
      <c r="CV15" s="19" t="n">
        <f aca="false">(Operations!CV32-Operations!CV36-Reserves!CV22-CV8-Debt!CV64-CV13-CV14-Debt!CV65)*(1-Time!CV20)</f>
        <v>-5.52670725014276E-014</v>
      </c>
      <c r="CW15" s="19" t="n">
        <f aca="false">(Operations!CW32-Operations!CW36-Reserves!CW22-CW8-Debt!CW64-CW13-CW14-Debt!CW65)*(1-Time!CW20)</f>
        <v>-5.55648191080975E-014</v>
      </c>
      <c r="CX15" s="19" t="n">
        <f aca="false">(Operations!CX32-Operations!CX36-Reserves!CX22-CX8-Debt!CX64-CX13-CX14-Debt!CX65)*(1-Time!CX20)</f>
        <v>-5.51181991980927E-014</v>
      </c>
      <c r="CY15" s="19" t="n">
        <f aca="false">(Operations!CY32-Operations!CY36-Reserves!CY22-CY8-Debt!CY64-CY13-CY14-Debt!CY65)*(1-Time!CY20)</f>
        <v>-5.55648191080975E-014</v>
      </c>
      <c r="CZ15" s="19" t="n">
        <f aca="false">(Operations!CZ32-Operations!CZ36-Reserves!CZ22-CZ8-Debt!CZ64-CZ13-CZ14-Debt!CZ65)*(1-Time!CZ20)</f>
        <v>-5.51181991980927E-014</v>
      </c>
      <c r="DA15" s="19" t="n">
        <f aca="false">(Operations!DA32-Operations!DA36-Reserves!DA22-DA8-Debt!DA64-DA13-DA14-Debt!DA65)*(1-Time!DA20)</f>
        <v>-5.55648191080975E-014</v>
      </c>
      <c r="DB15" s="19" t="n">
        <f aca="false">(Operations!DB32-Operations!DB36-Reserves!DB22-DB8-Debt!DB64-DB13-DB14-Debt!DB65)*(1-Time!DB20)</f>
        <v>-5.51181991980927E-014</v>
      </c>
    </row>
    <row r="16" customFormat="false" ht="15" hidden="false" customHeight="false" outlineLevel="0" collapsed="false">
      <c r="D16" s="0" t="s">
        <v>428</v>
      </c>
      <c r="E16" s="0" t="s">
        <v>44</v>
      </c>
      <c r="J16" s="19" t="n">
        <f aca="false">I21</f>
        <v>0</v>
      </c>
      <c r="K16" s="19" t="n">
        <f aca="false">J21</f>
        <v>0</v>
      </c>
      <c r="L16" s="19" t="n">
        <f aca="false">K21</f>
        <v>0</v>
      </c>
      <c r="M16" s="19" t="n">
        <f aca="false">L21</f>
        <v>0</v>
      </c>
      <c r="N16" s="19" t="n">
        <f aca="false">M21</f>
        <v>0</v>
      </c>
      <c r="O16" s="19" t="n">
        <f aca="false">N21</f>
        <v>0</v>
      </c>
      <c r="P16" s="19" t="n">
        <f aca="false">O21</f>
        <v>0</v>
      </c>
      <c r="Q16" s="19" t="n">
        <f aca="false">P21</f>
        <v>0</v>
      </c>
      <c r="R16" s="19" t="n">
        <f aca="false">Q21</f>
        <v>0</v>
      </c>
      <c r="S16" s="19" t="n">
        <f aca="false">R21</f>
        <v>0</v>
      </c>
      <c r="T16" s="19" t="n">
        <f aca="false">S21</f>
        <v>0</v>
      </c>
      <c r="U16" s="19" t="n">
        <f aca="false">T21</f>
        <v>0</v>
      </c>
      <c r="V16" s="19" t="n">
        <f aca="false">U21</f>
        <v>0</v>
      </c>
      <c r="W16" s="19" t="n">
        <f aca="false">V21</f>
        <v>0</v>
      </c>
      <c r="X16" s="19" t="n">
        <f aca="false">W21</f>
        <v>0</v>
      </c>
      <c r="Y16" s="19" t="n">
        <f aca="false">X21</f>
        <v>0</v>
      </c>
      <c r="Z16" s="19" t="n">
        <f aca="false">Y21</f>
        <v>0</v>
      </c>
      <c r="AA16" s="19" t="n">
        <f aca="false">Z21</f>
        <v>25.7499004352242</v>
      </c>
      <c r="AB16" s="19" t="n">
        <f aca="false">AA21</f>
        <v>77.3262125209264</v>
      </c>
      <c r="AC16" s="19" t="n">
        <f aca="false">AB21</f>
        <v>123.497738155887</v>
      </c>
      <c r="AD16" s="19" t="n">
        <f aca="false">AC21</f>
        <v>170.641103738684</v>
      </c>
      <c r="AE16" s="19" t="n">
        <f aca="false">AD21</f>
        <v>213.951689977622</v>
      </c>
      <c r="AF16" s="19" t="n">
        <f aca="false">AE21</f>
        <v>254.729843013065</v>
      </c>
      <c r="AG16" s="19" t="n">
        <f aca="false">AF21</f>
        <v>296.337602093538</v>
      </c>
      <c r="AH16" s="19" t="n">
        <f aca="false">AG21</f>
        <v>331.814818447365</v>
      </c>
      <c r="AI16" s="19" t="n">
        <f aca="false">AH21</f>
        <v>365.274571249532</v>
      </c>
      <c r="AJ16" s="19" t="n">
        <f aca="false">AI21</f>
        <v>397.587915265571</v>
      </c>
      <c r="AK16" s="19" t="n">
        <f aca="false">AJ21</f>
        <v>427.919374423135</v>
      </c>
      <c r="AL16" s="19" t="n">
        <f aca="false">AK21</f>
        <v>457.005901022172</v>
      </c>
      <c r="AM16" s="19" t="n">
        <f aca="false">AL21</f>
        <v>484.076763058293</v>
      </c>
      <c r="AN16" s="19" t="n">
        <f aca="false">AM21</f>
        <v>509.814718546382</v>
      </c>
      <c r="AO16" s="19" t="n">
        <f aca="false">AN21</f>
        <v>533.291281869812</v>
      </c>
      <c r="AP16" s="19" t="n">
        <f aca="false">AO21</f>
        <v>574.379147971099</v>
      </c>
      <c r="AQ16" s="19" t="n">
        <f aca="false">AP21</f>
        <v>593.48069644204</v>
      </c>
      <c r="AR16" s="19" t="n">
        <f aca="false">AQ21</f>
        <v>610.345945687866</v>
      </c>
      <c r="AS16" s="19" t="n">
        <f aca="false">AR21</f>
        <v>624.736316496518</v>
      </c>
      <c r="AT16" s="19" t="n">
        <f aca="false">AS21</f>
        <v>636.919217204283</v>
      </c>
      <c r="AU16" s="19" t="n">
        <f aca="false">AT21</f>
        <v>646.29201898466</v>
      </c>
      <c r="AV16" s="19" t="n">
        <f aca="false">AU21</f>
        <v>653.026443169845</v>
      </c>
      <c r="AW16" s="19" t="n">
        <f aca="false">AV21</f>
        <v>656.611329726763</v>
      </c>
      <c r="AX16" s="19" t="n">
        <f aca="false">AW21</f>
        <v>718.864302328552</v>
      </c>
      <c r="AY16" s="19" t="n">
        <f aca="false">AX21</f>
        <v>716.936753106621</v>
      </c>
      <c r="AZ16" s="19" t="n">
        <f aca="false">AY21</f>
        <v>711.329248451779</v>
      </c>
      <c r="BA16" s="19" t="n">
        <f aca="false">AZ21</f>
        <v>703.02604933227</v>
      </c>
      <c r="BB16" s="19" t="n">
        <f aca="false">BA21</f>
        <v>690.887587540614</v>
      </c>
      <c r="BC16" s="19" t="n">
        <f aca="false">BB21</f>
        <v>675.887395646836</v>
      </c>
      <c r="BD16" s="19" t="n">
        <f aca="false">BC21</f>
        <v>706.373246134837</v>
      </c>
      <c r="BE16" s="19" t="n">
        <f aca="false">BD21</f>
        <v>683.657101356994</v>
      </c>
      <c r="BF16" s="19" t="n">
        <f aca="false">BE21</f>
        <v>679.181699834792</v>
      </c>
      <c r="BG16" s="19" t="n">
        <f aca="false">BF21</f>
        <v>647.27715064317</v>
      </c>
      <c r="BH16" s="19" t="n">
        <f aca="false">BG21</f>
        <v>609.281402348461</v>
      </c>
      <c r="BI16" s="19" t="n">
        <f aca="false">BH21</f>
        <v>566.689552602691</v>
      </c>
      <c r="BJ16" s="19" t="n">
        <f aca="false">BI21</f>
        <v>517.457443596094</v>
      </c>
      <c r="BK16" s="19" t="n">
        <f aca="false">BJ21</f>
        <v>463.48841849636</v>
      </c>
      <c r="BL16" s="19" t="n">
        <f aca="false">BK21</f>
        <v>401.754037045216</v>
      </c>
      <c r="BM16" s="19" t="n">
        <f aca="false">BL21</f>
        <v>335.965098635684</v>
      </c>
      <c r="BN16" s="19" t="n">
        <f aca="false">BM21</f>
        <v>264.788821579065</v>
      </c>
      <c r="BO16" s="19" t="n">
        <f aca="false">BN21</f>
        <v>191.414990537122</v>
      </c>
      <c r="BP16" s="19" t="n">
        <f aca="false">BO21</f>
        <v>112.255253914269</v>
      </c>
      <c r="BQ16" s="19" t="n">
        <f aca="false">BP21</f>
        <v>30.4997288513689</v>
      </c>
      <c r="BR16" s="19" t="n">
        <f aca="false">BQ21</f>
        <v>0</v>
      </c>
      <c r="BS16" s="19" t="n">
        <f aca="false">BR21</f>
        <v>0</v>
      </c>
      <c r="BT16" s="19" t="n">
        <f aca="false">BS21</f>
        <v>0</v>
      </c>
      <c r="BU16" s="19" t="n">
        <f aca="false">BT21</f>
        <v>0</v>
      </c>
      <c r="BV16" s="19" t="n">
        <f aca="false">BU21</f>
        <v>10.4094998596489</v>
      </c>
      <c r="BW16" s="19" t="n">
        <f aca="false">BV21</f>
        <v>0</v>
      </c>
      <c r="BX16" s="19" t="n">
        <f aca="false">BW21</f>
        <v>0</v>
      </c>
      <c r="BY16" s="19" t="n">
        <f aca="false">BX21</f>
        <v>0</v>
      </c>
      <c r="BZ16" s="19" t="n">
        <f aca="false">BY21</f>
        <v>0</v>
      </c>
      <c r="CA16" s="19" t="n">
        <f aca="false">BZ21</f>
        <v>0</v>
      </c>
      <c r="CB16" s="19" t="n">
        <f aca="false">CA21</f>
        <v>0</v>
      </c>
      <c r="CC16" s="19" t="n">
        <f aca="false">CB21</f>
        <v>0</v>
      </c>
      <c r="CD16" s="19" t="n">
        <f aca="false">CC21</f>
        <v>0</v>
      </c>
      <c r="CE16" s="19" t="n">
        <f aca="false">CD21</f>
        <v>0</v>
      </c>
      <c r="CF16" s="19" t="n">
        <f aca="false">CE21</f>
        <v>0</v>
      </c>
      <c r="CG16" s="19" t="n">
        <f aca="false">CF21</f>
        <v>0</v>
      </c>
      <c r="CH16" s="19" t="n">
        <f aca="false">CG21</f>
        <v>0</v>
      </c>
      <c r="CI16" s="19" t="n">
        <f aca="false">CH21</f>
        <v>0</v>
      </c>
      <c r="CJ16" s="19" t="n">
        <f aca="false">CI21</f>
        <v>0</v>
      </c>
      <c r="CK16" s="19" t="n">
        <f aca="false">CJ21</f>
        <v>0</v>
      </c>
      <c r="CL16" s="19" t="n">
        <f aca="false">CK21</f>
        <v>0</v>
      </c>
      <c r="CM16" s="19" t="n">
        <f aca="false">CL21</f>
        <v>0</v>
      </c>
      <c r="CN16" s="19" t="n">
        <f aca="false">CM21</f>
        <v>0</v>
      </c>
      <c r="CO16" s="19" t="n">
        <f aca="false">CN21</f>
        <v>0</v>
      </c>
      <c r="CP16" s="19" t="n">
        <f aca="false">CO21</f>
        <v>0</v>
      </c>
      <c r="CQ16" s="19" t="n">
        <f aca="false">CP21</f>
        <v>0</v>
      </c>
      <c r="CR16" s="19" t="n">
        <f aca="false">CQ21</f>
        <v>5.55648191080975E-014</v>
      </c>
      <c r="CS16" s="19" t="n">
        <f aca="false">CR21</f>
        <v>1.1068301830619E-013</v>
      </c>
      <c r="CT16" s="19" t="n">
        <f aca="false">CS21</f>
        <v>1.66247837414288E-013</v>
      </c>
      <c r="CU16" s="19" t="n">
        <f aca="false">CT21</f>
        <v>2.2136603661238E-013</v>
      </c>
      <c r="CV16" s="19" t="n">
        <f aca="false">CU21</f>
        <v>2.76930855720478E-013</v>
      </c>
      <c r="CW16" s="19" t="n">
        <f aca="false">CV21</f>
        <v>3.32197928221906E-013</v>
      </c>
      <c r="CX16" s="19" t="n">
        <f aca="false">CW21</f>
        <v>3.87762747330003E-013</v>
      </c>
      <c r="CY16" s="19" t="n">
        <f aca="false">CX21</f>
        <v>4.42880946528096E-013</v>
      </c>
      <c r="CZ16" s="19" t="n">
        <f aca="false">CY21</f>
        <v>4.98445765636193E-013</v>
      </c>
      <c r="DA16" s="19" t="n">
        <f aca="false">CZ21</f>
        <v>5.53563964834286E-013</v>
      </c>
      <c r="DB16" s="19" t="n">
        <f aca="false">DA21</f>
        <v>6.09128783942384E-013</v>
      </c>
    </row>
    <row r="17" customFormat="false" ht="15" hidden="false" customHeight="false" outlineLevel="0" collapsed="false">
      <c r="D17" s="0" t="s">
        <v>429</v>
      </c>
      <c r="E17" s="0" t="s">
        <v>44</v>
      </c>
      <c r="G17" s="19" t="n">
        <f aca="false">SUM(J17:DB17)</f>
        <v>759.759652676201</v>
      </c>
      <c r="J17" s="19" t="n">
        <f aca="false">MIN(J16,MAX(0,J15))</f>
        <v>0</v>
      </c>
      <c r="K17" s="19" t="n">
        <f aca="false">MIN(K16,MAX(0,K15))</f>
        <v>0</v>
      </c>
      <c r="L17" s="19" t="n">
        <f aca="false">MIN(L16,MAX(0,L15))</f>
        <v>0</v>
      </c>
      <c r="M17" s="19" t="n">
        <f aca="false">MIN(M16,MAX(0,M15))</f>
        <v>0</v>
      </c>
      <c r="N17" s="19" t="n">
        <f aca="false">MIN(N16,MAX(0,N15))</f>
        <v>0</v>
      </c>
      <c r="O17" s="19" t="n">
        <f aca="false">MIN(O16,MAX(0,O15))</f>
        <v>0</v>
      </c>
      <c r="P17" s="19" t="n">
        <f aca="false">MIN(P16,MAX(0,P15))</f>
        <v>0</v>
      </c>
      <c r="Q17" s="19" t="n">
        <f aca="false">MIN(Q16,MAX(0,Q15))</f>
        <v>0</v>
      </c>
      <c r="R17" s="19" t="n">
        <f aca="false">MIN(R16,MAX(0,R15))</f>
        <v>0</v>
      </c>
      <c r="S17" s="19" t="n">
        <f aca="false">MIN(S16,MAX(0,S15))</f>
        <v>0</v>
      </c>
      <c r="T17" s="19" t="n">
        <f aca="false">MIN(T16,MAX(0,T15))</f>
        <v>0</v>
      </c>
      <c r="U17" s="19" t="n">
        <f aca="false">MIN(U16,MAX(0,U15))</f>
        <v>0</v>
      </c>
      <c r="V17" s="19" t="n">
        <f aca="false">MIN(V16,MAX(0,V15))</f>
        <v>0</v>
      </c>
      <c r="W17" s="19" t="n">
        <f aca="false">MIN(W16,MAX(0,W15))</f>
        <v>0</v>
      </c>
      <c r="X17" s="19" t="n">
        <f aca="false">MIN(X16,MAX(0,X15))</f>
        <v>0</v>
      </c>
      <c r="Y17" s="19" t="n">
        <f aca="false">MIN(Y16,MAX(0,Y15))</f>
        <v>0</v>
      </c>
      <c r="Z17" s="19" t="n">
        <f aca="false">MIN(Z16,MAX(0,Z15))</f>
        <v>0</v>
      </c>
      <c r="AA17" s="19" t="n">
        <f aca="false">MIN(AA16,MAX(0,AA15))</f>
        <v>0</v>
      </c>
      <c r="AB17" s="19" t="n">
        <f aca="false">MIN(AB16,MAX(0,AB15))</f>
        <v>0</v>
      </c>
      <c r="AC17" s="19" t="n">
        <f aca="false">MIN(AC16,MAX(0,AC15))</f>
        <v>0</v>
      </c>
      <c r="AD17" s="19" t="n">
        <f aca="false">MIN(AD16,MAX(0,AD15))</f>
        <v>0</v>
      </c>
      <c r="AE17" s="19" t="n">
        <f aca="false">MIN(AE16,MAX(0,AE15))</f>
        <v>0</v>
      </c>
      <c r="AF17" s="19" t="n">
        <f aca="false">MIN(AF16,MAX(0,AF15))</f>
        <v>0</v>
      </c>
      <c r="AG17" s="19" t="n">
        <f aca="false">MIN(AG16,MAX(0,AG15))</f>
        <v>0</v>
      </c>
      <c r="AH17" s="19" t="n">
        <f aca="false">MIN(AH16,MAX(0,AH15))</f>
        <v>0</v>
      </c>
      <c r="AI17" s="19" t="n">
        <f aca="false">MIN(AI16,MAX(0,AI15))</f>
        <v>0</v>
      </c>
      <c r="AJ17" s="19" t="n">
        <f aca="false">MIN(AJ16,MAX(0,AJ15))</f>
        <v>0</v>
      </c>
      <c r="AK17" s="19" t="n">
        <f aca="false">MIN(AK16,MAX(0,AK15))</f>
        <v>0</v>
      </c>
      <c r="AL17" s="19" t="n">
        <f aca="false">MIN(AL16,MAX(0,AL15))</f>
        <v>0</v>
      </c>
      <c r="AM17" s="19" t="n">
        <f aca="false">MIN(AM16,MAX(0,AM15))</f>
        <v>0</v>
      </c>
      <c r="AN17" s="19" t="n">
        <f aca="false">MIN(AN16,MAX(0,AN15))</f>
        <v>0</v>
      </c>
      <c r="AO17" s="19" t="n">
        <f aca="false">MIN(AO16,MAX(0,AO15))</f>
        <v>0</v>
      </c>
      <c r="AP17" s="19" t="n">
        <f aca="false">MIN(AP16,MAX(0,AP15))</f>
        <v>0</v>
      </c>
      <c r="AQ17" s="19" t="n">
        <f aca="false">MIN(AQ16,MAX(0,AQ15))</f>
        <v>0</v>
      </c>
      <c r="AR17" s="19" t="n">
        <f aca="false">MIN(AR16,MAX(0,AR15))</f>
        <v>0</v>
      </c>
      <c r="AS17" s="19" t="n">
        <f aca="false">MIN(AS16,MAX(0,AS15))</f>
        <v>0</v>
      </c>
      <c r="AT17" s="19" t="n">
        <f aca="false">MIN(AT16,MAX(0,AT15))</f>
        <v>0</v>
      </c>
      <c r="AU17" s="19" t="n">
        <f aca="false">MIN(AU16,MAX(0,AU15))</f>
        <v>0</v>
      </c>
      <c r="AV17" s="19" t="n">
        <f aca="false">MIN(AV16,MAX(0,AV15))</f>
        <v>0</v>
      </c>
      <c r="AW17" s="19" t="n">
        <f aca="false">MIN(AW16,MAX(0,AW15))</f>
        <v>0</v>
      </c>
      <c r="AX17" s="19" t="n">
        <f aca="false">MIN(AX16,MAX(0,AX15))</f>
        <v>1.92754922193058</v>
      </c>
      <c r="AY17" s="19" t="n">
        <f aca="false">MIN(AY16,MAX(0,AY15))</f>
        <v>5.60750465484263</v>
      </c>
      <c r="AZ17" s="19" t="n">
        <f aca="false">MIN(AZ16,MAX(0,AZ15))</f>
        <v>8.3031991195083</v>
      </c>
      <c r="BA17" s="19" t="n">
        <f aca="false">MIN(BA16,MAX(0,BA15))</f>
        <v>12.1384617916567</v>
      </c>
      <c r="BB17" s="19" t="n">
        <f aca="false">MIN(BB16,MAX(0,BB15))</f>
        <v>15.0001918937771</v>
      </c>
      <c r="BC17" s="19" t="n">
        <f aca="false">MIN(BC16,MAX(0,BC15))</f>
        <v>0</v>
      </c>
      <c r="BD17" s="19" t="n">
        <f aca="false">MIN(BD16,MAX(0,BD15))</f>
        <v>22.7161447778426</v>
      </c>
      <c r="BE17" s="19" t="n">
        <f aca="false">MIN(BE16,MAX(0,BE15))</f>
        <v>4.47540152220252</v>
      </c>
      <c r="BF17" s="19" t="n">
        <f aca="false">MIN(BF16,MAX(0,BF15))</f>
        <v>31.9045491916217</v>
      </c>
      <c r="BG17" s="19" t="n">
        <f aca="false">MIN(BG16,MAX(0,BG15))</f>
        <v>37.995748294709</v>
      </c>
      <c r="BH17" s="19" t="n">
        <f aca="false">MIN(BH16,MAX(0,BH15))</f>
        <v>42.5918497457704</v>
      </c>
      <c r="BI17" s="19" t="n">
        <f aca="false">MIN(BI16,MAX(0,BI15))</f>
        <v>49.2321090065962</v>
      </c>
      <c r="BJ17" s="19" t="n">
        <f aca="false">MIN(BJ16,MAX(0,BJ15))</f>
        <v>53.9690250997345</v>
      </c>
      <c r="BK17" s="19" t="n">
        <f aca="false">MIN(BK16,MAX(0,BK15))</f>
        <v>61.7343814511437</v>
      </c>
      <c r="BL17" s="19" t="n">
        <f aca="false">MIN(BL16,MAX(0,BL15))</f>
        <v>65.7889384095321</v>
      </c>
      <c r="BM17" s="19" t="n">
        <f aca="false">MIN(BM16,MAX(0,BM15))</f>
        <v>71.1762770566193</v>
      </c>
      <c r="BN17" s="19" t="n">
        <f aca="false">MIN(BN16,MAX(0,BN15))</f>
        <v>73.3738310419433</v>
      </c>
      <c r="BO17" s="19" t="n">
        <f aca="false">MIN(BO16,MAX(0,BO15))</f>
        <v>79.1597366228526</v>
      </c>
      <c r="BP17" s="19" t="n">
        <f aca="false">MIN(BP16,MAX(0,BP15))</f>
        <v>81.7555250629</v>
      </c>
      <c r="BQ17" s="19" t="n">
        <f aca="false">MIN(BQ16,MAX(0,BQ15))</f>
        <v>30.4997288513689</v>
      </c>
      <c r="BR17" s="19" t="n">
        <f aca="false">MIN(BR16,MAX(0,BR15))</f>
        <v>0</v>
      </c>
      <c r="BS17" s="19" t="n">
        <f aca="false">MIN(BS16,MAX(0,BS15))</f>
        <v>0</v>
      </c>
      <c r="BT17" s="19" t="n">
        <f aca="false">MIN(BT16,MAX(0,BT15))</f>
        <v>0</v>
      </c>
      <c r="BU17" s="19" t="n">
        <f aca="false">MIN(BU16,MAX(0,BU15))</f>
        <v>0</v>
      </c>
      <c r="BV17" s="19" t="n">
        <f aca="false">MIN(BV16,MAX(0,BV15))</f>
        <v>10.4094998596489</v>
      </c>
      <c r="BW17" s="19" t="n">
        <f aca="false">MIN(BW16,MAX(0,BW15))</f>
        <v>0</v>
      </c>
      <c r="BX17" s="19" t="n">
        <f aca="false">MIN(BX16,MAX(0,BX15))</f>
        <v>0</v>
      </c>
      <c r="BY17" s="19" t="n">
        <f aca="false">MIN(BY16,MAX(0,BY15))</f>
        <v>0</v>
      </c>
      <c r="BZ17" s="19" t="n">
        <f aca="false">MIN(BZ16,MAX(0,BZ15))</f>
        <v>0</v>
      </c>
      <c r="CA17" s="19" t="n">
        <f aca="false">MIN(CA16,MAX(0,CA15))</f>
        <v>0</v>
      </c>
      <c r="CB17" s="19" t="n">
        <f aca="false">MIN(CB16,MAX(0,CB15))</f>
        <v>0</v>
      </c>
      <c r="CC17" s="19" t="n">
        <f aca="false">MIN(CC16,MAX(0,CC15))</f>
        <v>0</v>
      </c>
      <c r="CD17" s="19" t="n">
        <f aca="false">MIN(CD16,MAX(0,CD15))</f>
        <v>0</v>
      </c>
      <c r="CE17" s="19" t="n">
        <f aca="false">MIN(CE16,MAX(0,CE15))</f>
        <v>0</v>
      </c>
      <c r="CF17" s="19" t="n">
        <f aca="false">MIN(CF16,MAX(0,CF15))</f>
        <v>0</v>
      </c>
      <c r="CG17" s="19" t="n">
        <f aca="false">MIN(CG16,MAX(0,CG15))</f>
        <v>0</v>
      </c>
      <c r="CH17" s="19" t="n">
        <f aca="false">MIN(CH16,MAX(0,CH15))</f>
        <v>0</v>
      </c>
      <c r="CI17" s="19" t="n">
        <f aca="false">MIN(CI16,MAX(0,CI15))</f>
        <v>0</v>
      </c>
      <c r="CJ17" s="19" t="n">
        <f aca="false">MIN(CJ16,MAX(0,CJ15))</f>
        <v>0</v>
      </c>
      <c r="CK17" s="19" t="n">
        <f aca="false">MIN(CK16,MAX(0,CK15))</f>
        <v>0</v>
      </c>
      <c r="CL17" s="19" t="n">
        <f aca="false">MIN(CL16,MAX(0,CL15))</f>
        <v>0</v>
      </c>
      <c r="CM17" s="19" t="n">
        <f aca="false">MIN(CM16,MAX(0,CM15))</f>
        <v>0</v>
      </c>
      <c r="CN17" s="19" t="n">
        <f aca="false">MIN(CN16,MAX(0,CN15))</f>
        <v>0</v>
      </c>
      <c r="CO17" s="19" t="n">
        <f aca="false">MIN(CO16,MAX(0,CO15))</f>
        <v>0</v>
      </c>
      <c r="CP17" s="19" t="n">
        <f aca="false">MIN(CP16,MAX(0,CP15))</f>
        <v>0</v>
      </c>
      <c r="CQ17" s="19" t="n">
        <f aca="false">MIN(CQ16,MAX(0,CQ15))</f>
        <v>0</v>
      </c>
      <c r="CR17" s="19" t="n">
        <f aca="false">MIN(CR16,MAX(0,CR15))</f>
        <v>0</v>
      </c>
      <c r="CS17" s="19" t="n">
        <f aca="false">MIN(CS16,MAX(0,CS15))</f>
        <v>0</v>
      </c>
      <c r="CT17" s="19" t="n">
        <f aca="false">MIN(CT16,MAX(0,CT15))</f>
        <v>0</v>
      </c>
      <c r="CU17" s="19" t="n">
        <f aca="false">MIN(CU16,MAX(0,CU15))</f>
        <v>0</v>
      </c>
      <c r="CV17" s="19" t="n">
        <f aca="false">MIN(CV16,MAX(0,CV15))</f>
        <v>0</v>
      </c>
      <c r="CW17" s="19" t="n">
        <f aca="false">MIN(CW16,MAX(0,CW15))</f>
        <v>0</v>
      </c>
      <c r="CX17" s="19" t="n">
        <f aca="false">MIN(CX16,MAX(0,CX15))</f>
        <v>0</v>
      </c>
      <c r="CY17" s="19" t="n">
        <f aca="false">MIN(CY16,MAX(0,CY15))</f>
        <v>0</v>
      </c>
      <c r="CZ17" s="19" t="n">
        <f aca="false">MIN(CZ16,MAX(0,CZ15))</f>
        <v>0</v>
      </c>
      <c r="DA17" s="19" t="n">
        <f aca="false">MIN(DA16,MAX(0,DA15))</f>
        <v>0</v>
      </c>
      <c r="DB17" s="19" t="n">
        <f aca="false">MIN(DB16,MAX(0,DB15))</f>
        <v>0</v>
      </c>
    </row>
    <row r="18" customFormat="false" ht="15" hidden="false" customHeight="false" outlineLevel="0" collapsed="false">
      <c r="D18" s="0" t="s">
        <v>430</v>
      </c>
      <c r="E18" s="0" t="s">
        <v>44</v>
      </c>
      <c r="G18" s="19" t="n">
        <f aca="false">SUM(J18:DB18)</f>
        <v>759.759652676202</v>
      </c>
      <c r="J18" s="19" t="n">
        <f aca="false">MAX(0,-J15)</f>
        <v>-0</v>
      </c>
      <c r="K18" s="19" t="n">
        <f aca="false">MAX(0,-K15)</f>
        <v>-0</v>
      </c>
      <c r="L18" s="19" t="n">
        <f aca="false">MAX(0,-L15)</f>
        <v>-0</v>
      </c>
      <c r="M18" s="19" t="n">
        <f aca="false">MAX(0,-M15)</f>
        <v>-0</v>
      </c>
      <c r="N18" s="19" t="n">
        <f aca="false">MAX(0,-N15)</f>
        <v>-0</v>
      </c>
      <c r="O18" s="19" t="n">
        <f aca="false">MAX(0,-O15)</f>
        <v>-0</v>
      </c>
      <c r="P18" s="19" t="n">
        <f aca="false">MAX(0,-P15)</f>
        <v>-0</v>
      </c>
      <c r="Q18" s="19" t="n">
        <f aca="false">MAX(0,-Q15)</f>
        <v>-0</v>
      </c>
      <c r="R18" s="19" t="n">
        <f aca="false">MAX(0,-R15)</f>
        <v>-0</v>
      </c>
      <c r="S18" s="19" t="n">
        <f aca="false">MAX(0,-S15)</f>
        <v>-0</v>
      </c>
      <c r="T18" s="19" t="n">
        <f aca="false">MAX(0,-T15)</f>
        <v>-0</v>
      </c>
      <c r="U18" s="19" t="n">
        <f aca="false">MAX(0,-U15)</f>
        <v>-0</v>
      </c>
      <c r="V18" s="19" t="n">
        <f aca="false">MAX(0,-V15)</f>
        <v>-0</v>
      </c>
      <c r="W18" s="19" t="n">
        <f aca="false">MAX(0,-W15)</f>
        <v>-0</v>
      </c>
      <c r="X18" s="19" t="n">
        <f aca="false">MAX(0,-X15)</f>
        <v>-0</v>
      </c>
      <c r="Y18" s="19" t="n">
        <f aca="false">MAX(0,-Y15)</f>
        <v>-0</v>
      </c>
      <c r="Z18" s="19" t="n">
        <f aca="false">MAX(0,-Z15)</f>
        <v>25.7499004352242</v>
      </c>
      <c r="AA18" s="19" t="n">
        <f aca="false">MAX(0,-AA15)</f>
        <v>51.5763120857022</v>
      </c>
      <c r="AB18" s="19" t="n">
        <f aca="false">MAX(0,-AB15)</f>
        <v>46.1715256349605</v>
      </c>
      <c r="AC18" s="19" t="n">
        <f aca="false">MAX(0,-AC15)</f>
        <v>47.1433655827973</v>
      </c>
      <c r="AD18" s="19" t="n">
        <f aca="false">MAX(0,-AD15)</f>
        <v>43.3105862389379</v>
      </c>
      <c r="AE18" s="19" t="n">
        <f aca="false">MAX(0,-AE15)</f>
        <v>40.778153035443</v>
      </c>
      <c r="AF18" s="19" t="n">
        <f aca="false">MAX(0,-AF15)</f>
        <v>41.6077590804725</v>
      </c>
      <c r="AG18" s="19" t="n">
        <f aca="false">MAX(0,-AG15)</f>
        <v>35.477216353827</v>
      </c>
      <c r="AH18" s="19" t="n">
        <f aca="false">MAX(0,-AH15)</f>
        <v>33.4597528021675</v>
      </c>
      <c r="AI18" s="19" t="n">
        <f aca="false">MAX(0,-AI15)</f>
        <v>32.3133440160385</v>
      </c>
      <c r="AJ18" s="19" t="n">
        <f aca="false">MAX(0,-AJ15)</f>
        <v>30.3314591575642</v>
      </c>
      <c r="AK18" s="19" t="n">
        <f aca="false">MAX(0,-AK15)</f>
        <v>29.0865265990374</v>
      </c>
      <c r="AL18" s="19" t="n">
        <f aca="false">MAX(0,-AL15)</f>
        <v>27.0708620361212</v>
      </c>
      <c r="AM18" s="19" t="n">
        <f aca="false">MAX(0,-AM15)</f>
        <v>25.7379554880883</v>
      </c>
      <c r="AN18" s="19" t="n">
        <f aca="false">MAX(0,-AN15)</f>
        <v>23.4765633234306</v>
      </c>
      <c r="AO18" s="19" t="n">
        <f aca="false">MAX(0,-AO15)</f>
        <v>41.087866101287</v>
      </c>
      <c r="AP18" s="19" t="n">
        <f aca="false">MAX(0,-AP15)</f>
        <v>19.1015484709407</v>
      </c>
      <c r="AQ18" s="19" t="n">
        <f aca="false">MAX(0,-AQ15)</f>
        <v>16.8652492458259</v>
      </c>
      <c r="AR18" s="19" t="n">
        <f aca="false">MAX(0,-AR15)</f>
        <v>14.3903708086522</v>
      </c>
      <c r="AS18" s="19" t="n">
        <f aca="false">MAX(0,-AS15)</f>
        <v>12.1829007077646</v>
      </c>
      <c r="AT18" s="19" t="n">
        <f aca="false">MAX(0,-AT15)</f>
        <v>9.37280178037737</v>
      </c>
      <c r="AU18" s="19" t="n">
        <f aca="false">MAX(0,-AU15)</f>
        <v>6.73442418518454</v>
      </c>
      <c r="AV18" s="19" t="n">
        <f aca="false">MAX(0,-AV15)</f>
        <v>3.58488655691837</v>
      </c>
      <c r="AW18" s="19" t="n">
        <f aca="false">MAX(0,-AW15)</f>
        <v>62.2529726017888</v>
      </c>
      <c r="AX18" s="19" t="n">
        <f aca="false">MAX(0,-AX15)</f>
        <v>0</v>
      </c>
      <c r="AY18" s="19" t="n">
        <f aca="false">MAX(0,-AY15)</f>
        <v>0</v>
      </c>
      <c r="AZ18" s="19" t="n">
        <f aca="false">MAX(0,-AZ15)</f>
        <v>0</v>
      </c>
      <c r="BA18" s="19" t="n">
        <f aca="false">MAX(0,-BA15)</f>
        <v>0</v>
      </c>
      <c r="BB18" s="19" t="n">
        <f aca="false">MAX(0,-BB15)</f>
        <v>0</v>
      </c>
      <c r="BC18" s="19" t="n">
        <f aca="false">MAX(0,-BC15)</f>
        <v>30.4858504880005</v>
      </c>
      <c r="BD18" s="19" t="n">
        <f aca="false">MAX(0,-BD15)</f>
        <v>0</v>
      </c>
      <c r="BE18" s="19" t="n">
        <f aca="false">MAX(0,-BE15)</f>
        <v>0</v>
      </c>
      <c r="BF18" s="19" t="n">
        <f aca="false">MAX(0,-BF15)</f>
        <v>0</v>
      </c>
      <c r="BG18" s="19" t="n">
        <f aca="false">MAX(0,-BG15)</f>
        <v>0</v>
      </c>
      <c r="BH18" s="19" t="n">
        <f aca="false">MAX(0,-BH15)</f>
        <v>0</v>
      </c>
      <c r="BI18" s="19" t="n">
        <f aca="false">MAX(0,-BI15)</f>
        <v>0</v>
      </c>
      <c r="BJ18" s="19" t="n">
        <f aca="false">MAX(0,-BJ15)</f>
        <v>0</v>
      </c>
      <c r="BK18" s="19" t="n">
        <f aca="false">MAX(0,-BK15)</f>
        <v>0</v>
      </c>
      <c r="BL18" s="19" t="n">
        <f aca="false">MAX(0,-BL15)</f>
        <v>0</v>
      </c>
      <c r="BM18" s="19" t="n">
        <f aca="false">MAX(0,-BM15)</f>
        <v>0</v>
      </c>
      <c r="BN18" s="19" t="n">
        <f aca="false">MAX(0,-BN15)</f>
        <v>0</v>
      </c>
      <c r="BO18" s="19" t="n">
        <f aca="false">MAX(0,-BO15)</f>
        <v>0</v>
      </c>
      <c r="BP18" s="19" t="n">
        <f aca="false">MAX(0,-BP15)</f>
        <v>0</v>
      </c>
      <c r="BQ18" s="19" t="n">
        <f aca="false">MAX(0,-BQ15)</f>
        <v>0</v>
      </c>
      <c r="BR18" s="19" t="n">
        <f aca="false">MAX(0,-BR15)</f>
        <v>0</v>
      </c>
      <c r="BS18" s="19" t="n">
        <f aca="false">MAX(0,-BS15)</f>
        <v>0</v>
      </c>
      <c r="BT18" s="19" t="n">
        <f aca="false">MAX(0,-BT15)</f>
        <v>0</v>
      </c>
      <c r="BU18" s="19" t="n">
        <f aca="false">MAX(0,-BU15)</f>
        <v>10.4094998596489</v>
      </c>
      <c r="BV18" s="19" t="n">
        <f aca="false">MAX(0,-BV15)</f>
        <v>0</v>
      </c>
      <c r="BW18" s="19" t="n">
        <f aca="false">MAX(0,-BW15)</f>
        <v>0</v>
      </c>
      <c r="BX18" s="19" t="n">
        <f aca="false">MAX(0,-BX15)</f>
        <v>0</v>
      </c>
      <c r="BY18" s="19" t="n">
        <f aca="false">MAX(0,-BY15)</f>
        <v>0</v>
      </c>
      <c r="BZ18" s="19" t="n">
        <f aca="false">MAX(0,-BZ15)</f>
        <v>0</v>
      </c>
      <c r="CA18" s="19" t="n">
        <f aca="false">MAX(0,-CA15)</f>
        <v>0</v>
      </c>
      <c r="CB18" s="19" t="n">
        <f aca="false">MAX(0,-CB15)</f>
        <v>0</v>
      </c>
      <c r="CC18" s="19" t="n">
        <f aca="false">MAX(0,-CC15)</f>
        <v>0</v>
      </c>
      <c r="CD18" s="19" t="n">
        <f aca="false">MAX(0,-CD15)</f>
        <v>0</v>
      </c>
      <c r="CE18" s="19" t="n">
        <f aca="false">MAX(0,-CE15)</f>
        <v>0</v>
      </c>
      <c r="CF18" s="19" t="n">
        <f aca="false">MAX(0,-CF15)</f>
        <v>0</v>
      </c>
      <c r="CG18" s="19" t="n">
        <f aca="false">MAX(0,-CG15)</f>
        <v>0</v>
      </c>
      <c r="CH18" s="19" t="n">
        <f aca="false">MAX(0,-CH15)</f>
        <v>0</v>
      </c>
      <c r="CI18" s="19" t="n">
        <f aca="false">MAX(0,-CI15)</f>
        <v>0</v>
      </c>
      <c r="CJ18" s="19" t="n">
        <f aca="false">MAX(0,-CJ15)</f>
        <v>0</v>
      </c>
      <c r="CK18" s="19" t="n">
        <f aca="false">MAX(0,-CK15)</f>
        <v>0</v>
      </c>
      <c r="CL18" s="19" t="n">
        <f aca="false">MAX(0,-CL15)</f>
        <v>0</v>
      </c>
      <c r="CM18" s="19" t="n">
        <f aca="false">MAX(0,-CM15)</f>
        <v>0</v>
      </c>
      <c r="CN18" s="19" t="n">
        <f aca="false">MAX(0,-CN15)</f>
        <v>0</v>
      </c>
      <c r="CO18" s="19" t="n">
        <f aca="false">MAX(0,-CO15)</f>
        <v>0</v>
      </c>
      <c r="CP18" s="19" t="n">
        <f aca="false">MAX(0,-CP15)</f>
        <v>0</v>
      </c>
      <c r="CQ18" s="19" t="n">
        <f aca="false">MAX(0,-CQ15)</f>
        <v>5.55648191080975E-014</v>
      </c>
      <c r="CR18" s="19" t="n">
        <f aca="false">MAX(0,-CR15)</f>
        <v>5.51181991980927E-014</v>
      </c>
      <c r="CS18" s="19" t="n">
        <f aca="false">MAX(0,-CS15)</f>
        <v>5.55648191080975E-014</v>
      </c>
      <c r="CT18" s="19" t="n">
        <f aca="false">MAX(0,-CT15)</f>
        <v>5.51181991980927E-014</v>
      </c>
      <c r="CU18" s="19" t="n">
        <f aca="false">MAX(0,-CU15)</f>
        <v>5.55648191080975E-014</v>
      </c>
      <c r="CV18" s="19" t="n">
        <f aca="false">MAX(0,-CV15)</f>
        <v>5.52670725014276E-014</v>
      </c>
      <c r="CW18" s="19" t="n">
        <f aca="false">MAX(0,-CW15)</f>
        <v>5.55648191080975E-014</v>
      </c>
      <c r="CX18" s="19" t="n">
        <f aca="false">MAX(0,-CX15)</f>
        <v>5.51181991980927E-014</v>
      </c>
      <c r="CY18" s="19" t="n">
        <f aca="false">MAX(0,-CY15)</f>
        <v>5.55648191080975E-014</v>
      </c>
      <c r="CZ18" s="19" t="n">
        <f aca="false">MAX(0,-CZ15)</f>
        <v>5.51181991980927E-014</v>
      </c>
      <c r="DA18" s="19" t="n">
        <f aca="false">MAX(0,-DA15)</f>
        <v>5.55648191080975E-014</v>
      </c>
      <c r="DB18" s="19" t="n">
        <f aca="false">MAX(0,-DB15)</f>
        <v>5.51181991980927E-014</v>
      </c>
    </row>
    <row r="19" customFormat="false" ht="15" hidden="false" customHeight="false" outlineLevel="0" collapsed="false">
      <c r="D19" s="0" t="s">
        <v>431</v>
      </c>
      <c r="E19" s="0" t="s">
        <v>44</v>
      </c>
      <c r="G19" s="19" t="n">
        <f aca="false">SUM(J19:DB19)</f>
        <v>0</v>
      </c>
      <c r="J19" s="19" t="n">
        <f aca="false">Time!J35*(Debt!J79+Debt!J80)</f>
        <v>0</v>
      </c>
      <c r="K19" s="19" t="n">
        <f aca="false">Time!K35*(Debt!K79+Debt!K80)</f>
        <v>0</v>
      </c>
      <c r="L19" s="19" t="n">
        <f aca="false">Time!L35*(Debt!L79+Debt!L80)</f>
        <v>0</v>
      </c>
      <c r="M19" s="19" t="n">
        <f aca="false">Time!M35*(Debt!M79+Debt!M80)</f>
        <v>0</v>
      </c>
      <c r="N19" s="19" t="n">
        <f aca="false">Time!N35*(Debt!N79+Debt!N80)</f>
        <v>0</v>
      </c>
      <c r="O19" s="19" t="n">
        <f aca="false">Time!O35*(Debt!O79+Debt!O80)</f>
        <v>0</v>
      </c>
      <c r="P19" s="19" t="n">
        <f aca="false">Time!P35*(Debt!P79+Debt!P80)</f>
        <v>0</v>
      </c>
      <c r="Q19" s="19" t="n">
        <f aca="false">Time!Q35*(Debt!Q79+Debt!Q80)</f>
        <v>0</v>
      </c>
      <c r="R19" s="19" t="n">
        <f aca="false">Time!R35*(Debt!R79+Debt!R80)</f>
        <v>0</v>
      </c>
      <c r="S19" s="19" t="n">
        <f aca="false">Time!S35*(Debt!S79+Debt!S80)</f>
        <v>0</v>
      </c>
      <c r="T19" s="19" t="n">
        <f aca="false">Time!T35*(Debt!T79+Debt!T80)</f>
        <v>0</v>
      </c>
      <c r="U19" s="19" t="n">
        <f aca="false">Time!U35*(Debt!U79+Debt!U80)</f>
        <v>0</v>
      </c>
      <c r="V19" s="19" t="n">
        <f aca="false">Time!V35*(Debt!V79+Debt!V80)</f>
        <v>0</v>
      </c>
      <c r="W19" s="19" t="n">
        <f aca="false">Time!W35*(Debt!W79+Debt!W80)</f>
        <v>0</v>
      </c>
      <c r="X19" s="19" t="n">
        <f aca="false">Time!X35*(Debt!X79+Debt!X80)</f>
        <v>0</v>
      </c>
      <c r="Y19" s="19" t="n">
        <f aca="false">Time!Y35*(Debt!Y79+Debt!Y80)</f>
        <v>0</v>
      </c>
      <c r="Z19" s="19" t="n">
        <f aca="false">Time!Z35*(Debt!Z79+Debt!Z80)</f>
        <v>0</v>
      </c>
      <c r="AA19" s="19" t="n">
        <f aca="false">Time!AA35*(Debt!AA79+Debt!AA80)</f>
        <v>0</v>
      </c>
      <c r="AB19" s="19" t="n">
        <f aca="false">Time!AB35*(Debt!AB79+Debt!AB80)</f>
        <v>0</v>
      </c>
      <c r="AC19" s="19" t="n">
        <f aca="false">Time!AC35*(Debt!AC79+Debt!AC80)</f>
        <v>0</v>
      </c>
      <c r="AD19" s="19" t="n">
        <f aca="false">Time!AD35*(Debt!AD79+Debt!AD80)</f>
        <v>0</v>
      </c>
      <c r="AE19" s="19" t="n">
        <f aca="false">Time!AE35*(Debt!AE79+Debt!AE80)</f>
        <v>0</v>
      </c>
      <c r="AF19" s="19" t="n">
        <f aca="false">Time!AF35*(Debt!AF79+Debt!AF80)</f>
        <v>0</v>
      </c>
      <c r="AG19" s="19" t="n">
        <f aca="false">Time!AG35*(Debt!AG79+Debt!AG80)</f>
        <v>0</v>
      </c>
      <c r="AH19" s="19" t="n">
        <f aca="false">Time!AH35*(Debt!AH79+Debt!AH80)</f>
        <v>0</v>
      </c>
      <c r="AI19" s="19" t="n">
        <f aca="false">Time!AI35*(Debt!AI79+Debt!AI80)</f>
        <v>0</v>
      </c>
      <c r="AJ19" s="19" t="n">
        <f aca="false">Time!AJ35*(Debt!AJ79+Debt!AJ80)</f>
        <v>0</v>
      </c>
      <c r="AK19" s="19" t="n">
        <f aca="false">Time!AK35*(Debt!AK79+Debt!AK80)</f>
        <v>0</v>
      </c>
      <c r="AL19" s="19" t="n">
        <f aca="false">Time!AL35*(Debt!AL79+Debt!AL80)</f>
        <v>0</v>
      </c>
      <c r="AM19" s="19" t="n">
        <f aca="false">Time!AM35*(Debt!AM79+Debt!AM80)</f>
        <v>0</v>
      </c>
      <c r="AN19" s="19" t="n">
        <f aca="false">Time!AN35*(Debt!AN79+Debt!AN80)</f>
        <v>0</v>
      </c>
      <c r="AO19" s="19" t="n">
        <f aca="false">Time!AO35*(Debt!AO79+Debt!AO80)</f>
        <v>0</v>
      </c>
      <c r="AP19" s="19" t="n">
        <f aca="false">Time!AP35*(Debt!AP79+Debt!AP80)</f>
        <v>0</v>
      </c>
      <c r="AQ19" s="19" t="n">
        <f aca="false">Time!AQ35*(Debt!AQ79+Debt!AQ80)</f>
        <v>0</v>
      </c>
      <c r="AR19" s="19" t="n">
        <f aca="false">Time!AR35*(Debt!AR79+Debt!AR80)</f>
        <v>0</v>
      </c>
      <c r="AS19" s="19" t="n">
        <f aca="false">Time!AS35*(Debt!AS79+Debt!AS80)</f>
        <v>0</v>
      </c>
      <c r="AT19" s="19" t="n">
        <f aca="false">Time!AT35*(Debt!AT79+Debt!AT80)</f>
        <v>0</v>
      </c>
      <c r="AU19" s="19" t="n">
        <f aca="false">Time!AU35*(Debt!AU79+Debt!AU80)</f>
        <v>0</v>
      </c>
      <c r="AV19" s="19" t="n">
        <f aca="false">Time!AV35*(Debt!AV79+Debt!AV80)</f>
        <v>0</v>
      </c>
      <c r="AW19" s="19" t="n">
        <f aca="false">Time!AW35*(Debt!AW79+Debt!AW80)</f>
        <v>0</v>
      </c>
      <c r="AX19" s="19" t="n">
        <f aca="false">Time!AX35*(Debt!AX79+Debt!AX80)</f>
        <v>0</v>
      </c>
      <c r="AY19" s="19" t="n">
        <f aca="false">Time!AY35*(Debt!AY79+Debt!AY80)</f>
        <v>0</v>
      </c>
      <c r="AZ19" s="19" t="n">
        <f aca="false">Time!AZ35*(Debt!AZ79+Debt!AZ80)</f>
        <v>0</v>
      </c>
      <c r="BA19" s="19" t="n">
        <f aca="false">Time!BA35*(Debt!BA79+Debt!BA80)</f>
        <v>0</v>
      </c>
      <c r="BB19" s="19" t="n">
        <f aca="false">Time!BB35*(Debt!BB79+Debt!BB80)</f>
        <v>0</v>
      </c>
      <c r="BC19" s="19" t="n">
        <f aca="false">Time!BC35*(Debt!BC79+Debt!BC80)</f>
        <v>0</v>
      </c>
      <c r="BD19" s="19" t="n">
        <f aca="false">Time!BD35*(Debt!BD79+Debt!BD80)</f>
        <v>0</v>
      </c>
      <c r="BE19" s="19" t="n">
        <f aca="false">Time!BE35*(Debt!BE79+Debt!BE80)</f>
        <v>0</v>
      </c>
      <c r="BF19" s="19" t="n">
        <f aca="false">Time!BF35*(Debt!BF79+Debt!BF80)</f>
        <v>0</v>
      </c>
      <c r="BG19" s="19" t="n">
        <f aca="false">Time!BG35*(Debt!BG79+Debt!BG80)</f>
        <v>0</v>
      </c>
      <c r="BH19" s="19" t="n">
        <f aca="false">Time!BH35*(Debt!BH79+Debt!BH80)</f>
        <v>0</v>
      </c>
      <c r="BI19" s="19" t="n">
        <f aca="false">Time!BI35*(Debt!BI79+Debt!BI80)</f>
        <v>0</v>
      </c>
      <c r="BJ19" s="19" t="n">
        <f aca="false">Time!BJ35*(Debt!BJ79+Debt!BJ80)</f>
        <v>0</v>
      </c>
      <c r="BK19" s="19" t="n">
        <f aca="false">Time!BK35*(Debt!BK79+Debt!BK80)</f>
        <v>0</v>
      </c>
      <c r="BL19" s="19" t="n">
        <f aca="false">Time!BL35*(Debt!BL79+Debt!BL80)</f>
        <v>0</v>
      </c>
      <c r="BM19" s="19" t="n">
        <f aca="false">Time!BM35*(Debt!BM79+Debt!BM80)</f>
        <v>0</v>
      </c>
      <c r="BN19" s="19" t="n">
        <f aca="false">Time!BN35*(Debt!BN79+Debt!BN80)</f>
        <v>0</v>
      </c>
      <c r="BO19" s="19" t="n">
        <f aca="false">Time!BO35*(Debt!BO79+Debt!BO80)</f>
        <v>0</v>
      </c>
      <c r="BP19" s="19" t="n">
        <f aca="false">Time!BP35*(Debt!BP79+Debt!BP80)</f>
        <v>0</v>
      </c>
      <c r="BQ19" s="19" t="n">
        <f aca="false">Time!BQ35*(Debt!BQ79+Debt!BQ80)</f>
        <v>0</v>
      </c>
      <c r="BR19" s="19" t="n">
        <f aca="false">Time!BR35*(Debt!BR79+Debt!BR80)</f>
        <v>0</v>
      </c>
      <c r="BS19" s="19" t="n">
        <f aca="false">Time!BS35*(Debt!BS79+Debt!BS80)</f>
        <v>0</v>
      </c>
      <c r="BT19" s="19" t="n">
        <f aca="false">Time!BT35*(Debt!BT79+Debt!BT80)</f>
        <v>0</v>
      </c>
      <c r="BU19" s="19" t="n">
        <f aca="false">Time!BU35*(Debt!BU79+Debt!BU80)</f>
        <v>0</v>
      </c>
      <c r="BV19" s="19" t="n">
        <f aca="false">Time!BV35*(Debt!BV79+Debt!BV80)</f>
        <v>0</v>
      </c>
      <c r="BW19" s="19" t="n">
        <f aca="false">Time!BW35*(Debt!BW79+Debt!BW80)</f>
        <v>0</v>
      </c>
      <c r="BX19" s="19" t="n">
        <f aca="false">Time!BX35*(Debt!BX79+Debt!BX80)</f>
        <v>0</v>
      </c>
      <c r="BY19" s="19" t="n">
        <f aca="false">Time!BY35*(Debt!BY79+Debt!BY80)</f>
        <v>0</v>
      </c>
      <c r="BZ19" s="19" t="n">
        <f aca="false">Time!BZ35*(Debt!BZ79+Debt!BZ80)</f>
        <v>0</v>
      </c>
      <c r="CA19" s="19" t="n">
        <f aca="false">Time!CA35*(Debt!CA79+Debt!CA80)</f>
        <v>0</v>
      </c>
      <c r="CB19" s="19" t="n">
        <f aca="false">Time!CB35*(Debt!CB79+Debt!CB80)</f>
        <v>0</v>
      </c>
      <c r="CC19" s="19" t="n">
        <f aca="false">Time!CC35*(Debt!CC79+Debt!CC80)</f>
        <v>0</v>
      </c>
      <c r="CD19" s="19" t="n">
        <f aca="false">Time!CD35*(Debt!CD79+Debt!CD80)</f>
        <v>0</v>
      </c>
      <c r="CE19" s="19" t="n">
        <f aca="false">Time!CE35*(Debt!CE79+Debt!CE80)</f>
        <v>0</v>
      </c>
      <c r="CF19" s="19" t="n">
        <f aca="false">Time!CF35*(Debt!CF79+Debt!CF80)</f>
        <v>0</v>
      </c>
      <c r="CG19" s="19" t="n">
        <f aca="false">Time!CG35*(Debt!CG79+Debt!CG80)</f>
        <v>0</v>
      </c>
      <c r="CH19" s="19" t="n">
        <f aca="false">Time!CH35*(Debt!CH79+Debt!CH80)</f>
        <v>0</v>
      </c>
      <c r="CI19" s="19" t="n">
        <f aca="false">Time!CI35*(Debt!CI79+Debt!CI80)</f>
        <v>0</v>
      </c>
      <c r="CJ19" s="19" t="n">
        <f aca="false">Time!CJ35*(Debt!CJ79+Debt!CJ80)</f>
        <v>0</v>
      </c>
      <c r="CK19" s="19" t="n">
        <f aca="false">Time!CK35*(Debt!CK79+Debt!CK80)</f>
        <v>0</v>
      </c>
      <c r="CL19" s="19" t="n">
        <f aca="false">Time!CL35*(Debt!CL79+Debt!CL80)</f>
        <v>0</v>
      </c>
      <c r="CM19" s="19" t="n">
        <f aca="false">Time!CM35*(Debt!CM79+Debt!CM80)</f>
        <v>0</v>
      </c>
      <c r="CN19" s="19" t="n">
        <f aca="false">Time!CN35*(Debt!CN79+Debt!CN80)</f>
        <v>0</v>
      </c>
      <c r="CO19" s="19" t="n">
        <f aca="false">Time!CO35*(Debt!CO79+Debt!CO80)</f>
        <v>0</v>
      </c>
      <c r="CP19" s="19" t="n">
        <f aca="false">Time!CP35*(Debt!CP79+Debt!CP80)</f>
        <v>0</v>
      </c>
      <c r="CQ19" s="19" t="n">
        <f aca="false">Time!CQ35*(Debt!CQ79+Debt!CQ80)</f>
        <v>0</v>
      </c>
      <c r="CR19" s="19" t="n">
        <f aca="false">Time!CR35*(Debt!CR79+Debt!CR80)</f>
        <v>0</v>
      </c>
      <c r="CS19" s="19" t="n">
        <f aca="false">Time!CS35*(Debt!CS79+Debt!CS80)</f>
        <v>0</v>
      </c>
      <c r="CT19" s="19" t="n">
        <f aca="false">Time!CT35*(Debt!CT79+Debt!CT80)</f>
        <v>0</v>
      </c>
      <c r="CU19" s="19" t="n">
        <f aca="false">Time!CU35*(Debt!CU79+Debt!CU80)</f>
        <v>0</v>
      </c>
      <c r="CV19" s="19" t="n">
        <f aca="false">Time!CV35*(Debt!CV79+Debt!CV80)</f>
        <v>0</v>
      </c>
      <c r="CW19" s="19" t="n">
        <f aca="false">Time!CW35*(Debt!CW79+Debt!CW80)</f>
        <v>0</v>
      </c>
      <c r="CX19" s="19" t="n">
        <f aca="false">Time!CX35*(Debt!CX79+Debt!CX80)</f>
        <v>0</v>
      </c>
      <c r="CY19" s="19" t="n">
        <f aca="false">Time!CY35*(Debt!CY79+Debt!CY80)</f>
        <v>0</v>
      </c>
      <c r="CZ19" s="19" t="n">
        <f aca="false">Time!CZ35*(Debt!CZ79+Debt!CZ80)</f>
        <v>0</v>
      </c>
      <c r="DA19" s="19" t="n">
        <f aca="false">Time!DA35*(Debt!DA79+Debt!DA80)</f>
        <v>0</v>
      </c>
      <c r="DB19" s="19" t="n">
        <f aca="false">Time!DB35*(Debt!DB79+Debt!DB80)</f>
        <v>0</v>
      </c>
    </row>
    <row r="20" customFormat="false" ht="15" hidden="false" customHeight="false" outlineLevel="0" collapsed="false">
      <c r="D20" s="0" t="s">
        <v>432</v>
      </c>
      <c r="E20" s="0" t="s">
        <v>44</v>
      </c>
      <c r="G20" s="19" t="n">
        <f aca="false">SUM(J20:DB20)</f>
        <v>0</v>
      </c>
      <c r="J20" s="19" t="n">
        <f aca="false">MIN(J19,J16-J17+J18)</f>
        <v>0</v>
      </c>
      <c r="K20" s="19" t="n">
        <f aca="false">MIN(K19,K16-K17+K18)</f>
        <v>0</v>
      </c>
      <c r="L20" s="19" t="n">
        <f aca="false">MIN(L19,L16-L17+L18)</f>
        <v>0</v>
      </c>
      <c r="M20" s="19" t="n">
        <f aca="false">MIN(M19,M16-M17+M18)</f>
        <v>0</v>
      </c>
      <c r="N20" s="19" t="n">
        <f aca="false">MIN(N19,N16-N17+N18)</f>
        <v>0</v>
      </c>
      <c r="O20" s="19" t="n">
        <f aca="false">MIN(O19,O16-O17+O18)</f>
        <v>0</v>
      </c>
      <c r="P20" s="19" t="n">
        <f aca="false">MIN(P19,P16-P17+P18)</f>
        <v>0</v>
      </c>
      <c r="Q20" s="19" t="n">
        <f aca="false">MIN(Q19,Q16-Q17+Q18)</f>
        <v>0</v>
      </c>
      <c r="R20" s="19" t="n">
        <f aca="false">MIN(R19,R16-R17+R18)</f>
        <v>0</v>
      </c>
      <c r="S20" s="19" t="n">
        <f aca="false">MIN(S19,S16-S17+S18)</f>
        <v>0</v>
      </c>
      <c r="T20" s="19" t="n">
        <f aca="false">MIN(T19,T16-T17+T18)</f>
        <v>0</v>
      </c>
      <c r="U20" s="19" t="n">
        <f aca="false">MIN(U19,U16-U17+U18)</f>
        <v>0</v>
      </c>
      <c r="V20" s="19" t="n">
        <f aca="false">MIN(V19,V16-V17+V18)</f>
        <v>0</v>
      </c>
      <c r="W20" s="19" t="n">
        <f aca="false">MIN(W19,W16-W17+W18)</f>
        <v>0</v>
      </c>
      <c r="X20" s="19" t="n">
        <f aca="false">MIN(X19,X16-X17+X18)</f>
        <v>0</v>
      </c>
      <c r="Y20" s="19" t="n">
        <f aca="false">MIN(Y19,Y16-Y17+Y18)</f>
        <v>0</v>
      </c>
      <c r="Z20" s="19" t="n">
        <f aca="false">MIN(Z19,Z16-Z17+Z18)</f>
        <v>0</v>
      </c>
      <c r="AA20" s="19" t="n">
        <f aca="false">MIN(AA19,AA16-AA17+AA18)</f>
        <v>0</v>
      </c>
      <c r="AB20" s="19" t="n">
        <f aca="false">MIN(AB19,AB16-AB17+AB18)</f>
        <v>0</v>
      </c>
      <c r="AC20" s="19" t="n">
        <f aca="false">MIN(AC19,AC16-AC17+AC18)</f>
        <v>0</v>
      </c>
      <c r="AD20" s="19" t="n">
        <f aca="false">MIN(AD19,AD16-AD17+AD18)</f>
        <v>0</v>
      </c>
      <c r="AE20" s="19" t="n">
        <f aca="false">MIN(AE19,AE16-AE17+AE18)</f>
        <v>0</v>
      </c>
      <c r="AF20" s="19" t="n">
        <f aca="false">MIN(AF19,AF16-AF17+AF18)</f>
        <v>0</v>
      </c>
      <c r="AG20" s="19" t="n">
        <f aca="false">MIN(AG19,AG16-AG17+AG18)</f>
        <v>0</v>
      </c>
      <c r="AH20" s="19" t="n">
        <f aca="false">MIN(AH19,AH16-AH17+AH18)</f>
        <v>0</v>
      </c>
      <c r="AI20" s="19" t="n">
        <f aca="false">MIN(AI19,AI16-AI17+AI18)</f>
        <v>0</v>
      </c>
      <c r="AJ20" s="19" t="n">
        <f aca="false">MIN(AJ19,AJ16-AJ17+AJ18)</f>
        <v>0</v>
      </c>
      <c r="AK20" s="19" t="n">
        <f aca="false">MIN(AK19,AK16-AK17+AK18)</f>
        <v>0</v>
      </c>
      <c r="AL20" s="19" t="n">
        <f aca="false">MIN(AL19,AL16-AL17+AL18)</f>
        <v>0</v>
      </c>
      <c r="AM20" s="19" t="n">
        <f aca="false">MIN(AM19,AM16-AM17+AM18)</f>
        <v>0</v>
      </c>
      <c r="AN20" s="19" t="n">
        <f aca="false">MIN(AN19,AN16-AN17+AN18)</f>
        <v>0</v>
      </c>
      <c r="AO20" s="19" t="n">
        <f aca="false">MIN(AO19,AO16-AO17+AO18)</f>
        <v>0</v>
      </c>
      <c r="AP20" s="19" t="n">
        <f aca="false">MIN(AP19,AP16-AP17+AP18)</f>
        <v>0</v>
      </c>
      <c r="AQ20" s="19" t="n">
        <f aca="false">MIN(AQ19,AQ16-AQ17+AQ18)</f>
        <v>0</v>
      </c>
      <c r="AR20" s="19" t="n">
        <f aca="false">MIN(AR19,AR16-AR17+AR18)</f>
        <v>0</v>
      </c>
      <c r="AS20" s="19" t="n">
        <f aca="false">MIN(AS19,AS16-AS17+AS18)</f>
        <v>0</v>
      </c>
      <c r="AT20" s="19" t="n">
        <f aca="false">MIN(AT19,AT16-AT17+AT18)</f>
        <v>0</v>
      </c>
      <c r="AU20" s="19" t="n">
        <f aca="false">MIN(AU19,AU16-AU17+AU18)</f>
        <v>0</v>
      </c>
      <c r="AV20" s="19" t="n">
        <f aca="false">MIN(AV19,AV16-AV17+AV18)</f>
        <v>0</v>
      </c>
      <c r="AW20" s="19" t="n">
        <f aca="false">MIN(AW19,AW16-AW17+AW18)</f>
        <v>0</v>
      </c>
      <c r="AX20" s="19" t="n">
        <f aca="false">MIN(AX19,AX16-AX17+AX18)</f>
        <v>0</v>
      </c>
      <c r="AY20" s="19" t="n">
        <f aca="false">MIN(AY19,AY16-AY17+AY18)</f>
        <v>0</v>
      </c>
      <c r="AZ20" s="19" t="n">
        <f aca="false">MIN(AZ19,AZ16-AZ17+AZ18)</f>
        <v>0</v>
      </c>
      <c r="BA20" s="19" t="n">
        <f aca="false">MIN(BA19,BA16-BA17+BA18)</f>
        <v>0</v>
      </c>
      <c r="BB20" s="19" t="n">
        <f aca="false">MIN(BB19,BB16-BB17+BB18)</f>
        <v>0</v>
      </c>
      <c r="BC20" s="19" t="n">
        <f aca="false">MIN(BC19,BC16-BC17+BC18)</f>
        <v>0</v>
      </c>
      <c r="BD20" s="19" t="n">
        <f aca="false">MIN(BD19,BD16-BD17+BD18)</f>
        <v>0</v>
      </c>
      <c r="BE20" s="19" t="n">
        <f aca="false">MIN(BE19,BE16-BE17+BE18)</f>
        <v>0</v>
      </c>
      <c r="BF20" s="19" t="n">
        <f aca="false">MIN(BF19,BF16-BF17+BF18)</f>
        <v>0</v>
      </c>
      <c r="BG20" s="19" t="n">
        <f aca="false">MIN(BG19,BG16-BG17+BG18)</f>
        <v>0</v>
      </c>
      <c r="BH20" s="19" t="n">
        <f aca="false">MIN(BH19,BH16-BH17+BH18)</f>
        <v>0</v>
      </c>
      <c r="BI20" s="19" t="n">
        <f aca="false">MIN(BI19,BI16-BI17+BI18)</f>
        <v>0</v>
      </c>
      <c r="BJ20" s="19" t="n">
        <f aca="false">MIN(BJ19,BJ16-BJ17+BJ18)</f>
        <v>0</v>
      </c>
      <c r="BK20" s="19" t="n">
        <f aca="false">MIN(BK19,BK16-BK17+BK18)</f>
        <v>0</v>
      </c>
      <c r="BL20" s="19" t="n">
        <f aca="false">MIN(BL19,BL16-BL17+BL18)</f>
        <v>0</v>
      </c>
      <c r="BM20" s="19" t="n">
        <f aca="false">MIN(BM19,BM16-BM17+BM18)</f>
        <v>0</v>
      </c>
      <c r="BN20" s="19" t="n">
        <f aca="false">MIN(BN19,BN16-BN17+BN18)</f>
        <v>0</v>
      </c>
      <c r="BO20" s="19" t="n">
        <f aca="false">MIN(BO19,BO16-BO17+BO18)</f>
        <v>0</v>
      </c>
      <c r="BP20" s="19" t="n">
        <f aca="false">MIN(BP19,BP16-BP17+BP18)</f>
        <v>0</v>
      </c>
      <c r="BQ20" s="19" t="n">
        <f aca="false">MIN(BQ19,BQ16-BQ17+BQ18)</f>
        <v>0</v>
      </c>
      <c r="BR20" s="19" t="n">
        <f aca="false">MIN(BR19,BR16-BR17+BR18)</f>
        <v>0</v>
      </c>
      <c r="BS20" s="19" t="n">
        <f aca="false">MIN(BS19,BS16-BS17+BS18)</f>
        <v>0</v>
      </c>
      <c r="BT20" s="19" t="n">
        <f aca="false">MIN(BT19,BT16-BT17+BT18)</f>
        <v>0</v>
      </c>
      <c r="BU20" s="19" t="n">
        <f aca="false">MIN(BU19,BU16-BU17+BU18)</f>
        <v>0</v>
      </c>
      <c r="BV20" s="19" t="n">
        <f aca="false">MIN(BV19,BV16-BV17+BV18)</f>
        <v>0</v>
      </c>
      <c r="BW20" s="19" t="n">
        <f aca="false">MIN(BW19,BW16-BW17+BW18)</f>
        <v>0</v>
      </c>
      <c r="BX20" s="19" t="n">
        <f aca="false">MIN(BX19,BX16-BX17+BX18)</f>
        <v>0</v>
      </c>
      <c r="BY20" s="19" t="n">
        <f aca="false">MIN(BY19,BY16-BY17+BY18)</f>
        <v>0</v>
      </c>
      <c r="BZ20" s="19" t="n">
        <f aca="false">MIN(BZ19,BZ16-BZ17+BZ18)</f>
        <v>0</v>
      </c>
      <c r="CA20" s="19" t="n">
        <f aca="false">MIN(CA19,CA16-CA17+CA18)</f>
        <v>0</v>
      </c>
      <c r="CB20" s="19" t="n">
        <f aca="false">MIN(CB19,CB16-CB17+CB18)</f>
        <v>0</v>
      </c>
      <c r="CC20" s="19" t="n">
        <f aca="false">MIN(CC19,CC16-CC17+CC18)</f>
        <v>0</v>
      </c>
      <c r="CD20" s="19" t="n">
        <f aca="false">MIN(CD19,CD16-CD17+CD18)</f>
        <v>0</v>
      </c>
      <c r="CE20" s="19" t="n">
        <f aca="false">MIN(CE19,CE16-CE17+CE18)</f>
        <v>0</v>
      </c>
      <c r="CF20" s="19" t="n">
        <f aca="false">MIN(CF19,CF16-CF17+CF18)</f>
        <v>0</v>
      </c>
      <c r="CG20" s="19" t="n">
        <f aca="false">MIN(CG19,CG16-CG17+CG18)</f>
        <v>0</v>
      </c>
      <c r="CH20" s="19" t="n">
        <f aca="false">MIN(CH19,CH16-CH17+CH18)</f>
        <v>0</v>
      </c>
      <c r="CI20" s="19" t="n">
        <f aca="false">MIN(CI19,CI16-CI17+CI18)</f>
        <v>0</v>
      </c>
      <c r="CJ20" s="19" t="n">
        <f aca="false">MIN(CJ19,CJ16-CJ17+CJ18)</f>
        <v>0</v>
      </c>
      <c r="CK20" s="19" t="n">
        <f aca="false">MIN(CK19,CK16-CK17+CK18)</f>
        <v>0</v>
      </c>
      <c r="CL20" s="19" t="n">
        <f aca="false">MIN(CL19,CL16-CL17+CL18)</f>
        <v>0</v>
      </c>
      <c r="CM20" s="19" t="n">
        <f aca="false">MIN(CM19,CM16-CM17+CM18)</f>
        <v>0</v>
      </c>
      <c r="CN20" s="19" t="n">
        <f aca="false">MIN(CN19,CN16-CN17+CN18)</f>
        <v>0</v>
      </c>
      <c r="CO20" s="19" t="n">
        <f aca="false">MIN(CO19,CO16-CO17+CO18)</f>
        <v>0</v>
      </c>
      <c r="CP20" s="19" t="n">
        <f aca="false">MIN(CP19,CP16-CP17+CP18)</f>
        <v>0</v>
      </c>
      <c r="CQ20" s="19" t="n">
        <f aca="false">MIN(CQ19,CQ16-CQ17+CQ18)</f>
        <v>0</v>
      </c>
      <c r="CR20" s="19" t="n">
        <f aca="false">MIN(CR19,CR16-CR17+CR18)</f>
        <v>0</v>
      </c>
      <c r="CS20" s="19" t="n">
        <f aca="false">MIN(CS19,CS16-CS17+CS18)</f>
        <v>0</v>
      </c>
      <c r="CT20" s="19" t="n">
        <f aca="false">MIN(CT19,CT16-CT17+CT18)</f>
        <v>0</v>
      </c>
      <c r="CU20" s="19" t="n">
        <f aca="false">MIN(CU19,CU16-CU17+CU18)</f>
        <v>0</v>
      </c>
      <c r="CV20" s="19" t="n">
        <f aca="false">MIN(CV19,CV16-CV17+CV18)</f>
        <v>0</v>
      </c>
      <c r="CW20" s="19" t="n">
        <f aca="false">MIN(CW19,CW16-CW17+CW18)</f>
        <v>0</v>
      </c>
      <c r="CX20" s="19" t="n">
        <f aca="false">MIN(CX19,CX16-CX17+CX18)</f>
        <v>0</v>
      </c>
      <c r="CY20" s="19" t="n">
        <f aca="false">MIN(CY19,CY16-CY17+CY18)</f>
        <v>0</v>
      </c>
      <c r="CZ20" s="19" t="n">
        <f aca="false">MIN(CZ19,CZ16-CZ17+CZ18)</f>
        <v>0</v>
      </c>
      <c r="DA20" s="19" t="n">
        <f aca="false">MIN(DA19,DA16-DA17+DA18)</f>
        <v>0</v>
      </c>
      <c r="DB20" s="19" t="n">
        <f aca="false">MIN(DB19,DB16-DB17+DB18)</f>
        <v>0</v>
      </c>
    </row>
    <row r="21" customFormat="false" ht="15" hidden="false" customHeight="false" outlineLevel="0" collapsed="false">
      <c r="D21" s="0" t="s">
        <v>433</v>
      </c>
      <c r="E21" s="0" t="s">
        <v>44</v>
      </c>
      <c r="J21" s="19" t="n">
        <f aca="false">J16-J17+J18-J20</f>
        <v>0</v>
      </c>
      <c r="K21" s="19" t="n">
        <f aca="false">K16-K17+K18-K20</f>
        <v>0</v>
      </c>
      <c r="L21" s="19" t="n">
        <f aca="false">L16-L17+L18-L20</f>
        <v>0</v>
      </c>
      <c r="M21" s="19" t="n">
        <f aca="false">M16-M17+M18-M20</f>
        <v>0</v>
      </c>
      <c r="N21" s="19" t="n">
        <f aca="false">N16-N17+N18-N20</f>
        <v>0</v>
      </c>
      <c r="O21" s="19" t="n">
        <f aca="false">O16-O17+O18-O20</f>
        <v>0</v>
      </c>
      <c r="P21" s="19" t="n">
        <f aca="false">P16-P17+P18-P20</f>
        <v>0</v>
      </c>
      <c r="Q21" s="19" t="n">
        <f aca="false">Q16-Q17+Q18-Q20</f>
        <v>0</v>
      </c>
      <c r="R21" s="19" t="n">
        <f aca="false">R16-R17+R18-R20</f>
        <v>0</v>
      </c>
      <c r="S21" s="19" t="n">
        <f aca="false">S16-S17+S18-S20</f>
        <v>0</v>
      </c>
      <c r="T21" s="19" t="n">
        <f aca="false">T16-T17+T18-T20</f>
        <v>0</v>
      </c>
      <c r="U21" s="19" t="n">
        <f aca="false">U16-U17+U18-U20</f>
        <v>0</v>
      </c>
      <c r="V21" s="19" t="n">
        <f aca="false">V16-V17+V18-V20</f>
        <v>0</v>
      </c>
      <c r="W21" s="19" t="n">
        <f aca="false">W16-W17+W18-W20</f>
        <v>0</v>
      </c>
      <c r="X21" s="19" t="n">
        <f aca="false">X16-X17+X18-X20</f>
        <v>0</v>
      </c>
      <c r="Y21" s="19" t="n">
        <f aca="false">Y16-Y17+Y18-Y20</f>
        <v>0</v>
      </c>
      <c r="Z21" s="19" t="n">
        <f aca="false">Z16-Z17+Z18-Z20</f>
        <v>25.7499004352242</v>
      </c>
      <c r="AA21" s="19" t="n">
        <f aca="false">AA16-AA17+AA18-AA20</f>
        <v>77.3262125209264</v>
      </c>
      <c r="AB21" s="19" t="n">
        <f aca="false">AB16-AB17+AB18-AB20</f>
        <v>123.497738155887</v>
      </c>
      <c r="AC21" s="19" t="n">
        <f aca="false">AC16-AC17+AC18-AC20</f>
        <v>170.641103738684</v>
      </c>
      <c r="AD21" s="19" t="n">
        <f aca="false">AD16-AD17+AD18-AD20</f>
        <v>213.951689977622</v>
      </c>
      <c r="AE21" s="19" t="n">
        <f aca="false">AE16-AE17+AE18-AE20</f>
        <v>254.729843013065</v>
      </c>
      <c r="AF21" s="19" t="n">
        <f aca="false">AF16-AF17+AF18-AF20</f>
        <v>296.337602093538</v>
      </c>
      <c r="AG21" s="19" t="n">
        <f aca="false">AG16-AG17+AG18-AG20</f>
        <v>331.814818447365</v>
      </c>
      <c r="AH21" s="19" t="n">
        <f aca="false">AH16-AH17+AH18-AH20</f>
        <v>365.274571249532</v>
      </c>
      <c r="AI21" s="19" t="n">
        <f aca="false">AI16-AI17+AI18-AI20</f>
        <v>397.587915265571</v>
      </c>
      <c r="AJ21" s="19" t="n">
        <f aca="false">AJ16-AJ17+AJ18-AJ20</f>
        <v>427.919374423135</v>
      </c>
      <c r="AK21" s="19" t="n">
        <f aca="false">AK16-AK17+AK18-AK20</f>
        <v>457.005901022172</v>
      </c>
      <c r="AL21" s="19" t="n">
        <f aca="false">AL16-AL17+AL18-AL20</f>
        <v>484.076763058293</v>
      </c>
      <c r="AM21" s="19" t="n">
        <f aca="false">AM16-AM17+AM18-AM20</f>
        <v>509.814718546382</v>
      </c>
      <c r="AN21" s="19" t="n">
        <f aca="false">AN16-AN17+AN18-AN20</f>
        <v>533.291281869812</v>
      </c>
      <c r="AO21" s="19" t="n">
        <f aca="false">AO16-AO17+AO18-AO20</f>
        <v>574.379147971099</v>
      </c>
      <c r="AP21" s="19" t="n">
        <f aca="false">AP16-AP17+AP18-AP20</f>
        <v>593.48069644204</v>
      </c>
      <c r="AQ21" s="19" t="n">
        <f aca="false">AQ16-AQ17+AQ18-AQ20</f>
        <v>610.345945687866</v>
      </c>
      <c r="AR21" s="19" t="n">
        <f aca="false">AR16-AR17+AR18-AR20</f>
        <v>624.736316496518</v>
      </c>
      <c r="AS21" s="19" t="n">
        <f aca="false">AS16-AS17+AS18-AS20</f>
        <v>636.919217204283</v>
      </c>
      <c r="AT21" s="19" t="n">
        <f aca="false">AT16-AT17+AT18-AT20</f>
        <v>646.29201898466</v>
      </c>
      <c r="AU21" s="19" t="n">
        <f aca="false">AU16-AU17+AU18-AU20</f>
        <v>653.026443169845</v>
      </c>
      <c r="AV21" s="19" t="n">
        <f aca="false">AV16-AV17+AV18-AV20</f>
        <v>656.611329726763</v>
      </c>
      <c r="AW21" s="19" t="n">
        <f aca="false">AW16-AW17+AW18-AW20</f>
        <v>718.864302328552</v>
      </c>
      <c r="AX21" s="19" t="n">
        <f aca="false">AX16-AX17+AX18-AX20</f>
        <v>716.936753106621</v>
      </c>
      <c r="AY21" s="19" t="n">
        <f aca="false">AY16-AY17+AY18-AY20</f>
        <v>711.329248451779</v>
      </c>
      <c r="AZ21" s="19" t="n">
        <f aca="false">AZ16-AZ17+AZ18-AZ20</f>
        <v>703.02604933227</v>
      </c>
      <c r="BA21" s="19" t="n">
        <f aca="false">BA16-BA17+BA18-BA20</f>
        <v>690.887587540614</v>
      </c>
      <c r="BB21" s="19" t="n">
        <f aca="false">BB16-BB17+BB18-BB20</f>
        <v>675.887395646836</v>
      </c>
      <c r="BC21" s="19" t="n">
        <f aca="false">BC16-BC17+BC18-BC20</f>
        <v>706.373246134837</v>
      </c>
      <c r="BD21" s="19" t="n">
        <f aca="false">BD16-BD17+BD18-BD20</f>
        <v>683.657101356994</v>
      </c>
      <c r="BE21" s="19" t="n">
        <f aca="false">BE16-BE17+BE18-BE20</f>
        <v>679.181699834792</v>
      </c>
      <c r="BF21" s="19" t="n">
        <f aca="false">BF16-BF17+BF18-BF20</f>
        <v>647.27715064317</v>
      </c>
      <c r="BG21" s="19" t="n">
        <f aca="false">BG16-BG17+BG18-BG20</f>
        <v>609.281402348461</v>
      </c>
      <c r="BH21" s="19" t="n">
        <f aca="false">BH16-BH17+BH18-BH20</f>
        <v>566.689552602691</v>
      </c>
      <c r="BI21" s="19" t="n">
        <f aca="false">BI16-BI17+BI18-BI20</f>
        <v>517.457443596094</v>
      </c>
      <c r="BJ21" s="19" t="n">
        <f aca="false">BJ16-BJ17+BJ18-BJ20</f>
        <v>463.48841849636</v>
      </c>
      <c r="BK21" s="19" t="n">
        <f aca="false">BK16-BK17+BK18-BK20</f>
        <v>401.754037045216</v>
      </c>
      <c r="BL21" s="19" t="n">
        <f aca="false">BL16-BL17+BL18-BL20</f>
        <v>335.965098635684</v>
      </c>
      <c r="BM21" s="19" t="n">
        <f aca="false">BM16-BM17+BM18-BM20</f>
        <v>264.788821579065</v>
      </c>
      <c r="BN21" s="19" t="n">
        <f aca="false">BN16-BN17+BN18-BN20</f>
        <v>191.414990537122</v>
      </c>
      <c r="BO21" s="19" t="n">
        <f aca="false">BO16-BO17+BO18-BO20</f>
        <v>112.255253914269</v>
      </c>
      <c r="BP21" s="19" t="n">
        <f aca="false">BP16-BP17+BP18-BP20</f>
        <v>30.4997288513689</v>
      </c>
      <c r="BQ21" s="19" t="n">
        <f aca="false">BQ16-BQ17+BQ18-BQ20</f>
        <v>0</v>
      </c>
      <c r="BR21" s="19" t="n">
        <f aca="false">BR16-BR17+BR18-BR20</f>
        <v>0</v>
      </c>
      <c r="BS21" s="19" t="n">
        <f aca="false">BS16-BS17+BS18-BS20</f>
        <v>0</v>
      </c>
      <c r="BT21" s="19" t="n">
        <f aca="false">BT16-BT17+BT18-BT20</f>
        <v>0</v>
      </c>
      <c r="BU21" s="19" t="n">
        <f aca="false">BU16-BU17+BU18-BU20</f>
        <v>10.4094998596489</v>
      </c>
      <c r="BV21" s="19" t="n">
        <f aca="false">BV16-BV17+BV18-BV20</f>
        <v>0</v>
      </c>
      <c r="BW21" s="19" t="n">
        <f aca="false">BW16-BW17+BW18-BW20</f>
        <v>0</v>
      </c>
      <c r="BX21" s="19" t="n">
        <f aca="false">BX16-BX17+BX18-BX20</f>
        <v>0</v>
      </c>
      <c r="BY21" s="19" t="n">
        <f aca="false">BY16-BY17+BY18-BY20</f>
        <v>0</v>
      </c>
      <c r="BZ21" s="19" t="n">
        <f aca="false">BZ16-BZ17+BZ18-BZ20</f>
        <v>0</v>
      </c>
      <c r="CA21" s="19" t="n">
        <f aca="false">CA16-CA17+CA18-CA20</f>
        <v>0</v>
      </c>
      <c r="CB21" s="19" t="n">
        <f aca="false">CB16-CB17+CB18-CB20</f>
        <v>0</v>
      </c>
      <c r="CC21" s="19" t="n">
        <f aca="false">CC16-CC17+CC18-CC20</f>
        <v>0</v>
      </c>
      <c r="CD21" s="19" t="n">
        <f aca="false">CD16-CD17+CD18-CD20</f>
        <v>0</v>
      </c>
      <c r="CE21" s="19" t="n">
        <f aca="false">CE16-CE17+CE18-CE20</f>
        <v>0</v>
      </c>
      <c r="CF21" s="19" t="n">
        <f aca="false">CF16-CF17+CF18-CF20</f>
        <v>0</v>
      </c>
      <c r="CG21" s="19" t="n">
        <f aca="false">CG16-CG17+CG18-CG20</f>
        <v>0</v>
      </c>
      <c r="CH21" s="19" t="n">
        <f aca="false">CH16-CH17+CH18-CH20</f>
        <v>0</v>
      </c>
      <c r="CI21" s="19" t="n">
        <f aca="false">CI16-CI17+CI18-CI20</f>
        <v>0</v>
      </c>
      <c r="CJ21" s="19" t="n">
        <f aca="false">CJ16-CJ17+CJ18-CJ20</f>
        <v>0</v>
      </c>
      <c r="CK21" s="19" t="n">
        <f aca="false">CK16-CK17+CK18-CK20</f>
        <v>0</v>
      </c>
      <c r="CL21" s="19" t="n">
        <f aca="false">CL16-CL17+CL18-CL20</f>
        <v>0</v>
      </c>
      <c r="CM21" s="19" t="n">
        <f aca="false">CM16-CM17+CM18-CM20</f>
        <v>0</v>
      </c>
      <c r="CN21" s="19" t="n">
        <f aca="false">CN16-CN17+CN18-CN20</f>
        <v>0</v>
      </c>
      <c r="CO21" s="19" t="n">
        <f aca="false">CO16-CO17+CO18-CO20</f>
        <v>0</v>
      </c>
      <c r="CP21" s="19" t="n">
        <f aca="false">CP16-CP17+CP18-CP20</f>
        <v>0</v>
      </c>
      <c r="CQ21" s="19" t="n">
        <f aca="false">CQ16-CQ17+CQ18-CQ20</f>
        <v>5.55648191080975E-014</v>
      </c>
      <c r="CR21" s="19" t="n">
        <f aca="false">CR16-CR17+CR18-CR20</f>
        <v>1.1068301830619E-013</v>
      </c>
      <c r="CS21" s="19" t="n">
        <f aca="false">CS16-CS17+CS18-CS20</f>
        <v>1.66247837414288E-013</v>
      </c>
      <c r="CT21" s="19" t="n">
        <f aca="false">CT16-CT17+CT18-CT20</f>
        <v>2.2136603661238E-013</v>
      </c>
      <c r="CU21" s="19" t="n">
        <f aca="false">CU16-CU17+CU18-CU20</f>
        <v>2.76930855720478E-013</v>
      </c>
      <c r="CV21" s="19" t="n">
        <f aca="false">CV16-CV17+CV18-CV20</f>
        <v>3.32197928221906E-013</v>
      </c>
      <c r="CW21" s="19" t="n">
        <f aca="false">CW16-CW17+CW18-CW20</f>
        <v>3.87762747330003E-013</v>
      </c>
      <c r="CX21" s="19" t="n">
        <f aca="false">CX16-CX17+CX18-CX20</f>
        <v>4.42880946528096E-013</v>
      </c>
      <c r="CY21" s="19" t="n">
        <f aca="false">CY16-CY17+CY18-CY20</f>
        <v>4.98445765636193E-013</v>
      </c>
      <c r="CZ21" s="19" t="n">
        <f aca="false">CZ16-CZ17+CZ18-CZ20</f>
        <v>5.53563964834286E-013</v>
      </c>
      <c r="DA21" s="19" t="n">
        <f aca="false">DA16-DA17+DA18-DA20</f>
        <v>6.09128783942384E-013</v>
      </c>
      <c r="DB21" s="19" t="n">
        <f aca="false">DB16-DB17+DB18-DB20</f>
        <v>6.64246983140476E-013</v>
      </c>
    </row>
    <row r="22" customFormat="false" ht="15" hidden="false" customHeight="false" outlineLevel="0" collapsed="false">
      <c r="D22" s="0" t="s">
        <v>434</v>
      </c>
      <c r="E22" s="0" t="s">
        <v>44</v>
      </c>
      <c r="G22" s="19" t="n">
        <f aca="false">SUM(J22:DB22)</f>
        <v>3187.70017289866</v>
      </c>
      <c r="J22" s="19" t="n">
        <f aca="false">MAX(0,J15)-J17</f>
        <v>0</v>
      </c>
      <c r="K22" s="19" t="n">
        <f aca="false">MAX(0,K15)-K17</f>
        <v>0</v>
      </c>
      <c r="L22" s="19" t="n">
        <f aca="false">MAX(0,L15)-L17</f>
        <v>0</v>
      </c>
      <c r="M22" s="19" t="n">
        <f aca="false">MAX(0,M15)-M17</f>
        <v>0</v>
      </c>
      <c r="N22" s="19" t="n">
        <f aca="false">MAX(0,N15)-N17</f>
        <v>0</v>
      </c>
      <c r="O22" s="19" t="n">
        <f aca="false">MAX(0,O15)-O17</f>
        <v>0</v>
      </c>
      <c r="P22" s="19" t="n">
        <f aca="false">MAX(0,P15)-P17</f>
        <v>0</v>
      </c>
      <c r="Q22" s="19" t="n">
        <f aca="false">MAX(0,Q15)-Q17</f>
        <v>0</v>
      </c>
      <c r="R22" s="19" t="n">
        <f aca="false">MAX(0,R15)-R17</f>
        <v>0</v>
      </c>
      <c r="S22" s="19" t="n">
        <f aca="false">MAX(0,S15)-S17</f>
        <v>0</v>
      </c>
      <c r="T22" s="19" t="n">
        <f aca="false">MAX(0,T15)-T17</f>
        <v>0</v>
      </c>
      <c r="U22" s="19" t="n">
        <f aca="false">MAX(0,U15)-U17</f>
        <v>0</v>
      </c>
      <c r="V22" s="19" t="n">
        <f aca="false">MAX(0,V15)-V17</f>
        <v>0</v>
      </c>
      <c r="W22" s="19" t="n">
        <f aca="false">MAX(0,W15)-W17</f>
        <v>0</v>
      </c>
      <c r="X22" s="19" t="n">
        <f aca="false">MAX(0,X15)-X17</f>
        <v>0</v>
      </c>
      <c r="Y22" s="19" t="n">
        <f aca="false">MAX(0,Y15)-Y17</f>
        <v>0</v>
      </c>
      <c r="Z22" s="19" t="n">
        <f aca="false">MAX(0,Z15)-Z17</f>
        <v>0</v>
      </c>
      <c r="AA22" s="19" t="n">
        <f aca="false">MAX(0,AA15)-AA17</f>
        <v>0</v>
      </c>
      <c r="AB22" s="19" t="n">
        <f aca="false">MAX(0,AB15)-AB17</f>
        <v>0</v>
      </c>
      <c r="AC22" s="19" t="n">
        <f aca="false">MAX(0,AC15)-AC17</f>
        <v>0</v>
      </c>
      <c r="AD22" s="19" t="n">
        <f aca="false">MAX(0,AD15)-AD17</f>
        <v>0</v>
      </c>
      <c r="AE22" s="19" t="n">
        <f aca="false">MAX(0,AE15)-AE17</f>
        <v>0</v>
      </c>
      <c r="AF22" s="19" t="n">
        <f aca="false">MAX(0,AF15)-AF17</f>
        <v>0</v>
      </c>
      <c r="AG22" s="19" t="n">
        <f aca="false">MAX(0,AG15)-AG17</f>
        <v>0</v>
      </c>
      <c r="AH22" s="19" t="n">
        <f aca="false">MAX(0,AH15)-AH17</f>
        <v>0</v>
      </c>
      <c r="AI22" s="19" t="n">
        <f aca="false">MAX(0,AI15)-AI17</f>
        <v>0</v>
      </c>
      <c r="AJ22" s="19" t="n">
        <f aca="false">MAX(0,AJ15)-AJ17</f>
        <v>0</v>
      </c>
      <c r="AK22" s="19" t="n">
        <f aca="false">MAX(0,AK15)-AK17</f>
        <v>0</v>
      </c>
      <c r="AL22" s="19" t="n">
        <f aca="false">MAX(0,AL15)-AL17</f>
        <v>0</v>
      </c>
      <c r="AM22" s="19" t="n">
        <f aca="false">MAX(0,AM15)-AM17</f>
        <v>0</v>
      </c>
      <c r="AN22" s="19" t="n">
        <f aca="false">MAX(0,AN15)-AN17</f>
        <v>0</v>
      </c>
      <c r="AO22" s="19" t="n">
        <f aca="false">MAX(0,AO15)-AO17</f>
        <v>0</v>
      </c>
      <c r="AP22" s="19" t="n">
        <f aca="false">MAX(0,AP15)-AP17</f>
        <v>0</v>
      </c>
      <c r="AQ22" s="19" t="n">
        <f aca="false">MAX(0,AQ15)-AQ17</f>
        <v>0</v>
      </c>
      <c r="AR22" s="19" t="n">
        <f aca="false">MAX(0,AR15)-AR17</f>
        <v>0</v>
      </c>
      <c r="AS22" s="19" t="n">
        <f aca="false">MAX(0,AS15)-AS17</f>
        <v>0</v>
      </c>
      <c r="AT22" s="19" t="n">
        <f aca="false">MAX(0,AT15)-AT17</f>
        <v>0</v>
      </c>
      <c r="AU22" s="19" t="n">
        <f aca="false">MAX(0,AU15)-AU17</f>
        <v>0</v>
      </c>
      <c r="AV22" s="19" t="n">
        <f aca="false">MAX(0,AV15)-AV17</f>
        <v>0</v>
      </c>
      <c r="AW22" s="19" t="n">
        <f aca="false">MAX(0,AW15)-AW17</f>
        <v>0</v>
      </c>
      <c r="AX22" s="19" t="n">
        <f aca="false">MAX(0,AX15)-AX17</f>
        <v>0</v>
      </c>
      <c r="AY22" s="19" t="n">
        <f aca="false">MAX(0,AY15)-AY17</f>
        <v>0</v>
      </c>
      <c r="AZ22" s="19" t="n">
        <f aca="false">MAX(0,AZ15)-AZ17</f>
        <v>0</v>
      </c>
      <c r="BA22" s="19" t="n">
        <f aca="false">MAX(0,BA15)-BA17</f>
        <v>0</v>
      </c>
      <c r="BB22" s="19" t="n">
        <f aca="false">MAX(0,BB15)-BB17</f>
        <v>0</v>
      </c>
      <c r="BC22" s="19" t="n">
        <f aca="false">MAX(0,BC15)-BC17</f>
        <v>0</v>
      </c>
      <c r="BD22" s="19" t="n">
        <f aca="false">MAX(0,BD15)-BD17</f>
        <v>0</v>
      </c>
      <c r="BE22" s="19" t="n">
        <f aca="false">MAX(0,BE15)-BE17</f>
        <v>0</v>
      </c>
      <c r="BF22" s="19" t="n">
        <f aca="false">MAX(0,BF15)-BF17</f>
        <v>0</v>
      </c>
      <c r="BG22" s="19" t="n">
        <f aca="false">MAX(0,BG15)-BG17</f>
        <v>0</v>
      </c>
      <c r="BH22" s="19" t="n">
        <f aca="false">MAX(0,BH15)-BH17</f>
        <v>0</v>
      </c>
      <c r="BI22" s="19" t="n">
        <f aca="false">MAX(0,BI15)-BI17</f>
        <v>0</v>
      </c>
      <c r="BJ22" s="19" t="n">
        <f aca="false">MAX(0,BJ15)-BJ17</f>
        <v>0</v>
      </c>
      <c r="BK22" s="19" t="n">
        <f aca="false">MAX(0,BK15)-BK17</f>
        <v>0</v>
      </c>
      <c r="BL22" s="19" t="n">
        <f aca="false">MAX(0,BL15)-BL17</f>
        <v>0</v>
      </c>
      <c r="BM22" s="19" t="n">
        <f aca="false">MAX(0,BM15)-BM17</f>
        <v>0</v>
      </c>
      <c r="BN22" s="19" t="n">
        <f aca="false">MAX(0,BN15)-BN17</f>
        <v>0</v>
      </c>
      <c r="BO22" s="19" t="n">
        <f aca="false">MAX(0,BO15)-BO17</f>
        <v>0</v>
      </c>
      <c r="BP22" s="19" t="n">
        <f aca="false">MAX(0,BP15)-BP17</f>
        <v>0</v>
      </c>
      <c r="BQ22" s="19" t="n">
        <f aca="false">MAX(0,BQ15)-BQ17</f>
        <v>56.7347538537026</v>
      </c>
      <c r="BR22" s="19" t="n">
        <f aca="false">MAX(0,BR15)-BR17</f>
        <v>87.7625262140376</v>
      </c>
      <c r="BS22" s="19" t="n">
        <f aca="false">MAX(0,BS15)-BS17</f>
        <v>94.0185912065453</v>
      </c>
      <c r="BT22" s="19" t="n">
        <f aca="false">MAX(0,BT15)-BT17</f>
        <v>94.5912774907242</v>
      </c>
      <c r="BU22" s="19" t="n">
        <f aca="false">MAX(0,BU15)-BU17</f>
        <v>0</v>
      </c>
      <c r="BV22" s="19" t="n">
        <f aca="false">MAX(0,BV15)-BV17</f>
        <v>91.6368954232638</v>
      </c>
      <c r="BW22" s="19" t="n">
        <f aca="false">MAX(0,BW15)-BW17</f>
        <v>109.25772097082</v>
      </c>
      <c r="BX22" s="19" t="n">
        <f aca="false">MAX(0,BX15)-BX17</f>
        <v>110.804349268134</v>
      </c>
      <c r="BY22" s="19" t="n">
        <f aca="false">MAX(0,BY15)-BY17</f>
        <v>117.781362810122</v>
      </c>
      <c r="BZ22" s="19" t="n">
        <f aca="false">MAX(0,BZ15)-BZ17</f>
        <v>118.750126497976</v>
      </c>
      <c r="CA22" s="19" t="n">
        <f aca="false">MAX(0,CA15)-CA17</f>
        <v>126.776780950553</v>
      </c>
      <c r="CB22" s="19" t="n">
        <f aca="false">MAX(0,CB15)-CB17</f>
        <v>127.667273639089</v>
      </c>
      <c r="CC22" s="19" t="n">
        <f aca="false">MAX(0,CC15)-CC17</f>
        <v>135.975711026621</v>
      </c>
      <c r="CD22" s="19" t="n">
        <f aca="false">MAX(0,CD15)-CD17</f>
        <v>136.934493124788</v>
      </c>
      <c r="CE22" s="19" t="n">
        <f aca="false">MAX(0,CE15)-CE17</f>
        <v>145.685497935747</v>
      </c>
      <c r="CF22" s="19" t="n">
        <f aca="false">MAX(0,CF15)-CF17</f>
        <v>147.463758373743</v>
      </c>
      <c r="CG22" s="19" t="n">
        <f aca="false">MAX(0,CG15)-CG17</f>
        <v>83.5351081008242</v>
      </c>
      <c r="CH22" s="19" t="n">
        <f aca="false">MAX(0,CH15)-CH17</f>
        <v>156.450904204861</v>
      </c>
      <c r="CI22" s="19" t="n">
        <f aca="false">MAX(0,CI15)-CI17</f>
        <v>164.702520010516</v>
      </c>
      <c r="CJ22" s="19" t="n">
        <f aca="false">MAX(0,CJ15)-CJ17</f>
        <v>164.383530536219</v>
      </c>
      <c r="CK22" s="19" t="n">
        <f aca="false">MAX(0,CK15)-CK17</f>
        <v>138.091168088995</v>
      </c>
      <c r="CL22" s="19" t="n">
        <f aca="false">MAX(0,CL15)-CL17</f>
        <v>172.690937602021</v>
      </c>
      <c r="CM22" s="19" t="n">
        <f aca="false">MAX(0,CM15)-CM17</f>
        <v>181.722611595274</v>
      </c>
      <c r="CN22" s="19" t="n">
        <f aca="false">MAX(0,CN15)-CN17</f>
        <v>182.369961233925</v>
      </c>
      <c r="CO22" s="19" t="n">
        <f aca="false">MAX(0,CO15)-CO17</f>
        <v>190.76822997058</v>
      </c>
      <c r="CP22" s="19" t="n">
        <f aca="false">MAX(0,CP15)-CP17</f>
        <v>51.1440827695752</v>
      </c>
      <c r="CQ22" s="19" t="n">
        <f aca="false">MAX(0,CQ15)-CQ17</f>
        <v>0</v>
      </c>
      <c r="CR22" s="19" t="n">
        <f aca="false">MAX(0,CR15)-CR17</f>
        <v>0</v>
      </c>
      <c r="CS22" s="19" t="n">
        <f aca="false">MAX(0,CS15)-CS17</f>
        <v>0</v>
      </c>
      <c r="CT22" s="19" t="n">
        <f aca="false">MAX(0,CT15)-CT17</f>
        <v>0</v>
      </c>
      <c r="CU22" s="19" t="n">
        <f aca="false">MAX(0,CU15)-CU17</f>
        <v>0</v>
      </c>
      <c r="CV22" s="19" t="n">
        <f aca="false">MAX(0,CV15)-CV17</f>
        <v>0</v>
      </c>
      <c r="CW22" s="19" t="n">
        <f aca="false">MAX(0,CW15)-CW17</f>
        <v>0</v>
      </c>
      <c r="CX22" s="19" t="n">
        <f aca="false">MAX(0,CX15)-CX17</f>
        <v>0</v>
      </c>
      <c r="CY22" s="19" t="n">
        <f aca="false">MAX(0,CY15)-CY17</f>
        <v>0</v>
      </c>
      <c r="CZ22" s="19" t="n">
        <f aca="false">MAX(0,CZ15)-CZ17</f>
        <v>0</v>
      </c>
      <c r="DA22" s="19" t="n">
        <f aca="false">MAX(0,DA15)-DA17</f>
        <v>0</v>
      </c>
      <c r="DB22" s="19" t="n">
        <f aca="false">MAX(0,DB15)-DB17</f>
        <v>0</v>
      </c>
    </row>
    <row r="23" customFormat="false" ht="15" hidden="false" customHeight="false" outlineLevel="0" collapsed="false">
      <c r="D23" s="0" t="s">
        <v>414</v>
      </c>
      <c r="E23" s="0" t="s">
        <v>44</v>
      </c>
      <c r="G23" s="19" t="n">
        <f aca="false">SUM(J23:DB23)</f>
        <v>956.310051869597</v>
      </c>
      <c r="J23" s="19" t="n">
        <f aca="false">Inputs!$F$158*J22</f>
        <v>0</v>
      </c>
      <c r="K23" s="19" t="n">
        <f aca="false">Inputs!$F$158*K22</f>
        <v>0</v>
      </c>
      <c r="L23" s="19" t="n">
        <f aca="false">Inputs!$F$158*L22</f>
        <v>0</v>
      </c>
      <c r="M23" s="19" t="n">
        <f aca="false">Inputs!$F$158*M22</f>
        <v>0</v>
      </c>
      <c r="N23" s="19" t="n">
        <f aca="false">Inputs!$F$158*N22</f>
        <v>0</v>
      </c>
      <c r="O23" s="19" t="n">
        <f aca="false">Inputs!$F$158*O22</f>
        <v>0</v>
      </c>
      <c r="P23" s="19" t="n">
        <f aca="false">Inputs!$F$158*P22</f>
        <v>0</v>
      </c>
      <c r="Q23" s="19" t="n">
        <f aca="false">Inputs!$F$158*Q22</f>
        <v>0</v>
      </c>
      <c r="R23" s="19" t="n">
        <f aca="false">Inputs!$F$158*R22</f>
        <v>0</v>
      </c>
      <c r="S23" s="19" t="n">
        <f aca="false">Inputs!$F$158*S22</f>
        <v>0</v>
      </c>
      <c r="T23" s="19" t="n">
        <f aca="false">Inputs!$F$158*T22</f>
        <v>0</v>
      </c>
      <c r="U23" s="19" t="n">
        <f aca="false">Inputs!$F$158*U22</f>
        <v>0</v>
      </c>
      <c r="V23" s="19" t="n">
        <f aca="false">Inputs!$F$158*V22</f>
        <v>0</v>
      </c>
      <c r="W23" s="19" t="n">
        <f aca="false">Inputs!$F$158*W22</f>
        <v>0</v>
      </c>
      <c r="X23" s="19" t="n">
        <f aca="false">Inputs!$F$158*X22</f>
        <v>0</v>
      </c>
      <c r="Y23" s="19" t="n">
        <f aca="false">Inputs!$F$158*Y22</f>
        <v>0</v>
      </c>
      <c r="Z23" s="19" t="n">
        <f aca="false">Inputs!$F$158*Z22</f>
        <v>0</v>
      </c>
      <c r="AA23" s="19" t="n">
        <f aca="false">Inputs!$F$158*AA22</f>
        <v>0</v>
      </c>
      <c r="AB23" s="19" t="n">
        <f aca="false">Inputs!$F$158*AB22</f>
        <v>0</v>
      </c>
      <c r="AC23" s="19" t="n">
        <f aca="false">Inputs!$F$158*AC22</f>
        <v>0</v>
      </c>
      <c r="AD23" s="19" t="n">
        <f aca="false">Inputs!$F$158*AD22</f>
        <v>0</v>
      </c>
      <c r="AE23" s="19" t="n">
        <f aca="false">Inputs!$F$158*AE22</f>
        <v>0</v>
      </c>
      <c r="AF23" s="19" t="n">
        <f aca="false">Inputs!$F$158*AF22</f>
        <v>0</v>
      </c>
      <c r="AG23" s="19" t="n">
        <f aca="false">Inputs!$F$158*AG22</f>
        <v>0</v>
      </c>
      <c r="AH23" s="19" t="n">
        <f aca="false">Inputs!$F$158*AH22</f>
        <v>0</v>
      </c>
      <c r="AI23" s="19" t="n">
        <f aca="false">Inputs!$F$158*AI22</f>
        <v>0</v>
      </c>
      <c r="AJ23" s="19" t="n">
        <f aca="false">Inputs!$F$158*AJ22</f>
        <v>0</v>
      </c>
      <c r="AK23" s="19" t="n">
        <f aca="false">Inputs!$F$158*AK22</f>
        <v>0</v>
      </c>
      <c r="AL23" s="19" t="n">
        <f aca="false">Inputs!$F$158*AL22</f>
        <v>0</v>
      </c>
      <c r="AM23" s="19" t="n">
        <f aca="false">Inputs!$F$158*AM22</f>
        <v>0</v>
      </c>
      <c r="AN23" s="19" t="n">
        <f aca="false">Inputs!$F$158*AN22</f>
        <v>0</v>
      </c>
      <c r="AO23" s="19" t="n">
        <f aca="false">Inputs!$F$158*AO22</f>
        <v>0</v>
      </c>
      <c r="AP23" s="19" t="n">
        <f aca="false">Inputs!$F$158*AP22</f>
        <v>0</v>
      </c>
      <c r="AQ23" s="19" t="n">
        <f aca="false">Inputs!$F$158*AQ22</f>
        <v>0</v>
      </c>
      <c r="AR23" s="19" t="n">
        <f aca="false">Inputs!$F$158*AR22</f>
        <v>0</v>
      </c>
      <c r="AS23" s="19" t="n">
        <f aca="false">Inputs!$F$158*AS22</f>
        <v>0</v>
      </c>
      <c r="AT23" s="19" t="n">
        <f aca="false">Inputs!$F$158*AT22</f>
        <v>0</v>
      </c>
      <c r="AU23" s="19" t="n">
        <f aca="false">Inputs!$F$158*AU22</f>
        <v>0</v>
      </c>
      <c r="AV23" s="19" t="n">
        <f aca="false">Inputs!$F$158*AV22</f>
        <v>0</v>
      </c>
      <c r="AW23" s="19" t="n">
        <f aca="false">Inputs!$F$158*AW22</f>
        <v>0</v>
      </c>
      <c r="AX23" s="19" t="n">
        <f aca="false">Inputs!$F$158*AX22</f>
        <v>0</v>
      </c>
      <c r="AY23" s="19" t="n">
        <f aca="false">Inputs!$F$158*AY22</f>
        <v>0</v>
      </c>
      <c r="AZ23" s="19" t="n">
        <f aca="false">Inputs!$F$158*AZ22</f>
        <v>0</v>
      </c>
      <c r="BA23" s="19" t="n">
        <f aca="false">Inputs!$F$158*BA22</f>
        <v>0</v>
      </c>
      <c r="BB23" s="19" t="n">
        <f aca="false">Inputs!$F$158*BB22</f>
        <v>0</v>
      </c>
      <c r="BC23" s="19" t="n">
        <f aca="false">Inputs!$F$158*BC22</f>
        <v>0</v>
      </c>
      <c r="BD23" s="19" t="n">
        <f aca="false">Inputs!$F$158*BD22</f>
        <v>0</v>
      </c>
      <c r="BE23" s="19" t="n">
        <f aca="false">Inputs!$F$158*BE22</f>
        <v>0</v>
      </c>
      <c r="BF23" s="19" t="n">
        <f aca="false">Inputs!$F$158*BF22</f>
        <v>0</v>
      </c>
      <c r="BG23" s="19" t="n">
        <f aca="false">Inputs!$F$158*BG22</f>
        <v>0</v>
      </c>
      <c r="BH23" s="19" t="n">
        <f aca="false">Inputs!$F$158*BH22</f>
        <v>0</v>
      </c>
      <c r="BI23" s="19" t="n">
        <f aca="false">Inputs!$F$158*BI22</f>
        <v>0</v>
      </c>
      <c r="BJ23" s="19" t="n">
        <f aca="false">Inputs!$F$158*BJ22</f>
        <v>0</v>
      </c>
      <c r="BK23" s="19" t="n">
        <f aca="false">Inputs!$F$158*BK22</f>
        <v>0</v>
      </c>
      <c r="BL23" s="19" t="n">
        <f aca="false">Inputs!$F$158*BL22</f>
        <v>0</v>
      </c>
      <c r="BM23" s="19" t="n">
        <f aca="false">Inputs!$F$158*BM22</f>
        <v>0</v>
      </c>
      <c r="BN23" s="19" t="n">
        <f aca="false">Inputs!$F$158*BN22</f>
        <v>0</v>
      </c>
      <c r="BO23" s="19" t="n">
        <f aca="false">Inputs!$F$158*BO22</f>
        <v>0</v>
      </c>
      <c r="BP23" s="19" t="n">
        <f aca="false">Inputs!$F$158*BP22</f>
        <v>0</v>
      </c>
      <c r="BQ23" s="19" t="n">
        <f aca="false">Inputs!$F$158*BQ22</f>
        <v>17.0204261561108</v>
      </c>
      <c r="BR23" s="19" t="n">
        <f aca="false">Inputs!$F$158*BR22</f>
        <v>26.3287578642113</v>
      </c>
      <c r="BS23" s="19" t="n">
        <f aca="false">Inputs!$F$158*BS22</f>
        <v>28.2055773619636</v>
      </c>
      <c r="BT23" s="19" t="n">
        <f aca="false">Inputs!$F$158*BT22</f>
        <v>28.3773832472173</v>
      </c>
      <c r="BU23" s="19" t="n">
        <f aca="false">Inputs!$F$158*BU22</f>
        <v>0</v>
      </c>
      <c r="BV23" s="19" t="n">
        <f aca="false">Inputs!$F$158*BV22</f>
        <v>27.4910686269791</v>
      </c>
      <c r="BW23" s="19" t="n">
        <f aca="false">Inputs!$F$158*BW22</f>
        <v>32.7773162912459</v>
      </c>
      <c r="BX23" s="19" t="n">
        <f aca="false">Inputs!$F$158*BX22</f>
        <v>33.2413047804403</v>
      </c>
      <c r="BY23" s="19" t="n">
        <f aca="false">Inputs!$F$158*BY22</f>
        <v>35.3344088430365</v>
      </c>
      <c r="BZ23" s="19" t="n">
        <f aca="false">Inputs!$F$158*BZ22</f>
        <v>35.6250379493928</v>
      </c>
      <c r="CA23" s="19" t="n">
        <f aca="false">Inputs!$F$158*CA22</f>
        <v>38.0330342851659</v>
      </c>
      <c r="CB23" s="19" t="n">
        <f aca="false">Inputs!$F$158*CB22</f>
        <v>38.3001820917266</v>
      </c>
      <c r="CC23" s="19" t="n">
        <f aca="false">Inputs!$F$158*CC22</f>
        <v>40.7927133079863</v>
      </c>
      <c r="CD23" s="19" t="n">
        <f aca="false">Inputs!$F$158*CD22</f>
        <v>41.0803479374365</v>
      </c>
      <c r="CE23" s="19" t="n">
        <f aca="false">Inputs!$F$158*CE22</f>
        <v>43.7056493807241</v>
      </c>
      <c r="CF23" s="19" t="n">
        <f aca="false">Inputs!$F$158*CF22</f>
        <v>44.2391275121229</v>
      </c>
      <c r="CG23" s="19" t="n">
        <f aca="false">Inputs!$F$158*CG22</f>
        <v>25.0605324302473</v>
      </c>
      <c r="CH23" s="19" t="n">
        <f aca="false">Inputs!$F$158*CH22</f>
        <v>46.9352712614582</v>
      </c>
      <c r="CI23" s="19" t="n">
        <f aca="false">Inputs!$F$158*CI22</f>
        <v>49.4107560031549</v>
      </c>
      <c r="CJ23" s="19" t="n">
        <f aca="false">Inputs!$F$158*CJ22</f>
        <v>49.3150591608657</v>
      </c>
      <c r="CK23" s="19" t="n">
        <f aca="false">Inputs!$F$158*CK22</f>
        <v>41.4273504266985</v>
      </c>
      <c r="CL23" s="19" t="n">
        <f aca="false">Inputs!$F$158*CL22</f>
        <v>51.8072812806062</v>
      </c>
      <c r="CM23" s="19" t="n">
        <f aca="false">Inputs!$F$158*CM22</f>
        <v>54.5167834785822</v>
      </c>
      <c r="CN23" s="19" t="n">
        <f aca="false">Inputs!$F$158*CN22</f>
        <v>54.7109883701774</v>
      </c>
      <c r="CO23" s="19" t="n">
        <f aca="false">Inputs!$F$158*CO22</f>
        <v>57.2304689911739</v>
      </c>
      <c r="CP23" s="19" t="n">
        <f aca="false">Inputs!$F$158*CP22</f>
        <v>15.3432248308726</v>
      </c>
      <c r="CQ23" s="19" t="n">
        <f aca="false">Inputs!$F$158*CQ22</f>
        <v>0</v>
      </c>
      <c r="CR23" s="19" t="n">
        <f aca="false">Inputs!$F$158*CR22</f>
        <v>0</v>
      </c>
      <c r="CS23" s="19" t="n">
        <f aca="false">Inputs!$F$158*CS22</f>
        <v>0</v>
      </c>
      <c r="CT23" s="19" t="n">
        <f aca="false">Inputs!$F$158*CT22</f>
        <v>0</v>
      </c>
      <c r="CU23" s="19" t="n">
        <f aca="false">Inputs!$F$158*CU22</f>
        <v>0</v>
      </c>
      <c r="CV23" s="19" t="n">
        <f aca="false">Inputs!$F$158*CV22</f>
        <v>0</v>
      </c>
      <c r="CW23" s="19" t="n">
        <f aca="false">Inputs!$F$158*CW22</f>
        <v>0</v>
      </c>
      <c r="CX23" s="19" t="n">
        <f aca="false">Inputs!$F$158*CX22</f>
        <v>0</v>
      </c>
      <c r="CY23" s="19" t="n">
        <f aca="false">Inputs!$F$158*CY22</f>
        <v>0</v>
      </c>
      <c r="CZ23" s="19" t="n">
        <f aca="false">Inputs!$F$158*CZ22</f>
        <v>0</v>
      </c>
      <c r="DA23" s="19" t="n">
        <f aca="false">Inputs!$F$158*DA22</f>
        <v>0</v>
      </c>
      <c r="DB23" s="19" t="n">
        <f aca="false">Inputs!$F$158*DB22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435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436</v>
      </c>
    </row>
    <row r="6" customFormat="false" ht="15" hidden="false" customHeight="false" outlineLevel="0" collapsed="false">
      <c r="D6" s="0" t="s">
        <v>437</v>
      </c>
      <c r="E6" s="0" t="s">
        <v>44</v>
      </c>
      <c r="F6" s="19" t="n">
        <f aca="false">Inputs!$F$96*Debt!$F$26</f>
        <v>396.95857605585</v>
      </c>
    </row>
    <row r="7" customFormat="false" ht="15" hidden="false" customHeight="false" outlineLevel="0" collapsed="false">
      <c r="D7" s="0" t="s">
        <v>438</v>
      </c>
      <c r="E7" s="0" t="s">
        <v>44</v>
      </c>
      <c r="F7" s="19" t="n">
        <f aca="false">Inputs!$F$97*Debt!$F$26</f>
        <v>485.17159295715</v>
      </c>
    </row>
    <row r="8" customFormat="false" ht="15" hidden="false" customHeight="false" outlineLevel="0" collapsed="false">
      <c r="D8" s="3" t="s">
        <v>439</v>
      </c>
    </row>
    <row r="9" customFormat="false" ht="15" hidden="false" customHeight="false" outlineLevel="0" collapsed="false">
      <c r="D9" s="0" t="s">
        <v>102</v>
      </c>
      <c r="E9" s="0" t="s">
        <v>44</v>
      </c>
      <c r="G9" s="19" t="n">
        <f aca="false">SUM(J9:DB9)</f>
        <v>1841.4</v>
      </c>
      <c r="J9" s="29" t="n">
        <f aca="false">Construction!J13</f>
        <v>55.3514163668316</v>
      </c>
      <c r="K9" s="29" t="n">
        <f aca="false">Construction!K13</f>
        <v>25.7012772458539</v>
      </c>
      <c r="L9" s="29" t="n">
        <f aca="false">Construction!L13</f>
        <v>57.1872045984855</v>
      </c>
      <c r="M9" s="29" t="n">
        <f aca="false">Construction!M13</f>
        <v>93.7908921319688</v>
      </c>
      <c r="N9" s="29" t="n">
        <f aca="false">Construction!N13</f>
        <v>129.910735316179</v>
      </c>
      <c r="O9" s="29" t="n">
        <f aca="false">Construction!O13</f>
        <v>161.008488503749</v>
      </c>
      <c r="P9" s="29" t="n">
        <f aca="false">Construction!P13</f>
        <v>183.60752547217</v>
      </c>
      <c r="Q9" s="29" t="n">
        <f aca="false">Construction!Q13</f>
        <v>195.401600107557</v>
      </c>
      <c r="R9" s="29" t="n">
        <f aca="false">Construction!R13</f>
        <v>197.954374753021</v>
      </c>
      <c r="S9" s="29" t="n">
        <f aca="false">Construction!S13</f>
        <v>183.60752547217</v>
      </c>
      <c r="T9" s="29" t="n">
        <f aca="false">Construction!T13</f>
        <v>161.008488503749</v>
      </c>
      <c r="U9" s="29" t="n">
        <f aca="false">Construction!U13</f>
        <v>129.874481754926</v>
      </c>
      <c r="V9" s="29" t="n">
        <f aca="false">Construction!V13</f>
        <v>93.7908921319688</v>
      </c>
      <c r="W9" s="29" t="n">
        <f aca="false">Construction!W13</f>
        <v>57.1872045984855</v>
      </c>
      <c r="X9" s="29" t="n">
        <f aca="false">Construction!X13</f>
        <v>25.7012772458539</v>
      </c>
      <c r="Y9" s="29" t="n">
        <f aca="false">Construction!Y13</f>
        <v>90.316615797031</v>
      </c>
      <c r="Z9" s="29" t="n">
        <f aca="false">Construction!Z13</f>
        <v>0</v>
      </c>
      <c r="AA9" s="29" t="n">
        <f aca="false">Construction!AA13</f>
        <v>0</v>
      </c>
      <c r="AB9" s="29" t="n">
        <f aca="false">Construction!AB13</f>
        <v>0</v>
      </c>
      <c r="AC9" s="29" t="n">
        <f aca="false">Construction!AC13</f>
        <v>0</v>
      </c>
      <c r="AD9" s="29" t="n">
        <f aca="false">Construction!AD13</f>
        <v>0</v>
      </c>
      <c r="AE9" s="29" t="n">
        <f aca="false">Construction!AE13</f>
        <v>0</v>
      </c>
      <c r="AF9" s="29" t="n">
        <f aca="false">Construction!AF13</f>
        <v>0</v>
      </c>
      <c r="AG9" s="29" t="n">
        <f aca="false">Construction!AG13</f>
        <v>0</v>
      </c>
      <c r="AH9" s="29" t="n">
        <f aca="false">Construction!AH13</f>
        <v>0</v>
      </c>
      <c r="AI9" s="29" t="n">
        <f aca="false">Construction!AI13</f>
        <v>0</v>
      </c>
      <c r="AJ9" s="29" t="n">
        <f aca="false">Construction!AJ13</f>
        <v>0</v>
      </c>
      <c r="AK9" s="29" t="n">
        <f aca="false">Construction!AK13</f>
        <v>0</v>
      </c>
      <c r="AL9" s="29" t="n">
        <f aca="false">Construction!AL13</f>
        <v>0</v>
      </c>
      <c r="AM9" s="29" t="n">
        <f aca="false">Construction!AM13</f>
        <v>0</v>
      </c>
      <c r="AN9" s="29" t="n">
        <f aca="false">Construction!AN13</f>
        <v>0</v>
      </c>
      <c r="AO9" s="29" t="n">
        <f aca="false">Construction!AO13</f>
        <v>0</v>
      </c>
      <c r="AP9" s="29" t="n">
        <f aca="false">Construction!AP13</f>
        <v>0</v>
      </c>
      <c r="AQ9" s="29" t="n">
        <f aca="false">Construction!AQ13</f>
        <v>0</v>
      </c>
      <c r="AR9" s="29" t="n">
        <f aca="false">Construction!AR13</f>
        <v>0</v>
      </c>
      <c r="AS9" s="29" t="n">
        <f aca="false">Construction!AS13</f>
        <v>0</v>
      </c>
      <c r="AT9" s="29" t="n">
        <f aca="false">Construction!AT13</f>
        <v>0</v>
      </c>
      <c r="AU9" s="29" t="n">
        <f aca="false">Construction!AU13</f>
        <v>0</v>
      </c>
      <c r="AV9" s="29" t="n">
        <f aca="false">Construction!AV13</f>
        <v>0</v>
      </c>
      <c r="AW9" s="29" t="n">
        <f aca="false">Construction!AW13</f>
        <v>0</v>
      </c>
      <c r="AX9" s="29" t="n">
        <f aca="false">Construction!AX13</f>
        <v>0</v>
      </c>
      <c r="AY9" s="29" t="n">
        <f aca="false">Construction!AY13</f>
        <v>0</v>
      </c>
      <c r="AZ9" s="29" t="n">
        <f aca="false">Construction!AZ13</f>
        <v>0</v>
      </c>
      <c r="BA9" s="29" t="n">
        <f aca="false">Construction!BA13</f>
        <v>0</v>
      </c>
      <c r="BB9" s="29" t="n">
        <f aca="false">Construction!BB13</f>
        <v>0</v>
      </c>
      <c r="BC9" s="29" t="n">
        <f aca="false">Construction!BC13</f>
        <v>0</v>
      </c>
      <c r="BD9" s="29" t="n">
        <f aca="false">Construction!BD13</f>
        <v>0</v>
      </c>
      <c r="BE9" s="29" t="n">
        <f aca="false">Construction!BE13</f>
        <v>0</v>
      </c>
      <c r="BF9" s="29" t="n">
        <f aca="false">Construction!BF13</f>
        <v>0</v>
      </c>
      <c r="BG9" s="29" t="n">
        <f aca="false">Construction!BG13</f>
        <v>0</v>
      </c>
      <c r="BH9" s="29" t="n">
        <f aca="false">Construction!BH13</f>
        <v>0</v>
      </c>
      <c r="BI9" s="29" t="n">
        <f aca="false">Construction!BI13</f>
        <v>0</v>
      </c>
      <c r="BJ9" s="29" t="n">
        <f aca="false">Construction!BJ13</f>
        <v>0</v>
      </c>
      <c r="BK9" s="29" t="n">
        <f aca="false">Construction!BK13</f>
        <v>0</v>
      </c>
      <c r="BL9" s="29" t="n">
        <f aca="false">Construction!BL13</f>
        <v>0</v>
      </c>
      <c r="BM9" s="29" t="n">
        <f aca="false">Construction!BM13</f>
        <v>0</v>
      </c>
      <c r="BN9" s="29" t="n">
        <f aca="false">Construction!BN13</f>
        <v>0</v>
      </c>
      <c r="BO9" s="29" t="n">
        <f aca="false">Construction!BO13</f>
        <v>0</v>
      </c>
      <c r="BP9" s="29" t="n">
        <f aca="false">Construction!BP13</f>
        <v>0</v>
      </c>
      <c r="BQ9" s="29" t="n">
        <f aca="false">Construction!BQ13</f>
        <v>0</v>
      </c>
      <c r="BR9" s="29" t="n">
        <f aca="false">Construction!BR13</f>
        <v>0</v>
      </c>
      <c r="BS9" s="29" t="n">
        <f aca="false">Construction!BS13</f>
        <v>0</v>
      </c>
      <c r="BT9" s="29" t="n">
        <f aca="false">Construction!BT13</f>
        <v>0</v>
      </c>
      <c r="BU9" s="29" t="n">
        <f aca="false">Construction!BU13</f>
        <v>0</v>
      </c>
      <c r="BV9" s="29" t="n">
        <f aca="false">Construction!BV13</f>
        <v>0</v>
      </c>
      <c r="BW9" s="29" t="n">
        <f aca="false">Construction!BW13</f>
        <v>0</v>
      </c>
      <c r="BX9" s="29" t="n">
        <f aca="false">Construction!BX13</f>
        <v>0</v>
      </c>
      <c r="BY9" s="29" t="n">
        <f aca="false">Construction!BY13</f>
        <v>0</v>
      </c>
      <c r="BZ9" s="29" t="n">
        <f aca="false">Construction!BZ13</f>
        <v>0</v>
      </c>
      <c r="CA9" s="29" t="n">
        <f aca="false">Construction!CA13</f>
        <v>0</v>
      </c>
      <c r="CB9" s="29" t="n">
        <f aca="false">Construction!CB13</f>
        <v>0</v>
      </c>
      <c r="CC9" s="29" t="n">
        <f aca="false">Construction!CC13</f>
        <v>0</v>
      </c>
      <c r="CD9" s="29" t="n">
        <f aca="false">Construction!CD13</f>
        <v>0</v>
      </c>
      <c r="CE9" s="29" t="n">
        <f aca="false">Construction!CE13</f>
        <v>0</v>
      </c>
      <c r="CF9" s="29" t="n">
        <f aca="false">Construction!CF13</f>
        <v>0</v>
      </c>
      <c r="CG9" s="29" t="n">
        <f aca="false">Construction!CG13</f>
        <v>0</v>
      </c>
      <c r="CH9" s="29" t="n">
        <f aca="false">Construction!CH13</f>
        <v>0</v>
      </c>
      <c r="CI9" s="29" t="n">
        <f aca="false">Construction!CI13</f>
        <v>0</v>
      </c>
      <c r="CJ9" s="29" t="n">
        <f aca="false">Construction!CJ13</f>
        <v>0</v>
      </c>
      <c r="CK9" s="29" t="n">
        <f aca="false">Construction!CK13</f>
        <v>0</v>
      </c>
      <c r="CL9" s="29" t="n">
        <f aca="false">Construction!CL13</f>
        <v>0</v>
      </c>
      <c r="CM9" s="29" t="n">
        <f aca="false">Construction!CM13</f>
        <v>0</v>
      </c>
      <c r="CN9" s="29" t="n">
        <f aca="false">Construction!CN13</f>
        <v>0</v>
      </c>
      <c r="CO9" s="29" t="n">
        <f aca="false">Construction!CO13</f>
        <v>0</v>
      </c>
      <c r="CP9" s="29" t="n">
        <f aca="false">Construction!CP13</f>
        <v>0</v>
      </c>
      <c r="CQ9" s="29" t="n">
        <f aca="false">Construction!CQ13</f>
        <v>0</v>
      </c>
      <c r="CR9" s="29" t="n">
        <f aca="false">Construction!CR13</f>
        <v>0</v>
      </c>
      <c r="CS9" s="29" t="n">
        <f aca="false">Construction!CS13</f>
        <v>0</v>
      </c>
      <c r="CT9" s="29" t="n">
        <f aca="false">Construction!CT13</f>
        <v>0</v>
      </c>
      <c r="CU9" s="29" t="n">
        <f aca="false">Construction!CU13</f>
        <v>0</v>
      </c>
      <c r="CV9" s="29" t="n">
        <f aca="false">Construction!CV13</f>
        <v>0</v>
      </c>
      <c r="CW9" s="29" t="n">
        <f aca="false">Construction!CW13</f>
        <v>0</v>
      </c>
      <c r="CX9" s="29" t="n">
        <f aca="false">Construction!CX13</f>
        <v>0</v>
      </c>
      <c r="CY9" s="29" t="n">
        <f aca="false">Construction!CY13</f>
        <v>0</v>
      </c>
      <c r="CZ9" s="29" t="n">
        <f aca="false">Construction!CZ13</f>
        <v>0</v>
      </c>
      <c r="DA9" s="29" t="n">
        <f aca="false">Construction!DA13</f>
        <v>0</v>
      </c>
      <c r="DB9" s="29" t="n">
        <f aca="false">Construction!DB13</f>
        <v>0</v>
      </c>
    </row>
    <row r="10" customFormat="false" ht="15" hidden="false" customHeight="false" outlineLevel="0" collapsed="false">
      <c r="D10" s="0" t="s">
        <v>440</v>
      </c>
      <c r="E10" s="0" t="s">
        <v>44</v>
      </c>
      <c r="G10" s="19" t="n">
        <f aca="false">SUM(J10:DB10)</f>
        <v>16.5039270886353</v>
      </c>
      <c r="J10" s="19" t="n">
        <f aca="false">IF(Time!J6=1,Inputs!$F$108*$F$6+Inputs!$F$112*$F$7+Inputs!$F$121*Debt!$F$28+Inputs!$F$84*Inputs!$F$227,0)</f>
        <v>16.5039270886353</v>
      </c>
      <c r="K10" s="19" t="n">
        <f aca="false">IF(Time!K6=1,Inputs!$F$108*$F$6+Inputs!$F$112*$F$7+Inputs!$F$121*Debt!$F$28+Inputs!$F$84*Inputs!$F$227,0)</f>
        <v>0</v>
      </c>
      <c r="L10" s="19" t="n">
        <f aca="false">IF(Time!L6=1,Inputs!$F$108*$F$6+Inputs!$F$112*$F$7+Inputs!$F$121*Debt!$F$28+Inputs!$F$84*Inputs!$F$227,0)</f>
        <v>0</v>
      </c>
      <c r="M10" s="19" t="n">
        <f aca="false">IF(Time!M6=1,Inputs!$F$108*$F$6+Inputs!$F$112*$F$7+Inputs!$F$121*Debt!$F$28+Inputs!$F$84*Inputs!$F$227,0)</f>
        <v>0</v>
      </c>
      <c r="N10" s="19" t="n">
        <f aca="false">IF(Time!N6=1,Inputs!$F$108*$F$6+Inputs!$F$112*$F$7+Inputs!$F$121*Debt!$F$28+Inputs!$F$84*Inputs!$F$227,0)</f>
        <v>0</v>
      </c>
      <c r="O10" s="19" t="n">
        <f aca="false">IF(Time!O6=1,Inputs!$F$108*$F$6+Inputs!$F$112*$F$7+Inputs!$F$121*Debt!$F$28+Inputs!$F$84*Inputs!$F$227,0)</f>
        <v>0</v>
      </c>
      <c r="P10" s="19" t="n">
        <f aca="false">IF(Time!P6=1,Inputs!$F$108*$F$6+Inputs!$F$112*$F$7+Inputs!$F$121*Debt!$F$28+Inputs!$F$84*Inputs!$F$227,0)</f>
        <v>0</v>
      </c>
      <c r="Q10" s="19" t="n">
        <f aca="false">IF(Time!Q6=1,Inputs!$F$108*$F$6+Inputs!$F$112*$F$7+Inputs!$F$121*Debt!$F$28+Inputs!$F$84*Inputs!$F$227,0)</f>
        <v>0</v>
      </c>
      <c r="R10" s="19" t="n">
        <f aca="false">IF(Time!R6=1,Inputs!$F$108*$F$6+Inputs!$F$112*$F$7+Inputs!$F$121*Debt!$F$28+Inputs!$F$84*Inputs!$F$227,0)</f>
        <v>0</v>
      </c>
      <c r="S10" s="19" t="n">
        <f aca="false">IF(Time!S6=1,Inputs!$F$108*$F$6+Inputs!$F$112*$F$7+Inputs!$F$121*Debt!$F$28+Inputs!$F$84*Inputs!$F$227,0)</f>
        <v>0</v>
      </c>
      <c r="T10" s="19" t="n">
        <f aca="false">IF(Time!T6=1,Inputs!$F$108*$F$6+Inputs!$F$112*$F$7+Inputs!$F$121*Debt!$F$28+Inputs!$F$84*Inputs!$F$227,0)</f>
        <v>0</v>
      </c>
      <c r="U10" s="19" t="n">
        <f aca="false">IF(Time!U6=1,Inputs!$F$108*$F$6+Inputs!$F$112*$F$7+Inputs!$F$121*Debt!$F$28+Inputs!$F$84*Inputs!$F$227,0)</f>
        <v>0</v>
      </c>
      <c r="V10" s="19" t="n">
        <f aca="false">IF(Time!V6=1,Inputs!$F$108*$F$6+Inputs!$F$112*$F$7+Inputs!$F$121*Debt!$F$28+Inputs!$F$84*Inputs!$F$227,0)</f>
        <v>0</v>
      </c>
      <c r="W10" s="19" t="n">
        <f aca="false">IF(Time!W6=1,Inputs!$F$108*$F$6+Inputs!$F$112*$F$7+Inputs!$F$121*Debt!$F$28+Inputs!$F$84*Inputs!$F$227,0)</f>
        <v>0</v>
      </c>
      <c r="X10" s="19" t="n">
        <f aca="false">IF(Time!X6=1,Inputs!$F$108*$F$6+Inputs!$F$112*$F$7+Inputs!$F$121*Debt!$F$28+Inputs!$F$84*Inputs!$F$227,0)</f>
        <v>0</v>
      </c>
      <c r="Y10" s="19" t="n">
        <f aca="false">IF(Time!Y6=1,Inputs!$F$108*$F$6+Inputs!$F$112*$F$7+Inputs!$F$121*Debt!$F$28+Inputs!$F$84*Inputs!$F$227,0)</f>
        <v>0</v>
      </c>
      <c r="Z10" s="19" t="n">
        <f aca="false">IF(Time!Z6=1,Inputs!$F$108*$F$6+Inputs!$F$112*$F$7+Inputs!$F$121*Debt!$F$28+Inputs!$F$84*Inputs!$F$227,0)</f>
        <v>0</v>
      </c>
      <c r="AA10" s="19" t="n">
        <f aca="false">IF(Time!AA6=1,Inputs!$F$108*$F$6+Inputs!$F$112*$F$7+Inputs!$F$121*Debt!$F$28+Inputs!$F$84*Inputs!$F$227,0)</f>
        <v>0</v>
      </c>
      <c r="AB10" s="19" t="n">
        <f aca="false">IF(Time!AB6=1,Inputs!$F$108*$F$6+Inputs!$F$112*$F$7+Inputs!$F$121*Debt!$F$28+Inputs!$F$84*Inputs!$F$227,0)</f>
        <v>0</v>
      </c>
      <c r="AC10" s="19" t="n">
        <f aca="false">IF(Time!AC6=1,Inputs!$F$108*$F$6+Inputs!$F$112*$F$7+Inputs!$F$121*Debt!$F$28+Inputs!$F$84*Inputs!$F$227,0)</f>
        <v>0</v>
      </c>
      <c r="AD10" s="19" t="n">
        <f aca="false">IF(Time!AD6=1,Inputs!$F$108*$F$6+Inputs!$F$112*$F$7+Inputs!$F$121*Debt!$F$28+Inputs!$F$84*Inputs!$F$227,0)</f>
        <v>0</v>
      </c>
      <c r="AE10" s="19" t="n">
        <f aca="false">IF(Time!AE6=1,Inputs!$F$108*$F$6+Inputs!$F$112*$F$7+Inputs!$F$121*Debt!$F$28+Inputs!$F$84*Inputs!$F$227,0)</f>
        <v>0</v>
      </c>
      <c r="AF10" s="19" t="n">
        <f aca="false">IF(Time!AF6=1,Inputs!$F$108*$F$6+Inputs!$F$112*$F$7+Inputs!$F$121*Debt!$F$28+Inputs!$F$84*Inputs!$F$227,0)</f>
        <v>0</v>
      </c>
      <c r="AG10" s="19" t="n">
        <f aca="false">IF(Time!AG6=1,Inputs!$F$108*$F$6+Inputs!$F$112*$F$7+Inputs!$F$121*Debt!$F$28+Inputs!$F$84*Inputs!$F$227,0)</f>
        <v>0</v>
      </c>
      <c r="AH10" s="19" t="n">
        <f aca="false">IF(Time!AH6=1,Inputs!$F$108*$F$6+Inputs!$F$112*$F$7+Inputs!$F$121*Debt!$F$28+Inputs!$F$84*Inputs!$F$227,0)</f>
        <v>0</v>
      </c>
      <c r="AI10" s="19" t="n">
        <f aca="false">IF(Time!AI6=1,Inputs!$F$108*$F$6+Inputs!$F$112*$F$7+Inputs!$F$121*Debt!$F$28+Inputs!$F$84*Inputs!$F$227,0)</f>
        <v>0</v>
      </c>
      <c r="AJ10" s="19" t="n">
        <f aca="false">IF(Time!AJ6=1,Inputs!$F$108*$F$6+Inputs!$F$112*$F$7+Inputs!$F$121*Debt!$F$28+Inputs!$F$84*Inputs!$F$227,0)</f>
        <v>0</v>
      </c>
      <c r="AK10" s="19" t="n">
        <f aca="false">IF(Time!AK6=1,Inputs!$F$108*$F$6+Inputs!$F$112*$F$7+Inputs!$F$121*Debt!$F$28+Inputs!$F$84*Inputs!$F$227,0)</f>
        <v>0</v>
      </c>
      <c r="AL10" s="19" t="n">
        <f aca="false">IF(Time!AL6=1,Inputs!$F$108*$F$6+Inputs!$F$112*$F$7+Inputs!$F$121*Debt!$F$28+Inputs!$F$84*Inputs!$F$227,0)</f>
        <v>0</v>
      </c>
      <c r="AM10" s="19" t="n">
        <f aca="false">IF(Time!AM6=1,Inputs!$F$108*$F$6+Inputs!$F$112*$F$7+Inputs!$F$121*Debt!$F$28+Inputs!$F$84*Inputs!$F$227,0)</f>
        <v>0</v>
      </c>
      <c r="AN10" s="19" t="n">
        <f aca="false">IF(Time!AN6=1,Inputs!$F$108*$F$6+Inputs!$F$112*$F$7+Inputs!$F$121*Debt!$F$28+Inputs!$F$84*Inputs!$F$227,0)</f>
        <v>0</v>
      </c>
      <c r="AO10" s="19" t="n">
        <f aca="false">IF(Time!AO6=1,Inputs!$F$108*$F$6+Inputs!$F$112*$F$7+Inputs!$F$121*Debt!$F$28+Inputs!$F$84*Inputs!$F$227,0)</f>
        <v>0</v>
      </c>
      <c r="AP10" s="19" t="n">
        <f aca="false">IF(Time!AP6=1,Inputs!$F$108*$F$6+Inputs!$F$112*$F$7+Inputs!$F$121*Debt!$F$28+Inputs!$F$84*Inputs!$F$227,0)</f>
        <v>0</v>
      </c>
      <c r="AQ10" s="19" t="n">
        <f aca="false">IF(Time!AQ6=1,Inputs!$F$108*$F$6+Inputs!$F$112*$F$7+Inputs!$F$121*Debt!$F$28+Inputs!$F$84*Inputs!$F$227,0)</f>
        <v>0</v>
      </c>
      <c r="AR10" s="19" t="n">
        <f aca="false">IF(Time!AR6=1,Inputs!$F$108*$F$6+Inputs!$F$112*$F$7+Inputs!$F$121*Debt!$F$28+Inputs!$F$84*Inputs!$F$227,0)</f>
        <v>0</v>
      </c>
      <c r="AS10" s="19" t="n">
        <f aca="false">IF(Time!AS6=1,Inputs!$F$108*$F$6+Inputs!$F$112*$F$7+Inputs!$F$121*Debt!$F$28+Inputs!$F$84*Inputs!$F$227,0)</f>
        <v>0</v>
      </c>
      <c r="AT10" s="19" t="n">
        <f aca="false">IF(Time!AT6=1,Inputs!$F$108*$F$6+Inputs!$F$112*$F$7+Inputs!$F$121*Debt!$F$28+Inputs!$F$84*Inputs!$F$227,0)</f>
        <v>0</v>
      </c>
      <c r="AU10" s="19" t="n">
        <f aca="false">IF(Time!AU6=1,Inputs!$F$108*$F$6+Inputs!$F$112*$F$7+Inputs!$F$121*Debt!$F$28+Inputs!$F$84*Inputs!$F$227,0)</f>
        <v>0</v>
      </c>
      <c r="AV10" s="19" t="n">
        <f aca="false">IF(Time!AV6=1,Inputs!$F$108*$F$6+Inputs!$F$112*$F$7+Inputs!$F$121*Debt!$F$28+Inputs!$F$84*Inputs!$F$227,0)</f>
        <v>0</v>
      </c>
      <c r="AW10" s="19" t="n">
        <f aca="false">IF(Time!AW6=1,Inputs!$F$108*$F$6+Inputs!$F$112*$F$7+Inputs!$F$121*Debt!$F$28+Inputs!$F$84*Inputs!$F$227,0)</f>
        <v>0</v>
      </c>
      <c r="AX10" s="19" t="n">
        <f aca="false">IF(Time!AX6=1,Inputs!$F$108*$F$6+Inputs!$F$112*$F$7+Inputs!$F$121*Debt!$F$28+Inputs!$F$84*Inputs!$F$227,0)</f>
        <v>0</v>
      </c>
      <c r="AY10" s="19" t="n">
        <f aca="false">IF(Time!AY6=1,Inputs!$F$108*$F$6+Inputs!$F$112*$F$7+Inputs!$F$121*Debt!$F$28+Inputs!$F$84*Inputs!$F$227,0)</f>
        <v>0</v>
      </c>
      <c r="AZ10" s="19" t="n">
        <f aca="false">IF(Time!AZ6=1,Inputs!$F$108*$F$6+Inputs!$F$112*$F$7+Inputs!$F$121*Debt!$F$28+Inputs!$F$84*Inputs!$F$227,0)</f>
        <v>0</v>
      </c>
      <c r="BA10" s="19" t="n">
        <f aca="false">IF(Time!BA6=1,Inputs!$F$108*$F$6+Inputs!$F$112*$F$7+Inputs!$F$121*Debt!$F$28+Inputs!$F$84*Inputs!$F$227,0)</f>
        <v>0</v>
      </c>
      <c r="BB10" s="19" t="n">
        <f aca="false">IF(Time!BB6=1,Inputs!$F$108*$F$6+Inputs!$F$112*$F$7+Inputs!$F$121*Debt!$F$28+Inputs!$F$84*Inputs!$F$227,0)</f>
        <v>0</v>
      </c>
      <c r="BC10" s="19" t="n">
        <f aca="false">IF(Time!BC6=1,Inputs!$F$108*$F$6+Inputs!$F$112*$F$7+Inputs!$F$121*Debt!$F$28+Inputs!$F$84*Inputs!$F$227,0)</f>
        <v>0</v>
      </c>
      <c r="BD10" s="19" t="n">
        <f aca="false">IF(Time!BD6=1,Inputs!$F$108*$F$6+Inputs!$F$112*$F$7+Inputs!$F$121*Debt!$F$28+Inputs!$F$84*Inputs!$F$227,0)</f>
        <v>0</v>
      </c>
      <c r="BE10" s="19" t="n">
        <f aca="false">IF(Time!BE6=1,Inputs!$F$108*$F$6+Inputs!$F$112*$F$7+Inputs!$F$121*Debt!$F$28+Inputs!$F$84*Inputs!$F$227,0)</f>
        <v>0</v>
      </c>
      <c r="BF10" s="19" t="n">
        <f aca="false">IF(Time!BF6=1,Inputs!$F$108*$F$6+Inputs!$F$112*$F$7+Inputs!$F$121*Debt!$F$28+Inputs!$F$84*Inputs!$F$227,0)</f>
        <v>0</v>
      </c>
      <c r="BG10" s="19" t="n">
        <f aca="false">IF(Time!BG6=1,Inputs!$F$108*$F$6+Inputs!$F$112*$F$7+Inputs!$F$121*Debt!$F$28+Inputs!$F$84*Inputs!$F$227,0)</f>
        <v>0</v>
      </c>
      <c r="BH10" s="19" t="n">
        <f aca="false">IF(Time!BH6=1,Inputs!$F$108*$F$6+Inputs!$F$112*$F$7+Inputs!$F$121*Debt!$F$28+Inputs!$F$84*Inputs!$F$227,0)</f>
        <v>0</v>
      </c>
      <c r="BI10" s="19" t="n">
        <f aca="false">IF(Time!BI6=1,Inputs!$F$108*$F$6+Inputs!$F$112*$F$7+Inputs!$F$121*Debt!$F$28+Inputs!$F$84*Inputs!$F$227,0)</f>
        <v>0</v>
      </c>
      <c r="BJ10" s="19" t="n">
        <f aca="false">IF(Time!BJ6=1,Inputs!$F$108*$F$6+Inputs!$F$112*$F$7+Inputs!$F$121*Debt!$F$28+Inputs!$F$84*Inputs!$F$227,0)</f>
        <v>0</v>
      </c>
      <c r="BK10" s="19" t="n">
        <f aca="false">IF(Time!BK6=1,Inputs!$F$108*$F$6+Inputs!$F$112*$F$7+Inputs!$F$121*Debt!$F$28+Inputs!$F$84*Inputs!$F$227,0)</f>
        <v>0</v>
      </c>
      <c r="BL10" s="19" t="n">
        <f aca="false">IF(Time!BL6=1,Inputs!$F$108*$F$6+Inputs!$F$112*$F$7+Inputs!$F$121*Debt!$F$28+Inputs!$F$84*Inputs!$F$227,0)</f>
        <v>0</v>
      </c>
      <c r="BM10" s="19" t="n">
        <f aca="false">IF(Time!BM6=1,Inputs!$F$108*$F$6+Inputs!$F$112*$F$7+Inputs!$F$121*Debt!$F$28+Inputs!$F$84*Inputs!$F$227,0)</f>
        <v>0</v>
      </c>
      <c r="BN10" s="19" t="n">
        <f aca="false">IF(Time!BN6=1,Inputs!$F$108*$F$6+Inputs!$F$112*$F$7+Inputs!$F$121*Debt!$F$28+Inputs!$F$84*Inputs!$F$227,0)</f>
        <v>0</v>
      </c>
      <c r="BO10" s="19" t="n">
        <f aca="false">IF(Time!BO6=1,Inputs!$F$108*$F$6+Inputs!$F$112*$F$7+Inputs!$F$121*Debt!$F$28+Inputs!$F$84*Inputs!$F$227,0)</f>
        <v>0</v>
      </c>
      <c r="BP10" s="19" t="n">
        <f aca="false">IF(Time!BP6=1,Inputs!$F$108*$F$6+Inputs!$F$112*$F$7+Inputs!$F$121*Debt!$F$28+Inputs!$F$84*Inputs!$F$227,0)</f>
        <v>0</v>
      </c>
      <c r="BQ10" s="19" t="n">
        <f aca="false">IF(Time!BQ6=1,Inputs!$F$108*$F$6+Inputs!$F$112*$F$7+Inputs!$F$121*Debt!$F$28+Inputs!$F$84*Inputs!$F$227,0)</f>
        <v>0</v>
      </c>
      <c r="BR10" s="19" t="n">
        <f aca="false">IF(Time!BR6=1,Inputs!$F$108*$F$6+Inputs!$F$112*$F$7+Inputs!$F$121*Debt!$F$28+Inputs!$F$84*Inputs!$F$227,0)</f>
        <v>0</v>
      </c>
      <c r="BS10" s="19" t="n">
        <f aca="false">IF(Time!BS6=1,Inputs!$F$108*$F$6+Inputs!$F$112*$F$7+Inputs!$F$121*Debt!$F$28+Inputs!$F$84*Inputs!$F$227,0)</f>
        <v>0</v>
      </c>
      <c r="BT10" s="19" t="n">
        <f aca="false">IF(Time!BT6=1,Inputs!$F$108*$F$6+Inputs!$F$112*$F$7+Inputs!$F$121*Debt!$F$28+Inputs!$F$84*Inputs!$F$227,0)</f>
        <v>0</v>
      </c>
      <c r="BU10" s="19" t="n">
        <f aca="false">IF(Time!BU6=1,Inputs!$F$108*$F$6+Inputs!$F$112*$F$7+Inputs!$F$121*Debt!$F$28+Inputs!$F$84*Inputs!$F$227,0)</f>
        <v>0</v>
      </c>
      <c r="BV10" s="19" t="n">
        <f aca="false">IF(Time!BV6=1,Inputs!$F$108*$F$6+Inputs!$F$112*$F$7+Inputs!$F$121*Debt!$F$28+Inputs!$F$84*Inputs!$F$227,0)</f>
        <v>0</v>
      </c>
      <c r="BW10" s="19" t="n">
        <f aca="false">IF(Time!BW6=1,Inputs!$F$108*$F$6+Inputs!$F$112*$F$7+Inputs!$F$121*Debt!$F$28+Inputs!$F$84*Inputs!$F$227,0)</f>
        <v>0</v>
      </c>
      <c r="BX10" s="19" t="n">
        <f aca="false">IF(Time!BX6=1,Inputs!$F$108*$F$6+Inputs!$F$112*$F$7+Inputs!$F$121*Debt!$F$28+Inputs!$F$84*Inputs!$F$227,0)</f>
        <v>0</v>
      </c>
      <c r="BY10" s="19" t="n">
        <f aca="false">IF(Time!BY6=1,Inputs!$F$108*$F$6+Inputs!$F$112*$F$7+Inputs!$F$121*Debt!$F$28+Inputs!$F$84*Inputs!$F$227,0)</f>
        <v>0</v>
      </c>
      <c r="BZ10" s="19" t="n">
        <f aca="false">IF(Time!BZ6=1,Inputs!$F$108*$F$6+Inputs!$F$112*$F$7+Inputs!$F$121*Debt!$F$28+Inputs!$F$84*Inputs!$F$227,0)</f>
        <v>0</v>
      </c>
      <c r="CA10" s="19" t="n">
        <f aca="false">IF(Time!CA6=1,Inputs!$F$108*$F$6+Inputs!$F$112*$F$7+Inputs!$F$121*Debt!$F$28+Inputs!$F$84*Inputs!$F$227,0)</f>
        <v>0</v>
      </c>
      <c r="CB10" s="19" t="n">
        <f aca="false">IF(Time!CB6=1,Inputs!$F$108*$F$6+Inputs!$F$112*$F$7+Inputs!$F$121*Debt!$F$28+Inputs!$F$84*Inputs!$F$227,0)</f>
        <v>0</v>
      </c>
      <c r="CC10" s="19" t="n">
        <f aca="false">IF(Time!CC6=1,Inputs!$F$108*$F$6+Inputs!$F$112*$F$7+Inputs!$F$121*Debt!$F$28+Inputs!$F$84*Inputs!$F$227,0)</f>
        <v>0</v>
      </c>
      <c r="CD10" s="19" t="n">
        <f aca="false">IF(Time!CD6=1,Inputs!$F$108*$F$6+Inputs!$F$112*$F$7+Inputs!$F$121*Debt!$F$28+Inputs!$F$84*Inputs!$F$227,0)</f>
        <v>0</v>
      </c>
      <c r="CE10" s="19" t="n">
        <f aca="false">IF(Time!CE6=1,Inputs!$F$108*$F$6+Inputs!$F$112*$F$7+Inputs!$F$121*Debt!$F$28+Inputs!$F$84*Inputs!$F$227,0)</f>
        <v>0</v>
      </c>
      <c r="CF10" s="19" t="n">
        <f aca="false">IF(Time!CF6=1,Inputs!$F$108*$F$6+Inputs!$F$112*$F$7+Inputs!$F$121*Debt!$F$28+Inputs!$F$84*Inputs!$F$227,0)</f>
        <v>0</v>
      </c>
      <c r="CG10" s="19" t="n">
        <f aca="false">IF(Time!CG6=1,Inputs!$F$108*$F$6+Inputs!$F$112*$F$7+Inputs!$F$121*Debt!$F$28+Inputs!$F$84*Inputs!$F$227,0)</f>
        <v>0</v>
      </c>
      <c r="CH10" s="19" t="n">
        <f aca="false">IF(Time!CH6=1,Inputs!$F$108*$F$6+Inputs!$F$112*$F$7+Inputs!$F$121*Debt!$F$28+Inputs!$F$84*Inputs!$F$227,0)</f>
        <v>0</v>
      </c>
      <c r="CI10" s="19" t="n">
        <f aca="false">IF(Time!CI6=1,Inputs!$F$108*$F$6+Inputs!$F$112*$F$7+Inputs!$F$121*Debt!$F$28+Inputs!$F$84*Inputs!$F$227,0)</f>
        <v>0</v>
      </c>
      <c r="CJ10" s="19" t="n">
        <f aca="false">IF(Time!CJ6=1,Inputs!$F$108*$F$6+Inputs!$F$112*$F$7+Inputs!$F$121*Debt!$F$28+Inputs!$F$84*Inputs!$F$227,0)</f>
        <v>0</v>
      </c>
      <c r="CK10" s="19" t="n">
        <f aca="false">IF(Time!CK6=1,Inputs!$F$108*$F$6+Inputs!$F$112*$F$7+Inputs!$F$121*Debt!$F$28+Inputs!$F$84*Inputs!$F$227,0)</f>
        <v>0</v>
      </c>
      <c r="CL10" s="19" t="n">
        <f aca="false">IF(Time!CL6=1,Inputs!$F$108*$F$6+Inputs!$F$112*$F$7+Inputs!$F$121*Debt!$F$28+Inputs!$F$84*Inputs!$F$227,0)</f>
        <v>0</v>
      </c>
      <c r="CM10" s="19" t="n">
        <f aca="false">IF(Time!CM6=1,Inputs!$F$108*$F$6+Inputs!$F$112*$F$7+Inputs!$F$121*Debt!$F$28+Inputs!$F$84*Inputs!$F$227,0)</f>
        <v>0</v>
      </c>
      <c r="CN10" s="19" t="n">
        <f aca="false">IF(Time!CN6=1,Inputs!$F$108*$F$6+Inputs!$F$112*$F$7+Inputs!$F$121*Debt!$F$28+Inputs!$F$84*Inputs!$F$227,0)</f>
        <v>0</v>
      </c>
      <c r="CO10" s="19" t="n">
        <f aca="false">IF(Time!CO6=1,Inputs!$F$108*$F$6+Inputs!$F$112*$F$7+Inputs!$F$121*Debt!$F$28+Inputs!$F$84*Inputs!$F$227,0)</f>
        <v>0</v>
      </c>
      <c r="CP10" s="19" t="n">
        <f aca="false">IF(Time!CP6=1,Inputs!$F$108*$F$6+Inputs!$F$112*$F$7+Inputs!$F$121*Debt!$F$28+Inputs!$F$84*Inputs!$F$227,0)</f>
        <v>0</v>
      </c>
      <c r="CQ10" s="19" t="n">
        <f aca="false">IF(Time!CQ6=1,Inputs!$F$108*$F$6+Inputs!$F$112*$F$7+Inputs!$F$121*Debt!$F$28+Inputs!$F$84*Inputs!$F$227,0)</f>
        <v>0</v>
      </c>
      <c r="CR10" s="19" t="n">
        <f aca="false">IF(Time!CR6=1,Inputs!$F$108*$F$6+Inputs!$F$112*$F$7+Inputs!$F$121*Debt!$F$28+Inputs!$F$84*Inputs!$F$227,0)</f>
        <v>0</v>
      </c>
      <c r="CS10" s="19" t="n">
        <f aca="false">IF(Time!CS6=1,Inputs!$F$108*$F$6+Inputs!$F$112*$F$7+Inputs!$F$121*Debt!$F$28+Inputs!$F$84*Inputs!$F$227,0)</f>
        <v>0</v>
      </c>
      <c r="CT10" s="19" t="n">
        <f aca="false">IF(Time!CT6=1,Inputs!$F$108*$F$6+Inputs!$F$112*$F$7+Inputs!$F$121*Debt!$F$28+Inputs!$F$84*Inputs!$F$227,0)</f>
        <v>0</v>
      </c>
      <c r="CU10" s="19" t="n">
        <f aca="false">IF(Time!CU6=1,Inputs!$F$108*$F$6+Inputs!$F$112*$F$7+Inputs!$F$121*Debt!$F$28+Inputs!$F$84*Inputs!$F$227,0)</f>
        <v>0</v>
      </c>
      <c r="CV10" s="19" t="n">
        <f aca="false">IF(Time!CV6=1,Inputs!$F$108*$F$6+Inputs!$F$112*$F$7+Inputs!$F$121*Debt!$F$28+Inputs!$F$84*Inputs!$F$227,0)</f>
        <v>0</v>
      </c>
      <c r="CW10" s="19" t="n">
        <f aca="false">IF(Time!CW6=1,Inputs!$F$108*$F$6+Inputs!$F$112*$F$7+Inputs!$F$121*Debt!$F$28+Inputs!$F$84*Inputs!$F$227,0)</f>
        <v>0</v>
      </c>
      <c r="CX10" s="19" t="n">
        <f aca="false">IF(Time!CX6=1,Inputs!$F$108*$F$6+Inputs!$F$112*$F$7+Inputs!$F$121*Debt!$F$28+Inputs!$F$84*Inputs!$F$227,0)</f>
        <v>0</v>
      </c>
      <c r="CY10" s="19" t="n">
        <f aca="false">IF(Time!CY6=1,Inputs!$F$108*$F$6+Inputs!$F$112*$F$7+Inputs!$F$121*Debt!$F$28+Inputs!$F$84*Inputs!$F$227,0)</f>
        <v>0</v>
      </c>
      <c r="CZ10" s="19" t="n">
        <f aca="false">IF(Time!CZ6=1,Inputs!$F$108*$F$6+Inputs!$F$112*$F$7+Inputs!$F$121*Debt!$F$28+Inputs!$F$84*Inputs!$F$227,0)</f>
        <v>0</v>
      </c>
      <c r="DA10" s="19" t="n">
        <f aca="false">IF(Time!DA6=1,Inputs!$F$108*$F$6+Inputs!$F$112*$F$7+Inputs!$F$121*Debt!$F$28+Inputs!$F$84*Inputs!$F$227,0)</f>
        <v>0</v>
      </c>
      <c r="DB10" s="19" t="n">
        <f aca="false">IF(Time!DB6=1,Inputs!$F$108*$F$6+Inputs!$F$112*$F$7+Inputs!$F$121*Debt!$F$28+Inputs!$F$84*Inputs!$F$227,0)</f>
        <v>0</v>
      </c>
    </row>
    <row r="11" customFormat="false" ht="15" hidden="false" customHeight="false" outlineLevel="0" collapsed="false">
      <c r="D11" s="0" t="s">
        <v>441</v>
      </c>
      <c r="E11" s="0" t="s">
        <v>44</v>
      </c>
      <c r="G11" s="19" t="n">
        <f aca="false">SUM(J11:DB11)</f>
        <v>37.9293997559654</v>
      </c>
      <c r="J11" s="19" t="n">
        <f aca="false">Debt!J43*Time!J20</f>
        <v>0</v>
      </c>
      <c r="K11" s="19" t="n">
        <f aca="false">Debt!K43*Time!K20</f>
        <v>0</v>
      </c>
      <c r="L11" s="19" t="n">
        <f aca="false">Debt!L43*Time!L20</f>
        <v>0</v>
      </c>
      <c r="M11" s="19" t="n">
        <f aca="false">Debt!M43*Time!M20</f>
        <v>0</v>
      </c>
      <c r="N11" s="19" t="n">
        <f aca="false">Debt!N43*Time!N20</f>
        <v>0</v>
      </c>
      <c r="O11" s="19" t="n">
        <f aca="false">Debt!O43*Time!O20</f>
        <v>0.0753264079201914</v>
      </c>
      <c r="P11" s="19" t="n">
        <f aca="false">Debt!P43*Time!P20</f>
        <v>0.791856846256687</v>
      </c>
      <c r="Q11" s="19" t="n">
        <f aca="false">Debt!Q43*Time!Q20</f>
        <v>1.57526623342257</v>
      </c>
      <c r="R11" s="19" t="n">
        <f aca="false">Debt!R43*Time!R20</f>
        <v>2.45727501185015</v>
      </c>
      <c r="S11" s="19" t="n">
        <f aca="false">Debt!S43*Time!S20</f>
        <v>3.37415004691184</v>
      </c>
      <c r="T11" s="19" t="n">
        <f aca="false">Debt!T43*Time!T20</f>
        <v>4.20685683112386</v>
      </c>
      <c r="U11" s="19" t="n">
        <f aca="false">Debt!U43*Time!U20</f>
        <v>4.52506029174383</v>
      </c>
      <c r="V11" s="19" t="n">
        <f aca="false">Debt!V43*Time!V20</f>
        <v>4.91661608386638</v>
      </c>
      <c r="W11" s="19" t="n">
        <f aca="false">Debt!W43*Time!W20</f>
        <v>5.22964721939206</v>
      </c>
      <c r="X11" s="19" t="n">
        <f aca="false">Debt!X43*Time!X20</f>
        <v>5.40084280244453</v>
      </c>
      <c r="Y11" s="19" t="n">
        <f aca="false">Debt!Y43*Time!Y20</f>
        <v>5.3765019810333</v>
      </c>
      <c r="Z11" s="19" t="n">
        <f aca="false">Debt!Z43*Time!Z20</f>
        <v>0</v>
      </c>
      <c r="AA11" s="19" t="n">
        <f aca="false">Debt!AA43*Time!AA20</f>
        <v>0</v>
      </c>
      <c r="AB11" s="19" t="n">
        <f aca="false">Debt!AB43*Time!AB20</f>
        <v>0</v>
      </c>
      <c r="AC11" s="19" t="n">
        <f aca="false">Debt!AC43*Time!AC20</f>
        <v>0</v>
      </c>
      <c r="AD11" s="19" t="n">
        <f aca="false">Debt!AD43*Time!AD20</f>
        <v>0</v>
      </c>
      <c r="AE11" s="19" t="n">
        <f aca="false">Debt!AE43*Time!AE20</f>
        <v>0</v>
      </c>
      <c r="AF11" s="19" t="n">
        <f aca="false">Debt!AF43*Time!AF20</f>
        <v>0</v>
      </c>
      <c r="AG11" s="19" t="n">
        <f aca="false">Debt!AG43*Time!AG20</f>
        <v>0</v>
      </c>
      <c r="AH11" s="19" t="n">
        <f aca="false">Debt!AH43*Time!AH20</f>
        <v>0</v>
      </c>
      <c r="AI11" s="19" t="n">
        <f aca="false">Debt!AI43*Time!AI20</f>
        <v>0</v>
      </c>
      <c r="AJ11" s="19" t="n">
        <f aca="false">Debt!AJ43*Time!AJ20</f>
        <v>0</v>
      </c>
      <c r="AK11" s="19" t="n">
        <f aca="false">Debt!AK43*Time!AK20</f>
        <v>0</v>
      </c>
      <c r="AL11" s="19" t="n">
        <f aca="false">Debt!AL43*Time!AL20</f>
        <v>0</v>
      </c>
      <c r="AM11" s="19" t="n">
        <f aca="false">Debt!AM43*Time!AM20</f>
        <v>0</v>
      </c>
      <c r="AN11" s="19" t="n">
        <f aca="false">Debt!AN43*Time!AN20</f>
        <v>0</v>
      </c>
      <c r="AO11" s="19" t="n">
        <f aca="false">Debt!AO43*Time!AO20</f>
        <v>0</v>
      </c>
      <c r="AP11" s="19" t="n">
        <f aca="false">Debt!AP43*Time!AP20</f>
        <v>0</v>
      </c>
      <c r="AQ11" s="19" t="n">
        <f aca="false">Debt!AQ43*Time!AQ20</f>
        <v>0</v>
      </c>
      <c r="AR11" s="19" t="n">
        <f aca="false">Debt!AR43*Time!AR20</f>
        <v>0</v>
      </c>
      <c r="AS11" s="19" t="n">
        <f aca="false">Debt!AS43*Time!AS20</f>
        <v>0</v>
      </c>
      <c r="AT11" s="19" t="n">
        <f aca="false">Debt!AT43*Time!AT20</f>
        <v>0</v>
      </c>
      <c r="AU11" s="19" t="n">
        <f aca="false">Debt!AU43*Time!AU20</f>
        <v>0</v>
      </c>
      <c r="AV11" s="19" t="n">
        <f aca="false">Debt!AV43*Time!AV20</f>
        <v>0</v>
      </c>
      <c r="AW11" s="19" t="n">
        <f aca="false">Debt!AW43*Time!AW20</f>
        <v>0</v>
      </c>
      <c r="AX11" s="19" t="n">
        <f aca="false">Debt!AX43*Time!AX20</f>
        <v>0</v>
      </c>
      <c r="AY11" s="19" t="n">
        <f aca="false">Debt!AY43*Time!AY20</f>
        <v>0</v>
      </c>
      <c r="AZ11" s="19" t="n">
        <f aca="false">Debt!AZ43*Time!AZ20</f>
        <v>0</v>
      </c>
      <c r="BA11" s="19" t="n">
        <f aca="false">Debt!BA43*Time!BA20</f>
        <v>0</v>
      </c>
      <c r="BB11" s="19" t="n">
        <f aca="false">Debt!BB43*Time!BB20</f>
        <v>0</v>
      </c>
      <c r="BC11" s="19" t="n">
        <f aca="false">Debt!BC43*Time!BC20</f>
        <v>0</v>
      </c>
      <c r="BD11" s="19" t="n">
        <f aca="false">Debt!BD43*Time!BD20</f>
        <v>0</v>
      </c>
      <c r="BE11" s="19" t="n">
        <f aca="false">Debt!BE43*Time!BE20</f>
        <v>0</v>
      </c>
      <c r="BF11" s="19" t="n">
        <f aca="false">Debt!BF43*Time!BF20</f>
        <v>0</v>
      </c>
      <c r="BG11" s="19" t="n">
        <f aca="false">Debt!BG43*Time!BG20</f>
        <v>0</v>
      </c>
      <c r="BH11" s="19" t="n">
        <f aca="false">Debt!BH43*Time!BH20</f>
        <v>0</v>
      </c>
      <c r="BI11" s="19" t="n">
        <f aca="false">Debt!BI43*Time!BI20</f>
        <v>0</v>
      </c>
      <c r="BJ11" s="19" t="n">
        <f aca="false">Debt!BJ43*Time!BJ20</f>
        <v>0</v>
      </c>
      <c r="BK11" s="19" t="n">
        <f aca="false">Debt!BK43*Time!BK20</f>
        <v>0</v>
      </c>
      <c r="BL11" s="19" t="n">
        <f aca="false">Debt!BL43*Time!BL20</f>
        <v>0</v>
      </c>
      <c r="BM11" s="19" t="n">
        <f aca="false">Debt!BM43*Time!BM20</f>
        <v>0</v>
      </c>
      <c r="BN11" s="19" t="n">
        <f aca="false">Debt!BN43*Time!BN20</f>
        <v>0</v>
      </c>
      <c r="BO11" s="19" t="n">
        <f aca="false">Debt!BO43*Time!BO20</f>
        <v>0</v>
      </c>
      <c r="BP11" s="19" t="n">
        <f aca="false">Debt!BP43*Time!BP20</f>
        <v>0</v>
      </c>
      <c r="BQ11" s="19" t="n">
        <f aca="false">Debt!BQ43*Time!BQ20</f>
        <v>0</v>
      </c>
      <c r="BR11" s="19" t="n">
        <f aca="false">Debt!BR43*Time!BR20</f>
        <v>0</v>
      </c>
      <c r="BS11" s="19" t="n">
        <f aca="false">Debt!BS43*Time!BS20</f>
        <v>0</v>
      </c>
      <c r="BT11" s="19" t="n">
        <f aca="false">Debt!BT43*Time!BT20</f>
        <v>0</v>
      </c>
      <c r="BU11" s="19" t="n">
        <f aca="false">Debt!BU43*Time!BU20</f>
        <v>0</v>
      </c>
      <c r="BV11" s="19" t="n">
        <f aca="false">Debt!BV43*Time!BV20</f>
        <v>0</v>
      </c>
      <c r="BW11" s="19" t="n">
        <f aca="false">Debt!BW43*Time!BW20</f>
        <v>0</v>
      </c>
      <c r="BX11" s="19" t="n">
        <f aca="false">Debt!BX43*Time!BX20</f>
        <v>0</v>
      </c>
      <c r="BY11" s="19" t="n">
        <f aca="false">Debt!BY43*Time!BY20</f>
        <v>0</v>
      </c>
      <c r="BZ11" s="19" t="n">
        <f aca="false">Debt!BZ43*Time!BZ20</f>
        <v>0</v>
      </c>
      <c r="CA11" s="19" t="n">
        <f aca="false">Debt!CA43*Time!CA20</f>
        <v>0</v>
      </c>
      <c r="CB11" s="19" t="n">
        <f aca="false">Debt!CB43*Time!CB20</f>
        <v>0</v>
      </c>
      <c r="CC11" s="19" t="n">
        <f aca="false">Debt!CC43*Time!CC20</f>
        <v>0</v>
      </c>
      <c r="CD11" s="19" t="n">
        <f aca="false">Debt!CD43*Time!CD20</f>
        <v>0</v>
      </c>
      <c r="CE11" s="19" t="n">
        <f aca="false">Debt!CE43*Time!CE20</f>
        <v>0</v>
      </c>
      <c r="CF11" s="19" t="n">
        <f aca="false">Debt!CF43*Time!CF20</f>
        <v>0</v>
      </c>
      <c r="CG11" s="19" t="n">
        <f aca="false">Debt!CG43*Time!CG20</f>
        <v>0</v>
      </c>
      <c r="CH11" s="19" t="n">
        <f aca="false">Debt!CH43*Time!CH20</f>
        <v>0</v>
      </c>
      <c r="CI11" s="19" t="n">
        <f aca="false">Debt!CI43*Time!CI20</f>
        <v>0</v>
      </c>
      <c r="CJ11" s="19" t="n">
        <f aca="false">Debt!CJ43*Time!CJ20</f>
        <v>0</v>
      </c>
      <c r="CK11" s="19" t="n">
        <f aca="false">Debt!CK43*Time!CK20</f>
        <v>0</v>
      </c>
      <c r="CL11" s="19" t="n">
        <f aca="false">Debt!CL43*Time!CL20</f>
        <v>0</v>
      </c>
      <c r="CM11" s="19" t="n">
        <f aca="false">Debt!CM43*Time!CM20</f>
        <v>0</v>
      </c>
      <c r="CN11" s="19" t="n">
        <f aca="false">Debt!CN43*Time!CN20</f>
        <v>0</v>
      </c>
      <c r="CO11" s="19" t="n">
        <f aca="false">Debt!CO43*Time!CO20</f>
        <v>0</v>
      </c>
      <c r="CP11" s="19" t="n">
        <f aca="false">Debt!CP43*Time!CP20</f>
        <v>0</v>
      </c>
      <c r="CQ11" s="19" t="n">
        <f aca="false">Debt!CQ43*Time!CQ20</f>
        <v>0</v>
      </c>
      <c r="CR11" s="19" t="n">
        <f aca="false">Debt!CR43*Time!CR20</f>
        <v>0</v>
      </c>
      <c r="CS11" s="19" t="n">
        <f aca="false">Debt!CS43*Time!CS20</f>
        <v>0</v>
      </c>
      <c r="CT11" s="19" t="n">
        <f aca="false">Debt!CT43*Time!CT20</f>
        <v>0</v>
      </c>
      <c r="CU11" s="19" t="n">
        <f aca="false">Debt!CU43*Time!CU20</f>
        <v>0</v>
      </c>
      <c r="CV11" s="19" t="n">
        <f aca="false">Debt!CV43*Time!CV20</f>
        <v>0</v>
      </c>
      <c r="CW11" s="19" t="n">
        <f aca="false">Debt!CW43*Time!CW20</f>
        <v>0</v>
      </c>
      <c r="CX11" s="19" t="n">
        <f aca="false">Debt!CX43*Time!CX20</f>
        <v>0</v>
      </c>
      <c r="CY11" s="19" t="n">
        <f aca="false">Debt!CY43*Time!CY20</f>
        <v>0</v>
      </c>
      <c r="CZ11" s="19" t="n">
        <f aca="false">Debt!CZ43*Time!CZ20</f>
        <v>0</v>
      </c>
      <c r="DA11" s="19" t="n">
        <f aca="false">Debt!DA43*Time!DA20</f>
        <v>0</v>
      </c>
      <c r="DB11" s="19" t="n">
        <f aca="false">Debt!DB43*Time!DB20</f>
        <v>0</v>
      </c>
    </row>
    <row r="12" customFormat="false" ht="15" hidden="false" customHeight="false" outlineLevel="0" collapsed="false">
      <c r="D12" s="0" t="s">
        <v>144</v>
      </c>
      <c r="E12" s="0" t="s">
        <v>44</v>
      </c>
      <c r="G12" s="19" t="n">
        <f aca="false">SUM(J12:DB12)</f>
        <v>8.32523972196385</v>
      </c>
      <c r="J12" s="19" t="n">
        <f aca="false">Inputs!$F$109*($F$6-Debt!J42)*Time!J9/Inputs!$F$45*Time!J20</f>
        <v>0.351281150865862</v>
      </c>
      <c r="K12" s="19" t="n">
        <f aca="false">Inputs!$F$109*($F$6-Debt!K42)*Time!K9/Inputs!$F$45*Time!K20</f>
        <v>0.950525467048803</v>
      </c>
      <c r="L12" s="19" t="n">
        <f aca="false">Inputs!$F$109*($F$6-Debt!L42)*Time!L9/Inputs!$F$45*Time!L20</f>
        <v>0.950525467048803</v>
      </c>
      <c r="M12" s="19" t="n">
        <f aca="false">Inputs!$F$109*($F$6-Debt!M42)*Time!M9/Inputs!$F$45*Time!M20</f>
        <v>0.940193668493924</v>
      </c>
      <c r="N12" s="19" t="n">
        <f aca="false">Inputs!$F$109*($F$6-Debt!N42)*Time!N9/Inputs!$F$45*Time!N20</f>
        <v>0.940193668493924</v>
      </c>
      <c r="O12" s="19" t="n">
        <f aca="false">Inputs!$F$109*($F$6-Debt!O42)*Time!O9/Inputs!$F$45*Time!O20</f>
        <v>0.938251009497485</v>
      </c>
      <c r="P12" s="19" t="n">
        <f aca="false">Inputs!$F$109*($F$6-Debt!P42)*Time!P9/Inputs!$F$45*Time!P20</f>
        <v>0.821492190214522</v>
      </c>
      <c r="Q12" s="19" t="n">
        <f aca="false">Inputs!$F$109*($F$6-Debt!Q42)*Time!Q9/Inputs!$F$45*Time!Q20</f>
        <v>0.673171831902778</v>
      </c>
      <c r="R12" s="19" t="n">
        <f aca="false">Inputs!$F$109*($F$6-Debt!R42)*Time!R9/Inputs!$F$45*Time!R20</f>
        <v>0.53978007308095</v>
      </c>
      <c r="S12" s="19" t="n">
        <f aca="false">Inputs!$F$109*($F$6-Debt!S42)*Time!S9/Inputs!$F$45*Time!S20</f>
        <v>0.400706848769858</v>
      </c>
      <c r="T12" s="19" t="n">
        <f aca="false">Inputs!$F$109*($F$6-Debt!T42)*Time!T9/Inputs!$F$45*Time!T20</f>
        <v>0.265017064035481</v>
      </c>
      <c r="U12" s="19" t="n">
        <f aca="false">Inputs!$F$109*($F$6-Debt!U42)*Time!U9/Inputs!$F$45*Time!U20</f>
        <v>0.192502131147169</v>
      </c>
      <c r="V12" s="19" t="n">
        <f aca="false">Inputs!$F$109*($F$6-Debt!V42)*Time!V9/Inputs!$F$45*Time!V20</f>
        <v>0.139029812632336</v>
      </c>
      <c r="W12" s="19" t="n">
        <f aca="false">Inputs!$F$109*($F$6-Debt!W42)*Time!W9/Inputs!$F$45*Time!W20</f>
        <v>0.0983531071135608</v>
      </c>
      <c r="X12" s="19" t="n">
        <f aca="false">Inputs!$F$109*($F$6-Debt!X42)*Time!X9/Inputs!$F$45*Time!X20</f>
        <v>0.0704567428082698</v>
      </c>
      <c r="Y12" s="19" t="n">
        <f aca="false">Inputs!$F$109*($F$6-Debt!Y42)*Time!Y9/Inputs!$F$45*Time!Y20</f>
        <v>0.053759488810121</v>
      </c>
      <c r="Z12" s="19" t="n">
        <f aca="false">Inputs!$F$109*($F$6-Debt!Z42)*Time!Z9/Inputs!$F$45*Time!Z20</f>
        <v>0</v>
      </c>
      <c r="AA12" s="19" t="n">
        <f aca="false">Inputs!$F$109*($F$6-Debt!AA42)*Time!AA9/Inputs!$F$45*Time!AA20</f>
        <v>0</v>
      </c>
      <c r="AB12" s="19" t="n">
        <f aca="false">Inputs!$F$109*($F$6-Debt!AB42)*Time!AB9/Inputs!$F$45*Time!AB20</f>
        <v>0</v>
      </c>
      <c r="AC12" s="19" t="n">
        <f aca="false">Inputs!$F$109*($F$6-Debt!AC42)*Time!AC9/Inputs!$F$45*Time!AC20</f>
        <v>0</v>
      </c>
      <c r="AD12" s="19" t="n">
        <f aca="false">Inputs!$F$109*($F$6-Debt!AD42)*Time!AD9/Inputs!$F$45*Time!AD20</f>
        <v>0</v>
      </c>
      <c r="AE12" s="19" t="n">
        <f aca="false">Inputs!$F$109*($F$6-Debt!AE42)*Time!AE9/Inputs!$F$45*Time!AE20</f>
        <v>0</v>
      </c>
      <c r="AF12" s="19" t="n">
        <f aca="false">Inputs!$F$109*($F$6-Debt!AF42)*Time!AF9/Inputs!$F$45*Time!AF20</f>
        <v>0</v>
      </c>
      <c r="AG12" s="19" t="n">
        <f aca="false">Inputs!$F$109*($F$6-Debt!AG42)*Time!AG9/Inputs!$F$45*Time!AG20</f>
        <v>0</v>
      </c>
      <c r="AH12" s="19" t="n">
        <f aca="false">Inputs!$F$109*($F$6-Debt!AH42)*Time!AH9/Inputs!$F$45*Time!AH20</f>
        <v>0</v>
      </c>
      <c r="AI12" s="19" t="n">
        <f aca="false">Inputs!$F$109*($F$6-Debt!AI42)*Time!AI9/Inputs!$F$45*Time!AI20</f>
        <v>0</v>
      </c>
      <c r="AJ12" s="19" t="n">
        <f aca="false">Inputs!$F$109*($F$6-Debt!AJ42)*Time!AJ9/Inputs!$F$45*Time!AJ20</f>
        <v>0</v>
      </c>
      <c r="AK12" s="19" t="n">
        <f aca="false">Inputs!$F$109*($F$6-Debt!AK42)*Time!AK9/Inputs!$F$45*Time!AK20</f>
        <v>0</v>
      </c>
      <c r="AL12" s="19" t="n">
        <f aca="false">Inputs!$F$109*($F$6-Debt!AL42)*Time!AL9/Inputs!$F$45*Time!AL20</f>
        <v>0</v>
      </c>
      <c r="AM12" s="19" t="n">
        <f aca="false">Inputs!$F$109*($F$6-Debt!AM42)*Time!AM9/Inputs!$F$45*Time!AM20</f>
        <v>0</v>
      </c>
      <c r="AN12" s="19" t="n">
        <f aca="false">Inputs!$F$109*($F$6-Debt!AN42)*Time!AN9/Inputs!$F$45*Time!AN20</f>
        <v>0</v>
      </c>
      <c r="AO12" s="19" t="n">
        <f aca="false">Inputs!$F$109*($F$6-Debt!AO42)*Time!AO9/Inputs!$F$45*Time!AO20</f>
        <v>0</v>
      </c>
      <c r="AP12" s="19" t="n">
        <f aca="false">Inputs!$F$109*($F$6-Debt!AP42)*Time!AP9/Inputs!$F$45*Time!AP20</f>
        <v>0</v>
      </c>
      <c r="AQ12" s="19" t="n">
        <f aca="false">Inputs!$F$109*($F$6-Debt!AQ42)*Time!AQ9/Inputs!$F$45*Time!AQ20</f>
        <v>0</v>
      </c>
      <c r="AR12" s="19" t="n">
        <f aca="false">Inputs!$F$109*($F$6-Debt!AR42)*Time!AR9/Inputs!$F$45*Time!AR20</f>
        <v>0</v>
      </c>
      <c r="AS12" s="19" t="n">
        <f aca="false">Inputs!$F$109*($F$6-Debt!AS42)*Time!AS9/Inputs!$F$45*Time!AS20</f>
        <v>0</v>
      </c>
      <c r="AT12" s="19" t="n">
        <f aca="false">Inputs!$F$109*($F$6-Debt!AT42)*Time!AT9/Inputs!$F$45*Time!AT20</f>
        <v>0</v>
      </c>
      <c r="AU12" s="19" t="n">
        <f aca="false">Inputs!$F$109*($F$6-Debt!AU42)*Time!AU9/Inputs!$F$45*Time!AU20</f>
        <v>0</v>
      </c>
      <c r="AV12" s="19" t="n">
        <f aca="false">Inputs!$F$109*($F$6-Debt!AV42)*Time!AV9/Inputs!$F$45*Time!AV20</f>
        <v>0</v>
      </c>
      <c r="AW12" s="19" t="n">
        <f aca="false">Inputs!$F$109*($F$6-Debt!AW42)*Time!AW9/Inputs!$F$45*Time!AW20</f>
        <v>0</v>
      </c>
      <c r="AX12" s="19" t="n">
        <f aca="false">Inputs!$F$109*($F$6-Debt!AX42)*Time!AX9/Inputs!$F$45*Time!AX20</f>
        <v>0</v>
      </c>
      <c r="AY12" s="19" t="n">
        <f aca="false">Inputs!$F$109*($F$6-Debt!AY42)*Time!AY9/Inputs!$F$45*Time!AY20</f>
        <v>0</v>
      </c>
      <c r="AZ12" s="19" t="n">
        <f aca="false">Inputs!$F$109*($F$6-Debt!AZ42)*Time!AZ9/Inputs!$F$45*Time!AZ20</f>
        <v>0</v>
      </c>
      <c r="BA12" s="19" t="n">
        <f aca="false">Inputs!$F$109*($F$6-Debt!BA42)*Time!BA9/Inputs!$F$45*Time!BA20</f>
        <v>0</v>
      </c>
      <c r="BB12" s="19" t="n">
        <f aca="false">Inputs!$F$109*($F$6-Debt!BB42)*Time!BB9/Inputs!$F$45*Time!BB20</f>
        <v>0</v>
      </c>
      <c r="BC12" s="19" t="n">
        <f aca="false">Inputs!$F$109*($F$6-Debt!BC42)*Time!BC9/Inputs!$F$45*Time!BC20</f>
        <v>0</v>
      </c>
      <c r="BD12" s="19" t="n">
        <f aca="false">Inputs!$F$109*($F$6-Debt!BD42)*Time!BD9/Inputs!$F$45*Time!BD20</f>
        <v>0</v>
      </c>
      <c r="BE12" s="19" t="n">
        <f aca="false">Inputs!$F$109*($F$6-Debt!BE42)*Time!BE9/Inputs!$F$45*Time!BE20</f>
        <v>0</v>
      </c>
      <c r="BF12" s="19" t="n">
        <f aca="false">Inputs!$F$109*($F$6-Debt!BF42)*Time!BF9/Inputs!$F$45*Time!BF20</f>
        <v>0</v>
      </c>
      <c r="BG12" s="19" t="n">
        <f aca="false">Inputs!$F$109*($F$6-Debt!BG42)*Time!BG9/Inputs!$F$45*Time!BG20</f>
        <v>0</v>
      </c>
      <c r="BH12" s="19" t="n">
        <f aca="false">Inputs!$F$109*($F$6-Debt!BH42)*Time!BH9/Inputs!$F$45*Time!BH20</f>
        <v>0</v>
      </c>
      <c r="BI12" s="19" t="n">
        <f aca="false">Inputs!$F$109*($F$6-Debt!BI42)*Time!BI9/Inputs!$F$45*Time!BI20</f>
        <v>0</v>
      </c>
      <c r="BJ12" s="19" t="n">
        <f aca="false">Inputs!$F$109*($F$6-Debt!BJ42)*Time!BJ9/Inputs!$F$45*Time!BJ20</f>
        <v>0</v>
      </c>
      <c r="BK12" s="19" t="n">
        <f aca="false">Inputs!$F$109*($F$6-Debt!BK42)*Time!BK9/Inputs!$F$45*Time!BK20</f>
        <v>0</v>
      </c>
      <c r="BL12" s="19" t="n">
        <f aca="false">Inputs!$F$109*($F$6-Debt!BL42)*Time!BL9/Inputs!$F$45*Time!BL20</f>
        <v>0</v>
      </c>
      <c r="BM12" s="19" t="n">
        <f aca="false">Inputs!$F$109*($F$6-Debt!BM42)*Time!BM9/Inputs!$F$45*Time!BM20</f>
        <v>0</v>
      </c>
      <c r="BN12" s="19" t="n">
        <f aca="false">Inputs!$F$109*($F$6-Debt!BN42)*Time!BN9/Inputs!$F$45*Time!BN20</f>
        <v>0</v>
      </c>
      <c r="BO12" s="19" t="n">
        <f aca="false">Inputs!$F$109*($F$6-Debt!BO42)*Time!BO9/Inputs!$F$45*Time!BO20</f>
        <v>0</v>
      </c>
      <c r="BP12" s="19" t="n">
        <f aca="false">Inputs!$F$109*($F$6-Debt!BP42)*Time!BP9/Inputs!$F$45*Time!BP20</f>
        <v>0</v>
      </c>
      <c r="BQ12" s="19" t="n">
        <f aca="false">Inputs!$F$109*($F$6-Debt!BQ42)*Time!BQ9/Inputs!$F$45*Time!BQ20</f>
        <v>0</v>
      </c>
      <c r="BR12" s="19" t="n">
        <f aca="false">Inputs!$F$109*($F$6-Debt!BR42)*Time!BR9/Inputs!$F$45*Time!BR20</f>
        <v>0</v>
      </c>
      <c r="BS12" s="19" t="n">
        <f aca="false">Inputs!$F$109*($F$6-Debt!BS42)*Time!BS9/Inputs!$F$45*Time!BS20</f>
        <v>0</v>
      </c>
      <c r="BT12" s="19" t="n">
        <f aca="false">Inputs!$F$109*($F$6-Debt!BT42)*Time!BT9/Inputs!$F$45*Time!BT20</f>
        <v>0</v>
      </c>
      <c r="BU12" s="19" t="n">
        <f aca="false">Inputs!$F$109*($F$6-Debt!BU42)*Time!BU9/Inputs!$F$45*Time!BU20</f>
        <v>0</v>
      </c>
      <c r="BV12" s="19" t="n">
        <f aca="false">Inputs!$F$109*($F$6-Debt!BV42)*Time!BV9/Inputs!$F$45*Time!BV20</f>
        <v>0</v>
      </c>
      <c r="BW12" s="19" t="n">
        <f aca="false">Inputs!$F$109*($F$6-Debt!BW42)*Time!BW9/Inputs!$F$45*Time!BW20</f>
        <v>0</v>
      </c>
      <c r="BX12" s="19" t="n">
        <f aca="false">Inputs!$F$109*($F$6-Debt!BX42)*Time!BX9/Inputs!$F$45*Time!BX20</f>
        <v>0</v>
      </c>
      <c r="BY12" s="19" t="n">
        <f aca="false">Inputs!$F$109*($F$6-Debt!BY42)*Time!BY9/Inputs!$F$45*Time!BY20</f>
        <v>0</v>
      </c>
      <c r="BZ12" s="19" t="n">
        <f aca="false">Inputs!$F$109*($F$6-Debt!BZ42)*Time!BZ9/Inputs!$F$45*Time!BZ20</f>
        <v>0</v>
      </c>
      <c r="CA12" s="19" t="n">
        <f aca="false">Inputs!$F$109*($F$6-Debt!CA42)*Time!CA9/Inputs!$F$45*Time!CA20</f>
        <v>0</v>
      </c>
      <c r="CB12" s="19" t="n">
        <f aca="false">Inputs!$F$109*($F$6-Debt!CB42)*Time!CB9/Inputs!$F$45*Time!CB20</f>
        <v>0</v>
      </c>
      <c r="CC12" s="19" t="n">
        <f aca="false">Inputs!$F$109*($F$6-Debt!CC42)*Time!CC9/Inputs!$F$45*Time!CC20</f>
        <v>0</v>
      </c>
      <c r="CD12" s="19" t="n">
        <f aca="false">Inputs!$F$109*($F$6-Debt!CD42)*Time!CD9/Inputs!$F$45*Time!CD20</f>
        <v>0</v>
      </c>
      <c r="CE12" s="19" t="n">
        <f aca="false">Inputs!$F$109*($F$6-Debt!CE42)*Time!CE9/Inputs!$F$45*Time!CE20</f>
        <v>0</v>
      </c>
      <c r="CF12" s="19" t="n">
        <f aca="false">Inputs!$F$109*($F$6-Debt!CF42)*Time!CF9/Inputs!$F$45*Time!CF20</f>
        <v>0</v>
      </c>
      <c r="CG12" s="19" t="n">
        <f aca="false">Inputs!$F$109*($F$6-Debt!CG42)*Time!CG9/Inputs!$F$45*Time!CG20</f>
        <v>0</v>
      </c>
      <c r="CH12" s="19" t="n">
        <f aca="false">Inputs!$F$109*($F$6-Debt!CH42)*Time!CH9/Inputs!$F$45*Time!CH20</f>
        <v>0</v>
      </c>
      <c r="CI12" s="19" t="n">
        <f aca="false">Inputs!$F$109*($F$6-Debt!CI42)*Time!CI9/Inputs!$F$45*Time!CI20</f>
        <v>0</v>
      </c>
      <c r="CJ12" s="19" t="n">
        <f aca="false">Inputs!$F$109*($F$6-Debt!CJ42)*Time!CJ9/Inputs!$F$45*Time!CJ20</f>
        <v>0</v>
      </c>
      <c r="CK12" s="19" t="n">
        <f aca="false">Inputs!$F$109*($F$6-Debt!CK42)*Time!CK9/Inputs!$F$45*Time!CK20</f>
        <v>0</v>
      </c>
      <c r="CL12" s="19" t="n">
        <f aca="false">Inputs!$F$109*($F$6-Debt!CL42)*Time!CL9/Inputs!$F$45*Time!CL20</f>
        <v>0</v>
      </c>
      <c r="CM12" s="19" t="n">
        <f aca="false">Inputs!$F$109*($F$6-Debt!CM42)*Time!CM9/Inputs!$F$45*Time!CM20</f>
        <v>0</v>
      </c>
      <c r="CN12" s="19" t="n">
        <f aca="false">Inputs!$F$109*($F$6-Debt!CN42)*Time!CN9/Inputs!$F$45*Time!CN20</f>
        <v>0</v>
      </c>
      <c r="CO12" s="19" t="n">
        <f aca="false">Inputs!$F$109*($F$6-Debt!CO42)*Time!CO9/Inputs!$F$45*Time!CO20</f>
        <v>0</v>
      </c>
      <c r="CP12" s="19" t="n">
        <f aca="false">Inputs!$F$109*($F$6-Debt!CP42)*Time!CP9/Inputs!$F$45*Time!CP20</f>
        <v>0</v>
      </c>
      <c r="CQ12" s="19" t="n">
        <f aca="false">Inputs!$F$109*($F$6-Debt!CQ42)*Time!CQ9/Inputs!$F$45*Time!CQ20</f>
        <v>0</v>
      </c>
      <c r="CR12" s="19" t="n">
        <f aca="false">Inputs!$F$109*($F$6-Debt!CR42)*Time!CR9/Inputs!$F$45*Time!CR20</f>
        <v>0</v>
      </c>
      <c r="CS12" s="19" t="n">
        <f aca="false">Inputs!$F$109*($F$6-Debt!CS42)*Time!CS9/Inputs!$F$45*Time!CS20</f>
        <v>0</v>
      </c>
      <c r="CT12" s="19" t="n">
        <f aca="false">Inputs!$F$109*($F$6-Debt!CT42)*Time!CT9/Inputs!$F$45*Time!CT20</f>
        <v>0</v>
      </c>
      <c r="CU12" s="19" t="n">
        <f aca="false">Inputs!$F$109*($F$6-Debt!CU42)*Time!CU9/Inputs!$F$45*Time!CU20</f>
        <v>0</v>
      </c>
      <c r="CV12" s="19" t="n">
        <f aca="false">Inputs!$F$109*($F$6-Debt!CV42)*Time!CV9/Inputs!$F$45*Time!CV20</f>
        <v>0</v>
      </c>
      <c r="CW12" s="19" t="n">
        <f aca="false">Inputs!$F$109*($F$6-Debt!CW42)*Time!CW9/Inputs!$F$45*Time!CW20</f>
        <v>0</v>
      </c>
      <c r="CX12" s="19" t="n">
        <f aca="false">Inputs!$F$109*($F$6-Debt!CX42)*Time!CX9/Inputs!$F$45*Time!CX20</f>
        <v>0</v>
      </c>
      <c r="CY12" s="19" t="n">
        <f aca="false">Inputs!$F$109*($F$6-Debt!CY42)*Time!CY9/Inputs!$F$45*Time!CY20</f>
        <v>0</v>
      </c>
      <c r="CZ12" s="19" t="n">
        <f aca="false">Inputs!$F$109*($F$6-Debt!CZ42)*Time!CZ9/Inputs!$F$45*Time!CZ20</f>
        <v>0</v>
      </c>
      <c r="DA12" s="19" t="n">
        <f aca="false">Inputs!$F$109*($F$6-Debt!DA42)*Time!DA9/Inputs!$F$45*Time!DA20</f>
        <v>0</v>
      </c>
      <c r="DB12" s="19" t="n">
        <f aca="false">Inputs!$F$109*($F$6-Debt!DB42)*Time!DB9/Inputs!$F$45*Time!DB20</f>
        <v>0</v>
      </c>
    </row>
    <row r="13" customFormat="false" ht="15" hidden="false" customHeight="false" outlineLevel="0" collapsed="false">
      <c r="D13" s="0" t="s">
        <v>442</v>
      </c>
      <c r="E13" s="0" t="s">
        <v>44</v>
      </c>
      <c r="G13" s="19" t="n">
        <f aca="false">SUM(J13:DB13)</f>
        <v>90.397575509437</v>
      </c>
      <c r="J13" s="19" t="n">
        <f aca="false">Debt!J50*Time!J20</f>
        <v>2.15699204035533</v>
      </c>
      <c r="K13" s="19" t="n">
        <f aca="false">Debt!K50*Time!K20</f>
        <v>5.88270556460545</v>
      </c>
      <c r="L13" s="19" t="n">
        <f aca="false">Debt!L50*Time!L20</f>
        <v>5.88270556460545</v>
      </c>
      <c r="M13" s="19" t="n">
        <f aca="false">Debt!M50*Time!M20</f>
        <v>5.88270556460545</v>
      </c>
      <c r="N13" s="19" t="n">
        <f aca="false">Debt!N50*Time!N20</f>
        <v>5.88270556460545</v>
      </c>
      <c r="O13" s="19" t="n">
        <f aca="false">Debt!O50*Time!O20</f>
        <v>5.88270556460545</v>
      </c>
      <c r="P13" s="19" t="n">
        <f aca="false">Debt!P50*Time!P20</f>
        <v>5.88270556460545</v>
      </c>
      <c r="Q13" s="19" t="n">
        <f aca="false">Debt!Q50*Time!Q20</f>
        <v>5.88270556460545</v>
      </c>
      <c r="R13" s="19" t="n">
        <f aca="false">Debt!R50*Time!R20</f>
        <v>5.88270556460545</v>
      </c>
      <c r="S13" s="19" t="n">
        <f aca="false">Debt!S50*Time!S20</f>
        <v>5.88270556460545</v>
      </c>
      <c r="T13" s="19" t="n">
        <f aca="false">Debt!T50*Time!T20</f>
        <v>5.88270556460545</v>
      </c>
      <c r="U13" s="19" t="n">
        <f aca="false">Debt!U50*Time!U20</f>
        <v>5.88270556460545</v>
      </c>
      <c r="V13" s="19" t="n">
        <f aca="false">Debt!V50*Time!V20</f>
        <v>5.88270556460545</v>
      </c>
      <c r="W13" s="19" t="n">
        <f aca="false">Debt!W50*Time!W20</f>
        <v>5.88270556460545</v>
      </c>
      <c r="X13" s="19" t="n">
        <f aca="false">Debt!X50*Time!X20</f>
        <v>5.88270556460545</v>
      </c>
      <c r="Y13" s="19" t="n">
        <f aca="false">Debt!Y50*Time!Y20</f>
        <v>5.88270556460545</v>
      </c>
      <c r="Z13" s="19" t="n">
        <f aca="false">Debt!Z50*Time!Z20</f>
        <v>0</v>
      </c>
      <c r="AA13" s="19" t="n">
        <f aca="false">Debt!AA50*Time!AA20</f>
        <v>0</v>
      </c>
      <c r="AB13" s="19" t="n">
        <f aca="false">Debt!AB50*Time!AB20</f>
        <v>0</v>
      </c>
      <c r="AC13" s="19" t="n">
        <f aca="false">Debt!AC50*Time!AC20</f>
        <v>0</v>
      </c>
      <c r="AD13" s="19" t="n">
        <f aca="false">Debt!AD50*Time!AD20</f>
        <v>0</v>
      </c>
      <c r="AE13" s="19" t="n">
        <f aca="false">Debt!AE50*Time!AE20</f>
        <v>0</v>
      </c>
      <c r="AF13" s="19" t="n">
        <f aca="false">Debt!AF50*Time!AF20</f>
        <v>0</v>
      </c>
      <c r="AG13" s="19" t="n">
        <f aca="false">Debt!AG50*Time!AG20</f>
        <v>0</v>
      </c>
      <c r="AH13" s="19" t="n">
        <f aca="false">Debt!AH50*Time!AH20</f>
        <v>0</v>
      </c>
      <c r="AI13" s="19" t="n">
        <f aca="false">Debt!AI50*Time!AI20</f>
        <v>0</v>
      </c>
      <c r="AJ13" s="19" t="n">
        <f aca="false">Debt!AJ50*Time!AJ20</f>
        <v>0</v>
      </c>
      <c r="AK13" s="19" t="n">
        <f aca="false">Debt!AK50*Time!AK20</f>
        <v>0</v>
      </c>
      <c r="AL13" s="19" t="n">
        <f aca="false">Debt!AL50*Time!AL20</f>
        <v>0</v>
      </c>
      <c r="AM13" s="19" t="n">
        <f aca="false">Debt!AM50*Time!AM20</f>
        <v>0</v>
      </c>
      <c r="AN13" s="19" t="n">
        <f aca="false">Debt!AN50*Time!AN20</f>
        <v>0</v>
      </c>
      <c r="AO13" s="19" t="n">
        <f aca="false">Debt!AO50*Time!AO20</f>
        <v>0</v>
      </c>
      <c r="AP13" s="19" t="n">
        <f aca="false">Debt!AP50*Time!AP20</f>
        <v>0</v>
      </c>
      <c r="AQ13" s="19" t="n">
        <f aca="false">Debt!AQ50*Time!AQ20</f>
        <v>0</v>
      </c>
      <c r="AR13" s="19" t="n">
        <f aca="false">Debt!AR50*Time!AR20</f>
        <v>0</v>
      </c>
      <c r="AS13" s="19" t="n">
        <f aca="false">Debt!AS50*Time!AS20</f>
        <v>0</v>
      </c>
      <c r="AT13" s="19" t="n">
        <f aca="false">Debt!AT50*Time!AT20</f>
        <v>0</v>
      </c>
      <c r="AU13" s="19" t="n">
        <f aca="false">Debt!AU50*Time!AU20</f>
        <v>0</v>
      </c>
      <c r="AV13" s="19" t="n">
        <f aca="false">Debt!AV50*Time!AV20</f>
        <v>0</v>
      </c>
      <c r="AW13" s="19" t="n">
        <f aca="false">Debt!AW50*Time!AW20</f>
        <v>0</v>
      </c>
      <c r="AX13" s="19" t="n">
        <f aca="false">Debt!AX50*Time!AX20</f>
        <v>0</v>
      </c>
      <c r="AY13" s="19" t="n">
        <f aca="false">Debt!AY50*Time!AY20</f>
        <v>0</v>
      </c>
      <c r="AZ13" s="19" t="n">
        <f aca="false">Debt!AZ50*Time!AZ20</f>
        <v>0</v>
      </c>
      <c r="BA13" s="19" t="n">
        <f aca="false">Debt!BA50*Time!BA20</f>
        <v>0</v>
      </c>
      <c r="BB13" s="19" t="n">
        <f aca="false">Debt!BB50*Time!BB20</f>
        <v>0</v>
      </c>
      <c r="BC13" s="19" t="n">
        <f aca="false">Debt!BC50*Time!BC20</f>
        <v>0</v>
      </c>
      <c r="BD13" s="19" t="n">
        <f aca="false">Debt!BD50*Time!BD20</f>
        <v>0</v>
      </c>
      <c r="BE13" s="19" t="n">
        <f aca="false">Debt!BE50*Time!BE20</f>
        <v>0</v>
      </c>
      <c r="BF13" s="19" t="n">
        <f aca="false">Debt!BF50*Time!BF20</f>
        <v>0</v>
      </c>
      <c r="BG13" s="19" t="n">
        <f aca="false">Debt!BG50*Time!BG20</f>
        <v>0</v>
      </c>
      <c r="BH13" s="19" t="n">
        <f aca="false">Debt!BH50*Time!BH20</f>
        <v>0</v>
      </c>
      <c r="BI13" s="19" t="n">
        <f aca="false">Debt!BI50*Time!BI20</f>
        <v>0</v>
      </c>
      <c r="BJ13" s="19" t="n">
        <f aca="false">Debt!BJ50*Time!BJ20</f>
        <v>0</v>
      </c>
      <c r="BK13" s="19" t="n">
        <f aca="false">Debt!BK50*Time!BK20</f>
        <v>0</v>
      </c>
      <c r="BL13" s="19" t="n">
        <f aca="false">Debt!BL50*Time!BL20</f>
        <v>0</v>
      </c>
      <c r="BM13" s="19" t="n">
        <f aca="false">Debt!BM50*Time!BM20</f>
        <v>0</v>
      </c>
      <c r="BN13" s="19" t="n">
        <f aca="false">Debt!BN50*Time!BN20</f>
        <v>0</v>
      </c>
      <c r="BO13" s="19" t="n">
        <f aca="false">Debt!BO50*Time!BO20</f>
        <v>0</v>
      </c>
      <c r="BP13" s="19" t="n">
        <f aca="false">Debt!BP50*Time!BP20</f>
        <v>0</v>
      </c>
      <c r="BQ13" s="19" t="n">
        <f aca="false">Debt!BQ50*Time!BQ20</f>
        <v>0</v>
      </c>
      <c r="BR13" s="19" t="n">
        <f aca="false">Debt!BR50*Time!BR20</f>
        <v>0</v>
      </c>
      <c r="BS13" s="19" t="n">
        <f aca="false">Debt!BS50*Time!BS20</f>
        <v>0</v>
      </c>
      <c r="BT13" s="19" t="n">
        <f aca="false">Debt!BT50*Time!BT20</f>
        <v>0</v>
      </c>
      <c r="BU13" s="19" t="n">
        <f aca="false">Debt!BU50*Time!BU20</f>
        <v>0</v>
      </c>
      <c r="BV13" s="19" t="n">
        <f aca="false">Debt!BV50*Time!BV20</f>
        <v>0</v>
      </c>
      <c r="BW13" s="19" t="n">
        <f aca="false">Debt!BW50*Time!BW20</f>
        <v>0</v>
      </c>
      <c r="BX13" s="19" t="n">
        <f aca="false">Debt!BX50*Time!BX20</f>
        <v>0</v>
      </c>
      <c r="BY13" s="19" t="n">
        <f aca="false">Debt!BY50*Time!BY20</f>
        <v>0</v>
      </c>
      <c r="BZ13" s="19" t="n">
        <f aca="false">Debt!BZ50*Time!BZ20</f>
        <v>0</v>
      </c>
      <c r="CA13" s="19" t="n">
        <f aca="false">Debt!CA50*Time!CA20</f>
        <v>0</v>
      </c>
      <c r="CB13" s="19" t="n">
        <f aca="false">Debt!CB50*Time!CB20</f>
        <v>0</v>
      </c>
      <c r="CC13" s="19" t="n">
        <f aca="false">Debt!CC50*Time!CC20</f>
        <v>0</v>
      </c>
      <c r="CD13" s="19" t="n">
        <f aca="false">Debt!CD50*Time!CD20</f>
        <v>0</v>
      </c>
      <c r="CE13" s="19" t="n">
        <f aca="false">Debt!CE50*Time!CE20</f>
        <v>0</v>
      </c>
      <c r="CF13" s="19" t="n">
        <f aca="false">Debt!CF50*Time!CF20</f>
        <v>0</v>
      </c>
      <c r="CG13" s="19" t="n">
        <f aca="false">Debt!CG50*Time!CG20</f>
        <v>0</v>
      </c>
      <c r="CH13" s="19" t="n">
        <f aca="false">Debt!CH50*Time!CH20</f>
        <v>0</v>
      </c>
      <c r="CI13" s="19" t="n">
        <f aca="false">Debt!CI50*Time!CI20</f>
        <v>0</v>
      </c>
      <c r="CJ13" s="19" t="n">
        <f aca="false">Debt!CJ50*Time!CJ20</f>
        <v>0</v>
      </c>
      <c r="CK13" s="19" t="n">
        <f aca="false">Debt!CK50*Time!CK20</f>
        <v>0</v>
      </c>
      <c r="CL13" s="19" t="n">
        <f aca="false">Debt!CL50*Time!CL20</f>
        <v>0</v>
      </c>
      <c r="CM13" s="19" t="n">
        <f aca="false">Debt!CM50*Time!CM20</f>
        <v>0</v>
      </c>
      <c r="CN13" s="19" t="n">
        <f aca="false">Debt!CN50*Time!CN20</f>
        <v>0</v>
      </c>
      <c r="CO13" s="19" t="n">
        <f aca="false">Debt!CO50*Time!CO20</f>
        <v>0</v>
      </c>
      <c r="CP13" s="19" t="n">
        <f aca="false">Debt!CP50*Time!CP20</f>
        <v>0</v>
      </c>
      <c r="CQ13" s="19" t="n">
        <f aca="false">Debt!CQ50*Time!CQ20</f>
        <v>0</v>
      </c>
      <c r="CR13" s="19" t="n">
        <f aca="false">Debt!CR50*Time!CR20</f>
        <v>0</v>
      </c>
      <c r="CS13" s="19" t="n">
        <f aca="false">Debt!CS50*Time!CS20</f>
        <v>0</v>
      </c>
      <c r="CT13" s="19" t="n">
        <f aca="false">Debt!CT50*Time!CT20</f>
        <v>0</v>
      </c>
      <c r="CU13" s="19" t="n">
        <f aca="false">Debt!CU50*Time!CU20</f>
        <v>0</v>
      </c>
      <c r="CV13" s="19" t="n">
        <f aca="false">Debt!CV50*Time!CV20</f>
        <v>0</v>
      </c>
      <c r="CW13" s="19" t="n">
        <f aca="false">Debt!CW50*Time!CW20</f>
        <v>0</v>
      </c>
      <c r="CX13" s="19" t="n">
        <f aca="false">Debt!CX50*Time!CX20</f>
        <v>0</v>
      </c>
      <c r="CY13" s="19" t="n">
        <f aca="false">Debt!CY50*Time!CY20</f>
        <v>0</v>
      </c>
      <c r="CZ13" s="19" t="n">
        <f aca="false">Debt!CZ50*Time!CZ20</f>
        <v>0</v>
      </c>
      <c r="DA13" s="19" t="n">
        <f aca="false">Debt!DA50*Time!DA20</f>
        <v>0</v>
      </c>
      <c r="DB13" s="19" t="n">
        <f aca="false">Debt!DB50*Time!DB20</f>
        <v>0</v>
      </c>
    </row>
    <row r="14" customFormat="false" ht="15" hidden="false" customHeight="false" outlineLevel="0" collapsed="false">
      <c r="D14" s="0" t="s">
        <v>443</v>
      </c>
      <c r="E14" s="0" t="s">
        <v>44</v>
      </c>
      <c r="J14" s="19" t="n">
        <f aca="false">IF(Time!J6=1,$F$7,I16)</f>
        <v>485.17159295715</v>
      </c>
      <c r="K14" s="19" t="n">
        <f aca="false">IF(Time!K6=1,$F$7,J16)</f>
        <v>485.17159295715</v>
      </c>
      <c r="L14" s="19" t="n">
        <f aca="false">IF(Time!L6=1,$F$7,K16)</f>
        <v>485.17159295715</v>
      </c>
      <c r="M14" s="19" t="n">
        <f aca="false">IF(Time!M6=1,$F$7,L16)</f>
        <v>485.17159295715</v>
      </c>
      <c r="N14" s="19" t="n">
        <f aca="false">IF(Time!N6=1,$F$7,M16)</f>
        <v>485.17159295715</v>
      </c>
      <c r="O14" s="19" t="n">
        <f aca="false">IF(Time!O6=1,$F$7,N16)</f>
        <v>478.906407720875</v>
      </c>
      <c r="P14" s="19" t="n">
        <f aca="false">IF(Time!P6=1,$F$7,O16)</f>
        <v>419.309832660985</v>
      </c>
      <c r="Q14" s="19" t="n">
        <f aca="false">IF(Time!Q6=1,$F$7,P16)</f>
        <v>351.239103975264</v>
      </c>
      <c r="R14" s="19" t="n">
        <f aca="false">IF(Time!R6=1,$F$7,Q16)</f>
        <v>278.544694225309</v>
      </c>
      <c r="S14" s="19" t="n">
        <f aca="false">IF(Time!S6=1,$F$7,R16)</f>
        <v>204.530637911388</v>
      </c>
      <c r="T14" s="19" t="n">
        <f aca="false">IF(Time!T6=1,$F$7,S16)</f>
        <v>135.271232151342</v>
      </c>
      <c r="U14" s="19" t="n">
        <f aca="false">IF(Time!U6=1,$F$7,T16)</f>
        <v>100.441332885755</v>
      </c>
      <c r="V14" s="19" t="n">
        <f aca="false">IF(Time!V6=1,$F$7,U16)</f>
        <v>71.7440649982432</v>
      </c>
      <c r="W14" s="19" t="n">
        <f aca="false">IF(Time!W6=1,$F$7,V16)</f>
        <v>50.2018465625409</v>
      </c>
      <c r="X14" s="19" t="n">
        <f aca="false">IF(Time!X6=1,$F$7,W16)</f>
        <v>35.9628556286809</v>
      </c>
      <c r="Y14" s="19" t="n">
        <f aca="false">IF(Time!Y6=1,$F$7,X16)</f>
        <v>28.0499477027468</v>
      </c>
      <c r="Z14" s="19" t="n">
        <f aca="false">IF(Time!Z6=1,$F$7,Y16)</f>
        <v>0</v>
      </c>
      <c r="AA14" s="19" t="n">
        <f aca="false">IF(Time!AA6=1,$F$7,Z16)</f>
        <v>0</v>
      </c>
      <c r="AB14" s="19" t="n">
        <f aca="false">IF(Time!AB6=1,$F$7,AA16)</f>
        <v>0</v>
      </c>
      <c r="AC14" s="19" t="n">
        <f aca="false">IF(Time!AC6=1,$F$7,AB16)</f>
        <v>0</v>
      </c>
      <c r="AD14" s="19" t="n">
        <f aca="false">IF(Time!AD6=1,$F$7,AC16)</f>
        <v>0</v>
      </c>
      <c r="AE14" s="19" t="n">
        <f aca="false">IF(Time!AE6=1,$F$7,AD16)</f>
        <v>0</v>
      </c>
      <c r="AF14" s="19" t="n">
        <f aca="false">IF(Time!AF6=1,$F$7,AE16)</f>
        <v>0</v>
      </c>
      <c r="AG14" s="19" t="n">
        <f aca="false">IF(Time!AG6=1,$F$7,AF16)</f>
        <v>0</v>
      </c>
      <c r="AH14" s="19" t="n">
        <f aca="false">IF(Time!AH6=1,$F$7,AG16)</f>
        <v>0</v>
      </c>
      <c r="AI14" s="19" t="n">
        <f aca="false">IF(Time!AI6=1,$F$7,AH16)</f>
        <v>0</v>
      </c>
      <c r="AJ14" s="19" t="n">
        <f aca="false">IF(Time!AJ6=1,$F$7,AI16)</f>
        <v>0</v>
      </c>
      <c r="AK14" s="19" t="n">
        <f aca="false">IF(Time!AK6=1,$F$7,AJ16)</f>
        <v>0</v>
      </c>
      <c r="AL14" s="19" t="n">
        <f aca="false">IF(Time!AL6=1,$F$7,AK16)</f>
        <v>0</v>
      </c>
      <c r="AM14" s="19" t="n">
        <f aca="false">IF(Time!AM6=1,$F$7,AL16)</f>
        <v>0</v>
      </c>
      <c r="AN14" s="19" t="n">
        <f aca="false">IF(Time!AN6=1,$F$7,AM16)</f>
        <v>0</v>
      </c>
      <c r="AO14" s="19" t="n">
        <f aca="false">IF(Time!AO6=1,$F$7,AN16)</f>
        <v>0</v>
      </c>
      <c r="AP14" s="19" t="n">
        <f aca="false">IF(Time!AP6=1,$F$7,AO16)</f>
        <v>0</v>
      </c>
      <c r="AQ14" s="19" t="n">
        <f aca="false">IF(Time!AQ6=1,$F$7,AP16)</f>
        <v>0</v>
      </c>
      <c r="AR14" s="19" t="n">
        <f aca="false">IF(Time!AR6=1,$F$7,AQ16)</f>
        <v>0</v>
      </c>
      <c r="AS14" s="19" t="n">
        <f aca="false">IF(Time!AS6=1,$F$7,AR16)</f>
        <v>0</v>
      </c>
      <c r="AT14" s="19" t="n">
        <f aca="false">IF(Time!AT6=1,$F$7,AS16)</f>
        <v>0</v>
      </c>
      <c r="AU14" s="19" t="n">
        <f aca="false">IF(Time!AU6=1,$F$7,AT16)</f>
        <v>0</v>
      </c>
      <c r="AV14" s="19" t="n">
        <f aca="false">IF(Time!AV6=1,$F$7,AU16)</f>
        <v>0</v>
      </c>
      <c r="AW14" s="19" t="n">
        <f aca="false">IF(Time!AW6=1,$F$7,AV16)</f>
        <v>0</v>
      </c>
      <c r="AX14" s="19" t="n">
        <f aca="false">IF(Time!AX6=1,$F$7,AW16)</f>
        <v>0</v>
      </c>
      <c r="AY14" s="19" t="n">
        <f aca="false">IF(Time!AY6=1,$F$7,AX16)</f>
        <v>0</v>
      </c>
      <c r="AZ14" s="19" t="n">
        <f aca="false">IF(Time!AZ6=1,$F$7,AY16)</f>
        <v>0</v>
      </c>
      <c r="BA14" s="19" t="n">
        <f aca="false">IF(Time!BA6=1,$F$7,AZ16)</f>
        <v>0</v>
      </c>
      <c r="BB14" s="19" t="n">
        <f aca="false">IF(Time!BB6=1,$F$7,BA16)</f>
        <v>0</v>
      </c>
      <c r="BC14" s="19" t="n">
        <f aca="false">IF(Time!BC6=1,$F$7,BB16)</f>
        <v>0</v>
      </c>
      <c r="BD14" s="19" t="n">
        <f aca="false">IF(Time!BD6=1,$F$7,BC16)</f>
        <v>0</v>
      </c>
      <c r="BE14" s="19" t="n">
        <f aca="false">IF(Time!BE6=1,$F$7,BD16)</f>
        <v>0</v>
      </c>
      <c r="BF14" s="19" t="n">
        <f aca="false">IF(Time!BF6=1,$F$7,BE16)</f>
        <v>0</v>
      </c>
      <c r="BG14" s="19" t="n">
        <f aca="false">IF(Time!BG6=1,$F$7,BF16)</f>
        <v>0</v>
      </c>
      <c r="BH14" s="19" t="n">
        <f aca="false">IF(Time!BH6=1,$F$7,BG16)</f>
        <v>0</v>
      </c>
      <c r="BI14" s="19" t="n">
        <f aca="false">IF(Time!BI6=1,$F$7,BH16)</f>
        <v>0</v>
      </c>
      <c r="BJ14" s="19" t="n">
        <f aca="false">IF(Time!BJ6=1,$F$7,BI16)</f>
        <v>0</v>
      </c>
      <c r="BK14" s="19" t="n">
        <f aca="false">IF(Time!BK6=1,$F$7,BJ16)</f>
        <v>0</v>
      </c>
      <c r="BL14" s="19" t="n">
        <f aca="false">IF(Time!BL6=1,$F$7,BK16)</f>
        <v>0</v>
      </c>
      <c r="BM14" s="19" t="n">
        <f aca="false">IF(Time!BM6=1,$F$7,BL16)</f>
        <v>0</v>
      </c>
      <c r="BN14" s="19" t="n">
        <f aca="false">IF(Time!BN6=1,$F$7,BM16)</f>
        <v>0</v>
      </c>
      <c r="BO14" s="19" t="n">
        <f aca="false">IF(Time!BO6=1,$F$7,BN16)</f>
        <v>0</v>
      </c>
      <c r="BP14" s="19" t="n">
        <f aca="false">IF(Time!BP6=1,$F$7,BO16)</f>
        <v>0</v>
      </c>
      <c r="BQ14" s="19" t="n">
        <f aca="false">IF(Time!BQ6=1,$F$7,BP16)</f>
        <v>0</v>
      </c>
      <c r="BR14" s="19" t="n">
        <f aca="false">IF(Time!BR6=1,$F$7,BQ16)</f>
        <v>0</v>
      </c>
      <c r="BS14" s="19" t="n">
        <f aca="false">IF(Time!BS6=1,$F$7,BR16)</f>
        <v>0</v>
      </c>
      <c r="BT14" s="19" t="n">
        <f aca="false">IF(Time!BT6=1,$F$7,BS16)</f>
        <v>0</v>
      </c>
      <c r="BU14" s="19" t="n">
        <f aca="false">IF(Time!BU6=1,$F$7,BT16)</f>
        <v>0</v>
      </c>
      <c r="BV14" s="19" t="n">
        <f aca="false">IF(Time!BV6=1,$F$7,BU16)</f>
        <v>0</v>
      </c>
      <c r="BW14" s="19" t="n">
        <f aca="false">IF(Time!BW6=1,$F$7,BV16)</f>
        <v>0</v>
      </c>
      <c r="BX14" s="19" t="n">
        <f aca="false">IF(Time!BX6=1,$F$7,BW16)</f>
        <v>0</v>
      </c>
      <c r="BY14" s="19" t="n">
        <f aca="false">IF(Time!BY6=1,$F$7,BX16)</f>
        <v>0</v>
      </c>
      <c r="BZ14" s="19" t="n">
        <f aca="false">IF(Time!BZ6=1,$F$7,BY16)</f>
        <v>0</v>
      </c>
      <c r="CA14" s="19" t="n">
        <f aca="false">IF(Time!CA6=1,$F$7,BZ16)</f>
        <v>0</v>
      </c>
      <c r="CB14" s="19" t="n">
        <f aca="false">IF(Time!CB6=1,$F$7,CA16)</f>
        <v>0</v>
      </c>
      <c r="CC14" s="19" t="n">
        <f aca="false">IF(Time!CC6=1,$F$7,CB16)</f>
        <v>0</v>
      </c>
      <c r="CD14" s="19" t="n">
        <f aca="false">IF(Time!CD6=1,$F$7,CC16)</f>
        <v>0</v>
      </c>
      <c r="CE14" s="19" t="n">
        <f aca="false">IF(Time!CE6=1,$F$7,CD16)</f>
        <v>0</v>
      </c>
      <c r="CF14" s="19" t="n">
        <f aca="false">IF(Time!CF6=1,$F$7,CE16)</f>
        <v>0</v>
      </c>
      <c r="CG14" s="19" t="n">
        <f aca="false">IF(Time!CG6=1,$F$7,CF16)</f>
        <v>0</v>
      </c>
      <c r="CH14" s="19" t="n">
        <f aca="false">IF(Time!CH6=1,$F$7,CG16)</f>
        <v>0</v>
      </c>
      <c r="CI14" s="19" t="n">
        <f aca="false">IF(Time!CI6=1,$F$7,CH16)</f>
        <v>0</v>
      </c>
      <c r="CJ14" s="19" t="n">
        <f aca="false">IF(Time!CJ6=1,$F$7,CI16)</f>
        <v>0</v>
      </c>
      <c r="CK14" s="19" t="n">
        <f aca="false">IF(Time!CK6=1,$F$7,CJ16)</f>
        <v>0</v>
      </c>
      <c r="CL14" s="19" t="n">
        <f aca="false">IF(Time!CL6=1,$F$7,CK16)</f>
        <v>0</v>
      </c>
      <c r="CM14" s="19" t="n">
        <f aca="false">IF(Time!CM6=1,$F$7,CL16)</f>
        <v>0</v>
      </c>
      <c r="CN14" s="19" t="n">
        <f aca="false">IF(Time!CN6=1,$F$7,CM16)</f>
        <v>0</v>
      </c>
      <c r="CO14" s="19" t="n">
        <f aca="false">IF(Time!CO6=1,$F$7,CN16)</f>
        <v>0</v>
      </c>
      <c r="CP14" s="19" t="n">
        <f aca="false">IF(Time!CP6=1,$F$7,CO16)</f>
        <v>0</v>
      </c>
      <c r="CQ14" s="19" t="n">
        <f aca="false">IF(Time!CQ6=1,$F$7,CP16)</f>
        <v>0</v>
      </c>
      <c r="CR14" s="19" t="n">
        <f aca="false">IF(Time!CR6=1,$F$7,CQ16)</f>
        <v>0</v>
      </c>
      <c r="CS14" s="19" t="n">
        <f aca="false">IF(Time!CS6=1,$F$7,CR16)</f>
        <v>0</v>
      </c>
      <c r="CT14" s="19" t="n">
        <f aca="false">IF(Time!CT6=1,$F$7,CS16)</f>
        <v>0</v>
      </c>
      <c r="CU14" s="19" t="n">
        <f aca="false">IF(Time!CU6=1,$F$7,CT16)</f>
        <v>0</v>
      </c>
      <c r="CV14" s="19" t="n">
        <f aca="false">IF(Time!CV6=1,$F$7,CU16)</f>
        <v>0</v>
      </c>
      <c r="CW14" s="19" t="n">
        <f aca="false">IF(Time!CW6=1,$F$7,CV16)</f>
        <v>0</v>
      </c>
      <c r="CX14" s="19" t="n">
        <f aca="false">IF(Time!CX6=1,$F$7,CW16)</f>
        <v>0</v>
      </c>
      <c r="CY14" s="19" t="n">
        <f aca="false">IF(Time!CY6=1,$F$7,CX16)</f>
        <v>0</v>
      </c>
      <c r="CZ14" s="19" t="n">
        <f aca="false">IF(Time!CZ6=1,$F$7,CY16)</f>
        <v>0</v>
      </c>
      <c r="DA14" s="19" t="n">
        <f aca="false">IF(Time!DA6=1,$F$7,CZ16)</f>
        <v>0</v>
      </c>
      <c r="DB14" s="19" t="n">
        <f aca="false">IF(Time!DB6=1,$F$7,DA16)</f>
        <v>0</v>
      </c>
    </row>
    <row r="15" customFormat="false" ht="15" hidden="false" customHeight="false" outlineLevel="0" collapsed="false">
      <c r="D15" s="0" t="s">
        <v>444</v>
      </c>
      <c r="E15" s="0" t="s">
        <v>44</v>
      </c>
      <c r="G15" s="19" t="n">
        <f aca="false">SUM(J15:DB15)</f>
        <v>22.4927529330251</v>
      </c>
      <c r="J15" s="19" t="n">
        <f aca="false">J14*Inputs!$F$111*Time!J9/Inputs!$F$45*Time!J20</f>
        <v>0.949075390058644</v>
      </c>
      <c r="K15" s="19" t="n">
        <f aca="false">K14*Inputs!$F$111*Time!K9/Inputs!$F$45*Time!K20</f>
        <v>2.56808634957045</v>
      </c>
      <c r="L15" s="19" t="n">
        <f aca="false">L14*Inputs!$F$111*Time!L9/Inputs!$F$45*Time!L20</f>
        <v>2.56808634957045</v>
      </c>
      <c r="M15" s="19" t="n">
        <f aca="false">M14*Inputs!$F$111*Time!M9/Inputs!$F$45*Time!M20</f>
        <v>2.5401723675099</v>
      </c>
      <c r="N15" s="19" t="n">
        <f aca="false">N14*Inputs!$F$111*Time!N9/Inputs!$F$45*Time!N20</f>
        <v>2.5401723675099</v>
      </c>
      <c r="O15" s="19" t="n">
        <f aca="false">O14*Inputs!$F$111*Time!O9/Inputs!$F$45*Time!O20</f>
        <v>2.53492378004584</v>
      </c>
      <c r="P15" s="19" t="n">
        <f aca="false">P14*Inputs!$F$111*Time!P9/Inputs!$F$45*Time!P20</f>
        <v>2.21947012794801</v>
      </c>
      <c r="Q15" s="19" t="n">
        <f aca="false">Q14*Inputs!$F$111*Time!Q9/Inputs!$F$45*Time!Q20</f>
        <v>1.81874494935137</v>
      </c>
      <c r="R15" s="19" t="n">
        <f aca="false">R14*Inputs!$F$111*Time!R9/Inputs!$F$45*Time!R20</f>
        <v>1.45835317990292</v>
      </c>
      <c r="S15" s="19" t="n">
        <f aca="false">S14*Inputs!$F$111*Time!S9/Inputs!$F$45*Time!S20</f>
        <v>1.08261148615014</v>
      </c>
      <c r="T15" s="19" t="n">
        <f aca="false">T14*Inputs!$F$111*Time!T9/Inputs!$F$45*Time!T20</f>
        <v>0.716011015113406</v>
      </c>
      <c r="U15" s="19" t="n">
        <f aca="false">U14*Inputs!$F$111*Time!U9/Inputs!$F$45*Time!U20</f>
        <v>0.520093477134457</v>
      </c>
      <c r="V15" s="19" t="n">
        <f aca="false">V14*Inputs!$F$111*Time!V9/Inputs!$F$45*Time!V20</f>
        <v>0.375624406059295</v>
      </c>
      <c r="W15" s="19" t="n">
        <f aca="false">W14*Inputs!$F$111*Time!W9/Inputs!$F$45*Time!W20</f>
        <v>0.26572593851734</v>
      </c>
      <c r="X15" s="19" t="n">
        <f aca="false">X14*Inputs!$F$111*Time!X9/Inputs!$F$45*Time!X20</f>
        <v>0.190356813903045</v>
      </c>
      <c r="Y15" s="19" t="n">
        <f aca="false">Y14*Inputs!$F$111*Time!Y9/Inputs!$F$45*Time!Y20</f>
        <v>0.145244934679976</v>
      </c>
      <c r="Z15" s="19" t="n">
        <f aca="false">Z14*Inputs!$F$111*Time!Z9/Inputs!$F$45*Time!Z20</f>
        <v>0</v>
      </c>
      <c r="AA15" s="19" t="n">
        <f aca="false">AA14*Inputs!$F$111*Time!AA9/Inputs!$F$45*Time!AA20</f>
        <v>0</v>
      </c>
      <c r="AB15" s="19" t="n">
        <f aca="false">AB14*Inputs!$F$111*Time!AB9/Inputs!$F$45*Time!AB20</f>
        <v>0</v>
      </c>
      <c r="AC15" s="19" t="n">
        <f aca="false">AC14*Inputs!$F$111*Time!AC9/Inputs!$F$45*Time!AC20</f>
        <v>0</v>
      </c>
      <c r="AD15" s="19" t="n">
        <f aca="false">AD14*Inputs!$F$111*Time!AD9/Inputs!$F$45*Time!AD20</f>
        <v>0</v>
      </c>
      <c r="AE15" s="19" t="n">
        <f aca="false">AE14*Inputs!$F$111*Time!AE9/Inputs!$F$45*Time!AE20</f>
        <v>0</v>
      </c>
      <c r="AF15" s="19" t="n">
        <f aca="false">AF14*Inputs!$F$111*Time!AF9/Inputs!$F$45*Time!AF20</f>
        <v>0</v>
      </c>
      <c r="AG15" s="19" t="n">
        <f aca="false">AG14*Inputs!$F$111*Time!AG9/Inputs!$F$45*Time!AG20</f>
        <v>0</v>
      </c>
      <c r="AH15" s="19" t="n">
        <f aca="false">AH14*Inputs!$F$111*Time!AH9/Inputs!$F$45*Time!AH20</f>
        <v>0</v>
      </c>
      <c r="AI15" s="19" t="n">
        <f aca="false">AI14*Inputs!$F$111*Time!AI9/Inputs!$F$45*Time!AI20</f>
        <v>0</v>
      </c>
      <c r="AJ15" s="19" t="n">
        <f aca="false">AJ14*Inputs!$F$111*Time!AJ9/Inputs!$F$45*Time!AJ20</f>
        <v>0</v>
      </c>
      <c r="AK15" s="19" t="n">
        <f aca="false">AK14*Inputs!$F$111*Time!AK9/Inputs!$F$45*Time!AK20</f>
        <v>0</v>
      </c>
      <c r="AL15" s="19" t="n">
        <f aca="false">AL14*Inputs!$F$111*Time!AL9/Inputs!$F$45*Time!AL20</f>
        <v>0</v>
      </c>
      <c r="AM15" s="19" t="n">
        <f aca="false">AM14*Inputs!$F$111*Time!AM9/Inputs!$F$45*Time!AM20</f>
        <v>0</v>
      </c>
      <c r="AN15" s="19" t="n">
        <f aca="false">AN14*Inputs!$F$111*Time!AN9/Inputs!$F$45*Time!AN20</f>
        <v>0</v>
      </c>
      <c r="AO15" s="19" t="n">
        <f aca="false">AO14*Inputs!$F$111*Time!AO9/Inputs!$F$45*Time!AO20</f>
        <v>0</v>
      </c>
      <c r="AP15" s="19" t="n">
        <f aca="false">AP14*Inputs!$F$111*Time!AP9/Inputs!$F$45*Time!AP20</f>
        <v>0</v>
      </c>
      <c r="AQ15" s="19" t="n">
        <f aca="false">AQ14*Inputs!$F$111*Time!AQ9/Inputs!$F$45*Time!AQ20</f>
        <v>0</v>
      </c>
      <c r="AR15" s="19" t="n">
        <f aca="false">AR14*Inputs!$F$111*Time!AR9/Inputs!$F$45*Time!AR20</f>
        <v>0</v>
      </c>
      <c r="AS15" s="19" t="n">
        <f aca="false">AS14*Inputs!$F$111*Time!AS9/Inputs!$F$45*Time!AS20</f>
        <v>0</v>
      </c>
      <c r="AT15" s="19" t="n">
        <f aca="false">AT14*Inputs!$F$111*Time!AT9/Inputs!$F$45*Time!AT20</f>
        <v>0</v>
      </c>
      <c r="AU15" s="19" t="n">
        <f aca="false">AU14*Inputs!$F$111*Time!AU9/Inputs!$F$45*Time!AU20</f>
        <v>0</v>
      </c>
      <c r="AV15" s="19" t="n">
        <f aca="false">AV14*Inputs!$F$111*Time!AV9/Inputs!$F$45*Time!AV20</f>
        <v>0</v>
      </c>
      <c r="AW15" s="19" t="n">
        <f aca="false">AW14*Inputs!$F$111*Time!AW9/Inputs!$F$45*Time!AW20</f>
        <v>0</v>
      </c>
      <c r="AX15" s="19" t="n">
        <f aca="false">AX14*Inputs!$F$111*Time!AX9/Inputs!$F$45*Time!AX20</f>
        <v>0</v>
      </c>
      <c r="AY15" s="19" t="n">
        <f aca="false">AY14*Inputs!$F$111*Time!AY9/Inputs!$F$45*Time!AY20</f>
        <v>0</v>
      </c>
      <c r="AZ15" s="19" t="n">
        <f aca="false">AZ14*Inputs!$F$111*Time!AZ9/Inputs!$F$45*Time!AZ20</f>
        <v>0</v>
      </c>
      <c r="BA15" s="19" t="n">
        <f aca="false">BA14*Inputs!$F$111*Time!BA9/Inputs!$F$45*Time!BA20</f>
        <v>0</v>
      </c>
      <c r="BB15" s="19" t="n">
        <f aca="false">BB14*Inputs!$F$111*Time!BB9/Inputs!$F$45*Time!BB20</f>
        <v>0</v>
      </c>
      <c r="BC15" s="19" t="n">
        <f aca="false">BC14*Inputs!$F$111*Time!BC9/Inputs!$F$45*Time!BC20</f>
        <v>0</v>
      </c>
      <c r="BD15" s="19" t="n">
        <f aca="false">BD14*Inputs!$F$111*Time!BD9/Inputs!$F$45*Time!BD20</f>
        <v>0</v>
      </c>
      <c r="BE15" s="19" t="n">
        <f aca="false">BE14*Inputs!$F$111*Time!BE9/Inputs!$F$45*Time!BE20</f>
        <v>0</v>
      </c>
      <c r="BF15" s="19" t="n">
        <f aca="false">BF14*Inputs!$F$111*Time!BF9/Inputs!$F$45*Time!BF20</f>
        <v>0</v>
      </c>
      <c r="BG15" s="19" t="n">
        <f aca="false">BG14*Inputs!$F$111*Time!BG9/Inputs!$F$45*Time!BG20</f>
        <v>0</v>
      </c>
      <c r="BH15" s="19" t="n">
        <f aca="false">BH14*Inputs!$F$111*Time!BH9/Inputs!$F$45*Time!BH20</f>
        <v>0</v>
      </c>
      <c r="BI15" s="19" t="n">
        <f aca="false">BI14*Inputs!$F$111*Time!BI9/Inputs!$F$45*Time!BI20</f>
        <v>0</v>
      </c>
      <c r="BJ15" s="19" t="n">
        <f aca="false">BJ14*Inputs!$F$111*Time!BJ9/Inputs!$F$45*Time!BJ20</f>
        <v>0</v>
      </c>
      <c r="BK15" s="19" t="n">
        <f aca="false">BK14*Inputs!$F$111*Time!BK9/Inputs!$F$45*Time!BK20</f>
        <v>0</v>
      </c>
      <c r="BL15" s="19" t="n">
        <f aca="false">BL14*Inputs!$F$111*Time!BL9/Inputs!$F$45*Time!BL20</f>
        <v>0</v>
      </c>
      <c r="BM15" s="19" t="n">
        <f aca="false">BM14*Inputs!$F$111*Time!BM9/Inputs!$F$45*Time!BM20</f>
        <v>0</v>
      </c>
      <c r="BN15" s="19" t="n">
        <f aca="false">BN14*Inputs!$F$111*Time!BN9/Inputs!$F$45*Time!BN20</f>
        <v>0</v>
      </c>
      <c r="BO15" s="19" t="n">
        <f aca="false">BO14*Inputs!$F$111*Time!BO9/Inputs!$F$45*Time!BO20</f>
        <v>0</v>
      </c>
      <c r="BP15" s="19" t="n">
        <f aca="false">BP14*Inputs!$F$111*Time!BP9/Inputs!$F$45*Time!BP20</f>
        <v>0</v>
      </c>
      <c r="BQ15" s="19" t="n">
        <f aca="false">BQ14*Inputs!$F$111*Time!BQ9/Inputs!$F$45*Time!BQ20</f>
        <v>0</v>
      </c>
      <c r="BR15" s="19" t="n">
        <f aca="false">BR14*Inputs!$F$111*Time!BR9/Inputs!$F$45*Time!BR20</f>
        <v>0</v>
      </c>
      <c r="BS15" s="19" t="n">
        <f aca="false">BS14*Inputs!$F$111*Time!BS9/Inputs!$F$45*Time!BS20</f>
        <v>0</v>
      </c>
      <c r="BT15" s="19" t="n">
        <f aca="false">BT14*Inputs!$F$111*Time!BT9/Inputs!$F$45*Time!BT20</f>
        <v>0</v>
      </c>
      <c r="BU15" s="19" t="n">
        <f aca="false">BU14*Inputs!$F$111*Time!BU9/Inputs!$F$45*Time!BU20</f>
        <v>0</v>
      </c>
      <c r="BV15" s="19" t="n">
        <f aca="false">BV14*Inputs!$F$111*Time!BV9/Inputs!$F$45*Time!BV20</f>
        <v>0</v>
      </c>
      <c r="BW15" s="19" t="n">
        <f aca="false">BW14*Inputs!$F$111*Time!BW9/Inputs!$F$45*Time!BW20</f>
        <v>0</v>
      </c>
      <c r="BX15" s="19" t="n">
        <f aca="false">BX14*Inputs!$F$111*Time!BX9/Inputs!$F$45*Time!BX20</f>
        <v>0</v>
      </c>
      <c r="BY15" s="19" t="n">
        <f aca="false">BY14*Inputs!$F$111*Time!BY9/Inputs!$F$45*Time!BY20</f>
        <v>0</v>
      </c>
      <c r="BZ15" s="19" t="n">
        <f aca="false">BZ14*Inputs!$F$111*Time!BZ9/Inputs!$F$45*Time!BZ20</f>
        <v>0</v>
      </c>
      <c r="CA15" s="19" t="n">
        <f aca="false">CA14*Inputs!$F$111*Time!CA9/Inputs!$F$45*Time!CA20</f>
        <v>0</v>
      </c>
      <c r="CB15" s="19" t="n">
        <f aca="false">CB14*Inputs!$F$111*Time!CB9/Inputs!$F$45*Time!CB20</f>
        <v>0</v>
      </c>
      <c r="CC15" s="19" t="n">
        <f aca="false">CC14*Inputs!$F$111*Time!CC9/Inputs!$F$45*Time!CC20</f>
        <v>0</v>
      </c>
      <c r="CD15" s="19" t="n">
        <f aca="false">CD14*Inputs!$F$111*Time!CD9/Inputs!$F$45*Time!CD20</f>
        <v>0</v>
      </c>
      <c r="CE15" s="19" t="n">
        <f aca="false">CE14*Inputs!$F$111*Time!CE9/Inputs!$F$45*Time!CE20</f>
        <v>0</v>
      </c>
      <c r="CF15" s="19" t="n">
        <f aca="false">CF14*Inputs!$F$111*Time!CF9/Inputs!$F$45*Time!CF20</f>
        <v>0</v>
      </c>
      <c r="CG15" s="19" t="n">
        <f aca="false">CG14*Inputs!$F$111*Time!CG9/Inputs!$F$45*Time!CG20</f>
        <v>0</v>
      </c>
      <c r="CH15" s="19" t="n">
        <f aca="false">CH14*Inputs!$F$111*Time!CH9/Inputs!$F$45*Time!CH20</f>
        <v>0</v>
      </c>
      <c r="CI15" s="19" t="n">
        <f aca="false">CI14*Inputs!$F$111*Time!CI9/Inputs!$F$45*Time!CI20</f>
        <v>0</v>
      </c>
      <c r="CJ15" s="19" t="n">
        <f aca="false">CJ14*Inputs!$F$111*Time!CJ9/Inputs!$F$45*Time!CJ20</f>
        <v>0</v>
      </c>
      <c r="CK15" s="19" t="n">
        <f aca="false">CK14*Inputs!$F$111*Time!CK9/Inputs!$F$45*Time!CK20</f>
        <v>0</v>
      </c>
      <c r="CL15" s="19" t="n">
        <f aca="false">CL14*Inputs!$F$111*Time!CL9/Inputs!$F$45*Time!CL20</f>
        <v>0</v>
      </c>
      <c r="CM15" s="19" t="n">
        <f aca="false">CM14*Inputs!$F$111*Time!CM9/Inputs!$F$45*Time!CM20</f>
        <v>0</v>
      </c>
      <c r="CN15" s="19" t="n">
        <f aca="false">CN14*Inputs!$F$111*Time!CN9/Inputs!$F$45*Time!CN20</f>
        <v>0</v>
      </c>
      <c r="CO15" s="19" t="n">
        <f aca="false">CO14*Inputs!$F$111*Time!CO9/Inputs!$F$45*Time!CO20</f>
        <v>0</v>
      </c>
      <c r="CP15" s="19" t="n">
        <f aca="false">CP14*Inputs!$F$111*Time!CP9/Inputs!$F$45*Time!CP20</f>
        <v>0</v>
      </c>
      <c r="CQ15" s="19" t="n">
        <f aca="false">CQ14*Inputs!$F$111*Time!CQ9/Inputs!$F$45*Time!CQ20</f>
        <v>0</v>
      </c>
      <c r="CR15" s="19" t="n">
        <f aca="false">CR14*Inputs!$F$111*Time!CR9/Inputs!$F$45*Time!CR20</f>
        <v>0</v>
      </c>
      <c r="CS15" s="19" t="n">
        <f aca="false">CS14*Inputs!$F$111*Time!CS9/Inputs!$F$45*Time!CS20</f>
        <v>0</v>
      </c>
      <c r="CT15" s="19" t="n">
        <f aca="false">CT14*Inputs!$F$111*Time!CT9/Inputs!$F$45*Time!CT20</f>
        <v>0</v>
      </c>
      <c r="CU15" s="19" t="n">
        <f aca="false">CU14*Inputs!$F$111*Time!CU9/Inputs!$F$45*Time!CU20</f>
        <v>0</v>
      </c>
      <c r="CV15" s="19" t="n">
        <f aca="false">CV14*Inputs!$F$111*Time!CV9/Inputs!$F$45*Time!CV20</f>
        <v>0</v>
      </c>
      <c r="CW15" s="19" t="n">
        <f aca="false">CW14*Inputs!$F$111*Time!CW9/Inputs!$F$45*Time!CW20</f>
        <v>0</v>
      </c>
      <c r="CX15" s="19" t="n">
        <f aca="false">CX14*Inputs!$F$111*Time!CX9/Inputs!$F$45*Time!CX20</f>
        <v>0</v>
      </c>
      <c r="CY15" s="19" t="n">
        <f aca="false">CY14*Inputs!$F$111*Time!CY9/Inputs!$F$45*Time!CY20</f>
        <v>0</v>
      </c>
      <c r="CZ15" s="19" t="n">
        <f aca="false">CZ14*Inputs!$F$111*Time!CZ9/Inputs!$F$45*Time!CZ20</f>
        <v>0</v>
      </c>
      <c r="DA15" s="19" t="n">
        <f aca="false">DA14*Inputs!$F$111*Time!DA9/Inputs!$F$45*Time!DA20</f>
        <v>0</v>
      </c>
      <c r="DB15" s="19" t="n">
        <f aca="false">DB14*Inputs!$F$111*Time!DB9/Inputs!$F$45*Time!DB20</f>
        <v>0</v>
      </c>
    </row>
    <row r="16" customFormat="false" ht="15" hidden="false" customHeight="false" outlineLevel="0" collapsed="false">
      <c r="D16" s="0" t="s">
        <v>445</v>
      </c>
      <c r="E16" s="0" t="s">
        <v>44</v>
      </c>
      <c r="J16" s="19" t="n">
        <f aca="false">J14-J36</f>
        <v>485.17159295715</v>
      </c>
      <c r="K16" s="19" t="n">
        <f aca="false">K14-K36</f>
        <v>485.17159295715</v>
      </c>
      <c r="L16" s="19" t="n">
        <f aca="false">L14-L36</f>
        <v>485.17159295715</v>
      </c>
      <c r="M16" s="19" t="n">
        <f aca="false">M14-M36</f>
        <v>485.17159295715</v>
      </c>
      <c r="N16" s="19" t="n">
        <f aca="false">N14-N36</f>
        <v>478.906407720875</v>
      </c>
      <c r="O16" s="19" t="n">
        <f aca="false">O14-O36</f>
        <v>419.309832660985</v>
      </c>
      <c r="P16" s="19" t="n">
        <f aca="false">P14-P36</f>
        <v>351.239103975264</v>
      </c>
      <c r="Q16" s="19" t="n">
        <f aca="false">Q14-Q36</f>
        <v>278.544694225309</v>
      </c>
      <c r="R16" s="19" t="n">
        <f aca="false">R14-R36</f>
        <v>204.530637911388</v>
      </c>
      <c r="S16" s="19" t="n">
        <f aca="false">S14-S36</f>
        <v>135.271232151342</v>
      </c>
      <c r="T16" s="19" t="n">
        <f aca="false">T14-T36</f>
        <v>100.441332885755</v>
      </c>
      <c r="U16" s="19" t="n">
        <f aca="false">U14-U36</f>
        <v>71.7440649982432</v>
      </c>
      <c r="V16" s="19" t="n">
        <f aca="false">V14-V36</f>
        <v>50.2018465625409</v>
      </c>
      <c r="W16" s="19" t="n">
        <f aca="false">W14-W36</f>
        <v>35.9628556286809</v>
      </c>
      <c r="X16" s="19" t="n">
        <f aca="false">X14-X36</f>
        <v>28.0499477027468</v>
      </c>
      <c r="Y16" s="19" t="n">
        <f aca="false">Y14-Y36</f>
        <v>0</v>
      </c>
      <c r="Z16" s="19" t="n">
        <f aca="false">Z14-Z36</f>
        <v>0</v>
      </c>
      <c r="AA16" s="19" t="n">
        <f aca="false">AA14-AA36</f>
        <v>0</v>
      </c>
      <c r="AB16" s="19" t="n">
        <f aca="false">AB14-AB36</f>
        <v>0</v>
      </c>
      <c r="AC16" s="19" t="n">
        <f aca="false">AC14-AC36</f>
        <v>0</v>
      </c>
      <c r="AD16" s="19" t="n">
        <f aca="false">AD14-AD36</f>
        <v>0</v>
      </c>
      <c r="AE16" s="19" t="n">
        <f aca="false">AE14-AE36</f>
        <v>0</v>
      </c>
      <c r="AF16" s="19" t="n">
        <f aca="false">AF14-AF36</f>
        <v>0</v>
      </c>
      <c r="AG16" s="19" t="n">
        <f aca="false">AG14-AG36</f>
        <v>0</v>
      </c>
      <c r="AH16" s="19" t="n">
        <f aca="false">AH14-AH36</f>
        <v>0</v>
      </c>
      <c r="AI16" s="19" t="n">
        <f aca="false">AI14-AI36</f>
        <v>0</v>
      </c>
      <c r="AJ16" s="19" t="n">
        <f aca="false">AJ14-AJ36</f>
        <v>0</v>
      </c>
      <c r="AK16" s="19" t="n">
        <f aca="false">AK14-AK36</f>
        <v>0</v>
      </c>
      <c r="AL16" s="19" t="n">
        <f aca="false">AL14-AL36</f>
        <v>0</v>
      </c>
      <c r="AM16" s="19" t="n">
        <f aca="false">AM14-AM36</f>
        <v>0</v>
      </c>
      <c r="AN16" s="19" t="n">
        <f aca="false">AN14-AN36</f>
        <v>0</v>
      </c>
      <c r="AO16" s="19" t="n">
        <f aca="false">AO14-AO36</f>
        <v>0</v>
      </c>
      <c r="AP16" s="19" t="n">
        <f aca="false">AP14-AP36</f>
        <v>0</v>
      </c>
      <c r="AQ16" s="19" t="n">
        <f aca="false">AQ14-AQ36</f>
        <v>0</v>
      </c>
      <c r="AR16" s="19" t="n">
        <f aca="false">AR14-AR36</f>
        <v>0</v>
      </c>
      <c r="AS16" s="19" t="n">
        <f aca="false">AS14-AS36</f>
        <v>0</v>
      </c>
      <c r="AT16" s="19" t="n">
        <f aca="false">AT14-AT36</f>
        <v>0</v>
      </c>
      <c r="AU16" s="19" t="n">
        <f aca="false">AU14-AU36</f>
        <v>0</v>
      </c>
      <c r="AV16" s="19" t="n">
        <f aca="false">AV14-AV36</f>
        <v>0</v>
      </c>
      <c r="AW16" s="19" t="n">
        <f aca="false">AW14-AW36</f>
        <v>0</v>
      </c>
      <c r="AX16" s="19" t="n">
        <f aca="false">AX14-AX36</f>
        <v>0</v>
      </c>
      <c r="AY16" s="19" t="n">
        <f aca="false">AY14-AY36</f>
        <v>0</v>
      </c>
      <c r="AZ16" s="19" t="n">
        <f aca="false">AZ14-AZ36</f>
        <v>0</v>
      </c>
      <c r="BA16" s="19" t="n">
        <f aca="false">BA14-BA36</f>
        <v>0</v>
      </c>
      <c r="BB16" s="19" t="n">
        <f aca="false">BB14-BB36</f>
        <v>0</v>
      </c>
      <c r="BC16" s="19" t="n">
        <f aca="false">BC14-BC36</f>
        <v>0</v>
      </c>
      <c r="BD16" s="19" t="n">
        <f aca="false">BD14-BD36</f>
        <v>0</v>
      </c>
      <c r="BE16" s="19" t="n">
        <f aca="false">BE14-BE36</f>
        <v>0</v>
      </c>
      <c r="BF16" s="19" t="n">
        <f aca="false">BF14-BF36</f>
        <v>0</v>
      </c>
      <c r="BG16" s="19" t="n">
        <f aca="false">BG14-BG36</f>
        <v>0</v>
      </c>
      <c r="BH16" s="19" t="n">
        <f aca="false">BH14-BH36</f>
        <v>0</v>
      </c>
      <c r="BI16" s="19" t="n">
        <f aca="false">BI14-BI36</f>
        <v>0</v>
      </c>
      <c r="BJ16" s="19" t="n">
        <f aca="false">BJ14-BJ36</f>
        <v>0</v>
      </c>
      <c r="BK16" s="19" t="n">
        <f aca="false">BK14-BK36</f>
        <v>0</v>
      </c>
      <c r="BL16" s="19" t="n">
        <f aca="false">BL14-BL36</f>
        <v>0</v>
      </c>
      <c r="BM16" s="19" t="n">
        <f aca="false">BM14-BM36</f>
        <v>0</v>
      </c>
      <c r="BN16" s="19" t="n">
        <f aca="false">BN14-BN36</f>
        <v>0</v>
      </c>
      <c r="BO16" s="19" t="n">
        <f aca="false">BO14-BO36</f>
        <v>0</v>
      </c>
      <c r="BP16" s="19" t="n">
        <f aca="false">BP14-BP36</f>
        <v>0</v>
      </c>
      <c r="BQ16" s="19" t="n">
        <f aca="false">BQ14-BQ36</f>
        <v>0</v>
      </c>
      <c r="BR16" s="19" t="n">
        <f aca="false">BR14-BR36</f>
        <v>0</v>
      </c>
      <c r="BS16" s="19" t="n">
        <f aca="false">BS14-BS36</f>
        <v>0</v>
      </c>
      <c r="BT16" s="19" t="n">
        <f aca="false">BT14-BT36</f>
        <v>0</v>
      </c>
      <c r="BU16" s="19" t="n">
        <f aca="false">BU14-BU36</f>
        <v>0</v>
      </c>
      <c r="BV16" s="19" t="n">
        <f aca="false">BV14-BV36</f>
        <v>0</v>
      </c>
      <c r="BW16" s="19" t="n">
        <f aca="false">BW14-BW36</f>
        <v>0</v>
      </c>
      <c r="BX16" s="19" t="n">
        <f aca="false">BX14-BX36</f>
        <v>0</v>
      </c>
      <c r="BY16" s="19" t="n">
        <f aca="false">BY14-BY36</f>
        <v>0</v>
      </c>
      <c r="BZ16" s="19" t="n">
        <f aca="false">BZ14-BZ36</f>
        <v>0</v>
      </c>
      <c r="CA16" s="19" t="n">
        <f aca="false">CA14-CA36</f>
        <v>0</v>
      </c>
      <c r="CB16" s="19" t="n">
        <f aca="false">CB14-CB36</f>
        <v>0</v>
      </c>
      <c r="CC16" s="19" t="n">
        <f aca="false">CC14-CC36</f>
        <v>0</v>
      </c>
      <c r="CD16" s="19" t="n">
        <f aca="false">CD14-CD36</f>
        <v>0</v>
      </c>
      <c r="CE16" s="19" t="n">
        <f aca="false">CE14-CE36</f>
        <v>0</v>
      </c>
      <c r="CF16" s="19" t="n">
        <f aca="false">CF14-CF36</f>
        <v>0</v>
      </c>
      <c r="CG16" s="19" t="n">
        <f aca="false">CG14-CG36</f>
        <v>0</v>
      </c>
      <c r="CH16" s="19" t="n">
        <f aca="false">CH14-CH36</f>
        <v>0</v>
      </c>
      <c r="CI16" s="19" t="n">
        <f aca="false">CI14-CI36</f>
        <v>0</v>
      </c>
      <c r="CJ16" s="19" t="n">
        <f aca="false">CJ14-CJ36</f>
        <v>0</v>
      </c>
      <c r="CK16" s="19" t="n">
        <f aca="false">CK14-CK36</f>
        <v>0</v>
      </c>
      <c r="CL16" s="19" t="n">
        <f aca="false">CL14-CL36</f>
        <v>0</v>
      </c>
      <c r="CM16" s="19" t="n">
        <f aca="false">CM14-CM36</f>
        <v>0</v>
      </c>
      <c r="CN16" s="19" t="n">
        <f aca="false">CN14-CN36</f>
        <v>0</v>
      </c>
      <c r="CO16" s="19" t="n">
        <f aca="false">CO14-CO36</f>
        <v>0</v>
      </c>
      <c r="CP16" s="19" t="n">
        <f aca="false">CP14-CP36</f>
        <v>0</v>
      </c>
      <c r="CQ16" s="19" t="n">
        <f aca="false">CQ14-CQ36</f>
        <v>0</v>
      </c>
      <c r="CR16" s="19" t="n">
        <f aca="false">CR14-CR36</f>
        <v>0</v>
      </c>
      <c r="CS16" s="19" t="n">
        <f aca="false">CS14-CS36</f>
        <v>0</v>
      </c>
      <c r="CT16" s="19" t="n">
        <f aca="false">CT14-CT36</f>
        <v>0</v>
      </c>
      <c r="CU16" s="19" t="n">
        <f aca="false">CU14-CU36</f>
        <v>0</v>
      </c>
      <c r="CV16" s="19" t="n">
        <f aca="false">CV14-CV36</f>
        <v>0</v>
      </c>
      <c r="CW16" s="19" t="n">
        <f aca="false">CW14-CW36</f>
        <v>0</v>
      </c>
      <c r="CX16" s="19" t="n">
        <f aca="false">CX14-CX36</f>
        <v>0</v>
      </c>
      <c r="CY16" s="19" t="n">
        <f aca="false">CY14-CY36</f>
        <v>0</v>
      </c>
      <c r="CZ16" s="19" t="n">
        <f aca="false">CZ14-CZ36</f>
        <v>0</v>
      </c>
      <c r="DA16" s="19" t="n">
        <f aca="false">DA14-DA36</f>
        <v>0</v>
      </c>
      <c r="DB16" s="19" t="n">
        <f aca="false">DB14-DB36</f>
        <v>0</v>
      </c>
    </row>
    <row r="17" customFormat="false" ht="15" hidden="false" customHeight="false" outlineLevel="0" collapsed="false">
      <c r="D17" s="0" t="s">
        <v>446</v>
      </c>
      <c r="E17" s="0" t="s">
        <v>44</v>
      </c>
      <c r="J17" s="19" t="n">
        <f aca="false">I40</f>
        <v>0</v>
      </c>
      <c r="K17" s="19" t="n">
        <f aca="false">J40</f>
        <v>0</v>
      </c>
      <c r="L17" s="19" t="n">
        <f aca="false">K40</f>
        <v>0</v>
      </c>
      <c r="M17" s="19" t="n">
        <f aca="false">L40</f>
        <v>0</v>
      </c>
      <c r="N17" s="19" t="n">
        <f aca="false">M40</f>
        <v>0</v>
      </c>
      <c r="O17" s="19" t="n">
        <f aca="false">N40</f>
        <v>0</v>
      </c>
      <c r="P17" s="19" t="n">
        <f aca="false">O40</f>
        <v>0</v>
      </c>
      <c r="Q17" s="19" t="n">
        <f aca="false">P40</f>
        <v>0</v>
      </c>
      <c r="R17" s="19" t="n">
        <f aca="false">Q40</f>
        <v>0</v>
      </c>
      <c r="S17" s="19" t="n">
        <f aca="false">R40</f>
        <v>0</v>
      </c>
      <c r="T17" s="19" t="n">
        <f aca="false">S40</f>
        <v>0</v>
      </c>
      <c r="U17" s="19" t="n">
        <f aca="false">T40</f>
        <v>74.0003095242777</v>
      </c>
      <c r="V17" s="19" t="n">
        <f aca="false">U40</f>
        <v>134.971106194803</v>
      </c>
      <c r="W17" s="19" t="n">
        <f aca="false">V40</f>
        <v>180.740139861133</v>
      </c>
      <c r="X17" s="19" t="n">
        <f aca="false">W40</f>
        <v>210.992588436547</v>
      </c>
      <c r="Y17" s="19" t="n">
        <f aca="false">X40</f>
        <v>227.804512906705</v>
      </c>
      <c r="Z17" s="19" t="n">
        <f aca="false">Y40</f>
        <v>0</v>
      </c>
      <c r="AA17" s="19" t="n">
        <f aca="false">Z40</f>
        <v>0</v>
      </c>
      <c r="AB17" s="19" t="n">
        <f aca="false">AA40</f>
        <v>0</v>
      </c>
      <c r="AC17" s="19" t="n">
        <f aca="false">AB40</f>
        <v>0</v>
      </c>
      <c r="AD17" s="19" t="n">
        <f aca="false">AC40</f>
        <v>0</v>
      </c>
      <c r="AE17" s="19" t="n">
        <f aca="false">AD40</f>
        <v>0</v>
      </c>
      <c r="AF17" s="19" t="n">
        <f aca="false">AE40</f>
        <v>0</v>
      </c>
      <c r="AG17" s="19" t="n">
        <f aca="false">AF40</f>
        <v>0</v>
      </c>
      <c r="AH17" s="19" t="n">
        <f aca="false">AG40</f>
        <v>0</v>
      </c>
      <c r="AI17" s="19" t="n">
        <f aca="false">AH40</f>
        <v>0</v>
      </c>
      <c r="AJ17" s="19" t="n">
        <f aca="false">AI40</f>
        <v>0</v>
      </c>
      <c r="AK17" s="19" t="n">
        <f aca="false">AJ40</f>
        <v>0</v>
      </c>
      <c r="AL17" s="19" t="n">
        <f aca="false">AK40</f>
        <v>0</v>
      </c>
      <c r="AM17" s="19" t="n">
        <f aca="false">AL40</f>
        <v>0</v>
      </c>
      <c r="AN17" s="19" t="n">
        <f aca="false">AM40</f>
        <v>0</v>
      </c>
      <c r="AO17" s="19" t="n">
        <f aca="false">AN40</f>
        <v>0</v>
      </c>
      <c r="AP17" s="19" t="n">
        <f aca="false">AO40</f>
        <v>0</v>
      </c>
      <c r="AQ17" s="19" t="n">
        <f aca="false">AP40</f>
        <v>0</v>
      </c>
      <c r="AR17" s="19" t="n">
        <f aca="false">AQ40</f>
        <v>0</v>
      </c>
      <c r="AS17" s="19" t="n">
        <f aca="false">AR40</f>
        <v>0</v>
      </c>
      <c r="AT17" s="19" t="n">
        <f aca="false">AS40</f>
        <v>0</v>
      </c>
      <c r="AU17" s="19" t="n">
        <f aca="false">AT40</f>
        <v>0</v>
      </c>
      <c r="AV17" s="19" t="n">
        <f aca="false">AU40</f>
        <v>0</v>
      </c>
      <c r="AW17" s="19" t="n">
        <f aca="false">AV40</f>
        <v>0</v>
      </c>
      <c r="AX17" s="19" t="n">
        <f aca="false">AW40</f>
        <v>0</v>
      </c>
      <c r="AY17" s="19" t="n">
        <f aca="false">AX40</f>
        <v>0</v>
      </c>
      <c r="AZ17" s="19" t="n">
        <f aca="false">AY40</f>
        <v>0</v>
      </c>
      <c r="BA17" s="19" t="n">
        <f aca="false">AZ40</f>
        <v>0</v>
      </c>
      <c r="BB17" s="19" t="n">
        <f aca="false">BA40</f>
        <v>0</v>
      </c>
      <c r="BC17" s="19" t="n">
        <f aca="false">BB40</f>
        <v>0</v>
      </c>
      <c r="BD17" s="19" t="n">
        <f aca="false">BC40</f>
        <v>0</v>
      </c>
      <c r="BE17" s="19" t="n">
        <f aca="false">BD40</f>
        <v>0</v>
      </c>
      <c r="BF17" s="19" t="n">
        <f aca="false">BE40</f>
        <v>0</v>
      </c>
      <c r="BG17" s="19" t="n">
        <f aca="false">BF40</f>
        <v>0</v>
      </c>
      <c r="BH17" s="19" t="n">
        <f aca="false">BG40</f>
        <v>0</v>
      </c>
      <c r="BI17" s="19" t="n">
        <f aca="false">BH40</f>
        <v>0</v>
      </c>
      <c r="BJ17" s="19" t="n">
        <f aca="false">BI40</f>
        <v>0</v>
      </c>
      <c r="BK17" s="19" t="n">
        <f aca="false">BJ40</f>
        <v>0</v>
      </c>
      <c r="BL17" s="19" t="n">
        <f aca="false">BK40</f>
        <v>0</v>
      </c>
      <c r="BM17" s="19" t="n">
        <f aca="false">BL40</f>
        <v>0</v>
      </c>
      <c r="BN17" s="19" t="n">
        <f aca="false">BM40</f>
        <v>0</v>
      </c>
      <c r="BO17" s="19" t="n">
        <f aca="false">BN40</f>
        <v>0</v>
      </c>
      <c r="BP17" s="19" t="n">
        <f aca="false">BO40</f>
        <v>0</v>
      </c>
      <c r="BQ17" s="19" t="n">
        <f aca="false">BP40</f>
        <v>0</v>
      </c>
      <c r="BR17" s="19" t="n">
        <f aca="false">BQ40</f>
        <v>0</v>
      </c>
      <c r="BS17" s="19" t="n">
        <f aca="false">BR40</f>
        <v>0</v>
      </c>
      <c r="BT17" s="19" t="n">
        <f aca="false">BS40</f>
        <v>0</v>
      </c>
      <c r="BU17" s="19" t="n">
        <f aca="false">BT40</f>
        <v>0</v>
      </c>
      <c r="BV17" s="19" t="n">
        <f aca="false">BU40</f>
        <v>0</v>
      </c>
      <c r="BW17" s="19" t="n">
        <f aca="false">BV40</f>
        <v>0</v>
      </c>
      <c r="BX17" s="19" t="n">
        <f aca="false">BW40</f>
        <v>0</v>
      </c>
      <c r="BY17" s="19" t="n">
        <f aca="false">BX40</f>
        <v>0</v>
      </c>
      <c r="BZ17" s="19" t="n">
        <f aca="false">BY40</f>
        <v>0</v>
      </c>
      <c r="CA17" s="19" t="n">
        <f aca="false">BZ40</f>
        <v>0</v>
      </c>
      <c r="CB17" s="19" t="n">
        <f aca="false">CA40</f>
        <v>0</v>
      </c>
      <c r="CC17" s="19" t="n">
        <f aca="false">CB40</f>
        <v>0</v>
      </c>
      <c r="CD17" s="19" t="n">
        <f aca="false">CC40</f>
        <v>0</v>
      </c>
      <c r="CE17" s="19" t="n">
        <f aca="false">CD40</f>
        <v>0</v>
      </c>
      <c r="CF17" s="19" t="n">
        <f aca="false">CE40</f>
        <v>0</v>
      </c>
      <c r="CG17" s="19" t="n">
        <f aca="false">CF40</f>
        <v>0</v>
      </c>
      <c r="CH17" s="19" t="n">
        <f aca="false">CG40</f>
        <v>0</v>
      </c>
      <c r="CI17" s="19" t="n">
        <f aca="false">CH40</f>
        <v>0</v>
      </c>
      <c r="CJ17" s="19" t="n">
        <f aca="false">CI40</f>
        <v>0</v>
      </c>
      <c r="CK17" s="19" t="n">
        <f aca="false">CJ40</f>
        <v>0</v>
      </c>
      <c r="CL17" s="19" t="n">
        <f aca="false">CK40</f>
        <v>0</v>
      </c>
      <c r="CM17" s="19" t="n">
        <f aca="false">CL40</f>
        <v>0</v>
      </c>
      <c r="CN17" s="19" t="n">
        <f aca="false">CM40</f>
        <v>0</v>
      </c>
      <c r="CO17" s="19" t="n">
        <f aca="false">CN40</f>
        <v>0</v>
      </c>
      <c r="CP17" s="19" t="n">
        <f aca="false">CO40</f>
        <v>0</v>
      </c>
      <c r="CQ17" s="19" t="n">
        <f aca="false">CP40</f>
        <v>0</v>
      </c>
      <c r="CR17" s="19" t="n">
        <f aca="false">CQ40</f>
        <v>0</v>
      </c>
      <c r="CS17" s="19" t="n">
        <f aca="false">CR40</f>
        <v>0</v>
      </c>
      <c r="CT17" s="19" t="n">
        <f aca="false">CS40</f>
        <v>0</v>
      </c>
      <c r="CU17" s="19" t="n">
        <f aca="false">CT40</f>
        <v>0</v>
      </c>
      <c r="CV17" s="19" t="n">
        <f aca="false">CU40</f>
        <v>0</v>
      </c>
      <c r="CW17" s="19" t="n">
        <f aca="false">CV40</f>
        <v>0</v>
      </c>
      <c r="CX17" s="19" t="n">
        <f aca="false">CW40</f>
        <v>0</v>
      </c>
      <c r="CY17" s="19" t="n">
        <f aca="false">CX40</f>
        <v>0</v>
      </c>
      <c r="CZ17" s="19" t="n">
        <f aca="false">CY40</f>
        <v>0</v>
      </c>
      <c r="DA17" s="19" t="n">
        <f aca="false">CZ40</f>
        <v>0</v>
      </c>
      <c r="DB17" s="19" t="n">
        <f aca="false">DA40</f>
        <v>0</v>
      </c>
    </row>
    <row r="18" customFormat="false" ht="15" hidden="false" customHeight="false" outlineLevel="0" collapsed="false">
      <c r="D18" s="0" t="s">
        <v>447</v>
      </c>
      <c r="E18" s="0" t="s">
        <v>44</v>
      </c>
      <c r="G18" s="19" t="n">
        <f aca="false">SUM(J18:DB18)</f>
        <v>7.20315140391726</v>
      </c>
      <c r="J18" s="19" t="n">
        <f aca="false">J17*(Time!J54/100+Inputs!$F$83)*MAX(0,MIN(Time!J8,Time!$F$16)-Time!J7)/Inputs!$F$45</f>
        <v>0</v>
      </c>
      <c r="K18" s="19" t="n">
        <f aca="false">K17*(Time!K54/100+Inputs!$F$83)*MAX(0,MIN(Time!K8,Time!$F$16)-Time!K7)/Inputs!$F$45</f>
        <v>0</v>
      </c>
      <c r="L18" s="19" t="n">
        <f aca="false">L17*(Time!L54/100+Inputs!$F$83)*MAX(0,MIN(Time!L8,Time!$F$16)-Time!L7)/Inputs!$F$45</f>
        <v>0</v>
      </c>
      <c r="M18" s="19" t="n">
        <f aca="false">M17*(Time!M54/100+Inputs!$F$83)*MAX(0,MIN(Time!M8,Time!$F$16)-Time!M7)/Inputs!$F$45</f>
        <v>0</v>
      </c>
      <c r="N18" s="19" t="n">
        <f aca="false">N17*(Time!N54/100+Inputs!$F$83)*MAX(0,MIN(Time!N8,Time!$F$16)-Time!N7)/Inputs!$F$45</f>
        <v>0</v>
      </c>
      <c r="O18" s="19" t="n">
        <f aca="false">O17*(Time!O54/100+Inputs!$F$83)*MAX(0,MIN(Time!O8,Time!$F$16)-Time!O7)/Inputs!$F$45</f>
        <v>0</v>
      </c>
      <c r="P18" s="19" t="n">
        <f aca="false">P17*(Time!P54/100+Inputs!$F$83)*MAX(0,MIN(Time!P8,Time!$F$16)-Time!P7)/Inputs!$F$45</f>
        <v>0</v>
      </c>
      <c r="Q18" s="19" t="n">
        <f aca="false">Q17*(Time!Q54/100+Inputs!$F$83)*MAX(0,MIN(Time!Q8,Time!$F$16)-Time!Q7)/Inputs!$F$45</f>
        <v>0</v>
      </c>
      <c r="R18" s="19" t="n">
        <f aca="false">R17*(Time!R54/100+Inputs!$F$83)*MAX(0,MIN(Time!R8,Time!$F$16)-Time!R7)/Inputs!$F$45</f>
        <v>0</v>
      </c>
      <c r="S18" s="19" t="n">
        <f aca="false">S17*(Time!S54/100+Inputs!$F$83)*MAX(0,MIN(Time!S8,Time!$F$16)-Time!S7)/Inputs!$F$45</f>
        <v>0</v>
      </c>
      <c r="T18" s="19" t="n">
        <f aca="false">T17*(Time!T54/100+Inputs!$F$83)*MAX(0,MIN(Time!T8,Time!$F$16)-Time!T7)/Inputs!$F$45</f>
        <v>0</v>
      </c>
      <c r="U18" s="19" t="n">
        <f aca="false">U17*(Time!U54/100+Inputs!$F$83)*MAX(0,MIN(Time!U8,Time!$F$16)-Time!U7)/Inputs!$F$45</f>
        <v>0.645931468888626</v>
      </c>
      <c r="V18" s="19" t="n">
        <f aca="false">V17*(Time!V54/100+Inputs!$F$83)*MAX(0,MIN(Time!V8,Time!$F$16)-Time!V7)/Inputs!$F$45</f>
        <v>1.1912217027286</v>
      </c>
      <c r="W18" s="19" t="n">
        <f aca="false">W17*(Time!W54/100+Inputs!$F$83)*MAX(0,MIN(Time!W8,Time!$F$16)-Time!W7)/Inputs!$F$45</f>
        <v>1.63091979355241</v>
      </c>
      <c r="X18" s="19" t="n">
        <f aca="false">X17*(Time!X54/100+Inputs!$F$83)*MAX(0,MIN(Time!X8,Time!$F$16)-Time!X7)/Inputs!$F$45</f>
        <v>1.90390462814962</v>
      </c>
      <c r="Y18" s="19" t="n">
        <f aca="false">Y17*(Time!Y54/100+Inputs!$F$83)*MAX(0,MIN(Time!Y8,Time!$F$16)-Time!Y7)/Inputs!$F$45</f>
        <v>1.831173810598</v>
      </c>
      <c r="Z18" s="19" t="n">
        <f aca="false">Z17*(Time!Z54/100+Inputs!$F$83)*MAX(0,MIN(Time!Z8,Time!$F$16)-Time!Z7)/Inputs!$F$45</f>
        <v>0</v>
      </c>
      <c r="AA18" s="19" t="n">
        <f aca="false">AA17*(Time!AA54/100+Inputs!$F$83)*MAX(0,MIN(Time!AA8,Time!$F$16)-Time!AA7)/Inputs!$F$45</f>
        <v>0</v>
      </c>
      <c r="AB18" s="19" t="n">
        <f aca="false">AB17*(Time!AB54/100+Inputs!$F$83)*MAX(0,MIN(Time!AB8,Time!$F$16)-Time!AB7)/Inputs!$F$45</f>
        <v>0</v>
      </c>
      <c r="AC18" s="19" t="n">
        <f aca="false">AC17*(Time!AC54/100+Inputs!$F$83)*MAX(0,MIN(Time!AC8,Time!$F$16)-Time!AC7)/Inputs!$F$45</f>
        <v>0</v>
      </c>
      <c r="AD18" s="19" t="n">
        <f aca="false">AD17*(Time!AD54/100+Inputs!$F$83)*MAX(0,MIN(Time!AD8,Time!$F$16)-Time!AD7)/Inputs!$F$45</f>
        <v>0</v>
      </c>
      <c r="AE18" s="19" t="n">
        <f aca="false">AE17*(Time!AE54/100+Inputs!$F$83)*MAX(0,MIN(Time!AE8,Time!$F$16)-Time!AE7)/Inputs!$F$45</f>
        <v>0</v>
      </c>
      <c r="AF18" s="19" t="n">
        <f aca="false">AF17*(Time!AF54/100+Inputs!$F$83)*MAX(0,MIN(Time!AF8,Time!$F$16)-Time!AF7)/Inputs!$F$45</f>
        <v>0</v>
      </c>
      <c r="AG18" s="19" t="n">
        <f aca="false">AG17*(Time!AG54/100+Inputs!$F$83)*MAX(0,MIN(Time!AG8,Time!$F$16)-Time!AG7)/Inputs!$F$45</f>
        <v>0</v>
      </c>
      <c r="AH18" s="19" t="n">
        <f aca="false">AH17*(Time!AH54/100+Inputs!$F$83)*MAX(0,MIN(Time!AH8,Time!$F$16)-Time!AH7)/Inputs!$F$45</f>
        <v>0</v>
      </c>
      <c r="AI18" s="19" t="n">
        <f aca="false">AI17*(Time!AI54/100+Inputs!$F$83)*MAX(0,MIN(Time!AI8,Time!$F$16)-Time!AI7)/Inputs!$F$45</f>
        <v>0</v>
      </c>
      <c r="AJ18" s="19" t="n">
        <f aca="false">AJ17*(Time!AJ54/100+Inputs!$F$83)*MAX(0,MIN(Time!AJ8,Time!$F$16)-Time!AJ7)/Inputs!$F$45</f>
        <v>0</v>
      </c>
      <c r="AK18" s="19" t="n">
        <f aca="false">AK17*(Time!AK54/100+Inputs!$F$83)*MAX(0,MIN(Time!AK8,Time!$F$16)-Time!AK7)/Inputs!$F$45</f>
        <v>0</v>
      </c>
      <c r="AL18" s="19" t="n">
        <f aca="false">AL17*(Time!AL54/100+Inputs!$F$83)*MAX(0,MIN(Time!AL8,Time!$F$16)-Time!AL7)/Inputs!$F$45</f>
        <v>0</v>
      </c>
      <c r="AM18" s="19" t="n">
        <f aca="false">AM17*(Time!AM54/100+Inputs!$F$83)*MAX(0,MIN(Time!AM8,Time!$F$16)-Time!AM7)/Inputs!$F$45</f>
        <v>0</v>
      </c>
      <c r="AN18" s="19" t="n">
        <f aca="false">AN17*(Time!AN54/100+Inputs!$F$83)*MAX(0,MIN(Time!AN8,Time!$F$16)-Time!AN7)/Inputs!$F$45</f>
        <v>0</v>
      </c>
      <c r="AO18" s="19" t="n">
        <f aca="false">AO17*(Time!AO54/100+Inputs!$F$83)*MAX(0,MIN(Time!AO8,Time!$F$16)-Time!AO7)/Inputs!$F$45</f>
        <v>0</v>
      </c>
      <c r="AP18" s="19" t="n">
        <f aca="false">AP17*(Time!AP54/100+Inputs!$F$83)*MAX(0,MIN(Time!AP8,Time!$F$16)-Time!AP7)/Inputs!$F$45</f>
        <v>0</v>
      </c>
      <c r="AQ18" s="19" t="n">
        <f aca="false">AQ17*(Time!AQ54/100+Inputs!$F$83)*MAX(0,MIN(Time!AQ8,Time!$F$16)-Time!AQ7)/Inputs!$F$45</f>
        <v>0</v>
      </c>
      <c r="AR18" s="19" t="n">
        <f aca="false">AR17*(Time!AR54/100+Inputs!$F$83)*MAX(0,MIN(Time!AR8,Time!$F$16)-Time!AR7)/Inputs!$F$45</f>
        <v>0</v>
      </c>
      <c r="AS18" s="19" t="n">
        <f aca="false">AS17*(Time!AS54/100+Inputs!$F$83)*MAX(0,MIN(Time!AS8,Time!$F$16)-Time!AS7)/Inputs!$F$45</f>
        <v>0</v>
      </c>
      <c r="AT18" s="19" t="n">
        <f aca="false">AT17*(Time!AT54/100+Inputs!$F$83)*MAX(0,MIN(Time!AT8,Time!$F$16)-Time!AT7)/Inputs!$F$45</f>
        <v>0</v>
      </c>
      <c r="AU18" s="19" t="n">
        <f aca="false">AU17*(Time!AU54/100+Inputs!$F$83)*MAX(0,MIN(Time!AU8,Time!$F$16)-Time!AU7)/Inputs!$F$45</f>
        <v>0</v>
      </c>
      <c r="AV18" s="19" t="n">
        <f aca="false">AV17*(Time!AV54/100+Inputs!$F$83)*MAX(0,MIN(Time!AV8,Time!$F$16)-Time!AV7)/Inputs!$F$45</f>
        <v>0</v>
      </c>
      <c r="AW18" s="19" t="n">
        <f aca="false">AW17*(Time!AW54/100+Inputs!$F$83)*MAX(0,MIN(Time!AW8,Time!$F$16)-Time!AW7)/Inputs!$F$45</f>
        <v>0</v>
      </c>
      <c r="AX18" s="19" t="n">
        <f aca="false">AX17*(Time!AX54/100+Inputs!$F$83)*MAX(0,MIN(Time!AX8,Time!$F$16)-Time!AX7)/Inputs!$F$45</f>
        <v>0</v>
      </c>
      <c r="AY18" s="19" t="n">
        <f aca="false">AY17*(Time!AY54/100+Inputs!$F$83)*MAX(0,MIN(Time!AY8,Time!$F$16)-Time!AY7)/Inputs!$F$45</f>
        <v>0</v>
      </c>
      <c r="AZ18" s="19" t="n">
        <f aca="false">AZ17*(Time!AZ54/100+Inputs!$F$83)*MAX(0,MIN(Time!AZ8,Time!$F$16)-Time!AZ7)/Inputs!$F$45</f>
        <v>0</v>
      </c>
      <c r="BA18" s="19" t="n">
        <f aca="false">BA17*(Time!BA54/100+Inputs!$F$83)*MAX(0,MIN(Time!BA8,Time!$F$16)-Time!BA7)/Inputs!$F$45</f>
        <v>0</v>
      </c>
      <c r="BB18" s="19" t="n">
        <f aca="false">BB17*(Time!BB54/100+Inputs!$F$83)*MAX(0,MIN(Time!BB8,Time!$F$16)-Time!BB7)/Inputs!$F$45</f>
        <v>0</v>
      </c>
      <c r="BC18" s="19" t="n">
        <f aca="false">BC17*(Time!BC54/100+Inputs!$F$83)*MAX(0,MIN(Time!BC8,Time!$F$16)-Time!BC7)/Inputs!$F$45</f>
        <v>0</v>
      </c>
      <c r="BD18" s="19" t="n">
        <f aca="false">BD17*(Time!BD54/100+Inputs!$F$83)*MAX(0,MIN(Time!BD8,Time!$F$16)-Time!BD7)/Inputs!$F$45</f>
        <v>0</v>
      </c>
      <c r="BE18" s="19" t="n">
        <f aca="false">BE17*(Time!BE54/100+Inputs!$F$83)*MAX(0,MIN(Time!BE8,Time!$F$16)-Time!BE7)/Inputs!$F$45</f>
        <v>0</v>
      </c>
      <c r="BF18" s="19" t="n">
        <f aca="false">BF17*(Time!BF54/100+Inputs!$F$83)*MAX(0,MIN(Time!BF8,Time!$F$16)-Time!BF7)/Inputs!$F$45</f>
        <v>0</v>
      </c>
      <c r="BG18" s="19" t="n">
        <f aca="false">BG17*(Time!BG54/100+Inputs!$F$83)*MAX(0,MIN(Time!BG8,Time!$F$16)-Time!BG7)/Inputs!$F$45</f>
        <v>0</v>
      </c>
      <c r="BH18" s="19" t="n">
        <f aca="false">BH17*(Time!BH54/100+Inputs!$F$83)*MAX(0,MIN(Time!BH8,Time!$F$16)-Time!BH7)/Inputs!$F$45</f>
        <v>0</v>
      </c>
      <c r="BI18" s="19" t="n">
        <f aca="false">BI17*(Time!BI54/100+Inputs!$F$83)*MAX(0,MIN(Time!BI8,Time!$F$16)-Time!BI7)/Inputs!$F$45</f>
        <v>0</v>
      </c>
      <c r="BJ18" s="19" t="n">
        <f aca="false">BJ17*(Time!BJ54/100+Inputs!$F$83)*MAX(0,MIN(Time!BJ8,Time!$F$16)-Time!BJ7)/Inputs!$F$45</f>
        <v>0</v>
      </c>
      <c r="BK18" s="19" t="n">
        <f aca="false">BK17*(Time!BK54/100+Inputs!$F$83)*MAX(0,MIN(Time!BK8,Time!$F$16)-Time!BK7)/Inputs!$F$45</f>
        <v>0</v>
      </c>
      <c r="BL18" s="19" t="n">
        <f aca="false">BL17*(Time!BL54/100+Inputs!$F$83)*MAX(0,MIN(Time!BL8,Time!$F$16)-Time!BL7)/Inputs!$F$45</f>
        <v>0</v>
      </c>
      <c r="BM18" s="19" t="n">
        <f aca="false">BM17*(Time!BM54/100+Inputs!$F$83)*MAX(0,MIN(Time!BM8,Time!$F$16)-Time!BM7)/Inputs!$F$45</f>
        <v>0</v>
      </c>
      <c r="BN18" s="19" t="n">
        <f aca="false">BN17*(Time!BN54/100+Inputs!$F$83)*MAX(0,MIN(Time!BN8,Time!$F$16)-Time!BN7)/Inputs!$F$45</f>
        <v>0</v>
      </c>
      <c r="BO18" s="19" t="n">
        <f aca="false">BO17*(Time!BO54/100+Inputs!$F$83)*MAX(0,MIN(Time!BO8,Time!$F$16)-Time!BO7)/Inputs!$F$45</f>
        <v>0</v>
      </c>
      <c r="BP18" s="19" t="n">
        <f aca="false">BP17*(Time!BP54/100+Inputs!$F$83)*MAX(0,MIN(Time!BP8,Time!$F$16)-Time!BP7)/Inputs!$F$45</f>
        <v>0</v>
      </c>
      <c r="BQ18" s="19" t="n">
        <f aca="false">BQ17*(Time!BQ54/100+Inputs!$F$83)*MAX(0,MIN(Time!BQ8,Time!$F$16)-Time!BQ7)/Inputs!$F$45</f>
        <v>0</v>
      </c>
      <c r="BR18" s="19" t="n">
        <f aca="false">BR17*(Time!BR54/100+Inputs!$F$83)*MAX(0,MIN(Time!BR8,Time!$F$16)-Time!BR7)/Inputs!$F$45</f>
        <v>0</v>
      </c>
      <c r="BS18" s="19" t="n">
        <f aca="false">BS17*(Time!BS54/100+Inputs!$F$83)*MAX(0,MIN(Time!BS8,Time!$F$16)-Time!BS7)/Inputs!$F$45</f>
        <v>0</v>
      </c>
      <c r="BT18" s="19" t="n">
        <f aca="false">BT17*(Time!BT54/100+Inputs!$F$83)*MAX(0,MIN(Time!BT8,Time!$F$16)-Time!BT7)/Inputs!$F$45</f>
        <v>0</v>
      </c>
      <c r="BU18" s="19" t="n">
        <f aca="false">BU17*(Time!BU54/100+Inputs!$F$83)*MAX(0,MIN(Time!BU8,Time!$F$16)-Time!BU7)/Inputs!$F$45</f>
        <v>0</v>
      </c>
      <c r="BV18" s="19" t="n">
        <f aca="false">BV17*(Time!BV54/100+Inputs!$F$83)*MAX(0,MIN(Time!BV8,Time!$F$16)-Time!BV7)/Inputs!$F$45</f>
        <v>0</v>
      </c>
      <c r="BW18" s="19" t="n">
        <f aca="false">BW17*(Time!BW54/100+Inputs!$F$83)*MAX(0,MIN(Time!BW8,Time!$F$16)-Time!BW7)/Inputs!$F$45</f>
        <v>0</v>
      </c>
      <c r="BX18" s="19" t="n">
        <f aca="false">BX17*(Time!BX54/100+Inputs!$F$83)*MAX(0,MIN(Time!BX8,Time!$F$16)-Time!BX7)/Inputs!$F$45</f>
        <v>0</v>
      </c>
      <c r="BY18" s="19" t="n">
        <f aca="false">BY17*(Time!BY54/100+Inputs!$F$83)*MAX(0,MIN(Time!BY8,Time!$F$16)-Time!BY7)/Inputs!$F$45</f>
        <v>0</v>
      </c>
      <c r="BZ18" s="19" t="n">
        <f aca="false">BZ17*(Time!BZ54/100+Inputs!$F$83)*MAX(0,MIN(Time!BZ8,Time!$F$16)-Time!BZ7)/Inputs!$F$45</f>
        <v>0</v>
      </c>
      <c r="CA18" s="19" t="n">
        <f aca="false">CA17*(Time!CA54/100+Inputs!$F$83)*MAX(0,MIN(Time!CA8,Time!$F$16)-Time!CA7)/Inputs!$F$45</f>
        <v>0</v>
      </c>
      <c r="CB18" s="19" t="n">
        <f aca="false">CB17*(Time!CB54/100+Inputs!$F$83)*MAX(0,MIN(Time!CB8,Time!$F$16)-Time!CB7)/Inputs!$F$45</f>
        <v>0</v>
      </c>
      <c r="CC18" s="19" t="n">
        <f aca="false">CC17*(Time!CC54/100+Inputs!$F$83)*MAX(0,MIN(Time!CC8,Time!$F$16)-Time!CC7)/Inputs!$F$45</f>
        <v>0</v>
      </c>
      <c r="CD18" s="19" t="n">
        <f aca="false">CD17*(Time!CD54/100+Inputs!$F$83)*MAX(0,MIN(Time!CD8,Time!$F$16)-Time!CD7)/Inputs!$F$45</f>
        <v>0</v>
      </c>
      <c r="CE18" s="19" t="n">
        <f aca="false">CE17*(Time!CE54/100+Inputs!$F$83)*MAX(0,MIN(Time!CE8,Time!$F$16)-Time!CE7)/Inputs!$F$45</f>
        <v>0</v>
      </c>
      <c r="CF18" s="19" t="n">
        <f aca="false">CF17*(Time!CF54/100+Inputs!$F$83)*MAX(0,MIN(Time!CF8,Time!$F$16)-Time!CF7)/Inputs!$F$45</f>
        <v>0</v>
      </c>
      <c r="CG18" s="19" t="n">
        <f aca="false">CG17*(Time!CG54/100+Inputs!$F$83)*MAX(0,MIN(Time!CG8,Time!$F$16)-Time!CG7)/Inputs!$F$45</f>
        <v>0</v>
      </c>
      <c r="CH18" s="19" t="n">
        <f aca="false">CH17*(Time!CH54/100+Inputs!$F$83)*MAX(0,MIN(Time!CH8,Time!$F$16)-Time!CH7)/Inputs!$F$45</f>
        <v>0</v>
      </c>
      <c r="CI18" s="19" t="n">
        <f aca="false">CI17*(Time!CI54/100+Inputs!$F$83)*MAX(0,MIN(Time!CI8,Time!$F$16)-Time!CI7)/Inputs!$F$45</f>
        <v>0</v>
      </c>
      <c r="CJ18" s="19" t="n">
        <f aca="false">CJ17*(Time!CJ54/100+Inputs!$F$83)*MAX(0,MIN(Time!CJ8,Time!$F$16)-Time!CJ7)/Inputs!$F$45</f>
        <v>0</v>
      </c>
      <c r="CK18" s="19" t="n">
        <f aca="false">CK17*(Time!CK54/100+Inputs!$F$83)*MAX(0,MIN(Time!CK8,Time!$F$16)-Time!CK7)/Inputs!$F$45</f>
        <v>0</v>
      </c>
      <c r="CL18" s="19" t="n">
        <f aca="false">CL17*(Time!CL54/100+Inputs!$F$83)*MAX(0,MIN(Time!CL8,Time!$F$16)-Time!CL7)/Inputs!$F$45</f>
        <v>0</v>
      </c>
      <c r="CM18" s="19" t="n">
        <f aca="false">CM17*(Time!CM54/100+Inputs!$F$83)*MAX(0,MIN(Time!CM8,Time!$F$16)-Time!CM7)/Inputs!$F$45</f>
        <v>0</v>
      </c>
      <c r="CN18" s="19" t="n">
        <f aca="false">CN17*(Time!CN54/100+Inputs!$F$83)*MAX(0,MIN(Time!CN8,Time!$F$16)-Time!CN7)/Inputs!$F$45</f>
        <v>0</v>
      </c>
      <c r="CO18" s="19" t="n">
        <f aca="false">CO17*(Time!CO54/100+Inputs!$F$83)*MAX(0,MIN(Time!CO8,Time!$F$16)-Time!CO7)/Inputs!$F$45</f>
        <v>0</v>
      </c>
      <c r="CP18" s="19" t="n">
        <f aca="false">CP17*(Time!CP54/100+Inputs!$F$83)*MAX(0,MIN(Time!CP8,Time!$F$16)-Time!CP7)/Inputs!$F$45</f>
        <v>0</v>
      </c>
      <c r="CQ18" s="19" t="n">
        <f aca="false">CQ17*(Time!CQ54/100+Inputs!$F$83)*MAX(0,MIN(Time!CQ8,Time!$F$16)-Time!CQ7)/Inputs!$F$45</f>
        <v>0</v>
      </c>
      <c r="CR18" s="19" t="n">
        <f aca="false">CR17*(Time!CR54/100+Inputs!$F$83)*MAX(0,MIN(Time!CR8,Time!$F$16)-Time!CR7)/Inputs!$F$45</f>
        <v>0</v>
      </c>
      <c r="CS18" s="19" t="n">
        <f aca="false">CS17*(Time!CS54/100+Inputs!$F$83)*MAX(0,MIN(Time!CS8,Time!$F$16)-Time!CS7)/Inputs!$F$45</f>
        <v>0</v>
      </c>
      <c r="CT18" s="19" t="n">
        <f aca="false">CT17*(Time!CT54/100+Inputs!$F$83)*MAX(0,MIN(Time!CT8,Time!$F$16)-Time!CT7)/Inputs!$F$45</f>
        <v>0</v>
      </c>
      <c r="CU18" s="19" t="n">
        <f aca="false">CU17*(Time!CU54/100+Inputs!$F$83)*MAX(0,MIN(Time!CU8,Time!$F$16)-Time!CU7)/Inputs!$F$45</f>
        <v>0</v>
      </c>
      <c r="CV18" s="19" t="n">
        <f aca="false">CV17*(Time!CV54/100+Inputs!$F$83)*MAX(0,MIN(Time!CV8,Time!$F$16)-Time!CV7)/Inputs!$F$45</f>
        <v>0</v>
      </c>
      <c r="CW18" s="19" t="n">
        <f aca="false">CW17*(Time!CW54/100+Inputs!$F$83)*MAX(0,MIN(Time!CW8,Time!$F$16)-Time!CW7)/Inputs!$F$45</f>
        <v>0</v>
      </c>
      <c r="CX18" s="19" t="n">
        <f aca="false">CX17*(Time!CX54/100+Inputs!$F$83)*MAX(0,MIN(Time!CX8,Time!$F$16)-Time!CX7)/Inputs!$F$45</f>
        <v>0</v>
      </c>
      <c r="CY18" s="19" t="n">
        <f aca="false">CY17*(Time!CY54/100+Inputs!$F$83)*MAX(0,MIN(Time!CY8,Time!$F$16)-Time!CY7)/Inputs!$F$45</f>
        <v>0</v>
      </c>
      <c r="CZ18" s="19" t="n">
        <f aca="false">CZ17*(Time!CZ54/100+Inputs!$F$83)*MAX(0,MIN(Time!CZ8,Time!$F$16)-Time!CZ7)/Inputs!$F$45</f>
        <v>0</v>
      </c>
      <c r="DA18" s="19" t="n">
        <f aca="false">DA17*(Time!DA54/100+Inputs!$F$83)*MAX(0,MIN(Time!DA8,Time!$F$16)-Time!DA7)/Inputs!$F$45</f>
        <v>0</v>
      </c>
      <c r="DB18" s="19" t="n">
        <f aca="false">DB17*(Time!DB54/100+Inputs!$F$83)*MAX(0,MIN(Time!DB8,Time!$F$16)-Time!DB7)/Inputs!$F$45</f>
        <v>0</v>
      </c>
    </row>
    <row r="19" customFormat="false" ht="15" hidden="false" customHeight="false" outlineLevel="0" collapsed="false">
      <c r="D19" s="0" t="s">
        <v>448</v>
      </c>
      <c r="E19" s="0" t="s">
        <v>44</v>
      </c>
      <c r="G19" s="19" t="n">
        <f aca="false">SUM(J19:DB19)</f>
        <v>7.20315140391726</v>
      </c>
      <c r="J19" s="19" t="n">
        <f aca="false">J18*Time!J20</f>
        <v>0</v>
      </c>
      <c r="K19" s="19" t="n">
        <f aca="false">K18*Time!K20</f>
        <v>0</v>
      </c>
      <c r="L19" s="19" t="n">
        <f aca="false">L18*Time!L20</f>
        <v>0</v>
      </c>
      <c r="M19" s="19" t="n">
        <f aca="false">M18*Time!M20</f>
        <v>0</v>
      </c>
      <c r="N19" s="19" t="n">
        <f aca="false">N18*Time!N20</f>
        <v>0</v>
      </c>
      <c r="O19" s="19" t="n">
        <f aca="false">O18*Time!O20</f>
        <v>0</v>
      </c>
      <c r="P19" s="19" t="n">
        <f aca="false">P18*Time!P20</f>
        <v>0</v>
      </c>
      <c r="Q19" s="19" t="n">
        <f aca="false">Q18*Time!Q20</f>
        <v>0</v>
      </c>
      <c r="R19" s="19" t="n">
        <f aca="false">R18*Time!R20</f>
        <v>0</v>
      </c>
      <c r="S19" s="19" t="n">
        <f aca="false">S18*Time!S20</f>
        <v>0</v>
      </c>
      <c r="T19" s="19" t="n">
        <f aca="false">T18*Time!T20</f>
        <v>0</v>
      </c>
      <c r="U19" s="19" t="n">
        <f aca="false">U18*Time!U20</f>
        <v>0.645931468888626</v>
      </c>
      <c r="V19" s="19" t="n">
        <f aca="false">V18*Time!V20</f>
        <v>1.1912217027286</v>
      </c>
      <c r="W19" s="19" t="n">
        <f aca="false">W18*Time!W20</f>
        <v>1.63091979355241</v>
      </c>
      <c r="X19" s="19" t="n">
        <f aca="false">X18*Time!X20</f>
        <v>1.90390462814962</v>
      </c>
      <c r="Y19" s="19" t="n">
        <f aca="false">Y18*Time!Y20</f>
        <v>1.831173810598</v>
      </c>
      <c r="Z19" s="19" t="n">
        <f aca="false">Z18*Time!Z20</f>
        <v>0</v>
      </c>
      <c r="AA19" s="19" t="n">
        <f aca="false">AA18*Time!AA20</f>
        <v>0</v>
      </c>
      <c r="AB19" s="19" t="n">
        <f aca="false">AB18*Time!AB20</f>
        <v>0</v>
      </c>
      <c r="AC19" s="19" t="n">
        <f aca="false">AC18*Time!AC20</f>
        <v>0</v>
      </c>
      <c r="AD19" s="19" t="n">
        <f aca="false">AD18*Time!AD20</f>
        <v>0</v>
      </c>
      <c r="AE19" s="19" t="n">
        <f aca="false">AE18*Time!AE20</f>
        <v>0</v>
      </c>
      <c r="AF19" s="19" t="n">
        <f aca="false">AF18*Time!AF20</f>
        <v>0</v>
      </c>
      <c r="AG19" s="19" t="n">
        <f aca="false">AG18*Time!AG20</f>
        <v>0</v>
      </c>
      <c r="AH19" s="19" t="n">
        <f aca="false">AH18*Time!AH20</f>
        <v>0</v>
      </c>
      <c r="AI19" s="19" t="n">
        <f aca="false">AI18*Time!AI20</f>
        <v>0</v>
      </c>
      <c r="AJ19" s="19" t="n">
        <f aca="false">AJ18*Time!AJ20</f>
        <v>0</v>
      </c>
      <c r="AK19" s="19" t="n">
        <f aca="false">AK18*Time!AK20</f>
        <v>0</v>
      </c>
      <c r="AL19" s="19" t="n">
        <f aca="false">AL18*Time!AL20</f>
        <v>0</v>
      </c>
      <c r="AM19" s="19" t="n">
        <f aca="false">AM18*Time!AM20</f>
        <v>0</v>
      </c>
      <c r="AN19" s="19" t="n">
        <f aca="false">AN18*Time!AN20</f>
        <v>0</v>
      </c>
      <c r="AO19" s="19" t="n">
        <f aca="false">AO18*Time!AO20</f>
        <v>0</v>
      </c>
      <c r="AP19" s="19" t="n">
        <f aca="false">AP18*Time!AP20</f>
        <v>0</v>
      </c>
      <c r="AQ19" s="19" t="n">
        <f aca="false">AQ18*Time!AQ20</f>
        <v>0</v>
      </c>
      <c r="AR19" s="19" t="n">
        <f aca="false">AR18*Time!AR20</f>
        <v>0</v>
      </c>
      <c r="AS19" s="19" t="n">
        <f aca="false">AS18*Time!AS20</f>
        <v>0</v>
      </c>
      <c r="AT19" s="19" t="n">
        <f aca="false">AT18*Time!AT20</f>
        <v>0</v>
      </c>
      <c r="AU19" s="19" t="n">
        <f aca="false">AU18*Time!AU20</f>
        <v>0</v>
      </c>
      <c r="AV19" s="19" t="n">
        <f aca="false">AV18*Time!AV20</f>
        <v>0</v>
      </c>
      <c r="AW19" s="19" t="n">
        <f aca="false">AW18*Time!AW20</f>
        <v>0</v>
      </c>
      <c r="AX19" s="19" t="n">
        <f aca="false">AX18*Time!AX20</f>
        <v>0</v>
      </c>
      <c r="AY19" s="19" t="n">
        <f aca="false">AY18*Time!AY20</f>
        <v>0</v>
      </c>
      <c r="AZ19" s="19" t="n">
        <f aca="false">AZ18*Time!AZ20</f>
        <v>0</v>
      </c>
      <c r="BA19" s="19" t="n">
        <f aca="false">BA18*Time!BA20</f>
        <v>0</v>
      </c>
      <c r="BB19" s="19" t="n">
        <f aca="false">BB18*Time!BB20</f>
        <v>0</v>
      </c>
      <c r="BC19" s="19" t="n">
        <f aca="false">BC18*Time!BC20</f>
        <v>0</v>
      </c>
      <c r="BD19" s="19" t="n">
        <f aca="false">BD18*Time!BD20</f>
        <v>0</v>
      </c>
      <c r="BE19" s="19" t="n">
        <f aca="false">BE18*Time!BE20</f>
        <v>0</v>
      </c>
      <c r="BF19" s="19" t="n">
        <f aca="false">BF18*Time!BF20</f>
        <v>0</v>
      </c>
      <c r="BG19" s="19" t="n">
        <f aca="false">BG18*Time!BG20</f>
        <v>0</v>
      </c>
      <c r="BH19" s="19" t="n">
        <f aca="false">BH18*Time!BH20</f>
        <v>0</v>
      </c>
      <c r="BI19" s="19" t="n">
        <f aca="false">BI18*Time!BI20</f>
        <v>0</v>
      </c>
      <c r="BJ19" s="19" t="n">
        <f aca="false">BJ18*Time!BJ20</f>
        <v>0</v>
      </c>
      <c r="BK19" s="19" t="n">
        <f aca="false">BK18*Time!BK20</f>
        <v>0</v>
      </c>
      <c r="BL19" s="19" t="n">
        <f aca="false">BL18*Time!BL20</f>
        <v>0</v>
      </c>
      <c r="BM19" s="19" t="n">
        <f aca="false">BM18*Time!BM20</f>
        <v>0</v>
      </c>
      <c r="BN19" s="19" t="n">
        <f aca="false">BN18*Time!BN20</f>
        <v>0</v>
      </c>
      <c r="BO19" s="19" t="n">
        <f aca="false">BO18*Time!BO20</f>
        <v>0</v>
      </c>
      <c r="BP19" s="19" t="n">
        <f aca="false">BP18*Time!BP20</f>
        <v>0</v>
      </c>
      <c r="BQ19" s="19" t="n">
        <f aca="false">BQ18*Time!BQ20</f>
        <v>0</v>
      </c>
      <c r="BR19" s="19" t="n">
        <f aca="false">BR18*Time!BR20</f>
        <v>0</v>
      </c>
      <c r="BS19" s="19" t="n">
        <f aca="false">BS18*Time!BS20</f>
        <v>0</v>
      </c>
      <c r="BT19" s="19" t="n">
        <f aca="false">BT18*Time!BT20</f>
        <v>0</v>
      </c>
      <c r="BU19" s="19" t="n">
        <f aca="false">BU18*Time!BU20</f>
        <v>0</v>
      </c>
      <c r="BV19" s="19" t="n">
        <f aca="false">BV18*Time!BV20</f>
        <v>0</v>
      </c>
      <c r="BW19" s="19" t="n">
        <f aca="false">BW18*Time!BW20</f>
        <v>0</v>
      </c>
      <c r="BX19" s="19" t="n">
        <f aca="false">BX18*Time!BX20</f>
        <v>0</v>
      </c>
      <c r="BY19" s="19" t="n">
        <f aca="false">BY18*Time!BY20</f>
        <v>0</v>
      </c>
      <c r="BZ19" s="19" t="n">
        <f aca="false">BZ18*Time!BZ20</f>
        <v>0</v>
      </c>
      <c r="CA19" s="19" t="n">
        <f aca="false">CA18*Time!CA20</f>
        <v>0</v>
      </c>
      <c r="CB19" s="19" t="n">
        <f aca="false">CB18*Time!CB20</f>
        <v>0</v>
      </c>
      <c r="CC19" s="19" t="n">
        <f aca="false">CC18*Time!CC20</f>
        <v>0</v>
      </c>
      <c r="CD19" s="19" t="n">
        <f aca="false">CD18*Time!CD20</f>
        <v>0</v>
      </c>
      <c r="CE19" s="19" t="n">
        <f aca="false">CE18*Time!CE20</f>
        <v>0</v>
      </c>
      <c r="CF19" s="19" t="n">
        <f aca="false">CF18*Time!CF20</f>
        <v>0</v>
      </c>
      <c r="CG19" s="19" t="n">
        <f aca="false">CG18*Time!CG20</f>
        <v>0</v>
      </c>
      <c r="CH19" s="19" t="n">
        <f aca="false">CH18*Time!CH20</f>
        <v>0</v>
      </c>
      <c r="CI19" s="19" t="n">
        <f aca="false">CI18*Time!CI20</f>
        <v>0</v>
      </c>
      <c r="CJ19" s="19" t="n">
        <f aca="false">CJ18*Time!CJ20</f>
        <v>0</v>
      </c>
      <c r="CK19" s="19" t="n">
        <f aca="false">CK18*Time!CK20</f>
        <v>0</v>
      </c>
      <c r="CL19" s="19" t="n">
        <f aca="false">CL18*Time!CL20</f>
        <v>0</v>
      </c>
      <c r="CM19" s="19" t="n">
        <f aca="false">CM18*Time!CM20</f>
        <v>0</v>
      </c>
      <c r="CN19" s="19" t="n">
        <f aca="false">CN18*Time!CN20</f>
        <v>0</v>
      </c>
      <c r="CO19" s="19" t="n">
        <f aca="false">CO18*Time!CO20</f>
        <v>0</v>
      </c>
      <c r="CP19" s="19" t="n">
        <f aca="false">CP18*Time!CP20</f>
        <v>0</v>
      </c>
      <c r="CQ19" s="19" t="n">
        <f aca="false">CQ18*Time!CQ20</f>
        <v>0</v>
      </c>
      <c r="CR19" s="19" t="n">
        <f aca="false">CR18*Time!CR20</f>
        <v>0</v>
      </c>
      <c r="CS19" s="19" t="n">
        <f aca="false">CS18*Time!CS20</f>
        <v>0</v>
      </c>
      <c r="CT19" s="19" t="n">
        <f aca="false">CT18*Time!CT20</f>
        <v>0</v>
      </c>
      <c r="CU19" s="19" t="n">
        <f aca="false">CU18*Time!CU20</f>
        <v>0</v>
      </c>
      <c r="CV19" s="19" t="n">
        <f aca="false">CV18*Time!CV20</f>
        <v>0</v>
      </c>
      <c r="CW19" s="19" t="n">
        <f aca="false">CW18*Time!CW20</f>
        <v>0</v>
      </c>
      <c r="CX19" s="19" t="n">
        <f aca="false">CX18*Time!CX20</f>
        <v>0</v>
      </c>
      <c r="CY19" s="19" t="n">
        <f aca="false">CY18*Time!CY20</f>
        <v>0</v>
      </c>
      <c r="CZ19" s="19" t="n">
        <f aca="false">CZ18*Time!CZ20</f>
        <v>0</v>
      </c>
      <c r="DA19" s="19" t="n">
        <f aca="false">DA18*Time!DA20</f>
        <v>0</v>
      </c>
      <c r="DB19" s="19" t="n">
        <f aca="false">DB18*Time!DB20</f>
        <v>0</v>
      </c>
    </row>
    <row r="20" customFormat="false" ht="15" hidden="false" customHeight="false" outlineLevel="0" collapsed="false">
      <c r="D20" s="0" t="s">
        <v>449</v>
      </c>
      <c r="E20" s="0" t="s">
        <v>44</v>
      </c>
      <c r="G20" s="19" t="n">
        <f aca="false">SUM(J20:DB20)</f>
        <v>0</v>
      </c>
      <c r="J20" s="19" t="n">
        <f aca="false">J18*(1-Time!J20)</f>
        <v>0</v>
      </c>
      <c r="K20" s="19" t="n">
        <f aca="false">K18*(1-Time!K20)</f>
        <v>0</v>
      </c>
      <c r="L20" s="19" t="n">
        <f aca="false">L18*(1-Time!L20)</f>
        <v>0</v>
      </c>
      <c r="M20" s="19" t="n">
        <f aca="false">M18*(1-Time!M20)</f>
        <v>0</v>
      </c>
      <c r="N20" s="19" t="n">
        <f aca="false">N18*(1-Time!N20)</f>
        <v>0</v>
      </c>
      <c r="O20" s="19" t="n">
        <f aca="false">O18*(1-Time!O20)</f>
        <v>0</v>
      </c>
      <c r="P20" s="19" t="n">
        <f aca="false">P18*(1-Time!P20)</f>
        <v>0</v>
      </c>
      <c r="Q20" s="19" t="n">
        <f aca="false">Q18*(1-Time!Q20)</f>
        <v>0</v>
      </c>
      <c r="R20" s="19" t="n">
        <f aca="false">R18*(1-Time!R20)</f>
        <v>0</v>
      </c>
      <c r="S20" s="19" t="n">
        <f aca="false">S18*(1-Time!S20)</f>
        <v>0</v>
      </c>
      <c r="T20" s="19" t="n">
        <f aca="false">T18*(1-Time!T20)</f>
        <v>0</v>
      </c>
      <c r="U20" s="19" t="n">
        <f aca="false">U18*(1-Time!U20)</f>
        <v>0</v>
      </c>
      <c r="V20" s="19" t="n">
        <f aca="false">V18*(1-Time!V20)</f>
        <v>0</v>
      </c>
      <c r="W20" s="19" t="n">
        <f aca="false">W18*(1-Time!W20)</f>
        <v>0</v>
      </c>
      <c r="X20" s="19" t="n">
        <f aca="false">X18*(1-Time!X20)</f>
        <v>0</v>
      </c>
      <c r="Y20" s="19" t="n">
        <f aca="false">Y18*(1-Time!Y20)</f>
        <v>0</v>
      </c>
      <c r="Z20" s="19" t="n">
        <f aca="false">Z18*(1-Time!Z20)</f>
        <v>0</v>
      </c>
      <c r="AA20" s="19" t="n">
        <f aca="false">AA18*(1-Time!AA20)</f>
        <v>0</v>
      </c>
      <c r="AB20" s="19" t="n">
        <f aca="false">AB18*(1-Time!AB20)</f>
        <v>0</v>
      </c>
      <c r="AC20" s="19" t="n">
        <f aca="false">AC18*(1-Time!AC20)</f>
        <v>0</v>
      </c>
      <c r="AD20" s="19" t="n">
        <f aca="false">AD18*(1-Time!AD20)</f>
        <v>0</v>
      </c>
      <c r="AE20" s="19" t="n">
        <f aca="false">AE18*(1-Time!AE20)</f>
        <v>0</v>
      </c>
      <c r="AF20" s="19" t="n">
        <f aca="false">AF18*(1-Time!AF20)</f>
        <v>0</v>
      </c>
      <c r="AG20" s="19" t="n">
        <f aca="false">AG18*(1-Time!AG20)</f>
        <v>0</v>
      </c>
      <c r="AH20" s="19" t="n">
        <f aca="false">AH18*(1-Time!AH20)</f>
        <v>0</v>
      </c>
      <c r="AI20" s="19" t="n">
        <f aca="false">AI18*(1-Time!AI20)</f>
        <v>0</v>
      </c>
      <c r="AJ20" s="19" t="n">
        <f aca="false">AJ18*(1-Time!AJ20)</f>
        <v>0</v>
      </c>
      <c r="AK20" s="19" t="n">
        <f aca="false">AK18*(1-Time!AK20)</f>
        <v>0</v>
      </c>
      <c r="AL20" s="19" t="n">
        <f aca="false">AL18*(1-Time!AL20)</f>
        <v>0</v>
      </c>
      <c r="AM20" s="19" t="n">
        <f aca="false">AM18*(1-Time!AM20)</f>
        <v>0</v>
      </c>
      <c r="AN20" s="19" t="n">
        <f aca="false">AN18*(1-Time!AN20)</f>
        <v>0</v>
      </c>
      <c r="AO20" s="19" t="n">
        <f aca="false">AO18*(1-Time!AO20)</f>
        <v>0</v>
      </c>
      <c r="AP20" s="19" t="n">
        <f aca="false">AP18*(1-Time!AP20)</f>
        <v>0</v>
      </c>
      <c r="AQ20" s="19" t="n">
        <f aca="false">AQ18*(1-Time!AQ20)</f>
        <v>0</v>
      </c>
      <c r="AR20" s="19" t="n">
        <f aca="false">AR18*(1-Time!AR20)</f>
        <v>0</v>
      </c>
      <c r="AS20" s="19" t="n">
        <f aca="false">AS18*(1-Time!AS20)</f>
        <v>0</v>
      </c>
      <c r="AT20" s="19" t="n">
        <f aca="false">AT18*(1-Time!AT20)</f>
        <v>0</v>
      </c>
      <c r="AU20" s="19" t="n">
        <f aca="false">AU18*(1-Time!AU20)</f>
        <v>0</v>
      </c>
      <c r="AV20" s="19" t="n">
        <f aca="false">AV18*(1-Time!AV20)</f>
        <v>0</v>
      </c>
      <c r="AW20" s="19" t="n">
        <f aca="false">AW18*(1-Time!AW20)</f>
        <v>0</v>
      </c>
      <c r="AX20" s="19" t="n">
        <f aca="false">AX18*(1-Time!AX20)</f>
        <v>0</v>
      </c>
      <c r="AY20" s="19" t="n">
        <f aca="false">AY18*(1-Time!AY20)</f>
        <v>0</v>
      </c>
      <c r="AZ20" s="19" t="n">
        <f aca="false">AZ18*(1-Time!AZ20)</f>
        <v>0</v>
      </c>
      <c r="BA20" s="19" t="n">
        <f aca="false">BA18*(1-Time!BA20)</f>
        <v>0</v>
      </c>
      <c r="BB20" s="19" t="n">
        <f aca="false">BB18*(1-Time!BB20)</f>
        <v>0</v>
      </c>
      <c r="BC20" s="19" t="n">
        <f aca="false">BC18*(1-Time!BC20)</f>
        <v>0</v>
      </c>
      <c r="BD20" s="19" t="n">
        <f aca="false">BD18*(1-Time!BD20)</f>
        <v>0</v>
      </c>
      <c r="BE20" s="19" t="n">
        <f aca="false">BE18*(1-Time!BE20)</f>
        <v>0</v>
      </c>
      <c r="BF20" s="19" t="n">
        <f aca="false">BF18*(1-Time!BF20)</f>
        <v>0</v>
      </c>
      <c r="BG20" s="19" t="n">
        <f aca="false">BG18*(1-Time!BG20)</f>
        <v>0</v>
      </c>
      <c r="BH20" s="19" t="n">
        <f aca="false">BH18*(1-Time!BH20)</f>
        <v>0</v>
      </c>
      <c r="BI20" s="19" t="n">
        <f aca="false">BI18*(1-Time!BI20)</f>
        <v>0</v>
      </c>
      <c r="BJ20" s="19" t="n">
        <f aca="false">BJ18*(1-Time!BJ20)</f>
        <v>0</v>
      </c>
      <c r="BK20" s="19" t="n">
        <f aca="false">BK18*(1-Time!BK20)</f>
        <v>0</v>
      </c>
      <c r="BL20" s="19" t="n">
        <f aca="false">BL18*(1-Time!BL20)</f>
        <v>0</v>
      </c>
      <c r="BM20" s="19" t="n">
        <f aca="false">BM18*(1-Time!BM20)</f>
        <v>0</v>
      </c>
      <c r="BN20" s="19" t="n">
        <f aca="false">BN18*(1-Time!BN20)</f>
        <v>0</v>
      </c>
      <c r="BO20" s="19" t="n">
        <f aca="false">BO18*(1-Time!BO20)</f>
        <v>0</v>
      </c>
      <c r="BP20" s="19" t="n">
        <f aca="false">BP18*(1-Time!BP20)</f>
        <v>0</v>
      </c>
      <c r="BQ20" s="19" t="n">
        <f aca="false">BQ18*(1-Time!BQ20)</f>
        <v>0</v>
      </c>
      <c r="BR20" s="19" t="n">
        <f aca="false">BR18*(1-Time!BR20)</f>
        <v>0</v>
      </c>
      <c r="BS20" s="19" t="n">
        <f aca="false">BS18*(1-Time!BS20)</f>
        <v>0</v>
      </c>
      <c r="BT20" s="19" t="n">
        <f aca="false">BT18*(1-Time!BT20)</f>
        <v>0</v>
      </c>
      <c r="BU20" s="19" t="n">
        <f aca="false">BU18*(1-Time!BU20)</f>
        <v>0</v>
      </c>
      <c r="BV20" s="19" t="n">
        <f aca="false">BV18*(1-Time!BV20)</f>
        <v>0</v>
      </c>
      <c r="BW20" s="19" t="n">
        <f aca="false">BW18*(1-Time!BW20)</f>
        <v>0</v>
      </c>
      <c r="BX20" s="19" t="n">
        <f aca="false">BX18*(1-Time!BX20)</f>
        <v>0</v>
      </c>
      <c r="BY20" s="19" t="n">
        <f aca="false">BY18*(1-Time!BY20)</f>
        <v>0</v>
      </c>
      <c r="BZ20" s="19" t="n">
        <f aca="false">BZ18*(1-Time!BZ20)</f>
        <v>0</v>
      </c>
      <c r="CA20" s="19" t="n">
        <f aca="false">CA18*(1-Time!CA20)</f>
        <v>0</v>
      </c>
      <c r="CB20" s="19" t="n">
        <f aca="false">CB18*(1-Time!CB20)</f>
        <v>0</v>
      </c>
      <c r="CC20" s="19" t="n">
        <f aca="false">CC18*(1-Time!CC20)</f>
        <v>0</v>
      </c>
      <c r="CD20" s="19" t="n">
        <f aca="false">CD18*(1-Time!CD20)</f>
        <v>0</v>
      </c>
      <c r="CE20" s="19" t="n">
        <f aca="false">CE18*(1-Time!CE20)</f>
        <v>0</v>
      </c>
      <c r="CF20" s="19" t="n">
        <f aca="false">CF18*(1-Time!CF20)</f>
        <v>0</v>
      </c>
      <c r="CG20" s="19" t="n">
        <f aca="false">CG18*(1-Time!CG20)</f>
        <v>0</v>
      </c>
      <c r="CH20" s="19" t="n">
        <f aca="false">CH18*(1-Time!CH20)</f>
        <v>0</v>
      </c>
      <c r="CI20" s="19" t="n">
        <f aca="false">CI18*(1-Time!CI20)</f>
        <v>0</v>
      </c>
      <c r="CJ20" s="19" t="n">
        <f aca="false">CJ18*(1-Time!CJ20)</f>
        <v>0</v>
      </c>
      <c r="CK20" s="19" t="n">
        <f aca="false">CK18*(1-Time!CK20)</f>
        <v>0</v>
      </c>
      <c r="CL20" s="19" t="n">
        <f aca="false">CL18*(1-Time!CL20)</f>
        <v>0</v>
      </c>
      <c r="CM20" s="19" t="n">
        <f aca="false">CM18*(1-Time!CM20)</f>
        <v>0</v>
      </c>
      <c r="CN20" s="19" t="n">
        <f aca="false">CN18*(1-Time!CN20)</f>
        <v>0</v>
      </c>
      <c r="CO20" s="19" t="n">
        <f aca="false">CO18*(1-Time!CO20)</f>
        <v>0</v>
      </c>
      <c r="CP20" s="19" t="n">
        <f aca="false">CP18*(1-Time!CP20)</f>
        <v>0</v>
      </c>
      <c r="CQ20" s="19" t="n">
        <f aca="false">CQ18*(1-Time!CQ20)</f>
        <v>0</v>
      </c>
      <c r="CR20" s="19" t="n">
        <f aca="false">CR18*(1-Time!CR20)</f>
        <v>0</v>
      </c>
      <c r="CS20" s="19" t="n">
        <f aca="false">CS18*(1-Time!CS20)</f>
        <v>0</v>
      </c>
      <c r="CT20" s="19" t="n">
        <f aca="false">CT18*(1-Time!CT20)</f>
        <v>0</v>
      </c>
      <c r="CU20" s="19" t="n">
        <f aca="false">CU18*(1-Time!CU20)</f>
        <v>0</v>
      </c>
      <c r="CV20" s="19" t="n">
        <f aca="false">CV18*(1-Time!CV20)</f>
        <v>0</v>
      </c>
      <c r="CW20" s="19" t="n">
        <f aca="false">CW18*(1-Time!CW20)</f>
        <v>0</v>
      </c>
      <c r="CX20" s="19" t="n">
        <f aca="false">CX18*(1-Time!CX20)</f>
        <v>0</v>
      </c>
      <c r="CY20" s="19" t="n">
        <f aca="false">CY18*(1-Time!CY20)</f>
        <v>0</v>
      </c>
      <c r="CZ20" s="19" t="n">
        <f aca="false">CZ18*(1-Time!CZ20)</f>
        <v>0</v>
      </c>
      <c r="DA20" s="19" t="n">
        <f aca="false">DA18*(1-Time!DA20)</f>
        <v>0</v>
      </c>
      <c r="DB20" s="19" t="n">
        <f aca="false">DB18*(1-Time!DB20)</f>
        <v>0</v>
      </c>
    </row>
    <row r="21" customFormat="false" ht="15" hidden="false" customHeight="false" outlineLevel="0" collapsed="false">
      <c r="D21" s="0" t="s">
        <v>450</v>
      </c>
      <c r="E21" s="0" t="s">
        <v>44</v>
      </c>
      <c r="G21" s="19" t="n">
        <f aca="false">SUM(J21:DB21)</f>
        <v>13.887642147287</v>
      </c>
      <c r="J21" s="19" t="n">
        <f aca="false">IF(Time!J8=Inputs!$F$15,Reserves!J7,0)</f>
        <v>0</v>
      </c>
      <c r="K21" s="19" t="n">
        <f aca="false">IF(Time!K8=Inputs!$F$15,Reserves!K7,0)</f>
        <v>0</v>
      </c>
      <c r="L21" s="19" t="n">
        <f aca="false">IF(Time!L8=Inputs!$F$15,Reserves!L7,0)</f>
        <v>0</v>
      </c>
      <c r="M21" s="19" t="n">
        <f aca="false">IF(Time!M8=Inputs!$F$15,Reserves!M7,0)</f>
        <v>0</v>
      </c>
      <c r="N21" s="19" t="n">
        <f aca="false">IF(Time!N8=Inputs!$F$15,Reserves!N7,0)</f>
        <v>0</v>
      </c>
      <c r="O21" s="19" t="n">
        <f aca="false">IF(Time!O8=Inputs!$F$15,Reserves!O7,0)</f>
        <v>0</v>
      </c>
      <c r="P21" s="19" t="n">
        <f aca="false">IF(Time!P8=Inputs!$F$15,Reserves!P7,0)</f>
        <v>0</v>
      </c>
      <c r="Q21" s="19" t="n">
        <f aca="false">IF(Time!Q8=Inputs!$F$15,Reserves!Q7,0)</f>
        <v>0</v>
      </c>
      <c r="R21" s="19" t="n">
        <f aca="false">IF(Time!R8=Inputs!$F$15,Reserves!R7,0)</f>
        <v>0</v>
      </c>
      <c r="S21" s="19" t="n">
        <f aca="false">IF(Time!S8=Inputs!$F$15,Reserves!S7,0)</f>
        <v>0</v>
      </c>
      <c r="T21" s="19" t="n">
        <f aca="false">IF(Time!T8=Inputs!$F$15,Reserves!T7,0)</f>
        <v>0</v>
      </c>
      <c r="U21" s="19" t="n">
        <f aca="false">IF(Time!U8=Inputs!$F$15,Reserves!U7,0)</f>
        <v>0</v>
      </c>
      <c r="V21" s="19" t="n">
        <f aca="false">IF(Time!V8=Inputs!$F$15,Reserves!V7,0)</f>
        <v>0</v>
      </c>
      <c r="W21" s="19" t="n">
        <f aca="false">IF(Time!W8=Inputs!$F$15,Reserves!W7,0)</f>
        <v>0</v>
      </c>
      <c r="X21" s="19" t="n">
        <f aca="false">IF(Time!X8=Inputs!$F$15,Reserves!X7,0)</f>
        <v>0</v>
      </c>
      <c r="Y21" s="19" t="n">
        <f aca="false">IF(Time!Y8=Inputs!$F$15,Reserves!Y7,0)</f>
        <v>13.887642147287</v>
      </c>
      <c r="Z21" s="19" t="n">
        <f aca="false">IF(Time!Z8=Inputs!$F$15,Reserves!Z7,0)</f>
        <v>0</v>
      </c>
      <c r="AA21" s="19" t="n">
        <f aca="false">IF(Time!AA8=Inputs!$F$15,Reserves!AA7,0)</f>
        <v>0</v>
      </c>
      <c r="AB21" s="19" t="n">
        <f aca="false">IF(Time!AB8=Inputs!$F$15,Reserves!AB7,0)</f>
        <v>0</v>
      </c>
      <c r="AC21" s="19" t="n">
        <f aca="false">IF(Time!AC8=Inputs!$F$15,Reserves!AC7,0)</f>
        <v>0</v>
      </c>
      <c r="AD21" s="19" t="n">
        <f aca="false">IF(Time!AD8=Inputs!$F$15,Reserves!AD7,0)</f>
        <v>0</v>
      </c>
      <c r="AE21" s="19" t="n">
        <f aca="false">IF(Time!AE8=Inputs!$F$15,Reserves!AE7,0)</f>
        <v>0</v>
      </c>
      <c r="AF21" s="19" t="n">
        <f aca="false">IF(Time!AF8=Inputs!$F$15,Reserves!AF7,0)</f>
        <v>0</v>
      </c>
      <c r="AG21" s="19" t="n">
        <f aca="false">IF(Time!AG8=Inputs!$F$15,Reserves!AG7,0)</f>
        <v>0</v>
      </c>
      <c r="AH21" s="19" t="n">
        <f aca="false">IF(Time!AH8=Inputs!$F$15,Reserves!AH7,0)</f>
        <v>0</v>
      </c>
      <c r="AI21" s="19" t="n">
        <f aca="false">IF(Time!AI8=Inputs!$F$15,Reserves!AI7,0)</f>
        <v>0</v>
      </c>
      <c r="AJ21" s="19" t="n">
        <f aca="false">IF(Time!AJ8=Inputs!$F$15,Reserves!AJ7,0)</f>
        <v>0</v>
      </c>
      <c r="AK21" s="19" t="n">
        <f aca="false">IF(Time!AK8=Inputs!$F$15,Reserves!AK7,0)</f>
        <v>0</v>
      </c>
      <c r="AL21" s="19" t="n">
        <f aca="false">IF(Time!AL8=Inputs!$F$15,Reserves!AL7,0)</f>
        <v>0</v>
      </c>
      <c r="AM21" s="19" t="n">
        <f aca="false">IF(Time!AM8=Inputs!$F$15,Reserves!AM7,0)</f>
        <v>0</v>
      </c>
      <c r="AN21" s="19" t="n">
        <f aca="false">IF(Time!AN8=Inputs!$F$15,Reserves!AN7,0)</f>
        <v>0</v>
      </c>
      <c r="AO21" s="19" t="n">
        <f aca="false">IF(Time!AO8=Inputs!$F$15,Reserves!AO7,0)</f>
        <v>0</v>
      </c>
      <c r="AP21" s="19" t="n">
        <f aca="false">IF(Time!AP8=Inputs!$F$15,Reserves!AP7,0)</f>
        <v>0</v>
      </c>
      <c r="AQ21" s="19" t="n">
        <f aca="false">IF(Time!AQ8=Inputs!$F$15,Reserves!AQ7,0)</f>
        <v>0</v>
      </c>
      <c r="AR21" s="19" t="n">
        <f aca="false">IF(Time!AR8=Inputs!$F$15,Reserves!AR7,0)</f>
        <v>0</v>
      </c>
      <c r="AS21" s="19" t="n">
        <f aca="false">IF(Time!AS8=Inputs!$F$15,Reserves!AS7,0)</f>
        <v>0</v>
      </c>
      <c r="AT21" s="19" t="n">
        <f aca="false">IF(Time!AT8=Inputs!$F$15,Reserves!AT7,0)</f>
        <v>0</v>
      </c>
      <c r="AU21" s="19" t="n">
        <f aca="false">IF(Time!AU8=Inputs!$F$15,Reserves!AU7,0)</f>
        <v>0</v>
      </c>
      <c r="AV21" s="19" t="n">
        <f aca="false">IF(Time!AV8=Inputs!$F$15,Reserves!AV7,0)</f>
        <v>0</v>
      </c>
      <c r="AW21" s="19" t="n">
        <f aca="false">IF(Time!AW8=Inputs!$F$15,Reserves!AW7,0)</f>
        <v>0</v>
      </c>
      <c r="AX21" s="19" t="n">
        <f aca="false">IF(Time!AX8=Inputs!$F$15,Reserves!AX7,0)</f>
        <v>0</v>
      </c>
      <c r="AY21" s="19" t="n">
        <f aca="false">IF(Time!AY8=Inputs!$F$15,Reserves!AY7,0)</f>
        <v>0</v>
      </c>
      <c r="AZ21" s="19" t="n">
        <f aca="false">IF(Time!AZ8=Inputs!$F$15,Reserves!AZ7,0)</f>
        <v>0</v>
      </c>
      <c r="BA21" s="19" t="n">
        <f aca="false">IF(Time!BA8=Inputs!$F$15,Reserves!BA7,0)</f>
        <v>0</v>
      </c>
      <c r="BB21" s="19" t="n">
        <f aca="false">IF(Time!BB8=Inputs!$F$15,Reserves!BB7,0)</f>
        <v>0</v>
      </c>
      <c r="BC21" s="19" t="n">
        <f aca="false">IF(Time!BC8=Inputs!$F$15,Reserves!BC7,0)</f>
        <v>0</v>
      </c>
      <c r="BD21" s="19" t="n">
        <f aca="false">IF(Time!BD8=Inputs!$F$15,Reserves!BD7,0)</f>
        <v>0</v>
      </c>
      <c r="BE21" s="19" t="n">
        <f aca="false">IF(Time!BE8=Inputs!$F$15,Reserves!BE7,0)</f>
        <v>0</v>
      </c>
      <c r="BF21" s="19" t="n">
        <f aca="false">IF(Time!BF8=Inputs!$F$15,Reserves!BF7,0)</f>
        <v>0</v>
      </c>
      <c r="BG21" s="19" t="n">
        <f aca="false">IF(Time!BG8=Inputs!$F$15,Reserves!BG7,0)</f>
        <v>0</v>
      </c>
      <c r="BH21" s="19" t="n">
        <f aca="false">IF(Time!BH8=Inputs!$F$15,Reserves!BH7,0)</f>
        <v>0</v>
      </c>
      <c r="BI21" s="19" t="n">
        <f aca="false">IF(Time!BI8=Inputs!$F$15,Reserves!BI7,0)</f>
        <v>0</v>
      </c>
      <c r="BJ21" s="19" t="n">
        <f aca="false">IF(Time!BJ8=Inputs!$F$15,Reserves!BJ7,0)</f>
        <v>0</v>
      </c>
      <c r="BK21" s="19" t="n">
        <f aca="false">IF(Time!BK8=Inputs!$F$15,Reserves!BK7,0)</f>
        <v>0</v>
      </c>
      <c r="BL21" s="19" t="n">
        <f aca="false">IF(Time!BL8=Inputs!$F$15,Reserves!BL7,0)</f>
        <v>0</v>
      </c>
      <c r="BM21" s="19" t="n">
        <f aca="false">IF(Time!BM8=Inputs!$F$15,Reserves!BM7,0)</f>
        <v>0</v>
      </c>
      <c r="BN21" s="19" t="n">
        <f aca="false">IF(Time!BN8=Inputs!$F$15,Reserves!BN7,0)</f>
        <v>0</v>
      </c>
      <c r="BO21" s="19" t="n">
        <f aca="false">IF(Time!BO8=Inputs!$F$15,Reserves!BO7,0)</f>
        <v>0</v>
      </c>
      <c r="BP21" s="19" t="n">
        <f aca="false">IF(Time!BP8=Inputs!$F$15,Reserves!BP7,0)</f>
        <v>0</v>
      </c>
      <c r="BQ21" s="19" t="n">
        <f aca="false">IF(Time!BQ8=Inputs!$F$15,Reserves!BQ7,0)</f>
        <v>0</v>
      </c>
      <c r="BR21" s="19" t="n">
        <f aca="false">IF(Time!BR8=Inputs!$F$15,Reserves!BR7,0)</f>
        <v>0</v>
      </c>
      <c r="BS21" s="19" t="n">
        <f aca="false">IF(Time!BS8=Inputs!$F$15,Reserves!BS7,0)</f>
        <v>0</v>
      </c>
      <c r="BT21" s="19" t="n">
        <f aca="false">IF(Time!BT8=Inputs!$F$15,Reserves!BT7,0)</f>
        <v>0</v>
      </c>
      <c r="BU21" s="19" t="n">
        <f aca="false">IF(Time!BU8=Inputs!$F$15,Reserves!BU7,0)</f>
        <v>0</v>
      </c>
      <c r="BV21" s="19" t="n">
        <f aca="false">IF(Time!BV8=Inputs!$F$15,Reserves!BV7,0)</f>
        <v>0</v>
      </c>
      <c r="BW21" s="19" t="n">
        <f aca="false">IF(Time!BW8=Inputs!$F$15,Reserves!BW7,0)</f>
        <v>0</v>
      </c>
      <c r="BX21" s="19" t="n">
        <f aca="false">IF(Time!BX8=Inputs!$F$15,Reserves!BX7,0)</f>
        <v>0</v>
      </c>
      <c r="BY21" s="19" t="n">
        <f aca="false">IF(Time!BY8=Inputs!$F$15,Reserves!BY7,0)</f>
        <v>0</v>
      </c>
      <c r="BZ21" s="19" t="n">
        <f aca="false">IF(Time!BZ8=Inputs!$F$15,Reserves!BZ7,0)</f>
        <v>0</v>
      </c>
      <c r="CA21" s="19" t="n">
        <f aca="false">IF(Time!CA8=Inputs!$F$15,Reserves!CA7,0)</f>
        <v>0</v>
      </c>
      <c r="CB21" s="19" t="n">
        <f aca="false">IF(Time!CB8=Inputs!$F$15,Reserves!CB7,0)</f>
        <v>0</v>
      </c>
      <c r="CC21" s="19" t="n">
        <f aca="false">IF(Time!CC8=Inputs!$F$15,Reserves!CC7,0)</f>
        <v>0</v>
      </c>
      <c r="CD21" s="19" t="n">
        <f aca="false">IF(Time!CD8=Inputs!$F$15,Reserves!CD7,0)</f>
        <v>0</v>
      </c>
      <c r="CE21" s="19" t="n">
        <f aca="false">IF(Time!CE8=Inputs!$F$15,Reserves!CE7,0)</f>
        <v>0</v>
      </c>
      <c r="CF21" s="19" t="n">
        <f aca="false">IF(Time!CF8=Inputs!$F$15,Reserves!CF7,0)</f>
        <v>0</v>
      </c>
      <c r="CG21" s="19" t="n">
        <f aca="false">IF(Time!CG8=Inputs!$F$15,Reserves!CG7,0)</f>
        <v>0</v>
      </c>
      <c r="CH21" s="19" t="n">
        <f aca="false">IF(Time!CH8=Inputs!$F$15,Reserves!CH7,0)</f>
        <v>0</v>
      </c>
      <c r="CI21" s="19" t="n">
        <f aca="false">IF(Time!CI8=Inputs!$F$15,Reserves!CI7,0)</f>
        <v>0</v>
      </c>
      <c r="CJ21" s="19" t="n">
        <f aca="false">IF(Time!CJ8=Inputs!$F$15,Reserves!CJ7,0)</f>
        <v>0</v>
      </c>
      <c r="CK21" s="19" t="n">
        <f aca="false">IF(Time!CK8=Inputs!$F$15,Reserves!CK7,0)</f>
        <v>0</v>
      </c>
      <c r="CL21" s="19" t="n">
        <f aca="false">IF(Time!CL8=Inputs!$F$15,Reserves!CL7,0)</f>
        <v>0</v>
      </c>
      <c r="CM21" s="19" t="n">
        <f aca="false">IF(Time!CM8=Inputs!$F$15,Reserves!CM7,0)</f>
        <v>0</v>
      </c>
      <c r="CN21" s="19" t="n">
        <f aca="false">IF(Time!CN8=Inputs!$F$15,Reserves!CN7,0)</f>
        <v>0</v>
      </c>
      <c r="CO21" s="19" t="n">
        <f aca="false">IF(Time!CO8=Inputs!$F$15,Reserves!CO7,0)</f>
        <v>0</v>
      </c>
      <c r="CP21" s="19" t="n">
        <f aca="false">IF(Time!CP8=Inputs!$F$15,Reserves!CP7,0)</f>
        <v>0</v>
      </c>
      <c r="CQ21" s="19" t="n">
        <f aca="false">IF(Time!CQ8=Inputs!$F$15,Reserves!CQ7,0)</f>
        <v>0</v>
      </c>
      <c r="CR21" s="19" t="n">
        <f aca="false">IF(Time!CR8=Inputs!$F$15,Reserves!CR7,0)</f>
        <v>0</v>
      </c>
      <c r="CS21" s="19" t="n">
        <f aca="false">IF(Time!CS8=Inputs!$F$15,Reserves!CS7,0)</f>
        <v>0</v>
      </c>
      <c r="CT21" s="19" t="n">
        <f aca="false">IF(Time!CT8=Inputs!$F$15,Reserves!CT7,0)</f>
        <v>0</v>
      </c>
      <c r="CU21" s="19" t="n">
        <f aca="false">IF(Time!CU8=Inputs!$F$15,Reserves!CU7,0)</f>
        <v>0</v>
      </c>
      <c r="CV21" s="19" t="n">
        <f aca="false">IF(Time!CV8=Inputs!$F$15,Reserves!CV7,0)</f>
        <v>0</v>
      </c>
      <c r="CW21" s="19" t="n">
        <f aca="false">IF(Time!CW8=Inputs!$F$15,Reserves!CW7,0)</f>
        <v>0</v>
      </c>
      <c r="CX21" s="19" t="n">
        <f aca="false">IF(Time!CX8=Inputs!$F$15,Reserves!CX7,0)</f>
        <v>0</v>
      </c>
      <c r="CY21" s="19" t="n">
        <f aca="false">IF(Time!CY8=Inputs!$F$15,Reserves!CY7,0)</f>
        <v>0</v>
      </c>
      <c r="CZ21" s="19" t="n">
        <f aca="false">IF(Time!CZ8=Inputs!$F$15,Reserves!CZ7,0)</f>
        <v>0</v>
      </c>
      <c r="DA21" s="19" t="n">
        <f aca="false">IF(Time!DA8=Inputs!$F$15,Reserves!DA7,0)</f>
        <v>0</v>
      </c>
      <c r="DB21" s="19" t="n">
        <f aca="false">IF(Time!DB8=Inputs!$F$15,Reserves!DB7,0)</f>
        <v>0</v>
      </c>
    </row>
    <row r="22" customFormat="false" ht="15" hidden="false" customHeight="false" outlineLevel="0" collapsed="false">
      <c r="D22" s="0" t="s">
        <v>451</v>
      </c>
      <c r="E22" s="0" t="s">
        <v>44</v>
      </c>
      <c r="G22" s="19" t="n">
        <f aca="false">SUM(J22:DB22)</f>
        <v>20.2259264458606</v>
      </c>
      <c r="J22" s="19" t="n">
        <f aca="false">IF(Time!J8=Inputs!$F$15,SUM(Debt!$J$39:$DB$39),0)</f>
        <v>0</v>
      </c>
      <c r="K22" s="19" t="n">
        <f aca="false">IF(Time!K8=Inputs!$F$15,SUM(Debt!$J$39:$DB$39),0)</f>
        <v>0</v>
      </c>
      <c r="L22" s="19" t="n">
        <f aca="false">IF(Time!L8=Inputs!$F$15,SUM(Debt!$J$39:$DB$39),0)</f>
        <v>0</v>
      </c>
      <c r="M22" s="19" t="n">
        <f aca="false">IF(Time!M8=Inputs!$F$15,SUM(Debt!$J$39:$DB$39),0)</f>
        <v>0</v>
      </c>
      <c r="N22" s="19" t="n">
        <f aca="false">IF(Time!N8=Inputs!$F$15,SUM(Debt!$J$39:$DB$39),0)</f>
        <v>0</v>
      </c>
      <c r="O22" s="19" t="n">
        <f aca="false">IF(Time!O8=Inputs!$F$15,SUM(Debt!$J$39:$DB$39),0)</f>
        <v>0</v>
      </c>
      <c r="P22" s="19" t="n">
        <f aca="false">IF(Time!P8=Inputs!$F$15,SUM(Debt!$J$39:$DB$39),0)</f>
        <v>0</v>
      </c>
      <c r="Q22" s="19" t="n">
        <f aca="false">IF(Time!Q8=Inputs!$F$15,SUM(Debt!$J$39:$DB$39),0)</f>
        <v>0</v>
      </c>
      <c r="R22" s="19" t="n">
        <f aca="false">IF(Time!R8=Inputs!$F$15,SUM(Debt!$J$39:$DB$39),0)</f>
        <v>0</v>
      </c>
      <c r="S22" s="19" t="n">
        <f aca="false">IF(Time!S8=Inputs!$F$15,SUM(Debt!$J$39:$DB$39),0)</f>
        <v>0</v>
      </c>
      <c r="T22" s="19" t="n">
        <f aca="false">IF(Time!T8=Inputs!$F$15,SUM(Debt!$J$39:$DB$39),0)</f>
        <v>0</v>
      </c>
      <c r="U22" s="19" t="n">
        <f aca="false">IF(Time!U8=Inputs!$F$15,SUM(Debt!$J$39:$DB$39),0)</f>
        <v>0</v>
      </c>
      <c r="V22" s="19" t="n">
        <f aca="false">IF(Time!V8=Inputs!$F$15,SUM(Debt!$J$39:$DB$39),0)</f>
        <v>0</v>
      </c>
      <c r="W22" s="19" t="n">
        <f aca="false">IF(Time!W8=Inputs!$F$15,SUM(Debt!$J$39:$DB$39),0)</f>
        <v>0</v>
      </c>
      <c r="X22" s="19" t="n">
        <f aca="false">IF(Time!X8=Inputs!$F$15,SUM(Debt!$J$39:$DB$39),0)</f>
        <v>0</v>
      </c>
      <c r="Y22" s="19" t="n">
        <f aca="false">IF(Time!Y8=Inputs!$F$15,SUM(Debt!$J$39:$DB$39),0)</f>
        <v>20.2259264458606</v>
      </c>
      <c r="Z22" s="19" t="n">
        <f aca="false">IF(Time!Z8=Inputs!$F$15,SUM(Debt!$J$39:$DB$39),0)</f>
        <v>0</v>
      </c>
      <c r="AA22" s="19" t="n">
        <f aca="false">IF(Time!AA8=Inputs!$F$15,SUM(Debt!$J$39:$DB$39),0)</f>
        <v>0</v>
      </c>
      <c r="AB22" s="19" t="n">
        <f aca="false">IF(Time!AB8=Inputs!$F$15,SUM(Debt!$J$39:$DB$39),0)</f>
        <v>0</v>
      </c>
      <c r="AC22" s="19" t="n">
        <f aca="false">IF(Time!AC8=Inputs!$F$15,SUM(Debt!$J$39:$DB$39),0)</f>
        <v>0</v>
      </c>
      <c r="AD22" s="19" t="n">
        <f aca="false">IF(Time!AD8=Inputs!$F$15,SUM(Debt!$J$39:$DB$39),0)</f>
        <v>0</v>
      </c>
      <c r="AE22" s="19" t="n">
        <f aca="false">IF(Time!AE8=Inputs!$F$15,SUM(Debt!$J$39:$DB$39),0)</f>
        <v>0</v>
      </c>
      <c r="AF22" s="19" t="n">
        <f aca="false">IF(Time!AF8=Inputs!$F$15,SUM(Debt!$J$39:$DB$39),0)</f>
        <v>0</v>
      </c>
      <c r="AG22" s="19" t="n">
        <f aca="false">IF(Time!AG8=Inputs!$F$15,SUM(Debt!$J$39:$DB$39),0)</f>
        <v>0</v>
      </c>
      <c r="AH22" s="19" t="n">
        <f aca="false">IF(Time!AH8=Inputs!$F$15,SUM(Debt!$J$39:$DB$39),0)</f>
        <v>0</v>
      </c>
      <c r="AI22" s="19" t="n">
        <f aca="false">IF(Time!AI8=Inputs!$F$15,SUM(Debt!$J$39:$DB$39),0)</f>
        <v>0</v>
      </c>
      <c r="AJ22" s="19" t="n">
        <f aca="false">IF(Time!AJ8=Inputs!$F$15,SUM(Debt!$J$39:$DB$39),0)</f>
        <v>0</v>
      </c>
      <c r="AK22" s="19" t="n">
        <f aca="false">IF(Time!AK8=Inputs!$F$15,SUM(Debt!$J$39:$DB$39),0)</f>
        <v>0</v>
      </c>
      <c r="AL22" s="19" t="n">
        <f aca="false">IF(Time!AL8=Inputs!$F$15,SUM(Debt!$J$39:$DB$39),0)</f>
        <v>0</v>
      </c>
      <c r="AM22" s="19" t="n">
        <f aca="false">IF(Time!AM8=Inputs!$F$15,SUM(Debt!$J$39:$DB$39),0)</f>
        <v>0</v>
      </c>
      <c r="AN22" s="19" t="n">
        <f aca="false">IF(Time!AN8=Inputs!$F$15,SUM(Debt!$J$39:$DB$39),0)</f>
        <v>0</v>
      </c>
      <c r="AO22" s="19" t="n">
        <f aca="false">IF(Time!AO8=Inputs!$F$15,SUM(Debt!$J$39:$DB$39),0)</f>
        <v>0</v>
      </c>
      <c r="AP22" s="19" t="n">
        <f aca="false">IF(Time!AP8=Inputs!$F$15,SUM(Debt!$J$39:$DB$39),0)</f>
        <v>0</v>
      </c>
      <c r="AQ22" s="19" t="n">
        <f aca="false">IF(Time!AQ8=Inputs!$F$15,SUM(Debt!$J$39:$DB$39),0)</f>
        <v>0</v>
      </c>
      <c r="AR22" s="19" t="n">
        <f aca="false">IF(Time!AR8=Inputs!$F$15,SUM(Debt!$J$39:$DB$39),0)</f>
        <v>0</v>
      </c>
      <c r="AS22" s="19" t="n">
        <f aca="false">IF(Time!AS8=Inputs!$F$15,SUM(Debt!$J$39:$DB$39),0)</f>
        <v>0</v>
      </c>
      <c r="AT22" s="19" t="n">
        <f aca="false">IF(Time!AT8=Inputs!$F$15,SUM(Debt!$J$39:$DB$39),0)</f>
        <v>0</v>
      </c>
      <c r="AU22" s="19" t="n">
        <f aca="false">IF(Time!AU8=Inputs!$F$15,SUM(Debt!$J$39:$DB$39),0)</f>
        <v>0</v>
      </c>
      <c r="AV22" s="19" t="n">
        <f aca="false">IF(Time!AV8=Inputs!$F$15,SUM(Debt!$J$39:$DB$39),0)</f>
        <v>0</v>
      </c>
      <c r="AW22" s="19" t="n">
        <f aca="false">IF(Time!AW8=Inputs!$F$15,SUM(Debt!$J$39:$DB$39),0)</f>
        <v>0</v>
      </c>
      <c r="AX22" s="19" t="n">
        <f aca="false">IF(Time!AX8=Inputs!$F$15,SUM(Debt!$J$39:$DB$39),0)</f>
        <v>0</v>
      </c>
      <c r="AY22" s="19" t="n">
        <f aca="false">IF(Time!AY8=Inputs!$F$15,SUM(Debt!$J$39:$DB$39),0)</f>
        <v>0</v>
      </c>
      <c r="AZ22" s="19" t="n">
        <f aca="false">IF(Time!AZ8=Inputs!$F$15,SUM(Debt!$J$39:$DB$39),0)</f>
        <v>0</v>
      </c>
      <c r="BA22" s="19" t="n">
        <f aca="false">IF(Time!BA8=Inputs!$F$15,SUM(Debt!$J$39:$DB$39),0)</f>
        <v>0</v>
      </c>
      <c r="BB22" s="19" t="n">
        <f aca="false">IF(Time!BB8=Inputs!$F$15,SUM(Debt!$J$39:$DB$39),0)</f>
        <v>0</v>
      </c>
      <c r="BC22" s="19" t="n">
        <f aca="false">IF(Time!BC8=Inputs!$F$15,SUM(Debt!$J$39:$DB$39),0)</f>
        <v>0</v>
      </c>
      <c r="BD22" s="19" t="n">
        <f aca="false">IF(Time!BD8=Inputs!$F$15,SUM(Debt!$J$39:$DB$39),0)</f>
        <v>0</v>
      </c>
      <c r="BE22" s="19" t="n">
        <f aca="false">IF(Time!BE8=Inputs!$F$15,SUM(Debt!$J$39:$DB$39),0)</f>
        <v>0</v>
      </c>
      <c r="BF22" s="19" t="n">
        <f aca="false">IF(Time!BF8=Inputs!$F$15,SUM(Debt!$J$39:$DB$39),0)</f>
        <v>0</v>
      </c>
      <c r="BG22" s="19" t="n">
        <f aca="false">IF(Time!BG8=Inputs!$F$15,SUM(Debt!$J$39:$DB$39),0)</f>
        <v>0</v>
      </c>
      <c r="BH22" s="19" t="n">
        <f aca="false">IF(Time!BH8=Inputs!$F$15,SUM(Debt!$J$39:$DB$39),0)</f>
        <v>0</v>
      </c>
      <c r="BI22" s="19" t="n">
        <f aca="false">IF(Time!BI8=Inputs!$F$15,SUM(Debt!$J$39:$DB$39),0)</f>
        <v>0</v>
      </c>
      <c r="BJ22" s="19" t="n">
        <f aca="false">IF(Time!BJ8=Inputs!$F$15,SUM(Debt!$J$39:$DB$39),0)</f>
        <v>0</v>
      </c>
      <c r="BK22" s="19" t="n">
        <f aca="false">IF(Time!BK8=Inputs!$F$15,SUM(Debt!$J$39:$DB$39),0)</f>
        <v>0</v>
      </c>
      <c r="BL22" s="19" t="n">
        <f aca="false">IF(Time!BL8=Inputs!$F$15,SUM(Debt!$J$39:$DB$39),0)</f>
        <v>0</v>
      </c>
      <c r="BM22" s="19" t="n">
        <f aca="false">IF(Time!BM8=Inputs!$F$15,SUM(Debt!$J$39:$DB$39),0)</f>
        <v>0</v>
      </c>
      <c r="BN22" s="19" t="n">
        <f aca="false">IF(Time!BN8=Inputs!$F$15,SUM(Debt!$J$39:$DB$39),0)</f>
        <v>0</v>
      </c>
      <c r="BO22" s="19" t="n">
        <f aca="false">IF(Time!BO8=Inputs!$F$15,SUM(Debt!$J$39:$DB$39),0)</f>
        <v>0</v>
      </c>
      <c r="BP22" s="19" t="n">
        <f aca="false">IF(Time!BP8=Inputs!$F$15,SUM(Debt!$J$39:$DB$39),0)</f>
        <v>0</v>
      </c>
      <c r="BQ22" s="19" t="n">
        <f aca="false">IF(Time!BQ8=Inputs!$F$15,SUM(Debt!$J$39:$DB$39),0)</f>
        <v>0</v>
      </c>
      <c r="BR22" s="19" t="n">
        <f aca="false">IF(Time!BR8=Inputs!$F$15,SUM(Debt!$J$39:$DB$39),0)</f>
        <v>0</v>
      </c>
      <c r="BS22" s="19" t="n">
        <f aca="false">IF(Time!BS8=Inputs!$F$15,SUM(Debt!$J$39:$DB$39),0)</f>
        <v>0</v>
      </c>
      <c r="BT22" s="19" t="n">
        <f aca="false">IF(Time!BT8=Inputs!$F$15,SUM(Debt!$J$39:$DB$39),0)</f>
        <v>0</v>
      </c>
      <c r="BU22" s="19" t="n">
        <f aca="false">IF(Time!BU8=Inputs!$F$15,SUM(Debt!$J$39:$DB$39),0)</f>
        <v>0</v>
      </c>
      <c r="BV22" s="19" t="n">
        <f aca="false">IF(Time!BV8=Inputs!$F$15,SUM(Debt!$J$39:$DB$39),0)</f>
        <v>0</v>
      </c>
      <c r="BW22" s="19" t="n">
        <f aca="false">IF(Time!BW8=Inputs!$F$15,SUM(Debt!$J$39:$DB$39),0)</f>
        <v>0</v>
      </c>
      <c r="BX22" s="19" t="n">
        <f aca="false">IF(Time!BX8=Inputs!$F$15,SUM(Debt!$J$39:$DB$39),0)</f>
        <v>0</v>
      </c>
      <c r="BY22" s="19" t="n">
        <f aca="false">IF(Time!BY8=Inputs!$F$15,SUM(Debt!$J$39:$DB$39),0)</f>
        <v>0</v>
      </c>
      <c r="BZ22" s="19" t="n">
        <f aca="false">IF(Time!BZ8=Inputs!$F$15,SUM(Debt!$J$39:$DB$39),0)</f>
        <v>0</v>
      </c>
      <c r="CA22" s="19" t="n">
        <f aca="false">IF(Time!CA8=Inputs!$F$15,SUM(Debt!$J$39:$DB$39),0)</f>
        <v>0</v>
      </c>
      <c r="CB22" s="19" t="n">
        <f aca="false">IF(Time!CB8=Inputs!$F$15,SUM(Debt!$J$39:$DB$39),0)</f>
        <v>0</v>
      </c>
      <c r="CC22" s="19" t="n">
        <f aca="false">IF(Time!CC8=Inputs!$F$15,SUM(Debt!$J$39:$DB$39),0)</f>
        <v>0</v>
      </c>
      <c r="CD22" s="19" t="n">
        <f aca="false">IF(Time!CD8=Inputs!$F$15,SUM(Debt!$J$39:$DB$39),0)</f>
        <v>0</v>
      </c>
      <c r="CE22" s="19" t="n">
        <f aca="false">IF(Time!CE8=Inputs!$F$15,SUM(Debt!$J$39:$DB$39),0)</f>
        <v>0</v>
      </c>
      <c r="CF22" s="19" t="n">
        <f aca="false">IF(Time!CF8=Inputs!$F$15,SUM(Debt!$J$39:$DB$39),0)</f>
        <v>0</v>
      </c>
      <c r="CG22" s="19" t="n">
        <f aca="false">IF(Time!CG8=Inputs!$F$15,SUM(Debt!$J$39:$DB$39),0)</f>
        <v>0</v>
      </c>
      <c r="CH22" s="19" t="n">
        <f aca="false">IF(Time!CH8=Inputs!$F$15,SUM(Debt!$J$39:$DB$39),0)</f>
        <v>0</v>
      </c>
      <c r="CI22" s="19" t="n">
        <f aca="false">IF(Time!CI8=Inputs!$F$15,SUM(Debt!$J$39:$DB$39),0)</f>
        <v>0</v>
      </c>
      <c r="CJ22" s="19" t="n">
        <f aca="false">IF(Time!CJ8=Inputs!$F$15,SUM(Debt!$J$39:$DB$39),0)</f>
        <v>0</v>
      </c>
      <c r="CK22" s="19" t="n">
        <f aca="false">IF(Time!CK8=Inputs!$F$15,SUM(Debt!$J$39:$DB$39),0)</f>
        <v>0</v>
      </c>
      <c r="CL22" s="19" t="n">
        <f aca="false">IF(Time!CL8=Inputs!$F$15,SUM(Debt!$J$39:$DB$39),0)</f>
        <v>0</v>
      </c>
      <c r="CM22" s="19" t="n">
        <f aca="false">IF(Time!CM8=Inputs!$F$15,SUM(Debt!$J$39:$DB$39),0)</f>
        <v>0</v>
      </c>
      <c r="CN22" s="19" t="n">
        <f aca="false">IF(Time!CN8=Inputs!$F$15,SUM(Debt!$J$39:$DB$39),0)</f>
        <v>0</v>
      </c>
      <c r="CO22" s="19" t="n">
        <f aca="false">IF(Time!CO8=Inputs!$F$15,SUM(Debt!$J$39:$DB$39),0)</f>
        <v>0</v>
      </c>
      <c r="CP22" s="19" t="n">
        <f aca="false">IF(Time!CP8=Inputs!$F$15,SUM(Debt!$J$39:$DB$39),0)</f>
        <v>0</v>
      </c>
      <c r="CQ22" s="19" t="n">
        <f aca="false">IF(Time!CQ8=Inputs!$F$15,SUM(Debt!$J$39:$DB$39),0)</f>
        <v>0</v>
      </c>
      <c r="CR22" s="19" t="n">
        <f aca="false">IF(Time!CR8=Inputs!$F$15,SUM(Debt!$J$39:$DB$39),0)</f>
        <v>0</v>
      </c>
      <c r="CS22" s="19" t="n">
        <f aca="false">IF(Time!CS8=Inputs!$F$15,SUM(Debt!$J$39:$DB$39),0)</f>
        <v>0</v>
      </c>
      <c r="CT22" s="19" t="n">
        <f aca="false">IF(Time!CT8=Inputs!$F$15,SUM(Debt!$J$39:$DB$39),0)</f>
        <v>0</v>
      </c>
      <c r="CU22" s="19" t="n">
        <f aca="false">IF(Time!CU8=Inputs!$F$15,SUM(Debt!$J$39:$DB$39),0)</f>
        <v>0</v>
      </c>
      <c r="CV22" s="19" t="n">
        <f aca="false">IF(Time!CV8=Inputs!$F$15,SUM(Debt!$J$39:$DB$39),0)</f>
        <v>0</v>
      </c>
      <c r="CW22" s="19" t="n">
        <f aca="false">IF(Time!CW8=Inputs!$F$15,SUM(Debt!$J$39:$DB$39),0)</f>
        <v>0</v>
      </c>
      <c r="CX22" s="19" t="n">
        <f aca="false">IF(Time!CX8=Inputs!$F$15,SUM(Debt!$J$39:$DB$39),0)</f>
        <v>0</v>
      </c>
      <c r="CY22" s="19" t="n">
        <f aca="false">IF(Time!CY8=Inputs!$F$15,SUM(Debt!$J$39:$DB$39),0)</f>
        <v>0</v>
      </c>
      <c r="CZ22" s="19" t="n">
        <f aca="false">IF(Time!CZ8=Inputs!$F$15,SUM(Debt!$J$39:$DB$39),0)</f>
        <v>0</v>
      </c>
      <c r="DA22" s="19" t="n">
        <f aca="false">IF(Time!DA8=Inputs!$F$15,SUM(Debt!$J$39:$DB$39),0)</f>
        <v>0</v>
      </c>
      <c r="DB22" s="19" t="n">
        <f aca="false">IF(Time!DB8=Inputs!$F$15,SUM(Debt!$J$39:$DB$39),0)</f>
        <v>0</v>
      </c>
    </row>
    <row r="23" customFormat="false" ht="15" hidden="false" customHeight="false" outlineLevel="0" collapsed="false">
      <c r="D23" s="0" t="s">
        <v>452</v>
      </c>
      <c r="E23" s="0" t="s">
        <v>44</v>
      </c>
      <c r="G23" s="19" t="n">
        <f aca="false">SUM(J23:DB23)</f>
        <v>2013.38010914004</v>
      </c>
      <c r="J23" s="19" t="n">
        <f aca="false">(J9+J10+J11+J12+J13-J15+J19+J21+J22)*Time!J20</f>
        <v>73.4145412566294</v>
      </c>
      <c r="K23" s="19" t="n">
        <f aca="false">(K9+K10+K11+K12+K13-K15+K19+K21+K22)*Time!K20</f>
        <v>29.9664219279377</v>
      </c>
      <c r="L23" s="19" t="n">
        <f aca="false">(L9+L10+L11+L12+L13-L15+L19+L21+L22)*Time!L20</f>
        <v>61.4523492805693</v>
      </c>
      <c r="M23" s="19" t="n">
        <f aca="false">(M9+M10+M11+M12+M13-M15+M19+M21+M22)*Time!M20</f>
        <v>98.0736189975583</v>
      </c>
      <c r="N23" s="19" t="n">
        <f aca="false">(N9+N10+N11+N12+N13-N15+N19+N21+N22)*Time!N20</f>
        <v>134.193462181769</v>
      </c>
      <c r="O23" s="19" t="n">
        <f aca="false">(O9+O10+O11+O12+O13-O15+O19+O21+O22)*Time!O20</f>
        <v>165.369847705726</v>
      </c>
      <c r="P23" s="19" t="n">
        <f aca="false">(P9+P10+P11+P12+P13-P15+P19+P21+P22)*Time!P20</f>
        <v>188.884109945298</v>
      </c>
      <c r="Q23" s="19" t="n">
        <f aca="false">(Q9+Q10+Q11+Q12+Q13-Q15+Q19+Q21+Q22)*Time!Q20</f>
        <v>201.713998788137</v>
      </c>
      <c r="R23" s="19" t="n">
        <f aca="false">(R9+R10+R11+R12+R13-R15+R19+R21+R22)*Time!R20</f>
        <v>205.375782222655</v>
      </c>
      <c r="S23" s="19" t="n">
        <f aca="false">(S9+S10+S11+S12+S13-S15+S19+S21+S22)*Time!S20</f>
        <v>192.182476446307</v>
      </c>
      <c r="T23" s="19" t="n">
        <f aca="false">(T9+T10+T11+T12+T13-T15+T19+T21+T22)*Time!T20</f>
        <v>170.6470569484</v>
      </c>
      <c r="U23" s="19" t="n">
        <f aca="false">(U9+U10+U11+U12+U13-U15+U19+U21+U22)*Time!U20</f>
        <v>140.600587734176</v>
      </c>
      <c r="V23" s="19" t="n">
        <f aca="false">(V9+V10+V11+V12+V13-V15+V19+V21+V22)*Time!V20</f>
        <v>105.544840889742</v>
      </c>
      <c r="W23" s="19" t="n">
        <f aca="false">(W9+W10+W11+W12+W13-W15+W19+W21+W22)*Time!W20</f>
        <v>69.7631043446317</v>
      </c>
      <c r="X23" s="19" t="n">
        <f aca="false">(X9+X10+X11+X12+X13-X15+X19+X21+X22)*Time!X20</f>
        <v>38.7688301699588</v>
      </c>
      <c r="Y23" s="19" t="n">
        <f aca="false">(Y9+Y10+Y11+Y12+Y13-Y15+Y19+Y21+Y22)*Time!Y20</f>
        <v>137.429080300546</v>
      </c>
      <c r="Z23" s="19" t="n">
        <f aca="false">(Z9+Z10+Z11+Z12+Z13-Z15+Z19+Z21+Z22)*Time!Z20</f>
        <v>0</v>
      </c>
      <c r="AA23" s="19" t="n">
        <f aca="false">(AA9+AA10+AA11+AA12+AA13-AA15+AA19+AA21+AA22)*Time!AA20</f>
        <v>0</v>
      </c>
      <c r="AB23" s="19" t="n">
        <f aca="false">(AB9+AB10+AB11+AB12+AB13-AB15+AB19+AB21+AB22)*Time!AB20</f>
        <v>0</v>
      </c>
      <c r="AC23" s="19" t="n">
        <f aca="false">(AC9+AC10+AC11+AC12+AC13-AC15+AC19+AC21+AC22)*Time!AC20</f>
        <v>0</v>
      </c>
      <c r="AD23" s="19" t="n">
        <f aca="false">(AD9+AD10+AD11+AD12+AD13-AD15+AD19+AD21+AD22)*Time!AD20</f>
        <v>0</v>
      </c>
      <c r="AE23" s="19" t="n">
        <f aca="false">(AE9+AE10+AE11+AE12+AE13-AE15+AE19+AE21+AE22)*Time!AE20</f>
        <v>0</v>
      </c>
      <c r="AF23" s="19" t="n">
        <f aca="false">(AF9+AF10+AF11+AF12+AF13-AF15+AF19+AF21+AF22)*Time!AF20</f>
        <v>0</v>
      </c>
      <c r="AG23" s="19" t="n">
        <f aca="false">(AG9+AG10+AG11+AG12+AG13-AG15+AG19+AG21+AG22)*Time!AG20</f>
        <v>0</v>
      </c>
      <c r="AH23" s="19" t="n">
        <f aca="false">(AH9+AH10+AH11+AH12+AH13-AH15+AH19+AH21+AH22)*Time!AH20</f>
        <v>0</v>
      </c>
      <c r="AI23" s="19" t="n">
        <f aca="false">(AI9+AI10+AI11+AI12+AI13-AI15+AI19+AI21+AI22)*Time!AI20</f>
        <v>0</v>
      </c>
      <c r="AJ23" s="19" t="n">
        <f aca="false">(AJ9+AJ10+AJ11+AJ12+AJ13-AJ15+AJ19+AJ21+AJ22)*Time!AJ20</f>
        <v>0</v>
      </c>
      <c r="AK23" s="19" t="n">
        <f aca="false">(AK9+AK10+AK11+AK12+AK13-AK15+AK19+AK21+AK22)*Time!AK20</f>
        <v>0</v>
      </c>
      <c r="AL23" s="19" t="n">
        <f aca="false">(AL9+AL10+AL11+AL12+AL13-AL15+AL19+AL21+AL22)*Time!AL20</f>
        <v>0</v>
      </c>
      <c r="AM23" s="19" t="n">
        <f aca="false">(AM9+AM10+AM11+AM12+AM13-AM15+AM19+AM21+AM22)*Time!AM20</f>
        <v>0</v>
      </c>
      <c r="AN23" s="19" t="n">
        <f aca="false">(AN9+AN10+AN11+AN12+AN13-AN15+AN19+AN21+AN22)*Time!AN20</f>
        <v>0</v>
      </c>
      <c r="AO23" s="19" t="n">
        <f aca="false">(AO9+AO10+AO11+AO12+AO13-AO15+AO19+AO21+AO22)*Time!AO20</f>
        <v>0</v>
      </c>
      <c r="AP23" s="19" t="n">
        <f aca="false">(AP9+AP10+AP11+AP12+AP13-AP15+AP19+AP21+AP22)*Time!AP20</f>
        <v>0</v>
      </c>
      <c r="AQ23" s="19" t="n">
        <f aca="false">(AQ9+AQ10+AQ11+AQ12+AQ13-AQ15+AQ19+AQ21+AQ22)*Time!AQ20</f>
        <v>0</v>
      </c>
      <c r="AR23" s="19" t="n">
        <f aca="false">(AR9+AR10+AR11+AR12+AR13-AR15+AR19+AR21+AR22)*Time!AR20</f>
        <v>0</v>
      </c>
      <c r="AS23" s="19" t="n">
        <f aca="false">(AS9+AS10+AS11+AS12+AS13-AS15+AS19+AS21+AS22)*Time!AS20</f>
        <v>0</v>
      </c>
      <c r="AT23" s="19" t="n">
        <f aca="false">(AT9+AT10+AT11+AT12+AT13-AT15+AT19+AT21+AT22)*Time!AT20</f>
        <v>0</v>
      </c>
      <c r="AU23" s="19" t="n">
        <f aca="false">(AU9+AU10+AU11+AU12+AU13-AU15+AU19+AU21+AU22)*Time!AU20</f>
        <v>0</v>
      </c>
      <c r="AV23" s="19" t="n">
        <f aca="false">(AV9+AV10+AV11+AV12+AV13-AV15+AV19+AV21+AV22)*Time!AV20</f>
        <v>0</v>
      </c>
      <c r="AW23" s="19" t="n">
        <f aca="false">(AW9+AW10+AW11+AW12+AW13-AW15+AW19+AW21+AW22)*Time!AW20</f>
        <v>0</v>
      </c>
      <c r="AX23" s="19" t="n">
        <f aca="false">(AX9+AX10+AX11+AX12+AX13-AX15+AX19+AX21+AX22)*Time!AX20</f>
        <v>0</v>
      </c>
      <c r="AY23" s="19" t="n">
        <f aca="false">(AY9+AY10+AY11+AY12+AY13-AY15+AY19+AY21+AY22)*Time!AY20</f>
        <v>0</v>
      </c>
      <c r="AZ23" s="19" t="n">
        <f aca="false">(AZ9+AZ10+AZ11+AZ12+AZ13-AZ15+AZ19+AZ21+AZ22)*Time!AZ20</f>
        <v>0</v>
      </c>
      <c r="BA23" s="19" t="n">
        <f aca="false">(BA9+BA10+BA11+BA12+BA13-BA15+BA19+BA21+BA22)*Time!BA20</f>
        <v>0</v>
      </c>
      <c r="BB23" s="19" t="n">
        <f aca="false">(BB9+BB10+BB11+BB12+BB13-BB15+BB19+BB21+BB22)*Time!BB20</f>
        <v>0</v>
      </c>
      <c r="BC23" s="19" t="n">
        <f aca="false">(BC9+BC10+BC11+BC12+BC13-BC15+BC19+BC21+BC22)*Time!BC20</f>
        <v>0</v>
      </c>
      <c r="BD23" s="19" t="n">
        <f aca="false">(BD9+BD10+BD11+BD12+BD13-BD15+BD19+BD21+BD22)*Time!BD20</f>
        <v>0</v>
      </c>
      <c r="BE23" s="19" t="n">
        <f aca="false">(BE9+BE10+BE11+BE12+BE13-BE15+BE19+BE21+BE22)*Time!BE20</f>
        <v>0</v>
      </c>
      <c r="BF23" s="19" t="n">
        <f aca="false">(BF9+BF10+BF11+BF12+BF13-BF15+BF19+BF21+BF22)*Time!BF20</f>
        <v>0</v>
      </c>
      <c r="BG23" s="19" t="n">
        <f aca="false">(BG9+BG10+BG11+BG12+BG13-BG15+BG19+BG21+BG22)*Time!BG20</f>
        <v>0</v>
      </c>
      <c r="BH23" s="19" t="n">
        <f aca="false">(BH9+BH10+BH11+BH12+BH13-BH15+BH19+BH21+BH22)*Time!BH20</f>
        <v>0</v>
      </c>
      <c r="BI23" s="19" t="n">
        <f aca="false">(BI9+BI10+BI11+BI12+BI13-BI15+BI19+BI21+BI22)*Time!BI20</f>
        <v>0</v>
      </c>
      <c r="BJ23" s="19" t="n">
        <f aca="false">(BJ9+BJ10+BJ11+BJ12+BJ13-BJ15+BJ19+BJ21+BJ22)*Time!BJ20</f>
        <v>0</v>
      </c>
      <c r="BK23" s="19" t="n">
        <f aca="false">(BK9+BK10+BK11+BK12+BK13-BK15+BK19+BK21+BK22)*Time!BK20</f>
        <v>0</v>
      </c>
      <c r="BL23" s="19" t="n">
        <f aca="false">(BL9+BL10+BL11+BL12+BL13-BL15+BL19+BL21+BL22)*Time!BL20</f>
        <v>0</v>
      </c>
      <c r="BM23" s="19" t="n">
        <f aca="false">(BM9+BM10+BM11+BM12+BM13-BM15+BM19+BM21+BM22)*Time!BM20</f>
        <v>0</v>
      </c>
      <c r="BN23" s="19" t="n">
        <f aca="false">(BN9+BN10+BN11+BN12+BN13-BN15+BN19+BN21+BN22)*Time!BN20</f>
        <v>0</v>
      </c>
      <c r="BO23" s="19" t="n">
        <f aca="false">(BO9+BO10+BO11+BO12+BO13-BO15+BO19+BO21+BO22)*Time!BO20</f>
        <v>0</v>
      </c>
      <c r="BP23" s="19" t="n">
        <f aca="false">(BP9+BP10+BP11+BP12+BP13-BP15+BP19+BP21+BP22)*Time!BP20</f>
        <v>0</v>
      </c>
      <c r="BQ23" s="19" t="n">
        <f aca="false">(BQ9+BQ10+BQ11+BQ12+BQ13-BQ15+BQ19+BQ21+BQ22)*Time!BQ20</f>
        <v>0</v>
      </c>
      <c r="BR23" s="19" t="n">
        <f aca="false">(BR9+BR10+BR11+BR12+BR13-BR15+BR19+BR21+BR22)*Time!BR20</f>
        <v>0</v>
      </c>
      <c r="BS23" s="19" t="n">
        <f aca="false">(BS9+BS10+BS11+BS12+BS13-BS15+BS19+BS21+BS22)*Time!BS20</f>
        <v>0</v>
      </c>
      <c r="BT23" s="19" t="n">
        <f aca="false">(BT9+BT10+BT11+BT12+BT13-BT15+BT19+BT21+BT22)*Time!BT20</f>
        <v>0</v>
      </c>
      <c r="BU23" s="19" t="n">
        <f aca="false">(BU9+BU10+BU11+BU12+BU13-BU15+BU19+BU21+BU22)*Time!BU20</f>
        <v>0</v>
      </c>
      <c r="BV23" s="19" t="n">
        <f aca="false">(BV9+BV10+BV11+BV12+BV13-BV15+BV19+BV21+BV22)*Time!BV20</f>
        <v>0</v>
      </c>
      <c r="BW23" s="19" t="n">
        <f aca="false">(BW9+BW10+BW11+BW12+BW13-BW15+BW19+BW21+BW22)*Time!BW20</f>
        <v>0</v>
      </c>
      <c r="BX23" s="19" t="n">
        <f aca="false">(BX9+BX10+BX11+BX12+BX13-BX15+BX19+BX21+BX22)*Time!BX20</f>
        <v>0</v>
      </c>
      <c r="BY23" s="19" t="n">
        <f aca="false">(BY9+BY10+BY11+BY12+BY13-BY15+BY19+BY21+BY22)*Time!BY20</f>
        <v>0</v>
      </c>
      <c r="BZ23" s="19" t="n">
        <f aca="false">(BZ9+BZ10+BZ11+BZ12+BZ13-BZ15+BZ19+BZ21+BZ22)*Time!BZ20</f>
        <v>0</v>
      </c>
      <c r="CA23" s="19" t="n">
        <f aca="false">(CA9+CA10+CA11+CA12+CA13-CA15+CA19+CA21+CA22)*Time!CA20</f>
        <v>0</v>
      </c>
      <c r="CB23" s="19" t="n">
        <f aca="false">(CB9+CB10+CB11+CB12+CB13-CB15+CB19+CB21+CB22)*Time!CB20</f>
        <v>0</v>
      </c>
      <c r="CC23" s="19" t="n">
        <f aca="false">(CC9+CC10+CC11+CC12+CC13-CC15+CC19+CC21+CC22)*Time!CC20</f>
        <v>0</v>
      </c>
      <c r="CD23" s="19" t="n">
        <f aca="false">(CD9+CD10+CD11+CD12+CD13-CD15+CD19+CD21+CD22)*Time!CD20</f>
        <v>0</v>
      </c>
      <c r="CE23" s="19" t="n">
        <f aca="false">(CE9+CE10+CE11+CE12+CE13-CE15+CE19+CE21+CE22)*Time!CE20</f>
        <v>0</v>
      </c>
      <c r="CF23" s="19" t="n">
        <f aca="false">(CF9+CF10+CF11+CF12+CF13-CF15+CF19+CF21+CF22)*Time!CF20</f>
        <v>0</v>
      </c>
      <c r="CG23" s="19" t="n">
        <f aca="false">(CG9+CG10+CG11+CG12+CG13-CG15+CG19+CG21+CG22)*Time!CG20</f>
        <v>0</v>
      </c>
      <c r="CH23" s="19" t="n">
        <f aca="false">(CH9+CH10+CH11+CH12+CH13-CH15+CH19+CH21+CH22)*Time!CH20</f>
        <v>0</v>
      </c>
      <c r="CI23" s="19" t="n">
        <f aca="false">(CI9+CI10+CI11+CI12+CI13-CI15+CI19+CI21+CI22)*Time!CI20</f>
        <v>0</v>
      </c>
      <c r="CJ23" s="19" t="n">
        <f aca="false">(CJ9+CJ10+CJ11+CJ12+CJ13-CJ15+CJ19+CJ21+CJ22)*Time!CJ20</f>
        <v>0</v>
      </c>
      <c r="CK23" s="19" t="n">
        <f aca="false">(CK9+CK10+CK11+CK12+CK13-CK15+CK19+CK21+CK22)*Time!CK20</f>
        <v>0</v>
      </c>
      <c r="CL23" s="19" t="n">
        <f aca="false">(CL9+CL10+CL11+CL12+CL13-CL15+CL19+CL21+CL22)*Time!CL20</f>
        <v>0</v>
      </c>
      <c r="CM23" s="19" t="n">
        <f aca="false">(CM9+CM10+CM11+CM12+CM13-CM15+CM19+CM21+CM22)*Time!CM20</f>
        <v>0</v>
      </c>
      <c r="CN23" s="19" t="n">
        <f aca="false">(CN9+CN10+CN11+CN12+CN13-CN15+CN19+CN21+CN22)*Time!CN20</f>
        <v>0</v>
      </c>
      <c r="CO23" s="19" t="n">
        <f aca="false">(CO9+CO10+CO11+CO12+CO13-CO15+CO19+CO21+CO22)*Time!CO20</f>
        <v>0</v>
      </c>
      <c r="CP23" s="19" t="n">
        <f aca="false">(CP9+CP10+CP11+CP12+CP13-CP15+CP19+CP21+CP22)*Time!CP20</f>
        <v>0</v>
      </c>
      <c r="CQ23" s="19" t="n">
        <f aca="false">(CQ9+CQ10+CQ11+CQ12+CQ13-CQ15+CQ19+CQ21+CQ22)*Time!CQ20</f>
        <v>0</v>
      </c>
      <c r="CR23" s="19" t="n">
        <f aca="false">(CR9+CR10+CR11+CR12+CR13-CR15+CR19+CR21+CR22)*Time!CR20</f>
        <v>0</v>
      </c>
      <c r="CS23" s="19" t="n">
        <f aca="false">(CS9+CS10+CS11+CS12+CS13-CS15+CS19+CS21+CS22)*Time!CS20</f>
        <v>0</v>
      </c>
      <c r="CT23" s="19" t="n">
        <f aca="false">(CT9+CT10+CT11+CT12+CT13-CT15+CT19+CT21+CT22)*Time!CT20</f>
        <v>0</v>
      </c>
      <c r="CU23" s="19" t="n">
        <f aca="false">(CU9+CU10+CU11+CU12+CU13-CU15+CU19+CU21+CU22)*Time!CU20</f>
        <v>0</v>
      </c>
      <c r="CV23" s="19" t="n">
        <f aca="false">(CV9+CV10+CV11+CV12+CV13-CV15+CV19+CV21+CV22)*Time!CV20</f>
        <v>0</v>
      </c>
      <c r="CW23" s="19" t="n">
        <f aca="false">(CW9+CW10+CW11+CW12+CW13-CW15+CW19+CW21+CW22)*Time!CW20</f>
        <v>0</v>
      </c>
      <c r="CX23" s="19" t="n">
        <f aca="false">(CX9+CX10+CX11+CX12+CX13-CX15+CX19+CX21+CX22)*Time!CX20</f>
        <v>0</v>
      </c>
      <c r="CY23" s="19" t="n">
        <f aca="false">(CY9+CY10+CY11+CY12+CY13-CY15+CY19+CY21+CY22)*Time!CY20</f>
        <v>0</v>
      </c>
      <c r="CZ23" s="19" t="n">
        <f aca="false">(CZ9+CZ10+CZ11+CZ12+CZ13-CZ15+CZ19+CZ21+CZ22)*Time!CZ20</f>
        <v>0</v>
      </c>
      <c r="DA23" s="19" t="n">
        <f aca="false">(DA9+DA10+DA11+DA12+DA13-DA15+DA19+DA21+DA22)*Time!DA20</f>
        <v>0</v>
      </c>
      <c r="DB23" s="19" t="n">
        <f aca="false">(DB9+DB10+DB11+DB12+DB13-DB15+DB19+DB21+DB22)*Time!DB20</f>
        <v>0</v>
      </c>
    </row>
    <row r="24" customFormat="false" ht="15" hidden="false" customHeight="false" outlineLevel="0" collapsed="false">
      <c r="D24" s="0" t="s">
        <v>453</v>
      </c>
      <c r="E24" s="0" t="s">
        <v>44</v>
      </c>
      <c r="F24" s="19" t="n">
        <f aca="false">SUM($J$23:$DB$23)</f>
        <v>2013.38010914004</v>
      </c>
    </row>
    <row r="25" customFormat="false" ht="15" hidden="false" customHeight="false" outlineLevel="0" collapsed="false">
      <c r="D25" s="0" t="s">
        <v>454</v>
      </c>
      <c r="E25" s="0" t="s">
        <v>44</v>
      </c>
      <c r="F25" s="19" t="n">
        <f aca="false">$F$24-Inputs!$F$227</f>
        <v>1725.98010914004</v>
      </c>
    </row>
    <row r="26" customFormat="false" ht="15" hidden="false" customHeight="false" outlineLevel="0" collapsed="false">
      <c r="D26" s="3" t="s">
        <v>455</v>
      </c>
    </row>
    <row r="27" customFormat="false" ht="15" hidden="false" customHeight="false" outlineLevel="0" collapsed="false">
      <c r="D27" s="0" t="s">
        <v>456</v>
      </c>
      <c r="E27" s="0" t="s">
        <v>44</v>
      </c>
      <c r="G27" s="19" t="n">
        <f aca="false">SUM(J27:DB27)</f>
        <v>379.715624010809</v>
      </c>
      <c r="J27" s="19" t="n">
        <f aca="false">MIN(J23,MAX(0,Debt!$F$29-I28))*Time!J20</f>
        <v>73.4145412566294</v>
      </c>
      <c r="K27" s="19" t="n">
        <f aca="false">MIN(K23,MAX(0,Debt!$F$29-J28))*Time!K20</f>
        <v>29.9664219279377</v>
      </c>
      <c r="L27" s="19" t="n">
        <f aca="false">MIN(L23,MAX(0,Debt!$F$29-K28))*Time!L20</f>
        <v>61.4523492805693</v>
      </c>
      <c r="M27" s="19" t="n">
        <f aca="false">MIN(M23,MAX(0,Debt!$F$29-L28))*Time!M20</f>
        <v>98.0736189975583</v>
      </c>
      <c r="N27" s="19" t="n">
        <f aca="false">MIN(N23,MAX(0,Debt!$F$29-M28))*Time!N20</f>
        <v>116.808692548114</v>
      </c>
      <c r="O27" s="19" t="n">
        <f aca="false">MIN(O23,MAX(0,Debt!$F$29-N28))*Time!O20</f>
        <v>0</v>
      </c>
      <c r="P27" s="19" t="n">
        <f aca="false">MIN(P23,MAX(0,Debt!$F$29-O28))*Time!P20</f>
        <v>0</v>
      </c>
      <c r="Q27" s="19" t="n">
        <f aca="false">MIN(Q23,MAX(0,Debt!$F$29-P28))*Time!Q20</f>
        <v>0</v>
      </c>
      <c r="R27" s="19" t="n">
        <f aca="false">MIN(R23,MAX(0,Debt!$F$29-Q28))*Time!R20</f>
        <v>0</v>
      </c>
      <c r="S27" s="19" t="n">
        <f aca="false">MIN(S23,MAX(0,Debt!$F$29-R28))*Time!S20</f>
        <v>0</v>
      </c>
      <c r="T27" s="19" t="n">
        <f aca="false">MIN(T23,MAX(0,Debt!$F$29-S28))*Time!T20</f>
        <v>0</v>
      </c>
      <c r="U27" s="19" t="n">
        <f aca="false">MIN(U23,MAX(0,Debt!$F$29-T28))*Time!U20</f>
        <v>0</v>
      </c>
      <c r="V27" s="19" t="n">
        <f aca="false">MIN(V23,MAX(0,Debt!$F$29-U28))*Time!V20</f>
        <v>0</v>
      </c>
      <c r="W27" s="19" t="n">
        <f aca="false">MIN(W23,MAX(0,Debt!$F$29-V28))*Time!W20</f>
        <v>0</v>
      </c>
      <c r="X27" s="19" t="n">
        <f aca="false">MIN(X23,MAX(0,Debt!$F$29-W28))*Time!X20</f>
        <v>0</v>
      </c>
      <c r="Y27" s="19" t="n">
        <f aca="false">MIN(Y23,MAX(0,Debt!$F$29-X28))*Time!Y20</f>
        <v>0</v>
      </c>
      <c r="Z27" s="19" t="n">
        <f aca="false">MIN(Z23,MAX(0,Debt!$F$29-Y28))*Time!Z20</f>
        <v>0</v>
      </c>
      <c r="AA27" s="19" t="n">
        <f aca="false">MIN(AA23,MAX(0,Debt!$F$29-Z28))*Time!AA20</f>
        <v>0</v>
      </c>
      <c r="AB27" s="19" t="n">
        <f aca="false">MIN(AB23,MAX(0,Debt!$F$29-AA28))*Time!AB20</f>
        <v>0</v>
      </c>
      <c r="AC27" s="19" t="n">
        <f aca="false">MIN(AC23,MAX(0,Debt!$F$29-AB28))*Time!AC20</f>
        <v>0</v>
      </c>
      <c r="AD27" s="19" t="n">
        <f aca="false">MIN(AD23,MAX(0,Debt!$F$29-AC28))*Time!AD20</f>
        <v>0</v>
      </c>
      <c r="AE27" s="19" t="n">
        <f aca="false">MIN(AE23,MAX(0,Debt!$F$29-AD28))*Time!AE20</f>
        <v>0</v>
      </c>
      <c r="AF27" s="19" t="n">
        <f aca="false">MIN(AF23,MAX(0,Debt!$F$29-AE28))*Time!AF20</f>
        <v>0</v>
      </c>
      <c r="AG27" s="19" t="n">
        <f aca="false">MIN(AG23,MAX(0,Debt!$F$29-AF28))*Time!AG20</f>
        <v>0</v>
      </c>
      <c r="AH27" s="19" t="n">
        <f aca="false">MIN(AH23,MAX(0,Debt!$F$29-AG28))*Time!AH20</f>
        <v>0</v>
      </c>
      <c r="AI27" s="19" t="n">
        <f aca="false">MIN(AI23,MAX(0,Debt!$F$29-AH28))*Time!AI20</f>
        <v>0</v>
      </c>
      <c r="AJ27" s="19" t="n">
        <f aca="false">MIN(AJ23,MAX(0,Debt!$F$29-AI28))*Time!AJ20</f>
        <v>0</v>
      </c>
      <c r="AK27" s="19" t="n">
        <f aca="false">MIN(AK23,MAX(0,Debt!$F$29-AJ28))*Time!AK20</f>
        <v>0</v>
      </c>
      <c r="AL27" s="19" t="n">
        <f aca="false">MIN(AL23,MAX(0,Debt!$F$29-AK28))*Time!AL20</f>
        <v>0</v>
      </c>
      <c r="AM27" s="19" t="n">
        <f aca="false">MIN(AM23,MAX(0,Debt!$F$29-AL28))*Time!AM20</f>
        <v>0</v>
      </c>
      <c r="AN27" s="19" t="n">
        <f aca="false">MIN(AN23,MAX(0,Debt!$F$29-AM28))*Time!AN20</f>
        <v>0</v>
      </c>
      <c r="AO27" s="19" t="n">
        <f aca="false">MIN(AO23,MAX(0,Debt!$F$29-AN28))*Time!AO20</f>
        <v>0</v>
      </c>
      <c r="AP27" s="19" t="n">
        <f aca="false">MIN(AP23,MAX(0,Debt!$F$29-AO28))*Time!AP20</f>
        <v>0</v>
      </c>
      <c r="AQ27" s="19" t="n">
        <f aca="false">MIN(AQ23,MAX(0,Debt!$F$29-AP28))*Time!AQ20</f>
        <v>0</v>
      </c>
      <c r="AR27" s="19" t="n">
        <f aca="false">MIN(AR23,MAX(0,Debt!$F$29-AQ28))*Time!AR20</f>
        <v>0</v>
      </c>
      <c r="AS27" s="19" t="n">
        <f aca="false">MIN(AS23,MAX(0,Debt!$F$29-AR28))*Time!AS20</f>
        <v>0</v>
      </c>
      <c r="AT27" s="19" t="n">
        <f aca="false">MIN(AT23,MAX(0,Debt!$F$29-AS28))*Time!AT20</f>
        <v>0</v>
      </c>
      <c r="AU27" s="19" t="n">
        <f aca="false">MIN(AU23,MAX(0,Debt!$F$29-AT28))*Time!AU20</f>
        <v>0</v>
      </c>
      <c r="AV27" s="19" t="n">
        <f aca="false">MIN(AV23,MAX(0,Debt!$F$29-AU28))*Time!AV20</f>
        <v>0</v>
      </c>
      <c r="AW27" s="19" t="n">
        <f aca="false">MIN(AW23,MAX(0,Debt!$F$29-AV28))*Time!AW20</f>
        <v>0</v>
      </c>
      <c r="AX27" s="19" t="n">
        <f aca="false">MIN(AX23,MAX(0,Debt!$F$29-AW28))*Time!AX20</f>
        <v>0</v>
      </c>
      <c r="AY27" s="19" t="n">
        <f aca="false">MIN(AY23,MAX(0,Debt!$F$29-AX28))*Time!AY20</f>
        <v>0</v>
      </c>
      <c r="AZ27" s="19" t="n">
        <f aca="false">MIN(AZ23,MAX(0,Debt!$F$29-AY28))*Time!AZ20</f>
        <v>0</v>
      </c>
      <c r="BA27" s="19" t="n">
        <f aca="false">MIN(BA23,MAX(0,Debt!$F$29-AZ28))*Time!BA20</f>
        <v>0</v>
      </c>
      <c r="BB27" s="19" t="n">
        <f aca="false">MIN(BB23,MAX(0,Debt!$F$29-BA28))*Time!BB20</f>
        <v>0</v>
      </c>
      <c r="BC27" s="19" t="n">
        <f aca="false">MIN(BC23,MAX(0,Debt!$F$29-BB28))*Time!BC20</f>
        <v>0</v>
      </c>
      <c r="BD27" s="19" t="n">
        <f aca="false">MIN(BD23,MAX(0,Debt!$F$29-BC28))*Time!BD20</f>
        <v>0</v>
      </c>
      <c r="BE27" s="19" t="n">
        <f aca="false">MIN(BE23,MAX(0,Debt!$F$29-BD28))*Time!BE20</f>
        <v>0</v>
      </c>
      <c r="BF27" s="19" t="n">
        <f aca="false">MIN(BF23,MAX(0,Debt!$F$29-BE28))*Time!BF20</f>
        <v>0</v>
      </c>
      <c r="BG27" s="19" t="n">
        <f aca="false">MIN(BG23,MAX(0,Debt!$F$29-BF28))*Time!BG20</f>
        <v>0</v>
      </c>
      <c r="BH27" s="19" t="n">
        <f aca="false">MIN(BH23,MAX(0,Debt!$F$29-BG28))*Time!BH20</f>
        <v>0</v>
      </c>
      <c r="BI27" s="19" t="n">
        <f aca="false">MIN(BI23,MAX(0,Debt!$F$29-BH28))*Time!BI20</f>
        <v>0</v>
      </c>
      <c r="BJ27" s="19" t="n">
        <f aca="false">MIN(BJ23,MAX(0,Debt!$F$29-BI28))*Time!BJ20</f>
        <v>0</v>
      </c>
      <c r="BK27" s="19" t="n">
        <f aca="false">MIN(BK23,MAX(0,Debt!$F$29-BJ28))*Time!BK20</f>
        <v>0</v>
      </c>
      <c r="BL27" s="19" t="n">
        <f aca="false">MIN(BL23,MAX(0,Debt!$F$29-BK28))*Time!BL20</f>
        <v>0</v>
      </c>
      <c r="BM27" s="19" t="n">
        <f aca="false">MIN(BM23,MAX(0,Debt!$F$29-BL28))*Time!BM20</f>
        <v>0</v>
      </c>
      <c r="BN27" s="19" t="n">
        <f aca="false">MIN(BN23,MAX(0,Debt!$F$29-BM28))*Time!BN20</f>
        <v>0</v>
      </c>
      <c r="BO27" s="19" t="n">
        <f aca="false">MIN(BO23,MAX(0,Debt!$F$29-BN28))*Time!BO20</f>
        <v>0</v>
      </c>
      <c r="BP27" s="19" t="n">
        <f aca="false">MIN(BP23,MAX(0,Debt!$F$29-BO28))*Time!BP20</f>
        <v>0</v>
      </c>
      <c r="BQ27" s="19" t="n">
        <f aca="false">MIN(BQ23,MAX(0,Debt!$F$29-BP28))*Time!BQ20</f>
        <v>0</v>
      </c>
      <c r="BR27" s="19" t="n">
        <f aca="false">MIN(BR23,MAX(0,Debt!$F$29-BQ28))*Time!BR20</f>
        <v>0</v>
      </c>
      <c r="BS27" s="19" t="n">
        <f aca="false">MIN(BS23,MAX(0,Debt!$F$29-BR28))*Time!BS20</f>
        <v>0</v>
      </c>
      <c r="BT27" s="19" t="n">
        <f aca="false">MIN(BT23,MAX(0,Debt!$F$29-BS28))*Time!BT20</f>
        <v>0</v>
      </c>
      <c r="BU27" s="19" t="n">
        <f aca="false">MIN(BU23,MAX(0,Debt!$F$29-BT28))*Time!BU20</f>
        <v>0</v>
      </c>
      <c r="BV27" s="19" t="n">
        <f aca="false">MIN(BV23,MAX(0,Debt!$F$29-BU28))*Time!BV20</f>
        <v>0</v>
      </c>
      <c r="BW27" s="19" t="n">
        <f aca="false">MIN(BW23,MAX(0,Debt!$F$29-BV28))*Time!BW20</f>
        <v>0</v>
      </c>
      <c r="BX27" s="19" t="n">
        <f aca="false">MIN(BX23,MAX(0,Debt!$F$29-BW28))*Time!BX20</f>
        <v>0</v>
      </c>
      <c r="BY27" s="19" t="n">
        <f aca="false">MIN(BY23,MAX(0,Debt!$F$29-BX28))*Time!BY20</f>
        <v>0</v>
      </c>
      <c r="BZ27" s="19" t="n">
        <f aca="false">MIN(BZ23,MAX(0,Debt!$F$29-BY28))*Time!BZ20</f>
        <v>0</v>
      </c>
      <c r="CA27" s="19" t="n">
        <f aca="false">MIN(CA23,MAX(0,Debt!$F$29-BZ28))*Time!CA20</f>
        <v>0</v>
      </c>
      <c r="CB27" s="19" t="n">
        <f aca="false">MIN(CB23,MAX(0,Debt!$F$29-CA28))*Time!CB20</f>
        <v>0</v>
      </c>
      <c r="CC27" s="19" t="n">
        <f aca="false">MIN(CC23,MAX(0,Debt!$F$29-CB28))*Time!CC20</f>
        <v>0</v>
      </c>
      <c r="CD27" s="19" t="n">
        <f aca="false">MIN(CD23,MAX(0,Debt!$F$29-CC28))*Time!CD20</f>
        <v>0</v>
      </c>
      <c r="CE27" s="19" t="n">
        <f aca="false">MIN(CE23,MAX(0,Debt!$F$29-CD28))*Time!CE20</f>
        <v>0</v>
      </c>
      <c r="CF27" s="19" t="n">
        <f aca="false">MIN(CF23,MAX(0,Debt!$F$29-CE28))*Time!CF20</f>
        <v>0</v>
      </c>
      <c r="CG27" s="19" t="n">
        <f aca="false">MIN(CG23,MAX(0,Debt!$F$29-CF28))*Time!CG20</f>
        <v>0</v>
      </c>
      <c r="CH27" s="19" t="n">
        <f aca="false">MIN(CH23,MAX(0,Debt!$F$29-CG28))*Time!CH20</f>
        <v>0</v>
      </c>
      <c r="CI27" s="19" t="n">
        <f aca="false">MIN(CI23,MAX(0,Debt!$F$29-CH28))*Time!CI20</f>
        <v>0</v>
      </c>
      <c r="CJ27" s="19" t="n">
        <f aca="false">MIN(CJ23,MAX(0,Debt!$F$29-CI28))*Time!CJ20</f>
        <v>0</v>
      </c>
      <c r="CK27" s="19" t="n">
        <f aca="false">MIN(CK23,MAX(0,Debt!$F$29-CJ28))*Time!CK20</f>
        <v>0</v>
      </c>
      <c r="CL27" s="19" t="n">
        <f aca="false">MIN(CL23,MAX(0,Debt!$F$29-CK28))*Time!CL20</f>
        <v>0</v>
      </c>
      <c r="CM27" s="19" t="n">
        <f aca="false">MIN(CM23,MAX(0,Debt!$F$29-CL28))*Time!CM20</f>
        <v>0</v>
      </c>
      <c r="CN27" s="19" t="n">
        <f aca="false">MIN(CN23,MAX(0,Debt!$F$29-CM28))*Time!CN20</f>
        <v>0</v>
      </c>
      <c r="CO27" s="19" t="n">
        <f aca="false">MIN(CO23,MAX(0,Debt!$F$29-CN28))*Time!CO20</f>
        <v>0</v>
      </c>
      <c r="CP27" s="19" t="n">
        <f aca="false">MIN(CP23,MAX(0,Debt!$F$29-CO28))*Time!CP20</f>
        <v>0</v>
      </c>
      <c r="CQ27" s="19" t="n">
        <f aca="false">MIN(CQ23,MAX(0,Debt!$F$29-CP28))*Time!CQ20</f>
        <v>0</v>
      </c>
      <c r="CR27" s="19" t="n">
        <f aca="false">MIN(CR23,MAX(0,Debt!$F$29-CQ28))*Time!CR20</f>
        <v>0</v>
      </c>
      <c r="CS27" s="19" t="n">
        <f aca="false">MIN(CS23,MAX(0,Debt!$F$29-CR28))*Time!CS20</f>
        <v>0</v>
      </c>
      <c r="CT27" s="19" t="n">
        <f aca="false">MIN(CT23,MAX(0,Debt!$F$29-CS28))*Time!CT20</f>
        <v>0</v>
      </c>
      <c r="CU27" s="19" t="n">
        <f aca="false">MIN(CU23,MAX(0,Debt!$F$29-CT28))*Time!CU20</f>
        <v>0</v>
      </c>
      <c r="CV27" s="19" t="n">
        <f aca="false">MIN(CV23,MAX(0,Debt!$F$29-CU28))*Time!CV20</f>
        <v>0</v>
      </c>
      <c r="CW27" s="19" t="n">
        <f aca="false">MIN(CW23,MAX(0,Debt!$F$29-CV28))*Time!CW20</f>
        <v>0</v>
      </c>
      <c r="CX27" s="19" t="n">
        <f aca="false">MIN(CX23,MAX(0,Debt!$F$29-CW28))*Time!CX20</f>
        <v>0</v>
      </c>
      <c r="CY27" s="19" t="n">
        <f aca="false">MIN(CY23,MAX(0,Debt!$F$29-CX28))*Time!CY20</f>
        <v>0</v>
      </c>
      <c r="CZ27" s="19" t="n">
        <f aca="false">MIN(CZ23,MAX(0,Debt!$F$29-CY28))*Time!CZ20</f>
        <v>0</v>
      </c>
      <c r="DA27" s="19" t="n">
        <f aca="false">MIN(DA23,MAX(0,Debt!$F$29-CZ28))*Time!DA20</f>
        <v>0</v>
      </c>
      <c r="DB27" s="19" t="n">
        <f aca="false">MIN(DB23,MAX(0,Debt!$F$29-DA28))*Time!DB20</f>
        <v>0</v>
      </c>
    </row>
    <row r="28" customFormat="false" ht="15" hidden="false" customHeight="false" outlineLevel="0" collapsed="false">
      <c r="D28" s="0" t="s">
        <v>457</v>
      </c>
      <c r="E28" s="0" t="s">
        <v>44</v>
      </c>
      <c r="J28" s="19" t="n">
        <f aca="false">I28+J27</f>
        <v>73.4145412566294</v>
      </c>
      <c r="K28" s="19" t="n">
        <f aca="false">J28+K27</f>
        <v>103.380963184567</v>
      </c>
      <c r="L28" s="19" t="n">
        <f aca="false">K28+L27</f>
        <v>164.833312465137</v>
      </c>
      <c r="M28" s="19" t="n">
        <f aca="false">L28+M27</f>
        <v>262.906931462695</v>
      </c>
      <c r="N28" s="19" t="n">
        <f aca="false">M28+N27</f>
        <v>379.715624010809</v>
      </c>
      <c r="O28" s="19" t="n">
        <f aca="false">N28+O27</f>
        <v>379.715624010809</v>
      </c>
      <c r="P28" s="19" t="n">
        <f aca="false">O28+P27</f>
        <v>379.715624010809</v>
      </c>
      <c r="Q28" s="19" t="n">
        <f aca="false">P28+Q27</f>
        <v>379.715624010809</v>
      </c>
      <c r="R28" s="19" t="n">
        <f aca="false">Q28+R27</f>
        <v>379.715624010809</v>
      </c>
      <c r="S28" s="19" t="n">
        <f aca="false">R28+S27</f>
        <v>379.715624010809</v>
      </c>
      <c r="T28" s="19" t="n">
        <f aca="false">S28+T27</f>
        <v>379.715624010809</v>
      </c>
      <c r="U28" s="19" t="n">
        <f aca="false">T28+U27</f>
        <v>379.715624010809</v>
      </c>
      <c r="V28" s="19" t="n">
        <f aca="false">U28+V27</f>
        <v>379.715624010809</v>
      </c>
      <c r="W28" s="19" t="n">
        <f aca="false">V28+W27</f>
        <v>379.715624010809</v>
      </c>
      <c r="X28" s="19" t="n">
        <f aca="false">W28+X27</f>
        <v>379.715624010809</v>
      </c>
      <c r="Y28" s="19" t="n">
        <f aca="false">X28+Y27</f>
        <v>379.715624010809</v>
      </c>
      <c r="Z28" s="19" t="n">
        <f aca="false">Y28+Z27</f>
        <v>379.715624010809</v>
      </c>
      <c r="AA28" s="19" t="n">
        <f aca="false">Z28+AA27</f>
        <v>379.715624010809</v>
      </c>
      <c r="AB28" s="19" t="n">
        <f aca="false">AA28+AB27</f>
        <v>379.715624010809</v>
      </c>
      <c r="AC28" s="19" t="n">
        <f aca="false">AB28+AC27</f>
        <v>379.715624010809</v>
      </c>
      <c r="AD28" s="19" t="n">
        <f aca="false">AC28+AD27</f>
        <v>379.715624010809</v>
      </c>
      <c r="AE28" s="19" t="n">
        <f aca="false">AD28+AE27</f>
        <v>379.715624010809</v>
      </c>
      <c r="AF28" s="19" t="n">
        <f aca="false">AE28+AF27</f>
        <v>379.715624010809</v>
      </c>
      <c r="AG28" s="19" t="n">
        <f aca="false">AF28+AG27</f>
        <v>379.715624010809</v>
      </c>
      <c r="AH28" s="19" t="n">
        <f aca="false">AG28+AH27</f>
        <v>379.715624010809</v>
      </c>
      <c r="AI28" s="19" t="n">
        <f aca="false">AH28+AI27</f>
        <v>379.715624010809</v>
      </c>
      <c r="AJ28" s="19" t="n">
        <f aca="false">AI28+AJ27</f>
        <v>379.715624010809</v>
      </c>
      <c r="AK28" s="19" t="n">
        <f aca="false">AJ28+AK27</f>
        <v>379.715624010809</v>
      </c>
      <c r="AL28" s="19" t="n">
        <f aca="false">AK28+AL27</f>
        <v>379.715624010809</v>
      </c>
      <c r="AM28" s="19" t="n">
        <f aca="false">AL28+AM27</f>
        <v>379.715624010809</v>
      </c>
      <c r="AN28" s="19" t="n">
        <f aca="false">AM28+AN27</f>
        <v>379.715624010809</v>
      </c>
      <c r="AO28" s="19" t="n">
        <f aca="false">AN28+AO27</f>
        <v>379.715624010809</v>
      </c>
      <c r="AP28" s="19" t="n">
        <f aca="false">AO28+AP27</f>
        <v>379.715624010809</v>
      </c>
      <c r="AQ28" s="19" t="n">
        <f aca="false">AP28+AQ27</f>
        <v>379.715624010809</v>
      </c>
      <c r="AR28" s="19" t="n">
        <f aca="false">AQ28+AR27</f>
        <v>379.715624010809</v>
      </c>
      <c r="AS28" s="19" t="n">
        <f aca="false">AR28+AS27</f>
        <v>379.715624010809</v>
      </c>
      <c r="AT28" s="19" t="n">
        <f aca="false">AS28+AT27</f>
        <v>379.715624010809</v>
      </c>
      <c r="AU28" s="19" t="n">
        <f aca="false">AT28+AU27</f>
        <v>379.715624010809</v>
      </c>
      <c r="AV28" s="19" t="n">
        <f aca="false">AU28+AV27</f>
        <v>379.715624010809</v>
      </c>
      <c r="AW28" s="19" t="n">
        <f aca="false">AV28+AW27</f>
        <v>379.715624010809</v>
      </c>
      <c r="AX28" s="19" t="n">
        <f aca="false">AW28+AX27</f>
        <v>379.715624010809</v>
      </c>
      <c r="AY28" s="19" t="n">
        <f aca="false">AX28+AY27</f>
        <v>379.715624010809</v>
      </c>
      <c r="AZ28" s="19" t="n">
        <f aca="false">AY28+AZ27</f>
        <v>379.715624010809</v>
      </c>
      <c r="BA28" s="19" t="n">
        <f aca="false">AZ28+BA27</f>
        <v>379.715624010809</v>
      </c>
      <c r="BB28" s="19" t="n">
        <f aca="false">BA28+BB27</f>
        <v>379.715624010809</v>
      </c>
      <c r="BC28" s="19" t="n">
        <f aca="false">BB28+BC27</f>
        <v>379.715624010809</v>
      </c>
      <c r="BD28" s="19" t="n">
        <f aca="false">BC28+BD27</f>
        <v>379.715624010809</v>
      </c>
      <c r="BE28" s="19" t="n">
        <f aca="false">BD28+BE27</f>
        <v>379.715624010809</v>
      </c>
      <c r="BF28" s="19" t="n">
        <f aca="false">BE28+BF27</f>
        <v>379.715624010809</v>
      </c>
      <c r="BG28" s="19" t="n">
        <f aca="false">BF28+BG27</f>
        <v>379.715624010809</v>
      </c>
      <c r="BH28" s="19" t="n">
        <f aca="false">BG28+BH27</f>
        <v>379.715624010809</v>
      </c>
      <c r="BI28" s="19" t="n">
        <f aca="false">BH28+BI27</f>
        <v>379.715624010809</v>
      </c>
      <c r="BJ28" s="19" t="n">
        <f aca="false">BI28+BJ27</f>
        <v>379.715624010809</v>
      </c>
      <c r="BK28" s="19" t="n">
        <f aca="false">BJ28+BK27</f>
        <v>379.715624010809</v>
      </c>
      <c r="BL28" s="19" t="n">
        <f aca="false">BK28+BL27</f>
        <v>379.715624010809</v>
      </c>
      <c r="BM28" s="19" t="n">
        <f aca="false">BL28+BM27</f>
        <v>379.715624010809</v>
      </c>
      <c r="BN28" s="19" t="n">
        <f aca="false">BM28+BN27</f>
        <v>379.715624010809</v>
      </c>
      <c r="BO28" s="19" t="n">
        <f aca="false">BN28+BO27</f>
        <v>379.715624010809</v>
      </c>
      <c r="BP28" s="19" t="n">
        <f aca="false">BO28+BP27</f>
        <v>379.715624010809</v>
      </c>
      <c r="BQ28" s="19" t="n">
        <f aca="false">BP28+BQ27</f>
        <v>379.715624010809</v>
      </c>
      <c r="BR28" s="19" t="n">
        <f aca="false">BQ28+BR27</f>
        <v>379.715624010809</v>
      </c>
      <c r="BS28" s="19" t="n">
        <f aca="false">BR28+BS27</f>
        <v>379.715624010809</v>
      </c>
      <c r="BT28" s="19" t="n">
        <f aca="false">BS28+BT27</f>
        <v>379.715624010809</v>
      </c>
      <c r="BU28" s="19" t="n">
        <f aca="false">BT28+BU27</f>
        <v>379.715624010809</v>
      </c>
      <c r="BV28" s="19" t="n">
        <f aca="false">BU28+BV27</f>
        <v>379.715624010809</v>
      </c>
      <c r="BW28" s="19" t="n">
        <f aca="false">BV28+BW27</f>
        <v>379.715624010809</v>
      </c>
      <c r="BX28" s="19" t="n">
        <f aca="false">BW28+BX27</f>
        <v>379.715624010809</v>
      </c>
      <c r="BY28" s="19" t="n">
        <f aca="false">BX28+BY27</f>
        <v>379.715624010809</v>
      </c>
      <c r="BZ28" s="19" t="n">
        <f aca="false">BY28+BZ27</f>
        <v>379.715624010809</v>
      </c>
      <c r="CA28" s="19" t="n">
        <f aca="false">BZ28+CA27</f>
        <v>379.715624010809</v>
      </c>
      <c r="CB28" s="19" t="n">
        <f aca="false">CA28+CB27</f>
        <v>379.715624010809</v>
      </c>
      <c r="CC28" s="19" t="n">
        <f aca="false">CB28+CC27</f>
        <v>379.715624010809</v>
      </c>
      <c r="CD28" s="19" t="n">
        <f aca="false">CC28+CD27</f>
        <v>379.715624010809</v>
      </c>
      <c r="CE28" s="19" t="n">
        <f aca="false">CD28+CE27</f>
        <v>379.715624010809</v>
      </c>
      <c r="CF28" s="19" t="n">
        <f aca="false">CE28+CF27</f>
        <v>379.715624010809</v>
      </c>
      <c r="CG28" s="19" t="n">
        <f aca="false">CF28+CG27</f>
        <v>379.715624010809</v>
      </c>
      <c r="CH28" s="19" t="n">
        <f aca="false">CG28+CH27</f>
        <v>379.715624010809</v>
      </c>
      <c r="CI28" s="19" t="n">
        <f aca="false">CH28+CI27</f>
        <v>379.715624010809</v>
      </c>
      <c r="CJ28" s="19" t="n">
        <f aca="false">CI28+CJ27</f>
        <v>379.715624010809</v>
      </c>
      <c r="CK28" s="19" t="n">
        <f aca="false">CJ28+CK27</f>
        <v>379.715624010809</v>
      </c>
      <c r="CL28" s="19" t="n">
        <f aca="false">CK28+CL27</f>
        <v>379.715624010809</v>
      </c>
      <c r="CM28" s="19" t="n">
        <f aca="false">CL28+CM27</f>
        <v>379.715624010809</v>
      </c>
      <c r="CN28" s="19" t="n">
        <f aca="false">CM28+CN27</f>
        <v>379.715624010809</v>
      </c>
      <c r="CO28" s="19" t="n">
        <f aca="false">CN28+CO27</f>
        <v>379.715624010809</v>
      </c>
      <c r="CP28" s="19" t="n">
        <f aca="false">CO28+CP27</f>
        <v>379.715624010809</v>
      </c>
      <c r="CQ28" s="19" t="n">
        <f aca="false">CP28+CQ27</f>
        <v>379.715624010809</v>
      </c>
      <c r="CR28" s="19" t="n">
        <f aca="false">CQ28+CR27</f>
        <v>379.715624010809</v>
      </c>
      <c r="CS28" s="19" t="n">
        <f aca="false">CR28+CS27</f>
        <v>379.715624010809</v>
      </c>
      <c r="CT28" s="19" t="n">
        <f aca="false">CS28+CT27</f>
        <v>379.715624010809</v>
      </c>
      <c r="CU28" s="19" t="n">
        <f aca="false">CT28+CU27</f>
        <v>379.715624010809</v>
      </c>
      <c r="CV28" s="19" t="n">
        <f aca="false">CU28+CV27</f>
        <v>379.715624010809</v>
      </c>
      <c r="CW28" s="19" t="n">
        <f aca="false">CV28+CW27</f>
        <v>379.715624010809</v>
      </c>
      <c r="CX28" s="19" t="n">
        <f aca="false">CW28+CX27</f>
        <v>379.715624010809</v>
      </c>
      <c r="CY28" s="19" t="n">
        <f aca="false">CX28+CY27</f>
        <v>379.715624010809</v>
      </c>
      <c r="CZ28" s="19" t="n">
        <f aca="false">CY28+CZ27</f>
        <v>379.715624010809</v>
      </c>
      <c r="DA28" s="19" t="n">
        <f aca="false">CZ28+DA27</f>
        <v>379.715624010809</v>
      </c>
      <c r="DB28" s="19" t="n">
        <f aca="false">DA28+DB27</f>
        <v>379.715624010809</v>
      </c>
    </row>
    <row r="29" customFormat="false" ht="15" hidden="false" customHeight="false" outlineLevel="0" collapsed="false">
      <c r="D29" s="0" t="s">
        <v>458</v>
      </c>
      <c r="E29" s="0" t="s">
        <v>44</v>
      </c>
      <c r="G29" s="19" t="n">
        <f aca="false">SUM(J29:DB29)</f>
        <v>1633.66448512923</v>
      </c>
      <c r="J29" s="19" t="n">
        <f aca="false">J23-J27</f>
        <v>0</v>
      </c>
      <c r="K29" s="19" t="n">
        <f aca="false">K23-K27</f>
        <v>0</v>
      </c>
      <c r="L29" s="19" t="n">
        <f aca="false">L23-L27</f>
        <v>0</v>
      </c>
      <c r="M29" s="19" t="n">
        <f aca="false">M23-M27</f>
        <v>0</v>
      </c>
      <c r="N29" s="19" t="n">
        <f aca="false">N23-N27</f>
        <v>17.3847696336545</v>
      </c>
      <c r="O29" s="19" t="n">
        <f aca="false">O23-O27</f>
        <v>165.369847705726</v>
      </c>
      <c r="P29" s="19" t="n">
        <f aca="false">P23-P27</f>
        <v>188.884109945298</v>
      </c>
      <c r="Q29" s="19" t="n">
        <f aca="false">Q23-Q27</f>
        <v>201.713998788137</v>
      </c>
      <c r="R29" s="19" t="n">
        <f aca="false">R23-R27</f>
        <v>205.375782222655</v>
      </c>
      <c r="S29" s="19" t="n">
        <f aca="false">S23-S27</f>
        <v>192.182476446307</v>
      </c>
      <c r="T29" s="19" t="n">
        <f aca="false">T23-T27</f>
        <v>170.6470569484</v>
      </c>
      <c r="U29" s="19" t="n">
        <f aca="false">U23-U27</f>
        <v>140.600587734176</v>
      </c>
      <c r="V29" s="19" t="n">
        <f aca="false">V23-V27</f>
        <v>105.544840889742</v>
      </c>
      <c r="W29" s="19" t="n">
        <f aca="false">W23-W27</f>
        <v>69.7631043446317</v>
      </c>
      <c r="X29" s="19" t="n">
        <f aca="false">X23-X27</f>
        <v>38.7688301699588</v>
      </c>
      <c r="Y29" s="19" t="n">
        <f aca="false">Y23-Y27</f>
        <v>137.429080300546</v>
      </c>
      <c r="Z29" s="19" t="n">
        <f aca="false">Z23-Z27</f>
        <v>0</v>
      </c>
      <c r="AA29" s="19" t="n">
        <f aca="false">AA23-AA27</f>
        <v>0</v>
      </c>
      <c r="AB29" s="19" t="n">
        <f aca="false">AB23-AB27</f>
        <v>0</v>
      </c>
      <c r="AC29" s="19" t="n">
        <f aca="false">AC23-AC27</f>
        <v>0</v>
      </c>
      <c r="AD29" s="19" t="n">
        <f aca="false">AD23-AD27</f>
        <v>0</v>
      </c>
      <c r="AE29" s="19" t="n">
        <f aca="false">AE23-AE27</f>
        <v>0</v>
      </c>
      <c r="AF29" s="19" t="n">
        <f aca="false">AF23-AF27</f>
        <v>0</v>
      </c>
      <c r="AG29" s="19" t="n">
        <f aca="false">AG23-AG27</f>
        <v>0</v>
      </c>
      <c r="AH29" s="19" t="n">
        <f aca="false">AH23-AH27</f>
        <v>0</v>
      </c>
      <c r="AI29" s="19" t="n">
        <f aca="false">AI23-AI27</f>
        <v>0</v>
      </c>
      <c r="AJ29" s="19" t="n">
        <f aca="false">AJ23-AJ27</f>
        <v>0</v>
      </c>
      <c r="AK29" s="19" t="n">
        <f aca="false">AK23-AK27</f>
        <v>0</v>
      </c>
      <c r="AL29" s="19" t="n">
        <f aca="false">AL23-AL27</f>
        <v>0</v>
      </c>
      <c r="AM29" s="19" t="n">
        <f aca="false">AM23-AM27</f>
        <v>0</v>
      </c>
      <c r="AN29" s="19" t="n">
        <f aca="false">AN23-AN27</f>
        <v>0</v>
      </c>
      <c r="AO29" s="19" t="n">
        <f aca="false">AO23-AO27</f>
        <v>0</v>
      </c>
      <c r="AP29" s="19" t="n">
        <f aca="false">AP23-AP27</f>
        <v>0</v>
      </c>
      <c r="AQ29" s="19" t="n">
        <f aca="false">AQ23-AQ27</f>
        <v>0</v>
      </c>
      <c r="AR29" s="19" t="n">
        <f aca="false">AR23-AR27</f>
        <v>0</v>
      </c>
      <c r="AS29" s="19" t="n">
        <f aca="false">AS23-AS27</f>
        <v>0</v>
      </c>
      <c r="AT29" s="19" t="n">
        <f aca="false">AT23-AT27</f>
        <v>0</v>
      </c>
      <c r="AU29" s="19" t="n">
        <f aca="false">AU23-AU27</f>
        <v>0</v>
      </c>
      <c r="AV29" s="19" t="n">
        <f aca="false">AV23-AV27</f>
        <v>0</v>
      </c>
      <c r="AW29" s="19" t="n">
        <f aca="false">AW23-AW27</f>
        <v>0</v>
      </c>
      <c r="AX29" s="19" t="n">
        <f aca="false">AX23-AX27</f>
        <v>0</v>
      </c>
      <c r="AY29" s="19" t="n">
        <f aca="false">AY23-AY27</f>
        <v>0</v>
      </c>
      <c r="AZ29" s="19" t="n">
        <f aca="false">AZ23-AZ27</f>
        <v>0</v>
      </c>
      <c r="BA29" s="19" t="n">
        <f aca="false">BA23-BA27</f>
        <v>0</v>
      </c>
      <c r="BB29" s="19" t="n">
        <f aca="false">BB23-BB27</f>
        <v>0</v>
      </c>
      <c r="BC29" s="19" t="n">
        <f aca="false">BC23-BC27</f>
        <v>0</v>
      </c>
      <c r="BD29" s="19" t="n">
        <f aca="false">BD23-BD27</f>
        <v>0</v>
      </c>
      <c r="BE29" s="19" t="n">
        <f aca="false">BE23-BE27</f>
        <v>0</v>
      </c>
      <c r="BF29" s="19" t="n">
        <f aca="false">BF23-BF27</f>
        <v>0</v>
      </c>
      <c r="BG29" s="19" t="n">
        <f aca="false">BG23-BG27</f>
        <v>0</v>
      </c>
      <c r="BH29" s="19" t="n">
        <f aca="false">BH23-BH27</f>
        <v>0</v>
      </c>
      <c r="BI29" s="19" t="n">
        <f aca="false">BI23-BI27</f>
        <v>0</v>
      </c>
      <c r="BJ29" s="19" t="n">
        <f aca="false">BJ23-BJ27</f>
        <v>0</v>
      </c>
      <c r="BK29" s="19" t="n">
        <f aca="false">BK23-BK27</f>
        <v>0</v>
      </c>
      <c r="BL29" s="19" t="n">
        <f aca="false">BL23-BL27</f>
        <v>0</v>
      </c>
      <c r="BM29" s="19" t="n">
        <f aca="false">BM23-BM27</f>
        <v>0</v>
      </c>
      <c r="BN29" s="19" t="n">
        <f aca="false">BN23-BN27</f>
        <v>0</v>
      </c>
      <c r="BO29" s="19" t="n">
        <f aca="false">BO23-BO27</f>
        <v>0</v>
      </c>
      <c r="BP29" s="19" t="n">
        <f aca="false">BP23-BP27</f>
        <v>0</v>
      </c>
      <c r="BQ29" s="19" t="n">
        <f aca="false">BQ23-BQ27</f>
        <v>0</v>
      </c>
      <c r="BR29" s="19" t="n">
        <f aca="false">BR23-BR27</f>
        <v>0</v>
      </c>
      <c r="BS29" s="19" t="n">
        <f aca="false">BS23-BS27</f>
        <v>0</v>
      </c>
      <c r="BT29" s="19" t="n">
        <f aca="false">BT23-BT27</f>
        <v>0</v>
      </c>
      <c r="BU29" s="19" t="n">
        <f aca="false">BU23-BU27</f>
        <v>0</v>
      </c>
      <c r="BV29" s="19" t="n">
        <f aca="false">BV23-BV27</f>
        <v>0</v>
      </c>
      <c r="BW29" s="19" t="n">
        <f aca="false">BW23-BW27</f>
        <v>0</v>
      </c>
      <c r="BX29" s="19" t="n">
        <f aca="false">BX23-BX27</f>
        <v>0</v>
      </c>
      <c r="BY29" s="19" t="n">
        <f aca="false">BY23-BY27</f>
        <v>0</v>
      </c>
      <c r="BZ29" s="19" t="n">
        <f aca="false">BZ23-BZ27</f>
        <v>0</v>
      </c>
      <c r="CA29" s="19" t="n">
        <f aca="false">CA23-CA27</f>
        <v>0</v>
      </c>
      <c r="CB29" s="19" t="n">
        <f aca="false">CB23-CB27</f>
        <v>0</v>
      </c>
      <c r="CC29" s="19" t="n">
        <f aca="false">CC23-CC27</f>
        <v>0</v>
      </c>
      <c r="CD29" s="19" t="n">
        <f aca="false">CD23-CD27</f>
        <v>0</v>
      </c>
      <c r="CE29" s="19" t="n">
        <f aca="false">CE23-CE27</f>
        <v>0</v>
      </c>
      <c r="CF29" s="19" t="n">
        <f aca="false">CF23-CF27</f>
        <v>0</v>
      </c>
      <c r="CG29" s="19" t="n">
        <f aca="false">CG23-CG27</f>
        <v>0</v>
      </c>
      <c r="CH29" s="19" t="n">
        <f aca="false">CH23-CH27</f>
        <v>0</v>
      </c>
      <c r="CI29" s="19" t="n">
        <f aca="false">CI23-CI27</f>
        <v>0</v>
      </c>
      <c r="CJ29" s="19" t="n">
        <f aca="false">CJ23-CJ27</f>
        <v>0</v>
      </c>
      <c r="CK29" s="19" t="n">
        <f aca="false">CK23-CK27</f>
        <v>0</v>
      </c>
      <c r="CL29" s="19" t="n">
        <f aca="false">CL23-CL27</f>
        <v>0</v>
      </c>
      <c r="CM29" s="19" t="n">
        <f aca="false">CM23-CM27</f>
        <v>0</v>
      </c>
      <c r="CN29" s="19" t="n">
        <f aca="false">CN23-CN27</f>
        <v>0</v>
      </c>
      <c r="CO29" s="19" t="n">
        <f aca="false">CO23-CO27</f>
        <v>0</v>
      </c>
      <c r="CP29" s="19" t="n">
        <f aca="false">CP23-CP27</f>
        <v>0</v>
      </c>
      <c r="CQ29" s="19" t="n">
        <f aca="false">CQ23-CQ27</f>
        <v>0</v>
      </c>
      <c r="CR29" s="19" t="n">
        <f aca="false">CR23-CR27</f>
        <v>0</v>
      </c>
      <c r="CS29" s="19" t="n">
        <f aca="false">CS23-CS27</f>
        <v>0</v>
      </c>
      <c r="CT29" s="19" t="n">
        <f aca="false">CT23-CT27</f>
        <v>0</v>
      </c>
      <c r="CU29" s="19" t="n">
        <f aca="false">CU23-CU27</f>
        <v>0</v>
      </c>
      <c r="CV29" s="19" t="n">
        <f aca="false">CV23-CV27</f>
        <v>0</v>
      </c>
      <c r="CW29" s="19" t="n">
        <f aca="false">CW23-CW27</f>
        <v>0</v>
      </c>
      <c r="CX29" s="19" t="n">
        <f aca="false">CX23-CX27</f>
        <v>0</v>
      </c>
      <c r="CY29" s="19" t="n">
        <f aca="false">CY23-CY27</f>
        <v>0</v>
      </c>
      <c r="CZ29" s="19" t="n">
        <f aca="false">CZ23-CZ27</f>
        <v>0</v>
      </c>
      <c r="DA29" s="19" t="n">
        <f aca="false">DA23-DA27</f>
        <v>0</v>
      </c>
      <c r="DB29" s="19" t="n">
        <f aca="false">DB23-DB27</f>
        <v>0</v>
      </c>
    </row>
    <row r="30" customFormat="false" ht="15" hidden="false" customHeight="false" outlineLevel="0" collapsed="false">
      <c r="D30" s="0" t="s">
        <v>459</v>
      </c>
      <c r="E30" s="0" t="s">
        <v>44</v>
      </c>
      <c r="F30" s="19" t="n">
        <f aca="false">SUMPRODUCT($J$29:$DB$29,Time!$J$22:$DB$22)</f>
        <v>662.753500387455</v>
      </c>
    </row>
    <row r="31" customFormat="false" ht="15" hidden="false" customHeight="false" outlineLevel="0" collapsed="false">
      <c r="D31" s="0" t="s">
        <v>460</v>
      </c>
      <c r="E31" s="0" t="s">
        <v>44</v>
      </c>
      <c r="G31" s="19" t="n">
        <f aca="false">SUM(J31:DB31)</f>
        <v>287.4</v>
      </c>
      <c r="J31" s="19" t="n">
        <f aca="false">IF(AND(Time!J22=1,$F$30&lt;&gt;0),Inputs!$F$227*J29/$F$30,0)</f>
        <v>0</v>
      </c>
      <c r="K31" s="19" t="n">
        <f aca="false">IF(AND(Time!K22=1,$F$30&lt;&gt;0),Inputs!$F$227*K29/$F$30,0)</f>
        <v>0</v>
      </c>
      <c r="L31" s="19" t="n">
        <f aca="false">IF(AND(Time!L22=1,$F$30&lt;&gt;0),Inputs!$F$227*L29/$F$30,0)</f>
        <v>0</v>
      </c>
      <c r="M31" s="19" t="n">
        <f aca="false">IF(AND(Time!M22=1,$F$30&lt;&gt;0),Inputs!$F$227*M29/$F$30,0)</f>
        <v>0</v>
      </c>
      <c r="N31" s="19" t="n">
        <f aca="false">IF(AND(Time!N22=1,$F$30&lt;&gt;0),Inputs!$F$227*N29/$F$30,0)</f>
        <v>0</v>
      </c>
      <c r="O31" s="19" t="n">
        <f aca="false">IF(AND(Time!O22=1,$F$30&lt;&gt;0),Inputs!$F$227*O29/$F$30,0)</f>
        <v>0</v>
      </c>
      <c r="P31" s="19" t="n">
        <f aca="false">IF(AND(Time!P22=1,$F$30&lt;&gt;0),Inputs!$F$227*P29/$F$30,0)</f>
        <v>0</v>
      </c>
      <c r="Q31" s="19" t="n">
        <f aca="false">IF(AND(Time!Q22=1,$F$30&lt;&gt;0),Inputs!$F$227*Q29/$F$30,0)</f>
        <v>0</v>
      </c>
      <c r="R31" s="19" t="n">
        <f aca="false">IF(AND(Time!R22=1,$F$30&lt;&gt;0),Inputs!$F$227*R29/$F$30,0)</f>
        <v>0</v>
      </c>
      <c r="S31" s="19" t="n">
        <f aca="false">IF(AND(Time!S22=1,$F$30&lt;&gt;0),Inputs!$F$227*S29/$F$30,0)</f>
        <v>0</v>
      </c>
      <c r="T31" s="19" t="n">
        <f aca="false">IF(AND(Time!T22=1,$F$30&lt;&gt;0),Inputs!$F$227*T29/$F$30,0)</f>
        <v>74.0003095242777</v>
      </c>
      <c r="U31" s="19" t="n">
        <f aca="false">IF(AND(Time!U22=1,$F$30&lt;&gt;0),Inputs!$F$227*U29/$F$30,0)</f>
        <v>60.9707966705251</v>
      </c>
      <c r="V31" s="19" t="n">
        <f aca="false">IF(AND(Time!V22=1,$F$30&lt;&gt;0),Inputs!$F$227*V29/$F$30,0)</f>
        <v>45.7690336663307</v>
      </c>
      <c r="W31" s="19" t="n">
        <f aca="false">IF(AND(Time!W22=1,$F$30&lt;&gt;0),Inputs!$F$227*W29/$F$30,0)</f>
        <v>30.252448575414</v>
      </c>
      <c r="X31" s="19" t="n">
        <f aca="false">IF(AND(Time!X22=1,$F$30&lt;&gt;0),Inputs!$F$227*X29/$F$30,0)</f>
        <v>16.8119244701571</v>
      </c>
      <c r="Y31" s="19" t="n">
        <f aca="false">IF(AND(Time!Y22=1,$F$30&lt;&gt;0),Inputs!$F$227*Y29/$F$30,0)</f>
        <v>59.5954870932952</v>
      </c>
      <c r="Z31" s="19" t="n">
        <f aca="false">IF(AND(Time!Z22=1,$F$30&lt;&gt;0),Inputs!$F$227*Z29/$F$30,0)</f>
        <v>0</v>
      </c>
      <c r="AA31" s="19" t="n">
        <f aca="false">IF(AND(Time!AA22=1,$F$30&lt;&gt;0),Inputs!$F$227*AA29/$F$30,0)</f>
        <v>0</v>
      </c>
      <c r="AB31" s="19" t="n">
        <f aca="false">IF(AND(Time!AB22=1,$F$30&lt;&gt;0),Inputs!$F$227*AB29/$F$30,0)</f>
        <v>0</v>
      </c>
      <c r="AC31" s="19" t="n">
        <f aca="false">IF(AND(Time!AC22=1,$F$30&lt;&gt;0),Inputs!$F$227*AC29/$F$30,0)</f>
        <v>0</v>
      </c>
      <c r="AD31" s="19" t="n">
        <f aca="false">IF(AND(Time!AD22=1,$F$30&lt;&gt;0),Inputs!$F$227*AD29/$F$30,0)</f>
        <v>0</v>
      </c>
      <c r="AE31" s="19" t="n">
        <f aca="false">IF(AND(Time!AE22=1,$F$30&lt;&gt;0),Inputs!$F$227*AE29/$F$30,0)</f>
        <v>0</v>
      </c>
      <c r="AF31" s="19" t="n">
        <f aca="false">IF(AND(Time!AF22=1,$F$30&lt;&gt;0),Inputs!$F$227*AF29/$F$30,0)</f>
        <v>0</v>
      </c>
      <c r="AG31" s="19" t="n">
        <f aca="false">IF(AND(Time!AG22=1,$F$30&lt;&gt;0),Inputs!$F$227*AG29/$F$30,0)</f>
        <v>0</v>
      </c>
      <c r="AH31" s="19" t="n">
        <f aca="false">IF(AND(Time!AH22=1,$F$30&lt;&gt;0),Inputs!$F$227*AH29/$F$30,0)</f>
        <v>0</v>
      </c>
      <c r="AI31" s="19" t="n">
        <f aca="false">IF(AND(Time!AI22=1,$F$30&lt;&gt;0),Inputs!$F$227*AI29/$F$30,0)</f>
        <v>0</v>
      </c>
      <c r="AJ31" s="19" t="n">
        <f aca="false">IF(AND(Time!AJ22=1,$F$30&lt;&gt;0),Inputs!$F$227*AJ29/$F$30,0)</f>
        <v>0</v>
      </c>
      <c r="AK31" s="19" t="n">
        <f aca="false">IF(AND(Time!AK22=1,$F$30&lt;&gt;0),Inputs!$F$227*AK29/$F$30,0)</f>
        <v>0</v>
      </c>
      <c r="AL31" s="19" t="n">
        <f aca="false">IF(AND(Time!AL22=1,$F$30&lt;&gt;0),Inputs!$F$227*AL29/$F$30,0)</f>
        <v>0</v>
      </c>
      <c r="AM31" s="19" t="n">
        <f aca="false">IF(AND(Time!AM22=1,$F$30&lt;&gt;0),Inputs!$F$227*AM29/$F$30,0)</f>
        <v>0</v>
      </c>
      <c r="AN31" s="19" t="n">
        <f aca="false">IF(AND(Time!AN22=1,$F$30&lt;&gt;0),Inputs!$F$227*AN29/$F$30,0)</f>
        <v>0</v>
      </c>
      <c r="AO31" s="19" t="n">
        <f aca="false">IF(AND(Time!AO22=1,$F$30&lt;&gt;0),Inputs!$F$227*AO29/$F$30,0)</f>
        <v>0</v>
      </c>
      <c r="AP31" s="19" t="n">
        <f aca="false">IF(AND(Time!AP22=1,$F$30&lt;&gt;0),Inputs!$F$227*AP29/$F$30,0)</f>
        <v>0</v>
      </c>
      <c r="AQ31" s="19" t="n">
        <f aca="false">IF(AND(Time!AQ22=1,$F$30&lt;&gt;0),Inputs!$F$227*AQ29/$F$30,0)</f>
        <v>0</v>
      </c>
      <c r="AR31" s="19" t="n">
        <f aca="false">IF(AND(Time!AR22=1,$F$30&lt;&gt;0),Inputs!$F$227*AR29/$F$30,0)</f>
        <v>0</v>
      </c>
      <c r="AS31" s="19" t="n">
        <f aca="false">IF(AND(Time!AS22=1,$F$30&lt;&gt;0),Inputs!$F$227*AS29/$F$30,0)</f>
        <v>0</v>
      </c>
      <c r="AT31" s="19" t="n">
        <f aca="false">IF(AND(Time!AT22=1,$F$30&lt;&gt;0),Inputs!$F$227*AT29/$F$30,0)</f>
        <v>0</v>
      </c>
      <c r="AU31" s="19" t="n">
        <f aca="false">IF(AND(Time!AU22=1,$F$30&lt;&gt;0),Inputs!$F$227*AU29/$F$30,0)</f>
        <v>0</v>
      </c>
      <c r="AV31" s="19" t="n">
        <f aca="false">IF(AND(Time!AV22=1,$F$30&lt;&gt;0),Inputs!$F$227*AV29/$F$30,0)</f>
        <v>0</v>
      </c>
      <c r="AW31" s="19" t="n">
        <f aca="false">IF(AND(Time!AW22=1,$F$30&lt;&gt;0),Inputs!$F$227*AW29/$F$30,0)</f>
        <v>0</v>
      </c>
      <c r="AX31" s="19" t="n">
        <f aca="false">IF(AND(Time!AX22=1,$F$30&lt;&gt;0),Inputs!$F$227*AX29/$F$30,0)</f>
        <v>0</v>
      </c>
      <c r="AY31" s="19" t="n">
        <f aca="false">IF(AND(Time!AY22=1,$F$30&lt;&gt;0),Inputs!$F$227*AY29/$F$30,0)</f>
        <v>0</v>
      </c>
      <c r="AZ31" s="19" t="n">
        <f aca="false">IF(AND(Time!AZ22=1,$F$30&lt;&gt;0),Inputs!$F$227*AZ29/$F$30,0)</f>
        <v>0</v>
      </c>
      <c r="BA31" s="19" t="n">
        <f aca="false">IF(AND(Time!BA22=1,$F$30&lt;&gt;0),Inputs!$F$227*BA29/$F$30,0)</f>
        <v>0</v>
      </c>
      <c r="BB31" s="19" t="n">
        <f aca="false">IF(AND(Time!BB22=1,$F$30&lt;&gt;0),Inputs!$F$227*BB29/$F$30,0)</f>
        <v>0</v>
      </c>
      <c r="BC31" s="19" t="n">
        <f aca="false">IF(AND(Time!BC22=1,$F$30&lt;&gt;0),Inputs!$F$227*BC29/$F$30,0)</f>
        <v>0</v>
      </c>
      <c r="BD31" s="19" t="n">
        <f aca="false">IF(AND(Time!BD22=1,$F$30&lt;&gt;0),Inputs!$F$227*BD29/$F$30,0)</f>
        <v>0</v>
      </c>
      <c r="BE31" s="19" t="n">
        <f aca="false">IF(AND(Time!BE22=1,$F$30&lt;&gt;0),Inputs!$F$227*BE29/$F$30,0)</f>
        <v>0</v>
      </c>
      <c r="BF31" s="19" t="n">
        <f aca="false">IF(AND(Time!BF22=1,$F$30&lt;&gt;0),Inputs!$F$227*BF29/$F$30,0)</f>
        <v>0</v>
      </c>
      <c r="BG31" s="19" t="n">
        <f aca="false">IF(AND(Time!BG22=1,$F$30&lt;&gt;0),Inputs!$F$227*BG29/$F$30,0)</f>
        <v>0</v>
      </c>
      <c r="BH31" s="19" t="n">
        <f aca="false">IF(AND(Time!BH22=1,$F$30&lt;&gt;0),Inputs!$F$227*BH29/$F$30,0)</f>
        <v>0</v>
      </c>
      <c r="BI31" s="19" t="n">
        <f aca="false">IF(AND(Time!BI22=1,$F$30&lt;&gt;0),Inputs!$F$227*BI29/$F$30,0)</f>
        <v>0</v>
      </c>
      <c r="BJ31" s="19" t="n">
        <f aca="false">IF(AND(Time!BJ22=1,$F$30&lt;&gt;0),Inputs!$F$227*BJ29/$F$30,0)</f>
        <v>0</v>
      </c>
      <c r="BK31" s="19" t="n">
        <f aca="false">IF(AND(Time!BK22=1,$F$30&lt;&gt;0),Inputs!$F$227*BK29/$F$30,0)</f>
        <v>0</v>
      </c>
      <c r="BL31" s="19" t="n">
        <f aca="false">IF(AND(Time!BL22=1,$F$30&lt;&gt;0),Inputs!$F$227*BL29/$F$30,0)</f>
        <v>0</v>
      </c>
      <c r="BM31" s="19" t="n">
        <f aca="false">IF(AND(Time!BM22=1,$F$30&lt;&gt;0),Inputs!$F$227*BM29/$F$30,0)</f>
        <v>0</v>
      </c>
      <c r="BN31" s="19" t="n">
        <f aca="false">IF(AND(Time!BN22=1,$F$30&lt;&gt;0),Inputs!$F$227*BN29/$F$30,0)</f>
        <v>0</v>
      </c>
      <c r="BO31" s="19" t="n">
        <f aca="false">IF(AND(Time!BO22=1,$F$30&lt;&gt;0),Inputs!$F$227*BO29/$F$30,0)</f>
        <v>0</v>
      </c>
      <c r="BP31" s="19" t="n">
        <f aca="false">IF(AND(Time!BP22=1,$F$30&lt;&gt;0),Inputs!$F$227*BP29/$F$30,0)</f>
        <v>0</v>
      </c>
      <c r="BQ31" s="19" t="n">
        <f aca="false">IF(AND(Time!BQ22=1,$F$30&lt;&gt;0),Inputs!$F$227*BQ29/$F$30,0)</f>
        <v>0</v>
      </c>
      <c r="BR31" s="19" t="n">
        <f aca="false">IF(AND(Time!BR22=1,$F$30&lt;&gt;0),Inputs!$F$227*BR29/$F$30,0)</f>
        <v>0</v>
      </c>
      <c r="BS31" s="19" t="n">
        <f aca="false">IF(AND(Time!BS22=1,$F$30&lt;&gt;0),Inputs!$F$227*BS29/$F$30,0)</f>
        <v>0</v>
      </c>
      <c r="BT31" s="19" t="n">
        <f aca="false">IF(AND(Time!BT22=1,$F$30&lt;&gt;0),Inputs!$F$227*BT29/$F$30,0)</f>
        <v>0</v>
      </c>
      <c r="BU31" s="19" t="n">
        <f aca="false">IF(AND(Time!BU22=1,$F$30&lt;&gt;0),Inputs!$F$227*BU29/$F$30,0)</f>
        <v>0</v>
      </c>
      <c r="BV31" s="19" t="n">
        <f aca="false">IF(AND(Time!BV22=1,$F$30&lt;&gt;0),Inputs!$F$227*BV29/$F$30,0)</f>
        <v>0</v>
      </c>
      <c r="BW31" s="19" t="n">
        <f aca="false">IF(AND(Time!BW22=1,$F$30&lt;&gt;0),Inputs!$F$227*BW29/$F$30,0)</f>
        <v>0</v>
      </c>
      <c r="BX31" s="19" t="n">
        <f aca="false">IF(AND(Time!BX22=1,$F$30&lt;&gt;0),Inputs!$F$227*BX29/$F$30,0)</f>
        <v>0</v>
      </c>
      <c r="BY31" s="19" t="n">
        <f aca="false">IF(AND(Time!BY22=1,$F$30&lt;&gt;0),Inputs!$F$227*BY29/$F$30,0)</f>
        <v>0</v>
      </c>
      <c r="BZ31" s="19" t="n">
        <f aca="false">IF(AND(Time!BZ22=1,$F$30&lt;&gt;0),Inputs!$F$227*BZ29/$F$30,0)</f>
        <v>0</v>
      </c>
      <c r="CA31" s="19" t="n">
        <f aca="false">IF(AND(Time!CA22=1,$F$30&lt;&gt;0),Inputs!$F$227*CA29/$F$30,0)</f>
        <v>0</v>
      </c>
      <c r="CB31" s="19" t="n">
        <f aca="false">IF(AND(Time!CB22=1,$F$30&lt;&gt;0),Inputs!$F$227*CB29/$F$30,0)</f>
        <v>0</v>
      </c>
      <c r="CC31" s="19" t="n">
        <f aca="false">IF(AND(Time!CC22=1,$F$30&lt;&gt;0),Inputs!$F$227*CC29/$F$30,0)</f>
        <v>0</v>
      </c>
      <c r="CD31" s="19" t="n">
        <f aca="false">IF(AND(Time!CD22=1,$F$30&lt;&gt;0),Inputs!$F$227*CD29/$F$30,0)</f>
        <v>0</v>
      </c>
      <c r="CE31" s="19" t="n">
        <f aca="false">IF(AND(Time!CE22=1,$F$30&lt;&gt;0),Inputs!$F$227*CE29/$F$30,0)</f>
        <v>0</v>
      </c>
      <c r="CF31" s="19" t="n">
        <f aca="false">IF(AND(Time!CF22=1,$F$30&lt;&gt;0),Inputs!$F$227*CF29/$F$30,0)</f>
        <v>0</v>
      </c>
      <c r="CG31" s="19" t="n">
        <f aca="false">IF(AND(Time!CG22=1,$F$30&lt;&gt;0),Inputs!$F$227*CG29/$F$30,0)</f>
        <v>0</v>
      </c>
      <c r="CH31" s="19" t="n">
        <f aca="false">IF(AND(Time!CH22=1,$F$30&lt;&gt;0),Inputs!$F$227*CH29/$F$30,0)</f>
        <v>0</v>
      </c>
      <c r="CI31" s="19" t="n">
        <f aca="false">IF(AND(Time!CI22=1,$F$30&lt;&gt;0),Inputs!$F$227*CI29/$F$30,0)</f>
        <v>0</v>
      </c>
      <c r="CJ31" s="19" t="n">
        <f aca="false">IF(AND(Time!CJ22=1,$F$30&lt;&gt;0),Inputs!$F$227*CJ29/$F$30,0)</f>
        <v>0</v>
      </c>
      <c r="CK31" s="19" t="n">
        <f aca="false">IF(AND(Time!CK22=1,$F$30&lt;&gt;0),Inputs!$F$227*CK29/$F$30,0)</f>
        <v>0</v>
      </c>
      <c r="CL31" s="19" t="n">
        <f aca="false">IF(AND(Time!CL22=1,$F$30&lt;&gt;0),Inputs!$F$227*CL29/$F$30,0)</f>
        <v>0</v>
      </c>
      <c r="CM31" s="19" t="n">
        <f aca="false">IF(AND(Time!CM22=1,$F$30&lt;&gt;0),Inputs!$F$227*CM29/$F$30,0)</f>
        <v>0</v>
      </c>
      <c r="CN31" s="19" t="n">
        <f aca="false">IF(AND(Time!CN22=1,$F$30&lt;&gt;0),Inputs!$F$227*CN29/$F$30,0)</f>
        <v>0</v>
      </c>
      <c r="CO31" s="19" t="n">
        <f aca="false">IF(AND(Time!CO22=1,$F$30&lt;&gt;0),Inputs!$F$227*CO29/$F$30,0)</f>
        <v>0</v>
      </c>
      <c r="CP31" s="19" t="n">
        <f aca="false">IF(AND(Time!CP22=1,$F$30&lt;&gt;0),Inputs!$F$227*CP29/$F$30,0)</f>
        <v>0</v>
      </c>
      <c r="CQ31" s="19" t="n">
        <f aca="false">IF(AND(Time!CQ22=1,$F$30&lt;&gt;0),Inputs!$F$227*CQ29/$F$30,0)</f>
        <v>0</v>
      </c>
      <c r="CR31" s="19" t="n">
        <f aca="false">IF(AND(Time!CR22=1,$F$30&lt;&gt;0),Inputs!$F$227*CR29/$F$30,0)</f>
        <v>0</v>
      </c>
      <c r="CS31" s="19" t="n">
        <f aca="false">IF(AND(Time!CS22=1,$F$30&lt;&gt;0),Inputs!$F$227*CS29/$F$30,0)</f>
        <v>0</v>
      </c>
      <c r="CT31" s="19" t="n">
        <f aca="false">IF(AND(Time!CT22=1,$F$30&lt;&gt;0),Inputs!$F$227*CT29/$F$30,0)</f>
        <v>0</v>
      </c>
      <c r="CU31" s="19" t="n">
        <f aca="false">IF(AND(Time!CU22=1,$F$30&lt;&gt;0),Inputs!$F$227*CU29/$F$30,0)</f>
        <v>0</v>
      </c>
      <c r="CV31" s="19" t="n">
        <f aca="false">IF(AND(Time!CV22=1,$F$30&lt;&gt;0),Inputs!$F$227*CV29/$F$30,0)</f>
        <v>0</v>
      </c>
      <c r="CW31" s="19" t="n">
        <f aca="false">IF(AND(Time!CW22=1,$F$30&lt;&gt;0),Inputs!$F$227*CW29/$F$30,0)</f>
        <v>0</v>
      </c>
      <c r="CX31" s="19" t="n">
        <f aca="false">IF(AND(Time!CX22=1,$F$30&lt;&gt;0),Inputs!$F$227*CX29/$F$30,0)</f>
        <v>0</v>
      </c>
      <c r="CY31" s="19" t="n">
        <f aca="false">IF(AND(Time!CY22=1,$F$30&lt;&gt;0),Inputs!$F$227*CY29/$F$30,0)</f>
        <v>0</v>
      </c>
      <c r="CZ31" s="19" t="n">
        <f aca="false">IF(AND(Time!CZ22=1,$F$30&lt;&gt;0),Inputs!$F$227*CZ29/$F$30,0)</f>
        <v>0</v>
      </c>
      <c r="DA31" s="19" t="n">
        <f aca="false">IF(AND(Time!DA22=1,$F$30&lt;&gt;0),Inputs!$F$227*DA29/$F$30,0)</f>
        <v>0</v>
      </c>
      <c r="DB31" s="19" t="n">
        <f aca="false">IF(AND(Time!DB22=1,$F$30&lt;&gt;0),Inputs!$F$227*DB29/$F$30,0)</f>
        <v>0</v>
      </c>
    </row>
    <row r="32" customFormat="false" ht="15" hidden="false" customHeight="false" outlineLevel="0" collapsed="false">
      <c r="D32" s="0" t="s">
        <v>461</v>
      </c>
      <c r="E32" s="0" t="s">
        <v>44</v>
      </c>
      <c r="G32" s="19" t="n">
        <f aca="false">SUM(J32:DB32)</f>
        <v>1346.26448512923</v>
      </c>
      <c r="J32" s="19" t="n">
        <f aca="false">J29-J31</f>
        <v>0</v>
      </c>
      <c r="K32" s="19" t="n">
        <f aca="false">K29-K31</f>
        <v>0</v>
      </c>
      <c r="L32" s="19" t="n">
        <f aca="false">L29-L31</f>
        <v>0</v>
      </c>
      <c r="M32" s="19" t="n">
        <f aca="false">M29-M31</f>
        <v>0</v>
      </c>
      <c r="N32" s="19" t="n">
        <f aca="false">N29-N31</f>
        <v>17.3847696336545</v>
      </c>
      <c r="O32" s="19" t="n">
        <f aca="false">O29-O31</f>
        <v>165.369847705726</v>
      </c>
      <c r="P32" s="19" t="n">
        <f aca="false">P29-P31</f>
        <v>188.884109945298</v>
      </c>
      <c r="Q32" s="19" t="n">
        <f aca="false">Q29-Q31</f>
        <v>201.713998788137</v>
      </c>
      <c r="R32" s="19" t="n">
        <f aca="false">R29-R31</f>
        <v>205.375782222655</v>
      </c>
      <c r="S32" s="19" t="n">
        <f aca="false">S29-S31</f>
        <v>192.182476446307</v>
      </c>
      <c r="T32" s="19" t="n">
        <f aca="false">T29-T31</f>
        <v>96.6467474241224</v>
      </c>
      <c r="U32" s="19" t="n">
        <f aca="false">U29-U31</f>
        <v>79.6297910636513</v>
      </c>
      <c r="V32" s="19" t="n">
        <f aca="false">V29-V31</f>
        <v>59.7758072234116</v>
      </c>
      <c r="W32" s="19" t="n">
        <f aca="false">W29-W31</f>
        <v>39.5106557692176</v>
      </c>
      <c r="X32" s="19" t="n">
        <f aca="false">X29-X31</f>
        <v>21.9569056998017</v>
      </c>
      <c r="Y32" s="19" t="n">
        <f aca="false">Y29-Y31</f>
        <v>77.8335932072503</v>
      </c>
      <c r="Z32" s="19" t="n">
        <f aca="false">Z29-Z31</f>
        <v>0</v>
      </c>
      <c r="AA32" s="19" t="n">
        <f aca="false">AA29-AA31</f>
        <v>0</v>
      </c>
      <c r="AB32" s="19" t="n">
        <f aca="false">AB29-AB31</f>
        <v>0</v>
      </c>
      <c r="AC32" s="19" t="n">
        <f aca="false">AC29-AC31</f>
        <v>0</v>
      </c>
      <c r="AD32" s="19" t="n">
        <f aca="false">AD29-AD31</f>
        <v>0</v>
      </c>
      <c r="AE32" s="19" t="n">
        <f aca="false">AE29-AE31</f>
        <v>0</v>
      </c>
      <c r="AF32" s="19" t="n">
        <f aca="false">AF29-AF31</f>
        <v>0</v>
      </c>
      <c r="AG32" s="19" t="n">
        <f aca="false">AG29-AG31</f>
        <v>0</v>
      </c>
      <c r="AH32" s="19" t="n">
        <f aca="false">AH29-AH31</f>
        <v>0</v>
      </c>
      <c r="AI32" s="19" t="n">
        <f aca="false">AI29-AI31</f>
        <v>0</v>
      </c>
      <c r="AJ32" s="19" t="n">
        <f aca="false">AJ29-AJ31</f>
        <v>0</v>
      </c>
      <c r="AK32" s="19" t="n">
        <f aca="false">AK29-AK31</f>
        <v>0</v>
      </c>
      <c r="AL32" s="19" t="n">
        <f aca="false">AL29-AL31</f>
        <v>0</v>
      </c>
      <c r="AM32" s="19" t="n">
        <f aca="false">AM29-AM31</f>
        <v>0</v>
      </c>
      <c r="AN32" s="19" t="n">
        <f aca="false">AN29-AN31</f>
        <v>0</v>
      </c>
      <c r="AO32" s="19" t="n">
        <f aca="false">AO29-AO31</f>
        <v>0</v>
      </c>
      <c r="AP32" s="19" t="n">
        <f aca="false">AP29-AP31</f>
        <v>0</v>
      </c>
      <c r="AQ32" s="19" t="n">
        <f aca="false">AQ29-AQ31</f>
        <v>0</v>
      </c>
      <c r="AR32" s="19" t="n">
        <f aca="false">AR29-AR31</f>
        <v>0</v>
      </c>
      <c r="AS32" s="19" t="n">
        <f aca="false">AS29-AS31</f>
        <v>0</v>
      </c>
      <c r="AT32" s="19" t="n">
        <f aca="false">AT29-AT31</f>
        <v>0</v>
      </c>
      <c r="AU32" s="19" t="n">
        <f aca="false">AU29-AU31</f>
        <v>0</v>
      </c>
      <c r="AV32" s="19" t="n">
        <f aca="false">AV29-AV31</f>
        <v>0</v>
      </c>
      <c r="AW32" s="19" t="n">
        <f aca="false">AW29-AW31</f>
        <v>0</v>
      </c>
      <c r="AX32" s="19" t="n">
        <f aca="false">AX29-AX31</f>
        <v>0</v>
      </c>
      <c r="AY32" s="19" t="n">
        <f aca="false">AY29-AY31</f>
        <v>0</v>
      </c>
      <c r="AZ32" s="19" t="n">
        <f aca="false">AZ29-AZ31</f>
        <v>0</v>
      </c>
      <c r="BA32" s="19" t="n">
        <f aca="false">BA29-BA31</f>
        <v>0</v>
      </c>
      <c r="BB32" s="19" t="n">
        <f aca="false">BB29-BB31</f>
        <v>0</v>
      </c>
      <c r="BC32" s="19" t="n">
        <f aca="false">BC29-BC31</f>
        <v>0</v>
      </c>
      <c r="BD32" s="19" t="n">
        <f aca="false">BD29-BD31</f>
        <v>0</v>
      </c>
      <c r="BE32" s="19" t="n">
        <f aca="false">BE29-BE31</f>
        <v>0</v>
      </c>
      <c r="BF32" s="19" t="n">
        <f aca="false">BF29-BF31</f>
        <v>0</v>
      </c>
      <c r="BG32" s="19" t="n">
        <f aca="false">BG29-BG31</f>
        <v>0</v>
      </c>
      <c r="BH32" s="19" t="n">
        <f aca="false">BH29-BH31</f>
        <v>0</v>
      </c>
      <c r="BI32" s="19" t="n">
        <f aca="false">BI29-BI31</f>
        <v>0</v>
      </c>
      <c r="BJ32" s="19" t="n">
        <f aca="false">BJ29-BJ31</f>
        <v>0</v>
      </c>
      <c r="BK32" s="19" t="n">
        <f aca="false">BK29-BK31</f>
        <v>0</v>
      </c>
      <c r="BL32" s="19" t="n">
        <f aca="false">BL29-BL31</f>
        <v>0</v>
      </c>
      <c r="BM32" s="19" t="n">
        <f aca="false">BM29-BM31</f>
        <v>0</v>
      </c>
      <c r="BN32" s="19" t="n">
        <f aca="false">BN29-BN31</f>
        <v>0</v>
      </c>
      <c r="BO32" s="19" t="n">
        <f aca="false">BO29-BO31</f>
        <v>0</v>
      </c>
      <c r="BP32" s="19" t="n">
        <f aca="false">BP29-BP31</f>
        <v>0</v>
      </c>
      <c r="BQ32" s="19" t="n">
        <f aca="false">BQ29-BQ31</f>
        <v>0</v>
      </c>
      <c r="BR32" s="19" t="n">
        <f aca="false">BR29-BR31</f>
        <v>0</v>
      </c>
      <c r="BS32" s="19" t="n">
        <f aca="false">BS29-BS31</f>
        <v>0</v>
      </c>
      <c r="BT32" s="19" t="n">
        <f aca="false">BT29-BT31</f>
        <v>0</v>
      </c>
      <c r="BU32" s="19" t="n">
        <f aca="false">BU29-BU31</f>
        <v>0</v>
      </c>
      <c r="BV32" s="19" t="n">
        <f aca="false">BV29-BV31</f>
        <v>0</v>
      </c>
      <c r="BW32" s="19" t="n">
        <f aca="false">BW29-BW31</f>
        <v>0</v>
      </c>
      <c r="BX32" s="19" t="n">
        <f aca="false">BX29-BX31</f>
        <v>0</v>
      </c>
      <c r="BY32" s="19" t="n">
        <f aca="false">BY29-BY31</f>
        <v>0</v>
      </c>
      <c r="BZ32" s="19" t="n">
        <f aca="false">BZ29-BZ31</f>
        <v>0</v>
      </c>
      <c r="CA32" s="19" t="n">
        <f aca="false">CA29-CA31</f>
        <v>0</v>
      </c>
      <c r="CB32" s="19" t="n">
        <f aca="false">CB29-CB31</f>
        <v>0</v>
      </c>
      <c r="CC32" s="19" t="n">
        <f aca="false">CC29-CC31</f>
        <v>0</v>
      </c>
      <c r="CD32" s="19" t="n">
        <f aca="false">CD29-CD31</f>
        <v>0</v>
      </c>
      <c r="CE32" s="19" t="n">
        <f aca="false">CE29-CE31</f>
        <v>0</v>
      </c>
      <c r="CF32" s="19" t="n">
        <f aca="false">CF29-CF31</f>
        <v>0</v>
      </c>
      <c r="CG32" s="19" t="n">
        <f aca="false">CG29-CG31</f>
        <v>0</v>
      </c>
      <c r="CH32" s="19" t="n">
        <f aca="false">CH29-CH31</f>
        <v>0</v>
      </c>
      <c r="CI32" s="19" t="n">
        <f aca="false">CI29-CI31</f>
        <v>0</v>
      </c>
      <c r="CJ32" s="19" t="n">
        <f aca="false">CJ29-CJ31</f>
        <v>0</v>
      </c>
      <c r="CK32" s="19" t="n">
        <f aca="false">CK29-CK31</f>
        <v>0</v>
      </c>
      <c r="CL32" s="19" t="n">
        <f aca="false">CL29-CL31</f>
        <v>0</v>
      </c>
      <c r="CM32" s="19" t="n">
        <f aca="false">CM29-CM31</f>
        <v>0</v>
      </c>
      <c r="CN32" s="19" t="n">
        <f aca="false">CN29-CN31</f>
        <v>0</v>
      </c>
      <c r="CO32" s="19" t="n">
        <f aca="false">CO29-CO31</f>
        <v>0</v>
      </c>
      <c r="CP32" s="19" t="n">
        <f aca="false">CP29-CP31</f>
        <v>0</v>
      </c>
      <c r="CQ32" s="19" t="n">
        <f aca="false">CQ29-CQ31</f>
        <v>0</v>
      </c>
      <c r="CR32" s="19" t="n">
        <f aca="false">CR29-CR31</f>
        <v>0</v>
      </c>
      <c r="CS32" s="19" t="n">
        <f aca="false">CS29-CS31</f>
        <v>0</v>
      </c>
      <c r="CT32" s="19" t="n">
        <f aca="false">CT29-CT31</f>
        <v>0</v>
      </c>
      <c r="CU32" s="19" t="n">
        <f aca="false">CU29-CU31</f>
        <v>0</v>
      </c>
      <c r="CV32" s="19" t="n">
        <f aca="false">CV29-CV31</f>
        <v>0</v>
      </c>
      <c r="CW32" s="19" t="n">
        <f aca="false">CW29-CW31</f>
        <v>0</v>
      </c>
      <c r="CX32" s="19" t="n">
        <f aca="false">CX29-CX31</f>
        <v>0</v>
      </c>
      <c r="CY32" s="19" t="n">
        <f aca="false">CY29-CY31</f>
        <v>0</v>
      </c>
      <c r="CZ32" s="19" t="n">
        <f aca="false">CZ29-CZ31</f>
        <v>0</v>
      </c>
      <c r="DA32" s="19" t="n">
        <f aca="false">DA29-DA31</f>
        <v>0</v>
      </c>
      <c r="DB32" s="19" t="n">
        <f aca="false">DB29-DB31</f>
        <v>0</v>
      </c>
    </row>
    <row r="33" customFormat="false" ht="15" hidden="false" customHeight="false" outlineLevel="0" collapsed="false">
      <c r="D33" s="0" t="s">
        <v>462</v>
      </c>
      <c r="E33" s="0" t="s">
        <v>44</v>
      </c>
      <c r="G33" s="19" t="n">
        <f aca="false">SUM(J33:DB33)</f>
        <v>882.130169013</v>
      </c>
      <c r="J33" s="19" t="n">
        <f aca="false">IF(Debt!$F$26+Debt!$F$28=0,0,J32*Debt!$F$26/(Debt!$F$26+Debt!$F$28))</f>
        <v>0</v>
      </c>
      <c r="K33" s="19" t="n">
        <f aca="false">IF(Debt!$F$26+Debt!$F$28=0,0,K32*Debt!$F$26/(Debt!$F$26+Debt!$F$28))</f>
        <v>0</v>
      </c>
      <c r="L33" s="19" t="n">
        <f aca="false">IF(Debt!$F$26+Debt!$F$28=0,0,L32*Debt!$F$26/(Debt!$F$26+Debt!$F$28))</f>
        <v>0</v>
      </c>
      <c r="M33" s="19" t="n">
        <f aca="false">IF(Debt!$F$26+Debt!$F$28=0,0,M32*Debt!$F$26/(Debt!$F$26+Debt!$F$28))</f>
        <v>0</v>
      </c>
      <c r="N33" s="19" t="n">
        <f aca="false">IF(Debt!$F$26+Debt!$F$28=0,0,N32*Debt!$F$26/(Debt!$F$26+Debt!$F$28))</f>
        <v>11.3912458841366</v>
      </c>
      <c r="O33" s="19" t="n">
        <f aca="false">IF(Debt!$F$26+Debt!$F$28=0,0,O32*Debt!$F$26/(Debt!$F$26+Debt!$F$28))</f>
        <v>108.3574091998</v>
      </c>
      <c r="P33" s="19" t="n">
        <f aca="false">IF(Debt!$F$26+Debt!$F$28=0,0,P32*Debt!$F$26/(Debt!$F$26+Debt!$F$28))</f>
        <v>123.764961246766</v>
      </c>
      <c r="Q33" s="19" t="n">
        <f aca="false">IF(Debt!$F$26+Debt!$F$28=0,0,Q32*Debt!$F$26/(Debt!$F$26+Debt!$F$28))</f>
        <v>132.171654090828</v>
      </c>
      <c r="R33" s="19" t="n">
        <f aca="false">IF(Debt!$F$26+Debt!$F$28=0,0,R32*Debt!$F$26/(Debt!$F$26+Debt!$F$28))</f>
        <v>134.571011479856</v>
      </c>
      <c r="S33" s="19" t="n">
        <f aca="false">IF(Debt!$F$26+Debt!$F$28=0,0,S32*Debt!$F$26/(Debt!$F$26+Debt!$F$28))</f>
        <v>125.926192290992</v>
      </c>
      <c r="T33" s="19" t="n">
        <f aca="false">IF(Debt!$F$26+Debt!$F$28=0,0,T32*Debt!$F$26/(Debt!$F$26+Debt!$F$28))</f>
        <v>63.3270895737949</v>
      </c>
      <c r="U33" s="19" t="n">
        <f aca="false">IF(Debt!$F$26+Debt!$F$28=0,0,U32*Debt!$F$26/(Debt!$F$26+Debt!$F$28))</f>
        <v>52.1768507045669</v>
      </c>
      <c r="V33" s="19" t="n">
        <f aca="false">IF(Debt!$F$26+Debt!$F$28=0,0,V32*Debt!$F$26/(Debt!$F$26+Debt!$F$28))</f>
        <v>39.167669883095</v>
      </c>
      <c r="W33" s="19" t="n">
        <f aca="false">IF(Debt!$F$26+Debt!$F$28=0,0,W32*Debt!$F$26/(Debt!$F$26+Debt!$F$28))</f>
        <v>25.8890744252001</v>
      </c>
      <c r="X33" s="19" t="n">
        <f aca="false">IF(Debt!$F$26+Debt!$F$28=0,0,X32*Debt!$F$26/(Debt!$F$26+Debt!$F$28))</f>
        <v>14.3871053198802</v>
      </c>
      <c r="Y33" s="19" t="n">
        <f aca="false">IF(Debt!$F$26+Debt!$F$28=0,0,Y32*Debt!$F$26/(Debt!$F$26+Debt!$F$28))</f>
        <v>50.9999049140853</v>
      </c>
      <c r="Z33" s="19" t="n">
        <f aca="false">IF(Debt!$F$26+Debt!$F$28=0,0,Z32*Debt!$F$26/(Debt!$F$26+Debt!$F$28))</f>
        <v>0</v>
      </c>
      <c r="AA33" s="19" t="n">
        <f aca="false">IF(Debt!$F$26+Debt!$F$28=0,0,AA32*Debt!$F$26/(Debt!$F$26+Debt!$F$28))</f>
        <v>0</v>
      </c>
      <c r="AB33" s="19" t="n">
        <f aca="false">IF(Debt!$F$26+Debt!$F$28=0,0,AB32*Debt!$F$26/(Debt!$F$26+Debt!$F$28))</f>
        <v>0</v>
      </c>
      <c r="AC33" s="19" t="n">
        <f aca="false">IF(Debt!$F$26+Debt!$F$28=0,0,AC32*Debt!$F$26/(Debt!$F$26+Debt!$F$28))</f>
        <v>0</v>
      </c>
      <c r="AD33" s="19" t="n">
        <f aca="false">IF(Debt!$F$26+Debt!$F$28=0,0,AD32*Debt!$F$26/(Debt!$F$26+Debt!$F$28))</f>
        <v>0</v>
      </c>
      <c r="AE33" s="19" t="n">
        <f aca="false">IF(Debt!$F$26+Debt!$F$28=0,0,AE32*Debt!$F$26/(Debt!$F$26+Debt!$F$28))</f>
        <v>0</v>
      </c>
      <c r="AF33" s="19" t="n">
        <f aca="false">IF(Debt!$F$26+Debt!$F$28=0,0,AF32*Debt!$F$26/(Debt!$F$26+Debt!$F$28))</f>
        <v>0</v>
      </c>
      <c r="AG33" s="19" t="n">
        <f aca="false">IF(Debt!$F$26+Debt!$F$28=0,0,AG32*Debt!$F$26/(Debt!$F$26+Debt!$F$28))</f>
        <v>0</v>
      </c>
      <c r="AH33" s="19" t="n">
        <f aca="false">IF(Debt!$F$26+Debt!$F$28=0,0,AH32*Debt!$F$26/(Debt!$F$26+Debt!$F$28))</f>
        <v>0</v>
      </c>
      <c r="AI33" s="19" t="n">
        <f aca="false">IF(Debt!$F$26+Debt!$F$28=0,0,AI32*Debt!$F$26/(Debt!$F$26+Debt!$F$28))</f>
        <v>0</v>
      </c>
      <c r="AJ33" s="19" t="n">
        <f aca="false">IF(Debt!$F$26+Debt!$F$28=0,0,AJ32*Debt!$F$26/(Debt!$F$26+Debt!$F$28))</f>
        <v>0</v>
      </c>
      <c r="AK33" s="19" t="n">
        <f aca="false">IF(Debt!$F$26+Debt!$F$28=0,0,AK32*Debt!$F$26/(Debt!$F$26+Debt!$F$28))</f>
        <v>0</v>
      </c>
      <c r="AL33" s="19" t="n">
        <f aca="false">IF(Debt!$F$26+Debt!$F$28=0,0,AL32*Debt!$F$26/(Debt!$F$26+Debt!$F$28))</f>
        <v>0</v>
      </c>
      <c r="AM33" s="19" t="n">
        <f aca="false">IF(Debt!$F$26+Debt!$F$28=0,0,AM32*Debt!$F$26/(Debt!$F$26+Debt!$F$28))</f>
        <v>0</v>
      </c>
      <c r="AN33" s="19" t="n">
        <f aca="false">IF(Debt!$F$26+Debt!$F$28=0,0,AN32*Debt!$F$26/(Debt!$F$26+Debt!$F$28))</f>
        <v>0</v>
      </c>
      <c r="AO33" s="19" t="n">
        <f aca="false">IF(Debt!$F$26+Debt!$F$28=0,0,AO32*Debt!$F$26/(Debt!$F$26+Debt!$F$28))</f>
        <v>0</v>
      </c>
      <c r="AP33" s="19" t="n">
        <f aca="false">IF(Debt!$F$26+Debt!$F$28=0,0,AP32*Debt!$F$26/(Debt!$F$26+Debt!$F$28))</f>
        <v>0</v>
      </c>
      <c r="AQ33" s="19" t="n">
        <f aca="false">IF(Debt!$F$26+Debt!$F$28=0,0,AQ32*Debt!$F$26/(Debt!$F$26+Debt!$F$28))</f>
        <v>0</v>
      </c>
      <c r="AR33" s="19" t="n">
        <f aca="false">IF(Debt!$F$26+Debt!$F$28=0,0,AR32*Debt!$F$26/(Debt!$F$26+Debt!$F$28))</f>
        <v>0</v>
      </c>
      <c r="AS33" s="19" t="n">
        <f aca="false">IF(Debt!$F$26+Debt!$F$28=0,0,AS32*Debt!$F$26/(Debt!$F$26+Debt!$F$28))</f>
        <v>0</v>
      </c>
      <c r="AT33" s="19" t="n">
        <f aca="false">IF(Debt!$F$26+Debt!$F$28=0,0,AT32*Debt!$F$26/(Debt!$F$26+Debt!$F$28))</f>
        <v>0</v>
      </c>
      <c r="AU33" s="19" t="n">
        <f aca="false">IF(Debt!$F$26+Debt!$F$28=0,0,AU32*Debt!$F$26/(Debt!$F$26+Debt!$F$28))</f>
        <v>0</v>
      </c>
      <c r="AV33" s="19" t="n">
        <f aca="false">IF(Debt!$F$26+Debt!$F$28=0,0,AV32*Debt!$F$26/(Debt!$F$26+Debt!$F$28))</f>
        <v>0</v>
      </c>
      <c r="AW33" s="19" t="n">
        <f aca="false">IF(Debt!$F$26+Debt!$F$28=0,0,AW32*Debt!$F$26/(Debt!$F$26+Debt!$F$28))</f>
        <v>0</v>
      </c>
      <c r="AX33" s="19" t="n">
        <f aca="false">IF(Debt!$F$26+Debt!$F$28=0,0,AX32*Debt!$F$26/(Debt!$F$26+Debt!$F$28))</f>
        <v>0</v>
      </c>
      <c r="AY33" s="19" t="n">
        <f aca="false">IF(Debt!$F$26+Debt!$F$28=0,0,AY32*Debt!$F$26/(Debt!$F$26+Debt!$F$28))</f>
        <v>0</v>
      </c>
      <c r="AZ33" s="19" t="n">
        <f aca="false">IF(Debt!$F$26+Debt!$F$28=0,0,AZ32*Debt!$F$26/(Debt!$F$26+Debt!$F$28))</f>
        <v>0</v>
      </c>
      <c r="BA33" s="19" t="n">
        <f aca="false">IF(Debt!$F$26+Debt!$F$28=0,0,BA32*Debt!$F$26/(Debt!$F$26+Debt!$F$28))</f>
        <v>0</v>
      </c>
      <c r="BB33" s="19" t="n">
        <f aca="false">IF(Debt!$F$26+Debt!$F$28=0,0,BB32*Debt!$F$26/(Debt!$F$26+Debt!$F$28))</f>
        <v>0</v>
      </c>
      <c r="BC33" s="19" t="n">
        <f aca="false">IF(Debt!$F$26+Debt!$F$28=0,0,BC32*Debt!$F$26/(Debt!$F$26+Debt!$F$28))</f>
        <v>0</v>
      </c>
      <c r="BD33" s="19" t="n">
        <f aca="false">IF(Debt!$F$26+Debt!$F$28=0,0,BD32*Debt!$F$26/(Debt!$F$26+Debt!$F$28))</f>
        <v>0</v>
      </c>
      <c r="BE33" s="19" t="n">
        <f aca="false">IF(Debt!$F$26+Debt!$F$28=0,0,BE32*Debt!$F$26/(Debt!$F$26+Debt!$F$28))</f>
        <v>0</v>
      </c>
      <c r="BF33" s="19" t="n">
        <f aca="false">IF(Debt!$F$26+Debt!$F$28=0,0,BF32*Debt!$F$26/(Debt!$F$26+Debt!$F$28))</f>
        <v>0</v>
      </c>
      <c r="BG33" s="19" t="n">
        <f aca="false">IF(Debt!$F$26+Debt!$F$28=0,0,BG32*Debt!$F$26/(Debt!$F$26+Debt!$F$28))</f>
        <v>0</v>
      </c>
      <c r="BH33" s="19" t="n">
        <f aca="false">IF(Debt!$F$26+Debt!$F$28=0,0,BH32*Debt!$F$26/(Debt!$F$26+Debt!$F$28))</f>
        <v>0</v>
      </c>
      <c r="BI33" s="19" t="n">
        <f aca="false">IF(Debt!$F$26+Debt!$F$28=0,0,BI32*Debt!$F$26/(Debt!$F$26+Debt!$F$28))</f>
        <v>0</v>
      </c>
      <c r="BJ33" s="19" t="n">
        <f aca="false">IF(Debt!$F$26+Debt!$F$28=0,0,BJ32*Debt!$F$26/(Debt!$F$26+Debt!$F$28))</f>
        <v>0</v>
      </c>
      <c r="BK33" s="19" t="n">
        <f aca="false">IF(Debt!$F$26+Debt!$F$28=0,0,BK32*Debt!$F$26/(Debt!$F$26+Debt!$F$28))</f>
        <v>0</v>
      </c>
      <c r="BL33" s="19" t="n">
        <f aca="false">IF(Debt!$F$26+Debt!$F$28=0,0,BL32*Debt!$F$26/(Debt!$F$26+Debt!$F$28))</f>
        <v>0</v>
      </c>
      <c r="BM33" s="19" t="n">
        <f aca="false">IF(Debt!$F$26+Debt!$F$28=0,0,BM32*Debt!$F$26/(Debt!$F$26+Debt!$F$28))</f>
        <v>0</v>
      </c>
      <c r="BN33" s="19" t="n">
        <f aca="false">IF(Debt!$F$26+Debt!$F$28=0,0,BN32*Debt!$F$26/(Debt!$F$26+Debt!$F$28))</f>
        <v>0</v>
      </c>
      <c r="BO33" s="19" t="n">
        <f aca="false">IF(Debt!$F$26+Debt!$F$28=0,0,BO32*Debt!$F$26/(Debt!$F$26+Debt!$F$28))</f>
        <v>0</v>
      </c>
      <c r="BP33" s="19" t="n">
        <f aca="false">IF(Debt!$F$26+Debt!$F$28=0,0,BP32*Debt!$F$26/(Debt!$F$26+Debt!$F$28))</f>
        <v>0</v>
      </c>
      <c r="BQ33" s="19" t="n">
        <f aca="false">IF(Debt!$F$26+Debt!$F$28=0,0,BQ32*Debt!$F$26/(Debt!$F$26+Debt!$F$28))</f>
        <v>0</v>
      </c>
      <c r="BR33" s="19" t="n">
        <f aca="false">IF(Debt!$F$26+Debt!$F$28=0,0,BR32*Debt!$F$26/(Debt!$F$26+Debt!$F$28))</f>
        <v>0</v>
      </c>
      <c r="BS33" s="19" t="n">
        <f aca="false">IF(Debt!$F$26+Debt!$F$28=0,0,BS32*Debt!$F$26/(Debt!$F$26+Debt!$F$28))</f>
        <v>0</v>
      </c>
      <c r="BT33" s="19" t="n">
        <f aca="false">IF(Debt!$F$26+Debt!$F$28=0,0,BT32*Debt!$F$26/(Debt!$F$26+Debt!$F$28))</f>
        <v>0</v>
      </c>
      <c r="BU33" s="19" t="n">
        <f aca="false">IF(Debt!$F$26+Debt!$F$28=0,0,BU32*Debt!$F$26/(Debt!$F$26+Debt!$F$28))</f>
        <v>0</v>
      </c>
      <c r="BV33" s="19" t="n">
        <f aca="false">IF(Debt!$F$26+Debt!$F$28=0,0,BV32*Debt!$F$26/(Debt!$F$26+Debt!$F$28))</f>
        <v>0</v>
      </c>
      <c r="BW33" s="19" t="n">
        <f aca="false">IF(Debt!$F$26+Debt!$F$28=0,0,BW32*Debt!$F$26/(Debt!$F$26+Debt!$F$28))</f>
        <v>0</v>
      </c>
      <c r="BX33" s="19" t="n">
        <f aca="false">IF(Debt!$F$26+Debt!$F$28=0,0,BX32*Debt!$F$26/(Debt!$F$26+Debt!$F$28))</f>
        <v>0</v>
      </c>
      <c r="BY33" s="19" t="n">
        <f aca="false">IF(Debt!$F$26+Debt!$F$28=0,0,BY32*Debt!$F$26/(Debt!$F$26+Debt!$F$28))</f>
        <v>0</v>
      </c>
      <c r="BZ33" s="19" t="n">
        <f aca="false">IF(Debt!$F$26+Debt!$F$28=0,0,BZ32*Debt!$F$26/(Debt!$F$26+Debt!$F$28))</f>
        <v>0</v>
      </c>
      <c r="CA33" s="19" t="n">
        <f aca="false">IF(Debt!$F$26+Debt!$F$28=0,0,CA32*Debt!$F$26/(Debt!$F$26+Debt!$F$28))</f>
        <v>0</v>
      </c>
      <c r="CB33" s="19" t="n">
        <f aca="false">IF(Debt!$F$26+Debt!$F$28=0,0,CB32*Debt!$F$26/(Debt!$F$26+Debt!$F$28))</f>
        <v>0</v>
      </c>
      <c r="CC33" s="19" t="n">
        <f aca="false">IF(Debt!$F$26+Debt!$F$28=0,0,CC32*Debt!$F$26/(Debt!$F$26+Debt!$F$28))</f>
        <v>0</v>
      </c>
      <c r="CD33" s="19" t="n">
        <f aca="false">IF(Debt!$F$26+Debt!$F$28=0,0,CD32*Debt!$F$26/(Debt!$F$26+Debt!$F$28))</f>
        <v>0</v>
      </c>
      <c r="CE33" s="19" t="n">
        <f aca="false">IF(Debt!$F$26+Debt!$F$28=0,0,CE32*Debt!$F$26/(Debt!$F$26+Debt!$F$28))</f>
        <v>0</v>
      </c>
      <c r="CF33" s="19" t="n">
        <f aca="false">IF(Debt!$F$26+Debt!$F$28=0,0,CF32*Debt!$F$26/(Debt!$F$26+Debt!$F$28))</f>
        <v>0</v>
      </c>
      <c r="CG33" s="19" t="n">
        <f aca="false">IF(Debt!$F$26+Debt!$F$28=0,0,CG32*Debt!$F$26/(Debt!$F$26+Debt!$F$28))</f>
        <v>0</v>
      </c>
      <c r="CH33" s="19" t="n">
        <f aca="false">IF(Debt!$F$26+Debt!$F$28=0,0,CH32*Debt!$F$26/(Debt!$F$26+Debt!$F$28))</f>
        <v>0</v>
      </c>
      <c r="CI33" s="19" t="n">
        <f aca="false">IF(Debt!$F$26+Debt!$F$28=0,0,CI32*Debt!$F$26/(Debt!$F$26+Debt!$F$28))</f>
        <v>0</v>
      </c>
      <c r="CJ33" s="19" t="n">
        <f aca="false">IF(Debt!$F$26+Debt!$F$28=0,0,CJ32*Debt!$F$26/(Debt!$F$26+Debt!$F$28))</f>
        <v>0</v>
      </c>
      <c r="CK33" s="19" t="n">
        <f aca="false">IF(Debt!$F$26+Debt!$F$28=0,0,CK32*Debt!$F$26/(Debt!$F$26+Debt!$F$28))</f>
        <v>0</v>
      </c>
      <c r="CL33" s="19" t="n">
        <f aca="false">IF(Debt!$F$26+Debt!$F$28=0,0,CL32*Debt!$F$26/(Debt!$F$26+Debt!$F$28))</f>
        <v>0</v>
      </c>
      <c r="CM33" s="19" t="n">
        <f aca="false">IF(Debt!$F$26+Debt!$F$28=0,0,CM32*Debt!$F$26/(Debt!$F$26+Debt!$F$28))</f>
        <v>0</v>
      </c>
      <c r="CN33" s="19" t="n">
        <f aca="false">IF(Debt!$F$26+Debt!$F$28=0,0,CN32*Debt!$F$26/(Debt!$F$26+Debt!$F$28))</f>
        <v>0</v>
      </c>
      <c r="CO33" s="19" t="n">
        <f aca="false">IF(Debt!$F$26+Debt!$F$28=0,0,CO32*Debt!$F$26/(Debt!$F$26+Debt!$F$28))</f>
        <v>0</v>
      </c>
      <c r="CP33" s="19" t="n">
        <f aca="false">IF(Debt!$F$26+Debt!$F$28=0,0,CP32*Debt!$F$26/(Debt!$F$26+Debt!$F$28))</f>
        <v>0</v>
      </c>
      <c r="CQ33" s="19" t="n">
        <f aca="false">IF(Debt!$F$26+Debt!$F$28=0,0,CQ32*Debt!$F$26/(Debt!$F$26+Debt!$F$28))</f>
        <v>0</v>
      </c>
      <c r="CR33" s="19" t="n">
        <f aca="false">IF(Debt!$F$26+Debt!$F$28=0,0,CR32*Debt!$F$26/(Debt!$F$26+Debt!$F$28))</f>
        <v>0</v>
      </c>
      <c r="CS33" s="19" t="n">
        <f aca="false">IF(Debt!$F$26+Debt!$F$28=0,0,CS32*Debt!$F$26/(Debt!$F$26+Debt!$F$28))</f>
        <v>0</v>
      </c>
      <c r="CT33" s="19" t="n">
        <f aca="false">IF(Debt!$F$26+Debt!$F$28=0,0,CT32*Debt!$F$26/(Debt!$F$26+Debt!$F$28))</f>
        <v>0</v>
      </c>
      <c r="CU33" s="19" t="n">
        <f aca="false">IF(Debt!$F$26+Debt!$F$28=0,0,CU32*Debt!$F$26/(Debt!$F$26+Debt!$F$28))</f>
        <v>0</v>
      </c>
      <c r="CV33" s="19" t="n">
        <f aca="false">IF(Debt!$F$26+Debt!$F$28=0,0,CV32*Debt!$F$26/(Debt!$F$26+Debt!$F$28))</f>
        <v>0</v>
      </c>
      <c r="CW33" s="19" t="n">
        <f aca="false">IF(Debt!$F$26+Debt!$F$28=0,0,CW32*Debt!$F$26/(Debt!$F$26+Debt!$F$28))</f>
        <v>0</v>
      </c>
      <c r="CX33" s="19" t="n">
        <f aca="false">IF(Debt!$F$26+Debt!$F$28=0,0,CX32*Debt!$F$26/(Debt!$F$26+Debt!$F$28))</f>
        <v>0</v>
      </c>
      <c r="CY33" s="19" t="n">
        <f aca="false">IF(Debt!$F$26+Debt!$F$28=0,0,CY32*Debt!$F$26/(Debt!$F$26+Debt!$F$28))</f>
        <v>0</v>
      </c>
      <c r="CZ33" s="19" t="n">
        <f aca="false">IF(Debt!$F$26+Debt!$F$28=0,0,CZ32*Debt!$F$26/(Debt!$F$26+Debt!$F$28))</f>
        <v>0</v>
      </c>
      <c r="DA33" s="19" t="n">
        <f aca="false">IF(Debt!$F$26+Debt!$F$28=0,0,DA32*Debt!$F$26/(Debt!$F$26+Debt!$F$28))</f>
        <v>0</v>
      </c>
      <c r="DB33" s="19" t="n">
        <f aca="false">IF(Debt!$F$26+Debt!$F$28=0,0,DB32*Debt!$F$26/(Debt!$F$26+Debt!$F$28))</f>
        <v>0</v>
      </c>
    </row>
    <row r="34" customFormat="false" ht="15" hidden="false" customHeight="false" outlineLevel="0" collapsed="false">
      <c r="D34" s="0" t="s">
        <v>463</v>
      </c>
      <c r="E34" s="0" t="s">
        <v>44</v>
      </c>
      <c r="G34" s="19" t="n">
        <f aca="false">SUM(J34:DB34)</f>
        <v>464.134316116232</v>
      </c>
      <c r="J34" s="19" t="n">
        <f aca="false">J32-J33</f>
        <v>0</v>
      </c>
      <c r="K34" s="19" t="n">
        <f aca="false">K32-K33</f>
        <v>0</v>
      </c>
      <c r="L34" s="19" t="n">
        <f aca="false">L32-L33</f>
        <v>0</v>
      </c>
      <c r="M34" s="19" t="n">
        <f aca="false">M32-M33</f>
        <v>0</v>
      </c>
      <c r="N34" s="19" t="n">
        <f aca="false">N32-N33</f>
        <v>5.99352374951783</v>
      </c>
      <c r="O34" s="19" t="n">
        <f aca="false">O32-O33</f>
        <v>57.0124385059261</v>
      </c>
      <c r="P34" s="19" t="n">
        <f aca="false">P32-P33</f>
        <v>65.1191486985328</v>
      </c>
      <c r="Q34" s="19" t="n">
        <f aca="false">Q32-Q33</f>
        <v>69.542344697309</v>
      </c>
      <c r="R34" s="19" t="n">
        <f aca="false">R32-R33</f>
        <v>70.8047707427994</v>
      </c>
      <c r="S34" s="19" t="n">
        <f aca="false">S32-S33</f>
        <v>66.2562841553144</v>
      </c>
      <c r="T34" s="19" t="n">
        <f aca="false">T32-T33</f>
        <v>33.3196578503274</v>
      </c>
      <c r="U34" s="19" t="n">
        <f aca="false">U32-U33</f>
        <v>27.4529403590844</v>
      </c>
      <c r="V34" s="19" t="n">
        <f aca="false">V32-V33</f>
        <v>20.6081373403166</v>
      </c>
      <c r="W34" s="19" t="n">
        <f aca="false">W32-W33</f>
        <v>13.6215813440175</v>
      </c>
      <c r="X34" s="19" t="n">
        <f aca="false">X32-X33</f>
        <v>7.56980037992146</v>
      </c>
      <c r="Y34" s="19" t="n">
        <f aca="false">Y32-Y33</f>
        <v>26.8336882931648</v>
      </c>
      <c r="Z34" s="19" t="n">
        <f aca="false">Z32-Z33</f>
        <v>0</v>
      </c>
      <c r="AA34" s="19" t="n">
        <f aca="false">AA32-AA33</f>
        <v>0</v>
      </c>
      <c r="AB34" s="19" t="n">
        <f aca="false">AB32-AB33</f>
        <v>0</v>
      </c>
      <c r="AC34" s="19" t="n">
        <f aca="false">AC32-AC33</f>
        <v>0</v>
      </c>
      <c r="AD34" s="19" t="n">
        <f aca="false">AD32-AD33</f>
        <v>0</v>
      </c>
      <c r="AE34" s="19" t="n">
        <f aca="false">AE32-AE33</f>
        <v>0</v>
      </c>
      <c r="AF34" s="19" t="n">
        <f aca="false">AF32-AF33</f>
        <v>0</v>
      </c>
      <c r="AG34" s="19" t="n">
        <f aca="false">AG32-AG33</f>
        <v>0</v>
      </c>
      <c r="AH34" s="19" t="n">
        <f aca="false">AH32-AH33</f>
        <v>0</v>
      </c>
      <c r="AI34" s="19" t="n">
        <f aca="false">AI32-AI33</f>
        <v>0</v>
      </c>
      <c r="AJ34" s="19" t="n">
        <f aca="false">AJ32-AJ33</f>
        <v>0</v>
      </c>
      <c r="AK34" s="19" t="n">
        <f aca="false">AK32-AK33</f>
        <v>0</v>
      </c>
      <c r="AL34" s="19" t="n">
        <f aca="false">AL32-AL33</f>
        <v>0</v>
      </c>
      <c r="AM34" s="19" t="n">
        <f aca="false">AM32-AM33</f>
        <v>0</v>
      </c>
      <c r="AN34" s="19" t="n">
        <f aca="false">AN32-AN33</f>
        <v>0</v>
      </c>
      <c r="AO34" s="19" t="n">
        <f aca="false">AO32-AO33</f>
        <v>0</v>
      </c>
      <c r="AP34" s="19" t="n">
        <f aca="false">AP32-AP33</f>
        <v>0</v>
      </c>
      <c r="AQ34" s="19" t="n">
        <f aca="false">AQ32-AQ33</f>
        <v>0</v>
      </c>
      <c r="AR34" s="19" t="n">
        <f aca="false">AR32-AR33</f>
        <v>0</v>
      </c>
      <c r="AS34" s="19" t="n">
        <f aca="false">AS32-AS33</f>
        <v>0</v>
      </c>
      <c r="AT34" s="19" t="n">
        <f aca="false">AT32-AT33</f>
        <v>0</v>
      </c>
      <c r="AU34" s="19" t="n">
        <f aca="false">AU32-AU33</f>
        <v>0</v>
      </c>
      <c r="AV34" s="19" t="n">
        <f aca="false">AV32-AV33</f>
        <v>0</v>
      </c>
      <c r="AW34" s="19" t="n">
        <f aca="false">AW32-AW33</f>
        <v>0</v>
      </c>
      <c r="AX34" s="19" t="n">
        <f aca="false">AX32-AX33</f>
        <v>0</v>
      </c>
      <c r="AY34" s="19" t="n">
        <f aca="false">AY32-AY33</f>
        <v>0</v>
      </c>
      <c r="AZ34" s="19" t="n">
        <f aca="false">AZ32-AZ33</f>
        <v>0</v>
      </c>
      <c r="BA34" s="19" t="n">
        <f aca="false">BA32-BA33</f>
        <v>0</v>
      </c>
      <c r="BB34" s="19" t="n">
        <f aca="false">BB32-BB33</f>
        <v>0</v>
      </c>
      <c r="BC34" s="19" t="n">
        <f aca="false">BC32-BC33</f>
        <v>0</v>
      </c>
      <c r="BD34" s="19" t="n">
        <f aca="false">BD32-BD33</f>
        <v>0</v>
      </c>
      <c r="BE34" s="19" t="n">
        <f aca="false">BE32-BE33</f>
        <v>0</v>
      </c>
      <c r="BF34" s="19" t="n">
        <f aca="false">BF32-BF33</f>
        <v>0</v>
      </c>
      <c r="BG34" s="19" t="n">
        <f aca="false">BG32-BG33</f>
        <v>0</v>
      </c>
      <c r="BH34" s="19" t="n">
        <f aca="false">BH32-BH33</f>
        <v>0</v>
      </c>
      <c r="BI34" s="19" t="n">
        <f aca="false">BI32-BI33</f>
        <v>0</v>
      </c>
      <c r="BJ34" s="19" t="n">
        <f aca="false">BJ32-BJ33</f>
        <v>0</v>
      </c>
      <c r="BK34" s="19" t="n">
        <f aca="false">BK32-BK33</f>
        <v>0</v>
      </c>
      <c r="BL34" s="19" t="n">
        <f aca="false">BL32-BL33</f>
        <v>0</v>
      </c>
      <c r="BM34" s="19" t="n">
        <f aca="false">BM32-BM33</f>
        <v>0</v>
      </c>
      <c r="BN34" s="19" t="n">
        <f aca="false">BN32-BN33</f>
        <v>0</v>
      </c>
      <c r="BO34" s="19" t="n">
        <f aca="false">BO32-BO33</f>
        <v>0</v>
      </c>
      <c r="BP34" s="19" t="n">
        <f aca="false">BP32-BP33</f>
        <v>0</v>
      </c>
      <c r="BQ34" s="19" t="n">
        <f aca="false">BQ32-BQ33</f>
        <v>0</v>
      </c>
      <c r="BR34" s="19" t="n">
        <f aca="false">BR32-BR33</f>
        <v>0</v>
      </c>
      <c r="BS34" s="19" t="n">
        <f aca="false">BS32-BS33</f>
        <v>0</v>
      </c>
      <c r="BT34" s="19" t="n">
        <f aca="false">BT32-BT33</f>
        <v>0</v>
      </c>
      <c r="BU34" s="19" t="n">
        <f aca="false">BU32-BU33</f>
        <v>0</v>
      </c>
      <c r="BV34" s="19" t="n">
        <f aca="false">BV32-BV33</f>
        <v>0</v>
      </c>
      <c r="BW34" s="19" t="n">
        <f aca="false">BW32-BW33</f>
        <v>0</v>
      </c>
      <c r="BX34" s="19" t="n">
        <f aca="false">BX32-BX33</f>
        <v>0</v>
      </c>
      <c r="BY34" s="19" t="n">
        <f aca="false">BY32-BY33</f>
        <v>0</v>
      </c>
      <c r="BZ34" s="19" t="n">
        <f aca="false">BZ32-BZ33</f>
        <v>0</v>
      </c>
      <c r="CA34" s="19" t="n">
        <f aca="false">CA32-CA33</f>
        <v>0</v>
      </c>
      <c r="CB34" s="19" t="n">
        <f aca="false">CB32-CB33</f>
        <v>0</v>
      </c>
      <c r="CC34" s="19" t="n">
        <f aca="false">CC32-CC33</f>
        <v>0</v>
      </c>
      <c r="CD34" s="19" t="n">
        <f aca="false">CD32-CD33</f>
        <v>0</v>
      </c>
      <c r="CE34" s="19" t="n">
        <f aca="false">CE32-CE33</f>
        <v>0</v>
      </c>
      <c r="CF34" s="19" t="n">
        <f aca="false">CF32-CF33</f>
        <v>0</v>
      </c>
      <c r="CG34" s="19" t="n">
        <f aca="false">CG32-CG33</f>
        <v>0</v>
      </c>
      <c r="CH34" s="19" t="n">
        <f aca="false">CH32-CH33</f>
        <v>0</v>
      </c>
      <c r="CI34" s="19" t="n">
        <f aca="false">CI32-CI33</f>
        <v>0</v>
      </c>
      <c r="CJ34" s="19" t="n">
        <f aca="false">CJ32-CJ33</f>
        <v>0</v>
      </c>
      <c r="CK34" s="19" t="n">
        <f aca="false">CK32-CK33</f>
        <v>0</v>
      </c>
      <c r="CL34" s="19" t="n">
        <f aca="false">CL32-CL33</f>
        <v>0</v>
      </c>
      <c r="CM34" s="19" t="n">
        <f aca="false">CM32-CM33</f>
        <v>0</v>
      </c>
      <c r="CN34" s="19" t="n">
        <f aca="false">CN32-CN33</f>
        <v>0</v>
      </c>
      <c r="CO34" s="19" t="n">
        <f aca="false">CO32-CO33</f>
        <v>0</v>
      </c>
      <c r="CP34" s="19" t="n">
        <f aca="false">CP32-CP33</f>
        <v>0</v>
      </c>
      <c r="CQ34" s="19" t="n">
        <f aca="false">CQ32-CQ33</f>
        <v>0</v>
      </c>
      <c r="CR34" s="19" t="n">
        <f aca="false">CR32-CR33</f>
        <v>0</v>
      </c>
      <c r="CS34" s="19" t="n">
        <f aca="false">CS32-CS33</f>
        <v>0</v>
      </c>
      <c r="CT34" s="19" t="n">
        <f aca="false">CT32-CT33</f>
        <v>0</v>
      </c>
      <c r="CU34" s="19" t="n">
        <f aca="false">CU32-CU33</f>
        <v>0</v>
      </c>
      <c r="CV34" s="19" t="n">
        <f aca="false">CV32-CV33</f>
        <v>0</v>
      </c>
      <c r="CW34" s="19" t="n">
        <f aca="false">CW32-CW33</f>
        <v>0</v>
      </c>
      <c r="CX34" s="19" t="n">
        <f aca="false">CX32-CX33</f>
        <v>0</v>
      </c>
      <c r="CY34" s="19" t="n">
        <f aca="false">CY32-CY33</f>
        <v>0</v>
      </c>
      <c r="CZ34" s="19" t="n">
        <f aca="false">CZ32-CZ33</f>
        <v>0</v>
      </c>
      <c r="DA34" s="19" t="n">
        <f aca="false">DA32-DA33</f>
        <v>0</v>
      </c>
      <c r="DB34" s="19" t="n">
        <f aca="false">DB32-DB33</f>
        <v>0</v>
      </c>
    </row>
    <row r="35" customFormat="false" ht="15" hidden="false" customHeight="false" outlineLevel="0" collapsed="false">
      <c r="D35" s="0" t="s">
        <v>464</v>
      </c>
      <c r="E35" s="0" t="s">
        <v>44</v>
      </c>
      <c r="G35" s="19" t="n">
        <f aca="false">SUM(J35:DB35)</f>
        <v>396.95857605585</v>
      </c>
      <c r="J35" s="19" t="n">
        <f aca="false">Inputs!$F$96*J33</f>
        <v>0</v>
      </c>
      <c r="K35" s="19" t="n">
        <f aca="false">Inputs!$F$96*K33</f>
        <v>0</v>
      </c>
      <c r="L35" s="19" t="n">
        <f aca="false">Inputs!$F$96*L33</f>
        <v>0</v>
      </c>
      <c r="M35" s="19" t="n">
        <f aca="false">Inputs!$F$96*M33</f>
        <v>0</v>
      </c>
      <c r="N35" s="19" t="n">
        <f aca="false">Inputs!$F$96*N33</f>
        <v>5.12606064786148</v>
      </c>
      <c r="O35" s="19" t="n">
        <f aca="false">Inputs!$F$96*O33</f>
        <v>48.76083413991</v>
      </c>
      <c r="P35" s="19" t="n">
        <f aca="false">Inputs!$F$96*P33</f>
        <v>55.6942325610445</v>
      </c>
      <c r="Q35" s="19" t="n">
        <f aca="false">Inputs!$F$96*Q33</f>
        <v>59.4772443408725</v>
      </c>
      <c r="R35" s="19" t="n">
        <f aca="false">Inputs!$F$96*R33</f>
        <v>60.556955165935</v>
      </c>
      <c r="S35" s="19" t="n">
        <f aca="false">Inputs!$F$96*S33</f>
        <v>56.6667865309466</v>
      </c>
      <c r="T35" s="19" t="n">
        <f aca="false">Inputs!$F$96*T33</f>
        <v>28.4971903082077</v>
      </c>
      <c r="U35" s="19" t="n">
        <f aca="false">Inputs!$F$96*U33</f>
        <v>23.4795828170551</v>
      </c>
      <c r="V35" s="19" t="n">
        <f aca="false">Inputs!$F$96*V33</f>
        <v>17.6254514473927</v>
      </c>
      <c r="W35" s="19" t="n">
        <f aca="false">Inputs!$F$96*W33</f>
        <v>11.6500834913401</v>
      </c>
      <c r="X35" s="19" t="n">
        <f aca="false">Inputs!$F$96*X33</f>
        <v>6.47419739394608</v>
      </c>
      <c r="Y35" s="19" t="n">
        <f aca="false">Inputs!$F$96*Y33</f>
        <v>22.9499572113384</v>
      </c>
      <c r="Z35" s="19" t="n">
        <f aca="false">Inputs!$F$96*Z33</f>
        <v>0</v>
      </c>
      <c r="AA35" s="19" t="n">
        <f aca="false">Inputs!$F$96*AA33</f>
        <v>0</v>
      </c>
      <c r="AB35" s="19" t="n">
        <f aca="false">Inputs!$F$96*AB33</f>
        <v>0</v>
      </c>
      <c r="AC35" s="19" t="n">
        <f aca="false">Inputs!$F$96*AC33</f>
        <v>0</v>
      </c>
      <c r="AD35" s="19" t="n">
        <f aca="false">Inputs!$F$96*AD33</f>
        <v>0</v>
      </c>
      <c r="AE35" s="19" t="n">
        <f aca="false">Inputs!$F$96*AE33</f>
        <v>0</v>
      </c>
      <c r="AF35" s="19" t="n">
        <f aca="false">Inputs!$F$96*AF33</f>
        <v>0</v>
      </c>
      <c r="AG35" s="19" t="n">
        <f aca="false">Inputs!$F$96*AG33</f>
        <v>0</v>
      </c>
      <c r="AH35" s="19" t="n">
        <f aca="false">Inputs!$F$96*AH33</f>
        <v>0</v>
      </c>
      <c r="AI35" s="19" t="n">
        <f aca="false">Inputs!$F$96*AI33</f>
        <v>0</v>
      </c>
      <c r="AJ35" s="19" t="n">
        <f aca="false">Inputs!$F$96*AJ33</f>
        <v>0</v>
      </c>
      <c r="AK35" s="19" t="n">
        <f aca="false">Inputs!$F$96*AK33</f>
        <v>0</v>
      </c>
      <c r="AL35" s="19" t="n">
        <f aca="false">Inputs!$F$96*AL33</f>
        <v>0</v>
      </c>
      <c r="AM35" s="19" t="n">
        <f aca="false">Inputs!$F$96*AM33</f>
        <v>0</v>
      </c>
      <c r="AN35" s="19" t="n">
        <f aca="false">Inputs!$F$96*AN33</f>
        <v>0</v>
      </c>
      <c r="AO35" s="19" t="n">
        <f aca="false">Inputs!$F$96*AO33</f>
        <v>0</v>
      </c>
      <c r="AP35" s="19" t="n">
        <f aca="false">Inputs!$F$96*AP33</f>
        <v>0</v>
      </c>
      <c r="AQ35" s="19" t="n">
        <f aca="false">Inputs!$F$96*AQ33</f>
        <v>0</v>
      </c>
      <c r="AR35" s="19" t="n">
        <f aca="false">Inputs!$F$96*AR33</f>
        <v>0</v>
      </c>
      <c r="AS35" s="19" t="n">
        <f aca="false">Inputs!$F$96*AS33</f>
        <v>0</v>
      </c>
      <c r="AT35" s="19" t="n">
        <f aca="false">Inputs!$F$96*AT33</f>
        <v>0</v>
      </c>
      <c r="AU35" s="19" t="n">
        <f aca="false">Inputs!$F$96*AU33</f>
        <v>0</v>
      </c>
      <c r="AV35" s="19" t="n">
        <f aca="false">Inputs!$F$96*AV33</f>
        <v>0</v>
      </c>
      <c r="AW35" s="19" t="n">
        <f aca="false">Inputs!$F$96*AW33</f>
        <v>0</v>
      </c>
      <c r="AX35" s="19" t="n">
        <f aca="false">Inputs!$F$96*AX33</f>
        <v>0</v>
      </c>
      <c r="AY35" s="19" t="n">
        <f aca="false">Inputs!$F$96*AY33</f>
        <v>0</v>
      </c>
      <c r="AZ35" s="19" t="n">
        <f aca="false">Inputs!$F$96*AZ33</f>
        <v>0</v>
      </c>
      <c r="BA35" s="19" t="n">
        <f aca="false">Inputs!$F$96*BA33</f>
        <v>0</v>
      </c>
      <c r="BB35" s="19" t="n">
        <f aca="false">Inputs!$F$96*BB33</f>
        <v>0</v>
      </c>
      <c r="BC35" s="19" t="n">
        <f aca="false">Inputs!$F$96*BC33</f>
        <v>0</v>
      </c>
      <c r="BD35" s="19" t="n">
        <f aca="false">Inputs!$F$96*BD33</f>
        <v>0</v>
      </c>
      <c r="BE35" s="19" t="n">
        <f aca="false">Inputs!$F$96*BE33</f>
        <v>0</v>
      </c>
      <c r="BF35" s="19" t="n">
        <f aca="false">Inputs!$F$96*BF33</f>
        <v>0</v>
      </c>
      <c r="BG35" s="19" t="n">
        <f aca="false">Inputs!$F$96*BG33</f>
        <v>0</v>
      </c>
      <c r="BH35" s="19" t="n">
        <f aca="false">Inputs!$F$96*BH33</f>
        <v>0</v>
      </c>
      <c r="BI35" s="19" t="n">
        <f aca="false">Inputs!$F$96*BI33</f>
        <v>0</v>
      </c>
      <c r="BJ35" s="19" t="n">
        <f aca="false">Inputs!$F$96*BJ33</f>
        <v>0</v>
      </c>
      <c r="BK35" s="19" t="n">
        <f aca="false">Inputs!$F$96*BK33</f>
        <v>0</v>
      </c>
      <c r="BL35" s="19" t="n">
        <f aca="false">Inputs!$F$96*BL33</f>
        <v>0</v>
      </c>
      <c r="BM35" s="19" t="n">
        <f aca="false">Inputs!$F$96*BM33</f>
        <v>0</v>
      </c>
      <c r="BN35" s="19" t="n">
        <f aca="false">Inputs!$F$96*BN33</f>
        <v>0</v>
      </c>
      <c r="BO35" s="19" t="n">
        <f aca="false">Inputs!$F$96*BO33</f>
        <v>0</v>
      </c>
      <c r="BP35" s="19" t="n">
        <f aca="false">Inputs!$F$96*BP33</f>
        <v>0</v>
      </c>
      <c r="BQ35" s="19" t="n">
        <f aca="false">Inputs!$F$96*BQ33</f>
        <v>0</v>
      </c>
      <c r="BR35" s="19" t="n">
        <f aca="false">Inputs!$F$96*BR33</f>
        <v>0</v>
      </c>
      <c r="BS35" s="19" t="n">
        <f aca="false">Inputs!$F$96*BS33</f>
        <v>0</v>
      </c>
      <c r="BT35" s="19" t="n">
        <f aca="false">Inputs!$F$96*BT33</f>
        <v>0</v>
      </c>
      <c r="BU35" s="19" t="n">
        <f aca="false">Inputs!$F$96*BU33</f>
        <v>0</v>
      </c>
      <c r="BV35" s="19" t="n">
        <f aca="false">Inputs!$F$96*BV33</f>
        <v>0</v>
      </c>
      <c r="BW35" s="19" t="n">
        <f aca="false">Inputs!$F$96*BW33</f>
        <v>0</v>
      </c>
      <c r="BX35" s="19" t="n">
        <f aca="false">Inputs!$F$96*BX33</f>
        <v>0</v>
      </c>
      <c r="BY35" s="19" t="n">
        <f aca="false">Inputs!$F$96*BY33</f>
        <v>0</v>
      </c>
      <c r="BZ35" s="19" t="n">
        <f aca="false">Inputs!$F$96*BZ33</f>
        <v>0</v>
      </c>
      <c r="CA35" s="19" t="n">
        <f aca="false">Inputs!$F$96*CA33</f>
        <v>0</v>
      </c>
      <c r="CB35" s="19" t="n">
        <f aca="false">Inputs!$F$96*CB33</f>
        <v>0</v>
      </c>
      <c r="CC35" s="19" t="n">
        <f aca="false">Inputs!$F$96*CC33</f>
        <v>0</v>
      </c>
      <c r="CD35" s="19" t="n">
        <f aca="false">Inputs!$F$96*CD33</f>
        <v>0</v>
      </c>
      <c r="CE35" s="19" t="n">
        <f aca="false">Inputs!$F$96*CE33</f>
        <v>0</v>
      </c>
      <c r="CF35" s="19" t="n">
        <f aca="false">Inputs!$F$96*CF33</f>
        <v>0</v>
      </c>
      <c r="CG35" s="19" t="n">
        <f aca="false">Inputs!$F$96*CG33</f>
        <v>0</v>
      </c>
      <c r="CH35" s="19" t="n">
        <f aca="false">Inputs!$F$96*CH33</f>
        <v>0</v>
      </c>
      <c r="CI35" s="19" t="n">
        <f aca="false">Inputs!$F$96*CI33</f>
        <v>0</v>
      </c>
      <c r="CJ35" s="19" t="n">
        <f aca="false">Inputs!$F$96*CJ33</f>
        <v>0</v>
      </c>
      <c r="CK35" s="19" t="n">
        <f aca="false">Inputs!$F$96*CK33</f>
        <v>0</v>
      </c>
      <c r="CL35" s="19" t="n">
        <f aca="false">Inputs!$F$96*CL33</f>
        <v>0</v>
      </c>
      <c r="CM35" s="19" t="n">
        <f aca="false">Inputs!$F$96*CM33</f>
        <v>0</v>
      </c>
      <c r="CN35" s="19" t="n">
        <f aca="false">Inputs!$F$96*CN33</f>
        <v>0</v>
      </c>
      <c r="CO35" s="19" t="n">
        <f aca="false">Inputs!$F$96*CO33</f>
        <v>0</v>
      </c>
      <c r="CP35" s="19" t="n">
        <f aca="false">Inputs!$F$96*CP33</f>
        <v>0</v>
      </c>
      <c r="CQ35" s="19" t="n">
        <f aca="false">Inputs!$F$96*CQ33</f>
        <v>0</v>
      </c>
      <c r="CR35" s="19" t="n">
        <f aca="false">Inputs!$F$96*CR33</f>
        <v>0</v>
      </c>
      <c r="CS35" s="19" t="n">
        <f aca="false">Inputs!$F$96*CS33</f>
        <v>0</v>
      </c>
      <c r="CT35" s="19" t="n">
        <f aca="false">Inputs!$F$96*CT33</f>
        <v>0</v>
      </c>
      <c r="CU35" s="19" t="n">
        <f aca="false">Inputs!$F$96*CU33</f>
        <v>0</v>
      </c>
      <c r="CV35" s="19" t="n">
        <f aca="false">Inputs!$F$96*CV33</f>
        <v>0</v>
      </c>
      <c r="CW35" s="19" t="n">
        <f aca="false">Inputs!$F$96*CW33</f>
        <v>0</v>
      </c>
      <c r="CX35" s="19" t="n">
        <f aca="false">Inputs!$F$96*CX33</f>
        <v>0</v>
      </c>
      <c r="CY35" s="19" t="n">
        <f aca="false">Inputs!$F$96*CY33</f>
        <v>0</v>
      </c>
      <c r="CZ35" s="19" t="n">
        <f aca="false">Inputs!$F$96*CZ33</f>
        <v>0</v>
      </c>
      <c r="DA35" s="19" t="n">
        <f aca="false">Inputs!$F$96*DA33</f>
        <v>0</v>
      </c>
      <c r="DB35" s="19" t="n">
        <f aca="false">Inputs!$F$96*DB33</f>
        <v>0</v>
      </c>
    </row>
    <row r="36" customFormat="false" ht="15" hidden="false" customHeight="false" outlineLevel="0" collapsed="false">
      <c r="D36" s="0" t="s">
        <v>465</v>
      </c>
      <c r="E36" s="0" t="s">
        <v>44</v>
      </c>
      <c r="G36" s="19" t="n">
        <f aca="false">SUM(J36:DB36)</f>
        <v>485.17159295715</v>
      </c>
      <c r="J36" s="19" t="n">
        <f aca="false">Inputs!$F$97*J33</f>
        <v>0</v>
      </c>
      <c r="K36" s="19" t="n">
        <f aca="false">Inputs!$F$97*K33</f>
        <v>0</v>
      </c>
      <c r="L36" s="19" t="n">
        <f aca="false">Inputs!$F$97*L33</f>
        <v>0</v>
      </c>
      <c r="M36" s="19" t="n">
        <f aca="false">Inputs!$F$97*M33</f>
        <v>0</v>
      </c>
      <c r="N36" s="19" t="n">
        <f aca="false">Inputs!$F$97*N33</f>
        <v>6.26518523627515</v>
      </c>
      <c r="O36" s="19" t="n">
        <f aca="false">Inputs!$F$97*O33</f>
        <v>59.59657505989</v>
      </c>
      <c r="P36" s="19" t="n">
        <f aca="false">Inputs!$F$97*P33</f>
        <v>68.070728685721</v>
      </c>
      <c r="Q36" s="19" t="n">
        <f aca="false">Inputs!$F$97*Q33</f>
        <v>72.6944097499553</v>
      </c>
      <c r="R36" s="19" t="n">
        <f aca="false">Inputs!$F$97*R33</f>
        <v>74.0140563139206</v>
      </c>
      <c r="S36" s="19" t="n">
        <f aca="false">Inputs!$F$97*S33</f>
        <v>69.2594057600458</v>
      </c>
      <c r="T36" s="19" t="n">
        <f aca="false">Inputs!$F$97*T33</f>
        <v>34.8298992655872</v>
      </c>
      <c r="U36" s="19" t="n">
        <f aca="false">Inputs!$F$97*U33</f>
        <v>28.6972678875118</v>
      </c>
      <c r="V36" s="19" t="n">
        <f aca="false">Inputs!$F$97*V33</f>
        <v>21.5422184357022</v>
      </c>
      <c r="W36" s="19" t="n">
        <f aca="false">Inputs!$F$97*W33</f>
        <v>14.2389909338601</v>
      </c>
      <c r="X36" s="19" t="n">
        <f aca="false">Inputs!$F$97*X33</f>
        <v>7.9129079259341</v>
      </c>
      <c r="Y36" s="19" t="n">
        <f aca="false">Inputs!$F$97*Y33</f>
        <v>28.0499477027467</v>
      </c>
      <c r="Z36" s="19" t="n">
        <f aca="false">Inputs!$F$97*Z33</f>
        <v>0</v>
      </c>
      <c r="AA36" s="19" t="n">
        <f aca="false">Inputs!$F$97*AA33</f>
        <v>0</v>
      </c>
      <c r="AB36" s="19" t="n">
        <f aca="false">Inputs!$F$97*AB33</f>
        <v>0</v>
      </c>
      <c r="AC36" s="19" t="n">
        <f aca="false">Inputs!$F$97*AC33</f>
        <v>0</v>
      </c>
      <c r="AD36" s="19" t="n">
        <f aca="false">Inputs!$F$97*AD33</f>
        <v>0</v>
      </c>
      <c r="AE36" s="19" t="n">
        <f aca="false">Inputs!$F$97*AE33</f>
        <v>0</v>
      </c>
      <c r="AF36" s="19" t="n">
        <f aca="false">Inputs!$F$97*AF33</f>
        <v>0</v>
      </c>
      <c r="AG36" s="19" t="n">
        <f aca="false">Inputs!$F$97*AG33</f>
        <v>0</v>
      </c>
      <c r="AH36" s="19" t="n">
        <f aca="false">Inputs!$F$97*AH33</f>
        <v>0</v>
      </c>
      <c r="AI36" s="19" t="n">
        <f aca="false">Inputs!$F$97*AI33</f>
        <v>0</v>
      </c>
      <c r="AJ36" s="19" t="n">
        <f aca="false">Inputs!$F$97*AJ33</f>
        <v>0</v>
      </c>
      <c r="AK36" s="19" t="n">
        <f aca="false">Inputs!$F$97*AK33</f>
        <v>0</v>
      </c>
      <c r="AL36" s="19" t="n">
        <f aca="false">Inputs!$F$97*AL33</f>
        <v>0</v>
      </c>
      <c r="AM36" s="19" t="n">
        <f aca="false">Inputs!$F$97*AM33</f>
        <v>0</v>
      </c>
      <c r="AN36" s="19" t="n">
        <f aca="false">Inputs!$F$97*AN33</f>
        <v>0</v>
      </c>
      <c r="AO36" s="19" t="n">
        <f aca="false">Inputs!$F$97*AO33</f>
        <v>0</v>
      </c>
      <c r="AP36" s="19" t="n">
        <f aca="false">Inputs!$F$97*AP33</f>
        <v>0</v>
      </c>
      <c r="AQ36" s="19" t="n">
        <f aca="false">Inputs!$F$97*AQ33</f>
        <v>0</v>
      </c>
      <c r="AR36" s="19" t="n">
        <f aca="false">Inputs!$F$97*AR33</f>
        <v>0</v>
      </c>
      <c r="AS36" s="19" t="n">
        <f aca="false">Inputs!$F$97*AS33</f>
        <v>0</v>
      </c>
      <c r="AT36" s="19" t="n">
        <f aca="false">Inputs!$F$97*AT33</f>
        <v>0</v>
      </c>
      <c r="AU36" s="19" t="n">
        <f aca="false">Inputs!$F$97*AU33</f>
        <v>0</v>
      </c>
      <c r="AV36" s="19" t="n">
        <f aca="false">Inputs!$F$97*AV33</f>
        <v>0</v>
      </c>
      <c r="AW36" s="19" t="n">
        <f aca="false">Inputs!$F$97*AW33</f>
        <v>0</v>
      </c>
      <c r="AX36" s="19" t="n">
        <f aca="false">Inputs!$F$97*AX33</f>
        <v>0</v>
      </c>
      <c r="AY36" s="19" t="n">
        <f aca="false">Inputs!$F$97*AY33</f>
        <v>0</v>
      </c>
      <c r="AZ36" s="19" t="n">
        <f aca="false">Inputs!$F$97*AZ33</f>
        <v>0</v>
      </c>
      <c r="BA36" s="19" t="n">
        <f aca="false">Inputs!$F$97*BA33</f>
        <v>0</v>
      </c>
      <c r="BB36" s="19" t="n">
        <f aca="false">Inputs!$F$97*BB33</f>
        <v>0</v>
      </c>
      <c r="BC36" s="19" t="n">
        <f aca="false">Inputs!$F$97*BC33</f>
        <v>0</v>
      </c>
      <c r="BD36" s="19" t="n">
        <f aca="false">Inputs!$F$97*BD33</f>
        <v>0</v>
      </c>
      <c r="BE36" s="19" t="n">
        <f aca="false">Inputs!$F$97*BE33</f>
        <v>0</v>
      </c>
      <c r="BF36" s="19" t="n">
        <f aca="false">Inputs!$F$97*BF33</f>
        <v>0</v>
      </c>
      <c r="BG36" s="19" t="n">
        <f aca="false">Inputs!$F$97*BG33</f>
        <v>0</v>
      </c>
      <c r="BH36" s="19" t="n">
        <f aca="false">Inputs!$F$97*BH33</f>
        <v>0</v>
      </c>
      <c r="BI36" s="19" t="n">
        <f aca="false">Inputs!$F$97*BI33</f>
        <v>0</v>
      </c>
      <c r="BJ36" s="19" t="n">
        <f aca="false">Inputs!$F$97*BJ33</f>
        <v>0</v>
      </c>
      <c r="BK36" s="19" t="n">
        <f aca="false">Inputs!$F$97*BK33</f>
        <v>0</v>
      </c>
      <c r="BL36" s="19" t="n">
        <f aca="false">Inputs!$F$97*BL33</f>
        <v>0</v>
      </c>
      <c r="BM36" s="19" t="n">
        <f aca="false">Inputs!$F$97*BM33</f>
        <v>0</v>
      </c>
      <c r="BN36" s="19" t="n">
        <f aca="false">Inputs!$F$97*BN33</f>
        <v>0</v>
      </c>
      <c r="BO36" s="19" t="n">
        <f aca="false">Inputs!$F$97*BO33</f>
        <v>0</v>
      </c>
      <c r="BP36" s="19" t="n">
        <f aca="false">Inputs!$F$97*BP33</f>
        <v>0</v>
      </c>
      <c r="BQ36" s="19" t="n">
        <f aca="false">Inputs!$F$97*BQ33</f>
        <v>0</v>
      </c>
      <c r="BR36" s="19" t="n">
        <f aca="false">Inputs!$F$97*BR33</f>
        <v>0</v>
      </c>
      <c r="BS36" s="19" t="n">
        <f aca="false">Inputs!$F$97*BS33</f>
        <v>0</v>
      </c>
      <c r="BT36" s="19" t="n">
        <f aca="false">Inputs!$F$97*BT33</f>
        <v>0</v>
      </c>
      <c r="BU36" s="19" t="n">
        <f aca="false">Inputs!$F$97*BU33</f>
        <v>0</v>
      </c>
      <c r="BV36" s="19" t="n">
        <f aca="false">Inputs!$F$97*BV33</f>
        <v>0</v>
      </c>
      <c r="BW36" s="19" t="n">
        <f aca="false">Inputs!$F$97*BW33</f>
        <v>0</v>
      </c>
      <c r="BX36" s="19" t="n">
        <f aca="false">Inputs!$F$97*BX33</f>
        <v>0</v>
      </c>
      <c r="BY36" s="19" t="n">
        <f aca="false">Inputs!$F$97*BY33</f>
        <v>0</v>
      </c>
      <c r="BZ36" s="19" t="n">
        <f aca="false">Inputs!$F$97*BZ33</f>
        <v>0</v>
      </c>
      <c r="CA36" s="19" t="n">
        <f aca="false">Inputs!$F$97*CA33</f>
        <v>0</v>
      </c>
      <c r="CB36" s="19" t="n">
        <f aca="false">Inputs!$F$97*CB33</f>
        <v>0</v>
      </c>
      <c r="CC36" s="19" t="n">
        <f aca="false">Inputs!$F$97*CC33</f>
        <v>0</v>
      </c>
      <c r="CD36" s="19" t="n">
        <f aca="false">Inputs!$F$97*CD33</f>
        <v>0</v>
      </c>
      <c r="CE36" s="19" t="n">
        <f aca="false">Inputs!$F$97*CE33</f>
        <v>0</v>
      </c>
      <c r="CF36" s="19" t="n">
        <f aca="false">Inputs!$F$97*CF33</f>
        <v>0</v>
      </c>
      <c r="CG36" s="19" t="n">
        <f aca="false">Inputs!$F$97*CG33</f>
        <v>0</v>
      </c>
      <c r="CH36" s="19" t="n">
        <f aca="false">Inputs!$F$97*CH33</f>
        <v>0</v>
      </c>
      <c r="CI36" s="19" t="n">
        <f aca="false">Inputs!$F$97*CI33</f>
        <v>0</v>
      </c>
      <c r="CJ36" s="19" t="n">
        <f aca="false">Inputs!$F$97*CJ33</f>
        <v>0</v>
      </c>
      <c r="CK36" s="19" t="n">
        <f aca="false">Inputs!$F$97*CK33</f>
        <v>0</v>
      </c>
      <c r="CL36" s="19" t="n">
        <f aca="false">Inputs!$F$97*CL33</f>
        <v>0</v>
      </c>
      <c r="CM36" s="19" t="n">
        <f aca="false">Inputs!$F$97*CM33</f>
        <v>0</v>
      </c>
      <c r="CN36" s="19" t="n">
        <f aca="false">Inputs!$F$97*CN33</f>
        <v>0</v>
      </c>
      <c r="CO36" s="19" t="n">
        <f aca="false">Inputs!$F$97*CO33</f>
        <v>0</v>
      </c>
      <c r="CP36" s="19" t="n">
        <f aca="false">Inputs!$F$97*CP33</f>
        <v>0</v>
      </c>
      <c r="CQ36" s="19" t="n">
        <f aca="false">Inputs!$F$97*CQ33</f>
        <v>0</v>
      </c>
      <c r="CR36" s="19" t="n">
        <f aca="false">Inputs!$F$97*CR33</f>
        <v>0</v>
      </c>
      <c r="CS36" s="19" t="n">
        <f aca="false">Inputs!$F$97*CS33</f>
        <v>0</v>
      </c>
      <c r="CT36" s="19" t="n">
        <f aca="false">Inputs!$F$97*CT33</f>
        <v>0</v>
      </c>
      <c r="CU36" s="19" t="n">
        <f aca="false">Inputs!$F$97*CU33</f>
        <v>0</v>
      </c>
      <c r="CV36" s="19" t="n">
        <f aca="false">Inputs!$F$97*CV33</f>
        <v>0</v>
      </c>
      <c r="CW36" s="19" t="n">
        <f aca="false">Inputs!$F$97*CW33</f>
        <v>0</v>
      </c>
      <c r="CX36" s="19" t="n">
        <f aca="false">Inputs!$F$97*CX33</f>
        <v>0</v>
      </c>
      <c r="CY36" s="19" t="n">
        <f aca="false">Inputs!$F$97*CY33</f>
        <v>0</v>
      </c>
      <c r="CZ36" s="19" t="n">
        <f aca="false">Inputs!$F$97*CZ33</f>
        <v>0</v>
      </c>
      <c r="DA36" s="19" t="n">
        <f aca="false">Inputs!$F$97*DA33</f>
        <v>0</v>
      </c>
      <c r="DB36" s="19" t="n">
        <f aca="false">Inputs!$F$97*DB33</f>
        <v>0</v>
      </c>
    </row>
    <row r="37" customFormat="false" ht="15" hidden="false" customHeight="false" outlineLevel="0" collapsed="false">
      <c r="D37" s="0" t="s">
        <v>466</v>
      </c>
      <c r="E37" s="0" t="s">
        <v>44</v>
      </c>
      <c r="G37" s="19" t="n">
        <f aca="false">SUM(J37:DB37)</f>
        <v>56.9573436016214</v>
      </c>
      <c r="J37" s="19" t="n">
        <f aca="false">Inputs!$F$88*J27</f>
        <v>11.0121811884944</v>
      </c>
      <c r="K37" s="19" t="n">
        <f aca="false">Inputs!$F$88*K27</f>
        <v>4.49496328919066</v>
      </c>
      <c r="L37" s="19" t="n">
        <f aca="false">Inputs!$F$88*L27</f>
        <v>9.2178523920854</v>
      </c>
      <c r="M37" s="19" t="n">
        <f aca="false">Inputs!$F$88*M27</f>
        <v>14.7110428496337</v>
      </c>
      <c r="N37" s="19" t="n">
        <f aca="false">Inputs!$F$88*N27</f>
        <v>17.5213038822171</v>
      </c>
      <c r="O37" s="19" t="n">
        <f aca="false">Inputs!$F$88*O27</f>
        <v>0</v>
      </c>
      <c r="P37" s="19" t="n">
        <f aca="false">Inputs!$F$88*P27</f>
        <v>0</v>
      </c>
      <c r="Q37" s="19" t="n">
        <f aca="false">Inputs!$F$88*Q27</f>
        <v>0</v>
      </c>
      <c r="R37" s="19" t="n">
        <f aca="false">Inputs!$F$88*R27</f>
        <v>0</v>
      </c>
      <c r="S37" s="19" t="n">
        <f aca="false">Inputs!$F$88*S27</f>
        <v>0</v>
      </c>
      <c r="T37" s="19" t="n">
        <f aca="false">Inputs!$F$88*T27</f>
        <v>0</v>
      </c>
      <c r="U37" s="19" t="n">
        <f aca="false">Inputs!$F$88*U27</f>
        <v>0</v>
      </c>
      <c r="V37" s="19" t="n">
        <f aca="false">Inputs!$F$88*V27</f>
        <v>0</v>
      </c>
      <c r="W37" s="19" t="n">
        <f aca="false">Inputs!$F$88*W27</f>
        <v>0</v>
      </c>
      <c r="X37" s="19" t="n">
        <f aca="false">Inputs!$F$88*X27</f>
        <v>0</v>
      </c>
      <c r="Y37" s="19" t="n">
        <f aca="false">Inputs!$F$88*Y27</f>
        <v>0</v>
      </c>
      <c r="Z37" s="19" t="n">
        <f aca="false">Inputs!$F$88*Z27</f>
        <v>0</v>
      </c>
      <c r="AA37" s="19" t="n">
        <f aca="false">Inputs!$F$88*AA27</f>
        <v>0</v>
      </c>
      <c r="AB37" s="19" t="n">
        <f aca="false">Inputs!$F$88*AB27</f>
        <v>0</v>
      </c>
      <c r="AC37" s="19" t="n">
        <f aca="false">Inputs!$F$88*AC27</f>
        <v>0</v>
      </c>
      <c r="AD37" s="19" t="n">
        <f aca="false">Inputs!$F$88*AD27</f>
        <v>0</v>
      </c>
      <c r="AE37" s="19" t="n">
        <f aca="false">Inputs!$F$88*AE27</f>
        <v>0</v>
      </c>
      <c r="AF37" s="19" t="n">
        <f aca="false">Inputs!$F$88*AF27</f>
        <v>0</v>
      </c>
      <c r="AG37" s="19" t="n">
        <f aca="false">Inputs!$F$88*AG27</f>
        <v>0</v>
      </c>
      <c r="AH37" s="19" t="n">
        <f aca="false">Inputs!$F$88*AH27</f>
        <v>0</v>
      </c>
      <c r="AI37" s="19" t="n">
        <f aca="false">Inputs!$F$88*AI27</f>
        <v>0</v>
      </c>
      <c r="AJ37" s="19" t="n">
        <f aca="false">Inputs!$F$88*AJ27</f>
        <v>0</v>
      </c>
      <c r="AK37" s="19" t="n">
        <f aca="false">Inputs!$F$88*AK27</f>
        <v>0</v>
      </c>
      <c r="AL37" s="19" t="n">
        <f aca="false">Inputs!$F$88*AL27</f>
        <v>0</v>
      </c>
      <c r="AM37" s="19" t="n">
        <f aca="false">Inputs!$F$88*AM27</f>
        <v>0</v>
      </c>
      <c r="AN37" s="19" t="n">
        <f aca="false">Inputs!$F$88*AN27</f>
        <v>0</v>
      </c>
      <c r="AO37" s="19" t="n">
        <f aca="false">Inputs!$F$88*AO27</f>
        <v>0</v>
      </c>
      <c r="AP37" s="19" t="n">
        <f aca="false">Inputs!$F$88*AP27</f>
        <v>0</v>
      </c>
      <c r="AQ37" s="19" t="n">
        <f aca="false">Inputs!$F$88*AQ27</f>
        <v>0</v>
      </c>
      <c r="AR37" s="19" t="n">
        <f aca="false">Inputs!$F$88*AR27</f>
        <v>0</v>
      </c>
      <c r="AS37" s="19" t="n">
        <f aca="false">Inputs!$F$88*AS27</f>
        <v>0</v>
      </c>
      <c r="AT37" s="19" t="n">
        <f aca="false">Inputs!$F$88*AT27</f>
        <v>0</v>
      </c>
      <c r="AU37" s="19" t="n">
        <f aca="false">Inputs!$F$88*AU27</f>
        <v>0</v>
      </c>
      <c r="AV37" s="19" t="n">
        <f aca="false">Inputs!$F$88*AV27</f>
        <v>0</v>
      </c>
      <c r="AW37" s="19" t="n">
        <f aca="false">Inputs!$F$88*AW27</f>
        <v>0</v>
      </c>
      <c r="AX37" s="19" t="n">
        <f aca="false">Inputs!$F$88*AX27</f>
        <v>0</v>
      </c>
      <c r="AY37" s="19" t="n">
        <f aca="false">Inputs!$F$88*AY27</f>
        <v>0</v>
      </c>
      <c r="AZ37" s="19" t="n">
        <f aca="false">Inputs!$F$88*AZ27</f>
        <v>0</v>
      </c>
      <c r="BA37" s="19" t="n">
        <f aca="false">Inputs!$F$88*BA27</f>
        <v>0</v>
      </c>
      <c r="BB37" s="19" t="n">
        <f aca="false">Inputs!$F$88*BB27</f>
        <v>0</v>
      </c>
      <c r="BC37" s="19" t="n">
        <f aca="false">Inputs!$F$88*BC27</f>
        <v>0</v>
      </c>
      <c r="BD37" s="19" t="n">
        <f aca="false">Inputs!$F$88*BD27</f>
        <v>0</v>
      </c>
      <c r="BE37" s="19" t="n">
        <f aca="false">Inputs!$F$88*BE27</f>
        <v>0</v>
      </c>
      <c r="BF37" s="19" t="n">
        <f aca="false">Inputs!$F$88*BF27</f>
        <v>0</v>
      </c>
      <c r="BG37" s="19" t="n">
        <f aca="false">Inputs!$F$88*BG27</f>
        <v>0</v>
      </c>
      <c r="BH37" s="19" t="n">
        <f aca="false">Inputs!$F$88*BH27</f>
        <v>0</v>
      </c>
      <c r="BI37" s="19" t="n">
        <f aca="false">Inputs!$F$88*BI27</f>
        <v>0</v>
      </c>
      <c r="BJ37" s="19" t="n">
        <f aca="false">Inputs!$F$88*BJ27</f>
        <v>0</v>
      </c>
      <c r="BK37" s="19" t="n">
        <f aca="false">Inputs!$F$88*BK27</f>
        <v>0</v>
      </c>
      <c r="BL37" s="19" t="n">
        <f aca="false">Inputs!$F$88*BL27</f>
        <v>0</v>
      </c>
      <c r="BM37" s="19" t="n">
        <f aca="false">Inputs!$F$88*BM27</f>
        <v>0</v>
      </c>
      <c r="BN37" s="19" t="n">
        <f aca="false">Inputs!$F$88*BN27</f>
        <v>0</v>
      </c>
      <c r="BO37" s="19" t="n">
        <f aca="false">Inputs!$F$88*BO27</f>
        <v>0</v>
      </c>
      <c r="BP37" s="19" t="n">
        <f aca="false">Inputs!$F$88*BP27</f>
        <v>0</v>
      </c>
      <c r="BQ37" s="19" t="n">
        <f aca="false">Inputs!$F$88*BQ27</f>
        <v>0</v>
      </c>
      <c r="BR37" s="19" t="n">
        <f aca="false">Inputs!$F$88*BR27</f>
        <v>0</v>
      </c>
      <c r="BS37" s="19" t="n">
        <f aca="false">Inputs!$F$88*BS27</f>
        <v>0</v>
      </c>
      <c r="BT37" s="19" t="n">
        <f aca="false">Inputs!$F$88*BT27</f>
        <v>0</v>
      </c>
      <c r="BU37" s="19" t="n">
        <f aca="false">Inputs!$F$88*BU27</f>
        <v>0</v>
      </c>
      <c r="BV37" s="19" t="n">
        <f aca="false">Inputs!$F$88*BV27</f>
        <v>0</v>
      </c>
      <c r="BW37" s="19" t="n">
        <f aca="false">Inputs!$F$88*BW27</f>
        <v>0</v>
      </c>
      <c r="BX37" s="19" t="n">
        <f aca="false">Inputs!$F$88*BX27</f>
        <v>0</v>
      </c>
      <c r="BY37" s="19" t="n">
        <f aca="false">Inputs!$F$88*BY27</f>
        <v>0</v>
      </c>
      <c r="BZ37" s="19" t="n">
        <f aca="false">Inputs!$F$88*BZ27</f>
        <v>0</v>
      </c>
      <c r="CA37" s="19" t="n">
        <f aca="false">Inputs!$F$88*CA27</f>
        <v>0</v>
      </c>
      <c r="CB37" s="19" t="n">
        <f aca="false">Inputs!$F$88*CB27</f>
        <v>0</v>
      </c>
      <c r="CC37" s="19" t="n">
        <f aca="false">Inputs!$F$88*CC27</f>
        <v>0</v>
      </c>
      <c r="CD37" s="19" t="n">
        <f aca="false">Inputs!$F$88*CD27</f>
        <v>0</v>
      </c>
      <c r="CE37" s="19" t="n">
        <f aca="false">Inputs!$F$88*CE27</f>
        <v>0</v>
      </c>
      <c r="CF37" s="19" t="n">
        <f aca="false">Inputs!$F$88*CF27</f>
        <v>0</v>
      </c>
      <c r="CG37" s="19" t="n">
        <f aca="false">Inputs!$F$88*CG27</f>
        <v>0</v>
      </c>
      <c r="CH37" s="19" t="n">
        <f aca="false">Inputs!$F$88*CH27</f>
        <v>0</v>
      </c>
      <c r="CI37" s="19" t="n">
        <f aca="false">Inputs!$F$88*CI27</f>
        <v>0</v>
      </c>
      <c r="CJ37" s="19" t="n">
        <f aca="false">Inputs!$F$88*CJ27</f>
        <v>0</v>
      </c>
      <c r="CK37" s="19" t="n">
        <f aca="false">Inputs!$F$88*CK27</f>
        <v>0</v>
      </c>
      <c r="CL37" s="19" t="n">
        <f aca="false">Inputs!$F$88*CL27</f>
        <v>0</v>
      </c>
      <c r="CM37" s="19" t="n">
        <f aca="false">Inputs!$F$88*CM27</f>
        <v>0</v>
      </c>
      <c r="CN37" s="19" t="n">
        <f aca="false">Inputs!$F$88*CN27</f>
        <v>0</v>
      </c>
      <c r="CO37" s="19" t="n">
        <f aca="false">Inputs!$F$88*CO27</f>
        <v>0</v>
      </c>
      <c r="CP37" s="19" t="n">
        <f aca="false">Inputs!$F$88*CP27</f>
        <v>0</v>
      </c>
      <c r="CQ37" s="19" t="n">
        <f aca="false">Inputs!$F$88*CQ27</f>
        <v>0</v>
      </c>
      <c r="CR37" s="19" t="n">
        <f aca="false">Inputs!$F$88*CR27</f>
        <v>0</v>
      </c>
      <c r="CS37" s="19" t="n">
        <f aca="false">Inputs!$F$88*CS27</f>
        <v>0</v>
      </c>
      <c r="CT37" s="19" t="n">
        <f aca="false">Inputs!$F$88*CT27</f>
        <v>0</v>
      </c>
      <c r="CU37" s="19" t="n">
        <f aca="false">Inputs!$F$88*CU27</f>
        <v>0</v>
      </c>
      <c r="CV37" s="19" t="n">
        <f aca="false">Inputs!$F$88*CV27</f>
        <v>0</v>
      </c>
      <c r="CW37" s="19" t="n">
        <f aca="false">Inputs!$F$88*CW27</f>
        <v>0</v>
      </c>
      <c r="CX37" s="19" t="n">
        <f aca="false">Inputs!$F$88*CX27</f>
        <v>0</v>
      </c>
      <c r="CY37" s="19" t="n">
        <f aca="false">Inputs!$F$88*CY27</f>
        <v>0</v>
      </c>
      <c r="CZ37" s="19" t="n">
        <f aca="false">Inputs!$F$88*CZ27</f>
        <v>0</v>
      </c>
      <c r="DA37" s="19" t="n">
        <f aca="false">Inputs!$F$88*DA27</f>
        <v>0</v>
      </c>
      <c r="DB37" s="19" t="n">
        <f aca="false">Inputs!$F$88*DB27</f>
        <v>0</v>
      </c>
    </row>
    <row r="38" customFormat="false" ht="15" hidden="false" customHeight="false" outlineLevel="0" collapsed="false">
      <c r="D38" s="0" t="s">
        <v>467</v>
      </c>
      <c r="E38" s="0" t="s">
        <v>44</v>
      </c>
      <c r="G38" s="19" t="n">
        <f aca="false">SUM(J38:DB38)</f>
        <v>322.758280409188</v>
      </c>
      <c r="J38" s="19" t="n">
        <f aca="false">J27-J37</f>
        <v>62.402360068135</v>
      </c>
      <c r="K38" s="19" t="n">
        <f aca="false">K27-K37</f>
        <v>25.4714586387471</v>
      </c>
      <c r="L38" s="19" t="n">
        <f aca="false">L27-L37</f>
        <v>52.2344968884839</v>
      </c>
      <c r="M38" s="19" t="n">
        <f aca="false">M27-M37</f>
        <v>83.3625761479245</v>
      </c>
      <c r="N38" s="19" t="n">
        <f aca="false">N27-N37</f>
        <v>99.2873886658972</v>
      </c>
      <c r="O38" s="19" t="n">
        <f aca="false">O27-O37</f>
        <v>0</v>
      </c>
      <c r="P38" s="19" t="n">
        <f aca="false">P27-P37</f>
        <v>0</v>
      </c>
      <c r="Q38" s="19" t="n">
        <f aca="false">Q27-Q37</f>
        <v>0</v>
      </c>
      <c r="R38" s="19" t="n">
        <f aca="false">R27-R37</f>
        <v>0</v>
      </c>
      <c r="S38" s="19" t="n">
        <f aca="false">S27-S37</f>
        <v>0</v>
      </c>
      <c r="T38" s="19" t="n">
        <f aca="false">T27-T37</f>
        <v>0</v>
      </c>
      <c r="U38" s="19" t="n">
        <f aca="false">U27-U37</f>
        <v>0</v>
      </c>
      <c r="V38" s="19" t="n">
        <f aca="false">V27-V37</f>
        <v>0</v>
      </c>
      <c r="W38" s="19" t="n">
        <f aca="false">W27-W37</f>
        <v>0</v>
      </c>
      <c r="X38" s="19" t="n">
        <f aca="false">X27-X37</f>
        <v>0</v>
      </c>
      <c r="Y38" s="19" t="n">
        <f aca="false">Y27-Y37</f>
        <v>0</v>
      </c>
      <c r="Z38" s="19" t="n">
        <f aca="false">Z27-Z37</f>
        <v>0</v>
      </c>
      <c r="AA38" s="19" t="n">
        <f aca="false">AA27-AA37</f>
        <v>0</v>
      </c>
      <c r="AB38" s="19" t="n">
        <f aca="false">AB27-AB37</f>
        <v>0</v>
      </c>
      <c r="AC38" s="19" t="n">
        <f aca="false">AC27-AC37</f>
        <v>0</v>
      </c>
      <c r="AD38" s="19" t="n">
        <f aca="false">AD27-AD37</f>
        <v>0</v>
      </c>
      <c r="AE38" s="19" t="n">
        <f aca="false">AE27-AE37</f>
        <v>0</v>
      </c>
      <c r="AF38" s="19" t="n">
        <f aca="false">AF27-AF37</f>
        <v>0</v>
      </c>
      <c r="AG38" s="19" t="n">
        <f aca="false">AG27-AG37</f>
        <v>0</v>
      </c>
      <c r="AH38" s="19" t="n">
        <f aca="false">AH27-AH37</f>
        <v>0</v>
      </c>
      <c r="AI38" s="19" t="n">
        <f aca="false">AI27-AI37</f>
        <v>0</v>
      </c>
      <c r="AJ38" s="19" t="n">
        <f aca="false">AJ27-AJ37</f>
        <v>0</v>
      </c>
      <c r="AK38" s="19" t="n">
        <f aca="false">AK27-AK37</f>
        <v>0</v>
      </c>
      <c r="AL38" s="19" t="n">
        <f aca="false">AL27-AL37</f>
        <v>0</v>
      </c>
      <c r="AM38" s="19" t="n">
        <f aca="false">AM27-AM37</f>
        <v>0</v>
      </c>
      <c r="AN38" s="19" t="n">
        <f aca="false">AN27-AN37</f>
        <v>0</v>
      </c>
      <c r="AO38" s="19" t="n">
        <f aca="false">AO27-AO37</f>
        <v>0</v>
      </c>
      <c r="AP38" s="19" t="n">
        <f aca="false">AP27-AP37</f>
        <v>0</v>
      </c>
      <c r="AQ38" s="19" t="n">
        <f aca="false">AQ27-AQ37</f>
        <v>0</v>
      </c>
      <c r="AR38" s="19" t="n">
        <f aca="false">AR27-AR37</f>
        <v>0</v>
      </c>
      <c r="AS38" s="19" t="n">
        <f aca="false">AS27-AS37</f>
        <v>0</v>
      </c>
      <c r="AT38" s="19" t="n">
        <f aca="false">AT27-AT37</f>
        <v>0</v>
      </c>
      <c r="AU38" s="19" t="n">
        <f aca="false">AU27-AU37</f>
        <v>0</v>
      </c>
      <c r="AV38" s="19" t="n">
        <f aca="false">AV27-AV37</f>
        <v>0</v>
      </c>
      <c r="AW38" s="19" t="n">
        <f aca="false">AW27-AW37</f>
        <v>0</v>
      </c>
      <c r="AX38" s="19" t="n">
        <f aca="false">AX27-AX37</f>
        <v>0</v>
      </c>
      <c r="AY38" s="19" t="n">
        <f aca="false">AY27-AY37</f>
        <v>0</v>
      </c>
      <c r="AZ38" s="19" t="n">
        <f aca="false">AZ27-AZ37</f>
        <v>0</v>
      </c>
      <c r="BA38" s="19" t="n">
        <f aca="false">BA27-BA37</f>
        <v>0</v>
      </c>
      <c r="BB38" s="19" t="n">
        <f aca="false">BB27-BB37</f>
        <v>0</v>
      </c>
      <c r="BC38" s="19" t="n">
        <f aca="false">BC27-BC37</f>
        <v>0</v>
      </c>
      <c r="BD38" s="19" t="n">
        <f aca="false">BD27-BD37</f>
        <v>0</v>
      </c>
      <c r="BE38" s="19" t="n">
        <f aca="false">BE27-BE37</f>
        <v>0</v>
      </c>
      <c r="BF38" s="19" t="n">
        <f aca="false">BF27-BF37</f>
        <v>0</v>
      </c>
      <c r="BG38" s="19" t="n">
        <f aca="false">BG27-BG37</f>
        <v>0</v>
      </c>
      <c r="BH38" s="19" t="n">
        <f aca="false">BH27-BH37</f>
        <v>0</v>
      </c>
      <c r="BI38" s="19" t="n">
        <f aca="false">BI27-BI37</f>
        <v>0</v>
      </c>
      <c r="BJ38" s="19" t="n">
        <f aca="false">BJ27-BJ37</f>
        <v>0</v>
      </c>
      <c r="BK38" s="19" t="n">
        <f aca="false">BK27-BK37</f>
        <v>0</v>
      </c>
      <c r="BL38" s="19" t="n">
        <f aca="false">BL27-BL37</f>
        <v>0</v>
      </c>
      <c r="BM38" s="19" t="n">
        <f aca="false">BM27-BM37</f>
        <v>0</v>
      </c>
      <c r="BN38" s="19" t="n">
        <f aca="false">BN27-BN37</f>
        <v>0</v>
      </c>
      <c r="BO38" s="19" t="n">
        <f aca="false">BO27-BO37</f>
        <v>0</v>
      </c>
      <c r="BP38" s="19" t="n">
        <f aca="false">BP27-BP37</f>
        <v>0</v>
      </c>
      <c r="BQ38" s="19" t="n">
        <f aca="false">BQ27-BQ37</f>
        <v>0</v>
      </c>
      <c r="BR38" s="19" t="n">
        <f aca="false">BR27-BR37</f>
        <v>0</v>
      </c>
      <c r="BS38" s="19" t="n">
        <f aca="false">BS27-BS37</f>
        <v>0</v>
      </c>
      <c r="BT38" s="19" t="n">
        <f aca="false">BT27-BT37</f>
        <v>0</v>
      </c>
      <c r="BU38" s="19" t="n">
        <f aca="false">BU27-BU37</f>
        <v>0</v>
      </c>
      <c r="BV38" s="19" t="n">
        <f aca="false">BV27-BV37</f>
        <v>0</v>
      </c>
      <c r="BW38" s="19" t="n">
        <f aca="false">BW27-BW37</f>
        <v>0</v>
      </c>
      <c r="BX38" s="19" t="n">
        <f aca="false">BX27-BX37</f>
        <v>0</v>
      </c>
      <c r="BY38" s="19" t="n">
        <f aca="false">BY27-BY37</f>
        <v>0</v>
      </c>
      <c r="BZ38" s="19" t="n">
        <f aca="false">BZ27-BZ37</f>
        <v>0</v>
      </c>
      <c r="CA38" s="19" t="n">
        <f aca="false">CA27-CA37</f>
        <v>0</v>
      </c>
      <c r="CB38" s="19" t="n">
        <f aca="false">CB27-CB37</f>
        <v>0</v>
      </c>
      <c r="CC38" s="19" t="n">
        <f aca="false">CC27-CC37</f>
        <v>0</v>
      </c>
      <c r="CD38" s="19" t="n">
        <f aca="false">CD27-CD37</f>
        <v>0</v>
      </c>
      <c r="CE38" s="19" t="n">
        <f aca="false">CE27-CE37</f>
        <v>0</v>
      </c>
      <c r="CF38" s="19" t="n">
        <f aca="false">CF27-CF37</f>
        <v>0</v>
      </c>
      <c r="CG38" s="19" t="n">
        <f aca="false">CG27-CG37</f>
        <v>0</v>
      </c>
      <c r="CH38" s="19" t="n">
        <f aca="false">CH27-CH37</f>
        <v>0</v>
      </c>
      <c r="CI38" s="19" t="n">
        <f aca="false">CI27-CI37</f>
        <v>0</v>
      </c>
      <c r="CJ38" s="19" t="n">
        <f aca="false">CJ27-CJ37</f>
        <v>0</v>
      </c>
      <c r="CK38" s="19" t="n">
        <f aca="false">CK27-CK37</f>
        <v>0</v>
      </c>
      <c r="CL38" s="19" t="n">
        <f aca="false">CL27-CL37</f>
        <v>0</v>
      </c>
      <c r="CM38" s="19" t="n">
        <f aca="false">CM27-CM37</f>
        <v>0</v>
      </c>
      <c r="CN38" s="19" t="n">
        <f aca="false">CN27-CN37</f>
        <v>0</v>
      </c>
      <c r="CO38" s="19" t="n">
        <f aca="false">CO27-CO37</f>
        <v>0</v>
      </c>
      <c r="CP38" s="19" t="n">
        <f aca="false">CP27-CP37</f>
        <v>0</v>
      </c>
      <c r="CQ38" s="19" t="n">
        <f aca="false">CQ27-CQ37</f>
        <v>0</v>
      </c>
      <c r="CR38" s="19" t="n">
        <f aca="false">CR27-CR37</f>
        <v>0</v>
      </c>
      <c r="CS38" s="19" t="n">
        <f aca="false">CS27-CS37</f>
        <v>0</v>
      </c>
      <c r="CT38" s="19" t="n">
        <f aca="false">CT27-CT37</f>
        <v>0</v>
      </c>
      <c r="CU38" s="19" t="n">
        <f aca="false">CU27-CU37</f>
        <v>0</v>
      </c>
      <c r="CV38" s="19" t="n">
        <f aca="false">CV27-CV37</f>
        <v>0</v>
      </c>
      <c r="CW38" s="19" t="n">
        <f aca="false">CW27-CW37</f>
        <v>0</v>
      </c>
      <c r="CX38" s="19" t="n">
        <f aca="false">CX27-CX37</f>
        <v>0</v>
      </c>
      <c r="CY38" s="19" t="n">
        <f aca="false">CY27-CY37</f>
        <v>0</v>
      </c>
      <c r="CZ38" s="19" t="n">
        <f aca="false">CZ27-CZ37</f>
        <v>0</v>
      </c>
      <c r="DA38" s="19" t="n">
        <f aca="false">DA27-DA37</f>
        <v>0</v>
      </c>
      <c r="DB38" s="19" t="n">
        <f aca="false">DB27-DB37</f>
        <v>0</v>
      </c>
    </row>
    <row r="39" customFormat="false" ht="15" hidden="false" customHeight="false" outlineLevel="0" collapsed="false">
      <c r="D39" s="0" t="s">
        <v>468</v>
      </c>
      <c r="E39" s="0" t="s">
        <v>44</v>
      </c>
      <c r="G39" s="19" t="n">
        <f aca="false">SUM(J39:DB39)</f>
        <v>287.4</v>
      </c>
      <c r="J39" s="19" t="n">
        <f aca="false">Inputs!$F$227*Time!J27</f>
        <v>0</v>
      </c>
      <c r="K39" s="19" t="n">
        <f aca="false">Inputs!$F$227*Time!K27</f>
        <v>0</v>
      </c>
      <c r="L39" s="19" t="n">
        <f aca="false">Inputs!$F$227*Time!L27</f>
        <v>0</v>
      </c>
      <c r="M39" s="19" t="n">
        <f aca="false">Inputs!$F$227*Time!M27</f>
        <v>0</v>
      </c>
      <c r="N39" s="19" t="n">
        <f aca="false">Inputs!$F$227*Time!N27</f>
        <v>0</v>
      </c>
      <c r="O39" s="19" t="n">
        <f aca="false">Inputs!$F$227*Time!O27</f>
        <v>0</v>
      </c>
      <c r="P39" s="19" t="n">
        <f aca="false">Inputs!$F$227*Time!P27</f>
        <v>0</v>
      </c>
      <c r="Q39" s="19" t="n">
        <f aca="false">Inputs!$F$227*Time!Q27</f>
        <v>0</v>
      </c>
      <c r="R39" s="19" t="n">
        <f aca="false">Inputs!$F$227*Time!R27</f>
        <v>0</v>
      </c>
      <c r="S39" s="19" t="n">
        <f aca="false">Inputs!$F$227*Time!S27</f>
        <v>0</v>
      </c>
      <c r="T39" s="19" t="n">
        <f aca="false">Inputs!$F$227*Time!T27</f>
        <v>0</v>
      </c>
      <c r="U39" s="19" t="n">
        <f aca="false">Inputs!$F$227*Time!U27</f>
        <v>0</v>
      </c>
      <c r="V39" s="19" t="n">
        <f aca="false">Inputs!$F$227*Time!V27</f>
        <v>0</v>
      </c>
      <c r="W39" s="19" t="n">
        <f aca="false">Inputs!$F$227*Time!W27</f>
        <v>0</v>
      </c>
      <c r="X39" s="19" t="n">
        <f aca="false">Inputs!$F$227*Time!X27</f>
        <v>0</v>
      </c>
      <c r="Y39" s="19" t="n">
        <f aca="false">Inputs!$F$227*Time!Y27</f>
        <v>287.4</v>
      </c>
      <c r="Z39" s="19" t="n">
        <f aca="false">Inputs!$F$227*Time!Z27</f>
        <v>0</v>
      </c>
      <c r="AA39" s="19" t="n">
        <f aca="false">Inputs!$F$227*Time!AA27</f>
        <v>0</v>
      </c>
      <c r="AB39" s="19" t="n">
        <f aca="false">Inputs!$F$227*Time!AB27</f>
        <v>0</v>
      </c>
      <c r="AC39" s="19" t="n">
        <f aca="false">Inputs!$F$227*Time!AC27</f>
        <v>0</v>
      </c>
      <c r="AD39" s="19" t="n">
        <f aca="false">Inputs!$F$227*Time!AD27</f>
        <v>0</v>
      </c>
      <c r="AE39" s="19" t="n">
        <f aca="false">Inputs!$F$227*Time!AE27</f>
        <v>0</v>
      </c>
      <c r="AF39" s="19" t="n">
        <f aca="false">Inputs!$F$227*Time!AF27</f>
        <v>0</v>
      </c>
      <c r="AG39" s="19" t="n">
        <f aca="false">Inputs!$F$227*Time!AG27</f>
        <v>0</v>
      </c>
      <c r="AH39" s="19" t="n">
        <f aca="false">Inputs!$F$227*Time!AH27</f>
        <v>0</v>
      </c>
      <c r="AI39" s="19" t="n">
        <f aca="false">Inputs!$F$227*Time!AI27</f>
        <v>0</v>
      </c>
      <c r="AJ39" s="19" t="n">
        <f aca="false">Inputs!$F$227*Time!AJ27</f>
        <v>0</v>
      </c>
      <c r="AK39" s="19" t="n">
        <f aca="false">Inputs!$F$227*Time!AK27</f>
        <v>0</v>
      </c>
      <c r="AL39" s="19" t="n">
        <f aca="false">Inputs!$F$227*Time!AL27</f>
        <v>0</v>
      </c>
      <c r="AM39" s="19" t="n">
        <f aca="false">Inputs!$F$227*Time!AM27</f>
        <v>0</v>
      </c>
      <c r="AN39" s="19" t="n">
        <f aca="false">Inputs!$F$227*Time!AN27</f>
        <v>0</v>
      </c>
      <c r="AO39" s="19" t="n">
        <f aca="false">Inputs!$F$227*Time!AO27</f>
        <v>0</v>
      </c>
      <c r="AP39" s="19" t="n">
        <f aca="false">Inputs!$F$227*Time!AP27</f>
        <v>0</v>
      </c>
      <c r="AQ39" s="19" t="n">
        <f aca="false">Inputs!$F$227*Time!AQ27</f>
        <v>0</v>
      </c>
      <c r="AR39" s="19" t="n">
        <f aca="false">Inputs!$F$227*Time!AR27</f>
        <v>0</v>
      </c>
      <c r="AS39" s="19" t="n">
        <f aca="false">Inputs!$F$227*Time!AS27</f>
        <v>0</v>
      </c>
      <c r="AT39" s="19" t="n">
        <f aca="false">Inputs!$F$227*Time!AT27</f>
        <v>0</v>
      </c>
      <c r="AU39" s="19" t="n">
        <f aca="false">Inputs!$F$227*Time!AU27</f>
        <v>0</v>
      </c>
      <c r="AV39" s="19" t="n">
        <f aca="false">Inputs!$F$227*Time!AV27</f>
        <v>0</v>
      </c>
      <c r="AW39" s="19" t="n">
        <f aca="false">Inputs!$F$227*Time!AW27</f>
        <v>0</v>
      </c>
      <c r="AX39" s="19" t="n">
        <f aca="false">Inputs!$F$227*Time!AX27</f>
        <v>0</v>
      </c>
      <c r="AY39" s="19" t="n">
        <f aca="false">Inputs!$F$227*Time!AY27</f>
        <v>0</v>
      </c>
      <c r="AZ39" s="19" t="n">
        <f aca="false">Inputs!$F$227*Time!AZ27</f>
        <v>0</v>
      </c>
      <c r="BA39" s="19" t="n">
        <f aca="false">Inputs!$F$227*Time!BA27</f>
        <v>0</v>
      </c>
      <c r="BB39" s="19" t="n">
        <f aca="false">Inputs!$F$227*Time!BB27</f>
        <v>0</v>
      </c>
      <c r="BC39" s="19" t="n">
        <f aca="false">Inputs!$F$227*Time!BC27</f>
        <v>0</v>
      </c>
      <c r="BD39" s="19" t="n">
        <f aca="false">Inputs!$F$227*Time!BD27</f>
        <v>0</v>
      </c>
      <c r="BE39" s="19" t="n">
        <f aca="false">Inputs!$F$227*Time!BE27</f>
        <v>0</v>
      </c>
      <c r="BF39" s="19" t="n">
        <f aca="false">Inputs!$F$227*Time!BF27</f>
        <v>0</v>
      </c>
      <c r="BG39" s="19" t="n">
        <f aca="false">Inputs!$F$227*Time!BG27</f>
        <v>0</v>
      </c>
      <c r="BH39" s="19" t="n">
        <f aca="false">Inputs!$F$227*Time!BH27</f>
        <v>0</v>
      </c>
      <c r="BI39" s="19" t="n">
        <f aca="false">Inputs!$F$227*Time!BI27</f>
        <v>0</v>
      </c>
      <c r="BJ39" s="19" t="n">
        <f aca="false">Inputs!$F$227*Time!BJ27</f>
        <v>0</v>
      </c>
      <c r="BK39" s="19" t="n">
        <f aca="false">Inputs!$F$227*Time!BK27</f>
        <v>0</v>
      </c>
      <c r="BL39" s="19" t="n">
        <f aca="false">Inputs!$F$227*Time!BL27</f>
        <v>0</v>
      </c>
      <c r="BM39" s="19" t="n">
        <f aca="false">Inputs!$F$227*Time!BM27</f>
        <v>0</v>
      </c>
      <c r="BN39" s="19" t="n">
        <f aca="false">Inputs!$F$227*Time!BN27</f>
        <v>0</v>
      </c>
      <c r="BO39" s="19" t="n">
        <f aca="false">Inputs!$F$227*Time!BO27</f>
        <v>0</v>
      </c>
      <c r="BP39" s="19" t="n">
        <f aca="false">Inputs!$F$227*Time!BP27</f>
        <v>0</v>
      </c>
      <c r="BQ39" s="19" t="n">
        <f aca="false">Inputs!$F$227*Time!BQ27</f>
        <v>0</v>
      </c>
      <c r="BR39" s="19" t="n">
        <f aca="false">Inputs!$F$227*Time!BR27</f>
        <v>0</v>
      </c>
      <c r="BS39" s="19" t="n">
        <f aca="false">Inputs!$F$227*Time!BS27</f>
        <v>0</v>
      </c>
      <c r="BT39" s="19" t="n">
        <f aca="false">Inputs!$F$227*Time!BT27</f>
        <v>0</v>
      </c>
      <c r="BU39" s="19" t="n">
        <f aca="false">Inputs!$F$227*Time!BU27</f>
        <v>0</v>
      </c>
      <c r="BV39" s="19" t="n">
        <f aca="false">Inputs!$F$227*Time!BV27</f>
        <v>0</v>
      </c>
      <c r="BW39" s="19" t="n">
        <f aca="false">Inputs!$F$227*Time!BW27</f>
        <v>0</v>
      </c>
      <c r="BX39" s="19" t="n">
        <f aca="false">Inputs!$F$227*Time!BX27</f>
        <v>0</v>
      </c>
      <c r="BY39" s="19" t="n">
        <f aca="false">Inputs!$F$227*Time!BY27</f>
        <v>0</v>
      </c>
      <c r="BZ39" s="19" t="n">
        <f aca="false">Inputs!$F$227*Time!BZ27</f>
        <v>0</v>
      </c>
      <c r="CA39" s="19" t="n">
        <f aca="false">Inputs!$F$227*Time!CA27</f>
        <v>0</v>
      </c>
      <c r="CB39" s="19" t="n">
        <f aca="false">Inputs!$F$227*Time!CB27</f>
        <v>0</v>
      </c>
      <c r="CC39" s="19" t="n">
        <f aca="false">Inputs!$F$227*Time!CC27</f>
        <v>0</v>
      </c>
      <c r="CD39" s="19" t="n">
        <f aca="false">Inputs!$F$227*Time!CD27</f>
        <v>0</v>
      </c>
      <c r="CE39" s="19" t="n">
        <f aca="false">Inputs!$F$227*Time!CE27</f>
        <v>0</v>
      </c>
      <c r="CF39" s="19" t="n">
        <f aca="false">Inputs!$F$227*Time!CF27</f>
        <v>0</v>
      </c>
      <c r="CG39" s="19" t="n">
        <f aca="false">Inputs!$F$227*Time!CG27</f>
        <v>0</v>
      </c>
      <c r="CH39" s="19" t="n">
        <f aca="false">Inputs!$F$227*Time!CH27</f>
        <v>0</v>
      </c>
      <c r="CI39" s="19" t="n">
        <f aca="false">Inputs!$F$227*Time!CI27</f>
        <v>0</v>
      </c>
      <c r="CJ39" s="19" t="n">
        <f aca="false">Inputs!$F$227*Time!CJ27</f>
        <v>0</v>
      </c>
      <c r="CK39" s="19" t="n">
        <f aca="false">Inputs!$F$227*Time!CK27</f>
        <v>0</v>
      </c>
      <c r="CL39" s="19" t="n">
        <f aca="false">Inputs!$F$227*Time!CL27</f>
        <v>0</v>
      </c>
      <c r="CM39" s="19" t="n">
        <f aca="false">Inputs!$F$227*Time!CM27</f>
        <v>0</v>
      </c>
      <c r="CN39" s="19" t="n">
        <f aca="false">Inputs!$F$227*Time!CN27</f>
        <v>0</v>
      </c>
      <c r="CO39" s="19" t="n">
        <f aca="false">Inputs!$F$227*Time!CO27</f>
        <v>0</v>
      </c>
      <c r="CP39" s="19" t="n">
        <f aca="false">Inputs!$F$227*Time!CP27</f>
        <v>0</v>
      </c>
      <c r="CQ39" s="19" t="n">
        <f aca="false">Inputs!$F$227*Time!CQ27</f>
        <v>0</v>
      </c>
      <c r="CR39" s="19" t="n">
        <f aca="false">Inputs!$F$227*Time!CR27</f>
        <v>0</v>
      </c>
      <c r="CS39" s="19" t="n">
        <f aca="false">Inputs!$F$227*Time!CS27</f>
        <v>0</v>
      </c>
      <c r="CT39" s="19" t="n">
        <f aca="false">Inputs!$F$227*Time!CT27</f>
        <v>0</v>
      </c>
      <c r="CU39" s="19" t="n">
        <f aca="false">Inputs!$F$227*Time!CU27</f>
        <v>0</v>
      </c>
      <c r="CV39" s="19" t="n">
        <f aca="false">Inputs!$F$227*Time!CV27</f>
        <v>0</v>
      </c>
      <c r="CW39" s="19" t="n">
        <f aca="false">Inputs!$F$227*Time!CW27</f>
        <v>0</v>
      </c>
      <c r="CX39" s="19" t="n">
        <f aca="false">Inputs!$F$227*Time!CX27</f>
        <v>0</v>
      </c>
      <c r="CY39" s="19" t="n">
        <f aca="false">Inputs!$F$227*Time!CY27</f>
        <v>0</v>
      </c>
      <c r="CZ39" s="19" t="n">
        <f aca="false">Inputs!$F$227*Time!CZ27</f>
        <v>0</v>
      </c>
      <c r="DA39" s="19" t="n">
        <f aca="false">Inputs!$F$227*Time!DA27</f>
        <v>0</v>
      </c>
      <c r="DB39" s="19" t="n">
        <f aca="false">Inputs!$F$227*Time!DB27</f>
        <v>0</v>
      </c>
    </row>
    <row r="40" customFormat="false" ht="15" hidden="false" customHeight="false" outlineLevel="0" collapsed="false">
      <c r="D40" s="0" t="s">
        <v>469</v>
      </c>
      <c r="E40" s="0" t="s">
        <v>44</v>
      </c>
      <c r="J40" s="19" t="n">
        <f aca="false">J17+J31-J39</f>
        <v>0</v>
      </c>
      <c r="K40" s="19" t="n">
        <f aca="false">K17+K31-K39</f>
        <v>0</v>
      </c>
      <c r="L40" s="19" t="n">
        <f aca="false">L17+L31-L39</f>
        <v>0</v>
      </c>
      <c r="M40" s="19" t="n">
        <f aca="false">M17+M31-M39</f>
        <v>0</v>
      </c>
      <c r="N40" s="19" t="n">
        <f aca="false">N17+N31-N39</f>
        <v>0</v>
      </c>
      <c r="O40" s="19" t="n">
        <f aca="false">O17+O31-O39</f>
        <v>0</v>
      </c>
      <c r="P40" s="19" t="n">
        <f aca="false">P17+P31-P39</f>
        <v>0</v>
      </c>
      <c r="Q40" s="19" t="n">
        <f aca="false">Q17+Q31-Q39</f>
        <v>0</v>
      </c>
      <c r="R40" s="19" t="n">
        <f aca="false">R17+R31-R39</f>
        <v>0</v>
      </c>
      <c r="S40" s="19" t="n">
        <f aca="false">S17+S31-S39</f>
        <v>0</v>
      </c>
      <c r="T40" s="19" t="n">
        <f aca="false">T17+T31-T39</f>
        <v>74.0003095242777</v>
      </c>
      <c r="U40" s="19" t="n">
        <f aca="false">U17+U31-U39</f>
        <v>134.971106194803</v>
      </c>
      <c r="V40" s="19" t="n">
        <f aca="false">V17+V31-V39</f>
        <v>180.740139861133</v>
      </c>
      <c r="W40" s="19" t="n">
        <f aca="false">W17+W31-W39</f>
        <v>210.992588436547</v>
      </c>
      <c r="X40" s="19" t="n">
        <f aca="false">X17+X31-X39</f>
        <v>227.804512906705</v>
      </c>
      <c r="Y40" s="19" t="n">
        <f aca="false">Y17+Y31-Y39</f>
        <v>0</v>
      </c>
      <c r="Z40" s="19" t="n">
        <f aca="false">Z17+Z31-Z39</f>
        <v>0</v>
      </c>
      <c r="AA40" s="19" t="n">
        <f aca="false">AA17+AA31-AA39</f>
        <v>0</v>
      </c>
      <c r="AB40" s="19" t="n">
        <f aca="false">AB17+AB31-AB39</f>
        <v>0</v>
      </c>
      <c r="AC40" s="19" t="n">
        <f aca="false">AC17+AC31-AC39</f>
        <v>0</v>
      </c>
      <c r="AD40" s="19" t="n">
        <f aca="false">AD17+AD31-AD39</f>
        <v>0</v>
      </c>
      <c r="AE40" s="19" t="n">
        <f aca="false">AE17+AE31-AE39</f>
        <v>0</v>
      </c>
      <c r="AF40" s="19" t="n">
        <f aca="false">AF17+AF31-AF39</f>
        <v>0</v>
      </c>
      <c r="AG40" s="19" t="n">
        <f aca="false">AG17+AG31-AG39</f>
        <v>0</v>
      </c>
      <c r="AH40" s="19" t="n">
        <f aca="false">AH17+AH31-AH39</f>
        <v>0</v>
      </c>
      <c r="AI40" s="19" t="n">
        <f aca="false">AI17+AI31-AI39</f>
        <v>0</v>
      </c>
      <c r="AJ40" s="19" t="n">
        <f aca="false">AJ17+AJ31-AJ39</f>
        <v>0</v>
      </c>
      <c r="AK40" s="19" t="n">
        <f aca="false">AK17+AK31-AK39</f>
        <v>0</v>
      </c>
      <c r="AL40" s="19" t="n">
        <f aca="false">AL17+AL31-AL39</f>
        <v>0</v>
      </c>
      <c r="AM40" s="19" t="n">
        <f aca="false">AM17+AM31-AM39</f>
        <v>0</v>
      </c>
      <c r="AN40" s="19" t="n">
        <f aca="false">AN17+AN31-AN39</f>
        <v>0</v>
      </c>
      <c r="AO40" s="19" t="n">
        <f aca="false">AO17+AO31-AO39</f>
        <v>0</v>
      </c>
      <c r="AP40" s="19" t="n">
        <f aca="false">AP17+AP31-AP39</f>
        <v>0</v>
      </c>
      <c r="AQ40" s="19" t="n">
        <f aca="false">AQ17+AQ31-AQ39</f>
        <v>0</v>
      </c>
      <c r="AR40" s="19" t="n">
        <f aca="false">AR17+AR31-AR39</f>
        <v>0</v>
      </c>
      <c r="AS40" s="19" t="n">
        <f aca="false">AS17+AS31-AS39</f>
        <v>0</v>
      </c>
      <c r="AT40" s="19" t="n">
        <f aca="false">AT17+AT31-AT39</f>
        <v>0</v>
      </c>
      <c r="AU40" s="19" t="n">
        <f aca="false">AU17+AU31-AU39</f>
        <v>0</v>
      </c>
      <c r="AV40" s="19" t="n">
        <f aca="false">AV17+AV31-AV39</f>
        <v>0</v>
      </c>
      <c r="AW40" s="19" t="n">
        <f aca="false">AW17+AW31-AW39</f>
        <v>0</v>
      </c>
      <c r="AX40" s="19" t="n">
        <f aca="false">AX17+AX31-AX39</f>
        <v>0</v>
      </c>
      <c r="AY40" s="19" t="n">
        <f aca="false">AY17+AY31-AY39</f>
        <v>0</v>
      </c>
      <c r="AZ40" s="19" t="n">
        <f aca="false">AZ17+AZ31-AZ39</f>
        <v>0</v>
      </c>
      <c r="BA40" s="19" t="n">
        <f aca="false">BA17+BA31-BA39</f>
        <v>0</v>
      </c>
      <c r="BB40" s="19" t="n">
        <f aca="false">BB17+BB31-BB39</f>
        <v>0</v>
      </c>
      <c r="BC40" s="19" t="n">
        <f aca="false">BC17+BC31-BC39</f>
        <v>0</v>
      </c>
      <c r="BD40" s="19" t="n">
        <f aca="false">BD17+BD31-BD39</f>
        <v>0</v>
      </c>
      <c r="BE40" s="19" t="n">
        <f aca="false">BE17+BE31-BE39</f>
        <v>0</v>
      </c>
      <c r="BF40" s="19" t="n">
        <f aca="false">BF17+BF31-BF39</f>
        <v>0</v>
      </c>
      <c r="BG40" s="19" t="n">
        <f aca="false">BG17+BG31-BG39</f>
        <v>0</v>
      </c>
      <c r="BH40" s="19" t="n">
        <f aca="false">BH17+BH31-BH39</f>
        <v>0</v>
      </c>
      <c r="BI40" s="19" t="n">
        <f aca="false">BI17+BI31-BI39</f>
        <v>0</v>
      </c>
      <c r="BJ40" s="19" t="n">
        <f aca="false">BJ17+BJ31-BJ39</f>
        <v>0</v>
      </c>
      <c r="BK40" s="19" t="n">
        <f aca="false">BK17+BK31-BK39</f>
        <v>0</v>
      </c>
      <c r="BL40" s="19" t="n">
        <f aca="false">BL17+BL31-BL39</f>
        <v>0</v>
      </c>
      <c r="BM40" s="19" t="n">
        <f aca="false">BM17+BM31-BM39</f>
        <v>0</v>
      </c>
      <c r="BN40" s="19" t="n">
        <f aca="false">BN17+BN31-BN39</f>
        <v>0</v>
      </c>
      <c r="BO40" s="19" t="n">
        <f aca="false">BO17+BO31-BO39</f>
        <v>0</v>
      </c>
      <c r="BP40" s="19" t="n">
        <f aca="false">BP17+BP31-BP39</f>
        <v>0</v>
      </c>
      <c r="BQ40" s="19" t="n">
        <f aca="false">BQ17+BQ31-BQ39</f>
        <v>0</v>
      </c>
      <c r="BR40" s="19" t="n">
        <f aca="false">BR17+BR31-BR39</f>
        <v>0</v>
      </c>
      <c r="BS40" s="19" t="n">
        <f aca="false">BS17+BS31-BS39</f>
        <v>0</v>
      </c>
      <c r="BT40" s="19" t="n">
        <f aca="false">BT17+BT31-BT39</f>
        <v>0</v>
      </c>
      <c r="BU40" s="19" t="n">
        <f aca="false">BU17+BU31-BU39</f>
        <v>0</v>
      </c>
      <c r="BV40" s="19" t="n">
        <f aca="false">BV17+BV31-BV39</f>
        <v>0</v>
      </c>
      <c r="BW40" s="19" t="n">
        <f aca="false">BW17+BW31-BW39</f>
        <v>0</v>
      </c>
      <c r="BX40" s="19" t="n">
        <f aca="false">BX17+BX31-BX39</f>
        <v>0</v>
      </c>
      <c r="BY40" s="19" t="n">
        <f aca="false">BY17+BY31-BY39</f>
        <v>0</v>
      </c>
      <c r="BZ40" s="19" t="n">
        <f aca="false">BZ17+BZ31-BZ39</f>
        <v>0</v>
      </c>
      <c r="CA40" s="19" t="n">
        <f aca="false">CA17+CA31-CA39</f>
        <v>0</v>
      </c>
      <c r="CB40" s="19" t="n">
        <f aca="false">CB17+CB31-CB39</f>
        <v>0</v>
      </c>
      <c r="CC40" s="19" t="n">
        <f aca="false">CC17+CC31-CC39</f>
        <v>0</v>
      </c>
      <c r="CD40" s="19" t="n">
        <f aca="false">CD17+CD31-CD39</f>
        <v>0</v>
      </c>
      <c r="CE40" s="19" t="n">
        <f aca="false">CE17+CE31-CE39</f>
        <v>0</v>
      </c>
      <c r="CF40" s="19" t="n">
        <f aca="false">CF17+CF31-CF39</f>
        <v>0</v>
      </c>
      <c r="CG40" s="19" t="n">
        <f aca="false">CG17+CG31-CG39</f>
        <v>0</v>
      </c>
      <c r="CH40" s="19" t="n">
        <f aca="false">CH17+CH31-CH39</f>
        <v>0</v>
      </c>
      <c r="CI40" s="19" t="n">
        <f aca="false">CI17+CI31-CI39</f>
        <v>0</v>
      </c>
      <c r="CJ40" s="19" t="n">
        <f aca="false">CJ17+CJ31-CJ39</f>
        <v>0</v>
      </c>
      <c r="CK40" s="19" t="n">
        <f aca="false">CK17+CK31-CK39</f>
        <v>0</v>
      </c>
      <c r="CL40" s="19" t="n">
        <f aca="false">CL17+CL31-CL39</f>
        <v>0</v>
      </c>
      <c r="CM40" s="19" t="n">
        <f aca="false">CM17+CM31-CM39</f>
        <v>0</v>
      </c>
      <c r="CN40" s="19" t="n">
        <f aca="false">CN17+CN31-CN39</f>
        <v>0</v>
      </c>
      <c r="CO40" s="19" t="n">
        <f aca="false">CO17+CO31-CO39</f>
        <v>0</v>
      </c>
      <c r="CP40" s="19" t="n">
        <f aca="false">CP17+CP31-CP39</f>
        <v>0</v>
      </c>
      <c r="CQ40" s="19" t="n">
        <f aca="false">CQ17+CQ31-CQ39</f>
        <v>0</v>
      </c>
      <c r="CR40" s="19" t="n">
        <f aca="false">CR17+CR31-CR39</f>
        <v>0</v>
      </c>
      <c r="CS40" s="19" t="n">
        <f aca="false">CS17+CS31-CS39</f>
        <v>0</v>
      </c>
      <c r="CT40" s="19" t="n">
        <f aca="false">CT17+CT31-CT39</f>
        <v>0</v>
      </c>
      <c r="CU40" s="19" t="n">
        <f aca="false">CU17+CU31-CU39</f>
        <v>0</v>
      </c>
      <c r="CV40" s="19" t="n">
        <f aca="false">CV17+CV31-CV39</f>
        <v>0</v>
      </c>
      <c r="CW40" s="19" t="n">
        <f aca="false">CW17+CW31-CW39</f>
        <v>0</v>
      </c>
      <c r="CX40" s="19" t="n">
        <f aca="false">CX17+CX31-CX39</f>
        <v>0</v>
      </c>
      <c r="CY40" s="19" t="n">
        <f aca="false">CY17+CY31-CY39</f>
        <v>0</v>
      </c>
      <c r="CZ40" s="19" t="n">
        <f aca="false">CZ17+CZ31-CZ39</f>
        <v>0</v>
      </c>
      <c r="DA40" s="19" t="n">
        <f aca="false">DA17+DA31-DA39</f>
        <v>0</v>
      </c>
      <c r="DB40" s="19" t="n">
        <f aca="false">DB17+DB31-DB39</f>
        <v>0</v>
      </c>
    </row>
    <row r="41" customFormat="false" ht="15" hidden="false" customHeight="false" outlineLevel="0" collapsed="false">
      <c r="D41" s="0" t="s">
        <v>470</v>
      </c>
      <c r="E41" s="0" t="s">
        <v>44</v>
      </c>
      <c r="G41" s="19" t="n">
        <f aca="false">SUM(J41:DB41)</f>
        <v>2124.60528045823</v>
      </c>
      <c r="J41" s="19" t="n">
        <f aca="false">(J23-J21-J22+Debt!J97+Waterfall!J54)*Time!J20</f>
        <v>73.4145412566294</v>
      </c>
      <c r="K41" s="19" t="n">
        <f aca="false">(K23-K21-K22+Debt!K97+Waterfall!K54)*Time!K20</f>
        <v>31.5786253675063</v>
      </c>
      <c r="L41" s="19" t="n">
        <f aca="false">(L23-L21-L22+Debt!L97+Waterfall!L54)*Time!L20</f>
        <v>63.7642758253393</v>
      </c>
      <c r="M41" s="19" t="n">
        <f aca="false">(M23-M21-M22+Debt!M97+Waterfall!M54)*Time!M20</f>
        <v>101.75433854864</v>
      </c>
      <c r="N41" s="19" t="n">
        <f aca="false">(N23-N21-N22+Debt!N97+Waterfall!N54)*Time!N20</f>
        <v>140.09855526883</v>
      </c>
      <c r="O41" s="19" t="n">
        <f aca="false">(O23-O21-O22+Debt!O97+Waterfall!O54)*Time!O20</f>
        <v>174.103771846132</v>
      </c>
      <c r="P41" s="19" t="n">
        <f aca="false">(P23-P21-P22+Debt!P97+Waterfall!P54)*Time!P20</f>
        <v>198.28257254356</v>
      </c>
      <c r="Q41" s="19" t="n">
        <f aca="false">(Q23-Q21-Q22+Debt!Q97+Waterfall!Q54)*Time!Q20</f>
        <v>211.628399082402</v>
      </c>
      <c r="R41" s="19" t="n">
        <f aca="false">(R23-R21-R22+Debt!R97+Waterfall!R54)*Time!R20</f>
        <v>216.166842991271</v>
      </c>
      <c r="S41" s="19" t="n">
        <f aca="false">(S23-S21-S22+Debt!S97+Waterfall!S54)*Time!S20</f>
        <v>203.889485301481</v>
      </c>
      <c r="T41" s="19" t="n">
        <f aca="false">(T23-T21-T22+Debt!T97+Waterfall!T54)*Time!T20</f>
        <v>183.12960099319</v>
      </c>
      <c r="U41" s="19" t="n">
        <f aca="false">(U23-U21-U22+Debt!U97+Waterfall!U54)*Time!U20</f>
        <v>153.332188891787</v>
      </c>
      <c r="V41" s="19" t="n">
        <f aca="false">(V23-V21-V22+Debt!V97+Waterfall!V54)*Time!V20</f>
        <v>118.901870957186</v>
      </c>
      <c r="W41" s="19" t="n">
        <f aca="false">(W23-W21-W22+Debt!W97+Waterfall!W54)*Time!W20</f>
        <v>83.7148065910018</v>
      </c>
      <c r="X41" s="19" t="n">
        <f aca="false">(X23-X21-X22+Debt!X97+Waterfall!X54)*Time!X20</f>
        <v>53.1259707592768</v>
      </c>
      <c r="Y41" s="19" t="n">
        <f aca="false">(Y23-Y21-Y22+Debt!Y97+Waterfall!Y54)*Time!Y20</f>
        <v>117.719434233996</v>
      </c>
      <c r="Z41" s="19" t="n">
        <f aca="false">(Z23-Z21-Z22+Debt!Z97+Waterfall!Z54)*Time!Z20</f>
        <v>0</v>
      </c>
      <c r="AA41" s="19" t="n">
        <f aca="false">(AA23-AA21-AA22+Debt!AA97+Waterfall!AA54)*Time!AA20</f>
        <v>0</v>
      </c>
      <c r="AB41" s="19" t="n">
        <f aca="false">(AB23-AB21-AB22+Debt!AB97+Waterfall!AB54)*Time!AB20</f>
        <v>0</v>
      </c>
      <c r="AC41" s="19" t="n">
        <f aca="false">(AC23-AC21-AC22+Debt!AC97+Waterfall!AC54)*Time!AC20</f>
        <v>0</v>
      </c>
      <c r="AD41" s="19" t="n">
        <f aca="false">(AD23-AD21-AD22+Debt!AD97+Waterfall!AD54)*Time!AD20</f>
        <v>0</v>
      </c>
      <c r="AE41" s="19" t="n">
        <f aca="false">(AE23-AE21-AE22+Debt!AE97+Waterfall!AE54)*Time!AE20</f>
        <v>0</v>
      </c>
      <c r="AF41" s="19" t="n">
        <f aca="false">(AF23-AF21-AF22+Debt!AF97+Waterfall!AF54)*Time!AF20</f>
        <v>0</v>
      </c>
      <c r="AG41" s="19" t="n">
        <f aca="false">(AG23-AG21-AG22+Debt!AG97+Waterfall!AG54)*Time!AG20</f>
        <v>0</v>
      </c>
      <c r="AH41" s="19" t="n">
        <f aca="false">(AH23-AH21-AH22+Debt!AH97+Waterfall!AH54)*Time!AH20</f>
        <v>0</v>
      </c>
      <c r="AI41" s="19" t="n">
        <f aca="false">(AI23-AI21-AI22+Debt!AI97+Waterfall!AI54)*Time!AI20</f>
        <v>0</v>
      </c>
      <c r="AJ41" s="19" t="n">
        <f aca="false">(AJ23-AJ21-AJ22+Debt!AJ97+Waterfall!AJ54)*Time!AJ20</f>
        <v>0</v>
      </c>
      <c r="AK41" s="19" t="n">
        <f aca="false">(AK23-AK21-AK22+Debt!AK97+Waterfall!AK54)*Time!AK20</f>
        <v>0</v>
      </c>
      <c r="AL41" s="19" t="n">
        <f aca="false">(AL23-AL21-AL22+Debt!AL97+Waterfall!AL54)*Time!AL20</f>
        <v>0</v>
      </c>
      <c r="AM41" s="19" t="n">
        <f aca="false">(AM23-AM21-AM22+Debt!AM97+Waterfall!AM54)*Time!AM20</f>
        <v>0</v>
      </c>
      <c r="AN41" s="19" t="n">
        <f aca="false">(AN23-AN21-AN22+Debt!AN97+Waterfall!AN54)*Time!AN20</f>
        <v>0</v>
      </c>
      <c r="AO41" s="19" t="n">
        <f aca="false">(AO23-AO21-AO22+Debt!AO97+Waterfall!AO54)*Time!AO20</f>
        <v>0</v>
      </c>
      <c r="AP41" s="19" t="n">
        <f aca="false">(AP23-AP21-AP22+Debt!AP97+Waterfall!AP54)*Time!AP20</f>
        <v>0</v>
      </c>
      <c r="AQ41" s="19" t="n">
        <f aca="false">(AQ23-AQ21-AQ22+Debt!AQ97+Waterfall!AQ54)*Time!AQ20</f>
        <v>0</v>
      </c>
      <c r="AR41" s="19" t="n">
        <f aca="false">(AR23-AR21-AR22+Debt!AR97+Waterfall!AR54)*Time!AR20</f>
        <v>0</v>
      </c>
      <c r="AS41" s="19" t="n">
        <f aca="false">(AS23-AS21-AS22+Debt!AS97+Waterfall!AS54)*Time!AS20</f>
        <v>0</v>
      </c>
      <c r="AT41" s="19" t="n">
        <f aca="false">(AT23-AT21-AT22+Debt!AT97+Waterfall!AT54)*Time!AT20</f>
        <v>0</v>
      </c>
      <c r="AU41" s="19" t="n">
        <f aca="false">(AU23-AU21-AU22+Debt!AU97+Waterfall!AU54)*Time!AU20</f>
        <v>0</v>
      </c>
      <c r="AV41" s="19" t="n">
        <f aca="false">(AV23-AV21-AV22+Debt!AV97+Waterfall!AV54)*Time!AV20</f>
        <v>0</v>
      </c>
      <c r="AW41" s="19" t="n">
        <f aca="false">(AW23-AW21-AW22+Debt!AW97+Waterfall!AW54)*Time!AW20</f>
        <v>0</v>
      </c>
      <c r="AX41" s="19" t="n">
        <f aca="false">(AX23-AX21-AX22+Debt!AX97+Waterfall!AX54)*Time!AX20</f>
        <v>0</v>
      </c>
      <c r="AY41" s="19" t="n">
        <f aca="false">(AY23-AY21-AY22+Debt!AY97+Waterfall!AY54)*Time!AY20</f>
        <v>0</v>
      </c>
      <c r="AZ41" s="19" t="n">
        <f aca="false">(AZ23-AZ21-AZ22+Debt!AZ97+Waterfall!AZ54)*Time!AZ20</f>
        <v>0</v>
      </c>
      <c r="BA41" s="19" t="n">
        <f aca="false">(BA23-BA21-BA22+Debt!BA97+Waterfall!BA54)*Time!BA20</f>
        <v>0</v>
      </c>
      <c r="BB41" s="19" t="n">
        <f aca="false">(BB23-BB21-BB22+Debt!BB97+Waterfall!BB54)*Time!BB20</f>
        <v>0</v>
      </c>
      <c r="BC41" s="19" t="n">
        <f aca="false">(BC23-BC21-BC22+Debt!BC97+Waterfall!BC54)*Time!BC20</f>
        <v>0</v>
      </c>
      <c r="BD41" s="19" t="n">
        <f aca="false">(BD23-BD21-BD22+Debt!BD97+Waterfall!BD54)*Time!BD20</f>
        <v>0</v>
      </c>
      <c r="BE41" s="19" t="n">
        <f aca="false">(BE23-BE21-BE22+Debt!BE97+Waterfall!BE54)*Time!BE20</f>
        <v>0</v>
      </c>
      <c r="BF41" s="19" t="n">
        <f aca="false">(BF23-BF21-BF22+Debt!BF97+Waterfall!BF54)*Time!BF20</f>
        <v>0</v>
      </c>
      <c r="BG41" s="19" t="n">
        <f aca="false">(BG23-BG21-BG22+Debt!BG97+Waterfall!BG54)*Time!BG20</f>
        <v>0</v>
      </c>
      <c r="BH41" s="19" t="n">
        <f aca="false">(BH23-BH21-BH22+Debt!BH97+Waterfall!BH54)*Time!BH20</f>
        <v>0</v>
      </c>
      <c r="BI41" s="19" t="n">
        <f aca="false">(BI23-BI21-BI22+Debt!BI97+Waterfall!BI54)*Time!BI20</f>
        <v>0</v>
      </c>
      <c r="BJ41" s="19" t="n">
        <f aca="false">(BJ23-BJ21-BJ22+Debt!BJ97+Waterfall!BJ54)*Time!BJ20</f>
        <v>0</v>
      </c>
      <c r="BK41" s="19" t="n">
        <f aca="false">(BK23-BK21-BK22+Debt!BK97+Waterfall!BK54)*Time!BK20</f>
        <v>0</v>
      </c>
      <c r="BL41" s="19" t="n">
        <f aca="false">(BL23-BL21-BL22+Debt!BL97+Waterfall!BL54)*Time!BL20</f>
        <v>0</v>
      </c>
      <c r="BM41" s="19" t="n">
        <f aca="false">(BM23-BM21-BM22+Debt!BM97+Waterfall!BM54)*Time!BM20</f>
        <v>0</v>
      </c>
      <c r="BN41" s="19" t="n">
        <f aca="false">(BN23-BN21-BN22+Debt!BN97+Waterfall!BN54)*Time!BN20</f>
        <v>0</v>
      </c>
      <c r="BO41" s="19" t="n">
        <f aca="false">(BO23-BO21-BO22+Debt!BO97+Waterfall!BO54)*Time!BO20</f>
        <v>0</v>
      </c>
      <c r="BP41" s="19" t="n">
        <f aca="false">(BP23-BP21-BP22+Debt!BP97+Waterfall!BP54)*Time!BP20</f>
        <v>0</v>
      </c>
      <c r="BQ41" s="19" t="n">
        <f aca="false">(BQ23-BQ21-BQ22+Debt!BQ97+Waterfall!BQ54)*Time!BQ20</f>
        <v>0</v>
      </c>
      <c r="BR41" s="19" t="n">
        <f aca="false">(BR23-BR21-BR22+Debt!BR97+Waterfall!BR54)*Time!BR20</f>
        <v>0</v>
      </c>
      <c r="BS41" s="19" t="n">
        <f aca="false">(BS23-BS21-BS22+Debt!BS97+Waterfall!BS54)*Time!BS20</f>
        <v>0</v>
      </c>
      <c r="BT41" s="19" t="n">
        <f aca="false">(BT23-BT21-BT22+Debt!BT97+Waterfall!BT54)*Time!BT20</f>
        <v>0</v>
      </c>
      <c r="BU41" s="19" t="n">
        <f aca="false">(BU23-BU21-BU22+Debt!BU97+Waterfall!BU54)*Time!BU20</f>
        <v>0</v>
      </c>
      <c r="BV41" s="19" t="n">
        <f aca="false">(BV23-BV21-BV22+Debt!BV97+Waterfall!BV54)*Time!BV20</f>
        <v>0</v>
      </c>
      <c r="BW41" s="19" t="n">
        <f aca="false">(BW23-BW21-BW22+Debt!BW97+Waterfall!BW54)*Time!BW20</f>
        <v>0</v>
      </c>
      <c r="BX41" s="19" t="n">
        <f aca="false">(BX23-BX21-BX22+Debt!BX97+Waterfall!BX54)*Time!BX20</f>
        <v>0</v>
      </c>
      <c r="BY41" s="19" t="n">
        <f aca="false">(BY23-BY21-BY22+Debt!BY97+Waterfall!BY54)*Time!BY20</f>
        <v>0</v>
      </c>
      <c r="BZ41" s="19" t="n">
        <f aca="false">(BZ23-BZ21-BZ22+Debt!BZ97+Waterfall!BZ54)*Time!BZ20</f>
        <v>0</v>
      </c>
      <c r="CA41" s="19" t="n">
        <f aca="false">(CA23-CA21-CA22+Debt!CA97+Waterfall!CA54)*Time!CA20</f>
        <v>0</v>
      </c>
      <c r="CB41" s="19" t="n">
        <f aca="false">(CB23-CB21-CB22+Debt!CB97+Waterfall!CB54)*Time!CB20</f>
        <v>0</v>
      </c>
      <c r="CC41" s="19" t="n">
        <f aca="false">(CC23-CC21-CC22+Debt!CC97+Waterfall!CC54)*Time!CC20</f>
        <v>0</v>
      </c>
      <c r="CD41" s="19" t="n">
        <f aca="false">(CD23-CD21-CD22+Debt!CD97+Waterfall!CD54)*Time!CD20</f>
        <v>0</v>
      </c>
      <c r="CE41" s="19" t="n">
        <f aca="false">(CE23-CE21-CE22+Debt!CE97+Waterfall!CE54)*Time!CE20</f>
        <v>0</v>
      </c>
      <c r="CF41" s="19" t="n">
        <f aca="false">(CF23-CF21-CF22+Debt!CF97+Waterfall!CF54)*Time!CF20</f>
        <v>0</v>
      </c>
      <c r="CG41" s="19" t="n">
        <f aca="false">(CG23-CG21-CG22+Debt!CG97+Waterfall!CG54)*Time!CG20</f>
        <v>0</v>
      </c>
      <c r="CH41" s="19" t="n">
        <f aca="false">(CH23-CH21-CH22+Debt!CH97+Waterfall!CH54)*Time!CH20</f>
        <v>0</v>
      </c>
      <c r="CI41" s="19" t="n">
        <f aca="false">(CI23-CI21-CI22+Debt!CI97+Waterfall!CI54)*Time!CI20</f>
        <v>0</v>
      </c>
      <c r="CJ41" s="19" t="n">
        <f aca="false">(CJ23-CJ21-CJ22+Debt!CJ97+Waterfall!CJ54)*Time!CJ20</f>
        <v>0</v>
      </c>
      <c r="CK41" s="19" t="n">
        <f aca="false">(CK23-CK21-CK22+Debt!CK97+Waterfall!CK54)*Time!CK20</f>
        <v>0</v>
      </c>
      <c r="CL41" s="19" t="n">
        <f aca="false">(CL23-CL21-CL22+Debt!CL97+Waterfall!CL54)*Time!CL20</f>
        <v>0</v>
      </c>
      <c r="CM41" s="19" t="n">
        <f aca="false">(CM23-CM21-CM22+Debt!CM97+Waterfall!CM54)*Time!CM20</f>
        <v>0</v>
      </c>
      <c r="CN41" s="19" t="n">
        <f aca="false">(CN23-CN21-CN22+Debt!CN97+Waterfall!CN54)*Time!CN20</f>
        <v>0</v>
      </c>
      <c r="CO41" s="19" t="n">
        <f aca="false">(CO23-CO21-CO22+Debt!CO97+Waterfall!CO54)*Time!CO20</f>
        <v>0</v>
      </c>
      <c r="CP41" s="19" t="n">
        <f aca="false">(CP23-CP21-CP22+Debt!CP97+Waterfall!CP54)*Time!CP20</f>
        <v>0</v>
      </c>
      <c r="CQ41" s="19" t="n">
        <f aca="false">(CQ23-CQ21-CQ22+Debt!CQ97+Waterfall!CQ54)*Time!CQ20</f>
        <v>0</v>
      </c>
      <c r="CR41" s="19" t="n">
        <f aca="false">(CR23-CR21-CR22+Debt!CR97+Waterfall!CR54)*Time!CR20</f>
        <v>0</v>
      </c>
      <c r="CS41" s="19" t="n">
        <f aca="false">(CS23-CS21-CS22+Debt!CS97+Waterfall!CS54)*Time!CS20</f>
        <v>0</v>
      </c>
      <c r="CT41" s="19" t="n">
        <f aca="false">(CT23-CT21-CT22+Debt!CT97+Waterfall!CT54)*Time!CT20</f>
        <v>0</v>
      </c>
      <c r="CU41" s="19" t="n">
        <f aca="false">(CU23-CU21-CU22+Debt!CU97+Waterfall!CU54)*Time!CU20</f>
        <v>0</v>
      </c>
      <c r="CV41" s="19" t="n">
        <f aca="false">(CV23-CV21-CV22+Debt!CV97+Waterfall!CV54)*Time!CV20</f>
        <v>0</v>
      </c>
      <c r="CW41" s="19" t="n">
        <f aca="false">(CW23-CW21-CW22+Debt!CW97+Waterfall!CW54)*Time!CW20</f>
        <v>0</v>
      </c>
      <c r="CX41" s="19" t="n">
        <f aca="false">(CX23-CX21-CX22+Debt!CX97+Waterfall!CX54)*Time!CX20</f>
        <v>0</v>
      </c>
      <c r="CY41" s="19" t="n">
        <f aca="false">(CY23-CY21-CY22+Debt!CY97+Waterfall!CY54)*Time!CY20</f>
        <v>0</v>
      </c>
      <c r="CZ41" s="19" t="n">
        <f aca="false">(CZ23-CZ21-CZ22+Debt!CZ97+Waterfall!CZ54)*Time!CZ20</f>
        <v>0</v>
      </c>
      <c r="DA41" s="19" t="n">
        <f aca="false">(DA23-DA21-DA22+Debt!DA97+Waterfall!DA54)*Time!DA20</f>
        <v>0</v>
      </c>
      <c r="DB41" s="19" t="n">
        <f aca="false">(DB23-DB21-DB22+Debt!DB97+Waterfall!DB54)*Time!DB20</f>
        <v>0</v>
      </c>
    </row>
    <row r="42" customFormat="false" ht="15" hidden="false" customHeight="false" outlineLevel="0" collapsed="false">
      <c r="D42" s="0" t="s">
        <v>471</v>
      </c>
      <c r="E42" s="0" t="s">
        <v>44</v>
      </c>
      <c r="G42" s="19" t="n">
        <f aca="false">SUM(J42:DB42)</f>
        <v>0</v>
      </c>
      <c r="J42" s="19" t="n">
        <f aca="false">J27+J31+J32-J23</f>
        <v>0</v>
      </c>
      <c r="K42" s="19" t="n">
        <f aca="false">K27+K31+K32-K23</f>
        <v>0</v>
      </c>
      <c r="L42" s="19" t="n">
        <f aca="false">L27+L31+L32-L23</f>
        <v>0</v>
      </c>
      <c r="M42" s="19" t="n">
        <f aca="false">M27+M31+M32-M23</f>
        <v>0</v>
      </c>
      <c r="N42" s="19" t="n">
        <f aca="false">N27+N31+N32-N23</f>
        <v>0</v>
      </c>
      <c r="O42" s="19" t="n">
        <f aca="false">O27+O31+O32-O23</f>
        <v>0</v>
      </c>
      <c r="P42" s="19" t="n">
        <f aca="false">P27+P31+P32-P23</f>
        <v>0</v>
      </c>
      <c r="Q42" s="19" t="n">
        <f aca="false">Q27+Q31+Q32-Q23</f>
        <v>0</v>
      </c>
      <c r="R42" s="19" t="n">
        <f aca="false">R27+R31+R32-R23</f>
        <v>0</v>
      </c>
      <c r="S42" s="19" t="n">
        <f aca="false">S27+S31+S32-S23</f>
        <v>0</v>
      </c>
      <c r="T42" s="19" t="n">
        <f aca="false">T27+T31+T32-T23</f>
        <v>0</v>
      </c>
      <c r="U42" s="19" t="n">
        <f aca="false">U27+U31+U32-U23</f>
        <v>0</v>
      </c>
      <c r="V42" s="19" t="n">
        <f aca="false">V27+V31+V32-V23</f>
        <v>0</v>
      </c>
      <c r="W42" s="19" t="n">
        <f aca="false">W27+W31+W32-W23</f>
        <v>0</v>
      </c>
      <c r="X42" s="19" t="n">
        <f aca="false">X27+X31+X32-X23</f>
        <v>0</v>
      </c>
      <c r="Y42" s="19" t="n">
        <f aca="false">Y27+Y31+Y32-Y23</f>
        <v>0</v>
      </c>
      <c r="Z42" s="19" t="n">
        <f aca="false">Z27+Z31+Z32-Z23</f>
        <v>0</v>
      </c>
      <c r="AA42" s="19" t="n">
        <f aca="false">AA27+AA31+AA32-AA23</f>
        <v>0</v>
      </c>
      <c r="AB42" s="19" t="n">
        <f aca="false">AB27+AB31+AB32-AB23</f>
        <v>0</v>
      </c>
      <c r="AC42" s="19" t="n">
        <f aca="false">AC27+AC31+AC32-AC23</f>
        <v>0</v>
      </c>
      <c r="AD42" s="19" t="n">
        <f aca="false">AD27+AD31+AD32-AD23</f>
        <v>0</v>
      </c>
      <c r="AE42" s="19" t="n">
        <f aca="false">AE27+AE31+AE32-AE23</f>
        <v>0</v>
      </c>
      <c r="AF42" s="19" t="n">
        <f aca="false">AF27+AF31+AF32-AF23</f>
        <v>0</v>
      </c>
      <c r="AG42" s="19" t="n">
        <f aca="false">AG27+AG31+AG32-AG23</f>
        <v>0</v>
      </c>
      <c r="AH42" s="19" t="n">
        <f aca="false">AH27+AH31+AH32-AH23</f>
        <v>0</v>
      </c>
      <c r="AI42" s="19" t="n">
        <f aca="false">AI27+AI31+AI32-AI23</f>
        <v>0</v>
      </c>
      <c r="AJ42" s="19" t="n">
        <f aca="false">AJ27+AJ31+AJ32-AJ23</f>
        <v>0</v>
      </c>
      <c r="AK42" s="19" t="n">
        <f aca="false">AK27+AK31+AK32-AK23</f>
        <v>0</v>
      </c>
      <c r="AL42" s="19" t="n">
        <f aca="false">AL27+AL31+AL32-AL23</f>
        <v>0</v>
      </c>
      <c r="AM42" s="19" t="n">
        <f aca="false">AM27+AM31+AM32-AM23</f>
        <v>0</v>
      </c>
      <c r="AN42" s="19" t="n">
        <f aca="false">AN27+AN31+AN32-AN23</f>
        <v>0</v>
      </c>
      <c r="AO42" s="19" t="n">
        <f aca="false">AO27+AO31+AO32-AO23</f>
        <v>0</v>
      </c>
      <c r="AP42" s="19" t="n">
        <f aca="false">AP27+AP31+AP32-AP23</f>
        <v>0</v>
      </c>
      <c r="AQ42" s="19" t="n">
        <f aca="false">AQ27+AQ31+AQ32-AQ23</f>
        <v>0</v>
      </c>
      <c r="AR42" s="19" t="n">
        <f aca="false">AR27+AR31+AR32-AR23</f>
        <v>0</v>
      </c>
      <c r="AS42" s="19" t="n">
        <f aca="false">AS27+AS31+AS32-AS23</f>
        <v>0</v>
      </c>
      <c r="AT42" s="19" t="n">
        <f aca="false">AT27+AT31+AT32-AT23</f>
        <v>0</v>
      </c>
      <c r="AU42" s="19" t="n">
        <f aca="false">AU27+AU31+AU32-AU23</f>
        <v>0</v>
      </c>
      <c r="AV42" s="19" t="n">
        <f aca="false">AV27+AV31+AV32-AV23</f>
        <v>0</v>
      </c>
      <c r="AW42" s="19" t="n">
        <f aca="false">AW27+AW31+AW32-AW23</f>
        <v>0</v>
      </c>
      <c r="AX42" s="19" t="n">
        <f aca="false">AX27+AX31+AX32-AX23</f>
        <v>0</v>
      </c>
      <c r="AY42" s="19" t="n">
        <f aca="false">AY27+AY31+AY32-AY23</f>
        <v>0</v>
      </c>
      <c r="AZ42" s="19" t="n">
        <f aca="false">AZ27+AZ31+AZ32-AZ23</f>
        <v>0</v>
      </c>
      <c r="BA42" s="19" t="n">
        <f aca="false">BA27+BA31+BA32-BA23</f>
        <v>0</v>
      </c>
      <c r="BB42" s="19" t="n">
        <f aca="false">BB27+BB31+BB32-BB23</f>
        <v>0</v>
      </c>
      <c r="BC42" s="19" t="n">
        <f aca="false">BC27+BC31+BC32-BC23</f>
        <v>0</v>
      </c>
      <c r="BD42" s="19" t="n">
        <f aca="false">BD27+BD31+BD32-BD23</f>
        <v>0</v>
      </c>
      <c r="BE42" s="19" t="n">
        <f aca="false">BE27+BE31+BE32-BE23</f>
        <v>0</v>
      </c>
      <c r="BF42" s="19" t="n">
        <f aca="false">BF27+BF31+BF32-BF23</f>
        <v>0</v>
      </c>
      <c r="BG42" s="19" t="n">
        <f aca="false">BG27+BG31+BG32-BG23</f>
        <v>0</v>
      </c>
      <c r="BH42" s="19" t="n">
        <f aca="false">BH27+BH31+BH32-BH23</f>
        <v>0</v>
      </c>
      <c r="BI42" s="19" t="n">
        <f aca="false">BI27+BI31+BI32-BI23</f>
        <v>0</v>
      </c>
      <c r="BJ42" s="19" t="n">
        <f aca="false">BJ27+BJ31+BJ32-BJ23</f>
        <v>0</v>
      </c>
      <c r="BK42" s="19" t="n">
        <f aca="false">BK27+BK31+BK32-BK23</f>
        <v>0</v>
      </c>
      <c r="BL42" s="19" t="n">
        <f aca="false">BL27+BL31+BL32-BL23</f>
        <v>0</v>
      </c>
      <c r="BM42" s="19" t="n">
        <f aca="false">BM27+BM31+BM32-BM23</f>
        <v>0</v>
      </c>
      <c r="BN42" s="19" t="n">
        <f aca="false">BN27+BN31+BN32-BN23</f>
        <v>0</v>
      </c>
      <c r="BO42" s="19" t="n">
        <f aca="false">BO27+BO31+BO32-BO23</f>
        <v>0</v>
      </c>
      <c r="BP42" s="19" t="n">
        <f aca="false">BP27+BP31+BP32-BP23</f>
        <v>0</v>
      </c>
      <c r="BQ42" s="19" t="n">
        <f aca="false">BQ27+BQ31+BQ32-BQ23</f>
        <v>0</v>
      </c>
      <c r="BR42" s="19" t="n">
        <f aca="false">BR27+BR31+BR32-BR23</f>
        <v>0</v>
      </c>
      <c r="BS42" s="19" t="n">
        <f aca="false">BS27+BS31+BS32-BS23</f>
        <v>0</v>
      </c>
      <c r="BT42" s="19" t="n">
        <f aca="false">BT27+BT31+BT32-BT23</f>
        <v>0</v>
      </c>
      <c r="BU42" s="19" t="n">
        <f aca="false">BU27+BU31+BU32-BU23</f>
        <v>0</v>
      </c>
      <c r="BV42" s="19" t="n">
        <f aca="false">BV27+BV31+BV32-BV23</f>
        <v>0</v>
      </c>
      <c r="BW42" s="19" t="n">
        <f aca="false">BW27+BW31+BW32-BW23</f>
        <v>0</v>
      </c>
      <c r="BX42" s="19" t="n">
        <f aca="false">BX27+BX31+BX32-BX23</f>
        <v>0</v>
      </c>
      <c r="BY42" s="19" t="n">
        <f aca="false">BY27+BY31+BY32-BY23</f>
        <v>0</v>
      </c>
      <c r="BZ42" s="19" t="n">
        <f aca="false">BZ27+BZ31+BZ32-BZ23</f>
        <v>0</v>
      </c>
      <c r="CA42" s="19" t="n">
        <f aca="false">CA27+CA31+CA32-CA23</f>
        <v>0</v>
      </c>
      <c r="CB42" s="19" t="n">
        <f aca="false">CB27+CB31+CB32-CB23</f>
        <v>0</v>
      </c>
      <c r="CC42" s="19" t="n">
        <f aca="false">CC27+CC31+CC32-CC23</f>
        <v>0</v>
      </c>
      <c r="CD42" s="19" t="n">
        <f aca="false">CD27+CD31+CD32-CD23</f>
        <v>0</v>
      </c>
      <c r="CE42" s="19" t="n">
        <f aca="false">CE27+CE31+CE32-CE23</f>
        <v>0</v>
      </c>
      <c r="CF42" s="19" t="n">
        <f aca="false">CF27+CF31+CF32-CF23</f>
        <v>0</v>
      </c>
      <c r="CG42" s="19" t="n">
        <f aca="false">CG27+CG31+CG32-CG23</f>
        <v>0</v>
      </c>
      <c r="CH42" s="19" t="n">
        <f aca="false">CH27+CH31+CH32-CH23</f>
        <v>0</v>
      </c>
      <c r="CI42" s="19" t="n">
        <f aca="false">CI27+CI31+CI32-CI23</f>
        <v>0</v>
      </c>
      <c r="CJ42" s="19" t="n">
        <f aca="false">CJ27+CJ31+CJ32-CJ23</f>
        <v>0</v>
      </c>
      <c r="CK42" s="19" t="n">
        <f aca="false">CK27+CK31+CK32-CK23</f>
        <v>0</v>
      </c>
      <c r="CL42" s="19" t="n">
        <f aca="false">CL27+CL31+CL32-CL23</f>
        <v>0</v>
      </c>
      <c r="CM42" s="19" t="n">
        <f aca="false">CM27+CM31+CM32-CM23</f>
        <v>0</v>
      </c>
      <c r="CN42" s="19" t="n">
        <f aca="false">CN27+CN31+CN32-CN23</f>
        <v>0</v>
      </c>
      <c r="CO42" s="19" t="n">
        <f aca="false">CO27+CO31+CO32-CO23</f>
        <v>0</v>
      </c>
      <c r="CP42" s="19" t="n">
        <f aca="false">CP27+CP31+CP32-CP23</f>
        <v>0</v>
      </c>
      <c r="CQ42" s="19" t="n">
        <f aca="false">CQ27+CQ31+CQ32-CQ23</f>
        <v>0</v>
      </c>
      <c r="CR42" s="19" t="n">
        <f aca="false">CR27+CR31+CR32-CR23</f>
        <v>0</v>
      </c>
      <c r="CS42" s="19" t="n">
        <f aca="false">CS27+CS31+CS32-CS23</f>
        <v>0</v>
      </c>
      <c r="CT42" s="19" t="n">
        <f aca="false">CT27+CT31+CT32-CT23</f>
        <v>0</v>
      </c>
      <c r="CU42" s="19" t="n">
        <f aca="false">CU27+CU31+CU32-CU23</f>
        <v>0</v>
      </c>
      <c r="CV42" s="19" t="n">
        <f aca="false">CV27+CV31+CV32-CV23</f>
        <v>0</v>
      </c>
      <c r="CW42" s="19" t="n">
        <f aca="false">CW27+CW31+CW32-CW23</f>
        <v>0</v>
      </c>
      <c r="CX42" s="19" t="n">
        <f aca="false">CX27+CX31+CX32-CX23</f>
        <v>0</v>
      </c>
      <c r="CY42" s="19" t="n">
        <f aca="false">CY27+CY31+CY32-CY23</f>
        <v>0</v>
      </c>
      <c r="CZ42" s="19" t="n">
        <f aca="false">CZ27+CZ31+CZ32-CZ23</f>
        <v>0</v>
      </c>
      <c r="DA42" s="19" t="n">
        <f aca="false">DA27+DA31+DA32-DA23</f>
        <v>0</v>
      </c>
      <c r="DB42" s="19" t="n">
        <f aca="false">DB27+DB31+DB32-DB23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472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473</v>
      </c>
    </row>
    <row r="6" customFormat="false" ht="15" hidden="false" customHeight="false" outlineLevel="0" collapsed="false">
      <c r="D6" s="0" t="s">
        <v>474</v>
      </c>
      <c r="E6" s="0" t="s">
        <v>135</v>
      </c>
      <c r="F6" s="18" t="n">
        <f aca="false">IF(Inputs!$F$213=1,Inputs!$F$105,Inputs!$F$104+Inputs!$F$223)</f>
        <v>2.25</v>
      </c>
    </row>
    <row r="7" customFormat="false" ht="15" hidden="false" customHeight="false" outlineLevel="0" collapsed="false">
      <c r="D7" s="0" t="s">
        <v>475</v>
      </c>
      <c r="E7" s="0" t="s">
        <v>135</v>
      </c>
      <c r="J7" s="18" t="n">
        <f aca="false">Inputs!$F$102*Time!J40+Inputs!$F$103*(Time!J41-Time!J40)+$F$6*(1-Time!J41)</f>
        <v>2.35</v>
      </c>
      <c r="K7" s="18" t="n">
        <f aca="false">Inputs!$F$102*Time!K40+Inputs!$F$103*(Time!K41-Time!K40)+$F$6*(1-Time!K41)</f>
        <v>2.35</v>
      </c>
      <c r="L7" s="18" t="n">
        <f aca="false">Inputs!$F$102*Time!L40+Inputs!$F$103*(Time!L41-Time!L40)+$F$6*(1-Time!L41)</f>
        <v>2.35</v>
      </c>
      <c r="M7" s="18" t="n">
        <f aca="false">Inputs!$F$102*Time!M40+Inputs!$F$103*(Time!M41-Time!M40)+$F$6*(1-Time!M41)</f>
        <v>2.35</v>
      </c>
      <c r="N7" s="18" t="n">
        <f aca="false">Inputs!$F$102*Time!N40+Inputs!$F$103*(Time!N41-Time!N40)+$F$6*(1-Time!N41)</f>
        <v>2.35</v>
      </c>
      <c r="O7" s="18" t="n">
        <f aca="false">Inputs!$F$102*Time!O40+Inputs!$F$103*(Time!O41-Time!O40)+$F$6*(1-Time!O41)</f>
        <v>2.35</v>
      </c>
      <c r="P7" s="18" t="n">
        <f aca="false">Inputs!$F$102*Time!P40+Inputs!$F$103*(Time!P41-Time!P40)+$F$6*(1-Time!P41)</f>
        <v>2.35</v>
      </c>
      <c r="Q7" s="18" t="n">
        <f aca="false">Inputs!$F$102*Time!Q40+Inputs!$F$103*(Time!Q41-Time!Q40)+$F$6*(1-Time!Q41)</f>
        <v>2.35</v>
      </c>
      <c r="R7" s="18" t="n">
        <f aca="false">Inputs!$F$102*Time!R40+Inputs!$F$103*(Time!R41-Time!R40)+$F$6*(1-Time!R41)</f>
        <v>2.35</v>
      </c>
      <c r="S7" s="18" t="n">
        <f aca="false">Inputs!$F$102*Time!S40+Inputs!$F$103*(Time!S41-Time!S40)+$F$6*(1-Time!S41)</f>
        <v>2.35</v>
      </c>
      <c r="T7" s="18" t="n">
        <f aca="false">Inputs!$F$102*Time!T40+Inputs!$F$103*(Time!T41-Time!T40)+$F$6*(1-Time!T41)</f>
        <v>2.35</v>
      </c>
      <c r="U7" s="18" t="n">
        <f aca="false">Inputs!$F$102*Time!U40+Inputs!$F$103*(Time!U41-Time!U40)+$F$6*(1-Time!U41)</f>
        <v>2.35</v>
      </c>
      <c r="V7" s="18" t="n">
        <f aca="false">Inputs!$F$102*Time!V40+Inputs!$F$103*(Time!V41-Time!V40)+$F$6*(1-Time!V41)</f>
        <v>2.35</v>
      </c>
      <c r="W7" s="18" t="n">
        <f aca="false">Inputs!$F$102*Time!W40+Inputs!$F$103*(Time!W41-Time!W40)+$F$6*(1-Time!W41)</f>
        <v>2.35</v>
      </c>
      <c r="X7" s="18" t="n">
        <f aca="false">Inputs!$F$102*Time!X40+Inputs!$F$103*(Time!X41-Time!X40)+$F$6*(1-Time!X41)</f>
        <v>2.35</v>
      </c>
      <c r="Y7" s="18" t="n">
        <f aca="false">Inputs!$F$102*Time!Y40+Inputs!$F$103*(Time!Y41-Time!Y40)+$F$6*(1-Time!Y41)</f>
        <v>2.35</v>
      </c>
      <c r="Z7" s="18" t="n">
        <f aca="false">Inputs!$F$102*Time!Z40+Inputs!$F$103*(Time!Z41-Time!Z40)+$F$6*(1-Time!Z41)</f>
        <v>2.35</v>
      </c>
      <c r="AA7" s="18" t="n">
        <f aca="false">Inputs!$F$102*Time!AA40+Inputs!$F$103*(Time!AA41-Time!AA40)+$F$6*(1-Time!AA41)</f>
        <v>2.35</v>
      </c>
      <c r="AB7" s="18" t="n">
        <f aca="false">Inputs!$F$102*Time!AB40+Inputs!$F$103*(Time!AB41-Time!AB40)+$F$6*(1-Time!AB41)</f>
        <v>2.3967032967033</v>
      </c>
      <c r="AC7" s="18" t="n">
        <f aca="false">Inputs!$F$102*Time!AC40+Inputs!$F$103*(Time!AC41-Time!AC40)+$F$6*(1-Time!AC41)</f>
        <v>2.6</v>
      </c>
      <c r="AD7" s="18" t="n">
        <f aca="false">Inputs!$F$102*Time!AD40+Inputs!$F$103*(Time!AD41-Time!AD40)+$F$6*(1-Time!AD41)</f>
        <v>2.6</v>
      </c>
      <c r="AE7" s="18" t="n">
        <f aca="false">Inputs!$F$102*Time!AE40+Inputs!$F$103*(Time!AE41-Time!AE40)+$F$6*(1-Time!AE41)</f>
        <v>2.6</v>
      </c>
      <c r="AF7" s="18" t="n">
        <f aca="false">Inputs!$F$102*Time!AF40+Inputs!$F$103*(Time!AF41-Time!AF40)+$F$6*(1-Time!AF41)</f>
        <v>2.53425414364641</v>
      </c>
      <c r="AG7" s="18" t="n">
        <f aca="false">Inputs!$F$102*Time!AG40+Inputs!$F$103*(Time!AG41-Time!AG40)+$F$6*(1-Time!AG41)</f>
        <v>2.25</v>
      </c>
      <c r="AH7" s="18" t="n">
        <f aca="false">Inputs!$F$102*Time!AH40+Inputs!$F$103*(Time!AH41-Time!AH40)+$F$6*(1-Time!AH41)</f>
        <v>2.25</v>
      </c>
      <c r="AI7" s="18" t="n">
        <f aca="false">Inputs!$F$102*Time!AI40+Inputs!$F$103*(Time!AI41-Time!AI40)+$F$6*(1-Time!AI41)</f>
        <v>2.25</v>
      </c>
      <c r="AJ7" s="18" t="n">
        <f aca="false">Inputs!$F$102*Time!AJ40+Inputs!$F$103*(Time!AJ41-Time!AJ40)+$F$6*(1-Time!AJ41)</f>
        <v>2.25</v>
      </c>
      <c r="AK7" s="18" t="n">
        <f aca="false">Inputs!$F$102*Time!AK40+Inputs!$F$103*(Time!AK41-Time!AK40)+$F$6*(1-Time!AK41)</f>
        <v>2.25</v>
      </c>
      <c r="AL7" s="18" t="n">
        <f aca="false">Inputs!$F$102*Time!AL40+Inputs!$F$103*(Time!AL41-Time!AL40)+$F$6*(1-Time!AL41)</f>
        <v>2.25</v>
      </c>
      <c r="AM7" s="18" t="n">
        <f aca="false">Inputs!$F$102*Time!AM40+Inputs!$F$103*(Time!AM41-Time!AM40)+$F$6*(1-Time!AM41)</f>
        <v>2.25</v>
      </c>
      <c r="AN7" s="18" t="n">
        <f aca="false">Inputs!$F$102*Time!AN40+Inputs!$F$103*(Time!AN41-Time!AN40)+$F$6*(1-Time!AN41)</f>
        <v>2.25</v>
      </c>
      <c r="AO7" s="18" t="n">
        <f aca="false">Inputs!$F$102*Time!AO40+Inputs!$F$103*(Time!AO41-Time!AO40)+$F$6*(1-Time!AO41)</f>
        <v>2.25</v>
      </c>
      <c r="AP7" s="18" t="n">
        <f aca="false">Inputs!$F$102*Time!AP40+Inputs!$F$103*(Time!AP41-Time!AP40)+$F$6*(1-Time!AP41)</f>
        <v>2.25</v>
      </c>
      <c r="AQ7" s="18" t="n">
        <f aca="false">Inputs!$F$102*Time!AQ40+Inputs!$F$103*(Time!AQ41-Time!AQ40)+$F$6*(1-Time!AQ41)</f>
        <v>2.25</v>
      </c>
      <c r="AR7" s="18" t="n">
        <f aca="false">Inputs!$F$102*Time!AR40+Inputs!$F$103*(Time!AR41-Time!AR40)+$F$6*(1-Time!AR41)</f>
        <v>2.25</v>
      </c>
      <c r="AS7" s="18" t="n">
        <f aca="false">Inputs!$F$102*Time!AS40+Inputs!$F$103*(Time!AS41-Time!AS40)+$F$6*(1-Time!AS41)</f>
        <v>2.25</v>
      </c>
      <c r="AT7" s="18" t="n">
        <f aca="false">Inputs!$F$102*Time!AT40+Inputs!$F$103*(Time!AT41-Time!AT40)+$F$6*(1-Time!AT41)</f>
        <v>2.25</v>
      </c>
      <c r="AU7" s="18" t="n">
        <f aca="false">Inputs!$F$102*Time!AU40+Inputs!$F$103*(Time!AU41-Time!AU40)+$F$6*(1-Time!AU41)</f>
        <v>2.25</v>
      </c>
      <c r="AV7" s="18" t="n">
        <f aca="false">Inputs!$F$102*Time!AV40+Inputs!$F$103*(Time!AV41-Time!AV40)+$F$6*(1-Time!AV41)</f>
        <v>2.25</v>
      </c>
      <c r="AW7" s="18" t="n">
        <f aca="false">Inputs!$F$102*Time!AW40+Inputs!$F$103*(Time!AW41-Time!AW40)+$F$6*(1-Time!AW41)</f>
        <v>2.25</v>
      </c>
      <c r="AX7" s="18" t="n">
        <f aca="false">Inputs!$F$102*Time!AX40+Inputs!$F$103*(Time!AX41-Time!AX40)+$F$6*(1-Time!AX41)</f>
        <v>2.25</v>
      </c>
      <c r="AY7" s="18" t="n">
        <f aca="false">Inputs!$F$102*Time!AY40+Inputs!$F$103*(Time!AY41-Time!AY40)+$F$6*(1-Time!AY41)</f>
        <v>2.25</v>
      </c>
      <c r="AZ7" s="18" t="n">
        <f aca="false">Inputs!$F$102*Time!AZ40+Inputs!$F$103*(Time!AZ41-Time!AZ40)+$F$6*(1-Time!AZ41)</f>
        <v>2.25</v>
      </c>
      <c r="BA7" s="18" t="n">
        <f aca="false">Inputs!$F$102*Time!BA40+Inputs!$F$103*(Time!BA41-Time!BA40)+$F$6*(1-Time!BA41)</f>
        <v>2.25</v>
      </c>
      <c r="BB7" s="18" t="n">
        <f aca="false">Inputs!$F$102*Time!BB40+Inputs!$F$103*(Time!BB41-Time!BB40)+$F$6*(1-Time!BB41)</f>
        <v>2.25</v>
      </c>
      <c r="BC7" s="18" t="n">
        <f aca="false">Inputs!$F$102*Time!BC40+Inputs!$F$103*(Time!BC41-Time!BC40)+$F$6*(1-Time!BC41)</f>
        <v>2.25</v>
      </c>
      <c r="BD7" s="18" t="n">
        <f aca="false">Inputs!$F$102*Time!BD40+Inputs!$F$103*(Time!BD41-Time!BD40)+$F$6*(1-Time!BD41)</f>
        <v>2.25</v>
      </c>
      <c r="BE7" s="18" t="n">
        <f aca="false">Inputs!$F$102*Time!BE40+Inputs!$F$103*(Time!BE41-Time!BE40)+$F$6*(1-Time!BE41)</f>
        <v>2.25</v>
      </c>
      <c r="BF7" s="18" t="n">
        <f aca="false">Inputs!$F$102*Time!BF40+Inputs!$F$103*(Time!BF41-Time!BF40)+$F$6*(1-Time!BF41)</f>
        <v>2.25</v>
      </c>
      <c r="BG7" s="18" t="n">
        <f aca="false">Inputs!$F$102*Time!BG40+Inputs!$F$103*(Time!BG41-Time!BG40)+$F$6*(1-Time!BG41)</f>
        <v>2.25</v>
      </c>
      <c r="BH7" s="18" t="n">
        <f aca="false">Inputs!$F$102*Time!BH40+Inputs!$F$103*(Time!BH41-Time!BH40)+$F$6*(1-Time!BH41)</f>
        <v>2.25</v>
      </c>
      <c r="BI7" s="18" t="n">
        <f aca="false">Inputs!$F$102*Time!BI40+Inputs!$F$103*(Time!BI41-Time!BI40)+$F$6*(1-Time!BI41)</f>
        <v>2.25</v>
      </c>
      <c r="BJ7" s="18" t="n">
        <f aca="false">Inputs!$F$102*Time!BJ40+Inputs!$F$103*(Time!BJ41-Time!BJ40)+$F$6*(1-Time!BJ41)</f>
        <v>2.25</v>
      </c>
      <c r="BK7" s="18" t="n">
        <f aca="false">Inputs!$F$102*Time!BK40+Inputs!$F$103*(Time!BK41-Time!BK40)+$F$6*(1-Time!BK41)</f>
        <v>2.25</v>
      </c>
      <c r="BL7" s="18" t="n">
        <f aca="false">Inputs!$F$102*Time!BL40+Inputs!$F$103*(Time!BL41-Time!BL40)+$F$6*(1-Time!BL41)</f>
        <v>2.25</v>
      </c>
      <c r="BM7" s="18" t="n">
        <f aca="false">Inputs!$F$102*Time!BM40+Inputs!$F$103*(Time!BM41-Time!BM40)+$F$6*(1-Time!BM41)</f>
        <v>2.25</v>
      </c>
      <c r="BN7" s="18" t="n">
        <f aca="false">Inputs!$F$102*Time!BN40+Inputs!$F$103*(Time!BN41-Time!BN40)+$F$6*(1-Time!BN41)</f>
        <v>2.25</v>
      </c>
      <c r="BO7" s="18" t="n">
        <f aca="false">Inputs!$F$102*Time!BO40+Inputs!$F$103*(Time!BO41-Time!BO40)+$F$6*(1-Time!BO41)</f>
        <v>2.25</v>
      </c>
      <c r="BP7" s="18" t="n">
        <f aca="false">Inputs!$F$102*Time!BP40+Inputs!$F$103*(Time!BP41-Time!BP40)+$F$6*(1-Time!BP41)</f>
        <v>2.25</v>
      </c>
      <c r="BQ7" s="18" t="n">
        <f aca="false">Inputs!$F$102*Time!BQ40+Inputs!$F$103*(Time!BQ41-Time!BQ40)+$F$6*(1-Time!BQ41)</f>
        <v>2.25</v>
      </c>
      <c r="BR7" s="18" t="n">
        <f aca="false">Inputs!$F$102*Time!BR40+Inputs!$F$103*(Time!BR41-Time!BR40)+$F$6*(1-Time!BR41)</f>
        <v>2.25</v>
      </c>
      <c r="BS7" s="18" t="n">
        <f aca="false">Inputs!$F$102*Time!BS40+Inputs!$F$103*(Time!BS41-Time!BS40)+$F$6*(1-Time!BS41)</f>
        <v>2.25</v>
      </c>
      <c r="BT7" s="18" t="n">
        <f aca="false">Inputs!$F$102*Time!BT40+Inputs!$F$103*(Time!BT41-Time!BT40)+$F$6*(1-Time!BT41)</f>
        <v>2.25</v>
      </c>
      <c r="BU7" s="18" t="n">
        <f aca="false">Inputs!$F$102*Time!BU40+Inputs!$F$103*(Time!BU41-Time!BU40)+$F$6*(1-Time!BU41)</f>
        <v>2.25</v>
      </c>
      <c r="BV7" s="18" t="n">
        <f aca="false">Inputs!$F$102*Time!BV40+Inputs!$F$103*(Time!BV41-Time!BV40)+$F$6*(1-Time!BV41)</f>
        <v>2.25</v>
      </c>
      <c r="BW7" s="18" t="n">
        <f aca="false">Inputs!$F$102*Time!BW40+Inputs!$F$103*(Time!BW41-Time!BW40)+$F$6*(1-Time!BW41)</f>
        <v>2.25</v>
      </c>
      <c r="BX7" s="18" t="n">
        <f aca="false">Inputs!$F$102*Time!BX40+Inputs!$F$103*(Time!BX41-Time!BX40)+$F$6*(1-Time!BX41)</f>
        <v>2.25</v>
      </c>
      <c r="BY7" s="18" t="n">
        <f aca="false">Inputs!$F$102*Time!BY40+Inputs!$F$103*(Time!BY41-Time!BY40)+$F$6*(1-Time!BY41)</f>
        <v>2.25</v>
      </c>
      <c r="BZ7" s="18" t="n">
        <f aca="false">Inputs!$F$102*Time!BZ40+Inputs!$F$103*(Time!BZ41-Time!BZ40)+$F$6*(1-Time!BZ41)</f>
        <v>2.25</v>
      </c>
      <c r="CA7" s="18" t="n">
        <f aca="false">Inputs!$F$102*Time!CA40+Inputs!$F$103*(Time!CA41-Time!CA40)+$F$6*(1-Time!CA41)</f>
        <v>2.25</v>
      </c>
      <c r="CB7" s="18" t="n">
        <f aca="false">Inputs!$F$102*Time!CB40+Inputs!$F$103*(Time!CB41-Time!CB40)+$F$6*(1-Time!CB41)</f>
        <v>2.25</v>
      </c>
      <c r="CC7" s="18" t="n">
        <f aca="false">Inputs!$F$102*Time!CC40+Inputs!$F$103*(Time!CC41-Time!CC40)+$F$6*(1-Time!CC41)</f>
        <v>2.25</v>
      </c>
      <c r="CD7" s="18" t="n">
        <f aca="false">Inputs!$F$102*Time!CD40+Inputs!$F$103*(Time!CD41-Time!CD40)+$F$6*(1-Time!CD41)</f>
        <v>2.25</v>
      </c>
      <c r="CE7" s="18" t="n">
        <f aca="false">Inputs!$F$102*Time!CE40+Inputs!$F$103*(Time!CE41-Time!CE40)+$F$6*(1-Time!CE41)</f>
        <v>2.25</v>
      </c>
      <c r="CF7" s="18" t="n">
        <f aca="false">Inputs!$F$102*Time!CF40+Inputs!$F$103*(Time!CF41-Time!CF40)+$F$6*(1-Time!CF41)</f>
        <v>2.25</v>
      </c>
      <c r="CG7" s="18" t="n">
        <f aca="false">Inputs!$F$102*Time!CG40+Inputs!$F$103*(Time!CG41-Time!CG40)+$F$6*(1-Time!CG41)</f>
        <v>2.25</v>
      </c>
      <c r="CH7" s="18" t="n">
        <f aca="false">Inputs!$F$102*Time!CH40+Inputs!$F$103*(Time!CH41-Time!CH40)+$F$6*(1-Time!CH41)</f>
        <v>2.25</v>
      </c>
      <c r="CI7" s="18" t="n">
        <f aca="false">Inputs!$F$102*Time!CI40+Inputs!$F$103*(Time!CI41-Time!CI40)+$F$6*(1-Time!CI41)</f>
        <v>2.25</v>
      </c>
      <c r="CJ7" s="18" t="n">
        <f aca="false">Inputs!$F$102*Time!CJ40+Inputs!$F$103*(Time!CJ41-Time!CJ40)+$F$6*(1-Time!CJ41)</f>
        <v>2.25</v>
      </c>
      <c r="CK7" s="18" t="n">
        <f aca="false">Inputs!$F$102*Time!CK40+Inputs!$F$103*(Time!CK41-Time!CK40)+$F$6*(1-Time!CK41)</f>
        <v>2.25</v>
      </c>
      <c r="CL7" s="18" t="n">
        <f aca="false">Inputs!$F$102*Time!CL40+Inputs!$F$103*(Time!CL41-Time!CL40)+$F$6*(1-Time!CL41)</f>
        <v>2.25</v>
      </c>
      <c r="CM7" s="18" t="n">
        <f aca="false">Inputs!$F$102*Time!CM40+Inputs!$F$103*(Time!CM41-Time!CM40)+$F$6*(1-Time!CM41)</f>
        <v>2.25</v>
      </c>
      <c r="CN7" s="18" t="n">
        <f aca="false">Inputs!$F$102*Time!CN40+Inputs!$F$103*(Time!CN41-Time!CN40)+$F$6*(1-Time!CN41)</f>
        <v>2.25</v>
      </c>
      <c r="CO7" s="18" t="n">
        <f aca="false">Inputs!$F$102*Time!CO40+Inputs!$F$103*(Time!CO41-Time!CO40)+$F$6*(1-Time!CO41)</f>
        <v>2.25</v>
      </c>
      <c r="CP7" s="18" t="n">
        <f aca="false">Inputs!$F$102*Time!CP40+Inputs!$F$103*(Time!CP41-Time!CP40)+$F$6*(1-Time!CP41)</f>
        <v>2.25</v>
      </c>
      <c r="CQ7" s="18" t="n">
        <f aca="false">Inputs!$F$102*Time!CQ40+Inputs!$F$103*(Time!CQ41-Time!CQ40)+$F$6*(1-Time!CQ41)</f>
        <v>2.25</v>
      </c>
      <c r="CR7" s="18" t="n">
        <f aca="false">Inputs!$F$102*Time!CR40+Inputs!$F$103*(Time!CR41-Time!CR40)+$F$6*(1-Time!CR41)</f>
        <v>2.25</v>
      </c>
      <c r="CS7" s="18" t="n">
        <f aca="false">Inputs!$F$102*Time!CS40+Inputs!$F$103*(Time!CS41-Time!CS40)+$F$6*(1-Time!CS41)</f>
        <v>2.25</v>
      </c>
      <c r="CT7" s="18" t="n">
        <f aca="false">Inputs!$F$102*Time!CT40+Inputs!$F$103*(Time!CT41-Time!CT40)+$F$6*(1-Time!CT41)</f>
        <v>2.25</v>
      </c>
      <c r="CU7" s="18" t="n">
        <f aca="false">Inputs!$F$102*Time!CU40+Inputs!$F$103*(Time!CU41-Time!CU40)+$F$6*(1-Time!CU41)</f>
        <v>2.25</v>
      </c>
      <c r="CV7" s="18" t="n">
        <f aca="false">Inputs!$F$102*Time!CV40+Inputs!$F$103*(Time!CV41-Time!CV40)+$F$6*(1-Time!CV41)</f>
        <v>2.25</v>
      </c>
      <c r="CW7" s="18" t="n">
        <f aca="false">Inputs!$F$102*Time!CW40+Inputs!$F$103*(Time!CW41-Time!CW40)+$F$6*(1-Time!CW41)</f>
        <v>2.25</v>
      </c>
      <c r="CX7" s="18" t="n">
        <f aca="false">Inputs!$F$102*Time!CX40+Inputs!$F$103*(Time!CX41-Time!CX40)+$F$6*(1-Time!CX41)</f>
        <v>2.25</v>
      </c>
      <c r="CY7" s="18" t="n">
        <f aca="false">Inputs!$F$102*Time!CY40+Inputs!$F$103*(Time!CY41-Time!CY40)+$F$6*(1-Time!CY41)</f>
        <v>2.25</v>
      </c>
      <c r="CZ7" s="18" t="n">
        <f aca="false">Inputs!$F$102*Time!CZ40+Inputs!$F$103*(Time!CZ41-Time!CZ40)+$F$6*(1-Time!CZ41)</f>
        <v>2.25</v>
      </c>
      <c r="DA7" s="18" t="n">
        <f aca="false">Inputs!$F$102*Time!DA40+Inputs!$F$103*(Time!DA41-Time!DA40)+$F$6*(1-Time!DA41)</f>
        <v>2.25</v>
      </c>
      <c r="DB7" s="18" t="n">
        <f aca="false">Inputs!$F$102*Time!DB40+Inputs!$F$103*(Time!DB41-Time!DB40)+$F$6*(1-Time!DB41)</f>
        <v>2.25</v>
      </c>
    </row>
    <row r="8" customFormat="false" ht="15" hidden="false" customHeight="false" outlineLevel="0" collapsed="false">
      <c r="D8" s="0" t="s">
        <v>476</v>
      </c>
      <c r="E8" s="0" t="s">
        <v>105</v>
      </c>
      <c r="J8" s="21" t="n">
        <f aca="false">(IF(Time!J43=1,Inputs!$F$100,Time!J54)+J7)/100</f>
        <v>0.0583</v>
      </c>
      <c r="K8" s="21" t="n">
        <f aca="false">(IF(Time!K43=1,Inputs!$F$100,Time!K54)+K7)/100</f>
        <v>0.0583</v>
      </c>
      <c r="L8" s="21" t="n">
        <f aca="false">(IF(Time!L43=1,Inputs!$F$100,Time!L54)+L7)/100</f>
        <v>0.0583</v>
      </c>
      <c r="M8" s="21" t="n">
        <f aca="false">(IF(Time!M43=1,Inputs!$F$100,Time!M54)+M7)/100</f>
        <v>0.0583</v>
      </c>
      <c r="N8" s="21" t="n">
        <f aca="false">(IF(Time!N43=1,Inputs!$F$100,Time!N54)+N7)/100</f>
        <v>0.0583</v>
      </c>
      <c r="O8" s="21" t="n">
        <f aca="false">(IF(Time!O43=1,Inputs!$F$100,Time!O54)+O7)/100</f>
        <v>0.0583</v>
      </c>
      <c r="P8" s="21" t="n">
        <f aca="false">(IF(Time!P43=1,Inputs!$F$100,Time!P54)+P7)/100</f>
        <v>0.0583</v>
      </c>
      <c r="Q8" s="21" t="n">
        <f aca="false">(IF(Time!Q43=1,Inputs!$F$100,Time!Q54)+Q7)/100</f>
        <v>0.0583</v>
      </c>
      <c r="R8" s="21" t="n">
        <f aca="false">(IF(Time!R43=1,Inputs!$F$100,Time!R54)+R7)/100</f>
        <v>0.0583</v>
      </c>
      <c r="S8" s="21" t="n">
        <f aca="false">(IF(Time!S43=1,Inputs!$F$100,Time!S54)+S7)/100</f>
        <v>0.0583</v>
      </c>
      <c r="T8" s="21" t="n">
        <f aca="false">(IF(Time!T43=1,Inputs!$F$100,Time!T54)+T7)/100</f>
        <v>0.0583</v>
      </c>
      <c r="U8" s="21" t="n">
        <f aca="false">(IF(Time!U43=1,Inputs!$F$100,Time!U54)+U7)/100</f>
        <v>0.0583</v>
      </c>
      <c r="V8" s="21" t="n">
        <f aca="false">(IF(Time!V43=1,Inputs!$F$100,Time!V54)+V7)/100</f>
        <v>0.0583</v>
      </c>
      <c r="W8" s="21" t="n">
        <f aca="false">(IF(Time!W43=1,Inputs!$F$100,Time!W54)+W7)/100</f>
        <v>0.0583</v>
      </c>
      <c r="X8" s="21" t="n">
        <f aca="false">(IF(Time!X43=1,Inputs!$F$100,Time!X54)+X7)/100</f>
        <v>0.0583</v>
      </c>
      <c r="Y8" s="21" t="n">
        <f aca="false">(IF(Time!Y43=1,Inputs!$F$100,Time!Y54)+Y7)/100</f>
        <v>0.0583</v>
      </c>
      <c r="Z8" s="21" t="n">
        <f aca="false">(IF(Time!Z43=1,Inputs!$F$100,Time!Z54)+Z7)/100</f>
        <v>0.0583</v>
      </c>
      <c r="AA8" s="21" t="n">
        <f aca="false">(IF(Time!AA43=1,Inputs!$F$100,Time!AA54)+AA7)/100</f>
        <v>0.0583</v>
      </c>
      <c r="AB8" s="21" t="n">
        <f aca="false">(IF(Time!AB43=1,Inputs!$F$100,Time!AB54)+AB7)/100</f>
        <v>0.058767032967033</v>
      </c>
      <c r="AC8" s="21" t="n">
        <f aca="false">(IF(Time!AC43=1,Inputs!$F$100,Time!AC54)+AC7)/100</f>
        <v>0.0608</v>
      </c>
      <c r="AD8" s="21" t="n">
        <f aca="false">(IF(Time!AD43=1,Inputs!$F$100,Time!AD54)+AD7)/100</f>
        <v>0.0608</v>
      </c>
      <c r="AE8" s="21" t="n">
        <f aca="false">(IF(Time!AE43=1,Inputs!$F$100,Time!AE54)+AE7)/100</f>
        <v>0.0608</v>
      </c>
      <c r="AF8" s="21" t="n">
        <f aca="false">(IF(Time!AF43=1,Inputs!$F$100,Time!AF54)+AF7)/100</f>
        <v>0.0601425414364641</v>
      </c>
      <c r="AG8" s="21" t="n">
        <f aca="false">(IF(Time!AG43=1,Inputs!$F$100,Time!AG54)+AG7)/100</f>
        <v>0.0573</v>
      </c>
      <c r="AH8" s="21" t="n">
        <f aca="false">(IF(Time!AH43=1,Inputs!$F$100,Time!AH54)+AH7)/100</f>
        <v>0.0573</v>
      </c>
      <c r="AI8" s="21" t="n">
        <f aca="false">(IF(Time!AI43=1,Inputs!$F$100,Time!AI54)+AI7)/100</f>
        <v>0.0573</v>
      </c>
      <c r="AJ8" s="21" t="n">
        <f aca="false">(IF(Time!AJ43=1,Inputs!$F$100,Time!AJ54)+AJ7)/100</f>
        <v>0.0573</v>
      </c>
      <c r="AK8" s="21" t="n">
        <f aca="false">(IF(Time!AK43=1,Inputs!$F$100,Time!AK54)+AK7)/100</f>
        <v>0.0573</v>
      </c>
      <c r="AL8" s="21" t="n">
        <f aca="false">(IF(Time!AL43=1,Inputs!$F$100,Time!AL54)+AL7)/100</f>
        <v>0.0573</v>
      </c>
      <c r="AM8" s="21" t="n">
        <f aca="false">(IF(Time!AM43=1,Inputs!$F$100,Time!AM54)+AM7)/100</f>
        <v>0.0573</v>
      </c>
      <c r="AN8" s="21" t="n">
        <f aca="false">(IF(Time!AN43=1,Inputs!$F$100,Time!AN54)+AN7)/100</f>
        <v>0.0573</v>
      </c>
      <c r="AO8" s="21" t="n">
        <f aca="false">(IF(Time!AO43=1,Inputs!$F$100,Time!AO54)+AO7)/100</f>
        <v>0.0573</v>
      </c>
      <c r="AP8" s="21" t="n">
        <f aca="false">(IF(Time!AP43=1,Inputs!$F$100,Time!AP54)+AP7)/100</f>
        <v>0.0573</v>
      </c>
      <c r="AQ8" s="21" t="n">
        <f aca="false">(IF(Time!AQ43=1,Inputs!$F$100,Time!AQ54)+AQ7)/100</f>
        <v>0.0573</v>
      </c>
      <c r="AR8" s="21" t="n">
        <f aca="false">(IF(Time!AR43=1,Inputs!$F$100,Time!AR54)+AR7)/100</f>
        <v>0.0573</v>
      </c>
      <c r="AS8" s="21" t="n">
        <f aca="false">(IF(Time!AS43=1,Inputs!$F$100,Time!AS54)+AS7)/100</f>
        <v>0.0573</v>
      </c>
      <c r="AT8" s="21" t="n">
        <f aca="false">(IF(Time!AT43=1,Inputs!$F$100,Time!AT54)+AT7)/100</f>
        <v>0.0573</v>
      </c>
      <c r="AU8" s="21" t="n">
        <f aca="false">(IF(Time!AU43=1,Inputs!$F$100,Time!AU54)+AU7)/100</f>
        <v>0.0573</v>
      </c>
      <c r="AV8" s="21" t="n">
        <f aca="false">(IF(Time!AV43=1,Inputs!$F$100,Time!AV54)+AV7)/100</f>
        <v>0.0573</v>
      </c>
      <c r="AW8" s="21" t="n">
        <f aca="false">(IF(Time!AW43=1,Inputs!$F$100,Time!AW54)+AW7)/100</f>
        <v>0.0573</v>
      </c>
      <c r="AX8" s="21" t="n">
        <f aca="false">(IF(Time!AX43=1,Inputs!$F$100,Time!AX54)+AX7)/100</f>
        <v>0.0573</v>
      </c>
      <c r="AY8" s="21" t="n">
        <f aca="false">(IF(Time!AY43=1,Inputs!$F$100,Time!AY54)+AY7)/100</f>
        <v>0.0573</v>
      </c>
      <c r="AZ8" s="21" t="n">
        <f aca="false">(IF(Time!AZ43=1,Inputs!$F$100,Time!AZ54)+AZ7)/100</f>
        <v>0.0573</v>
      </c>
      <c r="BA8" s="21" t="n">
        <f aca="false">(IF(Time!BA43=1,Inputs!$F$100,Time!BA54)+BA7)/100</f>
        <v>0.0573</v>
      </c>
      <c r="BB8" s="21" t="n">
        <f aca="false">(IF(Time!BB43=1,Inputs!$F$100,Time!BB54)+BB7)/100</f>
        <v>0.0573</v>
      </c>
      <c r="BC8" s="21" t="n">
        <f aca="false">(IF(Time!BC43=1,Inputs!$F$100,Time!BC54)+BC7)/100</f>
        <v>0.0573</v>
      </c>
      <c r="BD8" s="21" t="n">
        <f aca="false">(IF(Time!BD43=1,Inputs!$F$100,Time!BD54)+BD7)/100</f>
        <v>0.0573</v>
      </c>
      <c r="BE8" s="21" t="n">
        <f aca="false">(IF(Time!BE43=1,Inputs!$F$100,Time!BE54)+BE7)/100</f>
        <v>0.0573</v>
      </c>
      <c r="BF8" s="21" t="n">
        <f aca="false">(IF(Time!BF43=1,Inputs!$F$100,Time!BF54)+BF7)/100</f>
        <v>0.0573</v>
      </c>
      <c r="BG8" s="21" t="n">
        <f aca="false">(IF(Time!BG43=1,Inputs!$F$100,Time!BG54)+BG7)/100</f>
        <v>0.0575</v>
      </c>
      <c r="BH8" s="21" t="n">
        <f aca="false">(IF(Time!BH43=1,Inputs!$F$100,Time!BH54)+BH7)/100</f>
        <v>0.0575</v>
      </c>
      <c r="BI8" s="21" t="n">
        <f aca="false">(IF(Time!BI43=1,Inputs!$F$100,Time!BI54)+BI7)/100</f>
        <v>0.0575</v>
      </c>
      <c r="BJ8" s="21" t="n">
        <f aca="false">(IF(Time!BJ43=1,Inputs!$F$100,Time!BJ54)+BJ7)/100</f>
        <v>0.0575</v>
      </c>
      <c r="BK8" s="21" t="n">
        <f aca="false">(IF(Time!BK43=1,Inputs!$F$100,Time!BK54)+BK7)/100</f>
        <v>0.0575</v>
      </c>
      <c r="BL8" s="21" t="n">
        <f aca="false">(IF(Time!BL43=1,Inputs!$F$100,Time!BL54)+BL7)/100</f>
        <v>0.0575</v>
      </c>
      <c r="BM8" s="21" t="n">
        <f aca="false">(IF(Time!BM43=1,Inputs!$F$100,Time!BM54)+BM7)/100</f>
        <v>0.0575</v>
      </c>
      <c r="BN8" s="21" t="n">
        <f aca="false">(IF(Time!BN43=1,Inputs!$F$100,Time!BN54)+BN7)/100</f>
        <v>0.0575</v>
      </c>
      <c r="BO8" s="21" t="n">
        <f aca="false">(IF(Time!BO43=1,Inputs!$F$100,Time!BO54)+BO7)/100</f>
        <v>0.0575</v>
      </c>
      <c r="BP8" s="21" t="n">
        <f aca="false">(IF(Time!BP43=1,Inputs!$F$100,Time!BP54)+BP7)/100</f>
        <v>0.0575</v>
      </c>
      <c r="BQ8" s="21" t="n">
        <f aca="false">(IF(Time!BQ43=1,Inputs!$F$100,Time!BQ54)+BQ7)/100</f>
        <v>0.0575</v>
      </c>
      <c r="BR8" s="21" t="n">
        <f aca="false">(IF(Time!BR43=1,Inputs!$F$100,Time!BR54)+BR7)/100</f>
        <v>0.0575</v>
      </c>
      <c r="BS8" s="21" t="n">
        <f aca="false">(IF(Time!BS43=1,Inputs!$F$100,Time!BS54)+BS7)/100</f>
        <v>0.0575</v>
      </c>
      <c r="BT8" s="21" t="n">
        <f aca="false">(IF(Time!BT43=1,Inputs!$F$100,Time!BT54)+BT7)/100</f>
        <v>0.0575</v>
      </c>
      <c r="BU8" s="21" t="n">
        <f aca="false">(IF(Time!BU43=1,Inputs!$F$100,Time!BU54)+BU7)/100</f>
        <v>0.0575</v>
      </c>
      <c r="BV8" s="21" t="n">
        <f aca="false">(IF(Time!BV43=1,Inputs!$F$100,Time!BV54)+BV7)/100</f>
        <v>0.0575</v>
      </c>
      <c r="BW8" s="21" t="n">
        <f aca="false">(IF(Time!BW43=1,Inputs!$F$100,Time!BW54)+BW7)/100</f>
        <v>0.0575</v>
      </c>
      <c r="BX8" s="21" t="n">
        <f aca="false">(IF(Time!BX43=1,Inputs!$F$100,Time!BX54)+BX7)/100</f>
        <v>0.0575</v>
      </c>
      <c r="BY8" s="21" t="n">
        <f aca="false">(IF(Time!BY43=1,Inputs!$F$100,Time!BY54)+BY7)/100</f>
        <v>0.0575</v>
      </c>
      <c r="BZ8" s="21" t="n">
        <f aca="false">(IF(Time!BZ43=1,Inputs!$F$100,Time!BZ54)+BZ7)/100</f>
        <v>0.0575</v>
      </c>
      <c r="CA8" s="21" t="n">
        <f aca="false">(IF(Time!CA43=1,Inputs!$F$100,Time!CA54)+CA7)/100</f>
        <v>0.0575</v>
      </c>
      <c r="CB8" s="21" t="n">
        <f aca="false">(IF(Time!CB43=1,Inputs!$F$100,Time!CB54)+CB7)/100</f>
        <v>0.0575</v>
      </c>
      <c r="CC8" s="21" t="n">
        <f aca="false">(IF(Time!CC43=1,Inputs!$F$100,Time!CC54)+CC7)/100</f>
        <v>0.0575</v>
      </c>
      <c r="CD8" s="21" t="n">
        <f aca="false">(IF(Time!CD43=1,Inputs!$F$100,Time!CD54)+CD7)/100</f>
        <v>0.0575</v>
      </c>
      <c r="CE8" s="21" t="n">
        <f aca="false">(IF(Time!CE43=1,Inputs!$F$100,Time!CE54)+CE7)/100</f>
        <v>0.0575</v>
      </c>
      <c r="CF8" s="21" t="n">
        <f aca="false">(IF(Time!CF43=1,Inputs!$F$100,Time!CF54)+CF7)/100</f>
        <v>0.0575</v>
      </c>
      <c r="CG8" s="21" t="n">
        <f aca="false">(IF(Time!CG43=1,Inputs!$F$100,Time!CG54)+CG7)/100</f>
        <v>0.0575</v>
      </c>
      <c r="CH8" s="21" t="n">
        <f aca="false">(IF(Time!CH43=1,Inputs!$F$100,Time!CH54)+CH7)/100</f>
        <v>0.0575</v>
      </c>
      <c r="CI8" s="21" t="n">
        <f aca="false">(IF(Time!CI43=1,Inputs!$F$100,Time!CI54)+CI7)/100</f>
        <v>0.0575</v>
      </c>
      <c r="CJ8" s="21" t="n">
        <f aca="false">(IF(Time!CJ43=1,Inputs!$F$100,Time!CJ54)+CJ7)/100</f>
        <v>0.0575</v>
      </c>
      <c r="CK8" s="21" t="n">
        <f aca="false">(IF(Time!CK43=1,Inputs!$F$100,Time!CK54)+CK7)/100</f>
        <v>0.0575</v>
      </c>
      <c r="CL8" s="21" t="n">
        <f aca="false">(IF(Time!CL43=1,Inputs!$F$100,Time!CL54)+CL7)/100</f>
        <v>0.0575</v>
      </c>
      <c r="CM8" s="21" t="n">
        <f aca="false">(IF(Time!CM43=1,Inputs!$F$100,Time!CM54)+CM7)/100</f>
        <v>0.0575</v>
      </c>
      <c r="CN8" s="21" t="n">
        <f aca="false">(IF(Time!CN43=1,Inputs!$F$100,Time!CN54)+CN7)/100</f>
        <v>0.0575</v>
      </c>
      <c r="CO8" s="21" t="n">
        <f aca="false">(IF(Time!CO43=1,Inputs!$F$100,Time!CO54)+CO7)/100</f>
        <v>0.0575</v>
      </c>
      <c r="CP8" s="21" t="n">
        <f aca="false">(IF(Time!CP43=1,Inputs!$F$100,Time!CP54)+CP7)/100</f>
        <v>0.0575</v>
      </c>
      <c r="CQ8" s="21" t="n">
        <f aca="false">(IF(Time!CQ43=1,Inputs!$F$100,Time!CQ54)+CQ7)/100</f>
        <v>0.0575</v>
      </c>
      <c r="CR8" s="21" t="n">
        <f aca="false">(IF(Time!CR43=1,Inputs!$F$100,Time!CR54)+CR7)/100</f>
        <v>0.0575</v>
      </c>
      <c r="CS8" s="21" t="n">
        <f aca="false">(IF(Time!CS43=1,Inputs!$F$100,Time!CS54)+CS7)/100</f>
        <v>0.0575</v>
      </c>
      <c r="CT8" s="21" t="n">
        <f aca="false">(IF(Time!CT43=1,Inputs!$F$100,Time!CT54)+CT7)/100</f>
        <v>0.0575</v>
      </c>
      <c r="CU8" s="21" t="n">
        <f aca="false">(IF(Time!CU43=1,Inputs!$F$100,Time!CU54)+CU7)/100</f>
        <v>0.0575</v>
      </c>
      <c r="CV8" s="21" t="n">
        <f aca="false">(IF(Time!CV43=1,Inputs!$F$100,Time!CV54)+CV7)/100</f>
        <v>0.0575</v>
      </c>
      <c r="CW8" s="21" t="n">
        <f aca="false">(IF(Time!CW43=1,Inputs!$F$100,Time!CW54)+CW7)/100</f>
        <v>0.0575</v>
      </c>
      <c r="CX8" s="21" t="n">
        <f aca="false">(IF(Time!CX43=1,Inputs!$F$100,Time!CX54)+CX7)/100</f>
        <v>0.0575</v>
      </c>
      <c r="CY8" s="21" t="n">
        <f aca="false">(IF(Time!CY43=1,Inputs!$F$100,Time!CY54)+CY7)/100</f>
        <v>0.0575</v>
      </c>
      <c r="CZ8" s="21" t="n">
        <f aca="false">(IF(Time!CZ43=1,Inputs!$F$100,Time!CZ54)+CZ7)/100</f>
        <v>0.0575</v>
      </c>
      <c r="DA8" s="21" t="n">
        <f aca="false">(IF(Time!DA43=1,Inputs!$F$100,Time!DA54)+DA7)/100</f>
        <v>0.0575</v>
      </c>
      <c r="DB8" s="21" t="n">
        <f aca="false">(IF(Time!DB43=1,Inputs!$F$100,Time!DB54)+DB7)/100</f>
        <v>0.0575</v>
      </c>
    </row>
    <row r="9" customFormat="false" ht="15" hidden="false" customHeight="false" outlineLevel="0" collapsed="false">
      <c r="D9" s="0" t="s">
        <v>477</v>
      </c>
      <c r="E9" s="0" t="s">
        <v>105</v>
      </c>
      <c r="J9" s="21" t="n">
        <f aca="false">Inputs!$F$96*J8*Time!J9/Inputs!$F$45+Inputs!$F$97*Inputs!$F$110*Time!J10/Inputs!$F$46</f>
        <v>0.00488901655251142</v>
      </c>
      <c r="K9" s="21" t="n">
        <f aca="false">Inputs!$F$96*K8*Time!K9/Inputs!$F$45+Inputs!$F$97*Inputs!$F$110*Time!K10/Inputs!$F$46</f>
        <v>0.0132814075342466</v>
      </c>
      <c r="L9" s="21" t="n">
        <f aca="false">Inputs!$F$96*L8*Time!L9/Inputs!$F$45+Inputs!$F$97*Inputs!$F$110*Time!L10/Inputs!$F$46</f>
        <v>0.0132814075342466</v>
      </c>
      <c r="M9" s="21" t="n">
        <f aca="false">Inputs!$F$96*M8*Time!M9/Inputs!$F$45+Inputs!$F$97*Inputs!$F$110*Time!M10/Inputs!$F$46</f>
        <v>0.0132095308219178</v>
      </c>
      <c r="N9" s="21" t="n">
        <f aca="false">Inputs!$F$96*N8*Time!N9/Inputs!$F$45+Inputs!$F$97*Inputs!$F$110*Time!N10/Inputs!$F$46</f>
        <v>0.0132095308219178</v>
      </c>
      <c r="O9" s="21" t="n">
        <f aca="false">Inputs!$F$96*O8*Time!O9/Inputs!$F$45+Inputs!$F$97*Inputs!$F$110*Time!O10/Inputs!$F$46</f>
        <v>0.0132814075342466</v>
      </c>
      <c r="P9" s="21" t="n">
        <f aca="false">Inputs!$F$96*P8*Time!P9/Inputs!$F$45+Inputs!$F$97*Inputs!$F$110*Time!P10/Inputs!$F$46</f>
        <v>0.0132814075342466</v>
      </c>
      <c r="Q9" s="21" t="n">
        <f aca="false">Inputs!$F$96*Q8*Time!Q9/Inputs!$F$45+Inputs!$F$97*Inputs!$F$110*Time!Q10/Inputs!$F$46</f>
        <v>0.013137654109589</v>
      </c>
      <c r="R9" s="21" t="n">
        <f aca="false">Inputs!$F$96*R8*Time!R9/Inputs!$F$45+Inputs!$F$97*Inputs!$F$110*Time!R10/Inputs!$F$46</f>
        <v>0.0132095308219178</v>
      </c>
      <c r="S9" s="21" t="n">
        <f aca="false">Inputs!$F$96*S8*Time!S9/Inputs!$F$45+Inputs!$F$97*Inputs!$F$110*Time!S10/Inputs!$F$46</f>
        <v>0.0132814075342466</v>
      </c>
      <c r="T9" s="21" t="n">
        <f aca="false">Inputs!$F$96*T8*Time!T9/Inputs!$F$45+Inputs!$F$97*Inputs!$F$110*Time!T10/Inputs!$F$46</f>
        <v>0.0132814075342466</v>
      </c>
      <c r="U9" s="21" t="n">
        <f aca="false">Inputs!$F$96*U8*Time!U9/Inputs!$F$45+Inputs!$F$97*Inputs!$F$110*Time!U10/Inputs!$F$46</f>
        <v>0.013137654109589</v>
      </c>
      <c r="V9" s="21" t="n">
        <f aca="false">Inputs!$F$96*V8*Time!V9/Inputs!$F$45+Inputs!$F$97*Inputs!$F$110*Time!V10/Inputs!$F$46</f>
        <v>0.0132095308219178</v>
      </c>
      <c r="W9" s="21" t="n">
        <f aca="false">Inputs!$F$96*W8*Time!W9/Inputs!$F$45+Inputs!$F$97*Inputs!$F$110*Time!W10/Inputs!$F$46</f>
        <v>0.0132814075342466</v>
      </c>
      <c r="X9" s="21" t="n">
        <f aca="false">Inputs!$F$96*X8*Time!X9/Inputs!$F$45+Inputs!$F$97*Inputs!$F$110*Time!X10/Inputs!$F$46</f>
        <v>0.0132814075342466</v>
      </c>
      <c r="Y9" s="21" t="n">
        <f aca="false">Inputs!$F$96*Y8*Time!Y9/Inputs!$F$45+Inputs!$F$97*Inputs!$F$110*Time!Y10/Inputs!$F$46</f>
        <v>0.013137654109589</v>
      </c>
      <c r="Z9" s="21" t="n">
        <f aca="false">Inputs!$F$96*Z8*Time!Z9/Inputs!$F$45+Inputs!$F$97*Inputs!$F$110*Time!Z10/Inputs!$F$46</f>
        <v>0.0132095308219178</v>
      </c>
      <c r="AA9" s="21" t="n">
        <f aca="false">Inputs!$F$96*AA8*Time!AA9/Inputs!$F$45+Inputs!$F$97*Inputs!$F$110*Time!AA10/Inputs!$F$46</f>
        <v>0.0265628150684932</v>
      </c>
      <c r="AB9" s="21" t="n">
        <f aca="false">Inputs!$F$96*AB8*Time!AB9/Inputs!$F$45+Inputs!$F$97*Inputs!$F$110*Time!AB10/Inputs!$F$46</f>
        <v>0.0265238561643836</v>
      </c>
      <c r="AC9" s="21" t="n">
        <f aca="false">Inputs!$F$96*AC8*Time!AC9/Inputs!$F$45+Inputs!$F$97*Inputs!$F$110*Time!AC10/Inputs!$F$46</f>
        <v>0.0271299383561644</v>
      </c>
      <c r="AD9" s="21" t="n">
        <f aca="false">Inputs!$F$96*AD8*Time!AD9/Inputs!$F$45+Inputs!$F$97*Inputs!$F$110*Time!AD10/Inputs!$F$46</f>
        <v>0.0269050616438356</v>
      </c>
      <c r="AE9" s="21" t="n">
        <f aca="false">Inputs!$F$96*AE8*Time!AE9/Inputs!$F$45+Inputs!$F$97*Inputs!$F$110*Time!AE10/Inputs!$F$46</f>
        <v>0.0271299383561644</v>
      </c>
      <c r="AF9" s="21" t="n">
        <f aca="false">Inputs!$F$96*AF8*Time!AF9/Inputs!$F$45+Inputs!$F$97*Inputs!$F$110*Time!AF10/Inputs!$F$46</f>
        <v>0.0267583493150685</v>
      </c>
      <c r="AG9" s="21" t="n">
        <f aca="false">Inputs!$F$96*AG8*Time!AG9/Inputs!$F$45+Inputs!$F$97*Inputs!$F$110*Time!AG10/Inputs!$F$46</f>
        <v>0.0263359657534247</v>
      </c>
      <c r="AH9" s="21" t="n">
        <f aca="false">Inputs!$F$96*AH8*Time!AH9/Inputs!$F$45+Inputs!$F$97*Inputs!$F$110*Time!AH10/Inputs!$F$46</f>
        <v>0.0261240342465753</v>
      </c>
      <c r="AI9" s="21" t="n">
        <f aca="false">Inputs!$F$96*AI8*Time!AI9/Inputs!$F$45+Inputs!$F$97*Inputs!$F$110*Time!AI10/Inputs!$F$46</f>
        <v>0.0263359657534247</v>
      </c>
      <c r="AJ9" s="21" t="n">
        <f aca="false">Inputs!$F$96*AJ8*Time!AJ9/Inputs!$F$45+Inputs!$F$97*Inputs!$F$110*Time!AJ10/Inputs!$F$46</f>
        <v>0.0261946780821918</v>
      </c>
      <c r="AK9" s="21" t="n">
        <f aca="false">Inputs!$F$96*AK8*Time!AK9/Inputs!$F$45+Inputs!$F$97*Inputs!$F$110*Time!AK10/Inputs!$F$46</f>
        <v>0.0263359657534247</v>
      </c>
      <c r="AL9" s="21" t="n">
        <f aca="false">Inputs!$F$96*AL8*Time!AL9/Inputs!$F$45+Inputs!$F$97*Inputs!$F$110*Time!AL10/Inputs!$F$46</f>
        <v>0.0261240342465753</v>
      </c>
      <c r="AM9" s="21" t="n">
        <f aca="false">Inputs!$F$96*AM8*Time!AM9/Inputs!$F$45+Inputs!$F$97*Inputs!$F$110*Time!AM10/Inputs!$F$46</f>
        <v>0.0263359657534247</v>
      </c>
      <c r="AN9" s="21" t="n">
        <f aca="false">Inputs!$F$96*AN8*Time!AN9/Inputs!$F$45+Inputs!$F$97*Inputs!$F$110*Time!AN10/Inputs!$F$46</f>
        <v>0.0261240342465753</v>
      </c>
      <c r="AO9" s="21" t="n">
        <f aca="false">Inputs!$F$96*AO8*Time!AO9/Inputs!$F$45+Inputs!$F$97*Inputs!$F$110*Time!AO10/Inputs!$F$46</f>
        <v>0.0263359657534247</v>
      </c>
      <c r="AP9" s="21" t="n">
        <f aca="false">Inputs!$F$96*AP8*Time!AP9/Inputs!$F$45+Inputs!$F$97*Inputs!$F$110*Time!AP10/Inputs!$F$46</f>
        <v>0.0261240342465753</v>
      </c>
      <c r="AQ9" s="21" t="n">
        <f aca="false">Inputs!$F$96*AQ8*Time!AQ9/Inputs!$F$45+Inputs!$F$97*Inputs!$F$110*Time!AQ10/Inputs!$F$46</f>
        <v>0.0263359657534247</v>
      </c>
      <c r="AR9" s="21" t="n">
        <f aca="false">Inputs!$F$96*AR8*Time!AR9/Inputs!$F$45+Inputs!$F$97*Inputs!$F$110*Time!AR10/Inputs!$F$46</f>
        <v>0.0261946780821918</v>
      </c>
      <c r="AS9" s="21" t="n">
        <f aca="false">Inputs!$F$96*AS8*Time!AS9/Inputs!$F$45+Inputs!$F$97*Inputs!$F$110*Time!AS10/Inputs!$F$46</f>
        <v>0.0263359657534247</v>
      </c>
      <c r="AT9" s="21" t="n">
        <f aca="false">Inputs!$F$96*AT8*Time!AT9/Inputs!$F$45+Inputs!$F$97*Inputs!$F$110*Time!AT10/Inputs!$F$46</f>
        <v>0.0261240342465753</v>
      </c>
      <c r="AU9" s="21" t="n">
        <f aca="false">Inputs!$F$96*AU8*Time!AU9/Inputs!$F$45+Inputs!$F$97*Inputs!$F$110*Time!AU10/Inputs!$F$46</f>
        <v>0.0263359657534247</v>
      </c>
      <c r="AV9" s="21" t="n">
        <f aca="false">Inputs!$F$96*AV8*Time!AV9/Inputs!$F$45+Inputs!$F$97*Inputs!$F$110*Time!AV10/Inputs!$F$46</f>
        <v>0.0261240342465753</v>
      </c>
      <c r="AW9" s="21" t="n">
        <f aca="false">Inputs!$F$96*AW8*Time!AW9/Inputs!$F$45+Inputs!$F$97*Inputs!$F$110*Time!AW10/Inputs!$F$46</f>
        <v>0.0263359657534247</v>
      </c>
      <c r="AX9" s="21" t="n">
        <f aca="false">Inputs!$F$96*AX8*Time!AX9/Inputs!$F$45+Inputs!$F$97*Inputs!$F$110*Time!AX10/Inputs!$F$46</f>
        <v>0.0261240342465753</v>
      </c>
      <c r="AY9" s="21" t="n">
        <f aca="false">Inputs!$F$96*AY8*Time!AY9/Inputs!$F$45+Inputs!$F$97*Inputs!$F$110*Time!AY10/Inputs!$F$46</f>
        <v>0.0263359657534247</v>
      </c>
      <c r="AZ9" s="21" t="n">
        <f aca="false">Inputs!$F$96*AZ8*Time!AZ9/Inputs!$F$45+Inputs!$F$97*Inputs!$F$110*Time!AZ10/Inputs!$F$46</f>
        <v>0.0261946780821918</v>
      </c>
      <c r="BA9" s="21" t="n">
        <f aca="false">Inputs!$F$96*BA8*Time!BA9/Inputs!$F$45+Inputs!$F$97*Inputs!$F$110*Time!BA10/Inputs!$F$46</f>
        <v>0.0263359657534247</v>
      </c>
      <c r="BB9" s="21" t="n">
        <f aca="false">Inputs!$F$96*BB8*Time!BB9/Inputs!$F$45+Inputs!$F$97*Inputs!$F$110*Time!BB10/Inputs!$F$46</f>
        <v>0.0261240342465753</v>
      </c>
      <c r="BC9" s="21" t="n">
        <f aca="false">Inputs!$F$96*BC8*Time!BC9/Inputs!$F$45+Inputs!$F$97*Inputs!$F$110*Time!BC10/Inputs!$F$46</f>
        <v>0.0263359657534247</v>
      </c>
      <c r="BD9" s="21" t="n">
        <f aca="false">Inputs!$F$96*BD8*Time!BD9/Inputs!$F$45+Inputs!$F$97*Inputs!$F$110*Time!BD10/Inputs!$F$46</f>
        <v>0.0261240342465753</v>
      </c>
      <c r="BE9" s="21" t="n">
        <f aca="false">Inputs!$F$96*BE8*Time!BE9/Inputs!$F$45+Inputs!$F$97*Inputs!$F$110*Time!BE10/Inputs!$F$46</f>
        <v>0.0263359657534247</v>
      </c>
      <c r="BF9" s="21" t="n">
        <f aca="false">Inputs!$F$96*BF8*Time!BF9/Inputs!$F$45+Inputs!$F$97*Inputs!$F$110*Time!BF10/Inputs!$F$46</f>
        <v>0.0261240342465753</v>
      </c>
      <c r="BG9" s="21" t="n">
        <f aca="false">Inputs!$F$96*BG8*Time!BG9/Inputs!$F$45+Inputs!$F$97*Inputs!$F$110*Time!BG10/Inputs!$F$46</f>
        <v>0.0263813356164384</v>
      </c>
      <c r="BH9" s="21" t="n">
        <f aca="false">Inputs!$F$96*BH8*Time!BH9/Inputs!$F$45+Inputs!$F$97*Inputs!$F$110*Time!BH10/Inputs!$F$46</f>
        <v>0.0262395547945206</v>
      </c>
      <c r="BI9" s="21" t="n">
        <f aca="false">Inputs!$F$96*BI8*Time!BI9/Inputs!$F$45+Inputs!$F$97*Inputs!$F$110*Time!BI10/Inputs!$F$46</f>
        <v>0.0263813356164384</v>
      </c>
      <c r="BJ9" s="21" t="n">
        <f aca="false">Inputs!$F$96*BJ8*Time!BJ9/Inputs!$F$45+Inputs!$F$97*Inputs!$F$110*Time!BJ10/Inputs!$F$46</f>
        <v>0.0261686643835617</v>
      </c>
      <c r="BK9" s="21" t="n">
        <f aca="false">Inputs!$F$96*BK8*Time!BK9/Inputs!$F$45+Inputs!$F$97*Inputs!$F$110*Time!BK10/Inputs!$F$46</f>
        <v>0.0263813356164384</v>
      </c>
      <c r="BL9" s="21" t="n">
        <f aca="false">Inputs!$F$96*BL8*Time!BL9/Inputs!$F$45+Inputs!$F$97*Inputs!$F$110*Time!BL10/Inputs!$F$46</f>
        <v>0.0261686643835617</v>
      </c>
      <c r="BM9" s="21" t="n">
        <f aca="false">Inputs!$F$96*BM8*Time!BM9/Inputs!$F$45+Inputs!$F$97*Inputs!$F$110*Time!BM10/Inputs!$F$46</f>
        <v>0.0263813356164384</v>
      </c>
      <c r="BN9" s="21" t="n">
        <f aca="false">Inputs!$F$96*BN8*Time!BN9/Inputs!$F$45+Inputs!$F$97*Inputs!$F$110*Time!BN10/Inputs!$F$46</f>
        <v>0.0261686643835617</v>
      </c>
      <c r="BO9" s="21" t="n">
        <f aca="false">Inputs!$F$96*BO8*Time!BO9/Inputs!$F$45+Inputs!$F$97*Inputs!$F$110*Time!BO10/Inputs!$F$46</f>
        <v>0.0263813356164384</v>
      </c>
      <c r="BP9" s="21" t="n">
        <f aca="false">Inputs!$F$96*BP8*Time!BP9/Inputs!$F$45+Inputs!$F$97*Inputs!$F$110*Time!BP10/Inputs!$F$46</f>
        <v>0.0262395547945206</v>
      </c>
      <c r="BQ9" s="21" t="n">
        <f aca="false">Inputs!$F$96*BQ8*Time!BQ9/Inputs!$F$45+Inputs!$F$97*Inputs!$F$110*Time!BQ10/Inputs!$F$46</f>
        <v>0.0263813356164384</v>
      </c>
      <c r="BR9" s="21" t="n">
        <f aca="false">Inputs!$F$96*BR8*Time!BR9/Inputs!$F$45+Inputs!$F$97*Inputs!$F$110*Time!BR10/Inputs!$F$46</f>
        <v>0.0261686643835617</v>
      </c>
      <c r="BS9" s="21" t="n">
        <f aca="false">Inputs!$F$96*BS8*Time!BS9/Inputs!$F$45+Inputs!$F$97*Inputs!$F$110*Time!BS10/Inputs!$F$46</f>
        <v>0.0263813356164384</v>
      </c>
      <c r="BT9" s="21" t="n">
        <f aca="false">Inputs!$F$96*BT8*Time!BT9/Inputs!$F$45+Inputs!$F$97*Inputs!$F$110*Time!BT10/Inputs!$F$46</f>
        <v>0.0261686643835617</v>
      </c>
      <c r="BU9" s="21" t="n">
        <f aca="false">Inputs!$F$96*BU8*Time!BU9/Inputs!$F$45+Inputs!$F$97*Inputs!$F$110*Time!BU10/Inputs!$F$46</f>
        <v>0.0263813356164384</v>
      </c>
      <c r="BV9" s="21" t="n">
        <f aca="false">Inputs!$F$96*BV8*Time!BV9/Inputs!$F$45+Inputs!$F$97*Inputs!$F$110*Time!BV10/Inputs!$F$46</f>
        <v>0.0261686643835617</v>
      </c>
      <c r="BW9" s="21" t="n">
        <f aca="false">Inputs!$F$96*BW8*Time!BW9/Inputs!$F$45+Inputs!$F$97*Inputs!$F$110*Time!BW10/Inputs!$F$46</f>
        <v>0.0263813356164384</v>
      </c>
      <c r="BX9" s="21" t="n">
        <f aca="false">Inputs!$F$96*BX8*Time!BX9/Inputs!$F$45+Inputs!$F$97*Inputs!$F$110*Time!BX10/Inputs!$F$46</f>
        <v>0.0262395547945206</v>
      </c>
      <c r="BY9" s="21" t="n">
        <f aca="false">Inputs!$F$96*BY8*Time!BY9/Inputs!$F$45+Inputs!$F$97*Inputs!$F$110*Time!BY10/Inputs!$F$46</f>
        <v>0.0263813356164384</v>
      </c>
      <c r="BZ9" s="21" t="n">
        <f aca="false">Inputs!$F$96*BZ8*Time!BZ9/Inputs!$F$45+Inputs!$F$97*Inputs!$F$110*Time!BZ10/Inputs!$F$46</f>
        <v>0.0261686643835617</v>
      </c>
      <c r="CA9" s="21" t="n">
        <f aca="false">Inputs!$F$96*CA8*Time!CA9/Inputs!$F$45+Inputs!$F$97*Inputs!$F$110*Time!CA10/Inputs!$F$46</f>
        <v>0.0263813356164384</v>
      </c>
      <c r="CB9" s="21" t="n">
        <f aca="false">Inputs!$F$96*CB8*Time!CB9/Inputs!$F$45+Inputs!$F$97*Inputs!$F$110*Time!CB10/Inputs!$F$46</f>
        <v>0.0261686643835617</v>
      </c>
      <c r="CC9" s="21" t="n">
        <f aca="false">Inputs!$F$96*CC8*Time!CC9/Inputs!$F$45+Inputs!$F$97*Inputs!$F$110*Time!CC10/Inputs!$F$46</f>
        <v>0.0263813356164384</v>
      </c>
      <c r="CD9" s="21" t="n">
        <f aca="false">Inputs!$F$96*CD8*Time!CD9/Inputs!$F$45+Inputs!$F$97*Inputs!$F$110*Time!CD10/Inputs!$F$46</f>
        <v>0.0261686643835617</v>
      </c>
      <c r="CE9" s="21" t="n">
        <f aca="false">Inputs!$F$96*CE8*Time!CE9/Inputs!$F$45+Inputs!$F$97*Inputs!$F$110*Time!CE10/Inputs!$F$46</f>
        <v>0.0263813356164384</v>
      </c>
      <c r="CF9" s="21" t="n">
        <f aca="false">Inputs!$F$96*CF8*Time!CF9/Inputs!$F$45+Inputs!$F$97*Inputs!$F$110*Time!CF10/Inputs!$F$46</f>
        <v>0.0262395547945206</v>
      </c>
      <c r="CG9" s="21" t="n">
        <f aca="false">Inputs!$F$96*CG8*Time!CG9/Inputs!$F$45+Inputs!$F$97*Inputs!$F$110*Time!CG10/Inputs!$F$46</f>
        <v>0.0263813356164384</v>
      </c>
      <c r="CH9" s="21" t="n">
        <f aca="false">Inputs!$F$96*CH8*Time!CH9/Inputs!$F$45+Inputs!$F$97*Inputs!$F$110*Time!CH10/Inputs!$F$46</f>
        <v>0.0261686643835617</v>
      </c>
      <c r="CI9" s="21" t="n">
        <f aca="false">Inputs!$F$96*CI8*Time!CI9/Inputs!$F$45+Inputs!$F$97*Inputs!$F$110*Time!CI10/Inputs!$F$46</f>
        <v>0.0263813356164384</v>
      </c>
      <c r="CJ9" s="21" t="n">
        <f aca="false">Inputs!$F$96*CJ8*Time!CJ9/Inputs!$F$45+Inputs!$F$97*Inputs!$F$110*Time!CJ10/Inputs!$F$46</f>
        <v>0.0261686643835617</v>
      </c>
      <c r="CK9" s="21" t="n">
        <f aca="false">Inputs!$F$96*CK8*Time!CK9/Inputs!$F$45+Inputs!$F$97*Inputs!$F$110*Time!CK10/Inputs!$F$46</f>
        <v>0.0263813356164384</v>
      </c>
      <c r="CL9" s="21" t="n">
        <f aca="false">Inputs!$F$96*CL8*Time!CL9/Inputs!$F$45+Inputs!$F$97*Inputs!$F$110*Time!CL10/Inputs!$F$46</f>
        <v>0.0261686643835617</v>
      </c>
      <c r="CM9" s="21" t="n">
        <f aca="false">Inputs!$F$96*CM8*Time!CM9/Inputs!$F$45+Inputs!$F$97*Inputs!$F$110*Time!CM10/Inputs!$F$46</f>
        <v>0.0263813356164384</v>
      </c>
      <c r="CN9" s="21" t="n">
        <f aca="false">Inputs!$F$96*CN8*Time!CN9/Inputs!$F$45+Inputs!$F$97*Inputs!$F$110*Time!CN10/Inputs!$F$46</f>
        <v>0.0262395547945206</v>
      </c>
      <c r="CO9" s="21" t="n">
        <f aca="false">Inputs!$F$96*CO8*Time!CO9/Inputs!$F$45+Inputs!$F$97*Inputs!$F$110*Time!CO10/Inputs!$F$46</f>
        <v>0.0263813356164384</v>
      </c>
      <c r="CP9" s="21" t="n">
        <f aca="false">Inputs!$F$96*CP8*Time!CP9/Inputs!$F$45+Inputs!$F$97*Inputs!$F$110*Time!CP10/Inputs!$F$46</f>
        <v>0.0261686643835617</v>
      </c>
      <c r="CQ9" s="21" t="n">
        <f aca="false">Inputs!$F$96*CQ8*Time!CQ9/Inputs!$F$45+Inputs!$F$97*Inputs!$F$110*Time!CQ10/Inputs!$F$46</f>
        <v>0.0263813356164384</v>
      </c>
      <c r="CR9" s="21" t="n">
        <f aca="false">Inputs!$F$96*CR8*Time!CR9/Inputs!$F$45+Inputs!$F$97*Inputs!$F$110*Time!CR10/Inputs!$F$46</f>
        <v>0.0261686643835617</v>
      </c>
      <c r="CS9" s="21" t="n">
        <f aca="false">Inputs!$F$96*CS8*Time!CS9/Inputs!$F$45+Inputs!$F$97*Inputs!$F$110*Time!CS10/Inputs!$F$46</f>
        <v>0.0263813356164384</v>
      </c>
      <c r="CT9" s="21" t="n">
        <f aca="false">Inputs!$F$96*CT8*Time!CT9/Inputs!$F$45+Inputs!$F$97*Inputs!$F$110*Time!CT10/Inputs!$F$46</f>
        <v>0.0261686643835617</v>
      </c>
      <c r="CU9" s="21" t="n">
        <f aca="false">Inputs!$F$96*CU8*Time!CU9/Inputs!$F$45+Inputs!$F$97*Inputs!$F$110*Time!CU10/Inputs!$F$46</f>
        <v>0.0263813356164384</v>
      </c>
      <c r="CV9" s="21" t="n">
        <f aca="false">Inputs!$F$96*CV8*Time!CV9/Inputs!$F$45+Inputs!$F$97*Inputs!$F$110*Time!CV10/Inputs!$F$46</f>
        <v>0.0262395547945206</v>
      </c>
      <c r="CW9" s="21" t="n">
        <f aca="false">Inputs!$F$96*CW8*Time!CW9/Inputs!$F$45+Inputs!$F$97*Inputs!$F$110*Time!CW10/Inputs!$F$46</f>
        <v>0.0263813356164384</v>
      </c>
      <c r="CX9" s="21" t="n">
        <f aca="false">Inputs!$F$96*CX8*Time!CX9/Inputs!$F$45+Inputs!$F$97*Inputs!$F$110*Time!CX10/Inputs!$F$46</f>
        <v>0.0261686643835617</v>
      </c>
      <c r="CY9" s="21" t="n">
        <f aca="false">Inputs!$F$96*CY8*Time!CY9/Inputs!$F$45+Inputs!$F$97*Inputs!$F$110*Time!CY10/Inputs!$F$46</f>
        <v>0.0263813356164384</v>
      </c>
      <c r="CZ9" s="21" t="n">
        <f aca="false">Inputs!$F$96*CZ8*Time!CZ9/Inputs!$F$45+Inputs!$F$97*Inputs!$F$110*Time!CZ10/Inputs!$F$46</f>
        <v>0.0261686643835617</v>
      </c>
      <c r="DA9" s="21" t="n">
        <f aca="false">Inputs!$F$96*DA8*Time!DA9/Inputs!$F$45+Inputs!$F$97*Inputs!$F$110*Time!DA10/Inputs!$F$46</f>
        <v>0.0263813356164384</v>
      </c>
      <c r="DB9" s="21" t="n">
        <f aca="false">Inputs!$F$96*DB8*Time!DB9/Inputs!$F$45+Inputs!$F$97*Inputs!$F$110*Time!DB10/Inputs!$F$46</f>
        <v>0.0261686643835617</v>
      </c>
    </row>
    <row r="10" customFormat="false" ht="15" hidden="false" customHeight="false" outlineLevel="0" collapsed="false">
      <c r="D10" s="0" t="s">
        <v>478</v>
      </c>
      <c r="E10" s="0" t="s">
        <v>105</v>
      </c>
      <c r="J10" s="21" t="n">
        <f aca="false">Inputs!$F$166*Time!J10/Inputs!$F$46</f>
        <v>0.004675</v>
      </c>
      <c r="K10" s="21" t="n">
        <f aca="false">Inputs!$F$166*Time!K10/Inputs!$F$46</f>
        <v>0.01275</v>
      </c>
      <c r="L10" s="21" t="n">
        <f aca="false">Inputs!$F$166*Time!L10/Inputs!$F$46</f>
        <v>0.01275</v>
      </c>
      <c r="M10" s="21" t="n">
        <f aca="false">Inputs!$F$166*Time!M10/Inputs!$F$46</f>
        <v>0.01275</v>
      </c>
      <c r="N10" s="21" t="n">
        <f aca="false">Inputs!$F$166*Time!N10/Inputs!$F$46</f>
        <v>0.01275</v>
      </c>
      <c r="O10" s="21" t="n">
        <f aca="false">Inputs!$F$166*Time!O10/Inputs!$F$46</f>
        <v>0.01275</v>
      </c>
      <c r="P10" s="21" t="n">
        <f aca="false">Inputs!$F$166*Time!P10/Inputs!$F$46</f>
        <v>0.01275</v>
      </c>
      <c r="Q10" s="21" t="n">
        <f aca="false">Inputs!$F$166*Time!Q10/Inputs!$F$46</f>
        <v>0.01275</v>
      </c>
      <c r="R10" s="21" t="n">
        <f aca="false">Inputs!$F$166*Time!R10/Inputs!$F$46</f>
        <v>0.01275</v>
      </c>
      <c r="S10" s="21" t="n">
        <f aca="false">Inputs!$F$166*Time!S10/Inputs!$F$46</f>
        <v>0.01275</v>
      </c>
      <c r="T10" s="21" t="n">
        <f aca="false">Inputs!$F$166*Time!T10/Inputs!$F$46</f>
        <v>0.01275</v>
      </c>
      <c r="U10" s="21" t="n">
        <f aca="false">Inputs!$F$166*Time!U10/Inputs!$F$46</f>
        <v>0.01275</v>
      </c>
      <c r="V10" s="21" t="n">
        <f aca="false">Inputs!$F$166*Time!V10/Inputs!$F$46</f>
        <v>0.01275</v>
      </c>
      <c r="W10" s="21" t="n">
        <f aca="false">Inputs!$F$166*Time!W10/Inputs!$F$46</f>
        <v>0.01275</v>
      </c>
      <c r="X10" s="21" t="n">
        <f aca="false">Inputs!$F$166*Time!X10/Inputs!$F$46</f>
        <v>0.01275</v>
      </c>
      <c r="Y10" s="21" t="n">
        <f aca="false">Inputs!$F$166*Time!Y10/Inputs!$F$46</f>
        <v>0.01275</v>
      </c>
      <c r="Z10" s="21" t="n">
        <f aca="false">Inputs!$F$166*Time!Z10/Inputs!$F$46</f>
        <v>0.01275</v>
      </c>
      <c r="AA10" s="21" t="n">
        <f aca="false">Inputs!$F$166*Time!AA10/Inputs!$F$46</f>
        <v>0.0255</v>
      </c>
      <c r="AB10" s="21" t="n">
        <f aca="false">Inputs!$F$166*Time!AB10/Inputs!$F$46</f>
        <v>0.0255</v>
      </c>
      <c r="AC10" s="21" t="n">
        <f aca="false">Inputs!$F$166*Time!AC10/Inputs!$F$46</f>
        <v>0.0255</v>
      </c>
      <c r="AD10" s="21" t="n">
        <f aca="false">Inputs!$F$166*Time!AD10/Inputs!$F$46</f>
        <v>0.0255</v>
      </c>
      <c r="AE10" s="21" t="n">
        <f aca="false">Inputs!$F$166*Time!AE10/Inputs!$F$46</f>
        <v>0.0255</v>
      </c>
      <c r="AF10" s="21" t="n">
        <f aca="false">Inputs!$F$166*Time!AF10/Inputs!$F$46</f>
        <v>0.0255</v>
      </c>
      <c r="AG10" s="21" t="n">
        <f aca="false">Inputs!$F$166*Time!AG10/Inputs!$F$46</f>
        <v>0.0255</v>
      </c>
      <c r="AH10" s="21" t="n">
        <f aca="false">Inputs!$F$166*Time!AH10/Inputs!$F$46</f>
        <v>0.0255</v>
      </c>
      <c r="AI10" s="21" t="n">
        <f aca="false">Inputs!$F$166*Time!AI10/Inputs!$F$46</f>
        <v>0.0255</v>
      </c>
      <c r="AJ10" s="21" t="n">
        <f aca="false">Inputs!$F$166*Time!AJ10/Inputs!$F$46</f>
        <v>0.0255</v>
      </c>
      <c r="AK10" s="21" t="n">
        <f aca="false">Inputs!$F$166*Time!AK10/Inputs!$F$46</f>
        <v>0.0255</v>
      </c>
      <c r="AL10" s="21" t="n">
        <f aca="false">Inputs!$F$166*Time!AL10/Inputs!$F$46</f>
        <v>0.0255</v>
      </c>
      <c r="AM10" s="21" t="n">
        <f aca="false">Inputs!$F$166*Time!AM10/Inputs!$F$46</f>
        <v>0.0255</v>
      </c>
      <c r="AN10" s="21" t="n">
        <f aca="false">Inputs!$F$166*Time!AN10/Inputs!$F$46</f>
        <v>0.0255</v>
      </c>
      <c r="AO10" s="21" t="n">
        <f aca="false">Inputs!$F$166*Time!AO10/Inputs!$F$46</f>
        <v>0.0255</v>
      </c>
      <c r="AP10" s="21" t="n">
        <f aca="false">Inputs!$F$166*Time!AP10/Inputs!$F$46</f>
        <v>0.0255</v>
      </c>
      <c r="AQ10" s="21" t="n">
        <f aca="false">Inputs!$F$166*Time!AQ10/Inputs!$F$46</f>
        <v>0.0255</v>
      </c>
      <c r="AR10" s="21" t="n">
        <f aca="false">Inputs!$F$166*Time!AR10/Inputs!$F$46</f>
        <v>0.0255</v>
      </c>
      <c r="AS10" s="21" t="n">
        <f aca="false">Inputs!$F$166*Time!AS10/Inputs!$F$46</f>
        <v>0.0255</v>
      </c>
      <c r="AT10" s="21" t="n">
        <f aca="false">Inputs!$F$166*Time!AT10/Inputs!$F$46</f>
        <v>0.0255</v>
      </c>
      <c r="AU10" s="21" t="n">
        <f aca="false">Inputs!$F$166*Time!AU10/Inputs!$F$46</f>
        <v>0.0255</v>
      </c>
      <c r="AV10" s="21" t="n">
        <f aca="false">Inputs!$F$166*Time!AV10/Inputs!$F$46</f>
        <v>0.0255</v>
      </c>
      <c r="AW10" s="21" t="n">
        <f aca="false">Inputs!$F$166*Time!AW10/Inputs!$F$46</f>
        <v>0.0255</v>
      </c>
      <c r="AX10" s="21" t="n">
        <f aca="false">Inputs!$F$166*Time!AX10/Inputs!$F$46</f>
        <v>0.0255</v>
      </c>
      <c r="AY10" s="21" t="n">
        <f aca="false">Inputs!$F$166*Time!AY10/Inputs!$F$46</f>
        <v>0.0255</v>
      </c>
      <c r="AZ10" s="21" t="n">
        <f aca="false">Inputs!$F$166*Time!AZ10/Inputs!$F$46</f>
        <v>0.0255</v>
      </c>
      <c r="BA10" s="21" t="n">
        <f aca="false">Inputs!$F$166*Time!BA10/Inputs!$F$46</f>
        <v>0.0255</v>
      </c>
      <c r="BB10" s="21" t="n">
        <f aca="false">Inputs!$F$166*Time!BB10/Inputs!$F$46</f>
        <v>0.0255</v>
      </c>
      <c r="BC10" s="21" t="n">
        <f aca="false">Inputs!$F$166*Time!BC10/Inputs!$F$46</f>
        <v>0.0255</v>
      </c>
      <c r="BD10" s="21" t="n">
        <f aca="false">Inputs!$F$166*Time!BD10/Inputs!$F$46</f>
        <v>0.0255</v>
      </c>
      <c r="BE10" s="21" t="n">
        <f aca="false">Inputs!$F$166*Time!BE10/Inputs!$F$46</f>
        <v>0.0255</v>
      </c>
      <c r="BF10" s="21" t="n">
        <f aca="false">Inputs!$F$166*Time!BF10/Inputs!$F$46</f>
        <v>0.0255</v>
      </c>
      <c r="BG10" s="21" t="n">
        <f aca="false">Inputs!$F$166*Time!BG10/Inputs!$F$46</f>
        <v>0.0255</v>
      </c>
      <c r="BH10" s="21" t="n">
        <f aca="false">Inputs!$F$166*Time!BH10/Inputs!$F$46</f>
        <v>0.0255</v>
      </c>
      <c r="BI10" s="21" t="n">
        <f aca="false">Inputs!$F$166*Time!BI10/Inputs!$F$46</f>
        <v>0.0255</v>
      </c>
      <c r="BJ10" s="21" t="n">
        <f aca="false">Inputs!$F$166*Time!BJ10/Inputs!$F$46</f>
        <v>0.0255</v>
      </c>
      <c r="BK10" s="21" t="n">
        <f aca="false">Inputs!$F$166*Time!BK10/Inputs!$F$46</f>
        <v>0.0255</v>
      </c>
      <c r="BL10" s="21" t="n">
        <f aca="false">Inputs!$F$166*Time!BL10/Inputs!$F$46</f>
        <v>0.0255</v>
      </c>
      <c r="BM10" s="21" t="n">
        <f aca="false">Inputs!$F$166*Time!BM10/Inputs!$F$46</f>
        <v>0.0255</v>
      </c>
      <c r="BN10" s="21" t="n">
        <f aca="false">Inputs!$F$166*Time!BN10/Inputs!$F$46</f>
        <v>0.0255</v>
      </c>
      <c r="BO10" s="21" t="n">
        <f aca="false">Inputs!$F$166*Time!BO10/Inputs!$F$46</f>
        <v>0.0255</v>
      </c>
      <c r="BP10" s="21" t="n">
        <f aca="false">Inputs!$F$166*Time!BP10/Inputs!$F$46</f>
        <v>0.0255</v>
      </c>
      <c r="BQ10" s="21" t="n">
        <f aca="false">Inputs!$F$166*Time!BQ10/Inputs!$F$46</f>
        <v>0.0255</v>
      </c>
      <c r="BR10" s="21" t="n">
        <f aca="false">Inputs!$F$166*Time!BR10/Inputs!$F$46</f>
        <v>0.0255</v>
      </c>
      <c r="BS10" s="21" t="n">
        <f aca="false">Inputs!$F$166*Time!BS10/Inputs!$F$46</f>
        <v>0.0255</v>
      </c>
      <c r="BT10" s="21" t="n">
        <f aca="false">Inputs!$F$166*Time!BT10/Inputs!$F$46</f>
        <v>0.0255</v>
      </c>
      <c r="BU10" s="21" t="n">
        <f aca="false">Inputs!$F$166*Time!BU10/Inputs!$F$46</f>
        <v>0.0255</v>
      </c>
      <c r="BV10" s="21" t="n">
        <f aca="false">Inputs!$F$166*Time!BV10/Inputs!$F$46</f>
        <v>0.0255</v>
      </c>
      <c r="BW10" s="21" t="n">
        <f aca="false">Inputs!$F$166*Time!BW10/Inputs!$F$46</f>
        <v>0.0255</v>
      </c>
      <c r="BX10" s="21" t="n">
        <f aca="false">Inputs!$F$166*Time!BX10/Inputs!$F$46</f>
        <v>0.0255</v>
      </c>
      <c r="BY10" s="21" t="n">
        <f aca="false">Inputs!$F$166*Time!BY10/Inputs!$F$46</f>
        <v>0.0255</v>
      </c>
      <c r="BZ10" s="21" t="n">
        <f aca="false">Inputs!$F$166*Time!BZ10/Inputs!$F$46</f>
        <v>0.0255</v>
      </c>
      <c r="CA10" s="21" t="n">
        <f aca="false">Inputs!$F$166*Time!CA10/Inputs!$F$46</f>
        <v>0.0255</v>
      </c>
      <c r="CB10" s="21" t="n">
        <f aca="false">Inputs!$F$166*Time!CB10/Inputs!$F$46</f>
        <v>0.0255</v>
      </c>
      <c r="CC10" s="21" t="n">
        <f aca="false">Inputs!$F$166*Time!CC10/Inputs!$F$46</f>
        <v>0.0255</v>
      </c>
      <c r="CD10" s="21" t="n">
        <f aca="false">Inputs!$F$166*Time!CD10/Inputs!$F$46</f>
        <v>0.0255</v>
      </c>
      <c r="CE10" s="21" t="n">
        <f aca="false">Inputs!$F$166*Time!CE10/Inputs!$F$46</f>
        <v>0.0255</v>
      </c>
      <c r="CF10" s="21" t="n">
        <f aca="false">Inputs!$F$166*Time!CF10/Inputs!$F$46</f>
        <v>0.0255</v>
      </c>
      <c r="CG10" s="21" t="n">
        <f aca="false">Inputs!$F$166*Time!CG10/Inputs!$F$46</f>
        <v>0.0255</v>
      </c>
      <c r="CH10" s="21" t="n">
        <f aca="false">Inputs!$F$166*Time!CH10/Inputs!$F$46</f>
        <v>0.0255</v>
      </c>
      <c r="CI10" s="21" t="n">
        <f aca="false">Inputs!$F$166*Time!CI10/Inputs!$F$46</f>
        <v>0.0255</v>
      </c>
      <c r="CJ10" s="21" t="n">
        <f aca="false">Inputs!$F$166*Time!CJ10/Inputs!$F$46</f>
        <v>0.0255</v>
      </c>
      <c r="CK10" s="21" t="n">
        <f aca="false">Inputs!$F$166*Time!CK10/Inputs!$F$46</f>
        <v>0.0255</v>
      </c>
      <c r="CL10" s="21" t="n">
        <f aca="false">Inputs!$F$166*Time!CL10/Inputs!$F$46</f>
        <v>0.0255</v>
      </c>
      <c r="CM10" s="21" t="n">
        <f aca="false">Inputs!$F$166*Time!CM10/Inputs!$F$46</f>
        <v>0.0255</v>
      </c>
      <c r="CN10" s="21" t="n">
        <f aca="false">Inputs!$F$166*Time!CN10/Inputs!$F$46</f>
        <v>0.0255</v>
      </c>
      <c r="CO10" s="21" t="n">
        <f aca="false">Inputs!$F$166*Time!CO10/Inputs!$F$46</f>
        <v>0.0255</v>
      </c>
      <c r="CP10" s="21" t="n">
        <f aca="false">Inputs!$F$166*Time!CP10/Inputs!$F$46</f>
        <v>0.0255</v>
      </c>
      <c r="CQ10" s="21" t="n">
        <f aca="false">Inputs!$F$166*Time!CQ10/Inputs!$F$46</f>
        <v>0.0255</v>
      </c>
      <c r="CR10" s="21" t="n">
        <f aca="false">Inputs!$F$166*Time!CR10/Inputs!$F$46</f>
        <v>0.0255</v>
      </c>
      <c r="CS10" s="21" t="n">
        <f aca="false">Inputs!$F$166*Time!CS10/Inputs!$F$46</f>
        <v>0.0255</v>
      </c>
      <c r="CT10" s="21" t="n">
        <f aca="false">Inputs!$F$166*Time!CT10/Inputs!$F$46</f>
        <v>0.0255</v>
      </c>
      <c r="CU10" s="21" t="n">
        <f aca="false">Inputs!$F$166*Time!CU10/Inputs!$F$46</f>
        <v>0.0255</v>
      </c>
      <c r="CV10" s="21" t="n">
        <f aca="false">Inputs!$F$166*Time!CV10/Inputs!$F$46</f>
        <v>0.0255</v>
      </c>
      <c r="CW10" s="21" t="n">
        <f aca="false">Inputs!$F$166*Time!CW10/Inputs!$F$46</f>
        <v>0.0255</v>
      </c>
      <c r="CX10" s="21" t="n">
        <f aca="false">Inputs!$F$166*Time!CX10/Inputs!$F$46</f>
        <v>0.0255</v>
      </c>
      <c r="CY10" s="21" t="n">
        <f aca="false">Inputs!$F$166*Time!CY10/Inputs!$F$46</f>
        <v>0.0255</v>
      </c>
      <c r="CZ10" s="21" t="n">
        <f aca="false">Inputs!$F$166*Time!CZ10/Inputs!$F$46</f>
        <v>0.0255</v>
      </c>
      <c r="DA10" s="21" t="n">
        <f aca="false">Inputs!$F$166*Time!DA10/Inputs!$F$46</f>
        <v>0.0255</v>
      </c>
      <c r="DB10" s="21" t="n">
        <f aca="false">Inputs!$F$166*Time!DB10/Inputs!$F$46</f>
        <v>0.0255</v>
      </c>
    </row>
    <row r="11" customFormat="false" ht="15" hidden="false" customHeight="false" outlineLevel="0" collapsed="false">
      <c r="D11" s="3" t="s">
        <v>479</v>
      </c>
    </row>
    <row r="12" customFormat="false" ht="15" hidden="false" customHeight="false" outlineLevel="0" collapsed="false">
      <c r="D12" s="0" t="s">
        <v>480</v>
      </c>
      <c r="E12" s="0" t="s">
        <v>171</v>
      </c>
      <c r="J12" s="27" t="n">
        <f aca="false">IF(Time!J30=1,IF(Time!I30=1,I12,1)/(1+J9),0)</f>
        <v>0</v>
      </c>
      <c r="K12" s="27" t="n">
        <f aca="false">IF(Time!K30=1,IF(Time!J30=1,J12,1)/(1+K9),0)</f>
        <v>0</v>
      </c>
      <c r="L12" s="27" t="n">
        <f aca="false">IF(Time!L30=1,IF(Time!K30=1,K12,1)/(1+L9),0)</f>
        <v>0</v>
      </c>
      <c r="M12" s="27" t="n">
        <f aca="false">IF(Time!M30=1,IF(Time!L30=1,L12,1)/(1+M9),0)</f>
        <v>0</v>
      </c>
      <c r="N12" s="27" t="n">
        <f aca="false">IF(Time!N30=1,IF(Time!M30=1,M12,1)/(1+N9),0)</f>
        <v>0</v>
      </c>
      <c r="O12" s="27" t="n">
        <f aca="false">IF(Time!O30=1,IF(Time!N30=1,N12,1)/(1+O9),0)</f>
        <v>0</v>
      </c>
      <c r="P12" s="27" t="n">
        <f aca="false">IF(Time!P30=1,IF(Time!O30=1,O12,1)/(1+P9),0)</f>
        <v>0</v>
      </c>
      <c r="Q12" s="27" t="n">
        <f aca="false">IF(Time!Q30=1,IF(Time!P30=1,P12,1)/(1+Q9),0)</f>
        <v>0</v>
      </c>
      <c r="R12" s="27" t="n">
        <f aca="false">IF(Time!R30=1,IF(Time!Q30=1,Q12,1)/(1+R9),0)</f>
        <v>0</v>
      </c>
      <c r="S12" s="27" t="n">
        <f aca="false">IF(Time!S30=1,IF(Time!R30=1,R12,1)/(1+S9),0)</f>
        <v>0</v>
      </c>
      <c r="T12" s="27" t="n">
        <f aca="false">IF(Time!T30=1,IF(Time!S30=1,S12,1)/(1+T9),0)</f>
        <v>0</v>
      </c>
      <c r="U12" s="27" t="n">
        <f aca="false">IF(Time!U30=1,IF(Time!T30=1,T12,1)/(1+U9),0)</f>
        <v>0</v>
      </c>
      <c r="V12" s="27" t="n">
        <f aca="false">IF(Time!V30=1,IF(Time!U30=1,U12,1)/(1+V9),0)</f>
        <v>0</v>
      </c>
      <c r="W12" s="27" t="n">
        <f aca="false">IF(Time!W30=1,IF(Time!V30=1,V12,1)/(1+W9),0)</f>
        <v>0</v>
      </c>
      <c r="X12" s="27" t="n">
        <f aca="false">IF(Time!X30=1,IF(Time!W30=1,W12,1)/(1+X9),0)</f>
        <v>0</v>
      </c>
      <c r="Y12" s="27" t="n">
        <f aca="false">IF(Time!Y30=1,IF(Time!X30=1,X12,1)/(1+Y9),0)</f>
        <v>0</v>
      </c>
      <c r="Z12" s="27" t="n">
        <f aca="false">IF(Time!Z30=1,IF(Time!Y30=1,Y12,1)/(1+Z9),0)</f>
        <v>0</v>
      </c>
      <c r="AA12" s="27" t="n">
        <f aca="false">IF(Time!AA30=1,IF(Time!Z30=1,Z12,1)/(1+AA9),0)</f>
        <v>0</v>
      </c>
      <c r="AB12" s="27" t="n">
        <f aca="false">IF(Time!AB30=1,IF(Time!AA30=1,AA12,1)/(1+AB9),0)</f>
        <v>0</v>
      </c>
      <c r="AC12" s="27" t="n">
        <f aca="false">IF(Time!AC30=1,IF(Time!AB30=1,AB12,1)/(1+AC9),0)</f>
        <v>0</v>
      </c>
      <c r="AD12" s="27" t="n">
        <f aca="false">IF(Time!AD30=1,IF(Time!AC30=1,AC12,1)/(1+AD9),0)</f>
        <v>0.973799854875808</v>
      </c>
      <c r="AE12" s="27" t="n">
        <f aca="false">IF(Time!AE30=1,IF(Time!AD30=1,AD12,1)/(1+AE9),0)</f>
        <v>0.948078542462012</v>
      </c>
      <c r="AF12" s="27" t="n">
        <f aca="false">IF(Time!AF30=1,IF(Time!AE30=1,AE12,1)/(1+AF9),0)</f>
        <v>0.923370667591315</v>
      </c>
      <c r="AG12" s="27" t="n">
        <f aca="false">IF(Time!AG30=1,IF(Time!AF30=1,AF12,1)/(1+AG9),0)</f>
        <v>0.899676809935699</v>
      </c>
      <c r="AH12" s="27" t="n">
        <f aca="false">IF(Time!AH30=1,IF(Time!AG30=1,AG12,1)/(1+AH9),0)</f>
        <v>0.876771988482153</v>
      </c>
      <c r="AI12" s="27" t="n">
        <f aca="false">IF(Time!AI30=1,IF(Time!AH30=1,AH12,1)/(1+AI9),0)</f>
        <v>0.85427386132622</v>
      </c>
      <c r="AJ12" s="27" t="n">
        <f aca="false">IF(Time!AJ30=1,IF(Time!AI30=1,AI12,1)/(1+AJ9),0)</f>
        <v>0.832467639495786</v>
      </c>
      <c r="AK12" s="27" t="n">
        <f aca="false">IF(Time!AK30=1,IF(Time!AJ30=1,AJ12,1)/(1+AK9),0)</f>
        <v>0.811106369915311</v>
      </c>
      <c r="AL12" s="27" t="n">
        <f aca="false">IF(Time!AL30=1,IF(Time!AK30=1,AK12,1)/(1+AL9),0)</f>
        <v>0.790456458327536</v>
      </c>
      <c r="AM12" s="27" t="n">
        <f aca="false">IF(Time!AM30=1,IF(Time!AL30=1,AL12,1)/(1+AM9),0)</f>
        <v>0.770173203223244</v>
      </c>
      <c r="AN12" s="27" t="n">
        <f aca="false">IF(Time!AN30=1,IF(Time!AM30=1,AM12,1)/(1+AN9),0)</f>
        <v>0.750565406830898</v>
      </c>
      <c r="AO12" s="27" t="n">
        <f aca="false">IF(Time!AO30=1,IF(Time!AN30=1,AN12,1)/(1+AO9),0)</f>
        <v>0.731305763293518</v>
      </c>
      <c r="AP12" s="27" t="n">
        <f aca="false">IF(Time!AP30=1,IF(Time!AO30=1,AO12,1)/(1+AP9),0)</f>
        <v>0.712687490874799</v>
      </c>
      <c r="AQ12" s="27" t="n">
        <f aca="false">IF(Time!AQ30=1,IF(Time!AP30=1,AP12,1)/(1+AQ9),0)</f>
        <v>0.694399801483739</v>
      </c>
      <c r="AR12" s="27" t="n">
        <f aca="false">IF(Time!AR30=1,IF(Time!AQ30=1,AQ12,1)/(1+AR9),0)</f>
        <v>0.676674530003869</v>
      </c>
      <c r="AS12" s="27" t="n">
        <f aca="false">IF(Time!AS30=1,IF(Time!AR30=1,AR12,1)/(1+AS9),0)</f>
        <v>0.659310939675711</v>
      </c>
      <c r="AT12" s="27" t="n">
        <f aca="false">IF(Time!AT30=1,IF(Time!AS30=1,AS12,1)/(1+AT9),0)</f>
        <v>0.64252557943427</v>
      </c>
      <c r="AU12" s="27" t="n">
        <f aca="false">IF(Time!AU30=1,IF(Time!AT30=1,AT12,1)/(1+AU9),0)</f>
        <v>0.626038257328921</v>
      </c>
      <c r="AV12" s="27" t="n">
        <f aca="false">IF(Time!AV30=1,IF(Time!AU30=1,AU12,1)/(1+AV9),0)</f>
        <v>0.610099984441536</v>
      </c>
      <c r="AW12" s="27" t="n">
        <f aca="false">IF(Time!AW30=1,IF(Time!AV30=1,AV12,1)/(1+AW9),0)</f>
        <v>0.59444470894447</v>
      </c>
      <c r="AX12" s="27" t="n">
        <f aca="false">IF(Time!AX30=1,IF(Time!AW30=1,AW12,1)/(1+AX9),0)</f>
        <v>0.579310774433752</v>
      </c>
      <c r="AY12" s="27" t="n">
        <f aca="false">IF(Time!AY30=1,IF(Time!AX30=1,AX12,1)/(1+AY9),0)</f>
        <v>0.564445555611495</v>
      </c>
      <c r="AZ12" s="27" t="n">
        <f aca="false">IF(Time!AZ30=1,IF(Time!AY30=1,AY12,1)/(1+AZ9),0)</f>
        <v>0.550037500356523</v>
      </c>
      <c r="BA12" s="27" t="n">
        <f aca="false">IF(Time!BA30=1,IF(Time!AZ30=1,AZ12,1)/(1+BA9),0)</f>
        <v>0.535923439020034</v>
      </c>
      <c r="BB12" s="27" t="n">
        <f aca="false">IF(Time!BB30=1,IF(Time!BA30=1,BA12,1)/(1+BB9),0)</f>
        <v>0.522279394238662</v>
      </c>
      <c r="BC12" s="27" t="n">
        <f aca="false">IF(Time!BC30=1,IF(Time!BB30=1,BB12,1)/(1+BC9),0)</f>
        <v>0.508877610905179</v>
      </c>
      <c r="BD12" s="27" t="n">
        <f aca="false">IF(Time!BD30=1,IF(Time!BC30=1,BC12,1)/(1+BD9),0)</f>
        <v>0.495922124345152</v>
      </c>
      <c r="BE12" s="27" t="n">
        <f aca="false">IF(Time!BE30=1,IF(Time!BD30=1,BD12,1)/(1+BE9),0)</f>
        <v>0.483196673304827</v>
      </c>
      <c r="BF12" s="27" t="n">
        <f aca="false">IF(Time!BF30=1,IF(Time!BE30=1,BE12,1)/(1+BF9),0)</f>
        <v>0.470894996295074</v>
      </c>
      <c r="BG12" s="27" t="n">
        <f aca="false">IF(Time!BG30=1,IF(Time!BF30=1,BF12,1)/(1+BG9),0)</f>
        <v>0.458791464687203</v>
      </c>
      <c r="BH12" s="27" t="n">
        <f aca="false">IF(Time!BH30=1,IF(Time!BG30=1,BG12,1)/(1+BH9),0)</f>
        <v>0.447060788627529</v>
      </c>
      <c r="BI12" s="27" t="n">
        <f aca="false">IF(Time!BI30=1,IF(Time!BH30=1,BH12,1)/(1+BI9),0)</f>
        <v>0.435569873607481</v>
      </c>
      <c r="BJ12" s="27" t="n">
        <f aca="false">IF(Time!BJ30=1,IF(Time!BI30=1,BI12,1)/(1+BJ9),0)</f>
        <v>0.424462263100906</v>
      </c>
      <c r="BK12" s="27" t="n">
        <f aca="false">IF(Time!BK30=1,IF(Time!BJ30=1,BJ12,1)/(1+BK9),0)</f>
        <v>0.41355220362223</v>
      </c>
      <c r="BL12" s="27" t="n">
        <f aca="false">IF(Time!BL30=1,IF(Time!BK30=1,BK12,1)/(1+BL9),0)</f>
        <v>0.403006072954546</v>
      </c>
      <c r="BM12" s="27" t="n">
        <f aca="false">IF(Time!BM30=1,IF(Time!BL30=1,BL12,1)/(1+BM9),0)</f>
        <v>0.392647507285879</v>
      </c>
      <c r="BN12" s="27" t="n">
        <f aca="false">IF(Time!BN30=1,IF(Time!BM30=1,BM12,1)/(1+BN9),0)</f>
        <v>0.38263447415026</v>
      </c>
      <c r="BO12" s="27" t="n">
        <f aca="false">IF(Time!BO30=1,IF(Time!BN30=1,BN12,1)/(1+BO9),0)</f>
        <v>0.372799524769663</v>
      </c>
      <c r="BP12" s="27" t="n">
        <f aca="false">IF(Time!BP30=1,IF(Time!BO30=1,BO12,1)/(1+BP9),0)</f>
        <v>0.36326754608899</v>
      </c>
      <c r="BQ12" s="27" t="n">
        <f aca="false">IF(Time!BQ30=1,IF(Time!BP30=1,BP12,1)/(1+BQ9),0)</f>
        <v>0.353930389693626</v>
      </c>
      <c r="BR12" s="27" t="n">
        <f aca="false">IF(Time!BR30=1,IF(Time!BQ30=1,BQ12,1)/(1+BR9),0)</f>
        <v>0.344904694498967</v>
      </c>
      <c r="BS12" s="27" t="n">
        <f aca="false">IF(Time!BS30=1,IF(Time!BR30=1,BR12,1)/(1+BS9),0)</f>
        <v>0.336039523060715</v>
      </c>
      <c r="BT12" s="27" t="n">
        <f aca="false">IF(Time!BT30=1,IF(Time!BS30=1,BS12,1)/(1+BT9),0)</f>
        <v>0.327470068736293</v>
      </c>
      <c r="BU12" s="27" t="n">
        <f aca="false">IF(Time!BU30=1,IF(Time!BT30=1,BT12,1)/(1+BU9),0)</f>
        <v>0.319053023835061</v>
      </c>
      <c r="BV12" s="27" t="n">
        <f aca="false">IF(Time!BV30=1,IF(Time!BU30=1,BU12,1)/(1+BV9),0)</f>
        <v>0.310916747810382</v>
      </c>
      <c r="BW12" s="27" t="n">
        <f aca="false">IF(Time!BW30=1,IF(Time!BV30=1,BV12,1)/(1+BW9),0)</f>
        <v>0.30292517704801</v>
      </c>
      <c r="BX12" s="27" t="n">
        <f aca="false">IF(Time!BX30=1,IF(Time!BW30=1,BW12,1)/(1+BX9),0)</f>
        <v>0.295179790754278</v>
      </c>
      <c r="BY12" s="27" t="n">
        <f aca="false">IF(Time!BY30=1,IF(Time!BX30=1,BX12,1)/(1+BY9),0)</f>
        <v>0.287592710926485</v>
      </c>
      <c r="BZ12" s="27" t="n">
        <f aca="false">IF(Time!BZ30=1,IF(Time!BY30=1,BY12,1)/(1+BZ9),0)</f>
        <v>0.280258714681418</v>
      </c>
      <c r="CA12" s="27" t="n">
        <f aca="false">IF(Time!CA30=1,IF(Time!BZ30=1,BZ12,1)/(1+CA9),0)</f>
        <v>0.273055154995679</v>
      </c>
      <c r="CB12" s="27" t="n">
        <f aca="false">IF(Time!CB30=1,IF(Time!CA30=1,CA12,1)/(1+CB9),0)</f>
        <v>0.266091885742494</v>
      </c>
      <c r="CC12" s="27" t="n">
        <f aca="false">IF(Time!CC30=1,IF(Time!CB30=1,CB12,1)/(1+CC9),0)</f>
        <v>0.259252459596492</v>
      </c>
      <c r="CD12" s="27" t="n">
        <f aca="false">IF(Time!CD30=1,IF(Time!CC30=1,CC12,1)/(1+CD9),0)</f>
        <v>0.252641177415245</v>
      </c>
      <c r="CE12" s="27" t="n">
        <f aca="false">IF(Time!CE30=1,IF(Time!CD30=1,CD12,1)/(1+CE9),0)</f>
        <v>0.246147478182181</v>
      </c>
      <c r="CF12" s="27" t="n">
        <f aca="false">IF(Time!CF30=1,IF(Time!CE30=1,CE12,1)/(1+CF9),0)</f>
        <v>0.23985382071096</v>
      </c>
      <c r="CG12" s="27" t="n">
        <f aca="false">IF(Time!CG30=1,IF(Time!CF30=1,CF12,1)/(1+CG9),0)</f>
        <v>0.233688798098521</v>
      </c>
      <c r="CH12" s="27" t="n">
        <f aca="false">IF(Time!CH30=1,IF(Time!CG30=1,CG12,1)/(1+CH9),0)</f>
        <v>0</v>
      </c>
      <c r="CI12" s="27" t="n">
        <f aca="false">IF(Time!CI30=1,IF(Time!CH30=1,CH12,1)/(1+CI9),0)</f>
        <v>0</v>
      </c>
      <c r="CJ12" s="27" t="n">
        <f aca="false">IF(Time!CJ30=1,IF(Time!CI30=1,CI12,1)/(1+CJ9),0)</f>
        <v>0</v>
      </c>
      <c r="CK12" s="27" t="n">
        <f aca="false">IF(Time!CK30=1,IF(Time!CJ30=1,CJ12,1)/(1+CK9),0)</f>
        <v>0</v>
      </c>
      <c r="CL12" s="27" t="n">
        <f aca="false">IF(Time!CL30=1,IF(Time!CK30=1,CK12,1)/(1+CL9),0)</f>
        <v>0</v>
      </c>
      <c r="CM12" s="27" t="n">
        <f aca="false">IF(Time!CM30=1,IF(Time!CL30=1,CL12,1)/(1+CM9),0)</f>
        <v>0</v>
      </c>
      <c r="CN12" s="27" t="n">
        <f aca="false">IF(Time!CN30=1,IF(Time!CM30=1,CM12,1)/(1+CN9),0)</f>
        <v>0</v>
      </c>
      <c r="CO12" s="27" t="n">
        <f aca="false">IF(Time!CO30=1,IF(Time!CN30=1,CN12,1)/(1+CO9),0)</f>
        <v>0</v>
      </c>
      <c r="CP12" s="27" t="n">
        <f aca="false">IF(Time!CP30=1,IF(Time!CO30=1,CO12,1)/(1+CP9),0)</f>
        <v>0</v>
      </c>
      <c r="CQ12" s="27" t="n">
        <f aca="false">IF(Time!CQ30=1,IF(Time!CP30=1,CP12,1)/(1+CQ9),0)</f>
        <v>0</v>
      </c>
      <c r="CR12" s="27" t="n">
        <f aca="false">IF(Time!CR30=1,IF(Time!CQ30=1,CQ12,1)/(1+CR9),0)</f>
        <v>0</v>
      </c>
      <c r="CS12" s="27" t="n">
        <f aca="false">IF(Time!CS30=1,IF(Time!CR30=1,CR12,1)/(1+CS9),0)</f>
        <v>0</v>
      </c>
      <c r="CT12" s="27" t="n">
        <f aca="false">IF(Time!CT30=1,IF(Time!CS30=1,CS12,1)/(1+CT9),0)</f>
        <v>0</v>
      </c>
      <c r="CU12" s="27" t="n">
        <f aca="false">IF(Time!CU30=1,IF(Time!CT30=1,CT12,1)/(1+CU9),0)</f>
        <v>0</v>
      </c>
      <c r="CV12" s="27" t="n">
        <f aca="false">IF(Time!CV30=1,IF(Time!CU30=1,CU12,1)/(1+CV9),0)</f>
        <v>0</v>
      </c>
      <c r="CW12" s="27" t="n">
        <f aca="false">IF(Time!CW30=1,IF(Time!CV30=1,CV12,1)/(1+CW9),0)</f>
        <v>0</v>
      </c>
      <c r="CX12" s="27" t="n">
        <f aca="false">IF(Time!CX30=1,IF(Time!CW30=1,CW12,1)/(1+CX9),0)</f>
        <v>0</v>
      </c>
      <c r="CY12" s="27" t="n">
        <f aca="false">IF(Time!CY30=1,IF(Time!CX30=1,CX12,1)/(1+CY9),0)</f>
        <v>0</v>
      </c>
      <c r="CZ12" s="27" t="n">
        <f aca="false">IF(Time!CZ30=1,IF(Time!CY30=1,CY12,1)/(1+CZ9),0)</f>
        <v>0</v>
      </c>
      <c r="DA12" s="27" t="n">
        <f aca="false">IF(Time!DA30=1,IF(Time!CZ30=1,CZ12,1)/(1+DA9),0)</f>
        <v>0</v>
      </c>
      <c r="DB12" s="27" t="n">
        <f aca="false">IF(Time!DB30=1,IF(Time!DA30=1,DA12,1)/(1+DB9),0)</f>
        <v>0</v>
      </c>
    </row>
    <row r="13" customFormat="false" ht="15" hidden="false" customHeight="false" outlineLevel="0" collapsed="false">
      <c r="D13" s="0" t="s">
        <v>415</v>
      </c>
      <c r="E13" s="0" t="s">
        <v>44</v>
      </c>
      <c r="G13" s="19" t="n">
        <f aca="false">SUM(J13:DB13)</f>
        <v>6465.73527202665</v>
      </c>
      <c r="J13" s="29" t="n">
        <f aca="false">Operations!J48</f>
        <v>0</v>
      </c>
      <c r="K13" s="29" t="n">
        <f aca="false">Operations!K48</f>
        <v>0</v>
      </c>
      <c r="L13" s="29" t="n">
        <f aca="false">Operations!L48</f>
        <v>0</v>
      </c>
      <c r="M13" s="29" t="n">
        <f aca="false">Operations!M48</f>
        <v>0</v>
      </c>
      <c r="N13" s="29" t="n">
        <f aca="false">Operations!N48</f>
        <v>0</v>
      </c>
      <c r="O13" s="29" t="n">
        <f aca="false">Operations!O48</f>
        <v>0</v>
      </c>
      <c r="P13" s="29" t="n">
        <f aca="false">Operations!P48</f>
        <v>0</v>
      </c>
      <c r="Q13" s="29" t="n">
        <f aca="false">Operations!Q48</f>
        <v>0</v>
      </c>
      <c r="R13" s="29" t="n">
        <f aca="false">Operations!R48</f>
        <v>0</v>
      </c>
      <c r="S13" s="29" t="n">
        <f aca="false">Operations!S48</f>
        <v>0</v>
      </c>
      <c r="T13" s="29" t="n">
        <f aca="false">Operations!T48</f>
        <v>0</v>
      </c>
      <c r="U13" s="29" t="n">
        <f aca="false">Operations!U48</f>
        <v>0</v>
      </c>
      <c r="V13" s="29" t="n">
        <f aca="false">Operations!V48</f>
        <v>0</v>
      </c>
      <c r="W13" s="29" t="n">
        <f aca="false">Operations!W48</f>
        <v>0</v>
      </c>
      <c r="X13" s="29" t="n">
        <f aca="false">Operations!X48</f>
        <v>0</v>
      </c>
      <c r="Y13" s="29" t="n">
        <f aca="false">Operations!Y48</f>
        <v>0</v>
      </c>
      <c r="Z13" s="29" t="n">
        <f aca="false">Operations!Z48</f>
        <v>13.3688633669775</v>
      </c>
      <c r="AA13" s="29" t="n">
        <f aca="false">Operations!AA48</f>
        <v>30.0078043201198</v>
      </c>
      <c r="AB13" s="29" t="n">
        <f aca="false">Operations!AB48</f>
        <v>35.7067674601907</v>
      </c>
      <c r="AC13" s="29" t="n">
        <f aca="false">Operations!AC48</f>
        <v>37.6436558644639</v>
      </c>
      <c r="AD13" s="29" t="n">
        <f aca="false">Operations!AD48</f>
        <v>41.5005322947458</v>
      </c>
      <c r="AE13" s="29" t="n">
        <f aca="false">Operations!AE48</f>
        <v>43.7575640720232</v>
      </c>
      <c r="AF13" s="29" t="n">
        <f aca="false">Operations!AF48</f>
        <v>46.809980254985</v>
      </c>
      <c r="AG13" s="29" t="n">
        <f aca="false">Operations!AG48</f>
        <v>49.2257087401623</v>
      </c>
      <c r="AH13" s="29" t="n">
        <f aca="false">Operations!AH48</f>
        <v>50.1845616653847</v>
      </c>
      <c r="AI13" s="29" t="n">
        <f aca="false">Operations!AI48</f>
        <v>49.3619519094543</v>
      </c>
      <c r="AJ13" s="29" t="n">
        <f aca="false">Operations!AJ48</f>
        <v>50.6761233616812</v>
      </c>
      <c r="AK13" s="29" t="n">
        <f aca="false">Operations!AK48</f>
        <v>52.9509470961209</v>
      </c>
      <c r="AL13" s="29" t="n">
        <f aca="false">Operations!AL48</f>
        <v>54.0334759624056</v>
      </c>
      <c r="AM13" s="29" t="n">
        <f aca="false">Operations!AM48</f>
        <v>56.761309756952</v>
      </c>
      <c r="AN13" s="29" t="n">
        <f aca="false">Operations!AN48</f>
        <v>57.910089157488</v>
      </c>
      <c r="AO13" s="29" t="n">
        <f aca="false">Operations!AO48</f>
        <v>64.0172041325963</v>
      </c>
      <c r="AP13" s="29" t="n">
        <f aca="false">Operations!AP48</f>
        <v>65.2360404179162</v>
      </c>
      <c r="AQ13" s="29" t="n">
        <f aca="false">Operations!AQ48</f>
        <v>58.019044796834</v>
      </c>
      <c r="AR13" s="29" t="n">
        <f aca="false">Operations!AR48</f>
        <v>59.697225140304</v>
      </c>
      <c r="AS13" s="29" t="n">
        <f aca="false">Operations!AS48</f>
        <v>62.5980007899108</v>
      </c>
      <c r="AT13" s="29" t="n">
        <f aca="false">Operations!AT48</f>
        <v>63.9726197414392</v>
      </c>
      <c r="AU13" s="29" t="n">
        <f aca="false">Operations!AU48</f>
        <v>67.4529533238202</v>
      </c>
      <c r="AV13" s="29" t="n">
        <f aca="false">Operations!AV48</f>
        <v>68.9110274047114</v>
      </c>
      <c r="AW13" s="29" t="n">
        <f aca="false">Operations!AW48</f>
        <v>74.5865636661476</v>
      </c>
      <c r="AX13" s="29" t="n">
        <f aca="false">Operations!AX48</f>
        <v>75.1513112479582</v>
      </c>
      <c r="AY13" s="29" t="n">
        <f aca="false">Operations!AY48</f>
        <v>75.0578086767168</v>
      </c>
      <c r="AZ13" s="29" t="n">
        <f aca="false">Operations!AZ48</f>
        <v>76.1394779267271</v>
      </c>
      <c r="BA13" s="29" t="n">
        <f aca="false">Operations!BA48</f>
        <v>79.6520457853012</v>
      </c>
      <c r="BB13" s="29" t="n">
        <f aca="false">Operations!BB48</f>
        <v>80.27678446265</v>
      </c>
      <c r="BC13" s="29" t="n">
        <f aca="false">Operations!BC48</f>
        <v>92.7497959504098</v>
      </c>
      <c r="BD13" s="29" t="n">
        <f aca="false">Operations!BD48</f>
        <v>93.4048485247771</v>
      </c>
      <c r="BE13" s="29" t="n">
        <f aca="false">Operations!BE48</f>
        <v>101.735687415536</v>
      </c>
      <c r="BF13" s="29" t="n">
        <f aca="false">Operations!BF48</f>
        <v>102.425887903128</v>
      </c>
      <c r="BG13" s="29" t="n">
        <f aca="false">Operations!BG48</f>
        <v>107.03863868891</v>
      </c>
      <c r="BH13" s="29" t="n">
        <f aca="false">Operations!BH48</f>
        <v>108.358186634721</v>
      </c>
      <c r="BI13" s="29" t="n">
        <f aca="false">Operations!BI48</f>
        <v>112.627121762851</v>
      </c>
      <c r="BJ13" s="29" t="n">
        <f aca="false">Operations!BJ48</f>
        <v>113.388918362832</v>
      </c>
      <c r="BK13" s="29" t="n">
        <f aca="false">Operations!BK48</f>
        <v>118.517220647001</v>
      </c>
      <c r="BL13" s="29" t="n">
        <f aca="false">Operations!BL48</f>
        <v>119.319227424256</v>
      </c>
      <c r="BM13" s="29" t="n">
        <f aca="false">Operations!BM48</f>
        <v>124.674040554691</v>
      </c>
      <c r="BN13" s="29" t="n">
        <f aca="false">Operations!BN48</f>
        <v>125.514305123325</v>
      </c>
      <c r="BO13" s="29" t="n">
        <f aca="false">Operations!BO48</f>
        <v>112.552038371944</v>
      </c>
      <c r="BP13" s="29" t="n">
        <f aca="false">Operations!BP48</f>
        <v>114.166536065097</v>
      </c>
      <c r="BQ13" s="29" t="n">
        <f aca="false">Operations!BQ48</f>
        <v>102.351515148844</v>
      </c>
      <c r="BR13" s="29" t="n">
        <f aca="false">Operations!BR48</f>
        <v>92.3958776690488</v>
      </c>
      <c r="BS13" s="29" t="n">
        <f aca="false">Operations!BS48</f>
        <v>96.5230539802575</v>
      </c>
      <c r="BT13" s="29" t="n">
        <f aca="false">Operations!BT48</f>
        <v>95.6779040761689</v>
      </c>
      <c r="BU13" s="29" t="n">
        <f aca="false">Operations!BU48</f>
        <v>148.899430967449</v>
      </c>
      <c r="BV13" s="29" t="n">
        <f aca="false">Operations!BV48</f>
        <v>120.711745639381</v>
      </c>
      <c r="BW13" s="29" t="n">
        <f aca="false">Operations!BW48</f>
        <v>121.913531626981</v>
      </c>
      <c r="BX13" s="29" t="n">
        <f aca="false">Operations!BX48</f>
        <v>121.579602794457</v>
      </c>
      <c r="BY13" s="29" t="n">
        <f aca="false">Operations!BY48</f>
        <v>125.375758910204</v>
      </c>
      <c r="BZ13" s="29" t="n">
        <f aca="false">Operations!BZ48</f>
        <v>124.338711027284</v>
      </c>
      <c r="CA13" s="29" t="n">
        <f aca="false">Operations!CA48</f>
        <v>116.920715744122</v>
      </c>
      <c r="CB13" s="29" t="n">
        <f aca="false">Operations!CB48</f>
        <v>115.880559091473</v>
      </c>
      <c r="CC13" s="29" t="n">
        <f aca="false">Operations!CC48</f>
        <v>120.654035702137</v>
      </c>
      <c r="CD13" s="29" t="n">
        <f aca="false">Operations!CD48</f>
        <v>119.565634571733</v>
      </c>
      <c r="CE13" s="29" t="n">
        <f aca="false">Operations!CE48</f>
        <v>118.665771362771</v>
      </c>
      <c r="CF13" s="29" t="n">
        <f aca="false">Operations!CF48</f>
        <v>118.293983671019</v>
      </c>
      <c r="CG13" s="29" t="n">
        <f aca="false">Operations!CG48</f>
        <v>146.689084472723</v>
      </c>
      <c r="CH13" s="29" t="n">
        <f aca="false">Operations!CH48</f>
        <v>123.71386464887</v>
      </c>
      <c r="CI13" s="29" t="n">
        <f aca="false">Operations!CI48</f>
        <v>129.34838054512</v>
      </c>
      <c r="CJ13" s="29" t="n">
        <f aca="false">Operations!CJ48</f>
        <v>128.306126817846</v>
      </c>
      <c r="CK13" s="29" t="n">
        <f aca="false">Operations!CK48</f>
        <v>150.414944717452</v>
      </c>
      <c r="CL13" s="29" t="n">
        <f aca="false">Operations!CL48</f>
        <v>138.858143416961</v>
      </c>
      <c r="CM13" s="29" t="n">
        <f aca="false">Operations!CM48</f>
        <v>144.9175887513</v>
      </c>
      <c r="CN13" s="29" t="n">
        <f aca="false">Operations!CN48</f>
        <v>144.664489074489</v>
      </c>
      <c r="CO13" s="29" t="n">
        <f aca="false">Operations!CO48</f>
        <v>150.074260803195</v>
      </c>
      <c r="CP13" s="29" t="n">
        <f aca="false">Operations!CP48</f>
        <v>161.860660569695</v>
      </c>
      <c r="CQ13" s="29" t="n">
        <f aca="false">Operations!CQ48</f>
        <v>0</v>
      </c>
      <c r="CR13" s="29" t="n">
        <f aca="false">Operations!CR48</f>
        <v>0</v>
      </c>
      <c r="CS13" s="29" t="n">
        <f aca="false">Operations!CS48</f>
        <v>0</v>
      </c>
      <c r="CT13" s="29" t="n">
        <f aca="false">Operations!CT48</f>
        <v>0</v>
      </c>
      <c r="CU13" s="29" t="n">
        <f aca="false">Operations!CU48</f>
        <v>0</v>
      </c>
      <c r="CV13" s="29" t="n">
        <f aca="false">Operations!CV48</f>
        <v>0</v>
      </c>
      <c r="CW13" s="29" t="n">
        <f aca="false">Operations!CW48</f>
        <v>0</v>
      </c>
      <c r="CX13" s="29" t="n">
        <f aca="false">Operations!CX48</f>
        <v>0</v>
      </c>
      <c r="CY13" s="29" t="n">
        <f aca="false">Operations!CY48</f>
        <v>0</v>
      </c>
      <c r="CZ13" s="29" t="n">
        <f aca="false">Operations!CZ48</f>
        <v>0</v>
      </c>
      <c r="DA13" s="29" t="n">
        <f aca="false">Operations!DA48</f>
        <v>0</v>
      </c>
      <c r="DB13" s="29" t="n">
        <f aca="false">Operations!DB48</f>
        <v>0</v>
      </c>
    </row>
    <row r="14" customFormat="false" ht="15" hidden="false" customHeight="false" outlineLevel="0" collapsed="false">
      <c r="D14" s="0" t="s">
        <v>481</v>
      </c>
      <c r="E14" s="0" t="s">
        <v>44</v>
      </c>
      <c r="F14" s="19" t="n">
        <f aca="false">SUMPRODUCT($J$13:$DB$13,$J$12:$DB$12,Time!$J$30:$DB$30)</f>
        <v>2307.86769145173</v>
      </c>
    </row>
    <row r="15" customFormat="false" ht="15" hidden="false" customHeight="false" outlineLevel="0" collapsed="false">
      <c r="D15" s="0" t="s">
        <v>482</v>
      </c>
      <c r="E15" s="0" t="s">
        <v>44</v>
      </c>
      <c r="F15" s="19" t="n">
        <f aca="false">Inputs!$F$94*Funding!$F$25</f>
        <v>949.289060027023</v>
      </c>
    </row>
    <row r="16" customFormat="false" ht="15" hidden="false" customHeight="false" outlineLevel="0" collapsed="false">
      <c r="D16" s="0" t="s">
        <v>483</v>
      </c>
      <c r="E16" s="0" t="s">
        <v>44</v>
      </c>
      <c r="F16" s="19" t="n">
        <f aca="false">$F$14/Inputs!$F$91</f>
        <v>1538.57846096782</v>
      </c>
    </row>
    <row r="17" customFormat="false" ht="15" hidden="false" customHeight="false" outlineLevel="0" collapsed="false">
      <c r="D17" s="0" t="s">
        <v>484</v>
      </c>
      <c r="E17" s="0" t="s">
        <v>44</v>
      </c>
      <c r="F17" s="19" t="n">
        <f aca="false">$F$14/Inputs!$F$93</f>
        <v>1488.94689771079</v>
      </c>
    </row>
    <row r="18" customFormat="false" ht="15" hidden="false" customHeight="false" outlineLevel="0" collapsed="false">
      <c r="D18" s="0" t="s">
        <v>485</v>
      </c>
      <c r="E18" s="0" t="s">
        <v>44</v>
      </c>
      <c r="J18" s="19" t="n">
        <f aca="false">IF(AND(Time!J30=1,J9&gt;0),J13/(Inputs!$F$91*J9),Inputs!$F$10)</f>
        <v>1000000000000</v>
      </c>
      <c r="K18" s="19" t="n">
        <f aca="false">IF(AND(Time!K30=1,K9&gt;0),K13/(Inputs!$F$91*K9),Inputs!$F$10)</f>
        <v>1000000000000</v>
      </c>
      <c r="L18" s="19" t="n">
        <f aca="false">IF(AND(Time!L30=1,L9&gt;0),L13/(Inputs!$F$91*L9),Inputs!$F$10)</f>
        <v>1000000000000</v>
      </c>
      <c r="M18" s="19" t="n">
        <f aca="false">IF(AND(Time!M30=1,M9&gt;0),M13/(Inputs!$F$91*M9),Inputs!$F$10)</f>
        <v>1000000000000</v>
      </c>
      <c r="N18" s="19" t="n">
        <f aca="false">IF(AND(Time!N30=1,N9&gt;0),N13/(Inputs!$F$91*N9),Inputs!$F$10)</f>
        <v>1000000000000</v>
      </c>
      <c r="O18" s="19" t="n">
        <f aca="false">IF(AND(Time!O30=1,O9&gt;0),O13/(Inputs!$F$91*O9),Inputs!$F$10)</f>
        <v>1000000000000</v>
      </c>
      <c r="P18" s="19" t="n">
        <f aca="false">IF(AND(Time!P30=1,P9&gt;0),P13/(Inputs!$F$91*P9),Inputs!$F$10)</f>
        <v>1000000000000</v>
      </c>
      <c r="Q18" s="19" t="n">
        <f aca="false">IF(AND(Time!Q30=1,Q9&gt;0),Q13/(Inputs!$F$91*Q9),Inputs!$F$10)</f>
        <v>1000000000000</v>
      </c>
      <c r="R18" s="19" t="n">
        <f aca="false">IF(AND(Time!R30=1,R9&gt;0),R13/(Inputs!$F$91*R9),Inputs!$F$10)</f>
        <v>1000000000000</v>
      </c>
      <c r="S18" s="19" t="n">
        <f aca="false">IF(AND(Time!S30=1,S9&gt;0),S13/(Inputs!$F$91*S9),Inputs!$F$10)</f>
        <v>1000000000000</v>
      </c>
      <c r="T18" s="19" t="n">
        <f aca="false">IF(AND(Time!T30=1,T9&gt;0),T13/(Inputs!$F$91*T9),Inputs!$F$10)</f>
        <v>1000000000000</v>
      </c>
      <c r="U18" s="19" t="n">
        <f aca="false">IF(AND(Time!U30=1,U9&gt;0),U13/(Inputs!$F$91*U9),Inputs!$F$10)</f>
        <v>1000000000000</v>
      </c>
      <c r="V18" s="19" t="n">
        <f aca="false">IF(AND(Time!V30=1,V9&gt;0),V13/(Inputs!$F$91*V9),Inputs!$F$10)</f>
        <v>1000000000000</v>
      </c>
      <c r="W18" s="19" t="n">
        <f aca="false">IF(AND(Time!W30=1,W9&gt;0),W13/(Inputs!$F$91*W9),Inputs!$F$10)</f>
        <v>1000000000000</v>
      </c>
      <c r="X18" s="19" t="n">
        <f aca="false">IF(AND(Time!X30=1,X9&gt;0),X13/(Inputs!$F$91*X9),Inputs!$F$10)</f>
        <v>1000000000000</v>
      </c>
      <c r="Y18" s="19" t="n">
        <f aca="false">IF(AND(Time!Y30=1,Y9&gt;0),Y13/(Inputs!$F$91*Y9),Inputs!$F$10)</f>
        <v>1000000000000</v>
      </c>
      <c r="Z18" s="19" t="n">
        <f aca="false">IF(AND(Time!Z30=1,Z9&gt;0),Z13/(Inputs!$F$91*Z9),Inputs!$F$10)</f>
        <v>1000000000000</v>
      </c>
      <c r="AA18" s="19" t="n">
        <f aca="false">IF(AND(Time!AA30=1,AA9&gt;0),AA13/(Inputs!$F$91*AA9),Inputs!$F$10)</f>
        <v>1000000000000</v>
      </c>
      <c r="AB18" s="19" t="n">
        <f aca="false">IF(AND(Time!AB30=1,AB9&gt;0),AB13/(Inputs!$F$91*AB9),Inputs!$F$10)</f>
        <v>1000000000000</v>
      </c>
      <c r="AC18" s="19" t="n">
        <f aca="false">IF(AND(Time!AC30=1,AC9&gt;0),AC13/(Inputs!$F$91*AC9),Inputs!$F$10)</f>
        <v>1000000000000</v>
      </c>
      <c r="AD18" s="19" t="n">
        <f aca="false">IF(AND(Time!AD30=1,AD9&gt;0),AD13/(Inputs!$F$91*AD9),Inputs!$F$10)</f>
        <v>1028.32031742137</v>
      </c>
      <c r="AE18" s="19" t="n">
        <f aca="false">IF(AND(Time!AE30=1,AE9&gt;0),AE13/(Inputs!$F$91*AE9),Inputs!$F$10)</f>
        <v>1075.25896293533</v>
      </c>
      <c r="AF18" s="19" t="n">
        <f aca="false">IF(AND(Time!AF30=1,AF9&gt;0),AF13/(Inputs!$F$91*AF9),Inputs!$F$10)</f>
        <v>1166.23985791791</v>
      </c>
      <c r="AG18" s="19" t="n">
        <f aca="false">IF(AND(Time!AG30=1,AG9&gt;0),AG13/(Inputs!$F$91*AG9),Inputs!$F$10)</f>
        <v>1246.09590805838</v>
      </c>
      <c r="AH18" s="19" t="n">
        <f aca="false">IF(AND(Time!AH30=1,AH9&gt;0),AH13/(Inputs!$F$91*AH9),Inputs!$F$10)</f>
        <v>1280.67411517713</v>
      </c>
      <c r="AI18" s="19" t="n">
        <f aca="false">IF(AND(Time!AI30=1,AI9&gt;0),AI13/(Inputs!$F$91*AI9),Inputs!$F$10)</f>
        <v>1249.54475745234</v>
      </c>
      <c r="AJ18" s="19" t="n">
        <f aca="false">IF(AND(Time!AJ30=1,AJ9&gt;0),AJ13/(Inputs!$F$91*AJ9),Inputs!$F$10)</f>
        <v>1289.73076649827</v>
      </c>
      <c r="AK18" s="19" t="n">
        <f aca="false">IF(AND(Time!AK30=1,AK9&gt;0),AK13/(Inputs!$F$91*AK9),Inputs!$F$10)</f>
        <v>1340.39631308465</v>
      </c>
      <c r="AL18" s="19" t="n">
        <f aca="false">IF(AND(Time!AL30=1,AL9&gt;0),AL13/(Inputs!$F$91*AL9),Inputs!$F$10)</f>
        <v>1378.89565479316</v>
      </c>
      <c r="AM18" s="19" t="n">
        <f aca="false">IF(AND(Time!AM30=1,AM9&gt;0),AM13/(Inputs!$F$91*AM9),Inputs!$F$10)</f>
        <v>1436.85154839559</v>
      </c>
      <c r="AN18" s="19" t="n">
        <f aca="false">IF(AND(Time!AN30=1,AN9&gt;0),AN13/(Inputs!$F$91*AN9),Inputs!$F$10)</f>
        <v>1477.82405047387</v>
      </c>
      <c r="AO18" s="19" t="n">
        <f aca="false">IF(AND(Time!AO30=1,AO9&gt;0),AO13/(Inputs!$F$91*AO9),Inputs!$F$10)</f>
        <v>1620.52671574604</v>
      </c>
      <c r="AP18" s="19" t="n">
        <f aca="false">IF(AND(Time!AP30=1,AP9&gt;0),AP13/(Inputs!$F$91*AP9),Inputs!$F$10)</f>
        <v>1664.77708616713</v>
      </c>
      <c r="AQ18" s="19" t="n">
        <f aca="false">IF(AND(Time!AQ30=1,AQ9&gt;0),AQ13/(Inputs!$F$91*AQ9),Inputs!$F$10)</f>
        <v>1468.6897590934</v>
      </c>
      <c r="AR18" s="19" t="n">
        <f aca="false">IF(AND(Time!AR30=1,AR9&gt;0),AR13/(Inputs!$F$91*AR9),Inputs!$F$10)</f>
        <v>1519.32197710773</v>
      </c>
      <c r="AS18" s="19" t="n">
        <f aca="false">IF(AND(Time!AS30=1,AS9&gt;0),AS13/(Inputs!$F$91*AS9),Inputs!$F$10)</f>
        <v>1584.60110851186</v>
      </c>
      <c r="AT18" s="19" t="n">
        <f aca="false">IF(AND(Time!AT30=1,AT9&gt;0),AT13/(Inputs!$F$91*AT9),Inputs!$F$10)</f>
        <v>1632.53549426618</v>
      </c>
      <c r="AU18" s="19" t="n">
        <f aca="false">IF(AND(Time!AU30=1,AU9&gt;0),AU13/(Inputs!$F$91*AU9),Inputs!$F$10)</f>
        <v>1707.49901371533</v>
      </c>
      <c r="AV18" s="19" t="n">
        <f aca="false">IF(AND(Time!AV30=1,AV9&gt;0),AV13/(Inputs!$F$91*AV9),Inputs!$F$10)</f>
        <v>1758.56012524163</v>
      </c>
      <c r="AW18" s="19" t="n">
        <f aca="false">IF(AND(Time!AW30=1,AW9&gt;0),AW13/(Inputs!$F$91*AW9),Inputs!$F$10)</f>
        <v>1888.07869219551</v>
      </c>
      <c r="AX18" s="19" t="n">
        <f aca="false">IF(AND(Time!AX30=1,AX9&gt;0),AX13/(Inputs!$F$91*AX9),Inputs!$F$10)</f>
        <v>1917.80770505893</v>
      </c>
      <c r="AY18" s="19" t="n">
        <f aca="false">IF(AND(Time!AY30=1,AY9&gt;0),AY13/(Inputs!$F$91*AY9),Inputs!$F$10)</f>
        <v>1900.00775313525</v>
      </c>
      <c r="AZ18" s="19" t="n">
        <f aca="false">IF(AND(Time!AZ30=1,AZ9&gt;0),AZ13/(Inputs!$F$91*AZ9),Inputs!$F$10)</f>
        <v>1937.78491157179</v>
      </c>
      <c r="BA18" s="19" t="n">
        <f aca="false">IF(AND(Time!BA30=1,BA9&gt;0),BA13/(Inputs!$F$91*BA9),Inputs!$F$10)</f>
        <v>2016.30592756836</v>
      </c>
      <c r="BB18" s="19" t="n">
        <f aca="false">IF(AND(Time!BB30=1,BB9&gt;0),BB13/(Inputs!$F$91*BB9),Inputs!$F$10)</f>
        <v>2048.606115093</v>
      </c>
      <c r="BC18" s="19" t="n">
        <f aca="false">IF(AND(Time!BC30=1,BC9&gt;0),BC13/(Inputs!$F$91*BC9),Inputs!$F$10)</f>
        <v>2347.86139529486</v>
      </c>
      <c r="BD18" s="19" t="n">
        <f aca="false">IF(AND(Time!BD30=1,BD9&gt;0),BD13/(Inputs!$F$91*BD9),Inputs!$F$10)</f>
        <v>2383.62491906016</v>
      </c>
      <c r="BE18" s="19" t="n">
        <f aca="false">IF(AND(Time!BE30=1,BE9&gt;0),BE13/(Inputs!$F$91*BE9),Inputs!$F$10)</f>
        <v>2575.32957953279</v>
      </c>
      <c r="BF18" s="19" t="n">
        <f aca="false">IF(AND(Time!BF30=1,BF9&gt;0),BF13/(Inputs!$F$91*BF9),Inputs!$F$10)</f>
        <v>2613.8353909754</v>
      </c>
      <c r="BG18" s="19" t="n">
        <f aca="false">IF(AND(Time!BG30=1,BG9&gt;0),BG13/(Inputs!$F$91*BG9),Inputs!$F$10)</f>
        <v>2704.90825395546</v>
      </c>
      <c r="BH18" s="19" t="n">
        <f aca="false">IF(AND(Time!BH30=1,BH9&gt;0),BH13/(Inputs!$F$91*BH9),Inputs!$F$10)</f>
        <v>2753.04941930262</v>
      </c>
      <c r="BI18" s="19" t="n">
        <f aca="false">IF(AND(Time!BI30=1,BI9&gt;0),BI13/(Inputs!$F$91*BI9),Inputs!$F$10)</f>
        <v>2846.1314064446</v>
      </c>
      <c r="BJ18" s="19" t="n">
        <f aca="false">IF(AND(Time!BJ30=1,BJ9&gt;0),BJ13/(Inputs!$F$91*BJ9),Inputs!$F$10)</f>
        <v>2888.66910186571</v>
      </c>
      <c r="BK18" s="19" t="n">
        <f aca="false">IF(AND(Time!BK30=1,BK9&gt;0),BK13/(Inputs!$F$91*BK9),Inputs!$F$10)</f>
        <v>2994.97650839565</v>
      </c>
      <c r="BL18" s="19" t="n">
        <f aca="false">IF(AND(Time!BL30=1,BL9&gt;0),BL13/(Inputs!$F$91*BL9),Inputs!$F$10)</f>
        <v>3039.74824432151</v>
      </c>
      <c r="BM18" s="19" t="n">
        <f aca="false">IF(AND(Time!BM30=1,BM9&gt;0),BM13/(Inputs!$F$91*BM9),Inputs!$F$10)</f>
        <v>3150.56175490487</v>
      </c>
      <c r="BN18" s="19" t="n">
        <f aca="false">IF(AND(Time!BN30=1,BN9&gt;0),BN13/(Inputs!$F$91*BN9),Inputs!$F$10)</f>
        <v>3197.57256958489</v>
      </c>
      <c r="BO18" s="19" t="n">
        <f aca="false">IF(AND(Time!BO30=1,BO9&gt;0),BO13/(Inputs!$F$91*BO9),Inputs!$F$10)</f>
        <v>2844.23401979723</v>
      </c>
      <c r="BP18" s="19" t="n">
        <f aca="false">IF(AND(Time!BP30=1,BP9&gt;0),BP13/(Inputs!$F$91*BP9),Inputs!$F$10)</f>
        <v>2900.62177652846</v>
      </c>
      <c r="BQ18" s="19" t="n">
        <f aca="false">IF(AND(Time!BQ30=1,BQ9&gt;0),BQ13/(Inputs!$F$91*BQ9),Inputs!$F$10)</f>
        <v>2586.46280933727</v>
      </c>
      <c r="BR18" s="19" t="n">
        <f aca="false">IF(AND(Time!BR30=1,BR9&gt;0),BR13/(Inputs!$F$91*BR9),Inputs!$F$10)</f>
        <v>2353.85539271387</v>
      </c>
      <c r="BS18" s="19" t="n">
        <f aca="false">IF(AND(Time!BS30=1,BS9&gt;0),BS13/(Inputs!$F$91*BS9),Inputs!$F$10)</f>
        <v>2439.17531656013</v>
      </c>
      <c r="BT18" s="19" t="n">
        <f aca="false">IF(AND(Time!BT30=1,BT9&gt;0),BT13/(Inputs!$F$91*BT9),Inputs!$F$10)</f>
        <v>2437.46751646143</v>
      </c>
      <c r="BU18" s="19" t="n">
        <f aca="false">IF(AND(Time!BU30=1,BU9&gt;0),BU13/(Inputs!$F$91*BU9),Inputs!$F$10)</f>
        <v>3762.74684325608</v>
      </c>
      <c r="BV18" s="19" t="n">
        <f aca="false">IF(AND(Time!BV30=1,BV9&gt;0),BV13/(Inputs!$F$91*BV9),Inputs!$F$10)</f>
        <v>3075.22370700251</v>
      </c>
      <c r="BW18" s="19" t="n">
        <f aca="false">IF(AND(Time!BW30=1,BW9&gt;0),BW13/(Inputs!$F$91*BW9),Inputs!$F$10)</f>
        <v>3080.80261488646</v>
      </c>
      <c r="BX18" s="19" t="n">
        <f aca="false">IF(AND(Time!BX30=1,BX9&gt;0),BX13/(Inputs!$F$91*BX9),Inputs!$F$10)</f>
        <v>3088.9650820815</v>
      </c>
      <c r="BY18" s="19" t="n">
        <f aca="false">IF(AND(Time!BY30=1,BY9&gt;0),BY13/(Inputs!$F$91*BY9),Inputs!$F$10)</f>
        <v>3168.29445213487</v>
      </c>
      <c r="BZ18" s="19" t="n">
        <f aca="false">IF(AND(Time!BZ30=1,BZ9&gt;0),BZ13/(Inputs!$F$91*BZ9),Inputs!$F$10)</f>
        <v>3167.62341414184</v>
      </c>
      <c r="CA18" s="19" t="n">
        <f aca="false">IF(AND(Time!CA30=1,CA9&gt;0),CA13/(Inputs!$F$91*CA9),Inputs!$F$10)</f>
        <v>2954.63220523397</v>
      </c>
      <c r="CB18" s="19" t="n">
        <f aca="false">IF(AND(Time!CB30=1,CB9&gt;0),CB13/(Inputs!$F$91*CB9),Inputs!$F$10)</f>
        <v>2952.14554815074</v>
      </c>
      <c r="CC18" s="19" t="n">
        <f aca="false">IF(AND(Time!CC30=1,CC9&gt;0),CC13/(Inputs!$F$91*CC9),Inputs!$F$10)</f>
        <v>3048.9746603771</v>
      </c>
      <c r="CD18" s="19" t="n">
        <f aca="false">IF(AND(Time!CD30=1,CD9&gt;0),CD13/(Inputs!$F$91*CD9),Inputs!$F$10)</f>
        <v>3046.0256541749</v>
      </c>
      <c r="CE18" s="19" t="n">
        <f aca="false">IF(AND(Time!CE30=1,CE9&gt;0),CE13/(Inputs!$F$91*CE9),Inputs!$F$10)</f>
        <v>2998.7304430695</v>
      </c>
      <c r="CF18" s="19" t="n">
        <f aca="false">IF(AND(Time!CF30=1,CF9&gt;0),CF13/(Inputs!$F$91*CF9),Inputs!$F$10)</f>
        <v>3005.48757013012</v>
      </c>
      <c r="CG18" s="19" t="n">
        <f aca="false">IF(AND(Time!CG30=1,CG9&gt;0),CG13/(Inputs!$F$91*CG9),Inputs!$F$10)</f>
        <v>3706.89052304387</v>
      </c>
      <c r="CH18" s="19" t="n">
        <f aca="false">IF(AND(Time!CH30=1,CH9&gt;0),CH13/(Inputs!$F$91*CH9),Inputs!$F$10)</f>
        <v>1000000000000</v>
      </c>
      <c r="CI18" s="19" t="n">
        <f aca="false">IF(AND(Time!CI30=1,CI9&gt;0),CI13/(Inputs!$F$91*CI9),Inputs!$F$10)</f>
        <v>1000000000000</v>
      </c>
      <c r="CJ18" s="19" t="n">
        <f aca="false">IF(AND(Time!CJ30=1,CJ9&gt;0),CJ13/(Inputs!$F$91*CJ9),Inputs!$F$10)</f>
        <v>1000000000000</v>
      </c>
      <c r="CK18" s="19" t="n">
        <f aca="false">IF(AND(Time!CK30=1,CK9&gt;0),CK13/(Inputs!$F$91*CK9),Inputs!$F$10)</f>
        <v>1000000000000</v>
      </c>
      <c r="CL18" s="19" t="n">
        <f aca="false">IF(AND(Time!CL30=1,CL9&gt;0),CL13/(Inputs!$F$91*CL9),Inputs!$F$10)</f>
        <v>1000000000000</v>
      </c>
      <c r="CM18" s="19" t="n">
        <f aca="false">IF(AND(Time!CM30=1,CM9&gt;0),CM13/(Inputs!$F$91*CM9),Inputs!$F$10)</f>
        <v>1000000000000</v>
      </c>
      <c r="CN18" s="19" t="n">
        <f aca="false">IF(AND(Time!CN30=1,CN9&gt;0),CN13/(Inputs!$F$91*CN9),Inputs!$F$10)</f>
        <v>1000000000000</v>
      </c>
      <c r="CO18" s="19" t="n">
        <f aca="false">IF(AND(Time!CO30=1,CO9&gt;0),CO13/(Inputs!$F$91*CO9),Inputs!$F$10)</f>
        <v>1000000000000</v>
      </c>
      <c r="CP18" s="19" t="n">
        <f aca="false">IF(AND(Time!CP30=1,CP9&gt;0),CP13/(Inputs!$F$91*CP9),Inputs!$F$10)</f>
        <v>1000000000000</v>
      </c>
      <c r="CQ18" s="19" t="n">
        <f aca="false">IF(AND(Time!CQ30=1,CQ9&gt;0),CQ13/(Inputs!$F$91*CQ9),Inputs!$F$10)</f>
        <v>1000000000000</v>
      </c>
      <c r="CR18" s="19" t="n">
        <f aca="false">IF(AND(Time!CR30=1,CR9&gt;0),CR13/(Inputs!$F$91*CR9),Inputs!$F$10)</f>
        <v>1000000000000</v>
      </c>
      <c r="CS18" s="19" t="n">
        <f aca="false">IF(AND(Time!CS30=1,CS9&gt;0),CS13/(Inputs!$F$91*CS9),Inputs!$F$10)</f>
        <v>1000000000000</v>
      </c>
      <c r="CT18" s="19" t="n">
        <f aca="false">IF(AND(Time!CT30=1,CT9&gt;0),CT13/(Inputs!$F$91*CT9),Inputs!$F$10)</f>
        <v>1000000000000</v>
      </c>
      <c r="CU18" s="19" t="n">
        <f aca="false">IF(AND(Time!CU30=1,CU9&gt;0),CU13/(Inputs!$F$91*CU9),Inputs!$F$10)</f>
        <v>1000000000000</v>
      </c>
      <c r="CV18" s="19" t="n">
        <f aca="false">IF(AND(Time!CV30=1,CV9&gt;0),CV13/(Inputs!$F$91*CV9),Inputs!$F$10)</f>
        <v>1000000000000</v>
      </c>
      <c r="CW18" s="19" t="n">
        <f aca="false">IF(AND(Time!CW30=1,CW9&gt;0),CW13/(Inputs!$F$91*CW9),Inputs!$F$10)</f>
        <v>1000000000000</v>
      </c>
      <c r="CX18" s="19" t="n">
        <f aca="false">IF(AND(Time!CX30=1,CX9&gt;0),CX13/(Inputs!$F$91*CX9),Inputs!$F$10)</f>
        <v>1000000000000</v>
      </c>
      <c r="CY18" s="19" t="n">
        <f aca="false">IF(AND(Time!CY30=1,CY9&gt;0),CY13/(Inputs!$F$91*CY9),Inputs!$F$10)</f>
        <v>1000000000000</v>
      </c>
      <c r="CZ18" s="19" t="n">
        <f aca="false">IF(AND(Time!CZ30=1,CZ9&gt;0),CZ13/(Inputs!$F$91*CZ9),Inputs!$F$10)</f>
        <v>1000000000000</v>
      </c>
      <c r="DA18" s="19" t="n">
        <f aca="false">IF(AND(Time!DA30=1,DA9&gt;0),DA13/(Inputs!$F$91*DA9),Inputs!$F$10)</f>
        <v>1000000000000</v>
      </c>
      <c r="DB18" s="19" t="n">
        <f aca="false">IF(AND(Time!DB30=1,DB9&gt;0),DB13/(Inputs!$F$91*DB9),Inputs!$F$10)</f>
        <v>1000000000000</v>
      </c>
    </row>
    <row r="19" customFormat="false" ht="15" hidden="false" customHeight="false" outlineLevel="0" collapsed="false">
      <c r="D19" s="0" t="s">
        <v>486</v>
      </c>
      <c r="E19" s="0" t="s">
        <v>44</v>
      </c>
      <c r="F19" s="19" t="n">
        <f aca="false">MIN($J$18:$DB$18)</f>
        <v>1028.32031742137</v>
      </c>
    </row>
    <row r="20" customFormat="false" ht="15" hidden="false" customHeight="false" outlineLevel="0" collapsed="false">
      <c r="D20" s="0" t="s">
        <v>487</v>
      </c>
      <c r="E20" s="0" t="s">
        <v>44</v>
      </c>
      <c r="J20" s="19" t="n">
        <f aca="false">IF(AND(Time!J30=1,J9&gt;0),Inputs!J275/(Inputs!$F$92*J9),Inputs!$F$10)</f>
        <v>1000000000000</v>
      </c>
      <c r="K20" s="19" t="n">
        <f aca="false">IF(AND(Time!K30=1,K9&gt;0),Inputs!K275/(Inputs!$F$92*K9),Inputs!$F$10)</f>
        <v>1000000000000</v>
      </c>
      <c r="L20" s="19" t="n">
        <f aca="false">IF(AND(Time!L30=1,L9&gt;0),Inputs!L275/(Inputs!$F$92*L9),Inputs!$F$10)</f>
        <v>1000000000000</v>
      </c>
      <c r="M20" s="19" t="n">
        <f aca="false">IF(AND(Time!M30=1,M9&gt;0),Inputs!M275/(Inputs!$F$92*M9),Inputs!$F$10)</f>
        <v>1000000000000</v>
      </c>
      <c r="N20" s="19" t="n">
        <f aca="false">IF(AND(Time!N30=1,N9&gt;0),Inputs!N275/(Inputs!$F$92*N9),Inputs!$F$10)</f>
        <v>1000000000000</v>
      </c>
      <c r="O20" s="19" t="n">
        <f aca="false">IF(AND(Time!O30=1,O9&gt;0),Inputs!O275/(Inputs!$F$92*O9),Inputs!$F$10)</f>
        <v>1000000000000</v>
      </c>
      <c r="P20" s="19" t="n">
        <f aca="false">IF(AND(Time!P30=1,P9&gt;0),Inputs!P275/(Inputs!$F$92*P9),Inputs!$F$10)</f>
        <v>1000000000000</v>
      </c>
      <c r="Q20" s="19" t="n">
        <f aca="false">IF(AND(Time!Q30=1,Q9&gt;0),Inputs!Q275/(Inputs!$F$92*Q9),Inputs!$F$10)</f>
        <v>1000000000000</v>
      </c>
      <c r="R20" s="19" t="n">
        <f aca="false">IF(AND(Time!R30=1,R9&gt;0),Inputs!R275/(Inputs!$F$92*R9),Inputs!$F$10)</f>
        <v>1000000000000</v>
      </c>
      <c r="S20" s="19" t="n">
        <f aca="false">IF(AND(Time!S30=1,S9&gt;0),Inputs!S275/(Inputs!$F$92*S9),Inputs!$F$10)</f>
        <v>1000000000000</v>
      </c>
      <c r="T20" s="19" t="n">
        <f aca="false">IF(AND(Time!T30=1,T9&gt;0),Inputs!T275/(Inputs!$F$92*T9),Inputs!$F$10)</f>
        <v>1000000000000</v>
      </c>
      <c r="U20" s="19" t="n">
        <f aca="false">IF(AND(Time!U30=1,U9&gt;0),Inputs!U275/(Inputs!$F$92*U9),Inputs!$F$10)</f>
        <v>1000000000000</v>
      </c>
      <c r="V20" s="19" t="n">
        <f aca="false">IF(AND(Time!V30=1,V9&gt;0),Inputs!V275/(Inputs!$F$92*V9),Inputs!$F$10)</f>
        <v>1000000000000</v>
      </c>
      <c r="W20" s="19" t="n">
        <f aca="false">IF(AND(Time!W30=1,W9&gt;0),Inputs!W275/(Inputs!$F$92*W9),Inputs!$F$10)</f>
        <v>1000000000000</v>
      </c>
      <c r="X20" s="19" t="n">
        <f aca="false">IF(AND(Time!X30=1,X9&gt;0),Inputs!X275/(Inputs!$F$92*X9),Inputs!$F$10)</f>
        <v>1000000000000</v>
      </c>
      <c r="Y20" s="19" t="n">
        <f aca="false">IF(AND(Time!Y30=1,Y9&gt;0),Inputs!Y275/(Inputs!$F$92*Y9),Inputs!$F$10)</f>
        <v>1000000000000</v>
      </c>
      <c r="Z20" s="19" t="n">
        <f aca="false">IF(AND(Time!Z30=1,Z9&gt;0),Inputs!Z275/(Inputs!$F$92*Z9),Inputs!$F$10)</f>
        <v>1000000000000</v>
      </c>
      <c r="AA20" s="19" t="n">
        <f aca="false">IF(AND(Time!AA30=1,AA9&gt;0),Inputs!AA275/(Inputs!$F$92*AA9),Inputs!$F$10)</f>
        <v>1000000000000</v>
      </c>
      <c r="AB20" s="19" t="n">
        <f aca="false">IF(AND(Time!AB30=1,AB9&gt;0),Inputs!AB275/(Inputs!$F$92*AB9),Inputs!$F$10)</f>
        <v>1000000000000</v>
      </c>
      <c r="AC20" s="19" t="n">
        <f aca="false">IF(AND(Time!AC30=1,AC9&gt;0),Inputs!AC275/(Inputs!$F$92*AC9),Inputs!$F$10)</f>
        <v>1000000000000</v>
      </c>
      <c r="AD20" s="19" t="n">
        <f aca="false">IF(AND(Time!AD30=1,AD9&gt;0),Inputs!AD275/(Inputs!$F$92*AD9),Inputs!$F$10)</f>
        <v>888.955028645724</v>
      </c>
      <c r="AE20" s="19" t="n">
        <f aca="false">IF(AND(Time!AE30=1,AE9&gt;0),Inputs!AE275/(Inputs!$F$92*AE9),Inputs!$F$10)</f>
        <v>942.849811638665</v>
      </c>
      <c r="AF20" s="19" t="n">
        <f aca="false">IF(AND(Time!AF30=1,AF9&gt;0),Inputs!AF275/(Inputs!$F$92*AF9),Inputs!$F$10)</f>
        <v>1061.65946164693</v>
      </c>
      <c r="AG20" s="19" t="n">
        <f aca="false">IF(AND(Time!AG30=1,AG9&gt;0),Inputs!AG275/(Inputs!$F$92*AG9),Inputs!$F$10)</f>
        <v>1146.67311734651</v>
      </c>
      <c r="AH20" s="19" t="n">
        <f aca="false">IF(AND(Time!AH30=1,AH9&gt;0),Inputs!AH275/(Inputs!$F$92*AH9),Inputs!$F$10)</f>
        <v>1239.98171366847</v>
      </c>
      <c r="AI20" s="19" t="n">
        <f aca="false">IF(AND(Time!AI30=1,AI9&gt;0),Inputs!AI275/(Inputs!$F$92*AI9),Inputs!$F$10)</f>
        <v>1197.4022431523</v>
      </c>
      <c r="AJ20" s="19" t="n">
        <f aca="false">IF(AND(Time!AJ30=1,AJ9&gt;0),Inputs!AJ275/(Inputs!$F$92*AJ9),Inputs!$F$10)</f>
        <v>1219.4908281369</v>
      </c>
      <c r="AK20" s="19" t="n">
        <f aca="false">IF(AND(Time!AK30=1,AK9&gt;0),Inputs!AK275/(Inputs!$F$92*AK9),Inputs!$F$10)</f>
        <v>1277.52082630099</v>
      </c>
      <c r="AL20" s="19" t="n">
        <f aca="false">IF(AND(Time!AL30=1,AL9&gt;0),Inputs!AL275/(Inputs!$F$92*AL9),Inputs!$F$10)</f>
        <v>1296.75020076267</v>
      </c>
      <c r="AM20" s="19" t="n">
        <f aca="false">IF(AND(Time!AM30=1,AM9&gt;0),Inputs!AM275/(Inputs!$F$92*AM9),Inputs!$F$10)</f>
        <v>1362.328255082</v>
      </c>
      <c r="AN20" s="19" t="n">
        <f aca="false">IF(AND(Time!AN30=1,AN9&gt;0),Inputs!AN275/(Inputs!$F$92*AN9),Inputs!$F$10)</f>
        <v>1382.77582627418</v>
      </c>
      <c r="AO20" s="19" t="n">
        <f aca="false">IF(AND(Time!AO30=1,AO9&gt;0),Inputs!AO275/(Inputs!$F$92*AO9),Inputs!$F$10)</f>
        <v>1557.31787570842</v>
      </c>
      <c r="AP20" s="19" t="n">
        <f aca="false">IF(AND(Time!AP30=1,AP9&gt;0),Inputs!AP275/(Inputs!$F$92*AP9),Inputs!$F$10)</f>
        <v>1579.83487209127</v>
      </c>
      <c r="AQ20" s="19" t="n">
        <f aca="false">IF(AND(Time!AQ30=1,AQ9&gt;0),Inputs!AQ275/(Inputs!$F$92*AQ9),Inputs!$F$10)</f>
        <v>1311.65078166226</v>
      </c>
      <c r="AR20" s="19" t="n">
        <f aca="false">IF(AND(Time!AR30=1,AR9&gt;0),Inputs!AR275/(Inputs!$F$92*AR9),Inputs!$F$10)</f>
        <v>1338.39603182362</v>
      </c>
      <c r="AS20" s="19" t="n">
        <f aca="false">IF(AND(Time!AS30=1,AS9&gt;0),Inputs!AS275/(Inputs!$F$92*AS9),Inputs!$F$10)</f>
        <v>1410.79821173534</v>
      </c>
      <c r="AT20" s="19" t="n">
        <f aca="false">IF(AND(Time!AT30=1,AT9&gt;0),Inputs!AT275/(Inputs!$F$92*AT9),Inputs!$F$10)</f>
        <v>1433.31099155034</v>
      </c>
      <c r="AU20" s="19" t="n">
        <f aca="false">IF(AND(Time!AU30=1,AU9&gt;0),Inputs!AU275/(Inputs!$F$92*AU9),Inputs!$F$10)</f>
        <v>1515.46666416942</v>
      </c>
      <c r="AV20" s="19" t="n">
        <f aca="false">IF(AND(Time!AV30=1,AV9&gt;0),Inputs!AV275/(Inputs!$F$92*AV9),Inputs!$F$10)</f>
        <v>1539.46385478187</v>
      </c>
      <c r="AW20" s="19" t="n">
        <f aca="false">IF(AND(Time!AW30=1,AW9&gt;0),Inputs!AW275/(Inputs!$F$92*AW9),Inputs!$F$10)</f>
        <v>1680.44115107962</v>
      </c>
      <c r="AX20" s="19" t="n">
        <f aca="false">IF(AND(Time!AX30=1,AX9&gt;0),Inputs!AX275/(Inputs!$F$92*AX9),Inputs!$F$10)</f>
        <v>1692.0523525912</v>
      </c>
      <c r="AY20" s="19" t="n">
        <f aca="false">IF(AND(Time!AY30=1,AY9&gt;0),Inputs!AY275/(Inputs!$F$92*AY9),Inputs!$F$10)</f>
        <v>1640.01934826067</v>
      </c>
      <c r="AZ20" s="19" t="n">
        <f aca="false">IF(AND(Time!AZ30=1,AZ9&gt;0),Inputs!AZ275/(Inputs!$F$92*AZ9),Inputs!$F$10)</f>
        <v>1658.17942011061</v>
      </c>
      <c r="BA20" s="19" t="n">
        <f aca="false">IF(AND(Time!BA30=1,BA9&gt;0),Inputs!BA275/(Inputs!$F$92*BA9),Inputs!$F$10)</f>
        <v>1732.33247874022</v>
      </c>
      <c r="BB20" s="19" t="n">
        <f aca="false">IF(AND(Time!BB30=1,BB9&gt;0),Inputs!BB275/(Inputs!$F$92*BB9),Inputs!$F$10)</f>
        <v>1744.26493029235</v>
      </c>
      <c r="BC20" s="19" t="n">
        <f aca="false">IF(AND(Time!BC30=1,BC9&gt;0),Inputs!BC275/(Inputs!$F$92*BC9),Inputs!$F$10)</f>
        <v>2102.85790928903</v>
      </c>
      <c r="BD20" s="19" t="n">
        <f aca="false">IF(AND(Time!BD30=1,BD9&gt;0),Inputs!BD275/(Inputs!$F$92*BD9),Inputs!$F$10)</f>
        <v>2117.77732069965</v>
      </c>
      <c r="BE20" s="19" t="n">
        <f aca="false">IF(AND(Time!BE30=1,BE9&gt;0),Inputs!BE275/(Inputs!$F$92*BE9),Inputs!$F$10)</f>
        <v>2333.55656071173</v>
      </c>
      <c r="BF20" s="19" t="n">
        <f aca="false">IF(AND(Time!BF30=1,BF9&gt;0),Inputs!BF275/(Inputs!$F$92*BF9),Inputs!$F$10)</f>
        <v>2350.32470711575</v>
      </c>
      <c r="BG20" s="19" t="n">
        <f aca="false">IF(AND(Time!BG30=1,BG9&gt;0),Inputs!BG275/(Inputs!$F$92*BG9),Inputs!$F$10)</f>
        <v>2434.53117958204</v>
      </c>
      <c r="BH20" s="19" t="n">
        <f aca="false">IF(AND(Time!BH30=1,BH9&gt;0),Inputs!BH275/(Inputs!$F$92*BH9),Inputs!$F$10)</f>
        <v>2458.94784632199</v>
      </c>
      <c r="BI20" s="19" t="n">
        <f aca="false">IF(AND(Time!BI30=1,BI9&gt;0),Inputs!BI275/(Inputs!$F$92*BI9),Inputs!$F$10)</f>
        <v>2544.36308930925</v>
      </c>
      <c r="BJ20" s="19" t="n">
        <f aca="false">IF(AND(Time!BJ30=1,BJ9&gt;0),Inputs!BJ275/(Inputs!$F$92*BJ9),Inputs!$F$10)</f>
        <v>2562.74962243058</v>
      </c>
      <c r="BK20" s="19" t="n">
        <f aca="false">IF(AND(Time!BK30=1,BK9&gt;0),Inputs!BK275/(Inputs!$F$92*BK9),Inputs!$F$10)</f>
        <v>2659.2788091322</v>
      </c>
      <c r="BL20" s="19" t="n">
        <f aca="false">IF(AND(Time!BL30=1,BL9&gt;0),Inputs!BL275/(Inputs!$F$92*BL9),Inputs!$F$10)</f>
        <v>2678.56447244901</v>
      </c>
      <c r="BM20" s="19" t="n">
        <f aca="false">IF(AND(Time!BM30=1,BM9&gt;0),Inputs!BM275/(Inputs!$F$92*BM9),Inputs!$F$10)</f>
        <v>2778.3912779255</v>
      </c>
      <c r="BN20" s="19" t="n">
        <f aca="false">IF(AND(Time!BN30=1,BN9&gt;0),Inputs!BN275/(Inputs!$F$92*BN9),Inputs!$F$10)</f>
        <v>2798.5269515608</v>
      </c>
      <c r="BO20" s="19" t="n">
        <f aca="false">IF(AND(Time!BO30=1,BO9&gt;0),Inputs!BO275/(Inputs!$F$92*BO9),Inputs!$F$10)</f>
        <v>2289.68492677457</v>
      </c>
      <c r="BP20" s="19" t="n">
        <f aca="false">IF(AND(Time!BP30=1,BP9&gt;0),Inputs!BP275/(Inputs!$F$92*BP9),Inputs!$F$10)</f>
        <v>2315.69485061321</v>
      </c>
      <c r="BQ20" s="19" t="n">
        <f aca="false">IF(AND(Time!BQ30=1,BQ9&gt;0),Inputs!BQ275/(Inputs!$F$92*BQ9),Inputs!$F$10)</f>
        <v>2419.67778209299</v>
      </c>
      <c r="BR20" s="19" t="n">
        <f aca="false">IF(AND(Time!BR30=1,BR9&gt;0),Inputs!BR275/(Inputs!$F$92*BR9),Inputs!$F$10)</f>
        <v>2409.86774747164</v>
      </c>
      <c r="BS20" s="19" t="n">
        <f aca="false">IF(AND(Time!BS30=1,BS9&gt;0),Inputs!BS275/(Inputs!$F$92*BS9),Inputs!$F$10)</f>
        <v>2525.48506671529</v>
      </c>
      <c r="BT20" s="19" t="n">
        <f aca="false">IF(AND(Time!BT30=1,BT9&gt;0),Inputs!BT275/(Inputs!$F$92*BT9),Inputs!$F$10)</f>
        <v>2515.58572833261</v>
      </c>
      <c r="BU20" s="19" t="n">
        <f aca="false">IF(AND(Time!BU30=1,BU9&gt;0),Inputs!BU275/(Inputs!$F$92*BU9),Inputs!$F$10)</f>
        <v>3248.12679648341</v>
      </c>
      <c r="BV20" s="19" t="n">
        <f aca="false">IF(AND(Time!BV30=1,BV9&gt;0),Inputs!BV275/(Inputs!$F$92*BV9),Inputs!$F$10)</f>
        <v>3243.11545414421</v>
      </c>
      <c r="BW20" s="19" t="n">
        <f aca="false">IF(AND(Time!BW30=1,BW9&gt;0),Inputs!BW275/(Inputs!$F$92*BW9),Inputs!$F$10)</f>
        <v>3361.40850392712</v>
      </c>
      <c r="BX20" s="19" t="n">
        <f aca="false">IF(AND(Time!BX30=1,BX9&gt;0),Inputs!BX275/(Inputs!$F$92*BX9),Inputs!$F$10)</f>
        <v>3365.71948316515</v>
      </c>
      <c r="BY20" s="19" t="n">
        <f aca="false">IF(AND(Time!BY30=1,BY9&gt;0),Inputs!BY275/(Inputs!$F$92*BY9),Inputs!$F$10)</f>
        <v>3478.52893476841</v>
      </c>
      <c r="BZ20" s="19" t="n">
        <f aca="false">IF(AND(Time!BZ30=1,BZ9&gt;0),Inputs!BZ275/(Inputs!$F$92*BZ9),Inputs!$F$10)</f>
        <v>3473.31045996192</v>
      </c>
      <c r="CA20" s="19" t="n">
        <f aca="false">IF(AND(Time!CA30=1,CA9&gt;0),Inputs!CA275/(Inputs!$F$92*CA9),Inputs!$F$10)</f>
        <v>3203.70537199963</v>
      </c>
      <c r="CB20" s="19" t="n">
        <f aca="false">IF(AND(Time!CB30=1,CB9&gt;0),Inputs!CB275/(Inputs!$F$92*CB9),Inputs!$F$10)</f>
        <v>3195.15725966003</v>
      </c>
      <c r="CC20" s="19" t="n">
        <f aca="false">IF(AND(Time!CC30=1,CC9&gt;0),Inputs!CC275/(Inputs!$F$92*CC9),Inputs!$F$10)</f>
        <v>3328.71070110829</v>
      </c>
      <c r="CD20" s="19" t="n">
        <f aca="false">IF(AND(Time!CD30=1,CD9&gt;0),Inputs!CD275/(Inputs!$F$92*CD9),Inputs!$F$10)</f>
        <v>3320.0437858573</v>
      </c>
      <c r="CE20" s="19" t="n">
        <f aca="false">IF(AND(Time!CE30=1,CE9&gt;0),Inputs!CE275/(Inputs!$F$92*CE9),Inputs!$F$10)</f>
        <v>3266.11491403828</v>
      </c>
      <c r="CF20" s="19" t="n">
        <f aca="false">IF(AND(Time!CF30=1,CF9&gt;0),Inputs!CF275/(Inputs!$F$92*CF9),Inputs!$F$10)</f>
        <v>3268.1694864346</v>
      </c>
      <c r="CG20" s="19" t="n">
        <f aca="false">IF(AND(Time!CG30=1,CG9&gt;0),Inputs!CG275/(Inputs!$F$92*CG9),Inputs!$F$10)</f>
        <v>3479.12383940494</v>
      </c>
      <c r="CH20" s="19" t="n">
        <f aca="false">IF(AND(Time!CH30=1,CH9&gt;0),Inputs!CH275/(Inputs!$F$92*CH9),Inputs!$F$10)</f>
        <v>1000000000000</v>
      </c>
      <c r="CI20" s="19" t="n">
        <f aca="false">IF(AND(Time!CI30=1,CI9&gt;0),Inputs!CI275/(Inputs!$F$92*CI9),Inputs!$F$10)</f>
        <v>1000000000000</v>
      </c>
      <c r="CJ20" s="19" t="n">
        <f aca="false">IF(AND(Time!CJ30=1,CJ9&gt;0),Inputs!CJ275/(Inputs!$F$92*CJ9),Inputs!$F$10)</f>
        <v>1000000000000</v>
      </c>
      <c r="CK20" s="19" t="n">
        <f aca="false">IF(AND(Time!CK30=1,CK9&gt;0),Inputs!CK275/(Inputs!$F$92*CK9),Inputs!$F$10)</f>
        <v>1000000000000</v>
      </c>
      <c r="CL20" s="19" t="n">
        <f aca="false">IF(AND(Time!CL30=1,CL9&gt;0),Inputs!CL275/(Inputs!$F$92*CL9),Inputs!$F$10)</f>
        <v>1000000000000</v>
      </c>
      <c r="CM20" s="19" t="n">
        <f aca="false">IF(AND(Time!CM30=1,CM9&gt;0),Inputs!CM275/(Inputs!$F$92*CM9),Inputs!$F$10)</f>
        <v>1000000000000</v>
      </c>
      <c r="CN20" s="19" t="n">
        <f aca="false">IF(AND(Time!CN30=1,CN9&gt;0),Inputs!CN275/(Inputs!$F$92*CN9),Inputs!$F$10)</f>
        <v>1000000000000</v>
      </c>
      <c r="CO20" s="19" t="n">
        <f aca="false">IF(AND(Time!CO30=1,CO9&gt;0),Inputs!CO275/(Inputs!$F$92*CO9),Inputs!$F$10)</f>
        <v>1000000000000</v>
      </c>
      <c r="CP20" s="19" t="n">
        <f aca="false">IF(AND(Time!CP30=1,CP9&gt;0),Inputs!CP275/(Inputs!$F$92*CP9),Inputs!$F$10)</f>
        <v>1000000000000</v>
      </c>
      <c r="CQ20" s="19" t="n">
        <f aca="false">IF(AND(Time!CQ30=1,CQ9&gt;0),Inputs!CQ275/(Inputs!$F$92*CQ9),Inputs!$F$10)</f>
        <v>1000000000000</v>
      </c>
      <c r="CR20" s="19" t="n">
        <f aca="false">IF(AND(Time!CR30=1,CR9&gt;0),Inputs!CR275/(Inputs!$F$92*CR9),Inputs!$F$10)</f>
        <v>1000000000000</v>
      </c>
      <c r="CS20" s="19" t="n">
        <f aca="false">IF(AND(Time!CS30=1,CS9&gt;0),Inputs!CS275/(Inputs!$F$92*CS9),Inputs!$F$10)</f>
        <v>1000000000000</v>
      </c>
      <c r="CT20" s="19" t="n">
        <f aca="false">IF(AND(Time!CT30=1,CT9&gt;0),Inputs!CT275/(Inputs!$F$92*CT9),Inputs!$F$10)</f>
        <v>1000000000000</v>
      </c>
      <c r="CU20" s="19" t="n">
        <f aca="false">IF(AND(Time!CU30=1,CU9&gt;0),Inputs!CU275/(Inputs!$F$92*CU9),Inputs!$F$10)</f>
        <v>1000000000000</v>
      </c>
      <c r="CV20" s="19" t="n">
        <f aca="false">IF(AND(Time!CV30=1,CV9&gt;0),Inputs!CV275/(Inputs!$F$92*CV9),Inputs!$F$10)</f>
        <v>1000000000000</v>
      </c>
      <c r="CW20" s="19" t="n">
        <f aca="false">IF(AND(Time!CW30=1,CW9&gt;0),Inputs!CW275/(Inputs!$F$92*CW9),Inputs!$F$10)</f>
        <v>1000000000000</v>
      </c>
      <c r="CX20" s="19" t="n">
        <f aca="false">IF(AND(Time!CX30=1,CX9&gt;0),Inputs!CX275/(Inputs!$F$92*CX9),Inputs!$F$10)</f>
        <v>1000000000000</v>
      </c>
      <c r="CY20" s="19" t="n">
        <f aca="false">IF(AND(Time!CY30=1,CY9&gt;0),Inputs!CY275/(Inputs!$F$92*CY9),Inputs!$F$10)</f>
        <v>1000000000000</v>
      </c>
      <c r="CZ20" s="19" t="n">
        <f aca="false">IF(AND(Time!CZ30=1,CZ9&gt;0),Inputs!CZ275/(Inputs!$F$92*CZ9),Inputs!$F$10)</f>
        <v>1000000000000</v>
      </c>
      <c r="DA20" s="19" t="n">
        <f aca="false">IF(AND(Time!DA30=1,DA9&gt;0),Inputs!DA275/(Inputs!$F$92*DA9),Inputs!$F$10)</f>
        <v>1000000000000</v>
      </c>
      <c r="DB20" s="19" t="n">
        <f aca="false">IF(AND(Time!DB30=1,DB9&gt;0),Inputs!DB275/(Inputs!$F$92*DB9),Inputs!$F$10)</f>
        <v>1000000000000</v>
      </c>
    </row>
    <row r="21" customFormat="false" ht="15" hidden="false" customHeight="false" outlineLevel="0" collapsed="false">
      <c r="D21" s="0" t="s">
        <v>488</v>
      </c>
      <c r="E21" s="0" t="s">
        <v>44</v>
      </c>
      <c r="F21" s="19" t="n">
        <f aca="false">MIN($J$20:$DB$20)</f>
        <v>888.955028645724</v>
      </c>
    </row>
    <row r="22" customFormat="false" ht="15" hidden="false" customHeight="false" outlineLevel="0" collapsed="false">
      <c r="D22" s="0" t="s">
        <v>489</v>
      </c>
      <c r="E22" s="0" t="s">
        <v>44</v>
      </c>
      <c r="F22" s="19" t="n">
        <f aca="false">MIN($F$15,$F$16,$F$17,$F$19,$F$21)</f>
        <v>888.955028645724</v>
      </c>
    </row>
    <row r="23" customFormat="false" ht="15" hidden="false" customHeight="false" outlineLevel="0" collapsed="false">
      <c r="D23" s="0" t="s">
        <v>490</v>
      </c>
      <c r="E23" s="0" t="s">
        <v>39</v>
      </c>
      <c r="F23" s="14" t="n">
        <f aca="false">IF($F$22=$F$15,1,IF($F$22=$F$16,2,IF($F$22=$F$17,3,IF($F$22=$F$19,4,5))))</f>
        <v>5</v>
      </c>
    </row>
    <row r="24" customFormat="false" ht="15" hidden="false" customHeight="false" outlineLevel="0" collapsed="false">
      <c r="D24" s="0" t="s">
        <v>491</v>
      </c>
      <c r="E24" s="0" t="s">
        <v>42</v>
      </c>
      <c r="F24" s="14" t="n">
        <f aca="false">IF(AND(Inputs!$F$8=1,Inputs!$F$225=1),1,0)</f>
        <v>0</v>
      </c>
    </row>
    <row r="25" customFormat="false" ht="15" hidden="false" customHeight="false" outlineLevel="0" collapsed="false">
      <c r="D25" s="0" t="s">
        <v>492</v>
      </c>
      <c r="E25" s="0" t="s">
        <v>42</v>
      </c>
      <c r="F25" s="14" t="n">
        <f aca="false">IF(AND(Inputs!$F$8=1,Inputs!$F$226=1),1,0)</f>
        <v>0</v>
      </c>
    </row>
    <row r="26" customFormat="false" ht="15" hidden="false" customHeight="false" outlineLevel="0" collapsed="false">
      <c r="D26" s="0" t="s">
        <v>493</v>
      </c>
      <c r="E26" s="0" t="s">
        <v>44</v>
      </c>
      <c r="F26" s="30" t="n">
        <f aca="false">IF($F$24=1,$F$22,Inputs!$F$269)</f>
        <v>882.130169013</v>
      </c>
    </row>
    <row r="27" customFormat="false" ht="15" hidden="false" customHeight="false" outlineLevel="0" collapsed="false">
      <c r="D27" s="0" t="s">
        <v>494</v>
      </c>
      <c r="E27" s="0" t="s">
        <v>44</v>
      </c>
      <c r="F27" s="19" t="n">
        <f aca="false">MIN(Funding!$F$25-Inputs!$F$87*Funding!$F$25-$F$22,Inputs!$F$120*Funding!$F$24)</f>
        <v>457.309456483508</v>
      </c>
    </row>
    <row r="28" customFormat="false" ht="15" hidden="false" customHeight="false" outlineLevel="0" collapsed="false">
      <c r="D28" s="0" t="s">
        <v>495</v>
      </c>
      <c r="E28" s="0" t="s">
        <v>44</v>
      </c>
      <c r="F28" s="30" t="n">
        <f aca="false">IF($F$24=1,$F$27,Inputs!$F$270)</f>
        <v>464.134316116232</v>
      </c>
    </row>
    <row r="29" customFormat="false" ht="15" hidden="false" customHeight="false" outlineLevel="0" collapsed="false">
      <c r="D29" s="0" t="s">
        <v>496</v>
      </c>
      <c r="E29" s="0" t="s">
        <v>44</v>
      </c>
      <c r="F29" s="30" t="n">
        <f aca="false">IF($F$24=1,Funding!$F$25-$F$26-$F$28,Inputs!$F$271)</f>
        <v>379.715624010809</v>
      </c>
    </row>
    <row r="30" customFormat="false" ht="15" hidden="false" customHeight="false" outlineLevel="0" collapsed="false">
      <c r="D30" s="3" t="s">
        <v>497</v>
      </c>
    </row>
    <row r="31" customFormat="false" ht="15" hidden="false" customHeight="false" outlineLevel="0" collapsed="false">
      <c r="D31" s="0" t="s">
        <v>498</v>
      </c>
      <c r="E31" s="0" t="s">
        <v>44</v>
      </c>
      <c r="J31" s="19" t="n">
        <f aca="false">IF(Time!J21=1,$F$26,I36)</f>
        <v>0</v>
      </c>
      <c r="K31" s="19" t="n">
        <f aca="false">IF(Time!K21=1,$F$26,J36)</f>
        <v>0</v>
      </c>
      <c r="L31" s="19" t="n">
        <f aca="false">IF(Time!L21=1,$F$26,K36)</f>
        <v>0</v>
      </c>
      <c r="M31" s="19" t="n">
        <f aca="false">IF(Time!M21=1,$F$26,L36)</f>
        <v>0</v>
      </c>
      <c r="N31" s="19" t="n">
        <f aca="false">IF(Time!N21=1,$F$26,M36)</f>
        <v>0</v>
      </c>
      <c r="O31" s="19" t="n">
        <f aca="false">IF(Time!O21=1,$F$26,N36)</f>
        <v>0</v>
      </c>
      <c r="P31" s="19" t="n">
        <f aca="false">IF(Time!P21=1,$F$26,O36)</f>
        <v>0</v>
      </c>
      <c r="Q31" s="19" t="n">
        <f aca="false">IF(Time!Q21=1,$F$26,P36)</f>
        <v>0</v>
      </c>
      <c r="R31" s="19" t="n">
        <f aca="false">IF(Time!R21=1,$F$26,Q36)</f>
        <v>0</v>
      </c>
      <c r="S31" s="19" t="n">
        <f aca="false">IF(Time!S21=1,$F$26,R36)</f>
        <v>0</v>
      </c>
      <c r="T31" s="19" t="n">
        <f aca="false">IF(Time!T21=1,$F$26,S36)</f>
        <v>0</v>
      </c>
      <c r="U31" s="19" t="n">
        <f aca="false">IF(Time!U21=1,$F$26,T36)</f>
        <v>0</v>
      </c>
      <c r="V31" s="19" t="n">
        <f aca="false">IF(Time!V21=1,$F$26,U36)</f>
        <v>0</v>
      </c>
      <c r="W31" s="19" t="n">
        <f aca="false">IF(Time!W21=1,$F$26,V36)</f>
        <v>0</v>
      </c>
      <c r="X31" s="19" t="n">
        <f aca="false">IF(Time!X21=1,$F$26,W36)</f>
        <v>0</v>
      </c>
      <c r="Y31" s="19" t="n">
        <f aca="false">IF(Time!Y21=1,$F$26,X36)</f>
        <v>0</v>
      </c>
      <c r="Z31" s="19" t="n">
        <f aca="false">IF(Time!Z21=1,$F$26,Y36)</f>
        <v>882.130169013</v>
      </c>
      <c r="AA31" s="19" t="n">
        <f aca="false">IF(Time!AA21=1,$F$26,Z36)</f>
        <v>882.130169013</v>
      </c>
      <c r="AB31" s="19" t="n">
        <f aca="false">IF(Time!AB21=1,$F$26,AA36)</f>
        <v>882.130169013</v>
      </c>
      <c r="AC31" s="19" t="n">
        <f aca="false">IF(Time!AC21=1,$F$26,AB36)</f>
        <v>882.130169013</v>
      </c>
      <c r="AD31" s="19" t="n">
        <f aca="false">IF(Time!AD21=1,$F$26,AC36)</f>
        <v>882.130169013</v>
      </c>
      <c r="AE31" s="19" t="n">
        <f aca="false">IF(Time!AE21=1,$F$26,AD36)</f>
        <v>878.196914058351</v>
      </c>
      <c r="AF31" s="19" t="n">
        <f aca="false">IF(Time!AF21=1,$F$26,AE36)</f>
        <v>872.850632819979</v>
      </c>
      <c r="AG31" s="19" t="n">
        <f aca="false">IF(Time!AG21=1,$F$26,AF36)</f>
        <v>865.000021449532</v>
      </c>
      <c r="AH31" s="19" t="n">
        <f aca="false">IF(Time!AH21=1,$F$26,AG36)</f>
        <v>854.96349323103</v>
      </c>
      <c r="AI31" s="19" t="n">
        <f aca="false">IF(Time!AI21=1,$F$26,AH36)</f>
        <v>843.842214364179</v>
      </c>
      <c r="AJ31" s="19" t="n">
        <f aca="false">IF(Time!AJ21=1,$F$26,AI36)</f>
        <v>833.157646083332</v>
      </c>
      <c r="AK31" s="19" t="n">
        <f aca="false">IF(Time!AK21=1,$F$26,AJ36)</f>
        <v>821.197860173081</v>
      </c>
      <c r="AL31" s="19" t="n">
        <f aca="false">IF(Time!AL21=1,$F$26,AK36)</f>
        <v>807.524267497971</v>
      </c>
      <c r="AM31" s="19" t="n">
        <f aca="false">IF(Time!AM21=1,$F$26,AL36)</f>
        <v>792.597741808758</v>
      </c>
      <c r="AN31" s="19" t="n">
        <f aca="false">IF(Time!AN21=1,$F$26,AM36)</f>
        <v>775.630695621974</v>
      </c>
      <c r="AO31" s="19" t="n">
        <f aca="false">IF(Time!AO21=1,$F$26,AN36)</f>
        <v>757.286572372105</v>
      </c>
      <c r="AP31" s="19" t="n">
        <f aca="false">IF(Time!AP21=1,$F$26,AO36)</f>
        <v>734.552309519228</v>
      </c>
      <c r="AQ31" s="19" t="n">
        <f aca="false">IF(Time!AQ21=1,$F$26,AP36)</f>
        <v>710.251085597065</v>
      </c>
      <c r="AR31" s="19" t="n">
        <f aca="false">IF(Time!AR21=1,$F$26,AQ36)</f>
        <v>690.276870665793</v>
      </c>
      <c r="AS31" s="19" t="n">
        <f aca="false">IF(Time!AS21=1,$F$26,AR36)</f>
        <v>668.56030098693</v>
      </c>
      <c r="AT31" s="19" t="n">
        <f aca="false">IF(Time!AT21=1,$F$26,AS36)</f>
        <v>644.435481651214</v>
      </c>
      <c r="AU31" s="19" t="n">
        <f aca="false">IF(Time!AU21=1,$F$26,AT36)</f>
        <v>618.622323082619</v>
      </c>
      <c r="AV31" s="19" t="n">
        <f aca="false">IF(Time!AV21=1,$F$26,AU36)</f>
        <v>589.945703848414</v>
      </c>
      <c r="AW31" s="19" t="n">
        <f aca="false">IF(Time!AW21=1,$F$26,AV36)</f>
        <v>559.416780682895</v>
      </c>
      <c r="AX31" s="19" t="n">
        <f aca="false">IF(Time!AX21=1,$F$26,AW36)</f>
        <v>524.425186083419</v>
      </c>
      <c r="AY31" s="19" t="n">
        <f aca="false">IF(Time!AY21=1,$F$26,AX36)</f>
        <v>488.024413439124</v>
      </c>
      <c r="AZ31" s="19" t="n">
        <f aca="false">IF(Time!AZ21=1,$F$26,AY36)</f>
        <v>450.83846856048</v>
      </c>
      <c r="BA31" s="19" t="n">
        <f aca="false">IF(Time!BA21=1,$F$26,AZ36)</f>
        <v>411.888385160339</v>
      </c>
      <c r="BB31" s="19" t="n">
        <f aca="false">IF(Time!BB21=1,$F$26,BA36)</f>
        <v>369.634499709288</v>
      </c>
      <c r="BC31" s="19" t="n">
        <f aca="false">IF(Time!BC21=1,$F$26,BB36)</f>
        <v>325.772987729976</v>
      </c>
      <c r="BD31" s="19" t="n">
        <f aca="false">IF(Time!BD21=1,$F$26,BC36)</f>
        <v>272.51933667795</v>
      </c>
      <c r="BE31" s="19" t="n">
        <f aca="false">IF(Time!BE21=1,$F$26,BD36)</f>
        <v>217.368742145661</v>
      </c>
      <c r="BF31" s="19" t="n">
        <f aca="false">IF(Time!BF21=1,$F$26,BE36)</f>
        <v>155.269566284316</v>
      </c>
      <c r="BG31" s="19" t="n">
        <f aca="false">IF(Time!BG21=1,$F$26,BF36)</f>
        <v>91.0419084826269</v>
      </c>
      <c r="BH31" s="19" t="n">
        <f aca="false">IF(Time!BH21=1,$F$26,BG36)</f>
        <v>22.0846231661949</v>
      </c>
      <c r="BI31" s="19" t="n">
        <f aca="false">IF(Time!BI21=1,$F$26,BH36)</f>
        <v>-49.5746772439335</v>
      </c>
      <c r="BJ31" s="19" t="n">
        <f aca="false">IF(Time!BJ21=1,$F$26,BI36)</f>
        <v>-125.967271284283</v>
      </c>
      <c r="BK31" s="19" t="n">
        <f aca="false">IF(Time!BK21=1,$F$26,BJ36)</f>
        <v>-204.856278771723</v>
      </c>
      <c r="BL31" s="19" t="n">
        <f aca="false">IF(Time!BL21=1,$F$26,BK36)</f>
        <v>-289.272141446469</v>
      </c>
      <c r="BM31" s="19" t="n">
        <f aca="false">IF(Time!BM21=1,$F$26,BL36)</f>
        <v>-376.388158647666</v>
      </c>
      <c r="BN31" s="19" t="n">
        <f aca="false">IF(Time!BN21=1,$F$26,BM36)</f>
        <v>-469.433808019464</v>
      </c>
      <c r="BO31" s="19" t="n">
        <f aca="false">IF(Time!BO21=1,$F$26,BN36)</f>
        <v>-565.394467207372</v>
      </c>
      <c r="BP31" s="19" t="n">
        <f aca="false">IF(Time!BP21=1,$F$26,BO36)</f>
        <v>-655.345020650409</v>
      </c>
      <c r="BQ31" s="19" t="n">
        <f aca="false">IF(Time!BQ21=1,$F$26,BP36)</f>
        <v>-748.65200627248</v>
      </c>
      <c r="BR31" s="19" t="n">
        <f aca="false">IF(Time!BR21=1,$F$26,BQ36)</f>
        <v>-836.636789542437</v>
      </c>
      <c r="BS31" s="19" t="n">
        <f aca="false">IF(Time!BS21=1,$F$26,BR36)</f>
        <v>-920.127708678279</v>
      </c>
      <c r="BT31" s="19" t="n">
        <f aca="false">IF(Time!BT21=1,$F$26,BS36)</f>
        <v>-1008.75060922441</v>
      </c>
      <c r="BU31" s="19" t="n">
        <f aca="false">IF(Time!BU21=1,$F$26,BT36)</f>
        <v>-1098.93353474803</v>
      </c>
      <c r="BV31" s="19" t="n">
        <f aca="false">IF(Time!BV21=1,$F$26,BU36)</f>
        <v>-1227.19115646001</v>
      </c>
      <c r="BW31" s="19" t="n">
        <f aca="false">IF(Time!BW21=1,$F$26,BV36)</f>
        <v>-1339.77960706081</v>
      </c>
      <c r="BX31" s="19" t="n">
        <f aca="false">IF(Time!BX21=1,$F$26,BW36)</f>
        <v>-1456.40047027806</v>
      </c>
      <c r="BY31" s="19" t="n">
        <f aca="false">IF(Time!BY21=1,$F$26,BX36)</f>
        <v>-1575.66883875032</v>
      </c>
      <c r="BZ31" s="19" t="n">
        <f aca="false">IF(Time!BZ21=1,$F$26,BY36)</f>
        <v>-1700.82092647923</v>
      </c>
      <c r="CA31" s="19" t="n">
        <f aca="false">IF(Time!CA21=1,$F$26,BZ36)</f>
        <v>-1828.22161249899</v>
      </c>
      <c r="CB31" s="19" t="n">
        <f aca="false">IF(Time!CB21=1,$F$26,CA36)</f>
        <v>-1954.39968426897</v>
      </c>
      <c r="CC31" s="19" t="n">
        <f aca="false">IF(Time!CC21=1,$F$26,CB36)</f>
        <v>-2082.79741973892</v>
      </c>
      <c r="CD31" s="19" t="n">
        <f aca="false">IF(Time!CD21=1,$F$26,CC36)</f>
        <v>-2218.18042129153</v>
      </c>
      <c r="CE31" s="19" t="n">
        <f aca="false">IF(Time!CE21=1,$F$26,CD36)</f>
        <v>-2355.93766332632</v>
      </c>
      <c r="CF31" s="19" t="n">
        <f aca="false">IF(Time!CF21=1,$F$26,CE36)</f>
        <v>-2497.20095975579</v>
      </c>
      <c r="CG31" s="19" t="n">
        <f aca="false">IF(Time!CG21=1,$F$26,CF36)</f>
        <v>-2641.58905695291</v>
      </c>
      <c r="CH31" s="19" t="n">
        <f aca="false">IF(Time!CH21=1,$F$26,CG36)</f>
        <v>-2809.07042740691</v>
      </c>
      <c r="CI31" s="19" t="n">
        <f aca="false">IF(Time!CI21=1,$F$26,CH36)</f>
        <v>-2809.07042740691</v>
      </c>
      <c r="CJ31" s="19" t="n">
        <f aca="false">IF(Time!CJ21=1,$F$26,CI36)</f>
        <v>-2809.07042740691</v>
      </c>
      <c r="CK31" s="19" t="n">
        <f aca="false">IF(Time!CK21=1,$F$26,CJ36)</f>
        <v>-2809.07042740691</v>
      </c>
      <c r="CL31" s="19" t="n">
        <f aca="false">IF(Time!CL21=1,$F$26,CK36)</f>
        <v>-2809.07042740691</v>
      </c>
      <c r="CM31" s="19" t="n">
        <f aca="false">IF(Time!CM21=1,$F$26,CL36)</f>
        <v>-2809.07042740691</v>
      </c>
      <c r="CN31" s="19" t="n">
        <f aca="false">IF(Time!CN21=1,$F$26,CM36)</f>
        <v>-2809.07042740691</v>
      </c>
      <c r="CO31" s="19" t="n">
        <f aca="false">IF(Time!CO21=1,$F$26,CN36)</f>
        <v>-2809.07042740691</v>
      </c>
      <c r="CP31" s="19" t="n">
        <f aca="false">IF(Time!CP21=1,$F$26,CO36)</f>
        <v>-2809.07042740691</v>
      </c>
      <c r="CQ31" s="19" t="n">
        <f aca="false">IF(Time!CQ21=1,$F$26,CP36)</f>
        <v>-2809.07042740691</v>
      </c>
      <c r="CR31" s="19" t="n">
        <f aca="false">IF(Time!CR21=1,$F$26,CQ36)</f>
        <v>-2809.07042740691</v>
      </c>
      <c r="CS31" s="19" t="n">
        <f aca="false">IF(Time!CS21=1,$F$26,CR36)</f>
        <v>-2809.07042740691</v>
      </c>
      <c r="CT31" s="19" t="n">
        <f aca="false">IF(Time!CT21=1,$F$26,CS36)</f>
        <v>-2809.07042740691</v>
      </c>
      <c r="CU31" s="19" t="n">
        <f aca="false">IF(Time!CU21=1,$F$26,CT36)</f>
        <v>-2809.07042740691</v>
      </c>
      <c r="CV31" s="19" t="n">
        <f aca="false">IF(Time!CV21=1,$F$26,CU36)</f>
        <v>-2809.07042740691</v>
      </c>
      <c r="CW31" s="19" t="n">
        <f aca="false">IF(Time!CW21=1,$F$26,CV36)</f>
        <v>-2809.07042740691</v>
      </c>
      <c r="CX31" s="19" t="n">
        <f aca="false">IF(Time!CX21=1,$F$26,CW36)</f>
        <v>-2809.07042740691</v>
      </c>
      <c r="CY31" s="19" t="n">
        <f aca="false">IF(Time!CY21=1,$F$26,CX36)</f>
        <v>-2809.07042740691</v>
      </c>
      <c r="CZ31" s="19" t="n">
        <f aca="false">IF(Time!CZ21=1,$F$26,CY36)</f>
        <v>-2809.07042740691</v>
      </c>
      <c r="DA31" s="19" t="n">
        <f aca="false">IF(Time!DA21=1,$F$26,CZ36)</f>
        <v>-2809.07042740691</v>
      </c>
      <c r="DB31" s="19" t="n">
        <f aca="false">IF(Time!DB21=1,$F$26,DA36)</f>
        <v>-2809.07042740691</v>
      </c>
    </row>
    <row r="32" customFormat="false" ht="15" hidden="false" customHeight="false" outlineLevel="0" collapsed="false">
      <c r="D32" s="0" t="s">
        <v>499</v>
      </c>
      <c r="E32" s="0" t="s">
        <v>44</v>
      </c>
      <c r="G32" s="19" t="n">
        <f aca="false">SUM(J32:DB32)</f>
        <v>-1774.2945014366</v>
      </c>
      <c r="J32" s="19" t="n">
        <f aca="false">J31*J9</f>
        <v>0</v>
      </c>
      <c r="K32" s="19" t="n">
        <f aca="false">K31*K9</f>
        <v>0</v>
      </c>
      <c r="L32" s="19" t="n">
        <f aca="false">L31*L9</f>
        <v>0</v>
      </c>
      <c r="M32" s="19" t="n">
        <f aca="false">M31*M9</f>
        <v>0</v>
      </c>
      <c r="N32" s="19" t="n">
        <f aca="false">N31*N9</f>
        <v>0</v>
      </c>
      <c r="O32" s="19" t="n">
        <f aca="false">O31*O9</f>
        <v>0</v>
      </c>
      <c r="P32" s="19" t="n">
        <f aca="false">P31*P9</f>
        <v>0</v>
      </c>
      <c r="Q32" s="19" t="n">
        <f aca="false">Q31*Q9</f>
        <v>0</v>
      </c>
      <c r="R32" s="19" t="n">
        <f aca="false">R31*R9</f>
        <v>0</v>
      </c>
      <c r="S32" s="19" t="n">
        <f aca="false">S31*S9</f>
        <v>0</v>
      </c>
      <c r="T32" s="19" t="n">
        <f aca="false">T31*T9</f>
        <v>0</v>
      </c>
      <c r="U32" s="19" t="n">
        <f aca="false">U31*U9</f>
        <v>0</v>
      </c>
      <c r="V32" s="19" t="n">
        <f aca="false">V31*V9</f>
        <v>0</v>
      </c>
      <c r="W32" s="19" t="n">
        <f aca="false">W31*W9</f>
        <v>0</v>
      </c>
      <c r="X32" s="19" t="n">
        <f aca="false">X31*X9</f>
        <v>0</v>
      </c>
      <c r="Y32" s="19" t="n">
        <f aca="false">Y31*Y9</f>
        <v>0</v>
      </c>
      <c r="Z32" s="19" t="n">
        <f aca="false">Z31*Z9</f>
        <v>11.6525256565208</v>
      </c>
      <c r="AA32" s="19" t="n">
        <f aca="false">AA31*AA9</f>
        <v>23.4318605458309</v>
      </c>
      <c r="AB32" s="19" t="n">
        <f aca="false">AB31*AB9</f>
        <v>23.3974937211642</v>
      </c>
      <c r="AC32" s="19" t="n">
        <f aca="false">AC31*AC9</f>
        <v>23.9321371074356</v>
      </c>
      <c r="AD32" s="19" t="n">
        <f aca="false">AD31*AD9</f>
        <v>23.7337665751819</v>
      </c>
      <c r="AE32" s="19" t="n">
        <f aca="false">AE31*AE9</f>
        <v>23.8254281429769</v>
      </c>
      <c r="AF32" s="19" t="n">
        <f aca="false">AF31*AF9</f>
        <v>23.3560421328756</v>
      </c>
      <c r="AG32" s="19" t="n">
        <f aca="false">AG31*AG9</f>
        <v>22.7806109416065</v>
      </c>
      <c r="AH32" s="19" t="n">
        <f aca="false">AH31*AH9</f>
        <v>22.3350955767391</v>
      </c>
      <c r="AI32" s="19" t="n">
        <f aca="false">AI31*AI9</f>
        <v>22.2233996587891</v>
      </c>
      <c r="AJ32" s="19" t="n">
        <f aca="false">AJ31*AJ9</f>
        <v>21.8242963308696</v>
      </c>
      <c r="AK32" s="19" t="n">
        <f aca="false">AK31*AK9</f>
        <v>21.6270387223039</v>
      </c>
      <c r="AL32" s="19" t="n">
        <f aca="false">AL31*AL9</f>
        <v>21.0957916190577</v>
      </c>
      <c r="AM32" s="19" t="n">
        <f aca="false">AM31*AM9</f>
        <v>20.8738269845172</v>
      </c>
      <c r="AN32" s="19" t="n">
        <f aca="false">AN31*AN9</f>
        <v>20.2626028551235</v>
      </c>
      <c r="AO32" s="19" t="n">
        <f aca="false">AO31*AO9</f>
        <v>19.9438732355201</v>
      </c>
      <c r="AP32" s="19" t="n">
        <f aca="false">AP31*AP9</f>
        <v>19.1894696897813</v>
      </c>
      <c r="AQ32" s="19" t="n">
        <f aca="false">AQ31*AQ9</f>
        <v>18.705148266617</v>
      </c>
      <c r="AR32" s="19" t="n">
        <f aca="false">AR31*AR9</f>
        <v>18.0815804146732</v>
      </c>
      <c r="AS32" s="19" t="n">
        <f aca="false">AS31*AS9</f>
        <v>17.6071811908911</v>
      </c>
      <c r="AT32" s="19" t="n">
        <f aca="false">AT31*AT9</f>
        <v>16.8352545923646</v>
      </c>
      <c r="AU32" s="19" t="n">
        <f aca="false">AU31*AU9</f>
        <v>16.2920163150079</v>
      </c>
      <c r="AV32" s="19" t="n">
        <f aca="false">AV31*AV9</f>
        <v>15.411761770956</v>
      </c>
      <c r="AW32" s="19" t="n">
        <f aca="false">AW31*AW9</f>
        <v>14.7327811779558</v>
      </c>
      <c r="AX32" s="19" t="n">
        <f aca="false">AX31*AX9</f>
        <v>13.7001015210099</v>
      </c>
      <c r="AY32" s="19" t="n">
        <f aca="false">AY31*AY9</f>
        <v>12.8525942391679</v>
      </c>
      <c r="AZ32" s="19" t="n">
        <f aca="false">AZ31*AZ9</f>
        <v>11.8095685510101</v>
      </c>
      <c r="BA32" s="19" t="n">
        <f aca="false">BA31*BA9</f>
        <v>10.8474784058161</v>
      </c>
      <c r="BB32" s="19" t="n">
        <f aca="false">BB31*BB9</f>
        <v>9.65634432912117</v>
      </c>
      <c r="BC32" s="19" t="n">
        <f aca="false">BC31*BC9</f>
        <v>8.57954624824747</v>
      </c>
      <c r="BD32" s="19" t="n">
        <f aca="false">BD31*BD9</f>
        <v>7.11930448422876</v>
      </c>
      <c r="BE32" s="19" t="n">
        <f aca="false">BE31*BE9</f>
        <v>5.72461574901311</v>
      </c>
      <c r="BF32" s="19" t="n">
        <f aca="false">BF31*BF9</f>
        <v>4.05626746706238</v>
      </c>
      <c r="BG32" s="19" t="n">
        <f aca="false">BG31*BG9</f>
        <v>2.40180714284125</v>
      </c>
      <c r="BH32" s="19" t="n">
        <f aca="false">BH31*BH9</f>
        <v>0.579490679685709</v>
      </c>
      <c r="BI32" s="19" t="n">
        <f aca="false">BI31*BI9</f>
        <v>-1.30784619844882</v>
      </c>
      <c r="BJ32" s="19" t="n">
        <f aca="false">BJ31*BJ9</f>
        <v>-3.29639524555147</v>
      </c>
      <c r="BK32" s="19" t="n">
        <f aca="false">BK31*BK9</f>
        <v>-5.40438224341148</v>
      </c>
      <c r="BL32" s="19" t="n">
        <f aca="false">BL31*BL9</f>
        <v>-7.56986558502681</v>
      </c>
      <c r="BM32" s="19" t="n">
        <f aca="false">BM31*BM9</f>
        <v>-9.92962233533732</v>
      </c>
      <c r="BN32" s="19" t="n">
        <f aca="false">BN31*BN9</f>
        <v>-12.2844557723587</v>
      </c>
      <c r="BO32" s="19" t="n">
        <f aca="false">BO31*BO9</f>
        <v>-14.915861195075</v>
      </c>
      <c r="BP32" s="19" t="n">
        <f aca="false">BP31*BP9</f>
        <v>-17.1959615786726</v>
      </c>
      <c r="BQ32" s="19" t="n">
        <f aca="false">BQ31*BQ9</f>
        <v>-19.7504398373942</v>
      </c>
      <c r="BR32" s="19" t="n">
        <f aca="false">BR31*BR9</f>
        <v>-21.8936673564765</v>
      </c>
      <c r="BS32" s="19" t="n">
        <f aca="false">BS31*BS9</f>
        <v>-24.2741978926261</v>
      </c>
      <c r="BT32" s="19" t="n">
        <f aca="false">BT31*BT9</f>
        <v>-26.3976561395069</v>
      </c>
      <c r="BU32" s="19" t="n">
        <f aca="false">BU31*BU9</f>
        <v>-28.9913344003467</v>
      </c>
      <c r="BV32" s="19" t="n">
        <f aca="false">BV31*BV9</f>
        <v>-32.1139535078769</v>
      </c>
      <c r="BW32" s="19" t="n">
        <f aca="false">BW31*BW9</f>
        <v>-35.3451754659311</v>
      </c>
      <c r="BX32" s="19" t="n">
        <f aca="false">BX31*BX9</f>
        <v>-38.2152999426266</v>
      </c>
      <c r="BY32" s="19" t="n">
        <f aca="false">BY31*BY9</f>
        <v>-41.568248455436</v>
      </c>
      <c r="BZ32" s="19" t="n">
        <f aca="false">BZ31*BZ9</f>
        <v>-44.5082120015733</v>
      </c>
      <c r="CA32" s="19" t="n">
        <f aca="false">CA31*CA9</f>
        <v>-48.230927940562</v>
      </c>
      <c r="CB32" s="19" t="n">
        <f aca="false">CB31*CB9</f>
        <v>-51.1440294089735</v>
      </c>
      <c r="CC32" s="19" t="n">
        <f aca="false">CC31*CC9</f>
        <v>-54.9469777511844</v>
      </c>
      <c r="CD32" s="19" t="n">
        <f aca="false">CD31*CD9</f>
        <v>-58.0468189869655</v>
      </c>
      <c r="CE32" s="19" t="n">
        <f aca="false">CE31*CE9</f>
        <v>-62.1527821876192</v>
      </c>
      <c r="CF32" s="19" t="n">
        <f aca="false">CF31*CF9</f>
        <v>-65.5254414164413</v>
      </c>
      <c r="CG32" s="19" t="n">
        <f aca="false">CG31*CG9</f>
        <v>-69.6886474721856</v>
      </c>
      <c r="CH32" s="19" t="n">
        <f aca="false">CH31*CH9</f>
        <v>-73.5096212445995</v>
      </c>
      <c r="CI32" s="19" t="n">
        <f aca="false">CI31*CI9</f>
        <v>-74.1070297156336</v>
      </c>
      <c r="CJ32" s="19" t="n">
        <f aca="false">CJ31*CJ9</f>
        <v>-73.5096212445995</v>
      </c>
      <c r="CK32" s="19" t="n">
        <f aca="false">CK31*CK9</f>
        <v>-74.1070297156336</v>
      </c>
      <c r="CL32" s="19" t="n">
        <f aca="false">CL31*CL9</f>
        <v>-73.5096212445995</v>
      </c>
      <c r="CM32" s="19" t="n">
        <f aca="false">CM31*CM9</f>
        <v>-74.1070297156336</v>
      </c>
      <c r="CN32" s="19" t="n">
        <f aca="false">CN31*CN9</f>
        <v>-73.7087574016109</v>
      </c>
      <c r="CO32" s="19" t="n">
        <f aca="false">CO31*CO9</f>
        <v>-74.1070297156336</v>
      </c>
      <c r="CP32" s="19" t="n">
        <f aca="false">CP31*CP9</f>
        <v>-73.5096212445995</v>
      </c>
      <c r="CQ32" s="19" t="n">
        <f aca="false">CQ31*CQ9</f>
        <v>-74.1070297156336</v>
      </c>
      <c r="CR32" s="19" t="n">
        <f aca="false">CR31*CR9</f>
        <v>-73.5096212445995</v>
      </c>
      <c r="CS32" s="19" t="n">
        <f aca="false">CS31*CS9</f>
        <v>-74.1070297156336</v>
      </c>
      <c r="CT32" s="19" t="n">
        <f aca="false">CT31*CT9</f>
        <v>-73.5096212445995</v>
      </c>
      <c r="CU32" s="19" t="n">
        <f aca="false">CU31*CU9</f>
        <v>-74.1070297156336</v>
      </c>
      <c r="CV32" s="19" t="n">
        <f aca="false">CV31*CV9</f>
        <v>-73.7087574016109</v>
      </c>
      <c r="CW32" s="19" t="n">
        <f aca="false">CW31*CW9</f>
        <v>-74.1070297156336</v>
      </c>
      <c r="CX32" s="19" t="n">
        <f aca="false">CX31*CX9</f>
        <v>-73.5096212445995</v>
      </c>
      <c r="CY32" s="19" t="n">
        <f aca="false">CY31*CY9</f>
        <v>-74.1070297156336</v>
      </c>
      <c r="CZ32" s="19" t="n">
        <f aca="false">CZ31*CZ9</f>
        <v>-73.5096212445995</v>
      </c>
      <c r="DA32" s="19" t="n">
        <f aca="false">DA31*DA9</f>
        <v>-74.1070297156336</v>
      </c>
      <c r="DB32" s="19" t="n">
        <f aca="false">DB31*DB9</f>
        <v>-73.5096212445995</v>
      </c>
    </row>
    <row r="33" customFormat="false" ht="15" hidden="false" customHeight="false" outlineLevel="0" collapsed="false">
      <c r="D33" s="0" t="s">
        <v>500</v>
      </c>
      <c r="E33" s="0" t="s">
        <v>42</v>
      </c>
      <c r="J33" s="14" t="n">
        <f aca="false">IF(AND(Time!J30=1,J32&gt;J13/$F$37),1,0)</f>
        <v>0</v>
      </c>
      <c r="K33" s="14" t="n">
        <f aca="false">IF(AND(Time!K30=1,K32&gt;K13/$F$37),1,0)</f>
        <v>0</v>
      </c>
      <c r="L33" s="14" t="n">
        <f aca="false">IF(AND(Time!L30=1,L32&gt;L13/$F$37),1,0)</f>
        <v>0</v>
      </c>
      <c r="M33" s="14" t="n">
        <f aca="false">IF(AND(Time!M30=1,M32&gt;M13/$F$37),1,0)</f>
        <v>0</v>
      </c>
      <c r="N33" s="14" t="n">
        <f aca="false">IF(AND(Time!N30=1,N32&gt;N13/$F$37),1,0)</f>
        <v>0</v>
      </c>
      <c r="O33" s="14" t="n">
        <f aca="false">IF(AND(Time!O30=1,O32&gt;O13/$F$37),1,0)</f>
        <v>0</v>
      </c>
      <c r="P33" s="14" t="n">
        <f aca="false">IF(AND(Time!P30=1,P32&gt;P13/$F$37),1,0)</f>
        <v>0</v>
      </c>
      <c r="Q33" s="14" t="n">
        <f aca="false">IF(AND(Time!Q30=1,Q32&gt;Q13/$F$37),1,0)</f>
        <v>0</v>
      </c>
      <c r="R33" s="14" t="n">
        <f aca="false">IF(AND(Time!R30=1,R32&gt;R13/$F$37),1,0)</f>
        <v>0</v>
      </c>
      <c r="S33" s="14" t="n">
        <f aca="false">IF(AND(Time!S30=1,S32&gt;S13/$F$37),1,0)</f>
        <v>0</v>
      </c>
      <c r="T33" s="14" t="n">
        <f aca="false">IF(AND(Time!T30=1,T32&gt;T13/$F$37),1,0)</f>
        <v>0</v>
      </c>
      <c r="U33" s="14" t="n">
        <f aca="false">IF(AND(Time!U30=1,U32&gt;U13/$F$37),1,0)</f>
        <v>0</v>
      </c>
      <c r="V33" s="14" t="n">
        <f aca="false">IF(AND(Time!V30=1,V32&gt;V13/$F$37),1,0)</f>
        <v>0</v>
      </c>
      <c r="W33" s="14" t="n">
        <f aca="false">IF(AND(Time!W30=1,W32&gt;W13/$F$37),1,0)</f>
        <v>0</v>
      </c>
      <c r="X33" s="14" t="n">
        <f aca="false">IF(AND(Time!X30=1,X32&gt;X13/$F$37),1,0)</f>
        <v>0</v>
      </c>
      <c r="Y33" s="14" t="n">
        <f aca="false">IF(AND(Time!Y30=1,Y32&gt;Y13/$F$37),1,0)</f>
        <v>0</v>
      </c>
      <c r="Z33" s="14" t="n">
        <f aca="false">IF(AND(Time!Z30=1,Z32&gt;Z13/$F$37),1,0)</f>
        <v>0</v>
      </c>
      <c r="AA33" s="14" t="n">
        <f aca="false">IF(AND(Time!AA30=1,AA32&gt;AA13/$F$37),1,0)</f>
        <v>0</v>
      </c>
      <c r="AB33" s="14" t="n">
        <f aca="false">IF(AND(Time!AB30=1,AB32&gt;AB13/$F$37),1,0)</f>
        <v>0</v>
      </c>
      <c r="AC33" s="14" t="n">
        <f aca="false">IF(AND(Time!AC30=1,AC32&gt;AC13/$F$37),1,0)</f>
        <v>0</v>
      </c>
      <c r="AD33" s="14" t="n">
        <f aca="false">IF(AND(Time!AD30=1,AD32&gt;AD13/$F$37),1,0)</f>
        <v>0</v>
      </c>
      <c r="AE33" s="14" t="n">
        <f aca="false">IF(AND(Time!AE30=1,AE32&gt;AE13/$F$37),1,0)</f>
        <v>0</v>
      </c>
      <c r="AF33" s="14" t="n">
        <f aca="false">IF(AND(Time!AF30=1,AF32&gt;AF13/$F$37),1,0)</f>
        <v>0</v>
      </c>
      <c r="AG33" s="14" t="n">
        <f aca="false">IF(AND(Time!AG30=1,AG32&gt;AG13/$F$37),1,0)</f>
        <v>0</v>
      </c>
      <c r="AH33" s="14" t="n">
        <f aca="false">IF(AND(Time!AH30=1,AH32&gt;AH13/$F$37),1,0)</f>
        <v>0</v>
      </c>
      <c r="AI33" s="14" t="n">
        <f aca="false">IF(AND(Time!AI30=1,AI32&gt;AI13/$F$37),1,0)</f>
        <v>0</v>
      </c>
      <c r="AJ33" s="14" t="n">
        <f aca="false">IF(AND(Time!AJ30=1,AJ32&gt;AJ13/$F$37),1,0)</f>
        <v>0</v>
      </c>
      <c r="AK33" s="14" t="n">
        <f aca="false">IF(AND(Time!AK30=1,AK32&gt;AK13/$F$37),1,0)</f>
        <v>0</v>
      </c>
      <c r="AL33" s="14" t="n">
        <f aca="false">IF(AND(Time!AL30=1,AL32&gt;AL13/$F$37),1,0)</f>
        <v>0</v>
      </c>
      <c r="AM33" s="14" t="n">
        <f aca="false">IF(AND(Time!AM30=1,AM32&gt;AM13/$F$37),1,0)</f>
        <v>0</v>
      </c>
      <c r="AN33" s="14" t="n">
        <f aca="false">IF(AND(Time!AN30=1,AN32&gt;AN13/$F$37),1,0)</f>
        <v>0</v>
      </c>
      <c r="AO33" s="14" t="n">
        <f aca="false">IF(AND(Time!AO30=1,AO32&gt;AO13/$F$37),1,0)</f>
        <v>0</v>
      </c>
      <c r="AP33" s="14" t="n">
        <f aca="false">IF(AND(Time!AP30=1,AP32&gt;AP13/$F$37),1,0)</f>
        <v>0</v>
      </c>
      <c r="AQ33" s="14" t="n">
        <f aca="false">IF(AND(Time!AQ30=1,AQ32&gt;AQ13/$F$37),1,0)</f>
        <v>0</v>
      </c>
      <c r="AR33" s="14" t="n">
        <f aca="false">IF(AND(Time!AR30=1,AR32&gt;AR13/$F$37),1,0)</f>
        <v>0</v>
      </c>
      <c r="AS33" s="14" t="n">
        <f aca="false">IF(AND(Time!AS30=1,AS32&gt;AS13/$F$37),1,0)</f>
        <v>0</v>
      </c>
      <c r="AT33" s="14" t="n">
        <f aca="false">IF(AND(Time!AT30=1,AT32&gt;AT13/$F$37),1,0)</f>
        <v>0</v>
      </c>
      <c r="AU33" s="14" t="n">
        <f aca="false">IF(AND(Time!AU30=1,AU32&gt;AU13/$F$37),1,0)</f>
        <v>0</v>
      </c>
      <c r="AV33" s="14" t="n">
        <f aca="false">IF(AND(Time!AV30=1,AV32&gt;AV13/$F$37),1,0)</f>
        <v>0</v>
      </c>
      <c r="AW33" s="14" t="n">
        <f aca="false">IF(AND(Time!AW30=1,AW32&gt;AW13/$F$37),1,0)</f>
        <v>0</v>
      </c>
      <c r="AX33" s="14" t="n">
        <f aca="false">IF(AND(Time!AX30=1,AX32&gt;AX13/$F$37),1,0)</f>
        <v>0</v>
      </c>
      <c r="AY33" s="14" t="n">
        <f aca="false">IF(AND(Time!AY30=1,AY32&gt;AY13/$F$37),1,0)</f>
        <v>0</v>
      </c>
      <c r="AZ33" s="14" t="n">
        <f aca="false">IF(AND(Time!AZ30=1,AZ32&gt;AZ13/$F$37),1,0)</f>
        <v>0</v>
      </c>
      <c r="BA33" s="14" t="n">
        <f aca="false">IF(AND(Time!BA30=1,BA32&gt;BA13/$F$37),1,0)</f>
        <v>0</v>
      </c>
      <c r="BB33" s="14" t="n">
        <f aca="false">IF(AND(Time!BB30=1,BB32&gt;BB13/$F$37),1,0)</f>
        <v>0</v>
      </c>
      <c r="BC33" s="14" t="n">
        <f aca="false">IF(AND(Time!BC30=1,BC32&gt;BC13/$F$37),1,0)</f>
        <v>0</v>
      </c>
      <c r="BD33" s="14" t="n">
        <f aca="false">IF(AND(Time!BD30=1,BD32&gt;BD13/$F$37),1,0)</f>
        <v>0</v>
      </c>
      <c r="BE33" s="14" t="n">
        <f aca="false">IF(AND(Time!BE30=1,BE32&gt;BE13/$F$37),1,0)</f>
        <v>0</v>
      </c>
      <c r="BF33" s="14" t="n">
        <f aca="false">IF(AND(Time!BF30=1,BF32&gt;BF13/$F$37),1,0)</f>
        <v>0</v>
      </c>
      <c r="BG33" s="14" t="n">
        <f aca="false">IF(AND(Time!BG30=1,BG32&gt;BG13/$F$37),1,0)</f>
        <v>0</v>
      </c>
      <c r="BH33" s="14" t="n">
        <f aca="false">IF(AND(Time!BH30=1,BH32&gt;BH13/$F$37),1,0)</f>
        <v>0</v>
      </c>
      <c r="BI33" s="14" t="n">
        <f aca="false">IF(AND(Time!BI30=1,BI32&gt;BI13/$F$37),1,0)</f>
        <v>0</v>
      </c>
      <c r="BJ33" s="14" t="n">
        <f aca="false">IF(AND(Time!BJ30=1,BJ32&gt;BJ13/$F$37),1,0)</f>
        <v>0</v>
      </c>
      <c r="BK33" s="14" t="n">
        <f aca="false">IF(AND(Time!BK30=1,BK32&gt;BK13/$F$37),1,0)</f>
        <v>0</v>
      </c>
      <c r="BL33" s="14" t="n">
        <f aca="false">IF(AND(Time!BL30=1,BL32&gt;BL13/$F$37),1,0)</f>
        <v>0</v>
      </c>
      <c r="BM33" s="14" t="n">
        <f aca="false">IF(AND(Time!BM30=1,BM32&gt;BM13/$F$37),1,0)</f>
        <v>0</v>
      </c>
      <c r="BN33" s="14" t="n">
        <f aca="false">IF(AND(Time!BN30=1,BN32&gt;BN13/$F$37),1,0)</f>
        <v>0</v>
      </c>
      <c r="BO33" s="14" t="n">
        <f aca="false">IF(AND(Time!BO30=1,BO32&gt;BO13/$F$37),1,0)</f>
        <v>0</v>
      </c>
      <c r="BP33" s="14" t="n">
        <f aca="false">IF(AND(Time!BP30=1,BP32&gt;BP13/$F$37),1,0)</f>
        <v>0</v>
      </c>
      <c r="BQ33" s="14" t="n">
        <f aca="false">IF(AND(Time!BQ30=1,BQ32&gt;BQ13/$F$37),1,0)</f>
        <v>0</v>
      </c>
      <c r="BR33" s="14" t="n">
        <f aca="false">IF(AND(Time!BR30=1,BR32&gt;BR13/$F$37),1,0)</f>
        <v>0</v>
      </c>
      <c r="BS33" s="14" t="n">
        <f aca="false">IF(AND(Time!BS30=1,BS32&gt;BS13/$F$37),1,0)</f>
        <v>0</v>
      </c>
      <c r="BT33" s="14" t="n">
        <f aca="false">IF(AND(Time!BT30=1,BT32&gt;BT13/$F$37),1,0)</f>
        <v>0</v>
      </c>
      <c r="BU33" s="14" t="n">
        <f aca="false">IF(AND(Time!BU30=1,BU32&gt;BU13/$F$37),1,0)</f>
        <v>0</v>
      </c>
      <c r="BV33" s="14" t="n">
        <f aca="false">IF(AND(Time!BV30=1,BV32&gt;BV13/$F$37),1,0)</f>
        <v>0</v>
      </c>
      <c r="BW33" s="14" t="n">
        <f aca="false">IF(AND(Time!BW30=1,BW32&gt;BW13/$F$37),1,0)</f>
        <v>0</v>
      </c>
      <c r="BX33" s="14" t="n">
        <f aca="false">IF(AND(Time!BX30=1,BX32&gt;BX13/$F$37),1,0)</f>
        <v>0</v>
      </c>
      <c r="BY33" s="14" t="n">
        <f aca="false">IF(AND(Time!BY30=1,BY32&gt;BY13/$F$37),1,0)</f>
        <v>0</v>
      </c>
      <c r="BZ33" s="14" t="n">
        <f aca="false">IF(AND(Time!BZ30=1,BZ32&gt;BZ13/$F$37),1,0)</f>
        <v>0</v>
      </c>
      <c r="CA33" s="14" t="n">
        <f aca="false">IF(AND(Time!CA30=1,CA32&gt;CA13/$F$37),1,0)</f>
        <v>0</v>
      </c>
      <c r="CB33" s="14" t="n">
        <f aca="false">IF(AND(Time!CB30=1,CB32&gt;CB13/$F$37),1,0)</f>
        <v>0</v>
      </c>
      <c r="CC33" s="14" t="n">
        <f aca="false">IF(AND(Time!CC30=1,CC32&gt;CC13/$F$37),1,0)</f>
        <v>0</v>
      </c>
      <c r="CD33" s="14" t="n">
        <f aca="false">IF(AND(Time!CD30=1,CD32&gt;CD13/$F$37),1,0)</f>
        <v>0</v>
      </c>
      <c r="CE33" s="14" t="n">
        <f aca="false">IF(AND(Time!CE30=1,CE32&gt;CE13/$F$37),1,0)</f>
        <v>0</v>
      </c>
      <c r="CF33" s="14" t="n">
        <f aca="false">IF(AND(Time!CF30=1,CF32&gt;CF13/$F$37),1,0)</f>
        <v>0</v>
      </c>
      <c r="CG33" s="14" t="n">
        <f aca="false">IF(AND(Time!CG30=1,CG32&gt;CG13/$F$37),1,0)</f>
        <v>0</v>
      </c>
      <c r="CH33" s="14" t="n">
        <f aca="false">IF(AND(Time!CH30=1,CH32&gt;CH13/$F$37),1,0)</f>
        <v>0</v>
      </c>
      <c r="CI33" s="14" t="n">
        <f aca="false">IF(AND(Time!CI30=1,CI32&gt;CI13/$F$37),1,0)</f>
        <v>0</v>
      </c>
      <c r="CJ33" s="14" t="n">
        <f aca="false">IF(AND(Time!CJ30=1,CJ32&gt;CJ13/$F$37),1,0)</f>
        <v>0</v>
      </c>
      <c r="CK33" s="14" t="n">
        <f aca="false">IF(AND(Time!CK30=1,CK32&gt;CK13/$F$37),1,0)</f>
        <v>0</v>
      </c>
      <c r="CL33" s="14" t="n">
        <f aca="false">IF(AND(Time!CL30=1,CL32&gt;CL13/$F$37),1,0)</f>
        <v>0</v>
      </c>
      <c r="CM33" s="14" t="n">
        <f aca="false">IF(AND(Time!CM30=1,CM32&gt;CM13/$F$37),1,0)</f>
        <v>0</v>
      </c>
      <c r="CN33" s="14" t="n">
        <f aca="false">IF(AND(Time!CN30=1,CN32&gt;CN13/$F$37),1,0)</f>
        <v>0</v>
      </c>
      <c r="CO33" s="14" t="n">
        <f aca="false">IF(AND(Time!CO30=1,CO32&gt;CO13/$F$37),1,0)</f>
        <v>0</v>
      </c>
      <c r="CP33" s="14" t="n">
        <f aca="false">IF(AND(Time!CP30=1,CP32&gt;CP13/$F$37),1,0)</f>
        <v>0</v>
      </c>
      <c r="CQ33" s="14" t="n">
        <f aca="false">IF(AND(Time!CQ30=1,CQ32&gt;CQ13/$F$37),1,0)</f>
        <v>0</v>
      </c>
      <c r="CR33" s="14" t="n">
        <f aca="false">IF(AND(Time!CR30=1,CR32&gt;CR13/$F$37),1,0)</f>
        <v>0</v>
      </c>
      <c r="CS33" s="14" t="n">
        <f aca="false">IF(AND(Time!CS30=1,CS32&gt;CS13/$F$37),1,0)</f>
        <v>0</v>
      </c>
      <c r="CT33" s="14" t="n">
        <f aca="false">IF(AND(Time!CT30=1,CT32&gt;CT13/$F$37),1,0)</f>
        <v>0</v>
      </c>
      <c r="CU33" s="14" t="n">
        <f aca="false">IF(AND(Time!CU30=1,CU32&gt;CU13/$F$37),1,0)</f>
        <v>0</v>
      </c>
      <c r="CV33" s="14" t="n">
        <f aca="false">IF(AND(Time!CV30=1,CV32&gt;CV13/$F$37),1,0)</f>
        <v>0</v>
      </c>
      <c r="CW33" s="14" t="n">
        <f aca="false">IF(AND(Time!CW30=1,CW32&gt;CW13/$F$37),1,0)</f>
        <v>0</v>
      </c>
      <c r="CX33" s="14" t="n">
        <f aca="false">IF(AND(Time!CX30=1,CX32&gt;CX13/$F$37),1,0)</f>
        <v>0</v>
      </c>
      <c r="CY33" s="14" t="n">
        <f aca="false">IF(AND(Time!CY30=1,CY32&gt;CY13/$F$37),1,0)</f>
        <v>0</v>
      </c>
      <c r="CZ33" s="14" t="n">
        <f aca="false">IF(AND(Time!CZ30=1,CZ32&gt;CZ13/$F$37),1,0)</f>
        <v>0</v>
      </c>
      <c r="DA33" s="14" t="n">
        <f aca="false">IF(AND(Time!DA30=1,DA32&gt;DA13/$F$37),1,0)</f>
        <v>0</v>
      </c>
      <c r="DB33" s="14" t="n">
        <f aca="false">IF(AND(Time!DB30=1,DB32&gt;DB13/$F$37),1,0)</f>
        <v>0</v>
      </c>
    </row>
    <row r="34" customFormat="false" ht="15" hidden="false" customHeight="false" outlineLevel="0" collapsed="false">
      <c r="D34" s="0" t="s">
        <v>501</v>
      </c>
      <c r="E34" s="0" t="s">
        <v>44</v>
      </c>
      <c r="G34" s="19" t="n">
        <f aca="false">SUM(J34:DB34)</f>
        <v>3384.56648111331</v>
      </c>
      <c r="J34" s="19" t="n">
        <f aca="false">IF(Time!J30=1,MAX(J32,J13/$F$37),0)</f>
        <v>0</v>
      </c>
      <c r="K34" s="19" t="n">
        <f aca="false">IF(Time!K30=1,MAX(K32,K13/$F$37),0)</f>
        <v>0</v>
      </c>
      <c r="L34" s="19" t="n">
        <f aca="false">IF(Time!L30=1,MAX(L32,L13/$F$37),0)</f>
        <v>0</v>
      </c>
      <c r="M34" s="19" t="n">
        <f aca="false">IF(Time!M30=1,MAX(M32,M13/$F$37),0)</f>
        <v>0</v>
      </c>
      <c r="N34" s="19" t="n">
        <f aca="false">IF(Time!N30=1,MAX(N32,N13/$F$37),0)</f>
        <v>0</v>
      </c>
      <c r="O34" s="19" t="n">
        <f aca="false">IF(Time!O30=1,MAX(O32,O13/$F$37),0)</f>
        <v>0</v>
      </c>
      <c r="P34" s="19" t="n">
        <f aca="false">IF(Time!P30=1,MAX(P32,P13/$F$37),0)</f>
        <v>0</v>
      </c>
      <c r="Q34" s="19" t="n">
        <f aca="false">IF(Time!Q30=1,MAX(Q32,Q13/$F$37),0)</f>
        <v>0</v>
      </c>
      <c r="R34" s="19" t="n">
        <f aca="false">IF(Time!R30=1,MAX(R32,R13/$F$37),0)</f>
        <v>0</v>
      </c>
      <c r="S34" s="19" t="n">
        <f aca="false">IF(Time!S30=1,MAX(S32,S13/$F$37),0)</f>
        <v>0</v>
      </c>
      <c r="T34" s="19" t="n">
        <f aca="false">IF(Time!T30=1,MAX(T32,T13/$F$37),0)</f>
        <v>0</v>
      </c>
      <c r="U34" s="19" t="n">
        <f aca="false">IF(Time!U30=1,MAX(U32,U13/$F$37),0)</f>
        <v>0</v>
      </c>
      <c r="V34" s="19" t="n">
        <f aca="false">IF(Time!V30=1,MAX(V32,V13/$F$37),0)</f>
        <v>0</v>
      </c>
      <c r="W34" s="19" t="n">
        <f aca="false">IF(Time!W30=1,MAX(W32,W13/$F$37),0)</f>
        <v>0</v>
      </c>
      <c r="X34" s="19" t="n">
        <f aca="false">IF(Time!X30=1,MAX(X32,X13/$F$37),0)</f>
        <v>0</v>
      </c>
      <c r="Y34" s="19" t="n">
        <f aca="false">IF(Time!Y30=1,MAX(Y32,Y13/$F$37),0)</f>
        <v>0</v>
      </c>
      <c r="Z34" s="19" t="n">
        <f aca="false">IF(Time!Z30=1,MAX(Z32,Z13/$F$37),0)</f>
        <v>0</v>
      </c>
      <c r="AA34" s="19" t="n">
        <f aca="false">IF(Time!AA30=1,MAX(AA32,AA13/$F$37),0)</f>
        <v>0</v>
      </c>
      <c r="AB34" s="19" t="n">
        <f aca="false">IF(Time!AB30=1,MAX(AB32,AB13/$F$37),0)</f>
        <v>0</v>
      </c>
      <c r="AC34" s="19" t="n">
        <f aca="false">IF(Time!AC30=1,MAX(AC32,AC13/$F$37),0)</f>
        <v>0</v>
      </c>
      <c r="AD34" s="19" t="n">
        <f aca="false">IF(Time!AD30=1,MAX(AD32,AD13/$F$37),0)</f>
        <v>27.6670215298305</v>
      </c>
      <c r="AE34" s="19" t="n">
        <f aca="false">IF(Time!AE30=1,MAX(AE32,AE13/$F$37),0)</f>
        <v>29.1717093813488</v>
      </c>
      <c r="AF34" s="19" t="n">
        <f aca="false">IF(Time!AF30=1,MAX(AF32,AF13/$F$37),0)</f>
        <v>31.2066535033233</v>
      </c>
      <c r="AG34" s="19" t="n">
        <f aca="false">IF(Time!AG30=1,MAX(AG32,AG13/$F$37),0)</f>
        <v>32.8171391601082</v>
      </c>
      <c r="AH34" s="19" t="n">
        <f aca="false">IF(Time!AH30=1,MAX(AH32,AH13/$F$37),0)</f>
        <v>33.4563744435898</v>
      </c>
      <c r="AI34" s="19" t="n">
        <f aca="false">IF(Time!AI30=1,MAX(AI32,AI13/$F$37),0)</f>
        <v>32.9079679396362</v>
      </c>
      <c r="AJ34" s="19" t="n">
        <f aca="false">IF(Time!AJ30=1,MAX(AJ32,AJ13/$F$37),0)</f>
        <v>33.7840822411208</v>
      </c>
      <c r="AK34" s="19" t="n">
        <f aca="false">IF(Time!AK30=1,MAX(AK32,AK13/$F$37),0)</f>
        <v>35.3006313974139</v>
      </c>
      <c r="AL34" s="19" t="n">
        <f aca="false">IF(Time!AL30=1,MAX(AL32,AL13/$F$37),0)</f>
        <v>36.0223173082704</v>
      </c>
      <c r="AM34" s="19" t="n">
        <f aca="false">IF(Time!AM30=1,MAX(AM32,AM13/$F$37),0)</f>
        <v>37.8408731713013</v>
      </c>
      <c r="AN34" s="19" t="n">
        <f aca="false">IF(Time!AN30=1,MAX(AN32,AN13/$F$37),0)</f>
        <v>38.606726104992</v>
      </c>
      <c r="AO34" s="19" t="n">
        <f aca="false">IF(Time!AO30=1,MAX(AO32,AO13/$F$37),0)</f>
        <v>42.6781360883975</v>
      </c>
      <c r="AP34" s="19" t="n">
        <f aca="false">IF(Time!AP30=1,MAX(AP32,AP13/$F$37),0)</f>
        <v>43.4906936119441</v>
      </c>
      <c r="AQ34" s="19" t="n">
        <f aca="false">IF(Time!AQ30=1,MAX(AQ32,AQ13/$F$37),0)</f>
        <v>38.6793631978893</v>
      </c>
      <c r="AR34" s="19" t="n">
        <f aca="false">IF(Time!AR30=1,MAX(AR32,AR13/$F$37),0)</f>
        <v>39.798150093536</v>
      </c>
      <c r="AS34" s="19" t="n">
        <f aca="false">IF(Time!AS30=1,MAX(AS32,AS13/$F$37),0)</f>
        <v>41.7320005266072</v>
      </c>
      <c r="AT34" s="19" t="n">
        <f aca="false">IF(Time!AT30=1,MAX(AT32,AT13/$F$37),0)</f>
        <v>42.6484131609595</v>
      </c>
      <c r="AU34" s="19" t="n">
        <f aca="false">IF(Time!AU30=1,MAX(AU32,AU13/$F$37),0)</f>
        <v>44.9686355492134</v>
      </c>
      <c r="AV34" s="19" t="n">
        <f aca="false">IF(Time!AV30=1,MAX(AV32,AV13/$F$37),0)</f>
        <v>45.9406849364742</v>
      </c>
      <c r="AW34" s="19" t="n">
        <f aca="false">IF(Time!AW30=1,MAX(AW32,AW13/$F$37),0)</f>
        <v>49.7243757774318</v>
      </c>
      <c r="AX34" s="19" t="n">
        <f aca="false">IF(Time!AX30=1,MAX(AX32,AX13/$F$37),0)</f>
        <v>50.1008741653055</v>
      </c>
      <c r="AY34" s="19" t="n">
        <f aca="false">IF(Time!AY30=1,MAX(AY32,AY13/$F$37),0)</f>
        <v>50.0385391178112</v>
      </c>
      <c r="AZ34" s="19" t="n">
        <f aca="false">IF(Time!AZ30=1,MAX(AZ32,AZ13/$F$37),0)</f>
        <v>50.7596519511514</v>
      </c>
      <c r="BA34" s="19" t="n">
        <f aca="false">IF(Time!BA30=1,MAX(BA32,BA13/$F$37),0)</f>
        <v>53.1013638568675</v>
      </c>
      <c r="BB34" s="19" t="n">
        <f aca="false">IF(Time!BB30=1,MAX(BB32,BB13/$F$37),0)</f>
        <v>53.5178563084333</v>
      </c>
      <c r="BC34" s="19" t="n">
        <f aca="false">IF(Time!BC30=1,MAX(BC32,BC13/$F$37),0)</f>
        <v>61.8331973002732</v>
      </c>
      <c r="BD34" s="19" t="n">
        <f aca="false">IF(Time!BD30=1,MAX(BD32,BD13/$F$37),0)</f>
        <v>62.2698990165181</v>
      </c>
      <c r="BE34" s="19" t="n">
        <f aca="false">IF(Time!BE30=1,MAX(BE32,BE13/$F$37),0)</f>
        <v>67.8237916103572</v>
      </c>
      <c r="BF34" s="19" t="n">
        <f aca="false">IF(Time!BF30=1,MAX(BF32,BF13/$F$37),0)</f>
        <v>68.2839252687519</v>
      </c>
      <c r="BG34" s="19" t="n">
        <f aca="false">IF(Time!BG30=1,MAX(BG32,BG13/$F$37),0)</f>
        <v>71.3590924592732</v>
      </c>
      <c r="BH34" s="19" t="n">
        <f aca="false">IF(Time!BH30=1,MAX(BH32,BH13/$F$37),0)</f>
        <v>72.2387910898141</v>
      </c>
      <c r="BI34" s="19" t="n">
        <f aca="false">IF(Time!BI30=1,MAX(BI32,BI13/$F$37),0)</f>
        <v>75.0847478419008</v>
      </c>
      <c r="BJ34" s="19" t="n">
        <f aca="false">IF(Time!BJ30=1,MAX(BJ32,BJ13/$F$37),0)</f>
        <v>75.5926122418883</v>
      </c>
      <c r="BK34" s="19" t="n">
        <f aca="false">IF(Time!BK30=1,MAX(BK32,BK13/$F$37),0)</f>
        <v>79.0114804313343</v>
      </c>
      <c r="BL34" s="19" t="n">
        <f aca="false">IF(Time!BL30=1,MAX(BL32,BL13/$F$37),0)</f>
        <v>79.5461516161704</v>
      </c>
      <c r="BM34" s="19" t="n">
        <f aca="false">IF(Time!BM30=1,MAX(BM32,BM13/$F$37),0)</f>
        <v>83.1160270364604</v>
      </c>
      <c r="BN34" s="19" t="n">
        <f aca="false">IF(Time!BN30=1,MAX(BN32,BN13/$F$37),0)</f>
        <v>83.6762034155498</v>
      </c>
      <c r="BO34" s="19" t="n">
        <f aca="false">IF(Time!BO30=1,MAX(BO32,BO13/$F$37),0)</f>
        <v>75.0346922479624</v>
      </c>
      <c r="BP34" s="19" t="n">
        <f aca="false">IF(Time!BP30=1,MAX(BP32,BP13/$F$37),0)</f>
        <v>76.111024043398</v>
      </c>
      <c r="BQ34" s="19" t="n">
        <f aca="false">IF(Time!BQ30=1,MAX(BQ32,BQ13/$F$37),0)</f>
        <v>68.2343434325624</v>
      </c>
      <c r="BR34" s="19" t="n">
        <f aca="false">IF(Time!BR30=1,MAX(BR32,BR13/$F$37),0)</f>
        <v>61.5972517793659</v>
      </c>
      <c r="BS34" s="19" t="n">
        <f aca="false">IF(Time!BS30=1,MAX(BS32,BS13/$F$37),0)</f>
        <v>64.348702653505</v>
      </c>
      <c r="BT34" s="19" t="n">
        <f aca="false">IF(Time!BT30=1,MAX(BT32,BT13/$F$37),0)</f>
        <v>63.7852693841126</v>
      </c>
      <c r="BU34" s="19" t="n">
        <f aca="false">IF(Time!BU30=1,MAX(BU32,BU13/$F$37),0)</f>
        <v>99.2662873116327</v>
      </c>
      <c r="BV34" s="19" t="n">
        <f aca="false">IF(Time!BV30=1,MAX(BV32,BV13/$F$37),0)</f>
        <v>80.4744970929209</v>
      </c>
      <c r="BW34" s="19" t="n">
        <f aca="false">IF(Time!BW30=1,MAX(BW32,BW13/$F$37),0)</f>
        <v>81.2756877513206</v>
      </c>
      <c r="BX34" s="19" t="n">
        <f aca="false">IF(Time!BX30=1,MAX(BX32,BX13/$F$37),0)</f>
        <v>81.0530685296382</v>
      </c>
      <c r="BY34" s="19" t="n">
        <f aca="false">IF(Time!BY30=1,MAX(BY32,BY13/$F$37),0)</f>
        <v>83.5838392734696</v>
      </c>
      <c r="BZ34" s="19" t="n">
        <f aca="false">IF(Time!BZ30=1,MAX(BZ32,BZ13/$F$37),0)</f>
        <v>82.8924740181895</v>
      </c>
      <c r="CA34" s="19" t="n">
        <f aca="false">IF(Time!CA30=1,MAX(CA32,CA13/$F$37),0)</f>
        <v>77.9471438294146</v>
      </c>
      <c r="CB34" s="19" t="n">
        <f aca="false">IF(Time!CB30=1,MAX(CB32,CB13/$F$37),0)</f>
        <v>77.2537060609823</v>
      </c>
      <c r="CC34" s="19" t="n">
        <f aca="false">IF(Time!CC30=1,MAX(CC32,CC13/$F$37),0)</f>
        <v>80.4360238014244</v>
      </c>
      <c r="CD34" s="19" t="n">
        <f aca="false">IF(Time!CD30=1,MAX(CD32,CD13/$F$37),0)</f>
        <v>79.7104230478218</v>
      </c>
      <c r="CE34" s="19" t="n">
        <f aca="false">IF(Time!CE30=1,MAX(CE32,CE13/$F$37),0)</f>
        <v>79.1105142418473</v>
      </c>
      <c r="CF34" s="19" t="n">
        <f aca="false">IF(Time!CF30=1,MAX(CF32,CF13/$F$37),0)</f>
        <v>78.8626557806797</v>
      </c>
      <c r="CG34" s="19" t="n">
        <f aca="false">IF(Time!CG30=1,MAX(CG32,CG13/$F$37),0)</f>
        <v>97.792722981815</v>
      </c>
      <c r="CH34" s="19" t="n">
        <f aca="false">IF(Time!CH30=1,MAX(CH32,CH13/$F$37),0)</f>
        <v>0</v>
      </c>
      <c r="CI34" s="19" t="n">
        <f aca="false">IF(Time!CI30=1,MAX(CI32,CI13/$F$37),0)</f>
        <v>0</v>
      </c>
      <c r="CJ34" s="19" t="n">
        <f aca="false">IF(Time!CJ30=1,MAX(CJ32,CJ13/$F$37),0)</f>
        <v>0</v>
      </c>
      <c r="CK34" s="19" t="n">
        <f aca="false">IF(Time!CK30=1,MAX(CK32,CK13/$F$37),0)</f>
        <v>0</v>
      </c>
      <c r="CL34" s="19" t="n">
        <f aca="false">IF(Time!CL30=1,MAX(CL32,CL13/$F$37),0)</f>
        <v>0</v>
      </c>
      <c r="CM34" s="19" t="n">
        <f aca="false">IF(Time!CM30=1,MAX(CM32,CM13/$F$37),0)</f>
        <v>0</v>
      </c>
      <c r="CN34" s="19" t="n">
        <f aca="false">IF(Time!CN30=1,MAX(CN32,CN13/$F$37),0)</f>
        <v>0</v>
      </c>
      <c r="CO34" s="19" t="n">
        <f aca="false">IF(Time!CO30=1,MAX(CO32,CO13/$F$37),0)</f>
        <v>0</v>
      </c>
      <c r="CP34" s="19" t="n">
        <f aca="false">IF(Time!CP30=1,MAX(CP32,CP13/$F$37),0)</f>
        <v>0</v>
      </c>
      <c r="CQ34" s="19" t="n">
        <f aca="false">IF(Time!CQ30=1,MAX(CQ32,CQ13/$F$37),0)</f>
        <v>0</v>
      </c>
      <c r="CR34" s="19" t="n">
        <f aca="false">IF(Time!CR30=1,MAX(CR32,CR13/$F$37),0)</f>
        <v>0</v>
      </c>
      <c r="CS34" s="19" t="n">
        <f aca="false">IF(Time!CS30=1,MAX(CS32,CS13/$F$37),0)</f>
        <v>0</v>
      </c>
      <c r="CT34" s="19" t="n">
        <f aca="false">IF(Time!CT30=1,MAX(CT32,CT13/$F$37),0)</f>
        <v>0</v>
      </c>
      <c r="CU34" s="19" t="n">
        <f aca="false">IF(Time!CU30=1,MAX(CU32,CU13/$F$37),0)</f>
        <v>0</v>
      </c>
      <c r="CV34" s="19" t="n">
        <f aca="false">IF(Time!CV30=1,MAX(CV32,CV13/$F$37),0)</f>
        <v>0</v>
      </c>
      <c r="CW34" s="19" t="n">
        <f aca="false">IF(Time!CW30=1,MAX(CW32,CW13/$F$37),0)</f>
        <v>0</v>
      </c>
      <c r="CX34" s="19" t="n">
        <f aca="false">IF(Time!CX30=1,MAX(CX32,CX13/$F$37),0)</f>
        <v>0</v>
      </c>
      <c r="CY34" s="19" t="n">
        <f aca="false">IF(Time!CY30=1,MAX(CY32,CY13/$F$37),0)</f>
        <v>0</v>
      </c>
      <c r="CZ34" s="19" t="n">
        <f aca="false">IF(Time!CZ30=1,MAX(CZ32,CZ13/$F$37),0)</f>
        <v>0</v>
      </c>
      <c r="DA34" s="19" t="n">
        <f aca="false">IF(Time!DA30=1,MAX(DA32,DA13/$F$37),0)</f>
        <v>0</v>
      </c>
      <c r="DB34" s="19" t="n">
        <f aca="false">IF(Time!DB30=1,MAX(DB32,DB13/$F$37),0)</f>
        <v>0</v>
      </c>
    </row>
    <row r="35" customFormat="false" ht="15" hidden="false" customHeight="false" outlineLevel="0" collapsed="false">
      <c r="D35" s="0" t="s">
        <v>502</v>
      </c>
      <c r="E35" s="0" t="s">
        <v>44</v>
      </c>
      <c r="G35" s="19" t="n">
        <f aca="false">SUM(J35:DB35)</f>
        <v>3691.20059641991</v>
      </c>
      <c r="J35" s="19" t="n">
        <f aca="false">IF(Time!J30=1,J34-J32,0)</f>
        <v>0</v>
      </c>
      <c r="K35" s="19" t="n">
        <f aca="false">IF(Time!K30=1,K34-K32,0)</f>
        <v>0</v>
      </c>
      <c r="L35" s="19" t="n">
        <f aca="false">IF(Time!L30=1,L34-L32,0)</f>
        <v>0</v>
      </c>
      <c r="M35" s="19" t="n">
        <f aca="false">IF(Time!M30=1,M34-M32,0)</f>
        <v>0</v>
      </c>
      <c r="N35" s="19" t="n">
        <f aca="false">IF(Time!N30=1,N34-N32,0)</f>
        <v>0</v>
      </c>
      <c r="O35" s="19" t="n">
        <f aca="false">IF(Time!O30=1,O34-O32,0)</f>
        <v>0</v>
      </c>
      <c r="P35" s="19" t="n">
        <f aca="false">IF(Time!P30=1,P34-P32,0)</f>
        <v>0</v>
      </c>
      <c r="Q35" s="19" t="n">
        <f aca="false">IF(Time!Q30=1,Q34-Q32,0)</f>
        <v>0</v>
      </c>
      <c r="R35" s="19" t="n">
        <f aca="false">IF(Time!R30=1,R34-R32,0)</f>
        <v>0</v>
      </c>
      <c r="S35" s="19" t="n">
        <f aca="false">IF(Time!S30=1,S34-S32,0)</f>
        <v>0</v>
      </c>
      <c r="T35" s="19" t="n">
        <f aca="false">IF(Time!T30=1,T34-T32,0)</f>
        <v>0</v>
      </c>
      <c r="U35" s="19" t="n">
        <f aca="false">IF(Time!U30=1,U34-U32,0)</f>
        <v>0</v>
      </c>
      <c r="V35" s="19" t="n">
        <f aca="false">IF(Time!V30=1,V34-V32,0)</f>
        <v>0</v>
      </c>
      <c r="W35" s="19" t="n">
        <f aca="false">IF(Time!W30=1,W34-W32,0)</f>
        <v>0</v>
      </c>
      <c r="X35" s="19" t="n">
        <f aca="false">IF(Time!X30=1,X34-X32,0)</f>
        <v>0</v>
      </c>
      <c r="Y35" s="19" t="n">
        <f aca="false">IF(Time!Y30=1,Y34-Y32,0)</f>
        <v>0</v>
      </c>
      <c r="Z35" s="19" t="n">
        <f aca="false">IF(Time!Z30=1,Z34-Z32,0)</f>
        <v>0</v>
      </c>
      <c r="AA35" s="19" t="n">
        <f aca="false">IF(Time!AA30=1,AA34-AA32,0)</f>
        <v>0</v>
      </c>
      <c r="AB35" s="19" t="n">
        <f aca="false">IF(Time!AB30=1,AB34-AB32,0)</f>
        <v>0</v>
      </c>
      <c r="AC35" s="19" t="n">
        <f aca="false">IF(Time!AC30=1,AC34-AC32,0)</f>
        <v>0</v>
      </c>
      <c r="AD35" s="19" t="n">
        <f aca="false">IF(Time!AD30=1,AD34-AD32,0)</f>
        <v>3.93325495464864</v>
      </c>
      <c r="AE35" s="19" t="n">
        <f aca="false">IF(Time!AE30=1,AE34-AE32,0)</f>
        <v>5.34628123837194</v>
      </c>
      <c r="AF35" s="19" t="n">
        <f aca="false">IF(Time!AF30=1,AF34-AF32,0)</f>
        <v>7.8506113704477</v>
      </c>
      <c r="AG35" s="19" t="n">
        <f aca="false">IF(Time!AG30=1,AG34-AG32,0)</f>
        <v>10.0365282185017</v>
      </c>
      <c r="AH35" s="19" t="n">
        <f aca="false">IF(Time!AH30=1,AH34-AH32,0)</f>
        <v>11.1212788668507</v>
      </c>
      <c r="AI35" s="19" t="n">
        <f aca="false">IF(Time!AI30=1,AI34-AI32,0)</f>
        <v>10.6845682808471</v>
      </c>
      <c r="AJ35" s="19" t="n">
        <f aca="false">IF(Time!AJ30=1,AJ34-AJ32,0)</f>
        <v>11.9597859102512</v>
      </c>
      <c r="AK35" s="19" t="n">
        <f aca="false">IF(Time!AK30=1,AK34-AK32,0)</f>
        <v>13.6735926751101</v>
      </c>
      <c r="AL35" s="19" t="n">
        <f aca="false">IF(Time!AL30=1,AL34-AL32,0)</f>
        <v>14.9265256892127</v>
      </c>
      <c r="AM35" s="19" t="n">
        <f aca="false">IF(Time!AM30=1,AM34-AM32,0)</f>
        <v>16.9670461867842</v>
      </c>
      <c r="AN35" s="19" t="n">
        <f aca="false">IF(Time!AN30=1,AN34-AN32,0)</f>
        <v>18.3441232498685</v>
      </c>
      <c r="AO35" s="19" t="n">
        <f aca="false">IF(Time!AO30=1,AO34-AO32,0)</f>
        <v>22.7342628528774</v>
      </c>
      <c r="AP35" s="19" t="n">
        <f aca="false">IF(Time!AP30=1,AP34-AP32,0)</f>
        <v>24.3012239221628</v>
      </c>
      <c r="AQ35" s="19" t="n">
        <f aca="false">IF(Time!AQ30=1,AQ34-AQ32,0)</f>
        <v>19.9742149312723</v>
      </c>
      <c r="AR35" s="19" t="n">
        <f aca="false">IF(Time!AR30=1,AR34-AR32,0)</f>
        <v>21.7165696788628</v>
      </c>
      <c r="AS35" s="19" t="n">
        <f aca="false">IF(Time!AS30=1,AS34-AS32,0)</f>
        <v>24.1248193357161</v>
      </c>
      <c r="AT35" s="19" t="n">
        <f aca="false">IF(Time!AT30=1,AT34-AT32,0)</f>
        <v>25.8131585685949</v>
      </c>
      <c r="AU35" s="19" t="n">
        <f aca="false">IF(Time!AU30=1,AU34-AU32,0)</f>
        <v>28.6766192342056</v>
      </c>
      <c r="AV35" s="19" t="n">
        <f aca="false">IF(Time!AV30=1,AV34-AV32,0)</f>
        <v>30.5289231655183</v>
      </c>
      <c r="AW35" s="19" t="n">
        <f aca="false">IF(Time!AW30=1,AW34-AW32,0)</f>
        <v>34.991594599476</v>
      </c>
      <c r="AX35" s="19" t="n">
        <f aca="false">IF(Time!AX30=1,AX34-AX32,0)</f>
        <v>36.4007726442956</v>
      </c>
      <c r="AY35" s="19" t="n">
        <f aca="false">IF(Time!AY30=1,AY34-AY32,0)</f>
        <v>37.1859448786433</v>
      </c>
      <c r="AZ35" s="19" t="n">
        <f aca="false">IF(Time!AZ30=1,AZ34-AZ32,0)</f>
        <v>38.9500834001413</v>
      </c>
      <c r="BA35" s="19" t="n">
        <f aca="false">IF(Time!BA30=1,BA34-BA32,0)</f>
        <v>42.2538854510514</v>
      </c>
      <c r="BB35" s="19" t="n">
        <f aca="false">IF(Time!BB30=1,BB34-BB32,0)</f>
        <v>43.8615119793122</v>
      </c>
      <c r="BC35" s="19" t="n">
        <f aca="false">IF(Time!BC30=1,BC34-BC32,0)</f>
        <v>53.2536510520257</v>
      </c>
      <c r="BD35" s="19" t="n">
        <f aca="false">IF(Time!BD30=1,BD34-BD32,0)</f>
        <v>55.1505945322893</v>
      </c>
      <c r="BE35" s="19" t="n">
        <f aca="false">IF(Time!BE30=1,BE34-BE32,0)</f>
        <v>62.0991758613441</v>
      </c>
      <c r="BF35" s="19" t="n">
        <f aca="false">IF(Time!BF30=1,BF34-BF32,0)</f>
        <v>64.2276578016896</v>
      </c>
      <c r="BG35" s="19" t="n">
        <f aca="false">IF(Time!BG30=1,BG34-BG32,0)</f>
        <v>68.957285316432</v>
      </c>
      <c r="BH35" s="19" t="n">
        <f aca="false">IF(Time!BH30=1,BH34-BH32,0)</f>
        <v>71.6593004101284</v>
      </c>
      <c r="BI35" s="19" t="n">
        <f aca="false">IF(Time!BI30=1,BI34-BI32,0)</f>
        <v>76.3925940403497</v>
      </c>
      <c r="BJ35" s="19" t="n">
        <f aca="false">IF(Time!BJ30=1,BJ34-BJ32,0)</f>
        <v>78.8890074874398</v>
      </c>
      <c r="BK35" s="19" t="n">
        <f aca="false">IF(Time!BK30=1,BK34-BK32,0)</f>
        <v>84.4158626747458</v>
      </c>
      <c r="BL35" s="19" t="n">
        <f aca="false">IF(Time!BL30=1,BL34-BL32,0)</f>
        <v>87.1160172011972</v>
      </c>
      <c r="BM35" s="19" t="n">
        <f aca="false">IF(Time!BM30=1,BM34-BM32,0)</f>
        <v>93.0456493717978</v>
      </c>
      <c r="BN35" s="19" t="n">
        <f aca="false">IF(Time!BN30=1,BN34-BN32,0)</f>
        <v>95.9606591879085</v>
      </c>
      <c r="BO35" s="19" t="n">
        <f aca="false">IF(Time!BO30=1,BO34-BO32,0)</f>
        <v>89.9505534430374</v>
      </c>
      <c r="BP35" s="19" t="n">
        <f aca="false">IF(Time!BP30=1,BP34-BP32,0)</f>
        <v>93.3069856220706</v>
      </c>
      <c r="BQ35" s="19" t="n">
        <f aca="false">IF(Time!BQ30=1,BQ34-BQ32,0)</f>
        <v>87.9847832699566</v>
      </c>
      <c r="BR35" s="19" t="n">
        <f aca="false">IF(Time!BR30=1,BR34-BR32,0)</f>
        <v>83.4909191358424</v>
      </c>
      <c r="BS35" s="19" t="n">
        <f aca="false">IF(Time!BS30=1,BS34-BS32,0)</f>
        <v>88.6229005461311</v>
      </c>
      <c r="BT35" s="19" t="n">
        <f aca="false">IF(Time!BT30=1,BT34-BT32,0)</f>
        <v>90.1829255236196</v>
      </c>
      <c r="BU35" s="19" t="n">
        <f aca="false">IF(Time!BU30=1,BU34-BU32,0)</f>
        <v>128.257621711979</v>
      </c>
      <c r="BV35" s="19" t="n">
        <f aca="false">IF(Time!BV30=1,BV34-BV32,0)</f>
        <v>112.588450600798</v>
      </c>
      <c r="BW35" s="19" t="n">
        <f aca="false">IF(Time!BW30=1,BW34-BW32,0)</f>
        <v>116.620863217252</v>
      </c>
      <c r="BX35" s="19" t="n">
        <f aca="false">IF(Time!BX30=1,BX34-BX32,0)</f>
        <v>119.268368472265</v>
      </c>
      <c r="BY35" s="19" t="n">
        <f aca="false">IF(Time!BY30=1,BY34-BY32,0)</f>
        <v>125.152087728906</v>
      </c>
      <c r="BZ35" s="19" t="n">
        <f aca="false">IF(Time!BZ30=1,BZ34-BZ32,0)</f>
        <v>127.400686019763</v>
      </c>
      <c r="CA35" s="19" t="n">
        <f aca="false">IF(Time!CA30=1,CA34-CA32,0)</f>
        <v>126.178071769977</v>
      </c>
      <c r="CB35" s="19" t="n">
        <f aca="false">IF(Time!CB30=1,CB34-CB32,0)</f>
        <v>128.397735469956</v>
      </c>
      <c r="CC35" s="19" t="n">
        <f aca="false">IF(Time!CC30=1,CC34-CC32,0)</f>
        <v>135.383001552609</v>
      </c>
      <c r="CD35" s="19" t="n">
        <f aca="false">IF(Time!CD30=1,CD34-CD32,0)</f>
        <v>137.757242034787</v>
      </c>
      <c r="CE35" s="19" t="n">
        <f aca="false">IF(Time!CE30=1,CE34-CE32,0)</f>
        <v>141.263296429466</v>
      </c>
      <c r="CF35" s="19" t="n">
        <f aca="false">IF(Time!CF30=1,CF34-CF32,0)</f>
        <v>144.388097197121</v>
      </c>
      <c r="CG35" s="19" t="n">
        <f aca="false">IF(Time!CG30=1,CG34-CG32,0)</f>
        <v>167.481370454001</v>
      </c>
      <c r="CH35" s="19" t="n">
        <f aca="false">IF(Time!CH30=1,CH34-CH32,0)</f>
        <v>0</v>
      </c>
      <c r="CI35" s="19" t="n">
        <f aca="false">IF(Time!CI30=1,CI34-CI32,0)</f>
        <v>0</v>
      </c>
      <c r="CJ35" s="19" t="n">
        <f aca="false">IF(Time!CJ30=1,CJ34-CJ32,0)</f>
        <v>0</v>
      </c>
      <c r="CK35" s="19" t="n">
        <f aca="false">IF(Time!CK30=1,CK34-CK32,0)</f>
        <v>0</v>
      </c>
      <c r="CL35" s="19" t="n">
        <f aca="false">IF(Time!CL30=1,CL34-CL32,0)</f>
        <v>0</v>
      </c>
      <c r="CM35" s="19" t="n">
        <f aca="false">IF(Time!CM30=1,CM34-CM32,0)</f>
        <v>0</v>
      </c>
      <c r="CN35" s="19" t="n">
        <f aca="false">IF(Time!CN30=1,CN34-CN32,0)</f>
        <v>0</v>
      </c>
      <c r="CO35" s="19" t="n">
        <f aca="false">IF(Time!CO30=1,CO34-CO32,0)</f>
        <v>0</v>
      </c>
      <c r="CP35" s="19" t="n">
        <f aca="false">IF(Time!CP30=1,CP34-CP32,0)</f>
        <v>0</v>
      </c>
      <c r="CQ35" s="19" t="n">
        <f aca="false">IF(Time!CQ30=1,CQ34-CQ32,0)</f>
        <v>0</v>
      </c>
      <c r="CR35" s="19" t="n">
        <f aca="false">IF(Time!CR30=1,CR34-CR32,0)</f>
        <v>0</v>
      </c>
      <c r="CS35" s="19" t="n">
        <f aca="false">IF(Time!CS30=1,CS34-CS32,0)</f>
        <v>0</v>
      </c>
      <c r="CT35" s="19" t="n">
        <f aca="false">IF(Time!CT30=1,CT34-CT32,0)</f>
        <v>0</v>
      </c>
      <c r="CU35" s="19" t="n">
        <f aca="false">IF(Time!CU30=1,CU34-CU32,0)</f>
        <v>0</v>
      </c>
      <c r="CV35" s="19" t="n">
        <f aca="false">IF(Time!CV30=1,CV34-CV32,0)</f>
        <v>0</v>
      </c>
      <c r="CW35" s="19" t="n">
        <f aca="false">IF(Time!CW30=1,CW34-CW32,0)</f>
        <v>0</v>
      </c>
      <c r="CX35" s="19" t="n">
        <f aca="false">IF(Time!CX30=1,CX34-CX32,0)</f>
        <v>0</v>
      </c>
      <c r="CY35" s="19" t="n">
        <f aca="false">IF(Time!CY30=1,CY34-CY32,0)</f>
        <v>0</v>
      </c>
      <c r="CZ35" s="19" t="n">
        <f aca="false">IF(Time!CZ30=1,CZ34-CZ32,0)</f>
        <v>0</v>
      </c>
      <c r="DA35" s="19" t="n">
        <f aca="false">IF(Time!DA30=1,DA34-DA32,0)</f>
        <v>0</v>
      </c>
      <c r="DB35" s="19" t="n">
        <f aca="false">IF(Time!DB30=1,DB34-DB32,0)</f>
        <v>0</v>
      </c>
    </row>
    <row r="36" customFormat="false" ht="15" hidden="false" customHeight="false" outlineLevel="0" collapsed="false">
      <c r="D36" s="0" t="s">
        <v>503</v>
      </c>
      <c r="E36" s="0" t="s">
        <v>44</v>
      </c>
      <c r="J36" s="19" t="n">
        <f aca="false">J31-J35</f>
        <v>0</v>
      </c>
      <c r="K36" s="19" t="n">
        <f aca="false">K31-K35</f>
        <v>0</v>
      </c>
      <c r="L36" s="19" t="n">
        <f aca="false">L31-L35</f>
        <v>0</v>
      </c>
      <c r="M36" s="19" t="n">
        <f aca="false">M31-M35</f>
        <v>0</v>
      </c>
      <c r="N36" s="19" t="n">
        <f aca="false">N31-N35</f>
        <v>0</v>
      </c>
      <c r="O36" s="19" t="n">
        <f aca="false">O31-O35</f>
        <v>0</v>
      </c>
      <c r="P36" s="19" t="n">
        <f aca="false">P31-P35</f>
        <v>0</v>
      </c>
      <c r="Q36" s="19" t="n">
        <f aca="false">Q31-Q35</f>
        <v>0</v>
      </c>
      <c r="R36" s="19" t="n">
        <f aca="false">R31-R35</f>
        <v>0</v>
      </c>
      <c r="S36" s="19" t="n">
        <f aca="false">S31-S35</f>
        <v>0</v>
      </c>
      <c r="T36" s="19" t="n">
        <f aca="false">T31-T35</f>
        <v>0</v>
      </c>
      <c r="U36" s="19" t="n">
        <f aca="false">U31-U35</f>
        <v>0</v>
      </c>
      <c r="V36" s="19" t="n">
        <f aca="false">V31-V35</f>
        <v>0</v>
      </c>
      <c r="W36" s="19" t="n">
        <f aca="false">W31-W35</f>
        <v>0</v>
      </c>
      <c r="X36" s="19" t="n">
        <f aca="false">X31-X35</f>
        <v>0</v>
      </c>
      <c r="Y36" s="19" t="n">
        <f aca="false">Y31-Y35</f>
        <v>0</v>
      </c>
      <c r="Z36" s="19" t="n">
        <f aca="false">Z31-Z35</f>
        <v>882.130169013</v>
      </c>
      <c r="AA36" s="19" t="n">
        <f aca="false">AA31-AA35</f>
        <v>882.130169013</v>
      </c>
      <c r="AB36" s="19" t="n">
        <f aca="false">AB31-AB35</f>
        <v>882.130169013</v>
      </c>
      <c r="AC36" s="19" t="n">
        <f aca="false">AC31-AC35</f>
        <v>882.130169013</v>
      </c>
      <c r="AD36" s="19" t="n">
        <f aca="false">AD31-AD35</f>
        <v>878.196914058351</v>
      </c>
      <c r="AE36" s="19" t="n">
        <f aca="false">AE31-AE35</f>
        <v>872.850632819979</v>
      </c>
      <c r="AF36" s="19" t="n">
        <f aca="false">AF31-AF35</f>
        <v>865.000021449532</v>
      </c>
      <c r="AG36" s="19" t="n">
        <f aca="false">AG31-AG35</f>
        <v>854.96349323103</v>
      </c>
      <c r="AH36" s="19" t="n">
        <f aca="false">AH31-AH35</f>
        <v>843.842214364179</v>
      </c>
      <c r="AI36" s="19" t="n">
        <f aca="false">AI31-AI35</f>
        <v>833.157646083332</v>
      </c>
      <c r="AJ36" s="19" t="n">
        <f aca="false">AJ31-AJ35</f>
        <v>821.197860173081</v>
      </c>
      <c r="AK36" s="19" t="n">
        <f aca="false">AK31-AK35</f>
        <v>807.524267497971</v>
      </c>
      <c r="AL36" s="19" t="n">
        <f aca="false">AL31-AL35</f>
        <v>792.597741808758</v>
      </c>
      <c r="AM36" s="19" t="n">
        <f aca="false">AM31-AM35</f>
        <v>775.630695621974</v>
      </c>
      <c r="AN36" s="19" t="n">
        <f aca="false">AN31-AN35</f>
        <v>757.286572372105</v>
      </c>
      <c r="AO36" s="19" t="n">
        <f aca="false">AO31-AO35</f>
        <v>734.552309519228</v>
      </c>
      <c r="AP36" s="19" t="n">
        <f aca="false">AP31-AP35</f>
        <v>710.251085597065</v>
      </c>
      <c r="AQ36" s="19" t="n">
        <f aca="false">AQ31-AQ35</f>
        <v>690.276870665793</v>
      </c>
      <c r="AR36" s="19" t="n">
        <f aca="false">AR31-AR35</f>
        <v>668.56030098693</v>
      </c>
      <c r="AS36" s="19" t="n">
        <f aca="false">AS31-AS35</f>
        <v>644.435481651214</v>
      </c>
      <c r="AT36" s="19" t="n">
        <f aca="false">AT31-AT35</f>
        <v>618.622323082619</v>
      </c>
      <c r="AU36" s="19" t="n">
        <f aca="false">AU31-AU35</f>
        <v>589.945703848414</v>
      </c>
      <c r="AV36" s="19" t="n">
        <f aca="false">AV31-AV35</f>
        <v>559.416780682895</v>
      </c>
      <c r="AW36" s="19" t="n">
        <f aca="false">AW31-AW35</f>
        <v>524.425186083419</v>
      </c>
      <c r="AX36" s="19" t="n">
        <f aca="false">AX31-AX35</f>
        <v>488.024413439124</v>
      </c>
      <c r="AY36" s="19" t="n">
        <f aca="false">AY31-AY35</f>
        <v>450.83846856048</v>
      </c>
      <c r="AZ36" s="19" t="n">
        <f aca="false">AZ31-AZ35</f>
        <v>411.888385160339</v>
      </c>
      <c r="BA36" s="19" t="n">
        <f aca="false">BA31-BA35</f>
        <v>369.634499709288</v>
      </c>
      <c r="BB36" s="19" t="n">
        <f aca="false">BB31-BB35</f>
        <v>325.772987729976</v>
      </c>
      <c r="BC36" s="19" t="n">
        <f aca="false">BC31-BC35</f>
        <v>272.51933667795</v>
      </c>
      <c r="BD36" s="19" t="n">
        <f aca="false">BD31-BD35</f>
        <v>217.368742145661</v>
      </c>
      <c r="BE36" s="19" t="n">
        <f aca="false">BE31-BE35</f>
        <v>155.269566284316</v>
      </c>
      <c r="BF36" s="19" t="n">
        <f aca="false">BF31-BF35</f>
        <v>91.0419084826269</v>
      </c>
      <c r="BG36" s="19" t="n">
        <f aca="false">BG31-BG35</f>
        <v>22.0846231661949</v>
      </c>
      <c r="BH36" s="19" t="n">
        <f aca="false">BH31-BH35</f>
        <v>-49.5746772439335</v>
      </c>
      <c r="BI36" s="19" t="n">
        <f aca="false">BI31-BI35</f>
        <v>-125.967271284283</v>
      </c>
      <c r="BJ36" s="19" t="n">
        <f aca="false">BJ31-BJ35</f>
        <v>-204.856278771723</v>
      </c>
      <c r="BK36" s="19" t="n">
        <f aca="false">BK31-BK35</f>
        <v>-289.272141446469</v>
      </c>
      <c r="BL36" s="19" t="n">
        <f aca="false">BL31-BL35</f>
        <v>-376.388158647666</v>
      </c>
      <c r="BM36" s="19" t="n">
        <f aca="false">BM31-BM35</f>
        <v>-469.433808019464</v>
      </c>
      <c r="BN36" s="19" t="n">
        <f aca="false">BN31-BN35</f>
        <v>-565.394467207372</v>
      </c>
      <c r="BO36" s="19" t="n">
        <f aca="false">BO31-BO35</f>
        <v>-655.345020650409</v>
      </c>
      <c r="BP36" s="19" t="n">
        <f aca="false">BP31-BP35</f>
        <v>-748.65200627248</v>
      </c>
      <c r="BQ36" s="19" t="n">
        <f aca="false">BQ31-BQ35</f>
        <v>-836.636789542437</v>
      </c>
      <c r="BR36" s="19" t="n">
        <f aca="false">BR31-BR35</f>
        <v>-920.127708678279</v>
      </c>
      <c r="BS36" s="19" t="n">
        <f aca="false">BS31-BS35</f>
        <v>-1008.75060922441</v>
      </c>
      <c r="BT36" s="19" t="n">
        <f aca="false">BT31-BT35</f>
        <v>-1098.93353474803</v>
      </c>
      <c r="BU36" s="19" t="n">
        <f aca="false">BU31-BU35</f>
        <v>-1227.19115646001</v>
      </c>
      <c r="BV36" s="19" t="n">
        <f aca="false">BV31-BV35</f>
        <v>-1339.77960706081</v>
      </c>
      <c r="BW36" s="19" t="n">
        <f aca="false">BW31-BW35</f>
        <v>-1456.40047027806</v>
      </c>
      <c r="BX36" s="19" t="n">
        <f aca="false">BX31-BX35</f>
        <v>-1575.66883875032</v>
      </c>
      <c r="BY36" s="19" t="n">
        <f aca="false">BY31-BY35</f>
        <v>-1700.82092647923</v>
      </c>
      <c r="BZ36" s="19" t="n">
        <f aca="false">BZ31-BZ35</f>
        <v>-1828.22161249899</v>
      </c>
      <c r="CA36" s="19" t="n">
        <f aca="false">CA31-CA35</f>
        <v>-1954.39968426897</v>
      </c>
      <c r="CB36" s="19" t="n">
        <f aca="false">CB31-CB35</f>
        <v>-2082.79741973892</v>
      </c>
      <c r="CC36" s="19" t="n">
        <f aca="false">CC31-CC35</f>
        <v>-2218.18042129153</v>
      </c>
      <c r="CD36" s="19" t="n">
        <f aca="false">CD31-CD35</f>
        <v>-2355.93766332632</v>
      </c>
      <c r="CE36" s="19" t="n">
        <f aca="false">CE31-CE35</f>
        <v>-2497.20095975579</v>
      </c>
      <c r="CF36" s="19" t="n">
        <f aca="false">CF31-CF35</f>
        <v>-2641.58905695291</v>
      </c>
      <c r="CG36" s="19" t="n">
        <f aca="false">CG31-CG35</f>
        <v>-2809.07042740691</v>
      </c>
      <c r="CH36" s="19" t="n">
        <f aca="false">CH31-CH35</f>
        <v>-2809.07042740691</v>
      </c>
      <c r="CI36" s="19" t="n">
        <f aca="false">CI31-CI35</f>
        <v>-2809.07042740691</v>
      </c>
      <c r="CJ36" s="19" t="n">
        <f aca="false">CJ31-CJ35</f>
        <v>-2809.07042740691</v>
      </c>
      <c r="CK36" s="19" t="n">
        <f aca="false">CK31-CK35</f>
        <v>-2809.07042740691</v>
      </c>
      <c r="CL36" s="19" t="n">
        <f aca="false">CL31-CL35</f>
        <v>-2809.07042740691</v>
      </c>
      <c r="CM36" s="19" t="n">
        <f aca="false">CM31-CM35</f>
        <v>-2809.07042740691</v>
      </c>
      <c r="CN36" s="19" t="n">
        <f aca="false">CN31-CN35</f>
        <v>-2809.07042740691</v>
      </c>
      <c r="CO36" s="19" t="n">
        <f aca="false">CO31-CO35</f>
        <v>-2809.07042740691</v>
      </c>
      <c r="CP36" s="19" t="n">
        <f aca="false">CP31-CP35</f>
        <v>-2809.07042740691</v>
      </c>
      <c r="CQ36" s="19" t="n">
        <f aca="false">CQ31-CQ35</f>
        <v>-2809.07042740691</v>
      </c>
      <c r="CR36" s="19" t="n">
        <f aca="false">CR31-CR35</f>
        <v>-2809.07042740691</v>
      </c>
      <c r="CS36" s="19" t="n">
        <f aca="false">CS31-CS35</f>
        <v>-2809.07042740691</v>
      </c>
      <c r="CT36" s="19" t="n">
        <f aca="false">CT31-CT35</f>
        <v>-2809.07042740691</v>
      </c>
      <c r="CU36" s="19" t="n">
        <f aca="false">CU31-CU35</f>
        <v>-2809.07042740691</v>
      </c>
      <c r="CV36" s="19" t="n">
        <f aca="false">CV31-CV35</f>
        <v>-2809.07042740691</v>
      </c>
      <c r="CW36" s="19" t="n">
        <f aca="false">CW31-CW35</f>
        <v>-2809.07042740691</v>
      </c>
      <c r="CX36" s="19" t="n">
        <f aca="false">CX31-CX35</f>
        <v>-2809.07042740691</v>
      </c>
      <c r="CY36" s="19" t="n">
        <f aca="false">CY31-CY35</f>
        <v>-2809.07042740691</v>
      </c>
      <c r="CZ36" s="19" t="n">
        <f aca="false">CZ31-CZ35</f>
        <v>-2809.07042740691</v>
      </c>
      <c r="DA36" s="19" t="n">
        <f aca="false">DA31-DA35</f>
        <v>-2809.07042740691</v>
      </c>
      <c r="DB36" s="19" t="n">
        <f aca="false">DB31-DB35</f>
        <v>-2809.07042740691</v>
      </c>
    </row>
    <row r="37" customFormat="false" ht="15" hidden="false" customHeight="false" outlineLevel="0" collapsed="false">
      <c r="D37" s="0" t="s">
        <v>504</v>
      </c>
      <c r="E37" s="0" t="s">
        <v>126</v>
      </c>
      <c r="F37" s="27" t="n">
        <f aca="false">IF($F$24=1,IFERROR(MAX(Inputs!$F$9,SUMPRODUCT($J$13:$DB$13*$J$12:$DB$12*Time!$J$30:$DB$30*(1-$J$33:$DB$33))/($F$26-SUMPRODUCT($J$32:$DB$32*$J$12:$DB$12*$J$33:$DB$33))),Inputs!$F$91),Inputs!$F$91)</f>
        <v>1.5</v>
      </c>
    </row>
    <row r="38" customFormat="false" ht="15" hidden="false" customHeight="false" outlineLevel="0" collapsed="false">
      <c r="D38" s="0" t="s">
        <v>505</v>
      </c>
      <c r="E38" s="0" t="s">
        <v>44</v>
      </c>
      <c r="G38" s="19" t="n">
        <f aca="false">SUM(J38:DB38)</f>
        <v>6.16660774428684</v>
      </c>
      <c r="J38" s="19" t="n">
        <f aca="false">IF(Time!J32=1,MAX(0,J32-J13/Inputs!$F$95),0)</f>
        <v>0</v>
      </c>
      <c r="K38" s="19" t="n">
        <f aca="false">IF(Time!K32=1,MAX(0,K32-K13/Inputs!$F$95),0)</f>
        <v>0</v>
      </c>
      <c r="L38" s="19" t="n">
        <f aca="false">IF(Time!L32=1,MAX(0,L32-L13/Inputs!$F$95),0)</f>
        <v>0</v>
      </c>
      <c r="M38" s="19" t="n">
        <f aca="false">IF(Time!M32=1,MAX(0,M32-M13/Inputs!$F$95),0)</f>
        <v>0</v>
      </c>
      <c r="N38" s="19" t="n">
        <f aca="false">IF(Time!N32=1,MAX(0,N32-N13/Inputs!$F$95),0)</f>
        <v>0</v>
      </c>
      <c r="O38" s="19" t="n">
        <f aca="false">IF(Time!O32=1,MAX(0,O32-O13/Inputs!$F$95),0)</f>
        <v>0</v>
      </c>
      <c r="P38" s="19" t="n">
        <f aca="false">IF(Time!P32=1,MAX(0,P32-P13/Inputs!$F$95),0)</f>
        <v>0</v>
      </c>
      <c r="Q38" s="19" t="n">
        <f aca="false">IF(Time!Q32=1,MAX(0,Q32-Q13/Inputs!$F$95),0)</f>
        <v>0</v>
      </c>
      <c r="R38" s="19" t="n">
        <f aca="false">IF(Time!R32=1,MAX(0,R32-R13/Inputs!$F$95),0)</f>
        <v>0</v>
      </c>
      <c r="S38" s="19" t="n">
        <f aca="false">IF(Time!S32=1,MAX(0,S32-S13/Inputs!$F$95),0)</f>
        <v>0</v>
      </c>
      <c r="T38" s="19" t="n">
        <f aca="false">IF(Time!T32=1,MAX(0,T32-T13/Inputs!$F$95),0)</f>
        <v>0</v>
      </c>
      <c r="U38" s="19" t="n">
        <f aca="false">IF(Time!U32=1,MAX(0,U32-U13/Inputs!$F$95),0)</f>
        <v>0</v>
      </c>
      <c r="V38" s="19" t="n">
        <f aca="false">IF(Time!V32=1,MAX(0,V32-V13/Inputs!$F$95),0)</f>
        <v>0</v>
      </c>
      <c r="W38" s="19" t="n">
        <f aca="false">IF(Time!W32=1,MAX(0,W32-W13/Inputs!$F$95),0)</f>
        <v>0</v>
      </c>
      <c r="X38" s="19" t="n">
        <f aca="false">IF(Time!X32=1,MAX(0,X32-X13/Inputs!$F$95),0)</f>
        <v>0</v>
      </c>
      <c r="Y38" s="19" t="n">
        <f aca="false">IF(Time!Y32=1,MAX(0,Y32-Y13/Inputs!$F$95),0)</f>
        <v>0</v>
      </c>
      <c r="Z38" s="19" t="n">
        <f aca="false">IF(Time!Z32=1,MAX(0,Z32-Z13/Inputs!$F$95),0)</f>
        <v>2.73995007853577</v>
      </c>
      <c r="AA38" s="19" t="n">
        <f aca="false">IF(Time!AA32=1,MAX(0,AA32-AA13/Inputs!$F$95),0)</f>
        <v>3.42665766575108</v>
      </c>
      <c r="AB38" s="19" t="n">
        <f aca="false">IF(Time!AB32=1,MAX(0,AB32-AB13/Inputs!$F$95),0)</f>
        <v>0</v>
      </c>
      <c r="AC38" s="19" t="n">
        <f aca="false">IF(Time!AC32=1,MAX(0,AC32-AC13/Inputs!$F$95),0)</f>
        <v>0</v>
      </c>
      <c r="AD38" s="19" t="n">
        <f aca="false">IF(Time!AD32=1,MAX(0,AD32-AD13/Inputs!$F$95),0)</f>
        <v>0</v>
      </c>
      <c r="AE38" s="19" t="n">
        <f aca="false">IF(Time!AE32=1,MAX(0,AE32-AE13/Inputs!$F$95),0)</f>
        <v>0</v>
      </c>
      <c r="AF38" s="19" t="n">
        <f aca="false">IF(Time!AF32=1,MAX(0,AF32-AF13/Inputs!$F$95),0)</f>
        <v>0</v>
      </c>
      <c r="AG38" s="19" t="n">
        <f aca="false">IF(Time!AG32=1,MAX(0,AG32-AG13/Inputs!$F$95),0)</f>
        <v>0</v>
      </c>
      <c r="AH38" s="19" t="n">
        <f aca="false">IF(Time!AH32=1,MAX(0,AH32-AH13/Inputs!$F$95),0)</f>
        <v>0</v>
      </c>
      <c r="AI38" s="19" t="n">
        <f aca="false">IF(Time!AI32=1,MAX(0,AI32-AI13/Inputs!$F$95),0)</f>
        <v>0</v>
      </c>
      <c r="AJ38" s="19" t="n">
        <f aca="false">IF(Time!AJ32=1,MAX(0,AJ32-AJ13/Inputs!$F$95),0)</f>
        <v>0</v>
      </c>
      <c r="AK38" s="19" t="n">
        <f aca="false">IF(Time!AK32=1,MAX(0,AK32-AK13/Inputs!$F$95),0)</f>
        <v>0</v>
      </c>
      <c r="AL38" s="19" t="n">
        <f aca="false">IF(Time!AL32=1,MAX(0,AL32-AL13/Inputs!$F$95),0)</f>
        <v>0</v>
      </c>
      <c r="AM38" s="19" t="n">
        <f aca="false">IF(Time!AM32=1,MAX(0,AM32-AM13/Inputs!$F$95),0)</f>
        <v>0</v>
      </c>
      <c r="AN38" s="19" t="n">
        <f aca="false">IF(Time!AN32=1,MAX(0,AN32-AN13/Inputs!$F$95),0)</f>
        <v>0</v>
      </c>
      <c r="AO38" s="19" t="n">
        <f aca="false">IF(Time!AO32=1,MAX(0,AO32-AO13/Inputs!$F$95),0)</f>
        <v>0</v>
      </c>
      <c r="AP38" s="19" t="n">
        <f aca="false">IF(Time!AP32=1,MAX(0,AP32-AP13/Inputs!$F$95),0)</f>
        <v>0</v>
      </c>
      <c r="AQ38" s="19" t="n">
        <f aca="false">IF(Time!AQ32=1,MAX(0,AQ32-AQ13/Inputs!$F$95),0)</f>
        <v>0</v>
      </c>
      <c r="AR38" s="19" t="n">
        <f aca="false">IF(Time!AR32=1,MAX(0,AR32-AR13/Inputs!$F$95),0)</f>
        <v>0</v>
      </c>
      <c r="AS38" s="19" t="n">
        <f aca="false">IF(Time!AS32=1,MAX(0,AS32-AS13/Inputs!$F$95),0)</f>
        <v>0</v>
      </c>
      <c r="AT38" s="19" t="n">
        <f aca="false">IF(Time!AT32=1,MAX(0,AT32-AT13/Inputs!$F$95),0)</f>
        <v>0</v>
      </c>
      <c r="AU38" s="19" t="n">
        <f aca="false">IF(Time!AU32=1,MAX(0,AU32-AU13/Inputs!$F$95),0)</f>
        <v>0</v>
      </c>
      <c r="AV38" s="19" t="n">
        <f aca="false">IF(Time!AV32=1,MAX(0,AV32-AV13/Inputs!$F$95),0)</f>
        <v>0</v>
      </c>
      <c r="AW38" s="19" t="n">
        <f aca="false">IF(Time!AW32=1,MAX(0,AW32-AW13/Inputs!$F$95),0)</f>
        <v>0</v>
      </c>
      <c r="AX38" s="19" t="n">
        <f aca="false">IF(Time!AX32=1,MAX(0,AX32-AX13/Inputs!$F$95),0)</f>
        <v>0</v>
      </c>
      <c r="AY38" s="19" t="n">
        <f aca="false">IF(Time!AY32=1,MAX(0,AY32-AY13/Inputs!$F$95),0)</f>
        <v>0</v>
      </c>
      <c r="AZ38" s="19" t="n">
        <f aca="false">IF(Time!AZ32=1,MAX(0,AZ32-AZ13/Inputs!$F$95),0)</f>
        <v>0</v>
      </c>
      <c r="BA38" s="19" t="n">
        <f aca="false">IF(Time!BA32=1,MAX(0,BA32-BA13/Inputs!$F$95),0)</f>
        <v>0</v>
      </c>
      <c r="BB38" s="19" t="n">
        <f aca="false">IF(Time!BB32=1,MAX(0,BB32-BB13/Inputs!$F$95),0)</f>
        <v>0</v>
      </c>
      <c r="BC38" s="19" t="n">
        <f aca="false">IF(Time!BC32=1,MAX(0,BC32-BC13/Inputs!$F$95),0)</f>
        <v>0</v>
      </c>
      <c r="BD38" s="19" t="n">
        <f aca="false">IF(Time!BD32=1,MAX(0,BD32-BD13/Inputs!$F$95),0)</f>
        <v>0</v>
      </c>
      <c r="BE38" s="19" t="n">
        <f aca="false">IF(Time!BE32=1,MAX(0,BE32-BE13/Inputs!$F$95),0)</f>
        <v>0</v>
      </c>
      <c r="BF38" s="19" t="n">
        <f aca="false">IF(Time!BF32=1,MAX(0,BF32-BF13/Inputs!$F$95),0)</f>
        <v>0</v>
      </c>
      <c r="BG38" s="19" t="n">
        <f aca="false">IF(Time!BG32=1,MAX(0,BG32-BG13/Inputs!$F$95),0)</f>
        <v>0</v>
      </c>
      <c r="BH38" s="19" t="n">
        <f aca="false">IF(Time!BH32=1,MAX(0,BH32-BH13/Inputs!$F$95),0)</f>
        <v>0</v>
      </c>
      <c r="BI38" s="19" t="n">
        <f aca="false">IF(Time!BI32=1,MAX(0,BI32-BI13/Inputs!$F$95),0)</f>
        <v>0</v>
      </c>
      <c r="BJ38" s="19" t="n">
        <f aca="false">IF(Time!BJ32=1,MAX(0,BJ32-BJ13/Inputs!$F$95),0)</f>
        <v>0</v>
      </c>
      <c r="BK38" s="19" t="n">
        <f aca="false">IF(Time!BK32=1,MAX(0,BK32-BK13/Inputs!$F$95),0)</f>
        <v>0</v>
      </c>
      <c r="BL38" s="19" t="n">
        <f aca="false">IF(Time!BL32=1,MAX(0,BL32-BL13/Inputs!$F$95),0)</f>
        <v>0</v>
      </c>
      <c r="BM38" s="19" t="n">
        <f aca="false">IF(Time!BM32=1,MAX(0,BM32-BM13/Inputs!$F$95),0)</f>
        <v>0</v>
      </c>
      <c r="BN38" s="19" t="n">
        <f aca="false">IF(Time!BN32=1,MAX(0,BN32-BN13/Inputs!$F$95),0)</f>
        <v>0</v>
      </c>
      <c r="BO38" s="19" t="n">
        <f aca="false">IF(Time!BO32=1,MAX(0,BO32-BO13/Inputs!$F$95),0)</f>
        <v>0</v>
      </c>
      <c r="BP38" s="19" t="n">
        <f aca="false">IF(Time!BP32=1,MAX(0,BP32-BP13/Inputs!$F$95),0)</f>
        <v>0</v>
      </c>
      <c r="BQ38" s="19" t="n">
        <f aca="false">IF(Time!BQ32=1,MAX(0,BQ32-BQ13/Inputs!$F$95),0)</f>
        <v>0</v>
      </c>
      <c r="BR38" s="19" t="n">
        <f aca="false">IF(Time!BR32=1,MAX(0,BR32-BR13/Inputs!$F$95),0)</f>
        <v>0</v>
      </c>
      <c r="BS38" s="19" t="n">
        <f aca="false">IF(Time!BS32=1,MAX(0,BS32-BS13/Inputs!$F$95),0)</f>
        <v>0</v>
      </c>
      <c r="BT38" s="19" t="n">
        <f aca="false">IF(Time!BT32=1,MAX(0,BT32-BT13/Inputs!$F$95),0)</f>
        <v>0</v>
      </c>
      <c r="BU38" s="19" t="n">
        <f aca="false">IF(Time!BU32=1,MAX(0,BU32-BU13/Inputs!$F$95),0)</f>
        <v>0</v>
      </c>
      <c r="BV38" s="19" t="n">
        <f aca="false">IF(Time!BV32=1,MAX(0,BV32-BV13/Inputs!$F$95),0)</f>
        <v>0</v>
      </c>
      <c r="BW38" s="19" t="n">
        <f aca="false">IF(Time!BW32=1,MAX(0,BW32-BW13/Inputs!$F$95),0)</f>
        <v>0</v>
      </c>
      <c r="BX38" s="19" t="n">
        <f aca="false">IF(Time!BX32=1,MAX(0,BX32-BX13/Inputs!$F$95),0)</f>
        <v>0</v>
      </c>
      <c r="BY38" s="19" t="n">
        <f aca="false">IF(Time!BY32=1,MAX(0,BY32-BY13/Inputs!$F$95),0)</f>
        <v>0</v>
      </c>
      <c r="BZ38" s="19" t="n">
        <f aca="false">IF(Time!BZ32=1,MAX(0,BZ32-BZ13/Inputs!$F$95),0)</f>
        <v>0</v>
      </c>
      <c r="CA38" s="19" t="n">
        <f aca="false">IF(Time!CA32=1,MAX(0,CA32-CA13/Inputs!$F$95),0)</f>
        <v>0</v>
      </c>
      <c r="CB38" s="19" t="n">
        <f aca="false">IF(Time!CB32=1,MAX(0,CB32-CB13/Inputs!$F$95),0)</f>
        <v>0</v>
      </c>
      <c r="CC38" s="19" t="n">
        <f aca="false">IF(Time!CC32=1,MAX(0,CC32-CC13/Inputs!$F$95),0)</f>
        <v>0</v>
      </c>
      <c r="CD38" s="19" t="n">
        <f aca="false">IF(Time!CD32=1,MAX(0,CD32-CD13/Inputs!$F$95),0)</f>
        <v>0</v>
      </c>
      <c r="CE38" s="19" t="n">
        <f aca="false">IF(Time!CE32=1,MAX(0,CE32-CE13/Inputs!$F$95),0)</f>
        <v>0</v>
      </c>
      <c r="CF38" s="19" t="n">
        <f aca="false">IF(Time!CF32=1,MAX(0,CF32-CF13/Inputs!$F$95),0)</f>
        <v>0</v>
      </c>
      <c r="CG38" s="19" t="n">
        <f aca="false">IF(Time!CG32=1,MAX(0,CG32-CG13/Inputs!$F$95),0)</f>
        <v>0</v>
      </c>
      <c r="CH38" s="19" t="n">
        <f aca="false">IF(Time!CH32=1,MAX(0,CH32-CH13/Inputs!$F$95),0)</f>
        <v>0</v>
      </c>
      <c r="CI38" s="19" t="n">
        <f aca="false">IF(Time!CI32=1,MAX(0,CI32-CI13/Inputs!$F$95),0)</f>
        <v>0</v>
      </c>
      <c r="CJ38" s="19" t="n">
        <f aca="false">IF(Time!CJ32=1,MAX(0,CJ32-CJ13/Inputs!$F$95),0)</f>
        <v>0</v>
      </c>
      <c r="CK38" s="19" t="n">
        <f aca="false">IF(Time!CK32=1,MAX(0,CK32-CK13/Inputs!$F$95),0)</f>
        <v>0</v>
      </c>
      <c r="CL38" s="19" t="n">
        <f aca="false">IF(Time!CL32=1,MAX(0,CL32-CL13/Inputs!$F$95),0)</f>
        <v>0</v>
      </c>
      <c r="CM38" s="19" t="n">
        <f aca="false">IF(Time!CM32=1,MAX(0,CM32-CM13/Inputs!$F$95),0)</f>
        <v>0</v>
      </c>
      <c r="CN38" s="19" t="n">
        <f aca="false">IF(Time!CN32=1,MAX(0,CN32-CN13/Inputs!$F$95),0)</f>
        <v>0</v>
      </c>
      <c r="CO38" s="19" t="n">
        <f aca="false">IF(Time!CO32=1,MAX(0,CO32-CO13/Inputs!$F$95),0)</f>
        <v>0</v>
      </c>
      <c r="CP38" s="19" t="n">
        <f aca="false">IF(Time!CP32=1,MAX(0,CP32-CP13/Inputs!$F$95),0)</f>
        <v>0</v>
      </c>
      <c r="CQ38" s="19" t="n">
        <f aca="false">IF(Time!CQ32=1,MAX(0,CQ32-CQ13/Inputs!$F$95),0)</f>
        <v>0</v>
      </c>
      <c r="CR38" s="19" t="n">
        <f aca="false">IF(Time!CR32=1,MAX(0,CR32-CR13/Inputs!$F$95),0)</f>
        <v>0</v>
      </c>
      <c r="CS38" s="19" t="n">
        <f aca="false">IF(Time!CS32=1,MAX(0,CS32-CS13/Inputs!$F$95),0)</f>
        <v>0</v>
      </c>
      <c r="CT38" s="19" t="n">
        <f aca="false">IF(Time!CT32=1,MAX(0,CT32-CT13/Inputs!$F$95),0)</f>
        <v>0</v>
      </c>
      <c r="CU38" s="19" t="n">
        <f aca="false">IF(Time!CU32=1,MAX(0,CU32-CU13/Inputs!$F$95),0)</f>
        <v>0</v>
      </c>
      <c r="CV38" s="19" t="n">
        <f aca="false">IF(Time!CV32=1,MAX(0,CV32-CV13/Inputs!$F$95),0)</f>
        <v>0</v>
      </c>
      <c r="CW38" s="19" t="n">
        <f aca="false">IF(Time!CW32=1,MAX(0,CW32-CW13/Inputs!$F$95),0)</f>
        <v>0</v>
      </c>
      <c r="CX38" s="19" t="n">
        <f aca="false">IF(Time!CX32=1,MAX(0,CX32-CX13/Inputs!$F$95),0)</f>
        <v>0</v>
      </c>
      <c r="CY38" s="19" t="n">
        <f aca="false">IF(Time!CY32=1,MAX(0,CY32-CY13/Inputs!$F$95),0)</f>
        <v>0</v>
      </c>
      <c r="CZ38" s="19" t="n">
        <f aca="false">IF(Time!CZ32=1,MAX(0,CZ32-CZ13/Inputs!$F$95),0)</f>
        <v>0</v>
      </c>
      <c r="DA38" s="19" t="n">
        <f aca="false">IF(Time!DA32=1,MAX(0,DA32-DA13/Inputs!$F$95),0)</f>
        <v>0</v>
      </c>
      <c r="DB38" s="19" t="n">
        <f aca="false">IF(Time!DB32=1,MAX(0,DB32-DB13/Inputs!$F$95),0)</f>
        <v>0</v>
      </c>
    </row>
    <row r="39" customFormat="false" ht="15" hidden="false" customHeight="false" outlineLevel="0" collapsed="false">
      <c r="D39" s="0" t="s">
        <v>506</v>
      </c>
      <c r="E39" s="0" t="s">
        <v>44</v>
      </c>
      <c r="G39" s="19" t="n">
        <f aca="false">SUM(J39:DB39)</f>
        <v>20.2259264458606</v>
      </c>
      <c r="J39" s="19" t="n">
        <f aca="false">IF($F$24=1,J38,Inputs!J273)</f>
        <v>0</v>
      </c>
      <c r="K39" s="19" t="n">
        <f aca="false">IF($F$24=1,K38,Inputs!K273)</f>
        <v>0</v>
      </c>
      <c r="L39" s="19" t="n">
        <f aca="false">IF($F$24=1,L38,Inputs!L273)</f>
        <v>0</v>
      </c>
      <c r="M39" s="19" t="n">
        <f aca="false">IF($F$24=1,M38,Inputs!M273)</f>
        <v>0</v>
      </c>
      <c r="N39" s="19" t="n">
        <f aca="false">IF($F$24=1,N38,Inputs!N273)</f>
        <v>0</v>
      </c>
      <c r="O39" s="19" t="n">
        <f aca="false">IF($F$24=1,O38,Inputs!O273)</f>
        <v>0</v>
      </c>
      <c r="P39" s="19" t="n">
        <f aca="false">IF($F$24=1,P38,Inputs!P273)</f>
        <v>0</v>
      </c>
      <c r="Q39" s="19" t="n">
        <f aca="false">IF($F$24=1,Q38,Inputs!Q273)</f>
        <v>0</v>
      </c>
      <c r="R39" s="19" t="n">
        <f aca="false">IF($F$24=1,R38,Inputs!R273)</f>
        <v>0</v>
      </c>
      <c r="S39" s="19" t="n">
        <f aca="false">IF($F$24=1,S38,Inputs!S273)</f>
        <v>0</v>
      </c>
      <c r="T39" s="19" t="n">
        <f aca="false">IF($F$24=1,T38,Inputs!T273)</f>
        <v>0</v>
      </c>
      <c r="U39" s="19" t="n">
        <f aca="false">IF($F$24=1,U38,Inputs!U273)</f>
        <v>0</v>
      </c>
      <c r="V39" s="19" t="n">
        <f aca="false">IF($F$24=1,V38,Inputs!V273)</f>
        <v>0</v>
      </c>
      <c r="W39" s="19" t="n">
        <f aca="false">IF($F$24=1,W38,Inputs!W273)</f>
        <v>0</v>
      </c>
      <c r="X39" s="19" t="n">
        <f aca="false">IF($F$24=1,X38,Inputs!X273)</f>
        <v>0</v>
      </c>
      <c r="Y39" s="19" t="n">
        <f aca="false">IF($F$24=1,Y38,Inputs!Y273)</f>
        <v>0</v>
      </c>
      <c r="Z39" s="19" t="n">
        <f aca="false">IF($F$24=1,Z38,Inputs!Z273)</f>
        <v>4.70870458287729</v>
      </c>
      <c r="AA39" s="19" t="n">
        <f aca="false">IF($F$24=1,AA38,Inputs!AA273)</f>
        <v>8.06522077756791</v>
      </c>
      <c r="AB39" s="19" t="n">
        <f aca="false">IF($F$24=1,AB38,Inputs!AB273)</f>
        <v>4.09445721388988</v>
      </c>
      <c r="AC39" s="19" t="n">
        <f aca="false">IF($F$24=1,AC38,Inputs!AC273)</f>
        <v>3.35754387152552</v>
      </c>
      <c r="AD39" s="19" t="n">
        <f aca="false">IF($F$24=1,AD38,Inputs!AD273)</f>
        <v>0</v>
      </c>
      <c r="AE39" s="19" t="n">
        <f aca="false">IF($F$24=1,AE38,Inputs!AE273)</f>
        <v>0</v>
      </c>
      <c r="AF39" s="19" t="n">
        <f aca="false">IF($F$24=1,AF38,Inputs!AF273)</f>
        <v>0</v>
      </c>
      <c r="AG39" s="19" t="n">
        <f aca="false">IF($F$24=1,AG38,Inputs!AG273)</f>
        <v>0</v>
      </c>
      <c r="AH39" s="19" t="n">
        <f aca="false">IF($F$24=1,AH38,Inputs!AH273)</f>
        <v>0</v>
      </c>
      <c r="AI39" s="19" t="n">
        <f aca="false">IF($F$24=1,AI38,Inputs!AI273)</f>
        <v>0</v>
      </c>
      <c r="AJ39" s="19" t="n">
        <f aca="false">IF($F$24=1,AJ38,Inputs!AJ273)</f>
        <v>0</v>
      </c>
      <c r="AK39" s="19" t="n">
        <f aca="false">IF($F$24=1,AK38,Inputs!AK273)</f>
        <v>0</v>
      </c>
      <c r="AL39" s="19" t="n">
        <f aca="false">IF($F$24=1,AL38,Inputs!AL273)</f>
        <v>0</v>
      </c>
      <c r="AM39" s="19" t="n">
        <f aca="false">IF($F$24=1,AM38,Inputs!AM273)</f>
        <v>0</v>
      </c>
      <c r="AN39" s="19" t="n">
        <f aca="false">IF($F$24=1,AN38,Inputs!AN273)</f>
        <v>0</v>
      </c>
      <c r="AO39" s="19" t="n">
        <f aca="false">IF($F$24=1,AO38,Inputs!AO273)</f>
        <v>0</v>
      </c>
      <c r="AP39" s="19" t="n">
        <f aca="false">IF($F$24=1,AP38,Inputs!AP273)</f>
        <v>0</v>
      </c>
      <c r="AQ39" s="19" t="n">
        <f aca="false">IF($F$24=1,AQ38,Inputs!AQ273)</f>
        <v>0</v>
      </c>
      <c r="AR39" s="19" t="n">
        <f aca="false">IF($F$24=1,AR38,Inputs!AR273)</f>
        <v>0</v>
      </c>
      <c r="AS39" s="19" t="n">
        <f aca="false">IF($F$24=1,AS38,Inputs!AS273)</f>
        <v>0</v>
      </c>
      <c r="AT39" s="19" t="n">
        <f aca="false">IF($F$24=1,AT38,Inputs!AT273)</f>
        <v>0</v>
      </c>
      <c r="AU39" s="19" t="n">
        <f aca="false">IF($F$24=1,AU38,Inputs!AU273)</f>
        <v>0</v>
      </c>
      <c r="AV39" s="19" t="n">
        <f aca="false">IF($F$24=1,AV38,Inputs!AV273)</f>
        <v>0</v>
      </c>
      <c r="AW39" s="19" t="n">
        <f aca="false">IF($F$24=1,AW38,Inputs!AW273)</f>
        <v>0</v>
      </c>
      <c r="AX39" s="19" t="n">
        <f aca="false">IF($F$24=1,AX38,Inputs!AX273)</f>
        <v>0</v>
      </c>
      <c r="AY39" s="19" t="n">
        <f aca="false">IF($F$24=1,AY38,Inputs!AY273)</f>
        <v>0</v>
      </c>
      <c r="AZ39" s="19" t="n">
        <f aca="false">IF($F$24=1,AZ38,Inputs!AZ273)</f>
        <v>0</v>
      </c>
      <c r="BA39" s="19" t="n">
        <f aca="false">IF($F$24=1,BA38,Inputs!BA273)</f>
        <v>0</v>
      </c>
      <c r="BB39" s="19" t="n">
        <f aca="false">IF($F$24=1,BB38,Inputs!BB273)</f>
        <v>0</v>
      </c>
      <c r="BC39" s="19" t="n">
        <f aca="false">IF($F$24=1,BC38,Inputs!BC273)</f>
        <v>0</v>
      </c>
      <c r="BD39" s="19" t="n">
        <f aca="false">IF($F$24=1,BD38,Inputs!BD273)</f>
        <v>0</v>
      </c>
      <c r="BE39" s="19" t="n">
        <f aca="false">IF($F$24=1,BE38,Inputs!BE273)</f>
        <v>0</v>
      </c>
      <c r="BF39" s="19" t="n">
        <f aca="false">IF($F$24=1,BF38,Inputs!BF273)</f>
        <v>0</v>
      </c>
      <c r="BG39" s="19" t="n">
        <f aca="false">IF($F$24=1,BG38,Inputs!BG273)</f>
        <v>0</v>
      </c>
      <c r="BH39" s="19" t="n">
        <f aca="false">IF($F$24=1,BH38,Inputs!BH273)</f>
        <v>0</v>
      </c>
      <c r="BI39" s="19" t="n">
        <f aca="false">IF($F$24=1,BI38,Inputs!BI273)</f>
        <v>0</v>
      </c>
      <c r="BJ39" s="19" t="n">
        <f aca="false">IF($F$24=1,BJ38,Inputs!BJ273)</f>
        <v>0</v>
      </c>
      <c r="BK39" s="19" t="n">
        <f aca="false">IF($F$24=1,BK38,Inputs!BK273)</f>
        <v>0</v>
      </c>
      <c r="BL39" s="19" t="n">
        <f aca="false">IF($F$24=1,BL38,Inputs!BL273)</f>
        <v>0</v>
      </c>
      <c r="BM39" s="19" t="n">
        <f aca="false">IF($F$24=1,BM38,Inputs!BM273)</f>
        <v>0</v>
      </c>
      <c r="BN39" s="19" t="n">
        <f aca="false">IF($F$24=1,BN38,Inputs!BN273)</f>
        <v>0</v>
      </c>
      <c r="BO39" s="19" t="n">
        <f aca="false">IF($F$24=1,BO38,Inputs!BO273)</f>
        <v>0</v>
      </c>
      <c r="BP39" s="19" t="n">
        <f aca="false">IF($F$24=1,BP38,Inputs!BP273)</f>
        <v>0</v>
      </c>
      <c r="BQ39" s="19" t="n">
        <f aca="false">IF($F$24=1,BQ38,Inputs!BQ273)</f>
        <v>0</v>
      </c>
      <c r="BR39" s="19" t="n">
        <f aca="false">IF($F$24=1,BR38,Inputs!BR273)</f>
        <v>0</v>
      </c>
      <c r="BS39" s="19" t="n">
        <f aca="false">IF($F$24=1,BS38,Inputs!BS273)</f>
        <v>0</v>
      </c>
      <c r="BT39" s="19" t="n">
        <f aca="false">IF($F$24=1,BT38,Inputs!BT273)</f>
        <v>0</v>
      </c>
      <c r="BU39" s="19" t="n">
        <f aca="false">IF($F$24=1,BU38,Inputs!BU273)</f>
        <v>0</v>
      </c>
      <c r="BV39" s="19" t="n">
        <f aca="false">IF($F$24=1,BV38,Inputs!BV273)</f>
        <v>0</v>
      </c>
      <c r="BW39" s="19" t="n">
        <f aca="false">IF($F$24=1,BW38,Inputs!BW273)</f>
        <v>0</v>
      </c>
      <c r="BX39" s="19" t="n">
        <f aca="false">IF($F$24=1,BX38,Inputs!BX273)</f>
        <v>0</v>
      </c>
      <c r="BY39" s="19" t="n">
        <f aca="false">IF($F$24=1,BY38,Inputs!BY273)</f>
        <v>0</v>
      </c>
      <c r="BZ39" s="19" t="n">
        <f aca="false">IF($F$24=1,BZ38,Inputs!BZ273)</f>
        <v>0</v>
      </c>
      <c r="CA39" s="19" t="n">
        <f aca="false">IF($F$24=1,CA38,Inputs!CA273)</f>
        <v>0</v>
      </c>
      <c r="CB39" s="19" t="n">
        <f aca="false">IF($F$24=1,CB38,Inputs!CB273)</f>
        <v>0</v>
      </c>
      <c r="CC39" s="19" t="n">
        <f aca="false">IF($F$24=1,CC38,Inputs!CC273)</f>
        <v>0</v>
      </c>
      <c r="CD39" s="19" t="n">
        <f aca="false">IF($F$24=1,CD38,Inputs!CD273)</f>
        <v>0</v>
      </c>
      <c r="CE39" s="19" t="n">
        <f aca="false">IF($F$24=1,CE38,Inputs!CE273)</f>
        <v>0</v>
      </c>
      <c r="CF39" s="19" t="n">
        <f aca="false">IF($F$24=1,CF38,Inputs!CF273)</f>
        <v>0</v>
      </c>
      <c r="CG39" s="19" t="n">
        <f aca="false">IF($F$24=1,CG38,Inputs!CG273)</f>
        <v>0</v>
      </c>
      <c r="CH39" s="19" t="n">
        <f aca="false">IF($F$24=1,CH38,Inputs!CH273)</f>
        <v>0</v>
      </c>
      <c r="CI39" s="19" t="n">
        <f aca="false">IF($F$24=1,CI38,Inputs!CI273)</f>
        <v>0</v>
      </c>
      <c r="CJ39" s="19" t="n">
        <f aca="false">IF($F$24=1,CJ38,Inputs!CJ273)</f>
        <v>0</v>
      </c>
      <c r="CK39" s="19" t="n">
        <f aca="false">IF($F$24=1,CK38,Inputs!CK273)</f>
        <v>0</v>
      </c>
      <c r="CL39" s="19" t="n">
        <f aca="false">IF($F$24=1,CL38,Inputs!CL273)</f>
        <v>0</v>
      </c>
      <c r="CM39" s="19" t="n">
        <f aca="false">IF($F$24=1,CM38,Inputs!CM273)</f>
        <v>0</v>
      </c>
      <c r="CN39" s="19" t="n">
        <f aca="false">IF($F$24=1,CN38,Inputs!CN273)</f>
        <v>0</v>
      </c>
      <c r="CO39" s="19" t="n">
        <f aca="false">IF($F$24=1,CO38,Inputs!CO273)</f>
        <v>0</v>
      </c>
      <c r="CP39" s="19" t="n">
        <f aca="false">IF($F$24=1,CP38,Inputs!CP273)</f>
        <v>0</v>
      </c>
      <c r="CQ39" s="19" t="n">
        <f aca="false">IF($F$24=1,CQ38,Inputs!CQ273)</f>
        <v>0</v>
      </c>
      <c r="CR39" s="19" t="n">
        <f aca="false">IF($F$24=1,CR38,Inputs!CR273)</f>
        <v>0</v>
      </c>
      <c r="CS39" s="19" t="n">
        <f aca="false">IF($F$24=1,CS38,Inputs!CS273)</f>
        <v>0</v>
      </c>
      <c r="CT39" s="19" t="n">
        <f aca="false">IF($F$24=1,CT38,Inputs!CT273)</f>
        <v>0</v>
      </c>
      <c r="CU39" s="19" t="n">
        <f aca="false">IF($F$24=1,CU38,Inputs!CU273)</f>
        <v>0</v>
      </c>
      <c r="CV39" s="19" t="n">
        <f aca="false">IF($F$24=1,CV38,Inputs!CV273)</f>
        <v>0</v>
      </c>
      <c r="CW39" s="19" t="n">
        <f aca="false">IF($F$24=1,CW38,Inputs!CW273)</f>
        <v>0</v>
      </c>
      <c r="CX39" s="19" t="n">
        <f aca="false">IF($F$24=1,CX38,Inputs!CX273)</f>
        <v>0</v>
      </c>
      <c r="CY39" s="19" t="n">
        <f aca="false">IF($F$24=1,CY38,Inputs!CY273)</f>
        <v>0</v>
      </c>
      <c r="CZ39" s="19" t="n">
        <f aca="false">IF($F$24=1,CZ38,Inputs!CZ273)</f>
        <v>0</v>
      </c>
      <c r="DA39" s="19" t="n">
        <f aca="false">IF($F$24=1,DA38,Inputs!DA273)</f>
        <v>0</v>
      </c>
      <c r="DB39" s="19" t="n">
        <f aca="false">IF($F$24=1,DB38,Inputs!DB273)</f>
        <v>0</v>
      </c>
    </row>
    <row r="40" customFormat="false" ht="15" hidden="false" customHeight="false" outlineLevel="0" collapsed="false">
      <c r="D40" s="0" t="s">
        <v>507</v>
      </c>
      <c r="E40" s="0" t="s">
        <v>44</v>
      </c>
      <c r="G40" s="19" t="n">
        <f aca="false">SUM(J40:DB40)</f>
        <v>882.130169012998</v>
      </c>
      <c r="J40" s="19" t="n">
        <f aca="false">IF($F$24=1,J35,Inputs!J272)</f>
        <v>0</v>
      </c>
      <c r="K40" s="19" t="n">
        <f aca="false">IF($F$24=1,K35,Inputs!K272)</f>
        <v>0</v>
      </c>
      <c r="L40" s="19" t="n">
        <f aca="false">IF($F$24=1,L35,Inputs!L272)</f>
        <v>0</v>
      </c>
      <c r="M40" s="19" t="n">
        <f aca="false">IF($F$24=1,M35,Inputs!M272)</f>
        <v>0</v>
      </c>
      <c r="N40" s="19" t="n">
        <f aca="false">IF($F$24=1,N35,Inputs!N272)</f>
        <v>0</v>
      </c>
      <c r="O40" s="19" t="n">
        <f aca="false">IF($F$24=1,O35,Inputs!O272)</f>
        <v>0</v>
      </c>
      <c r="P40" s="19" t="n">
        <f aca="false">IF($F$24=1,P35,Inputs!P272)</f>
        <v>0</v>
      </c>
      <c r="Q40" s="19" t="n">
        <f aca="false">IF($F$24=1,Q35,Inputs!Q272)</f>
        <v>0</v>
      </c>
      <c r="R40" s="19" t="n">
        <f aca="false">IF($F$24=1,R35,Inputs!R272)</f>
        <v>0</v>
      </c>
      <c r="S40" s="19" t="n">
        <f aca="false">IF($F$24=1,S35,Inputs!S272)</f>
        <v>0</v>
      </c>
      <c r="T40" s="19" t="n">
        <f aca="false">IF($F$24=1,T35,Inputs!T272)</f>
        <v>0</v>
      </c>
      <c r="U40" s="19" t="n">
        <f aca="false">IF($F$24=1,U35,Inputs!U272)</f>
        <v>0</v>
      </c>
      <c r="V40" s="19" t="n">
        <f aca="false">IF($F$24=1,V35,Inputs!V272)</f>
        <v>0</v>
      </c>
      <c r="W40" s="19" t="n">
        <f aca="false">IF($F$24=1,W35,Inputs!W272)</f>
        <v>0</v>
      </c>
      <c r="X40" s="19" t="n">
        <f aca="false">IF($F$24=1,X35,Inputs!X272)</f>
        <v>0</v>
      </c>
      <c r="Y40" s="19" t="n">
        <f aca="false">IF($F$24=1,Y35,Inputs!Y272)</f>
        <v>0</v>
      </c>
      <c r="Z40" s="19" t="n">
        <f aca="false">IF($F$24=1,Z35,Inputs!Z272)</f>
        <v>0</v>
      </c>
      <c r="AA40" s="19" t="n">
        <f aca="false">IF($F$24=1,AA35,Inputs!AA272)</f>
        <v>0</v>
      </c>
      <c r="AB40" s="19" t="n">
        <f aca="false">IF($F$24=1,AB35,Inputs!AB272)</f>
        <v>0</v>
      </c>
      <c r="AC40" s="19" t="n">
        <f aca="false">IF($F$24=1,AC35,Inputs!AC272)</f>
        <v>0</v>
      </c>
      <c r="AD40" s="19" t="n">
        <f aca="false">IF($F$24=1,AD35,Inputs!AD272)</f>
        <v>0</v>
      </c>
      <c r="AE40" s="19" t="n">
        <f aca="false">IF($F$24=1,AE35,Inputs!AE272)</f>
        <v>0</v>
      </c>
      <c r="AF40" s="19" t="n">
        <f aca="false">IF($F$24=1,AF35,Inputs!AF272)</f>
        <v>0</v>
      </c>
      <c r="AG40" s="19" t="n">
        <f aca="false">IF($F$24=1,AG35,Inputs!AG272)</f>
        <v>0</v>
      </c>
      <c r="AH40" s="19" t="n">
        <f aca="false">IF($F$24=1,AH35,Inputs!AH272)</f>
        <v>0</v>
      </c>
      <c r="AI40" s="19" t="n">
        <f aca="false">IF($F$24=1,AI35,Inputs!AI272)</f>
        <v>0</v>
      </c>
      <c r="AJ40" s="19" t="n">
        <f aca="false">IF($F$24=1,AJ35,Inputs!AJ272)</f>
        <v>0</v>
      </c>
      <c r="AK40" s="19" t="n">
        <f aca="false">IF($F$24=1,AK35,Inputs!AK272)</f>
        <v>0</v>
      </c>
      <c r="AL40" s="19" t="n">
        <f aca="false">IF($F$24=1,AL35,Inputs!AL272)</f>
        <v>0</v>
      </c>
      <c r="AM40" s="19" t="n">
        <f aca="false">IF($F$24=1,AM35,Inputs!AM272)</f>
        <v>0</v>
      </c>
      <c r="AN40" s="19" t="n">
        <f aca="false">IF($F$24=1,AN35,Inputs!AN272)</f>
        <v>0</v>
      </c>
      <c r="AO40" s="19" t="n">
        <f aca="false">IF($F$24=1,AO35,Inputs!AO272)</f>
        <v>0</v>
      </c>
      <c r="AP40" s="19" t="n">
        <f aca="false">IF($F$24=1,AP35,Inputs!AP272)</f>
        <v>0</v>
      </c>
      <c r="AQ40" s="19" t="n">
        <f aca="false">IF($F$24=1,AQ35,Inputs!AQ272)</f>
        <v>0</v>
      </c>
      <c r="AR40" s="19" t="n">
        <f aca="false">IF($F$24=1,AR35,Inputs!AR272)</f>
        <v>0</v>
      </c>
      <c r="AS40" s="19" t="n">
        <f aca="false">IF($F$24=1,AS35,Inputs!AS272)</f>
        <v>0</v>
      </c>
      <c r="AT40" s="19" t="n">
        <f aca="false">IF($F$24=1,AT35,Inputs!AT272)</f>
        <v>0</v>
      </c>
      <c r="AU40" s="19" t="n">
        <f aca="false">IF($F$24=1,AU35,Inputs!AU272)</f>
        <v>0</v>
      </c>
      <c r="AV40" s="19" t="n">
        <f aca="false">IF($F$24=1,AV35,Inputs!AV272)</f>
        <v>0.00854143669764795</v>
      </c>
      <c r="AW40" s="19" t="n">
        <f aca="false">IF($F$24=1,AW35,Inputs!AW272)</f>
        <v>1.8188654606659</v>
      </c>
      <c r="AX40" s="19" t="n">
        <f aca="false">IF($F$24=1,AX35,Inputs!AX272)</f>
        <v>2.15380278569582</v>
      </c>
      <c r="AY40" s="19" t="n">
        <f aca="false">IF($F$24=1,AY35,Inputs!AY272)</f>
        <v>1.8477732657243</v>
      </c>
      <c r="AZ40" s="19" t="n">
        <f aca="false">IF($F$24=1,AZ35,Inputs!AZ272)</f>
        <v>2.2903340475361</v>
      </c>
      <c r="BA40" s="19" t="n">
        <f aca="false">IF($F$24=1,BA35,Inputs!BA272)</f>
        <v>3.41168840760226</v>
      </c>
      <c r="BB40" s="19" t="n">
        <f aca="false">IF($F$24=1,BB35,Inputs!BB272)</f>
        <v>3.7968561509099</v>
      </c>
      <c r="BC40" s="19" t="n">
        <f aca="false">IF($F$24=1,BC35,Inputs!BC272)</f>
        <v>8.24500633497842</v>
      </c>
      <c r="BD40" s="19" t="n">
        <f aca="false">IF($F$24=1,BD35,Inputs!BD272)</f>
        <v>8.76091863485227</v>
      </c>
      <c r="BE40" s="19" t="n">
        <f aca="false">IF($F$24=1,BE35,Inputs!BE272)</f>
        <v>11.7718202138285</v>
      </c>
      <c r="BF40" s="19" t="n">
        <f aca="false">IF($F$24=1,BF35,Inputs!BF272)</f>
        <v>12.3825236893896</v>
      </c>
      <c r="BG40" s="19" t="n">
        <f aca="false">IF($F$24=1,BG35,Inputs!BG272)</f>
        <v>14.0461196572116</v>
      </c>
      <c r="BH40" s="19" t="n">
        <f aca="false">IF($F$24=1,BH35,Inputs!BH272)</f>
        <v>14.859079928644</v>
      </c>
      <c r="BI40" s="19" t="n">
        <f aca="false">IF($F$24=1,BI35,Inputs!BI272)</f>
        <v>16.5676033597876</v>
      </c>
      <c r="BJ40" s="19" t="n">
        <f aca="false">IF($F$24=1,BJ35,Inputs!BJ272)</f>
        <v>17.3058378202104</v>
      </c>
      <c r="BK40" s="19" t="n">
        <f aca="false">IF($F$24=1,BK35,Inputs!BK272)</f>
        <v>19.3078290084499</v>
      </c>
      <c r="BL40" s="19" t="n">
        <f aca="false">IF($F$24=1,BL35,Inputs!BL272)</f>
        <v>20.1175910192576</v>
      </c>
      <c r="BM40" s="19" t="n">
        <f aca="false">IF($F$24=1,BM35,Inputs!BM272)</f>
        <v>22.2705533768037</v>
      </c>
      <c r="BN40" s="19" t="n">
        <f aca="false">IF($F$24=1,BN35,Inputs!BN272)</f>
        <v>23.1556018310152</v>
      </c>
      <c r="BO40" s="19" t="n">
        <f aca="false">IF($F$24=1,BO35,Inputs!BO272)</f>
        <v>18.4990703184665</v>
      </c>
      <c r="BP40" s="19" t="n">
        <f aca="false">IF($F$24=1,BP35,Inputs!BP272)</f>
        <v>19.4772861006713</v>
      </c>
      <c r="BQ40" s="19" t="n">
        <f aca="false">IF($F$24=1,BQ35,Inputs!BQ272)</f>
        <v>21.6141190179319</v>
      </c>
      <c r="BR40" s="19" t="n">
        <f aca="false">IF($F$24=1,BR35,Inputs!BR272)</f>
        <v>21.9991115570427</v>
      </c>
      <c r="BS40" s="19" t="n">
        <f aca="false">IF($F$24=1,BS35,Inputs!BS272)</f>
        <v>24.4409197504442</v>
      </c>
      <c r="BT40" s="19" t="n">
        <f aca="false">IF($F$24=1,BT35,Inputs!BT272)</f>
        <v>24.8798633454126</v>
      </c>
      <c r="BU40" s="19" t="n">
        <f aca="false">IF($F$24=1,BU35,Inputs!BU272)</f>
        <v>34.4655200693578</v>
      </c>
      <c r="BV40" s="19" t="n">
        <f aca="false">IF($F$24=1,BV35,Inputs!BV272)</f>
        <v>35.1451208728523</v>
      </c>
      <c r="BW40" s="19" t="n">
        <f aca="false">IF($F$24=1,BW35,Inputs!BW272)</f>
        <v>38.1031798545429</v>
      </c>
      <c r="BX40" s="19" t="n">
        <f aca="false">IF($F$24=1,BX35,Inputs!BX272)</f>
        <v>39.0986210314139</v>
      </c>
      <c r="BY40" s="19" t="n">
        <f aca="false">IF($F$24=1,BY35,Inputs!BY272)</f>
        <v>42.0056948052348</v>
      </c>
      <c r="BZ40" s="19" t="n">
        <f aca="false">IF($F$24=1,BZ35,Inputs!BZ272)</f>
        <v>42.8276691356576</v>
      </c>
      <c r="CA40" s="19" t="n">
        <f aca="false">IF($F$24=1,CA35,Inputs!CA272)</f>
        <v>41.6656098744902</v>
      </c>
      <c r="CB40" s="19" t="n">
        <f aca="false">IF($F$24=1,CB35,Inputs!CB272)</f>
        <v>42.4480859385433</v>
      </c>
      <c r="CC40" s="19" t="n">
        <f aca="false">IF($F$24=1,CC35,Inputs!CC272)</f>
        <v>45.8839385476507</v>
      </c>
      <c r="CD40" s="19" t="n">
        <f aca="false">IF($F$24=1,CD35,Inputs!CD272)</f>
        <v>46.7458778290808</v>
      </c>
      <c r="CE40" s="19" t="n">
        <f aca="false">IF($F$24=1,CE35,Inputs!CE272)</f>
        <v>48.2124009665059</v>
      </c>
      <c r="CF40" s="19" t="n">
        <f aca="false">IF($F$24=1,CF35,Inputs!CF272)</f>
        <v>43.1947119407219</v>
      </c>
      <c r="CG40" s="19" t="n">
        <f aca="false">IF($F$24=1,CG35,Inputs!CG272)</f>
        <v>47.3050216277163</v>
      </c>
      <c r="CH40" s="19" t="n">
        <f aca="false">IF($F$24=1,CH35,Inputs!CH272)</f>
        <v>0</v>
      </c>
      <c r="CI40" s="19" t="n">
        <f aca="false">IF($F$24=1,CI35,Inputs!CI272)</f>
        <v>0</v>
      </c>
      <c r="CJ40" s="19" t="n">
        <f aca="false">IF($F$24=1,CJ35,Inputs!CJ272)</f>
        <v>0</v>
      </c>
      <c r="CK40" s="19" t="n">
        <f aca="false">IF($F$24=1,CK35,Inputs!CK272)</f>
        <v>0</v>
      </c>
      <c r="CL40" s="19" t="n">
        <f aca="false">IF($F$24=1,CL35,Inputs!CL272)</f>
        <v>0</v>
      </c>
      <c r="CM40" s="19" t="n">
        <f aca="false">IF($F$24=1,CM35,Inputs!CM272)</f>
        <v>0</v>
      </c>
      <c r="CN40" s="19" t="n">
        <f aca="false">IF($F$24=1,CN35,Inputs!CN272)</f>
        <v>0</v>
      </c>
      <c r="CO40" s="19" t="n">
        <f aca="false">IF($F$24=1,CO35,Inputs!CO272)</f>
        <v>0</v>
      </c>
      <c r="CP40" s="19" t="n">
        <f aca="false">IF($F$24=1,CP35,Inputs!CP272)</f>
        <v>0</v>
      </c>
      <c r="CQ40" s="19" t="n">
        <f aca="false">IF($F$24=1,CQ35,Inputs!CQ272)</f>
        <v>0</v>
      </c>
      <c r="CR40" s="19" t="n">
        <f aca="false">IF($F$24=1,CR35,Inputs!CR272)</f>
        <v>0</v>
      </c>
      <c r="CS40" s="19" t="n">
        <f aca="false">IF($F$24=1,CS35,Inputs!CS272)</f>
        <v>0</v>
      </c>
      <c r="CT40" s="19" t="n">
        <f aca="false">IF($F$24=1,CT35,Inputs!CT272)</f>
        <v>0</v>
      </c>
      <c r="CU40" s="19" t="n">
        <f aca="false">IF($F$24=1,CU35,Inputs!CU272)</f>
        <v>0</v>
      </c>
      <c r="CV40" s="19" t="n">
        <f aca="false">IF($F$24=1,CV35,Inputs!CV272)</f>
        <v>0</v>
      </c>
      <c r="CW40" s="19" t="n">
        <f aca="false">IF($F$24=1,CW35,Inputs!CW272)</f>
        <v>0</v>
      </c>
      <c r="CX40" s="19" t="n">
        <f aca="false">IF($F$24=1,CX35,Inputs!CX272)</f>
        <v>0</v>
      </c>
      <c r="CY40" s="19" t="n">
        <f aca="false">IF($F$24=1,CY35,Inputs!CY272)</f>
        <v>0</v>
      </c>
      <c r="CZ40" s="19" t="n">
        <f aca="false">IF($F$24=1,CZ35,Inputs!CZ272)</f>
        <v>0</v>
      </c>
      <c r="DA40" s="19" t="n">
        <f aca="false">IF($F$24=1,DA35,Inputs!DA272)</f>
        <v>0</v>
      </c>
      <c r="DB40" s="19" t="n">
        <f aca="false">IF($F$24=1,DB35,Inputs!DB272)</f>
        <v>0</v>
      </c>
    </row>
    <row r="41" customFormat="false" ht="15" hidden="false" customHeight="false" outlineLevel="0" collapsed="false">
      <c r="D41" s="3" t="s">
        <v>508</v>
      </c>
    </row>
    <row r="42" customFormat="false" ht="15" hidden="false" customHeight="false" outlineLevel="0" collapsed="false">
      <c r="D42" s="0" t="s">
        <v>509</v>
      </c>
      <c r="E42" s="0" t="s">
        <v>44</v>
      </c>
      <c r="J42" s="19" t="n">
        <f aca="false">I47</f>
        <v>0</v>
      </c>
      <c r="K42" s="19" t="n">
        <f aca="false">J47</f>
        <v>0</v>
      </c>
      <c r="L42" s="19" t="n">
        <f aca="false">K47</f>
        <v>0</v>
      </c>
      <c r="M42" s="19" t="n">
        <f aca="false">L47</f>
        <v>0</v>
      </c>
      <c r="N42" s="19" t="n">
        <f aca="false">M47</f>
        <v>0</v>
      </c>
      <c r="O42" s="19" t="n">
        <f aca="false">N47</f>
        <v>5.12606064786148</v>
      </c>
      <c r="P42" s="19" t="n">
        <f aca="false">O47</f>
        <v>53.8868947877714</v>
      </c>
      <c r="Q42" s="19" t="n">
        <f aca="false">P47</f>
        <v>109.581127348816</v>
      </c>
      <c r="R42" s="19" t="n">
        <f aca="false">Q47</f>
        <v>169.058371689688</v>
      </c>
      <c r="S42" s="19" t="n">
        <f aca="false">R47</f>
        <v>229.615326855624</v>
      </c>
      <c r="T42" s="19" t="n">
        <f aca="false">S47</f>
        <v>286.28211338657</v>
      </c>
      <c r="U42" s="19" t="n">
        <f aca="false">T47</f>
        <v>314.779303694778</v>
      </c>
      <c r="V42" s="19" t="n">
        <f aca="false">U47</f>
        <v>338.258886511833</v>
      </c>
      <c r="W42" s="19" t="n">
        <f aca="false">V47</f>
        <v>355.884337959226</v>
      </c>
      <c r="X42" s="19" t="n">
        <f aca="false">W47</f>
        <v>367.534421450566</v>
      </c>
      <c r="Y42" s="19" t="n">
        <f aca="false">X47</f>
        <v>374.008618844512</v>
      </c>
      <c r="Z42" s="19" t="n">
        <f aca="false">Y47</f>
        <v>396.95857605585</v>
      </c>
      <c r="AA42" s="19" t="n">
        <f aca="false">Z47</f>
        <v>396.95857605585</v>
      </c>
      <c r="AB42" s="19" t="n">
        <f aca="false">AA47</f>
        <v>396.95857605585</v>
      </c>
      <c r="AC42" s="19" t="n">
        <f aca="false">AB47</f>
        <v>396.95857605585</v>
      </c>
      <c r="AD42" s="19" t="n">
        <f aca="false">AC47</f>
        <v>396.95857605585</v>
      </c>
      <c r="AE42" s="19" t="n">
        <f aca="false">AD47</f>
        <v>396.95857605585</v>
      </c>
      <c r="AF42" s="19" t="n">
        <f aca="false">AE47</f>
        <v>396.95857605585</v>
      </c>
      <c r="AG42" s="19" t="n">
        <f aca="false">AF47</f>
        <v>396.95857605585</v>
      </c>
      <c r="AH42" s="19" t="n">
        <f aca="false">AG47</f>
        <v>396.95857605585</v>
      </c>
      <c r="AI42" s="19" t="n">
        <f aca="false">AH47</f>
        <v>396.95857605585</v>
      </c>
      <c r="AJ42" s="19" t="n">
        <f aca="false">AI47</f>
        <v>396.95857605585</v>
      </c>
      <c r="AK42" s="19" t="n">
        <f aca="false">AJ47</f>
        <v>396.95857605585</v>
      </c>
      <c r="AL42" s="19" t="n">
        <f aca="false">AK47</f>
        <v>396.95857605585</v>
      </c>
      <c r="AM42" s="19" t="n">
        <f aca="false">AL47</f>
        <v>396.95857605585</v>
      </c>
      <c r="AN42" s="19" t="n">
        <f aca="false">AM47</f>
        <v>396.95857605585</v>
      </c>
      <c r="AO42" s="19" t="n">
        <f aca="false">AN47</f>
        <v>396.95857605585</v>
      </c>
      <c r="AP42" s="19" t="n">
        <f aca="false">AO47</f>
        <v>396.95857605585</v>
      </c>
      <c r="AQ42" s="19" t="n">
        <f aca="false">AP47</f>
        <v>396.95857605585</v>
      </c>
      <c r="AR42" s="19" t="n">
        <f aca="false">AQ47</f>
        <v>396.95857605585</v>
      </c>
      <c r="AS42" s="19" t="n">
        <f aca="false">AR47</f>
        <v>396.95857605585</v>
      </c>
      <c r="AT42" s="19" t="n">
        <f aca="false">AS47</f>
        <v>396.95857605585</v>
      </c>
      <c r="AU42" s="19" t="n">
        <f aca="false">AT47</f>
        <v>396.95857605585</v>
      </c>
      <c r="AV42" s="19" t="n">
        <f aca="false">AU47</f>
        <v>396.95857605585</v>
      </c>
      <c r="AW42" s="19" t="n">
        <f aca="false">AV47</f>
        <v>396.954732409336</v>
      </c>
      <c r="AX42" s="19" t="n">
        <f aca="false">AW47</f>
        <v>396.136242952036</v>
      </c>
      <c r="AY42" s="19" t="n">
        <f aca="false">AX47</f>
        <v>395.167031698473</v>
      </c>
      <c r="AZ42" s="19" t="n">
        <f aca="false">AY47</f>
        <v>394.335533728897</v>
      </c>
      <c r="BA42" s="19" t="n">
        <f aca="false">AZ47</f>
        <v>393.304883407506</v>
      </c>
      <c r="BB42" s="19" t="n">
        <f aca="false">BA47</f>
        <v>391.769623624085</v>
      </c>
      <c r="BC42" s="19" t="n">
        <f aca="false">BB47</f>
        <v>390.061038356176</v>
      </c>
      <c r="BD42" s="19" t="n">
        <f aca="false">BC47</f>
        <v>386.350785505435</v>
      </c>
      <c r="BE42" s="19" t="n">
        <f aca="false">BD47</f>
        <v>382.408372119752</v>
      </c>
      <c r="BF42" s="19" t="n">
        <f aca="false">BE47</f>
        <v>377.111053023529</v>
      </c>
      <c r="BG42" s="19" t="n">
        <f aca="false">BF47</f>
        <v>371.538917363304</v>
      </c>
      <c r="BH42" s="19" t="n">
        <f aca="false">BG47</f>
        <v>365.218163517559</v>
      </c>
      <c r="BI42" s="19" t="n">
        <f aca="false">BH47</f>
        <v>358.531577549669</v>
      </c>
      <c r="BJ42" s="19" t="n">
        <f aca="false">BI47</f>
        <v>351.076156037764</v>
      </c>
      <c r="BK42" s="19" t="n">
        <f aca="false">BJ47</f>
        <v>343.28852901867</v>
      </c>
      <c r="BL42" s="19" t="n">
        <f aca="false">BK47</f>
        <v>334.600005964867</v>
      </c>
      <c r="BM42" s="19" t="n">
        <f aca="false">BL47</f>
        <v>325.547090006201</v>
      </c>
      <c r="BN42" s="19" t="n">
        <f aca="false">BM47</f>
        <v>315.52534098664</v>
      </c>
      <c r="BO42" s="19" t="n">
        <f aca="false">BN47</f>
        <v>305.105320162683</v>
      </c>
      <c r="BP42" s="19" t="n">
        <f aca="false">BO47</f>
        <v>296.780738519373</v>
      </c>
      <c r="BQ42" s="19" t="n">
        <f aca="false">BP47</f>
        <v>288.015959774071</v>
      </c>
      <c r="BR42" s="19" t="n">
        <f aca="false">BQ47</f>
        <v>278.289606216002</v>
      </c>
      <c r="BS42" s="19" t="n">
        <f aca="false">BR47</f>
        <v>268.390006015332</v>
      </c>
      <c r="BT42" s="19" t="n">
        <f aca="false">BS47</f>
        <v>257.391592127632</v>
      </c>
      <c r="BU42" s="19" t="n">
        <f aca="false">BT47</f>
        <v>246.195653622197</v>
      </c>
      <c r="BV42" s="19" t="n">
        <f aca="false">BU47</f>
        <v>230.686169590986</v>
      </c>
      <c r="BW42" s="19" t="n">
        <f aca="false">BV47</f>
        <v>214.870865198202</v>
      </c>
      <c r="BX42" s="19" t="n">
        <f aca="false">BW47</f>
        <v>197.724434263658</v>
      </c>
      <c r="BY42" s="19" t="n">
        <f aca="false">BX47</f>
        <v>180.130054799522</v>
      </c>
      <c r="BZ42" s="19" t="n">
        <f aca="false">BY47</f>
        <v>161.227492137166</v>
      </c>
      <c r="CA42" s="19" t="n">
        <f aca="false">BZ47</f>
        <v>141.95504102612</v>
      </c>
      <c r="CB42" s="19" t="n">
        <f aca="false">CA47</f>
        <v>123.205516582599</v>
      </c>
      <c r="CC42" s="19" t="n">
        <f aca="false">CB47</f>
        <v>104.103877910255</v>
      </c>
      <c r="CD42" s="19" t="n">
        <f aca="false">CC47</f>
        <v>83.4561055638122</v>
      </c>
      <c r="CE42" s="19" t="n">
        <f aca="false">CD47</f>
        <v>62.4204605407258</v>
      </c>
      <c r="CF42" s="19" t="n">
        <f aca="false">CE47</f>
        <v>40.7248801057982</v>
      </c>
      <c r="CG42" s="19" t="n">
        <f aca="false">CF47</f>
        <v>21.2872597324733</v>
      </c>
      <c r="CH42" s="19" t="n">
        <f aca="false">CG47</f>
        <v>9.45021838560933E-013</v>
      </c>
      <c r="CI42" s="19" t="n">
        <f aca="false">CH47</f>
        <v>9.45021838560933E-013</v>
      </c>
      <c r="CJ42" s="19" t="n">
        <f aca="false">CI47</f>
        <v>9.45021838560933E-013</v>
      </c>
      <c r="CK42" s="19" t="n">
        <f aca="false">CJ47</f>
        <v>9.45021838560933E-013</v>
      </c>
      <c r="CL42" s="19" t="n">
        <f aca="false">CK47</f>
        <v>9.45021838560933E-013</v>
      </c>
      <c r="CM42" s="19" t="n">
        <f aca="false">CL47</f>
        <v>9.45021838560933E-013</v>
      </c>
      <c r="CN42" s="19" t="n">
        <f aca="false">CM47</f>
        <v>9.45021838560933E-013</v>
      </c>
      <c r="CO42" s="19" t="n">
        <f aca="false">CN47</f>
        <v>9.45021838560933E-013</v>
      </c>
      <c r="CP42" s="19" t="n">
        <f aca="false">CO47</f>
        <v>9.45021838560933E-013</v>
      </c>
      <c r="CQ42" s="19" t="n">
        <f aca="false">CP47</f>
        <v>9.45021838560933E-013</v>
      </c>
      <c r="CR42" s="19" t="n">
        <f aca="false">CQ47</f>
        <v>9.45021838560933E-013</v>
      </c>
      <c r="CS42" s="19" t="n">
        <f aca="false">CR47</f>
        <v>9.45021838560933E-013</v>
      </c>
      <c r="CT42" s="19" t="n">
        <f aca="false">CS47</f>
        <v>9.45021838560933E-013</v>
      </c>
      <c r="CU42" s="19" t="n">
        <f aca="false">CT47</f>
        <v>9.45021838560933E-013</v>
      </c>
      <c r="CV42" s="19" t="n">
        <f aca="false">CU47</f>
        <v>9.45021838560933E-013</v>
      </c>
      <c r="CW42" s="19" t="n">
        <f aca="false">CV47</f>
        <v>9.45021838560933E-013</v>
      </c>
      <c r="CX42" s="19" t="n">
        <f aca="false">CW47</f>
        <v>9.45021838560933E-013</v>
      </c>
      <c r="CY42" s="19" t="n">
        <f aca="false">CX47</f>
        <v>9.45021838560933E-013</v>
      </c>
      <c r="CZ42" s="19" t="n">
        <f aca="false">CY47</f>
        <v>9.45021838560933E-013</v>
      </c>
      <c r="DA42" s="19" t="n">
        <f aca="false">CZ47</f>
        <v>9.45021838560933E-013</v>
      </c>
      <c r="DB42" s="19" t="n">
        <f aca="false">DA47</f>
        <v>9.45021838560933E-013</v>
      </c>
    </row>
    <row r="43" customFormat="false" ht="15" hidden="false" customHeight="false" outlineLevel="0" collapsed="false">
      <c r="D43" s="0" t="s">
        <v>510</v>
      </c>
      <c r="E43" s="0" t="s">
        <v>44</v>
      </c>
      <c r="G43" s="19" t="n">
        <f aca="false">SUM(J43:DB43)</f>
        <v>589.504375218687</v>
      </c>
      <c r="J43" s="19" t="n">
        <f aca="false">J42*J8*Time!J9/Inputs!$F$45</f>
        <v>0</v>
      </c>
      <c r="K43" s="19" t="n">
        <f aca="false">K42*K8*Time!K9/Inputs!$F$45</f>
        <v>0</v>
      </c>
      <c r="L43" s="19" t="n">
        <f aca="false">L42*L8*Time!L9/Inputs!$F$45</f>
        <v>0</v>
      </c>
      <c r="M43" s="19" t="n">
        <f aca="false">M42*M8*Time!M9/Inputs!$F$45</f>
        <v>0</v>
      </c>
      <c r="N43" s="19" t="n">
        <f aca="false">N42*N8*Time!N9/Inputs!$F$45</f>
        <v>0</v>
      </c>
      <c r="O43" s="19" t="n">
        <f aca="false">O42*O8*Time!O9/Inputs!$F$45</f>
        <v>0.0753264079201914</v>
      </c>
      <c r="P43" s="19" t="n">
        <f aca="false">P42*P8*Time!P9/Inputs!$F$45</f>
        <v>0.791856846256687</v>
      </c>
      <c r="Q43" s="19" t="n">
        <f aca="false">Q42*Q8*Time!Q9/Inputs!$F$45</f>
        <v>1.57526623342257</v>
      </c>
      <c r="R43" s="19" t="n">
        <f aca="false">R42*R8*Time!R9/Inputs!$F$45</f>
        <v>2.45727501185015</v>
      </c>
      <c r="S43" s="19" t="n">
        <f aca="false">S42*S8*Time!S9/Inputs!$F$45</f>
        <v>3.37415004691184</v>
      </c>
      <c r="T43" s="19" t="n">
        <f aca="false">T42*T8*Time!T9/Inputs!$F$45</f>
        <v>4.20685683112386</v>
      </c>
      <c r="U43" s="19" t="n">
        <f aca="false">U42*U8*Time!U9/Inputs!$F$45</f>
        <v>4.52506029174383</v>
      </c>
      <c r="V43" s="19" t="n">
        <f aca="false">V42*V8*Time!V9/Inputs!$F$45</f>
        <v>4.91661608386638</v>
      </c>
      <c r="W43" s="19" t="n">
        <f aca="false">W42*W8*Time!W9/Inputs!$F$45</f>
        <v>5.22964721939206</v>
      </c>
      <c r="X43" s="19" t="n">
        <f aca="false">X42*X8*Time!X9/Inputs!$F$45</f>
        <v>5.40084280244453</v>
      </c>
      <c r="Y43" s="19" t="n">
        <f aca="false">Y42*Y8*Time!Y9/Inputs!$F$45</f>
        <v>5.3765019810333</v>
      </c>
      <c r="Z43" s="19" t="n">
        <f aca="false">Z42*Z8*Time!Z9/Inputs!$F$45</f>
        <v>5.76982009191535</v>
      </c>
      <c r="AA43" s="19" t="n">
        <f aca="false">AA42*AA8*Time!AA9/Inputs!$F$45</f>
        <v>11.66644941662</v>
      </c>
      <c r="AB43" s="19" t="n">
        <f aca="false">AB42*AB8*Time!AB9/Inputs!$F$45</f>
        <v>11.6320825919533</v>
      </c>
      <c r="AC43" s="19" t="n">
        <f aca="false">AC42*AC8*Time!AC9/Inputs!$F$45</f>
        <v>12.1667259782247</v>
      </c>
      <c r="AD43" s="19" t="n">
        <f aca="false">AD42*AD8*Time!AD9/Inputs!$F$45</f>
        <v>11.968355445971</v>
      </c>
      <c r="AE43" s="19" t="n">
        <f aca="false">AE42*AE8*Time!AE9/Inputs!$F$45</f>
        <v>12.1667259782247</v>
      </c>
      <c r="AF43" s="19" t="n">
        <f aca="false">AF42*AF8*Time!AF9/Inputs!$F$45</f>
        <v>11.8389360745994</v>
      </c>
      <c r="AG43" s="19" t="n">
        <f aca="false">AG42*AG8*Time!AG9/Inputs!$F$45</f>
        <v>11.4663387919782</v>
      </c>
      <c r="AH43" s="19" t="n">
        <f aca="false">AH42*AH8*Time!AH9/Inputs!$F$45</f>
        <v>11.279387616022</v>
      </c>
      <c r="AI43" s="19" t="n">
        <f aca="false">AI42*AI8*Time!AI9/Inputs!$F$45</f>
        <v>11.4663387919782</v>
      </c>
      <c r="AJ43" s="19" t="n">
        <f aca="false">AJ42*AJ8*Time!AJ9/Inputs!$F$45</f>
        <v>11.3417046746741</v>
      </c>
      <c r="AK43" s="19" t="n">
        <f aca="false">AK42*AK8*Time!AK9/Inputs!$F$45</f>
        <v>11.4663387919782</v>
      </c>
      <c r="AL43" s="19" t="n">
        <f aca="false">AL42*AL8*Time!AL9/Inputs!$F$45</f>
        <v>11.279387616022</v>
      </c>
      <c r="AM43" s="19" t="n">
        <f aca="false">AM42*AM8*Time!AM9/Inputs!$F$45</f>
        <v>11.4663387919782</v>
      </c>
      <c r="AN43" s="19" t="n">
        <f aca="false">AN42*AN8*Time!AN9/Inputs!$F$45</f>
        <v>11.279387616022</v>
      </c>
      <c r="AO43" s="19" t="n">
        <f aca="false">AO42*AO8*Time!AO9/Inputs!$F$45</f>
        <v>11.4663387919782</v>
      </c>
      <c r="AP43" s="19" t="n">
        <f aca="false">AP42*AP8*Time!AP9/Inputs!$F$45</f>
        <v>11.279387616022</v>
      </c>
      <c r="AQ43" s="19" t="n">
        <f aca="false">AQ42*AQ8*Time!AQ9/Inputs!$F$45</f>
        <v>11.4663387919782</v>
      </c>
      <c r="AR43" s="19" t="n">
        <f aca="false">AR42*AR8*Time!AR9/Inputs!$F$45</f>
        <v>11.3417046746741</v>
      </c>
      <c r="AS43" s="19" t="n">
        <f aca="false">AS42*AS8*Time!AS9/Inputs!$F$45</f>
        <v>11.4663387919782</v>
      </c>
      <c r="AT43" s="19" t="n">
        <f aca="false">AT42*AT8*Time!AT9/Inputs!$F$45</f>
        <v>11.279387616022</v>
      </c>
      <c r="AU43" s="19" t="n">
        <f aca="false">AU42*AU8*Time!AU9/Inputs!$F$45</f>
        <v>11.4663387919782</v>
      </c>
      <c r="AV43" s="19" t="n">
        <f aca="false">AV42*AV8*Time!AV9/Inputs!$F$45</f>
        <v>11.279387616022</v>
      </c>
      <c r="AW43" s="19" t="n">
        <f aca="false">AW42*AW8*Time!AW9/Inputs!$F$45</f>
        <v>11.4662277664058</v>
      </c>
      <c r="AX43" s="19" t="n">
        <f aca="false">AX42*AX8*Time!AX9/Inputs!$F$45</f>
        <v>11.2560214151465</v>
      </c>
      <c r="AY43" s="19" t="n">
        <f aca="false">AY42*AY8*Time!AY9/Inputs!$F$45</f>
        <v>11.4145891742557</v>
      </c>
      <c r="AZ43" s="19" t="n">
        <f aca="false">AZ42*AZ8*Time!AZ9/Inputs!$F$45</f>
        <v>11.2667604028635</v>
      </c>
      <c r="BA43" s="19" t="n">
        <f aca="false">BA42*BA8*Time!BA9/Inputs!$F$45</f>
        <v>11.3608001280603</v>
      </c>
      <c r="BB43" s="19" t="n">
        <f aca="false">BB42*BB8*Time!BB9/Inputs!$F$45</f>
        <v>11.1319460205273</v>
      </c>
      <c r="BC43" s="19" t="n">
        <f aca="false">BC42*BC8*Time!BC9/Inputs!$F$45</f>
        <v>11.2671001084845</v>
      </c>
      <c r="BD43" s="19" t="n">
        <f aca="false">BD42*BD8*Time!BD9/Inputs!$F$45</f>
        <v>10.977972333459</v>
      </c>
      <c r="BE43" s="19" t="n">
        <f aca="false">BE42*BE8*Time!BE9/Inputs!$F$45</f>
        <v>11.0460491751588</v>
      </c>
      <c r="BF43" s="19" t="n">
        <f aca="false">BF42*BF8*Time!BF9/Inputs!$F$45</f>
        <v>10.7154297649943</v>
      </c>
      <c r="BG43" s="19" t="n">
        <f aca="false">BG42*BG8*Time!BG9/Inputs!$F$45</f>
        <v>10.7695390293254</v>
      </c>
      <c r="BH43" s="19" t="n">
        <f aca="false">BH42*BH8*Time!BH9/Inputs!$F$45</f>
        <v>10.4712550170171</v>
      </c>
      <c r="BI43" s="19" t="n">
        <f aca="false">BI42*BI8*Time!BI9/Inputs!$F$45</f>
        <v>10.3925043574671</v>
      </c>
      <c r="BJ43" s="19" t="n">
        <f aca="false">BJ42*BJ8*Time!BJ9/Inputs!$F$45</f>
        <v>10.0104797094878</v>
      </c>
      <c r="BK43" s="19" t="n">
        <f aca="false">BK42*BK8*Time!BK9/Inputs!$F$45</f>
        <v>9.95066475895212</v>
      </c>
      <c r="BL43" s="19" t="n">
        <f aca="false">BL42*BL8*Time!BL9/Inputs!$F$45</f>
        <v>9.54068373172426</v>
      </c>
      <c r="BM43" s="19" t="n">
        <f aca="false">BM42*BM8*Time!BM9/Inputs!$F$45</f>
        <v>9.43640606100167</v>
      </c>
      <c r="BN43" s="19" t="n">
        <f aca="false">BN42*BN8*Time!BN9/Inputs!$F$45</f>
        <v>8.99679448306425</v>
      </c>
      <c r="BO43" s="19" t="n">
        <f aca="false">BO42*BO8*Time!BO9/Inputs!$F$45</f>
        <v>8.84387475978407</v>
      </c>
      <c r="BP43" s="19" t="n">
        <f aca="false">BP42*BP8*Time!BP9/Inputs!$F$45</f>
        <v>8.50906966741161</v>
      </c>
      <c r="BQ43" s="19" t="n">
        <f aca="false">BQ42*BQ8*Time!BQ9/Inputs!$F$45</f>
        <v>8.34851740934156</v>
      </c>
      <c r="BR43" s="19" t="n">
        <f aca="false">BR42*BR8*Time!BR9/Inputs!$F$45</f>
        <v>7.93506596354257</v>
      </c>
      <c r="BS43" s="19" t="n">
        <f aca="false">BS42*BS8*Time!BS9/Inputs!$F$45</f>
        <v>7.77963359901977</v>
      </c>
      <c r="BT43" s="19" t="n">
        <f aca="false">BT42*BT8*Time!BT9/Inputs!$F$45</f>
        <v>7.33918628785845</v>
      </c>
      <c r="BU43" s="19" t="n">
        <f aca="false">BU42*BU8*Time!BU9/Inputs!$F$45</f>
        <v>7.1363014118434</v>
      </c>
      <c r="BV43" s="19" t="n">
        <f aca="false">BV42*BV8*Time!BV9/Inputs!$F$45</f>
        <v>6.57771591785804</v>
      </c>
      <c r="BW43" s="19" t="n">
        <f aca="false">BW42*BW8*Time!BW9/Inputs!$F$45</f>
        <v>6.2283116542383</v>
      </c>
      <c r="BX43" s="19" t="n">
        <f aca="false">BX42*BX8*Time!BX9/Inputs!$F$45</f>
        <v>5.66900330018954</v>
      </c>
      <c r="BY43" s="19" t="n">
        <f aca="false">BY42*BY8*Time!BY9/Inputs!$F$45</f>
        <v>5.22130405418888</v>
      </c>
      <c r="BZ43" s="19" t="n">
        <f aca="false">BZ42*BZ8*Time!BZ9/Inputs!$F$45</f>
        <v>4.59719212169193</v>
      </c>
      <c r="CA43" s="19" t="n">
        <f aca="false">CA42*CA8*Time!CA9/Inputs!$F$45</f>
        <v>4.11475160015438</v>
      </c>
      <c r="CB43" s="19" t="n">
        <f aca="false">CB42*CB8*Time!CB9/Inputs!$F$45</f>
        <v>3.51304496940659</v>
      </c>
      <c r="CC43" s="19" t="n">
        <f aca="false">CC42*CC8*Time!CC9/Inputs!$F$45</f>
        <v>3.01758637887808</v>
      </c>
      <c r="CD43" s="19" t="n">
        <f aca="false">CD42*CD8*Time!CD9/Inputs!$F$45</f>
        <v>2.37964224289144</v>
      </c>
      <c r="CE43" s="19" t="n">
        <f aca="false">CE42*CE8*Time!CE9/Inputs!$F$45</f>
        <v>1.80933828087912</v>
      </c>
      <c r="CF43" s="19" t="n">
        <f aca="false">CF42*CF8*Time!CF9/Inputs!$F$45</f>
        <v>1.16763252138953</v>
      </c>
      <c r="CG43" s="19" t="n">
        <f aca="false">CG42*CG8*Time!CG9/Inputs!$F$45</f>
        <v>0.61703892594402</v>
      </c>
      <c r="CH43" s="19" t="n">
        <f aca="false">CH42*CH8*Time!CH9/Inputs!$F$45</f>
        <v>2.69460679036244E-014</v>
      </c>
      <c r="CI43" s="19" t="n">
        <f aca="false">CI42*CI8*Time!CI9/Inputs!$F$45</f>
        <v>2.73926878136292E-014</v>
      </c>
      <c r="CJ43" s="19" t="n">
        <f aca="false">CJ42*CJ8*Time!CJ9/Inputs!$F$45</f>
        <v>2.69460679036244E-014</v>
      </c>
      <c r="CK43" s="19" t="n">
        <f aca="false">CK42*CK8*Time!CK9/Inputs!$F$45</f>
        <v>2.73926878136292E-014</v>
      </c>
      <c r="CL43" s="19" t="n">
        <f aca="false">CL42*CL8*Time!CL9/Inputs!$F$45</f>
        <v>2.69460679036244E-014</v>
      </c>
      <c r="CM43" s="19" t="n">
        <f aca="false">CM42*CM8*Time!CM9/Inputs!$F$45</f>
        <v>2.73926878136292E-014</v>
      </c>
      <c r="CN43" s="19" t="n">
        <f aca="false">CN42*CN8*Time!CN9/Inputs!$F$45</f>
        <v>2.70949412069594E-014</v>
      </c>
      <c r="CO43" s="19" t="n">
        <f aca="false">CO42*CO8*Time!CO9/Inputs!$F$45</f>
        <v>2.73926878136292E-014</v>
      </c>
      <c r="CP43" s="19" t="n">
        <f aca="false">CP42*CP8*Time!CP9/Inputs!$F$45</f>
        <v>2.69460679036244E-014</v>
      </c>
      <c r="CQ43" s="19" t="n">
        <f aca="false">CQ42*CQ8*Time!CQ9/Inputs!$F$45</f>
        <v>2.73926878136292E-014</v>
      </c>
      <c r="CR43" s="19" t="n">
        <f aca="false">CR42*CR8*Time!CR9/Inputs!$F$45</f>
        <v>2.69460679036244E-014</v>
      </c>
      <c r="CS43" s="19" t="n">
        <f aca="false">CS42*CS8*Time!CS9/Inputs!$F$45</f>
        <v>2.73926878136292E-014</v>
      </c>
      <c r="CT43" s="19" t="n">
        <f aca="false">CT42*CT8*Time!CT9/Inputs!$F$45</f>
        <v>2.69460679036244E-014</v>
      </c>
      <c r="CU43" s="19" t="n">
        <f aca="false">CU42*CU8*Time!CU9/Inputs!$F$45</f>
        <v>2.73926878136292E-014</v>
      </c>
      <c r="CV43" s="19" t="n">
        <f aca="false">CV42*CV8*Time!CV9/Inputs!$F$45</f>
        <v>2.70949412069594E-014</v>
      </c>
      <c r="CW43" s="19" t="n">
        <f aca="false">CW42*CW8*Time!CW9/Inputs!$F$45</f>
        <v>2.73926878136292E-014</v>
      </c>
      <c r="CX43" s="19" t="n">
        <f aca="false">CX42*CX8*Time!CX9/Inputs!$F$45</f>
        <v>2.69460679036244E-014</v>
      </c>
      <c r="CY43" s="19" t="n">
        <f aca="false">CY42*CY8*Time!CY9/Inputs!$F$45</f>
        <v>2.73926878136292E-014</v>
      </c>
      <c r="CZ43" s="19" t="n">
        <f aca="false">CZ42*CZ8*Time!CZ9/Inputs!$F$45</f>
        <v>2.69460679036244E-014</v>
      </c>
      <c r="DA43" s="19" t="n">
        <f aca="false">DA42*DA8*Time!DA9/Inputs!$F$45</f>
        <v>2.73926878136292E-014</v>
      </c>
      <c r="DB43" s="19" t="n">
        <f aca="false">DB42*DB8*Time!DB9/Inputs!$F$45</f>
        <v>2.69460679036244E-014</v>
      </c>
    </row>
    <row r="44" customFormat="false" ht="15" hidden="false" customHeight="false" outlineLevel="0" collapsed="false">
      <c r="D44" s="0" t="s">
        <v>511</v>
      </c>
      <c r="E44" s="0" t="s">
        <v>44</v>
      </c>
      <c r="G44" s="19" t="n">
        <f aca="false">SUM(J44:DB44)</f>
        <v>551.574975462721</v>
      </c>
      <c r="J44" s="19" t="n">
        <f aca="false">J43*(1-Time!J20)</f>
        <v>0</v>
      </c>
      <c r="K44" s="19" t="n">
        <f aca="false">K43*(1-Time!K20)</f>
        <v>0</v>
      </c>
      <c r="L44" s="19" t="n">
        <f aca="false">L43*(1-Time!L20)</f>
        <v>0</v>
      </c>
      <c r="M44" s="19" t="n">
        <f aca="false">M43*(1-Time!M20)</f>
        <v>0</v>
      </c>
      <c r="N44" s="19" t="n">
        <f aca="false">N43*(1-Time!N20)</f>
        <v>0</v>
      </c>
      <c r="O44" s="19" t="n">
        <f aca="false">O43*(1-Time!O20)</f>
        <v>0</v>
      </c>
      <c r="P44" s="19" t="n">
        <f aca="false">P43*(1-Time!P20)</f>
        <v>0</v>
      </c>
      <c r="Q44" s="19" t="n">
        <f aca="false">Q43*(1-Time!Q20)</f>
        <v>0</v>
      </c>
      <c r="R44" s="19" t="n">
        <f aca="false">R43*(1-Time!R20)</f>
        <v>0</v>
      </c>
      <c r="S44" s="19" t="n">
        <f aca="false">S43*(1-Time!S20)</f>
        <v>0</v>
      </c>
      <c r="T44" s="19" t="n">
        <f aca="false">T43*(1-Time!T20)</f>
        <v>0</v>
      </c>
      <c r="U44" s="19" t="n">
        <f aca="false">U43*(1-Time!U20)</f>
        <v>0</v>
      </c>
      <c r="V44" s="19" t="n">
        <f aca="false">V43*(1-Time!V20)</f>
        <v>0</v>
      </c>
      <c r="W44" s="19" t="n">
        <f aca="false">W43*(1-Time!W20)</f>
        <v>0</v>
      </c>
      <c r="X44" s="19" t="n">
        <f aca="false">X43*(1-Time!X20)</f>
        <v>0</v>
      </c>
      <c r="Y44" s="19" t="n">
        <f aca="false">Y43*(1-Time!Y20)</f>
        <v>0</v>
      </c>
      <c r="Z44" s="19" t="n">
        <f aca="false">Z43*(1-Time!Z20)</f>
        <v>5.76982009191535</v>
      </c>
      <c r="AA44" s="19" t="n">
        <f aca="false">AA43*(1-Time!AA20)</f>
        <v>11.66644941662</v>
      </c>
      <c r="AB44" s="19" t="n">
        <f aca="false">AB43*(1-Time!AB20)</f>
        <v>11.6320825919533</v>
      </c>
      <c r="AC44" s="19" t="n">
        <f aca="false">AC43*(1-Time!AC20)</f>
        <v>12.1667259782247</v>
      </c>
      <c r="AD44" s="19" t="n">
        <f aca="false">AD43*(1-Time!AD20)</f>
        <v>11.968355445971</v>
      </c>
      <c r="AE44" s="19" t="n">
        <f aca="false">AE43*(1-Time!AE20)</f>
        <v>12.1667259782247</v>
      </c>
      <c r="AF44" s="19" t="n">
        <f aca="false">AF43*(1-Time!AF20)</f>
        <v>11.8389360745994</v>
      </c>
      <c r="AG44" s="19" t="n">
        <f aca="false">AG43*(1-Time!AG20)</f>
        <v>11.4663387919782</v>
      </c>
      <c r="AH44" s="19" t="n">
        <f aca="false">AH43*(1-Time!AH20)</f>
        <v>11.279387616022</v>
      </c>
      <c r="AI44" s="19" t="n">
        <f aca="false">AI43*(1-Time!AI20)</f>
        <v>11.4663387919782</v>
      </c>
      <c r="AJ44" s="19" t="n">
        <f aca="false">AJ43*(1-Time!AJ20)</f>
        <v>11.3417046746741</v>
      </c>
      <c r="AK44" s="19" t="n">
        <f aca="false">AK43*(1-Time!AK20)</f>
        <v>11.4663387919782</v>
      </c>
      <c r="AL44" s="19" t="n">
        <f aca="false">AL43*(1-Time!AL20)</f>
        <v>11.279387616022</v>
      </c>
      <c r="AM44" s="19" t="n">
        <f aca="false">AM43*(1-Time!AM20)</f>
        <v>11.4663387919782</v>
      </c>
      <c r="AN44" s="19" t="n">
        <f aca="false">AN43*(1-Time!AN20)</f>
        <v>11.279387616022</v>
      </c>
      <c r="AO44" s="19" t="n">
        <f aca="false">AO43*(1-Time!AO20)</f>
        <v>11.4663387919782</v>
      </c>
      <c r="AP44" s="19" t="n">
        <f aca="false">AP43*(1-Time!AP20)</f>
        <v>11.279387616022</v>
      </c>
      <c r="AQ44" s="19" t="n">
        <f aca="false">AQ43*(1-Time!AQ20)</f>
        <v>11.4663387919782</v>
      </c>
      <c r="AR44" s="19" t="n">
        <f aca="false">AR43*(1-Time!AR20)</f>
        <v>11.3417046746741</v>
      </c>
      <c r="AS44" s="19" t="n">
        <f aca="false">AS43*(1-Time!AS20)</f>
        <v>11.4663387919782</v>
      </c>
      <c r="AT44" s="19" t="n">
        <f aca="false">AT43*(1-Time!AT20)</f>
        <v>11.279387616022</v>
      </c>
      <c r="AU44" s="19" t="n">
        <f aca="false">AU43*(1-Time!AU20)</f>
        <v>11.4663387919782</v>
      </c>
      <c r="AV44" s="19" t="n">
        <f aca="false">AV43*(1-Time!AV20)</f>
        <v>11.279387616022</v>
      </c>
      <c r="AW44" s="19" t="n">
        <f aca="false">AW43*(1-Time!AW20)</f>
        <v>11.4662277664058</v>
      </c>
      <c r="AX44" s="19" t="n">
        <f aca="false">AX43*(1-Time!AX20)</f>
        <v>11.2560214151465</v>
      </c>
      <c r="AY44" s="19" t="n">
        <f aca="false">AY43*(1-Time!AY20)</f>
        <v>11.4145891742557</v>
      </c>
      <c r="AZ44" s="19" t="n">
        <f aca="false">AZ43*(1-Time!AZ20)</f>
        <v>11.2667604028635</v>
      </c>
      <c r="BA44" s="19" t="n">
        <f aca="false">BA43*(1-Time!BA20)</f>
        <v>11.3608001280603</v>
      </c>
      <c r="BB44" s="19" t="n">
        <f aca="false">BB43*(1-Time!BB20)</f>
        <v>11.1319460205273</v>
      </c>
      <c r="BC44" s="19" t="n">
        <f aca="false">BC43*(1-Time!BC20)</f>
        <v>11.2671001084845</v>
      </c>
      <c r="BD44" s="19" t="n">
        <f aca="false">BD43*(1-Time!BD20)</f>
        <v>10.977972333459</v>
      </c>
      <c r="BE44" s="19" t="n">
        <f aca="false">BE43*(1-Time!BE20)</f>
        <v>11.0460491751588</v>
      </c>
      <c r="BF44" s="19" t="n">
        <f aca="false">BF43*(1-Time!BF20)</f>
        <v>10.7154297649943</v>
      </c>
      <c r="BG44" s="19" t="n">
        <f aca="false">BG43*(1-Time!BG20)</f>
        <v>10.7695390293254</v>
      </c>
      <c r="BH44" s="19" t="n">
        <f aca="false">BH43*(1-Time!BH20)</f>
        <v>10.4712550170171</v>
      </c>
      <c r="BI44" s="19" t="n">
        <f aca="false">BI43*(1-Time!BI20)</f>
        <v>10.3925043574671</v>
      </c>
      <c r="BJ44" s="19" t="n">
        <f aca="false">BJ43*(1-Time!BJ20)</f>
        <v>10.0104797094878</v>
      </c>
      <c r="BK44" s="19" t="n">
        <f aca="false">BK43*(1-Time!BK20)</f>
        <v>9.95066475895212</v>
      </c>
      <c r="BL44" s="19" t="n">
        <f aca="false">BL43*(1-Time!BL20)</f>
        <v>9.54068373172426</v>
      </c>
      <c r="BM44" s="19" t="n">
        <f aca="false">BM43*(1-Time!BM20)</f>
        <v>9.43640606100167</v>
      </c>
      <c r="BN44" s="19" t="n">
        <f aca="false">BN43*(1-Time!BN20)</f>
        <v>8.99679448306425</v>
      </c>
      <c r="BO44" s="19" t="n">
        <f aca="false">BO43*(1-Time!BO20)</f>
        <v>8.84387475978407</v>
      </c>
      <c r="BP44" s="19" t="n">
        <f aca="false">BP43*(1-Time!BP20)</f>
        <v>8.50906966741161</v>
      </c>
      <c r="BQ44" s="19" t="n">
        <f aca="false">BQ43*(1-Time!BQ20)</f>
        <v>8.34851740934156</v>
      </c>
      <c r="BR44" s="19" t="n">
        <f aca="false">BR43*(1-Time!BR20)</f>
        <v>7.93506596354257</v>
      </c>
      <c r="BS44" s="19" t="n">
        <f aca="false">BS43*(1-Time!BS20)</f>
        <v>7.77963359901977</v>
      </c>
      <c r="BT44" s="19" t="n">
        <f aca="false">BT43*(1-Time!BT20)</f>
        <v>7.33918628785845</v>
      </c>
      <c r="BU44" s="19" t="n">
        <f aca="false">BU43*(1-Time!BU20)</f>
        <v>7.1363014118434</v>
      </c>
      <c r="BV44" s="19" t="n">
        <f aca="false">BV43*(1-Time!BV20)</f>
        <v>6.57771591785804</v>
      </c>
      <c r="BW44" s="19" t="n">
        <f aca="false">BW43*(1-Time!BW20)</f>
        <v>6.2283116542383</v>
      </c>
      <c r="BX44" s="19" t="n">
        <f aca="false">BX43*(1-Time!BX20)</f>
        <v>5.66900330018954</v>
      </c>
      <c r="BY44" s="19" t="n">
        <f aca="false">BY43*(1-Time!BY20)</f>
        <v>5.22130405418888</v>
      </c>
      <c r="BZ44" s="19" t="n">
        <f aca="false">BZ43*(1-Time!BZ20)</f>
        <v>4.59719212169193</v>
      </c>
      <c r="CA44" s="19" t="n">
        <f aca="false">CA43*(1-Time!CA20)</f>
        <v>4.11475160015438</v>
      </c>
      <c r="CB44" s="19" t="n">
        <f aca="false">CB43*(1-Time!CB20)</f>
        <v>3.51304496940659</v>
      </c>
      <c r="CC44" s="19" t="n">
        <f aca="false">CC43*(1-Time!CC20)</f>
        <v>3.01758637887808</v>
      </c>
      <c r="CD44" s="19" t="n">
        <f aca="false">CD43*(1-Time!CD20)</f>
        <v>2.37964224289144</v>
      </c>
      <c r="CE44" s="19" t="n">
        <f aca="false">CE43*(1-Time!CE20)</f>
        <v>1.80933828087912</v>
      </c>
      <c r="CF44" s="19" t="n">
        <f aca="false">CF43*(1-Time!CF20)</f>
        <v>1.16763252138953</v>
      </c>
      <c r="CG44" s="19" t="n">
        <f aca="false">CG43*(1-Time!CG20)</f>
        <v>0.61703892594402</v>
      </c>
      <c r="CH44" s="19" t="n">
        <f aca="false">CH43*(1-Time!CH20)</f>
        <v>2.69460679036244E-014</v>
      </c>
      <c r="CI44" s="19" t="n">
        <f aca="false">CI43*(1-Time!CI20)</f>
        <v>2.73926878136292E-014</v>
      </c>
      <c r="CJ44" s="19" t="n">
        <f aca="false">CJ43*(1-Time!CJ20)</f>
        <v>2.69460679036244E-014</v>
      </c>
      <c r="CK44" s="19" t="n">
        <f aca="false">CK43*(1-Time!CK20)</f>
        <v>2.73926878136292E-014</v>
      </c>
      <c r="CL44" s="19" t="n">
        <f aca="false">CL43*(1-Time!CL20)</f>
        <v>2.69460679036244E-014</v>
      </c>
      <c r="CM44" s="19" t="n">
        <f aca="false">CM43*(1-Time!CM20)</f>
        <v>2.73926878136292E-014</v>
      </c>
      <c r="CN44" s="19" t="n">
        <f aca="false">CN43*(1-Time!CN20)</f>
        <v>2.70949412069594E-014</v>
      </c>
      <c r="CO44" s="19" t="n">
        <f aca="false">CO43*(1-Time!CO20)</f>
        <v>2.73926878136292E-014</v>
      </c>
      <c r="CP44" s="19" t="n">
        <f aca="false">CP43*(1-Time!CP20)</f>
        <v>2.69460679036244E-014</v>
      </c>
      <c r="CQ44" s="19" t="n">
        <f aca="false">CQ43*(1-Time!CQ20)</f>
        <v>2.73926878136292E-014</v>
      </c>
      <c r="CR44" s="19" t="n">
        <f aca="false">CR43*(1-Time!CR20)</f>
        <v>2.69460679036244E-014</v>
      </c>
      <c r="CS44" s="19" t="n">
        <f aca="false">CS43*(1-Time!CS20)</f>
        <v>2.73926878136292E-014</v>
      </c>
      <c r="CT44" s="19" t="n">
        <f aca="false">CT43*(1-Time!CT20)</f>
        <v>2.69460679036244E-014</v>
      </c>
      <c r="CU44" s="19" t="n">
        <f aca="false">CU43*(1-Time!CU20)</f>
        <v>2.73926878136292E-014</v>
      </c>
      <c r="CV44" s="19" t="n">
        <f aca="false">CV43*(1-Time!CV20)</f>
        <v>2.70949412069594E-014</v>
      </c>
      <c r="CW44" s="19" t="n">
        <f aca="false">CW43*(1-Time!CW20)</f>
        <v>2.73926878136292E-014</v>
      </c>
      <c r="CX44" s="19" t="n">
        <f aca="false">CX43*(1-Time!CX20)</f>
        <v>2.69460679036244E-014</v>
      </c>
      <c r="CY44" s="19" t="n">
        <f aca="false">CY43*(1-Time!CY20)</f>
        <v>2.73926878136292E-014</v>
      </c>
      <c r="CZ44" s="19" t="n">
        <f aca="false">CZ43*(1-Time!CZ20)</f>
        <v>2.69460679036244E-014</v>
      </c>
      <c r="DA44" s="19" t="n">
        <f aca="false">DA43*(1-Time!DA20)</f>
        <v>2.73926878136292E-014</v>
      </c>
      <c r="DB44" s="19" t="n">
        <f aca="false">DB43*(1-Time!DB20)</f>
        <v>2.69460679036244E-014</v>
      </c>
    </row>
    <row r="45" customFormat="false" ht="15" hidden="false" customHeight="false" outlineLevel="0" collapsed="false">
      <c r="D45" s="0" t="s">
        <v>512</v>
      </c>
      <c r="E45" s="0" t="s">
        <v>44</v>
      </c>
      <c r="G45" s="19" t="n">
        <f aca="false">SUM(J45:DB45)</f>
        <v>396.958576055849</v>
      </c>
      <c r="J45" s="19" t="n">
        <f aca="false">IF(OR(Time!J20=1,Time!J34=1,Time!J23=1),0,MIN(Inputs!$F$96*J40,J42))</f>
        <v>0</v>
      </c>
      <c r="K45" s="19" t="n">
        <f aca="false">IF(OR(Time!K20=1,Time!K34=1,Time!K23=1),0,MIN(Inputs!$F$96*K40,K42))</f>
        <v>0</v>
      </c>
      <c r="L45" s="19" t="n">
        <f aca="false">IF(OR(Time!L20=1,Time!L34=1,Time!L23=1),0,MIN(Inputs!$F$96*L40,L42))</f>
        <v>0</v>
      </c>
      <c r="M45" s="19" t="n">
        <f aca="false">IF(OR(Time!M20=1,Time!M34=1,Time!M23=1),0,MIN(Inputs!$F$96*M40,M42))</f>
        <v>0</v>
      </c>
      <c r="N45" s="19" t="n">
        <f aca="false">IF(OR(Time!N20=1,Time!N34=1,Time!N23=1),0,MIN(Inputs!$F$96*N40,N42))</f>
        <v>0</v>
      </c>
      <c r="O45" s="19" t="n">
        <f aca="false">IF(OR(Time!O20=1,Time!O34=1,Time!O23=1),0,MIN(Inputs!$F$96*O40,O42))</f>
        <v>0</v>
      </c>
      <c r="P45" s="19" t="n">
        <f aca="false">IF(OR(Time!P20=1,Time!P34=1,Time!P23=1),0,MIN(Inputs!$F$96*P40,P42))</f>
        <v>0</v>
      </c>
      <c r="Q45" s="19" t="n">
        <f aca="false">IF(OR(Time!Q20=1,Time!Q34=1,Time!Q23=1),0,MIN(Inputs!$F$96*Q40,Q42))</f>
        <v>0</v>
      </c>
      <c r="R45" s="19" t="n">
        <f aca="false">IF(OR(Time!R20=1,Time!R34=1,Time!R23=1),0,MIN(Inputs!$F$96*R40,R42))</f>
        <v>0</v>
      </c>
      <c r="S45" s="19" t="n">
        <f aca="false">IF(OR(Time!S20=1,Time!S34=1,Time!S23=1),0,MIN(Inputs!$F$96*S40,S42))</f>
        <v>0</v>
      </c>
      <c r="T45" s="19" t="n">
        <f aca="false">IF(OR(Time!T20=1,Time!T34=1,Time!T23=1),0,MIN(Inputs!$F$96*T40,T42))</f>
        <v>0</v>
      </c>
      <c r="U45" s="19" t="n">
        <f aca="false">IF(OR(Time!U20=1,Time!U34=1,Time!U23=1),0,MIN(Inputs!$F$96*U40,U42))</f>
        <v>0</v>
      </c>
      <c r="V45" s="19" t="n">
        <f aca="false">IF(OR(Time!V20=1,Time!V34=1,Time!V23=1),0,MIN(Inputs!$F$96*V40,V42))</f>
        <v>0</v>
      </c>
      <c r="W45" s="19" t="n">
        <f aca="false">IF(OR(Time!W20=1,Time!W34=1,Time!W23=1),0,MIN(Inputs!$F$96*W40,W42))</f>
        <v>0</v>
      </c>
      <c r="X45" s="19" t="n">
        <f aca="false">IF(OR(Time!X20=1,Time!X34=1,Time!X23=1),0,MIN(Inputs!$F$96*X40,X42))</f>
        <v>0</v>
      </c>
      <c r="Y45" s="19" t="n">
        <f aca="false">IF(OR(Time!Y20=1,Time!Y34=1,Time!Y23=1),0,MIN(Inputs!$F$96*Y40,Y42))</f>
        <v>0</v>
      </c>
      <c r="Z45" s="19" t="n">
        <f aca="false">IF(OR(Time!Z20=1,Time!Z34=1,Time!Z23=1),0,MIN(Inputs!$F$96*Z40,Z42))</f>
        <v>0</v>
      </c>
      <c r="AA45" s="19" t="n">
        <f aca="false">IF(OR(Time!AA20=1,Time!AA34=1,Time!AA23=1),0,MIN(Inputs!$F$96*AA40,AA42))</f>
        <v>0</v>
      </c>
      <c r="AB45" s="19" t="n">
        <f aca="false">IF(OR(Time!AB20=1,Time!AB34=1,Time!AB23=1),0,MIN(Inputs!$F$96*AB40,AB42))</f>
        <v>0</v>
      </c>
      <c r="AC45" s="19" t="n">
        <f aca="false">IF(OR(Time!AC20=1,Time!AC34=1,Time!AC23=1),0,MIN(Inputs!$F$96*AC40,AC42))</f>
        <v>0</v>
      </c>
      <c r="AD45" s="19" t="n">
        <f aca="false">IF(OR(Time!AD20=1,Time!AD34=1,Time!AD23=1),0,MIN(Inputs!$F$96*AD40,AD42))</f>
        <v>0</v>
      </c>
      <c r="AE45" s="19" t="n">
        <f aca="false">IF(OR(Time!AE20=1,Time!AE34=1,Time!AE23=1),0,MIN(Inputs!$F$96*AE40,AE42))</f>
        <v>0</v>
      </c>
      <c r="AF45" s="19" t="n">
        <f aca="false">IF(OR(Time!AF20=1,Time!AF34=1,Time!AF23=1),0,MIN(Inputs!$F$96*AF40,AF42))</f>
        <v>0</v>
      </c>
      <c r="AG45" s="19" t="n">
        <f aca="false">IF(OR(Time!AG20=1,Time!AG34=1,Time!AG23=1),0,MIN(Inputs!$F$96*AG40,AG42))</f>
        <v>0</v>
      </c>
      <c r="AH45" s="19" t="n">
        <f aca="false">IF(OR(Time!AH20=1,Time!AH34=1,Time!AH23=1),0,MIN(Inputs!$F$96*AH40,AH42))</f>
        <v>0</v>
      </c>
      <c r="AI45" s="19" t="n">
        <f aca="false">IF(OR(Time!AI20=1,Time!AI34=1,Time!AI23=1),0,MIN(Inputs!$F$96*AI40,AI42))</f>
        <v>0</v>
      </c>
      <c r="AJ45" s="19" t="n">
        <f aca="false">IF(OR(Time!AJ20=1,Time!AJ34=1,Time!AJ23=1),0,MIN(Inputs!$F$96*AJ40,AJ42))</f>
        <v>0</v>
      </c>
      <c r="AK45" s="19" t="n">
        <f aca="false">IF(OR(Time!AK20=1,Time!AK34=1,Time!AK23=1),0,MIN(Inputs!$F$96*AK40,AK42))</f>
        <v>0</v>
      </c>
      <c r="AL45" s="19" t="n">
        <f aca="false">IF(OR(Time!AL20=1,Time!AL34=1,Time!AL23=1),0,MIN(Inputs!$F$96*AL40,AL42))</f>
        <v>0</v>
      </c>
      <c r="AM45" s="19" t="n">
        <f aca="false">IF(OR(Time!AM20=1,Time!AM34=1,Time!AM23=1),0,MIN(Inputs!$F$96*AM40,AM42))</f>
        <v>0</v>
      </c>
      <c r="AN45" s="19" t="n">
        <f aca="false">IF(OR(Time!AN20=1,Time!AN34=1,Time!AN23=1),0,MIN(Inputs!$F$96*AN40,AN42))</f>
        <v>0</v>
      </c>
      <c r="AO45" s="19" t="n">
        <f aca="false">IF(OR(Time!AO20=1,Time!AO34=1,Time!AO23=1),0,MIN(Inputs!$F$96*AO40,AO42))</f>
        <v>0</v>
      </c>
      <c r="AP45" s="19" t="n">
        <f aca="false">IF(OR(Time!AP20=1,Time!AP34=1,Time!AP23=1),0,MIN(Inputs!$F$96*AP40,AP42))</f>
        <v>0</v>
      </c>
      <c r="AQ45" s="19" t="n">
        <f aca="false">IF(OR(Time!AQ20=1,Time!AQ34=1,Time!AQ23=1),0,MIN(Inputs!$F$96*AQ40,AQ42))</f>
        <v>0</v>
      </c>
      <c r="AR45" s="19" t="n">
        <f aca="false">IF(OR(Time!AR20=1,Time!AR34=1,Time!AR23=1),0,MIN(Inputs!$F$96*AR40,AR42))</f>
        <v>0</v>
      </c>
      <c r="AS45" s="19" t="n">
        <f aca="false">IF(OR(Time!AS20=1,Time!AS34=1,Time!AS23=1),0,MIN(Inputs!$F$96*AS40,AS42))</f>
        <v>0</v>
      </c>
      <c r="AT45" s="19" t="n">
        <f aca="false">IF(OR(Time!AT20=1,Time!AT34=1,Time!AT23=1),0,MIN(Inputs!$F$96*AT40,AT42))</f>
        <v>0</v>
      </c>
      <c r="AU45" s="19" t="n">
        <f aca="false">IF(OR(Time!AU20=1,Time!AU34=1,Time!AU23=1),0,MIN(Inputs!$F$96*AU40,AU42))</f>
        <v>0</v>
      </c>
      <c r="AV45" s="19" t="n">
        <f aca="false">IF(OR(Time!AV20=1,Time!AV34=1,Time!AV23=1),0,MIN(Inputs!$F$96*AV40,AV42))</f>
        <v>0.00384364651394158</v>
      </c>
      <c r="AW45" s="19" t="n">
        <f aca="false">IF(OR(Time!AW20=1,Time!AW34=1,Time!AW23=1),0,MIN(Inputs!$F$96*AW40,AW42))</f>
        <v>0.818489457299657</v>
      </c>
      <c r="AX45" s="19" t="n">
        <f aca="false">IF(OR(Time!AX20=1,Time!AX34=1,Time!AX23=1),0,MIN(Inputs!$F$96*AX40,AX42))</f>
        <v>0.969211253563121</v>
      </c>
      <c r="AY45" s="19" t="n">
        <f aca="false">IF(OR(Time!AY20=1,Time!AY34=1,Time!AY23=1),0,MIN(Inputs!$F$96*AY40,AY42))</f>
        <v>0.831497969575935</v>
      </c>
      <c r="AZ45" s="19" t="n">
        <f aca="false">IF(OR(Time!AZ20=1,Time!AZ34=1,Time!AZ23=1),0,MIN(Inputs!$F$96*AZ40,AZ42))</f>
        <v>1.03065032139124</v>
      </c>
      <c r="BA45" s="19" t="n">
        <f aca="false">IF(OR(Time!BA20=1,Time!BA34=1,Time!BA23=1),0,MIN(Inputs!$F$96*BA40,BA42))</f>
        <v>1.53525978342102</v>
      </c>
      <c r="BB45" s="19" t="n">
        <f aca="false">IF(OR(Time!BB20=1,Time!BB34=1,Time!BB23=1),0,MIN(Inputs!$F$96*BB40,BB42))</f>
        <v>1.70858526790946</v>
      </c>
      <c r="BC45" s="19" t="n">
        <f aca="false">IF(OR(Time!BC20=1,Time!BC34=1,Time!BC23=1),0,MIN(Inputs!$F$96*BC40,BC42))</f>
        <v>3.71025285074029</v>
      </c>
      <c r="BD45" s="19" t="n">
        <f aca="false">IF(OR(Time!BD20=1,Time!BD34=1,Time!BD23=1),0,MIN(Inputs!$F$96*BD40,BD42))</f>
        <v>3.94241338568352</v>
      </c>
      <c r="BE45" s="19" t="n">
        <f aca="false">IF(OR(Time!BE20=1,Time!BE34=1,Time!BE23=1),0,MIN(Inputs!$F$96*BE40,BE42))</f>
        <v>5.29731909622283</v>
      </c>
      <c r="BF45" s="19" t="n">
        <f aca="false">IF(OR(Time!BF20=1,Time!BF34=1,Time!BF23=1),0,MIN(Inputs!$F$96*BF40,BF42))</f>
        <v>5.5721356602253</v>
      </c>
      <c r="BG45" s="19" t="n">
        <f aca="false">IF(OR(Time!BG20=1,Time!BG34=1,Time!BG23=1),0,MIN(Inputs!$F$96*BG40,BG42))</f>
        <v>6.32075384574522</v>
      </c>
      <c r="BH45" s="19" t="n">
        <f aca="false">IF(OR(Time!BH20=1,Time!BH34=1,Time!BH23=1),0,MIN(Inputs!$F$96*BH40,BH42))</f>
        <v>6.68658596788978</v>
      </c>
      <c r="BI45" s="19" t="n">
        <f aca="false">IF(OR(Time!BI20=1,Time!BI34=1,Time!BI23=1),0,MIN(Inputs!$F$96*BI40,BI42))</f>
        <v>7.45542151190441</v>
      </c>
      <c r="BJ45" s="19" t="n">
        <f aca="false">IF(OR(Time!BJ20=1,Time!BJ34=1,Time!BJ23=1),0,MIN(Inputs!$F$96*BJ40,BJ42))</f>
        <v>7.78762701909466</v>
      </c>
      <c r="BK45" s="19" t="n">
        <f aca="false">IF(OR(Time!BK20=1,Time!BK34=1,Time!BK23=1),0,MIN(Inputs!$F$96*BK40,BK42))</f>
        <v>8.68852305380244</v>
      </c>
      <c r="BL45" s="19" t="n">
        <f aca="false">IF(OR(Time!BL20=1,Time!BL34=1,Time!BL23=1),0,MIN(Inputs!$F$96*BL40,BL42))</f>
        <v>9.05291595866591</v>
      </c>
      <c r="BM45" s="19" t="n">
        <f aca="false">IF(OR(Time!BM20=1,Time!BM34=1,Time!BM23=1),0,MIN(Inputs!$F$96*BM40,BM42))</f>
        <v>10.0217490195617</v>
      </c>
      <c r="BN45" s="19" t="n">
        <f aca="false">IF(OR(Time!BN20=1,Time!BN34=1,Time!BN23=1),0,MIN(Inputs!$F$96*BN40,BN42))</f>
        <v>10.4200208239568</v>
      </c>
      <c r="BO45" s="19" t="n">
        <f aca="false">IF(OR(Time!BO20=1,Time!BO34=1,Time!BO23=1),0,MIN(Inputs!$F$96*BO40,BO42))</f>
        <v>8.32458164330992</v>
      </c>
      <c r="BP45" s="19" t="n">
        <f aca="false">IF(OR(Time!BP20=1,Time!BP34=1,Time!BP23=1),0,MIN(Inputs!$F$96*BP40,BP42))</f>
        <v>8.76477874530208</v>
      </c>
      <c r="BQ45" s="19" t="n">
        <f aca="false">IF(OR(Time!BQ20=1,Time!BQ34=1,Time!BQ23=1),0,MIN(Inputs!$F$96*BQ40,BQ42))</f>
        <v>9.72635355806937</v>
      </c>
      <c r="BR45" s="19" t="n">
        <f aca="false">IF(OR(Time!BR20=1,Time!BR34=1,Time!BR23=1),0,MIN(Inputs!$F$96*BR40,BR42))</f>
        <v>9.89960020066923</v>
      </c>
      <c r="BS45" s="19" t="n">
        <f aca="false">IF(OR(Time!BS20=1,Time!BS34=1,Time!BS23=1),0,MIN(Inputs!$F$96*BS40,BS42))</f>
        <v>10.9984138876999</v>
      </c>
      <c r="BT45" s="19" t="n">
        <f aca="false">IF(OR(Time!BT20=1,Time!BT34=1,Time!BT23=1),0,MIN(Inputs!$F$96*BT40,BT42))</f>
        <v>11.1959385054357</v>
      </c>
      <c r="BU45" s="19" t="n">
        <f aca="false">IF(OR(Time!BU20=1,Time!BU34=1,Time!BU23=1),0,MIN(Inputs!$F$96*BU40,BU42))</f>
        <v>15.509484031211</v>
      </c>
      <c r="BV45" s="19" t="n">
        <f aca="false">IF(OR(Time!BV20=1,Time!BV34=1,Time!BV23=1),0,MIN(Inputs!$F$96*BV40,BV42))</f>
        <v>15.8153043927835</v>
      </c>
      <c r="BW45" s="19" t="n">
        <f aca="false">IF(OR(Time!BW20=1,Time!BW34=1,Time!BW23=1),0,MIN(Inputs!$F$96*BW40,BW42))</f>
        <v>17.1464309345443</v>
      </c>
      <c r="BX45" s="19" t="n">
        <f aca="false">IF(OR(Time!BX20=1,Time!BX34=1,Time!BX23=1),0,MIN(Inputs!$F$96*BX40,BX42))</f>
        <v>17.5943794641363</v>
      </c>
      <c r="BY45" s="19" t="n">
        <f aca="false">IF(OR(Time!BY20=1,Time!BY34=1,Time!BY23=1),0,MIN(Inputs!$F$96*BY40,BY42))</f>
        <v>18.9025626623557</v>
      </c>
      <c r="BZ45" s="19" t="n">
        <f aca="false">IF(OR(Time!BZ20=1,Time!BZ34=1,Time!BZ23=1),0,MIN(Inputs!$F$96*BZ40,BZ42))</f>
        <v>19.2724511110459</v>
      </c>
      <c r="CA45" s="19" t="n">
        <f aca="false">IF(OR(Time!CA20=1,Time!CA34=1,Time!CA23=1),0,MIN(Inputs!$F$96*CA40,CA42))</f>
        <v>18.7495244435206</v>
      </c>
      <c r="CB45" s="19" t="n">
        <f aca="false">IF(OR(Time!CB20=1,Time!CB34=1,Time!CB23=1),0,MIN(Inputs!$F$96*CB40,CB42))</f>
        <v>19.1016386723445</v>
      </c>
      <c r="CC45" s="19" t="n">
        <f aca="false">IF(OR(Time!CC20=1,Time!CC34=1,Time!CC23=1),0,MIN(Inputs!$F$96*CC40,CC42))</f>
        <v>20.6477723464428</v>
      </c>
      <c r="CD45" s="19" t="n">
        <f aca="false">IF(OR(Time!CD20=1,Time!CD34=1,Time!CD23=1),0,MIN(Inputs!$F$96*CD40,CD42))</f>
        <v>21.0356450230864</v>
      </c>
      <c r="CE45" s="19" t="n">
        <f aca="false">IF(OR(Time!CE20=1,Time!CE34=1,Time!CE23=1),0,MIN(Inputs!$F$96*CE40,CE42))</f>
        <v>21.6955804349277</v>
      </c>
      <c r="CF45" s="19" t="n">
        <f aca="false">IF(OR(Time!CF20=1,Time!CF34=1,Time!CF23=1),0,MIN(Inputs!$F$96*CF40,CF42))</f>
        <v>19.4376203733249</v>
      </c>
      <c r="CG45" s="19" t="n">
        <f aca="false">IF(OR(Time!CG20=1,Time!CG34=1,Time!CG23=1),0,MIN(Inputs!$F$96*CG40,CG42))</f>
        <v>21.2872597324723</v>
      </c>
      <c r="CH45" s="19" t="n">
        <f aca="false">IF(OR(Time!CH20=1,Time!CH34=1,Time!CH23=1),0,MIN(Inputs!$F$96*CH40,CH42))</f>
        <v>0</v>
      </c>
      <c r="CI45" s="19" t="n">
        <f aca="false">IF(OR(Time!CI20=1,Time!CI34=1,Time!CI23=1),0,MIN(Inputs!$F$96*CI40,CI42))</f>
        <v>0</v>
      </c>
      <c r="CJ45" s="19" t="n">
        <f aca="false">IF(OR(Time!CJ20=1,Time!CJ34=1,Time!CJ23=1),0,MIN(Inputs!$F$96*CJ40,CJ42))</f>
        <v>0</v>
      </c>
      <c r="CK45" s="19" t="n">
        <f aca="false">IF(OR(Time!CK20=1,Time!CK34=1,Time!CK23=1),0,MIN(Inputs!$F$96*CK40,CK42))</f>
        <v>0</v>
      </c>
      <c r="CL45" s="19" t="n">
        <f aca="false">IF(OR(Time!CL20=1,Time!CL34=1,Time!CL23=1),0,MIN(Inputs!$F$96*CL40,CL42))</f>
        <v>0</v>
      </c>
      <c r="CM45" s="19" t="n">
        <f aca="false">IF(OR(Time!CM20=1,Time!CM34=1,Time!CM23=1),0,MIN(Inputs!$F$96*CM40,CM42))</f>
        <v>0</v>
      </c>
      <c r="CN45" s="19" t="n">
        <f aca="false">IF(OR(Time!CN20=1,Time!CN34=1,Time!CN23=1),0,MIN(Inputs!$F$96*CN40,CN42))</f>
        <v>0</v>
      </c>
      <c r="CO45" s="19" t="n">
        <f aca="false">IF(OR(Time!CO20=1,Time!CO34=1,Time!CO23=1),0,MIN(Inputs!$F$96*CO40,CO42))</f>
        <v>0</v>
      </c>
      <c r="CP45" s="19" t="n">
        <f aca="false">IF(OR(Time!CP20=1,Time!CP34=1,Time!CP23=1),0,MIN(Inputs!$F$96*CP40,CP42))</f>
        <v>0</v>
      </c>
      <c r="CQ45" s="19" t="n">
        <f aca="false">IF(OR(Time!CQ20=1,Time!CQ34=1,Time!CQ23=1),0,MIN(Inputs!$F$96*CQ40,CQ42))</f>
        <v>0</v>
      </c>
      <c r="CR45" s="19" t="n">
        <f aca="false">IF(OR(Time!CR20=1,Time!CR34=1,Time!CR23=1),0,MIN(Inputs!$F$96*CR40,CR42))</f>
        <v>0</v>
      </c>
      <c r="CS45" s="19" t="n">
        <f aca="false">IF(OR(Time!CS20=1,Time!CS34=1,Time!CS23=1),0,MIN(Inputs!$F$96*CS40,CS42))</f>
        <v>0</v>
      </c>
      <c r="CT45" s="19" t="n">
        <f aca="false">IF(OR(Time!CT20=1,Time!CT34=1,Time!CT23=1),0,MIN(Inputs!$F$96*CT40,CT42))</f>
        <v>0</v>
      </c>
      <c r="CU45" s="19" t="n">
        <f aca="false">IF(OR(Time!CU20=1,Time!CU34=1,Time!CU23=1),0,MIN(Inputs!$F$96*CU40,CU42))</f>
        <v>0</v>
      </c>
      <c r="CV45" s="19" t="n">
        <f aca="false">IF(OR(Time!CV20=1,Time!CV34=1,Time!CV23=1),0,MIN(Inputs!$F$96*CV40,CV42))</f>
        <v>0</v>
      </c>
      <c r="CW45" s="19" t="n">
        <f aca="false">IF(OR(Time!CW20=1,Time!CW34=1,Time!CW23=1),0,MIN(Inputs!$F$96*CW40,CW42))</f>
        <v>0</v>
      </c>
      <c r="CX45" s="19" t="n">
        <f aca="false">IF(OR(Time!CX20=1,Time!CX34=1,Time!CX23=1),0,MIN(Inputs!$F$96*CX40,CX42))</f>
        <v>0</v>
      </c>
      <c r="CY45" s="19" t="n">
        <f aca="false">IF(OR(Time!CY20=1,Time!CY34=1,Time!CY23=1),0,MIN(Inputs!$F$96*CY40,CY42))</f>
        <v>0</v>
      </c>
      <c r="CZ45" s="19" t="n">
        <f aca="false">IF(OR(Time!CZ20=1,Time!CZ34=1,Time!CZ23=1),0,MIN(Inputs!$F$96*CZ40,CZ42))</f>
        <v>0</v>
      </c>
      <c r="DA45" s="19" t="n">
        <f aca="false">IF(OR(Time!DA20=1,Time!DA34=1,Time!DA23=1),0,MIN(Inputs!$F$96*DA40,DA42))</f>
        <v>0</v>
      </c>
      <c r="DB45" s="19" t="n">
        <f aca="false">IF(OR(Time!DB20=1,Time!DB34=1,Time!DB23=1),0,MIN(Inputs!$F$96*DB40,DB42))</f>
        <v>0</v>
      </c>
    </row>
    <row r="46" customFormat="false" ht="15" hidden="false" customHeight="false" outlineLevel="0" collapsed="false">
      <c r="D46" s="0" t="s">
        <v>513</v>
      </c>
      <c r="E46" s="0" t="s">
        <v>44</v>
      </c>
      <c r="J46" s="19" t="n">
        <f aca="false">J42+Funding!J35-Waterfall!J20-Waterfall!J31</f>
        <v>0</v>
      </c>
      <c r="K46" s="19" t="n">
        <f aca="false">K42+Funding!K35-Waterfall!K20-Waterfall!K31</f>
        <v>0</v>
      </c>
      <c r="L46" s="19" t="n">
        <f aca="false">L42+Funding!L35-Waterfall!L20-Waterfall!L31</f>
        <v>0</v>
      </c>
      <c r="M46" s="19" t="n">
        <f aca="false">M42+Funding!M35-Waterfall!M20-Waterfall!M31</f>
        <v>0</v>
      </c>
      <c r="N46" s="19" t="n">
        <f aca="false">N42+Funding!N35-Waterfall!N20-Waterfall!N31</f>
        <v>5.12606064786148</v>
      </c>
      <c r="O46" s="19" t="n">
        <f aca="false">O42+Funding!O35-Waterfall!O20-Waterfall!O31</f>
        <v>53.8868947877714</v>
      </c>
      <c r="P46" s="19" t="n">
        <f aca="false">P42+Funding!P35-Waterfall!P20-Waterfall!P31</f>
        <v>109.581127348816</v>
      </c>
      <c r="Q46" s="19" t="n">
        <f aca="false">Q42+Funding!Q35-Waterfall!Q20-Waterfall!Q31</f>
        <v>169.058371689688</v>
      </c>
      <c r="R46" s="19" t="n">
        <f aca="false">R42+Funding!R35-Waterfall!R20-Waterfall!R31</f>
        <v>229.615326855624</v>
      </c>
      <c r="S46" s="19" t="n">
        <f aca="false">S42+Funding!S35-Waterfall!S20-Waterfall!S31</f>
        <v>286.28211338657</v>
      </c>
      <c r="T46" s="19" t="n">
        <f aca="false">T42+Funding!T35-Waterfall!T20-Waterfall!T31</f>
        <v>314.779303694778</v>
      </c>
      <c r="U46" s="19" t="n">
        <f aca="false">U42+Funding!U35-Waterfall!U20-Waterfall!U31</f>
        <v>338.258886511833</v>
      </c>
      <c r="V46" s="19" t="n">
        <f aca="false">V42+Funding!V35-Waterfall!V20-Waterfall!V31</f>
        <v>355.884337959226</v>
      </c>
      <c r="W46" s="19" t="n">
        <f aca="false">W42+Funding!W35-Waterfall!W20-Waterfall!W31</f>
        <v>367.534421450566</v>
      </c>
      <c r="X46" s="19" t="n">
        <f aca="false">X42+Funding!X35-Waterfall!X20-Waterfall!X31</f>
        <v>374.008618844512</v>
      </c>
      <c r="Y46" s="19" t="n">
        <f aca="false">Y42+Funding!Y35-Waterfall!Y20-Waterfall!Y31</f>
        <v>396.95857605585</v>
      </c>
      <c r="Z46" s="19" t="n">
        <f aca="false">Z42+Funding!Z35-Waterfall!Z20-Waterfall!Z31</f>
        <v>396.95857605585</v>
      </c>
      <c r="AA46" s="19" t="n">
        <f aca="false">AA42+Funding!AA35-Waterfall!AA20-Waterfall!AA31</f>
        <v>396.95857605585</v>
      </c>
      <c r="AB46" s="19" t="n">
        <f aca="false">AB42+Funding!AB35-Waterfall!AB20-Waterfall!AB31</f>
        <v>396.95857605585</v>
      </c>
      <c r="AC46" s="19" t="n">
        <f aca="false">AC42+Funding!AC35-Waterfall!AC20-Waterfall!AC31</f>
        <v>396.95857605585</v>
      </c>
      <c r="AD46" s="19" t="n">
        <f aca="false">AD42+Funding!AD35-Waterfall!AD20-Waterfall!AD31</f>
        <v>396.95857605585</v>
      </c>
      <c r="AE46" s="19" t="n">
        <f aca="false">AE42+Funding!AE35-Waterfall!AE20-Waterfall!AE31</f>
        <v>396.95857605585</v>
      </c>
      <c r="AF46" s="19" t="n">
        <f aca="false">AF42+Funding!AF35-Waterfall!AF20-Waterfall!AF31</f>
        <v>396.95857605585</v>
      </c>
      <c r="AG46" s="19" t="n">
        <f aca="false">AG42+Funding!AG35-Waterfall!AG20-Waterfall!AG31</f>
        <v>396.95857605585</v>
      </c>
      <c r="AH46" s="19" t="n">
        <f aca="false">AH42+Funding!AH35-Waterfall!AH20-Waterfall!AH31</f>
        <v>396.95857605585</v>
      </c>
      <c r="AI46" s="19" t="n">
        <f aca="false">AI42+Funding!AI35-Waterfall!AI20-Waterfall!AI31</f>
        <v>396.95857605585</v>
      </c>
      <c r="AJ46" s="19" t="n">
        <f aca="false">AJ42+Funding!AJ35-Waterfall!AJ20-Waterfall!AJ31</f>
        <v>396.95857605585</v>
      </c>
      <c r="AK46" s="19" t="n">
        <f aca="false">AK42+Funding!AK35-Waterfall!AK20-Waterfall!AK31</f>
        <v>396.95857605585</v>
      </c>
      <c r="AL46" s="19" t="n">
        <f aca="false">AL42+Funding!AL35-Waterfall!AL20-Waterfall!AL31</f>
        <v>396.95857605585</v>
      </c>
      <c r="AM46" s="19" t="n">
        <f aca="false">AM42+Funding!AM35-Waterfall!AM20-Waterfall!AM31</f>
        <v>396.95857605585</v>
      </c>
      <c r="AN46" s="19" t="n">
        <f aca="false">AN42+Funding!AN35-Waterfall!AN20-Waterfall!AN31</f>
        <v>396.95857605585</v>
      </c>
      <c r="AO46" s="19" t="n">
        <f aca="false">AO42+Funding!AO35-Waterfall!AO20-Waterfall!AO31</f>
        <v>396.95857605585</v>
      </c>
      <c r="AP46" s="19" t="n">
        <f aca="false">AP42+Funding!AP35-Waterfall!AP20-Waterfall!AP31</f>
        <v>396.95857605585</v>
      </c>
      <c r="AQ46" s="19" t="n">
        <f aca="false">AQ42+Funding!AQ35-Waterfall!AQ20-Waterfall!AQ31</f>
        <v>396.95857605585</v>
      </c>
      <c r="AR46" s="19" t="n">
        <f aca="false">AR42+Funding!AR35-Waterfall!AR20-Waterfall!AR31</f>
        <v>396.95857605585</v>
      </c>
      <c r="AS46" s="19" t="n">
        <f aca="false">AS42+Funding!AS35-Waterfall!AS20-Waterfall!AS31</f>
        <v>396.95857605585</v>
      </c>
      <c r="AT46" s="19" t="n">
        <f aca="false">AT42+Funding!AT35-Waterfall!AT20-Waterfall!AT31</f>
        <v>396.95857605585</v>
      </c>
      <c r="AU46" s="19" t="n">
        <f aca="false">AU42+Funding!AU35-Waterfall!AU20-Waterfall!AU31</f>
        <v>396.95857605585</v>
      </c>
      <c r="AV46" s="19" t="n">
        <f aca="false">AV42+Funding!AV35-Waterfall!AV20-Waterfall!AV31</f>
        <v>396.954732409336</v>
      </c>
      <c r="AW46" s="19" t="n">
        <f aca="false">AW42+Funding!AW35-Waterfall!AW20-Waterfall!AW31</f>
        <v>396.136242952036</v>
      </c>
      <c r="AX46" s="19" t="n">
        <f aca="false">AX42+Funding!AX35-Waterfall!AX20-Waterfall!AX31</f>
        <v>395.167031698473</v>
      </c>
      <c r="AY46" s="19" t="n">
        <f aca="false">AY42+Funding!AY35-Waterfall!AY20-Waterfall!AY31</f>
        <v>394.335533728897</v>
      </c>
      <c r="AZ46" s="19" t="n">
        <f aca="false">AZ42+Funding!AZ35-Waterfall!AZ20-Waterfall!AZ31</f>
        <v>393.304883407506</v>
      </c>
      <c r="BA46" s="19" t="n">
        <f aca="false">BA42+Funding!BA35-Waterfall!BA20-Waterfall!BA31</f>
        <v>391.769623624085</v>
      </c>
      <c r="BB46" s="19" t="n">
        <f aca="false">BB42+Funding!BB35-Waterfall!BB20-Waterfall!BB31</f>
        <v>390.061038356176</v>
      </c>
      <c r="BC46" s="19" t="n">
        <f aca="false">BC42+Funding!BC35-Waterfall!BC20-Waterfall!BC31</f>
        <v>386.350785505435</v>
      </c>
      <c r="BD46" s="19" t="n">
        <f aca="false">BD42+Funding!BD35-Waterfall!BD20-Waterfall!BD31</f>
        <v>382.408372119752</v>
      </c>
      <c r="BE46" s="19" t="n">
        <f aca="false">BE42+Funding!BE35-Waterfall!BE20-Waterfall!BE31</f>
        <v>377.111053023529</v>
      </c>
      <c r="BF46" s="19" t="n">
        <f aca="false">BF42+Funding!BF35-Waterfall!BF20-Waterfall!BF31</f>
        <v>371.538917363304</v>
      </c>
      <c r="BG46" s="19" t="n">
        <f aca="false">BG42+Funding!BG35-Waterfall!BG20-Waterfall!BG31</f>
        <v>365.218163517559</v>
      </c>
      <c r="BH46" s="19" t="n">
        <f aca="false">BH42+Funding!BH35-Waterfall!BH20-Waterfall!BH31</f>
        <v>358.531577549669</v>
      </c>
      <c r="BI46" s="19" t="n">
        <f aca="false">BI42+Funding!BI35-Waterfall!BI20-Waterfall!BI31</f>
        <v>351.076156037764</v>
      </c>
      <c r="BJ46" s="19" t="n">
        <f aca="false">BJ42+Funding!BJ35-Waterfall!BJ20-Waterfall!BJ31</f>
        <v>343.28852901867</v>
      </c>
      <c r="BK46" s="19" t="n">
        <f aca="false">BK42+Funding!BK35-Waterfall!BK20-Waterfall!BK31</f>
        <v>334.600005964867</v>
      </c>
      <c r="BL46" s="19" t="n">
        <f aca="false">BL42+Funding!BL35-Waterfall!BL20-Waterfall!BL31</f>
        <v>325.547090006201</v>
      </c>
      <c r="BM46" s="19" t="n">
        <f aca="false">BM42+Funding!BM35-Waterfall!BM20-Waterfall!BM31</f>
        <v>315.52534098664</v>
      </c>
      <c r="BN46" s="19" t="n">
        <f aca="false">BN42+Funding!BN35-Waterfall!BN20-Waterfall!BN31</f>
        <v>305.105320162683</v>
      </c>
      <c r="BO46" s="19" t="n">
        <f aca="false">BO42+Funding!BO35-Waterfall!BO20-Waterfall!BO31</f>
        <v>296.780738519373</v>
      </c>
      <c r="BP46" s="19" t="n">
        <f aca="false">BP42+Funding!BP35-Waterfall!BP20-Waterfall!BP31</f>
        <v>288.015959774071</v>
      </c>
      <c r="BQ46" s="19" t="n">
        <f aca="false">BQ42+Funding!BQ35-Waterfall!BQ20-Waterfall!BQ31</f>
        <v>278.289606216002</v>
      </c>
      <c r="BR46" s="19" t="n">
        <f aca="false">BR42+Funding!BR35-Waterfall!BR20-Waterfall!BR31</f>
        <v>268.390006015332</v>
      </c>
      <c r="BS46" s="19" t="n">
        <f aca="false">BS42+Funding!BS35-Waterfall!BS20-Waterfall!BS31</f>
        <v>257.391592127632</v>
      </c>
      <c r="BT46" s="19" t="n">
        <f aca="false">BT42+Funding!BT35-Waterfall!BT20-Waterfall!BT31</f>
        <v>246.195653622197</v>
      </c>
      <c r="BU46" s="19" t="n">
        <f aca="false">BU42+Funding!BU35-Waterfall!BU20-Waterfall!BU31</f>
        <v>230.686169590986</v>
      </c>
      <c r="BV46" s="19" t="n">
        <f aca="false">BV42+Funding!BV35-Waterfall!BV20-Waterfall!BV31</f>
        <v>214.870865198202</v>
      </c>
      <c r="BW46" s="19" t="n">
        <f aca="false">BW42+Funding!BW35-Waterfall!BW20-Waterfall!BW31</f>
        <v>197.724434263658</v>
      </c>
      <c r="BX46" s="19" t="n">
        <f aca="false">BX42+Funding!BX35-Waterfall!BX20-Waterfall!BX31</f>
        <v>180.130054799522</v>
      </c>
      <c r="BY46" s="19" t="n">
        <f aca="false">BY42+Funding!BY35-Waterfall!BY20-Waterfall!BY31</f>
        <v>161.227492137166</v>
      </c>
      <c r="BZ46" s="19" t="n">
        <f aca="false">BZ42+Funding!BZ35-Waterfall!BZ20-Waterfall!BZ31</f>
        <v>141.95504102612</v>
      </c>
      <c r="CA46" s="19" t="n">
        <f aca="false">CA42+Funding!CA35-Waterfall!CA20-Waterfall!CA31</f>
        <v>123.205516582599</v>
      </c>
      <c r="CB46" s="19" t="n">
        <f aca="false">CB42+Funding!CB35-Waterfall!CB20-Waterfall!CB31</f>
        <v>104.103877910255</v>
      </c>
      <c r="CC46" s="19" t="n">
        <f aca="false">CC42+Funding!CC35-Waterfall!CC20-Waterfall!CC31</f>
        <v>83.4561055638122</v>
      </c>
      <c r="CD46" s="19" t="n">
        <f aca="false">CD42+Funding!CD35-Waterfall!CD20-Waterfall!CD31</f>
        <v>62.4204605407258</v>
      </c>
      <c r="CE46" s="19" t="n">
        <f aca="false">CE42+Funding!CE35-Waterfall!CE20-Waterfall!CE31</f>
        <v>40.7248801057982</v>
      </c>
      <c r="CF46" s="19" t="n">
        <f aca="false">CF42+Funding!CF35-Waterfall!CF20-Waterfall!CF31</f>
        <v>21.2872597324733</v>
      </c>
      <c r="CG46" s="19" t="n">
        <f aca="false">CG42+Funding!CG35-Waterfall!CG20-Waterfall!CG31</f>
        <v>9.45021838560933E-013</v>
      </c>
      <c r="CH46" s="19" t="n">
        <f aca="false">CH42+Funding!CH35-Waterfall!CH20-Waterfall!CH31</f>
        <v>9.45021838560933E-013</v>
      </c>
      <c r="CI46" s="19" t="n">
        <f aca="false">CI42+Funding!CI35-Waterfall!CI20-Waterfall!CI31</f>
        <v>9.45021838560933E-013</v>
      </c>
      <c r="CJ46" s="19" t="n">
        <f aca="false">CJ42+Funding!CJ35-Waterfall!CJ20-Waterfall!CJ31</f>
        <v>9.45021838560933E-013</v>
      </c>
      <c r="CK46" s="19" t="n">
        <f aca="false">CK42+Funding!CK35-Waterfall!CK20-Waterfall!CK31</f>
        <v>9.45021838560933E-013</v>
      </c>
      <c r="CL46" s="19" t="n">
        <f aca="false">CL42+Funding!CL35-Waterfall!CL20-Waterfall!CL31</f>
        <v>9.45021838560933E-013</v>
      </c>
      <c r="CM46" s="19" t="n">
        <f aca="false">CM42+Funding!CM35-Waterfall!CM20-Waterfall!CM31</f>
        <v>9.45021838560933E-013</v>
      </c>
      <c r="CN46" s="19" t="n">
        <f aca="false">CN42+Funding!CN35-Waterfall!CN20-Waterfall!CN31</f>
        <v>9.45021838560933E-013</v>
      </c>
      <c r="CO46" s="19" t="n">
        <f aca="false">CO42+Funding!CO35-Waterfall!CO20-Waterfall!CO31</f>
        <v>9.45021838560933E-013</v>
      </c>
      <c r="CP46" s="19" t="n">
        <f aca="false">CP42+Funding!CP35-Waterfall!CP20-Waterfall!CP31</f>
        <v>9.45021838560933E-013</v>
      </c>
      <c r="CQ46" s="19" t="n">
        <f aca="false">CQ42+Funding!CQ35-Waterfall!CQ20-Waterfall!CQ31</f>
        <v>9.45021838560933E-013</v>
      </c>
      <c r="CR46" s="19" t="n">
        <f aca="false">CR42+Funding!CR35-Waterfall!CR20-Waterfall!CR31</f>
        <v>9.45021838560933E-013</v>
      </c>
      <c r="CS46" s="19" t="n">
        <f aca="false">CS42+Funding!CS35-Waterfall!CS20-Waterfall!CS31</f>
        <v>9.45021838560933E-013</v>
      </c>
      <c r="CT46" s="19" t="n">
        <f aca="false">CT42+Funding!CT35-Waterfall!CT20-Waterfall!CT31</f>
        <v>9.45021838560933E-013</v>
      </c>
      <c r="CU46" s="19" t="n">
        <f aca="false">CU42+Funding!CU35-Waterfall!CU20-Waterfall!CU31</f>
        <v>9.45021838560933E-013</v>
      </c>
      <c r="CV46" s="19" t="n">
        <f aca="false">CV42+Funding!CV35-Waterfall!CV20-Waterfall!CV31</f>
        <v>9.45021838560933E-013</v>
      </c>
      <c r="CW46" s="19" t="n">
        <f aca="false">CW42+Funding!CW35-Waterfall!CW20-Waterfall!CW31</f>
        <v>9.45021838560933E-013</v>
      </c>
      <c r="CX46" s="19" t="n">
        <f aca="false">CX42+Funding!CX35-Waterfall!CX20-Waterfall!CX31</f>
        <v>9.45021838560933E-013</v>
      </c>
      <c r="CY46" s="19" t="n">
        <f aca="false">CY42+Funding!CY35-Waterfall!CY20-Waterfall!CY31</f>
        <v>9.45021838560933E-013</v>
      </c>
      <c r="CZ46" s="19" t="n">
        <f aca="false">CZ42+Funding!CZ35-Waterfall!CZ20-Waterfall!CZ31</f>
        <v>9.45021838560933E-013</v>
      </c>
      <c r="DA46" s="19" t="n">
        <f aca="false">DA42+Funding!DA35-Waterfall!DA20-Waterfall!DA31</f>
        <v>9.45021838560933E-013</v>
      </c>
      <c r="DB46" s="19" t="n">
        <f aca="false">DB42+Funding!DB35-Waterfall!DB20-Waterfall!DB31</f>
        <v>9.45021838560933E-013</v>
      </c>
    </row>
    <row r="47" customFormat="false" ht="15" hidden="false" customHeight="false" outlineLevel="0" collapsed="false">
      <c r="D47" s="0" t="s">
        <v>514</v>
      </c>
      <c r="E47" s="0" t="s">
        <v>44</v>
      </c>
      <c r="J47" s="19" t="n">
        <f aca="false">IF(Time!J35=1,0,J46)</f>
        <v>0</v>
      </c>
      <c r="K47" s="19" t="n">
        <f aca="false">IF(Time!K35=1,0,K46)</f>
        <v>0</v>
      </c>
      <c r="L47" s="19" t="n">
        <f aca="false">IF(Time!L35=1,0,L46)</f>
        <v>0</v>
      </c>
      <c r="M47" s="19" t="n">
        <f aca="false">IF(Time!M35=1,0,M46)</f>
        <v>0</v>
      </c>
      <c r="N47" s="19" t="n">
        <f aca="false">IF(Time!N35=1,0,N46)</f>
        <v>5.12606064786148</v>
      </c>
      <c r="O47" s="19" t="n">
        <f aca="false">IF(Time!O35=1,0,O46)</f>
        <v>53.8868947877714</v>
      </c>
      <c r="P47" s="19" t="n">
        <f aca="false">IF(Time!P35=1,0,P46)</f>
        <v>109.581127348816</v>
      </c>
      <c r="Q47" s="19" t="n">
        <f aca="false">IF(Time!Q35=1,0,Q46)</f>
        <v>169.058371689688</v>
      </c>
      <c r="R47" s="19" t="n">
        <f aca="false">IF(Time!R35=1,0,R46)</f>
        <v>229.615326855624</v>
      </c>
      <c r="S47" s="19" t="n">
        <f aca="false">IF(Time!S35=1,0,S46)</f>
        <v>286.28211338657</v>
      </c>
      <c r="T47" s="19" t="n">
        <f aca="false">IF(Time!T35=1,0,T46)</f>
        <v>314.779303694778</v>
      </c>
      <c r="U47" s="19" t="n">
        <f aca="false">IF(Time!U35=1,0,U46)</f>
        <v>338.258886511833</v>
      </c>
      <c r="V47" s="19" t="n">
        <f aca="false">IF(Time!V35=1,0,V46)</f>
        <v>355.884337959226</v>
      </c>
      <c r="W47" s="19" t="n">
        <f aca="false">IF(Time!W35=1,0,W46)</f>
        <v>367.534421450566</v>
      </c>
      <c r="X47" s="19" t="n">
        <f aca="false">IF(Time!X35=1,0,X46)</f>
        <v>374.008618844512</v>
      </c>
      <c r="Y47" s="19" t="n">
        <f aca="false">IF(Time!Y35=1,0,Y46)</f>
        <v>396.95857605585</v>
      </c>
      <c r="Z47" s="19" t="n">
        <f aca="false">IF(Time!Z35=1,0,Z46)</f>
        <v>396.95857605585</v>
      </c>
      <c r="AA47" s="19" t="n">
        <f aca="false">IF(Time!AA35=1,0,AA46)</f>
        <v>396.95857605585</v>
      </c>
      <c r="AB47" s="19" t="n">
        <f aca="false">IF(Time!AB35=1,0,AB46)</f>
        <v>396.95857605585</v>
      </c>
      <c r="AC47" s="19" t="n">
        <f aca="false">IF(Time!AC35=1,0,AC46)</f>
        <v>396.95857605585</v>
      </c>
      <c r="AD47" s="19" t="n">
        <f aca="false">IF(Time!AD35=1,0,AD46)</f>
        <v>396.95857605585</v>
      </c>
      <c r="AE47" s="19" t="n">
        <f aca="false">IF(Time!AE35=1,0,AE46)</f>
        <v>396.95857605585</v>
      </c>
      <c r="AF47" s="19" t="n">
        <f aca="false">IF(Time!AF35=1,0,AF46)</f>
        <v>396.95857605585</v>
      </c>
      <c r="AG47" s="19" t="n">
        <f aca="false">IF(Time!AG35=1,0,AG46)</f>
        <v>396.95857605585</v>
      </c>
      <c r="AH47" s="19" t="n">
        <f aca="false">IF(Time!AH35=1,0,AH46)</f>
        <v>396.95857605585</v>
      </c>
      <c r="AI47" s="19" t="n">
        <f aca="false">IF(Time!AI35=1,0,AI46)</f>
        <v>396.95857605585</v>
      </c>
      <c r="AJ47" s="19" t="n">
        <f aca="false">IF(Time!AJ35=1,0,AJ46)</f>
        <v>396.95857605585</v>
      </c>
      <c r="AK47" s="19" t="n">
        <f aca="false">IF(Time!AK35=1,0,AK46)</f>
        <v>396.95857605585</v>
      </c>
      <c r="AL47" s="19" t="n">
        <f aca="false">IF(Time!AL35=1,0,AL46)</f>
        <v>396.95857605585</v>
      </c>
      <c r="AM47" s="19" t="n">
        <f aca="false">IF(Time!AM35=1,0,AM46)</f>
        <v>396.95857605585</v>
      </c>
      <c r="AN47" s="19" t="n">
        <f aca="false">IF(Time!AN35=1,0,AN46)</f>
        <v>396.95857605585</v>
      </c>
      <c r="AO47" s="19" t="n">
        <f aca="false">IF(Time!AO35=1,0,AO46)</f>
        <v>396.95857605585</v>
      </c>
      <c r="AP47" s="19" t="n">
        <f aca="false">IF(Time!AP35=1,0,AP46)</f>
        <v>396.95857605585</v>
      </c>
      <c r="AQ47" s="19" t="n">
        <f aca="false">IF(Time!AQ35=1,0,AQ46)</f>
        <v>396.95857605585</v>
      </c>
      <c r="AR47" s="19" t="n">
        <f aca="false">IF(Time!AR35=1,0,AR46)</f>
        <v>396.95857605585</v>
      </c>
      <c r="AS47" s="19" t="n">
        <f aca="false">IF(Time!AS35=1,0,AS46)</f>
        <v>396.95857605585</v>
      </c>
      <c r="AT47" s="19" t="n">
        <f aca="false">IF(Time!AT35=1,0,AT46)</f>
        <v>396.95857605585</v>
      </c>
      <c r="AU47" s="19" t="n">
        <f aca="false">IF(Time!AU35=1,0,AU46)</f>
        <v>396.95857605585</v>
      </c>
      <c r="AV47" s="19" t="n">
        <f aca="false">IF(Time!AV35=1,0,AV46)</f>
        <v>396.954732409336</v>
      </c>
      <c r="AW47" s="19" t="n">
        <f aca="false">IF(Time!AW35=1,0,AW46)</f>
        <v>396.136242952036</v>
      </c>
      <c r="AX47" s="19" t="n">
        <f aca="false">IF(Time!AX35=1,0,AX46)</f>
        <v>395.167031698473</v>
      </c>
      <c r="AY47" s="19" t="n">
        <f aca="false">IF(Time!AY35=1,0,AY46)</f>
        <v>394.335533728897</v>
      </c>
      <c r="AZ47" s="19" t="n">
        <f aca="false">IF(Time!AZ35=1,0,AZ46)</f>
        <v>393.304883407506</v>
      </c>
      <c r="BA47" s="19" t="n">
        <f aca="false">IF(Time!BA35=1,0,BA46)</f>
        <v>391.769623624085</v>
      </c>
      <c r="BB47" s="19" t="n">
        <f aca="false">IF(Time!BB35=1,0,BB46)</f>
        <v>390.061038356176</v>
      </c>
      <c r="BC47" s="19" t="n">
        <f aca="false">IF(Time!BC35=1,0,BC46)</f>
        <v>386.350785505435</v>
      </c>
      <c r="BD47" s="19" t="n">
        <f aca="false">IF(Time!BD35=1,0,BD46)</f>
        <v>382.408372119752</v>
      </c>
      <c r="BE47" s="19" t="n">
        <f aca="false">IF(Time!BE35=1,0,BE46)</f>
        <v>377.111053023529</v>
      </c>
      <c r="BF47" s="19" t="n">
        <f aca="false">IF(Time!BF35=1,0,BF46)</f>
        <v>371.538917363304</v>
      </c>
      <c r="BG47" s="19" t="n">
        <f aca="false">IF(Time!BG35=1,0,BG46)</f>
        <v>365.218163517559</v>
      </c>
      <c r="BH47" s="19" t="n">
        <f aca="false">IF(Time!BH35=1,0,BH46)</f>
        <v>358.531577549669</v>
      </c>
      <c r="BI47" s="19" t="n">
        <f aca="false">IF(Time!BI35=1,0,BI46)</f>
        <v>351.076156037764</v>
      </c>
      <c r="BJ47" s="19" t="n">
        <f aca="false">IF(Time!BJ35=1,0,BJ46)</f>
        <v>343.28852901867</v>
      </c>
      <c r="BK47" s="19" t="n">
        <f aca="false">IF(Time!BK35=1,0,BK46)</f>
        <v>334.600005964867</v>
      </c>
      <c r="BL47" s="19" t="n">
        <f aca="false">IF(Time!BL35=1,0,BL46)</f>
        <v>325.547090006201</v>
      </c>
      <c r="BM47" s="19" t="n">
        <f aca="false">IF(Time!BM35=1,0,BM46)</f>
        <v>315.52534098664</v>
      </c>
      <c r="BN47" s="19" t="n">
        <f aca="false">IF(Time!BN35=1,0,BN46)</f>
        <v>305.105320162683</v>
      </c>
      <c r="BO47" s="19" t="n">
        <f aca="false">IF(Time!BO35=1,0,BO46)</f>
        <v>296.780738519373</v>
      </c>
      <c r="BP47" s="19" t="n">
        <f aca="false">IF(Time!BP35=1,0,BP46)</f>
        <v>288.015959774071</v>
      </c>
      <c r="BQ47" s="19" t="n">
        <f aca="false">IF(Time!BQ35=1,0,BQ46)</f>
        <v>278.289606216002</v>
      </c>
      <c r="BR47" s="19" t="n">
        <f aca="false">IF(Time!BR35=1,0,BR46)</f>
        <v>268.390006015332</v>
      </c>
      <c r="BS47" s="19" t="n">
        <f aca="false">IF(Time!BS35=1,0,BS46)</f>
        <v>257.391592127632</v>
      </c>
      <c r="BT47" s="19" t="n">
        <f aca="false">IF(Time!BT35=1,0,BT46)</f>
        <v>246.195653622197</v>
      </c>
      <c r="BU47" s="19" t="n">
        <f aca="false">IF(Time!BU35=1,0,BU46)</f>
        <v>230.686169590986</v>
      </c>
      <c r="BV47" s="19" t="n">
        <f aca="false">IF(Time!BV35=1,0,BV46)</f>
        <v>214.870865198202</v>
      </c>
      <c r="BW47" s="19" t="n">
        <f aca="false">IF(Time!BW35=1,0,BW46)</f>
        <v>197.724434263658</v>
      </c>
      <c r="BX47" s="19" t="n">
        <f aca="false">IF(Time!BX35=1,0,BX46)</f>
        <v>180.130054799522</v>
      </c>
      <c r="BY47" s="19" t="n">
        <f aca="false">IF(Time!BY35=1,0,BY46)</f>
        <v>161.227492137166</v>
      </c>
      <c r="BZ47" s="19" t="n">
        <f aca="false">IF(Time!BZ35=1,0,BZ46)</f>
        <v>141.95504102612</v>
      </c>
      <c r="CA47" s="19" t="n">
        <f aca="false">IF(Time!CA35=1,0,CA46)</f>
        <v>123.205516582599</v>
      </c>
      <c r="CB47" s="19" t="n">
        <f aca="false">IF(Time!CB35=1,0,CB46)</f>
        <v>104.103877910255</v>
      </c>
      <c r="CC47" s="19" t="n">
        <f aca="false">IF(Time!CC35=1,0,CC46)</f>
        <v>83.4561055638122</v>
      </c>
      <c r="CD47" s="19" t="n">
        <f aca="false">IF(Time!CD35=1,0,CD46)</f>
        <v>62.4204605407258</v>
      </c>
      <c r="CE47" s="19" t="n">
        <f aca="false">IF(Time!CE35=1,0,CE46)</f>
        <v>40.7248801057982</v>
      </c>
      <c r="CF47" s="19" t="n">
        <f aca="false">IF(Time!CF35=1,0,CF46)</f>
        <v>21.2872597324733</v>
      </c>
      <c r="CG47" s="19" t="n">
        <f aca="false">IF(Time!CG35=1,0,CG46)</f>
        <v>9.45021838560933E-013</v>
      </c>
      <c r="CH47" s="19" t="n">
        <f aca="false">IF(Time!CH35=1,0,CH46)</f>
        <v>9.45021838560933E-013</v>
      </c>
      <c r="CI47" s="19" t="n">
        <f aca="false">IF(Time!CI35=1,0,CI46)</f>
        <v>9.45021838560933E-013</v>
      </c>
      <c r="CJ47" s="19" t="n">
        <f aca="false">IF(Time!CJ35=1,0,CJ46)</f>
        <v>9.45021838560933E-013</v>
      </c>
      <c r="CK47" s="19" t="n">
        <f aca="false">IF(Time!CK35=1,0,CK46)</f>
        <v>9.45021838560933E-013</v>
      </c>
      <c r="CL47" s="19" t="n">
        <f aca="false">IF(Time!CL35=1,0,CL46)</f>
        <v>9.45021838560933E-013</v>
      </c>
      <c r="CM47" s="19" t="n">
        <f aca="false">IF(Time!CM35=1,0,CM46)</f>
        <v>9.45021838560933E-013</v>
      </c>
      <c r="CN47" s="19" t="n">
        <f aca="false">IF(Time!CN35=1,0,CN46)</f>
        <v>9.45021838560933E-013</v>
      </c>
      <c r="CO47" s="19" t="n">
        <f aca="false">IF(Time!CO35=1,0,CO46)</f>
        <v>9.45021838560933E-013</v>
      </c>
      <c r="CP47" s="19" t="n">
        <f aca="false">IF(Time!CP35=1,0,CP46)</f>
        <v>9.45021838560933E-013</v>
      </c>
      <c r="CQ47" s="19" t="n">
        <f aca="false">IF(Time!CQ35=1,0,CQ46)</f>
        <v>9.45021838560933E-013</v>
      </c>
      <c r="CR47" s="19" t="n">
        <f aca="false">IF(Time!CR35=1,0,CR46)</f>
        <v>9.45021838560933E-013</v>
      </c>
      <c r="CS47" s="19" t="n">
        <f aca="false">IF(Time!CS35=1,0,CS46)</f>
        <v>9.45021838560933E-013</v>
      </c>
      <c r="CT47" s="19" t="n">
        <f aca="false">IF(Time!CT35=1,0,CT46)</f>
        <v>9.45021838560933E-013</v>
      </c>
      <c r="CU47" s="19" t="n">
        <f aca="false">IF(Time!CU35=1,0,CU46)</f>
        <v>9.45021838560933E-013</v>
      </c>
      <c r="CV47" s="19" t="n">
        <f aca="false">IF(Time!CV35=1,0,CV46)</f>
        <v>9.45021838560933E-013</v>
      </c>
      <c r="CW47" s="19" t="n">
        <f aca="false">IF(Time!CW35=1,0,CW46)</f>
        <v>9.45021838560933E-013</v>
      </c>
      <c r="CX47" s="19" t="n">
        <f aca="false">IF(Time!CX35=1,0,CX46)</f>
        <v>9.45021838560933E-013</v>
      </c>
      <c r="CY47" s="19" t="n">
        <f aca="false">IF(Time!CY35=1,0,CY46)</f>
        <v>9.45021838560933E-013</v>
      </c>
      <c r="CZ47" s="19" t="n">
        <f aca="false">IF(Time!CZ35=1,0,CZ46)</f>
        <v>9.45021838560933E-013</v>
      </c>
      <c r="DA47" s="19" t="n">
        <f aca="false">IF(Time!DA35=1,0,DA46)</f>
        <v>9.45021838560933E-013</v>
      </c>
      <c r="DB47" s="19" t="n">
        <f aca="false">IF(Time!DB35=1,0,DB46)</f>
        <v>9.45021838560933E-013</v>
      </c>
    </row>
    <row r="48" customFormat="false" ht="15" hidden="false" customHeight="false" outlineLevel="0" collapsed="false">
      <c r="D48" s="3" t="s">
        <v>515</v>
      </c>
    </row>
    <row r="49" customFormat="false" ht="15" hidden="false" customHeight="false" outlineLevel="0" collapsed="false">
      <c r="D49" s="0" t="s">
        <v>509</v>
      </c>
      <c r="E49" s="0" t="s">
        <v>44</v>
      </c>
      <c r="J49" s="19" t="n">
        <f aca="false">IF(Time!J6=1,Funding!$F$7,I54)</f>
        <v>485.17159295715</v>
      </c>
      <c r="K49" s="19" t="n">
        <f aca="false">IF(Time!K6=1,Funding!$F$7,J54)</f>
        <v>485.17159295715</v>
      </c>
      <c r="L49" s="19" t="n">
        <f aca="false">IF(Time!L6=1,Funding!$F$7,K54)</f>
        <v>485.17159295715</v>
      </c>
      <c r="M49" s="19" t="n">
        <f aca="false">IF(Time!M6=1,Funding!$F$7,L54)</f>
        <v>485.17159295715</v>
      </c>
      <c r="N49" s="19" t="n">
        <f aca="false">IF(Time!N6=1,Funding!$F$7,M54)</f>
        <v>485.17159295715</v>
      </c>
      <c r="O49" s="19" t="n">
        <f aca="false">IF(Time!O6=1,Funding!$F$7,N54)</f>
        <v>485.17159295715</v>
      </c>
      <c r="P49" s="19" t="n">
        <f aca="false">IF(Time!P6=1,Funding!$F$7,O54)</f>
        <v>485.17159295715</v>
      </c>
      <c r="Q49" s="19" t="n">
        <f aca="false">IF(Time!Q6=1,Funding!$F$7,P54)</f>
        <v>485.17159295715</v>
      </c>
      <c r="R49" s="19" t="n">
        <f aca="false">IF(Time!R6=1,Funding!$F$7,Q54)</f>
        <v>485.17159295715</v>
      </c>
      <c r="S49" s="19" t="n">
        <f aca="false">IF(Time!S6=1,Funding!$F$7,R54)</f>
        <v>485.17159295715</v>
      </c>
      <c r="T49" s="19" t="n">
        <f aca="false">IF(Time!T6=1,Funding!$F$7,S54)</f>
        <v>485.17159295715</v>
      </c>
      <c r="U49" s="19" t="n">
        <f aca="false">IF(Time!U6=1,Funding!$F$7,T54)</f>
        <v>485.17159295715</v>
      </c>
      <c r="V49" s="19" t="n">
        <f aca="false">IF(Time!V6=1,Funding!$F$7,U54)</f>
        <v>485.17159295715</v>
      </c>
      <c r="W49" s="19" t="n">
        <f aca="false">IF(Time!W6=1,Funding!$F$7,V54)</f>
        <v>485.17159295715</v>
      </c>
      <c r="X49" s="19" t="n">
        <f aca="false">IF(Time!X6=1,Funding!$F$7,W54)</f>
        <v>485.17159295715</v>
      </c>
      <c r="Y49" s="19" t="n">
        <f aca="false">IF(Time!Y6=1,Funding!$F$7,X54)</f>
        <v>485.17159295715</v>
      </c>
      <c r="Z49" s="19" t="n">
        <f aca="false">IF(Time!Z6=1,Funding!$F$7,Y54)</f>
        <v>485.17159295715</v>
      </c>
      <c r="AA49" s="19" t="n">
        <f aca="false">IF(Time!AA6=1,Funding!$F$7,Z54)</f>
        <v>485.17159295715</v>
      </c>
      <c r="AB49" s="19" t="n">
        <f aca="false">IF(Time!AB6=1,Funding!$F$7,AA54)</f>
        <v>485.17159295715</v>
      </c>
      <c r="AC49" s="19" t="n">
        <f aca="false">IF(Time!AC6=1,Funding!$F$7,AB54)</f>
        <v>485.17159295715</v>
      </c>
      <c r="AD49" s="19" t="n">
        <f aca="false">IF(Time!AD6=1,Funding!$F$7,AC54)</f>
        <v>485.17159295715</v>
      </c>
      <c r="AE49" s="19" t="n">
        <f aca="false">IF(Time!AE6=1,Funding!$F$7,AD54)</f>
        <v>485.17159295715</v>
      </c>
      <c r="AF49" s="19" t="n">
        <f aca="false">IF(Time!AF6=1,Funding!$F$7,AE54)</f>
        <v>485.17159295715</v>
      </c>
      <c r="AG49" s="19" t="n">
        <f aca="false">IF(Time!AG6=1,Funding!$F$7,AF54)</f>
        <v>485.17159295715</v>
      </c>
      <c r="AH49" s="19" t="n">
        <f aca="false">IF(Time!AH6=1,Funding!$F$7,AG54)</f>
        <v>485.17159295715</v>
      </c>
      <c r="AI49" s="19" t="n">
        <f aca="false">IF(Time!AI6=1,Funding!$F$7,AH54)</f>
        <v>485.17159295715</v>
      </c>
      <c r="AJ49" s="19" t="n">
        <f aca="false">IF(Time!AJ6=1,Funding!$F$7,AI54)</f>
        <v>485.17159295715</v>
      </c>
      <c r="AK49" s="19" t="n">
        <f aca="false">IF(Time!AK6=1,Funding!$F$7,AJ54)</f>
        <v>485.17159295715</v>
      </c>
      <c r="AL49" s="19" t="n">
        <f aca="false">IF(Time!AL6=1,Funding!$F$7,AK54)</f>
        <v>485.17159295715</v>
      </c>
      <c r="AM49" s="19" t="n">
        <f aca="false">IF(Time!AM6=1,Funding!$F$7,AL54)</f>
        <v>485.17159295715</v>
      </c>
      <c r="AN49" s="19" t="n">
        <f aca="false">IF(Time!AN6=1,Funding!$F$7,AM54)</f>
        <v>485.17159295715</v>
      </c>
      <c r="AO49" s="19" t="n">
        <f aca="false">IF(Time!AO6=1,Funding!$F$7,AN54)</f>
        <v>485.17159295715</v>
      </c>
      <c r="AP49" s="19" t="n">
        <f aca="false">IF(Time!AP6=1,Funding!$F$7,AO54)</f>
        <v>485.17159295715</v>
      </c>
      <c r="AQ49" s="19" t="n">
        <f aca="false">IF(Time!AQ6=1,Funding!$F$7,AP54)</f>
        <v>485.17159295715</v>
      </c>
      <c r="AR49" s="19" t="n">
        <f aca="false">IF(Time!AR6=1,Funding!$F$7,AQ54)</f>
        <v>485.17159295715</v>
      </c>
      <c r="AS49" s="19" t="n">
        <f aca="false">IF(Time!AS6=1,Funding!$F$7,AR54)</f>
        <v>485.17159295715</v>
      </c>
      <c r="AT49" s="19" t="n">
        <f aca="false">IF(Time!AT6=1,Funding!$F$7,AS54)</f>
        <v>485.17159295715</v>
      </c>
      <c r="AU49" s="19" t="n">
        <f aca="false">IF(Time!AU6=1,Funding!$F$7,AT54)</f>
        <v>485.17159295715</v>
      </c>
      <c r="AV49" s="19" t="n">
        <f aca="false">IF(Time!AV6=1,Funding!$F$7,AU54)</f>
        <v>485.17159295715</v>
      </c>
      <c r="AW49" s="19" t="n">
        <f aca="false">IF(Time!AW6=1,Funding!$F$7,AV54)</f>
        <v>485.166895166966</v>
      </c>
      <c r="AX49" s="19" t="n">
        <f aca="false">IF(Time!AX6=1,Funding!$F$7,AW54)</f>
        <v>484.1665191636</v>
      </c>
      <c r="AY49" s="19" t="n">
        <f aca="false">IF(Time!AY6=1,Funding!$F$7,AX54)</f>
        <v>482.981927631467</v>
      </c>
      <c r="AZ49" s="19" t="n">
        <f aca="false">IF(Time!AZ6=1,Funding!$F$7,AY54)</f>
        <v>481.965652335319</v>
      </c>
      <c r="BA49" s="19" t="n">
        <f aca="false">IF(Time!BA6=1,Funding!$F$7,AZ54)</f>
        <v>480.705968609174</v>
      </c>
      <c r="BB49" s="19" t="n">
        <f aca="false">IF(Time!BB6=1,Funding!$F$7,BA54)</f>
        <v>478.829539984993</v>
      </c>
      <c r="BC49" s="19" t="n">
        <f aca="false">IF(Time!BC6=1,Funding!$F$7,BB54)</f>
        <v>476.741269101993</v>
      </c>
      <c r="BD49" s="19" t="n">
        <f aca="false">IF(Time!BD6=1,Funding!$F$7,BC54)</f>
        <v>472.206515617754</v>
      </c>
      <c r="BE49" s="19" t="n">
        <f aca="false">IF(Time!BE6=1,Funding!$F$7,BD54)</f>
        <v>467.388010368586</v>
      </c>
      <c r="BF49" s="19" t="n">
        <f aca="false">IF(Time!BF6=1,Funding!$F$7,BE54)</f>
        <v>460.91350925098</v>
      </c>
      <c r="BG49" s="19" t="n">
        <f aca="false">IF(Time!BG6=1,Funding!$F$7,BF54)</f>
        <v>454.103121221816</v>
      </c>
      <c r="BH49" s="19" t="n">
        <f aca="false">IF(Time!BH6=1,Funding!$F$7,BG54)</f>
        <v>446.377755410349</v>
      </c>
      <c r="BI49" s="19" t="n">
        <f aca="false">IF(Time!BI6=1,Funding!$F$7,BH54)</f>
        <v>438.205261449595</v>
      </c>
      <c r="BJ49" s="19" t="n">
        <f aca="false">IF(Time!BJ6=1,Funding!$F$7,BI54)</f>
        <v>429.093079601712</v>
      </c>
      <c r="BK49" s="19" t="n">
        <f aca="false">IF(Time!BK6=1,Funding!$F$7,BJ54)</f>
        <v>419.574868800596</v>
      </c>
      <c r="BL49" s="19" t="n">
        <f aca="false">IF(Time!BL6=1,Funding!$F$7,BK54)</f>
        <v>408.955562845949</v>
      </c>
      <c r="BM49" s="19" t="n">
        <f aca="false">IF(Time!BM6=1,Funding!$F$7,BL54)</f>
        <v>397.890887785357</v>
      </c>
      <c r="BN49" s="19" t="n">
        <f aca="false">IF(Time!BN6=1,Funding!$F$7,BM54)</f>
        <v>385.642083428115</v>
      </c>
      <c r="BO49" s="19" t="n">
        <f aca="false">IF(Time!BO6=1,Funding!$F$7,BN54)</f>
        <v>372.906502421057</v>
      </c>
      <c r="BP49" s="19" t="n">
        <f aca="false">IF(Time!BP6=1,Funding!$F$7,BO54)</f>
        <v>362.7320137459</v>
      </c>
      <c r="BQ49" s="19" t="n">
        <f aca="false">IF(Time!BQ6=1,Funding!$F$7,BP54)</f>
        <v>352.019506390531</v>
      </c>
      <c r="BR49" s="19" t="n">
        <f aca="false">IF(Time!BR6=1,Funding!$F$7,BQ54)</f>
        <v>340.131740930669</v>
      </c>
      <c r="BS49" s="19" t="n">
        <f aca="false">IF(Time!BS6=1,Funding!$F$7,BR54)</f>
        <v>328.032229574295</v>
      </c>
      <c r="BT49" s="19" t="n">
        <f aca="false">IF(Time!BT6=1,Funding!$F$7,BS54)</f>
        <v>314.589723711551</v>
      </c>
      <c r="BU49" s="19" t="n">
        <f aca="false">IF(Time!BU6=1,Funding!$F$7,BT54)</f>
        <v>300.905798871574</v>
      </c>
      <c r="BV49" s="19" t="n">
        <f aca="false">IF(Time!BV6=1,Funding!$F$7,BU54)</f>
        <v>281.949762833427</v>
      </c>
      <c r="BW49" s="19" t="n">
        <f aca="false">IF(Time!BW6=1,Funding!$F$7,BV54)</f>
        <v>262.619946353358</v>
      </c>
      <c r="BX49" s="19" t="n">
        <f aca="false">IF(Time!BX6=1,Funding!$F$7,BW54)</f>
        <v>241.66319743336</v>
      </c>
      <c r="BY49" s="19" t="n">
        <f aca="false">IF(Time!BY6=1,Funding!$F$7,BX54)</f>
        <v>220.158955866082</v>
      </c>
      <c r="BZ49" s="19" t="n">
        <f aca="false">IF(Time!BZ6=1,Funding!$F$7,BY54)</f>
        <v>197.055823723203</v>
      </c>
      <c r="CA49" s="19" t="n">
        <f aca="false">IF(Time!CA6=1,Funding!$F$7,BZ54)</f>
        <v>173.500605698591</v>
      </c>
      <c r="CB49" s="19" t="n">
        <f aca="false">IF(Time!CB6=1,Funding!$F$7,CA54)</f>
        <v>150.584520267622</v>
      </c>
      <c r="CC49" s="19" t="n">
        <f aca="false">IF(Time!CC6=1,Funding!$F$7,CB54)</f>
        <v>127.238073001423</v>
      </c>
      <c r="CD49" s="19" t="n">
        <f aca="false">IF(Time!CD6=1,Funding!$F$7,CC54)</f>
        <v>102.001906800215</v>
      </c>
      <c r="CE49" s="19" t="n">
        <f aca="false">IF(Time!CE6=1,Funding!$F$7,CD54)</f>
        <v>76.2916739942204</v>
      </c>
      <c r="CF49" s="19" t="n">
        <f aca="false">IF(Time!CF6=1,Funding!$F$7,CE54)</f>
        <v>49.7748534626422</v>
      </c>
      <c r="CG49" s="19" t="n">
        <f aca="false">IF(Time!CG6=1,Funding!$F$7,CF54)</f>
        <v>26.0177618952451</v>
      </c>
      <c r="CH49" s="19" t="n">
        <f aca="false">IF(Time!CH6=1,Funding!$F$7,CG54)</f>
        <v>1.16173737296776E-012</v>
      </c>
      <c r="CI49" s="19" t="n">
        <f aca="false">IF(Time!CI6=1,Funding!$F$7,CH54)</f>
        <v>1.16173737296776E-012</v>
      </c>
      <c r="CJ49" s="19" t="n">
        <f aca="false">IF(Time!CJ6=1,Funding!$F$7,CI54)</f>
        <v>1.16173737296776E-012</v>
      </c>
      <c r="CK49" s="19" t="n">
        <f aca="false">IF(Time!CK6=1,Funding!$F$7,CJ54)</f>
        <v>1.16173737296776E-012</v>
      </c>
      <c r="CL49" s="19" t="n">
        <f aca="false">IF(Time!CL6=1,Funding!$F$7,CK54)</f>
        <v>1.16173737296776E-012</v>
      </c>
      <c r="CM49" s="19" t="n">
        <f aca="false">IF(Time!CM6=1,Funding!$F$7,CL54)</f>
        <v>1.16173737296776E-012</v>
      </c>
      <c r="CN49" s="19" t="n">
        <f aca="false">IF(Time!CN6=1,Funding!$F$7,CM54)</f>
        <v>1.16173737296776E-012</v>
      </c>
      <c r="CO49" s="19" t="n">
        <f aca="false">IF(Time!CO6=1,Funding!$F$7,CN54)</f>
        <v>1.16173737296776E-012</v>
      </c>
      <c r="CP49" s="19" t="n">
        <f aca="false">IF(Time!CP6=1,Funding!$F$7,CO54)</f>
        <v>1.16173737296776E-012</v>
      </c>
      <c r="CQ49" s="19" t="n">
        <f aca="false">IF(Time!CQ6=1,Funding!$F$7,CP54)</f>
        <v>1.16173737296776E-012</v>
      </c>
      <c r="CR49" s="19" t="n">
        <f aca="false">IF(Time!CR6=1,Funding!$F$7,CQ54)</f>
        <v>1.16173737296776E-012</v>
      </c>
      <c r="CS49" s="19" t="n">
        <f aca="false">IF(Time!CS6=1,Funding!$F$7,CR54)</f>
        <v>1.16173737296776E-012</v>
      </c>
      <c r="CT49" s="19" t="n">
        <f aca="false">IF(Time!CT6=1,Funding!$F$7,CS54)</f>
        <v>1.16173737296776E-012</v>
      </c>
      <c r="CU49" s="19" t="n">
        <f aca="false">IF(Time!CU6=1,Funding!$F$7,CT54)</f>
        <v>1.16173737296776E-012</v>
      </c>
      <c r="CV49" s="19" t="n">
        <f aca="false">IF(Time!CV6=1,Funding!$F$7,CU54)</f>
        <v>1.16173737296776E-012</v>
      </c>
      <c r="CW49" s="19" t="n">
        <f aca="false">IF(Time!CW6=1,Funding!$F$7,CV54)</f>
        <v>1.16173737296776E-012</v>
      </c>
      <c r="CX49" s="19" t="n">
        <f aca="false">IF(Time!CX6=1,Funding!$F$7,CW54)</f>
        <v>1.16173737296776E-012</v>
      </c>
      <c r="CY49" s="19" t="n">
        <f aca="false">IF(Time!CY6=1,Funding!$F$7,CX54)</f>
        <v>1.16173737296776E-012</v>
      </c>
      <c r="CZ49" s="19" t="n">
        <f aca="false">IF(Time!CZ6=1,Funding!$F$7,CY54)</f>
        <v>1.16173737296776E-012</v>
      </c>
      <c r="DA49" s="19" t="n">
        <f aca="false">IF(Time!DA6=1,Funding!$F$7,CZ54)</f>
        <v>1.16173737296776E-012</v>
      </c>
      <c r="DB49" s="19" t="n">
        <f aca="false">IF(Time!DB6=1,Funding!$F$7,DA54)</f>
        <v>1.16173737296776E-012</v>
      </c>
    </row>
    <row r="50" customFormat="false" ht="15" hidden="false" customHeight="false" outlineLevel="0" collapsed="false">
      <c r="D50" s="0" t="s">
        <v>516</v>
      </c>
      <c r="E50" s="0" t="s">
        <v>44</v>
      </c>
      <c r="G50" s="19" t="n">
        <f aca="false">SUM(J50:DB50)</f>
        <v>656.573089266853</v>
      </c>
      <c r="J50" s="19" t="n">
        <f aca="false">J49*Inputs!$F$110*Time!J10/Inputs!$F$46</f>
        <v>2.15699204035533</v>
      </c>
      <c r="K50" s="19" t="n">
        <f aca="false">K49*Inputs!$F$110*Time!K10/Inputs!$F$46</f>
        <v>5.88270556460545</v>
      </c>
      <c r="L50" s="19" t="n">
        <f aca="false">L49*Inputs!$F$110*Time!L10/Inputs!$F$46</f>
        <v>5.88270556460545</v>
      </c>
      <c r="M50" s="19" t="n">
        <f aca="false">M49*Inputs!$F$110*Time!M10/Inputs!$F$46</f>
        <v>5.88270556460545</v>
      </c>
      <c r="N50" s="19" t="n">
        <f aca="false">N49*Inputs!$F$110*Time!N10/Inputs!$F$46</f>
        <v>5.88270556460545</v>
      </c>
      <c r="O50" s="19" t="n">
        <f aca="false">O49*Inputs!$F$110*Time!O10/Inputs!$F$46</f>
        <v>5.88270556460545</v>
      </c>
      <c r="P50" s="19" t="n">
        <f aca="false">P49*Inputs!$F$110*Time!P10/Inputs!$F$46</f>
        <v>5.88270556460545</v>
      </c>
      <c r="Q50" s="19" t="n">
        <f aca="false">Q49*Inputs!$F$110*Time!Q10/Inputs!$F$46</f>
        <v>5.88270556460545</v>
      </c>
      <c r="R50" s="19" t="n">
        <f aca="false">R49*Inputs!$F$110*Time!R10/Inputs!$F$46</f>
        <v>5.88270556460545</v>
      </c>
      <c r="S50" s="19" t="n">
        <f aca="false">S49*Inputs!$F$110*Time!S10/Inputs!$F$46</f>
        <v>5.88270556460545</v>
      </c>
      <c r="T50" s="19" t="n">
        <f aca="false">T49*Inputs!$F$110*Time!T10/Inputs!$F$46</f>
        <v>5.88270556460545</v>
      </c>
      <c r="U50" s="19" t="n">
        <f aca="false">U49*Inputs!$F$110*Time!U10/Inputs!$F$46</f>
        <v>5.88270556460545</v>
      </c>
      <c r="V50" s="19" t="n">
        <f aca="false">V49*Inputs!$F$110*Time!V10/Inputs!$F$46</f>
        <v>5.88270556460545</v>
      </c>
      <c r="W50" s="19" t="n">
        <f aca="false">W49*Inputs!$F$110*Time!W10/Inputs!$F$46</f>
        <v>5.88270556460545</v>
      </c>
      <c r="X50" s="19" t="n">
        <f aca="false">X49*Inputs!$F$110*Time!X10/Inputs!$F$46</f>
        <v>5.88270556460545</v>
      </c>
      <c r="Y50" s="19" t="n">
        <f aca="false">Y49*Inputs!$F$110*Time!Y10/Inputs!$F$46</f>
        <v>5.88270556460545</v>
      </c>
      <c r="Z50" s="19" t="n">
        <f aca="false">Z49*Inputs!$F$110*Time!Z10/Inputs!$F$46</f>
        <v>5.88270556460545</v>
      </c>
      <c r="AA50" s="19" t="n">
        <f aca="false">AA49*Inputs!$F$110*Time!AA10/Inputs!$F$46</f>
        <v>11.7654111292109</v>
      </c>
      <c r="AB50" s="19" t="n">
        <f aca="false">AB49*Inputs!$F$110*Time!AB10/Inputs!$F$46</f>
        <v>11.7654111292109</v>
      </c>
      <c r="AC50" s="19" t="n">
        <f aca="false">AC49*Inputs!$F$110*Time!AC10/Inputs!$F$46</f>
        <v>11.7654111292109</v>
      </c>
      <c r="AD50" s="19" t="n">
        <f aca="false">AD49*Inputs!$F$110*Time!AD10/Inputs!$F$46</f>
        <v>11.7654111292109</v>
      </c>
      <c r="AE50" s="19" t="n">
        <f aca="false">AE49*Inputs!$F$110*Time!AE10/Inputs!$F$46</f>
        <v>11.7654111292109</v>
      </c>
      <c r="AF50" s="19" t="n">
        <f aca="false">AF49*Inputs!$F$110*Time!AF10/Inputs!$F$46</f>
        <v>11.7654111292109</v>
      </c>
      <c r="AG50" s="19" t="n">
        <f aca="false">AG49*Inputs!$F$110*Time!AG10/Inputs!$F$46</f>
        <v>11.7654111292109</v>
      </c>
      <c r="AH50" s="19" t="n">
        <f aca="false">AH49*Inputs!$F$110*Time!AH10/Inputs!$F$46</f>
        <v>11.7654111292109</v>
      </c>
      <c r="AI50" s="19" t="n">
        <f aca="false">AI49*Inputs!$F$110*Time!AI10/Inputs!$F$46</f>
        <v>11.7654111292109</v>
      </c>
      <c r="AJ50" s="19" t="n">
        <f aca="false">AJ49*Inputs!$F$110*Time!AJ10/Inputs!$F$46</f>
        <v>11.7654111292109</v>
      </c>
      <c r="AK50" s="19" t="n">
        <f aca="false">AK49*Inputs!$F$110*Time!AK10/Inputs!$F$46</f>
        <v>11.7654111292109</v>
      </c>
      <c r="AL50" s="19" t="n">
        <f aca="false">AL49*Inputs!$F$110*Time!AL10/Inputs!$F$46</f>
        <v>11.7654111292109</v>
      </c>
      <c r="AM50" s="19" t="n">
        <f aca="false">AM49*Inputs!$F$110*Time!AM10/Inputs!$F$46</f>
        <v>11.7654111292109</v>
      </c>
      <c r="AN50" s="19" t="n">
        <f aca="false">AN49*Inputs!$F$110*Time!AN10/Inputs!$F$46</f>
        <v>11.7654111292109</v>
      </c>
      <c r="AO50" s="19" t="n">
        <f aca="false">AO49*Inputs!$F$110*Time!AO10/Inputs!$F$46</f>
        <v>11.7654111292109</v>
      </c>
      <c r="AP50" s="19" t="n">
        <f aca="false">AP49*Inputs!$F$110*Time!AP10/Inputs!$F$46</f>
        <v>11.7654111292109</v>
      </c>
      <c r="AQ50" s="19" t="n">
        <f aca="false">AQ49*Inputs!$F$110*Time!AQ10/Inputs!$F$46</f>
        <v>11.7654111292109</v>
      </c>
      <c r="AR50" s="19" t="n">
        <f aca="false">AR49*Inputs!$F$110*Time!AR10/Inputs!$F$46</f>
        <v>11.7654111292109</v>
      </c>
      <c r="AS50" s="19" t="n">
        <f aca="false">AS49*Inputs!$F$110*Time!AS10/Inputs!$F$46</f>
        <v>11.7654111292109</v>
      </c>
      <c r="AT50" s="19" t="n">
        <f aca="false">AT49*Inputs!$F$110*Time!AT10/Inputs!$F$46</f>
        <v>11.7654111292109</v>
      </c>
      <c r="AU50" s="19" t="n">
        <f aca="false">AU49*Inputs!$F$110*Time!AU10/Inputs!$F$46</f>
        <v>11.7654111292109</v>
      </c>
      <c r="AV50" s="19" t="n">
        <f aca="false">AV49*Inputs!$F$110*Time!AV10/Inputs!$F$46</f>
        <v>11.7654111292109</v>
      </c>
      <c r="AW50" s="19" t="n">
        <f aca="false">AW49*Inputs!$F$110*Time!AW10/Inputs!$F$46</f>
        <v>11.7652972077989</v>
      </c>
      <c r="AX50" s="19" t="n">
        <f aca="false">AX49*Inputs!$F$110*Time!AX10/Inputs!$F$46</f>
        <v>11.7410380897173</v>
      </c>
      <c r="AY50" s="19" t="n">
        <f aca="false">AY49*Inputs!$F$110*Time!AY10/Inputs!$F$46</f>
        <v>11.7123117450631</v>
      </c>
      <c r="AZ50" s="19" t="n">
        <f aca="false">AZ49*Inputs!$F$110*Time!AZ10/Inputs!$F$46</f>
        <v>11.6876670691315</v>
      </c>
      <c r="BA50" s="19" t="n">
        <f aca="false">BA49*Inputs!$F$110*Time!BA10/Inputs!$F$46</f>
        <v>11.6571197387725</v>
      </c>
      <c r="BB50" s="19" t="n">
        <f aca="false">BB49*Inputs!$F$110*Time!BB10/Inputs!$F$46</f>
        <v>11.6116163446361</v>
      </c>
      <c r="BC50" s="19" t="n">
        <f aca="false">BC49*Inputs!$F$110*Time!BC10/Inputs!$F$46</f>
        <v>11.5609757757233</v>
      </c>
      <c r="BD50" s="19" t="n">
        <f aca="false">BD49*Inputs!$F$110*Time!BD10/Inputs!$F$46</f>
        <v>11.4510080037305</v>
      </c>
      <c r="BE50" s="19" t="n">
        <f aca="false">BE49*Inputs!$F$110*Time!BE10/Inputs!$F$46</f>
        <v>11.3341592514382</v>
      </c>
      <c r="BF50" s="19" t="n">
        <f aca="false">BF49*Inputs!$F$110*Time!BF10/Inputs!$F$46</f>
        <v>11.1771525993363</v>
      </c>
      <c r="BG50" s="19" t="n">
        <f aca="false">BG49*Inputs!$F$110*Time!BG10/Inputs!$F$46</f>
        <v>11.012000689629</v>
      </c>
      <c r="BH50" s="19" t="n">
        <f aca="false">BH49*Inputs!$F$110*Time!BH10/Inputs!$F$46</f>
        <v>10.824660568701</v>
      </c>
      <c r="BI50" s="19" t="n">
        <f aca="false">BI49*Inputs!$F$110*Time!BI10/Inputs!$F$46</f>
        <v>10.6264775901527</v>
      </c>
      <c r="BJ50" s="19" t="n">
        <f aca="false">BJ49*Inputs!$F$110*Time!BJ10/Inputs!$F$46</f>
        <v>10.4055071803415</v>
      </c>
      <c r="BK50" s="19" t="n">
        <f aca="false">BK49*Inputs!$F$110*Time!BK10/Inputs!$F$46</f>
        <v>10.1746905684145</v>
      </c>
      <c r="BL50" s="19" t="n">
        <f aca="false">BL49*Inputs!$F$110*Time!BL10/Inputs!$F$46</f>
        <v>9.91717239901426</v>
      </c>
      <c r="BM50" s="19" t="n">
        <f aca="false">BM49*Inputs!$F$110*Time!BM10/Inputs!$F$46</f>
        <v>9.64885402879491</v>
      </c>
      <c r="BN50" s="19" t="n">
        <f aca="false">BN49*Inputs!$F$110*Time!BN10/Inputs!$F$46</f>
        <v>9.35182052313179</v>
      </c>
      <c r="BO50" s="19" t="n">
        <f aca="false">BO49*Inputs!$F$110*Time!BO10/Inputs!$F$46</f>
        <v>9.04298268371063</v>
      </c>
      <c r="BP50" s="19" t="n">
        <f aca="false">BP49*Inputs!$F$110*Time!BP10/Inputs!$F$46</f>
        <v>8.79625133333808</v>
      </c>
      <c r="BQ50" s="19" t="n">
        <f aca="false">BQ49*Inputs!$F$110*Time!BQ10/Inputs!$F$46</f>
        <v>8.53647302997038</v>
      </c>
      <c r="BR50" s="19" t="n">
        <f aca="false">BR49*Inputs!$F$110*Time!BR10/Inputs!$F$46</f>
        <v>8.24819471756871</v>
      </c>
      <c r="BS50" s="19" t="n">
        <f aca="false">BS49*Inputs!$F$110*Time!BS10/Inputs!$F$46</f>
        <v>7.95478156717665</v>
      </c>
      <c r="BT50" s="19" t="n">
        <f aca="false">BT49*Inputs!$F$110*Time!BT10/Inputs!$F$46</f>
        <v>7.6288008000051</v>
      </c>
      <c r="BU50" s="19" t="n">
        <f aca="false">BU49*Inputs!$F$110*Time!BU10/Inputs!$F$46</f>
        <v>7.29696562263566</v>
      </c>
      <c r="BV50" s="19" t="n">
        <f aca="false">BV49*Inputs!$F$110*Time!BV10/Inputs!$F$46</f>
        <v>6.8372817487106</v>
      </c>
      <c r="BW50" s="19" t="n">
        <f aca="false">BW49*Inputs!$F$110*Time!BW10/Inputs!$F$46</f>
        <v>6.36853369906894</v>
      </c>
      <c r="BX50" s="19" t="n">
        <f aca="false">BX49*Inputs!$F$110*Time!BX10/Inputs!$F$46</f>
        <v>5.86033253775897</v>
      </c>
      <c r="BY50" s="19" t="n">
        <f aca="false">BY49*Inputs!$F$110*Time!BY10/Inputs!$F$46</f>
        <v>5.33885467975249</v>
      </c>
      <c r="BZ50" s="19" t="n">
        <f aca="false">BZ49*Inputs!$F$110*Time!BZ10/Inputs!$F$46</f>
        <v>4.77860372528767</v>
      </c>
      <c r="CA50" s="19" t="n">
        <f aca="false">CA49*Inputs!$F$110*Time!CA10/Inputs!$F$46</f>
        <v>4.20738968819084</v>
      </c>
      <c r="CB50" s="19" t="n">
        <f aca="false">CB49*Inputs!$F$110*Time!CB10/Inputs!$F$46</f>
        <v>3.65167461648982</v>
      </c>
      <c r="CC50" s="19" t="n">
        <f aca="false">CC49*Inputs!$F$110*Time!CC10/Inputs!$F$46</f>
        <v>3.0855232702845</v>
      </c>
      <c r="CD50" s="19" t="n">
        <f aca="false">CD49*Inputs!$F$110*Time!CD10/Inputs!$F$46</f>
        <v>2.47354623990521</v>
      </c>
      <c r="CE50" s="19" t="n">
        <f aca="false">CE49*Inputs!$F$110*Time!CE10/Inputs!$F$46</f>
        <v>1.85007309435985</v>
      </c>
      <c r="CF50" s="19" t="n">
        <f aca="false">CF49*Inputs!$F$110*Time!CF10/Inputs!$F$46</f>
        <v>1.20704019646907</v>
      </c>
      <c r="CG50" s="19" t="n">
        <f aca="false">CG49*Inputs!$F$110*Time!CG10/Inputs!$F$46</f>
        <v>0.630930725959695</v>
      </c>
      <c r="CH50" s="19" t="n">
        <f aca="false">CH49*Inputs!$F$110*Time!CH10/Inputs!$F$46</f>
        <v>2.81721312944683E-014</v>
      </c>
      <c r="CI50" s="19" t="n">
        <f aca="false">CI49*Inputs!$F$110*Time!CI10/Inputs!$F$46</f>
        <v>2.81721312944683E-014</v>
      </c>
      <c r="CJ50" s="19" t="n">
        <f aca="false">CJ49*Inputs!$F$110*Time!CJ10/Inputs!$F$46</f>
        <v>2.81721312944683E-014</v>
      </c>
      <c r="CK50" s="19" t="n">
        <f aca="false">CK49*Inputs!$F$110*Time!CK10/Inputs!$F$46</f>
        <v>2.81721312944683E-014</v>
      </c>
      <c r="CL50" s="19" t="n">
        <f aca="false">CL49*Inputs!$F$110*Time!CL10/Inputs!$F$46</f>
        <v>2.81721312944683E-014</v>
      </c>
      <c r="CM50" s="19" t="n">
        <f aca="false">CM49*Inputs!$F$110*Time!CM10/Inputs!$F$46</f>
        <v>2.81721312944683E-014</v>
      </c>
      <c r="CN50" s="19" t="n">
        <f aca="false">CN49*Inputs!$F$110*Time!CN10/Inputs!$F$46</f>
        <v>2.81721312944683E-014</v>
      </c>
      <c r="CO50" s="19" t="n">
        <f aca="false">CO49*Inputs!$F$110*Time!CO10/Inputs!$F$46</f>
        <v>2.81721312944683E-014</v>
      </c>
      <c r="CP50" s="19" t="n">
        <f aca="false">CP49*Inputs!$F$110*Time!CP10/Inputs!$F$46</f>
        <v>2.81721312944683E-014</v>
      </c>
      <c r="CQ50" s="19" t="n">
        <f aca="false">CQ49*Inputs!$F$110*Time!CQ10/Inputs!$F$46</f>
        <v>2.81721312944683E-014</v>
      </c>
      <c r="CR50" s="19" t="n">
        <f aca="false">CR49*Inputs!$F$110*Time!CR10/Inputs!$F$46</f>
        <v>2.81721312944683E-014</v>
      </c>
      <c r="CS50" s="19" t="n">
        <f aca="false">CS49*Inputs!$F$110*Time!CS10/Inputs!$F$46</f>
        <v>2.81721312944683E-014</v>
      </c>
      <c r="CT50" s="19" t="n">
        <f aca="false">CT49*Inputs!$F$110*Time!CT10/Inputs!$F$46</f>
        <v>2.81721312944683E-014</v>
      </c>
      <c r="CU50" s="19" t="n">
        <f aca="false">CU49*Inputs!$F$110*Time!CU10/Inputs!$F$46</f>
        <v>2.81721312944683E-014</v>
      </c>
      <c r="CV50" s="19" t="n">
        <f aca="false">CV49*Inputs!$F$110*Time!CV10/Inputs!$F$46</f>
        <v>2.81721312944683E-014</v>
      </c>
      <c r="CW50" s="19" t="n">
        <f aca="false">CW49*Inputs!$F$110*Time!CW10/Inputs!$F$46</f>
        <v>2.81721312944683E-014</v>
      </c>
      <c r="CX50" s="19" t="n">
        <f aca="false">CX49*Inputs!$F$110*Time!CX10/Inputs!$F$46</f>
        <v>2.81721312944683E-014</v>
      </c>
      <c r="CY50" s="19" t="n">
        <f aca="false">CY49*Inputs!$F$110*Time!CY10/Inputs!$F$46</f>
        <v>2.81721312944683E-014</v>
      </c>
      <c r="CZ50" s="19" t="n">
        <f aca="false">CZ49*Inputs!$F$110*Time!CZ10/Inputs!$F$46</f>
        <v>2.81721312944683E-014</v>
      </c>
      <c r="DA50" s="19" t="n">
        <f aca="false">DA49*Inputs!$F$110*Time!DA10/Inputs!$F$46</f>
        <v>2.81721312944683E-014</v>
      </c>
      <c r="DB50" s="19" t="n">
        <f aca="false">DB49*Inputs!$F$110*Time!DB10/Inputs!$F$46</f>
        <v>2.81721312944683E-014</v>
      </c>
    </row>
    <row r="51" customFormat="false" ht="15" hidden="false" customHeight="false" outlineLevel="0" collapsed="false">
      <c r="D51" s="0" t="s">
        <v>511</v>
      </c>
      <c r="E51" s="0" t="s">
        <v>44</v>
      </c>
      <c r="G51" s="19" t="n">
        <f aca="false">SUM(J51:DB51)</f>
        <v>566.175513757416</v>
      </c>
      <c r="J51" s="19" t="n">
        <f aca="false">J50*(1-Time!J20)</f>
        <v>0</v>
      </c>
      <c r="K51" s="19" t="n">
        <f aca="false">K50*(1-Time!K20)</f>
        <v>0</v>
      </c>
      <c r="L51" s="19" t="n">
        <f aca="false">L50*(1-Time!L20)</f>
        <v>0</v>
      </c>
      <c r="M51" s="19" t="n">
        <f aca="false">M50*(1-Time!M20)</f>
        <v>0</v>
      </c>
      <c r="N51" s="19" t="n">
        <f aca="false">N50*(1-Time!N20)</f>
        <v>0</v>
      </c>
      <c r="O51" s="19" t="n">
        <f aca="false">O50*(1-Time!O20)</f>
        <v>0</v>
      </c>
      <c r="P51" s="19" t="n">
        <f aca="false">P50*(1-Time!P20)</f>
        <v>0</v>
      </c>
      <c r="Q51" s="19" t="n">
        <f aca="false">Q50*(1-Time!Q20)</f>
        <v>0</v>
      </c>
      <c r="R51" s="19" t="n">
        <f aca="false">R50*(1-Time!R20)</f>
        <v>0</v>
      </c>
      <c r="S51" s="19" t="n">
        <f aca="false">S50*(1-Time!S20)</f>
        <v>0</v>
      </c>
      <c r="T51" s="19" t="n">
        <f aca="false">T50*(1-Time!T20)</f>
        <v>0</v>
      </c>
      <c r="U51" s="19" t="n">
        <f aca="false">U50*(1-Time!U20)</f>
        <v>0</v>
      </c>
      <c r="V51" s="19" t="n">
        <f aca="false">V50*(1-Time!V20)</f>
        <v>0</v>
      </c>
      <c r="W51" s="19" t="n">
        <f aca="false">W50*(1-Time!W20)</f>
        <v>0</v>
      </c>
      <c r="X51" s="19" t="n">
        <f aca="false">X50*(1-Time!X20)</f>
        <v>0</v>
      </c>
      <c r="Y51" s="19" t="n">
        <f aca="false">Y50*(1-Time!Y20)</f>
        <v>0</v>
      </c>
      <c r="Z51" s="19" t="n">
        <f aca="false">Z50*(1-Time!Z20)</f>
        <v>5.88270556460545</v>
      </c>
      <c r="AA51" s="19" t="n">
        <f aca="false">AA50*(1-Time!AA20)</f>
        <v>11.7654111292109</v>
      </c>
      <c r="AB51" s="19" t="n">
        <f aca="false">AB50*(1-Time!AB20)</f>
        <v>11.7654111292109</v>
      </c>
      <c r="AC51" s="19" t="n">
        <f aca="false">AC50*(1-Time!AC20)</f>
        <v>11.7654111292109</v>
      </c>
      <c r="AD51" s="19" t="n">
        <f aca="false">AD50*(1-Time!AD20)</f>
        <v>11.7654111292109</v>
      </c>
      <c r="AE51" s="19" t="n">
        <f aca="false">AE50*(1-Time!AE20)</f>
        <v>11.7654111292109</v>
      </c>
      <c r="AF51" s="19" t="n">
        <f aca="false">AF50*(1-Time!AF20)</f>
        <v>11.7654111292109</v>
      </c>
      <c r="AG51" s="19" t="n">
        <f aca="false">AG50*(1-Time!AG20)</f>
        <v>11.7654111292109</v>
      </c>
      <c r="AH51" s="19" t="n">
        <f aca="false">AH50*(1-Time!AH20)</f>
        <v>11.7654111292109</v>
      </c>
      <c r="AI51" s="19" t="n">
        <f aca="false">AI50*(1-Time!AI20)</f>
        <v>11.7654111292109</v>
      </c>
      <c r="AJ51" s="19" t="n">
        <f aca="false">AJ50*(1-Time!AJ20)</f>
        <v>11.7654111292109</v>
      </c>
      <c r="AK51" s="19" t="n">
        <f aca="false">AK50*(1-Time!AK20)</f>
        <v>11.7654111292109</v>
      </c>
      <c r="AL51" s="19" t="n">
        <f aca="false">AL50*(1-Time!AL20)</f>
        <v>11.7654111292109</v>
      </c>
      <c r="AM51" s="19" t="n">
        <f aca="false">AM50*(1-Time!AM20)</f>
        <v>11.7654111292109</v>
      </c>
      <c r="AN51" s="19" t="n">
        <f aca="false">AN50*(1-Time!AN20)</f>
        <v>11.7654111292109</v>
      </c>
      <c r="AO51" s="19" t="n">
        <f aca="false">AO50*(1-Time!AO20)</f>
        <v>11.7654111292109</v>
      </c>
      <c r="AP51" s="19" t="n">
        <f aca="false">AP50*(1-Time!AP20)</f>
        <v>11.7654111292109</v>
      </c>
      <c r="AQ51" s="19" t="n">
        <f aca="false">AQ50*(1-Time!AQ20)</f>
        <v>11.7654111292109</v>
      </c>
      <c r="AR51" s="19" t="n">
        <f aca="false">AR50*(1-Time!AR20)</f>
        <v>11.7654111292109</v>
      </c>
      <c r="AS51" s="19" t="n">
        <f aca="false">AS50*(1-Time!AS20)</f>
        <v>11.7654111292109</v>
      </c>
      <c r="AT51" s="19" t="n">
        <f aca="false">AT50*(1-Time!AT20)</f>
        <v>11.7654111292109</v>
      </c>
      <c r="AU51" s="19" t="n">
        <f aca="false">AU50*(1-Time!AU20)</f>
        <v>11.7654111292109</v>
      </c>
      <c r="AV51" s="19" t="n">
        <f aca="false">AV50*(1-Time!AV20)</f>
        <v>11.7654111292109</v>
      </c>
      <c r="AW51" s="19" t="n">
        <f aca="false">AW50*(1-Time!AW20)</f>
        <v>11.7652972077989</v>
      </c>
      <c r="AX51" s="19" t="n">
        <f aca="false">AX50*(1-Time!AX20)</f>
        <v>11.7410380897173</v>
      </c>
      <c r="AY51" s="19" t="n">
        <f aca="false">AY50*(1-Time!AY20)</f>
        <v>11.7123117450631</v>
      </c>
      <c r="AZ51" s="19" t="n">
        <f aca="false">AZ50*(1-Time!AZ20)</f>
        <v>11.6876670691315</v>
      </c>
      <c r="BA51" s="19" t="n">
        <f aca="false">BA50*(1-Time!BA20)</f>
        <v>11.6571197387725</v>
      </c>
      <c r="BB51" s="19" t="n">
        <f aca="false">BB50*(1-Time!BB20)</f>
        <v>11.6116163446361</v>
      </c>
      <c r="BC51" s="19" t="n">
        <f aca="false">BC50*(1-Time!BC20)</f>
        <v>11.5609757757233</v>
      </c>
      <c r="BD51" s="19" t="n">
        <f aca="false">BD50*(1-Time!BD20)</f>
        <v>11.4510080037305</v>
      </c>
      <c r="BE51" s="19" t="n">
        <f aca="false">BE50*(1-Time!BE20)</f>
        <v>11.3341592514382</v>
      </c>
      <c r="BF51" s="19" t="n">
        <f aca="false">BF50*(1-Time!BF20)</f>
        <v>11.1771525993363</v>
      </c>
      <c r="BG51" s="19" t="n">
        <f aca="false">BG50*(1-Time!BG20)</f>
        <v>11.012000689629</v>
      </c>
      <c r="BH51" s="19" t="n">
        <f aca="false">BH50*(1-Time!BH20)</f>
        <v>10.824660568701</v>
      </c>
      <c r="BI51" s="19" t="n">
        <f aca="false">BI50*(1-Time!BI20)</f>
        <v>10.6264775901527</v>
      </c>
      <c r="BJ51" s="19" t="n">
        <f aca="false">BJ50*(1-Time!BJ20)</f>
        <v>10.4055071803415</v>
      </c>
      <c r="BK51" s="19" t="n">
        <f aca="false">BK50*(1-Time!BK20)</f>
        <v>10.1746905684145</v>
      </c>
      <c r="BL51" s="19" t="n">
        <f aca="false">BL50*(1-Time!BL20)</f>
        <v>9.91717239901426</v>
      </c>
      <c r="BM51" s="19" t="n">
        <f aca="false">BM50*(1-Time!BM20)</f>
        <v>9.64885402879491</v>
      </c>
      <c r="BN51" s="19" t="n">
        <f aca="false">BN50*(1-Time!BN20)</f>
        <v>9.35182052313179</v>
      </c>
      <c r="BO51" s="19" t="n">
        <f aca="false">BO50*(1-Time!BO20)</f>
        <v>9.04298268371063</v>
      </c>
      <c r="BP51" s="19" t="n">
        <f aca="false">BP50*(1-Time!BP20)</f>
        <v>8.79625133333808</v>
      </c>
      <c r="BQ51" s="19" t="n">
        <f aca="false">BQ50*(1-Time!BQ20)</f>
        <v>8.53647302997038</v>
      </c>
      <c r="BR51" s="19" t="n">
        <f aca="false">BR50*(1-Time!BR20)</f>
        <v>8.24819471756871</v>
      </c>
      <c r="BS51" s="19" t="n">
        <f aca="false">BS50*(1-Time!BS20)</f>
        <v>7.95478156717665</v>
      </c>
      <c r="BT51" s="19" t="n">
        <f aca="false">BT50*(1-Time!BT20)</f>
        <v>7.6288008000051</v>
      </c>
      <c r="BU51" s="19" t="n">
        <f aca="false">BU50*(1-Time!BU20)</f>
        <v>7.29696562263566</v>
      </c>
      <c r="BV51" s="19" t="n">
        <f aca="false">BV50*(1-Time!BV20)</f>
        <v>6.8372817487106</v>
      </c>
      <c r="BW51" s="19" t="n">
        <f aca="false">BW50*(1-Time!BW20)</f>
        <v>6.36853369906894</v>
      </c>
      <c r="BX51" s="19" t="n">
        <f aca="false">BX50*(1-Time!BX20)</f>
        <v>5.86033253775897</v>
      </c>
      <c r="BY51" s="19" t="n">
        <f aca="false">BY50*(1-Time!BY20)</f>
        <v>5.33885467975249</v>
      </c>
      <c r="BZ51" s="19" t="n">
        <f aca="false">BZ50*(1-Time!BZ20)</f>
        <v>4.77860372528767</v>
      </c>
      <c r="CA51" s="19" t="n">
        <f aca="false">CA50*(1-Time!CA20)</f>
        <v>4.20738968819084</v>
      </c>
      <c r="CB51" s="19" t="n">
        <f aca="false">CB50*(1-Time!CB20)</f>
        <v>3.65167461648982</v>
      </c>
      <c r="CC51" s="19" t="n">
        <f aca="false">CC50*(1-Time!CC20)</f>
        <v>3.0855232702845</v>
      </c>
      <c r="CD51" s="19" t="n">
        <f aca="false">CD50*(1-Time!CD20)</f>
        <v>2.47354623990521</v>
      </c>
      <c r="CE51" s="19" t="n">
        <f aca="false">CE50*(1-Time!CE20)</f>
        <v>1.85007309435985</v>
      </c>
      <c r="CF51" s="19" t="n">
        <f aca="false">CF50*(1-Time!CF20)</f>
        <v>1.20704019646907</v>
      </c>
      <c r="CG51" s="19" t="n">
        <f aca="false">CG50*(1-Time!CG20)</f>
        <v>0.630930725959695</v>
      </c>
      <c r="CH51" s="19" t="n">
        <f aca="false">CH50*(1-Time!CH20)</f>
        <v>2.81721312944683E-014</v>
      </c>
      <c r="CI51" s="19" t="n">
        <f aca="false">CI50*(1-Time!CI20)</f>
        <v>2.81721312944683E-014</v>
      </c>
      <c r="CJ51" s="19" t="n">
        <f aca="false">CJ50*(1-Time!CJ20)</f>
        <v>2.81721312944683E-014</v>
      </c>
      <c r="CK51" s="19" t="n">
        <f aca="false">CK50*(1-Time!CK20)</f>
        <v>2.81721312944683E-014</v>
      </c>
      <c r="CL51" s="19" t="n">
        <f aca="false">CL50*(1-Time!CL20)</f>
        <v>2.81721312944683E-014</v>
      </c>
      <c r="CM51" s="19" t="n">
        <f aca="false">CM50*(1-Time!CM20)</f>
        <v>2.81721312944683E-014</v>
      </c>
      <c r="CN51" s="19" t="n">
        <f aca="false">CN50*(1-Time!CN20)</f>
        <v>2.81721312944683E-014</v>
      </c>
      <c r="CO51" s="19" t="n">
        <f aca="false">CO50*(1-Time!CO20)</f>
        <v>2.81721312944683E-014</v>
      </c>
      <c r="CP51" s="19" t="n">
        <f aca="false">CP50*(1-Time!CP20)</f>
        <v>2.81721312944683E-014</v>
      </c>
      <c r="CQ51" s="19" t="n">
        <f aca="false">CQ50*(1-Time!CQ20)</f>
        <v>2.81721312944683E-014</v>
      </c>
      <c r="CR51" s="19" t="n">
        <f aca="false">CR50*(1-Time!CR20)</f>
        <v>2.81721312944683E-014</v>
      </c>
      <c r="CS51" s="19" t="n">
        <f aca="false">CS50*(1-Time!CS20)</f>
        <v>2.81721312944683E-014</v>
      </c>
      <c r="CT51" s="19" t="n">
        <f aca="false">CT50*(1-Time!CT20)</f>
        <v>2.81721312944683E-014</v>
      </c>
      <c r="CU51" s="19" t="n">
        <f aca="false">CU50*(1-Time!CU20)</f>
        <v>2.81721312944683E-014</v>
      </c>
      <c r="CV51" s="19" t="n">
        <f aca="false">CV50*(1-Time!CV20)</f>
        <v>2.81721312944683E-014</v>
      </c>
      <c r="CW51" s="19" t="n">
        <f aca="false">CW50*(1-Time!CW20)</f>
        <v>2.81721312944683E-014</v>
      </c>
      <c r="CX51" s="19" t="n">
        <f aca="false">CX50*(1-Time!CX20)</f>
        <v>2.81721312944683E-014</v>
      </c>
      <c r="CY51" s="19" t="n">
        <f aca="false">CY50*(1-Time!CY20)</f>
        <v>2.81721312944683E-014</v>
      </c>
      <c r="CZ51" s="19" t="n">
        <f aca="false">CZ50*(1-Time!CZ20)</f>
        <v>2.81721312944683E-014</v>
      </c>
      <c r="DA51" s="19" t="n">
        <f aca="false">DA50*(1-Time!DA20)</f>
        <v>2.81721312944683E-014</v>
      </c>
      <c r="DB51" s="19" t="n">
        <f aca="false">DB50*(1-Time!DB20)</f>
        <v>2.81721312944683E-014</v>
      </c>
    </row>
    <row r="52" customFormat="false" ht="15" hidden="false" customHeight="false" outlineLevel="0" collapsed="false">
      <c r="D52" s="0" t="s">
        <v>512</v>
      </c>
      <c r="E52" s="0" t="s">
        <v>44</v>
      </c>
      <c r="G52" s="19" t="n">
        <f aca="false">SUM(J52:DB52)</f>
        <v>485.171592957149</v>
      </c>
      <c r="J52" s="19" t="n">
        <f aca="false">IF(OR(Time!J20=1,Time!J34=1,Time!J23=1),0,MIN(Inputs!$F$97*J40,J49))</f>
        <v>0</v>
      </c>
      <c r="K52" s="19" t="n">
        <f aca="false">IF(OR(Time!K20=1,Time!K34=1,Time!K23=1),0,MIN(Inputs!$F$97*K40,K49))</f>
        <v>0</v>
      </c>
      <c r="L52" s="19" t="n">
        <f aca="false">IF(OR(Time!L20=1,Time!L34=1,Time!L23=1),0,MIN(Inputs!$F$97*L40,L49))</f>
        <v>0</v>
      </c>
      <c r="M52" s="19" t="n">
        <f aca="false">IF(OR(Time!M20=1,Time!M34=1,Time!M23=1),0,MIN(Inputs!$F$97*M40,M49))</f>
        <v>0</v>
      </c>
      <c r="N52" s="19" t="n">
        <f aca="false">IF(OR(Time!N20=1,Time!N34=1,Time!N23=1),0,MIN(Inputs!$F$97*N40,N49))</f>
        <v>0</v>
      </c>
      <c r="O52" s="19" t="n">
        <f aca="false">IF(OR(Time!O20=1,Time!O34=1,Time!O23=1),0,MIN(Inputs!$F$97*O40,O49))</f>
        <v>0</v>
      </c>
      <c r="P52" s="19" t="n">
        <f aca="false">IF(OR(Time!P20=1,Time!P34=1,Time!P23=1),0,MIN(Inputs!$F$97*P40,P49))</f>
        <v>0</v>
      </c>
      <c r="Q52" s="19" t="n">
        <f aca="false">IF(OR(Time!Q20=1,Time!Q34=1,Time!Q23=1),0,MIN(Inputs!$F$97*Q40,Q49))</f>
        <v>0</v>
      </c>
      <c r="R52" s="19" t="n">
        <f aca="false">IF(OR(Time!R20=1,Time!R34=1,Time!R23=1),0,MIN(Inputs!$F$97*R40,R49))</f>
        <v>0</v>
      </c>
      <c r="S52" s="19" t="n">
        <f aca="false">IF(OR(Time!S20=1,Time!S34=1,Time!S23=1),0,MIN(Inputs!$F$97*S40,S49))</f>
        <v>0</v>
      </c>
      <c r="T52" s="19" t="n">
        <f aca="false">IF(OR(Time!T20=1,Time!T34=1,Time!T23=1),0,MIN(Inputs!$F$97*T40,T49))</f>
        <v>0</v>
      </c>
      <c r="U52" s="19" t="n">
        <f aca="false">IF(OR(Time!U20=1,Time!U34=1,Time!U23=1),0,MIN(Inputs!$F$97*U40,U49))</f>
        <v>0</v>
      </c>
      <c r="V52" s="19" t="n">
        <f aca="false">IF(OR(Time!V20=1,Time!V34=1,Time!V23=1),0,MIN(Inputs!$F$97*V40,V49))</f>
        <v>0</v>
      </c>
      <c r="W52" s="19" t="n">
        <f aca="false">IF(OR(Time!W20=1,Time!W34=1,Time!W23=1),0,MIN(Inputs!$F$97*W40,W49))</f>
        <v>0</v>
      </c>
      <c r="X52" s="19" t="n">
        <f aca="false">IF(OR(Time!X20=1,Time!X34=1,Time!X23=1),0,MIN(Inputs!$F$97*X40,X49))</f>
        <v>0</v>
      </c>
      <c r="Y52" s="19" t="n">
        <f aca="false">IF(OR(Time!Y20=1,Time!Y34=1,Time!Y23=1),0,MIN(Inputs!$F$97*Y40,Y49))</f>
        <v>0</v>
      </c>
      <c r="Z52" s="19" t="n">
        <f aca="false">IF(OR(Time!Z20=1,Time!Z34=1,Time!Z23=1),0,MIN(Inputs!$F$97*Z40,Z49))</f>
        <v>0</v>
      </c>
      <c r="AA52" s="19" t="n">
        <f aca="false">IF(OR(Time!AA20=1,Time!AA34=1,Time!AA23=1),0,MIN(Inputs!$F$97*AA40,AA49))</f>
        <v>0</v>
      </c>
      <c r="AB52" s="19" t="n">
        <f aca="false">IF(OR(Time!AB20=1,Time!AB34=1,Time!AB23=1),0,MIN(Inputs!$F$97*AB40,AB49))</f>
        <v>0</v>
      </c>
      <c r="AC52" s="19" t="n">
        <f aca="false">IF(OR(Time!AC20=1,Time!AC34=1,Time!AC23=1),0,MIN(Inputs!$F$97*AC40,AC49))</f>
        <v>0</v>
      </c>
      <c r="AD52" s="19" t="n">
        <f aca="false">IF(OR(Time!AD20=1,Time!AD34=1,Time!AD23=1),0,MIN(Inputs!$F$97*AD40,AD49))</f>
        <v>0</v>
      </c>
      <c r="AE52" s="19" t="n">
        <f aca="false">IF(OR(Time!AE20=1,Time!AE34=1,Time!AE23=1),0,MIN(Inputs!$F$97*AE40,AE49))</f>
        <v>0</v>
      </c>
      <c r="AF52" s="19" t="n">
        <f aca="false">IF(OR(Time!AF20=1,Time!AF34=1,Time!AF23=1),0,MIN(Inputs!$F$97*AF40,AF49))</f>
        <v>0</v>
      </c>
      <c r="AG52" s="19" t="n">
        <f aca="false">IF(OR(Time!AG20=1,Time!AG34=1,Time!AG23=1),0,MIN(Inputs!$F$97*AG40,AG49))</f>
        <v>0</v>
      </c>
      <c r="AH52" s="19" t="n">
        <f aca="false">IF(OR(Time!AH20=1,Time!AH34=1,Time!AH23=1),0,MIN(Inputs!$F$97*AH40,AH49))</f>
        <v>0</v>
      </c>
      <c r="AI52" s="19" t="n">
        <f aca="false">IF(OR(Time!AI20=1,Time!AI34=1,Time!AI23=1),0,MIN(Inputs!$F$97*AI40,AI49))</f>
        <v>0</v>
      </c>
      <c r="AJ52" s="19" t="n">
        <f aca="false">IF(OR(Time!AJ20=1,Time!AJ34=1,Time!AJ23=1),0,MIN(Inputs!$F$97*AJ40,AJ49))</f>
        <v>0</v>
      </c>
      <c r="AK52" s="19" t="n">
        <f aca="false">IF(OR(Time!AK20=1,Time!AK34=1,Time!AK23=1),0,MIN(Inputs!$F$97*AK40,AK49))</f>
        <v>0</v>
      </c>
      <c r="AL52" s="19" t="n">
        <f aca="false">IF(OR(Time!AL20=1,Time!AL34=1,Time!AL23=1),0,MIN(Inputs!$F$97*AL40,AL49))</f>
        <v>0</v>
      </c>
      <c r="AM52" s="19" t="n">
        <f aca="false">IF(OR(Time!AM20=1,Time!AM34=1,Time!AM23=1),0,MIN(Inputs!$F$97*AM40,AM49))</f>
        <v>0</v>
      </c>
      <c r="AN52" s="19" t="n">
        <f aca="false">IF(OR(Time!AN20=1,Time!AN34=1,Time!AN23=1),0,MIN(Inputs!$F$97*AN40,AN49))</f>
        <v>0</v>
      </c>
      <c r="AO52" s="19" t="n">
        <f aca="false">IF(OR(Time!AO20=1,Time!AO34=1,Time!AO23=1),0,MIN(Inputs!$F$97*AO40,AO49))</f>
        <v>0</v>
      </c>
      <c r="AP52" s="19" t="n">
        <f aca="false">IF(OR(Time!AP20=1,Time!AP34=1,Time!AP23=1),0,MIN(Inputs!$F$97*AP40,AP49))</f>
        <v>0</v>
      </c>
      <c r="AQ52" s="19" t="n">
        <f aca="false">IF(OR(Time!AQ20=1,Time!AQ34=1,Time!AQ23=1),0,MIN(Inputs!$F$97*AQ40,AQ49))</f>
        <v>0</v>
      </c>
      <c r="AR52" s="19" t="n">
        <f aca="false">IF(OR(Time!AR20=1,Time!AR34=1,Time!AR23=1),0,MIN(Inputs!$F$97*AR40,AR49))</f>
        <v>0</v>
      </c>
      <c r="AS52" s="19" t="n">
        <f aca="false">IF(OR(Time!AS20=1,Time!AS34=1,Time!AS23=1),0,MIN(Inputs!$F$97*AS40,AS49))</f>
        <v>0</v>
      </c>
      <c r="AT52" s="19" t="n">
        <f aca="false">IF(OR(Time!AT20=1,Time!AT34=1,Time!AT23=1),0,MIN(Inputs!$F$97*AT40,AT49))</f>
        <v>0</v>
      </c>
      <c r="AU52" s="19" t="n">
        <f aca="false">IF(OR(Time!AU20=1,Time!AU34=1,Time!AU23=1),0,MIN(Inputs!$F$97*AU40,AU49))</f>
        <v>0</v>
      </c>
      <c r="AV52" s="19" t="n">
        <f aca="false">IF(OR(Time!AV20=1,Time!AV34=1,Time!AV23=1),0,MIN(Inputs!$F$97*AV40,AV49))</f>
        <v>0.00469779018370637</v>
      </c>
      <c r="AW52" s="19" t="n">
        <f aca="false">IF(OR(Time!AW20=1,Time!AW34=1,Time!AW23=1),0,MIN(Inputs!$F$97*AW40,AW49))</f>
        <v>1.00037600336625</v>
      </c>
      <c r="AX52" s="19" t="n">
        <f aca="false">IF(OR(Time!AX20=1,Time!AX34=1,Time!AX23=1),0,MIN(Inputs!$F$97*AX40,AX49))</f>
        <v>1.1845915321327</v>
      </c>
      <c r="AY52" s="19" t="n">
        <f aca="false">IF(OR(Time!AY20=1,Time!AY34=1,Time!AY23=1),0,MIN(Inputs!$F$97*AY40,AY49))</f>
        <v>1.01627529614837</v>
      </c>
      <c r="AZ52" s="19" t="n">
        <f aca="false">IF(OR(Time!AZ20=1,Time!AZ34=1,Time!AZ23=1),0,MIN(Inputs!$F$97*AZ40,AZ49))</f>
        <v>1.25968372614485</v>
      </c>
      <c r="BA52" s="19" t="n">
        <f aca="false">IF(OR(Time!BA20=1,Time!BA34=1,Time!BA23=1),0,MIN(Inputs!$F$97*BA40,BA49))</f>
        <v>1.87642862418124</v>
      </c>
      <c r="BB52" s="19" t="n">
        <f aca="false">IF(OR(Time!BB20=1,Time!BB34=1,Time!BB23=1),0,MIN(Inputs!$F$97*BB40,BB49))</f>
        <v>2.08827088300045</v>
      </c>
      <c r="BC52" s="19" t="n">
        <f aca="false">IF(OR(Time!BC20=1,Time!BC34=1,Time!BC23=1),0,MIN(Inputs!$F$97*BC40,BC49))</f>
        <v>4.53475348423813</v>
      </c>
      <c r="BD52" s="19" t="n">
        <f aca="false">IF(OR(Time!BD20=1,Time!BD34=1,Time!BD23=1),0,MIN(Inputs!$F$97*BD40,BD49))</f>
        <v>4.81850524916875</v>
      </c>
      <c r="BE52" s="19" t="n">
        <f aca="false">IF(OR(Time!BE20=1,Time!BE34=1,Time!BE23=1),0,MIN(Inputs!$F$97*BE40,BE49))</f>
        <v>6.47450111760568</v>
      </c>
      <c r="BF52" s="19" t="n">
        <f aca="false">IF(OR(Time!BF20=1,Time!BF34=1,Time!BF23=1),0,MIN(Inputs!$F$97*BF40,BF49))</f>
        <v>6.81038802916426</v>
      </c>
      <c r="BG52" s="19" t="n">
        <f aca="false">IF(OR(Time!BG20=1,Time!BG34=1,Time!BG23=1),0,MIN(Inputs!$F$97*BG40,BG49))</f>
        <v>7.72536581146638</v>
      </c>
      <c r="BH52" s="19" t="n">
        <f aca="false">IF(OR(Time!BH20=1,Time!BH34=1,Time!BH23=1),0,MIN(Inputs!$F$97*BH40,BH49))</f>
        <v>8.17249396075418</v>
      </c>
      <c r="BI52" s="19" t="n">
        <f aca="false">IF(OR(Time!BI20=1,Time!BI34=1,Time!BI23=1),0,MIN(Inputs!$F$97*BI40,BI49))</f>
        <v>9.11218184788316</v>
      </c>
      <c r="BJ52" s="19" t="n">
        <f aca="false">IF(OR(Time!BJ20=1,Time!BJ34=1,Time!BJ23=1),0,MIN(Inputs!$F$97*BJ40,BJ49))</f>
        <v>9.51821080111569</v>
      </c>
      <c r="BK52" s="19" t="n">
        <f aca="false">IF(OR(Time!BK20=1,Time!BK34=1,Time!BK23=1),0,MIN(Inputs!$F$97*BK40,BK49))</f>
        <v>10.6193059546474</v>
      </c>
      <c r="BL52" s="19" t="n">
        <f aca="false">IF(OR(Time!BL20=1,Time!BL34=1,Time!BL23=1),0,MIN(Inputs!$F$97*BL40,BL49))</f>
        <v>11.0646750605917</v>
      </c>
      <c r="BM52" s="19" t="n">
        <f aca="false">IF(OR(Time!BM20=1,Time!BM34=1,Time!BM23=1),0,MIN(Inputs!$F$97*BM40,BM49))</f>
        <v>12.248804357242</v>
      </c>
      <c r="BN52" s="19" t="n">
        <f aca="false">IF(OR(Time!BN20=1,Time!BN34=1,Time!BN23=1),0,MIN(Inputs!$F$97*BN40,BN49))</f>
        <v>12.7355810070583</v>
      </c>
      <c r="BO52" s="19" t="n">
        <f aca="false">IF(OR(Time!BO20=1,Time!BO34=1,Time!BO23=1),0,MIN(Inputs!$F$97*BO40,BO49))</f>
        <v>10.1744886751566</v>
      </c>
      <c r="BP52" s="19" t="n">
        <f aca="false">IF(OR(Time!BP20=1,Time!BP34=1,Time!BP23=1),0,MIN(Inputs!$F$97*BP40,BP49))</f>
        <v>10.7125073553692</v>
      </c>
      <c r="BQ52" s="19" t="n">
        <f aca="false">IF(OR(Time!BQ20=1,Time!BQ34=1,Time!BQ23=1),0,MIN(Inputs!$F$97*BQ40,BQ49))</f>
        <v>11.8877654598626</v>
      </c>
      <c r="BR52" s="19" t="n">
        <f aca="false">IF(OR(Time!BR20=1,Time!BR34=1,Time!BR23=1),0,MIN(Inputs!$F$97*BR40,BR49))</f>
        <v>12.0995113563735</v>
      </c>
      <c r="BS52" s="19" t="n">
        <f aca="false">IF(OR(Time!BS20=1,Time!BS34=1,Time!BS23=1),0,MIN(Inputs!$F$97*BS40,BS49))</f>
        <v>13.4425058627443</v>
      </c>
      <c r="BT52" s="19" t="n">
        <f aca="false">IF(OR(Time!BT20=1,Time!BT34=1,Time!BT23=1),0,MIN(Inputs!$F$97*BT40,BT49))</f>
        <v>13.6839248399769</v>
      </c>
      <c r="BU52" s="19" t="n">
        <f aca="false">IF(OR(Time!BU20=1,Time!BU34=1,Time!BU23=1),0,MIN(Inputs!$F$97*BU40,BU49))</f>
        <v>18.9560360381468</v>
      </c>
      <c r="BV52" s="19" t="n">
        <f aca="false">IF(OR(Time!BV20=1,Time!BV34=1,Time!BV23=1),0,MIN(Inputs!$F$97*BV40,BV49))</f>
        <v>19.3298164800688</v>
      </c>
      <c r="BW52" s="19" t="n">
        <f aca="false">IF(OR(Time!BW20=1,Time!BW34=1,Time!BW23=1),0,MIN(Inputs!$F$97*BW40,BW49))</f>
        <v>20.9567489199986</v>
      </c>
      <c r="BX52" s="19" t="n">
        <f aca="false">IF(OR(Time!BX20=1,Time!BX34=1,Time!BX23=1),0,MIN(Inputs!$F$97*BX40,BX49))</f>
        <v>21.5042415672777</v>
      </c>
      <c r="BY52" s="19" t="n">
        <f aca="false">IF(OR(Time!BY20=1,Time!BY34=1,Time!BY23=1),0,MIN(Inputs!$F$97*BY40,BY49))</f>
        <v>23.1031321428792</v>
      </c>
      <c r="BZ52" s="19" t="n">
        <f aca="false">IF(OR(Time!BZ20=1,Time!BZ34=1,Time!BZ23=1),0,MIN(Inputs!$F$97*BZ40,BZ49))</f>
        <v>23.5552180246117</v>
      </c>
      <c r="CA52" s="19" t="n">
        <f aca="false">IF(OR(Time!CA20=1,Time!CA34=1,Time!CA23=1),0,MIN(Inputs!$F$97*CA40,CA49))</f>
        <v>22.9160854309696</v>
      </c>
      <c r="CB52" s="19" t="n">
        <f aca="false">IF(OR(Time!CB20=1,Time!CB34=1,Time!CB23=1),0,MIN(Inputs!$F$97*CB40,CB49))</f>
        <v>23.3464472661988</v>
      </c>
      <c r="CC52" s="19" t="n">
        <f aca="false">IF(OR(Time!CC20=1,Time!CC34=1,Time!CC23=1),0,MIN(Inputs!$F$97*CC40,CC49))</f>
        <v>25.2361662012079</v>
      </c>
      <c r="CD52" s="19" t="n">
        <f aca="false">IF(OR(Time!CD20=1,Time!CD34=1,Time!CD23=1),0,MIN(Inputs!$F$97*CD40,CD49))</f>
        <v>25.7102328059944</v>
      </c>
      <c r="CE52" s="19" t="n">
        <f aca="false">IF(OR(Time!CE20=1,Time!CE34=1,Time!CE23=1),0,MIN(Inputs!$F$97*CE40,CE49))</f>
        <v>26.5168205315782</v>
      </c>
      <c r="CF52" s="19" t="n">
        <f aca="false">IF(OR(Time!CF20=1,Time!CF34=1,Time!CF23=1),0,MIN(Inputs!$F$97*CF40,CF49))</f>
        <v>23.7570915673971</v>
      </c>
      <c r="CG52" s="19" t="n">
        <f aca="false">IF(OR(Time!CG20=1,Time!CG34=1,Time!CG23=1),0,MIN(Inputs!$F$97*CG40,CG49))</f>
        <v>26.017761895244</v>
      </c>
      <c r="CH52" s="19" t="n">
        <f aca="false">IF(OR(Time!CH20=1,Time!CH34=1,Time!CH23=1),0,MIN(Inputs!$F$97*CH40,CH49))</f>
        <v>0</v>
      </c>
      <c r="CI52" s="19" t="n">
        <f aca="false">IF(OR(Time!CI20=1,Time!CI34=1,Time!CI23=1),0,MIN(Inputs!$F$97*CI40,CI49))</f>
        <v>0</v>
      </c>
      <c r="CJ52" s="19" t="n">
        <f aca="false">IF(OR(Time!CJ20=1,Time!CJ34=1,Time!CJ23=1),0,MIN(Inputs!$F$97*CJ40,CJ49))</f>
        <v>0</v>
      </c>
      <c r="CK52" s="19" t="n">
        <f aca="false">IF(OR(Time!CK20=1,Time!CK34=1,Time!CK23=1),0,MIN(Inputs!$F$97*CK40,CK49))</f>
        <v>0</v>
      </c>
      <c r="CL52" s="19" t="n">
        <f aca="false">IF(OR(Time!CL20=1,Time!CL34=1,Time!CL23=1),0,MIN(Inputs!$F$97*CL40,CL49))</f>
        <v>0</v>
      </c>
      <c r="CM52" s="19" t="n">
        <f aca="false">IF(OR(Time!CM20=1,Time!CM34=1,Time!CM23=1),0,MIN(Inputs!$F$97*CM40,CM49))</f>
        <v>0</v>
      </c>
      <c r="CN52" s="19" t="n">
        <f aca="false">IF(OR(Time!CN20=1,Time!CN34=1,Time!CN23=1),0,MIN(Inputs!$F$97*CN40,CN49))</f>
        <v>0</v>
      </c>
      <c r="CO52" s="19" t="n">
        <f aca="false">IF(OR(Time!CO20=1,Time!CO34=1,Time!CO23=1),0,MIN(Inputs!$F$97*CO40,CO49))</f>
        <v>0</v>
      </c>
      <c r="CP52" s="19" t="n">
        <f aca="false">IF(OR(Time!CP20=1,Time!CP34=1,Time!CP23=1),0,MIN(Inputs!$F$97*CP40,CP49))</f>
        <v>0</v>
      </c>
      <c r="CQ52" s="19" t="n">
        <f aca="false">IF(OR(Time!CQ20=1,Time!CQ34=1,Time!CQ23=1),0,MIN(Inputs!$F$97*CQ40,CQ49))</f>
        <v>0</v>
      </c>
      <c r="CR52" s="19" t="n">
        <f aca="false">IF(OR(Time!CR20=1,Time!CR34=1,Time!CR23=1),0,MIN(Inputs!$F$97*CR40,CR49))</f>
        <v>0</v>
      </c>
      <c r="CS52" s="19" t="n">
        <f aca="false">IF(OR(Time!CS20=1,Time!CS34=1,Time!CS23=1),0,MIN(Inputs!$F$97*CS40,CS49))</f>
        <v>0</v>
      </c>
      <c r="CT52" s="19" t="n">
        <f aca="false">IF(OR(Time!CT20=1,Time!CT34=1,Time!CT23=1),0,MIN(Inputs!$F$97*CT40,CT49))</f>
        <v>0</v>
      </c>
      <c r="CU52" s="19" t="n">
        <f aca="false">IF(OR(Time!CU20=1,Time!CU34=1,Time!CU23=1),0,MIN(Inputs!$F$97*CU40,CU49))</f>
        <v>0</v>
      </c>
      <c r="CV52" s="19" t="n">
        <f aca="false">IF(OR(Time!CV20=1,Time!CV34=1,Time!CV23=1),0,MIN(Inputs!$F$97*CV40,CV49))</f>
        <v>0</v>
      </c>
      <c r="CW52" s="19" t="n">
        <f aca="false">IF(OR(Time!CW20=1,Time!CW34=1,Time!CW23=1),0,MIN(Inputs!$F$97*CW40,CW49))</f>
        <v>0</v>
      </c>
      <c r="CX52" s="19" t="n">
        <f aca="false">IF(OR(Time!CX20=1,Time!CX34=1,Time!CX23=1),0,MIN(Inputs!$F$97*CX40,CX49))</f>
        <v>0</v>
      </c>
      <c r="CY52" s="19" t="n">
        <f aca="false">IF(OR(Time!CY20=1,Time!CY34=1,Time!CY23=1),0,MIN(Inputs!$F$97*CY40,CY49))</f>
        <v>0</v>
      </c>
      <c r="CZ52" s="19" t="n">
        <f aca="false">IF(OR(Time!CZ20=1,Time!CZ34=1,Time!CZ23=1),0,MIN(Inputs!$F$97*CZ40,CZ49))</f>
        <v>0</v>
      </c>
      <c r="DA52" s="19" t="n">
        <f aca="false">IF(OR(Time!DA20=1,Time!DA34=1,Time!DA23=1),0,MIN(Inputs!$F$97*DA40,DA49))</f>
        <v>0</v>
      </c>
      <c r="DB52" s="19" t="n">
        <f aca="false">IF(OR(Time!DB20=1,Time!DB34=1,Time!DB23=1),0,MIN(Inputs!$F$97*DB40,DB49))</f>
        <v>0</v>
      </c>
    </row>
    <row r="53" customFormat="false" ht="15" hidden="false" customHeight="false" outlineLevel="0" collapsed="false">
      <c r="D53" s="0" t="s">
        <v>513</v>
      </c>
      <c r="E53" s="0" t="s">
        <v>44</v>
      </c>
      <c r="J53" s="19" t="n">
        <f aca="false">J49-Waterfall!J21-Waterfall!J32</f>
        <v>485.17159295715</v>
      </c>
      <c r="K53" s="19" t="n">
        <f aca="false">K49-Waterfall!K21-Waterfall!K32</f>
        <v>485.17159295715</v>
      </c>
      <c r="L53" s="19" t="n">
        <f aca="false">L49-Waterfall!L21-Waterfall!L32</f>
        <v>485.17159295715</v>
      </c>
      <c r="M53" s="19" t="n">
        <f aca="false">M49-Waterfall!M21-Waterfall!M32</f>
        <v>485.17159295715</v>
      </c>
      <c r="N53" s="19" t="n">
        <f aca="false">N49-Waterfall!N21-Waterfall!N32</f>
        <v>485.17159295715</v>
      </c>
      <c r="O53" s="19" t="n">
        <f aca="false">O49-Waterfall!O21-Waterfall!O32</f>
        <v>485.17159295715</v>
      </c>
      <c r="P53" s="19" t="n">
        <f aca="false">P49-Waterfall!P21-Waterfall!P32</f>
        <v>485.17159295715</v>
      </c>
      <c r="Q53" s="19" t="n">
        <f aca="false">Q49-Waterfall!Q21-Waterfall!Q32</f>
        <v>485.17159295715</v>
      </c>
      <c r="R53" s="19" t="n">
        <f aca="false">R49-Waterfall!R21-Waterfall!R32</f>
        <v>485.17159295715</v>
      </c>
      <c r="S53" s="19" t="n">
        <f aca="false">S49-Waterfall!S21-Waterfall!S32</f>
        <v>485.17159295715</v>
      </c>
      <c r="T53" s="19" t="n">
        <f aca="false">T49-Waterfall!T21-Waterfall!T32</f>
        <v>485.17159295715</v>
      </c>
      <c r="U53" s="19" t="n">
        <f aca="false">U49-Waterfall!U21-Waterfall!U32</f>
        <v>485.17159295715</v>
      </c>
      <c r="V53" s="19" t="n">
        <f aca="false">V49-Waterfall!V21-Waterfall!V32</f>
        <v>485.17159295715</v>
      </c>
      <c r="W53" s="19" t="n">
        <f aca="false">W49-Waterfall!W21-Waterfall!W32</f>
        <v>485.17159295715</v>
      </c>
      <c r="X53" s="19" t="n">
        <f aca="false">X49-Waterfall!X21-Waterfall!X32</f>
        <v>485.17159295715</v>
      </c>
      <c r="Y53" s="19" t="n">
        <f aca="false">Y49-Waterfall!Y21-Waterfall!Y32</f>
        <v>485.17159295715</v>
      </c>
      <c r="Z53" s="19" t="n">
        <f aca="false">Z49-Waterfall!Z21-Waterfall!Z32</f>
        <v>485.17159295715</v>
      </c>
      <c r="AA53" s="19" t="n">
        <f aca="false">AA49-Waterfall!AA21-Waterfall!AA32</f>
        <v>485.17159295715</v>
      </c>
      <c r="AB53" s="19" t="n">
        <f aca="false">AB49-Waterfall!AB21-Waterfall!AB32</f>
        <v>485.17159295715</v>
      </c>
      <c r="AC53" s="19" t="n">
        <f aca="false">AC49-Waterfall!AC21-Waterfall!AC32</f>
        <v>485.17159295715</v>
      </c>
      <c r="AD53" s="19" t="n">
        <f aca="false">AD49-Waterfall!AD21-Waterfall!AD32</f>
        <v>485.17159295715</v>
      </c>
      <c r="AE53" s="19" t="n">
        <f aca="false">AE49-Waterfall!AE21-Waterfall!AE32</f>
        <v>485.17159295715</v>
      </c>
      <c r="AF53" s="19" t="n">
        <f aca="false">AF49-Waterfall!AF21-Waterfall!AF32</f>
        <v>485.17159295715</v>
      </c>
      <c r="AG53" s="19" t="n">
        <f aca="false">AG49-Waterfall!AG21-Waterfall!AG32</f>
        <v>485.17159295715</v>
      </c>
      <c r="AH53" s="19" t="n">
        <f aca="false">AH49-Waterfall!AH21-Waterfall!AH32</f>
        <v>485.17159295715</v>
      </c>
      <c r="AI53" s="19" t="n">
        <f aca="false">AI49-Waterfall!AI21-Waterfall!AI32</f>
        <v>485.17159295715</v>
      </c>
      <c r="AJ53" s="19" t="n">
        <f aca="false">AJ49-Waterfall!AJ21-Waterfall!AJ32</f>
        <v>485.17159295715</v>
      </c>
      <c r="AK53" s="19" t="n">
        <f aca="false">AK49-Waterfall!AK21-Waterfall!AK32</f>
        <v>485.17159295715</v>
      </c>
      <c r="AL53" s="19" t="n">
        <f aca="false">AL49-Waterfall!AL21-Waterfall!AL32</f>
        <v>485.17159295715</v>
      </c>
      <c r="AM53" s="19" t="n">
        <f aca="false">AM49-Waterfall!AM21-Waterfall!AM32</f>
        <v>485.17159295715</v>
      </c>
      <c r="AN53" s="19" t="n">
        <f aca="false">AN49-Waterfall!AN21-Waterfall!AN32</f>
        <v>485.17159295715</v>
      </c>
      <c r="AO53" s="19" t="n">
        <f aca="false">AO49-Waterfall!AO21-Waterfall!AO32</f>
        <v>485.17159295715</v>
      </c>
      <c r="AP53" s="19" t="n">
        <f aca="false">AP49-Waterfall!AP21-Waterfall!AP32</f>
        <v>485.17159295715</v>
      </c>
      <c r="AQ53" s="19" t="n">
        <f aca="false">AQ49-Waterfall!AQ21-Waterfall!AQ32</f>
        <v>485.17159295715</v>
      </c>
      <c r="AR53" s="19" t="n">
        <f aca="false">AR49-Waterfall!AR21-Waterfall!AR32</f>
        <v>485.17159295715</v>
      </c>
      <c r="AS53" s="19" t="n">
        <f aca="false">AS49-Waterfall!AS21-Waterfall!AS32</f>
        <v>485.17159295715</v>
      </c>
      <c r="AT53" s="19" t="n">
        <f aca="false">AT49-Waterfall!AT21-Waterfall!AT32</f>
        <v>485.17159295715</v>
      </c>
      <c r="AU53" s="19" t="n">
        <f aca="false">AU49-Waterfall!AU21-Waterfall!AU32</f>
        <v>485.17159295715</v>
      </c>
      <c r="AV53" s="19" t="n">
        <f aca="false">AV49-Waterfall!AV21-Waterfall!AV32</f>
        <v>485.166895166966</v>
      </c>
      <c r="AW53" s="19" t="n">
        <f aca="false">AW49-Waterfall!AW21-Waterfall!AW32</f>
        <v>484.1665191636</v>
      </c>
      <c r="AX53" s="19" t="n">
        <f aca="false">AX49-Waterfall!AX21-Waterfall!AX32</f>
        <v>482.981927631467</v>
      </c>
      <c r="AY53" s="19" t="n">
        <f aca="false">AY49-Waterfall!AY21-Waterfall!AY32</f>
        <v>481.965652335319</v>
      </c>
      <c r="AZ53" s="19" t="n">
        <f aca="false">AZ49-Waterfall!AZ21-Waterfall!AZ32</f>
        <v>480.705968609174</v>
      </c>
      <c r="BA53" s="19" t="n">
        <f aca="false">BA49-Waterfall!BA21-Waterfall!BA32</f>
        <v>478.829539984993</v>
      </c>
      <c r="BB53" s="19" t="n">
        <f aca="false">BB49-Waterfall!BB21-Waterfall!BB32</f>
        <v>476.741269101993</v>
      </c>
      <c r="BC53" s="19" t="n">
        <f aca="false">BC49-Waterfall!BC21-Waterfall!BC32</f>
        <v>472.206515617754</v>
      </c>
      <c r="BD53" s="19" t="n">
        <f aca="false">BD49-Waterfall!BD21-Waterfall!BD32</f>
        <v>467.388010368586</v>
      </c>
      <c r="BE53" s="19" t="n">
        <f aca="false">BE49-Waterfall!BE21-Waterfall!BE32</f>
        <v>460.91350925098</v>
      </c>
      <c r="BF53" s="19" t="n">
        <f aca="false">BF49-Waterfall!BF21-Waterfall!BF32</f>
        <v>454.103121221816</v>
      </c>
      <c r="BG53" s="19" t="n">
        <f aca="false">BG49-Waterfall!BG21-Waterfall!BG32</f>
        <v>446.377755410349</v>
      </c>
      <c r="BH53" s="19" t="n">
        <f aca="false">BH49-Waterfall!BH21-Waterfall!BH32</f>
        <v>438.205261449595</v>
      </c>
      <c r="BI53" s="19" t="n">
        <f aca="false">BI49-Waterfall!BI21-Waterfall!BI32</f>
        <v>429.093079601712</v>
      </c>
      <c r="BJ53" s="19" t="n">
        <f aca="false">BJ49-Waterfall!BJ21-Waterfall!BJ32</f>
        <v>419.574868800596</v>
      </c>
      <c r="BK53" s="19" t="n">
        <f aca="false">BK49-Waterfall!BK21-Waterfall!BK32</f>
        <v>408.955562845949</v>
      </c>
      <c r="BL53" s="19" t="n">
        <f aca="false">BL49-Waterfall!BL21-Waterfall!BL32</f>
        <v>397.890887785357</v>
      </c>
      <c r="BM53" s="19" t="n">
        <f aca="false">BM49-Waterfall!BM21-Waterfall!BM32</f>
        <v>385.642083428115</v>
      </c>
      <c r="BN53" s="19" t="n">
        <f aca="false">BN49-Waterfall!BN21-Waterfall!BN32</f>
        <v>372.906502421057</v>
      </c>
      <c r="BO53" s="19" t="n">
        <f aca="false">BO49-Waterfall!BO21-Waterfall!BO32</f>
        <v>362.7320137459</v>
      </c>
      <c r="BP53" s="19" t="n">
        <f aca="false">BP49-Waterfall!BP21-Waterfall!BP32</f>
        <v>352.019506390531</v>
      </c>
      <c r="BQ53" s="19" t="n">
        <f aca="false">BQ49-Waterfall!BQ21-Waterfall!BQ32</f>
        <v>340.131740930669</v>
      </c>
      <c r="BR53" s="19" t="n">
        <f aca="false">BR49-Waterfall!BR21-Waterfall!BR32</f>
        <v>328.032229574295</v>
      </c>
      <c r="BS53" s="19" t="n">
        <f aca="false">BS49-Waterfall!BS21-Waterfall!BS32</f>
        <v>314.589723711551</v>
      </c>
      <c r="BT53" s="19" t="n">
        <f aca="false">BT49-Waterfall!BT21-Waterfall!BT32</f>
        <v>300.905798871574</v>
      </c>
      <c r="BU53" s="19" t="n">
        <f aca="false">BU49-Waterfall!BU21-Waterfall!BU32</f>
        <v>281.949762833427</v>
      </c>
      <c r="BV53" s="19" t="n">
        <f aca="false">BV49-Waterfall!BV21-Waterfall!BV32</f>
        <v>262.619946353358</v>
      </c>
      <c r="BW53" s="19" t="n">
        <f aca="false">BW49-Waterfall!BW21-Waterfall!BW32</f>
        <v>241.66319743336</v>
      </c>
      <c r="BX53" s="19" t="n">
        <f aca="false">BX49-Waterfall!BX21-Waterfall!BX32</f>
        <v>220.158955866082</v>
      </c>
      <c r="BY53" s="19" t="n">
        <f aca="false">BY49-Waterfall!BY21-Waterfall!BY32</f>
        <v>197.055823723203</v>
      </c>
      <c r="BZ53" s="19" t="n">
        <f aca="false">BZ49-Waterfall!BZ21-Waterfall!BZ32</f>
        <v>173.500605698591</v>
      </c>
      <c r="CA53" s="19" t="n">
        <f aca="false">CA49-Waterfall!CA21-Waterfall!CA32</f>
        <v>150.584520267622</v>
      </c>
      <c r="CB53" s="19" t="n">
        <f aca="false">CB49-Waterfall!CB21-Waterfall!CB32</f>
        <v>127.238073001423</v>
      </c>
      <c r="CC53" s="19" t="n">
        <f aca="false">CC49-Waterfall!CC21-Waterfall!CC32</f>
        <v>102.001906800215</v>
      </c>
      <c r="CD53" s="19" t="n">
        <f aca="false">CD49-Waterfall!CD21-Waterfall!CD32</f>
        <v>76.2916739942204</v>
      </c>
      <c r="CE53" s="19" t="n">
        <f aca="false">CE49-Waterfall!CE21-Waterfall!CE32</f>
        <v>49.7748534626422</v>
      </c>
      <c r="CF53" s="19" t="n">
        <f aca="false">CF49-Waterfall!CF21-Waterfall!CF32</f>
        <v>26.0177618952451</v>
      </c>
      <c r="CG53" s="19" t="n">
        <f aca="false">CG49-Waterfall!CG21-Waterfall!CG32</f>
        <v>1.16173737296776E-012</v>
      </c>
      <c r="CH53" s="19" t="n">
        <f aca="false">CH49-Waterfall!CH21-Waterfall!CH32</f>
        <v>1.16173737296776E-012</v>
      </c>
      <c r="CI53" s="19" t="n">
        <f aca="false">CI49-Waterfall!CI21-Waterfall!CI32</f>
        <v>1.16173737296776E-012</v>
      </c>
      <c r="CJ53" s="19" t="n">
        <f aca="false">CJ49-Waterfall!CJ21-Waterfall!CJ32</f>
        <v>1.16173737296776E-012</v>
      </c>
      <c r="CK53" s="19" t="n">
        <f aca="false">CK49-Waterfall!CK21-Waterfall!CK32</f>
        <v>1.16173737296776E-012</v>
      </c>
      <c r="CL53" s="19" t="n">
        <f aca="false">CL49-Waterfall!CL21-Waterfall!CL32</f>
        <v>1.16173737296776E-012</v>
      </c>
      <c r="CM53" s="19" t="n">
        <f aca="false">CM49-Waterfall!CM21-Waterfall!CM32</f>
        <v>1.16173737296776E-012</v>
      </c>
      <c r="CN53" s="19" t="n">
        <f aca="false">CN49-Waterfall!CN21-Waterfall!CN32</f>
        <v>1.16173737296776E-012</v>
      </c>
      <c r="CO53" s="19" t="n">
        <f aca="false">CO49-Waterfall!CO21-Waterfall!CO32</f>
        <v>1.16173737296776E-012</v>
      </c>
      <c r="CP53" s="19" t="n">
        <f aca="false">CP49-Waterfall!CP21-Waterfall!CP32</f>
        <v>1.16173737296776E-012</v>
      </c>
      <c r="CQ53" s="19" t="n">
        <f aca="false">CQ49-Waterfall!CQ21-Waterfall!CQ32</f>
        <v>1.16173737296776E-012</v>
      </c>
      <c r="CR53" s="19" t="n">
        <f aca="false">CR49-Waterfall!CR21-Waterfall!CR32</f>
        <v>1.16173737296776E-012</v>
      </c>
      <c r="CS53" s="19" t="n">
        <f aca="false">CS49-Waterfall!CS21-Waterfall!CS32</f>
        <v>1.16173737296776E-012</v>
      </c>
      <c r="CT53" s="19" t="n">
        <f aca="false">CT49-Waterfall!CT21-Waterfall!CT32</f>
        <v>1.16173737296776E-012</v>
      </c>
      <c r="CU53" s="19" t="n">
        <f aca="false">CU49-Waterfall!CU21-Waterfall!CU32</f>
        <v>1.16173737296776E-012</v>
      </c>
      <c r="CV53" s="19" t="n">
        <f aca="false">CV49-Waterfall!CV21-Waterfall!CV32</f>
        <v>1.16173737296776E-012</v>
      </c>
      <c r="CW53" s="19" t="n">
        <f aca="false">CW49-Waterfall!CW21-Waterfall!CW32</f>
        <v>1.16173737296776E-012</v>
      </c>
      <c r="CX53" s="19" t="n">
        <f aca="false">CX49-Waterfall!CX21-Waterfall!CX32</f>
        <v>1.16173737296776E-012</v>
      </c>
      <c r="CY53" s="19" t="n">
        <f aca="false">CY49-Waterfall!CY21-Waterfall!CY32</f>
        <v>1.16173737296776E-012</v>
      </c>
      <c r="CZ53" s="19" t="n">
        <f aca="false">CZ49-Waterfall!CZ21-Waterfall!CZ32</f>
        <v>1.16173737296776E-012</v>
      </c>
      <c r="DA53" s="19" t="n">
        <f aca="false">DA49-Waterfall!DA21-Waterfall!DA32</f>
        <v>1.16173737296776E-012</v>
      </c>
      <c r="DB53" s="19" t="n">
        <f aca="false">DB49-Waterfall!DB21-Waterfall!DB32</f>
        <v>1.16173737296776E-012</v>
      </c>
    </row>
    <row r="54" customFormat="false" ht="15" hidden="false" customHeight="false" outlineLevel="0" collapsed="false">
      <c r="D54" s="0" t="s">
        <v>514</v>
      </c>
      <c r="E54" s="0" t="s">
        <v>44</v>
      </c>
      <c r="J54" s="19" t="n">
        <f aca="false">IF(Time!J35=1,0,J53)</f>
        <v>485.17159295715</v>
      </c>
      <c r="K54" s="19" t="n">
        <f aca="false">IF(Time!K35=1,0,K53)</f>
        <v>485.17159295715</v>
      </c>
      <c r="L54" s="19" t="n">
        <f aca="false">IF(Time!L35=1,0,L53)</f>
        <v>485.17159295715</v>
      </c>
      <c r="M54" s="19" t="n">
        <f aca="false">IF(Time!M35=1,0,M53)</f>
        <v>485.17159295715</v>
      </c>
      <c r="N54" s="19" t="n">
        <f aca="false">IF(Time!N35=1,0,N53)</f>
        <v>485.17159295715</v>
      </c>
      <c r="O54" s="19" t="n">
        <f aca="false">IF(Time!O35=1,0,O53)</f>
        <v>485.17159295715</v>
      </c>
      <c r="P54" s="19" t="n">
        <f aca="false">IF(Time!P35=1,0,P53)</f>
        <v>485.17159295715</v>
      </c>
      <c r="Q54" s="19" t="n">
        <f aca="false">IF(Time!Q35=1,0,Q53)</f>
        <v>485.17159295715</v>
      </c>
      <c r="R54" s="19" t="n">
        <f aca="false">IF(Time!R35=1,0,R53)</f>
        <v>485.17159295715</v>
      </c>
      <c r="S54" s="19" t="n">
        <f aca="false">IF(Time!S35=1,0,S53)</f>
        <v>485.17159295715</v>
      </c>
      <c r="T54" s="19" t="n">
        <f aca="false">IF(Time!T35=1,0,T53)</f>
        <v>485.17159295715</v>
      </c>
      <c r="U54" s="19" t="n">
        <f aca="false">IF(Time!U35=1,0,U53)</f>
        <v>485.17159295715</v>
      </c>
      <c r="V54" s="19" t="n">
        <f aca="false">IF(Time!V35=1,0,V53)</f>
        <v>485.17159295715</v>
      </c>
      <c r="W54" s="19" t="n">
        <f aca="false">IF(Time!W35=1,0,W53)</f>
        <v>485.17159295715</v>
      </c>
      <c r="X54" s="19" t="n">
        <f aca="false">IF(Time!X35=1,0,X53)</f>
        <v>485.17159295715</v>
      </c>
      <c r="Y54" s="19" t="n">
        <f aca="false">IF(Time!Y35=1,0,Y53)</f>
        <v>485.17159295715</v>
      </c>
      <c r="Z54" s="19" t="n">
        <f aca="false">IF(Time!Z35=1,0,Z53)</f>
        <v>485.17159295715</v>
      </c>
      <c r="AA54" s="19" t="n">
        <f aca="false">IF(Time!AA35=1,0,AA53)</f>
        <v>485.17159295715</v>
      </c>
      <c r="AB54" s="19" t="n">
        <f aca="false">IF(Time!AB35=1,0,AB53)</f>
        <v>485.17159295715</v>
      </c>
      <c r="AC54" s="19" t="n">
        <f aca="false">IF(Time!AC35=1,0,AC53)</f>
        <v>485.17159295715</v>
      </c>
      <c r="AD54" s="19" t="n">
        <f aca="false">IF(Time!AD35=1,0,AD53)</f>
        <v>485.17159295715</v>
      </c>
      <c r="AE54" s="19" t="n">
        <f aca="false">IF(Time!AE35=1,0,AE53)</f>
        <v>485.17159295715</v>
      </c>
      <c r="AF54" s="19" t="n">
        <f aca="false">IF(Time!AF35=1,0,AF53)</f>
        <v>485.17159295715</v>
      </c>
      <c r="AG54" s="19" t="n">
        <f aca="false">IF(Time!AG35=1,0,AG53)</f>
        <v>485.17159295715</v>
      </c>
      <c r="AH54" s="19" t="n">
        <f aca="false">IF(Time!AH35=1,0,AH53)</f>
        <v>485.17159295715</v>
      </c>
      <c r="AI54" s="19" t="n">
        <f aca="false">IF(Time!AI35=1,0,AI53)</f>
        <v>485.17159295715</v>
      </c>
      <c r="AJ54" s="19" t="n">
        <f aca="false">IF(Time!AJ35=1,0,AJ53)</f>
        <v>485.17159295715</v>
      </c>
      <c r="AK54" s="19" t="n">
        <f aca="false">IF(Time!AK35=1,0,AK53)</f>
        <v>485.17159295715</v>
      </c>
      <c r="AL54" s="19" t="n">
        <f aca="false">IF(Time!AL35=1,0,AL53)</f>
        <v>485.17159295715</v>
      </c>
      <c r="AM54" s="19" t="n">
        <f aca="false">IF(Time!AM35=1,0,AM53)</f>
        <v>485.17159295715</v>
      </c>
      <c r="AN54" s="19" t="n">
        <f aca="false">IF(Time!AN35=1,0,AN53)</f>
        <v>485.17159295715</v>
      </c>
      <c r="AO54" s="19" t="n">
        <f aca="false">IF(Time!AO35=1,0,AO53)</f>
        <v>485.17159295715</v>
      </c>
      <c r="AP54" s="19" t="n">
        <f aca="false">IF(Time!AP35=1,0,AP53)</f>
        <v>485.17159295715</v>
      </c>
      <c r="AQ54" s="19" t="n">
        <f aca="false">IF(Time!AQ35=1,0,AQ53)</f>
        <v>485.17159295715</v>
      </c>
      <c r="AR54" s="19" t="n">
        <f aca="false">IF(Time!AR35=1,0,AR53)</f>
        <v>485.17159295715</v>
      </c>
      <c r="AS54" s="19" t="n">
        <f aca="false">IF(Time!AS35=1,0,AS53)</f>
        <v>485.17159295715</v>
      </c>
      <c r="AT54" s="19" t="n">
        <f aca="false">IF(Time!AT35=1,0,AT53)</f>
        <v>485.17159295715</v>
      </c>
      <c r="AU54" s="19" t="n">
        <f aca="false">IF(Time!AU35=1,0,AU53)</f>
        <v>485.17159295715</v>
      </c>
      <c r="AV54" s="19" t="n">
        <f aca="false">IF(Time!AV35=1,0,AV53)</f>
        <v>485.166895166966</v>
      </c>
      <c r="AW54" s="19" t="n">
        <f aca="false">IF(Time!AW35=1,0,AW53)</f>
        <v>484.1665191636</v>
      </c>
      <c r="AX54" s="19" t="n">
        <f aca="false">IF(Time!AX35=1,0,AX53)</f>
        <v>482.981927631467</v>
      </c>
      <c r="AY54" s="19" t="n">
        <f aca="false">IF(Time!AY35=1,0,AY53)</f>
        <v>481.965652335319</v>
      </c>
      <c r="AZ54" s="19" t="n">
        <f aca="false">IF(Time!AZ35=1,0,AZ53)</f>
        <v>480.705968609174</v>
      </c>
      <c r="BA54" s="19" t="n">
        <f aca="false">IF(Time!BA35=1,0,BA53)</f>
        <v>478.829539984993</v>
      </c>
      <c r="BB54" s="19" t="n">
        <f aca="false">IF(Time!BB35=1,0,BB53)</f>
        <v>476.741269101993</v>
      </c>
      <c r="BC54" s="19" t="n">
        <f aca="false">IF(Time!BC35=1,0,BC53)</f>
        <v>472.206515617754</v>
      </c>
      <c r="BD54" s="19" t="n">
        <f aca="false">IF(Time!BD35=1,0,BD53)</f>
        <v>467.388010368586</v>
      </c>
      <c r="BE54" s="19" t="n">
        <f aca="false">IF(Time!BE35=1,0,BE53)</f>
        <v>460.91350925098</v>
      </c>
      <c r="BF54" s="19" t="n">
        <f aca="false">IF(Time!BF35=1,0,BF53)</f>
        <v>454.103121221816</v>
      </c>
      <c r="BG54" s="19" t="n">
        <f aca="false">IF(Time!BG35=1,0,BG53)</f>
        <v>446.377755410349</v>
      </c>
      <c r="BH54" s="19" t="n">
        <f aca="false">IF(Time!BH35=1,0,BH53)</f>
        <v>438.205261449595</v>
      </c>
      <c r="BI54" s="19" t="n">
        <f aca="false">IF(Time!BI35=1,0,BI53)</f>
        <v>429.093079601712</v>
      </c>
      <c r="BJ54" s="19" t="n">
        <f aca="false">IF(Time!BJ35=1,0,BJ53)</f>
        <v>419.574868800596</v>
      </c>
      <c r="BK54" s="19" t="n">
        <f aca="false">IF(Time!BK35=1,0,BK53)</f>
        <v>408.955562845949</v>
      </c>
      <c r="BL54" s="19" t="n">
        <f aca="false">IF(Time!BL35=1,0,BL53)</f>
        <v>397.890887785357</v>
      </c>
      <c r="BM54" s="19" t="n">
        <f aca="false">IF(Time!BM35=1,0,BM53)</f>
        <v>385.642083428115</v>
      </c>
      <c r="BN54" s="19" t="n">
        <f aca="false">IF(Time!BN35=1,0,BN53)</f>
        <v>372.906502421057</v>
      </c>
      <c r="BO54" s="19" t="n">
        <f aca="false">IF(Time!BO35=1,0,BO53)</f>
        <v>362.7320137459</v>
      </c>
      <c r="BP54" s="19" t="n">
        <f aca="false">IF(Time!BP35=1,0,BP53)</f>
        <v>352.019506390531</v>
      </c>
      <c r="BQ54" s="19" t="n">
        <f aca="false">IF(Time!BQ35=1,0,BQ53)</f>
        <v>340.131740930669</v>
      </c>
      <c r="BR54" s="19" t="n">
        <f aca="false">IF(Time!BR35=1,0,BR53)</f>
        <v>328.032229574295</v>
      </c>
      <c r="BS54" s="19" t="n">
        <f aca="false">IF(Time!BS35=1,0,BS53)</f>
        <v>314.589723711551</v>
      </c>
      <c r="BT54" s="19" t="n">
        <f aca="false">IF(Time!BT35=1,0,BT53)</f>
        <v>300.905798871574</v>
      </c>
      <c r="BU54" s="19" t="n">
        <f aca="false">IF(Time!BU35=1,0,BU53)</f>
        <v>281.949762833427</v>
      </c>
      <c r="BV54" s="19" t="n">
        <f aca="false">IF(Time!BV35=1,0,BV53)</f>
        <v>262.619946353358</v>
      </c>
      <c r="BW54" s="19" t="n">
        <f aca="false">IF(Time!BW35=1,0,BW53)</f>
        <v>241.66319743336</v>
      </c>
      <c r="BX54" s="19" t="n">
        <f aca="false">IF(Time!BX35=1,0,BX53)</f>
        <v>220.158955866082</v>
      </c>
      <c r="BY54" s="19" t="n">
        <f aca="false">IF(Time!BY35=1,0,BY53)</f>
        <v>197.055823723203</v>
      </c>
      <c r="BZ54" s="19" t="n">
        <f aca="false">IF(Time!BZ35=1,0,BZ53)</f>
        <v>173.500605698591</v>
      </c>
      <c r="CA54" s="19" t="n">
        <f aca="false">IF(Time!CA35=1,0,CA53)</f>
        <v>150.584520267622</v>
      </c>
      <c r="CB54" s="19" t="n">
        <f aca="false">IF(Time!CB35=1,0,CB53)</f>
        <v>127.238073001423</v>
      </c>
      <c r="CC54" s="19" t="n">
        <f aca="false">IF(Time!CC35=1,0,CC53)</f>
        <v>102.001906800215</v>
      </c>
      <c r="CD54" s="19" t="n">
        <f aca="false">IF(Time!CD35=1,0,CD53)</f>
        <v>76.2916739942204</v>
      </c>
      <c r="CE54" s="19" t="n">
        <f aca="false">IF(Time!CE35=1,0,CE53)</f>
        <v>49.7748534626422</v>
      </c>
      <c r="CF54" s="19" t="n">
        <f aca="false">IF(Time!CF35=1,0,CF53)</f>
        <v>26.0177618952451</v>
      </c>
      <c r="CG54" s="19" t="n">
        <f aca="false">IF(Time!CG35=1,0,CG53)</f>
        <v>1.16173737296776E-012</v>
      </c>
      <c r="CH54" s="19" t="n">
        <f aca="false">IF(Time!CH35=1,0,CH53)</f>
        <v>1.16173737296776E-012</v>
      </c>
      <c r="CI54" s="19" t="n">
        <f aca="false">IF(Time!CI35=1,0,CI53)</f>
        <v>1.16173737296776E-012</v>
      </c>
      <c r="CJ54" s="19" t="n">
        <f aca="false">IF(Time!CJ35=1,0,CJ53)</f>
        <v>1.16173737296776E-012</v>
      </c>
      <c r="CK54" s="19" t="n">
        <f aca="false">IF(Time!CK35=1,0,CK53)</f>
        <v>1.16173737296776E-012</v>
      </c>
      <c r="CL54" s="19" t="n">
        <f aca="false">IF(Time!CL35=1,0,CL53)</f>
        <v>1.16173737296776E-012</v>
      </c>
      <c r="CM54" s="19" t="n">
        <f aca="false">IF(Time!CM35=1,0,CM53)</f>
        <v>1.16173737296776E-012</v>
      </c>
      <c r="CN54" s="19" t="n">
        <f aca="false">IF(Time!CN35=1,0,CN53)</f>
        <v>1.16173737296776E-012</v>
      </c>
      <c r="CO54" s="19" t="n">
        <f aca="false">IF(Time!CO35=1,0,CO53)</f>
        <v>1.16173737296776E-012</v>
      </c>
      <c r="CP54" s="19" t="n">
        <f aca="false">IF(Time!CP35=1,0,CP53)</f>
        <v>1.16173737296776E-012</v>
      </c>
      <c r="CQ54" s="19" t="n">
        <f aca="false">IF(Time!CQ35=1,0,CQ53)</f>
        <v>1.16173737296776E-012</v>
      </c>
      <c r="CR54" s="19" t="n">
        <f aca="false">IF(Time!CR35=1,0,CR53)</f>
        <v>1.16173737296776E-012</v>
      </c>
      <c r="CS54" s="19" t="n">
        <f aca="false">IF(Time!CS35=1,0,CS53)</f>
        <v>1.16173737296776E-012</v>
      </c>
      <c r="CT54" s="19" t="n">
        <f aca="false">IF(Time!CT35=1,0,CT53)</f>
        <v>1.16173737296776E-012</v>
      </c>
      <c r="CU54" s="19" t="n">
        <f aca="false">IF(Time!CU35=1,0,CU53)</f>
        <v>1.16173737296776E-012</v>
      </c>
      <c r="CV54" s="19" t="n">
        <f aca="false">IF(Time!CV35=1,0,CV53)</f>
        <v>1.16173737296776E-012</v>
      </c>
      <c r="CW54" s="19" t="n">
        <f aca="false">IF(Time!CW35=1,0,CW53)</f>
        <v>1.16173737296776E-012</v>
      </c>
      <c r="CX54" s="19" t="n">
        <f aca="false">IF(Time!CX35=1,0,CX53)</f>
        <v>1.16173737296776E-012</v>
      </c>
      <c r="CY54" s="19" t="n">
        <f aca="false">IF(Time!CY35=1,0,CY53)</f>
        <v>1.16173737296776E-012</v>
      </c>
      <c r="CZ54" s="19" t="n">
        <f aca="false">IF(Time!CZ35=1,0,CZ53)</f>
        <v>1.16173737296776E-012</v>
      </c>
      <c r="DA54" s="19" t="n">
        <f aca="false">IF(Time!DA35=1,0,DA53)</f>
        <v>1.16173737296776E-012</v>
      </c>
      <c r="DB54" s="19" t="n">
        <f aca="false">IF(Time!DB35=1,0,DB53)</f>
        <v>1.16173737296776E-012</v>
      </c>
    </row>
    <row r="55" customFormat="false" ht="15" hidden="false" customHeight="false" outlineLevel="0" collapsed="false">
      <c r="D55" s="3" t="s">
        <v>517</v>
      </c>
    </row>
    <row r="56" customFormat="false" ht="15" hidden="false" customHeight="false" outlineLevel="0" collapsed="false">
      <c r="D56" s="0" t="s">
        <v>518</v>
      </c>
      <c r="E56" s="0" t="s">
        <v>44</v>
      </c>
      <c r="J56" s="19" t="n">
        <f aca="false">I60</f>
        <v>0</v>
      </c>
      <c r="K56" s="19" t="n">
        <f aca="false">J60</f>
        <v>0</v>
      </c>
      <c r="L56" s="19" t="n">
        <f aca="false">K60</f>
        <v>0</v>
      </c>
      <c r="M56" s="19" t="n">
        <f aca="false">L60</f>
        <v>0</v>
      </c>
      <c r="N56" s="19" t="n">
        <f aca="false">M60</f>
        <v>0</v>
      </c>
      <c r="O56" s="19" t="n">
        <f aca="false">N60</f>
        <v>0</v>
      </c>
      <c r="P56" s="19" t="n">
        <f aca="false">O60</f>
        <v>0</v>
      </c>
      <c r="Q56" s="19" t="n">
        <f aca="false">P60</f>
        <v>0</v>
      </c>
      <c r="R56" s="19" t="n">
        <f aca="false">Q60</f>
        <v>0</v>
      </c>
      <c r="S56" s="19" t="n">
        <f aca="false">R60</f>
        <v>0</v>
      </c>
      <c r="T56" s="19" t="n">
        <f aca="false">S60</f>
        <v>0</v>
      </c>
      <c r="U56" s="19" t="n">
        <f aca="false">T60</f>
        <v>0</v>
      </c>
      <c r="V56" s="19" t="n">
        <f aca="false">U60</f>
        <v>0</v>
      </c>
      <c r="W56" s="19" t="n">
        <f aca="false">V60</f>
        <v>0</v>
      </c>
      <c r="X56" s="19" t="n">
        <f aca="false">W60</f>
        <v>0</v>
      </c>
      <c r="Y56" s="19" t="n">
        <f aca="false">X60</f>
        <v>0</v>
      </c>
      <c r="Z56" s="19" t="n">
        <f aca="false">Y60</f>
        <v>0</v>
      </c>
      <c r="AA56" s="19" t="n">
        <f aca="false">Z60</f>
        <v>0</v>
      </c>
      <c r="AB56" s="19" t="n">
        <f aca="false">AA60</f>
        <v>0</v>
      </c>
      <c r="AC56" s="19" t="n">
        <f aca="false">AB60</f>
        <v>0</v>
      </c>
      <c r="AD56" s="19" t="n">
        <f aca="false">AC60</f>
        <v>0</v>
      </c>
      <c r="AE56" s="19" t="n">
        <f aca="false">AD60</f>
        <v>0</v>
      </c>
      <c r="AF56" s="19" t="n">
        <f aca="false">AE60</f>
        <v>0</v>
      </c>
      <c r="AG56" s="19" t="n">
        <f aca="false">AF60</f>
        <v>0</v>
      </c>
      <c r="AH56" s="19" t="n">
        <f aca="false">AG60</f>
        <v>0</v>
      </c>
      <c r="AI56" s="19" t="n">
        <f aca="false">AH60</f>
        <v>0</v>
      </c>
      <c r="AJ56" s="19" t="n">
        <f aca="false">AI60</f>
        <v>0</v>
      </c>
      <c r="AK56" s="19" t="n">
        <f aca="false">AJ60</f>
        <v>0</v>
      </c>
      <c r="AL56" s="19" t="n">
        <f aca="false">AK60</f>
        <v>0</v>
      </c>
      <c r="AM56" s="19" t="n">
        <f aca="false">AL60</f>
        <v>0</v>
      </c>
      <c r="AN56" s="19" t="n">
        <f aca="false">AM60</f>
        <v>0</v>
      </c>
      <c r="AO56" s="19" t="n">
        <f aca="false">AN60</f>
        <v>0</v>
      </c>
      <c r="AP56" s="19" t="n">
        <f aca="false">AO60</f>
        <v>0</v>
      </c>
      <c r="AQ56" s="19" t="n">
        <f aca="false">AP60</f>
        <v>0</v>
      </c>
      <c r="AR56" s="19" t="n">
        <f aca="false">AQ60</f>
        <v>0</v>
      </c>
      <c r="AS56" s="19" t="n">
        <f aca="false">AR60</f>
        <v>0</v>
      </c>
      <c r="AT56" s="19" t="n">
        <f aca="false">AS60</f>
        <v>0</v>
      </c>
      <c r="AU56" s="19" t="n">
        <f aca="false">AT60</f>
        <v>0</v>
      </c>
      <c r="AV56" s="19" t="n">
        <f aca="false">AU60</f>
        <v>0</v>
      </c>
      <c r="AW56" s="19" t="n">
        <f aca="false">AV60</f>
        <v>0</v>
      </c>
      <c r="AX56" s="19" t="n">
        <f aca="false">AW60</f>
        <v>0</v>
      </c>
      <c r="AY56" s="19" t="n">
        <f aca="false">AX60</f>
        <v>0</v>
      </c>
      <c r="AZ56" s="19" t="n">
        <f aca="false">AY60</f>
        <v>0</v>
      </c>
      <c r="BA56" s="19" t="n">
        <f aca="false">AZ60</f>
        <v>0</v>
      </c>
      <c r="BB56" s="19" t="n">
        <f aca="false">BA60</f>
        <v>0</v>
      </c>
      <c r="BC56" s="19" t="n">
        <f aca="false">BB60</f>
        <v>0</v>
      </c>
      <c r="BD56" s="19" t="n">
        <f aca="false">BC60</f>
        <v>0</v>
      </c>
      <c r="BE56" s="19" t="n">
        <f aca="false">BD60</f>
        <v>0</v>
      </c>
      <c r="BF56" s="19" t="n">
        <f aca="false">BE60</f>
        <v>0</v>
      </c>
      <c r="BG56" s="19" t="n">
        <f aca="false">BF60</f>
        <v>0</v>
      </c>
      <c r="BH56" s="19" t="n">
        <f aca="false">BG60</f>
        <v>0</v>
      </c>
      <c r="BI56" s="19" t="n">
        <f aca="false">BH60</f>
        <v>0</v>
      </c>
      <c r="BJ56" s="19" t="n">
        <f aca="false">BI60</f>
        <v>0</v>
      </c>
      <c r="BK56" s="19" t="n">
        <f aca="false">BJ60</f>
        <v>0</v>
      </c>
      <c r="BL56" s="19" t="n">
        <f aca="false">BK60</f>
        <v>0</v>
      </c>
      <c r="BM56" s="19" t="n">
        <f aca="false">BL60</f>
        <v>0</v>
      </c>
      <c r="BN56" s="19" t="n">
        <f aca="false">BM60</f>
        <v>0</v>
      </c>
      <c r="BO56" s="19" t="n">
        <f aca="false">BN60</f>
        <v>0</v>
      </c>
      <c r="BP56" s="19" t="n">
        <f aca="false">BO60</f>
        <v>0</v>
      </c>
      <c r="BQ56" s="19" t="n">
        <f aca="false">BP60</f>
        <v>0</v>
      </c>
      <c r="BR56" s="19" t="n">
        <f aca="false">BQ60</f>
        <v>0</v>
      </c>
      <c r="BS56" s="19" t="n">
        <f aca="false">BR60</f>
        <v>0</v>
      </c>
      <c r="BT56" s="19" t="n">
        <f aca="false">BS60</f>
        <v>0</v>
      </c>
      <c r="BU56" s="19" t="n">
        <f aca="false">BT60</f>
        <v>0</v>
      </c>
      <c r="BV56" s="19" t="n">
        <f aca="false">BU60</f>
        <v>0</v>
      </c>
      <c r="BW56" s="19" t="n">
        <f aca="false">BV60</f>
        <v>0</v>
      </c>
      <c r="BX56" s="19" t="n">
        <f aca="false">BW60</f>
        <v>0</v>
      </c>
      <c r="BY56" s="19" t="n">
        <f aca="false">BX60</f>
        <v>0</v>
      </c>
      <c r="BZ56" s="19" t="n">
        <f aca="false">BY60</f>
        <v>0</v>
      </c>
      <c r="CA56" s="19" t="n">
        <f aca="false">BZ60</f>
        <v>0</v>
      </c>
      <c r="CB56" s="19" t="n">
        <f aca="false">CA60</f>
        <v>0</v>
      </c>
      <c r="CC56" s="19" t="n">
        <f aca="false">CB60</f>
        <v>0</v>
      </c>
      <c r="CD56" s="19" t="n">
        <f aca="false">CC60</f>
        <v>0</v>
      </c>
      <c r="CE56" s="19" t="n">
        <f aca="false">CD60</f>
        <v>0</v>
      </c>
      <c r="CF56" s="19" t="n">
        <f aca="false">CE60</f>
        <v>0</v>
      </c>
      <c r="CG56" s="19" t="n">
        <f aca="false">CF60</f>
        <v>0</v>
      </c>
      <c r="CH56" s="19" t="n">
        <f aca="false">CG60</f>
        <v>0</v>
      </c>
      <c r="CI56" s="19" t="n">
        <f aca="false">CH60</f>
        <v>0</v>
      </c>
      <c r="CJ56" s="19" t="n">
        <f aca="false">CI60</f>
        <v>0</v>
      </c>
      <c r="CK56" s="19" t="n">
        <f aca="false">CJ60</f>
        <v>0</v>
      </c>
      <c r="CL56" s="19" t="n">
        <f aca="false">CK60</f>
        <v>0</v>
      </c>
      <c r="CM56" s="19" t="n">
        <f aca="false">CL60</f>
        <v>0</v>
      </c>
      <c r="CN56" s="19" t="n">
        <f aca="false">CM60</f>
        <v>0</v>
      </c>
      <c r="CO56" s="19" t="n">
        <f aca="false">CN60</f>
        <v>0</v>
      </c>
      <c r="CP56" s="19" t="n">
        <f aca="false">CO60</f>
        <v>0</v>
      </c>
      <c r="CQ56" s="19" t="n">
        <f aca="false">CP60</f>
        <v>0</v>
      </c>
      <c r="CR56" s="19" t="n">
        <f aca="false">CQ60</f>
        <v>0</v>
      </c>
      <c r="CS56" s="19" t="n">
        <f aca="false">CR60</f>
        <v>2.69460679036244E-014</v>
      </c>
      <c r="CT56" s="19" t="n">
        <f aca="false">CS60</f>
        <v>5.43387557172537E-014</v>
      </c>
      <c r="CU56" s="19" t="n">
        <f aca="false">CT60</f>
        <v>8.12848236208781E-014</v>
      </c>
      <c r="CV56" s="19" t="n">
        <f aca="false">CU60</f>
        <v>1.08677511434507E-013</v>
      </c>
      <c r="CW56" s="19" t="n">
        <f aca="false">CV60</f>
        <v>1.35772452641467E-013</v>
      </c>
      <c r="CX56" s="19" t="n">
        <f aca="false">CW60</f>
        <v>1.63165140455096E-013</v>
      </c>
      <c r="CY56" s="19" t="n">
        <f aca="false">CX60</f>
        <v>1.9011120835872E-013</v>
      </c>
      <c r="CZ56" s="19" t="n">
        <f aca="false">CY60</f>
        <v>2.1750389617235E-013</v>
      </c>
      <c r="DA56" s="19" t="n">
        <f aca="false">CZ60</f>
        <v>2.44449964075974E-013</v>
      </c>
      <c r="DB56" s="19" t="n">
        <f aca="false">DA60</f>
        <v>2.71842651889603E-013</v>
      </c>
    </row>
    <row r="57" customFormat="false" ht="15" hidden="false" customHeight="false" outlineLevel="0" collapsed="false">
      <c r="D57" s="0" t="s">
        <v>519</v>
      </c>
      <c r="E57" s="0" t="s">
        <v>44</v>
      </c>
      <c r="J57" s="19" t="n">
        <f aca="false">I61</f>
        <v>0</v>
      </c>
      <c r="K57" s="19" t="n">
        <f aca="false">J61</f>
        <v>0</v>
      </c>
      <c r="L57" s="19" t="n">
        <f aca="false">K61</f>
        <v>0</v>
      </c>
      <c r="M57" s="19" t="n">
        <f aca="false">L61</f>
        <v>0</v>
      </c>
      <c r="N57" s="19" t="n">
        <f aca="false">M61</f>
        <v>0</v>
      </c>
      <c r="O57" s="19" t="n">
        <f aca="false">N61</f>
        <v>0</v>
      </c>
      <c r="P57" s="19" t="n">
        <f aca="false">O61</f>
        <v>0</v>
      </c>
      <c r="Q57" s="19" t="n">
        <f aca="false">P61</f>
        <v>0</v>
      </c>
      <c r="R57" s="19" t="n">
        <f aca="false">Q61</f>
        <v>0</v>
      </c>
      <c r="S57" s="19" t="n">
        <f aca="false">R61</f>
        <v>0</v>
      </c>
      <c r="T57" s="19" t="n">
        <f aca="false">S61</f>
        <v>0</v>
      </c>
      <c r="U57" s="19" t="n">
        <f aca="false">T61</f>
        <v>0</v>
      </c>
      <c r="V57" s="19" t="n">
        <f aca="false">U61</f>
        <v>0</v>
      </c>
      <c r="W57" s="19" t="n">
        <f aca="false">V61</f>
        <v>0</v>
      </c>
      <c r="X57" s="19" t="n">
        <f aca="false">W61</f>
        <v>0</v>
      </c>
      <c r="Y57" s="19" t="n">
        <f aca="false">X61</f>
        <v>0</v>
      </c>
      <c r="Z57" s="19" t="n">
        <f aca="false">Y61</f>
        <v>0</v>
      </c>
      <c r="AA57" s="19" t="n">
        <f aca="false">Z61</f>
        <v>0</v>
      </c>
      <c r="AB57" s="19" t="n">
        <f aca="false">AA61</f>
        <v>0</v>
      </c>
      <c r="AC57" s="19" t="n">
        <f aca="false">AB61</f>
        <v>0</v>
      </c>
      <c r="AD57" s="19" t="n">
        <f aca="false">AC61</f>
        <v>0</v>
      </c>
      <c r="AE57" s="19" t="n">
        <f aca="false">AD61</f>
        <v>0</v>
      </c>
      <c r="AF57" s="19" t="n">
        <f aca="false">AE61</f>
        <v>0</v>
      </c>
      <c r="AG57" s="19" t="n">
        <f aca="false">AF61</f>
        <v>0</v>
      </c>
      <c r="AH57" s="19" t="n">
        <f aca="false">AG61</f>
        <v>0</v>
      </c>
      <c r="AI57" s="19" t="n">
        <f aca="false">AH61</f>
        <v>0</v>
      </c>
      <c r="AJ57" s="19" t="n">
        <f aca="false">AI61</f>
        <v>0</v>
      </c>
      <c r="AK57" s="19" t="n">
        <f aca="false">AJ61</f>
        <v>0</v>
      </c>
      <c r="AL57" s="19" t="n">
        <f aca="false">AK61</f>
        <v>0</v>
      </c>
      <c r="AM57" s="19" t="n">
        <f aca="false">AL61</f>
        <v>0</v>
      </c>
      <c r="AN57" s="19" t="n">
        <f aca="false">AM61</f>
        <v>0</v>
      </c>
      <c r="AO57" s="19" t="n">
        <f aca="false">AN61</f>
        <v>0</v>
      </c>
      <c r="AP57" s="19" t="n">
        <f aca="false">AO61</f>
        <v>0</v>
      </c>
      <c r="AQ57" s="19" t="n">
        <f aca="false">AP61</f>
        <v>0</v>
      </c>
      <c r="AR57" s="19" t="n">
        <f aca="false">AQ61</f>
        <v>0</v>
      </c>
      <c r="AS57" s="19" t="n">
        <f aca="false">AR61</f>
        <v>0</v>
      </c>
      <c r="AT57" s="19" t="n">
        <f aca="false">AS61</f>
        <v>0</v>
      </c>
      <c r="AU57" s="19" t="n">
        <f aca="false">AT61</f>
        <v>0</v>
      </c>
      <c r="AV57" s="19" t="n">
        <f aca="false">AU61</f>
        <v>0</v>
      </c>
      <c r="AW57" s="19" t="n">
        <f aca="false">AV61</f>
        <v>0</v>
      </c>
      <c r="AX57" s="19" t="n">
        <f aca="false">AW61</f>
        <v>0</v>
      </c>
      <c r="AY57" s="19" t="n">
        <f aca="false">AX61</f>
        <v>0</v>
      </c>
      <c r="AZ57" s="19" t="n">
        <f aca="false">AY61</f>
        <v>0</v>
      </c>
      <c r="BA57" s="19" t="n">
        <f aca="false">AZ61</f>
        <v>0</v>
      </c>
      <c r="BB57" s="19" t="n">
        <f aca="false">BA61</f>
        <v>0</v>
      </c>
      <c r="BC57" s="19" t="n">
        <f aca="false">BB61</f>
        <v>0</v>
      </c>
      <c r="BD57" s="19" t="n">
        <f aca="false">BC61</f>
        <v>0</v>
      </c>
      <c r="BE57" s="19" t="n">
        <f aca="false">BD61</f>
        <v>0</v>
      </c>
      <c r="BF57" s="19" t="n">
        <f aca="false">BE61</f>
        <v>0</v>
      </c>
      <c r="BG57" s="19" t="n">
        <f aca="false">BF61</f>
        <v>0</v>
      </c>
      <c r="BH57" s="19" t="n">
        <f aca="false">BG61</f>
        <v>0</v>
      </c>
      <c r="BI57" s="19" t="n">
        <f aca="false">BH61</f>
        <v>0</v>
      </c>
      <c r="BJ57" s="19" t="n">
        <f aca="false">BI61</f>
        <v>0</v>
      </c>
      <c r="BK57" s="19" t="n">
        <f aca="false">BJ61</f>
        <v>0</v>
      </c>
      <c r="BL57" s="19" t="n">
        <f aca="false">BK61</f>
        <v>0</v>
      </c>
      <c r="BM57" s="19" t="n">
        <f aca="false">BL61</f>
        <v>0</v>
      </c>
      <c r="BN57" s="19" t="n">
        <f aca="false">BM61</f>
        <v>0</v>
      </c>
      <c r="BO57" s="19" t="n">
        <f aca="false">BN61</f>
        <v>0</v>
      </c>
      <c r="BP57" s="19" t="n">
        <f aca="false">BO61</f>
        <v>0</v>
      </c>
      <c r="BQ57" s="19" t="n">
        <f aca="false">BP61</f>
        <v>0</v>
      </c>
      <c r="BR57" s="19" t="n">
        <f aca="false">BQ61</f>
        <v>0</v>
      </c>
      <c r="BS57" s="19" t="n">
        <f aca="false">BR61</f>
        <v>0</v>
      </c>
      <c r="BT57" s="19" t="n">
        <f aca="false">BS61</f>
        <v>0</v>
      </c>
      <c r="BU57" s="19" t="n">
        <f aca="false">BT61</f>
        <v>0</v>
      </c>
      <c r="BV57" s="19" t="n">
        <f aca="false">BU61</f>
        <v>0</v>
      </c>
      <c r="BW57" s="19" t="n">
        <f aca="false">BV61</f>
        <v>0</v>
      </c>
      <c r="BX57" s="19" t="n">
        <f aca="false">BW61</f>
        <v>0</v>
      </c>
      <c r="BY57" s="19" t="n">
        <f aca="false">BX61</f>
        <v>0</v>
      </c>
      <c r="BZ57" s="19" t="n">
        <f aca="false">BY61</f>
        <v>0</v>
      </c>
      <c r="CA57" s="19" t="n">
        <f aca="false">BZ61</f>
        <v>0</v>
      </c>
      <c r="CB57" s="19" t="n">
        <f aca="false">CA61</f>
        <v>0</v>
      </c>
      <c r="CC57" s="19" t="n">
        <f aca="false">CB61</f>
        <v>0</v>
      </c>
      <c r="CD57" s="19" t="n">
        <f aca="false">CC61</f>
        <v>0</v>
      </c>
      <c r="CE57" s="19" t="n">
        <f aca="false">CD61</f>
        <v>0</v>
      </c>
      <c r="CF57" s="19" t="n">
        <f aca="false">CE61</f>
        <v>0</v>
      </c>
      <c r="CG57" s="19" t="n">
        <f aca="false">CF61</f>
        <v>0</v>
      </c>
      <c r="CH57" s="19" t="n">
        <f aca="false">CG61</f>
        <v>0</v>
      </c>
      <c r="CI57" s="19" t="n">
        <f aca="false">CH61</f>
        <v>0</v>
      </c>
      <c r="CJ57" s="19" t="n">
        <f aca="false">CI61</f>
        <v>0</v>
      </c>
      <c r="CK57" s="19" t="n">
        <f aca="false">CJ61</f>
        <v>0</v>
      </c>
      <c r="CL57" s="19" t="n">
        <f aca="false">CK61</f>
        <v>0</v>
      </c>
      <c r="CM57" s="19" t="n">
        <f aca="false">CL61</f>
        <v>0</v>
      </c>
      <c r="CN57" s="19" t="n">
        <f aca="false">CM61</f>
        <v>0</v>
      </c>
      <c r="CO57" s="19" t="n">
        <f aca="false">CN61</f>
        <v>0</v>
      </c>
      <c r="CP57" s="19" t="n">
        <f aca="false">CO61</f>
        <v>0</v>
      </c>
      <c r="CQ57" s="19" t="n">
        <f aca="false">CP61</f>
        <v>0</v>
      </c>
      <c r="CR57" s="19" t="n">
        <f aca="false">CQ61</f>
        <v>0</v>
      </c>
      <c r="CS57" s="19" t="n">
        <f aca="false">CR61</f>
        <v>2.81721312944683E-014</v>
      </c>
      <c r="CT57" s="19" t="n">
        <f aca="false">CS61</f>
        <v>5.63442625889365E-014</v>
      </c>
      <c r="CU57" s="19" t="n">
        <f aca="false">CT61</f>
        <v>8.45163938834048E-014</v>
      </c>
      <c r="CV57" s="19" t="n">
        <f aca="false">CU61</f>
        <v>1.12688525177873E-013</v>
      </c>
      <c r="CW57" s="19" t="n">
        <f aca="false">CV61</f>
        <v>1.40860656472341E-013</v>
      </c>
      <c r="CX57" s="19" t="n">
        <f aca="false">CW61</f>
        <v>1.6903278776681E-013</v>
      </c>
      <c r="CY57" s="19" t="n">
        <f aca="false">CX61</f>
        <v>1.97204919061278E-013</v>
      </c>
      <c r="CZ57" s="19" t="n">
        <f aca="false">CY61</f>
        <v>2.25377050355746E-013</v>
      </c>
      <c r="DA57" s="19" t="n">
        <f aca="false">CZ61</f>
        <v>2.53549181650214E-013</v>
      </c>
      <c r="DB57" s="19" t="n">
        <f aca="false">DA61</f>
        <v>2.81721312944683E-013</v>
      </c>
    </row>
    <row r="58" customFormat="false" ht="15" hidden="false" customHeight="false" outlineLevel="0" collapsed="false">
      <c r="D58" s="0" t="s">
        <v>520</v>
      </c>
      <c r="E58" s="0" t="s">
        <v>44</v>
      </c>
      <c r="J58" s="19" t="n">
        <f aca="false">(J56+J44-Waterfall!J16*Waterfall!J18)*(1-Time!J20)</f>
        <v>0</v>
      </c>
      <c r="K58" s="19" t="n">
        <f aca="false">(K56+K44-Waterfall!K16*Waterfall!K18)*(1-Time!K20)</f>
        <v>0</v>
      </c>
      <c r="L58" s="19" t="n">
        <f aca="false">(L56+L44-Waterfall!L16*Waterfall!L18)*(1-Time!L20)</f>
        <v>0</v>
      </c>
      <c r="M58" s="19" t="n">
        <f aca="false">(M56+M44-Waterfall!M16*Waterfall!M18)*(1-Time!M20)</f>
        <v>0</v>
      </c>
      <c r="N58" s="19" t="n">
        <f aca="false">(N56+N44-Waterfall!N16*Waterfall!N18)*(1-Time!N20)</f>
        <v>0</v>
      </c>
      <c r="O58" s="19" t="n">
        <f aca="false">(O56+O44-Waterfall!O16*Waterfall!O18)*(1-Time!O20)</f>
        <v>0</v>
      </c>
      <c r="P58" s="19" t="n">
        <f aca="false">(P56+P44-Waterfall!P16*Waterfall!P18)*(1-Time!P20)</f>
        <v>0</v>
      </c>
      <c r="Q58" s="19" t="n">
        <f aca="false">(Q56+Q44-Waterfall!Q16*Waterfall!Q18)*(1-Time!Q20)</f>
        <v>0</v>
      </c>
      <c r="R58" s="19" t="n">
        <f aca="false">(R56+R44-Waterfall!R16*Waterfall!R18)*(1-Time!R20)</f>
        <v>0</v>
      </c>
      <c r="S58" s="19" t="n">
        <f aca="false">(S56+S44-Waterfall!S16*Waterfall!S18)*(1-Time!S20)</f>
        <v>0</v>
      </c>
      <c r="T58" s="19" t="n">
        <f aca="false">(T56+T44-Waterfall!T16*Waterfall!T18)*(1-Time!T20)</f>
        <v>0</v>
      </c>
      <c r="U58" s="19" t="n">
        <f aca="false">(U56+U44-Waterfall!U16*Waterfall!U18)*(1-Time!U20)</f>
        <v>0</v>
      </c>
      <c r="V58" s="19" t="n">
        <f aca="false">(V56+V44-Waterfall!V16*Waterfall!V18)*(1-Time!V20)</f>
        <v>0</v>
      </c>
      <c r="W58" s="19" t="n">
        <f aca="false">(W56+W44-Waterfall!W16*Waterfall!W18)*(1-Time!W20)</f>
        <v>0</v>
      </c>
      <c r="X58" s="19" t="n">
        <f aca="false">(X56+X44-Waterfall!X16*Waterfall!X18)*(1-Time!X20)</f>
        <v>0</v>
      </c>
      <c r="Y58" s="19" t="n">
        <f aca="false">(Y56+Y44-Waterfall!Y16*Waterfall!Y18)*(1-Time!Y20)</f>
        <v>0</v>
      </c>
      <c r="Z58" s="19" t="n">
        <f aca="false">(Z56+Z44-Waterfall!Z16*Waterfall!Z18)*(1-Time!Z20)</f>
        <v>0</v>
      </c>
      <c r="AA58" s="19" t="n">
        <f aca="false">(AA56+AA44-Waterfall!AA16*Waterfall!AA18)*(1-Time!AA20)</f>
        <v>0</v>
      </c>
      <c r="AB58" s="19" t="n">
        <f aca="false">(AB56+AB44-Waterfall!AB16*Waterfall!AB18)*(1-Time!AB20)</f>
        <v>0</v>
      </c>
      <c r="AC58" s="19" t="n">
        <f aca="false">(AC56+AC44-Waterfall!AC16*Waterfall!AC18)*(1-Time!AC20)</f>
        <v>0</v>
      </c>
      <c r="AD58" s="19" t="n">
        <f aca="false">(AD56+AD44-Waterfall!AD16*Waterfall!AD18)*(1-Time!AD20)</f>
        <v>0</v>
      </c>
      <c r="AE58" s="19" t="n">
        <f aca="false">(AE56+AE44-Waterfall!AE16*Waterfall!AE18)*(1-Time!AE20)</f>
        <v>0</v>
      </c>
      <c r="AF58" s="19" t="n">
        <f aca="false">(AF56+AF44-Waterfall!AF16*Waterfall!AF18)*(1-Time!AF20)</f>
        <v>0</v>
      </c>
      <c r="AG58" s="19" t="n">
        <f aca="false">(AG56+AG44-Waterfall!AG16*Waterfall!AG18)*(1-Time!AG20)</f>
        <v>0</v>
      </c>
      <c r="AH58" s="19" t="n">
        <f aca="false">(AH56+AH44-Waterfall!AH16*Waterfall!AH18)*(1-Time!AH20)</f>
        <v>0</v>
      </c>
      <c r="AI58" s="19" t="n">
        <f aca="false">(AI56+AI44-Waterfall!AI16*Waterfall!AI18)*(1-Time!AI20)</f>
        <v>0</v>
      </c>
      <c r="AJ58" s="19" t="n">
        <f aca="false">(AJ56+AJ44-Waterfall!AJ16*Waterfall!AJ18)*(1-Time!AJ20)</f>
        <v>0</v>
      </c>
      <c r="AK58" s="19" t="n">
        <f aca="false">(AK56+AK44-Waterfall!AK16*Waterfall!AK18)*(1-Time!AK20)</f>
        <v>0</v>
      </c>
      <c r="AL58" s="19" t="n">
        <f aca="false">(AL56+AL44-Waterfall!AL16*Waterfall!AL18)*(1-Time!AL20)</f>
        <v>0</v>
      </c>
      <c r="AM58" s="19" t="n">
        <f aca="false">(AM56+AM44-Waterfall!AM16*Waterfall!AM18)*(1-Time!AM20)</f>
        <v>0</v>
      </c>
      <c r="AN58" s="19" t="n">
        <f aca="false">(AN56+AN44-Waterfall!AN16*Waterfall!AN18)*(1-Time!AN20)</f>
        <v>0</v>
      </c>
      <c r="AO58" s="19" t="n">
        <f aca="false">(AO56+AO44-Waterfall!AO16*Waterfall!AO18)*(1-Time!AO20)</f>
        <v>0</v>
      </c>
      <c r="AP58" s="19" t="n">
        <f aca="false">(AP56+AP44-Waterfall!AP16*Waterfall!AP18)*(1-Time!AP20)</f>
        <v>0</v>
      </c>
      <c r="AQ58" s="19" t="n">
        <f aca="false">(AQ56+AQ44-Waterfall!AQ16*Waterfall!AQ18)*(1-Time!AQ20)</f>
        <v>0</v>
      </c>
      <c r="AR58" s="19" t="n">
        <f aca="false">(AR56+AR44-Waterfall!AR16*Waterfall!AR18)*(1-Time!AR20)</f>
        <v>0</v>
      </c>
      <c r="AS58" s="19" t="n">
        <f aca="false">(AS56+AS44-Waterfall!AS16*Waterfall!AS18)*(1-Time!AS20)</f>
        <v>0</v>
      </c>
      <c r="AT58" s="19" t="n">
        <f aca="false">(AT56+AT44-Waterfall!AT16*Waterfall!AT18)*(1-Time!AT20)</f>
        <v>0</v>
      </c>
      <c r="AU58" s="19" t="n">
        <f aca="false">(AU56+AU44-Waterfall!AU16*Waterfall!AU18)*(1-Time!AU20)</f>
        <v>0</v>
      </c>
      <c r="AV58" s="19" t="n">
        <f aca="false">(AV56+AV44-Waterfall!AV16*Waterfall!AV18)*(1-Time!AV20)</f>
        <v>0</v>
      </c>
      <c r="AW58" s="19" t="n">
        <f aca="false">(AW56+AW44-Waterfall!AW16*Waterfall!AW18)*(1-Time!AW20)</f>
        <v>0</v>
      </c>
      <c r="AX58" s="19" t="n">
        <f aca="false">(AX56+AX44-Waterfall!AX16*Waterfall!AX18)*(1-Time!AX20)</f>
        <v>0</v>
      </c>
      <c r="AY58" s="19" t="n">
        <f aca="false">(AY56+AY44-Waterfall!AY16*Waterfall!AY18)*(1-Time!AY20)</f>
        <v>0</v>
      </c>
      <c r="AZ58" s="19" t="n">
        <f aca="false">(AZ56+AZ44-Waterfall!AZ16*Waterfall!AZ18)*(1-Time!AZ20)</f>
        <v>0</v>
      </c>
      <c r="BA58" s="19" t="n">
        <f aca="false">(BA56+BA44-Waterfall!BA16*Waterfall!BA18)*(1-Time!BA20)</f>
        <v>0</v>
      </c>
      <c r="BB58" s="19" t="n">
        <f aca="false">(BB56+BB44-Waterfall!BB16*Waterfall!BB18)*(1-Time!BB20)</f>
        <v>0</v>
      </c>
      <c r="BC58" s="19" t="n">
        <f aca="false">(BC56+BC44-Waterfall!BC16*Waterfall!BC18)*(1-Time!BC20)</f>
        <v>0</v>
      </c>
      <c r="BD58" s="19" t="n">
        <f aca="false">(BD56+BD44-Waterfall!BD16*Waterfall!BD18)*(1-Time!BD20)</f>
        <v>0</v>
      </c>
      <c r="BE58" s="19" t="n">
        <f aca="false">(BE56+BE44-Waterfall!BE16*Waterfall!BE18)*(1-Time!BE20)</f>
        <v>0</v>
      </c>
      <c r="BF58" s="19" t="n">
        <f aca="false">(BF56+BF44-Waterfall!BF16*Waterfall!BF18)*(1-Time!BF20)</f>
        <v>0</v>
      </c>
      <c r="BG58" s="19" t="n">
        <f aca="false">(BG56+BG44-Waterfall!BG16*Waterfall!BG18)*(1-Time!BG20)</f>
        <v>0</v>
      </c>
      <c r="BH58" s="19" t="n">
        <f aca="false">(BH56+BH44-Waterfall!BH16*Waterfall!BH18)*(1-Time!BH20)</f>
        <v>0</v>
      </c>
      <c r="BI58" s="19" t="n">
        <f aca="false">(BI56+BI44-Waterfall!BI16*Waterfall!BI18)*(1-Time!BI20)</f>
        <v>0</v>
      </c>
      <c r="BJ58" s="19" t="n">
        <f aca="false">(BJ56+BJ44-Waterfall!BJ16*Waterfall!BJ18)*(1-Time!BJ20)</f>
        <v>0</v>
      </c>
      <c r="BK58" s="19" t="n">
        <f aca="false">(BK56+BK44-Waterfall!BK16*Waterfall!BK18)*(1-Time!BK20)</f>
        <v>0</v>
      </c>
      <c r="BL58" s="19" t="n">
        <f aca="false">(BL56+BL44-Waterfall!BL16*Waterfall!BL18)*(1-Time!BL20)</f>
        <v>0</v>
      </c>
      <c r="BM58" s="19" t="n">
        <f aca="false">(BM56+BM44-Waterfall!BM16*Waterfall!BM18)*(1-Time!BM20)</f>
        <v>0</v>
      </c>
      <c r="BN58" s="19" t="n">
        <f aca="false">(BN56+BN44-Waterfall!BN16*Waterfall!BN18)*(1-Time!BN20)</f>
        <v>0</v>
      </c>
      <c r="BO58" s="19" t="n">
        <f aca="false">(BO56+BO44-Waterfall!BO16*Waterfall!BO18)*(1-Time!BO20)</f>
        <v>0</v>
      </c>
      <c r="BP58" s="19" t="n">
        <f aca="false">(BP56+BP44-Waterfall!BP16*Waterfall!BP18)*(1-Time!BP20)</f>
        <v>0</v>
      </c>
      <c r="BQ58" s="19" t="n">
        <f aca="false">(BQ56+BQ44-Waterfall!BQ16*Waterfall!BQ18)*(1-Time!BQ20)</f>
        <v>0</v>
      </c>
      <c r="BR58" s="19" t="n">
        <f aca="false">(BR56+BR44-Waterfall!BR16*Waterfall!BR18)*(1-Time!BR20)</f>
        <v>0</v>
      </c>
      <c r="BS58" s="19" t="n">
        <f aca="false">(BS56+BS44-Waterfall!BS16*Waterfall!BS18)*(1-Time!BS20)</f>
        <v>0</v>
      </c>
      <c r="BT58" s="19" t="n">
        <f aca="false">(BT56+BT44-Waterfall!BT16*Waterfall!BT18)*(1-Time!BT20)</f>
        <v>0</v>
      </c>
      <c r="BU58" s="19" t="n">
        <f aca="false">(BU56+BU44-Waterfall!BU16*Waterfall!BU18)*(1-Time!BU20)</f>
        <v>0</v>
      </c>
      <c r="BV58" s="19" t="n">
        <f aca="false">(BV56+BV44-Waterfall!BV16*Waterfall!BV18)*(1-Time!BV20)</f>
        <v>0</v>
      </c>
      <c r="BW58" s="19" t="n">
        <f aca="false">(BW56+BW44-Waterfall!BW16*Waterfall!BW18)*(1-Time!BW20)</f>
        <v>0</v>
      </c>
      <c r="BX58" s="19" t="n">
        <f aca="false">(BX56+BX44-Waterfall!BX16*Waterfall!BX18)*(1-Time!BX20)</f>
        <v>0</v>
      </c>
      <c r="BY58" s="19" t="n">
        <f aca="false">(BY56+BY44-Waterfall!BY16*Waterfall!BY18)*(1-Time!BY20)</f>
        <v>0</v>
      </c>
      <c r="BZ58" s="19" t="n">
        <f aca="false">(BZ56+BZ44-Waterfall!BZ16*Waterfall!BZ18)*(1-Time!BZ20)</f>
        <v>0</v>
      </c>
      <c r="CA58" s="19" t="n">
        <f aca="false">(CA56+CA44-Waterfall!CA16*Waterfall!CA18)*(1-Time!CA20)</f>
        <v>0</v>
      </c>
      <c r="CB58" s="19" t="n">
        <f aca="false">(CB56+CB44-Waterfall!CB16*Waterfall!CB18)*(1-Time!CB20)</f>
        <v>0</v>
      </c>
      <c r="CC58" s="19" t="n">
        <f aca="false">(CC56+CC44-Waterfall!CC16*Waterfall!CC18)*(1-Time!CC20)</f>
        <v>0</v>
      </c>
      <c r="CD58" s="19" t="n">
        <f aca="false">(CD56+CD44-Waterfall!CD16*Waterfall!CD18)*(1-Time!CD20)</f>
        <v>0</v>
      </c>
      <c r="CE58" s="19" t="n">
        <f aca="false">(CE56+CE44-Waterfall!CE16*Waterfall!CE18)*(1-Time!CE20)</f>
        <v>0</v>
      </c>
      <c r="CF58" s="19" t="n">
        <f aca="false">(CF56+CF44-Waterfall!CF16*Waterfall!CF18)*(1-Time!CF20)</f>
        <v>0</v>
      </c>
      <c r="CG58" s="19" t="n">
        <f aca="false">(CG56+CG44-Waterfall!CG16*Waterfall!CG18)*(1-Time!CG20)</f>
        <v>0</v>
      </c>
      <c r="CH58" s="19" t="n">
        <f aca="false">(CH56+CH44-Waterfall!CH16*Waterfall!CH18)*(1-Time!CH20)</f>
        <v>0</v>
      </c>
      <c r="CI58" s="19" t="n">
        <f aca="false">(CI56+CI44-Waterfall!CI16*Waterfall!CI18)*(1-Time!CI20)</f>
        <v>0</v>
      </c>
      <c r="CJ58" s="19" t="n">
        <f aca="false">(CJ56+CJ44-Waterfall!CJ16*Waterfall!CJ18)*(1-Time!CJ20)</f>
        <v>0</v>
      </c>
      <c r="CK58" s="19" t="n">
        <f aca="false">(CK56+CK44-Waterfall!CK16*Waterfall!CK18)*(1-Time!CK20)</f>
        <v>0</v>
      </c>
      <c r="CL58" s="19" t="n">
        <f aca="false">(CL56+CL44-Waterfall!CL16*Waterfall!CL18)*(1-Time!CL20)</f>
        <v>0</v>
      </c>
      <c r="CM58" s="19" t="n">
        <f aca="false">(CM56+CM44-Waterfall!CM16*Waterfall!CM18)*(1-Time!CM20)</f>
        <v>0</v>
      </c>
      <c r="CN58" s="19" t="n">
        <f aca="false">(CN56+CN44-Waterfall!CN16*Waterfall!CN18)*(1-Time!CN20)</f>
        <v>0</v>
      </c>
      <c r="CO58" s="19" t="n">
        <f aca="false">(CO56+CO44-Waterfall!CO16*Waterfall!CO18)*(1-Time!CO20)</f>
        <v>0</v>
      </c>
      <c r="CP58" s="19" t="n">
        <f aca="false">(CP56+CP44-Waterfall!CP16*Waterfall!CP18)*(1-Time!CP20)</f>
        <v>0</v>
      </c>
      <c r="CQ58" s="19" t="n">
        <f aca="false">(CQ56+CQ44-Waterfall!CQ16*Waterfall!CQ18)*(1-Time!CQ20)</f>
        <v>0</v>
      </c>
      <c r="CR58" s="19" t="n">
        <f aca="false">(CR56+CR44-Waterfall!CR16*Waterfall!CR18)*(1-Time!CR20)</f>
        <v>2.69460679036244E-014</v>
      </c>
      <c r="CS58" s="19" t="n">
        <f aca="false">(CS56+CS44-Waterfall!CS16*Waterfall!CS18)*(1-Time!CS20)</f>
        <v>5.43387557172537E-014</v>
      </c>
      <c r="CT58" s="19" t="n">
        <f aca="false">(CT56+CT44-Waterfall!CT16*Waterfall!CT18)*(1-Time!CT20)</f>
        <v>8.12848236208781E-014</v>
      </c>
      <c r="CU58" s="19" t="n">
        <f aca="false">(CU56+CU44-Waterfall!CU16*Waterfall!CU18)*(1-Time!CU20)</f>
        <v>1.08677511434507E-013</v>
      </c>
      <c r="CV58" s="19" t="n">
        <f aca="false">(CV56+CV44-Waterfall!CV16*Waterfall!CV18)*(1-Time!CV20)</f>
        <v>1.35772452641467E-013</v>
      </c>
      <c r="CW58" s="19" t="n">
        <f aca="false">(CW56+CW44-Waterfall!CW16*Waterfall!CW18)*(1-Time!CW20)</f>
        <v>1.63165140455096E-013</v>
      </c>
      <c r="CX58" s="19" t="n">
        <f aca="false">(CX56+CX44-Waterfall!CX16*Waterfall!CX18)*(1-Time!CX20)</f>
        <v>1.9011120835872E-013</v>
      </c>
      <c r="CY58" s="19" t="n">
        <f aca="false">(CY56+CY44-Waterfall!CY16*Waterfall!CY18)*(1-Time!CY20)</f>
        <v>2.1750389617235E-013</v>
      </c>
      <c r="CZ58" s="19" t="n">
        <f aca="false">(CZ56+CZ44-Waterfall!CZ16*Waterfall!CZ18)*(1-Time!CZ20)</f>
        <v>2.44449964075974E-013</v>
      </c>
      <c r="DA58" s="19" t="n">
        <f aca="false">(DA56+DA44-Waterfall!DA16*Waterfall!DA18)*(1-Time!DA20)</f>
        <v>2.71842651889603E-013</v>
      </c>
      <c r="DB58" s="19" t="n">
        <f aca="false">(DB56+DB44-Waterfall!DB16*Waterfall!DB18)*(1-Time!DB20)</f>
        <v>2.98788719793228E-013</v>
      </c>
    </row>
    <row r="59" customFormat="false" ht="15" hidden="false" customHeight="false" outlineLevel="0" collapsed="false">
      <c r="D59" s="0" t="s">
        <v>521</v>
      </c>
      <c r="E59" s="0" t="s">
        <v>44</v>
      </c>
      <c r="J59" s="19" t="n">
        <f aca="false">(J57+J51-Waterfall!J16*Waterfall!J19)*(1-Time!J20)</f>
        <v>0</v>
      </c>
      <c r="K59" s="19" t="n">
        <f aca="false">(K57+K51-Waterfall!K16*Waterfall!K19)*(1-Time!K20)</f>
        <v>0</v>
      </c>
      <c r="L59" s="19" t="n">
        <f aca="false">(L57+L51-Waterfall!L16*Waterfall!L19)*(1-Time!L20)</f>
        <v>0</v>
      </c>
      <c r="M59" s="19" t="n">
        <f aca="false">(M57+M51-Waterfall!M16*Waterfall!M19)*(1-Time!M20)</f>
        <v>0</v>
      </c>
      <c r="N59" s="19" t="n">
        <f aca="false">(N57+N51-Waterfall!N16*Waterfall!N19)*(1-Time!N20)</f>
        <v>0</v>
      </c>
      <c r="O59" s="19" t="n">
        <f aca="false">(O57+O51-Waterfall!O16*Waterfall!O19)*(1-Time!O20)</f>
        <v>0</v>
      </c>
      <c r="P59" s="19" t="n">
        <f aca="false">(P57+P51-Waterfall!P16*Waterfall!P19)*(1-Time!P20)</f>
        <v>0</v>
      </c>
      <c r="Q59" s="19" t="n">
        <f aca="false">(Q57+Q51-Waterfall!Q16*Waterfall!Q19)*(1-Time!Q20)</f>
        <v>0</v>
      </c>
      <c r="R59" s="19" t="n">
        <f aca="false">(R57+R51-Waterfall!R16*Waterfall!R19)*(1-Time!R20)</f>
        <v>0</v>
      </c>
      <c r="S59" s="19" t="n">
        <f aca="false">(S57+S51-Waterfall!S16*Waterfall!S19)*(1-Time!S20)</f>
        <v>0</v>
      </c>
      <c r="T59" s="19" t="n">
        <f aca="false">(T57+T51-Waterfall!T16*Waterfall!T19)*(1-Time!T20)</f>
        <v>0</v>
      </c>
      <c r="U59" s="19" t="n">
        <f aca="false">(U57+U51-Waterfall!U16*Waterfall!U19)*(1-Time!U20)</f>
        <v>0</v>
      </c>
      <c r="V59" s="19" t="n">
        <f aca="false">(V57+V51-Waterfall!V16*Waterfall!V19)*(1-Time!V20)</f>
        <v>0</v>
      </c>
      <c r="W59" s="19" t="n">
        <f aca="false">(W57+W51-Waterfall!W16*Waterfall!W19)*(1-Time!W20)</f>
        <v>0</v>
      </c>
      <c r="X59" s="19" t="n">
        <f aca="false">(X57+X51-Waterfall!X16*Waterfall!X19)*(1-Time!X20)</f>
        <v>0</v>
      </c>
      <c r="Y59" s="19" t="n">
        <f aca="false">(Y57+Y51-Waterfall!Y16*Waterfall!Y19)*(1-Time!Y20)</f>
        <v>0</v>
      </c>
      <c r="Z59" s="19" t="n">
        <f aca="false">(Z57+Z51-Waterfall!Z16*Waterfall!Z19)*(1-Time!Z20)</f>
        <v>0</v>
      </c>
      <c r="AA59" s="19" t="n">
        <f aca="false">(AA57+AA51-Waterfall!AA16*Waterfall!AA19)*(1-Time!AA20)</f>
        <v>0</v>
      </c>
      <c r="AB59" s="19" t="n">
        <f aca="false">(AB57+AB51-Waterfall!AB16*Waterfall!AB19)*(1-Time!AB20)</f>
        <v>0</v>
      </c>
      <c r="AC59" s="19" t="n">
        <f aca="false">(AC57+AC51-Waterfall!AC16*Waterfall!AC19)*(1-Time!AC20)</f>
        <v>0</v>
      </c>
      <c r="AD59" s="19" t="n">
        <f aca="false">(AD57+AD51-Waterfall!AD16*Waterfall!AD19)*(1-Time!AD20)</f>
        <v>0</v>
      </c>
      <c r="AE59" s="19" t="n">
        <f aca="false">(AE57+AE51-Waterfall!AE16*Waterfall!AE19)*(1-Time!AE20)</f>
        <v>0</v>
      </c>
      <c r="AF59" s="19" t="n">
        <f aca="false">(AF57+AF51-Waterfall!AF16*Waterfall!AF19)*(1-Time!AF20)</f>
        <v>0</v>
      </c>
      <c r="AG59" s="19" t="n">
        <f aca="false">(AG57+AG51-Waterfall!AG16*Waterfall!AG19)*(1-Time!AG20)</f>
        <v>0</v>
      </c>
      <c r="AH59" s="19" t="n">
        <f aca="false">(AH57+AH51-Waterfall!AH16*Waterfall!AH19)*(1-Time!AH20)</f>
        <v>0</v>
      </c>
      <c r="AI59" s="19" t="n">
        <f aca="false">(AI57+AI51-Waterfall!AI16*Waterfall!AI19)*(1-Time!AI20)</f>
        <v>0</v>
      </c>
      <c r="AJ59" s="19" t="n">
        <f aca="false">(AJ57+AJ51-Waterfall!AJ16*Waterfall!AJ19)*(1-Time!AJ20)</f>
        <v>0</v>
      </c>
      <c r="AK59" s="19" t="n">
        <f aca="false">(AK57+AK51-Waterfall!AK16*Waterfall!AK19)*(1-Time!AK20)</f>
        <v>0</v>
      </c>
      <c r="AL59" s="19" t="n">
        <f aca="false">(AL57+AL51-Waterfall!AL16*Waterfall!AL19)*(1-Time!AL20)</f>
        <v>0</v>
      </c>
      <c r="AM59" s="19" t="n">
        <f aca="false">(AM57+AM51-Waterfall!AM16*Waterfall!AM19)*(1-Time!AM20)</f>
        <v>0</v>
      </c>
      <c r="AN59" s="19" t="n">
        <f aca="false">(AN57+AN51-Waterfall!AN16*Waterfall!AN19)*(1-Time!AN20)</f>
        <v>0</v>
      </c>
      <c r="AO59" s="19" t="n">
        <f aca="false">(AO57+AO51-Waterfall!AO16*Waterfall!AO19)*(1-Time!AO20)</f>
        <v>0</v>
      </c>
      <c r="AP59" s="19" t="n">
        <f aca="false">(AP57+AP51-Waterfall!AP16*Waterfall!AP19)*(1-Time!AP20)</f>
        <v>0</v>
      </c>
      <c r="AQ59" s="19" t="n">
        <f aca="false">(AQ57+AQ51-Waterfall!AQ16*Waterfall!AQ19)*(1-Time!AQ20)</f>
        <v>0</v>
      </c>
      <c r="AR59" s="19" t="n">
        <f aca="false">(AR57+AR51-Waterfall!AR16*Waterfall!AR19)*(1-Time!AR20)</f>
        <v>0</v>
      </c>
      <c r="AS59" s="19" t="n">
        <f aca="false">(AS57+AS51-Waterfall!AS16*Waterfall!AS19)*(1-Time!AS20)</f>
        <v>0</v>
      </c>
      <c r="AT59" s="19" t="n">
        <f aca="false">(AT57+AT51-Waterfall!AT16*Waterfall!AT19)*(1-Time!AT20)</f>
        <v>0</v>
      </c>
      <c r="AU59" s="19" t="n">
        <f aca="false">(AU57+AU51-Waterfall!AU16*Waterfall!AU19)*(1-Time!AU20)</f>
        <v>0</v>
      </c>
      <c r="AV59" s="19" t="n">
        <f aca="false">(AV57+AV51-Waterfall!AV16*Waterfall!AV19)*(1-Time!AV20)</f>
        <v>0</v>
      </c>
      <c r="AW59" s="19" t="n">
        <f aca="false">(AW57+AW51-Waterfall!AW16*Waterfall!AW19)*(1-Time!AW20)</f>
        <v>0</v>
      </c>
      <c r="AX59" s="19" t="n">
        <f aca="false">(AX57+AX51-Waterfall!AX16*Waterfall!AX19)*(1-Time!AX20)</f>
        <v>0</v>
      </c>
      <c r="AY59" s="19" t="n">
        <f aca="false">(AY57+AY51-Waterfall!AY16*Waterfall!AY19)*(1-Time!AY20)</f>
        <v>0</v>
      </c>
      <c r="AZ59" s="19" t="n">
        <f aca="false">(AZ57+AZ51-Waterfall!AZ16*Waterfall!AZ19)*(1-Time!AZ20)</f>
        <v>0</v>
      </c>
      <c r="BA59" s="19" t="n">
        <f aca="false">(BA57+BA51-Waterfall!BA16*Waterfall!BA19)*(1-Time!BA20)</f>
        <v>0</v>
      </c>
      <c r="BB59" s="19" t="n">
        <f aca="false">(BB57+BB51-Waterfall!BB16*Waterfall!BB19)*(1-Time!BB20)</f>
        <v>0</v>
      </c>
      <c r="BC59" s="19" t="n">
        <f aca="false">(BC57+BC51-Waterfall!BC16*Waterfall!BC19)*(1-Time!BC20)</f>
        <v>0</v>
      </c>
      <c r="BD59" s="19" t="n">
        <f aca="false">(BD57+BD51-Waterfall!BD16*Waterfall!BD19)*(1-Time!BD20)</f>
        <v>0</v>
      </c>
      <c r="BE59" s="19" t="n">
        <f aca="false">(BE57+BE51-Waterfall!BE16*Waterfall!BE19)*(1-Time!BE20)</f>
        <v>0</v>
      </c>
      <c r="BF59" s="19" t="n">
        <f aca="false">(BF57+BF51-Waterfall!BF16*Waterfall!BF19)*(1-Time!BF20)</f>
        <v>0</v>
      </c>
      <c r="BG59" s="19" t="n">
        <f aca="false">(BG57+BG51-Waterfall!BG16*Waterfall!BG19)*(1-Time!BG20)</f>
        <v>0</v>
      </c>
      <c r="BH59" s="19" t="n">
        <f aca="false">(BH57+BH51-Waterfall!BH16*Waterfall!BH19)*(1-Time!BH20)</f>
        <v>0</v>
      </c>
      <c r="BI59" s="19" t="n">
        <f aca="false">(BI57+BI51-Waterfall!BI16*Waterfall!BI19)*(1-Time!BI20)</f>
        <v>0</v>
      </c>
      <c r="BJ59" s="19" t="n">
        <f aca="false">(BJ57+BJ51-Waterfall!BJ16*Waterfall!BJ19)*(1-Time!BJ20)</f>
        <v>0</v>
      </c>
      <c r="BK59" s="19" t="n">
        <f aca="false">(BK57+BK51-Waterfall!BK16*Waterfall!BK19)*(1-Time!BK20)</f>
        <v>0</v>
      </c>
      <c r="BL59" s="19" t="n">
        <f aca="false">(BL57+BL51-Waterfall!BL16*Waterfall!BL19)*(1-Time!BL20)</f>
        <v>0</v>
      </c>
      <c r="BM59" s="19" t="n">
        <f aca="false">(BM57+BM51-Waterfall!BM16*Waterfall!BM19)*(1-Time!BM20)</f>
        <v>0</v>
      </c>
      <c r="BN59" s="19" t="n">
        <f aca="false">(BN57+BN51-Waterfall!BN16*Waterfall!BN19)*(1-Time!BN20)</f>
        <v>0</v>
      </c>
      <c r="BO59" s="19" t="n">
        <f aca="false">(BO57+BO51-Waterfall!BO16*Waterfall!BO19)*(1-Time!BO20)</f>
        <v>0</v>
      </c>
      <c r="BP59" s="19" t="n">
        <f aca="false">(BP57+BP51-Waterfall!BP16*Waterfall!BP19)*(1-Time!BP20)</f>
        <v>0</v>
      </c>
      <c r="BQ59" s="19" t="n">
        <f aca="false">(BQ57+BQ51-Waterfall!BQ16*Waterfall!BQ19)*(1-Time!BQ20)</f>
        <v>0</v>
      </c>
      <c r="BR59" s="19" t="n">
        <f aca="false">(BR57+BR51-Waterfall!BR16*Waterfall!BR19)*(1-Time!BR20)</f>
        <v>0</v>
      </c>
      <c r="BS59" s="19" t="n">
        <f aca="false">(BS57+BS51-Waterfall!BS16*Waterfall!BS19)*(1-Time!BS20)</f>
        <v>0</v>
      </c>
      <c r="BT59" s="19" t="n">
        <f aca="false">(BT57+BT51-Waterfall!BT16*Waterfall!BT19)*(1-Time!BT20)</f>
        <v>0</v>
      </c>
      <c r="BU59" s="19" t="n">
        <f aca="false">(BU57+BU51-Waterfall!BU16*Waterfall!BU19)*(1-Time!BU20)</f>
        <v>0</v>
      </c>
      <c r="BV59" s="19" t="n">
        <f aca="false">(BV57+BV51-Waterfall!BV16*Waterfall!BV19)*(1-Time!BV20)</f>
        <v>0</v>
      </c>
      <c r="BW59" s="19" t="n">
        <f aca="false">(BW57+BW51-Waterfall!BW16*Waterfall!BW19)*(1-Time!BW20)</f>
        <v>0</v>
      </c>
      <c r="BX59" s="19" t="n">
        <f aca="false">(BX57+BX51-Waterfall!BX16*Waterfall!BX19)*(1-Time!BX20)</f>
        <v>0</v>
      </c>
      <c r="BY59" s="19" t="n">
        <f aca="false">(BY57+BY51-Waterfall!BY16*Waterfall!BY19)*(1-Time!BY20)</f>
        <v>0</v>
      </c>
      <c r="BZ59" s="19" t="n">
        <f aca="false">(BZ57+BZ51-Waterfall!BZ16*Waterfall!BZ19)*(1-Time!BZ20)</f>
        <v>0</v>
      </c>
      <c r="CA59" s="19" t="n">
        <f aca="false">(CA57+CA51-Waterfall!CA16*Waterfall!CA19)*(1-Time!CA20)</f>
        <v>0</v>
      </c>
      <c r="CB59" s="19" t="n">
        <f aca="false">(CB57+CB51-Waterfall!CB16*Waterfall!CB19)*(1-Time!CB20)</f>
        <v>0</v>
      </c>
      <c r="CC59" s="19" t="n">
        <f aca="false">(CC57+CC51-Waterfall!CC16*Waterfall!CC19)*(1-Time!CC20)</f>
        <v>0</v>
      </c>
      <c r="CD59" s="19" t="n">
        <f aca="false">(CD57+CD51-Waterfall!CD16*Waterfall!CD19)*(1-Time!CD20)</f>
        <v>0</v>
      </c>
      <c r="CE59" s="19" t="n">
        <f aca="false">(CE57+CE51-Waterfall!CE16*Waterfall!CE19)*(1-Time!CE20)</f>
        <v>0</v>
      </c>
      <c r="CF59" s="19" t="n">
        <f aca="false">(CF57+CF51-Waterfall!CF16*Waterfall!CF19)*(1-Time!CF20)</f>
        <v>0</v>
      </c>
      <c r="CG59" s="19" t="n">
        <f aca="false">(CG57+CG51-Waterfall!CG16*Waterfall!CG19)*(1-Time!CG20)</f>
        <v>0</v>
      </c>
      <c r="CH59" s="19" t="n">
        <f aca="false">(CH57+CH51-Waterfall!CH16*Waterfall!CH19)*(1-Time!CH20)</f>
        <v>0</v>
      </c>
      <c r="CI59" s="19" t="n">
        <f aca="false">(CI57+CI51-Waterfall!CI16*Waterfall!CI19)*(1-Time!CI20)</f>
        <v>0</v>
      </c>
      <c r="CJ59" s="19" t="n">
        <f aca="false">(CJ57+CJ51-Waterfall!CJ16*Waterfall!CJ19)*(1-Time!CJ20)</f>
        <v>0</v>
      </c>
      <c r="CK59" s="19" t="n">
        <f aca="false">(CK57+CK51-Waterfall!CK16*Waterfall!CK19)*(1-Time!CK20)</f>
        <v>0</v>
      </c>
      <c r="CL59" s="19" t="n">
        <f aca="false">(CL57+CL51-Waterfall!CL16*Waterfall!CL19)*(1-Time!CL20)</f>
        <v>0</v>
      </c>
      <c r="CM59" s="19" t="n">
        <f aca="false">(CM57+CM51-Waterfall!CM16*Waterfall!CM19)*(1-Time!CM20)</f>
        <v>0</v>
      </c>
      <c r="CN59" s="19" t="n">
        <f aca="false">(CN57+CN51-Waterfall!CN16*Waterfall!CN19)*(1-Time!CN20)</f>
        <v>0</v>
      </c>
      <c r="CO59" s="19" t="n">
        <f aca="false">(CO57+CO51-Waterfall!CO16*Waterfall!CO19)*(1-Time!CO20)</f>
        <v>0</v>
      </c>
      <c r="CP59" s="19" t="n">
        <f aca="false">(CP57+CP51-Waterfall!CP16*Waterfall!CP19)*(1-Time!CP20)</f>
        <v>0</v>
      </c>
      <c r="CQ59" s="19" t="n">
        <f aca="false">(CQ57+CQ51-Waterfall!CQ16*Waterfall!CQ19)*(1-Time!CQ20)</f>
        <v>0</v>
      </c>
      <c r="CR59" s="19" t="n">
        <f aca="false">(CR57+CR51-Waterfall!CR16*Waterfall!CR19)*(1-Time!CR20)</f>
        <v>2.81721312944683E-014</v>
      </c>
      <c r="CS59" s="19" t="n">
        <f aca="false">(CS57+CS51-Waterfall!CS16*Waterfall!CS19)*(1-Time!CS20)</f>
        <v>5.63442625889365E-014</v>
      </c>
      <c r="CT59" s="19" t="n">
        <f aca="false">(CT57+CT51-Waterfall!CT16*Waterfall!CT19)*(1-Time!CT20)</f>
        <v>8.45163938834048E-014</v>
      </c>
      <c r="CU59" s="19" t="n">
        <f aca="false">(CU57+CU51-Waterfall!CU16*Waterfall!CU19)*(1-Time!CU20)</f>
        <v>1.12688525177873E-013</v>
      </c>
      <c r="CV59" s="19" t="n">
        <f aca="false">(CV57+CV51-Waterfall!CV16*Waterfall!CV19)*(1-Time!CV20)</f>
        <v>1.40860656472341E-013</v>
      </c>
      <c r="CW59" s="19" t="n">
        <f aca="false">(CW57+CW51-Waterfall!CW16*Waterfall!CW19)*(1-Time!CW20)</f>
        <v>1.6903278776681E-013</v>
      </c>
      <c r="CX59" s="19" t="n">
        <f aca="false">(CX57+CX51-Waterfall!CX16*Waterfall!CX19)*(1-Time!CX20)</f>
        <v>1.97204919061278E-013</v>
      </c>
      <c r="CY59" s="19" t="n">
        <f aca="false">(CY57+CY51-Waterfall!CY16*Waterfall!CY19)*(1-Time!CY20)</f>
        <v>2.25377050355746E-013</v>
      </c>
      <c r="CZ59" s="19" t="n">
        <f aca="false">(CZ57+CZ51-Waterfall!CZ16*Waterfall!CZ19)*(1-Time!CZ20)</f>
        <v>2.53549181650214E-013</v>
      </c>
      <c r="DA59" s="19" t="n">
        <f aca="false">(DA57+DA51-Waterfall!DA16*Waterfall!DA19)*(1-Time!DA20)</f>
        <v>2.81721312944683E-013</v>
      </c>
      <c r="DB59" s="19" t="n">
        <f aca="false">(DB57+DB51-Waterfall!DB16*Waterfall!DB19)*(1-Time!DB20)</f>
        <v>3.09893444239151E-013</v>
      </c>
    </row>
    <row r="60" customFormat="false" ht="15" hidden="false" customHeight="false" outlineLevel="0" collapsed="false">
      <c r="D60" s="0" t="s">
        <v>522</v>
      </c>
      <c r="E60" s="0" t="s">
        <v>44</v>
      </c>
      <c r="J60" s="19" t="n">
        <f aca="false">IF(Time!J35=1,0,J58)</f>
        <v>0</v>
      </c>
      <c r="K60" s="19" t="n">
        <f aca="false">IF(Time!K35=1,0,K58)</f>
        <v>0</v>
      </c>
      <c r="L60" s="19" t="n">
        <f aca="false">IF(Time!L35=1,0,L58)</f>
        <v>0</v>
      </c>
      <c r="M60" s="19" t="n">
        <f aca="false">IF(Time!M35=1,0,M58)</f>
        <v>0</v>
      </c>
      <c r="N60" s="19" t="n">
        <f aca="false">IF(Time!N35=1,0,N58)</f>
        <v>0</v>
      </c>
      <c r="O60" s="19" t="n">
        <f aca="false">IF(Time!O35=1,0,O58)</f>
        <v>0</v>
      </c>
      <c r="P60" s="19" t="n">
        <f aca="false">IF(Time!P35=1,0,P58)</f>
        <v>0</v>
      </c>
      <c r="Q60" s="19" t="n">
        <f aca="false">IF(Time!Q35=1,0,Q58)</f>
        <v>0</v>
      </c>
      <c r="R60" s="19" t="n">
        <f aca="false">IF(Time!R35=1,0,R58)</f>
        <v>0</v>
      </c>
      <c r="S60" s="19" t="n">
        <f aca="false">IF(Time!S35=1,0,S58)</f>
        <v>0</v>
      </c>
      <c r="T60" s="19" t="n">
        <f aca="false">IF(Time!T35=1,0,T58)</f>
        <v>0</v>
      </c>
      <c r="U60" s="19" t="n">
        <f aca="false">IF(Time!U35=1,0,U58)</f>
        <v>0</v>
      </c>
      <c r="V60" s="19" t="n">
        <f aca="false">IF(Time!V35=1,0,V58)</f>
        <v>0</v>
      </c>
      <c r="W60" s="19" t="n">
        <f aca="false">IF(Time!W35=1,0,W58)</f>
        <v>0</v>
      </c>
      <c r="X60" s="19" t="n">
        <f aca="false">IF(Time!X35=1,0,X58)</f>
        <v>0</v>
      </c>
      <c r="Y60" s="19" t="n">
        <f aca="false">IF(Time!Y35=1,0,Y58)</f>
        <v>0</v>
      </c>
      <c r="Z60" s="19" t="n">
        <f aca="false">IF(Time!Z35=1,0,Z58)</f>
        <v>0</v>
      </c>
      <c r="AA60" s="19" t="n">
        <f aca="false">IF(Time!AA35=1,0,AA58)</f>
        <v>0</v>
      </c>
      <c r="AB60" s="19" t="n">
        <f aca="false">IF(Time!AB35=1,0,AB58)</f>
        <v>0</v>
      </c>
      <c r="AC60" s="19" t="n">
        <f aca="false">IF(Time!AC35=1,0,AC58)</f>
        <v>0</v>
      </c>
      <c r="AD60" s="19" t="n">
        <f aca="false">IF(Time!AD35=1,0,AD58)</f>
        <v>0</v>
      </c>
      <c r="AE60" s="19" t="n">
        <f aca="false">IF(Time!AE35=1,0,AE58)</f>
        <v>0</v>
      </c>
      <c r="AF60" s="19" t="n">
        <f aca="false">IF(Time!AF35=1,0,AF58)</f>
        <v>0</v>
      </c>
      <c r="AG60" s="19" t="n">
        <f aca="false">IF(Time!AG35=1,0,AG58)</f>
        <v>0</v>
      </c>
      <c r="AH60" s="19" t="n">
        <f aca="false">IF(Time!AH35=1,0,AH58)</f>
        <v>0</v>
      </c>
      <c r="AI60" s="19" t="n">
        <f aca="false">IF(Time!AI35=1,0,AI58)</f>
        <v>0</v>
      </c>
      <c r="AJ60" s="19" t="n">
        <f aca="false">IF(Time!AJ35=1,0,AJ58)</f>
        <v>0</v>
      </c>
      <c r="AK60" s="19" t="n">
        <f aca="false">IF(Time!AK35=1,0,AK58)</f>
        <v>0</v>
      </c>
      <c r="AL60" s="19" t="n">
        <f aca="false">IF(Time!AL35=1,0,AL58)</f>
        <v>0</v>
      </c>
      <c r="AM60" s="19" t="n">
        <f aca="false">IF(Time!AM35=1,0,AM58)</f>
        <v>0</v>
      </c>
      <c r="AN60" s="19" t="n">
        <f aca="false">IF(Time!AN35=1,0,AN58)</f>
        <v>0</v>
      </c>
      <c r="AO60" s="19" t="n">
        <f aca="false">IF(Time!AO35=1,0,AO58)</f>
        <v>0</v>
      </c>
      <c r="AP60" s="19" t="n">
        <f aca="false">IF(Time!AP35=1,0,AP58)</f>
        <v>0</v>
      </c>
      <c r="AQ60" s="19" t="n">
        <f aca="false">IF(Time!AQ35=1,0,AQ58)</f>
        <v>0</v>
      </c>
      <c r="AR60" s="19" t="n">
        <f aca="false">IF(Time!AR35=1,0,AR58)</f>
        <v>0</v>
      </c>
      <c r="AS60" s="19" t="n">
        <f aca="false">IF(Time!AS35=1,0,AS58)</f>
        <v>0</v>
      </c>
      <c r="AT60" s="19" t="n">
        <f aca="false">IF(Time!AT35=1,0,AT58)</f>
        <v>0</v>
      </c>
      <c r="AU60" s="19" t="n">
        <f aca="false">IF(Time!AU35=1,0,AU58)</f>
        <v>0</v>
      </c>
      <c r="AV60" s="19" t="n">
        <f aca="false">IF(Time!AV35=1,0,AV58)</f>
        <v>0</v>
      </c>
      <c r="AW60" s="19" t="n">
        <f aca="false">IF(Time!AW35=1,0,AW58)</f>
        <v>0</v>
      </c>
      <c r="AX60" s="19" t="n">
        <f aca="false">IF(Time!AX35=1,0,AX58)</f>
        <v>0</v>
      </c>
      <c r="AY60" s="19" t="n">
        <f aca="false">IF(Time!AY35=1,0,AY58)</f>
        <v>0</v>
      </c>
      <c r="AZ60" s="19" t="n">
        <f aca="false">IF(Time!AZ35=1,0,AZ58)</f>
        <v>0</v>
      </c>
      <c r="BA60" s="19" t="n">
        <f aca="false">IF(Time!BA35=1,0,BA58)</f>
        <v>0</v>
      </c>
      <c r="BB60" s="19" t="n">
        <f aca="false">IF(Time!BB35=1,0,BB58)</f>
        <v>0</v>
      </c>
      <c r="BC60" s="19" t="n">
        <f aca="false">IF(Time!BC35=1,0,BC58)</f>
        <v>0</v>
      </c>
      <c r="BD60" s="19" t="n">
        <f aca="false">IF(Time!BD35=1,0,BD58)</f>
        <v>0</v>
      </c>
      <c r="BE60" s="19" t="n">
        <f aca="false">IF(Time!BE35=1,0,BE58)</f>
        <v>0</v>
      </c>
      <c r="BF60" s="19" t="n">
        <f aca="false">IF(Time!BF35=1,0,BF58)</f>
        <v>0</v>
      </c>
      <c r="BG60" s="19" t="n">
        <f aca="false">IF(Time!BG35=1,0,BG58)</f>
        <v>0</v>
      </c>
      <c r="BH60" s="19" t="n">
        <f aca="false">IF(Time!BH35=1,0,BH58)</f>
        <v>0</v>
      </c>
      <c r="BI60" s="19" t="n">
        <f aca="false">IF(Time!BI35=1,0,BI58)</f>
        <v>0</v>
      </c>
      <c r="BJ60" s="19" t="n">
        <f aca="false">IF(Time!BJ35=1,0,BJ58)</f>
        <v>0</v>
      </c>
      <c r="BK60" s="19" t="n">
        <f aca="false">IF(Time!BK35=1,0,BK58)</f>
        <v>0</v>
      </c>
      <c r="BL60" s="19" t="n">
        <f aca="false">IF(Time!BL35=1,0,BL58)</f>
        <v>0</v>
      </c>
      <c r="BM60" s="19" t="n">
        <f aca="false">IF(Time!BM35=1,0,BM58)</f>
        <v>0</v>
      </c>
      <c r="BN60" s="19" t="n">
        <f aca="false">IF(Time!BN35=1,0,BN58)</f>
        <v>0</v>
      </c>
      <c r="BO60" s="19" t="n">
        <f aca="false">IF(Time!BO35=1,0,BO58)</f>
        <v>0</v>
      </c>
      <c r="BP60" s="19" t="n">
        <f aca="false">IF(Time!BP35=1,0,BP58)</f>
        <v>0</v>
      </c>
      <c r="BQ60" s="19" t="n">
        <f aca="false">IF(Time!BQ35=1,0,BQ58)</f>
        <v>0</v>
      </c>
      <c r="BR60" s="19" t="n">
        <f aca="false">IF(Time!BR35=1,0,BR58)</f>
        <v>0</v>
      </c>
      <c r="BS60" s="19" t="n">
        <f aca="false">IF(Time!BS35=1,0,BS58)</f>
        <v>0</v>
      </c>
      <c r="BT60" s="19" t="n">
        <f aca="false">IF(Time!BT35=1,0,BT58)</f>
        <v>0</v>
      </c>
      <c r="BU60" s="19" t="n">
        <f aca="false">IF(Time!BU35=1,0,BU58)</f>
        <v>0</v>
      </c>
      <c r="BV60" s="19" t="n">
        <f aca="false">IF(Time!BV35=1,0,BV58)</f>
        <v>0</v>
      </c>
      <c r="BW60" s="19" t="n">
        <f aca="false">IF(Time!BW35=1,0,BW58)</f>
        <v>0</v>
      </c>
      <c r="BX60" s="19" t="n">
        <f aca="false">IF(Time!BX35=1,0,BX58)</f>
        <v>0</v>
      </c>
      <c r="BY60" s="19" t="n">
        <f aca="false">IF(Time!BY35=1,0,BY58)</f>
        <v>0</v>
      </c>
      <c r="BZ60" s="19" t="n">
        <f aca="false">IF(Time!BZ35=1,0,BZ58)</f>
        <v>0</v>
      </c>
      <c r="CA60" s="19" t="n">
        <f aca="false">IF(Time!CA35=1,0,CA58)</f>
        <v>0</v>
      </c>
      <c r="CB60" s="19" t="n">
        <f aca="false">IF(Time!CB35=1,0,CB58)</f>
        <v>0</v>
      </c>
      <c r="CC60" s="19" t="n">
        <f aca="false">IF(Time!CC35=1,0,CC58)</f>
        <v>0</v>
      </c>
      <c r="CD60" s="19" t="n">
        <f aca="false">IF(Time!CD35=1,0,CD58)</f>
        <v>0</v>
      </c>
      <c r="CE60" s="19" t="n">
        <f aca="false">IF(Time!CE35=1,0,CE58)</f>
        <v>0</v>
      </c>
      <c r="CF60" s="19" t="n">
        <f aca="false">IF(Time!CF35=1,0,CF58)</f>
        <v>0</v>
      </c>
      <c r="CG60" s="19" t="n">
        <f aca="false">IF(Time!CG35=1,0,CG58)</f>
        <v>0</v>
      </c>
      <c r="CH60" s="19" t="n">
        <f aca="false">IF(Time!CH35=1,0,CH58)</f>
        <v>0</v>
      </c>
      <c r="CI60" s="19" t="n">
        <f aca="false">IF(Time!CI35=1,0,CI58)</f>
        <v>0</v>
      </c>
      <c r="CJ60" s="19" t="n">
        <f aca="false">IF(Time!CJ35=1,0,CJ58)</f>
        <v>0</v>
      </c>
      <c r="CK60" s="19" t="n">
        <f aca="false">IF(Time!CK35=1,0,CK58)</f>
        <v>0</v>
      </c>
      <c r="CL60" s="19" t="n">
        <f aca="false">IF(Time!CL35=1,0,CL58)</f>
        <v>0</v>
      </c>
      <c r="CM60" s="19" t="n">
        <f aca="false">IF(Time!CM35=1,0,CM58)</f>
        <v>0</v>
      </c>
      <c r="CN60" s="19" t="n">
        <f aca="false">IF(Time!CN35=1,0,CN58)</f>
        <v>0</v>
      </c>
      <c r="CO60" s="19" t="n">
        <f aca="false">IF(Time!CO35=1,0,CO58)</f>
        <v>0</v>
      </c>
      <c r="CP60" s="19" t="n">
        <f aca="false">IF(Time!CP35=1,0,CP58)</f>
        <v>0</v>
      </c>
      <c r="CQ60" s="19" t="n">
        <f aca="false">IF(Time!CQ35=1,0,CQ58)</f>
        <v>0</v>
      </c>
      <c r="CR60" s="19" t="n">
        <f aca="false">IF(Time!CR35=1,0,CR58)</f>
        <v>2.69460679036244E-014</v>
      </c>
      <c r="CS60" s="19" t="n">
        <f aca="false">IF(Time!CS35=1,0,CS58)</f>
        <v>5.43387557172537E-014</v>
      </c>
      <c r="CT60" s="19" t="n">
        <f aca="false">IF(Time!CT35=1,0,CT58)</f>
        <v>8.12848236208781E-014</v>
      </c>
      <c r="CU60" s="19" t="n">
        <f aca="false">IF(Time!CU35=1,0,CU58)</f>
        <v>1.08677511434507E-013</v>
      </c>
      <c r="CV60" s="19" t="n">
        <f aca="false">IF(Time!CV35=1,0,CV58)</f>
        <v>1.35772452641467E-013</v>
      </c>
      <c r="CW60" s="19" t="n">
        <f aca="false">IF(Time!CW35=1,0,CW58)</f>
        <v>1.63165140455096E-013</v>
      </c>
      <c r="CX60" s="19" t="n">
        <f aca="false">IF(Time!CX35=1,0,CX58)</f>
        <v>1.9011120835872E-013</v>
      </c>
      <c r="CY60" s="19" t="n">
        <f aca="false">IF(Time!CY35=1,0,CY58)</f>
        <v>2.1750389617235E-013</v>
      </c>
      <c r="CZ60" s="19" t="n">
        <f aca="false">IF(Time!CZ35=1,0,CZ58)</f>
        <v>2.44449964075974E-013</v>
      </c>
      <c r="DA60" s="19" t="n">
        <f aca="false">IF(Time!DA35=1,0,DA58)</f>
        <v>2.71842651889603E-013</v>
      </c>
      <c r="DB60" s="19" t="n">
        <f aca="false">IF(Time!DB35=1,0,DB58)</f>
        <v>2.98788719793228E-013</v>
      </c>
    </row>
    <row r="61" customFormat="false" ht="15" hidden="false" customHeight="false" outlineLevel="0" collapsed="false">
      <c r="D61" s="0" t="s">
        <v>523</v>
      </c>
      <c r="E61" s="0" t="s">
        <v>44</v>
      </c>
      <c r="J61" s="19" t="n">
        <f aca="false">IF(Time!J35=1,0,J59)</f>
        <v>0</v>
      </c>
      <c r="K61" s="19" t="n">
        <f aca="false">IF(Time!K35=1,0,K59)</f>
        <v>0</v>
      </c>
      <c r="L61" s="19" t="n">
        <f aca="false">IF(Time!L35=1,0,L59)</f>
        <v>0</v>
      </c>
      <c r="M61" s="19" t="n">
        <f aca="false">IF(Time!M35=1,0,M59)</f>
        <v>0</v>
      </c>
      <c r="N61" s="19" t="n">
        <f aca="false">IF(Time!N35=1,0,N59)</f>
        <v>0</v>
      </c>
      <c r="O61" s="19" t="n">
        <f aca="false">IF(Time!O35=1,0,O59)</f>
        <v>0</v>
      </c>
      <c r="P61" s="19" t="n">
        <f aca="false">IF(Time!P35=1,0,P59)</f>
        <v>0</v>
      </c>
      <c r="Q61" s="19" t="n">
        <f aca="false">IF(Time!Q35=1,0,Q59)</f>
        <v>0</v>
      </c>
      <c r="R61" s="19" t="n">
        <f aca="false">IF(Time!R35=1,0,R59)</f>
        <v>0</v>
      </c>
      <c r="S61" s="19" t="n">
        <f aca="false">IF(Time!S35=1,0,S59)</f>
        <v>0</v>
      </c>
      <c r="T61" s="19" t="n">
        <f aca="false">IF(Time!T35=1,0,T59)</f>
        <v>0</v>
      </c>
      <c r="U61" s="19" t="n">
        <f aca="false">IF(Time!U35=1,0,U59)</f>
        <v>0</v>
      </c>
      <c r="V61" s="19" t="n">
        <f aca="false">IF(Time!V35=1,0,V59)</f>
        <v>0</v>
      </c>
      <c r="W61" s="19" t="n">
        <f aca="false">IF(Time!W35=1,0,W59)</f>
        <v>0</v>
      </c>
      <c r="X61" s="19" t="n">
        <f aca="false">IF(Time!X35=1,0,X59)</f>
        <v>0</v>
      </c>
      <c r="Y61" s="19" t="n">
        <f aca="false">IF(Time!Y35=1,0,Y59)</f>
        <v>0</v>
      </c>
      <c r="Z61" s="19" t="n">
        <f aca="false">IF(Time!Z35=1,0,Z59)</f>
        <v>0</v>
      </c>
      <c r="AA61" s="19" t="n">
        <f aca="false">IF(Time!AA35=1,0,AA59)</f>
        <v>0</v>
      </c>
      <c r="AB61" s="19" t="n">
        <f aca="false">IF(Time!AB35=1,0,AB59)</f>
        <v>0</v>
      </c>
      <c r="AC61" s="19" t="n">
        <f aca="false">IF(Time!AC35=1,0,AC59)</f>
        <v>0</v>
      </c>
      <c r="AD61" s="19" t="n">
        <f aca="false">IF(Time!AD35=1,0,AD59)</f>
        <v>0</v>
      </c>
      <c r="AE61" s="19" t="n">
        <f aca="false">IF(Time!AE35=1,0,AE59)</f>
        <v>0</v>
      </c>
      <c r="AF61" s="19" t="n">
        <f aca="false">IF(Time!AF35=1,0,AF59)</f>
        <v>0</v>
      </c>
      <c r="AG61" s="19" t="n">
        <f aca="false">IF(Time!AG35=1,0,AG59)</f>
        <v>0</v>
      </c>
      <c r="AH61" s="19" t="n">
        <f aca="false">IF(Time!AH35=1,0,AH59)</f>
        <v>0</v>
      </c>
      <c r="AI61" s="19" t="n">
        <f aca="false">IF(Time!AI35=1,0,AI59)</f>
        <v>0</v>
      </c>
      <c r="AJ61" s="19" t="n">
        <f aca="false">IF(Time!AJ35=1,0,AJ59)</f>
        <v>0</v>
      </c>
      <c r="AK61" s="19" t="n">
        <f aca="false">IF(Time!AK35=1,0,AK59)</f>
        <v>0</v>
      </c>
      <c r="AL61" s="19" t="n">
        <f aca="false">IF(Time!AL35=1,0,AL59)</f>
        <v>0</v>
      </c>
      <c r="AM61" s="19" t="n">
        <f aca="false">IF(Time!AM35=1,0,AM59)</f>
        <v>0</v>
      </c>
      <c r="AN61" s="19" t="n">
        <f aca="false">IF(Time!AN35=1,0,AN59)</f>
        <v>0</v>
      </c>
      <c r="AO61" s="19" t="n">
        <f aca="false">IF(Time!AO35=1,0,AO59)</f>
        <v>0</v>
      </c>
      <c r="AP61" s="19" t="n">
        <f aca="false">IF(Time!AP35=1,0,AP59)</f>
        <v>0</v>
      </c>
      <c r="AQ61" s="19" t="n">
        <f aca="false">IF(Time!AQ35=1,0,AQ59)</f>
        <v>0</v>
      </c>
      <c r="AR61" s="19" t="n">
        <f aca="false">IF(Time!AR35=1,0,AR59)</f>
        <v>0</v>
      </c>
      <c r="AS61" s="19" t="n">
        <f aca="false">IF(Time!AS35=1,0,AS59)</f>
        <v>0</v>
      </c>
      <c r="AT61" s="19" t="n">
        <f aca="false">IF(Time!AT35=1,0,AT59)</f>
        <v>0</v>
      </c>
      <c r="AU61" s="19" t="n">
        <f aca="false">IF(Time!AU35=1,0,AU59)</f>
        <v>0</v>
      </c>
      <c r="AV61" s="19" t="n">
        <f aca="false">IF(Time!AV35=1,0,AV59)</f>
        <v>0</v>
      </c>
      <c r="AW61" s="19" t="n">
        <f aca="false">IF(Time!AW35=1,0,AW59)</f>
        <v>0</v>
      </c>
      <c r="AX61" s="19" t="n">
        <f aca="false">IF(Time!AX35=1,0,AX59)</f>
        <v>0</v>
      </c>
      <c r="AY61" s="19" t="n">
        <f aca="false">IF(Time!AY35=1,0,AY59)</f>
        <v>0</v>
      </c>
      <c r="AZ61" s="19" t="n">
        <f aca="false">IF(Time!AZ35=1,0,AZ59)</f>
        <v>0</v>
      </c>
      <c r="BA61" s="19" t="n">
        <f aca="false">IF(Time!BA35=1,0,BA59)</f>
        <v>0</v>
      </c>
      <c r="BB61" s="19" t="n">
        <f aca="false">IF(Time!BB35=1,0,BB59)</f>
        <v>0</v>
      </c>
      <c r="BC61" s="19" t="n">
        <f aca="false">IF(Time!BC35=1,0,BC59)</f>
        <v>0</v>
      </c>
      <c r="BD61" s="19" t="n">
        <f aca="false">IF(Time!BD35=1,0,BD59)</f>
        <v>0</v>
      </c>
      <c r="BE61" s="19" t="n">
        <f aca="false">IF(Time!BE35=1,0,BE59)</f>
        <v>0</v>
      </c>
      <c r="BF61" s="19" t="n">
        <f aca="false">IF(Time!BF35=1,0,BF59)</f>
        <v>0</v>
      </c>
      <c r="BG61" s="19" t="n">
        <f aca="false">IF(Time!BG35=1,0,BG59)</f>
        <v>0</v>
      </c>
      <c r="BH61" s="19" t="n">
        <f aca="false">IF(Time!BH35=1,0,BH59)</f>
        <v>0</v>
      </c>
      <c r="BI61" s="19" t="n">
        <f aca="false">IF(Time!BI35=1,0,BI59)</f>
        <v>0</v>
      </c>
      <c r="BJ61" s="19" t="n">
        <f aca="false">IF(Time!BJ35=1,0,BJ59)</f>
        <v>0</v>
      </c>
      <c r="BK61" s="19" t="n">
        <f aca="false">IF(Time!BK35=1,0,BK59)</f>
        <v>0</v>
      </c>
      <c r="BL61" s="19" t="n">
        <f aca="false">IF(Time!BL35=1,0,BL59)</f>
        <v>0</v>
      </c>
      <c r="BM61" s="19" t="n">
        <f aca="false">IF(Time!BM35=1,0,BM59)</f>
        <v>0</v>
      </c>
      <c r="BN61" s="19" t="n">
        <f aca="false">IF(Time!BN35=1,0,BN59)</f>
        <v>0</v>
      </c>
      <c r="BO61" s="19" t="n">
        <f aca="false">IF(Time!BO35=1,0,BO59)</f>
        <v>0</v>
      </c>
      <c r="BP61" s="19" t="n">
        <f aca="false">IF(Time!BP35=1,0,BP59)</f>
        <v>0</v>
      </c>
      <c r="BQ61" s="19" t="n">
        <f aca="false">IF(Time!BQ35=1,0,BQ59)</f>
        <v>0</v>
      </c>
      <c r="BR61" s="19" t="n">
        <f aca="false">IF(Time!BR35=1,0,BR59)</f>
        <v>0</v>
      </c>
      <c r="BS61" s="19" t="n">
        <f aca="false">IF(Time!BS35=1,0,BS59)</f>
        <v>0</v>
      </c>
      <c r="BT61" s="19" t="n">
        <f aca="false">IF(Time!BT35=1,0,BT59)</f>
        <v>0</v>
      </c>
      <c r="BU61" s="19" t="n">
        <f aca="false">IF(Time!BU35=1,0,BU59)</f>
        <v>0</v>
      </c>
      <c r="BV61" s="19" t="n">
        <f aca="false">IF(Time!BV35=1,0,BV59)</f>
        <v>0</v>
      </c>
      <c r="BW61" s="19" t="n">
        <f aca="false">IF(Time!BW35=1,0,BW59)</f>
        <v>0</v>
      </c>
      <c r="BX61" s="19" t="n">
        <f aca="false">IF(Time!BX35=1,0,BX59)</f>
        <v>0</v>
      </c>
      <c r="BY61" s="19" t="n">
        <f aca="false">IF(Time!BY35=1,0,BY59)</f>
        <v>0</v>
      </c>
      <c r="BZ61" s="19" t="n">
        <f aca="false">IF(Time!BZ35=1,0,BZ59)</f>
        <v>0</v>
      </c>
      <c r="CA61" s="19" t="n">
        <f aca="false">IF(Time!CA35=1,0,CA59)</f>
        <v>0</v>
      </c>
      <c r="CB61" s="19" t="n">
        <f aca="false">IF(Time!CB35=1,0,CB59)</f>
        <v>0</v>
      </c>
      <c r="CC61" s="19" t="n">
        <f aca="false">IF(Time!CC35=1,0,CC59)</f>
        <v>0</v>
      </c>
      <c r="CD61" s="19" t="n">
        <f aca="false">IF(Time!CD35=1,0,CD59)</f>
        <v>0</v>
      </c>
      <c r="CE61" s="19" t="n">
        <f aca="false">IF(Time!CE35=1,0,CE59)</f>
        <v>0</v>
      </c>
      <c r="CF61" s="19" t="n">
        <f aca="false">IF(Time!CF35=1,0,CF59)</f>
        <v>0</v>
      </c>
      <c r="CG61" s="19" t="n">
        <f aca="false">IF(Time!CG35=1,0,CG59)</f>
        <v>0</v>
      </c>
      <c r="CH61" s="19" t="n">
        <f aca="false">IF(Time!CH35=1,0,CH59)</f>
        <v>0</v>
      </c>
      <c r="CI61" s="19" t="n">
        <f aca="false">IF(Time!CI35=1,0,CI59)</f>
        <v>0</v>
      </c>
      <c r="CJ61" s="19" t="n">
        <f aca="false">IF(Time!CJ35=1,0,CJ59)</f>
        <v>0</v>
      </c>
      <c r="CK61" s="19" t="n">
        <f aca="false">IF(Time!CK35=1,0,CK59)</f>
        <v>0</v>
      </c>
      <c r="CL61" s="19" t="n">
        <f aca="false">IF(Time!CL35=1,0,CL59)</f>
        <v>0</v>
      </c>
      <c r="CM61" s="19" t="n">
        <f aca="false">IF(Time!CM35=1,0,CM59)</f>
        <v>0</v>
      </c>
      <c r="CN61" s="19" t="n">
        <f aca="false">IF(Time!CN35=1,0,CN59)</f>
        <v>0</v>
      </c>
      <c r="CO61" s="19" t="n">
        <f aca="false">IF(Time!CO35=1,0,CO59)</f>
        <v>0</v>
      </c>
      <c r="CP61" s="19" t="n">
        <f aca="false">IF(Time!CP35=1,0,CP59)</f>
        <v>0</v>
      </c>
      <c r="CQ61" s="19" t="n">
        <f aca="false">IF(Time!CQ35=1,0,CQ59)</f>
        <v>0</v>
      </c>
      <c r="CR61" s="19" t="n">
        <f aca="false">IF(Time!CR35=1,0,CR59)</f>
        <v>2.81721312944683E-014</v>
      </c>
      <c r="CS61" s="19" t="n">
        <f aca="false">IF(Time!CS35=1,0,CS59)</f>
        <v>5.63442625889365E-014</v>
      </c>
      <c r="CT61" s="19" t="n">
        <f aca="false">IF(Time!CT35=1,0,CT59)</f>
        <v>8.45163938834048E-014</v>
      </c>
      <c r="CU61" s="19" t="n">
        <f aca="false">IF(Time!CU35=1,0,CU59)</f>
        <v>1.12688525177873E-013</v>
      </c>
      <c r="CV61" s="19" t="n">
        <f aca="false">IF(Time!CV35=1,0,CV59)</f>
        <v>1.40860656472341E-013</v>
      </c>
      <c r="CW61" s="19" t="n">
        <f aca="false">IF(Time!CW35=1,0,CW59)</f>
        <v>1.6903278776681E-013</v>
      </c>
      <c r="CX61" s="19" t="n">
        <f aca="false">IF(Time!CX35=1,0,CX59)</f>
        <v>1.97204919061278E-013</v>
      </c>
      <c r="CY61" s="19" t="n">
        <f aca="false">IF(Time!CY35=1,0,CY59)</f>
        <v>2.25377050355746E-013</v>
      </c>
      <c r="CZ61" s="19" t="n">
        <f aca="false">IF(Time!CZ35=1,0,CZ59)</f>
        <v>2.53549181650214E-013</v>
      </c>
      <c r="DA61" s="19" t="n">
        <f aca="false">IF(Time!DA35=1,0,DA59)</f>
        <v>2.81721312944683E-013</v>
      </c>
      <c r="DB61" s="19" t="n">
        <f aca="false">IF(Time!DB35=1,0,DB59)</f>
        <v>3.09893444239151E-013</v>
      </c>
    </row>
    <row r="62" customFormat="false" ht="15" hidden="false" customHeight="false" outlineLevel="0" collapsed="false">
      <c r="D62" s="3" t="s">
        <v>524</v>
      </c>
    </row>
    <row r="63" customFormat="false" ht="15" hidden="false" customHeight="false" outlineLevel="0" collapsed="false">
      <c r="D63" s="0" t="s">
        <v>525</v>
      </c>
      <c r="E63" s="0" t="s">
        <v>44</v>
      </c>
      <c r="G63" s="19" t="n">
        <f aca="false">SUM(J63:DB63)</f>
        <v>0</v>
      </c>
      <c r="J63" s="19" t="n">
        <f aca="false">J93*J10</f>
        <v>0</v>
      </c>
      <c r="K63" s="19" t="n">
        <f aca="false">K93*K10</f>
        <v>0</v>
      </c>
      <c r="L63" s="19" t="n">
        <f aca="false">L93*L10</f>
        <v>0</v>
      </c>
      <c r="M63" s="19" t="n">
        <f aca="false">M93*M10</f>
        <v>0</v>
      </c>
      <c r="N63" s="19" t="n">
        <f aca="false">N93*N10</f>
        <v>0</v>
      </c>
      <c r="O63" s="19" t="n">
        <f aca="false">O93*O10</f>
        <v>0</v>
      </c>
      <c r="P63" s="19" t="n">
        <f aca="false">P93*P10</f>
        <v>0</v>
      </c>
      <c r="Q63" s="19" t="n">
        <f aca="false">Q93*Q10</f>
        <v>0</v>
      </c>
      <c r="R63" s="19" t="n">
        <f aca="false">R93*R10</f>
        <v>0</v>
      </c>
      <c r="S63" s="19" t="n">
        <f aca="false">S93*S10</f>
        <v>0</v>
      </c>
      <c r="T63" s="19" t="n">
        <f aca="false">T93*T10</f>
        <v>0</v>
      </c>
      <c r="U63" s="19" t="n">
        <f aca="false">U93*U10</f>
        <v>0</v>
      </c>
      <c r="V63" s="19" t="n">
        <f aca="false">V93*V10</f>
        <v>0</v>
      </c>
      <c r="W63" s="19" t="n">
        <f aca="false">W93*W10</f>
        <v>0</v>
      </c>
      <c r="X63" s="19" t="n">
        <f aca="false">X93*X10</f>
        <v>0</v>
      </c>
      <c r="Y63" s="19" t="n">
        <f aca="false">Y93*Y10</f>
        <v>0</v>
      </c>
      <c r="Z63" s="19" t="n">
        <f aca="false">Z93*Z10</f>
        <v>0</v>
      </c>
      <c r="AA63" s="19" t="n">
        <f aca="false">AA93*AA10</f>
        <v>0</v>
      </c>
      <c r="AB63" s="19" t="n">
        <f aca="false">AB93*AB10</f>
        <v>0</v>
      </c>
      <c r="AC63" s="19" t="n">
        <f aca="false">AC93*AC10</f>
        <v>0</v>
      </c>
      <c r="AD63" s="19" t="n">
        <f aca="false">AD93*AD10</f>
        <v>0</v>
      </c>
      <c r="AE63" s="19" t="n">
        <f aca="false">AE93*AE10</f>
        <v>0</v>
      </c>
      <c r="AF63" s="19" t="n">
        <f aca="false">AF93*AF10</f>
        <v>0</v>
      </c>
      <c r="AG63" s="19" t="n">
        <f aca="false">AG93*AG10</f>
        <v>0</v>
      </c>
      <c r="AH63" s="19" t="n">
        <f aca="false">AH93*AH10</f>
        <v>0</v>
      </c>
      <c r="AI63" s="19" t="n">
        <f aca="false">AI93*AI10</f>
        <v>0</v>
      </c>
      <c r="AJ63" s="19" t="n">
        <f aca="false">AJ93*AJ10</f>
        <v>0</v>
      </c>
      <c r="AK63" s="19" t="n">
        <f aca="false">AK93*AK10</f>
        <v>0</v>
      </c>
      <c r="AL63" s="19" t="n">
        <f aca="false">AL93*AL10</f>
        <v>0</v>
      </c>
      <c r="AM63" s="19" t="n">
        <f aca="false">AM93*AM10</f>
        <v>0</v>
      </c>
      <c r="AN63" s="19" t="n">
        <f aca="false">AN93*AN10</f>
        <v>0</v>
      </c>
      <c r="AO63" s="19" t="n">
        <f aca="false">AO93*AO10</f>
        <v>0</v>
      </c>
      <c r="AP63" s="19" t="n">
        <f aca="false">AP93*AP10</f>
        <v>0</v>
      </c>
      <c r="AQ63" s="19" t="n">
        <f aca="false">AQ93*AQ10</f>
        <v>0</v>
      </c>
      <c r="AR63" s="19" t="n">
        <f aca="false">AR93*AR10</f>
        <v>0</v>
      </c>
      <c r="AS63" s="19" t="n">
        <f aca="false">AS93*AS10</f>
        <v>0</v>
      </c>
      <c r="AT63" s="19" t="n">
        <f aca="false">AT93*AT10</f>
        <v>0</v>
      </c>
      <c r="AU63" s="19" t="n">
        <f aca="false">AU93*AU10</f>
        <v>0</v>
      </c>
      <c r="AV63" s="19" t="n">
        <f aca="false">AV93*AV10</f>
        <v>0</v>
      </c>
      <c r="AW63" s="19" t="n">
        <f aca="false">AW93*AW10</f>
        <v>0</v>
      </c>
      <c r="AX63" s="19" t="n">
        <f aca="false">AX93*AX10</f>
        <v>0</v>
      </c>
      <c r="AY63" s="19" t="n">
        <f aca="false">AY93*AY10</f>
        <v>0</v>
      </c>
      <c r="AZ63" s="19" t="n">
        <f aca="false">AZ93*AZ10</f>
        <v>0</v>
      </c>
      <c r="BA63" s="19" t="n">
        <f aca="false">BA93*BA10</f>
        <v>0</v>
      </c>
      <c r="BB63" s="19" t="n">
        <f aca="false">BB93*BB10</f>
        <v>0</v>
      </c>
      <c r="BC63" s="19" t="n">
        <f aca="false">BC93*BC10</f>
        <v>0</v>
      </c>
      <c r="BD63" s="19" t="n">
        <f aca="false">BD93*BD10</f>
        <v>0</v>
      </c>
      <c r="BE63" s="19" t="n">
        <f aca="false">BE93*BE10</f>
        <v>0</v>
      </c>
      <c r="BF63" s="19" t="n">
        <f aca="false">BF93*BF10</f>
        <v>0</v>
      </c>
      <c r="BG63" s="19" t="n">
        <f aca="false">BG93*BG10</f>
        <v>0</v>
      </c>
      <c r="BH63" s="19" t="n">
        <f aca="false">BH93*BH10</f>
        <v>0</v>
      </c>
      <c r="BI63" s="19" t="n">
        <f aca="false">BI93*BI10</f>
        <v>0</v>
      </c>
      <c r="BJ63" s="19" t="n">
        <f aca="false">BJ93*BJ10</f>
        <v>0</v>
      </c>
      <c r="BK63" s="19" t="n">
        <f aca="false">BK93*BK10</f>
        <v>0</v>
      </c>
      <c r="BL63" s="19" t="n">
        <f aca="false">BL93*BL10</f>
        <v>0</v>
      </c>
      <c r="BM63" s="19" t="n">
        <f aca="false">BM93*BM10</f>
        <v>0</v>
      </c>
      <c r="BN63" s="19" t="n">
        <f aca="false">BN93*BN10</f>
        <v>0</v>
      </c>
      <c r="BO63" s="19" t="n">
        <f aca="false">BO93*BO10</f>
        <v>0</v>
      </c>
      <c r="BP63" s="19" t="n">
        <f aca="false">BP93*BP10</f>
        <v>0</v>
      </c>
      <c r="BQ63" s="19" t="n">
        <f aca="false">BQ93*BQ10</f>
        <v>0</v>
      </c>
      <c r="BR63" s="19" t="n">
        <f aca="false">BR93*BR10</f>
        <v>0</v>
      </c>
      <c r="BS63" s="19" t="n">
        <f aca="false">BS93*BS10</f>
        <v>0</v>
      </c>
      <c r="BT63" s="19" t="n">
        <f aca="false">BT93*BT10</f>
        <v>0</v>
      </c>
      <c r="BU63" s="19" t="n">
        <f aca="false">BU93*BU10</f>
        <v>0</v>
      </c>
      <c r="BV63" s="19" t="n">
        <f aca="false">BV93*BV10</f>
        <v>0</v>
      </c>
      <c r="BW63" s="19" t="n">
        <f aca="false">BW93*BW10</f>
        <v>0</v>
      </c>
      <c r="BX63" s="19" t="n">
        <f aca="false">BX93*BX10</f>
        <v>0</v>
      </c>
      <c r="BY63" s="19" t="n">
        <f aca="false">BY93*BY10</f>
        <v>0</v>
      </c>
      <c r="BZ63" s="19" t="n">
        <f aca="false">BZ93*BZ10</f>
        <v>0</v>
      </c>
      <c r="CA63" s="19" t="n">
        <f aca="false">CA93*CA10</f>
        <v>0</v>
      </c>
      <c r="CB63" s="19" t="n">
        <f aca="false">CB93*CB10</f>
        <v>0</v>
      </c>
      <c r="CC63" s="19" t="n">
        <f aca="false">CC93*CC10</f>
        <v>0</v>
      </c>
      <c r="CD63" s="19" t="n">
        <f aca="false">CD93*CD10</f>
        <v>0</v>
      </c>
      <c r="CE63" s="19" t="n">
        <f aca="false">CE93*CE10</f>
        <v>0</v>
      </c>
      <c r="CF63" s="19" t="n">
        <f aca="false">CF93*CF10</f>
        <v>0</v>
      </c>
      <c r="CG63" s="19" t="n">
        <f aca="false">CG93*CG10</f>
        <v>0</v>
      </c>
      <c r="CH63" s="19" t="n">
        <f aca="false">CH93*CH10</f>
        <v>0</v>
      </c>
      <c r="CI63" s="19" t="n">
        <f aca="false">CI93*CI10</f>
        <v>0</v>
      </c>
      <c r="CJ63" s="19" t="n">
        <f aca="false">CJ93*CJ10</f>
        <v>0</v>
      </c>
      <c r="CK63" s="19" t="n">
        <f aca="false">CK93*CK10</f>
        <v>0</v>
      </c>
      <c r="CL63" s="19" t="n">
        <f aca="false">CL93*CL10</f>
        <v>0</v>
      </c>
      <c r="CM63" s="19" t="n">
        <f aca="false">CM93*CM10</f>
        <v>0</v>
      </c>
      <c r="CN63" s="19" t="n">
        <f aca="false">CN93*CN10</f>
        <v>0</v>
      </c>
      <c r="CO63" s="19" t="n">
        <f aca="false">CO93*CO10</f>
        <v>0</v>
      </c>
      <c r="CP63" s="19" t="n">
        <f aca="false">CP93*CP10</f>
        <v>0</v>
      </c>
      <c r="CQ63" s="19" t="n">
        <f aca="false">CQ93*CQ10</f>
        <v>0</v>
      </c>
      <c r="CR63" s="19" t="n">
        <f aca="false">CR93*CR10</f>
        <v>0</v>
      </c>
      <c r="CS63" s="19" t="n">
        <f aca="false">CS93*CS10</f>
        <v>0</v>
      </c>
      <c r="CT63" s="19" t="n">
        <f aca="false">CT93*CT10</f>
        <v>0</v>
      </c>
      <c r="CU63" s="19" t="n">
        <f aca="false">CU93*CU10</f>
        <v>0</v>
      </c>
      <c r="CV63" s="19" t="n">
        <f aca="false">CV93*CV10</f>
        <v>0</v>
      </c>
      <c r="CW63" s="19" t="n">
        <f aca="false">CW93*CW10</f>
        <v>0</v>
      </c>
      <c r="CX63" s="19" t="n">
        <f aca="false">CX93*CX10</f>
        <v>0</v>
      </c>
      <c r="CY63" s="19" t="n">
        <f aca="false">CY93*CY10</f>
        <v>0</v>
      </c>
      <c r="CZ63" s="19" t="n">
        <f aca="false">CZ93*CZ10</f>
        <v>0</v>
      </c>
      <c r="DA63" s="19" t="n">
        <f aca="false">DA93*DA10</f>
        <v>0</v>
      </c>
      <c r="DB63" s="19" t="n">
        <f aca="false">DB93*DB10</f>
        <v>0</v>
      </c>
    </row>
    <row r="64" customFormat="false" ht="15" hidden="false" customHeight="false" outlineLevel="0" collapsed="false">
      <c r="D64" s="0" t="s">
        <v>526</v>
      </c>
      <c r="E64" s="0" t="s">
        <v>44</v>
      </c>
      <c r="G64" s="19" t="n">
        <f aca="false">SUM(J64:DB64)</f>
        <v>1117.75048922014</v>
      </c>
      <c r="J64" s="19" t="n">
        <f aca="false">J44+J51+J63</f>
        <v>0</v>
      </c>
      <c r="K64" s="19" t="n">
        <f aca="false">K44+K51+K63</f>
        <v>0</v>
      </c>
      <c r="L64" s="19" t="n">
        <f aca="false">L44+L51+L63</f>
        <v>0</v>
      </c>
      <c r="M64" s="19" t="n">
        <f aca="false">M44+M51+M63</f>
        <v>0</v>
      </c>
      <c r="N64" s="19" t="n">
        <f aca="false">N44+N51+N63</f>
        <v>0</v>
      </c>
      <c r="O64" s="19" t="n">
        <f aca="false">O44+O51+O63</f>
        <v>0</v>
      </c>
      <c r="P64" s="19" t="n">
        <f aca="false">P44+P51+P63</f>
        <v>0</v>
      </c>
      <c r="Q64" s="19" t="n">
        <f aca="false">Q44+Q51+Q63</f>
        <v>0</v>
      </c>
      <c r="R64" s="19" t="n">
        <f aca="false">R44+R51+R63</f>
        <v>0</v>
      </c>
      <c r="S64" s="19" t="n">
        <f aca="false">S44+S51+S63</f>
        <v>0</v>
      </c>
      <c r="T64" s="19" t="n">
        <f aca="false">T44+T51+T63</f>
        <v>0</v>
      </c>
      <c r="U64" s="19" t="n">
        <f aca="false">U44+U51+U63</f>
        <v>0</v>
      </c>
      <c r="V64" s="19" t="n">
        <f aca="false">V44+V51+V63</f>
        <v>0</v>
      </c>
      <c r="W64" s="19" t="n">
        <f aca="false">W44+W51+W63</f>
        <v>0</v>
      </c>
      <c r="X64" s="19" t="n">
        <f aca="false">X44+X51+X63</f>
        <v>0</v>
      </c>
      <c r="Y64" s="19" t="n">
        <f aca="false">Y44+Y51+Y63</f>
        <v>0</v>
      </c>
      <c r="Z64" s="19" t="n">
        <f aca="false">Z44+Z51+Z63</f>
        <v>11.6525256565208</v>
      </c>
      <c r="AA64" s="19" t="n">
        <f aca="false">AA44+AA51+AA63</f>
        <v>23.4318605458309</v>
      </c>
      <c r="AB64" s="19" t="n">
        <f aca="false">AB44+AB51+AB63</f>
        <v>23.3974937211642</v>
      </c>
      <c r="AC64" s="19" t="n">
        <f aca="false">AC44+AC51+AC63</f>
        <v>23.9321371074356</v>
      </c>
      <c r="AD64" s="19" t="n">
        <f aca="false">AD44+AD51+AD63</f>
        <v>23.7337665751819</v>
      </c>
      <c r="AE64" s="19" t="n">
        <f aca="false">AE44+AE51+AE63</f>
        <v>23.9321371074356</v>
      </c>
      <c r="AF64" s="19" t="n">
        <f aca="false">AF44+AF51+AF63</f>
        <v>23.6043472038103</v>
      </c>
      <c r="AG64" s="19" t="n">
        <f aca="false">AG44+AG51+AG63</f>
        <v>23.2317499211891</v>
      </c>
      <c r="AH64" s="19" t="n">
        <f aca="false">AH44+AH51+AH63</f>
        <v>23.0447987452329</v>
      </c>
      <c r="AI64" s="19" t="n">
        <f aca="false">AI44+AI51+AI63</f>
        <v>23.2317499211891</v>
      </c>
      <c r="AJ64" s="19" t="n">
        <f aca="false">AJ44+AJ51+AJ63</f>
        <v>23.107115803885</v>
      </c>
      <c r="AK64" s="19" t="n">
        <f aca="false">AK44+AK51+AK63</f>
        <v>23.2317499211891</v>
      </c>
      <c r="AL64" s="19" t="n">
        <f aca="false">AL44+AL51+AL63</f>
        <v>23.0447987452329</v>
      </c>
      <c r="AM64" s="19" t="n">
        <f aca="false">AM44+AM51+AM63</f>
        <v>23.2317499211891</v>
      </c>
      <c r="AN64" s="19" t="n">
        <f aca="false">AN44+AN51+AN63</f>
        <v>23.0447987452329</v>
      </c>
      <c r="AO64" s="19" t="n">
        <f aca="false">AO44+AO51+AO63</f>
        <v>23.2317499211891</v>
      </c>
      <c r="AP64" s="19" t="n">
        <f aca="false">AP44+AP51+AP63</f>
        <v>23.0447987452329</v>
      </c>
      <c r="AQ64" s="19" t="n">
        <f aca="false">AQ44+AQ51+AQ63</f>
        <v>23.2317499211891</v>
      </c>
      <c r="AR64" s="19" t="n">
        <f aca="false">AR44+AR51+AR63</f>
        <v>23.107115803885</v>
      </c>
      <c r="AS64" s="19" t="n">
        <f aca="false">AS44+AS51+AS63</f>
        <v>23.2317499211891</v>
      </c>
      <c r="AT64" s="19" t="n">
        <f aca="false">AT44+AT51+AT63</f>
        <v>23.0447987452329</v>
      </c>
      <c r="AU64" s="19" t="n">
        <f aca="false">AU44+AU51+AU63</f>
        <v>23.2317499211891</v>
      </c>
      <c r="AV64" s="19" t="n">
        <f aca="false">AV44+AV51+AV63</f>
        <v>23.0447987452329</v>
      </c>
      <c r="AW64" s="19" t="n">
        <f aca="false">AW44+AW51+AW63</f>
        <v>23.2315249742047</v>
      </c>
      <c r="AX64" s="19" t="n">
        <f aca="false">AX44+AX51+AX63</f>
        <v>22.9970595048638</v>
      </c>
      <c r="AY64" s="19" t="n">
        <f aca="false">AY44+AY51+AY63</f>
        <v>23.1269009193188</v>
      </c>
      <c r="AZ64" s="19" t="n">
        <f aca="false">AZ44+AZ51+AZ63</f>
        <v>22.954427471995</v>
      </c>
      <c r="BA64" s="19" t="n">
        <f aca="false">BA44+BA51+BA63</f>
        <v>23.0179198668328</v>
      </c>
      <c r="BB64" s="19" t="n">
        <f aca="false">BB44+BB51+BB63</f>
        <v>22.7435623651634</v>
      </c>
      <c r="BC64" s="19" t="n">
        <f aca="false">BC44+BC51+BC63</f>
        <v>22.8280758842078</v>
      </c>
      <c r="BD64" s="19" t="n">
        <f aca="false">BD44+BD51+BD63</f>
        <v>22.4289803371895</v>
      </c>
      <c r="BE64" s="19" t="n">
        <f aca="false">BE44+BE51+BE63</f>
        <v>22.380208426597</v>
      </c>
      <c r="BF64" s="19" t="n">
        <f aca="false">BF44+BF51+BF63</f>
        <v>21.8925823643306</v>
      </c>
      <c r="BG64" s="19" t="n">
        <f aca="false">BG44+BG51+BG63</f>
        <v>21.7815397189544</v>
      </c>
      <c r="BH64" s="19" t="n">
        <f aca="false">BH44+BH51+BH63</f>
        <v>21.2959155857181</v>
      </c>
      <c r="BI64" s="19" t="n">
        <f aca="false">BI44+BI51+BI63</f>
        <v>21.0189819476198</v>
      </c>
      <c r="BJ64" s="19" t="n">
        <f aca="false">BJ44+BJ51+BJ63</f>
        <v>20.4159868898293</v>
      </c>
      <c r="BK64" s="19" t="n">
        <f aca="false">BK44+BK51+BK63</f>
        <v>20.1253553273666</v>
      </c>
      <c r="BL64" s="19" t="n">
        <f aca="false">BL44+BL51+BL63</f>
        <v>19.4578561307385</v>
      </c>
      <c r="BM64" s="19" t="n">
        <f aca="false">BM44+BM51+BM63</f>
        <v>19.0852600897966</v>
      </c>
      <c r="BN64" s="19" t="n">
        <f aca="false">BN44+BN51+BN63</f>
        <v>18.3486150061961</v>
      </c>
      <c r="BO64" s="19" t="n">
        <f aca="false">BO44+BO51+BO63</f>
        <v>17.8868574434947</v>
      </c>
      <c r="BP64" s="19" t="n">
        <f aca="false">BP44+BP51+BP63</f>
        <v>17.3053210007497</v>
      </c>
      <c r="BQ64" s="19" t="n">
        <f aca="false">BQ44+BQ51+BQ63</f>
        <v>16.8849904393119</v>
      </c>
      <c r="BR64" s="19" t="n">
        <f aca="false">BR44+BR51+BR63</f>
        <v>16.1832606811113</v>
      </c>
      <c r="BS64" s="19" t="n">
        <f aca="false">BS44+BS51+BS63</f>
        <v>15.7344151661964</v>
      </c>
      <c r="BT64" s="19" t="n">
        <f aca="false">BT44+BT51+BT63</f>
        <v>14.9679870878636</v>
      </c>
      <c r="BU64" s="19" t="n">
        <f aca="false">BU44+BU51+BU63</f>
        <v>14.4332670344791</v>
      </c>
      <c r="BV64" s="19" t="n">
        <f aca="false">BV44+BV51+BV63</f>
        <v>13.4149976665686</v>
      </c>
      <c r="BW64" s="19" t="n">
        <f aca="false">BW44+BW51+BW63</f>
        <v>12.5968453533072</v>
      </c>
      <c r="BX64" s="19" t="n">
        <f aca="false">BX44+BX51+BX63</f>
        <v>11.5293358379485</v>
      </c>
      <c r="BY64" s="19" t="n">
        <f aca="false">BY44+BY51+BY63</f>
        <v>10.5601587339414</v>
      </c>
      <c r="BZ64" s="19" t="n">
        <f aca="false">BZ44+BZ51+BZ63</f>
        <v>9.3757958469796</v>
      </c>
      <c r="CA64" s="19" t="n">
        <f aca="false">CA44+CA51+CA63</f>
        <v>8.32214128834522</v>
      </c>
      <c r="CB64" s="19" t="n">
        <f aca="false">CB44+CB51+CB63</f>
        <v>7.16471958589641</v>
      </c>
      <c r="CC64" s="19" t="n">
        <f aca="false">CC44+CC51+CC63</f>
        <v>6.10310964916258</v>
      </c>
      <c r="CD64" s="19" t="n">
        <f aca="false">CD44+CD51+CD63</f>
        <v>4.85318848279665</v>
      </c>
      <c r="CE64" s="19" t="n">
        <f aca="false">CE44+CE51+CE63</f>
        <v>3.65941137523897</v>
      </c>
      <c r="CF64" s="19" t="n">
        <f aca="false">CF44+CF51+CF63</f>
        <v>2.3746727178586</v>
      </c>
      <c r="CG64" s="19" t="n">
        <f aca="false">CG44+CG51+CG63</f>
        <v>1.24796965190371</v>
      </c>
      <c r="CH64" s="19" t="n">
        <f aca="false">CH44+CH51+CH63</f>
        <v>5.51181991980927E-014</v>
      </c>
      <c r="CI64" s="19" t="n">
        <f aca="false">CI44+CI51+CI63</f>
        <v>5.55648191080975E-014</v>
      </c>
      <c r="CJ64" s="19" t="n">
        <f aca="false">CJ44+CJ51+CJ63</f>
        <v>5.51181991980927E-014</v>
      </c>
      <c r="CK64" s="19" t="n">
        <f aca="false">CK44+CK51+CK63</f>
        <v>5.55648191080975E-014</v>
      </c>
      <c r="CL64" s="19" t="n">
        <f aca="false">CL44+CL51+CL63</f>
        <v>5.51181991980927E-014</v>
      </c>
      <c r="CM64" s="19" t="n">
        <f aca="false">CM44+CM51+CM63</f>
        <v>5.55648191080975E-014</v>
      </c>
      <c r="CN64" s="19" t="n">
        <f aca="false">CN44+CN51+CN63</f>
        <v>5.52670725014276E-014</v>
      </c>
      <c r="CO64" s="19" t="n">
        <f aca="false">CO44+CO51+CO63</f>
        <v>5.55648191080975E-014</v>
      </c>
      <c r="CP64" s="19" t="n">
        <f aca="false">CP44+CP51+CP63</f>
        <v>5.51181991980927E-014</v>
      </c>
      <c r="CQ64" s="19" t="n">
        <f aca="false">CQ44+CQ51+CQ63</f>
        <v>5.55648191080975E-014</v>
      </c>
      <c r="CR64" s="19" t="n">
        <f aca="false">CR44+CR51+CR63</f>
        <v>5.51181991980927E-014</v>
      </c>
      <c r="CS64" s="19" t="n">
        <f aca="false">CS44+CS51+CS63</f>
        <v>5.55648191080975E-014</v>
      </c>
      <c r="CT64" s="19" t="n">
        <f aca="false">CT44+CT51+CT63</f>
        <v>5.51181991980927E-014</v>
      </c>
      <c r="CU64" s="19" t="n">
        <f aca="false">CU44+CU51+CU63</f>
        <v>5.55648191080975E-014</v>
      </c>
      <c r="CV64" s="19" t="n">
        <f aca="false">CV44+CV51+CV63</f>
        <v>5.52670725014276E-014</v>
      </c>
      <c r="CW64" s="19" t="n">
        <f aca="false">CW44+CW51+CW63</f>
        <v>5.55648191080975E-014</v>
      </c>
      <c r="CX64" s="19" t="n">
        <f aca="false">CX44+CX51+CX63</f>
        <v>5.51181991980927E-014</v>
      </c>
      <c r="CY64" s="19" t="n">
        <f aca="false">CY44+CY51+CY63</f>
        <v>5.55648191080975E-014</v>
      </c>
      <c r="CZ64" s="19" t="n">
        <f aca="false">CZ44+CZ51+CZ63</f>
        <v>5.51181991980927E-014</v>
      </c>
      <c r="DA64" s="19" t="n">
        <f aca="false">DA44+DA51+DA63</f>
        <v>5.55648191080975E-014</v>
      </c>
      <c r="DB64" s="19" t="n">
        <f aca="false">DB44+DB51+DB63</f>
        <v>5.51181991980927E-014</v>
      </c>
    </row>
    <row r="65" customFormat="false" ht="15" hidden="false" customHeight="false" outlineLevel="0" collapsed="false">
      <c r="D65" s="0" t="s">
        <v>527</v>
      </c>
      <c r="E65" s="0" t="s">
        <v>44</v>
      </c>
      <c r="G65" s="19" t="n">
        <f aca="false">SUM(J65:DB65)</f>
        <v>4.96198220069813</v>
      </c>
      <c r="J65" s="19" t="n">
        <f aca="false">IF(Inputs!$F$213=1,Inputs!$F$107,Inputs!$F$106)*J42*Time!J42+Funding!J20</f>
        <v>0</v>
      </c>
      <c r="K65" s="19" t="n">
        <f aca="false">IF(Inputs!$F$213=1,Inputs!$F$107,Inputs!$F$106)*K42*Time!K42+Funding!K20</f>
        <v>0</v>
      </c>
      <c r="L65" s="19" t="n">
        <f aca="false">IF(Inputs!$F$213=1,Inputs!$F$107,Inputs!$F$106)*L42*Time!L42+Funding!L20</f>
        <v>0</v>
      </c>
      <c r="M65" s="19" t="n">
        <f aca="false">IF(Inputs!$F$213=1,Inputs!$F$107,Inputs!$F$106)*M42*Time!M42+Funding!M20</f>
        <v>0</v>
      </c>
      <c r="N65" s="19" t="n">
        <f aca="false">IF(Inputs!$F$213=1,Inputs!$F$107,Inputs!$F$106)*N42*Time!N42+Funding!N20</f>
        <v>0</v>
      </c>
      <c r="O65" s="19" t="n">
        <f aca="false">IF(Inputs!$F$213=1,Inputs!$F$107,Inputs!$F$106)*O42*Time!O42+Funding!O20</f>
        <v>0</v>
      </c>
      <c r="P65" s="19" t="n">
        <f aca="false">IF(Inputs!$F$213=1,Inputs!$F$107,Inputs!$F$106)*P42*Time!P42+Funding!P20</f>
        <v>0</v>
      </c>
      <c r="Q65" s="19" t="n">
        <f aca="false">IF(Inputs!$F$213=1,Inputs!$F$107,Inputs!$F$106)*Q42*Time!Q42+Funding!Q20</f>
        <v>0</v>
      </c>
      <c r="R65" s="19" t="n">
        <f aca="false">IF(Inputs!$F$213=1,Inputs!$F$107,Inputs!$F$106)*R42*Time!R42+Funding!R20</f>
        <v>0</v>
      </c>
      <c r="S65" s="19" t="n">
        <f aca="false">IF(Inputs!$F$213=1,Inputs!$F$107,Inputs!$F$106)*S42*Time!S42+Funding!S20</f>
        <v>0</v>
      </c>
      <c r="T65" s="19" t="n">
        <f aca="false">IF(Inputs!$F$213=1,Inputs!$F$107,Inputs!$F$106)*T42*Time!T42+Funding!T20</f>
        <v>0</v>
      </c>
      <c r="U65" s="19" t="n">
        <f aca="false">IF(Inputs!$F$213=1,Inputs!$F$107,Inputs!$F$106)*U42*Time!U42+Funding!U20</f>
        <v>0</v>
      </c>
      <c r="V65" s="19" t="n">
        <f aca="false">IF(Inputs!$F$213=1,Inputs!$F$107,Inputs!$F$106)*V42*Time!V42+Funding!V20</f>
        <v>0</v>
      </c>
      <c r="W65" s="19" t="n">
        <f aca="false">IF(Inputs!$F$213=1,Inputs!$F$107,Inputs!$F$106)*W42*Time!W42+Funding!W20</f>
        <v>0</v>
      </c>
      <c r="X65" s="19" t="n">
        <f aca="false">IF(Inputs!$F$213=1,Inputs!$F$107,Inputs!$F$106)*X42*Time!X42+Funding!X20</f>
        <v>0</v>
      </c>
      <c r="Y65" s="19" t="n">
        <f aca="false">IF(Inputs!$F$213=1,Inputs!$F$107,Inputs!$F$106)*Y42*Time!Y42+Funding!Y20</f>
        <v>0</v>
      </c>
      <c r="Z65" s="19" t="n">
        <f aca="false">IF(Inputs!$F$213=1,Inputs!$F$107,Inputs!$F$106)*Z42*Time!Z42+Funding!Z20</f>
        <v>0</v>
      </c>
      <c r="AA65" s="19" t="n">
        <f aca="false">IF(Inputs!$F$213=1,Inputs!$F$107,Inputs!$F$106)*AA42*Time!AA42+Funding!AA20</f>
        <v>0</v>
      </c>
      <c r="AB65" s="19" t="n">
        <f aca="false">IF(Inputs!$F$213=1,Inputs!$F$107,Inputs!$F$106)*AB42*Time!AB42+Funding!AB20</f>
        <v>0</v>
      </c>
      <c r="AC65" s="19" t="n">
        <f aca="false">IF(Inputs!$F$213=1,Inputs!$F$107,Inputs!$F$106)*AC42*Time!AC42+Funding!AC20</f>
        <v>0</v>
      </c>
      <c r="AD65" s="19" t="n">
        <f aca="false">IF(Inputs!$F$213=1,Inputs!$F$107,Inputs!$F$106)*AD42*Time!AD42+Funding!AD20</f>
        <v>0</v>
      </c>
      <c r="AE65" s="19" t="n">
        <f aca="false">IF(Inputs!$F$213=1,Inputs!$F$107,Inputs!$F$106)*AE42*Time!AE42+Funding!AE20</f>
        <v>0</v>
      </c>
      <c r="AF65" s="19" t="n">
        <f aca="false">IF(Inputs!$F$213=1,Inputs!$F$107,Inputs!$F$106)*AF42*Time!AF42+Funding!AF20</f>
        <v>4.96198220069813</v>
      </c>
      <c r="AG65" s="19" t="n">
        <f aca="false">IF(Inputs!$F$213=1,Inputs!$F$107,Inputs!$F$106)*AG42*Time!AG42+Funding!AG20</f>
        <v>0</v>
      </c>
      <c r="AH65" s="19" t="n">
        <f aca="false">IF(Inputs!$F$213=1,Inputs!$F$107,Inputs!$F$106)*AH42*Time!AH42+Funding!AH20</f>
        <v>0</v>
      </c>
      <c r="AI65" s="19" t="n">
        <f aca="false">IF(Inputs!$F$213=1,Inputs!$F$107,Inputs!$F$106)*AI42*Time!AI42+Funding!AI20</f>
        <v>0</v>
      </c>
      <c r="AJ65" s="19" t="n">
        <f aca="false">IF(Inputs!$F$213=1,Inputs!$F$107,Inputs!$F$106)*AJ42*Time!AJ42+Funding!AJ20</f>
        <v>0</v>
      </c>
      <c r="AK65" s="19" t="n">
        <f aca="false">IF(Inputs!$F$213=1,Inputs!$F$107,Inputs!$F$106)*AK42*Time!AK42+Funding!AK20</f>
        <v>0</v>
      </c>
      <c r="AL65" s="19" t="n">
        <f aca="false">IF(Inputs!$F$213=1,Inputs!$F$107,Inputs!$F$106)*AL42*Time!AL42+Funding!AL20</f>
        <v>0</v>
      </c>
      <c r="AM65" s="19" t="n">
        <f aca="false">IF(Inputs!$F$213=1,Inputs!$F$107,Inputs!$F$106)*AM42*Time!AM42+Funding!AM20</f>
        <v>0</v>
      </c>
      <c r="AN65" s="19" t="n">
        <f aca="false">IF(Inputs!$F$213=1,Inputs!$F$107,Inputs!$F$106)*AN42*Time!AN42+Funding!AN20</f>
        <v>0</v>
      </c>
      <c r="AO65" s="19" t="n">
        <f aca="false">IF(Inputs!$F$213=1,Inputs!$F$107,Inputs!$F$106)*AO42*Time!AO42+Funding!AO20</f>
        <v>0</v>
      </c>
      <c r="AP65" s="19" t="n">
        <f aca="false">IF(Inputs!$F$213=1,Inputs!$F$107,Inputs!$F$106)*AP42*Time!AP42+Funding!AP20</f>
        <v>0</v>
      </c>
      <c r="AQ65" s="19" t="n">
        <f aca="false">IF(Inputs!$F$213=1,Inputs!$F$107,Inputs!$F$106)*AQ42*Time!AQ42+Funding!AQ20</f>
        <v>0</v>
      </c>
      <c r="AR65" s="19" t="n">
        <f aca="false">IF(Inputs!$F$213=1,Inputs!$F$107,Inputs!$F$106)*AR42*Time!AR42+Funding!AR20</f>
        <v>0</v>
      </c>
      <c r="AS65" s="19" t="n">
        <f aca="false">IF(Inputs!$F$213=1,Inputs!$F$107,Inputs!$F$106)*AS42*Time!AS42+Funding!AS20</f>
        <v>0</v>
      </c>
      <c r="AT65" s="19" t="n">
        <f aca="false">IF(Inputs!$F$213=1,Inputs!$F$107,Inputs!$F$106)*AT42*Time!AT42+Funding!AT20</f>
        <v>0</v>
      </c>
      <c r="AU65" s="19" t="n">
        <f aca="false">IF(Inputs!$F$213=1,Inputs!$F$107,Inputs!$F$106)*AU42*Time!AU42+Funding!AU20</f>
        <v>0</v>
      </c>
      <c r="AV65" s="19" t="n">
        <f aca="false">IF(Inputs!$F$213=1,Inputs!$F$107,Inputs!$F$106)*AV42*Time!AV42+Funding!AV20</f>
        <v>0</v>
      </c>
      <c r="AW65" s="19" t="n">
        <f aca="false">IF(Inputs!$F$213=1,Inputs!$F$107,Inputs!$F$106)*AW42*Time!AW42+Funding!AW20</f>
        <v>0</v>
      </c>
      <c r="AX65" s="19" t="n">
        <f aca="false">IF(Inputs!$F$213=1,Inputs!$F$107,Inputs!$F$106)*AX42*Time!AX42+Funding!AX20</f>
        <v>0</v>
      </c>
      <c r="AY65" s="19" t="n">
        <f aca="false">IF(Inputs!$F$213=1,Inputs!$F$107,Inputs!$F$106)*AY42*Time!AY42+Funding!AY20</f>
        <v>0</v>
      </c>
      <c r="AZ65" s="19" t="n">
        <f aca="false">IF(Inputs!$F$213=1,Inputs!$F$107,Inputs!$F$106)*AZ42*Time!AZ42+Funding!AZ20</f>
        <v>0</v>
      </c>
      <c r="BA65" s="19" t="n">
        <f aca="false">IF(Inputs!$F$213=1,Inputs!$F$107,Inputs!$F$106)*BA42*Time!BA42+Funding!BA20</f>
        <v>0</v>
      </c>
      <c r="BB65" s="19" t="n">
        <f aca="false">IF(Inputs!$F$213=1,Inputs!$F$107,Inputs!$F$106)*BB42*Time!BB42+Funding!BB20</f>
        <v>0</v>
      </c>
      <c r="BC65" s="19" t="n">
        <f aca="false">IF(Inputs!$F$213=1,Inputs!$F$107,Inputs!$F$106)*BC42*Time!BC42+Funding!BC20</f>
        <v>0</v>
      </c>
      <c r="BD65" s="19" t="n">
        <f aca="false">IF(Inputs!$F$213=1,Inputs!$F$107,Inputs!$F$106)*BD42*Time!BD42+Funding!BD20</f>
        <v>0</v>
      </c>
      <c r="BE65" s="19" t="n">
        <f aca="false">IF(Inputs!$F$213=1,Inputs!$F$107,Inputs!$F$106)*BE42*Time!BE42+Funding!BE20</f>
        <v>0</v>
      </c>
      <c r="BF65" s="19" t="n">
        <f aca="false">IF(Inputs!$F$213=1,Inputs!$F$107,Inputs!$F$106)*BF42*Time!BF42+Funding!BF20</f>
        <v>0</v>
      </c>
      <c r="BG65" s="19" t="n">
        <f aca="false">IF(Inputs!$F$213=1,Inputs!$F$107,Inputs!$F$106)*BG42*Time!BG42+Funding!BG20</f>
        <v>0</v>
      </c>
      <c r="BH65" s="19" t="n">
        <f aca="false">IF(Inputs!$F$213=1,Inputs!$F$107,Inputs!$F$106)*BH42*Time!BH42+Funding!BH20</f>
        <v>0</v>
      </c>
      <c r="BI65" s="19" t="n">
        <f aca="false">IF(Inputs!$F$213=1,Inputs!$F$107,Inputs!$F$106)*BI42*Time!BI42+Funding!BI20</f>
        <v>0</v>
      </c>
      <c r="BJ65" s="19" t="n">
        <f aca="false">IF(Inputs!$F$213=1,Inputs!$F$107,Inputs!$F$106)*BJ42*Time!BJ42+Funding!BJ20</f>
        <v>0</v>
      </c>
      <c r="BK65" s="19" t="n">
        <f aca="false">IF(Inputs!$F$213=1,Inputs!$F$107,Inputs!$F$106)*BK42*Time!BK42+Funding!BK20</f>
        <v>0</v>
      </c>
      <c r="BL65" s="19" t="n">
        <f aca="false">IF(Inputs!$F$213=1,Inputs!$F$107,Inputs!$F$106)*BL42*Time!BL42+Funding!BL20</f>
        <v>0</v>
      </c>
      <c r="BM65" s="19" t="n">
        <f aca="false">IF(Inputs!$F$213=1,Inputs!$F$107,Inputs!$F$106)*BM42*Time!BM42+Funding!BM20</f>
        <v>0</v>
      </c>
      <c r="BN65" s="19" t="n">
        <f aca="false">IF(Inputs!$F$213=1,Inputs!$F$107,Inputs!$F$106)*BN42*Time!BN42+Funding!BN20</f>
        <v>0</v>
      </c>
      <c r="BO65" s="19" t="n">
        <f aca="false">IF(Inputs!$F$213=1,Inputs!$F$107,Inputs!$F$106)*BO42*Time!BO42+Funding!BO20</f>
        <v>0</v>
      </c>
      <c r="BP65" s="19" t="n">
        <f aca="false">IF(Inputs!$F$213=1,Inputs!$F$107,Inputs!$F$106)*BP42*Time!BP42+Funding!BP20</f>
        <v>0</v>
      </c>
      <c r="BQ65" s="19" t="n">
        <f aca="false">IF(Inputs!$F$213=1,Inputs!$F$107,Inputs!$F$106)*BQ42*Time!BQ42+Funding!BQ20</f>
        <v>0</v>
      </c>
      <c r="BR65" s="19" t="n">
        <f aca="false">IF(Inputs!$F$213=1,Inputs!$F$107,Inputs!$F$106)*BR42*Time!BR42+Funding!BR20</f>
        <v>0</v>
      </c>
      <c r="BS65" s="19" t="n">
        <f aca="false">IF(Inputs!$F$213=1,Inputs!$F$107,Inputs!$F$106)*BS42*Time!BS42+Funding!BS20</f>
        <v>0</v>
      </c>
      <c r="BT65" s="19" t="n">
        <f aca="false">IF(Inputs!$F$213=1,Inputs!$F$107,Inputs!$F$106)*BT42*Time!BT42+Funding!BT20</f>
        <v>0</v>
      </c>
      <c r="BU65" s="19" t="n">
        <f aca="false">IF(Inputs!$F$213=1,Inputs!$F$107,Inputs!$F$106)*BU42*Time!BU42+Funding!BU20</f>
        <v>0</v>
      </c>
      <c r="BV65" s="19" t="n">
        <f aca="false">IF(Inputs!$F$213=1,Inputs!$F$107,Inputs!$F$106)*BV42*Time!BV42+Funding!BV20</f>
        <v>0</v>
      </c>
      <c r="BW65" s="19" t="n">
        <f aca="false">IF(Inputs!$F$213=1,Inputs!$F$107,Inputs!$F$106)*BW42*Time!BW42+Funding!BW20</f>
        <v>0</v>
      </c>
      <c r="BX65" s="19" t="n">
        <f aca="false">IF(Inputs!$F$213=1,Inputs!$F$107,Inputs!$F$106)*BX42*Time!BX42+Funding!BX20</f>
        <v>0</v>
      </c>
      <c r="BY65" s="19" t="n">
        <f aca="false">IF(Inputs!$F$213=1,Inputs!$F$107,Inputs!$F$106)*BY42*Time!BY42+Funding!BY20</f>
        <v>0</v>
      </c>
      <c r="BZ65" s="19" t="n">
        <f aca="false">IF(Inputs!$F$213=1,Inputs!$F$107,Inputs!$F$106)*BZ42*Time!BZ42+Funding!BZ20</f>
        <v>0</v>
      </c>
      <c r="CA65" s="19" t="n">
        <f aca="false">IF(Inputs!$F$213=1,Inputs!$F$107,Inputs!$F$106)*CA42*Time!CA42+Funding!CA20</f>
        <v>0</v>
      </c>
      <c r="CB65" s="19" t="n">
        <f aca="false">IF(Inputs!$F$213=1,Inputs!$F$107,Inputs!$F$106)*CB42*Time!CB42+Funding!CB20</f>
        <v>0</v>
      </c>
      <c r="CC65" s="19" t="n">
        <f aca="false">IF(Inputs!$F$213=1,Inputs!$F$107,Inputs!$F$106)*CC42*Time!CC42+Funding!CC20</f>
        <v>0</v>
      </c>
      <c r="CD65" s="19" t="n">
        <f aca="false">IF(Inputs!$F$213=1,Inputs!$F$107,Inputs!$F$106)*CD42*Time!CD42+Funding!CD20</f>
        <v>0</v>
      </c>
      <c r="CE65" s="19" t="n">
        <f aca="false">IF(Inputs!$F$213=1,Inputs!$F$107,Inputs!$F$106)*CE42*Time!CE42+Funding!CE20</f>
        <v>0</v>
      </c>
      <c r="CF65" s="19" t="n">
        <f aca="false">IF(Inputs!$F$213=1,Inputs!$F$107,Inputs!$F$106)*CF42*Time!CF42+Funding!CF20</f>
        <v>0</v>
      </c>
      <c r="CG65" s="19" t="n">
        <f aca="false">IF(Inputs!$F$213=1,Inputs!$F$107,Inputs!$F$106)*CG42*Time!CG42+Funding!CG20</f>
        <v>0</v>
      </c>
      <c r="CH65" s="19" t="n">
        <f aca="false">IF(Inputs!$F$213=1,Inputs!$F$107,Inputs!$F$106)*CH42*Time!CH42+Funding!CH20</f>
        <v>0</v>
      </c>
      <c r="CI65" s="19" t="n">
        <f aca="false">IF(Inputs!$F$213=1,Inputs!$F$107,Inputs!$F$106)*CI42*Time!CI42+Funding!CI20</f>
        <v>0</v>
      </c>
      <c r="CJ65" s="19" t="n">
        <f aca="false">IF(Inputs!$F$213=1,Inputs!$F$107,Inputs!$F$106)*CJ42*Time!CJ42+Funding!CJ20</f>
        <v>0</v>
      </c>
      <c r="CK65" s="19" t="n">
        <f aca="false">IF(Inputs!$F$213=1,Inputs!$F$107,Inputs!$F$106)*CK42*Time!CK42+Funding!CK20</f>
        <v>0</v>
      </c>
      <c r="CL65" s="19" t="n">
        <f aca="false">IF(Inputs!$F$213=1,Inputs!$F$107,Inputs!$F$106)*CL42*Time!CL42+Funding!CL20</f>
        <v>0</v>
      </c>
      <c r="CM65" s="19" t="n">
        <f aca="false">IF(Inputs!$F$213=1,Inputs!$F$107,Inputs!$F$106)*CM42*Time!CM42+Funding!CM20</f>
        <v>0</v>
      </c>
      <c r="CN65" s="19" t="n">
        <f aca="false">IF(Inputs!$F$213=1,Inputs!$F$107,Inputs!$F$106)*CN42*Time!CN42+Funding!CN20</f>
        <v>0</v>
      </c>
      <c r="CO65" s="19" t="n">
        <f aca="false">IF(Inputs!$F$213=1,Inputs!$F$107,Inputs!$F$106)*CO42*Time!CO42+Funding!CO20</f>
        <v>0</v>
      </c>
      <c r="CP65" s="19" t="n">
        <f aca="false">IF(Inputs!$F$213=1,Inputs!$F$107,Inputs!$F$106)*CP42*Time!CP42+Funding!CP20</f>
        <v>0</v>
      </c>
      <c r="CQ65" s="19" t="n">
        <f aca="false">IF(Inputs!$F$213=1,Inputs!$F$107,Inputs!$F$106)*CQ42*Time!CQ42+Funding!CQ20</f>
        <v>0</v>
      </c>
      <c r="CR65" s="19" t="n">
        <f aca="false">IF(Inputs!$F$213=1,Inputs!$F$107,Inputs!$F$106)*CR42*Time!CR42+Funding!CR20</f>
        <v>0</v>
      </c>
      <c r="CS65" s="19" t="n">
        <f aca="false">IF(Inputs!$F$213=1,Inputs!$F$107,Inputs!$F$106)*CS42*Time!CS42+Funding!CS20</f>
        <v>0</v>
      </c>
      <c r="CT65" s="19" t="n">
        <f aca="false">IF(Inputs!$F$213=1,Inputs!$F$107,Inputs!$F$106)*CT42*Time!CT42+Funding!CT20</f>
        <v>0</v>
      </c>
      <c r="CU65" s="19" t="n">
        <f aca="false">IF(Inputs!$F$213=1,Inputs!$F$107,Inputs!$F$106)*CU42*Time!CU42+Funding!CU20</f>
        <v>0</v>
      </c>
      <c r="CV65" s="19" t="n">
        <f aca="false">IF(Inputs!$F$213=1,Inputs!$F$107,Inputs!$F$106)*CV42*Time!CV42+Funding!CV20</f>
        <v>0</v>
      </c>
      <c r="CW65" s="19" t="n">
        <f aca="false">IF(Inputs!$F$213=1,Inputs!$F$107,Inputs!$F$106)*CW42*Time!CW42+Funding!CW20</f>
        <v>0</v>
      </c>
      <c r="CX65" s="19" t="n">
        <f aca="false">IF(Inputs!$F$213=1,Inputs!$F$107,Inputs!$F$106)*CX42*Time!CX42+Funding!CX20</f>
        <v>0</v>
      </c>
      <c r="CY65" s="19" t="n">
        <f aca="false">IF(Inputs!$F$213=1,Inputs!$F$107,Inputs!$F$106)*CY42*Time!CY42+Funding!CY20</f>
        <v>0</v>
      </c>
      <c r="CZ65" s="19" t="n">
        <f aca="false">IF(Inputs!$F$213=1,Inputs!$F$107,Inputs!$F$106)*CZ42*Time!CZ42+Funding!CZ20</f>
        <v>0</v>
      </c>
      <c r="DA65" s="19" t="n">
        <f aca="false">IF(Inputs!$F$213=1,Inputs!$F$107,Inputs!$F$106)*DA42*Time!DA42+Funding!DA20</f>
        <v>0</v>
      </c>
      <c r="DB65" s="19" t="n">
        <f aca="false">IF(Inputs!$F$213=1,Inputs!$F$107,Inputs!$F$106)*DB42*Time!DB42+Funding!DB20</f>
        <v>0</v>
      </c>
    </row>
    <row r="66" customFormat="false" ht="15" hidden="false" customHeight="false" outlineLevel="0" collapsed="false">
      <c r="D66" s="0" t="s">
        <v>528</v>
      </c>
      <c r="E66" s="0" t="s">
        <v>44</v>
      </c>
      <c r="G66" s="19" t="n">
        <f aca="false">SUM(J66:DB66)</f>
        <v>0</v>
      </c>
      <c r="J66" s="19" t="n">
        <f aca="false">IF(Time!J23=1,MIN(J91,J93),0)</f>
        <v>0</v>
      </c>
      <c r="K66" s="19" t="n">
        <f aca="false">IF(Time!K23=1,MIN(K91,K93),0)</f>
        <v>0</v>
      </c>
      <c r="L66" s="19" t="n">
        <f aca="false">IF(Time!L23=1,MIN(L91,L93),0)</f>
        <v>0</v>
      </c>
      <c r="M66" s="19" t="n">
        <f aca="false">IF(Time!M23=1,MIN(M91,M93),0)</f>
        <v>0</v>
      </c>
      <c r="N66" s="19" t="n">
        <f aca="false">IF(Time!N23=1,MIN(N91,N93),0)</f>
        <v>0</v>
      </c>
      <c r="O66" s="19" t="n">
        <f aca="false">IF(Time!O23=1,MIN(O91,O93),0)</f>
        <v>0</v>
      </c>
      <c r="P66" s="19" t="n">
        <f aca="false">IF(Time!P23=1,MIN(P91,P93),0)</f>
        <v>0</v>
      </c>
      <c r="Q66" s="19" t="n">
        <f aca="false">IF(Time!Q23=1,MIN(Q91,Q93),0)</f>
        <v>0</v>
      </c>
      <c r="R66" s="19" t="n">
        <f aca="false">IF(Time!R23=1,MIN(R91,R93),0)</f>
        <v>0</v>
      </c>
      <c r="S66" s="19" t="n">
        <f aca="false">IF(Time!S23=1,MIN(S91,S93),0)</f>
        <v>0</v>
      </c>
      <c r="T66" s="19" t="n">
        <f aca="false">IF(Time!T23=1,MIN(T91,T93),0)</f>
        <v>0</v>
      </c>
      <c r="U66" s="19" t="n">
        <f aca="false">IF(Time!U23=1,MIN(U91,U93),0)</f>
        <v>0</v>
      </c>
      <c r="V66" s="19" t="n">
        <f aca="false">IF(Time!V23=1,MIN(V91,V93),0)</f>
        <v>0</v>
      </c>
      <c r="W66" s="19" t="n">
        <f aca="false">IF(Time!W23=1,MIN(W91,W93),0)</f>
        <v>0</v>
      </c>
      <c r="X66" s="19" t="n">
        <f aca="false">IF(Time!X23=1,MIN(X91,X93),0)</f>
        <v>0</v>
      </c>
      <c r="Y66" s="19" t="n">
        <f aca="false">IF(Time!Y23=1,MIN(Y91,Y93),0)</f>
        <v>0</v>
      </c>
      <c r="Z66" s="19" t="n">
        <f aca="false">IF(Time!Z23=1,MIN(Z91,Z93),0)</f>
        <v>0</v>
      </c>
      <c r="AA66" s="19" t="n">
        <f aca="false">IF(Time!AA23=1,MIN(AA91,AA93),0)</f>
        <v>0</v>
      </c>
      <c r="AB66" s="19" t="n">
        <f aca="false">IF(Time!AB23=1,MIN(AB91,AB93),0)</f>
        <v>0</v>
      </c>
      <c r="AC66" s="19" t="n">
        <f aca="false">IF(Time!AC23=1,MIN(AC91,AC93),0)</f>
        <v>0</v>
      </c>
      <c r="AD66" s="19" t="n">
        <f aca="false">IF(Time!AD23=1,MIN(AD91,AD93),0)</f>
        <v>0</v>
      </c>
      <c r="AE66" s="19" t="n">
        <f aca="false">IF(Time!AE23=1,MIN(AE91,AE93),0)</f>
        <v>0</v>
      </c>
      <c r="AF66" s="19" t="n">
        <f aca="false">IF(Time!AF23=1,MIN(AF91,AF93),0)</f>
        <v>0</v>
      </c>
      <c r="AG66" s="19" t="n">
        <f aca="false">IF(Time!AG23=1,MIN(AG91,AG93),0)</f>
        <v>0</v>
      </c>
      <c r="AH66" s="19" t="n">
        <f aca="false">IF(Time!AH23=1,MIN(AH91,AH93),0)</f>
        <v>0</v>
      </c>
      <c r="AI66" s="19" t="n">
        <f aca="false">IF(Time!AI23=1,MIN(AI91,AI93),0)</f>
        <v>0</v>
      </c>
      <c r="AJ66" s="19" t="n">
        <f aca="false">IF(Time!AJ23=1,MIN(AJ91,AJ93),0)</f>
        <v>0</v>
      </c>
      <c r="AK66" s="19" t="n">
        <f aca="false">IF(Time!AK23=1,MIN(AK91,AK93),0)</f>
        <v>0</v>
      </c>
      <c r="AL66" s="19" t="n">
        <f aca="false">IF(Time!AL23=1,MIN(AL91,AL93),0)</f>
        <v>0</v>
      </c>
      <c r="AM66" s="19" t="n">
        <f aca="false">IF(Time!AM23=1,MIN(AM91,AM93),0)</f>
        <v>0</v>
      </c>
      <c r="AN66" s="19" t="n">
        <f aca="false">IF(Time!AN23=1,MIN(AN91,AN93),0)</f>
        <v>0</v>
      </c>
      <c r="AO66" s="19" t="n">
        <f aca="false">IF(Time!AO23=1,MIN(AO91,AO93),0)</f>
        <v>0</v>
      </c>
      <c r="AP66" s="19" t="n">
        <f aca="false">IF(Time!AP23=1,MIN(AP91,AP93),0)</f>
        <v>0</v>
      </c>
      <c r="AQ66" s="19" t="n">
        <f aca="false">IF(Time!AQ23=1,MIN(AQ91,AQ93),0)</f>
        <v>0</v>
      </c>
      <c r="AR66" s="19" t="n">
        <f aca="false">IF(Time!AR23=1,MIN(AR91,AR93),0)</f>
        <v>0</v>
      </c>
      <c r="AS66" s="19" t="n">
        <f aca="false">IF(Time!AS23=1,MIN(AS91,AS93),0)</f>
        <v>0</v>
      </c>
      <c r="AT66" s="19" t="n">
        <f aca="false">IF(Time!AT23=1,MIN(AT91,AT93),0)</f>
        <v>0</v>
      </c>
      <c r="AU66" s="19" t="n">
        <f aca="false">IF(Time!AU23=1,MIN(AU91,AU93),0)</f>
        <v>0</v>
      </c>
      <c r="AV66" s="19" t="n">
        <f aca="false">IF(Time!AV23=1,MIN(AV91,AV93),0)</f>
        <v>0</v>
      </c>
      <c r="AW66" s="19" t="n">
        <f aca="false">IF(Time!AW23=1,MIN(AW91,AW93),0)</f>
        <v>0</v>
      </c>
      <c r="AX66" s="19" t="n">
        <f aca="false">IF(Time!AX23=1,MIN(AX91,AX93),0)</f>
        <v>0</v>
      </c>
      <c r="AY66" s="19" t="n">
        <f aca="false">IF(Time!AY23=1,MIN(AY91,AY93),0)</f>
        <v>0</v>
      </c>
      <c r="AZ66" s="19" t="n">
        <f aca="false">IF(Time!AZ23=1,MIN(AZ91,AZ93),0)</f>
        <v>0</v>
      </c>
      <c r="BA66" s="19" t="n">
        <f aca="false">IF(Time!BA23=1,MIN(BA91,BA93),0)</f>
        <v>0</v>
      </c>
      <c r="BB66" s="19" t="n">
        <f aca="false">IF(Time!BB23=1,MIN(BB91,BB93),0)</f>
        <v>0</v>
      </c>
      <c r="BC66" s="19" t="n">
        <f aca="false">IF(Time!BC23=1,MIN(BC91,BC93),0)</f>
        <v>0</v>
      </c>
      <c r="BD66" s="19" t="n">
        <f aca="false">IF(Time!BD23=1,MIN(BD91,BD93),0)</f>
        <v>0</v>
      </c>
      <c r="BE66" s="19" t="n">
        <f aca="false">IF(Time!BE23=1,MIN(BE91,BE93),0)</f>
        <v>0</v>
      </c>
      <c r="BF66" s="19" t="n">
        <f aca="false">IF(Time!BF23=1,MIN(BF91,BF93),0)</f>
        <v>0</v>
      </c>
      <c r="BG66" s="19" t="n">
        <f aca="false">IF(Time!BG23=1,MIN(BG91,BG93),0)</f>
        <v>0</v>
      </c>
      <c r="BH66" s="19" t="n">
        <f aca="false">IF(Time!BH23=1,MIN(BH91,BH93),0)</f>
        <v>0</v>
      </c>
      <c r="BI66" s="19" t="n">
        <f aca="false">IF(Time!BI23=1,MIN(BI91,BI93),0)</f>
        <v>0</v>
      </c>
      <c r="BJ66" s="19" t="n">
        <f aca="false">IF(Time!BJ23=1,MIN(BJ91,BJ93),0)</f>
        <v>0</v>
      </c>
      <c r="BK66" s="19" t="n">
        <f aca="false">IF(Time!BK23=1,MIN(BK91,BK93),0)</f>
        <v>0</v>
      </c>
      <c r="BL66" s="19" t="n">
        <f aca="false">IF(Time!BL23=1,MIN(BL91,BL93),0)</f>
        <v>0</v>
      </c>
      <c r="BM66" s="19" t="n">
        <f aca="false">IF(Time!BM23=1,MIN(BM91,BM93),0)</f>
        <v>0</v>
      </c>
      <c r="BN66" s="19" t="n">
        <f aca="false">IF(Time!BN23=1,MIN(BN91,BN93),0)</f>
        <v>0</v>
      </c>
      <c r="BO66" s="19" t="n">
        <f aca="false">IF(Time!BO23=1,MIN(BO91,BO93),0)</f>
        <v>0</v>
      </c>
      <c r="BP66" s="19" t="n">
        <f aca="false">IF(Time!BP23=1,MIN(BP91,BP93),0)</f>
        <v>0</v>
      </c>
      <c r="BQ66" s="19" t="n">
        <f aca="false">IF(Time!BQ23=1,MIN(BQ91,BQ93),0)</f>
        <v>0</v>
      </c>
      <c r="BR66" s="19" t="n">
        <f aca="false">IF(Time!BR23=1,MIN(BR91,BR93),0)</f>
        <v>0</v>
      </c>
      <c r="BS66" s="19" t="n">
        <f aca="false">IF(Time!BS23=1,MIN(BS91,BS93),0)</f>
        <v>0</v>
      </c>
      <c r="BT66" s="19" t="n">
        <f aca="false">IF(Time!BT23=1,MIN(BT91,BT93),0)</f>
        <v>0</v>
      </c>
      <c r="BU66" s="19" t="n">
        <f aca="false">IF(Time!BU23=1,MIN(BU91,BU93),0)</f>
        <v>0</v>
      </c>
      <c r="BV66" s="19" t="n">
        <f aca="false">IF(Time!BV23=1,MIN(BV91,BV93),0)</f>
        <v>0</v>
      </c>
      <c r="BW66" s="19" t="n">
        <f aca="false">IF(Time!BW23=1,MIN(BW91,BW93),0)</f>
        <v>0</v>
      </c>
      <c r="BX66" s="19" t="n">
        <f aca="false">IF(Time!BX23=1,MIN(BX91,BX93),0)</f>
        <v>0</v>
      </c>
      <c r="BY66" s="19" t="n">
        <f aca="false">IF(Time!BY23=1,MIN(BY91,BY93),0)</f>
        <v>0</v>
      </c>
      <c r="BZ66" s="19" t="n">
        <f aca="false">IF(Time!BZ23=1,MIN(BZ91,BZ93),0)</f>
        <v>0</v>
      </c>
      <c r="CA66" s="19" t="n">
        <f aca="false">IF(Time!CA23=1,MIN(CA91,CA93),0)</f>
        <v>0</v>
      </c>
      <c r="CB66" s="19" t="n">
        <f aca="false">IF(Time!CB23=1,MIN(CB91,CB93),0)</f>
        <v>0</v>
      </c>
      <c r="CC66" s="19" t="n">
        <f aca="false">IF(Time!CC23=1,MIN(CC91,CC93),0)</f>
        <v>0</v>
      </c>
      <c r="CD66" s="19" t="n">
        <f aca="false">IF(Time!CD23=1,MIN(CD91,CD93),0)</f>
        <v>0</v>
      </c>
      <c r="CE66" s="19" t="n">
        <f aca="false">IF(Time!CE23=1,MIN(CE91,CE93),0)</f>
        <v>0</v>
      </c>
      <c r="CF66" s="19" t="n">
        <f aca="false">IF(Time!CF23=1,MIN(CF91,CF93),0)</f>
        <v>0</v>
      </c>
      <c r="CG66" s="19" t="n">
        <f aca="false">IF(Time!CG23=1,MIN(CG91,CG93),0)</f>
        <v>0</v>
      </c>
      <c r="CH66" s="19" t="n">
        <f aca="false">IF(Time!CH23=1,MIN(CH91,CH93),0)</f>
        <v>0</v>
      </c>
      <c r="CI66" s="19" t="n">
        <f aca="false">IF(Time!CI23=1,MIN(CI91,CI93),0)</f>
        <v>0</v>
      </c>
      <c r="CJ66" s="19" t="n">
        <f aca="false">IF(Time!CJ23=1,MIN(CJ91,CJ93),0)</f>
        <v>0</v>
      </c>
      <c r="CK66" s="19" t="n">
        <f aca="false">IF(Time!CK23=1,MIN(CK91,CK93),0)</f>
        <v>0</v>
      </c>
      <c r="CL66" s="19" t="n">
        <f aca="false">IF(Time!CL23=1,MIN(CL91,CL93),0)</f>
        <v>0</v>
      </c>
      <c r="CM66" s="19" t="n">
        <f aca="false">IF(Time!CM23=1,MIN(CM91,CM93),0)</f>
        <v>0</v>
      </c>
      <c r="CN66" s="19" t="n">
        <f aca="false">IF(Time!CN23=1,MIN(CN91,CN93),0)</f>
        <v>0</v>
      </c>
      <c r="CO66" s="19" t="n">
        <f aca="false">IF(Time!CO23=1,MIN(CO91,CO93),0)</f>
        <v>0</v>
      </c>
      <c r="CP66" s="19" t="n">
        <f aca="false">IF(Time!CP23=1,MIN(CP91,CP93),0)</f>
        <v>0</v>
      </c>
      <c r="CQ66" s="19" t="n">
        <f aca="false">IF(Time!CQ23=1,MIN(CQ91,CQ93),0)</f>
        <v>0</v>
      </c>
      <c r="CR66" s="19" t="n">
        <f aca="false">IF(Time!CR23=1,MIN(CR91,CR93),0)</f>
        <v>0</v>
      </c>
      <c r="CS66" s="19" t="n">
        <f aca="false">IF(Time!CS23=1,MIN(CS91,CS93),0)</f>
        <v>0</v>
      </c>
      <c r="CT66" s="19" t="n">
        <f aca="false">IF(Time!CT23=1,MIN(CT91,CT93),0)</f>
        <v>0</v>
      </c>
      <c r="CU66" s="19" t="n">
        <f aca="false">IF(Time!CU23=1,MIN(CU91,CU93),0)</f>
        <v>0</v>
      </c>
      <c r="CV66" s="19" t="n">
        <f aca="false">IF(Time!CV23=1,MIN(CV91,CV93),0)</f>
        <v>0</v>
      </c>
      <c r="CW66" s="19" t="n">
        <f aca="false">IF(Time!CW23=1,MIN(CW91,CW93),0)</f>
        <v>0</v>
      </c>
      <c r="CX66" s="19" t="n">
        <f aca="false">IF(Time!CX23=1,MIN(CX91,CX93),0)</f>
        <v>0</v>
      </c>
      <c r="CY66" s="19" t="n">
        <f aca="false">IF(Time!CY23=1,MIN(CY91,CY93),0)</f>
        <v>0</v>
      </c>
      <c r="CZ66" s="19" t="n">
        <f aca="false">IF(Time!CZ23=1,MIN(CZ91,CZ93),0)</f>
        <v>0</v>
      </c>
      <c r="DA66" s="19" t="n">
        <f aca="false">IF(Time!DA23=1,MIN(DA91,DA93),0)</f>
        <v>0</v>
      </c>
      <c r="DB66" s="19" t="n">
        <f aca="false">IF(Time!DB23=1,MIN(DB91,DB93),0)</f>
        <v>0</v>
      </c>
    </row>
    <row r="67" customFormat="false" ht="15" hidden="false" customHeight="false" outlineLevel="0" collapsed="false">
      <c r="D67" s="0" t="s">
        <v>529</v>
      </c>
      <c r="E67" s="0" t="s">
        <v>44</v>
      </c>
      <c r="G67" s="19" t="n">
        <f aca="false">SUM(J67:DB67)</f>
        <v>882.130169012998</v>
      </c>
      <c r="J67" s="19" t="n">
        <f aca="false">J45+J52+J66</f>
        <v>0</v>
      </c>
      <c r="K67" s="19" t="n">
        <f aca="false">K45+K52+K66</f>
        <v>0</v>
      </c>
      <c r="L67" s="19" t="n">
        <f aca="false">L45+L52+L66</f>
        <v>0</v>
      </c>
      <c r="M67" s="19" t="n">
        <f aca="false">M45+M52+M66</f>
        <v>0</v>
      </c>
      <c r="N67" s="19" t="n">
        <f aca="false">N45+N52+N66</f>
        <v>0</v>
      </c>
      <c r="O67" s="19" t="n">
        <f aca="false">O45+O52+O66</f>
        <v>0</v>
      </c>
      <c r="P67" s="19" t="n">
        <f aca="false">P45+P52+P66</f>
        <v>0</v>
      </c>
      <c r="Q67" s="19" t="n">
        <f aca="false">Q45+Q52+Q66</f>
        <v>0</v>
      </c>
      <c r="R67" s="19" t="n">
        <f aca="false">R45+R52+R66</f>
        <v>0</v>
      </c>
      <c r="S67" s="19" t="n">
        <f aca="false">S45+S52+S66</f>
        <v>0</v>
      </c>
      <c r="T67" s="19" t="n">
        <f aca="false">T45+T52+T66</f>
        <v>0</v>
      </c>
      <c r="U67" s="19" t="n">
        <f aca="false">U45+U52+U66</f>
        <v>0</v>
      </c>
      <c r="V67" s="19" t="n">
        <f aca="false">V45+V52+V66</f>
        <v>0</v>
      </c>
      <c r="W67" s="19" t="n">
        <f aca="false">W45+W52+W66</f>
        <v>0</v>
      </c>
      <c r="X67" s="19" t="n">
        <f aca="false">X45+X52+X66</f>
        <v>0</v>
      </c>
      <c r="Y67" s="19" t="n">
        <f aca="false">Y45+Y52+Y66</f>
        <v>0</v>
      </c>
      <c r="Z67" s="19" t="n">
        <f aca="false">Z45+Z52+Z66</f>
        <v>0</v>
      </c>
      <c r="AA67" s="19" t="n">
        <f aca="false">AA45+AA52+AA66</f>
        <v>0</v>
      </c>
      <c r="AB67" s="19" t="n">
        <f aca="false">AB45+AB52+AB66</f>
        <v>0</v>
      </c>
      <c r="AC67" s="19" t="n">
        <f aca="false">AC45+AC52+AC66</f>
        <v>0</v>
      </c>
      <c r="AD67" s="19" t="n">
        <f aca="false">AD45+AD52+AD66</f>
        <v>0</v>
      </c>
      <c r="AE67" s="19" t="n">
        <f aca="false">AE45+AE52+AE66</f>
        <v>0</v>
      </c>
      <c r="AF67" s="19" t="n">
        <f aca="false">AF45+AF52+AF66</f>
        <v>0</v>
      </c>
      <c r="AG67" s="19" t="n">
        <f aca="false">AG45+AG52+AG66</f>
        <v>0</v>
      </c>
      <c r="AH67" s="19" t="n">
        <f aca="false">AH45+AH52+AH66</f>
        <v>0</v>
      </c>
      <c r="AI67" s="19" t="n">
        <f aca="false">AI45+AI52+AI66</f>
        <v>0</v>
      </c>
      <c r="AJ67" s="19" t="n">
        <f aca="false">AJ45+AJ52+AJ66</f>
        <v>0</v>
      </c>
      <c r="AK67" s="19" t="n">
        <f aca="false">AK45+AK52+AK66</f>
        <v>0</v>
      </c>
      <c r="AL67" s="19" t="n">
        <f aca="false">AL45+AL52+AL66</f>
        <v>0</v>
      </c>
      <c r="AM67" s="19" t="n">
        <f aca="false">AM45+AM52+AM66</f>
        <v>0</v>
      </c>
      <c r="AN67" s="19" t="n">
        <f aca="false">AN45+AN52+AN66</f>
        <v>0</v>
      </c>
      <c r="AO67" s="19" t="n">
        <f aca="false">AO45+AO52+AO66</f>
        <v>0</v>
      </c>
      <c r="AP67" s="19" t="n">
        <f aca="false">AP45+AP52+AP66</f>
        <v>0</v>
      </c>
      <c r="AQ67" s="19" t="n">
        <f aca="false">AQ45+AQ52+AQ66</f>
        <v>0</v>
      </c>
      <c r="AR67" s="19" t="n">
        <f aca="false">AR45+AR52+AR66</f>
        <v>0</v>
      </c>
      <c r="AS67" s="19" t="n">
        <f aca="false">AS45+AS52+AS66</f>
        <v>0</v>
      </c>
      <c r="AT67" s="19" t="n">
        <f aca="false">AT45+AT52+AT66</f>
        <v>0</v>
      </c>
      <c r="AU67" s="19" t="n">
        <f aca="false">AU45+AU52+AU66</f>
        <v>0</v>
      </c>
      <c r="AV67" s="19" t="n">
        <f aca="false">AV45+AV52+AV66</f>
        <v>0.00854143669764795</v>
      </c>
      <c r="AW67" s="19" t="n">
        <f aca="false">AW45+AW52+AW66</f>
        <v>1.8188654606659</v>
      </c>
      <c r="AX67" s="19" t="n">
        <f aca="false">AX45+AX52+AX66</f>
        <v>2.15380278569582</v>
      </c>
      <c r="AY67" s="19" t="n">
        <f aca="false">AY45+AY52+AY66</f>
        <v>1.8477732657243</v>
      </c>
      <c r="AZ67" s="19" t="n">
        <f aca="false">AZ45+AZ52+AZ66</f>
        <v>2.2903340475361</v>
      </c>
      <c r="BA67" s="19" t="n">
        <f aca="false">BA45+BA52+BA66</f>
        <v>3.41168840760226</v>
      </c>
      <c r="BB67" s="19" t="n">
        <f aca="false">BB45+BB52+BB66</f>
        <v>3.7968561509099</v>
      </c>
      <c r="BC67" s="19" t="n">
        <f aca="false">BC45+BC52+BC66</f>
        <v>8.24500633497842</v>
      </c>
      <c r="BD67" s="19" t="n">
        <f aca="false">BD45+BD52+BD66</f>
        <v>8.76091863485227</v>
      </c>
      <c r="BE67" s="19" t="n">
        <f aca="false">BE45+BE52+BE66</f>
        <v>11.7718202138285</v>
      </c>
      <c r="BF67" s="19" t="n">
        <f aca="false">BF45+BF52+BF66</f>
        <v>12.3825236893896</v>
      </c>
      <c r="BG67" s="19" t="n">
        <f aca="false">BG45+BG52+BG66</f>
        <v>14.0461196572116</v>
      </c>
      <c r="BH67" s="19" t="n">
        <f aca="false">BH45+BH52+BH66</f>
        <v>14.859079928644</v>
      </c>
      <c r="BI67" s="19" t="n">
        <f aca="false">BI45+BI52+BI66</f>
        <v>16.5676033597876</v>
      </c>
      <c r="BJ67" s="19" t="n">
        <f aca="false">BJ45+BJ52+BJ66</f>
        <v>17.3058378202104</v>
      </c>
      <c r="BK67" s="19" t="n">
        <f aca="false">BK45+BK52+BK66</f>
        <v>19.3078290084499</v>
      </c>
      <c r="BL67" s="19" t="n">
        <f aca="false">BL45+BL52+BL66</f>
        <v>20.1175910192576</v>
      </c>
      <c r="BM67" s="19" t="n">
        <f aca="false">BM45+BM52+BM66</f>
        <v>22.2705533768037</v>
      </c>
      <c r="BN67" s="19" t="n">
        <f aca="false">BN45+BN52+BN66</f>
        <v>23.1556018310152</v>
      </c>
      <c r="BO67" s="19" t="n">
        <f aca="false">BO45+BO52+BO66</f>
        <v>18.4990703184665</v>
      </c>
      <c r="BP67" s="19" t="n">
        <f aca="false">BP45+BP52+BP66</f>
        <v>19.4772861006713</v>
      </c>
      <c r="BQ67" s="19" t="n">
        <f aca="false">BQ45+BQ52+BQ66</f>
        <v>21.6141190179319</v>
      </c>
      <c r="BR67" s="19" t="n">
        <f aca="false">BR45+BR52+BR66</f>
        <v>21.9991115570427</v>
      </c>
      <c r="BS67" s="19" t="n">
        <f aca="false">BS45+BS52+BS66</f>
        <v>24.4409197504442</v>
      </c>
      <c r="BT67" s="19" t="n">
        <f aca="false">BT45+BT52+BT66</f>
        <v>24.8798633454126</v>
      </c>
      <c r="BU67" s="19" t="n">
        <f aca="false">BU45+BU52+BU66</f>
        <v>34.4655200693578</v>
      </c>
      <c r="BV67" s="19" t="n">
        <f aca="false">BV45+BV52+BV66</f>
        <v>35.1451208728523</v>
      </c>
      <c r="BW67" s="19" t="n">
        <f aca="false">BW45+BW52+BW66</f>
        <v>38.1031798545429</v>
      </c>
      <c r="BX67" s="19" t="n">
        <f aca="false">BX45+BX52+BX66</f>
        <v>39.0986210314139</v>
      </c>
      <c r="BY67" s="19" t="n">
        <f aca="false">BY45+BY52+BY66</f>
        <v>42.0056948052348</v>
      </c>
      <c r="BZ67" s="19" t="n">
        <f aca="false">BZ45+BZ52+BZ66</f>
        <v>42.8276691356576</v>
      </c>
      <c r="CA67" s="19" t="n">
        <f aca="false">CA45+CA52+CA66</f>
        <v>41.6656098744902</v>
      </c>
      <c r="CB67" s="19" t="n">
        <f aca="false">CB45+CB52+CB66</f>
        <v>42.4480859385433</v>
      </c>
      <c r="CC67" s="19" t="n">
        <f aca="false">CC45+CC52+CC66</f>
        <v>45.8839385476507</v>
      </c>
      <c r="CD67" s="19" t="n">
        <f aca="false">CD45+CD52+CD66</f>
        <v>46.7458778290808</v>
      </c>
      <c r="CE67" s="19" t="n">
        <f aca="false">CE45+CE52+CE66</f>
        <v>48.2124009665059</v>
      </c>
      <c r="CF67" s="19" t="n">
        <f aca="false">CF45+CF52+CF66</f>
        <v>43.1947119407219</v>
      </c>
      <c r="CG67" s="19" t="n">
        <f aca="false">CG45+CG52+CG66</f>
        <v>47.3050216277163</v>
      </c>
      <c r="CH67" s="19" t="n">
        <f aca="false">CH45+CH52+CH66</f>
        <v>0</v>
      </c>
      <c r="CI67" s="19" t="n">
        <f aca="false">CI45+CI52+CI66</f>
        <v>0</v>
      </c>
      <c r="CJ67" s="19" t="n">
        <f aca="false">CJ45+CJ52+CJ66</f>
        <v>0</v>
      </c>
      <c r="CK67" s="19" t="n">
        <f aca="false">CK45+CK52+CK66</f>
        <v>0</v>
      </c>
      <c r="CL67" s="19" t="n">
        <f aca="false">CL45+CL52+CL66</f>
        <v>0</v>
      </c>
      <c r="CM67" s="19" t="n">
        <f aca="false">CM45+CM52+CM66</f>
        <v>0</v>
      </c>
      <c r="CN67" s="19" t="n">
        <f aca="false">CN45+CN52+CN66</f>
        <v>0</v>
      </c>
      <c r="CO67" s="19" t="n">
        <f aca="false">CO45+CO52+CO66</f>
        <v>0</v>
      </c>
      <c r="CP67" s="19" t="n">
        <f aca="false">CP45+CP52+CP66</f>
        <v>0</v>
      </c>
      <c r="CQ67" s="19" t="n">
        <f aca="false">CQ45+CQ52+CQ66</f>
        <v>0</v>
      </c>
      <c r="CR67" s="19" t="n">
        <f aca="false">CR45+CR52+CR66</f>
        <v>0</v>
      </c>
      <c r="CS67" s="19" t="n">
        <f aca="false">CS45+CS52+CS66</f>
        <v>0</v>
      </c>
      <c r="CT67" s="19" t="n">
        <f aca="false">CT45+CT52+CT66</f>
        <v>0</v>
      </c>
      <c r="CU67" s="19" t="n">
        <f aca="false">CU45+CU52+CU66</f>
        <v>0</v>
      </c>
      <c r="CV67" s="19" t="n">
        <f aca="false">CV45+CV52+CV66</f>
        <v>0</v>
      </c>
      <c r="CW67" s="19" t="n">
        <f aca="false">CW45+CW52+CW66</f>
        <v>0</v>
      </c>
      <c r="CX67" s="19" t="n">
        <f aca="false">CX45+CX52+CX66</f>
        <v>0</v>
      </c>
      <c r="CY67" s="19" t="n">
        <f aca="false">CY45+CY52+CY66</f>
        <v>0</v>
      </c>
      <c r="CZ67" s="19" t="n">
        <f aca="false">CZ45+CZ52+CZ66</f>
        <v>0</v>
      </c>
      <c r="DA67" s="19" t="n">
        <f aca="false">DA45+DA52+DA66</f>
        <v>0</v>
      </c>
      <c r="DB67" s="19" t="n">
        <f aca="false">DB45+DB52+DB66</f>
        <v>0</v>
      </c>
    </row>
    <row r="68" customFormat="false" ht="15" hidden="false" customHeight="false" outlineLevel="0" collapsed="false">
      <c r="D68" s="0" t="s">
        <v>530</v>
      </c>
      <c r="E68" s="0" t="s">
        <v>44</v>
      </c>
      <c r="G68" s="19" t="n">
        <f aca="false">SUM(J68:DB68)</f>
        <v>1979.65473178727</v>
      </c>
      <c r="J68" s="19" t="n">
        <f aca="false">J64+(Inputs!$F$96+Inputs!$F$97)*J40*(1-Time!J23)*(1-Time!J20)+J66-J39</f>
        <v>0</v>
      </c>
      <c r="K68" s="19" t="n">
        <f aca="false">K64+(Inputs!$F$96+Inputs!$F$97)*K40*(1-Time!K23)*(1-Time!K20)+K66-K39</f>
        <v>0</v>
      </c>
      <c r="L68" s="19" t="n">
        <f aca="false">L64+(Inputs!$F$96+Inputs!$F$97)*L40*(1-Time!L23)*(1-Time!L20)+L66-L39</f>
        <v>0</v>
      </c>
      <c r="M68" s="19" t="n">
        <f aca="false">M64+(Inputs!$F$96+Inputs!$F$97)*M40*(1-Time!M23)*(1-Time!M20)+M66-M39</f>
        <v>0</v>
      </c>
      <c r="N68" s="19" t="n">
        <f aca="false">N64+(Inputs!$F$96+Inputs!$F$97)*N40*(1-Time!N23)*(1-Time!N20)+N66-N39</f>
        <v>0</v>
      </c>
      <c r="O68" s="19" t="n">
        <f aca="false">O64+(Inputs!$F$96+Inputs!$F$97)*O40*(1-Time!O23)*(1-Time!O20)+O66-O39</f>
        <v>0</v>
      </c>
      <c r="P68" s="19" t="n">
        <f aca="false">P64+(Inputs!$F$96+Inputs!$F$97)*P40*(1-Time!P23)*(1-Time!P20)+P66-P39</f>
        <v>0</v>
      </c>
      <c r="Q68" s="19" t="n">
        <f aca="false">Q64+(Inputs!$F$96+Inputs!$F$97)*Q40*(1-Time!Q23)*(1-Time!Q20)+Q66-Q39</f>
        <v>0</v>
      </c>
      <c r="R68" s="19" t="n">
        <f aca="false">R64+(Inputs!$F$96+Inputs!$F$97)*R40*(1-Time!R23)*(1-Time!R20)+R66-R39</f>
        <v>0</v>
      </c>
      <c r="S68" s="19" t="n">
        <f aca="false">S64+(Inputs!$F$96+Inputs!$F$97)*S40*(1-Time!S23)*(1-Time!S20)+S66-S39</f>
        <v>0</v>
      </c>
      <c r="T68" s="19" t="n">
        <f aca="false">T64+(Inputs!$F$96+Inputs!$F$97)*T40*(1-Time!T23)*(1-Time!T20)+T66-T39</f>
        <v>0</v>
      </c>
      <c r="U68" s="19" t="n">
        <f aca="false">U64+(Inputs!$F$96+Inputs!$F$97)*U40*(1-Time!U23)*(1-Time!U20)+U66-U39</f>
        <v>0</v>
      </c>
      <c r="V68" s="19" t="n">
        <f aca="false">V64+(Inputs!$F$96+Inputs!$F$97)*V40*(1-Time!V23)*(1-Time!V20)+V66-V39</f>
        <v>0</v>
      </c>
      <c r="W68" s="19" t="n">
        <f aca="false">W64+(Inputs!$F$96+Inputs!$F$97)*W40*(1-Time!W23)*(1-Time!W20)+W66-W39</f>
        <v>0</v>
      </c>
      <c r="X68" s="19" t="n">
        <f aca="false">X64+(Inputs!$F$96+Inputs!$F$97)*X40*(1-Time!X23)*(1-Time!X20)+X66-X39</f>
        <v>0</v>
      </c>
      <c r="Y68" s="19" t="n">
        <f aca="false">Y64+(Inputs!$F$96+Inputs!$F$97)*Y40*(1-Time!Y23)*(1-Time!Y20)+Y66-Y39</f>
        <v>0</v>
      </c>
      <c r="Z68" s="19" t="n">
        <f aca="false">Z64+(Inputs!$F$96+Inputs!$F$97)*Z40*(1-Time!Z23)*(1-Time!Z20)+Z66-Z39</f>
        <v>6.9438210736435</v>
      </c>
      <c r="AA68" s="19" t="n">
        <f aca="false">AA64+(Inputs!$F$96+Inputs!$F$97)*AA40*(1-Time!AA23)*(1-Time!AA20)+AA66-AA39</f>
        <v>15.366639768263</v>
      </c>
      <c r="AB68" s="19" t="n">
        <f aca="false">AB64+(Inputs!$F$96+Inputs!$F$97)*AB40*(1-Time!AB23)*(1-Time!AB20)+AB66-AB39</f>
        <v>19.3030365072743</v>
      </c>
      <c r="AC68" s="19" t="n">
        <f aca="false">AC64+(Inputs!$F$96+Inputs!$F$97)*AC40*(1-Time!AC23)*(1-Time!AC20)+AC66-AC39</f>
        <v>20.57459323591</v>
      </c>
      <c r="AD68" s="19" t="n">
        <f aca="false">AD64+(Inputs!$F$96+Inputs!$F$97)*AD40*(1-Time!AD23)*(1-Time!AD20)+AD66-AD39</f>
        <v>23.7337665751819</v>
      </c>
      <c r="AE68" s="19" t="n">
        <f aca="false">AE64+(Inputs!$F$96+Inputs!$F$97)*AE40*(1-Time!AE23)*(1-Time!AE20)+AE66-AE39</f>
        <v>23.9321371074356</v>
      </c>
      <c r="AF68" s="19" t="n">
        <f aca="false">AF64+(Inputs!$F$96+Inputs!$F$97)*AF40*(1-Time!AF23)*(1-Time!AF20)+AF66-AF39</f>
        <v>23.6043472038103</v>
      </c>
      <c r="AG68" s="19" t="n">
        <f aca="false">AG64+(Inputs!$F$96+Inputs!$F$97)*AG40*(1-Time!AG23)*(1-Time!AG20)+AG66-AG39</f>
        <v>23.2317499211891</v>
      </c>
      <c r="AH68" s="19" t="n">
        <f aca="false">AH64+(Inputs!$F$96+Inputs!$F$97)*AH40*(1-Time!AH23)*(1-Time!AH20)+AH66-AH39</f>
        <v>23.0447987452329</v>
      </c>
      <c r="AI68" s="19" t="n">
        <f aca="false">AI64+(Inputs!$F$96+Inputs!$F$97)*AI40*(1-Time!AI23)*(1-Time!AI20)+AI66-AI39</f>
        <v>23.2317499211891</v>
      </c>
      <c r="AJ68" s="19" t="n">
        <f aca="false">AJ64+(Inputs!$F$96+Inputs!$F$97)*AJ40*(1-Time!AJ23)*(1-Time!AJ20)+AJ66-AJ39</f>
        <v>23.107115803885</v>
      </c>
      <c r="AK68" s="19" t="n">
        <f aca="false">AK64+(Inputs!$F$96+Inputs!$F$97)*AK40*(1-Time!AK23)*(1-Time!AK20)+AK66-AK39</f>
        <v>23.2317499211891</v>
      </c>
      <c r="AL68" s="19" t="n">
        <f aca="false">AL64+(Inputs!$F$96+Inputs!$F$97)*AL40*(1-Time!AL23)*(1-Time!AL20)+AL66-AL39</f>
        <v>23.0447987452329</v>
      </c>
      <c r="AM68" s="19" t="n">
        <f aca="false">AM64+(Inputs!$F$96+Inputs!$F$97)*AM40*(1-Time!AM23)*(1-Time!AM20)+AM66-AM39</f>
        <v>23.2317499211891</v>
      </c>
      <c r="AN68" s="19" t="n">
        <f aca="false">AN64+(Inputs!$F$96+Inputs!$F$97)*AN40*(1-Time!AN23)*(1-Time!AN20)+AN66-AN39</f>
        <v>23.0447987452329</v>
      </c>
      <c r="AO68" s="19" t="n">
        <f aca="false">AO64+(Inputs!$F$96+Inputs!$F$97)*AO40*(1-Time!AO23)*(1-Time!AO20)+AO66-AO39</f>
        <v>23.2317499211891</v>
      </c>
      <c r="AP68" s="19" t="n">
        <f aca="false">AP64+(Inputs!$F$96+Inputs!$F$97)*AP40*(1-Time!AP23)*(1-Time!AP20)+AP66-AP39</f>
        <v>23.0447987452329</v>
      </c>
      <c r="AQ68" s="19" t="n">
        <f aca="false">AQ64+(Inputs!$F$96+Inputs!$F$97)*AQ40*(1-Time!AQ23)*(1-Time!AQ20)+AQ66-AQ39</f>
        <v>23.2317499211891</v>
      </c>
      <c r="AR68" s="19" t="n">
        <f aca="false">AR64+(Inputs!$F$96+Inputs!$F$97)*AR40*(1-Time!AR23)*(1-Time!AR20)+AR66-AR39</f>
        <v>23.107115803885</v>
      </c>
      <c r="AS68" s="19" t="n">
        <f aca="false">AS64+(Inputs!$F$96+Inputs!$F$97)*AS40*(1-Time!AS23)*(1-Time!AS20)+AS66-AS39</f>
        <v>23.2317499211891</v>
      </c>
      <c r="AT68" s="19" t="n">
        <f aca="false">AT64+(Inputs!$F$96+Inputs!$F$97)*AT40*(1-Time!AT23)*(1-Time!AT20)+AT66-AT39</f>
        <v>23.0447987452329</v>
      </c>
      <c r="AU68" s="19" t="n">
        <f aca="false">AU64+(Inputs!$F$96+Inputs!$F$97)*AU40*(1-Time!AU23)*(1-Time!AU20)+AU66-AU39</f>
        <v>23.2317499211891</v>
      </c>
      <c r="AV68" s="19" t="n">
        <f aca="false">AV64+(Inputs!$F$96+Inputs!$F$97)*AV40*(1-Time!AV23)*(1-Time!AV20)+AV66-AV39</f>
        <v>23.0533401819306</v>
      </c>
      <c r="AW68" s="19" t="n">
        <f aca="false">AW64+(Inputs!$F$96+Inputs!$F$97)*AW40*(1-Time!AW23)*(1-Time!AW20)+AW66-AW39</f>
        <v>25.0503904348706</v>
      </c>
      <c r="AX68" s="19" t="n">
        <f aca="false">AX64+(Inputs!$F$96+Inputs!$F$97)*AX40*(1-Time!AX23)*(1-Time!AX20)+AX66-AX39</f>
        <v>25.1508622905596</v>
      </c>
      <c r="AY68" s="19" t="n">
        <f aca="false">AY64+(Inputs!$F$96+Inputs!$F$97)*AY40*(1-Time!AY23)*(1-Time!AY20)+AY66-AY39</f>
        <v>24.9746741850431</v>
      </c>
      <c r="AZ68" s="19" t="n">
        <f aca="false">AZ64+(Inputs!$F$96+Inputs!$F$97)*AZ40*(1-Time!AZ23)*(1-Time!AZ20)+AZ66-AZ39</f>
        <v>25.2447615195311</v>
      </c>
      <c r="BA68" s="19" t="n">
        <f aca="false">BA64+(Inputs!$F$96+Inputs!$F$97)*BA40*(1-Time!BA23)*(1-Time!BA20)+BA66-BA39</f>
        <v>26.4296082744351</v>
      </c>
      <c r="BB68" s="19" t="n">
        <f aca="false">BB64+(Inputs!$F$96+Inputs!$F$97)*BB40*(1-Time!BB23)*(1-Time!BB20)+BB66-BB39</f>
        <v>26.5404185160733</v>
      </c>
      <c r="BC68" s="19" t="n">
        <f aca="false">BC64+(Inputs!$F$96+Inputs!$F$97)*BC40*(1-Time!BC23)*(1-Time!BC20)+BC66-BC39</f>
        <v>31.0730822191862</v>
      </c>
      <c r="BD68" s="19" t="n">
        <f aca="false">BD64+(Inputs!$F$96+Inputs!$F$97)*BD40*(1-Time!BD23)*(1-Time!BD20)+BD66-BD39</f>
        <v>31.1898989720418</v>
      </c>
      <c r="BE68" s="19" t="n">
        <f aca="false">BE64+(Inputs!$F$96+Inputs!$F$97)*BE40*(1-Time!BE23)*(1-Time!BE20)+BE66-BE39</f>
        <v>34.1520286404255</v>
      </c>
      <c r="BF68" s="19" t="n">
        <f aca="false">BF64+(Inputs!$F$96+Inputs!$F$97)*BF40*(1-Time!BF23)*(1-Time!BF20)+BF66-BF39</f>
        <v>34.2751060537201</v>
      </c>
      <c r="BG68" s="19" t="n">
        <f aca="false">BG64+(Inputs!$F$96+Inputs!$F$97)*BG40*(1-Time!BG23)*(1-Time!BG20)+BG66-BG39</f>
        <v>35.827659376166</v>
      </c>
      <c r="BH68" s="19" t="n">
        <f aca="false">BH64+(Inputs!$F$96+Inputs!$F$97)*BH40*(1-Time!BH23)*(1-Time!BH20)+BH66-BH39</f>
        <v>36.1549955143621</v>
      </c>
      <c r="BI68" s="19" t="n">
        <f aca="false">BI64+(Inputs!$F$96+Inputs!$F$97)*BI40*(1-Time!BI23)*(1-Time!BI20)+BI66-BI39</f>
        <v>37.5865853074074</v>
      </c>
      <c r="BJ68" s="19" t="n">
        <f aca="false">BJ64+(Inputs!$F$96+Inputs!$F$97)*BJ40*(1-Time!BJ23)*(1-Time!BJ20)+BJ66-BJ39</f>
        <v>37.7218247100396</v>
      </c>
      <c r="BK68" s="19" t="n">
        <f aca="false">BK64+(Inputs!$F$96+Inputs!$F$97)*BK40*(1-Time!BK23)*(1-Time!BK20)+BK66-BK39</f>
        <v>39.4331843358165</v>
      </c>
      <c r="BL68" s="19" t="n">
        <f aca="false">BL64+(Inputs!$F$96+Inputs!$F$97)*BL40*(1-Time!BL23)*(1-Time!BL20)+BL66-BL39</f>
        <v>39.5754471499961</v>
      </c>
      <c r="BM68" s="19" t="n">
        <f aca="false">BM64+(Inputs!$F$96+Inputs!$F$97)*BM40*(1-Time!BM23)*(1-Time!BM20)+BM66-BM39</f>
        <v>41.3558134666003</v>
      </c>
      <c r="BN68" s="19" t="n">
        <f aca="false">BN64+(Inputs!$F$96+Inputs!$F$97)*BN40*(1-Time!BN23)*(1-Time!BN20)+BN66-BN39</f>
        <v>41.5042168372112</v>
      </c>
      <c r="BO68" s="19" t="n">
        <f aca="false">BO64+(Inputs!$F$96+Inputs!$F$97)*BO40*(1-Time!BO23)*(1-Time!BO20)+BO66-BO39</f>
        <v>36.3859277619612</v>
      </c>
      <c r="BP68" s="19" t="n">
        <f aca="false">BP64+(Inputs!$F$96+Inputs!$F$97)*BP40*(1-Time!BP23)*(1-Time!BP20)+BP66-BP39</f>
        <v>36.782607101421</v>
      </c>
      <c r="BQ68" s="19" t="n">
        <f aca="false">BQ64+(Inputs!$F$96+Inputs!$F$97)*BQ40*(1-Time!BQ23)*(1-Time!BQ20)+BQ66-BQ39</f>
        <v>38.4991094572439</v>
      </c>
      <c r="BR68" s="19" t="n">
        <f aca="false">BR64+(Inputs!$F$96+Inputs!$F$97)*BR40*(1-Time!BR23)*(1-Time!BR20)+BR66-BR39</f>
        <v>38.182372238154</v>
      </c>
      <c r="BS68" s="19" t="n">
        <f aca="false">BS64+(Inputs!$F$96+Inputs!$F$97)*BS40*(1-Time!BS23)*(1-Time!BS20)+BS66-BS39</f>
        <v>40.1753349166406</v>
      </c>
      <c r="BT68" s="19" t="n">
        <f aca="false">BT64+(Inputs!$F$96+Inputs!$F$97)*BT40*(1-Time!BT23)*(1-Time!BT20)+BT66-BT39</f>
        <v>39.8478504332762</v>
      </c>
      <c r="BU68" s="19" t="n">
        <f aca="false">BU64+(Inputs!$F$96+Inputs!$F$97)*BU40*(1-Time!BU23)*(1-Time!BU20)+BU66-BU39</f>
        <v>48.8987871038368</v>
      </c>
      <c r="BV68" s="19" t="n">
        <f aca="false">BV64+(Inputs!$F$96+Inputs!$F$97)*BV40*(1-Time!BV23)*(1-Time!BV20)+BV66-BV39</f>
        <v>48.5601185394209</v>
      </c>
      <c r="BW68" s="19" t="n">
        <f aca="false">BW64+(Inputs!$F$96+Inputs!$F$97)*BW40*(1-Time!BW23)*(1-Time!BW20)+BW66-BW39</f>
        <v>50.7000252078501</v>
      </c>
      <c r="BX68" s="19" t="n">
        <f aca="false">BX64+(Inputs!$F$96+Inputs!$F$97)*BX40*(1-Time!BX23)*(1-Time!BX20)+BX66-BX39</f>
        <v>50.6279568693624</v>
      </c>
      <c r="BY68" s="19" t="n">
        <f aca="false">BY64+(Inputs!$F$96+Inputs!$F$97)*BY40*(1-Time!BY23)*(1-Time!BY20)+BY66-BY39</f>
        <v>52.5658535391762</v>
      </c>
      <c r="BZ68" s="19" t="n">
        <f aca="false">BZ64+(Inputs!$F$96+Inputs!$F$97)*BZ40*(1-Time!BZ23)*(1-Time!BZ20)+BZ66-BZ39</f>
        <v>52.2034649826372</v>
      </c>
      <c r="CA68" s="19" t="n">
        <f aca="false">CA64+(Inputs!$F$96+Inputs!$F$97)*CA40*(1-Time!CA23)*(1-Time!CA20)+CA66-CA39</f>
        <v>49.9877511628354</v>
      </c>
      <c r="CB68" s="19" t="n">
        <f aca="false">CB64+(Inputs!$F$96+Inputs!$F$97)*CB40*(1-Time!CB23)*(1-Time!CB20)+CB66-CB39</f>
        <v>49.6128055244397</v>
      </c>
      <c r="CC68" s="19" t="n">
        <f aca="false">CC64+(Inputs!$F$96+Inputs!$F$97)*CC40*(1-Time!CC23)*(1-Time!CC20)+CC66-CC39</f>
        <v>51.9870481968132</v>
      </c>
      <c r="CD68" s="19" t="n">
        <f aca="false">CD64+(Inputs!$F$96+Inputs!$F$97)*CD40*(1-Time!CD23)*(1-Time!CD20)+CD66-CD39</f>
        <v>51.5990663118775</v>
      </c>
      <c r="CE68" s="19" t="n">
        <f aca="false">CE64+(Inputs!$F$96+Inputs!$F$97)*CE40*(1-Time!CE23)*(1-Time!CE20)+CE66-CE39</f>
        <v>51.8718123417449</v>
      </c>
      <c r="CF68" s="19" t="n">
        <f aca="false">CF64+(Inputs!$F$96+Inputs!$F$97)*CF40*(1-Time!CF23)*(1-Time!CF20)+CF66-CF39</f>
        <v>45.5693846585805</v>
      </c>
      <c r="CG68" s="19" t="n">
        <f aca="false">CG64+(Inputs!$F$96+Inputs!$F$97)*CG40*(1-Time!CG23)*(1-Time!CG20)+CG66-CG39</f>
        <v>48.55299127962</v>
      </c>
      <c r="CH68" s="19" t="n">
        <f aca="false">CH64+(Inputs!$F$96+Inputs!$F$97)*CH40*(1-Time!CH23)*(1-Time!CH20)+CH66-CH39</f>
        <v>5.51181991980927E-014</v>
      </c>
      <c r="CI68" s="19" t="n">
        <f aca="false">CI64+(Inputs!$F$96+Inputs!$F$97)*CI40*(1-Time!CI23)*(1-Time!CI20)+CI66-CI39</f>
        <v>5.55648191080975E-014</v>
      </c>
      <c r="CJ68" s="19" t="n">
        <f aca="false">CJ64+(Inputs!$F$96+Inputs!$F$97)*CJ40*(1-Time!CJ23)*(1-Time!CJ20)+CJ66-CJ39</f>
        <v>5.51181991980927E-014</v>
      </c>
      <c r="CK68" s="19" t="n">
        <f aca="false">CK64+(Inputs!$F$96+Inputs!$F$97)*CK40*(1-Time!CK23)*(1-Time!CK20)+CK66-CK39</f>
        <v>5.55648191080975E-014</v>
      </c>
      <c r="CL68" s="19" t="n">
        <f aca="false">CL64+(Inputs!$F$96+Inputs!$F$97)*CL40*(1-Time!CL23)*(1-Time!CL20)+CL66-CL39</f>
        <v>5.51181991980927E-014</v>
      </c>
      <c r="CM68" s="19" t="n">
        <f aca="false">CM64+(Inputs!$F$96+Inputs!$F$97)*CM40*(1-Time!CM23)*(1-Time!CM20)+CM66-CM39</f>
        <v>5.55648191080975E-014</v>
      </c>
      <c r="CN68" s="19" t="n">
        <f aca="false">CN64+(Inputs!$F$96+Inputs!$F$97)*CN40*(1-Time!CN23)*(1-Time!CN20)+CN66-CN39</f>
        <v>5.52670725014276E-014</v>
      </c>
      <c r="CO68" s="19" t="n">
        <f aca="false">CO64+(Inputs!$F$96+Inputs!$F$97)*CO40*(1-Time!CO23)*(1-Time!CO20)+CO66-CO39</f>
        <v>5.55648191080975E-014</v>
      </c>
      <c r="CP68" s="19" t="n">
        <f aca="false">CP64+(Inputs!$F$96+Inputs!$F$97)*CP40*(1-Time!CP23)*(1-Time!CP20)+CP66-CP39</f>
        <v>5.51181991980927E-014</v>
      </c>
      <c r="CQ68" s="19" t="n">
        <f aca="false">CQ64+(Inputs!$F$96+Inputs!$F$97)*CQ40*(1-Time!CQ23)*(1-Time!CQ20)+CQ66-CQ39</f>
        <v>5.55648191080975E-014</v>
      </c>
      <c r="CR68" s="19" t="n">
        <f aca="false">CR64+(Inputs!$F$96+Inputs!$F$97)*CR40*(1-Time!CR23)*(1-Time!CR20)+CR66-CR39</f>
        <v>5.51181991980927E-014</v>
      </c>
      <c r="CS68" s="19" t="n">
        <f aca="false">CS64+(Inputs!$F$96+Inputs!$F$97)*CS40*(1-Time!CS23)*(1-Time!CS20)+CS66-CS39</f>
        <v>5.55648191080975E-014</v>
      </c>
      <c r="CT68" s="19" t="n">
        <f aca="false">CT64+(Inputs!$F$96+Inputs!$F$97)*CT40*(1-Time!CT23)*(1-Time!CT20)+CT66-CT39</f>
        <v>5.51181991980927E-014</v>
      </c>
      <c r="CU68" s="19" t="n">
        <f aca="false">CU64+(Inputs!$F$96+Inputs!$F$97)*CU40*(1-Time!CU23)*(1-Time!CU20)+CU66-CU39</f>
        <v>5.55648191080975E-014</v>
      </c>
      <c r="CV68" s="19" t="n">
        <f aca="false">CV64+(Inputs!$F$96+Inputs!$F$97)*CV40*(1-Time!CV23)*(1-Time!CV20)+CV66-CV39</f>
        <v>5.52670725014276E-014</v>
      </c>
      <c r="CW68" s="19" t="n">
        <f aca="false">CW64+(Inputs!$F$96+Inputs!$F$97)*CW40*(1-Time!CW23)*(1-Time!CW20)+CW66-CW39</f>
        <v>5.55648191080975E-014</v>
      </c>
      <c r="CX68" s="19" t="n">
        <f aca="false">CX64+(Inputs!$F$96+Inputs!$F$97)*CX40*(1-Time!CX23)*(1-Time!CX20)+CX66-CX39</f>
        <v>5.51181991980927E-014</v>
      </c>
      <c r="CY68" s="19" t="n">
        <f aca="false">CY64+(Inputs!$F$96+Inputs!$F$97)*CY40*(1-Time!CY23)*(1-Time!CY20)+CY66-CY39</f>
        <v>5.55648191080975E-014</v>
      </c>
      <c r="CZ68" s="19" t="n">
        <f aca="false">CZ64+(Inputs!$F$96+Inputs!$F$97)*CZ40*(1-Time!CZ23)*(1-Time!CZ20)+CZ66-CZ39</f>
        <v>5.51181991980927E-014</v>
      </c>
      <c r="DA68" s="19" t="n">
        <f aca="false">DA64+(Inputs!$F$96+Inputs!$F$97)*DA40*(1-Time!DA23)*(1-Time!DA20)+DA66-DA39</f>
        <v>5.55648191080975E-014</v>
      </c>
      <c r="DB68" s="19" t="n">
        <f aca="false">DB64+(Inputs!$F$96+Inputs!$F$97)*DB40*(1-Time!DB23)*(1-Time!DB20)+DB66-DB39</f>
        <v>5.51181991980927E-014</v>
      </c>
    </row>
    <row r="69" customFormat="false" ht="15" hidden="false" customHeight="false" outlineLevel="0" collapsed="false">
      <c r="D69" s="3" t="s">
        <v>531</v>
      </c>
    </row>
    <row r="70" customFormat="false" ht="15" hidden="false" customHeight="false" outlineLevel="0" collapsed="false">
      <c r="D70" s="0" t="s">
        <v>532</v>
      </c>
      <c r="E70" s="0" t="s">
        <v>44</v>
      </c>
      <c r="J70" s="19" t="n">
        <f aca="false">IF(Time!J21=1,$F$26,I70-I40)</f>
        <v>0</v>
      </c>
      <c r="K70" s="19" t="n">
        <f aca="false">IF(Time!K21=1,$F$26,J70-J40)</f>
        <v>0</v>
      </c>
      <c r="L70" s="19" t="n">
        <f aca="false">IF(Time!L21=1,$F$26,K70-K40)</f>
        <v>0</v>
      </c>
      <c r="M70" s="19" t="n">
        <f aca="false">IF(Time!M21=1,$F$26,L70-L40)</f>
        <v>0</v>
      </c>
      <c r="N70" s="19" t="n">
        <f aca="false">IF(Time!N21=1,$F$26,M70-M40)</f>
        <v>0</v>
      </c>
      <c r="O70" s="19" t="n">
        <f aca="false">IF(Time!O21=1,$F$26,N70-N40)</f>
        <v>0</v>
      </c>
      <c r="P70" s="19" t="n">
        <f aca="false">IF(Time!P21=1,$F$26,O70-O40)</f>
        <v>0</v>
      </c>
      <c r="Q70" s="19" t="n">
        <f aca="false">IF(Time!Q21=1,$F$26,P70-P40)</f>
        <v>0</v>
      </c>
      <c r="R70" s="19" t="n">
        <f aca="false">IF(Time!R21=1,$F$26,Q70-Q40)</f>
        <v>0</v>
      </c>
      <c r="S70" s="19" t="n">
        <f aca="false">IF(Time!S21=1,$F$26,R70-R40)</f>
        <v>0</v>
      </c>
      <c r="T70" s="19" t="n">
        <f aca="false">IF(Time!T21=1,$F$26,S70-S40)</f>
        <v>0</v>
      </c>
      <c r="U70" s="19" t="n">
        <f aca="false">IF(Time!U21=1,$F$26,T70-T40)</f>
        <v>0</v>
      </c>
      <c r="V70" s="19" t="n">
        <f aca="false">IF(Time!V21=1,$F$26,U70-U40)</f>
        <v>0</v>
      </c>
      <c r="W70" s="19" t="n">
        <f aca="false">IF(Time!W21=1,$F$26,V70-V40)</f>
        <v>0</v>
      </c>
      <c r="X70" s="19" t="n">
        <f aca="false">IF(Time!X21=1,$F$26,W70-W40)</f>
        <v>0</v>
      </c>
      <c r="Y70" s="19" t="n">
        <f aca="false">IF(Time!Y21=1,$F$26,X70-X40)</f>
        <v>0</v>
      </c>
      <c r="Z70" s="19" t="n">
        <f aca="false">IF(Time!Z21=1,$F$26,Y70-Y40)</f>
        <v>882.130169013</v>
      </c>
      <c r="AA70" s="19" t="n">
        <f aca="false">IF(Time!AA21=1,$F$26,Z70-Z40)</f>
        <v>882.130169013</v>
      </c>
      <c r="AB70" s="19" t="n">
        <f aca="false">IF(Time!AB21=1,$F$26,AA70-AA40)</f>
        <v>882.130169013</v>
      </c>
      <c r="AC70" s="19" t="n">
        <f aca="false">IF(Time!AC21=1,$F$26,AB70-AB40)</f>
        <v>882.130169013</v>
      </c>
      <c r="AD70" s="19" t="n">
        <f aca="false">IF(Time!AD21=1,$F$26,AC70-AC40)</f>
        <v>882.130169013</v>
      </c>
      <c r="AE70" s="19" t="n">
        <f aca="false">IF(Time!AE21=1,$F$26,AD70-AD40)</f>
        <v>882.130169013</v>
      </c>
      <c r="AF70" s="19" t="n">
        <f aca="false">IF(Time!AF21=1,$F$26,AE70-AE40)</f>
        <v>882.130169013</v>
      </c>
      <c r="AG70" s="19" t="n">
        <f aca="false">IF(Time!AG21=1,$F$26,AF70-AF40)</f>
        <v>882.130169013</v>
      </c>
      <c r="AH70" s="19" t="n">
        <f aca="false">IF(Time!AH21=1,$F$26,AG70-AG40)</f>
        <v>882.130169013</v>
      </c>
      <c r="AI70" s="19" t="n">
        <f aca="false">IF(Time!AI21=1,$F$26,AH70-AH40)</f>
        <v>882.130169013</v>
      </c>
      <c r="AJ70" s="19" t="n">
        <f aca="false">IF(Time!AJ21=1,$F$26,AI70-AI40)</f>
        <v>882.130169013</v>
      </c>
      <c r="AK70" s="19" t="n">
        <f aca="false">IF(Time!AK21=1,$F$26,AJ70-AJ40)</f>
        <v>882.130169013</v>
      </c>
      <c r="AL70" s="19" t="n">
        <f aca="false">IF(Time!AL21=1,$F$26,AK70-AK40)</f>
        <v>882.130169013</v>
      </c>
      <c r="AM70" s="19" t="n">
        <f aca="false">IF(Time!AM21=1,$F$26,AL70-AL40)</f>
        <v>882.130169013</v>
      </c>
      <c r="AN70" s="19" t="n">
        <f aca="false">IF(Time!AN21=1,$F$26,AM70-AM40)</f>
        <v>882.130169013</v>
      </c>
      <c r="AO70" s="19" t="n">
        <f aca="false">IF(Time!AO21=1,$F$26,AN70-AN40)</f>
        <v>882.130169013</v>
      </c>
      <c r="AP70" s="19" t="n">
        <f aca="false">IF(Time!AP21=1,$F$26,AO70-AO40)</f>
        <v>882.130169013</v>
      </c>
      <c r="AQ70" s="19" t="n">
        <f aca="false">IF(Time!AQ21=1,$F$26,AP70-AP40)</f>
        <v>882.130169013</v>
      </c>
      <c r="AR70" s="19" t="n">
        <f aca="false">IF(Time!AR21=1,$F$26,AQ70-AQ40)</f>
        <v>882.130169013</v>
      </c>
      <c r="AS70" s="19" t="n">
        <f aca="false">IF(Time!AS21=1,$F$26,AR70-AR40)</f>
        <v>882.130169013</v>
      </c>
      <c r="AT70" s="19" t="n">
        <f aca="false">IF(Time!AT21=1,$F$26,AS70-AS40)</f>
        <v>882.130169013</v>
      </c>
      <c r="AU70" s="19" t="n">
        <f aca="false">IF(Time!AU21=1,$F$26,AT70-AT40)</f>
        <v>882.130169013</v>
      </c>
      <c r="AV70" s="19" t="n">
        <f aca="false">IF(Time!AV21=1,$F$26,AU70-AU40)</f>
        <v>882.130169013</v>
      </c>
      <c r="AW70" s="19" t="n">
        <f aca="false">IF(Time!AW21=1,$F$26,AV70-AV40)</f>
        <v>882.121627576302</v>
      </c>
      <c r="AX70" s="19" t="n">
        <f aca="false">IF(Time!AX21=1,$F$26,AW70-AW40)</f>
        <v>880.302762115637</v>
      </c>
      <c r="AY70" s="19" t="n">
        <f aca="false">IF(Time!AY21=1,$F$26,AX70-AX40)</f>
        <v>878.148959329941</v>
      </c>
      <c r="AZ70" s="19" t="n">
        <f aca="false">IF(Time!AZ21=1,$F$26,AY70-AY40)</f>
        <v>876.301186064216</v>
      </c>
      <c r="BA70" s="19" t="n">
        <f aca="false">IF(Time!BA21=1,$F$26,AZ70-AZ40)</f>
        <v>874.01085201668</v>
      </c>
      <c r="BB70" s="19" t="n">
        <f aca="false">IF(Time!BB21=1,$F$26,BA70-BA40)</f>
        <v>870.599163609078</v>
      </c>
      <c r="BC70" s="19" t="n">
        <f aca="false">IF(Time!BC21=1,$F$26,BB70-BB40)</f>
        <v>866.802307458168</v>
      </c>
      <c r="BD70" s="19" t="n">
        <f aca="false">IF(Time!BD21=1,$F$26,BC70-BC40)</f>
        <v>858.55730112319</v>
      </c>
      <c r="BE70" s="19" t="n">
        <f aca="false">IF(Time!BE21=1,$F$26,BD70-BD40)</f>
        <v>849.796382488338</v>
      </c>
      <c r="BF70" s="19" t="n">
        <f aca="false">IF(Time!BF21=1,$F$26,BE70-BE40)</f>
        <v>838.024562274509</v>
      </c>
      <c r="BG70" s="19" t="n">
        <f aca="false">IF(Time!BG21=1,$F$26,BF70-BF40)</f>
        <v>825.642038585119</v>
      </c>
      <c r="BH70" s="19" t="n">
        <f aca="false">IF(Time!BH21=1,$F$26,BG70-BG40)</f>
        <v>811.595918927908</v>
      </c>
      <c r="BI70" s="19" t="n">
        <f aca="false">IF(Time!BI21=1,$F$26,BH70-BH40)</f>
        <v>796.736838999264</v>
      </c>
      <c r="BJ70" s="19" t="n">
        <f aca="false">IF(Time!BJ21=1,$F$26,BI70-BI40)</f>
        <v>780.169235639476</v>
      </c>
      <c r="BK70" s="19" t="n">
        <f aca="false">IF(Time!BK21=1,$F$26,BJ70-BJ40)</f>
        <v>762.863397819266</v>
      </c>
      <c r="BL70" s="19" t="n">
        <f aca="false">IF(Time!BL21=1,$F$26,BK70-BK40)</f>
        <v>743.555568810816</v>
      </c>
      <c r="BM70" s="19" t="n">
        <f aca="false">IF(Time!BM21=1,$F$26,BL70-BL40)</f>
        <v>723.437977791559</v>
      </c>
      <c r="BN70" s="19" t="n">
        <f aca="false">IF(Time!BN21=1,$F$26,BM70-BM40)</f>
        <v>701.167424414755</v>
      </c>
      <c r="BO70" s="19" t="n">
        <f aca="false">IF(Time!BO21=1,$F$26,BN70-BN40)</f>
        <v>678.01182258374</v>
      </c>
      <c r="BP70" s="19" t="n">
        <f aca="false">IF(Time!BP21=1,$F$26,BO70-BO40)</f>
        <v>659.512752265273</v>
      </c>
      <c r="BQ70" s="19" t="n">
        <f aca="false">IF(Time!BQ21=1,$F$26,BP70-BP40)</f>
        <v>640.035466164602</v>
      </c>
      <c r="BR70" s="19" t="n">
        <f aca="false">IF(Time!BR21=1,$F$26,BQ70-BQ40)</f>
        <v>618.42134714667</v>
      </c>
      <c r="BS70" s="19" t="n">
        <f aca="false">IF(Time!BS21=1,$F$26,BR70-BR40)</f>
        <v>596.422235589627</v>
      </c>
      <c r="BT70" s="19" t="n">
        <f aca="false">IF(Time!BT21=1,$F$26,BS70-BS40)</f>
        <v>571.981315839183</v>
      </c>
      <c r="BU70" s="19" t="n">
        <f aca="false">IF(Time!BU21=1,$F$26,BT70-BT40)</f>
        <v>547.101452493771</v>
      </c>
      <c r="BV70" s="19" t="n">
        <f aca="false">IF(Time!BV21=1,$F$26,BU70-BU40)</f>
        <v>512.635932424413</v>
      </c>
      <c r="BW70" s="19" t="n">
        <f aca="false">IF(Time!BW21=1,$F$26,BV70-BV40)</f>
        <v>477.49081155156</v>
      </c>
      <c r="BX70" s="19" t="n">
        <f aca="false">IF(Time!BX21=1,$F$26,BW70-BW40)</f>
        <v>439.387631697018</v>
      </c>
      <c r="BY70" s="19" t="n">
        <f aca="false">IF(Time!BY21=1,$F$26,BX70-BX40)</f>
        <v>400.289010665604</v>
      </c>
      <c r="BZ70" s="19" t="n">
        <f aca="false">IF(Time!BZ21=1,$F$26,BY70-BY40)</f>
        <v>358.283315860369</v>
      </c>
      <c r="CA70" s="19" t="n">
        <f aca="false">IF(Time!CA21=1,$F$26,BZ70-BZ40)</f>
        <v>315.455646724711</v>
      </c>
      <c r="CB70" s="19" t="n">
        <f aca="false">IF(Time!CB21=1,$F$26,CA70-CA40)</f>
        <v>273.790036850221</v>
      </c>
      <c r="CC70" s="19" t="n">
        <f aca="false">IF(Time!CC21=1,$F$26,CB70-CB40)</f>
        <v>231.341950911678</v>
      </c>
      <c r="CD70" s="19" t="n">
        <f aca="false">IF(Time!CD21=1,$F$26,CC70-CC40)</f>
        <v>185.458012364027</v>
      </c>
      <c r="CE70" s="19" t="n">
        <f aca="false">IF(Time!CE21=1,$F$26,CD70-CD40)</f>
        <v>138.712134534946</v>
      </c>
      <c r="CF70" s="19" t="n">
        <f aca="false">IF(Time!CF21=1,$F$26,CE70-CE40)</f>
        <v>90.4997335684404</v>
      </c>
      <c r="CG70" s="19" t="n">
        <f aca="false">IF(Time!CG21=1,$F$26,CF70-CF40)</f>
        <v>47.3050216277184</v>
      </c>
      <c r="CH70" s="19" t="n">
        <f aca="false">IF(Time!CH21=1,$F$26,CG70-CG40)</f>
        <v>2.1174173525651E-012</v>
      </c>
      <c r="CI70" s="19" t="n">
        <f aca="false">IF(Time!CI21=1,$F$26,CH70-CH40)</f>
        <v>2.1174173525651E-012</v>
      </c>
      <c r="CJ70" s="19" t="n">
        <f aca="false">IF(Time!CJ21=1,$F$26,CI70-CI40)</f>
        <v>2.1174173525651E-012</v>
      </c>
      <c r="CK70" s="19" t="n">
        <f aca="false">IF(Time!CK21=1,$F$26,CJ70-CJ40)</f>
        <v>2.1174173525651E-012</v>
      </c>
      <c r="CL70" s="19" t="n">
        <f aca="false">IF(Time!CL21=1,$F$26,CK70-CK40)</f>
        <v>2.1174173525651E-012</v>
      </c>
      <c r="CM70" s="19" t="n">
        <f aca="false">IF(Time!CM21=1,$F$26,CL70-CL40)</f>
        <v>2.1174173525651E-012</v>
      </c>
      <c r="CN70" s="19" t="n">
        <f aca="false">IF(Time!CN21=1,$F$26,CM70-CM40)</f>
        <v>2.1174173525651E-012</v>
      </c>
      <c r="CO70" s="19" t="n">
        <f aca="false">IF(Time!CO21=1,$F$26,CN70-CN40)</f>
        <v>2.1174173525651E-012</v>
      </c>
      <c r="CP70" s="19" t="n">
        <f aca="false">IF(Time!CP21=1,$F$26,CO70-CO40)</f>
        <v>2.1174173525651E-012</v>
      </c>
      <c r="CQ70" s="19" t="n">
        <f aca="false">IF(Time!CQ21=1,$F$26,CP70-CP40)</f>
        <v>2.1174173525651E-012</v>
      </c>
      <c r="CR70" s="19" t="n">
        <f aca="false">IF(Time!CR21=1,$F$26,CQ70-CQ40)</f>
        <v>2.1174173525651E-012</v>
      </c>
      <c r="CS70" s="19" t="n">
        <f aca="false">IF(Time!CS21=1,$F$26,CR70-CR40)</f>
        <v>2.1174173525651E-012</v>
      </c>
      <c r="CT70" s="19" t="n">
        <f aca="false">IF(Time!CT21=1,$F$26,CS70-CS40)</f>
        <v>2.1174173525651E-012</v>
      </c>
      <c r="CU70" s="19" t="n">
        <f aca="false">IF(Time!CU21=1,$F$26,CT70-CT40)</f>
        <v>2.1174173525651E-012</v>
      </c>
      <c r="CV70" s="19" t="n">
        <f aca="false">IF(Time!CV21=1,$F$26,CU70-CU40)</f>
        <v>2.1174173525651E-012</v>
      </c>
      <c r="CW70" s="19" t="n">
        <f aca="false">IF(Time!CW21=1,$F$26,CV70-CV40)</f>
        <v>2.1174173525651E-012</v>
      </c>
      <c r="CX70" s="19" t="n">
        <f aca="false">IF(Time!CX21=1,$F$26,CW70-CW40)</f>
        <v>2.1174173525651E-012</v>
      </c>
      <c r="CY70" s="19" t="n">
        <f aca="false">IF(Time!CY21=1,$F$26,CX70-CX40)</f>
        <v>2.1174173525651E-012</v>
      </c>
      <c r="CZ70" s="19" t="n">
        <f aca="false">IF(Time!CZ21=1,$F$26,CY70-CY40)</f>
        <v>2.1174173525651E-012</v>
      </c>
      <c r="DA70" s="19" t="n">
        <f aca="false">IF(Time!DA21=1,$F$26,CZ70-CZ40)</f>
        <v>2.1174173525651E-012</v>
      </c>
      <c r="DB70" s="19" t="n">
        <f aca="false">IF(Time!DB21=1,$F$26,DA70-DA40)</f>
        <v>2.1174173525651E-012</v>
      </c>
    </row>
    <row r="71" customFormat="false" ht="15" hidden="false" customHeight="false" outlineLevel="0" collapsed="false">
      <c r="D71" s="0" t="s">
        <v>533</v>
      </c>
      <c r="E71" s="0" t="s">
        <v>171</v>
      </c>
      <c r="J71" s="27" t="n">
        <f aca="false">IF(Time!J52=1,IF(Time!I52=1,I71,1)/(1+Inputs!$F$101/100*Time!J9/Inputs!$F$45),0)</f>
        <v>0</v>
      </c>
      <c r="K71" s="27" t="n">
        <f aca="false">IF(Time!K52=1,IF(Time!J52=1,J71,1)/(1+Inputs!$F$101/100*Time!K9/Inputs!$F$45),0)</f>
        <v>0</v>
      </c>
      <c r="L71" s="27" t="n">
        <f aca="false">IF(Time!L52=1,IF(Time!K52=1,K71,1)/(1+Inputs!$F$101/100*Time!L9/Inputs!$F$45),0)</f>
        <v>0</v>
      </c>
      <c r="M71" s="27" t="n">
        <f aca="false">IF(Time!M52=1,IF(Time!L52=1,L71,1)/(1+Inputs!$F$101/100*Time!M9/Inputs!$F$45),0)</f>
        <v>0</v>
      </c>
      <c r="N71" s="27" t="n">
        <f aca="false">IF(Time!N52=1,IF(Time!M52=1,M71,1)/(1+Inputs!$F$101/100*Time!N9/Inputs!$F$45),0)</f>
        <v>0</v>
      </c>
      <c r="O71" s="27" t="n">
        <f aca="false">IF(Time!O52=1,IF(Time!N52=1,N71,1)/(1+Inputs!$F$101/100*Time!O9/Inputs!$F$45),0)</f>
        <v>0</v>
      </c>
      <c r="P71" s="27" t="n">
        <f aca="false">IF(Time!P52=1,IF(Time!O52=1,O71,1)/(1+Inputs!$F$101/100*Time!P9/Inputs!$F$45),0)</f>
        <v>0</v>
      </c>
      <c r="Q71" s="27" t="n">
        <f aca="false">IF(Time!Q52=1,IF(Time!P52=1,P71,1)/(1+Inputs!$F$101/100*Time!Q9/Inputs!$F$45),0)</f>
        <v>0</v>
      </c>
      <c r="R71" s="27" t="n">
        <f aca="false">IF(Time!R52=1,IF(Time!Q52=1,Q71,1)/(1+Inputs!$F$101/100*Time!R9/Inputs!$F$45),0)</f>
        <v>0</v>
      </c>
      <c r="S71" s="27" t="n">
        <f aca="false">IF(Time!S52=1,IF(Time!R52=1,R71,1)/(1+Inputs!$F$101/100*Time!S9/Inputs!$F$45),0)</f>
        <v>0</v>
      </c>
      <c r="T71" s="27" t="n">
        <f aca="false">IF(Time!T52=1,IF(Time!S52=1,S71,1)/(1+Inputs!$F$101/100*Time!T9/Inputs!$F$45),0)</f>
        <v>0</v>
      </c>
      <c r="U71" s="27" t="n">
        <f aca="false">IF(Time!U52=1,IF(Time!T52=1,T71,1)/(1+Inputs!$F$101/100*Time!U9/Inputs!$F$45),0)</f>
        <v>0</v>
      </c>
      <c r="V71" s="27" t="n">
        <f aca="false">IF(Time!V52=1,IF(Time!U52=1,U71,1)/(1+Inputs!$F$101/100*Time!V9/Inputs!$F$45),0)</f>
        <v>0</v>
      </c>
      <c r="W71" s="27" t="n">
        <f aca="false">IF(Time!W52=1,IF(Time!V52=1,V71,1)/(1+Inputs!$F$101/100*Time!W9/Inputs!$F$45),0)</f>
        <v>0</v>
      </c>
      <c r="X71" s="27" t="n">
        <f aca="false">IF(Time!X52=1,IF(Time!W52=1,W71,1)/(1+Inputs!$F$101/100*Time!X9/Inputs!$F$45),0)</f>
        <v>0</v>
      </c>
      <c r="Y71" s="27" t="n">
        <f aca="false">IF(Time!Y52=1,IF(Time!X52=1,X71,1)/(1+Inputs!$F$101/100*Time!Y9/Inputs!$F$45),0)</f>
        <v>0</v>
      </c>
      <c r="Z71" s="27" t="n">
        <f aca="false">IF(Time!Z52=1,IF(Time!Y52=1,Y71,1)/(1+Inputs!$F$101/100*Time!Z9/Inputs!$F$45),0)</f>
        <v>0</v>
      </c>
      <c r="AA71" s="27" t="n">
        <f aca="false">IF(Time!AA52=1,IF(Time!Z52=1,Z71,1)/(1+Inputs!$F$101/100*Time!AA9/Inputs!$F$45),0)</f>
        <v>0</v>
      </c>
      <c r="AB71" s="27" t="n">
        <f aca="false">IF(Time!AB52=1,IF(Time!AA52=1,AA71,1)/(1+Inputs!$F$101/100*Time!AB9/Inputs!$F$45),0)</f>
        <v>0</v>
      </c>
      <c r="AC71" s="27" t="n">
        <f aca="false">IF(Time!AC52=1,IF(Time!AB52=1,AB71,1)/(1+Inputs!$F$101/100*Time!AC9/Inputs!$F$45),0)</f>
        <v>0</v>
      </c>
      <c r="AD71" s="27" t="n">
        <f aca="false">IF(Time!AD52=1,IF(Time!AC52=1,AC71,1)/(1+Inputs!$F$101/100*Time!AD9/Inputs!$F$45),0)</f>
        <v>0</v>
      </c>
      <c r="AE71" s="27" t="n">
        <f aca="false">IF(Time!AE52=1,IF(Time!AD52=1,AD71,1)/(1+Inputs!$F$101/100*Time!AE9/Inputs!$F$45),0)</f>
        <v>0</v>
      </c>
      <c r="AF71" s="27" t="n">
        <f aca="false">IF(Time!AF52=1,IF(Time!AE52=1,AE71,1)/(1+Inputs!$F$101/100*Time!AF9/Inputs!$F$45),0)</f>
        <v>0</v>
      </c>
      <c r="AG71" s="27" t="n">
        <f aca="false">IF(Time!AG52=1,IF(Time!AF52=1,AF71,1)/(1+Inputs!$F$101/100*Time!AG9/Inputs!$F$45),0)</f>
        <v>0</v>
      </c>
      <c r="AH71" s="27" t="n">
        <f aca="false">IF(Time!AH52=1,IF(Time!AG52=1,AG71,1)/(1+Inputs!$F$101/100*Time!AH9/Inputs!$F$45),0)</f>
        <v>0</v>
      </c>
      <c r="AI71" s="27" t="n">
        <f aca="false">IF(Time!AI52=1,IF(Time!AH52=1,AH71,1)/(1+Inputs!$F$101/100*Time!AI9/Inputs!$F$45),0)</f>
        <v>0</v>
      </c>
      <c r="AJ71" s="27" t="n">
        <f aca="false">IF(Time!AJ52=1,IF(Time!AI52=1,AI71,1)/(1+Inputs!$F$101/100*Time!AJ9/Inputs!$F$45),0)</f>
        <v>0.978722308862237</v>
      </c>
      <c r="AK71" s="27" t="n">
        <f aca="false">IF(Time!AK52=1,IF(Time!AJ52=1,AJ71,1)/(1+Inputs!$F$101/100*Time!AK9/Inputs!$F$45),0)</f>
        <v>0.957673433913664</v>
      </c>
      <c r="AL71" s="27" t="n">
        <f aca="false">IF(Time!AL52=1,IF(Time!AK52=1,AK71,1)/(1+Inputs!$F$101/100*Time!AL9/Inputs!$F$45),0)</f>
        <v>0.937405946871658</v>
      </c>
      <c r="AM71" s="27" t="n">
        <f aca="false">IF(Time!AM52=1,IF(Time!AL52=1,AL71,1)/(1+Inputs!$F$101/100*Time!AM9/Inputs!$F$45),0)</f>
        <v>0.917245641570466</v>
      </c>
      <c r="AN71" s="27" t="n">
        <f aca="false">IF(Time!AN52=1,IF(Time!AM52=1,AM71,1)/(1+Inputs!$F$101/100*Time!AN9/Inputs!$F$45),0)</f>
        <v>0.897833738204937</v>
      </c>
      <c r="AO71" s="27" t="n">
        <f aca="false">IF(Time!AO52=1,IF(Time!AN52=1,AN71,1)/(1+Inputs!$F$101/100*Time!AO9/Inputs!$F$45),0)</f>
        <v>0.878524491946869</v>
      </c>
      <c r="AP71" s="27" t="n">
        <f aca="false">IF(Time!AP52=1,IF(Time!AO52=1,AO71,1)/(1+Inputs!$F$101/100*Time!AP9/Inputs!$F$45),0)</f>
        <v>0.859932054142832</v>
      </c>
      <c r="AQ71" s="27" t="n">
        <f aca="false">IF(Time!AQ52=1,IF(Time!AP52=1,AP71,1)/(1+Inputs!$F$101/100*Time!AQ9/Inputs!$F$45),0)</f>
        <v>0.84143793981845</v>
      </c>
      <c r="AR71" s="27" t="n">
        <f aca="false">IF(Time!AR52=1,IF(Time!AQ52=1,AQ71,1)/(1+Inputs!$F$101/100*Time!AR9/Inputs!$F$45),0)</f>
        <v>0.823534083223397</v>
      </c>
      <c r="AS71" s="27" t="n">
        <f aca="false">IF(Time!AS52=1,IF(Time!AR52=1,AR71,1)/(1+Inputs!$F$101/100*Time!AS9/Inputs!$F$45),0)</f>
        <v>0.805822761251174</v>
      </c>
      <c r="AT71" s="27" t="n">
        <f aca="false">IF(Time!AT52=1,IF(Time!AS52=1,AS71,1)/(1+Inputs!$F$101/100*Time!AT9/Inputs!$F$45),0)</f>
        <v>0.788768928709251</v>
      </c>
      <c r="AU71" s="27" t="n">
        <f aca="false">IF(Time!AU52=1,IF(Time!AT52=1,AT71,1)/(1+Inputs!$F$101/100*Time!AU9/Inputs!$F$45),0)</f>
        <v>0.771805282950505</v>
      </c>
      <c r="AV71" s="27" t="n">
        <f aca="false">IF(Time!AV52=1,IF(Time!AU52=1,AU71,1)/(1+Inputs!$F$101/100*Time!AV9/Inputs!$F$45),0)</f>
        <v>0.75547137097466</v>
      </c>
      <c r="AW71" s="27" t="n">
        <f aca="false">IF(Time!AW52=1,IF(Time!AV52=1,AV71,1)/(1+Inputs!$F$101/100*Time!AW9/Inputs!$F$45),0)</f>
        <v>0.739223838583824</v>
      </c>
      <c r="AX71" s="27" t="n">
        <f aca="false">IF(Time!AX52=1,IF(Time!AW52=1,AW71,1)/(1+Inputs!$F$101/100*Time!AX9/Inputs!$F$45),0)</f>
        <v>0.723579456021793</v>
      </c>
      <c r="AY71" s="27" t="n">
        <f aca="false">IF(Time!AY52=1,IF(Time!AX52=1,AX71,1)/(1+Inputs!$F$101/100*Time!AY9/Inputs!$F$45),0)</f>
        <v>0.708017806565918</v>
      </c>
      <c r="AZ71" s="27" t="n">
        <f aca="false">IF(Time!AZ52=1,IF(Time!AY52=1,AY71,1)/(1+Inputs!$F$101/100*Time!AZ9/Inputs!$F$45),0)</f>
        <v>0.692952822357771</v>
      </c>
      <c r="BA71" s="27" t="n">
        <f aca="false">IF(Time!BA52=1,IF(Time!AZ52=1,AZ71,1)/(1+Inputs!$F$101/100*Time!BA9/Inputs!$F$45),0)</f>
        <v>0.678049844086003</v>
      </c>
      <c r="BB71" s="27" t="n">
        <f aca="false">IF(Time!BB52=1,IF(Time!BA52=1,BA71,1)/(1+Inputs!$F$101/100*Time!BB9/Inputs!$F$45),0)</f>
        <v>0.663700102365918</v>
      </c>
      <c r="BC71" s="27" t="n">
        <f aca="false">IF(Time!BC52=1,IF(Time!BB52=1,BB71,1)/(1+Inputs!$F$101/100*Time!BC9/Inputs!$F$45),0)</f>
        <v>0.649426247226869</v>
      </c>
      <c r="BD71" s="27" t="n">
        <f aca="false">IF(Time!BD52=1,IF(Time!BC52=1,BC71,1)/(1+Inputs!$F$101/100*Time!BD9/Inputs!$F$45),0)</f>
        <v>0.635682273984738</v>
      </c>
      <c r="BE71" s="27" t="n">
        <f aca="false">IF(Time!BE52=1,IF(Time!BD52=1,BD71,1)/(1+Inputs!$F$101/100*Time!BE9/Inputs!$F$45),0)</f>
        <v>0.62201098380266</v>
      </c>
      <c r="BF71" s="27" t="n">
        <f aca="false">IF(Time!BF52=1,IF(Time!BE52=1,BE71,1)/(1+Inputs!$F$101/100*Time!BF9/Inputs!$F$45),0)</f>
        <v>0.608847206769932</v>
      </c>
      <c r="BG71" s="27" t="n">
        <f aca="false">IF(Time!BG52=1,IF(Time!BF52=1,BF71,1)/(1+Inputs!$F$101/100*Time!BG9/Inputs!$F$45),0)</f>
        <v>0</v>
      </c>
      <c r="BH71" s="27" t="n">
        <f aca="false">IF(Time!BH52=1,IF(Time!BG52=1,BG71,1)/(1+Inputs!$F$101/100*Time!BH9/Inputs!$F$45),0)</f>
        <v>0</v>
      </c>
      <c r="BI71" s="27" t="n">
        <f aca="false">IF(Time!BI52=1,IF(Time!BH52=1,BH71,1)/(1+Inputs!$F$101/100*Time!BI9/Inputs!$F$45),0)</f>
        <v>0</v>
      </c>
      <c r="BJ71" s="27" t="n">
        <f aca="false">IF(Time!BJ52=1,IF(Time!BI52=1,BI71,1)/(1+Inputs!$F$101/100*Time!BJ9/Inputs!$F$45),0)</f>
        <v>0</v>
      </c>
      <c r="BK71" s="27" t="n">
        <f aca="false">IF(Time!BK52=1,IF(Time!BJ52=1,BJ71,1)/(1+Inputs!$F$101/100*Time!BK9/Inputs!$F$45),0)</f>
        <v>0</v>
      </c>
      <c r="BL71" s="27" t="n">
        <f aca="false">IF(Time!BL52=1,IF(Time!BK52=1,BK71,1)/(1+Inputs!$F$101/100*Time!BL9/Inputs!$F$45),0)</f>
        <v>0</v>
      </c>
      <c r="BM71" s="27" t="n">
        <f aca="false">IF(Time!BM52=1,IF(Time!BL52=1,BL71,1)/(1+Inputs!$F$101/100*Time!BM9/Inputs!$F$45),0)</f>
        <v>0</v>
      </c>
      <c r="BN71" s="27" t="n">
        <f aca="false">IF(Time!BN52=1,IF(Time!BM52=1,BM71,1)/(1+Inputs!$F$101/100*Time!BN9/Inputs!$F$45),0)</f>
        <v>0</v>
      </c>
      <c r="BO71" s="27" t="n">
        <f aca="false">IF(Time!BO52=1,IF(Time!BN52=1,BN71,1)/(1+Inputs!$F$101/100*Time!BO9/Inputs!$F$45),0)</f>
        <v>0</v>
      </c>
      <c r="BP71" s="27" t="n">
        <f aca="false">IF(Time!BP52=1,IF(Time!BO52=1,BO71,1)/(1+Inputs!$F$101/100*Time!BP9/Inputs!$F$45),0)</f>
        <v>0</v>
      </c>
      <c r="BQ71" s="27" t="n">
        <f aca="false">IF(Time!BQ52=1,IF(Time!BP52=1,BP71,1)/(1+Inputs!$F$101/100*Time!BQ9/Inputs!$F$45),0)</f>
        <v>0</v>
      </c>
      <c r="BR71" s="27" t="n">
        <f aca="false">IF(Time!BR52=1,IF(Time!BQ52=1,BQ71,1)/(1+Inputs!$F$101/100*Time!BR9/Inputs!$F$45),0)</f>
        <v>0</v>
      </c>
      <c r="BS71" s="27" t="n">
        <f aca="false">IF(Time!BS52=1,IF(Time!BR52=1,BR71,1)/(1+Inputs!$F$101/100*Time!BS9/Inputs!$F$45),0)</f>
        <v>0</v>
      </c>
      <c r="BT71" s="27" t="n">
        <f aca="false">IF(Time!BT52=1,IF(Time!BS52=1,BS71,1)/(1+Inputs!$F$101/100*Time!BT9/Inputs!$F$45),0)</f>
        <v>0</v>
      </c>
      <c r="BU71" s="27" t="n">
        <f aca="false">IF(Time!BU52=1,IF(Time!BT52=1,BT71,1)/(1+Inputs!$F$101/100*Time!BU9/Inputs!$F$45),0)</f>
        <v>0</v>
      </c>
      <c r="BV71" s="27" t="n">
        <f aca="false">IF(Time!BV52=1,IF(Time!BU52=1,BU71,1)/(1+Inputs!$F$101/100*Time!BV9/Inputs!$F$45),0)</f>
        <v>0</v>
      </c>
      <c r="BW71" s="27" t="n">
        <f aca="false">IF(Time!BW52=1,IF(Time!BV52=1,BV71,1)/(1+Inputs!$F$101/100*Time!BW9/Inputs!$F$45),0)</f>
        <v>0</v>
      </c>
      <c r="BX71" s="27" t="n">
        <f aca="false">IF(Time!BX52=1,IF(Time!BW52=1,BW71,1)/(1+Inputs!$F$101/100*Time!BX9/Inputs!$F$45),0)</f>
        <v>0</v>
      </c>
      <c r="BY71" s="27" t="n">
        <f aca="false">IF(Time!BY52=1,IF(Time!BX52=1,BX71,1)/(1+Inputs!$F$101/100*Time!BY9/Inputs!$F$45),0)</f>
        <v>0</v>
      </c>
      <c r="BZ71" s="27" t="n">
        <f aca="false">IF(Time!BZ52=1,IF(Time!BY52=1,BY71,1)/(1+Inputs!$F$101/100*Time!BZ9/Inputs!$F$45),0)</f>
        <v>0</v>
      </c>
      <c r="CA71" s="27" t="n">
        <f aca="false">IF(Time!CA52=1,IF(Time!BZ52=1,BZ71,1)/(1+Inputs!$F$101/100*Time!CA9/Inputs!$F$45),0)</f>
        <v>0</v>
      </c>
      <c r="CB71" s="27" t="n">
        <f aca="false">IF(Time!CB52=1,IF(Time!CA52=1,CA71,1)/(1+Inputs!$F$101/100*Time!CB9/Inputs!$F$45),0)</f>
        <v>0</v>
      </c>
      <c r="CC71" s="27" t="n">
        <f aca="false">IF(Time!CC52=1,IF(Time!CB52=1,CB71,1)/(1+Inputs!$F$101/100*Time!CC9/Inputs!$F$45),0)</f>
        <v>0</v>
      </c>
      <c r="CD71" s="27" t="n">
        <f aca="false">IF(Time!CD52=1,IF(Time!CC52=1,CC71,1)/(1+Inputs!$F$101/100*Time!CD9/Inputs!$F$45),0)</f>
        <v>0</v>
      </c>
      <c r="CE71" s="27" t="n">
        <f aca="false">IF(Time!CE52=1,IF(Time!CD52=1,CD71,1)/(1+Inputs!$F$101/100*Time!CE9/Inputs!$F$45),0)</f>
        <v>0</v>
      </c>
      <c r="CF71" s="27" t="n">
        <f aca="false">IF(Time!CF52=1,IF(Time!CE52=1,CE71,1)/(1+Inputs!$F$101/100*Time!CF9/Inputs!$F$45),0)</f>
        <v>0</v>
      </c>
      <c r="CG71" s="27" t="n">
        <f aca="false">IF(Time!CG52=1,IF(Time!CF52=1,CF71,1)/(1+Inputs!$F$101/100*Time!CG9/Inputs!$F$45),0)</f>
        <v>0</v>
      </c>
      <c r="CH71" s="27" t="n">
        <f aca="false">IF(Time!CH52=1,IF(Time!CG52=1,CG71,1)/(1+Inputs!$F$101/100*Time!CH9/Inputs!$F$45),0)</f>
        <v>0</v>
      </c>
      <c r="CI71" s="27" t="n">
        <f aca="false">IF(Time!CI52=1,IF(Time!CH52=1,CH71,1)/(1+Inputs!$F$101/100*Time!CI9/Inputs!$F$45),0)</f>
        <v>0</v>
      </c>
      <c r="CJ71" s="27" t="n">
        <f aca="false">IF(Time!CJ52=1,IF(Time!CI52=1,CI71,1)/(1+Inputs!$F$101/100*Time!CJ9/Inputs!$F$45),0)</f>
        <v>0</v>
      </c>
      <c r="CK71" s="27" t="n">
        <f aca="false">IF(Time!CK52=1,IF(Time!CJ52=1,CJ71,1)/(1+Inputs!$F$101/100*Time!CK9/Inputs!$F$45),0)</f>
        <v>0</v>
      </c>
      <c r="CL71" s="27" t="n">
        <f aca="false">IF(Time!CL52=1,IF(Time!CK52=1,CK71,1)/(1+Inputs!$F$101/100*Time!CL9/Inputs!$F$45),0)</f>
        <v>0</v>
      </c>
      <c r="CM71" s="27" t="n">
        <f aca="false">IF(Time!CM52=1,IF(Time!CL52=1,CL71,1)/(1+Inputs!$F$101/100*Time!CM9/Inputs!$F$45),0)</f>
        <v>0</v>
      </c>
      <c r="CN71" s="27" t="n">
        <f aca="false">IF(Time!CN52=1,IF(Time!CM52=1,CM71,1)/(1+Inputs!$F$101/100*Time!CN9/Inputs!$F$45),0)</f>
        <v>0</v>
      </c>
      <c r="CO71" s="27" t="n">
        <f aca="false">IF(Time!CO52=1,IF(Time!CN52=1,CN71,1)/(1+Inputs!$F$101/100*Time!CO9/Inputs!$F$45),0)</f>
        <v>0</v>
      </c>
      <c r="CP71" s="27" t="n">
        <f aca="false">IF(Time!CP52=1,IF(Time!CO52=1,CO71,1)/(1+Inputs!$F$101/100*Time!CP9/Inputs!$F$45),0)</f>
        <v>0</v>
      </c>
      <c r="CQ71" s="27" t="n">
        <f aca="false">IF(Time!CQ52=1,IF(Time!CP52=1,CP71,1)/(1+Inputs!$F$101/100*Time!CQ9/Inputs!$F$45),0)</f>
        <v>0</v>
      </c>
      <c r="CR71" s="27" t="n">
        <f aca="false">IF(Time!CR52=1,IF(Time!CQ52=1,CQ71,1)/(1+Inputs!$F$101/100*Time!CR9/Inputs!$F$45),0)</f>
        <v>0</v>
      </c>
      <c r="CS71" s="27" t="n">
        <f aca="false">IF(Time!CS52=1,IF(Time!CR52=1,CR71,1)/(1+Inputs!$F$101/100*Time!CS9/Inputs!$F$45),0)</f>
        <v>0</v>
      </c>
      <c r="CT71" s="27" t="n">
        <f aca="false">IF(Time!CT52=1,IF(Time!CS52=1,CS71,1)/(1+Inputs!$F$101/100*Time!CT9/Inputs!$F$45),0)</f>
        <v>0</v>
      </c>
      <c r="CU71" s="27" t="n">
        <f aca="false">IF(Time!CU52=1,IF(Time!CT52=1,CT71,1)/(1+Inputs!$F$101/100*Time!CU9/Inputs!$F$45),0)</f>
        <v>0</v>
      </c>
      <c r="CV71" s="27" t="n">
        <f aca="false">IF(Time!CV52=1,IF(Time!CU52=1,CU71,1)/(1+Inputs!$F$101/100*Time!CV9/Inputs!$F$45),0)</f>
        <v>0</v>
      </c>
      <c r="CW71" s="27" t="n">
        <f aca="false">IF(Time!CW52=1,IF(Time!CV52=1,CV71,1)/(1+Inputs!$F$101/100*Time!CW9/Inputs!$F$45),0)</f>
        <v>0</v>
      </c>
      <c r="CX71" s="27" t="n">
        <f aca="false">IF(Time!CX52=1,IF(Time!CW52=1,CW71,1)/(1+Inputs!$F$101/100*Time!CX9/Inputs!$F$45),0)</f>
        <v>0</v>
      </c>
      <c r="CY71" s="27" t="n">
        <f aca="false">IF(Time!CY52=1,IF(Time!CX52=1,CX71,1)/(1+Inputs!$F$101/100*Time!CY9/Inputs!$F$45),0)</f>
        <v>0</v>
      </c>
      <c r="CZ71" s="27" t="n">
        <f aca="false">IF(Time!CZ52=1,IF(Time!CY52=1,CY71,1)/(1+Inputs!$F$101/100*Time!CZ9/Inputs!$F$45),0)</f>
        <v>0</v>
      </c>
      <c r="DA71" s="27" t="n">
        <f aca="false">IF(Time!DA52=1,IF(Time!CZ52=1,CZ71,1)/(1+Inputs!$F$101/100*Time!DA9/Inputs!$F$45),0)</f>
        <v>0</v>
      </c>
      <c r="DB71" s="27" t="n">
        <f aca="false">IF(Time!DB52=1,IF(Time!DA52=1,DA71,1)/(1+Inputs!$F$101/100*Time!DB9/Inputs!$F$45),0)</f>
        <v>0</v>
      </c>
    </row>
    <row r="72" customFormat="false" ht="15" hidden="false" customHeight="false" outlineLevel="0" collapsed="false">
      <c r="D72" s="0" t="s">
        <v>534</v>
      </c>
      <c r="E72" s="0" t="s">
        <v>44</v>
      </c>
      <c r="G72" s="19" t="n">
        <f aca="false">SUM(J72:DB72)</f>
        <v>31.1547824752479</v>
      </c>
      <c r="J72" s="19" t="n">
        <f aca="false">Time!J52*(Inputs!$F$101-Inputs!$F$100)/100*Inputs!$F$96*J70*Time!J9/Inputs!$F$45*J71</f>
        <v>0</v>
      </c>
      <c r="K72" s="19" t="n">
        <f aca="false">Time!K52*(Inputs!$F$101-Inputs!$F$100)/100*Inputs!$F$96*K70*Time!K9/Inputs!$F$45*K71</f>
        <v>0</v>
      </c>
      <c r="L72" s="19" t="n">
        <f aca="false">Time!L52*(Inputs!$F$101-Inputs!$F$100)/100*Inputs!$F$96*L70*Time!L9/Inputs!$F$45*L71</f>
        <v>0</v>
      </c>
      <c r="M72" s="19" t="n">
        <f aca="false">Time!M52*(Inputs!$F$101-Inputs!$F$100)/100*Inputs!$F$96*M70*Time!M9/Inputs!$F$45*M71</f>
        <v>0</v>
      </c>
      <c r="N72" s="19" t="n">
        <f aca="false">Time!N52*(Inputs!$F$101-Inputs!$F$100)/100*Inputs!$F$96*N70*Time!N9/Inputs!$F$45*N71</f>
        <v>0</v>
      </c>
      <c r="O72" s="19" t="n">
        <f aca="false">Time!O52*(Inputs!$F$101-Inputs!$F$100)/100*Inputs!$F$96*O70*Time!O9/Inputs!$F$45*O71</f>
        <v>0</v>
      </c>
      <c r="P72" s="19" t="n">
        <f aca="false">Time!P52*(Inputs!$F$101-Inputs!$F$100)/100*Inputs!$F$96*P70*Time!P9/Inputs!$F$45*P71</f>
        <v>0</v>
      </c>
      <c r="Q72" s="19" t="n">
        <f aca="false">Time!Q52*(Inputs!$F$101-Inputs!$F$100)/100*Inputs!$F$96*Q70*Time!Q9/Inputs!$F$45*Q71</f>
        <v>0</v>
      </c>
      <c r="R72" s="19" t="n">
        <f aca="false">Time!R52*(Inputs!$F$101-Inputs!$F$100)/100*Inputs!$F$96*R70*Time!R9/Inputs!$F$45*R71</f>
        <v>0</v>
      </c>
      <c r="S72" s="19" t="n">
        <f aca="false">Time!S52*(Inputs!$F$101-Inputs!$F$100)/100*Inputs!$F$96*S70*Time!S9/Inputs!$F$45*S71</f>
        <v>0</v>
      </c>
      <c r="T72" s="19" t="n">
        <f aca="false">Time!T52*(Inputs!$F$101-Inputs!$F$100)/100*Inputs!$F$96*T70*Time!T9/Inputs!$F$45*T71</f>
        <v>0</v>
      </c>
      <c r="U72" s="19" t="n">
        <f aca="false">Time!U52*(Inputs!$F$101-Inputs!$F$100)/100*Inputs!$F$96*U70*Time!U9/Inputs!$F$45*U71</f>
        <v>0</v>
      </c>
      <c r="V72" s="19" t="n">
        <f aca="false">Time!V52*(Inputs!$F$101-Inputs!$F$100)/100*Inputs!$F$96*V70*Time!V9/Inputs!$F$45*V71</f>
        <v>0</v>
      </c>
      <c r="W72" s="19" t="n">
        <f aca="false">Time!W52*(Inputs!$F$101-Inputs!$F$100)/100*Inputs!$F$96*W70*Time!W9/Inputs!$F$45*W71</f>
        <v>0</v>
      </c>
      <c r="X72" s="19" t="n">
        <f aca="false">Time!X52*(Inputs!$F$101-Inputs!$F$100)/100*Inputs!$F$96*X70*Time!X9/Inputs!$F$45*X71</f>
        <v>0</v>
      </c>
      <c r="Y72" s="19" t="n">
        <f aca="false">Time!Y52*(Inputs!$F$101-Inputs!$F$100)/100*Inputs!$F$96*Y70*Time!Y9/Inputs!$F$45*Y71</f>
        <v>0</v>
      </c>
      <c r="Z72" s="19" t="n">
        <f aca="false">Time!Z52*(Inputs!$F$101-Inputs!$F$100)/100*Inputs!$F$96*Z70*Time!Z9/Inputs!$F$45*Z71</f>
        <v>0</v>
      </c>
      <c r="AA72" s="19" t="n">
        <f aca="false">Time!AA52*(Inputs!$F$101-Inputs!$F$100)/100*Inputs!$F$96*AA70*Time!AA9/Inputs!$F$45*AA71</f>
        <v>0</v>
      </c>
      <c r="AB72" s="19" t="n">
        <f aca="false">Time!AB52*(Inputs!$F$101-Inputs!$F$100)/100*Inputs!$F$96*AB70*Time!AB9/Inputs!$F$45*AB71</f>
        <v>0</v>
      </c>
      <c r="AC72" s="19" t="n">
        <f aca="false">Time!AC52*(Inputs!$F$101-Inputs!$F$100)/100*Inputs!$F$96*AC70*Time!AC9/Inputs!$F$45*AC71</f>
        <v>0</v>
      </c>
      <c r="AD72" s="19" t="n">
        <f aca="false">Time!AD52*(Inputs!$F$101-Inputs!$F$100)/100*Inputs!$F$96*AD70*Time!AD9/Inputs!$F$45*AD71</f>
        <v>0</v>
      </c>
      <c r="AE72" s="19" t="n">
        <f aca="false">Time!AE52*(Inputs!$F$101-Inputs!$F$100)/100*Inputs!$F$96*AE70*Time!AE9/Inputs!$F$45*AE71</f>
        <v>0</v>
      </c>
      <c r="AF72" s="19" t="n">
        <f aca="false">Time!AF52*(Inputs!$F$101-Inputs!$F$100)/100*Inputs!$F$96*AF70*Time!AF9/Inputs!$F$45*AF71</f>
        <v>0</v>
      </c>
      <c r="AG72" s="19" t="n">
        <f aca="false">Time!AG52*(Inputs!$F$101-Inputs!$F$100)/100*Inputs!$F$96*AG70*Time!AG9/Inputs!$F$45*AG71</f>
        <v>0</v>
      </c>
      <c r="AH72" s="19" t="n">
        <f aca="false">Time!AH52*(Inputs!$F$101-Inputs!$F$100)/100*Inputs!$F$96*AH70*Time!AH9/Inputs!$F$45*AH71</f>
        <v>0</v>
      </c>
      <c r="AI72" s="19" t="n">
        <f aca="false">Time!AI52*(Inputs!$F$101-Inputs!$F$100)/100*Inputs!$F$96*AI70*Time!AI9/Inputs!$F$45*AI71</f>
        <v>0</v>
      </c>
      <c r="AJ72" s="19" t="n">
        <f aca="false">Time!AJ52*(Inputs!$F$101-Inputs!$F$100)/100*Inputs!$F$96*AJ70*Time!AJ9/Inputs!$F$45*AJ71</f>
        <v>1.70477030704275</v>
      </c>
      <c r="AK72" s="19" t="n">
        <f aca="false">Time!AK52*(Inputs!$F$101-Inputs!$F$100)/100*Inputs!$F$96*AK70*Time!AK9/Inputs!$F$45*AK71</f>
        <v>1.68643753575767</v>
      </c>
      <c r="AL72" s="19" t="n">
        <f aca="false">Time!AL52*(Inputs!$F$101-Inputs!$F$100)/100*Inputs!$F$96*AL70*Time!AL9/Inputs!$F$45*AL71</f>
        <v>1.62383267450786</v>
      </c>
      <c r="AM72" s="19" t="n">
        <f aca="false">Time!AM52*(Inputs!$F$101-Inputs!$F$100)/100*Inputs!$F$96*AM70*Time!AM9/Inputs!$F$45*AM71</f>
        <v>1.61524526490521</v>
      </c>
      <c r="AN72" s="19" t="n">
        <f aca="false">Time!AN52*(Inputs!$F$101-Inputs!$F$100)/100*Inputs!$F$96*AN70*Time!AN9/Inputs!$F$45*AN71</f>
        <v>1.55528324226891</v>
      </c>
      <c r="AO72" s="19" t="n">
        <f aca="false">Time!AO52*(Inputs!$F$101-Inputs!$F$100)/100*Inputs!$F$96*AO70*Time!AO9/Inputs!$F$45*AO71</f>
        <v>1.54705834665056</v>
      </c>
      <c r="AP72" s="19" t="n">
        <f aca="false">Time!AP52*(Inputs!$F$101-Inputs!$F$100)/100*Inputs!$F$96*AP70*Time!AP9/Inputs!$F$45*AP71</f>
        <v>1.48962759627657</v>
      </c>
      <c r="AQ72" s="19" t="n">
        <f aca="false">Time!AQ52*(Inputs!$F$101-Inputs!$F$100)/100*Inputs!$F$96*AQ70*Time!AQ9/Inputs!$F$45*AQ71</f>
        <v>1.48174991126293</v>
      </c>
      <c r="AR72" s="19" t="n">
        <f aca="false">Time!AR52*(Inputs!$F$101-Inputs!$F$100)/100*Inputs!$F$96*AR70*Time!AR9/Inputs!$F$45*AR71</f>
        <v>1.43445841502172</v>
      </c>
      <c r="AS72" s="19" t="n">
        <f aca="false">Time!AS52*(Inputs!$F$101-Inputs!$F$100)/100*Inputs!$F$96*AS70*Time!AS9/Inputs!$F$45*AS71</f>
        <v>1.41903252572044</v>
      </c>
      <c r="AT72" s="19" t="n">
        <f aca="false">Time!AT52*(Inputs!$F$101-Inputs!$F$100)/100*Inputs!$F$96*AT70*Time!AT9/Inputs!$F$45*AT71</f>
        <v>1.36635442024778</v>
      </c>
      <c r="AU72" s="19" t="n">
        <f aca="false">Time!AU52*(Inputs!$F$101-Inputs!$F$100)/100*Inputs!$F$96*AU70*Time!AU9/Inputs!$F$45*AU71</f>
        <v>1.35912864800335</v>
      </c>
      <c r="AV72" s="19" t="n">
        <f aca="false">Time!AV52*(Inputs!$F$101-Inputs!$F$100)/100*Inputs!$F$96*AV70*Time!AV9/Inputs!$F$45*AV71</f>
        <v>1.30867432720891</v>
      </c>
      <c r="AW72" s="19" t="n">
        <f aca="false">Time!AW52*(Inputs!$F$101-Inputs!$F$100)/100*Inputs!$F$96*AW70*Time!AW9/Inputs!$F$45*AW71</f>
        <v>1.3017409834436</v>
      </c>
      <c r="AX72" s="19" t="n">
        <f aca="false">Time!AX52*(Inputs!$F$101-Inputs!$F$100)/100*Inputs!$F$96*AX70*Time!AX9/Inputs!$F$45*AX71</f>
        <v>1.25083259166429</v>
      </c>
      <c r="AY72" s="19" t="n">
        <f aca="false">Time!AY52*(Inputs!$F$101-Inputs!$F$100)/100*Inputs!$F$96*AY70*Time!AY9/Inputs!$F$45*AY71</f>
        <v>1.24117356076906</v>
      </c>
      <c r="AZ72" s="19" t="n">
        <f aca="false">Time!AZ52*(Inputs!$F$101-Inputs!$F$100)/100*Inputs!$F$96*AZ70*Time!AZ9/Inputs!$F$45*AZ71</f>
        <v>1.19903200865513</v>
      </c>
      <c r="BA72" s="19" t="n">
        <f aca="false">Time!BA52*(Inputs!$F$101-Inputs!$F$100)/100*Inputs!$F$96*BA70*Time!BA9/Inputs!$F$45*BA71</f>
        <v>1.18303771463538</v>
      </c>
      <c r="BB72" s="19" t="n">
        <f aca="false">Time!BB52*(Inputs!$F$101-Inputs!$F$100)/100*Inputs!$F$96*BB70*Time!BB9/Inputs!$F$45*BB71</f>
        <v>1.1346737989098</v>
      </c>
      <c r="BC72" s="19" t="n">
        <f aca="false">Time!BC52*(Inputs!$F$101-Inputs!$F$100)/100*Inputs!$F$96*BC70*Time!BC9/Inputs!$F$45*BC71</f>
        <v>1.12375086836171</v>
      </c>
      <c r="BD72" s="19" t="n">
        <f aca="false">Time!BD52*(Inputs!$F$101-Inputs!$F$100)/100*Inputs!$F$96*BD70*Time!BD9/Inputs!$F$45*BD71</f>
        <v>1.07174208144394</v>
      </c>
      <c r="BE72" s="19" t="n">
        <f aca="false">Time!BE52*(Inputs!$F$101-Inputs!$F$100)/100*Inputs!$F$96*BE70*Time!BE9/Inputs!$F$45*BE71</f>
        <v>1.05519585424508</v>
      </c>
      <c r="BF72" s="19" t="n">
        <f aca="false">Time!BF52*(Inputs!$F$101-Inputs!$F$100)/100*Inputs!$F$96*BF70*Time!BF9/Inputs!$F$45*BF71</f>
        <v>1.00194979824528</v>
      </c>
      <c r="BG72" s="19" t="n">
        <f aca="false">Time!BG52*(Inputs!$F$101-Inputs!$F$100)/100*Inputs!$F$96*BG70*Time!BG9/Inputs!$F$45*BG71</f>
        <v>0</v>
      </c>
      <c r="BH72" s="19" t="n">
        <f aca="false">Time!BH52*(Inputs!$F$101-Inputs!$F$100)/100*Inputs!$F$96*BH70*Time!BH9/Inputs!$F$45*BH71</f>
        <v>0</v>
      </c>
      <c r="BI72" s="19" t="n">
        <f aca="false">Time!BI52*(Inputs!$F$101-Inputs!$F$100)/100*Inputs!$F$96*BI70*Time!BI9/Inputs!$F$45*BI71</f>
        <v>0</v>
      </c>
      <c r="BJ72" s="19" t="n">
        <f aca="false">Time!BJ52*(Inputs!$F$101-Inputs!$F$100)/100*Inputs!$F$96*BJ70*Time!BJ9/Inputs!$F$45*BJ71</f>
        <v>0</v>
      </c>
      <c r="BK72" s="19" t="n">
        <f aca="false">Time!BK52*(Inputs!$F$101-Inputs!$F$100)/100*Inputs!$F$96*BK70*Time!BK9/Inputs!$F$45*BK71</f>
        <v>0</v>
      </c>
      <c r="BL72" s="19" t="n">
        <f aca="false">Time!BL52*(Inputs!$F$101-Inputs!$F$100)/100*Inputs!$F$96*BL70*Time!BL9/Inputs!$F$45*BL71</f>
        <v>0</v>
      </c>
      <c r="BM72" s="19" t="n">
        <f aca="false">Time!BM52*(Inputs!$F$101-Inputs!$F$100)/100*Inputs!$F$96*BM70*Time!BM9/Inputs!$F$45*BM71</f>
        <v>0</v>
      </c>
      <c r="BN72" s="19" t="n">
        <f aca="false">Time!BN52*(Inputs!$F$101-Inputs!$F$100)/100*Inputs!$F$96*BN70*Time!BN9/Inputs!$F$45*BN71</f>
        <v>0</v>
      </c>
      <c r="BO72" s="19" t="n">
        <f aca="false">Time!BO52*(Inputs!$F$101-Inputs!$F$100)/100*Inputs!$F$96*BO70*Time!BO9/Inputs!$F$45*BO71</f>
        <v>0</v>
      </c>
      <c r="BP72" s="19" t="n">
        <f aca="false">Time!BP52*(Inputs!$F$101-Inputs!$F$100)/100*Inputs!$F$96*BP70*Time!BP9/Inputs!$F$45*BP71</f>
        <v>0</v>
      </c>
      <c r="BQ72" s="19" t="n">
        <f aca="false">Time!BQ52*(Inputs!$F$101-Inputs!$F$100)/100*Inputs!$F$96*BQ70*Time!BQ9/Inputs!$F$45*BQ71</f>
        <v>0</v>
      </c>
      <c r="BR72" s="19" t="n">
        <f aca="false">Time!BR52*(Inputs!$F$101-Inputs!$F$100)/100*Inputs!$F$96*BR70*Time!BR9/Inputs!$F$45*BR71</f>
        <v>0</v>
      </c>
      <c r="BS72" s="19" t="n">
        <f aca="false">Time!BS52*(Inputs!$F$101-Inputs!$F$100)/100*Inputs!$F$96*BS70*Time!BS9/Inputs!$F$45*BS71</f>
        <v>0</v>
      </c>
      <c r="BT72" s="19" t="n">
        <f aca="false">Time!BT52*(Inputs!$F$101-Inputs!$F$100)/100*Inputs!$F$96*BT70*Time!BT9/Inputs!$F$45*BT71</f>
        <v>0</v>
      </c>
      <c r="BU72" s="19" t="n">
        <f aca="false">Time!BU52*(Inputs!$F$101-Inputs!$F$100)/100*Inputs!$F$96*BU70*Time!BU9/Inputs!$F$45*BU71</f>
        <v>0</v>
      </c>
      <c r="BV72" s="19" t="n">
        <f aca="false">Time!BV52*(Inputs!$F$101-Inputs!$F$100)/100*Inputs!$F$96*BV70*Time!BV9/Inputs!$F$45*BV71</f>
        <v>0</v>
      </c>
      <c r="BW72" s="19" t="n">
        <f aca="false">Time!BW52*(Inputs!$F$101-Inputs!$F$100)/100*Inputs!$F$96*BW70*Time!BW9/Inputs!$F$45*BW71</f>
        <v>0</v>
      </c>
      <c r="BX72" s="19" t="n">
        <f aca="false">Time!BX52*(Inputs!$F$101-Inputs!$F$100)/100*Inputs!$F$96*BX70*Time!BX9/Inputs!$F$45*BX71</f>
        <v>0</v>
      </c>
      <c r="BY72" s="19" t="n">
        <f aca="false">Time!BY52*(Inputs!$F$101-Inputs!$F$100)/100*Inputs!$F$96*BY70*Time!BY9/Inputs!$F$45*BY71</f>
        <v>0</v>
      </c>
      <c r="BZ72" s="19" t="n">
        <f aca="false">Time!BZ52*(Inputs!$F$101-Inputs!$F$100)/100*Inputs!$F$96*BZ70*Time!BZ9/Inputs!$F$45*BZ71</f>
        <v>0</v>
      </c>
      <c r="CA72" s="19" t="n">
        <f aca="false">Time!CA52*(Inputs!$F$101-Inputs!$F$100)/100*Inputs!$F$96*CA70*Time!CA9/Inputs!$F$45*CA71</f>
        <v>0</v>
      </c>
      <c r="CB72" s="19" t="n">
        <f aca="false">Time!CB52*(Inputs!$F$101-Inputs!$F$100)/100*Inputs!$F$96*CB70*Time!CB9/Inputs!$F$45*CB71</f>
        <v>0</v>
      </c>
      <c r="CC72" s="19" t="n">
        <f aca="false">Time!CC52*(Inputs!$F$101-Inputs!$F$100)/100*Inputs!$F$96*CC70*Time!CC9/Inputs!$F$45*CC71</f>
        <v>0</v>
      </c>
      <c r="CD72" s="19" t="n">
        <f aca="false">Time!CD52*(Inputs!$F$101-Inputs!$F$100)/100*Inputs!$F$96*CD70*Time!CD9/Inputs!$F$45*CD71</f>
        <v>0</v>
      </c>
      <c r="CE72" s="19" t="n">
        <f aca="false">Time!CE52*(Inputs!$F$101-Inputs!$F$100)/100*Inputs!$F$96*CE70*Time!CE9/Inputs!$F$45*CE71</f>
        <v>0</v>
      </c>
      <c r="CF72" s="19" t="n">
        <f aca="false">Time!CF52*(Inputs!$F$101-Inputs!$F$100)/100*Inputs!$F$96*CF70*Time!CF9/Inputs!$F$45*CF71</f>
        <v>0</v>
      </c>
      <c r="CG72" s="19" t="n">
        <f aca="false">Time!CG52*(Inputs!$F$101-Inputs!$F$100)/100*Inputs!$F$96*CG70*Time!CG9/Inputs!$F$45*CG71</f>
        <v>0</v>
      </c>
      <c r="CH72" s="19" t="n">
        <f aca="false">Time!CH52*(Inputs!$F$101-Inputs!$F$100)/100*Inputs!$F$96*CH70*Time!CH9/Inputs!$F$45*CH71</f>
        <v>0</v>
      </c>
      <c r="CI72" s="19" t="n">
        <f aca="false">Time!CI52*(Inputs!$F$101-Inputs!$F$100)/100*Inputs!$F$96*CI70*Time!CI9/Inputs!$F$45*CI71</f>
        <v>0</v>
      </c>
      <c r="CJ72" s="19" t="n">
        <f aca="false">Time!CJ52*(Inputs!$F$101-Inputs!$F$100)/100*Inputs!$F$96*CJ70*Time!CJ9/Inputs!$F$45*CJ71</f>
        <v>0</v>
      </c>
      <c r="CK72" s="19" t="n">
        <f aca="false">Time!CK52*(Inputs!$F$101-Inputs!$F$100)/100*Inputs!$F$96*CK70*Time!CK9/Inputs!$F$45*CK71</f>
        <v>0</v>
      </c>
      <c r="CL72" s="19" t="n">
        <f aca="false">Time!CL52*(Inputs!$F$101-Inputs!$F$100)/100*Inputs!$F$96*CL70*Time!CL9/Inputs!$F$45*CL71</f>
        <v>0</v>
      </c>
      <c r="CM72" s="19" t="n">
        <f aca="false">Time!CM52*(Inputs!$F$101-Inputs!$F$100)/100*Inputs!$F$96*CM70*Time!CM9/Inputs!$F$45*CM71</f>
        <v>0</v>
      </c>
      <c r="CN72" s="19" t="n">
        <f aca="false">Time!CN52*(Inputs!$F$101-Inputs!$F$100)/100*Inputs!$F$96*CN70*Time!CN9/Inputs!$F$45*CN71</f>
        <v>0</v>
      </c>
      <c r="CO72" s="19" t="n">
        <f aca="false">Time!CO52*(Inputs!$F$101-Inputs!$F$100)/100*Inputs!$F$96*CO70*Time!CO9/Inputs!$F$45*CO71</f>
        <v>0</v>
      </c>
      <c r="CP72" s="19" t="n">
        <f aca="false">Time!CP52*(Inputs!$F$101-Inputs!$F$100)/100*Inputs!$F$96*CP70*Time!CP9/Inputs!$F$45*CP71</f>
        <v>0</v>
      </c>
      <c r="CQ72" s="19" t="n">
        <f aca="false">Time!CQ52*(Inputs!$F$101-Inputs!$F$100)/100*Inputs!$F$96*CQ70*Time!CQ9/Inputs!$F$45*CQ71</f>
        <v>0</v>
      </c>
      <c r="CR72" s="19" t="n">
        <f aca="false">Time!CR52*(Inputs!$F$101-Inputs!$F$100)/100*Inputs!$F$96*CR70*Time!CR9/Inputs!$F$45*CR71</f>
        <v>0</v>
      </c>
      <c r="CS72" s="19" t="n">
        <f aca="false">Time!CS52*(Inputs!$F$101-Inputs!$F$100)/100*Inputs!$F$96*CS70*Time!CS9/Inputs!$F$45*CS71</f>
        <v>0</v>
      </c>
      <c r="CT72" s="19" t="n">
        <f aca="false">Time!CT52*(Inputs!$F$101-Inputs!$F$100)/100*Inputs!$F$96*CT70*Time!CT9/Inputs!$F$45*CT71</f>
        <v>0</v>
      </c>
      <c r="CU72" s="19" t="n">
        <f aca="false">Time!CU52*(Inputs!$F$101-Inputs!$F$100)/100*Inputs!$F$96*CU70*Time!CU9/Inputs!$F$45*CU71</f>
        <v>0</v>
      </c>
      <c r="CV72" s="19" t="n">
        <f aca="false">Time!CV52*(Inputs!$F$101-Inputs!$F$100)/100*Inputs!$F$96*CV70*Time!CV9/Inputs!$F$45*CV71</f>
        <v>0</v>
      </c>
      <c r="CW72" s="19" t="n">
        <f aca="false">Time!CW52*(Inputs!$F$101-Inputs!$F$100)/100*Inputs!$F$96*CW70*Time!CW9/Inputs!$F$45*CW71</f>
        <v>0</v>
      </c>
      <c r="CX72" s="19" t="n">
        <f aca="false">Time!CX52*(Inputs!$F$101-Inputs!$F$100)/100*Inputs!$F$96*CX70*Time!CX9/Inputs!$F$45*CX71</f>
        <v>0</v>
      </c>
      <c r="CY72" s="19" t="n">
        <f aca="false">Time!CY52*(Inputs!$F$101-Inputs!$F$100)/100*Inputs!$F$96*CY70*Time!CY9/Inputs!$F$45*CY71</f>
        <v>0</v>
      </c>
      <c r="CZ72" s="19" t="n">
        <f aca="false">Time!CZ52*(Inputs!$F$101-Inputs!$F$100)/100*Inputs!$F$96*CZ70*Time!CZ9/Inputs!$F$45*CZ71</f>
        <v>0</v>
      </c>
      <c r="DA72" s="19" t="n">
        <f aca="false">Time!DA52*(Inputs!$F$101-Inputs!$F$100)/100*Inputs!$F$96*DA70*Time!DA9/Inputs!$F$45*DA71</f>
        <v>0</v>
      </c>
      <c r="DB72" s="19" t="n">
        <f aca="false">Time!DB52*(Inputs!$F$101-Inputs!$F$100)/100*Inputs!$F$96*DB70*Time!DB9/Inputs!$F$45*DB71</f>
        <v>0</v>
      </c>
    </row>
    <row r="73" customFormat="false" ht="15" hidden="false" customHeight="false" outlineLevel="0" collapsed="false">
      <c r="D73" s="0" t="s">
        <v>535</v>
      </c>
      <c r="E73" s="0" t="s">
        <v>44</v>
      </c>
      <c r="F73" s="19" t="n">
        <f aca="false">SUM($J$72:$DB$72)</f>
        <v>31.1547824752479</v>
      </c>
    </row>
    <row r="74" customFormat="false" ht="15" hidden="false" customHeight="false" outlineLevel="0" collapsed="false">
      <c r="D74" s="0" t="s">
        <v>536</v>
      </c>
      <c r="E74" s="0" t="s">
        <v>44</v>
      </c>
      <c r="G74" s="19" t="n">
        <f aca="false">SUM(J74:DB74)</f>
        <v>0</v>
      </c>
      <c r="J74" s="19" t="n">
        <f aca="false">Time!J35*(J46+J53+J58+J59)</f>
        <v>0</v>
      </c>
      <c r="K74" s="19" t="n">
        <f aca="false">Time!K35*(K46+K53+K58+K59)</f>
        <v>0</v>
      </c>
      <c r="L74" s="19" t="n">
        <f aca="false">Time!L35*(L46+L53+L58+L59)</f>
        <v>0</v>
      </c>
      <c r="M74" s="19" t="n">
        <f aca="false">Time!M35*(M46+M53+M58+M59)</f>
        <v>0</v>
      </c>
      <c r="N74" s="19" t="n">
        <f aca="false">Time!N35*(N46+N53+N58+N59)</f>
        <v>0</v>
      </c>
      <c r="O74" s="19" t="n">
        <f aca="false">Time!O35*(O46+O53+O58+O59)</f>
        <v>0</v>
      </c>
      <c r="P74" s="19" t="n">
        <f aca="false">Time!P35*(P46+P53+P58+P59)</f>
        <v>0</v>
      </c>
      <c r="Q74" s="19" t="n">
        <f aca="false">Time!Q35*(Q46+Q53+Q58+Q59)</f>
        <v>0</v>
      </c>
      <c r="R74" s="19" t="n">
        <f aca="false">Time!R35*(R46+R53+R58+R59)</f>
        <v>0</v>
      </c>
      <c r="S74" s="19" t="n">
        <f aca="false">Time!S35*(S46+S53+S58+S59)</f>
        <v>0</v>
      </c>
      <c r="T74" s="19" t="n">
        <f aca="false">Time!T35*(T46+T53+T58+T59)</f>
        <v>0</v>
      </c>
      <c r="U74" s="19" t="n">
        <f aca="false">Time!U35*(U46+U53+U58+U59)</f>
        <v>0</v>
      </c>
      <c r="V74" s="19" t="n">
        <f aca="false">Time!V35*(V46+V53+V58+V59)</f>
        <v>0</v>
      </c>
      <c r="W74" s="19" t="n">
        <f aca="false">Time!W35*(W46+W53+W58+W59)</f>
        <v>0</v>
      </c>
      <c r="X74" s="19" t="n">
        <f aca="false">Time!X35*(X46+X53+X58+X59)</f>
        <v>0</v>
      </c>
      <c r="Y74" s="19" t="n">
        <f aca="false">Time!Y35*(Y46+Y53+Y58+Y59)</f>
        <v>0</v>
      </c>
      <c r="Z74" s="19" t="n">
        <f aca="false">Time!Z35*(Z46+Z53+Z58+Z59)</f>
        <v>0</v>
      </c>
      <c r="AA74" s="19" t="n">
        <f aca="false">Time!AA35*(AA46+AA53+AA58+AA59)</f>
        <v>0</v>
      </c>
      <c r="AB74" s="19" t="n">
        <f aca="false">Time!AB35*(AB46+AB53+AB58+AB59)</f>
        <v>0</v>
      </c>
      <c r="AC74" s="19" t="n">
        <f aca="false">Time!AC35*(AC46+AC53+AC58+AC59)</f>
        <v>0</v>
      </c>
      <c r="AD74" s="19" t="n">
        <f aca="false">Time!AD35*(AD46+AD53+AD58+AD59)</f>
        <v>0</v>
      </c>
      <c r="AE74" s="19" t="n">
        <f aca="false">Time!AE35*(AE46+AE53+AE58+AE59)</f>
        <v>0</v>
      </c>
      <c r="AF74" s="19" t="n">
        <f aca="false">Time!AF35*(AF46+AF53+AF58+AF59)</f>
        <v>0</v>
      </c>
      <c r="AG74" s="19" t="n">
        <f aca="false">Time!AG35*(AG46+AG53+AG58+AG59)</f>
        <v>0</v>
      </c>
      <c r="AH74" s="19" t="n">
        <f aca="false">Time!AH35*(AH46+AH53+AH58+AH59)</f>
        <v>0</v>
      </c>
      <c r="AI74" s="19" t="n">
        <f aca="false">Time!AI35*(AI46+AI53+AI58+AI59)</f>
        <v>0</v>
      </c>
      <c r="AJ74" s="19" t="n">
        <f aca="false">Time!AJ35*(AJ46+AJ53+AJ58+AJ59)</f>
        <v>0</v>
      </c>
      <c r="AK74" s="19" t="n">
        <f aca="false">Time!AK35*(AK46+AK53+AK58+AK59)</f>
        <v>0</v>
      </c>
      <c r="AL74" s="19" t="n">
        <f aca="false">Time!AL35*(AL46+AL53+AL58+AL59)</f>
        <v>0</v>
      </c>
      <c r="AM74" s="19" t="n">
        <f aca="false">Time!AM35*(AM46+AM53+AM58+AM59)</f>
        <v>0</v>
      </c>
      <c r="AN74" s="19" t="n">
        <f aca="false">Time!AN35*(AN46+AN53+AN58+AN59)</f>
        <v>0</v>
      </c>
      <c r="AO74" s="19" t="n">
        <f aca="false">Time!AO35*(AO46+AO53+AO58+AO59)</f>
        <v>0</v>
      </c>
      <c r="AP74" s="19" t="n">
        <f aca="false">Time!AP35*(AP46+AP53+AP58+AP59)</f>
        <v>0</v>
      </c>
      <c r="AQ74" s="19" t="n">
        <f aca="false">Time!AQ35*(AQ46+AQ53+AQ58+AQ59)</f>
        <v>0</v>
      </c>
      <c r="AR74" s="19" t="n">
        <f aca="false">Time!AR35*(AR46+AR53+AR58+AR59)</f>
        <v>0</v>
      </c>
      <c r="AS74" s="19" t="n">
        <f aca="false">Time!AS35*(AS46+AS53+AS58+AS59)</f>
        <v>0</v>
      </c>
      <c r="AT74" s="19" t="n">
        <f aca="false">Time!AT35*(AT46+AT53+AT58+AT59)</f>
        <v>0</v>
      </c>
      <c r="AU74" s="19" t="n">
        <f aca="false">Time!AU35*(AU46+AU53+AU58+AU59)</f>
        <v>0</v>
      </c>
      <c r="AV74" s="19" t="n">
        <f aca="false">Time!AV35*(AV46+AV53+AV58+AV59)</f>
        <v>0</v>
      </c>
      <c r="AW74" s="19" t="n">
        <f aca="false">Time!AW35*(AW46+AW53+AW58+AW59)</f>
        <v>0</v>
      </c>
      <c r="AX74" s="19" t="n">
        <f aca="false">Time!AX35*(AX46+AX53+AX58+AX59)</f>
        <v>0</v>
      </c>
      <c r="AY74" s="19" t="n">
        <f aca="false">Time!AY35*(AY46+AY53+AY58+AY59)</f>
        <v>0</v>
      </c>
      <c r="AZ74" s="19" t="n">
        <f aca="false">Time!AZ35*(AZ46+AZ53+AZ58+AZ59)</f>
        <v>0</v>
      </c>
      <c r="BA74" s="19" t="n">
        <f aca="false">Time!BA35*(BA46+BA53+BA58+BA59)</f>
        <v>0</v>
      </c>
      <c r="BB74" s="19" t="n">
        <f aca="false">Time!BB35*(BB46+BB53+BB58+BB59)</f>
        <v>0</v>
      </c>
      <c r="BC74" s="19" t="n">
        <f aca="false">Time!BC35*(BC46+BC53+BC58+BC59)</f>
        <v>0</v>
      </c>
      <c r="BD74" s="19" t="n">
        <f aca="false">Time!BD35*(BD46+BD53+BD58+BD59)</f>
        <v>0</v>
      </c>
      <c r="BE74" s="19" t="n">
        <f aca="false">Time!BE35*(BE46+BE53+BE58+BE59)</f>
        <v>0</v>
      </c>
      <c r="BF74" s="19" t="n">
        <f aca="false">Time!BF35*(BF46+BF53+BF58+BF59)</f>
        <v>0</v>
      </c>
      <c r="BG74" s="19" t="n">
        <f aca="false">Time!BG35*(BG46+BG53+BG58+BG59)</f>
        <v>0</v>
      </c>
      <c r="BH74" s="19" t="n">
        <f aca="false">Time!BH35*(BH46+BH53+BH58+BH59)</f>
        <v>0</v>
      </c>
      <c r="BI74" s="19" t="n">
        <f aca="false">Time!BI35*(BI46+BI53+BI58+BI59)</f>
        <v>0</v>
      </c>
      <c r="BJ74" s="19" t="n">
        <f aca="false">Time!BJ35*(BJ46+BJ53+BJ58+BJ59)</f>
        <v>0</v>
      </c>
      <c r="BK74" s="19" t="n">
        <f aca="false">Time!BK35*(BK46+BK53+BK58+BK59)</f>
        <v>0</v>
      </c>
      <c r="BL74" s="19" t="n">
        <f aca="false">Time!BL35*(BL46+BL53+BL58+BL59)</f>
        <v>0</v>
      </c>
      <c r="BM74" s="19" t="n">
        <f aca="false">Time!BM35*(BM46+BM53+BM58+BM59)</f>
        <v>0</v>
      </c>
      <c r="BN74" s="19" t="n">
        <f aca="false">Time!BN35*(BN46+BN53+BN58+BN59)</f>
        <v>0</v>
      </c>
      <c r="BO74" s="19" t="n">
        <f aca="false">Time!BO35*(BO46+BO53+BO58+BO59)</f>
        <v>0</v>
      </c>
      <c r="BP74" s="19" t="n">
        <f aca="false">Time!BP35*(BP46+BP53+BP58+BP59)</f>
        <v>0</v>
      </c>
      <c r="BQ74" s="19" t="n">
        <f aca="false">Time!BQ35*(BQ46+BQ53+BQ58+BQ59)</f>
        <v>0</v>
      </c>
      <c r="BR74" s="19" t="n">
        <f aca="false">Time!BR35*(BR46+BR53+BR58+BR59)</f>
        <v>0</v>
      </c>
      <c r="BS74" s="19" t="n">
        <f aca="false">Time!BS35*(BS46+BS53+BS58+BS59)</f>
        <v>0</v>
      </c>
      <c r="BT74" s="19" t="n">
        <f aca="false">Time!BT35*(BT46+BT53+BT58+BT59)</f>
        <v>0</v>
      </c>
      <c r="BU74" s="19" t="n">
        <f aca="false">Time!BU35*(BU46+BU53+BU58+BU59)</f>
        <v>0</v>
      </c>
      <c r="BV74" s="19" t="n">
        <f aca="false">Time!BV35*(BV46+BV53+BV58+BV59)</f>
        <v>0</v>
      </c>
      <c r="BW74" s="19" t="n">
        <f aca="false">Time!BW35*(BW46+BW53+BW58+BW59)</f>
        <v>0</v>
      </c>
      <c r="BX74" s="19" t="n">
        <f aca="false">Time!BX35*(BX46+BX53+BX58+BX59)</f>
        <v>0</v>
      </c>
      <c r="BY74" s="19" t="n">
        <f aca="false">Time!BY35*(BY46+BY53+BY58+BY59)</f>
        <v>0</v>
      </c>
      <c r="BZ74" s="19" t="n">
        <f aca="false">Time!BZ35*(BZ46+BZ53+BZ58+BZ59)</f>
        <v>0</v>
      </c>
      <c r="CA74" s="19" t="n">
        <f aca="false">Time!CA35*(CA46+CA53+CA58+CA59)</f>
        <v>0</v>
      </c>
      <c r="CB74" s="19" t="n">
        <f aca="false">Time!CB35*(CB46+CB53+CB58+CB59)</f>
        <v>0</v>
      </c>
      <c r="CC74" s="19" t="n">
        <f aca="false">Time!CC35*(CC46+CC53+CC58+CC59)</f>
        <v>0</v>
      </c>
      <c r="CD74" s="19" t="n">
        <f aca="false">Time!CD35*(CD46+CD53+CD58+CD59)</f>
        <v>0</v>
      </c>
      <c r="CE74" s="19" t="n">
        <f aca="false">Time!CE35*(CE46+CE53+CE58+CE59)</f>
        <v>0</v>
      </c>
      <c r="CF74" s="19" t="n">
        <f aca="false">Time!CF35*(CF46+CF53+CF58+CF59)</f>
        <v>0</v>
      </c>
      <c r="CG74" s="19" t="n">
        <f aca="false">Time!CG35*(CG46+CG53+CG58+CG59)</f>
        <v>0</v>
      </c>
      <c r="CH74" s="19" t="n">
        <f aca="false">Time!CH35*(CH46+CH53+CH58+CH59)</f>
        <v>0</v>
      </c>
      <c r="CI74" s="19" t="n">
        <f aca="false">Time!CI35*(CI46+CI53+CI58+CI59)</f>
        <v>0</v>
      </c>
      <c r="CJ74" s="19" t="n">
        <f aca="false">Time!CJ35*(CJ46+CJ53+CJ58+CJ59)</f>
        <v>0</v>
      </c>
      <c r="CK74" s="19" t="n">
        <f aca="false">Time!CK35*(CK46+CK53+CK58+CK59)</f>
        <v>0</v>
      </c>
      <c r="CL74" s="19" t="n">
        <f aca="false">Time!CL35*(CL46+CL53+CL58+CL59)</f>
        <v>0</v>
      </c>
      <c r="CM74" s="19" t="n">
        <f aca="false">Time!CM35*(CM46+CM53+CM58+CM59)</f>
        <v>0</v>
      </c>
      <c r="CN74" s="19" t="n">
        <f aca="false">Time!CN35*(CN46+CN53+CN58+CN59)</f>
        <v>0</v>
      </c>
      <c r="CO74" s="19" t="n">
        <f aca="false">Time!CO35*(CO46+CO53+CO58+CO59)</f>
        <v>0</v>
      </c>
      <c r="CP74" s="19" t="n">
        <f aca="false">Time!CP35*(CP46+CP53+CP58+CP59)</f>
        <v>0</v>
      </c>
      <c r="CQ74" s="19" t="n">
        <f aca="false">Time!CQ35*(CQ46+CQ53+CQ58+CQ59)</f>
        <v>0</v>
      </c>
      <c r="CR74" s="19" t="n">
        <f aca="false">Time!CR35*(CR46+CR53+CR58+CR59)</f>
        <v>0</v>
      </c>
      <c r="CS74" s="19" t="n">
        <f aca="false">Time!CS35*(CS46+CS53+CS58+CS59)</f>
        <v>0</v>
      </c>
      <c r="CT74" s="19" t="n">
        <f aca="false">Time!CT35*(CT46+CT53+CT58+CT59)</f>
        <v>0</v>
      </c>
      <c r="CU74" s="19" t="n">
        <f aca="false">Time!CU35*(CU46+CU53+CU58+CU59)</f>
        <v>0</v>
      </c>
      <c r="CV74" s="19" t="n">
        <f aca="false">Time!CV35*(CV46+CV53+CV58+CV59)</f>
        <v>0</v>
      </c>
      <c r="CW74" s="19" t="n">
        <f aca="false">Time!CW35*(CW46+CW53+CW58+CW59)</f>
        <v>0</v>
      </c>
      <c r="CX74" s="19" t="n">
        <f aca="false">Time!CX35*(CX46+CX53+CX58+CX59)</f>
        <v>0</v>
      </c>
      <c r="CY74" s="19" t="n">
        <f aca="false">Time!CY35*(CY46+CY53+CY58+CY59)</f>
        <v>0</v>
      </c>
      <c r="CZ74" s="19" t="n">
        <f aca="false">Time!CZ35*(CZ46+CZ53+CZ58+CZ59)</f>
        <v>0</v>
      </c>
      <c r="DA74" s="19" t="n">
        <f aca="false">Time!DA35*(DA46+DA53+DA58+DA59)</f>
        <v>0</v>
      </c>
      <c r="DB74" s="19" t="n">
        <f aca="false">Time!DB35*(DB46+DB53+DB58+DB59)</f>
        <v>0</v>
      </c>
    </row>
    <row r="75" customFormat="false" ht="15" hidden="false" customHeight="false" outlineLevel="0" collapsed="false">
      <c r="D75" s="0" t="s">
        <v>537</v>
      </c>
      <c r="E75" s="0" t="s">
        <v>44</v>
      </c>
      <c r="G75" s="19" t="n">
        <f aca="false">SUM(J75:DB75)</f>
        <v>0</v>
      </c>
      <c r="J75" s="19" t="n">
        <f aca="false">Time!J35*$F$73</f>
        <v>0</v>
      </c>
      <c r="K75" s="19" t="n">
        <f aca="false">Time!K35*$F$73</f>
        <v>0</v>
      </c>
      <c r="L75" s="19" t="n">
        <f aca="false">Time!L35*$F$73</f>
        <v>0</v>
      </c>
      <c r="M75" s="19" t="n">
        <f aca="false">Time!M35*$F$73</f>
        <v>0</v>
      </c>
      <c r="N75" s="19" t="n">
        <f aca="false">Time!N35*$F$73</f>
        <v>0</v>
      </c>
      <c r="O75" s="19" t="n">
        <f aca="false">Time!O35*$F$73</f>
        <v>0</v>
      </c>
      <c r="P75" s="19" t="n">
        <f aca="false">Time!P35*$F$73</f>
        <v>0</v>
      </c>
      <c r="Q75" s="19" t="n">
        <f aca="false">Time!Q35*$F$73</f>
        <v>0</v>
      </c>
      <c r="R75" s="19" t="n">
        <f aca="false">Time!R35*$F$73</f>
        <v>0</v>
      </c>
      <c r="S75" s="19" t="n">
        <f aca="false">Time!S35*$F$73</f>
        <v>0</v>
      </c>
      <c r="T75" s="19" t="n">
        <f aca="false">Time!T35*$F$73</f>
        <v>0</v>
      </c>
      <c r="U75" s="19" t="n">
        <f aca="false">Time!U35*$F$73</f>
        <v>0</v>
      </c>
      <c r="V75" s="19" t="n">
        <f aca="false">Time!V35*$F$73</f>
        <v>0</v>
      </c>
      <c r="W75" s="19" t="n">
        <f aca="false">Time!W35*$F$73</f>
        <v>0</v>
      </c>
      <c r="X75" s="19" t="n">
        <f aca="false">Time!X35*$F$73</f>
        <v>0</v>
      </c>
      <c r="Y75" s="19" t="n">
        <f aca="false">Time!Y35*$F$73</f>
        <v>0</v>
      </c>
      <c r="Z75" s="19" t="n">
        <f aca="false">Time!Z35*$F$73</f>
        <v>0</v>
      </c>
      <c r="AA75" s="19" t="n">
        <f aca="false">Time!AA35*$F$73</f>
        <v>0</v>
      </c>
      <c r="AB75" s="19" t="n">
        <f aca="false">Time!AB35*$F$73</f>
        <v>0</v>
      </c>
      <c r="AC75" s="19" t="n">
        <f aca="false">Time!AC35*$F$73</f>
        <v>0</v>
      </c>
      <c r="AD75" s="19" t="n">
        <f aca="false">Time!AD35*$F$73</f>
        <v>0</v>
      </c>
      <c r="AE75" s="19" t="n">
        <f aca="false">Time!AE35*$F$73</f>
        <v>0</v>
      </c>
      <c r="AF75" s="19" t="n">
        <f aca="false">Time!AF35*$F$73</f>
        <v>0</v>
      </c>
      <c r="AG75" s="19" t="n">
        <f aca="false">Time!AG35*$F$73</f>
        <v>0</v>
      </c>
      <c r="AH75" s="19" t="n">
        <f aca="false">Time!AH35*$F$73</f>
        <v>0</v>
      </c>
      <c r="AI75" s="19" t="n">
        <f aca="false">Time!AI35*$F$73</f>
        <v>0</v>
      </c>
      <c r="AJ75" s="19" t="n">
        <f aca="false">Time!AJ35*$F$73</f>
        <v>0</v>
      </c>
      <c r="AK75" s="19" t="n">
        <f aca="false">Time!AK35*$F$73</f>
        <v>0</v>
      </c>
      <c r="AL75" s="19" t="n">
        <f aca="false">Time!AL35*$F$73</f>
        <v>0</v>
      </c>
      <c r="AM75" s="19" t="n">
        <f aca="false">Time!AM35*$F$73</f>
        <v>0</v>
      </c>
      <c r="AN75" s="19" t="n">
        <f aca="false">Time!AN35*$F$73</f>
        <v>0</v>
      </c>
      <c r="AO75" s="19" t="n">
        <f aca="false">Time!AO35*$F$73</f>
        <v>0</v>
      </c>
      <c r="AP75" s="19" t="n">
        <f aca="false">Time!AP35*$F$73</f>
        <v>0</v>
      </c>
      <c r="AQ75" s="19" t="n">
        <f aca="false">Time!AQ35*$F$73</f>
        <v>0</v>
      </c>
      <c r="AR75" s="19" t="n">
        <f aca="false">Time!AR35*$F$73</f>
        <v>0</v>
      </c>
      <c r="AS75" s="19" t="n">
        <f aca="false">Time!AS35*$F$73</f>
        <v>0</v>
      </c>
      <c r="AT75" s="19" t="n">
        <f aca="false">Time!AT35*$F$73</f>
        <v>0</v>
      </c>
      <c r="AU75" s="19" t="n">
        <f aca="false">Time!AU35*$F$73</f>
        <v>0</v>
      </c>
      <c r="AV75" s="19" t="n">
        <f aca="false">Time!AV35*$F$73</f>
        <v>0</v>
      </c>
      <c r="AW75" s="19" t="n">
        <f aca="false">Time!AW35*$F$73</f>
        <v>0</v>
      </c>
      <c r="AX75" s="19" t="n">
        <f aca="false">Time!AX35*$F$73</f>
        <v>0</v>
      </c>
      <c r="AY75" s="19" t="n">
        <f aca="false">Time!AY35*$F$73</f>
        <v>0</v>
      </c>
      <c r="AZ75" s="19" t="n">
        <f aca="false">Time!AZ35*$F$73</f>
        <v>0</v>
      </c>
      <c r="BA75" s="19" t="n">
        <f aca="false">Time!BA35*$F$73</f>
        <v>0</v>
      </c>
      <c r="BB75" s="19" t="n">
        <f aca="false">Time!BB35*$F$73</f>
        <v>0</v>
      </c>
      <c r="BC75" s="19" t="n">
        <f aca="false">Time!BC35*$F$73</f>
        <v>0</v>
      </c>
      <c r="BD75" s="19" t="n">
        <f aca="false">Time!BD35*$F$73</f>
        <v>0</v>
      </c>
      <c r="BE75" s="19" t="n">
        <f aca="false">Time!BE35*$F$73</f>
        <v>0</v>
      </c>
      <c r="BF75" s="19" t="n">
        <f aca="false">Time!BF35*$F$73</f>
        <v>0</v>
      </c>
      <c r="BG75" s="19" t="n">
        <f aca="false">Time!BG35*$F$73</f>
        <v>0</v>
      </c>
      <c r="BH75" s="19" t="n">
        <f aca="false">Time!BH35*$F$73</f>
        <v>0</v>
      </c>
      <c r="BI75" s="19" t="n">
        <f aca="false">Time!BI35*$F$73</f>
        <v>0</v>
      </c>
      <c r="BJ75" s="19" t="n">
        <f aca="false">Time!BJ35*$F$73</f>
        <v>0</v>
      </c>
      <c r="BK75" s="19" t="n">
        <f aca="false">Time!BK35*$F$73</f>
        <v>0</v>
      </c>
      <c r="BL75" s="19" t="n">
        <f aca="false">Time!BL35*$F$73</f>
        <v>0</v>
      </c>
      <c r="BM75" s="19" t="n">
        <f aca="false">Time!BM35*$F$73</f>
        <v>0</v>
      </c>
      <c r="BN75" s="19" t="n">
        <f aca="false">Time!BN35*$F$73</f>
        <v>0</v>
      </c>
      <c r="BO75" s="19" t="n">
        <f aca="false">Time!BO35*$F$73</f>
        <v>0</v>
      </c>
      <c r="BP75" s="19" t="n">
        <f aca="false">Time!BP35*$F$73</f>
        <v>0</v>
      </c>
      <c r="BQ75" s="19" t="n">
        <f aca="false">Time!BQ35*$F$73</f>
        <v>0</v>
      </c>
      <c r="BR75" s="19" t="n">
        <f aca="false">Time!BR35*$F$73</f>
        <v>0</v>
      </c>
      <c r="BS75" s="19" t="n">
        <f aca="false">Time!BS35*$F$73</f>
        <v>0</v>
      </c>
      <c r="BT75" s="19" t="n">
        <f aca="false">Time!BT35*$F$73</f>
        <v>0</v>
      </c>
      <c r="BU75" s="19" t="n">
        <f aca="false">Time!BU35*$F$73</f>
        <v>0</v>
      </c>
      <c r="BV75" s="19" t="n">
        <f aca="false">Time!BV35*$F$73</f>
        <v>0</v>
      </c>
      <c r="BW75" s="19" t="n">
        <f aca="false">Time!BW35*$F$73</f>
        <v>0</v>
      </c>
      <c r="BX75" s="19" t="n">
        <f aca="false">Time!BX35*$F$73</f>
        <v>0</v>
      </c>
      <c r="BY75" s="19" t="n">
        <f aca="false">Time!BY35*$F$73</f>
        <v>0</v>
      </c>
      <c r="BZ75" s="19" t="n">
        <f aca="false">Time!BZ35*$F$73</f>
        <v>0</v>
      </c>
      <c r="CA75" s="19" t="n">
        <f aca="false">Time!CA35*$F$73</f>
        <v>0</v>
      </c>
      <c r="CB75" s="19" t="n">
        <f aca="false">Time!CB35*$F$73</f>
        <v>0</v>
      </c>
      <c r="CC75" s="19" t="n">
        <f aca="false">Time!CC35*$F$73</f>
        <v>0</v>
      </c>
      <c r="CD75" s="19" t="n">
        <f aca="false">Time!CD35*$F$73</f>
        <v>0</v>
      </c>
      <c r="CE75" s="19" t="n">
        <f aca="false">Time!CE35*$F$73</f>
        <v>0</v>
      </c>
      <c r="CF75" s="19" t="n">
        <f aca="false">Time!CF35*$F$73</f>
        <v>0</v>
      </c>
      <c r="CG75" s="19" t="n">
        <f aca="false">Time!CG35*$F$73</f>
        <v>0</v>
      </c>
      <c r="CH75" s="19" t="n">
        <f aca="false">Time!CH35*$F$73</f>
        <v>0</v>
      </c>
      <c r="CI75" s="19" t="n">
        <f aca="false">Time!CI35*$F$73</f>
        <v>0</v>
      </c>
      <c r="CJ75" s="19" t="n">
        <f aca="false">Time!CJ35*$F$73</f>
        <v>0</v>
      </c>
      <c r="CK75" s="19" t="n">
        <f aca="false">Time!CK35*$F$73</f>
        <v>0</v>
      </c>
      <c r="CL75" s="19" t="n">
        <f aca="false">Time!CL35*$F$73</f>
        <v>0</v>
      </c>
      <c r="CM75" s="19" t="n">
        <f aca="false">Time!CM35*$F$73</f>
        <v>0</v>
      </c>
      <c r="CN75" s="19" t="n">
        <f aca="false">Time!CN35*$F$73</f>
        <v>0</v>
      </c>
      <c r="CO75" s="19" t="n">
        <f aca="false">Time!CO35*$F$73</f>
        <v>0</v>
      </c>
      <c r="CP75" s="19" t="n">
        <f aca="false">Time!CP35*$F$73</f>
        <v>0</v>
      </c>
      <c r="CQ75" s="19" t="n">
        <f aca="false">Time!CQ35*$F$73</f>
        <v>0</v>
      </c>
      <c r="CR75" s="19" t="n">
        <f aca="false">Time!CR35*$F$73</f>
        <v>0</v>
      </c>
      <c r="CS75" s="19" t="n">
        <f aca="false">Time!CS35*$F$73</f>
        <v>0</v>
      </c>
      <c r="CT75" s="19" t="n">
        <f aca="false">Time!CT35*$F$73</f>
        <v>0</v>
      </c>
      <c r="CU75" s="19" t="n">
        <f aca="false">Time!CU35*$F$73</f>
        <v>0</v>
      </c>
      <c r="CV75" s="19" t="n">
        <f aca="false">Time!CV35*$F$73</f>
        <v>0</v>
      </c>
      <c r="CW75" s="19" t="n">
        <f aca="false">Time!CW35*$F$73</f>
        <v>0</v>
      </c>
      <c r="CX75" s="19" t="n">
        <f aca="false">Time!CX35*$F$73</f>
        <v>0</v>
      </c>
      <c r="CY75" s="19" t="n">
        <f aca="false">Time!CY35*$F$73</f>
        <v>0</v>
      </c>
      <c r="CZ75" s="19" t="n">
        <f aca="false">Time!CZ35*$F$73</f>
        <v>0</v>
      </c>
      <c r="DA75" s="19" t="n">
        <f aca="false">Time!DA35*$F$73</f>
        <v>0</v>
      </c>
      <c r="DB75" s="19" t="n">
        <f aca="false">Time!DB35*$F$73</f>
        <v>0</v>
      </c>
    </row>
    <row r="76" customFormat="false" ht="15" hidden="false" customHeight="false" outlineLevel="0" collapsed="false">
      <c r="D76" s="0" t="s">
        <v>538</v>
      </c>
      <c r="E76" s="0" t="s">
        <v>44</v>
      </c>
      <c r="G76" s="19" t="n">
        <f aca="false">SUM(J76:DB76)</f>
        <v>0</v>
      </c>
      <c r="J76" s="19" t="n">
        <f aca="false">J74-J75</f>
        <v>0</v>
      </c>
      <c r="K76" s="19" t="n">
        <f aca="false">K74-K75</f>
        <v>0</v>
      </c>
      <c r="L76" s="19" t="n">
        <f aca="false">L74-L75</f>
        <v>0</v>
      </c>
      <c r="M76" s="19" t="n">
        <f aca="false">M74-M75</f>
        <v>0</v>
      </c>
      <c r="N76" s="19" t="n">
        <f aca="false">N74-N75</f>
        <v>0</v>
      </c>
      <c r="O76" s="19" t="n">
        <f aca="false">O74-O75</f>
        <v>0</v>
      </c>
      <c r="P76" s="19" t="n">
        <f aca="false">P74-P75</f>
        <v>0</v>
      </c>
      <c r="Q76" s="19" t="n">
        <f aca="false">Q74-Q75</f>
        <v>0</v>
      </c>
      <c r="R76" s="19" t="n">
        <f aca="false">R74-R75</f>
        <v>0</v>
      </c>
      <c r="S76" s="19" t="n">
        <f aca="false">S74-S75</f>
        <v>0</v>
      </c>
      <c r="T76" s="19" t="n">
        <f aca="false">T74-T75</f>
        <v>0</v>
      </c>
      <c r="U76" s="19" t="n">
        <f aca="false">U74-U75</f>
        <v>0</v>
      </c>
      <c r="V76" s="19" t="n">
        <f aca="false">V74-V75</f>
        <v>0</v>
      </c>
      <c r="W76" s="19" t="n">
        <f aca="false">W74-W75</f>
        <v>0</v>
      </c>
      <c r="X76" s="19" t="n">
        <f aca="false">X74-X75</f>
        <v>0</v>
      </c>
      <c r="Y76" s="19" t="n">
        <f aca="false">Y74-Y75</f>
        <v>0</v>
      </c>
      <c r="Z76" s="19" t="n">
        <f aca="false">Z74-Z75</f>
        <v>0</v>
      </c>
      <c r="AA76" s="19" t="n">
        <f aca="false">AA74-AA75</f>
        <v>0</v>
      </c>
      <c r="AB76" s="19" t="n">
        <f aca="false">AB74-AB75</f>
        <v>0</v>
      </c>
      <c r="AC76" s="19" t="n">
        <f aca="false">AC74-AC75</f>
        <v>0</v>
      </c>
      <c r="AD76" s="19" t="n">
        <f aca="false">AD74-AD75</f>
        <v>0</v>
      </c>
      <c r="AE76" s="19" t="n">
        <f aca="false">AE74-AE75</f>
        <v>0</v>
      </c>
      <c r="AF76" s="19" t="n">
        <f aca="false">AF74-AF75</f>
        <v>0</v>
      </c>
      <c r="AG76" s="19" t="n">
        <f aca="false">AG74-AG75</f>
        <v>0</v>
      </c>
      <c r="AH76" s="19" t="n">
        <f aca="false">AH74-AH75</f>
        <v>0</v>
      </c>
      <c r="AI76" s="19" t="n">
        <f aca="false">AI74-AI75</f>
        <v>0</v>
      </c>
      <c r="AJ76" s="19" t="n">
        <f aca="false">AJ74-AJ75</f>
        <v>0</v>
      </c>
      <c r="AK76" s="19" t="n">
        <f aca="false">AK74-AK75</f>
        <v>0</v>
      </c>
      <c r="AL76" s="19" t="n">
        <f aca="false">AL74-AL75</f>
        <v>0</v>
      </c>
      <c r="AM76" s="19" t="n">
        <f aca="false">AM74-AM75</f>
        <v>0</v>
      </c>
      <c r="AN76" s="19" t="n">
        <f aca="false">AN74-AN75</f>
        <v>0</v>
      </c>
      <c r="AO76" s="19" t="n">
        <f aca="false">AO74-AO75</f>
        <v>0</v>
      </c>
      <c r="AP76" s="19" t="n">
        <f aca="false">AP74-AP75</f>
        <v>0</v>
      </c>
      <c r="AQ76" s="19" t="n">
        <f aca="false">AQ74-AQ75</f>
        <v>0</v>
      </c>
      <c r="AR76" s="19" t="n">
        <f aca="false">AR74-AR75</f>
        <v>0</v>
      </c>
      <c r="AS76" s="19" t="n">
        <f aca="false">AS74-AS75</f>
        <v>0</v>
      </c>
      <c r="AT76" s="19" t="n">
        <f aca="false">AT74-AT75</f>
        <v>0</v>
      </c>
      <c r="AU76" s="19" t="n">
        <f aca="false">AU74-AU75</f>
        <v>0</v>
      </c>
      <c r="AV76" s="19" t="n">
        <f aca="false">AV74-AV75</f>
        <v>0</v>
      </c>
      <c r="AW76" s="19" t="n">
        <f aca="false">AW74-AW75</f>
        <v>0</v>
      </c>
      <c r="AX76" s="19" t="n">
        <f aca="false">AX74-AX75</f>
        <v>0</v>
      </c>
      <c r="AY76" s="19" t="n">
        <f aca="false">AY74-AY75</f>
        <v>0</v>
      </c>
      <c r="AZ76" s="19" t="n">
        <f aca="false">AZ74-AZ75</f>
        <v>0</v>
      </c>
      <c r="BA76" s="19" t="n">
        <f aca="false">BA74-BA75</f>
        <v>0</v>
      </c>
      <c r="BB76" s="19" t="n">
        <f aca="false">BB74-BB75</f>
        <v>0</v>
      </c>
      <c r="BC76" s="19" t="n">
        <f aca="false">BC74-BC75</f>
        <v>0</v>
      </c>
      <c r="BD76" s="19" t="n">
        <f aca="false">BD74-BD75</f>
        <v>0</v>
      </c>
      <c r="BE76" s="19" t="n">
        <f aca="false">BE74-BE75</f>
        <v>0</v>
      </c>
      <c r="BF76" s="19" t="n">
        <f aca="false">BF74-BF75</f>
        <v>0</v>
      </c>
      <c r="BG76" s="19" t="n">
        <f aca="false">BG74-BG75</f>
        <v>0</v>
      </c>
      <c r="BH76" s="19" t="n">
        <f aca="false">BH74-BH75</f>
        <v>0</v>
      </c>
      <c r="BI76" s="19" t="n">
        <f aca="false">BI74-BI75</f>
        <v>0</v>
      </c>
      <c r="BJ76" s="19" t="n">
        <f aca="false">BJ74-BJ75</f>
        <v>0</v>
      </c>
      <c r="BK76" s="19" t="n">
        <f aca="false">BK74-BK75</f>
        <v>0</v>
      </c>
      <c r="BL76" s="19" t="n">
        <f aca="false">BL74-BL75</f>
        <v>0</v>
      </c>
      <c r="BM76" s="19" t="n">
        <f aca="false">BM74-BM75</f>
        <v>0</v>
      </c>
      <c r="BN76" s="19" t="n">
        <f aca="false">BN74-BN75</f>
        <v>0</v>
      </c>
      <c r="BO76" s="19" t="n">
        <f aca="false">BO74-BO75</f>
        <v>0</v>
      </c>
      <c r="BP76" s="19" t="n">
        <f aca="false">BP74-BP75</f>
        <v>0</v>
      </c>
      <c r="BQ76" s="19" t="n">
        <f aca="false">BQ74-BQ75</f>
        <v>0</v>
      </c>
      <c r="BR76" s="19" t="n">
        <f aca="false">BR74-BR75</f>
        <v>0</v>
      </c>
      <c r="BS76" s="19" t="n">
        <f aca="false">BS74-BS75</f>
        <v>0</v>
      </c>
      <c r="BT76" s="19" t="n">
        <f aca="false">BT74-BT75</f>
        <v>0</v>
      </c>
      <c r="BU76" s="19" t="n">
        <f aca="false">BU74-BU75</f>
        <v>0</v>
      </c>
      <c r="BV76" s="19" t="n">
        <f aca="false">BV74-BV75</f>
        <v>0</v>
      </c>
      <c r="BW76" s="19" t="n">
        <f aca="false">BW74-BW75</f>
        <v>0</v>
      </c>
      <c r="BX76" s="19" t="n">
        <f aca="false">BX74-BX75</f>
        <v>0</v>
      </c>
      <c r="BY76" s="19" t="n">
        <f aca="false">BY74-BY75</f>
        <v>0</v>
      </c>
      <c r="BZ76" s="19" t="n">
        <f aca="false">BZ74-BZ75</f>
        <v>0</v>
      </c>
      <c r="CA76" s="19" t="n">
        <f aca="false">CA74-CA75</f>
        <v>0</v>
      </c>
      <c r="CB76" s="19" t="n">
        <f aca="false">CB74-CB75</f>
        <v>0</v>
      </c>
      <c r="CC76" s="19" t="n">
        <f aca="false">CC74-CC75</f>
        <v>0</v>
      </c>
      <c r="CD76" s="19" t="n">
        <f aca="false">CD74-CD75</f>
        <v>0</v>
      </c>
      <c r="CE76" s="19" t="n">
        <f aca="false">CE74-CE75</f>
        <v>0</v>
      </c>
      <c r="CF76" s="19" t="n">
        <f aca="false">CF74-CF75</f>
        <v>0</v>
      </c>
      <c r="CG76" s="19" t="n">
        <f aca="false">CG74-CG75</f>
        <v>0</v>
      </c>
      <c r="CH76" s="19" t="n">
        <f aca="false">CH74-CH75</f>
        <v>0</v>
      </c>
      <c r="CI76" s="19" t="n">
        <f aca="false">CI74-CI75</f>
        <v>0</v>
      </c>
      <c r="CJ76" s="19" t="n">
        <f aca="false">CJ74-CJ75</f>
        <v>0</v>
      </c>
      <c r="CK76" s="19" t="n">
        <f aca="false">CK74-CK75</f>
        <v>0</v>
      </c>
      <c r="CL76" s="19" t="n">
        <f aca="false">CL74-CL75</f>
        <v>0</v>
      </c>
      <c r="CM76" s="19" t="n">
        <f aca="false">CM74-CM75</f>
        <v>0</v>
      </c>
      <c r="CN76" s="19" t="n">
        <f aca="false">CN74-CN75</f>
        <v>0</v>
      </c>
      <c r="CO76" s="19" t="n">
        <f aca="false">CO74-CO75</f>
        <v>0</v>
      </c>
      <c r="CP76" s="19" t="n">
        <f aca="false">CP74-CP75</f>
        <v>0</v>
      </c>
      <c r="CQ76" s="19" t="n">
        <f aca="false">CQ74-CQ75</f>
        <v>0</v>
      </c>
      <c r="CR76" s="19" t="n">
        <f aca="false">CR74-CR75</f>
        <v>0</v>
      </c>
      <c r="CS76" s="19" t="n">
        <f aca="false">CS74-CS75</f>
        <v>0</v>
      </c>
      <c r="CT76" s="19" t="n">
        <f aca="false">CT74-CT75</f>
        <v>0</v>
      </c>
      <c r="CU76" s="19" t="n">
        <f aca="false">CU74-CU75</f>
        <v>0</v>
      </c>
      <c r="CV76" s="19" t="n">
        <f aca="false">CV74-CV75</f>
        <v>0</v>
      </c>
      <c r="CW76" s="19" t="n">
        <f aca="false">CW74-CW75</f>
        <v>0</v>
      </c>
      <c r="CX76" s="19" t="n">
        <f aca="false">CX74-CX75</f>
        <v>0</v>
      </c>
      <c r="CY76" s="19" t="n">
        <f aca="false">CY74-CY75</f>
        <v>0</v>
      </c>
      <c r="CZ76" s="19" t="n">
        <f aca="false">CZ74-CZ75</f>
        <v>0</v>
      </c>
      <c r="DA76" s="19" t="n">
        <f aca="false">DA74-DA75</f>
        <v>0</v>
      </c>
      <c r="DB76" s="19" t="n">
        <f aca="false">DB74-DB75</f>
        <v>0</v>
      </c>
    </row>
    <row r="77" customFormat="false" ht="15" hidden="false" customHeight="false" outlineLevel="0" collapsed="false">
      <c r="D77" s="0" t="s">
        <v>539</v>
      </c>
      <c r="E77" s="0" t="s">
        <v>44</v>
      </c>
      <c r="G77" s="19" t="n">
        <f aca="false">SUM(J77:DB77)</f>
        <v>0</v>
      </c>
      <c r="J77" s="19" t="n">
        <f aca="false">Inputs!$F$163*J76</f>
        <v>0</v>
      </c>
      <c r="K77" s="19" t="n">
        <f aca="false">Inputs!$F$163*K76</f>
        <v>0</v>
      </c>
      <c r="L77" s="19" t="n">
        <f aca="false">Inputs!$F$163*L76</f>
        <v>0</v>
      </c>
      <c r="M77" s="19" t="n">
        <f aca="false">Inputs!$F$163*M76</f>
        <v>0</v>
      </c>
      <c r="N77" s="19" t="n">
        <f aca="false">Inputs!$F$163*N76</f>
        <v>0</v>
      </c>
      <c r="O77" s="19" t="n">
        <f aca="false">Inputs!$F$163*O76</f>
        <v>0</v>
      </c>
      <c r="P77" s="19" t="n">
        <f aca="false">Inputs!$F$163*P76</f>
        <v>0</v>
      </c>
      <c r="Q77" s="19" t="n">
        <f aca="false">Inputs!$F$163*Q76</f>
        <v>0</v>
      </c>
      <c r="R77" s="19" t="n">
        <f aca="false">Inputs!$F$163*R76</f>
        <v>0</v>
      </c>
      <c r="S77" s="19" t="n">
        <f aca="false">Inputs!$F$163*S76</f>
        <v>0</v>
      </c>
      <c r="T77" s="19" t="n">
        <f aca="false">Inputs!$F$163*T76</f>
        <v>0</v>
      </c>
      <c r="U77" s="19" t="n">
        <f aca="false">Inputs!$F$163*U76</f>
        <v>0</v>
      </c>
      <c r="V77" s="19" t="n">
        <f aca="false">Inputs!$F$163*V76</f>
        <v>0</v>
      </c>
      <c r="W77" s="19" t="n">
        <f aca="false">Inputs!$F$163*W76</f>
        <v>0</v>
      </c>
      <c r="X77" s="19" t="n">
        <f aca="false">Inputs!$F$163*X76</f>
        <v>0</v>
      </c>
      <c r="Y77" s="19" t="n">
        <f aca="false">Inputs!$F$163*Y76</f>
        <v>0</v>
      </c>
      <c r="Z77" s="19" t="n">
        <f aca="false">Inputs!$F$163*Z76</f>
        <v>0</v>
      </c>
      <c r="AA77" s="19" t="n">
        <f aca="false">Inputs!$F$163*AA76</f>
        <v>0</v>
      </c>
      <c r="AB77" s="19" t="n">
        <f aca="false">Inputs!$F$163*AB76</f>
        <v>0</v>
      </c>
      <c r="AC77" s="19" t="n">
        <f aca="false">Inputs!$F$163*AC76</f>
        <v>0</v>
      </c>
      <c r="AD77" s="19" t="n">
        <f aca="false">Inputs!$F$163*AD76</f>
        <v>0</v>
      </c>
      <c r="AE77" s="19" t="n">
        <f aca="false">Inputs!$F$163*AE76</f>
        <v>0</v>
      </c>
      <c r="AF77" s="19" t="n">
        <f aca="false">Inputs!$F$163*AF76</f>
        <v>0</v>
      </c>
      <c r="AG77" s="19" t="n">
        <f aca="false">Inputs!$F$163*AG76</f>
        <v>0</v>
      </c>
      <c r="AH77" s="19" t="n">
        <f aca="false">Inputs!$F$163*AH76</f>
        <v>0</v>
      </c>
      <c r="AI77" s="19" t="n">
        <f aca="false">Inputs!$F$163*AI76</f>
        <v>0</v>
      </c>
      <c r="AJ77" s="19" t="n">
        <f aca="false">Inputs!$F$163*AJ76</f>
        <v>0</v>
      </c>
      <c r="AK77" s="19" t="n">
        <f aca="false">Inputs!$F$163*AK76</f>
        <v>0</v>
      </c>
      <c r="AL77" s="19" t="n">
        <f aca="false">Inputs!$F$163*AL76</f>
        <v>0</v>
      </c>
      <c r="AM77" s="19" t="n">
        <f aca="false">Inputs!$F$163*AM76</f>
        <v>0</v>
      </c>
      <c r="AN77" s="19" t="n">
        <f aca="false">Inputs!$F$163*AN76</f>
        <v>0</v>
      </c>
      <c r="AO77" s="19" t="n">
        <f aca="false">Inputs!$F$163*AO76</f>
        <v>0</v>
      </c>
      <c r="AP77" s="19" t="n">
        <f aca="false">Inputs!$F$163*AP76</f>
        <v>0</v>
      </c>
      <c r="AQ77" s="19" t="n">
        <f aca="false">Inputs!$F$163*AQ76</f>
        <v>0</v>
      </c>
      <c r="AR77" s="19" t="n">
        <f aca="false">Inputs!$F$163*AR76</f>
        <v>0</v>
      </c>
      <c r="AS77" s="19" t="n">
        <f aca="false">Inputs!$F$163*AS76</f>
        <v>0</v>
      </c>
      <c r="AT77" s="19" t="n">
        <f aca="false">Inputs!$F$163*AT76</f>
        <v>0</v>
      </c>
      <c r="AU77" s="19" t="n">
        <f aca="false">Inputs!$F$163*AU76</f>
        <v>0</v>
      </c>
      <c r="AV77" s="19" t="n">
        <f aca="false">Inputs!$F$163*AV76</f>
        <v>0</v>
      </c>
      <c r="AW77" s="19" t="n">
        <f aca="false">Inputs!$F$163*AW76</f>
        <v>0</v>
      </c>
      <c r="AX77" s="19" t="n">
        <f aca="false">Inputs!$F$163*AX76</f>
        <v>0</v>
      </c>
      <c r="AY77" s="19" t="n">
        <f aca="false">Inputs!$F$163*AY76</f>
        <v>0</v>
      </c>
      <c r="AZ77" s="19" t="n">
        <f aca="false">Inputs!$F$163*AZ76</f>
        <v>0</v>
      </c>
      <c r="BA77" s="19" t="n">
        <f aca="false">Inputs!$F$163*BA76</f>
        <v>0</v>
      </c>
      <c r="BB77" s="19" t="n">
        <f aca="false">Inputs!$F$163*BB76</f>
        <v>0</v>
      </c>
      <c r="BC77" s="19" t="n">
        <f aca="false">Inputs!$F$163*BC76</f>
        <v>0</v>
      </c>
      <c r="BD77" s="19" t="n">
        <f aca="false">Inputs!$F$163*BD76</f>
        <v>0</v>
      </c>
      <c r="BE77" s="19" t="n">
        <f aca="false">Inputs!$F$163*BE76</f>
        <v>0</v>
      </c>
      <c r="BF77" s="19" t="n">
        <f aca="false">Inputs!$F$163*BF76</f>
        <v>0</v>
      </c>
      <c r="BG77" s="19" t="n">
        <f aca="false">Inputs!$F$163*BG76</f>
        <v>0</v>
      </c>
      <c r="BH77" s="19" t="n">
        <f aca="false">Inputs!$F$163*BH76</f>
        <v>0</v>
      </c>
      <c r="BI77" s="19" t="n">
        <f aca="false">Inputs!$F$163*BI76</f>
        <v>0</v>
      </c>
      <c r="BJ77" s="19" t="n">
        <f aca="false">Inputs!$F$163*BJ76</f>
        <v>0</v>
      </c>
      <c r="BK77" s="19" t="n">
        <f aca="false">Inputs!$F$163*BK76</f>
        <v>0</v>
      </c>
      <c r="BL77" s="19" t="n">
        <f aca="false">Inputs!$F$163*BL76</f>
        <v>0</v>
      </c>
      <c r="BM77" s="19" t="n">
        <f aca="false">Inputs!$F$163*BM76</f>
        <v>0</v>
      </c>
      <c r="BN77" s="19" t="n">
        <f aca="false">Inputs!$F$163*BN76</f>
        <v>0</v>
      </c>
      <c r="BO77" s="19" t="n">
        <f aca="false">Inputs!$F$163*BO76</f>
        <v>0</v>
      </c>
      <c r="BP77" s="19" t="n">
        <f aca="false">Inputs!$F$163*BP76</f>
        <v>0</v>
      </c>
      <c r="BQ77" s="19" t="n">
        <f aca="false">Inputs!$F$163*BQ76</f>
        <v>0</v>
      </c>
      <c r="BR77" s="19" t="n">
        <f aca="false">Inputs!$F$163*BR76</f>
        <v>0</v>
      </c>
      <c r="BS77" s="19" t="n">
        <f aca="false">Inputs!$F$163*BS76</f>
        <v>0</v>
      </c>
      <c r="BT77" s="19" t="n">
        <f aca="false">Inputs!$F$163*BT76</f>
        <v>0</v>
      </c>
      <c r="BU77" s="19" t="n">
        <f aca="false">Inputs!$F$163*BU76</f>
        <v>0</v>
      </c>
      <c r="BV77" s="19" t="n">
        <f aca="false">Inputs!$F$163*BV76</f>
        <v>0</v>
      </c>
      <c r="BW77" s="19" t="n">
        <f aca="false">Inputs!$F$163*BW76</f>
        <v>0</v>
      </c>
      <c r="BX77" s="19" t="n">
        <f aca="false">Inputs!$F$163*BX76</f>
        <v>0</v>
      </c>
      <c r="BY77" s="19" t="n">
        <f aca="false">Inputs!$F$163*BY76</f>
        <v>0</v>
      </c>
      <c r="BZ77" s="19" t="n">
        <f aca="false">Inputs!$F$163*BZ76</f>
        <v>0</v>
      </c>
      <c r="CA77" s="19" t="n">
        <f aca="false">Inputs!$F$163*CA76</f>
        <v>0</v>
      </c>
      <c r="CB77" s="19" t="n">
        <f aca="false">Inputs!$F$163*CB76</f>
        <v>0</v>
      </c>
      <c r="CC77" s="19" t="n">
        <f aca="false">Inputs!$F$163*CC76</f>
        <v>0</v>
      </c>
      <c r="CD77" s="19" t="n">
        <f aca="false">Inputs!$F$163*CD76</f>
        <v>0</v>
      </c>
      <c r="CE77" s="19" t="n">
        <f aca="false">Inputs!$F$163*CE76</f>
        <v>0</v>
      </c>
      <c r="CF77" s="19" t="n">
        <f aca="false">Inputs!$F$163*CF76</f>
        <v>0</v>
      </c>
      <c r="CG77" s="19" t="n">
        <f aca="false">Inputs!$F$163*CG76</f>
        <v>0</v>
      </c>
      <c r="CH77" s="19" t="n">
        <f aca="false">Inputs!$F$163*CH76</f>
        <v>0</v>
      </c>
      <c r="CI77" s="19" t="n">
        <f aca="false">Inputs!$F$163*CI76</f>
        <v>0</v>
      </c>
      <c r="CJ77" s="19" t="n">
        <f aca="false">Inputs!$F$163*CJ76</f>
        <v>0</v>
      </c>
      <c r="CK77" s="19" t="n">
        <f aca="false">Inputs!$F$163*CK76</f>
        <v>0</v>
      </c>
      <c r="CL77" s="19" t="n">
        <f aca="false">Inputs!$F$163*CL76</f>
        <v>0</v>
      </c>
      <c r="CM77" s="19" t="n">
        <f aca="false">Inputs!$F$163*CM76</f>
        <v>0</v>
      </c>
      <c r="CN77" s="19" t="n">
        <f aca="false">Inputs!$F$163*CN76</f>
        <v>0</v>
      </c>
      <c r="CO77" s="19" t="n">
        <f aca="false">Inputs!$F$163*CO76</f>
        <v>0</v>
      </c>
      <c r="CP77" s="19" t="n">
        <f aca="false">Inputs!$F$163*CP76</f>
        <v>0</v>
      </c>
      <c r="CQ77" s="19" t="n">
        <f aca="false">Inputs!$F$163*CQ76</f>
        <v>0</v>
      </c>
      <c r="CR77" s="19" t="n">
        <f aca="false">Inputs!$F$163*CR76</f>
        <v>0</v>
      </c>
      <c r="CS77" s="19" t="n">
        <f aca="false">Inputs!$F$163*CS76</f>
        <v>0</v>
      </c>
      <c r="CT77" s="19" t="n">
        <f aca="false">Inputs!$F$163*CT76</f>
        <v>0</v>
      </c>
      <c r="CU77" s="19" t="n">
        <f aca="false">Inputs!$F$163*CU76</f>
        <v>0</v>
      </c>
      <c r="CV77" s="19" t="n">
        <f aca="false">Inputs!$F$163*CV76</f>
        <v>0</v>
      </c>
      <c r="CW77" s="19" t="n">
        <f aca="false">Inputs!$F$163*CW76</f>
        <v>0</v>
      </c>
      <c r="CX77" s="19" t="n">
        <f aca="false">Inputs!$F$163*CX76</f>
        <v>0</v>
      </c>
      <c r="CY77" s="19" t="n">
        <f aca="false">Inputs!$F$163*CY76</f>
        <v>0</v>
      </c>
      <c r="CZ77" s="19" t="n">
        <f aca="false">Inputs!$F$163*CZ76</f>
        <v>0</v>
      </c>
      <c r="DA77" s="19" t="n">
        <f aca="false">Inputs!$F$163*DA76</f>
        <v>0</v>
      </c>
      <c r="DB77" s="19" t="n">
        <f aca="false">Inputs!$F$163*DB76</f>
        <v>0</v>
      </c>
    </row>
    <row r="78" customFormat="false" ht="15" hidden="false" customHeight="false" outlineLevel="0" collapsed="false">
      <c r="D78" s="0" t="s">
        <v>540</v>
      </c>
      <c r="E78" s="0" t="s">
        <v>44</v>
      </c>
      <c r="G78" s="19" t="n">
        <f aca="false">SUM(J78:DB78)</f>
        <v>0</v>
      </c>
      <c r="J78" s="19" t="n">
        <f aca="false">Inputs!$F$165*J76</f>
        <v>0</v>
      </c>
      <c r="K78" s="19" t="n">
        <f aca="false">Inputs!$F$165*K76</f>
        <v>0</v>
      </c>
      <c r="L78" s="19" t="n">
        <f aca="false">Inputs!$F$165*L76</f>
        <v>0</v>
      </c>
      <c r="M78" s="19" t="n">
        <f aca="false">Inputs!$F$165*M76</f>
        <v>0</v>
      </c>
      <c r="N78" s="19" t="n">
        <f aca="false">Inputs!$F$165*N76</f>
        <v>0</v>
      </c>
      <c r="O78" s="19" t="n">
        <f aca="false">Inputs!$F$165*O76</f>
        <v>0</v>
      </c>
      <c r="P78" s="19" t="n">
        <f aca="false">Inputs!$F$165*P76</f>
        <v>0</v>
      </c>
      <c r="Q78" s="19" t="n">
        <f aca="false">Inputs!$F$165*Q76</f>
        <v>0</v>
      </c>
      <c r="R78" s="19" t="n">
        <f aca="false">Inputs!$F$165*R76</f>
        <v>0</v>
      </c>
      <c r="S78" s="19" t="n">
        <f aca="false">Inputs!$F$165*S76</f>
        <v>0</v>
      </c>
      <c r="T78" s="19" t="n">
        <f aca="false">Inputs!$F$165*T76</f>
        <v>0</v>
      </c>
      <c r="U78" s="19" t="n">
        <f aca="false">Inputs!$F$165*U76</f>
        <v>0</v>
      </c>
      <c r="V78" s="19" t="n">
        <f aca="false">Inputs!$F$165*V76</f>
        <v>0</v>
      </c>
      <c r="W78" s="19" t="n">
        <f aca="false">Inputs!$F$165*W76</f>
        <v>0</v>
      </c>
      <c r="X78" s="19" t="n">
        <f aca="false">Inputs!$F$165*X76</f>
        <v>0</v>
      </c>
      <c r="Y78" s="19" t="n">
        <f aca="false">Inputs!$F$165*Y76</f>
        <v>0</v>
      </c>
      <c r="Z78" s="19" t="n">
        <f aca="false">Inputs!$F$165*Z76</f>
        <v>0</v>
      </c>
      <c r="AA78" s="19" t="n">
        <f aca="false">Inputs!$F$165*AA76</f>
        <v>0</v>
      </c>
      <c r="AB78" s="19" t="n">
        <f aca="false">Inputs!$F$165*AB76</f>
        <v>0</v>
      </c>
      <c r="AC78" s="19" t="n">
        <f aca="false">Inputs!$F$165*AC76</f>
        <v>0</v>
      </c>
      <c r="AD78" s="19" t="n">
        <f aca="false">Inputs!$F$165*AD76</f>
        <v>0</v>
      </c>
      <c r="AE78" s="19" t="n">
        <f aca="false">Inputs!$F$165*AE76</f>
        <v>0</v>
      </c>
      <c r="AF78" s="19" t="n">
        <f aca="false">Inputs!$F$165*AF76</f>
        <v>0</v>
      </c>
      <c r="AG78" s="19" t="n">
        <f aca="false">Inputs!$F$165*AG76</f>
        <v>0</v>
      </c>
      <c r="AH78" s="19" t="n">
        <f aca="false">Inputs!$F$165*AH76</f>
        <v>0</v>
      </c>
      <c r="AI78" s="19" t="n">
        <f aca="false">Inputs!$F$165*AI76</f>
        <v>0</v>
      </c>
      <c r="AJ78" s="19" t="n">
        <f aca="false">Inputs!$F$165*AJ76</f>
        <v>0</v>
      </c>
      <c r="AK78" s="19" t="n">
        <f aca="false">Inputs!$F$165*AK76</f>
        <v>0</v>
      </c>
      <c r="AL78" s="19" t="n">
        <f aca="false">Inputs!$F$165*AL76</f>
        <v>0</v>
      </c>
      <c r="AM78" s="19" t="n">
        <f aca="false">Inputs!$F$165*AM76</f>
        <v>0</v>
      </c>
      <c r="AN78" s="19" t="n">
        <f aca="false">Inputs!$F$165*AN76</f>
        <v>0</v>
      </c>
      <c r="AO78" s="19" t="n">
        <f aca="false">Inputs!$F$165*AO76</f>
        <v>0</v>
      </c>
      <c r="AP78" s="19" t="n">
        <f aca="false">Inputs!$F$165*AP76</f>
        <v>0</v>
      </c>
      <c r="AQ78" s="19" t="n">
        <f aca="false">Inputs!$F$165*AQ76</f>
        <v>0</v>
      </c>
      <c r="AR78" s="19" t="n">
        <f aca="false">Inputs!$F$165*AR76</f>
        <v>0</v>
      </c>
      <c r="AS78" s="19" t="n">
        <f aca="false">Inputs!$F$165*AS76</f>
        <v>0</v>
      </c>
      <c r="AT78" s="19" t="n">
        <f aca="false">Inputs!$F$165*AT76</f>
        <v>0</v>
      </c>
      <c r="AU78" s="19" t="n">
        <f aca="false">Inputs!$F$165*AU76</f>
        <v>0</v>
      </c>
      <c r="AV78" s="19" t="n">
        <f aca="false">Inputs!$F$165*AV76</f>
        <v>0</v>
      </c>
      <c r="AW78" s="19" t="n">
        <f aca="false">Inputs!$F$165*AW76</f>
        <v>0</v>
      </c>
      <c r="AX78" s="19" t="n">
        <f aca="false">Inputs!$F$165*AX76</f>
        <v>0</v>
      </c>
      <c r="AY78" s="19" t="n">
        <f aca="false">Inputs!$F$165*AY76</f>
        <v>0</v>
      </c>
      <c r="AZ78" s="19" t="n">
        <f aca="false">Inputs!$F$165*AZ76</f>
        <v>0</v>
      </c>
      <c r="BA78" s="19" t="n">
        <f aca="false">Inputs!$F$165*BA76</f>
        <v>0</v>
      </c>
      <c r="BB78" s="19" t="n">
        <f aca="false">Inputs!$F$165*BB76</f>
        <v>0</v>
      </c>
      <c r="BC78" s="19" t="n">
        <f aca="false">Inputs!$F$165*BC76</f>
        <v>0</v>
      </c>
      <c r="BD78" s="19" t="n">
        <f aca="false">Inputs!$F$165*BD76</f>
        <v>0</v>
      </c>
      <c r="BE78" s="19" t="n">
        <f aca="false">Inputs!$F$165*BE76</f>
        <v>0</v>
      </c>
      <c r="BF78" s="19" t="n">
        <f aca="false">Inputs!$F$165*BF76</f>
        <v>0</v>
      </c>
      <c r="BG78" s="19" t="n">
        <f aca="false">Inputs!$F$165*BG76</f>
        <v>0</v>
      </c>
      <c r="BH78" s="19" t="n">
        <f aca="false">Inputs!$F$165*BH76</f>
        <v>0</v>
      </c>
      <c r="BI78" s="19" t="n">
        <f aca="false">Inputs!$F$165*BI76</f>
        <v>0</v>
      </c>
      <c r="BJ78" s="19" t="n">
        <f aca="false">Inputs!$F$165*BJ76</f>
        <v>0</v>
      </c>
      <c r="BK78" s="19" t="n">
        <f aca="false">Inputs!$F$165*BK76</f>
        <v>0</v>
      </c>
      <c r="BL78" s="19" t="n">
        <f aca="false">Inputs!$F$165*BL76</f>
        <v>0</v>
      </c>
      <c r="BM78" s="19" t="n">
        <f aca="false">Inputs!$F$165*BM76</f>
        <v>0</v>
      </c>
      <c r="BN78" s="19" t="n">
        <f aca="false">Inputs!$F$165*BN76</f>
        <v>0</v>
      </c>
      <c r="BO78" s="19" t="n">
        <f aca="false">Inputs!$F$165*BO76</f>
        <v>0</v>
      </c>
      <c r="BP78" s="19" t="n">
        <f aca="false">Inputs!$F$165*BP76</f>
        <v>0</v>
      </c>
      <c r="BQ78" s="19" t="n">
        <f aca="false">Inputs!$F$165*BQ76</f>
        <v>0</v>
      </c>
      <c r="BR78" s="19" t="n">
        <f aca="false">Inputs!$F$165*BR76</f>
        <v>0</v>
      </c>
      <c r="BS78" s="19" t="n">
        <f aca="false">Inputs!$F$165*BS76</f>
        <v>0</v>
      </c>
      <c r="BT78" s="19" t="n">
        <f aca="false">Inputs!$F$165*BT76</f>
        <v>0</v>
      </c>
      <c r="BU78" s="19" t="n">
        <f aca="false">Inputs!$F$165*BU76</f>
        <v>0</v>
      </c>
      <c r="BV78" s="19" t="n">
        <f aca="false">Inputs!$F$165*BV76</f>
        <v>0</v>
      </c>
      <c r="BW78" s="19" t="n">
        <f aca="false">Inputs!$F$165*BW76</f>
        <v>0</v>
      </c>
      <c r="BX78" s="19" t="n">
        <f aca="false">Inputs!$F$165*BX76</f>
        <v>0</v>
      </c>
      <c r="BY78" s="19" t="n">
        <f aca="false">Inputs!$F$165*BY76</f>
        <v>0</v>
      </c>
      <c r="BZ78" s="19" t="n">
        <f aca="false">Inputs!$F$165*BZ76</f>
        <v>0</v>
      </c>
      <c r="CA78" s="19" t="n">
        <f aca="false">Inputs!$F$165*CA76</f>
        <v>0</v>
      </c>
      <c r="CB78" s="19" t="n">
        <f aca="false">Inputs!$F$165*CB76</f>
        <v>0</v>
      </c>
      <c r="CC78" s="19" t="n">
        <f aca="false">Inputs!$F$165*CC76</f>
        <v>0</v>
      </c>
      <c r="CD78" s="19" t="n">
        <f aca="false">Inputs!$F$165*CD76</f>
        <v>0</v>
      </c>
      <c r="CE78" s="19" t="n">
        <f aca="false">Inputs!$F$165*CE76</f>
        <v>0</v>
      </c>
      <c r="CF78" s="19" t="n">
        <f aca="false">Inputs!$F$165*CF76</f>
        <v>0</v>
      </c>
      <c r="CG78" s="19" t="n">
        <f aca="false">Inputs!$F$165*CG76</f>
        <v>0</v>
      </c>
      <c r="CH78" s="19" t="n">
        <f aca="false">Inputs!$F$165*CH76</f>
        <v>0</v>
      </c>
      <c r="CI78" s="19" t="n">
        <f aca="false">Inputs!$F$165*CI76</f>
        <v>0</v>
      </c>
      <c r="CJ78" s="19" t="n">
        <f aca="false">Inputs!$F$165*CJ76</f>
        <v>0</v>
      </c>
      <c r="CK78" s="19" t="n">
        <f aca="false">Inputs!$F$165*CK76</f>
        <v>0</v>
      </c>
      <c r="CL78" s="19" t="n">
        <f aca="false">Inputs!$F$165*CL76</f>
        <v>0</v>
      </c>
      <c r="CM78" s="19" t="n">
        <f aca="false">Inputs!$F$165*CM76</f>
        <v>0</v>
      </c>
      <c r="CN78" s="19" t="n">
        <f aca="false">Inputs!$F$165*CN76</f>
        <v>0</v>
      </c>
      <c r="CO78" s="19" t="n">
        <f aca="false">Inputs!$F$165*CO76</f>
        <v>0</v>
      </c>
      <c r="CP78" s="19" t="n">
        <f aca="false">Inputs!$F$165*CP76</f>
        <v>0</v>
      </c>
      <c r="CQ78" s="19" t="n">
        <f aca="false">Inputs!$F$165*CQ76</f>
        <v>0</v>
      </c>
      <c r="CR78" s="19" t="n">
        <f aca="false">Inputs!$F$165*CR76</f>
        <v>0</v>
      </c>
      <c r="CS78" s="19" t="n">
        <f aca="false">Inputs!$F$165*CS76</f>
        <v>0</v>
      </c>
      <c r="CT78" s="19" t="n">
        <f aca="false">Inputs!$F$165*CT76</f>
        <v>0</v>
      </c>
      <c r="CU78" s="19" t="n">
        <f aca="false">Inputs!$F$165*CU76</f>
        <v>0</v>
      </c>
      <c r="CV78" s="19" t="n">
        <f aca="false">Inputs!$F$165*CV76</f>
        <v>0</v>
      </c>
      <c r="CW78" s="19" t="n">
        <f aca="false">Inputs!$F$165*CW76</f>
        <v>0</v>
      </c>
      <c r="CX78" s="19" t="n">
        <f aca="false">Inputs!$F$165*CX76</f>
        <v>0</v>
      </c>
      <c r="CY78" s="19" t="n">
        <f aca="false">Inputs!$F$165*CY76</f>
        <v>0</v>
      </c>
      <c r="CZ78" s="19" t="n">
        <f aca="false">Inputs!$F$165*CZ76</f>
        <v>0</v>
      </c>
      <c r="DA78" s="19" t="n">
        <f aca="false">Inputs!$F$165*DA76</f>
        <v>0</v>
      </c>
      <c r="DB78" s="19" t="n">
        <f aca="false">Inputs!$F$165*DB76</f>
        <v>0</v>
      </c>
    </row>
    <row r="79" customFormat="false" ht="15" hidden="false" customHeight="false" outlineLevel="0" collapsed="false">
      <c r="D79" s="0" t="s">
        <v>541</v>
      </c>
      <c r="E79" s="0" t="s">
        <v>44</v>
      </c>
      <c r="G79" s="19" t="n">
        <f aca="false">SUM(J79:DB79)</f>
        <v>0</v>
      </c>
      <c r="J79" s="19" t="n">
        <f aca="false">Inputs!$F$164*J76</f>
        <v>0</v>
      </c>
      <c r="K79" s="19" t="n">
        <f aca="false">Inputs!$F$164*K76</f>
        <v>0</v>
      </c>
      <c r="L79" s="19" t="n">
        <f aca="false">Inputs!$F$164*L76</f>
        <v>0</v>
      </c>
      <c r="M79" s="19" t="n">
        <f aca="false">Inputs!$F$164*M76</f>
        <v>0</v>
      </c>
      <c r="N79" s="19" t="n">
        <f aca="false">Inputs!$F$164*N76</f>
        <v>0</v>
      </c>
      <c r="O79" s="19" t="n">
        <f aca="false">Inputs!$F$164*O76</f>
        <v>0</v>
      </c>
      <c r="P79" s="19" t="n">
        <f aca="false">Inputs!$F$164*P76</f>
        <v>0</v>
      </c>
      <c r="Q79" s="19" t="n">
        <f aca="false">Inputs!$F$164*Q76</f>
        <v>0</v>
      </c>
      <c r="R79" s="19" t="n">
        <f aca="false">Inputs!$F$164*R76</f>
        <v>0</v>
      </c>
      <c r="S79" s="19" t="n">
        <f aca="false">Inputs!$F$164*S76</f>
        <v>0</v>
      </c>
      <c r="T79" s="19" t="n">
        <f aca="false">Inputs!$F$164*T76</f>
        <v>0</v>
      </c>
      <c r="U79" s="19" t="n">
        <f aca="false">Inputs!$F$164*U76</f>
        <v>0</v>
      </c>
      <c r="V79" s="19" t="n">
        <f aca="false">Inputs!$F$164*V76</f>
        <v>0</v>
      </c>
      <c r="W79" s="19" t="n">
        <f aca="false">Inputs!$F$164*W76</f>
        <v>0</v>
      </c>
      <c r="X79" s="19" t="n">
        <f aca="false">Inputs!$F$164*X76</f>
        <v>0</v>
      </c>
      <c r="Y79" s="19" t="n">
        <f aca="false">Inputs!$F$164*Y76</f>
        <v>0</v>
      </c>
      <c r="Z79" s="19" t="n">
        <f aca="false">Inputs!$F$164*Z76</f>
        <v>0</v>
      </c>
      <c r="AA79" s="19" t="n">
        <f aca="false">Inputs!$F$164*AA76</f>
        <v>0</v>
      </c>
      <c r="AB79" s="19" t="n">
        <f aca="false">Inputs!$F$164*AB76</f>
        <v>0</v>
      </c>
      <c r="AC79" s="19" t="n">
        <f aca="false">Inputs!$F$164*AC76</f>
        <v>0</v>
      </c>
      <c r="AD79" s="19" t="n">
        <f aca="false">Inputs!$F$164*AD76</f>
        <v>0</v>
      </c>
      <c r="AE79" s="19" t="n">
        <f aca="false">Inputs!$F$164*AE76</f>
        <v>0</v>
      </c>
      <c r="AF79" s="19" t="n">
        <f aca="false">Inputs!$F$164*AF76</f>
        <v>0</v>
      </c>
      <c r="AG79" s="19" t="n">
        <f aca="false">Inputs!$F$164*AG76</f>
        <v>0</v>
      </c>
      <c r="AH79" s="19" t="n">
        <f aca="false">Inputs!$F$164*AH76</f>
        <v>0</v>
      </c>
      <c r="AI79" s="19" t="n">
        <f aca="false">Inputs!$F$164*AI76</f>
        <v>0</v>
      </c>
      <c r="AJ79" s="19" t="n">
        <f aca="false">Inputs!$F$164*AJ76</f>
        <v>0</v>
      </c>
      <c r="AK79" s="19" t="n">
        <f aca="false">Inputs!$F$164*AK76</f>
        <v>0</v>
      </c>
      <c r="AL79" s="19" t="n">
        <f aca="false">Inputs!$F$164*AL76</f>
        <v>0</v>
      </c>
      <c r="AM79" s="19" t="n">
        <f aca="false">Inputs!$F$164*AM76</f>
        <v>0</v>
      </c>
      <c r="AN79" s="19" t="n">
        <f aca="false">Inputs!$F$164*AN76</f>
        <v>0</v>
      </c>
      <c r="AO79" s="19" t="n">
        <f aca="false">Inputs!$F$164*AO76</f>
        <v>0</v>
      </c>
      <c r="AP79" s="19" t="n">
        <f aca="false">Inputs!$F$164*AP76</f>
        <v>0</v>
      </c>
      <c r="AQ79" s="19" t="n">
        <f aca="false">Inputs!$F$164*AQ76</f>
        <v>0</v>
      </c>
      <c r="AR79" s="19" t="n">
        <f aca="false">Inputs!$F$164*AR76</f>
        <v>0</v>
      </c>
      <c r="AS79" s="19" t="n">
        <f aca="false">Inputs!$F$164*AS76</f>
        <v>0</v>
      </c>
      <c r="AT79" s="19" t="n">
        <f aca="false">Inputs!$F$164*AT76</f>
        <v>0</v>
      </c>
      <c r="AU79" s="19" t="n">
        <f aca="false">Inputs!$F$164*AU76</f>
        <v>0</v>
      </c>
      <c r="AV79" s="19" t="n">
        <f aca="false">Inputs!$F$164*AV76</f>
        <v>0</v>
      </c>
      <c r="AW79" s="19" t="n">
        <f aca="false">Inputs!$F$164*AW76</f>
        <v>0</v>
      </c>
      <c r="AX79" s="19" t="n">
        <f aca="false">Inputs!$F$164*AX76</f>
        <v>0</v>
      </c>
      <c r="AY79" s="19" t="n">
        <f aca="false">Inputs!$F$164*AY76</f>
        <v>0</v>
      </c>
      <c r="AZ79" s="19" t="n">
        <f aca="false">Inputs!$F$164*AZ76</f>
        <v>0</v>
      </c>
      <c r="BA79" s="19" t="n">
        <f aca="false">Inputs!$F$164*BA76</f>
        <v>0</v>
      </c>
      <c r="BB79" s="19" t="n">
        <f aca="false">Inputs!$F$164*BB76</f>
        <v>0</v>
      </c>
      <c r="BC79" s="19" t="n">
        <f aca="false">Inputs!$F$164*BC76</f>
        <v>0</v>
      </c>
      <c r="BD79" s="19" t="n">
        <f aca="false">Inputs!$F$164*BD76</f>
        <v>0</v>
      </c>
      <c r="BE79" s="19" t="n">
        <f aca="false">Inputs!$F$164*BE76</f>
        <v>0</v>
      </c>
      <c r="BF79" s="19" t="n">
        <f aca="false">Inputs!$F$164*BF76</f>
        <v>0</v>
      </c>
      <c r="BG79" s="19" t="n">
        <f aca="false">Inputs!$F$164*BG76</f>
        <v>0</v>
      </c>
      <c r="BH79" s="19" t="n">
        <f aca="false">Inputs!$F$164*BH76</f>
        <v>0</v>
      </c>
      <c r="BI79" s="19" t="n">
        <f aca="false">Inputs!$F$164*BI76</f>
        <v>0</v>
      </c>
      <c r="BJ79" s="19" t="n">
        <f aca="false">Inputs!$F$164*BJ76</f>
        <v>0</v>
      </c>
      <c r="BK79" s="19" t="n">
        <f aca="false">Inputs!$F$164*BK76</f>
        <v>0</v>
      </c>
      <c r="BL79" s="19" t="n">
        <f aca="false">Inputs!$F$164*BL76</f>
        <v>0</v>
      </c>
      <c r="BM79" s="19" t="n">
        <f aca="false">Inputs!$F$164*BM76</f>
        <v>0</v>
      </c>
      <c r="BN79" s="19" t="n">
        <f aca="false">Inputs!$F$164*BN76</f>
        <v>0</v>
      </c>
      <c r="BO79" s="19" t="n">
        <f aca="false">Inputs!$F$164*BO76</f>
        <v>0</v>
      </c>
      <c r="BP79" s="19" t="n">
        <f aca="false">Inputs!$F$164*BP76</f>
        <v>0</v>
      </c>
      <c r="BQ79" s="19" t="n">
        <f aca="false">Inputs!$F$164*BQ76</f>
        <v>0</v>
      </c>
      <c r="BR79" s="19" t="n">
        <f aca="false">Inputs!$F$164*BR76</f>
        <v>0</v>
      </c>
      <c r="BS79" s="19" t="n">
        <f aca="false">Inputs!$F$164*BS76</f>
        <v>0</v>
      </c>
      <c r="BT79" s="19" t="n">
        <f aca="false">Inputs!$F$164*BT76</f>
        <v>0</v>
      </c>
      <c r="BU79" s="19" t="n">
        <f aca="false">Inputs!$F$164*BU76</f>
        <v>0</v>
      </c>
      <c r="BV79" s="19" t="n">
        <f aca="false">Inputs!$F$164*BV76</f>
        <v>0</v>
      </c>
      <c r="BW79" s="19" t="n">
        <f aca="false">Inputs!$F$164*BW76</f>
        <v>0</v>
      </c>
      <c r="BX79" s="19" t="n">
        <f aca="false">Inputs!$F$164*BX76</f>
        <v>0</v>
      </c>
      <c r="BY79" s="19" t="n">
        <f aca="false">Inputs!$F$164*BY76</f>
        <v>0</v>
      </c>
      <c r="BZ79" s="19" t="n">
        <f aca="false">Inputs!$F$164*BZ76</f>
        <v>0</v>
      </c>
      <c r="CA79" s="19" t="n">
        <f aca="false">Inputs!$F$164*CA76</f>
        <v>0</v>
      </c>
      <c r="CB79" s="19" t="n">
        <f aca="false">Inputs!$F$164*CB76</f>
        <v>0</v>
      </c>
      <c r="CC79" s="19" t="n">
        <f aca="false">Inputs!$F$164*CC76</f>
        <v>0</v>
      </c>
      <c r="CD79" s="19" t="n">
        <f aca="false">Inputs!$F$164*CD76</f>
        <v>0</v>
      </c>
      <c r="CE79" s="19" t="n">
        <f aca="false">Inputs!$F$164*CE76</f>
        <v>0</v>
      </c>
      <c r="CF79" s="19" t="n">
        <f aca="false">Inputs!$F$164*CF76</f>
        <v>0</v>
      </c>
      <c r="CG79" s="19" t="n">
        <f aca="false">Inputs!$F$164*CG76</f>
        <v>0</v>
      </c>
      <c r="CH79" s="19" t="n">
        <f aca="false">Inputs!$F$164*CH76</f>
        <v>0</v>
      </c>
      <c r="CI79" s="19" t="n">
        <f aca="false">Inputs!$F$164*CI76</f>
        <v>0</v>
      </c>
      <c r="CJ79" s="19" t="n">
        <f aca="false">Inputs!$F$164*CJ76</f>
        <v>0</v>
      </c>
      <c r="CK79" s="19" t="n">
        <f aca="false">Inputs!$F$164*CK76</f>
        <v>0</v>
      </c>
      <c r="CL79" s="19" t="n">
        <f aca="false">Inputs!$F$164*CL76</f>
        <v>0</v>
      </c>
      <c r="CM79" s="19" t="n">
        <f aca="false">Inputs!$F$164*CM76</f>
        <v>0</v>
      </c>
      <c r="CN79" s="19" t="n">
        <f aca="false">Inputs!$F$164*CN76</f>
        <v>0</v>
      </c>
      <c r="CO79" s="19" t="n">
        <f aca="false">Inputs!$F$164*CO76</f>
        <v>0</v>
      </c>
      <c r="CP79" s="19" t="n">
        <f aca="false">Inputs!$F$164*CP76</f>
        <v>0</v>
      </c>
      <c r="CQ79" s="19" t="n">
        <f aca="false">Inputs!$F$164*CQ76</f>
        <v>0</v>
      </c>
      <c r="CR79" s="19" t="n">
        <f aca="false">Inputs!$F$164*CR76</f>
        <v>0</v>
      </c>
      <c r="CS79" s="19" t="n">
        <f aca="false">Inputs!$F$164*CS76</f>
        <v>0</v>
      </c>
      <c r="CT79" s="19" t="n">
        <f aca="false">Inputs!$F$164*CT76</f>
        <v>0</v>
      </c>
      <c r="CU79" s="19" t="n">
        <f aca="false">Inputs!$F$164*CU76</f>
        <v>0</v>
      </c>
      <c r="CV79" s="19" t="n">
        <f aca="false">Inputs!$F$164*CV76</f>
        <v>0</v>
      </c>
      <c r="CW79" s="19" t="n">
        <f aca="false">Inputs!$F$164*CW76</f>
        <v>0</v>
      </c>
      <c r="CX79" s="19" t="n">
        <f aca="false">Inputs!$F$164*CX76</f>
        <v>0</v>
      </c>
      <c r="CY79" s="19" t="n">
        <f aca="false">Inputs!$F$164*CY76</f>
        <v>0</v>
      </c>
      <c r="CZ79" s="19" t="n">
        <f aca="false">Inputs!$F$164*CZ76</f>
        <v>0</v>
      </c>
      <c r="DA79" s="19" t="n">
        <f aca="false">Inputs!$F$164*DA76</f>
        <v>0</v>
      </c>
      <c r="DB79" s="19" t="n">
        <f aca="false">Inputs!$F$164*DB76</f>
        <v>0</v>
      </c>
    </row>
    <row r="80" customFormat="false" ht="15" hidden="false" customHeight="false" outlineLevel="0" collapsed="false">
      <c r="D80" s="0" t="s">
        <v>542</v>
      </c>
      <c r="E80" s="0" t="s">
        <v>44</v>
      </c>
      <c r="G80" s="19" t="n">
        <f aca="false">SUM(J80:DB80)</f>
        <v>0</v>
      </c>
      <c r="J80" s="19" t="n">
        <f aca="false">Time!J35*Waterfall!J58</f>
        <v>0</v>
      </c>
      <c r="K80" s="19" t="n">
        <f aca="false">Time!K35*Waterfall!K58</f>
        <v>0</v>
      </c>
      <c r="L80" s="19" t="n">
        <f aca="false">Time!L35*Waterfall!L58</f>
        <v>0</v>
      </c>
      <c r="M80" s="19" t="n">
        <f aca="false">Time!M35*Waterfall!M58</f>
        <v>0</v>
      </c>
      <c r="N80" s="19" t="n">
        <f aca="false">Time!N35*Waterfall!N58</f>
        <v>0</v>
      </c>
      <c r="O80" s="19" t="n">
        <f aca="false">Time!O35*Waterfall!O58</f>
        <v>0</v>
      </c>
      <c r="P80" s="19" t="n">
        <f aca="false">Time!P35*Waterfall!P58</f>
        <v>0</v>
      </c>
      <c r="Q80" s="19" t="n">
        <f aca="false">Time!Q35*Waterfall!Q58</f>
        <v>0</v>
      </c>
      <c r="R80" s="19" t="n">
        <f aca="false">Time!R35*Waterfall!R58</f>
        <v>0</v>
      </c>
      <c r="S80" s="19" t="n">
        <f aca="false">Time!S35*Waterfall!S58</f>
        <v>0</v>
      </c>
      <c r="T80" s="19" t="n">
        <f aca="false">Time!T35*Waterfall!T58</f>
        <v>0</v>
      </c>
      <c r="U80" s="19" t="n">
        <f aca="false">Time!U35*Waterfall!U58</f>
        <v>0</v>
      </c>
      <c r="V80" s="19" t="n">
        <f aca="false">Time!V35*Waterfall!V58</f>
        <v>0</v>
      </c>
      <c r="W80" s="19" t="n">
        <f aca="false">Time!W35*Waterfall!W58</f>
        <v>0</v>
      </c>
      <c r="X80" s="19" t="n">
        <f aca="false">Time!X35*Waterfall!X58</f>
        <v>0</v>
      </c>
      <c r="Y80" s="19" t="n">
        <f aca="false">Time!Y35*Waterfall!Y58</f>
        <v>0</v>
      </c>
      <c r="Z80" s="19" t="n">
        <f aca="false">Time!Z35*Waterfall!Z58</f>
        <v>0</v>
      </c>
      <c r="AA80" s="19" t="n">
        <f aca="false">Time!AA35*Waterfall!AA58</f>
        <v>0</v>
      </c>
      <c r="AB80" s="19" t="n">
        <f aca="false">Time!AB35*Waterfall!AB58</f>
        <v>0</v>
      </c>
      <c r="AC80" s="19" t="n">
        <f aca="false">Time!AC35*Waterfall!AC58</f>
        <v>0</v>
      </c>
      <c r="AD80" s="19" t="n">
        <f aca="false">Time!AD35*Waterfall!AD58</f>
        <v>0</v>
      </c>
      <c r="AE80" s="19" t="n">
        <f aca="false">Time!AE35*Waterfall!AE58</f>
        <v>0</v>
      </c>
      <c r="AF80" s="19" t="n">
        <f aca="false">Time!AF35*Waterfall!AF58</f>
        <v>0</v>
      </c>
      <c r="AG80" s="19" t="n">
        <f aca="false">Time!AG35*Waterfall!AG58</f>
        <v>0</v>
      </c>
      <c r="AH80" s="19" t="n">
        <f aca="false">Time!AH35*Waterfall!AH58</f>
        <v>0</v>
      </c>
      <c r="AI80" s="19" t="n">
        <f aca="false">Time!AI35*Waterfall!AI58</f>
        <v>0</v>
      </c>
      <c r="AJ80" s="19" t="n">
        <f aca="false">Time!AJ35*Waterfall!AJ58</f>
        <v>0</v>
      </c>
      <c r="AK80" s="19" t="n">
        <f aca="false">Time!AK35*Waterfall!AK58</f>
        <v>0</v>
      </c>
      <c r="AL80" s="19" t="n">
        <f aca="false">Time!AL35*Waterfall!AL58</f>
        <v>0</v>
      </c>
      <c r="AM80" s="19" t="n">
        <f aca="false">Time!AM35*Waterfall!AM58</f>
        <v>0</v>
      </c>
      <c r="AN80" s="19" t="n">
        <f aca="false">Time!AN35*Waterfall!AN58</f>
        <v>0</v>
      </c>
      <c r="AO80" s="19" t="n">
        <f aca="false">Time!AO35*Waterfall!AO58</f>
        <v>0</v>
      </c>
      <c r="AP80" s="19" t="n">
        <f aca="false">Time!AP35*Waterfall!AP58</f>
        <v>0</v>
      </c>
      <c r="AQ80" s="19" t="n">
        <f aca="false">Time!AQ35*Waterfall!AQ58</f>
        <v>0</v>
      </c>
      <c r="AR80" s="19" t="n">
        <f aca="false">Time!AR35*Waterfall!AR58</f>
        <v>0</v>
      </c>
      <c r="AS80" s="19" t="n">
        <f aca="false">Time!AS35*Waterfall!AS58</f>
        <v>0</v>
      </c>
      <c r="AT80" s="19" t="n">
        <f aca="false">Time!AT35*Waterfall!AT58</f>
        <v>0</v>
      </c>
      <c r="AU80" s="19" t="n">
        <f aca="false">Time!AU35*Waterfall!AU58</f>
        <v>0</v>
      </c>
      <c r="AV80" s="19" t="n">
        <f aca="false">Time!AV35*Waterfall!AV58</f>
        <v>0</v>
      </c>
      <c r="AW80" s="19" t="n">
        <f aca="false">Time!AW35*Waterfall!AW58</f>
        <v>0</v>
      </c>
      <c r="AX80" s="19" t="n">
        <f aca="false">Time!AX35*Waterfall!AX58</f>
        <v>0</v>
      </c>
      <c r="AY80" s="19" t="n">
        <f aca="false">Time!AY35*Waterfall!AY58</f>
        <v>0</v>
      </c>
      <c r="AZ80" s="19" t="n">
        <f aca="false">Time!AZ35*Waterfall!AZ58</f>
        <v>0</v>
      </c>
      <c r="BA80" s="19" t="n">
        <f aca="false">Time!BA35*Waterfall!BA58</f>
        <v>0</v>
      </c>
      <c r="BB80" s="19" t="n">
        <f aca="false">Time!BB35*Waterfall!BB58</f>
        <v>0</v>
      </c>
      <c r="BC80" s="19" t="n">
        <f aca="false">Time!BC35*Waterfall!BC58</f>
        <v>0</v>
      </c>
      <c r="BD80" s="19" t="n">
        <f aca="false">Time!BD35*Waterfall!BD58</f>
        <v>0</v>
      </c>
      <c r="BE80" s="19" t="n">
        <f aca="false">Time!BE35*Waterfall!BE58</f>
        <v>0</v>
      </c>
      <c r="BF80" s="19" t="n">
        <f aca="false">Time!BF35*Waterfall!BF58</f>
        <v>0</v>
      </c>
      <c r="BG80" s="19" t="n">
        <f aca="false">Time!BG35*Waterfall!BG58</f>
        <v>0</v>
      </c>
      <c r="BH80" s="19" t="n">
        <f aca="false">Time!BH35*Waterfall!BH58</f>
        <v>0</v>
      </c>
      <c r="BI80" s="19" t="n">
        <f aca="false">Time!BI35*Waterfall!BI58</f>
        <v>0</v>
      </c>
      <c r="BJ80" s="19" t="n">
        <f aca="false">Time!BJ35*Waterfall!BJ58</f>
        <v>0</v>
      </c>
      <c r="BK80" s="19" t="n">
        <f aca="false">Time!BK35*Waterfall!BK58</f>
        <v>0</v>
      </c>
      <c r="BL80" s="19" t="n">
        <f aca="false">Time!BL35*Waterfall!BL58</f>
        <v>0</v>
      </c>
      <c r="BM80" s="19" t="n">
        <f aca="false">Time!BM35*Waterfall!BM58</f>
        <v>0</v>
      </c>
      <c r="BN80" s="19" t="n">
        <f aca="false">Time!BN35*Waterfall!BN58</f>
        <v>0</v>
      </c>
      <c r="BO80" s="19" t="n">
        <f aca="false">Time!BO35*Waterfall!BO58</f>
        <v>0</v>
      </c>
      <c r="BP80" s="19" t="n">
        <f aca="false">Time!BP35*Waterfall!BP58</f>
        <v>0</v>
      </c>
      <c r="BQ80" s="19" t="n">
        <f aca="false">Time!BQ35*Waterfall!BQ58</f>
        <v>0</v>
      </c>
      <c r="BR80" s="19" t="n">
        <f aca="false">Time!BR35*Waterfall!BR58</f>
        <v>0</v>
      </c>
      <c r="BS80" s="19" t="n">
        <f aca="false">Time!BS35*Waterfall!BS58</f>
        <v>0</v>
      </c>
      <c r="BT80" s="19" t="n">
        <f aca="false">Time!BT35*Waterfall!BT58</f>
        <v>0</v>
      </c>
      <c r="BU80" s="19" t="n">
        <f aca="false">Time!BU35*Waterfall!BU58</f>
        <v>0</v>
      </c>
      <c r="BV80" s="19" t="n">
        <f aca="false">Time!BV35*Waterfall!BV58</f>
        <v>0</v>
      </c>
      <c r="BW80" s="19" t="n">
        <f aca="false">Time!BW35*Waterfall!BW58</f>
        <v>0</v>
      </c>
      <c r="BX80" s="19" t="n">
        <f aca="false">Time!BX35*Waterfall!BX58</f>
        <v>0</v>
      </c>
      <c r="BY80" s="19" t="n">
        <f aca="false">Time!BY35*Waterfall!BY58</f>
        <v>0</v>
      </c>
      <c r="BZ80" s="19" t="n">
        <f aca="false">Time!BZ35*Waterfall!BZ58</f>
        <v>0</v>
      </c>
      <c r="CA80" s="19" t="n">
        <f aca="false">Time!CA35*Waterfall!CA58</f>
        <v>0</v>
      </c>
      <c r="CB80" s="19" t="n">
        <f aca="false">Time!CB35*Waterfall!CB58</f>
        <v>0</v>
      </c>
      <c r="CC80" s="19" t="n">
        <f aca="false">Time!CC35*Waterfall!CC58</f>
        <v>0</v>
      </c>
      <c r="CD80" s="19" t="n">
        <f aca="false">Time!CD35*Waterfall!CD58</f>
        <v>0</v>
      </c>
      <c r="CE80" s="19" t="n">
        <f aca="false">Time!CE35*Waterfall!CE58</f>
        <v>0</v>
      </c>
      <c r="CF80" s="19" t="n">
        <f aca="false">Time!CF35*Waterfall!CF58</f>
        <v>0</v>
      </c>
      <c r="CG80" s="19" t="n">
        <f aca="false">Time!CG35*Waterfall!CG58</f>
        <v>0</v>
      </c>
      <c r="CH80" s="19" t="n">
        <f aca="false">Time!CH35*Waterfall!CH58</f>
        <v>0</v>
      </c>
      <c r="CI80" s="19" t="n">
        <f aca="false">Time!CI35*Waterfall!CI58</f>
        <v>0</v>
      </c>
      <c r="CJ80" s="19" t="n">
        <f aca="false">Time!CJ35*Waterfall!CJ58</f>
        <v>0</v>
      </c>
      <c r="CK80" s="19" t="n">
        <f aca="false">Time!CK35*Waterfall!CK58</f>
        <v>0</v>
      </c>
      <c r="CL80" s="19" t="n">
        <f aca="false">Time!CL35*Waterfall!CL58</f>
        <v>0</v>
      </c>
      <c r="CM80" s="19" t="n">
        <f aca="false">Time!CM35*Waterfall!CM58</f>
        <v>0</v>
      </c>
      <c r="CN80" s="19" t="n">
        <f aca="false">Time!CN35*Waterfall!CN58</f>
        <v>0</v>
      </c>
      <c r="CO80" s="19" t="n">
        <f aca="false">Time!CO35*Waterfall!CO58</f>
        <v>0</v>
      </c>
      <c r="CP80" s="19" t="n">
        <f aca="false">Time!CP35*Waterfall!CP58</f>
        <v>0</v>
      </c>
      <c r="CQ80" s="19" t="n">
        <f aca="false">Time!CQ35*Waterfall!CQ58</f>
        <v>0</v>
      </c>
      <c r="CR80" s="19" t="n">
        <f aca="false">Time!CR35*Waterfall!CR58</f>
        <v>0</v>
      </c>
      <c r="CS80" s="19" t="n">
        <f aca="false">Time!CS35*Waterfall!CS58</f>
        <v>0</v>
      </c>
      <c r="CT80" s="19" t="n">
        <f aca="false">Time!CT35*Waterfall!CT58</f>
        <v>0</v>
      </c>
      <c r="CU80" s="19" t="n">
        <f aca="false">Time!CU35*Waterfall!CU58</f>
        <v>0</v>
      </c>
      <c r="CV80" s="19" t="n">
        <f aca="false">Time!CV35*Waterfall!CV58</f>
        <v>0</v>
      </c>
      <c r="CW80" s="19" t="n">
        <f aca="false">Time!CW35*Waterfall!CW58</f>
        <v>0</v>
      </c>
      <c r="CX80" s="19" t="n">
        <f aca="false">Time!CX35*Waterfall!CX58</f>
        <v>0</v>
      </c>
      <c r="CY80" s="19" t="n">
        <f aca="false">Time!CY35*Waterfall!CY58</f>
        <v>0</v>
      </c>
      <c r="CZ80" s="19" t="n">
        <f aca="false">Time!CZ35*Waterfall!CZ58</f>
        <v>0</v>
      </c>
      <c r="DA80" s="19" t="n">
        <f aca="false">Time!DA35*Waterfall!DA58</f>
        <v>0</v>
      </c>
      <c r="DB80" s="19" t="n">
        <f aca="false">Time!DB35*Waterfall!DB58</f>
        <v>0</v>
      </c>
    </row>
    <row r="81" customFormat="false" ht="15" hidden="false" customHeight="false" outlineLevel="0" collapsed="false">
      <c r="D81" s="0" t="s">
        <v>543</v>
      </c>
      <c r="E81" s="0" t="s">
        <v>44</v>
      </c>
      <c r="F81" s="19" t="n">
        <f aca="false">SUM($J$77:$DB$77)</f>
        <v>0</v>
      </c>
    </row>
    <row r="82" customFormat="false" ht="15" hidden="false" customHeight="false" outlineLevel="0" collapsed="false">
      <c r="D82" s="3" t="s">
        <v>544</v>
      </c>
    </row>
    <row r="83" customFormat="false" ht="15" hidden="false" customHeight="false" outlineLevel="0" collapsed="false">
      <c r="D83" s="0" t="s">
        <v>545</v>
      </c>
      <c r="E83" s="0" t="s">
        <v>171</v>
      </c>
      <c r="J83" s="27" t="n">
        <f aca="false">IF(Time!J37=1,IF(Time!I37=1,I83,1)/(1+J10),0)</f>
        <v>0</v>
      </c>
      <c r="K83" s="27" t="n">
        <f aca="false">IF(Time!K37=1,IF(Time!J37=1,J83,1)/(1+K10),0)</f>
        <v>0</v>
      </c>
      <c r="L83" s="27" t="n">
        <f aca="false">IF(Time!L37=1,IF(Time!K37=1,K83,1)/(1+L10),0)</f>
        <v>0</v>
      </c>
      <c r="M83" s="27" t="n">
        <f aca="false">IF(Time!M37=1,IF(Time!L37=1,L83,1)/(1+M10),0)</f>
        <v>0</v>
      </c>
      <c r="N83" s="27" t="n">
        <f aca="false">IF(Time!N37=1,IF(Time!M37=1,M83,1)/(1+N10),0)</f>
        <v>0</v>
      </c>
      <c r="O83" s="27" t="n">
        <f aca="false">IF(Time!O37=1,IF(Time!N37=1,N83,1)/(1+O10),0)</f>
        <v>0</v>
      </c>
      <c r="P83" s="27" t="n">
        <f aca="false">IF(Time!P37=1,IF(Time!O37=1,O83,1)/(1+P10),0)</f>
        <v>0</v>
      </c>
      <c r="Q83" s="27" t="n">
        <f aca="false">IF(Time!Q37=1,IF(Time!P37=1,P83,1)/(1+Q10),0)</f>
        <v>0</v>
      </c>
      <c r="R83" s="27" t="n">
        <f aca="false">IF(Time!R37=1,IF(Time!Q37=1,Q83,1)/(1+R10),0)</f>
        <v>0</v>
      </c>
      <c r="S83" s="27" t="n">
        <f aca="false">IF(Time!S37=1,IF(Time!R37=1,R83,1)/(1+S10),0)</f>
        <v>0</v>
      </c>
      <c r="T83" s="27" t="n">
        <f aca="false">IF(Time!T37=1,IF(Time!S37=1,S83,1)/(1+T10),0)</f>
        <v>0</v>
      </c>
      <c r="U83" s="27" t="n">
        <f aca="false">IF(Time!U37=1,IF(Time!T37=1,T83,1)/(1+U10),0)</f>
        <v>0</v>
      </c>
      <c r="V83" s="27" t="n">
        <f aca="false">IF(Time!V37=1,IF(Time!U37=1,U83,1)/(1+V10),0)</f>
        <v>0</v>
      </c>
      <c r="W83" s="27" t="n">
        <f aca="false">IF(Time!W37=1,IF(Time!V37=1,V83,1)/(1+W10),0)</f>
        <v>0</v>
      </c>
      <c r="X83" s="27" t="n">
        <f aca="false">IF(Time!X37=1,IF(Time!W37=1,W83,1)/(1+X10),0)</f>
        <v>0</v>
      </c>
      <c r="Y83" s="27" t="n">
        <f aca="false">IF(Time!Y37=1,IF(Time!X37=1,X83,1)/(1+Y10),0)</f>
        <v>0</v>
      </c>
      <c r="Z83" s="27" t="n">
        <f aca="false">IF(Time!Z37=1,IF(Time!Y37=1,Y83,1)/(1+Z10),0)</f>
        <v>0</v>
      </c>
      <c r="AA83" s="27" t="n">
        <f aca="false">IF(Time!AA37=1,IF(Time!Z37=1,Z83,1)/(1+AA10),0)</f>
        <v>0</v>
      </c>
      <c r="AB83" s="27" t="n">
        <f aca="false">IF(Time!AB37=1,IF(Time!AA37=1,AA83,1)/(1+AB10),0)</f>
        <v>0</v>
      </c>
      <c r="AC83" s="27" t="n">
        <f aca="false">IF(Time!AC37=1,IF(Time!AB37=1,AB83,1)/(1+AC10),0)</f>
        <v>0</v>
      </c>
      <c r="AD83" s="27" t="n">
        <f aca="false">IF(Time!AD37=1,IF(Time!AC37=1,AC83,1)/(1+AD10),0)</f>
        <v>0</v>
      </c>
      <c r="AE83" s="27" t="n">
        <f aca="false">IF(Time!AE37=1,IF(Time!AD37=1,AD83,1)/(1+AE10),0)</f>
        <v>0</v>
      </c>
      <c r="AF83" s="27" t="n">
        <f aca="false">IF(Time!AF37=1,IF(Time!AE37=1,AE83,1)/(1+AF10),0)</f>
        <v>0</v>
      </c>
      <c r="AG83" s="27" t="n">
        <f aca="false">IF(Time!AG37=1,IF(Time!AF37=1,AF83,1)/(1+AG10),0)</f>
        <v>0</v>
      </c>
      <c r="AH83" s="27" t="n">
        <f aca="false">IF(Time!AH37=1,IF(Time!AG37=1,AG83,1)/(1+AH10),0)</f>
        <v>0</v>
      </c>
      <c r="AI83" s="27" t="n">
        <f aca="false">IF(Time!AI37=1,IF(Time!AH37=1,AH83,1)/(1+AI10),0)</f>
        <v>0</v>
      </c>
      <c r="AJ83" s="27" t="n">
        <f aca="false">IF(Time!AJ37=1,IF(Time!AI37=1,AI83,1)/(1+AJ10),0)</f>
        <v>0</v>
      </c>
      <c r="AK83" s="27" t="n">
        <f aca="false">IF(Time!AK37=1,IF(Time!AJ37=1,AJ83,1)/(1+AK10),0)</f>
        <v>0</v>
      </c>
      <c r="AL83" s="27" t="n">
        <f aca="false">IF(Time!AL37=1,IF(Time!AK37=1,AK83,1)/(1+AL10),0)</f>
        <v>0</v>
      </c>
      <c r="AM83" s="27" t="n">
        <f aca="false">IF(Time!AM37=1,IF(Time!AL37=1,AL83,1)/(1+AM10),0)</f>
        <v>0</v>
      </c>
      <c r="AN83" s="27" t="n">
        <f aca="false">IF(Time!AN37=1,IF(Time!AM37=1,AM83,1)/(1+AN10),0)</f>
        <v>0</v>
      </c>
      <c r="AO83" s="27" t="n">
        <f aca="false">IF(Time!AO37=1,IF(Time!AN37=1,AN83,1)/(1+AO10),0)</f>
        <v>0</v>
      </c>
      <c r="AP83" s="27" t="n">
        <f aca="false">IF(Time!AP37=1,IF(Time!AO37=1,AO83,1)/(1+AP10),0)</f>
        <v>0</v>
      </c>
      <c r="AQ83" s="27" t="n">
        <f aca="false">IF(Time!AQ37=1,IF(Time!AP37=1,AP83,1)/(1+AQ10),0)</f>
        <v>0</v>
      </c>
      <c r="AR83" s="27" t="n">
        <f aca="false">IF(Time!AR37=1,IF(Time!AQ37=1,AQ83,1)/(1+AR10),0)</f>
        <v>0</v>
      </c>
      <c r="AS83" s="27" t="n">
        <f aca="false">IF(Time!AS37=1,IF(Time!AR37=1,AR83,1)/(1+AS10),0)</f>
        <v>0</v>
      </c>
      <c r="AT83" s="27" t="n">
        <f aca="false">IF(Time!AT37=1,IF(Time!AS37=1,AS83,1)/(1+AT10),0)</f>
        <v>0</v>
      </c>
      <c r="AU83" s="27" t="n">
        <f aca="false">IF(Time!AU37=1,IF(Time!AT37=1,AT83,1)/(1+AU10),0)</f>
        <v>0</v>
      </c>
      <c r="AV83" s="27" t="n">
        <f aca="false">IF(Time!AV37=1,IF(Time!AU37=1,AU83,1)/(1+AV10),0)</f>
        <v>0</v>
      </c>
      <c r="AW83" s="27" t="n">
        <f aca="false">IF(Time!AW37=1,IF(Time!AV37=1,AV83,1)/(1+AW10),0)</f>
        <v>0</v>
      </c>
      <c r="AX83" s="27" t="n">
        <f aca="false">IF(Time!AX37=1,IF(Time!AW37=1,AW83,1)/(1+AX10),0)</f>
        <v>0</v>
      </c>
      <c r="AY83" s="27" t="n">
        <f aca="false">IF(Time!AY37=1,IF(Time!AX37=1,AX83,1)/(1+AY10),0)</f>
        <v>0</v>
      </c>
      <c r="AZ83" s="27" t="n">
        <f aca="false">IF(Time!AZ37=1,IF(Time!AY37=1,AY83,1)/(1+AZ10),0)</f>
        <v>0</v>
      </c>
      <c r="BA83" s="27" t="n">
        <f aca="false">IF(Time!BA37=1,IF(Time!AZ37=1,AZ83,1)/(1+BA10),0)</f>
        <v>0</v>
      </c>
      <c r="BB83" s="27" t="n">
        <f aca="false">IF(Time!BB37=1,IF(Time!BA37=1,BA83,1)/(1+BB10),0)</f>
        <v>0</v>
      </c>
      <c r="BC83" s="27" t="n">
        <f aca="false">IF(Time!BC37=1,IF(Time!BB37=1,BB83,1)/(1+BC10),0)</f>
        <v>0</v>
      </c>
      <c r="BD83" s="27" t="n">
        <f aca="false">IF(Time!BD37=1,IF(Time!BC37=1,BC83,1)/(1+BD10),0)</f>
        <v>0</v>
      </c>
      <c r="BE83" s="27" t="n">
        <f aca="false">IF(Time!BE37=1,IF(Time!BD37=1,BD83,1)/(1+BE10),0)</f>
        <v>0</v>
      </c>
      <c r="BF83" s="27" t="n">
        <f aca="false">IF(Time!BF37=1,IF(Time!BE37=1,BE83,1)/(1+BF10),0)</f>
        <v>0</v>
      </c>
      <c r="BG83" s="27" t="n">
        <f aca="false">IF(Time!BG37=1,IF(Time!BF37=1,BF83,1)/(1+BG10),0)</f>
        <v>0</v>
      </c>
      <c r="BH83" s="27" t="n">
        <f aca="false">IF(Time!BH37=1,IF(Time!BG37=1,BG83,1)/(1+BH10),0)</f>
        <v>0</v>
      </c>
      <c r="BI83" s="27" t="n">
        <f aca="false">IF(Time!BI37=1,IF(Time!BH37=1,BH83,1)/(1+BI10),0)</f>
        <v>0</v>
      </c>
      <c r="BJ83" s="27" t="n">
        <f aca="false">IF(Time!BJ37=1,IF(Time!BI37=1,BI83,1)/(1+BJ10),0)</f>
        <v>0</v>
      </c>
      <c r="BK83" s="27" t="n">
        <f aca="false">IF(Time!BK37=1,IF(Time!BJ37=1,BJ83,1)/(1+BK10),0)</f>
        <v>0</v>
      </c>
      <c r="BL83" s="27" t="n">
        <f aca="false">IF(Time!BL37=1,IF(Time!BK37=1,BK83,1)/(1+BL10),0)</f>
        <v>0</v>
      </c>
      <c r="BM83" s="27" t="n">
        <f aca="false">IF(Time!BM37=1,IF(Time!BL37=1,BL83,1)/(1+BM10),0)</f>
        <v>0</v>
      </c>
      <c r="BN83" s="27" t="n">
        <f aca="false">IF(Time!BN37=1,IF(Time!BM37=1,BM83,1)/(1+BN10),0)</f>
        <v>0</v>
      </c>
      <c r="BO83" s="27" t="n">
        <f aca="false">IF(Time!BO37=1,IF(Time!BN37=1,BN83,1)/(1+BO10),0)</f>
        <v>0</v>
      </c>
      <c r="BP83" s="27" t="n">
        <f aca="false">IF(Time!BP37=1,IF(Time!BO37=1,BO83,1)/(1+BP10),0)</f>
        <v>0</v>
      </c>
      <c r="BQ83" s="27" t="n">
        <f aca="false">IF(Time!BQ37=1,IF(Time!BP37=1,BP83,1)/(1+BQ10),0)</f>
        <v>0</v>
      </c>
      <c r="BR83" s="27" t="n">
        <f aca="false">IF(Time!BR37=1,IF(Time!BQ37=1,BQ83,1)/(1+BR10),0)</f>
        <v>0</v>
      </c>
      <c r="BS83" s="27" t="n">
        <f aca="false">IF(Time!BS37=1,IF(Time!BR37=1,BR83,1)/(1+BS10),0)</f>
        <v>0</v>
      </c>
      <c r="BT83" s="27" t="n">
        <f aca="false">IF(Time!BT37=1,IF(Time!BS37=1,BS83,1)/(1+BT10),0)</f>
        <v>0</v>
      </c>
      <c r="BU83" s="27" t="n">
        <f aca="false">IF(Time!BU37=1,IF(Time!BT37=1,BT83,1)/(1+BU10),0)</f>
        <v>0</v>
      </c>
      <c r="BV83" s="27" t="n">
        <f aca="false">IF(Time!BV37=1,IF(Time!BU37=1,BU83,1)/(1+BV10),0)</f>
        <v>0</v>
      </c>
      <c r="BW83" s="27" t="n">
        <f aca="false">IF(Time!BW37=1,IF(Time!BV37=1,BV83,1)/(1+BW10),0)</f>
        <v>0</v>
      </c>
      <c r="BX83" s="27" t="n">
        <f aca="false">IF(Time!BX37=1,IF(Time!BW37=1,BW83,1)/(1+BX10),0)</f>
        <v>0</v>
      </c>
      <c r="BY83" s="27" t="n">
        <f aca="false">IF(Time!BY37=1,IF(Time!BX37=1,BX83,1)/(1+BY10),0)</f>
        <v>0</v>
      </c>
      <c r="BZ83" s="27" t="n">
        <f aca="false">IF(Time!BZ37=1,IF(Time!BY37=1,BY83,1)/(1+BZ10),0)</f>
        <v>0</v>
      </c>
      <c r="CA83" s="27" t="n">
        <f aca="false">IF(Time!CA37=1,IF(Time!BZ37=1,BZ83,1)/(1+CA10),0)</f>
        <v>0</v>
      </c>
      <c r="CB83" s="27" t="n">
        <f aca="false">IF(Time!CB37=1,IF(Time!CA37=1,CA83,1)/(1+CB10),0)</f>
        <v>0</v>
      </c>
      <c r="CC83" s="27" t="n">
        <f aca="false">IF(Time!CC37=1,IF(Time!CB37=1,CB83,1)/(1+CC10),0)</f>
        <v>0</v>
      </c>
      <c r="CD83" s="27" t="n">
        <f aca="false">IF(Time!CD37=1,IF(Time!CC37=1,CC83,1)/(1+CD10),0)</f>
        <v>0</v>
      </c>
      <c r="CE83" s="27" t="n">
        <f aca="false">IF(Time!CE37=1,IF(Time!CD37=1,CD83,1)/(1+CE10),0)</f>
        <v>0</v>
      </c>
      <c r="CF83" s="27" t="n">
        <f aca="false">IF(Time!CF37=1,IF(Time!CE37=1,CE83,1)/(1+CF10),0)</f>
        <v>0</v>
      </c>
      <c r="CG83" s="27" t="n">
        <f aca="false">IF(Time!CG37=1,IF(Time!CF37=1,CF83,1)/(1+CG10),0)</f>
        <v>0</v>
      </c>
      <c r="CH83" s="27" t="n">
        <f aca="false">IF(Time!CH37=1,IF(Time!CG37=1,CG83,1)/(1+CH10),0)</f>
        <v>0</v>
      </c>
      <c r="CI83" s="27" t="n">
        <f aca="false">IF(Time!CI37=1,IF(Time!CH37=1,CH83,1)/(1+CI10),0)</f>
        <v>0</v>
      </c>
      <c r="CJ83" s="27" t="n">
        <f aca="false">IF(Time!CJ37=1,IF(Time!CI37=1,CI83,1)/(1+CJ10),0)</f>
        <v>0</v>
      </c>
      <c r="CK83" s="27" t="n">
        <f aca="false">IF(Time!CK37=1,IF(Time!CJ37=1,CJ83,1)/(1+CK10),0)</f>
        <v>0</v>
      </c>
      <c r="CL83" s="27" t="n">
        <f aca="false">IF(Time!CL37=1,IF(Time!CK37=1,CK83,1)/(1+CL10),0)</f>
        <v>0</v>
      </c>
      <c r="CM83" s="27" t="n">
        <f aca="false">IF(Time!CM37=1,IF(Time!CL37=1,CL83,1)/(1+CM10),0)</f>
        <v>0</v>
      </c>
      <c r="CN83" s="27" t="n">
        <f aca="false">IF(Time!CN37=1,IF(Time!CM37=1,CM83,1)/(1+CN10),0)</f>
        <v>0</v>
      </c>
      <c r="CO83" s="27" t="n">
        <f aca="false">IF(Time!CO37=1,IF(Time!CN37=1,CN83,1)/(1+CO10),0)</f>
        <v>0</v>
      </c>
      <c r="CP83" s="27" t="n">
        <f aca="false">IF(Time!CP37=1,IF(Time!CO37=1,CO83,1)/(1+CP10),0)</f>
        <v>0</v>
      </c>
      <c r="CQ83" s="27" t="n">
        <f aca="false">IF(Time!CQ37=1,IF(Time!CP37=1,CP83,1)/(1+CQ10),0)</f>
        <v>0</v>
      </c>
      <c r="CR83" s="27" t="n">
        <f aca="false">IF(Time!CR37=1,IF(Time!CQ37=1,CQ83,1)/(1+CR10),0)</f>
        <v>0</v>
      </c>
      <c r="CS83" s="27" t="n">
        <f aca="false">IF(Time!CS37=1,IF(Time!CR37=1,CR83,1)/(1+CS10),0)</f>
        <v>0</v>
      </c>
      <c r="CT83" s="27" t="n">
        <f aca="false">IF(Time!CT37=1,IF(Time!CS37=1,CS83,1)/(1+CT10),0)</f>
        <v>0</v>
      </c>
      <c r="CU83" s="27" t="n">
        <f aca="false">IF(Time!CU37=1,IF(Time!CT37=1,CT83,1)/(1+CU10),0)</f>
        <v>0</v>
      </c>
      <c r="CV83" s="27" t="n">
        <f aca="false">IF(Time!CV37=1,IF(Time!CU37=1,CU83,1)/(1+CV10),0)</f>
        <v>0</v>
      </c>
      <c r="CW83" s="27" t="n">
        <f aca="false">IF(Time!CW37=1,IF(Time!CV37=1,CV83,1)/(1+CW10),0)</f>
        <v>0</v>
      </c>
      <c r="CX83" s="27" t="n">
        <f aca="false">IF(Time!CX37=1,IF(Time!CW37=1,CW83,1)/(1+CX10),0)</f>
        <v>0</v>
      </c>
      <c r="CY83" s="27" t="n">
        <f aca="false">IF(Time!CY37=1,IF(Time!CX37=1,CX83,1)/(1+CY10),0)</f>
        <v>0</v>
      </c>
      <c r="CZ83" s="27" t="n">
        <f aca="false">IF(Time!CZ37=1,IF(Time!CY37=1,CY83,1)/(1+CZ10),0)</f>
        <v>0</v>
      </c>
      <c r="DA83" s="27" t="n">
        <f aca="false">IF(Time!DA37=1,IF(Time!CZ37=1,CZ83,1)/(1+DA10),0)</f>
        <v>0</v>
      </c>
      <c r="DB83" s="27" t="n">
        <f aca="false">IF(Time!DB37=1,IF(Time!DA37=1,DA83,1)/(1+DB10),0)</f>
        <v>0</v>
      </c>
    </row>
    <row r="84" customFormat="false" ht="15" hidden="false" customHeight="false" outlineLevel="0" collapsed="false">
      <c r="D84" s="0" t="s">
        <v>546</v>
      </c>
      <c r="E84" s="0" t="s">
        <v>44</v>
      </c>
      <c r="J84" s="19" t="n">
        <f aca="false">IF(Time!J36=1,$F$81,I89)</f>
        <v>0</v>
      </c>
      <c r="K84" s="19" t="n">
        <f aca="false">IF(Time!K36=1,$F$81,J89)</f>
        <v>0</v>
      </c>
      <c r="L84" s="19" t="n">
        <f aca="false">IF(Time!L36=1,$F$81,K89)</f>
        <v>0</v>
      </c>
      <c r="M84" s="19" t="n">
        <f aca="false">IF(Time!M36=1,$F$81,L89)</f>
        <v>0</v>
      </c>
      <c r="N84" s="19" t="n">
        <f aca="false">IF(Time!N36=1,$F$81,M89)</f>
        <v>0</v>
      </c>
      <c r="O84" s="19" t="n">
        <f aca="false">IF(Time!O36=1,$F$81,N89)</f>
        <v>0</v>
      </c>
      <c r="P84" s="19" t="n">
        <f aca="false">IF(Time!P36=1,$F$81,O89)</f>
        <v>0</v>
      </c>
      <c r="Q84" s="19" t="n">
        <f aca="false">IF(Time!Q36=1,$F$81,P89)</f>
        <v>0</v>
      </c>
      <c r="R84" s="19" t="n">
        <f aca="false">IF(Time!R36=1,$F$81,Q89)</f>
        <v>0</v>
      </c>
      <c r="S84" s="19" t="n">
        <f aca="false">IF(Time!S36=1,$F$81,R89)</f>
        <v>0</v>
      </c>
      <c r="T84" s="19" t="n">
        <f aca="false">IF(Time!T36=1,$F$81,S89)</f>
        <v>0</v>
      </c>
      <c r="U84" s="19" t="n">
        <f aca="false">IF(Time!U36=1,$F$81,T89)</f>
        <v>0</v>
      </c>
      <c r="V84" s="19" t="n">
        <f aca="false">IF(Time!V36=1,$F$81,U89)</f>
        <v>0</v>
      </c>
      <c r="W84" s="19" t="n">
        <f aca="false">IF(Time!W36=1,$F$81,V89)</f>
        <v>0</v>
      </c>
      <c r="X84" s="19" t="n">
        <f aca="false">IF(Time!X36=1,$F$81,W89)</f>
        <v>0</v>
      </c>
      <c r="Y84" s="19" t="n">
        <f aca="false">IF(Time!Y36=1,$F$81,X89)</f>
        <v>0</v>
      </c>
      <c r="Z84" s="19" t="n">
        <f aca="false">IF(Time!Z36=1,$F$81,Y89)</f>
        <v>0</v>
      </c>
      <c r="AA84" s="19" t="n">
        <f aca="false">IF(Time!AA36=1,$F$81,Z89)</f>
        <v>0</v>
      </c>
      <c r="AB84" s="19" t="n">
        <f aca="false">IF(Time!AB36=1,$F$81,AA89)</f>
        <v>0</v>
      </c>
      <c r="AC84" s="19" t="n">
        <f aca="false">IF(Time!AC36=1,$F$81,AB89)</f>
        <v>0</v>
      </c>
      <c r="AD84" s="19" t="n">
        <f aca="false">IF(Time!AD36=1,$F$81,AC89)</f>
        <v>0</v>
      </c>
      <c r="AE84" s="19" t="n">
        <f aca="false">IF(Time!AE36=1,$F$81,AD89)</f>
        <v>0</v>
      </c>
      <c r="AF84" s="19" t="n">
        <f aca="false">IF(Time!AF36=1,$F$81,AE89)</f>
        <v>0</v>
      </c>
      <c r="AG84" s="19" t="n">
        <f aca="false">IF(Time!AG36=1,$F$81,AF89)</f>
        <v>0</v>
      </c>
      <c r="AH84" s="19" t="n">
        <f aca="false">IF(Time!AH36=1,$F$81,AG89)</f>
        <v>0</v>
      </c>
      <c r="AI84" s="19" t="n">
        <f aca="false">IF(Time!AI36=1,$F$81,AH89)</f>
        <v>0</v>
      </c>
      <c r="AJ84" s="19" t="n">
        <f aca="false">IF(Time!AJ36=1,$F$81,AI89)</f>
        <v>0</v>
      </c>
      <c r="AK84" s="19" t="n">
        <f aca="false">IF(Time!AK36=1,$F$81,AJ89)</f>
        <v>0</v>
      </c>
      <c r="AL84" s="19" t="n">
        <f aca="false">IF(Time!AL36=1,$F$81,AK89)</f>
        <v>0</v>
      </c>
      <c r="AM84" s="19" t="n">
        <f aca="false">IF(Time!AM36=1,$F$81,AL89)</f>
        <v>0</v>
      </c>
      <c r="AN84" s="19" t="n">
        <f aca="false">IF(Time!AN36=1,$F$81,AM89)</f>
        <v>0</v>
      </c>
      <c r="AO84" s="19" t="n">
        <f aca="false">IF(Time!AO36=1,$F$81,AN89)</f>
        <v>0</v>
      </c>
      <c r="AP84" s="19" t="n">
        <f aca="false">IF(Time!AP36=1,$F$81,AO89)</f>
        <v>0</v>
      </c>
      <c r="AQ84" s="19" t="n">
        <f aca="false">IF(Time!AQ36=1,$F$81,AP89)</f>
        <v>0</v>
      </c>
      <c r="AR84" s="19" t="n">
        <f aca="false">IF(Time!AR36=1,$F$81,AQ89)</f>
        <v>0</v>
      </c>
      <c r="AS84" s="19" t="n">
        <f aca="false">IF(Time!AS36=1,$F$81,AR89)</f>
        <v>0</v>
      </c>
      <c r="AT84" s="19" t="n">
        <f aca="false">IF(Time!AT36=1,$F$81,AS89)</f>
        <v>0</v>
      </c>
      <c r="AU84" s="19" t="n">
        <f aca="false">IF(Time!AU36=1,$F$81,AT89)</f>
        <v>0</v>
      </c>
      <c r="AV84" s="19" t="n">
        <f aca="false">IF(Time!AV36=1,$F$81,AU89)</f>
        <v>0</v>
      </c>
      <c r="AW84" s="19" t="n">
        <f aca="false">IF(Time!AW36=1,$F$81,AV89)</f>
        <v>0</v>
      </c>
      <c r="AX84" s="19" t="n">
        <f aca="false">IF(Time!AX36=1,$F$81,AW89)</f>
        <v>0</v>
      </c>
      <c r="AY84" s="19" t="n">
        <f aca="false">IF(Time!AY36=1,$F$81,AX89)</f>
        <v>0</v>
      </c>
      <c r="AZ84" s="19" t="n">
        <f aca="false">IF(Time!AZ36=1,$F$81,AY89)</f>
        <v>0</v>
      </c>
      <c r="BA84" s="19" t="n">
        <f aca="false">IF(Time!BA36=1,$F$81,AZ89)</f>
        <v>0</v>
      </c>
      <c r="BB84" s="19" t="n">
        <f aca="false">IF(Time!BB36=1,$F$81,BA89)</f>
        <v>0</v>
      </c>
      <c r="BC84" s="19" t="n">
        <f aca="false">IF(Time!BC36=1,$F$81,BB89)</f>
        <v>0</v>
      </c>
      <c r="BD84" s="19" t="n">
        <f aca="false">IF(Time!BD36=1,$F$81,BC89)</f>
        <v>0</v>
      </c>
      <c r="BE84" s="19" t="n">
        <f aca="false">IF(Time!BE36=1,$F$81,BD89)</f>
        <v>0</v>
      </c>
      <c r="BF84" s="19" t="n">
        <f aca="false">IF(Time!BF36=1,$F$81,BE89)</f>
        <v>0</v>
      </c>
      <c r="BG84" s="19" t="n">
        <f aca="false">IF(Time!BG36=1,$F$81,BF89)</f>
        <v>0</v>
      </c>
      <c r="BH84" s="19" t="n">
        <f aca="false">IF(Time!BH36=1,$F$81,BG89)</f>
        <v>0</v>
      </c>
      <c r="BI84" s="19" t="n">
        <f aca="false">IF(Time!BI36=1,$F$81,BH89)</f>
        <v>0</v>
      </c>
      <c r="BJ84" s="19" t="n">
        <f aca="false">IF(Time!BJ36=1,$F$81,BI89)</f>
        <v>0</v>
      </c>
      <c r="BK84" s="19" t="n">
        <f aca="false">IF(Time!BK36=1,$F$81,BJ89)</f>
        <v>0</v>
      </c>
      <c r="BL84" s="19" t="n">
        <f aca="false">IF(Time!BL36=1,$F$81,BK89)</f>
        <v>0</v>
      </c>
      <c r="BM84" s="19" t="n">
        <f aca="false">IF(Time!BM36=1,$F$81,BL89)</f>
        <v>0</v>
      </c>
      <c r="BN84" s="19" t="n">
        <f aca="false">IF(Time!BN36=1,$F$81,BM89)</f>
        <v>0</v>
      </c>
      <c r="BO84" s="19" t="n">
        <f aca="false">IF(Time!BO36=1,$F$81,BN89)</f>
        <v>0</v>
      </c>
      <c r="BP84" s="19" t="n">
        <f aca="false">IF(Time!BP36=1,$F$81,BO89)</f>
        <v>0</v>
      </c>
      <c r="BQ84" s="19" t="n">
        <f aca="false">IF(Time!BQ36=1,$F$81,BP89)</f>
        <v>0</v>
      </c>
      <c r="BR84" s="19" t="n">
        <f aca="false">IF(Time!BR36=1,$F$81,BQ89)</f>
        <v>0</v>
      </c>
      <c r="BS84" s="19" t="n">
        <f aca="false">IF(Time!BS36=1,$F$81,BR89)</f>
        <v>0</v>
      </c>
      <c r="BT84" s="19" t="n">
        <f aca="false">IF(Time!BT36=1,$F$81,BS89)</f>
        <v>0</v>
      </c>
      <c r="BU84" s="19" t="n">
        <f aca="false">IF(Time!BU36=1,$F$81,BT89)</f>
        <v>0</v>
      </c>
      <c r="BV84" s="19" t="n">
        <f aca="false">IF(Time!BV36=1,$F$81,BU89)</f>
        <v>0</v>
      </c>
      <c r="BW84" s="19" t="n">
        <f aca="false">IF(Time!BW36=1,$F$81,BV89)</f>
        <v>0</v>
      </c>
      <c r="BX84" s="19" t="n">
        <f aca="false">IF(Time!BX36=1,$F$81,BW89)</f>
        <v>0</v>
      </c>
      <c r="BY84" s="19" t="n">
        <f aca="false">IF(Time!BY36=1,$F$81,BX89)</f>
        <v>0</v>
      </c>
      <c r="BZ84" s="19" t="n">
        <f aca="false">IF(Time!BZ36=1,$F$81,BY89)</f>
        <v>0</v>
      </c>
      <c r="CA84" s="19" t="n">
        <f aca="false">IF(Time!CA36=1,$F$81,BZ89)</f>
        <v>0</v>
      </c>
      <c r="CB84" s="19" t="n">
        <f aca="false">IF(Time!CB36=1,$F$81,CA89)</f>
        <v>0</v>
      </c>
      <c r="CC84" s="19" t="n">
        <f aca="false">IF(Time!CC36=1,$F$81,CB89)</f>
        <v>0</v>
      </c>
      <c r="CD84" s="19" t="n">
        <f aca="false">IF(Time!CD36=1,$F$81,CC89)</f>
        <v>0</v>
      </c>
      <c r="CE84" s="19" t="n">
        <f aca="false">IF(Time!CE36=1,$F$81,CD89)</f>
        <v>0</v>
      </c>
      <c r="CF84" s="19" t="n">
        <f aca="false">IF(Time!CF36=1,$F$81,CE89)</f>
        <v>0</v>
      </c>
      <c r="CG84" s="19" t="n">
        <f aca="false">IF(Time!CG36=1,$F$81,CF89)</f>
        <v>0</v>
      </c>
      <c r="CH84" s="19" t="n">
        <f aca="false">IF(Time!CH36=1,$F$81,CG89)</f>
        <v>0</v>
      </c>
      <c r="CI84" s="19" t="n">
        <f aca="false">IF(Time!CI36=1,$F$81,CH89)</f>
        <v>0</v>
      </c>
      <c r="CJ84" s="19" t="n">
        <f aca="false">IF(Time!CJ36=1,$F$81,CI89)</f>
        <v>0</v>
      </c>
      <c r="CK84" s="19" t="n">
        <f aca="false">IF(Time!CK36=1,$F$81,CJ89)</f>
        <v>0</v>
      </c>
      <c r="CL84" s="19" t="n">
        <f aca="false">IF(Time!CL36=1,$F$81,CK89)</f>
        <v>0</v>
      </c>
      <c r="CM84" s="19" t="n">
        <f aca="false">IF(Time!CM36=1,$F$81,CL89)</f>
        <v>0</v>
      </c>
      <c r="CN84" s="19" t="n">
        <f aca="false">IF(Time!CN36=1,$F$81,CM89)</f>
        <v>0</v>
      </c>
      <c r="CO84" s="19" t="n">
        <f aca="false">IF(Time!CO36=1,$F$81,CN89)</f>
        <v>0</v>
      </c>
      <c r="CP84" s="19" t="n">
        <f aca="false">IF(Time!CP36=1,$F$81,CO89)</f>
        <v>0</v>
      </c>
      <c r="CQ84" s="19" t="n">
        <f aca="false">IF(Time!CQ36=1,$F$81,CP89)</f>
        <v>0</v>
      </c>
      <c r="CR84" s="19" t="n">
        <f aca="false">IF(Time!CR36=1,$F$81,CQ89)</f>
        <v>0</v>
      </c>
      <c r="CS84" s="19" t="n">
        <f aca="false">IF(Time!CS36=1,$F$81,CR89)</f>
        <v>0</v>
      </c>
      <c r="CT84" s="19" t="n">
        <f aca="false">IF(Time!CT36=1,$F$81,CS89)</f>
        <v>0</v>
      </c>
      <c r="CU84" s="19" t="n">
        <f aca="false">IF(Time!CU36=1,$F$81,CT89)</f>
        <v>0</v>
      </c>
      <c r="CV84" s="19" t="n">
        <f aca="false">IF(Time!CV36=1,$F$81,CU89)</f>
        <v>0</v>
      </c>
      <c r="CW84" s="19" t="n">
        <f aca="false">IF(Time!CW36=1,$F$81,CV89)</f>
        <v>0</v>
      </c>
      <c r="CX84" s="19" t="n">
        <f aca="false">IF(Time!CX36=1,$F$81,CW89)</f>
        <v>0</v>
      </c>
      <c r="CY84" s="19" t="n">
        <f aca="false">IF(Time!CY36=1,$F$81,CX89)</f>
        <v>0</v>
      </c>
      <c r="CZ84" s="19" t="n">
        <f aca="false">IF(Time!CZ36=1,$F$81,CY89)</f>
        <v>0</v>
      </c>
      <c r="DA84" s="19" t="n">
        <f aca="false">IF(Time!DA36=1,$F$81,CZ89)</f>
        <v>0</v>
      </c>
      <c r="DB84" s="19" t="n">
        <f aca="false">IF(Time!DB36=1,$F$81,DA89)</f>
        <v>0</v>
      </c>
    </row>
    <row r="85" customFormat="false" ht="15" hidden="false" customHeight="false" outlineLevel="0" collapsed="false">
      <c r="D85" s="0" t="s">
        <v>547</v>
      </c>
      <c r="E85" s="0" t="s">
        <v>44</v>
      </c>
      <c r="G85" s="19" t="n">
        <f aca="false">SUM(J85:DB85)</f>
        <v>0</v>
      </c>
      <c r="J85" s="19" t="n">
        <f aca="false">J84*J10</f>
        <v>0</v>
      </c>
      <c r="K85" s="19" t="n">
        <f aca="false">K84*K10</f>
        <v>0</v>
      </c>
      <c r="L85" s="19" t="n">
        <f aca="false">L84*L10</f>
        <v>0</v>
      </c>
      <c r="M85" s="19" t="n">
        <f aca="false">M84*M10</f>
        <v>0</v>
      </c>
      <c r="N85" s="19" t="n">
        <f aca="false">N84*N10</f>
        <v>0</v>
      </c>
      <c r="O85" s="19" t="n">
        <f aca="false">O84*O10</f>
        <v>0</v>
      </c>
      <c r="P85" s="19" t="n">
        <f aca="false">P84*P10</f>
        <v>0</v>
      </c>
      <c r="Q85" s="19" t="n">
        <f aca="false">Q84*Q10</f>
        <v>0</v>
      </c>
      <c r="R85" s="19" t="n">
        <f aca="false">R84*R10</f>
        <v>0</v>
      </c>
      <c r="S85" s="19" t="n">
        <f aca="false">S84*S10</f>
        <v>0</v>
      </c>
      <c r="T85" s="19" t="n">
        <f aca="false">T84*T10</f>
        <v>0</v>
      </c>
      <c r="U85" s="19" t="n">
        <f aca="false">U84*U10</f>
        <v>0</v>
      </c>
      <c r="V85" s="19" t="n">
        <f aca="false">V84*V10</f>
        <v>0</v>
      </c>
      <c r="W85" s="19" t="n">
        <f aca="false">W84*W10</f>
        <v>0</v>
      </c>
      <c r="X85" s="19" t="n">
        <f aca="false">X84*X10</f>
        <v>0</v>
      </c>
      <c r="Y85" s="19" t="n">
        <f aca="false">Y84*Y10</f>
        <v>0</v>
      </c>
      <c r="Z85" s="19" t="n">
        <f aca="false">Z84*Z10</f>
        <v>0</v>
      </c>
      <c r="AA85" s="19" t="n">
        <f aca="false">AA84*AA10</f>
        <v>0</v>
      </c>
      <c r="AB85" s="19" t="n">
        <f aca="false">AB84*AB10</f>
        <v>0</v>
      </c>
      <c r="AC85" s="19" t="n">
        <f aca="false">AC84*AC10</f>
        <v>0</v>
      </c>
      <c r="AD85" s="19" t="n">
        <f aca="false">AD84*AD10</f>
        <v>0</v>
      </c>
      <c r="AE85" s="19" t="n">
        <f aca="false">AE84*AE10</f>
        <v>0</v>
      </c>
      <c r="AF85" s="19" t="n">
        <f aca="false">AF84*AF10</f>
        <v>0</v>
      </c>
      <c r="AG85" s="19" t="n">
        <f aca="false">AG84*AG10</f>
        <v>0</v>
      </c>
      <c r="AH85" s="19" t="n">
        <f aca="false">AH84*AH10</f>
        <v>0</v>
      </c>
      <c r="AI85" s="19" t="n">
        <f aca="false">AI84*AI10</f>
        <v>0</v>
      </c>
      <c r="AJ85" s="19" t="n">
        <f aca="false">AJ84*AJ10</f>
        <v>0</v>
      </c>
      <c r="AK85" s="19" t="n">
        <f aca="false">AK84*AK10</f>
        <v>0</v>
      </c>
      <c r="AL85" s="19" t="n">
        <f aca="false">AL84*AL10</f>
        <v>0</v>
      </c>
      <c r="AM85" s="19" t="n">
        <f aca="false">AM84*AM10</f>
        <v>0</v>
      </c>
      <c r="AN85" s="19" t="n">
        <f aca="false">AN84*AN10</f>
        <v>0</v>
      </c>
      <c r="AO85" s="19" t="n">
        <f aca="false">AO84*AO10</f>
        <v>0</v>
      </c>
      <c r="AP85" s="19" t="n">
        <f aca="false">AP84*AP10</f>
        <v>0</v>
      </c>
      <c r="AQ85" s="19" t="n">
        <f aca="false">AQ84*AQ10</f>
        <v>0</v>
      </c>
      <c r="AR85" s="19" t="n">
        <f aca="false">AR84*AR10</f>
        <v>0</v>
      </c>
      <c r="AS85" s="19" t="n">
        <f aca="false">AS84*AS10</f>
        <v>0</v>
      </c>
      <c r="AT85" s="19" t="n">
        <f aca="false">AT84*AT10</f>
        <v>0</v>
      </c>
      <c r="AU85" s="19" t="n">
        <f aca="false">AU84*AU10</f>
        <v>0</v>
      </c>
      <c r="AV85" s="19" t="n">
        <f aca="false">AV84*AV10</f>
        <v>0</v>
      </c>
      <c r="AW85" s="19" t="n">
        <f aca="false">AW84*AW10</f>
        <v>0</v>
      </c>
      <c r="AX85" s="19" t="n">
        <f aca="false">AX84*AX10</f>
        <v>0</v>
      </c>
      <c r="AY85" s="19" t="n">
        <f aca="false">AY84*AY10</f>
        <v>0</v>
      </c>
      <c r="AZ85" s="19" t="n">
        <f aca="false">AZ84*AZ10</f>
        <v>0</v>
      </c>
      <c r="BA85" s="19" t="n">
        <f aca="false">BA84*BA10</f>
        <v>0</v>
      </c>
      <c r="BB85" s="19" t="n">
        <f aca="false">BB84*BB10</f>
        <v>0</v>
      </c>
      <c r="BC85" s="19" t="n">
        <f aca="false">BC84*BC10</f>
        <v>0</v>
      </c>
      <c r="BD85" s="19" t="n">
        <f aca="false">BD84*BD10</f>
        <v>0</v>
      </c>
      <c r="BE85" s="19" t="n">
        <f aca="false">BE84*BE10</f>
        <v>0</v>
      </c>
      <c r="BF85" s="19" t="n">
        <f aca="false">BF84*BF10</f>
        <v>0</v>
      </c>
      <c r="BG85" s="19" t="n">
        <f aca="false">BG84*BG10</f>
        <v>0</v>
      </c>
      <c r="BH85" s="19" t="n">
        <f aca="false">BH84*BH10</f>
        <v>0</v>
      </c>
      <c r="BI85" s="19" t="n">
        <f aca="false">BI84*BI10</f>
        <v>0</v>
      </c>
      <c r="BJ85" s="19" t="n">
        <f aca="false">BJ84*BJ10</f>
        <v>0</v>
      </c>
      <c r="BK85" s="19" t="n">
        <f aca="false">BK84*BK10</f>
        <v>0</v>
      </c>
      <c r="BL85" s="19" t="n">
        <f aca="false">BL84*BL10</f>
        <v>0</v>
      </c>
      <c r="BM85" s="19" t="n">
        <f aca="false">BM84*BM10</f>
        <v>0</v>
      </c>
      <c r="BN85" s="19" t="n">
        <f aca="false">BN84*BN10</f>
        <v>0</v>
      </c>
      <c r="BO85" s="19" t="n">
        <f aca="false">BO84*BO10</f>
        <v>0</v>
      </c>
      <c r="BP85" s="19" t="n">
        <f aca="false">BP84*BP10</f>
        <v>0</v>
      </c>
      <c r="BQ85" s="19" t="n">
        <f aca="false">BQ84*BQ10</f>
        <v>0</v>
      </c>
      <c r="BR85" s="19" t="n">
        <f aca="false">BR84*BR10</f>
        <v>0</v>
      </c>
      <c r="BS85" s="19" t="n">
        <f aca="false">BS84*BS10</f>
        <v>0</v>
      </c>
      <c r="BT85" s="19" t="n">
        <f aca="false">BT84*BT10</f>
        <v>0</v>
      </c>
      <c r="BU85" s="19" t="n">
        <f aca="false">BU84*BU10</f>
        <v>0</v>
      </c>
      <c r="BV85" s="19" t="n">
        <f aca="false">BV84*BV10</f>
        <v>0</v>
      </c>
      <c r="BW85" s="19" t="n">
        <f aca="false">BW84*BW10</f>
        <v>0</v>
      </c>
      <c r="BX85" s="19" t="n">
        <f aca="false">BX84*BX10</f>
        <v>0</v>
      </c>
      <c r="BY85" s="19" t="n">
        <f aca="false">BY84*BY10</f>
        <v>0</v>
      </c>
      <c r="BZ85" s="19" t="n">
        <f aca="false">BZ84*BZ10</f>
        <v>0</v>
      </c>
      <c r="CA85" s="19" t="n">
        <f aca="false">CA84*CA10</f>
        <v>0</v>
      </c>
      <c r="CB85" s="19" t="n">
        <f aca="false">CB84*CB10</f>
        <v>0</v>
      </c>
      <c r="CC85" s="19" t="n">
        <f aca="false">CC84*CC10</f>
        <v>0</v>
      </c>
      <c r="CD85" s="19" t="n">
        <f aca="false">CD84*CD10</f>
        <v>0</v>
      </c>
      <c r="CE85" s="19" t="n">
        <f aca="false">CE84*CE10</f>
        <v>0</v>
      </c>
      <c r="CF85" s="19" t="n">
        <f aca="false">CF84*CF10</f>
        <v>0</v>
      </c>
      <c r="CG85" s="19" t="n">
        <f aca="false">CG84*CG10</f>
        <v>0</v>
      </c>
      <c r="CH85" s="19" t="n">
        <f aca="false">CH84*CH10</f>
        <v>0</v>
      </c>
      <c r="CI85" s="19" t="n">
        <f aca="false">CI84*CI10</f>
        <v>0</v>
      </c>
      <c r="CJ85" s="19" t="n">
        <f aca="false">CJ84*CJ10</f>
        <v>0</v>
      </c>
      <c r="CK85" s="19" t="n">
        <f aca="false">CK84*CK10</f>
        <v>0</v>
      </c>
      <c r="CL85" s="19" t="n">
        <f aca="false">CL84*CL10</f>
        <v>0</v>
      </c>
      <c r="CM85" s="19" t="n">
        <f aca="false">CM84*CM10</f>
        <v>0</v>
      </c>
      <c r="CN85" s="19" t="n">
        <f aca="false">CN84*CN10</f>
        <v>0</v>
      </c>
      <c r="CO85" s="19" t="n">
        <f aca="false">CO84*CO10</f>
        <v>0</v>
      </c>
      <c r="CP85" s="19" t="n">
        <f aca="false">CP84*CP10</f>
        <v>0</v>
      </c>
      <c r="CQ85" s="19" t="n">
        <f aca="false">CQ84*CQ10</f>
        <v>0</v>
      </c>
      <c r="CR85" s="19" t="n">
        <f aca="false">CR84*CR10</f>
        <v>0</v>
      </c>
      <c r="CS85" s="19" t="n">
        <f aca="false">CS84*CS10</f>
        <v>0</v>
      </c>
      <c r="CT85" s="19" t="n">
        <f aca="false">CT84*CT10</f>
        <v>0</v>
      </c>
      <c r="CU85" s="19" t="n">
        <f aca="false">CU84*CU10</f>
        <v>0</v>
      </c>
      <c r="CV85" s="19" t="n">
        <f aca="false">CV84*CV10</f>
        <v>0</v>
      </c>
      <c r="CW85" s="19" t="n">
        <f aca="false">CW84*CW10</f>
        <v>0</v>
      </c>
      <c r="CX85" s="19" t="n">
        <f aca="false">CX84*CX10</f>
        <v>0</v>
      </c>
      <c r="CY85" s="19" t="n">
        <f aca="false">CY84*CY10</f>
        <v>0</v>
      </c>
      <c r="CZ85" s="19" t="n">
        <f aca="false">CZ84*CZ10</f>
        <v>0</v>
      </c>
      <c r="DA85" s="19" t="n">
        <f aca="false">DA84*DA10</f>
        <v>0</v>
      </c>
      <c r="DB85" s="19" t="n">
        <f aca="false">DB84*DB10</f>
        <v>0</v>
      </c>
    </row>
    <row r="86" customFormat="false" ht="15" hidden="false" customHeight="false" outlineLevel="0" collapsed="false">
      <c r="D86" s="0" t="s">
        <v>548</v>
      </c>
      <c r="E86" s="0" t="s">
        <v>42</v>
      </c>
      <c r="J86" s="14" t="n">
        <f aca="false">IF(AND(Time!J37=1,J85&gt;J13/$F$90),1,0)</f>
        <v>0</v>
      </c>
      <c r="K86" s="14" t="n">
        <f aca="false">IF(AND(Time!K37=1,K85&gt;K13/$F$90),1,0)</f>
        <v>0</v>
      </c>
      <c r="L86" s="14" t="n">
        <f aca="false">IF(AND(Time!L37=1,L85&gt;L13/$F$90),1,0)</f>
        <v>0</v>
      </c>
      <c r="M86" s="14" t="n">
        <f aca="false">IF(AND(Time!M37=1,M85&gt;M13/$F$90),1,0)</f>
        <v>0</v>
      </c>
      <c r="N86" s="14" t="n">
        <f aca="false">IF(AND(Time!N37=1,N85&gt;N13/$F$90),1,0)</f>
        <v>0</v>
      </c>
      <c r="O86" s="14" t="n">
        <f aca="false">IF(AND(Time!O37=1,O85&gt;O13/$F$90),1,0)</f>
        <v>0</v>
      </c>
      <c r="P86" s="14" t="n">
        <f aca="false">IF(AND(Time!P37=1,P85&gt;P13/$F$90),1,0)</f>
        <v>0</v>
      </c>
      <c r="Q86" s="14" t="n">
        <f aca="false">IF(AND(Time!Q37=1,Q85&gt;Q13/$F$90),1,0)</f>
        <v>0</v>
      </c>
      <c r="R86" s="14" t="n">
        <f aca="false">IF(AND(Time!R37=1,R85&gt;R13/$F$90),1,0)</f>
        <v>0</v>
      </c>
      <c r="S86" s="14" t="n">
        <f aca="false">IF(AND(Time!S37=1,S85&gt;S13/$F$90),1,0)</f>
        <v>0</v>
      </c>
      <c r="T86" s="14" t="n">
        <f aca="false">IF(AND(Time!T37=1,T85&gt;T13/$F$90),1,0)</f>
        <v>0</v>
      </c>
      <c r="U86" s="14" t="n">
        <f aca="false">IF(AND(Time!U37=1,U85&gt;U13/$F$90),1,0)</f>
        <v>0</v>
      </c>
      <c r="V86" s="14" t="n">
        <f aca="false">IF(AND(Time!V37=1,V85&gt;V13/$F$90),1,0)</f>
        <v>0</v>
      </c>
      <c r="W86" s="14" t="n">
        <f aca="false">IF(AND(Time!W37=1,W85&gt;W13/$F$90),1,0)</f>
        <v>0</v>
      </c>
      <c r="X86" s="14" t="n">
        <f aca="false">IF(AND(Time!X37=1,X85&gt;X13/$F$90),1,0)</f>
        <v>0</v>
      </c>
      <c r="Y86" s="14" t="n">
        <f aca="false">IF(AND(Time!Y37=1,Y85&gt;Y13/$F$90),1,0)</f>
        <v>0</v>
      </c>
      <c r="Z86" s="14" t="n">
        <f aca="false">IF(AND(Time!Z37=1,Z85&gt;Z13/$F$90),1,0)</f>
        <v>0</v>
      </c>
      <c r="AA86" s="14" t="n">
        <f aca="false">IF(AND(Time!AA37=1,AA85&gt;AA13/$F$90),1,0)</f>
        <v>0</v>
      </c>
      <c r="AB86" s="14" t="n">
        <f aca="false">IF(AND(Time!AB37=1,AB85&gt;AB13/$F$90),1,0)</f>
        <v>0</v>
      </c>
      <c r="AC86" s="14" t="n">
        <f aca="false">IF(AND(Time!AC37=1,AC85&gt;AC13/$F$90),1,0)</f>
        <v>0</v>
      </c>
      <c r="AD86" s="14" t="n">
        <f aca="false">IF(AND(Time!AD37=1,AD85&gt;AD13/$F$90),1,0)</f>
        <v>0</v>
      </c>
      <c r="AE86" s="14" t="n">
        <f aca="false">IF(AND(Time!AE37=1,AE85&gt;AE13/$F$90),1,0)</f>
        <v>0</v>
      </c>
      <c r="AF86" s="14" t="n">
        <f aca="false">IF(AND(Time!AF37=1,AF85&gt;AF13/$F$90),1,0)</f>
        <v>0</v>
      </c>
      <c r="AG86" s="14" t="n">
        <f aca="false">IF(AND(Time!AG37=1,AG85&gt;AG13/$F$90),1,0)</f>
        <v>0</v>
      </c>
      <c r="AH86" s="14" t="n">
        <f aca="false">IF(AND(Time!AH37=1,AH85&gt;AH13/$F$90),1,0)</f>
        <v>0</v>
      </c>
      <c r="AI86" s="14" t="n">
        <f aca="false">IF(AND(Time!AI37=1,AI85&gt;AI13/$F$90),1,0)</f>
        <v>0</v>
      </c>
      <c r="AJ86" s="14" t="n">
        <f aca="false">IF(AND(Time!AJ37=1,AJ85&gt;AJ13/$F$90),1,0)</f>
        <v>0</v>
      </c>
      <c r="AK86" s="14" t="n">
        <f aca="false">IF(AND(Time!AK37=1,AK85&gt;AK13/$F$90),1,0)</f>
        <v>0</v>
      </c>
      <c r="AL86" s="14" t="n">
        <f aca="false">IF(AND(Time!AL37=1,AL85&gt;AL13/$F$90),1,0)</f>
        <v>0</v>
      </c>
      <c r="AM86" s="14" t="n">
        <f aca="false">IF(AND(Time!AM37=1,AM85&gt;AM13/$F$90),1,0)</f>
        <v>0</v>
      </c>
      <c r="AN86" s="14" t="n">
        <f aca="false">IF(AND(Time!AN37=1,AN85&gt;AN13/$F$90),1,0)</f>
        <v>0</v>
      </c>
      <c r="AO86" s="14" t="n">
        <f aca="false">IF(AND(Time!AO37=1,AO85&gt;AO13/$F$90),1,0)</f>
        <v>0</v>
      </c>
      <c r="AP86" s="14" t="n">
        <f aca="false">IF(AND(Time!AP37=1,AP85&gt;AP13/$F$90),1,0)</f>
        <v>0</v>
      </c>
      <c r="AQ86" s="14" t="n">
        <f aca="false">IF(AND(Time!AQ37=1,AQ85&gt;AQ13/$F$90),1,0)</f>
        <v>0</v>
      </c>
      <c r="AR86" s="14" t="n">
        <f aca="false">IF(AND(Time!AR37=1,AR85&gt;AR13/$F$90),1,0)</f>
        <v>0</v>
      </c>
      <c r="AS86" s="14" t="n">
        <f aca="false">IF(AND(Time!AS37=1,AS85&gt;AS13/$F$90),1,0)</f>
        <v>0</v>
      </c>
      <c r="AT86" s="14" t="n">
        <f aca="false">IF(AND(Time!AT37=1,AT85&gt;AT13/$F$90),1,0)</f>
        <v>0</v>
      </c>
      <c r="AU86" s="14" t="n">
        <f aca="false">IF(AND(Time!AU37=1,AU85&gt;AU13/$F$90),1,0)</f>
        <v>0</v>
      </c>
      <c r="AV86" s="14" t="n">
        <f aca="false">IF(AND(Time!AV37=1,AV85&gt;AV13/$F$90),1,0)</f>
        <v>0</v>
      </c>
      <c r="AW86" s="14" t="n">
        <f aca="false">IF(AND(Time!AW37=1,AW85&gt;AW13/$F$90),1,0)</f>
        <v>0</v>
      </c>
      <c r="AX86" s="14" t="n">
        <f aca="false">IF(AND(Time!AX37=1,AX85&gt;AX13/$F$90),1,0)</f>
        <v>0</v>
      </c>
      <c r="AY86" s="14" t="n">
        <f aca="false">IF(AND(Time!AY37=1,AY85&gt;AY13/$F$90),1,0)</f>
        <v>0</v>
      </c>
      <c r="AZ86" s="14" t="n">
        <f aca="false">IF(AND(Time!AZ37=1,AZ85&gt;AZ13/$F$90),1,0)</f>
        <v>0</v>
      </c>
      <c r="BA86" s="14" t="n">
        <f aca="false">IF(AND(Time!BA37=1,BA85&gt;BA13/$F$90),1,0)</f>
        <v>0</v>
      </c>
      <c r="BB86" s="14" t="n">
        <f aca="false">IF(AND(Time!BB37=1,BB85&gt;BB13/$F$90),1,0)</f>
        <v>0</v>
      </c>
      <c r="BC86" s="14" t="n">
        <f aca="false">IF(AND(Time!BC37=1,BC85&gt;BC13/$F$90),1,0)</f>
        <v>0</v>
      </c>
      <c r="BD86" s="14" t="n">
        <f aca="false">IF(AND(Time!BD37=1,BD85&gt;BD13/$F$90),1,0)</f>
        <v>0</v>
      </c>
      <c r="BE86" s="14" t="n">
        <f aca="false">IF(AND(Time!BE37=1,BE85&gt;BE13/$F$90),1,0)</f>
        <v>0</v>
      </c>
      <c r="BF86" s="14" t="n">
        <f aca="false">IF(AND(Time!BF37=1,BF85&gt;BF13/$F$90),1,0)</f>
        <v>0</v>
      </c>
      <c r="BG86" s="14" t="n">
        <f aca="false">IF(AND(Time!BG37=1,BG85&gt;BG13/$F$90),1,0)</f>
        <v>0</v>
      </c>
      <c r="BH86" s="14" t="n">
        <f aca="false">IF(AND(Time!BH37=1,BH85&gt;BH13/$F$90),1,0)</f>
        <v>0</v>
      </c>
      <c r="BI86" s="14" t="n">
        <f aca="false">IF(AND(Time!BI37=1,BI85&gt;BI13/$F$90),1,0)</f>
        <v>0</v>
      </c>
      <c r="BJ86" s="14" t="n">
        <f aca="false">IF(AND(Time!BJ37=1,BJ85&gt;BJ13/$F$90),1,0)</f>
        <v>0</v>
      </c>
      <c r="BK86" s="14" t="n">
        <f aca="false">IF(AND(Time!BK37=1,BK85&gt;BK13/$F$90),1,0)</f>
        <v>0</v>
      </c>
      <c r="BL86" s="14" t="n">
        <f aca="false">IF(AND(Time!BL37=1,BL85&gt;BL13/$F$90),1,0)</f>
        <v>0</v>
      </c>
      <c r="BM86" s="14" t="n">
        <f aca="false">IF(AND(Time!BM37=1,BM85&gt;BM13/$F$90),1,0)</f>
        <v>0</v>
      </c>
      <c r="BN86" s="14" t="n">
        <f aca="false">IF(AND(Time!BN37=1,BN85&gt;BN13/$F$90),1,0)</f>
        <v>0</v>
      </c>
      <c r="BO86" s="14" t="n">
        <f aca="false">IF(AND(Time!BO37=1,BO85&gt;BO13/$F$90),1,0)</f>
        <v>0</v>
      </c>
      <c r="BP86" s="14" t="n">
        <f aca="false">IF(AND(Time!BP37=1,BP85&gt;BP13/$F$90),1,0)</f>
        <v>0</v>
      </c>
      <c r="BQ86" s="14" t="n">
        <f aca="false">IF(AND(Time!BQ37=1,BQ85&gt;BQ13/$F$90),1,0)</f>
        <v>0</v>
      </c>
      <c r="BR86" s="14" t="n">
        <f aca="false">IF(AND(Time!BR37=1,BR85&gt;BR13/$F$90),1,0)</f>
        <v>0</v>
      </c>
      <c r="BS86" s="14" t="n">
        <f aca="false">IF(AND(Time!BS37=1,BS85&gt;BS13/$F$90),1,0)</f>
        <v>0</v>
      </c>
      <c r="BT86" s="14" t="n">
        <f aca="false">IF(AND(Time!BT37=1,BT85&gt;BT13/$F$90),1,0)</f>
        <v>0</v>
      </c>
      <c r="BU86" s="14" t="n">
        <f aca="false">IF(AND(Time!BU37=1,BU85&gt;BU13/$F$90),1,0)</f>
        <v>0</v>
      </c>
      <c r="BV86" s="14" t="n">
        <f aca="false">IF(AND(Time!BV37=1,BV85&gt;BV13/$F$90),1,0)</f>
        <v>0</v>
      </c>
      <c r="BW86" s="14" t="n">
        <f aca="false">IF(AND(Time!BW37=1,BW85&gt;BW13/$F$90),1,0)</f>
        <v>0</v>
      </c>
      <c r="BX86" s="14" t="n">
        <f aca="false">IF(AND(Time!BX37=1,BX85&gt;BX13/$F$90),1,0)</f>
        <v>0</v>
      </c>
      <c r="BY86" s="14" t="n">
        <f aca="false">IF(AND(Time!BY37=1,BY85&gt;BY13/$F$90),1,0)</f>
        <v>0</v>
      </c>
      <c r="BZ86" s="14" t="n">
        <f aca="false">IF(AND(Time!BZ37=1,BZ85&gt;BZ13/$F$90),1,0)</f>
        <v>0</v>
      </c>
      <c r="CA86" s="14" t="n">
        <f aca="false">IF(AND(Time!CA37=1,CA85&gt;CA13/$F$90),1,0)</f>
        <v>0</v>
      </c>
      <c r="CB86" s="14" t="n">
        <f aca="false">IF(AND(Time!CB37=1,CB85&gt;CB13/$F$90),1,0)</f>
        <v>0</v>
      </c>
      <c r="CC86" s="14" t="n">
        <f aca="false">IF(AND(Time!CC37=1,CC85&gt;CC13/$F$90),1,0)</f>
        <v>0</v>
      </c>
      <c r="CD86" s="14" t="n">
        <f aca="false">IF(AND(Time!CD37=1,CD85&gt;CD13/$F$90),1,0)</f>
        <v>0</v>
      </c>
      <c r="CE86" s="14" t="n">
        <f aca="false">IF(AND(Time!CE37=1,CE85&gt;CE13/$F$90),1,0)</f>
        <v>0</v>
      </c>
      <c r="CF86" s="14" t="n">
        <f aca="false">IF(AND(Time!CF37=1,CF85&gt;CF13/$F$90),1,0)</f>
        <v>0</v>
      </c>
      <c r="CG86" s="14" t="n">
        <f aca="false">IF(AND(Time!CG37=1,CG85&gt;CG13/$F$90),1,0)</f>
        <v>0</v>
      </c>
      <c r="CH86" s="14" t="n">
        <f aca="false">IF(AND(Time!CH37=1,CH85&gt;CH13/$F$90),1,0)</f>
        <v>0</v>
      </c>
      <c r="CI86" s="14" t="n">
        <f aca="false">IF(AND(Time!CI37=1,CI85&gt;CI13/$F$90),1,0)</f>
        <v>0</v>
      </c>
      <c r="CJ86" s="14" t="n">
        <f aca="false">IF(AND(Time!CJ37=1,CJ85&gt;CJ13/$F$90),1,0)</f>
        <v>0</v>
      </c>
      <c r="CK86" s="14" t="n">
        <f aca="false">IF(AND(Time!CK37=1,CK85&gt;CK13/$F$90),1,0)</f>
        <v>0</v>
      </c>
      <c r="CL86" s="14" t="n">
        <f aca="false">IF(AND(Time!CL37=1,CL85&gt;CL13/$F$90),1,0)</f>
        <v>0</v>
      </c>
      <c r="CM86" s="14" t="n">
        <f aca="false">IF(AND(Time!CM37=1,CM85&gt;CM13/$F$90),1,0)</f>
        <v>0</v>
      </c>
      <c r="CN86" s="14" t="n">
        <f aca="false">IF(AND(Time!CN37=1,CN85&gt;CN13/$F$90),1,0)</f>
        <v>0</v>
      </c>
      <c r="CO86" s="14" t="n">
        <f aca="false">IF(AND(Time!CO37=1,CO85&gt;CO13/$F$90),1,0)</f>
        <v>0</v>
      </c>
      <c r="CP86" s="14" t="n">
        <f aca="false">IF(AND(Time!CP37=1,CP85&gt;CP13/$F$90),1,0)</f>
        <v>0</v>
      </c>
      <c r="CQ86" s="14" t="n">
        <f aca="false">IF(AND(Time!CQ37=1,CQ85&gt;CQ13/$F$90),1,0)</f>
        <v>0</v>
      </c>
      <c r="CR86" s="14" t="n">
        <f aca="false">IF(AND(Time!CR37=1,CR85&gt;CR13/$F$90),1,0)</f>
        <v>0</v>
      </c>
      <c r="CS86" s="14" t="n">
        <f aca="false">IF(AND(Time!CS37=1,CS85&gt;CS13/$F$90),1,0)</f>
        <v>0</v>
      </c>
      <c r="CT86" s="14" t="n">
        <f aca="false">IF(AND(Time!CT37=1,CT85&gt;CT13/$F$90),1,0)</f>
        <v>0</v>
      </c>
      <c r="CU86" s="14" t="n">
        <f aca="false">IF(AND(Time!CU37=1,CU85&gt;CU13/$F$90),1,0)</f>
        <v>0</v>
      </c>
      <c r="CV86" s="14" t="n">
        <f aca="false">IF(AND(Time!CV37=1,CV85&gt;CV13/$F$90),1,0)</f>
        <v>0</v>
      </c>
      <c r="CW86" s="14" t="n">
        <f aca="false">IF(AND(Time!CW37=1,CW85&gt;CW13/$F$90),1,0)</f>
        <v>0</v>
      </c>
      <c r="CX86" s="14" t="n">
        <f aca="false">IF(AND(Time!CX37=1,CX85&gt;CX13/$F$90),1,0)</f>
        <v>0</v>
      </c>
      <c r="CY86" s="14" t="n">
        <f aca="false">IF(AND(Time!CY37=1,CY85&gt;CY13/$F$90),1,0)</f>
        <v>0</v>
      </c>
      <c r="CZ86" s="14" t="n">
        <f aca="false">IF(AND(Time!CZ37=1,CZ85&gt;CZ13/$F$90),1,0)</f>
        <v>0</v>
      </c>
      <c r="DA86" s="14" t="n">
        <f aca="false">IF(AND(Time!DA37=1,DA85&gt;DA13/$F$90),1,0)</f>
        <v>0</v>
      </c>
      <c r="DB86" s="14" t="n">
        <f aca="false">IF(AND(Time!DB37=1,DB85&gt;DB13/$F$90),1,0)</f>
        <v>0</v>
      </c>
    </row>
    <row r="87" customFormat="false" ht="15" hidden="false" customHeight="false" outlineLevel="0" collapsed="false">
      <c r="D87" s="0" t="s">
        <v>549</v>
      </c>
      <c r="E87" s="0" t="s">
        <v>44</v>
      </c>
      <c r="G87" s="19" t="n">
        <f aca="false">SUM(J87:DB87)</f>
        <v>0</v>
      </c>
      <c r="J87" s="19" t="n">
        <f aca="false">IF(Time!J37=1,MAX(J85,J13/$F$90),0)</f>
        <v>0</v>
      </c>
      <c r="K87" s="19" t="n">
        <f aca="false">IF(Time!K37=1,MAX(K85,K13/$F$90),0)</f>
        <v>0</v>
      </c>
      <c r="L87" s="19" t="n">
        <f aca="false">IF(Time!L37=1,MAX(L85,L13/$F$90),0)</f>
        <v>0</v>
      </c>
      <c r="M87" s="19" t="n">
        <f aca="false">IF(Time!M37=1,MAX(M85,M13/$F$90),0)</f>
        <v>0</v>
      </c>
      <c r="N87" s="19" t="n">
        <f aca="false">IF(Time!N37=1,MAX(N85,N13/$F$90),0)</f>
        <v>0</v>
      </c>
      <c r="O87" s="19" t="n">
        <f aca="false">IF(Time!O37=1,MAX(O85,O13/$F$90),0)</f>
        <v>0</v>
      </c>
      <c r="P87" s="19" t="n">
        <f aca="false">IF(Time!P37=1,MAX(P85,P13/$F$90),0)</f>
        <v>0</v>
      </c>
      <c r="Q87" s="19" t="n">
        <f aca="false">IF(Time!Q37=1,MAX(Q85,Q13/$F$90),0)</f>
        <v>0</v>
      </c>
      <c r="R87" s="19" t="n">
        <f aca="false">IF(Time!R37=1,MAX(R85,R13/$F$90),0)</f>
        <v>0</v>
      </c>
      <c r="S87" s="19" t="n">
        <f aca="false">IF(Time!S37=1,MAX(S85,S13/$F$90),0)</f>
        <v>0</v>
      </c>
      <c r="T87" s="19" t="n">
        <f aca="false">IF(Time!T37=1,MAX(T85,T13/$F$90),0)</f>
        <v>0</v>
      </c>
      <c r="U87" s="19" t="n">
        <f aca="false">IF(Time!U37=1,MAX(U85,U13/$F$90),0)</f>
        <v>0</v>
      </c>
      <c r="V87" s="19" t="n">
        <f aca="false">IF(Time!V37=1,MAX(V85,V13/$F$90),0)</f>
        <v>0</v>
      </c>
      <c r="W87" s="19" t="n">
        <f aca="false">IF(Time!W37=1,MAX(W85,W13/$F$90),0)</f>
        <v>0</v>
      </c>
      <c r="X87" s="19" t="n">
        <f aca="false">IF(Time!X37=1,MAX(X85,X13/$F$90),0)</f>
        <v>0</v>
      </c>
      <c r="Y87" s="19" t="n">
        <f aca="false">IF(Time!Y37=1,MAX(Y85,Y13/$F$90),0)</f>
        <v>0</v>
      </c>
      <c r="Z87" s="19" t="n">
        <f aca="false">IF(Time!Z37=1,MAX(Z85,Z13/$F$90),0)</f>
        <v>0</v>
      </c>
      <c r="AA87" s="19" t="n">
        <f aca="false">IF(Time!AA37=1,MAX(AA85,AA13/$F$90),0)</f>
        <v>0</v>
      </c>
      <c r="AB87" s="19" t="n">
        <f aca="false">IF(Time!AB37=1,MAX(AB85,AB13/$F$90),0)</f>
        <v>0</v>
      </c>
      <c r="AC87" s="19" t="n">
        <f aca="false">IF(Time!AC37=1,MAX(AC85,AC13/$F$90),0)</f>
        <v>0</v>
      </c>
      <c r="AD87" s="19" t="n">
        <f aca="false">IF(Time!AD37=1,MAX(AD85,AD13/$F$90),0)</f>
        <v>0</v>
      </c>
      <c r="AE87" s="19" t="n">
        <f aca="false">IF(Time!AE37=1,MAX(AE85,AE13/$F$90),0)</f>
        <v>0</v>
      </c>
      <c r="AF87" s="19" t="n">
        <f aca="false">IF(Time!AF37=1,MAX(AF85,AF13/$F$90),0)</f>
        <v>0</v>
      </c>
      <c r="AG87" s="19" t="n">
        <f aca="false">IF(Time!AG37=1,MAX(AG85,AG13/$F$90),0)</f>
        <v>0</v>
      </c>
      <c r="AH87" s="19" t="n">
        <f aca="false">IF(Time!AH37=1,MAX(AH85,AH13/$F$90),0)</f>
        <v>0</v>
      </c>
      <c r="AI87" s="19" t="n">
        <f aca="false">IF(Time!AI37=1,MAX(AI85,AI13/$F$90),0)</f>
        <v>0</v>
      </c>
      <c r="AJ87" s="19" t="n">
        <f aca="false">IF(Time!AJ37=1,MAX(AJ85,AJ13/$F$90),0)</f>
        <v>0</v>
      </c>
      <c r="AK87" s="19" t="n">
        <f aca="false">IF(Time!AK37=1,MAX(AK85,AK13/$F$90),0)</f>
        <v>0</v>
      </c>
      <c r="AL87" s="19" t="n">
        <f aca="false">IF(Time!AL37=1,MAX(AL85,AL13/$F$90),0)</f>
        <v>0</v>
      </c>
      <c r="AM87" s="19" t="n">
        <f aca="false">IF(Time!AM37=1,MAX(AM85,AM13/$F$90),0)</f>
        <v>0</v>
      </c>
      <c r="AN87" s="19" t="n">
        <f aca="false">IF(Time!AN37=1,MAX(AN85,AN13/$F$90),0)</f>
        <v>0</v>
      </c>
      <c r="AO87" s="19" t="n">
        <f aca="false">IF(Time!AO37=1,MAX(AO85,AO13/$F$90),0)</f>
        <v>0</v>
      </c>
      <c r="AP87" s="19" t="n">
        <f aca="false">IF(Time!AP37=1,MAX(AP85,AP13/$F$90),0)</f>
        <v>0</v>
      </c>
      <c r="AQ87" s="19" t="n">
        <f aca="false">IF(Time!AQ37=1,MAX(AQ85,AQ13/$F$90),0)</f>
        <v>0</v>
      </c>
      <c r="AR87" s="19" t="n">
        <f aca="false">IF(Time!AR37=1,MAX(AR85,AR13/$F$90),0)</f>
        <v>0</v>
      </c>
      <c r="AS87" s="19" t="n">
        <f aca="false">IF(Time!AS37=1,MAX(AS85,AS13/$F$90),0)</f>
        <v>0</v>
      </c>
      <c r="AT87" s="19" t="n">
        <f aca="false">IF(Time!AT37=1,MAX(AT85,AT13/$F$90),0)</f>
        <v>0</v>
      </c>
      <c r="AU87" s="19" t="n">
        <f aca="false">IF(Time!AU37=1,MAX(AU85,AU13/$F$90),0)</f>
        <v>0</v>
      </c>
      <c r="AV87" s="19" t="n">
        <f aca="false">IF(Time!AV37=1,MAX(AV85,AV13/$F$90),0)</f>
        <v>0</v>
      </c>
      <c r="AW87" s="19" t="n">
        <f aca="false">IF(Time!AW37=1,MAX(AW85,AW13/$F$90),0)</f>
        <v>0</v>
      </c>
      <c r="AX87" s="19" t="n">
        <f aca="false">IF(Time!AX37=1,MAX(AX85,AX13/$F$90),0)</f>
        <v>0</v>
      </c>
      <c r="AY87" s="19" t="n">
        <f aca="false">IF(Time!AY37=1,MAX(AY85,AY13/$F$90),0)</f>
        <v>0</v>
      </c>
      <c r="AZ87" s="19" t="n">
        <f aca="false">IF(Time!AZ37=1,MAX(AZ85,AZ13/$F$90),0)</f>
        <v>0</v>
      </c>
      <c r="BA87" s="19" t="n">
        <f aca="false">IF(Time!BA37=1,MAX(BA85,BA13/$F$90),0)</f>
        <v>0</v>
      </c>
      <c r="BB87" s="19" t="n">
        <f aca="false">IF(Time!BB37=1,MAX(BB85,BB13/$F$90),0)</f>
        <v>0</v>
      </c>
      <c r="BC87" s="19" t="n">
        <f aca="false">IF(Time!BC37=1,MAX(BC85,BC13/$F$90),0)</f>
        <v>0</v>
      </c>
      <c r="BD87" s="19" t="n">
        <f aca="false">IF(Time!BD37=1,MAX(BD85,BD13/$F$90),0)</f>
        <v>0</v>
      </c>
      <c r="BE87" s="19" t="n">
        <f aca="false">IF(Time!BE37=1,MAX(BE85,BE13/$F$90),0)</f>
        <v>0</v>
      </c>
      <c r="BF87" s="19" t="n">
        <f aca="false">IF(Time!BF37=1,MAX(BF85,BF13/$F$90),0)</f>
        <v>0</v>
      </c>
      <c r="BG87" s="19" t="n">
        <f aca="false">IF(Time!BG37=1,MAX(BG85,BG13/$F$90),0)</f>
        <v>0</v>
      </c>
      <c r="BH87" s="19" t="n">
        <f aca="false">IF(Time!BH37=1,MAX(BH85,BH13/$F$90),0)</f>
        <v>0</v>
      </c>
      <c r="BI87" s="19" t="n">
        <f aca="false">IF(Time!BI37=1,MAX(BI85,BI13/$F$90),0)</f>
        <v>0</v>
      </c>
      <c r="BJ87" s="19" t="n">
        <f aca="false">IF(Time!BJ37=1,MAX(BJ85,BJ13/$F$90),0)</f>
        <v>0</v>
      </c>
      <c r="BK87" s="19" t="n">
        <f aca="false">IF(Time!BK37=1,MAX(BK85,BK13/$F$90),0)</f>
        <v>0</v>
      </c>
      <c r="BL87" s="19" t="n">
        <f aca="false">IF(Time!BL37=1,MAX(BL85,BL13/$F$90),0)</f>
        <v>0</v>
      </c>
      <c r="BM87" s="19" t="n">
        <f aca="false">IF(Time!BM37=1,MAX(BM85,BM13/$F$90),0)</f>
        <v>0</v>
      </c>
      <c r="BN87" s="19" t="n">
        <f aca="false">IF(Time!BN37=1,MAX(BN85,BN13/$F$90),0)</f>
        <v>0</v>
      </c>
      <c r="BO87" s="19" t="n">
        <f aca="false">IF(Time!BO37=1,MAX(BO85,BO13/$F$90),0)</f>
        <v>0</v>
      </c>
      <c r="BP87" s="19" t="n">
        <f aca="false">IF(Time!BP37=1,MAX(BP85,BP13/$F$90),0)</f>
        <v>0</v>
      </c>
      <c r="BQ87" s="19" t="n">
        <f aca="false">IF(Time!BQ37=1,MAX(BQ85,BQ13/$F$90),0)</f>
        <v>0</v>
      </c>
      <c r="BR87" s="19" t="n">
        <f aca="false">IF(Time!BR37=1,MAX(BR85,BR13/$F$90),0)</f>
        <v>0</v>
      </c>
      <c r="BS87" s="19" t="n">
        <f aca="false">IF(Time!BS37=1,MAX(BS85,BS13/$F$90),0)</f>
        <v>0</v>
      </c>
      <c r="BT87" s="19" t="n">
        <f aca="false">IF(Time!BT37=1,MAX(BT85,BT13/$F$90),0)</f>
        <v>0</v>
      </c>
      <c r="BU87" s="19" t="n">
        <f aca="false">IF(Time!BU37=1,MAX(BU85,BU13/$F$90),0)</f>
        <v>0</v>
      </c>
      <c r="BV87" s="19" t="n">
        <f aca="false">IF(Time!BV37=1,MAX(BV85,BV13/$F$90),0)</f>
        <v>0</v>
      </c>
      <c r="BW87" s="19" t="n">
        <f aca="false">IF(Time!BW37=1,MAX(BW85,BW13/$F$90),0)</f>
        <v>0</v>
      </c>
      <c r="BX87" s="19" t="n">
        <f aca="false">IF(Time!BX37=1,MAX(BX85,BX13/$F$90),0)</f>
        <v>0</v>
      </c>
      <c r="BY87" s="19" t="n">
        <f aca="false">IF(Time!BY37=1,MAX(BY85,BY13/$F$90),0)</f>
        <v>0</v>
      </c>
      <c r="BZ87" s="19" t="n">
        <f aca="false">IF(Time!BZ37=1,MAX(BZ85,BZ13/$F$90),0)</f>
        <v>0</v>
      </c>
      <c r="CA87" s="19" t="n">
        <f aca="false">IF(Time!CA37=1,MAX(CA85,CA13/$F$90),0)</f>
        <v>0</v>
      </c>
      <c r="CB87" s="19" t="n">
        <f aca="false">IF(Time!CB37=1,MAX(CB85,CB13/$F$90),0)</f>
        <v>0</v>
      </c>
      <c r="CC87" s="19" t="n">
        <f aca="false">IF(Time!CC37=1,MAX(CC85,CC13/$F$90),0)</f>
        <v>0</v>
      </c>
      <c r="CD87" s="19" t="n">
        <f aca="false">IF(Time!CD37=1,MAX(CD85,CD13/$F$90),0)</f>
        <v>0</v>
      </c>
      <c r="CE87" s="19" t="n">
        <f aca="false">IF(Time!CE37=1,MAX(CE85,CE13/$F$90),0)</f>
        <v>0</v>
      </c>
      <c r="CF87" s="19" t="n">
        <f aca="false">IF(Time!CF37=1,MAX(CF85,CF13/$F$90),0)</f>
        <v>0</v>
      </c>
      <c r="CG87" s="19" t="n">
        <f aca="false">IF(Time!CG37=1,MAX(CG85,CG13/$F$90),0)</f>
        <v>0</v>
      </c>
      <c r="CH87" s="19" t="n">
        <f aca="false">IF(Time!CH37=1,MAX(CH85,CH13/$F$90),0)</f>
        <v>0</v>
      </c>
      <c r="CI87" s="19" t="n">
        <f aca="false">IF(Time!CI37=1,MAX(CI85,CI13/$F$90),0)</f>
        <v>0</v>
      </c>
      <c r="CJ87" s="19" t="n">
        <f aca="false">IF(Time!CJ37=1,MAX(CJ85,CJ13/$F$90),0)</f>
        <v>0</v>
      </c>
      <c r="CK87" s="19" t="n">
        <f aca="false">IF(Time!CK37=1,MAX(CK85,CK13/$F$90),0)</f>
        <v>0</v>
      </c>
      <c r="CL87" s="19" t="n">
        <f aca="false">IF(Time!CL37=1,MAX(CL85,CL13/$F$90),0)</f>
        <v>0</v>
      </c>
      <c r="CM87" s="19" t="n">
        <f aca="false">IF(Time!CM37=1,MAX(CM85,CM13/$F$90),0)</f>
        <v>0</v>
      </c>
      <c r="CN87" s="19" t="n">
        <f aca="false">IF(Time!CN37=1,MAX(CN85,CN13/$F$90),0)</f>
        <v>0</v>
      </c>
      <c r="CO87" s="19" t="n">
        <f aca="false">IF(Time!CO37=1,MAX(CO85,CO13/$F$90),0)</f>
        <v>0</v>
      </c>
      <c r="CP87" s="19" t="n">
        <f aca="false">IF(Time!CP37=1,MAX(CP85,CP13/$F$90),0)</f>
        <v>0</v>
      </c>
      <c r="CQ87" s="19" t="n">
        <f aca="false">IF(Time!CQ37=1,MAX(CQ85,CQ13/$F$90),0)</f>
        <v>0</v>
      </c>
      <c r="CR87" s="19" t="n">
        <f aca="false">IF(Time!CR37=1,MAX(CR85,CR13/$F$90),0)</f>
        <v>0</v>
      </c>
      <c r="CS87" s="19" t="n">
        <f aca="false">IF(Time!CS37=1,MAX(CS85,CS13/$F$90),0)</f>
        <v>0</v>
      </c>
      <c r="CT87" s="19" t="n">
        <f aca="false">IF(Time!CT37=1,MAX(CT85,CT13/$F$90),0)</f>
        <v>0</v>
      </c>
      <c r="CU87" s="19" t="n">
        <f aca="false">IF(Time!CU37=1,MAX(CU85,CU13/$F$90),0)</f>
        <v>0</v>
      </c>
      <c r="CV87" s="19" t="n">
        <f aca="false">IF(Time!CV37=1,MAX(CV85,CV13/$F$90),0)</f>
        <v>0</v>
      </c>
      <c r="CW87" s="19" t="n">
        <f aca="false">IF(Time!CW37=1,MAX(CW85,CW13/$F$90),0)</f>
        <v>0</v>
      </c>
      <c r="CX87" s="19" t="n">
        <f aca="false">IF(Time!CX37=1,MAX(CX85,CX13/$F$90),0)</f>
        <v>0</v>
      </c>
      <c r="CY87" s="19" t="n">
        <f aca="false">IF(Time!CY37=1,MAX(CY85,CY13/$F$90),0)</f>
        <v>0</v>
      </c>
      <c r="CZ87" s="19" t="n">
        <f aca="false">IF(Time!CZ37=1,MAX(CZ85,CZ13/$F$90),0)</f>
        <v>0</v>
      </c>
      <c r="DA87" s="19" t="n">
        <f aca="false">IF(Time!DA37=1,MAX(DA85,DA13/$F$90),0)</f>
        <v>0</v>
      </c>
      <c r="DB87" s="19" t="n">
        <f aca="false">IF(Time!DB37=1,MAX(DB85,DB13/$F$90),0)</f>
        <v>0</v>
      </c>
    </row>
    <row r="88" customFormat="false" ht="15" hidden="false" customHeight="false" outlineLevel="0" collapsed="false">
      <c r="D88" s="0" t="s">
        <v>550</v>
      </c>
      <c r="E88" s="0" t="s">
        <v>44</v>
      </c>
      <c r="G88" s="19" t="n">
        <f aca="false">SUM(J88:DB88)</f>
        <v>0</v>
      </c>
      <c r="J88" s="19" t="n">
        <f aca="false">IF(Time!J37=1,J87-J85,0)</f>
        <v>0</v>
      </c>
      <c r="K88" s="19" t="n">
        <f aca="false">IF(Time!K37=1,K87-K85,0)</f>
        <v>0</v>
      </c>
      <c r="L88" s="19" t="n">
        <f aca="false">IF(Time!L37=1,L87-L85,0)</f>
        <v>0</v>
      </c>
      <c r="M88" s="19" t="n">
        <f aca="false">IF(Time!M37=1,M87-M85,0)</f>
        <v>0</v>
      </c>
      <c r="N88" s="19" t="n">
        <f aca="false">IF(Time!N37=1,N87-N85,0)</f>
        <v>0</v>
      </c>
      <c r="O88" s="19" t="n">
        <f aca="false">IF(Time!O37=1,O87-O85,0)</f>
        <v>0</v>
      </c>
      <c r="P88" s="19" t="n">
        <f aca="false">IF(Time!P37=1,P87-P85,0)</f>
        <v>0</v>
      </c>
      <c r="Q88" s="19" t="n">
        <f aca="false">IF(Time!Q37=1,Q87-Q85,0)</f>
        <v>0</v>
      </c>
      <c r="R88" s="19" t="n">
        <f aca="false">IF(Time!R37=1,R87-R85,0)</f>
        <v>0</v>
      </c>
      <c r="S88" s="19" t="n">
        <f aca="false">IF(Time!S37=1,S87-S85,0)</f>
        <v>0</v>
      </c>
      <c r="T88" s="19" t="n">
        <f aca="false">IF(Time!T37=1,T87-T85,0)</f>
        <v>0</v>
      </c>
      <c r="U88" s="19" t="n">
        <f aca="false">IF(Time!U37=1,U87-U85,0)</f>
        <v>0</v>
      </c>
      <c r="V88" s="19" t="n">
        <f aca="false">IF(Time!V37=1,V87-V85,0)</f>
        <v>0</v>
      </c>
      <c r="W88" s="19" t="n">
        <f aca="false">IF(Time!W37=1,W87-W85,0)</f>
        <v>0</v>
      </c>
      <c r="X88" s="19" t="n">
        <f aca="false">IF(Time!X37=1,X87-X85,0)</f>
        <v>0</v>
      </c>
      <c r="Y88" s="19" t="n">
        <f aca="false">IF(Time!Y37=1,Y87-Y85,0)</f>
        <v>0</v>
      </c>
      <c r="Z88" s="19" t="n">
        <f aca="false">IF(Time!Z37=1,Z87-Z85,0)</f>
        <v>0</v>
      </c>
      <c r="AA88" s="19" t="n">
        <f aca="false">IF(Time!AA37=1,AA87-AA85,0)</f>
        <v>0</v>
      </c>
      <c r="AB88" s="19" t="n">
        <f aca="false">IF(Time!AB37=1,AB87-AB85,0)</f>
        <v>0</v>
      </c>
      <c r="AC88" s="19" t="n">
        <f aca="false">IF(Time!AC37=1,AC87-AC85,0)</f>
        <v>0</v>
      </c>
      <c r="AD88" s="19" t="n">
        <f aca="false">IF(Time!AD37=1,AD87-AD85,0)</f>
        <v>0</v>
      </c>
      <c r="AE88" s="19" t="n">
        <f aca="false">IF(Time!AE37=1,AE87-AE85,0)</f>
        <v>0</v>
      </c>
      <c r="AF88" s="19" t="n">
        <f aca="false">IF(Time!AF37=1,AF87-AF85,0)</f>
        <v>0</v>
      </c>
      <c r="AG88" s="19" t="n">
        <f aca="false">IF(Time!AG37=1,AG87-AG85,0)</f>
        <v>0</v>
      </c>
      <c r="AH88" s="19" t="n">
        <f aca="false">IF(Time!AH37=1,AH87-AH85,0)</f>
        <v>0</v>
      </c>
      <c r="AI88" s="19" t="n">
        <f aca="false">IF(Time!AI37=1,AI87-AI85,0)</f>
        <v>0</v>
      </c>
      <c r="AJ88" s="19" t="n">
        <f aca="false">IF(Time!AJ37=1,AJ87-AJ85,0)</f>
        <v>0</v>
      </c>
      <c r="AK88" s="19" t="n">
        <f aca="false">IF(Time!AK37=1,AK87-AK85,0)</f>
        <v>0</v>
      </c>
      <c r="AL88" s="19" t="n">
        <f aca="false">IF(Time!AL37=1,AL87-AL85,0)</f>
        <v>0</v>
      </c>
      <c r="AM88" s="19" t="n">
        <f aca="false">IF(Time!AM37=1,AM87-AM85,0)</f>
        <v>0</v>
      </c>
      <c r="AN88" s="19" t="n">
        <f aca="false">IF(Time!AN37=1,AN87-AN85,0)</f>
        <v>0</v>
      </c>
      <c r="AO88" s="19" t="n">
        <f aca="false">IF(Time!AO37=1,AO87-AO85,0)</f>
        <v>0</v>
      </c>
      <c r="AP88" s="19" t="n">
        <f aca="false">IF(Time!AP37=1,AP87-AP85,0)</f>
        <v>0</v>
      </c>
      <c r="AQ88" s="19" t="n">
        <f aca="false">IF(Time!AQ37=1,AQ87-AQ85,0)</f>
        <v>0</v>
      </c>
      <c r="AR88" s="19" t="n">
        <f aca="false">IF(Time!AR37=1,AR87-AR85,0)</f>
        <v>0</v>
      </c>
      <c r="AS88" s="19" t="n">
        <f aca="false">IF(Time!AS37=1,AS87-AS85,0)</f>
        <v>0</v>
      </c>
      <c r="AT88" s="19" t="n">
        <f aca="false">IF(Time!AT37=1,AT87-AT85,0)</f>
        <v>0</v>
      </c>
      <c r="AU88" s="19" t="n">
        <f aca="false">IF(Time!AU37=1,AU87-AU85,0)</f>
        <v>0</v>
      </c>
      <c r="AV88" s="19" t="n">
        <f aca="false">IF(Time!AV37=1,AV87-AV85,0)</f>
        <v>0</v>
      </c>
      <c r="AW88" s="19" t="n">
        <f aca="false">IF(Time!AW37=1,AW87-AW85,0)</f>
        <v>0</v>
      </c>
      <c r="AX88" s="19" t="n">
        <f aca="false">IF(Time!AX37=1,AX87-AX85,0)</f>
        <v>0</v>
      </c>
      <c r="AY88" s="19" t="n">
        <f aca="false">IF(Time!AY37=1,AY87-AY85,0)</f>
        <v>0</v>
      </c>
      <c r="AZ88" s="19" t="n">
        <f aca="false">IF(Time!AZ37=1,AZ87-AZ85,0)</f>
        <v>0</v>
      </c>
      <c r="BA88" s="19" t="n">
        <f aca="false">IF(Time!BA37=1,BA87-BA85,0)</f>
        <v>0</v>
      </c>
      <c r="BB88" s="19" t="n">
        <f aca="false">IF(Time!BB37=1,BB87-BB85,0)</f>
        <v>0</v>
      </c>
      <c r="BC88" s="19" t="n">
        <f aca="false">IF(Time!BC37=1,BC87-BC85,0)</f>
        <v>0</v>
      </c>
      <c r="BD88" s="19" t="n">
        <f aca="false">IF(Time!BD37=1,BD87-BD85,0)</f>
        <v>0</v>
      </c>
      <c r="BE88" s="19" t="n">
        <f aca="false">IF(Time!BE37=1,BE87-BE85,0)</f>
        <v>0</v>
      </c>
      <c r="BF88" s="19" t="n">
        <f aca="false">IF(Time!BF37=1,BF87-BF85,0)</f>
        <v>0</v>
      </c>
      <c r="BG88" s="19" t="n">
        <f aca="false">IF(Time!BG37=1,BG87-BG85,0)</f>
        <v>0</v>
      </c>
      <c r="BH88" s="19" t="n">
        <f aca="false">IF(Time!BH37=1,BH87-BH85,0)</f>
        <v>0</v>
      </c>
      <c r="BI88" s="19" t="n">
        <f aca="false">IF(Time!BI37=1,BI87-BI85,0)</f>
        <v>0</v>
      </c>
      <c r="BJ88" s="19" t="n">
        <f aca="false">IF(Time!BJ37=1,BJ87-BJ85,0)</f>
        <v>0</v>
      </c>
      <c r="BK88" s="19" t="n">
        <f aca="false">IF(Time!BK37=1,BK87-BK85,0)</f>
        <v>0</v>
      </c>
      <c r="BL88" s="19" t="n">
        <f aca="false">IF(Time!BL37=1,BL87-BL85,0)</f>
        <v>0</v>
      </c>
      <c r="BM88" s="19" t="n">
        <f aca="false">IF(Time!BM37=1,BM87-BM85,0)</f>
        <v>0</v>
      </c>
      <c r="BN88" s="19" t="n">
        <f aca="false">IF(Time!BN37=1,BN87-BN85,0)</f>
        <v>0</v>
      </c>
      <c r="BO88" s="19" t="n">
        <f aca="false">IF(Time!BO37=1,BO87-BO85,0)</f>
        <v>0</v>
      </c>
      <c r="BP88" s="19" t="n">
        <f aca="false">IF(Time!BP37=1,BP87-BP85,0)</f>
        <v>0</v>
      </c>
      <c r="BQ88" s="19" t="n">
        <f aca="false">IF(Time!BQ37=1,BQ87-BQ85,0)</f>
        <v>0</v>
      </c>
      <c r="BR88" s="19" t="n">
        <f aca="false">IF(Time!BR37=1,BR87-BR85,0)</f>
        <v>0</v>
      </c>
      <c r="BS88" s="19" t="n">
        <f aca="false">IF(Time!BS37=1,BS87-BS85,0)</f>
        <v>0</v>
      </c>
      <c r="BT88" s="19" t="n">
        <f aca="false">IF(Time!BT37=1,BT87-BT85,0)</f>
        <v>0</v>
      </c>
      <c r="BU88" s="19" t="n">
        <f aca="false">IF(Time!BU37=1,BU87-BU85,0)</f>
        <v>0</v>
      </c>
      <c r="BV88" s="19" t="n">
        <f aca="false">IF(Time!BV37=1,BV87-BV85,0)</f>
        <v>0</v>
      </c>
      <c r="BW88" s="19" t="n">
        <f aca="false">IF(Time!BW37=1,BW87-BW85,0)</f>
        <v>0</v>
      </c>
      <c r="BX88" s="19" t="n">
        <f aca="false">IF(Time!BX37=1,BX87-BX85,0)</f>
        <v>0</v>
      </c>
      <c r="BY88" s="19" t="n">
        <f aca="false">IF(Time!BY37=1,BY87-BY85,0)</f>
        <v>0</v>
      </c>
      <c r="BZ88" s="19" t="n">
        <f aca="false">IF(Time!BZ37=1,BZ87-BZ85,0)</f>
        <v>0</v>
      </c>
      <c r="CA88" s="19" t="n">
        <f aca="false">IF(Time!CA37=1,CA87-CA85,0)</f>
        <v>0</v>
      </c>
      <c r="CB88" s="19" t="n">
        <f aca="false">IF(Time!CB37=1,CB87-CB85,0)</f>
        <v>0</v>
      </c>
      <c r="CC88" s="19" t="n">
        <f aca="false">IF(Time!CC37=1,CC87-CC85,0)</f>
        <v>0</v>
      </c>
      <c r="CD88" s="19" t="n">
        <f aca="false">IF(Time!CD37=1,CD87-CD85,0)</f>
        <v>0</v>
      </c>
      <c r="CE88" s="19" t="n">
        <f aca="false">IF(Time!CE37=1,CE87-CE85,0)</f>
        <v>0</v>
      </c>
      <c r="CF88" s="19" t="n">
        <f aca="false">IF(Time!CF37=1,CF87-CF85,0)</f>
        <v>0</v>
      </c>
      <c r="CG88" s="19" t="n">
        <f aca="false">IF(Time!CG37=1,CG87-CG85,0)</f>
        <v>0</v>
      </c>
      <c r="CH88" s="19" t="n">
        <f aca="false">IF(Time!CH37=1,CH87-CH85,0)</f>
        <v>0</v>
      </c>
      <c r="CI88" s="19" t="n">
        <f aca="false">IF(Time!CI37=1,CI87-CI85,0)</f>
        <v>0</v>
      </c>
      <c r="CJ88" s="19" t="n">
        <f aca="false">IF(Time!CJ37=1,CJ87-CJ85,0)</f>
        <v>0</v>
      </c>
      <c r="CK88" s="19" t="n">
        <f aca="false">IF(Time!CK37=1,CK87-CK85,0)</f>
        <v>0</v>
      </c>
      <c r="CL88" s="19" t="n">
        <f aca="false">IF(Time!CL37=1,CL87-CL85,0)</f>
        <v>0</v>
      </c>
      <c r="CM88" s="19" t="n">
        <f aca="false">IF(Time!CM37=1,CM87-CM85,0)</f>
        <v>0</v>
      </c>
      <c r="CN88" s="19" t="n">
        <f aca="false">IF(Time!CN37=1,CN87-CN85,0)</f>
        <v>0</v>
      </c>
      <c r="CO88" s="19" t="n">
        <f aca="false">IF(Time!CO37=1,CO87-CO85,0)</f>
        <v>0</v>
      </c>
      <c r="CP88" s="19" t="n">
        <f aca="false">IF(Time!CP37=1,CP87-CP85,0)</f>
        <v>0</v>
      </c>
      <c r="CQ88" s="19" t="n">
        <f aca="false">IF(Time!CQ37=1,CQ87-CQ85,0)</f>
        <v>0</v>
      </c>
      <c r="CR88" s="19" t="n">
        <f aca="false">IF(Time!CR37=1,CR87-CR85,0)</f>
        <v>0</v>
      </c>
      <c r="CS88" s="19" t="n">
        <f aca="false">IF(Time!CS37=1,CS87-CS85,0)</f>
        <v>0</v>
      </c>
      <c r="CT88" s="19" t="n">
        <f aca="false">IF(Time!CT37=1,CT87-CT85,0)</f>
        <v>0</v>
      </c>
      <c r="CU88" s="19" t="n">
        <f aca="false">IF(Time!CU37=1,CU87-CU85,0)</f>
        <v>0</v>
      </c>
      <c r="CV88" s="19" t="n">
        <f aca="false">IF(Time!CV37=1,CV87-CV85,0)</f>
        <v>0</v>
      </c>
      <c r="CW88" s="19" t="n">
        <f aca="false">IF(Time!CW37=1,CW87-CW85,0)</f>
        <v>0</v>
      </c>
      <c r="CX88" s="19" t="n">
        <f aca="false">IF(Time!CX37=1,CX87-CX85,0)</f>
        <v>0</v>
      </c>
      <c r="CY88" s="19" t="n">
        <f aca="false">IF(Time!CY37=1,CY87-CY85,0)</f>
        <v>0</v>
      </c>
      <c r="CZ88" s="19" t="n">
        <f aca="false">IF(Time!CZ37=1,CZ87-CZ85,0)</f>
        <v>0</v>
      </c>
      <c r="DA88" s="19" t="n">
        <f aca="false">IF(Time!DA37=1,DA87-DA85,0)</f>
        <v>0</v>
      </c>
      <c r="DB88" s="19" t="n">
        <f aca="false">IF(Time!DB37=1,DB87-DB85,0)</f>
        <v>0</v>
      </c>
    </row>
    <row r="89" customFormat="false" ht="15" hidden="false" customHeight="false" outlineLevel="0" collapsed="false">
      <c r="D89" s="0" t="s">
        <v>551</v>
      </c>
      <c r="E89" s="0" t="s">
        <v>44</v>
      </c>
      <c r="J89" s="19" t="n">
        <f aca="false">J84-J88</f>
        <v>0</v>
      </c>
      <c r="K89" s="19" t="n">
        <f aca="false">K84-K88</f>
        <v>0</v>
      </c>
      <c r="L89" s="19" t="n">
        <f aca="false">L84-L88</f>
        <v>0</v>
      </c>
      <c r="M89" s="19" t="n">
        <f aca="false">M84-M88</f>
        <v>0</v>
      </c>
      <c r="N89" s="19" t="n">
        <f aca="false">N84-N88</f>
        <v>0</v>
      </c>
      <c r="O89" s="19" t="n">
        <f aca="false">O84-O88</f>
        <v>0</v>
      </c>
      <c r="P89" s="19" t="n">
        <f aca="false">P84-P88</f>
        <v>0</v>
      </c>
      <c r="Q89" s="19" t="n">
        <f aca="false">Q84-Q88</f>
        <v>0</v>
      </c>
      <c r="R89" s="19" t="n">
        <f aca="false">R84-R88</f>
        <v>0</v>
      </c>
      <c r="S89" s="19" t="n">
        <f aca="false">S84-S88</f>
        <v>0</v>
      </c>
      <c r="T89" s="19" t="n">
        <f aca="false">T84-T88</f>
        <v>0</v>
      </c>
      <c r="U89" s="19" t="n">
        <f aca="false">U84-U88</f>
        <v>0</v>
      </c>
      <c r="V89" s="19" t="n">
        <f aca="false">V84-V88</f>
        <v>0</v>
      </c>
      <c r="W89" s="19" t="n">
        <f aca="false">W84-W88</f>
        <v>0</v>
      </c>
      <c r="X89" s="19" t="n">
        <f aca="false">X84-X88</f>
        <v>0</v>
      </c>
      <c r="Y89" s="19" t="n">
        <f aca="false">Y84-Y88</f>
        <v>0</v>
      </c>
      <c r="Z89" s="19" t="n">
        <f aca="false">Z84-Z88</f>
        <v>0</v>
      </c>
      <c r="AA89" s="19" t="n">
        <f aca="false">AA84-AA88</f>
        <v>0</v>
      </c>
      <c r="AB89" s="19" t="n">
        <f aca="false">AB84-AB88</f>
        <v>0</v>
      </c>
      <c r="AC89" s="19" t="n">
        <f aca="false">AC84-AC88</f>
        <v>0</v>
      </c>
      <c r="AD89" s="19" t="n">
        <f aca="false">AD84-AD88</f>
        <v>0</v>
      </c>
      <c r="AE89" s="19" t="n">
        <f aca="false">AE84-AE88</f>
        <v>0</v>
      </c>
      <c r="AF89" s="19" t="n">
        <f aca="false">AF84-AF88</f>
        <v>0</v>
      </c>
      <c r="AG89" s="19" t="n">
        <f aca="false">AG84-AG88</f>
        <v>0</v>
      </c>
      <c r="AH89" s="19" t="n">
        <f aca="false">AH84-AH88</f>
        <v>0</v>
      </c>
      <c r="AI89" s="19" t="n">
        <f aca="false">AI84-AI88</f>
        <v>0</v>
      </c>
      <c r="AJ89" s="19" t="n">
        <f aca="false">AJ84-AJ88</f>
        <v>0</v>
      </c>
      <c r="AK89" s="19" t="n">
        <f aca="false">AK84-AK88</f>
        <v>0</v>
      </c>
      <c r="AL89" s="19" t="n">
        <f aca="false">AL84-AL88</f>
        <v>0</v>
      </c>
      <c r="AM89" s="19" t="n">
        <f aca="false">AM84-AM88</f>
        <v>0</v>
      </c>
      <c r="AN89" s="19" t="n">
        <f aca="false">AN84-AN88</f>
        <v>0</v>
      </c>
      <c r="AO89" s="19" t="n">
        <f aca="false">AO84-AO88</f>
        <v>0</v>
      </c>
      <c r="AP89" s="19" t="n">
        <f aca="false">AP84-AP88</f>
        <v>0</v>
      </c>
      <c r="AQ89" s="19" t="n">
        <f aca="false">AQ84-AQ88</f>
        <v>0</v>
      </c>
      <c r="AR89" s="19" t="n">
        <f aca="false">AR84-AR88</f>
        <v>0</v>
      </c>
      <c r="AS89" s="19" t="n">
        <f aca="false">AS84-AS88</f>
        <v>0</v>
      </c>
      <c r="AT89" s="19" t="n">
        <f aca="false">AT84-AT88</f>
        <v>0</v>
      </c>
      <c r="AU89" s="19" t="n">
        <f aca="false">AU84-AU88</f>
        <v>0</v>
      </c>
      <c r="AV89" s="19" t="n">
        <f aca="false">AV84-AV88</f>
        <v>0</v>
      </c>
      <c r="AW89" s="19" t="n">
        <f aca="false">AW84-AW88</f>
        <v>0</v>
      </c>
      <c r="AX89" s="19" t="n">
        <f aca="false">AX84-AX88</f>
        <v>0</v>
      </c>
      <c r="AY89" s="19" t="n">
        <f aca="false">AY84-AY88</f>
        <v>0</v>
      </c>
      <c r="AZ89" s="19" t="n">
        <f aca="false">AZ84-AZ88</f>
        <v>0</v>
      </c>
      <c r="BA89" s="19" t="n">
        <f aca="false">BA84-BA88</f>
        <v>0</v>
      </c>
      <c r="BB89" s="19" t="n">
        <f aca="false">BB84-BB88</f>
        <v>0</v>
      </c>
      <c r="BC89" s="19" t="n">
        <f aca="false">BC84-BC88</f>
        <v>0</v>
      </c>
      <c r="BD89" s="19" t="n">
        <f aca="false">BD84-BD88</f>
        <v>0</v>
      </c>
      <c r="BE89" s="19" t="n">
        <f aca="false">BE84-BE88</f>
        <v>0</v>
      </c>
      <c r="BF89" s="19" t="n">
        <f aca="false">BF84-BF88</f>
        <v>0</v>
      </c>
      <c r="BG89" s="19" t="n">
        <f aca="false">BG84-BG88</f>
        <v>0</v>
      </c>
      <c r="BH89" s="19" t="n">
        <f aca="false">BH84-BH88</f>
        <v>0</v>
      </c>
      <c r="BI89" s="19" t="n">
        <f aca="false">BI84-BI88</f>
        <v>0</v>
      </c>
      <c r="BJ89" s="19" t="n">
        <f aca="false">BJ84-BJ88</f>
        <v>0</v>
      </c>
      <c r="BK89" s="19" t="n">
        <f aca="false">BK84-BK88</f>
        <v>0</v>
      </c>
      <c r="BL89" s="19" t="n">
        <f aca="false">BL84-BL88</f>
        <v>0</v>
      </c>
      <c r="BM89" s="19" t="n">
        <f aca="false">BM84-BM88</f>
        <v>0</v>
      </c>
      <c r="BN89" s="19" t="n">
        <f aca="false">BN84-BN88</f>
        <v>0</v>
      </c>
      <c r="BO89" s="19" t="n">
        <f aca="false">BO84-BO88</f>
        <v>0</v>
      </c>
      <c r="BP89" s="19" t="n">
        <f aca="false">BP84-BP88</f>
        <v>0</v>
      </c>
      <c r="BQ89" s="19" t="n">
        <f aca="false">BQ84-BQ88</f>
        <v>0</v>
      </c>
      <c r="BR89" s="19" t="n">
        <f aca="false">BR84-BR88</f>
        <v>0</v>
      </c>
      <c r="BS89" s="19" t="n">
        <f aca="false">BS84-BS88</f>
        <v>0</v>
      </c>
      <c r="BT89" s="19" t="n">
        <f aca="false">BT84-BT88</f>
        <v>0</v>
      </c>
      <c r="BU89" s="19" t="n">
        <f aca="false">BU84-BU88</f>
        <v>0</v>
      </c>
      <c r="BV89" s="19" t="n">
        <f aca="false">BV84-BV88</f>
        <v>0</v>
      </c>
      <c r="BW89" s="19" t="n">
        <f aca="false">BW84-BW88</f>
        <v>0</v>
      </c>
      <c r="BX89" s="19" t="n">
        <f aca="false">BX84-BX88</f>
        <v>0</v>
      </c>
      <c r="BY89" s="19" t="n">
        <f aca="false">BY84-BY88</f>
        <v>0</v>
      </c>
      <c r="BZ89" s="19" t="n">
        <f aca="false">BZ84-BZ88</f>
        <v>0</v>
      </c>
      <c r="CA89" s="19" t="n">
        <f aca="false">CA84-CA88</f>
        <v>0</v>
      </c>
      <c r="CB89" s="19" t="n">
        <f aca="false">CB84-CB88</f>
        <v>0</v>
      </c>
      <c r="CC89" s="19" t="n">
        <f aca="false">CC84-CC88</f>
        <v>0</v>
      </c>
      <c r="CD89" s="19" t="n">
        <f aca="false">CD84-CD88</f>
        <v>0</v>
      </c>
      <c r="CE89" s="19" t="n">
        <f aca="false">CE84-CE88</f>
        <v>0</v>
      </c>
      <c r="CF89" s="19" t="n">
        <f aca="false">CF84-CF88</f>
        <v>0</v>
      </c>
      <c r="CG89" s="19" t="n">
        <f aca="false">CG84-CG88</f>
        <v>0</v>
      </c>
      <c r="CH89" s="19" t="n">
        <f aca="false">CH84-CH88</f>
        <v>0</v>
      </c>
      <c r="CI89" s="19" t="n">
        <f aca="false">CI84-CI88</f>
        <v>0</v>
      </c>
      <c r="CJ89" s="19" t="n">
        <f aca="false">CJ84-CJ88</f>
        <v>0</v>
      </c>
      <c r="CK89" s="19" t="n">
        <f aca="false">CK84-CK88</f>
        <v>0</v>
      </c>
      <c r="CL89" s="19" t="n">
        <f aca="false">CL84-CL88</f>
        <v>0</v>
      </c>
      <c r="CM89" s="19" t="n">
        <f aca="false">CM84-CM88</f>
        <v>0</v>
      </c>
      <c r="CN89" s="19" t="n">
        <f aca="false">CN84-CN88</f>
        <v>0</v>
      </c>
      <c r="CO89" s="19" t="n">
        <f aca="false">CO84-CO88</f>
        <v>0</v>
      </c>
      <c r="CP89" s="19" t="n">
        <f aca="false">CP84-CP88</f>
        <v>0</v>
      </c>
      <c r="CQ89" s="19" t="n">
        <f aca="false">CQ84-CQ88</f>
        <v>0</v>
      </c>
      <c r="CR89" s="19" t="n">
        <f aca="false">CR84-CR88</f>
        <v>0</v>
      </c>
      <c r="CS89" s="19" t="n">
        <f aca="false">CS84-CS88</f>
        <v>0</v>
      </c>
      <c r="CT89" s="19" t="n">
        <f aca="false">CT84-CT88</f>
        <v>0</v>
      </c>
      <c r="CU89" s="19" t="n">
        <f aca="false">CU84-CU88</f>
        <v>0</v>
      </c>
      <c r="CV89" s="19" t="n">
        <f aca="false">CV84-CV88</f>
        <v>0</v>
      </c>
      <c r="CW89" s="19" t="n">
        <f aca="false">CW84-CW88</f>
        <v>0</v>
      </c>
      <c r="CX89" s="19" t="n">
        <f aca="false">CX84-CX88</f>
        <v>0</v>
      </c>
      <c r="CY89" s="19" t="n">
        <f aca="false">CY84-CY88</f>
        <v>0</v>
      </c>
      <c r="CZ89" s="19" t="n">
        <f aca="false">CZ84-CZ88</f>
        <v>0</v>
      </c>
      <c r="DA89" s="19" t="n">
        <f aca="false">DA84-DA88</f>
        <v>0</v>
      </c>
      <c r="DB89" s="19" t="n">
        <f aca="false">DB84-DB88</f>
        <v>0</v>
      </c>
    </row>
    <row r="90" customFormat="false" ht="15" hidden="false" customHeight="false" outlineLevel="0" collapsed="false">
      <c r="D90" s="0" t="s">
        <v>552</v>
      </c>
      <c r="E90" s="0" t="s">
        <v>126</v>
      </c>
      <c r="F90" s="27" t="n">
        <f aca="false">IF(AND($F$25=1,$F$81&gt;0),IFERROR(MAX(Inputs!$F$9,SUMPRODUCT($J$13:$DB$13*$J$83:$DB$83*Time!$J$37:$DB$37*(1-$J$86:$DB$86))/($F$81-SUMPRODUCT($J$85:$DB$85*$J$83:$DB$83*$J$86:$DB$86))),Inputs!$F$167),Inputs!$F$167)</f>
        <v>1.3</v>
      </c>
    </row>
    <row r="91" customFormat="false" ht="15" hidden="false" customHeight="false" outlineLevel="0" collapsed="false">
      <c r="D91" s="0" t="s">
        <v>553</v>
      </c>
      <c r="E91" s="0" t="s">
        <v>44</v>
      </c>
      <c r="G91" s="19" t="n">
        <f aca="false">SUM(J91:DB91)</f>
        <v>614.926495333081</v>
      </c>
      <c r="J91" s="19" t="n">
        <f aca="false">IF($F$25=1,J88,Inputs!J277)</f>
        <v>0</v>
      </c>
      <c r="K91" s="19" t="n">
        <f aca="false">IF($F$25=1,K88,Inputs!K277)</f>
        <v>0</v>
      </c>
      <c r="L91" s="19" t="n">
        <f aca="false">IF($F$25=1,L88,Inputs!L277)</f>
        <v>0</v>
      </c>
      <c r="M91" s="19" t="n">
        <f aca="false">IF($F$25=1,M88,Inputs!M277)</f>
        <v>0</v>
      </c>
      <c r="N91" s="19" t="n">
        <f aca="false">IF($F$25=1,N88,Inputs!N277)</f>
        <v>0</v>
      </c>
      <c r="O91" s="19" t="n">
        <f aca="false">IF($F$25=1,O88,Inputs!O277)</f>
        <v>0</v>
      </c>
      <c r="P91" s="19" t="n">
        <f aca="false">IF($F$25=1,P88,Inputs!P277)</f>
        <v>0</v>
      </c>
      <c r="Q91" s="19" t="n">
        <f aca="false">IF($F$25=1,Q88,Inputs!Q277)</f>
        <v>0</v>
      </c>
      <c r="R91" s="19" t="n">
        <f aca="false">IF($F$25=1,R88,Inputs!R277)</f>
        <v>0</v>
      </c>
      <c r="S91" s="19" t="n">
        <f aca="false">IF($F$25=1,S88,Inputs!S277)</f>
        <v>0</v>
      </c>
      <c r="T91" s="19" t="n">
        <f aca="false">IF($F$25=1,T88,Inputs!T277)</f>
        <v>0</v>
      </c>
      <c r="U91" s="19" t="n">
        <f aca="false">IF($F$25=1,U88,Inputs!U277)</f>
        <v>0</v>
      </c>
      <c r="V91" s="19" t="n">
        <f aca="false">IF($F$25=1,V88,Inputs!V277)</f>
        <v>0</v>
      </c>
      <c r="W91" s="19" t="n">
        <f aca="false">IF($F$25=1,W88,Inputs!W277)</f>
        <v>0</v>
      </c>
      <c r="X91" s="19" t="n">
        <f aca="false">IF($F$25=1,X88,Inputs!X277)</f>
        <v>0</v>
      </c>
      <c r="Y91" s="19" t="n">
        <f aca="false">IF($F$25=1,Y88,Inputs!Y277)</f>
        <v>0</v>
      </c>
      <c r="Z91" s="19" t="n">
        <f aca="false">IF($F$25=1,Z88,Inputs!Z277)</f>
        <v>0</v>
      </c>
      <c r="AA91" s="19" t="n">
        <f aca="false">IF($F$25=1,AA88,Inputs!AA277)</f>
        <v>0</v>
      </c>
      <c r="AB91" s="19" t="n">
        <f aca="false">IF($F$25=1,AB88,Inputs!AB277)</f>
        <v>0</v>
      </c>
      <c r="AC91" s="19" t="n">
        <f aca="false">IF($F$25=1,AC88,Inputs!AC277)</f>
        <v>0</v>
      </c>
      <c r="AD91" s="19" t="n">
        <f aca="false">IF($F$25=1,AD88,Inputs!AD277)</f>
        <v>0</v>
      </c>
      <c r="AE91" s="19" t="n">
        <f aca="false">IF($F$25=1,AE88,Inputs!AE277)</f>
        <v>0</v>
      </c>
      <c r="AF91" s="19" t="n">
        <f aca="false">IF($F$25=1,AF88,Inputs!AF277)</f>
        <v>0</v>
      </c>
      <c r="AG91" s="19" t="n">
        <f aca="false">IF($F$25=1,AG88,Inputs!AG277)</f>
        <v>0</v>
      </c>
      <c r="AH91" s="19" t="n">
        <f aca="false">IF($F$25=1,AH88,Inputs!AH277)</f>
        <v>0</v>
      </c>
      <c r="AI91" s="19" t="n">
        <f aca="false">IF($F$25=1,AI88,Inputs!AI277)</f>
        <v>0</v>
      </c>
      <c r="AJ91" s="19" t="n">
        <f aca="false">IF($F$25=1,AJ88,Inputs!AJ277)</f>
        <v>0</v>
      </c>
      <c r="AK91" s="19" t="n">
        <f aca="false">IF($F$25=1,AK88,Inputs!AK277)</f>
        <v>0</v>
      </c>
      <c r="AL91" s="19" t="n">
        <f aca="false">IF($F$25=1,AL88,Inputs!AL277)</f>
        <v>0</v>
      </c>
      <c r="AM91" s="19" t="n">
        <f aca="false">IF($F$25=1,AM88,Inputs!AM277)</f>
        <v>0</v>
      </c>
      <c r="AN91" s="19" t="n">
        <f aca="false">IF($F$25=1,AN88,Inputs!AN277)</f>
        <v>0</v>
      </c>
      <c r="AO91" s="19" t="n">
        <f aca="false">IF($F$25=1,AO88,Inputs!AO277)</f>
        <v>0</v>
      </c>
      <c r="AP91" s="19" t="n">
        <f aca="false">IF($F$25=1,AP88,Inputs!AP277)</f>
        <v>0.10273278701443</v>
      </c>
      <c r="AQ91" s="19" t="n">
        <f aca="false">IF($F$25=1,AQ88,Inputs!AQ277)</f>
        <v>0</v>
      </c>
      <c r="AR91" s="19" t="n">
        <f aca="false">IF($F$25=1,AR88,Inputs!AR277)</f>
        <v>0</v>
      </c>
      <c r="AS91" s="19" t="n">
        <f aca="false">IF($F$25=1,AS88,Inputs!AS277)</f>
        <v>0</v>
      </c>
      <c r="AT91" s="19" t="n">
        <f aca="false">IF($F$25=1,AT88,Inputs!AT277)</f>
        <v>0</v>
      </c>
      <c r="AU91" s="19" t="n">
        <f aca="false">IF($F$25=1,AU88,Inputs!AU277)</f>
        <v>0</v>
      </c>
      <c r="AV91" s="19" t="n">
        <f aca="false">IF($F$25=1,AV88,Inputs!AV277)</f>
        <v>0</v>
      </c>
      <c r="AW91" s="19" t="n">
        <f aca="false">IF($F$25=1,AW88,Inputs!AW277)</f>
        <v>0.748954173588416</v>
      </c>
      <c r="AX91" s="19" t="n">
        <f aca="false">IF($F$25=1,AX88,Inputs!AX277)</f>
        <v>0.791408079831591</v>
      </c>
      <c r="AY91" s="19" t="n">
        <f aca="false">IF($F$25=1,AY88,Inputs!AY277)</f>
        <v>0.204304394943771</v>
      </c>
      <c r="AZ91" s="19" t="n">
        <f aca="false">IF($F$25=1,AZ88,Inputs!AZ277)</f>
        <v>0.348908822575057</v>
      </c>
      <c r="BA91" s="19" t="n">
        <f aca="false">IF($F$25=1,BA88,Inputs!BA277)</f>
        <v>0.103400775216947</v>
      </c>
      <c r="BB91" s="19" t="n">
        <f aca="false">IF($F$25=1,BB88,Inputs!BB277)</f>
        <v>0</v>
      </c>
      <c r="BC91" s="19" t="n">
        <f aca="false">IF($F$25=1,BC88,Inputs!BC277)</f>
        <v>5.52756088138232</v>
      </c>
      <c r="BD91" s="19" t="n">
        <f aca="false">IF($F$25=1,BD88,Inputs!BD277)</f>
        <v>5.69658756471544</v>
      </c>
      <c r="BE91" s="19" t="n">
        <f aca="false">IF($F$25=1,BE88,Inputs!BE277)</f>
        <v>8.45279335883729</v>
      </c>
      <c r="BF91" s="19" t="n">
        <f aca="false">IF($F$25=1,BF88,Inputs!BF277)</f>
        <v>7.67262311047827</v>
      </c>
      <c r="BG91" s="19" t="n">
        <f aca="false">IF($F$25=1,BG88,Inputs!BG277)</f>
        <v>7.0356878136811</v>
      </c>
      <c r="BH91" s="19" t="n">
        <f aca="false">IF($F$25=1,BH88,Inputs!BH277)</f>
        <v>7.2833114971834</v>
      </c>
      <c r="BI91" s="19" t="n">
        <f aca="false">IF($F$25=1,BI88,Inputs!BI277)</f>
        <v>8.1836935366804</v>
      </c>
      <c r="BJ91" s="19" t="n">
        <f aca="false">IF($F$25=1,BJ88,Inputs!BJ277)</f>
        <v>8.34378590086599</v>
      </c>
      <c r="BK91" s="19" t="n">
        <f aca="false">IF($F$25=1,BK88,Inputs!BK277)</f>
        <v>9.4196633726061</v>
      </c>
      <c r="BL91" s="19" t="n">
        <f aca="false">IF($F$25=1,BL88,Inputs!BL277)</f>
        <v>9.60884043282316</v>
      </c>
      <c r="BM91" s="19" t="n">
        <f aca="false">IF($F$25=1,BM88,Inputs!BM277)</f>
        <v>10.7515096206289</v>
      </c>
      <c r="BN91" s="19" t="n">
        <f aca="false">IF($F$25=1,BN88,Inputs!BN277)</f>
        <v>10.9719611775153</v>
      </c>
      <c r="BO91" s="19" t="n">
        <f aca="false">IF($F$25=1,BO88,Inputs!BO277)</f>
        <v>4.86255599784799</v>
      </c>
      <c r="BP91" s="19" t="n">
        <f aca="false">IF($F$25=1,BP88,Inputs!BP277)</f>
        <v>5.09223264059846</v>
      </c>
      <c r="BQ91" s="19" t="n">
        <f aca="false">IF($F$25=1,BQ88,Inputs!BQ277)</f>
        <v>6.08627730684115</v>
      </c>
      <c r="BR91" s="19" t="n">
        <f aca="false">IF($F$25=1,BR88,Inputs!BR277)</f>
        <v>5.99581926776035</v>
      </c>
      <c r="BS91" s="19" t="n">
        <f aca="false">IF($F$25=1,BS88,Inputs!BS277)</f>
        <v>7.15359570631784</v>
      </c>
      <c r="BT91" s="19" t="n">
        <f aca="false">IF($F$25=1,BT88,Inputs!BT277)</f>
        <v>7.0807825321737</v>
      </c>
      <c r="BU91" s="19" t="n">
        <f aca="false">IF($F$25=1,BU88,Inputs!BU277)</f>
        <v>21.6525993624612</v>
      </c>
      <c r="BV91" s="19" t="n">
        <f aca="false">IF($F$25=1,BV88,Inputs!BV277)</f>
        <v>21.9108637415731</v>
      </c>
      <c r="BW91" s="19" t="n">
        <f aca="false">IF($F$25=1,BW88,Inputs!BW277)</f>
        <v>18.514424419685</v>
      </c>
      <c r="BX91" s="19" t="n">
        <f aca="false">IF($F$25=1,BX88,Inputs!BX277)</f>
        <v>17.739133389643</v>
      </c>
      <c r="BY91" s="19" t="n">
        <f aca="false">IF($F$25=1,BY88,Inputs!BY277)</f>
        <v>19.1037340520449</v>
      </c>
      <c r="BZ91" s="19" t="n">
        <f aca="false">IF($F$25=1,BZ88,Inputs!BZ277)</f>
        <v>19.2733558496443</v>
      </c>
      <c r="CA91" s="19" t="n">
        <f aca="false">IF($F$25=1,CA88,Inputs!CA277)</f>
        <v>16.131673541607</v>
      </c>
      <c r="CB91" s="19" t="n">
        <f aca="false">IF($F$25=1,CB88,Inputs!CB277)</f>
        <v>16.2311735731157</v>
      </c>
      <c r="CC91" s="19" t="n">
        <f aca="false">IF($F$25=1,CC88,Inputs!CC277)</f>
        <v>17.7884736663117</v>
      </c>
      <c r="CD91" s="19" t="n">
        <f aca="false">IF($F$25=1,CD88,Inputs!CD277)</f>
        <v>17.9176800920126</v>
      </c>
      <c r="CE91" s="19" t="n">
        <f aca="false">IF($F$25=1,CE88,Inputs!CE277)</f>
        <v>17.2687572031878</v>
      </c>
      <c r="CF91" s="19" t="n">
        <f aca="false">IF($F$25=1,CF88,Inputs!CF277)</f>
        <v>17.5528345503154</v>
      </c>
      <c r="CG91" s="19" t="n">
        <f aca="false">IF($F$25=1,CG88,Inputs!CG277)</f>
        <v>32.2895890690119</v>
      </c>
      <c r="CH91" s="19" t="n">
        <f aca="false">IF($F$25=1,CH88,Inputs!CH277)</f>
        <v>24.2110285404821</v>
      </c>
      <c r="CI91" s="19" t="n">
        <f aca="false">IF($F$25=1,CI88,Inputs!CI277)</f>
        <v>26.0745519731535</v>
      </c>
      <c r="CJ91" s="19" t="n">
        <f aca="false">IF($F$25=1,CJ88,Inputs!CJ277)</f>
        <v>26.3653592378864</v>
      </c>
      <c r="CK91" s="19" t="n">
        <f aca="false">IF($F$25=1,CK88,Inputs!CK277)</f>
        <v>34.7825198829638</v>
      </c>
      <c r="CL91" s="19" t="n">
        <f aca="false">IF($F$25=1,CL88,Inputs!CL277)</f>
        <v>31.2354001781786</v>
      </c>
      <c r="CM91" s="19" t="n">
        <f aca="false">IF($F$25=1,CM88,Inputs!CM277)</f>
        <v>26.1111556952551</v>
      </c>
      <c r="CN91" s="19" t="n">
        <f aca="false">IF($F$25=1,CN88,Inputs!CN277)</f>
        <v>26.6595857388212</v>
      </c>
      <c r="CO91" s="19" t="n">
        <f aca="false">IF($F$25=1,CO88,Inputs!CO277)</f>
        <v>28.5936108236194</v>
      </c>
      <c r="CP91" s="19" t="n">
        <f aca="false">IF($F$25=1,CP88,Inputs!CP277)</f>
        <v>0</v>
      </c>
      <c r="CQ91" s="19" t="n">
        <f aca="false">IF($F$25=1,CQ88,Inputs!CQ277)</f>
        <v>0</v>
      </c>
      <c r="CR91" s="19" t="n">
        <f aca="false">IF($F$25=1,CR88,Inputs!CR277)</f>
        <v>0</v>
      </c>
      <c r="CS91" s="19" t="n">
        <f aca="false">IF($F$25=1,CS88,Inputs!CS277)</f>
        <v>0</v>
      </c>
      <c r="CT91" s="19" t="n">
        <f aca="false">IF($F$25=1,CT88,Inputs!CT277)</f>
        <v>0</v>
      </c>
      <c r="CU91" s="19" t="n">
        <f aca="false">IF($F$25=1,CU88,Inputs!CU277)</f>
        <v>0</v>
      </c>
      <c r="CV91" s="19" t="n">
        <f aca="false">IF($F$25=1,CV88,Inputs!CV277)</f>
        <v>0</v>
      </c>
      <c r="CW91" s="19" t="n">
        <f aca="false">IF($F$25=1,CW88,Inputs!CW277)</f>
        <v>0</v>
      </c>
      <c r="CX91" s="19" t="n">
        <f aca="false">IF($F$25=1,CX88,Inputs!CX277)</f>
        <v>0</v>
      </c>
      <c r="CY91" s="19" t="n">
        <f aca="false">IF($F$25=1,CY88,Inputs!CY277)</f>
        <v>0</v>
      </c>
      <c r="CZ91" s="19" t="n">
        <f aca="false">IF($F$25=1,CZ88,Inputs!CZ277)</f>
        <v>0</v>
      </c>
      <c r="DA91" s="19" t="n">
        <f aca="false">IF($F$25=1,DA88,Inputs!DA277)</f>
        <v>0</v>
      </c>
      <c r="DB91" s="19" t="n">
        <f aca="false">IF($F$25=1,DB88,Inputs!DB277)</f>
        <v>0</v>
      </c>
    </row>
    <row r="92" customFormat="false" ht="15" hidden="false" customHeight="false" outlineLevel="0" collapsed="false">
      <c r="D92" s="3" t="s">
        <v>554</v>
      </c>
    </row>
    <row r="93" customFormat="false" ht="15" hidden="false" customHeight="false" outlineLevel="0" collapsed="false">
      <c r="D93" s="0" t="s">
        <v>509</v>
      </c>
      <c r="E93" s="0" t="s">
        <v>44</v>
      </c>
      <c r="J93" s="19" t="n">
        <f aca="false">I94</f>
        <v>0</v>
      </c>
      <c r="K93" s="19" t="n">
        <f aca="false">J94</f>
        <v>0</v>
      </c>
      <c r="L93" s="19" t="n">
        <f aca="false">K94</f>
        <v>0</v>
      </c>
      <c r="M93" s="19" t="n">
        <f aca="false">L94</f>
        <v>0</v>
      </c>
      <c r="N93" s="19" t="n">
        <f aca="false">M94</f>
        <v>0</v>
      </c>
      <c r="O93" s="19" t="n">
        <f aca="false">N94</f>
        <v>0</v>
      </c>
      <c r="P93" s="19" t="n">
        <f aca="false">O94</f>
        <v>0</v>
      </c>
      <c r="Q93" s="19" t="n">
        <f aca="false">P94</f>
        <v>0</v>
      </c>
      <c r="R93" s="19" t="n">
        <f aca="false">Q94</f>
        <v>0</v>
      </c>
      <c r="S93" s="19" t="n">
        <f aca="false">R94</f>
        <v>0</v>
      </c>
      <c r="T93" s="19" t="n">
        <f aca="false">S94</f>
        <v>0</v>
      </c>
      <c r="U93" s="19" t="n">
        <f aca="false">T94</f>
        <v>0</v>
      </c>
      <c r="V93" s="19" t="n">
        <f aca="false">U94</f>
        <v>0</v>
      </c>
      <c r="W93" s="19" t="n">
        <f aca="false">V94</f>
        <v>0</v>
      </c>
      <c r="X93" s="19" t="n">
        <f aca="false">W94</f>
        <v>0</v>
      </c>
      <c r="Y93" s="19" t="n">
        <f aca="false">X94</f>
        <v>0</v>
      </c>
      <c r="Z93" s="19" t="n">
        <f aca="false">Y94</f>
        <v>0</v>
      </c>
      <c r="AA93" s="19" t="n">
        <f aca="false">Z94</f>
        <v>0</v>
      </c>
      <c r="AB93" s="19" t="n">
        <f aca="false">AA94</f>
        <v>0</v>
      </c>
      <c r="AC93" s="19" t="n">
        <f aca="false">AB94</f>
        <v>0</v>
      </c>
      <c r="AD93" s="19" t="n">
        <f aca="false">AC94</f>
        <v>0</v>
      </c>
      <c r="AE93" s="19" t="n">
        <f aca="false">AD94</f>
        <v>0</v>
      </c>
      <c r="AF93" s="19" t="n">
        <f aca="false">AE94</f>
        <v>0</v>
      </c>
      <c r="AG93" s="19" t="n">
        <f aca="false">AF94</f>
        <v>0</v>
      </c>
      <c r="AH93" s="19" t="n">
        <f aca="false">AG94</f>
        <v>0</v>
      </c>
      <c r="AI93" s="19" t="n">
        <f aca="false">AH94</f>
        <v>0</v>
      </c>
      <c r="AJ93" s="19" t="n">
        <f aca="false">AI94</f>
        <v>0</v>
      </c>
      <c r="AK93" s="19" t="n">
        <f aca="false">AJ94</f>
        <v>0</v>
      </c>
      <c r="AL93" s="19" t="n">
        <f aca="false">AK94</f>
        <v>0</v>
      </c>
      <c r="AM93" s="19" t="n">
        <f aca="false">AL94</f>
        <v>0</v>
      </c>
      <c r="AN93" s="19" t="n">
        <f aca="false">AM94</f>
        <v>0</v>
      </c>
      <c r="AO93" s="19" t="n">
        <f aca="false">AN94</f>
        <v>0</v>
      </c>
      <c r="AP93" s="19" t="n">
        <f aca="false">AO94</f>
        <v>0</v>
      </c>
      <c r="AQ93" s="19" t="n">
        <f aca="false">AP94</f>
        <v>0</v>
      </c>
      <c r="AR93" s="19" t="n">
        <f aca="false">AQ94</f>
        <v>0</v>
      </c>
      <c r="AS93" s="19" t="n">
        <f aca="false">AR94</f>
        <v>0</v>
      </c>
      <c r="AT93" s="19" t="n">
        <f aca="false">AS94</f>
        <v>0</v>
      </c>
      <c r="AU93" s="19" t="n">
        <f aca="false">AT94</f>
        <v>0</v>
      </c>
      <c r="AV93" s="19" t="n">
        <f aca="false">AU94</f>
        <v>0</v>
      </c>
      <c r="AW93" s="19" t="n">
        <f aca="false">AV94</f>
        <v>0</v>
      </c>
      <c r="AX93" s="19" t="n">
        <f aca="false">AW94</f>
        <v>0</v>
      </c>
      <c r="AY93" s="19" t="n">
        <f aca="false">AX94</f>
        <v>0</v>
      </c>
      <c r="AZ93" s="19" t="n">
        <f aca="false">AY94</f>
        <v>0</v>
      </c>
      <c r="BA93" s="19" t="n">
        <f aca="false">AZ94</f>
        <v>0</v>
      </c>
      <c r="BB93" s="19" t="n">
        <f aca="false">BA94</f>
        <v>0</v>
      </c>
      <c r="BC93" s="19" t="n">
        <f aca="false">BB94</f>
        <v>0</v>
      </c>
      <c r="BD93" s="19" t="n">
        <f aca="false">BC94</f>
        <v>0</v>
      </c>
      <c r="BE93" s="19" t="n">
        <f aca="false">BD94</f>
        <v>0</v>
      </c>
      <c r="BF93" s="19" t="n">
        <f aca="false">BE94</f>
        <v>0</v>
      </c>
      <c r="BG93" s="19" t="n">
        <f aca="false">BF94</f>
        <v>0</v>
      </c>
      <c r="BH93" s="19" t="n">
        <f aca="false">BG94</f>
        <v>0</v>
      </c>
      <c r="BI93" s="19" t="n">
        <f aca="false">BH94</f>
        <v>0</v>
      </c>
      <c r="BJ93" s="19" t="n">
        <f aca="false">BI94</f>
        <v>0</v>
      </c>
      <c r="BK93" s="19" t="n">
        <f aca="false">BJ94</f>
        <v>0</v>
      </c>
      <c r="BL93" s="19" t="n">
        <f aca="false">BK94</f>
        <v>0</v>
      </c>
      <c r="BM93" s="19" t="n">
        <f aca="false">BL94</f>
        <v>0</v>
      </c>
      <c r="BN93" s="19" t="n">
        <f aca="false">BM94</f>
        <v>0</v>
      </c>
      <c r="BO93" s="19" t="n">
        <f aca="false">BN94</f>
        <v>0</v>
      </c>
      <c r="BP93" s="19" t="n">
        <f aca="false">BO94</f>
        <v>0</v>
      </c>
      <c r="BQ93" s="19" t="n">
        <f aca="false">BP94</f>
        <v>0</v>
      </c>
      <c r="BR93" s="19" t="n">
        <f aca="false">BQ94</f>
        <v>0</v>
      </c>
      <c r="BS93" s="19" t="n">
        <f aca="false">BR94</f>
        <v>0</v>
      </c>
      <c r="BT93" s="19" t="n">
        <f aca="false">BS94</f>
        <v>0</v>
      </c>
      <c r="BU93" s="19" t="n">
        <f aca="false">BT94</f>
        <v>0</v>
      </c>
      <c r="BV93" s="19" t="n">
        <f aca="false">BU94</f>
        <v>0</v>
      </c>
      <c r="BW93" s="19" t="n">
        <f aca="false">BV94</f>
        <v>0</v>
      </c>
      <c r="BX93" s="19" t="n">
        <f aca="false">BW94</f>
        <v>0</v>
      </c>
      <c r="BY93" s="19" t="n">
        <f aca="false">BX94</f>
        <v>0</v>
      </c>
      <c r="BZ93" s="19" t="n">
        <f aca="false">BY94</f>
        <v>0</v>
      </c>
      <c r="CA93" s="19" t="n">
        <f aca="false">BZ94</f>
        <v>0</v>
      </c>
      <c r="CB93" s="19" t="n">
        <f aca="false">CA94</f>
        <v>0</v>
      </c>
      <c r="CC93" s="19" t="n">
        <f aca="false">CB94</f>
        <v>0</v>
      </c>
      <c r="CD93" s="19" t="n">
        <f aca="false">CC94</f>
        <v>0</v>
      </c>
      <c r="CE93" s="19" t="n">
        <f aca="false">CD94</f>
        <v>0</v>
      </c>
      <c r="CF93" s="19" t="n">
        <f aca="false">CE94</f>
        <v>0</v>
      </c>
      <c r="CG93" s="19" t="n">
        <f aca="false">CF94</f>
        <v>0</v>
      </c>
      <c r="CH93" s="19" t="n">
        <f aca="false">CG94</f>
        <v>0</v>
      </c>
      <c r="CI93" s="19" t="n">
        <f aca="false">CH94</f>
        <v>0</v>
      </c>
      <c r="CJ93" s="19" t="n">
        <f aca="false">CI94</f>
        <v>0</v>
      </c>
      <c r="CK93" s="19" t="n">
        <f aca="false">CJ94</f>
        <v>0</v>
      </c>
      <c r="CL93" s="19" t="n">
        <f aca="false">CK94</f>
        <v>0</v>
      </c>
      <c r="CM93" s="19" t="n">
        <f aca="false">CL94</f>
        <v>0</v>
      </c>
      <c r="CN93" s="19" t="n">
        <f aca="false">CM94</f>
        <v>0</v>
      </c>
      <c r="CO93" s="19" t="n">
        <f aca="false">CN94</f>
        <v>0</v>
      </c>
      <c r="CP93" s="19" t="n">
        <f aca="false">CO94</f>
        <v>0</v>
      </c>
      <c r="CQ93" s="19" t="n">
        <f aca="false">CP94</f>
        <v>0</v>
      </c>
      <c r="CR93" s="19" t="n">
        <f aca="false">CQ94</f>
        <v>0</v>
      </c>
      <c r="CS93" s="19" t="n">
        <f aca="false">CR94</f>
        <v>0</v>
      </c>
      <c r="CT93" s="19" t="n">
        <f aca="false">CS94</f>
        <v>0</v>
      </c>
      <c r="CU93" s="19" t="n">
        <f aca="false">CT94</f>
        <v>0</v>
      </c>
      <c r="CV93" s="19" t="n">
        <f aca="false">CU94</f>
        <v>0</v>
      </c>
      <c r="CW93" s="19" t="n">
        <f aca="false">CV94</f>
        <v>0</v>
      </c>
      <c r="CX93" s="19" t="n">
        <f aca="false">CW94</f>
        <v>0</v>
      </c>
      <c r="CY93" s="19" t="n">
        <f aca="false">CX94</f>
        <v>0</v>
      </c>
      <c r="CZ93" s="19" t="n">
        <f aca="false">CY94</f>
        <v>0</v>
      </c>
      <c r="DA93" s="19" t="n">
        <f aca="false">CZ94</f>
        <v>0</v>
      </c>
      <c r="DB93" s="19" t="n">
        <f aca="false">DA94</f>
        <v>0</v>
      </c>
    </row>
    <row r="94" customFormat="false" ht="15" hidden="false" customHeight="false" outlineLevel="0" collapsed="false">
      <c r="D94" s="0" t="s">
        <v>514</v>
      </c>
      <c r="E94" s="0" t="s">
        <v>44</v>
      </c>
      <c r="J94" s="19" t="n">
        <f aca="false">IF(Time!J35=1,J77,J93-Waterfall!J22-Waterfall!J38)</f>
        <v>0</v>
      </c>
      <c r="K94" s="19" t="n">
        <f aca="false">IF(Time!K35=1,K77,K93-Waterfall!K22-Waterfall!K38)</f>
        <v>0</v>
      </c>
      <c r="L94" s="19" t="n">
        <f aca="false">IF(Time!L35=1,L77,L93-Waterfall!L22-Waterfall!L38)</f>
        <v>0</v>
      </c>
      <c r="M94" s="19" t="n">
        <f aca="false">IF(Time!M35=1,M77,M93-Waterfall!M22-Waterfall!M38)</f>
        <v>0</v>
      </c>
      <c r="N94" s="19" t="n">
        <f aca="false">IF(Time!N35=1,N77,N93-Waterfall!N22-Waterfall!N38)</f>
        <v>0</v>
      </c>
      <c r="O94" s="19" t="n">
        <f aca="false">IF(Time!O35=1,O77,O93-Waterfall!O22-Waterfall!O38)</f>
        <v>0</v>
      </c>
      <c r="P94" s="19" t="n">
        <f aca="false">IF(Time!P35=1,P77,P93-Waterfall!P22-Waterfall!P38)</f>
        <v>0</v>
      </c>
      <c r="Q94" s="19" t="n">
        <f aca="false">IF(Time!Q35=1,Q77,Q93-Waterfall!Q22-Waterfall!Q38)</f>
        <v>0</v>
      </c>
      <c r="R94" s="19" t="n">
        <f aca="false">IF(Time!R35=1,R77,R93-Waterfall!R22-Waterfall!R38)</f>
        <v>0</v>
      </c>
      <c r="S94" s="19" t="n">
        <f aca="false">IF(Time!S35=1,S77,S93-Waterfall!S22-Waterfall!S38)</f>
        <v>0</v>
      </c>
      <c r="T94" s="19" t="n">
        <f aca="false">IF(Time!T35=1,T77,T93-Waterfall!T22-Waterfall!T38)</f>
        <v>0</v>
      </c>
      <c r="U94" s="19" t="n">
        <f aca="false">IF(Time!U35=1,U77,U93-Waterfall!U22-Waterfall!U38)</f>
        <v>0</v>
      </c>
      <c r="V94" s="19" t="n">
        <f aca="false">IF(Time!V35=1,V77,V93-Waterfall!V22-Waterfall!V38)</f>
        <v>0</v>
      </c>
      <c r="W94" s="19" t="n">
        <f aca="false">IF(Time!W35=1,W77,W93-Waterfall!W22-Waterfall!W38)</f>
        <v>0</v>
      </c>
      <c r="X94" s="19" t="n">
        <f aca="false">IF(Time!X35=1,X77,X93-Waterfall!X22-Waterfall!X38)</f>
        <v>0</v>
      </c>
      <c r="Y94" s="19" t="n">
        <f aca="false">IF(Time!Y35=1,Y77,Y93-Waterfall!Y22-Waterfall!Y38)</f>
        <v>0</v>
      </c>
      <c r="Z94" s="19" t="n">
        <f aca="false">IF(Time!Z35=1,Z77,Z93-Waterfall!Z22-Waterfall!Z38)</f>
        <v>0</v>
      </c>
      <c r="AA94" s="19" t="n">
        <f aca="false">IF(Time!AA35=1,AA77,AA93-Waterfall!AA22-Waterfall!AA38)</f>
        <v>0</v>
      </c>
      <c r="AB94" s="19" t="n">
        <f aca="false">IF(Time!AB35=1,AB77,AB93-Waterfall!AB22-Waterfall!AB38)</f>
        <v>0</v>
      </c>
      <c r="AC94" s="19" t="n">
        <f aca="false">IF(Time!AC35=1,AC77,AC93-Waterfall!AC22-Waterfall!AC38)</f>
        <v>0</v>
      </c>
      <c r="AD94" s="19" t="n">
        <f aca="false">IF(Time!AD35=1,AD77,AD93-Waterfall!AD22-Waterfall!AD38)</f>
        <v>0</v>
      </c>
      <c r="AE94" s="19" t="n">
        <f aca="false">IF(Time!AE35=1,AE77,AE93-Waterfall!AE22-Waterfall!AE38)</f>
        <v>0</v>
      </c>
      <c r="AF94" s="19" t="n">
        <f aca="false">IF(Time!AF35=1,AF77,AF93-Waterfall!AF22-Waterfall!AF38)</f>
        <v>0</v>
      </c>
      <c r="AG94" s="19" t="n">
        <f aca="false">IF(Time!AG35=1,AG77,AG93-Waterfall!AG22-Waterfall!AG38)</f>
        <v>0</v>
      </c>
      <c r="AH94" s="19" t="n">
        <f aca="false">IF(Time!AH35=1,AH77,AH93-Waterfall!AH22-Waterfall!AH38)</f>
        <v>0</v>
      </c>
      <c r="AI94" s="19" t="n">
        <f aca="false">IF(Time!AI35=1,AI77,AI93-Waterfall!AI22-Waterfall!AI38)</f>
        <v>0</v>
      </c>
      <c r="AJ94" s="19" t="n">
        <f aca="false">IF(Time!AJ35=1,AJ77,AJ93-Waterfall!AJ22-Waterfall!AJ38)</f>
        <v>0</v>
      </c>
      <c r="AK94" s="19" t="n">
        <f aca="false">IF(Time!AK35=1,AK77,AK93-Waterfall!AK22-Waterfall!AK38)</f>
        <v>0</v>
      </c>
      <c r="AL94" s="19" t="n">
        <f aca="false">IF(Time!AL35=1,AL77,AL93-Waterfall!AL22-Waterfall!AL38)</f>
        <v>0</v>
      </c>
      <c r="AM94" s="19" t="n">
        <f aca="false">IF(Time!AM35=1,AM77,AM93-Waterfall!AM22-Waterfall!AM38)</f>
        <v>0</v>
      </c>
      <c r="AN94" s="19" t="n">
        <f aca="false">IF(Time!AN35=1,AN77,AN93-Waterfall!AN22-Waterfall!AN38)</f>
        <v>0</v>
      </c>
      <c r="AO94" s="19" t="n">
        <f aca="false">IF(Time!AO35=1,AO77,AO93-Waterfall!AO22-Waterfall!AO38)</f>
        <v>0</v>
      </c>
      <c r="AP94" s="19" t="n">
        <f aca="false">IF(Time!AP35=1,AP77,AP93-Waterfall!AP22-Waterfall!AP38)</f>
        <v>0</v>
      </c>
      <c r="AQ94" s="19" t="n">
        <f aca="false">IF(Time!AQ35=1,AQ77,AQ93-Waterfall!AQ22-Waterfall!AQ38)</f>
        <v>0</v>
      </c>
      <c r="AR94" s="19" t="n">
        <f aca="false">IF(Time!AR35=1,AR77,AR93-Waterfall!AR22-Waterfall!AR38)</f>
        <v>0</v>
      </c>
      <c r="AS94" s="19" t="n">
        <f aca="false">IF(Time!AS35=1,AS77,AS93-Waterfall!AS22-Waterfall!AS38)</f>
        <v>0</v>
      </c>
      <c r="AT94" s="19" t="n">
        <f aca="false">IF(Time!AT35=1,AT77,AT93-Waterfall!AT22-Waterfall!AT38)</f>
        <v>0</v>
      </c>
      <c r="AU94" s="19" t="n">
        <f aca="false">IF(Time!AU35=1,AU77,AU93-Waterfall!AU22-Waterfall!AU38)</f>
        <v>0</v>
      </c>
      <c r="AV94" s="19" t="n">
        <f aca="false">IF(Time!AV35=1,AV77,AV93-Waterfall!AV22-Waterfall!AV38)</f>
        <v>0</v>
      </c>
      <c r="AW94" s="19" t="n">
        <f aca="false">IF(Time!AW35=1,AW77,AW93-Waterfall!AW22-Waterfall!AW38)</f>
        <v>0</v>
      </c>
      <c r="AX94" s="19" t="n">
        <f aca="false">IF(Time!AX35=1,AX77,AX93-Waterfall!AX22-Waterfall!AX38)</f>
        <v>0</v>
      </c>
      <c r="AY94" s="19" t="n">
        <f aca="false">IF(Time!AY35=1,AY77,AY93-Waterfall!AY22-Waterfall!AY38)</f>
        <v>0</v>
      </c>
      <c r="AZ94" s="19" t="n">
        <f aca="false">IF(Time!AZ35=1,AZ77,AZ93-Waterfall!AZ22-Waterfall!AZ38)</f>
        <v>0</v>
      </c>
      <c r="BA94" s="19" t="n">
        <f aca="false">IF(Time!BA35=1,BA77,BA93-Waterfall!BA22-Waterfall!BA38)</f>
        <v>0</v>
      </c>
      <c r="BB94" s="19" t="n">
        <f aca="false">IF(Time!BB35=1,BB77,BB93-Waterfall!BB22-Waterfall!BB38)</f>
        <v>0</v>
      </c>
      <c r="BC94" s="19" t="n">
        <f aca="false">IF(Time!BC35=1,BC77,BC93-Waterfall!BC22-Waterfall!BC38)</f>
        <v>0</v>
      </c>
      <c r="BD94" s="19" t="n">
        <f aca="false">IF(Time!BD35=1,BD77,BD93-Waterfall!BD22-Waterfall!BD38)</f>
        <v>0</v>
      </c>
      <c r="BE94" s="19" t="n">
        <f aca="false">IF(Time!BE35=1,BE77,BE93-Waterfall!BE22-Waterfall!BE38)</f>
        <v>0</v>
      </c>
      <c r="BF94" s="19" t="n">
        <f aca="false">IF(Time!BF35=1,BF77,BF93-Waterfall!BF22-Waterfall!BF38)</f>
        <v>0</v>
      </c>
      <c r="BG94" s="19" t="n">
        <f aca="false">IF(Time!BG35=1,BG77,BG93-Waterfall!BG22-Waterfall!BG38)</f>
        <v>0</v>
      </c>
      <c r="BH94" s="19" t="n">
        <f aca="false">IF(Time!BH35=1,BH77,BH93-Waterfall!BH22-Waterfall!BH38)</f>
        <v>0</v>
      </c>
      <c r="BI94" s="19" t="n">
        <f aca="false">IF(Time!BI35=1,BI77,BI93-Waterfall!BI22-Waterfall!BI38)</f>
        <v>0</v>
      </c>
      <c r="BJ94" s="19" t="n">
        <f aca="false">IF(Time!BJ35=1,BJ77,BJ93-Waterfall!BJ22-Waterfall!BJ38)</f>
        <v>0</v>
      </c>
      <c r="BK94" s="19" t="n">
        <f aca="false">IF(Time!BK35=1,BK77,BK93-Waterfall!BK22-Waterfall!BK38)</f>
        <v>0</v>
      </c>
      <c r="BL94" s="19" t="n">
        <f aca="false">IF(Time!BL35=1,BL77,BL93-Waterfall!BL22-Waterfall!BL38)</f>
        <v>0</v>
      </c>
      <c r="BM94" s="19" t="n">
        <f aca="false">IF(Time!BM35=1,BM77,BM93-Waterfall!BM22-Waterfall!BM38)</f>
        <v>0</v>
      </c>
      <c r="BN94" s="19" t="n">
        <f aca="false">IF(Time!BN35=1,BN77,BN93-Waterfall!BN22-Waterfall!BN38)</f>
        <v>0</v>
      </c>
      <c r="BO94" s="19" t="n">
        <f aca="false">IF(Time!BO35=1,BO77,BO93-Waterfall!BO22-Waterfall!BO38)</f>
        <v>0</v>
      </c>
      <c r="BP94" s="19" t="n">
        <f aca="false">IF(Time!BP35=1,BP77,BP93-Waterfall!BP22-Waterfall!BP38)</f>
        <v>0</v>
      </c>
      <c r="BQ94" s="19" t="n">
        <f aca="false">IF(Time!BQ35=1,BQ77,BQ93-Waterfall!BQ22-Waterfall!BQ38)</f>
        <v>0</v>
      </c>
      <c r="BR94" s="19" t="n">
        <f aca="false">IF(Time!BR35=1,BR77,BR93-Waterfall!BR22-Waterfall!BR38)</f>
        <v>0</v>
      </c>
      <c r="BS94" s="19" t="n">
        <f aca="false">IF(Time!BS35=1,BS77,BS93-Waterfall!BS22-Waterfall!BS38)</f>
        <v>0</v>
      </c>
      <c r="BT94" s="19" t="n">
        <f aca="false">IF(Time!BT35=1,BT77,BT93-Waterfall!BT22-Waterfall!BT38)</f>
        <v>0</v>
      </c>
      <c r="BU94" s="19" t="n">
        <f aca="false">IF(Time!BU35=1,BU77,BU93-Waterfall!BU22-Waterfall!BU38)</f>
        <v>0</v>
      </c>
      <c r="BV94" s="19" t="n">
        <f aca="false">IF(Time!BV35=1,BV77,BV93-Waterfall!BV22-Waterfall!BV38)</f>
        <v>0</v>
      </c>
      <c r="BW94" s="19" t="n">
        <f aca="false">IF(Time!BW35=1,BW77,BW93-Waterfall!BW22-Waterfall!BW38)</f>
        <v>0</v>
      </c>
      <c r="BX94" s="19" t="n">
        <f aca="false">IF(Time!BX35=1,BX77,BX93-Waterfall!BX22-Waterfall!BX38)</f>
        <v>0</v>
      </c>
      <c r="BY94" s="19" t="n">
        <f aca="false">IF(Time!BY35=1,BY77,BY93-Waterfall!BY22-Waterfall!BY38)</f>
        <v>0</v>
      </c>
      <c r="BZ94" s="19" t="n">
        <f aca="false">IF(Time!BZ35=1,BZ77,BZ93-Waterfall!BZ22-Waterfall!BZ38)</f>
        <v>0</v>
      </c>
      <c r="CA94" s="19" t="n">
        <f aca="false">IF(Time!CA35=1,CA77,CA93-Waterfall!CA22-Waterfall!CA38)</f>
        <v>0</v>
      </c>
      <c r="CB94" s="19" t="n">
        <f aca="false">IF(Time!CB35=1,CB77,CB93-Waterfall!CB22-Waterfall!CB38)</f>
        <v>0</v>
      </c>
      <c r="CC94" s="19" t="n">
        <f aca="false">IF(Time!CC35=1,CC77,CC93-Waterfall!CC22-Waterfall!CC38)</f>
        <v>0</v>
      </c>
      <c r="CD94" s="19" t="n">
        <f aca="false">IF(Time!CD35=1,CD77,CD93-Waterfall!CD22-Waterfall!CD38)</f>
        <v>0</v>
      </c>
      <c r="CE94" s="19" t="n">
        <f aca="false">IF(Time!CE35=1,CE77,CE93-Waterfall!CE22-Waterfall!CE38)</f>
        <v>0</v>
      </c>
      <c r="CF94" s="19" t="n">
        <f aca="false">IF(Time!CF35=1,CF77,CF93-Waterfall!CF22-Waterfall!CF38)</f>
        <v>0</v>
      </c>
      <c r="CG94" s="19" t="n">
        <f aca="false">IF(Time!CG35=1,CG77,CG93-Waterfall!CG22-Waterfall!CG38)</f>
        <v>0</v>
      </c>
      <c r="CH94" s="19" t="n">
        <f aca="false">IF(Time!CH35=1,CH77,CH93-Waterfall!CH22-Waterfall!CH38)</f>
        <v>0</v>
      </c>
      <c r="CI94" s="19" t="n">
        <f aca="false">IF(Time!CI35=1,CI77,CI93-Waterfall!CI22-Waterfall!CI38)</f>
        <v>0</v>
      </c>
      <c r="CJ94" s="19" t="n">
        <f aca="false">IF(Time!CJ35=1,CJ77,CJ93-Waterfall!CJ22-Waterfall!CJ38)</f>
        <v>0</v>
      </c>
      <c r="CK94" s="19" t="n">
        <f aca="false">IF(Time!CK35=1,CK77,CK93-Waterfall!CK22-Waterfall!CK38)</f>
        <v>0</v>
      </c>
      <c r="CL94" s="19" t="n">
        <f aca="false">IF(Time!CL35=1,CL77,CL93-Waterfall!CL22-Waterfall!CL38)</f>
        <v>0</v>
      </c>
      <c r="CM94" s="19" t="n">
        <f aca="false">IF(Time!CM35=1,CM77,CM93-Waterfall!CM22-Waterfall!CM38)</f>
        <v>0</v>
      </c>
      <c r="CN94" s="19" t="n">
        <f aca="false">IF(Time!CN35=1,CN77,CN93-Waterfall!CN22-Waterfall!CN38)</f>
        <v>0</v>
      </c>
      <c r="CO94" s="19" t="n">
        <f aca="false">IF(Time!CO35=1,CO77,CO93-Waterfall!CO22-Waterfall!CO38)</f>
        <v>0</v>
      </c>
      <c r="CP94" s="19" t="n">
        <f aca="false">IF(Time!CP35=1,CP77,CP93-Waterfall!CP22-Waterfall!CP38)</f>
        <v>0</v>
      </c>
      <c r="CQ94" s="19" t="n">
        <f aca="false">IF(Time!CQ35=1,CQ77,CQ93-Waterfall!CQ22-Waterfall!CQ38)</f>
        <v>0</v>
      </c>
      <c r="CR94" s="19" t="n">
        <f aca="false">IF(Time!CR35=1,CR77,CR93-Waterfall!CR22-Waterfall!CR38)</f>
        <v>0</v>
      </c>
      <c r="CS94" s="19" t="n">
        <f aca="false">IF(Time!CS35=1,CS77,CS93-Waterfall!CS22-Waterfall!CS38)</f>
        <v>0</v>
      </c>
      <c r="CT94" s="19" t="n">
        <f aca="false">IF(Time!CT35=1,CT77,CT93-Waterfall!CT22-Waterfall!CT38)</f>
        <v>0</v>
      </c>
      <c r="CU94" s="19" t="n">
        <f aca="false">IF(Time!CU35=1,CU77,CU93-Waterfall!CU22-Waterfall!CU38)</f>
        <v>0</v>
      </c>
      <c r="CV94" s="19" t="n">
        <f aca="false">IF(Time!CV35=1,CV77,CV93-Waterfall!CV22-Waterfall!CV38)</f>
        <v>0</v>
      </c>
      <c r="CW94" s="19" t="n">
        <f aca="false">IF(Time!CW35=1,CW77,CW93-Waterfall!CW22-Waterfall!CW38)</f>
        <v>0</v>
      </c>
      <c r="CX94" s="19" t="n">
        <f aca="false">IF(Time!CX35=1,CX77,CX93-Waterfall!CX22-Waterfall!CX38)</f>
        <v>0</v>
      </c>
      <c r="CY94" s="19" t="n">
        <f aca="false">IF(Time!CY35=1,CY77,CY93-Waterfall!CY22-Waterfall!CY38)</f>
        <v>0</v>
      </c>
      <c r="CZ94" s="19" t="n">
        <f aca="false">IF(Time!CZ35=1,CZ77,CZ93-Waterfall!CZ22-Waterfall!CZ38)</f>
        <v>0</v>
      </c>
      <c r="DA94" s="19" t="n">
        <f aca="false">IF(Time!DA35=1,DA77,DA93-Waterfall!DA22-Waterfall!DA38)</f>
        <v>0</v>
      </c>
      <c r="DB94" s="19" t="n">
        <f aca="false">IF(Time!DB35=1,DB77,DB93-Waterfall!DB22-Waterfall!DB38)</f>
        <v>0</v>
      </c>
    </row>
    <row r="95" customFormat="false" ht="15" hidden="false" customHeight="false" outlineLevel="0" collapsed="false">
      <c r="D95" s="3" t="s">
        <v>151</v>
      </c>
    </row>
    <row r="96" customFormat="false" ht="15" hidden="false" customHeight="false" outlineLevel="0" collapsed="false">
      <c r="D96" s="0" t="s">
        <v>509</v>
      </c>
      <c r="E96" s="0" t="s">
        <v>44</v>
      </c>
      <c r="J96" s="19" t="n">
        <f aca="false">I102</f>
        <v>0</v>
      </c>
      <c r="K96" s="19" t="n">
        <f aca="false">J102</f>
        <v>0</v>
      </c>
      <c r="L96" s="19" t="n">
        <f aca="false">K102</f>
        <v>0</v>
      </c>
      <c r="M96" s="19" t="n">
        <f aca="false">L102</f>
        <v>0</v>
      </c>
      <c r="N96" s="19" t="n">
        <f aca="false">M102</f>
        <v>0</v>
      </c>
      <c r="O96" s="19" t="n">
        <f aca="false">N102</f>
        <v>5.99352374951783</v>
      </c>
      <c r="P96" s="19" t="n">
        <f aca="false">O102</f>
        <v>63.0521895651963</v>
      </c>
      <c r="Q96" s="19" t="n">
        <f aca="false">P102</f>
        <v>128.657652028288</v>
      </c>
      <c r="R96" s="19" t="n">
        <f aca="false">Q102</f>
        <v>199.170745146654</v>
      </c>
      <c r="S96" s="19" t="n">
        <f aca="false">R102</f>
        <v>271.494997689277</v>
      </c>
      <c r="T96" s="19" t="n">
        <f aca="false">S102</f>
        <v>339.845289289782</v>
      </c>
      <c r="U96" s="19" t="n">
        <f aca="false">T102</f>
        <v>375.786131957668</v>
      </c>
      <c r="V96" s="19" t="n">
        <f aca="false">U102</f>
        <v>406.074455898701</v>
      </c>
      <c r="W96" s="19" t="n">
        <f aca="false">V102</f>
        <v>429.78055195106</v>
      </c>
      <c r="X96" s="19" t="n">
        <f aca="false">W102</f>
        <v>446.716977705633</v>
      </c>
      <c r="Y96" s="19" t="n">
        <f aca="false">X102</f>
        <v>457.732251059902</v>
      </c>
      <c r="Z96" s="19" t="n">
        <f aca="false">Y102</f>
        <v>488.019623241886</v>
      </c>
      <c r="AA96" s="19" t="n">
        <f aca="false">Z102</f>
        <v>491.742745003199</v>
      </c>
      <c r="AB96" s="19" t="n">
        <f aca="false">AA102</f>
        <v>499.328247335983</v>
      </c>
      <c r="AC96" s="19" t="n">
        <f aca="false">AB102</f>
        <v>506.947038774513</v>
      </c>
      <c r="AD96" s="19" t="n">
        <f aca="false">AC102</f>
        <v>514.767078794009</v>
      </c>
      <c r="AE96" s="19" t="n">
        <f aca="false">AD102</f>
        <v>522.578281376498</v>
      </c>
      <c r="AF96" s="19" t="n">
        <f aca="false">AE102</f>
        <v>530.639445090093</v>
      </c>
      <c r="AG96" s="19" t="n">
        <f aca="false">AF102</f>
        <v>538.691498872493</v>
      </c>
      <c r="AH96" s="19" t="n">
        <f aca="false">AG102</f>
        <v>547.00122110606</v>
      </c>
      <c r="AI96" s="19" t="n">
        <f aca="false">AH102</f>
        <v>555.301552512136</v>
      </c>
      <c r="AJ96" s="19" t="n">
        <f aca="false">AI102</f>
        <v>563.867497337518</v>
      </c>
      <c r="AK96" s="19" t="n">
        <f aca="false">AJ102</f>
        <v>567.006315607487</v>
      </c>
      <c r="AL96" s="19" t="n">
        <f aca="false">AK102</f>
        <v>567.006315607487</v>
      </c>
      <c r="AM96" s="19" t="n">
        <f aca="false">AL102</f>
        <v>567.006315607487</v>
      </c>
      <c r="AN96" s="19" t="n">
        <f aca="false">AM102</f>
        <v>567.006315607487</v>
      </c>
      <c r="AO96" s="19" t="n">
        <f aca="false">AN102</f>
        <v>567.006315607487</v>
      </c>
      <c r="AP96" s="19" t="n">
        <f aca="false">AO102</f>
        <v>567.006315607487</v>
      </c>
      <c r="AQ96" s="19" t="n">
        <f aca="false">AP102</f>
        <v>566.798594047452</v>
      </c>
      <c r="AR96" s="19" t="n">
        <f aca="false">AQ102</f>
        <v>566.798594047452</v>
      </c>
      <c r="AS96" s="19" t="n">
        <f aca="false">AR102</f>
        <v>566.798594047452</v>
      </c>
      <c r="AT96" s="19" t="n">
        <f aca="false">AS102</f>
        <v>566.798594047452</v>
      </c>
      <c r="AU96" s="19" t="n">
        <f aca="false">AT102</f>
        <v>566.798594047452</v>
      </c>
      <c r="AV96" s="19" t="n">
        <f aca="false">AU102</f>
        <v>566.418416053113</v>
      </c>
      <c r="AW96" s="19" t="n">
        <f aca="false">AV102</f>
        <v>565.605432430974</v>
      </c>
      <c r="AX96" s="19" t="n">
        <f aca="false">AW102</f>
        <v>564.107379511535</v>
      </c>
      <c r="AY96" s="19" t="n">
        <f aca="false">AX102</f>
        <v>562.403339050374</v>
      </c>
      <c r="AZ96" s="19" t="n">
        <f aca="false">AY102</f>
        <v>560.886790862375</v>
      </c>
      <c r="BA96" s="19" t="n">
        <f aca="false">AZ102</f>
        <v>559.142582864815</v>
      </c>
      <c r="BB96" s="19" t="n">
        <f aca="false">BA102</f>
        <v>556.981983509674</v>
      </c>
      <c r="BC96" s="19" t="n">
        <f aca="false">BB102</f>
        <v>554.60274937559</v>
      </c>
      <c r="BD96" s="19" t="n">
        <f aca="false">BC102</f>
        <v>550.477140469914</v>
      </c>
      <c r="BE96" s="19" t="n">
        <f aca="false">BD102</f>
        <v>546.10176981697</v>
      </c>
      <c r="BF96" s="19" t="n">
        <f aca="false">BE102</f>
        <v>540.588523793454</v>
      </c>
      <c r="BG96" s="19" t="n">
        <f aca="false">BF102</f>
        <v>534.804042784307</v>
      </c>
      <c r="BH96" s="19" t="n">
        <f aca="false">BG102</f>
        <v>528.432704031964</v>
      </c>
      <c r="BI96" s="19" t="n">
        <f aca="false">BH102</f>
        <v>521.740895325469</v>
      </c>
      <c r="BJ96" s="19" t="n">
        <f aca="false">BI102</f>
        <v>514.450238538766</v>
      </c>
      <c r="BK96" s="19" t="n">
        <f aca="false">BJ102</f>
        <v>506.862539575166</v>
      </c>
      <c r="BL96" s="19" t="n">
        <f aca="false">BK102</f>
        <v>498.588784832797</v>
      </c>
      <c r="BM96" s="19" t="n">
        <f aca="false">BL102</f>
        <v>490.003945930929</v>
      </c>
      <c r="BN96" s="19" t="n">
        <f aca="false">BM102</f>
        <v>480.685519055345</v>
      </c>
      <c r="BO96" s="19" t="n">
        <f aca="false">BN102</f>
        <v>471.041890028193</v>
      </c>
      <c r="BP96" s="19" t="n">
        <f aca="false">BO102</f>
        <v>463.459145408662</v>
      </c>
      <c r="BQ96" s="19" t="n">
        <f aca="false">BP102</f>
        <v>455.519839559294</v>
      </c>
      <c r="BR96" s="19" t="n">
        <f aca="false">BQ102</f>
        <v>446.835276414517</v>
      </c>
      <c r="BS96" s="19" t="n">
        <f aca="false">BR102</f>
        <v>438.033624130642</v>
      </c>
      <c r="BT96" s="19" t="n">
        <f aca="false">BS102</f>
        <v>428.395263457129</v>
      </c>
      <c r="BU96" s="19" t="n">
        <f aca="false">BT102</f>
        <v>418.634124295016</v>
      </c>
      <c r="BV96" s="19" t="n">
        <f aca="false">BU102</f>
        <v>405.136513186858</v>
      </c>
      <c r="BW96" s="19" t="n">
        <f aca="false">BV102</f>
        <v>391.467005648731</v>
      </c>
      <c r="BX96" s="19" t="n">
        <f aca="false">BW102</f>
        <v>376.815244731851</v>
      </c>
      <c r="BY96" s="19" t="n">
        <f aca="false">BX102</f>
        <v>361.903699026623</v>
      </c>
      <c r="BZ96" s="19" t="n">
        <f aca="false">BY102</f>
        <v>346.034466337606</v>
      </c>
      <c r="CA96" s="19" t="n">
        <f aca="false">BZ102</f>
        <v>329.981297752244</v>
      </c>
      <c r="CB96" s="19" t="n">
        <f aca="false">CA102</f>
        <v>314.671749049842</v>
      </c>
      <c r="CC96" s="19" t="n">
        <f aca="false">CB102</f>
        <v>299.19991042069</v>
      </c>
      <c r="CD96" s="19" t="n">
        <f aca="false">CC102</f>
        <v>282.599632203175</v>
      </c>
      <c r="CE96" s="19" t="n">
        <f aca="false">CD102</f>
        <v>265.830539969724</v>
      </c>
      <c r="CF96" s="19" t="n">
        <f aca="false">CE102</f>
        <v>248.762541265319</v>
      </c>
      <c r="CG96" s="19" t="n">
        <f aca="false">CF102</f>
        <v>233.961535673628</v>
      </c>
      <c r="CH96" s="19" t="n">
        <f aca="false">CG102</f>
        <v>217.756328348046</v>
      </c>
      <c r="CI96" s="19" t="n">
        <f aca="false">CH102</f>
        <v>195.117575470704</v>
      </c>
      <c r="CJ96" s="19" t="n">
        <f aca="false">CI102</f>
        <v>170.985655098607</v>
      </c>
      <c r="CK96" s="19" t="n">
        <f aca="false">CJ102</f>
        <v>146.737065768419</v>
      </c>
      <c r="CL96" s="19" t="n">
        <f aca="false">CK102</f>
        <v>116.926169331835</v>
      </c>
      <c r="CM96" s="19" t="n">
        <f aca="false">CL102</f>
        <v>89.5063520129565</v>
      </c>
      <c r="CN96" s="19" t="n">
        <f aca="false">CM102</f>
        <v>60.4130367311756</v>
      </c>
      <c r="CO96" s="19" t="n">
        <f aca="false">CN102</f>
        <v>30.9971423574339</v>
      </c>
      <c r="CP96" s="19" t="n">
        <f aca="false">CO102</f>
        <v>0</v>
      </c>
      <c r="CQ96" s="19" t="n">
        <f aca="false">CP102</f>
        <v>0</v>
      </c>
      <c r="CR96" s="19" t="n">
        <f aca="false">CQ102</f>
        <v>0</v>
      </c>
      <c r="CS96" s="19" t="n">
        <f aca="false">CR102</f>
        <v>0</v>
      </c>
      <c r="CT96" s="19" t="n">
        <f aca="false">CS102</f>
        <v>0</v>
      </c>
      <c r="CU96" s="19" t="n">
        <f aca="false">CT102</f>
        <v>0</v>
      </c>
      <c r="CV96" s="19" t="n">
        <f aca="false">CU102</f>
        <v>0</v>
      </c>
      <c r="CW96" s="19" t="n">
        <f aca="false">CV102</f>
        <v>0</v>
      </c>
      <c r="CX96" s="19" t="n">
        <f aca="false">CW102</f>
        <v>0</v>
      </c>
      <c r="CY96" s="19" t="n">
        <f aca="false">CX102</f>
        <v>0</v>
      </c>
      <c r="CZ96" s="19" t="n">
        <f aca="false">CY102</f>
        <v>0</v>
      </c>
      <c r="DA96" s="19" t="n">
        <f aca="false">CZ102</f>
        <v>0</v>
      </c>
      <c r="DB96" s="19" t="n">
        <f aca="false">DA102</f>
        <v>0</v>
      </c>
    </row>
    <row r="97" customFormat="false" ht="15" hidden="false" customHeight="false" outlineLevel="0" collapsed="false">
      <c r="D97" s="0" t="s">
        <v>555</v>
      </c>
      <c r="E97" s="0" t="s">
        <v>44</v>
      </c>
      <c r="G97" s="19" t="n">
        <f aca="false">SUM(J97:DB97)</f>
        <v>482.627361156614</v>
      </c>
      <c r="J97" s="19" t="n">
        <f aca="false">J96*Time!J50*Time!J9/Inputs!$F$45</f>
        <v>0</v>
      </c>
      <c r="K97" s="19" t="n">
        <f aca="false">K96*Time!K50*Time!K9/Inputs!$F$45</f>
        <v>0</v>
      </c>
      <c r="L97" s="19" t="n">
        <f aca="false">L96*Time!L50*Time!L9/Inputs!$F$45</f>
        <v>0</v>
      </c>
      <c r="M97" s="19" t="n">
        <f aca="false">M96*Time!M50*Time!M9/Inputs!$F$45</f>
        <v>0</v>
      </c>
      <c r="N97" s="19" t="n">
        <f aca="false">N96*Time!N50*Time!N9/Inputs!$F$45</f>
        <v>0</v>
      </c>
      <c r="O97" s="19" t="n">
        <f aca="false">O96*Time!O50*Time!O9/Inputs!$F$45</f>
        <v>0.0462273097524455</v>
      </c>
      <c r="P97" s="19" t="n">
        <f aca="false">P96*Time!P50*Time!P9/Inputs!$F$45</f>
        <v>0.486313764558742</v>
      </c>
      <c r="Q97" s="19" t="n">
        <f aca="false">Q96*Time!Q50*Time!Q9/Inputs!$F$45</f>
        <v>0.970748421057274</v>
      </c>
      <c r="R97" s="19" t="n">
        <f aca="false">R96*Time!R50*Time!R9/Inputs!$F$45</f>
        <v>1.51948179982294</v>
      </c>
      <c r="S97" s="19" t="n">
        <f aca="false">S96*Time!S50*Time!S9/Inputs!$F$45</f>
        <v>2.09400744519137</v>
      </c>
      <c r="T97" s="19" t="n">
        <f aca="false">T96*Time!T50*Time!T9/Inputs!$F$45</f>
        <v>2.6211848175578</v>
      </c>
      <c r="U97" s="19" t="n">
        <f aca="false">U96*Time!U50*Time!U9/Inputs!$F$45</f>
        <v>2.83538358194909</v>
      </c>
      <c r="V97" s="19" t="n">
        <f aca="false">V96*Time!V50*Time!V9/Inputs!$F$45</f>
        <v>3.09795871204253</v>
      </c>
      <c r="W97" s="19" t="n">
        <f aca="false">W96*Time!W50*Time!W9/Inputs!$F$45</f>
        <v>3.31484441055514</v>
      </c>
      <c r="X97" s="19" t="n">
        <f aca="false">X96*Time!X50*Time!X9/Inputs!$F$45</f>
        <v>3.44547297434766</v>
      </c>
      <c r="Y97" s="19" t="n">
        <f aca="false">Y96*Time!Y50*Time!Y9/Inputs!$F$45</f>
        <v>3.4536838888191</v>
      </c>
      <c r="Z97" s="19" t="n">
        <f aca="false">Z96*Time!Z50*Time!Z9/Inputs!$F$45</f>
        <v>3.7231217613133</v>
      </c>
      <c r="AA97" s="19" t="n">
        <f aca="false">AA96*Time!AA50*Time!AA9/Inputs!$F$45</f>
        <v>7.58550233278359</v>
      </c>
      <c r="AB97" s="19" t="n">
        <f aca="false">AB96*Time!AB50*Time!AB9/Inputs!$F$45</f>
        <v>7.61879143853029</v>
      </c>
      <c r="AC97" s="19" t="n">
        <f aca="false">AC96*Time!AC50*Time!AC9/Inputs!$F$45</f>
        <v>7.82004001949594</v>
      </c>
      <c r="AD97" s="19" t="n">
        <f aca="false">AD96*Time!AD50*Time!AD9/Inputs!$F$45</f>
        <v>7.81120258248904</v>
      </c>
      <c r="AE97" s="19" t="n">
        <f aca="false">AE96*Time!AE50*Time!AE9/Inputs!$F$45</f>
        <v>8.06116371359516</v>
      </c>
      <c r="AF97" s="19" t="n">
        <f aca="false">AF96*Time!AF50*Time!AF9/Inputs!$F$45</f>
        <v>8.05205378239997</v>
      </c>
      <c r="AG97" s="19" t="n">
        <f aca="false">AG96*Time!AG50*Time!AG9/Inputs!$F$45</f>
        <v>8.30972223356626</v>
      </c>
      <c r="AH97" s="19" t="n">
        <f aca="false">AH96*Time!AH50*Time!AH9/Inputs!$F$45</f>
        <v>8.30033140607677</v>
      </c>
      <c r="AI97" s="19" t="n">
        <f aca="false">AI96*Time!AI50*Time!AI9/Inputs!$F$45</f>
        <v>8.56594482538173</v>
      </c>
      <c r="AJ97" s="19" t="n">
        <f aca="false">AJ96*Time!AJ50*Time!AJ9/Inputs!$F$45</f>
        <v>8.6035366196496</v>
      </c>
      <c r="AK97" s="19" t="n">
        <f aca="false">AK96*Time!AK50*Time!AK9/Inputs!$F$45</f>
        <v>8.74649961478464</v>
      </c>
      <c r="AL97" s="19" t="n">
        <f aca="false">AL96*Time!AL50*Time!AL9/Inputs!$F$45</f>
        <v>8.60389364280446</v>
      </c>
      <c r="AM97" s="19" t="n">
        <f aca="false">AM96*Time!AM50*Time!AM9/Inputs!$F$45</f>
        <v>8.74649961478464</v>
      </c>
      <c r="AN97" s="19" t="n">
        <f aca="false">AN96*Time!AN50*Time!AN9/Inputs!$F$45</f>
        <v>8.60389364280446</v>
      </c>
      <c r="AO97" s="19" t="n">
        <f aca="false">AO96*Time!AO50*Time!AO9/Inputs!$F$45</f>
        <v>8.74649961478464</v>
      </c>
      <c r="AP97" s="19" t="n">
        <f aca="false">AP96*Time!AP50*Time!AP9/Inputs!$F$45</f>
        <v>8.60389364280446</v>
      </c>
      <c r="AQ97" s="19" t="n">
        <f aca="false">AQ96*Time!AQ50*Time!AQ9/Inputs!$F$45</f>
        <v>8.74329535321856</v>
      </c>
      <c r="AR97" s="19" t="n">
        <f aca="false">AR96*Time!AR50*Time!AR9/Inputs!$F$45</f>
        <v>8.64825953416183</v>
      </c>
      <c r="AS97" s="19" t="n">
        <f aca="false">AS96*Time!AS50*Time!AS9/Inputs!$F$45</f>
        <v>8.74329535321856</v>
      </c>
      <c r="AT97" s="19" t="n">
        <f aca="false">AT96*Time!AT50*Time!AT9/Inputs!$F$45</f>
        <v>8.60074162463347</v>
      </c>
      <c r="AU97" s="19" t="n">
        <f aca="false">AU96*Time!AU50*Time!AU9/Inputs!$F$45</f>
        <v>8.74329535321856</v>
      </c>
      <c r="AV97" s="19" t="n">
        <f aca="false">AV96*Time!AV50*Time!AV9/Inputs!$F$45</f>
        <v>8.59497271000485</v>
      </c>
      <c r="AW97" s="19" t="n">
        <f aca="false">AW96*Time!AW50*Time!AW9/Inputs!$F$45</f>
        <v>8.724889936327</v>
      </c>
      <c r="AX97" s="19" t="n">
        <f aca="false">AX96*Time!AX50*Time!AX9/Inputs!$F$45</f>
        <v>8.55990447167832</v>
      </c>
      <c r="AY97" s="19" t="n">
        <f aca="false">AY96*Time!AY50*Time!AY9/Inputs!$F$45</f>
        <v>8.67549523339514</v>
      </c>
      <c r="AZ97" s="19" t="n">
        <f aca="false">AZ96*Time!AZ50*Time!AZ9/Inputs!$F$45</f>
        <v>8.5580567552623</v>
      </c>
      <c r="BA97" s="19" t="n">
        <f aca="false">BA96*Time!BA50*Time!BA9/Inputs!$F$45</f>
        <v>8.62519561249878</v>
      </c>
      <c r="BB97" s="19" t="n">
        <f aca="false">BB96*Time!BB50*Time!BB9/Inputs!$F$45</f>
        <v>8.45178195579913</v>
      </c>
      <c r="BC97" s="19" t="n">
        <f aca="false">BC96*Time!BC50*Time!BC9/Inputs!$F$45</f>
        <v>8.555165260505</v>
      </c>
      <c r="BD97" s="19" t="n">
        <f aca="false">BD96*Time!BD50*Time!BD9/Inputs!$F$45</f>
        <v>8.35307586357991</v>
      </c>
      <c r="BE97" s="19" t="n">
        <f aca="false">BE96*Time!BE50*Time!BE9/Inputs!$F$45</f>
        <v>8.42403124596566</v>
      </c>
      <c r="BF97" s="19" t="n">
        <f aca="false">BF96*Time!BF50*Time!BF9/Inputs!$F$45</f>
        <v>8.20302355584226</v>
      </c>
      <c r="BG97" s="19" t="n">
        <f aca="false">BG96*Time!BG50*Time!BG9/Inputs!$F$45</f>
        <v>8.24975529450072</v>
      </c>
      <c r="BH97" s="19" t="n">
        <f aca="false">BH96*Time!BH50*Time!BH9/Inputs!$F$45</f>
        <v>8.0628696309447</v>
      </c>
      <c r="BI97" s="19" t="n">
        <f aca="false">BI96*Time!BI50*Time!BI9/Inputs!$F$45</f>
        <v>8.04824640285074</v>
      </c>
      <c r="BJ97" s="19" t="n">
        <f aca="false">BJ96*Time!BJ50*Time!BJ9/Inputs!$F$45</f>
        <v>7.80639477033098</v>
      </c>
      <c r="BK97" s="19" t="n">
        <f aca="false">BK96*Time!BK50*Time!BK9/Inputs!$F$45</f>
        <v>7.81873655568223</v>
      </c>
      <c r="BL97" s="19" t="n">
        <f aca="false">BL96*Time!BL50*Time!BL9/Inputs!$F$45</f>
        <v>7.56570916075323</v>
      </c>
      <c r="BM97" s="19" t="n">
        <f aca="false">BM96*Time!BM50*Time!BM9/Inputs!$F$45</f>
        <v>7.55868004703973</v>
      </c>
      <c r="BN97" s="19" t="n">
        <f aca="false">BN96*Time!BN50*Time!BN9/Inputs!$F$45</f>
        <v>7.29404059134228</v>
      </c>
      <c r="BO97" s="19" t="n">
        <f aca="false">BO96*Time!BO50*Time!BO9/Inputs!$F$45</f>
        <v>7.26617604825955</v>
      </c>
      <c r="BP97" s="19" t="n">
        <f aca="false">BP96*Time!BP50*Time!BP9/Inputs!$F$45</f>
        <v>7.07149773317786</v>
      </c>
      <c r="BQ97" s="19" t="n">
        <f aca="false">BQ96*Time!BQ50*Time!BQ9/Inputs!$F$45</f>
        <v>7.02673672508123</v>
      </c>
      <c r="BR97" s="19" t="n">
        <f aca="false">BR96*Time!BR50*Time!BR9/Inputs!$F$45</f>
        <v>6.78038866287518</v>
      </c>
      <c r="BS97" s="19" t="n">
        <f aca="false">BS96*Time!BS50*Time!BS9/Inputs!$F$45</f>
        <v>6.75699867754839</v>
      </c>
      <c r="BT97" s="19" t="n">
        <f aca="false">BT96*Time!BT50*Time!BT9/Inputs!$F$45</f>
        <v>6.50057535940727</v>
      </c>
      <c r="BU97" s="19" t="n">
        <f aca="false">BU96*Time!BU50*Time!BU9/Inputs!$F$45</f>
        <v>6.45774677652234</v>
      </c>
      <c r="BV97" s="19" t="n">
        <f aca="false">BV96*Time!BV50*Time!BV9/Inputs!$F$45</f>
        <v>6.14764134777187</v>
      </c>
      <c r="BW97" s="19" t="n">
        <f aca="false">BW96*Time!BW50*Time!BW9/Inputs!$F$45</f>
        <v>6.03867350302635</v>
      </c>
      <c r="BX97" s="19" t="n">
        <f aca="false">BX96*Time!BX50*Time!BX9/Inputs!$F$45</f>
        <v>5.74947797523458</v>
      </c>
      <c r="BY97" s="19" t="n">
        <f aca="false">BY96*Time!BY50*Time!BY9/Inputs!$F$45</f>
        <v>5.58263722465616</v>
      </c>
      <c r="BZ97" s="19" t="n">
        <f aca="false">BZ96*Time!BZ50*Time!BZ9/Inputs!$F$45</f>
        <v>5.25081231577388</v>
      </c>
      <c r="CA97" s="19" t="n">
        <f aca="false">CA96*Time!CA50*Time!CA9/Inputs!$F$45</f>
        <v>5.09021013387461</v>
      </c>
      <c r="CB97" s="19" t="n">
        <f aca="false">CB96*Time!CB50*Time!CB9/Inputs!$F$45</f>
        <v>4.77490671037659</v>
      </c>
      <c r="CC97" s="19" t="n">
        <f aca="false">CC96*Time!CC50*Time!CC9/Inputs!$F$45</f>
        <v>4.61538404282919</v>
      </c>
      <c r="CD97" s="19" t="n">
        <f aca="false">CD96*Time!CD50*Time!CD9/Inputs!$F$45</f>
        <v>4.28823650115206</v>
      </c>
      <c r="CE97" s="19" t="n">
        <f aca="false">CE96*Time!CE50*Time!CE9/Inputs!$F$45</f>
        <v>4.10063636231654</v>
      </c>
      <c r="CF97" s="19" t="n">
        <f aca="false">CF96*Time!CF50*Time!CF9/Inputs!$F$45</f>
        <v>3.7956393008625</v>
      </c>
      <c r="CG97" s="19" t="n">
        <f aca="false">CG96*Time!CG50*Time!CG9/Inputs!$F$45</f>
        <v>3.60903296015561</v>
      </c>
      <c r="CH97" s="19" t="n">
        <f aca="false">CH96*Time!CH50*Time!CH9/Inputs!$F$45</f>
        <v>3.30428821969449</v>
      </c>
      <c r="CI97" s="19" t="n">
        <f aca="false">CI96*Time!CI50*Time!CI9/Inputs!$F$45</f>
        <v>3.00983560802809</v>
      </c>
      <c r="CJ97" s="19" t="n">
        <f aca="false">CJ96*Time!CJ50*Time!CJ9/Inputs!$F$45</f>
        <v>2.59457849131272</v>
      </c>
      <c r="CK97" s="19" t="n">
        <f aca="false">CK96*Time!CK50*Time!CK9/Inputs!$F$45</f>
        <v>2.26352979480138</v>
      </c>
      <c r="CL97" s="19" t="n">
        <f aca="false">CL96*Time!CL50*Time!CL9/Inputs!$F$45</f>
        <v>1.7742665245515</v>
      </c>
      <c r="CM97" s="19" t="n">
        <f aca="false">CM96*Time!CM50*Time!CM9/Inputs!$F$45</f>
        <v>1.38070291609247</v>
      </c>
      <c r="CN97" s="19" t="n">
        <f aca="false">CN96*Time!CN50*Time!CN9/Inputs!$F$45</f>
        <v>0.921787079899351</v>
      </c>
      <c r="CO97" s="19" t="n">
        <f aca="false">CO96*Time!CO50*Time!CO9/Inputs!$F$45</f>
        <v>0.478154274874783</v>
      </c>
      <c r="CP97" s="19" t="n">
        <f aca="false">CP96*Time!CP50*Time!CP9/Inputs!$F$45</f>
        <v>0</v>
      </c>
      <c r="CQ97" s="19" t="n">
        <f aca="false">CQ96*Time!CQ50*Time!CQ9/Inputs!$F$45</f>
        <v>0</v>
      </c>
      <c r="CR97" s="19" t="n">
        <f aca="false">CR96*Time!CR50*Time!CR9/Inputs!$F$45</f>
        <v>0</v>
      </c>
      <c r="CS97" s="19" t="n">
        <f aca="false">CS96*Time!CS50*Time!CS9/Inputs!$F$45</f>
        <v>0</v>
      </c>
      <c r="CT97" s="19" t="n">
        <f aca="false">CT96*Time!CT50*Time!CT9/Inputs!$F$45</f>
        <v>0</v>
      </c>
      <c r="CU97" s="19" t="n">
        <f aca="false">CU96*Time!CU50*Time!CU9/Inputs!$F$45</f>
        <v>0</v>
      </c>
      <c r="CV97" s="19" t="n">
        <f aca="false">CV96*Time!CV50*Time!CV9/Inputs!$F$45</f>
        <v>0</v>
      </c>
      <c r="CW97" s="19" t="n">
        <f aca="false">CW96*Time!CW50*Time!CW9/Inputs!$F$45</f>
        <v>0</v>
      </c>
      <c r="CX97" s="19" t="n">
        <f aca="false">CX96*Time!CX50*Time!CX9/Inputs!$F$45</f>
        <v>0</v>
      </c>
      <c r="CY97" s="19" t="n">
        <f aca="false">CY96*Time!CY50*Time!CY9/Inputs!$F$45</f>
        <v>0</v>
      </c>
      <c r="CZ97" s="19" t="n">
        <f aca="false">CZ96*Time!CZ50*Time!CZ9/Inputs!$F$45</f>
        <v>0</v>
      </c>
      <c r="DA97" s="19" t="n">
        <f aca="false">DA96*Time!DA50*Time!DA9/Inputs!$F$45</f>
        <v>0</v>
      </c>
      <c r="DB97" s="19" t="n">
        <f aca="false">DB96*Time!DB50*Time!DB9/Inputs!$F$45</f>
        <v>0</v>
      </c>
    </row>
    <row r="98" customFormat="false" ht="15" hidden="false" customHeight="false" outlineLevel="0" collapsed="false">
      <c r="D98" s="0" t="s">
        <v>556</v>
      </c>
      <c r="E98" s="0" t="s">
        <v>44</v>
      </c>
      <c r="G98" s="19" t="n">
        <f aca="false">SUM(J98:DB98)</f>
        <v>378.592411625503</v>
      </c>
      <c r="J98" s="19" t="n">
        <f aca="false">J97*Time!J51*(1-Time!J20)</f>
        <v>0</v>
      </c>
      <c r="K98" s="19" t="n">
        <f aca="false">K97*Time!K51*(1-Time!K20)</f>
        <v>0</v>
      </c>
      <c r="L98" s="19" t="n">
        <f aca="false">L97*Time!L51*(1-Time!L20)</f>
        <v>0</v>
      </c>
      <c r="M98" s="19" t="n">
        <f aca="false">M97*Time!M51*(1-Time!M20)</f>
        <v>0</v>
      </c>
      <c r="N98" s="19" t="n">
        <f aca="false">N97*Time!N51*(1-Time!N20)</f>
        <v>0</v>
      </c>
      <c r="O98" s="19" t="n">
        <f aca="false">O97*Time!O51*(1-Time!O20)</f>
        <v>0</v>
      </c>
      <c r="P98" s="19" t="n">
        <f aca="false">P97*Time!P51*(1-Time!P20)</f>
        <v>0</v>
      </c>
      <c r="Q98" s="19" t="n">
        <f aca="false">Q97*Time!Q51*(1-Time!Q20)</f>
        <v>0</v>
      </c>
      <c r="R98" s="19" t="n">
        <f aca="false">R97*Time!R51*(1-Time!R20)</f>
        <v>0</v>
      </c>
      <c r="S98" s="19" t="n">
        <f aca="false">S97*Time!S51*(1-Time!S20)</f>
        <v>0</v>
      </c>
      <c r="T98" s="19" t="n">
        <f aca="false">T97*Time!T51*(1-Time!T20)</f>
        <v>0</v>
      </c>
      <c r="U98" s="19" t="n">
        <f aca="false">U97*Time!U51*(1-Time!U20)</f>
        <v>0</v>
      </c>
      <c r="V98" s="19" t="n">
        <f aca="false">V97*Time!V51*(1-Time!V20)</f>
        <v>0</v>
      </c>
      <c r="W98" s="19" t="n">
        <f aca="false">W97*Time!W51*(1-Time!W20)</f>
        <v>0</v>
      </c>
      <c r="X98" s="19" t="n">
        <f aca="false">X97*Time!X51*(1-Time!X20)</f>
        <v>0</v>
      </c>
      <c r="Y98" s="19" t="n">
        <f aca="false">Y97*Time!Y51*(1-Time!Y20)</f>
        <v>0</v>
      </c>
      <c r="Z98" s="19" t="n">
        <f aca="false">Z97*Time!Z51*(1-Time!Z20)</f>
        <v>0</v>
      </c>
      <c r="AA98" s="19" t="n">
        <f aca="false">AA97*Time!AA51*(1-Time!AA20)</f>
        <v>0</v>
      </c>
      <c r="AB98" s="19" t="n">
        <f aca="false">AB97*Time!AB51*(1-Time!AB20)</f>
        <v>0</v>
      </c>
      <c r="AC98" s="19" t="n">
        <f aca="false">AC97*Time!AC51*(1-Time!AC20)</f>
        <v>0</v>
      </c>
      <c r="AD98" s="19" t="n">
        <f aca="false">AD97*Time!AD51*(1-Time!AD20)</f>
        <v>0</v>
      </c>
      <c r="AE98" s="19" t="n">
        <f aca="false">AE97*Time!AE51*(1-Time!AE20)</f>
        <v>0</v>
      </c>
      <c r="AF98" s="19" t="n">
        <f aca="false">AF97*Time!AF51*(1-Time!AF20)</f>
        <v>0</v>
      </c>
      <c r="AG98" s="19" t="n">
        <f aca="false">AG97*Time!AG51*(1-Time!AG20)</f>
        <v>0</v>
      </c>
      <c r="AH98" s="19" t="n">
        <f aca="false">AH97*Time!AH51*(1-Time!AH20)</f>
        <v>0</v>
      </c>
      <c r="AI98" s="19" t="n">
        <f aca="false">AI97*Time!AI51*(1-Time!AI20)</f>
        <v>0</v>
      </c>
      <c r="AJ98" s="19" t="n">
        <f aca="false">AJ97*Time!AJ51*(1-Time!AJ20)</f>
        <v>4.3017683098248</v>
      </c>
      <c r="AK98" s="19" t="n">
        <f aca="false">AK97*Time!AK51*(1-Time!AK20)</f>
        <v>8.74649961478464</v>
      </c>
      <c r="AL98" s="19" t="n">
        <f aca="false">AL97*Time!AL51*(1-Time!AL20)</f>
        <v>8.60389364280446</v>
      </c>
      <c r="AM98" s="19" t="n">
        <f aca="false">AM97*Time!AM51*(1-Time!AM20)</f>
        <v>8.74649961478464</v>
      </c>
      <c r="AN98" s="19" t="n">
        <f aca="false">AN97*Time!AN51*(1-Time!AN20)</f>
        <v>8.60389364280446</v>
      </c>
      <c r="AO98" s="19" t="n">
        <f aca="false">AO97*Time!AO51*(1-Time!AO20)</f>
        <v>8.74649961478464</v>
      </c>
      <c r="AP98" s="19" t="n">
        <f aca="false">AP97*Time!AP51*(1-Time!AP20)</f>
        <v>8.60389364280446</v>
      </c>
      <c r="AQ98" s="19" t="n">
        <f aca="false">AQ97*Time!AQ51*(1-Time!AQ20)</f>
        <v>8.74329535321856</v>
      </c>
      <c r="AR98" s="19" t="n">
        <f aca="false">AR97*Time!AR51*(1-Time!AR20)</f>
        <v>8.64825953416183</v>
      </c>
      <c r="AS98" s="19" t="n">
        <f aca="false">AS97*Time!AS51*(1-Time!AS20)</f>
        <v>8.74329535321856</v>
      </c>
      <c r="AT98" s="19" t="n">
        <f aca="false">AT97*Time!AT51*(1-Time!AT20)</f>
        <v>8.60074162463347</v>
      </c>
      <c r="AU98" s="19" t="n">
        <f aca="false">AU97*Time!AU51*(1-Time!AU20)</f>
        <v>8.74329535321856</v>
      </c>
      <c r="AV98" s="19" t="n">
        <f aca="false">AV97*Time!AV51*(1-Time!AV20)</f>
        <v>8.59497271000485</v>
      </c>
      <c r="AW98" s="19" t="n">
        <f aca="false">AW97*Time!AW51*(1-Time!AW20)</f>
        <v>8.724889936327</v>
      </c>
      <c r="AX98" s="19" t="n">
        <f aca="false">AX97*Time!AX51*(1-Time!AX20)</f>
        <v>8.55990447167832</v>
      </c>
      <c r="AY98" s="19" t="n">
        <f aca="false">AY97*Time!AY51*(1-Time!AY20)</f>
        <v>8.67549523339514</v>
      </c>
      <c r="AZ98" s="19" t="n">
        <f aca="false">AZ97*Time!AZ51*(1-Time!AZ20)</f>
        <v>8.5580567552623</v>
      </c>
      <c r="BA98" s="19" t="n">
        <f aca="false">BA97*Time!BA51*(1-Time!BA20)</f>
        <v>8.62519561249878</v>
      </c>
      <c r="BB98" s="19" t="n">
        <f aca="false">BB97*Time!BB51*(1-Time!BB20)</f>
        <v>8.45178195579913</v>
      </c>
      <c r="BC98" s="19" t="n">
        <f aca="false">BC97*Time!BC51*(1-Time!BC20)</f>
        <v>8.555165260505</v>
      </c>
      <c r="BD98" s="19" t="n">
        <f aca="false">BD97*Time!BD51*(1-Time!BD20)</f>
        <v>8.35307586357991</v>
      </c>
      <c r="BE98" s="19" t="n">
        <f aca="false">BE97*Time!BE51*(1-Time!BE20)</f>
        <v>8.42403124596566</v>
      </c>
      <c r="BF98" s="19" t="n">
        <f aca="false">BF97*Time!BF51*(1-Time!BF20)</f>
        <v>8.20302355584226</v>
      </c>
      <c r="BG98" s="19" t="n">
        <f aca="false">BG97*Time!BG51*(1-Time!BG20)</f>
        <v>8.24975529450072</v>
      </c>
      <c r="BH98" s="19" t="n">
        <f aca="false">BH97*Time!BH51*(1-Time!BH20)</f>
        <v>8.0628696309447</v>
      </c>
      <c r="BI98" s="19" t="n">
        <f aca="false">BI97*Time!BI51*(1-Time!BI20)</f>
        <v>8.04824640285074</v>
      </c>
      <c r="BJ98" s="19" t="n">
        <f aca="false">BJ97*Time!BJ51*(1-Time!BJ20)</f>
        <v>7.80639477033098</v>
      </c>
      <c r="BK98" s="19" t="n">
        <f aca="false">BK97*Time!BK51*(1-Time!BK20)</f>
        <v>7.81873655568223</v>
      </c>
      <c r="BL98" s="19" t="n">
        <f aca="false">BL97*Time!BL51*(1-Time!BL20)</f>
        <v>7.56570916075323</v>
      </c>
      <c r="BM98" s="19" t="n">
        <f aca="false">BM97*Time!BM51*(1-Time!BM20)</f>
        <v>7.55868004703973</v>
      </c>
      <c r="BN98" s="19" t="n">
        <f aca="false">BN97*Time!BN51*(1-Time!BN20)</f>
        <v>7.29404059134228</v>
      </c>
      <c r="BO98" s="19" t="n">
        <f aca="false">BO97*Time!BO51*(1-Time!BO20)</f>
        <v>7.26617604825955</v>
      </c>
      <c r="BP98" s="19" t="n">
        <f aca="false">BP97*Time!BP51*(1-Time!BP20)</f>
        <v>7.07149773317786</v>
      </c>
      <c r="BQ98" s="19" t="n">
        <f aca="false">BQ97*Time!BQ51*(1-Time!BQ20)</f>
        <v>7.02673672508123</v>
      </c>
      <c r="BR98" s="19" t="n">
        <f aca="false">BR97*Time!BR51*(1-Time!BR20)</f>
        <v>6.78038866287518</v>
      </c>
      <c r="BS98" s="19" t="n">
        <f aca="false">BS97*Time!BS51*(1-Time!BS20)</f>
        <v>6.75699867754839</v>
      </c>
      <c r="BT98" s="19" t="n">
        <f aca="false">BT97*Time!BT51*(1-Time!BT20)</f>
        <v>6.50057535940727</v>
      </c>
      <c r="BU98" s="19" t="n">
        <f aca="false">BU97*Time!BU51*(1-Time!BU20)</f>
        <v>6.45774677652234</v>
      </c>
      <c r="BV98" s="19" t="n">
        <f aca="false">BV97*Time!BV51*(1-Time!BV20)</f>
        <v>6.14764134777187</v>
      </c>
      <c r="BW98" s="19" t="n">
        <f aca="false">BW97*Time!BW51*(1-Time!BW20)</f>
        <v>6.03867350302635</v>
      </c>
      <c r="BX98" s="19" t="n">
        <f aca="false">BX97*Time!BX51*(1-Time!BX20)</f>
        <v>5.74947797523458</v>
      </c>
      <c r="BY98" s="19" t="n">
        <f aca="false">BY97*Time!BY51*(1-Time!BY20)</f>
        <v>5.58263722465616</v>
      </c>
      <c r="BZ98" s="19" t="n">
        <f aca="false">BZ97*Time!BZ51*(1-Time!BZ20)</f>
        <v>5.25081231577388</v>
      </c>
      <c r="CA98" s="19" t="n">
        <f aca="false">CA97*Time!CA51*(1-Time!CA20)</f>
        <v>5.09021013387461</v>
      </c>
      <c r="CB98" s="19" t="n">
        <f aca="false">CB97*Time!CB51*(1-Time!CB20)</f>
        <v>4.77490671037659</v>
      </c>
      <c r="CC98" s="19" t="n">
        <f aca="false">CC97*Time!CC51*(1-Time!CC20)</f>
        <v>4.61538404282919</v>
      </c>
      <c r="CD98" s="19" t="n">
        <f aca="false">CD97*Time!CD51*(1-Time!CD20)</f>
        <v>4.28823650115206</v>
      </c>
      <c r="CE98" s="19" t="n">
        <f aca="false">CE97*Time!CE51*(1-Time!CE20)</f>
        <v>4.10063636231654</v>
      </c>
      <c r="CF98" s="19" t="n">
        <f aca="false">CF97*Time!CF51*(1-Time!CF20)</f>
        <v>3.7956393008625</v>
      </c>
      <c r="CG98" s="19" t="n">
        <f aca="false">CG97*Time!CG51*(1-Time!CG20)</f>
        <v>3.60903296015561</v>
      </c>
      <c r="CH98" s="19" t="n">
        <f aca="false">CH97*Time!CH51*(1-Time!CH20)</f>
        <v>3.30428821969449</v>
      </c>
      <c r="CI98" s="19" t="n">
        <f aca="false">CI97*Time!CI51*(1-Time!CI20)</f>
        <v>3.00983560802809</v>
      </c>
      <c r="CJ98" s="19" t="n">
        <f aca="false">CJ97*Time!CJ51*(1-Time!CJ20)</f>
        <v>2.59457849131272</v>
      </c>
      <c r="CK98" s="19" t="n">
        <f aca="false">CK97*Time!CK51*(1-Time!CK20)</f>
        <v>2.26352979480138</v>
      </c>
      <c r="CL98" s="19" t="n">
        <f aca="false">CL97*Time!CL51*(1-Time!CL20)</f>
        <v>1.7742665245515</v>
      </c>
      <c r="CM98" s="19" t="n">
        <f aca="false">CM97*Time!CM51*(1-Time!CM20)</f>
        <v>1.38070291609247</v>
      </c>
      <c r="CN98" s="19" t="n">
        <f aca="false">CN97*Time!CN51*(1-Time!CN20)</f>
        <v>0.921787079899351</v>
      </c>
      <c r="CO98" s="19" t="n">
        <f aca="false">CO97*Time!CO51*(1-Time!CO20)</f>
        <v>0.478154274874783</v>
      </c>
      <c r="CP98" s="19" t="n">
        <f aca="false">CP97*Time!CP51*(1-Time!CP20)</f>
        <v>0</v>
      </c>
      <c r="CQ98" s="19" t="n">
        <f aca="false">CQ97*Time!CQ51*(1-Time!CQ20)</f>
        <v>0</v>
      </c>
      <c r="CR98" s="19" t="n">
        <f aca="false">CR97*Time!CR51*(1-Time!CR20)</f>
        <v>0</v>
      </c>
      <c r="CS98" s="19" t="n">
        <f aca="false">CS97*Time!CS51*(1-Time!CS20)</f>
        <v>0</v>
      </c>
      <c r="CT98" s="19" t="n">
        <f aca="false">CT97*Time!CT51*(1-Time!CT20)</f>
        <v>0</v>
      </c>
      <c r="CU98" s="19" t="n">
        <f aca="false">CU97*Time!CU51*(1-Time!CU20)</f>
        <v>0</v>
      </c>
      <c r="CV98" s="19" t="n">
        <f aca="false">CV97*Time!CV51*(1-Time!CV20)</f>
        <v>0</v>
      </c>
      <c r="CW98" s="19" t="n">
        <f aca="false">CW97*Time!CW51*(1-Time!CW20)</f>
        <v>0</v>
      </c>
      <c r="CX98" s="19" t="n">
        <f aca="false">CX97*Time!CX51*(1-Time!CX20)</f>
        <v>0</v>
      </c>
      <c r="CY98" s="19" t="n">
        <f aca="false">CY97*Time!CY51*(1-Time!CY20)</f>
        <v>0</v>
      </c>
      <c r="CZ98" s="19" t="n">
        <f aca="false">CZ97*Time!CZ51*(1-Time!CZ20)</f>
        <v>0</v>
      </c>
      <c r="DA98" s="19" t="n">
        <f aca="false">DA97*Time!DA51*(1-Time!DA20)</f>
        <v>0</v>
      </c>
      <c r="DB98" s="19" t="n">
        <f aca="false">DB97*Time!DB51*(1-Time!DB20)</f>
        <v>0</v>
      </c>
    </row>
    <row r="99" customFormat="false" ht="15" hidden="false" customHeight="false" outlineLevel="0" collapsed="false">
      <c r="D99" s="0" t="s">
        <v>512</v>
      </c>
      <c r="E99" s="0" t="s">
        <v>44</v>
      </c>
      <c r="G99" s="19" t="n">
        <f aca="false">SUM(J99:DB99)</f>
        <v>568.169265647343</v>
      </c>
      <c r="J99" s="19" t="n">
        <f aca="false">MIN(J116,J96+J97-J98)*(1-Time!J20)</f>
        <v>0</v>
      </c>
      <c r="K99" s="19" t="n">
        <f aca="false">MIN(K116,K96+K97-K98)*(1-Time!K20)</f>
        <v>0</v>
      </c>
      <c r="L99" s="19" t="n">
        <f aca="false">MIN(L116,L96+L97-L98)*(1-Time!L20)</f>
        <v>0</v>
      </c>
      <c r="M99" s="19" t="n">
        <f aca="false">MIN(M116,M96+M97-M98)*(1-Time!M20)</f>
        <v>0</v>
      </c>
      <c r="N99" s="19" t="n">
        <f aca="false">MIN(N116,N96+N97-N98)*(1-Time!N20)</f>
        <v>0</v>
      </c>
      <c r="O99" s="19" t="n">
        <f aca="false">MIN(O116,O96+O97-O98)*(1-Time!O20)</f>
        <v>0</v>
      </c>
      <c r="P99" s="19" t="n">
        <f aca="false">MIN(P116,P96+P97-P98)*(1-Time!P20)</f>
        <v>0</v>
      </c>
      <c r="Q99" s="19" t="n">
        <f aca="false">MIN(Q116,Q96+Q97-Q98)*(1-Time!Q20)</f>
        <v>0</v>
      </c>
      <c r="R99" s="19" t="n">
        <f aca="false">MIN(R116,R96+R97-R98)*(1-Time!R20)</f>
        <v>0</v>
      </c>
      <c r="S99" s="19" t="n">
        <f aca="false">MIN(S116,S96+S97-S98)*(1-Time!S20)</f>
        <v>0</v>
      </c>
      <c r="T99" s="19" t="n">
        <f aca="false">MIN(T116,T96+T97-T98)*(1-Time!T20)</f>
        <v>0</v>
      </c>
      <c r="U99" s="19" t="n">
        <f aca="false">MIN(U116,U96+U97-U98)*(1-Time!U20)</f>
        <v>0</v>
      </c>
      <c r="V99" s="19" t="n">
        <f aca="false">MIN(V116,V96+V97-V98)*(1-Time!V20)</f>
        <v>0</v>
      </c>
      <c r="W99" s="19" t="n">
        <f aca="false">MIN(W116,W96+W97-W98)*(1-Time!W20)</f>
        <v>0</v>
      </c>
      <c r="X99" s="19" t="n">
        <f aca="false">MIN(X116,X96+X97-X98)*(1-Time!X20)</f>
        <v>0</v>
      </c>
      <c r="Y99" s="19" t="n">
        <f aca="false">MIN(Y116,Y96+Y97-Y98)*(1-Time!Y20)</f>
        <v>0</v>
      </c>
      <c r="Z99" s="19" t="n">
        <f aca="false">MIN(Z116,Z96+Z97-Z98)*(1-Time!Z20)</f>
        <v>0</v>
      </c>
      <c r="AA99" s="19" t="n">
        <f aca="false">MIN(AA116,AA96+AA97-AA98)*(1-Time!AA20)</f>
        <v>0</v>
      </c>
      <c r="AB99" s="19" t="n">
        <f aca="false">MIN(AB116,AB96+AB97-AB98)*(1-Time!AB20)</f>
        <v>0</v>
      </c>
      <c r="AC99" s="19" t="n">
        <f aca="false">MIN(AC116,AC96+AC97-AC98)*(1-Time!AC20)</f>
        <v>0</v>
      </c>
      <c r="AD99" s="19" t="n">
        <f aca="false">MIN(AD116,AD96+AD97-AD98)*(1-Time!AD20)</f>
        <v>0</v>
      </c>
      <c r="AE99" s="19" t="n">
        <f aca="false">MIN(AE116,AE96+AE97-AE98)*(1-Time!AE20)</f>
        <v>0</v>
      </c>
      <c r="AF99" s="19" t="n">
        <f aca="false">MIN(AF116,AF96+AF97-AF98)*(1-Time!AF20)</f>
        <v>0</v>
      </c>
      <c r="AG99" s="19" t="n">
        <f aca="false">MIN(AG116,AG96+AG97-AG98)*(1-Time!AG20)</f>
        <v>0</v>
      </c>
      <c r="AH99" s="19" t="n">
        <f aca="false">MIN(AH116,AH96+AH97-AH98)*(1-Time!AH20)</f>
        <v>0</v>
      </c>
      <c r="AI99" s="19" t="n">
        <f aca="false">MIN(AI116,AI96+AI97-AI98)*(1-Time!AI20)</f>
        <v>0</v>
      </c>
      <c r="AJ99" s="19" t="n">
        <f aca="false">MIN(AJ116,AJ96+AJ97-AJ98)*(1-Time!AJ20)</f>
        <v>1.16295003985589</v>
      </c>
      <c r="AK99" s="19" t="n">
        <f aca="false">MIN(AK116,AK96+AK97-AK98)*(1-Time!AK20)</f>
        <v>0</v>
      </c>
      <c r="AL99" s="19" t="n">
        <f aca="false">MIN(AL116,AL96+AL97-AL98)*(1-Time!AL20)</f>
        <v>0</v>
      </c>
      <c r="AM99" s="19" t="n">
        <f aca="false">MIN(AM116,AM96+AM97-AM98)*(1-Time!AM20)</f>
        <v>0</v>
      </c>
      <c r="AN99" s="19" t="n">
        <f aca="false">MIN(AN116,AN96+AN97-AN98)*(1-Time!AN20)</f>
        <v>0</v>
      </c>
      <c r="AO99" s="19" t="n">
        <f aca="false">MIN(AO116,AO96+AO97-AO98)*(1-Time!AO20)</f>
        <v>0</v>
      </c>
      <c r="AP99" s="19" t="n">
        <f aca="false">MIN(AP116,AP96+AP97-AP98)*(1-Time!AP20)</f>
        <v>0.207721560034845</v>
      </c>
      <c r="AQ99" s="19" t="n">
        <f aca="false">MIN(AQ116,AQ96+AQ97-AQ98)*(1-Time!AQ20)</f>
        <v>0</v>
      </c>
      <c r="AR99" s="19" t="n">
        <f aca="false">MIN(AR116,AR96+AR97-AR98)*(1-Time!AR20)</f>
        <v>0</v>
      </c>
      <c r="AS99" s="19" t="n">
        <f aca="false">MIN(AS116,AS96+AS97-AS98)*(1-Time!AS20)</f>
        <v>0</v>
      </c>
      <c r="AT99" s="19" t="n">
        <f aca="false">MIN(AT116,AT96+AT97-AT98)*(1-Time!AT20)</f>
        <v>0</v>
      </c>
      <c r="AU99" s="19" t="n">
        <f aca="false">MIN(AU116,AU96+AU97-AU98)*(1-Time!AU20)</f>
        <v>0.380177994339237</v>
      </c>
      <c r="AV99" s="19" t="n">
        <f aca="false">MIN(AV116,AV96+AV97-AV98)*(1-Time!AV20)</f>
        <v>0.812983622138857</v>
      </c>
      <c r="AW99" s="19" t="n">
        <f aca="false">MIN(AW116,AW96+AW97-AW98)*(1-Time!AW20)</f>
        <v>1.49805291943913</v>
      </c>
      <c r="AX99" s="19" t="n">
        <f aca="false">MIN(AX116,AX96+AX97-AX98)*(1-Time!AX20)</f>
        <v>1.70404046116088</v>
      </c>
      <c r="AY99" s="19" t="n">
        <f aca="false">MIN(AY116,AY96+AY97-AY98)*(1-Time!AY20)</f>
        <v>1.51654818799883</v>
      </c>
      <c r="AZ99" s="19" t="n">
        <f aca="false">MIN(AZ116,AZ96+AZ97-AZ98)*(1-Time!AZ20)</f>
        <v>1.74420799756022</v>
      </c>
      <c r="BA99" s="19" t="n">
        <f aca="false">MIN(BA116,BA96+BA97-BA98)*(1-Time!BA20)</f>
        <v>2.16059935514077</v>
      </c>
      <c r="BB99" s="19" t="n">
        <f aca="false">MIN(BB116,BB96+BB97-BB98)*(1-Time!BB20)</f>
        <v>2.37923413408387</v>
      </c>
      <c r="BC99" s="19" t="n">
        <f aca="false">MIN(BC116,BC96+BC97-BC98)*(1-Time!BC20)</f>
        <v>4.12560890567634</v>
      </c>
      <c r="BD99" s="19" t="n">
        <f aca="false">MIN(BD116,BD96+BD97-BD98)*(1-Time!BD20)</f>
        <v>4.37537065294437</v>
      </c>
      <c r="BE99" s="19" t="n">
        <f aca="false">MIN(BE116,BE96+BE97-BE98)*(1-Time!BE20)</f>
        <v>5.51324602351582</v>
      </c>
      <c r="BF99" s="19" t="n">
        <f aca="false">MIN(BF116,BF96+BF97-BF98)*(1-Time!BF20)</f>
        <v>5.78448100914656</v>
      </c>
      <c r="BG99" s="19" t="n">
        <f aca="false">MIN(BG116,BG96+BG97-BG98)*(1-Time!BG20)</f>
        <v>6.37133875234303</v>
      </c>
      <c r="BH99" s="19" t="n">
        <f aca="false">MIN(BH116,BH96+BH97-BH98)*(1-Time!BH20)</f>
        <v>6.69180870649548</v>
      </c>
      <c r="BI99" s="19" t="n">
        <f aca="false">MIN(BI116,BI96+BI97-BI98)*(1-Time!BI20)</f>
        <v>7.29065678670304</v>
      </c>
      <c r="BJ99" s="19" t="n">
        <f aca="false">MIN(BJ116,BJ96+BJ97-BJ98)*(1-Time!BJ20)</f>
        <v>7.58769896359983</v>
      </c>
      <c r="BK99" s="19" t="n">
        <f aca="false">MIN(BK116,BK96+BK97-BK98)*(1-Time!BK20)</f>
        <v>8.27375474236911</v>
      </c>
      <c r="BL99" s="19" t="n">
        <f aca="false">MIN(BL116,BL96+BL97-BL98)*(1-Time!BL20)</f>
        <v>8.58483890186792</v>
      </c>
      <c r="BM99" s="19" t="n">
        <f aca="false">MIN(BM116,BM96+BM97-BM98)*(1-Time!BM20)</f>
        <v>9.31842687558383</v>
      </c>
      <c r="BN99" s="19" t="n">
        <f aca="false">MIN(BN116,BN96+BN97-BN98)*(1-Time!BN20)</f>
        <v>9.64362902715235</v>
      </c>
      <c r="BO99" s="19" t="n">
        <f aca="false">MIN(BO116,BO96+BO97-BO98)*(1-Time!BO20)</f>
        <v>7.58274461953063</v>
      </c>
      <c r="BP99" s="19" t="n">
        <f aca="false">MIN(BP116,BP96+BP97-BP98)*(1-Time!BP20)</f>
        <v>7.93930584936783</v>
      </c>
      <c r="BQ99" s="19" t="n">
        <f aca="false">MIN(BQ116,BQ96+BQ97-BQ98)*(1-Time!BQ20)</f>
        <v>8.68456314477735</v>
      </c>
      <c r="BR99" s="19" t="n">
        <f aca="false">MIN(BR116,BR96+BR97-BR98)*(1-Time!BR20)</f>
        <v>8.80165228387526</v>
      </c>
      <c r="BS99" s="19" t="n">
        <f aca="false">MIN(BS116,BS96+BS97-BS98)*(1-Time!BS20)</f>
        <v>9.63836067351253</v>
      </c>
      <c r="BT99" s="19" t="n">
        <f aca="false">MIN(BT116,BT96+BT97-BT98)*(1-Time!BT20)</f>
        <v>9.7611391621134</v>
      </c>
      <c r="BU99" s="19" t="n">
        <f aca="false">MIN(BU116,BU96+BU97-BU98)*(1-Time!BU20)</f>
        <v>13.4976111081573</v>
      </c>
      <c r="BV99" s="19" t="n">
        <f aca="false">MIN(BV116,BV96+BV97-BV98)*(1-Time!BV20)</f>
        <v>13.6695075381271</v>
      </c>
      <c r="BW99" s="19" t="n">
        <f aca="false">MIN(BW116,BW96+BW97-BW98)*(1-Time!BW20)</f>
        <v>14.6517609168806</v>
      </c>
      <c r="BX99" s="19" t="n">
        <f aca="false">MIN(BX116,BX96+BX97-BX98)*(1-Time!BX20)</f>
        <v>14.9115457052276</v>
      </c>
      <c r="BY99" s="19" t="n">
        <f aca="false">MIN(BY116,BY96+BY97-BY98)*(1-Time!BY20)</f>
        <v>15.8692326890171</v>
      </c>
      <c r="BZ99" s="19" t="n">
        <f aca="false">MIN(BZ116,BZ96+BZ97-BZ98)*(1-Time!BZ20)</f>
        <v>16.0531685853623</v>
      </c>
      <c r="CA99" s="19" t="n">
        <f aca="false">MIN(CA116,CA96+CA97-CA98)*(1-Time!CA20)</f>
        <v>15.3095487024017</v>
      </c>
      <c r="CB99" s="19" t="n">
        <f aca="false">MIN(CB116,CB96+CB97-CB98)*(1-Time!CB20)</f>
        <v>15.4718386291519</v>
      </c>
      <c r="CC99" s="19" t="n">
        <f aca="false">MIN(CC116,CC96+CC97-CC98)*(1-Time!CC20)</f>
        <v>16.6002782175154</v>
      </c>
      <c r="CD99" s="19" t="n">
        <f aca="false">MIN(CD116,CD96+CD97-CD98)*(1-Time!CD20)</f>
        <v>16.7690922334504</v>
      </c>
      <c r="CE99" s="19" t="n">
        <f aca="false">MIN(CE116,CE96+CE97-CE98)*(1-Time!CE20)</f>
        <v>17.0679987044056</v>
      </c>
      <c r="CF99" s="19" t="n">
        <f aca="false">MIN(CF116,CF96+CF97-CF98)*(1-Time!CF20)</f>
        <v>14.8010055916905</v>
      </c>
      <c r="CG99" s="19" t="n">
        <f aca="false">MIN(CG116,CG96+CG97-CG98)*(1-Time!CG20)</f>
        <v>16.2052073255819</v>
      </c>
      <c r="CH99" s="19" t="n">
        <f aca="false">MIN(CH116,CH96+CH97-CH98)*(1-Time!CH20)</f>
        <v>22.6387528773424</v>
      </c>
      <c r="CI99" s="19" t="n">
        <f aca="false">MIN(CI116,CI96+CI97-CI98)*(1-Time!CI20)</f>
        <v>24.1319203720971</v>
      </c>
      <c r="CJ99" s="19" t="n">
        <f aca="false">MIN(CJ116,CJ96+CJ97-CJ98)*(1-Time!CJ20)</f>
        <v>24.2485893301882</v>
      </c>
      <c r="CK99" s="19" t="n">
        <f aca="false">MIN(CK116,CK96+CK97-CK98)*(1-Time!CK20)</f>
        <v>29.8108964365842</v>
      </c>
      <c r="CL99" s="19" t="n">
        <f aca="false">MIN(CL116,CL96+CL97-CL98)*(1-Time!CL20)</f>
        <v>27.419817318878</v>
      </c>
      <c r="CM99" s="19" t="n">
        <f aca="false">MIN(CM116,CM96+CM97-CM98)*(1-Time!CM20)</f>
        <v>29.0933152817809</v>
      </c>
      <c r="CN99" s="19" t="n">
        <f aca="false">MIN(CN116,CN96+CN97-CN98)*(1-Time!CN20)</f>
        <v>29.4158943737417</v>
      </c>
      <c r="CO99" s="19" t="n">
        <f aca="false">MIN(CO116,CO96+CO97-CO98)*(1-Time!CO20)</f>
        <v>30.9971423574338</v>
      </c>
      <c r="CP99" s="19" t="n">
        <f aca="false">MIN(CP116,CP96+CP97-CP98)*(1-Time!CP20)</f>
        <v>0</v>
      </c>
      <c r="CQ99" s="19" t="n">
        <f aca="false">MIN(CQ116,CQ96+CQ97-CQ98)*(1-Time!CQ20)</f>
        <v>0</v>
      </c>
      <c r="CR99" s="19" t="n">
        <f aca="false">MIN(CR116,CR96+CR97-CR98)*(1-Time!CR20)</f>
        <v>0</v>
      </c>
      <c r="CS99" s="19" t="n">
        <f aca="false">MIN(CS116,CS96+CS97-CS98)*(1-Time!CS20)</f>
        <v>0</v>
      </c>
      <c r="CT99" s="19" t="n">
        <f aca="false">MIN(CT116,CT96+CT97-CT98)*(1-Time!CT20)</f>
        <v>0</v>
      </c>
      <c r="CU99" s="19" t="n">
        <f aca="false">MIN(CU116,CU96+CU97-CU98)*(1-Time!CU20)</f>
        <v>0</v>
      </c>
      <c r="CV99" s="19" t="n">
        <f aca="false">MIN(CV116,CV96+CV97-CV98)*(1-Time!CV20)</f>
        <v>0</v>
      </c>
      <c r="CW99" s="19" t="n">
        <f aca="false">MIN(CW116,CW96+CW97-CW98)*(1-Time!CW20)</f>
        <v>0</v>
      </c>
      <c r="CX99" s="19" t="n">
        <f aca="false">MIN(CX116,CX96+CX97-CX98)*(1-Time!CX20)</f>
        <v>0</v>
      </c>
      <c r="CY99" s="19" t="n">
        <f aca="false">MIN(CY116,CY96+CY97-CY98)*(1-Time!CY20)</f>
        <v>0</v>
      </c>
      <c r="CZ99" s="19" t="n">
        <f aca="false">MIN(CZ116,CZ96+CZ97-CZ98)*(1-Time!CZ20)</f>
        <v>0</v>
      </c>
      <c r="DA99" s="19" t="n">
        <f aca="false">MIN(DA116,DA96+DA97-DA98)*(1-Time!DA20)</f>
        <v>0</v>
      </c>
      <c r="DB99" s="19" t="n">
        <f aca="false">MIN(DB116,DB96+DB97-DB98)*(1-Time!DB20)</f>
        <v>0</v>
      </c>
    </row>
    <row r="100" customFormat="false" ht="15" hidden="false" customHeight="false" outlineLevel="0" collapsed="false">
      <c r="D100" s="0" t="s">
        <v>557</v>
      </c>
      <c r="E100" s="0" t="s">
        <v>44</v>
      </c>
      <c r="G100" s="19" t="n">
        <f aca="false">SUM(J100:DB100)</f>
        <v>946.761677272845</v>
      </c>
      <c r="J100" s="19" t="n">
        <f aca="false">J98+J99+I101</f>
        <v>0</v>
      </c>
      <c r="K100" s="19" t="n">
        <f aca="false">K98+K99+J101</f>
        <v>0</v>
      </c>
      <c r="L100" s="19" t="n">
        <f aca="false">L98+L99+K101</f>
        <v>0</v>
      </c>
      <c r="M100" s="19" t="n">
        <f aca="false">M98+M99+L101</f>
        <v>0</v>
      </c>
      <c r="N100" s="19" t="n">
        <f aca="false">N98+N99+M101</f>
        <v>0</v>
      </c>
      <c r="O100" s="19" t="n">
        <f aca="false">O98+O99+N101</f>
        <v>0</v>
      </c>
      <c r="P100" s="19" t="n">
        <f aca="false">P98+P99+O101</f>
        <v>0</v>
      </c>
      <c r="Q100" s="19" t="n">
        <f aca="false">Q98+Q99+P101</f>
        <v>0</v>
      </c>
      <c r="R100" s="19" t="n">
        <f aca="false">R98+R99+Q101</f>
        <v>0</v>
      </c>
      <c r="S100" s="19" t="n">
        <f aca="false">S98+S99+R101</f>
        <v>0</v>
      </c>
      <c r="T100" s="19" t="n">
        <f aca="false">T98+T99+S101</f>
        <v>0</v>
      </c>
      <c r="U100" s="19" t="n">
        <f aca="false">U98+U99+T101</f>
        <v>0</v>
      </c>
      <c r="V100" s="19" t="n">
        <f aca="false">V98+V99+U101</f>
        <v>0</v>
      </c>
      <c r="W100" s="19" t="n">
        <f aca="false">W98+W99+V101</f>
        <v>0</v>
      </c>
      <c r="X100" s="19" t="n">
        <f aca="false">X98+X99+W101</f>
        <v>0</v>
      </c>
      <c r="Y100" s="19" t="n">
        <f aca="false">Y98+Y99+X101</f>
        <v>0</v>
      </c>
      <c r="Z100" s="19" t="n">
        <f aca="false">Z98+Z99+Y101</f>
        <v>0</v>
      </c>
      <c r="AA100" s="19" t="n">
        <f aca="false">AA98+AA99+Z101</f>
        <v>0</v>
      </c>
      <c r="AB100" s="19" t="n">
        <f aca="false">AB98+AB99+AA101</f>
        <v>0</v>
      </c>
      <c r="AC100" s="19" t="n">
        <f aca="false">AC98+AC99+AB101</f>
        <v>0</v>
      </c>
      <c r="AD100" s="19" t="n">
        <f aca="false">AD98+AD99+AC101</f>
        <v>0</v>
      </c>
      <c r="AE100" s="19" t="n">
        <f aca="false">AE98+AE99+AD101</f>
        <v>0</v>
      </c>
      <c r="AF100" s="19" t="n">
        <f aca="false">AF98+AF99+AE101</f>
        <v>0</v>
      </c>
      <c r="AG100" s="19" t="n">
        <f aca="false">AG98+AG99+AF101</f>
        <v>0</v>
      </c>
      <c r="AH100" s="19" t="n">
        <f aca="false">AH98+AH99+AG101</f>
        <v>0</v>
      </c>
      <c r="AI100" s="19" t="n">
        <f aca="false">AI98+AI99+AH101</f>
        <v>0</v>
      </c>
      <c r="AJ100" s="19" t="n">
        <f aca="false">AJ98+AJ99+AI101</f>
        <v>5.46471834968069</v>
      </c>
      <c r="AK100" s="19" t="n">
        <f aca="false">AK98+AK99+AJ101</f>
        <v>8.74649961478464</v>
      </c>
      <c r="AL100" s="19" t="n">
        <f aca="false">AL98+AL99+AK101</f>
        <v>8.60389364280446</v>
      </c>
      <c r="AM100" s="19" t="n">
        <f aca="false">AM98+AM99+AL101</f>
        <v>8.74649961478464</v>
      </c>
      <c r="AN100" s="19" t="n">
        <f aca="false">AN98+AN99+AM101</f>
        <v>8.60389364280446</v>
      </c>
      <c r="AO100" s="19" t="n">
        <f aca="false">AO98+AO99+AN101</f>
        <v>8.74649961478464</v>
      </c>
      <c r="AP100" s="19" t="n">
        <f aca="false">AP98+AP99+AO101</f>
        <v>8.8116152028393</v>
      </c>
      <c r="AQ100" s="19" t="n">
        <f aca="false">AQ98+AQ99+AP101</f>
        <v>8.74329535321856</v>
      </c>
      <c r="AR100" s="19" t="n">
        <f aca="false">AR98+AR99+AQ101</f>
        <v>8.64825953416183</v>
      </c>
      <c r="AS100" s="19" t="n">
        <f aca="false">AS98+AS99+AR101</f>
        <v>8.74329535321856</v>
      </c>
      <c r="AT100" s="19" t="n">
        <f aca="false">AT98+AT99+AS101</f>
        <v>8.60074162463347</v>
      </c>
      <c r="AU100" s="19" t="n">
        <f aca="false">AU98+AU99+AT101</f>
        <v>9.1234733475578</v>
      </c>
      <c r="AV100" s="19" t="n">
        <f aca="false">AV98+AV99+AU101</f>
        <v>9.40795633214371</v>
      </c>
      <c r="AW100" s="19" t="n">
        <f aca="false">AW98+AW99+AV101</f>
        <v>10.2229428557661</v>
      </c>
      <c r="AX100" s="19" t="n">
        <f aca="false">AX98+AX99+AW101</f>
        <v>10.2639449328392</v>
      </c>
      <c r="AY100" s="19" t="n">
        <f aca="false">AY98+AY99+AX101</f>
        <v>10.192043421394</v>
      </c>
      <c r="AZ100" s="19" t="n">
        <f aca="false">AZ98+AZ99+AY101</f>
        <v>10.3022647528225</v>
      </c>
      <c r="BA100" s="19" t="n">
        <f aca="false">BA98+BA99+AZ101</f>
        <v>10.7857949676395</v>
      </c>
      <c r="BB100" s="19" t="n">
        <f aca="false">BB98+BB99+BA101</f>
        <v>10.831016089883</v>
      </c>
      <c r="BC100" s="19" t="n">
        <f aca="false">BC98+BC99+BB101</f>
        <v>12.6807741661813</v>
      </c>
      <c r="BD100" s="19" t="n">
        <f aca="false">BD98+BD99+BC101</f>
        <v>12.7284465165243</v>
      </c>
      <c r="BE100" s="19" t="n">
        <f aca="false">BE98+BE99+BD101</f>
        <v>13.9372772694815</v>
      </c>
      <c r="BF100" s="19" t="n">
        <f aca="false">BF98+BF99+BE101</f>
        <v>13.9875045649888</v>
      </c>
      <c r="BG100" s="19" t="n">
        <f aca="false">BG98+BG99+BF101</f>
        <v>14.6210940468438</v>
      </c>
      <c r="BH100" s="19" t="n">
        <f aca="false">BH98+BH99+BG101</f>
        <v>14.7546783374402</v>
      </c>
      <c r="BI100" s="19" t="n">
        <f aca="false">BI98+BI99+BH101</f>
        <v>15.3389031895538</v>
      </c>
      <c r="BJ100" s="19" t="n">
        <f aca="false">BJ98+BJ99+BI101</f>
        <v>15.3940937339308</v>
      </c>
      <c r="BK100" s="19" t="n">
        <f aca="false">BK98+BK99+BJ101</f>
        <v>16.0924912980513</v>
      </c>
      <c r="BL100" s="19" t="n">
        <f aca="false">BL98+BL99+BK101</f>
        <v>16.1505480626211</v>
      </c>
      <c r="BM100" s="19" t="n">
        <f aca="false">BM98+BM99+BL101</f>
        <v>16.8771069226236</v>
      </c>
      <c r="BN100" s="19" t="n">
        <f aca="false">BN98+BN99+BM101</f>
        <v>16.9376696184946</v>
      </c>
      <c r="BO100" s="19" t="n">
        <f aca="false">BO98+BO99+BN101</f>
        <v>14.8489206677902</v>
      </c>
      <c r="BP100" s="19" t="n">
        <f aca="false">BP98+BP99+BO101</f>
        <v>15.0108035825457</v>
      </c>
      <c r="BQ100" s="19" t="n">
        <f aca="false">BQ98+BQ99+BP101</f>
        <v>15.7112998698586</v>
      </c>
      <c r="BR100" s="19" t="n">
        <f aca="false">BR98+BR99+BQ101</f>
        <v>15.5820409467504</v>
      </c>
      <c r="BS100" s="19" t="n">
        <f aca="false">BS98+BS99+BR101</f>
        <v>16.3953593510609</v>
      </c>
      <c r="BT100" s="19" t="n">
        <f aca="false">BT98+BT99+BS101</f>
        <v>16.2617145215207</v>
      </c>
      <c r="BU100" s="19" t="n">
        <f aca="false">BU98+BU99+BT101</f>
        <v>19.9553578846796</v>
      </c>
      <c r="BV100" s="19" t="n">
        <f aca="false">BV98+BV99+BU101</f>
        <v>19.8171488858989</v>
      </c>
      <c r="BW100" s="19" t="n">
        <f aca="false">BW98+BW99+BV101</f>
        <v>20.6904344199069</v>
      </c>
      <c r="BX100" s="19" t="n">
        <f aca="false">BX98+BX99+BW101</f>
        <v>20.6610236804622</v>
      </c>
      <c r="BY100" s="19" t="n">
        <f aca="false">BY98+BY99+BX101</f>
        <v>21.4518699136733</v>
      </c>
      <c r="BZ100" s="19" t="n">
        <f aca="false">BZ98+BZ99+BY101</f>
        <v>21.3039809011362</v>
      </c>
      <c r="CA100" s="19" t="n">
        <f aca="false">CA98+CA99+BZ101</f>
        <v>20.3997588362763</v>
      </c>
      <c r="CB100" s="19" t="n">
        <f aca="false">CB98+CB99+CA101</f>
        <v>20.2467453395285</v>
      </c>
      <c r="CC100" s="19" t="n">
        <f aca="false">CC98+CC99+CB101</f>
        <v>21.2156622603446</v>
      </c>
      <c r="CD100" s="19" t="n">
        <f aca="false">CD98+CD99+CC101</f>
        <v>21.0573287346024</v>
      </c>
      <c r="CE100" s="19" t="n">
        <f aca="false">CE98+CE99+CD101</f>
        <v>21.1686350667221</v>
      </c>
      <c r="CF100" s="19" t="n">
        <f aca="false">CF98+CF99+CE101</f>
        <v>18.596644892553</v>
      </c>
      <c r="CG100" s="19" t="n">
        <f aca="false">CG98+CG99+CF101</f>
        <v>19.8142402857375</v>
      </c>
      <c r="CH100" s="19" t="n">
        <f aca="false">CH98+CH99+CG101</f>
        <v>25.9430410970369</v>
      </c>
      <c r="CI100" s="19" t="n">
        <f aca="false">CI98+CI99+CH101</f>
        <v>27.1417559801252</v>
      </c>
      <c r="CJ100" s="19" t="n">
        <f aca="false">CJ98+CJ99+CI101</f>
        <v>26.8431678215009</v>
      </c>
      <c r="CK100" s="19" t="n">
        <f aca="false">CK98+CK99+CJ101</f>
        <v>32.0744262313856</v>
      </c>
      <c r="CL100" s="19" t="n">
        <f aca="false">CL98+CL99+CK101</f>
        <v>29.1940838434295</v>
      </c>
      <c r="CM100" s="19" t="n">
        <f aca="false">CM98+CM99+CL101</f>
        <v>30.4740181978734</v>
      </c>
      <c r="CN100" s="19" t="n">
        <f aca="false">CN98+CN99+CM101</f>
        <v>30.337681453641</v>
      </c>
      <c r="CO100" s="19" t="n">
        <f aca="false">CO98+CO99+CN101</f>
        <v>31.4752966323086</v>
      </c>
      <c r="CP100" s="19" t="n">
        <f aca="false">CP98+CP99+CO101</f>
        <v>0</v>
      </c>
      <c r="CQ100" s="19" t="n">
        <f aca="false">CQ98+CQ99+CP101</f>
        <v>0</v>
      </c>
      <c r="CR100" s="19" t="n">
        <f aca="false">CR98+CR99+CQ101</f>
        <v>0</v>
      </c>
      <c r="CS100" s="19" t="n">
        <f aca="false">CS98+CS99+CR101</f>
        <v>0</v>
      </c>
      <c r="CT100" s="19" t="n">
        <f aca="false">CT98+CT99+CS101</f>
        <v>0</v>
      </c>
      <c r="CU100" s="19" t="n">
        <f aca="false">CU98+CU99+CT101</f>
        <v>0</v>
      </c>
      <c r="CV100" s="19" t="n">
        <f aca="false">CV98+CV99+CU101</f>
        <v>0</v>
      </c>
      <c r="CW100" s="19" t="n">
        <f aca="false">CW98+CW99+CV101</f>
        <v>0</v>
      </c>
      <c r="CX100" s="19" t="n">
        <f aca="false">CX98+CX99+CW101</f>
        <v>0</v>
      </c>
      <c r="CY100" s="19" t="n">
        <f aca="false">CY98+CY99+CX101</f>
        <v>0</v>
      </c>
      <c r="CZ100" s="19" t="n">
        <f aca="false">CZ98+CZ99+CY101</f>
        <v>0</v>
      </c>
      <c r="DA100" s="19" t="n">
        <f aca="false">DA98+DA99+CZ101</f>
        <v>0</v>
      </c>
      <c r="DB100" s="19" t="n">
        <f aca="false">DB98+DB99+DA101</f>
        <v>0</v>
      </c>
    </row>
    <row r="101" customFormat="false" ht="15" hidden="false" customHeight="false" outlineLevel="0" collapsed="false">
      <c r="D101" s="0" t="s">
        <v>558</v>
      </c>
      <c r="E101" s="0" t="s">
        <v>44</v>
      </c>
      <c r="J101" s="19" t="n">
        <f aca="false">J100-Waterfall!J35</f>
        <v>0</v>
      </c>
      <c r="K101" s="19" t="n">
        <f aca="false">K100-Waterfall!K35</f>
        <v>0</v>
      </c>
      <c r="L101" s="19" t="n">
        <f aca="false">L100-Waterfall!L35</f>
        <v>0</v>
      </c>
      <c r="M101" s="19" t="n">
        <f aca="false">M100-Waterfall!M35</f>
        <v>0</v>
      </c>
      <c r="N101" s="19" t="n">
        <f aca="false">N100-Waterfall!N35</f>
        <v>0</v>
      </c>
      <c r="O101" s="19" t="n">
        <f aca="false">O100-Waterfall!O35</f>
        <v>0</v>
      </c>
      <c r="P101" s="19" t="n">
        <f aca="false">P100-Waterfall!P35</f>
        <v>0</v>
      </c>
      <c r="Q101" s="19" t="n">
        <f aca="false">Q100-Waterfall!Q35</f>
        <v>0</v>
      </c>
      <c r="R101" s="19" t="n">
        <f aca="false">R100-Waterfall!R35</f>
        <v>0</v>
      </c>
      <c r="S101" s="19" t="n">
        <f aca="false">S100-Waterfall!S35</f>
        <v>0</v>
      </c>
      <c r="T101" s="19" t="n">
        <f aca="false">T100-Waterfall!T35</f>
        <v>0</v>
      </c>
      <c r="U101" s="19" t="n">
        <f aca="false">U100-Waterfall!U35</f>
        <v>0</v>
      </c>
      <c r="V101" s="19" t="n">
        <f aca="false">V100-Waterfall!V35</f>
        <v>0</v>
      </c>
      <c r="W101" s="19" t="n">
        <f aca="false">W100-Waterfall!W35</f>
        <v>0</v>
      </c>
      <c r="X101" s="19" t="n">
        <f aca="false">X100-Waterfall!X35</f>
        <v>0</v>
      </c>
      <c r="Y101" s="19" t="n">
        <f aca="false">Y100-Waterfall!Y35</f>
        <v>0</v>
      </c>
      <c r="Z101" s="19" t="n">
        <f aca="false">Z100-Waterfall!Z35</f>
        <v>0</v>
      </c>
      <c r="AA101" s="19" t="n">
        <f aca="false">AA100-Waterfall!AA35</f>
        <v>0</v>
      </c>
      <c r="AB101" s="19" t="n">
        <f aca="false">AB100-Waterfall!AB35</f>
        <v>0</v>
      </c>
      <c r="AC101" s="19" t="n">
        <f aca="false">AC100-Waterfall!AC35</f>
        <v>0</v>
      </c>
      <c r="AD101" s="19" t="n">
        <f aca="false">AD100-Waterfall!AD35</f>
        <v>0</v>
      </c>
      <c r="AE101" s="19" t="n">
        <f aca="false">AE100-Waterfall!AE35</f>
        <v>0</v>
      </c>
      <c r="AF101" s="19" t="n">
        <f aca="false">AF100-Waterfall!AF35</f>
        <v>0</v>
      </c>
      <c r="AG101" s="19" t="n">
        <f aca="false">AG100-Waterfall!AG35</f>
        <v>0</v>
      </c>
      <c r="AH101" s="19" t="n">
        <f aca="false">AH100-Waterfall!AH35</f>
        <v>0</v>
      </c>
      <c r="AI101" s="19" t="n">
        <f aca="false">AI100-Waterfall!AI35</f>
        <v>0</v>
      </c>
      <c r="AJ101" s="19" t="n">
        <f aca="false">AJ100-Waterfall!AJ35</f>
        <v>0</v>
      </c>
      <c r="AK101" s="19" t="n">
        <f aca="false">AK100-Waterfall!AK35</f>
        <v>0</v>
      </c>
      <c r="AL101" s="19" t="n">
        <f aca="false">AL100-Waterfall!AL35</f>
        <v>0</v>
      </c>
      <c r="AM101" s="19" t="n">
        <f aca="false">AM100-Waterfall!AM35</f>
        <v>0</v>
      </c>
      <c r="AN101" s="19" t="n">
        <f aca="false">AN100-Waterfall!AN35</f>
        <v>0</v>
      </c>
      <c r="AO101" s="19" t="n">
        <f aca="false">AO100-Waterfall!AO35</f>
        <v>0</v>
      </c>
      <c r="AP101" s="19" t="n">
        <f aca="false">AP100-Waterfall!AP35</f>
        <v>0</v>
      </c>
      <c r="AQ101" s="19" t="n">
        <f aca="false">AQ100-Waterfall!AQ35</f>
        <v>0</v>
      </c>
      <c r="AR101" s="19" t="n">
        <f aca="false">AR100-Waterfall!AR35</f>
        <v>0</v>
      </c>
      <c r="AS101" s="19" t="n">
        <f aca="false">AS100-Waterfall!AS35</f>
        <v>0</v>
      </c>
      <c r="AT101" s="19" t="n">
        <f aca="false">AT100-Waterfall!AT35</f>
        <v>0</v>
      </c>
      <c r="AU101" s="19" t="n">
        <f aca="false">AU100-Waterfall!AU35</f>
        <v>0</v>
      </c>
      <c r="AV101" s="19" t="n">
        <f aca="false">AV100-Waterfall!AV35</f>
        <v>0</v>
      </c>
      <c r="AW101" s="19" t="n">
        <f aca="false">AW100-Waterfall!AW35</f>
        <v>0</v>
      </c>
      <c r="AX101" s="19" t="n">
        <f aca="false">AX100-Waterfall!AX35</f>
        <v>0</v>
      </c>
      <c r="AY101" s="19" t="n">
        <f aca="false">AY100-Waterfall!AY35</f>
        <v>0</v>
      </c>
      <c r="AZ101" s="19" t="n">
        <f aca="false">AZ100-Waterfall!AZ35</f>
        <v>0</v>
      </c>
      <c r="BA101" s="19" t="n">
        <f aca="false">BA100-Waterfall!BA35</f>
        <v>0</v>
      </c>
      <c r="BB101" s="19" t="n">
        <f aca="false">BB100-Waterfall!BB35</f>
        <v>0</v>
      </c>
      <c r="BC101" s="19" t="n">
        <f aca="false">BC100-Waterfall!BC35</f>
        <v>0</v>
      </c>
      <c r="BD101" s="19" t="n">
        <f aca="false">BD100-Waterfall!BD35</f>
        <v>0</v>
      </c>
      <c r="BE101" s="19" t="n">
        <f aca="false">BE100-Waterfall!BE35</f>
        <v>0</v>
      </c>
      <c r="BF101" s="19" t="n">
        <f aca="false">BF100-Waterfall!BF35</f>
        <v>0</v>
      </c>
      <c r="BG101" s="19" t="n">
        <f aca="false">BG100-Waterfall!BG35</f>
        <v>0</v>
      </c>
      <c r="BH101" s="19" t="n">
        <f aca="false">BH100-Waterfall!BH35</f>
        <v>0</v>
      </c>
      <c r="BI101" s="19" t="n">
        <f aca="false">BI100-Waterfall!BI35</f>
        <v>0</v>
      </c>
      <c r="BJ101" s="19" t="n">
        <f aca="false">BJ100-Waterfall!BJ35</f>
        <v>0</v>
      </c>
      <c r="BK101" s="19" t="n">
        <f aca="false">BK100-Waterfall!BK35</f>
        <v>0</v>
      </c>
      <c r="BL101" s="19" t="n">
        <f aca="false">BL100-Waterfall!BL35</f>
        <v>0</v>
      </c>
      <c r="BM101" s="19" t="n">
        <f aca="false">BM100-Waterfall!BM35</f>
        <v>0</v>
      </c>
      <c r="BN101" s="19" t="n">
        <f aca="false">BN100-Waterfall!BN35</f>
        <v>0</v>
      </c>
      <c r="BO101" s="19" t="n">
        <f aca="false">BO100-Waterfall!BO35</f>
        <v>0</v>
      </c>
      <c r="BP101" s="19" t="n">
        <f aca="false">BP100-Waterfall!BP35</f>
        <v>0</v>
      </c>
      <c r="BQ101" s="19" t="n">
        <f aca="false">BQ100-Waterfall!BQ35</f>
        <v>0</v>
      </c>
      <c r="BR101" s="19" t="n">
        <f aca="false">BR100-Waterfall!BR35</f>
        <v>0</v>
      </c>
      <c r="BS101" s="19" t="n">
        <f aca="false">BS100-Waterfall!BS35</f>
        <v>0</v>
      </c>
      <c r="BT101" s="19" t="n">
        <f aca="false">BT100-Waterfall!BT35</f>
        <v>0</v>
      </c>
      <c r="BU101" s="19" t="n">
        <f aca="false">BU100-Waterfall!BU35</f>
        <v>0</v>
      </c>
      <c r="BV101" s="19" t="n">
        <f aca="false">BV100-Waterfall!BV35</f>
        <v>0</v>
      </c>
      <c r="BW101" s="19" t="n">
        <f aca="false">BW100-Waterfall!BW35</f>
        <v>0</v>
      </c>
      <c r="BX101" s="19" t="n">
        <f aca="false">BX100-Waterfall!BX35</f>
        <v>0</v>
      </c>
      <c r="BY101" s="19" t="n">
        <f aca="false">BY100-Waterfall!BY35</f>
        <v>0</v>
      </c>
      <c r="BZ101" s="19" t="n">
        <f aca="false">BZ100-Waterfall!BZ35</f>
        <v>0</v>
      </c>
      <c r="CA101" s="19" t="n">
        <f aca="false">CA100-Waterfall!CA35</f>
        <v>0</v>
      </c>
      <c r="CB101" s="19" t="n">
        <f aca="false">CB100-Waterfall!CB35</f>
        <v>0</v>
      </c>
      <c r="CC101" s="19" t="n">
        <f aca="false">CC100-Waterfall!CC35</f>
        <v>0</v>
      </c>
      <c r="CD101" s="19" t="n">
        <f aca="false">CD100-Waterfall!CD35</f>
        <v>0</v>
      </c>
      <c r="CE101" s="19" t="n">
        <f aca="false">CE100-Waterfall!CE35</f>
        <v>0</v>
      </c>
      <c r="CF101" s="19" t="n">
        <f aca="false">CF100-Waterfall!CF35</f>
        <v>0</v>
      </c>
      <c r="CG101" s="19" t="n">
        <f aca="false">CG100-Waterfall!CG35</f>
        <v>0</v>
      </c>
      <c r="CH101" s="19" t="n">
        <f aca="false">CH100-Waterfall!CH35</f>
        <v>0</v>
      </c>
      <c r="CI101" s="19" t="n">
        <f aca="false">CI100-Waterfall!CI35</f>
        <v>0</v>
      </c>
      <c r="CJ101" s="19" t="n">
        <f aca="false">CJ100-Waterfall!CJ35</f>
        <v>0</v>
      </c>
      <c r="CK101" s="19" t="n">
        <f aca="false">CK100-Waterfall!CK35</f>
        <v>0</v>
      </c>
      <c r="CL101" s="19" t="n">
        <f aca="false">CL100-Waterfall!CL35</f>
        <v>0</v>
      </c>
      <c r="CM101" s="19" t="n">
        <f aca="false">CM100-Waterfall!CM35</f>
        <v>0</v>
      </c>
      <c r="CN101" s="19" t="n">
        <f aca="false">CN100-Waterfall!CN35</f>
        <v>0</v>
      </c>
      <c r="CO101" s="19" t="n">
        <f aca="false">CO100-Waterfall!CO35</f>
        <v>0</v>
      </c>
      <c r="CP101" s="19" t="n">
        <f aca="false">CP100-Waterfall!CP35</f>
        <v>0</v>
      </c>
      <c r="CQ101" s="19" t="n">
        <f aca="false">CQ100-Waterfall!CQ35</f>
        <v>0</v>
      </c>
      <c r="CR101" s="19" t="n">
        <f aca="false">CR100-Waterfall!CR35</f>
        <v>0</v>
      </c>
      <c r="CS101" s="19" t="n">
        <f aca="false">CS100-Waterfall!CS35</f>
        <v>0</v>
      </c>
      <c r="CT101" s="19" t="n">
        <f aca="false">CT100-Waterfall!CT35</f>
        <v>0</v>
      </c>
      <c r="CU101" s="19" t="n">
        <f aca="false">CU100-Waterfall!CU35</f>
        <v>0</v>
      </c>
      <c r="CV101" s="19" t="n">
        <f aca="false">CV100-Waterfall!CV35</f>
        <v>0</v>
      </c>
      <c r="CW101" s="19" t="n">
        <f aca="false">CW100-Waterfall!CW35</f>
        <v>0</v>
      </c>
      <c r="CX101" s="19" t="n">
        <f aca="false">CX100-Waterfall!CX35</f>
        <v>0</v>
      </c>
      <c r="CY101" s="19" t="n">
        <f aca="false">CY100-Waterfall!CY35</f>
        <v>0</v>
      </c>
      <c r="CZ101" s="19" t="n">
        <f aca="false">CZ100-Waterfall!CZ35</f>
        <v>0</v>
      </c>
      <c r="DA101" s="19" t="n">
        <f aca="false">DA100-Waterfall!DA35</f>
        <v>0</v>
      </c>
      <c r="DB101" s="19" t="n">
        <f aca="false">DB100-Waterfall!DB35</f>
        <v>0</v>
      </c>
    </row>
    <row r="102" customFormat="false" ht="15" hidden="false" customHeight="false" outlineLevel="0" collapsed="false">
      <c r="D102" s="0" t="s">
        <v>514</v>
      </c>
      <c r="E102" s="0" t="s">
        <v>44</v>
      </c>
      <c r="J102" s="19" t="n">
        <f aca="false">IF(Time!J20=1,J96+Funding!J34+J97,J96+J97-Waterfall!J35)</f>
        <v>0</v>
      </c>
      <c r="K102" s="19" t="n">
        <f aca="false">IF(Time!K20=1,K96+Funding!K34+K97,K96+K97-Waterfall!K35)</f>
        <v>0</v>
      </c>
      <c r="L102" s="19" t="n">
        <f aca="false">IF(Time!L20=1,L96+Funding!L34+L97,L96+L97-Waterfall!L35)</f>
        <v>0</v>
      </c>
      <c r="M102" s="19" t="n">
        <f aca="false">IF(Time!M20=1,M96+Funding!M34+M97,M96+M97-Waterfall!M35)</f>
        <v>0</v>
      </c>
      <c r="N102" s="19" t="n">
        <f aca="false">IF(Time!N20=1,N96+Funding!N34+N97,N96+N97-Waterfall!N35)</f>
        <v>5.99352374951783</v>
      </c>
      <c r="O102" s="19" t="n">
        <f aca="false">IF(Time!O20=1,O96+Funding!O34+O97,O96+O97-Waterfall!O35)</f>
        <v>63.0521895651963</v>
      </c>
      <c r="P102" s="19" t="n">
        <f aca="false">IF(Time!P20=1,P96+Funding!P34+P97,P96+P97-Waterfall!P35)</f>
        <v>128.657652028288</v>
      </c>
      <c r="Q102" s="19" t="n">
        <f aca="false">IF(Time!Q20=1,Q96+Funding!Q34+Q97,Q96+Q97-Waterfall!Q35)</f>
        <v>199.170745146654</v>
      </c>
      <c r="R102" s="19" t="n">
        <f aca="false">IF(Time!R20=1,R96+Funding!R34+R97,R96+R97-Waterfall!R35)</f>
        <v>271.494997689277</v>
      </c>
      <c r="S102" s="19" t="n">
        <f aca="false">IF(Time!S20=1,S96+Funding!S34+S97,S96+S97-Waterfall!S35)</f>
        <v>339.845289289782</v>
      </c>
      <c r="T102" s="19" t="n">
        <f aca="false">IF(Time!T20=1,T96+Funding!T34+T97,T96+T97-Waterfall!T35)</f>
        <v>375.786131957668</v>
      </c>
      <c r="U102" s="19" t="n">
        <f aca="false">IF(Time!U20=1,U96+Funding!U34+U97,U96+U97-Waterfall!U35)</f>
        <v>406.074455898701</v>
      </c>
      <c r="V102" s="19" t="n">
        <f aca="false">IF(Time!V20=1,V96+Funding!V34+V97,V96+V97-Waterfall!V35)</f>
        <v>429.78055195106</v>
      </c>
      <c r="W102" s="19" t="n">
        <f aca="false">IF(Time!W20=1,W96+Funding!W34+W97,W96+W97-Waterfall!W35)</f>
        <v>446.716977705633</v>
      </c>
      <c r="X102" s="19" t="n">
        <f aca="false">IF(Time!X20=1,X96+Funding!X34+X97,X96+X97-Waterfall!X35)</f>
        <v>457.732251059902</v>
      </c>
      <c r="Y102" s="19" t="n">
        <f aca="false">IF(Time!Y20=1,Y96+Funding!Y34+Y97,Y96+Y97-Waterfall!Y35)</f>
        <v>488.019623241886</v>
      </c>
      <c r="Z102" s="19" t="n">
        <f aca="false">IF(Time!Z20=1,Z96+Funding!Z34+Z97,Z96+Z97-Waterfall!Z35)</f>
        <v>491.742745003199</v>
      </c>
      <c r="AA102" s="19" t="n">
        <f aca="false">IF(Time!AA20=1,AA96+Funding!AA34+AA97,AA96+AA97-Waterfall!AA35)</f>
        <v>499.328247335983</v>
      </c>
      <c r="AB102" s="19" t="n">
        <f aca="false">IF(Time!AB20=1,AB96+Funding!AB34+AB97,AB96+AB97-Waterfall!AB35)</f>
        <v>506.947038774513</v>
      </c>
      <c r="AC102" s="19" t="n">
        <f aca="false">IF(Time!AC20=1,AC96+Funding!AC34+AC97,AC96+AC97-Waterfall!AC35)</f>
        <v>514.767078794009</v>
      </c>
      <c r="AD102" s="19" t="n">
        <f aca="false">IF(Time!AD20=1,AD96+Funding!AD34+AD97,AD96+AD97-Waterfall!AD35)</f>
        <v>522.578281376498</v>
      </c>
      <c r="AE102" s="19" t="n">
        <f aca="false">IF(Time!AE20=1,AE96+Funding!AE34+AE97,AE96+AE97-Waterfall!AE35)</f>
        <v>530.639445090093</v>
      </c>
      <c r="AF102" s="19" t="n">
        <f aca="false">IF(Time!AF20=1,AF96+Funding!AF34+AF97,AF96+AF97-Waterfall!AF35)</f>
        <v>538.691498872493</v>
      </c>
      <c r="AG102" s="19" t="n">
        <f aca="false">IF(Time!AG20=1,AG96+Funding!AG34+AG97,AG96+AG97-Waterfall!AG35)</f>
        <v>547.00122110606</v>
      </c>
      <c r="AH102" s="19" t="n">
        <f aca="false">IF(Time!AH20=1,AH96+Funding!AH34+AH97,AH96+AH97-Waterfall!AH35)</f>
        <v>555.301552512136</v>
      </c>
      <c r="AI102" s="19" t="n">
        <f aca="false">IF(Time!AI20=1,AI96+Funding!AI34+AI97,AI96+AI97-Waterfall!AI35)</f>
        <v>563.867497337518</v>
      </c>
      <c r="AJ102" s="19" t="n">
        <f aca="false">IF(Time!AJ20=1,AJ96+Funding!AJ34+AJ97,AJ96+AJ97-Waterfall!AJ35)</f>
        <v>567.006315607487</v>
      </c>
      <c r="AK102" s="19" t="n">
        <f aca="false">IF(Time!AK20=1,AK96+Funding!AK34+AK97,AK96+AK97-Waterfall!AK35)</f>
        <v>567.006315607487</v>
      </c>
      <c r="AL102" s="19" t="n">
        <f aca="false">IF(Time!AL20=1,AL96+Funding!AL34+AL97,AL96+AL97-Waterfall!AL35)</f>
        <v>567.006315607487</v>
      </c>
      <c r="AM102" s="19" t="n">
        <f aca="false">IF(Time!AM20=1,AM96+Funding!AM34+AM97,AM96+AM97-Waterfall!AM35)</f>
        <v>567.006315607487</v>
      </c>
      <c r="AN102" s="19" t="n">
        <f aca="false">IF(Time!AN20=1,AN96+Funding!AN34+AN97,AN96+AN97-Waterfall!AN35)</f>
        <v>567.006315607487</v>
      </c>
      <c r="AO102" s="19" t="n">
        <f aca="false">IF(Time!AO20=1,AO96+Funding!AO34+AO97,AO96+AO97-Waterfall!AO35)</f>
        <v>567.006315607487</v>
      </c>
      <c r="AP102" s="19" t="n">
        <f aca="false">IF(Time!AP20=1,AP96+Funding!AP34+AP97,AP96+AP97-Waterfall!AP35)</f>
        <v>566.798594047452</v>
      </c>
      <c r="AQ102" s="19" t="n">
        <f aca="false">IF(Time!AQ20=1,AQ96+Funding!AQ34+AQ97,AQ96+AQ97-Waterfall!AQ35)</f>
        <v>566.798594047452</v>
      </c>
      <c r="AR102" s="19" t="n">
        <f aca="false">IF(Time!AR20=1,AR96+Funding!AR34+AR97,AR96+AR97-Waterfall!AR35)</f>
        <v>566.798594047452</v>
      </c>
      <c r="AS102" s="19" t="n">
        <f aca="false">IF(Time!AS20=1,AS96+Funding!AS34+AS97,AS96+AS97-Waterfall!AS35)</f>
        <v>566.798594047452</v>
      </c>
      <c r="AT102" s="19" t="n">
        <f aca="false">IF(Time!AT20=1,AT96+Funding!AT34+AT97,AT96+AT97-Waterfall!AT35)</f>
        <v>566.798594047452</v>
      </c>
      <c r="AU102" s="19" t="n">
        <f aca="false">IF(Time!AU20=1,AU96+Funding!AU34+AU97,AU96+AU97-Waterfall!AU35)</f>
        <v>566.418416053113</v>
      </c>
      <c r="AV102" s="19" t="n">
        <f aca="false">IF(Time!AV20=1,AV96+Funding!AV34+AV97,AV96+AV97-Waterfall!AV35)</f>
        <v>565.605432430974</v>
      </c>
      <c r="AW102" s="19" t="n">
        <f aca="false">IF(Time!AW20=1,AW96+Funding!AW34+AW97,AW96+AW97-Waterfall!AW35)</f>
        <v>564.107379511535</v>
      </c>
      <c r="AX102" s="19" t="n">
        <f aca="false">IF(Time!AX20=1,AX96+Funding!AX34+AX97,AX96+AX97-Waterfall!AX35)</f>
        <v>562.403339050374</v>
      </c>
      <c r="AY102" s="19" t="n">
        <f aca="false">IF(Time!AY20=1,AY96+Funding!AY34+AY97,AY96+AY97-Waterfall!AY35)</f>
        <v>560.886790862375</v>
      </c>
      <c r="AZ102" s="19" t="n">
        <f aca="false">IF(Time!AZ20=1,AZ96+Funding!AZ34+AZ97,AZ96+AZ97-Waterfall!AZ35)</f>
        <v>559.142582864815</v>
      </c>
      <c r="BA102" s="19" t="n">
        <f aca="false">IF(Time!BA20=1,BA96+Funding!BA34+BA97,BA96+BA97-Waterfall!BA35)</f>
        <v>556.981983509674</v>
      </c>
      <c r="BB102" s="19" t="n">
        <f aca="false">IF(Time!BB20=1,BB96+Funding!BB34+BB97,BB96+BB97-Waterfall!BB35)</f>
        <v>554.60274937559</v>
      </c>
      <c r="BC102" s="19" t="n">
        <f aca="false">IF(Time!BC20=1,BC96+Funding!BC34+BC97,BC96+BC97-Waterfall!BC35)</f>
        <v>550.477140469914</v>
      </c>
      <c r="BD102" s="19" t="n">
        <f aca="false">IF(Time!BD20=1,BD96+Funding!BD34+BD97,BD96+BD97-Waterfall!BD35)</f>
        <v>546.10176981697</v>
      </c>
      <c r="BE102" s="19" t="n">
        <f aca="false">IF(Time!BE20=1,BE96+Funding!BE34+BE97,BE96+BE97-Waterfall!BE35)</f>
        <v>540.588523793454</v>
      </c>
      <c r="BF102" s="19" t="n">
        <f aca="false">IF(Time!BF20=1,BF96+Funding!BF34+BF97,BF96+BF97-Waterfall!BF35)</f>
        <v>534.804042784307</v>
      </c>
      <c r="BG102" s="19" t="n">
        <f aca="false">IF(Time!BG20=1,BG96+Funding!BG34+BG97,BG96+BG97-Waterfall!BG35)</f>
        <v>528.432704031964</v>
      </c>
      <c r="BH102" s="19" t="n">
        <f aca="false">IF(Time!BH20=1,BH96+Funding!BH34+BH97,BH96+BH97-Waterfall!BH35)</f>
        <v>521.740895325469</v>
      </c>
      <c r="BI102" s="19" t="n">
        <f aca="false">IF(Time!BI20=1,BI96+Funding!BI34+BI97,BI96+BI97-Waterfall!BI35)</f>
        <v>514.450238538766</v>
      </c>
      <c r="BJ102" s="19" t="n">
        <f aca="false">IF(Time!BJ20=1,BJ96+Funding!BJ34+BJ97,BJ96+BJ97-Waterfall!BJ35)</f>
        <v>506.862539575166</v>
      </c>
      <c r="BK102" s="19" t="n">
        <f aca="false">IF(Time!BK20=1,BK96+Funding!BK34+BK97,BK96+BK97-Waterfall!BK35)</f>
        <v>498.588784832797</v>
      </c>
      <c r="BL102" s="19" t="n">
        <f aca="false">IF(Time!BL20=1,BL96+Funding!BL34+BL97,BL96+BL97-Waterfall!BL35)</f>
        <v>490.003945930929</v>
      </c>
      <c r="BM102" s="19" t="n">
        <f aca="false">IF(Time!BM20=1,BM96+Funding!BM34+BM97,BM96+BM97-Waterfall!BM35)</f>
        <v>480.685519055345</v>
      </c>
      <c r="BN102" s="19" t="n">
        <f aca="false">IF(Time!BN20=1,BN96+Funding!BN34+BN97,BN96+BN97-Waterfall!BN35)</f>
        <v>471.041890028193</v>
      </c>
      <c r="BO102" s="19" t="n">
        <f aca="false">IF(Time!BO20=1,BO96+Funding!BO34+BO97,BO96+BO97-Waterfall!BO35)</f>
        <v>463.459145408662</v>
      </c>
      <c r="BP102" s="19" t="n">
        <f aca="false">IF(Time!BP20=1,BP96+Funding!BP34+BP97,BP96+BP97-Waterfall!BP35)</f>
        <v>455.519839559294</v>
      </c>
      <c r="BQ102" s="19" t="n">
        <f aca="false">IF(Time!BQ20=1,BQ96+Funding!BQ34+BQ97,BQ96+BQ97-Waterfall!BQ35)</f>
        <v>446.835276414517</v>
      </c>
      <c r="BR102" s="19" t="n">
        <f aca="false">IF(Time!BR20=1,BR96+Funding!BR34+BR97,BR96+BR97-Waterfall!BR35)</f>
        <v>438.033624130642</v>
      </c>
      <c r="BS102" s="19" t="n">
        <f aca="false">IF(Time!BS20=1,BS96+Funding!BS34+BS97,BS96+BS97-Waterfall!BS35)</f>
        <v>428.395263457129</v>
      </c>
      <c r="BT102" s="19" t="n">
        <f aca="false">IF(Time!BT20=1,BT96+Funding!BT34+BT97,BT96+BT97-Waterfall!BT35)</f>
        <v>418.634124295016</v>
      </c>
      <c r="BU102" s="19" t="n">
        <f aca="false">IF(Time!BU20=1,BU96+Funding!BU34+BU97,BU96+BU97-Waterfall!BU35)</f>
        <v>405.136513186858</v>
      </c>
      <c r="BV102" s="19" t="n">
        <f aca="false">IF(Time!BV20=1,BV96+Funding!BV34+BV97,BV96+BV97-Waterfall!BV35)</f>
        <v>391.467005648731</v>
      </c>
      <c r="BW102" s="19" t="n">
        <f aca="false">IF(Time!BW20=1,BW96+Funding!BW34+BW97,BW96+BW97-Waterfall!BW35)</f>
        <v>376.815244731851</v>
      </c>
      <c r="BX102" s="19" t="n">
        <f aca="false">IF(Time!BX20=1,BX96+Funding!BX34+BX97,BX96+BX97-Waterfall!BX35)</f>
        <v>361.903699026623</v>
      </c>
      <c r="BY102" s="19" t="n">
        <f aca="false">IF(Time!BY20=1,BY96+Funding!BY34+BY97,BY96+BY97-Waterfall!BY35)</f>
        <v>346.034466337606</v>
      </c>
      <c r="BZ102" s="19" t="n">
        <f aca="false">IF(Time!BZ20=1,BZ96+Funding!BZ34+BZ97,BZ96+BZ97-Waterfall!BZ35)</f>
        <v>329.981297752244</v>
      </c>
      <c r="CA102" s="19" t="n">
        <f aca="false">IF(Time!CA20=1,CA96+Funding!CA34+CA97,CA96+CA97-Waterfall!CA35)</f>
        <v>314.671749049842</v>
      </c>
      <c r="CB102" s="19" t="n">
        <f aca="false">IF(Time!CB20=1,CB96+Funding!CB34+CB97,CB96+CB97-Waterfall!CB35)</f>
        <v>299.19991042069</v>
      </c>
      <c r="CC102" s="19" t="n">
        <f aca="false">IF(Time!CC20=1,CC96+Funding!CC34+CC97,CC96+CC97-Waterfall!CC35)</f>
        <v>282.599632203175</v>
      </c>
      <c r="CD102" s="19" t="n">
        <f aca="false">IF(Time!CD20=1,CD96+Funding!CD34+CD97,CD96+CD97-Waterfall!CD35)</f>
        <v>265.830539969724</v>
      </c>
      <c r="CE102" s="19" t="n">
        <f aca="false">IF(Time!CE20=1,CE96+Funding!CE34+CE97,CE96+CE97-Waterfall!CE35)</f>
        <v>248.762541265319</v>
      </c>
      <c r="CF102" s="19" t="n">
        <f aca="false">IF(Time!CF20=1,CF96+Funding!CF34+CF97,CF96+CF97-Waterfall!CF35)</f>
        <v>233.961535673628</v>
      </c>
      <c r="CG102" s="19" t="n">
        <f aca="false">IF(Time!CG20=1,CG96+Funding!CG34+CG97,CG96+CG97-Waterfall!CG35)</f>
        <v>217.756328348046</v>
      </c>
      <c r="CH102" s="19" t="n">
        <f aca="false">IF(Time!CH20=1,CH96+Funding!CH34+CH97,CH96+CH97-Waterfall!CH35)</f>
        <v>195.117575470704</v>
      </c>
      <c r="CI102" s="19" t="n">
        <f aca="false">IF(Time!CI20=1,CI96+Funding!CI34+CI97,CI96+CI97-Waterfall!CI35)</f>
        <v>170.985655098607</v>
      </c>
      <c r="CJ102" s="19" t="n">
        <f aca="false">IF(Time!CJ20=1,CJ96+Funding!CJ34+CJ97,CJ96+CJ97-Waterfall!CJ35)</f>
        <v>146.737065768419</v>
      </c>
      <c r="CK102" s="19" t="n">
        <f aca="false">IF(Time!CK20=1,CK96+Funding!CK34+CK97,CK96+CK97-Waterfall!CK35)</f>
        <v>116.926169331835</v>
      </c>
      <c r="CL102" s="19" t="n">
        <f aca="false">IF(Time!CL20=1,CL96+Funding!CL34+CL97,CL96+CL97-Waterfall!CL35)</f>
        <v>89.5063520129565</v>
      </c>
      <c r="CM102" s="19" t="n">
        <f aca="false">IF(Time!CM20=1,CM96+Funding!CM34+CM97,CM96+CM97-Waterfall!CM35)</f>
        <v>60.4130367311756</v>
      </c>
      <c r="CN102" s="19" t="n">
        <f aca="false">IF(Time!CN20=1,CN96+Funding!CN34+CN97,CN96+CN97-Waterfall!CN35)</f>
        <v>30.9971423574339</v>
      </c>
      <c r="CO102" s="19" t="n">
        <f aca="false">IF(Time!CO20=1,CO96+Funding!CO34+CO97,CO96+CO97-Waterfall!CO35)</f>
        <v>0</v>
      </c>
      <c r="CP102" s="19" t="n">
        <f aca="false">IF(Time!CP20=1,CP96+Funding!CP34+CP97,CP96+CP97-Waterfall!CP35)</f>
        <v>0</v>
      </c>
      <c r="CQ102" s="19" t="n">
        <f aca="false">IF(Time!CQ20=1,CQ96+Funding!CQ34+CQ97,CQ96+CQ97-Waterfall!CQ35)</f>
        <v>0</v>
      </c>
      <c r="CR102" s="19" t="n">
        <f aca="false">IF(Time!CR20=1,CR96+Funding!CR34+CR97,CR96+CR97-Waterfall!CR35)</f>
        <v>0</v>
      </c>
      <c r="CS102" s="19" t="n">
        <f aca="false">IF(Time!CS20=1,CS96+Funding!CS34+CS97,CS96+CS97-Waterfall!CS35)</f>
        <v>0</v>
      </c>
      <c r="CT102" s="19" t="n">
        <f aca="false">IF(Time!CT20=1,CT96+Funding!CT34+CT97,CT96+CT97-Waterfall!CT35)</f>
        <v>0</v>
      </c>
      <c r="CU102" s="19" t="n">
        <f aca="false">IF(Time!CU20=1,CU96+Funding!CU34+CU97,CU96+CU97-Waterfall!CU35)</f>
        <v>0</v>
      </c>
      <c r="CV102" s="19" t="n">
        <f aca="false">IF(Time!CV20=1,CV96+Funding!CV34+CV97,CV96+CV97-Waterfall!CV35)</f>
        <v>0</v>
      </c>
      <c r="CW102" s="19" t="n">
        <f aca="false">IF(Time!CW20=1,CW96+Funding!CW34+CW97,CW96+CW97-Waterfall!CW35)</f>
        <v>0</v>
      </c>
      <c r="CX102" s="19" t="n">
        <f aca="false">IF(Time!CX20=1,CX96+Funding!CX34+CX97,CX96+CX97-Waterfall!CX35)</f>
        <v>0</v>
      </c>
      <c r="CY102" s="19" t="n">
        <f aca="false">IF(Time!CY20=1,CY96+Funding!CY34+CY97,CY96+CY97-Waterfall!CY35)</f>
        <v>0</v>
      </c>
      <c r="CZ102" s="19" t="n">
        <f aca="false">IF(Time!CZ20=1,CZ96+Funding!CZ34+CZ97,CZ96+CZ97-Waterfall!CZ35)</f>
        <v>0</v>
      </c>
      <c r="DA102" s="19" t="n">
        <f aca="false">IF(Time!DA20=1,DA96+Funding!DA34+DA97,DA96+DA97-Waterfall!DA35)</f>
        <v>0</v>
      </c>
      <c r="DB102" s="19" t="n">
        <f aca="false">IF(Time!DB20=1,DB96+Funding!DB34+DB97,DB96+DB97-Waterfall!DB35)</f>
        <v>0</v>
      </c>
    </row>
    <row r="103" customFormat="false" ht="15" hidden="false" customHeight="false" outlineLevel="0" collapsed="false">
      <c r="D103" s="3" t="s">
        <v>559</v>
      </c>
    </row>
    <row r="104" customFormat="false" ht="15" hidden="false" customHeight="false" outlineLevel="0" collapsed="false">
      <c r="D104" s="0" t="s">
        <v>560</v>
      </c>
      <c r="E104" s="0" t="s">
        <v>44</v>
      </c>
      <c r="G104" s="19" t="n">
        <f aca="false">SUM(J104:DB104)</f>
        <v>3101.3947173592</v>
      </c>
      <c r="J104" s="19" t="n">
        <f aca="false">J13-IF(Inputs!$F$215=1,J87,J34-J39)</f>
        <v>0</v>
      </c>
      <c r="K104" s="19" t="n">
        <f aca="false">K13-IF(Inputs!$F$215=1,K87,K34-K39)</f>
        <v>0</v>
      </c>
      <c r="L104" s="19" t="n">
        <f aca="false">L13-IF(Inputs!$F$215=1,L87,L34-L39)</f>
        <v>0</v>
      </c>
      <c r="M104" s="19" t="n">
        <f aca="false">M13-IF(Inputs!$F$215=1,M87,M34-M39)</f>
        <v>0</v>
      </c>
      <c r="N104" s="19" t="n">
        <f aca="false">N13-IF(Inputs!$F$215=1,N87,N34-N39)</f>
        <v>0</v>
      </c>
      <c r="O104" s="19" t="n">
        <f aca="false">O13-IF(Inputs!$F$215=1,O87,O34-O39)</f>
        <v>0</v>
      </c>
      <c r="P104" s="19" t="n">
        <f aca="false">P13-IF(Inputs!$F$215=1,P87,P34-P39)</f>
        <v>0</v>
      </c>
      <c r="Q104" s="19" t="n">
        <f aca="false">Q13-IF(Inputs!$F$215=1,Q87,Q34-Q39)</f>
        <v>0</v>
      </c>
      <c r="R104" s="19" t="n">
        <f aca="false">R13-IF(Inputs!$F$215=1,R87,R34-R39)</f>
        <v>0</v>
      </c>
      <c r="S104" s="19" t="n">
        <f aca="false">S13-IF(Inputs!$F$215=1,S87,S34-S39)</f>
        <v>0</v>
      </c>
      <c r="T104" s="19" t="n">
        <f aca="false">T13-IF(Inputs!$F$215=1,T87,T34-T39)</f>
        <v>0</v>
      </c>
      <c r="U104" s="19" t="n">
        <f aca="false">U13-IF(Inputs!$F$215=1,U87,U34-U39)</f>
        <v>0</v>
      </c>
      <c r="V104" s="19" t="n">
        <f aca="false">V13-IF(Inputs!$F$215=1,V87,V34-V39)</f>
        <v>0</v>
      </c>
      <c r="W104" s="19" t="n">
        <f aca="false">W13-IF(Inputs!$F$215=1,W87,W34-W39)</f>
        <v>0</v>
      </c>
      <c r="X104" s="19" t="n">
        <f aca="false">X13-IF(Inputs!$F$215=1,X87,X34-X39)</f>
        <v>0</v>
      </c>
      <c r="Y104" s="19" t="n">
        <f aca="false">Y13-IF(Inputs!$F$215=1,Y87,Y34-Y39)</f>
        <v>0</v>
      </c>
      <c r="Z104" s="19" t="n">
        <f aca="false">Z13-IF(Inputs!$F$215=1,Z87,Z34-Z39)</f>
        <v>18.0775679498548</v>
      </c>
      <c r="AA104" s="19" t="n">
        <f aca="false">AA13-IF(Inputs!$F$215=1,AA87,AA34-AA39)</f>
        <v>38.0730250976877</v>
      </c>
      <c r="AB104" s="19" t="n">
        <f aca="false">AB13-IF(Inputs!$F$215=1,AB87,AB34-AB39)</f>
        <v>39.8012246740805</v>
      </c>
      <c r="AC104" s="19" t="n">
        <f aca="false">AC13-IF(Inputs!$F$215=1,AC87,AC34-AC39)</f>
        <v>41.0011997359894</v>
      </c>
      <c r="AD104" s="19" t="n">
        <f aca="false">AD13-IF(Inputs!$F$215=1,AD87,AD34-AD39)</f>
        <v>13.8335107649153</v>
      </c>
      <c r="AE104" s="19" t="n">
        <f aca="false">AE13-IF(Inputs!$F$215=1,AE87,AE34-AE39)</f>
        <v>14.5858546906744</v>
      </c>
      <c r="AF104" s="19" t="n">
        <f aca="false">AF13-IF(Inputs!$F$215=1,AF87,AF34-AF39)</f>
        <v>15.6033267516617</v>
      </c>
      <c r="AG104" s="19" t="n">
        <f aca="false">AG13-IF(Inputs!$F$215=1,AG87,AG34-AG39)</f>
        <v>16.4085695800541</v>
      </c>
      <c r="AH104" s="19" t="n">
        <f aca="false">AH13-IF(Inputs!$F$215=1,AH87,AH34-AH39)</f>
        <v>16.7281872217949</v>
      </c>
      <c r="AI104" s="19" t="n">
        <f aca="false">AI13-IF(Inputs!$F$215=1,AI87,AI34-AI39)</f>
        <v>16.4539839698181</v>
      </c>
      <c r="AJ104" s="19" t="n">
        <f aca="false">AJ13-IF(Inputs!$F$215=1,AJ87,AJ34-AJ39)</f>
        <v>16.8920411205604</v>
      </c>
      <c r="AK104" s="19" t="n">
        <f aca="false">AK13-IF(Inputs!$F$215=1,AK87,AK34-AK39)</f>
        <v>17.650315698707</v>
      </c>
      <c r="AL104" s="19" t="n">
        <f aca="false">AL13-IF(Inputs!$F$215=1,AL87,AL34-AL39)</f>
        <v>18.0111586541352</v>
      </c>
      <c r="AM104" s="19" t="n">
        <f aca="false">AM13-IF(Inputs!$F$215=1,AM87,AM34-AM39)</f>
        <v>18.9204365856507</v>
      </c>
      <c r="AN104" s="19" t="n">
        <f aca="false">AN13-IF(Inputs!$F$215=1,AN87,AN34-AN39)</f>
        <v>19.303363052496</v>
      </c>
      <c r="AO104" s="19" t="n">
        <f aca="false">AO13-IF(Inputs!$F$215=1,AO87,AO34-AO39)</f>
        <v>21.3390680441988</v>
      </c>
      <c r="AP104" s="19" t="n">
        <f aca="false">AP13-IF(Inputs!$F$215=1,AP87,AP34-AP39)</f>
        <v>21.7453468059721</v>
      </c>
      <c r="AQ104" s="19" t="n">
        <f aca="false">AQ13-IF(Inputs!$F$215=1,AQ87,AQ34-AQ39)</f>
        <v>19.3396815989447</v>
      </c>
      <c r="AR104" s="19" t="n">
        <f aca="false">AR13-IF(Inputs!$F$215=1,AR87,AR34-AR39)</f>
        <v>19.899075046768</v>
      </c>
      <c r="AS104" s="19" t="n">
        <f aca="false">AS13-IF(Inputs!$F$215=1,AS87,AS34-AS39)</f>
        <v>20.8660002633036</v>
      </c>
      <c r="AT104" s="19" t="n">
        <f aca="false">AT13-IF(Inputs!$F$215=1,AT87,AT34-AT39)</f>
        <v>21.3242065804797</v>
      </c>
      <c r="AU104" s="19" t="n">
        <f aca="false">AU13-IF(Inputs!$F$215=1,AU87,AU34-AU39)</f>
        <v>22.4843177746067</v>
      </c>
      <c r="AV104" s="19" t="n">
        <f aca="false">AV13-IF(Inputs!$F$215=1,AV87,AV34-AV39)</f>
        <v>22.9703424682371</v>
      </c>
      <c r="AW104" s="19" t="n">
        <f aca="false">AW13-IF(Inputs!$F$215=1,AW87,AW34-AW39)</f>
        <v>24.8621878887159</v>
      </c>
      <c r="AX104" s="19" t="n">
        <f aca="false">AX13-IF(Inputs!$F$215=1,AX87,AX34-AX39)</f>
        <v>25.0504370826527</v>
      </c>
      <c r="AY104" s="19" t="n">
        <f aca="false">AY13-IF(Inputs!$F$215=1,AY87,AY34-AY39)</f>
        <v>25.0192695589056</v>
      </c>
      <c r="AZ104" s="19" t="n">
        <f aca="false">AZ13-IF(Inputs!$F$215=1,AZ87,AZ34-AZ39)</f>
        <v>25.3798259755757</v>
      </c>
      <c r="BA104" s="19" t="n">
        <f aca="false">BA13-IF(Inputs!$F$215=1,BA87,BA34-BA39)</f>
        <v>26.5506819284337</v>
      </c>
      <c r="BB104" s="19" t="n">
        <f aca="false">BB13-IF(Inputs!$F$215=1,BB87,BB34-BB39)</f>
        <v>26.7589281542167</v>
      </c>
      <c r="BC104" s="19" t="n">
        <f aca="false">BC13-IF(Inputs!$F$215=1,BC87,BC34-BC39)</f>
        <v>30.9165986501366</v>
      </c>
      <c r="BD104" s="19" t="n">
        <f aca="false">BD13-IF(Inputs!$F$215=1,BD87,BD34-BD39)</f>
        <v>31.134949508259</v>
      </c>
      <c r="BE104" s="19" t="n">
        <f aca="false">BE13-IF(Inputs!$F$215=1,BE87,BE34-BE39)</f>
        <v>33.9118958051786</v>
      </c>
      <c r="BF104" s="19" t="n">
        <f aca="false">BF13-IF(Inputs!$F$215=1,BF87,BF34-BF39)</f>
        <v>34.141962634376</v>
      </c>
      <c r="BG104" s="19" t="n">
        <f aca="false">BG13-IF(Inputs!$F$215=1,BG87,BG34-BG39)</f>
        <v>35.6795462296366</v>
      </c>
      <c r="BH104" s="19" t="n">
        <f aca="false">BH13-IF(Inputs!$F$215=1,BH87,BH34-BH39)</f>
        <v>36.119395544907</v>
      </c>
      <c r="BI104" s="19" t="n">
        <f aca="false">BI13-IF(Inputs!$F$215=1,BI87,BI34-BI39)</f>
        <v>37.5423739209504</v>
      </c>
      <c r="BJ104" s="19" t="n">
        <f aca="false">BJ13-IF(Inputs!$F$215=1,BJ87,BJ34-BJ39)</f>
        <v>37.7963061209442</v>
      </c>
      <c r="BK104" s="19" t="n">
        <f aca="false">BK13-IF(Inputs!$F$215=1,BK87,BK34-BK39)</f>
        <v>39.5057402156672</v>
      </c>
      <c r="BL104" s="19" t="n">
        <f aca="false">BL13-IF(Inputs!$F$215=1,BL87,BL34-BL39)</f>
        <v>39.7730758080852</v>
      </c>
      <c r="BM104" s="19" t="n">
        <f aca="false">BM13-IF(Inputs!$F$215=1,BM87,BM34-BM39)</f>
        <v>41.5580135182302</v>
      </c>
      <c r="BN104" s="19" t="n">
        <f aca="false">BN13-IF(Inputs!$F$215=1,BN87,BN34-BN39)</f>
        <v>41.8381017077749</v>
      </c>
      <c r="BO104" s="19" t="n">
        <f aca="false">BO13-IF(Inputs!$F$215=1,BO87,BO34-BO39)</f>
        <v>37.5173461239812</v>
      </c>
      <c r="BP104" s="19" t="n">
        <f aca="false">BP13-IF(Inputs!$F$215=1,BP87,BP34-BP39)</f>
        <v>38.055512021699</v>
      </c>
      <c r="BQ104" s="19" t="n">
        <f aca="false">BQ13-IF(Inputs!$F$215=1,BQ87,BQ34-BQ39)</f>
        <v>34.1171717162812</v>
      </c>
      <c r="BR104" s="19" t="n">
        <f aca="false">BR13-IF(Inputs!$F$215=1,BR87,BR34-BR39)</f>
        <v>30.7986258896829</v>
      </c>
      <c r="BS104" s="19" t="n">
        <f aca="false">BS13-IF(Inputs!$F$215=1,BS87,BS34-BS39)</f>
        <v>32.1743513267525</v>
      </c>
      <c r="BT104" s="19" t="n">
        <f aca="false">BT13-IF(Inputs!$F$215=1,BT87,BT34-BT39)</f>
        <v>31.8926346920563</v>
      </c>
      <c r="BU104" s="19" t="n">
        <f aca="false">BU13-IF(Inputs!$F$215=1,BU87,BU34-BU39)</f>
        <v>49.6331436558163</v>
      </c>
      <c r="BV104" s="19" t="n">
        <f aca="false">BV13-IF(Inputs!$F$215=1,BV87,BV34-BV39)</f>
        <v>40.2372485464604</v>
      </c>
      <c r="BW104" s="19" t="n">
        <f aca="false">BW13-IF(Inputs!$F$215=1,BW87,BW34-BW39)</f>
        <v>40.6378438756603</v>
      </c>
      <c r="BX104" s="19" t="n">
        <f aca="false">BX13-IF(Inputs!$F$215=1,BX87,BX34-BX39)</f>
        <v>40.5265342648191</v>
      </c>
      <c r="BY104" s="19" t="n">
        <f aca="false">BY13-IF(Inputs!$F$215=1,BY87,BY34-BY39)</f>
        <v>41.7919196367348</v>
      </c>
      <c r="BZ104" s="19" t="n">
        <f aca="false">BZ13-IF(Inputs!$F$215=1,BZ87,BZ34-BZ39)</f>
        <v>41.4462370090947</v>
      </c>
      <c r="CA104" s="19" t="n">
        <f aca="false">CA13-IF(Inputs!$F$215=1,CA87,CA34-CA39)</f>
        <v>38.9735719147073</v>
      </c>
      <c r="CB104" s="19" t="n">
        <f aca="false">CB13-IF(Inputs!$F$215=1,CB87,CB34-CB39)</f>
        <v>38.6268530304912</v>
      </c>
      <c r="CC104" s="19" t="n">
        <f aca="false">CC13-IF(Inputs!$F$215=1,CC87,CC34-CC39)</f>
        <v>40.2180119007122</v>
      </c>
      <c r="CD104" s="19" t="n">
        <f aca="false">CD13-IF(Inputs!$F$215=1,CD87,CD34-CD39)</f>
        <v>39.8552115239109</v>
      </c>
      <c r="CE104" s="19" t="n">
        <f aca="false">CE13-IF(Inputs!$F$215=1,CE87,CE34-CE39)</f>
        <v>39.5552571209236</v>
      </c>
      <c r="CF104" s="19" t="n">
        <f aca="false">CF13-IF(Inputs!$F$215=1,CF87,CF34-CF39)</f>
        <v>39.4313278903398</v>
      </c>
      <c r="CG104" s="19" t="n">
        <f aca="false">CG13-IF(Inputs!$F$215=1,CG87,CG34-CG39)</f>
        <v>48.8963614909075</v>
      </c>
      <c r="CH104" s="19" t="n">
        <f aca="false">CH13-IF(Inputs!$F$215=1,CH87,CH34-CH39)</f>
        <v>123.71386464887</v>
      </c>
      <c r="CI104" s="19" t="n">
        <f aca="false">CI13-IF(Inputs!$F$215=1,CI87,CI34-CI39)</f>
        <v>129.34838054512</v>
      </c>
      <c r="CJ104" s="19" t="n">
        <f aca="false">CJ13-IF(Inputs!$F$215=1,CJ87,CJ34-CJ39)</f>
        <v>128.306126817846</v>
      </c>
      <c r="CK104" s="19" t="n">
        <f aca="false">CK13-IF(Inputs!$F$215=1,CK87,CK34-CK39)</f>
        <v>150.414944717452</v>
      </c>
      <c r="CL104" s="19" t="n">
        <f aca="false">CL13-IF(Inputs!$F$215=1,CL87,CL34-CL39)</f>
        <v>138.858143416961</v>
      </c>
      <c r="CM104" s="19" t="n">
        <f aca="false">CM13-IF(Inputs!$F$215=1,CM87,CM34-CM39)</f>
        <v>144.9175887513</v>
      </c>
      <c r="CN104" s="19" t="n">
        <f aca="false">CN13-IF(Inputs!$F$215=1,CN87,CN34-CN39)</f>
        <v>144.664489074489</v>
      </c>
      <c r="CO104" s="19" t="n">
        <f aca="false">CO13-IF(Inputs!$F$215=1,CO87,CO34-CO39)</f>
        <v>150.074260803195</v>
      </c>
      <c r="CP104" s="19" t="n">
        <f aca="false">CP13-IF(Inputs!$F$215=1,CP87,CP34-CP39)</f>
        <v>161.860660569695</v>
      </c>
      <c r="CQ104" s="19" t="n">
        <f aca="false">CQ13-IF(Inputs!$F$215=1,CQ87,CQ34-CQ39)</f>
        <v>0</v>
      </c>
      <c r="CR104" s="19" t="n">
        <f aca="false">CR13-IF(Inputs!$F$215=1,CR87,CR34-CR39)</f>
        <v>0</v>
      </c>
      <c r="CS104" s="19" t="n">
        <f aca="false">CS13-IF(Inputs!$F$215=1,CS87,CS34-CS39)</f>
        <v>0</v>
      </c>
      <c r="CT104" s="19" t="n">
        <f aca="false">CT13-IF(Inputs!$F$215=1,CT87,CT34-CT39)</f>
        <v>0</v>
      </c>
      <c r="CU104" s="19" t="n">
        <f aca="false">CU13-IF(Inputs!$F$215=1,CU87,CU34-CU39)</f>
        <v>0</v>
      </c>
      <c r="CV104" s="19" t="n">
        <f aca="false">CV13-IF(Inputs!$F$215=1,CV87,CV34-CV39)</f>
        <v>0</v>
      </c>
      <c r="CW104" s="19" t="n">
        <f aca="false">CW13-IF(Inputs!$F$215=1,CW87,CW34-CW39)</f>
        <v>0</v>
      </c>
      <c r="CX104" s="19" t="n">
        <f aca="false">CX13-IF(Inputs!$F$215=1,CX87,CX34-CX39)</f>
        <v>0</v>
      </c>
      <c r="CY104" s="19" t="n">
        <f aca="false">CY13-IF(Inputs!$F$215=1,CY87,CY34-CY39)</f>
        <v>0</v>
      </c>
      <c r="CZ104" s="19" t="n">
        <f aca="false">CZ13-IF(Inputs!$F$215=1,CZ87,CZ34-CZ39)</f>
        <v>0</v>
      </c>
      <c r="DA104" s="19" t="n">
        <f aca="false">DA13-IF(Inputs!$F$215=1,DA87,DA34-DA39)</f>
        <v>0</v>
      </c>
      <c r="DB104" s="19" t="n">
        <f aca="false">DB13-IF(Inputs!$F$215=1,DB87,DB34-DB39)</f>
        <v>0</v>
      </c>
    </row>
    <row r="105" customFormat="false" ht="15" hidden="false" customHeight="false" outlineLevel="0" collapsed="false">
      <c r="D105" s="0" t="s">
        <v>561</v>
      </c>
      <c r="E105" s="0" t="s">
        <v>171</v>
      </c>
      <c r="J105" s="27" t="n">
        <f aca="false">IF(Time!J47=1,IF(Time!I47=1,I105,1)/(1+Time!J50*Time!J9/Inputs!$F$45),0)</f>
        <v>0</v>
      </c>
      <c r="K105" s="27" t="n">
        <f aca="false">IF(Time!K47=1,IF(Time!J47=1,J105,1)/(1+Time!K50*Time!K9/Inputs!$F$45),0)</f>
        <v>0</v>
      </c>
      <c r="L105" s="27" t="n">
        <f aca="false">IF(Time!L47=1,IF(Time!K47=1,K105,1)/(1+Time!L50*Time!L9/Inputs!$F$45),0)</f>
        <v>0</v>
      </c>
      <c r="M105" s="27" t="n">
        <f aca="false">IF(Time!M47=1,IF(Time!L47=1,L105,1)/(1+Time!M50*Time!M9/Inputs!$F$45),0)</f>
        <v>0</v>
      </c>
      <c r="N105" s="27" t="n">
        <f aca="false">IF(Time!N47=1,IF(Time!M47=1,M105,1)/(1+Time!N50*Time!N9/Inputs!$F$45),0)</f>
        <v>0</v>
      </c>
      <c r="O105" s="27" t="n">
        <f aca="false">IF(Time!O47=1,IF(Time!N47=1,N105,1)/(1+Time!O50*Time!O9/Inputs!$F$45),0)</f>
        <v>0</v>
      </c>
      <c r="P105" s="27" t="n">
        <f aca="false">IF(Time!P47=1,IF(Time!O47=1,O105,1)/(1+Time!P50*Time!P9/Inputs!$F$45),0)</f>
        <v>0</v>
      </c>
      <c r="Q105" s="27" t="n">
        <f aca="false">IF(Time!Q47=1,IF(Time!P47=1,P105,1)/(1+Time!Q50*Time!Q9/Inputs!$F$45),0)</f>
        <v>0</v>
      </c>
      <c r="R105" s="27" t="n">
        <f aca="false">IF(Time!R47=1,IF(Time!Q47=1,Q105,1)/(1+Time!R50*Time!R9/Inputs!$F$45),0)</f>
        <v>0</v>
      </c>
      <c r="S105" s="27" t="n">
        <f aca="false">IF(Time!S47=1,IF(Time!R47=1,R105,1)/(1+Time!S50*Time!S9/Inputs!$F$45),0)</f>
        <v>0</v>
      </c>
      <c r="T105" s="27" t="n">
        <f aca="false">IF(Time!T47=1,IF(Time!S47=1,S105,1)/(1+Time!T50*Time!T9/Inputs!$F$45),0)</f>
        <v>0</v>
      </c>
      <c r="U105" s="27" t="n">
        <f aca="false">IF(Time!U47=1,IF(Time!T47=1,T105,1)/(1+Time!U50*Time!U9/Inputs!$F$45),0)</f>
        <v>0</v>
      </c>
      <c r="V105" s="27" t="n">
        <f aca="false">IF(Time!V47=1,IF(Time!U47=1,U105,1)/(1+Time!V50*Time!V9/Inputs!$F$45),0)</f>
        <v>0</v>
      </c>
      <c r="W105" s="27" t="n">
        <f aca="false">IF(Time!W47=1,IF(Time!V47=1,V105,1)/(1+Time!W50*Time!W9/Inputs!$F$45),0)</f>
        <v>0</v>
      </c>
      <c r="X105" s="27" t="n">
        <f aca="false">IF(Time!X47=1,IF(Time!W47=1,W105,1)/(1+Time!X50*Time!X9/Inputs!$F$45),0)</f>
        <v>0</v>
      </c>
      <c r="Y105" s="27" t="n">
        <f aca="false">IF(Time!Y47=1,IF(Time!X47=1,X105,1)/(1+Time!Y50*Time!Y9/Inputs!$F$45),0)</f>
        <v>0</v>
      </c>
      <c r="Z105" s="27" t="n">
        <f aca="false">IF(Time!Z47=1,IF(Time!Y47=1,Y105,1)/(1+Time!Z50*Time!Z9/Inputs!$F$45),0)</f>
        <v>0</v>
      </c>
      <c r="AA105" s="27" t="n">
        <f aca="false">IF(Time!AA47=1,IF(Time!Z47=1,Z105,1)/(1+Time!AA50*Time!AA9/Inputs!$F$45),0)</f>
        <v>0</v>
      </c>
      <c r="AB105" s="27" t="n">
        <f aca="false">IF(Time!AB47=1,IF(Time!AA47=1,AA105,1)/(1+Time!AB50*Time!AB9/Inputs!$F$45),0)</f>
        <v>0</v>
      </c>
      <c r="AC105" s="27" t="n">
        <f aca="false">IF(Time!AC47=1,IF(Time!AB47=1,AB105,1)/(1+Time!AC50*Time!AC9/Inputs!$F$45),0)</f>
        <v>0</v>
      </c>
      <c r="AD105" s="27" t="n">
        <f aca="false">IF(Time!AD47=1,IF(Time!AC47=1,AC105,1)/(1+Time!AD50*Time!AD9/Inputs!$F$45),0)</f>
        <v>0</v>
      </c>
      <c r="AE105" s="27" t="n">
        <f aca="false">IF(Time!AE47=1,IF(Time!AD47=1,AD105,1)/(1+Time!AE50*Time!AE9/Inputs!$F$45),0)</f>
        <v>0</v>
      </c>
      <c r="AF105" s="27" t="n">
        <f aca="false">IF(Time!AF47=1,IF(Time!AE47=1,AE105,1)/(1+Time!AF50*Time!AF9/Inputs!$F$45),0)</f>
        <v>0</v>
      </c>
      <c r="AG105" s="27" t="n">
        <f aca="false">IF(Time!AG47=1,IF(Time!AF47=1,AF105,1)/(1+Time!AG50*Time!AG9/Inputs!$F$45),0)</f>
        <v>0</v>
      </c>
      <c r="AH105" s="27" t="n">
        <f aca="false">IF(Time!AH47=1,IF(Time!AG47=1,AG105,1)/(1+Time!AH50*Time!AH9/Inputs!$F$45),0)</f>
        <v>0</v>
      </c>
      <c r="AI105" s="27" t="n">
        <f aca="false">IF(Time!AI47=1,IF(Time!AH47=1,AH105,1)/(1+Time!AI50*Time!AI9/Inputs!$F$45),0)</f>
        <v>0</v>
      </c>
      <c r="AJ105" s="27" t="n">
        <f aca="false">IF(Time!AJ47=1,IF(Time!AI47=1,AI105,1)/(1+Time!AJ50*Time!AJ9/Inputs!$F$45),0)</f>
        <v>0.984971228045936</v>
      </c>
      <c r="AK105" s="27" t="n">
        <f aca="false">IF(Time!AK47=1,IF(Time!AJ47=1,AJ105,1)/(1+Time!AK50*Time!AK9/Inputs!$F$45),0)</f>
        <v>0.97000812193702</v>
      </c>
      <c r="AL105" s="27" t="n">
        <f aca="false">IF(Time!AL47=1,IF(Time!AK47=1,AK105,1)/(1+Time!AL50*Time!AL9/Inputs!$F$45),0)</f>
        <v>0.95550899287419</v>
      </c>
      <c r="AM105" s="27" t="n">
        <f aca="false">IF(Time!AM47=1,IF(Time!AL47=1,AL105,1)/(1+Time!AM50*Time!AM9/Inputs!$F$45),0)</f>
        <v>0.940993459789266</v>
      </c>
      <c r="AN105" s="27" t="n">
        <f aca="false">IF(Time!AN47=1,IF(Time!AM47=1,AM105,1)/(1+Time!AN50*Time!AN9/Inputs!$F$45),0)</f>
        <v>0.926928025374636</v>
      </c>
      <c r="AO105" s="27" t="n">
        <f aca="false">IF(Time!AO47=1,IF(Time!AN47=1,AN105,1)/(1+Time!AO50*Time!AO9/Inputs!$F$45),0)</f>
        <v>0.912846677611286</v>
      </c>
      <c r="AP105" s="27" t="n">
        <f aca="false">IF(Time!AP47=1,IF(Time!AO47=1,AO105,1)/(1+Time!AP50*Time!AP9/Inputs!$F$45),0)</f>
        <v>0.899201965269258</v>
      </c>
      <c r="AQ105" s="27" t="n">
        <f aca="false">IF(Time!AQ47=1,IF(Time!AP47=1,AP105,1)/(1+Time!AQ50*Time!AQ9/Inputs!$F$45),0)</f>
        <v>0.885541815574975</v>
      </c>
      <c r="AR105" s="27" t="n">
        <f aca="false">IF(Time!AR47=1,IF(Time!AQ47=1,AQ105,1)/(1+Time!AR50*Time!AR9/Inputs!$F$45),0)</f>
        <v>0.87223320957291</v>
      </c>
      <c r="AS105" s="27" t="n">
        <f aca="false">IF(Time!AS47=1,IF(Time!AR47=1,AR105,1)/(1+Time!AS50*Time!AS9/Inputs!$F$45),0)</f>
        <v>0.85898275342258</v>
      </c>
      <c r="AT105" s="27" t="n">
        <f aca="false">IF(Time!AT47=1,IF(Time!AS47=1,AS105,1)/(1+Time!AT50*Time!AT9/Inputs!$F$45),0)</f>
        <v>0.846143168348026</v>
      </c>
      <c r="AU105" s="27" t="n">
        <f aca="false">IF(Time!AU47=1,IF(Time!AT47=1,AT105,1)/(1+Time!AU50*Time!AU9/Inputs!$F$45),0)</f>
        <v>0.833289056825963</v>
      </c>
      <c r="AV105" s="27" t="n">
        <f aca="false">IF(Time!AV47=1,IF(Time!AU47=1,AU105,1)/(1+Time!AV50*Time!AV9/Inputs!$F$45),0)</f>
        <v>0.820833526497581</v>
      </c>
      <c r="AW105" s="27" t="n">
        <f aca="false">IF(Time!AW47=1,IF(Time!AV47=1,AV105,1)/(1+Time!AW50*Time!AW9/Inputs!$F$45),0)</f>
        <v>0.808363904233482</v>
      </c>
      <c r="AX105" s="27" t="n">
        <f aca="false">IF(Time!AX47=1,IF(Time!AW47=1,AW105,1)/(1+Time!AX50*Time!AX9/Inputs!$F$45),0)</f>
        <v>0.796280940893124</v>
      </c>
      <c r="AY105" s="27" t="n">
        <f aca="false">IF(Time!AY47=1,IF(Time!AX47=1,AX105,1)/(1+Time!AY50*Time!AY9/Inputs!$F$45),0)</f>
        <v>0.784184307131823</v>
      </c>
      <c r="AZ105" s="27" t="n">
        <f aca="false">IF(Time!AZ47=1,IF(Time!AY47=1,AY105,1)/(1+Time!AZ50*Time!AZ9/Inputs!$F$45),0)</f>
        <v>0.772398980009982</v>
      </c>
      <c r="BA105" s="27" t="n">
        <f aca="false">IF(Time!BA47=1,IF(Time!AZ47=1,AZ105,1)/(1+Time!BA50*Time!BA9/Inputs!$F$45),0)</f>
        <v>0.760665147013423</v>
      </c>
      <c r="BB105" s="27" t="n">
        <f aca="false">IF(Time!BB47=1,IF(Time!BA47=1,BA105,1)/(1+Time!BB50*Time!BB9/Inputs!$F$45),0)</f>
        <v>0.749295157535272</v>
      </c>
      <c r="BC105" s="27" t="n">
        <f aca="false">IF(Time!BC47=1,IF(Time!BB47=1,BB105,1)/(1+Time!BC50*Time!BC9/Inputs!$F$45),0)</f>
        <v>0.737912304280422</v>
      </c>
      <c r="BD105" s="27" t="n">
        <f aca="false">IF(Time!BD47=1,IF(Time!BC47=1,BC105,1)/(1+Time!BD50*Time!BD9/Inputs!$F$45),0)</f>
        <v>0.726882411339477</v>
      </c>
      <c r="BE105" s="27" t="n">
        <f aca="false">IF(Time!BE47=1,IF(Time!BD47=1,BD105,1)/(1+Time!BE50*Time!BE9/Inputs!$F$45),0)</f>
        <v>0.715840039400192</v>
      </c>
      <c r="BF105" s="27" t="n">
        <f aca="false">IF(Time!BF47=1,IF(Time!BE47=1,BE105,1)/(1+Time!BF50*Time!BF9/Inputs!$F$45),0)</f>
        <v>0.705140070106246</v>
      </c>
      <c r="BG105" s="27" t="n">
        <f aca="false">IF(Time!BG47=1,IF(Time!BF47=1,BF105,1)/(1+Time!BG50*Time!BG9/Inputs!$F$45),0)</f>
        <v>0.694427995082918</v>
      </c>
      <c r="BH105" s="27" t="n">
        <f aca="false">IF(Time!BH47=1,IF(Time!BG47=1,BG105,1)/(1+Time!BH50*Time!BH9/Inputs!$F$45),0)</f>
        <v>0.683991595106298</v>
      </c>
      <c r="BI105" s="27" t="n">
        <f aca="false">IF(Time!BI47=1,IF(Time!BH47=1,BH105,1)/(1+Time!BI50*Time!BI9/Inputs!$F$45),0)</f>
        <v>0.673600795330871</v>
      </c>
      <c r="BJ105" s="27" t="n">
        <f aca="false">IF(Time!BJ47=1,IF(Time!BI47=1,BI105,1)/(1+Time!BJ50*Time!BJ9/Inputs!$F$45),0)</f>
        <v>0.663532194205322</v>
      </c>
      <c r="BK105" s="27" t="n">
        <f aca="false">IF(Time!BK47=1,IF(Time!BJ47=1,BJ105,1)/(1+Time!BK50*Time!BK9/Inputs!$F$45),0)</f>
        <v>0.653452201667598</v>
      </c>
      <c r="BL105" s="27" t="n">
        <f aca="false">IF(Time!BL47=1,IF(Time!BK47=1,BK105,1)/(1+Time!BL50*Time!BL9/Inputs!$F$45),0)</f>
        <v>0.643684770247076</v>
      </c>
      <c r="BM105" s="27" t="n">
        <f aca="false">IF(Time!BM47=1,IF(Time!BL47=1,BL105,1)/(1+Time!BM50*Time!BM9/Inputs!$F$45),0)</f>
        <v>0.633906288151708</v>
      </c>
      <c r="BN105" s="27" t="n">
        <f aca="false">IF(Time!BN47=1,IF(Time!BM47=1,BM105,1)/(1+Time!BN50*Time!BN9/Inputs!$F$45),0)</f>
        <v>0.62443101791655</v>
      </c>
      <c r="BO105" s="27" t="n">
        <f aca="false">IF(Time!BO47=1,IF(Time!BN47=1,BN105,1)/(1+Time!BO50*Time!BO9/Inputs!$F$45),0)</f>
        <v>0.614945027551816</v>
      </c>
      <c r="BP105" s="27" t="n">
        <f aca="false">IF(Time!BP47=1,IF(Time!BO47=1,BO105,1)/(1+Time!BP50*Time!BP9/Inputs!$F$45),0)</f>
        <v>0.605703158968454</v>
      </c>
      <c r="BQ105" s="27" t="n">
        <f aca="false">IF(Time!BQ47=1,IF(Time!BP47=1,BP105,1)/(1+Time!BQ50*Time!BQ9/Inputs!$F$45),0)</f>
        <v>0.596501671270046</v>
      </c>
      <c r="BR105" s="27" t="n">
        <f aca="false">IF(Time!BR47=1,IF(Time!BQ47=1,BQ105,1)/(1+Time!BR50*Time!BR9/Inputs!$F$45),0)</f>
        <v>0.587585503949027</v>
      </c>
      <c r="BS105" s="27" t="n">
        <f aca="false">IF(Time!BS47=1,IF(Time!BR47=1,BR105,1)/(1+Time!BS50*Time!BS9/Inputs!$F$45),0)</f>
        <v>0.578659249056189</v>
      </c>
      <c r="BT105" s="27" t="n">
        <f aca="false">IF(Time!BT47=1,IF(Time!BS47=1,BS105,1)/(1+Time!BT50*Time!BT9/Inputs!$F$45),0)</f>
        <v>0.570009780102556</v>
      </c>
      <c r="BU105" s="27" t="n">
        <f aca="false">IF(Time!BU47=1,IF(Time!BT47=1,BT105,1)/(1+Time!BU50*Time!BU9/Inputs!$F$45),0)</f>
        <v>0.561350525314256</v>
      </c>
      <c r="BV105" s="27" t="n">
        <f aca="false">IF(Time!BV47=1,IF(Time!BU47=1,BU105,1)/(1+Time!BV50*Time!BV9/Inputs!$F$45),0)</f>
        <v>0.552959777307151</v>
      </c>
      <c r="BW105" s="27" t="n">
        <f aca="false">IF(Time!BW47=1,IF(Time!BV47=1,BV105,1)/(1+Time!BW50*Time!BW9/Inputs!$F$45),0)</f>
        <v>0.544559536177038</v>
      </c>
      <c r="BX105" s="27" t="n">
        <f aca="false">IF(Time!BX47=1,IF(Time!BW47=1,BW105,1)/(1+Time!BX50*Time!BX9/Inputs!$F$45),0)</f>
        <v>0.536375475092422</v>
      </c>
      <c r="BY105" s="27" t="n">
        <f aca="false">IF(Time!BY47=1,IF(Time!BX47=1,BX105,1)/(1+Time!BY50*Time!BY9/Inputs!$F$45),0)</f>
        <v>0.528227172969983</v>
      </c>
      <c r="BZ105" s="27" t="n">
        <f aca="false">IF(Time!BZ47=1,IF(Time!BY47=1,BY105,1)/(1+Time!BZ50*Time!BZ9/Inputs!$F$45),0)</f>
        <v>0.520331533972558</v>
      </c>
      <c r="CA105" s="27" t="n">
        <f aca="false">IF(Time!CA47=1,IF(Time!BZ47=1,BZ105,1)/(1+Time!CA50*Time!CA9/Inputs!$F$45),0)</f>
        <v>0.512426962008469</v>
      </c>
      <c r="CB105" s="27" t="n">
        <f aca="false">IF(Time!CB47=1,IF(Time!CA47=1,CA105,1)/(1+Time!CB50*Time!CB9/Inputs!$F$45),0)</f>
        <v>0.504767495567509</v>
      </c>
      <c r="CC105" s="27" t="n">
        <f aca="false">IF(Time!CC47=1,IF(Time!CB47=1,CB105,1)/(1+Time!CC50*Time!CC9/Inputs!$F$45),0)</f>
        <v>0.497099363360752</v>
      </c>
      <c r="CD105" s="27" t="n">
        <f aca="false">IF(Time!CD47=1,IF(Time!CC47=1,CC105,1)/(1+Time!CD50*Time!CD9/Inputs!$F$45),0)</f>
        <v>0.489669005136508</v>
      </c>
      <c r="CE105" s="27" t="n">
        <f aca="false">IF(Time!CE47=1,IF(Time!CD47=1,CD105,1)/(1+Time!CE50*Time!CE9/Inputs!$F$45),0)</f>
        <v>0.48223024035488</v>
      </c>
      <c r="CF105" s="27" t="n">
        <f aca="false">IF(Time!CF47=1,IF(Time!CE47=1,CE105,1)/(1+Time!CF50*Time!CF9/Inputs!$F$45),0)</f>
        <v>0.474982912043233</v>
      </c>
      <c r="CG105" s="27" t="n">
        <f aca="false">IF(Time!CG47=1,IF(Time!CF47=1,CF105,1)/(1+Time!CG50*Time!CG9/Inputs!$F$45),0)</f>
        <v>0.467767249787875</v>
      </c>
      <c r="CH105" s="27" t="n">
        <f aca="false">IF(Time!CH47=1,IF(Time!CG47=1,CG105,1)/(1+Time!CH50*Time!CH9/Inputs!$F$45),0)</f>
        <v>0.46077533129497</v>
      </c>
      <c r="CI105" s="27" t="n">
        <f aca="false">IF(Time!CI47=1,IF(Time!CH47=1,CH105,1)/(1+Time!CI50*Time!CI9/Inputs!$F$45),0)</f>
        <v>0.453775502286548</v>
      </c>
      <c r="CJ105" s="27" t="n">
        <f aca="false">IF(Time!CJ47=1,IF(Time!CI47=1,CI105,1)/(1+Time!CJ50*Time!CJ9/Inputs!$F$45),0)</f>
        <v>0.446992724468085</v>
      </c>
      <c r="CK105" s="27" t="n">
        <f aca="false">IF(Time!CK47=1,IF(Time!CJ47=1,CJ105,1)/(1+Time!CK50*Time!CK9/Inputs!$F$45),0)</f>
        <v>0.440202272751644</v>
      </c>
      <c r="CL105" s="27" t="n">
        <f aca="false">IF(Time!CL47=1,IF(Time!CK47=1,CK105,1)/(1+Time!CL50*Time!CL9/Inputs!$F$45),0)</f>
        <v>0.433622379839375</v>
      </c>
      <c r="CM105" s="27" t="n">
        <f aca="false">IF(Time!CM47=1,IF(Time!CL47=1,CL105,1)/(1+Time!CM50*Time!CM9/Inputs!$F$45),0)</f>
        <v>0.427035042569017</v>
      </c>
      <c r="CN105" s="27" t="n">
        <f aca="false">IF(Time!CN47=1,IF(Time!CM47=1,CM105,1)/(1+Time!CN50*Time!CN9/Inputs!$F$45),0)</f>
        <v>0.420617230297853</v>
      </c>
      <c r="CO105" s="27" t="n">
        <f aca="false">IF(Time!CO47=1,IF(Time!CN47=1,CN105,1)/(1+Time!CO50*Time!CO9/Inputs!$F$45),0)</f>
        <v>0.414227459643668</v>
      </c>
      <c r="CP105" s="27" t="n">
        <f aca="false">IF(Time!CP47=1,IF(Time!CO47=1,CO105,1)/(1+Time!CP50*Time!CP9/Inputs!$F$45),0)</f>
        <v>0</v>
      </c>
      <c r="CQ105" s="27" t="n">
        <f aca="false">IF(Time!CQ47=1,IF(Time!CP47=1,CP105,1)/(1+Time!CQ50*Time!CQ9/Inputs!$F$45),0)</f>
        <v>0</v>
      </c>
      <c r="CR105" s="27" t="n">
        <f aca="false">IF(Time!CR47=1,IF(Time!CQ47=1,CQ105,1)/(1+Time!CR50*Time!CR9/Inputs!$F$45),0)</f>
        <v>0</v>
      </c>
      <c r="CS105" s="27" t="n">
        <f aca="false">IF(Time!CS47=1,IF(Time!CR47=1,CR105,1)/(1+Time!CS50*Time!CS9/Inputs!$F$45),0)</f>
        <v>0</v>
      </c>
      <c r="CT105" s="27" t="n">
        <f aca="false">IF(Time!CT47=1,IF(Time!CS47=1,CS105,1)/(1+Time!CT50*Time!CT9/Inputs!$F$45),0)</f>
        <v>0</v>
      </c>
      <c r="CU105" s="27" t="n">
        <f aca="false">IF(Time!CU47=1,IF(Time!CT47=1,CT105,1)/(1+Time!CU50*Time!CU9/Inputs!$F$45),0)</f>
        <v>0</v>
      </c>
      <c r="CV105" s="27" t="n">
        <f aca="false">IF(Time!CV47=1,IF(Time!CU47=1,CU105,1)/(1+Time!CV50*Time!CV9/Inputs!$F$45),0)</f>
        <v>0</v>
      </c>
      <c r="CW105" s="27" t="n">
        <f aca="false">IF(Time!CW47=1,IF(Time!CV47=1,CV105,1)/(1+Time!CW50*Time!CW9/Inputs!$F$45),0)</f>
        <v>0</v>
      </c>
      <c r="CX105" s="27" t="n">
        <f aca="false">IF(Time!CX47=1,IF(Time!CW47=1,CW105,1)/(1+Time!CX50*Time!CX9/Inputs!$F$45),0)</f>
        <v>0</v>
      </c>
      <c r="CY105" s="27" t="n">
        <f aca="false">IF(Time!CY47=1,IF(Time!CX47=1,CX105,1)/(1+Time!CY50*Time!CY9/Inputs!$F$45),0)</f>
        <v>0</v>
      </c>
      <c r="CZ105" s="27" t="n">
        <f aca="false">IF(Time!CZ47=1,IF(Time!CY47=1,CY105,1)/(1+Time!CZ50*Time!CZ9/Inputs!$F$45),0)</f>
        <v>0</v>
      </c>
      <c r="DA105" s="27" t="n">
        <f aca="false">IF(Time!DA47=1,IF(Time!CZ47=1,CZ105,1)/(1+Time!DA50*Time!DA9/Inputs!$F$45),0)</f>
        <v>0</v>
      </c>
      <c r="DB105" s="27" t="n">
        <f aca="false">IF(Time!DB47=1,IF(Time!DA47=1,DA105,1)/(1+Time!DB50*Time!DB9/Inputs!$F$45),0)</f>
        <v>0</v>
      </c>
    </row>
    <row r="106" customFormat="false" ht="15" hidden="false" customHeight="false" outlineLevel="0" collapsed="false">
      <c r="D106" s="0" t="s">
        <v>562</v>
      </c>
      <c r="E106" s="0" t="s">
        <v>44</v>
      </c>
      <c r="J106" s="19" t="n">
        <f aca="false">IF(Time!J49=1,I102,I112)</f>
        <v>0</v>
      </c>
      <c r="K106" s="19" t="n">
        <f aca="false">IF(Time!K49=1,J102,J112)</f>
        <v>0</v>
      </c>
      <c r="L106" s="19" t="n">
        <f aca="false">IF(Time!L49=1,K102,K112)</f>
        <v>0</v>
      </c>
      <c r="M106" s="19" t="n">
        <f aca="false">IF(Time!M49=1,L102,L112)</f>
        <v>0</v>
      </c>
      <c r="N106" s="19" t="n">
        <f aca="false">IF(Time!N49=1,M102,M112)</f>
        <v>0</v>
      </c>
      <c r="O106" s="19" t="n">
        <f aca="false">IF(Time!O49=1,N102,N112)</f>
        <v>0</v>
      </c>
      <c r="P106" s="19" t="n">
        <f aca="false">IF(Time!P49=1,O102,O112)</f>
        <v>0</v>
      </c>
      <c r="Q106" s="19" t="n">
        <f aca="false">IF(Time!Q49=1,P102,P112)</f>
        <v>0</v>
      </c>
      <c r="R106" s="19" t="n">
        <f aca="false">IF(Time!R49=1,Q102,Q112)</f>
        <v>0</v>
      </c>
      <c r="S106" s="19" t="n">
        <f aca="false">IF(Time!S49=1,R102,R112)</f>
        <v>0</v>
      </c>
      <c r="T106" s="19" t="n">
        <f aca="false">IF(Time!T49=1,S102,S112)</f>
        <v>0</v>
      </c>
      <c r="U106" s="19" t="n">
        <f aca="false">IF(Time!U49=1,T102,T112)</f>
        <v>0</v>
      </c>
      <c r="V106" s="19" t="n">
        <f aca="false">IF(Time!V49=1,U102,U112)</f>
        <v>0</v>
      </c>
      <c r="W106" s="19" t="n">
        <f aca="false">IF(Time!W49=1,V102,V112)</f>
        <v>0</v>
      </c>
      <c r="X106" s="19" t="n">
        <f aca="false">IF(Time!X49=1,W102,W112)</f>
        <v>0</v>
      </c>
      <c r="Y106" s="19" t="n">
        <f aca="false">IF(Time!Y49=1,X102,X112)</f>
        <v>0</v>
      </c>
      <c r="Z106" s="19" t="n">
        <f aca="false">IF(Time!Z49=1,Y102,Y112)</f>
        <v>488.019623241886</v>
      </c>
      <c r="AA106" s="19" t="n">
        <f aca="false">IF(Time!AA49=1,Z102,Z112)</f>
        <v>491.742745003199</v>
      </c>
      <c r="AB106" s="19" t="n">
        <f aca="false">IF(Time!AB49=1,AA102,AA112)</f>
        <v>499.328247335983</v>
      </c>
      <c r="AC106" s="19" t="n">
        <f aca="false">IF(Time!AC49=1,AB102,AB112)</f>
        <v>506.947038774513</v>
      </c>
      <c r="AD106" s="19" t="n">
        <f aca="false">IF(Time!AD49=1,AC102,AC112)</f>
        <v>514.767078794009</v>
      </c>
      <c r="AE106" s="19" t="n">
        <f aca="false">IF(Time!AE49=1,AD102,AD112)</f>
        <v>522.578281376498</v>
      </c>
      <c r="AF106" s="19" t="n">
        <f aca="false">IF(Time!AF49=1,AE102,AE112)</f>
        <v>530.639445090093</v>
      </c>
      <c r="AG106" s="19" t="n">
        <f aca="false">IF(Time!AG49=1,AF102,AF112)</f>
        <v>538.691498872493</v>
      </c>
      <c r="AH106" s="19" t="n">
        <f aca="false">IF(Time!AH49=1,AG102,AG112)</f>
        <v>547.00122110606</v>
      </c>
      <c r="AI106" s="19" t="n">
        <f aca="false">IF(Time!AI49=1,AH102,AH112)</f>
        <v>555.301552512136</v>
      </c>
      <c r="AJ106" s="19" t="n">
        <f aca="false">IF(Time!AJ49=1,AI102,AI112)</f>
        <v>563.867497337518</v>
      </c>
      <c r="AK106" s="19" t="n">
        <f aca="false">IF(Time!AK49=1,AJ102,AJ112)</f>
        <v>561.209673210127</v>
      </c>
      <c r="AL106" s="19" t="n">
        <f aca="false">IF(Time!AL49=1,AK102,AK112)</f>
        <v>558.099878116128</v>
      </c>
      <c r="AM106" s="19" t="n">
        <f aca="false">IF(Time!AM49=1,AL102,AL112)</f>
        <v>554.561184177574</v>
      </c>
      <c r="AN106" s="19" t="n">
        <f aca="false">IF(Time!AN49=1,AM102,AM112)</f>
        <v>550.50208387315</v>
      </c>
      <c r="AO106" s="19" t="n">
        <f aca="false">IF(Time!AO49=1,AN102,AN112)</f>
        <v>545.986629532417</v>
      </c>
      <c r="AP106" s="19" t="n">
        <f aca="false">IF(Time!AP49=1,AO102,AO112)</f>
        <v>540.182839289945</v>
      </c>
      <c r="AQ106" s="19" t="n">
        <f aca="false">IF(Time!AQ49=1,AP102,AP112)</f>
        <v>533.882809018451</v>
      </c>
      <c r="AR106" s="19" t="n">
        <f aca="false">IF(Time!AR49=1,AQ102,AQ112)</f>
        <v>529.22523252207</v>
      </c>
      <c r="AS106" s="19" t="n">
        <f aca="false">IF(Time!AS49=1,AR102,AR112)</f>
        <v>524.034144586677</v>
      </c>
      <c r="AT106" s="19" t="n">
        <f aca="false">IF(Time!AT49=1,AS102,AS112)</f>
        <v>518.20709924497</v>
      </c>
      <c r="AU106" s="19" t="n">
        <f aca="false">IF(Time!AU49=1,AT102,AT112)</f>
        <v>511.854363825686</v>
      </c>
      <c r="AV106" s="19" t="n">
        <f aca="false">IF(Time!AV49=1,AU102,AU112)</f>
        <v>504.760557848325</v>
      </c>
      <c r="AW106" s="19" t="n">
        <f aca="false">IF(Time!AW49=1,AV102,AV112)</f>
        <v>497.106357369132</v>
      </c>
      <c r="AX106" s="19" t="n">
        <f aca="false">IF(Time!AX49=1,AW102,AW112)</f>
        <v>488.199805537927</v>
      </c>
      <c r="AY106" s="19" t="n">
        <f aca="false">IF(Time!AY49=1,AX102,AX112)</f>
        <v>478.907578376759</v>
      </c>
      <c r="AZ106" s="19" t="n">
        <f aca="false">IF(Time!AZ49=1,AY102,AY112)</f>
        <v>469.615575554728</v>
      </c>
      <c r="BA106" s="19" t="n">
        <f aca="false">IF(Time!BA49=1,AZ102,AZ112)</f>
        <v>459.861124621365</v>
      </c>
      <c r="BB106" s="19" t="n">
        <f aca="false">IF(Time!BB49=1,BA102,BA112)</f>
        <v>449.254374320404</v>
      </c>
      <c r="BC106" s="19" t="n">
        <f aca="false">IF(Time!BC49=1,BB102,BB112)</f>
        <v>438.232185535249</v>
      </c>
      <c r="BD106" s="19" t="n">
        <f aca="false">IF(Time!BD49=1,BC102,BC112)</f>
        <v>424.381181405307</v>
      </c>
      <c r="BE106" s="19" t="n">
        <f aca="false">IF(Time!BE49=1,BD102,BD112)</f>
        <v>410.06421308838</v>
      </c>
      <c r="BF106" s="19" t="n">
        <f aca="false">IF(Time!BF49=1,BE102,BE112)</f>
        <v>393.781831990972</v>
      </c>
      <c r="BG106" s="19" t="n">
        <f aca="false">IF(Time!BG49=1,BF102,BF112)</f>
        <v>376.995866183576</v>
      </c>
      <c r="BH106" s="19" t="n">
        <f aca="false">IF(Time!BH49=1,BG102,BG112)</f>
        <v>359.024947304348</v>
      </c>
      <c r="BI106" s="19" t="n">
        <f aca="false">IF(Time!BI49=1,BH102,BH112)</f>
        <v>340.423382429279</v>
      </c>
      <c r="BJ106" s="19" t="n">
        <f aca="false">IF(Time!BJ49=1,BI102,BI112)</f>
        <v>320.646420305987</v>
      </c>
      <c r="BK106" s="19" t="n">
        <f aca="false">IF(Time!BK49=1,BJ102,BJ112)</f>
        <v>300.314450737249</v>
      </c>
      <c r="BL106" s="19" t="n">
        <f aca="false">IF(Time!BL49=1,BK102,BK112)</f>
        <v>278.609867260405</v>
      </c>
      <c r="BM106" s="19" t="n">
        <f aca="false">IF(Time!BM49=1,BL102,BL112)</f>
        <v>256.322178212481</v>
      </c>
      <c r="BN106" s="19" t="n">
        <f aca="false">IF(Time!BN49=1,BM102,BM112)</f>
        <v>232.570798585371</v>
      </c>
      <c r="BO106" s="19" t="n">
        <f aca="false">IF(Time!BO49=1,BN102,BN112)</f>
        <v>208.207817424146</v>
      </c>
      <c r="BP106" s="19" t="n">
        <f aca="false">IF(Time!BP49=1,BO102,BO112)</f>
        <v>186.408015794163</v>
      </c>
      <c r="BQ106" s="19" t="n">
        <f aca="false">IF(Time!BQ49=1,BP102,BP112)</f>
        <v>163.881903272558</v>
      </c>
      <c r="BR106" s="19" t="n">
        <f aca="false">IF(Time!BR49=1,BQ102,BQ112)</f>
        <v>143.665123959016</v>
      </c>
      <c r="BS106" s="19" t="n">
        <f aca="false">IF(Time!BS49=1,BR102,BR112)</f>
        <v>125.312716714459</v>
      </c>
      <c r="BT106" s="19" t="n">
        <f aca="false">IF(Time!BT49=1,BS102,BS112)</f>
        <v>105.796192232302</v>
      </c>
      <c r="BU106" s="19" t="n">
        <f aca="false">IF(Time!BU49=1,BT102,BT112)</f>
        <v>86.1398132785964</v>
      </c>
      <c r="BV106" s="19" t="n">
        <f aca="false">IF(Time!BV49=1,BU102,BU112)</f>
        <v>54.3798223610671</v>
      </c>
      <c r="BW106" s="19" t="n">
        <f aca="false">IF(Time!BW49=1,BV102,BV112)</f>
        <v>28.3801628299903</v>
      </c>
      <c r="BX106" s="19" t="n">
        <f aca="false">IF(Time!BX49=1,BW102,BW112)</f>
        <v>1.72605230685051</v>
      </c>
      <c r="BY106" s="19" t="n">
        <f aca="false">IF(Time!BY49=1,BX102,BX112)</f>
        <v>-25.2653009550637</v>
      </c>
      <c r="BZ106" s="19" t="n">
        <f aca="false">IF(Time!BZ49=1,BY102,BY112)</f>
        <v>-53.5163170156195</v>
      </c>
      <c r="CA106" s="19" t="n">
        <f aca="false">IF(Time!CA49=1,BZ102,BZ112)</f>
        <v>-81.9592114785485</v>
      </c>
      <c r="CB106" s="19" t="n">
        <f aca="false">IF(Time!CB49=1,CA102,CA112)</f>
        <v>-109.205875342167</v>
      </c>
      <c r="CC106" s="19" t="n">
        <f aca="false">IF(Time!CC49=1,CB102,CB112)</f>
        <v>-136.614227575746</v>
      </c>
      <c r="CD106" s="19" t="n">
        <f aca="false">IF(Time!CD49=1,CC102,CC112)</f>
        <v>-165.533612898438</v>
      </c>
      <c r="CE106" s="19" t="n">
        <f aca="false">IF(Time!CE49=1,CD102,CD112)</f>
        <v>-194.615601773007</v>
      </c>
      <c r="CF106" s="19" t="n">
        <f aca="false">IF(Time!CF49=1,CE102,CE112)</f>
        <v>-223.987865472498</v>
      </c>
      <c r="CG106" s="19" t="n">
        <f aca="false">IF(Time!CG49=1,CF102,CF112)</f>
        <v>-253.693042660732</v>
      </c>
      <c r="CH106" s="19" t="n">
        <f aca="false">IF(Time!CH49=1,CG102,CG112)</f>
        <v>-290.204023309639</v>
      </c>
      <c r="CI106" s="19" t="n">
        <f aca="false">IF(Time!CI49=1,CH102,CH112)</f>
        <v>-377.083560482409</v>
      </c>
      <c r="CJ106" s="19" t="n">
        <f aca="false">IF(Time!CJ49=1,CI102,CI112)</f>
        <v>-469.132612203649</v>
      </c>
      <c r="CK106" s="19" t="n">
        <f aca="false">IF(Time!CK49=1,CJ102,CJ112)</f>
        <v>-561.788764016326</v>
      </c>
      <c r="CL106" s="19" t="n">
        <f aca="false">IF(Time!CL49=1,CK102,CK112)</f>
        <v>-670.73140877842</v>
      </c>
      <c r="CM106" s="19" t="n">
        <f aca="false">IF(Time!CM49=1,CL102,CL112)</f>
        <v>-773.481348172358</v>
      </c>
      <c r="CN106" s="19" t="n">
        <f aca="false">IF(Time!CN49=1,CM102,CM112)</f>
        <v>-882.024606562037</v>
      </c>
      <c r="CO106" s="19" t="n">
        <f aca="false">IF(Time!CO49=1,CN102,CN112)</f>
        <v>-991.92560322046</v>
      </c>
      <c r="CP106" s="19" t="n">
        <f aca="false">IF(Time!CP49=1,CO102,CO112)</f>
        <v>-1107.27631019347</v>
      </c>
      <c r="CQ106" s="19" t="n">
        <f aca="false">IF(Time!CQ49=1,CP102,CP112)</f>
        <v>-1107.27631019347</v>
      </c>
      <c r="CR106" s="19" t="n">
        <f aca="false">IF(Time!CR49=1,CQ102,CQ112)</f>
        <v>-1107.27631019347</v>
      </c>
      <c r="CS106" s="19" t="n">
        <f aca="false">IF(Time!CS49=1,CR102,CR112)</f>
        <v>-1107.27631019347</v>
      </c>
      <c r="CT106" s="19" t="n">
        <f aca="false">IF(Time!CT49=1,CS102,CS112)</f>
        <v>-1107.27631019347</v>
      </c>
      <c r="CU106" s="19" t="n">
        <f aca="false">IF(Time!CU49=1,CT102,CT112)</f>
        <v>-1107.27631019347</v>
      </c>
      <c r="CV106" s="19" t="n">
        <f aca="false">IF(Time!CV49=1,CU102,CU112)</f>
        <v>-1107.27631019347</v>
      </c>
      <c r="CW106" s="19" t="n">
        <f aca="false">IF(Time!CW49=1,CV102,CV112)</f>
        <v>-1107.27631019347</v>
      </c>
      <c r="CX106" s="19" t="n">
        <f aca="false">IF(Time!CX49=1,CW102,CW112)</f>
        <v>-1107.27631019347</v>
      </c>
      <c r="CY106" s="19" t="n">
        <f aca="false">IF(Time!CY49=1,CX102,CX112)</f>
        <v>-1107.27631019347</v>
      </c>
      <c r="CZ106" s="19" t="n">
        <f aca="false">IF(Time!CZ49=1,CY102,CY112)</f>
        <v>-1107.27631019347</v>
      </c>
      <c r="DA106" s="19" t="n">
        <f aca="false">IF(Time!DA49=1,CZ102,CZ112)</f>
        <v>-1107.27631019347</v>
      </c>
      <c r="DB106" s="19" t="n">
        <f aca="false">IF(Time!DB49=1,DA102,DA112)</f>
        <v>-1107.27631019347</v>
      </c>
    </row>
    <row r="107" customFormat="false" ht="15" hidden="false" customHeight="false" outlineLevel="0" collapsed="false">
      <c r="D107" s="0" t="s">
        <v>563</v>
      </c>
      <c r="E107" s="0" t="s">
        <v>44</v>
      </c>
      <c r="G107" s="19" t="n">
        <f aca="false">SUM(J107:DB107)</f>
        <v>-9.50837270151025</v>
      </c>
      <c r="J107" s="19" t="n">
        <f aca="false">J106*Time!J50*Time!J9/Inputs!$F$45</f>
        <v>0</v>
      </c>
      <c r="K107" s="19" t="n">
        <f aca="false">K106*Time!K50*Time!K9/Inputs!$F$45</f>
        <v>0</v>
      </c>
      <c r="L107" s="19" t="n">
        <f aca="false">L106*Time!L50*Time!L9/Inputs!$F$45</f>
        <v>0</v>
      </c>
      <c r="M107" s="19" t="n">
        <f aca="false">M106*Time!M50*Time!M9/Inputs!$F$45</f>
        <v>0</v>
      </c>
      <c r="N107" s="19" t="n">
        <f aca="false">N106*Time!N50*Time!N9/Inputs!$F$45</f>
        <v>0</v>
      </c>
      <c r="O107" s="19" t="n">
        <f aca="false">O106*Time!O50*Time!O9/Inputs!$F$45</f>
        <v>0</v>
      </c>
      <c r="P107" s="19" t="n">
        <f aca="false">P106*Time!P50*Time!P9/Inputs!$F$45</f>
        <v>0</v>
      </c>
      <c r="Q107" s="19" t="n">
        <f aca="false">Q106*Time!Q50*Time!Q9/Inputs!$F$45</f>
        <v>0</v>
      </c>
      <c r="R107" s="19" t="n">
        <f aca="false">R106*Time!R50*Time!R9/Inputs!$F$45</f>
        <v>0</v>
      </c>
      <c r="S107" s="19" t="n">
        <f aca="false">S106*Time!S50*Time!S9/Inputs!$F$45</f>
        <v>0</v>
      </c>
      <c r="T107" s="19" t="n">
        <f aca="false">T106*Time!T50*Time!T9/Inputs!$F$45</f>
        <v>0</v>
      </c>
      <c r="U107" s="19" t="n">
        <f aca="false">U106*Time!U50*Time!U9/Inputs!$F$45</f>
        <v>0</v>
      </c>
      <c r="V107" s="19" t="n">
        <f aca="false">V106*Time!V50*Time!V9/Inputs!$F$45</f>
        <v>0</v>
      </c>
      <c r="W107" s="19" t="n">
        <f aca="false">W106*Time!W50*Time!W9/Inputs!$F$45</f>
        <v>0</v>
      </c>
      <c r="X107" s="19" t="n">
        <f aca="false">X106*Time!X50*Time!X9/Inputs!$F$45</f>
        <v>0</v>
      </c>
      <c r="Y107" s="19" t="n">
        <f aca="false">Y106*Time!Y50*Time!Y9/Inputs!$F$45</f>
        <v>0</v>
      </c>
      <c r="Z107" s="19" t="n">
        <f aca="false">Z106*Time!Z50*Time!Z9/Inputs!$F$45</f>
        <v>3.7231217613133</v>
      </c>
      <c r="AA107" s="19" t="n">
        <f aca="false">AA106*Time!AA50*Time!AA9/Inputs!$F$45</f>
        <v>7.58550233278359</v>
      </c>
      <c r="AB107" s="19" t="n">
        <f aca="false">AB106*Time!AB50*Time!AB9/Inputs!$F$45</f>
        <v>7.61879143853029</v>
      </c>
      <c r="AC107" s="19" t="n">
        <f aca="false">AC106*Time!AC50*Time!AC9/Inputs!$F$45</f>
        <v>7.82004001949594</v>
      </c>
      <c r="AD107" s="19" t="n">
        <f aca="false">AD106*Time!AD50*Time!AD9/Inputs!$F$45</f>
        <v>7.81120258248904</v>
      </c>
      <c r="AE107" s="19" t="n">
        <f aca="false">AE106*Time!AE50*Time!AE9/Inputs!$F$45</f>
        <v>8.06116371359516</v>
      </c>
      <c r="AF107" s="19" t="n">
        <f aca="false">AF106*Time!AF50*Time!AF9/Inputs!$F$45</f>
        <v>8.05205378239997</v>
      </c>
      <c r="AG107" s="19" t="n">
        <f aca="false">AG106*Time!AG50*Time!AG9/Inputs!$F$45</f>
        <v>8.30972223356626</v>
      </c>
      <c r="AH107" s="19" t="n">
        <f aca="false">AH106*Time!AH50*Time!AH9/Inputs!$F$45</f>
        <v>8.30033140607677</v>
      </c>
      <c r="AI107" s="19" t="n">
        <f aca="false">AI106*Time!AI50*Time!AI9/Inputs!$F$45</f>
        <v>8.56594482538173</v>
      </c>
      <c r="AJ107" s="19" t="n">
        <f aca="false">AJ106*Time!AJ50*Time!AJ9/Inputs!$F$45</f>
        <v>8.6035366196496</v>
      </c>
      <c r="AK107" s="19" t="n">
        <f aca="false">AK106*Time!AK50*Time!AK9/Inputs!$F$45</f>
        <v>8.65708203847206</v>
      </c>
      <c r="AL107" s="19" t="n">
        <f aca="false">AL106*Time!AL50*Time!AL9/Inputs!$F$45</f>
        <v>8.46874516420271</v>
      </c>
      <c r="AM107" s="19" t="n">
        <f aca="false">AM106*Time!AM50*Time!AM9/Inputs!$F$45</f>
        <v>8.55452408600935</v>
      </c>
      <c r="AN107" s="19" t="n">
        <f aca="false">AN106*Time!AN50*Time!AN9/Inputs!$F$45</f>
        <v>8.35345436093103</v>
      </c>
      <c r="AO107" s="19" t="n">
        <f aca="false">AO106*Time!AO50*Time!AO9/Inputs!$F$45</f>
        <v>8.4222551203269</v>
      </c>
      <c r="AP107" s="19" t="n">
        <f aca="false">AP106*Time!AP50*Time!AP9/Inputs!$F$45</f>
        <v>8.19686759915421</v>
      </c>
      <c r="AQ107" s="19" t="n">
        <f aca="false">AQ106*Time!AQ50*Time!AQ9/Inputs!$F$45</f>
        <v>8.23554456958215</v>
      </c>
      <c r="AR107" s="19" t="n">
        <f aca="false">AR106*Time!AR50*Time!AR9/Inputs!$F$45</f>
        <v>8.07496209578606</v>
      </c>
      <c r="AS107" s="19" t="n">
        <f aca="false">AS106*Time!AS50*Time!AS9/Inputs!$F$45</f>
        <v>8.08362150049542</v>
      </c>
      <c r="AT107" s="19" t="n">
        <f aca="false">AT106*Time!AT50*Time!AT9/Inputs!$F$45</f>
        <v>7.86340230103614</v>
      </c>
      <c r="AU107" s="19" t="n">
        <f aca="false">AU106*Time!AU50*Time!AU9/Inputs!$F$45</f>
        <v>7.89573920570999</v>
      </c>
      <c r="AV107" s="19" t="n">
        <f aca="false">AV106*Time!AV50*Time!AV9/Inputs!$F$45</f>
        <v>7.6593611662979</v>
      </c>
      <c r="AW107" s="19" t="n">
        <f aca="false">AW106*Time!AW50*Time!AW9/Inputs!$F$45</f>
        <v>7.66824009460592</v>
      </c>
      <c r="AX107" s="19" t="n">
        <f aca="false">AX106*Time!AX50*Time!AX9/Inputs!$F$45</f>
        <v>7.40806422726675</v>
      </c>
      <c r="AY107" s="19" t="n">
        <f aca="false">AY106*Time!AY50*Time!AY9/Inputs!$F$45</f>
        <v>7.38751021723973</v>
      </c>
      <c r="AZ107" s="19" t="n">
        <f aca="false">AZ106*Time!AZ50*Time!AZ9/Inputs!$F$45</f>
        <v>7.1654330503545</v>
      </c>
      <c r="BA107" s="19" t="n">
        <f aca="false">BA106*Time!BA50*Time!BA9/Inputs!$F$45</f>
        <v>7.09370431799489</v>
      </c>
      <c r="BB107" s="19" t="n">
        <f aca="false">BB106*Time!BB50*Time!BB9/Inputs!$F$45</f>
        <v>6.81709665098902</v>
      </c>
      <c r="BC107" s="19" t="n">
        <f aca="false">BC106*Time!BC50*Time!BC9/Inputs!$F$45</f>
        <v>6.76006163681552</v>
      </c>
      <c r="BD107" s="19" t="n">
        <f aca="false">BD106*Time!BD50*Time!BD9/Inputs!$F$45</f>
        <v>6.43966468857926</v>
      </c>
      <c r="BE107" s="19" t="n">
        <f aca="false">BE106*Time!BE50*Time!BE9/Inputs!$F$45</f>
        <v>6.32554943937757</v>
      </c>
      <c r="BF107" s="19" t="n">
        <f aca="false">BF106*Time!BF50*Time!BF9/Inputs!$F$45</f>
        <v>5.97534261552109</v>
      </c>
      <c r="BG107" s="19" t="n">
        <f aca="false">BG106*Time!BG50*Time!BG9/Inputs!$F$45</f>
        <v>5.81544527386303</v>
      </c>
      <c r="BH107" s="19" t="n">
        <f aca="false">BH106*Time!BH50*Time!BH9/Inputs!$F$45</f>
        <v>5.47803215486951</v>
      </c>
      <c r="BI107" s="19" t="n">
        <f aca="false">BI106*Time!BI50*Time!BI9/Inputs!$F$45</f>
        <v>5.25128715734195</v>
      </c>
      <c r="BJ107" s="19" t="n">
        <f aca="false">BJ106*Time!BJ50*Time!BJ9/Inputs!$F$45</f>
        <v>4.86556784522395</v>
      </c>
      <c r="BK107" s="19" t="n">
        <f aca="false">BK106*Time!BK50*Time!BK9/Inputs!$F$45</f>
        <v>4.63257666693426</v>
      </c>
      <c r="BL107" s="19" t="n">
        <f aca="false">BL106*Time!BL50*Time!BL9/Inputs!$F$45</f>
        <v>4.22769482413282</v>
      </c>
      <c r="BM107" s="19" t="n">
        <f aca="false">BM106*Time!BM50*Time!BM9/Inputs!$F$45</f>
        <v>3.95396271837685</v>
      </c>
      <c r="BN107" s="19" t="n">
        <f aca="false">BN106*Time!BN50*Time!BN9/Inputs!$F$45</f>
        <v>3.52908664395872</v>
      </c>
      <c r="BO107" s="19" t="n">
        <f aca="false">BO106*Time!BO50*Time!BO9/Inputs!$F$45</f>
        <v>3.21176245267099</v>
      </c>
      <c r="BP107" s="19" t="n">
        <f aca="false">BP106*Time!BP50*Time!BP9/Inputs!$F$45</f>
        <v>2.84422882619412</v>
      </c>
      <c r="BQ107" s="19" t="n">
        <f aca="false">BQ106*Time!BQ50*Time!BQ9/Inputs!$F$45</f>
        <v>2.52800183064605</v>
      </c>
      <c r="BR107" s="19" t="n">
        <f aca="false">BR106*Time!BR50*Time!BR9/Inputs!$F$45</f>
        <v>2.18001001523126</v>
      </c>
      <c r="BS107" s="19" t="n">
        <f aca="false">BS106*Time!BS50*Time!BS9/Inputs!$F$45</f>
        <v>1.93304306901121</v>
      </c>
      <c r="BT107" s="19" t="n">
        <f aca="false">BT106*Time!BT50*Time!BT9/Inputs!$F$45</f>
        <v>1.60537750766528</v>
      </c>
      <c r="BU107" s="19" t="n">
        <f aca="false">BU106*Time!BU50*Time!BU9/Inputs!$F$45</f>
        <v>1.32877151968167</v>
      </c>
      <c r="BV107" s="19" t="n">
        <f aca="false">BV106*Time!BV50*Time!BV9/Inputs!$F$45</f>
        <v>0.825172833230154</v>
      </c>
      <c r="BW107" s="19" t="n">
        <f aca="false">BW106*Time!BW50*Time!BW9/Inputs!$F$45</f>
        <v>0.437785393967062</v>
      </c>
      <c r="BX107" s="19" t="n">
        <f aca="false">BX106*Time!BX50*Time!BX9/Inputs!$F$45</f>
        <v>0.026336247965238</v>
      </c>
      <c r="BY107" s="19" t="n">
        <f aca="false">BY106*Time!BY50*Time!BY9/Inputs!$F$45</f>
        <v>-0.389736302732576</v>
      </c>
      <c r="BZ107" s="19" t="n">
        <f aca="false">BZ106*Time!BZ50*Time!BZ9/Inputs!$F$45</f>
        <v>-0.812069790199205</v>
      </c>
      <c r="CA107" s="19" t="n">
        <f aca="false">CA106*Time!CA50*Time!CA9/Inputs!$F$45</f>
        <v>-1.26428258714745</v>
      </c>
      <c r="CB107" s="19" t="n">
        <f aca="false">CB106*Time!CB50*Time!CB9/Inputs!$F$45</f>
        <v>-1.65711687991816</v>
      </c>
      <c r="CC107" s="19" t="n">
        <f aca="false">CC106*Time!CC50*Time!CC9/Inputs!$F$45</f>
        <v>-2.10737738888351</v>
      </c>
      <c r="CD107" s="19" t="n">
        <f aca="false">CD106*Time!CD50*Time!CD9/Inputs!$F$45</f>
        <v>-2.51184785862819</v>
      </c>
      <c r="CE107" s="19" t="n">
        <f aca="false">CE106*Time!CE50*Time!CE9/Inputs!$F$45</f>
        <v>-3.00209228554175</v>
      </c>
      <c r="CF107" s="19" t="n">
        <f aca="false">CF106*Time!CF50*Time!CF9/Inputs!$F$45</f>
        <v>-3.41762526134091</v>
      </c>
      <c r="CG107" s="19" t="n">
        <f aca="false">CG106*Time!CG50*Time!CG9/Inputs!$F$45</f>
        <v>-3.91340632163557</v>
      </c>
      <c r="CH107" s="19" t="n">
        <f aca="false">CH106*Time!CH50*Time!CH9/Inputs!$F$45</f>
        <v>-4.4036274068569</v>
      </c>
      <c r="CI107" s="19" t="n">
        <f aca="false">CI106*Time!CI50*Time!CI9/Inputs!$F$45</f>
        <v>-5.81679802449358</v>
      </c>
      <c r="CJ107" s="19" t="n">
        <f aca="false">CJ106*Time!CJ50*Time!CJ9/Inputs!$F$45</f>
        <v>-7.11873393411269</v>
      </c>
      <c r="CK107" s="19" t="n">
        <f aca="false">CK106*Time!CK50*Time!CK9/Inputs!$F$45</f>
        <v>-8.66601495045897</v>
      </c>
      <c r="CL107" s="19" t="n">
        <f aca="false">CL106*Time!CL50*Time!CL9/Inputs!$F$45</f>
        <v>-10.1778437826306</v>
      </c>
      <c r="CM107" s="19" t="n">
        <f aca="false">CM106*Time!CM50*Time!CM9/Inputs!$F$45</f>
        <v>-11.9315325554785</v>
      </c>
      <c r="CN107" s="19" t="n">
        <f aca="false">CN106*Time!CN50*Time!CN9/Inputs!$F$45</f>
        <v>-13.4580039420967</v>
      </c>
      <c r="CO107" s="19" t="n">
        <f aca="false">CO106*Time!CO50*Time!CO9/Inputs!$F$45</f>
        <v>-15.3011997708835</v>
      </c>
      <c r="CP107" s="19" t="n">
        <f aca="false">CP106*Time!CP50*Time!CP9/Inputs!$F$45</f>
        <v>-16.8020837579112</v>
      </c>
      <c r="CQ107" s="19" t="n">
        <f aca="false">CQ106*Time!CQ50*Time!CQ9/Inputs!$F$45</f>
        <v>-17.0805713340091</v>
      </c>
      <c r="CR107" s="19" t="n">
        <f aca="false">CR106*Time!CR50*Time!CR9/Inputs!$F$45</f>
        <v>-16.8020837579112</v>
      </c>
      <c r="CS107" s="19" t="n">
        <f aca="false">CS106*Time!CS50*Time!CS9/Inputs!$F$45</f>
        <v>-17.0805713340091</v>
      </c>
      <c r="CT107" s="19" t="n">
        <f aca="false">CT106*Time!CT50*Time!CT9/Inputs!$F$45</f>
        <v>-16.8020837579112</v>
      </c>
      <c r="CU107" s="19" t="n">
        <f aca="false">CU106*Time!CU50*Time!CU9/Inputs!$F$45</f>
        <v>-17.0805713340091</v>
      </c>
      <c r="CV107" s="19" t="n">
        <f aca="false">CV106*Time!CV50*Time!CV9/Inputs!$F$45</f>
        <v>-16.8949129499438</v>
      </c>
      <c r="CW107" s="19" t="n">
        <f aca="false">CW106*Time!CW50*Time!CW9/Inputs!$F$45</f>
        <v>-17.0805713340091</v>
      </c>
      <c r="CX107" s="19" t="n">
        <f aca="false">CX106*Time!CX50*Time!CX9/Inputs!$F$45</f>
        <v>-16.8020837579112</v>
      </c>
      <c r="CY107" s="19" t="n">
        <f aca="false">CY106*Time!CY50*Time!CY9/Inputs!$F$45</f>
        <v>-17.0805713340091</v>
      </c>
      <c r="CZ107" s="19" t="n">
        <f aca="false">CZ106*Time!CZ50*Time!CZ9/Inputs!$F$45</f>
        <v>-16.8020837579112</v>
      </c>
      <c r="DA107" s="19" t="n">
        <f aca="false">DA106*Time!DA50*Time!DA9/Inputs!$F$45</f>
        <v>-17.0805713340091</v>
      </c>
      <c r="DB107" s="19" t="n">
        <f aca="false">DB106*Time!DB50*Time!DB9/Inputs!$F$45</f>
        <v>-16.8020837579112</v>
      </c>
    </row>
    <row r="108" customFormat="false" ht="15" hidden="false" customHeight="false" outlineLevel="0" collapsed="false">
      <c r="D108" s="0" t="s">
        <v>564</v>
      </c>
      <c r="E108" s="0" t="s">
        <v>44</v>
      </c>
      <c r="G108" s="19" t="n">
        <f aca="false">SUM(J108:DB108)</f>
        <v>-89.6580151069671</v>
      </c>
      <c r="J108" s="19" t="n">
        <f aca="false">J107*Time!J51</f>
        <v>0</v>
      </c>
      <c r="K108" s="19" t="n">
        <f aca="false">K107*Time!K51</f>
        <v>0</v>
      </c>
      <c r="L108" s="19" t="n">
        <f aca="false">L107*Time!L51</f>
        <v>0</v>
      </c>
      <c r="M108" s="19" t="n">
        <f aca="false">M107*Time!M51</f>
        <v>0</v>
      </c>
      <c r="N108" s="19" t="n">
        <f aca="false">N107*Time!N51</f>
        <v>0</v>
      </c>
      <c r="O108" s="19" t="n">
        <f aca="false">O107*Time!O51</f>
        <v>0</v>
      </c>
      <c r="P108" s="19" t="n">
        <f aca="false">P107*Time!P51</f>
        <v>0</v>
      </c>
      <c r="Q108" s="19" t="n">
        <f aca="false">Q107*Time!Q51</f>
        <v>0</v>
      </c>
      <c r="R108" s="19" t="n">
        <f aca="false">R107*Time!R51</f>
        <v>0</v>
      </c>
      <c r="S108" s="19" t="n">
        <f aca="false">S107*Time!S51</f>
        <v>0</v>
      </c>
      <c r="T108" s="19" t="n">
        <f aca="false">T107*Time!T51</f>
        <v>0</v>
      </c>
      <c r="U108" s="19" t="n">
        <f aca="false">U107*Time!U51</f>
        <v>0</v>
      </c>
      <c r="V108" s="19" t="n">
        <f aca="false">V107*Time!V51</f>
        <v>0</v>
      </c>
      <c r="W108" s="19" t="n">
        <f aca="false">W107*Time!W51</f>
        <v>0</v>
      </c>
      <c r="X108" s="19" t="n">
        <f aca="false">X107*Time!X51</f>
        <v>0</v>
      </c>
      <c r="Y108" s="19" t="n">
        <f aca="false">Y107*Time!Y51</f>
        <v>0</v>
      </c>
      <c r="Z108" s="19" t="n">
        <f aca="false">Z107*Time!Z51</f>
        <v>0</v>
      </c>
      <c r="AA108" s="19" t="n">
        <f aca="false">AA107*Time!AA51</f>
        <v>0</v>
      </c>
      <c r="AB108" s="19" t="n">
        <f aca="false">AB107*Time!AB51</f>
        <v>0</v>
      </c>
      <c r="AC108" s="19" t="n">
        <f aca="false">AC107*Time!AC51</f>
        <v>0</v>
      </c>
      <c r="AD108" s="19" t="n">
        <f aca="false">AD107*Time!AD51</f>
        <v>0</v>
      </c>
      <c r="AE108" s="19" t="n">
        <f aca="false">AE107*Time!AE51</f>
        <v>0</v>
      </c>
      <c r="AF108" s="19" t="n">
        <f aca="false">AF107*Time!AF51</f>
        <v>0</v>
      </c>
      <c r="AG108" s="19" t="n">
        <f aca="false">AG107*Time!AG51</f>
        <v>0</v>
      </c>
      <c r="AH108" s="19" t="n">
        <f aca="false">AH107*Time!AH51</f>
        <v>0</v>
      </c>
      <c r="AI108" s="19" t="n">
        <f aca="false">AI107*Time!AI51</f>
        <v>0</v>
      </c>
      <c r="AJ108" s="19" t="n">
        <f aca="false">AJ107*Time!AJ51</f>
        <v>4.3017683098248</v>
      </c>
      <c r="AK108" s="19" t="n">
        <f aca="false">AK107*Time!AK51</f>
        <v>8.65708203847206</v>
      </c>
      <c r="AL108" s="19" t="n">
        <f aca="false">AL107*Time!AL51</f>
        <v>8.46874516420271</v>
      </c>
      <c r="AM108" s="19" t="n">
        <f aca="false">AM107*Time!AM51</f>
        <v>8.55452408600935</v>
      </c>
      <c r="AN108" s="19" t="n">
        <f aca="false">AN107*Time!AN51</f>
        <v>8.35345436093103</v>
      </c>
      <c r="AO108" s="19" t="n">
        <f aca="false">AO107*Time!AO51</f>
        <v>8.4222551203269</v>
      </c>
      <c r="AP108" s="19" t="n">
        <f aca="false">AP107*Time!AP51</f>
        <v>8.19686759915421</v>
      </c>
      <c r="AQ108" s="19" t="n">
        <f aca="false">AQ107*Time!AQ51</f>
        <v>8.23554456958215</v>
      </c>
      <c r="AR108" s="19" t="n">
        <f aca="false">AR107*Time!AR51</f>
        <v>8.07496209578606</v>
      </c>
      <c r="AS108" s="19" t="n">
        <f aca="false">AS107*Time!AS51</f>
        <v>8.08362150049542</v>
      </c>
      <c r="AT108" s="19" t="n">
        <f aca="false">AT107*Time!AT51</f>
        <v>7.86340230103614</v>
      </c>
      <c r="AU108" s="19" t="n">
        <f aca="false">AU107*Time!AU51</f>
        <v>7.89573920570999</v>
      </c>
      <c r="AV108" s="19" t="n">
        <f aca="false">AV107*Time!AV51</f>
        <v>7.6593611662979</v>
      </c>
      <c r="AW108" s="19" t="n">
        <f aca="false">AW107*Time!AW51</f>
        <v>7.66824009460592</v>
      </c>
      <c r="AX108" s="19" t="n">
        <f aca="false">AX107*Time!AX51</f>
        <v>7.40806422726675</v>
      </c>
      <c r="AY108" s="19" t="n">
        <f aca="false">AY107*Time!AY51</f>
        <v>7.38751021723973</v>
      </c>
      <c r="AZ108" s="19" t="n">
        <f aca="false">AZ107*Time!AZ51</f>
        <v>7.1654330503545</v>
      </c>
      <c r="BA108" s="19" t="n">
        <f aca="false">BA107*Time!BA51</f>
        <v>7.09370431799489</v>
      </c>
      <c r="BB108" s="19" t="n">
        <f aca="false">BB107*Time!BB51</f>
        <v>6.81709665098902</v>
      </c>
      <c r="BC108" s="19" t="n">
        <f aca="false">BC107*Time!BC51</f>
        <v>6.76006163681552</v>
      </c>
      <c r="BD108" s="19" t="n">
        <f aca="false">BD107*Time!BD51</f>
        <v>6.43966468857926</v>
      </c>
      <c r="BE108" s="19" t="n">
        <f aca="false">BE107*Time!BE51</f>
        <v>6.32554943937757</v>
      </c>
      <c r="BF108" s="19" t="n">
        <f aca="false">BF107*Time!BF51</f>
        <v>5.97534261552109</v>
      </c>
      <c r="BG108" s="19" t="n">
        <f aca="false">BG107*Time!BG51</f>
        <v>5.81544527386303</v>
      </c>
      <c r="BH108" s="19" t="n">
        <f aca="false">BH107*Time!BH51</f>
        <v>5.47803215486951</v>
      </c>
      <c r="BI108" s="19" t="n">
        <f aca="false">BI107*Time!BI51</f>
        <v>5.25128715734195</v>
      </c>
      <c r="BJ108" s="19" t="n">
        <f aca="false">BJ107*Time!BJ51</f>
        <v>4.86556784522395</v>
      </c>
      <c r="BK108" s="19" t="n">
        <f aca="false">BK107*Time!BK51</f>
        <v>4.63257666693426</v>
      </c>
      <c r="BL108" s="19" t="n">
        <f aca="false">BL107*Time!BL51</f>
        <v>4.22769482413282</v>
      </c>
      <c r="BM108" s="19" t="n">
        <f aca="false">BM107*Time!BM51</f>
        <v>3.95396271837685</v>
      </c>
      <c r="BN108" s="19" t="n">
        <f aca="false">BN107*Time!BN51</f>
        <v>3.52908664395872</v>
      </c>
      <c r="BO108" s="19" t="n">
        <f aca="false">BO107*Time!BO51</f>
        <v>3.21176245267099</v>
      </c>
      <c r="BP108" s="19" t="n">
        <f aca="false">BP107*Time!BP51</f>
        <v>2.84422882619412</v>
      </c>
      <c r="BQ108" s="19" t="n">
        <f aca="false">BQ107*Time!BQ51</f>
        <v>2.52800183064605</v>
      </c>
      <c r="BR108" s="19" t="n">
        <f aca="false">BR107*Time!BR51</f>
        <v>2.18001001523126</v>
      </c>
      <c r="BS108" s="19" t="n">
        <f aca="false">BS107*Time!BS51</f>
        <v>1.93304306901121</v>
      </c>
      <c r="BT108" s="19" t="n">
        <f aca="false">BT107*Time!BT51</f>
        <v>1.60537750766528</v>
      </c>
      <c r="BU108" s="19" t="n">
        <f aca="false">BU107*Time!BU51</f>
        <v>1.32877151968167</v>
      </c>
      <c r="BV108" s="19" t="n">
        <f aca="false">BV107*Time!BV51</f>
        <v>0.825172833230154</v>
      </c>
      <c r="BW108" s="19" t="n">
        <f aca="false">BW107*Time!BW51</f>
        <v>0.437785393967062</v>
      </c>
      <c r="BX108" s="19" t="n">
        <f aca="false">BX107*Time!BX51</f>
        <v>0.026336247965238</v>
      </c>
      <c r="BY108" s="19" t="n">
        <f aca="false">BY107*Time!BY51</f>
        <v>-0.389736302732576</v>
      </c>
      <c r="BZ108" s="19" t="n">
        <f aca="false">BZ107*Time!BZ51</f>
        <v>-0.812069790199205</v>
      </c>
      <c r="CA108" s="19" t="n">
        <f aca="false">CA107*Time!CA51</f>
        <v>-1.26428258714745</v>
      </c>
      <c r="CB108" s="19" t="n">
        <f aca="false">CB107*Time!CB51</f>
        <v>-1.65711687991816</v>
      </c>
      <c r="CC108" s="19" t="n">
        <f aca="false">CC107*Time!CC51</f>
        <v>-2.10737738888351</v>
      </c>
      <c r="CD108" s="19" t="n">
        <f aca="false">CD107*Time!CD51</f>
        <v>-2.51184785862819</v>
      </c>
      <c r="CE108" s="19" t="n">
        <f aca="false">CE107*Time!CE51</f>
        <v>-3.00209228554175</v>
      </c>
      <c r="CF108" s="19" t="n">
        <f aca="false">CF107*Time!CF51</f>
        <v>-3.41762526134091</v>
      </c>
      <c r="CG108" s="19" t="n">
        <f aca="false">CG107*Time!CG51</f>
        <v>-3.91340632163557</v>
      </c>
      <c r="CH108" s="19" t="n">
        <f aca="false">CH107*Time!CH51</f>
        <v>-4.4036274068569</v>
      </c>
      <c r="CI108" s="19" t="n">
        <f aca="false">CI107*Time!CI51</f>
        <v>-5.81679802449358</v>
      </c>
      <c r="CJ108" s="19" t="n">
        <f aca="false">CJ107*Time!CJ51</f>
        <v>-7.11873393411269</v>
      </c>
      <c r="CK108" s="19" t="n">
        <f aca="false">CK107*Time!CK51</f>
        <v>-8.66601495045897</v>
      </c>
      <c r="CL108" s="19" t="n">
        <f aca="false">CL107*Time!CL51</f>
        <v>-10.1778437826306</v>
      </c>
      <c r="CM108" s="19" t="n">
        <f aca="false">CM107*Time!CM51</f>
        <v>-11.9315325554785</v>
      </c>
      <c r="CN108" s="19" t="n">
        <f aca="false">CN107*Time!CN51</f>
        <v>-13.4580039420967</v>
      </c>
      <c r="CO108" s="19" t="n">
        <f aca="false">CO107*Time!CO51</f>
        <v>-15.3011997708835</v>
      </c>
      <c r="CP108" s="19" t="n">
        <f aca="false">CP107*Time!CP51</f>
        <v>-16.8020837579112</v>
      </c>
      <c r="CQ108" s="19" t="n">
        <f aca="false">CQ107*Time!CQ51</f>
        <v>-17.0805713340091</v>
      </c>
      <c r="CR108" s="19" t="n">
        <f aca="false">CR107*Time!CR51</f>
        <v>-16.8020837579112</v>
      </c>
      <c r="CS108" s="19" t="n">
        <f aca="false">CS107*Time!CS51</f>
        <v>-17.0805713340091</v>
      </c>
      <c r="CT108" s="19" t="n">
        <f aca="false">CT107*Time!CT51</f>
        <v>-16.8020837579112</v>
      </c>
      <c r="CU108" s="19" t="n">
        <f aca="false">CU107*Time!CU51</f>
        <v>-17.0805713340091</v>
      </c>
      <c r="CV108" s="19" t="n">
        <f aca="false">CV107*Time!CV51</f>
        <v>-16.8949129499438</v>
      </c>
      <c r="CW108" s="19" t="n">
        <f aca="false">CW107*Time!CW51</f>
        <v>-17.0805713340091</v>
      </c>
      <c r="CX108" s="19" t="n">
        <f aca="false">CX107*Time!CX51</f>
        <v>-16.8020837579112</v>
      </c>
      <c r="CY108" s="19" t="n">
        <f aca="false">CY107*Time!CY51</f>
        <v>-17.0805713340091</v>
      </c>
      <c r="CZ108" s="19" t="n">
        <f aca="false">CZ107*Time!CZ51</f>
        <v>-16.8020837579112</v>
      </c>
      <c r="DA108" s="19" t="n">
        <f aca="false">DA107*Time!DA51</f>
        <v>-17.0805713340091</v>
      </c>
      <c r="DB108" s="19" t="n">
        <f aca="false">DB107*Time!DB51</f>
        <v>-16.8020837579112</v>
      </c>
    </row>
    <row r="109" customFormat="false" ht="15" hidden="false" customHeight="false" outlineLevel="0" collapsed="false">
      <c r="D109" s="0" t="s">
        <v>565</v>
      </c>
      <c r="E109" s="0" t="s">
        <v>42</v>
      </c>
      <c r="J109" s="14" t="n">
        <f aca="false">IF(AND(Time!J47=1,J108&gt;J104/$F$115),1,0)</f>
        <v>0</v>
      </c>
      <c r="K109" s="14" t="n">
        <f aca="false">IF(AND(Time!K47=1,K108&gt;K104/$F$115),1,0)</f>
        <v>0</v>
      </c>
      <c r="L109" s="14" t="n">
        <f aca="false">IF(AND(Time!L47=1,L108&gt;L104/$F$115),1,0)</f>
        <v>0</v>
      </c>
      <c r="M109" s="14" t="n">
        <f aca="false">IF(AND(Time!M47=1,M108&gt;M104/$F$115),1,0)</f>
        <v>0</v>
      </c>
      <c r="N109" s="14" t="n">
        <f aca="false">IF(AND(Time!N47=1,N108&gt;N104/$F$115),1,0)</f>
        <v>0</v>
      </c>
      <c r="O109" s="14" t="n">
        <f aca="false">IF(AND(Time!O47=1,O108&gt;O104/$F$115),1,0)</f>
        <v>0</v>
      </c>
      <c r="P109" s="14" t="n">
        <f aca="false">IF(AND(Time!P47=1,P108&gt;P104/$F$115),1,0)</f>
        <v>0</v>
      </c>
      <c r="Q109" s="14" t="n">
        <f aca="false">IF(AND(Time!Q47=1,Q108&gt;Q104/$F$115),1,0)</f>
        <v>0</v>
      </c>
      <c r="R109" s="14" t="n">
        <f aca="false">IF(AND(Time!R47=1,R108&gt;R104/$F$115),1,0)</f>
        <v>0</v>
      </c>
      <c r="S109" s="14" t="n">
        <f aca="false">IF(AND(Time!S47=1,S108&gt;S104/$F$115),1,0)</f>
        <v>0</v>
      </c>
      <c r="T109" s="14" t="n">
        <f aca="false">IF(AND(Time!T47=1,T108&gt;T104/$F$115),1,0)</f>
        <v>0</v>
      </c>
      <c r="U109" s="14" t="n">
        <f aca="false">IF(AND(Time!U47=1,U108&gt;U104/$F$115),1,0)</f>
        <v>0</v>
      </c>
      <c r="V109" s="14" t="n">
        <f aca="false">IF(AND(Time!V47=1,V108&gt;V104/$F$115),1,0)</f>
        <v>0</v>
      </c>
      <c r="W109" s="14" t="n">
        <f aca="false">IF(AND(Time!W47=1,W108&gt;W104/$F$115),1,0)</f>
        <v>0</v>
      </c>
      <c r="X109" s="14" t="n">
        <f aca="false">IF(AND(Time!X47=1,X108&gt;X104/$F$115),1,0)</f>
        <v>0</v>
      </c>
      <c r="Y109" s="14" t="n">
        <f aca="false">IF(AND(Time!Y47=1,Y108&gt;Y104/$F$115),1,0)</f>
        <v>0</v>
      </c>
      <c r="Z109" s="14" t="n">
        <f aca="false">IF(AND(Time!Z47=1,Z108&gt;Z104/$F$115),1,0)</f>
        <v>0</v>
      </c>
      <c r="AA109" s="14" t="n">
        <f aca="false">IF(AND(Time!AA47=1,AA108&gt;AA104/$F$115),1,0)</f>
        <v>0</v>
      </c>
      <c r="AB109" s="14" t="n">
        <f aca="false">IF(AND(Time!AB47=1,AB108&gt;AB104/$F$115),1,0)</f>
        <v>0</v>
      </c>
      <c r="AC109" s="14" t="n">
        <f aca="false">IF(AND(Time!AC47=1,AC108&gt;AC104/$F$115),1,0)</f>
        <v>0</v>
      </c>
      <c r="AD109" s="14" t="n">
        <f aca="false">IF(AND(Time!AD47=1,AD108&gt;AD104/$F$115),1,0)</f>
        <v>0</v>
      </c>
      <c r="AE109" s="14" t="n">
        <f aca="false">IF(AND(Time!AE47=1,AE108&gt;AE104/$F$115),1,0)</f>
        <v>0</v>
      </c>
      <c r="AF109" s="14" t="n">
        <f aca="false">IF(AND(Time!AF47=1,AF108&gt;AF104/$F$115),1,0)</f>
        <v>0</v>
      </c>
      <c r="AG109" s="14" t="n">
        <f aca="false">IF(AND(Time!AG47=1,AG108&gt;AG104/$F$115),1,0)</f>
        <v>0</v>
      </c>
      <c r="AH109" s="14" t="n">
        <f aca="false">IF(AND(Time!AH47=1,AH108&gt;AH104/$F$115),1,0)</f>
        <v>0</v>
      </c>
      <c r="AI109" s="14" t="n">
        <f aca="false">IF(AND(Time!AI47=1,AI108&gt;AI104/$F$115),1,0)</f>
        <v>0</v>
      </c>
      <c r="AJ109" s="14" t="n">
        <f aca="false">IF(AND(Time!AJ47=1,AJ108&gt;AJ104/$F$115),1,0)</f>
        <v>0</v>
      </c>
      <c r="AK109" s="14" t="n">
        <f aca="false">IF(AND(Time!AK47=1,AK108&gt;AK104/$F$115),1,0)</f>
        <v>0</v>
      </c>
      <c r="AL109" s="14" t="n">
        <f aca="false">IF(AND(Time!AL47=1,AL108&gt;AL104/$F$115),1,0)</f>
        <v>0</v>
      </c>
      <c r="AM109" s="14" t="n">
        <f aca="false">IF(AND(Time!AM47=1,AM108&gt;AM104/$F$115),1,0)</f>
        <v>0</v>
      </c>
      <c r="AN109" s="14" t="n">
        <f aca="false">IF(AND(Time!AN47=1,AN108&gt;AN104/$F$115),1,0)</f>
        <v>0</v>
      </c>
      <c r="AO109" s="14" t="n">
        <f aca="false">IF(AND(Time!AO47=1,AO108&gt;AO104/$F$115),1,0)</f>
        <v>0</v>
      </c>
      <c r="AP109" s="14" t="n">
        <f aca="false">IF(AND(Time!AP47=1,AP108&gt;AP104/$F$115),1,0)</f>
        <v>0</v>
      </c>
      <c r="AQ109" s="14" t="n">
        <f aca="false">IF(AND(Time!AQ47=1,AQ108&gt;AQ104/$F$115),1,0)</f>
        <v>0</v>
      </c>
      <c r="AR109" s="14" t="n">
        <f aca="false">IF(AND(Time!AR47=1,AR108&gt;AR104/$F$115),1,0)</f>
        <v>0</v>
      </c>
      <c r="AS109" s="14" t="n">
        <f aca="false">IF(AND(Time!AS47=1,AS108&gt;AS104/$F$115),1,0)</f>
        <v>0</v>
      </c>
      <c r="AT109" s="14" t="n">
        <f aca="false">IF(AND(Time!AT47=1,AT108&gt;AT104/$F$115),1,0)</f>
        <v>0</v>
      </c>
      <c r="AU109" s="14" t="n">
        <f aca="false">IF(AND(Time!AU47=1,AU108&gt;AU104/$F$115),1,0)</f>
        <v>0</v>
      </c>
      <c r="AV109" s="14" t="n">
        <f aca="false">IF(AND(Time!AV47=1,AV108&gt;AV104/$F$115),1,0)</f>
        <v>0</v>
      </c>
      <c r="AW109" s="14" t="n">
        <f aca="false">IF(AND(Time!AW47=1,AW108&gt;AW104/$F$115),1,0)</f>
        <v>0</v>
      </c>
      <c r="AX109" s="14" t="n">
        <f aca="false">IF(AND(Time!AX47=1,AX108&gt;AX104/$F$115),1,0)</f>
        <v>0</v>
      </c>
      <c r="AY109" s="14" t="n">
        <f aca="false">IF(AND(Time!AY47=1,AY108&gt;AY104/$F$115),1,0)</f>
        <v>0</v>
      </c>
      <c r="AZ109" s="14" t="n">
        <f aca="false">IF(AND(Time!AZ47=1,AZ108&gt;AZ104/$F$115),1,0)</f>
        <v>0</v>
      </c>
      <c r="BA109" s="14" t="n">
        <f aca="false">IF(AND(Time!BA47=1,BA108&gt;BA104/$F$115),1,0)</f>
        <v>0</v>
      </c>
      <c r="BB109" s="14" t="n">
        <f aca="false">IF(AND(Time!BB47=1,BB108&gt;BB104/$F$115),1,0)</f>
        <v>0</v>
      </c>
      <c r="BC109" s="14" t="n">
        <f aca="false">IF(AND(Time!BC47=1,BC108&gt;BC104/$F$115),1,0)</f>
        <v>0</v>
      </c>
      <c r="BD109" s="14" t="n">
        <f aca="false">IF(AND(Time!BD47=1,BD108&gt;BD104/$F$115),1,0)</f>
        <v>0</v>
      </c>
      <c r="BE109" s="14" t="n">
        <f aca="false">IF(AND(Time!BE47=1,BE108&gt;BE104/$F$115),1,0)</f>
        <v>0</v>
      </c>
      <c r="BF109" s="14" t="n">
        <f aca="false">IF(AND(Time!BF47=1,BF108&gt;BF104/$F$115),1,0)</f>
        <v>0</v>
      </c>
      <c r="BG109" s="14" t="n">
        <f aca="false">IF(AND(Time!BG47=1,BG108&gt;BG104/$F$115),1,0)</f>
        <v>0</v>
      </c>
      <c r="BH109" s="14" t="n">
        <f aca="false">IF(AND(Time!BH47=1,BH108&gt;BH104/$F$115),1,0)</f>
        <v>0</v>
      </c>
      <c r="BI109" s="14" t="n">
        <f aca="false">IF(AND(Time!BI47=1,BI108&gt;BI104/$F$115),1,0)</f>
        <v>0</v>
      </c>
      <c r="BJ109" s="14" t="n">
        <f aca="false">IF(AND(Time!BJ47=1,BJ108&gt;BJ104/$F$115),1,0)</f>
        <v>0</v>
      </c>
      <c r="BK109" s="14" t="n">
        <f aca="false">IF(AND(Time!BK47=1,BK108&gt;BK104/$F$115),1,0)</f>
        <v>0</v>
      </c>
      <c r="BL109" s="14" t="n">
        <f aca="false">IF(AND(Time!BL47=1,BL108&gt;BL104/$F$115),1,0)</f>
        <v>0</v>
      </c>
      <c r="BM109" s="14" t="n">
        <f aca="false">IF(AND(Time!BM47=1,BM108&gt;BM104/$F$115),1,0)</f>
        <v>0</v>
      </c>
      <c r="BN109" s="14" t="n">
        <f aca="false">IF(AND(Time!BN47=1,BN108&gt;BN104/$F$115),1,0)</f>
        <v>0</v>
      </c>
      <c r="BO109" s="14" t="n">
        <f aca="false">IF(AND(Time!BO47=1,BO108&gt;BO104/$F$115),1,0)</f>
        <v>0</v>
      </c>
      <c r="BP109" s="14" t="n">
        <f aca="false">IF(AND(Time!BP47=1,BP108&gt;BP104/$F$115),1,0)</f>
        <v>0</v>
      </c>
      <c r="BQ109" s="14" t="n">
        <f aca="false">IF(AND(Time!BQ47=1,BQ108&gt;BQ104/$F$115),1,0)</f>
        <v>0</v>
      </c>
      <c r="BR109" s="14" t="n">
        <f aca="false">IF(AND(Time!BR47=1,BR108&gt;BR104/$F$115),1,0)</f>
        <v>0</v>
      </c>
      <c r="BS109" s="14" t="n">
        <f aca="false">IF(AND(Time!BS47=1,BS108&gt;BS104/$F$115),1,0)</f>
        <v>0</v>
      </c>
      <c r="BT109" s="14" t="n">
        <f aca="false">IF(AND(Time!BT47=1,BT108&gt;BT104/$F$115),1,0)</f>
        <v>0</v>
      </c>
      <c r="BU109" s="14" t="n">
        <f aca="false">IF(AND(Time!BU47=1,BU108&gt;BU104/$F$115),1,0)</f>
        <v>0</v>
      </c>
      <c r="BV109" s="14" t="n">
        <f aca="false">IF(AND(Time!BV47=1,BV108&gt;BV104/$F$115),1,0)</f>
        <v>0</v>
      </c>
      <c r="BW109" s="14" t="n">
        <f aca="false">IF(AND(Time!BW47=1,BW108&gt;BW104/$F$115),1,0)</f>
        <v>0</v>
      </c>
      <c r="BX109" s="14" t="n">
        <f aca="false">IF(AND(Time!BX47=1,BX108&gt;BX104/$F$115),1,0)</f>
        <v>0</v>
      </c>
      <c r="BY109" s="14" t="n">
        <f aca="false">IF(AND(Time!BY47=1,BY108&gt;BY104/$F$115),1,0)</f>
        <v>0</v>
      </c>
      <c r="BZ109" s="14" t="n">
        <f aca="false">IF(AND(Time!BZ47=1,BZ108&gt;BZ104/$F$115),1,0)</f>
        <v>0</v>
      </c>
      <c r="CA109" s="14" t="n">
        <f aca="false">IF(AND(Time!CA47=1,CA108&gt;CA104/$F$115),1,0)</f>
        <v>0</v>
      </c>
      <c r="CB109" s="14" t="n">
        <f aca="false">IF(AND(Time!CB47=1,CB108&gt;CB104/$F$115),1,0)</f>
        <v>0</v>
      </c>
      <c r="CC109" s="14" t="n">
        <f aca="false">IF(AND(Time!CC47=1,CC108&gt;CC104/$F$115),1,0)</f>
        <v>0</v>
      </c>
      <c r="CD109" s="14" t="n">
        <f aca="false">IF(AND(Time!CD47=1,CD108&gt;CD104/$F$115),1,0)</f>
        <v>0</v>
      </c>
      <c r="CE109" s="14" t="n">
        <f aca="false">IF(AND(Time!CE47=1,CE108&gt;CE104/$F$115),1,0)</f>
        <v>0</v>
      </c>
      <c r="CF109" s="14" t="n">
        <f aca="false">IF(AND(Time!CF47=1,CF108&gt;CF104/$F$115),1,0)</f>
        <v>0</v>
      </c>
      <c r="CG109" s="14" t="n">
        <f aca="false">IF(AND(Time!CG47=1,CG108&gt;CG104/$F$115),1,0)</f>
        <v>0</v>
      </c>
      <c r="CH109" s="14" t="n">
        <f aca="false">IF(AND(Time!CH47=1,CH108&gt;CH104/$F$115),1,0)</f>
        <v>0</v>
      </c>
      <c r="CI109" s="14" t="n">
        <f aca="false">IF(AND(Time!CI47=1,CI108&gt;CI104/$F$115),1,0)</f>
        <v>0</v>
      </c>
      <c r="CJ109" s="14" t="n">
        <f aca="false">IF(AND(Time!CJ47=1,CJ108&gt;CJ104/$F$115),1,0)</f>
        <v>0</v>
      </c>
      <c r="CK109" s="14" t="n">
        <f aca="false">IF(AND(Time!CK47=1,CK108&gt;CK104/$F$115),1,0)</f>
        <v>0</v>
      </c>
      <c r="CL109" s="14" t="n">
        <f aca="false">IF(AND(Time!CL47=1,CL108&gt;CL104/$F$115),1,0)</f>
        <v>0</v>
      </c>
      <c r="CM109" s="14" t="n">
        <f aca="false">IF(AND(Time!CM47=1,CM108&gt;CM104/$F$115),1,0)</f>
        <v>0</v>
      </c>
      <c r="CN109" s="14" t="n">
        <f aca="false">IF(AND(Time!CN47=1,CN108&gt;CN104/$F$115),1,0)</f>
        <v>0</v>
      </c>
      <c r="CO109" s="14" t="n">
        <f aca="false">IF(AND(Time!CO47=1,CO108&gt;CO104/$F$115),1,0)</f>
        <v>0</v>
      </c>
      <c r="CP109" s="14" t="n">
        <f aca="false">IF(AND(Time!CP47=1,CP108&gt;CP104/$F$115),1,0)</f>
        <v>0</v>
      </c>
      <c r="CQ109" s="14" t="n">
        <f aca="false">IF(AND(Time!CQ47=1,CQ108&gt;CQ104/$F$115),1,0)</f>
        <v>0</v>
      </c>
      <c r="CR109" s="14" t="n">
        <f aca="false">IF(AND(Time!CR47=1,CR108&gt;CR104/$F$115),1,0)</f>
        <v>0</v>
      </c>
      <c r="CS109" s="14" t="n">
        <f aca="false">IF(AND(Time!CS47=1,CS108&gt;CS104/$F$115),1,0)</f>
        <v>0</v>
      </c>
      <c r="CT109" s="14" t="n">
        <f aca="false">IF(AND(Time!CT47=1,CT108&gt;CT104/$F$115),1,0)</f>
        <v>0</v>
      </c>
      <c r="CU109" s="14" t="n">
        <f aca="false">IF(AND(Time!CU47=1,CU108&gt;CU104/$F$115),1,0)</f>
        <v>0</v>
      </c>
      <c r="CV109" s="14" t="n">
        <f aca="false">IF(AND(Time!CV47=1,CV108&gt;CV104/$F$115),1,0)</f>
        <v>0</v>
      </c>
      <c r="CW109" s="14" t="n">
        <f aca="false">IF(AND(Time!CW47=1,CW108&gt;CW104/$F$115),1,0)</f>
        <v>0</v>
      </c>
      <c r="CX109" s="14" t="n">
        <f aca="false">IF(AND(Time!CX47=1,CX108&gt;CX104/$F$115),1,0)</f>
        <v>0</v>
      </c>
      <c r="CY109" s="14" t="n">
        <f aca="false">IF(AND(Time!CY47=1,CY108&gt;CY104/$F$115),1,0)</f>
        <v>0</v>
      </c>
      <c r="CZ109" s="14" t="n">
        <f aca="false">IF(AND(Time!CZ47=1,CZ108&gt;CZ104/$F$115),1,0)</f>
        <v>0</v>
      </c>
      <c r="DA109" s="14" t="n">
        <f aca="false">IF(AND(Time!DA47=1,DA108&gt;DA104/$F$115),1,0)</f>
        <v>0</v>
      </c>
      <c r="DB109" s="14" t="n">
        <f aca="false">IF(AND(Time!DB47=1,DB108&gt;DB104/$F$115),1,0)</f>
        <v>0</v>
      </c>
    </row>
    <row r="110" customFormat="false" ht="15" hidden="false" customHeight="false" outlineLevel="0" collapsed="false">
      <c r="D110" s="0" t="s">
        <v>566</v>
      </c>
      <c r="E110" s="0" t="s">
        <v>44</v>
      </c>
      <c r="G110" s="19" t="n">
        <f aca="false">SUM(J110:DB110)</f>
        <v>1805.97840423531</v>
      </c>
      <c r="J110" s="19" t="n">
        <f aca="false">IF(Time!J47=1,MAX(J108,J104/$F$115),0)</f>
        <v>0</v>
      </c>
      <c r="K110" s="19" t="n">
        <f aca="false">IF(Time!K47=1,MAX(K108,K104/$F$115),0)</f>
        <v>0</v>
      </c>
      <c r="L110" s="19" t="n">
        <f aca="false">IF(Time!L47=1,MAX(L108,L104/$F$115),0)</f>
        <v>0</v>
      </c>
      <c r="M110" s="19" t="n">
        <f aca="false">IF(Time!M47=1,MAX(M108,M104/$F$115),0)</f>
        <v>0</v>
      </c>
      <c r="N110" s="19" t="n">
        <f aca="false">IF(Time!N47=1,MAX(N108,N104/$F$115),0)</f>
        <v>0</v>
      </c>
      <c r="O110" s="19" t="n">
        <f aca="false">IF(Time!O47=1,MAX(O108,O104/$F$115),0)</f>
        <v>0</v>
      </c>
      <c r="P110" s="19" t="n">
        <f aca="false">IF(Time!P47=1,MAX(P108,P104/$F$115),0)</f>
        <v>0</v>
      </c>
      <c r="Q110" s="19" t="n">
        <f aca="false">IF(Time!Q47=1,MAX(Q108,Q104/$F$115),0)</f>
        <v>0</v>
      </c>
      <c r="R110" s="19" t="n">
        <f aca="false">IF(Time!R47=1,MAX(R108,R104/$F$115),0)</f>
        <v>0</v>
      </c>
      <c r="S110" s="19" t="n">
        <f aca="false">IF(Time!S47=1,MAX(S108,S104/$F$115),0)</f>
        <v>0</v>
      </c>
      <c r="T110" s="19" t="n">
        <f aca="false">IF(Time!T47=1,MAX(T108,T104/$F$115),0)</f>
        <v>0</v>
      </c>
      <c r="U110" s="19" t="n">
        <f aca="false">IF(Time!U47=1,MAX(U108,U104/$F$115),0)</f>
        <v>0</v>
      </c>
      <c r="V110" s="19" t="n">
        <f aca="false">IF(Time!V47=1,MAX(V108,V104/$F$115),0)</f>
        <v>0</v>
      </c>
      <c r="W110" s="19" t="n">
        <f aca="false">IF(Time!W47=1,MAX(W108,W104/$F$115),0)</f>
        <v>0</v>
      </c>
      <c r="X110" s="19" t="n">
        <f aca="false">IF(Time!X47=1,MAX(X108,X104/$F$115),0)</f>
        <v>0</v>
      </c>
      <c r="Y110" s="19" t="n">
        <f aca="false">IF(Time!Y47=1,MAX(Y108,Y104/$F$115),0)</f>
        <v>0</v>
      </c>
      <c r="Z110" s="19" t="n">
        <f aca="false">IF(Time!Z47=1,MAX(Z108,Z104/$F$115),0)</f>
        <v>0</v>
      </c>
      <c r="AA110" s="19" t="n">
        <f aca="false">IF(Time!AA47=1,MAX(AA108,AA104/$F$115),0)</f>
        <v>0</v>
      </c>
      <c r="AB110" s="19" t="n">
        <f aca="false">IF(Time!AB47=1,MAX(AB108,AB104/$F$115),0)</f>
        <v>0</v>
      </c>
      <c r="AC110" s="19" t="n">
        <f aca="false">IF(Time!AC47=1,MAX(AC108,AC104/$F$115),0)</f>
        <v>0</v>
      </c>
      <c r="AD110" s="19" t="n">
        <f aca="false">IF(Time!AD47=1,MAX(AD108,AD104/$F$115),0)</f>
        <v>0</v>
      </c>
      <c r="AE110" s="19" t="n">
        <f aca="false">IF(Time!AE47=1,MAX(AE108,AE104/$F$115),0)</f>
        <v>0</v>
      </c>
      <c r="AF110" s="19" t="n">
        <f aca="false">IF(Time!AF47=1,MAX(AF108,AF104/$F$115),0)</f>
        <v>0</v>
      </c>
      <c r="AG110" s="19" t="n">
        <f aca="false">IF(Time!AG47=1,MAX(AG108,AG104/$F$115),0)</f>
        <v>0</v>
      </c>
      <c r="AH110" s="19" t="n">
        <f aca="false">IF(Time!AH47=1,MAX(AH108,AH104/$F$115),0)</f>
        <v>0</v>
      </c>
      <c r="AI110" s="19" t="n">
        <f aca="false">IF(Time!AI47=1,MAX(AI108,AI104/$F$115),0)</f>
        <v>0</v>
      </c>
      <c r="AJ110" s="19" t="n">
        <f aca="false">IF(Time!AJ47=1,MAX(AJ108,AJ104/$F$115),0)</f>
        <v>11.2613607470403</v>
      </c>
      <c r="AK110" s="19" t="n">
        <f aca="false">IF(Time!AK47=1,MAX(AK108,AK104/$F$115),0)</f>
        <v>11.7668771324713</v>
      </c>
      <c r="AL110" s="19" t="n">
        <f aca="false">IF(Time!AL47=1,MAX(AL108,AL104/$F$115),0)</f>
        <v>12.0074391027568</v>
      </c>
      <c r="AM110" s="19" t="n">
        <f aca="false">IF(Time!AM47=1,MAX(AM108,AM104/$F$115),0)</f>
        <v>12.6136243904338</v>
      </c>
      <c r="AN110" s="19" t="n">
        <f aca="false">IF(Time!AN47=1,MAX(AN108,AN104/$F$115),0)</f>
        <v>12.868908701664</v>
      </c>
      <c r="AO110" s="19" t="n">
        <f aca="false">IF(Time!AO47=1,MAX(AO108,AO104/$F$115),0)</f>
        <v>14.2260453627992</v>
      </c>
      <c r="AP110" s="19" t="n">
        <f aca="false">IF(Time!AP47=1,MAX(AP108,AP104/$F$115),0)</f>
        <v>14.496897870648</v>
      </c>
      <c r="AQ110" s="19" t="n">
        <f aca="false">IF(Time!AQ47=1,MAX(AQ108,AQ104/$F$115),0)</f>
        <v>12.8931210659631</v>
      </c>
      <c r="AR110" s="19" t="n">
        <f aca="false">IF(Time!AR47=1,MAX(AR108,AR104/$F$115),0)</f>
        <v>13.2660500311787</v>
      </c>
      <c r="AS110" s="19" t="n">
        <f aca="false">IF(Time!AS47=1,MAX(AS108,AS104/$F$115),0)</f>
        <v>13.9106668422024</v>
      </c>
      <c r="AT110" s="19" t="n">
        <f aca="false">IF(Time!AT47=1,MAX(AT108,AT104/$F$115),0)</f>
        <v>14.2161377203198</v>
      </c>
      <c r="AU110" s="19" t="n">
        <f aca="false">IF(Time!AU47=1,MAX(AU108,AU104/$F$115),0)</f>
        <v>14.9895451830711</v>
      </c>
      <c r="AV110" s="19" t="n">
        <f aca="false">IF(Time!AV47=1,MAX(AV108,AV104/$F$115),0)</f>
        <v>15.3135616454914</v>
      </c>
      <c r="AW110" s="19" t="n">
        <f aca="false">IF(Time!AW47=1,MAX(AW108,AW104/$F$115),0)</f>
        <v>16.5747919258106</v>
      </c>
      <c r="AX110" s="19" t="n">
        <f aca="false">IF(Time!AX47=1,MAX(AX108,AX104/$F$115),0)</f>
        <v>16.7002913884352</v>
      </c>
      <c r="AY110" s="19" t="n">
        <f aca="false">IF(Time!AY47=1,MAX(AY108,AY104/$F$115),0)</f>
        <v>16.6795130392704</v>
      </c>
      <c r="AZ110" s="19" t="n">
        <f aca="false">IF(Time!AZ47=1,MAX(AZ108,AZ104/$F$115),0)</f>
        <v>16.9198839837171</v>
      </c>
      <c r="BA110" s="19" t="n">
        <f aca="false">IF(Time!BA47=1,MAX(BA108,BA104/$F$115),0)</f>
        <v>17.7004546189558</v>
      </c>
      <c r="BB110" s="19" t="n">
        <f aca="false">IF(Time!BB47=1,MAX(BB108,BB104/$F$115),0)</f>
        <v>17.8392854361444</v>
      </c>
      <c r="BC110" s="19" t="n">
        <f aca="false">IF(Time!BC47=1,MAX(BC108,BC104/$F$115),0)</f>
        <v>20.6110657667577</v>
      </c>
      <c r="BD110" s="19" t="n">
        <f aca="false">IF(Time!BD47=1,MAX(BD108,BD104/$F$115),0)</f>
        <v>20.756633005506</v>
      </c>
      <c r="BE110" s="19" t="n">
        <f aca="false">IF(Time!BE47=1,MAX(BE108,BE104/$F$115),0)</f>
        <v>22.6079305367857</v>
      </c>
      <c r="BF110" s="19" t="n">
        <f aca="false">IF(Time!BF47=1,MAX(BF108,BF104/$F$115),0)</f>
        <v>22.7613084229173</v>
      </c>
      <c r="BG110" s="19" t="n">
        <f aca="false">IF(Time!BG47=1,MAX(BG108,BG104/$F$115),0)</f>
        <v>23.7863641530911</v>
      </c>
      <c r="BH110" s="19" t="n">
        <f aca="false">IF(Time!BH47=1,MAX(BH108,BH104/$F$115),0)</f>
        <v>24.079597029938</v>
      </c>
      <c r="BI110" s="19" t="n">
        <f aca="false">IF(Time!BI47=1,MAX(BI108,BI104/$F$115),0)</f>
        <v>25.0282492806336</v>
      </c>
      <c r="BJ110" s="19" t="n">
        <f aca="false">IF(Time!BJ47=1,MAX(BJ108,BJ104/$F$115),0)</f>
        <v>25.1975374139628</v>
      </c>
      <c r="BK110" s="19" t="n">
        <f aca="false">IF(Time!BK47=1,MAX(BK108,BK104/$F$115),0)</f>
        <v>26.3371601437781</v>
      </c>
      <c r="BL110" s="19" t="n">
        <f aca="false">IF(Time!BL47=1,MAX(BL108,BL104/$F$115),0)</f>
        <v>26.5153838720568</v>
      </c>
      <c r="BM110" s="19" t="n">
        <f aca="false">IF(Time!BM47=1,MAX(BM108,BM104/$F$115),0)</f>
        <v>27.7053423454868</v>
      </c>
      <c r="BN110" s="19" t="n">
        <f aca="false">IF(Time!BN47=1,MAX(BN108,BN104/$F$115),0)</f>
        <v>27.8920678051833</v>
      </c>
      <c r="BO110" s="19" t="n">
        <f aca="false">IF(Time!BO47=1,MAX(BO108,BO104/$F$115),0)</f>
        <v>25.0115640826541</v>
      </c>
      <c r="BP110" s="19" t="n">
        <f aca="false">IF(Time!BP47=1,MAX(BP108,BP104/$F$115),0)</f>
        <v>25.3703413477993</v>
      </c>
      <c r="BQ110" s="19" t="n">
        <f aca="false">IF(Time!BQ47=1,MAX(BQ108,BQ104/$F$115),0)</f>
        <v>22.7447811441875</v>
      </c>
      <c r="BR110" s="19" t="n">
        <f aca="false">IF(Time!BR47=1,MAX(BR108,BR104/$F$115),0)</f>
        <v>20.5324172597886</v>
      </c>
      <c r="BS110" s="19" t="n">
        <f aca="false">IF(Time!BS47=1,MAX(BS108,BS104/$F$115),0)</f>
        <v>21.4495675511683</v>
      </c>
      <c r="BT110" s="19" t="n">
        <f aca="false">IF(Time!BT47=1,MAX(BT108,BT104/$F$115),0)</f>
        <v>21.2617564613709</v>
      </c>
      <c r="BU110" s="19" t="n">
        <f aca="false">IF(Time!BU47=1,MAX(BU108,BU104/$F$115),0)</f>
        <v>33.0887624372109</v>
      </c>
      <c r="BV110" s="19" t="n">
        <f aca="false">IF(Time!BV47=1,MAX(BV108,BV104/$F$115),0)</f>
        <v>26.824832364307</v>
      </c>
      <c r="BW110" s="19" t="n">
        <f aca="false">IF(Time!BW47=1,MAX(BW108,BW104/$F$115),0)</f>
        <v>27.0918959171069</v>
      </c>
      <c r="BX110" s="19" t="n">
        <f aca="false">IF(Time!BX47=1,MAX(BX108,BX104/$F$115),0)</f>
        <v>27.0176895098794</v>
      </c>
      <c r="BY110" s="19" t="n">
        <f aca="false">IF(Time!BY47=1,MAX(BY108,BY104/$F$115),0)</f>
        <v>27.8612797578232</v>
      </c>
      <c r="BZ110" s="19" t="n">
        <f aca="false">IF(Time!BZ47=1,MAX(BZ108,BZ104/$F$115),0)</f>
        <v>27.6308246727298</v>
      </c>
      <c r="CA110" s="19" t="n">
        <f aca="false">IF(Time!CA47=1,MAX(CA108,CA104/$F$115),0)</f>
        <v>25.9823812764715</v>
      </c>
      <c r="CB110" s="19" t="n">
        <f aca="false">IF(Time!CB47=1,MAX(CB108,CB104/$F$115),0)</f>
        <v>25.7512353536608</v>
      </c>
      <c r="CC110" s="19" t="n">
        <f aca="false">IF(Time!CC47=1,MAX(CC108,CC104/$F$115),0)</f>
        <v>26.8120079338081</v>
      </c>
      <c r="CD110" s="19" t="n">
        <f aca="false">IF(Time!CD47=1,MAX(CD108,CD104/$F$115),0)</f>
        <v>26.5701410159406</v>
      </c>
      <c r="CE110" s="19" t="n">
        <f aca="false">IF(Time!CE47=1,MAX(CE108,CE104/$F$115),0)</f>
        <v>26.3701714139491</v>
      </c>
      <c r="CF110" s="19" t="n">
        <f aca="false">IF(Time!CF47=1,MAX(CF108,CF104/$F$115),0)</f>
        <v>26.2875519268932</v>
      </c>
      <c r="CG110" s="19" t="n">
        <f aca="false">IF(Time!CG47=1,MAX(CG108,CG104/$F$115),0)</f>
        <v>32.5975743272717</v>
      </c>
      <c r="CH110" s="19" t="n">
        <f aca="false">IF(Time!CH47=1,MAX(CH108,CH104/$F$115),0)</f>
        <v>82.4759097659131</v>
      </c>
      <c r="CI110" s="19" t="n">
        <f aca="false">IF(Time!CI47=1,MAX(CI108,CI104/$F$115),0)</f>
        <v>86.2322536967469</v>
      </c>
      <c r="CJ110" s="19" t="n">
        <f aca="false">IF(Time!CJ47=1,MAX(CJ108,CJ104/$F$115),0)</f>
        <v>85.5374178785642</v>
      </c>
      <c r="CK110" s="19" t="n">
        <f aca="false">IF(Time!CK47=1,MAX(CK108,CK104/$F$115),0)</f>
        <v>100.276629811635</v>
      </c>
      <c r="CL110" s="19" t="n">
        <f aca="false">IF(Time!CL47=1,MAX(CL108,CL104/$F$115),0)</f>
        <v>92.5720956113074</v>
      </c>
      <c r="CM110" s="19" t="n">
        <f aca="false">IF(Time!CM47=1,MAX(CM108,CM104/$F$115),0)</f>
        <v>96.6117258342002</v>
      </c>
      <c r="CN110" s="19" t="n">
        <f aca="false">IF(Time!CN47=1,MAX(CN108,CN104/$F$115),0)</f>
        <v>96.4429927163263</v>
      </c>
      <c r="CO110" s="19" t="n">
        <f aca="false">IF(Time!CO47=1,MAX(CO108,CO104/$F$115),0)</f>
        <v>100.04950720213</v>
      </c>
      <c r="CP110" s="19" t="n">
        <f aca="false">IF(Time!CP47=1,MAX(CP108,CP104/$F$115),0)</f>
        <v>0</v>
      </c>
      <c r="CQ110" s="19" t="n">
        <f aca="false">IF(Time!CQ47=1,MAX(CQ108,CQ104/$F$115),0)</f>
        <v>0</v>
      </c>
      <c r="CR110" s="19" t="n">
        <f aca="false">IF(Time!CR47=1,MAX(CR108,CR104/$F$115),0)</f>
        <v>0</v>
      </c>
      <c r="CS110" s="19" t="n">
        <f aca="false">IF(Time!CS47=1,MAX(CS108,CS104/$F$115),0)</f>
        <v>0</v>
      </c>
      <c r="CT110" s="19" t="n">
        <f aca="false">IF(Time!CT47=1,MAX(CT108,CT104/$F$115),0)</f>
        <v>0</v>
      </c>
      <c r="CU110" s="19" t="n">
        <f aca="false">IF(Time!CU47=1,MAX(CU108,CU104/$F$115),0)</f>
        <v>0</v>
      </c>
      <c r="CV110" s="19" t="n">
        <f aca="false">IF(Time!CV47=1,MAX(CV108,CV104/$F$115),0)</f>
        <v>0</v>
      </c>
      <c r="CW110" s="19" t="n">
        <f aca="false">IF(Time!CW47=1,MAX(CW108,CW104/$F$115),0)</f>
        <v>0</v>
      </c>
      <c r="CX110" s="19" t="n">
        <f aca="false">IF(Time!CX47=1,MAX(CX108,CX104/$F$115),0)</f>
        <v>0</v>
      </c>
      <c r="CY110" s="19" t="n">
        <f aca="false">IF(Time!CY47=1,MAX(CY108,CY104/$F$115),0)</f>
        <v>0</v>
      </c>
      <c r="CZ110" s="19" t="n">
        <f aca="false">IF(Time!CZ47=1,MAX(CZ108,CZ104/$F$115),0)</f>
        <v>0</v>
      </c>
      <c r="DA110" s="19" t="n">
        <f aca="false">IF(Time!DA47=1,MAX(DA108,DA104/$F$115),0)</f>
        <v>0</v>
      </c>
      <c r="DB110" s="19" t="n">
        <f aca="false">IF(Time!DB47=1,MAX(DB108,DB104/$F$115),0)</f>
        <v>0</v>
      </c>
    </row>
    <row r="111" customFormat="false" ht="15" hidden="false" customHeight="false" outlineLevel="0" collapsed="false">
      <c r="D111" s="0" t="s">
        <v>567</v>
      </c>
      <c r="E111" s="0" t="s">
        <v>44</v>
      </c>
      <c r="G111" s="19" t="n">
        <f aca="false">SUM(J111:DB111)</f>
        <v>1675.44557584082</v>
      </c>
      <c r="J111" s="19" t="n">
        <f aca="false">IF(Time!J47=1,J110-J108,0)</f>
        <v>0</v>
      </c>
      <c r="K111" s="19" t="n">
        <f aca="false">IF(Time!K47=1,K110-K108,0)</f>
        <v>0</v>
      </c>
      <c r="L111" s="19" t="n">
        <f aca="false">IF(Time!L47=1,L110-L108,0)</f>
        <v>0</v>
      </c>
      <c r="M111" s="19" t="n">
        <f aca="false">IF(Time!M47=1,M110-M108,0)</f>
        <v>0</v>
      </c>
      <c r="N111" s="19" t="n">
        <f aca="false">IF(Time!N47=1,N110-N108,0)</f>
        <v>0</v>
      </c>
      <c r="O111" s="19" t="n">
        <f aca="false">IF(Time!O47=1,O110-O108,0)</f>
        <v>0</v>
      </c>
      <c r="P111" s="19" t="n">
        <f aca="false">IF(Time!P47=1,P110-P108,0)</f>
        <v>0</v>
      </c>
      <c r="Q111" s="19" t="n">
        <f aca="false">IF(Time!Q47=1,Q110-Q108,0)</f>
        <v>0</v>
      </c>
      <c r="R111" s="19" t="n">
        <f aca="false">IF(Time!R47=1,R110-R108,0)</f>
        <v>0</v>
      </c>
      <c r="S111" s="19" t="n">
        <f aca="false">IF(Time!S47=1,S110-S108,0)</f>
        <v>0</v>
      </c>
      <c r="T111" s="19" t="n">
        <f aca="false">IF(Time!T47=1,T110-T108,0)</f>
        <v>0</v>
      </c>
      <c r="U111" s="19" t="n">
        <f aca="false">IF(Time!U47=1,U110-U108,0)</f>
        <v>0</v>
      </c>
      <c r="V111" s="19" t="n">
        <f aca="false">IF(Time!V47=1,V110-V108,0)</f>
        <v>0</v>
      </c>
      <c r="W111" s="19" t="n">
        <f aca="false">IF(Time!W47=1,W110-W108,0)</f>
        <v>0</v>
      </c>
      <c r="X111" s="19" t="n">
        <f aca="false">IF(Time!X47=1,X110-X108,0)</f>
        <v>0</v>
      </c>
      <c r="Y111" s="19" t="n">
        <f aca="false">IF(Time!Y47=1,Y110-Y108,0)</f>
        <v>0</v>
      </c>
      <c r="Z111" s="19" t="n">
        <f aca="false">IF(Time!Z47=1,Z110-Z108,0)</f>
        <v>0</v>
      </c>
      <c r="AA111" s="19" t="n">
        <f aca="false">IF(Time!AA47=1,AA110-AA108,0)</f>
        <v>0</v>
      </c>
      <c r="AB111" s="19" t="n">
        <f aca="false">IF(Time!AB47=1,AB110-AB108,0)</f>
        <v>0</v>
      </c>
      <c r="AC111" s="19" t="n">
        <f aca="false">IF(Time!AC47=1,AC110-AC108,0)</f>
        <v>0</v>
      </c>
      <c r="AD111" s="19" t="n">
        <f aca="false">IF(Time!AD47=1,AD110-AD108,0)</f>
        <v>0</v>
      </c>
      <c r="AE111" s="19" t="n">
        <f aca="false">IF(Time!AE47=1,AE110-AE108,0)</f>
        <v>0</v>
      </c>
      <c r="AF111" s="19" t="n">
        <f aca="false">IF(Time!AF47=1,AF110-AF108,0)</f>
        <v>0</v>
      </c>
      <c r="AG111" s="19" t="n">
        <f aca="false">IF(Time!AG47=1,AG110-AG108,0)</f>
        <v>0</v>
      </c>
      <c r="AH111" s="19" t="n">
        <f aca="false">IF(Time!AH47=1,AH110-AH108,0)</f>
        <v>0</v>
      </c>
      <c r="AI111" s="19" t="n">
        <f aca="false">IF(Time!AI47=1,AI110-AI108,0)</f>
        <v>0</v>
      </c>
      <c r="AJ111" s="19" t="n">
        <f aca="false">IF(Time!AJ47=1,AJ110-AJ108,0)</f>
        <v>6.95959243721546</v>
      </c>
      <c r="AK111" s="19" t="n">
        <f aca="false">IF(Time!AK47=1,AK110-AK108,0)</f>
        <v>3.10979509399925</v>
      </c>
      <c r="AL111" s="19" t="n">
        <f aca="false">IF(Time!AL47=1,AL110-AL108,0)</f>
        <v>3.5386939385541</v>
      </c>
      <c r="AM111" s="19" t="n">
        <f aca="false">IF(Time!AM47=1,AM110-AM108,0)</f>
        <v>4.05910030442443</v>
      </c>
      <c r="AN111" s="19" t="n">
        <f aca="false">IF(Time!AN47=1,AN110-AN108,0)</f>
        <v>4.51545434073296</v>
      </c>
      <c r="AO111" s="19" t="n">
        <f aca="false">IF(Time!AO47=1,AO110-AO108,0)</f>
        <v>5.80379024247228</v>
      </c>
      <c r="AP111" s="19" t="n">
        <f aca="false">IF(Time!AP47=1,AP110-AP108,0)</f>
        <v>6.30003027149383</v>
      </c>
      <c r="AQ111" s="19" t="n">
        <f aca="false">IF(Time!AQ47=1,AQ110-AQ108,0)</f>
        <v>4.65757649638097</v>
      </c>
      <c r="AR111" s="19" t="n">
        <f aca="false">IF(Time!AR47=1,AR110-AR108,0)</f>
        <v>5.19108793539261</v>
      </c>
      <c r="AS111" s="19" t="n">
        <f aca="false">IF(Time!AS47=1,AS110-AS108,0)</f>
        <v>5.82704534170698</v>
      </c>
      <c r="AT111" s="19" t="n">
        <f aca="false">IF(Time!AT47=1,AT110-AT108,0)</f>
        <v>6.35273541928368</v>
      </c>
      <c r="AU111" s="19" t="n">
        <f aca="false">IF(Time!AU47=1,AU110-AU108,0)</f>
        <v>7.09380597736116</v>
      </c>
      <c r="AV111" s="19" t="n">
        <f aca="false">IF(Time!AV47=1,AV110-AV108,0)</f>
        <v>7.65420047919351</v>
      </c>
      <c r="AW111" s="19" t="n">
        <f aca="false">IF(Time!AW47=1,AW110-AW108,0)</f>
        <v>8.90655183120467</v>
      </c>
      <c r="AX111" s="19" t="n">
        <f aca="false">IF(Time!AX47=1,AX110-AX108,0)</f>
        <v>9.2922271611684</v>
      </c>
      <c r="AY111" s="19" t="n">
        <f aca="false">IF(Time!AY47=1,AY110-AY108,0)</f>
        <v>9.29200282203067</v>
      </c>
      <c r="AZ111" s="19" t="n">
        <f aca="false">IF(Time!AZ47=1,AZ110-AZ108,0)</f>
        <v>9.75445093336263</v>
      </c>
      <c r="BA111" s="19" t="n">
        <f aca="false">IF(Time!BA47=1,BA110-BA108,0)</f>
        <v>10.6067503009609</v>
      </c>
      <c r="BB111" s="19" t="n">
        <f aca="false">IF(Time!BB47=1,BB110-BB108,0)</f>
        <v>11.0221887851554</v>
      </c>
      <c r="BC111" s="19" t="n">
        <f aca="false">IF(Time!BC47=1,BC110-BC108,0)</f>
        <v>13.8510041299422</v>
      </c>
      <c r="BD111" s="19" t="n">
        <f aca="false">IF(Time!BD47=1,BD110-BD108,0)</f>
        <v>14.3169683169268</v>
      </c>
      <c r="BE111" s="19" t="n">
        <f aca="false">IF(Time!BE47=1,BE110-BE108,0)</f>
        <v>16.2823810974082</v>
      </c>
      <c r="BF111" s="19" t="n">
        <f aca="false">IF(Time!BF47=1,BF110-BF108,0)</f>
        <v>16.7859658073962</v>
      </c>
      <c r="BG111" s="19" t="n">
        <f aca="false">IF(Time!BG47=1,BG110-BG108,0)</f>
        <v>17.9709188792281</v>
      </c>
      <c r="BH111" s="19" t="n">
        <f aca="false">IF(Time!BH47=1,BH110-BH108,0)</f>
        <v>18.6015648750685</v>
      </c>
      <c r="BI111" s="19" t="n">
        <f aca="false">IF(Time!BI47=1,BI110-BI108,0)</f>
        <v>19.7769621232917</v>
      </c>
      <c r="BJ111" s="19" t="n">
        <f aca="false">IF(Time!BJ47=1,BJ110-BJ108,0)</f>
        <v>20.3319695687388</v>
      </c>
      <c r="BK111" s="19" t="n">
        <f aca="false">IF(Time!BK47=1,BK110-BK108,0)</f>
        <v>21.7045834768439</v>
      </c>
      <c r="BL111" s="19" t="n">
        <f aca="false">IF(Time!BL47=1,BL110-BL108,0)</f>
        <v>22.287689047924</v>
      </c>
      <c r="BM111" s="19" t="n">
        <f aca="false">IF(Time!BM47=1,BM110-BM108,0)</f>
        <v>23.75137962711</v>
      </c>
      <c r="BN111" s="19" t="n">
        <f aca="false">IF(Time!BN47=1,BN110-BN108,0)</f>
        <v>24.3629811612245</v>
      </c>
      <c r="BO111" s="19" t="n">
        <f aca="false">IF(Time!BO47=1,BO110-BO108,0)</f>
        <v>21.7998016299831</v>
      </c>
      <c r="BP111" s="19" t="n">
        <f aca="false">IF(Time!BP47=1,BP110-BP108,0)</f>
        <v>22.5261125216052</v>
      </c>
      <c r="BQ111" s="19" t="n">
        <f aca="false">IF(Time!BQ47=1,BQ110-BQ108,0)</f>
        <v>20.2167793135414</v>
      </c>
      <c r="BR111" s="19" t="n">
        <f aca="false">IF(Time!BR47=1,BR110-BR108,0)</f>
        <v>18.3524072445574</v>
      </c>
      <c r="BS111" s="19" t="n">
        <f aca="false">IF(Time!BS47=1,BS110-BS108,0)</f>
        <v>19.5165244821571</v>
      </c>
      <c r="BT111" s="19" t="n">
        <f aca="false">IF(Time!BT47=1,BT110-BT108,0)</f>
        <v>19.6563789537056</v>
      </c>
      <c r="BU111" s="19" t="n">
        <f aca="false">IF(Time!BU47=1,BU110-BU108,0)</f>
        <v>31.7599909175292</v>
      </c>
      <c r="BV111" s="19" t="n">
        <f aca="false">IF(Time!BV47=1,BV110-BV108,0)</f>
        <v>25.9996595310768</v>
      </c>
      <c r="BW111" s="19" t="n">
        <f aca="false">IF(Time!BW47=1,BW110-BW108,0)</f>
        <v>26.6541105231398</v>
      </c>
      <c r="BX111" s="19" t="n">
        <f aca="false">IF(Time!BX47=1,BX110-BX108,0)</f>
        <v>26.9913532619142</v>
      </c>
      <c r="BY111" s="19" t="n">
        <f aca="false">IF(Time!BY47=1,BY110-BY108,0)</f>
        <v>28.2510160605558</v>
      </c>
      <c r="BZ111" s="19" t="n">
        <f aca="false">IF(Time!BZ47=1,BZ110-BZ108,0)</f>
        <v>28.442894462929</v>
      </c>
      <c r="CA111" s="19" t="n">
        <f aca="false">IF(Time!CA47=1,CA110-CA108,0)</f>
        <v>27.246663863619</v>
      </c>
      <c r="CB111" s="19" t="n">
        <f aca="false">IF(Time!CB47=1,CB110-CB108,0)</f>
        <v>27.4083522335789</v>
      </c>
      <c r="CC111" s="19" t="n">
        <f aca="false">IF(Time!CC47=1,CC110-CC108,0)</f>
        <v>28.9193853226916</v>
      </c>
      <c r="CD111" s="19" t="n">
        <f aca="false">IF(Time!CD47=1,CD110-CD108,0)</f>
        <v>29.0819888745688</v>
      </c>
      <c r="CE111" s="19" t="n">
        <f aca="false">IF(Time!CE47=1,CE110-CE108,0)</f>
        <v>29.3722636994908</v>
      </c>
      <c r="CF111" s="19" t="n">
        <f aca="false">IF(Time!CF47=1,CF110-CF108,0)</f>
        <v>29.7051771882341</v>
      </c>
      <c r="CG111" s="19" t="n">
        <f aca="false">IF(Time!CG47=1,CG110-CG108,0)</f>
        <v>36.5109806489072</v>
      </c>
      <c r="CH111" s="19" t="n">
        <f aca="false">IF(Time!CH47=1,CH110-CH108,0)</f>
        <v>86.87953717277</v>
      </c>
      <c r="CI111" s="19" t="n">
        <f aca="false">IF(Time!CI47=1,CI110-CI108,0)</f>
        <v>92.0490517212404</v>
      </c>
      <c r="CJ111" s="19" t="n">
        <f aca="false">IF(Time!CJ47=1,CJ110-CJ108,0)</f>
        <v>92.6561518126769</v>
      </c>
      <c r="CK111" s="19" t="n">
        <f aca="false">IF(Time!CK47=1,CK110-CK108,0)</f>
        <v>108.942644762094</v>
      </c>
      <c r="CL111" s="19" t="n">
        <f aca="false">IF(Time!CL47=1,CL110-CL108,0)</f>
        <v>102.749939393938</v>
      </c>
      <c r="CM111" s="19" t="n">
        <f aca="false">IF(Time!CM47=1,CM110-CM108,0)</f>
        <v>108.543258389679</v>
      </c>
      <c r="CN111" s="19" t="n">
        <f aca="false">IF(Time!CN47=1,CN110-CN108,0)</f>
        <v>109.900996658423</v>
      </c>
      <c r="CO111" s="19" t="n">
        <f aca="false">IF(Time!CO47=1,CO110-CO108,0)</f>
        <v>115.350706973013</v>
      </c>
      <c r="CP111" s="19" t="n">
        <f aca="false">IF(Time!CP47=1,CP110-CP108,0)</f>
        <v>0</v>
      </c>
      <c r="CQ111" s="19" t="n">
        <f aca="false">IF(Time!CQ47=1,CQ110-CQ108,0)</f>
        <v>0</v>
      </c>
      <c r="CR111" s="19" t="n">
        <f aca="false">IF(Time!CR47=1,CR110-CR108,0)</f>
        <v>0</v>
      </c>
      <c r="CS111" s="19" t="n">
        <f aca="false">IF(Time!CS47=1,CS110-CS108,0)</f>
        <v>0</v>
      </c>
      <c r="CT111" s="19" t="n">
        <f aca="false">IF(Time!CT47=1,CT110-CT108,0)</f>
        <v>0</v>
      </c>
      <c r="CU111" s="19" t="n">
        <f aca="false">IF(Time!CU47=1,CU110-CU108,0)</f>
        <v>0</v>
      </c>
      <c r="CV111" s="19" t="n">
        <f aca="false">IF(Time!CV47=1,CV110-CV108,0)</f>
        <v>0</v>
      </c>
      <c r="CW111" s="19" t="n">
        <f aca="false">IF(Time!CW47=1,CW110-CW108,0)</f>
        <v>0</v>
      </c>
      <c r="CX111" s="19" t="n">
        <f aca="false">IF(Time!CX47=1,CX110-CX108,0)</f>
        <v>0</v>
      </c>
      <c r="CY111" s="19" t="n">
        <f aca="false">IF(Time!CY47=1,CY110-CY108,0)</f>
        <v>0</v>
      </c>
      <c r="CZ111" s="19" t="n">
        <f aca="false">IF(Time!CZ47=1,CZ110-CZ108,0)</f>
        <v>0</v>
      </c>
      <c r="DA111" s="19" t="n">
        <f aca="false">IF(Time!DA47=1,DA110-DA108,0)</f>
        <v>0</v>
      </c>
      <c r="DB111" s="19" t="n">
        <f aca="false">IF(Time!DB47=1,DB110-DB108,0)</f>
        <v>0</v>
      </c>
    </row>
    <row r="112" customFormat="false" ht="15" hidden="false" customHeight="false" outlineLevel="0" collapsed="false">
      <c r="D112" s="0" t="s">
        <v>568</v>
      </c>
      <c r="E112" s="0" t="s">
        <v>44</v>
      </c>
      <c r="J112" s="19" t="n">
        <f aca="false">J106+J107-J108-J111</f>
        <v>0</v>
      </c>
      <c r="K112" s="19" t="n">
        <f aca="false">K106+K107-K108-K111</f>
        <v>0</v>
      </c>
      <c r="L112" s="19" t="n">
        <f aca="false">L106+L107-L108-L111</f>
        <v>0</v>
      </c>
      <c r="M112" s="19" t="n">
        <f aca="false">M106+M107-M108-M111</f>
        <v>0</v>
      </c>
      <c r="N112" s="19" t="n">
        <f aca="false">N106+N107-N108-N111</f>
        <v>0</v>
      </c>
      <c r="O112" s="19" t="n">
        <f aca="false">O106+O107-O108-O111</f>
        <v>0</v>
      </c>
      <c r="P112" s="19" t="n">
        <f aca="false">P106+P107-P108-P111</f>
        <v>0</v>
      </c>
      <c r="Q112" s="19" t="n">
        <f aca="false">Q106+Q107-Q108-Q111</f>
        <v>0</v>
      </c>
      <c r="R112" s="19" t="n">
        <f aca="false">R106+R107-R108-R111</f>
        <v>0</v>
      </c>
      <c r="S112" s="19" t="n">
        <f aca="false">S106+S107-S108-S111</f>
        <v>0</v>
      </c>
      <c r="T112" s="19" t="n">
        <f aca="false">T106+T107-T108-T111</f>
        <v>0</v>
      </c>
      <c r="U112" s="19" t="n">
        <f aca="false">U106+U107-U108-U111</f>
        <v>0</v>
      </c>
      <c r="V112" s="19" t="n">
        <f aca="false">V106+V107-V108-V111</f>
        <v>0</v>
      </c>
      <c r="W112" s="19" t="n">
        <f aca="false">W106+W107-W108-W111</f>
        <v>0</v>
      </c>
      <c r="X112" s="19" t="n">
        <f aca="false">X106+X107-X108-X111</f>
        <v>0</v>
      </c>
      <c r="Y112" s="19" t="n">
        <f aca="false">Y106+Y107-Y108-Y111</f>
        <v>0</v>
      </c>
      <c r="Z112" s="19" t="n">
        <f aca="false">Z106+Z107-Z108-Z111</f>
        <v>491.742745003199</v>
      </c>
      <c r="AA112" s="19" t="n">
        <f aca="false">AA106+AA107-AA108-AA111</f>
        <v>499.328247335983</v>
      </c>
      <c r="AB112" s="19" t="n">
        <f aca="false">AB106+AB107-AB108-AB111</f>
        <v>506.947038774513</v>
      </c>
      <c r="AC112" s="19" t="n">
        <f aca="false">AC106+AC107-AC108-AC111</f>
        <v>514.767078794009</v>
      </c>
      <c r="AD112" s="19" t="n">
        <f aca="false">AD106+AD107-AD108-AD111</f>
        <v>522.578281376498</v>
      </c>
      <c r="AE112" s="19" t="n">
        <f aca="false">AE106+AE107-AE108-AE111</f>
        <v>530.639445090093</v>
      </c>
      <c r="AF112" s="19" t="n">
        <f aca="false">AF106+AF107-AF108-AF111</f>
        <v>538.691498872493</v>
      </c>
      <c r="AG112" s="19" t="n">
        <f aca="false">AG106+AG107-AG108-AG111</f>
        <v>547.00122110606</v>
      </c>
      <c r="AH112" s="19" t="n">
        <f aca="false">AH106+AH107-AH108-AH111</f>
        <v>555.301552512136</v>
      </c>
      <c r="AI112" s="19" t="n">
        <f aca="false">AI106+AI107-AI108-AI111</f>
        <v>563.867497337518</v>
      </c>
      <c r="AJ112" s="19" t="n">
        <f aca="false">AJ106+AJ107-AJ108-AJ111</f>
        <v>561.209673210127</v>
      </c>
      <c r="AK112" s="19" t="n">
        <f aca="false">AK106+AK107-AK108-AK111</f>
        <v>558.099878116128</v>
      </c>
      <c r="AL112" s="19" t="n">
        <f aca="false">AL106+AL107-AL108-AL111</f>
        <v>554.561184177574</v>
      </c>
      <c r="AM112" s="19" t="n">
        <f aca="false">AM106+AM107-AM108-AM111</f>
        <v>550.50208387315</v>
      </c>
      <c r="AN112" s="19" t="n">
        <f aca="false">AN106+AN107-AN108-AN111</f>
        <v>545.986629532417</v>
      </c>
      <c r="AO112" s="19" t="n">
        <f aca="false">AO106+AO107-AO108-AO111</f>
        <v>540.182839289945</v>
      </c>
      <c r="AP112" s="19" t="n">
        <f aca="false">AP106+AP107-AP108-AP111</f>
        <v>533.882809018451</v>
      </c>
      <c r="AQ112" s="19" t="n">
        <f aca="false">AQ106+AQ107-AQ108-AQ111</f>
        <v>529.22523252207</v>
      </c>
      <c r="AR112" s="19" t="n">
        <f aca="false">AR106+AR107-AR108-AR111</f>
        <v>524.034144586677</v>
      </c>
      <c r="AS112" s="19" t="n">
        <f aca="false">AS106+AS107-AS108-AS111</f>
        <v>518.20709924497</v>
      </c>
      <c r="AT112" s="19" t="n">
        <f aca="false">AT106+AT107-AT108-AT111</f>
        <v>511.854363825686</v>
      </c>
      <c r="AU112" s="19" t="n">
        <f aca="false">AU106+AU107-AU108-AU111</f>
        <v>504.760557848325</v>
      </c>
      <c r="AV112" s="19" t="n">
        <f aca="false">AV106+AV107-AV108-AV111</f>
        <v>497.106357369132</v>
      </c>
      <c r="AW112" s="19" t="n">
        <f aca="false">AW106+AW107-AW108-AW111</f>
        <v>488.199805537927</v>
      </c>
      <c r="AX112" s="19" t="n">
        <f aca="false">AX106+AX107-AX108-AX111</f>
        <v>478.907578376759</v>
      </c>
      <c r="AY112" s="19" t="n">
        <f aca="false">AY106+AY107-AY108-AY111</f>
        <v>469.615575554728</v>
      </c>
      <c r="AZ112" s="19" t="n">
        <f aca="false">AZ106+AZ107-AZ108-AZ111</f>
        <v>459.861124621365</v>
      </c>
      <c r="BA112" s="19" t="n">
        <f aca="false">BA106+BA107-BA108-BA111</f>
        <v>449.254374320404</v>
      </c>
      <c r="BB112" s="19" t="n">
        <f aca="false">BB106+BB107-BB108-BB111</f>
        <v>438.232185535249</v>
      </c>
      <c r="BC112" s="19" t="n">
        <f aca="false">BC106+BC107-BC108-BC111</f>
        <v>424.381181405307</v>
      </c>
      <c r="BD112" s="19" t="n">
        <f aca="false">BD106+BD107-BD108-BD111</f>
        <v>410.06421308838</v>
      </c>
      <c r="BE112" s="19" t="n">
        <f aca="false">BE106+BE107-BE108-BE111</f>
        <v>393.781831990972</v>
      </c>
      <c r="BF112" s="19" t="n">
        <f aca="false">BF106+BF107-BF108-BF111</f>
        <v>376.995866183576</v>
      </c>
      <c r="BG112" s="19" t="n">
        <f aca="false">BG106+BG107-BG108-BG111</f>
        <v>359.024947304348</v>
      </c>
      <c r="BH112" s="19" t="n">
        <f aca="false">BH106+BH107-BH108-BH111</f>
        <v>340.423382429279</v>
      </c>
      <c r="BI112" s="19" t="n">
        <f aca="false">BI106+BI107-BI108-BI111</f>
        <v>320.646420305987</v>
      </c>
      <c r="BJ112" s="19" t="n">
        <f aca="false">BJ106+BJ107-BJ108-BJ111</f>
        <v>300.314450737249</v>
      </c>
      <c r="BK112" s="19" t="n">
        <f aca="false">BK106+BK107-BK108-BK111</f>
        <v>278.609867260405</v>
      </c>
      <c r="BL112" s="19" t="n">
        <f aca="false">BL106+BL107-BL108-BL111</f>
        <v>256.322178212481</v>
      </c>
      <c r="BM112" s="19" t="n">
        <f aca="false">BM106+BM107-BM108-BM111</f>
        <v>232.570798585371</v>
      </c>
      <c r="BN112" s="19" t="n">
        <f aca="false">BN106+BN107-BN108-BN111</f>
        <v>208.207817424146</v>
      </c>
      <c r="BO112" s="19" t="n">
        <f aca="false">BO106+BO107-BO108-BO111</f>
        <v>186.408015794163</v>
      </c>
      <c r="BP112" s="19" t="n">
        <f aca="false">BP106+BP107-BP108-BP111</f>
        <v>163.881903272558</v>
      </c>
      <c r="BQ112" s="19" t="n">
        <f aca="false">BQ106+BQ107-BQ108-BQ111</f>
        <v>143.665123959016</v>
      </c>
      <c r="BR112" s="19" t="n">
        <f aca="false">BR106+BR107-BR108-BR111</f>
        <v>125.312716714459</v>
      </c>
      <c r="BS112" s="19" t="n">
        <f aca="false">BS106+BS107-BS108-BS111</f>
        <v>105.796192232302</v>
      </c>
      <c r="BT112" s="19" t="n">
        <f aca="false">BT106+BT107-BT108-BT111</f>
        <v>86.1398132785964</v>
      </c>
      <c r="BU112" s="19" t="n">
        <f aca="false">BU106+BU107-BU108-BU111</f>
        <v>54.3798223610671</v>
      </c>
      <c r="BV112" s="19" t="n">
        <f aca="false">BV106+BV107-BV108-BV111</f>
        <v>28.3801628299903</v>
      </c>
      <c r="BW112" s="19" t="n">
        <f aca="false">BW106+BW107-BW108-BW111</f>
        <v>1.72605230685051</v>
      </c>
      <c r="BX112" s="19" t="n">
        <f aca="false">BX106+BX107-BX108-BX111</f>
        <v>-25.2653009550637</v>
      </c>
      <c r="BY112" s="19" t="n">
        <f aca="false">BY106+BY107-BY108-BY111</f>
        <v>-53.5163170156195</v>
      </c>
      <c r="BZ112" s="19" t="n">
        <f aca="false">BZ106+BZ107-BZ108-BZ111</f>
        <v>-81.9592114785485</v>
      </c>
      <c r="CA112" s="19" t="n">
        <f aca="false">CA106+CA107-CA108-CA111</f>
        <v>-109.205875342167</v>
      </c>
      <c r="CB112" s="19" t="n">
        <f aca="false">CB106+CB107-CB108-CB111</f>
        <v>-136.614227575746</v>
      </c>
      <c r="CC112" s="19" t="n">
        <f aca="false">CC106+CC107-CC108-CC111</f>
        <v>-165.533612898438</v>
      </c>
      <c r="CD112" s="19" t="n">
        <f aca="false">CD106+CD107-CD108-CD111</f>
        <v>-194.615601773007</v>
      </c>
      <c r="CE112" s="19" t="n">
        <f aca="false">CE106+CE107-CE108-CE111</f>
        <v>-223.987865472498</v>
      </c>
      <c r="CF112" s="19" t="n">
        <f aca="false">CF106+CF107-CF108-CF111</f>
        <v>-253.693042660732</v>
      </c>
      <c r="CG112" s="19" t="n">
        <f aca="false">CG106+CG107-CG108-CG111</f>
        <v>-290.204023309639</v>
      </c>
      <c r="CH112" s="19" t="n">
        <f aca="false">CH106+CH107-CH108-CH111</f>
        <v>-377.083560482409</v>
      </c>
      <c r="CI112" s="19" t="n">
        <f aca="false">CI106+CI107-CI108-CI111</f>
        <v>-469.132612203649</v>
      </c>
      <c r="CJ112" s="19" t="n">
        <f aca="false">CJ106+CJ107-CJ108-CJ111</f>
        <v>-561.788764016326</v>
      </c>
      <c r="CK112" s="19" t="n">
        <f aca="false">CK106+CK107-CK108-CK111</f>
        <v>-670.73140877842</v>
      </c>
      <c r="CL112" s="19" t="n">
        <f aca="false">CL106+CL107-CL108-CL111</f>
        <v>-773.481348172358</v>
      </c>
      <c r="CM112" s="19" t="n">
        <f aca="false">CM106+CM107-CM108-CM111</f>
        <v>-882.024606562037</v>
      </c>
      <c r="CN112" s="19" t="n">
        <f aca="false">CN106+CN107-CN108-CN111</f>
        <v>-991.92560322046</v>
      </c>
      <c r="CO112" s="19" t="n">
        <f aca="false">CO106+CO107-CO108-CO111</f>
        <v>-1107.27631019347</v>
      </c>
      <c r="CP112" s="19" t="n">
        <f aca="false">CP106+CP107-CP108-CP111</f>
        <v>-1107.27631019347</v>
      </c>
      <c r="CQ112" s="19" t="n">
        <f aca="false">CQ106+CQ107-CQ108-CQ111</f>
        <v>-1107.27631019347</v>
      </c>
      <c r="CR112" s="19" t="n">
        <f aca="false">CR106+CR107-CR108-CR111</f>
        <v>-1107.27631019347</v>
      </c>
      <c r="CS112" s="19" t="n">
        <f aca="false">CS106+CS107-CS108-CS111</f>
        <v>-1107.27631019347</v>
      </c>
      <c r="CT112" s="19" t="n">
        <f aca="false">CT106+CT107-CT108-CT111</f>
        <v>-1107.27631019347</v>
      </c>
      <c r="CU112" s="19" t="n">
        <f aca="false">CU106+CU107-CU108-CU111</f>
        <v>-1107.27631019347</v>
      </c>
      <c r="CV112" s="19" t="n">
        <f aca="false">CV106+CV107-CV108-CV111</f>
        <v>-1107.27631019347</v>
      </c>
      <c r="CW112" s="19" t="n">
        <f aca="false">CW106+CW107-CW108-CW111</f>
        <v>-1107.27631019347</v>
      </c>
      <c r="CX112" s="19" t="n">
        <f aca="false">CX106+CX107-CX108-CX111</f>
        <v>-1107.27631019347</v>
      </c>
      <c r="CY112" s="19" t="n">
        <f aca="false">CY106+CY107-CY108-CY111</f>
        <v>-1107.27631019347</v>
      </c>
      <c r="CZ112" s="19" t="n">
        <f aca="false">CZ106+CZ107-CZ108-CZ111</f>
        <v>-1107.27631019347</v>
      </c>
      <c r="DA112" s="19" t="n">
        <f aca="false">DA106+DA107-DA108-DA111</f>
        <v>-1107.27631019347</v>
      </c>
      <c r="DB112" s="19" t="n">
        <f aca="false">DB106+DB107-DB108-DB111</f>
        <v>-1107.27631019347</v>
      </c>
    </row>
    <row r="113" customFormat="false" ht="15" hidden="false" customHeight="false" outlineLevel="0" collapsed="false">
      <c r="D113" s="0" t="s">
        <v>569</v>
      </c>
      <c r="E113" s="0" t="s">
        <v>44</v>
      </c>
      <c r="F113" s="19" t="n">
        <f aca="false">SUMPRODUCT($J$106:$DB$106,Time!$J$48:$DB$48)</f>
        <v>563.867497337518</v>
      </c>
    </row>
    <row r="114" customFormat="false" ht="15" hidden="false" customHeight="false" outlineLevel="0" collapsed="false">
      <c r="D114" s="0" t="s">
        <v>570</v>
      </c>
      <c r="E114" s="0" t="s">
        <v>42</v>
      </c>
      <c r="F114" s="14" t="n">
        <f aca="false">IF(Inputs!$F$215=1,$F$25,$F$24)</f>
        <v>0</v>
      </c>
    </row>
    <row r="115" customFormat="false" ht="15" hidden="false" customHeight="false" outlineLevel="0" collapsed="false">
      <c r="D115" s="0" t="s">
        <v>571</v>
      </c>
      <c r="E115" s="0" t="s">
        <v>126</v>
      </c>
      <c r="F115" s="27" t="n">
        <f aca="false">IF($F$114=1,IFERROR(MAX(Inputs!$F$9,SUMPRODUCT($J$104:$DB$104*$J$105:$DB$105*Time!$J$47:$DB$47*(1-$J$109:$DB$109))/($F$113-SUMPRODUCT($J$108:$DB$108*$J$105:$DB$105*$J$109:$DB$109))),Inputs!$F$91),Inputs!$F$91)</f>
        <v>1.5</v>
      </c>
    </row>
    <row r="116" customFormat="false" ht="15" hidden="false" customHeight="false" outlineLevel="0" collapsed="false">
      <c r="D116" s="0" t="s">
        <v>572</v>
      </c>
      <c r="E116" s="0" t="s">
        <v>44</v>
      </c>
      <c r="G116" s="19" t="n">
        <f aca="false">SUM(J116:DB116)</f>
        <v>568.169265647343</v>
      </c>
      <c r="J116" s="19" t="n">
        <f aca="false">IF($F$114=1,J111,IF(Inputs!$F$215=1,Inputs!J278,Inputs!J274))</f>
        <v>0</v>
      </c>
      <c r="K116" s="19" t="n">
        <f aca="false">IF($F$114=1,K111,IF(Inputs!$F$215=1,Inputs!K278,Inputs!K274))</f>
        <v>0</v>
      </c>
      <c r="L116" s="19" t="n">
        <f aca="false">IF($F$114=1,L111,IF(Inputs!$F$215=1,Inputs!L278,Inputs!L274))</f>
        <v>0</v>
      </c>
      <c r="M116" s="19" t="n">
        <f aca="false">IF($F$114=1,M111,IF(Inputs!$F$215=1,Inputs!M278,Inputs!M274))</f>
        <v>0</v>
      </c>
      <c r="N116" s="19" t="n">
        <f aca="false">IF($F$114=1,N111,IF(Inputs!$F$215=1,Inputs!N278,Inputs!N274))</f>
        <v>0</v>
      </c>
      <c r="O116" s="19" t="n">
        <f aca="false">IF($F$114=1,O111,IF(Inputs!$F$215=1,Inputs!O278,Inputs!O274))</f>
        <v>0</v>
      </c>
      <c r="P116" s="19" t="n">
        <f aca="false">IF($F$114=1,P111,IF(Inputs!$F$215=1,Inputs!P278,Inputs!P274))</f>
        <v>0</v>
      </c>
      <c r="Q116" s="19" t="n">
        <f aca="false">IF($F$114=1,Q111,IF(Inputs!$F$215=1,Inputs!Q278,Inputs!Q274))</f>
        <v>0</v>
      </c>
      <c r="R116" s="19" t="n">
        <f aca="false">IF($F$114=1,R111,IF(Inputs!$F$215=1,Inputs!R278,Inputs!R274))</f>
        <v>0</v>
      </c>
      <c r="S116" s="19" t="n">
        <f aca="false">IF($F$114=1,S111,IF(Inputs!$F$215=1,Inputs!S278,Inputs!S274))</f>
        <v>0</v>
      </c>
      <c r="T116" s="19" t="n">
        <f aca="false">IF($F$114=1,T111,IF(Inputs!$F$215=1,Inputs!T278,Inputs!T274))</f>
        <v>0</v>
      </c>
      <c r="U116" s="19" t="n">
        <f aca="false">IF($F$114=1,U111,IF(Inputs!$F$215=1,Inputs!U278,Inputs!U274))</f>
        <v>0</v>
      </c>
      <c r="V116" s="19" t="n">
        <f aca="false">IF($F$114=1,V111,IF(Inputs!$F$215=1,Inputs!V278,Inputs!V274))</f>
        <v>0</v>
      </c>
      <c r="W116" s="19" t="n">
        <f aca="false">IF($F$114=1,W111,IF(Inputs!$F$215=1,Inputs!W278,Inputs!W274))</f>
        <v>0</v>
      </c>
      <c r="X116" s="19" t="n">
        <f aca="false">IF($F$114=1,X111,IF(Inputs!$F$215=1,Inputs!X278,Inputs!X274))</f>
        <v>0</v>
      </c>
      <c r="Y116" s="19" t="n">
        <f aca="false">IF($F$114=1,Y111,IF(Inputs!$F$215=1,Inputs!Y278,Inputs!Y274))</f>
        <v>0</v>
      </c>
      <c r="Z116" s="19" t="n">
        <f aca="false">IF($F$114=1,Z111,IF(Inputs!$F$215=1,Inputs!Z278,Inputs!Z274))</f>
        <v>0</v>
      </c>
      <c r="AA116" s="19" t="n">
        <f aca="false">IF($F$114=1,AA111,IF(Inputs!$F$215=1,Inputs!AA278,Inputs!AA274))</f>
        <v>0</v>
      </c>
      <c r="AB116" s="19" t="n">
        <f aca="false">IF($F$114=1,AB111,IF(Inputs!$F$215=1,Inputs!AB278,Inputs!AB274))</f>
        <v>0</v>
      </c>
      <c r="AC116" s="19" t="n">
        <f aca="false">IF($F$114=1,AC111,IF(Inputs!$F$215=1,Inputs!AC278,Inputs!AC274))</f>
        <v>0</v>
      </c>
      <c r="AD116" s="19" t="n">
        <f aca="false">IF($F$114=1,AD111,IF(Inputs!$F$215=1,Inputs!AD278,Inputs!AD274))</f>
        <v>0</v>
      </c>
      <c r="AE116" s="19" t="n">
        <f aca="false">IF($F$114=1,AE111,IF(Inputs!$F$215=1,Inputs!AE278,Inputs!AE274))</f>
        <v>0</v>
      </c>
      <c r="AF116" s="19" t="n">
        <f aca="false">IF($F$114=1,AF111,IF(Inputs!$F$215=1,Inputs!AF278,Inputs!AF274))</f>
        <v>0</v>
      </c>
      <c r="AG116" s="19" t="n">
        <f aca="false">IF($F$114=1,AG111,IF(Inputs!$F$215=1,Inputs!AG278,Inputs!AG274))</f>
        <v>0</v>
      </c>
      <c r="AH116" s="19" t="n">
        <f aca="false">IF($F$114=1,AH111,IF(Inputs!$F$215=1,Inputs!AH278,Inputs!AH274))</f>
        <v>0</v>
      </c>
      <c r="AI116" s="19" t="n">
        <f aca="false">IF($F$114=1,AI111,IF(Inputs!$F$215=1,Inputs!AI278,Inputs!AI274))</f>
        <v>0</v>
      </c>
      <c r="AJ116" s="19" t="n">
        <f aca="false">IF($F$114=1,AJ111,IF(Inputs!$F$215=1,Inputs!AJ278,Inputs!AJ274))</f>
        <v>1.16295003985589</v>
      </c>
      <c r="AK116" s="19" t="n">
        <f aca="false">IF($F$114=1,AK111,IF(Inputs!$F$215=1,Inputs!AK278,Inputs!AK274))</f>
        <v>0</v>
      </c>
      <c r="AL116" s="19" t="n">
        <f aca="false">IF($F$114=1,AL111,IF(Inputs!$F$215=1,Inputs!AL278,Inputs!AL274))</f>
        <v>0</v>
      </c>
      <c r="AM116" s="19" t="n">
        <f aca="false">IF($F$114=1,AM111,IF(Inputs!$F$215=1,Inputs!AM278,Inputs!AM274))</f>
        <v>0</v>
      </c>
      <c r="AN116" s="19" t="n">
        <f aca="false">IF($F$114=1,AN111,IF(Inputs!$F$215=1,Inputs!AN278,Inputs!AN274))</f>
        <v>0</v>
      </c>
      <c r="AO116" s="19" t="n">
        <f aca="false">IF($F$114=1,AO111,IF(Inputs!$F$215=1,Inputs!AO278,Inputs!AO274))</f>
        <v>0</v>
      </c>
      <c r="AP116" s="19" t="n">
        <f aca="false">IF($F$114=1,AP111,IF(Inputs!$F$215=1,Inputs!AP278,Inputs!AP274))</f>
        <v>0.207721560034845</v>
      </c>
      <c r="AQ116" s="19" t="n">
        <f aca="false">IF($F$114=1,AQ111,IF(Inputs!$F$215=1,Inputs!AQ278,Inputs!AQ274))</f>
        <v>0</v>
      </c>
      <c r="AR116" s="19" t="n">
        <f aca="false">IF($F$114=1,AR111,IF(Inputs!$F$215=1,Inputs!AR278,Inputs!AR274))</f>
        <v>0</v>
      </c>
      <c r="AS116" s="19" t="n">
        <f aca="false">IF($F$114=1,AS111,IF(Inputs!$F$215=1,Inputs!AS278,Inputs!AS274))</f>
        <v>0</v>
      </c>
      <c r="AT116" s="19" t="n">
        <f aca="false">IF($F$114=1,AT111,IF(Inputs!$F$215=1,Inputs!AT278,Inputs!AT274))</f>
        <v>0</v>
      </c>
      <c r="AU116" s="19" t="n">
        <f aca="false">IF($F$114=1,AU111,IF(Inputs!$F$215=1,Inputs!AU278,Inputs!AU274))</f>
        <v>0.380177994339237</v>
      </c>
      <c r="AV116" s="19" t="n">
        <f aca="false">IF($F$114=1,AV111,IF(Inputs!$F$215=1,Inputs!AV278,Inputs!AV274))</f>
        <v>0.812983622138857</v>
      </c>
      <c r="AW116" s="19" t="n">
        <f aca="false">IF($F$114=1,AW111,IF(Inputs!$F$215=1,Inputs!AW278,Inputs!AW274))</f>
        <v>1.49805291943913</v>
      </c>
      <c r="AX116" s="19" t="n">
        <f aca="false">IF($F$114=1,AX111,IF(Inputs!$F$215=1,Inputs!AX278,Inputs!AX274))</f>
        <v>1.70404046116088</v>
      </c>
      <c r="AY116" s="19" t="n">
        <f aca="false">IF($F$114=1,AY111,IF(Inputs!$F$215=1,Inputs!AY278,Inputs!AY274))</f>
        <v>1.51654818799883</v>
      </c>
      <c r="AZ116" s="19" t="n">
        <f aca="false">IF($F$114=1,AZ111,IF(Inputs!$F$215=1,Inputs!AZ278,Inputs!AZ274))</f>
        <v>1.74420799756022</v>
      </c>
      <c r="BA116" s="19" t="n">
        <f aca="false">IF($F$114=1,BA111,IF(Inputs!$F$215=1,Inputs!BA278,Inputs!BA274))</f>
        <v>2.16059935514077</v>
      </c>
      <c r="BB116" s="19" t="n">
        <f aca="false">IF($F$114=1,BB111,IF(Inputs!$F$215=1,Inputs!BB278,Inputs!BB274))</f>
        <v>2.37923413408387</v>
      </c>
      <c r="BC116" s="19" t="n">
        <f aca="false">IF($F$114=1,BC111,IF(Inputs!$F$215=1,Inputs!BC278,Inputs!BC274))</f>
        <v>4.12560890567634</v>
      </c>
      <c r="BD116" s="19" t="n">
        <f aca="false">IF($F$114=1,BD111,IF(Inputs!$F$215=1,Inputs!BD278,Inputs!BD274))</f>
        <v>4.37537065294437</v>
      </c>
      <c r="BE116" s="19" t="n">
        <f aca="false">IF($F$114=1,BE111,IF(Inputs!$F$215=1,Inputs!BE278,Inputs!BE274))</f>
        <v>5.51324602351582</v>
      </c>
      <c r="BF116" s="19" t="n">
        <f aca="false">IF($F$114=1,BF111,IF(Inputs!$F$215=1,Inputs!BF278,Inputs!BF274))</f>
        <v>5.78448100914656</v>
      </c>
      <c r="BG116" s="19" t="n">
        <f aca="false">IF($F$114=1,BG111,IF(Inputs!$F$215=1,Inputs!BG278,Inputs!BG274))</f>
        <v>6.37133875234303</v>
      </c>
      <c r="BH116" s="19" t="n">
        <f aca="false">IF($F$114=1,BH111,IF(Inputs!$F$215=1,Inputs!BH278,Inputs!BH274))</f>
        <v>6.69180870649548</v>
      </c>
      <c r="BI116" s="19" t="n">
        <f aca="false">IF($F$114=1,BI111,IF(Inputs!$F$215=1,Inputs!BI278,Inputs!BI274))</f>
        <v>7.29065678670304</v>
      </c>
      <c r="BJ116" s="19" t="n">
        <f aca="false">IF($F$114=1,BJ111,IF(Inputs!$F$215=1,Inputs!BJ278,Inputs!BJ274))</f>
        <v>7.58769896359983</v>
      </c>
      <c r="BK116" s="19" t="n">
        <f aca="false">IF($F$114=1,BK111,IF(Inputs!$F$215=1,Inputs!BK278,Inputs!BK274))</f>
        <v>8.27375474236911</v>
      </c>
      <c r="BL116" s="19" t="n">
        <f aca="false">IF($F$114=1,BL111,IF(Inputs!$F$215=1,Inputs!BL278,Inputs!BL274))</f>
        <v>8.58483890186792</v>
      </c>
      <c r="BM116" s="19" t="n">
        <f aca="false">IF($F$114=1,BM111,IF(Inputs!$F$215=1,Inputs!BM278,Inputs!BM274))</f>
        <v>9.31842687558383</v>
      </c>
      <c r="BN116" s="19" t="n">
        <f aca="false">IF($F$114=1,BN111,IF(Inputs!$F$215=1,Inputs!BN278,Inputs!BN274))</f>
        <v>9.64362902715235</v>
      </c>
      <c r="BO116" s="19" t="n">
        <f aca="false">IF($F$114=1,BO111,IF(Inputs!$F$215=1,Inputs!BO278,Inputs!BO274))</f>
        <v>7.58274461953063</v>
      </c>
      <c r="BP116" s="19" t="n">
        <f aca="false">IF($F$114=1,BP111,IF(Inputs!$F$215=1,Inputs!BP278,Inputs!BP274))</f>
        <v>7.93930584936783</v>
      </c>
      <c r="BQ116" s="19" t="n">
        <f aca="false">IF($F$114=1,BQ111,IF(Inputs!$F$215=1,Inputs!BQ278,Inputs!BQ274))</f>
        <v>8.68456314477735</v>
      </c>
      <c r="BR116" s="19" t="n">
        <f aca="false">IF($F$114=1,BR111,IF(Inputs!$F$215=1,Inputs!BR278,Inputs!BR274))</f>
        <v>8.80165228387526</v>
      </c>
      <c r="BS116" s="19" t="n">
        <f aca="false">IF($F$114=1,BS111,IF(Inputs!$F$215=1,Inputs!BS278,Inputs!BS274))</f>
        <v>9.63836067351253</v>
      </c>
      <c r="BT116" s="19" t="n">
        <f aca="false">IF($F$114=1,BT111,IF(Inputs!$F$215=1,Inputs!BT278,Inputs!BT274))</f>
        <v>9.7611391621134</v>
      </c>
      <c r="BU116" s="19" t="n">
        <f aca="false">IF($F$114=1,BU111,IF(Inputs!$F$215=1,Inputs!BU278,Inputs!BU274))</f>
        <v>13.4976111081573</v>
      </c>
      <c r="BV116" s="19" t="n">
        <f aca="false">IF($F$114=1,BV111,IF(Inputs!$F$215=1,Inputs!BV278,Inputs!BV274))</f>
        <v>13.6695075381271</v>
      </c>
      <c r="BW116" s="19" t="n">
        <f aca="false">IF($F$114=1,BW111,IF(Inputs!$F$215=1,Inputs!BW278,Inputs!BW274))</f>
        <v>14.6517609168806</v>
      </c>
      <c r="BX116" s="19" t="n">
        <f aca="false">IF($F$114=1,BX111,IF(Inputs!$F$215=1,Inputs!BX278,Inputs!BX274))</f>
        <v>14.9115457052276</v>
      </c>
      <c r="BY116" s="19" t="n">
        <f aca="false">IF($F$114=1,BY111,IF(Inputs!$F$215=1,Inputs!BY278,Inputs!BY274))</f>
        <v>15.8692326890171</v>
      </c>
      <c r="BZ116" s="19" t="n">
        <f aca="false">IF($F$114=1,BZ111,IF(Inputs!$F$215=1,Inputs!BZ278,Inputs!BZ274))</f>
        <v>16.0531685853623</v>
      </c>
      <c r="CA116" s="19" t="n">
        <f aca="false">IF($F$114=1,CA111,IF(Inputs!$F$215=1,Inputs!CA278,Inputs!CA274))</f>
        <v>15.3095487024017</v>
      </c>
      <c r="CB116" s="19" t="n">
        <f aca="false">IF($F$114=1,CB111,IF(Inputs!$F$215=1,Inputs!CB278,Inputs!CB274))</f>
        <v>15.4718386291519</v>
      </c>
      <c r="CC116" s="19" t="n">
        <f aca="false">IF($F$114=1,CC111,IF(Inputs!$F$215=1,Inputs!CC278,Inputs!CC274))</f>
        <v>16.6002782175154</v>
      </c>
      <c r="CD116" s="19" t="n">
        <f aca="false">IF($F$114=1,CD111,IF(Inputs!$F$215=1,Inputs!CD278,Inputs!CD274))</f>
        <v>16.7690922334504</v>
      </c>
      <c r="CE116" s="19" t="n">
        <f aca="false">IF($F$114=1,CE111,IF(Inputs!$F$215=1,Inputs!CE278,Inputs!CE274))</f>
        <v>17.0679987044056</v>
      </c>
      <c r="CF116" s="19" t="n">
        <f aca="false">IF($F$114=1,CF111,IF(Inputs!$F$215=1,Inputs!CF278,Inputs!CF274))</f>
        <v>14.8010055916905</v>
      </c>
      <c r="CG116" s="19" t="n">
        <f aca="false">IF($F$114=1,CG111,IF(Inputs!$F$215=1,Inputs!CG278,Inputs!CG274))</f>
        <v>16.2052073255819</v>
      </c>
      <c r="CH116" s="19" t="n">
        <f aca="false">IF($F$114=1,CH111,IF(Inputs!$F$215=1,Inputs!CH278,Inputs!CH274))</f>
        <v>22.6387528773424</v>
      </c>
      <c r="CI116" s="19" t="n">
        <f aca="false">IF($F$114=1,CI111,IF(Inputs!$F$215=1,Inputs!CI278,Inputs!CI274))</f>
        <v>24.1319203720971</v>
      </c>
      <c r="CJ116" s="19" t="n">
        <f aca="false">IF($F$114=1,CJ111,IF(Inputs!$F$215=1,Inputs!CJ278,Inputs!CJ274))</f>
        <v>24.2485893301882</v>
      </c>
      <c r="CK116" s="19" t="n">
        <f aca="false">IF($F$114=1,CK111,IF(Inputs!$F$215=1,Inputs!CK278,Inputs!CK274))</f>
        <v>29.8108964365842</v>
      </c>
      <c r="CL116" s="19" t="n">
        <f aca="false">IF($F$114=1,CL111,IF(Inputs!$F$215=1,Inputs!CL278,Inputs!CL274))</f>
        <v>27.419817318878</v>
      </c>
      <c r="CM116" s="19" t="n">
        <f aca="false">IF($F$114=1,CM111,IF(Inputs!$F$215=1,Inputs!CM278,Inputs!CM274))</f>
        <v>29.0933152817809</v>
      </c>
      <c r="CN116" s="19" t="n">
        <f aca="false">IF($F$114=1,CN111,IF(Inputs!$F$215=1,Inputs!CN278,Inputs!CN274))</f>
        <v>29.4158943737417</v>
      </c>
      <c r="CO116" s="19" t="n">
        <f aca="false">IF($F$114=1,CO111,IF(Inputs!$F$215=1,Inputs!CO278,Inputs!CO274))</f>
        <v>30.9971423574338</v>
      </c>
      <c r="CP116" s="19" t="n">
        <f aca="false">IF($F$114=1,CP111,IF(Inputs!$F$215=1,Inputs!CP278,Inputs!CP274))</f>
        <v>0</v>
      </c>
      <c r="CQ116" s="19" t="n">
        <f aca="false">IF($F$114=1,CQ111,IF(Inputs!$F$215=1,Inputs!CQ278,Inputs!CQ274))</f>
        <v>0</v>
      </c>
      <c r="CR116" s="19" t="n">
        <f aca="false">IF($F$114=1,CR111,IF(Inputs!$F$215=1,Inputs!CR278,Inputs!CR274))</f>
        <v>0</v>
      </c>
      <c r="CS116" s="19" t="n">
        <f aca="false">IF($F$114=1,CS111,IF(Inputs!$F$215=1,Inputs!CS278,Inputs!CS274))</f>
        <v>0</v>
      </c>
      <c r="CT116" s="19" t="n">
        <f aca="false">IF($F$114=1,CT111,IF(Inputs!$F$215=1,Inputs!CT278,Inputs!CT274))</f>
        <v>0</v>
      </c>
      <c r="CU116" s="19" t="n">
        <f aca="false">IF($F$114=1,CU111,IF(Inputs!$F$215=1,Inputs!CU278,Inputs!CU274))</f>
        <v>0</v>
      </c>
      <c r="CV116" s="19" t="n">
        <f aca="false">IF($F$114=1,CV111,IF(Inputs!$F$215=1,Inputs!CV278,Inputs!CV274))</f>
        <v>0</v>
      </c>
      <c r="CW116" s="19" t="n">
        <f aca="false">IF($F$114=1,CW111,IF(Inputs!$F$215=1,Inputs!CW278,Inputs!CW274))</f>
        <v>0</v>
      </c>
      <c r="CX116" s="19" t="n">
        <f aca="false">IF($F$114=1,CX111,IF(Inputs!$F$215=1,Inputs!CX278,Inputs!CX274))</f>
        <v>0</v>
      </c>
      <c r="CY116" s="19" t="n">
        <f aca="false">IF($F$114=1,CY111,IF(Inputs!$F$215=1,Inputs!CY278,Inputs!CY274))</f>
        <v>0</v>
      </c>
      <c r="CZ116" s="19" t="n">
        <f aca="false">IF($F$114=1,CZ111,IF(Inputs!$F$215=1,Inputs!CZ278,Inputs!CZ274))</f>
        <v>0</v>
      </c>
      <c r="DA116" s="19" t="n">
        <f aca="false">IF($F$114=1,DA111,IF(Inputs!$F$215=1,Inputs!DA278,Inputs!DA274))</f>
        <v>0</v>
      </c>
      <c r="DB116" s="19" t="n">
        <f aca="false">IF($F$114=1,DB111,IF(Inputs!$F$215=1,Inputs!DB278,Inputs!DB274))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573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574</v>
      </c>
    </row>
    <row r="6" customFormat="false" ht="15" hidden="false" customHeight="false" outlineLevel="0" collapsed="false">
      <c r="D6" s="0" t="s">
        <v>575</v>
      </c>
      <c r="E6" s="0" t="s">
        <v>44</v>
      </c>
      <c r="J6" s="19" t="n">
        <f aca="false">IF(Time!K14=0,0,(Debt!J42+Funding!J35-Waterfall!J20)*Debt!K8*Time!K9/Inputs!$F$45+(Debt!J49-Waterfall!J21)*Inputs!$F$110*Time!K10/Inputs!$F$46+(Debt!J93-Waterfall!J22)*Debt!K10+IF(Time!K34=1,0,IF(Time!K23=1,MIN(Debt!K91,Debt!J93-Waterfall!J22),MIN(Inputs!$F$96*Debt!K40,Debt!J42+Funding!J35-Waterfall!J20)+MIN(Inputs!$F$97*Debt!K40,Debt!J49-Waterfall!J21)))-Debt!K39)</f>
        <v>5.88270556460545</v>
      </c>
      <c r="K6" s="19" t="n">
        <f aca="false">IF(Time!L14=0,0,(Debt!K42+Funding!K35-Waterfall!K20)*Debt!L8*Time!L9/Inputs!$F$45+(Debt!K49-Waterfall!K21)*Inputs!$F$110*Time!L10/Inputs!$F$46+(Debt!K93-Waterfall!K22)*Debt!L10+IF(Time!L34=1,0,IF(Time!L23=1,MIN(Debt!L91,Debt!K93-Waterfall!K22),MIN(Inputs!$F$96*Debt!L40,Debt!K42+Funding!K35-Waterfall!K20)+MIN(Inputs!$F$97*Debt!L40,Debt!K49-Waterfall!K21)))-Debt!L39)</f>
        <v>5.88270556460545</v>
      </c>
      <c r="L6" s="19" t="n">
        <f aca="false">IF(Time!M14=0,0,(Debt!L42+Funding!L35-Waterfall!L20)*Debt!M8*Time!M9/Inputs!$F$45+(Debt!L49-Waterfall!L21)*Inputs!$F$110*Time!M10/Inputs!$F$46+(Debt!L93-Waterfall!L22)*Debt!M10+IF(Time!M34=1,0,IF(Time!M23=1,MIN(Debt!M91,Debt!L93-Waterfall!L22),MIN(Inputs!$F$96*Debt!M40,Debt!L42+Funding!L35-Waterfall!L20)+MIN(Inputs!$F$97*Debt!M40,Debt!L49-Waterfall!L21)))-Debt!M39)</f>
        <v>5.88270556460545</v>
      </c>
      <c r="M6" s="19" t="n">
        <f aca="false">IF(Time!N14=0,0,(Debt!M42+Funding!M35-Waterfall!M20)*Debt!N8*Time!N9/Inputs!$F$45+(Debt!M49-Waterfall!M21)*Inputs!$F$110*Time!N10/Inputs!$F$46+(Debt!M93-Waterfall!M22)*Debt!N10+IF(Time!N34=1,0,IF(Time!N23=1,MIN(Debt!N91,Debt!M93-Waterfall!M22),MIN(Inputs!$F$96*Debt!N40,Debt!M42+Funding!M35-Waterfall!M20)+MIN(Inputs!$F$97*Debt!N40,Debt!M49-Waterfall!M21)))-Debt!N39)</f>
        <v>5.88270556460545</v>
      </c>
      <c r="N6" s="19" t="n">
        <f aca="false">IF(Time!O14=0,0,(Debt!N42+Funding!N35-Waterfall!N20)*Debt!O8*Time!O9/Inputs!$F$45+(Debt!N49-Waterfall!N21)*Inputs!$F$110*Time!O10/Inputs!$F$46+(Debt!N93-Waterfall!N22)*Debt!O10+IF(Time!O34=1,0,IF(Time!O23=1,MIN(Debt!O91,Debt!N93-Waterfall!N22),MIN(Inputs!$F$96*Debt!O40,Debt!N42+Funding!N35-Waterfall!N20)+MIN(Inputs!$F$97*Debt!O40,Debt!N49-Waterfall!N21)))-Debt!O39)</f>
        <v>5.95803197252564</v>
      </c>
      <c r="O6" s="19" t="n">
        <f aca="false">IF(Time!P14=0,0,(Debt!O42+Funding!O35-Waterfall!O20)*Debt!P8*Time!P9/Inputs!$F$45+(Debt!O49-Waterfall!O21)*Inputs!$F$110*Time!P10/Inputs!$F$46+(Debt!O93-Waterfall!O22)*Debt!P10+IF(Time!P34=1,0,IF(Time!P23=1,MIN(Debt!P91,Debt!O93-Waterfall!O22),MIN(Inputs!$F$96*Debt!P40,Debt!O42+Funding!O35-Waterfall!O20)+MIN(Inputs!$F$97*Debt!P40,Debt!O49-Waterfall!O21)))-Debt!P39)</f>
        <v>6.67456241086213</v>
      </c>
      <c r="P6" s="19" t="n">
        <f aca="false">IF(Time!Q14=0,0,(Debt!P42+Funding!P35-Waterfall!P20)*Debt!Q8*Time!Q9/Inputs!$F$45+(Debt!P49-Waterfall!P21)*Inputs!$F$110*Time!Q10/Inputs!$F$46+(Debt!P93-Waterfall!P22)*Debt!Q10+IF(Time!Q34=1,0,IF(Time!Q23=1,MIN(Debt!Q91,Debt!P93-Waterfall!P22),MIN(Inputs!$F$96*Debt!Q40,Debt!P42+Funding!P35-Waterfall!P20)+MIN(Inputs!$F$97*Debt!Q40,Debt!P49-Waterfall!P21)))-Debt!Q39)</f>
        <v>7.45797179802801</v>
      </c>
      <c r="Q6" s="19" t="n">
        <f aca="false">IF(Time!R14=0,0,(Debt!Q42+Funding!Q35-Waterfall!Q20)*Debt!R8*Time!R9/Inputs!$F$45+(Debt!Q49-Waterfall!Q21)*Inputs!$F$110*Time!R10/Inputs!$F$46+(Debt!Q93-Waterfall!Q22)*Debt!R10+IF(Time!R34=1,0,IF(Time!R23=1,MIN(Debt!R91,Debt!Q93-Waterfall!Q22),MIN(Inputs!$F$96*Debt!R40,Debt!Q42+Funding!Q35-Waterfall!Q20)+MIN(Inputs!$F$97*Debt!R40,Debt!Q49-Waterfall!Q21)))-Debt!R39)</f>
        <v>8.33998057645559</v>
      </c>
      <c r="R6" s="19" t="n">
        <f aca="false">IF(Time!S14=0,0,(Debt!R42+Funding!R35-Waterfall!R20)*Debt!S8*Time!S9/Inputs!$F$45+(Debt!R49-Waterfall!R21)*Inputs!$F$110*Time!S10/Inputs!$F$46+(Debt!R93-Waterfall!R22)*Debt!S10+IF(Time!S34=1,0,IF(Time!S23=1,MIN(Debt!S91,Debt!R93-Waterfall!R22),MIN(Inputs!$F$96*Debt!S40,Debt!R42+Funding!R35-Waterfall!R20)+MIN(Inputs!$F$97*Debt!S40,Debt!R49-Waterfall!R21)))-Debt!S39)</f>
        <v>9.25685561151729</v>
      </c>
      <c r="S6" s="19" t="n">
        <f aca="false">IF(Time!T14=0,0,(Debt!S42+Funding!S35-Waterfall!S20)*Debt!T8*Time!T9/Inputs!$F$45+(Debt!S49-Waterfall!S21)*Inputs!$F$110*Time!T10/Inputs!$F$46+(Debt!S93-Waterfall!S22)*Debt!T10+IF(Time!T34=1,0,IF(Time!T23=1,MIN(Debt!T91,Debt!S93-Waterfall!S22),MIN(Inputs!$F$96*Debt!T40,Debt!S42+Funding!S35-Waterfall!S20)+MIN(Inputs!$F$97*Debt!T40,Debt!S49-Waterfall!S21)))-Debt!T39)</f>
        <v>10.0895623957293</v>
      </c>
      <c r="T6" s="19" t="n">
        <f aca="false">IF(Time!U14=0,0,(Debt!T42+Funding!T35-Waterfall!T20)*Debt!U8*Time!U9/Inputs!$F$45+(Debt!T49-Waterfall!T21)*Inputs!$F$110*Time!U10/Inputs!$F$46+(Debt!T93-Waterfall!T22)*Debt!U10+IF(Time!U34=1,0,IF(Time!U23=1,MIN(Debt!U91,Debt!T93-Waterfall!T22),MIN(Inputs!$F$96*Debt!U40,Debt!T42+Funding!T35-Waterfall!T20)+MIN(Inputs!$F$97*Debt!U40,Debt!T49-Waterfall!T21)))-Debt!U39)</f>
        <v>10.4077658563493</v>
      </c>
      <c r="U6" s="19" t="n">
        <f aca="false">IF(Time!V14=0,0,(Debt!U42+Funding!U35-Waterfall!U20)*Debt!V8*Time!V9/Inputs!$F$45+(Debt!U49-Waterfall!U21)*Inputs!$F$110*Time!V10/Inputs!$F$46+(Debt!U93-Waterfall!U22)*Debt!V10+IF(Time!V34=1,0,IF(Time!V23=1,MIN(Debt!V91,Debt!U93-Waterfall!U22),MIN(Inputs!$F$96*Debt!V40,Debt!U42+Funding!U35-Waterfall!U20)+MIN(Inputs!$F$97*Debt!V40,Debt!U49-Waterfall!U21)))-Debt!V39)</f>
        <v>10.7993216484718</v>
      </c>
      <c r="V6" s="19" t="n">
        <f aca="false">IF(Time!W14=0,0,(Debt!V42+Funding!V35-Waterfall!V20)*Debt!W8*Time!W9/Inputs!$F$45+(Debt!V49-Waterfall!V21)*Inputs!$F$110*Time!W10/Inputs!$F$46+(Debt!V93-Waterfall!V22)*Debt!W10+IF(Time!W34=1,0,IF(Time!W23=1,MIN(Debt!W91,Debt!V93-Waterfall!V22),MIN(Inputs!$F$96*Debt!W40,Debt!V42+Funding!V35-Waterfall!V20)+MIN(Inputs!$F$97*Debt!W40,Debt!V49-Waterfall!V21)))-Debt!W39)</f>
        <v>11.1123527839975</v>
      </c>
      <c r="W6" s="19" t="n">
        <f aca="false">IF(Time!X14=0,0,(Debt!W42+Funding!W35-Waterfall!W20)*Debt!X8*Time!X9/Inputs!$F$45+(Debt!W49-Waterfall!W21)*Inputs!$F$110*Time!X10/Inputs!$F$46+(Debt!W93-Waterfall!W22)*Debt!X10+IF(Time!X34=1,0,IF(Time!X23=1,MIN(Debt!X91,Debt!W93-Waterfall!W22),MIN(Inputs!$F$96*Debt!X40,Debt!W42+Funding!W35-Waterfall!W20)+MIN(Inputs!$F$97*Debt!X40,Debt!W49-Waterfall!W21)))-Debt!X39)</f>
        <v>11.28354836705</v>
      </c>
      <c r="X6" s="19" t="n">
        <f aca="false">IF(Time!Y14=0,0,(Debt!X42+Funding!X35-Waterfall!X20)*Debt!Y8*Time!Y9/Inputs!$F$45+(Debt!X49-Waterfall!X21)*Inputs!$F$110*Time!Y10/Inputs!$F$46+(Debt!X93-Waterfall!X22)*Debt!Y10+IF(Time!Y34=1,0,IF(Time!Y23=1,MIN(Debt!Y91,Debt!X93-Waterfall!X22),MIN(Inputs!$F$96*Debt!Y40,Debt!X42+Funding!X35-Waterfall!X20)+MIN(Inputs!$F$97*Debt!Y40,Debt!X49-Waterfall!X21)))-Debt!Y39)</f>
        <v>11.2592075456387</v>
      </c>
      <c r="Y6" s="19" t="n">
        <f aca="false">IF(Time!Z14=0,0,(Debt!Y42+Funding!Y35-Waterfall!Y20)*Debt!Z8*Time!Z9/Inputs!$F$45+(Debt!Y49-Waterfall!Y21)*Inputs!$F$110*Time!Z10/Inputs!$F$46+(Debt!Y93-Waterfall!Y22)*Debt!Z10+IF(Time!Z34=1,0,IF(Time!Z23=1,MIN(Debt!Z91,Debt!Y93-Waterfall!Y22),MIN(Inputs!$F$96*Debt!Z40,Debt!Y42+Funding!Y35-Waterfall!Y20)+MIN(Inputs!$F$97*Debt!Z40,Debt!Y49-Waterfall!Y21)))-Debt!Z39)</f>
        <v>6.94382107364351</v>
      </c>
      <c r="Z6" s="19" t="n">
        <f aca="false">IF(Time!AA14=0,0,(Debt!Z42+Funding!Z35-Waterfall!Z20)*Debt!AA8*Time!AA9/Inputs!$F$45+(Debt!Z49-Waterfall!Z21)*Inputs!$F$110*Time!AA10/Inputs!$F$46+(Debt!Z93-Waterfall!Z22)*Debt!AA10+IF(Time!AA34=1,0,IF(Time!AA23=1,MIN(Debt!AA91,Debt!Z93-Waterfall!Z22),MIN(Inputs!$F$96*Debt!AA40,Debt!Z42+Funding!Z35-Waterfall!Z20)+MIN(Inputs!$F$97*Debt!AA40,Debt!Z49-Waterfall!Z21)))-Debt!AA39)</f>
        <v>15.366639768263</v>
      </c>
      <c r="AA6" s="19" t="n">
        <f aca="false">IF(Time!AB14=0,0,(Debt!AA42+Funding!AA35-Waterfall!AA20)*Debt!AB8*Time!AB9/Inputs!$F$45+(Debt!AA49-Waterfall!AA21)*Inputs!$F$110*Time!AB10/Inputs!$F$46+(Debt!AA93-Waterfall!AA22)*Debt!AB10+IF(Time!AB34=1,0,IF(Time!AB23=1,MIN(Debt!AB91,Debt!AA93-Waterfall!AA22),MIN(Inputs!$F$96*Debt!AB40,Debt!AA42+Funding!AA35-Waterfall!AA20)+MIN(Inputs!$F$97*Debt!AB40,Debt!AA49-Waterfall!AA21)))-Debt!AB39)</f>
        <v>19.3030365072743</v>
      </c>
      <c r="AB6" s="19" t="n">
        <f aca="false">IF(Time!AC14=0,0,(Debt!AB42+Funding!AB35-Waterfall!AB20)*Debt!AC8*Time!AC9/Inputs!$F$45+(Debt!AB49-Waterfall!AB21)*Inputs!$F$110*Time!AC10/Inputs!$F$46+(Debt!AB93-Waterfall!AB22)*Debt!AC10+IF(Time!AC34=1,0,IF(Time!AC23=1,MIN(Debt!AC91,Debt!AB93-Waterfall!AB22),MIN(Inputs!$F$96*Debt!AC40,Debt!AB42+Funding!AB35-Waterfall!AB20)+MIN(Inputs!$F$97*Debt!AC40,Debt!AB49-Waterfall!AB21)))-Debt!AC39)</f>
        <v>20.57459323591</v>
      </c>
      <c r="AC6" s="19" t="n">
        <f aca="false">IF(Time!AD14=0,0,(Debt!AC42+Funding!AC35-Waterfall!AC20)*Debt!AD8*Time!AD9/Inputs!$F$45+(Debt!AC49-Waterfall!AC21)*Inputs!$F$110*Time!AD10/Inputs!$F$46+(Debt!AC93-Waterfall!AC22)*Debt!AD10+IF(Time!AD34=1,0,IF(Time!AD23=1,MIN(Debt!AD91,Debt!AC93-Waterfall!AC22),MIN(Inputs!$F$96*Debt!AD40,Debt!AC42+Funding!AC35-Waterfall!AC20)+MIN(Inputs!$F$97*Debt!AD40,Debt!AC49-Waterfall!AC21)))-Debt!AD39)</f>
        <v>23.7337665751819</v>
      </c>
      <c r="AD6" s="19" t="n">
        <f aca="false">IF(Time!AE14=0,0,(Debt!AD42+Funding!AD35-Waterfall!AD20)*Debt!AE8*Time!AE9/Inputs!$F$45+(Debt!AD49-Waterfall!AD21)*Inputs!$F$110*Time!AE10/Inputs!$F$46+(Debt!AD93-Waterfall!AD22)*Debt!AE10+IF(Time!AE34=1,0,IF(Time!AE23=1,MIN(Debt!AE91,Debt!AD93-Waterfall!AD22),MIN(Inputs!$F$96*Debt!AE40,Debt!AD42+Funding!AD35-Waterfall!AD20)+MIN(Inputs!$F$97*Debt!AE40,Debt!AD49-Waterfall!AD21)))-Debt!AE39)</f>
        <v>23.9321371074356</v>
      </c>
      <c r="AE6" s="19" t="n">
        <f aca="false">IF(Time!AF14=0,0,(Debt!AE42+Funding!AE35-Waterfall!AE20)*Debt!AF8*Time!AF9/Inputs!$F$45+(Debt!AE49-Waterfall!AE21)*Inputs!$F$110*Time!AF10/Inputs!$F$46+(Debt!AE93-Waterfall!AE22)*Debt!AF10+IF(Time!AF34=1,0,IF(Time!AF23=1,MIN(Debt!AF91,Debt!AE93-Waterfall!AE22),MIN(Inputs!$F$96*Debt!AF40,Debt!AE42+Funding!AE35-Waterfall!AE20)+MIN(Inputs!$F$97*Debt!AF40,Debt!AE49-Waterfall!AE21)))-Debt!AF39)</f>
        <v>23.6043472038103</v>
      </c>
      <c r="AF6" s="19" t="n">
        <f aca="false">IF(Time!AG14=0,0,(Debt!AF42+Funding!AF35-Waterfall!AF20)*Debt!AG8*Time!AG9/Inputs!$F$45+(Debt!AF49-Waterfall!AF21)*Inputs!$F$110*Time!AG10/Inputs!$F$46+(Debt!AF93-Waterfall!AF22)*Debt!AG10+IF(Time!AG34=1,0,IF(Time!AG23=1,MIN(Debt!AG91,Debt!AF93-Waterfall!AF22),MIN(Inputs!$F$96*Debt!AG40,Debt!AF42+Funding!AF35-Waterfall!AF20)+MIN(Inputs!$F$97*Debt!AG40,Debt!AF49-Waterfall!AF21)))-Debt!AG39)</f>
        <v>23.2317499211891</v>
      </c>
      <c r="AG6" s="19" t="n">
        <f aca="false">IF(Time!AH14=0,0,(Debt!AG42+Funding!AG35-Waterfall!AG20)*Debt!AH8*Time!AH9/Inputs!$F$45+(Debt!AG49-Waterfall!AG21)*Inputs!$F$110*Time!AH10/Inputs!$F$46+(Debt!AG93-Waterfall!AG22)*Debt!AH10+IF(Time!AH34=1,0,IF(Time!AH23=1,MIN(Debt!AH91,Debt!AG93-Waterfall!AG22),MIN(Inputs!$F$96*Debt!AH40,Debt!AG42+Funding!AG35-Waterfall!AG20)+MIN(Inputs!$F$97*Debt!AH40,Debt!AG49-Waterfall!AG21)))-Debt!AH39)</f>
        <v>23.0447987452329</v>
      </c>
      <c r="AH6" s="19" t="n">
        <f aca="false">IF(Time!AI14=0,0,(Debt!AH42+Funding!AH35-Waterfall!AH20)*Debt!AI8*Time!AI9/Inputs!$F$45+(Debt!AH49-Waterfall!AH21)*Inputs!$F$110*Time!AI10/Inputs!$F$46+(Debt!AH93-Waterfall!AH22)*Debt!AI10+IF(Time!AI34=1,0,IF(Time!AI23=1,MIN(Debt!AI91,Debt!AH93-Waterfall!AH22),MIN(Inputs!$F$96*Debt!AI40,Debt!AH42+Funding!AH35-Waterfall!AH20)+MIN(Inputs!$F$97*Debt!AI40,Debt!AH49-Waterfall!AH21)))-Debt!AI39)</f>
        <v>23.2317499211891</v>
      </c>
      <c r="AI6" s="19" t="n">
        <f aca="false">IF(Time!AJ14=0,0,(Debt!AI42+Funding!AI35-Waterfall!AI20)*Debt!AJ8*Time!AJ9/Inputs!$F$45+(Debt!AI49-Waterfall!AI21)*Inputs!$F$110*Time!AJ10/Inputs!$F$46+(Debt!AI93-Waterfall!AI22)*Debt!AJ10+IF(Time!AJ34=1,0,IF(Time!AJ23=1,MIN(Debt!AJ91,Debt!AI93-Waterfall!AI22),MIN(Inputs!$F$96*Debt!AJ40,Debt!AI42+Funding!AI35-Waterfall!AI20)+MIN(Inputs!$F$97*Debt!AJ40,Debt!AI49-Waterfall!AI21)))-Debt!AJ39)</f>
        <v>23.107115803885</v>
      </c>
      <c r="AJ6" s="19" t="n">
        <f aca="false">IF(Time!AK14=0,0,(Debt!AJ42+Funding!AJ35-Waterfall!AJ20)*Debt!AK8*Time!AK9/Inputs!$F$45+(Debt!AJ49-Waterfall!AJ21)*Inputs!$F$110*Time!AK10/Inputs!$F$46+(Debt!AJ93-Waterfall!AJ22)*Debt!AK10+IF(Time!AK34=1,0,IF(Time!AK23=1,MIN(Debt!AK91,Debt!AJ93-Waterfall!AJ22),MIN(Inputs!$F$96*Debt!AK40,Debt!AJ42+Funding!AJ35-Waterfall!AJ20)+MIN(Inputs!$F$97*Debt!AK40,Debt!AJ49-Waterfall!AJ21)))-Debt!AK39)</f>
        <v>23.2317499211891</v>
      </c>
      <c r="AK6" s="19" t="n">
        <f aca="false">IF(Time!AL14=0,0,(Debt!AK42+Funding!AK35-Waterfall!AK20)*Debt!AL8*Time!AL9/Inputs!$F$45+(Debt!AK49-Waterfall!AK21)*Inputs!$F$110*Time!AL10/Inputs!$F$46+(Debt!AK93-Waterfall!AK22)*Debt!AL10+IF(Time!AL34=1,0,IF(Time!AL23=1,MIN(Debt!AL91,Debt!AK93-Waterfall!AK22),MIN(Inputs!$F$96*Debt!AL40,Debt!AK42+Funding!AK35-Waterfall!AK20)+MIN(Inputs!$F$97*Debt!AL40,Debt!AK49-Waterfall!AK21)))-Debt!AL39)</f>
        <v>23.0447987452329</v>
      </c>
      <c r="AL6" s="19" t="n">
        <f aca="false">IF(Time!AM14=0,0,(Debt!AL42+Funding!AL35-Waterfall!AL20)*Debt!AM8*Time!AM9/Inputs!$F$45+(Debt!AL49-Waterfall!AL21)*Inputs!$F$110*Time!AM10/Inputs!$F$46+(Debt!AL93-Waterfall!AL22)*Debt!AM10+IF(Time!AM34=1,0,IF(Time!AM23=1,MIN(Debt!AM91,Debt!AL93-Waterfall!AL22),MIN(Inputs!$F$96*Debt!AM40,Debt!AL42+Funding!AL35-Waterfall!AL20)+MIN(Inputs!$F$97*Debt!AM40,Debt!AL49-Waterfall!AL21)))-Debt!AM39)</f>
        <v>23.2317499211891</v>
      </c>
      <c r="AM6" s="19" t="n">
        <f aca="false">IF(Time!AN14=0,0,(Debt!AM42+Funding!AM35-Waterfall!AM20)*Debt!AN8*Time!AN9/Inputs!$F$45+(Debt!AM49-Waterfall!AM21)*Inputs!$F$110*Time!AN10/Inputs!$F$46+(Debt!AM93-Waterfall!AM22)*Debt!AN10+IF(Time!AN34=1,0,IF(Time!AN23=1,MIN(Debt!AN91,Debt!AM93-Waterfall!AM22),MIN(Inputs!$F$96*Debt!AN40,Debt!AM42+Funding!AM35-Waterfall!AM20)+MIN(Inputs!$F$97*Debt!AN40,Debt!AM49-Waterfall!AM21)))-Debt!AN39)</f>
        <v>23.0447987452329</v>
      </c>
      <c r="AN6" s="19" t="n">
        <f aca="false">IF(Time!AO14=0,0,(Debt!AN42+Funding!AN35-Waterfall!AN20)*Debt!AO8*Time!AO9/Inputs!$F$45+(Debt!AN49-Waterfall!AN21)*Inputs!$F$110*Time!AO10/Inputs!$F$46+(Debt!AN93-Waterfall!AN22)*Debt!AO10+IF(Time!AO34=1,0,IF(Time!AO23=1,MIN(Debt!AO91,Debt!AN93-Waterfall!AN22),MIN(Inputs!$F$96*Debt!AO40,Debt!AN42+Funding!AN35-Waterfall!AN20)+MIN(Inputs!$F$97*Debt!AO40,Debt!AN49-Waterfall!AN21)))-Debt!AO39)</f>
        <v>23.2317499211891</v>
      </c>
      <c r="AO6" s="19" t="n">
        <f aca="false">IF(Time!AP14=0,0,(Debt!AO42+Funding!AO35-Waterfall!AO20)*Debt!AP8*Time!AP9/Inputs!$F$45+(Debt!AO49-Waterfall!AO21)*Inputs!$F$110*Time!AP10/Inputs!$F$46+(Debt!AO93-Waterfall!AO22)*Debt!AP10+IF(Time!AP34=1,0,IF(Time!AP23=1,MIN(Debt!AP91,Debt!AO93-Waterfall!AO22),MIN(Inputs!$F$96*Debt!AP40,Debt!AO42+Funding!AO35-Waterfall!AO20)+MIN(Inputs!$F$97*Debt!AP40,Debt!AO49-Waterfall!AO21)))-Debt!AP39)</f>
        <v>23.0447987452329</v>
      </c>
      <c r="AP6" s="19" t="n">
        <f aca="false">IF(Time!AQ14=0,0,(Debt!AP42+Funding!AP35-Waterfall!AP20)*Debt!AQ8*Time!AQ9/Inputs!$F$45+(Debt!AP49-Waterfall!AP21)*Inputs!$F$110*Time!AQ10/Inputs!$F$46+(Debt!AP93-Waterfall!AP22)*Debt!AQ10+IF(Time!AQ34=1,0,IF(Time!AQ23=1,MIN(Debt!AQ91,Debt!AP93-Waterfall!AP22),MIN(Inputs!$F$96*Debt!AQ40,Debt!AP42+Funding!AP35-Waterfall!AP20)+MIN(Inputs!$F$97*Debt!AQ40,Debt!AP49-Waterfall!AP21)))-Debt!AQ39)</f>
        <v>23.2317499211891</v>
      </c>
      <c r="AQ6" s="19" t="n">
        <f aca="false">IF(Time!AR14=0,0,(Debt!AQ42+Funding!AQ35-Waterfall!AQ20)*Debt!AR8*Time!AR9/Inputs!$F$45+(Debt!AQ49-Waterfall!AQ21)*Inputs!$F$110*Time!AR10/Inputs!$F$46+(Debt!AQ93-Waterfall!AQ22)*Debt!AR10+IF(Time!AR34=1,0,IF(Time!AR23=1,MIN(Debt!AR91,Debt!AQ93-Waterfall!AQ22),MIN(Inputs!$F$96*Debt!AR40,Debt!AQ42+Funding!AQ35-Waterfall!AQ20)+MIN(Inputs!$F$97*Debt!AR40,Debt!AQ49-Waterfall!AQ21)))-Debt!AR39)</f>
        <v>23.107115803885</v>
      </c>
      <c r="AR6" s="19" t="n">
        <f aca="false">IF(Time!AS14=0,0,(Debt!AR42+Funding!AR35-Waterfall!AR20)*Debt!AS8*Time!AS9/Inputs!$F$45+(Debt!AR49-Waterfall!AR21)*Inputs!$F$110*Time!AS10/Inputs!$F$46+(Debt!AR93-Waterfall!AR22)*Debt!AS10+IF(Time!AS34=1,0,IF(Time!AS23=1,MIN(Debt!AS91,Debt!AR93-Waterfall!AR22),MIN(Inputs!$F$96*Debt!AS40,Debt!AR42+Funding!AR35-Waterfall!AR20)+MIN(Inputs!$F$97*Debt!AS40,Debt!AR49-Waterfall!AR21)))-Debt!AS39)</f>
        <v>23.2317499211891</v>
      </c>
      <c r="AS6" s="19" t="n">
        <f aca="false">IF(Time!AT14=0,0,(Debt!AS42+Funding!AS35-Waterfall!AS20)*Debt!AT8*Time!AT9/Inputs!$F$45+(Debt!AS49-Waterfall!AS21)*Inputs!$F$110*Time!AT10/Inputs!$F$46+(Debt!AS93-Waterfall!AS22)*Debt!AT10+IF(Time!AT34=1,0,IF(Time!AT23=1,MIN(Debt!AT91,Debt!AS93-Waterfall!AS22),MIN(Inputs!$F$96*Debt!AT40,Debt!AS42+Funding!AS35-Waterfall!AS20)+MIN(Inputs!$F$97*Debt!AT40,Debt!AS49-Waterfall!AS21)))-Debt!AT39)</f>
        <v>23.0447987452329</v>
      </c>
      <c r="AT6" s="19" t="n">
        <f aca="false">IF(Time!AU14=0,0,(Debt!AT42+Funding!AT35-Waterfall!AT20)*Debt!AU8*Time!AU9/Inputs!$F$45+(Debt!AT49-Waterfall!AT21)*Inputs!$F$110*Time!AU10/Inputs!$F$46+(Debt!AT93-Waterfall!AT22)*Debt!AU10+IF(Time!AU34=1,0,IF(Time!AU23=1,MIN(Debt!AU91,Debt!AT93-Waterfall!AT22),MIN(Inputs!$F$96*Debt!AU40,Debt!AT42+Funding!AT35-Waterfall!AT20)+MIN(Inputs!$F$97*Debt!AU40,Debt!AT49-Waterfall!AT21)))-Debt!AU39)</f>
        <v>23.2317499211891</v>
      </c>
      <c r="AU6" s="19" t="n">
        <f aca="false">IF(Time!AV14=0,0,(Debt!AU42+Funding!AU35-Waterfall!AU20)*Debt!AV8*Time!AV9/Inputs!$F$45+(Debt!AU49-Waterfall!AU21)*Inputs!$F$110*Time!AV10/Inputs!$F$46+(Debt!AU93-Waterfall!AU22)*Debt!AV10+IF(Time!AV34=1,0,IF(Time!AV23=1,MIN(Debt!AV91,Debt!AU93-Waterfall!AU22),MIN(Inputs!$F$96*Debt!AV40,Debt!AU42+Funding!AU35-Waterfall!AU20)+MIN(Inputs!$F$97*Debt!AV40,Debt!AU49-Waterfall!AU21)))-Debt!AV39)</f>
        <v>23.0533401819306</v>
      </c>
      <c r="AV6" s="19" t="n">
        <f aca="false">IF(Time!AW14=0,0,(Debt!AV42+Funding!AV35-Waterfall!AV20)*Debt!AW8*Time!AW9/Inputs!$F$45+(Debt!AV49-Waterfall!AV21)*Inputs!$F$110*Time!AW10/Inputs!$F$46+(Debt!AV93-Waterfall!AV22)*Debt!AW10+IF(Time!AW34=1,0,IF(Time!AW23=1,MIN(Debt!AW91,Debt!AV93-Waterfall!AV22),MIN(Inputs!$F$96*Debt!AW40,Debt!AV42+Funding!AV35-Waterfall!AV20)+MIN(Inputs!$F$97*Debt!AW40,Debt!AV49-Waterfall!AV21)))-Debt!AW39)</f>
        <v>25.0503904348706</v>
      </c>
      <c r="AW6" s="19" t="n">
        <f aca="false">IF(Time!AX14=0,0,(Debt!AW42+Funding!AW35-Waterfall!AW20)*Debt!AX8*Time!AX9/Inputs!$F$45+(Debt!AW49-Waterfall!AW21)*Inputs!$F$110*Time!AX10/Inputs!$F$46+(Debt!AW93-Waterfall!AW22)*Debt!AX10+IF(Time!AX34=1,0,IF(Time!AX23=1,MIN(Debt!AX91,Debt!AW93-Waterfall!AW22),MIN(Inputs!$F$96*Debt!AX40,Debt!AW42+Funding!AW35-Waterfall!AW20)+MIN(Inputs!$F$97*Debt!AX40,Debt!AW49-Waterfall!AW21)))-Debt!AX39)</f>
        <v>25.1508622905596</v>
      </c>
      <c r="AX6" s="19" t="n">
        <f aca="false">IF(Time!AY14=0,0,(Debt!AX42+Funding!AX35-Waterfall!AX20)*Debt!AY8*Time!AY9/Inputs!$F$45+(Debt!AX49-Waterfall!AX21)*Inputs!$F$110*Time!AY10/Inputs!$F$46+(Debt!AX93-Waterfall!AX22)*Debt!AY10+IF(Time!AY34=1,0,IF(Time!AY23=1,MIN(Debt!AY91,Debt!AX93-Waterfall!AX22),MIN(Inputs!$F$96*Debt!AY40,Debt!AX42+Funding!AX35-Waterfall!AX20)+MIN(Inputs!$F$97*Debt!AY40,Debt!AX49-Waterfall!AX21)))-Debt!AY39)</f>
        <v>24.9746741850431</v>
      </c>
      <c r="AY6" s="19" t="n">
        <f aca="false">IF(Time!AZ14=0,0,(Debt!AY42+Funding!AY35-Waterfall!AY20)*Debt!AZ8*Time!AZ9/Inputs!$F$45+(Debt!AY49-Waterfall!AY21)*Inputs!$F$110*Time!AZ10/Inputs!$F$46+(Debt!AY93-Waterfall!AY22)*Debt!AZ10+IF(Time!AZ34=1,0,IF(Time!AZ23=1,MIN(Debt!AZ91,Debt!AY93-Waterfall!AY22),MIN(Inputs!$F$96*Debt!AZ40,Debt!AY42+Funding!AY35-Waterfall!AY20)+MIN(Inputs!$F$97*Debt!AZ40,Debt!AY49-Waterfall!AY21)))-Debt!AZ39)</f>
        <v>25.2447615195311</v>
      </c>
      <c r="AZ6" s="19" t="n">
        <f aca="false">IF(Time!BA14=0,0,(Debt!AZ42+Funding!AZ35-Waterfall!AZ20)*Debt!BA8*Time!BA9/Inputs!$F$45+(Debt!AZ49-Waterfall!AZ21)*Inputs!$F$110*Time!BA10/Inputs!$F$46+(Debt!AZ93-Waterfall!AZ22)*Debt!BA10+IF(Time!BA34=1,0,IF(Time!BA23=1,MIN(Debt!BA91,Debt!AZ93-Waterfall!AZ22),MIN(Inputs!$F$96*Debt!BA40,Debt!AZ42+Funding!AZ35-Waterfall!AZ20)+MIN(Inputs!$F$97*Debt!BA40,Debt!AZ49-Waterfall!AZ21)))-Debt!BA39)</f>
        <v>26.4296082744351</v>
      </c>
      <c r="BA6" s="19" t="n">
        <f aca="false">IF(Time!BB14=0,0,(Debt!BA42+Funding!BA35-Waterfall!BA20)*Debt!BB8*Time!BB9/Inputs!$F$45+(Debt!BA49-Waterfall!BA21)*Inputs!$F$110*Time!BB10/Inputs!$F$46+(Debt!BA93-Waterfall!BA22)*Debt!BB10+IF(Time!BB34=1,0,IF(Time!BB23=1,MIN(Debt!BB91,Debt!BA93-Waterfall!BA22),MIN(Inputs!$F$96*Debt!BB40,Debt!BA42+Funding!BA35-Waterfall!BA20)+MIN(Inputs!$F$97*Debt!BB40,Debt!BA49-Waterfall!BA21)))-Debt!BB39)</f>
        <v>26.5404185160733</v>
      </c>
      <c r="BB6" s="19" t="n">
        <f aca="false">IF(Time!BC14=0,0,(Debt!BB42+Funding!BB35-Waterfall!BB20)*Debt!BC8*Time!BC9/Inputs!$F$45+(Debt!BB49-Waterfall!BB21)*Inputs!$F$110*Time!BC10/Inputs!$F$46+(Debt!BB93-Waterfall!BB22)*Debt!BC10+IF(Time!BC34=1,0,IF(Time!BC23=1,MIN(Debt!BC91,Debt!BB93-Waterfall!BB22),MIN(Inputs!$F$96*Debt!BC40,Debt!BB42+Funding!BB35-Waterfall!BB20)+MIN(Inputs!$F$97*Debt!BC40,Debt!BB49-Waterfall!BB21)))-Debt!BC39)</f>
        <v>31.0730822191862</v>
      </c>
      <c r="BC6" s="19" t="n">
        <f aca="false">IF(Time!BD14=0,0,(Debt!BC42+Funding!BC35-Waterfall!BC20)*Debt!BD8*Time!BD9/Inputs!$F$45+(Debt!BC49-Waterfall!BC21)*Inputs!$F$110*Time!BD10/Inputs!$F$46+(Debt!BC93-Waterfall!BC22)*Debt!BD10+IF(Time!BD34=1,0,IF(Time!BD23=1,MIN(Debt!BD91,Debt!BC93-Waterfall!BC22),MIN(Inputs!$F$96*Debt!BD40,Debt!BC42+Funding!BC35-Waterfall!BC20)+MIN(Inputs!$F$97*Debt!BD40,Debt!BC49-Waterfall!BC21)))-Debt!BD39)</f>
        <v>31.1898989720418</v>
      </c>
      <c r="BD6" s="19" t="n">
        <f aca="false">IF(Time!BE14=0,0,(Debt!BD42+Funding!BD35-Waterfall!BD20)*Debt!BE8*Time!BE9/Inputs!$F$45+(Debt!BD49-Waterfall!BD21)*Inputs!$F$110*Time!BE10/Inputs!$F$46+(Debt!BD93-Waterfall!BD22)*Debt!BE10+IF(Time!BE34=1,0,IF(Time!BE23=1,MIN(Debt!BE91,Debt!BD93-Waterfall!BD22),MIN(Inputs!$F$96*Debt!BE40,Debt!BD42+Funding!BD35-Waterfall!BD20)+MIN(Inputs!$F$97*Debt!BE40,Debt!BD49-Waterfall!BD21)))-Debt!BE39)</f>
        <v>34.1520286404255</v>
      </c>
      <c r="BE6" s="19" t="n">
        <f aca="false">IF(Time!BF14=0,0,(Debt!BE42+Funding!BE35-Waterfall!BE20)*Debt!BF8*Time!BF9/Inputs!$F$45+(Debt!BE49-Waterfall!BE21)*Inputs!$F$110*Time!BF10/Inputs!$F$46+(Debt!BE93-Waterfall!BE22)*Debt!BF10+IF(Time!BF34=1,0,IF(Time!BF23=1,MIN(Debt!BF91,Debt!BE93-Waterfall!BE22),MIN(Inputs!$F$96*Debt!BF40,Debt!BE42+Funding!BE35-Waterfall!BE20)+MIN(Inputs!$F$97*Debt!BF40,Debt!BE49-Waterfall!BE21)))-Debt!BF39)</f>
        <v>34.2751060537202</v>
      </c>
      <c r="BF6" s="19" t="n">
        <f aca="false">IF(Time!BG14=0,0,(Debt!BF42+Funding!BF35-Waterfall!BF20)*Debt!BG8*Time!BG9/Inputs!$F$45+(Debt!BF49-Waterfall!BF21)*Inputs!$F$110*Time!BG10/Inputs!$F$46+(Debt!BF93-Waterfall!BF22)*Debt!BG10+IF(Time!BG34=1,0,IF(Time!BG23=1,MIN(Debt!BG91,Debt!BF93-Waterfall!BF22),MIN(Inputs!$F$96*Debt!BG40,Debt!BF42+Funding!BF35-Waterfall!BF20)+MIN(Inputs!$F$97*Debt!BG40,Debt!BF49-Waterfall!BF21)))-Debt!BG39)</f>
        <v>35.827659376166</v>
      </c>
      <c r="BG6" s="19" t="n">
        <f aca="false">IF(Time!BH14=0,0,(Debt!BG42+Funding!BG35-Waterfall!BG20)*Debt!BH8*Time!BH9/Inputs!$F$45+(Debt!BG49-Waterfall!BG21)*Inputs!$F$110*Time!BH10/Inputs!$F$46+(Debt!BG93-Waterfall!BG22)*Debt!BH10+IF(Time!BH34=1,0,IF(Time!BH23=1,MIN(Debt!BH91,Debt!BG93-Waterfall!BG22),MIN(Inputs!$F$96*Debt!BH40,Debt!BG42+Funding!BG35-Waterfall!BG20)+MIN(Inputs!$F$97*Debt!BH40,Debt!BG49-Waterfall!BG21)))-Debt!BH39)</f>
        <v>36.1549955143621</v>
      </c>
      <c r="BH6" s="19" t="n">
        <f aca="false">IF(Time!BI14=0,0,(Debt!BH42+Funding!BH35-Waterfall!BH20)*Debt!BI8*Time!BI9/Inputs!$F$45+(Debt!BH49-Waterfall!BH21)*Inputs!$F$110*Time!BI10/Inputs!$F$46+(Debt!BH93-Waterfall!BH22)*Debt!BI10+IF(Time!BI34=1,0,IF(Time!BI23=1,MIN(Debt!BI91,Debt!BH93-Waterfall!BH22),MIN(Inputs!$F$96*Debt!BI40,Debt!BH42+Funding!BH35-Waterfall!BH20)+MIN(Inputs!$F$97*Debt!BI40,Debt!BH49-Waterfall!BH21)))-Debt!BI39)</f>
        <v>37.5865853074074</v>
      </c>
      <c r="BI6" s="19" t="n">
        <f aca="false">IF(Time!BJ14=0,0,(Debt!BI42+Funding!BI35-Waterfall!BI20)*Debt!BJ8*Time!BJ9/Inputs!$F$45+(Debt!BI49-Waterfall!BI21)*Inputs!$F$110*Time!BJ10/Inputs!$F$46+(Debt!BI93-Waterfall!BI22)*Debt!BJ10+IF(Time!BJ34=1,0,IF(Time!BJ23=1,MIN(Debt!BJ91,Debt!BI93-Waterfall!BI22),MIN(Inputs!$F$96*Debt!BJ40,Debt!BI42+Funding!BI35-Waterfall!BI20)+MIN(Inputs!$F$97*Debt!BJ40,Debt!BI49-Waterfall!BI21)))-Debt!BJ39)</f>
        <v>37.7218247100396</v>
      </c>
      <c r="BJ6" s="19" t="n">
        <f aca="false">IF(Time!BK14=0,0,(Debt!BJ42+Funding!BJ35-Waterfall!BJ20)*Debt!BK8*Time!BK9/Inputs!$F$45+(Debt!BJ49-Waterfall!BJ21)*Inputs!$F$110*Time!BK10/Inputs!$F$46+(Debt!BJ93-Waterfall!BJ22)*Debt!BK10+IF(Time!BK34=1,0,IF(Time!BK23=1,MIN(Debt!BK91,Debt!BJ93-Waterfall!BJ22),MIN(Inputs!$F$96*Debt!BK40,Debt!BJ42+Funding!BJ35-Waterfall!BJ20)+MIN(Inputs!$F$97*Debt!BK40,Debt!BJ49-Waterfall!BJ21)))-Debt!BK39)</f>
        <v>39.4331843358165</v>
      </c>
      <c r="BK6" s="19" t="n">
        <f aca="false">IF(Time!BL14=0,0,(Debt!BK42+Funding!BK35-Waterfall!BK20)*Debt!BL8*Time!BL9/Inputs!$F$45+(Debt!BK49-Waterfall!BK21)*Inputs!$F$110*Time!BL10/Inputs!$F$46+(Debt!BK93-Waterfall!BK22)*Debt!BL10+IF(Time!BL34=1,0,IF(Time!BL23=1,MIN(Debt!BL91,Debt!BK93-Waterfall!BK22),MIN(Inputs!$F$96*Debt!BL40,Debt!BK42+Funding!BK35-Waterfall!BK20)+MIN(Inputs!$F$97*Debt!BL40,Debt!BK49-Waterfall!BK21)))-Debt!BL39)</f>
        <v>39.5754471499961</v>
      </c>
      <c r="BL6" s="19" t="n">
        <f aca="false">IF(Time!BM14=0,0,(Debt!BL42+Funding!BL35-Waterfall!BL20)*Debt!BM8*Time!BM9/Inputs!$F$45+(Debt!BL49-Waterfall!BL21)*Inputs!$F$110*Time!BM10/Inputs!$F$46+(Debt!BL93-Waterfall!BL22)*Debt!BM10+IF(Time!BM34=1,0,IF(Time!BM23=1,MIN(Debt!BM91,Debt!BL93-Waterfall!BL22),MIN(Inputs!$F$96*Debt!BM40,Debt!BL42+Funding!BL35-Waterfall!BL20)+MIN(Inputs!$F$97*Debt!BM40,Debt!BL49-Waterfall!BL21)))-Debt!BM39)</f>
        <v>41.3558134666003</v>
      </c>
      <c r="BM6" s="19" t="n">
        <f aca="false">IF(Time!BN14=0,0,(Debt!BM42+Funding!BM35-Waterfall!BM20)*Debt!BN8*Time!BN9/Inputs!$F$45+(Debt!BM49-Waterfall!BM21)*Inputs!$F$110*Time!BN10/Inputs!$F$46+(Debt!BM93-Waterfall!BM22)*Debt!BN10+IF(Time!BN34=1,0,IF(Time!BN23=1,MIN(Debt!BN91,Debt!BM93-Waterfall!BM22),MIN(Inputs!$F$96*Debt!BN40,Debt!BM42+Funding!BM35-Waterfall!BM20)+MIN(Inputs!$F$97*Debt!BN40,Debt!BM49-Waterfall!BM21)))-Debt!BN39)</f>
        <v>41.5042168372112</v>
      </c>
      <c r="BN6" s="19" t="n">
        <f aca="false">IF(Time!BO14=0,0,(Debt!BN42+Funding!BN35-Waterfall!BN20)*Debt!BO8*Time!BO9/Inputs!$F$45+(Debt!BN49-Waterfall!BN21)*Inputs!$F$110*Time!BO10/Inputs!$F$46+(Debt!BN93-Waterfall!BN22)*Debt!BO10+IF(Time!BO34=1,0,IF(Time!BO23=1,MIN(Debt!BO91,Debt!BN93-Waterfall!BN22),MIN(Inputs!$F$96*Debt!BO40,Debt!BN42+Funding!BN35-Waterfall!BN20)+MIN(Inputs!$F$97*Debt!BO40,Debt!BN49-Waterfall!BN21)))-Debt!BO39)</f>
        <v>36.3859277619612</v>
      </c>
      <c r="BO6" s="19" t="n">
        <f aca="false">IF(Time!BP14=0,0,(Debt!BO42+Funding!BO35-Waterfall!BO20)*Debt!BP8*Time!BP9/Inputs!$F$45+(Debt!BO49-Waterfall!BO21)*Inputs!$F$110*Time!BP10/Inputs!$F$46+(Debt!BO93-Waterfall!BO22)*Debt!BP10+IF(Time!BP34=1,0,IF(Time!BP23=1,MIN(Debt!BP91,Debt!BO93-Waterfall!BO22),MIN(Inputs!$F$96*Debt!BP40,Debt!BO42+Funding!BO35-Waterfall!BO20)+MIN(Inputs!$F$97*Debt!BP40,Debt!BO49-Waterfall!BO21)))-Debt!BP39)</f>
        <v>36.782607101421</v>
      </c>
      <c r="BP6" s="19" t="n">
        <f aca="false">IF(Time!BQ14=0,0,(Debt!BP42+Funding!BP35-Waterfall!BP20)*Debt!BQ8*Time!BQ9/Inputs!$F$45+(Debt!BP49-Waterfall!BP21)*Inputs!$F$110*Time!BQ10/Inputs!$F$46+(Debt!BP93-Waterfall!BP22)*Debt!BQ10+IF(Time!BQ34=1,0,IF(Time!BQ23=1,MIN(Debt!BQ91,Debt!BP93-Waterfall!BP22),MIN(Inputs!$F$96*Debt!BQ40,Debt!BP42+Funding!BP35-Waterfall!BP20)+MIN(Inputs!$F$97*Debt!BQ40,Debt!BP49-Waterfall!BP21)))-Debt!BQ39)</f>
        <v>38.4991094572439</v>
      </c>
      <c r="BQ6" s="19" t="n">
        <f aca="false">IF(Time!BR14=0,0,(Debt!BQ42+Funding!BQ35-Waterfall!BQ20)*Debt!BR8*Time!BR9/Inputs!$F$45+(Debt!BQ49-Waterfall!BQ21)*Inputs!$F$110*Time!BR10/Inputs!$F$46+(Debt!BQ93-Waterfall!BQ22)*Debt!BR10+IF(Time!BR34=1,0,IF(Time!BR23=1,MIN(Debt!BR91,Debt!BQ93-Waterfall!BQ22),MIN(Inputs!$F$96*Debt!BR40,Debt!BQ42+Funding!BQ35-Waterfall!BQ20)+MIN(Inputs!$F$97*Debt!BR40,Debt!BQ49-Waterfall!BQ21)))-Debt!BR39)</f>
        <v>38.182372238154</v>
      </c>
      <c r="BR6" s="19" t="n">
        <f aca="false">IF(Time!BS14=0,0,(Debt!BR42+Funding!BR35-Waterfall!BR20)*Debt!BS8*Time!BS9/Inputs!$F$45+(Debt!BR49-Waterfall!BR21)*Inputs!$F$110*Time!BS10/Inputs!$F$46+(Debt!BR93-Waterfall!BR22)*Debt!BS10+IF(Time!BS34=1,0,IF(Time!BS23=1,MIN(Debt!BS91,Debt!BR93-Waterfall!BR22),MIN(Inputs!$F$96*Debt!BS40,Debt!BR42+Funding!BR35-Waterfall!BR20)+MIN(Inputs!$F$97*Debt!BS40,Debt!BR49-Waterfall!BR21)))-Debt!BS39)</f>
        <v>40.1753349166406</v>
      </c>
      <c r="BS6" s="19" t="n">
        <f aca="false">IF(Time!BT14=0,0,(Debt!BS42+Funding!BS35-Waterfall!BS20)*Debt!BT8*Time!BT9/Inputs!$F$45+(Debt!BS49-Waterfall!BS21)*Inputs!$F$110*Time!BT10/Inputs!$F$46+(Debt!BS93-Waterfall!BS22)*Debt!BT10+IF(Time!BT34=1,0,IF(Time!BT23=1,MIN(Debt!BT91,Debt!BS93-Waterfall!BS22),MIN(Inputs!$F$96*Debt!BT40,Debt!BS42+Funding!BS35-Waterfall!BS20)+MIN(Inputs!$F$97*Debt!BT40,Debt!BS49-Waterfall!BS21)))-Debt!BT39)</f>
        <v>39.8478504332762</v>
      </c>
      <c r="BT6" s="19" t="n">
        <f aca="false">IF(Time!BU14=0,0,(Debt!BT42+Funding!BT35-Waterfall!BT20)*Debt!BU8*Time!BU9/Inputs!$F$45+(Debt!BT49-Waterfall!BT21)*Inputs!$F$110*Time!BU10/Inputs!$F$46+(Debt!BT93-Waterfall!BT22)*Debt!BU10+IF(Time!BU34=1,0,IF(Time!BU23=1,MIN(Debt!BU91,Debt!BT93-Waterfall!BT22),MIN(Inputs!$F$96*Debt!BU40,Debt!BT42+Funding!BT35-Waterfall!BT20)+MIN(Inputs!$F$97*Debt!BU40,Debt!BT49-Waterfall!BT21)))-Debt!BU39)</f>
        <v>48.8987871038368</v>
      </c>
      <c r="BU6" s="19" t="n">
        <f aca="false">IF(Time!BV14=0,0,(Debt!BU42+Funding!BU35-Waterfall!BU20)*Debt!BV8*Time!BV9/Inputs!$F$45+(Debt!BU49-Waterfall!BU21)*Inputs!$F$110*Time!BV10/Inputs!$F$46+(Debt!BU93-Waterfall!BU22)*Debt!BV10+IF(Time!BV34=1,0,IF(Time!BV23=1,MIN(Debt!BV91,Debt!BU93-Waterfall!BU22),MIN(Inputs!$F$96*Debt!BV40,Debt!BU42+Funding!BU35-Waterfall!BU20)+MIN(Inputs!$F$97*Debt!BV40,Debt!BU49-Waterfall!BU21)))-Debt!BV39)</f>
        <v>48.5601185394209</v>
      </c>
      <c r="BV6" s="19" t="n">
        <f aca="false">IF(Time!BW14=0,0,(Debt!BV42+Funding!BV35-Waterfall!BV20)*Debt!BW8*Time!BW9/Inputs!$F$45+(Debt!BV49-Waterfall!BV21)*Inputs!$F$110*Time!BW10/Inputs!$F$46+(Debt!BV93-Waterfall!BV22)*Debt!BW10+IF(Time!BW34=1,0,IF(Time!BW23=1,MIN(Debt!BW91,Debt!BV93-Waterfall!BV22),MIN(Inputs!$F$96*Debt!BW40,Debt!BV42+Funding!BV35-Waterfall!BV20)+MIN(Inputs!$F$97*Debt!BW40,Debt!BV49-Waterfall!BV21)))-Debt!BW39)</f>
        <v>50.7000252078501</v>
      </c>
      <c r="BW6" s="19" t="n">
        <f aca="false">IF(Time!BX14=0,0,(Debt!BW42+Funding!BW35-Waterfall!BW20)*Debt!BX8*Time!BX9/Inputs!$F$45+(Debt!BW49-Waterfall!BW21)*Inputs!$F$110*Time!BX10/Inputs!$F$46+(Debt!BW93-Waterfall!BW22)*Debt!BX10+IF(Time!BX34=1,0,IF(Time!BX23=1,MIN(Debt!BX91,Debt!BW93-Waterfall!BW22),MIN(Inputs!$F$96*Debt!BX40,Debt!BW42+Funding!BW35-Waterfall!BW20)+MIN(Inputs!$F$97*Debt!BX40,Debt!BW49-Waterfall!BW21)))-Debt!BX39)</f>
        <v>50.6279568693624</v>
      </c>
      <c r="BX6" s="19" t="n">
        <f aca="false">IF(Time!BY14=0,0,(Debt!BX42+Funding!BX35-Waterfall!BX20)*Debt!BY8*Time!BY9/Inputs!$F$45+(Debt!BX49-Waterfall!BX21)*Inputs!$F$110*Time!BY10/Inputs!$F$46+(Debt!BX93-Waterfall!BX22)*Debt!BY10+IF(Time!BY34=1,0,IF(Time!BY23=1,MIN(Debt!BY91,Debt!BX93-Waterfall!BX22),MIN(Inputs!$F$96*Debt!BY40,Debt!BX42+Funding!BX35-Waterfall!BX20)+MIN(Inputs!$F$97*Debt!BY40,Debt!BX49-Waterfall!BX21)))-Debt!BY39)</f>
        <v>52.5658535391762</v>
      </c>
      <c r="BY6" s="19" t="n">
        <f aca="false">IF(Time!BZ14=0,0,(Debt!BY42+Funding!BY35-Waterfall!BY20)*Debt!BZ8*Time!BZ9/Inputs!$F$45+(Debt!BY49-Waterfall!BY21)*Inputs!$F$110*Time!BZ10/Inputs!$F$46+(Debt!BY93-Waterfall!BY22)*Debt!BZ10+IF(Time!BZ34=1,0,IF(Time!BZ23=1,MIN(Debt!BZ91,Debt!BY93-Waterfall!BY22),MIN(Inputs!$F$96*Debt!BZ40,Debt!BY42+Funding!BY35-Waterfall!BY20)+MIN(Inputs!$F$97*Debt!BZ40,Debt!BY49-Waterfall!BY21)))-Debt!BZ39)</f>
        <v>52.2034649826372</v>
      </c>
      <c r="BZ6" s="19" t="n">
        <f aca="false">IF(Time!CA14=0,0,(Debt!BZ42+Funding!BZ35-Waterfall!BZ20)*Debt!CA8*Time!CA9/Inputs!$F$45+(Debt!BZ49-Waterfall!BZ21)*Inputs!$F$110*Time!CA10/Inputs!$F$46+(Debt!BZ93-Waterfall!BZ22)*Debt!CA10+IF(Time!CA34=1,0,IF(Time!CA23=1,MIN(Debt!CA91,Debt!BZ93-Waterfall!BZ22),MIN(Inputs!$F$96*Debt!CA40,Debt!BZ42+Funding!BZ35-Waterfall!BZ20)+MIN(Inputs!$F$97*Debt!CA40,Debt!BZ49-Waterfall!BZ21)))-Debt!CA39)</f>
        <v>49.9877511628354</v>
      </c>
      <c r="CA6" s="19" t="n">
        <f aca="false">IF(Time!CB14=0,0,(Debt!CA42+Funding!CA35-Waterfall!CA20)*Debt!CB8*Time!CB9/Inputs!$F$45+(Debt!CA49-Waterfall!CA21)*Inputs!$F$110*Time!CB10/Inputs!$F$46+(Debt!CA93-Waterfall!CA22)*Debt!CB10+IF(Time!CB34=1,0,IF(Time!CB23=1,MIN(Debt!CB91,Debt!CA93-Waterfall!CA22),MIN(Inputs!$F$96*Debt!CB40,Debt!CA42+Funding!CA35-Waterfall!CA20)+MIN(Inputs!$F$97*Debt!CB40,Debt!CA49-Waterfall!CA21)))-Debt!CB39)</f>
        <v>49.6128055244397</v>
      </c>
      <c r="CB6" s="19" t="n">
        <f aca="false">IF(Time!CC14=0,0,(Debt!CB42+Funding!CB35-Waterfall!CB20)*Debt!CC8*Time!CC9/Inputs!$F$45+(Debt!CB49-Waterfall!CB21)*Inputs!$F$110*Time!CC10/Inputs!$F$46+(Debt!CB93-Waterfall!CB22)*Debt!CC10+IF(Time!CC34=1,0,IF(Time!CC23=1,MIN(Debt!CC91,Debt!CB93-Waterfall!CB22),MIN(Inputs!$F$96*Debt!CC40,Debt!CB42+Funding!CB35-Waterfall!CB20)+MIN(Inputs!$F$97*Debt!CC40,Debt!CB49-Waterfall!CB21)))-Debt!CC39)</f>
        <v>51.9870481968132</v>
      </c>
      <c r="CC6" s="19" t="n">
        <f aca="false">IF(Time!CD14=0,0,(Debt!CC42+Funding!CC35-Waterfall!CC20)*Debt!CD8*Time!CD9/Inputs!$F$45+(Debt!CC49-Waterfall!CC21)*Inputs!$F$110*Time!CD10/Inputs!$F$46+(Debt!CC93-Waterfall!CC22)*Debt!CD10+IF(Time!CD34=1,0,IF(Time!CD23=1,MIN(Debt!CD91,Debt!CC93-Waterfall!CC22),MIN(Inputs!$F$96*Debt!CD40,Debt!CC42+Funding!CC35-Waterfall!CC20)+MIN(Inputs!$F$97*Debt!CD40,Debt!CC49-Waterfall!CC21)))-Debt!CD39)</f>
        <v>51.5990663118775</v>
      </c>
      <c r="CD6" s="19" t="n">
        <f aca="false">IF(Time!CE14=0,0,(Debt!CD42+Funding!CD35-Waterfall!CD20)*Debt!CE8*Time!CE9/Inputs!$F$45+(Debt!CD49-Waterfall!CD21)*Inputs!$F$110*Time!CE10/Inputs!$F$46+(Debt!CD93-Waterfall!CD22)*Debt!CE10+IF(Time!CE34=1,0,IF(Time!CE23=1,MIN(Debt!CE91,Debt!CD93-Waterfall!CD22),MIN(Inputs!$F$96*Debt!CE40,Debt!CD42+Funding!CD35-Waterfall!CD20)+MIN(Inputs!$F$97*Debt!CE40,Debt!CD49-Waterfall!CD21)))-Debt!CE39)</f>
        <v>51.8718123417449</v>
      </c>
      <c r="CE6" s="19" t="n">
        <f aca="false">IF(Time!CF14=0,0,(Debt!CE42+Funding!CE35-Waterfall!CE20)*Debt!CF8*Time!CF9/Inputs!$F$45+(Debt!CE49-Waterfall!CE21)*Inputs!$F$110*Time!CF10/Inputs!$F$46+(Debt!CE93-Waterfall!CE22)*Debt!CF10+IF(Time!CF34=1,0,IF(Time!CF23=1,MIN(Debt!CF91,Debt!CE93-Waterfall!CE22),MIN(Inputs!$F$96*Debt!CF40,Debt!CE42+Funding!CE35-Waterfall!CE20)+MIN(Inputs!$F$97*Debt!CF40,Debt!CE49-Waterfall!CE21)))-Debt!CF39)</f>
        <v>45.5693846585805</v>
      </c>
      <c r="CF6" s="19" t="n">
        <f aca="false">IF(Time!CG14=0,0,(Debt!CF42+Funding!CF35-Waterfall!CF20)*Debt!CG8*Time!CG9/Inputs!$F$45+(Debt!CF49-Waterfall!CF21)*Inputs!$F$110*Time!CG10/Inputs!$F$46+(Debt!CF93-Waterfall!CF22)*Debt!CG10+IF(Time!CG34=1,0,IF(Time!CG23=1,MIN(Debt!CG91,Debt!CF93-Waterfall!CF22),MIN(Inputs!$F$96*Debt!CG40,Debt!CF42+Funding!CF35-Waterfall!CF20)+MIN(Inputs!$F$97*Debt!CG40,Debt!CF49-Waterfall!CF21)))-Debt!CG39)</f>
        <v>48.55299127962</v>
      </c>
      <c r="CG6" s="19" t="n">
        <f aca="false">IF(Time!CH14=0,0,(Debt!CG42+Funding!CG35-Waterfall!CG20)*Debt!CH8*Time!CH9/Inputs!$F$45+(Debt!CG49-Waterfall!CG21)*Inputs!$F$110*Time!CH10/Inputs!$F$46+(Debt!CG93-Waterfall!CG22)*Debt!CH10+IF(Time!CH34=1,0,IF(Time!CH23=1,MIN(Debt!CH91,Debt!CG93-Waterfall!CG22),MIN(Inputs!$F$96*Debt!CH40,Debt!CG42+Funding!CG35-Waterfall!CG20)+MIN(Inputs!$F$97*Debt!CH40,Debt!CG49-Waterfall!CG21)))-Debt!CH39)</f>
        <v>5.51181991980927E-014</v>
      </c>
      <c r="CH6" s="19" t="n">
        <f aca="false">IF(Time!CI14=0,0,(Debt!CH42+Funding!CH35-Waterfall!CH20)*Debt!CI8*Time!CI9/Inputs!$F$45+(Debt!CH49-Waterfall!CH21)*Inputs!$F$110*Time!CI10/Inputs!$F$46+(Debt!CH93-Waterfall!CH22)*Debt!CI10+IF(Time!CI34=1,0,IF(Time!CI23=1,MIN(Debt!CI91,Debt!CH93-Waterfall!CH22),MIN(Inputs!$F$96*Debt!CI40,Debt!CH42+Funding!CH35-Waterfall!CH20)+MIN(Inputs!$F$97*Debt!CI40,Debt!CH49-Waterfall!CH21)))-Debt!CI39)</f>
        <v>5.55648191080975E-014</v>
      </c>
      <c r="CI6" s="19" t="n">
        <f aca="false">IF(Time!CJ14=0,0,(Debt!CI42+Funding!CI35-Waterfall!CI20)*Debt!CJ8*Time!CJ9/Inputs!$F$45+(Debt!CI49-Waterfall!CI21)*Inputs!$F$110*Time!CJ10/Inputs!$F$46+(Debt!CI93-Waterfall!CI22)*Debt!CJ10+IF(Time!CJ34=1,0,IF(Time!CJ23=1,MIN(Debt!CJ91,Debt!CI93-Waterfall!CI22),MIN(Inputs!$F$96*Debt!CJ40,Debt!CI42+Funding!CI35-Waterfall!CI20)+MIN(Inputs!$F$97*Debt!CJ40,Debt!CI49-Waterfall!CI21)))-Debt!CJ39)</f>
        <v>5.51181991980927E-014</v>
      </c>
      <c r="CJ6" s="19" t="n">
        <f aca="false">IF(Time!CK14=0,0,(Debt!CJ42+Funding!CJ35-Waterfall!CJ20)*Debt!CK8*Time!CK9/Inputs!$F$45+(Debt!CJ49-Waterfall!CJ21)*Inputs!$F$110*Time!CK10/Inputs!$F$46+(Debt!CJ93-Waterfall!CJ22)*Debt!CK10+IF(Time!CK34=1,0,IF(Time!CK23=1,MIN(Debt!CK91,Debt!CJ93-Waterfall!CJ22),MIN(Inputs!$F$96*Debt!CK40,Debt!CJ42+Funding!CJ35-Waterfall!CJ20)+MIN(Inputs!$F$97*Debt!CK40,Debt!CJ49-Waterfall!CJ21)))-Debt!CK39)</f>
        <v>5.55648191080975E-014</v>
      </c>
      <c r="CK6" s="19" t="n">
        <f aca="false">IF(Time!CL14=0,0,(Debt!CK42+Funding!CK35-Waterfall!CK20)*Debt!CL8*Time!CL9/Inputs!$F$45+(Debt!CK49-Waterfall!CK21)*Inputs!$F$110*Time!CL10/Inputs!$F$46+(Debt!CK93-Waterfall!CK22)*Debt!CL10+IF(Time!CL34=1,0,IF(Time!CL23=1,MIN(Debt!CL91,Debt!CK93-Waterfall!CK22),MIN(Inputs!$F$96*Debt!CL40,Debt!CK42+Funding!CK35-Waterfall!CK20)+MIN(Inputs!$F$97*Debt!CL40,Debt!CK49-Waterfall!CK21)))-Debt!CL39)</f>
        <v>5.51181991980927E-014</v>
      </c>
      <c r="CL6" s="19" t="n">
        <f aca="false">IF(Time!CM14=0,0,(Debt!CL42+Funding!CL35-Waterfall!CL20)*Debt!CM8*Time!CM9/Inputs!$F$45+(Debt!CL49-Waterfall!CL21)*Inputs!$F$110*Time!CM10/Inputs!$F$46+(Debt!CL93-Waterfall!CL22)*Debt!CM10+IF(Time!CM34=1,0,IF(Time!CM23=1,MIN(Debt!CM91,Debt!CL93-Waterfall!CL22),MIN(Inputs!$F$96*Debt!CM40,Debt!CL42+Funding!CL35-Waterfall!CL20)+MIN(Inputs!$F$97*Debt!CM40,Debt!CL49-Waterfall!CL21)))-Debt!CM39)</f>
        <v>5.55648191080975E-014</v>
      </c>
      <c r="CM6" s="19" t="n">
        <f aca="false">IF(Time!CN14=0,0,(Debt!CM42+Funding!CM35-Waterfall!CM20)*Debt!CN8*Time!CN9/Inputs!$F$45+(Debt!CM49-Waterfall!CM21)*Inputs!$F$110*Time!CN10/Inputs!$F$46+(Debt!CM93-Waterfall!CM22)*Debt!CN10+IF(Time!CN34=1,0,IF(Time!CN23=1,MIN(Debt!CN91,Debt!CM93-Waterfall!CM22),MIN(Inputs!$F$96*Debt!CN40,Debt!CM42+Funding!CM35-Waterfall!CM20)+MIN(Inputs!$F$97*Debt!CN40,Debt!CM49-Waterfall!CM21)))-Debt!CN39)</f>
        <v>5.52670725014276E-014</v>
      </c>
      <c r="CN6" s="19" t="n">
        <f aca="false">IF(Time!CO14=0,0,(Debt!CN42+Funding!CN35-Waterfall!CN20)*Debt!CO8*Time!CO9/Inputs!$F$45+(Debt!CN49-Waterfall!CN21)*Inputs!$F$110*Time!CO10/Inputs!$F$46+(Debt!CN93-Waterfall!CN22)*Debt!CO10+IF(Time!CO34=1,0,IF(Time!CO23=1,MIN(Debt!CO91,Debt!CN93-Waterfall!CN22),MIN(Inputs!$F$96*Debt!CO40,Debt!CN42+Funding!CN35-Waterfall!CN20)+MIN(Inputs!$F$97*Debt!CO40,Debt!CN49-Waterfall!CN21)))-Debt!CO39)</f>
        <v>5.55648191080975E-014</v>
      </c>
      <c r="CO6" s="19" t="n">
        <f aca="false">IF(Time!CP14=0,0,(Debt!CO42+Funding!CO35-Waterfall!CO20)*Debt!CP8*Time!CP9/Inputs!$F$45+(Debt!CO49-Waterfall!CO21)*Inputs!$F$110*Time!CP10/Inputs!$F$46+(Debt!CO93-Waterfall!CO22)*Debt!CP10+IF(Time!CP34=1,0,IF(Time!CP23=1,MIN(Debt!CP91,Debt!CO93-Waterfall!CO22),MIN(Inputs!$F$96*Debt!CP40,Debt!CO42+Funding!CO35-Waterfall!CO20)+MIN(Inputs!$F$97*Debt!CP40,Debt!CO49-Waterfall!CO21)))-Debt!CP39)</f>
        <v>5.51181991980927E-014</v>
      </c>
      <c r="CP6" s="19" t="n">
        <f aca="false">IF(Time!CQ14=0,0,(Debt!CP42+Funding!CP35-Waterfall!CP20)*Debt!CQ8*Time!CQ9/Inputs!$F$45+(Debt!CP49-Waterfall!CP21)*Inputs!$F$110*Time!CQ10/Inputs!$F$46+(Debt!CP93-Waterfall!CP22)*Debt!CQ10+IF(Time!CQ34=1,0,IF(Time!CQ23=1,MIN(Debt!CQ91,Debt!CP93-Waterfall!CP22),MIN(Inputs!$F$96*Debt!CQ40,Debt!CP42+Funding!CP35-Waterfall!CP20)+MIN(Inputs!$F$97*Debt!CQ40,Debt!CP49-Waterfall!CP21)))-Debt!CQ39)</f>
        <v>5.55648191080975E-014</v>
      </c>
      <c r="CQ6" s="19" t="n">
        <f aca="false">IF(Time!CR14=0,0,(Debt!CQ42+Funding!CQ35-Waterfall!CQ20)*Debt!CR8*Time!CR9/Inputs!$F$45+(Debt!CQ49-Waterfall!CQ21)*Inputs!$F$110*Time!CR10/Inputs!$F$46+(Debt!CQ93-Waterfall!CQ22)*Debt!CR10+IF(Time!CR34=1,0,IF(Time!CR23=1,MIN(Debt!CR91,Debt!CQ93-Waterfall!CQ22),MIN(Inputs!$F$96*Debt!CR40,Debt!CQ42+Funding!CQ35-Waterfall!CQ20)+MIN(Inputs!$F$97*Debt!CR40,Debt!CQ49-Waterfall!CQ21)))-Debt!CR39)</f>
        <v>5.51181991980927E-014</v>
      </c>
      <c r="CR6" s="19" t="n">
        <f aca="false">IF(Time!CS14=0,0,(Debt!CR42+Funding!CR35-Waterfall!CR20)*Debt!CS8*Time!CS9/Inputs!$F$45+(Debt!CR49-Waterfall!CR21)*Inputs!$F$110*Time!CS10/Inputs!$F$46+(Debt!CR93-Waterfall!CR22)*Debt!CS10+IF(Time!CS34=1,0,IF(Time!CS23=1,MIN(Debt!CS91,Debt!CR93-Waterfall!CR22),MIN(Inputs!$F$96*Debt!CS40,Debt!CR42+Funding!CR35-Waterfall!CR20)+MIN(Inputs!$F$97*Debt!CS40,Debt!CR49-Waterfall!CR21)))-Debt!CS39)</f>
        <v>5.55648191080975E-014</v>
      </c>
      <c r="CS6" s="19" t="n">
        <f aca="false">IF(Time!CT14=0,0,(Debt!CS42+Funding!CS35-Waterfall!CS20)*Debt!CT8*Time!CT9/Inputs!$F$45+(Debt!CS49-Waterfall!CS21)*Inputs!$F$110*Time!CT10/Inputs!$F$46+(Debt!CS93-Waterfall!CS22)*Debt!CT10+IF(Time!CT34=1,0,IF(Time!CT23=1,MIN(Debt!CT91,Debt!CS93-Waterfall!CS22),MIN(Inputs!$F$96*Debt!CT40,Debt!CS42+Funding!CS35-Waterfall!CS20)+MIN(Inputs!$F$97*Debt!CT40,Debt!CS49-Waterfall!CS21)))-Debt!CT39)</f>
        <v>5.51181991980927E-014</v>
      </c>
      <c r="CT6" s="19" t="n">
        <f aca="false">IF(Time!CU14=0,0,(Debt!CT42+Funding!CT35-Waterfall!CT20)*Debt!CU8*Time!CU9/Inputs!$F$45+(Debt!CT49-Waterfall!CT21)*Inputs!$F$110*Time!CU10/Inputs!$F$46+(Debt!CT93-Waterfall!CT22)*Debt!CU10+IF(Time!CU34=1,0,IF(Time!CU23=1,MIN(Debt!CU91,Debt!CT93-Waterfall!CT22),MIN(Inputs!$F$96*Debt!CU40,Debt!CT42+Funding!CT35-Waterfall!CT20)+MIN(Inputs!$F$97*Debt!CU40,Debt!CT49-Waterfall!CT21)))-Debt!CU39)</f>
        <v>5.55648191080975E-014</v>
      </c>
      <c r="CU6" s="19" t="n">
        <f aca="false">IF(Time!CV14=0,0,(Debt!CU42+Funding!CU35-Waterfall!CU20)*Debt!CV8*Time!CV9/Inputs!$F$45+(Debt!CU49-Waterfall!CU21)*Inputs!$F$110*Time!CV10/Inputs!$F$46+(Debt!CU93-Waterfall!CU22)*Debt!CV10+IF(Time!CV34=1,0,IF(Time!CV23=1,MIN(Debt!CV91,Debt!CU93-Waterfall!CU22),MIN(Inputs!$F$96*Debt!CV40,Debt!CU42+Funding!CU35-Waterfall!CU20)+MIN(Inputs!$F$97*Debt!CV40,Debt!CU49-Waterfall!CU21)))-Debt!CV39)</f>
        <v>5.52670725014276E-014</v>
      </c>
      <c r="CV6" s="19" t="n">
        <f aca="false">IF(Time!CW14=0,0,(Debt!CV42+Funding!CV35-Waterfall!CV20)*Debt!CW8*Time!CW9/Inputs!$F$45+(Debt!CV49-Waterfall!CV21)*Inputs!$F$110*Time!CW10/Inputs!$F$46+(Debt!CV93-Waterfall!CV22)*Debt!CW10+IF(Time!CW34=1,0,IF(Time!CW23=1,MIN(Debt!CW91,Debt!CV93-Waterfall!CV22),MIN(Inputs!$F$96*Debt!CW40,Debt!CV42+Funding!CV35-Waterfall!CV20)+MIN(Inputs!$F$97*Debt!CW40,Debt!CV49-Waterfall!CV21)))-Debt!CW39)</f>
        <v>5.55648191080975E-014</v>
      </c>
      <c r="CW6" s="19" t="n">
        <f aca="false">IF(Time!CX14=0,0,(Debt!CW42+Funding!CW35-Waterfall!CW20)*Debt!CX8*Time!CX9/Inputs!$F$45+(Debt!CW49-Waterfall!CW21)*Inputs!$F$110*Time!CX10/Inputs!$F$46+(Debt!CW93-Waterfall!CW22)*Debt!CX10+IF(Time!CX34=1,0,IF(Time!CX23=1,MIN(Debt!CX91,Debt!CW93-Waterfall!CW22),MIN(Inputs!$F$96*Debt!CX40,Debt!CW42+Funding!CW35-Waterfall!CW20)+MIN(Inputs!$F$97*Debt!CX40,Debt!CW49-Waterfall!CW21)))-Debt!CX39)</f>
        <v>5.51181991980927E-014</v>
      </c>
      <c r="CX6" s="19" t="n">
        <f aca="false">IF(Time!CY14=0,0,(Debt!CX42+Funding!CX35-Waterfall!CX20)*Debt!CY8*Time!CY9/Inputs!$F$45+(Debt!CX49-Waterfall!CX21)*Inputs!$F$110*Time!CY10/Inputs!$F$46+(Debt!CX93-Waterfall!CX22)*Debt!CY10+IF(Time!CY34=1,0,IF(Time!CY23=1,MIN(Debt!CY91,Debt!CX93-Waterfall!CX22),MIN(Inputs!$F$96*Debt!CY40,Debt!CX42+Funding!CX35-Waterfall!CX20)+MIN(Inputs!$F$97*Debt!CY40,Debt!CX49-Waterfall!CX21)))-Debt!CY39)</f>
        <v>5.55648191080975E-014</v>
      </c>
      <c r="CY6" s="19" t="n">
        <f aca="false">IF(Time!CZ14=0,0,(Debt!CY42+Funding!CY35-Waterfall!CY20)*Debt!CZ8*Time!CZ9/Inputs!$F$45+(Debt!CY49-Waterfall!CY21)*Inputs!$F$110*Time!CZ10/Inputs!$F$46+(Debt!CY93-Waterfall!CY22)*Debt!CZ10+IF(Time!CZ34=1,0,IF(Time!CZ23=1,MIN(Debt!CZ91,Debt!CY93-Waterfall!CY22),MIN(Inputs!$F$96*Debt!CZ40,Debt!CY42+Funding!CY35-Waterfall!CY20)+MIN(Inputs!$F$97*Debt!CZ40,Debt!CY49-Waterfall!CY21)))-Debt!CZ39)</f>
        <v>5.51181991980927E-014</v>
      </c>
      <c r="CZ6" s="19" t="n">
        <f aca="false">IF(Time!DA14=0,0,(Debt!CZ42+Funding!CZ35-Waterfall!CZ20)*Debt!DA8*Time!DA9/Inputs!$F$45+(Debt!CZ49-Waterfall!CZ21)*Inputs!$F$110*Time!DA10/Inputs!$F$46+(Debt!CZ93-Waterfall!CZ22)*Debt!DA10+IF(Time!DA34=1,0,IF(Time!DA23=1,MIN(Debt!DA91,Debt!CZ93-Waterfall!CZ22),MIN(Inputs!$F$96*Debt!DA40,Debt!CZ42+Funding!CZ35-Waterfall!CZ20)+MIN(Inputs!$F$97*Debt!DA40,Debt!CZ49-Waterfall!CZ21)))-Debt!DA39)</f>
        <v>5.55648191080975E-014</v>
      </c>
      <c r="DA6" s="19" t="n">
        <f aca="false">IF(Time!DB14=0,0,(Debt!DA42+Funding!DA35-Waterfall!DA20)*Debt!DB8*Time!DB9/Inputs!$F$45+(Debt!DA49-Waterfall!DA21)*Inputs!$F$110*Time!DB10/Inputs!$F$46+(Debt!DA93-Waterfall!DA22)*Debt!DB10+IF(Time!DB34=1,0,IF(Time!DB23=1,MIN(Debt!DB91,Debt!DA93-Waterfall!DA22),MIN(Inputs!$F$96*Debt!DB40,Debt!DA42+Funding!DA35-Waterfall!DA20)+MIN(Inputs!$F$97*Debt!DB40,Debt!DA49-Waterfall!DA21)))-Debt!DB39)</f>
        <v>5.51181991980927E-014</v>
      </c>
      <c r="DB6" s="19" t="n">
        <f aca="false">IF(Time!DC14=0,0,(Debt!DB42+Funding!DB35-Waterfall!DB20)*Debt!DC8*Time!DC9/Inputs!$F$45+(Debt!DB49-Waterfall!DB21)*Inputs!$F$110*Time!DC10/Inputs!$F$46+(Debt!DB93-Waterfall!DB22)*Debt!DC10+IF(Time!DC34=1,0,IF(Time!DC23=1,MIN(Debt!DC91,Debt!DB93-Waterfall!DB22),MIN(Inputs!$F$96*Debt!DC40,Debt!DB42+Funding!DB35-Waterfall!DB20)+MIN(Inputs!$F$97*Debt!DC40,Debt!DB49-Waterfall!DB21)))-Debt!DC39)</f>
        <v>0</v>
      </c>
    </row>
    <row r="7" customFormat="false" ht="15" hidden="false" customHeight="false" outlineLevel="0" collapsed="false">
      <c r="D7" s="0" t="s">
        <v>576</v>
      </c>
      <c r="E7" s="0" t="s">
        <v>44</v>
      </c>
      <c r="J7" s="19" t="n">
        <f aca="false">IF(Time!J20=1,IF(Time!J8=Inputs!$F$15,J6*Inputs!$F$115/Time!K14,0),IF(Time!J35=1,0,IF(Time!K14=0,0,J6*Inputs!$F$115/Time!K14)))</f>
        <v>0</v>
      </c>
      <c r="K7" s="19" t="n">
        <f aca="false">IF(Time!K20=1,IF(Time!K8=Inputs!$F$15,K6*Inputs!$F$115/Time!L14,0),IF(Time!K35=1,0,IF(Time!L14=0,0,K6*Inputs!$F$115/Time!L14)))</f>
        <v>0</v>
      </c>
      <c r="L7" s="19" t="n">
        <f aca="false">IF(Time!L20=1,IF(Time!L8=Inputs!$F$15,L6*Inputs!$F$115/Time!M14,0),IF(Time!L35=1,0,IF(Time!M14=0,0,L6*Inputs!$F$115/Time!M14)))</f>
        <v>0</v>
      </c>
      <c r="M7" s="19" t="n">
        <f aca="false">IF(Time!M20=1,IF(Time!M8=Inputs!$F$15,M6*Inputs!$F$115/Time!N14,0),IF(Time!M35=1,0,IF(Time!N14=0,0,M6*Inputs!$F$115/Time!N14)))</f>
        <v>0</v>
      </c>
      <c r="N7" s="19" t="n">
        <f aca="false">IF(Time!N20=1,IF(Time!N8=Inputs!$F$15,N6*Inputs!$F$115/Time!O14,0),IF(Time!N35=1,0,IF(Time!O14=0,0,N6*Inputs!$F$115/Time!O14)))</f>
        <v>0</v>
      </c>
      <c r="O7" s="19" t="n">
        <f aca="false">IF(Time!O20=1,IF(Time!O8=Inputs!$F$15,O6*Inputs!$F$115/Time!P14,0),IF(Time!O35=1,0,IF(Time!P14=0,0,O6*Inputs!$F$115/Time!P14)))</f>
        <v>0</v>
      </c>
      <c r="P7" s="19" t="n">
        <f aca="false">IF(Time!P20=1,IF(Time!P8=Inputs!$F$15,P6*Inputs!$F$115/Time!Q14,0),IF(Time!P35=1,0,IF(Time!Q14=0,0,P6*Inputs!$F$115/Time!Q14)))</f>
        <v>0</v>
      </c>
      <c r="Q7" s="19" t="n">
        <f aca="false">IF(Time!Q20=1,IF(Time!Q8=Inputs!$F$15,Q6*Inputs!$F$115/Time!R14,0),IF(Time!Q35=1,0,IF(Time!R14=0,0,Q6*Inputs!$F$115/Time!R14)))</f>
        <v>0</v>
      </c>
      <c r="R7" s="19" t="n">
        <f aca="false">IF(Time!R20=1,IF(Time!R8=Inputs!$F$15,R6*Inputs!$F$115/Time!S14,0),IF(Time!R35=1,0,IF(Time!S14=0,0,R6*Inputs!$F$115/Time!S14)))</f>
        <v>0</v>
      </c>
      <c r="S7" s="19" t="n">
        <f aca="false">IF(Time!S20=1,IF(Time!S8=Inputs!$F$15,S6*Inputs!$F$115/Time!T14,0),IF(Time!S35=1,0,IF(Time!T14=0,0,S6*Inputs!$F$115/Time!T14)))</f>
        <v>0</v>
      </c>
      <c r="T7" s="19" t="n">
        <f aca="false">IF(Time!T20=1,IF(Time!T8=Inputs!$F$15,T6*Inputs!$F$115/Time!U14,0),IF(Time!T35=1,0,IF(Time!U14=0,0,T6*Inputs!$F$115/Time!U14)))</f>
        <v>0</v>
      </c>
      <c r="U7" s="19" t="n">
        <f aca="false">IF(Time!U20=1,IF(Time!U8=Inputs!$F$15,U6*Inputs!$F$115/Time!V14,0),IF(Time!U35=1,0,IF(Time!V14=0,0,U6*Inputs!$F$115/Time!V14)))</f>
        <v>0</v>
      </c>
      <c r="V7" s="19" t="n">
        <f aca="false">IF(Time!V20=1,IF(Time!V8=Inputs!$F$15,V6*Inputs!$F$115/Time!W14,0),IF(Time!V35=1,0,IF(Time!W14=0,0,V6*Inputs!$F$115/Time!W14)))</f>
        <v>0</v>
      </c>
      <c r="W7" s="19" t="n">
        <f aca="false">IF(Time!W20=1,IF(Time!W8=Inputs!$F$15,W6*Inputs!$F$115/Time!X14,0),IF(Time!W35=1,0,IF(Time!X14=0,0,W6*Inputs!$F$115/Time!X14)))</f>
        <v>0</v>
      </c>
      <c r="X7" s="19" t="n">
        <f aca="false">IF(Time!X20=1,IF(Time!X8=Inputs!$F$15,X6*Inputs!$F$115/Time!Y14,0),IF(Time!X35=1,0,IF(Time!Y14=0,0,X6*Inputs!$F$115/Time!Y14)))</f>
        <v>0</v>
      </c>
      <c r="Y7" s="19" t="n">
        <f aca="false">IF(Time!Y20=1,IF(Time!Y8=Inputs!$F$15,Y6*Inputs!$F$115/Time!Z14,0),IF(Time!Y35=1,0,IF(Time!Z14=0,0,Y6*Inputs!$F$115/Time!Z14)))</f>
        <v>13.887642147287</v>
      </c>
      <c r="Z7" s="19" t="n">
        <f aca="false">IF(Time!Z20=1,IF(Time!Z8=Inputs!$F$15,Z6*Inputs!$F$115/Time!AA14,0),IF(Time!Z35=1,0,IF(Time!AA14=0,0,Z6*Inputs!$F$115/Time!AA14)))</f>
        <v>15.366639768263</v>
      </c>
      <c r="AA7" s="19" t="n">
        <f aca="false">IF(Time!AA20=1,IF(Time!AA8=Inputs!$F$15,AA6*Inputs!$F$115/Time!AB14,0),IF(Time!AA35=1,0,IF(Time!AB14=0,0,AA6*Inputs!$F$115/Time!AB14)))</f>
        <v>19.3030365072743</v>
      </c>
      <c r="AB7" s="19" t="n">
        <f aca="false">IF(Time!AB20=1,IF(Time!AB8=Inputs!$F$15,AB6*Inputs!$F$115/Time!AC14,0),IF(Time!AB35=1,0,IF(Time!AC14=0,0,AB6*Inputs!$F$115/Time!AC14)))</f>
        <v>20.57459323591</v>
      </c>
      <c r="AC7" s="19" t="n">
        <f aca="false">IF(Time!AC20=1,IF(Time!AC8=Inputs!$F$15,AC6*Inputs!$F$115/Time!AD14,0),IF(Time!AC35=1,0,IF(Time!AD14=0,0,AC6*Inputs!$F$115/Time!AD14)))</f>
        <v>23.7337665751819</v>
      </c>
      <c r="AD7" s="19" t="n">
        <f aca="false">IF(Time!AD20=1,IF(Time!AD8=Inputs!$F$15,AD6*Inputs!$F$115/Time!AE14,0),IF(Time!AD35=1,0,IF(Time!AE14=0,0,AD6*Inputs!$F$115/Time!AE14)))</f>
        <v>23.9321371074356</v>
      </c>
      <c r="AE7" s="19" t="n">
        <f aca="false">IF(Time!AE20=1,IF(Time!AE8=Inputs!$F$15,AE6*Inputs!$F$115/Time!AF14,0),IF(Time!AE35=1,0,IF(Time!AF14=0,0,AE6*Inputs!$F$115/Time!AF14)))</f>
        <v>23.6043472038103</v>
      </c>
      <c r="AF7" s="19" t="n">
        <f aca="false">IF(Time!AF20=1,IF(Time!AF8=Inputs!$F$15,AF6*Inputs!$F$115/Time!AG14,0),IF(Time!AF35=1,0,IF(Time!AG14=0,0,AF6*Inputs!$F$115/Time!AG14)))</f>
        <v>23.2317499211891</v>
      </c>
      <c r="AG7" s="19" t="n">
        <f aca="false">IF(Time!AG20=1,IF(Time!AG8=Inputs!$F$15,AG6*Inputs!$F$115/Time!AH14,0),IF(Time!AG35=1,0,IF(Time!AH14=0,0,AG6*Inputs!$F$115/Time!AH14)))</f>
        <v>23.0447987452329</v>
      </c>
      <c r="AH7" s="19" t="n">
        <f aca="false">IF(Time!AH20=1,IF(Time!AH8=Inputs!$F$15,AH6*Inputs!$F$115/Time!AI14,0),IF(Time!AH35=1,0,IF(Time!AI14=0,0,AH6*Inputs!$F$115/Time!AI14)))</f>
        <v>23.2317499211891</v>
      </c>
      <c r="AI7" s="19" t="n">
        <f aca="false">IF(Time!AI20=1,IF(Time!AI8=Inputs!$F$15,AI6*Inputs!$F$115/Time!AJ14,0),IF(Time!AI35=1,0,IF(Time!AJ14=0,0,AI6*Inputs!$F$115/Time!AJ14)))</f>
        <v>23.107115803885</v>
      </c>
      <c r="AJ7" s="19" t="n">
        <f aca="false">IF(Time!AJ20=1,IF(Time!AJ8=Inputs!$F$15,AJ6*Inputs!$F$115/Time!AK14,0),IF(Time!AJ35=1,0,IF(Time!AK14=0,0,AJ6*Inputs!$F$115/Time!AK14)))</f>
        <v>23.2317499211891</v>
      </c>
      <c r="AK7" s="19" t="n">
        <f aca="false">IF(Time!AK20=1,IF(Time!AK8=Inputs!$F$15,AK6*Inputs!$F$115/Time!AL14,0),IF(Time!AK35=1,0,IF(Time!AL14=0,0,AK6*Inputs!$F$115/Time!AL14)))</f>
        <v>23.0447987452329</v>
      </c>
      <c r="AL7" s="19" t="n">
        <f aca="false">IF(Time!AL20=1,IF(Time!AL8=Inputs!$F$15,AL6*Inputs!$F$115/Time!AM14,0),IF(Time!AL35=1,0,IF(Time!AM14=0,0,AL6*Inputs!$F$115/Time!AM14)))</f>
        <v>23.2317499211891</v>
      </c>
      <c r="AM7" s="19" t="n">
        <f aca="false">IF(Time!AM20=1,IF(Time!AM8=Inputs!$F$15,AM6*Inputs!$F$115/Time!AN14,0),IF(Time!AM35=1,0,IF(Time!AN14=0,0,AM6*Inputs!$F$115/Time!AN14)))</f>
        <v>23.0447987452329</v>
      </c>
      <c r="AN7" s="19" t="n">
        <f aca="false">IF(Time!AN20=1,IF(Time!AN8=Inputs!$F$15,AN6*Inputs!$F$115/Time!AO14,0),IF(Time!AN35=1,0,IF(Time!AO14=0,0,AN6*Inputs!$F$115/Time!AO14)))</f>
        <v>23.2317499211891</v>
      </c>
      <c r="AO7" s="19" t="n">
        <f aca="false">IF(Time!AO20=1,IF(Time!AO8=Inputs!$F$15,AO6*Inputs!$F$115/Time!AP14,0),IF(Time!AO35=1,0,IF(Time!AP14=0,0,AO6*Inputs!$F$115/Time!AP14)))</f>
        <v>23.0447987452329</v>
      </c>
      <c r="AP7" s="19" t="n">
        <f aca="false">IF(Time!AP20=1,IF(Time!AP8=Inputs!$F$15,AP6*Inputs!$F$115/Time!AQ14,0),IF(Time!AP35=1,0,IF(Time!AQ14=0,0,AP6*Inputs!$F$115/Time!AQ14)))</f>
        <v>23.2317499211891</v>
      </c>
      <c r="AQ7" s="19" t="n">
        <f aca="false">IF(Time!AQ20=1,IF(Time!AQ8=Inputs!$F$15,AQ6*Inputs!$F$115/Time!AR14,0),IF(Time!AQ35=1,0,IF(Time!AR14=0,0,AQ6*Inputs!$F$115/Time!AR14)))</f>
        <v>23.107115803885</v>
      </c>
      <c r="AR7" s="19" t="n">
        <f aca="false">IF(Time!AR20=1,IF(Time!AR8=Inputs!$F$15,AR6*Inputs!$F$115/Time!AS14,0),IF(Time!AR35=1,0,IF(Time!AS14=0,0,AR6*Inputs!$F$115/Time!AS14)))</f>
        <v>23.2317499211891</v>
      </c>
      <c r="AS7" s="19" t="n">
        <f aca="false">IF(Time!AS20=1,IF(Time!AS8=Inputs!$F$15,AS6*Inputs!$F$115/Time!AT14,0),IF(Time!AS35=1,0,IF(Time!AT14=0,0,AS6*Inputs!$F$115/Time!AT14)))</f>
        <v>23.0447987452329</v>
      </c>
      <c r="AT7" s="19" t="n">
        <f aca="false">IF(Time!AT20=1,IF(Time!AT8=Inputs!$F$15,AT6*Inputs!$F$115/Time!AU14,0),IF(Time!AT35=1,0,IF(Time!AU14=0,0,AT6*Inputs!$F$115/Time!AU14)))</f>
        <v>23.2317499211891</v>
      </c>
      <c r="AU7" s="19" t="n">
        <f aca="false">IF(Time!AU20=1,IF(Time!AU8=Inputs!$F$15,AU6*Inputs!$F$115/Time!AV14,0),IF(Time!AU35=1,0,IF(Time!AV14=0,0,AU6*Inputs!$F$115/Time!AV14)))</f>
        <v>23.0533401819306</v>
      </c>
      <c r="AV7" s="19" t="n">
        <f aca="false">IF(Time!AV20=1,IF(Time!AV8=Inputs!$F$15,AV6*Inputs!$F$115/Time!AW14,0),IF(Time!AV35=1,0,IF(Time!AW14=0,0,AV6*Inputs!$F$115/Time!AW14)))</f>
        <v>25.0503904348706</v>
      </c>
      <c r="AW7" s="19" t="n">
        <f aca="false">IF(Time!AW20=1,IF(Time!AW8=Inputs!$F$15,AW6*Inputs!$F$115/Time!AX14,0),IF(Time!AW35=1,0,IF(Time!AX14=0,0,AW6*Inputs!$F$115/Time!AX14)))</f>
        <v>25.1508622905596</v>
      </c>
      <c r="AX7" s="19" t="n">
        <f aca="false">IF(Time!AX20=1,IF(Time!AX8=Inputs!$F$15,AX6*Inputs!$F$115/Time!AY14,0),IF(Time!AX35=1,0,IF(Time!AY14=0,0,AX6*Inputs!$F$115/Time!AY14)))</f>
        <v>24.9746741850431</v>
      </c>
      <c r="AY7" s="19" t="n">
        <f aca="false">IF(Time!AY20=1,IF(Time!AY8=Inputs!$F$15,AY6*Inputs!$F$115/Time!AZ14,0),IF(Time!AY35=1,0,IF(Time!AZ14=0,0,AY6*Inputs!$F$115/Time!AZ14)))</f>
        <v>25.2447615195311</v>
      </c>
      <c r="AZ7" s="19" t="n">
        <f aca="false">IF(Time!AZ20=1,IF(Time!AZ8=Inputs!$F$15,AZ6*Inputs!$F$115/Time!BA14,0),IF(Time!AZ35=1,0,IF(Time!BA14=0,0,AZ6*Inputs!$F$115/Time!BA14)))</f>
        <v>26.4296082744351</v>
      </c>
      <c r="BA7" s="19" t="n">
        <f aca="false">IF(Time!BA20=1,IF(Time!BA8=Inputs!$F$15,BA6*Inputs!$F$115/Time!BB14,0),IF(Time!BA35=1,0,IF(Time!BB14=0,0,BA6*Inputs!$F$115/Time!BB14)))</f>
        <v>26.5404185160733</v>
      </c>
      <c r="BB7" s="19" t="n">
        <f aca="false">IF(Time!BB20=1,IF(Time!BB8=Inputs!$F$15,BB6*Inputs!$F$115/Time!BC14,0),IF(Time!BB35=1,0,IF(Time!BC14=0,0,BB6*Inputs!$F$115/Time!BC14)))</f>
        <v>31.0730822191862</v>
      </c>
      <c r="BC7" s="19" t="n">
        <f aca="false">IF(Time!BC20=1,IF(Time!BC8=Inputs!$F$15,BC6*Inputs!$F$115/Time!BD14,0),IF(Time!BC35=1,0,IF(Time!BD14=0,0,BC6*Inputs!$F$115/Time!BD14)))</f>
        <v>31.1898989720418</v>
      </c>
      <c r="BD7" s="19" t="n">
        <f aca="false">IF(Time!BD20=1,IF(Time!BD8=Inputs!$F$15,BD6*Inputs!$F$115/Time!BE14,0),IF(Time!BD35=1,0,IF(Time!BE14=0,0,BD6*Inputs!$F$115/Time!BE14)))</f>
        <v>34.1520286404255</v>
      </c>
      <c r="BE7" s="19" t="n">
        <f aca="false">IF(Time!BE20=1,IF(Time!BE8=Inputs!$F$15,BE6*Inputs!$F$115/Time!BF14,0),IF(Time!BE35=1,0,IF(Time!BF14=0,0,BE6*Inputs!$F$115/Time!BF14)))</f>
        <v>34.2751060537202</v>
      </c>
      <c r="BF7" s="19" t="n">
        <f aca="false">IF(Time!BF20=1,IF(Time!BF8=Inputs!$F$15,BF6*Inputs!$F$115/Time!BG14,0),IF(Time!BF35=1,0,IF(Time!BG14=0,0,BF6*Inputs!$F$115/Time!BG14)))</f>
        <v>35.827659376166</v>
      </c>
      <c r="BG7" s="19" t="n">
        <f aca="false">IF(Time!BG20=1,IF(Time!BG8=Inputs!$F$15,BG6*Inputs!$F$115/Time!BH14,0),IF(Time!BG35=1,0,IF(Time!BH14=0,0,BG6*Inputs!$F$115/Time!BH14)))</f>
        <v>36.1549955143621</v>
      </c>
      <c r="BH7" s="19" t="n">
        <f aca="false">IF(Time!BH20=1,IF(Time!BH8=Inputs!$F$15,BH6*Inputs!$F$115/Time!BI14,0),IF(Time!BH35=1,0,IF(Time!BI14=0,0,BH6*Inputs!$F$115/Time!BI14)))</f>
        <v>37.5865853074074</v>
      </c>
      <c r="BI7" s="19" t="n">
        <f aca="false">IF(Time!BI20=1,IF(Time!BI8=Inputs!$F$15,BI6*Inputs!$F$115/Time!BJ14,0),IF(Time!BI35=1,0,IF(Time!BJ14=0,0,BI6*Inputs!$F$115/Time!BJ14)))</f>
        <v>37.7218247100396</v>
      </c>
      <c r="BJ7" s="19" t="n">
        <f aca="false">IF(Time!BJ20=1,IF(Time!BJ8=Inputs!$F$15,BJ6*Inputs!$F$115/Time!BK14,0),IF(Time!BJ35=1,0,IF(Time!BK14=0,0,BJ6*Inputs!$F$115/Time!BK14)))</f>
        <v>39.4331843358165</v>
      </c>
      <c r="BK7" s="19" t="n">
        <f aca="false">IF(Time!BK20=1,IF(Time!BK8=Inputs!$F$15,BK6*Inputs!$F$115/Time!BL14,0),IF(Time!BK35=1,0,IF(Time!BL14=0,0,BK6*Inputs!$F$115/Time!BL14)))</f>
        <v>39.5754471499961</v>
      </c>
      <c r="BL7" s="19" t="n">
        <f aca="false">IF(Time!BL20=1,IF(Time!BL8=Inputs!$F$15,BL6*Inputs!$F$115/Time!BM14,0),IF(Time!BL35=1,0,IF(Time!BM14=0,0,BL6*Inputs!$F$115/Time!BM14)))</f>
        <v>41.3558134666003</v>
      </c>
      <c r="BM7" s="19" t="n">
        <f aca="false">IF(Time!BM20=1,IF(Time!BM8=Inputs!$F$15,BM6*Inputs!$F$115/Time!BN14,0),IF(Time!BM35=1,0,IF(Time!BN14=0,0,BM6*Inputs!$F$115/Time!BN14)))</f>
        <v>41.5042168372112</v>
      </c>
      <c r="BN7" s="19" t="n">
        <f aca="false">IF(Time!BN20=1,IF(Time!BN8=Inputs!$F$15,BN6*Inputs!$F$115/Time!BO14,0),IF(Time!BN35=1,0,IF(Time!BO14=0,0,BN6*Inputs!$F$115/Time!BO14)))</f>
        <v>36.3859277619612</v>
      </c>
      <c r="BO7" s="19" t="n">
        <f aca="false">IF(Time!BO20=1,IF(Time!BO8=Inputs!$F$15,BO6*Inputs!$F$115/Time!BP14,0),IF(Time!BO35=1,0,IF(Time!BP14=0,0,BO6*Inputs!$F$115/Time!BP14)))</f>
        <v>36.782607101421</v>
      </c>
      <c r="BP7" s="19" t="n">
        <f aca="false">IF(Time!BP20=1,IF(Time!BP8=Inputs!$F$15,BP6*Inputs!$F$115/Time!BQ14,0),IF(Time!BP35=1,0,IF(Time!BQ14=0,0,BP6*Inputs!$F$115/Time!BQ14)))</f>
        <v>38.4991094572439</v>
      </c>
      <c r="BQ7" s="19" t="n">
        <f aca="false">IF(Time!BQ20=1,IF(Time!BQ8=Inputs!$F$15,BQ6*Inputs!$F$115/Time!BR14,0),IF(Time!BQ35=1,0,IF(Time!BR14=0,0,BQ6*Inputs!$F$115/Time!BR14)))</f>
        <v>38.182372238154</v>
      </c>
      <c r="BR7" s="19" t="n">
        <f aca="false">IF(Time!BR20=1,IF(Time!BR8=Inputs!$F$15,BR6*Inputs!$F$115/Time!BS14,0),IF(Time!BR35=1,0,IF(Time!BS14=0,0,BR6*Inputs!$F$115/Time!BS14)))</f>
        <v>40.1753349166406</v>
      </c>
      <c r="BS7" s="19" t="n">
        <f aca="false">IF(Time!BS20=1,IF(Time!BS8=Inputs!$F$15,BS6*Inputs!$F$115/Time!BT14,0),IF(Time!BS35=1,0,IF(Time!BT14=0,0,BS6*Inputs!$F$115/Time!BT14)))</f>
        <v>39.8478504332762</v>
      </c>
      <c r="BT7" s="19" t="n">
        <f aca="false">IF(Time!BT20=1,IF(Time!BT8=Inputs!$F$15,BT6*Inputs!$F$115/Time!BU14,0),IF(Time!BT35=1,0,IF(Time!BU14=0,0,BT6*Inputs!$F$115/Time!BU14)))</f>
        <v>48.8987871038368</v>
      </c>
      <c r="BU7" s="19" t="n">
        <f aca="false">IF(Time!BU20=1,IF(Time!BU8=Inputs!$F$15,BU6*Inputs!$F$115/Time!BV14,0),IF(Time!BU35=1,0,IF(Time!BV14=0,0,BU6*Inputs!$F$115/Time!BV14)))</f>
        <v>48.5601185394209</v>
      </c>
      <c r="BV7" s="19" t="n">
        <f aca="false">IF(Time!BV20=1,IF(Time!BV8=Inputs!$F$15,BV6*Inputs!$F$115/Time!BW14,0),IF(Time!BV35=1,0,IF(Time!BW14=0,0,BV6*Inputs!$F$115/Time!BW14)))</f>
        <v>50.7000252078501</v>
      </c>
      <c r="BW7" s="19" t="n">
        <f aca="false">IF(Time!BW20=1,IF(Time!BW8=Inputs!$F$15,BW6*Inputs!$F$115/Time!BX14,0),IF(Time!BW35=1,0,IF(Time!BX14=0,0,BW6*Inputs!$F$115/Time!BX14)))</f>
        <v>50.6279568693624</v>
      </c>
      <c r="BX7" s="19" t="n">
        <f aca="false">IF(Time!BX20=1,IF(Time!BX8=Inputs!$F$15,BX6*Inputs!$F$115/Time!BY14,0),IF(Time!BX35=1,0,IF(Time!BY14=0,0,BX6*Inputs!$F$115/Time!BY14)))</f>
        <v>52.5658535391762</v>
      </c>
      <c r="BY7" s="19" t="n">
        <f aca="false">IF(Time!BY20=1,IF(Time!BY8=Inputs!$F$15,BY6*Inputs!$F$115/Time!BZ14,0),IF(Time!BY35=1,0,IF(Time!BZ14=0,0,BY6*Inputs!$F$115/Time!BZ14)))</f>
        <v>52.2034649826373</v>
      </c>
      <c r="BZ7" s="19" t="n">
        <f aca="false">IF(Time!BZ20=1,IF(Time!BZ8=Inputs!$F$15,BZ6*Inputs!$F$115/Time!CA14,0),IF(Time!BZ35=1,0,IF(Time!CA14=0,0,BZ6*Inputs!$F$115/Time!CA14)))</f>
        <v>49.9877511628354</v>
      </c>
      <c r="CA7" s="19" t="n">
        <f aca="false">IF(Time!CA20=1,IF(Time!CA8=Inputs!$F$15,CA6*Inputs!$F$115/Time!CB14,0),IF(Time!CA35=1,0,IF(Time!CB14=0,0,CA6*Inputs!$F$115/Time!CB14)))</f>
        <v>49.6128055244397</v>
      </c>
      <c r="CB7" s="19" t="n">
        <f aca="false">IF(Time!CB20=1,IF(Time!CB8=Inputs!$F$15,CB6*Inputs!$F$115/Time!CC14,0),IF(Time!CB35=1,0,IF(Time!CC14=0,0,CB6*Inputs!$F$115/Time!CC14)))</f>
        <v>51.9870481968132</v>
      </c>
      <c r="CC7" s="19" t="n">
        <f aca="false">IF(Time!CC20=1,IF(Time!CC8=Inputs!$F$15,CC6*Inputs!$F$115/Time!CD14,0),IF(Time!CC35=1,0,IF(Time!CD14=0,0,CC6*Inputs!$F$115/Time!CD14)))</f>
        <v>51.5990663118775</v>
      </c>
      <c r="CD7" s="19" t="n">
        <f aca="false">IF(Time!CD20=1,IF(Time!CD8=Inputs!$F$15,CD6*Inputs!$F$115/Time!CE14,0),IF(Time!CD35=1,0,IF(Time!CE14=0,0,CD6*Inputs!$F$115/Time!CE14)))</f>
        <v>51.8718123417449</v>
      </c>
      <c r="CE7" s="19" t="n">
        <f aca="false">IF(Time!CE20=1,IF(Time!CE8=Inputs!$F$15,CE6*Inputs!$F$115/Time!CF14,0),IF(Time!CE35=1,0,IF(Time!CF14=0,0,CE6*Inputs!$F$115/Time!CF14)))</f>
        <v>45.5693846585806</v>
      </c>
      <c r="CF7" s="19" t="n">
        <f aca="false">IF(Time!CF20=1,IF(Time!CF8=Inputs!$F$15,CF6*Inputs!$F$115/Time!CG14,0),IF(Time!CF35=1,0,IF(Time!CG14=0,0,CF6*Inputs!$F$115/Time!CG14)))</f>
        <v>48.55299127962</v>
      </c>
      <c r="CG7" s="19" t="n">
        <f aca="false">IF(Time!CG20=1,IF(Time!CG8=Inputs!$F$15,CG6*Inputs!$F$115/Time!CH14,0),IF(Time!CG35=1,0,IF(Time!CH14=0,0,CG6*Inputs!$F$115/Time!CH14)))</f>
        <v>5.51181991980927E-014</v>
      </c>
      <c r="CH7" s="19" t="n">
        <f aca="false">IF(Time!CH20=1,IF(Time!CH8=Inputs!$F$15,CH6*Inputs!$F$115/Time!CI14,0),IF(Time!CH35=1,0,IF(Time!CI14=0,0,CH6*Inputs!$F$115/Time!CI14)))</f>
        <v>5.55648191080975E-014</v>
      </c>
      <c r="CI7" s="19" t="n">
        <f aca="false">IF(Time!CI20=1,IF(Time!CI8=Inputs!$F$15,CI6*Inputs!$F$115/Time!CJ14,0),IF(Time!CI35=1,0,IF(Time!CJ14=0,0,CI6*Inputs!$F$115/Time!CJ14)))</f>
        <v>5.51181991980927E-014</v>
      </c>
      <c r="CJ7" s="19" t="n">
        <f aca="false">IF(Time!CJ20=1,IF(Time!CJ8=Inputs!$F$15,CJ6*Inputs!$F$115/Time!CK14,0),IF(Time!CJ35=1,0,IF(Time!CK14=0,0,CJ6*Inputs!$F$115/Time!CK14)))</f>
        <v>5.55648191080975E-014</v>
      </c>
      <c r="CK7" s="19" t="n">
        <f aca="false">IF(Time!CK20=1,IF(Time!CK8=Inputs!$F$15,CK6*Inputs!$F$115/Time!CL14,0),IF(Time!CK35=1,0,IF(Time!CL14=0,0,CK6*Inputs!$F$115/Time!CL14)))</f>
        <v>5.51181991980927E-014</v>
      </c>
      <c r="CL7" s="19" t="n">
        <f aca="false">IF(Time!CL20=1,IF(Time!CL8=Inputs!$F$15,CL6*Inputs!$F$115/Time!CM14,0),IF(Time!CL35=1,0,IF(Time!CM14=0,0,CL6*Inputs!$F$115/Time!CM14)))</f>
        <v>5.55648191080975E-014</v>
      </c>
      <c r="CM7" s="19" t="n">
        <f aca="false">IF(Time!CM20=1,IF(Time!CM8=Inputs!$F$15,CM6*Inputs!$F$115/Time!CN14,0),IF(Time!CM35=1,0,IF(Time!CN14=0,0,CM6*Inputs!$F$115/Time!CN14)))</f>
        <v>5.52670725014276E-014</v>
      </c>
      <c r="CN7" s="19" t="n">
        <f aca="false">IF(Time!CN20=1,IF(Time!CN8=Inputs!$F$15,CN6*Inputs!$F$115/Time!CO14,0),IF(Time!CN35=1,0,IF(Time!CO14=0,0,CN6*Inputs!$F$115/Time!CO14)))</f>
        <v>5.55648191080975E-014</v>
      </c>
      <c r="CO7" s="19" t="n">
        <f aca="false">IF(Time!CO20=1,IF(Time!CO8=Inputs!$F$15,CO6*Inputs!$F$115/Time!CP14,0),IF(Time!CO35=1,0,IF(Time!CP14=0,0,CO6*Inputs!$F$115/Time!CP14)))</f>
        <v>5.51181991980927E-014</v>
      </c>
      <c r="CP7" s="19" t="n">
        <f aca="false">IF(Time!CP20=1,IF(Time!CP8=Inputs!$F$15,CP6*Inputs!$F$115/Time!CQ14,0),IF(Time!CP35=1,0,IF(Time!CQ14=0,0,CP6*Inputs!$F$115/Time!CQ14)))</f>
        <v>5.55648191080975E-014</v>
      </c>
      <c r="CQ7" s="19" t="n">
        <f aca="false">IF(Time!CQ20=1,IF(Time!CQ8=Inputs!$F$15,CQ6*Inputs!$F$115/Time!CR14,0),IF(Time!CQ35=1,0,IF(Time!CR14=0,0,CQ6*Inputs!$F$115/Time!CR14)))</f>
        <v>5.51181991980927E-014</v>
      </c>
      <c r="CR7" s="19" t="n">
        <f aca="false">IF(Time!CR20=1,IF(Time!CR8=Inputs!$F$15,CR6*Inputs!$F$115/Time!CS14,0),IF(Time!CR35=1,0,IF(Time!CS14=0,0,CR6*Inputs!$F$115/Time!CS14)))</f>
        <v>5.55648191080975E-014</v>
      </c>
      <c r="CS7" s="19" t="n">
        <f aca="false">IF(Time!CS20=1,IF(Time!CS8=Inputs!$F$15,CS6*Inputs!$F$115/Time!CT14,0),IF(Time!CS35=1,0,IF(Time!CT14=0,0,CS6*Inputs!$F$115/Time!CT14)))</f>
        <v>5.51181991980927E-014</v>
      </c>
      <c r="CT7" s="19" t="n">
        <f aca="false">IF(Time!CT20=1,IF(Time!CT8=Inputs!$F$15,CT6*Inputs!$F$115/Time!CU14,0),IF(Time!CT35=1,0,IF(Time!CU14=0,0,CT6*Inputs!$F$115/Time!CU14)))</f>
        <v>5.55648191080975E-014</v>
      </c>
      <c r="CU7" s="19" t="n">
        <f aca="false">IF(Time!CU20=1,IF(Time!CU8=Inputs!$F$15,CU6*Inputs!$F$115/Time!CV14,0),IF(Time!CU35=1,0,IF(Time!CV14=0,0,CU6*Inputs!$F$115/Time!CV14)))</f>
        <v>5.52670725014276E-014</v>
      </c>
      <c r="CV7" s="19" t="n">
        <f aca="false">IF(Time!CV20=1,IF(Time!CV8=Inputs!$F$15,CV6*Inputs!$F$115/Time!CW14,0),IF(Time!CV35=1,0,IF(Time!CW14=0,0,CV6*Inputs!$F$115/Time!CW14)))</f>
        <v>5.55648191080975E-014</v>
      </c>
      <c r="CW7" s="19" t="n">
        <f aca="false">IF(Time!CW20=1,IF(Time!CW8=Inputs!$F$15,CW6*Inputs!$F$115/Time!CX14,0),IF(Time!CW35=1,0,IF(Time!CX14=0,0,CW6*Inputs!$F$115/Time!CX14)))</f>
        <v>5.51181991980927E-014</v>
      </c>
      <c r="CX7" s="19" t="n">
        <f aca="false">IF(Time!CX20=1,IF(Time!CX8=Inputs!$F$15,CX6*Inputs!$F$115/Time!CY14,0),IF(Time!CX35=1,0,IF(Time!CY14=0,0,CX6*Inputs!$F$115/Time!CY14)))</f>
        <v>5.55648191080975E-014</v>
      </c>
      <c r="CY7" s="19" t="n">
        <f aca="false">IF(Time!CY20=1,IF(Time!CY8=Inputs!$F$15,CY6*Inputs!$F$115/Time!CZ14,0),IF(Time!CY35=1,0,IF(Time!CZ14=0,0,CY6*Inputs!$F$115/Time!CZ14)))</f>
        <v>5.51181991980927E-014</v>
      </c>
      <c r="CZ7" s="19" t="n">
        <f aca="false">IF(Time!CZ20=1,IF(Time!CZ8=Inputs!$F$15,CZ6*Inputs!$F$115/Time!DA14,0),IF(Time!CZ35=1,0,IF(Time!DA14=0,0,CZ6*Inputs!$F$115/Time!DA14)))</f>
        <v>5.55648191080975E-014</v>
      </c>
      <c r="DA7" s="19" t="n">
        <f aca="false">IF(Time!DA20=1,IF(Time!DA8=Inputs!$F$15,DA6*Inputs!$F$115/Time!DB14,0),IF(Time!DA35=1,0,IF(Time!DB14=0,0,DA6*Inputs!$F$115/Time!DB14)))</f>
        <v>5.51181991980927E-014</v>
      </c>
      <c r="DB7" s="19" t="n">
        <f aca="false">IF(Time!DB20=1,IF(Time!DB8=Inputs!$F$15,DB6*Inputs!$F$115/Time!DC14,0),IF(Time!DB35=1,0,IF(Time!DC14=0,0,DB6*Inputs!$F$115/Time!DC14)))</f>
        <v>0</v>
      </c>
    </row>
    <row r="8" customFormat="false" ht="15" hidden="false" customHeight="false" outlineLevel="0" collapsed="false">
      <c r="D8" s="0" t="s">
        <v>577</v>
      </c>
      <c r="E8" s="0" t="s">
        <v>44</v>
      </c>
      <c r="J8" s="19" t="n">
        <f aca="false">I13</f>
        <v>0</v>
      </c>
      <c r="K8" s="19" t="n">
        <f aca="false">J13</f>
        <v>0</v>
      </c>
      <c r="L8" s="19" t="n">
        <f aca="false">K13</f>
        <v>0</v>
      </c>
      <c r="M8" s="19" t="n">
        <f aca="false">L13</f>
        <v>0</v>
      </c>
      <c r="N8" s="19" t="n">
        <f aca="false">M13</f>
        <v>0</v>
      </c>
      <c r="O8" s="19" t="n">
        <f aca="false">N13</f>
        <v>0</v>
      </c>
      <c r="P8" s="19" t="n">
        <f aca="false">O13</f>
        <v>0</v>
      </c>
      <c r="Q8" s="19" t="n">
        <f aca="false">P13</f>
        <v>0</v>
      </c>
      <c r="R8" s="19" t="n">
        <f aca="false">Q13</f>
        <v>0</v>
      </c>
      <c r="S8" s="19" t="n">
        <f aca="false">R13</f>
        <v>0</v>
      </c>
      <c r="T8" s="19" t="n">
        <f aca="false">S13</f>
        <v>0</v>
      </c>
      <c r="U8" s="19" t="n">
        <f aca="false">T13</f>
        <v>0</v>
      </c>
      <c r="V8" s="19" t="n">
        <f aca="false">U13</f>
        <v>0</v>
      </c>
      <c r="W8" s="19" t="n">
        <f aca="false">V13</f>
        <v>0</v>
      </c>
      <c r="X8" s="19" t="n">
        <f aca="false">W13</f>
        <v>0</v>
      </c>
      <c r="Y8" s="19" t="n">
        <f aca="false">X13</f>
        <v>0</v>
      </c>
      <c r="Z8" s="19" t="n">
        <f aca="false">Y13</f>
        <v>13.887642147287</v>
      </c>
      <c r="AA8" s="19" t="n">
        <f aca="false">Z13</f>
        <v>15.366639768263</v>
      </c>
      <c r="AB8" s="19" t="n">
        <f aca="false">AA13</f>
        <v>19.3030365072743</v>
      </c>
      <c r="AC8" s="19" t="n">
        <f aca="false">AB13</f>
        <v>20.57459323591</v>
      </c>
      <c r="AD8" s="19" t="n">
        <f aca="false">AC13</f>
        <v>23.7337665751819</v>
      </c>
      <c r="AE8" s="19" t="n">
        <f aca="false">AD13</f>
        <v>23.9321371074356</v>
      </c>
      <c r="AF8" s="19" t="n">
        <f aca="false">AE13</f>
        <v>23.6043472038103</v>
      </c>
      <c r="AG8" s="19" t="n">
        <f aca="false">AF13</f>
        <v>23.2317499211891</v>
      </c>
      <c r="AH8" s="19" t="n">
        <f aca="false">AG13</f>
        <v>23.0447987452329</v>
      </c>
      <c r="AI8" s="19" t="n">
        <f aca="false">AH13</f>
        <v>23.2317499211891</v>
      </c>
      <c r="AJ8" s="19" t="n">
        <f aca="false">AI13</f>
        <v>23.107115803885</v>
      </c>
      <c r="AK8" s="19" t="n">
        <f aca="false">AJ13</f>
        <v>23.2317499211891</v>
      </c>
      <c r="AL8" s="19" t="n">
        <f aca="false">AK13</f>
        <v>23.0447987452329</v>
      </c>
      <c r="AM8" s="19" t="n">
        <f aca="false">AL13</f>
        <v>23.2317499211891</v>
      </c>
      <c r="AN8" s="19" t="n">
        <f aca="false">AM13</f>
        <v>23.0447987452329</v>
      </c>
      <c r="AO8" s="19" t="n">
        <f aca="false">AN13</f>
        <v>23.2317499211891</v>
      </c>
      <c r="AP8" s="19" t="n">
        <f aca="false">AO13</f>
        <v>23.0447987452329</v>
      </c>
      <c r="AQ8" s="19" t="n">
        <f aca="false">AP13</f>
        <v>23.2317499211891</v>
      </c>
      <c r="AR8" s="19" t="n">
        <f aca="false">AQ13</f>
        <v>23.107115803885</v>
      </c>
      <c r="AS8" s="19" t="n">
        <f aca="false">AR13</f>
        <v>23.2317499211891</v>
      </c>
      <c r="AT8" s="19" t="n">
        <f aca="false">AS13</f>
        <v>23.0447987452329</v>
      </c>
      <c r="AU8" s="19" t="n">
        <f aca="false">AT13</f>
        <v>23.2317499211891</v>
      </c>
      <c r="AV8" s="19" t="n">
        <f aca="false">AU13</f>
        <v>23.0533401819306</v>
      </c>
      <c r="AW8" s="19" t="n">
        <f aca="false">AV13</f>
        <v>25.0503904348706</v>
      </c>
      <c r="AX8" s="19" t="n">
        <f aca="false">AW13</f>
        <v>25.1508622905596</v>
      </c>
      <c r="AY8" s="19" t="n">
        <f aca="false">AX13</f>
        <v>24.9746741850431</v>
      </c>
      <c r="AZ8" s="19" t="n">
        <f aca="false">AY13</f>
        <v>25.2447615195311</v>
      </c>
      <c r="BA8" s="19" t="n">
        <f aca="false">AZ13</f>
        <v>26.4296082744351</v>
      </c>
      <c r="BB8" s="19" t="n">
        <f aca="false">BA13</f>
        <v>26.5404185160733</v>
      </c>
      <c r="BC8" s="19" t="n">
        <f aca="false">BB13</f>
        <v>31.0730822191862</v>
      </c>
      <c r="BD8" s="19" t="n">
        <f aca="false">BC13</f>
        <v>31.1898989720418</v>
      </c>
      <c r="BE8" s="19" t="n">
        <f aca="false">BD13</f>
        <v>34.1520286404255</v>
      </c>
      <c r="BF8" s="19" t="n">
        <f aca="false">BE13</f>
        <v>34.2751060537202</v>
      </c>
      <c r="BG8" s="19" t="n">
        <f aca="false">BF13</f>
        <v>35.827659376166</v>
      </c>
      <c r="BH8" s="19" t="n">
        <f aca="false">BG13</f>
        <v>36.1549955143621</v>
      </c>
      <c r="BI8" s="19" t="n">
        <f aca="false">BH13</f>
        <v>37.5865853074074</v>
      </c>
      <c r="BJ8" s="19" t="n">
        <f aca="false">BI13</f>
        <v>37.7218247100396</v>
      </c>
      <c r="BK8" s="19" t="n">
        <f aca="false">BJ13</f>
        <v>39.4331843358165</v>
      </c>
      <c r="BL8" s="19" t="n">
        <f aca="false">BK13</f>
        <v>39.5754471499961</v>
      </c>
      <c r="BM8" s="19" t="n">
        <f aca="false">BL13</f>
        <v>41.3558134666003</v>
      </c>
      <c r="BN8" s="19" t="n">
        <f aca="false">BM13</f>
        <v>41.5042168372112</v>
      </c>
      <c r="BO8" s="19" t="n">
        <f aca="false">BN13</f>
        <v>36.3859277619612</v>
      </c>
      <c r="BP8" s="19" t="n">
        <f aca="false">BO13</f>
        <v>36.782607101421</v>
      </c>
      <c r="BQ8" s="19" t="n">
        <f aca="false">BP13</f>
        <v>38.4991094572439</v>
      </c>
      <c r="BR8" s="19" t="n">
        <f aca="false">BQ13</f>
        <v>38.182372238154</v>
      </c>
      <c r="BS8" s="19" t="n">
        <f aca="false">BR13</f>
        <v>40.1753349166406</v>
      </c>
      <c r="BT8" s="19" t="n">
        <f aca="false">BS13</f>
        <v>39.8478504332762</v>
      </c>
      <c r="BU8" s="19" t="n">
        <f aca="false">BT13</f>
        <v>48.8987871038368</v>
      </c>
      <c r="BV8" s="19" t="n">
        <f aca="false">BU13</f>
        <v>48.5601185394209</v>
      </c>
      <c r="BW8" s="19" t="n">
        <f aca="false">BV13</f>
        <v>50.7000252078501</v>
      </c>
      <c r="BX8" s="19" t="n">
        <f aca="false">BW13</f>
        <v>50.6279568693624</v>
      </c>
      <c r="BY8" s="19" t="n">
        <f aca="false">BX13</f>
        <v>52.5658535391762</v>
      </c>
      <c r="BZ8" s="19" t="n">
        <f aca="false">BY13</f>
        <v>52.2034649826373</v>
      </c>
      <c r="CA8" s="19" t="n">
        <f aca="false">BZ13</f>
        <v>49.9877511628354</v>
      </c>
      <c r="CB8" s="19" t="n">
        <f aca="false">CA13</f>
        <v>49.6128055244397</v>
      </c>
      <c r="CC8" s="19" t="n">
        <f aca="false">CB13</f>
        <v>51.9870481968132</v>
      </c>
      <c r="CD8" s="19" t="n">
        <f aca="false">CC13</f>
        <v>51.5990663118775</v>
      </c>
      <c r="CE8" s="19" t="n">
        <f aca="false">CD13</f>
        <v>51.8718123417449</v>
      </c>
      <c r="CF8" s="19" t="n">
        <f aca="false">CE13</f>
        <v>45.5693846585806</v>
      </c>
      <c r="CG8" s="19" t="n">
        <f aca="false">CF13</f>
        <v>48.55299127962</v>
      </c>
      <c r="CH8" s="19" t="n">
        <f aca="false">CG13</f>
        <v>0</v>
      </c>
      <c r="CI8" s="19" t="n">
        <f aca="false">CH13</f>
        <v>5.55648191080975E-014</v>
      </c>
      <c r="CJ8" s="19" t="n">
        <f aca="false">CI13</f>
        <v>5.51181991980927E-014</v>
      </c>
      <c r="CK8" s="19" t="n">
        <f aca="false">CJ13</f>
        <v>5.55648191080975E-014</v>
      </c>
      <c r="CL8" s="19" t="n">
        <f aca="false">CK13</f>
        <v>5.51181991980927E-014</v>
      </c>
      <c r="CM8" s="19" t="n">
        <f aca="false">CL13</f>
        <v>5.55648191080975E-014</v>
      </c>
      <c r="CN8" s="19" t="n">
        <f aca="false">CM13</f>
        <v>5.52670725014276E-014</v>
      </c>
      <c r="CO8" s="19" t="n">
        <f aca="false">CN13</f>
        <v>5.55648191080975E-014</v>
      </c>
      <c r="CP8" s="19" t="n">
        <f aca="false">CO13</f>
        <v>5.51181991980927E-014</v>
      </c>
      <c r="CQ8" s="19" t="n">
        <f aca="false">CP13</f>
        <v>5.55648191080975E-014</v>
      </c>
      <c r="CR8" s="19" t="n">
        <f aca="false">CQ13</f>
        <v>0</v>
      </c>
      <c r="CS8" s="19" t="n">
        <f aca="false">CR13</f>
        <v>0</v>
      </c>
      <c r="CT8" s="19" t="n">
        <f aca="false">CS13</f>
        <v>0</v>
      </c>
      <c r="CU8" s="19" t="n">
        <f aca="false">CT13</f>
        <v>0</v>
      </c>
      <c r="CV8" s="19" t="n">
        <f aca="false">CU13</f>
        <v>0</v>
      </c>
      <c r="CW8" s="19" t="n">
        <f aca="false">CV13</f>
        <v>0</v>
      </c>
      <c r="CX8" s="19" t="n">
        <f aca="false">CW13</f>
        <v>0</v>
      </c>
      <c r="CY8" s="19" t="n">
        <f aca="false">CX13</f>
        <v>0</v>
      </c>
      <c r="CZ8" s="19" t="n">
        <f aca="false">CY13</f>
        <v>0</v>
      </c>
      <c r="DA8" s="19" t="n">
        <f aca="false">CZ13</f>
        <v>0</v>
      </c>
      <c r="DB8" s="19" t="n">
        <f aca="false">DA13</f>
        <v>0</v>
      </c>
    </row>
    <row r="9" customFormat="false" ht="15" hidden="false" customHeight="false" outlineLevel="0" collapsed="false">
      <c r="D9" s="0" t="s">
        <v>578</v>
      </c>
      <c r="E9" s="0" t="s">
        <v>44</v>
      </c>
      <c r="J9" s="19" t="n">
        <f aca="false">J8-Waterfall!J23</f>
        <v>0</v>
      </c>
      <c r="K9" s="19" t="n">
        <f aca="false">K8-Waterfall!K23</f>
        <v>0</v>
      </c>
      <c r="L9" s="19" t="n">
        <f aca="false">L8-Waterfall!L23</f>
        <v>0</v>
      </c>
      <c r="M9" s="19" t="n">
        <f aca="false">M8-Waterfall!M23</f>
        <v>0</v>
      </c>
      <c r="N9" s="19" t="n">
        <f aca="false">N8-Waterfall!N23</f>
        <v>0</v>
      </c>
      <c r="O9" s="19" t="n">
        <f aca="false">O8-Waterfall!O23</f>
        <v>0</v>
      </c>
      <c r="P9" s="19" t="n">
        <f aca="false">P8-Waterfall!P23</f>
        <v>0</v>
      </c>
      <c r="Q9" s="19" t="n">
        <f aca="false">Q8-Waterfall!Q23</f>
        <v>0</v>
      </c>
      <c r="R9" s="19" t="n">
        <f aca="false">R8-Waterfall!R23</f>
        <v>0</v>
      </c>
      <c r="S9" s="19" t="n">
        <f aca="false">S8-Waterfall!S23</f>
        <v>0</v>
      </c>
      <c r="T9" s="19" t="n">
        <f aca="false">T8-Waterfall!T23</f>
        <v>0</v>
      </c>
      <c r="U9" s="19" t="n">
        <f aca="false">U8-Waterfall!U23</f>
        <v>0</v>
      </c>
      <c r="V9" s="19" t="n">
        <f aca="false">V8-Waterfall!V23</f>
        <v>0</v>
      </c>
      <c r="W9" s="19" t="n">
        <f aca="false">W8-Waterfall!W23</f>
        <v>0</v>
      </c>
      <c r="X9" s="19" t="n">
        <f aca="false">X8-Waterfall!X23</f>
        <v>0</v>
      </c>
      <c r="Y9" s="19" t="n">
        <f aca="false">Y8-Waterfall!Y23</f>
        <v>0</v>
      </c>
      <c r="Z9" s="19" t="n">
        <f aca="false">Z8-Waterfall!Z23</f>
        <v>13.887642147287</v>
      </c>
      <c r="AA9" s="19" t="n">
        <f aca="false">AA8-Waterfall!AA23</f>
        <v>15.366639768263</v>
      </c>
      <c r="AB9" s="19" t="n">
        <f aca="false">AB8-Waterfall!AB23</f>
        <v>19.3030365072743</v>
      </c>
      <c r="AC9" s="19" t="n">
        <f aca="false">AC8-Waterfall!AC23</f>
        <v>20.57459323591</v>
      </c>
      <c r="AD9" s="19" t="n">
        <f aca="false">AD8-Waterfall!AD23</f>
        <v>23.7337665751819</v>
      </c>
      <c r="AE9" s="19" t="n">
        <f aca="false">AE8-Waterfall!AE23</f>
        <v>23.9321371074356</v>
      </c>
      <c r="AF9" s="19" t="n">
        <f aca="false">AF8-Waterfall!AF23</f>
        <v>23.6043472038103</v>
      </c>
      <c r="AG9" s="19" t="n">
        <f aca="false">AG8-Waterfall!AG23</f>
        <v>23.2317499211891</v>
      </c>
      <c r="AH9" s="19" t="n">
        <f aca="false">AH8-Waterfall!AH23</f>
        <v>23.0447987452329</v>
      </c>
      <c r="AI9" s="19" t="n">
        <f aca="false">AI8-Waterfall!AI23</f>
        <v>23.2317499211891</v>
      </c>
      <c r="AJ9" s="19" t="n">
        <f aca="false">AJ8-Waterfall!AJ23</f>
        <v>23.107115803885</v>
      </c>
      <c r="AK9" s="19" t="n">
        <f aca="false">AK8-Waterfall!AK23</f>
        <v>23.2317499211891</v>
      </c>
      <c r="AL9" s="19" t="n">
        <f aca="false">AL8-Waterfall!AL23</f>
        <v>23.0447987452329</v>
      </c>
      <c r="AM9" s="19" t="n">
        <f aca="false">AM8-Waterfall!AM23</f>
        <v>23.2317499211891</v>
      </c>
      <c r="AN9" s="19" t="n">
        <f aca="false">AN8-Waterfall!AN23</f>
        <v>23.0447987452329</v>
      </c>
      <c r="AO9" s="19" t="n">
        <f aca="false">AO8-Waterfall!AO23</f>
        <v>23.2317499211891</v>
      </c>
      <c r="AP9" s="19" t="n">
        <f aca="false">AP8-Waterfall!AP23</f>
        <v>23.0447987452329</v>
      </c>
      <c r="AQ9" s="19" t="n">
        <f aca="false">AQ8-Waterfall!AQ23</f>
        <v>23.2317499211891</v>
      </c>
      <c r="AR9" s="19" t="n">
        <f aca="false">AR8-Waterfall!AR23</f>
        <v>23.107115803885</v>
      </c>
      <c r="AS9" s="19" t="n">
        <f aca="false">AS8-Waterfall!AS23</f>
        <v>23.2317499211891</v>
      </c>
      <c r="AT9" s="19" t="n">
        <f aca="false">AT8-Waterfall!AT23</f>
        <v>23.0447987452329</v>
      </c>
      <c r="AU9" s="19" t="n">
        <f aca="false">AU8-Waterfall!AU23</f>
        <v>23.2317499211891</v>
      </c>
      <c r="AV9" s="19" t="n">
        <f aca="false">AV8-Waterfall!AV23</f>
        <v>23.0533401819306</v>
      </c>
      <c r="AW9" s="19" t="n">
        <f aca="false">AW8-Waterfall!AW23</f>
        <v>25.0503904348706</v>
      </c>
      <c r="AX9" s="19" t="n">
        <f aca="false">AX8-Waterfall!AX23</f>
        <v>25.1508622905596</v>
      </c>
      <c r="AY9" s="19" t="n">
        <f aca="false">AY8-Waterfall!AY23</f>
        <v>24.9746741850431</v>
      </c>
      <c r="AZ9" s="19" t="n">
        <f aca="false">AZ8-Waterfall!AZ23</f>
        <v>25.2447615195311</v>
      </c>
      <c r="BA9" s="19" t="n">
        <f aca="false">BA8-Waterfall!BA23</f>
        <v>26.4296082744351</v>
      </c>
      <c r="BB9" s="19" t="n">
        <f aca="false">BB8-Waterfall!BB23</f>
        <v>26.5404185160733</v>
      </c>
      <c r="BC9" s="19" t="n">
        <f aca="false">BC8-Waterfall!BC23</f>
        <v>31.0730822191862</v>
      </c>
      <c r="BD9" s="19" t="n">
        <f aca="false">BD8-Waterfall!BD23</f>
        <v>31.1898989720418</v>
      </c>
      <c r="BE9" s="19" t="n">
        <f aca="false">BE8-Waterfall!BE23</f>
        <v>34.1520286404255</v>
      </c>
      <c r="BF9" s="19" t="n">
        <f aca="false">BF8-Waterfall!BF23</f>
        <v>34.2751060537202</v>
      </c>
      <c r="BG9" s="19" t="n">
        <f aca="false">BG8-Waterfall!BG23</f>
        <v>35.827659376166</v>
      </c>
      <c r="BH9" s="19" t="n">
        <f aca="false">BH8-Waterfall!BH23</f>
        <v>36.1549955143621</v>
      </c>
      <c r="BI9" s="19" t="n">
        <f aca="false">BI8-Waterfall!BI23</f>
        <v>37.5865853074074</v>
      </c>
      <c r="BJ9" s="19" t="n">
        <f aca="false">BJ8-Waterfall!BJ23</f>
        <v>37.7218247100396</v>
      </c>
      <c r="BK9" s="19" t="n">
        <f aca="false">BK8-Waterfall!BK23</f>
        <v>39.4331843358165</v>
      </c>
      <c r="BL9" s="19" t="n">
        <f aca="false">BL8-Waterfall!BL23</f>
        <v>39.5754471499961</v>
      </c>
      <c r="BM9" s="19" t="n">
        <f aca="false">BM8-Waterfall!BM23</f>
        <v>41.3558134666003</v>
      </c>
      <c r="BN9" s="19" t="n">
        <f aca="false">BN8-Waterfall!BN23</f>
        <v>41.5042168372112</v>
      </c>
      <c r="BO9" s="19" t="n">
        <f aca="false">BO8-Waterfall!BO23</f>
        <v>36.3859277619612</v>
      </c>
      <c r="BP9" s="19" t="n">
        <f aca="false">BP8-Waterfall!BP23</f>
        <v>36.782607101421</v>
      </c>
      <c r="BQ9" s="19" t="n">
        <f aca="false">BQ8-Waterfall!BQ23</f>
        <v>38.4991094572439</v>
      </c>
      <c r="BR9" s="19" t="n">
        <f aca="false">BR8-Waterfall!BR23</f>
        <v>38.182372238154</v>
      </c>
      <c r="BS9" s="19" t="n">
        <f aca="false">BS8-Waterfall!BS23</f>
        <v>40.1753349166406</v>
      </c>
      <c r="BT9" s="19" t="n">
        <f aca="false">BT8-Waterfall!BT23</f>
        <v>39.8478504332762</v>
      </c>
      <c r="BU9" s="19" t="n">
        <f aca="false">BU8-Waterfall!BU23</f>
        <v>48.8987871038368</v>
      </c>
      <c r="BV9" s="19" t="n">
        <f aca="false">BV8-Waterfall!BV23</f>
        <v>48.5601185394209</v>
      </c>
      <c r="BW9" s="19" t="n">
        <f aca="false">BW8-Waterfall!BW23</f>
        <v>50.7000252078501</v>
      </c>
      <c r="BX9" s="19" t="n">
        <f aca="false">BX8-Waterfall!BX23</f>
        <v>50.6279568693624</v>
      </c>
      <c r="BY9" s="19" t="n">
        <f aca="false">BY8-Waterfall!BY23</f>
        <v>52.5658535391762</v>
      </c>
      <c r="BZ9" s="19" t="n">
        <f aca="false">BZ8-Waterfall!BZ23</f>
        <v>52.2034649826373</v>
      </c>
      <c r="CA9" s="19" t="n">
        <f aca="false">CA8-Waterfall!CA23</f>
        <v>49.9877511628354</v>
      </c>
      <c r="CB9" s="19" t="n">
        <f aca="false">CB8-Waterfall!CB23</f>
        <v>49.6128055244397</v>
      </c>
      <c r="CC9" s="19" t="n">
        <f aca="false">CC8-Waterfall!CC23</f>
        <v>51.9870481968132</v>
      </c>
      <c r="CD9" s="19" t="n">
        <f aca="false">CD8-Waterfall!CD23</f>
        <v>51.5990663118775</v>
      </c>
      <c r="CE9" s="19" t="n">
        <f aca="false">CE8-Waterfall!CE23</f>
        <v>51.8718123417449</v>
      </c>
      <c r="CF9" s="19" t="n">
        <f aca="false">CF8-Waterfall!CF23</f>
        <v>45.5693846585806</v>
      </c>
      <c r="CG9" s="19" t="n">
        <f aca="false">CG8-Waterfall!CG23</f>
        <v>48.55299127962</v>
      </c>
      <c r="CH9" s="19" t="n">
        <f aca="false">CH8-Waterfall!CH23</f>
        <v>0</v>
      </c>
      <c r="CI9" s="19" t="n">
        <f aca="false">CI8-Waterfall!CI23</f>
        <v>5.55648191080975E-014</v>
      </c>
      <c r="CJ9" s="19" t="n">
        <f aca="false">CJ8-Waterfall!CJ23</f>
        <v>5.51181991980927E-014</v>
      </c>
      <c r="CK9" s="19" t="n">
        <f aca="false">CK8-Waterfall!CK23</f>
        <v>5.55648191080975E-014</v>
      </c>
      <c r="CL9" s="19" t="n">
        <f aca="false">CL8-Waterfall!CL23</f>
        <v>5.51181991980927E-014</v>
      </c>
      <c r="CM9" s="19" t="n">
        <f aca="false">CM8-Waterfall!CM23</f>
        <v>5.55648191080975E-014</v>
      </c>
      <c r="CN9" s="19" t="n">
        <f aca="false">CN8-Waterfall!CN23</f>
        <v>5.52670725014276E-014</v>
      </c>
      <c r="CO9" s="19" t="n">
        <f aca="false">CO8-Waterfall!CO23</f>
        <v>5.55648191080975E-014</v>
      </c>
      <c r="CP9" s="19" t="n">
        <f aca="false">CP8-Waterfall!CP23</f>
        <v>5.51181991980927E-014</v>
      </c>
      <c r="CQ9" s="19" t="n">
        <f aca="false">CQ8-Waterfall!CQ23</f>
        <v>0</v>
      </c>
      <c r="CR9" s="19" t="n">
        <f aca="false">CR8-Waterfall!CR23</f>
        <v>0</v>
      </c>
      <c r="CS9" s="19" t="n">
        <f aca="false">CS8-Waterfall!CS23</f>
        <v>0</v>
      </c>
      <c r="CT9" s="19" t="n">
        <f aca="false">CT8-Waterfall!CT23</f>
        <v>0</v>
      </c>
      <c r="CU9" s="19" t="n">
        <f aca="false">CU8-Waterfall!CU23</f>
        <v>0</v>
      </c>
      <c r="CV9" s="19" t="n">
        <f aca="false">CV8-Waterfall!CV23</f>
        <v>0</v>
      </c>
      <c r="CW9" s="19" t="n">
        <f aca="false">CW8-Waterfall!CW23</f>
        <v>0</v>
      </c>
      <c r="CX9" s="19" t="n">
        <f aca="false">CX8-Waterfall!CX23</f>
        <v>0</v>
      </c>
      <c r="CY9" s="19" t="n">
        <f aca="false">CY8-Waterfall!CY23</f>
        <v>0</v>
      </c>
      <c r="CZ9" s="19" t="n">
        <f aca="false">CZ8-Waterfall!CZ23</f>
        <v>0</v>
      </c>
      <c r="DA9" s="19" t="n">
        <f aca="false">DA8-Waterfall!DA23</f>
        <v>0</v>
      </c>
      <c r="DB9" s="19" t="n">
        <f aca="false">DB8-Waterfall!DB23</f>
        <v>0</v>
      </c>
    </row>
    <row r="10" customFormat="false" ht="15" hidden="false" customHeight="false" outlineLevel="0" collapsed="false">
      <c r="D10" s="0" t="s">
        <v>579</v>
      </c>
      <c r="E10" s="0" t="s">
        <v>44</v>
      </c>
      <c r="J10" s="19" t="n">
        <f aca="false">J7-J9</f>
        <v>0</v>
      </c>
      <c r="K10" s="19" t="n">
        <f aca="false">K7-K9</f>
        <v>0</v>
      </c>
      <c r="L10" s="19" t="n">
        <f aca="false">L7-L9</f>
        <v>0</v>
      </c>
      <c r="M10" s="19" t="n">
        <f aca="false">M7-M9</f>
        <v>0</v>
      </c>
      <c r="N10" s="19" t="n">
        <f aca="false">N7-N9</f>
        <v>0</v>
      </c>
      <c r="O10" s="19" t="n">
        <f aca="false">O7-O9</f>
        <v>0</v>
      </c>
      <c r="P10" s="19" t="n">
        <f aca="false">P7-P9</f>
        <v>0</v>
      </c>
      <c r="Q10" s="19" t="n">
        <f aca="false">Q7-Q9</f>
        <v>0</v>
      </c>
      <c r="R10" s="19" t="n">
        <f aca="false">R7-R9</f>
        <v>0</v>
      </c>
      <c r="S10" s="19" t="n">
        <f aca="false">S7-S9</f>
        <v>0</v>
      </c>
      <c r="T10" s="19" t="n">
        <f aca="false">T7-T9</f>
        <v>0</v>
      </c>
      <c r="U10" s="19" t="n">
        <f aca="false">U7-U9</f>
        <v>0</v>
      </c>
      <c r="V10" s="19" t="n">
        <f aca="false">V7-V9</f>
        <v>0</v>
      </c>
      <c r="W10" s="19" t="n">
        <f aca="false">W7-W9</f>
        <v>0</v>
      </c>
      <c r="X10" s="19" t="n">
        <f aca="false">X7-X9</f>
        <v>0</v>
      </c>
      <c r="Y10" s="19" t="n">
        <f aca="false">Y7-Y9</f>
        <v>13.887642147287</v>
      </c>
      <c r="Z10" s="19" t="n">
        <f aca="false">Z7-Z9</f>
        <v>1.47899762097601</v>
      </c>
      <c r="AA10" s="19" t="n">
        <f aca="false">AA7-AA9</f>
        <v>3.93639673901128</v>
      </c>
      <c r="AB10" s="19" t="n">
        <f aca="false">AB7-AB9</f>
        <v>1.27155672863575</v>
      </c>
      <c r="AC10" s="19" t="n">
        <f aca="false">AC7-AC9</f>
        <v>3.15917333927185</v>
      </c>
      <c r="AD10" s="19" t="n">
        <f aca="false">AD7-AD9</f>
        <v>0.198370532253662</v>
      </c>
      <c r="AE10" s="19" t="n">
        <f aca="false">AE7-AE9</f>
        <v>-0.327789903625298</v>
      </c>
      <c r="AF10" s="19" t="n">
        <f aca="false">AF7-AF9</f>
        <v>-0.372597282621186</v>
      </c>
      <c r="AG10" s="19" t="n">
        <f aca="false">AG7-AG9</f>
        <v>-0.186951175956168</v>
      </c>
      <c r="AH10" s="19" t="n">
        <f aca="false">AH7-AH9</f>
        <v>0.186951175956168</v>
      </c>
      <c r="AI10" s="19" t="n">
        <f aca="false">AI7-AI9</f>
        <v>-0.124634117304112</v>
      </c>
      <c r="AJ10" s="19" t="n">
        <f aca="false">AJ7-AJ9</f>
        <v>0.124634117304112</v>
      </c>
      <c r="AK10" s="19" t="n">
        <f aca="false">AK7-AK9</f>
        <v>-0.186951175956168</v>
      </c>
      <c r="AL10" s="19" t="n">
        <f aca="false">AL7-AL9</f>
        <v>0.186951175956168</v>
      </c>
      <c r="AM10" s="19" t="n">
        <f aca="false">AM7-AM9</f>
        <v>-0.186951175956168</v>
      </c>
      <c r="AN10" s="19" t="n">
        <f aca="false">AN7-AN9</f>
        <v>0.186951175956168</v>
      </c>
      <c r="AO10" s="19" t="n">
        <f aca="false">AO7-AO9</f>
        <v>-0.186951175956168</v>
      </c>
      <c r="AP10" s="19" t="n">
        <f aca="false">AP7-AP9</f>
        <v>0.186951175956168</v>
      </c>
      <c r="AQ10" s="19" t="n">
        <f aca="false">AQ7-AQ9</f>
        <v>-0.124634117304112</v>
      </c>
      <c r="AR10" s="19" t="n">
        <f aca="false">AR7-AR9</f>
        <v>0.124634117304112</v>
      </c>
      <c r="AS10" s="19" t="n">
        <f aca="false">AS7-AS9</f>
        <v>-0.186951175956168</v>
      </c>
      <c r="AT10" s="19" t="n">
        <f aca="false">AT7-AT9</f>
        <v>0.186951175956168</v>
      </c>
      <c r="AU10" s="19" t="n">
        <f aca="false">AU7-AU9</f>
        <v>-0.178409739258523</v>
      </c>
      <c r="AV10" s="19" t="n">
        <f aca="false">AV7-AV9</f>
        <v>1.99705025294008</v>
      </c>
      <c r="AW10" s="19" t="n">
        <f aca="false">AW7-AW9</f>
        <v>0.100471855688944</v>
      </c>
      <c r="AX10" s="19" t="n">
        <f aca="false">AX7-AX9</f>
        <v>-0.176188105516452</v>
      </c>
      <c r="AY10" s="19" t="n">
        <f aca="false">AY7-AY9</f>
        <v>0.270087334487961</v>
      </c>
      <c r="AZ10" s="19" t="n">
        <f aca="false">AZ7-AZ9</f>
        <v>1.18484675490398</v>
      </c>
      <c r="BA10" s="19" t="n">
        <f aca="false">BA7-BA9</f>
        <v>0.110810241638241</v>
      </c>
      <c r="BB10" s="19" t="n">
        <f aca="false">BB7-BB9</f>
        <v>4.5326637031129</v>
      </c>
      <c r="BC10" s="19" t="n">
        <f aca="false">BC7-BC9</f>
        <v>0.116816752855573</v>
      </c>
      <c r="BD10" s="19" t="n">
        <f aca="false">BD7-BD9</f>
        <v>2.96212966838375</v>
      </c>
      <c r="BE10" s="19" t="n">
        <f aca="false">BE7-BE9</f>
        <v>0.123077413294624</v>
      </c>
      <c r="BF10" s="19" t="n">
        <f aca="false">BF7-BF9</f>
        <v>1.55255332244582</v>
      </c>
      <c r="BG10" s="19" t="n">
        <f aca="false">BG7-BG9</f>
        <v>0.327336138196081</v>
      </c>
      <c r="BH10" s="19" t="n">
        <f aca="false">BH7-BH9</f>
        <v>1.4315897930453</v>
      </c>
      <c r="BI10" s="19" t="n">
        <f aca="false">BI7-BI9</f>
        <v>0.135239402632266</v>
      </c>
      <c r="BJ10" s="19" t="n">
        <f aca="false">BJ7-BJ9</f>
        <v>1.71135962577682</v>
      </c>
      <c r="BK10" s="19" t="n">
        <f aca="false">BK7-BK9</f>
        <v>0.142262814179659</v>
      </c>
      <c r="BL10" s="19" t="n">
        <f aca="false">BL7-BL9</f>
        <v>1.78036631660414</v>
      </c>
      <c r="BM10" s="19" t="n">
        <f aca="false">BM7-BM9</f>
        <v>0.14840337061095</v>
      </c>
      <c r="BN10" s="19" t="n">
        <f aca="false">BN7-BN9</f>
        <v>-5.11828907525001</v>
      </c>
      <c r="BO10" s="19" t="n">
        <f aca="false">BO7-BO9</f>
        <v>0.396679339459794</v>
      </c>
      <c r="BP10" s="19" t="n">
        <f aca="false">BP7-BP9</f>
        <v>1.71650235582289</v>
      </c>
      <c r="BQ10" s="19" t="n">
        <f aca="false">BQ7-BQ9</f>
        <v>-0.316737219089866</v>
      </c>
      <c r="BR10" s="19" t="n">
        <f aca="false">BR7-BR9</f>
        <v>1.99296267848662</v>
      </c>
      <c r="BS10" s="19" t="n">
        <f aca="false">BS7-BS9</f>
        <v>-0.327484483364465</v>
      </c>
      <c r="BT10" s="19" t="n">
        <f aca="false">BT7-BT9</f>
        <v>9.05093667056065</v>
      </c>
      <c r="BU10" s="19" t="n">
        <f aca="false">BU7-BU9</f>
        <v>-0.338668564415897</v>
      </c>
      <c r="BV10" s="19" t="n">
        <f aca="false">BV7-BV9</f>
        <v>2.13990666842921</v>
      </c>
      <c r="BW10" s="19" t="n">
        <f aca="false">BW7-BW9</f>
        <v>-0.0720683384876892</v>
      </c>
      <c r="BX10" s="19" t="n">
        <f aca="false">BX7-BX9</f>
        <v>1.93789666981375</v>
      </c>
      <c r="BY10" s="19" t="n">
        <f aca="false">BY7-BY9</f>
        <v>-0.362388556538932</v>
      </c>
      <c r="BZ10" s="19" t="n">
        <f aca="false">BZ7-BZ9</f>
        <v>-2.21571381980186</v>
      </c>
      <c r="CA10" s="19" t="n">
        <f aca="false">CA7-CA9</f>
        <v>-0.374945638395701</v>
      </c>
      <c r="CB10" s="19" t="n">
        <f aca="false">CB7-CB9</f>
        <v>2.37424267237353</v>
      </c>
      <c r="CC10" s="19" t="n">
        <f aca="false">CC7-CC9</f>
        <v>-0.387981884935762</v>
      </c>
      <c r="CD10" s="19" t="n">
        <f aca="false">CD7-CD9</f>
        <v>0.272746029867385</v>
      </c>
      <c r="CE10" s="19" t="n">
        <f aca="false">CE7-CE9</f>
        <v>-6.3024276831643</v>
      </c>
      <c r="CF10" s="19" t="n">
        <f aca="false">CF7-CF9</f>
        <v>2.98360662103948</v>
      </c>
      <c r="CG10" s="19" t="n">
        <f aca="false">CG7-CG9</f>
        <v>-48.55299127962</v>
      </c>
      <c r="CH10" s="19" t="n">
        <f aca="false">CH7-CH9</f>
        <v>5.55648191080975E-014</v>
      </c>
      <c r="CI10" s="19" t="n">
        <f aca="false">CI7-CI9</f>
        <v>-4.46619910004826E-016</v>
      </c>
      <c r="CJ10" s="19" t="n">
        <f aca="false">CJ7-CJ9</f>
        <v>4.46619910004826E-016</v>
      </c>
      <c r="CK10" s="19" t="n">
        <f aca="false">CK7-CK9</f>
        <v>-4.46619910004826E-016</v>
      </c>
      <c r="CL10" s="19" t="n">
        <f aca="false">CL7-CL9</f>
        <v>4.46619910004826E-016</v>
      </c>
      <c r="CM10" s="19" t="n">
        <f aca="false">CM7-CM9</f>
        <v>-2.97746606669886E-016</v>
      </c>
      <c r="CN10" s="19" t="n">
        <f aca="false">CN7-CN9</f>
        <v>2.97746606669886E-016</v>
      </c>
      <c r="CO10" s="19" t="n">
        <f aca="false">CO7-CO9</f>
        <v>-4.46619910004826E-016</v>
      </c>
      <c r="CP10" s="19" t="n">
        <f aca="false">CP7-CP9</f>
        <v>4.46619910004826E-016</v>
      </c>
      <c r="CQ10" s="19" t="n">
        <f aca="false">CQ7-CQ9</f>
        <v>5.51181991980927E-014</v>
      </c>
      <c r="CR10" s="19" t="n">
        <f aca="false">CR7-CR9</f>
        <v>5.55648191080975E-014</v>
      </c>
      <c r="CS10" s="19" t="n">
        <f aca="false">CS7-CS9</f>
        <v>5.51181991980927E-014</v>
      </c>
      <c r="CT10" s="19" t="n">
        <f aca="false">CT7-CT9</f>
        <v>5.55648191080975E-014</v>
      </c>
      <c r="CU10" s="19" t="n">
        <f aca="false">CU7-CU9</f>
        <v>5.52670725014276E-014</v>
      </c>
      <c r="CV10" s="19" t="n">
        <f aca="false">CV7-CV9</f>
        <v>5.55648191080975E-014</v>
      </c>
      <c r="CW10" s="19" t="n">
        <f aca="false">CW7-CW9</f>
        <v>5.51181991980927E-014</v>
      </c>
      <c r="CX10" s="19" t="n">
        <f aca="false">CX7-CX9</f>
        <v>5.55648191080975E-014</v>
      </c>
      <c r="CY10" s="19" t="n">
        <f aca="false">CY7-CY9</f>
        <v>5.51181991980927E-014</v>
      </c>
      <c r="CZ10" s="19" t="n">
        <f aca="false">CZ7-CZ9</f>
        <v>5.55648191080975E-014</v>
      </c>
      <c r="DA10" s="19" t="n">
        <f aca="false">DA7-DA9</f>
        <v>5.51181991980927E-014</v>
      </c>
      <c r="DB10" s="19" t="n">
        <f aca="false">DB7-DB9</f>
        <v>0</v>
      </c>
    </row>
    <row r="11" customFormat="false" ht="15" hidden="false" customHeight="false" outlineLevel="0" collapsed="false">
      <c r="D11" s="0" t="s">
        <v>580</v>
      </c>
      <c r="E11" s="0" t="s">
        <v>44</v>
      </c>
      <c r="G11" s="19" t="n">
        <f aca="false">SUM(J11:DB11)</f>
        <v>52.7210635411881</v>
      </c>
      <c r="J11" s="19" t="n">
        <f aca="false">MIN(MAX(0,Waterfall!J24),MAX(0,J10))*(1-Time!J20)</f>
        <v>0</v>
      </c>
      <c r="K11" s="19" t="n">
        <f aca="false">MIN(MAX(0,Waterfall!K24),MAX(0,K10))*(1-Time!K20)</f>
        <v>0</v>
      </c>
      <c r="L11" s="19" t="n">
        <f aca="false">MIN(MAX(0,Waterfall!L24),MAX(0,L10))*(1-Time!L20)</f>
        <v>0</v>
      </c>
      <c r="M11" s="19" t="n">
        <f aca="false">MIN(MAX(0,Waterfall!M24),MAX(0,M10))*(1-Time!M20)</f>
        <v>0</v>
      </c>
      <c r="N11" s="19" t="n">
        <f aca="false">MIN(MAX(0,Waterfall!N24),MAX(0,N10))*(1-Time!N20)</f>
        <v>0</v>
      </c>
      <c r="O11" s="19" t="n">
        <f aca="false">MIN(MAX(0,Waterfall!O24),MAX(0,O10))*(1-Time!O20)</f>
        <v>0</v>
      </c>
      <c r="P11" s="19" t="n">
        <f aca="false">MIN(MAX(0,Waterfall!P24),MAX(0,P10))*(1-Time!P20)</f>
        <v>0</v>
      </c>
      <c r="Q11" s="19" t="n">
        <f aca="false">MIN(MAX(0,Waterfall!Q24),MAX(0,Q10))*(1-Time!Q20)</f>
        <v>0</v>
      </c>
      <c r="R11" s="19" t="n">
        <f aca="false">MIN(MAX(0,Waterfall!R24),MAX(0,R10))*(1-Time!R20)</f>
        <v>0</v>
      </c>
      <c r="S11" s="19" t="n">
        <f aca="false">MIN(MAX(0,Waterfall!S24),MAX(0,S10))*(1-Time!S20)</f>
        <v>0</v>
      </c>
      <c r="T11" s="19" t="n">
        <f aca="false">MIN(MAX(0,Waterfall!T24),MAX(0,T10))*(1-Time!T20)</f>
        <v>0</v>
      </c>
      <c r="U11" s="19" t="n">
        <f aca="false">MIN(MAX(0,Waterfall!U24),MAX(0,U10))*(1-Time!U20)</f>
        <v>0</v>
      </c>
      <c r="V11" s="19" t="n">
        <f aca="false">MIN(MAX(0,Waterfall!V24),MAX(0,V10))*(1-Time!V20)</f>
        <v>0</v>
      </c>
      <c r="W11" s="19" t="n">
        <f aca="false">MIN(MAX(0,Waterfall!W24),MAX(0,W10))*(1-Time!W20)</f>
        <v>0</v>
      </c>
      <c r="X11" s="19" t="n">
        <f aca="false">MIN(MAX(0,Waterfall!X24),MAX(0,X10))*(1-Time!X20)</f>
        <v>0</v>
      </c>
      <c r="Y11" s="19" t="n">
        <f aca="false">MIN(MAX(0,Waterfall!Y24),MAX(0,Y10))*(1-Time!Y20)</f>
        <v>0</v>
      </c>
      <c r="Z11" s="19" t="n">
        <f aca="false">MIN(MAX(0,Waterfall!Z24),MAX(0,Z10))*(1-Time!Z20)</f>
        <v>1.47899762097601</v>
      </c>
      <c r="AA11" s="19" t="n">
        <f aca="false">MIN(MAX(0,Waterfall!AA24),MAX(0,AA10))*(1-Time!AA20)</f>
        <v>3.93639673901128</v>
      </c>
      <c r="AB11" s="19" t="n">
        <f aca="false">MIN(MAX(0,Waterfall!AB24),MAX(0,AB10))*(1-Time!AB20)</f>
        <v>1.27155672863575</v>
      </c>
      <c r="AC11" s="19" t="n">
        <f aca="false">MIN(MAX(0,Waterfall!AC24),MAX(0,AC10))*(1-Time!AC20)</f>
        <v>3.15917333927185</v>
      </c>
      <c r="AD11" s="19" t="n">
        <f aca="false">MIN(MAX(0,Waterfall!AD24),MAX(0,AD10))*(1-Time!AD20)</f>
        <v>0.198370532253662</v>
      </c>
      <c r="AE11" s="19" t="n">
        <f aca="false">MIN(MAX(0,Waterfall!AE24),MAX(0,AE10))*(1-Time!AE20)</f>
        <v>0</v>
      </c>
      <c r="AF11" s="19" t="n">
        <f aca="false">MIN(MAX(0,Waterfall!AF24),MAX(0,AF10))*(1-Time!AF20)</f>
        <v>0</v>
      </c>
      <c r="AG11" s="19" t="n">
        <f aca="false">MIN(MAX(0,Waterfall!AG24),MAX(0,AG10))*(1-Time!AG20)</f>
        <v>0</v>
      </c>
      <c r="AH11" s="19" t="n">
        <f aca="false">MIN(MAX(0,Waterfall!AH24),MAX(0,AH10))*(1-Time!AH20)</f>
        <v>0.186951175956168</v>
      </c>
      <c r="AI11" s="19" t="n">
        <f aca="false">MIN(MAX(0,Waterfall!AI24),MAX(0,AI10))*(1-Time!AI20)</f>
        <v>0</v>
      </c>
      <c r="AJ11" s="19" t="n">
        <f aca="false">MIN(MAX(0,Waterfall!AJ24),MAX(0,AJ10))*(1-Time!AJ20)</f>
        <v>0.124634117304112</v>
      </c>
      <c r="AK11" s="19" t="n">
        <f aca="false">MIN(MAX(0,Waterfall!AK24),MAX(0,AK10))*(1-Time!AK20)</f>
        <v>0</v>
      </c>
      <c r="AL11" s="19" t="n">
        <f aca="false">MIN(MAX(0,Waterfall!AL24),MAX(0,AL10))*(1-Time!AL20)</f>
        <v>0.186951175956168</v>
      </c>
      <c r="AM11" s="19" t="n">
        <f aca="false">MIN(MAX(0,Waterfall!AM24),MAX(0,AM10))*(1-Time!AM20)</f>
        <v>0</v>
      </c>
      <c r="AN11" s="19" t="n">
        <f aca="false">MIN(MAX(0,Waterfall!AN24),MAX(0,AN10))*(1-Time!AN20)</f>
        <v>0.186951175956168</v>
      </c>
      <c r="AO11" s="19" t="n">
        <f aca="false">MIN(MAX(0,Waterfall!AO24),MAX(0,AO10))*(1-Time!AO20)</f>
        <v>0</v>
      </c>
      <c r="AP11" s="19" t="n">
        <f aca="false">MIN(MAX(0,Waterfall!AP24),MAX(0,AP10))*(1-Time!AP20)</f>
        <v>0.186951175956168</v>
      </c>
      <c r="AQ11" s="19" t="n">
        <f aca="false">MIN(MAX(0,Waterfall!AQ24),MAX(0,AQ10))*(1-Time!AQ20)</f>
        <v>0</v>
      </c>
      <c r="AR11" s="19" t="n">
        <f aca="false">MIN(MAX(0,Waterfall!AR24),MAX(0,AR10))*(1-Time!AR20)</f>
        <v>0.124634117304112</v>
      </c>
      <c r="AS11" s="19" t="n">
        <f aca="false">MIN(MAX(0,Waterfall!AS24),MAX(0,AS10))*(1-Time!AS20)</f>
        <v>0</v>
      </c>
      <c r="AT11" s="19" t="n">
        <f aca="false">MIN(MAX(0,Waterfall!AT24),MAX(0,AT10))*(1-Time!AT20)</f>
        <v>0.186951175956168</v>
      </c>
      <c r="AU11" s="19" t="n">
        <f aca="false">MIN(MAX(0,Waterfall!AU24),MAX(0,AU10))*(1-Time!AU20)</f>
        <v>0</v>
      </c>
      <c r="AV11" s="19" t="n">
        <f aca="false">MIN(MAX(0,Waterfall!AV24),MAX(0,AV10))*(1-Time!AV20)</f>
        <v>1.99705025294008</v>
      </c>
      <c r="AW11" s="19" t="n">
        <f aca="false">MIN(MAX(0,Waterfall!AW24),MAX(0,AW10))*(1-Time!AW20)</f>
        <v>0.100471855688944</v>
      </c>
      <c r="AX11" s="19" t="n">
        <f aca="false">MIN(MAX(0,Waterfall!AX24),MAX(0,AX10))*(1-Time!AX20)</f>
        <v>0</v>
      </c>
      <c r="AY11" s="19" t="n">
        <f aca="false">MIN(MAX(0,Waterfall!AY24),MAX(0,AY10))*(1-Time!AY20)</f>
        <v>0.270087334487961</v>
      </c>
      <c r="AZ11" s="19" t="n">
        <f aca="false">MIN(MAX(0,Waterfall!AZ24),MAX(0,AZ10))*(1-Time!AZ20)</f>
        <v>1.18484675490398</v>
      </c>
      <c r="BA11" s="19" t="n">
        <f aca="false">MIN(MAX(0,Waterfall!BA24),MAX(0,BA10))*(1-Time!BA20)</f>
        <v>0.110810241638241</v>
      </c>
      <c r="BB11" s="19" t="n">
        <f aca="false">MIN(MAX(0,Waterfall!BB24),MAX(0,BB10))*(1-Time!BB20)</f>
        <v>4.5326637031129</v>
      </c>
      <c r="BC11" s="19" t="n">
        <f aca="false">MIN(MAX(0,Waterfall!BC24),MAX(0,BC10))*(1-Time!BC20)</f>
        <v>0.116816752855573</v>
      </c>
      <c r="BD11" s="19" t="n">
        <f aca="false">MIN(MAX(0,Waterfall!BD24),MAX(0,BD10))*(1-Time!BD20)</f>
        <v>2.96212966838375</v>
      </c>
      <c r="BE11" s="19" t="n">
        <f aca="false">MIN(MAX(0,Waterfall!BE24),MAX(0,BE10))*(1-Time!BE20)</f>
        <v>0.123077413294624</v>
      </c>
      <c r="BF11" s="19" t="n">
        <f aca="false">MIN(MAX(0,Waterfall!BF24),MAX(0,BF10))*(1-Time!BF20)</f>
        <v>1.55255332244582</v>
      </c>
      <c r="BG11" s="19" t="n">
        <f aca="false">MIN(MAX(0,Waterfall!BG24),MAX(0,BG10))*(1-Time!BG20)</f>
        <v>0.327336138196081</v>
      </c>
      <c r="BH11" s="19" t="n">
        <f aca="false">MIN(MAX(0,Waterfall!BH24),MAX(0,BH10))*(1-Time!BH20)</f>
        <v>1.4315897930453</v>
      </c>
      <c r="BI11" s="19" t="n">
        <f aca="false">MIN(MAX(0,Waterfall!BI24),MAX(0,BI10))*(1-Time!BI20)</f>
        <v>0.135239402632266</v>
      </c>
      <c r="BJ11" s="19" t="n">
        <f aca="false">MIN(MAX(0,Waterfall!BJ24),MAX(0,BJ10))*(1-Time!BJ20)</f>
        <v>1.71135962577682</v>
      </c>
      <c r="BK11" s="19" t="n">
        <f aca="false">MIN(MAX(0,Waterfall!BK24),MAX(0,BK10))*(1-Time!BK20)</f>
        <v>0.142262814179659</v>
      </c>
      <c r="BL11" s="19" t="n">
        <f aca="false">MIN(MAX(0,Waterfall!BL24),MAX(0,BL10))*(1-Time!BL20)</f>
        <v>1.78036631660414</v>
      </c>
      <c r="BM11" s="19" t="n">
        <f aca="false">MIN(MAX(0,Waterfall!BM24),MAX(0,BM10))*(1-Time!BM20)</f>
        <v>0.14840337061095</v>
      </c>
      <c r="BN11" s="19" t="n">
        <f aca="false">MIN(MAX(0,Waterfall!BN24),MAX(0,BN10))*(1-Time!BN20)</f>
        <v>0</v>
      </c>
      <c r="BO11" s="19" t="n">
        <f aca="false">MIN(MAX(0,Waterfall!BO24),MAX(0,BO10))*(1-Time!BO20)</f>
        <v>0.396679339459794</v>
      </c>
      <c r="BP11" s="19" t="n">
        <f aca="false">MIN(MAX(0,Waterfall!BP24),MAX(0,BP10))*(1-Time!BP20)</f>
        <v>1.71650235582289</v>
      </c>
      <c r="BQ11" s="19" t="n">
        <f aca="false">MIN(MAX(0,Waterfall!BQ24),MAX(0,BQ10))*(1-Time!BQ20)</f>
        <v>0</v>
      </c>
      <c r="BR11" s="19" t="n">
        <f aca="false">MIN(MAX(0,Waterfall!BR24),MAX(0,BR10))*(1-Time!BR20)</f>
        <v>1.99296267848662</v>
      </c>
      <c r="BS11" s="19" t="n">
        <f aca="false">MIN(MAX(0,Waterfall!BS24),MAX(0,BS10))*(1-Time!BS20)</f>
        <v>0</v>
      </c>
      <c r="BT11" s="19" t="n">
        <f aca="false">MIN(MAX(0,Waterfall!BT24),MAX(0,BT10))*(1-Time!BT20)</f>
        <v>9.05093667056065</v>
      </c>
      <c r="BU11" s="19" t="n">
        <f aca="false">MIN(MAX(0,Waterfall!BU24),MAX(0,BU10))*(1-Time!BU20)</f>
        <v>0</v>
      </c>
      <c r="BV11" s="19" t="n">
        <f aca="false">MIN(MAX(0,Waterfall!BV24),MAX(0,BV10))*(1-Time!BV20)</f>
        <v>2.13990666842921</v>
      </c>
      <c r="BW11" s="19" t="n">
        <f aca="false">MIN(MAX(0,Waterfall!BW24),MAX(0,BW10))*(1-Time!BW20)</f>
        <v>0</v>
      </c>
      <c r="BX11" s="19" t="n">
        <f aca="false">MIN(MAX(0,Waterfall!BX24),MAX(0,BX10))*(1-Time!BX20)</f>
        <v>1.93789666981375</v>
      </c>
      <c r="BY11" s="19" t="n">
        <f aca="false">MIN(MAX(0,Waterfall!BY24),MAX(0,BY10))*(1-Time!BY20)</f>
        <v>0</v>
      </c>
      <c r="BZ11" s="19" t="n">
        <f aca="false">MIN(MAX(0,Waterfall!BZ24),MAX(0,BZ10))*(1-Time!BZ20)</f>
        <v>0</v>
      </c>
      <c r="CA11" s="19" t="n">
        <f aca="false">MIN(MAX(0,Waterfall!CA24),MAX(0,CA10))*(1-Time!CA20)</f>
        <v>0</v>
      </c>
      <c r="CB11" s="19" t="n">
        <f aca="false">MIN(MAX(0,Waterfall!CB24),MAX(0,CB10))*(1-Time!CB20)</f>
        <v>2.37424267237353</v>
      </c>
      <c r="CC11" s="19" t="n">
        <f aca="false">MIN(MAX(0,Waterfall!CC24),MAX(0,CC10))*(1-Time!CC20)</f>
        <v>0</v>
      </c>
      <c r="CD11" s="19" t="n">
        <f aca="false">MIN(MAX(0,Waterfall!CD24),MAX(0,CD10))*(1-Time!CD20)</f>
        <v>0.272746029867385</v>
      </c>
      <c r="CE11" s="19" t="n">
        <f aca="false">MIN(MAX(0,Waterfall!CE24),MAX(0,CE10))*(1-Time!CE20)</f>
        <v>0</v>
      </c>
      <c r="CF11" s="19" t="n">
        <f aca="false">MIN(MAX(0,Waterfall!CF24),MAX(0,CF10))*(1-Time!CF20)</f>
        <v>2.98360662103948</v>
      </c>
      <c r="CG11" s="19" t="n">
        <f aca="false">MIN(MAX(0,Waterfall!CG24),MAX(0,CG10))*(1-Time!CG20)</f>
        <v>0</v>
      </c>
      <c r="CH11" s="19" t="n">
        <f aca="false">MIN(MAX(0,Waterfall!CH24),MAX(0,CH10))*(1-Time!CH20)</f>
        <v>5.55648191080975E-014</v>
      </c>
      <c r="CI11" s="19" t="n">
        <f aca="false">MIN(MAX(0,Waterfall!CI24),MAX(0,CI10))*(1-Time!CI20)</f>
        <v>0</v>
      </c>
      <c r="CJ11" s="19" t="n">
        <f aca="false">MIN(MAX(0,Waterfall!CJ24),MAX(0,CJ10))*(1-Time!CJ20)</f>
        <v>4.46619910004826E-016</v>
      </c>
      <c r="CK11" s="19" t="n">
        <f aca="false">MIN(MAX(0,Waterfall!CK24),MAX(0,CK10))*(1-Time!CK20)</f>
        <v>0</v>
      </c>
      <c r="CL11" s="19" t="n">
        <f aca="false">MIN(MAX(0,Waterfall!CL24),MAX(0,CL10))*(1-Time!CL20)</f>
        <v>4.46619910004826E-016</v>
      </c>
      <c r="CM11" s="19" t="n">
        <f aca="false">MIN(MAX(0,Waterfall!CM24),MAX(0,CM10))*(1-Time!CM20)</f>
        <v>0</v>
      </c>
      <c r="CN11" s="19" t="n">
        <f aca="false">MIN(MAX(0,Waterfall!CN24),MAX(0,CN10))*(1-Time!CN20)</f>
        <v>2.97746606669886E-016</v>
      </c>
      <c r="CO11" s="19" t="n">
        <f aca="false">MIN(MAX(0,Waterfall!CO24),MAX(0,CO10))*(1-Time!CO20)</f>
        <v>0</v>
      </c>
      <c r="CP11" s="19" t="n">
        <f aca="false">MIN(MAX(0,Waterfall!CP24),MAX(0,CP10))*(1-Time!CP20)</f>
        <v>4.46619910004826E-016</v>
      </c>
      <c r="CQ11" s="19" t="n">
        <f aca="false">MIN(MAX(0,Waterfall!CQ24),MAX(0,CQ10))*(1-Time!CQ20)</f>
        <v>0</v>
      </c>
      <c r="CR11" s="19" t="n">
        <f aca="false">MIN(MAX(0,Waterfall!CR24),MAX(0,CR10))*(1-Time!CR20)</f>
        <v>0</v>
      </c>
      <c r="CS11" s="19" t="n">
        <f aca="false">MIN(MAX(0,Waterfall!CS24),MAX(0,CS10))*(1-Time!CS20)</f>
        <v>0</v>
      </c>
      <c r="CT11" s="19" t="n">
        <f aca="false">MIN(MAX(0,Waterfall!CT24),MAX(0,CT10))*(1-Time!CT20)</f>
        <v>0</v>
      </c>
      <c r="CU11" s="19" t="n">
        <f aca="false">MIN(MAX(0,Waterfall!CU24),MAX(0,CU10))*(1-Time!CU20)</f>
        <v>0</v>
      </c>
      <c r="CV11" s="19" t="n">
        <f aca="false">MIN(MAX(0,Waterfall!CV24),MAX(0,CV10))*(1-Time!CV20)</f>
        <v>0</v>
      </c>
      <c r="CW11" s="19" t="n">
        <f aca="false">MIN(MAX(0,Waterfall!CW24),MAX(0,CW10))*(1-Time!CW20)</f>
        <v>0</v>
      </c>
      <c r="CX11" s="19" t="n">
        <f aca="false">MIN(MAX(0,Waterfall!CX24),MAX(0,CX10))*(1-Time!CX20)</f>
        <v>0</v>
      </c>
      <c r="CY11" s="19" t="n">
        <f aca="false">MIN(MAX(0,Waterfall!CY24),MAX(0,CY10))*(1-Time!CY20)</f>
        <v>0</v>
      </c>
      <c r="CZ11" s="19" t="n">
        <f aca="false">MIN(MAX(0,Waterfall!CZ24),MAX(0,CZ10))*(1-Time!CZ20)</f>
        <v>0</v>
      </c>
      <c r="DA11" s="19" t="n">
        <f aca="false">MIN(MAX(0,Waterfall!DA24),MAX(0,DA10))*(1-Time!DA20)</f>
        <v>0</v>
      </c>
      <c r="DB11" s="19" t="n">
        <f aca="false">MIN(MAX(0,Waterfall!DB24),MAX(0,DB10))*(1-Time!DB20)</f>
        <v>0</v>
      </c>
    </row>
    <row r="12" customFormat="false" ht="15" hidden="false" customHeight="false" outlineLevel="0" collapsed="false">
      <c r="D12" s="0" t="s">
        <v>581</v>
      </c>
      <c r="E12" s="0" t="s">
        <v>44</v>
      </c>
      <c r="G12" s="19" t="n">
        <f aca="false">SUM(J12:DB12)</f>
        <v>66.608705688475</v>
      </c>
      <c r="J12" s="19" t="n">
        <f aca="false">MAX(0,-J10)*(1-Time!J20)</f>
        <v>-0</v>
      </c>
      <c r="K12" s="19" t="n">
        <f aca="false">MAX(0,-K10)*(1-Time!K20)</f>
        <v>-0</v>
      </c>
      <c r="L12" s="19" t="n">
        <f aca="false">MAX(0,-L10)*(1-Time!L20)</f>
        <v>-0</v>
      </c>
      <c r="M12" s="19" t="n">
        <f aca="false">MAX(0,-M10)*(1-Time!M20)</f>
        <v>-0</v>
      </c>
      <c r="N12" s="19" t="n">
        <f aca="false">MAX(0,-N10)*(1-Time!N20)</f>
        <v>-0</v>
      </c>
      <c r="O12" s="19" t="n">
        <f aca="false">MAX(0,-O10)*(1-Time!O20)</f>
        <v>-0</v>
      </c>
      <c r="P12" s="19" t="n">
        <f aca="false">MAX(0,-P10)*(1-Time!P20)</f>
        <v>-0</v>
      </c>
      <c r="Q12" s="19" t="n">
        <f aca="false">MAX(0,-Q10)*(1-Time!Q20)</f>
        <v>-0</v>
      </c>
      <c r="R12" s="19" t="n">
        <f aca="false">MAX(0,-R10)*(1-Time!R20)</f>
        <v>-0</v>
      </c>
      <c r="S12" s="19" t="n">
        <f aca="false">MAX(0,-S10)*(1-Time!S20)</f>
        <v>-0</v>
      </c>
      <c r="T12" s="19" t="n">
        <f aca="false">MAX(0,-T10)*(1-Time!T20)</f>
        <v>-0</v>
      </c>
      <c r="U12" s="19" t="n">
        <f aca="false">MAX(0,-U10)*(1-Time!U20)</f>
        <v>-0</v>
      </c>
      <c r="V12" s="19" t="n">
        <f aca="false">MAX(0,-V10)*(1-Time!V20)</f>
        <v>-0</v>
      </c>
      <c r="W12" s="19" t="n">
        <f aca="false">MAX(0,-W10)*(1-Time!W20)</f>
        <v>-0</v>
      </c>
      <c r="X12" s="19" t="n">
        <f aca="false">MAX(0,-X10)*(1-Time!X20)</f>
        <v>-0</v>
      </c>
      <c r="Y12" s="19" t="n">
        <f aca="false">MAX(0,-Y10)*(1-Time!Y20)</f>
        <v>0</v>
      </c>
      <c r="Z12" s="19" t="n">
        <f aca="false">MAX(0,-Z10)*(1-Time!Z20)</f>
        <v>0</v>
      </c>
      <c r="AA12" s="19" t="n">
        <f aca="false">MAX(0,-AA10)*(1-Time!AA20)</f>
        <v>0</v>
      </c>
      <c r="AB12" s="19" t="n">
        <f aca="false">MAX(0,-AB10)*(1-Time!AB20)</f>
        <v>0</v>
      </c>
      <c r="AC12" s="19" t="n">
        <f aca="false">MAX(0,-AC10)*(1-Time!AC20)</f>
        <v>0</v>
      </c>
      <c r="AD12" s="19" t="n">
        <f aca="false">MAX(0,-AD10)*(1-Time!AD20)</f>
        <v>0</v>
      </c>
      <c r="AE12" s="19" t="n">
        <f aca="false">MAX(0,-AE10)*(1-Time!AE20)</f>
        <v>0.327789903625298</v>
      </c>
      <c r="AF12" s="19" t="n">
        <f aca="false">MAX(0,-AF10)*(1-Time!AF20)</f>
        <v>0.372597282621186</v>
      </c>
      <c r="AG12" s="19" t="n">
        <f aca="false">MAX(0,-AG10)*(1-Time!AG20)</f>
        <v>0.186951175956168</v>
      </c>
      <c r="AH12" s="19" t="n">
        <f aca="false">MAX(0,-AH10)*(1-Time!AH20)</f>
        <v>0</v>
      </c>
      <c r="AI12" s="19" t="n">
        <f aca="false">MAX(0,-AI10)*(1-Time!AI20)</f>
        <v>0.124634117304112</v>
      </c>
      <c r="AJ12" s="19" t="n">
        <f aca="false">MAX(0,-AJ10)*(1-Time!AJ20)</f>
        <v>0</v>
      </c>
      <c r="AK12" s="19" t="n">
        <f aca="false">MAX(0,-AK10)*(1-Time!AK20)</f>
        <v>0.186951175956168</v>
      </c>
      <c r="AL12" s="19" t="n">
        <f aca="false">MAX(0,-AL10)*(1-Time!AL20)</f>
        <v>0</v>
      </c>
      <c r="AM12" s="19" t="n">
        <f aca="false">MAX(0,-AM10)*(1-Time!AM20)</f>
        <v>0.186951175956168</v>
      </c>
      <c r="AN12" s="19" t="n">
        <f aca="false">MAX(0,-AN10)*(1-Time!AN20)</f>
        <v>0</v>
      </c>
      <c r="AO12" s="19" t="n">
        <f aca="false">MAX(0,-AO10)*(1-Time!AO20)</f>
        <v>0.186951175956168</v>
      </c>
      <c r="AP12" s="19" t="n">
        <f aca="false">MAX(0,-AP10)*(1-Time!AP20)</f>
        <v>0</v>
      </c>
      <c r="AQ12" s="19" t="n">
        <f aca="false">MAX(0,-AQ10)*(1-Time!AQ20)</f>
        <v>0.124634117304112</v>
      </c>
      <c r="AR12" s="19" t="n">
        <f aca="false">MAX(0,-AR10)*(1-Time!AR20)</f>
        <v>0</v>
      </c>
      <c r="AS12" s="19" t="n">
        <f aca="false">MAX(0,-AS10)*(1-Time!AS20)</f>
        <v>0.186951175956168</v>
      </c>
      <c r="AT12" s="19" t="n">
        <f aca="false">MAX(0,-AT10)*(1-Time!AT20)</f>
        <v>0</v>
      </c>
      <c r="AU12" s="19" t="n">
        <f aca="false">MAX(0,-AU10)*(1-Time!AU20)</f>
        <v>0.178409739258523</v>
      </c>
      <c r="AV12" s="19" t="n">
        <f aca="false">MAX(0,-AV10)*(1-Time!AV20)</f>
        <v>0</v>
      </c>
      <c r="AW12" s="19" t="n">
        <f aca="false">MAX(0,-AW10)*(1-Time!AW20)</f>
        <v>0</v>
      </c>
      <c r="AX12" s="19" t="n">
        <f aca="false">MAX(0,-AX10)*(1-Time!AX20)</f>
        <v>0.176188105516452</v>
      </c>
      <c r="AY12" s="19" t="n">
        <f aca="false">MAX(0,-AY10)*(1-Time!AY20)</f>
        <v>0</v>
      </c>
      <c r="AZ12" s="19" t="n">
        <f aca="false">MAX(0,-AZ10)*(1-Time!AZ20)</f>
        <v>0</v>
      </c>
      <c r="BA12" s="19" t="n">
        <f aca="false">MAX(0,-BA10)*(1-Time!BA20)</f>
        <v>0</v>
      </c>
      <c r="BB12" s="19" t="n">
        <f aca="false">MAX(0,-BB10)*(1-Time!BB20)</f>
        <v>0</v>
      </c>
      <c r="BC12" s="19" t="n">
        <f aca="false">MAX(0,-BC10)*(1-Time!BC20)</f>
        <v>0</v>
      </c>
      <c r="BD12" s="19" t="n">
        <f aca="false">MAX(0,-BD10)*(1-Time!BD20)</f>
        <v>0</v>
      </c>
      <c r="BE12" s="19" t="n">
        <f aca="false">MAX(0,-BE10)*(1-Time!BE20)</f>
        <v>0</v>
      </c>
      <c r="BF12" s="19" t="n">
        <f aca="false">MAX(0,-BF10)*(1-Time!BF20)</f>
        <v>0</v>
      </c>
      <c r="BG12" s="19" t="n">
        <f aca="false">MAX(0,-BG10)*(1-Time!BG20)</f>
        <v>0</v>
      </c>
      <c r="BH12" s="19" t="n">
        <f aca="false">MAX(0,-BH10)*(1-Time!BH20)</f>
        <v>0</v>
      </c>
      <c r="BI12" s="19" t="n">
        <f aca="false">MAX(0,-BI10)*(1-Time!BI20)</f>
        <v>0</v>
      </c>
      <c r="BJ12" s="19" t="n">
        <f aca="false">MAX(0,-BJ10)*(1-Time!BJ20)</f>
        <v>0</v>
      </c>
      <c r="BK12" s="19" t="n">
        <f aca="false">MAX(0,-BK10)*(1-Time!BK20)</f>
        <v>0</v>
      </c>
      <c r="BL12" s="19" t="n">
        <f aca="false">MAX(0,-BL10)*(1-Time!BL20)</f>
        <v>0</v>
      </c>
      <c r="BM12" s="19" t="n">
        <f aca="false">MAX(0,-BM10)*(1-Time!BM20)</f>
        <v>0</v>
      </c>
      <c r="BN12" s="19" t="n">
        <f aca="false">MAX(0,-BN10)*(1-Time!BN20)</f>
        <v>5.11828907525001</v>
      </c>
      <c r="BO12" s="19" t="n">
        <f aca="false">MAX(0,-BO10)*(1-Time!BO20)</f>
        <v>0</v>
      </c>
      <c r="BP12" s="19" t="n">
        <f aca="false">MAX(0,-BP10)*(1-Time!BP20)</f>
        <v>0</v>
      </c>
      <c r="BQ12" s="19" t="n">
        <f aca="false">MAX(0,-BQ10)*(1-Time!BQ20)</f>
        <v>0.316737219089866</v>
      </c>
      <c r="BR12" s="19" t="n">
        <f aca="false">MAX(0,-BR10)*(1-Time!BR20)</f>
        <v>0</v>
      </c>
      <c r="BS12" s="19" t="n">
        <f aca="false">MAX(0,-BS10)*(1-Time!BS20)</f>
        <v>0.327484483364465</v>
      </c>
      <c r="BT12" s="19" t="n">
        <f aca="false">MAX(0,-BT10)*(1-Time!BT20)</f>
        <v>0</v>
      </c>
      <c r="BU12" s="19" t="n">
        <f aca="false">MAX(0,-BU10)*(1-Time!BU20)</f>
        <v>0.338668564415897</v>
      </c>
      <c r="BV12" s="19" t="n">
        <f aca="false">MAX(0,-BV10)*(1-Time!BV20)</f>
        <v>0</v>
      </c>
      <c r="BW12" s="19" t="n">
        <f aca="false">MAX(0,-BW10)*(1-Time!BW20)</f>
        <v>0.0720683384876892</v>
      </c>
      <c r="BX12" s="19" t="n">
        <f aca="false">MAX(0,-BX10)*(1-Time!BX20)</f>
        <v>0</v>
      </c>
      <c r="BY12" s="19" t="n">
        <f aca="false">MAX(0,-BY10)*(1-Time!BY20)</f>
        <v>0.362388556538932</v>
      </c>
      <c r="BZ12" s="19" t="n">
        <f aca="false">MAX(0,-BZ10)*(1-Time!BZ20)</f>
        <v>2.21571381980186</v>
      </c>
      <c r="CA12" s="19" t="n">
        <f aca="false">MAX(0,-CA10)*(1-Time!CA20)</f>
        <v>0.374945638395701</v>
      </c>
      <c r="CB12" s="19" t="n">
        <f aca="false">MAX(0,-CB10)*(1-Time!CB20)</f>
        <v>0</v>
      </c>
      <c r="CC12" s="19" t="n">
        <f aca="false">MAX(0,-CC10)*(1-Time!CC20)</f>
        <v>0.387981884935762</v>
      </c>
      <c r="CD12" s="19" t="n">
        <f aca="false">MAX(0,-CD10)*(1-Time!CD20)</f>
        <v>0</v>
      </c>
      <c r="CE12" s="19" t="n">
        <f aca="false">MAX(0,-CE10)*(1-Time!CE20)</f>
        <v>6.3024276831643</v>
      </c>
      <c r="CF12" s="19" t="n">
        <f aca="false">MAX(0,-CF10)*(1-Time!CF20)</f>
        <v>0</v>
      </c>
      <c r="CG12" s="19" t="n">
        <f aca="false">MAX(0,-CG10)*(1-Time!CG20)</f>
        <v>48.55299127962</v>
      </c>
      <c r="CH12" s="19" t="n">
        <f aca="false">MAX(0,-CH10)*(1-Time!CH20)</f>
        <v>0</v>
      </c>
      <c r="CI12" s="19" t="n">
        <f aca="false">MAX(0,-CI10)*(1-Time!CI20)</f>
        <v>4.46619910004826E-016</v>
      </c>
      <c r="CJ12" s="19" t="n">
        <f aca="false">MAX(0,-CJ10)*(1-Time!CJ20)</f>
        <v>0</v>
      </c>
      <c r="CK12" s="19" t="n">
        <f aca="false">MAX(0,-CK10)*(1-Time!CK20)</f>
        <v>4.46619910004826E-016</v>
      </c>
      <c r="CL12" s="19" t="n">
        <f aca="false">MAX(0,-CL10)*(1-Time!CL20)</f>
        <v>0</v>
      </c>
      <c r="CM12" s="19" t="n">
        <f aca="false">MAX(0,-CM10)*(1-Time!CM20)</f>
        <v>2.97746606669886E-016</v>
      </c>
      <c r="CN12" s="19" t="n">
        <f aca="false">MAX(0,-CN10)*(1-Time!CN20)</f>
        <v>0</v>
      </c>
      <c r="CO12" s="19" t="n">
        <f aca="false">MAX(0,-CO10)*(1-Time!CO20)</f>
        <v>4.46619910004826E-016</v>
      </c>
      <c r="CP12" s="19" t="n">
        <f aca="false">MAX(0,-CP10)*(1-Time!CP20)</f>
        <v>0</v>
      </c>
      <c r="CQ12" s="19" t="n">
        <f aca="false">MAX(0,-CQ10)*(1-Time!CQ20)</f>
        <v>0</v>
      </c>
      <c r="CR12" s="19" t="n">
        <f aca="false">MAX(0,-CR10)*(1-Time!CR20)</f>
        <v>0</v>
      </c>
      <c r="CS12" s="19" t="n">
        <f aca="false">MAX(0,-CS10)*(1-Time!CS20)</f>
        <v>0</v>
      </c>
      <c r="CT12" s="19" t="n">
        <f aca="false">MAX(0,-CT10)*(1-Time!CT20)</f>
        <v>0</v>
      </c>
      <c r="CU12" s="19" t="n">
        <f aca="false">MAX(0,-CU10)*(1-Time!CU20)</f>
        <v>0</v>
      </c>
      <c r="CV12" s="19" t="n">
        <f aca="false">MAX(0,-CV10)*(1-Time!CV20)</f>
        <v>0</v>
      </c>
      <c r="CW12" s="19" t="n">
        <f aca="false">MAX(0,-CW10)*(1-Time!CW20)</f>
        <v>0</v>
      </c>
      <c r="CX12" s="19" t="n">
        <f aca="false">MAX(0,-CX10)*(1-Time!CX20)</f>
        <v>0</v>
      </c>
      <c r="CY12" s="19" t="n">
        <f aca="false">MAX(0,-CY10)*(1-Time!CY20)</f>
        <v>0</v>
      </c>
      <c r="CZ12" s="19" t="n">
        <f aca="false">MAX(0,-CZ10)*(1-Time!CZ20)</f>
        <v>0</v>
      </c>
      <c r="DA12" s="19" t="n">
        <f aca="false">MAX(0,-DA10)*(1-Time!DA20)</f>
        <v>0</v>
      </c>
      <c r="DB12" s="19" t="n">
        <f aca="false">MAX(0,-DB10)*(1-Time!DB20)</f>
        <v>-0</v>
      </c>
    </row>
    <row r="13" customFormat="false" ht="15" hidden="false" customHeight="false" outlineLevel="0" collapsed="false">
      <c r="D13" s="0" t="s">
        <v>582</v>
      </c>
      <c r="E13" s="0" t="s">
        <v>44</v>
      </c>
      <c r="J13" s="19" t="n">
        <f aca="false">IF(Time!J20=1,J8+Funding!J21,J9+J11-J12)</f>
        <v>0</v>
      </c>
      <c r="K13" s="19" t="n">
        <f aca="false">IF(Time!K20=1,K8+Funding!K21,K9+K11-K12)</f>
        <v>0</v>
      </c>
      <c r="L13" s="19" t="n">
        <f aca="false">IF(Time!L20=1,L8+Funding!L21,L9+L11-L12)</f>
        <v>0</v>
      </c>
      <c r="M13" s="19" t="n">
        <f aca="false">IF(Time!M20=1,M8+Funding!M21,M9+M11-M12)</f>
        <v>0</v>
      </c>
      <c r="N13" s="19" t="n">
        <f aca="false">IF(Time!N20=1,N8+Funding!N21,N9+N11-N12)</f>
        <v>0</v>
      </c>
      <c r="O13" s="19" t="n">
        <f aca="false">IF(Time!O20=1,O8+Funding!O21,O9+O11-O12)</f>
        <v>0</v>
      </c>
      <c r="P13" s="19" t="n">
        <f aca="false">IF(Time!P20=1,P8+Funding!P21,P9+P11-P12)</f>
        <v>0</v>
      </c>
      <c r="Q13" s="19" t="n">
        <f aca="false">IF(Time!Q20=1,Q8+Funding!Q21,Q9+Q11-Q12)</f>
        <v>0</v>
      </c>
      <c r="R13" s="19" t="n">
        <f aca="false">IF(Time!R20=1,R8+Funding!R21,R9+R11-R12)</f>
        <v>0</v>
      </c>
      <c r="S13" s="19" t="n">
        <f aca="false">IF(Time!S20=1,S8+Funding!S21,S9+S11-S12)</f>
        <v>0</v>
      </c>
      <c r="T13" s="19" t="n">
        <f aca="false">IF(Time!T20=1,T8+Funding!T21,T9+T11-T12)</f>
        <v>0</v>
      </c>
      <c r="U13" s="19" t="n">
        <f aca="false">IF(Time!U20=1,U8+Funding!U21,U9+U11-U12)</f>
        <v>0</v>
      </c>
      <c r="V13" s="19" t="n">
        <f aca="false">IF(Time!V20=1,V8+Funding!V21,V9+V11-V12)</f>
        <v>0</v>
      </c>
      <c r="W13" s="19" t="n">
        <f aca="false">IF(Time!W20=1,W8+Funding!W21,W9+W11-W12)</f>
        <v>0</v>
      </c>
      <c r="X13" s="19" t="n">
        <f aca="false">IF(Time!X20=1,X8+Funding!X21,X9+X11-X12)</f>
        <v>0</v>
      </c>
      <c r="Y13" s="19" t="n">
        <f aca="false">IF(Time!Y20=1,Y8+Funding!Y21,Y9+Y11-Y12)</f>
        <v>13.887642147287</v>
      </c>
      <c r="Z13" s="19" t="n">
        <f aca="false">IF(Time!Z20=1,Z8+Funding!Z21,Z9+Z11-Z12)</f>
        <v>15.366639768263</v>
      </c>
      <c r="AA13" s="19" t="n">
        <f aca="false">IF(Time!AA20=1,AA8+Funding!AA21,AA9+AA11-AA12)</f>
        <v>19.3030365072743</v>
      </c>
      <c r="AB13" s="19" t="n">
        <f aca="false">IF(Time!AB20=1,AB8+Funding!AB21,AB9+AB11-AB12)</f>
        <v>20.57459323591</v>
      </c>
      <c r="AC13" s="19" t="n">
        <f aca="false">IF(Time!AC20=1,AC8+Funding!AC21,AC9+AC11-AC12)</f>
        <v>23.7337665751819</v>
      </c>
      <c r="AD13" s="19" t="n">
        <f aca="false">IF(Time!AD20=1,AD8+Funding!AD21,AD9+AD11-AD12)</f>
        <v>23.9321371074356</v>
      </c>
      <c r="AE13" s="19" t="n">
        <f aca="false">IF(Time!AE20=1,AE8+Funding!AE21,AE9+AE11-AE12)</f>
        <v>23.6043472038103</v>
      </c>
      <c r="AF13" s="19" t="n">
        <f aca="false">IF(Time!AF20=1,AF8+Funding!AF21,AF9+AF11-AF12)</f>
        <v>23.2317499211891</v>
      </c>
      <c r="AG13" s="19" t="n">
        <f aca="false">IF(Time!AG20=1,AG8+Funding!AG21,AG9+AG11-AG12)</f>
        <v>23.0447987452329</v>
      </c>
      <c r="AH13" s="19" t="n">
        <f aca="false">IF(Time!AH20=1,AH8+Funding!AH21,AH9+AH11-AH12)</f>
        <v>23.2317499211891</v>
      </c>
      <c r="AI13" s="19" t="n">
        <f aca="false">IF(Time!AI20=1,AI8+Funding!AI21,AI9+AI11-AI12)</f>
        <v>23.107115803885</v>
      </c>
      <c r="AJ13" s="19" t="n">
        <f aca="false">IF(Time!AJ20=1,AJ8+Funding!AJ21,AJ9+AJ11-AJ12)</f>
        <v>23.2317499211891</v>
      </c>
      <c r="AK13" s="19" t="n">
        <f aca="false">IF(Time!AK20=1,AK8+Funding!AK21,AK9+AK11-AK12)</f>
        <v>23.0447987452329</v>
      </c>
      <c r="AL13" s="19" t="n">
        <f aca="false">IF(Time!AL20=1,AL8+Funding!AL21,AL9+AL11-AL12)</f>
        <v>23.2317499211891</v>
      </c>
      <c r="AM13" s="19" t="n">
        <f aca="false">IF(Time!AM20=1,AM8+Funding!AM21,AM9+AM11-AM12)</f>
        <v>23.0447987452329</v>
      </c>
      <c r="AN13" s="19" t="n">
        <f aca="false">IF(Time!AN20=1,AN8+Funding!AN21,AN9+AN11-AN12)</f>
        <v>23.2317499211891</v>
      </c>
      <c r="AO13" s="19" t="n">
        <f aca="false">IF(Time!AO20=1,AO8+Funding!AO21,AO9+AO11-AO12)</f>
        <v>23.0447987452329</v>
      </c>
      <c r="AP13" s="19" t="n">
        <f aca="false">IF(Time!AP20=1,AP8+Funding!AP21,AP9+AP11-AP12)</f>
        <v>23.2317499211891</v>
      </c>
      <c r="AQ13" s="19" t="n">
        <f aca="false">IF(Time!AQ20=1,AQ8+Funding!AQ21,AQ9+AQ11-AQ12)</f>
        <v>23.107115803885</v>
      </c>
      <c r="AR13" s="19" t="n">
        <f aca="false">IF(Time!AR20=1,AR8+Funding!AR21,AR9+AR11-AR12)</f>
        <v>23.2317499211891</v>
      </c>
      <c r="AS13" s="19" t="n">
        <f aca="false">IF(Time!AS20=1,AS8+Funding!AS21,AS9+AS11-AS12)</f>
        <v>23.0447987452329</v>
      </c>
      <c r="AT13" s="19" t="n">
        <f aca="false">IF(Time!AT20=1,AT8+Funding!AT21,AT9+AT11-AT12)</f>
        <v>23.2317499211891</v>
      </c>
      <c r="AU13" s="19" t="n">
        <f aca="false">IF(Time!AU20=1,AU8+Funding!AU21,AU9+AU11-AU12)</f>
        <v>23.0533401819306</v>
      </c>
      <c r="AV13" s="19" t="n">
        <f aca="false">IF(Time!AV20=1,AV8+Funding!AV21,AV9+AV11-AV12)</f>
        <v>25.0503904348706</v>
      </c>
      <c r="AW13" s="19" t="n">
        <f aca="false">IF(Time!AW20=1,AW8+Funding!AW21,AW9+AW11-AW12)</f>
        <v>25.1508622905596</v>
      </c>
      <c r="AX13" s="19" t="n">
        <f aca="false">IF(Time!AX20=1,AX8+Funding!AX21,AX9+AX11-AX12)</f>
        <v>24.9746741850431</v>
      </c>
      <c r="AY13" s="19" t="n">
        <f aca="false">IF(Time!AY20=1,AY8+Funding!AY21,AY9+AY11-AY12)</f>
        <v>25.2447615195311</v>
      </c>
      <c r="AZ13" s="19" t="n">
        <f aca="false">IF(Time!AZ20=1,AZ8+Funding!AZ21,AZ9+AZ11-AZ12)</f>
        <v>26.4296082744351</v>
      </c>
      <c r="BA13" s="19" t="n">
        <f aca="false">IF(Time!BA20=1,BA8+Funding!BA21,BA9+BA11-BA12)</f>
        <v>26.5404185160733</v>
      </c>
      <c r="BB13" s="19" t="n">
        <f aca="false">IF(Time!BB20=1,BB8+Funding!BB21,BB9+BB11-BB12)</f>
        <v>31.0730822191862</v>
      </c>
      <c r="BC13" s="19" t="n">
        <f aca="false">IF(Time!BC20=1,BC8+Funding!BC21,BC9+BC11-BC12)</f>
        <v>31.1898989720418</v>
      </c>
      <c r="BD13" s="19" t="n">
        <f aca="false">IF(Time!BD20=1,BD8+Funding!BD21,BD9+BD11-BD12)</f>
        <v>34.1520286404255</v>
      </c>
      <c r="BE13" s="19" t="n">
        <f aca="false">IF(Time!BE20=1,BE8+Funding!BE21,BE9+BE11-BE12)</f>
        <v>34.2751060537202</v>
      </c>
      <c r="BF13" s="19" t="n">
        <f aca="false">IF(Time!BF20=1,BF8+Funding!BF21,BF9+BF11-BF12)</f>
        <v>35.827659376166</v>
      </c>
      <c r="BG13" s="19" t="n">
        <f aca="false">IF(Time!BG20=1,BG8+Funding!BG21,BG9+BG11-BG12)</f>
        <v>36.1549955143621</v>
      </c>
      <c r="BH13" s="19" t="n">
        <f aca="false">IF(Time!BH20=1,BH8+Funding!BH21,BH9+BH11-BH12)</f>
        <v>37.5865853074074</v>
      </c>
      <c r="BI13" s="19" t="n">
        <f aca="false">IF(Time!BI20=1,BI8+Funding!BI21,BI9+BI11-BI12)</f>
        <v>37.7218247100396</v>
      </c>
      <c r="BJ13" s="19" t="n">
        <f aca="false">IF(Time!BJ20=1,BJ8+Funding!BJ21,BJ9+BJ11-BJ12)</f>
        <v>39.4331843358165</v>
      </c>
      <c r="BK13" s="19" t="n">
        <f aca="false">IF(Time!BK20=1,BK8+Funding!BK21,BK9+BK11-BK12)</f>
        <v>39.5754471499961</v>
      </c>
      <c r="BL13" s="19" t="n">
        <f aca="false">IF(Time!BL20=1,BL8+Funding!BL21,BL9+BL11-BL12)</f>
        <v>41.3558134666003</v>
      </c>
      <c r="BM13" s="19" t="n">
        <f aca="false">IF(Time!BM20=1,BM8+Funding!BM21,BM9+BM11-BM12)</f>
        <v>41.5042168372112</v>
      </c>
      <c r="BN13" s="19" t="n">
        <f aca="false">IF(Time!BN20=1,BN8+Funding!BN21,BN9+BN11-BN12)</f>
        <v>36.3859277619612</v>
      </c>
      <c r="BO13" s="19" t="n">
        <f aca="false">IF(Time!BO20=1,BO8+Funding!BO21,BO9+BO11-BO12)</f>
        <v>36.782607101421</v>
      </c>
      <c r="BP13" s="19" t="n">
        <f aca="false">IF(Time!BP20=1,BP8+Funding!BP21,BP9+BP11-BP12)</f>
        <v>38.4991094572439</v>
      </c>
      <c r="BQ13" s="19" t="n">
        <f aca="false">IF(Time!BQ20=1,BQ8+Funding!BQ21,BQ9+BQ11-BQ12)</f>
        <v>38.182372238154</v>
      </c>
      <c r="BR13" s="19" t="n">
        <f aca="false">IF(Time!BR20=1,BR8+Funding!BR21,BR9+BR11-BR12)</f>
        <v>40.1753349166406</v>
      </c>
      <c r="BS13" s="19" t="n">
        <f aca="false">IF(Time!BS20=1,BS8+Funding!BS21,BS9+BS11-BS12)</f>
        <v>39.8478504332762</v>
      </c>
      <c r="BT13" s="19" t="n">
        <f aca="false">IF(Time!BT20=1,BT8+Funding!BT21,BT9+BT11-BT12)</f>
        <v>48.8987871038368</v>
      </c>
      <c r="BU13" s="19" t="n">
        <f aca="false">IF(Time!BU20=1,BU8+Funding!BU21,BU9+BU11-BU12)</f>
        <v>48.5601185394209</v>
      </c>
      <c r="BV13" s="19" t="n">
        <f aca="false">IF(Time!BV20=1,BV8+Funding!BV21,BV9+BV11-BV12)</f>
        <v>50.7000252078501</v>
      </c>
      <c r="BW13" s="19" t="n">
        <f aca="false">IF(Time!BW20=1,BW8+Funding!BW21,BW9+BW11-BW12)</f>
        <v>50.6279568693624</v>
      </c>
      <c r="BX13" s="19" t="n">
        <f aca="false">IF(Time!BX20=1,BX8+Funding!BX21,BX9+BX11-BX12)</f>
        <v>52.5658535391762</v>
      </c>
      <c r="BY13" s="19" t="n">
        <f aca="false">IF(Time!BY20=1,BY8+Funding!BY21,BY9+BY11-BY12)</f>
        <v>52.2034649826373</v>
      </c>
      <c r="BZ13" s="19" t="n">
        <f aca="false">IF(Time!BZ20=1,BZ8+Funding!BZ21,BZ9+BZ11-BZ12)</f>
        <v>49.9877511628354</v>
      </c>
      <c r="CA13" s="19" t="n">
        <f aca="false">IF(Time!CA20=1,CA8+Funding!CA21,CA9+CA11-CA12)</f>
        <v>49.6128055244397</v>
      </c>
      <c r="CB13" s="19" t="n">
        <f aca="false">IF(Time!CB20=1,CB8+Funding!CB21,CB9+CB11-CB12)</f>
        <v>51.9870481968132</v>
      </c>
      <c r="CC13" s="19" t="n">
        <f aca="false">IF(Time!CC20=1,CC8+Funding!CC21,CC9+CC11-CC12)</f>
        <v>51.5990663118775</v>
      </c>
      <c r="CD13" s="19" t="n">
        <f aca="false">IF(Time!CD20=1,CD8+Funding!CD21,CD9+CD11-CD12)</f>
        <v>51.8718123417449</v>
      </c>
      <c r="CE13" s="19" t="n">
        <f aca="false">IF(Time!CE20=1,CE8+Funding!CE21,CE9+CE11-CE12)</f>
        <v>45.5693846585806</v>
      </c>
      <c r="CF13" s="19" t="n">
        <f aca="false">IF(Time!CF20=1,CF8+Funding!CF21,CF9+CF11-CF12)</f>
        <v>48.55299127962</v>
      </c>
      <c r="CG13" s="19" t="n">
        <f aca="false">IF(Time!CG20=1,CG8+Funding!CG21,CG9+CG11-CG12)</f>
        <v>0</v>
      </c>
      <c r="CH13" s="19" t="n">
        <f aca="false">IF(Time!CH20=1,CH8+Funding!CH21,CH9+CH11-CH12)</f>
        <v>5.55648191080975E-014</v>
      </c>
      <c r="CI13" s="19" t="n">
        <f aca="false">IF(Time!CI20=1,CI8+Funding!CI21,CI9+CI11-CI12)</f>
        <v>5.51181991980927E-014</v>
      </c>
      <c r="CJ13" s="19" t="n">
        <f aca="false">IF(Time!CJ20=1,CJ8+Funding!CJ21,CJ9+CJ11-CJ12)</f>
        <v>5.55648191080975E-014</v>
      </c>
      <c r="CK13" s="19" t="n">
        <f aca="false">IF(Time!CK20=1,CK8+Funding!CK21,CK9+CK11-CK12)</f>
        <v>5.51181991980927E-014</v>
      </c>
      <c r="CL13" s="19" t="n">
        <f aca="false">IF(Time!CL20=1,CL8+Funding!CL21,CL9+CL11-CL12)</f>
        <v>5.55648191080975E-014</v>
      </c>
      <c r="CM13" s="19" t="n">
        <f aca="false">IF(Time!CM20=1,CM8+Funding!CM21,CM9+CM11-CM12)</f>
        <v>5.52670725014276E-014</v>
      </c>
      <c r="CN13" s="19" t="n">
        <f aca="false">IF(Time!CN20=1,CN8+Funding!CN21,CN9+CN11-CN12)</f>
        <v>5.55648191080975E-014</v>
      </c>
      <c r="CO13" s="19" t="n">
        <f aca="false">IF(Time!CO20=1,CO8+Funding!CO21,CO9+CO11-CO12)</f>
        <v>5.51181991980927E-014</v>
      </c>
      <c r="CP13" s="19" t="n">
        <f aca="false">IF(Time!CP20=1,CP8+Funding!CP21,CP9+CP11-CP12)</f>
        <v>5.55648191080975E-014</v>
      </c>
      <c r="CQ13" s="19" t="n">
        <f aca="false">IF(Time!CQ20=1,CQ8+Funding!CQ21,CQ9+CQ11-CQ12)</f>
        <v>0</v>
      </c>
      <c r="CR13" s="19" t="n">
        <f aca="false">IF(Time!CR20=1,CR8+Funding!CR21,CR9+CR11-CR12)</f>
        <v>0</v>
      </c>
      <c r="CS13" s="19" t="n">
        <f aca="false">IF(Time!CS20=1,CS8+Funding!CS21,CS9+CS11-CS12)</f>
        <v>0</v>
      </c>
      <c r="CT13" s="19" t="n">
        <f aca="false">IF(Time!CT20=1,CT8+Funding!CT21,CT9+CT11-CT12)</f>
        <v>0</v>
      </c>
      <c r="CU13" s="19" t="n">
        <f aca="false">IF(Time!CU20=1,CU8+Funding!CU21,CU9+CU11-CU12)</f>
        <v>0</v>
      </c>
      <c r="CV13" s="19" t="n">
        <f aca="false">IF(Time!CV20=1,CV8+Funding!CV21,CV9+CV11-CV12)</f>
        <v>0</v>
      </c>
      <c r="CW13" s="19" t="n">
        <f aca="false">IF(Time!CW20=1,CW8+Funding!CW21,CW9+CW11-CW12)</f>
        <v>0</v>
      </c>
      <c r="CX13" s="19" t="n">
        <f aca="false">IF(Time!CX20=1,CX8+Funding!CX21,CX9+CX11-CX12)</f>
        <v>0</v>
      </c>
      <c r="CY13" s="19" t="n">
        <f aca="false">IF(Time!CY20=1,CY8+Funding!CY21,CY9+CY11-CY12)</f>
        <v>0</v>
      </c>
      <c r="CZ13" s="19" t="n">
        <f aca="false">IF(Time!CZ20=1,CZ8+Funding!CZ21,CZ9+CZ11-CZ12)</f>
        <v>0</v>
      </c>
      <c r="DA13" s="19" t="n">
        <f aca="false">IF(Time!DA20=1,DA8+Funding!DA21,DA9+DA11-DA12)</f>
        <v>0</v>
      </c>
      <c r="DB13" s="19" t="n">
        <f aca="false">IF(Time!DB20=1,DB8+Funding!DB21,DB9+DB11-DB12)</f>
        <v>0</v>
      </c>
    </row>
    <row r="14" customFormat="false" ht="15" hidden="false" customHeight="false" outlineLevel="0" collapsed="false">
      <c r="D14" s="3" t="s">
        <v>583</v>
      </c>
    </row>
    <row r="15" customFormat="false" ht="15" hidden="false" customHeight="false" outlineLevel="0" collapsed="false">
      <c r="D15" s="0" t="s">
        <v>584</v>
      </c>
      <c r="E15" s="0" t="s">
        <v>44</v>
      </c>
      <c r="J15" s="19" t="n">
        <f aca="false">I16</f>
        <v>0</v>
      </c>
      <c r="K15" s="19" t="n">
        <f aca="false">J16</f>
        <v>0</v>
      </c>
      <c r="L15" s="19" t="n">
        <f aca="false">K16</f>
        <v>0</v>
      </c>
      <c r="M15" s="19" t="n">
        <f aca="false">L16</f>
        <v>0</v>
      </c>
      <c r="N15" s="19" t="n">
        <f aca="false">M16</f>
        <v>0</v>
      </c>
      <c r="O15" s="19" t="n">
        <f aca="false">N16</f>
        <v>0</v>
      </c>
      <c r="P15" s="19" t="n">
        <f aca="false">O16</f>
        <v>0</v>
      </c>
      <c r="Q15" s="19" t="n">
        <f aca="false">P16</f>
        <v>0</v>
      </c>
      <c r="R15" s="19" t="n">
        <f aca="false">Q16</f>
        <v>0</v>
      </c>
      <c r="S15" s="19" t="n">
        <f aca="false">R16</f>
        <v>0</v>
      </c>
      <c r="T15" s="19" t="n">
        <f aca="false">S16</f>
        <v>0</v>
      </c>
      <c r="U15" s="19" t="n">
        <f aca="false">T16</f>
        <v>0</v>
      </c>
      <c r="V15" s="19" t="n">
        <f aca="false">U16</f>
        <v>0</v>
      </c>
      <c r="W15" s="19" t="n">
        <f aca="false">V16</f>
        <v>0</v>
      </c>
      <c r="X15" s="19" t="n">
        <f aca="false">W16</f>
        <v>0</v>
      </c>
      <c r="Y15" s="19" t="n">
        <f aca="false">X16</f>
        <v>0</v>
      </c>
      <c r="Z15" s="19" t="n">
        <f aca="false">Y16</f>
        <v>20.2259264458606</v>
      </c>
      <c r="AA15" s="19" t="n">
        <f aca="false">Z16</f>
        <v>15.5172218629833</v>
      </c>
      <c r="AB15" s="19" t="n">
        <f aca="false">AA16</f>
        <v>7.45200108541539</v>
      </c>
      <c r="AC15" s="19" t="n">
        <f aca="false">AB16</f>
        <v>3.35754387152551</v>
      </c>
      <c r="AD15" s="19" t="n">
        <f aca="false">AC16</f>
        <v>0</v>
      </c>
      <c r="AE15" s="19" t="n">
        <f aca="false">AD16</f>
        <v>0</v>
      </c>
      <c r="AF15" s="19" t="n">
        <f aca="false">AE16</f>
        <v>0</v>
      </c>
      <c r="AG15" s="19" t="n">
        <f aca="false">AF16</f>
        <v>0</v>
      </c>
      <c r="AH15" s="19" t="n">
        <f aca="false">AG16</f>
        <v>0</v>
      </c>
      <c r="AI15" s="19" t="n">
        <f aca="false">AH16</f>
        <v>0</v>
      </c>
      <c r="AJ15" s="19" t="n">
        <f aca="false">AI16</f>
        <v>0</v>
      </c>
      <c r="AK15" s="19" t="n">
        <f aca="false">AJ16</f>
        <v>0</v>
      </c>
      <c r="AL15" s="19" t="n">
        <f aca="false">AK16</f>
        <v>0</v>
      </c>
      <c r="AM15" s="19" t="n">
        <f aca="false">AL16</f>
        <v>0</v>
      </c>
      <c r="AN15" s="19" t="n">
        <f aca="false">AM16</f>
        <v>0</v>
      </c>
      <c r="AO15" s="19" t="n">
        <f aca="false">AN16</f>
        <v>0</v>
      </c>
      <c r="AP15" s="19" t="n">
        <f aca="false">AO16</f>
        <v>0</v>
      </c>
      <c r="AQ15" s="19" t="n">
        <f aca="false">AP16</f>
        <v>0</v>
      </c>
      <c r="AR15" s="19" t="n">
        <f aca="false">AQ16</f>
        <v>0</v>
      </c>
      <c r="AS15" s="19" t="n">
        <f aca="false">AR16</f>
        <v>0</v>
      </c>
      <c r="AT15" s="19" t="n">
        <f aca="false">AS16</f>
        <v>0</v>
      </c>
      <c r="AU15" s="19" t="n">
        <f aca="false">AT16</f>
        <v>0</v>
      </c>
      <c r="AV15" s="19" t="n">
        <f aca="false">AU16</f>
        <v>0</v>
      </c>
      <c r="AW15" s="19" t="n">
        <f aca="false">AV16</f>
        <v>0</v>
      </c>
      <c r="AX15" s="19" t="n">
        <f aca="false">AW16</f>
        <v>0</v>
      </c>
      <c r="AY15" s="19" t="n">
        <f aca="false">AX16</f>
        <v>0</v>
      </c>
      <c r="AZ15" s="19" t="n">
        <f aca="false">AY16</f>
        <v>0</v>
      </c>
      <c r="BA15" s="19" t="n">
        <f aca="false">AZ16</f>
        <v>0</v>
      </c>
      <c r="BB15" s="19" t="n">
        <f aca="false">BA16</f>
        <v>0</v>
      </c>
      <c r="BC15" s="19" t="n">
        <f aca="false">BB16</f>
        <v>0</v>
      </c>
      <c r="BD15" s="19" t="n">
        <f aca="false">BC16</f>
        <v>0</v>
      </c>
      <c r="BE15" s="19" t="n">
        <f aca="false">BD16</f>
        <v>0</v>
      </c>
      <c r="BF15" s="19" t="n">
        <f aca="false">BE16</f>
        <v>0</v>
      </c>
      <c r="BG15" s="19" t="n">
        <f aca="false">BF16</f>
        <v>0</v>
      </c>
      <c r="BH15" s="19" t="n">
        <f aca="false">BG16</f>
        <v>0</v>
      </c>
      <c r="BI15" s="19" t="n">
        <f aca="false">BH16</f>
        <v>0</v>
      </c>
      <c r="BJ15" s="19" t="n">
        <f aca="false">BI16</f>
        <v>0</v>
      </c>
      <c r="BK15" s="19" t="n">
        <f aca="false">BJ16</f>
        <v>0</v>
      </c>
      <c r="BL15" s="19" t="n">
        <f aca="false">BK16</f>
        <v>0</v>
      </c>
      <c r="BM15" s="19" t="n">
        <f aca="false">BL16</f>
        <v>0</v>
      </c>
      <c r="BN15" s="19" t="n">
        <f aca="false">BM16</f>
        <v>0</v>
      </c>
      <c r="BO15" s="19" t="n">
        <f aca="false">BN16</f>
        <v>0</v>
      </c>
      <c r="BP15" s="19" t="n">
        <f aca="false">BO16</f>
        <v>0</v>
      </c>
      <c r="BQ15" s="19" t="n">
        <f aca="false">BP16</f>
        <v>0</v>
      </c>
      <c r="BR15" s="19" t="n">
        <f aca="false">BQ16</f>
        <v>0</v>
      </c>
      <c r="BS15" s="19" t="n">
        <f aca="false">BR16</f>
        <v>0</v>
      </c>
      <c r="BT15" s="19" t="n">
        <f aca="false">BS16</f>
        <v>0</v>
      </c>
      <c r="BU15" s="19" t="n">
        <f aca="false">BT16</f>
        <v>0</v>
      </c>
      <c r="BV15" s="19" t="n">
        <f aca="false">BU16</f>
        <v>0</v>
      </c>
      <c r="BW15" s="19" t="n">
        <f aca="false">BV16</f>
        <v>0</v>
      </c>
      <c r="BX15" s="19" t="n">
        <f aca="false">BW16</f>
        <v>0</v>
      </c>
      <c r="BY15" s="19" t="n">
        <f aca="false">BX16</f>
        <v>0</v>
      </c>
      <c r="BZ15" s="19" t="n">
        <f aca="false">BY16</f>
        <v>0</v>
      </c>
      <c r="CA15" s="19" t="n">
        <f aca="false">BZ16</f>
        <v>0</v>
      </c>
      <c r="CB15" s="19" t="n">
        <f aca="false">CA16</f>
        <v>0</v>
      </c>
      <c r="CC15" s="19" t="n">
        <f aca="false">CB16</f>
        <v>0</v>
      </c>
      <c r="CD15" s="19" t="n">
        <f aca="false">CC16</f>
        <v>0</v>
      </c>
      <c r="CE15" s="19" t="n">
        <f aca="false">CD16</f>
        <v>0</v>
      </c>
      <c r="CF15" s="19" t="n">
        <f aca="false">CE16</f>
        <v>0</v>
      </c>
      <c r="CG15" s="19" t="n">
        <f aca="false">CF16</f>
        <v>0</v>
      </c>
      <c r="CH15" s="19" t="n">
        <f aca="false">CG16</f>
        <v>0</v>
      </c>
      <c r="CI15" s="19" t="n">
        <f aca="false">CH16</f>
        <v>0</v>
      </c>
      <c r="CJ15" s="19" t="n">
        <f aca="false">CI16</f>
        <v>0</v>
      </c>
      <c r="CK15" s="19" t="n">
        <f aca="false">CJ16</f>
        <v>0</v>
      </c>
      <c r="CL15" s="19" t="n">
        <f aca="false">CK16</f>
        <v>0</v>
      </c>
      <c r="CM15" s="19" t="n">
        <f aca="false">CL16</f>
        <v>0</v>
      </c>
      <c r="CN15" s="19" t="n">
        <f aca="false">CM16</f>
        <v>0</v>
      </c>
      <c r="CO15" s="19" t="n">
        <f aca="false">CN16</f>
        <v>0</v>
      </c>
      <c r="CP15" s="19" t="n">
        <f aca="false">CO16</f>
        <v>0</v>
      </c>
      <c r="CQ15" s="19" t="n">
        <f aca="false">CP16</f>
        <v>0</v>
      </c>
      <c r="CR15" s="19" t="n">
        <f aca="false">CQ16</f>
        <v>0</v>
      </c>
      <c r="CS15" s="19" t="n">
        <f aca="false">CR16</f>
        <v>0</v>
      </c>
      <c r="CT15" s="19" t="n">
        <f aca="false">CS16</f>
        <v>0</v>
      </c>
      <c r="CU15" s="19" t="n">
        <f aca="false">CT16</f>
        <v>0</v>
      </c>
      <c r="CV15" s="19" t="n">
        <f aca="false">CU16</f>
        <v>0</v>
      </c>
      <c r="CW15" s="19" t="n">
        <f aca="false">CV16</f>
        <v>0</v>
      </c>
      <c r="CX15" s="19" t="n">
        <f aca="false">CW16</f>
        <v>0</v>
      </c>
      <c r="CY15" s="19" t="n">
        <f aca="false">CX16</f>
        <v>0</v>
      </c>
      <c r="CZ15" s="19" t="n">
        <f aca="false">CY16</f>
        <v>0</v>
      </c>
      <c r="DA15" s="19" t="n">
        <f aca="false">CZ16</f>
        <v>0</v>
      </c>
      <c r="DB15" s="19" t="n">
        <f aca="false">DA16</f>
        <v>0</v>
      </c>
    </row>
    <row r="16" customFormat="false" ht="15" hidden="false" customHeight="false" outlineLevel="0" collapsed="false">
      <c r="D16" s="0" t="s">
        <v>585</v>
      </c>
      <c r="E16" s="0" t="s">
        <v>44</v>
      </c>
      <c r="J16" s="19" t="n">
        <f aca="false">J15+Funding!J22-Debt!J39</f>
        <v>0</v>
      </c>
      <c r="K16" s="19" t="n">
        <f aca="false">K15+Funding!K22-Debt!K39</f>
        <v>0</v>
      </c>
      <c r="L16" s="19" t="n">
        <f aca="false">L15+Funding!L22-Debt!L39</f>
        <v>0</v>
      </c>
      <c r="M16" s="19" t="n">
        <f aca="false">M15+Funding!M22-Debt!M39</f>
        <v>0</v>
      </c>
      <c r="N16" s="19" t="n">
        <f aca="false">N15+Funding!N22-Debt!N39</f>
        <v>0</v>
      </c>
      <c r="O16" s="19" t="n">
        <f aca="false">O15+Funding!O22-Debt!O39</f>
        <v>0</v>
      </c>
      <c r="P16" s="19" t="n">
        <f aca="false">P15+Funding!P22-Debt!P39</f>
        <v>0</v>
      </c>
      <c r="Q16" s="19" t="n">
        <f aca="false">Q15+Funding!Q22-Debt!Q39</f>
        <v>0</v>
      </c>
      <c r="R16" s="19" t="n">
        <f aca="false">R15+Funding!R22-Debt!R39</f>
        <v>0</v>
      </c>
      <c r="S16" s="19" t="n">
        <f aca="false">S15+Funding!S22-Debt!S39</f>
        <v>0</v>
      </c>
      <c r="T16" s="19" t="n">
        <f aca="false">T15+Funding!T22-Debt!T39</f>
        <v>0</v>
      </c>
      <c r="U16" s="19" t="n">
        <f aca="false">U15+Funding!U22-Debt!U39</f>
        <v>0</v>
      </c>
      <c r="V16" s="19" t="n">
        <f aca="false">V15+Funding!V22-Debt!V39</f>
        <v>0</v>
      </c>
      <c r="W16" s="19" t="n">
        <f aca="false">W15+Funding!W22-Debt!W39</f>
        <v>0</v>
      </c>
      <c r="X16" s="19" t="n">
        <f aca="false">X15+Funding!X22-Debt!X39</f>
        <v>0</v>
      </c>
      <c r="Y16" s="19" t="n">
        <f aca="false">Y15+Funding!Y22-Debt!Y39</f>
        <v>20.2259264458606</v>
      </c>
      <c r="Z16" s="19" t="n">
        <f aca="false">Z15+Funding!Z22-Debt!Z39</f>
        <v>15.5172218629833</v>
      </c>
      <c r="AA16" s="19" t="n">
        <f aca="false">AA15+Funding!AA22-Debt!AA39</f>
        <v>7.45200108541539</v>
      </c>
      <c r="AB16" s="19" t="n">
        <f aca="false">AB15+Funding!AB22-Debt!AB39</f>
        <v>3.35754387152551</v>
      </c>
      <c r="AC16" s="19" t="n">
        <f aca="false">AC15+Funding!AC22-Debt!AC39</f>
        <v>0</v>
      </c>
      <c r="AD16" s="19" t="n">
        <f aca="false">AD15+Funding!AD22-Debt!AD39</f>
        <v>0</v>
      </c>
      <c r="AE16" s="19" t="n">
        <f aca="false">AE15+Funding!AE22-Debt!AE39</f>
        <v>0</v>
      </c>
      <c r="AF16" s="19" t="n">
        <f aca="false">AF15+Funding!AF22-Debt!AF39</f>
        <v>0</v>
      </c>
      <c r="AG16" s="19" t="n">
        <f aca="false">AG15+Funding!AG22-Debt!AG39</f>
        <v>0</v>
      </c>
      <c r="AH16" s="19" t="n">
        <f aca="false">AH15+Funding!AH22-Debt!AH39</f>
        <v>0</v>
      </c>
      <c r="AI16" s="19" t="n">
        <f aca="false">AI15+Funding!AI22-Debt!AI39</f>
        <v>0</v>
      </c>
      <c r="AJ16" s="19" t="n">
        <f aca="false">AJ15+Funding!AJ22-Debt!AJ39</f>
        <v>0</v>
      </c>
      <c r="AK16" s="19" t="n">
        <f aca="false">AK15+Funding!AK22-Debt!AK39</f>
        <v>0</v>
      </c>
      <c r="AL16" s="19" t="n">
        <f aca="false">AL15+Funding!AL22-Debt!AL39</f>
        <v>0</v>
      </c>
      <c r="AM16" s="19" t="n">
        <f aca="false">AM15+Funding!AM22-Debt!AM39</f>
        <v>0</v>
      </c>
      <c r="AN16" s="19" t="n">
        <f aca="false">AN15+Funding!AN22-Debt!AN39</f>
        <v>0</v>
      </c>
      <c r="AO16" s="19" t="n">
        <f aca="false">AO15+Funding!AO22-Debt!AO39</f>
        <v>0</v>
      </c>
      <c r="AP16" s="19" t="n">
        <f aca="false">AP15+Funding!AP22-Debt!AP39</f>
        <v>0</v>
      </c>
      <c r="AQ16" s="19" t="n">
        <f aca="false">AQ15+Funding!AQ22-Debt!AQ39</f>
        <v>0</v>
      </c>
      <c r="AR16" s="19" t="n">
        <f aca="false">AR15+Funding!AR22-Debt!AR39</f>
        <v>0</v>
      </c>
      <c r="AS16" s="19" t="n">
        <f aca="false">AS15+Funding!AS22-Debt!AS39</f>
        <v>0</v>
      </c>
      <c r="AT16" s="19" t="n">
        <f aca="false">AT15+Funding!AT22-Debt!AT39</f>
        <v>0</v>
      </c>
      <c r="AU16" s="19" t="n">
        <f aca="false">AU15+Funding!AU22-Debt!AU39</f>
        <v>0</v>
      </c>
      <c r="AV16" s="19" t="n">
        <f aca="false">AV15+Funding!AV22-Debt!AV39</f>
        <v>0</v>
      </c>
      <c r="AW16" s="19" t="n">
        <f aca="false">AW15+Funding!AW22-Debt!AW39</f>
        <v>0</v>
      </c>
      <c r="AX16" s="19" t="n">
        <f aca="false">AX15+Funding!AX22-Debt!AX39</f>
        <v>0</v>
      </c>
      <c r="AY16" s="19" t="n">
        <f aca="false">AY15+Funding!AY22-Debt!AY39</f>
        <v>0</v>
      </c>
      <c r="AZ16" s="19" t="n">
        <f aca="false">AZ15+Funding!AZ22-Debt!AZ39</f>
        <v>0</v>
      </c>
      <c r="BA16" s="19" t="n">
        <f aca="false">BA15+Funding!BA22-Debt!BA39</f>
        <v>0</v>
      </c>
      <c r="BB16" s="19" t="n">
        <f aca="false">BB15+Funding!BB22-Debt!BB39</f>
        <v>0</v>
      </c>
      <c r="BC16" s="19" t="n">
        <f aca="false">BC15+Funding!BC22-Debt!BC39</f>
        <v>0</v>
      </c>
      <c r="BD16" s="19" t="n">
        <f aca="false">BD15+Funding!BD22-Debt!BD39</f>
        <v>0</v>
      </c>
      <c r="BE16" s="19" t="n">
        <f aca="false">BE15+Funding!BE22-Debt!BE39</f>
        <v>0</v>
      </c>
      <c r="BF16" s="19" t="n">
        <f aca="false">BF15+Funding!BF22-Debt!BF39</f>
        <v>0</v>
      </c>
      <c r="BG16" s="19" t="n">
        <f aca="false">BG15+Funding!BG22-Debt!BG39</f>
        <v>0</v>
      </c>
      <c r="BH16" s="19" t="n">
        <f aca="false">BH15+Funding!BH22-Debt!BH39</f>
        <v>0</v>
      </c>
      <c r="BI16" s="19" t="n">
        <f aca="false">BI15+Funding!BI22-Debt!BI39</f>
        <v>0</v>
      </c>
      <c r="BJ16" s="19" t="n">
        <f aca="false">BJ15+Funding!BJ22-Debt!BJ39</f>
        <v>0</v>
      </c>
      <c r="BK16" s="19" t="n">
        <f aca="false">BK15+Funding!BK22-Debt!BK39</f>
        <v>0</v>
      </c>
      <c r="BL16" s="19" t="n">
        <f aca="false">BL15+Funding!BL22-Debt!BL39</f>
        <v>0</v>
      </c>
      <c r="BM16" s="19" t="n">
        <f aca="false">BM15+Funding!BM22-Debt!BM39</f>
        <v>0</v>
      </c>
      <c r="BN16" s="19" t="n">
        <f aca="false">BN15+Funding!BN22-Debt!BN39</f>
        <v>0</v>
      </c>
      <c r="BO16" s="19" t="n">
        <f aca="false">BO15+Funding!BO22-Debt!BO39</f>
        <v>0</v>
      </c>
      <c r="BP16" s="19" t="n">
        <f aca="false">BP15+Funding!BP22-Debt!BP39</f>
        <v>0</v>
      </c>
      <c r="BQ16" s="19" t="n">
        <f aca="false">BQ15+Funding!BQ22-Debt!BQ39</f>
        <v>0</v>
      </c>
      <c r="BR16" s="19" t="n">
        <f aca="false">BR15+Funding!BR22-Debt!BR39</f>
        <v>0</v>
      </c>
      <c r="BS16" s="19" t="n">
        <f aca="false">BS15+Funding!BS22-Debt!BS39</f>
        <v>0</v>
      </c>
      <c r="BT16" s="19" t="n">
        <f aca="false">BT15+Funding!BT22-Debt!BT39</f>
        <v>0</v>
      </c>
      <c r="BU16" s="19" t="n">
        <f aca="false">BU15+Funding!BU22-Debt!BU39</f>
        <v>0</v>
      </c>
      <c r="BV16" s="19" t="n">
        <f aca="false">BV15+Funding!BV22-Debt!BV39</f>
        <v>0</v>
      </c>
      <c r="BW16" s="19" t="n">
        <f aca="false">BW15+Funding!BW22-Debt!BW39</f>
        <v>0</v>
      </c>
      <c r="BX16" s="19" t="n">
        <f aca="false">BX15+Funding!BX22-Debt!BX39</f>
        <v>0</v>
      </c>
      <c r="BY16" s="19" t="n">
        <f aca="false">BY15+Funding!BY22-Debt!BY39</f>
        <v>0</v>
      </c>
      <c r="BZ16" s="19" t="n">
        <f aca="false">BZ15+Funding!BZ22-Debt!BZ39</f>
        <v>0</v>
      </c>
      <c r="CA16" s="19" t="n">
        <f aca="false">CA15+Funding!CA22-Debt!CA39</f>
        <v>0</v>
      </c>
      <c r="CB16" s="19" t="n">
        <f aca="false">CB15+Funding!CB22-Debt!CB39</f>
        <v>0</v>
      </c>
      <c r="CC16" s="19" t="n">
        <f aca="false">CC15+Funding!CC22-Debt!CC39</f>
        <v>0</v>
      </c>
      <c r="CD16" s="19" t="n">
        <f aca="false">CD15+Funding!CD22-Debt!CD39</f>
        <v>0</v>
      </c>
      <c r="CE16" s="19" t="n">
        <f aca="false">CE15+Funding!CE22-Debt!CE39</f>
        <v>0</v>
      </c>
      <c r="CF16" s="19" t="n">
        <f aca="false">CF15+Funding!CF22-Debt!CF39</f>
        <v>0</v>
      </c>
      <c r="CG16" s="19" t="n">
        <f aca="false">CG15+Funding!CG22-Debt!CG39</f>
        <v>0</v>
      </c>
      <c r="CH16" s="19" t="n">
        <f aca="false">CH15+Funding!CH22-Debt!CH39</f>
        <v>0</v>
      </c>
      <c r="CI16" s="19" t="n">
        <f aca="false">CI15+Funding!CI22-Debt!CI39</f>
        <v>0</v>
      </c>
      <c r="CJ16" s="19" t="n">
        <f aca="false">CJ15+Funding!CJ22-Debt!CJ39</f>
        <v>0</v>
      </c>
      <c r="CK16" s="19" t="n">
        <f aca="false">CK15+Funding!CK22-Debt!CK39</f>
        <v>0</v>
      </c>
      <c r="CL16" s="19" t="n">
        <f aca="false">CL15+Funding!CL22-Debt!CL39</f>
        <v>0</v>
      </c>
      <c r="CM16" s="19" t="n">
        <f aca="false">CM15+Funding!CM22-Debt!CM39</f>
        <v>0</v>
      </c>
      <c r="CN16" s="19" t="n">
        <f aca="false">CN15+Funding!CN22-Debt!CN39</f>
        <v>0</v>
      </c>
      <c r="CO16" s="19" t="n">
        <f aca="false">CO15+Funding!CO22-Debt!CO39</f>
        <v>0</v>
      </c>
      <c r="CP16" s="19" t="n">
        <f aca="false">CP15+Funding!CP22-Debt!CP39</f>
        <v>0</v>
      </c>
      <c r="CQ16" s="19" t="n">
        <f aca="false">CQ15+Funding!CQ22-Debt!CQ39</f>
        <v>0</v>
      </c>
      <c r="CR16" s="19" t="n">
        <f aca="false">CR15+Funding!CR22-Debt!CR39</f>
        <v>0</v>
      </c>
      <c r="CS16" s="19" t="n">
        <f aca="false">CS15+Funding!CS22-Debt!CS39</f>
        <v>0</v>
      </c>
      <c r="CT16" s="19" t="n">
        <f aca="false">CT15+Funding!CT22-Debt!CT39</f>
        <v>0</v>
      </c>
      <c r="CU16" s="19" t="n">
        <f aca="false">CU15+Funding!CU22-Debt!CU39</f>
        <v>0</v>
      </c>
      <c r="CV16" s="19" t="n">
        <f aca="false">CV15+Funding!CV22-Debt!CV39</f>
        <v>0</v>
      </c>
      <c r="CW16" s="19" t="n">
        <f aca="false">CW15+Funding!CW22-Debt!CW39</f>
        <v>0</v>
      </c>
      <c r="CX16" s="19" t="n">
        <f aca="false">CX15+Funding!CX22-Debt!CX39</f>
        <v>0</v>
      </c>
      <c r="CY16" s="19" t="n">
        <f aca="false">CY15+Funding!CY22-Debt!CY39</f>
        <v>0</v>
      </c>
      <c r="CZ16" s="19" t="n">
        <f aca="false">CZ15+Funding!CZ22-Debt!CZ39</f>
        <v>0</v>
      </c>
      <c r="DA16" s="19" t="n">
        <f aca="false">DA15+Funding!DA22-Debt!DA39</f>
        <v>0</v>
      </c>
      <c r="DB16" s="19" t="n">
        <f aca="false">DB15+Funding!DB22-Debt!DB39</f>
        <v>0</v>
      </c>
    </row>
    <row r="17" customFormat="false" ht="15" hidden="false" customHeight="false" outlineLevel="0" collapsed="false">
      <c r="D17" s="3" t="s">
        <v>586</v>
      </c>
    </row>
    <row r="18" customFormat="false" ht="15" hidden="false" customHeight="false" outlineLevel="0" collapsed="false">
      <c r="D18" s="0" t="s">
        <v>584</v>
      </c>
      <c r="E18" s="0" t="s">
        <v>44</v>
      </c>
      <c r="J18" s="19" t="n">
        <f aca="false">I19</f>
        <v>0</v>
      </c>
      <c r="K18" s="19" t="n">
        <f aca="false">J19</f>
        <v>0</v>
      </c>
      <c r="L18" s="19" t="n">
        <f aca="false">K19</f>
        <v>0</v>
      </c>
      <c r="M18" s="19" t="n">
        <f aca="false">L19</f>
        <v>0</v>
      </c>
      <c r="N18" s="19" t="n">
        <f aca="false">M19</f>
        <v>0</v>
      </c>
      <c r="O18" s="19" t="n">
        <f aca="false">N19</f>
        <v>0</v>
      </c>
      <c r="P18" s="19" t="n">
        <f aca="false">O19</f>
        <v>0</v>
      </c>
      <c r="Q18" s="19" t="n">
        <f aca="false">P19</f>
        <v>0</v>
      </c>
      <c r="R18" s="19" t="n">
        <f aca="false">Q19</f>
        <v>0</v>
      </c>
      <c r="S18" s="19" t="n">
        <f aca="false">R19</f>
        <v>0</v>
      </c>
      <c r="T18" s="19" t="n">
        <f aca="false">S19</f>
        <v>0</v>
      </c>
      <c r="U18" s="19" t="n">
        <f aca="false">T19</f>
        <v>0</v>
      </c>
      <c r="V18" s="19" t="n">
        <f aca="false">U19</f>
        <v>0</v>
      </c>
      <c r="W18" s="19" t="n">
        <f aca="false">V19</f>
        <v>0</v>
      </c>
      <c r="X18" s="19" t="n">
        <f aca="false">W19</f>
        <v>0</v>
      </c>
      <c r="Y18" s="19" t="n">
        <f aca="false">X19</f>
        <v>0</v>
      </c>
      <c r="Z18" s="19" t="n">
        <f aca="false">Y19</f>
        <v>0</v>
      </c>
      <c r="AA18" s="19" t="n">
        <f aca="false">Z19</f>
        <v>0</v>
      </c>
      <c r="AB18" s="19" t="n">
        <f aca="false">AA19</f>
        <v>0</v>
      </c>
      <c r="AC18" s="19" t="n">
        <f aca="false">AB19</f>
        <v>0</v>
      </c>
      <c r="AD18" s="19" t="n">
        <f aca="false">AC19</f>
        <v>0</v>
      </c>
      <c r="AE18" s="19" t="n">
        <f aca="false">AD19</f>
        <v>0</v>
      </c>
      <c r="AF18" s="19" t="n">
        <f aca="false">AE19</f>
        <v>0</v>
      </c>
      <c r="AG18" s="19" t="n">
        <f aca="false">AF19</f>
        <v>0</v>
      </c>
      <c r="AH18" s="19" t="n">
        <f aca="false">AG19</f>
        <v>0</v>
      </c>
      <c r="AI18" s="19" t="n">
        <f aca="false">AH19</f>
        <v>0</v>
      </c>
      <c r="AJ18" s="19" t="n">
        <f aca="false">AI19</f>
        <v>3.2146123116131</v>
      </c>
      <c r="AK18" s="19" t="n">
        <f aca="false">AJ19</f>
        <v>6.4292246232262</v>
      </c>
      <c r="AL18" s="19" t="n">
        <f aca="false">AK19</f>
        <v>9.6438369348393</v>
      </c>
      <c r="AM18" s="19" t="n">
        <f aca="false">AL19</f>
        <v>12.8584492464524</v>
      </c>
      <c r="AN18" s="19" t="n">
        <f aca="false">AM19</f>
        <v>16.0730615580655</v>
      </c>
      <c r="AO18" s="19" t="n">
        <f aca="false">AN19</f>
        <v>19.2876738696786</v>
      </c>
      <c r="AP18" s="19" t="n">
        <f aca="false">AO19</f>
        <v>0</v>
      </c>
      <c r="AQ18" s="19" t="n">
        <f aca="false">AP19</f>
        <v>0</v>
      </c>
      <c r="AR18" s="19" t="n">
        <f aca="false">AQ19</f>
        <v>10.2829169821366</v>
      </c>
      <c r="AS18" s="19" t="n">
        <f aca="false">AR19</f>
        <v>20.5658339642732</v>
      </c>
      <c r="AT18" s="19" t="n">
        <f aca="false">AS19</f>
        <v>30.8487509464097</v>
      </c>
      <c r="AU18" s="19" t="n">
        <f aca="false">AT19</f>
        <v>41.1316679285463</v>
      </c>
      <c r="AV18" s="19" t="n">
        <f aca="false">AU19</f>
        <v>51.4145849106829</v>
      </c>
      <c r="AW18" s="19" t="n">
        <f aca="false">AV19</f>
        <v>61.6975018928195</v>
      </c>
      <c r="AX18" s="19" t="n">
        <f aca="false">AW19</f>
        <v>8.29218551580624</v>
      </c>
      <c r="AY18" s="19" t="n">
        <f aca="false">AX19</f>
        <v>16.5843710316125</v>
      </c>
      <c r="AZ18" s="19" t="n">
        <f aca="false">AY19</f>
        <v>28.7932495022592</v>
      </c>
      <c r="BA18" s="19" t="n">
        <f aca="false">AZ19</f>
        <v>41.0021279729059</v>
      </c>
      <c r="BB18" s="19" t="n">
        <f aca="false">BA19</f>
        <v>53.2110064435526</v>
      </c>
      <c r="BC18" s="19" t="n">
        <f aca="false">BB19</f>
        <v>65.4198849141993</v>
      </c>
      <c r="BD18" s="19" t="n">
        <f aca="false">BC19</f>
        <v>19.5834647742023</v>
      </c>
      <c r="BE18" s="19" t="n">
        <f aca="false">BD19</f>
        <v>23.5001577290427</v>
      </c>
      <c r="BF18" s="19" t="n">
        <f aca="false">BE19</f>
        <v>0</v>
      </c>
      <c r="BG18" s="19" t="n">
        <f aca="false">BF19</f>
        <v>0</v>
      </c>
      <c r="BH18" s="19" t="n">
        <f aca="false">BG19</f>
        <v>0</v>
      </c>
      <c r="BI18" s="19" t="n">
        <f aca="false">BH19</f>
        <v>0</v>
      </c>
      <c r="BJ18" s="19" t="n">
        <f aca="false">BI19</f>
        <v>0</v>
      </c>
      <c r="BK18" s="19" t="n">
        <f aca="false">BJ19</f>
        <v>0</v>
      </c>
      <c r="BL18" s="19" t="n">
        <f aca="false">BK19</f>
        <v>0</v>
      </c>
      <c r="BM18" s="19" t="n">
        <f aca="false">BL19</f>
        <v>0</v>
      </c>
      <c r="BN18" s="19" t="n">
        <f aca="false">BM19</f>
        <v>0</v>
      </c>
      <c r="BO18" s="19" t="n">
        <f aca="false">BN19</f>
        <v>0</v>
      </c>
      <c r="BP18" s="19" t="n">
        <f aca="false">BO19</f>
        <v>18.6014901747622</v>
      </c>
      <c r="BQ18" s="19" t="n">
        <f aca="false">BP19</f>
        <v>37.2029803495245</v>
      </c>
      <c r="BR18" s="19" t="n">
        <f aca="false">BQ19</f>
        <v>55.8044705242867</v>
      </c>
      <c r="BS18" s="19" t="n">
        <f aca="false">BR19</f>
        <v>74.4059606990489</v>
      </c>
      <c r="BT18" s="19" t="n">
        <f aca="false">BS19</f>
        <v>93.0074508738112</v>
      </c>
      <c r="BU18" s="19" t="n">
        <f aca="false">BT19</f>
        <v>111.608941048573</v>
      </c>
      <c r="BV18" s="19" t="n">
        <f aca="false">BU19</f>
        <v>0</v>
      </c>
      <c r="BW18" s="19" t="n">
        <f aca="false">BV19</f>
        <v>0</v>
      </c>
      <c r="BX18" s="19" t="n">
        <f aca="false">BW19</f>
        <v>0</v>
      </c>
      <c r="BY18" s="19" t="n">
        <f aca="false">BX19</f>
        <v>0</v>
      </c>
      <c r="BZ18" s="19" t="n">
        <f aca="false">BY19</f>
        <v>0</v>
      </c>
      <c r="CA18" s="19" t="n">
        <f aca="false">BZ19</f>
        <v>0</v>
      </c>
      <c r="CB18" s="19" t="n">
        <f aca="false">CA19</f>
        <v>12.0095570788044</v>
      </c>
      <c r="CC18" s="19" t="n">
        <f aca="false">CB19</f>
        <v>24.0191141576087</v>
      </c>
      <c r="CD18" s="19" t="n">
        <f aca="false">CC19</f>
        <v>36.0286712364131</v>
      </c>
      <c r="CE18" s="19" t="n">
        <f aca="false">CD19</f>
        <v>48.0382283152174</v>
      </c>
      <c r="CF18" s="19" t="n">
        <f aca="false">CE19</f>
        <v>65.8621380998841</v>
      </c>
      <c r="CG18" s="19" t="n">
        <f aca="false">CF19</f>
        <v>83.6860478845507</v>
      </c>
      <c r="CH18" s="19" t="n">
        <f aca="false">CG19</f>
        <v>17.4430581175868</v>
      </c>
      <c r="CI18" s="19" t="n">
        <f aca="false">CH19</f>
        <v>23.2574108234491</v>
      </c>
      <c r="CJ18" s="19" t="n">
        <f aca="false">CI19</f>
        <v>29.0717635293114</v>
      </c>
      <c r="CK18" s="19" t="n">
        <f aca="false">CJ19</f>
        <v>34.8861162351737</v>
      </c>
      <c r="CL18" s="19" t="n">
        <f aca="false">CK19</f>
        <v>0</v>
      </c>
      <c r="CM18" s="19" t="n">
        <f aca="false">CL19</f>
        <v>0</v>
      </c>
      <c r="CN18" s="19" t="n">
        <f aca="false">CM19</f>
        <v>0</v>
      </c>
      <c r="CO18" s="19" t="n">
        <f aca="false">CN19</f>
        <v>0</v>
      </c>
      <c r="CP18" s="19" t="n">
        <f aca="false">CO19</f>
        <v>0</v>
      </c>
      <c r="CQ18" s="19" t="n">
        <f aca="false">CP19</f>
        <v>0</v>
      </c>
      <c r="CR18" s="19" t="n">
        <f aca="false">CQ19</f>
        <v>0</v>
      </c>
      <c r="CS18" s="19" t="n">
        <f aca="false">CR19</f>
        <v>0</v>
      </c>
      <c r="CT18" s="19" t="n">
        <f aca="false">CS19</f>
        <v>0</v>
      </c>
      <c r="CU18" s="19" t="n">
        <f aca="false">CT19</f>
        <v>0</v>
      </c>
      <c r="CV18" s="19" t="n">
        <f aca="false">CU19</f>
        <v>0</v>
      </c>
      <c r="CW18" s="19" t="n">
        <f aca="false">CV19</f>
        <v>0</v>
      </c>
      <c r="CX18" s="19" t="n">
        <f aca="false">CW19</f>
        <v>0</v>
      </c>
      <c r="CY18" s="19" t="n">
        <f aca="false">CX19</f>
        <v>0</v>
      </c>
      <c r="CZ18" s="19" t="n">
        <f aca="false">CY19</f>
        <v>0</v>
      </c>
      <c r="DA18" s="19" t="n">
        <f aca="false">CZ19</f>
        <v>0</v>
      </c>
      <c r="DB18" s="19" t="n">
        <f aca="false">DA19</f>
        <v>0</v>
      </c>
    </row>
    <row r="19" customFormat="false" ht="15" hidden="false" customHeight="false" outlineLevel="0" collapsed="false">
      <c r="D19" s="0" t="s">
        <v>585</v>
      </c>
      <c r="E19" s="0" t="s">
        <v>44</v>
      </c>
      <c r="J19" s="19" t="n">
        <f aca="false">J18+Operations!J37-Operations!J36</f>
        <v>0</v>
      </c>
      <c r="K19" s="19" t="n">
        <f aca="false">K18+Operations!K37-Operations!K36</f>
        <v>0</v>
      </c>
      <c r="L19" s="19" t="n">
        <f aca="false">L18+Operations!L37-Operations!L36</f>
        <v>0</v>
      </c>
      <c r="M19" s="19" t="n">
        <f aca="false">M18+Operations!M37-Operations!M36</f>
        <v>0</v>
      </c>
      <c r="N19" s="19" t="n">
        <f aca="false">N18+Operations!N37-Operations!N36</f>
        <v>0</v>
      </c>
      <c r="O19" s="19" t="n">
        <f aca="false">O18+Operations!O37-Operations!O36</f>
        <v>0</v>
      </c>
      <c r="P19" s="19" t="n">
        <f aca="false">P18+Operations!P37-Operations!P36</f>
        <v>0</v>
      </c>
      <c r="Q19" s="19" t="n">
        <f aca="false">Q18+Operations!Q37-Operations!Q36</f>
        <v>0</v>
      </c>
      <c r="R19" s="19" t="n">
        <f aca="false">R18+Operations!R37-Operations!R36</f>
        <v>0</v>
      </c>
      <c r="S19" s="19" t="n">
        <f aca="false">S18+Operations!S37-Operations!S36</f>
        <v>0</v>
      </c>
      <c r="T19" s="19" t="n">
        <f aca="false">T18+Operations!T37-Operations!T36</f>
        <v>0</v>
      </c>
      <c r="U19" s="19" t="n">
        <f aca="false">U18+Operations!U37-Operations!U36</f>
        <v>0</v>
      </c>
      <c r="V19" s="19" t="n">
        <f aca="false">V18+Operations!V37-Operations!V36</f>
        <v>0</v>
      </c>
      <c r="W19" s="19" t="n">
        <f aca="false">W18+Operations!W37-Operations!W36</f>
        <v>0</v>
      </c>
      <c r="X19" s="19" t="n">
        <f aca="false">X18+Operations!X37-Operations!X36</f>
        <v>0</v>
      </c>
      <c r="Y19" s="19" t="n">
        <f aca="false">Y18+Operations!Y37-Operations!Y36</f>
        <v>0</v>
      </c>
      <c r="Z19" s="19" t="n">
        <f aca="false">Z18+Operations!Z37-Operations!Z36</f>
        <v>0</v>
      </c>
      <c r="AA19" s="19" t="n">
        <f aca="false">AA18+Operations!AA37-Operations!AA36</f>
        <v>0</v>
      </c>
      <c r="AB19" s="19" t="n">
        <f aca="false">AB18+Operations!AB37-Operations!AB36</f>
        <v>0</v>
      </c>
      <c r="AC19" s="19" t="n">
        <f aca="false">AC18+Operations!AC37-Operations!AC36</f>
        <v>0</v>
      </c>
      <c r="AD19" s="19" t="n">
        <f aca="false">AD18+Operations!AD37-Operations!AD36</f>
        <v>0</v>
      </c>
      <c r="AE19" s="19" t="n">
        <f aca="false">AE18+Operations!AE37-Operations!AE36</f>
        <v>0</v>
      </c>
      <c r="AF19" s="19" t="n">
        <f aca="false">AF18+Operations!AF37-Operations!AF36</f>
        <v>0</v>
      </c>
      <c r="AG19" s="19" t="n">
        <f aca="false">AG18+Operations!AG37-Operations!AG36</f>
        <v>0</v>
      </c>
      <c r="AH19" s="19" t="n">
        <f aca="false">AH18+Operations!AH37-Operations!AH36</f>
        <v>0</v>
      </c>
      <c r="AI19" s="19" t="n">
        <f aca="false">AI18+Operations!AI37-Operations!AI36</f>
        <v>3.2146123116131</v>
      </c>
      <c r="AJ19" s="19" t="n">
        <f aca="false">AJ18+Operations!AJ37-Operations!AJ36</f>
        <v>6.4292246232262</v>
      </c>
      <c r="AK19" s="19" t="n">
        <f aca="false">AK18+Operations!AK37-Operations!AK36</f>
        <v>9.6438369348393</v>
      </c>
      <c r="AL19" s="19" t="n">
        <f aca="false">AL18+Operations!AL37-Operations!AL36</f>
        <v>12.8584492464524</v>
      </c>
      <c r="AM19" s="19" t="n">
        <f aca="false">AM18+Operations!AM37-Operations!AM36</f>
        <v>16.0730615580655</v>
      </c>
      <c r="AN19" s="19" t="n">
        <f aca="false">AN18+Operations!AN37-Operations!AN36</f>
        <v>19.2876738696786</v>
      </c>
      <c r="AO19" s="19" t="n">
        <f aca="false">AO18+Operations!AO37-Operations!AO36</f>
        <v>0</v>
      </c>
      <c r="AP19" s="19" t="n">
        <f aca="false">AP18+Operations!AP37-Operations!AP36</f>
        <v>0</v>
      </c>
      <c r="AQ19" s="19" t="n">
        <f aca="false">AQ18+Operations!AQ37-Operations!AQ36</f>
        <v>10.2829169821366</v>
      </c>
      <c r="AR19" s="19" t="n">
        <f aca="false">AR18+Operations!AR37-Operations!AR36</f>
        <v>20.5658339642732</v>
      </c>
      <c r="AS19" s="19" t="n">
        <f aca="false">AS18+Operations!AS37-Operations!AS36</f>
        <v>30.8487509464097</v>
      </c>
      <c r="AT19" s="19" t="n">
        <f aca="false">AT18+Operations!AT37-Operations!AT36</f>
        <v>41.1316679285463</v>
      </c>
      <c r="AU19" s="19" t="n">
        <f aca="false">AU18+Operations!AU37-Operations!AU36</f>
        <v>51.4145849106829</v>
      </c>
      <c r="AV19" s="19" t="n">
        <f aca="false">AV18+Operations!AV37-Operations!AV36</f>
        <v>61.6975018928195</v>
      </c>
      <c r="AW19" s="19" t="n">
        <f aca="false">AW18+Operations!AW37-Operations!AW36</f>
        <v>8.29218551580624</v>
      </c>
      <c r="AX19" s="19" t="n">
        <f aca="false">AX18+Operations!AX37-Operations!AX36</f>
        <v>16.5843710316125</v>
      </c>
      <c r="AY19" s="19" t="n">
        <f aca="false">AY18+Operations!AY37-Operations!AY36</f>
        <v>28.7932495022592</v>
      </c>
      <c r="AZ19" s="19" t="n">
        <f aca="false">AZ18+Operations!AZ37-Operations!AZ36</f>
        <v>41.0021279729059</v>
      </c>
      <c r="BA19" s="19" t="n">
        <f aca="false">BA18+Operations!BA37-Operations!BA36</f>
        <v>53.2110064435526</v>
      </c>
      <c r="BB19" s="19" t="n">
        <f aca="false">BB18+Operations!BB37-Operations!BB36</f>
        <v>65.4198849141993</v>
      </c>
      <c r="BC19" s="19" t="n">
        <f aca="false">BC18+Operations!BC37-Operations!BC36</f>
        <v>19.5834647742023</v>
      </c>
      <c r="BD19" s="19" t="n">
        <f aca="false">BD18+Operations!BD37-Operations!BD36</f>
        <v>23.5001577290427</v>
      </c>
      <c r="BE19" s="19" t="n">
        <f aca="false">BE18+Operations!BE37-Operations!BE36</f>
        <v>0</v>
      </c>
      <c r="BF19" s="19" t="n">
        <f aca="false">BF18+Operations!BF37-Operations!BF36</f>
        <v>0</v>
      </c>
      <c r="BG19" s="19" t="n">
        <f aca="false">BG18+Operations!BG37-Operations!BG36</f>
        <v>0</v>
      </c>
      <c r="BH19" s="19" t="n">
        <f aca="false">BH18+Operations!BH37-Operations!BH36</f>
        <v>0</v>
      </c>
      <c r="BI19" s="19" t="n">
        <f aca="false">BI18+Operations!BI37-Operations!BI36</f>
        <v>0</v>
      </c>
      <c r="BJ19" s="19" t="n">
        <f aca="false">BJ18+Operations!BJ37-Operations!BJ36</f>
        <v>0</v>
      </c>
      <c r="BK19" s="19" t="n">
        <f aca="false">BK18+Operations!BK37-Operations!BK36</f>
        <v>0</v>
      </c>
      <c r="BL19" s="19" t="n">
        <f aca="false">BL18+Operations!BL37-Operations!BL36</f>
        <v>0</v>
      </c>
      <c r="BM19" s="19" t="n">
        <f aca="false">BM18+Operations!BM37-Operations!BM36</f>
        <v>0</v>
      </c>
      <c r="BN19" s="19" t="n">
        <f aca="false">BN18+Operations!BN37-Operations!BN36</f>
        <v>0</v>
      </c>
      <c r="BO19" s="19" t="n">
        <f aca="false">BO18+Operations!BO37-Operations!BO36</f>
        <v>18.6014901747622</v>
      </c>
      <c r="BP19" s="19" t="n">
        <f aca="false">BP18+Operations!BP37-Operations!BP36</f>
        <v>37.2029803495245</v>
      </c>
      <c r="BQ19" s="19" t="n">
        <f aca="false">BQ18+Operations!BQ37-Operations!BQ36</f>
        <v>55.8044705242867</v>
      </c>
      <c r="BR19" s="19" t="n">
        <f aca="false">BR18+Operations!BR37-Operations!BR36</f>
        <v>74.4059606990489</v>
      </c>
      <c r="BS19" s="19" t="n">
        <f aca="false">BS18+Operations!BS37-Operations!BS36</f>
        <v>93.0074508738112</v>
      </c>
      <c r="BT19" s="19" t="n">
        <f aca="false">BT18+Operations!BT37-Operations!BT36</f>
        <v>111.608941048573</v>
      </c>
      <c r="BU19" s="19" t="n">
        <f aca="false">BU18+Operations!BU37-Operations!BU36</f>
        <v>0</v>
      </c>
      <c r="BV19" s="19" t="n">
        <f aca="false">BV18+Operations!BV37-Operations!BV36</f>
        <v>0</v>
      </c>
      <c r="BW19" s="19" t="n">
        <f aca="false">BW18+Operations!BW37-Operations!BW36</f>
        <v>0</v>
      </c>
      <c r="BX19" s="19" t="n">
        <f aca="false">BX18+Operations!BX37-Operations!BX36</f>
        <v>0</v>
      </c>
      <c r="BY19" s="19" t="n">
        <f aca="false">BY18+Operations!BY37-Operations!BY36</f>
        <v>0</v>
      </c>
      <c r="BZ19" s="19" t="n">
        <f aca="false">BZ18+Operations!BZ37-Operations!BZ36</f>
        <v>0</v>
      </c>
      <c r="CA19" s="19" t="n">
        <f aca="false">CA18+Operations!CA37-Operations!CA36</f>
        <v>12.0095570788044</v>
      </c>
      <c r="CB19" s="19" t="n">
        <f aca="false">CB18+Operations!CB37-Operations!CB36</f>
        <v>24.0191141576087</v>
      </c>
      <c r="CC19" s="19" t="n">
        <f aca="false">CC18+Operations!CC37-Operations!CC36</f>
        <v>36.0286712364131</v>
      </c>
      <c r="CD19" s="19" t="n">
        <f aca="false">CD18+Operations!CD37-Operations!CD36</f>
        <v>48.0382283152174</v>
      </c>
      <c r="CE19" s="19" t="n">
        <f aca="false">CE18+Operations!CE37-Operations!CE36</f>
        <v>65.8621380998841</v>
      </c>
      <c r="CF19" s="19" t="n">
        <f aca="false">CF18+Operations!CF37-Operations!CF36</f>
        <v>83.6860478845507</v>
      </c>
      <c r="CG19" s="19" t="n">
        <f aca="false">CG18+Operations!CG37-Operations!CG36</f>
        <v>17.4430581175868</v>
      </c>
      <c r="CH19" s="19" t="n">
        <f aca="false">CH18+Operations!CH37-Operations!CH36</f>
        <v>23.2574108234491</v>
      </c>
      <c r="CI19" s="19" t="n">
        <f aca="false">CI18+Operations!CI37-Operations!CI36</f>
        <v>29.0717635293114</v>
      </c>
      <c r="CJ19" s="19" t="n">
        <f aca="false">CJ18+Operations!CJ37-Operations!CJ36</f>
        <v>34.8861162351737</v>
      </c>
      <c r="CK19" s="19" t="n">
        <f aca="false">CK18+Operations!CK37-Operations!CK36</f>
        <v>0</v>
      </c>
      <c r="CL19" s="19" t="n">
        <f aca="false">CL18+Operations!CL37-Operations!CL36</f>
        <v>0</v>
      </c>
      <c r="CM19" s="19" t="n">
        <f aca="false">CM18+Operations!CM37-Operations!CM36</f>
        <v>0</v>
      </c>
      <c r="CN19" s="19" t="n">
        <f aca="false">CN18+Operations!CN37-Operations!CN36</f>
        <v>0</v>
      </c>
      <c r="CO19" s="19" t="n">
        <f aca="false">CO18+Operations!CO37-Operations!CO36</f>
        <v>0</v>
      </c>
      <c r="CP19" s="19" t="n">
        <f aca="false">CP18+Operations!CP37-Operations!CP36</f>
        <v>0</v>
      </c>
      <c r="CQ19" s="19" t="n">
        <f aca="false">CQ18+Operations!CQ37-Operations!CQ36</f>
        <v>0</v>
      </c>
      <c r="CR19" s="19" t="n">
        <f aca="false">CR18+Operations!CR37-Operations!CR36</f>
        <v>0</v>
      </c>
      <c r="CS19" s="19" t="n">
        <f aca="false">CS18+Operations!CS37-Operations!CS36</f>
        <v>0</v>
      </c>
      <c r="CT19" s="19" t="n">
        <f aca="false">CT18+Operations!CT37-Operations!CT36</f>
        <v>0</v>
      </c>
      <c r="CU19" s="19" t="n">
        <f aca="false">CU18+Operations!CU37-Operations!CU36</f>
        <v>0</v>
      </c>
      <c r="CV19" s="19" t="n">
        <f aca="false">CV18+Operations!CV37-Operations!CV36</f>
        <v>0</v>
      </c>
      <c r="CW19" s="19" t="n">
        <f aca="false">CW18+Operations!CW37-Operations!CW36</f>
        <v>0</v>
      </c>
      <c r="CX19" s="19" t="n">
        <f aca="false">CX18+Operations!CX37-Operations!CX36</f>
        <v>0</v>
      </c>
      <c r="CY19" s="19" t="n">
        <f aca="false">CY18+Operations!CY37-Operations!CY36</f>
        <v>0</v>
      </c>
      <c r="CZ19" s="19" t="n">
        <f aca="false">CZ18+Operations!CZ37-Operations!CZ36</f>
        <v>0</v>
      </c>
      <c r="DA19" s="19" t="n">
        <f aca="false">DA18+Operations!DA37-Operations!DA36</f>
        <v>0</v>
      </c>
      <c r="DB19" s="19" t="n">
        <f aca="false">DB18+Operations!DB37-Operations!DB36</f>
        <v>0</v>
      </c>
    </row>
    <row r="20" customFormat="false" ht="15" hidden="false" customHeight="false" outlineLevel="0" collapsed="false">
      <c r="D20" s="3" t="s">
        <v>587</v>
      </c>
    </row>
    <row r="21" customFormat="false" ht="15" hidden="false" customHeight="false" outlineLevel="0" collapsed="false">
      <c r="D21" s="0" t="s">
        <v>584</v>
      </c>
      <c r="E21" s="0" t="s">
        <v>44</v>
      </c>
      <c r="J21" s="19" t="n">
        <f aca="false">I23</f>
        <v>0</v>
      </c>
      <c r="K21" s="19" t="n">
        <f aca="false">J23</f>
        <v>0</v>
      </c>
      <c r="L21" s="19" t="n">
        <f aca="false">K23</f>
        <v>0</v>
      </c>
      <c r="M21" s="19" t="n">
        <f aca="false">L23</f>
        <v>0</v>
      </c>
      <c r="N21" s="19" t="n">
        <f aca="false">M23</f>
        <v>0</v>
      </c>
      <c r="O21" s="19" t="n">
        <f aca="false">N23</f>
        <v>0</v>
      </c>
      <c r="P21" s="19" t="n">
        <f aca="false">O23</f>
        <v>0</v>
      </c>
      <c r="Q21" s="19" t="n">
        <f aca="false">P23</f>
        <v>0</v>
      </c>
      <c r="R21" s="19" t="n">
        <f aca="false">Q23</f>
        <v>0</v>
      </c>
      <c r="S21" s="19" t="n">
        <f aca="false">R23</f>
        <v>0</v>
      </c>
      <c r="T21" s="19" t="n">
        <f aca="false">S23</f>
        <v>0</v>
      </c>
      <c r="U21" s="19" t="n">
        <f aca="false">T23</f>
        <v>0</v>
      </c>
      <c r="V21" s="19" t="n">
        <f aca="false">U23</f>
        <v>0</v>
      </c>
      <c r="W21" s="19" t="n">
        <f aca="false">V23</f>
        <v>0</v>
      </c>
      <c r="X21" s="19" t="n">
        <f aca="false">W23</f>
        <v>0</v>
      </c>
      <c r="Y21" s="19" t="n">
        <f aca="false">X23</f>
        <v>0</v>
      </c>
      <c r="Z21" s="19" t="n">
        <f aca="false">Y23</f>
        <v>0</v>
      </c>
      <c r="AA21" s="19" t="n">
        <f aca="false">Z23</f>
        <v>0</v>
      </c>
      <c r="AB21" s="19" t="n">
        <f aca="false">AA23</f>
        <v>0</v>
      </c>
      <c r="AC21" s="19" t="n">
        <f aca="false">AB23</f>
        <v>0</v>
      </c>
      <c r="AD21" s="19" t="n">
        <f aca="false">AC23</f>
        <v>0</v>
      </c>
      <c r="AE21" s="19" t="n">
        <f aca="false">AD23</f>
        <v>0</v>
      </c>
      <c r="AF21" s="19" t="n">
        <f aca="false">AE23</f>
        <v>0</v>
      </c>
      <c r="AG21" s="19" t="n">
        <f aca="false">AF23</f>
        <v>0</v>
      </c>
      <c r="AH21" s="19" t="n">
        <f aca="false">AG23</f>
        <v>0</v>
      </c>
      <c r="AI21" s="19" t="n">
        <f aca="false">AH23</f>
        <v>0</v>
      </c>
      <c r="AJ21" s="19" t="n">
        <f aca="false">AI23</f>
        <v>0</v>
      </c>
      <c r="AK21" s="19" t="n">
        <f aca="false">AJ23</f>
        <v>0</v>
      </c>
      <c r="AL21" s="19" t="n">
        <f aca="false">AK23</f>
        <v>0</v>
      </c>
      <c r="AM21" s="19" t="n">
        <f aca="false">AL23</f>
        <v>0</v>
      </c>
      <c r="AN21" s="19" t="n">
        <f aca="false">AM23</f>
        <v>0</v>
      </c>
      <c r="AO21" s="19" t="n">
        <f aca="false">AN23</f>
        <v>0</v>
      </c>
      <c r="AP21" s="19" t="n">
        <f aca="false">AO23</f>
        <v>0</v>
      </c>
      <c r="AQ21" s="19" t="n">
        <f aca="false">AP23</f>
        <v>0</v>
      </c>
      <c r="AR21" s="19" t="n">
        <f aca="false">AQ23</f>
        <v>0</v>
      </c>
      <c r="AS21" s="19" t="n">
        <f aca="false">AR23</f>
        <v>0</v>
      </c>
      <c r="AT21" s="19" t="n">
        <f aca="false">AS23</f>
        <v>0</v>
      </c>
      <c r="AU21" s="19" t="n">
        <f aca="false">AT23</f>
        <v>0</v>
      </c>
      <c r="AV21" s="19" t="n">
        <f aca="false">AU23</f>
        <v>0</v>
      </c>
      <c r="AW21" s="19" t="n">
        <f aca="false">AV23</f>
        <v>0</v>
      </c>
      <c r="AX21" s="19" t="n">
        <f aca="false">AW23</f>
        <v>0</v>
      </c>
      <c r="AY21" s="19" t="n">
        <f aca="false">AX23</f>
        <v>0</v>
      </c>
      <c r="AZ21" s="19" t="n">
        <f aca="false">AY23</f>
        <v>0</v>
      </c>
      <c r="BA21" s="19" t="n">
        <f aca="false">AZ23</f>
        <v>0</v>
      </c>
      <c r="BB21" s="19" t="n">
        <f aca="false">BA23</f>
        <v>0</v>
      </c>
      <c r="BC21" s="19" t="n">
        <f aca="false">BB23</f>
        <v>0</v>
      </c>
      <c r="BD21" s="19" t="n">
        <f aca="false">BC23</f>
        <v>0</v>
      </c>
      <c r="BE21" s="19" t="n">
        <f aca="false">BD23</f>
        <v>0</v>
      </c>
      <c r="BF21" s="19" t="n">
        <f aca="false">BE23</f>
        <v>0</v>
      </c>
      <c r="BG21" s="19" t="n">
        <f aca="false">BF23</f>
        <v>0</v>
      </c>
      <c r="BH21" s="19" t="n">
        <f aca="false">BG23</f>
        <v>0</v>
      </c>
      <c r="BI21" s="19" t="n">
        <f aca="false">BH23</f>
        <v>0</v>
      </c>
      <c r="BJ21" s="19" t="n">
        <f aca="false">BI23</f>
        <v>0</v>
      </c>
      <c r="BK21" s="19" t="n">
        <f aca="false">BJ23</f>
        <v>0</v>
      </c>
      <c r="BL21" s="19" t="n">
        <f aca="false">BK23</f>
        <v>0</v>
      </c>
      <c r="BM21" s="19" t="n">
        <f aca="false">BL23</f>
        <v>0</v>
      </c>
      <c r="BN21" s="19" t="n">
        <f aca="false">BM23</f>
        <v>0</v>
      </c>
      <c r="BO21" s="19" t="n">
        <f aca="false">BN23</f>
        <v>0</v>
      </c>
      <c r="BP21" s="19" t="n">
        <f aca="false">BO23</f>
        <v>0</v>
      </c>
      <c r="BQ21" s="19" t="n">
        <f aca="false">BP23</f>
        <v>0</v>
      </c>
      <c r="BR21" s="19" t="n">
        <f aca="false">BQ23</f>
        <v>0</v>
      </c>
      <c r="BS21" s="19" t="n">
        <f aca="false">BR23</f>
        <v>0</v>
      </c>
      <c r="BT21" s="19" t="n">
        <f aca="false">BS23</f>
        <v>0</v>
      </c>
      <c r="BU21" s="19" t="n">
        <f aca="false">BT23</f>
        <v>0</v>
      </c>
      <c r="BV21" s="19" t="n">
        <f aca="false">BU23</f>
        <v>0</v>
      </c>
      <c r="BW21" s="19" t="n">
        <f aca="false">BV23</f>
        <v>0</v>
      </c>
      <c r="BX21" s="19" t="n">
        <f aca="false">BW23</f>
        <v>0</v>
      </c>
      <c r="BY21" s="19" t="n">
        <f aca="false">BX23</f>
        <v>0</v>
      </c>
      <c r="BZ21" s="19" t="n">
        <f aca="false">BY23</f>
        <v>0</v>
      </c>
      <c r="CA21" s="19" t="n">
        <f aca="false">BZ23</f>
        <v>0</v>
      </c>
      <c r="CB21" s="19" t="n">
        <f aca="false">CA23</f>
        <v>0</v>
      </c>
      <c r="CC21" s="19" t="n">
        <f aca="false">CB23</f>
        <v>0</v>
      </c>
      <c r="CD21" s="19" t="n">
        <f aca="false">CC23</f>
        <v>0</v>
      </c>
      <c r="CE21" s="19" t="n">
        <f aca="false">CD23</f>
        <v>0</v>
      </c>
      <c r="CF21" s="19" t="n">
        <f aca="false">CE23</f>
        <v>0</v>
      </c>
      <c r="CG21" s="19" t="n">
        <f aca="false">CF23</f>
        <v>0</v>
      </c>
      <c r="CH21" s="19" t="n">
        <f aca="false">CG23</f>
        <v>9.62270466878493</v>
      </c>
      <c r="CI21" s="19" t="n">
        <f aca="false">CH23</f>
        <v>19.4859769542895</v>
      </c>
      <c r="CJ21" s="19" t="n">
        <f aca="false">CI23</f>
        <v>29.349249239794</v>
      </c>
      <c r="CK21" s="19" t="n">
        <f aca="false">CJ23</f>
        <v>39.4591033324362</v>
      </c>
      <c r="CL21" s="19" t="n">
        <f aca="false">CK23</f>
        <v>49.5689574250784</v>
      </c>
      <c r="CM21" s="19" t="n">
        <f aca="false">CL23</f>
        <v>59.9315578700366</v>
      </c>
      <c r="CN21" s="19" t="n">
        <f aca="false">CM23</f>
        <v>70.2941583149948</v>
      </c>
      <c r="CO21" s="19" t="n">
        <f aca="false">CN23</f>
        <v>80.915823771077</v>
      </c>
      <c r="CP21" s="19" t="n">
        <f aca="false">CO23</f>
        <v>91.5374892271592</v>
      </c>
      <c r="CQ21" s="19" t="n">
        <f aca="false">CP23</f>
        <v>0</v>
      </c>
      <c r="CR21" s="19" t="n">
        <f aca="false">CQ23</f>
        <v>0</v>
      </c>
      <c r="CS21" s="19" t="n">
        <f aca="false">CR23</f>
        <v>0</v>
      </c>
      <c r="CT21" s="19" t="n">
        <f aca="false">CS23</f>
        <v>0</v>
      </c>
      <c r="CU21" s="19" t="n">
        <f aca="false">CT23</f>
        <v>0</v>
      </c>
      <c r="CV21" s="19" t="n">
        <f aca="false">CU23</f>
        <v>0</v>
      </c>
      <c r="CW21" s="19" t="n">
        <f aca="false">CV23</f>
        <v>0</v>
      </c>
      <c r="CX21" s="19" t="n">
        <f aca="false">CW23</f>
        <v>0</v>
      </c>
      <c r="CY21" s="19" t="n">
        <f aca="false">CX23</f>
        <v>0</v>
      </c>
      <c r="CZ21" s="19" t="n">
        <f aca="false">CY23</f>
        <v>0</v>
      </c>
      <c r="DA21" s="19" t="n">
        <f aca="false">CZ23</f>
        <v>0</v>
      </c>
      <c r="DB21" s="19" t="n">
        <f aca="false">DA23</f>
        <v>0</v>
      </c>
    </row>
    <row r="22" customFormat="false" ht="15" hidden="false" customHeight="false" outlineLevel="0" collapsed="false">
      <c r="D22" s="0" t="s">
        <v>588</v>
      </c>
      <c r="E22" s="0" t="s">
        <v>44</v>
      </c>
      <c r="G22" s="19" t="n">
        <f aca="false">SUM(J22:DB22)</f>
        <v>102.424696319643</v>
      </c>
      <c r="J22" s="19" t="n">
        <f aca="false">(J21+Operations!J39)*Time!J28</f>
        <v>0</v>
      </c>
      <c r="K22" s="19" t="n">
        <f aca="false">(K21+Operations!K39)*Time!K28</f>
        <v>0</v>
      </c>
      <c r="L22" s="19" t="n">
        <f aca="false">(L21+Operations!L39)*Time!L28</f>
        <v>0</v>
      </c>
      <c r="M22" s="19" t="n">
        <f aca="false">(M21+Operations!M39)*Time!M28</f>
        <v>0</v>
      </c>
      <c r="N22" s="19" t="n">
        <f aca="false">(N21+Operations!N39)*Time!N28</f>
        <v>0</v>
      </c>
      <c r="O22" s="19" t="n">
        <f aca="false">(O21+Operations!O39)*Time!O28</f>
        <v>0</v>
      </c>
      <c r="P22" s="19" t="n">
        <f aca="false">(P21+Operations!P39)*Time!P28</f>
        <v>0</v>
      </c>
      <c r="Q22" s="19" t="n">
        <f aca="false">(Q21+Operations!Q39)*Time!Q28</f>
        <v>0</v>
      </c>
      <c r="R22" s="19" t="n">
        <f aca="false">(R21+Operations!R39)*Time!R28</f>
        <v>0</v>
      </c>
      <c r="S22" s="19" t="n">
        <f aca="false">(S21+Operations!S39)*Time!S28</f>
        <v>0</v>
      </c>
      <c r="T22" s="19" t="n">
        <f aca="false">(T21+Operations!T39)*Time!T28</f>
        <v>0</v>
      </c>
      <c r="U22" s="19" t="n">
        <f aca="false">(U21+Operations!U39)*Time!U28</f>
        <v>0</v>
      </c>
      <c r="V22" s="19" t="n">
        <f aca="false">(V21+Operations!V39)*Time!V28</f>
        <v>0</v>
      </c>
      <c r="W22" s="19" t="n">
        <f aca="false">(W21+Operations!W39)*Time!W28</f>
        <v>0</v>
      </c>
      <c r="X22" s="19" t="n">
        <f aca="false">(X21+Operations!X39)*Time!X28</f>
        <v>0</v>
      </c>
      <c r="Y22" s="19" t="n">
        <f aca="false">(Y21+Operations!Y39)*Time!Y28</f>
        <v>0</v>
      </c>
      <c r="Z22" s="19" t="n">
        <f aca="false">(Z21+Operations!Z39)*Time!Z28</f>
        <v>0</v>
      </c>
      <c r="AA22" s="19" t="n">
        <f aca="false">(AA21+Operations!AA39)*Time!AA28</f>
        <v>0</v>
      </c>
      <c r="AB22" s="19" t="n">
        <f aca="false">(AB21+Operations!AB39)*Time!AB28</f>
        <v>0</v>
      </c>
      <c r="AC22" s="19" t="n">
        <f aca="false">(AC21+Operations!AC39)*Time!AC28</f>
        <v>0</v>
      </c>
      <c r="AD22" s="19" t="n">
        <f aca="false">(AD21+Operations!AD39)*Time!AD28</f>
        <v>0</v>
      </c>
      <c r="AE22" s="19" t="n">
        <f aca="false">(AE21+Operations!AE39)*Time!AE28</f>
        <v>0</v>
      </c>
      <c r="AF22" s="19" t="n">
        <f aca="false">(AF21+Operations!AF39)*Time!AF28</f>
        <v>0</v>
      </c>
      <c r="AG22" s="19" t="n">
        <f aca="false">(AG21+Operations!AG39)*Time!AG28</f>
        <v>0</v>
      </c>
      <c r="AH22" s="19" t="n">
        <f aca="false">(AH21+Operations!AH39)*Time!AH28</f>
        <v>0</v>
      </c>
      <c r="AI22" s="19" t="n">
        <f aca="false">(AI21+Operations!AI39)*Time!AI28</f>
        <v>0</v>
      </c>
      <c r="AJ22" s="19" t="n">
        <f aca="false">(AJ21+Operations!AJ39)*Time!AJ28</f>
        <v>0</v>
      </c>
      <c r="AK22" s="19" t="n">
        <f aca="false">(AK21+Operations!AK39)*Time!AK28</f>
        <v>0</v>
      </c>
      <c r="AL22" s="19" t="n">
        <f aca="false">(AL21+Operations!AL39)*Time!AL28</f>
        <v>0</v>
      </c>
      <c r="AM22" s="19" t="n">
        <f aca="false">(AM21+Operations!AM39)*Time!AM28</f>
        <v>0</v>
      </c>
      <c r="AN22" s="19" t="n">
        <f aca="false">(AN21+Operations!AN39)*Time!AN28</f>
        <v>0</v>
      </c>
      <c r="AO22" s="19" t="n">
        <f aca="false">(AO21+Operations!AO39)*Time!AO28</f>
        <v>0</v>
      </c>
      <c r="AP22" s="19" t="n">
        <f aca="false">(AP21+Operations!AP39)*Time!AP28</f>
        <v>0</v>
      </c>
      <c r="AQ22" s="19" t="n">
        <f aca="false">(AQ21+Operations!AQ39)*Time!AQ28</f>
        <v>0</v>
      </c>
      <c r="AR22" s="19" t="n">
        <f aca="false">(AR21+Operations!AR39)*Time!AR28</f>
        <v>0</v>
      </c>
      <c r="AS22" s="19" t="n">
        <f aca="false">(AS21+Operations!AS39)*Time!AS28</f>
        <v>0</v>
      </c>
      <c r="AT22" s="19" t="n">
        <f aca="false">(AT21+Operations!AT39)*Time!AT28</f>
        <v>0</v>
      </c>
      <c r="AU22" s="19" t="n">
        <f aca="false">(AU21+Operations!AU39)*Time!AU28</f>
        <v>0</v>
      </c>
      <c r="AV22" s="19" t="n">
        <f aca="false">(AV21+Operations!AV39)*Time!AV28</f>
        <v>0</v>
      </c>
      <c r="AW22" s="19" t="n">
        <f aca="false">(AW21+Operations!AW39)*Time!AW28</f>
        <v>0</v>
      </c>
      <c r="AX22" s="19" t="n">
        <f aca="false">(AX21+Operations!AX39)*Time!AX28</f>
        <v>0</v>
      </c>
      <c r="AY22" s="19" t="n">
        <f aca="false">(AY21+Operations!AY39)*Time!AY28</f>
        <v>0</v>
      </c>
      <c r="AZ22" s="19" t="n">
        <f aca="false">(AZ21+Operations!AZ39)*Time!AZ28</f>
        <v>0</v>
      </c>
      <c r="BA22" s="19" t="n">
        <f aca="false">(BA21+Operations!BA39)*Time!BA28</f>
        <v>0</v>
      </c>
      <c r="BB22" s="19" t="n">
        <f aca="false">(BB21+Operations!BB39)*Time!BB28</f>
        <v>0</v>
      </c>
      <c r="BC22" s="19" t="n">
        <f aca="false">(BC21+Operations!BC39)*Time!BC28</f>
        <v>0</v>
      </c>
      <c r="BD22" s="19" t="n">
        <f aca="false">(BD21+Operations!BD39)*Time!BD28</f>
        <v>0</v>
      </c>
      <c r="BE22" s="19" t="n">
        <f aca="false">(BE21+Operations!BE39)*Time!BE28</f>
        <v>0</v>
      </c>
      <c r="BF22" s="19" t="n">
        <f aca="false">(BF21+Operations!BF39)*Time!BF28</f>
        <v>0</v>
      </c>
      <c r="BG22" s="19" t="n">
        <f aca="false">(BG21+Operations!BG39)*Time!BG28</f>
        <v>0</v>
      </c>
      <c r="BH22" s="19" t="n">
        <f aca="false">(BH21+Operations!BH39)*Time!BH28</f>
        <v>0</v>
      </c>
      <c r="BI22" s="19" t="n">
        <f aca="false">(BI21+Operations!BI39)*Time!BI28</f>
        <v>0</v>
      </c>
      <c r="BJ22" s="19" t="n">
        <f aca="false">(BJ21+Operations!BJ39)*Time!BJ28</f>
        <v>0</v>
      </c>
      <c r="BK22" s="19" t="n">
        <f aca="false">(BK21+Operations!BK39)*Time!BK28</f>
        <v>0</v>
      </c>
      <c r="BL22" s="19" t="n">
        <f aca="false">(BL21+Operations!BL39)*Time!BL28</f>
        <v>0</v>
      </c>
      <c r="BM22" s="19" t="n">
        <f aca="false">(BM21+Operations!BM39)*Time!BM28</f>
        <v>0</v>
      </c>
      <c r="BN22" s="19" t="n">
        <f aca="false">(BN21+Operations!BN39)*Time!BN28</f>
        <v>0</v>
      </c>
      <c r="BO22" s="19" t="n">
        <f aca="false">(BO21+Operations!BO39)*Time!BO28</f>
        <v>0</v>
      </c>
      <c r="BP22" s="19" t="n">
        <f aca="false">(BP21+Operations!BP39)*Time!BP28</f>
        <v>0</v>
      </c>
      <c r="BQ22" s="19" t="n">
        <f aca="false">(BQ21+Operations!BQ39)*Time!BQ28</f>
        <v>0</v>
      </c>
      <c r="BR22" s="19" t="n">
        <f aca="false">(BR21+Operations!BR39)*Time!BR28</f>
        <v>0</v>
      </c>
      <c r="BS22" s="19" t="n">
        <f aca="false">(BS21+Operations!BS39)*Time!BS28</f>
        <v>0</v>
      </c>
      <c r="BT22" s="19" t="n">
        <f aca="false">(BT21+Operations!BT39)*Time!BT28</f>
        <v>0</v>
      </c>
      <c r="BU22" s="19" t="n">
        <f aca="false">(BU21+Operations!BU39)*Time!BU28</f>
        <v>0</v>
      </c>
      <c r="BV22" s="19" t="n">
        <f aca="false">(BV21+Operations!BV39)*Time!BV28</f>
        <v>0</v>
      </c>
      <c r="BW22" s="19" t="n">
        <f aca="false">(BW21+Operations!BW39)*Time!BW28</f>
        <v>0</v>
      </c>
      <c r="BX22" s="19" t="n">
        <f aca="false">(BX21+Operations!BX39)*Time!BX28</f>
        <v>0</v>
      </c>
      <c r="BY22" s="19" t="n">
        <f aca="false">(BY21+Operations!BY39)*Time!BY28</f>
        <v>0</v>
      </c>
      <c r="BZ22" s="19" t="n">
        <f aca="false">(BZ21+Operations!BZ39)*Time!BZ28</f>
        <v>0</v>
      </c>
      <c r="CA22" s="19" t="n">
        <f aca="false">(CA21+Operations!CA39)*Time!CA28</f>
        <v>0</v>
      </c>
      <c r="CB22" s="19" t="n">
        <f aca="false">(CB21+Operations!CB39)*Time!CB28</f>
        <v>0</v>
      </c>
      <c r="CC22" s="19" t="n">
        <f aca="false">(CC21+Operations!CC39)*Time!CC28</f>
        <v>0</v>
      </c>
      <c r="CD22" s="19" t="n">
        <f aca="false">(CD21+Operations!CD39)*Time!CD28</f>
        <v>0</v>
      </c>
      <c r="CE22" s="19" t="n">
        <f aca="false">(CE21+Operations!CE39)*Time!CE28</f>
        <v>0</v>
      </c>
      <c r="CF22" s="19" t="n">
        <f aca="false">(CF21+Operations!CF39)*Time!CF28</f>
        <v>0</v>
      </c>
      <c r="CG22" s="19" t="n">
        <f aca="false">(CG21+Operations!CG39)*Time!CG28</f>
        <v>0</v>
      </c>
      <c r="CH22" s="19" t="n">
        <f aca="false">(CH21+Operations!CH39)*Time!CH28</f>
        <v>0</v>
      </c>
      <c r="CI22" s="19" t="n">
        <f aca="false">(CI21+Operations!CI39)*Time!CI28</f>
        <v>0</v>
      </c>
      <c r="CJ22" s="19" t="n">
        <f aca="false">(CJ21+Operations!CJ39)*Time!CJ28</f>
        <v>0</v>
      </c>
      <c r="CK22" s="19" t="n">
        <f aca="false">(CK21+Operations!CK39)*Time!CK28</f>
        <v>0</v>
      </c>
      <c r="CL22" s="19" t="n">
        <f aca="false">(CL21+Operations!CL39)*Time!CL28</f>
        <v>0</v>
      </c>
      <c r="CM22" s="19" t="n">
        <f aca="false">(CM21+Operations!CM39)*Time!CM28</f>
        <v>0</v>
      </c>
      <c r="CN22" s="19" t="n">
        <f aca="false">(CN21+Operations!CN39)*Time!CN28</f>
        <v>0</v>
      </c>
      <c r="CO22" s="19" t="n">
        <f aca="false">(CO21+Operations!CO39)*Time!CO28</f>
        <v>0</v>
      </c>
      <c r="CP22" s="19" t="n">
        <f aca="false">(CP21+Operations!CP39)*Time!CP28</f>
        <v>102.424696319643</v>
      </c>
      <c r="CQ22" s="19" t="n">
        <f aca="false">(CQ21+Operations!CQ39)*Time!CQ28</f>
        <v>0</v>
      </c>
      <c r="CR22" s="19" t="n">
        <f aca="false">(CR21+Operations!CR39)*Time!CR28</f>
        <v>0</v>
      </c>
      <c r="CS22" s="19" t="n">
        <f aca="false">(CS21+Operations!CS39)*Time!CS28</f>
        <v>0</v>
      </c>
      <c r="CT22" s="19" t="n">
        <f aca="false">(CT21+Operations!CT39)*Time!CT28</f>
        <v>0</v>
      </c>
      <c r="CU22" s="19" t="n">
        <f aca="false">(CU21+Operations!CU39)*Time!CU28</f>
        <v>0</v>
      </c>
      <c r="CV22" s="19" t="n">
        <f aca="false">(CV21+Operations!CV39)*Time!CV28</f>
        <v>0</v>
      </c>
      <c r="CW22" s="19" t="n">
        <f aca="false">(CW21+Operations!CW39)*Time!CW28</f>
        <v>0</v>
      </c>
      <c r="CX22" s="19" t="n">
        <f aca="false">(CX21+Operations!CX39)*Time!CX28</f>
        <v>0</v>
      </c>
      <c r="CY22" s="19" t="n">
        <f aca="false">(CY21+Operations!CY39)*Time!CY28</f>
        <v>0</v>
      </c>
      <c r="CZ22" s="19" t="n">
        <f aca="false">(CZ21+Operations!CZ39)*Time!CZ28</f>
        <v>0</v>
      </c>
      <c r="DA22" s="19" t="n">
        <f aca="false">(DA21+Operations!DA39)*Time!DA28</f>
        <v>0</v>
      </c>
      <c r="DB22" s="19" t="n">
        <f aca="false">(DB21+Operations!DB39)*Time!DB28</f>
        <v>0</v>
      </c>
    </row>
    <row r="23" customFormat="false" ht="15" hidden="false" customHeight="false" outlineLevel="0" collapsed="false">
      <c r="D23" s="0" t="s">
        <v>585</v>
      </c>
      <c r="E23" s="0" t="s">
        <v>44</v>
      </c>
      <c r="J23" s="19" t="n">
        <f aca="false">J21+Operations!J39-J22</f>
        <v>0</v>
      </c>
      <c r="K23" s="19" t="n">
        <f aca="false">K21+Operations!K39-K22</f>
        <v>0</v>
      </c>
      <c r="L23" s="19" t="n">
        <f aca="false">L21+Operations!L39-L22</f>
        <v>0</v>
      </c>
      <c r="M23" s="19" t="n">
        <f aca="false">M21+Operations!M39-M22</f>
        <v>0</v>
      </c>
      <c r="N23" s="19" t="n">
        <f aca="false">N21+Operations!N39-N22</f>
        <v>0</v>
      </c>
      <c r="O23" s="19" t="n">
        <f aca="false">O21+Operations!O39-O22</f>
        <v>0</v>
      </c>
      <c r="P23" s="19" t="n">
        <f aca="false">P21+Operations!P39-P22</f>
        <v>0</v>
      </c>
      <c r="Q23" s="19" t="n">
        <f aca="false">Q21+Operations!Q39-Q22</f>
        <v>0</v>
      </c>
      <c r="R23" s="19" t="n">
        <f aca="false">R21+Operations!R39-R22</f>
        <v>0</v>
      </c>
      <c r="S23" s="19" t="n">
        <f aca="false">S21+Operations!S39-S22</f>
        <v>0</v>
      </c>
      <c r="T23" s="19" t="n">
        <f aca="false">T21+Operations!T39-T22</f>
        <v>0</v>
      </c>
      <c r="U23" s="19" t="n">
        <f aca="false">U21+Operations!U39-U22</f>
        <v>0</v>
      </c>
      <c r="V23" s="19" t="n">
        <f aca="false">V21+Operations!V39-V22</f>
        <v>0</v>
      </c>
      <c r="W23" s="19" t="n">
        <f aca="false">W21+Operations!W39-W22</f>
        <v>0</v>
      </c>
      <c r="X23" s="19" t="n">
        <f aca="false">X21+Operations!X39-X22</f>
        <v>0</v>
      </c>
      <c r="Y23" s="19" t="n">
        <f aca="false">Y21+Operations!Y39-Y22</f>
        <v>0</v>
      </c>
      <c r="Z23" s="19" t="n">
        <f aca="false">Z21+Operations!Z39-Z22</f>
        <v>0</v>
      </c>
      <c r="AA23" s="19" t="n">
        <f aca="false">AA21+Operations!AA39-AA22</f>
        <v>0</v>
      </c>
      <c r="AB23" s="19" t="n">
        <f aca="false">AB21+Operations!AB39-AB22</f>
        <v>0</v>
      </c>
      <c r="AC23" s="19" t="n">
        <f aca="false">AC21+Operations!AC39-AC22</f>
        <v>0</v>
      </c>
      <c r="AD23" s="19" t="n">
        <f aca="false">AD21+Operations!AD39-AD22</f>
        <v>0</v>
      </c>
      <c r="AE23" s="19" t="n">
        <f aca="false">AE21+Operations!AE39-AE22</f>
        <v>0</v>
      </c>
      <c r="AF23" s="19" t="n">
        <f aca="false">AF21+Operations!AF39-AF22</f>
        <v>0</v>
      </c>
      <c r="AG23" s="19" t="n">
        <f aca="false">AG21+Operations!AG39-AG22</f>
        <v>0</v>
      </c>
      <c r="AH23" s="19" t="n">
        <f aca="false">AH21+Operations!AH39-AH22</f>
        <v>0</v>
      </c>
      <c r="AI23" s="19" t="n">
        <f aca="false">AI21+Operations!AI39-AI22</f>
        <v>0</v>
      </c>
      <c r="AJ23" s="19" t="n">
        <f aca="false">AJ21+Operations!AJ39-AJ22</f>
        <v>0</v>
      </c>
      <c r="AK23" s="19" t="n">
        <f aca="false">AK21+Operations!AK39-AK22</f>
        <v>0</v>
      </c>
      <c r="AL23" s="19" t="n">
        <f aca="false">AL21+Operations!AL39-AL22</f>
        <v>0</v>
      </c>
      <c r="AM23" s="19" t="n">
        <f aca="false">AM21+Operations!AM39-AM22</f>
        <v>0</v>
      </c>
      <c r="AN23" s="19" t="n">
        <f aca="false">AN21+Operations!AN39-AN22</f>
        <v>0</v>
      </c>
      <c r="AO23" s="19" t="n">
        <f aca="false">AO21+Operations!AO39-AO22</f>
        <v>0</v>
      </c>
      <c r="AP23" s="19" t="n">
        <f aca="false">AP21+Operations!AP39-AP22</f>
        <v>0</v>
      </c>
      <c r="AQ23" s="19" t="n">
        <f aca="false">AQ21+Operations!AQ39-AQ22</f>
        <v>0</v>
      </c>
      <c r="AR23" s="19" t="n">
        <f aca="false">AR21+Operations!AR39-AR22</f>
        <v>0</v>
      </c>
      <c r="AS23" s="19" t="n">
        <f aca="false">AS21+Operations!AS39-AS22</f>
        <v>0</v>
      </c>
      <c r="AT23" s="19" t="n">
        <f aca="false">AT21+Operations!AT39-AT22</f>
        <v>0</v>
      </c>
      <c r="AU23" s="19" t="n">
        <f aca="false">AU21+Operations!AU39-AU22</f>
        <v>0</v>
      </c>
      <c r="AV23" s="19" t="n">
        <f aca="false">AV21+Operations!AV39-AV22</f>
        <v>0</v>
      </c>
      <c r="AW23" s="19" t="n">
        <f aca="false">AW21+Operations!AW39-AW22</f>
        <v>0</v>
      </c>
      <c r="AX23" s="19" t="n">
        <f aca="false">AX21+Operations!AX39-AX22</f>
        <v>0</v>
      </c>
      <c r="AY23" s="19" t="n">
        <f aca="false">AY21+Operations!AY39-AY22</f>
        <v>0</v>
      </c>
      <c r="AZ23" s="19" t="n">
        <f aca="false">AZ21+Operations!AZ39-AZ22</f>
        <v>0</v>
      </c>
      <c r="BA23" s="19" t="n">
        <f aca="false">BA21+Operations!BA39-BA22</f>
        <v>0</v>
      </c>
      <c r="BB23" s="19" t="n">
        <f aca="false">BB21+Operations!BB39-BB22</f>
        <v>0</v>
      </c>
      <c r="BC23" s="19" t="n">
        <f aca="false">BC21+Operations!BC39-BC22</f>
        <v>0</v>
      </c>
      <c r="BD23" s="19" t="n">
        <f aca="false">BD21+Operations!BD39-BD22</f>
        <v>0</v>
      </c>
      <c r="BE23" s="19" t="n">
        <f aca="false">BE21+Operations!BE39-BE22</f>
        <v>0</v>
      </c>
      <c r="BF23" s="19" t="n">
        <f aca="false">BF21+Operations!BF39-BF22</f>
        <v>0</v>
      </c>
      <c r="BG23" s="19" t="n">
        <f aca="false">BG21+Operations!BG39-BG22</f>
        <v>0</v>
      </c>
      <c r="BH23" s="19" t="n">
        <f aca="false">BH21+Operations!BH39-BH22</f>
        <v>0</v>
      </c>
      <c r="BI23" s="19" t="n">
        <f aca="false">BI21+Operations!BI39-BI22</f>
        <v>0</v>
      </c>
      <c r="BJ23" s="19" t="n">
        <f aca="false">BJ21+Operations!BJ39-BJ22</f>
        <v>0</v>
      </c>
      <c r="BK23" s="19" t="n">
        <f aca="false">BK21+Operations!BK39-BK22</f>
        <v>0</v>
      </c>
      <c r="BL23" s="19" t="n">
        <f aca="false">BL21+Operations!BL39-BL22</f>
        <v>0</v>
      </c>
      <c r="BM23" s="19" t="n">
        <f aca="false">BM21+Operations!BM39-BM22</f>
        <v>0</v>
      </c>
      <c r="BN23" s="19" t="n">
        <f aca="false">BN21+Operations!BN39-BN22</f>
        <v>0</v>
      </c>
      <c r="BO23" s="19" t="n">
        <f aca="false">BO21+Operations!BO39-BO22</f>
        <v>0</v>
      </c>
      <c r="BP23" s="19" t="n">
        <f aca="false">BP21+Operations!BP39-BP22</f>
        <v>0</v>
      </c>
      <c r="BQ23" s="19" t="n">
        <f aca="false">BQ21+Operations!BQ39-BQ22</f>
        <v>0</v>
      </c>
      <c r="BR23" s="19" t="n">
        <f aca="false">BR21+Operations!BR39-BR22</f>
        <v>0</v>
      </c>
      <c r="BS23" s="19" t="n">
        <f aca="false">BS21+Operations!BS39-BS22</f>
        <v>0</v>
      </c>
      <c r="BT23" s="19" t="n">
        <f aca="false">BT21+Operations!BT39-BT22</f>
        <v>0</v>
      </c>
      <c r="BU23" s="19" t="n">
        <f aca="false">BU21+Operations!BU39-BU22</f>
        <v>0</v>
      </c>
      <c r="BV23" s="19" t="n">
        <f aca="false">BV21+Operations!BV39-BV22</f>
        <v>0</v>
      </c>
      <c r="BW23" s="19" t="n">
        <f aca="false">BW21+Operations!BW39-BW22</f>
        <v>0</v>
      </c>
      <c r="BX23" s="19" t="n">
        <f aca="false">BX21+Operations!BX39-BX22</f>
        <v>0</v>
      </c>
      <c r="BY23" s="19" t="n">
        <f aca="false">BY21+Operations!BY39-BY22</f>
        <v>0</v>
      </c>
      <c r="BZ23" s="19" t="n">
        <f aca="false">BZ21+Operations!BZ39-BZ22</f>
        <v>0</v>
      </c>
      <c r="CA23" s="19" t="n">
        <f aca="false">CA21+Operations!CA39-CA22</f>
        <v>0</v>
      </c>
      <c r="CB23" s="19" t="n">
        <f aca="false">CB21+Operations!CB39-CB22</f>
        <v>0</v>
      </c>
      <c r="CC23" s="19" t="n">
        <f aca="false">CC21+Operations!CC39-CC22</f>
        <v>0</v>
      </c>
      <c r="CD23" s="19" t="n">
        <f aca="false">CD21+Operations!CD39-CD22</f>
        <v>0</v>
      </c>
      <c r="CE23" s="19" t="n">
        <f aca="false">CE21+Operations!CE39-CE22</f>
        <v>0</v>
      </c>
      <c r="CF23" s="19" t="n">
        <f aca="false">CF21+Operations!CF39-CF22</f>
        <v>0</v>
      </c>
      <c r="CG23" s="19" t="n">
        <f aca="false">CG21+Operations!CG39-CG22</f>
        <v>9.62270466878493</v>
      </c>
      <c r="CH23" s="19" t="n">
        <f aca="false">CH21+Operations!CH39-CH22</f>
        <v>19.4859769542895</v>
      </c>
      <c r="CI23" s="19" t="n">
        <f aca="false">CI21+Operations!CI39-CI22</f>
        <v>29.349249239794</v>
      </c>
      <c r="CJ23" s="19" t="n">
        <f aca="false">CJ21+Operations!CJ39-CJ22</f>
        <v>39.4591033324362</v>
      </c>
      <c r="CK23" s="19" t="n">
        <f aca="false">CK21+Operations!CK39-CK22</f>
        <v>49.5689574250784</v>
      </c>
      <c r="CL23" s="19" t="n">
        <f aca="false">CL21+Operations!CL39-CL22</f>
        <v>59.9315578700366</v>
      </c>
      <c r="CM23" s="19" t="n">
        <f aca="false">CM21+Operations!CM39-CM22</f>
        <v>70.2941583149948</v>
      </c>
      <c r="CN23" s="19" t="n">
        <f aca="false">CN21+Operations!CN39-CN22</f>
        <v>80.915823771077</v>
      </c>
      <c r="CO23" s="19" t="n">
        <f aca="false">CO21+Operations!CO39-CO22</f>
        <v>91.5374892271592</v>
      </c>
      <c r="CP23" s="19" t="n">
        <f aca="false">CP21+Operations!CP39-CP22</f>
        <v>0</v>
      </c>
      <c r="CQ23" s="19" t="n">
        <f aca="false">CQ21+Operations!CQ39-CQ22</f>
        <v>0</v>
      </c>
      <c r="CR23" s="19" t="n">
        <f aca="false">CR21+Operations!CR39-CR22</f>
        <v>0</v>
      </c>
      <c r="CS23" s="19" t="n">
        <f aca="false">CS21+Operations!CS39-CS22</f>
        <v>0</v>
      </c>
      <c r="CT23" s="19" t="n">
        <f aca="false">CT21+Operations!CT39-CT22</f>
        <v>0</v>
      </c>
      <c r="CU23" s="19" t="n">
        <f aca="false">CU21+Operations!CU39-CU22</f>
        <v>0</v>
      </c>
      <c r="CV23" s="19" t="n">
        <f aca="false">CV21+Operations!CV39-CV22</f>
        <v>0</v>
      </c>
      <c r="CW23" s="19" t="n">
        <f aca="false">CW21+Operations!CW39-CW22</f>
        <v>0</v>
      </c>
      <c r="CX23" s="19" t="n">
        <f aca="false">CX21+Operations!CX39-CX22</f>
        <v>0</v>
      </c>
      <c r="CY23" s="19" t="n">
        <f aca="false">CY21+Operations!CY39-CY22</f>
        <v>0</v>
      </c>
      <c r="CZ23" s="19" t="n">
        <f aca="false">CZ21+Operations!CZ39-CZ22</f>
        <v>0</v>
      </c>
      <c r="DA23" s="19" t="n">
        <f aca="false">DA21+Operations!DA39-DA22</f>
        <v>0</v>
      </c>
      <c r="DB23" s="19" t="n">
        <f aca="false">DB21+Operations!DB39-DB22</f>
        <v>0</v>
      </c>
    </row>
    <row r="24" customFormat="false" ht="15" hidden="false" customHeight="false" outlineLevel="0" collapsed="false">
      <c r="D24" s="3" t="s">
        <v>589</v>
      </c>
    </row>
    <row r="25" customFormat="false" ht="15" hidden="false" customHeight="false" outlineLevel="0" collapsed="false">
      <c r="D25" s="0" t="s">
        <v>584</v>
      </c>
      <c r="E25" s="0" t="s">
        <v>44</v>
      </c>
      <c r="J25" s="19" t="n">
        <f aca="false">I27</f>
        <v>0</v>
      </c>
      <c r="K25" s="19" t="n">
        <f aca="false">J27</f>
        <v>0</v>
      </c>
      <c r="L25" s="19" t="n">
        <f aca="false">K27</f>
        <v>0</v>
      </c>
      <c r="M25" s="19" t="n">
        <f aca="false">L27</f>
        <v>0</v>
      </c>
      <c r="N25" s="19" t="n">
        <f aca="false">M27</f>
        <v>0</v>
      </c>
      <c r="O25" s="19" t="n">
        <f aca="false">N27</f>
        <v>0</v>
      </c>
      <c r="P25" s="19" t="n">
        <f aca="false">O27</f>
        <v>0</v>
      </c>
      <c r="Q25" s="19" t="n">
        <f aca="false">P27</f>
        <v>0</v>
      </c>
      <c r="R25" s="19" t="n">
        <f aca="false">Q27</f>
        <v>0</v>
      </c>
      <c r="S25" s="19" t="n">
        <f aca="false">R27</f>
        <v>0</v>
      </c>
      <c r="T25" s="19" t="n">
        <f aca="false">S27</f>
        <v>0</v>
      </c>
      <c r="U25" s="19" t="n">
        <f aca="false">T27</f>
        <v>0</v>
      </c>
      <c r="V25" s="19" t="n">
        <f aca="false">U27</f>
        <v>0</v>
      </c>
      <c r="W25" s="19" t="n">
        <f aca="false">V27</f>
        <v>0</v>
      </c>
      <c r="X25" s="19" t="n">
        <f aca="false">W27</f>
        <v>0</v>
      </c>
      <c r="Y25" s="19" t="n">
        <f aca="false">X27</f>
        <v>0</v>
      </c>
      <c r="Z25" s="19" t="n">
        <f aca="false">Y27</f>
        <v>42.1075</v>
      </c>
      <c r="AA25" s="19" t="n">
        <f aca="false">Z27</f>
        <v>42.1075</v>
      </c>
      <c r="AB25" s="19" t="n">
        <f aca="false">AA27</f>
        <v>42.1075</v>
      </c>
      <c r="AC25" s="19" t="n">
        <f aca="false">AB27</f>
        <v>42.1075</v>
      </c>
      <c r="AD25" s="19" t="n">
        <f aca="false">AC27</f>
        <v>42.1075</v>
      </c>
      <c r="AE25" s="19" t="n">
        <f aca="false">AD27</f>
        <v>0</v>
      </c>
      <c r="AF25" s="19" t="n">
        <f aca="false">AE27</f>
        <v>0</v>
      </c>
      <c r="AG25" s="19" t="n">
        <f aca="false">AF27</f>
        <v>0</v>
      </c>
      <c r="AH25" s="19" t="n">
        <f aca="false">AG27</f>
        <v>0</v>
      </c>
      <c r="AI25" s="19" t="n">
        <f aca="false">AH27</f>
        <v>0</v>
      </c>
      <c r="AJ25" s="19" t="n">
        <f aca="false">AI27</f>
        <v>0</v>
      </c>
      <c r="AK25" s="19" t="n">
        <f aca="false">AJ27</f>
        <v>0</v>
      </c>
      <c r="AL25" s="19" t="n">
        <f aca="false">AK27</f>
        <v>0</v>
      </c>
      <c r="AM25" s="19" t="n">
        <f aca="false">AL27</f>
        <v>0</v>
      </c>
      <c r="AN25" s="19" t="n">
        <f aca="false">AM27</f>
        <v>0</v>
      </c>
      <c r="AO25" s="19" t="n">
        <f aca="false">AN27</f>
        <v>0</v>
      </c>
      <c r="AP25" s="19" t="n">
        <f aca="false">AO27</f>
        <v>0</v>
      </c>
      <c r="AQ25" s="19" t="n">
        <f aca="false">AP27</f>
        <v>0</v>
      </c>
      <c r="AR25" s="19" t="n">
        <f aca="false">AQ27</f>
        <v>0</v>
      </c>
      <c r="AS25" s="19" t="n">
        <f aca="false">AR27</f>
        <v>0</v>
      </c>
      <c r="AT25" s="19" t="n">
        <f aca="false">AS27</f>
        <v>0</v>
      </c>
      <c r="AU25" s="19" t="n">
        <f aca="false">AT27</f>
        <v>0</v>
      </c>
      <c r="AV25" s="19" t="n">
        <f aca="false">AU27</f>
        <v>0</v>
      </c>
      <c r="AW25" s="19" t="n">
        <f aca="false">AV27</f>
        <v>0</v>
      </c>
      <c r="AX25" s="19" t="n">
        <f aca="false">AW27</f>
        <v>0</v>
      </c>
      <c r="AY25" s="19" t="n">
        <f aca="false">AX27</f>
        <v>0</v>
      </c>
      <c r="AZ25" s="19" t="n">
        <f aca="false">AY27</f>
        <v>0</v>
      </c>
      <c r="BA25" s="19" t="n">
        <f aca="false">AZ27</f>
        <v>0</v>
      </c>
      <c r="BB25" s="19" t="n">
        <f aca="false">BA27</f>
        <v>0</v>
      </c>
      <c r="BC25" s="19" t="n">
        <f aca="false">BB27</f>
        <v>0</v>
      </c>
      <c r="BD25" s="19" t="n">
        <f aca="false">BC27</f>
        <v>0</v>
      </c>
      <c r="BE25" s="19" t="n">
        <f aca="false">BD27</f>
        <v>0</v>
      </c>
      <c r="BF25" s="19" t="n">
        <f aca="false">BE27</f>
        <v>0</v>
      </c>
      <c r="BG25" s="19" t="n">
        <f aca="false">BF27</f>
        <v>0</v>
      </c>
      <c r="BH25" s="19" t="n">
        <f aca="false">BG27</f>
        <v>0</v>
      </c>
      <c r="BI25" s="19" t="n">
        <f aca="false">BH27</f>
        <v>0</v>
      </c>
      <c r="BJ25" s="19" t="n">
        <f aca="false">BI27</f>
        <v>0</v>
      </c>
      <c r="BK25" s="19" t="n">
        <f aca="false">BJ27</f>
        <v>0</v>
      </c>
      <c r="BL25" s="19" t="n">
        <f aca="false">BK27</f>
        <v>0</v>
      </c>
      <c r="BM25" s="19" t="n">
        <f aca="false">BL27</f>
        <v>0</v>
      </c>
      <c r="BN25" s="19" t="n">
        <f aca="false">BM27</f>
        <v>0</v>
      </c>
      <c r="BO25" s="19" t="n">
        <f aca="false">BN27</f>
        <v>0</v>
      </c>
      <c r="BP25" s="19" t="n">
        <f aca="false">BO27</f>
        <v>0</v>
      </c>
      <c r="BQ25" s="19" t="n">
        <f aca="false">BP27</f>
        <v>0</v>
      </c>
      <c r="BR25" s="19" t="n">
        <f aca="false">BQ27</f>
        <v>0</v>
      </c>
      <c r="BS25" s="19" t="n">
        <f aca="false">BR27</f>
        <v>0</v>
      </c>
      <c r="BT25" s="19" t="n">
        <f aca="false">BS27</f>
        <v>0</v>
      </c>
      <c r="BU25" s="19" t="n">
        <f aca="false">BT27</f>
        <v>0</v>
      </c>
      <c r="BV25" s="19" t="n">
        <f aca="false">BU27</f>
        <v>0</v>
      </c>
      <c r="BW25" s="19" t="n">
        <f aca="false">BV27</f>
        <v>0</v>
      </c>
      <c r="BX25" s="19" t="n">
        <f aca="false">BW27</f>
        <v>0</v>
      </c>
      <c r="BY25" s="19" t="n">
        <f aca="false">BX27</f>
        <v>0</v>
      </c>
      <c r="BZ25" s="19" t="n">
        <f aca="false">BY27</f>
        <v>0</v>
      </c>
      <c r="CA25" s="19" t="n">
        <f aca="false">BZ27</f>
        <v>0</v>
      </c>
      <c r="CB25" s="19" t="n">
        <f aca="false">CA27</f>
        <v>0</v>
      </c>
      <c r="CC25" s="19" t="n">
        <f aca="false">CB27</f>
        <v>0</v>
      </c>
      <c r="CD25" s="19" t="n">
        <f aca="false">CC27</f>
        <v>0</v>
      </c>
      <c r="CE25" s="19" t="n">
        <f aca="false">CD27</f>
        <v>0</v>
      </c>
      <c r="CF25" s="19" t="n">
        <f aca="false">CE27</f>
        <v>0</v>
      </c>
      <c r="CG25" s="19" t="n">
        <f aca="false">CF27</f>
        <v>0</v>
      </c>
      <c r="CH25" s="19" t="n">
        <f aca="false">CG27</f>
        <v>0</v>
      </c>
      <c r="CI25" s="19" t="n">
        <f aca="false">CH27</f>
        <v>0</v>
      </c>
      <c r="CJ25" s="19" t="n">
        <f aca="false">CI27</f>
        <v>0</v>
      </c>
      <c r="CK25" s="19" t="n">
        <f aca="false">CJ27</f>
        <v>0</v>
      </c>
      <c r="CL25" s="19" t="n">
        <f aca="false">CK27</f>
        <v>0</v>
      </c>
      <c r="CM25" s="19" t="n">
        <f aca="false">CL27</f>
        <v>0</v>
      </c>
      <c r="CN25" s="19" t="n">
        <f aca="false">CM27</f>
        <v>0</v>
      </c>
      <c r="CO25" s="19" t="n">
        <f aca="false">CN27</f>
        <v>0</v>
      </c>
      <c r="CP25" s="19" t="n">
        <f aca="false">CO27</f>
        <v>0</v>
      </c>
      <c r="CQ25" s="19" t="n">
        <f aca="false">CP27</f>
        <v>0</v>
      </c>
      <c r="CR25" s="19" t="n">
        <f aca="false">CQ27</f>
        <v>0</v>
      </c>
      <c r="CS25" s="19" t="n">
        <f aca="false">CR27</f>
        <v>0</v>
      </c>
      <c r="CT25" s="19" t="n">
        <f aca="false">CS27</f>
        <v>0</v>
      </c>
      <c r="CU25" s="19" t="n">
        <f aca="false">CT27</f>
        <v>0</v>
      </c>
      <c r="CV25" s="19" t="n">
        <f aca="false">CU27</f>
        <v>0</v>
      </c>
      <c r="CW25" s="19" t="n">
        <f aca="false">CV27</f>
        <v>0</v>
      </c>
      <c r="CX25" s="19" t="n">
        <f aca="false">CW27</f>
        <v>0</v>
      </c>
      <c r="CY25" s="19" t="n">
        <f aca="false">CX27</f>
        <v>0</v>
      </c>
      <c r="CZ25" s="19" t="n">
        <f aca="false">CY27</f>
        <v>0</v>
      </c>
      <c r="DA25" s="19" t="n">
        <f aca="false">CZ27</f>
        <v>0</v>
      </c>
      <c r="DB25" s="19" t="n">
        <f aca="false">DA27</f>
        <v>0</v>
      </c>
    </row>
    <row r="26" customFormat="false" ht="15" hidden="false" customHeight="false" outlineLevel="0" collapsed="false">
      <c r="D26" s="0" t="s">
        <v>590</v>
      </c>
      <c r="E26" s="0" t="s">
        <v>44</v>
      </c>
      <c r="G26" s="19" t="n">
        <f aca="false">SUM(J26:DB26)</f>
        <v>42.1075</v>
      </c>
      <c r="J26" s="19" t="n">
        <f aca="false">J25*Time!J46</f>
        <v>0</v>
      </c>
      <c r="K26" s="19" t="n">
        <f aca="false">K25*Time!K46</f>
        <v>0</v>
      </c>
      <c r="L26" s="19" t="n">
        <f aca="false">L25*Time!L46</f>
        <v>0</v>
      </c>
      <c r="M26" s="19" t="n">
        <f aca="false">M25*Time!M46</f>
        <v>0</v>
      </c>
      <c r="N26" s="19" t="n">
        <f aca="false">N25*Time!N46</f>
        <v>0</v>
      </c>
      <c r="O26" s="19" t="n">
        <f aca="false">O25*Time!O46</f>
        <v>0</v>
      </c>
      <c r="P26" s="19" t="n">
        <f aca="false">P25*Time!P46</f>
        <v>0</v>
      </c>
      <c r="Q26" s="19" t="n">
        <f aca="false">Q25*Time!Q46</f>
        <v>0</v>
      </c>
      <c r="R26" s="19" t="n">
        <f aca="false">R25*Time!R46</f>
        <v>0</v>
      </c>
      <c r="S26" s="19" t="n">
        <f aca="false">S25*Time!S46</f>
        <v>0</v>
      </c>
      <c r="T26" s="19" t="n">
        <f aca="false">T25*Time!T46</f>
        <v>0</v>
      </c>
      <c r="U26" s="19" t="n">
        <f aca="false">U25*Time!U46</f>
        <v>0</v>
      </c>
      <c r="V26" s="19" t="n">
        <f aca="false">V25*Time!V46</f>
        <v>0</v>
      </c>
      <c r="W26" s="19" t="n">
        <f aca="false">W25*Time!W46</f>
        <v>0</v>
      </c>
      <c r="X26" s="19" t="n">
        <f aca="false">X25*Time!X46</f>
        <v>0</v>
      </c>
      <c r="Y26" s="19" t="n">
        <f aca="false">Y25*Time!Y46</f>
        <v>0</v>
      </c>
      <c r="Z26" s="19" t="n">
        <f aca="false">Z25*Time!Z46</f>
        <v>0</v>
      </c>
      <c r="AA26" s="19" t="n">
        <f aca="false">AA25*Time!AA46</f>
        <v>0</v>
      </c>
      <c r="AB26" s="19" t="n">
        <f aca="false">AB25*Time!AB46</f>
        <v>0</v>
      </c>
      <c r="AC26" s="19" t="n">
        <f aca="false">AC25*Time!AC46</f>
        <v>0</v>
      </c>
      <c r="AD26" s="19" t="n">
        <f aca="false">AD25*Time!AD46</f>
        <v>42.1075</v>
      </c>
      <c r="AE26" s="19" t="n">
        <f aca="false">AE25*Time!AE46</f>
        <v>0</v>
      </c>
      <c r="AF26" s="19" t="n">
        <f aca="false">AF25*Time!AF46</f>
        <v>0</v>
      </c>
      <c r="AG26" s="19" t="n">
        <f aca="false">AG25*Time!AG46</f>
        <v>0</v>
      </c>
      <c r="AH26" s="19" t="n">
        <f aca="false">AH25*Time!AH46</f>
        <v>0</v>
      </c>
      <c r="AI26" s="19" t="n">
        <f aca="false">AI25*Time!AI46</f>
        <v>0</v>
      </c>
      <c r="AJ26" s="19" t="n">
        <f aca="false">AJ25*Time!AJ46</f>
        <v>0</v>
      </c>
      <c r="AK26" s="19" t="n">
        <f aca="false">AK25*Time!AK46</f>
        <v>0</v>
      </c>
      <c r="AL26" s="19" t="n">
        <f aca="false">AL25*Time!AL46</f>
        <v>0</v>
      </c>
      <c r="AM26" s="19" t="n">
        <f aca="false">AM25*Time!AM46</f>
        <v>0</v>
      </c>
      <c r="AN26" s="19" t="n">
        <f aca="false">AN25*Time!AN46</f>
        <v>0</v>
      </c>
      <c r="AO26" s="19" t="n">
        <f aca="false">AO25*Time!AO46</f>
        <v>0</v>
      </c>
      <c r="AP26" s="19" t="n">
        <f aca="false">AP25*Time!AP46</f>
        <v>0</v>
      </c>
      <c r="AQ26" s="19" t="n">
        <f aca="false">AQ25*Time!AQ46</f>
        <v>0</v>
      </c>
      <c r="AR26" s="19" t="n">
        <f aca="false">AR25*Time!AR46</f>
        <v>0</v>
      </c>
      <c r="AS26" s="19" t="n">
        <f aca="false">AS25*Time!AS46</f>
        <v>0</v>
      </c>
      <c r="AT26" s="19" t="n">
        <f aca="false">AT25*Time!AT46</f>
        <v>0</v>
      </c>
      <c r="AU26" s="19" t="n">
        <f aca="false">AU25*Time!AU46</f>
        <v>0</v>
      </c>
      <c r="AV26" s="19" t="n">
        <f aca="false">AV25*Time!AV46</f>
        <v>0</v>
      </c>
      <c r="AW26" s="19" t="n">
        <f aca="false">AW25*Time!AW46</f>
        <v>0</v>
      </c>
      <c r="AX26" s="19" t="n">
        <f aca="false">AX25*Time!AX46</f>
        <v>0</v>
      </c>
      <c r="AY26" s="19" t="n">
        <f aca="false">AY25*Time!AY46</f>
        <v>0</v>
      </c>
      <c r="AZ26" s="19" t="n">
        <f aca="false">AZ25*Time!AZ46</f>
        <v>0</v>
      </c>
      <c r="BA26" s="19" t="n">
        <f aca="false">BA25*Time!BA46</f>
        <v>0</v>
      </c>
      <c r="BB26" s="19" t="n">
        <f aca="false">BB25*Time!BB46</f>
        <v>0</v>
      </c>
      <c r="BC26" s="19" t="n">
        <f aca="false">BC25*Time!BC46</f>
        <v>0</v>
      </c>
      <c r="BD26" s="19" t="n">
        <f aca="false">BD25*Time!BD46</f>
        <v>0</v>
      </c>
      <c r="BE26" s="19" t="n">
        <f aca="false">BE25*Time!BE46</f>
        <v>0</v>
      </c>
      <c r="BF26" s="19" t="n">
        <f aca="false">BF25*Time!BF46</f>
        <v>0</v>
      </c>
      <c r="BG26" s="19" t="n">
        <f aca="false">BG25*Time!BG46</f>
        <v>0</v>
      </c>
      <c r="BH26" s="19" t="n">
        <f aca="false">BH25*Time!BH46</f>
        <v>0</v>
      </c>
      <c r="BI26" s="19" t="n">
        <f aca="false">BI25*Time!BI46</f>
        <v>0</v>
      </c>
      <c r="BJ26" s="19" t="n">
        <f aca="false">BJ25*Time!BJ46</f>
        <v>0</v>
      </c>
      <c r="BK26" s="19" t="n">
        <f aca="false">BK25*Time!BK46</f>
        <v>0</v>
      </c>
      <c r="BL26" s="19" t="n">
        <f aca="false">BL25*Time!BL46</f>
        <v>0</v>
      </c>
      <c r="BM26" s="19" t="n">
        <f aca="false">BM25*Time!BM46</f>
        <v>0</v>
      </c>
      <c r="BN26" s="19" t="n">
        <f aca="false">BN25*Time!BN46</f>
        <v>0</v>
      </c>
      <c r="BO26" s="19" t="n">
        <f aca="false">BO25*Time!BO46</f>
        <v>0</v>
      </c>
      <c r="BP26" s="19" t="n">
        <f aca="false">BP25*Time!BP46</f>
        <v>0</v>
      </c>
      <c r="BQ26" s="19" t="n">
        <f aca="false">BQ25*Time!BQ46</f>
        <v>0</v>
      </c>
      <c r="BR26" s="19" t="n">
        <f aca="false">BR25*Time!BR46</f>
        <v>0</v>
      </c>
      <c r="BS26" s="19" t="n">
        <f aca="false">BS25*Time!BS46</f>
        <v>0</v>
      </c>
      <c r="BT26" s="19" t="n">
        <f aca="false">BT25*Time!BT46</f>
        <v>0</v>
      </c>
      <c r="BU26" s="19" t="n">
        <f aca="false">BU25*Time!BU46</f>
        <v>0</v>
      </c>
      <c r="BV26" s="19" t="n">
        <f aca="false">BV25*Time!BV46</f>
        <v>0</v>
      </c>
      <c r="BW26" s="19" t="n">
        <f aca="false">BW25*Time!BW46</f>
        <v>0</v>
      </c>
      <c r="BX26" s="19" t="n">
        <f aca="false">BX25*Time!BX46</f>
        <v>0</v>
      </c>
      <c r="BY26" s="19" t="n">
        <f aca="false">BY25*Time!BY46</f>
        <v>0</v>
      </c>
      <c r="BZ26" s="19" t="n">
        <f aca="false">BZ25*Time!BZ46</f>
        <v>0</v>
      </c>
      <c r="CA26" s="19" t="n">
        <f aca="false">CA25*Time!CA46</f>
        <v>0</v>
      </c>
      <c r="CB26" s="19" t="n">
        <f aca="false">CB25*Time!CB46</f>
        <v>0</v>
      </c>
      <c r="CC26" s="19" t="n">
        <f aca="false">CC25*Time!CC46</f>
        <v>0</v>
      </c>
      <c r="CD26" s="19" t="n">
        <f aca="false">CD25*Time!CD46</f>
        <v>0</v>
      </c>
      <c r="CE26" s="19" t="n">
        <f aca="false">CE25*Time!CE46</f>
        <v>0</v>
      </c>
      <c r="CF26" s="19" t="n">
        <f aca="false">CF25*Time!CF46</f>
        <v>0</v>
      </c>
      <c r="CG26" s="19" t="n">
        <f aca="false">CG25*Time!CG46</f>
        <v>0</v>
      </c>
      <c r="CH26" s="19" t="n">
        <f aca="false">CH25*Time!CH46</f>
        <v>0</v>
      </c>
      <c r="CI26" s="19" t="n">
        <f aca="false">CI25*Time!CI46</f>
        <v>0</v>
      </c>
      <c r="CJ26" s="19" t="n">
        <f aca="false">CJ25*Time!CJ46</f>
        <v>0</v>
      </c>
      <c r="CK26" s="19" t="n">
        <f aca="false">CK25*Time!CK46</f>
        <v>0</v>
      </c>
      <c r="CL26" s="19" t="n">
        <f aca="false">CL25*Time!CL46</f>
        <v>0</v>
      </c>
      <c r="CM26" s="19" t="n">
        <f aca="false">CM25*Time!CM46</f>
        <v>0</v>
      </c>
      <c r="CN26" s="19" t="n">
        <f aca="false">CN25*Time!CN46</f>
        <v>0</v>
      </c>
      <c r="CO26" s="19" t="n">
        <f aca="false">CO25*Time!CO46</f>
        <v>0</v>
      </c>
      <c r="CP26" s="19" t="n">
        <f aca="false">CP25*Time!CP46</f>
        <v>0</v>
      </c>
      <c r="CQ26" s="19" t="n">
        <f aca="false">CQ25*Time!CQ46</f>
        <v>0</v>
      </c>
      <c r="CR26" s="19" t="n">
        <f aca="false">CR25*Time!CR46</f>
        <v>0</v>
      </c>
      <c r="CS26" s="19" t="n">
        <f aca="false">CS25*Time!CS46</f>
        <v>0</v>
      </c>
      <c r="CT26" s="19" t="n">
        <f aca="false">CT25*Time!CT46</f>
        <v>0</v>
      </c>
      <c r="CU26" s="19" t="n">
        <f aca="false">CU25*Time!CU46</f>
        <v>0</v>
      </c>
      <c r="CV26" s="19" t="n">
        <f aca="false">CV25*Time!CV46</f>
        <v>0</v>
      </c>
      <c r="CW26" s="19" t="n">
        <f aca="false">CW25*Time!CW46</f>
        <v>0</v>
      </c>
      <c r="CX26" s="19" t="n">
        <f aca="false">CX25*Time!CX46</f>
        <v>0</v>
      </c>
      <c r="CY26" s="19" t="n">
        <f aca="false">CY25*Time!CY46</f>
        <v>0</v>
      </c>
      <c r="CZ26" s="19" t="n">
        <f aca="false">CZ25*Time!CZ46</f>
        <v>0</v>
      </c>
      <c r="DA26" s="19" t="n">
        <f aca="false">DA25*Time!DA46</f>
        <v>0</v>
      </c>
      <c r="DB26" s="19" t="n">
        <f aca="false">DB25*Time!DB46</f>
        <v>0</v>
      </c>
    </row>
    <row r="27" customFormat="false" ht="15" hidden="false" customHeight="false" outlineLevel="0" collapsed="false">
      <c r="D27" s="0" t="s">
        <v>585</v>
      </c>
      <c r="E27" s="0" t="s">
        <v>44</v>
      </c>
      <c r="J27" s="19" t="n">
        <f aca="false">J25+Construction!J14-J26</f>
        <v>0</v>
      </c>
      <c r="K27" s="19" t="n">
        <f aca="false">K25+Construction!K14-K26</f>
        <v>0</v>
      </c>
      <c r="L27" s="19" t="n">
        <f aca="false">L25+Construction!L14-L26</f>
        <v>0</v>
      </c>
      <c r="M27" s="19" t="n">
        <f aca="false">M25+Construction!M14-M26</f>
        <v>0</v>
      </c>
      <c r="N27" s="19" t="n">
        <f aca="false">N25+Construction!N14-N26</f>
        <v>0</v>
      </c>
      <c r="O27" s="19" t="n">
        <f aca="false">O25+Construction!O14-O26</f>
        <v>0</v>
      </c>
      <c r="P27" s="19" t="n">
        <f aca="false">P25+Construction!P14-P26</f>
        <v>0</v>
      </c>
      <c r="Q27" s="19" t="n">
        <f aca="false">Q25+Construction!Q14-Q26</f>
        <v>0</v>
      </c>
      <c r="R27" s="19" t="n">
        <f aca="false">R25+Construction!R14-R26</f>
        <v>0</v>
      </c>
      <c r="S27" s="19" t="n">
        <f aca="false">S25+Construction!S14-S26</f>
        <v>0</v>
      </c>
      <c r="T27" s="19" t="n">
        <f aca="false">T25+Construction!T14-T26</f>
        <v>0</v>
      </c>
      <c r="U27" s="19" t="n">
        <f aca="false">U25+Construction!U14-U26</f>
        <v>0</v>
      </c>
      <c r="V27" s="19" t="n">
        <f aca="false">V25+Construction!V14-V26</f>
        <v>0</v>
      </c>
      <c r="W27" s="19" t="n">
        <f aca="false">W25+Construction!W14-W26</f>
        <v>0</v>
      </c>
      <c r="X27" s="19" t="n">
        <f aca="false">X25+Construction!X14-X26</f>
        <v>0</v>
      </c>
      <c r="Y27" s="19" t="n">
        <f aca="false">Y25+Construction!Y14-Y26</f>
        <v>42.1075</v>
      </c>
      <c r="Z27" s="19" t="n">
        <f aca="false">Z25+Construction!Z14-Z26</f>
        <v>42.1075</v>
      </c>
      <c r="AA27" s="19" t="n">
        <f aca="false">AA25+Construction!AA14-AA26</f>
        <v>42.1075</v>
      </c>
      <c r="AB27" s="19" t="n">
        <f aca="false">AB25+Construction!AB14-AB26</f>
        <v>42.1075</v>
      </c>
      <c r="AC27" s="19" t="n">
        <f aca="false">AC25+Construction!AC14-AC26</f>
        <v>42.1075</v>
      </c>
      <c r="AD27" s="19" t="n">
        <f aca="false">AD25+Construction!AD14-AD26</f>
        <v>0</v>
      </c>
      <c r="AE27" s="19" t="n">
        <f aca="false">AE25+Construction!AE14-AE26</f>
        <v>0</v>
      </c>
      <c r="AF27" s="19" t="n">
        <f aca="false">AF25+Construction!AF14-AF26</f>
        <v>0</v>
      </c>
      <c r="AG27" s="19" t="n">
        <f aca="false">AG25+Construction!AG14-AG26</f>
        <v>0</v>
      </c>
      <c r="AH27" s="19" t="n">
        <f aca="false">AH25+Construction!AH14-AH26</f>
        <v>0</v>
      </c>
      <c r="AI27" s="19" t="n">
        <f aca="false">AI25+Construction!AI14-AI26</f>
        <v>0</v>
      </c>
      <c r="AJ27" s="19" t="n">
        <f aca="false">AJ25+Construction!AJ14-AJ26</f>
        <v>0</v>
      </c>
      <c r="AK27" s="19" t="n">
        <f aca="false">AK25+Construction!AK14-AK26</f>
        <v>0</v>
      </c>
      <c r="AL27" s="19" t="n">
        <f aca="false">AL25+Construction!AL14-AL26</f>
        <v>0</v>
      </c>
      <c r="AM27" s="19" t="n">
        <f aca="false">AM25+Construction!AM14-AM26</f>
        <v>0</v>
      </c>
      <c r="AN27" s="19" t="n">
        <f aca="false">AN25+Construction!AN14-AN26</f>
        <v>0</v>
      </c>
      <c r="AO27" s="19" t="n">
        <f aca="false">AO25+Construction!AO14-AO26</f>
        <v>0</v>
      </c>
      <c r="AP27" s="19" t="n">
        <f aca="false">AP25+Construction!AP14-AP26</f>
        <v>0</v>
      </c>
      <c r="AQ27" s="19" t="n">
        <f aca="false">AQ25+Construction!AQ14-AQ26</f>
        <v>0</v>
      </c>
      <c r="AR27" s="19" t="n">
        <f aca="false">AR25+Construction!AR14-AR26</f>
        <v>0</v>
      </c>
      <c r="AS27" s="19" t="n">
        <f aca="false">AS25+Construction!AS14-AS26</f>
        <v>0</v>
      </c>
      <c r="AT27" s="19" t="n">
        <f aca="false">AT25+Construction!AT14-AT26</f>
        <v>0</v>
      </c>
      <c r="AU27" s="19" t="n">
        <f aca="false">AU25+Construction!AU14-AU26</f>
        <v>0</v>
      </c>
      <c r="AV27" s="19" t="n">
        <f aca="false">AV25+Construction!AV14-AV26</f>
        <v>0</v>
      </c>
      <c r="AW27" s="19" t="n">
        <f aca="false">AW25+Construction!AW14-AW26</f>
        <v>0</v>
      </c>
      <c r="AX27" s="19" t="n">
        <f aca="false">AX25+Construction!AX14-AX26</f>
        <v>0</v>
      </c>
      <c r="AY27" s="19" t="n">
        <f aca="false">AY25+Construction!AY14-AY26</f>
        <v>0</v>
      </c>
      <c r="AZ27" s="19" t="n">
        <f aca="false">AZ25+Construction!AZ14-AZ26</f>
        <v>0</v>
      </c>
      <c r="BA27" s="19" t="n">
        <f aca="false">BA25+Construction!BA14-BA26</f>
        <v>0</v>
      </c>
      <c r="BB27" s="19" t="n">
        <f aca="false">BB25+Construction!BB14-BB26</f>
        <v>0</v>
      </c>
      <c r="BC27" s="19" t="n">
        <f aca="false">BC25+Construction!BC14-BC26</f>
        <v>0</v>
      </c>
      <c r="BD27" s="19" t="n">
        <f aca="false">BD25+Construction!BD14-BD26</f>
        <v>0</v>
      </c>
      <c r="BE27" s="19" t="n">
        <f aca="false">BE25+Construction!BE14-BE26</f>
        <v>0</v>
      </c>
      <c r="BF27" s="19" t="n">
        <f aca="false">BF25+Construction!BF14-BF26</f>
        <v>0</v>
      </c>
      <c r="BG27" s="19" t="n">
        <f aca="false">BG25+Construction!BG14-BG26</f>
        <v>0</v>
      </c>
      <c r="BH27" s="19" t="n">
        <f aca="false">BH25+Construction!BH14-BH26</f>
        <v>0</v>
      </c>
      <c r="BI27" s="19" t="n">
        <f aca="false">BI25+Construction!BI14-BI26</f>
        <v>0</v>
      </c>
      <c r="BJ27" s="19" t="n">
        <f aca="false">BJ25+Construction!BJ14-BJ26</f>
        <v>0</v>
      </c>
      <c r="BK27" s="19" t="n">
        <f aca="false">BK25+Construction!BK14-BK26</f>
        <v>0</v>
      </c>
      <c r="BL27" s="19" t="n">
        <f aca="false">BL25+Construction!BL14-BL26</f>
        <v>0</v>
      </c>
      <c r="BM27" s="19" t="n">
        <f aca="false">BM25+Construction!BM14-BM26</f>
        <v>0</v>
      </c>
      <c r="BN27" s="19" t="n">
        <f aca="false">BN25+Construction!BN14-BN26</f>
        <v>0</v>
      </c>
      <c r="BO27" s="19" t="n">
        <f aca="false">BO25+Construction!BO14-BO26</f>
        <v>0</v>
      </c>
      <c r="BP27" s="19" t="n">
        <f aca="false">BP25+Construction!BP14-BP26</f>
        <v>0</v>
      </c>
      <c r="BQ27" s="19" t="n">
        <f aca="false">BQ25+Construction!BQ14-BQ26</f>
        <v>0</v>
      </c>
      <c r="BR27" s="19" t="n">
        <f aca="false">BR25+Construction!BR14-BR26</f>
        <v>0</v>
      </c>
      <c r="BS27" s="19" t="n">
        <f aca="false">BS25+Construction!BS14-BS26</f>
        <v>0</v>
      </c>
      <c r="BT27" s="19" t="n">
        <f aca="false">BT25+Construction!BT14-BT26</f>
        <v>0</v>
      </c>
      <c r="BU27" s="19" t="n">
        <f aca="false">BU25+Construction!BU14-BU26</f>
        <v>0</v>
      </c>
      <c r="BV27" s="19" t="n">
        <f aca="false">BV25+Construction!BV14-BV26</f>
        <v>0</v>
      </c>
      <c r="BW27" s="19" t="n">
        <f aca="false">BW25+Construction!BW14-BW26</f>
        <v>0</v>
      </c>
      <c r="BX27" s="19" t="n">
        <f aca="false">BX25+Construction!BX14-BX26</f>
        <v>0</v>
      </c>
      <c r="BY27" s="19" t="n">
        <f aca="false">BY25+Construction!BY14-BY26</f>
        <v>0</v>
      </c>
      <c r="BZ27" s="19" t="n">
        <f aca="false">BZ25+Construction!BZ14-BZ26</f>
        <v>0</v>
      </c>
      <c r="CA27" s="19" t="n">
        <f aca="false">CA25+Construction!CA14-CA26</f>
        <v>0</v>
      </c>
      <c r="CB27" s="19" t="n">
        <f aca="false">CB25+Construction!CB14-CB26</f>
        <v>0</v>
      </c>
      <c r="CC27" s="19" t="n">
        <f aca="false">CC25+Construction!CC14-CC26</f>
        <v>0</v>
      </c>
      <c r="CD27" s="19" t="n">
        <f aca="false">CD25+Construction!CD14-CD26</f>
        <v>0</v>
      </c>
      <c r="CE27" s="19" t="n">
        <f aca="false">CE25+Construction!CE14-CE26</f>
        <v>0</v>
      </c>
      <c r="CF27" s="19" t="n">
        <f aca="false">CF25+Construction!CF14-CF26</f>
        <v>0</v>
      </c>
      <c r="CG27" s="19" t="n">
        <f aca="false">CG25+Construction!CG14-CG26</f>
        <v>0</v>
      </c>
      <c r="CH27" s="19" t="n">
        <f aca="false">CH25+Construction!CH14-CH26</f>
        <v>0</v>
      </c>
      <c r="CI27" s="19" t="n">
        <f aca="false">CI25+Construction!CI14-CI26</f>
        <v>0</v>
      </c>
      <c r="CJ27" s="19" t="n">
        <f aca="false">CJ25+Construction!CJ14-CJ26</f>
        <v>0</v>
      </c>
      <c r="CK27" s="19" t="n">
        <f aca="false">CK25+Construction!CK14-CK26</f>
        <v>0</v>
      </c>
      <c r="CL27" s="19" t="n">
        <f aca="false">CL25+Construction!CL14-CL26</f>
        <v>0</v>
      </c>
      <c r="CM27" s="19" t="n">
        <f aca="false">CM25+Construction!CM14-CM26</f>
        <v>0</v>
      </c>
      <c r="CN27" s="19" t="n">
        <f aca="false">CN25+Construction!CN14-CN26</f>
        <v>0</v>
      </c>
      <c r="CO27" s="19" t="n">
        <f aca="false">CO25+Construction!CO14-CO26</f>
        <v>0</v>
      </c>
      <c r="CP27" s="19" t="n">
        <f aca="false">CP25+Construction!CP14-CP26</f>
        <v>0</v>
      </c>
      <c r="CQ27" s="19" t="n">
        <f aca="false">CQ25+Construction!CQ14-CQ26</f>
        <v>0</v>
      </c>
      <c r="CR27" s="19" t="n">
        <f aca="false">CR25+Construction!CR14-CR26</f>
        <v>0</v>
      </c>
      <c r="CS27" s="19" t="n">
        <f aca="false">CS25+Construction!CS14-CS26</f>
        <v>0</v>
      </c>
      <c r="CT27" s="19" t="n">
        <f aca="false">CT25+Construction!CT14-CT26</f>
        <v>0</v>
      </c>
      <c r="CU27" s="19" t="n">
        <f aca="false">CU25+Construction!CU14-CU26</f>
        <v>0</v>
      </c>
      <c r="CV27" s="19" t="n">
        <f aca="false">CV25+Construction!CV14-CV26</f>
        <v>0</v>
      </c>
      <c r="CW27" s="19" t="n">
        <f aca="false">CW25+Construction!CW14-CW26</f>
        <v>0</v>
      </c>
      <c r="CX27" s="19" t="n">
        <f aca="false">CX25+Construction!CX14-CX26</f>
        <v>0</v>
      </c>
      <c r="CY27" s="19" t="n">
        <f aca="false">CY25+Construction!CY14-CY26</f>
        <v>0</v>
      </c>
      <c r="CZ27" s="19" t="n">
        <f aca="false">CZ25+Construction!CZ14-CZ26</f>
        <v>0</v>
      </c>
      <c r="DA27" s="19" t="n">
        <f aca="false">DA25+Construction!DA14-DA26</f>
        <v>0</v>
      </c>
      <c r="DB27" s="19" t="n">
        <f aca="false">DB25+Construction!DB14-DB26</f>
        <v>0</v>
      </c>
    </row>
    <row r="28" customFormat="false" ht="15" hidden="false" customHeight="false" outlineLevel="0" collapsed="false">
      <c r="D28" s="3" t="s">
        <v>591</v>
      </c>
    </row>
    <row r="29" customFormat="false" ht="15" hidden="false" customHeight="false" outlineLevel="0" collapsed="false">
      <c r="D29" s="0" t="s">
        <v>584</v>
      </c>
      <c r="E29" s="0" t="s">
        <v>44</v>
      </c>
      <c r="J29" s="19" t="n">
        <f aca="false">I30</f>
        <v>0</v>
      </c>
      <c r="K29" s="19" t="n">
        <f aca="false">J30</f>
        <v>0</v>
      </c>
      <c r="L29" s="19" t="n">
        <f aca="false">K30</f>
        <v>0</v>
      </c>
      <c r="M29" s="19" t="n">
        <f aca="false">L30</f>
        <v>0</v>
      </c>
      <c r="N29" s="19" t="n">
        <f aca="false">M30</f>
        <v>0</v>
      </c>
      <c r="O29" s="19" t="n">
        <f aca="false">N30</f>
        <v>0</v>
      </c>
      <c r="P29" s="19" t="n">
        <f aca="false">O30</f>
        <v>0</v>
      </c>
      <c r="Q29" s="19" t="n">
        <f aca="false">P30</f>
        <v>0</v>
      </c>
      <c r="R29" s="19" t="n">
        <f aca="false">Q30</f>
        <v>0</v>
      </c>
      <c r="S29" s="19" t="n">
        <f aca="false">R30</f>
        <v>0</v>
      </c>
      <c r="T29" s="19" t="n">
        <f aca="false">S30</f>
        <v>0</v>
      </c>
      <c r="U29" s="19" t="n">
        <f aca="false">T30</f>
        <v>0</v>
      </c>
      <c r="V29" s="19" t="n">
        <f aca="false">U30</f>
        <v>0</v>
      </c>
      <c r="W29" s="19" t="n">
        <f aca="false">V30</f>
        <v>0</v>
      </c>
      <c r="X29" s="19" t="n">
        <f aca="false">W30</f>
        <v>0</v>
      </c>
      <c r="Y29" s="19" t="n">
        <f aca="false">X30</f>
        <v>0</v>
      </c>
      <c r="Z29" s="19" t="n">
        <f aca="false">Y30</f>
        <v>0</v>
      </c>
      <c r="AA29" s="19" t="n">
        <f aca="false">Z30</f>
        <v>0</v>
      </c>
      <c r="AB29" s="19" t="n">
        <f aca="false">AA30</f>
        <v>0</v>
      </c>
      <c r="AC29" s="19" t="n">
        <f aca="false">AB30</f>
        <v>0</v>
      </c>
      <c r="AD29" s="19" t="n">
        <f aca="false">AC30</f>
        <v>0</v>
      </c>
      <c r="AE29" s="19" t="n">
        <f aca="false">AD30</f>
        <v>0</v>
      </c>
      <c r="AF29" s="19" t="n">
        <f aca="false">AE30</f>
        <v>0</v>
      </c>
      <c r="AG29" s="19" t="n">
        <f aca="false">AF30</f>
        <v>0</v>
      </c>
      <c r="AH29" s="19" t="n">
        <f aca="false">AG30</f>
        <v>0</v>
      </c>
      <c r="AI29" s="19" t="n">
        <f aca="false">AH30</f>
        <v>0</v>
      </c>
      <c r="AJ29" s="19" t="n">
        <f aca="false">AI30</f>
        <v>0</v>
      </c>
      <c r="AK29" s="19" t="n">
        <f aca="false">AJ30</f>
        <v>0</v>
      </c>
      <c r="AL29" s="19" t="n">
        <f aca="false">AK30</f>
        <v>0</v>
      </c>
      <c r="AM29" s="19" t="n">
        <f aca="false">AL30</f>
        <v>0</v>
      </c>
      <c r="AN29" s="19" t="n">
        <f aca="false">AM30</f>
        <v>0</v>
      </c>
      <c r="AO29" s="19" t="n">
        <f aca="false">AN30</f>
        <v>0</v>
      </c>
      <c r="AP29" s="19" t="n">
        <f aca="false">AO30</f>
        <v>0</v>
      </c>
      <c r="AQ29" s="19" t="n">
        <f aca="false">AP30</f>
        <v>0</v>
      </c>
      <c r="AR29" s="19" t="n">
        <f aca="false">AQ30</f>
        <v>0</v>
      </c>
      <c r="AS29" s="19" t="n">
        <f aca="false">AR30</f>
        <v>0</v>
      </c>
      <c r="AT29" s="19" t="n">
        <f aca="false">AS30</f>
        <v>0</v>
      </c>
      <c r="AU29" s="19" t="n">
        <f aca="false">AT30</f>
        <v>0</v>
      </c>
      <c r="AV29" s="19" t="n">
        <f aca="false">AU30</f>
        <v>0</v>
      </c>
      <c r="AW29" s="19" t="n">
        <f aca="false">AV30</f>
        <v>0</v>
      </c>
      <c r="AX29" s="19" t="n">
        <f aca="false">AW30</f>
        <v>0</v>
      </c>
      <c r="AY29" s="19" t="n">
        <f aca="false">AX30</f>
        <v>0</v>
      </c>
      <c r="AZ29" s="19" t="n">
        <f aca="false">AY30</f>
        <v>0</v>
      </c>
      <c r="BA29" s="19" t="n">
        <f aca="false">AZ30</f>
        <v>0</v>
      </c>
      <c r="BB29" s="19" t="n">
        <f aca="false">BA30</f>
        <v>0</v>
      </c>
      <c r="BC29" s="19" t="n">
        <f aca="false">BB30</f>
        <v>0</v>
      </c>
      <c r="BD29" s="19" t="n">
        <f aca="false">BC30</f>
        <v>0</v>
      </c>
      <c r="BE29" s="19" t="n">
        <f aca="false">BD30</f>
        <v>0</v>
      </c>
      <c r="BF29" s="19" t="n">
        <f aca="false">BE30</f>
        <v>0</v>
      </c>
      <c r="BG29" s="19" t="n">
        <f aca="false">BF30</f>
        <v>0</v>
      </c>
      <c r="BH29" s="19" t="n">
        <f aca="false">BG30</f>
        <v>0</v>
      </c>
      <c r="BI29" s="19" t="n">
        <f aca="false">BH30</f>
        <v>0</v>
      </c>
      <c r="BJ29" s="19" t="n">
        <f aca="false">BI30</f>
        <v>0</v>
      </c>
      <c r="BK29" s="19" t="n">
        <f aca="false">BJ30</f>
        <v>0</v>
      </c>
      <c r="BL29" s="19" t="n">
        <f aca="false">BK30</f>
        <v>0</v>
      </c>
      <c r="BM29" s="19" t="n">
        <f aca="false">BL30</f>
        <v>0</v>
      </c>
      <c r="BN29" s="19" t="n">
        <f aca="false">BM30</f>
        <v>0</v>
      </c>
      <c r="BO29" s="19" t="n">
        <f aca="false">BN30</f>
        <v>0</v>
      </c>
      <c r="BP29" s="19" t="n">
        <f aca="false">BO30</f>
        <v>0</v>
      </c>
      <c r="BQ29" s="19" t="n">
        <f aca="false">BP30</f>
        <v>0</v>
      </c>
      <c r="BR29" s="19" t="n">
        <f aca="false">BQ30</f>
        <v>0</v>
      </c>
      <c r="BS29" s="19" t="n">
        <f aca="false">BR30</f>
        <v>0</v>
      </c>
      <c r="BT29" s="19" t="n">
        <f aca="false">BS30</f>
        <v>0</v>
      </c>
      <c r="BU29" s="19" t="n">
        <f aca="false">BT30</f>
        <v>0</v>
      </c>
      <c r="BV29" s="19" t="n">
        <f aca="false">BU30</f>
        <v>0</v>
      </c>
      <c r="BW29" s="19" t="n">
        <f aca="false">BV30</f>
        <v>0</v>
      </c>
      <c r="BX29" s="19" t="n">
        <f aca="false">BW30</f>
        <v>0</v>
      </c>
      <c r="BY29" s="19" t="n">
        <f aca="false">BX30</f>
        <v>0</v>
      </c>
      <c r="BZ29" s="19" t="n">
        <f aca="false">BY30</f>
        <v>0</v>
      </c>
      <c r="CA29" s="19" t="n">
        <f aca="false">BZ30</f>
        <v>0</v>
      </c>
      <c r="CB29" s="19" t="n">
        <f aca="false">CA30</f>
        <v>0</v>
      </c>
      <c r="CC29" s="19" t="n">
        <f aca="false">CB30</f>
        <v>0</v>
      </c>
      <c r="CD29" s="19" t="n">
        <f aca="false">CC30</f>
        <v>0</v>
      </c>
      <c r="CE29" s="19" t="n">
        <f aca="false">CD30</f>
        <v>0</v>
      </c>
      <c r="CF29" s="19" t="n">
        <f aca="false">CE30</f>
        <v>0</v>
      </c>
      <c r="CG29" s="19" t="n">
        <f aca="false">CF30</f>
        <v>0</v>
      </c>
      <c r="CH29" s="19" t="n">
        <f aca="false">CG30</f>
        <v>0</v>
      </c>
      <c r="CI29" s="19" t="n">
        <f aca="false">CH30</f>
        <v>0</v>
      </c>
      <c r="CJ29" s="19" t="n">
        <f aca="false">CI30</f>
        <v>0</v>
      </c>
      <c r="CK29" s="19" t="n">
        <f aca="false">CJ30</f>
        <v>0</v>
      </c>
      <c r="CL29" s="19" t="n">
        <f aca="false">CK30</f>
        <v>0</v>
      </c>
      <c r="CM29" s="19" t="n">
        <f aca="false">CL30</f>
        <v>0</v>
      </c>
      <c r="CN29" s="19" t="n">
        <f aca="false">CM30</f>
        <v>0</v>
      </c>
      <c r="CO29" s="19" t="n">
        <f aca="false">CN30</f>
        <v>0</v>
      </c>
      <c r="CP29" s="19" t="n">
        <f aca="false">CO30</f>
        <v>0</v>
      </c>
      <c r="CQ29" s="19" t="n">
        <f aca="false">CP30</f>
        <v>0</v>
      </c>
      <c r="CR29" s="19" t="n">
        <f aca="false">CQ30</f>
        <v>0</v>
      </c>
      <c r="CS29" s="19" t="n">
        <f aca="false">CR30</f>
        <v>0</v>
      </c>
      <c r="CT29" s="19" t="n">
        <f aca="false">CS30</f>
        <v>0</v>
      </c>
      <c r="CU29" s="19" t="n">
        <f aca="false">CT30</f>
        <v>0</v>
      </c>
      <c r="CV29" s="19" t="n">
        <f aca="false">CU30</f>
        <v>0</v>
      </c>
      <c r="CW29" s="19" t="n">
        <f aca="false">CV30</f>
        <v>0</v>
      </c>
      <c r="CX29" s="19" t="n">
        <f aca="false">CW30</f>
        <v>0</v>
      </c>
      <c r="CY29" s="19" t="n">
        <f aca="false">CX30</f>
        <v>0</v>
      </c>
      <c r="CZ29" s="19" t="n">
        <f aca="false">CY30</f>
        <v>0</v>
      </c>
      <c r="DA29" s="19" t="n">
        <f aca="false">CZ30</f>
        <v>0</v>
      </c>
      <c r="DB29" s="19" t="n">
        <f aca="false">DA30</f>
        <v>0</v>
      </c>
    </row>
    <row r="30" customFormat="false" ht="15" hidden="false" customHeight="false" outlineLevel="0" collapsed="false">
      <c r="D30" s="0" t="s">
        <v>585</v>
      </c>
      <c r="E30" s="0" t="s">
        <v>44</v>
      </c>
      <c r="J30" s="19" t="n">
        <f aca="false">J29-Operations!J45+Time!J35*Inputs!$F$172</f>
        <v>0</v>
      </c>
      <c r="K30" s="19" t="n">
        <f aca="false">K29-Operations!K45+Time!K35*Inputs!$F$172</f>
        <v>0</v>
      </c>
      <c r="L30" s="19" t="n">
        <f aca="false">L29-Operations!L45+Time!L35*Inputs!$F$172</f>
        <v>0</v>
      </c>
      <c r="M30" s="19" t="n">
        <f aca="false">M29-Operations!M45+Time!M35*Inputs!$F$172</f>
        <v>0</v>
      </c>
      <c r="N30" s="19" t="n">
        <f aca="false">N29-Operations!N45+Time!N35*Inputs!$F$172</f>
        <v>0</v>
      </c>
      <c r="O30" s="19" t="n">
        <f aca="false">O29-Operations!O45+Time!O35*Inputs!$F$172</f>
        <v>0</v>
      </c>
      <c r="P30" s="19" t="n">
        <f aca="false">P29-Operations!P45+Time!P35*Inputs!$F$172</f>
        <v>0</v>
      </c>
      <c r="Q30" s="19" t="n">
        <f aca="false">Q29-Operations!Q45+Time!Q35*Inputs!$F$172</f>
        <v>0</v>
      </c>
      <c r="R30" s="19" t="n">
        <f aca="false">R29-Operations!R45+Time!R35*Inputs!$F$172</f>
        <v>0</v>
      </c>
      <c r="S30" s="19" t="n">
        <f aca="false">S29-Operations!S45+Time!S35*Inputs!$F$172</f>
        <v>0</v>
      </c>
      <c r="T30" s="19" t="n">
        <f aca="false">T29-Operations!T45+Time!T35*Inputs!$F$172</f>
        <v>0</v>
      </c>
      <c r="U30" s="19" t="n">
        <f aca="false">U29-Operations!U45+Time!U35*Inputs!$F$172</f>
        <v>0</v>
      </c>
      <c r="V30" s="19" t="n">
        <f aca="false">V29-Operations!V45+Time!V35*Inputs!$F$172</f>
        <v>0</v>
      </c>
      <c r="W30" s="19" t="n">
        <f aca="false">W29-Operations!W45+Time!W35*Inputs!$F$172</f>
        <v>0</v>
      </c>
      <c r="X30" s="19" t="n">
        <f aca="false">X29-Operations!X45+Time!X35*Inputs!$F$172</f>
        <v>0</v>
      </c>
      <c r="Y30" s="19" t="n">
        <f aca="false">Y29-Operations!Y45+Time!Y35*Inputs!$F$172</f>
        <v>0</v>
      </c>
      <c r="Z30" s="19" t="n">
        <f aca="false">Z29-Operations!Z45+Time!Z35*Inputs!$F$172</f>
        <v>0</v>
      </c>
      <c r="AA30" s="19" t="n">
        <f aca="false">AA29-Operations!AA45+Time!AA35*Inputs!$F$172</f>
        <v>0</v>
      </c>
      <c r="AB30" s="19" t="n">
        <f aca="false">AB29-Operations!AB45+Time!AB35*Inputs!$F$172</f>
        <v>0</v>
      </c>
      <c r="AC30" s="19" t="n">
        <f aca="false">AC29-Operations!AC45+Time!AC35*Inputs!$F$172</f>
        <v>0</v>
      </c>
      <c r="AD30" s="19" t="n">
        <f aca="false">AD29-Operations!AD45+Time!AD35*Inputs!$F$172</f>
        <v>0</v>
      </c>
      <c r="AE30" s="19" t="n">
        <f aca="false">AE29-Operations!AE45+Time!AE35*Inputs!$F$172</f>
        <v>0</v>
      </c>
      <c r="AF30" s="19" t="n">
        <f aca="false">AF29-Operations!AF45+Time!AF35*Inputs!$F$172</f>
        <v>0</v>
      </c>
      <c r="AG30" s="19" t="n">
        <f aca="false">AG29-Operations!AG45+Time!AG35*Inputs!$F$172</f>
        <v>0</v>
      </c>
      <c r="AH30" s="19" t="n">
        <f aca="false">AH29-Operations!AH45+Time!AH35*Inputs!$F$172</f>
        <v>0</v>
      </c>
      <c r="AI30" s="19" t="n">
        <f aca="false">AI29-Operations!AI45+Time!AI35*Inputs!$F$172</f>
        <v>0</v>
      </c>
      <c r="AJ30" s="19" t="n">
        <f aca="false">AJ29-Operations!AJ45+Time!AJ35*Inputs!$F$172</f>
        <v>0</v>
      </c>
      <c r="AK30" s="19" t="n">
        <f aca="false">AK29-Operations!AK45+Time!AK35*Inputs!$F$172</f>
        <v>0</v>
      </c>
      <c r="AL30" s="19" t="n">
        <f aca="false">AL29-Operations!AL45+Time!AL35*Inputs!$F$172</f>
        <v>0</v>
      </c>
      <c r="AM30" s="19" t="n">
        <f aca="false">AM29-Operations!AM45+Time!AM35*Inputs!$F$172</f>
        <v>0</v>
      </c>
      <c r="AN30" s="19" t="n">
        <f aca="false">AN29-Operations!AN45+Time!AN35*Inputs!$F$172</f>
        <v>0</v>
      </c>
      <c r="AO30" s="19" t="n">
        <f aca="false">AO29-Operations!AO45+Time!AO35*Inputs!$F$172</f>
        <v>0</v>
      </c>
      <c r="AP30" s="19" t="n">
        <f aca="false">AP29-Operations!AP45+Time!AP35*Inputs!$F$172</f>
        <v>0</v>
      </c>
      <c r="AQ30" s="19" t="n">
        <f aca="false">AQ29-Operations!AQ45+Time!AQ35*Inputs!$F$172</f>
        <v>0</v>
      </c>
      <c r="AR30" s="19" t="n">
        <f aca="false">AR29-Operations!AR45+Time!AR35*Inputs!$F$172</f>
        <v>0</v>
      </c>
      <c r="AS30" s="19" t="n">
        <f aca="false">AS29-Operations!AS45+Time!AS35*Inputs!$F$172</f>
        <v>0</v>
      </c>
      <c r="AT30" s="19" t="n">
        <f aca="false">AT29-Operations!AT45+Time!AT35*Inputs!$F$172</f>
        <v>0</v>
      </c>
      <c r="AU30" s="19" t="n">
        <f aca="false">AU29-Operations!AU45+Time!AU35*Inputs!$F$172</f>
        <v>0</v>
      </c>
      <c r="AV30" s="19" t="n">
        <f aca="false">AV29-Operations!AV45+Time!AV35*Inputs!$F$172</f>
        <v>0</v>
      </c>
      <c r="AW30" s="19" t="n">
        <f aca="false">AW29-Operations!AW45+Time!AW35*Inputs!$F$172</f>
        <v>0</v>
      </c>
      <c r="AX30" s="19" t="n">
        <f aca="false">AX29-Operations!AX45+Time!AX35*Inputs!$F$172</f>
        <v>0</v>
      </c>
      <c r="AY30" s="19" t="n">
        <f aca="false">AY29-Operations!AY45+Time!AY35*Inputs!$F$172</f>
        <v>0</v>
      </c>
      <c r="AZ30" s="19" t="n">
        <f aca="false">AZ29-Operations!AZ45+Time!AZ35*Inputs!$F$172</f>
        <v>0</v>
      </c>
      <c r="BA30" s="19" t="n">
        <f aca="false">BA29-Operations!BA45+Time!BA35*Inputs!$F$172</f>
        <v>0</v>
      </c>
      <c r="BB30" s="19" t="n">
        <f aca="false">BB29-Operations!BB45+Time!BB35*Inputs!$F$172</f>
        <v>0</v>
      </c>
      <c r="BC30" s="19" t="n">
        <f aca="false">BC29-Operations!BC45+Time!BC35*Inputs!$F$172</f>
        <v>0</v>
      </c>
      <c r="BD30" s="19" t="n">
        <f aca="false">BD29-Operations!BD45+Time!BD35*Inputs!$F$172</f>
        <v>0</v>
      </c>
      <c r="BE30" s="19" t="n">
        <f aca="false">BE29-Operations!BE45+Time!BE35*Inputs!$F$172</f>
        <v>0</v>
      </c>
      <c r="BF30" s="19" t="n">
        <f aca="false">BF29-Operations!BF45+Time!BF35*Inputs!$F$172</f>
        <v>0</v>
      </c>
      <c r="BG30" s="19" t="n">
        <f aca="false">BG29-Operations!BG45+Time!BG35*Inputs!$F$172</f>
        <v>0</v>
      </c>
      <c r="BH30" s="19" t="n">
        <f aca="false">BH29-Operations!BH45+Time!BH35*Inputs!$F$172</f>
        <v>0</v>
      </c>
      <c r="BI30" s="19" t="n">
        <f aca="false">BI29-Operations!BI45+Time!BI35*Inputs!$F$172</f>
        <v>0</v>
      </c>
      <c r="BJ30" s="19" t="n">
        <f aca="false">BJ29-Operations!BJ45+Time!BJ35*Inputs!$F$172</f>
        <v>0</v>
      </c>
      <c r="BK30" s="19" t="n">
        <f aca="false">BK29-Operations!BK45+Time!BK35*Inputs!$F$172</f>
        <v>0</v>
      </c>
      <c r="BL30" s="19" t="n">
        <f aca="false">BL29-Operations!BL45+Time!BL35*Inputs!$F$172</f>
        <v>0</v>
      </c>
      <c r="BM30" s="19" t="n">
        <f aca="false">BM29-Operations!BM45+Time!BM35*Inputs!$F$172</f>
        <v>0</v>
      </c>
      <c r="BN30" s="19" t="n">
        <f aca="false">BN29-Operations!BN45+Time!BN35*Inputs!$F$172</f>
        <v>0</v>
      </c>
      <c r="BO30" s="19" t="n">
        <f aca="false">BO29-Operations!BO45+Time!BO35*Inputs!$F$172</f>
        <v>0</v>
      </c>
      <c r="BP30" s="19" t="n">
        <f aca="false">BP29-Operations!BP45+Time!BP35*Inputs!$F$172</f>
        <v>0</v>
      </c>
      <c r="BQ30" s="19" t="n">
        <f aca="false">BQ29-Operations!BQ45+Time!BQ35*Inputs!$F$172</f>
        <v>0</v>
      </c>
      <c r="BR30" s="19" t="n">
        <f aca="false">BR29-Operations!BR45+Time!BR35*Inputs!$F$172</f>
        <v>0</v>
      </c>
      <c r="BS30" s="19" t="n">
        <f aca="false">BS29-Operations!BS45+Time!BS35*Inputs!$F$172</f>
        <v>0</v>
      </c>
      <c r="BT30" s="19" t="n">
        <f aca="false">BT29-Operations!BT45+Time!BT35*Inputs!$F$172</f>
        <v>0</v>
      </c>
      <c r="BU30" s="19" t="n">
        <f aca="false">BU29-Operations!BU45+Time!BU35*Inputs!$F$172</f>
        <v>0</v>
      </c>
      <c r="BV30" s="19" t="n">
        <f aca="false">BV29-Operations!BV45+Time!BV35*Inputs!$F$172</f>
        <v>0</v>
      </c>
      <c r="BW30" s="19" t="n">
        <f aca="false">BW29-Operations!BW45+Time!BW35*Inputs!$F$172</f>
        <v>0</v>
      </c>
      <c r="BX30" s="19" t="n">
        <f aca="false">BX29-Operations!BX45+Time!BX35*Inputs!$F$172</f>
        <v>0</v>
      </c>
      <c r="BY30" s="19" t="n">
        <f aca="false">BY29-Operations!BY45+Time!BY35*Inputs!$F$172</f>
        <v>0</v>
      </c>
      <c r="BZ30" s="19" t="n">
        <f aca="false">BZ29-Operations!BZ45+Time!BZ35*Inputs!$F$172</f>
        <v>0</v>
      </c>
      <c r="CA30" s="19" t="n">
        <f aca="false">CA29-Operations!CA45+Time!CA35*Inputs!$F$172</f>
        <v>0</v>
      </c>
      <c r="CB30" s="19" t="n">
        <f aca="false">CB29-Operations!CB45+Time!CB35*Inputs!$F$172</f>
        <v>0</v>
      </c>
      <c r="CC30" s="19" t="n">
        <f aca="false">CC29-Operations!CC45+Time!CC35*Inputs!$F$172</f>
        <v>0</v>
      </c>
      <c r="CD30" s="19" t="n">
        <f aca="false">CD29-Operations!CD45+Time!CD35*Inputs!$F$172</f>
        <v>0</v>
      </c>
      <c r="CE30" s="19" t="n">
        <f aca="false">CE29-Operations!CE45+Time!CE35*Inputs!$F$172</f>
        <v>0</v>
      </c>
      <c r="CF30" s="19" t="n">
        <f aca="false">CF29-Operations!CF45+Time!CF35*Inputs!$F$172</f>
        <v>0</v>
      </c>
      <c r="CG30" s="19" t="n">
        <f aca="false">CG29-Operations!CG45+Time!CG35*Inputs!$F$172</f>
        <v>0</v>
      </c>
      <c r="CH30" s="19" t="n">
        <f aca="false">CH29-Operations!CH45+Time!CH35*Inputs!$F$172</f>
        <v>0</v>
      </c>
      <c r="CI30" s="19" t="n">
        <f aca="false">CI29-Operations!CI45+Time!CI35*Inputs!$F$172</f>
        <v>0</v>
      </c>
      <c r="CJ30" s="19" t="n">
        <f aca="false">CJ29-Operations!CJ45+Time!CJ35*Inputs!$F$172</f>
        <v>0</v>
      </c>
      <c r="CK30" s="19" t="n">
        <f aca="false">CK29-Operations!CK45+Time!CK35*Inputs!$F$172</f>
        <v>0</v>
      </c>
      <c r="CL30" s="19" t="n">
        <f aca="false">CL29-Operations!CL45+Time!CL35*Inputs!$F$172</f>
        <v>0</v>
      </c>
      <c r="CM30" s="19" t="n">
        <f aca="false">CM29-Operations!CM45+Time!CM35*Inputs!$F$172</f>
        <v>0</v>
      </c>
      <c r="CN30" s="19" t="n">
        <f aca="false">CN29-Operations!CN45+Time!CN35*Inputs!$F$172</f>
        <v>0</v>
      </c>
      <c r="CO30" s="19" t="n">
        <f aca="false">CO29-Operations!CO45+Time!CO35*Inputs!$F$172</f>
        <v>0</v>
      </c>
      <c r="CP30" s="19" t="n">
        <f aca="false">CP29-Operations!CP45+Time!CP35*Inputs!$F$172</f>
        <v>0</v>
      </c>
      <c r="CQ30" s="19" t="n">
        <f aca="false">CQ29-Operations!CQ45+Time!CQ35*Inputs!$F$172</f>
        <v>0</v>
      </c>
      <c r="CR30" s="19" t="n">
        <f aca="false">CR29-Operations!CR45+Time!CR35*Inputs!$F$172</f>
        <v>0</v>
      </c>
      <c r="CS30" s="19" t="n">
        <f aca="false">CS29-Operations!CS45+Time!CS35*Inputs!$F$172</f>
        <v>0</v>
      </c>
      <c r="CT30" s="19" t="n">
        <f aca="false">CT29-Operations!CT45+Time!CT35*Inputs!$F$172</f>
        <v>0</v>
      </c>
      <c r="CU30" s="19" t="n">
        <f aca="false">CU29-Operations!CU45+Time!CU35*Inputs!$F$172</f>
        <v>0</v>
      </c>
      <c r="CV30" s="19" t="n">
        <f aca="false">CV29-Operations!CV45+Time!CV35*Inputs!$F$172</f>
        <v>0</v>
      </c>
      <c r="CW30" s="19" t="n">
        <f aca="false">CW29-Operations!CW45+Time!CW35*Inputs!$F$172</f>
        <v>0</v>
      </c>
      <c r="CX30" s="19" t="n">
        <f aca="false">CX29-Operations!CX45+Time!CX35*Inputs!$F$172</f>
        <v>0</v>
      </c>
      <c r="CY30" s="19" t="n">
        <f aca="false">CY29-Operations!CY45+Time!CY35*Inputs!$F$172</f>
        <v>0</v>
      </c>
      <c r="CZ30" s="19" t="n">
        <f aca="false">CZ29-Operations!CZ45+Time!CZ35*Inputs!$F$172</f>
        <v>0</v>
      </c>
      <c r="DA30" s="19" t="n">
        <f aca="false">DA29-Operations!DA45+Time!DA35*Inputs!$F$172</f>
        <v>0</v>
      </c>
      <c r="DB30" s="19" t="n">
        <f aca="false">DB29-Operations!DB45+Time!DB35*Inputs!$F$172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592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593</v>
      </c>
    </row>
    <row r="6" customFormat="false" ht="15" hidden="false" customHeight="false" outlineLevel="0" collapsed="false">
      <c r="D6" s="0" t="s">
        <v>594</v>
      </c>
      <c r="E6" s="0" t="s">
        <v>44</v>
      </c>
      <c r="J6" s="19" t="n">
        <f aca="false">I51</f>
        <v>0</v>
      </c>
      <c r="K6" s="19" t="n">
        <f aca="false">J51</f>
        <v>0</v>
      </c>
      <c r="L6" s="19" t="n">
        <f aca="false">K51</f>
        <v>0</v>
      </c>
      <c r="M6" s="19" t="n">
        <f aca="false">L51</f>
        <v>0</v>
      </c>
      <c r="N6" s="19" t="n">
        <f aca="false">M51</f>
        <v>0</v>
      </c>
      <c r="O6" s="19" t="n">
        <f aca="false">N51</f>
        <v>0</v>
      </c>
      <c r="P6" s="19" t="n">
        <f aca="false">O51</f>
        <v>0</v>
      </c>
      <c r="Q6" s="19" t="n">
        <f aca="false">P51</f>
        <v>0</v>
      </c>
      <c r="R6" s="19" t="n">
        <f aca="false">Q51</f>
        <v>0</v>
      </c>
      <c r="S6" s="19" t="n">
        <f aca="false">R51</f>
        <v>0</v>
      </c>
      <c r="T6" s="19" t="n">
        <f aca="false">S51</f>
        <v>0</v>
      </c>
      <c r="U6" s="19" t="n">
        <f aca="false">T51</f>
        <v>0</v>
      </c>
      <c r="V6" s="19" t="n">
        <f aca="false">U51</f>
        <v>0</v>
      </c>
      <c r="W6" s="19" t="n">
        <f aca="false">V51</f>
        <v>0</v>
      </c>
      <c r="X6" s="19" t="n">
        <f aca="false">W51</f>
        <v>0</v>
      </c>
      <c r="Y6" s="19" t="n">
        <f aca="false">X51</f>
        <v>0</v>
      </c>
      <c r="Z6" s="19" t="n">
        <f aca="false">Y51</f>
        <v>0</v>
      </c>
      <c r="AA6" s="19" t="n">
        <f aca="false">Z51</f>
        <v>4.94604467235802</v>
      </c>
      <c r="AB6" s="19" t="n">
        <f aca="false">AA51</f>
        <v>15.6508124852035</v>
      </c>
      <c r="AC6" s="19" t="n">
        <f aca="false">AB51</f>
        <v>30.7829867094841</v>
      </c>
      <c r="AD6" s="19" t="n">
        <f aca="false">AC51</f>
        <v>44.6928759987661</v>
      </c>
      <c r="AE6" s="19" t="n">
        <f aca="false">AD51</f>
        <v>0</v>
      </c>
      <c r="AF6" s="19" t="n">
        <f aca="false">AE51</f>
        <v>0</v>
      </c>
      <c r="AG6" s="19" t="n">
        <f aca="false">AF51</f>
        <v>0</v>
      </c>
      <c r="AH6" s="19" t="n">
        <f aca="false">AG51</f>
        <v>0</v>
      </c>
      <c r="AI6" s="19" t="n">
        <f aca="false">AH51</f>
        <v>0</v>
      </c>
      <c r="AJ6" s="19" t="n">
        <f aca="false">AI51</f>
        <v>0</v>
      </c>
      <c r="AK6" s="19" t="n">
        <f aca="false">AJ51</f>
        <v>0</v>
      </c>
      <c r="AL6" s="19" t="n">
        <f aca="false">AK51</f>
        <v>0</v>
      </c>
      <c r="AM6" s="19" t="n">
        <f aca="false">AL51</f>
        <v>0</v>
      </c>
      <c r="AN6" s="19" t="n">
        <f aca="false">AM51</f>
        <v>0</v>
      </c>
      <c r="AO6" s="19" t="n">
        <f aca="false">AN51</f>
        <v>0</v>
      </c>
      <c r="AP6" s="19" t="n">
        <f aca="false">AO51</f>
        <v>0</v>
      </c>
      <c r="AQ6" s="19" t="n">
        <f aca="false">AP51</f>
        <v>0</v>
      </c>
      <c r="AR6" s="19" t="n">
        <f aca="false">AQ51</f>
        <v>0</v>
      </c>
      <c r="AS6" s="19" t="n">
        <f aca="false">AR51</f>
        <v>0</v>
      </c>
      <c r="AT6" s="19" t="n">
        <f aca="false">AS51</f>
        <v>0</v>
      </c>
      <c r="AU6" s="19" t="n">
        <f aca="false">AT51</f>
        <v>0</v>
      </c>
      <c r="AV6" s="19" t="n">
        <f aca="false">AU51</f>
        <v>0</v>
      </c>
      <c r="AW6" s="19" t="n">
        <f aca="false">AV51</f>
        <v>0</v>
      </c>
      <c r="AX6" s="19" t="n">
        <f aca="false">AW51</f>
        <v>0</v>
      </c>
      <c r="AY6" s="19" t="n">
        <f aca="false">AX51</f>
        <v>0</v>
      </c>
      <c r="AZ6" s="19" t="n">
        <f aca="false">AY51</f>
        <v>0</v>
      </c>
      <c r="BA6" s="19" t="n">
        <f aca="false">AZ51</f>
        <v>0</v>
      </c>
      <c r="BB6" s="19" t="n">
        <f aca="false">BA51</f>
        <v>0</v>
      </c>
      <c r="BC6" s="19" t="n">
        <f aca="false">BB51</f>
        <v>0</v>
      </c>
      <c r="BD6" s="19" t="n">
        <f aca="false">BC51</f>
        <v>0</v>
      </c>
      <c r="BE6" s="19" t="n">
        <f aca="false">BD51</f>
        <v>0</v>
      </c>
      <c r="BF6" s="19" t="n">
        <f aca="false">BE51</f>
        <v>0</v>
      </c>
      <c r="BG6" s="19" t="n">
        <f aca="false">BF51</f>
        <v>0</v>
      </c>
      <c r="BH6" s="19" t="n">
        <f aca="false">BG51</f>
        <v>0</v>
      </c>
      <c r="BI6" s="19" t="n">
        <f aca="false">BH51</f>
        <v>0</v>
      </c>
      <c r="BJ6" s="19" t="n">
        <f aca="false">BI51</f>
        <v>0</v>
      </c>
      <c r="BK6" s="19" t="n">
        <f aca="false">BJ51</f>
        <v>0</v>
      </c>
      <c r="BL6" s="19" t="n">
        <f aca="false">BK51</f>
        <v>0</v>
      </c>
      <c r="BM6" s="19" t="n">
        <f aca="false">BL51</f>
        <v>0</v>
      </c>
      <c r="BN6" s="19" t="n">
        <f aca="false">BM51</f>
        <v>0</v>
      </c>
      <c r="BO6" s="19" t="n">
        <f aca="false">BN51</f>
        <v>0</v>
      </c>
      <c r="BP6" s="19" t="n">
        <f aca="false">BO51</f>
        <v>0</v>
      </c>
      <c r="BQ6" s="19" t="n">
        <f aca="false">BP51</f>
        <v>0</v>
      </c>
      <c r="BR6" s="19" t="n">
        <f aca="false">BQ51</f>
        <v>0</v>
      </c>
      <c r="BS6" s="19" t="n">
        <f aca="false">BR51</f>
        <v>0</v>
      </c>
      <c r="BT6" s="19" t="n">
        <f aca="false">BS51</f>
        <v>0</v>
      </c>
      <c r="BU6" s="19" t="n">
        <f aca="false">BT51</f>
        <v>0</v>
      </c>
      <c r="BV6" s="19" t="n">
        <f aca="false">BU51</f>
        <v>0</v>
      </c>
      <c r="BW6" s="19" t="n">
        <f aca="false">BV51</f>
        <v>0</v>
      </c>
      <c r="BX6" s="19" t="n">
        <f aca="false">BW51</f>
        <v>0</v>
      </c>
      <c r="BY6" s="19" t="n">
        <f aca="false">BX51</f>
        <v>0</v>
      </c>
      <c r="BZ6" s="19" t="n">
        <f aca="false">BY51</f>
        <v>0</v>
      </c>
      <c r="CA6" s="19" t="n">
        <f aca="false">BZ51</f>
        <v>0</v>
      </c>
      <c r="CB6" s="19" t="n">
        <f aca="false">CA51</f>
        <v>0</v>
      </c>
      <c r="CC6" s="19" t="n">
        <f aca="false">CB51</f>
        <v>0</v>
      </c>
      <c r="CD6" s="19" t="n">
        <f aca="false">CC51</f>
        <v>0</v>
      </c>
      <c r="CE6" s="19" t="n">
        <f aca="false">CD51</f>
        <v>0</v>
      </c>
      <c r="CF6" s="19" t="n">
        <f aca="false">CE51</f>
        <v>0</v>
      </c>
      <c r="CG6" s="19" t="n">
        <f aca="false">CF51</f>
        <v>0</v>
      </c>
      <c r="CH6" s="19" t="n">
        <f aca="false">CG51</f>
        <v>0</v>
      </c>
      <c r="CI6" s="19" t="n">
        <f aca="false">CH51</f>
        <v>0</v>
      </c>
      <c r="CJ6" s="19" t="n">
        <f aca="false">CI51</f>
        <v>0</v>
      </c>
      <c r="CK6" s="19" t="n">
        <f aca="false">CJ51</f>
        <v>0</v>
      </c>
      <c r="CL6" s="19" t="n">
        <f aca="false">CK51</f>
        <v>0</v>
      </c>
      <c r="CM6" s="19" t="n">
        <f aca="false">CL51</f>
        <v>0</v>
      </c>
      <c r="CN6" s="19" t="n">
        <f aca="false">CM51</f>
        <v>0</v>
      </c>
      <c r="CO6" s="19" t="n">
        <f aca="false">CN51</f>
        <v>0</v>
      </c>
      <c r="CP6" s="19" t="n">
        <f aca="false">CO51</f>
        <v>0</v>
      </c>
      <c r="CQ6" s="19" t="n">
        <f aca="false">CP51</f>
        <v>0</v>
      </c>
      <c r="CR6" s="19" t="n">
        <f aca="false">CQ51</f>
        <v>0</v>
      </c>
      <c r="CS6" s="19" t="n">
        <f aca="false">CR51</f>
        <v>0</v>
      </c>
      <c r="CT6" s="19" t="n">
        <f aca="false">CS51</f>
        <v>0</v>
      </c>
      <c r="CU6" s="19" t="n">
        <f aca="false">CT51</f>
        <v>0</v>
      </c>
      <c r="CV6" s="19" t="n">
        <f aca="false">CU51</f>
        <v>0</v>
      </c>
      <c r="CW6" s="19" t="n">
        <f aca="false">CV51</f>
        <v>0</v>
      </c>
      <c r="CX6" s="19" t="n">
        <f aca="false">CW51</f>
        <v>0</v>
      </c>
      <c r="CY6" s="19" t="n">
        <f aca="false">CX51</f>
        <v>0</v>
      </c>
      <c r="CZ6" s="19" t="n">
        <f aca="false">CY51</f>
        <v>0</v>
      </c>
      <c r="DA6" s="19" t="n">
        <f aca="false">CZ51</f>
        <v>0</v>
      </c>
      <c r="DB6" s="19" t="n">
        <f aca="false">DA51</f>
        <v>0</v>
      </c>
    </row>
    <row r="7" customFormat="false" ht="15" hidden="false" customHeight="false" outlineLevel="0" collapsed="false">
      <c r="D7" s="0" t="s">
        <v>415</v>
      </c>
      <c r="E7" s="0" t="s">
        <v>44</v>
      </c>
      <c r="G7" s="19" t="n">
        <f aca="false">SUM(J7:DB7)</f>
        <v>6465.73527202665</v>
      </c>
      <c r="J7" s="29" t="n">
        <f aca="false">Operations!J48</f>
        <v>0</v>
      </c>
      <c r="K7" s="29" t="n">
        <f aca="false">Operations!K48</f>
        <v>0</v>
      </c>
      <c r="L7" s="29" t="n">
        <f aca="false">Operations!L48</f>
        <v>0</v>
      </c>
      <c r="M7" s="29" t="n">
        <f aca="false">Operations!M48</f>
        <v>0</v>
      </c>
      <c r="N7" s="29" t="n">
        <f aca="false">Operations!N48</f>
        <v>0</v>
      </c>
      <c r="O7" s="29" t="n">
        <f aca="false">Operations!O48</f>
        <v>0</v>
      </c>
      <c r="P7" s="29" t="n">
        <f aca="false">Operations!P48</f>
        <v>0</v>
      </c>
      <c r="Q7" s="29" t="n">
        <f aca="false">Operations!Q48</f>
        <v>0</v>
      </c>
      <c r="R7" s="29" t="n">
        <f aca="false">Operations!R48</f>
        <v>0</v>
      </c>
      <c r="S7" s="29" t="n">
        <f aca="false">Operations!S48</f>
        <v>0</v>
      </c>
      <c r="T7" s="29" t="n">
        <f aca="false">Operations!T48</f>
        <v>0</v>
      </c>
      <c r="U7" s="29" t="n">
        <f aca="false">Operations!U48</f>
        <v>0</v>
      </c>
      <c r="V7" s="29" t="n">
        <f aca="false">Operations!V48</f>
        <v>0</v>
      </c>
      <c r="W7" s="29" t="n">
        <f aca="false">Operations!W48</f>
        <v>0</v>
      </c>
      <c r="X7" s="29" t="n">
        <f aca="false">Operations!X48</f>
        <v>0</v>
      </c>
      <c r="Y7" s="29" t="n">
        <f aca="false">Operations!Y48</f>
        <v>0</v>
      </c>
      <c r="Z7" s="29" t="n">
        <f aca="false">Operations!Z48</f>
        <v>13.3688633669775</v>
      </c>
      <c r="AA7" s="29" t="n">
        <f aca="false">Operations!AA48</f>
        <v>30.0078043201198</v>
      </c>
      <c r="AB7" s="29" t="n">
        <f aca="false">Operations!AB48</f>
        <v>35.7067674601907</v>
      </c>
      <c r="AC7" s="29" t="n">
        <f aca="false">Operations!AC48</f>
        <v>37.6436558644639</v>
      </c>
      <c r="AD7" s="29" t="n">
        <f aca="false">Operations!AD48</f>
        <v>41.5005322947458</v>
      </c>
      <c r="AE7" s="29" t="n">
        <f aca="false">Operations!AE48</f>
        <v>43.7575640720232</v>
      </c>
      <c r="AF7" s="29" t="n">
        <f aca="false">Operations!AF48</f>
        <v>46.809980254985</v>
      </c>
      <c r="AG7" s="29" t="n">
        <f aca="false">Operations!AG48</f>
        <v>49.2257087401623</v>
      </c>
      <c r="AH7" s="29" t="n">
        <f aca="false">Operations!AH48</f>
        <v>50.1845616653847</v>
      </c>
      <c r="AI7" s="29" t="n">
        <f aca="false">Operations!AI48</f>
        <v>49.3619519094543</v>
      </c>
      <c r="AJ7" s="29" t="n">
        <f aca="false">Operations!AJ48</f>
        <v>50.6761233616812</v>
      </c>
      <c r="AK7" s="29" t="n">
        <f aca="false">Operations!AK48</f>
        <v>52.9509470961209</v>
      </c>
      <c r="AL7" s="29" t="n">
        <f aca="false">Operations!AL48</f>
        <v>54.0334759624056</v>
      </c>
      <c r="AM7" s="29" t="n">
        <f aca="false">Operations!AM48</f>
        <v>56.761309756952</v>
      </c>
      <c r="AN7" s="29" t="n">
        <f aca="false">Operations!AN48</f>
        <v>57.910089157488</v>
      </c>
      <c r="AO7" s="29" t="n">
        <f aca="false">Operations!AO48</f>
        <v>64.0172041325963</v>
      </c>
      <c r="AP7" s="29" t="n">
        <f aca="false">Operations!AP48</f>
        <v>65.2360404179162</v>
      </c>
      <c r="AQ7" s="29" t="n">
        <f aca="false">Operations!AQ48</f>
        <v>58.019044796834</v>
      </c>
      <c r="AR7" s="29" t="n">
        <f aca="false">Operations!AR48</f>
        <v>59.697225140304</v>
      </c>
      <c r="AS7" s="29" t="n">
        <f aca="false">Operations!AS48</f>
        <v>62.5980007899108</v>
      </c>
      <c r="AT7" s="29" t="n">
        <f aca="false">Operations!AT48</f>
        <v>63.9726197414392</v>
      </c>
      <c r="AU7" s="29" t="n">
        <f aca="false">Operations!AU48</f>
        <v>67.4529533238202</v>
      </c>
      <c r="AV7" s="29" t="n">
        <f aca="false">Operations!AV48</f>
        <v>68.9110274047114</v>
      </c>
      <c r="AW7" s="29" t="n">
        <f aca="false">Operations!AW48</f>
        <v>74.5865636661476</v>
      </c>
      <c r="AX7" s="29" t="n">
        <f aca="false">Operations!AX48</f>
        <v>75.1513112479582</v>
      </c>
      <c r="AY7" s="29" t="n">
        <f aca="false">Operations!AY48</f>
        <v>75.0578086767168</v>
      </c>
      <c r="AZ7" s="29" t="n">
        <f aca="false">Operations!AZ48</f>
        <v>76.1394779267271</v>
      </c>
      <c r="BA7" s="29" t="n">
        <f aca="false">Operations!BA48</f>
        <v>79.6520457853012</v>
      </c>
      <c r="BB7" s="29" t="n">
        <f aca="false">Operations!BB48</f>
        <v>80.27678446265</v>
      </c>
      <c r="BC7" s="29" t="n">
        <f aca="false">Operations!BC48</f>
        <v>92.7497959504098</v>
      </c>
      <c r="BD7" s="29" t="n">
        <f aca="false">Operations!BD48</f>
        <v>93.4048485247771</v>
      </c>
      <c r="BE7" s="29" t="n">
        <f aca="false">Operations!BE48</f>
        <v>101.735687415536</v>
      </c>
      <c r="BF7" s="29" t="n">
        <f aca="false">Operations!BF48</f>
        <v>102.425887903128</v>
      </c>
      <c r="BG7" s="29" t="n">
        <f aca="false">Operations!BG48</f>
        <v>107.03863868891</v>
      </c>
      <c r="BH7" s="29" t="n">
        <f aca="false">Operations!BH48</f>
        <v>108.358186634721</v>
      </c>
      <c r="BI7" s="29" t="n">
        <f aca="false">Operations!BI48</f>
        <v>112.627121762851</v>
      </c>
      <c r="BJ7" s="29" t="n">
        <f aca="false">Operations!BJ48</f>
        <v>113.388918362832</v>
      </c>
      <c r="BK7" s="29" t="n">
        <f aca="false">Operations!BK48</f>
        <v>118.517220647001</v>
      </c>
      <c r="BL7" s="29" t="n">
        <f aca="false">Operations!BL48</f>
        <v>119.319227424256</v>
      </c>
      <c r="BM7" s="29" t="n">
        <f aca="false">Operations!BM48</f>
        <v>124.674040554691</v>
      </c>
      <c r="BN7" s="29" t="n">
        <f aca="false">Operations!BN48</f>
        <v>125.514305123325</v>
      </c>
      <c r="BO7" s="29" t="n">
        <f aca="false">Operations!BO48</f>
        <v>112.552038371944</v>
      </c>
      <c r="BP7" s="29" t="n">
        <f aca="false">Operations!BP48</f>
        <v>114.166536065097</v>
      </c>
      <c r="BQ7" s="29" t="n">
        <f aca="false">Operations!BQ48</f>
        <v>102.351515148844</v>
      </c>
      <c r="BR7" s="29" t="n">
        <f aca="false">Operations!BR48</f>
        <v>92.3958776690488</v>
      </c>
      <c r="BS7" s="29" t="n">
        <f aca="false">Operations!BS48</f>
        <v>96.5230539802575</v>
      </c>
      <c r="BT7" s="29" t="n">
        <f aca="false">Operations!BT48</f>
        <v>95.6779040761689</v>
      </c>
      <c r="BU7" s="29" t="n">
        <f aca="false">Operations!BU48</f>
        <v>148.899430967449</v>
      </c>
      <c r="BV7" s="29" t="n">
        <f aca="false">Operations!BV48</f>
        <v>120.711745639381</v>
      </c>
      <c r="BW7" s="29" t="n">
        <f aca="false">Operations!BW48</f>
        <v>121.913531626981</v>
      </c>
      <c r="BX7" s="29" t="n">
        <f aca="false">Operations!BX48</f>
        <v>121.579602794457</v>
      </c>
      <c r="BY7" s="29" t="n">
        <f aca="false">Operations!BY48</f>
        <v>125.375758910204</v>
      </c>
      <c r="BZ7" s="29" t="n">
        <f aca="false">Operations!BZ48</f>
        <v>124.338711027284</v>
      </c>
      <c r="CA7" s="29" t="n">
        <f aca="false">Operations!CA48</f>
        <v>116.920715744122</v>
      </c>
      <c r="CB7" s="29" t="n">
        <f aca="false">Operations!CB48</f>
        <v>115.880559091473</v>
      </c>
      <c r="CC7" s="29" t="n">
        <f aca="false">Operations!CC48</f>
        <v>120.654035702137</v>
      </c>
      <c r="CD7" s="29" t="n">
        <f aca="false">Operations!CD48</f>
        <v>119.565634571733</v>
      </c>
      <c r="CE7" s="29" t="n">
        <f aca="false">Operations!CE48</f>
        <v>118.665771362771</v>
      </c>
      <c r="CF7" s="29" t="n">
        <f aca="false">Operations!CF48</f>
        <v>118.293983671019</v>
      </c>
      <c r="CG7" s="29" t="n">
        <f aca="false">Operations!CG48</f>
        <v>146.689084472723</v>
      </c>
      <c r="CH7" s="29" t="n">
        <f aca="false">Operations!CH48</f>
        <v>123.71386464887</v>
      </c>
      <c r="CI7" s="29" t="n">
        <f aca="false">Operations!CI48</f>
        <v>129.34838054512</v>
      </c>
      <c r="CJ7" s="29" t="n">
        <f aca="false">Operations!CJ48</f>
        <v>128.306126817846</v>
      </c>
      <c r="CK7" s="29" t="n">
        <f aca="false">Operations!CK48</f>
        <v>150.414944717452</v>
      </c>
      <c r="CL7" s="29" t="n">
        <f aca="false">Operations!CL48</f>
        <v>138.858143416961</v>
      </c>
      <c r="CM7" s="29" t="n">
        <f aca="false">Operations!CM48</f>
        <v>144.9175887513</v>
      </c>
      <c r="CN7" s="29" t="n">
        <f aca="false">Operations!CN48</f>
        <v>144.664489074489</v>
      </c>
      <c r="CO7" s="29" t="n">
        <f aca="false">Operations!CO48</f>
        <v>150.074260803195</v>
      </c>
      <c r="CP7" s="29" t="n">
        <f aca="false">Operations!CP48</f>
        <v>161.860660569695</v>
      </c>
      <c r="CQ7" s="29" t="n">
        <f aca="false">Operations!CQ48</f>
        <v>0</v>
      </c>
      <c r="CR7" s="29" t="n">
        <f aca="false">Operations!CR48</f>
        <v>0</v>
      </c>
      <c r="CS7" s="29" t="n">
        <f aca="false">Operations!CS48</f>
        <v>0</v>
      </c>
      <c r="CT7" s="29" t="n">
        <f aca="false">Operations!CT48</f>
        <v>0</v>
      </c>
      <c r="CU7" s="29" t="n">
        <f aca="false">Operations!CU48</f>
        <v>0</v>
      </c>
      <c r="CV7" s="29" t="n">
        <f aca="false">Operations!CV48</f>
        <v>0</v>
      </c>
      <c r="CW7" s="29" t="n">
        <f aca="false">Operations!CW48</f>
        <v>0</v>
      </c>
      <c r="CX7" s="29" t="n">
        <f aca="false">Operations!CX48</f>
        <v>0</v>
      </c>
      <c r="CY7" s="29" t="n">
        <f aca="false">Operations!CY48</f>
        <v>0</v>
      </c>
      <c r="CZ7" s="29" t="n">
        <f aca="false">Operations!CZ48</f>
        <v>0</v>
      </c>
      <c r="DA7" s="29" t="n">
        <f aca="false">Operations!DA48</f>
        <v>0</v>
      </c>
      <c r="DB7" s="29" t="n">
        <f aca="false">Operations!DB48</f>
        <v>0</v>
      </c>
    </row>
    <row r="8" customFormat="false" ht="15" hidden="false" customHeight="false" outlineLevel="0" collapsed="false">
      <c r="D8" s="0" t="s">
        <v>595</v>
      </c>
      <c r="E8" s="0" t="s">
        <v>44</v>
      </c>
      <c r="G8" s="19" t="n">
        <f aca="false">SUM(J8:DB8)</f>
        <v>20.2259264458606</v>
      </c>
      <c r="J8" s="29" t="n">
        <f aca="false">Debt!J39</f>
        <v>0</v>
      </c>
      <c r="K8" s="29" t="n">
        <f aca="false">Debt!K39</f>
        <v>0</v>
      </c>
      <c r="L8" s="29" t="n">
        <f aca="false">Debt!L39</f>
        <v>0</v>
      </c>
      <c r="M8" s="29" t="n">
        <f aca="false">Debt!M39</f>
        <v>0</v>
      </c>
      <c r="N8" s="29" t="n">
        <f aca="false">Debt!N39</f>
        <v>0</v>
      </c>
      <c r="O8" s="29" t="n">
        <f aca="false">Debt!O39</f>
        <v>0</v>
      </c>
      <c r="P8" s="29" t="n">
        <f aca="false">Debt!P39</f>
        <v>0</v>
      </c>
      <c r="Q8" s="29" t="n">
        <f aca="false">Debt!Q39</f>
        <v>0</v>
      </c>
      <c r="R8" s="29" t="n">
        <f aca="false">Debt!R39</f>
        <v>0</v>
      </c>
      <c r="S8" s="29" t="n">
        <f aca="false">Debt!S39</f>
        <v>0</v>
      </c>
      <c r="T8" s="29" t="n">
        <f aca="false">Debt!T39</f>
        <v>0</v>
      </c>
      <c r="U8" s="29" t="n">
        <f aca="false">Debt!U39</f>
        <v>0</v>
      </c>
      <c r="V8" s="29" t="n">
        <f aca="false">Debt!V39</f>
        <v>0</v>
      </c>
      <c r="W8" s="29" t="n">
        <f aca="false">Debt!W39</f>
        <v>0</v>
      </c>
      <c r="X8" s="29" t="n">
        <f aca="false">Debt!X39</f>
        <v>0</v>
      </c>
      <c r="Y8" s="29" t="n">
        <f aca="false">Debt!Y39</f>
        <v>0</v>
      </c>
      <c r="Z8" s="29" t="n">
        <f aca="false">Debt!Z39</f>
        <v>4.70870458287729</v>
      </c>
      <c r="AA8" s="29" t="n">
        <f aca="false">Debt!AA39</f>
        <v>8.06522077756791</v>
      </c>
      <c r="AB8" s="29" t="n">
        <f aca="false">Debt!AB39</f>
        <v>4.09445721388988</v>
      </c>
      <c r="AC8" s="29" t="n">
        <f aca="false">Debt!AC39</f>
        <v>3.35754387152552</v>
      </c>
      <c r="AD8" s="29" t="n">
        <f aca="false">Debt!AD39</f>
        <v>0</v>
      </c>
      <c r="AE8" s="29" t="n">
        <f aca="false">Debt!AE39</f>
        <v>0</v>
      </c>
      <c r="AF8" s="29" t="n">
        <f aca="false">Debt!AF39</f>
        <v>0</v>
      </c>
      <c r="AG8" s="29" t="n">
        <f aca="false">Debt!AG39</f>
        <v>0</v>
      </c>
      <c r="AH8" s="29" t="n">
        <f aca="false">Debt!AH39</f>
        <v>0</v>
      </c>
      <c r="AI8" s="29" t="n">
        <f aca="false">Debt!AI39</f>
        <v>0</v>
      </c>
      <c r="AJ8" s="29" t="n">
        <f aca="false">Debt!AJ39</f>
        <v>0</v>
      </c>
      <c r="AK8" s="29" t="n">
        <f aca="false">Debt!AK39</f>
        <v>0</v>
      </c>
      <c r="AL8" s="29" t="n">
        <f aca="false">Debt!AL39</f>
        <v>0</v>
      </c>
      <c r="AM8" s="29" t="n">
        <f aca="false">Debt!AM39</f>
        <v>0</v>
      </c>
      <c r="AN8" s="29" t="n">
        <f aca="false">Debt!AN39</f>
        <v>0</v>
      </c>
      <c r="AO8" s="29" t="n">
        <f aca="false">Debt!AO39</f>
        <v>0</v>
      </c>
      <c r="AP8" s="29" t="n">
        <f aca="false">Debt!AP39</f>
        <v>0</v>
      </c>
      <c r="AQ8" s="29" t="n">
        <f aca="false">Debt!AQ39</f>
        <v>0</v>
      </c>
      <c r="AR8" s="29" t="n">
        <f aca="false">Debt!AR39</f>
        <v>0</v>
      </c>
      <c r="AS8" s="29" t="n">
        <f aca="false">Debt!AS39</f>
        <v>0</v>
      </c>
      <c r="AT8" s="29" t="n">
        <f aca="false">Debt!AT39</f>
        <v>0</v>
      </c>
      <c r="AU8" s="29" t="n">
        <f aca="false">Debt!AU39</f>
        <v>0</v>
      </c>
      <c r="AV8" s="29" t="n">
        <f aca="false">Debt!AV39</f>
        <v>0</v>
      </c>
      <c r="AW8" s="29" t="n">
        <f aca="false">Debt!AW39</f>
        <v>0</v>
      </c>
      <c r="AX8" s="29" t="n">
        <f aca="false">Debt!AX39</f>
        <v>0</v>
      </c>
      <c r="AY8" s="29" t="n">
        <f aca="false">Debt!AY39</f>
        <v>0</v>
      </c>
      <c r="AZ8" s="29" t="n">
        <f aca="false">Debt!AZ39</f>
        <v>0</v>
      </c>
      <c r="BA8" s="29" t="n">
        <f aca="false">Debt!BA39</f>
        <v>0</v>
      </c>
      <c r="BB8" s="29" t="n">
        <f aca="false">Debt!BB39</f>
        <v>0</v>
      </c>
      <c r="BC8" s="29" t="n">
        <f aca="false">Debt!BC39</f>
        <v>0</v>
      </c>
      <c r="BD8" s="29" t="n">
        <f aca="false">Debt!BD39</f>
        <v>0</v>
      </c>
      <c r="BE8" s="29" t="n">
        <f aca="false">Debt!BE39</f>
        <v>0</v>
      </c>
      <c r="BF8" s="29" t="n">
        <f aca="false">Debt!BF39</f>
        <v>0</v>
      </c>
      <c r="BG8" s="29" t="n">
        <f aca="false">Debt!BG39</f>
        <v>0</v>
      </c>
      <c r="BH8" s="29" t="n">
        <f aca="false">Debt!BH39</f>
        <v>0</v>
      </c>
      <c r="BI8" s="29" t="n">
        <f aca="false">Debt!BI39</f>
        <v>0</v>
      </c>
      <c r="BJ8" s="29" t="n">
        <f aca="false">Debt!BJ39</f>
        <v>0</v>
      </c>
      <c r="BK8" s="29" t="n">
        <f aca="false">Debt!BK39</f>
        <v>0</v>
      </c>
      <c r="BL8" s="29" t="n">
        <f aca="false">Debt!BL39</f>
        <v>0</v>
      </c>
      <c r="BM8" s="29" t="n">
        <f aca="false">Debt!BM39</f>
        <v>0</v>
      </c>
      <c r="BN8" s="29" t="n">
        <f aca="false">Debt!BN39</f>
        <v>0</v>
      </c>
      <c r="BO8" s="29" t="n">
        <f aca="false">Debt!BO39</f>
        <v>0</v>
      </c>
      <c r="BP8" s="29" t="n">
        <f aca="false">Debt!BP39</f>
        <v>0</v>
      </c>
      <c r="BQ8" s="29" t="n">
        <f aca="false">Debt!BQ39</f>
        <v>0</v>
      </c>
      <c r="BR8" s="29" t="n">
        <f aca="false">Debt!BR39</f>
        <v>0</v>
      </c>
      <c r="BS8" s="29" t="n">
        <f aca="false">Debt!BS39</f>
        <v>0</v>
      </c>
      <c r="BT8" s="29" t="n">
        <f aca="false">Debt!BT39</f>
        <v>0</v>
      </c>
      <c r="BU8" s="29" t="n">
        <f aca="false">Debt!BU39</f>
        <v>0</v>
      </c>
      <c r="BV8" s="29" t="n">
        <f aca="false">Debt!BV39</f>
        <v>0</v>
      </c>
      <c r="BW8" s="29" t="n">
        <f aca="false">Debt!BW39</f>
        <v>0</v>
      </c>
      <c r="BX8" s="29" t="n">
        <f aca="false">Debt!BX39</f>
        <v>0</v>
      </c>
      <c r="BY8" s="29" t="n">
        <f aca="false">Debt!BY39</f>
        <v>0</v>
      </c>
      <c r="BZ8" s="29" t="n">
        <f aca="false">Debt!BZ39</f>
        <v>0</v>
      </c>
      <c r="CA8" s="29" t="n">
        <f aca="false">Debt!CA39</f>
        <v>0</v>
      </c>
      <c r="CB8" s="29" t="n">
        <f aca="false">Debt!CB39</f>
        <v>0</v>
      </c>
      <c r="CC8" s="29" t="n">
        <f aca="false">Debt!CC39</f>
        <v>0</v>
      </c>
      <c r="CD8" s="29" t="n">
        <f aca="false">Debt!CD39</f>
        <v>0</v>
      </c>
      <c r="CE8" s="29" t="n">
        <f aca="false">Debt!CE39</f>
        <v>0</v>
      </c>
      <c r="CF8" s="29" t="n">
        <f aca="false">Debt!CF39</f>
        <v>0</v>
      </c>
      <c r="CG8" s="29" t="n">
        <f aca="false">Debt!CG39</f>
        <v>0</v>
      </c>
      <c r="CH8" s="29" t="n">
        <f aca="false">Debt!CH39</f>
        <v>0</v>
      </c>
      <c r="CI8" s="29" t="n">
        <f aca="false">Debt!CI39</f>
        <v>0</v>
      </c>
      <c r="CJ8" s="29" t="n">
        <f aca="false">Debt!CJ39</f>
        <v>0</v>
      </c>
      <c r="CK8" s="29" t="n">
        <f aca="false">Debt!CK39</f>
        <v>0</v>
      </c>
      <c r="CL8" s="29" t="n">
        <f aca="false">Debt!CL39</f>
        <v>0</v>
      </c>
      <c r="CM8" s="29" t="n">
        <f aca="false">Debt!CM39</f>
        <v>0</v>
      </c>
      <c r="CN8" s="29" t="n">
        <f aca="false">Debt!CN39</f>
        <v>0</v>
      </c>
      <c r="CO8" s="29" t="n">
        <f aca="false">Debt!CO39</f>
        <v>0</v>
      </c>
      <c r="CP8" s="29" t="n">
        <f aca="false">Debt!CP39</f>
        <v>0</v>
      </c>
      <c r="CQ8" s="29" t="n">
        <f aca="false">Debt!CQ39</f>
        <v>0</v>
      </c>
      <c r="CR8" s="29" t="n">
        <f aca="false">Debt!CR39</f>
        <v>0</v>
      </c>
      <c r="CS8" s="29" t="n">
        <f aca="false">Debt!CS39</f>
        <v>0</v>
      </c>
      <c r="CT8" s="29" t="n">
        <f aca="false">Debt!CT39</f>
        <v>0</v>
      </c>
      <c r="CU8" s="29" t="n">
        <f aca="false">Debt!CU39</f>
        <v>0</v>
      </c>
      <c r="CV8" s="29" t="n">
        <f aca="false">Debt!CV39</f>
        <v>0</v>
      </c>
      <c r="CW8" s="29" t="n">
        <f aca="false">Debt!CW39</f>
        <v>0</v>
      </c>
      <c r="CX8" s="29" t="n">
        <f aca="false">Debt!CX39</f>
        <v>0</v>
      </c>
      <c r="CY8" s="29" t="n">
        <f aca="false">Debt!CY39</f>
        <v>0</v>
      </c>
      <c r="CZ8" s="29" t="n">
        <f aca="false">Debt!CZ39</f>
        <v>0</v>
      </c>
      <c r="DA8" s="29" t="n">
        <f aca="false">Debt!DA39</f>
        <v>0</v>
      </c>
      <c r="DB8" s="29" t="n">
        <f aca="false">Debt!DB39</f>
        <v>0</v>
      </c>
    </row>
    <row r="9" customFormat="false" ht="15" hidden="false" customHeight="false" outlineLevel="0" collapsed="false">
      <c r="D9" s="0" t="s">
        <v>596</v>
      </c>
      <c r="E9" s="0" t="s">
        <v>44</v>
      </c>
      <c r="G9" s="19" t="n">
        <f aca="false">SUM(J9:DB9)</f>
        <v>0</v>
      </c>
      <c r="J9" s="19" t="n">
        <f aca="false">Inputs!$F$213*IFERROR(INDEX(Inputs!$J$264:$K$264,MATCH(Time!J13,Inputs!$J$263:$K$263,0)),0)</f>
        <v>0</v>
      </c>
      <c r="K9" s="19" t="n">
        <f aca="false">Inputs!$F$213*IFERROR(INDEX(Inputs!$J$264:$K$264,MATCH(Time!K13,Inputs!$J$263:$K$263,0)),0)</f>
        <v>0</v>
      </c>
      <c r="L9" s="19" t="n">
        <f aca="false">Inputs!$F$213*IFERROR(INDEX(Inputs!$J$264:$K$264,MATCH(Time!L13,Inputs!$J$263:$K$263,0)),0)</f>
        <v>0</v>
      </c>
      <c r="M9" s="19" t="n">
        <f aca="false">Inputs!$F$213*IFERROR(INDEX(Inputs!$J$264:$K$264,MATCH(Time!M13,Inputs!$J$263:$K$263,0)),0)</f>
        <v>0</v>
      </c>
      <c r="N9" s="19" t="n">
        <f aca="false">Inputs!$F$213*IFERROR(INDEX(Inputs!$J$264:$K$264,MATCH(Time!N13,Inputs!$J$263:$K$263,0)),0)</f>
        <v>0</v>
      </c>
      <c r="O9" s="19" t="n">
        <f aca="false">Inputs!$F$213*IFERROR(INDEX(Inputs!$J$264:$K$264,MATCH(Time!O13,Inputs!$J$263:$K$263,0)),0)</f>
        <v>0</v>
      </c>
      <c r="P9" s="19" t="n">
        <f aca="false">Inputs!$F$213*IFERROR(INDEX(Inputs!$J$264:$K$264,MATCH(Time!P13,Inputs!$J$263:$K$263,0)),0)</f>
        <v>0</v>
      </c>
      <c r="Q9" s="19" t="n">
        <f aca="false">Inputs!$F$213*IFERROR(INDEX(Inputs!$J$264:$K$264,MATCH(Time!Q13,Inputs!$J$263:$K$263,0)),0)</f>
        <v>0</v>
      </c>
      <c r="R9" s="19" t="n">
        <f aca="false">Inputs!$F$213*IFERROR(INDEX(Inputs!$J$264:$K$264,MATCH(Time!R13,Inputs!$J$263:$K$263,0)),0)</f>
        <v>0</v>
      </c>
      <c r="S9" s="19" t="n">
        <f aca="false">Inputs!$F$213*IFERROR(INDEX(Inputs!$J$264:$K$264,MATCH(Time!S13,Inputs!$J$263:$K$263,0)),0)</f>
        <v>0</v>
      </c>
      <c r="T9" s="19" t="n">
        <f aca="false">Inputs!$F$213*IFERROR(INDEX(Inputs!$J$264:$K$264,MATCH(Time!T13,Inputs!$J$263:$K$263,0)),0)</f>
        <v>0</v>
      </c>
      <c r="U9" s="19" t="n">
        <f aca="false">Inputs!$F$213*IFERROR(INDEX(Inputs!$J$264:$K$264,MATCH(Time!U13,Inputs!$J$263:$K$263,0)),0)</f>
        <v>0</v>
      </c>
      <c r="V9" s="19" t="n">
        <f aca="false">Inputs!$F$213*IFERROR(INDEX(Inputs!$J$264:$K$264,MATCH(Time!V13,Inputs!$J$263:$K$263,0)),0)</f>
        <v>0</v>
      </c>
      <c r="W9" s="19" t="n">
        <f aca="false">Inputs!$F$213*IFERROR(INDEX(Inputs!$J$264:$K$264,MATCH(Time!W13,Inputs!$J$263:$K$263,0)),0)</f>
        <v>0</v>
      </c>
      <c r="X9" s="19" t="n">
        <f aca="false">Inputs!$F$213*IFERROR(INDEX(Inputs!$J$264:$K$264,MATCH(Time!X13,Inputs!$J$263:$K$263,0)),0)</f>
        <v>0</v>
      </c>
      <c r="Y9" s="19" t="n">
        <f aca="false">Inputs!$F$213*IFERROR(INDEX(Inputs!$J$264:$K$264,MATCH(Time!Y13,Inputs!$J$263:$K$263,0)),0)</f>
        <v>0</v>
      </c>
      <c r="Z9" s="19" t="n">
        <f aca="false">Inputs!$F$213*IFERROR(INDEX(Inputs!$J$264:$K$264,MATCH(Time!Z13,Inputs!$J$263:$K$263,0)),0)</f>
        <v>0</v>
      </c>
      <c r="AA9" s="19" t="n">
        <f aca="false">Inputs!$F$213*IFERROR(INDEX(Inputs!$J$264:$K$264,MATCH(Time!AA13,Inputs!$J$263:$K$263,0)),0)</f>
        <v>0</v>
      </c>
      <c r="AB9" s="19" t="n">
        <f aca="false">Inputs!$F$213*IFERROR(INDEX(Inputs!$J$264:$K$264,MATCH(Time!AB13,Inputs!$J$263:$K$263,0)),0)</f>
        <v>0</v>
      </c>
      <c r="AC9" s="19" t="n">
        <f aca="false">Inputs!$F$213*IFERROR(INDEX(Inputs!$J$264:$K$264,MATCH(Time!AC13,Inputs!$J$263:$K$263,0)),0)</f>
        <v>0</v>
      </c>
      <c r="AD9" s="19" t="n">
        <f aca="false">Inputs!$F$213*IFERROR(INDEX(Inputs!$J$264:$K$264,MATCH(Time!AD13,Inputs!$J$263:$K$263,0)),0)</f>
        <v>0</v>
      </c>
      <c r="AE9" s="19" t="n">
        <f aca="false">Inputs!$F$213*IFERROR(INDEX(Inputs!$J$264:$K$264,MATCH(Time!AE13,Inputs!$J$263:$K$263,0)),0)</f>
        <v>0</v>
      </c>
      <c r="AF9" s="19" t="n">
        <f aca="false">Inputs!$F$213*IFERROR(INDEX(Inputs!$J$264:$K$264,MATCH(Time!AF13,Inputs!$J$263:$K$263,0)),0)</f>
        <v>0</v>
      </c>
      <c r="AG9" s="19" t="n">
        <f aca="false">Inputs!$F$213*IFERROR(INDEX(Inputs!$J$264:$K$264,MATCH(Time!AG13,Inputs!$J$263:$K$263,0)),0)</f>
        <v>0</v>
      </c>
      <c r="AH9" s="19" t="n">
        <f aca="false">Inputs!$F$213*IFERROR(INDEX(Inputs!$J$264:$K$264,MATCH(Time!AH13,Inputs!$J$263:$K$263,0)),0)</f>
        <v>0</v>
      </c>
      <c r="AI9" s="19" t="n">
        <f aca="false">Inputs!$F$213*IFERROR(INDEX(Inputs!$J$264:$K$264,MATCH(Time!AI13,Inputs!$J$263:$K$263,0)),0)</f>
        <v>0</v>
      </c>
      <c r="AJ9" s="19" t="n">
        <f aca="false">Inputs!$F$213*IFERROR(INDEX(Inputs!$J$264:$K$264,MATCH(Time!AJ13,Inputs!$J$263:$K$263,0)),0)</f>
        <v>0</v>
      </c>
      <c r="AK9" s="19" t="n">
        <f aca="false">Inputs!$F$213*IFERROR(INDEX(Inputs!$J$264:$K$264,MATCH(Time!AK13,Inputs!$J$263:$K$263,0)),0)</f>
        <v>0</v>
      </c>
      <c r="AL9" s="19" t="n">
        <f aca="false">Inputs!$F$213*IFERROR(INDEX(Inputs!$J$264:$K$264,MATCH(Time!AL13,Inputs!$J$263:$K$263,0)),0)</f>
        <v>0</v>
      </c>
      <c r="AM9" s="19" t="n">
        <f aca="false">Inputs!$F$213*IFERROR(INDEX(Inputs!$J$264:$K$264,MATCH(Time!AM13,Inputs!$J$263:$K$263,0)),0)</f>
        <v>0</v>
      </c>
      <c r="AN9" s="19" t="n">
        <f aca="false">Inputs!$F$213*IFERROR(INDEX(Inputs!$J$264:$K$264,MATCH(Time!AN13,Inputs!$J$263:$K$263,0)),0)</f>
        <v>0</v>
      </c>
      <c r="AO9" s="19" t="n">
        <f aca="false">Inputs!$F$213*IFERROR(INDEX(Inputs!$J$264:$K$264,MATCH(Time!AO13,Inputs!$J$263:$K$263,0)),0)</f>
        <v>0</v>
      </c>
      <c r="AP9" s="19" t="n">
        <f aca="false">Inputs!$F$213*IFERROR(INDEX(Inputs!$J$264:$K$264,MATCH(Time!AP13,Inputs!$J$263:$K$263,0)),0)</f>
        <v>0</v>
      </c>
      <c r="AQ9" s="19" t="n">
        <f aca="false">Inputs!$F$213*IFERROR(INDEX(Inputs!$J$264:$K$264,MATCH(Time!AQ13,Inputs!$J$263:$K$263,0)),0)</f>
        <v>0</v>
      </c>
      <c r="AR9" s="19" t="n">
        <f aca="false">Inputs!$F$213*IFERROR(INDEX(Inputs!$J$264:$K$264,MATCH(Time!AR13,Inputs!$J$263:$K$263,0)),0)</f>
        <v>0</v>
      </c>
      <c r="AS9" s="19" t="n">
        <f aca="false">Inputs!$F$213*IFERROR(INDEX(Inputs!$J$264:$K$264,MATCH(Time!AS13,Inputs!$J$263:$K$263,0)),0)</f>
        <v>0</v>
      </c>
      <c r="AT9" s="19" t="n">
        <f aca="false">Inputs!$F$213*IFERROR(INDEX(Inputs!$J$264:$K$264,MATCH(Time!AT13,Inputs!$J$263:$K$263,0)),0)</f>
        <v>0</v>
      </c>
      <c r="AU9" s="19" t="n">
        <f aca="false">Inputs!$F$213*IFERROR(INDEX(Inputs!$J$264:$K$264,MATCH(Time!AU13,Inputs!$J$263:$K$263,0)),0)</f>
        <v>0</v>
      </c>
      <c r="AV9" s="19" t="n">
        <f aca="false">Inputs!$F$213*IFERROR(INDEX(Inputs!$J$264:$K$264,MATCH(Time!AV13,Inputs!$J$263:$K$263,0)),0)</f>
        <v>0</v>
      </c>
      <c r="AW9" s="19" t="n">
        <f aca="false">Inputs!$F$213*IFERROR(INDEX(Inputs!$J$264:$K$264,MATCH(Time!AW13,Inputs!$J$263:$K$263,0)),0)</f>
        <v>0</v>
      </c>
      <c r="AX9" s="19" t="n">
        <f aca="false">Inputs!$F$213*IFERROR(INDEX(Inputs!$J$264:$K$264,MATCH(Time!AX13,Inputs!$J$263:$K$263,0)),0)</f>
        <v>0</v>
      </c>
      <c r="AY9" s="19" t="n">
        <f aca="false">Inputs!$F$213*IFERROR(INDEX(Inputs!$J$264:$K$264,MATCH(Time!AY13,Inputs!$J$263:$K$263,0)),0)</f>
        <v>0</v>
      </c>
      <c r="AZ9" s="19" t="n">
        <f aca="false">Inputs!$F$213*IFERROR(INDEX(Inputs!$J$264:$K$264,MATCH(Time!AZ13,Inputs!$J$263:$K$263,0)),0)</f>
        <v>0</v>
      </c>
      <c r="BA9" s="19" t="n">
        <f aca="false">Inputs!$F$213*IFERROR(INDEX(Inputs!$J$264:$K$264,MATCH(Time!BA13,Inputs!$J$263:$K$263,0)),0)</f>
        <v>0</v>
      </c>
      <c r="BB9" s="19" t="n">
        <f aca="false">Inputs!$F$213*IFERROR(INDEX(Inputs!$J$264:$K$264,MATCH(Time!BB13,Inputs!$J$263:$K$263,0)),0)</f>
        <v>0</v>
      </c>
      <c r="BC9" s="19" t="n">
        <f aca="false">Inputs!$F$213*IFERROR(INDEX(Inputs!$J$264:$K$264,MATCH(Time!BC13,Inputs!$J$263:$K$263,0)),0)</f>
        <v>0</v>
      </c>
      <c r="BD9" s="19" t="n">
        <f aca="false">Inputs!$F$213*IFERROR(INDEX(Inputs!$J$264:$K$264,MATCH(Time!BD13,Inputs!$J$263:$K$263,0)),0)</f>
        <v>0</v>
      </c>
      <c r="BE9" s="19" t="n">
        <f aca="false">Inputs!$F$213*IFERROR(INDEX(Inputs!$J$264:$K$264,MATCH(Time!BE13,Inputs!$J$263:$K$263,0)),0)</f>
        <v>0</v>
      </c>
      <c r="BF9" s="19" t="n">
        <f aca="false">Inputs!$F$213*IFERROR(INDEX(Inputs!$J$264:$K$264,MATCH(Time!BF13,Inputs!$J$263:$K$263,0)),0)</f>
        <v>0</v>
      </c>
      <c r="BG9" s="19" t="n">
        <f aca="false">Inputs!$F$213*IFERROR(INDEX(Inputs!$J$264:$K$264,MATCH(Time!BG13,Inputs!$J$263:$K$263,0)),0)</f>
        <v>0</v>
      </c>
      <c r="BH9" s="19" t="n">
        <f aca="false">Inputs!$F$213*IFERROR(INDEX(Inputs!$J$264:$K$264,MATCH(Time!BH13,Inputs!$J$263:$K$263,0)),0)</f>
        <v>0</v>
      </c>
      <c r="BI9" s="19" t="n">
        <f aca="false">Inputs!$F$213*IFERROR(INDEX(Inputs!$J$264:$K$264,MATCH(Time!BI13,Inputs!$J$263:$K$263,0)),0)</f>
        <v>0</v>
      </c>
      <c r="BJ9" s="19" t="n">
        <f aca="false">Inputs!$F$213*IFERROR(INDEX(Inputs!$J$264:$K$264,MATCH(Time!BJ13,Inputs!$J$263:$K$263,0)),0)</f>
        <v>0</v>
      </c>
      <c r="BK9" s="19" t="n">
        <f aca="false">Inputs!$F$213*IFERROR(INDEX(Inputs!$J$264:$K$264,MATCH(Time!BK13,Inputs!$J$263:$K$263,0)),0)</f>
        <v>0</v>
      </c>
      <c r="BL9" s="19" t="n">
        <f aca="false">Inputs!$F$213*IFERROR(INDEX(Inputs!$J$264:$K$264,MATCH(Time!BL13,Inputs!$J$263:$K$263,0)),0)</f>
        <v>0</v>
      </c>
      <c r="BM9" s="19" t="n">
        <f aca="false">Inputs!$F$213*IFERROR(INDEX(Inputs!$J$264:$K$264,MATCH(Time!BM13,Inputs!$J$263:$K$263,0)),0)</f>
        <v>0</v>
      </c>
      <c r="BN9" s="19" t="n">
        <f aca="false">Inputs!$F$213*IFERROR(INDEX(Inputs!$J$264:$K$264,MATCH(Time!BN13,Inputs!$J$263:$K$263,0)),0)</f>
        <v>0</v>
      </c>
      <c r="BO9" s="19" t="n">
        <f aca="false">Inputs!$F$213*IFERROR(INDEX(Inputs!$J$264:$K$264,MATCH(Time!BO13,Inputs!$J$263:$K$263,0)),0)</f>
        <v>0</v>
      </c>
      <c r="BP9" s="19" t="n">
        <f aca="false">Inputs!$F$213*IFERROR(INDEX(Inputs!$J$264:$K$264,MATCH(Time!BP13,Inputs!$J$263:$K$263,0)),0)</f>
        <v>0</v>
      </c>
      <c r="BQ9" s="19" t="n">
        <f aca="false">Inputs!$F$213*IFERROR(INDEX(Inputs!$J$264:$K$264,MATCH(Time!BQ13,Inputs!$J$263:$K$263,0)),0)</f>
        <v>0</v>
      </c>
      <c r="BR9" s="19" t="n">
        <f aca="false">Inputs!$F$213*IFERROR(INDEX(Inputs!$J$264:$K$264,MATCH(Time!BR13,Inputs!$J$263:$K$263,0)),0)</f>
        <v>0</v>
      </c>
      <c r="BS9" s="19" t="n">
        <f aca="false">Inputs!$F$213*IFERROR(INDEX(Inputs!$J$264:$K$264,MATCH(Time!BS13,Inputs!$J$263:$K$263,0)),0)</f>
        <v>0</v>
      </c>
      <c r="BT9" s="19" t="n">
        <f aca="false">Inputs!$F$213*IFERROR(INDEX(Inputs!$J$264:$K$264,MATCH(Time!BT13,Inputs!$J$263:$K$263,0)),0)</f>
        <v>0</v>
      </c>
      <c r="BU9" s="19" t="n">
        <f aca="false">Inputs!$F$213*IFERROR(INDEX(Inputs!$J$264:$K$264,MATCH(Time!BU13,Inputs!$J$263:$K$263,0)),0)</f>
        <v>0</v>
      </c>
      <c r="BV9" s="19" t="n">
        <f aca="false">Inputs!$F$213*IFERROR(INDEX(Inputs!$J$264:$K$264,MATCH(Time!BV13,Inputs!$J$263:$K$263,0)),0)</f>
        <v>0</v>
      </c>
      <c r="BW9" s="19" t="n">
        <f aca="false">Inputs!$F$213*IFERROR(INDEX(Inputs!$J$264:$K$264,MATCH(Time!BW13,Inputs!$J$263:$K$263,0)),0)</f>
        <v>0</v>
      </c>
      <c r="BX9" s="19" t="n">
        <f aca="false">Inputs!$F$213*IFERROR(INDEX(Inputs!$J$264:$K$264,MATCH(Time!BX13,Inputs!$J$263:$K$263,0)),0)</f>
        <v>0</v>
      </c>
      <c r="BY9" s="19" t="n">
        <f aca="false">Inputs!$F$213*IFERROR(INDEX(Inputs!$J$264:$K$264,MATCH(Time!BY13,Inputs!$J$263:$K$263,0)),0)</f>
        <v>0</v>
      </c>
      <c r="BZ9" s="19" t="n">
        <f aca="false">Inputs!$F$213*IFERROR(INDEX(Inputs!$J$264:$K$264,MATCH(Time!BZ13,Inputs!$J$263:$K$263,0)),0)</f>
        <v>0</v>
      </c>
      <c r="CA9" s="19" t="n">
        <f aca="false">Inputs!$F$213*IFERROR(INDEX(Inputs!$J$264:$K$264,MATCH(Time!CA13,Inputs!$J$263:$K$263,0)),0)</f>
        <v>0</v>
      </c>
      <c r="CB9" s="19" t="n">
        <f aca="false">Inputs!$F$213*IFERROR(INDEX(Inputs!$J$264:$K$264,MATCH(Time!CB13,Inputs!$J$263:$K$263,0)),0)</f>
        <v>0</v>
      </c>
      <c r="CC9" s="19" t="n">
        <f aca="false">Inputs!$F$213*IFERROR(INDEX(Inputs!$J$264:$K$264,MATCH(Time!CC13,Inputs!$J$263:$K$263,0)),0)</f>
        <v>0</v>
      </c>
      <c r="CD9" s="19" t="n">
        <f aca="false">Inputs!$F$213*IFERROR(INDEX(Inputs!$J$264:$K$264,MATCH(Time!CD13,Inputs!$J$263:$K$263,0)),0)</f>
        <v>0</v>
      </c>
      <c r="CE9" s="19" t="n">
        <f aca="false">Inputs!$F$213*IFERROR(INDEX(Inputs!$J$264:$K$264,MATCH(Time!CE13,Inputs!$J$263:$K$263,0)),0)</f>
        <v>0</v>
      </c>
      <c r="CF9" s="19" t="n">
        <f aca="false">Inputs!$F$213*IFERROR(INDEX(Inputs!$J$264:$K$264,MATCH(Time!CF13,Inputs!$J$263:$K$263,0)),0)</f>
        <v>0</v>
      </c>
      <c r="CG9" s="19" t="n">
        <f aca="false">Inputs!$F$213*IFERROR(INDEX(Inputs!$J$264:$K$264,MATCH(Time!CG13,Inputs!$J$263:$K$263,0)),0)</f>
        <v>0</v>
      </c>
      <c r="CH9" s="19" t="n">
        <f aca="false">Inputs!$F$213*IFERROR(INDEX(Inputs!$J$264:$K$264,MATCH(Time!CH13,Inputs!$J$263:$K$263,0)),0)</f>
        <v>0</v>
      </c>
      <c r="CI9" s="19" t="n">
        <f aca="false">Inputs!$F$213*IFERROR(INDEX(Inputs!$J$264:$K$264,MATCH(Time!CI13,Inputs!$J$263:$K$263,0)),0)</f>
        <v>0</v>
      </c>
      <c r="CJ9" s="19" t="n">
        <f aca="false">Inputs!$F$213*IFERROR(INDEX(Inputs!$J$264:$K$264,MATCH(Time!CJ13,Inputs!$J$263:$K$263,0)),0)</f>
        <v>0</v>
      </c>
      <c r="CK9" s="19" t="n">
        <f aca="false">Inputs!$F$213*IFERROR(INDEX(Inputs!$J$264:$K$264,MATCH(Time!CK13,Inputs!$J$263:$K$263,0)),0)</f>
        <v>0</v>
      </c>
      <c r="CL9" s="19" t="n">
        <f aca="false">Inputs!$F$213*IFERROR(INDEX(Inputs!$J$264:$K$264,MATCH(Time!CL13,Inputs!$J$263:$K$263,0)),0)</f>
        <v>0</v>
      </c>
      <c r="CM9" s="19" t="n">
        <f aca="false">Inputs!$F$213*IFERROR(INDEX(Inputs!$J$264:$K$264,MATCH(Time!CM13,Inputs!$J$263:$K$263,0)),0)</f>
        <v>0</v>
      </c>
      <c r="CN9" s="19" t="n">
        <f aca="false">Inputs!$F$213*IFERROR(INDEX(Inputs!$J$264:$K$264,MATCH(Time!CN13,Inputs!$J$263:$K$263,0)),0)</f>
        <v>0</v>
      </c>
      <c r="CO9" s="19" t="n">
        <f aca="false">Inputs!$F$213*IFERROR(INDEX(Inputs!$J$264:$K$264,MATCH(Time!CO13,Inputs!$J$263:$K$263,0)),0)</f>
        <v>0</v>
      </c>
      <c r="CP9" s="19" t="n">
        <f aca="false">Inputs!$F$213*IFERROR(INDEX(Inputs!$J$264:$K$264,MATCH(Time!CP13,Inputs!$J$263:$K$263,0)),0)</f>
        <v>0</v>
      </c>
      <c r="CQ9" s="19" t="n">
        <f aca="false">Inputs!$F$213*IFERROR(INDEX(Inputs!$J$264:$K$264,MATCH(Time!CQ13,Inputs!$J$263:$K$263,0)),0)</f>
        <v>0</v>
      </c>
      <c r="CR9" s="19" t="n">
        <f aca="false">Inputs!$F$213*IFERROR(INDEX(Inputs!$J$264:$K$264,MATCH(Time!CR13,Inputs!$J$263:$K$263,0)),0)</f>
        <v>0</v>
      </c>
      <c r="CS9" s="19" t="n">
        <f aca="false">Inputs!$F$213*IFERROR(INDEX(Inputs!$J$264:$K$264,MATCH(Time!CS13,Inputs!$J$263:$K$263,0)),0)</f>
        <v>0</v>
      </c>
      <c r="CT9" s="19" t="n">
        <f aca="false">Inputs!$F$213*IFERROR(INDEX(Inputs!$J$264:$K$264,MATCH(Time!CT13,Inputs!$J$263:$K$263,0)),0)</f>
        <v>0</v>
      </c>
      <c r="CU9" s="19" t="n">
        <f aca="false">Inputs!$F$213*IFERROR(INDEX(Inputs!$J$264:$K$264,MATCH(Time!CU13,Inputs!$J$263:$K$263,0)),0)</f>
        <v>0</v>
      </c>
      <c r="CV9" s="19" t="n">
        <f aca="false">Inputs!$F$213*IFERROR(INDEX(Inputs!$J$264:$K$264,MATCH(Time!CV13,Inputs!$J$263:$K$263,0)),0)</f>
        <v>0</v>
      </c>
      <c r="CW9" s="19" t="n">
        <f aca="false">Inputs!$F$213*IFERROR(INDEX(Inputs!$J$264:$K$264,MATCH(Time!CW13,Inputs!$J$263:$K$263,0)),0)</f>
        <v>0</v>
      </c>
      <c r="CX9" s="19" t="n">
        <f aca="false">Inputs!$F$213*IFERROR(INDEX(Inputs!$J$264:$K$264,MATCH(Time!CX13,Inputs!$J$263:$K$263,0)),0)</f>
        <v>0</v>
      </c>
      <c r="CY9" s="19" t="n">
        <f aca="false">Inputs!$F$213*IFERROR(INDEX(Inputs!$J$264:$K$264,MATCH(Time!CY13,Inputs!$J$263:$K$263,0)),0)</f>
        <v>0</v>
      </c>
      <c r="CZ9" s="19" t="n">
        <f aca="false">Inputs!$F$213*IFERROR(INDEX(Inputs!$J$264:$K$264,MATCH(Time!CZ13,Inputs!$J$263:$K$263,0)),0)</f>
        <v>0</v>
      </c>
      <c r="DA9" s="19" t="n">
        <f aca="false">Inputs!$F$213*IFERROR(INDEX(Inputs!$J$264:$K$264,MATCH(Time!DA13,Inputs!$J$263:$K$263,0)),0)</f>
        <v>0</v>
      </c>
      <c r="DB9" s="19" t="n">
        <f aca="false">Inputs!$F$213*IFERROR(INDEX(Inputs!$J$264:$K$264,MATCH(Time!DB13,Inputs!$J$263:$K$263,0)),0)</f>
        <v>0</v>
      </c>
    </row>
    <row r="10" customFormat="false" ht="15" hidden="false" customHeight="false" outlineLevel="0" collapsed="false">
      <c r="D10" s="0" t="s">
        <v>597</v>
      </c>
      <c r="E10" s="0" t="s">
        <v>44</v>
      </c>
      <c r="J10" s="19" t="n">
        <f aca="false">(J6+J7+J8+J9)*(1-Time!J20)</f>
        <v>0</v>
      </c>
      <c r="K10" s="19" t="n">
        <f aca="false">(K6+K7+K8+K9)*(1-Time!K20)</f>
        <v>0</v>
      </c>
      <c r="L10" s="19" t="n">
        <f aca="false">(L6+L7+L8+L9)*(1-Time!L20)</f>
        <v>0</v>
      </c>
      <c r="M10" s="19" t="n">
        <f aca="false">(M6+M7+M8+M9)*(1-Time!M20)</f>
        <v>0</v>
      </c>
      <c r="N10" s="19" t="n">
        <f aca="false">(N6+N7+N8+N9)*(1-Time!N20)</f>
        <v>0</v>
      </c>
      <c r="O10" s="19" t="n">
        <f aca="false">(O6+O7+O8+O9)*(1-Time!O20)</f>
        <v>0</v>
      </c>
      <c r="P10" s="19" t="n">
        <f aca="false">(P6+P7+P8+P9)*(1-Time!P20)</f>
        <v>0</v>
      </c>
      <c r="Q10" s="19" t="n">
        <f aca="false">(Q6+Q7+Q8+Q9)*(1-Time!Q20)</f>
        <v>0</v>
      </c>
      <c r="R10" s="19" t="n">
        <f aca="false">(R6+R7+R8+R9)*(1-Time!R20)</f>
        <v>0</v>
      </c>
      <c r="S10" s="19" t="n">
        <f aca="false">(S6+S7+S8+S9)*(1-Time!S20)</f>
        <v>0</v>
      </c>
      <c r="T10" s="19" t="n">
        <f aca="false">(T6+T7+T8+T9)*(1-Time!T20)</f>
        <v>0</v>
      </c>
      <c r="U10" s="19" t="n">
        <f aca="false">(U6+U7+U8+U9)*(1-Time!U20)</f>
        <v>0</v>
      </c>
      <c r="V10" s="19" t="n">
        <f aca="false">(V6+V7+V8+V9)*(1-Time!V20)</f>
        <v>0</v>
      </c>
      <c r="W10" s="19" t="n">
        <f aca="false">(W6+W7+W8+W9)*(1-Time!W20)</f>
        <v>0</v>
      </c>
      <c r="X10" s="19" t="n">
        <f aca="false">(X6+X7+X8+X9)*(1-Time!X20)</f>
        <v>0</v>
      </c>
      <c r="Y10" s="19" t="n">
        <f aca="false">(Y6+Y7+Y8+Y9)*(1-Time!Y20)</f>
        <v>0</v>
      </c>
      <c r="Z10" s="19" t="n">
        <f aca="false">(Z6+Z7+Z8+Z9)*(1-Time!Z20)</f>
        <v>18.0775679498548</v>
      </c>
      <c r="AA10" s="19" t="n">
        <f aca="false">(AA6+AA7+AA8+AA9)*(1-Time!AA20)</f>
        <v>43.0190697700457</v>
      </c>
      <c r="AB10" s="19" t="n">
        <f aca="false">(AB6+AB7+AB8+AB9)*(1-Time!AB20)</f>
        <v>55.452037159284</v>
      </c>
      <c r="AC10" s="19" t="n">
        <f aca="false">(AC6+AC7+AC8+AC9)*(1-Time!AC20)</f>
        <v>71.7841864454735</v>
      </c>
      <c r="AD10" s="19" t="n">
        <f aca="false">(AD6+AD7+AD8+AD9)*(1-Time!AD20)</f>
        <v>86.1934082935119</v>
      </c>
      <c r="AE10" s="19" t="n">
        <f aca="false">(AE6+AE7+AE8+AE9)*(1-Time!AE20)</f>
        <v>43.7575640720232</v>
      </c>
      <c r="AF10" s="19" t="n">
        <f aca="false">(AF6+AF7+AF8+AF9)*(1-Time!AF20)</f>
        <v>46.809980254985</v>
      </c>
      <c r="AG10" s="19" t="n">
        <f aca="false">(AG6+AG7+AG8+AG9)*(1-Time!AG20)</f>
        <v>49.2257087401623</v>
      </c>
      <c r="AH10" s="19" t="n">
        <f aca="false">(AH6+AH7+AH8+AH9)*(1-Time!AH20)</f>
        <v>50.1845616653847</v>
      </c>
      <c r="AI10" s="19" t="n">
        <f aca="false">(AI6+AI7+AI8+AI9)*(1-Time!AI20)</f>
        <v>49.3619519094543</v>
      </c>
      <c r="AJ10" s="19" t="n">
        <f aca="false">(AJ6+AJ7+AJ8+AJ9)*(1-Time!AJ20)</f>
        <v>50.6761233616812</v>
      </c>
      <c r="AK10" s="19" t="n">
        <f aca="false">(AK6+AK7+AK8+AK9)*(1-Time!AK20)</f>
        <v>52.9509470961209</v>
      </c>
      <c r="AL10" s="19" t="n">
        <f aca="false">(AL6+AL7+AL8+AL9)*(1-Time!AL20)</f>
        <v>54.0334759624056</v>
      </c>
      <c r="AM10" s="19" t="n">
        <f aca="false">(AM6+AM7+AM8+AM9)*(1-Time!AM20)</f>
        <v>56.761309756952</v>
      </c>
      <c r="AN10" s="19" t="n">
        <f aca="false">(AN6+AN7+AN8+AN9)*(1-Time!AN20)</f>
        <v>57.910089157488</v>
      </c>
      <c r="AO10" s="19" t="n">
        <f aca="false">(AO6+AO7+AO8+AO9)*(1-Time!AO20)</f>
        <v>64.0172041325963</v>
      </c>
      <c r="AP10" s="19" t="n">
        <f aca="false">(AP6+AP7+AP8+AP9)*(1-Time!AP20)</f>
        <v>65.2360404179162</v>
      </c>
      <c r="AQ10" s="19" t="n">
        <f aca="false">(AQ6+AQ7+AQ8+AQ9)*(1-Time!AQ20)</f>
        <v>58.019044796834</v>
      </c>
      <c r="AR10" s="19" t="n">
        <f aca="false">(AR6+AR7+AR8+AR9)*(1-Time!AR20)</f>
        <v>59.697225140304</v>
      </c>
      <c r="AS10" s="19" t="n">
        <f aca="false">(AS6+AS7+AS8+AS9)*(1-Time!AS20)</f>
        <v>62.5980007899108</v>
      </c>
      <c r="AT10" s="19" t="n">
        <f aca="false">(AT6+AT7+AT8+AT9)*(1-Time!AT20)</f>
        <v>63.9726197414392</v>
      </c>
      <c r="AU10" s="19" t="n">
        <f aca="false">(AU6+AU7+AU8+AU9)*(1-Time!AU20)</f>
        <v>67.4529533238202</v>
      </c>
      <c r="AV10" s="19" t="n">
        <f aca="false">(AV6+AV7+AV8+AV9)*(1-Time!AV20)</f>
        <v>68.9110274047114</v>
      </c>
      <c r="AW10" s="19" t="n">
        <f aca="false">(AW6+AW7+AW8+AW9)*(1-Time!AW20)</f>
        <v>74.5865636661476</v>
      </c>
      <c r="AX10" s="19" t="n">
        <f aca="false">(AX6+AX7+AX8+AX9)*(1-Time!AX20)</f>
        <v>75.1513112479582</v>
      </c>
      <c r="AY10" s="19" t="n">
        <f aca="false">(AY6+AY7+AY8+AY9)*(1-Time!AY20)</f>
        <v>75.0578086767168</v>
      </c>
      <c r="AZ10" s="19" t="n">
        <f aca="false">(AZ6+AZ7+AZ8+AZ9)*(1-Time!AZ20)</f>
        <v>76.1394779267271</v>
      </c>
      <c r="BA10" s="19" t="n">
        <f aca="false">(BA6+BA7+BA8+BA9)*(1-Time!BA20)</f>
        <v>79.6520457853012</v>
      </c>
      <c r="BB10" s="19" t="n">
        <f aca="false">(BB6+BB7+BB8+BB9)*(1-Time!BB20)</f>
        <v>80.27678446265</v>
      </c>
      <c r="BC10" s="19" t="n">
        <f aca="false">(BC6+BC7+BC8+BC9)*(1-Time!BC20)</f>
        <v>92.7497959504098</v>
      </c>
      <c r="BD10" s="19" t="n">
        <f aca="false">(BD6+BD7+BD8+BD9)*(1-Time!BD20)</f>
        <v>93.4048485247771</v>
      </c>
      <c r="BE10" s="19" t="n">
        <f aca="false">(BE6+BE7+BE8+BE9)*(1-Time!BE20)</f>
        <v>101.735687415536</v>
      </c>
      <c r="BF10" s="19" t="n">
        <f aca="false">(BF6+BF7+BF8+BF9)*(1-Time!BF20)</f>
        <v>102.425887903128</v>
      </c>
      <c r="BG10" s="19" t="n">
        <f aca="false">(BG6+BG7+BG8+BG9)*(1-Time!BG20)</f>
        <v>107.03863868891</v>
      </c>
      <c r="BH10" s="19" t="n">
        <f aca="false">(BH6+BH7+BH8+BH9)*(1-Time!BH20)</f>
        <v>108.358186634721</v>
      </c>
      <c r="BI10" s="19" t="n">
        <f aca="false">(BI6+BI7+BI8+BI9)*(1-Time!BI20)</f>
        <v>112.627121762851</v>
      </c>
      <c r="BJ10" s="19" t="n">
        <f aca="false">(BJ6+BJ7+BJ8+BJ9)*(1-Time!BJ20)</f>
        <v>113.388918362832</v>
      </c>
      <c r="BK10" s="19" t="n">
        <f aca="false">(BK6+BK7+BK8+BK9)*(1-Time!BK20)</f>
        <v>118.517220647001</v>
      </c>
      <c r="BL10" s="19" t="n">
        <f aca="false">(BL6+BL7+BL8+BL9)*(1-Time!BL20)</f>
        <v>119.319227424256</v>
      </c>
      <c r="BM10" s="19" t="n">
        <f aca="false">(BM6+BM7+BM8+BM9)*(1-Time!BM20)</f>
        <v>124.674040554691</v>
      </c>
      <c r="BN10" s="19" t="n">
        <f aca="false">(BN6+BN7+BN8+BN9)*(1-Time!BN20)</f>
        <v>125.514305123325</v>
      </c>
      <c r="BO10" s="19" t="n">
        <f aca="false">(BO6+BO7+BO8+BO9)*(1-Time!BO20)</f>
        <v>112.552038371944</v>
      </c>
      <c r="BP10" s="19" t="n">
        <f aca="false">(BP6+BP7+BP8+BP9)*(1-Time!BP20)</f>
        <v>114.166536065097</v>
      </c>
      <c r="BQ10" s="19" t="n">
        <f aca="false">(BQ6+BQ7+BQ8+BQ9)*(1-Time!BQ20)</f>
        <v>102.351515148844</v>
      </c>
      <c r="BR10" s="19" t="n">
        <f aca="false">(BR6+BR7+BR8+BR9)*(1-Time!BR20)</f>
        <v>92.3958776690488</v>
      </c>
      <c r="BS10" s="19" t="n">
        <f aca="false">(BS6+BS7+BS8+BS9)*(1-Time!BS20)</f>
        <v>96.5230539802575</v>
      </c>
      <c r="BT10" s="19" t="n">
        <f aca="false">(BT6+BT7+BT8+BT9)*(1-Time!BT20)</f>
        <v>95.6779040761689</v>
      </c>
      <c r="BU10" s="19" t="n">
        <f aca="false">(BU6+BU7+BU8+BU9)*(1-Time!BU20)</f>
        <v>148.899430967449</v>
      </c>
      <c r="BV10" s="19" t="n">
        <f aca="false">(BV6+BV7+BV8+BV9)*(1-Time!BV20)</f>
        <v>120.711745639381</v>
      </c>
      <c r="BW10" s="19" t="n">
        <f aca="false">(BW6+BW7+BW8+BW9)*(1-Time!BW20)</f>
        <v>121.913531626981</v>
      </c>
      <c r="BX10" s="19" t="n">
        <f aca="false">(BX6+BX7+BX8+BX9)*(1-Time!BX20)</f>
        <v>121.579602794457</v>
      </c>
      <c r="BY10" s="19" t="n">
        <f aca="false">(BY6+BY7+BY8+BY9)*(1-Time!BY20)</f>
        <v>125.375758910204</v>
      </c>
      <c r="BZ10" s="19" t="n">
        <f aca="false">(BZ6+BZ7+BZ8+BZ9)*(1-Time!BZ20)</f>
        <v>124.338711027284</v>
      </c>
      <c r="CA10" s="19" t="n">
        <f aca="false">(CA6+CA7+CA8+CA9)*(1-Time!CA20)</f>
        <v>116.920715744122</v>
      </c>
      <c r="CB10" s="19" t="n">
        <f aca="false">(CB6+CB7+CB8+CB9)*(1-Time!CB20)</f>
        <v>115.880559091473</v>
      </c>
      <c r="CC10" s="19" t="n">
        <f aca="false">(CC6+CC7+CC8+CC9)*(1-Time!CC20)</f>
        <v>120.654035702137</v>
      </c>
      <c r="CD10" s="19" t="n">
        <f aca="false">(CD6+CD7+CD8+CD9)*(1-Time!CD20)</f>
        <v>119.565634571733</v>
      </c>
      <c r="CE10" s="19" t="n">
        <f aca="false">(CE6+CE7+CE8+CE9)*(1-Time!CE20)</f>
        <v>118.665771362771</v>
      </c>
      <c r="CF10" s="19" t="n">
        <f aca="false">(CF6+CF7+CF8+CF9)*(1-Time!CF20)</f>
        <v>118.293983671019</v>
      </c>
      <c r="CG10" s="19" t="n">
        <f aca="false">(CG6+CG7+CG8+CG9)*(1-Time!CG20)</f>
        <v>146.689084472723</v>
      </c>
      <c r="CH10" s="19" t="n">
        <f aca="false">(CH6+CH7+CH8+CH9)*(1-Time!CH20)</f>
        <v>123.71386464887</v>
      </c>
      <c r="CI10" s="19" t="n">
        <f aca="false">(CI6+CI7+CI8+CI9)*(1-Time!CI20)</f>
        <v>129.34838054512</v>
      </c>
      <c r="CJ10" s="19" t="n">
        <f aca="false">(CJ6+CJ7+CJ8+CJ9)*(1-Time!CJ20)</f>
        <v>128.306126817846</v>
      </c>
      <c r="CK10" s="19" t="n">
        <f aca="false">(CK6+CK7+CK8+CK9)*(1-Time!CK20)</f>
        <v>150.414944717452</v>
      </c>
      <c r="CL10" s="19" t="n">
        <f aca="false">(CL6+CL7+CL8+CL9)*(1-Time!CL20)</f>
        <v>138.858143416961</v>
      </c>
      <c r="CM10" s="19" t="n">
        <f aca="false">(CM6+CM7+CM8+CM9)*(1-Time!CM20)</f>
        <v>144.9175887513</v>
      </c>
      <c r="CN10" s="19" t="n">
        <f aca="false">(CN6+CN7+CN8+CN9)*(1-Time!CN20)</f>
        <v>144.664489074489</v>
      </c>
      <c r="CO10" s="19" t="n">
        <f aca="false">(CO6+CO7+CO8+CO9)*(1-Time!CO20)</f>
        <v>150.074260803195</v>
      </c>
      <c r="CP10" s="19" t="n">
        <f aca="false">(CP6+CP7+CP8+CP9)*(1-Time!CP20)</f>
        <v>161.860660569695</v>
      </c>
      <c r="CQ10" s="19" t="n">
        <f aca="false">(CQ6+CQ7+CQ8+CQ9)*(1-Time!CQ20)</f>
        <v>0</v>
      </c>
      <c r="CR10" s="19" t="n">
        <f aca="false">(CR6+CR7+CR8+CR9)*(1-Time!CR20)</f>
        <v>0</v>
      </c>
      <c r="CS10" s="19" t="n">
        <f aca="false">(CS6+CS7+CS8+CS9)*(1-Time!CS20)</f>
        <v>0</v>
      </c>
      <c r="CT10" s="19" t="n">
        <f aca="false">(CT6+CT7+CT8+CT9)*(1-Time!CT20)</f>
        <v>0</v>
      </c>
      <c r="CU10" s="19" t="n">
        <f aca="false">(CU6+CU7+CU8+CU9)*(1-Time!CU20)</f>
        <v>0</v>
      </c>
      <c r="CV10" s="19" t="n">
        <f aca="false">(CV6+CV7+CV8+CV9)*(1-Time!CV20)</f>
        <v>0</v>
      </c>
      <c r="CW10" s="19" t="n">
        <f aca="false">(CW6+CW7+CW8+CW9)*(1-Time!CW20)</f>
        <v>0</v>
      </c>
      <c r="CX10" s="19" t="n">
        <f aca="false">(CX6+CX7+CX8+CX9)*(1-Time!CX20)</f>
        <v>0</v>
      </c>
      <c r="CY10" s="19" t="n">
        <f aca="false">(CY6+CY7+CY8+CY9)*(1-Time!CY20)</f>
        <v>0</v>
      </c>
      <c r="CZ10" s="19" t="n">
        <f aca="false">(CZ6+CZ7+CZ8+CZ9)*(1-Time!CZ20)</f>
        <v>0</v>
      </c>
      <c r="DA10" s="19" t="n">
        <f aca="false">(DA6+DA7+DA8+DA9)*(1-Time!DA20)</f>
        <v>0</v>
      </c>
      <c r="DB10" s="19" t="n">
        <f aca="false">(DB6+DB7+DB8+DB9)*(1-Time!DB20)</f>
        <v>0</v>
      </c>
    </row>
    <row r="11" customFormat="false" ht="15" hidden="false" customHeight="false" outlineLevel="0" collapsed="false">
      <c r="D11" s="3" t="s">
        <v>598</v>
      </c>
    </row>
    <row r="12" customFormat="false" ht="15" hidden="false" customHeight="false" outlineLevel="0" collapsed="false">
      <c r="D12" s="0" t="s">
        <v>599</v>
      </c>
      <c r="E12" s="0" t="s">
        <v>44</v>
      </c>
      <c r="J12" s="19" t="n">
        <f aca="false">Debt!J56+Debt!J57</f>
        <v>0</v>
      </c>
      <c r="K12" s="19" t="n">
        <f aca="false">Debt!K56+Debt!K57</f>
        <v>0</v>
      </c>
      <c r="L12" s="19" t="n">
        <f aca="false">Debt!L56+Debt!L57</f>
        <v>0</v>
      </c>
      <c r="M12" s="19" t="n">
        <f aca="false">Debt!M56+Debt!M57</f>
        <v>0</v>
      </c>
      <c r="N12" s="19" t="n">
        <f aca="false">Debt!N56+Debt!N57</f>
        <v>0</v>
      </c>
      <c r="O12" s="19" t="n">
        <f aca="false">Debt!O56+Debt!O57</f>
        <v>0</v>
      </c>
      <c r="P12" s="19" t="n">
        <f aca="false">Debt!P56+Debt!P57</f>
        <v>0</v>
      </c>
      <c r="Q12" s="19" t="n">
        <f aca="false">Debt!Q56+Debt!Q57</f>
        <v>0</v>
      </c>
      <c r="R12" s="19" t="n">
        <f aca="false">Debt!R56+Debt!R57</f>
        <v>0</v>
      </c>
      <c r="S12" s="19" t="n">
        <f aca="false">Debt!S56+Debt!S57</f>
        <v>0</v>
      </c>
      <c r="T12" s="19" t="n">
        <f aca="false">Debt!T56+Debt!T57</f>
        <v>0</v>
      </c>
      <c r="U12" s="19" t="n">
        <f aca="false">Debt!U56+Debt!U57</f>
        <v>0</v>
      </c>
      <c r="V12" s="19" t="n">
        <f aca="false">Debt!V56+Debt!V57</f>
        <v>0</v>
      </c>
      <c r="W12" s="19" t="n">
        <f aca="false">Debt!W56+Debt!W57</f>
        <v>0</v>
      </c>
      <c r="X12" s="19" t="n">
        <f aca="false">Debt!X56+Debt!X57</f>
        <v>0</v>
      </c>
      <c r="Y12" s="19" t="n">
        <f aca="false">Debt!Y56+Debt!Y57</f>
        <v>0</v>
      </c>
      <c r="Z12" s="19" t="n">
        <f aca="false">Debt!Z56+Debt!Z57</f>
        <v>0</v>
      </c>
      <c r="AA12" s="19" t="n">
        <f aca="false">Debt!AA56+Debt!AA57</f>
        <v>0</v>
      </c>
      <c r="AB12" s="19" t="n">
        <f aca="false">Debt!AB56+Debt!AB57</f>
        <v>0</v>
      </c>
      <c r="AC12" s="19" t="n">
        <f aca="false">Debt!AC56+Debt!AC57</f>
        <v>0</v>
      </c>
      <c r="AD12" s="19" t="n">
        <f aca="false">Debt!AD56+Debt!AD57</f>
        <v>0</v>
      </c>
      <c r="AE12" s="19" t="n">
        <f aca="false">Debt!AE56+Debt!AE57</f>
        <v>0</v>
      </c>
      <c r="AF12" s="19" t="n">
        <f aca="false">Debt!AF56+Debt!AF57</f>
        <v>0</v>
      </c>
      <c r="AG12" s="19" t="n">
        <f aca="false">Debt!AG56+Debt!AG57</f>
        <v>0</v>
      </c>
      <c r="AH12" s="19" t="n">
        <f aca="false">Debt!AH56+Debt!AH57</f>
        <v>0</v>
      </c>
      <c r="AI12" s="19" t="n">
        <f aca="false">Debt!AI56+Debt!AI57</f>
        <v>0</v>
      </c>
      <c r="AJ12" s="19" t="n">
        <f aca="false">Debt!AJ56+Debt!AJ57</f>
        <v>0</v>
      </c>
      <c r="AK12" s="19" t="n">
        <f aca="false">Debt!AK56+Debt!AK57</f>
        <v>0</v>
      </c>
      <c r="AL12" s="19" t="n">
        <f aca="false">Debt!AL56+Debt!AL57</f>
        <v>0</v>
      </c>
      <c r="AM12" s="19" t="n">
        <f aca="false">Debt!AM56+Debt!AM57</f>
        <v>0</v>
      </c>
      <c r="AN12" s="19" t="n">
        <f aca="false">Debt!AN56+Debt!AN57</f>
        <v>0</v>
      </c>
      <c r="AO12" s="19" t="n">
        <f aca="false">Debt!AO56+Debt!AO57</f>
        <v>0</v>
      </c>
      <c r="AP12" s="19" t="n">
        <f aca="false">Debt!AP56+Debt!AP57</f>
        <v>0</v>
      </c>
      <c r="AQ12" s="19" t="n">
        <f aca="false">Debt!AQ56+Debt!AQ57</f>
        <v>0</v>
      </c>
      <c r="AR12" s="19" t="n">
        <f aca="false">Debt!AR56+Debt!AR57</f>
        <v>0</v>
      </c>
      <c r="AS12" s="19" t="n">
        <f aca="false">Debt!AS56+Debt!AS57</f>
        <v>0</v>
      </c>
      <c r="AT12" s="19" t="n">
        <f aca="false">Debt!AT56+Debt!AT57</f>
        <v>0</v>
      </c>
      <c r="AU12" s="19" t="n">
        <f aca="false">Debt!AU56+Debt!AU57</f>
        <v>0</v>
      </c>
      <c r="AV12" s="19" t="n">
        <f aca="false">Debt!AV56+Debt!AV57</f>
        <v>0</v>
      </c>
      <c r="AW12" s="19" t="n">
        <f aca="false">Debt!AW56+Debt!AW57</f>
        <v>0</v>
      </c>
      <c r="AX12" s="19" t="n">
        <f aca="false">Debt!AX56+Debt!AX57</f>
        <v>0</v>
      </c>
      <c r="AY12" s="19" t="n">
        <f aca="false">Debt!AY56+Debt!AY57</f>
        <v>0</v>
      </c>
      <c r="AZ12" s="19" t="n">
        <f aca="false">Debt!AZ56+Debt!AZ57</f>
        <v>0</v>
      </c>
      <c r="BA12" s="19" t="n">
        <f aca="false">Debt!BA56+Debt!BA57</f>
        <v>0</v>
      </c>
      <c r="BB12" s="19" t="n">
        <f aca="false">Debt!BB56+Debt!BB57</f>
        <v>0</v>
      </c>
      <c r="BC12" s="19" t="n">
        <f aca="false">Debt!BC56+Debt!BC57</f>
        <v>0</v>
      </c>
      <c r="BD12" s="19" t="n">
        <f aca="false">Debt!BD56+Debt!BD57</f>
        <v>0</v>
      </c>
      <c r="BE12" s="19" t="n">
        <f aca="false">Debt!BE56+Debt!BE57</f>
        <v>0</v>
      </c>
      <c r="BF12" s="19" t="n">
        <f aca="false">Debt!BF56+Debt!BF57</f>
        <v>0</v>
      </c>
      <c r="BG12" s="19" t="n">
        <f aca="false">Debt!BG56+Debt!BG57</f>
        <v>0</v>
      </c>
      <c r="BH12" s="19" t="n">
        <f aca="false">Debt!BH56+Debt!BH57</f>
        <v>0</v>
      </c>
      <c r="BI12" s="19" t="n">
        <f aca="false">Debt!BI56+Debt!BI57</f>
        <v>0</v>
      </c>
      <c r="BJ12" s="19" t="n">
        <f aca="false">Debt!BJ56+Debt!BJ57</f>
        <v>0</v>
      </c>
      <c r="BK12" s="19" t="n">
        <f aca="false">Debt!BK56+Debt!BK57</f>
        <v>0</v>
      </c>
      <c r="BL12" s="19" t="n">
        <f aca="false">Debt!BL56+Debt!BL57</f>
        <v>0</v>
      </c>
      <c r="BM12" s="19" t="n">
        <f aca="false">Debt!BM56+Debt!BM57</f>
        <v>0</v>
      </c>
      <c r="BN12" s="19" t="n">
        <f aca="false">Debt!BN56+Debt!BN57</f>
        <v>0</v>
      </c>
      <c r="BO12" s="19" t="n">
        <f aca="false">Debt!BO56+Debt!BO57</f>
        <v>0</v>
      </c>
      <c r="BP12" s="19" t="n">
        <f aca="false">Debt!BP56+Debt!BP57</f>
        <v>0</v>
      </c>
      <c r="BQ12" s="19" t="n">
        <f aca="false">Debt!BQ56+Debt!BQ57</f>
        <v>0</v>
      </c>
      <c r="BR12" s="19" t="n">
        <f aca="false">Debt!BR56+Debt!BR57</f>
        <v>0</v>
      </c>
      <c r="BS12" s="19" t="n">
        <f aca="false">Debt!BS56+Debt!BS57</f>
        <v>0</v>
      </c>
      <c r="BT12" s="19" t="n">
        <f aca="false">Debt!BT56+Debt!BT57</f>
        <v>0</v>
      </c>
      <c r="BU12" s="19" t="n">
        <f aca="false">Debt!BU56+Debt!BU57</f>
        <v>0</v>
      </c>
      <c r="BV12" s="19" t="n">
        <f aca="false">Debt!BV56+Debt!BV57</f>
        <v>0</v>
      </c>
      <c r="BW12" s="19" t="n">
        <f aca="false">Debt!BW56+Debt!BW57</f>
        <v>0</v>
      </c>
      <c r="BX12" s="19" t="n">
        <f aca="false">Debt!BX56+Debt!BX57</f>
        <v>0</v>
      </c>
      <c r="BY12" s="19" t="n">
        <f aca="false">Debt!BY56+Debt!BY57</f>
        <v>0</v>
      </c>
      <c r="BZ12" s="19" t="n">
        <f aca="false">Debt!BZ56+Debt!BZ57</f>
        <v>0</v>
      </c>
      <c r="CA12" s="19" t="n">
        <f aca="false">Debt!CA56+Debt!CA57</f>
        <v>0</v>
      </c>
      <c r="CB12" s="19" t="n">
        <f aca="false">Debt!CB56+Debt!CB57</f>
        <v>0</v>
      </c>
      <c r="CC12" s="19" t="n">
        <f aca="false">Debt!CC56+Debt!CC57</f>
        <v>0</v>
      </c>
      <c r="CD12" s="19" t="n">
        <f aca="false">Debt!CD56+Debt!CD57</f>
        <v>0</v>
      </c>
      <c r="CE12" s="19" t="n">
        <f aca="false">Debt!CE56+Debt!CE57</f>
        <v>0</v>
      </c>
      <c r="CF12" s="19" t="n">
        <f aca="false">Debt!CF56+Debt!CF57</f>
        <v>0</v>
      </c>
      <c r="CG12" s="19" t="n">
        <f aca="false">Debt!CG56+Debt!CG57</f>
        <v>0</v>
      </c>
      <c r="CH12" s="19" t="n">
        <f aca="false">Debt!CH56+Debt!CH57</f>
        <v>0</v>
      </c>
      <c r="CI12" s="19" t="n">
        <f aca="false">Debt!CI56+Debt!CI57</f>
        <v>0</v>
      </c>
      <c r="CJ12" s="19" t="n">
        <f aca="false">Debt!CJ56+Debt!CJ57</f>
        <v>0</v>
      </c>
      <c r="CK12" s="19" t="n">
        <f aca="false">Debt!CK56+Debt!CK57</f>
        <v>0</v>
      </c>
      <c r="CL12" s="19" t="n">
        <f aca="false">Debt!CL56+Debt!CL57</f>
        <v>0</v>
      </c>
      <c r="CM12" s="19" t="n">
        <f aca="false">Debt!CM56+Debt!CM57</f>
        <v>0</v>
      </c>
      <c r="CN12" s="19" t="n">
        <f aca="false">Debt!CN56+Debt!CN57</f>
        <v>0</v>
      </c>
      <c r="CO12" s="19" t="n">
        <f aca="false">Debt!CO56+Debt!CO57</f>
        <v>0</v>
      </c>
      <c r="CP12" s="19" t="n">
        <f aca="false">Debt!CP56+Debt!CP57</f>
        <v>0</v>
      </c>
      <c r="CQ12" s="19" t="n">
        <f aca="false">Debt!CQ56+Debt!CQ57</f>
        <v>0</v>
      </c>
      <c r="CR12" s="19" t="n">
        <f aca="false">Debt!CR56+Debt!CR57</f>
        <v>0</v>
      </c>
      <c r="CS12" s="19" t="n">
        <f aca="false">Debt!CS56+Debt!CS57</f>
        <v>5.51181991980927E-014</v>
      </c>
      <c r="CT12" s="19" t="n">
        <f aca="false">Debt!CT56+Debt!CT57</f>
        <v>1.1068301830619E-013</v>
      </c>
      <c r="CU12" s="19" t="n">
        <f aca="false">Debt!CU56+Debt!CU57</f>
        <v>1.65801217504283E-013</v>
      </c>
      <c r="CV12" s="19" t="n">
        <f aca="false">Debt!CV56+Debt!CV57</f>
        <v>2.2136603661238E-013</v>
      </c>
      <c r="CW12" s="19" t="n">
        <f aca="false">Debt!CW56+Debt!CW57</f>
        <v>2.76633109113808E-013</v>
      </c>
      <c r="CX12" s="19" t="n">
        <f aca="false">Debt!CX56+Debt!CX57</f>
        <v>3.32197928221906E-013</v>
      </c>
      <c r="CY12" s="19" t="n">
        <f aca="false">Debt!CY56+Debt!CY57</f>
        <v>3.87316127419998E-013</v>
      </c>
      <c r="CZ12" s="19" t="n">
        <f aca="false">Debt!CZ56+Debt!CZ57</f>
        <v>4.42880946528096E-013</v>
      </c>
      <c r="DA12" s="19" t="n">
        <f aca="false">Debt!DA56+Debt!DA57</f>
        <v>4.97999145726188E-013</v>
      </c>
      <c r="DB12" s="19" t="n">
        <f aca="false">Debt!DB56+Debt!DB57</f>
        <v>5.53563964834286E-013</v>
      </c>
    </row>
    <row r="13" customFormat="false" ht="15" hidden="false" customHeight="false" outlineLevel="0" collapsed="false">
      <c r="D13" s="0" t="s">
        <v>600</v>
      </c>
      <c r="E13" s="0" t="s">
        <v>44</v>
      </c>
      <c r="G13" s="19" t="n">
        <f aca="false">SUM(J13:DB13)</f>
        <v>2004.84264043384</v>
      </c>
      <c r="J13" s="19" t="n">
        <f aca="false">(Debt!J65+Debt!J64+J12+Debt!J67)*(1-Time!J20)</f>
        <v>0</v>
      </c>
      <c r="K13" s="19" t="n">
        <f aca="false">(Debt!K65+Debt!K64+K12+Debt!K67)*(1-Time!K20)</f>
        <v>0</v>
      </c>
      <c r="L13" s="19" t="n">
        <f aca="false">(Debt!L65+Debt!L64+L12+Debt!L67)*(1-Time!L20)</f>
        <v>0</v>
      </c>
      <c r="M13" s="19" t="n">
        <f aca="false">(Debt!M65+Debt!M64+M12+Debt!M67)*(1-Time!M20)</f>
        <v>0</v>
      </c>
      <c r="N13" s="19" t="n">
        <f aca="false">(Debt!N65+Debt!N64+N12+Debt!N67)*(1-Time!N20)</f>
        <v>0</v>
      </c>
      <c r="O13" s="19" t="n">
        <f aca="false">(Debt!O65+Debt!O64+O12+Debt!O67)*(1-Time!O20)</f>
        <v>0</v>
      </c>
      <c r="P13" s="19" t="n">
        <f aca="false">(Debt!P65+Debt!P64+P12+Debt!P67)*(1-Time!P20)</f>
        <v>0</v>
      </c>
      <c r="Q13" s="19" t="n">
        <f aca="false">(Debt!Q65+Debt!Q64+Q12+Debt!Q67)*(1-Time!Q20)</f>
        <v>0</v>
      </c>
      <c r="R13" s="19" t="n">
        <f aca="false">(Debt!R65+Debt!R64+R12+Debt!R67)*(1-Time!R20)</f>
        <v>0</v>
      </c>
      <c r="S13" s="19" t="n">
        <f aca="false">(Debt!S65+Debt!S64+S12+Debt!S67)*(1-Time!S20)</f>
        <v>0</v>
      </c>
      <c r="T13" s="19" t="n">
        <f aca="false">(Debt!T65+Debt!T64+T12+Debt!T67)*(1-Time!T20)</f>
        <v>0</v>
      </c>
      <c r="U13" s="19" t="n">
        <f aca="false">(Debt!U65+Debt!U64+U12+Debt!U67)*(1-Time!U20)</f>
        <v>0</v>
      </c>
      <c r="V13" s="19" t="n">
        <f aca="false">(Debt!V65+Debt!V64+V12+Debt!V67)*(1-Time!V20)</f>
        <v>0</v>
      </c>
      <c r="W13" s="19" t="n">
        <f aca="false">(Debt!W65+Debt!W64+W12+Debt!W67)*(1-Time!W20)</f>
        <v>0</v>
      </c>
      <c r="X13" s="19" t="n">
        <f aca="false">(Debt!X65+Debt!X64+X12+Debt!X67)*(1-Time!X20)</f>
        <v>0</v>
      </c>
      <c r="Y13" s="19" t="n">
        <f aca="false">(Debt!Y65+Debt!Y64+Y12+Debt!Y67)*(1-Time!Y20)</f>
        <v>0</v>
      </c>
      <c r="Z13" s="19" t="n">
        <f aca="false">(Debt!Z65+Debt!Z64+Z12+Debt!Z67)*(1-Time!Z20)</f>
        <v>11.6525256565208</v>
      </c>
      <c r="AA13" s="19" t="n">
        <f aca="false">(Debt!AA65+Debt!AA64+AA12+Debt!AA67)*(1-Time!AA20)</f>
        <v>23.4318605458309</v>
      </c>
      <c r="AB13" s="19" t="n">
        <f aca="false">(Debt!AB65+Debt!AB64+AB12+Debt!AB67)*(1-Time!AB20)</f>
        <v>23.3974937211642</v>
      </c>
      <c r="AC13" s="19" t="n">
        <f aca="false">(Debt!AC65+Debt!AC64+AC12+Debt!AC67)*(1-Time!AC20)</f>
        <v>23.9321371074356</v>
      </c>
      <c r="AD13" s="19" t="n">
        <f aca="false">(Debt!AD65+Debt!AD64+AD12+Debt!AD67)*(1-Time!AD20)</f>
        <v>23.7337665751819</v>
      </c>
      <c r="AE13" s="19" t="n">
        <f aca="false">(Debt!AE65+Debt!AE64+AE12+Debt!AE67)*(1-Time!AE20)</f>
        <v>23.9321371074356</v>
      </c>
      <c r="AF13" s="19" t="n">
        <f aca="false">(Debt!AF65+Debt!AF64+AF12+Debt!AF67)*(1-Time!AF20)</f>
        <v>28.5663294045084</v>
      </c>
      <c r="AG13" s="19" t="n">
        <f aca="false">(Debt!AG65+Debt!AG64+AG12+Debt!AG67)*(1-Time!AG20)</f>
        <v>23.2317499211891</v>
      </c>
      <c r="AH13" s="19" t="n">
        <f aca="false">(Debt!AH65+Debt!AH64+AH12+Debt!AH67)*(1-Time!AH20)</f>
        <v>23.0447987452329</v>
      </c>
      <c r="AI13" s="19" t="n">
        <f aca="false">(Debt!AI65+Debt!AI64+AI12+Debt!AI67)*(1-Time!AI20)</f>
        <v>23.2317499211891</v>
      </c>
      <c r="AJ13" s="19" t="n">
        <f aca="false">(Debt!AJ65+Debt!AJ64+AJ12+Debt!AJ67)*(1-Time!AJ20)</f>
        <v>23.107115803885</v>
      </c>
      <c r="AK13" s="19" t="n">
        <f aca="false">(Debt!AK65+Debt!AK64+AK12+Debt!AK67)*(1-Time!AK20)</f>
        <v>23.2317499211891</v>
      </c>
      <c r="AL13" s="19" t="n">
        <f aca="false">(Debt!AL65+Debt!AL64+AL12+Debt!AL67)*(1-Time!AL20)</f>
        <v>23.0447987452329</v>
      </c>
      <c r="AM13" s="19" t="n">
        <f aca="false">(Debt!AM65+Debt!AM64+AM12+Debt!AM67)*(1-Time!AM20)</f>
        <v>23.2317499211891</v>
      </c>
      <c r="AN13" s="19" t="n">
        <f aca="false">(Debt!AN65+Debt!AN64+AN12+Debt!AN67)*(1-Time!AN20)</f>
        <v>23.0447987452329</v>
      </c>
      <c r="AO13" s="19" t="n">
        <f aca="false">(Debt!AO65+Debt!AO64+AO12+Debt!AO67)*(1-Time!AO20)</f>
        <v>23.2317499211891</v>
      </c>
      <c r="AP13" s="19" t="n">
        <f aca="false">(Debt!AP65+Debt!AP64+AP12+Debt!AP67)*(1-Time!AP20)</f>
        <v>23.0447987452329</v>
      </c>
      <c r="AQ13" s="19" t="n">
        <f aca="false">(Debt!AQ65+Debt!AQ64+AQ12+Debt!AQ67)*(1-Time!AQ20)</f>
        <v>23.2317499211891</v>
      </c>
      <c r="AR13" s="19" t="n">
        <f aca="false">(Debt!AR65+Debt!AR64+AR12+Debt!AR67)*(1-Time!AR20)</f>
        <v>23.107115803885</v>
      </c>
      <c r="AS13" s="19" t="n">
        <f aca="false">(Debt!AS65+Debt!AS64+AS12+Debt!AS67)*(1-Time!AS20)</f>
        <v>23.2317499211891</v>
      </c>
      <c r="AT13" s="19" t="n">
        <f aca="false">(Debt!AT65+Debt!AT64+AT12+Debt!AT67)*(1-Time!AT20)</f>
        <v>23.0447987452329</v>
      </c>
      <c r="AU13" s="19" t="n">
        <f aca="false">(Debt!AU65+Debt!AU64+AU12+Debt!AU67)*(1-Time!AU20)</f>
        <v>23.2317499211891</v>
      </c>
      <c r="AV13" s="19" t="n">
        <f aca="false">(Debt!AV65+Debt!AV64+AV12+Debt!AV67)*(1-Time!AV20)</f>
        <v>23.0533401819306</v>
      </c>
      <c r="AW13" s="19" t="n">
        <f aca="false">(Debt!AW65+Debt!AW64+AW12+Debt!AW67)*(1-Time!AW20)</f>
        <v>25.0503904348706</v>
      </c>
      <c r="AX13" s="19" t="n">
        <f aca="false">(Debt!AX65+Debt!AX64+AX12+Debt!AX67)*(1-Time!AX20)</f>
        <v>25.1508622905596</v>
      </c>
      <c r="AY13" s="19" t="n">
        <f aca="false">(Debt!AY65+Debt!AY64+AY12+Debt!AY67)*(1-Time!AY20)</f>
        <v>24.9746741850431</v>
      </c>
      <c r="AZ13" s="19" t="n">
        <f aca="false">(Debt!AZ65+Debt!AZ64+AZ12+Debt!AZ67)*(1-Time!AZ20)</f>
        <v>25.2447615195311</v>
      </c>
      <c r="BA13" s="19" t="n">
        <f aca="false">(Debt!BA65+Debt!BA64+BA12+Debt!BA67)*(1-Time!BA20)</f>
        <v>26.4296082744351</v>
      </c>
      <c r="BB13" s="19" t="n">
        <f aca="false">(Debt!BB65+Debt!BB64+BB12+Debt!BB67)*(1-Time!BB20)</f>
        <v>26.5404185160733</v>
      </c>
      <c r="BC13" s="19" t="n">
        <f aca="false">(Debt!BC65+Debt!BC64+BC12+Debt!BC67)*(1-Time!BC20)</f>
        <v>31.0730822191862</v>
      </c>
      <c r="BD13" s="19" t="n">
        <f aca="false">(Debt!BD65+Debt!BD64+BD12+Debt!BD67)*(1-Time!BD20)</f>
        <v>31.1898989720418</v>
      </c>
      <c r="BE13" s="19" t="n">
        <f aca="false">(Debt!BE65+Debt!BE64+BE12+Debt!BE67)*(1-Time!BE20)</f>
        <v>34.1520286404255</v>
      </c>
      <c r="BF13" s="19" t="n">
        <f aca="false">(Debt!BF65+Debt!BF64+BF12+Debt!BF67)*(1-Time!BF20)</f>
        <v>34.2751060537202</v>
      </c>
      <c r="BG13" s="19" t="n">
        <f aca="false">(Debt!BG65+Debt!BG64+BG12+Debt!BG67)*(1-Time!BG20)</f>
        <v>35.827659376166</v>
      </c>
      <c r="BH13" s="19" t="n">
        <f aca="false">(Debt!BH65+Debt!BH64+BH12+Debt!BH67)*(1-Time!BH20)</f>
        <v>36.1549955143621</v>
      </c>
      <c r="BI13" s="19" t="n">
        <f aca="false">(Debt!BI65+Debt!BI64+BI12+Debt!BI67)*(1-Time!BI20)</f>
        <v>37.5865853074074</v>
      </c>
      <c r="BJ13" s="19" t="n">
        <f aca="false">(Debt!BJ65+Debt!BJ64+BJ12+Debt!BJ67)*(1-Time!BJ20)</f>
        <v>37.7218247100396</v>
      </c>
      <c r="BK13" s="19" t="n">
        <f aca="false">(Debt!BK65+Debt!BK64+BK12+Debt!BK67)*(1-Time!BK20)</f>
        <v>39.4331843358165</v>
      </c>
      <c r="BL13" s="19" t="n">
        <f aca="false">(Debt!BL65+Debt!BL64+BL12+Debt!BL67)*(1-Time!BL20)</f>
        <v>39.5754471499961</v>
      </c>
      <c r="BM13" s="19" t="n">
        <f aca="false">(Debt!BM65+Debt!BM64+BM12+Debt!BM67)*(1-Time!BM20)</f>
        <v>41.3558134666003</v>
      </c>
      <c r="BN13" s="19" t="n">
        <f aca="false">(Debt!BN65+Debt!BN64+BN12+Debt!BN67)*(1-Time!BN20)</f>
        <v>41.5042168372112</v>
      </c>
      <c r="BO13" s="19" t="n">
        <f aca="false">(Debt!BO65+Debt!BO64+BO12+Debt!BO67)*(1-Time!BO20)</f>
        <v>36.3859277619612</v>
      </c>
      <c r="BP13" s="19" t="n">
        <f aca="false">(Debt!BP65+Debt!BP64+BP12+Debt!BP67)*(1-Time!BP20)</f>
        <v>36.782607101421</v>
      </c>
      <c r="BQ13" s="19" t="n">
        <f aca="false">(Debt!BQ65+Debt!BQ64+BQ12+Debt!BQ67)*(1-Time!BQ20)</f>
        <v>38.4991094572439</v>
      </c>
      <c r="BR13" s="19" t="n">
        <f aca="false">(Debt!BR65+Debt!BR64+BR12+Debt!BR67)*(1-Time!BR20)</f>
        <v>38.182372238154</v>
      </c>
      <c r="BS13" s="19" t="n">
        <f aca="false">(Debt!BS65+Debt!BS64+BS12+Debt!BS67)*(1-Time!BS20)</f>
        <v>40.1753349166406</v>
      </c>
      <c r="BT13" s="19" t="n">
        <f aca="false">(Debt!BT65+Debt!BT64+BT12+Debt!BT67)*(1-Time!BT20)</f>
        <v>39.8478504332762</v>
      </c>
      <c r="BU13" s="19" t="n">
        <f aca="false">(Debt!BU65+Debt!BU64+BU12+Debt!BU67)*(1-Time!BU20)</f>
        <v>48.8987871038368</v>
      </c>
      <c r="BV13" s="19" t="n">
        <f aca="false">(Debt!BV65+Debt!BV64+BV12+Debt!BV67)*(1-Time!BV20)</f>
        <v>48.5601185394209</v>
      </c>
      <c r="BW13" s="19" t="n">
        <f aca="false">(Debt!BW65+Debt!BW64+BW12+Debt!BW67)*(1-Time!BW20)</f>
        <v>50.7000252078501</v>
      </c>
      <c r="BX13" s="19" t="n">
        <f aca="false">(Debt!BX65+Debt!BX64+BX12+Debt!BX67)*(1-Time!BX20)</f>
        <v>50.6279568693624</v>
      </c>
      <c r="BY13" s="19" t="n">
        <f aca="false">(Debt!BY65+Debt!BY64+BY12+Debt!BY67)*(1-Time!BY20)</f>
        <v>52.5658535391762</v>
      </c>
      <c r="BZ13" s="19" t="n">
        <f aca="false">(Debt!BZ65+Debt!BZ64+BZ12+Debt!BZ67)*(1-Time!BZ20)</f>
        <v>52.2034649826372</v>
      </c>
      <c r="CA13" s="19" t="n">
        <f aca="false">(Debt!CA65+Debt!CA64+CA12+Debt!CA67)*(1-Time!CA20)</f>
        <v>49.9877511628354</v>
      </c>
      <c r="CB13" s="19" t="n">
        <f aca="false">(Debt!CB65+Debt!CB64+CB12+Debt!CB67)*(1-Time!CB20)</f>
        <v>49.6128055244397</v>
      </c>
      <c r="CC13" s="19" t="n">
        <f aca="false">(Debt!CC65+Debt!CC64+CC12+Debt!CC67)*(1-Time!CC20)</f>
        <v>51.9870481968132</v>
      </c>
      <c r="CD13" s="19" t="n">
        <f aca="false">(Debt!CD65+Debt!CD64+CD12+Debt!CD67)*(1-Time!CD20)</f>
        <v>51.5990663118775</v>
      </c>
      <c r="CE13" s="19" t="n">
        <f aca="false">(Debt!CE65+Debt!CE64+CE12+Debt!CE67)*(1-Time!CE20)</f>
        <v>51.8718123417449</v>
      </c>
      <c r="CF13" s="19" t="n">
        <f aca="false">(Debt!CF65+Debt!CF64+CF12+Debt!CF67)*(1-Time!CF20)</f>
        <v>45.5693846585805</v>
      </c>
      <c r="CG13" s="19" t="n">
        <f aca="false">(Debt!CG65+Debt!CG64+CG12+Debt!CG67)*(1-Time!CG20)</f>
        <v>48.55299127962</v>
      </c>
      <c r="CH13" s="19" t="n">
        <f aca="false">(Debt!CH65+Debt!CH64+CH12+Debt!CH67)*(1-Time!CH20)</f>
        <v>5.51181991980927E-014</v>
      </c>
      <c r="CI13" s="19" t="n">
        <f aca="false">(Debt!CI65+Debt!CI64+CI12+Debt!CI67)*(1-Time!CI20)</f>
        <v>5.55648191080975E-014</v>
      </c>
      <c r="CJ13" s="19" t="n">
        <f aca="false">(Debt!CJ65+Debt!CJ64+CJ12+Debt!CJ67)*(1-Time!CJ20)</f>
        <v>5.51181991980927E-014</v>
      </c>
      <c r="CK13" s="19" t="n">
        <f aca="false">(Debt!CK65+Debt!CK64+CK12+Debt!CK67)*(1-Time!CK20)</f>
        <v>5.55648191080975E-014</v>
      </c>
      <c r="CL13" s="19" t="n">
        <f aca="false">(Debt!CL65+Debt!CL64+CL12+Debt!CL67)*(1-Time!CL20)</f>
        <v>5.51181991980927E-014</v>
      </c>
      <c r="CM13" s="19" t="n">
        <f aca="false">(Debt!CM65+Debt!CM64+CM12+Debt!CM67)*(1-Time!CM20)</f>
        <v>5.55648191080975E-014</v>
      </c>
      <c r="CN13" s="19" t="n">
        <f aca="false">(Debt!CN65+Debt!CN64+CN12+Debt!CN67)*(1-Time!CN20)</f>
        <v>5.52670725014276E-014</v>
      </c>
      <c r="CO13" s="19" t="n">
        <f aca="false">(Debt!CO65+Debt!CO64+CO12+Debt!CO67)*(1-Time!CO20)</f>
        <v>5.55648191080975E-014</v>
      </c>
      <c r="CP13" s="19" t="n">
        <f aca="false">(Debt!CP65+Debt!CP64+CP12+Debt!CP67)*(1-Time!CP20)</f>
        <v>5.51181991980927E-014</v>
      </c>
      <c r="CQ13" s="19" t="n">
        <f aca="false">(Debt!CQ65+Debt!CQ64+CQ12+Debt!CQ67)*(1-Time!CQ20)</f>
        <v>5.55648191080975E-014</v>
      </c>
      <c r="CR13" s="19" t="n">
        <f aca="false">(Debt!CR65+Debt!CR64+CR12+Debt!CR67)*(1-Time!CR20)</f>
        <v>5.51181991980927E-014</v>
      </c>
      <c r="CS13" s="19" t="n">
        <f aca="false">(Debt!CS65+Debt!CS64+CS12+Debt!CS67)*(1-Time!CS20)</f>
        <v>1.1068301830619E-013</v>
      </c>
      <c r="CT13" s="19" t="n">
        <f aca="false">(Debt!CT65+Debt!CT64+CT12+Debt!CT67)*(1-Time!CT20)</f>
        <v>1.65801217504283E-013</v>
      </c>
      <c r="CU13" s="19" t="n">
        <f aca="false">(Debt!CU65+Debt!CU64+CU12+Debt!CU67)*(1-Time!CU20)</f>
        <v>2.2136603661238E-013</v>
      </c>
      <c r="CV13" s="19" t="n">
        <f aca="false">(Debt!CV65+Debt!CV64+CV12+Debt!CV67)*(1-Time!CV20)</f>
        <v>2.76633109113808E-013</v>
      </c>
      <c r="CW13" s="19" t="n">
        <f aca="false">(Debt!CW65+Debt!CW64+CW12+Debt!CW67)*(1-Time!CW20)</f>
        <v>3.32197928221906E-013</v>
      </c>
      <c r="CX13" s="19" t="n">
        <f aca="false">(Debt!CX65+Debt!CX64+CX12+Debt!CX67)*(1-Time!CX20)</f>
        <v>3.87316127419998E-013</v>
      </c>
      <c r="CY13" s="19" t="n">
        <f aca="false">(Debt!CY65+Debt!CY64+CY12+Debt!CY67)*(1-Time!CY20)</f>
        <v>4.42880946528096E-013</v>
      </c>
      <c r="CZ13" s="19" t="n">
        <f aca="false">(Debt!CZ65+Debt!CZ64+CZ12+Debt!CZ67)*(1-Time!CZ20)</f>
        <v>4.97999145726188E-013</v>
      </c>
      <c r="DA13" s="19" t="n">
        <f aca="false">(Debt!DA65+Debt!DA64+DA12+Debt!DA67)*(1-Time!DA20)</f>
        <v>5.53563964834286E-013</v>
      </c>
      <c r="DB13" s="19" t="n">
        <f aca="false">(Debt!DB65+Debt!DB64+DB12+Debt!DB67)*(1-Time!DB20)</f>
        <v>6.08682164032379E-013</v>
      </c>
    </row>
    <row r="14" customFormat="false" ht="15" hidden="false" customHeight="false" outlineLevel="0" collapsed="false">
      <c r="D14" s="0" t="s">
        <v>601</v>
      </c>
      <c r="E14" s="0" t="s">
        <v>44</v>
      </c>
      <c r="G14" s="19" t="n">
        <f aca="false">SUM(J14:DB14)</f>
        <v>2004.84264043383</v>
      </c>
      <c r="J14" s="19" t="n">
        <f aca="false">MIN(J13,MAX(0,J10)+Reserves!J8)*(1-Time!J20)</f>
        <v>0</v>
      </c>
      <c r="K14" s="19" t="n">
        <f aca="false">MIN(K13,MAX(0,K10)+Reserves!K8)*(1-Time!K20)</f>
        <v>0</v>
      </c>
      <c r="L14" s="19" t="n">
        <f aca="false">MIN(L13,MAX(0,L10)+Reserves!L8)*(1-Time!L20)</f>
        <v>0</v>
      </c>
      <c r="M14" s="19" t="n">
        <f aca="false">MIN(M13,MAX(0,M10)+Reserves!M8)*(1-Time!M20)</f>
        <v>0</v>
      </c>
      <c r="N14" s="19" t="n">
        <f aca="false">MIN(N13,MAX(0,N10)+Reserves!N8)*(1-Time!N20)</f>
        <v>0</v>
      </c>
      <c r="O14" s="19" t="n">
        <f aca="false">MIN(O13,MAX(0,O10)+Reserves!O8)*(1-Time!O20)</f>
        <v>0</v>
      </c>
      <c r="P14" s="19" t="n">
        <f aca="false">MIN(P13,MAX(0,P10)+Reserves!P8)*(1-Time!P20)</f>
        <v>0</v>
      </c>
      <c r="Q14" s="19" t="n">
        <f aca="false">MIN(Q13,MAX(0,Q10)+Reserves!Q8)*(1-Time!Q20)</f>
        <v>0</v>
      </c>
      <c r="R14" s="19" t="n">
        <f aca="false">MIN(R13,MAX(0,R10)+Reserves!R8)*(1-Time!R20)</f>
        <v>0</v>
      </c>
      <c r="S14" s="19" t="n">
        <f aca="false">MIN(S13,MAX(0,S10)+Reserves!S8)*(1-Time!S20)</f>
        <v>0</v>
      </c>
      <c r="T14" s="19" t="n">
        <f aca="false">MIN(T13,MAX(0,T10)+Reserves!T8)*(1-Time!T20)</f>
        <v>0</v>
      </c>
      <c r="U14" s="19" t="n">
        <f aca="false">MIN(U13,MAX(0,U10)+Reserves!U8)*(1-Time!U20)</f>
        <v>0</v>
      </c>
      <c r="V14" s="19" t="n">
        <f aca="false">MIN(V13,MAX(0,V10)+Reserves!V8)*(1-Time!V20)</f>
        <v>0</v>
      </c>
      <c r="W14" s="19" t="n">
        <f aca="false">MIN(W13,MAX(0,W10)+Reserves!W8)*(1-Time!W20)</f>
        <v>0</v>
      </c>
      <c r="X14" s="19" t="n">
        <f aca="false">MIN(X13,MAX(0,X10)+Reserves!X8)*(1-Time!X20)</f>
        <v>0</v>
      </c>
      <c r="Y14" s="19" t="n">
        <f aca="false">MIN(Y13,MAX(0,Y10)+Reserves!Y8)*(1-Time!Y20)</f>
        <v>0</v>
      </c>
      <c r="Z14" s="19" t="n">
        <f aca="false">MIN(Z13,MAX(0,Z10)+Reserves!Z8)*(1-Time!Z20)</f>
        <v>11.6525256565208</v>
      </c>
      <c r="AA14" s="19" t="n">
        <f aca="false">MIN(AA13,MAX(0,AA10)+Reserves!AA8)*(1-Time!AA20)</f>
        <v>23.4318605458309</v>
      </c>
      <c r="AB14" s="19" t="n">
        <f aca="false">MIN(AB13,MAX(0,AB10)+Reserves!AB8)*(1-Time!AB20)</f>
        <v>23.3974937211642</v>
      </c>
      <c r="AC14" s="19" t="n">
        <f aca="false">MIN(AC13,MAX(0,AC10)+Reserves!AC8)*(1-Time!AC20)</f>
        <v>23.9321371074356</v>
      </c>
      <c r="AD14" s="19" t="n">
        <f aca="false">MIN(AD13,MAX(0,AD10)+Reserves!AD8)*(1-Time!AD20)</f>
        <v>23.7337665751819</v>
      </c>
      <c r="AE14" s="19" t="n">
        <f aca="false">MIN(AE13,MAX(0,AE10)+Reserves!AE8)*(1-Time!AE20)</f>
        <v>23.9321371074356</v>
      </c>
      <c r="AF14" s="19" t="n">
        <f aca="false">MIN(AF13,MAX(0,AF10)+Reserves!AF8)*(1-Time!AF20)</f>
        <v>28.5663294045084</v>
      </c>
      <c r="AG14" s="19" t="n">
        <f aca="false">MIN(AG13,MAX(0,AG10)+Reserves!AG8)*(1-Time!AG20)</f>
        <v>23.2317499211891</v>
      </c>
      <c r="AH14" s="19" t="n">
        <f aca="false">MIN(AH13,MAX(0,AH10)+Reserves!AH8)*(1-Time!AH20)</f>
        <v>23.0447987452329</v>
      </c>
      <c r="AI14" s="19" t="n">
        <f aca="false">MIN(AI13,MAX(0,AI10)+Reserves!AI8)*(1-Time!AI20)</f>
        <v>23.2317499211891</v>
      </c>
      <c r="AJ14" s="19" t="n">
        <f aca="false">MIN(AJ13,MAX(0,AJ10)+Reserves!AJ8)*(1-Time!AJ20)</f>
        <v>23.107115803885</v>
      </c>
      <c r="AK14" s="19" t="n">
        <f aca="false">MIN(AK13,MAX(0,AK10)+Reserves!AK8)*(1-Time!AK20)</f>
        <v>23.2317499211891</v>
      </c>
      <c r="AL14" s="19" t="n">
        <f aca="false">MIN(AL13,MAX(0,AL10)+Reserves!AL8)*(1-Time!AL20)</f>
        <v>23.0447987452329</v>
      </c>
      <c r="AM14" s="19" t="n">
        <f aca="false">MIN(AM13,MAX(0,AM10)+Reserves!AM8)*(1-Time!AM20)</f>
        <v>23.2317499211891</v>
      </c>
      <c r="AN14" s="19" t="n">
        <f aca="false">MIN(AN13,MAX(0,AN10)+Reserves!AN8)*(1-Time!AN20)</f>
        <v>23.0447987452329</v>
      </c>
      <c r="AO14" s="19" t="n">
        <f aca="false">MIN(AO13,MAX(0,AO10)+Reserves!AO8)*(1-Time!AO20)</f>
        <v>23.2317499211891</v>
      </c>
      <c r="AP14" s="19" t="n">
        <f aca="false">MIN(AP13,MAX(0,AP10)+Reserves!AP8)*(1-Time!AP20)</f>
        <v>23.0447987452329</v>
      </c>
      <c r="AQ14" s="19" t="n">
        <f aca="false">MIN(AQ13,MAX(0,AQ10)+Reserves!AQ8)*(1-Time!AQ20)</f>
        <v>23.2317499211891</v>
      </c>
      <c r="AR14" s="19" t="n">
        <f aca="false">MIN(AR13,MAX(0,AR10)+Reserves!AR8)*(1-Time!AR20)</f>
        <v>23.107115803885</v>
      </c>
      <c r="AS14" s="19" t="n">
        <f aca="false">MIN(AS13,MAX(0,AS10)+Reserves!AS8)*(1-Time!AS20)</f>
        <v>23.2317499211891</v>
      </c>
      <c r="AT14" s="19" t="n">
        <f aca="false">MIN(AT13,MAX(0,AT10)+Reserves!AT8)*(1-Time!AT20)</f>
        <v>23.0447987452329</v>
      </c>
      <c r="AU14" s="19" t="n">
        <f aca="false">MIN(AU13,MAX(0,AU10)+Reserves!AU8)*(1-Time!AU20)</f>
        <v>23.2317499211891</v>
      </c>
      <c r="AV14" s="19" t="n">
        <f aca="false">MIN(AV13,MAX(0,AV10)+Reserves!AV8)*(1-Time!AV20)</f>
        <v>23.0533401819306</v>
      </c>
      <c r="AW14" s="19" t="n">
        <f aca="false">MIN(AW13,MAX(0,AW10)+Reserves!AW8)*(1-Time!AW20)</f>
        <v>25.0503904348706</v>
      </c>
      <c r="AX14" s="19" t="n">
        <f aca="false">MIN(AX13,MAX(0,AX10)+Reserves!AX8)*(1-Time!AX20)</f>
        <v>25.1508622905596</v>
      </c>
      <c r="AY14" s="19" t="n">
        <f aca="false">MIN(AY13,MAX(0,AY10)+Reserves!AY8)*(1-Time!AY20)</f>
        <v>24.9746741850431</v>
      </c>
      <c r="AZ14" s="19" t="n">
        <f aca="false">MIN(AZ13,MAX(0,AZ10)+Reserves!AZ8)*(1-Time!AZ20)</f>
        <v>25.2447615195311</v>
      </c>
      <c r="BA14" s="19" t="n">
        <f aca="false">MIN(BA13,MAX(0,BA10)+Reserves!BA8)*(1-Time!BA20)</f>
        <v>26.4296082744351</v>
      </c>
      <c r="BB14" s="19" t="n">
        <f aca="false">MIN(BB13,MAX(0,BB10)+Reserves!BB8)*(1-Time!BB20)</f>
        <v>26.5404185160733</v>
      </c>
      <c r="BC14" s="19" t="n">
        <f aca="false">MIN(BC13,MAX(0,BC10)+Reserves!BC8)*(1-Time!BC20)</f>
        <v>31.0730822191862</v>
      </c>
      <c r="BD14" s="19" t="n">
        <f aca="false">MIN(BD13,MAX(0,BD10)+Reserves!BD8)*(1-Time!BD20)</f>
        <v>31.1898989720418</v>
      </c>
      <c r="BE14" s="19" t="n">
        <f aca="false">MIN(BE13,MAX(0,BE10)+Reserves!BE8)*(1-Time!BE20)</f>
        <v>34.1520286404255</v>
      </c>
      <c r="BF14" s="19" t="n">
        <f aca="false">MIN(BF13,MAX(0,BF10)+Reserves!BF8)*(1-Time!BF20)</f>
        <v>34.2751060537202</v>
      </c>
      <c r="BG14" s="19" t="n">
        <f aca="false">MIN(BG13,MAX(0,BG10)+Reserves!BG8)*(1-Time!BG20)</f>
        <v>35.827659376166</v>
      </c>
      <c r="BH14" s="19" t="n">
        <f aca="false">MIN(BH13,MAX(0,BH10)+Reserves!BH8)*(1-Time!BH20)</f>
        <v>36.1549955143621</v>
      </c>
      <c r="BI14" s="19" t="n">
        <f aca="false">MIN(BI13,MAX(0,BI10)+Reserves!BI8)*(1-Time!BI20)</f>
        <v>37.5865853074074</v>
      </c>
      <c r="BJ14" s="19" t="n">
        <f aca="false">MIN(BJ13,MAX(0,BJ10)+Reserves!BJ8)*(1-Time!BJ20)</f>
        <v>37.7218247100396</v>
      </c>
      <c r="BK14" s="19" t="n">
        <f aca="false">MIN(BK13,MAX(0,BK10)+Reserves!BK8)*(1-Time!BK20)</f>
        <v>39.4331843358165</v>
      </c>
      <c r="BL14" s="19" t="n">
        <f aca="false">MIN(BL13,MAX(0,BL10)+Reserves!BL8)*(1-Time!BL20)</f>
        <v>39.5754471499961</v>
      </c>
      <c r="BM14" s="19" t="n">
        <f aca="false">MIN(BM13,MAX(0,BM10)+Reserves!BM8)*(1-Time!BM20)</f>
        <v>41.3558134666003</v>
      </c>
      <c r="BN14" s="19" t="n">
        <f aca="false">MIN(BN13,MAX(0,BN10)+Reserves!BN8)*(1-Time!BN20)</f>
        <v>41.5042168372112</v>
      </c>
      <c r="BO14" s="19" t="n">
        <f aca="false">MIN(BO13,MAX(0,BO10)+Reserves!BO8)*(1-Time!BO20)</f>
        <v>36.3859277619612</v>
      </c>
      <c r="BP14" s="19" t="n">
        <f aca="false">MIN(BP13,MAX(0,BP10)+Reserves!BP8)*(1-Time!BP20)</f>
        <v>36.782607101421</v>
      </c>
      <c r="BQ14" s="19" t="n">
        <f aca="false">MIN(BQ13,MAX(0,BQ10)+Reserves!BQ8)*(1-Time!BQ20)</f>
        <v>38.4991094572439</v>
      </c>
      <c r="BR14" s="19" t="n">
        <f aca="false">MIN(BR13,MAX(0,BR10)+Reserves!BR8)*(1-Time!BR20)</f>
        <v>38.182372238154</v>
      </c>
      <c r="BS14" s="19" t="n">
        <f aca="false">MIN(BS13,MAX(0,BS10)+Reserves!BS8)*(1-Time!BS20)</f>
        <v>40.1753349166406</v>
      </c>
      <c r="BT14" s="19" t="n">
        <f aca="false">MIN(BT13,MAX(0,BT10)+Reserves!BT8)*(1-Time!BT20)</f>
        <v>39.8478504332762</v>
      </c>
      <c r="BU14" s="19" t="n">
        <f aca="false">MIN(BU13,MAX(0,BU10)+Reserves!BU8)*(1-Time!BU20)</f>
        <v>48.8987871038368</v>
      </c>
      <c r="BV14" s="19" t="n">
        <f aca="false">MIN(BV13,MAX(0,BV10)+Reserves!BV8)*(1-Time!BV20)</f>
        <v>48.5601185394209</v>
      </c>
      <c r="BW14" s="19" t="n">
        <f aca="false">MIN(BW13,MAX(0,BW10)+Reserves!BW8)*(1-Time!BW20)</f>
        <v>50.7000252078501</v>
      </c>
      <c r="BX14" s="19" t="n">
        <f aca="false">MIN(BX13,MAX(0,BX10)+Reserves!BX8)*(1-Time!BX20)</f>
        <v>50.6279568693624</v>
      </c>
      <c r="BY14" s="19" t="n">
        <f aca="false">MIN(BY13,MAX(0,BY10)+Reserves!BY8)*(1-Time!BY20)</f>
        <v>52.5658535391762</v>
      </c>
      <c r="BZ14" s="19" t="n">
        <f aca="false">MIN(BZ13,MAX(0,BZ10)+Reserves!BZ8)*(1-Time!BZ20)</f>
        <v>52.2034649826372</v>
      </c>
      <c r="CA14" s="19" t="n">
        <f aca="false">MIN(CA13,MAX(0,CA10)+Reserves!CA8)*(1-Time!CA20)</f>
        <v>49.9877511628354</v>
      </c>
      <c r="CB14" s="19" t="n">
        <f aca="false">MIN(CB13,MAX(0,CB10)+Reserves!CB8)*(1-Time!CB20)</f>
        <v>49.6128055244397</v>
      </c>
      <c r="CC14" s="19" t="n">
        <f aca="false">MIN(CC13,MAX(0,CC10)+Reserves!CC8)*(1-Time!CC20)</f>
        <v>51.9870481968132</v>
      </c>
      <c r="CD14" s="19" t="n">
        <f aca="false">MIN(CD13,MAX(0,CD10)+Reserves!CD8)*(1-Time!CD20)</f>
        <v>51.5990663118775</v>
      </c>
      <c r="CE14" s="19" t="n">
        <f aca="false">MIN(CE13,MAX(0,CE10)+Reserves!CE8)*(1-Time!CE20)</f>
        <v>51.8718123417449</v>
      </c>
      <c r="CF14" s="19" t="n">
        <f aca="false">MIN(CF13,MAX(0,CF10)+Reserves!CF8)*(1-Time!CF20)</f>
        <v>45.5693846585805</v>
      </c>
      <c r="CG14" s="19" t="n">
        <f aca="false">MIN(CG13,MAX(0,CG10)+Reserves!CG8)*(1-Time!CG20)</f>
        <v>48.55299127962</v>
      </c>
      <c r="CH14" s="19" t="n">
        <f aca="false">MIN(CH13,MAX(0,CH10)+Reserves!CH8)*(1-Time!CH20)</f>
        <v>5.51181991980927E-014</v>
      </c>
      <c r="CI14" s="19" t="n">
        <f aca="false">MIN(CI13,MAX(0,CI10)+Reserves!CI8)*(1-Time!CI20)</f>
        <v>5.55648191080975E-014</v>
      </c>
      <c r="CJ14" s="19" t="n">
        <f aca="false">MIN(CJ13,MAX(0,CJ10)+Reserves!CJ8)*(1-Time!CJ20)</f>
        <v>5.51181991980927E-014</v>
      </c>
      <c r="CK14" s="19" t="n">
        <f aca="false">MIN(CK13,MAX(0,CK10)+Reserves!CK8)*(1-Time!CK20)</f>
        <v>5.55648191080975E-014</v>
      </c>
      <c r="CL14" s="19" t="n">
        <f aca="false">MIN(CL13,MAX(0,CL10)+Reserves!CL8)*(1-Time!CL20)</f>
        <v>5.51181991980927E-014</v>
      </c>
      <c r="CM14" s="19" t="n">
        <f aca="false">MIN(CM13,MAX(0,CM10)+Reserves!CM8)*(1-Time!CM20)</f>
        <v>5.55648191080975E-014</v>
      </c>
      <c r="CN14" s="19" t="n">
        <f aca="false">MIN(CN13,MAX(0,CN10)+Reserves!CN8)*(1-Time!CN20)</f>
        <v>5.52670725014276E-014</v>
      </c>
      <c r="CO14" s="19" t="n">
        <f aca="false">MIN(CO13,MAX(0,CO10)+Reserves!CO8)*(1-Time!CO20)</f>
        <v>5.55648191080975E-014</v>
      </c>
      <c r="CP14" s="19" t="n">
        <f aca="false">MIN(CP13,MAX(0,CP10)+Reserves!CP8)*(1-Time!CP20)</f>
        <v>5.51181991980927E-014</v>
      </c>
      <c r="CQ14" s="19" t="n">
        <f aca="false">MIN(CQ13,MAX(0,CQ10)+Reserves!CQ8)*(1-Time!CQ20)</f>
        <v>5.55648191080975E-014</v>
      </c>
      <c r="CR14" s="19" t="n">
        <f aca="false">MIN(CR13,MAX(0,CR10)+Reserves!CR8)*(1-Time!CR20)</f>
        <v>0</v>
      </c>
      <c r="CS14" s="19" t="n">
        <f aca="false">MIN(CS13,MAX(0,CS10)+Reserves!CS8)*(1-Time!CS20)</f>
        <v>0</v>
      </c>
      <c r="CT14" s="19" t="n">
        <f aca="false">MIN(CT13,MAX(0,CT10)+Reserves!CT8)*(1-Time!CT20)</f>
        <v>0</v>
      </c>
      <c r="CU14" s="19" t="n">
        <f aca="false">MIN(CU13,MAX(0,CU10)+Reserves!CU8)*(1-Time!CU20)</f>
        <v>0</v>
      </c>
      <c r="CV14" s="19" t="n">
        <f aca="false">MIN(CV13,MAX(0,CV10)+Reserves!CV8)*(1-Time!CV20)</f>
        <v>0</v>
      </c>
      <c r="CW14" s="19" t="n">
        <f aca="false">MIN(CW13,MAX(0,CW10)+Reserves!CW8)*(1-Time!CW20)</f>
        <v>0</v>
      </c>
      <c r="CX14" s="19" t="n">
        <f aca="false">MIN(CX13,MAX(0,CX10)+Reserves!CX8)*(1-Time!CX20)</f>
        <v>0</v>
      </c>
      <c r="CY14" s="19" t="n">
        <f aca="false">MIN(CY13,MAX(0,CY10)+Reserves!CY8)*(1-Time!CY20)</f>
        <v>0</v>
      </c>
      <c r="CZ14" s="19" t="n">
        <f aca="false">MIN(CZ13,MAX(0,CZ10)+Reserves!CZ8)*(1-Time!CZ20)</f>
        <v>0</v>
      </c>
      <c r="DA14" s="19" t="n">
        <f aca="false">MIN(DA13,MAX(0,DA10)+Reserves!DA8)*(1-Time!DA20)</f>
        <v>0</v>
      </c>
      <c r="DB14" s="19" t="n">
        <f aca="false">MIN(DB13,MAX(0,DB10)+Reserves!DB8)*(1-Time!DB20)</f>
        <v>0</v>
      </c>
    </row>
    <row r="15" customFormat="false" ht="15" hidden="false" customHeight="false" outlineLevel="0" collapsed="false">
      <c r="D15" s="0" t="s">
        <v>602</v>
      </c>
      <c r="E15" s="0" t="s">
        <v>44</v>
      </c>
      <c r="G15" s="19" t="n">
        <f aca="false">SUM(J15:DB15)</f>
        <v>4.96198220069813</v>
      </c>
      <c r="J15" s="19" t="n">
        <f aca="false">MIN(Debt!J65,J14)*(1-Time!J20)</f>
        <v>0</v>
      </c>
      <c r="K15" s="19" t="n">
        <f aca="false">MIN(Debt!K65,K14)*(1-Time!K20)</f>
        <v>0</v>
      </c>
      <c r="L15" s="19" t="n">
        <f aca="false">MIN(Debt!L65,L14)*(1-Time!L20)</f>
        <v>0</v>
      </c>
      <c r="M15" s="19" t="n">
        <f aca="false">MIN(Debt!M65,M14)*(1-Time!M20)</f>
        <v>0</v>
      </c>
      <c r="N15" s="19" t="n">
        <f aca="false">MIN(Debt!N65,N14)*(1-Time!N20)</f>
        <v>0</v>
      </c>
      <c r="O15" s="19" t="n">
        <f aca="false">MIN(Debt!O65,O14)*(1-Time!O20)</f>
        <v>0</v>
      </c>
      <c r="P15" s="19" t="n">
        <f aca="false">MIN(Debt!P65,P14)*(1-Time!P20)</f>
        <v>0</v>
      </c>
      <c r="Q15" s="19" t="n">
        <f aca="false">MIN(Debt!Q65,Q14)*(1-Time!Q20)</f>
        <v>0</v>
      </c>
      <c r="R15" s="19" t="n">
        <f aca="false">MIN(Debt!R65,R14)*(1-Time!R20)</f>
        <v>0</v>
      </c>
      <c r="S15" s="19" t="n">
        <f aca="false">MIN(Debt!S65,S14)*(1-Time!S20)</f>
        <v>0</v>
      </c>
      <c r="T15" s="19" t="n">
        <f aca="false">MIN(Debt!T65,T14)*(1-Time!T20)</f>
        <v>0</v>
      </c>
      <c r="U15" s="19" t="n">
        <f aca="false">MIN(Debt!U65,U14)*(1-Time!U20)</f>
        <v>0</v>
      </c>
      <c r="V15" s="19" t="n">
        <f aca="false">MIN(Debt!V65,V14)*(1-Time!V20)</f>
        <v>0</v>
      </c>
      <c r="W15" s="19" t="n">
        <f aca="false">MIN(Debt!W65,W14)*(1-Time!W20)</f>
        <v>0</v>
      </c>
      <c r="X15" s="19" t="n">
        <f aca="false">MIN(Debt!X65,X14)*(1-Time!X20)</f>
        <v>0</v>
      </c>
      <c r="Y15" s="19" t="n">
        <f aca="false">MIN(Debt!Y65,Y14)*(1-Time!Y20)</f>
        <v>0</v>
      </c>
      <c r="Z15" s="19" t="n">
        <f aca="false">MIN(Debt!Z65,Z14)*(1-Time!Z20)</f>
        <v>0</v>
      </c>
      <c r="AA15" s="19" t="n">
        <f aca="false">MIN(Debt!AA65,AA14)*(1-Time!AA20)</f>
        <v>0</v>
      </c>
      <c r="AB15" s="19" t="n">
        <f aca="false">MIN(Debt!AB65,AB14)*(1-Time!AB20)</f>
        <v>0</v>
      </c>
      <c r="AC15" s="19" t="n">
        <f aca="false">MIN(Debt!AC65,AC14)*(1-Time!AC20)</f>
        <v>0</v>
      </c>
      <c r="AD15" s="19" t="n">
        <f aca="false">MIN(Debt!AD65,AD14)*(1-Time!AD20)</f>
        <v>0</v>
      </c>
      <c r="AE15" s="19" t="n">
        <f aca="false">MIN(Debt!AE65,AE14)*(1-Time!AE20)</f>
        <v>0</v>
      </c>
      <c r="AF15" s="19" t="n">
        <f aca="false">MIN(Debt!AF65,AF14)*(1-Time!AF20)</f>
        <v>4.96198220069813</v>
      </c>
      <c r="AG15" s="19" t="n">
        <f aca="false">MIN(Debt!AG65,AG14)*(1-Time!AG20)</f>
        <v>0</v>
      </c>
      <c r="AH15" s="19" t="n">
        <f aca="false">MIN(Debt!AH65,AH14)*(1-Time!AH20)</f>
        <v>0</v>
      </c>
      <c r="AI15" s="19" t="n">
        <f aca="false">MIN(Debt!AI65,AI14)*(1-Time!AI20)</f>
        <v>0</v>
      </c>
      <c r="AJ15" s="19" t="n">
        <f aca="false">MIN(Debt!AJ65,AJ14)*(1-Time!AJ20)</f>
        <v>0</v>
      </c>
      <c r="AK15" s="19" t="n">
        <f aca="false">MIN(Debt!AK65,AK14)*(1-Time!AK20)</f>
        <v>0</v>
      </c>
      <c r="AL15" s="19" t="n">
        <f aca="false">MIN(Debt!AL65,AL14)*(1-Time!AL20)</f>
        <v>0</v>
      </c>
      <c r="AM15" s="19" t="n">
        <f aca="false">MIN(Debt!AM65,AM14)*(1-Time!AM20)</f>
        <v>0</v>
      </c>
      <c r="AN15" s="19" t="n">
        <f aca="false">MIN(Debt!AN65,AN14)*(1-Time!AN20)</f>
        <v>0</v>
      </c>
      <c r="AO15" s="19" t="n">
        <f aca="false">MIN(Debt!AO65,AO14)*(1-Time!AO20)</f>
        <v>0</v>
      </c>
      <c r="AP15" s="19" t="n">
        <f aca="false">MIN(Debt!AP65,AP14)*(1-Time!AP20)</f>
        <v>0</v>
      </c>
      <c r="AQ15" s="19" t="n">
        <f aca="false">MIN(Debt!AQ65,AQ14)*(1-Time!AQ20)</f>
        <v>0</v>
      </c>
      <c r="AR15" s="19" t="n">
        <f aca="false">MIN(Debt!AR65,AR14)*(1-Time!AR20)</f>
        <v>0</v>
      </c>
      <c r="AS15" s="19" t="n">
        <f aca="false">MIN(Debt!AS65,AS14)*(1-Time!AS20)</f>
        <v>0</v>
      </c>
      <c r="AT15" s="19" t="n">
        <f aca="false">MIN(Debt!AT65,AT14)*(1-Time!AT20)</f>
        <v>0</v>
      </c>
      <c r="AU15" s="19" t="n">
        <f aca="false">MIN(Debt!AU65,AU14)*(1-Time!AU20)</f>
        <v>0</v>
      </c>
      <c r="AV15" s="19" t="n">
        <f aca="false">MIN(Debt!AV65,AV14)*(1-Time!AV20)</f>
        <v>0</v>
      </c>
      <c r="AW15" s="19" t="n">
        <f aca="false">MIN(Debt!AW65,AW14)*(1-Time!AW20)</f>
        <v>0</v>
      </c>
      <c r="AX15" s="19" t="n">
        <f aca="false">MIN(Debt!AX65,AX14)*(1-Time!AX20)</f>
        <v>0</v>
      </c>
      <c r="AY15" s="19" t="n">
        <f aca="false">MIN(Debt!AY65,AY14)*(1-Time!AY20)</f>
        <v>0</v>
      </c>
      <c r="AZ15" s="19" t="n">
        <f aca="false">MIN(Debt!AZ65,AZ14)*(1-Time!AZ20)</f>
        <v>0</v>
      </c>
      <c r="BA15" s="19" t="n">
        <f aca="false">MIN(Debt!BA65,BA14)*(1-Time!BA20)</f>
        <v>0</v>
      </c>
      <c r="BB15" s="19" t="n">
        <f aca="false">MIN(Debt!BB65,BB14)*(1-Time!BB20)</f>
        <v>0</v>
      </c>
      <c r="BC15" s="19" t="n">
        <f aca="false">MIN(Debt!BC65,BC14)*(1-Time!BC20)</f>
        <v>0</v>
      </c>
      <c r="BD15" s="19" t="n">
        <f aca="false">MIN(Debt!BD65,BD14)*(1-Time!BD20)</f>
        <v>0</v>
      </c>
      <c r="BE15" s="19" t="n">
        <f aca="false">MIN(Debt!BE65,BE14)*(1-Time!BE20)</f>
        <v>0</v>
      </c>
      <c r="BF15" s="19" t="n">
        <f aca="false">MIN(Debt!BF65,BF14)*(1-Time!BF20)</f>
        <v>0</v>
      </c>
      <c r="BG15" s="19" t="n">
        <f aca="false">MIN(Debt!BG65,BG14)*(1-Time!BG20)</f>
        <v>0</v>
      </c>
      <c r="BH15" s="19" t="n">
        <f aca="false">MIN(Debt!BH65,BH14)*(1-Time!BH20)</f>
        <v>0</v>
      </c>
      <c r="BI15" s="19" t="n">
        <f aca="false">MIN(Debt!BI65,BI14)*(1-Time!BI20)</f>
        <v>0</v>
      </c>
      <c r="BJ15" s="19" t="n">
        <f aca="false">MIN(Debt!BJ65,BJ14)*(1-Time!BJ20)</f>
        <v>0</v>
      </c>
      <c r="BK15" s="19" t="n">
        <f aca="false">MIN(Debt!BK65,BK14)*(1-Time!BK20)</f>
        <v>0</v>
      </c>
      <c r="BL15" s="19" t="n">
        <f aca="false">MIN(Debt!BL65,BL14)*(1-Time!BL20)</f>
        <v>0</v>
      </c>
      <c r="BM15" s="19" t="n">
        <f aca="false">MIN(Debt!BM65,BM14)*(1-Time!BM20)</f>
        <v>0</v>
      </c>
      <c r="BN15" s="19" t="n">
        <f aca="false">MIN(Debt!BN65,BN14)*(1-Time!BN20)</f>
        <v>0</v>
      </c>
      <c r="BO15" s="19" t="n">
        <f aca="false">MIN(Debt!BO65,BO14)*(1-Time!BO20)</f>
        <v>0</v>
      </c>
      <c r="BP15" s="19" t="n">
        <f aca="false">MIN(Debt!BP65,BP14)*(1-Time!BP20)</f>
        <v>0</v>
      </c>
      <c r="BQ15" s="19" t="n">
        <f aca="false">MIN(Debt!BQ65,BQ14)*(1-Time!BQ20)</f>
        <v>0</v>
      </c>
      <c r="BR15" s="19" t="n">
        <f aca="false">MIN(Debt!BR65,BR14)*(1-Time!BR20)</f>
        <v>0</v>
      </c>
      <c r="BS15" s="19" t="n">
        <f aca="false">MIN(Debt!BS65,BS14)*(1-Time!BS20)</f>
        <v>0</v>
      </c>
      <c r="BT15" s="19" t="n">
        <f aca="false">MIN(Debt!BT65,BT14)*(1-Time!BT20)</f>
        <v>0</v>
      </c>
      <c r="BU15" s="19" t="n">
        <f aca="false">MIN(Debt!BU65,BU14)*(1-Time!BU20)</f>
        <v>0</v>
      </c>
      <c r="BV15" s="19" t="n">
        <f aca="false">MIN(Debt!BV65,BV14)*(1-Time!BV20)</f>
        <v>0</v>
      </c>
      <c r="BW15" s="19" t="n">
        <f aca="false">MIN(Debt!BW65,BW14)*(1-Time!BW20)</f>
        <v>0</v>
      </c>
      <c r="BX15" s="19" t="n">
        <f aca="false">MIN(Debt!BX65,BX14)*(1-Time!BX20)</f>
        <v>0</v>
      </c>
      <c r="BY15" s="19" t="n">
        <f aca="false">MIN(Debt!BY65,BY14)*(1-Time!BY20)</f>
        <v>0</v>
      </c>
      <c r="BZ15" s="19" t="n">
        <f aca="false">MIN(Debt!BZ65,BZ14)*(1-Time!BZ20)</f>
        <v>0</v>
      </c>
      <c r="CA15" s="19" t="n">
        <f aca="false">MIN(Debt!CA65,CA14)*(1-Time!CA20)</f>
        <v>0</v>
      </c>
      <c r="CB15" s="19" t="n">
        <f aca="false">MIN(Debt!CB65,CB14)*(1-Time!CB20)</f>
        <v>0</v>
      </c>
      <c r="CC15" s="19" t="n">
        <f aca="false">MIN(Debt!CC65,CC14)*(1-Time!CC20)</f>
        <v>0</v>
      </c>
      <c r="CD15" s="19" t="n">
        <f aca="false">MIN(Debt!CD65,CD14)*(1-Time!CD20)</f>
        <v>0</v>
      </c>
      <c r="CE15" s="19" t="n">
        <f aca="false">MIN(Debt!CE65,CE14)*(1-Time!CE20)</f>
        <v>0</v>
      </c>
      <c r="CF15" s="19" t="n">
        <f aca="false">MIN(Debt!CF65,CF14)*(1-Time!CF20)</f>
        <v>0</v>
      </c>
      <c r="CG15" s="19" t="n">
        <f aca="false">MIN(Debt!CG65,CG14)*(1-Time!CG20)</f>
        <v>0</v>
      </c>
      <c r="CH15" s="19" t="n">
        <f aca="false">MIN(Debt!CH65,CH14)*(1-Time!CH20)</f>
        <v>0</v>
      </c>
      <c r="CI15" s="19" t="n">
        <f aca="false">MIN(Debt!CI65,CI14)*(1-Time!CI20)</f>
        <v>0</v>
      </c>
      <c r="CJ15" s="19" t="n">
        <f aca="false">MIN(Debt!CJ65,CJ14)*(1-Time!CJ20)</f>
        <v>0</v>
      </c>
      <c r="CK15" s="19" t="n">
        <f aca="false">MIN(Debt!CK65,CK14)*(1-Time!CK20)</f>
        <v>0</v>
      </c>
      <c r="CL15" s="19" t="n">
        <f aca="false">MIN(Debt!CL65,CL14)*(1-Time!CL20)</f>
        <v>0</v>
      </c>
      <c r="CM15" s="19" t="n">
        <f aca="false">MIN(Debt!CM65,CM14)*(1-Time!CM20)</f>
        <v>0</v>
      </c>
      <c r="CN15" s="19" t="n">
        <f aca="false">MIN(Debt!CN65,CN14)*(1-Time!CN20)</f>
        <v>0</v>
      </c>
      <c r="CO15" s="19" t="n">
        <f aca="false">MIN(Debt!CO65,CO14)*(1-Time!CO20)</f>
        <v>0</v>
      </c>
      <c r="CP15" s="19" t="n">
        <f aca="false">MIN(Debt!CP65,CP14)*(1-Time!CP20)</f>
        <v>0</v>
      </c>
      <c r="CQ15" s="19" t="n">
        <f aca="false">MIN(Debt!CQ65,CQ14)*(1-Time!CQ20)</f>
        <v>0</v>
      </c>
      <c r="CR15" s="19" t="n">
        <f aca="false">MIN(Debt!CR65,CR14)*(1-Time!CR20)</f>
        <v>0</v>
      </c>
      <c r="CS15" s="19" t="n">
        <f aca="false">MIN(Debt!CS65,CS14)*(1-Time!CS20)</f>
        <v>0</v>
      </c>
      <c r="CT15" s="19" t="n">
        <f aca="false">MIN(Debt!CT65,CT14)*(1-Time!CT20)</f>
        <v>0</v>
      </c>
      <c r="CU15" s="19" t="n">
        <f aca="false">MIN(Debt!CU65,CU14)*(1-Time!CU20)</f>
        <v>0</v>
      </c>
      <c r="CV15" s="19" t="n">
        <f aca="false">MIN(Debt!CV65,CV14)*(1-Time!CV20)</f>
        <v>0</v>
      </c>
      <c r="CW15" s="19" t="n">
        <f aca="false">MIN(Debt!CW65,CW14)*(1-Time!CW20)</f>
        <v>0</v>
      </c>
      <c r="CX15" s="19" t="n">
        <f aca="false">MIN(Debt!CX65,CX14)*(1-Time!CX20)</f>
        <v>0</v>
      </c>
      <c r="CY15" s="19" t="n">
        <f aca="false">MIN(Debt!CY65,CY14)*(1-Time!CY20)</f>
        <v>0</v>
      </c>
      <c r="CZ15" s="19" t="n">
        <f aca="false">MIN(Debt!CZ65,CZ14)*(1-Time!CZ20)</f>
        <v>0</v>
      </c>
      <c r="DA15" s="19" t="n">
        <f aca="false">MIN(Debt!DA65,DA14)*(1-Time!DA20)</f>
        <v>0</v>
      </c>
      <c r="DB15" s="19" t="n">
        <f aca="false">MIN(Debt!DB65,DB14)*(1-Time!DB20)</f>
        <v>0</v>
      </c>
    </row>
    <row r="16" customFormat="false" ht="15" hidden="false" customHeight="false" outlineLevel="0" collapsed="false">
      <c r="D16" s="0" t="s">
        <v>603</v>
      </c>
      <c r="E16" s="0" t="s">
        <v>44</v>
      </c>
      <c r="G16" s="19" t="n">
        <f aca="false">SUM(J16:DB16)</f>
        <v>1117.75048922014</v>
      </c>
      <c r="J16" s="19" t="n">
        <f aca="false">MIN(Debt!J64+J12,J14-J15)</f>
        <v>0</v>
      </c>
      <c r="K16" s="19" t="n">
        <f aca="false">MIN(Debt!K64+K12,K14-K15)</f>
        <v>0</v>
      </c>
      <c r="L16" s="19" t="n">
        <f aca="false">MIN(Debt!L64+L12,L14-L15)</f>
        <v>0</v>
      </c>
      <c r="M16" s="19" t="n">
        <f aca="false">MIN(Debt!M64+M12,M14-M15)</f>
        <v>0</v>
      </c>
      <c r="N16" s="19" t="n">
        <f aca="false">MIN(Debt!N64+N12,N14-N15)</f>
        <v>0</v>
      </c>
      <c r="O16" s="19" t="n">
        <f aca="false">MIN(Debt!O64+O12,O14-O15)</f>
        <v>0</v>
      </c>
      <c r="P16" s="19" t="n">
        <f aca="false">MIN(Debt!P64+P12,P14-P15)</f>
        <v>0</v>
      </c>
      <c r="Q16" s="19" t="n">
        <f aca="false">MIN(Debt!Q64+Q12,Q14-Q15)</f>
        <v>0</v>
      </c>
      <c r="R16" s="19" t="n">
        <f aca="false">MIN(Debt!R64+R12,R14-R15)</f>
        <v>0</v>
      </c>
      <c r="S16" s="19" t="n">
        <f aca="false">MIN(Debt!S64+S12,S14-S15)</f>
        <v>0</v>
      </c>
      <c r="T16" s="19" t="n">
        <f aca="false">MIN(Debt!T64+T12,T14-T15)</f>
        <v>0</v>
      </c>
      <c r="U16" s="19" t="n">
        <f aca="false">MIN(Debt!U64+U12,U14-U15)</f>
        <v>0</v>
      </c>
      <c r="V16" s="19" t="n">
        <f aca="false">MIN(Debt!V64+V12,V14-V15)</f>
        <v>0</v>
      </c>
      <c r="W16" s="19" t="n">
        <f aca="false">MIN(Debt!W64+W12,W14-W15)</f>
        <v>0</v>
      </c>
      <c r="X16" s="19" t="n">
        <f aca="false">MIN(Debt!X64+X12,X14-X15)</f>
        <v>0</v>
      </c>
      <c r="Y16" s="19" t="n">
        <f aca="false">MIN(Debt!Y64+Y12,Y14-Y15)</f>
        <v>0</v>
      </c>
      <c r="Z16" s="19" t="n">
        <f aca="false">MIN(Debt!Z64+Z12,Z14-Z15)</f>
        <v>11.6525256565208</v>
      </c>
      <c r="AA16" s="19" t="n">
        <f aca="false">MIN(Debt!AA64+AA12,AA14-AA15)</f>
        <v>23.4318605458309</v>
      </c>
      <c r="AB16" s="19" t="n">
        <f aca="false">MIN(Debt!AB64+AB12,AB14-AB15)</f>
        <v>23.3974937211642</v>
      </c>
      <c r="AC16" s="19" t="n">
        <f aca="false">MIN(Debt!AC64+AC12,AC14-AC15)</f>
        <v>23.9321371074356</v>
      </c>
      <c r="AD16" s="19" t="n">
        <f aca="false">MIN(Debt!AD64+AD12,AD14-AD15)</f>
        <v>23.7337665751819</v>
      </c>
      <c r="AE16" s="19" t="n">
        <f aca="false">MIN(Debt!AE64+AE12,AE14-AE15)</f>
        <v>23.9321371074356</v>
      </c>
      <c r="AF16" s="19" t="n">
        <f aca="false">MIN(Debt!AF64+AF12,AF14-AF15)</f>
        <v>23.6043472038103</v>
      </c>
      <c r="AG16" s="19" t="n">
        <f aca="false">MIN(Debt!AG64+AG12,AG14-AG15)</f>
        <v>23.2317499211891</v>
      </c>
      <c r="AH16" s="19" t="n">
        <f aca="false">MIN(Debt!AH64+AH12,AH14-AH15)</f>
        <v>23.0447987452329</v>
      </c>
      <c r="AI16" s="19" t="n">
        <f aca="false">MIN(Debt!AI64+AI12,AI14-AI15)</f>
        <v>23.2317499211891</v>
      </c>
      <c r="AJ16" s="19" t="n">
        <f aca="false">MIN(Debt!AJ64+AJ12,AJ14-AJ15)</f>
        <v>23.107115803885</v>
      </c>
      <c r="AK16" s="19" t="n">
        <f aca="false">MIN(Debt!AK64+AK12,AK14-AK15)</f>
        <v>23.2317499211891</v>
      </c>
      <c r="AL16" s="19" t="n">
        <f aca="false">MIN(Debt!AL64+AL12,AL14-AL15)</f>
        <v>23.0447987452329</v>
      </c>
      <c r="AM16" s="19" t="n">
        <f aca="false">MIN(Debt!AM64+AM12,AM14-AM15)</f>
        <v>23.2317499211891</v>
      </c>
      <c r="AN16" s="19" t="n">
        <f aca="false">MIN(Debt!AN64+AN12,AN14-AN15)</f>
        <v>23.0447987452329</v>
      </c>
      <c r="AO16" s="19" t="n">
        <f aca="false">MIN(Debt!AO64+AO12,AO14-AO15)</f>
        <v>23.2317499211891</v>
      </c>
      <c r="AP16" s="19" t="n">
        <f aca="false">MIN(Debt!AP64+AP12,AP14-AP15)</f>
        <v>23.0447987452329</v>
      </c>
      <c r="AQ16" s="19" t="n">
        <f aca="false">MIN(Debt!AQ64+AQ12,AQ14-AQ15)</f>
        <v>23.2317499211891</v>
      </c>
      <c r="AR16" s="19" t="n">
        <f aca="false">MIN(Debt!AR64+AR12,AR14-AR15)</f>
        <v>23.107115803885</v>
      </c>
      <c r="AS16" s="19" t="n">
        <f aca="false">MIN(Debt!AS64+AS12,AS14-AS15)</f>
        <v>23.2317499211891</v>
      </c>
      <c r="AT16" s="19" t="n">
        <f aca="false">MIN(Debt!AT64+AT12,AT14-AT15)</f>
        <v>23.0447987452329</v>
      </c>
      <c r="AU16" s="19" t="n">
        <f aca="false">MIN(Debt!AU64+AU12,AU14-AU15)</f>
        <v>23.2317499211891</v>
      </c>
      <c r="AV16" s="19" t="n">
        <f aca="false">MIN(Debt!AV64+AV12,AV14-AV15)</f>
        <v>23.0447987452329</v>
      </c>
      <c r="AW16" s="19" t="n">
        <f aca="false">MIN(Debt!AW64+AW12,AW14-AW15)</f>
        <v>23.2315249742047</v>
      </c>
      <c r="AX16" s="19" t="n">
        <f aca="false">MIN(Debt!AX64+AX12,AX14-AX15)</f>
        <v>22.9970595048638</v>
      </c>
      <c r="AY16" s="19" t="n">
        <f aca="false">MIN(Debt!AY64+AY12,AY14-AY15)</f>
        <v>23.1269009193188</v>
      </c>
      <c r="AZ16" s="19" t="n">
        <f aca="false">MIN(Debt!AZ64+AZ12,AZ14-AZ15)</f>
        <v>22.954427471995</v>
      </c>
      <c r="BA16" s="19" t="n">
        <f aca="false">MIN(Debt!BA64+BA12,BA14-BA15)</f>
        <v>23.0179198668328</v>
      </c>
      <c r="BB16" s="19" t="n">
        <f aca="false">MIN(Debt!BB64+BB12,BB14-BB15)</f>
        <v>22.7435623651634</v>
      </c>
      <c r="BC16" s="19" t="n">
        <f aca="false">MIN(Debt!BC64+BC12,BC14-BC15)</f>
        <v>22.8280758842078</v>
      </c>
      <c r="BD16" s="19" t="n">
        <f aca="false">MIN(Debt!BD64+BD12,BD14-BD15)</f>
        <v>22.4289803371895</v>
      </c>
      <c r="BE16" s="19" t="n">
        <f aca="false">MIN(Debt!BE64+BE12,BE14-BE15)</f>
        <v>22.380208426597</v>
      </c>
      <c r="BF16" s="19" t="n">
        <f aca="false">MIN(Debt!BF64+BF12,BF14-BF15)</f>
        <v>21.8925823643306</v>
      </c>
      <c r="BG16" s="19" t="n">
        <f aca="false">MIN(Debt!BG64+BG12,BG14-BG15)</f>
        <v>21.7815397189544</v>
      </c>
      <c r="BH16" s="19" t="n">
        <f aca="false">MIN(Debt!BH64+BH12,BH14-BH15)</f>
        <v>21.2959155857181</v>
      </c>
      <c r="BI16" s="19" t="n">
        <f aca="false">MIN(Debt!BI64+BI12,BI14-BI15)</f>
        <v>21.0189819476198</v>
      </c>
      <c r="BJ16" s="19" t="n">
        <f aca="false">MIN(Debt!BJ64+BJ12,BJ14-BJ15)</f>
        <v>20.4159868898293</v>
      </c>
      <c r="BK16" s="19" t="n">
        <f aca="false">MIN(Debt!BK64+BK12,BK14-BK15)</f>
        <v>20.1253553273666</v>
      </c>
      <c r="BL16" s="19" t="n">
        <f aca="false">MIN(Debt!BL64+BL12,BL14-BL15)</f>
        <v>19.4578561307385</v>
      </c>
      <c r="BM16" s="19" t="n">
        <f aca="false">MIN(Debt!BM64+BM12,BM14-BM15)</f>
        <v>19.0852600897966</v>
      </c>
      <c r="BN16" s="19" t="n">
        <f aca="false">MIN(Debt!BN64+BN12,BN14-BN15)</f>
        <v>18.3486150061961</v>
      </c>
      <c r="BO16" s="19" t="n">
        <f aca="false">MIN(Debt!BO64+BO12,BO14-BO15)</f>
        <v>17.8868574434947</v>
      </c>
      <c r="BP16" s="19" t="n">
        <f aca="false">MIN(Debt!BP64+BP12,BP14-BP15)</f>
        <v>17.3053210007497</v>
      </c>
      <c r="BQ16" s="19" t="n">
        <f aca="false">MIN(Debt!BQ64+BQ12,BQ14-BQ15)</f>
        <v>16.8849904393119</v>
      </c>
      <c r="BR16" s="19" t="n">
        <f aca="false">MIN(Debt!BR64+BR12,BR14-BR15)</f>
        <v>16.1832606811113</v>
      </c>
      <c r="BS16" s="19" t="n">
        <f aca="false">MIN(Debt!BS64+BS12,BS14-BS15)</f>
        <v>15.7344151661964</v>
      </c>
      <c r="BT16" s="19" t="n">
        <f aca="false">MIN(Debt!BT64+BT12,BT14-BT15)</f>
        <v>14.9679870878636</v>
      </c>
      <c r="BU16" s="19" t="n">
        <f aca="false">MIN(Debt!BU64+BU12,BU14-BU15)</f>
        <v>14.4332670344791</v>
      </c>
      <c r="BV16" s="19" t="n">
        <f aca="false">MIN(Debt!BV64+BV12,BV14-BV15)</f>
        <v>13.4149976665686</v>
      </c>
      <c r="BW16" s="19" t="n">
        <f aca="false">MIN(Debt!BW64+BW12,BW14-BW15)</f>
        <v>12.5968453533072</v>
      </c>
      <c r="BX16" s="19" t="n">
        <f aca="false">MIN(Debt!BX64+BX12,BX14-BX15)</f>
        <v>11.5293358379485</v>
      </c>
      <c r="BY16" s="19" t="n">
        <f aca="false">MIN(Debt!BY64+BY12,BY14-BY15)</f>
        <v>10.5601587339414</v>
      </c>
      <c r="BZ16" s="19" t="n">
        <f aca="false">MIN(Debt!BZ64+BZ12,BZ14-BZ15)</f>
        <v>9.3757958469796</v>
      </c>
      <c r="CA16" s="19" t="n">
        <f aca="false">MIN(Debt!CA64+CA12,CA14-CA15)</f>
        <v>8.32214128834522</v>
      </c>
      <c r="CB16" s="19" t="n">
        <f aca="false">MIN(Debt!CB64+CB12,CB14-CB15)</f>
        <v>7.16471958589641</v>
      </c>
      <c r="CC16" s="19" t="n">
        <f aca="false">MIN(Debt!CC64+CC12,CC14-CC15)</f>
        <v>6.10310964916258</v>
      </c>
      <c r="CD16" s="19" t="n">
        <f aca="false">MIN(Debt!CD64+CD12,CD14-CD15)</f>
        <v>4.85318848279665</v>
      </c>
      <c r="CE16" s="19" t="n">
        <f aca="false">MIN(Debt!CE64+CE12,CE14-CE15)</f>
        <v>3.65941137523897</v>
      </c>
      <c r="CF16" s="19" t="n">
        <f aca="false">MIN(Debt!CF64+CF12,CF14-CF15)</f>
        <v>2.3746727178586</v>
      </c>
      <c r="CG16" s="19" t="n">
        <f aca="false">MIN(Debt!CG64+CG12,CG14-CG15)</f>
        <v>1.24796965190371</v>
      </c>
      <c r="CH16" s="19" t="n">
        <f aca="false">MIN(Debt!CH64+CH12,CH14-CH15)</f>
        <v>5.51181991980927E-014</v>
      </c>
      <c r="CI16" s="19" t="n">
        <f aca="false">MIN(Debt!CI64+CI12,CI14-CI15)</f>
        <v>5.55648191080975E-014</v>
      </c>
      <c r="CJ16" s="19" t="n">
        <f aca="false">MIN(Debt!CJ64+CJ12,CJ14-CJ15)</f>
        <v>5.51181991980927E-014</v>
      </c>
      <c r="CK16" s="19" t="n">
        <f aca="false">MIN(Debt!CK64+CK12,CK14-CK15)</f>
        <v>5.55648191080975E-014</v>
      </c>
      <c r="CL16" s="19" t="n">
        <f aca="false">MIN(Debt!CL64+CL12,CL14-CL15)</f>
        <v>5.51181991980927E-014</v>
      </c>
      <c r="CM16" s="19" t="n">
        <f aca="false">MIN(Debt!CM64+CM12,CM14-CM15)</f>
        <v>5.55648191080975E-014</v>
      </c>
      <c r="CN16" s="19" t="n">
        <f aca="false">MIN(Debt!CN64+CN12,CN14-CN15)</f>
        <v>5.52670725014276E-014</v>
      </c>
      <c r="CO16" s="19" t="n">
        <f aca="false">MIN(Debt!CO64+CO12,CO14-CO15)</f>
        <v>5.55648191080975E-014</v>
      </c>
      <c r="CP16" s="19" t="n">
        <f aca="false">MIN(Debt!CP64+CP12,CP14-CP15)</f>
        <v>5.51181991980927E-014</v>
      </c>
      <c r="CQ16" s="19" t="n">
        <f aca="false">MIN(Debt!CQ64+CQ12,CQ14-CQ15)</f>
        <v>5.55648191080975E-014</v>
      </c>
      <c r="CR16" s="19" t="n">
        <f aca="false">MIN(Debt!CR64+CR12,CR14-CR15)</f>
        <v>0</v>
      </c>
      <c r="CS16" s="19" t="n">
        <f aca="false">MIN(Debt!CS64+CS12,CS14-CS15)</f>
        <v>0</v>
      </c>
      <c r="CT16" s="19" t="n">
        <f aca="false">MIN(Debt!CT64+CT12,CT14-CT15)</f>
        <v>0</v>
      </c>
      <c r="CU16" s="19" t="n">
        <f aca="false">MIN(Debt!CU64+CU12,CU14-CU15)</f>
        <v>0</v>
      </c>
      <c r="CV16" s="19" t="n">
        <f aca="false">MIN(Debt!CV64+CV12,CV14-CV15)</f>
        <v>0</v>
      </c>
      <c r="CW16" s="19" t="n">
        <f aca="false">MIN(Debt!CW64+CW12,CW14-CW15)</f>
        <v>0</v>
      </c>
      <c r="CX16" s="19" t="n">
        <f aca="false">MIN(Debt!CX64+CX12,CX14-CX15)</f>
        <v>0</v>
      </c>
      <c r="CY16" s="19" t="n">
        <f aca="false">MIN(Debt!CY64+CY12,CY14-CY15)</f>
        <v>0</v>
      </c>
      <c r="CZ16" s="19" t="n">
        <f aca="false">MIN(Debt!CZ64+CZ12,CZ14-CZ15)</f>
        <v>0</v>
      </c>
      <c r="DA16" s="19" t="n">
        <f aca="false">MIN(Debt!DA64+DA12,DA14-DA15)</f>
        <v>0</v>
      </c>
      <c r="DB16" s="19" t="n">
        <f aca="false">MIN(Debt!DB64+DB12,DB14-DB15)</f>
        <v>0</v>
      </c>
    </row>
    <row r="17" customFormat="false" ht="15" hidden="false" customHeight="false" outlineLevel="0" collapsed="false">
      <c r="D17" s="0" t="s">
        <v>604</v>
      </c>
      <c r="E17" s="0" t="s">
        <v>44</v>
      </c>
      <c r="G17" s="19" t="n">
        <f aca="false">SUM(J17:DB17)</f>
        <v>882.130169012998</v>
      </c>
      <c r="J17" s="19" t="n">
        <f aca="false">J14-J15-J16</f>
        <v>0</v>
      </c>
      <c r="K17" s="19" t="n">
        <f aca="false">K14-K15-K16</f>
        <v>0</v>
      </c>
      <c r="L17" s="19" t="n">
        <f aca="false">L14-L15-L16</f>
        <v>0</v>
      </c>
      <c r="M17" s="19" t="n">
        <f aca="false">M14-M15-M16</f>
        <v>0</v>
      </c>
      <c r="N17" s="19" t="n">
        <f aca="false">N14-N15-N16</f>
        <v>0</v>
      </c>
      <c r="O17" s="19" t="n">
        <f aca="false">O14-O15-O16</f>
        <v>0</v>
      </c>
      <c r="P17" s="19" t="n">
        <f aca="false">P14-P15-P16</f>
        <v>0</v>
      </c>
      <c r="Q17" s="19" t="n">
        <f aca="false">Q14-Q15-Q16</f>
        <v>0</v>
      </c>
      <c r="R17" s="19" t="n">
        <f aca="false">R14-R15-R16</f>
        <v>0</v>
      </c>
      <c r="S17" s="19" t="n">
        <f aca="false">S14-S15-S16</f>
        <v>0</v>
      </c>
      <c r="T17" s="19" t="n">
        <f aca="false">T14-T15-T16</f>
        <v>0</v>
      </c>
      <c r="U17" s="19" t="n">
        <f aca="false">U14-U15-U16</f>
        <v>0</v>
      </c>
      <c r="V17" s="19" t="n">
        <f aca="false">V14-V15-V16</f>
        <v>0</v>
      </c>
      <c r="W17" s="19" t="n">
        <f aca="false">W14-W15-W16</f>
        <v>0</v>
      </c>
      <c r="X17" s="19" t="n">
        <f aca="false">X14-X15-X16</f>
        <v>0</v>
      </c>
      <c r="Y17" s="19" t="n">
        <f aca="false">Y14-Y15-Y16</f>
        <v>0</v>
      </c>
      <c r="Z17" s="19" t="n">
        <f aca="false">Z14-Z15-Z16</f>
        <v>0</v>
      </c>
      <c r="AA17" s="19" t="n">
        <f aca="false">AA14-AA15-AA16</f>
        <v>0</v>
      </c>
      <c r="AB17" s="19" t="n">
        <f aca="false">AB14-AB15-AB16</f>
        <v>0</v>
      </c>
      <c r="AC17" s="19" t="n">
        <f aca="false">AC14-AC15-AC16</f>
        <v>0</v>
      </c>
      <c r="AD17" s="19" t="n">
        <f aca="false">AD14-AD15-AD16</f>
        <v>0</v>
      </c>
      <c r="AE17" s="19" t="n">
        <f aca="false">AE14-AE15-AE16</f>
        <v>0</v>
      </c>
      <c r="AF17" s="19" t="n">
        <f aca="false">AF14-AF15-AF16</f>
        <v>0</v>
      </c>
      <c r="AG17" s="19" t="n">
        <f aca="false">AG14-AG15-AG16</f>
        <v>0</v>
      </c>
      <c r="AH17" s="19" t="n">
        <f aca="false">AH14-AH15-AH16</f>
        <v>0</v>
      </c>
      <c r="AI17" s="19" t="n">
        <f aca="false">AI14-AI15-AI16</f>
        <v>0</v>
      </c>
      <c r="AJ17" s="19" t="n">
        <f aca="false">AJ14-AJ15-AJ16</f>
        <v>0</v>
      </c>
      <c r="AK17" s="19" t="n">
        <f aca="false">AK14-AK15-AK16</f>
        <v>0</v>
      </c>
      <c r="AL17" s="19" t="n">
        <f aca="false">AL14-AL15-AL16</f>
        <v>0</v>
      </c>
      <c r="AM17" s="19" t="n">
        <f aca="false">AM14-AM15-AM16</f>
        <v>0</v>
      </c>
      <c r="AN17" s="19" t="n">
        <f aca="false">AN14-AN15-AN16</f>
        <v>0</v>
      </c>
      <c r="AO17" s="19" t="n">
        <f aca="false">AO14-AO15-AO16</f>
        <v>0</v>
      </c>
      <c r="AP17" s="19" t="n">
        <f aca="false">AP14-AP15-AP16</f>
        <v>0</v>
      </c>
      <c r="AQ17" s="19" t="n">
        <f aca="false">AQ14-AQ15-AQ16</f>
        <v>0</v>
      </c>
      <c r="AR17" s="19" t="n">
        <f aca="false">AR14-AR15-AR16</f>
        <v>0</v>
      </c>
      <c r="AS17" s="19" t="n">
        <f aca="false">AS14-AS15-AS16</f>
        <v>0</v>
      </c>
      <c r="AT17" s="19" t="n">
        <f aca="false">AT14-AT15-AT16</f>
        <v>0</v>
      </c>
      <c r="AU17" s="19" t="n">
        <f aca="false">AU14-AU15-AU16</f>
        <v>0</v>
      </c>
      <c r="AV17" s="19" t="n">
        <f aca="false">AV14-AV15-AV16</f>
        <v>0.00854143669764795</v>
      </c>
      <c r="AW17" s="19" t="n">
        <f aca="false">AW14-AW15-AW16</f>
        <v>1.8188654606659</v>
      </c>
      <c r="AX17" s="19" t="n">
        <f aca="false">AX14-AX15-AX16</f>
        <v>2.15380278569582</v>
      </c>
      <c r="AY17" s="19" t="n">
        <f aca="false">AY14-AY15-AY16</f>
        <v>1.8477732657243</v>
      </c>
      <c r="AZ17" s="19" t="n">
        <f aca="false">AZ14-AZ15-AZ16</f>
        <v>2.2903340475361</v>
      </c>
      <c r="BA17" s="19" t="n">
        <f aca="false">BA14-BA15-BA16</f>
        <v>3.41168840760226</v>
      </c>
      <c r="BB17" s="19" t="n">
        <f aca="false">BB14-BB15-BB16</f>
        <v>3.7968561509099</v>
      </c>
      <c r="BC17" s="19" t="n">
        <f aca="false">BC14-BC15-BC16</f>
        <v>8.24500633497842</v>
      </c>
      <c r="BD17" s="19" t="n">
        <f aca="false">BD14-BD15-BD16</f>
        <v>8.76091863485227</v>
      </c>
      <c r="BE17" s="19" t="n">
        <f aca="false">BE14-BE15-BE16</f>
        <v>11.7718202138285</v>
      </c>
      <c r="BF17" s="19" t="n">
        <f aca="false">BF14-BF15-BF16</f>
        <v>12.3825236893896</v>
      </c>
      <c r="BG17" s="19" t="n">
        <f aca="false">BG14-BG15-BG16</f>
        <v>14.0461196572116</v>
      </c>
      <c r="BH17" s="19" t="n">
        <f aca="false">BH14-BH15-BH16</f>
        <v>14.859079928644</v>
      </c>
      <c r="BI17" s="19" t="n">
        <f aca="false">BI14-BI15-BI16</f>
        <v>16.5676033597876</v>
      </c>
      <c r="BJ17" s="19" t="n">
        <f aca="false">BJ14-BJ15-BJ16</f>
        <v>17.3058378202104</v>
      </c>
      <c r="BK17" s="19" t="n">
        <f aca="false">BK14-BK15-BK16</f>
        <v>19.3078290084499</v>
      </c>
      <c r="BL17" s="19" t="n">
        <f aca="false">BL14-BL15-BL16</f>
        <v>20.1175910192576</v>
      </c>
      <c r="BM17" s="19" t="n">
        <f aca="false">BM14-BM15-BM16</f>
        <v>22.2705533768037</v>
      </c>
      <c r="BN17" s="19" t="n">
        <f aca="false">BN14-BN15-BN16</f>
        <v>23.1556018310152</v>
      </c>
      <c r="BO17" s="19" t="n">
        <f aca="false">BO14-BO15-BO16</f>
        <v>18.4990703184665</v>
      </c>
      <c r="BP17" s="19" t="n">
        <f aca="false">BP14-BP15-BP16</f>
        <v>19.4772861006713</v>
      </c>
      <c r="BQ17" s="19" t="n">
        <f aca="false">BQ14-BQ15-BQ16</f>
        <v>21.6141190179319</v>
      </c>
      <c r="BR17" s="19" t="n">
        <f aca="false">BR14-BR15-BR16</f>
        <v>21.9991115570427</v>
      </c>
      <c r="BS17" s="19" t="n">
        <f aca="false">BS14-BS15-BS16</f>
        <v>24.4409197504442</v>
      </c>
      <c r="BT17" s="19" t="n">
        <f aca="false">BT14-BT15-BT16</f>
        <v>24.8798633454126</v>
      </c>
      <c r="BU17" s="19" t="n">
        <f aca="false">BU14-BU15-BU16</f>
        <v>34.4655200693578</v>
      </c>
      <c r="BV17" s="19" t="n">
        <f aca="false">BV14-BV15-BV16</f>
        <v>35.1451208728523</v>
      </c>
      <c r="BW17" s="19" t="n">
        <f aca="false">BW14-BW15-BW16</f>
        <v>38.1031798545429</v>
      </c>
      <c r="BX17" s="19" t="n">
        <f aca="false">BX14-BX15-BX16</f>
        <v>39.0986210314139</v>
      </c>
      <c r="BY17" s="19" t="n">
        <f aca="false">BY14-BY15-BY16</f>
        <v>42.0056948052348</v>
      </c>
      <c r="BZ17" s="19" t="n">
        <f aca="false">BZ14-BZ15-BZ16</f>
        <v>42.8276691356576</v>
      </c>
      <c r="CA17" s="19" t="n">
        <f aca="false">CA14-CA15-CA16</f>
        <v>41.6656098744902</v>
      </c>
      <c r="CB17" s="19" t="n">
        <f aca="false">CB14-CB15-CB16</f>
        <v>42.4480859385433</v>
      </c>
      <c r="CC17" s="19" t="n">
        <f aca="false">CC14-CC15-CC16</f>
        <v>45.8839385476507</v>
      </c>
      <c r="CD17" s="19" t="n">
        <f aca="false">CD14-CD15-CD16</f>
        <v>46.7458778290808</v>
      </c>
      <c r="CE17" s="19" t="n">
        <f aca="false">CE14-CE15-CE16</f>
        <v>48.2124009665059</v>
      </c>
      <c r="CF17" s="19" t="n">
        <f aca="false">CF14-CF15-CF16</f>
        <v>43.1947119407219</v>
      </c>
      <c r="CG17" s="19" t="n">
        <f aca="false">CG14-CG15-CG16</f>
        <v>47.3050216277163</v>
      </c>
      <c r="CH17" s="19" t="n">
        <f aca="false">CH14-CH15-CH16</f>
        <v>0</v>
      </c>
      <c r="CI17" s="19" t="n">
        <f aca="false">CI14-CI15-CI16</f>
        <v>0</v>
      </c>
      <c r="CJ17" s="19" t="n">
        <f aca="false">CJ14-CJ15-CJ16</f>
        <v>0</v>
      </c>
      <c r="CK17" s="19" t="n">
        <f aca="false">CK14-CK15-CK16</f>
        <v>0</v>
      </c>
      <c r="CL17" s="19" t="n">
        <f aca="false">CL14-CL15-CL16</f>
        <v>0</v>
      </c>
      <c r="CM17" s="19" t="n">
        <f aca="false">CM14-CM15-CM16</f>
        <v>0</v>
      </c>
      <c r="CN17" s="19" t="n">
        <f aca="false">CN14-CN15-CN16</f>
        <v>0</v>
      </c>
      <c r="CO17" s="19" t="n">
        <f aca="false">CO14-CO15-CO16</f>
        <v>0</v>
      </c>
      <c r="CP17" s="19" t="n">
        <f aca="false">CP14-CP15-CP16</f>
        <v>0</v>
      </c>
      <c r="CQ17" s="19" t="n">
        <f aca="false">CQ14-CQ15-CQ16</f>
        <v>0</v>
      </c>
      <c r="CR17" s="19" t="n">
        <f aca="false">CR14-CR15-CR16</f>
        <v>0</v>
      </c>
      <c r="CS17" s="19" t="n">
        <f aca="false">CS14-CS15-CS16</f>
        <v>0</v>
      </c>
      <c r="CT17" s="19" t="n">
        <f aca="false">CT14-CT15-CT16</f>
        <v>0</v>
      </c>
      <c r="CU17" s="19" t="n">
        <f aca="false">CU14-CU15-CU16</f>
        <v>0</v>
      </c>
      <c r="CV17" s="19" t="n">
        <f aca="false">CV14-CV15-CV16</f>
        <v>0</v>
      </c>
      <c r="CW17" s="19" t="n">
        <f aca="false">CW14-CW15-CW16</f>
        <v>0</v>
      </c>
      <c r="CX17" s="19" t="n">
        <f aca="false">CX14-CX15-CX16</f>
        <v>0</v>
      </c>
      <c r="CY17" s="19" t="n">
        <f aca="false">CY14-CY15-CY16</f>
        <v>0</v>
      </c>
      <c r="CZ17" s="19" t="n">
        <f aca="false">CZ14-CZ15-CZ16</f>
        <v>0</v>
      </c>
      <c r="DA17" s="19" t="n">
        <f aca="false">DA14-DA15-DA16</f>
        <v>0</v>
      </c>
      <c r="DB17" s="19" t="n">
        <f aca="false">DB14-DB15-DB16</f>
        <v>0</v>
      </c>
    </row>
    <row r="18" customFormat="false" ht="15" hidden="false" customHeight="false" outlineLevel="0" collapsed="false">
      <c r="D18" s="0" t="s">
        <v>605</v>
      </c>
      <c r="E18" s="0" t="s">
        <v>171</v>
      </c>
      <c r="J18" s="16" t="n">
        <f aca="false">IF(Debt!J64+J12&gt;0,(Debt!J44+Debt!J56)/(Debt!J64+J12),0)</f>
        <v>0</v>
      </c>
      <c r="K18" s="16" t="n">
        <f aca="false">IF(Debt!K64+K12&gt;0,(Debt!K44+Debt!K56)/(Debt!K64+K12),0)</f>
        <v>0</v>
      </c>
      <c r="L18" s="16" t="n">
        <f aca="false">IF(Debt!L64+L12&gt;0,(Debt!L44+Debt!L56)/(Debt!L64+L12),0)</f>
        <v>0</v>
      </c>
      <c r="M18" s="16" t="n">
        <f aca="false">IF(Debt!M64+M12&gt;0,(Debt!M44+Debt!M56)/(Debt!M64+M12),0)</f>
        <v>0</v>
      </c>
      <c r="N18" s="16" t="n">
        <f aca="false">IF(Debt!N64+N12&gt;0,(Debt!N44+Debt!N56)/(Debt!N64+N12),0)</f>
        <v>0</v>
      </c>
      <c r="O18" s="16" t="n">
        <f aca="false">IF(Debt!O64+O12&gt;0,(Debt!O44+Debt!O56)/(Debt!O64+O12),0)</f>
        <v>0</v>
      </c>
      <c r="P18" s="16" t="n">
        <f aca="false">IF(Debt!P64+P12&gt;0,(Debt!P44+Debt!P56)/(Debt!P64+P12),0)</f>
        <v>0</v>
      </c>
      <c r="Q18" s="16" t="n">
        <f aca="false">IF(Debt!Q64+Q12&gt;0,(Debt!Q44+Debt!Q56)/(Debt!Q64+Q12),0)</f>
        <v>0</v>
      </c>
      <c r="R18" s="16" t="n">
        <f aca="false">IF(Debt!R64+R12&gt;0,(Debt!R44+Debt!R56)/(Debt!R64+R12),0)</f>
        <v>0</v>
      </c>
      <c r="S18" s="16" t="n">
        <f aca="false">IF(Debt!S64+S12&gt;0,(Debt!S44+Debt!S56)/(Debt!S64+S12),0)</f>
        <v>0</v>
      </c>
      <c r="T18" s="16" t="n">
        <f aca="false">IF(Debt!T64+T12&gt;0,(Debt!T44+Debt!T56)/(Debt!T64+T12),0)</f>
        <v>0</v>
      </c>
      <c r="U18" s="16" t="n">
        <f aca="false">IF(Debt!U64+U12&gt;0,(Debt!U44+Debt!U56)/(Debt!U64+U12),0)</f>
        <v>0</v>
      </c>
      <c r="V18" s="16" t="n">
        <f aca="false">IF(Debt!V64+V12&gt;0,(Debt!V44+Debt!V56)/(Debt!V64+V12),0)</f>
        <v>0</v>
      </c>
      <c r="W18" s="16" t="n">
        <f aca="false">IF(Debt!W64+W12&gt;0,(Debt!W44+Debt!W56)/(Debt!W64+W12),0)</f>
        <v>0</v>
      </c>
      <c r="X18" s="16" t="n">
        <f aca="false">IF(Debt!X64+X12&gt;0,(Debt!X44+Debt!X56)/(Debt!X64+X12),0)</f>
        <v>0</v>
      </c>
      <c r="Y18" s="16" t="n">
        <f aca="false">IF(Debt!Y64+Y12&gt;0,(Debt!Y44+Debt!Y56)/(Debt!Y64+Y12),0)</f>
        <v>0</v>
      </c>
      <c r="Z18" s="16" t="n">
        <f aca="false">IF(Debt!Z64+Z12&gt;0,(Debt!Z44+Debt!Z56)/(Debt!Z64+Z12),0)</f>
        <v>0.495156180041237</v>
      </c>
      <c r="AA18" s="16" t="n">
        <f aca="false">IF(Debt!AA64+AA12&gt;0,(Debt!AA44+Debt!AA56)/(Debt!AA64+AA12),0)</f>
        <v>0.497888308689844</v>
      </c>
      <c r="AB18" s="16" t="n">
        <f aca="false">IF(Debt!AB64+AB12&gt;0,(Debt!AB44+Debt!AB56)/(Debt!AB64+AB12),0)</f>
        <v>0.49715079446443</v>
      </c>
      <c r="AC18" s="16" t="n">
        <f aca="false">IF(Debt!AC64+AC12&gt;0,(Debt!AC44+Debt!AC56)/(Debt!AC64+AC12),0)</f>
        <v>0.50838443401883</v>
      </c>
      <c r="AD18" s="16" t="n">
        <f aca="false">IF(Debt!AD64+AD12&gt;0,(Debt!AD44+Debt!AD56)/(Debt!AD64+AD12),0)</f>
        <v>0.504275434245071</v>
      </c>
      <c r="AE18" s="16" t="n">
        <f aca="false">IF(Debt!AE64+AE12&gt;0,(Debt!AE44+Debt!AE56)/(Debt!AE64+AE12),0)</f>
        <v>0.50838443401883</v>
      </c>
      <c r="AF18" s="16" t="n">
        <f aca="false">IF(Debt!AF64+AF12&gt;0,(Debt!AF44+Debt!AF56)/(Debt!AF64+AF12),0)</f>
        <v>0.501557445006923</v>
      </c>
      <c r="AG18" s="16" t="n">
        <f aca="false">IF(Debt!AG64+AG12&gt;0,(Debt!AG44+Debt!AG56)/(Debt!AG64+AG12),0)</f>
        <v>0.493563284336151</v>
      </c>
      <c r="AH18" s="16" t="n">
        <f aca="false">IF(Debt!AH64+AH12&gt;0,(Debt!AH44+Debt!AH56)/(Debt!AH64+AH12),0)</f>
        <v>0.48945481107121</v>
      </c>
      <c r="AI18" s="16" t="n">
        <f aca="false">IF(Debt!AI64+AI12&gt;0,(Debt!AI44+Debt!AI56)/(Debt!AI64+AI12),0)</f>
        <v>0.493563284336151</v>
      </c>
      <c r="AJ18" s="16" t="n">
        <f aca="false">IF(Debt!AJ64+AJ12&gt;0,(Debt!AJ44+Debt!AJ56)/(Debt!AJ64+AJ12),0)</f>
        <v>0.490831688858685</v>
      </c>
      <c r="AK18" s="16" t="n">
        <f aca="false">IF(Debt!AK64+AK12&gt;0,(Debt!AK44+Debt!AK56)/(Debt!AK64+AK12),0)</f>
        <v>0.493563284336151</v>
      </c>
      <c r="AL18" s="16" t="n">
        <f aca="false">IF(Debt!AL64+AL12&gt;0,(Debt!AL44+Debt!AL56)/(Debt!AL64+AL12),0)</f>
        <v>0.48945481107121</v>
      </c>
      <c r="AM18" s="16" t="n">
        <f aca="false">IF(Debt!AM64+AM12&gt;0,(Debt!AM44+Debt!AM56)/(Debt!AM64+AM12),0)</f>
        <v>0.493563284336151</v>
      </c>
      <c r="AN18" s="16" t="n">
        <f aca="false">IF(Debt!AN64+AN12&gt;0,(Debt!AN44+Debt!AN56)/(Debt!AN64+AN12),0)</f>
        <v>0.48945481107121</v>
      </c>
      <c r="AO18" s="16" t="n">
        <f aca="false">IF(Debt!AO64+AO12&gt;0,(Debt!AO44+Debt!AO56)/(Debt!AO64+AO12),0)</f>
        <v>0.493563284336151</v>
      </c>
      <c r="AP18" s="16" t="n">
        <f aca="false">IF(Debt!AP64+AP12&gt;0,(Debt!AP44+Debt!AP56)/(Debt!AP64+AP12),0)</f>
        <v>0.48945481107121</v>
      </c>
      <c r="AQ18" s="16" t="n">
        <f aca="false">IF(Debt!AQ64+AQ12&gt;0,(Debt!AQ44+Debt!AQ56)/(Debt!AQ64+AQ12),0)</f>
        <v>0.493563284336151</v>
      </c>
      <c r="AR18" s="16" t="n">
        <f aca="false">IF(Debt!AR64+AR12&gt;0,(Debt!AR44+Debt!AR56)/(Debt!AR64+AR12),0)</f>
        <v>0.490831688858685</v>
      </c>
      <c r="AS18" s="16" t="n">
        <f aca="false">IF(Debt!AS64+AS12&gt;0,(Debt!AS44+Debt!AS56)/(Debt!AS64+AS12),0)</f>
        <v>0.493563284336151</v>
      </c>
      <c r="AT18" s="16" t="n">
        <f aca="false">IF(Debt!AT64+AT12&gt;0,(Debt!AT44+Debt!AT56)/(Debt!AT64+AT12),0)</f>
        <v>0.48945481107121</v>
      </c>
      <c r="AU18" s="16" t="n">
        <f aca="false">IF(Debt!AU64+AU12&gt;0,(Debt!AU44+Debt!AU56)/(Debt!AU64+AU12),0)</f>
        <v>0.493563284336151</v>
      </c>
      <c r="AV18" s="16" t="n">
        <f aca="false">IF(Debt!AV64+AV12&gt;0,(Debt!AV44+Debt!AV56)/(Debt!AV64+AV12),0)</f>
        <v>0.48945481107121</v>
      </c>
      <c r="AW18" s="16" t="n">
        <f aca="false">IF(Debt!AW64+AW12&gt;0,(Debt!AW44+Debt!AW56)/(Debt!AW64+AW12),0)</f>
        <v>0.493563284336151</v>
      </c>
      <c r="AX18" s="16" t="n">
        <f aca="false">IF(Debt!AX64+AX12&gt;0,(Debt!AX44+Debt!AX56)/(Debt!AX64+AX12),0)</f>
        <v>0.48945481107121</v>
      </c>
      <c r="AY18" s="16" t="n">
        <f aca="false">IF(Debt!AY64+AY12&gt;0,(Debt!AY44+Debt!AY56)/(Debt!AY64+AY12),0)</f>
        <v>0.493563284336151</v>
      </c>
      <c r="AZ18" s="16" t="n">
        <f aca="false">IF(Debt!AZ64+AZ12&gt;0,(Debt!AZ44+Debt!AZ56)/(Debt!AZ64+AZ12),0)</f>
        <v>0.490831688858685</v>
      </c>
      <c r="BA18" s="16" t="n">
        <f aca="false">IF(Debt!BA64+BA12&gt;0,(Debt!BA44+Debt!BA56)/(Debt!BA64+BA12),0)</f>
        <v>0.493563284336151</v>
      </c>
      <c r="BB18" s="16" t="n">
        <f aca="false">IF(Debt!BB64+BB12&gt;0,(Debt!BB44+Debt!BB56)/(Debt!BB64+BB12),0)</f>
        <v>0.48945481107121</v>
      </c>
      <c r="BC18" s="16" t="n">
        <f aca="false">IF(Debt!BC64+BC12&gt;0,(Debt!BC44+Debt!BC56)/(Debt!BC64+BC12),0)</f>
        <v>0.493563284336151</v>
      </c>
      <c r="BD18" s="16" t="n">
        <f aca="false">IF(Debt!BD64+BD12&gt;0,(Debt!BD44+Debt!BD56)/(Debt!BD64+BD12),0)</f>
        <v>0.48945481107121</v>
      </c>
      <c r="BE18" s="16" t="n">
        <f aca="false">IF(Debt!BE64+BE12&gt;0,(Debt!BE44+Debt!BE56)/(Debt!BE64+BE12),0)</f>
        <v>0.493563284336151</v>
      </c>
      <c r="BF18" s="16" t="n">
        <f aca="false">IF(Debt!BF64+BF12&gt;0,(Debt!BF44+Debt!BF56)/(Debt!BF64+BF12),0)</f>
        <v>0.48945481107121</v>
      </c>
      <c r="BG18" s="16" t="n">
        <f aca="false">IF(Debt!BG64+BG12&gt;0,(Debt!BG44+Debt!BG56)/(Debt!BG64+BG12),0)</f>
        <v>0.494434239648984</v>
      </c>
      <c r="BH18" s="16" t="n">
        <f aca="false">IF(Debt!BH64+BH12&gt;0,(Debt!BH44+Debt!BH56)/(Debt!BH64+BH12),0)</f>
        <v>0.491702503931767</v>
      </c>
      <c r="BI18" s="16" t="n">
        <f aca="false">IF(Debt!BI64+BI12&gt;0,(Debt!BI44+Debt!BI56)/(Debt!BI64+BI12),0)</f>
        <v>0.494434239648984</v>
      </c>
      <c r="BJ18" s="16" t="n">
        <f aca="false">IF(Debt!BJ64+BJ12&gt;0,(Debt!BJ44+Debt!BJ56)/(Debt!BJ64+BJ12),0)</f>
        <v>0.490325535743497</v>
      </c>
      <c r="BK18" s="16" t="n">
        <f aca="false">IF(Debt!BK64+BK12&gt;0,(Debt!BK44+Debt!BK56)/(Debt!BK64+BK12),0)</f>
        <v>0.494434239648984</v>
      </c>
      <c r="BL18" s="16" t="n">
        <f aca="false">IF(Debt!BL64+BL12&gt;0,(Debt!BL44+Debt!BL56)/(Debt!BL64+BL12),0)</f>
        <v>0.490325535743497</v>
      </c>
      <c r="BM18" s="16" t="n">
        <f aca="false">IF(Debt!BM64+BM12&gt;0,(Debt!BM44+Debt!BM56)/(Debt!BM64+BM12),0)</f>
        <v>0.494434239648984</v>
      </c>
      <c r="BN18" s="16" t="n">
        <f aca="false">IF(Debt!BN64+BN12&gt;0,(Debt!BN44+Debt!BN56)/(Debt!BN64+BN12),0)</f>
        <v>0.490325535743497</v>
      </c>
      <c r="BO18" s="16" t="n">
        <f aca="false">IF(Debt!BO64+BO12&gt;0,(Debt!BO44+Debt!BO56)/(Debt!BO64+BO12),0)</f>
        <v>0.494434239648984</v>
      </c>
      <c r="BP18" s="16" t="n">
        <f aca="false">IF(Debt!BP64+BP12&gt;0,(Debt!BP44+Debt!BP56)/(Debt!BP64+BP12),0)</f>
        <v>0.491702503931767</v>
      </c>
      <c r="BQ18" s="16" t="n">
        <f aca="false">IF(Debt!BQ64+BQ12&gt;0,(Debt!BQ44+Debt!BQ56)/(Debt!BQ64+BQ12),0)</f>
        <v>0.494434239648984</v>
      </c>
      <c r="BR18" s="16" t="n">
        <f aca="false">IF(Debt!BR64+BR12&gt;0,(Debt!BR44+Debt!BR56)/(Debt!BR64+BR12),0)</f>
        <v>0.490325535743497</v>
      </c>
      <c r="BS18" s="16" t="n">
        <f aca="false">IF(Debt!BS64+BS12&gt;0,(Debt!BS44+Debt!BS56)/(Debt!BS64+BS12),0)</f>
        <v>0.494434239648984</v>
      </c>
      <c r="BT18" s="16" t="n">
        <f aca="false">IF(Debt!BT64+BT12&gt;0,(Debt!BT44+Debt!BT56)/(Debt!BT64+BT12),0)</f>
        <v>0.490325535743497</v>
      </c>
      <c r="BU18" s="16" t="n">
        <f aca="false">IF(Debt!BU64+BU12&gt;0,(Debt!BU44+Debt!BU56)/(Debt!BU64+BU12),0)</f>
        <v>0.494434239648984</v>
      </c>
      <c r="BV18" s="16" t="n">
        <f aca="false">IF(Debt!BV64+BV12&gt;0,(Debt!BV44+Debt!BV56)/(Debt!BV64+BV12),0)</f>
        <v>0.490325535743498</v>
      </c>
      <c r="BW18" s="16" t="n">
        <f aca="false">IF(Debt!BW64+BW12&gt;0,(Debt!BW44+Debt!BW56)/(Debt!BW64+BW12),0)</f>
        <v>0.494434239648984</v>
      </c>
      <c r="BX18" s="16" t="n">
        <f aca="false">IF(Debt!BX64+BX12&gt;0,(Debt!BX44+Debt!BX56)/(Debt!BX64+BX12),0)</f>
        <v>0.491702503931767</v>
      </c>
      <c r="BY18" s="16" t="n">
        <f aca="false">IF(Debt!BY64+BY12&gt;0,(Debt!BY44+Debt!BY56)/(Debt!BY64+BY12),0)</f>
        <v>0.494434239648984</v>
      </c>
      <c r="BZ18" s="16" t="n">
        <f aca="false">IF(Debt!BZ64+BZ12&gt;0,(Debt!BZ44+Debt!BZ56)/(Debt!BZ64+BZ12),0)</f>
        <v>0.490325535743498</v>
      </c>
      <c r="CA18" s="16" t="n">
        <f aca="false">IF(Debt!CA64+CA12&gt;0,(Debt!CA44+Debt!CA56)/(Debt!CA64+CA12),0)</f>
        <v>0.494434239648984</v>
      </c>
      <c r="CB18" s="16" t="n">
        <f aca="false">IF(Debt!CB64+CB12&gt;0,(Debt!CB44+Debt!CB56)/(Debt!CB64+CB12),0)</f>
        <v>0.490325535743497</v>
      </c>
      <c r="CC18" s="16" t="n">
        <f aca="false">IF(Debt!CC64+CC12&gt;0,(Debt!CC44+Debt!CC56)/(Debt!CC64+CC12),0)</f>
        <v>0.494434239648984</v>
      </c>
      <c r="CD18" s="16" t="n">
        <f aca="false">IF(Debt!CD64+CD12&gt;0,(Debt!CD44+Debt!CD56)/(Debt!CD64+CD12),0)</f>
        <v>0.490325535743498</v>
      </c>
      <c r="CE18" s="16" t="n">
        <f aca="false">IF(Debt!CE64+CE12&gt;0,(Debt!CE44+Debt!CE56)/(Debt!CE64+CE12),0)</f>
        <v>0.494434239648984</v>
      </c>
      <c r="CF18" s="16" t="n">
        <f aca="false">IF(Debt!CF64+CF12&gt;0,(Debt!CF44+Debt!CF56)/(Debt!CF64+CF12),0)</f>
        <v>0.491702503931767</v>
      </c>
      <c r="CG18" s="16" t="n">
        <f aca="false">IF(Debt!CG64+CG12&gt;0,(Debt!CG44+Debt!CG56)/(Debt!CG64+CG12),0)</f>
        <v>0.494434239648984</v>
      </c>
      <c r="CH18" s="16" t="n">
        <f aca="false">IF(Debt!CH64+CH12&gt;0,(Debt!CH44+Debt!CH56)/(Debt!CH64+CH12),0)</f>
        <v>0.488877871477283</v>
      </c>
      <c r="CI18" s="16" t="n">
        <f aca="false">IF(Debt!CI64+CI12&gt;0,(Debt!CI44+Debt!CI56)/(Debt!CI64+CI12),0)</f>
        <v>0.492986178184773</v>
      </c>
      <c r="CJ18" s="16" t="n">
        <f aca="false">IF(Debt!CJ64+CJ12&gt;0,(Debt!CJ44+Debt!CJ56)/(Debt!CJ64+CJ12),0)</f>
        <v>0.488877871477283</v>
      </c>
      <c r="CK18" s="16" t="n">
        <f aca="false">IF(Debt!CK64+CK12&gt;0,(Debt!CK44+Debt!CK56)/(Debt!CK64+CK12),0)</f>
        <v>0.492986178184773</v>
      </c>
      <c r="CL18" s="16" t="n">
        <f aca="false">IF(Debt!CL64+CL12&gt;0,(Debt!CL44+Debt!CL56)/(Debt!CL64+CL12),0)</f>
        <v>0.488877871477283</v>
      </c>
      <c r="CM18" s="16" t="n">
        <f aca="false">IF(Debt!CM64+CM12&gt;0,(Debt!CM44+Debt!CM56)/(Debt!CM64+CM12),0)</f>
        <v>0.492986178184773</v>
      </c>
      <c r="CN18" s="16" t="n">
        <f aca="false">IF(Debt!CN64+CN12&gt;0,(Debt!CN44+Debt!CN56)/(Debt!CN64+CN12),0)</f>
        <v>0.490254684762965</v>
      </c>
      <c r="CO18" s="16" t="n">
        <f aca="false">IF(Debt!CO64+CO12&gt;0,(Debt!CO44+Debt!CO56)/(Debt!CO64+CO12),0)</f>
        <v>0.492986178184773</v>
      </c>
      <c r="CP18" s="16" t="n">
        <f aca="false">IF(Debt!CP64+CP12&gt;0,(Debt!CP44+Debt!CP56)/(Debt!CP64+CP12),0)</f>
        <v>0.488877871477283</v>
      </c>
      <c r="CQ18" s="16" t="n">
        <f aca="false">IF(Debt!CQ64+CQ12&gt;0,(Debt!CQ44+Debt!CQ56)/(Debt!CQ64+CQ12),0)</f>
        <v>0.492986178184773</v>
      </c>
      <c r="CR18" s="16" t="n">
        <f aca="false">IF(Debt!CR64+CR12&gt;0,(Debt!CR44+Debt!CR56)/(Debt!CR64+CR12),0)</f>
        <v>0.488877871477283</v>
      </c>
      <c r="CS18" s="16" t="n">
        <f aca="false">IF(Debt!CS64+CS12&gt;0,(Debt!CS44+Debt!CS56)/(Debt!CS64+CS12),0)</f>
        <v>0.490940313598357</v>
      </c>
      <c r="CT18" s="16" t="n">
        <f aca="false">IF(Debt!CT64+CT12&gt;0,(Debt!CT44+Debt!CT56)/(Debt!CT64+CT12),0)</f>
        <v>0.490254684762965</v>
      </c>
      <c r="CU18" s="16" t="n">
        <f aca="false">IF(Debt!CU64+CU12&gt;0,(Debt!CU44+Debt!CU56)/(Debt!CU64+CU12),0)</f>
        <v>0.490940313598357</v>
      </c>
      <c r="CV18" s="16" t="n">
        <f aca="false">IF(Debt!CV64+CV12&gt;0,(Debt!CV44+Debt!CV56)/(Debt!CV64+CV12),0)</f>
        <v>0.49080333542291</v>
      </c>
      <c r="CW18" s="16" t="n">
        <f aca="false">IF(Debt!CW64+CW12&gt;0,(Debt!CW44+Debt!CW56)/(Debt!CW64+CW12),0)</f>
        <v>0.491168446860701</v>
      </c>
      <c r="CX18" s="16" t="n">
        <f aca="false">IF(Debt!CX64+CX12&gt;0,(Debt!CX44+Debt!CX56)/(Debt!CX64+CX12),0)</f>
        <v>0.490842479565968</v>
      </c>
      <c r="CY18" s="16" t="n">
        <f aca="false">IF(Debt!CY64+CY12&gt;0,(Debt!CY44+Debt!CY56)/(Debt!CY64+CY12),0)</f>
        <v>0.491111432716719</v>
      </c>
      <c r="CZ18" s="16" t="n">
        <f aca="false">IF(Debt!CZ64+CZ12&gt;0,(Debt!CZ44+Debt!CZ56)/(Debt!CZ64+CZ12),0)</f>
        <v>0.490864223711698</v>
      </c>
      <c r="DA18" s="16" t="n">
        <f aca="false">IF(Debt!DA64+DA12&gt;0,(Debt!DA44+Debt!DA56)/(Debt!DA64+DA12),0)</f>
        <v>0.491077218097066</v>
      </c>
      <c r="DB18" s="16" t="n">
        <f aca="false">IF(Debt!DB64+DB12&gt;0,(Debt!DB44+Debt!DB56)/(Debt!DB64+DB12),0)</f>
        <v>0.490878059928389</v>
      </c>
    </row>
    <row r="19" customFormat="false" ht="15" hidden="false" customHeight="false" outlineLevel="0" collapsed="false">
      <c r="D19" s="0" t="s">
        <v>606</v>
      </c>
      <c r="E19" s="0" t="s">
        <v>171</v>
      </c>
      <c r="J19" s="16" t="n">
        <f aca="false">IF(Debt!J64+J12&gt;0,(Debt!J51+Debt!J57)/(Debt!J64+J12),0)</f>
        <v>0</v>
      </c>
      <c r="K19" s="16" t="n">
        <f aca="false">IF(Debt!K64+K12&gt;0,(Debt!K51+Debt!K57)/(Debt!K64+K12),0)</f>
        <v>0</v>
      </c>
      <c r="L19" s="16" t="n">
        <f aca="false">IF(Debt!L64+L12&gt;0,(Debt!L51+Debt!L57)/(Debt!L64+L12),0)</f>
        <v>0</v>
      </c>
      <c r="M19" s="16" t="n">
        <f aca="false">IF(Debt!M64+M12&gt;0,(Debt!M51+Debt!M57)/(Debt!M64+M12),0)</f>
        <v>0</v>
      </c>
      <c r="N19" s="16" t="n">
        <f aca="false">IF(Debt!N64+N12&gt;0,(Debt!N51+Debt!N57)/(Debt!N64+N12),0)</f>
        <v>0</v>
      </c>
      <c r="O19" s="16" t="n">
        <f aca="false">IF(Debt!O64+O12&gt;0,(Debt!O51+Debt!O57)/(Debt!O64+O12),0)</f>
        <v>0</v>
      </c>
      <c r="P19" s="16" t="n">
        <f aca="false">IF(Debt!P64+P12&gt;0,(Debt!P51+Debt!P57)/(Debt!P64+P12),0)</f>
        <v>0</v>
      </c>
      <c r="Q19" s="16" t="n">
        <f aca="false">IF(Debt!Q64+Q12&gt;0,(Debt!Q51+Debt!Q57)/(Debt!Q64+Q12),0)</f>
        <v>0</v>
      </c>
      <c r="R19" s="16" t="n">
        <f aca="false">IF(Debt!R64+R12&gt;0,(Debt!R51+Debt!R57)/(Debt!R64+R12),0)</f>
        <v>0</v>
      </c>
      <c r="S19" s="16" t="n">
        <f aca="false">IF(Debt!S64+S12&gt;0,(Debt!S51+Debt!S57)/(Debt!S64+S12),0)</f>
        <v>0</v>
      </c>
      <c r="T19" s="16" t="n">
        <f aca="false">IF(Debt!T64+T12&gt;0,(Debt!T51+Debt!T57)/(Debt!T64+T12),0)</f>
        <v>0</v>
      </c>
      <c r="U19" s="16" t="n">
        <f aca="false">IF(Debt!U64+U12&gt;0,(Debt!U51+Debt!U57)/(Debt!U64+U12),0)</f>
        <v>0</v>
      </c>
      <c r="V19" s="16" t="n">
        <f aca="false">IF(Debt!V64+V12&gt;0,(Debt!V51+Debt!V57)/(Debt!V64+V12),0)</f>
        <v>0</v>
      </c>
      <c r="W19" s="16" t="n">
        <f aca="false">IF(Debt!W64+W12&gt;0,(Debt!W51+Debt!W57)/(Debt!W64+W12),0)</f>
        <v>0</v>
      </c>
      <c r="X19" s="16" t="n">
        <f aca="false">IF(Debt!X64+X12&gt;0,(Debt!X51+Debt!X57)/(Debt!X64+X12),0)</f>
        <v>0</v>
      </c>
      <c r="Y19" s="16" t="n">
        <f aca="false">IF(Debt!Y64+Y12&gt;0,(Debt!Y51+Debt!Y57)/(Debt!Y64+Y12),0)</f>
        <v>0</v>
      </c>
      <c r="Z19" s="16" t="n">
        <f aca="false">IF(Debt!Z64+Z12&gt;0,(Debt!Z51+Debt!Z57)/(Debt!Z64+Z12),0)</f>
        <v>0.504843819958763</v>
      </c>
      <c r="AA19" s="16" t="n">
        <f aca="false">IF(Debt!AA64+AA12&gt;0,(Debt!AA51+Debt!AA57)/(Debt!AA64+AA12),0)</f>
        <v>0.502111691310156</v>
      </c>
      <c r="AB19" s="16" t="n">
        <f aca="false">IF(Debt!AB64+AB12&gt;0,(Debt!AB51+Debt!AB57)/(Debt!AB64+AB12),0)</f>
        <v>0.50284920553557</v>
      </c>
      <c r="AC19" s="16" t="n">
        <f aca="false">IF(Debt!AC64+AC12&gt;0,(Debt!AC51+Debt!AC57)/(Debt!AC64+AC12),0)</f>
        <v>0.49161556598117</v>
      </c>
      <c r="AD19" s="16" t="n">
        <f aca="false">IF(Debt!AD64+AD12&gt;0,(Debt!AD51+Debt!AD57)/(Debt!AD64+AD12),0)</f>
        <v>0.495724565754929</v>
      </c>
      <c r="AE19" s="16" t="n">
        <f aca="false">IF(Debt!AE64+AE12&gt;0,(Debt!AE51+Debt!AE57)/(Debt!AE64+AE12),0)</f>
        <v>0.49161556598117</v>
      </c>
      <c r="AF19" s="16" t="n">
        <f aca="false">IF(Debt!AF64+AF12&gt;0,(Debt!AF51+Debt!AF57)/(Debt!AF64+AF12),0)</f>
        <v>0.498442554993077</v>
      </c>
      <c r="AG19" s="16" t="n">
        <f aca="false">IF(Debt!AG64+AG12&gt;0,(Debt!AG51+Debt!AG57)/(Debt!AG64+AG12),0)</f>
        <v>0.506436715663849</v>
      </c>
      <c r="AH19" s="16" t="n">
        <f aca="false">IF(Debt!AH64+AH12&gt;0,(Debt!AH51+Debt!AH57)/(Debt!AH64+AH12),0)</f>
        <v>0.51054518892879</v>
      </c>
      <c r="AI19" s="16" t="n">
        <f aca="false">IF(Debt!AI64+AI12&gt;0,(Debt!AI51+Debt!AI57)/(Debt!AI64+AI12),0)</f>
        <v>0.506436715663849</v>
      </c>
      <c r="AJ19" s="16" t="n">
        <f aca="false">IF(Debt!AJ64+AJ12&gt;0,(Debt!AJ51+Debt!AJ57)/(Debt!AJ64+AJ12),0)</f>
        <v>0.509168311141315</v>
      </c>
      <c r="AK19" s="16" t="n">
        <f aca="false">IF(Debt!AK64+AK12&gt;0,(Debt!AK51+Debt!AK57)/(Debt!AK64+AK12),0)</f>
        <v>0.506436715663849</v>
      </c>
      <c r="AL19" s="16" t="n">
        <f aca="false">IF(Debt!AL64+AL12&gt;0,(Debt!AL51+Debt!AL57)/(Debt!AL64+AL12),0)</f>
        <v>0.51054518892879</v>
      </c>
      <c r="AM19" s="16" t="n">
        <f aca="false">IF(Debt!AM64+AM12&gt;0,(Debt!AM51+Debt!AM57)/(Debt!AM64+AM12),0)</f>
        <v>0.506436715663849</v>
      </c>
      <c r="AN19" s="16" t="n">
        <f aca="false">IF(Debt!AN64+AN12&gt;0,(Debt!AN51+Debt!AN57)/(Debt!AN64+AN12),0)</f>
        <v>0.51054518892879</v>
      </c>
      <c r="AO19" s="16" t="n">
        <f aca="false">IF(Debt!AO64+AO12&gt;0,(Debt!AO51+Debt!AO57)/(Debt!AO64+AO12),0)</f>
        <v>0.506436715663849</v>
      </c>
      <c r="AP19" s="16" t="n">
        <f aca="false">IF(Debt!AP64+AP12&gt;0,(Debt!AP51+Debt!AP57)/(Debt!AP64+AP12),0)</f>
        <v>0.51054518892879</v>
      </c>
      <c r="AQ19" s="16" t="n">
        <f aca="false">IF(Debt!AQ64+AQ12&gt;0,(Debt!AQ51+Debt!AQ57)/(Debt!AQ64+AQ12),0)</f>
        <v>0.506436715663849</v>
      </c>
      <c r="AR19" s="16" t="n">
        <f aca="false">IF(Debt!AR64+AR12&gt;0,(Debt!AR51+Debt!AR57)/(Debt!AR64+AR12),0)</f>
        <v>0.509168311141315</v>
      </c>
      <c r="AS19" s="16" t="n">
        <f aca="false">IF(Debt!AS64+AS12&gt;0,(Debt!AS51+Debt!AS57)/(Debt!AS64+AS12),0)</f>
        <v>0.506436715663849</v>
      </c>
      <c r="AT19" s="16" t="n">
        <f aca="false">IF(Debt!AT64+AT12&gt;0,(Debt!AT51+Debt!AT57)/(Debt!AT64+AT12),0)</f>
        <v>0.51054518892879</v>
      </c>
      <c r="AU19" s="16" t="n">
        <f aca="false">IF(Debt!AU64+AU12&gt;0,(Debt!AU51+Debt!AU57)/(Debt!AU64+AU12),0)</f>
        <v>0.506436715663849</v>
      </c>
      <c r="AV19" s="16" t="n">
        <f aca="false">IF(Debt!AV64+AV12&gt;0,(Debt!AV51+Debt!AV57)/(Debt!AV64+AV12),0)</f>
        <v>0.51054518892879</v>
      </c>
      <c r="AW19" s="16" t="n">
        <f aca="false">IF(Debt!AW64+AW12&gt;0,(Debt!AW51+Debt!AW57)/(Debt!AW64+AW12),0)</f>
        <v>0.506436715663849</v>
      </c>
      <c r="AX19" s="16" t="n">
        <f aca="false">IF(Debt!AX64+AX12&gt;0,(Debt!AX51+Debt!AX57)/(Debt!AX64+AX12),0)</f>
        <v>0.510545188928791</v>
      </c>
      <c r="AY19" s="16" t="n">
        <f aca="false">IF(Debt!AY64+AY12&gt;0,(Debt!AY51+Debt!AY57)/(Debt!AY64+AY12),0)</f>
        <v>0.50643671566385</v>
      </c>
      <c r="AZ19" s="16" t="n">
        <f aca="false">IF(Debt!AZ64+AZ12&gt;0,(Debt!AZ51+Debt!AZ57)/(Debt!AZ64+AZ12),0)</f>
        <v>0.509168311141315</v>
      </c>
      <c r="BA19" s="16" t="n">
        <f aca="false">IF(Debt!BA64+BA12&gt;0,(Debt!BA51+Debt!BA57)/(Debt!BA64+BA12),0)</f>
        <v>0.50643671566385</v>
      </c>
      <c r="BB19" s="16" t="n">
        <f aca="false">IF(Debt!BB64+BB12&gt;0,(Debt!BB51+Debt!BB57)/(Debt!BB64+BB12),0)</f>
        <v>0.510545188928791</v>
      </c>
      <c r="BC19" s="16" t="n">
        <f aca="false">IF(Debt!BC64+BC12&gt;0,(Debt!BC51+Debt!BC57)/(Debt!BC64+BC12),0)</f>
        <v>0.50643671566385</v>
      </c>
      <c r="BD19" s="16" t="n">
        <f aca="false">IF(Debt!BD64+BD12&gt;0,(Debt!BD51+Debt!BD57)/(Debt!BD64+BD12),0)</f>
        <v>0.510545188928791</v>
      </c>
      <c r="BE19" s="16" t="n">
        <f aca="false">IF(Debt!BE64+BE12&gt;0,(Debt!BE51+Debt!BE57)/(Debt!BE64+BE12),0)</f>
        <v>0.506436715663849</v>
      </c>
      <c r="BF19" s="16" t="n">
        <f aca="false">IF(Debt!BF64+BF12&gt;0,(Debt!BF51+Debt!BF57)/(Debt!BF64+BF12),0)</f>
        <v>0.51054518892879</v>
      </c>
      <c r="BG19" s="16" t="n">
        <f aca="false">IF(Debt!BG64+BG12&gt;0,(Debt!BG51+Debt!BG57)/(Debt!BG64+BG12),0)</f>
        <v>0.505565760351016</v>
      </c>
      <c r="BH19" s="16" t="n">
        <f aca="false">IF(Debt!BH64+BH12&gt;0,(Debt!BH51+Debt!BH57)/(Debt!BH64+BH12),0)</f>
        <v>0.508297496068233</v>
      </c>
      <c r="BI19" s="16" t="n">
        <f aca="false">IF(Debt!BI64+BI12&gt;0,(Debt!BI51+Debt!BI57)/(Debt!BI64+BI12),0)</f>
        <v>0.505565760351016</v>
      </c>
      <c r="BJ19" s="16" t="n">
        <f aca="false">IF(Debt!BJ64+BJ12&gt;0,(Debt!BJ51+Debt!BJ57)/(Debt!BJ64+BJ12),0)</f>
        <v>0.509674464256503</v>
      </c>
      <c r="BK19" s="16" t="n">
        <f aca="false">IF(Debt!BK64+BK12&gt;0,(Debt!BK51+Debt!BK57)/(Debt!BK64+BK12),0)</f>
        <v>0.505565760351016</v>
      </c>
      <c r="BL19" s="16" t="n">
        <f aca="false">IF(Debt!BL64+BL12&gt;0,(Debt!BL51+Debt!BL57)/(Debt!BL64+BL12),0)</f>
        <v>0.509674464256503</v>
      </c>
      <c r="BM19" s="16" t="n">
        <f aca="false">IF(Debt!BM64+BM12&gt;0,(Debt!BM51+Debt!BM57)/(Debt!BM64+BM12),0)</f>
        <v>0.505565760351016</v>
      </c>
      <c r="BN19" s="16" t="n">
        <f aca="false">IF(Debt!BN64+BN12&gt;0,(Debt!BN51+Debt!BN57)/(Debt!BN64+BN12),0)</f>
        <v>0.509674464256503</v>
      </c>
      <c r="BO19" s="16" t="n">
        <f aca="false">IF(Debt!BO64+BO12&gt;0,(Debt!BO51+Debt!BO57)/(Debt!BO64+BO12),0)</f>
        <v>0.505565760351016</v>
      </c>
      <c r="BP19" s="16" t="n">
        <f aca="false">IF(Debt!BP64+BP12&gt;0,(Debt!BP51+Debt!BP57)/(Debt!BP64+BP12),0)</f>
        <v>0.508297496068233</v>
      </c>
      <c r="BQ19" s="16" t="n">
        <f aca="false">IF(Debt!BQ64+BQ12&gt;0,(Debt!BQ51+Debt!BQ57)/(Debt!BQ64+BQ12),0)</f>
        <v>0.505565760351016</v>
      </c>
      <c r="BR19" s="16" t="n">
        <f aca="false">IF(Debt!BR64+BR12&gt;0,(Debt!BR51+Debt!BR57)/(Debt!BR64+BR12),0)</f>
        <v>0.509674464256502</v>
      </c>
      <c r="BS19" s="16" t="n">
        <f aca="false">IF(Debt!BS64+BS12&gt;0,(Debt!BS51+Debt!BS57)/(Debt!BS64+BS12),0)</f>
        <v>0.505565760351016</v>
      </c>
      <c r="BT19" s="16" t="n">
        <f aca="false">IF(Debt!BT64+BT12&gt;0,(Debt!BT51+Debt!BT57)/(Debt!BT64+BT12),0)</f>
        <v>0.509674464256502</v>
      </c>
      <c r="BU19" s="16" t="n">
        <f aca="false">IF(Debt!BU64+BU12&gt;0,(Debt!BU51+Debt!BU57)/(Debt!BU64+BU12),0)</f>
        <v>0.505565760351016</v>
      </c>
      <c r="BV19" s="16" t="n">
        <f aca="false">IF(Debt!BV64+BV12&gt;0,(Debt!BV51+Debt!BV57)/(Debt!BV64+BV12),0)</f>
        <v>0.509674464256503</v>
      </c>
      <c r="BW19" s="16" t="n">
        <f aca="false">IF(Debt!BW64+BW12&gt;0,(Debt!BW51+Debt!BW57)/(Debt!BW64+BW12),0)</f>
        <v>0.505565760351016</v>
      </c>
      <c r="BX19" s="16" t="n">
        <f aca="false">IF(Debt!BX64+BX12&gt;0,(Debt!BX51+Debt!BX57)/(Debt!BX64+BX12),0)</f>
        <v>0.508297496068233</v>
      </c>
      <c r="BY19" s="16" t="n">
        <f aca="false">IF(Debt!BY64+BY12&gt;0,(Debt!BY51+Debt!BY57)/(Debt!BY64+BY12),0)</f>
        <v>0.505565760351016</v>
      </c>
      <c r="BZ19" s="16" t="n">
        <f aca="false">IF(Debt!BZ64+BZ12&gt;0,(Debt!BZ51+Debt!BZ57)/(Debt!BZ64+BZ12),0)</f>
        <v>0.509674464256503</v>
      </c>
      <c r="CA19" s="16" t="n">
        <f aca="false">IF(Debt!CA64+CA12&gt;0,(Debt!CA51+Debt!CA57)/(Debt!CA64+CA12),0)</f>
        <v>0.505565760351016</v>
      </c>
      <c r="CB19" s="16" t="n">
        <f aca="false">IF(Debt!CB64+CB12&gt;0,(Debt!CB51+Debt!CB57)/(Debt!CB64+CB12),0)</f>
        <v>0.509674464256503</v>
      </c>
      <c r="CC19" s="16" t="n">
        <f aca="false">IF(Debt!CC64+CC12&gt;0,(Debt!CC51+Debt!CC57)/(Debt!CC64+CC12),0)</f>
        <v>0.505565760351016</v>
      </c>
      <c r="CD19" s="16" t="n">
        <f aca="false">IF(Debt!CD64+CD12&gt;0,(Debt!CD51+Debt!CD57)/(Debt!CD64+CD12),0)</f>
        <v>0.509674464256503</v>
      </c>
      <c r="CE19" s="16" t="n">
        <f aca="false">IF(Debt!CE64+CE12&gt;0,(Debt!CE51+Debt!CE57)/(Debt!CE64+CE12),0)</f>
        <v>0.505565760351016</v>
      </c>
      <c r="CF19" s="16" t="n">
        <f aca="false">IF(Debt!CF64+CF12&gt;0,(Debt!CF51+Debt!CF57)/(Debt!CF64+CF12),0)</f>
        <v>0.508297496068233</v>
      </c>
      <c r="CG19" s="16" t="n">
        <f aca="false">IF(Debt!CG64+CG12&gt;0,(Debt!CG51+Debt!CG57)/(Debt!CG64+CG12),0)</f>
        <v>0.505565760351016</v>
      </c>
      <c r="CH19" s="16" t="n">
        <f aca="false">IF(Debt!CH64+CH12&gt;0,(Debt!CH51+Debt!CH57)/(Debt!CH64+CH12),0)</f>
        <v>0.511122128522717</v>
      </c>
      <c r="CI19" s="16" t="n">
        <f aca="false">IF(Debt!CI64+CI12&gt;0,(Debt!CI51+Debt!CI57)/(Debt!CI64+CI12),0)</f>
        <v>0.507013821815227</v>
      </c>
      <c r="CJ19" s="16" t="n">
        <f aca="false">IF(Debt!CJ64+CJ12&gt;0,(Debt!CJ51+Debt!CJ57)/(Debt!CJ64+CJ12),0)</f>
        <v>0.511122128522717</v>
      </c>
      <c r="CK19" s="16" t="n">
        <f aca="false">IF(Debt!CK64+CK12&gt;0,(Debt!CK51+Debt!CK57)/(Debt!CK64+CK12),0)</f>
        <v>0.507013821815227</v>
      </c>
      <c r="CL19" s="16" t="n">
        <f aca="false">IF(Debt!CL64+CL12&gt;0,(Debt!CL51+Debt!CL57)/(Debt!CL64+CL12),0)</f>
        <v>0.511122128522717</v>
      </c>
      <c r="CM19" s="16" t="n">
        <f aca="false">IF(Debt!CM64+CM12&gt;0,(Debt!CM51+Debt!CM57)/(Debt!CM64+CM12),0)</f>
        <v>0.507013821815227</v>
      </c>
      <c r="CN19" s="16" t="n">
        <f aca="false">IF(Debt!CN64+CN12&gt;0,(Debt!CN51+Debt!CN57)/(Debt!CN64+CN12),0)</f>
        <v>0.509745315237035</v>
      </c>
      <c r="CO19" s="16" t="n">
        <f aca="false">IF(Debt!CO64+CO12&gt;0,(Debt!CO51+Debt!CO57)/(Debt!CO64+CO12),0)</f>
        <v>0.507013821815227</v>
      </c>
      <c r="CP19" s="16" t="n">
        <f aca="false">IF(Debt!CP64+CP12&gt;0,(Debt!CP51+Debt!CP57)/(Debt!CP64+CP12),0)</f>
        <v>0.511122128522717</v>
      </c>
      <c r="CQ19" s="16" t="n">
        <f aca="false">IF(Debt!CQ64+CQ12&gt;0,(Debt!CQ51+Debt!CQ57)/(Debt!CQ64+CQ12),0)</f>
        <v>0.507013821815227</v>
      </c>
      <c r="CR19" s="16" t="n">
        <f aca="false">IF(Debt!CR64+CR12&gt;0,(Debt!CR51+Debt!CR57)/(Debt!CR64+CR12),0)</f>
        <v>0.511122128522717</v>
      </c>
      <c r="CS19" s="16" t="n">
        <f aca="false">IF(Debt!CS64+CS12&gt;0,(Debt!CS51+Debt!CS57)/(Debt!CS64+CS12),0)</f>
        <v>0.509059686401644</v>
      </c>
      <c r="CT19" s="16" t="n">
        <f aca="false">IF(Debt!CT64+CT12&gt;0,(Debt!CT51+Debt!CT57)/(Debt!CT64+CT12),0)</f>
        <v>0.509745315237035</v>
      </c>
      <c r="CU19" s="16" t="n">
        <f aca="false">IF(Debt!CU64+CU12&gt;0,(Debt!CU51+Debt!CU57)/(Debt!CU64+CU12),0)</f>
        <v>0.509059686401644</v>
      </c>
      <c r="CV19" s="16" t="n">
        <f aca="false">IF(Debt!CV64+CV12&gt;0,(Debt!CV51+Debt!CV57)/(Debt!CV64+CV12),0)</f>
        <v>0.509196664577091</v>
      </c>
      <c r="CW19" s="16" t="n">
        <f aca="false">IF(Debt!CW64+CW12&gt;0,(Debt!CW51+Debt!CW57)/(Debt!CW64+CW12),0)</f>
        <v>0.508831553139299</v>
      </c>
      <c r="CX19" s="16" t="n">
        <f aca="false">IF(Debt!CX64+CX12&gt;0,(Debt!CX51+Debt!CX57)/(Debt!CX64+CX12),0)</f>
        <v>0.509157520434032</v>
      </c>
      <c r="CY19" s="16" t="n">
        <f aca="false">IF(Debt!CY64+CY12&gt;0,(Debt!CY51+Debt!CY57)/(Debt!CY64+CY12),0)</f>
        <v>0.508888567283281</v>
      </c>
      <c r="CZ19" s="16" t="n">
        <f aca="false">IF(Debt!CZ64+CZ12&gt;0,(Debt!CZ51+Debt!CZ57)/(Debt!CZ64+CZ12),0)</f>
        <v>0.509135776288303</v>
      </c>
      <c r="DA19" s="16" t="n">
        <f aca="false">IF(Debt!DA64+DA12&gt;0,(Debt!DA51+Debt!DA57)/(Debt!DA64+DA12),0)</f>
        <v>0.508922781902934</v>
      </c>
      <c r="DB19" s="16" t="n">
        <f aca="false">IF(Debt!DB64+DB12&gt;0,(Debt!DB51+Debt!DB57)/(Debt!DB64+DB12),0)</f>
        <v>0.509121940071611</v>
      </c>
    </row>
    <row r="20" customFormat="false" ht="15" hidden="false" customHeight="false" outlineLevel="0" collapsed="false">
      <c r="D20" s="0" t="s">
        <v>607</v>
      </c>
      <c r="E20" s="0" t="s">
        <v>44</v>
      </c>
      <c r="G20" s="19" t="n">
        <f aca="false">SUM(J20:DB20)</f>
        <v>396.958576055849</v>
      </c>
      <c r="J20" s="19" t="n">
        <f aca="false">IF(Debt!J67&gt;0,J17*Debt!J45/Debt!J67,0)</f>
        <v>0</v>
      </c>
      <c r="K20" s="19" t="n">
        <f aca="false">IF(Debt!K67&gt;0,K17*Debt!K45/Debt!K67,0)</f>
        <v>0</v>
      </c>
      <c r="L20" s="19" t="n">
        <f aca="false">IF(Debt!L67&gt;0,L17*Debt!L45/Debt!L67,0)</f>
        <v>0</v>
      </c>
      <c r="M20" s="19" t="n">
        <f aca="false">IF(Debt!M67&gt;0,M17*Debt!M45/Debt!M67,0)</f>
        <v>0</v>
      </c>
      <c r="N20" s="19" t="n">
        <f aca="false">IF(Debt!N67&gt;0,N17*Debt!N45/Debt!N67,0)</f>
        <v>0</v>
      </c>
      <c r="O20" s="19" t="n">
        <f aca="false">IF(Debt!O67&gt;0,O17*Debt!O45/Debt!O67,0)</f>
        <v>0</v>
      </c>
      <c r="P20" s="19" t="n">
        <f aca="false">IF(Debt!P67&gt;0,P17*Debt!P45/Debt!P67,0)</f>
        <v>0</v>
      </c>
      <c r="Q20" s="19" t="n">
        <f aca="false">IF(Debt!Q67&gt;0,Q17*Debt!Q45/Debt!Q67,0)</f>
        <v>0</v>
      </c>
      <c r="R20" s="19" t="n">
        <f aca="false">IF(Debt!R67&gt;0,R17*Debt!R45/Debt!R67,0)</f>
        <v>0</v>
      </c>
      <c r="S20" s="19" t="n">
        <f aca="false">IF(Debt!S67&gt;0,S17*Debt!S45/Debt!S67,0)</f>
        <v>0</v>
      </c>
      <c r="T20" s="19" t="n">
        <f aca="false">IF(Debt!T67&gt;0,T17*Debt!T45/Debt!T67,0)</f>
        <v>0</v>
      </c>
      <c r="U20" s="19" t="n">
        <f aca="false">IF(Debt!U67&gt;0,U17*Debt!U45/Debt!U67,0)</f>
        <v>0</v>
      </c>
      <c r="V20" s="19" t="n">
        <f aca="false">IF(Debt!V67&gt;0,V17*Debt!V45/Debt!V67,0)</f>
        <v>0</v>
      </c>
      <c r="W20" s="19" t="n">
        <f aca="false">IF(Debt!W67&gt;0,W17*Debt!W45/Debt!W67,0)</f>
        <v>0</v>
      </c>
      <c r="X20" s="19" t="n">
        <f aca="false">IF(Debt!X67&gt;0,X17*Debt!X45/Debt!X67,0)</f>
        <v>0</v>
      </c>
      <c r="Y20" s="19" t="n">
        <f aca="false">IF(Debt!Y67&gt;0,Y17*Debt!Y45/Debt!Y67,0)</f>
        <v>0</v>
      </c>
      <c r="Z20" s="19" t="n">
        <f aca="false">IF(Debt!Z67&gt;0,Z17*Debt!Z45/Debt!Z67,0)</f>
        <v>0</v>
      </c>
      <c r="AA20" s="19" t="n">
        <f aca="false">IF(Debt!AA67&gt;0,AA17*Debt!AA45/Debt!AA67,0)</f>
        <v>0</v>
      </c>
      <c r="AB20" s="19" t="n">
        <f aca="false">IF(Debt!AB67&gt;0,AB17*Debt!AB45/Debt!AB67,0)</f>
        <v>0</v>
      </c>
      <c r="AC20" s="19" t="n">
        <f aca="false">IF(Debt!AC67&gt;0,AC17*Debt!AC45/Debt!AC67,0)</f>
        <v>0</v>
      </c>
      <c r="AD20" s="19" t="n">
        <f aca="false">IF(Debt!AD67&gt;0,AD17*Debt!AD45/Debt!AD67,0)</f>
        <v>0</v>
      </c>
      <c r="AE20" s="19" t="n">
        <f aca="false">IF(Debt!AE67&gt;0,AE17*Debt!AE45/Debt!AE67,0)</f>
        <v>0</v>
      </c>
      <c r="AF20" s="19" t="n">
        <f aca="false">IF(Debt!AF67&gt;0,AF17*Debt!AF45/Debt!AF67,0)</f>
        <v>0</v>
      </c>
      <c r="AG20" s="19" t="n">
        <f aca="false">IF(Debt!AG67&gt;0,AG17*Debt!AG45/Debt!AG67,0)</f>
        <v>0</v>
      </c>
      <c r="AH20" s="19" t="n">
        <f aca="false">IF(Debt!AH67&gt;0,AH17*Debt!AH45/Debt!AH67,0)</f>
        <v>0</v>
      </c>
      <c r="AI20" s="19" t="n">
        <f aca="false">IF(Debt!AI67&gt;0,AI17*Debt!AI45/Debt!AI67,0)</f>
        <v>0</v>
      </c>
      <c r="AJ20" s="19" t="n">
        <f aca="false">IF(Debt!AJ67&gt;0,AJ17*Debt!AJ45/Debt!AJ67,0)</f>
        <v>0</v>
      </c>
      <c r="AK20" s="19" t="n">
        <f aca="false">IF(Debt!AK67&gt;0,AK17*Debt!AK45/Debt!AK67,0)</f>
        <v>0</v>
      </c>
      <c r="AL20" s="19" t="n">
        <f aca="false">IF(Debt!AL67&gt;0,AL17*Debt!AL45/Debt!AL67,0)</f>
        <v>0</v>
      </c>
      <c r="AM20" s="19" t="n">
        <f aca="false">IF(Debt!AM67&gt;0,AM17*Debt!AM45/Debt!AM67,0)</f>
        <v>0</v>
      </c>
      <c r="AN20" s="19" t="n">
        <f aca="false">IF(Debt!AN67&gt;0,AN17*Debt!AN45/Debt!AN67,0)</f>
        <v>0</v>
      </c>
      <c r="AO20" s="19" t="n">
        <f aca="false">IF(Debt!AO67&gt;0,AO17*Debt!AO45/Debt!AO67,0)</f>
        <v>0</v>
      </c>
      <c r="AP20" s="19" t="n">
        <f aca="false">IF(Debt!AP67&gt;0,AP17*Debt!AP45/Debt!AP67,0)</f>
        <v>0</v>
      </c>
      <c r="AQ20" s="19" t="n">
        <f aca="false">IF(Debt!AQ67&gt;0,AQ17*Debt!AQ45/Debt!AQ67,0)</f>
        <v>0</v>
      </c>
      <c r="AR20" s="19" t="n">
        <f aca="false">IF(Debt!AR67&gt;0,AR17*Debt!AR45/Debt!AR67,0)</f>
        <v>0</v>
      </c>
      <c r="AS20" s="19" t="n">
        <f aca="false">IF(Debt!AS67&gt;0,AS17*Debt!AS45/Debt!AS67,0)</f>
        <v>0</v>
      </c>
      <c r="AT20" s="19" t="n">
        <f aca="false">IF(Debt!AT67&gt;0,AT17*Debt!AT45/Debt!AT67,0)</f>
        <v>0</v>
      </c>
      <c r="AU20" s="19" t="n">
        <f aca="false">IF(Debt!AU67&gt;0,AU17*Debt!AU45/Debt!AU67,0)</f>
        <v>0</v>
      </c>
      <c r="AV20" s="19" t="n">
        <f aca="false">IF(Debt!AV67&gt;0,AV17*Debt!AV45/Debt!AV67,0)</f>
        <v>0.00384364651394158</v>
      </c>
      <c r="AW20" s="19" t="n">
        <f aca="false">IF(Debt!AW67&gt;0,AW17*Debt!AW45/Debt!AW67,0)</f>
        <v>0.818489457299657</v>
      </c>
      <c r="AX20" s="19" t="n">
        <f aca="false">IF(Debt!AX67&gt;0,AX17*Debt!AX45/Debt!AX67,0)</f>
        <v>0.969211253563121</v>
      </c>
      <c r="AY20" s="19" t="n">
        <f aca="false">IF(Debt!AY67&gt;0,AY17*Debt!AY45/Debt!AY67,0)</f>
        <v>0.831497969575935</v>
      </c>
      <c r="AZ20" s="19" t="n">
        <f aca="false">IF(Debt!AZ67&gt;0,AZ17*Debt!AZ45/Debt!AZ67,0)</f>
        <v>1.03065032139124</v>
      </c>
      <c r="BA20" s="19" t="n">
        <f aca="false">IF(Debt!BA67&gt;0,BA17*Debt!BA45/Debt!BA67,0)</f>
        <v>1.53525978342102</v>
      </c>
      <c r="BB20" s="19" t="n">
        <f aca="false">IF(Debt!BB67&gt;0,BB17*Debt!BB45/Debt!BB67,0)</f>
        <v>1.70858526790946</v>
      </c>
      <c r="BC20" s="19" t="n">
        <f aca="false">IF(Debt!BC67&gt;0,BC17*Debt!BC45/Debt!BC67,0)</f>
        <v>3.71025285074029</v>
      </c>
      <c r="BD20" s="19" t="n">
        <f aca="false">IF(Debt!BD67&gt;0,BD17*Debt!BD45/Debt!BD67,0)</f>
        <v>3.94241338568352</v>
      </c>
      <c r="BE20" s="19" t="n">
        <f aca="false">IF(Debt!BE67&gt;0,BE17*Debt!BE45/Debt!BE67,0)</f>
        <v>5.29731909622283</v>
      </c>
      <c r="BF20" s="19" t="n">
        <f aca="false">IF(Debt!BF67&gt;0,BF17*Debt!BF45/Debt!BF67,0)</f>
        <v>5.5721356602253</v>
      </c>
      <c r="BG20" s="19" t="n">
        <f aca="false">IF(Debt!BG67&gt;0,BG17*Debt!BG45/Debt!BG67,0)</f>
        <v>6.32075384574522</v>
      </c>
      <c r="BH20" s="19" t="n">
        <f aca="false">IF(Debt!BH67&gt;0,BH17*Debt!BH45/Debt!BH67,0)</f>
        <v>6.68658596788978</v>
      </c>
      <c r="BI20" s="19" t="n">
        <f aca="false">IF(Debt!BI67&gt;0,BI17*Debt!BI45/Debt!BI67,0)</f>
        <v>7.45542151190441</v>
      </c>
      <c r="BJ20" s="19" t="n">
        <f aca="false">IF(Debt!BJ67&gt;0,BJ17*Debt!BJ45/Debt!BJ67,0)</f>
        <v>7.78762701909466</v>
      </c>
      <c r="BK20" s="19" t="n">
        <f aca="false">IF(Debt!BK67&gt;0,BK17*Debt!BK45/Debt!BK67,0)</f>
        <v>8.68852305380244</v>
      </c>
      <c r="BL20" s="19" t="n">
        <f aca="false">IF(Debt!BL67&gt;0,BL17*Debt!BL45/Debt!BL67,0)</f>
        <v>9.05291595866591</v>
      </c>
      <c r="BM20" s="19" t="n">
        <f aca="false">IF(Debt!BM67&gt;0,BM17*Debt!BM45/Debt!BM67,0)</f>
        <v>10.0217490195617</v>
      </c>
      <c r="BN20" s="19" t="n">
        <f aca="false">IF(Debt!BN67&gt;0,BN17*Debt!BN45/Debt!BN67,0)</f>
        <v>10.4200208239568</v>
      </c>
      <c r="BO20" s="19" t="n">
        <f aca="false">IF(Debt!BO67&gt;0,BO17*Debt!BO45/Debt!BO67,0)</f>
        <v>8.32458164330992</v>
      </c>
      <c r="BP20" s="19" t="n">
        <f aca="false">IF(Debt!BP67&gt;0,BP17*Debt!BP45/Debt!BP67,0)</f>
        <v>8.76477874530208</v>
      </c>
      <c r="BQ20" s="19" t="n">
        <f aca="false">IF(Debt!BQ67&gt;0,BQ17*Debt!BQ45/Debt!BQ67,0)</f>
        <v>9.72635355806937</v>
      </c>
      <c r="BR20" s="19" t="n">
        <f aca="false">IF(Debt!BR67&gt;0,BR17*Debt!BR45/Debt!BR67,0)</f>
        <v>9.89960020066923</v>
      </c>
      <c r="BS20" s="19" t="n">
        <f aca="false">IF(Debt!BS67&gt;0,BS17*Debt!BS45/Debt!BS67,0)</f>
        <v>10.9984138876999</v>
      </c>
      <c r="BT20" s="19" t="n">
        <f aca="false">IF(Debt!BT67&gt;0,BT17*Debt!BT45/Debt!BT67,0)</f>
        <v>11.1959385054357</v>
      </c>
      <c r="BU20" s="19" t="n">
        <f aca="false">IF(Debt!BU67&gt;0,BU17*Debt!BU45/Debt!BU67,0)</f>
        <v>15.509484031211</v>
      </c>
      <c r="BV20" s="19" t="n">
        <f aca="false">IF(Debt!BV67&gt;0,BV17*Debt!BV45/Debt!BV67,0)</f>
        <v>15.8153043927835</v>
      </c>
      <c r="BW20" s="19" t="n">
        <f aca="false">IF(Debt!BW67&gt;0,BW17*Debt!BW45/Debt!BW67,0)</f>
        <v>17.1464309345443</v>
      </c>
      <c r="BX20" s="19" t="n">
        <f aca="false">IF(Debt!BX67&gt;0,BX17*Debt!BX45/Debt!BX67,0)</f>
        <v>17.5943794641363</v>
      </c>
      <c r="BY20" s="19" t="n">
        <f aca="false">IF(Debt!BY67&gt;0,BY17*Debt!BY45/Debt!BY67,0)</f>
        <v>18.9025626623557</v>
      </c>
      <c r="BZ20" s="19" t="n">
        <f aca="false">IF(Debt!BZ67&gt;0,BZ17*Debt!BZ45/Debt!BZ67,0)</f>
        <v>19.2724511110459</v>
      </c>
      <c r="CA20" s="19" t="n">
        <f aca="false">IF(Debt!CA67&gt;0,CA17*Debt!CA45/Debt!CA67,0)</f>
        <v>18.7495244435206</v>
      </c>
      <c r="CB20" s="19" t="n">
        <f aca="false">IF(Debt!CB67&gt;0,CB17*Debt!CB45/Debt!CB67,0)</f>
        <v>19.1016386723445</v>
      </c>
      <c r="CC20" s="19" t="n">
        <f aca="false">IF(Debt!CC67&gt;0,CC17*Debt!CC45/Debt!CC67,0)</f>
        <v>20.6477723464428</v>
      </c>
      <c r="CD20" s="19" t="n">
        <f aca="false">IF(Debt!CD67&gt;0,CD17*Debt!CD45/Debt!CD67,0)</f>
        <v>21.0356450230864</v>
      </c>
      <c r="CE20" s="19" t="n">
        <f aca="false">IF(Debt!CE67&gt;0,CE17*Debt!CE45/Debt!CE67,0)</f>
        <v>21.6955804349277</v>
      </c>
      <c r="CF20" s="19" t="n">
        <f aca="false">IF(Debt!CF67&gt;0,CF17*Debt!CF45/Debt!CF67,0)</f>
        <v>19.4376203733249</v>
      </c>
      <c r="CG20" s="19" t="n">
        <f aca="false">IF(Debt!CG67&gt;0,CG17*Debt!CG45/Debt!CG67,0)</f>
        <v>21.2872597324723</v>
      </c>
      <c r="CH20" s="19" t="n">
        <f aca="false">IF(Debt!CH67&gt;0,CH17*Debt!CH45/Debt!CH67,0)</f>
        <v>0</v>
      </c>
      <c r="CI20" s="19" t="n">
        <f aca="false">IF(Debt!CI67&gt;0,CI17*Debt!CI45/Debt!CI67,0)</f>
        <v>0</v>
      </c>
      <c r="CJ20" s="19" t="n">
        <f aca="false">IF(Debt!CJ67&gt;0,CJ17*Debt!CJ45/Debt!CJ67,0)</f>
        <v>0</v>
      </c>
      <c r="CK20" s="19" t="n">
        <f aca="false">IF(Debt!CK67&gt;0,CK17*Debt!CK45/Debt!CK67,0)</f>
        <v>0</v>
      </c>
      <c r="CL20" s="19" t="n">
        <f aca="false">IF(Debt!CL67&gt;0,CL17*Debt!CL45/Debt!CL67,0)</f>
        <v>0</v>
      </c>
      <c r="CM20" s="19" t="n">
        <f aca="false">IF(Debt!CM67&gt;0,CM17*Debt!CM45/Debt!CM67,0)</f>
        <v>0</v>
      </c>
      <c r="CN20" s="19" t="n">
        <f aca="false">IF(Debt!CN67&gt;0,CN17*Debt!CN45/Debt!CN67,0)</f>
        <v>0</v>
      </c>
      <c r="CO20" s="19" t="n">
        <f aca="false">IF(Debt!CO67&gt;0,CO17*Debt!CO45/Debt!CO67,0)</f>
        <v>0</v>
      </c>
      <c r="CP20" s="19" t="n">
        <f aca="false">IF(Debt!CP67&gt;0,CP17*Debt!CP45/Debt!CP67,0)</f>
        <v>0</v>
      </c>
      <c r="CQ20" s="19" t="n">
        <f aca="false">IF(Debt!CQ67&gt;0,CQ17*Debt!CQ45/Debt!CQ67,0)</f>
        <v>0</v>
      </c>
      <c r="CR20" s="19" t="n">
        <f aca="false">IF(Debt!CR67&gt;0,CR17*Debt!CR45/Debt!CR67,0)</f>
        <v>0</v>
      </c>
      <c r="CS20" s="19" t="n">
        <f aca="false">IF(Debt!CS67&gt;0,CS17*Debt!CS45/Debt!CS67,0)</f>
        <v>0</v>
      </c>
      <c r="CT20" s="19" t="n">
        <f aca="false">IF(Debt!CT67&gt;0,CT17*Debt!CT45/Debt!CT67,0)</f>
        <v>0</v>
      </c>
      <c r="CU20" s="19" t="n">
        <f aca="false">IF(Debt!CU67&gt;0,CU17*Debt!CU45/Debt!CU67,0)</f>
        <v>0</v>
      </c>
      <c r="CV20" s="19" t="n">
        <f aca="false">IF(Debt!CV67&gt;0,CV17*Debt!CV45/Debt!CV67,0)</f>
        <v>0</v>
      </c>
      <c r="CW20" s="19" t="n">
        <f aca="false">IF(Debt!CW67&gt;0,CW17*Debt!CW45/Debt!CW67,0)</f>
        <v>0</v>
      </c>
      <c r="CX20" s="19" t="n">
        <f aca="false">IF(Debt!CX67&gt;0,CX17*Debt!CX45/Debt!CX67,0)</f>
        <v>0</v>
      </c>
      <c r="CY20" s="19" t="n">
        <f aca="false">IF(Debt!CY67&gt;0,CY17*Debt!CY45/Debt!CY67,0)</f>
        <v>0</v>
      </c>
      <c r="CZ20" s="19" t="n">
        <f aca="false">IF(Debt!CZ67&gt;0,CZ17*Debt!CZ45/Debt!CZ67,0)</f>
        <v>0</v>
      </c>
      <c r="DA20" s="19" t="n">
        <f aca="false">IF(Debt!DA67&gt;0,DA17*Debt!DA45/Debt!DA67,0)</f>
        <v>0</v>
      </c>
      <c r="DB20" s="19" t="n">
        <f aca="false">IF(Debt!DB67&gt;0,DB17*Debt!DB45/Debt!DB67,0)</f>
        <v>0</v>
      </c>
    </row>
    <row r="21" customFormat="false" ht="15" hidden="false" customHeight="false" outlineLevel="0" collapsed="false">
      <c r="D21" s="0" t="s">
        <v>608</v>
      </c>
      <c r="E21" s="0" t="s">
        <v>44</v>
      </c>
      <c r="G21" s="19" t="n">
        <f aca="false">SUM(J21:DB21)</f>
        <v>485.171592957149</v>
      </c>
      <c r="J21" s="19" t="n">
        <f aca="false">IF(Debt!J67&gt;0,J17*Debt!J52/Debt!J67,0)</f>
        <v>0</v>
      </c>
      <c r="K21" s="19" t="n">
        <f aca="false">IF(Debt!K67&gt;0,K17*Debt!K52/Debt!K67,0)</f>
        <v>0</v>
      </c>
      <c r="L21" s="19" t="n">
        <f aca="false">IF(Debt!L67&gt;0,L17*Debt!L52/Debt!L67,0)</f>
        <v>0</v>
      </c>
      <c r="M21" s="19" t="n">
        <f aca="false">IF(Debt!M67&gt;0,M17*Debt!M52/Debt!M67,0)</f>
        <v>0</v>
      </c>
      <c r="N21" s="19" t="n">
        <f aca="false">IF(Debt!N67&gt;0,N17*Debt!N52/Debt!N67,0)</f>
        <v>0</v>
      </c>
      <c r="O21" s="19" t="n">
        <f aca="false">IF(Debt!O67&gt;0,O17*Debt!O52/Debt!O67,0)</f>
        <v>0</v>
      </c>
      <c r="P21" s="19" t="n">
        <f aca="false">IF(Debt!P67&gt;0,P17*Debt!P52/Debt!P67,0)</f>
        <v>0</v>
      </c>
      <c r="Q21" s="19" t="n">
        <f aca="false">IF(Debt!Q67&gt;0,Q17*Debt!Q52/Debt!Q67,0)</f>
        <v>0</v>
      </c>
      <c r="R21" s="19" t="n">
        <f aca="false">IF(Debt!R67&gt;0,R17*Debt!R52/Debt!R67,0)</f>
        <v>0</v>
      </c>
      <c r="S21" s="19" t="n">
        <f aca="false">IF(Debt!S67&gt;0,S17*Debt!S52/Debt!S67,0)</f>
        <v>0</v>
      </c>
      <c r="T21" s="19" t="n">
        <f aca="false">IF(Debt!T67&gt;0,T17*Debt!T52/Debt!T67,0)</f>
        <v>0</v>
      </c>
      <c r="U21" s="19" t="n">
        <f aca="false">IF(Debt!U67&gt;0,U17*Debt!U52/Debt!U67,0)</f>
        <v>0</v>
      </c>
      <c r="V21" s="19" t="n">
        <f aca="false">IF(Debt!V67&gt;0,V17*Debt!V52/Debt!V67,0)</f>
        <v>0</v>
      </c>
      <c r="W21" s="19" t="n">
        <f aca="false">IF(Debt!W67&gt;0,W17*Debt!W52/Debt!W67,0)</f>
        <v>0</v>
      </c>
      <c r="X21" s="19" t="n">
        <f aca="false">IF(Debt!X67&gt;0,X17*Debt!X52/Debt!X67,0)</f>
        <v>0</v>
      </c>
      <c r="Y21" s="19" t="n">
        <f aca="false">IF(Debt!Y67&gt;0,Y17*Debt!Y52/Debt!Y67,0)</f>
        <v>0</v>
      </c>
      <c r="Z21" s="19" t="n">
        <f aca="false">IF(Debt!Z67&gt;0,Z17*Debt!Z52/Debt!Z67,0)</f>
        <v>0</v>
      </c>
      <c r="AA21" s="19" t="n">
        <f aca="false">IF(Debt!AA67&gt;0,AA17*Debt!AA52/Debt!AA67,0)</f>
        <v>0</v>
      </c>
      <c r="AB21" s="19" t="n">
        <f aca="false">IF(Debt!AB67&gt;0,AB17*Debt!AB52/Debt!AB67,0)</f>
        <v>0</v>
      </c>
      <c r="AC21" s="19" t="n">
        <f aca="false">IF(Debt!AC67&gt;0,AC17*Debt!AC52/Debt!AC67,0)</f>
        <v>0</v>
      </c>
      <c r="AD21" s="19" t="n">
        <f aca="false">IF(Debt!AD67&gt;0,AD17*Debt!AD52/Debt!AD67,0)</f>
        <v>0</v>
      </c>
      <c r="AE21" s="19" t="n">
        <f aca="false">IF(Debt!AE67&gt;0,AE17*Debt!AE52/Debt!AE67,0)</f>
        <v>0</v>
      </c>
      <c r="AF21" s="19" t="n">
        <f aca="false">IF(Debt!AF67&gt;0,AF17*Debt!AF52/Debt!AF67,0)</f>
        <v>0</v>
      </c>
      <c r="AG21" s="19" t="n">
        <f aca="false">IF(Debt!AG67&gt;0,AG17*Debt!AG52/Debt!AG67,0)</f>
        <v>0</v>
      </c>
      <c r="AH21" s="19" t="n">
        <f aca="false">IF(Debt!AH67&gt;0,AH17*Debt!AH52/Debt!AH67,0)</f>
        <v>0</v>
      </c>
      <c r="AI21" s="19" t="n">
        <f aca="false">IF(Debt!AI67&gt;0,AI17*Debt!AI52/Debt!AI67,0)</f>
        <v>0</v>
      </c>
      <c r="AJ21" s="19" t="n">
        <f aca="false">IF(Debt!AJ67&gt;0,AJ17*Debt!AJ52/Debt!AJ67,0)</f>
        <v>0</v>
      </c>
      <c r="AK21" s="19" t="n">
        <f aca="false">IF(Debt!AK67&gt;0,AK17*Debt!AK52/Debt!AK67,0)</f>
        <v>0</v>
      </c>
      <c r="AL21" s="19" t="n">
        <f aca="false">IF(Debt!AL67&gt;0,AL17*Debt!AL52/Debt!AL67,0)</f>
        <v>0</v>
      </c>
      <c r="AM21" s="19" t="n">
        <f aca="false">IF(Debt!AM67&gt;0,AM17*Debt!AM52/Debt!AM67,0)</f>
        <v>0</v>
      </c>
      <c r="AN21" s="19" t="n">
        <f aca="false">IF(Debt!AN67&gt;0,AN17*Debt!AN52/Debt!AN67,0)</f>
        <v>0</v>
      </c>
      <c r="AO21" s="19" t="n">
        <f aca="false">IF(Debt!AO67&gt;0,AO17*Debt!AO52/Debt!AO67,0)</f>
        <v>0</v>
      </c>
      <c r="AP21" s="19" t="n">
        <f aca="false">IF(Debt!AP67&gt;0,AP17*Debt!AP52/Debt!AP67,0)</f>
        <v>0</v>
      </c>
      <c r="AQ21" s="19" t="n">
        <f aca="false">IF(Debt!AQ67&gt;0,AQ17*Debt!AQ52/Debt!AQ67,0)</f>
        <v>0</v>
      </c>
      <c r="AR21" s="19" t="n">
        <f aca="false">IF(Debt!AR67&gt;0,AR17*Debt!AR52/Debt!AR67,0)</f>
        <v>0</v>
      </c>
      <c r="AS21" s="19" t="n">
        <f aca="false">IF(Debt!AS67&gt;0,AS17*Debt!AS52/Debt!AS67,0)</f>
        <v>0</v>
      </c>
      <c r="AT21" s="19" t="n">
        <f aca="false">IF(Debt!AT67&gt;0,AT17*Debt!AT52/Debt!AT67,0)</f>
        <v>0</v>
      </c>
      <c r="AU21" s="19" t="n">
        <f aca="false">IF(Debt!AU67&gt;0,AU17*Debt!AU52/Debt!AU67,0)</f>
        <v>0</v>
      </c>
      <c r="AV21" s="19" t="n">
        <f aca="false">IF(Debt!AV67&gt;0,AV17*Debt!AV52/Debt!AV67,0)</f>
        <v>0.00469779018370637</v>
      </c>
      <c r="AW21" s="19" t="n">
        <f aca="false">IF(Debt!AW67&gt;0,AW17*Debt!AW52/Debt!AW67,0)</f>
        <v>1.00037600336625</v>
      </c>
      <c r="AX21" s="19" t="n">
        <f aca="false">IF(Debt!AX67&gt;0,AX17*Debt!AX52/Debt!AX67,0)</f>
        <v>1.1845915321327</v>
      </c>
      <c r="AY21" s="19" t="n">
        <f aca="false">IF(Debt!AY67&gt;0,AY17*Debt!AY52/Debt!AY67,0)</f>
        <v>1.01627529614836</v>
      </c>
      <c r="AZ21" s="19" t="n">
        <f aca="false">IF(Debt!AZ67&gt;0,AZ17*Debt!AZ52/Debt!AZ67,0)</f>
        <v>1.25968372614485</v>
      </c>
      <c r="BA21" s="19" t="n">
        <f aca="false">IF(Debt!BA67&gt;0,BA17*Debt!BA52/Debt!BA67,0)</f>
        <v>1.87642862418125</v>
      </c>
      <c r="BB21" s="19" t="n">
        <f aca="false">IF(Debt!BB67&gt;0,BB17*Debt!BB52/Debt!BB67,0)</f>
        <v>2.08827088300045</v>
      </c>
      <c r="BC21" s="19" t="n">
        <f aca="false">IF(Debt!BC67&gt;0,BC17*Debt!BC52/Debt!BC67,0)</f>
        <v>4.53475348423813</v>
      </c>
      <c r="BD21" s="19" t="n">
        <f aca="false">IF(Debt!BD67&gt;0,BD17*Debt!BD52/Debt!BD67,0)</f>
        <v>4.81850524916875</v>
      </c>
      <c r="BE21" s="19" t="n">
        <f aca="false">IF(Debt!BE67&gt;0,BE17*Debt!BE52/Debt!BE67,0)</f>
        <v>6.47450111760568</v>
      </c>
      <c r="BF21" s="19" t="n">
        <f aca="false">IF(Debt!BF67&gt;0,BF17*Debt!BF52/Debt!BF67,0)</f>
        <v>6.81038802916426</v>
      </c>
      <c r="BG21" s="19" t="n">
        <f aca="false">IF(Debt!BG67&gt;0,BG17*Debt!BG52/Debt!BG67,0)</f>
        <v>7.72536581146638</v>
      </c>
      <c r="BH21" s="19" t="n">
        <f aca="false">IF(Debt!BH67&gt;0,BH17*Debt!BH52/Debt!BH67,0)</f>
        <v>8.17249396075418</v>
      </c>
      <c r="BI21" s="19" t="n">
        <f aca="false">IF(Debt!BI67&gt;0,BI17*Debt!BI52/Debt!BI67,0)</f>
        <v>9.11218184788316</v>
      </c>
      <c r="BJ21" s="19" t="n">
        <f aca="false">IF(Debt!BJ67&gt;0,BJ17*Debt!BJ52/Debt!BJ67,0)</f>
        <v>9.51821080111569</v>
      </c>
      <c r="BK21" s="19" t="n">
        <f aca="false">IF(Debt!BK67&gt;0,BK17*Debt!BK52/Debt!BK67,0)</f>
        <v>10.6193059546474</v>
      </c>
      <c r="BL21" s="19" t="n">
        <f aca="false">IF(Debt!BL67&gt;0,BL17*Debt!BL52/Debt!BL67,0)</f>
        <v>11.0646750605917</v>
      </c>
      <c r="BM21" s="19" t="n">
        <f aca="false">IF(Debt!BM67&gt;0,BM17*Debt!BM52/Debt!BM67,0)</f>
        <v>12.248804357242</v>
      </c>
      <c r="BN21" s="19" t="n">
        <f aca="false">IF(Debt!BN67&gt;0,BN17*Debt!BN52/Debt!BN67,0)</f>
        <v>12.7355810070583</v>
      </c>
      <c r="BO21" s="19" t="n">
        <f aca="false">IF(Debt!BO67&gt;0,BO17*Debt!BO52/Debt!BO67,0)</f>
        <v>10.1744886751566</v>
      </c>
      <c r="BP21" s="19" t="n">
        <f aca="false">IF(Debt!BP67&gt;0,BP17*Debt!BP52/Debt!BP67,0)</f>
        <v>10.7125073553692</v>
      </c>
      <c r="BQ21" s="19" t="n">
        <f aca="false">IF(Debt!BQ67&gt;0,BQ17*Debt!BQ52/Debt!BQ67,0)</f>
        <v>11.8877654598626</v>
      </c>
      <c r="BR21" s="19" t="n">
        <f aca="false">IF(Debt!BR67&gt;0,BR17*Debt!BR52/Debt!BR67,0)</f>
        <v>12.0995113563735</v>
      </c>
      <c r="BS21" s="19" t="n">
        <f aca="false">IF(Debt!BS67&gt;0,BS17*Debt!BS52/Debt!BS67,0)</f>
        <v>13.4425058627443</v>
      </c>
      <c r="BT21" s="19" t="n">
        <f aca="false">IF(Debt!BT67&gt;0,BT17*Debt!BT52/Debt!BT67,0)</f>
        <v>13.6839248399769</v>
      </c>
      <c r="BU21" s="19" t="n">
        <f aca="false">IF(Debt!BU67&gt;0,BU17*Debt!BU52/Debt!BU67,0)</f>
        <v>18.9560360381468</v>
      </c>
      <c r="BV21" s="19" t="n">
        <f aca="false">IF(Debt!BV67&gt;0,BV17*Debt!BV52/Debt!BV67,0)</f>
        <v>19.3298164800688</v>
      </c>
      <c r="BW21" s="19" t="n">
        <f aca="false">IF(Debt!BW67&gt;0,BW17*Debt!BW52/Debt!BW67,0)</f>
        <v>20.9567489199986</v>
      </c>
      <c r="BX21" s="19" t="n">
        <f aca="false">IF(Debt!BX67&gt;0,BX17*Debt!BX52/Debt!BX67,0)</f>
        <v>21.5042415672777</v>
      </c>
      <c r="BY21" s="19" t="n">
        <f aca="false">IF(Debt!BY67&gt;0,BY17*Debt!BY52/Debt!BY67,0)</f>
        <v>23.1031321428792</v>
      </c>
      <c r="BZ21" s="19" t="n">
        <f aca="false">IF(Debt!BZ67&gt;0,BZ17*Debt!BZ52/Debt!BZ67,0)</f>
        <v>23.5552180246117</v>
      </c>
      <c r="CA21" s="19" t="n">
        <f aca="false">IF(Debt!CA67&gt;0,CA17*Debt!CA52/Debt!CA67,0)</f>
        <v>22.9160854309696</v>
      </c>
      <c r="CB21" s="19" t="n">
        <f aca="false">IF(Debt!CB67&gt;0,CB17*Debt!CB52/Debt!CB67,0)</f>
        <v>23.3464472661988</v>
      </c>
      <c r="CC21" s="19" t="n">
        <f aca="false">IF(Debt!CC67&gt;0,CC17*Debt!CC52/Debt!CC67,0)</f>
        <v>25.2361662012079</v>
      </c>
      <c r="CD21" s="19" t="n">
        <f aca="false">IF(Debt!CD67&gt;0,CD17*Debt!CD52/Debt!CD67,0)</f>
        <v>25.7102328059944</v>
      </c>
      <c r="CE21" s="19" t="n">
        <f aca="false">IF(Debt!CE67&gt;0,CE17*Debt!CE52/Debt!CE67,0)</f>
        <v>26.5168205315782</v>
      </c>
      <c r="CF21" s="19" t="n">
        <f aca="false">IF(Debt!CF67&gt;0,CF17*Debt!CF52/Debt!CF67,0)</f>
        <v>23.7570915673971</v>
      </c>
      <c r="CG21" s="19" t="n">
        <f aca="false">IF(Debt!CG67&gt;0,CG17*Debt!CG52/Debt!CG67,0)</f>
        <v>26.017761895244</v>
      </c>
      <c r="CH21" s="19" t="n">
        <f aca="false">IF(Debt!CH67&gt;0,CH17*Debt!CH52/Debt!CH67,0)</f>
        <v>0</v>
      </c>
      <c r="CI21" s="19" t="n">
        <f aca="false">IF(Debt!CI67&gt;0,CI17*Debt!CI52/Debt!CI67,0)</f>
        <v>0</v>
      </c>
      <c r="CJ21" s="19" t="n">
        <f aca="false">IF(Debt!CJ67&gt;0,CJ17*Debt!CJ52/Debt!CJ67,0)</f>
        <v>0</v>
      </c>
      <c r="CK21" s="19" t="n">
        <f aca="false">IF(Debt!CK67&gt;0,CK17*Debt!CK52/Debt!CK67,0)</f>
        <v>0</v>
      </c>
      <c r="CL21" s="19" t="n">
        <f aca="false">IF(Debt!CL67&gt;0,CL17*Debt!CL52/Debt!CL67,0)</f>
        <v>0</v>
      </c>
      <c r="CM21" s="19" t="n">
        <f aca="false">IF(Debt!CM67&gt;0,CM17*Debt!CM52/Debt!CM67,0)</f>
        <v>0</v>
      </c>
      <c r="CN21" s="19" t="n">
        <f aca="false">IF(Debt!CN67&gt;0,CN17*Debt!CN52/Debt!CN67,0)</f>
        <v>0</v>
      </c>
      <c r="CO21" s="19" t="n">
        <f aca="false">IF(Debt!CO67&gt;0,CO17*Debt!CO52/Debt!CO67,0)</f>
        <v>0</v>
      </c>
      <c r="CP21" s="19" t="n">
        <f aca="false">IF(Debt!CP67&gt;0,CP17*Debt!CP52/Debt!CP67,0)</f>
        <v>0</v>
      </c>
      <c r="CQ21" s="19" t="n">
        <f aca="false">IF(Debt!CQ67&gt;0,CQ17*Debt!CQ52/Debt!CQ67,0)</f>
        <v>0</v>
      </c>
      <c r="CR21" s="19" t="n">
        <f aca="false">IF(Debt!CR67&gt;0,CR17*Debt!CR52/Debt!CR67,0)</f>
        <v>0</v>
      </c>
      <c r="CS21" s="19" t="n">
        <f aca="false">IF(Debt!CS67&gt;0,CS17*Debt!CS52/Debt!CS67,0)</f>
        <v>0</v>
      </c>
      <c r="CT21" s="19" t="n">
        <f aca="false">IF(Debt!CT67&gt;0,CT17*Debt!CT52/Debt!CT67,0)</f>
        <v>0</v>
      </c>
      <c r="CU21" s="19" t="n">
        <f aca="false">IF(Debt!CU67&gt;0,CU17*Debt!CU52/Debt!CU67,0)</f>
        <v>0</v>
      </c>
      <c r="CV21" s="19" t="n">
        <f aca="false">IF(Debt!CV67&gt;0,CV17*Debt!CV52/Debt!CV67,0)</f>
        <v>0</v>
      </c>
      <c r="CW21" s="19" t="n">
        <f aca="false">IF(Debt!CW67&gt;0,CW17*Debt!CW52/Debt!CW67,0)</f>
        <v>0</v>
      </c>
      <c r="CX21" s="19" t="n">
        <f aca="false">IF(Debt!CX67&gt;0,CX17*Debt!CX52/Debt!CX67,0)</f>
        <v>0</v>
      </c>
      <c r="CY21" s="19" t="n">
        <f aca="false">IF(Debt!CY67&gt;0,CY17*Debt!CY52/Debt!CY67,0)</f>
        <v>0</v>
      </c>
      <c r="CZ21" s="19" t="n">
        <f aca="false">IF(Debt!CZ67&gt;0,CZ17*Debt!CZ52/Debt!CZ67,0)</f>
        <v>0</v>
      </c>
      <c r="DA21" s="19" t="n">
        <f aca="false">IF(Debt!DA67&gt;0,DA17*Debt!DA52/Debt!DA67,0)</f>
        <v>0</v>
      </c>
      <c r="DB21" s="19" t="n">
        <f aca="false">IF(Debt!DB67&gt;0,DB17*Debt!DB52/Debt!DB67,0)</f>
        <v>0</v>
      </c>
    </row>
    <row r="22" customFormat="false" ht="15" hidden="false" customHeight="false" outlineLevel="0" collapsed="false">
      <c r="D22" s="0" t="s">
        <v>609</v>
      </c>
      <c r="E22" s="0" t="s">
        <v>44</v>
      </c>
      <c r="G22" s="19" t="n">
        <f aca="false">SUM(J22:DB22)</f>
        <v>0</v>
      </c>
      <c r="J22" s="19" t="n">
        <f aca="false">IF(Debt!J67&gt;0,J17*Debt!J66/Debt!J67,0)</f>
        <v>0</v>
      </c>
      <c r="K22" s="19" t="n">
        <f aca="false">IF(Debt!K67&gt;0,K17*Debt!K66/Debt!K67,0)</f>
        <v>0</v>
      </c>
      <c r="L22" s="19" t="n">
        <f aca="false">IF(Debt!L67&gt;0,L17*Debt!L66/Debt!L67,0)</f>
        <v>0</v>
      </c>
      <c r="M22" s="19" t="n">
        <f aca="false">IF(Debt!M67&gt;0,M17*Debt!M66/Debt!M67,0)</f>
        <v>0</v>
      </c>
      <c r="N22" s="19" t="n">
        <f aca="false">IF(Debt!N67&gt;0,N17*Debt!N66/Debt!N67,0)</f>
        <v>0</v>
      </c>
      <c r="O22" s="19" t="n">
        <f aca="false">IF(Debt!O67&gt;0,O17*Debt!O66/Debt!O67,0)</f>
        <v>0</v>
      </c>
      <c r="P22" s="19" t="n">
        <f aca="false">IF(Debt!P67&gt;0,P17*Debt!P66/Debt!P67,0)</f>
        <v>0</v>
      </c>
      <c r="Q22" s="19" t="n">
        <f aca="false">IF(Debt!Q67&gt;0,Q17*Debt!Q66/Debt!Q67,0)</f>
        <v>0</v>
      </c>
      <c r="R22" s="19" t="n">
        <f aca="false">IF(Debt!R67&gt;0,R17*Debt!R66/Debt!R67,0)</f>
        <v>0</v>
      </c>
      <c r="S22" s="19" t="n">
        <f aca="false">IF(Debt!S67&gt;0,S17*Debt!S66/Debt!S67,0)</f>
        <v>0</v>
      </c>
      <c r="T22" s="19" t="n">
        <f aca="false">IF(Debt!T67&gt;0,T17*Debt!T66/Debt!T67,0)</f>
        <v>0</v>
      </c>
      <c r="U22" s="19" t="n">
        <f aca="false">IF(Debt!U67&gt;0,U17*Debt!U66/Debt!U67,0)</f>
        <v>0</v>
      </c>
      <c r="V22" s="19" t="n">
        <f aca="false">IF(Debt!V67&gt;0,V17*Debt!V66/Debt!V67,0)</f>
        <v>0</v>
      </c>
      <c r="W22" s="19" t="n">
        <f aca="false">IF(Debt!W67&gt;0,W17*Debt!W66/Debt!W67,0)</f>
        <v>0</v>
      </c>
      <c r="X22" s="19" t="n">
        <f aca="false">IF(Debt!X67&gt;0,X17*Debt!X66/Debt!X67,0)</f>
        <v>0</v>
      </c>
      <c r="Y22" s="19" t="n">
        <f aca="false">IF(Debt!Y67&gt;0,Y17*Debt!Y66/Debt!Y67,0)</f>
        <v>0</v>
      </c>
      <c r="Z22" s="19" t="n">
        <f aca="false">IF(Debt!Z67&gt;0,Z17*Debt!Z66/Debt!Z67,0)</f>
        <v>0</v>
      </c>
      <c r="AA22" s="19" t="n">
        <f aca="false">IF(Debt!AA67&gt;0,AA17*Debt!AA66/Debt!AA67,0)</f>
        <v>0</v>
      </c>
      <c r="AB22" s="19" t="n">
        <f aca="false">IF(Debt!AB67&gt;0,AB17*Debt!AB66/Debt!AB67,0)</f>
        <v>0</v>
      </c>
      <c r="AC22" s="19" t="n">
        <f aca="false">IF(Debt!AC67&gt;0,AC17*Debt!AC66/Debt!AC67,0)</f>
        <v>0</v>
      </c>
      <c r="AD22" s="19" t="n">
        <f aca="false">IF(Debt!AD67&gt;0,AD17*Debt!AD66/Debt!AD67,0)</f>
        <v>0</v>
      </c>
      <c r="AE22" s="19" t="n">
        <f aca="false">IF(Debt!AE67&gt;0,AE17*Debt!AE66/Debt!AE67,0)</f>
        <v>0</v>
      </c>
      <c r="AF22" s="19" t="n">
        <f aca="false">IF(Debt!AF67&gt;0,AF17*Debt!AF66/Debt!AF67,0)</f>
        <v>0</v>
      </c>
      <c r="AG22" s="19" t="n">
        <f aca="false">IF(Debt!AG67&gt;0,AG17*Debt!AG66/Debt!AG67,0)</f>
        <v>0</v>
      </c>
      <c r="AH22" s="19" t="n">
        <f aca="false">IF(Debt!AH67&gt;0,AH17*Debt!AH66/Debt!AH67,0)</f>
        <v>0</v>
      </c>
      <c r="AI22" s="19" t="n">
        <f aca="false">IF(Debt!AI67&gt;0,AI17*Debt!AI66/Debt!AI67,0)</f>
        <v>0</v>
      </c>
      <c r="AJ22" s="19" t="n">
        <f aca="false">IF(Debt!AJ67&gt;0,AJ17*Debt!AJ66/Debt!AJ67,0)</f>
        <v>0</v>
      </c>
      <c r="AK22" s="19" t="n">
        <f aca="false">IF(Debt!AK67&gt;0,AK17*Debt!AK66/Debt!AK67,0)</f>
        <v>0</v>
      </c>
      <c r="AL22" s="19" t="n">
        <f aca="false">IF(Debt!AL67&gt;0,AL17*Debt!AL66/Debt!AL67,0)</f>
        <v>0</v>
      </c>
      <c r="AM22" s="19" t="n">
        <f aca="false">IF(Debt!AM67&gt;0,AM17*Debt!AM66/Debt!AM67,0)</f>
        <v>0</v>
      </c>
      <c r="AN22" s="19" t="n">
        <f aca="false">IF(Debt!AN67&gt;0,AN17*Debt!AN66/Debt!AN67,0)</f>
        <v>0</v>
      </c>
      <c r="AO22" s="19" t="n">
        <f aca="false">IF(Debt!AO67&gt;0,AO17*Debt!AO66/Debt!AO67,0)</f>
        <v>0</v>
      </c>
      <c r="AP22" s="19" t="n">
        <f aca="false">IF(Debt!AP67&gt;0,AP17*Debt!AP66/Debt!AP67,0)</f>
        <v>0</v>
      </c>
      <c r="AQ22" s="19" t="n">
        <f aca="false">IF(Debt!AQ67&gt;0,AQ17*Debt!AQ66/Debt!AQ67,0)</f>
        <v>0</v>
      </c>
      <c r="AR22" s="19" t="n">
        <f aca="false">IF(Debt!AR67&gt;0,AR17*Debt!AR66/Debt!AR67,0)</f>
        <v>0</v>
      </c>
      <c r="AS22" s="19" t="n">
        <f aca="false">IF(Debt!AS67&gt;0,AS17*Debt!AS66/Debt!AS67,0)</f>
        <v>0</v>
      </c>
      <c r="AT22" s="19" t="n">
        <f aca="false">IF(Debt!AT67&gt;0,AT17*Debt!AT66/Debt!AT67,0)</f>
        <v>0</v>
      </c>
      <c r="AU22" s="19" t="n">
        <f aca="false">IF(Debt!AU67&gt;0,AU17*Debt!AU66/Debt!AU67,0)</f>
        <v>0</v>
      </c>
      <c r="AV22" s="19" t="n">
        <f aca="false">IF(Debt!AV67&gt;0,AV17*Debt!AV66/Debt!AV67,0)</f>
        <v>0</v>
      </c>
      <c r="AW22" s="19" t="n">
        <f aca="false">IF(Debt!AW67&gt;0,AW17*Debt!AW66/Debt!AW67,0)</f>
        <v>0</v>
      </c>
      <c r="AX22" s="19" t="n">
        <f aca="false">IF(Debt!AX67&gt;0,AX17*Debt!AX66/Debt!AX67,0)</f>
        <v>0</v>
      </c>
      <c r="AY22" s="19" t="n">
        <f aca="false">IF(Debt!AY67&gt;0,AY17*Debt!AY66/Debt!AY67,0)</f>
        <v>0</v>
      </c>
      <c r="AZ22" s="19" t="n">
        <f aca="false">IF(Debt!AZ67&gt;0,AZ17*Debt!AZ66/Debt!AZ67,0)</f>
        <v>0</v>
      </c>
      <c r="BA22" s="19" t="n">
        <f aca="false">IF(Debt!BA67&gt;0,BA17*Debt!BA66/Debt!BA67,0)</f>
        <v>0</v>
      </c>
      <c r="BB22" s="19" t="n">
        <f aca="false">IF(Debt!BB67&gt;0,BB17*Debt!BB66/Debt!BB67,0)</f>
        <v>0</v>
      </c>
      <c r="BC22" s="19" t="n">
        <f aca="false">IF(Debt!BC67&gt;0,BC17*Debt!BC66/Debt!BC67,0)</f>
        <v>0</v>
      </c>
      <c r="BD22" s="19" t="n">
        <f aca="false">IF(Debt!BD67&gt;0,BD17*Debt!BD66/Debt!BD67,0)</f>
        <v>0</v>
      </c>
      <c r="BE22" s="19" t="n">
        <f aca="false">IF(Debt!BE67&gt;0,BE17*Debt!BE66/Debt!BE67,0)</f>
        <v>0</v>
      </c>
      <c r="BF22" s="19" t="n">
        <f aca="false">IF(Debt!BF67&gt;0,BF17*Debt!BF66/Debt!BF67,0)</f>
        <v>0</v>
      </c>
      <c r="BG22" s="19" t="n">
        <f aca="false">IF(Debt!BG67&gt;0,BG17*Debt!BG66/Debt!BG67,0)</f>
        <v>0</v>
      </c>
      <c r="BH22" s="19" t="n">
        <f aca="false">IF(Debt!BH67&gt;0,BH17*Debt!BH66/Debt!BH67,0)</f>
        <v>0</v>
      </c>
      <c r="BI22" s="19" t="n">
        <f aca="false">IF(Debt!BI67&gt;0,BI17*Debt!BI66/Debt!BI67,0)</f>
        <v>0</v>
      </c>
      <c r="BJ22" s="19" t="n">
        <f aca="false">IF(Debt!BJ67&gt;0,BJ17*Debt!BJ66/Debt!BJ67,0)</f>
        <v>0</v>
      </c>
      <c r="BK22" s="19" t="n">
        <f aca="false">IF(Debt!BK67&gt;0,BK17*Debt!BK66/Debt!BK67,0)</f>
        <v>0</v>
      </c>
      <c r="BL22" s="19" t="n">
        <f aca="false">IF(Debt!BL67&gt;0,BL17*Debt!BL66/Debt!BL67,0)</f>
        <v>0</v>
      </c>
      <c r="BM22" s="19" t="n">
        <f aca="false">IF(Debt!BM67&gt;0,BM17*Debt!BM66/Debt!BM67,0)</f>
        <v>0</v>
      </c>
      <c r="BN22" s="19" t="n">
        <f aca="false">IF(Debt!BN67&gt;0,BN17*Debt!BN66/Debt!BN67,0)</f>
        <v>0</v>
      </c>
      <c r="BO22" s="19" t="n">
        <f aca="false">IF(Debt!BO67&gt;0,BO17*Debt!BO66/Debt!BO67,0)</f>
        <v>0</v>
      </c>
      <c r="BP22" s="19" t="n">
        <f aca="false">IF(Debt!BP67&gt;0,BP17*Debt!BP66/Debt!BP67,0)</f>
        <v>0</v>
      </c>
      <c r="BQ22" s="19" t="n">
        <f aca="false">IF(Debt!BQ67&gt;0,BQ17*Debt!BQ66/Debt!BQ67,0)</f>
        <v>0</v>
      </c>
      <c r="BR22" s="19" t="n">
        <f aca="false">IF(Debt!BR67&gt;0,BR17*Debt!BR66/Debt!BR67,0)</f>
        <v>0</v>
      </c>
      <c r="BS22" s="19" t="n">
        <f aca="false">IF(Debt!BS67&gt;0,BS17*Debt!BS66/Debt!BS67,0)</f>
        <v>0</v>
      </c>
      <c r="BT22" s="19" t="n">
        <f aca="false">IF(Debt!BT67&gt;0,BT17*Debt!BT66/Debt!BT67,0)</f>
        <v>0</v>
      </c>
      <c r="BU22" s="19" t="n">
        <f aca="false">IF(Debt!BU67&gt;0,BU17*Debt!BU66/Debt!BU67,0)</f>
        <v>0</v>
      </c>
      <c r="BV22" s="19" t="n">
        <f aca="false">IF(Debt!BV67&gt;0,BV17*Debt!BV66/Debt!BV67,0)</f>
        <v>0</v>
      </c>
      <c r="BW22" s="19" t="n">
        <f aca="false">IF(Debt!BW67&gt;0,BW17*Debt!BW66/Debt!BW67,0)</f>
        <v>0</v>
      </c>
      <c r="BX22" s="19" t="n">
        <f aca="false">IF(Debt!BX67&gt;0,BX17*Debt!BX66/Debt!BX67,0)</f>
        <v>0</v>
      </c>
      <c r="BY22" s="19" t="n">
        <f aca="false">IF(Debt!BY67&gt;0,BY17*Debt!BY66/Debt!BY67,0)</f>
        <v>0</v>
      </c>
      <c r="BZ22" s="19" t="n">
        <f aca="false">IF(Debt!BZ67&gt;0,BZ17*Debt!BZ66/Debt!BZ67,0)</f>
        <v>0</v>
      </c>
      <c r="CA22" s="19" t="n">
        <f aca="false">IF(Debt!CA67&gt;0,CA17*Debt!CA66/Debt!CA67,0)</f>
        <v>0</v>
      </c>
      <c r="CB22" s="19" t="n">
        <f aca="false">IF(Debt!CB67&gt;0,CB17*Debt!CB66/Debt!CB67,0)</f>
        <v>0</v>
      </c>
      <c r="CC22" s="19" t="n">
        <f aca="false">IF(Debt!CC67&gt;0,CC17*Debt!CC66/Debt!CC67,0)</f>
        <v>0</v>
      </c>
      <c r="CD22" s="19" t="n">
        <f aca="false">IF(Debt!CD67&gt;0,CD17*Debt!CD66/Debt!CD67,0)</f>
        <v>0</v>
      </c>
      <c r="CE22" s="19" t="n">
        <f aca="false">IF(Debt!CE67&gt;0,CE17*Debt!CE66/Debt!CE67,0)</f>
        <v>0</v>
      </c>
      <c r="CF22" s="19" t="n">
        <f aca="false">IF(Debt!CF67&gt;0,CF17*Debt!CF66/Debt!CF67,0)</f>
        <v>0</v>
      </c>
      <c r="CG22" s="19" t="n">
        <f aca="false">IF(Debt!CG67&gt;0,CG17*Debt!CG66/Debt!CG67,0)</f>
        <v>0</v>
      </c>
      <c r="CH22" s="19" t="n">
        <f aca="false">IF(Debt!CH67&gt;0,CH17*Debt!CH66/Debt!CH67,0)</f>
        <v>0</v>
      </c>
      <c r="CI22" s="19" t="n">
        <f aca="false">IF(Debt!CI67&gt;0,CI17*Debt!CI66/Debt!CI67,0)</f>
        <v>0</v>
      </c>
      <c r="CJ22" s="19" t="n">
        <f aca="false">IF(Debt!CJ67&gt;0,CJ17*Debt!CJ66/Debt!CJ67,0)</f>
        <v>0</v>
      </c>
      <c r="CK22" s="19" t="n">
        <f aca="false">IF(Debt!CK67&gt;0,CK17*Debt!CK66/Debt!CK67,0)</f>
        <v>0</v>
      </c>
      <c r="CL22" s="19" t="n">
        <f aca="false">IF(Debt!CL67&gt;0,CL17*Debt!CL66/Debt!CL67,0)</f>
        <v>0</v>
      </c>
      <c r="CM22" s="19" t="n">
        <f aca="false">IF(Debt!CM67&gt;0,CM17*Debt!CM66/Debt!CM67,0)</f>
        <v>0</v>
      </c>
      <c r="CN22" s="19" t="n">
        <f aca="false">IF(Debt!CN67&gt;0,CN17*Debt!CN66/Debt!CN67,0)</f>
        <v>0</v>
      </c>
      <c r="CO22" s="19" t="n">
        <f aca="false">IF(Debt!CO67&gt;0,CO17*Debt!CO66/Debt!CO67,0)</f>
        <v>0</v>
      </c>
      <c r="CP22" s="19" t="n">
        <f aca="false">IF(Debt!CP67&gt;0,CP17*Debt!CP66/Debt!CP67,0)</f>
        <v>0</v>
      </c>
      <c r="CQ22" s="19" t="n">
        <f aca="false">IF(Debt!CQ67&gt;0,CQ17*Debt!CQ66/Debt!CQ67,0)</f>
        <v>0</v>
      </c>
      <c r="CR22" s="19" t="n">
        <f aca="false">IF(Debt!CR67&gt;0,CR17*Debt!CR66/Debt!CR67,0)</f>
        <v>0</v>
      </c>
      <c r="CS22" s="19" t="n">
        <f aca="false">IF(Debt!CS67&gt;0,CS17*Debt!CS66/Debt!CS67,0)</f>
        <v>0</v>
      </c>
      <c r="CT22" s="19" t="n">
        <f aca="false">IF(Debt!CT67&gt;0,CT17*Debt!CT66/Debt!CT67,0)</f>
        <v>0</v>
      </c>
      <c r="CU22" s="19" t="n">
        <f aca="false">IF(Debt!CU67&gt;0,CU17*Debt!CU66/Debt!CU67,0)</f>
        <v>0</v>
      </c>
      <c r="CV22" s="19" t="n">
        <f aca="false">IF(Debt!CV67&gt;0,CV17*Debt!CV66/Debt!CV67,0)</f>
        <v>0</v>
      </c>
      <c r="CW22" s="19" t="n">
        <f aca="false">IF(Debt!CW67&gt;0,CW17*Debt!CW66/Debt!CW67,0)</f>
        <v>0</v>
      </c>
      <c r="CX22" s="19" t="n">
        <f aca="false">IF(Debt!CX67&gt;0,CX17*Debt!CX66/Debt!CX67,0)</f>
        <v>0</v>
      </c>
      <c r="CY22" s="19" t="n">
        <f aca="false">IF(Debt!CY67&gt;0,CY17*Debt!CY66/Debt!CY67,0)</f>
        <v>0</v>
      </c>
      <c r="CZ22" s="19" t="n">
        <f aca="false">IF(Debt!CZ67&gt;0,CZ17*Debt!CZ66/Debt!CZ67,0)</f>
        <v>0</v>
      </c>
      <c r="DA22" s="19" t="n">
        <f aca="false">IF(Debt!DA67&gt;0,DA17*Debt!DA66/Debt!DA67,0)</f>
        <v>0</v>
      </c>
      <c r="DB22" s="19" t="n">
        <f aca="false">IF(Debt!DB67&gt;0,DB17*Debt!DB66/Debt!DB67,0)</f>
        <v>0</v>
      </c>
    </row>
    <row r="23" customFormat="false" ht="15" hidden="false" customHeight="false" outlineLevel="0" collapsed="false">
      <c r="D23" s="0" t="s">
        <v>610</v>
      </c>
      <c r="E23" s="0" t="s">
        <v>44</v>
      </c>
      <c r="G23" s="19" t="n">
        <f aca="false">SUM(J23:DB23)</f>
        <v>5.55648191080975E-014</v>
      </c>
      <c r="J23" s="19" t="n">
        <f aca="false">MAX(0,J14-MAX(0,J10))</f>
        <v>0</v>
      </c>
      <c r="K23" s="19" t="n">
        <f aca="false">MAX(0,K14-MAX(0,K10))</f>
        <v>0</v>
      </c>
      <c r="L23" s="19" t="n">
        <f aca="false">MAX(0,L14-MAX(0,L10))</f>
        <v>0</v>
      </c>
      <c r="M23" s="19" t="n">
        <f aca="false">MAX(0,M14-MAX(0,M10))</f>
        <v>0</v>
      </c>
      <c r="N23" s="19" t="n">
        <f aca="false">MAX(0,N14-MAX(0,N10))</f>
        <v>0</v>
      </c>
      <c r="O23" s="19" t="n">
        <f aca="false">MAX(0,O14-MAX(0,O10))</f>
        <v>0</v>
      </c>
      <c r="P23" s="19" t="n">
        <f aca="false">MAX(0,P14-MAX(0,P10))</f>
        <v>0</v>
      </c>
      <c r="Q23" s="19" t="n">
        <f aca="false">MAX(0,Q14-MAX(0,Q10))</f>
        <v>0</v>
      </c>
      <c r="R23" s="19" t="n">
        <f aca="false">MAX(0,R14-MAX(0,R10))</f>
        <v>0</v>
      </c>
      <c r="S23" s="19" t="n">
        <f aca="false">MAX(0,S14-MAX(0,S10))</f>
        <v>0</v>
      </c>
      <c r="T23" s="19" t="n">
        <f aca="false">MAX(0,T14-MAX(0,T10))</f>
        <v>0</v>
      </c>
      <c r="U23" s="19" t="n">
        <f aca="false">MAX(0,U14-MAX(0,U10))</f>
        <v>0</v>
      </c>
      <c r="V23" s="19" t="n">
        <f aca="false">MAX(0,V14-MAX(0,V10))</f>
        <v>0</v>
      </c>
      <c r="W23" s="19" t="n">
        <f aca="false">MAX(0,W14-MAX(0,W10))</f>
        <v>0</v>
      </c>
      <c r="X23" s="19" t="n">
        <f aca="false">MAX(0,X14-MAX(0,X10))</f>
        <v>0</v>
      </c>
      <c r="Y23" s="19" t="n">
        <f aca="false">MAX(0,Y14-MAX(0,Y10))</f>
        <v>0</v>
      </c>
      <c r="Z23" s="19" t="n">
        <f aca="false">MAX(0,Z14-MAX(0,Z10))</f>
        <v>0</v>
      </c>
      <c r="AA23" s="19" t="n">
        <f aca="false">MAX(0,AA14-MAX(0,AA10))</f>
        <v>0</v>
      </c>
      <c r="AB23" s="19" t="n">
        <f aca="false">MAX(0,AB14-MAX(0,AB10))</f>
        <v>0</v>
      </c>
      <c r="AC23" s="19" t="n">
        <f aca="false">MAX(0,AC14-MAX(0,AC10))</f>
        <v>0</v>
      </c>
      <c r="AD23" s="19" t="n">
        <f aca="false">MAX(0,AD14-MAX(0,AD10))</f>
        <v>0</v>
      </c>
      <c r="AE23" s="19" t="n">
        <f aca="false">MAX(0,AE14-MAX(0,AE10))</f>
        <v>0</v>
      </c>
      <c r="AF23" s="19" t="n">
        <f aca="false">MAX(0,AF14-MAX(0,AF10))</f>
        <v>0</v>
      </c>
      <c r="AG23" s="19" t="n">
        <f aca="false">MAX(0,AG14-MAX(0,AG10))</f>
        <v>0</v>
      </c>
      <c r="AH23" s="19" t="n">
        <f aca="false">MAX(0,AH14-MAX(0,AH10))</f>
        <v>0</v>
      </c>
      <c r="AI23" s="19" t="n">
        <f aca="false">MAX(0,AI14-MAX(0,AI10))</f>
        <v>0</v>
      </c>
      <c r="AJ23" s="19" t="n">
        <f aca="false">MAX(0,AJ14-MAX(0,AJ10))</f>
        <v>0</v>
      </c>
      <c r="AK23" s="19" t="n">
        <f aca="false">MAX(0,AK14-MAX(0,AK10))</f>
        <v>0</v>
      </c>
      <c r="AL23" s="19" t="n">
        <f aca="false">MAX(0,AL14-MAX(0,AL10))</f>
        <v>0</v>
      </c>
      <c r="AM23" s="19" t="n">
        <f aca="false">MAX(0,AM14-MAX(0,AM10))</f>
        <v>0</v>
      </c>
      <c r="AN23" s="19" t="n">
        <f aca="false">MAX(0,AN14-MAX(0,AN10))</f>
        <v>0</v>
      </c>
      <c r="AO23" s="19" t="n">
        <f aca="false">MAX(0,AO14-MAX(0,AO10))</f>
        <v>0</v>
      </c>
      <c r="AP23" s="19" t="n">
        <f aca="false">MAX(0,AP14-MAX(0,AP10))</f>
        <v>0</v>
      </c>
      <c r="AQ23" s="19" t="n">
        <f aca="false">MAX(0,AQ14-MAX(0,AQ10))</f>
        <v>0</v>
      </c>
      <c r="AR23" s="19" t="n">
        <f aca="false">MAX(0,AR14-MAX(0,AR10))</f>
        <v>0</v>
      </c>
      <c r="AS23" s="19" t="n">
        <f aca="false">MAX(0,AS14-MAX(0,AS10))</f>
        <v>0</v>
      </c>
      <c r="AT23" s="19" t="n">
        <f aca="false">MAX(0,AT14-MAX(0,AT10))</f>
        <v>0</v>
      </c>
      <c r="AU23" s="19" t="n">
        <f aca="false">MAX(0,AU14-MAX(0,AU10))</f>
        <v>0</v>
      </c>
      <c r="AV23" s="19" t="n">
        <f aca="false">MAX(0,AV14-MAX(0,AV10))</f>
        <v>0</v>
      </c>
      <c r="AW23" s="19" t="n">
        <f aca="false">MAX(0,AW14-MAX(0,AW10))</f>
        <v>0</v>
      </c>
      <c r="AX23" s="19" t="n">
        <f aca="false">MAX(0,AX14-MAX(0,AX10))</f>
        <v>0</v>
      </c>
      <c r="AY23" s="19" t="n">
        <f aca="false">MAX(0,AY14-MAX(0,AY10))</f>
        <v>0</v>
      </c>
      <c r="AZ23" s="19" t="n">
        <f aca="false">MAX(0,AZ14-MAX(0,AZ10))</f>
        <v>0</v>
      </c>
      <c r="BA23" s="19" t="n">
        <f aca="false">MAX(0,BA14-MAX(0,BA10))</f>
        <v>0</v>
      </c>
      <c r="BB23" s="19" t="n">
        <f aca="false">MAX(0,BB14-MAX(0,BB10))</f>
        <v>0</v>
      </c>
      <c r="BC23" s="19" t="n">
        <f aca="false">MAX(0,BC14-MAX(0,BC10))</f>
        <v>0</v>
      </c>
      <c r="BD23" s="19" t="n">
        <f aca="false">MAX(0,BD14-MAX(0,BD10))</f>
        <v>0</v>
      </c>
      <c r="BE23" s="19" t="n">
        <f aca="false">MAX(0,BE14-MAX(0,BE10))</f>
        <v>0</v>
      </c>
      <c r="BF23" s="19" t="n">
        <f aca="false">MAX(0,BF14-MAX(0,BF10))</f>
        <v>0</v>
      </c>
      <c r="BG23" s="19" t="n">
        <f aca="false">MAX(0,BG14-MAX(0,BG10))</f>
        <v>0</v>
      </c>
      <c r="BH23" s="19" t="n">
        <f aca="false">MAX(0,BH14-MAX(0,BH10))</f>
        <v>0</v>
      </c>
      <c r="BI23" s="19" t="n">
        <f aca="false">MAX(0,BI14-MAX(0,BI10))</f>
        <v>0</v>
      </c>
      <c r="BJ23" s="19" t="n">
        <f aca="false">MAX(0,BJ14-MAX(0,BJ10))</f>
        <v>0</v>
      </c>
      <c r="BK23" s="19" t="n">
        <f aca="false">MAX(0,BK14-MAX(0,BK10))</f>
        <v>0</v>
      </c>
      <c r="BL23" s="19" t="n">
        <f aca="false">MAX(0,BL14-MAX(0,BL10))</f>
        <v>0</v>
      </c>
      <c r="BM23" s="19" t="n">
        <f aca="false">MAX(0,BM14-MAX(0,BM10))</f>
        <v>0</v>
      </c>
      <c r="BN23" s="19" t="n">
        <f aca="false">MAX(0,BN14-MAX(0,BN10))</f>
        <v>0</v>
      </c>
      <c r="BO23" s="19" t="n">
        <f aca="false">MAX(0,BO14-MAX(0,BO10))</f>
        <v>0</v>
      </c>
      <c r="BP23" s="19" t="n">
        <f aca="false">MAX(0,BP14-MAX(0,BP10))</f>
        <v>0</v>
      </c>
      <c r="BQ23" s="19" t="n">
        <f aca="false">MAX(0,BQ14-MAX(0,BQ10))</f>
        <v>0</v>
      </c>
      <c r="BR23" s="19" t="n">
        <f aca="false">MAX(0,BR14-MAX(0,BR10))</f>
        <v>0</v>
      </c>
      <c r="BS23" s="19" t="n">
        <f aca="false">MAX(0,BS14-MAX(0,BS10))</f>
        <v>0</v>
      </c>
      <c r="BT23" s="19" t="n">
        <f aca="false">MAX(0,BT14-MAX(0,BT10))</f>
        <v>0</v>
      </c>
      <c r="BU23" s="19" t="n">
        <f aca="false">MAX(0,BU14-MAX(0,BU10))</f>
        <v>0</v>
      </c>
      <c r="BV23" s="19" t="n">
        <f aca="false">MAX(0,BV14-MAX(0,BV10))</f>
        <v>0</v>
      </c>
      <c r="BW23" s="19" t="n">
        <f aca="false">MAX(0,BW14-MAX(0,BW10))</f>
        <v>0</v>
      </c>
      <c r="BX23" s="19" t="n">
        <f aca="false">MAX(0,BX14-MAX(0,BX10))</f>
        <v>0</v>
      </c>
      <c r="BY23" s="19" t="n">
        <f aca="false">MAX(0,BY14-MAX(0,BY10))</f>
        <v>0</v>
      </c>
      <c r="BZ23" s="19" t="n">
        <f aca="false">MAX(0,BZ14-MAX(0,BZ10))</f>
        <v>0</v>
      </c>
      <c r="CA23" s="19" t="n">
        <f aca="false">MAX(0,CA14-MAX(0,CA10))</f>
        <v>0</v>
      </c>
      <c r="CB23" s="19" t="n">
        <f aca="false">MAX(0,CB14-MAX(0,CB10))</f>
        <v>0</v>
      </c>
      <c r="CC23" s="19" t="n">
        <f aca="false">MAX(0,CC14-MAX(0,CC10))</f>
        <v>0</v>
      </c>
      <c r="CD23" s="19" t="n">
        <f aca="false">MAX(0,CD14-MAX(0,CD10))</f>
        <v>0</v>
      </c>
      <c r="CE23" s="19" t="n">
        <f aca="false">MAX(0,CE14-MAX(0,CE10))</f>
        <v>0</v>
      </c>
      <c r="CF23" s="19" t="n">
        <f aca="false">MAX(0,CF14-MAX(0,CF10))</f>
        <v>0</v>
      </c>
      <c r="CG23" s="19" t="n">
        <f aca="false">MAX(0,CG14-MAX(0,CG10))</f>
        <v>0</v>
      </c>
      <c r="CH23" s="19" t="n">
        <f aca="false">MAX(0,CH14-MAX(0,CH10))</f>
        <v>0</v>
      </c>
      <c r="CI23" s="19" t="n">
        <f aca="false">MAX(0,CI14-MAX(0,CI10))</f>
        <v>0</v>
      </c>
      <c r="CJ23" s="19" t="n">
        <f aca="false">MAX(0,CJ14-MAX(0,CJ10))</f>
        <v>0</v>
      </c>
      <c r="CK23" s="19" t="n">
        <f aca="false">MAX(0,CK14-MAX(0,CK10))</f>
        <v>0</v>
      </c>
      <c r="CL23" s="19" t="n">
        <f aca="false">MAX(0,CL14-MAX(0,CL10))</f>
        <v>0</v>
      </c>
      <c r="CM23" s="19" t="n">
        <f aca="false">MAX(0,CM14-MAX(0,CM10))</f>
        <v>0</v>
      </c>
      <c r="CN23" s="19" t="n">
        <f aca="false">MAX(0,CN14-MAX(0,CN10))</f>
        <v>0</v>
      </c>
      <c r="CO23" s="19" t="n">
        <f aca="false">MAX(0,CO14-MAX(0,CO10))</f>
        <v>0</v>
      </c>
      <c r="CP23" s="19" t="n">
        <f aca="false">MAX(0,CP14-MAX(0,CP10))</f>
        <v>0</v>
      </c>
      <c r="CQ23" s="19" t="n">
        <f aca="false">MAX(0,CQ14-MAX(0,CQ10))</f>
        <v>5.55648191080975E-014</v>
      </c>
      <c r="CR23" s="19" t="n">
        <f aca="false">MAX(0,CR14-MAX(0,CR10))</f>
        <v>0</v>
      </c>
      <c r="CS23" s="19" t="n">
        <f aca="false">MAX(0,CS14-MAX(0,CS10))</f>
        <v>0</v>
      </c>
      <c r="CT23" s="19" t="n">
        <f aca="false">MAX(0,CT14-MAX(0,CT10))</f>
        <v>0</v>
      </c>
      <c r="CU23" s="19" t="n">
        <f aca="false">MAX(0,CU14-MAX(0,CU10))</f>
        <v>0</v>
      </c>
      <c r="CV23" s="19" t="n">
        <f aca="false">MAX(0,CV14-MAX(0,CV10))</f>
        <v>0</v>
      </c>
      <c r="CW23" s="19" t="n">
        <f aca="false">MAX(0,CW14-MAX(0,CW10))</f>
        <v>0</v>
      </c>
      <c r="CX23" s="19" t="n">
        <f aca="false">MAX(0,CX14-MAX(0,CX10))</f>
        <v>0</v>
      </c>
      <c r="CY23" s="19" t="n">
        <f aca="false">MAX(0,CY14-MAX(0,CY10))</f>
        <v>0</v>
      </c>
      <c r="CZ23" s="19" t="n">
        <f aca="false">MAX(0,CZ14-MAX(0,CZ10))</f>
        <v>0</v>
      </c>
      <c r="DA23" s="19" t="n">
        <f aca="false">MAX(0,DA14-MAX(0,DA10))</f>
        <v>0</v>
      </c>
      <c r="DB23" s="19" t="n">
        <f aca="false">MAX(0,DB14-MAX(0,DB10))</f>
        <v>0</v>
      </c>
    </row>
    <row r="24" customFormat="false" ht="15" hidden="false" customHeight="false" outlineLevel="0" collapsed="false">
      <c r="D24" s="0" t="s">
        <v>611</v>
      </c>
      <c r="E24" s="0" t="s">
        <v>44</v>
      </c>
      <c r="J24" s="19" t="n">
        <f aca="false">J10-J14+J23</f>
        <v>0</v>
      </c>
      <c r="K24" s="19" t="n">
        <f aca="false">K10-K14+K23</f>
        <v>0</v>
      </c>
      <c r="L24" s="19" t="n">
        <f aca="false">L10-L14+L23</f>
        <v>0</v>
      </c>
      <c r="M24" s="19" t="n">
        <f aca="false">M10-M14+M23</f>
        <v>0</v>
      </c>
      <c r="N24" s="19" t="n">
        <f aca="false">N10-N14+N23</f>
        <v>0</v>
      </c>
      <c r="O24" s="19" t="n">
        <f aca="false">O10-O14+O23</f>
        <v>0</v>
      </c>
      <c r="P24" s="19" t="n">
        <f aca="false">P10-P14+P23</f>
        <v>0</v>
      </c>
      <c r="Q24" s="19" t="n">
        <f aca="false">Q10-Q14+Q23</f>
        <v>0</v>
      </c>
      <c r="R24" s="19" t="n">
        <f aca="false">R10-R14+R23</f>
        <v>0</v>
      </c>
      <c r="S24" s="19" t="n">
        <f aca="false">S10-S14+S23</f>
        <v>0</v>
      </c>
      <c r="T24" s="19" t="n">
        <f aca="false">T10-T14+T23</f>
        <v>0</v>
      </c>
      <c r="U24" s="19" t="n">
        <f aca="false">U10-U14+U23</f>
        <v>0</v>
      </c>
      <c r="V24" s="19" t="n">
        <f aca="false">V10-V14+V23</f>
        <v>0</v>
      </c>
      <c r="W24" s="19" t="n">
        <f aca="false">W10-W14+W23</f>
        <v>0</v>
      </c>
      <c r="X24" s="19" t="n">
        <f aca="false">X10-X14+X23</f>
        <v>0</v>
      </c>
      <c r="Y24" s="19" t="n">
        <f aca="false">Y10-Y14+Y23</f>
        <v>0</v>
      </c>
      <c r="Z24" s="19" t="n">
        <f aca="false">Z10-Z14+Z23</f>
        <v>6.42504229333403</v>
      </c>
      <c r="AA24" s="19" t="n">
        <f aca="false">AA10-AA14+AA23</f>
        <v>19.5872092242148</v>
      </c>
      <c r="AB24" s="19" t="n">
        <f aca="false">AB10-AB14+AB23</f>
        <v>32.0545434381199</v>
      </c>
      <c r="AC24" s="19" t="n">
        <f aca="false">AC10-AC14+AC23</f>
        <v>47.8520493380379</v>
      </c>
      <c r="AD24" s="19" t="n">
        <f aca="false">AD10-AD14+AD23</f>
        <v>62.45964171833</v>
      </c>
      <c r="AE24" s="19" t="n">
        <f aca="false">AE10-AE14+AE23</f>
        <v>19.8254269645877</v>
      </c>
      <c r="AF24" s="19" t="n">
        <f aca="false">AF10-AF14+AF23</f>
        <v>18.2436508504766</v>
      </c>
      <c r="AG24" s="19" t="n">
        <f aca="false">AG10-AG14+AG23</f>
        <v>25.9939588189732</v>
      </c>
      <c r="AH24" s="19" t="n">
        <f aca="false">AH10-AH14+AH23</f>
        <v>27.1397629201518</v>
      </c>
      <c r="AI24" s="19" t="n">
        <f aca="false">AI10-AI14+AI23</f>
        <v>26.1302019882652</v>
      </c>
      <c r="AJ24" s="19" t="n">
        <f aca="false">AJ10-AJ14+AJ23</f>
        <v>27.5690075577962</v>
      </c>
      <c r="AK24" s="19" t="n">
        <f aca="false">AK10-AK14+AK23</f>
        <v>29.7191971749318</v>
      </c>
      <c r="AL24" s="19" t="n">
        <f aca="false">AL10-AL14+AL23</f>
        <v>30.9886772171727</v>
      </c>
      <c r="AM24" s="19" t="n">
        <f aca="false">AM10-AM14+AM23</f>
        <v>33.5295598357629</v>
      </c>
      <c r="AN24" s="19" t="n">
        <f aca="false">AN10-AN14+AN23</f>
        <v>34.8652904122551</v>
      </c>
      <c r="AO24" s="19" t="n">
        <f aca="false">AO10-AO14+AO23</f>
        <v>40.7854542114072</v>
      </c>
      <c r="AP24" s="19" t="n">
        <f aca="false">AP10-AP14+AP23</f>
        <v>42.1912416726833</v>
      </c>
      <c r="AQ24" s="19" t="n">
        <f aca="false">AQ10-AQ14+AQ23</f>
        <v>34.7872948756449</v>
      </c>
      <c r="AR24" s="19" t="n">
        <f aca="false">AR10-AR14+AR23</f>
        <v>36.5901093364191</v>
      </c>
      <c r="AS24" s="19" t="n">
        <f aca="false">AS10-AS14+AS23</f>
        <v>39.3662508687217</v>
      </c>
      <c r="AT24" s="19" t="n">
        <f aca="false">AT10-AT14+AT23</f>
        <v>40.9278209962063</v>
      </c>
      <c r="AU24" s="19" t="n">
        <f aca="false">AU10-AU14+AU23</f>
        <v>44.2212034026311</v>
      </c>
      <c r="AV24" s="19" t="n">
        <f aca="false">AV10-AV14+AV23</f>
        <v>45.8576872227808</v>
      </c>
      <c r="AW24" s="19" t="n">
        <f aca="false">AW10-AW14+AW23</f>
        <v>49.536173231277</v>
      </c>
      <c r="AX24" s="19" t="n">
        <f aca="false">AX10-AX14+AX23</f>
        <v>50.0004489573986</v>
      </c>
      <c r="AY24" s="19" t="n">
        <f aca="false">AY10-AY14+AY23</f>
        <v>50.0831344916737</v>
      </c>
      <c r="AZ24" s="19" t="n">
        <f aca="false">AZ10-AZ14+AZ23</f>
        <v>50.894716407196</v>
      </c>
      <c r="BA24" s="19" t="n">
        <f aca="false">BA10-BA14+BA23</f>
        <v>53.2224375108662</v>
      </c>
      <c r="BB24" s="19" t="n">
        <f aca="false">BB10-BB14+BB23</f>
        <v>53.7363659465767</v>
      </c>
      <c r="BC24" s="19" t="n">
        <f aca="false">BC10-BC14+BC23</f>
        <v>61.6767137312236</v>
      </c>
      <c r="BD24" s="19" t="n">
        <f aca="false">BD10-BD14+BD23</f>
        <v>62.2149495527353</v>
      </c>
      <c r="BE24" s="19" t="n">
        <f aca="false">BE10-BE14+BE23</f>
        <v>67.5836587751102</v>
      </c>
      <c r="BF24" s="19" t="n">
        <f aca="false">BF10-BF14+BF23</f>
        <v>68.1507818494077</v>
      </c>
      <c r="BG24" s="19" t="n">
        <f aca="false">BG10-BG14+BG23</f>
        <v>71.2109793127439</v>
      </c>
      <c r="BH24" s="19" t="n">
        <f aca="false">BH10-BH14+BH23</f>
        <v>72.203191120359</v>
      </c>
      <c r="BI24" s="19" t="n">
        <f aca="false">BI10-BI14+BI23</f>
        <v>75.0405364554439</v>
      </c>
      <c r="BJ24" s="19" t="n">
        <f aca="false">BJ10-BJ14+BJ23</f>
        <v>75.6670936527928</v>
      </c>
      <c r="BK24" s="19" t="n">
        <f aca="false">BK10-BK14+BK23</f>
        <v>79.084036311185</v>
      </c>
      <c r="BL24" s="19" t="n">
        <f aca="false">BL10-BL14+BL23</f>
        <v>79.7437802742595</v>
      </c>
      <c r="BM24" s="19" t="n">
        <f aca="false">BM10-BM14+BM23</f>
        <v>83.3182270880904</v>
      </c>
      <c r="BN24" s="19" t="n">
        <f aca="false">BN10-BN14+BN23</f>
        <v>84.0100882861135</v>
      </c>
      <c r="BO24" s="19" t="n">
        <f aca="false">BO10-BO14+BO23</f>
        <v>76.1661106099824</v>
      </c>
      <c r="BP24" s="19" t="n">
        <f aca="false">BP10-BP14+BP23</f>
        <v>77.383928963676</v>
      </c>
      <c r="BQ24" s="19" t="n">
        <f aca="false">BQ10-BQ14+BQ23</f>
        <v>63.8524056915998</v>
      </c>
      <c r="BR24" s="19" t="n">
        <f aca="false">BR10-BR14+BR23</f>
        <v>54.2135054308948</v>
      </c>
      <c r="BS24" s="19" t="n">
        <f aca="false">BS10-BS14+BS23</f>
        <v>56.3477190636168</v>
      </c>
      <c r="BT24" s="19" t="n">
        <f aca="false">BT10-BT14+BT23</f>
        <v>55.8300536428928</v>
      </c>
      <c r="BU24" s="19" t="n">
        <f aca="false">BU10-BU14+BU23</f>
        <v>100.000643863612</v>
      </c>
      <c r="BV24" s="19" t="n">
        <f aca="false">BV10-BV14+BV23</f>
        <v>72.1516270999604</v>
      </c>
      <c r="BW24" s="19" t="n">
        <f aca="false">BW10-BW14+BW23</f>
        <v>71.2135064191308</v>
      </c>
      <c r="BX24" s="19" t="n">
        <f aca="false">BX10-BX14+BX23</f>
        <v>70.9516459250949</v>
      </c>
      <c r="BY24" s="19" t="n">
        <f aca="false">BY10-BY14+BY23</f>
        <v>72.8099053710283</v>
      </c>
      <c r="BZ24" s="19" t="n">
        <f aca="false">BZ10-BZ14+BZ23</f>
        <v>72.1352460446469</v>
      </c>
      <c r="CA24" s="19" t="n">
        <f aca="false">CA10-CA14+CA23</f>
        <v>66.9329645812866</v>
      </c>
      <c r="CB24" s="19" t="n">
        <f aca="false">CB10-CB14+CB23</f>
        <v>66.2677535670338</v>
      </c>
      <c r="CC24" s="19" t="n">
        <f aca="false">CC10-CC14+CC23</f>
        <v>68.6669875053233</v>
      </c>
      <c r="CD24" s="19" t="n">
        <f aca="false">CD10-CD14+CD23</f>
        <v>67.9665682598552</v>
      </c>
      <c r="CE24" s="19" t="n">
        <f aca="false">CE10-CE14+CE23</f>
        <v>66.793959021026</v>
      </c>
      <c r="CF24" s="19" t="n">
        <f aca="false">CF10-CF14+CF23</f>
        <v>72.7245990124389</v>
      </c>
      <c r="CG24" s="19" t="n">
        <f aca="false">CG10-CG14+CG23</f>
        <v>98.1360931931025</v>
      </c>
      <c r="CH24" s="19" t="n">
        <f aca="false">CH10-CH14+CH23</f>
        <v>123.71386464887</v>
      </c>
      <c r="CI24" s="19" t="n">
        <f aca="false">CI10-CI14+CI23</f>
        <v>129.34838054512</v>
      </c>
      <c r="CJ24" s="19" t="n">
        <f aca="false">CJ10-CJ14+CJ23</f>
        <v>128.306126817846</v>
      </c>
      <c r="CK24" s="19" t="n">
        <f aca="false">CK10-CK14+CK23</f>
        <v>150.414944717452</v>
      </c>
      <c r="CL24" s="19" t="n">
        <f aca="false">CL10-CL14+CL23</f>
        <v>138.858143416961</v>
      </c>
      <c r="CM24" s="19" t="n">
        <f aca="false">CM10-CM14+CM23</f>
        <v>144.9175887513</v>
      </c>
      <c r="CN24" s="19" t="n">
        <f aca="false">CN10-CN14+CN23</f>
        <v>144.664489074489</v>
      </c>
      <c r="CO24" s="19" t="n">
        <f aca="false">CO10-CO14+CO23</f>
        <v>150.074260803195</v>
      </c>
      <c r="CP24" s="19" t="n">
        <f aca="false">CP10-CP14+CP23</f>
        <v>161.860660569695</v>
      </c>
      <c r="CQ24" s="19" t="n">
        <f aca="false">CQ10-CQ14+CQ23</f>
        <v>0</v>
      </c>
      <c r="CR24" s="19" t="n">
        <f aca="false">CR10-CR14+CR23</f>
        <v>0</v>
      </c>
      <c r="CS24" s="19" t="n">
        <f aca="false">CS10-CS14+CS23</f>
        <v>0</v>
      </c>
      <c r="CT24" s="19" t="n">
        <f aca="false">CT10-CT14+CT23</f>
        <v>0</v>
      </c>
      <c r="CU24" s="19" t="n">
        <f aca="false">CU10-CU14+CU23</f>
        <v>0</v>
      </c>
      <c r="CV24" s="19" t="n">
        <f aca="false">CV10-CV14+CV23</f>
        <v>0</v>
      </c>
      <c r="CW24" s="19" t="n">
        <f aca="false">CW10-CW14+CW23</f>
        <v>0</v>
      </c>
      <c r="CX24" s="19" t="n">
        <f aca="false">CX10-CX14+CX23</f>
        <v>0</v>
      </c>
      <c r="CY24" s="19" t="n">
        <f aca="false">CY10-CY14+CY23</f>
        <v>0</v>
      </c>
      <c r="CZ24" s="19" t="n">
        <f aca="false">CZ10-CZ14+CZ23</f>
        <v>0</v>
      </c>
      <c r="DA24" s="19" t="n">
        <f aca="false">DA10-DA14+DA23</f>
        <v>0</v>
      </c>
      <c r="DB24" s="19" t="n">
        <f aca="false">DB10-DB14+DB23</f>
        <v>0</v>
      </c>
    </row>
    <row r="25" customFormat="false" ht="15" hidden="false" customHeight="false" outlineLevel="0" collapsed="false">
      <c r="D25" s="3" t="s">
        <v>612</v>
      </c>
    </row>
    <row r="26" customFormat="false" ht="15" hidden="false" customHeight="false" outlineLevel="0" collapsed="false">
      <c r="D26" s="0" t="s">
        <v>613</v>
      </c>
      <c r="E26" s="0" t="s">
        <v>44</v>
      </c>
      <c r="J26" s="19" t="n">
        <f aca="false">J24-Reserves!J11+Reserves!J12</f>
        <v>0</v>
      </c>
      <c r="K26" s="19" t="n">
        <f aca="false">K24-Reserves!K11+Reserves!K12</f>
        <v>0</v>
      </c>
      <c r="L26" s="19" t="n">
        <f aca="false">L24-Reserves!L11+Reserves!L12</f>
        <v>0</v>
      </c>
      <c r="M26" s="19" t="n">
        <f aca="false">M24-Reserves!M11+Reserves!M12</f>
        <v>0</v>
      </c>
      <c r="N26" s="19" t="n">
        <f aca="false">N24-Reserves!N11+Reserves!N12</f>
        <v>0</v>
      </c>
      <c r="O26" s="19" t="n">
        <f aca="false">O24-Reserves!O11+Reserves!O12</f>
        <v>0</v>
      </c>
      <c r="P26" s="19" t="n">
        <f aca="false">P24-Reserves!P11+Reserves!P12</f>
        <v>0</v>
      </c>
      <c r="Q26" s="19" t="n">
        <f aca="false">Q24-Reserves!Q11+Reserves!Q12</f>
        <v>0</v>
      </c>
      <c r="R26" s="19" t="n">
        <f aca="false">R24-Reserves!R11+Reserves!R12</f>
        <v>0</v>
      </c>
      <c r="S26" s="19" t="n">
        <f aca="false">S24-Reserves!S11+Reserves!S12</f>
        <v>0</v>
      </c>
      <c r="T26" s="19" t="n">
        <f aca="false">T24-Reserves!T11+Reserves!T12</f>
        <v>0</v>
      </c>
      <c r="U26" s="19" t="n">
        <f aca="false">U24-Reserves!U11+Reserves!U12</f>
        <v>0</v>
      </c>
      <c r="V26" s="19" t="n">
        <f aca="false">V24-Reserves!V11+Reserves!V12</f>
        <v>0</v>
      </c>
      <c r="W26" s="19" t="n">
        <f aca="false">W24-Reserves!W11+Reserves!W12</f>
        <v>0</v>
      </c>
      <c r="X26" s="19" t="n">
        <f aca="false">X24-Reserves!X11+Reserves!X12</f>
        <v>0</v>
      </c>
      <c r="Y26" s="19" t="n">
        <f aca="false">Y24-Reserves!Y11+Reserves!Y12</f>
        <v>0</v>
      </c>
      <c r="Z26" s="19" t="n">
        <f aca="false">Z24-Reserves!Z11+Reserves!Z12</f>
        <v>4.94604467235802</v>
      </c>
      <c r="AA26" s="19" t="n">
        <f aca="false">AA24-Reserves!AA11+Reserves!AA12</f>
        <v>15.6508124852035</v>
      </c>
      <c r="AB26" s="19" t="n">
        <f aca="false">AB24-Reserves!AB11+Reserves!AB12</f>
        <v>30.7829867094841</v>
      </c>
      <c r="AC26" s="19" t="n">
        <f aca="false">AC24-Reserves!AC11+Reserves!AC12</f>
        <v>44.6928759987661</v>
      </c>
      <c r="AD26" s="19" t="n">
        <f aca="false">AD24-Reserves!AD11+Reserves!AD12</f>
        <v>62.2612711860763</v>
      </c>
      <c r="AE26" s="19" t="n">
        <f aca="false">AE24-Reserves!AE11+Reserves!AE12</f>
        <v>20.153216868213</v>
      </c>
      <c r="AF26" s="19" t="n">
        <f aca="false">AF24-Reserves!AF11+Reserves!AF12</f>
        <v>18.6162481330978</v>
      </c>
      <c r="AG26" s="19" t="n">
        <f aca="false">AG24-Reserves!AG11+Reserves!AG12</f>
        <v>26.1809099949294</v>
      </c>
      <c r="AH26" s="19" t="n">
        <f aca="false">AH24-Reserves!AH11+Reserves!AH12</f>
        <v>26.9528117441956</v>
      </c>
      <c r="AI26" s="19" t="n">
        <f aca="false">AI24-Reserves!AI11+Reserves!AI12</f>
        <v>26.2548361055693</v>
      </c>
      <c r="AJ26" s="19" t="n">
        <f aca="false">AJ24-Reserves!AJ11+Reserves!AJ12</f>
        <v>27.4443734404921</v>
      </c>
      <c r="AK26" s="19" t="n">
        <f aca="false">AK24-Reserves!AK11+Reserves!AK12</f>
        <v>29.906148350888</v>
      </c>
      <c r="AL26" s="19" t="n">
        <f aca="false">AL24-Reserves!AL11+Reserves!AL12</f>
        <v>30.8017260412165</v>
      </c>
      <c r="AM26" s="19" t="n">
        <f aca="false">AM24-Reserves!AM11+Reserves!AM12</f>
        <v>33.7165110117191</v>
      </c>
      <c r="AN26" s="19" t="n">
        <f aca="false">AN24-Reserves!AN11+Reserves!AN12</f>
        <v>34.6783392362989</v>
      </c>
      <c r="AO26" s="19" t="n">
        <f aca="false">AO24-Reserves!AO11+Reserves!AO12</f>
        <v>40.9724053873634</v>
      </c>
      <c r="AP26" s="19" t="n">
        <f aca="false">AP24-Reserves!AP11+Reserves!AP12</f>
        <v>42.0042904967271</v>
      </c>
      <c r="AQ26" s="19" t="n">
        <f aca="false">AQ24-Reserves!AQ11+Reserves!AQ12</f>
        <v>34.9119289929491</v>
      </c>
      <c r="AR26" s="19" t="n">
        <f aca="false">AR24-Reserves!AR11+Reserves!AR12</f>
        <v>36.4654752191149</v>
      </c>
      <c r="AS26" s="19" t="n">
        <f aca="false">AS24-Reserves!AS11+Reserves!AS12</f>
        <v>39.5532020446779</v>
      </c>
      <c r="AT26" s="19" t="n">
        <f aca="false">AT24-Reserves!AT11+Reserves!AT12</f>
        <v>40.7408698202501</v>
      </c>
      <c r="AU26" s="19" t="n">
        <f aca="false">AU24-Reserves!AU11+Reserves!AU12</f>
        <v>44.3996131418896</v>
      </c>
      <c r="AV26" s="19" t="n">
        <f aca="false">AV24-Reserves!AV11+Reserves!AV12</f>
        <v>43.8606369698407</v>
      </c>
      <c r="AW26" s="19" t="n">
        <f aca="false">AW24-Reserves!AW11+Reserves!AW12</f>
        <v>49.4357013755881</v>
      </c>
      <c r="AX26" s="19" t="n">
        <f aca="false">AX24-Reserves!AX11+Reserves!AX12</f>
        <v>50.1766370629151</v>
      </c>
      <c r="AY26" s="19" t="n">
        <f aca="false">AY24-Reserves!AY11+Reserves!AY12</f>
        <v>49.8130471571857</v>
      </c>
      <c r="AZ26" s="19" t="n">
        <f aca="false">AZ24-Reserves!AZ11+Reserves!AZ12</f>
        <v>49.709869652292</v>
      </c>
      <c r="BA26" s="19" t="n">
        <f aca="false">BA24-Reserves!BA11+Reserves!BA12</f>
        <v>53.1116272692279</v>
      </c>
      <c r="BB26" s="19" t="n">
        <f aca="false">BB24-Reserves!BB11+Reserves!BB12</f>
        <v>49.2037022434638</v>
      </c>
      <c r="BC26" s="19" t="n">
        <f aca="false">BC24-Reserves!BC11+Reserves!BC12</f>
        <v>61.559896978368</v>
      </c>
      <c r="BD26" s="19" t="n">
        <f aca="false">BD24-Reserves!BD11+Reserves!BD12</f>
        <v>59.2528198843516</v>
      </c>
      <c r="BE26" s="19" t="n">
        <f aca="false">BE24-Reserves!BE11+Reserves!BE12</f>
        <v>67.4605813618156</v>
      </c>
      <c r="BF26" s="19" t="n">
        <f aca="false">BF24-Reserves!BF11+Reserves!BF12</f>
        <v>66.5982285269619</v>
      </c>
      <c r="BG26" s="19" t="n">
        <f aca="false">BG24-Reserves!BG11+Reserves!BG12</f>
        <v>70.8836431745478</v>
      </c>
      <c r="BH26" s="19" t="n">
        <f aca="false">BH24-Reserves!BH11+Reserves!BH12</f>
        <v>70.7716013273137</v>
      </c>
      <c r="BI26" s="19" t="n">
        <f aca="false">BI24-Reserves!BI11+Reserves!BI12</f>
        <v>74.9052970528116</v>
      </c>
      <c r="BJ26" s="19" t="n">
        <f aca="false">BJ24-Reserves!BJ11+Reserves!BJ12</f>
        <v>73.955734027016</v>
      </c>
      <c r="BK26" s="19" t="n">
        <f aca="false">BK24-Reserves!BK11+Reserves!BK12</f>
        <v>78.9417734970054</v>
      </c>
      <c r="BL26" s="19" t="n">
        <f aca="false">BL24-Reserves!BL11+Reserves!BL12</f>
        <v>77.9634139576553</v>
      </c>
      <c r="BM26" s="19" t="n">
        <f aca="false">BM24-Reserves!BM11+Reserves!BM12</f>
        <v>83.1698237174795</v>
      </c>
      <c r="BN26" s="19" t="n">
        <f aca="false">BN24-Reserves!BN11+Reserves!BN12</f>
        <v>89.1283773613635</v>
      </c>
      <c r="BO26" s="19" t="n">
        <f aca="false">BO24-Reserves!BO11+Reserves!BO12</f>
        <v>75.7694312705226</v>
      </c>
      <c r="BP26" s="19" t="n">
        <f aca="false">BP24-Reserves!BP11+Reserves!BP12</f>
        <v>75.6674266078531</v>
      </c>
      <c r="BQ26" s="19" t="n">
        <f aca="false">BQ24-Reserves!BQ11+Reserves!BQ12</f>
        <v>64.1691429106896</v>
      </c>
      <c r="BR26" s="19" t="n">
        <f aca="false">BR24-Reserves!BR11+Reserves!BR12</f>
        <v>52.2205427524082</v>
      </c>
      <c r="BS26" s="19" t="n">
        <f aca="false">BS24-Reserves!BS11+Reserves!BS12</f>
        <v>56.6752035469813</v>
      </c>
      <c r="BT26" s="19" t="n">
        <f aca="false">BT24-Reserves!BT11+Reserves!BT12</f>
        <v>46.7791169723321</v>
      </c>
      <c r="BU26" s="19" t="n">
        <f aca="false">BU24-Reserves!BU11+Reserves!BU12</f>
        <v>100.339312428028</v>
      </c>
      <c r="BV26" s="19" t="n">
        <f aca="false">BV24-Reserves!BV11+Reserves!BV12</f>
        <v>70.0117204315312</v>
      </c>
      <c r="BW26" s="19" t="n">
        <f aca="false">BW24-Reserves!BW11+Reserves!BW12</f>
        <v>71.2855747576185</v>
      </c>
      <c r="BX26" s="19" t="n">
        <f aca="false">BX24-Reserves!BX11+Reserves!BX12</f>
        <v>69.0137492552811</v>
      </c>
      <c r="BY26" s="19" t="n">
        <f aca="false">BY24-Reserves!BY11+Reserves!BY12</f>
        <v>73.1722939275672</v>
      </c>
      <c r="BZ26" s="19" t="n">
        <f aca="false">BZ24-Reserves!BZ11+Reserves!BZ12</f>
        <v>74.3509598644488</v>
      </c>
      <c r="CA26" s="19" t="n">
        <f aca="false">CA24-Reserves!CA11+Reserves!CA12</f>
        <v>67.3079102196823</v>
      </c>
      <c r="CB26" s="19" t="n">
        <f aca="false">CB24-Reserves!CB11+Reserves!CB12</f>
        <v>63.8935108946602</v>
      </c>
      <c r="CC26" s="19" t="n">
        <f aca="false">CC24-Reserves!CC11+Reserves!CC12</f>
        <v>69.0549693902591</v>
      </c>
      <c r="CD26" s="19" t="n">
        <f aca="false">CD24-Reserves!CD11+Reserves!CD12</f>
        <v>67.6938222299878</v>
      </c>
      <c r="CE26" s="19" t="n">
        <f aca="false">CE24-Reserves!CE11+Reserves!CE12</f>
        <v>73.0963867041903</v>
      </c>
      <c r="CF26" s="19" t="n">
        <f aca="false">CF24-Reserves!CF11+Reserves!CF12</f>
        <v>69.7409923913995</v>
      </c>
      <c r="CG26" s="19" t="n">
        <f aca="false">CG24-Reserves!CG11+Reserves!CG12</f>
        <v>146.689084472722</v>
      </c>
      <c r="CH26" s="19" t="n">
        <f aca="false">CH24-Reserves!CH11+Reserves!CH12</f>
        <v>123.713864648869</v>
      </c>
      <c r="CI26" s="19" t="n">
        <f aca="false">CI24-Reserves!CI11+Reserves!CI12</f>
        <v>129.34838054512</v>
      </c>
      <c r="CJ26" s="19" t="n">
        <f aca="false">CJ24-Reserves!CJ11+Reserves!CJ12</f>
        <v>128.306126817846</v>
      </c>
      <c r="CK26" s="19" t="n">
        <f aca="false">CK24-Reserves!CK11+Reserves!CK12</f>
        <v>150.414944717452</v>
      </c>
      <c r="CL26" s="19" t="n">
        <f aca="false">CL24-Reserves!CL11+Reserves!CL12</f>
        <v>138.858143416961</v>
      </c>
      <c r="CM26" s="19" t="n">
        <f aca="false">CM24-Reserves!CM11+Reserves!CM12</f>
        <v>144.9175887513</v>
      </c>
      <c r="CN26" s="19" t="n">
        <f aca="false">CN24-Reserves!CN11+Reserves!CN12</f>
        <v>144.664489074489</v>
      </c>
      <c r="CO26" s="19" t="n">
        <f aca="false">CO24-Reserves!CO11+Reserves!CO12</f>
        <v>150.074260803195</v>
      </c>
      <c r="CP26" s="19" t="n">
        <f aca="false">CP24-Reserves!CP11+Reserves!CP12</f>
        <v>161.860660569695</v>
      </c>
      <c r="CQ26" s="19" t="n">
        <f aca="false">CQ24-Reserves!CQ11+Reserves!CQ12</f>
        <v>0</v>
      </c>
      <c r="CR26" s="19" t="n">
        <f aca="false">CR24-Reserves!CR11+Reserves!CR12</f>
        <v>0</v>
      </c>
      <c r="CS26" s="19" t="n">
        <f aca="false">CS24-Reserves!CS11+Reserves!CS12</f>
        <v>0</v>
      </c>
      <c r="CT26" s="19" t="n">
        <f aca="false">CT24-Reserves!CT11+Reserves!CT12</f>
        <v>0</v>
      </c>
      <c r="CU26" s="19" t="n">
        <f aca="false">CU24-Reserves!CU11+Reserves!CU12</f>
        <v>0</v>
      </c>
      <c r="CV26" s="19" t="n">
        <f aca="false">CV24-Reserves!CV11+Reserves!CV12</f>
        <v>0</v>
      </c>
      <c r="CW26" s="19" t="n">
        <f aca="false">CW24-Reserves!CW11+Reserves!CW12</f>
        <v>0</v>
      </c>
      <c r="CX26" s="19" t="n">
        <f aca="false">CX24-Reserves!CX11+Reserves!CX12</f>
        <v>0</v>
      </c>
      <c r="CY26" s="19" t="n">
        <f aca="false">CY24-Reserves!CY11+Reserves!CY12</f>
        <v>0</v>
      </c>
      <c r="CZ26" s="19" t="n">
        <f aca="false">CZ24-Reserves!CZ11+Reserves!CZ12</f>
        <v>0</v>
      </c>
      <c r="DA26" s="19" t="n">
        <f aca="false">DA24-Reserves!DA11+Reserves!DA12</f>
        <v>0</v>
      </c>
      <c r="DB26" s="19" t="n">
        <f aca="false">DB24-Reserves!DB11+Reserves!DB12</f>
        <v>0</v>
      </c>
    </row>
    <row r="27" customFormat="false" ht="15" hidden="false" customHeight="false" outlineLevel="0" collapsed="false">
      <c r="D27" s="3" t="s">
        <v>614</v>
      </c>
    </row>
    <row r="28" customFormat="false" ht="15" hidden="false" customHeight="false" outlineLevel="0" collapsed="false">
      <c r="D28" s="0" t="s">
        <v>615</v>
      </c>
      <c r="E28" s="0" t="s">
        <v>44</v>
      </c>
      <c r="J28" s="19" t="n">
        <f aca="false">Debt!J42-J20</f>
        <v>0</v>
      </c>
      <c r="K28" s="19" t="n">
        <f aca="false">Debt!K42-K20</f>
        <v>0</v>
      </c>
      <c r="L28" s="19" t="n">
        <f aca="false">Debt!L42-L20</f>
        <v>0</v>
      </c>
      <c r="M28" s="19" t="n">
        <f aca="false">Debt!M42-M20</f>
        <v>0</v>
      </c>
      <c r="N28" s="19" t="n">
        <f aca="false">Debt!N42-N20</f>
        <v>0</v>
      </c>
      <c r="O28" s="19" t="n">
        <f aca="false">Debt!O42-O20</f>
        <v>5.12606064786148</v>
      </c>
      <c r="P28" s="19" t="n">
        <f aca="false">Debt!P42-P20</f>
        <v>53.8868947877714</v>
      </c>
      <c r="Q28" s="19" t="n">
        <f aca="false">Debt!Q42-Q20</f>
        <v>109.581127348816</v>
      </c>
      <c r="R28" s="19" t="n">
        <f aca="false">Debt!R42-R20</f>
        <v>169.058371689688</v>
      </c>
      <c r="S28" s="19" t="n">
        <f aca="false">Debt!S42-S20</f>
        <v>229.615326855624</v>
      </c>
      <c r="T28" s="19" t="n">
        <f aca="false">Debt!T42-T20</f>
        <v>286.28211338657</v>
      </c>
      <c r="U28" s="19" t="n">
        <f aca="false">Debt!U42-U20</f>
        <v>314.779303694778</v>
      </c>
      <c r="V28" s="19" t="n">
        <f aca="false">Debt!V42-V20</f>
        <v>338.258886511833</v>
      </c>
      <c r="W28" s="19" t="n">
        <f aca="false">Debt!W42-W20</f>
        <v>355.884337959226</v>
      </c>
      <c r="X28" s="19" t="n">
        <f aca="false">Debt!X42-X20</f>
        <v>367.534421450566</v>
      </c>
      <c r="Y28" s="19" t="n">
        <f aca="false">Debt!Y42-Y20</f>
        <v>374.008618844512</v>
      </c>
      <c r="Z28" s="19" t="n">
        <f aca="false">Debt!Z42-Z20</f>
        <v>396.95857605585</v>
      </c>
      <c r="AA28" s="19" t="n">
        <f aca="false">Debt!AA42-AA20</f>
        <v>396.95857605585</v>
      </c>
      <c r="AB28" s="19" t="n">
        <f aca="false">Debt!AB42-AB20</f>
        <v>396.95857605585</v>
      </c>
      <c r="AC28" s="19" t="n">
        <f aca="false">Debt!AC42-AC20</f>
        <v>396.95857605585</v>
      </c>
      <c r="AD28" s="19" t="n">
        <f aca="false">Debt!AD42-AD20</f>
        <v>396.95857605585</v>
      </c>
      <c r="AE28" s="19" t="n">
        <f aca="false">Debt!AE42-AE20</f>
        <v>396.95857605585</v>
      </c>
      <c r="AF28" s="19" t="n">
        <f aca="false">Debt!AF42-AF20</f>
        <v>396.95857605585</v>
      </c>
      <c r="AG28" s="19" t="n">
        <f aca="false">Debt!AG42-AG20</f>
        <v>396.95857605585</v>
      </c>
      <c r="AH28" s="19" t="n">
        <f aca="false">Debt!AH42-AH20</f>
        <v>396.95857605585</v>
      </c>
      <c r="AI28" s="19" t="n">
        <f aca="false">Debt!AI42-AI20</f>
        <v>396.95857605585</v>
      </c>
      <c r="AJ28" s="19" t="n">
        <f aca="false">Debt!AJ42-AJ20</f>
        <v>396.95857605585</v>
      </c>
      <c r="AK28" s="19" t="n">
        <f aca="false">Debt!AK42-AK20</f>
        <v>396.95857605585</v>
      </c>
      <c r="AL28" s="19" t="n">
        <f aca="false">Debt!AL42-AL20</f>
        <v>396.95857605585</v>
      </c>
      <c r="AM28" s="19" t="n">
        <f aca="false">Debt!AM42-AM20</f>
        <v>396.95857605585</v>
      </c>
      <c r="AN28" s="19" t="n">
        <f aca="false">Debt!AN42-AN20</f>
        <v>396.95857605585</v>
      </c>
      <c r="AO28" s="19" t="n">
        <f aca="false">Debt!AO42-AO20</f>
        <v>396.95857605585</v>
      </c>
      <c r="AP28" s="19" t="n">
        <f aca="false">Debt!AP42-AP20</f>
        <v>396.95857605585</v>
      </c>
      <c r="AQ28" s="19" t="n">
        <f aca="false">Debt!AQ42-AQ20</f>
        <v>396.95857605585</v>
      </c>
      <c r="AR28" s="19" t="n">
        <f aca="false">Debt!AR42-AR20</f>
        <v>396.95857605585</v>
      </c>
      <c r="AS28" s="19" t="n">
        <f aca="false">Debt!AS42-AS20</f>
        <v>396.95857605585</v>
      </c>
      <c r="AT28" s="19" t="n">
        <f aca="false">Debt!AT42-AT20</f>
        <v>396.95857605585</v>
      </c>
      <c r="AU28" s="19" t="n">
        <f aca="false">Debt!AU42-AU20</f>
        <v>396.95857605585</v>
      </c>
      <c r="AV28" s="19" t="n">
        <f aca="false">Debt!AV42-AV20</f>
        <v>396.954732409336</v>
      </c>
      <c r="AW28" s="19" t="n">
        <f aca="false">Debt!AW42-AW20</f>
        <v>396.136242952036</v>
      </c>
      <c r="AX28" s="19" t="n">
        <f aca="false">Debt!AX42-AX20</f>
        <v>395.167031698473</v>
      </c>
      <c r="AY28" s="19" t="n">
        <f aca="false">Debt!AY42-AY20</f>
        <v>394.335533728897</v>
      </c>
      <c r="AZ28" s="19" t="n">
        <f aca="false">Debt!AZ42-AZ20</f>
        <v>393.304883407506</v>
      </c>
      <c r="BA28" s="19" t="n">
        <f aca="false">Debt!BA42-BA20</f>
        <v>391.769623624085</v>
      </c>
      <c r="BB28" s="19" t="n">
        <f aca="false">Debt!BB42-BB20</f>
        <v>390.061038356176</v>
      </c>
      <c r="BC28" s="19" t="n">
        <f aca="false">Debt!BC42-BC20</f>
        <v>386.350785505435</v>
      </c>
      <c r="BD28" s="19" t="n">
        <f aca="false">Debt!BD42-BD20</f>
        <v>382.408372119752</v>
      </c>
      <c r="BE28" s="19" t="n">
        <f aca="false">Debt!BE42-BE20</f>
        <v>377.111053023529</v>
      </c>
      <c r="BF28" s="19" t="n">
        <f aca="false">Debt!BF42-BF20</f>
        <v>371.538917363304</v>
      </c>
      <c r="BG28" s="19" t="n">
        <f aca="false">Debt!BG42-BG20</f>
        <v>365.218163517559</v>
      </c>
      <c r="BH28" s="19" t="n">
        <f aca="false">Debt!BH42-BH20</f>
        <v>358.531577549669</v>
      </c>
      <c r="BI28" s="19" t="n">
        <f aca="false">Debt!BI42-BI20</f>
        <v>351.076156037764</v>
      </c>
      <c r="BJ28" s="19" t="n">
        <f aca="false">Debt!BJ42-BJ20</f>
        <v>343.28852901867</v>
      </c>
      <c r="BK28" s="19" t="n">
        <f aca="false">Debt!BK42-BK20</f>
        <v>334.600005964867</v>
      </c>
      <c r="BL28" s="19" t="n">
        <f aca="false">Debt!BL42-BL20</f>
        <v>325.547090006201</v>
      </c>
      <c r="BM28" s="19" t="n">
        <f aca="false">Debt!BM42-BM20</f>
        <v>315.52534098664</v>
      </c>
      <c r="BN28" s="19" t="n">
        <f aca="false">Debt!BN42-BN20</f>
        <v>305.105320162683</v>
      </c>
      <c r="BO28" s="19" t="n">
        <f aca="false">Debt!BO42-BO20</f>
        <v>296.780738519373</v>
      </c>
      <c r="BP28" s="19" t="n">
        <f aca="false">Debt!BP42-BP20</f>
        <v>288.015959774071</v>
      </c>
      <c r="BQ28" s="19" t="n">
        <f aca="false">Debt!BQ42-BQ20</f>
        <v>278.289606216002</v>
      </c>
      <c r="BR28" s="19" t="n">
        <f aca="false">Debt!BR42-BR20</f>
        <v>268.390006015332</v>
      </c>
      <c r="BS28" s="19" t="n">
        <f aca="false">Debt!BS42-BS20</f>
        <v>257.391592127632</v>
      </c>
      <c r="BT28" s="19" t="n">
        <f aca="false">Debt!BT42-BT20</f>
        <v>246.195653622197</v>
      </c>
      <c r="BU28" s="19" t="n">
        <f aca="false">Debt!BU42-BU20</f>
        <v>230.686169590986</v>
      </c>
      <c r="BV28" s="19" t="n">
        <f aca="false">Debt!BV42-BV20</f>
        <v>214.870865198202</v>
      </c>
      <c r="BW28" s="19" t="n">
        <f aca="false">Debt!BW42-BW20</f>
        <v>197.724434263658</v>
      </c>
      <c r="BX28" s="19" t="n">
        <f aca="false">Debt!BX42-BX20</f>
        <v>180.130054799522</v>
      </c>
      <c r="BY28" s="19" t="n">
        <f aca="false">Debt!BY42-BY20</f>
        <v>161.227492137166</v>
      </c>
      <c r="BZ28" s="19" t="n">
        <f aca="false">Debt!BZ42-BZ20</f>
        <v>141.95504102612</v>
      </c>
      <c r="CA28" s="19" t="n">
        <f aca="false">Debt!CA42-CA20</f>
        <v>123.205516582599</v>
      </c>
      <c r="CB28" s="19" t="n">
        <f aca="false">Debt!CB42-CB20</f>
        <v>104.103877910255</v>
      </c>
      <c r="CC28" s="19" t="n">
        <f aca="false">Debt!CC42-CC20</f>
        <v>83.4561055638122</v>
      </c>
      <c r="CD28" s="19" t="n">
        <f aca="false">Debt!CD42-CD20</f>
        <v>62.4204605407258</v>
      </c>
      <c r="CE28" s="19" t="n">
        <f aca="false">Debt!CE42-CE20</f>
        <v>40.7248801057982</v>
      </c>
      <c r="CF28" s="19" t="n">
        <f aca="false">Debt!CF42-CF20</f>
        <v>21.2872597324733</v>
      </c>
      <c r="CG28" s="19" t="n">
        <f aca="false">Debt!CG42-CG20</f>
        <v>9.45021838560933E-013</v>
      </c>
      <c r="CH28" s="19" t="n">
        <f aca="false">Debt!CH42-CH20</f>
        <v>9.45021838560933E-013</v>
      </c>
      <c r="CI28" s="19" t="n">
        <f aca="false">Debt!CI42-CI20</f>
        <v>9.45021838560933E-013</v>
      </c>
      <c r="CJ28" s="19" t="n">
        <f aca="false">Debt!CJ42-CJ20</f>
        <v>9.45021838560933E-013</v>
      </c>
      <c r="CK28" s="19" t="n">
        <f aca="false">Debt!CK42-CK20</f>
        <v>9.45021838560933E-013</v>
      </c>
      <c r="CL28" s="19" t="n">
        <f aca="false">Debt!CL42-CL20</f>
        <v>9.45021838560933E-013</v>
      </c>
      <c r="CM28" s="19" t="n">
        <f aca="false">Debt!CM42-CM20</f>
        <v>9.45021838560933E-013</v>
      </c>
      <c r="CN28" s="19" t="n">
        <f aca="false">Debt!CN42-CN20</f>
        <v>9.45021838560933E-013</v>
      </c>
      <c r="CO28" s="19" t="n">
        <f aca="false">Debt!CO42-CO20</f>
        <v>9.45021838560933E-013</v>
      </c>
      <c r="CP28" s="19" t="n">
        <f aca="false">Debt!CP42-CP20</f>
        <v>9.45021838560933E-013</v>
      </c>
      <c r="CQ28" s="19" t="n">
        <f aca="false">Debt!CQ42-CQ20</f>
        <v>9.45021838560933E-013</v>
      </c>
      <c r="CR28" s="19" t="n">
        <f aca="false">Debt!CR42-CR20</f>
        <v>9.45021838560933E-013</v>
      </c>
      <c r="CS28" s="19" t="n">
        <f aca="false">Debt!CS42-CS20</f>
        <v>9.45021838560933E-013</v>
      </c>
      <c r="CT28" s="19" t="n">
        <f aca="false">Debt!CT42-CT20</f>
        <v>9.45021838560933E-013</v>
      </c>
      <c r="CU28" s="19" t="n">
        <f aca="false">Debt!CU42-CU20</f>
        <v>9.45021838560933E-013</v>
      </c>
      <c r="CV28" s="19" t="n">
        <f aca="false">Debt!CV42-CV20</f>
        <v>9.45021838560933E-013</v>
      </c>
      <c r="CW28" s="19" t="n">
        <f aca="false">Debt!CW42-CW20</f>
        <v>9.45021838560933E-013</v>
      </c>
      <c r="CX28" s="19" t="n">
        <f aca="false">Debt!CX42-CX20</f>
        <v>9.45021838560933E-013</v>
      </c>
      <c r="CY28" s="19" t="n">
        <f aca="false">Debt!CY42-CY20</f>
        <v>9.45021838560933E-013</v>
      </c>
      <c r="CZ28" s="19" t="n">
        <f aca="false">Debt!CZ42-CZ20</f>
        <v>9.45021838560933E-013</v>
      </c>
      <c r="DA28" s="19" t="n">
        <f aca="false">Debt!DA42-DA20</f>
        <v>9.45021838560933E-013</v>
      </c>
      <c r="DB28" s="19" t="n">
        <f aca="false">Debt!DB42-DB20</f>
        <v>9.45021838560933E-013</v>
      </c>
    </row>
    <row r="29" customFormat="false" ht="15" hidden="false" customHeight="false" outlineLevel="0" collapsed="false">
      <c r="D29" s="0" t="s">
        <v>616</v>
      </c>
      <c r="E29" s="0" t="s">
        <v>44</v>
      </c>
      <c r="J29" s="19" t="n">
        <f aca="false">Debt!J49-J21</f>
        <v>485.17159295715</v>
      </c>
      <c r="K29" s="19" t="n">
        <f aca="false">Debt!K49-K21</f>
        <v>485.17159295715</v>
      </c>
      <c r="L29" s="19" t="n">
        <f aca="false">Debt!L49-L21</f>
        <v>485.17159295715</v>
      </c>
      <c r="M29" s="19" t="n">
        <f aca="false">Debt!M49-M21</f>
        <v>485.17159295715</v>
      </c>
      <c r="N29" s="19" t="n">
        <f aca="false">Debt!N49-N21</f>
        <v>485.17159295715</v>
      </c>
      <c r="O29" s="19" t="n">
        <f aca="false">Debt!O49-O21</f>
        <v>485.17159295715</v>
      </c>
      <c r="P29" s="19" t="n">
        <f aca="false">Debt!P49-P21</f>
        <v>485.17159295715</v>
      </c>
      <c r="Q29" s="19" t="n">
        <f aca="false">Debt!Q49-Q21</f>
        <v>485.17159295715</v>
      </c>
      <c r="R29" s="19" t="n">
        <f aca="false">Debt!R49-R21</f>
        <v>485.17159295715</v>
      </c>
      <c r="S29" s="19" t="n">
        <f aca="false">Debt!S49-S21</f>
        <v>485.17159295715</v>
      </c>
      <c r="T29" s="19" t="n">
        <f aca="false">Debt!T49-T21</f>
        <v>485.17159295715</v>
      </c>
      <c r="U29" s="19" t="n">
        <f aca="false">Debt!U49-U21</f>
        <v>485.17159295715</v>
      </c>
      <c r="V29" s="19" t="n">
        <f aca="false">Debt!V49-V21</f>
        <v>485.17159295715</v>
      </c>
      <c r="W29" s="19" t="n">
        <f aca="false">Debt!W49-W21</f>
        <v>485.17159295715</v>
      </c>
      <c r="X29" s="19" t="n">
        <f aca="false">Debt!X49-X21</f>
        <v>485.17159295715</v>
      </c>
      <c r="Y29" s="19" t="n">
        <f aca="false">Debt!Y49-Y21</f>
        <v>485.17159295715</v>
      </c>
      <c r="Z29" s="19" t="n">
        <f aca="false">Debt!Z49-Z21</f>
        <v>485.17159295715</v>
      </c>
      <c r="AA29" s="19" t="n">
        <f aca="false">Debt!AA49-AA21</f>
        <v>485.17159295715</v>
      </c>
      <c r="AB29" s="19" t="n">
        <f aca="false">Debt!AB49-AB21</f>
        <v>485.17159295715</v>
      </c>
      <c r="AC29" s="19" t="n">
        <f aca="false">Debt!AC49-AC21</f>
        <v>485.17159295715</v>
      </c>
      <c r="AD29" s="19" t="n">
        <f aca="false">Debt!AD49-AD21</f>
        <v>485.17159295715</v>
      </c>
      <c r="AE29" s="19" t="n">
        <f aca="false">Debt!AE49-AE21</f>
        <v>485.17159295715</v>
      </c>
      <c r="AF29" s="19" t="n">
        <f aca="false">Debt!AF49-AF21</f>
        <v>485.17159295715</v>
      </c>
      <c r="AG29" s="19" t="n">
        <f aca="false">Debt!AG49-AG21</f>
        <v>485.17159295715</v>
      </c>
      <c r="AH29" s="19" t="n">
        <f aca="false">Debt!AH49-AH21</f>
        <v>485.17159295715</v>
      </c>
      <c r="AI29" s="19" t="n">
        <f aca="false">Debt!AI49-AI21</f>
        <v>485.17159295715</v>
      </c>
      <c r="AJ29" s="19" t="n">
        <f aca="false">Debt!AJ49-AJ21</f>
        <v>485.17159295715</v>
      </c>
      <c r="AK29" s="19" t="n">
        <f aca="false">Debt!AK49-AK21</f>
        <v>485.17159295715</v>
      </c>
      <c r="AL29" s="19" t="n">
        <f aca="false">Debt!AL49-AL21</f>
        <v>485.17159295715</v>
      </c>
      <c r="AM29" s="19" t="n">
        <f aca="false">Debt!AM49-AM21</f>
        <v>485.17159295715</v>
      </c>
      <c r="AN29" s="19" t="n">
        <f aca="false">Debt!AN49-AN21</f>
        <v>485.17159295715</v>
      </c>
      <c r="AO29" s="19" t="n">
        <f aca="false">Debt!AO49-AO21</f>
        <v>485.17159295715</v>
      </c>
      <c r="AP29" s="19" t="n">
        <f aca="false">Debt!AP49-AP21</f>
        <v>485.17159295715</v>
      </c>
      <c r="AQ29" s="19" t="n">
        <f aca="false">Debt!AQ49-AQ21</f>
        <v>485.17159295715</v>
      </c>
      <c r="AR29" s="19" t="n">
        <f aca="false">Debt!AR49-AR21</f>
        <v>485.17159295715</v>
      </c>
      <c r="AS29" s="19" t="n">
        <f aca="false">Debt!AS49-AS21</f>
        <v>485.17159295715</v>
      </c>
      <c r="AT29" s="19" t="n">
        <f aca="false">Debt!AT49-AT21</f>
        <v>485.17159295715</v>
      </c>
      <c r="AU29" s="19" t="n">
        <f aca="false">Debt!AU49-AU21</f>
        <v>485.17159295715</v>
      </c>
      <c r="AV29" s="19" t="n">
        <f aca="false">Debt!AV49-AV21</f>
        <v>485.166895166966</v>
      </c>
      <c r="AW29" s="19" t="n">
        <f aca="false">Debt!AW49-AW21</f>
        <v>484.1665191636</v>
      </c>
      <c r="AX29" s="19" t="n">
        <f aca="false">Debt!AX49-AX21</f>
        <v>482.981927631467</v>
      </c>
      <c r="AY29" s="19" t="n">
        <f aca="false">Debt!AY49-AY21</f>
        <v>481.965652335319</v>
      </c>
      <c r="AZ29" s="19" t="n">
        <f aca="false">Debt!AZ49-AZ21</f>
        <v>480.705968609174</v>
      </c>
      <c r="BA29" s="19" t="n">
        <f aca="false">Debt!BA49-BA21</f>
        <v>478.829539984993</v>
      </c>
      <c r="BB29" s="19" t="n">
        <f aca="false">Debt!BB49-BB21</f>
        <v>476.741269101993</v>
      </c>
      <c r="BC29" s="19" t="n">
        <f aca="false">Debt!BC49-BC21</f>
        <v>472.206515617754</v>
      </c>
      <c r="BD29" s="19" t="n">
        <f aca="false">Debt!BD49-BD21</f>
        <v>467.388010368586</v>
      </c>
      <c r="BE29" s="19" t="n">
        <f aca="false">Debt!BE49-BE21</f>
        <v>460.91350925098</v>
      </c>
      <c r="BF29" s="19" t="n">
        <f aca="false">Debt!BF49-BF21</f>
        <v>454.103121221816</v>
      </c>
      <c r="BG29" s="19" t="n">
        <f aca="false">Debt!BG49-BG21</f>
        <v>446.377755410349</v>
      </c>
      <c r="BH29" s="19" t="n">
        <f aca="false">Debt!BH49-BH21</f>
        <v>438.205261449595</v>
      </c>
      <c r="BI29" s="19" t="n">
        <f aca="false">Debt!BI49-BI21</f>
        <v>429.093079601712</v>
      </c>
      <c r="BJ29" s="19" t="n">
        <f aca="false">Debt!BJ49-BJ21</f>
        <v>419.574868800596</v>
      </c>
      <c r="BK29" s="19" t="n">
        <f aca="false">Debt!BK49-BK21</f>
        <v>408.955562845949</v>
      </c>
      <c r="BL29" s="19" t="n">
        <f aca="false">Debt!BL49-BL21</f>
        <v>397.890887785357</v>
      </c>
      <c r="BM29" s="19" t="n">
        <f aca="false">Debt!BM49-BM21</f>
        <v>385.642083428115</v>
      </c>
      <c r="BN29" s="19" t="n">
        <f aca="false">Debt!BN49-BN21</f>
        <v>372.906502421057</v>
      </c>
      <c r="BO29" s="19" t="n">
        <f aca="false">Debt!BO49-BO21</f>
        <v>362.7320137459</v>
      </c>
      <c r="BP29" s="19" t="n">
        <f aca="false">Debt!BP49-BP21</f>
        <v>352.019506390531</v>
      </c>
      <c r="BQ29" s="19" t="n">
        <f aca="false">Debt!BQ49-BQ21</f>
        <v>340.131740930669</v>
      </c>
      <c r="BR29" s="19" t="n">
        <f aca="false">Debt!BR49-BR21</f>
        <v>328.032229574295</v>
      </c>
      <c r="BS29" s="19" t="n">
        <f aca="false">Debt!BS49-BS21</f>
        <v>314.589723711551</v>
      </c>
      <c r="BT29" s="19" t="n">
        <f aca="false">Debt!BT49-BT21</f>
        <v>300.905798871574</v>
      </c>
      <c r="BU29" s="19" t="n">
        <f aca="false">Debt!BU49-BU21</f>
        <v>281.949762833427</v>
      </c>
      <c r="BV29" s="19" t="n">
        <f aca="false">Debt!BV49-BV21</f>
        <v>262.619946353358</v>
      </c>
      <c r="BW29" s="19" t="n">
        <f aca="false">Debt!BW49-BW21</f>
        <v>241.66319743336</v>
      </c>
      <c r="BX29" s="19" t="n">
        <f aca="false">Debt!BX49-BX21</f>
        <v>220.158955866082</v>
      </c>
      <c r="BY29" s="19" t="n">
        <f aca="false">Debt!BY49-BY21</f>
        <v>197.055823723203</v>
      </c>
      <c r="BZ29" s="19" t="n">
        <f aca="false">Debt!BZ49-BZ21</f>
        <v>173.500605698591</v>
      </c>
      <c r="CA29" s="19" t="n">
        <f aca="false">Debt!CA49-CA21</f>
        <v>150.584520267622</v>
      </c>
      <c r="CB29" s="19" t="n">
        <f aca="false">Debt!CB49-CB21</f>
        <v>127.238073001423</v>
      </c>
      <c r="CC29" s="19" t="n">
        <f aca="false">Debt!CC49-CC21</f>
        <v>102.001906800215</v>
      </c>
      <c r="CD29" s="19" t="n">
        <f aca="false">Debt!CD49-CD21</f>
        <v>76.2916739942204</v>
      </c>
      <c r="CE29" s="19" t="n">
        <f aca="false">Debt!CE49-CE21</f>
        <v>49.7748534626422</v>
      </c>
      <c r="CF29" s="19" t="n">
        <f aca="false">Debt!CF49-CF21</f>
        <v>26.0177618952451</v>
      </c>
      <c r="CG29" s="19" t="n">
        <f aca="false">Debt!CG49-CG21</f>
        <v>1.16173737296776E-012</v>
      </c>
      <c r="CH29" s="19" t="n">
        <f aca="false">Debt!CH49-CH21</f>
        <v>1.16173737296776E-012</v>
      </c>
      <c r="CI29" s="19" t="n">
        <f aca="false">Debt!CI49-CI21</f>
        <v>1.16173737296776E-012</v>
      </c>
      <c r="CJ29" s="19" t="n">
        <f aca="false">Debt!CJ49-CJ21</f>
        <v>1.16173737296776E-012</v>
      </c>
      <c r="CK29" s="19" t="n">
        <f aca="false">Debt!CK49-CK21</f>
        <v>1.16173737296776E-012</v>
      </c>
      <c r="CL29" s="19" t="n">
        <f aca="false">Debt!CL49-CL21</f>
        <v>1.16173737296776E-012</v>
      </c>
      <c r="CM29" s="19" t="n">
        <f aca="false">Debt!CM49-CM21</f>
        <v>1.16173737296776E-012</v>
      </c>
      <c r="CN29" s="19" t="n">
        <f aca="false">Debt!CN49-CN21</f>
        <v>1.16173737296776E-012</v>
      </c>
      <c r="CO29" s="19" t="n">
        <f aca="false">Debt!CO49-CO21</f>
        <v>1.16173737296776E-012</v>
      </c>
      <c r="CP29" s="19" t="n">
        <f aca="false">Debt!CP49-CP21</f>
        <v>1.16173737296776E-012</v>
      </c>
      <c r="CQ29" s="19" t="n">
        <f aca="false">Debt!CQ49-CQ21</f>
        <v>1.16173737296776E-012</v>
      </c>
      <c r="CR29" s="19" t="n">
        <f aca="false">Debt!CR49-CR21</f>
        <v>1.16173737296776E-012</v>
      </c>
      <c r="CS29" s="19" t="n">
        <f aca="false">Debt!CS49-CS21</f>
        <v>1.16173737296776E-012</v>
      </c>
      <c r="CT29" s="19" t="n">
        <f aca="false">Debt!CT49-CT21</f>
        <v>1.16173737296776E-012</v>
      </c>
      <c r="CU29" s="19" t="n">
        <f aca="false">Debt!CU49-CU21</f>
        <v>1.16173737296776E-012</v>
      </c>
      <c r="CV29" s="19" t="n">
        <f aca="false">Debt!CV49-CV21</f>
        <v>1.16173737296776E-012</v>
      </c>
      <c r="CW29" s="19" t="n">
        <f aca="false">Debt!CW49-CW21</f>
        <v>1.16173737296776E-012</v>
      </c>
      <c r="CX29" s="19" t="n">
        <f aca="false">Debt!CX49-CX21</f>
        <v>1.16173737296776E-012</v>
      </c>
      <c r="CY29" s="19" t="n">
        <f aca="false">Debt!CY49-CY21</f>
        <v>1.16173737296776E-012</v>
      </c>
      <c r="CZ29" s="19" t="n">
        <f aca="false">Debt!CZ49-CZ21</f>
        <v>1.16173737296776E-012</v>
      </c>
      <c r="DA29" s="19" t="n">
        <f aca="false">Debt!DA49-DA21</f>
        <v>1.16173737296776E-012</v>
      </c>
      <c r="DB29" s="19" t="n">
        <f aca="false">Debt!DB49-DB21</f>
        <v>1.16173737296776E-012</v>
      </c>
    </row>
    <row r="30" customFormat="false" ht="15" hidden="false" customHeight="false" outlineLevel="0" collapsed="false">
      <c r="D30" s="0" t="s">
        <v>617</v>
      </c>
      <c r="E30" s="0" t="s">
        <v>44</v>
      </c>
      <c r="G30" s="19" t="n">
        <f aca="false">SUM(J30:DB30)</f>
        <v>0</v>
      </c>
      <c r="J30" s="19" t="n">
        <f aca="false">Time!J34*MIN(MAX(0,J26),J28+J29)</f>
        <v>0</v>
      </c>
      <c r="K30" s="19" t="n">
        <f aca="false">Time!K34*MIN(MAX(0,K26),K28+K29)</f>
        <v>0</v>
      </c>
      <c r="L30" s="19" t="n">
        <f aca="false">Time!L34*MIN(MAX(0,L26),L28+L29)</f>
        <v>0</v>
      </c>
      <c r="M30" s="19" t="n">
        <f aca="false">Time!M34*MIN(MAX(0,M26),M28+M29)</f>
        <v>0</v>
      </c>
      <c r="N30" s="19" t="n">
        <f aca="false">Time!N34*MIN(MAX(0,N26),N28+N29)</f>
        <v>0</v>
      </c>
      <c r="O30" s="19" t="n">
        <f aca="false">Time!O34*MIN(MAX(0,O26),O28+O29)</f>
        <v>0</v>
      </c>
      <c r="P30" s="19" t="n">
        <f aca="false">Time!P34*MIN(MAX(0,P26),P28+P29)</f>
        <v>0</v>
      </c>
      <c r="Q30" s="19" t="n">
        <f aca="false">Time!Q34*MIN(MAX(0,Q26),Q28+Q29)</f>
        <v>0</v>
      </c>
      <c r="R30" s="19" t="n">
        <f aca="false">Time!R34*MIN(MAX(0,R26),R28+R29)</f>
        <v>0</v>
      </c>
      <c r="S30" s="19" t="n">
        <f aca="false">Time!S34*MIN(MAX(0,S26),S28+S29)</f>
        <v>0</v>
      </c>
      <c r="T30" s="19" t="n">
        <f aca="false">Time!T34*MIN(MAX(0,T26),T28+T29)</f>
        <v>0</v>
      </c>
      <c r="U30" s="19" t="n">
        <f aca="false">Time!U34*MIN(MAX(0,U26),U28+U29)</f>
        <v>0</v>
      </c>
      <c r="V30" s="19" t="n">
        <f aca="false">Time!V34*MIN(MAX(0,V26),V28+V29)</f>
        <v>0</v>
      </c>
      <c r="W30" s="19" t="n">
        <f aca="false">Time!W34*MIN(MAX(0,W26),W28+W29)</f>
        <v>0</v>
      </c>
      <c r="X30" s="19" t="n">
        <f aca="false">Time!X34*MIN(MAX(0,X26),X28+X29)</f>
        <v>0</v>
      </c>
      <c r="Y30" s="19" t="n">
        <f aca="false">Time!Y34*MIN(MAX(0,Y26),Y28+Y29)</f>
        <v>0</v>
      </c>
      <c r="Z30" s="19" t="n">
        <f aca="false">Time!Z34*MIN(MAX(0,Z26),Z28+Z29)</f>
        <v>0</v>
      </c>
      <c r="AA30" s="19" t="n">
        <f aca="false">Time!AA34*MIN(MAX(0,AA26),AA28+AA29)</f>
        <v>0</v>
      </c>
      <c r="AB30" s="19" t="n">
        <f aca="false">Time!AB34*MIN(MAX(0,AB26),AB28+AB29)</f>
        <v>0</v>
      </c>
      <c r="AC30" s="19" t="n">
        <f aca="false">Time!AC34*MIN(MAX(0,AC26),AC28+AC29)</f>
        <v>0</v>
      </c>
      <c r="AD30" s="19" t="n">
        <f aca="false">Time!AD34*MIN(MAX(0,AD26),AD28+AD29)</f>
        <v>0</v>
      </c>
      <c r="AE30" s="19" t="n">
        <f aca="false">Time!AE34*MIN(MAX(0,AE26),AE28+AE29)</f>
        <v>0</v>
      </c>
      <c r="AF30" s="19" t="n">
        <f aca="false">Time!AF34*MIN(MAX(0,AF26),AF28+AF29)</f>
        <v>0</v>
      </c>
      <c r="AG30" s="19" t="n">
        <f aca="false">Time!AG34*MIN(MAX(0,AG26),AG28+AG29)</f>
        <v>0</v>
      </c>
      <c r="AH30" s="19" t="n">
        <f aca="false">Time!AH34*MIN(MAX(0,AH26),AH28+AH29)</f>
        <v>0</v>
      </c>
      <c r="AI30" s="19" t="n">
        <f aca="false">Time!AI34*MIN(MAX(0,AI26),AI28+AI29)</f>
        <v>0</v>
      </c>
      <c r="AJ30" s="19" t="n">
        <f aca="false">Time!AJ34*MIN(MAX(0,AJ26),AJ28+AJ29)</f>
        <v>0</v>
      </c>
      <c r="AK30" s="19" t="n">
        <f aca="false">Time!AK34*MIN(MAX(0,AK26),AK28+AK29)</f>
        <v>0</v>
      </c>
      <c r="AL30" s="19" t="n">
        <f aca="false">Time!AL34*MIN(MAX(0,AL26),AL28+AL29)</f>
        <v>0</v>
      </c>
      <c r="AM30" s="19" t="n">
        <f aca="false">Time!AM34*MIN(MAX(0,AM26),AM28+AM29)</f>
        <v>0</v>
      </c>
      <c r="AN30" s="19" t="n">
        <f aca="false">Time!AN34*MIN(MAX(0,AN26),AN28+AN29)</f>
        <v>0</v>
      </c>
      <c r="AO30" s="19" t="n">
        <f aca="false">Time!AO34*MIN(MAX(0,AO26),AO28+AO29)</f>
        <v>0</v>
      </c>
      <c r="AP30" s="19" t="n">
        <f aca="false">Time!AP34*MIN(MAX(0,AP26),AP28+AP29)</f>
        <v>0</v>
      </c>
      <c r="AQ30" s="19" t="n">
        <f aca="false">Time!AQ34*MIN(MAX(0,AQ26),AQ28+AQ29)</f>
        <v>0</v>
      </c>
      <c r="AR30" s="19" t="n">
        <f aca="false">Time!AR34*MIN(MAX(0,AR26),AR28+AR29)</f>
        <v>0</v>
      </c>
      <c r="AS30" s="19" t="n">
        <f aca="false">Time!AS34*MIN(MAX(0,AS26),AS28+AS29)</f>
        <v>0</v>
      </c>
      <c r="AT30" s="19" t="n">
        <f aca="false">Time!AT34*MIN(MAX(0,AT26),AT28+AT29)</f>
        <v>0</v>
      </c>
      <c r="AU30" s="19" t="n">
        <f aca="false">Time!AU34*MIN(MAX(0,AU26),AU28+AU29)</f>
        <v>0</v>
      </c>
      <c r="AV30" s="19" t="n">
        <f aca="false">Time!AV34*MIN(MAX(0,AV26),AV28+AV29)</f>
        <v>0</v>
      </c>
      <c r="AW30" s="19" t="n">
        <f aca="false">Time!AW34*MIN(MAX(0,AW26),AW28+AW29)</f>
        <v>0</v>
      </c>
      <c r="AX30" s="19" t="n">
        <f aca="false">Time!AX34*MIN(MAX(0,AX26),AX28+AX29)</f>
        <v>0</v>
      </c>
      <c r="AY30" s="19" t="n">
        <f aca="false">Time!AY34*MIN(MAX(0,AY26),AY28+AY29)</f>
        <v>0</v>
      </c>
      <c r="AZ30" s="19" t="n">
        <f aca="false">Time!AZ34*MIN(MAX(0,AZ26),AZ28+AZ29)</f>
        <v>0</v>
      </c>
      <c r="BA30" s="19" t="n">
        <f aca="false">Time!BA34*MIN(MAX(0,BA26),BA28+BA29)</f>
        <v>0</v>
      </c>
      <c r="BB30" s="19" t="n">
        <f aca="false">Time!BB34*MIN(MAX(0,BB26),BB28+BB29)</f>
        <v>0</v>
      </c>
      <c r="BC30" s="19" t="n">
        <f aca="false">Time!BC34*MIN(MAX(0,BC26),BC28+BC29)</f>
        <v>0</v>
      </c>
      <c r="BD30" s="19" t="n">
        <f aca="false">Time!BD34*MIN(MAX(0,BD26),BD28+BD29)</f>
        <v>0</v>
      </c>
      <c r="BE30" s="19" t="n">
        <f aca="false">Time!BE34*MIN(MAX(0,BE26),BE28+BE29)</f>
        <v>0</v>
      </c>
      <c r="BF30" s="19" t="n">
        <f aca="false">Time!BF34*MIN(MAX(0,BF26),BF28+BF29)</f>
        <v>0</v>
      </c>
      <c r="BG30" s="19" t="n">
        <f aca="false">Time!BG34*MIN(MAX(0,BG26),BG28+BG29)</f>
        <v>0</v>
      </c>
      <c r="BH30" s="19" t="n">
        <f aca="false">Time!BH34*MIN(MAX(0,BH26),BH28+BH29)</f>
        <v>0</v>
      </c>
      <c r="BI30" s="19" t="n">
        <f aca="false">Time!BI34*MIN(MAX(0,BI26),BI28+BI29)</f>
        <v>0</v>
      </c>
      <c r="BJ30" s="19" t="n">
        <f aca="false">Time!BJ34*MIN(MAX(0,BJ26),BJ28+BJ29)</f>
        <v>0</v>
      </c>
      <c r="BK30" s="19" t="n">
        <f aca="false">Time!BK34*MIN(MAX(0,BK26),BK28+BK29)</f>
        <v>0</v>
      </c>
      <c r="BL30" s="19" t="n">
        <f aca="false">Time!BL34*MIN(MAX(0,BL26),BL28+BL29)</f>
        <v>0</v>
      </c>
      <c r="BM30" s="19" t="n">
        <f aca="false">Time!BM34*MIN(MAX(0,BM26),BM28+BM29)</f>
        <v>0</v>
      </c>
      <c r="BN30" s="19" t="n">
        <f aca="false">Time!BN34*MIN(MAX(0,BN26),BN28+BN29)</f>
        <v>0</v>
      </c>
      <c r="BO30" s="19" t="n">
        <f aca="false">Time!BO34*MIN(MAX(0,BO26),BO28+BO29)</f>
        <v>0</v>
      </c>
      <c r="BP30" s="19" t="n">
        <f aca="false">Time!BP34*MIN(MAX(0,BP26),BP28+BP29)</f>
        <v>0</v>
      </c>
      <c r="BQ30" s="19" t="n">
        <f aca="false">Time!BQ34*MIN(MAX(0,BQ26),BQ28+BQ29)</f>
        <v>0</v>
      </c>
      <c r="BR30" s="19" t="n">
        <f aca="false">Time!BR34*MIN(MAX(0,BR26),BR28+BR29)</f>
        <v>0</v>
      </c>
      <c r="BS30" s="19" t="n">
        <f aca="false">Time!BS34*MIN(MAX(0,BS26),BS28+BS29)</f>
        <v>0</v>
      </c>
      <c r="BT30" s="19" t="n">
        <f aca="false">Time!BT34*MIN(MAX(0,BT26),BT28+BT29)</f>
        <v>0</v>
      </c>
      <c r="BU30" s="19" t="n">
        <f aca="false">Time!BU34*MIN(MAX(0,BU26),BU28+BU29)</f>
        <v>0</v>
      </c>
      <c r="BV30" s="19" t="n">
        <f aca="false">Time!BV34*MIN(MAX(0,BV26),BV28+BV29)</f>
        <v>0</v>
      </c>
      <c r="BW30" s="19" t="n">
        <f aca="false">Time!BW34*MIN(MAX(0,BW26),BW28+BW29)</f>
        <v>0</v>
      </c>
      <c r="BX30" s="19" t="n">
        <f aca="false">Time!BX34*MIN(MAX(0,BX26),BX28+BX29)</f>
        <v>0</v>
      </c>
      <c r="BY30" s="19" t="n">
        <f aca="false">Time!BY34*MIN(MAX(0,BY26),BY28+BY29)</f>
        <v>0</v>
      </c>
      <c r="BZ30" s="19" t="n">
        <f aca="false">Time!BZ34*MIN(MAX(0,BZ26),BZ28+BZ29)</f>
        <v>0</v>
      </c>
      <c r="CA30" s="19" t="n">
        <f aca="false">Time!CA34*MIN(MAX(0,CA26),CA28+CA29)</f>
        <v>0</v>
      </c>
      <c r="CB30" s="19" t="n">
        <f aca="false">Time!CB34*MIN(MAX(0,CB26),CB28+CB29)</f>
        <v>0</v>
      </c>
      <c r="CC30" s="19" t="n">
        <f aca="false">Time!CC34*MIN(MAX(0,CC26),CC28+CC29)</f>
        <v>0</v>
      </c>
      <c r="CD30" s="19" t="n">
        <f aca="false">Time!CD34*MIN(MAX(0,CD26),CD28+CD29)</f>
        <v>0</v>
      </c>
      <c r="CE30" s="19" t="n">
        <f aca="false">Time!CE34*MIN(MAX(0,CE26),CE28+CE29)</f>
        <v>0</v>
      </c>
      <c r="CF30" s="19" t="n">
        <f aca="false">Time!CF34*MIN(MAX(0,CF26),CF28+CF29)</f>
        <v>0</v>
      </c>
      <c r="CG30" s="19" t="n">
        <f aca="false">Time!CG34*MIN(MAX(0,CG26),CG28+CG29)</f>
        <v>0</v>
      </c>
      <c r="CH30" s="19" t="n">
        <f aca="false">Time!CH34*MIN(MAX(0,CH26),CH28+CH29)</f>
        <v>0</v>
      </c>
      <c r="CI30" s="19" t="n">
        <f aca="false">Time!CI34*MIN(MAX(0,CI26),CI28+CI29)</f>
        <v>0</v>
      </c>
      <c r="CJ30" s="19" t="n">
        <f aca="false">Time!CJ34*MIN(MAX(0,CJ26),CJ28+CJ29)</f>
        <v>0</v>
      </c>
      <c r="CK30" s="19" t="n">
        <f aca="false">Time!CK34*MIN(MAX(0,CK26),CK28+CK29)</f>
        <v>0</v>
      </c>
      <c r="CL30" s="19" t="n">
        <f aca="false">Time!CL34*MIN(MAX(0,CL26),CL28+CL29)</f>
        <v>0</v>
      </c>
      <c r="CM30" s="19" t="n">
        <f aca="false">Time!CM34*MIN(MAX(0,CM26),CM28+CM29)</f>
        <v>0</v>
      </c>
      <c r="CN30" s="19" t="n">
        <f aca="false">Time!CN34*MIN(MAX(0,CN26),CN28+CN29)</f>
        <v>0</v>
      </c>
      <c r="CO30" s="19" t="n">
        <f aca="false">Time!CO34*MIN(MAX(0,CO26),CO28+CO29)</f>
        <v>0</v>
      </c>
      <c r="CP30" s="19" t="n">
        <f aca="false">Time!CP34*MIN(MAX(0,CP26),CP28+CP29)</f>
        <v>0</v>
      </c>
      <c r="CQ30" s="19" t="n">
        <f aca="false">Time!CQ34*MIN(MAX(0,CQ26),CQ28+CQ29)</f>
        <v>0</v>
      </c>
      <c r="CR30" s="19" t="n">
        <f aca="false">Time!CR34*MIN(MAX(0,CR26),CR28+CR29)</f>
        <v>0</v>
      </c>
      <c r="CS30" s="19" t="n">
        <f aca="false">Time!CS34*MIN(MAX(0,CS26),CS28+CS29)</f>
        <v>0</v>
      </c>
      <c r="CT30" s="19" t="n">
        <f aca="false">Time!CT34*MIN(MAX(0,CT26),CT28+CT29)</f>
        <v>0</v>
      </c>
      <c r="CU30" s="19" t="n">
        <f aca="false">Time!CU34*MIN(MAX(0,CU26),CU28+CU29)</f>
        <v>0</v>
      </c>
      <c r="CV30" s="19" t="n">
        <f aca="false">Time!CV34*MIN(MAX(0,CV26),CV28+CV29)</f>
        <v>0</v>
      </c>
      <c r="CW30" s="19" t="n">
        <f aca="false">Time!CW34*MIN(MAX(0,CW26),CW28+CW29)</f>
        <v>0</v>
      </c>
      <c r="CX30" s="19" t="n">
        <f aca="false">Time!CX34*MIN(MAX(0,CX26),CX28+CX29)</f>
        <v>0</v>
      </c>
      <c r="CY30" s="19" t="n">
        <f aca="false">Time!CY34*MIN(MAX(0,CY26),CY28+CY29)</f>
        <v>0</v>
      </c>
      <c r="CZ30" s="19" t="n">
        <f aca="false">Time!CZ34*MIN(MAX(0,CZ26),CZ28+CZ29)</f>
        <v>0</v>
      </c>
      <c r="DA30" s="19" t="n">
        <f aca="false">Time!DA34*MIN(MAX(0,DA26),DA28+DA29)</f>
        <v>0</v>
      </c>
      <c r="DB30" s="19" t="n">
        <f aca="false">Time!DB34*MIN(MAX(0,DB26),DB28+DB29)</f>
        <v>0</v>
      </c>
    </row>
    <row r="31" customFormat="false" ht="15" hidden="false" customHeight="false" outlineLevel="0" collapsed="false">
      <c r="D31" s="0" t="s">
        <v>618</v>
      </c>
      <c r="E31" s="0" t="s">
        <v>44</v>
      </c>
      <c r="G31" s="19" t="n">
        <f aca="false">SUM(J31:DB31)</f>
        <v>0</v>
      </c>
      <c r="J31" s="19" t="n">
        <f aca="false">IF(J30&gt;0,J30*J28/(J28+J29),0)</f>
        <v>0</v>
      </c>
      <c r="K31" s="19" t="n">
        <f aca="false">IF(K30&gt;0,K30*K28/(K28+K29),0)</f>
        <v>0</v>
      </c>
      <c r="L31" s="19" t="n">
        <f aca="false">IF(L30&gt;0,L30*L28/(L28+L29),0)</f>
        <v>0</v>
      </c>
      <c r="M31" s="19" t="n">
        <f aca="false">IF(M30&gt;0,M30*M28/(M28+M29),0)</f>
        <v>0</v>
      </c>
      <c r="N31" s="19" t="n">
        <f aca="false">IF(N30&gt;0,N30*N28/(N28+N29),0)</f>
        <v>0</v>
      </c>
      <c r="O31" s="19" t="n">
        <f aca="false">IF(O30&gt;0,O30*O28/(O28+O29),0)</f>
        <v>0</v>
      </c>
      <c r="P31" s="19" t="n">
        <f aca="false">IF(P30&gt;0,P30*P28/(P28+P29),0)</f>
        <v>0</v>
      </c>
      <c r="Q31" s="19" t="n">
        <f aca="false">IF(Q30&gt;0,Q30*Q28/(Q28+Q29),0)</f>
        <v>0</v>
      </c>
      <c r="R31" s="19" t="n">
        <f aca="false">IF(R30&gt;0,R30*R28/(R28+R29),0)</f>
        <v>0</v>
      </c>
      <c r="S31" s="19" t="n">
        <f aca="false">IF(S30&gt;0,S30*S28/(S28+S29),0)</f>
        <v>0</v>
      </c>
      <c r="T31" s="19" t="n">
        <f aca="false">IF(T30&gt;0,T30*T28/(T28+T29),0)</f>
        <v>0</v>
      </c>
      <c r="U31" s="19" t="n">
        <f aca="false">IF(U30&gt;0,U30*U28/(U28+U29),0)</f>
        <v>0</v>
      </c>
      <c r="V31" s="19" t="n">
        <f aca="false">IF(V30&gt;0,V30*V28/(V28+V29),0)</f>
        <v>0</v>
      </c>
      <c r="W31" s="19" t="n">
        <f aca="false">IF(W30&gt;0,W30*W28/(W28+W29),0)</f>
        <v>0</v>
      </c>
      <c r="X31" s="19" t="n">
        <f aca="false">IF(X30&gt;0,X30*X28/(X28+X29),0)</f>
        <v>0</v>
      </c>
      <c r="Y31" s="19" t="n">
        <f aca="false">IF(Y30&gt;0,Y30*Y28/(Y28+Y29),0)</f>
        <v>0</v>
      </c>
      <c r="Z31" s="19" t="n">
        <f aca="false">IF(Z30&gt;0,Z30*Z28/(Z28+Z29),0)</f>
        <v>0</v>
      </c>
      <c r="AA31" s="19" t="n">
        <f aca="false">IF(AA30&gt;0,AA30*AA28/(AA28+AA29),0)</f>
        <v>0</v>
      </c>
      <c r="AB31" s="19" t="n">
        <f aca="false">IF(AB30&gt;0,AB30*AB28/(AB28+AB29),0)</f>
        <v>0</v>
      </c>
      <c r="AC31" s="19" t="n">
        <f aca="false">IF(AC30&gt;0,AC30*AC28/(AC28+AC29),0)</f>
        <v>0</v>
      </c>
      <c r="AD31" s="19" t="n">
        <f aca="false">IF(AD30&gt;0,AD30*AD28/(AD28+AD29),0)</f>
        <v>0</v>
      </c>
      <c r="AE31" s="19" t="n">
        <f aca="false">IF(AE30&gt;0,AE30*AE28/(AE28+AE29),0)</f>
        <v>0</v>
      </c>
      <c r="AF31" s="19" t="n">
        <f aca="false">IF(AF30&gt;0,AF30*AF28/(AF28+AF29),0)</f>
        <v>0</v>
      </c>
      <c r="AG31" s="19" t="n">
        <f aca="false">IF(AG30&gt;0,AG30*AG28/(AG28+AG29),0)</f>
        <v>0</v>
      </c>
      <c r="AH31" s="19" t="n">
        <f aca="false">IF(AH30&gt;0,AH30*AH28/(AH28+AH29),0)</f>
        <v>0</v>
      </c>
      <c r="AI31" s="19" t="n">
        <f aca="false">IF(AI30&gt;0,AI30*AI28/(AI28+AI29),0)</f>
        <v>0</v>
      </c>
      <c r="AJ31" s="19" t="n">
        <f aca="false">IF(AJ30&gt;0,AJ30*AJ28/(AJ28+AJ29),0)</f>
        <v>0</v>
      </c>
      <c r="AK31" s="19" t="n">
        <f aca="false">IF(AK30&gt;0,AK30*AK28/(AK28+AK29),0)</f>
        <v>0</v>
      </c>
      <c r="AL31" s="19" t="n">
        <f aca="false">IF(AL30&gt;0,AL30*AL28/(AL28+AL29),0)</f>
        <v>0</v>
      </c>
      <c r="AM31" s="19" t="n">
        <f aca="false">IF(AM30&gt;0,AM30*AM28/(AM28+AM29),0)</f>
        <v>0</v>
      </c>
      <c r="AN31" s="19" t="n">
        <f aca="false">IF(AN30&gt;0,AN30*AN28/(AN28+AN29),0)</f>
        <v>0</v>
      </c>
      <c r="AO31" s="19" t="n">
        <f aca="false">IF(AO30&gt;0,AO30*AO28/(AO28+AO29),0)</f>
        <v>0</v>
      </c>
      <c r="AP31" s="19" t="n">
        <f aca="false">IF(AP30&gt;0,AP30*AP28/(AP28+AP29),0)</f>
        <v>0</v>
      </c>
      <c r="AQ31" s="19" t="n">
        <f aca="false">IF(AQ30&gt;0,AQ30*AQ28/(AQ28+AQ29),0)</f>
        <v>0</v>
      </c>
      <c r="AR31" s="19" t="n">
        <f aca="false">IF(AR30&gt;0,AR30*AR28/(AR28+AR29),0)</f>
        <v>0</v>
      </c>
      <c r="AS31" s="19" t="n">
        <f aca="false">IF(AS30&gt;0,AS30*AS28/(AS28+AS29),0)</f>
        <v>0</v>
      </c>
      <c r="AT31" s="19" t="n">
        <f aca="false">IF(AT30&gt;0,AT30*AT28/(AT28+AT29),0)</f>
        <v>0</v>
      </c>
      <c r="AU31" s="19" t="n">
        <f aca="false">IF(AU30&gt;0,AU30*AU28/(AU28+AU29),0)</f>
        <v>0</v>
      </c>
      <c r="AV31" s="19" t="n">
        <f aca="false">IF(AV30&gt;0,AV30*AV28/(AV28+AV29),0)</f>
        <v>0</v>
      </c>
      <c r="AW31" s="19" t="n">
        <f aca="false">IF(AW30&gt;0,AW30*AW28/(AW28+AW29),0)</f>
        <v>0</v>
      </c>
      <c r="AX31" s="19" t="n">
        <f aca="false">IF(AX30&gt;0,AX30*AX28/(AX28+AX29),0)</f>
        <v>0</v>
      </c>
      <c r="AY31" s="19" t="n">
        <f aca="false">IF(AY30&gt;0,AY30*AY28/(AY28+AY29),0)</f>
        <v>0</v>
      </c>
      <c r="AZ31" s="19" t="n">
        <f aca="false">IF(AZ30&gt;0,AZ30*AZ28/(AZ28+AZ29),0)</f>
        <v>0</v>
      </c>
      <c r="BA31" s="19" t="n">
        <f aca="false">IF(BA30&gt;0,BA30*BA28/(BA28+BA29),0)</f>
        <v>0</v>
      </c>
      <c r="BB31" s="19" t="n">
        <f aca="false">IF(BB30&gt;0,BB30*BB28/(BB28+BB29),0)</f>
        <v>0</v>
      </c>
      <c r="BC31" s="19" t="n">
        <f aca="false">IF(BC30&gt;0,BC30*BC28/(BC28+BC29),0)</f>
        <v>0</v>
      </c>
      <c r="BD31" s="19" t="n">
        <f aca="false">IF(BD30&gt;0,BD30*BD28/(BD28+BD29),0)</f>
        <v>0</v>
      </c>
      <c r="BE31" s="19" t="n">
        <f aca="false">IF(BE30&gt;0,BE30*BE28/(BE28+BE29),0)</f>
        <v>0</v>
      </c>
      <c r="BF31" s="19" t="n">
        <f aca="false">IF(BF30&gt;0,BF30*BF28/(BF28+BF29),0)</f>
        <v>0</v>
      </c>
      <c r="BG31" s="19" t="n">
        <f aca="false">IF(BG30&gt;0,BG30*BG28/(BG28+BG29),0)</f>
        <v>0</v>
      </c>
      <c r="BH31" s="19" t="n">
        <f aca="false">IF(BH30&gt;0,BH30*BH28/(BH28+BH29),0)</f>
        <v>0</v>
      </c>
      <c r="BI31" s="19" t="n">
        <f aca="false">IF(BI30&gt;0,BI30*BI28/(BI28+BI29),0)</f>
        <v>0</v>
      </c>
      <c r="BJ31" s="19" t="n">
        <f aca="false">IF(BJ30&gt;0,BJ30*BJ28/(BJ28+BJ29),0)</f>
        <v>0</v>
      </c>
      <c r="BK31" s="19" t="n">
        <f aca="false">IF(BK30&gt;0,BK30*BK28/(BK28+BK29),0)</f>
        <v>0</v>
      </c>
      <c r="BL31" s="19" t="n">
        <f aca="false">IF(BL30&gt;0,BL30*BL28/(BL28+BL29),0)</f>
        <v>0</v>
      </c>
      <c r="BM31" s="19" t="n">
        <f aca="false">IF(BM30&gt;0,BM30*BM28/(BM28+BM29),0)</f>
        <v>0</v>
      </c>
      <c r="BN31" s="19" t="n">
        <f aca="false">IF(BN30&gt;0,BN30*BN28/(BN28+BN29),0)</f>
        <v>0</v>
      </c>
      <c r="BO31" s="19" t="n">
        <f aca="false">IF(BO30&gt;0,BO30*BO28/(BO28+BO29),0)</f>
        <v>0</v>
      </c>
      <c r="BP31" s="19" t="n">
        <f aca="false">IF(BP30&gt;0,BP30*BP28/(BP28+BP29),0)</f>
        <v>0</v>
      </c>
      <c r="BQ31" s="19" t="n">
        <f aca="false">IF(BQ30&gt;0,BQ30*BQ28/(BQ28+BQ29),0)</f>
        <v>0</v>
      </c>
      <c r="BR31" s="19" t="n">
        <f aca="false">IF(BR30&gt;0,BR30*BR28/(BR28+BR29),0)</f>
        <v>0</v>
      </c>
      <c r="BS31" s="19" t="n">
        <f aca="false">IF(BS30&gt;0,BS30*BS28/(BS28+BS29),0)</f>
        <v>0</v>
      </c>
      <c r="BT31" s="19" t="n">
        <f aca="false">IF(BT30&gt;0,BT30*BT28/(BT28+BT29),0)</f>
        <v>0</v>
      </c>
      <c r="BU31" s="19" t="n">
        <f aca="false">IF(BU30&gt;0,BU30*BU28/(BU28+BU29),0)</f>
        <v>0</v>
      </c>
      <c r="BV31" s="19" t="n">
        <f aca="false">IF(BV30&gt;0,BV30*BV28/(BV28+BV29),0)</f>
        <v>0</v>
      </c>
      <c r="BW31" s="19" t="n">
        <f aca="false">IF(BW30&gt;0,BW30*BW28/(BW28+BW29),0)</f>
        <v>0</v>
      </c>
      <c r="BX31" s="19" t="n">
        <f aca="false">IF(BX30&gt;0,BX30*BX28/(BX28+BX29),0)</f>
        <v>0</v>
      </c>
      <c r="BY31" s="19" t="n">
        <f aca="false">IF(BY30&gt;0,BY30*BY28/(BY28+BY29),0)</f>
        <v>0</v>
      </c>
      <c r="BZ31" s="19" t="n">
        <f aca="false">IF(BZ30&gt;0,BZ30*BZ28/(BZ28+BZ29),0)</f>
        <v>0</v>
      </c>
      <c r="CA31" s="19" t="n">
        <f aca="false">IF(CA30&gt;0,CA30*CA28/(CA28+CA29),0)</f>
        <v>0</v>
      </c>
      <c r="CB31" s="19" t="n">
        <f aca="false">IF(CB30&gt;0,CB30*CB28/(CB28+CB29),0)</f>
        <v>0</v>
      </c>
      <c r="CC31" s="19" t="n">
        <f aca="false">IF(CC30&gt;0,CC30*CC28/(CC28+CC29),0)</f>
        <v>0</v>
      </c>
      <c r="CD31" s="19" t="n">
        <f aca="false">IF(CD30&gt;0,CD30*CD28/(CD28+CD29),0)</f>
        <v>0</v>
      </c>
      <c r="CE31" s="19" t="n">
        <f aca="false">IF(CE30&gt;0,CE30*CE28/(CE28+CE29),0)</f>
        <v>0</v>
      </c>
      <c r="CF31" s="19" t="n">
        <f aca="false">IF(CF30&gt;0,CF30*CF28/(CF28+CF29),0)</f>
        <v>0</v>
      </c>
      <c r="CG31" s="19" t="n">
        <f aca="false">IF(CG30&gt;0,CG30*CG28/(CG28+CG29),0)</f>
        <v>0</v>
      </c>
      <c r="CH31" s="19" t="n">
        <f aca="false">IF(CH30&gt;0,CH30*CH28/(CH28+CH29),0)</f>
        <v>0</v>
      </c>
      <c r="CI31" s="19" t="n">
        <f aca="false">IF(CI30&gt;0,CI30*CI28/(CI28+CI29),0)</f>
        <v>0</v>
      </c>
      <c r="CJ31" s="19" t="n">
        <f aca="false">IF(CJ30&gt;0,CJ30*CJ28/(CJ28+CJ29),0)</f>
        <v>0</v>
      </c>
      <c r="CK31" s="19" t="n">
        <f aca="false">IF(CK30&gt;0,CK30*CK28/(CK28+CK29),0)</f>
        <v>0</v>
      </c>
      <c r="CL31" s="19" t="n">
        <f aca="false">IF(CL30&gt;0,CL30*CL28/(CL28+CL29),0)</f>
        <v>0</v>
      </c>
      <c r="CM31" s="19" t="n">
        <f aca="false">IF(CM30&gt;0,CM30*CM28/(CM28+CM29),0)</f>
        <v>0</v>
      </c>
      <c r="CN31" s="19" t="n">
        <f aca="false">IF(CN30&gt;0,CN30*CN28/(CN28+CN29),0)</f>
        <v>0</v>
      </c>
      <c r="CO31" s="19" t="n">
        <f aca="false">IF(CO30&gt;0,CO30*CO28/(CO28+CO29),0)</f>
        <v>0</v>
      </c>
      <c r="CP31" s="19" t="n">
        <f aca="false">IF(CP30&gt;0,CP30*CP28/(CP28+CP29),0)</f>
        <v>0</v>
      </c>
      <c r="CQ31" s="19" t="n">
        <f aca="false">IF(CQ30&gt;0,CQ30*CQ28/(CQ28+CQ29),0)</f>
        <v>0</v>
      </c>
      <c r="CR31" s="19" t="n">
        <f aca="false">IF(CR30&gt;0,CR30*CR28/(CR28+CR29),0)</f>
        <v>0</v>
      </c>
      <c r="CS31" s="19" t="n">
        <f aca="false">IF(CS30&gt;0,CS30*CS28/(CS28+CS29),0)</f>
        <v>0</v>
      </c>
      <c r="CT31" s="19" t="n">
        <f aca="false">IF(CT30&gt;0,CT30*CT28/(CT28+CT29),0)</f>
        <v>0</v>
      </c>
      <c r="CU31" s="19" t="n">
        <f aca="false">IF(CU30&gt;0,CU30*CU28/(CU28+CU29),0)</f>
        <v>0</v>
      </c>
      <c r="CV31" s="19" t="n">
        <f aca="false">IF(CV30&gt;0,CV30*CV28/(CV28+CV29),0)</f>
        <v>0</v>
      </c>
      <c r="CW31" s="19" t="n">
        <f aca="false">IF(CW30&gt;0,CW30*CW28/(CW28+CW29),0)</f>
        <v>0</v>
      </c>
      <c r="CX31" s="19" t="n">
        <f aca="false">IF(CX30&gt;0,CX30*CX28/(CX28+CX29),0)</f>
        <v>0</v>
      </c>
      <c r="CY31" s="19" t="n">
        <f aca="false">IF(CY30&gt;0,CY30*CY28/(CY28+CY29),0)</f>
        <v>0</v>
      </c>
      <c r="CZ31" s="19" t="n">
        <f aca="false">IF(CZ30&gt;0,CZ30*CZ28/(CZ28+CZ29),0)</f>
        <v>0</v>
      </c>
      <c r="DA31" s="19" t="n">
        <f aca="false">IF(DA30&gt;0,DA30*DA28/(DA28+DA29),0)</f>
        <v>0</v>
      </c>
      <c r="DB31" s="19" t="n">
        <f aca="false">IF(DB30&gt;0,DB30*DB28/(DB28+DB29),0)</f>
        <v>0</v>
      </c>
    </row>
    <row r="32" customFormat="false" ht="15" hidden="false" customHeight="false" outlineLevel="0" collapsed="false">
      <c r="D32" s="0" t="s">
        <v>619</v>
      </c>
      <c r="E32" s="0" t="s">
        <v>44</v>
      </c>
      <c r="G32" s="19" t="n">
        <f aca="false">SUM(J32:DB32)</f>
        <v>0</v>
      </c>
      <c r="J32" s="19" t="n">
        <f aca="false">J30-J31</f>
        <v>0</v>
      </c>
      <c r="K32" s="19" t="n">
        <f aca="false">K30-K31</f>
        <v>0</v>
      </c>
      <c r="L32" s="19" t="n">
        <f aca="false">L30-L31</f>
        <v>0</v>
      </c>
      <c r="M32" s="19" t="n">
        <f aca="false">M30-M31</f>
        <v>0</v>
      </c>
      <c r="N32" s="19" t="n">
        <f aca="false">N30-N31</f>
        <v>0</v>
      </c>
      <c r="O32" s="19" t="n">
        <f aca="false">O30-O31</f>
        <v>0</v>
      </c>
      <c r="P32" s="19" t="n">
        <f aca="false">P30-P31</f>
        <v>0</v>
      </c>
      <c r="Q32" s="19" t="n">
        <f aca="false">Q30-Q31</f>
        <v>0</v>
      </c>
      <c r="R32" s="19" t="n">
        <f aca="false">R30-R31</f>
        <v>0</v>
      </c>
      <c r="S32" s="19" t="n">
        <f aca="false">S30-S31</f>
        <v>0</v>
      </c>
      <c r="T32" s="19" t="n">
        <f aca="false">T30-T31</f>
        <v>0</v>
      </c>
      <c r="U32" s="19" t="n">
        <f aca="false">U30-U31</f>
        <v>0</v>
      </c>
      <c r="V32" s="19" t="n">
        <f aca="false">V30-V31</f>
        <v>0</v>
      </c>
      <c r="W32" s="19" t="n">
        <f aca="false">W30-W31</f>
        <v>0</v>
      </c>
      <c r="X32" s="19" t="n">
        <f aca="false">X30-X31</f>
        <v>0</v>
      </c>
      <c r="Y32" s="19" t="n">
        <f aca="false">Y30-Y31</f>
        <v>0</v>
      </c>
      <c r="Z32" s="19" t="n">
        <f aca="false">Z30-Z31</f>
        <v>0</v>
      </c>
      <c r="AA32" s="19" t="n">
        <f aca="false">AA30-AA31</f>
        <v>0</v>
      </c>
      <c r="AB32" s="19" t="n">
        <f aca="false">AB30-AB31</f>
        <v>0</v>
      </c>
      <c r="AC32" s="19" t="n">
        <f aca="false">AC30-AC31</f>
        <v>0</v>
      </c>
      <c r="AD32" s="19" t="n">
        <f aca="false">AD30-AD31</f>
        <v>0</v>
      </c>
      <c r="AE32" s="19" t="n">
        <f aca="false">AE30-AE31</f>
        <v>0</v>
      </c>
      <c r="AF32" s="19" t="n">
        <f aca="false">AF30-AF31</f>
        <v>0</v>
      </c>
      <c r="AG32" s="19" t="n">
        <f aca="false">AG30-AG31</f>
        <v>0</v>
      </c>
      <c r="AH32" s="19" t="n">
        <f aca="false">AH30-AH31</f>
        <v>0</v>
      </c>
      <c r="AI32" s="19" t="n">
        <f aca="false">AI30-AI31</f>
        <v>0</v>
      </c>
      <c r="AJ32" s="19" t="n">
        <f aca="false">AJ30-AJ31</f>
        <v>0</v>
      </c>
      <c r="AK32" s="19" t="n">
        <f aca="false">AK30-AK31</f>
        <v>0</v>
      </c>
      <c r="AL32" s="19" t="n">
        <f aca="false">AL30-AL31</f>
        <v>0</v>
      </c>
      <c r="AM32" s="19" t="n">
        <f aca="false">AM30-AM31</f>
        <v>0</v>
      </c>
      <c r="AN32" s="19" t="n">
        <f aca="false">AN30-AN31</f>
        <v>0</v>
      </c>
      <c r="AO32" s="19" t="n">
        <f aca="false">AO30-AO31</f>
        <v>0</v>
      </c>
      <c r="AP32" s="19" t="n">
        <f aca="false">AP30-AP31</f>
        <v>0</v>
      </c>
      <c r="AQ32" s="19" t="n">
        <f aca="false">AQ30-AQ31</f>
        <v>0</v>
      </c>
      <c r="AR32" s="19" t="n">
        <f aca="false">AR30-AR31</f>
        <v>0</v>
      </c>
      <c r="AS32" s="19" t="n">
        <f aca="false">AS30-AS31</f>
        <v>0</v>
      </c>
      <c r="AT32" s="19" t="n">
        <f aca="false">AT30-AT31</f>
        <v>0</v>
      </c>
      <c r="AU32" s="19" t="n">
        <f aca="false">AU30-AU31</f>
        <v>0</v>
      </c>
      <c r="AV32" s="19" t="n">
        <f aca="false">AV30-AV31</f>
        <v>0</v>
      </c>
      <c r="AW32" s="19" t="n">
        <f aca="false">AW30-AW31</f>
        <v>0</v>
      </c>
      <c r="AX32" s="19" t="n">
        <f aca="false">AX30-AX31</f>
        <v>0</v>
      </c>
      <c r="AY32" s="19" t="n">
        <f aca="false">AY30-AY31</f>
        <v>0</v>
      </c>
      <c r="AZ32" s="19" t="n">
        <f aca="false">AZ30-AZ31</f>
        <v>0</v>
      </c>
      <c r="BA32" s="19" t="n">
        <f aca="false">BA30-BA31</f>
        <v>0</v>
      </c>
      <c r="BB32" s="19" t="n">
        <f aca="false">BB30-BB31</f>
        <v>0</v>
      </c>
      <c r="BC32" s="19" t="n">
        <f aca="false">BC30-BC31</f>
        <v>0</v>
      </c>
      <c r="BD32" s="19" t="n">
        <f aca="false">BD30-BD31</f>
        <v>0</v>
      </c>
      <c r="BE32" s="19" t="n">
        <f aca="false">BE30-BE31</f>
        <v>0</v>
      </c>
      <c r="BF32" s="19" t="n">
        <f aca="false">BF30-BF31</f>
        <v>0</v>
      </c>
      <c r="BG32" s="19" t="n">
        <f aca="false">BG30-BG31</f>
        <v>0</v>
      </c>
      <c r="BH32" s="19" t="n">
        <f aca="false">BH30-BH31</f>
        <v>0</v>
      </c>
      <c r="BI32" s="19" t="n">
        <f aca="false">BI30-BI31</f>
        <v>0</v>
      </c>
      <c r="BJ32" s="19" t="n">
        <f aca="false">BJ30-BJ31</f>
        <v>0</v>
      </c>
      <c r="BK32" s="19" t="n">
        <f aca="false">BK30-BK31</f>
        <v>0</v>
      </c>
      <c r="BL32" s="19" t="n">
        <f aca="false">BL30-BL31</f>
        <v>0</v>
      </c>
      <c r="BM32" s="19" t="n">
        <f aca="false">BM30-BM31</f>
        <v>0</v>
      </c>
      <c r="BN32" s="19" t="n">
        <f aca="false">BN30-BN31</f>
        <v>0</v>
      </c>
      <c r="BO32" s="19" t="n">
        <f aca="false">BO30-BO31</f>
        <v>0</v>
      </c>
      <c r="BP32" s="19" t="n">
        <f aca="false">BP30-BP31</f>
        <v>0</v>
      </c>
      <c r="BQ32" s="19" t="n">
        <f aca="false">BQ30-BQ31</f>
        <v>0</v>
      </c>
      <c r="BR32" s="19" t="n">
        <f aca="false">BR30-BR31</f>
        <v>0</v>
      </c>
      <c r="BS32" s="19" t="n">
        <f aca="false">BS30-BS31</f>
        <v>0</v>
      </c>
      <c r="BT32" s="19" t="n">
        <f aca="false">BT30-BT31</f>
        <v>0</v>
      </c>
      <c r="BU32" s="19" t="n">
        <f aca="false">BU30-BU31</f>
        <v>0</v>
      </c>
      <c r="BV32" s="19" t="n">
        <f aca="false">BV30-BV31</f>
        <v>0</v>
      </c>
      <c r="BW32" s="19" t="n">
        <f aca="false">BW30-BW31</f>
        <v>0</v>
      </c>
      <c r="BX32" s="19" t="n">
        <f aca="false">BX30-BX31</f>
        <v>0</v>
      </c>
      <c r="BY32" s="19" t="n">
        <f aca="false">BY30-BY31</f>
        <v>0</v>
      </c>
      <c r="BZ32" s="19" t="n">
        <f aca="false">BZ30-BZ31</f>
        <v>0</v>
      </c>
      <c r="CA32" s="19" t="n">
        <f aca="false">CA30-CA31</f>
        <v>0</v>
      </c>
      <c r="CB32" s="19" t="n">
        <f aca="false">CB30-CB31</f>
        <v>0</v>
      </c>
      <c r="CC32" s="19" t="n">
        <f aca="false">CC30-CC31</f>
        <v>0</v>
      </c>
      <c r="CD32" s="19" t="n">
        <f aca="false">CD30-CD31</f>
        <v>0</v>
      </c>
      <c r="CE32" s="19" t="n">
        <f aca="false">CE30-CE31</f>
        <v>0</v>
      </c>
      <c r="CF32" s="19" t="n">
        <f aca="false">CF30-CF31</f>
        <v>0</v>
      </c>
      <c r="CG32" s="19" t="n">
        <f aca="false">CG30-CG31</f>
        <v>0</v>
      </c>
      <c r="CH32" s="19" t="n">
        <f aca="false">CH30-CH31</f>
        <v>0</v>
      </c>
      <c r="CI32" s="19" t="n">
        <f aca="false">CI30-CI31</f>
        <v>0</v>
      </c>
      <c r="CJ32" s="19" t="n">
        <f aca="false">CJ30-CJ31</f>
        <v>0</v>
      </c>
      <c r="CK32" s="19" t="n">
        <f aca="false">CK30-CK31</f>
        <v>0</v>
      </c>
      <c r="CL32" s="19" t="n">
        <f aca="false">CL30-CL31</f>
        <v>0</v>
      </c>
      <c r="CM32" s="19" t="n">
        <f aca="false">CM30-CM31</f>
        <v>0</v>
      </c>
      <c r="CN32" s="19" t="n">
        <f aca="false">CN30-CN31</f>
        <v>0</v>
      </c>
      <c r="CO32" s="19" t="n">
        <f aca="false">CO30-CO31</f>
        <v>0</v>
      </c>
      <c r="CP32" s="19" t="n">
        <f aca="false">CP30-CP31</f>
        <v>0</v>
      </c>
      <c r="CQ32" s="19" t="n">
        <f aca="false">CQ30-CQ31</f>
        <v>0</v>
      </c>
      <c r="CR32" s="19" t="n">
        <f aca="false">CR30-CR31</f>
        <v>0</v>
      </c>
      <c r="CS32" s="19" t="n">
        <f aca="false">CS30-CS31</f>
        <v>0</v>
      </c>
      <c r="CT32" s="19" t="n">
        <f aca="false">CT30-CT31</f>
        <v>0</v>
      </c>
      <c r="CU32" s="19" t="n">
        <f aca="false">CU30-CU31</f>
        <v>0</v>
      </c>
      <c r="CV32" s="19" t="n">
        <f aca="false">CV30-CV31</f>
        <v>0</v>
      </c>
      <c r="CW32" s="19" t="n">
        <f aca="false">CW30-CW31</f>
        <v>0</v>
      </c>
      <c r="CX32" s="19" t="n">
        <f aca="false">CX30-CX31</f>
        <v>0</v>
      </c>
      <c r="CY32" s="19" t="n">
        <f aca="false">CY30-CY31</f>
        <v>0</v>
      </c>
      <c r="CZ32" s="19" t="n">
        <f aca="false">CZ30-CZ31</f>
        <v>0</v>
      </c>
      <c r="DA32" s="19" t="n">
        <f aca="false">DA30-DA31</f>
        <v>0</v>
      </c>
      <c r="DB32" s="19" t="n">
        <f aca="false">DB30-DB31</f>
        <v>0</v>
      </c>
    </row>
    <row r="33" customFormat="false" ht="15" hidden="false" customHeight="false" outlineLevel="0" collapsed="false">
      <c r="D33" s="0" t="s">
        <v>620</v>
      </c>
      <c r="E33" s="0" t="s">
        <v>44</v>
      </c>
      <c r="J33" s="19" t="n">
        <f aca="false">J26-J30</f>
        <v>0</v>
      </c>
      <c r="K33" s="19" t="n">
        <f aca="false">K26-K30</f>
        <v>0</v>
      </c>
      <c r="L33" s="19" t="n">
        <f aca="false">L26-L30</f>
        <v>0</v>
      </c>
      <c r="M33" s="19" t="n">
        <f aca="false">M26-M30</f>
        <v>0</v>
      </c>
      <c r="N33" s="19" t="n">
        <f aca="false">N26-N30</f>
        <v>0</v>
      </c>
      <c r="O33" s="19" t="n">
        <f aca="false">O26-O30</f>
        <v>0</v>
      </c>
      <c r="P33" s="19" t="n">
        <f aca="false">P26-P30</f>
        <v>0</v>
      </c>
      <c r="Q33" s="19" t="n">
        <f aca="false">Q26-Q30</f>
        <v>0</v>
      </c>
      <c r="R33" s="19" t="n">
        <f aca="false">R26-R30</f>
        <v>0</v>
      </c>
      <c r="S33" s="19" t="n">
        <f aca="false">S26-S30</f>
        <v>0</v>
      </c>
      <c r="T33" s="19" t="n">
        <f aca="false">T26-T30</f>
        <v>0</v>
      </c>
      <c r="U33" s="19" t="n">
        <f aca="false">U26-U30</f>
        <v>0</v>
      </c>
      <c r="V33" s="19" t="n">
        <f aca="false">V26-V30</f>
        <v>0</v>
      </c>
      <c r="W33" s="19" t="n">
        <f aca="false">W26-W30</f>
        <v>0</v>
      </c>
      <c r="X33" s="19" t="n">
        <f aca="false">X26-X30</f>
        <v>0</v>
      </c>
      <c r="Y33" s="19" t="n">
        <f aca="false">Y26-Y30</f>
        <v>0</v>
      </c>
      <c r="Z33" s="19" t="n">
        <f aca="false">Z26-Z30</f>
        <v>4.94604467235802</v>
      </c>
      <c r="AA33" s="19" t="n">
        <f aca="false">AA26-AA30</f>
        <v>15.6508124852035</v>
      </c>
      <c r="AB33" s="19" t="n">
        <f aca="false">AB26-AB30</f>
        <v>30.7829867094841</v>
      </c>
      <c r="AC33" s="19" t="n">
        <f aca="false">AC26-AC30</f>
        <v>44.6928759987661</v>
      </c>
      <c r="AD33" s="19" t="n">
        <f aca="false">AD26-AD30</f>
        <v>62.2612711860763</v>
      </c>
      <c r="AE33" s="19" t="n">
        <f aca="false">AE26-AE30</f>
        <v>20.153216868213</v>
      </c>
      <c r="AF33" s="19" t="n">
        <f aca="false">AF26-AF30</f>
        <v>18.6162481330978</v>
      </c>
      <c r="AG33" s="19" t="n">
        <f aca="false">AG26-AG30</f>
        <v>26.1809099949294</v>
      </c>
      <c r="AH33" s="19" t="n">
        <f aca="false">AH26-AH30</f>
        <v>26.9528117441956</v>
      </c>
      <c r="AI33" s="19" t="n">
        <f aca="false">AI26-AI30</f>
        <v>26.2548361055693</v>
      </c>
      <c r="AJ33" s="19" t="n">
        <f aca="false">AJ26-AJ30</f>
        <v>27.4443734404921</v>
      </c>
      <c r="AK33" s="19" t="n">
        <f aca="false">AK26-AK30</f>
        <v>29.906148350888</v>
      </c>
      <c r="AL33" s="19" t="n">
        <f aca="false">AL26-AL30</f>
        <v>30.8017260412165</v>
      </c>
      <c r="AM33" s="19" t="n">
        <f aca="false">AM26-AM30</f>
        <v>33.7165110117191</v>
      </c>
      <c r="AN33" s="19" t="n">
        <f aca="false">AN26-AN30</f>
        <v>34.6783392362989</v>
      </c>
      <c r="AO33" s="19" t="n">
        <f aca="false">AO26-AO30</f>
        <v>40.9724053873634</v>
      </c>
      <c r="AP33" s="19" t="n">
        <f aca="false">AP26-AP30</f>
        <v>42.0042904967271</v>
      </c>
      <c r="AQ33" s="19" t="n">
        <f aca="false">AQ26-AQ30</f>
        <v>34.9119289929491</v>
      </c>
      <c r="AR33" s="19" t="n">
        <f aca="false">AR26-AR30</f>
        <v>36.4654752191149</v>
      </c>
      <c r="AS33" s="19" t="n">
        <f aca="false">AS26-AS30</f>
        <v>39.5532020446779</v>
      </c>
      <c r="AT33" s="19" t="n">
        <f aca="false">AT26-AT30</f>
        <v>40.7408698202501</v>
      </c>
      <c r="AU33" s="19" t="n">
        <f aca="false">AU26-AU30</f>
        <v>44.3996131418896</v>
      </c>
      <c r="AV33" s="19" t="n">
        <f aca="false">AV26-AV30</f>
        <v>43.8606369698407</v>
      </c>
      <c r="AW33" s="19" t="n">
        <f aca="false">AW26-AW30</f>
        <v>49.4357013755881</v>
      </c>
      <c r="AX33" s="19" t="n">
        <f aca="false">AX26-AX30</f>
        <v>50.1766370629151</v>
      </c>
      <c r="AY33" s="19" t="n">
        <f aca="false">AY26-AY30</f>
        <v>49.8130471571857</v>
      </c>
      <c r="AZ33" s="19" t="n">
        <f aca="false">AZ26-AZ30</f>
        <v>49.709869652292</v>
      </c>
      <c r="BA33" s="19" t="n">
        <f aca="false">BA26-BA30</f>
        <v>53.1116272692279</v>
      </c>
      <c r="BB33" s="19" t="n">
        <f aca="false">BB26-BB30</f>
        <v>49.2037022434638</v>
      </c>
      <c r="BC33" s="19" t="n">
        <f aca="false">BC26-BC30</f>
        <v>61.559896978368</v>
      </c>
      <c r="BD33" s="19" t="n">
        <f aca="false">BD26-BD30</f>
        <v>59.2528198843516</v>
      </c>
      <c r="BE33" s="19" t="n">
        <f aca="false">BE26-BE30</f>
        <v>67.4605813618156</v>
      </c>
      <c r="BF33" s="19" t="n">
        <f aca="false">BF26-BF30</f>
        <v>66.5982285269619</v>
      </c>
      <c r="BG33" s="19" t="n">
        <f aca="false">BG26-BG30</f>
        <v>70.8836431745478</v>
      </c>
      <c r="BH33" s="19" t="n">
        <f aca="false">BH26-BH30</f>
        <v>70.7716013273137</v>
      </c>
      <c r="BI33" s="19" t="n">
        <f aca="false">BI26-BI30</f>
        <v>74.9052970528116</v>
      </c>
      <c r="BJ33" s="19" t="n">
        <f aca="false">BJ26-BJ30</f>
        <v>73.955734027016</v>
      </c>
      <c r="BK33" s="19" t="n">
        <f aca="false">BK26-BK30</f>
        <v>78.9417734970054</v>
      </c>
      <c r="BL33" s="19" t="n">
        <f aca="false">BL26-BL30</f>
        <v>77.9634139576553</v>
      </c>
      <c r="BM33" s="19" t="n">
        <f aca="false">BM26-BM30</f>
        <v>83.1698237174795</v>
      </c>
      <c r="BN33" s="19" t="n">
        <f aca="false">BN26-BN30</f>
        <v>89.1283773613635</v>
      </c>
      <c r="BO33" s="19" t="n">
        <f aca="false">BO26-BO30</f>
        <v>75.7694312705226</v>
      </c>
      <c r="BP33" s="19" t="n">
        <f aca="false">BP26-BP30</f>
        <v>75.6674266078531</v>
      </c>
      <c r="BQ33" s="19" t="n">
        <f aca="false">BQ26-BQ30</f>
        <v>64.1691429106896</v>
      </c>
      <c r="BR33" s="19" t="n">
        <f aca="false">BR26-BR30</f>
        <v>52.2205427524082</v>
      </c>
      <c r="BS33" s="19" t="n">
        <f aca="false">BS26-BS30</f>
        <v>56.6752035469813</v>
      </c>
      <c r="BT33" s="19" t="n">
        <f aca="false">BT26-BT30</f>
        <v>46.7791169723321</v>
      </c>
      <c r="BU33" s="19" t="n">
        <f aca="false">BU26-BU30</f>
        <v>100.339312428028</v>
      </c>
      <c r="BV33" s="19" t="n">
        <f aca="false">BV26-BV30</f>
        <v>70.0117204315312</v>
      </c>
      <c r="BW33" s="19" t="n">
        <f aca="false">BW26-BW30</f>
        <v>71.2855747576185</v>
      </c>
      <c r="BX33" s="19" t="n">
        <f aca="false">BX26-BX30</f>
        <v>69.0137492552811</v>
      </c>
      <c r="BY33" s="19" t="n">
        <f aca="false">BY26-BY30</f>
        <v>73.1722939275672</v>
      </c>
      <c r="BZ33" s="19" t="n">
        <f aca="false">BZ26-BZ30</f>
        <v>74.3509598644488</v>
      </c>
      <c r="CA33" s="19" t="n">
        <f aca="false">CA26-CA30</f>
        <v>67.3079102196823</v>
      </c>
      <c r="CB33" s="19" t="n">
        <f aca="false">CB26-CB30</f>
        <v>63.8935108946602</v>
      </c>
      <c r="CC33" s="19" t="n">
        <f aca="false">CC26-CC30</f>
        <v>69.0549693902591</v>
      </c>
      <c r="CD33" s="19" t="n">
        <f aca="false">CD26-CD30</f>
        <v>67.6938222299878</v>
      </c>
      <c r="CE33" s="19" t="n">
        <f aca="false">CE26-CE30</f>
        <v>73.0963867041903</v>
      </c>
      <c r="CF33" s="19" t="n">
        <f aca="false">CF26-CF30</f>
        <v>69.7409923913995</v>
      </c>
      <c r="CG33" s="19" t="n">
        <f aca="false">CG26-CG30</f>
        <v>146.689084472722</v>
      </c>
      <c r="CH33" s="19" t="n">
        <f aca="false">CH26-CH30</f>
        <v>123.713864648869</v>
      </c>
      <c r="CI33" s="19" t="n">
        <f aca="false">CI26-CI30</f>
        <v>129.34838054512</v>
      </c>
      <c r="CJ33" s="19" t="n">
        <f aca="false">CJ26-CJ30</f>
        <v>128.306126817846</v>
      </c>
      <c r="CK33" s="19" t="n">
        <f aca="false">CK26-CK30</f>
        <v>150.414944717452</v>
      </c>
      <c r="CL33" s="19" t="n">
        <f aca="false">CL26-CL30</f>
        <v>138.858143416961</v>
      </c>
      <c r="CM33" s="19" t="n">
        <f aca="false">CM26-CM30</f>
        <v>144.9175887513</v>
      </c>
      <c r="CN33" s="19" t="n">
        <f aca="false">CN26-CN30</f>
        <v>144.664489074489</v>
      </c>
      <c r="CO33" s="19" t="n">
        <f aca="false">CO26-CO30</f>
        <v>150.074260803195</v>
      </c>
      <c r="CP33" s="19" t="n">
        <f aca="false">CP26-CP30</f>
        <v>161.860660569695</v>
      </c>
      <c r="CQ33" s="19" t="n">
        <f aca="false">CQ26-CQ30</f>
        <v>0</v>
      </c>
      <c r="CR33" s="19" t="n">
        <f aca="false">CR26-CR30</f>
        <v>0</v>
      </c>
      <c r="CS33" s="19" t="n">
        <f aca="false">CS26-CS30</f>
        <v>0</v>
      </c>
      <c r="CT33" s="19" t="n">
        <f aca="false">CT26-CT30</f>
        <v>0</v>
      </c>
      <c r="CU33" s="19" t="n">
        <f aca="false">CU26-CU30</f>
        <v>0</v>
      </c>
      <c r="CV33" s="19" t="n">
        <f aca="false">CV26-CV30</f>
        <v>0</v>
      </c>
      <c r="CW33" s="19" t="n">
        <f aca="false">CW26-CW30</f>
        <v>0</v>
      </c>
      <c r="CX33" s="19" t="n">
        <f aca="false">CX26-CX30</f>
        <v>0</v>
      </c>
      <c r="CY33" s="19" t="n">
        <f aca="false">CY26-CY30</f>
        <v>0</v>
      </c>
      <c r="CZ33" s="19" t="n">
        <f aca="false">CZ26-CZ30</f>
        <v>0</v>
      </c>
      <c r="DA33" s="19" t="n">
        <f aca="false">DA26-DA30</f>
        <v>0</v>
      </c>
      <c r="DB33" s="19" t="n">
        <f aca="false">DB26-DB30</f>
        <v>0</v>
      </c>
    </row>
    <row r="34" customFormat="false" ht="15" hidden="false" customHeight="false" outlineLevel="0" collapsed="false">
      <c r="D34" s="3" t="s">
        <v>621</v>
      </c>
    </row>
    <row r="35" customFormat="false" ht="15" hidden="false" customHeight="false" outlineLevel="0" collapsed="false">
      <c r="D35" s="0" t="s">
        <v>622</v>
      </c>
      <c r="E35" s="0" t="s">
        <v>44</v>
      </c>
      <c r="G35" s="19" t="n">
        <f aca="false">SUM(J35:DB35)</f>
        <v>946.761677272845</v>
      </c>
      <c r="J35" s="19" t="n">
        <f aca="false">MIN(Debt!J100,MAX(0,J33))*(1-Time!J20)</f>
        <v>0</v>
      </c>
      <c r="K35" s="19" t="n">
        <f aca="false">MIN(Debt!K100,MAX(0,K33))*(1-Time!K20)</f>
        <v>0</v>
      </c>
      <c r="L35" s="19" t="n">
        <f aca="false">MIN(Debt!L100,MAX(0,L33))*(1-Time!L20)</f>
        <v>0</v>
      </c>
      <c r="M35" s="19" t="n">
        <f aca="false">MIN(Debt!M100,MAX(0,M33))*(1-Time!M20)</f>
        <v>0</v>
      </c>
      <c r="N35" s="19" t="n">
        <f aca="false">MIN(Debt!N100,MAX(0,N33))*(1-Time!N20)</f>
        <v>0</v>
      </c>
      <c r="O35" s="19" t="n">
        <f aca="false">MIN(Debt!O100,MAX(0,O33))*(1-Time!O20)</f>
        <v>0</v>
      </c>
      <c r="P35" s="19" t="n">
        <f aca="false">MIN(Debt!P100,MAX(0,P33))*(1-Time!P20)</f>
        <v>0</v>
      </c>
      <c r="Q35" s="19" t="n">
        <f aca="false">MIN(Debt!Q100,MAX(0,Q33))*(1-Time!Q20)</f>
        <v>0</v>
      </c>
      <c r="R35" s="19" t="n">
        <f aca="false">MIN(Debt!R100,MAX(0,R33))*(1-Time!R20)</f>
        <v>0</v>
      </c>
      <c r="S35" s="19" t="n">
        <f aca="false">MIN(Debt!S100,MAX(0,S33))*(1-Time!S20)</f>
        <v>0</v>
      </c>
      <c r="T35" s="19" t="n">
        <f aca="false">MIN(Debt!T100,MAX(0,T33))*(1-Time!T20)</f>
        <v>0</v>
      </c>
      <c r="U35" s="19" t="n">
        <f aca="false">MIN(Debt!U100,MAX(0,U33))*(1-Time!U20)</f>
        <v>0</v>
      </c>
      <c r="V35" s="19" t="n">
        <f aca="false">MIN(Debt!V100,MAX(0,V33))*(1-Time!V20)</f>
        <v>0</v>
      </c>
      <c r="W35" s="19" t="n">
        <f aca="false">MIN(Debt!W100,MAX(0,W33))*(1-Time!W20)</f>
        <v>0</v>
      </c>
      <c r="X35" s="19" t="n">
        <f aca="false">MIN(Debt!X100,MAX(0,X33))*(1-Time!X20)</f>
        <v>0</v>
      </c>
      <c r="Y35" s="19" t="n">
        <f aca="false">MIN(Debt!Y100,MAX(0,Y33))*(1-Time!Y20)</f>
        <v>0</v>
      </c>
      <c r="Z35" s="19" t="n">
        <f aca="false">MIN(Debt!Z100,MAX(0,Z33))*(1-Time!Z20)</f>
        <v>0</v>
      </c>
      <c r="AA35" s="19" t="n">
        <f aca="false">MIN(Debt!AA100,MAX(0,AA33))*(1-Time!AA20)</f>
        <v>0</v>
      </c>
      <c r="AB35" s="19" t="n">
        <f aca="false">MIN(Debt!AB100,MAX(0,AB33))*(1-Time!AB20)</f>
        <v>0</v>
      </c>
      <c r="AC35" s="19" t="n">
        <f aca="false">MIN(Debt!AC100,MAX(0,AC33))*(1-Time!AC20)</f>
        <v>0</v>
      </c>
      <c r="AD35" s="19" t="n">
        <f aca="false">MIN(Debt!AD100,MAX(0,AD33))*(1-Time!AD20)</f>
        <v>0</v>
      </c>
      <c r="AE35" s="19" t="n">
        <f aca="false">MIN(Debt!AE100,MAX(0,AE33))*(1-Time!AE20)</f>
        <v>0</v>
      </c>
      <c r="AF35" s="19" t="n">
        <f aca="false">MIN(Debt!AF100,MAX(0,AF33))*(1-Time!AF20)</f>
        <v>0</v>
      </c>
      <c r="AG35" s="19" t="n">
        <f aca="false">MIN(Debt!AG100,MAX(0,AG33))*(1-Time!AG20)</f>
        <v>0</v>
      </c>
      <c r="AH35" s="19" t="n">
        <f aca="false">MIN(Debt!AH100,MAX(0,AH33))*(1-Time!AH20)</f>
        <v>0</v>
      </c>
      <c r="AI35" s="19" t="n">
        <f aca="false">MIN(Debt!AI100,MAX(0,AI33))*(1-Time!AI20)</f>
        <v>0</v>
      </c>
      <c r="AJ35" s="19" t="n">
        <f aca="false">MIN(Debt!AJ100,MAX(0,AJ33))*(1-Time!AJ20)</f>
        <v>5.46471834968069</v>
      </c>
      <c r="AK35" s="19" t="n">
        <f aca="false">MIN(Debt!AK100,MAX(0,AK33))*(1-Time!AK20)</f>
        <v>8.74649961478464</v>
      </c>
      <c r="AL35" s="19" t="n">
        <f aca="false">MIN(Debt!AL100,MAX(0,AL33))*(1-Time!AL20)</f>
        <v>8.60389364280446</v>
      </c>
      <c r="AM35" s="19" t="n">
        <f aca="false">MIN(Debt!AM100,MAX(0,AM33))*(1-Time!AM20)</f>
        <v>8.74649961478464</v>
      </c>
      <c r="AN35" s="19" t="n">
        <f aca="false">MIN(Debt!AN100,MAX(0,AN33))*(1-Time!AN20)</f>
        <v>8.60389364280446</v>
      </c>
      <c r="AO35" s="19" t="n">
        <f aca="false">MIN(Debt!AO100,MAX(0,AO33))*(1-Time!AO20)</f>
        <v>8.74649961478464</v>
      </c>
      <c r="AP35" s="19" t="n">
        <f aca="false">MIN(Debt!AP100,MAX(0,AP33))*(1-Time!AP20)</f>
        <v>8.8116152028393</v>
      </c>
      <c r="AQ35" s="19" t="n">
        <f aca="false">MIN(Debt!AQ100,MAX(0,AQ33))*(1-Time!AQ20)</f>
        <v>8.74329535321856</v>
      </c>
      <c r="AR35" s="19" t="n">
        <f aca="false">MIN(Debt!AR100,MAX(0,AR33))*(1-Time!AR20)</f>
        <v>8.64825953416183</v>
      </c>
      <c r="AS35" s="19" t="n">
        <f aca="false">MIN(Debt!AS100,MAX(0,AS33))*(1-Time!AS20)</f>
        <v>8.74329535321856</v>
      </c>
      <c r="AT35" s="19" t="n">
        <f aca="false">MIN(Debt!AT100,MAX(0,AT33))*(1-Time!AT20)</f>
        <v>8.60074162463347</v>
      </c>
      <c r="AU35" s="19" t="n">
        <f aca="false">MIN(Debt!AU100,MAX(0,AU33))*(1-Time!AU20)</f>
        <v>9.1234733475578</v>
      </c>
      <c r="AV35" s="19" t="n">
        <f aca="false">MIN(Debt!AV100,MAX(0,AV33))*(1-Time!AV20)</f>
        <v>9.40795633214371</v>
      </c>
      <c r="AW35" s="19" t="n">
        <f aca="false">MIN(Debt!AW100,MAX(0,AW33))*(1-Time!AW20)</f>
        <v>10.2229428557661</v>
      </c>
      <c r="AX35" s="19" t="n">
        <f aca="false">MIN(Debt!AX100,MAX(0,AX33))*(1-Time!AX20)</f>
        <v>10.2639449328392</v>
      </c>
      <c r="AY35" s="19" t="n">
        <f aca="false">MIN(Debt!AY100,MAX(0,AY33))*(1-Time!AY20)</f>
        <v>10.192043421394</v>
      </c>
      <c r="AZ35" s="19" t="n">
        <f aca="false">MIN(Debt!AZ100,MAX(0,AZ33))*(1-Time!AZ20)</f>
        <v>10.3022647528225</v>
      </c>
      <c r="BA35" s="19" t="n">
        <f aca="false">MIN(Debt!BA100,MAX(0,BA33))*(1-Time!BA20)</f>
        <v>10.7857949676395</v>
      </c>
      <c r="BB35" s="19" t="n">
        <f aca="false">MIN(Debt!BB100,MAX(0,BB33))*(1-Time!BB20)</f>
        <v>10.831016089883</v>
      </c>
      <c r="BC35" s="19" t="n">
        <f aca="false">MIN(Debt!BC100,MAX(0,BC33))*(1-Time!BC20)</f>
        <v>12.6807741661813</v>
      </c>
      <c r="BD35" s="19" t="n">
        <f aca="false">MIN(Debt!BD100,MAX(0,BD33))*(1-Time!BD20)</f>
        <v>12.7284465165243</v>
      </c>
      <c r="BE35" s="19" t="n">
        <f aca="false">MIN(Debt!BE100,MAX(0,BE33))*(1-Time!BE20)</f>
        <v>13.9372772694815</v>
      </c>
      <c r="BF35" s="19" t="n">
        <f aca="false">MIN(Debt!BF100,MAX(0,BF33))*(1-Time!BF20)</f>
        <v>13.9875045649888</v>
      </c>
      <c r="BG35" s="19" t="n">
        <f aca="false">MIN(Debt!BG100,MAX(0,BG33))*(1-Time!BG20)</f>
        <v>14.6210940468438</v>
      </c>
      <c r="BH35" s="19" t="n">
        <f aca="false">MIN(Debt!BH100,MAX(0,BH33))*(1-Time!BH20)</f>
        <v>14.7546783374402</v>
      </c>
      <c r="BI35" s="19" t="n">
        <f aca="false">MIN(Debt!BI100,MAX(0,BI33))*(1-Time!BI20)</f>
        <v>15.3389031895538</v>
      </c>
      <c r="BJ35" s="19" t="n">
        <f aca="false">MIN(Debt!BJ100,MAX(0,BJ33))*(1-Time!BJ20)</f>
        <v>15.3940937339308</v>
      </c>
      <c r="BK35" s="19" t="n">
        <f aca="false">MIN(Debt!BK100,MAX(0,BK33))*(1-Time!BK20)</f>
        <v>16.0924912980513</v>
      </c>
      <c r="BL35" s="19" t="n">
        <f aca="false">MIN(Debt!BL100,MAX(0,BL33))*(1-Time!BL20)</f>
        <v>16.1505480626211</v>
      </c>
      <c r="BM35" s="19" t="n">
        <f aca="false">MIN(Debt!BM100,MAX(0,BM33))*(1-Time!BM20)</f>
        <v>16.8771069226236</v>
      </c>
      <c r="BN35" s="19" t="n">
        <f aca="false">MIN(Debt!BN100,MAX(0,BN33))*(1-Time!BN20)</f>
        <v>16.9376696184946</v>
      </c>
      <c r="BO35" s="19" t="n">
        <f aca="false">MIN(Debt!BO100,MAX(0,BO33))*(1-Time!BO20)</f>
        <v>14.8489206677902</v>
      </c>
      <c r="BP35" s="19" t="n">
        <f aca="false">MIN(Debt!BP100,MAX(0,BP33))*(1-Time!BP20)</f>
        <v>15.0108035825457</v>
      </c>
      <c r="BQ35" s="19" t="n">
        <f aca="false">MIN(Debt!BQ100,MAX(0,BQ33))*(1-Time!BQ20)</f>
        <v>15.7112998698586</v>
      </c>
      <c r="BR35" s="19" t="n">
        <f aca="false">MIN(Debt!BR100,MAX(0,BR33))*(1-Time!BR20)</f>
        <v>15.5820409467504</v>
      </c>
      <c r="BS35" s="19" t="n">
        <f aca="false">MIN(Debt!BS100,MAX(0,BS33))*(1-Time!BS20)</f>
        <v>16.3953593510609</v>
      </c>
      <c r="BT35" s="19" t="n">
        <f aca="false">MIN(Debt!BT100,MAX(0,BT33))*(1-Time!BT20)</f>
        <v>16.2617145215207</v>
      </c>
      <c r="BU35" s="19" t="n">
        <f aca="false">MIN(Debt!BU100,MAX(0,BU33))*(1-Time!BU20)</f>
        <v>19.9553578846796</v>
      </c>
      <c r="BV35" s="19" t="n">
        <f aca="false">MIN(Debt!BV100,MAX(0,BV33))*(1-Time!BV20)</f>
        <v>19.8171488858989</v>
      </c>
      <c r="BW35" s="19" t="n">
        <f aca="false">MIN(Debt!BW100,MAX(0,BW33))*(1-Time!BW20)</f>
        <v>20.6904344199069</v>
      </c>
      <c r="BX35" s="19" t="n">
        <f aca="false">MIN(Debt!BX100,MAX(0,BX33))*(1-Time!BX20)</f>
        <v>20.6610236804622</v>
      </c>
      <c r="BY35" s="19" t="n">
        <f aca="false">MIN(Debt!BY100,MAX(0,BY33))*(1-Time!BY20)</f>
        <v>21.4518699136733</v>
      </c>
      <c r="BZ35" s="19" t="n">
        <f aca="false">MIN(Debt!BZ100,MAX(0,BZ33))*(1-Time!BZ20)</f>
        <v>21.3039809011362</v>
      </c>
      <c r="CA35" s="19" t="n">
        <f aca="false">MIN(Debt!CA100,MAX(0,CA33))*(1-Time!CA20)</f>
        <v>20.3997588362763</v>
      </c>
      <c r="CB35" s="19" t="n">
        <f aca="false">MIN(Debt!CB100,MAX(0,CB33))*(1-Time!CB20)</f>
        <v>20.2467453395285</v>
      </c>
      <c r="CC35" s="19" t="n">
        <f aca="false">MIN(Debt!CC100,MAX(0,CC33))*(1-Time!CC20)</f>
        <v>21.2156622603446</v>
      </c>
      <c r="CD35" s="19" t="n">
        <f aca="false">MIN(Debt!CD100,MAX(0,CD33))*(1-Time!CD20)</f>
        <v>21.0573287346024</v>
      </c>
      <c r="CE35" s="19" t="n">
        <f aca="false">MIN(Debt!CE100,MAX(0,CE33))*(1-Time!CE20)</f>
        <v>21.1686350667221</v>
      </c>
      <c r="CF35" s="19" t="n">
        <f aca="false">MIN(Debt!CF100,MAX(0,CF33))*(1-Time!CF20)</f>
        <v>18.596644892553</v>
      </c>
      <c r="CG35" s="19" t="n">
        <f aca="false">MIN(Debt!CG100,MAX(0,CG33))*(1-Time!CG20)</f>
        <v>19.8142402857375</v>
      </c>
      <c r="CH35" s="19" t="n">
        <f aca="false">MIN(Debt!CH100,MAX(0,CH33))*(1-Time!CH20)</f>
        <v>25.9430410970369</v>
      </c>
      <c r="CI35" s="19" t="n">
        <f aca="false">MIN(Debt!CI100,MAX(0,CI33))*(1-Time!CI20)</f>
        <v>27.1417559801252</v>
      </c>
      <c r="CJ35" s="19" t="n">
        <f aca="false">MIN(Debt!CJ100,MAX(0,CJ33))*(1-Time!CJ20)</f>
        <v>26.8431678215009</v>
      </c>
      <c r="CK35" s="19" t="n">
        <f aca="false">MIN(Debt!CK100,MAX(0,CK33))*(1-Time!CK20)</f>
        <v>32.0744262313856</v>
      </c>
      <c r="CL35" s="19" t="n">
        <f aca="false">MIN(Debt!CL100,MAX(0,CL33))*(1-Time!CL20)</f>
        <v>29.1940838434295</v>
      </c>
      <c r="CM35" s="19" t="n">
        <f aca="false">MIN(Debt!CM100,MAX(0,CM33))*(1-Time!CM20)</f>
        <v>30.4740181978734</v>
      </c>
      <c r="CN35" s="19" t="n">
        <f aca="false">MIN(Debt!CN100,MAX(0,CN33))*(1-Time!CN20)</f>
        <v>30.337681453641</v>
      </c>
      <c r="CO35" s="19" t="n">
        <f aca="false">MIN(Debt!CO100,MAX(0,CO33))*(1-Time!CO20)</f>
        <v>31.4752966323086</v>
      </c>
      <c r="CP35" s="19" t="n">
        <f aca="false">MIN(Debt!CP100,MAX(0,CP33))*(1-Time!CP20)</f>
        <v>0</v>
      </c>
      <c r="CQ35" s="19" t="n">
        <f aca="false">MIN(Debt!CQ100,MAX(0,CQ33))*(1-Time!CQ20)</f>
        <v>0</v>
      </c>
      <c r="CR35" s="19" t="n">
        <f aca="false">MIN(Debt!CR100,MAX(0,CR33))*(1-Time!CR20)</f>
        <v>0</v>
      </c>
      <c r="CS35" s="19" t="n">
        <f aca="false">MIN(Debt!CS100,MAX(0,CS33))*(1-Time!CS20)</f>
        <v>0</v>
      </c>
      <c r="CT35" s="19" t="n">
        <f aca="false">MIN(Debt!CT100,MAX(0,CT33))*(1-Time!CT20)</f>
        <v>0</v>
      </c>
      <c r="CU35" s="19" t="n">
        <f aca="false">MIN(Debt!CU100,MAX(0,CU33))*(1-Time!CU20)</f>
        <v>0</v>
      </c>
      <c r="CV35" s="19" t="n">
        <f aca="false">MIN(Debt!CV100,MAX(0,CV33))*(1-Time!CV20)</f>
        <v>0</v>
      </c>
      <c r="CW35" s="19" t="n">
        <f aca="false">MIN(Debt!CW100,MAX(0,CW33))*(1-Time!CW20)</f>
        <v>0</v>
      </c>
      <c r="CX35" s="19" t="n">
        <f aca="false">MIN(Debt!CX100,MAX(0,CX33))*(1-Time!CX20)</f>
        <v>0</v>
      </c>
      <c r="CY35" s="19" t="n">
        <f aca="false">MIN(Debt!CY100,MAX(0,CY33))*(1-Time!CY20)</f>
        <v>0</v>
      </c>
      <c r="CZ35" s="19" t="n">
        <f aca="false">MIN(Debt!CZ100,MAX(0,CZ33))*(1-Time!CZ20)</f>
        <v>0</v>
      </c>
      <c r="DA35" s="19" t="n">
        <f aca="false">MIN(Debt!DA100,MAX(0,DA33))*(1-Time!DA20)</f>
        <v>0</v>
      </c>
      <c r="DB35" s="19" t="n">
        <f aca="false">MIN(Debt!DB100,MAX(0,DB33))*(1-Time!DB20)</f>
        <v>0</v>
      </c>
    </row>
    <row r="36" customFormat="false" ht="15" hidden="false" customHeight="false" outlineLevel="0" collapsed="false">
      <c r="D36" s="0" t="s">
        <v>623</v>
      </c>
      <c r="E36" s="0" t="s">
        <v>44</v>
      </c>
      <c r="J36" s="19" t="n">
        <f aca="false">J33-J35</f>
        <v>0</v>
      </c>
      <c r="K36" s="19" t="n">
        <f aca="false">K33-K35</f>
        <v>0</v>
      </c>
      <c r="L36" s="19" t="n">
        <f aca="false">L33-L35</f>
        <v>0</v>
      </c>
      <c r="M36" s="19" t="n">
        <f aca="false">M33-M35</f>
        <v>0</v>
      </c>
      <c r="N36" s="19" t="n">
        <f aca="false">N33-N35</f>
        <v>0</v>
      </c>
      <c r="O36" s="19" t="n">
        <f aca="false">O33-O35</f>
        <v>0</v>
      </c>
      <c r="P36" s="19" t="n">
        <f aca="false">P33-P35</f>
        <v>0</v>
      </c>
      <c r="Q36" s="19" t="n">
        <f aca="false">Q33-Q35</f>
        <v>0</v>
      </c>
      <c r="R36" s="19" t="n">
        <f aca="false">R33-R35</f>
        <v>0</v>
      </c>
      <c r="S36" s="19" t="n">
        <f aca="false">S33-S35</f>
        <v>0</v>
      </c>
      <c r="T36" s="19" t="n">
        <f aca="false">T33-T35</f>
        <v>0</v>
      </c>
      <c r="U36" s="19" t="n">
        <f aca="false">U33-U35</f>
        <v>0</v>
      </c>
      <c r="V36" s="19" t="n">
        <f aca="false">V33-V35</f>
        <v>0</v>
      </c>
      <c r="W36" s="19" t="n">
        <f aca="false">W33-W35</f>
        <v>0</v>
      </c>
      <c r="X36" s="19" t="n">
        <f aca="false">X33-X35</f>
        <v>0</v>
      </c>
      <c r="Y36" s="19" t="n">
        <f aca="false">Y33-Y35</f>
        <v>0</v>
      </c>
      <c r="Z36" s="19" t="n">
        <f aca="false">Z33-Z35</f>
        <v>4.94604467235802</v>
      </c>
      <c r="AA36" s="19" t="n">
        <f aca="false">AA33-AA35</f>
        <v>15.6508124852035</v>
      </c>
      <c r="AB36" s="19" t="n">
        <f aca="false">AB33-AB35</f>
        <v>30.7829867094841</v>
      </c>
      <c r="AC36" s="19" t="n">
        <f aca="false">AC33-AC35</f>
        <v>44.6928759987661</v>
      </c>
      <c r="AD36" s="19" t="n">
        <f aca="false">AD33-AD35</f>
        <v>62.2612711860763</v>
      </c>
      <c r="AE36" s="19" t="n">
        <f aca="false">AE33-AE35</f>
        <v>20.153216868213</v>
      </c>
      <c r="AF36" s="19" t="n">
        <f aca="false">AF33-AF35</f>
        <v>18.6162481330978</v>
      </c>
      <c r="AG36" s="19" t="n">
        <f aca="false">AG33-AG35</f>
        <v>26.1809099949294</v>
      </c>
      <c r="AH36" s="19" t="n">
        <f aca="false">AH33-AH35</f>
        <v>26.9528117441956</v>
      </c>
      <c r="AI36" s="19" t="n">
        <f aca="false">AI33-AI35</f>
        <v>26.2548361055693</v>
      </c>
      <c r="AJ36" s="19" t="n">
        <f aca="false">AJ33-AJ35</f>
        <v>21.9796550908114</v>
      </c>
      <c r="AK36" s="19" t="n">
        <f aca="false">AK33-AK35</f>
        <v>21.1596487361034</v>
      </c>
      <c r="AL36" s="19" t="n">
        <f aca="false">AL33-AL35</f>
        <v>22.1978323984121</v>
      </c>
      <c r="AM36" s="19" t="n">
        <f aca="false">AM33-AM35</f>
        <v>24.9700113969345</v>
      </c>
      <c r="AN36" s="19" t="n">
        <f aca="false">AN33-AN35</f>
        <v>26.0744455934944</v>
      </c>
      <c r="AO36" s="19" t="n">
        <f aca="false">AO33-AO35</f>
        <v>32.2259057725788</v>
      </c>
      <c r="AP36" s="19" t="n">
        <f aca="false">AP33-AP35</f>
        <v>33.1926752938878</v>
      </c>
      <c r="AQ36" s="19" t="n">
        <f aca="false">AQ33-AQ35</f>
        <v>26.1686336397305</v>
      </c>
      <c r="AR36" s="19" t="n">
        <f aca="false">AR33-AR35</f>
        <v>27.8172156849531</v>
      </c>
      <c r="AS36" s="19" t="n">
        <f aca="false">AS33-AS35</f>
        <v>30.8099066914593</v>
      </c>
      <c r="AT36" s="19" t="n">
        <f aca="false">AT33-AT35</f>
        <v>32.1401281956166</v>
      </c>
      <c r="AU36" s="19" t="n">
        <f aca="false">AU33-AU35</f>
        <v>35.2761397943318</v>
      </c>
      <c r="AV36" s="19" t="n">
        <f aca="false">AV33-AV35</f>
        <v>34.452680637697</v>
      </c>
      <c r="AW36" s="19" t="n">
        <f aca="false">AW33-AW35</f>
        <v>39.2127585198219</v>
      </c>
      <c r="AX36" s="19" t="n">
        <f aca="false">AX33-AX35</f>
        <v>39.9126921300759</v>
      </c>
      <c r="AY36" s="19" t="n">
        <f aca="false">AY33-AY35</f>
        <v>39.6210037357918</v>
      </c>
      <c r="AZ36" s="19" t="n">
        <f aca="false">AZ33-AZ35</f>
        <v>39.4076048994695</v>
      </c>
      <c r="BA36" s="19" t="n">
        <f aca="false">BA33-BA35</f>
        <v>42.3258323015884</v>
      </c>
      <c r="BB36" s="19" t="n">
        <f aca="false">BB33-BB35</f>
        <v>38.3726861535808</v>
      </c>
      <c r="BC36" s="19" t="n">
        <f aca="false">BC33-BC35</f>
        <v>48.8791228121867</v>
      </c>
      <c r="BD36" s="19" t="n">
        <f aca="false">BD33-BD35</f>
        <v>46.5243733678273</v>
      </c>
      <c r="BE36" s="19" t="n">
        <f aca="false">BE33-BE35</f>
        <v>53.5233040923341</v>
      </c>
      <c r="BF36" s="19" t="n">
        <f aca="false">BF33-BF35</f>
        <v>52.6107239619731</v>
      </c>
      <c r="BG36" s="19" t="n">
        <f aca="false">BG33-BG35</f>
        <v>56.262549127704</v>
      </c>
      <c r="BH36" s="19" t="n">
        <f aca="false">BH33-BH35</f>
        <v>56.0169229898736</v>
      </c>
      <c r="BI36" s="19" t="n">
        <f aca="false">BI33-BI35</f>
        <v>59.5663938632578</v>
      </c>
      <c r="BJ36" s="19" t="n">
        <f aca="false">BJ33-BJ35</f>
        <v>58.5616402930852</v>
      </c>
      <c r="BK36" s="19" t="n">
        <f aca="false">BK33-BK35</f>
        <v>62.849282198954</v>
      </c>
      <c r="BL36" s="19" t="n">
        <f aca="false">BL33-BL35</f>
        <v>61.8128658950342</v>
      </c>
      <c r="BM36" s="19" t="n">
        <f aca="false">BM33-BM35</f>
        <v>66.2927167948559</v>
      </c>
      <c r="BN36" s="19" t="n">
        <f aca="false">BN33-BN35</f>
        <v>72.1907077428689</v>
      </c>
      <c r="BO36" s="19" t="n">
        <f aca="false">BO33-BO35</f>
        <v>60.9205106027324</v>
      </c>
      <c r="BP36" s="19" t="n">
        <f aca="false">BP33-BP35</f>
        <v>60.6566230253074</v>
      </c>
      <c r="BQ36" s="19" t="n">
        <f aca="false">BQ33-BQ35</f>
        <v>48.457843040831</v>
      </c>
      <c r="BR36" s="19" t="n">
        <f aca="false">BR33-BR35</f>
        <v>36.6385018056577</v>
      </c>
      <c r="BS36" s="19" t="n">
        <f aca="false">BS33-BS35</f>
        <v>40.2798441959204</v>
      </c>
      <c r="BT36" s="19" t="n">
        <f aca="false">BT33-BT35</f>
        <v>30.5174024508114</v>
      </c>
      <c r="BU36" s="19" t="n">
        <f aca="false">BU33-BU35</f>
        <v>80.3839545433485</v>
      </c>
      <c r="BV36" s="19" t="n">
        <f aca="false">BV33-BV35</f>
        <v>50.1945715456323</v>
      </c>
      <c r="BW36" s="19" t="n">
        <f aca="false">BW33-BW35</f>
        <v>50.5951403377116</v>
      </c>
      <c r="BX36" s="19" t="n">
        <f aca="false">BX33-BX35</f>
        <v>48.352725574819</v>
      </c>
      <c r="BY36" s="19" t="n">
        <f aca="false">BY33-BY35</f>
        <v>51.7204240138939</v>
      </c>
      <c r="BZ36" s="19" t="n">
        <f aca="false">BZ33-BZ35</f>
        <v>53.0469789633126</v>
      </c>
      <c r="CA36" s="19" t="n">
        <f aca="false">CA33-CA35</f>
        <v>46.908151383406</v>
      </c>
      <c r="CB36" s="19" t="n">
        <f aca="false">CB33-CB35</f>
        <v>43.6467655551318</v>
      </c>
      <c r="CC36" s="19" t="n">
        <f aca="false">CC33-CC35</f>
        <v>47.8393071299145</v>
      </c>
      <c r="CD36" s="19" t="n">
        <f aca="false">CD33-CD35</f>
        <v>46.6364934953854</v>
      </c>
      <c r="CE36" s="19" t="n">
        <f aca="false">CE33-CE35</f>
        <v>51.9277516374682</v>
      </c>
      <c r="CF36" s="19" t="n">
        <f aca="false">CF33-CF35</f>
        <v>51.1443474988465</v>
      </c>
      <c r="CG36" s="19" t="n">
        <f aca="false">CG33-CG35</f>
        <v>126.874844186985</v>
      </c>
      <c r="CH36" s="19" t="n">
        <f aca="false">CH33-CH35</f>
        <v>97.7708235518326</v>
      </c>
      <c r="CI36" s="19" t="n">
        <f aca="false">CI33-CI35</f>
        <v>102.206624564995</v>
      </c>
      <c r="CJ36" s="19" t="n">
        <f aca="false">CJ33-CJ35</f>
        <v>101.462958996345</v>
      </c>
      <c r="CK36" s="19" t="n">
        <f aca="false">CK33-CK35</f>
        <v>118.340518486067</v>
      </c>
      <c r="CL36" s="19" t="n">
        <f aca="false">CL33-CL35</f>
        <v>109.664059573532</v>
      </c>
      <c r="CM36" s="19" t="n">
        <f aca="false">CM33-CM35</f>
        <v>114.443570553427</v>
      </c>
      <c r="CN36" s="19" t="n">
        <f aca="false">CN33-CN35</f>
        <v>114.326807620848</v>
      </c>
      <c r="CO36" s="19" t="n">
        <f aca="false">CO33-CO35</f>
        <v>118.598964170886</v>
      </c>
      <c r="CP36" s="19" t="n">
        <f aca="false">CP33-CP35</f>
        <v>161.860660569695</v>
      </c>
      <c r="CQ36" s="19" t="n">
        <f aca="false">CQ33-CQ35</f>
        <v>0</v>
      </c>
      <c r="CR36" s="19" t="n">
        <f aca="false">CR33-CR35</f>
        <v>0</v>
      </c>
      <c r="CS36" s="19" t="n">
        <f aca="false">CS33-CS35</f>
        <v>0</v>
      </c>
      <c r="CT36" s="19" t="n">
        <f aca="false">CT33-CT35</f>
        <v>0</v>
      </c>
      <c r="CU36" s="19" t="n">
        <f aca="false">CU33-CU35</f>
        <v>0</v>
      </c>
      <c r="CV36" s="19" t="n">
        <f aca="false">CV33-CV35</f>
        <v>0</v>
      </c>
      <c r="CW36" s="19" t="n">
        <f aca="false">CW33-CW35</f>
        <v>0</v>
      </c>
      <c r="CX36" s="19" t="n">
        <f aca="false">CX33-CX35</f>
        <v>0</v>
      </c>
      <c r="CY36" s="19" t="n">
        <f aca="false">CY33-CY35</f>
        <v>0</v>
      </c>
      <c r="CZ36" s="19" t="n">
        <f aca="false">CZ33-CZ35</f>
        <v>0</v>
      </c>
      <c r="DA36" s="19" t="n">
        <f aca="false">DA33-DA35</f>
        <v>0</v>
      </c>
      <c r="DB36" s="19" t="n">
        <f aca="false">DB33-DB35</f>
        <v>0</v>
      </c>
    </row>
    <row r="37" customFormat="false" ht="15" hidden="false" customHeight="false" outlineLevel="0" collapsed="false">
      <c r="D37" s="3" t="s">
        <v>624</v>
      </c>
    </row>
    <row r="38" customFormat="false" ht="15" hidden="false" customHeight="false" outlineLevel="0" collapsed="false">
      <c r="D38" s="0" t="s">
        <v>625</v>
      </c>
      <c r="E38" s="0" t="s">
        <v>44</v>
      </c>
      <c r="G38" s="19" t="n">
        <f aca="false">SUM(J38:DB38)</f>
        <v>0</v>
      </c>
      <c r="J38" s="19" t="n">
        <f aca="false">Time!J38*MIN(Inputs!$F$168*MAX(0,J36),Debt!J93-J22)</f>
        <v>0</v>
      </c>
      <c r="K38" s="19" t="n">
        <f aca="false">Time!K38*MIN(Inputs!$F$168*MAX(0,K36),Debt!K93-K22)</f>
        <v>0</v>
      </c>
      <c r="L38" s="19" t="n">
        <f aca="false">Time!L38*MIN(Inputs!$F$168*MAX(0,L36),Debt!L93-L22)</f>
        <v>0</v>
      </c>
      <c r="M38" s="19" t="n">
        <f aca="false">Time!M38*MIN(Inputs!$F$168*MAX(0,M36),Debt!M93-M22)</f>
        <v>0</v>
      </c>
      <c r="N38" s="19" t="n">
        <f aca="false">Time!N38*MIN(Inputs!$F$168*MAX(0,N36),Debt!N93-N22)</f>
        <v>0</v>
      </c>
      <c r="O38" s="19" t="n">
        <f aca="false">Time!O38*MIN(Inputs!$F$168*MAX(0,O36),Debt!O93-O22)</f>
        <v>0</v>
      </c>
      <c r="P38" s="19" t="n">
        <f aca="false">Time!P38*MIN(Inputs!$F$168*MAX(0,P36),Debt!P93-P22)</f>
        <v>0</v>
      </c>
      <c r="Q38" s="19" t="n">
        <f aca="false">Time!Q38*MIN(Inputs!$F$168*MAX(0,Q36),Debt!Q93-Q22)</f>
        <v>0</v>
      </c>
      <c r="R38" s="19" t="n">
        <f aca="false">Time!R38*MIN(Inputs!$F$168*MAX(0,R36),Debt!R93-R22)</f>
        <v>0</v>
      </c>
      <c r="S38" s="19" t="n">
        <f aca="false">Time!S38*MIN(Inputs!$F$168*MAX(0,S36),Debt!S93-S22)</f>
        <v>0</v>
      </c>
      <c r="T38" s="19" t="n">
        <f aca="false">Time!T38*MIN(Inputs!$F$168*MAX(0,T36),Debt!T93-T22)</f>
        <v>0</v>
      </c>
      <c r="U38" s="19" t="n">
        <f aca="false">Time!U38*MIN(Inputs!$F$168*MAX(0,U36),Debt!U93-U22)</f>
        <v>0</v>
      </c>
      <c r="V38" s="19" t="n">
        <f aca="false">Time!V38*MIN(Inputs!$F$168*MAX(0,V36),Debt!V93-V22)</f>
        <v>0</v>
      </c>
      <c r="W38" s="19" t="n">
        <f aca="false">Time!W38*MIN(Inputs!$F$168*MAX(0,W36),Debt!W93-W22)</f>
        <v>0</v>
      </c>
      <c r="X38" s="19" t="n">
        <f aca="false">Time!X38*MIN(Inputs!$F$168*MAX(0,X36),Debt!X93-X22)</f>
        <v>0</v>
      </c>
      <c r="Y38" s="19" t="n">
        <f aca="false">Time!Y38*MIN(Inputs!$F$168*MAX(0,Y36),Debt!Y93-Y22)</f>
        <v>0</v>
      </c>
      <c r="Z38" s="19" t="n">
        <f aca="false">Time!Z38*MIN(Inputs!$F$168*MAX(0,Z36),Debt!Z93-Z22)</f>
        <v>0</v>
      </c>
      <c r="AA38" s="19" t="n">
        <f aca="false">Time!AA38*MIN(Inputs!$F$168*MAX(0,AA36),Debt!AA93-AA22)</f>
        <v>0</v>
      </c>
      <c r="AB38" s="19" t="n">
        <f aca="false">Time!AB38*MIN(Inputs!$F$168*MAX(0,AB36),Debt!AB93-AB22)</f>
        <v>0</v>
      </c>
      <c r="AC38" s="19" t="n">
        <f aca="false">Time!AC38*MIN(Inputs!$F$168*MAX(0,AC36),Debt!AC93-AC22)</f>
        <v>0</v>
      </c>
      <c r="AD38" s="19" t="n">
        <f aca="false">Time!AD38*MIN(Inputs!$F$168*MAX(0,AD36),Debt!AD93-AD22)</f>
        <v>0</v>
      </c>
      <c r="AE38" s="19" t="n">
        <f aca="false">Time!AE38*MIN(Inputs!$F$168*MAX(0,AE36),Debt!AE93-AE22)</f>
        <v>0</v>
      </c>
      <c r="AF38" s="19" t="n">
        <f aca="false">Time!AF38*MIN(Inputs!$F$168*MAX(0,AF36),Debt!AF93-AF22)</f>
        <v>0</v>
      </c>
      <c r="AG38" s="19" t="n">
        <f aca="false">Time!AG38*MIN(Inputs!$F$168*MAX(0,AG36),Debt!AG93-AG22)</f>
        <v>0</v>
      </c>
      <c r="AH38" s="19" t="n">
        <f aca="false">Time!AH38*MIN(Inputs!$F$168*MAX(0,AH36),Debt!AH93-AH22)</f>
        <v>0</v>
      </c>
      <c r="AI38" s="19" t="n">
        <f aca="false">Time!AI38*MIN(Inputs!$F$168*MAX(0,AI36),Debt!AI93-AI22)</f>
        <v>0</v>
      </c>
      <c r="AJ38" s="19" t="n">
        <f aca="false">Time!AJ38*MIN(Inputs!$F$168*MAX(0,AJ36),Debt!AJ93-AJ22)</f>
        <v>0</v>
      </c>
      <c r="AK38" s="19" t="n">
        <f aca="false">Time!AK38*MIN(Inputs!$F$168*MAX(0,AK36),Debt!AK93-AK22)</f>
        <v>0</v>
      </c>
      <c r="AL38" s="19" t="n">
        <f aca="false">Time!AL38*MIN(Inputs!$F$168*MAX(0,AL36),Debt!AL93-AL22)</f>
        <v>0</v>
      </c>
      <c r="AM38" s="19" t="n">
        <f aca="false">Time!AM38*MIN(Inputs!$F$168*MAX(0,AM36),Debt!AM93-AM22)</f>
        <v>0</v>
      </c>
      <c r="AN38" s="19" t="n">
        <f aca="false">Time!AN38*MIN(Inputs!$F$168*MAX(0,AN36),Debt!AN93-AN22)</f>
        <v>0</v>
      </c>
      <c r="AO38" s="19" t="n">
        <f aca="false">Time!AO38*MIN(Inputs!$F$168*MAX(0,AO36),Debt!AO93-AO22)</f>
        <v>0</v>
      </c>
      <c r="AP38" s="19" t="n">
        <f aca="false">Time!AP38*MIN(Inputs!$F$168*MAX(0,AP36),Debt!AP93-AP22)</f>
        <v>0</v>
      </c>
      <c r="AQ38" s="19" t="n">
        <f aca="false">Time!AQ38*MIN(Inputs!$F$168*MAX(0,AQ36),Debt!AQ93-AQ22)</f>
        <v>0</v>
      </c>
      <c r="AR38" s="19" t="n">
        <f aca="false">Time!AR38*MIN(Inputs!$F$168*MAX(0,AR36),Debt!AR93-AR22)</f>
        <v>0</v>
      </c>
      <c r="AS38" s="19" t="n">
        <f aca="false">Time!AS38*MIN(Inputs!$F$168*MAX(0,AS36),Debt!AS93-AS22)</f>
        <v>0</v>
      </c>
      <c r="AT38" s="19" t="n">
        <f aca="false">Time!AT38*MIN(Inputs!$F$168*MAX(0,AT36),Debt!AT93-AT22)</f>
        <v>0</v>
      </c>
      <c r="AU38" s="19" t="n">
        <f aca="false">Time!AU38*MIN(Inputs!$F$168*MAX(0,AU36),Debt!AU93-AU22)</f>
        <v>0</v>
      </c>
      <c r="AV38" s="19" t="n">
        <f aca="false">Time!AV38*MIN(Inputs!$F$168*MAX(0,AV36),Debt!AV93-AV22)</f>
        <v>0</v>
      </c>
      <c r="AW38" s="19" t="n">
        <f aca="false">Time!AW38*MIN(Inputs!$F$168*MAX(0,AW36),Debt!AW93-AW22)</f>
        <v>0</v>
      </c>
      <c r="AX38" s="19" t="n">
        <f aca="false">Time!AX38*MIN(Inputs!$F$168*MAX(0,AX36),Debt!AX93-AX22)</f>
        <v>0</v>
      </c>
      <c r="AY38" s="19" t="n">
        <f aca="false">Time!AY38*MIN(Inputs!$F$168*MAX(0,AY36),Debt!AY93-AY22)</f>
        <v>0</v>
      </c>
      <c r="AZ38" s="19" t="n">
        <f aca="false">Time!AZ38*MIN(Inputs!$F$168*MAX(0,AZ36),Debt!AZ93-AZ22)</f>
        <v>0</v>
      </c>
      <c r="BA38" s="19" t="n">
        <f aca="false">Time!BA38*MIN(Inputs!$F$168*MAX(0,BA36),Debt!BA93-BA22)</f>
        <v>0</v>
      </c>
      <c r="BB38" s="19" t="n">
        <f aca="false">Time!BB38*MIN(Inputs!$F$168*MAX(0,BB36),Debt!BB93-BB22)</f>
        <v>0</v>
      </c>
      <c r="BC38" s="19" t="n">
        <f aca="false">Time!BC38*MIN(Inputs!$F$168*MAX(0,BC36),Debt!BC93-BC22)</f>
        <v>0</v>
      </c>
      <c r="BD38" s="19" t="n">
        <f aca="false">Time!BD38*MIN(Inputs!$F$168*MAX(0,BD36),Debt!BD93-BD22)</f>
        <v>0</v>
      </c>
      <c r="BE38" s="19" t="n">
        <f aca="false">Time!BE38*MIN(Inputs!$F$168*MAX(0,BE36),Debt!BE93-BE22)</f>
        <v>0</v>
      </c>
      <c r="BF38" s="19" t="n">
        <f aca="false">Time!BF38*MIN(Inputs!$F$168*MAX(0,BF36),Debt!BF93-BF22)</f>
        <v>0</v>
      </c>
      <c r="BG38" s="19" t="n">
        <f aca="false">Time!BG38*MIN(Inputs!$F$168*MAX(0,BG36),Debt!BG93-BG22)</f>
        <v>0</v>
      </c>
      <c r="BH38" s="19" t="n">
        <f aca="false">Time!BH38*MIN(Inputs!$F$168*MAX(0,BH36),Debt!BH93-BH22)</f>
        <v>0</v>
      </c>
      <c r="BI38" s="19" t="n">
        <f aca="false">Time!BI38*MIN(Inputs!$F$168*MAX(0,BI36),Debt!BI93-BI22)</f>
        <v>0</v>
      </c>
      <c r="BJ38" s="19" t="n">
        <f aca="false">Time!BJ38*MIN(Inputs!$F$168*MAX(0,BJ36),Debt!BJ93-BJ22)</f>
        <v>0</v>
      </c>
      <c r="BK38" s="19" t="n">
        <f aca="false">Time!BK38*MIN(Inputs!$F$168*MAX(0,BK36),Debt!BK93-BK22)</f>
        <v>0</v>
      </c>
      <c r="BL38" s="19" t="n">
        <f aca="false">Time!BL38*MIN(Inputs!$F$168*MAX(0,BL36),Debt!BL93-BL22)</f>
        <v>0</v>
      </c>
      <c r="BM38" s="19" t="n">
        <f aca="false">Time!BM38*MIN(Inputs!$F$168*MAX(0,BM36),Debt!BM93-BM22)</f>
        <v>0</v>
      </c>
      <c r="BN38" s="19" t="n">
        <f aca="false">Time!BN38*MIN(Inputs!$F$168*MAX(0,BN36),Debt!BN93-BN22)</f>
        <v>0</v>
      </c>
      <c r="BO38" s="19" t="n">
        <f aca="false">Time!BO38*MIN(Inputs!$F$168*MAX(0,BO36),Debt!BO93-BO22)</f>
        <v>0</v>
      </c>
      <c r="BP38" s="19" t="n">
        <f aca="false">Time!BP38*MIN(Inputs!$F$168*MAX(0,BP36),Debt!BP93-BP22)</f>
        <v>0</v>
      </c>
      <c r="BQ38" s="19" t="n">
        <f aca="false">Time!BQ38*MIN(Inputs!$F$168*MAX(0,BQ36),Debt!BQ93-BQ22)</f>
        <v>0</v>
      </c>
      <c r="BR38" s="19" t="n">
        <f aca="false">Time!BR38*MIN(Inputs!$F$168*MAX(0,BR36),Debt!BR93-BR22)</f>
        <v>0</v>
      </c>
      <c r="BS38" s="19" t="n">
        <f aca="false">Time!BS38*MIN(Inputs!$F$168*MAX(0,BS36),Debt!BS93-BS22)</f>
        <v>0</v>
      </c>
      <c r="BT38" s="19" t="n">
        <f aca="false">Time!BT38*MIN(Inputs!$F$168*MAX(0,BT36),Debt!BT93-BT22)</f>
        <v>0</v>
      </c>
      <c r="BU38" s="19" t="n">
        <f aca="false">Time!BU38*MIN(Inputs!$F$168*MAX(0,BU36),Debt!BU93-BU22)</f>
        <v>0</v>
      </c>
      <c r="BV38" s="19" t="n">
        <f aca="false">Time!BV38*MIN(Inputs!$F$168*MAX(0,BV36),Debt!BV93-BV22)</f>
        <v>0</v>
      </c>
      <c r="BW38" s="19" t="n">
        <f aca="false">Time!BW38*MIN(Inputs!$F$168*MAX(0,BW36),Debt!BW93-BW22)</f>
        <v>0</v>
      </c>
      <c r="BX38" s="19" t="n">
        <f aca="false">Time!BX38*MIN(Inputs!$F$168*MAX(0,BX36),Debt!BX93-BX22)</f>
        <v>0</v>
      </c>
      <c r="BY38" s="19" t="n">
        <f aca="false">Time!BY38*MIN(Inputs!$F$168*MAX(0,BY36),Debt!BY93-BY22)</f>
        <v>0</v>
      </c>
      <c r="BZ38" s="19" t="n">
        <f aca="false">Time!BZ38*MIN(Inputs!$F$168*MAX(0,BZ36),Debt!BZ93-BZ22)</f>
        <v>0</v>
      </c>
      <c r="CA38" s="19" t="n">
        <f aca="false">Time!CA38*MIN(Inputs!$F$168*MAX(0,CA36),Debt!CA93-CA22)</f>
        <v>0</v>
      </c>
      <c r="CB38" s="19" t="n">
        <f aca="false">Time!CB38*MIN(Inputs!$F$168*MAX(0,CB36),Debt!CB93-CB22)</f>
        <v>0</v>
      </c>
      <c r="CC38" s="19" t="n">
        <f aca="false">Time!CC38*MIN(Inputs!$F$168*MAX(0,CC36),Debt!CC93-CC22)</f>
        <v>0</v>
      </c>
      <c r="CD38" s="19" t="n">
        <f aca="false">Time!CD38*MIN(Inputs!$F$168*MAX(0,CD36),Debt!CD93-CD22)</f>
        <v>0</v>
      </c>
      <c r="CE38" s="19" t="n">
        <f aca="false">Time!CE38*MIN(Inputs!$F$168*MAX(0,CE36),Debt!CE93-CE22)</f>
        <v>0</v>
      </c>
      <c r="CF38" s="19" t="n">
        <f aca="false">Time!CF38*MIN(Inputs!$F$168*MAX(0,CF36),Debt!CF93-CF22)</f>
        <v>0</v>
      </c>
      <c r="CG38" s="19" t="n">
        <f aca="false">Time!CG38*MIN(Inputs!$F$168*MAX(0,CG36),Debt!CG93-CG22)</f>
        <v>0</v>
      </c>
      <c r="CH38" s="19" t="n">
        <f aca="false">Time!CH38*MIN(Inputs!$F$168*MAX(0,CH36),Debt!CH93-CH22)</f>
        <v>0</v>
      </c>
      <c r="CI38" s="19" t="n">
        <f aca="false">Time!CI38*MIN(Inputs!$F$168*MAX(0,CI36),Debt!CI93-CI22)</f>
        <v>0</v>
      </c>
      <c r="CJ38" s="19" t="n">
        <f aca="false">Time!CJ38*MIN(Inputs!$F$168*MAX(0,CJ36),Debt!CJ93-CJ22)</f>
        <v>0</v>
      </c>
      <c r="CK38" s="19" t="n">
        <f aca="false">Time!CK38*MIN(Inputs!$F$168*MAX(0,CK36),Debt!CK93-CK22)</f>
        <v>0</v>
      </c>
      <c r="CL38" s="19" t="n">
        <f aca="false">Time!CL38*MIN(Inputs!$F$168*MAX(0,CL36),Debt!CL93-CL22)</f>
        <v>0</v>
      </c>
      <c r="CM38" s="19" t="n">
        <f aca="false">Time!CM38*MIN(Inputs!$F$168*MAX(0,CM36),Debt!CM93-CM22)</f>
        <v>0</v>
      </c>
      <c r="CN38" s="19" t="n">
        <f aca="false">Time!CN38*MIN(Inputs!$F$168*MAX(0,CN36),Debt!CN93-CN22)</f>
        <v>0</v>
      </c>
      <c r="CO38" s="19" t="n">
        <f aca="false">Time!CO38*MIN(Inputs!$F$168*MAX(0,CO36),Debt!CO93-CO22)</f>
        <v>0</v>
      </c>
      <c r="CP38" s="19" t="n">
        <f aca="false">Time!CP38*MIN(Inputs!$F$168*MAX(0,CP36),Debt!CP93-CP22)</f>
        <v>0</v>
      </c>
      <c r="CQ38" s="19" t="n">
        <f aca="false">Time!CQ38*MIN(Inputs!$F$168*MAX(0,CQ36),Debt!CQ93-CQ22)</f>
        <v>0</v>
      </c>
      <c r="CR38" s="19" t="n">
        <f aca="false">Time!CR38*MIN(Inputs!$F$168*MAX(0,CR36),Debt!CR93-CR22)</f>
        <v>0</v>
      </c>
      <c r="CS38" s="19" t="n">
        <f aca="false">Time!CS38*MIN(Inputs!$F$168*MAX(0,CS36),Debt!CS93-CS22)</f>
        <v>0</v>
      </c>
      <c r="CT38" s="19" t="n">
        <f aca="false">Time!CT38*MIN(Inputs!$F$168*MAX(0,CT36),Debt!CT93-CT22)</f>
        <v>0</v>
      </c>
      <c r="CU38" s="19" t="n">
        <f aca="false">Time!CU38*MIN(Inputs!$F$168*MAX(0,CU36),Debt!CU93-CU22)</f>
        <v>0</v>
      </c>
      <c r="CV38" s="19" t="n">
        <f aca="false">Time!CV38*MIN(Inputs!$F$168*MAX(0,CV36),Debt!CV93-CV22)</f>
        <v>0</v>
      </c>
      <c r="CW38" s="19" t="n">
        <f aca="false">Time!CW38*MIN(Inputs!$F$168*MAX(0,CW36),Debt!CW93-CW22)</f>
        <v>0</v>
      </c>
      <c r="CX38" s="19" t="n">
        <f aca="false">Time!CX38*MIN(Inputs!$F$168*MAX(0,CX36),Debt!CX93-CX22)</f>
        <v>0</v>
      </c>
      <c r="CY38" s="19" t="n">
        <f aca="false">Time!CY38*MIN(Inputs!$F$168*MAX(0,CY36),Debt!CY93-CY22)</f>
        <v>0</v>
      </c>
      <c r="CZ38" s="19" t="n">
        <f aca="false">Time!CZ38*MIN(Inputs!$F$168*MAX(0,CZ36),Debt!CZ93-CZ22)</f>
        <v>0</v>
      </c>
      <c r="DA38" s="19" t="n">
        <f aca="false">Time!DA38*MIN(Inputs!$F$168*MAX(0,DA36),Debt!DA93-DA22)</f>
        <v>0</v>
      </c>
      <c r="DB38" s="19" t="n">
        <f aca="false">Time!DB38*MIN(Inputs!$F$168*MAX(0,DB36),Debt!DB93-DB22)</f>
        <v>0</v>
      </c>
    </row>
    <row r="39" customFormat="false" ht="15" hidden="false" customHeight="false" outlineLevel="0" collapsed="false">
      <c r="D39" s="0" t="s">
        <v>626</v>
      </c>
      <c r="E39" s="0" t="s">
        <v>44</v>
      </c>
      <c r="J39" s="19" t="n">
        <f aca="false">J36-J38</f>
        <v>0</v>
      </c>
      <c r="K39" s="19" t="n">
        <f aca="false">K36-K38</f>
        <v>0</v>
      </c>
      <c r="L39" s="19" t="n">
        <f aca="false">L36-L38</f>
        <v>0</v>
      </c>
      <c r="M39" s="19" t="n">
        <f aca="false">M36-M38</f>
        <v>0</v>
      </c>
      <c r="N39" s="19" t="n">
        <f aca="false">N36-N38</f>
        <v>0</v>
      </c>
      <c r="O39" s="19" t="n">
        <f aca="false">O36-O38</f>
        <v>0</v>
      </c>
      <c r="P39" s="19" t="n">
        <f aca="false">P36-P38</f>
        <v>0</v>
      </c>
      <c r="Q39" s="19" t="n">
        <f aca="false">Q36-Q38</f>
        <v>0</v>
      </c>
      <c r="R39" s="19" t="n">
        <f aca="false">R36-R38</f>
        <v>0</v>
      </c>
      <c r="S39" s="19" t="n">
        <f aca="false">S36-S38</f>
        <v>0</v>
      </c>
      <c r="T39" s="19" t="n">
        <f aca="false">T36-T38</f>
        <v>0</v>
      </c>
      <c r="U39" s="19" t="n">
        <f aca="false">U36-U38</f>
        <v>0</v>
      </c>
      <c r="V39" s="19" t="n">
        <f aca="false">V36-V38</f>
        <v>0</v>
      </c>
      <c r="W39" s="19" t="n">
        <f aca="false">W36-W38</f>
        <v>0</v>
      </c>
      <c r="X39" s="19" t="n">
        <f aca="false">X36-X38</f>
        <v>0</v>
      </c>
      <c r="Y39" s="19" t="n">
        <f aca="false">Y36-Y38</f>
        <v>0</v>
      </c>
      <c r="Z39" s="19" t="n">
        <f aca="false">Z36-Z38</f>
        <v>4.94604467235802</v>
      </c>
      <c r="AA39" s="19" t="n">
        <f aca="false">AA36-AA38</f>
        <v>15.6508124852035</v>
      </c>
      <c r="AB39" s="19" t="n">
        <f aca="false">AB36-AB38</f>
        <v>30.7829867094841</v>
      </c>
      <c r="AC39" s="19" t="n">
        <f aca="false">AC36-AC38</f>
        <v>44.6928759987661</v>
      </c>
      <c r="AD39" s="19" t="n">
        <f aca="false">AD36-AD38</f>
        <v>62.2612711860763</v>
      </c>
      <c r="AE39" s="19" t="n">
        <f aca="false">AE36-AE38</f>
        <v>20.153216868213</v>
      </c>
      <c r="AF39" s="19" t="n">
        <f aca="false">AF36-AF38</f>
        <v>18.6162481330978</v>
      </c>
      <c r="AG39" s="19" t="n">
        <f aca="false">AG36-AG38</f>
        <v>26.1809099949294</v>
      </c>
      <c r="AH39" s="19" t="n">
        <f aca="false">AH36-AH38</f>
        <v>26.9528117441956</v>
      </c>
      <c r="AI39" s="19" t="n">
        <f aca="false">AI36-AI38</f>
        <v>26.2548361055693</v>
      </c>
      <c r="AJ39" s="19" t="n">
        <f aca="false">AJ36-AJ38</f>
        <v>21.9796550908114</v>
      </c>
      <c r="AK39" s="19" t="n">
        <f aca="false">AK36-AK38</f>
        <v>21.1596487361034</v>
      </c>
      <c r="AL39" s="19" t="n">
        <f aca="false">AL36-AL38</f>
        <v>22.1978323984121</v>
      </c>
      <c r="AM39" s="19" t="n">
        <f aca="false">AM36-AM38</f>
        <v>24.9700113969345</v>
      </c>
      <c r="AN39" s="19" t="n">
        <f aca="false">AN36-AN38</f>
        <v>26.0744455934944</v>
      </c>
      <c r="AO39" s="19" t="n">
        <f aca="false">AO36-AO38</f>
        <v>32.2259057725788</v>
      </c>
      <c r="AP39" s="19" t="n">
        <f aca="false">AP36-AP38</f>
        <v>33.1926752938878</v>
      </c>
      <c r="AQ39" s="19" t="n">
        <f aca="false">AQ36-AQ38</f>
        <v>26.1686336397305</v>
      </c>
      <c r="AR39" s="19" t="n">
        <f aca="false">AR36-AR38</f>
        <v>27.8172156849531</v>
      </c>
      <c r="AS39" s="19" t="n">
        <f aca="false">AS36-AS38</f>
        <v>30.8099066914593</v>
      </c>
      <c r="AT39" s="19" t="n">
        <f aca="false">AT36-AT38</f>
        <v>32.1401281956166</v>
      </c>
      <c r="AU39" s="19" t="n">
        <f aca="false">AU36-AU38</f>
        <v>35.2761397943318</v>
      </c>
      <c r="AV39" s="19" t="n">
        <f aca="false">AV36-AV38</f>
        <v>34.452680637697</v>
      </c>
      <c r="AW39" s="19" t="n">
        <f aca="false">AW36-AW38</f>
        <v>39.2127585198219</v>
      </c>
      <c r="AX39" s="19" t="n">
        <f aca="false">AX36-AX38</f>
        <v>39.9126921300759</v>
      </c>
      <c r="AY39" s="19" t="n">
        <f aca="false">AY36-AY38</f>
        <v>39.6210037357918</v>
      </c>
      <c r="AZ39" s="19" t="n">
        <f aca="false">AZ36-AZ38</f>
        <v>39.4076048994695</v>
      </c>
      <c r="BA39" s="19" t="n">
        <f aca="false">BA36-BA38</f>
        <v>42.3258323015884</v>
      </c>
      <c r="BB39" s="19" t="n">
        <f aca="false">BB36-BB38</f>
        <v>38.3726861535808</v>
      </c>
      <c r="BC39" s="19" t="n">
        <f aca="false">BC36-BC38</f>
        <v>48.8791228121867</v>
      </c>
      <c r="BD39" s="19" t="n">
        <f aca="false">BD36-BD38</f>
        <v>46.5243733678273</v>
      </c>
      <c r="BE39" s="19" t="n">
        <f aca="false">BE36-BE38</f>
        <v>53.5233040923341</v>
      </c>
      <c r="BF39" s="19" t="n">
        <f aca="false">BF36-BF38</f>
        <v>52.6107239619731</v>
      </c>
      <c r="BG39" s="19" t="n">
        <f aca="false">BG36-BG38</f>
        <v>56.262549127704</v>
      </c>
      <c r="BH39" s="19" t="n">
        <f aca="false">BH36-BH38</f>
        <v>56.0169229898736</v>
      </c>
      <c r="BI39" s="19" t="n">
        <f aca="false">BI36-BI38</f>
        <v>59.5663938632578</v>
      </c>
      <c r="BJ39" s="19" t="n">
        <f aca="false">BJ36-BJ38</f>
        <v>58.5616402930852</v>
      </c>
      <c r="BK39" s="19" t="n">
        <f aca="false">BK36-BK38</f>
        <v>62.849282198954</v>
      </c>
      <c r="BL39" s="19" t="n">
        <f aca="false">BL36-BL38</f>
        <v>61.8128658950342</v>
      </c>
      <c r="BM39" s="19" t="n">
        <f aca="false">BM36-BM38</f>
        <v>66.2927167948559</v>
      </c>
      <c r="BN39" s="19" t="n">
        <f aca="false">BN36-BN38</f>
        <v>72.1907077428689</v>
      </c>
      <c r="BO39" s="19" t="n">
        <f aca="false">BO36-BO38</f>
        <v>60.9205106027324</v>
      </c>
      <c r="BP39" s="19" t="n">
        <f aca="false">BP36-BP38</f>
        <v>60.6566230253074</v>
      </c>
      <c r="BQ39" s="19" t="n">
        <f aca="false">BQ36-BQ38</f>
        <v>48.457843040831</v>
      </c>
      <c r="BR39" s="19" t="n">
        <f aca="false">BR36-BR38</f>
        <v>36.6385018056577</v>
      </c>
      <c r="BS39" s="19" t="n">
        <f aca="false">BS36-BS38</f>
        <v>40.2798441959204</v>
      </c>
      <c r="BT39" s="19" t="n">
        <f aca="false">BT36-BT38</f>
        <v>30.5174024508114</v>
      </c>
      <c r="BU39" s="19" t="n">
        <f aca="false">BU36-BU38</f>
        <v>80.3839545433485</v>
      </c>
      <c r="BV39" s="19" t="n">
        <f aca="false">BV36-BV38</f>
        <v>50.1945715456323</v>
      </c>
      <c r="BW39" s="19" t="n">
        <f aca="false">BW36-BW38</f>
        <v>50.5951403377116</v>
      </c>
      <c r="BX39" s="19" t="n">
        <f aca="false">BX36-BX38</f>
        <v>48.352725574819</v>
      </c>
      <c r="BY39" s="19" t="n">
        <f aca="false">BY36-BY38</f>
        <v>51.7204240138939</v>
      </c>
      <c r="BZ39" s="19" t="n">
        <f aca="false">BZ36-BZ38</f>
        <v>53.0469789633126</v>
      </c>
      <c r="CA39" s="19" t="n">
        <f aca="false">CA36-CA38</f>
        <v>46.908151383406</v>
      </c>
      <c r="CB39" s="19" t="n">
        <f aca="false">CB36-CB38</f>
        <v>43.6467655551318</v>
      </c>
      <c r="CC39" s="19" t="n">
        <f aca="false">CC36-CC38</f>
        <v>47.8393071299145</v>
      </c>
      <c r="CD39" s="19" t="n">
        <f aca="false">CD36-CD38</f>
        <v>46.6364934953854</v>
      </c>
      <c r="CE39" s="19" t="n">
        <f aca="false">CE36-CE38</f>
        <v>51.9277516374682</v>
      </c>
      <c r="CF39" s="19" t="n">
        <f aca="false">CF36-CF38</f>
        <v>51.1443474988465</v>
      </c>
      <c r="CG39" s="19" t="n">
        <f aca="false">CG36-CG38</f>
        <v>126.874844186985</v>
      </c>
      <c r="CH39" s="19" t="n">
        <f aca="false">CH36-CH38</f>
        <v>97.7708235518326</v>
      </c>
      <c r="CI39" s="19" t="n">
        <f aca="false">CI36-CI38</f>
        <v>102.206624564995</v>
      </c>
      <c r="CJ39" s="19" t="n">
        <f aca="false">CJ36-CJ38</f>
        <v>101.462958996345</v>
      </c>
      <c r="CK39" s="19" t="n">
        <f aca="false">CK36-CK38</f>
        <v>118.340518486067</v>
      </c>
      <c r="CL39" s="19" t="n">
        <f aca="false">CL36-CL38</f>
        <v>109.664059573532</v>
      </c>
      <c r="CM39" s="19" t="n">
        <f aca="false">CM36-CM38</f>
        <v>114.443570553427</v>
      </c>
      <c r="CN39" s="19" t="n">
        <f aca="false">CN36-CN38</f>
        <v>114.326807620848</v>
      </c>
      <c r="CO39" s="19" t="n">
        <f aca="false">CO36-CO38</f>
        <v>118.598964170886</v>
      </c>
      <c r="CP39" s="19" t="n">
        <f aca="false">CP36-CP38</f>
        <v>161.860660569695</v>
      </c>
      <c r="CQ39" s="19" t="n">
        <f aca="false">CQ36-CQ38</f>
        <v>0</v>
      </c>
      <c r="CR39" s="19" t="n">
        <f aca="false">CR36-CR38</f>
        <v>0</v>
      </c>
      <c r="CS39" s="19" t="n">
        <f aca="false">CS36-CS38</f>
        <v>0</v>
      </c>
      <c r="CT39" s="19" t="n">
        <f aca="false">CT36-CT38</f>
        <v>0</v>
      </c>
      <c r="CU39" s="19" t="n">
        <f aca="false">CU36-CU38</f>
        <v>0</v>
      </c>
      <c r="CV39" s="19" t="n">
        <f aca="false">CV36-CV38</f>
        <v>0</v>
      </c>
      <c r="CW39" s="19" t="n">
        <f aca="false">CW36-CW38</f>
        <v>0</v>
      </c>
      <c r="CX39" s="19" t="n">
        <f aca="false">CX36-CX38</f>
        <v>0</v>
      </c>
      <c r="CY39" s="19" t="n">
        <f aca="false">CY36-CY38</f>
        <v>0</v>
      </c>
      <c r="CZ39" s="19" t="n">
        <f aca="false">CZ36-CZ38</f>
        <v>0</v>
      </c>
      <c r="DA39" s="19" t="n">
        <f aca="false">DA36-DA38</f>
        <v>0</v>
      </c>
      <c r="DB39" s="19" t="n">
        <f aca="false">DB36-DB38</f>
        <v>0</v>
      </c>
    </row>
    <row r="40" customFormat="false" ht="15" hidden="false" customHeight="false" outlineLevel="0" collapsed="false">
      <c r="D40" s="3" t="s">
        <v>627</v>
      </c>
    </row>
    <row r="41" customFormat="false" ht="15" hidden="false" customHeight="false" outlineLevel="0" collapsed="false">
      <c r="D41" s="0" t="s">
        <v>628</v>
      </c>
      <c r="E41" s="0" t="s">
        <v>126</v>
      </c>
      <c r="J41" s="31" t="n">
        <f aca="false">IF(Debt!J68&gt;Inputs!$F$9,J7/Debt!J68,0)</f>
        <v>0</v>
      </c>
      <c r="K41" s="31" t="n">
        <f aca="false">IF(Debt!K68&gt;Inputs!$F$9,K7/Debt!K68,0)</f>
        <v>0</v>
      </c>
      <c r="L41" s="31" t="n">
        <f aca="false">IF(Debt!L68&gt;Inputs!$F$9,L7/Debt!L68,0)</f>
        <v>0</v>
      </c>
      <c r="M41" s="31" t="n">
        <f aca="false">IF(Debt!M68&gt;Inputs!$F$9,M7/Debt!M68,0)</f>
        <v>0</v>
      </c>
      <c r="N41" s="31" t="n">
        <f aca="false">IF(Debt!N68&gt;Inputs!$F$9,N7/Debt!N68,0)</f>
        <v>0</v>
      </c>
      <c r="O41" s="31" t="n">
        <f aca="false">IF(Debt!O68&gt;Inputs!$F$9,O7/Debt!O68,0)</f>
        <v>0</v>
      </c>
      <c r="P41" s="31" t="n">
        <f aca="false">IF(Debt!P68&gt;Inputs!$F$9,P7/Debt!P68,0)</f>
        <v>0</v>
      </c>
      <c r="Q41" s="31" t="n">
        <f aca="false">IF(Debt!Q68&gt;Inputs!$F$9,Q7/Debt!Q68,0)</f>
        <v>0</v>
      </c>
      <c r="R41" s="31" t="n">
        <f aca="false">IF(Debt!R68&gt;Inputs!$F$9,R7/Debt!R68,0)</f>
        <v>0</v>
      </c>
      <c r="S41" s="31" t="n">
        <f aca="false">IF(Debt!S68&gt;Inputs!$F$9,S7/Debt!S68,0)</f>
        <v>0</v>
      </c>
      <c r="T41" s="31" t="n">
        <f aca="false">IF(Debt!T68&gt;Inputs!$F$9,T7/Debt!T68,0)</f>
        <v>0</v>
      </c>
      <c r="U41" s="31" t="n">
        <f aca="false">IF(Debt!U68&gt;Inputs!$F$9,U7/Debt!U68,0)</f>
        <v>0</v>
      </c>
      <c r="V41" s="31" t="n">
        <f aca="false">IF(Debt!V68&gt;Inputs!$F$9,V7/Debt!V68,0)</f>
        <v>0</v>
      </c>
      <c r="W41" s="31" t="n">
        <f aca="false">IF(Debt!W68&gt;Inputs!$F$9,W7/Debt!W68,0)</f>
        <v>0</v>
      </c>
      <c r="X41" s="31" t="n">
        <f aca="false">IF(Debt!X68&gt;Inputs!$F$9,X7/Debt!X68,0)</f>
        <v>0</v>
      </c>
      <c r="Y41" s="31" t="n">
        <f aca="false">IF(Debt!Y68&gt;Inputs!$F$9,Y7/Debt!Y68,0)</f>
        <v>0</v>
      </c>
      <c r="Z41" s="31" t="n">
        <f aca="false">IF(Debt!Z68&gt;Inputs!$F$9,Z7/Debt!Z68,0)</f>
        <v>1.92528914918638</v>
      </c>
      <c r="AA41" s="31" t="n">
        <f aca="false">IF(Debt!AA68&gt;Inputs!$F$9,AA7/Debt!AA68,0)</f>
        <v>1.95278894883027</v>
      </c>
      <c r="AB41" s="31" t="n">
        <f aca="false">IF(Debt!AB68&gt;Inputs!$F$9,AB7/Debt!AB68,0)</f>
        <v>1.84980054546002</v>
      </c>
      <c r="AC41" s="31" t="n">
        <f aca="false">IF(Debt!AC68&gt;Inputs!$F$9,AC7/Debt!AC68,0)</f>
        <v>1.82961847327131</v>
      </c>
      <c r="AD41" s="31" t="n">
        <f aca="false">IF(Debt!AD68&gt;Inputs!$F$9,AD7/Debt!AD68,0)</f>
        <v>1.74858601407761</v>
      </c>
      <c r="AE41" s="31" t="n">
        <f aca="false">IF(Debt!AE68&gt;Inputs!$F$9,AE7/Debt!AE68,0)</f>
        <v>1.82840186296727</v>
      </c>
      <c r="AF41" s="31" t="n">
        <f aca="false">IF(Debt!AF68&gt;Inputs!$F$9,AF7/Debt!AF68,0)</f>
        <v>1.98310844400004</v>
      </c>
      <c r="AG41" s="31" t="n">
        <f aca="false">IF(Debt!AG68&gt;Inputs!$F$9,AG7/Debt!AG68,0)</f>
        <v>2.11889801272632</v>
      </c>
      <c r="AH41" s="31" t="n">
        <f aca="false">IF(Debt!AH68&gt;Inputs!$F$9,AH7/Debt!AH68,0)</f>
        <v>2.17769580980897</v>
      </c>
      <c r="AI41" s="31" t="n">
        <f aca="false">IF(Debt!AI68&gt;Inputs!$F$9,AI7/Debt!AI68,0)</f>
        <v>2.12476253734259</v>
      </c>
      <c r="AJ41" s="31" t="n">
        <f aca="false">IF(Debt!AJ68&gt;Inputs!$F$9,AJ7/Debt!AJ68,0)</f>
        <v>2.19309600522109</v>
      </c>
      <c r="AK41" s="31" t="n">
        <f aca="false">IF(Debt!AK68&gt;Inputs!$F$9,AK7/Debt!AK68,0)</f>
        <v>2.27924918595244</v>
      </c>
      <c r="AL41" s="31" t="n">
        <f aca="false">IF(Debt!AL68&gt;Inputs!$F$9,AL7/Debt!AL68,0)</f>
        <v>2.34471459524389</v>
      </c>
      <c r="AM41" s="31" t="n">
        <f aca="false">IF(Debt!AM68&gt;Inputs!$F$9,AM7/Debt!AM68,0)</f>
        <v>2.44326449576584</v>
      </c>
      <c r="AN41" s="31" t="n">
        <f aca="false">IF(Debt!AN68&gt;Inputs!$F$9,AN7/Debt!AN68,0)</f>
        <v>2.51293533945344</v>
      </c>
      <c r="AO41" s="31" t="n">
        <f aca="false">IF(Debt!AO68&gt;Inputs!$F$9,AO7/Debt!AO68,0)</f>
        <v>2.75559113496689</v>
      </c>
      <c r="AP41" s="31" t="n">
        <f aca="false">IF(Debt!AP68&gt;Inputs!$F$9,AP7/Debt!AP68,0)</f>
        <v>2.8308357620789</v>
      </c>
      <c r="AQ41" s="31" t="n">
        <f aca="false">IF(Debt!AQ68&gt;Inputs!$F$9,AQ7/Debt!AQ68,0)</f>
        <v>2.49740312260836</v>
      </c>
      <c r="AR41" s="31" t="n">
        <f aca="false">IF(Debt!AR68&gt;Inputs!$F$9,AR7/Debt!AR68,0)</f>
        <v>2.58349963045874</v>
      </c>
      <c r="AS41" s="31" t="n">
        <f aca="false">IF(Debt!AS68&gt;Inputs!$F$9,AS7/Debt!AS68,0)</f>
        <v>2.69450217922744</v>
      </c>
      <c r="AT41" s="31" t="n">
        <f aca="false">IF(Debt!AT68&gt;Inputs!$F$9,AT7/Debt!AT68,0)</f>
        <v>2.776011214013</v>
      </c>
      <c r="AU41" s="31" t="n">
        <f aca="false">IF(Debt!AU68&gt;Inputs!$F$9,AU7/Debt!AU68,0)</f>
        <v>2.90348138012187</v>
      </c>
      <c r="AV41" s="31" t="n">
        <f aca="false">IF(Debt!AV68&gt;Inputs!$F$9,AV7/Debt!AV68,0)</f>
        <v>2.98919925966843</v>
      </c>
      <c r="AW41" s="31" t="n">
        <f aca="false">IF(Debt!AW68&gt;Inputs!$F$9,AW7/Debt!AW68,0)</f>
        <v>2.97746112421153</v>
      </c>
      <c r="AX41" s="31" t="n">
        <f aca="false">IF(Debt!AX68&gt;Inputs!$F$9,AX7/Debt!AX68,0)</f>
        <v>2.98802126065341</v>
      </c>
      <c r="AY41" s="31" t="n">
        <f aca="false">IF(Debt!AY68&gt;Inputs!$F$9,AY7/Debt!AY68,0)</f>
        <v>3.005356871549</v>
      </c>
      <c r="AZ41" s="31" t="n">
        <f aca="false">IF(Debt!AZ68&gt;Inputs!$F$9,AZ7/Debt!AZ68,0)</f>
        <v>3.01605059203353</v>
      </c>
      <c r="BA41" s="31" t="n">
        <f aca="false">IF(Debt!BA68&gt;Inputs!$F$9,BA7/Debt!BA68,0)</f>
        <v>3.01374295669556</v>
      </c>
      <c r="BB41" s="31" t="n">
        <f aca="false">IF(Debt!BB68&gt;Inputs!$F$9,BB7/Debt!BB68,0)</f>
        <v>3.02469926817594</v>
      </c>
      <c r="BC41" s="31" t="n">
        <f aca="false">IF(Debt!BC68&gt;Inputs!$F$9,BC7/Debt!BC68,0)</f>
        <v>2.98489204566714</v>
      </c>
      <c r="BD41" s="31" t="n">
        <f aca="false">IF(Debt!BD68&gt;Inputs!$F$9,BD7/Debt!BD68,0)</f>
        <v>2.99471468658824</v>
      </c>
      <c r="BE41" s="31" t="n">
        <f aca="false">IF(Debt!BE68&gt;Inputs!$F$9,BE7/Debt!BE68,0)</f>
        <v>2.97890612843747</v>
      </c>
      <c r="BF41" s="31" t="n">
        <f aca="false">IF(Debt!BF68&gt;Inputs!$F$9,BF7/Debt!BF68,0)</f>
        <v>2.9883463450877</v>
      </c>
      <c r="BG41" s="31" t="n">
        <f aca="false">IF(Debt!BG68&gt;Inputs!$F$9,BG7/Debt!BG68,0)</f>
        <v>2.98759786580187</v>
      </c>
      <c r="BH41" s="31" t="n">
        <f aca="false">IF(Debt!BH68&gt;Inputs!$F$9,BH7/Debt!BH68,0)</f>
        <v>2.99704605388977</v>
      </c>
      <c r="BI41" s="31" t="n">
        <f aca="false">IF(Debt!BI68&gt;Inputs!$F$9,BI7/Debt!BI68,0)</f>
        <v>2.99647123679137</v>
      </c>
      <c r="BJ41" s="31" t="n">
        <f aca="false">IF(Debt!BJ68&gt;Inputs!$F$9,BJ7/Debt!BJ68,0)</f>
        <v>3.00592347359734</v>
      </c>
      <c r="BK41" s="31" t="n">
        <f aca="false">IF(Debt!BK68&gt;Inputs!$F$9,BK7/Debt!BK68,0)</f>
        <v>3.00551991027908</v>
      </c>
      <c r="BL41" s="31" t="n">
        <f aca="false">IF(Debt!BL68&gt;Inputs!$F$9,BL7/Debt!BL68,0)</f>
        <v>3.01498115667576</v>
      </c>
      <c r="BM41" s="31" t="n">
        <f aca="false">IF(Debt!BM68&gt;Inputs!$F$9,BM7/Debt!BM68,0)</f>
        <v>3.01466783274327</v>
      </c>
      <c r="BN41" s="31" t="n">
        <f aca="false">IF(Debt!BN68&gt;Inputs!$F$9,BN7/Debt!BN68,0)</f>
        <v>3.02413380345471</v>
      </c>
      <c r="BO41" s="31" t="n">
        <f aca="false">IF(Debt!BO68&gt;Inputs!$F$9,BO7/Debt!BO68,0)</f>
        <v>3.09328483001081</v>
      </c>
      <c r="BP41" s="31" t="n">
        <f aca="false">IF(Debt!BP68&gt;Inputs!$F$9,BP7/Debt!BP68,0)</f>
        <v>3.10381849090535</v>
      </c>
      <c r="BQ41" s="31" t="n">
        <f aca="false">IF(Debt!BQ68&gt;Inputs!$F$9,BQ7/Debt!BQ68,0)</f>
        <v>2.65854240765004</v>
      </c>
      <c r="BR41" s="31" t="n">
        <f aca="false">IF(Debt!BR68&gt;Inputs!$F$9,BR7/Debt!BR68,0)</f>
        <v>2.41985691964738</v>
      </c>
      <c r="BS41" s="31" t="n">
        <f aca="false">IF(Debt!BS68&gt;Inputs!$F$9,BS7/Debt!BS68,0)</f>
        <v>2.40254509839264</v>
      </c>
      <c r="BT41" s="31" t="n">
        <f aca="false">IF(Debt!BT68&gt;Inputs!$F$9,BT7/Debt!BT68,0)</f>
        <v>2.40108068655744</v>
      </c>
      <c r="BU41" s="31" t="n">
        <f aca="false">IF(Debt!BU68&gt;Inputs!$F$9,BU7/Debt!BU68,0)</f>
        <v>3.04505366669444</v>
      </c>
      <c r="BV41" s="31" t="n">
        <f aca="false">IF(Debt!BV68&gt;Inputs!$F$9,BV7/Debt!BV68,0)</f>
        <v>2.48582065427596</v>
      </c>
      <c r="BW41" s="31" t="n">
        <f aca="false">IF(Debt!BW68&gt;Inputs!$F$9,BW7/Debt!BW68,0)</f>
        <v>2.4046049509282</v>
      </c>
      <c r="BX41" s="31" t="n">
        <f aca="false">IF(Debt!BX68&gt;Inputs!$F$9,BX7/Debt!BX68,0)</f>
        <v>2.40143213972025</v>
      </c>
      <c r="BY41" s="31" t="n">
        <f aca="false">IF(Debt!BY68&gt;Inputs!$F$9,BY7/Debt!BY68,0)</f>
        <v>2.38511791341435</v>
      </c>
      <c r="BZ41" s="31" t="n">
        <f aca="false">IF(Debt!BZ68&gt;Inputs!$F$9,BZ7/Debt!BZ68,0)</f>
        <v>2.3818095421183</v>
      </c>
      <c r="CA41" s="31" t="n">
        <f aca="false">IF(Debt!CA68&gt;Inputs!$F$9,CA7/Debt!CA68,0)</f>
        <v>2.33898731237683</v>
      </c>
      <c r="CB41" s="31" t="n">
        <f aca="false">IF(Debt!CB68&gt;Inputs!$F$9,CB7/Debt!CB68,0)</f>
        <v>2.33569857351425</v>
      </c>
      <c r="CC41" s="31" t="n">
        <f aca="false">IF(Debt!CC68&gt;Inputs!$F$9,CC7/Debt!CC68,0)</f>
        <v>2.32084797823802</v>
      </c>
      <c r="CD41" s="31" t="n">
        <f aca="false">IF(Debt!CD68&gt;Inputs!$F$9,CD7/Debt!CD68,0)</f>
        <v>2.31720538990083</v>
      </c>
      <c r="CE41" s="31" t="n">
        <f aca="false">IF(Debt!CE68&gt;Inputs!$F$9,CE7/Debt!CE68,0)</f>
        <v>2.28767351680273</v>
      </c>
      <c r="CF41" s="31" t="n">
        <f aca="false">IF(Debt!CF68&gt;Inputs!$F$9,CF7/Debt!CF68,0)</f>
        <v>2.59590917361104</v>
      </c>
      <c r="CG41" s="31" t="n">
        <f aca="false">IF(Debt!CG68&gt;Inputs!$F$9,CG7/Debt!CG68,0)</f>
        <v>3.02121621359908</v>
      </c>
      <c r="CH41" s="31" t="n">
        <f aca="false">IF(Debt!CH68&gt;Inputs!$F$9,CH7/Debt!CH68,0)</f>
        <v>0</v>
      </c>
      <c r="CI41" s="31" t="n">
        <f aca="false">IF(Debt!CI68&gt;Inputs!$F$9,CI7/Debt!CI68,0)</f>
        <v>0</v>
      </c>
      <c r="CJ41" s="31" t="n">
        <f aca="false">IF(Debt!CJ68&gt;Inputs!$F$9,CJ7/Debt!CJ68,0)</f>
        <v>0</v>
      </c>
      <c r="CK41" s="31" t="n">
        <f aca="false">IF(Debt!CK68&gt;Inputs!$F$9,CK7/Debt!CK68,0)</f>
        <v>0</v>
      </c>
      <c r="CL41" s="31" t="n">
        <f aca="false">IF(Debt!CL68&gt;Inputs!$F$9,CL7/Debt!CL68,0)</f>
        <v>0</v>
      </c>
      <c r="CM41" s="31" t="n">
        <f aca="false">IF(Debt!CM68&gt;Inputs!$F$9,CM7/Debt!CM68,0)</f>
        <v>0</v>
      </c>
      <c r="CN41" s="31" t="n">
        <f aca="false">IF(Debt!CN68&gt;Inputs!$F$9,CN7/Debt!CN68,0)</f>
        <v>0</v>
      </c>
      <c r="CO41" s="31" t="n">
        <f aca="false">IF(Debt!CO68&gt;Inputs!$F$9,CO7/Debt!CO68,0)</f>
        <v>0</v>
      </c>
      <c r="CP41" s="31" t="n">
        <f aca="false">IF(Debt!CP68&gt;Inputs!$F$9,CP7/Debt!CP68,0)</f>
        <v>0</v>
      </c>
      <c r="CQ41" s="31" t="n">
        <f aca="false">IF(Debt!CQ68&gt;Inputs!$F$9,CQ7/Debt!CQ68,0)</f>
        <v>0</v>
      </c>
      <c r="CR41" s="31" t="n">
        <f aca="false">IF(Debt!CR68&gt;Inputs!$F$9,CR7/Debt!CR68,0)</f>
        <v>0</v>
      </c>
      <c r="CS41" s="31" t="n">
        <f aca="false">IF(Debt!CS68&gt;Inputs!$F$9,CS7/Debt!CS68,0)</f>
        <v>0</v>
      </c>
      <c r="CT41" s="31" t="n">
        <f aca="false">IF(Debt!CT68&gt;Inputs!$F$9,CT7/Debt!CT68,0)</f>
        <v>0</v>
      </c>
      <c r="CU41" s="31" t="n">
        <f aca="false">IF(Debt!CU68&gt;Inputs!$F$9,CU7/Debt!CU68,0)</f>
        <v>0</v>
      </c>
      <c r="CV41" s="31" t="n">
        <f aca="false">IF(Debt!CV68&gt;Inputs!$F$9,CV7/Debt!CV68,0)</f>
        <v>0</v>
      </c>
      <c r="CW41" s="31" t="n">
        <f aca="false">IF(Debt!CW68&gt;Inputs!$F$9,CW7/Debt!CW68,0)</f>
        <v>0</v>
      </c>
      <c r="CX41" s="31" t="n">
        <f aca="false">IF(Debt!CX68&gt;Inputs!$F$9,CX7/Debt!CX68,0)</f>
        <v>0</v>
      </c>
      <c r="CY41" s="31" t="n">
        <f aca="false">IF(Debt!CY68&gt;Inputs!$F$9,CY7/Debt!CY68,0)</f>
        <v>0</v>
      </c>
      <c r="CZ41" s="31" t="n">
        <f aca="false">IF(Debt!CZ68&gt;Inputs!$F$9,CZ7/Debt!CZ68,0)</f>
        <v>0</v>
      </c>
      <c r="DA41" s="31" t="n">
        <f aca="false">IF(Debt!DA68&gt;Inputs!$F$9,DA7/Debt!DA68,0)</f>
        <v>0</v>
      </c>
      <c r="DB41" s="31" t="n">
        <f aca="false">IF(Debt!DB68&gt;Inputs!$F$9,DB7/Debt!DB68,0)</f>
        <v>0</v>
      </c>
    </row>
    <row r="42" customFormat="false" ht="15" hidden="false" customHeight="false" outlineLevel="0" collapsed="false">
      <c r="D42" s="0" t="s">
        <v>629</v>
      </c>
      <c r="E42" s="0" t="s">
        <v>44</v>
      </c>
      <c r="J42" s="19" t="n">
        <f aca="false">IF(OR(Time!J36=1,Time!I44=0),J7,J7+I7)</f>
        <v>0</v>
      </c>
      <c r="K42" s="19" t="n">
        <f aca="false">IF(OR(Time!K36=1,Time!J44=0),K7,K7+J7)</f>
        <v>0</v>
      </c>
      <c r="L42" s="19" t="n">
        <f aca="false">IF(OR(Time!L36=1,Time!K44=0),L7,L7+K7)</f>
        <v>0</v>
      </c>
      <c r="M42" s="19" t="n">
        <f aca="false">IF(OR(Time!M36=1,Time!L44=0),M7,M7+L7)</f>
        <v>0</v>
      </c>
      <c r="N42" s="19" t="n">
        <f aca="false">IF(OR(Time!N36=1,Time!M44=0),N7,N7+M7)</f>
        <v>0</v>
      </c>
      <c r="O42" s="19" t="n">
        <f aca="false">IF(OR(Time!O36=1,Time!N44=0),O7,O7+N7)</f>
        <v>0</v>
      </c>
      <c r="P42" s="19" t="n">
        <f aca="false">IF(OR(Time!P36=1,Time!O44=0),P7,P7+O7)</f>
        <v>0</v>
      </c>
      <c r="Q42" s="19" t="n">
        <f aca="false">IF(OR(Time!Q36=1,Time!P44=0),Q7,Q7+P7)</f>
        <v>0</v>
      </c>
      <c r="R42" s="19" t="n">
        <f aca="false">IF(OR(Time!R36=1,Time!Q44=0),R7,R7+Q7)</f>
        <v>0</v>
      </c>
      <c r="S42" s="19" t="n">
        <f aca="false">IF(OR(Time!S36=1,Time!R44=0),S7,S7+R7)</f>
        <v>0</v>
      </c>
      <c r="T42" s="19" t="n">
        <f aca="false">IF(OR(Time!T36=1,Time!S44=0),T7,T7+S7)</f>
        <v>0</v>
      </c>
      <c r="U42" s="19" t="n">
        <f aca="false">IF(OR(Time!U36=1,Time!T44=0),U7,U7+T7)</f>
        <v>0</v>
      </c>
      <c r="V42" s="19" t="n">
        <f aca="false">IF(OR(Time!V36=1,Time!U44=0),V7,V7+U7)</f>
        <v>0</v>
      </c>
      <c r="W42" s="19" t="n">
        <f aca="false">IF(OR(Time!W36=1,Time!V44=0),W7,W7+V7)</f>
        <v>0</v>
      </c>
      <c r="X42" s="19" t="n">
        <f aca="false">IF(OR(Time!X36=1,Time!W44=0),X7,X7+W7)</f>
        <v>0</v>
      </c>
      <c r="Y42" s="19" t="n">
        <f aca="false">IF(OR(Time!Y36=1,Time!X44=0),Y7,Y7+X7)</f>
        <v>0</v>
      </c>
      <c r="Z42" s="19" t="n">
        <f aca="false">IF(OR(Time!Z36=1,Time!Y44=0),Z7,Z7+Y7)</f>
        <v>13.3688633669775</v>
      </c>
      <c r="AA42" s="19" t="n">
        <f aca="false">IF(OR(Time!AA36=1,Time!Z44=0),AA7,AA7+Z7)</f>
        <v>30.0078043201198</v>
      </c>
      <c r="AB42" s="19" t="n">
        <f aca="false">IF(OR(Time!AB36=1,Time!AA44=0),AB7,AB7+AA7)</f>
        <v>65.7145717803104</v>
      </c>
      <c r="AC42" s="19" t="n">
        <f aca="false">IF(OR(Time!AC36=1,Time!AB44=0),AC7,AC7+AB7)</f>
        <v>73.3504233246545</v>
      </c>
      <c r="AD42" s="19" t="n">
        <f aca="false">IF(OR(Time!AD36=1,Time!AC44=0),AD7,AD7+AC7)</f>
        <v>79.1441881592097</v>
      </c>
      <c r="AE42" s="19" t="n">
        <f aca="false">IF(OR(Time!AE36=1,Time!AD44=0),AE7,AE7+AD7)</f>
        <v>85.258096366769</v>
      </c>
      <c r="AF42" s="19" t="n">
        <f aca="false">IF(OR(Time!AF36=1,Time!AE44=0),AF7,AF7+AE7)</f>
        <v>90.5675443270082</v>
      </c>
      <c r="AG42" s="19" t="n">
        <f aca="false">IF(OR(Time!AG36=1,Time!AF44=0),AG7,AG7+AF7)</f>
        <v>96.0356889951472</v>
      </c>
      <c r="AH42" s="19" t="n">
        <f aca="false">IF(OR(Time!AH36=1,Time!AG44=0),AH7,AH7+AG7)</f>
        <v>99.410270405547</v>
      </c>
      <c r="AI42" s="19" t="n">
        <f aca="false">IF(OR(Time!AI36=1,Time!AH44=0),AI7,AI7+AH7)</f>
        <v>99.546513574839</v>
      </c>
      <c r="AJ42" s="19" t="n">
        <f aca="false">IF(OR(Time!AJ36=1,Time!AI44=0),AJ7,AJ7+AI7)</f>
        <v>100.038075271135</v>
      </c>
      <c r="AK42" s="19" t="n">
        <f aca="false">IF(OR(Time!AK36=1,Time!AJ44=0),AK7,AK7+AJ7)</f>
        <v>103.627070457802</v>
      </c>
      <c r="AL42" s="19" t="n">
        <f aca="false">IF(OR(Time!AL36=1,Time!AK44=0),AL7,AL7+AK7)</f>
        <v>106.984423058527</v>
      </c>
      <c r="AM42" s="19" t="n">
        <f aca="false">IF(OR(Time!AM36=1,Time!AL44=0),AM7,AM7+AL7)</f>
        <v>110.794785719358</v>
      </c>
      <c r="AN42" s="19" t="n">
        <f aca="false">IF(OR(Time!AN36=1,Time!AM44=0),AN7,AN7+AM7)</f>
        <v>114.67139891444</v>
      </c>
      <c r="AO42" s="19" t="n">
        <f aca="false">IF(OR(Time!AO36=1,Time!AN44=0),AO7,AO7+AN7)</f>
        <v>121.927293290084</v>
      </c>
      <c r="AP42" s="19" t="n">
        <f aca="false">IF(OR(Time!AP36=1,Time!AO44=0),AP7,AP7+AO7)</f>
        <v>129.253244550512</v>
      </c>
      <c r="AQ42" s="19" t="n">
        <f aca="false">IF(OR(Time!AQ36=1,Time!AP44=0),AQ7,AQ7+AP7)</f>
        <v>123.25508521475</v>
      </c>
      <c r="AR42" s="19" t="n">
        <f aca="false">IF(OR(Time!AR36=1,Time!AQ44=0),AR7,AR7+AQ7)</f>
        <v>117.716269937138</v>
      </c>
      <c r="AS42" s="19" t="n">
        <f aca="false">IF(OR(Time!AS36=1,Time!AR44=0),AS7,AS7+AR7)</f>
        <v>122.295225930215</v>
      </c>
      <c r="AT42" s="19" t="n">
        <f aca="false">IF(OR(Time!AT36=1,Time!AS44=0),AT7,AT7+AS7)</f>
        <v>126.57062053135</v>
      </c>
      <c r="AU42" s="19" t="n">
        <f aca="false">IF(OR(Time!AU36=1,Time!AT44=0),AU7,AU7+AT7)</f>
        <v>131.425573065259</v>
      </c>
      <c r="AV42" s="19" t="n">
        <f aca="false">IF(OR(Time!AV36=1,Time!AU44=0),AV7,AV7+AU7)</f>
        <v>136.363980728532</v>
      </c>
      <c r="AW42" s="19" t="n">
        <f aca="false">IF(OR(Time!AW36=1,Time!AV44=0),AW7,AW7+AV7)</f>
        <v>143.497591070859</v>
      </c>
      <c r="AX42" s="19" t="n">
        <f aca="false">IF(OR(Time!AX36=1,Time!AW44=0),AX7,AX7+AW7)</f>
        <v>149.737874914106</v>
      </c>
      <c r="AY42" s="19" t="n">
        <f aca="false">IF(OR(Time!AY36=1,Time!AX44=0),AY7,AY7+AX7)</f>
        <v>150.209119924675</v>
      </c>
      <c r="AZ42" s="19" t="n">
        <f aca="false">IF(OR(Time!AZ36=1,Time!AY44=0),AZ7,AZ7+AY7)</f>
        <v>151.197286603444</v>
      </c>
      <c r="BA42" s="19" t="n">
        <f aca="false">IF(OR(Time!BA36=1,Time!AZ44=0),BA7,BA7+AZ7)</f>
        <v>155.791523712028</v>
      </c>
      <c r="BB42" s="19" t="n">
        <f aca="false">IF(OR(Time!BB36=1,Time!BA44=0),BB7,BB7+BA7)</f>
        <v>159.928830247951</v>
      </c>
      <c r="BC42" s="19" t="n">
        <f aca="false">IF(OR(Time!BC36=1,Time!BB44=0),BC7,BC7+BB7)</f>
        <v>173.02658041306</v>
      </c>
      <c r="BD42" s="19" t="n">
        <f aca="false">IF(OR(Time!BD36=1,Time!BC44=0),BD7,BD7+BC7)</f>
        <v>186.154644475187</v>
      </c>
      <c r="BE42" s="19" t="n">
        <f aca="false">IF(OR(Time!BE36=1,Time!BD44=0),BE7,BE7+BD7)</f>
        <v>195.140535940313</v>
      </c>
      <c r="BF42" s="19" t="n">
        <f aca="false">IF(OR(Time!BF36=1,Time!BE44=0),BF7,BF7+BE7)</f>
        <v>204.161575318664</v>
      </c>
      <c r="BG42" s="19" t="n">
        <f aca="false">IF(OR(Time!BG36=1,Time!BF44=0),BG7,BG7+BF7)</f>
        <v>209.464526592038</v>
      </c>
      <c r="BH42" s="19" t="n">
        <f aca="false">IF(OR(Time!BH36=1,Time!BG44=0),BH7,BH7+BG7)</f>
        <v>215.396825323631</v>
      </c>
      <c r="BI42" s="19" t="n">
        <f aca="false">IF(OR(Time!BI36=1,Time!BH44=0),BI7,BI7+BH7)</f>
        <v>220.985308397572</v>
      </c>
      <c r="BJ42" s="19" t="n">
        <f aca="false">IF(OR(Time!BJ36=1,Time!BI44=0),BJ7,BJ7+BI7)</f>
        <v>226.016040125684</v>
      </c>
      <c r="BK42" s="19" t="n">
        <f aca="false">IF(OR(Time!BK36=1,Time!BJ44=0),BK7,BK7+BJ7)</f>
        <v>231.906139009834</v>
      </c>
      <c r="BL42" s="19" t="n">
        <f aca="false">IF(OR(Time!BL36=1,Time!BK44=0),BL7,BL7+BK7)</f>
        <v>237.836448071257</v>
      </c>
      <c r="BM42" s="19" t="n">
        <f aca="false">IF(OR(Time!BM36=1,Time!BL44=0),BM7,BM7+BL7)</f>
        <v>243.993267978946</v>
      </c>
      <c r="BN42" s="19" t="n">
        <f aca="false">IF(OR(Time!BN36=1,Time!BM44=0),BN7,BN7+BM7)</f>
        <v>250.188345678015</v>
      </c>
      <c r="BO42" s="19" t="n">
        <f aca="false">IF(OR(Time!BO36=1,Time!BN44=0),BO7,BO7+BN7)</f>
        <v>238.066343495268</v>
      </c>
      <c r="BP42" s="19" t="n">
        <f aca="false">IF(OR(Time!BP36=1,Time!BO44=0),BP7,BP7+BO7)</f>
        <v>226.718574437041</v>
      </c>
      <c r="BQ42" s="19" t="n">
        <f aca="false">IF(OR(Time!BQ36=1,Time!BP44=0),BQ7,BQ7+BP7)</f>
        <v>216.518051213941</v>
      </c>
      <c r="BR42" s="19" t="n">
        <f aca="false">IF(OR(Time!BR36=1,Time!BQ44=0),BR7,BR7+BQ7)</f>
        <v>194.747392817892</v>
      </c>
      <c r="BS42" s="19" t="n">
        <f aca="false">IF(OR(Time!BS36=1,Time!BR44=0),BS7,BS7+BR7)</f>
        <v>188.918931649306</v>
      </c>
      <c r="BT42" s="19" t="n">
        <f aca="false">IF(OR(Time!BT36=1,Time!BS44=0),BT7,BT7+BS7)</f>
        <v>192.200958056426</v>
      </c>
      <c r="BU42" s="19" t="n">
        <f aca="false">IF(OR(Time!BU36=1,Time!BT44=0),BU7,BU7+BT7)</f>
        <v>244.577335043618</v>
      </c>
      <c r="BV42" s="19" t="n">
        <f aca="false">IF(OR(Time!BV36=1,Time!BU44=0),BV7,BV7+BU7)</f>
        <v>269.61117660683</v>
      </c>
      <c r="BW42" s="19" t="n">
        <f aca="false">IF(OR(Time!BW36=1,Time!BV44=0),BW7,BW7+BV7)</f>
        <v>242.625277266362</v>
      </c>
      <c r="BX42" s="19" t="n">
        <f aca="false">IF(OR(Time!BX36=1,Time!BW44=0),BX7,BX7+BW7)</f>
        <v>243.493134421438</v>
      </c>
      <c r="BY42" s="19" t="n">
        <f aca="false">IF(OR(Time!BY36=1,Time!BX44=0),BY7,BY7+BX7)</f>
        <v>246.955361704662</v>
      </c>
      <c r="BZ42" s="19" t="n">
        <f aca="false">IF(OR(Time!BZ36=1,Time!BY44=0),BZ7,BZ7+BY7)</f>
        <v>249.714469937489</v>
      </c>
      <c r="CA42" s="19" t="n">
        <f aca="false">IF(OR(Time!CA36=1,Time!BZ44=0),CA7,CA7+BZ7)</f>
        <v>241.259426771406</v>
      </c>
      <c r="CB42" s="19" t="n">
        <f aca="false">IF(OR(Time!CB36=1,Time!CA44=0),CB7,CB7+CA7)</f>
        <v>232.801274835595</v>
      </c>
      <c r="CC42" s="19" t="n">
        <f aca="false">IF(OR(Time!CC36=1,Time!CB44=0),CC7,CC7+CB7)</f>
        <v>236.53459479361</v>
      </c>
      <c r="CD42" s="19" t="n">
        <f aca="false">IF(OR(Time!CD36=1,Time!CC44=0),CD7,CD7+CC7)</f>
        <v>240.219670273869</v>
      </c>
      <c r="CE42" s="19" t="n">
        <f aca="false">IF(OR(Time!CE36=1,Time!CD44=0),CE7,CE7+CD7)</f>
        <v>238.231405934504</v>
      </c>
      <c r="CF42" s="19" t="n">
        <f aca="false">IF(OR(Time!CF36=1,Time!CE44=0),CF7,CF7+CE7)</f>
        <v>236.95975503379</v>
      </c>
      <c r="CG42" s="19" t="n">
        <f aca="false">IF(OR(Time!CG36=1,Time!CF44=0),CG7,CG7+CF7)</f>
        <v>264.983068143742</v>
      </c>
      <c r="CH42" s="19" t="n">
        <f aca="false">IF(OR(Time!CH36=1,Time!CG44=0),CH7,CH7+CG7)</f>
        <v>270.402949121592</v>
      </c>
      <c r="CI42" s="19" t="n">
        <f aca="false">IF(OR(Time!CI36=1,Time!CH44=0),CI7,CI7+CH7)</f>
        <v>253.06224519399</v>
      </c>
      <c r="CJ42" s="19" t="n">
        <f aca="false">IF(OR(Time!CJ36=1,Time!CI44=0),CJ7,CJ7+CI7)</f>
        <v>257.654507362967</v>
      </c>
      <c r="CK42" s="19" t="n">
        <f aca="false">IF(OR(Time!CK36=1,Time!CJ44=0),CK7,CK7+CJ7)</f>
        <v>278.721071535299</v>
      </c>
      <c r="CL42" s="19" t="n">
        <f aca="false">IF(OR(Time!CL36=1,Time!CK44=0),CL7,CL7+CK7)</f>
        <v>289.273088134413</v>
      </c>
      <c r="CM42" s="19" t="n">
        <f aca="false">IF(OR(Time!CM36=1,Time!CL44=0),CM7,CM7+CL7)</f>
        <v>283.775732168261</v>
      </c>
      <c r="CN42" s="19" t="n">
        <f aca="false">IF(OR(Time!CN36=1,Time!CM44=0),CN7,CN7+CM7)</f>
        <v>289.58207782579</v>
      </c>
      <c r="CO42" s="19" t="n">
        <f aca="false">IF(OR(Time!CO36=1,Time!CN44=0),CO7,CO7+CN7)</f>
        <v>294.738749877684</v>
      </c>
      <c r="CP42" s="19" t="n">
        <f aca="false">IF(OR(Time!CP36=1,Time!CO44=0),CP7,CP7+CO7)</f>
        <v>311.93492137289</v>
      </c>
      <c r="CQ42" s="19" t="n">
        <f aca="false">IF(OR(Time!CQ36=1,Time!CP44=0),CQ7,CQ7+CP7)</f>
        <v>161.860660569695</v>
      </c>
      <c r="CR42" s="19" t="n">
        <f aca="false">IF(OR(Time!CR36=1,Time!CQ44=0),CR7,CR7+CQ7)</f>
        <v>0</v>
      </c>
      <c r="CS42" s="19" t="n">
        <f aca="false">IF(OR(Time!CS36=1,Time!CR44=0),CS7,CS7+CR7)</f>
        <v>0</v>
      </c>
      <c r="CT42" s="19" t="n">
        <f aca="false">IF(OR(Time!CT36=1,Time!CS44=0),CT7,CT7+CS7)</f>
        <v>0</v>
      </c>
      <c r="CU42" s="19" t="n">
        <f aca="false">IF(OR(Time!CU36=1,Time!CT44=0),CU7,CU7+CT7)</f>
        <v>0</v>
      </c>
      <c r="CV42" s="19" t="n">
        <f aca="false">IF(OR(Time!CV36=1,Time!CU44=0),CV7,CV7+CU7)</f>
        <v>0</v>
      </c>
      <c r="CW42" s="19" t="n">
        <f aca="false">IF(OR(Time!CW36=1,Time!CV44=0),CW7,CW7+CV7)</f>
        <v>0</v>
      </c>
      <c r="CX42" s="19" t="n">
        <f aca="false">IF(OR(Time!CX36=1,Time!CW44=0),CX7,CX7+CW7)</f>
        <v>0</v>
      </c>
      <c r="CY42" s="19" t="n">
        <f aca="false">IF(OR(Time!CY36=1,Time!CX44=0),CY7,CY7+CX7)</f>
        <v>0</v>
      </c>
      <c r="CZ42" s="19" t="n">
        <f aca="false">IF(OR(Time!CZ36=1,Time!CY44=0),CZ7,CZ7+CY7)</f>
        <v>0</v>
      </c>
      <c r="DA42" s="19" t="n">
        <f aca="false">IF(OR(Time!DA36=1,Time!CZ44=0),DA7,DA7+CZ7)</f>
        <v>0</v>
      </c>
      <c r="DB42" s="19" t="n">
        <f aca="false">IF(OR(Time!DB36=1,Time!DA44=0),DB7,DB7+DA7)</f>
        <v>0</v>
      </c>
    </row>
    <row r="43" customFormat="false" ht="15" hidden="false" customHeight="false" outlineLevel="0" collapsed="false">
      <c r="D43" s="0" t="s">
        <v>630</v>
      </c>
      <c r="E43" s="0" t="s">
        <v>44</v>
      </c>
      <c r="J43" s="19" t="n">
        <f aca="false">IF(OR(Time!J36=1,Time!I44=0),Debt!J68,Debt!J68+Debt!I68)</f>
        <v>0</v>
      </c>
      <c r="K43" s="19" t="n">
        <f aca="false">IF(OR(Time!K36=1,Time!J44=0),Debt!K68,Debt!K68+Debt!J68)</f>
        <v>0</v>
      </c>
      <c r="L43" s="19" t="n">
        <f aca="false">IF(OR(Time!L36=1,Time!K44=0),Debt!L68,Debt!L68+Debt!K68)</f>
        <v>0</v>
      </c>
      <c r="M43" s="19" t="n">
        <f aca="false">IF(OR(Time!M36=1,Time!L44=0),Debt!M68,Debt!M68+Debt!L68)</f>
        <v>0</v>
      </c>
      <c r="N43" s="19" t="n">
        <f aca="false">IF(OR(Time!N36=1,Time!M44=0),Debt!N68,Debt!N68+Debt!M68)</f>
        <v>0</v>
      </c>
      <c r="O43" s="19" t="n">
        <f aca="false">IF(OR(Time!O36=1,Time!N44=0),Debt!O68,Debt!O68+Debt!N68)</f>
        <v>0</v>
      </c>
      <c r="P43" s="19" t="n">
        <f aca="false">IF(OR(Time!P36=1,Time!O44=0),Debt!P68,Debt!P68+Debt!O68)</f>
        <v>0</v>
      </c>
      <c r="Q43" s="19" t="n">
        <f aca="false">IF(OR(Time!Q36=1,Time!P44=0),Debt!Q68,Debt!Q68+Debt!P68)</f>
        <v>0</v>
      </c>
      <c r="R43" s="19" t="n">
        <f aca="false">IF(OR(Time!R36=1,Time!Q44=0),Debt!R68,Debt!R68+Debt!Q68)</f>
        <v>0</v>
      </c>
      <c r="S43" s="19" t="n">
        <f aca="false">IF(OR(Time!S36=1,Time!R44=0),Debt!S68,Debt!S68+Debt!R68)</f>
        <v>0</v>
      </c>
      <c r="T43" s="19" t="n">
        <f aca="false">IF(OR(Time!T36=1,Time!S44=0),Debt!T68,Debt!T68+Debt!S68)</f>
        <v>0</v>
      </c>
      <c r="U43" s="19" t="n">
        <f aca="false">IF(OR(Time!U36=1,Time!T44=0),Debt!U68,Debt!U68+Debt!T68)</f>
        <v>0</v>
      </c>
      <c r="V43" s="19" t="n">
        <f aca="false">IF(OR(Time!V36=1,Time!U44=0),Debt!V68,Debt!V68+Debt!U68)</f>
        <v>0</v>
      </c>
      <c r="W43" s="19" t="n">
        <f aca="false">IF(OR(Time!W36=1,Time!V44=0),Debt!W68,Debt!W68+Debt!V68)</f>
        <v>0</v>
      </c>
      <c r="X43" s="19" t="n">
        <f aca="false">IF(OR(Time!X36=1,Time!W44=0),Debt!X68,Debt!X68+Debt!W68)</f>
        <v>0</v>
      </c>
      <c r="Y43" s="19" t="n">
        <f aca="false">IF(OR(Time!Y36=1,Time!X44=0),Debt!Y68,Debt!Y68+Debt!X68)</f>
        <v>0</v>
      </c>
      <c r="Z43" s="19" t="n">
        <f aca="false">IF(OR(Time!Z36=1,Time!Y44=0),Debt!Z68,Debt!Z68+Debt!Y68)</f>
        <v>6.9438210736435</v>
      </c>
      <c r="AA43" s="19" t="n">
        <f aca="false">IF(OR(Time!AA36=1,Time!Z44=0),Debt!AA68,Debt!AA68+Debt!Z68)</f>
        <v>15.366639768263</v>
      </c>
      <c r="AB43" s="19" t="n">
        <f aca="false">IF(OR(Time!AB36=1,Time!AA44=0),Debt!AB68,Debt!AB68+Debt!AA68)</f>
        <v>34.6696762755373</v>
      </c>
      <c r="AC43" s="19" t="n">
        <f aca="false">IF(OR(Time!AC36=1,Time!AB44=0),Debt!AC68,Debt!AC68+Debt!AB68)</f>
        <v>39.8776297431843</v>
      </c>
      <c r="AD43" s="19" t="n">
        <f aca="false">IF(OR(Time!AD36=1,Time!AC44=0),Debt!AD68,Debt!AD68+Debt!AC68)</f>
        <v>44.308359811092</v>
      </c>
      <c r="AE43" s="19" t="n">
        <f aca="false">IF(OR(Time!AE36=1,Time!AD44=0),Debt!AE68,Debt!AE68+Debt!AD68)</f>
        <v>47.6659036826175</v>
      </c>
      <c r="AF43" s="19" t="n">
        <f aca="false">IF(OR(Time!AF36=1,Time!AE44=0),Debt!AF68,Debt!AF68+Debt!AE68)</f>
        <v>47.5364843112458</v>
      </c>
      <c r="AG43" s="19" t="n">
        <f aca="false">IF(OR(Time!AG36=1,Time!AF44=0),Debt!AG68,Debt!AG68+Debt!AF68)</f>
        <v>46.8360971249993</v>
      </c>
      <c r="AH43" s="19" t="n">
        <f aca="false">IF(OR(Time!AH36=1,Time!AG44=0),Debt!AH68,Debt!AH68+Debt!AG68)</f>
        <v>46.276548666422</v>
      </c>
      <c r="AI43" s="19" t="n">
        <f aca="false">IF(OR(Time!AI36=1,Time!AH44=0),Debt!AI68,Debt!AI68+Debt!AH68)</f>
        <v>46.276548666422</v>
      </c>
      <c r="AJ43" s="19" t="n">
        <f aca="false">IF(OR(Time!AJ36=1,Time!AI44=0),Debt!AJ68,Debt!AJ68+Debt!AI68)</f>
        <v>46.338865725074</v>
      </c>
      <c r="AK43" s="19" t="n">
        <f aca="false">IF(OR(Time!AK36=1,Time!AJ44=0),Debt!AK68,Debt!AK68+Debt!AJ68)</f>
        <v>46.338865725074</v>
      </c>
      <c r="AL43" s="19" t="n">
        <f aca="false">IF(OR(Time!AL36=1,Time!AK44=0),Debt!AL68,Debt!AL68+Debt!AK68)</f>
        <v>46.276548666422</v>
      </c>
      <c r="AM43" s="19" t="n">
        <f aca="false">IF(OR(Time!AM36=1,Time!AL44=0),Debt!AM68,Debt!AM68+Debt!AL68)</f>
        <v>46.276548666422</v>
      </c>
      <c r="AN43" s="19" t="n">
        <f aca="false">IF(OR(Time!AN36=1,Time!AM44=0),Debt!AN68,Debt!AN68+Debt!AM68)</f>
        <v>46.276548666422</v>
      </c>
      <c r="AO43" s="19" t="n">
        <f aca="false">IF(OR(Time!AO36=1,Time!AN44=0),Debt!AO68,Debt!AO68+Debt!AN68)</f>
        <v>46.276548666422</v>
      </c>
      <c r="AP43" s="19" t="n">
        <f aca="false">IF(OR(Time!AP36=1,Time!AO44=0),Debt!AP68,Debt!AP68+Debt!AO68)</f>
        <v>46.276548666422</v>
      </c>
      <c r="AQ43" s="19" t="n">
        <f aca="false">IF(OR(Time!AQ36=1,Time!AP44=0),Debt!AQ68,Debt!AQ68+Debt!AP68)</f>
        <v>46.276548666422</v>
      </c>
      <c r="AR43" s="19" t="n">
        <f aca="false">IF(OR(Time!AR36=1,Time!AQ44=0),Debt!AR68,Debt!AR68+Debt!AQ68)</f>
        <v>46.338865725074</v>
      </c>
      <c r="AS43" s="19" t="n">
        <f aca="false">IF(OR(Time!AS36=1,Time!AR44=0),Debt!AS68,Debt!AS68+Debt!AR68)</f>
        <v>46.338865725074</v>
      </c>
      <c r="AT43" s="19" t="n">
        <f aca="false">IF(OR(Time!AT36=1,Time!AS44=0),Debt!AT68,Debt!AT68+Debt!AS68)</f>
        <v>46.276548666422</v>
      </c>
      <c r="AU43" s="19" t="n">
        <f aca="false">IF(OR(Time!AU36=1,Time!AT44=0),Debt!AU68,Debt!AU68+Debt!AT68)</f>
        <v>46.276548666422</v>
      </c>
      <c r="AV43" s="19" t="n">
        <f aca="false">IF(OR(Time!AV36=1,Time!AU44=0),Debt!AV68,Debt!AV68+Debt!AU68)</f>
        <v>46.2850901031196</v>
      </c>
      <c r="AW43" s="19" t="n">
        <f aca="false">IF(OR(Time!AW36=1,Time!AV44=0),Debt!AW68,Debt!AW68+Debt!AV68)</f>
        <v>48.1037306168012</v>
      </c>
      <c r="AX43" s="19" t="n">
        <f aca="false">IF(OR(Time!AX36=1,Time!AW44=0),Debt!AX68,Debt!AX68+Debt!AW68)</f>
        <v>50.2012527254302</v>
      </c>
      <c r="AY43" s="19" t="n">
        <f aca="false">IF(OR(Time!AY36=1,Time!AX44=0),Debt!AY68,Debt!AY68+Debt!AX68)</f>
        <v>50.1255364756027</v>
      </c>
      <c r="AZ43" s="19" t="n">
        <f aca="false">IF(OR(Time!AZ36=1,Time!AY44=0),Debt!AZ68,Debt!AZ68+Debt!AY68)</f>
        <v>50.2194357045742</v>
      </c>
      <c r="BA43" s="19" t="n">
        <f aca="false">IF(OR(Time!BA36=1,Time!AZ44=0),Debt!BA68,Debt!BA68+Debt!AZ68)</f>
        <v>51.6743697939662</v>
      </c>
      <c r="BB43" s="19" t="n">
        <f aca="false">IF(OR(Time!BB36=1,Time!BA44=0),Debt!BB68,Debt!BB68+Debt!BA68)</f>
        <v>52.9700267905084</v>
      </c>
      <c r="BC43" s="19" t="n">
        <f aca="false">IF(OR(Time!BC36=1,Time!BB44=0),Debt!BC68,Debt!BC68+Debt!BB68)</f>
        <v>57.6135007352595</v>
      </c>
      <c r="BD43" s="19" t="n">
        <f aca="false">IF(OR(Time!BD36=1,Time!BC44=0),Debt!BD68,Debt!BD68+Debt!BC68)</f>
        <v>62.262981191228</v>
      </c>
      <c r="BE43" s="19" t="n">
        <f aca="false">IF(OR(Time!BE36=1,Time!BD44=0),Debt!BE68,Debt!BE68+Debt!BD68)</f>
        <v>65.3419276124673</v>
      </c>
      <c r="BF43" s="19" t="n">
        <f aca="false">IF(OR(Time!BF36=1,Time!BE44=0),Debt!BF68,Debt!BF68+Debt!BE68)</f>
        <v>68.4271346941457</v>
      </c>
      <c r="BG43" s="19" t="n">
        <f aca="false">IF(OR(Time!BG36=1,Time!BF44=0),Debt!BG68,Debt!BG68+Debt!BF68)</f>
        <v>70.1027654298861</v>
      </c>
      <c r="BH43" s="19" t="n">
        <f aca="false">IF(OR(Time!BH36=1,Time!BG44=0),Debt!BH68,Debt!BH68+Debt!BG68)</f>
        <v>71.982654890528</v>
      </c>
      <c r="BI43" s="19" t="n">
        <f aca="false">IF(OR(Time!BI36=1,Time!BH44=0),Debt!BI68,Debt!BI68+Debt!BH68)</f>
        <v>73.7415808217694</v>
      </c>
      <c r="BJ43" s="19" t="n">
        <f aca="false">IF(OR(Time!BJ36=1,Time!BI44=0),Debt!BJ68,Debt!BJ68+Debt!BI68)</f>
        <v>75.308410017447</v>
      </c>
      <c r="BK43" s="19" t="n">
        <f aca="false">IF(OR(Time!BK36=1,Time!BJ44=0),Debt!BK68,Debt!BK68+Debt!BJ68)</f>
        <v>77.1550090458561</v>
      </c>
      <c r="BL43" s="19" t="n">
        <f aca="false">IF(OR(Time!BL36=1,Time!BK44=0),Debt!BL68,Debt!BL68+Debt!BK68)</f>
        <v>79.0086314858126</v>
      </c>
      <c r="BM43" s="19" t="n">
        <f aca="false">IF(OR(Time!BM36=1,Time!BL44=0),Debt!BM68,Debt!BM68+Debt!BL68)</f>
        <v>80.9312606165964</v>
      </c>
      <c r="BN43" s="19" t="n">
        <f aca="false">IF(OR(Time!BN36=1,Time!BM44=0),Debt!BN68,Debt!BN68+Debt!BM68)</f>
        <v>82.8600303038115</v>
      </c>
      <c r="BO43" s="19" t="n">
        <f aca="false">IF(OR(Time!BO36=1,Time!BN44=0),Debt!BO68,Debt!BO68+Debt!BN68)</f>
        <v>77.8901445991724</v>
      </c>
      <c r="BP43" s="19" t="n">
        <f aca="false">IF(OR(Time!BP36=1,Time!BO44=0),Debt!BP68,Debt!BP68+Debt!BO68)</f>
        <v>73.1685348633822</v>
      </c>
      <c r="BQ43" s="19" t="n">
        <f aca="false">IF(OR(Time!BQ36=1,Time!BP44=0),Debt!BQ68,Debt!BQ68+Debt!BP68)</f>
        <v>75.2817165586649</v>
      </c>
      <c r="BR43" s="19" t="n">
        <f aca="false">IF(OR(Time!BR36=1,Time!BQ44=0),Debt!BR68,Debt!BR68+Debt!BQ68)</f>
        <v>76.6814816953979</v>
      </c>
      <c r="BS43" s="19" t="n">
        <f aca="false">IF(OR(Time!BS36=1,Time!BR44=0),Debt!BS68,Debt!BS68+Debt!BR68)</f>
        <v>78.3577071547946</v>
      </c>
      <c r="BT43" s="19" t="n">
        <f aca="false">IF(OR(Time!BT36=1,Time!BS44=0),Debt!BT68,Debt!BT68+Debt!BS68)</f>
        <v>80.0231853499168</v>
      </c>
      <c r="BU43" s="19" t="n">
        <f aca="false">IF(OR(Time!BU36=1,Time!BT44=0),Debt!BU68,Debt!BU68+Debt!BT68)</f>
        <v>88.746637537113</v>
      </c>
      <c r="BV43" s="19" t="n">
        <f aca="false">IF(OR(Time!BV36=1,Time!BU44=0),Debt!BV68,Debt!BV68+Debt!BU68)</f>
        <v>97.4589056432577</v>
      </c>
      <c r="BW43" s="19" t="n">
        <f aca="false">IF(OR(Time!BW36=1,Time!BV44=0),Debt!BW68,Debt!BW68+Debt!BV68)</f>
        <v>99.260143747271</v>
      </c>
      <c r="BX43" s="19" t="n">
        <f aca="false">IF(OR(Time!BX36=1,Time!BW44=0),Debt!BX68,Debt!BX68+Debt!BW68)</f>
        <v>101.327982077213</v>
      </c>
      <c r="BY43" s="19" t="n">
        <f aca="false">IF(OR(Time!BY36=1,Time!BX44=0),Debt!BY68,Debt!BY68+Debt!BX68)</f>
        <v>103.193810408539</v>
      </c>
      <c r="BZ43" s="19" t="n">
        <f aca="false">IF(OR(Time!BZ36=1,Time!BY44=0),Debt!BZ68,Debt!BZ68+Debt!BY68)</f>
        <v>104.769318521813</v>
      </c>
      <c r="CA43" s="19" t="n">
        <f aca="false">IF(OR(Time!CA36=1,Time!BZ44=0),Debt!CA68,Debt!CA68+Debt!BZ68)</f>
        <v>102.191216145473</v>
      </c>
      <c r="CB43" s="19" t="n">
        <f aca="false">IF(OR(Time!CB36=1,Time!CA44=0),Debt!CB68,Debt!CB68+Debt!CA68)</f>
        <v>99.6005566872751</v>
      </c>
      <c r="CC43" s="19" t="n">
        <f aca="false">IF(OR(Time!CC36=1,Time!CB44=0),Debt!CC68,Debt!CC68+Debt!CB68)</f>
        <v>101.599853721253</v>
      </c>
      <c r="CD43" s="19" t="n">
        <f aca="false">IF(OR(Time!CD36=1,Time!CC44=0),Debt!CD68,Debt!CD68+Debt!CC68)</f>
        <v>103.586114508691</v>
      </c>
      <c r="CE43" s="19" t="n">
        <f aca="false">IF(OR(Time!CE36=1,Time!CD44=0),Debt!CE68,Debt!CE68+Debt!CD68)</f>
        <v>103.470878653622</v>
      </c>
      <c r="CF43" s="19" t="n">
        <f aca="false">IF(OR(Time!CF36=1,Time!CE44=0),Debt!CF68,Debt!CF68+Debt!CE68)</f>
        <v>97.4411970003254</v>
      </c>
      <c r="CG43" s="19" t="n">
        <f aca="false">IF(OR(Time!CG36=1,Time!CF44=0),Debt!CG68,Debt!CG68+Debt!CF68)</f>
        <v>94.1223759382006</v>
      </c>
      <c r="CH43" s="19" t="n">
        <f aca="false">IF(OR(Time!CH36=1,Time!CG44=0),Debt!CH68,Debt!CH68+Debt!CG68)</f>
        <v>48.5529912796201</v>
      </c>
      <c r="CI43" s="19" t="n">
        <f aca="false">IF(OR(Time!CI36=1,Time!CH44=0),Debt!CI68,Debt!CI68+Debt!CH68)</f>
        <v>1.1068301830619E-013</v>
      </c>
      <c r="CJ43" s="19" t="n">
        <f aca="false">IF(OR(Time!CJ36=1,Time!CI44=0),Debt!CJ68,Debt!CJ68+Debt!CI68)</f>
        <v>1.1068301830619E-013</v>
      </c>
      <c r="CK43" s="19" t="n">
        <f aca="false">IF(OR(Time!CK36=1,Time!CJ44=0),Debt!CK68,Debt!CK68+Debt!CJ68)</f>
        <v>1.1068301830619E-013</v>
      </c>
      <c r="CL43" s="19" t="n">
        <f aca="false">IF(OR(Time!CL36=1,Time!CK44=0),Debt!CL68,Debt!CL68+Debt!CK68)</f>
        <v>1.1068301830619E-013</v>
      </c>
      <c r="CM43" s="19" t="n">
        <f aca="false">IF(OR(Time!CM36=1,Time!CL44=0),Debt!CM68,Debt!CM68+Debt!CL68)</f>
        <v>1.1068301830619E-013</v>
      </c>
      <c r="CN43" s="19" t="n">
        <f aca="false">IF(OR(Time!CN36=1,Time!CM44=0),Debt!CN68,Debt!CN68+Debt!CM68)</f>
        <v>1.10831891609525E-013</v>
      </c>
      <c r="CO43" s="19" t="n">
        <f aca="false">IF(OR(Time!CO36=1,Time!CN44=0),Debt!CO68,Debt!CO68+Debt!CN68)</f>
        <v>1.10831891609525E-013</v>
      </c>
      <c r="CP43" s="19" t="n">
        <f aca="false">IF(OR(Time!CP36=1,Time!CO44=0),Debt!CP68,Debt!CP68+Debt!CO68)</f>
        <v>1.1068301830619E-013</v>
      </c>
      <c r="CQ43" s="19" t="n">
        <f aca="false">IF(OR(Time!CQ36=1,Time!CP44=0),Debt!CQ68,Debt!CQ68+Debt!CP68)</f>
        <v>1.1068301830619E-013</v>
      </c>
      <c r="CR43" s="19" t="n">
        <f aca="false">IF(OR(Time!CR36=1,Time!CQ44=0),Debt!CR68,Debt!CR68+Debt!CQ68)</f>
        <v>5.51181991980927E-014</v>
      </c>
      <c r="CS43" s="19" t="n">
        <f aca="false">IF(OR(Time!CS36=1,Time!CR44=0),Debt!CS68,Debt!CS68+Debt!CR68)</f>
        <v>5.55648191080975E-014</v>
      </c>
      <c r="CT43" s="19" t="n">
        <f aca="false">IF(OR(Time!CT36=1,Time!CS44=0),Debt!CT68,Debt!CT68+Debt!CS68)</f>
        <v>5.51181991980927E-014</v>
      </c>
      <c r="CU43" s="19" t="n">
        <f aca="false">IF(OR(Time!CU36=1,Time!CT44=0),Debt!CU68,Debt!CU68+Debt!CT68)</f>
        <v>5.55648191080975E-014</v>
      </c>
      <c r="CV43" s="19" t="n">
        <f aca="false">IF(OR(Time!CV36=1,Time!CU44=0),Debt!CV68,Debt!CV68+Debt!CU68)</f>
        <v>5.52670725014276E-014</v>
      </c>
      <c r="CW43" s="19" t="n">
        <f aca="false">IF(OR(Time!CW36=1,Time!CV44=0),Debt!CW68,Debt!CW68+Debt!CV68)</f>
        <v>5.55648191080975E-014</v>
      </c>
      <c r="CX43" s="19" t="n">
        <f aca="false">IF(OR(Time!CX36=1,Time!CW44=0),Debt!CX68,Debt!CX68+Debt!CW68)</f>
        <v>5.51181991980927E-014</v>
      </c>
      <c r="CY43" s="19" t="n">
        <f aca="false">IF(OR(Time!CY36=1,Time!CX44=0),Debt!CY68,Debt!CY68+Debt!CX68)</f>
        <v>5.55648191080975E-014</v>
      </c>
      <c r="CZ43" s="19" t="n">
        <f aca="false">IF(OR(Time!CZ36=1,Time!CY44=0),Debt!CZ68,Debt!CZ68+Debt!CY68)</f>
        <v>5.51181991980927E-014</v>
      </c>
      <c r="DA43" s="19" t="n">
        <f aca="false">IF(OR(Time!DA36=1,Time!CZ44=0),Debt!DA68,Debt!DA68+Debt!CZ68)</f>
        <v>5.55648191080975E-014</v>
      </c>
      <c r="DB43" s="19" t="n">
        <f aca="false">IF(OR(Time!DB36=1,Time!DA44=0),Debt!DB68,Debt!DB68+Debt!DA68)</f>
        <v>5.51181991980927E-014</v>
      </c>
    </row>
    <row r="44" customFormat="false" ht="15" hidden="false" customHeight="false" outlineLevel="0" collapsed="false">
      <c r="D44" s="0" t="s">
        <v>631</v>
      </c>
      <c r="E44" s="0" t="s">
        <v>126</v>
      </c>
      <c r="J44" s="31" t="n">
        <f aca="false">IF(AND(Time!J44=1,J43&gt;Inputs!$F$9),J42/J43,0)</f>
        <v>0</v>
      </c>
      <c r="K44" s="31" t="n">
        <f aca="false">IF(AND(Time!K44=1,K43&gt;Inputs!$F$9),K42/K43,0)</f>
        <v>0</v>
      </c>
      <c r="L44" s="31" t="n">
        <f aca="false">IF(AND(Time!L44=1,L43&gt;Inputs!$F$9),L42/L43,0)</f>
        <v>0</v>
      </c>
      <c r="M44" s="31" t="n">
        <f aca="false">IF(AND(Time!M44=1,M43&gt;Inputs!$F$9),M42/M43,0)</f>
        <v>0</v>
      </c>
      <c r="N44" s="31" t="n">
        <f aca="false">IF(AND(Time!N44=1,N43&gt;Inputs!$F$9),N42/N43,0)</f>
        <v>0</v>
      </c>
      <c r="O44" s="31" t="n">
        <f aca="false">IF(AND(Time!O44=1,O43&gt;Inputs!$F$9),O42/O43,0)</f>
        <v>0</v>
      </c>
      <c r="P44" s="31" t="n">
        <f aca="false">IF(AND(Time!P44=1,P43&gt;Inputs!$F$9),P42/P43,0)</f>
        <v>0</v>
      </c>
      <c r="Q44" s="31" t="n">
        <f aca="false">IF(AND(Time!Q44=1,Q43&gt;Inputs!$F$9),Q42/Q43,0)</f>
        <v>0</v>
      </c>
      <c r="R44" s="31" t="n">
        <f aca="false">IF(AND(Time!R44=1,R43&gt;Inputs!$F$9),R42/R43,0)</f>
        <v>0</v>
      </c>
      <c r="S44" s="31" t="n">
        <f aca="false">IF(AND(Time!S44=1,S43&gt;Inputs!$F$9),S42/S43,0)</f>
        <v>0</v>
      </c>
      <c r="T44" s="31" t="n">
        <f aca="false">IF(AND(Time!T44=1,T43&gt;Inputs!$F$9),T42/T43,0)</f>
        <v>0</v>
      </c>
      <c r="U44" s="31" t="n">
        <f aca="false">IF(AND(Time!U44=1,U43&gt;Inputs!$F$9),U42/U43,0)</f>
        <v>0</v>
      </c>
      <c r="V44" s="31" t="n">
        <f aca="false">IF(AND(Time!V44=1,V43&gt;Inputs!$F$9),V42/V43,0)</f>
        <v>0</v>
      </c>
      <c r="W44" s="31" t="n">
        <f aca="false">IF(AND(Time!W44=1,W43&gt;Inputs!$F$9),W42/W43,0)</f>
        <v>0</v>
      </c>
      <c r="X44" s="31" t="n">
        <f aca="false">IF(AND(Time!X44=1,X43&gt;Inputs!$F$9),X42/X43,0)</f>
        <v>0</v>
      </c>
      <c r="Y44" s="31" t="n">
        <f aca="false">IF(AND(Time!Y44=1,Y43&gt;Inputs!$F$9),Y42/Y43,0)</f>
        <v>0</v>
      </c>
      <c r="Z44" s="31" t="n">
        <f aca="false">IF(AND(Time!Z44=1,Z43&gt;Inputs!$F$9),Z42/Z43,0)</f>
        <v>0</v>
      </c>
      <c r="AA44" s="31" t="n">
        <f aca="false">IF(AND(Time!AA44=1,AA43&gt;Inputs!$F$9),AA42/AA43,0)</f>
        <v>1.95278894883027</v>
      </c>
      <c r="AB44" s="31" t="n">
        <f aca="false">IF(AND(Time!AB44=1,AB43&gt;Inputs!$F$9),AB42/AB43,0)</f>
        <v>1.89544809296873</v>
      </c>
      <c r="AC44" s="31" t="n">
        <f aca="false">IF(AND(Time!AC44=1,AC43&gt;Inputs!$F$9),AC42/AC43,0)</f>
        <v>1.83938774187528</v>
      </c>
      <c r="AD44" s="31" t="n">
        <f aca="false">IF(AND(Time!AD44=1,AD43&gt;Inputs!$F$9),AD42/AD43,0)</f>
        <v>1.78621344813123</v>
      </c>
      <c r="AE44" s="31" t="n">
        <f aca="false">IF(AND(Time!AE44=1,AE43&gt;Inputs!$F$9),AE42/AE43,0)</f>
        <v>1.78866002277977</v>
      </c>
      <c r="AF44" s="31" t="n">
        <f aca="false">IF(AND(Time!AF44=1,AF43&gt;Inputs!$F$9),AF42/AF43,0)</f>
        <v>1.90522176049065</v>
      </c>
      <c r="AG44" s="31" t="n">
        <f aca="false">IF(AND(Time!AG44=1,AG43&gt;Inputs!$F$9),AG42/AG43,0)</f>
        <v>2.05046310197113</v>
      </c>
      <c r="AH44" s="31" t="n">
        <f aca="false">IF(AND(Time!AH44=1,AH43&gt;Inputs!$F$9),AH42/AH43,0)</f>
        <v>2.1481781435805</v>
      </c>
      <c r="AI44" s="31" t="n">
        <f aca="false">IF(AND(Time!AI44=1,AI43&gt;Inputs!$F$9),AI42/AI43,0)</f>
        <v>2.15112225184307</v>
      </c>
      <c r="AJ44" s="31" t="n">
        <f aca="false">IF(AND(Time!AJ44=1,AJ43&gt;Inputs!$F$9),AJ42/AJ43,0)</f>
        <v>2.1588373756202</v>
      </c>
      <c r="AK44" s="31" t="n">
        <f aca="false">IF(AND(Time!AK44=1,AK43&gt;Inputs!$F$9),AK42/AK43,0)</f>
        <v>2.23628845541054</v>
      </c>
      <c r="AL44" s="31" t="n">
        <f aca="false">IF(AND(Time!AL44=1,AL43&gt;Inputs!$F$9),AL42/AL43,0)</f>
        <v>2.31184965477241</v>
      </c>
      <c r="AM44" s="31" t="n">
        <f aca="false">IF(AND(Time!AM44=1,AM43&gt;Inputs!$F$9),AM42/AM43,0)</f>
        <v>2.39418860982927</v>
      </c>
      <c r="AN44" s="31" t="n">
        <f aca="false">IF(AND(Time!AN44=1,AN43&gt;Inputs!$F$9),AN42/AN43,0)</f>
        <v>2.4779591870827</v>
      </c>
      <c r="AO44" s="31" t="n">
        <f aca="false">IF(AND(Time!AO44=1,AO43&gt;Inputs!$F$9),AO42/AO43,0)</f>
        <v>2.63475338597483</v>
      </c>
      <c r="AP44" s="31" t="n">
        <f aca="false">IF(AND(Time!AP44=1,AP43&gt;Inputs!$F$9),AP42/AP43,0)</f>
        <v>2.79306145931963</v>
      </c>
      <c r="AQ44" s="31" t="n">
        <f aca="false">IF(AND(Time!AQ44=1,AQ43&gt;Inputs!$F$9),AQ42/AQ43,0)</f>
        <v>2.66344593031812</v>
      </c>
      <c r="AR44" s="31" t="n">
        <f aca="false">IF(AND(Time!AR44=1,AR43&gt;Inputs!$F$9),AR42/AR43,0)</f>
        <v>2.54033559292414</v>
      </c>
      <c r="AS44" s="31" t="n">
        <f aca="false">IF(AND(Time!AS44=1,AS43&gt;Inputs!$F$9),AS42/AS43,0)</f>
        <v>2.63915018239302</v>
      </c>
      <c r="AT44" s="31" t="n">
        <f aca="false">IF(AND(Time!AT44=1,AT43&gt;Inputs!$F$9),AT42/AT43,0)</f>
        <v>2.73509205372502</v>
      </c>
      <c r="AU44" s="31" t="n">
        <f aca="false">IF(AND(Time!AU44=1,AU43&gt;Inputs!$F$9),AU42/AU43,0)</f>
        <v>2.8400037784283</v>
      </c>
      <c r="AV44" s="31" t="n">
        <f aca="false">IF(AND(Time!AV44=1,AV43&gt;Inputs!$F$9),AV42/AV43,0)</f>
        <v>2.94617511653803</v>
      </c>
      <c r="AW44" s="31" t="n">
        <f aca="false">IF(AND(Time!AW44=1,AW43&gt;Inputs!$F$9),AW42/AW43,0)</f>
        <v>2.98308653468011</v>
      </c>
      <c r="AX44" s="31" t="n">
        <f aca="false">IF(AND(Time!AX44=1,AX43&gt;Inputs!$F$9),AX42/AX43,0)</f>
        <v>2.98275175986303</v>
      </c>
      <c r="AY44" s="31" t="n">
        <f aca="false">IF(AND(Time!AY44=1,AY43&gt;Inputs!$F$9),AY42/AY43,0)</f>
        <v>2.99665859931066</v>
      </c>
      <c r="AZ44" s="31" t="n">
        <f aca="false">IF(AND(Time!AZ44=1,AZ43&gt;Inputs!$F$9),AZ42/AZ43,0)</f>
        <v>3.01073248797322</v>
      </c>
      <c r="BA44" s="31" t="n">
        <f aca="false">IF(AND(Time!BA44=1,BA43&gt;Inputs!$F$9),BA42/BA43,0)</f>
        <v>3.01487031836467</v>
      </c>
      <c r="BB44" s="31" t="n">
        <f aca="false">IF(AND(Time!BB44=1,BB43&gt;Inputs!$F$9),BB42/BB43,0)</f>
        <v>3.01923257242167</v>
      </c>
      <c r="BC44" s="31" t="n">
        <f aca="false">IF(AND(Time!BC44=1,BC43&gt;Inputs!$F$9),BC42/BC43,0)</f>
        <v>3.003229767414</v>
      </c>
      <c r="BD44" s="31" t="n">
        <f aca="false">IF(AND(Time!BD44=1,BD43&gt;Inputs!$F$9),BD42/BD43,0)</f>
        <v>2.98981258066412</v>
      </c>
      <c r="BE44" s="31" t="n">
        <f aca="false">IF(AND(Time!BE44=1,BE43&gt;Inputs!$F$9),BE42/BE43,0)</f>
        <v>2.98645208475729</v>
      </c>
      <c r="BF44" s="31" t="n">
        <f aca="false">IF(AND(Time!BF44=1,BF43&gt;Inputs!$F$9),BF42/BF43,0)</f>
        <v>2.98363472665078</v>
      </c>
      <c r="BG44" s="31" t="n">
        <f aca="false">IF(AND(Time!BG44=1,BG43&gt;Inputs!$F$9),BG42/BG43,0)</f>
        <v>2.9879638172268</v>
      </c>
      <c r="BH44" s="31" t="n">
        <f aca="false">IF(AND(Time!BH44=1,BH43&gt;Inputs!$F$9),BH42/BH43,0)</f>
        <v>2.99234344233633</v>
      </c>
      <c r="BI44" s="31" t="n">
        <f aca="false">IF(AND(Time!BI44=1,BI43&gt;Inputs!$F$9),BI42/BI43,0)</f>
        <v>2.99675306570502</v>
      </c>
      <c r="BJ44" s="31" t="n">
        <f aca="false">IF(AND(Time!BJ44=1,BJ43&gt;Inputs!$F$9),BJ42/BJ43,0)</f>
        <v>3.00120584239292</v>
      </c>
      <c r="BK44" s="31" t="n">
        <f aca="false">IF(AND(Time!BK44=1,BK43&gt;Inputs!$F$9),BK42/BK43,0)</f>
        <v>3.00571721626011</v>
      </c>
      <c r="BL44" s="31" t="n">
        <f aca="false">IF(AND(Time!BL44=1,BL43&gt;Inputs!$F$9),BL42/BL43,0)</f>
        <v>3.01025905142991</v>
      </c>
      <c r="BM44" s="31" t="n">
        <f aca="false">IF(AND(Time!BM44=1,BM43&gt;Inputs!$F$9),BM42/BM43,0)</f>
        <v>3.01482104838129</v>
      </c>
      <c r="BN44" s="31" t="n">
        <f aca="false">IF(AND(Time!BN44=1,BN43&gt;Inputs!$F$9),BN42/BN43,0)</f>
        <v>3.0194092949361</v>
      </c>
      <c r="BO44" s="31" t="n">
        <f aca="false">IF(AND(Time!BO44=1,BO43&gt;Inputs!$F$9),BO42/BO43,0)</f>
        <v>3.0564373030808</v>
      </c>
      <c r="BP44" s="31" t="n">
        <f aca="false">IF(AND(Time!BP44=1,BP43&gt;Inputs!$F$9),BP42/BP43,0)</f>
        <v>3.09858021430061</v>
      </c>
      <c r="BQ44" s="31" t="n">
        <f aca="false">IF(AND(Time!BQ44=1,BQ43&gt;Inputs!$F$9),BQ42/BQ43,0)</f>
        <v>2.87610406764854</v>
      </c>
      <c r="BR44" s="31" t="n">
        <f aca="false">IF(AND(Time!BR44=1,BR43&gt;Inputs!$F$9),BR42/BR43,0)</f>
        <v>2.53969261563683</v>
      </c>
      <c r="BS44" s="31" t="n">
        <f aca="false">IF(AND(Time!BS44=1,BS43&gt;Inputs!$F$9),BS42/BS43,0)</f>
        <v>2.41098085318014</v>
      </c>
      <c r="BT44" s="31" t="n">
        <f aca="false">IF(AND(Time!BT44=1,BT43&gt;Inputs!$F$9),BT42/BT43,0)</f>
        <v>2.40181588893257</v>
      </c>
      <c r="BU44" s="31" t="n">
        <f aca="false">IF(AND(Time!BU44=1,BU43&gt;Inputs!$F$9),BU42/BU43,0)</f>
        <v>2.75590537096505</v>
      </c>
      <c r="BV44" s="31" t="n">
        <f aca="false">IF(AND(Time!BV44=1,BV43&gt;Inputs!$F$9),BV42/BV43,0)</f>
        <v>2.76640882459449</v>
      </c>
      <c r="BW44" s="31" t="n">
        <f aca="false">IF(AND(Time!BW44=1,BW43&gt;Inputs!$F$9),BW42/BW43,0)</f>
        <v>2.44433735542553</v>
      </c>
      <c r="BX44" s="31" t="n">
        <f aca="false">IF(AND(Time!BX44=1,BX43&gt;Inputs!$F$9),BX42/BX43,0)</f>
        <v>2.4030196736366</v>
      </c>
      <c r="BY44" s="31" t="n">
        <f aca="false">IF(AND(Time!BY44=1,BY43&gt;Inputs!$F$9),BY42/BY43,0)</f>
        <v>2.39312184255024</v>
      </c>
      <c r="BZ44" s="31" t="n">
        <f aca="false">IF(AND(Time!BZ44=1,BZ43&gt;Inputs!$F$9),BZ42/BZ43,0)</f>
        <v>2.38346944946002</v>
      </c>
      <c r="CA44" s="31" t="n">
        <f aca="false">IF(AND(Time!CA44=1,CA43&gt;Inputs!$F$9),CA42/CA43,0)</f>
        <v>2.36086266385132</v>
      </c>
      <c r="CB44" s="31" t="n">
        <f aca="false">IF(AND(Time!CB44=1,CB43&gt;Inputs!$F$9),CB42/CB43,0)</f>
        <v>2.33734913316341</v>
      </c>
      <c r="CC44" s="31" t="n">
        <f aca="false">IF(AND(Time!CC44=1,CC43&gt;Inputs!$F$9),CC42/CC43,0)</f>
        <v>2.32809975733391</v>
      </c>
      <c r="CD44" s="31" t="n">
        <f aca="false">IF(AND(Time!CD44=1,CD43&gt;Inputs!$F$9),CD42/CD43,0)</f>
        <v>2.31903350572837</v>
      </c>
      <c r="CE44" s="31" t="n">
        <f aca="false">IF(AND(Time!CE44=1,CE43&gt;Inputs!$F$9),CE42/CE43,0)</f>
        <v>2.30240053080059</v>
      </c>
      <c r="CF44" s="31" t="n">
        <f aca="false">IF(AND(Time!CF44=1,CF43&gt;Inputs!$F$9),CF42/CF43,0)</f>
        <v>2.43182311310276</v>
      </c>
      <c r="CG44" s="31" t="n">
        <f aca="false">IF(AND(Time!CG44=1,CG43&gt;Inputs!$F$9),CG42/CG43,0)</f>
        <v>2.81530364594415</v>
      </c>
      <c r="CH44" s="31" t="n">
        <f aca="false">IF(AND(Time!CH44=1,CH43&gt;Inputs!$F$9),CH42/CH43,0)</f>
        <v>5.56923357336158</v>
      </c>
      <c r="CI44" s="31" t="n">
        <f aca="false">IF(AND(Time!CI44=1,CI43&gt;Inputs!$F$9),CI42/CI43,0)</f>
        <v>0</v>
      </c>
      <c r="CJ44" s="31" t="n">
        <f aca="false">IF(AND(Time!CJ44=1,CJ43&gt;Inputs!$F$9),CJ42/CJ43,0)</f>
        <v>0</v>
      </c>
      <c r="CK44" s="31" t="n">
        <f aca="false">IF(AND(Time!CK44=1,CK43&gt;Inputs!$F$9),CK42/CK43,0)</f>
        <v>0</v>
      </c>
      <c r="CL44" s="31" t="n">
        <f aca="false">IF(AND(Time!CL44=1,CL43&gt;Inputs!$F$9),CL42/CL43,0)</f>
        <v>0</v>
      </c>
      <c r="CM44" s="31" t="n">
        <f aca="false">IF(AND(Time!CM44=1,CM43&gt;Inputs!$F$9),CM42/CM43,0)</f>
        <v>0</v>
      </c>
      <c r="CN44" s="31" t="n">
        <f aca="false">IF(AND(Time!CN44=1,CN43&gt;Inputs!$F$9),CN42/CN43,0)</f>
        <v>0</v>
      </c>
      <c r="CO44" s="31" t="n">
        <f aca="false">IF(AND(Time!CO44=1,CO43&gt;Inputs!$F$9),CO42/CO43,0)</f>
        <v>0</v>
      </c>
      <c r="CP44" s="31" t="n">
        <f aca="false">IF(AND(Time!CP44=1,CP43&gt;Inputs!$F$9),CP42/CP43,0)</f>
        <v>0</v>
      </c>
      <c r="CQ44" s="31" t="n">
        <f aca="false">IF(AND(Time!CQ44=1,CQ43&gt;Inputs!$F$9),CQ42/CQ43,0)</f>
        <v>0</v>
      </c>
      <c r="CR44" s="31" t="n">
        <f aca="false">IF(AND(Time!CR44=1,CR43&gt;Inputs!$F$9),CR42/CR43,0)</f>
        <v>0</v>
      </c>
      <c r="CS44" s="31" t="n">
        <f aca="false">IF(AND(Time!CS44=1,CS43&gt;Inputs!$F$9),CS42/CS43,0)</f>
        <v>0</v>
      </c>
      <c r="CT44" s="31" t="n">
        <f aca="false">IF(AND(Time!CT44=1,CT43&gt;Inputs!$F$9),CT42/CT43,0)</f>
        <v>0</v>
      </c>
      <c r="CU44" s="31" t="n">
        <f aca="false">IF(AND(Time!CU44=1,CU43&gt;Inputs!$F$9),CU42/CU43,0)</f>
        <v>0</v>
      </c>
      <c r="CV44" s="31" t="n">
        <f aca="false">IF(AND(Time!CV44=1,CV43&gt;Inputs!$F$9),CV42/CV43,0)</f>
        <v>0</v>
      </c>
      <c r="CW44" s="31" t="n">
        <f aca="false">IF(AND(Time!CW44=1,CW43&gt;Inputs!$F$9),CW42/CW43,0)</f>
        <v>0</v>
      </c>
      <c r="CX44" s="31" t="n">
        <f aca="false">IF(AND(Time!CX44=1,CX43&gt;Inputs!$F$9),CX42/CX43,0)</f>
        <v>0</v>
      </c>
      <c r="CY44" s="31" t="n">
        <f aca="false">IF(AND(Time!CY44=1,CY43&gt;Inputs!$F$9),CY42/CY43,0)</f>
        <v>0</v>
      </c>
      <c r="CZ44" s="31" t="n">
        <f aca="false">IF(AND(Time!CZ44=1,CZ43&gt;Inputs!$F$9),CZ42/CZ43,0)</f>
        <v>0</v>
      </c>
      <c r="DA44" s="31" t="n">
        <f aca="false">IF(AND(Time!DA44=1,DA43&gt;Inputs!$F$9),DA42/DA43,0)</f>
        <v>0</v>
      </c>
      <c r="DB44" s="31" t="n">
        <f aca="false">IF(AND(Time!DB44=1,DB43&gt;Inputs!$F$9),DB42/DB43,0)</f>
        <v>0</v>
      </c>
    </row>
    <row r="45" customFormat="false" ht="15" hidden="false" customHeight="false" outlineLevel="0" collapsed="false">
      <c r="D45" s="0" t="s">
        <v>632</v>
      </c>
      <c r="E45" s="0" t="s">
        <v>42</v>
      </c>
      <c r="J45" s="14" t="n">
        <f aca="false">IF(AND(Time!J44=1,J43&gt;Inputs!$F$9,J44&lt;Inputs!$F$113),1,0)</f>
        <v>0</v>
      </c>
      <c r="K45" s="14" t="n">
        <f aca="false">IF(AND(Time!K44=1,K43&gt;Inputs!$F$9,K44&lt;Inputs!$F$113),1,0)</f>
        <v>0</v>
      </c>
      <c r="L45" s="14" t="n">
        <f aca="false">IF(AND(Time!L44=1,L43&gt;Inputs!$F$9,L44&lt;Inputs!$F$113),1,0)</f>
        <v>0</v>
      </c>
      <c r="M45" s="14" t="n">
        <f aca="false">IF(AND(Time!M44=1,M43&gt;Inputs!$F$9,M44&lt;Inputs!$F$113),1,0)</f>
        <v>0</v>
      </c>
      <c r="N45" s="14" t="n">
        <f aca="false">IF(AND(Time!N44=1,N43&gt;Inputs!$F$9,N44&lt;Inputs!$F$113),1,0)</f>
        <v>0</v>
      </c>
      <c r="O45" s="14" t="n">
        <f aca="false">IF(AND(Time!O44=1,O43&gt;Inputs!$F$9,O44&lt;Inputs!$F$113),1,0)</f>
        <v>0</v>
      </c>
      <c r="P45" s="14" t="n">
        <f aca="false">IF(AND(Time!P44=1,P43&gt;Inputs!$F$9,P44&lt;Inputs!$F$113),1,0)</f>
        <v>0</v>
      </c>
      <c r="Q45" s="14" t="n">
        <f aca="false">IF(AND(Time!Q44=1,Q43&gt;Inputs!$F$9,Q44&lt;Inputs!$F$113),1,0)</f>
        <v>0</v>
      </c>
      <c r="R45" s="14" t="n">
        <f aca="false">IF(AND(Time!R44=1,R43&gt;Inputs!$F$9,R44&lt;Inputs!$F$113),1,0)</f>
        <v>0</v>
      </c>
      <c r="S45" s="14" t="n">
        <f aca="false">IF(AND(Time!S44=1,S43&gt;Inputs!$F$9,S44&lt;Inputs!$F$113),1,0)</f>
        <v>0</v>
      </c>
      <c r="T45" s="14" t="n">
        <f aca="false">IF(AND(Time!T44=1,T43&gt;Inputs!$F$9,T44&lt;Inputs!$F$113),1,0)</f>
        <v>0</v>
      </c>
      <c r="U45" s="14" t="n">
        <f aca="false">IF(AND(Time!U44=1,U43&gt;Inputs!$F$9,U44&lt;Inputs!$F$113),1,0)</f>
        <v>0</v>
      </c>
      <c r="V45" s="14" t="n">
        <f aca="false">IF(AND(Time!V44=1,V43&gt;Inputs!$F$9,V44&lt;Inputs!$F$113),1,0)</f>
        <v>0</v>
      </c>
      <c r="W45" s="14" t="n">
        <f aca="false">IF(AND(Time!W44=1,W43&gt;Inputs!$F$9,W44&lt;Inputs!$F$113),1,0)</f>
        <v>0</v>
      </c>
      <c r="X45" s="14" t="n">
        <f aca="false">IF(AND(Time!X44=1,X43&gt;Inputs!$F$9,X44&lt;Inputs!$F$113),1,0)</f>
        <v>0</v>
      </c>
      <c r="Y45" s="14" t="n">
        <f aca="false">IF(AND(Time!Y44=1,Y43&gt;Inputs!$F$9,Y44&lt;Inputs!$F$113),1,0)</f>
        <v>0</v>
      </c>
      <c r="Z45" s="14" t="n">
        <f aca="false">IF(AND(Time!Z44=1,Z43&gt;Inputs!$F$9,Z44&lt;Inputs!$F$113),1,0)</f>
        <v>0</v>
      </c>
      <c r="AA45" s="14" t="n">
        <f aca="false">IF(AND(Time!AA44=1,AA43&gt;Inputs!$F$9,AA44&lt;Inputs!$F$113),1,0)</f>
        <v>0</v>
      </c>
      <c r="AB45" s="14" t="n">
        <f aca="false">IF(AND(Time!AB44=1,AB43&gt;Inputs!$F$9,AB44&lt;Inputs!$F$113),1,0)</f>
        <v>0</v>
      </c>
      <c r="AC45" s="14" t="n">
        <f aca="false">IF(AND(Time!AC44=1,AC43&gt;Inputs!$F$9,AC44&lt;Inputs!$F$113),1,0)</f>
        <v>0</v>
      </c>
      <c r="AD45" s="14" t="n">
        <f aca="false">IF(AND(Time!AD44=1,AD43&gt;Inputs!$F$9,AD44&lt;Inputs!$F$113),1,0)</f>
        <v>0</v>
      </c>
      <c r="AE45" s="14" t="n">
        <f aca="false">IF(AND(Time!AE44=1,AE43&gt;Inputs!$F$9,AE44&lt;Inputs!$F$113),1,0)</f>
        <v>0</v>
      </c>
      <c r="AF45" s="14" t="n">
        <f aca="false">IF(AND(Time!AF44=1,AF43&gt;Inputs!$F$9,AF44&lt;Inputs!$F$113),1,0)</f>
        <v>0</v>
      </c>
      <c r="AG45" s="14" t="n">
        <f aca="false">IF(AND(Time!AG44=1,AG43&gt;Inputs!$F$9,AG44&lt;Inputs!$F$113),1,0)</f>
        <v>0</v>
      </c>
      <c r="AH45" s="14" t="n">
        <f aca="false">IF(AND(Time!AH44=1,AH43&gt;Inputs!$F$9,AH44&lt;Inputs!$F$113),1,0)</f>
        <v>0</v>
      </c>
      <c r="AI45" s="14" t="n">
        <f aca="false">IF(AND(Time!AI44=1,AI43&gt;Inputs!$F$9,AI44&lt;Inputs!$F$113),1,0)</f>
        <v>0</v>
      </c>
      <c r="AJ45" s="14" t="n">
        <f aca="false">IF(AND(Time!AJ44=1,AJ43&gt;Inputs!$F$9,AJ44&lt;Inputs!$F$113),1,0)</f>
        <v>0</v>
      </c>
      <c r="AK45" s="14" t="n">
        <f aca="false">IF(AND(Time!AK44=1,AK43&gt;Inputs!$F$9,AK44&lt;Inputs!$F$113),1,0)</f>
        <v>0</v>
      </c>
      <c r="AL45" s="14" t="n">
        <f aca="false">IF(AND(Time!AL44=1,AL43&gt;Inputs!$F$9,AL44&lt;Inputs!$F$113),1,0)</f>
        <v>0</v>
      </c>
      <c r="AM45" s="14" t="n">
        <f aca="false">IF(AND(Time!AM44=1,AM43&gt;Inputs!$F$9,AM44&lt;Inputs!$F$113),1,0)</f>
        <v>0</v>
      </c>
      <c r="AN45" s="14" t="n">
        <f aca="false">IF(AND(Time!AN44=1,AN43&gt;Inputs!$F$9,AN44&lt;Inputs!$F$113),1,0)</f>
        <v>0</v>
      </c>
      <c r="AO45" s="14" t="n">
        <f aca="false">IF(AND(Time!AO44=1,AO43&gt;Inputs!$F$9,AO44&lt;Inputs!$F$113),1,0)</f>
        <v>0</v>
      </c>
      <c r="AP45" s="14" t="n">
        <f aca="false">IF(AND(Time!AP44=1,AP43&gt;Inputs!$F$9,AP44&lt;Inputs!$F$113),1,0)</f>
        <v>0</v>
      </c>
      <c r="AQ45" s="14" t="n">
        <f aca="false">IF(AND(Time!AQ44=1,AQ43&gt;Inputs!$F$9,AQ44&lt;Inputs!$F$113),1,0)</f>
        <v>0</v>
      </c>
      <c r="AR45" s="14" t="n">
        <f aca="false">IF(AND(Time!AR44=1,AR43&gt;Inputs!$F$9,AR44&lt;Inputs!$F$113),1,0)</f>
        <v>0</v>
      </c>
      <c r="AS45" s="14" t="n">
        <f aca="false">IF(AND(Time!AS44=1,AS43&gt;Inputs!$F$9,AS44&lt;Inputs!$F$113),1,0)</f>
        <v>0</v>
      </c>
      <c r="AT45" s="14" t="n">
        <f aca="false">IF(AND(Time!AT44=1,AT43&gt;Inputs!$F$9,AT44&lt;Inputs!$F$113),1,0)</f>
        <v>0</v>
      </c>
      <c r="AU45" s="14" t="n">
        <f aca="false">IF(AND(Time!AU44=1,AU43&gt;Inputs!$F$9,AU44&lt;Inputs!$F$113),1,0)</f>
        <v>0</v>
      </c>
      <c r="AV45" s="14" t="n">
        <f aca="false">IF(AND(Time!AV44=1,AV43&gt;Inputs!$F$9,AV44&lt;Inputs!$F$113),1,0)</f>
        <v>0</v>
      </c>
      <c r="AW45" s="14" t="n">
        <f aca="false">IF(AND(Time!AW44=1,AW43&gt;Inputs!$F$9,AW44&lt;Inputs!$F$113),1,0)</f>
        <v>0</v>
      </c>
      <c r="AX45" s="14" t="n">
        <f aca="false">IF(AND(Time!AX44=1,AX43&gt;Inputs!$F$9,AX44&lt;Inputs!$F$113),1,0)</f>
        <v>0</v>
      </c>
      <c r="AY45" s="14" t="n">
        <f aca="false">IF(AND(Time!AY44=1,AY43&gt;Inputs!$F$9,AY44&lt;Inputs!$F$113),1,0)</f>
        <v>0</v>
      </c>
      <c r="AZ45" s="14" t="n">
        <f aca="false">IF(AND(Time!AZ44=1,AZ43&gt;Inputs!$F$9,AZ44&lt;Inputs!$F$113),1,0)</f>
        <v>0</v>
      </c>
      <c r="BA45" s="14" t="n">
        <f aca="false">IF(AND(Time!BA44=1,BA43&gt;Inputs!$F$9,BA44&lt;Inputs!$F$113),1,0)</f>
        <v>0</v>
      </c>
      <c r="BB45" s="14" t="n">
        <f aca="false">IF(AND(Time!BB44=1,BB43&gt;Inputs!$F$9,BB44&lt;Inputs!$F$113),1,0)</f>
        <v>0</v>
      </c>
      <c r="BC45" s="14" t="n">
        <f aca="false">IF(AND(Time!BC44=1,BC43&gt;Inputs!$F$9,BC44&lt;Inputs!$F$113),1,0)</f>
        <v>0</v>
      </c>
      <c r="BD45" s="14" t="n">
        <f aca="false">IF(AND(Time!BD44=1,BD43&gt;Inputs!$F$9,BD44&lt;Inputs!$F$113),1,0)</f>
        <v>0</v>
      </c>
      <c r="BE45" s="14" t="n">
        <f aca="false">IF(AND(Time!BE44=1,BE43&gt;Inputs!$F$9,BE44&lt;Inputs!$F$113),1,0)</f>
        <v>0</v>
      </c>
      <c r="BF45" s="14" t="n">
        <f aca="false">IF(AND(Time!BF44=1,BF43&gt;Inputs!$F$9,BF44&lt;Inputs!$F$113),1,0)</f>
        <v>0</v>
      </c>
      <c r="BG45" s="14" t="n">
        <f aca="false">IF(AND(Time!BG44=1,BG43&gt;Inputs!$F$9,BG44&lt;Inputs!$F$113),1,0)</f>
        <v>0</v>
      </c>
      <c r="BH45" s="14" t="n">
        <f aca="false">IF(AND(Time!BH44=1,BH43&gt;Inputs!$F$9,BH44&lt;Inputs!$F$113),1,0)</f>
        <v>0</v>
      </c>
      <c r="BI45" s="14" t="n">
        <f aca="false">IF(AND(Time!BI44=1,BI43&gt;Inputs!$F$9,BI44&lt;Inputs!$F$113),1,0)</f>
        <v>0</v>
      </c>
      <c r="BJ45" s="14" t="n">
        <f aca="false">IF(AND(Time!BJ44=1,BJ43&gt;Inputs!$F$9,BJ44&lt;Inputs!$F$113),1,0)</f>
        <v>0</v>
      </c>
      <c r="BK45" s="14" t="n">
        <f aca="false">IF(AND(Time!BK44=1,BK43&gt;Inputs!$F$9,BK44&lt;Inputs!$F$113),1,0)</f>
        <v>0</v>
      </c>
      <c r="BL45" s="14" t="n">
        <f aca="false">IF(AND(Time!BL44=1,BL43&gt;Inputs!$F$9,BL44&lt;Inputs!$F$113),1,0)</f>
        <v>0</v>
      </c>
      <c r="BM45" s="14" t="n">
        <f aca="false">IF(AND(Time!BM44=1,BM43&gt;Inputs!$F$9,BM44&lt;Inputs!$F$113),1,0)</f>
        <v>0</v>
      </c>
      <c r="BN45" s="14" t="n">
        <f aca="false">IF(AND(Time!BN44=1,BN43&gt;Inputs!$F$9,BN44&lt;Inputs!$F$113),1,0)</f>
        <v>0</v>
      </c>
      <c r="BO45" s="14" t="n">
        <f aca="false">IF(AND(Time!BO44=1,BO43&gt;Inputs!$F$9,BO44&lt;Inputs!$F$113),1,0)</f>
        <v>0</v>
      </c>
      <c r="BP45" s="14" t="n">
        <f aca="false">IF(AND(Time!BP44=1,BP43&gt;Inputs!$F$9,BP44&lt;Inputs!$F$113),1,0)</f>
        <v>0</v>
      </c>
      <c r="BQ45" s="14" t="n">
        <f aca="false">IF(AND(Time!BQ44=1,BQ43&gt;Inputs!$F$9,BQ44&lt;Inputs!$F$113),1,0)</f>
        <v>0</v>
      </c>
      <c r="BR45" s="14" t="n">
        <f aca="false">IF(AND(Time!BR44=1,BR43&gt;Inputs!$F$9,BR44&lt;Inputs!$F$113),1,0)</f>
        <v>0</v>
      </c>
      <c r="BS45" s="14" t="n">
        <f aca="false">IF(AND(Time!BS44=1,BS43&gt;Inputs!$F$9,BS44&lt;Inputs!$F$113),1,0)</f>
        <v>0</v>
      </c>
      <c r="BT45" s="14" t="n">
        <f aca="false">IF(AND(Time!BT44=1,BT43&gt;Inputs!$F$9,BT44&lt;Inputs!$F$113),1,0)</f>
        <v>0</v>
      </c>
      <c r="BU45" s="14" t="n">
        <f aca="false">IF(AND(Time!BU44=1,BU43&gt;Inputs!$F$9,BU44&lt;Inputs!$F$113),1,0)</f>
        <v>0</v>
      </c>
      <c r="BV45" s="14" t="n">
        <f aca="false">IF(AND(Time!BV44=1,BV43&gt;Inputs!$F$9,BV44&lt;Inputs!$F$113),1,0)</f>
        <v>0</v>
      </c>
      <c r="BW45" s="14" t="n">
        <f aca="false">IF(AND(Time!BW44=1,BW43&gt;Inputs!$F$9,BW44&lt;Inputs!$F$113),1,0)</f>
        <v>0</v>
      </c>
      <c r="BX45" s="14" t="n">
        <f aca="false">IF(AND(Time!BX44=1,BX43&gt;Inputs!$F$9,BX44&lt;Inputs!$F$113),1,0)</f>
        <v>0</v>
      </c>
      <c r="BY45" s="14" t="n">
        <f aca="false">IF(AND(Time!BY44=1,BY43&gt;Inputs!$F$9,BY44&lt;Inputs!$F$113),1,0)</f>
        <v>0</v>
      </c>
      <c r="BZ45" s="14" t="n">
        <f aca="false">IF(AND(Time!BZ44=1,BZ43&gt;Inputs!$F$9,BZ44&lt;Inputs!$F$113),1,0)</f>
        <v>0</v>
      </c>
      <c r="CA45" s="14" t="n">
        <f aca="false">IF(AND(Time!CA44=1,CA43&gt;Inputs!$F$9,CA44&lt;Inputs!$F$113),1,0)</f>
        <v>0</v>
      </c>
      <c r="CB45" s="14" t="n">
        <f aca="false">IF(AND(Time!CB44=1,CB43&gt;Inputs!$F$9,CB44&lt;Inputs!$F$113),1,0)</f>
        <v>0</v>
      </c>
      <c r="CC45" s="14" t="n">
        <f aca="false">IF(AND(Time!CC44=1,CC43&gt;Inputs!$F$9,CC44&lt;Inputs!$F$113),1,0)</f>
        <v>0</v>
      </c>
      <c r="CD45" s="14" t="n">
        <f aca="false">IF(AND(Time!CD44=1,CD43&gt;Inputs!$F$9,CD44&lt;Inputs!$F$113),1,0)</f>
        <v>0</v>
      </c>
      <c r="CE45" s="14" t="n">
        <f aca="false">IF(AND(Time!CE44=1,CE43&gt;Inputs!$F$9,CE44&lt;Inputs!$F$113),1,0)</f>
        <v>0</v>
      </c>
      <c r="CF45" s="14" t="n">
        <f aca="false">IF(AND(Time!CF44=1,CF43&gt;Inputs!$F$9,CF44&lt;Inputs!$F$113),1,0)</f>
        <v>0</v>
      </c>
      <c r="CG45" s="14" t="n">
        <f aca="false">IF(AND(Time!CG44=1,CG43&gt;Inputs!$F$9,CG44&lt;Inputs!$F$113),1,0)</f>
        <v>0</v>
      </c>
      <c r="CH45" s="14" t="n">
        <f aca="false">IF(AND(Time!CH44=1,CH43&gt;Inputs!$F$9,CH44&lt;Inputs!$F$113),1,0)</f>
        <v>0</v>
      </c>
      <c r="CI45" s="14" t="n">
        <f aca="false">IF(AND(Time!CI44=1,CI43&gt;Inputs!$F$9,CI44&lt;Inputs!$F$113),1,0)</f>
        <v>0</v>
      </c>
      <c r="CJ45" s="14" t="n">
        <f aca="false">IF(AND(Time!CJ44=1,CJ43&gt;Inputs!$F$9,CJ44&lt;Inputs!$F$113),1,0)</f>
        <v>0</v>
      </c>
      <c r="CK45" s="14" t="n">
        <f aca="false">IF(AND(Time!CK44=1,CK43&gt;Inputs!$F$9,CK44&lt;Inputs!$F$113),1,0)</f>
        <v>0</v>
      </c>
      <c r="CL45" s="14" t="n">
        <f aca="false">IF(AND(Time!CL44=1,CL43&gt;Inputs!$F$9,CL44&lt;Inputs!$F$113),1,0)</f>
        <v>0</v>
      </c>
      <c r="CM45" s="14" t="n">
        <f aca="false">IF(AND(Time!CM44=1,CM43&gt;Inputs!$F$9,CM44&lt;Inputs!$F$113),1,0)</f>
        <v>0</v>
      </c>
      <c r="CN45" s="14" t="n">
        <f aca="false">IF(AND(Time!CN44=1,CN43&gt;Inputs!$F$9,CN44&lt;Inputs!$F$113),1,0)</f>
        <v>0</v>
      </c>
      <c r="CO45" s="14" t="n">
        <f aca="false">IF(AND(Time!CO44=1,CO43&gt;Inputs!$F$9,CO44&lt;Inputs!$F$113),1,0)</f>
        <v>0</v>
      </c>
      <c r="CP45" s="14" t="n">
        <f aca="false">IF(AND(Time!CP44=1,CP43&gt;Inputs!$F$9,CP44&lt;Inputs!$F$113),1,0)</f>
        <v>0</v>
      </c>
      <c r="CQ45" s="14" t="n">
        <f aca="false">IF(AND(Time!CQ44=1,CQ43&gt;Inputs!$F$9,CQ44&lt;Inputs!$F$113),1,0)</f>
        <v>0</v>
      </c>
      <c r="CR45" s="14" t="n">
        <f aca="false">IF(AND(Time!CR44=1,CR43&gt;Inputs!$F$9,CR44&lt;Inputs!$F$113),1,0)</f>
        <v>0</v>
      </c>
      <c r="CS45" s="14" t="n">
        <f aca="false">IF(AND(Time!CS44=1,CS43&gt;Inputs!$F$9,CS44&lt;Inputs!$F$113),1,0)</f>
        <v>0</v>
      </c>
      <c r="CT45" s="14" t="n">
        <f aca="false">IF(AND(Time!CT44=1,CT43&gt;Inputs!$F$9,CT44&lt;Inputs!$F$113),1,0)</f>
        <v>0</v>
      </c>
      <c r="CU45" s="14" t="n">
        <f aca="false">IF(AND(Time!CU44=1,CU43&gt;Inputs!$F$9,CU44&lt;Inputs!$F$113),1,0)</f>
        <v>0</v>
      </c>
      <c r="CV45" s="14" t="n">
        <f aca="false">IF(AND(Time!CV44=1,CV43&gt;Inputs!$F$9,CV44&lt;Inputs!$F$113),1,0)</f>
        <v>0</v>
      </c>
      <c r="CW45" s="14" t="n">
        <f aca="false">IF(AND(Time!CW44=1,CW43&gt;Inputs!$F$9,CW44&lt;Inputs!$F$113),1,0)</f>
        <v>0</v>
      </c>
      <c r="CX45" s="14" t="n">
        <f aca="false">IF(AND(Time!CX44=1,CX43&gt;Inputs!$F$9,CX44&lt;Inputs!$F$113),1,0)</f>
        <v>0</v>
      </c>
      <c r="CY45" s="14" t="n">
        <f aca="false">IF(AND(Time!CY44=1,CY43&gt;Inputs!$F$9,CY44&lt;Inputs!$F$113),1,0)</f>
        <v>0</v>
      </c>
      <c r="CZ45" s="14" t="n">
        <f aca="false">IF(AND(Time!CZ44=1,CZ43&gt;Inputs!$F$9,CZ44&lt;Inputs!$F$113),1,0)</f>
        <v>0</v>
      </c>
      <c r="DA45" s="14" t="n">
        <f aca="false">IF(AND(Time!DA44=1,DA43&gt;Inputs!$F$9,DA44&lt;Inputs!$F$113),1,0)</f>
        <v>0</v>
      </c>
      <c r="DB45" s="14" t="n">
        <f aca="false">IF(AND(Time!DB44=1,DB43&gt;Inputs!$F$9,DB44&lt;Inputs!$F$113),1,0)</f>
        <v>0</v>
      </c>
    </row>
    <row r="46" customFormat="false" ht="15" hidden="false" customHeight="false" outlineLevel="0" collapsed="false">
      <c r="D46" s="0" t="s">
        <v>633</v>
      </c>
      <c r="E46" s="0" t="s">
        <v>42</v>
      </c>
      <c r="J46" s="14" t="n">
        <f aca="false">IF(AND(Time!J45=1,J43&gt;Inputs!$F$9,J44&lt;Inputs!$F$114),1,0)</f>
        <v>0</v>
      </c>
      <c r="K46" s="14" t="n">
        <f aca="false">IF(AND(Time!K45=1,K43&gt;Inputs!$F$9,K44&lt;Inputs!$F$114),1,0)</f>
        <v>0</v>
      </c>
      <c r="L46" s="14" t="n">
        <f aca="false">IF(AND(Time!L45=1,L43&gt;Inputs!$F$9,L44&lt;Inputs!$F$114),1,0)</f>
        <v>0</v>
      </c>
      <c r="M46" s="14" t="n">
        <f aca="false">IF(AND(Time!M45=1,M43&gt;Inputs!$F$9,M44&lt;Inputs!$F$114),1,0)</f>
        <v>0</v>
      </c>
      <c r="N46" s="14" t="n">
        <f aca="false">IF(AND(Time!N45=1,N43&gt;Inputs!$F$9,N44&lt;Inputs!$F$114),1,0)</f>
        <v>0</v>
      </c>
      <c r="O46" s="14" t="n">
        <f aca="false">IF(AND(Time!O45=1,O43&gt;Inputs!$F$9,O44&lt;Inputs!$F$114),1,0)</f>
        <v>0</v>
      </c>
      <c r="P46" s="14" t="n">
        <f aca="false">IF(AND(Time!P45=1,P43&gt;Inputs!$F$9,P44&lt;Inputs!$F$114),1,0)</f>
        <v>0</v>
      </c>
      <c r="Q46" s="14" t="n">
        <f aca="false">IF(AND(Time!Q45=1,Q43&gt;Inputs!$F$9,Q44&lt;Inputs!$F$114),1,0)</f>
        <v>0</v>
      </c>
      <c r="R46" s="14" t="n">
        <f aca="false">IF(AND(Time!R45=1,R43&gt;Inputs!$F$9,R44&lt;Inputs!$F$114),1,0)</f>
        <v>0</v>
      </c>
      <c r="S46" s="14" t="n">
        <f aca="false">IF(AND(Time!S45=1,S43&gt;Inputs!$F$9,S44&lt;Inputs!$F$114),1,0)</f>
        <v>0</v>
      </c>
      <c r="T46" s="14" t="n">
        <f aca="false">IF(AND(Time!T45=1,T43&gt;Inputs!$F$9,T44&lt;Inputs!$F$114),1,0)</f>
        <v>0</v>
      </c>
      <c r="U46" s="14" t="n">
        <f aca="false">IF(AND(Time!U45=1,U43&gt;Inputs!$F$9,U44&lt;Inputs!$F$114),1,0)</f>
        <v>0</v>
      </c>
      <c r="V46" s="14" t="n">
        <f aca="false">IF(AND(Time!V45=1,V43&gt;Inputs!$F$9,V44&lt;Inputs!$F$114),1,0)</f>
        <v>0</v>
      </c>
      <c r="W46" s="14" t="n">
        <f aca="false">IF(AND(Time!W45=1,W43&gt;Inputs!$F$9,W44&lt;Inputs!$F$114),1,0)</f>
        <v>0</v>
      </c>
      <c r="X46" s="14" t="n">
        <f aca="false">IF(AND(Time!X45=1,X43&gt;Inputs!$F$9,X44&lt;Inputs!$F$114),1,0)</f>
        <v>0</v>
      </c>
      <c r="Y46" s="14" t="n">
        <f aca="false">IF(AND(Time!Y45=1,Y43&gt;Inputs!$F$9,Y44&lt;Inputs!$F$114),1,0)</f>
        <v>0</v>
      </c>
      <c r="Z46" s="14" t="n">
        <f aca="false">IF(AND(Time!Z45=1,Z43&gt;Inputs!$F$9,Z44&lt;Inputs!$F$114),1,0)</f>
        <v>0</v>
      </c>
      <c r="AA46" s="14" t="n">
        <f aca="false">IF(AND(Time!AA45=1,AA43&gt;Inputs!$F$9,AA44&lt;Inputs!$F$114),1,0)</f>
        <v>0</v>
      </c>
      <c r="AB46" s="14" t="n">
        <f aca="false">IF(AND(Time!AB45=1,AB43&gt;Inputs!$F$9,AB44&lt;Inputs!$F$114),1,0)</f>
        <v>0</v>
      </c>
      <c r="AC46" s="14" t="n">
        <f aca="false">IF(AND(Time!AC45=1,AC43&gt;Inputs!$F$9,AC44&lt;Inputs!$F$114),1,0)</f>
        <v>0</v>
      </c>
      <c r="AD46" s="14" t="n">
        <f aca="false">IF(AND(Time!AD45=1,AD43&gt;Inputs!$F$9,AD44&lt;Inputs!$F$114),1,0)</f>
        <v>0</v>
      </c>
      <c r="AE46" s="14" t="n">
        <f aca="false">IF(AND(Time!AE45=1,AE43&gt;Inputs!$F$9,AE44&lt;Inputs!$F$114),1,0)</f>
        <v>0</v>
      </c>
      <c r="AF46" s="14" t="n">
        <f aca="false">IF(AND(Time!AF45=1,AF43&gt;Inputs!$F$9,AF44&lt;Inputs!$F$114),1,0)</f>
        <v>0</v>
      </c>
      <c r="AG46" s="14" t="n">
        <f aca="false">IF(AND(Time!AG45=1,AG43&gt;Inputs!$F$9,AG44&lt;Inputs!$F$114),1,0)</f>
        <v>0</v>
      </c>
      <c r="AH46" s="14" t="n">
        <f aca="false">IF(AND(Time!AH45=1,AH43&gt;Inputs!$F$9,AH44&lt;Inputs!$F$114),1,0)</f>
        <v>0</v>
      </c>
      <c r="AI46" s="14" t="n">
        <f aca="false">IF(AND(Time!AI45=1,AI43&gt;Inputs!$F$9,AI44&lt;Inputs!$F$114),1,0)</f>
        <v>0</v>
      </c>
      <c r="AJ46" s="14" t="n">
        <f aca="false">IF(AND(Time!AJ45=1,AJ43&gt;Inputs!$F$9,AJ44&lt;Inputs!$F$114),1,0)</f>
        <v>0</v>
      </c>
      <c r="AK46" s="14" t="n">
        <f aca="false">IF(AND(Time!AK45=1,AK43&gt;Inputs!$F$9,AK44&lt;Inputs!$F$114),1,0)</f>
        <v>0</v>
      </c>
      <c r="AL46" s="14" t="n">
        <f aca="false">IF(AND(Time!AL45=1,AL43&gt;Inputs!$F$9,AL44&lt;Inputs!$F$114),1,0)</f>
        <v>0</v>
      </c>
      <c r="AM46" s="14" t="n">
        <f aca="false">IF(AND(Time!AM45=1,AM43&gt;Inputs!$F$9,AM44&lt;Inputs!$F$114),1,0)</f>
        <v>0</v>
      </c>
      <c r="AN46" s="14" t="n">
        <f aca="false">IF(AND(Time!AN45=1,AN43&gt;Inputs!$F$9,AN44&lt;Inputs!$F$114),1,0)</f>
        <v>0</v>
      </c>
      <c r="AO46" s="14" t="n">
        <f aca="false">IF(AND(Time!AO45=1,AO43&gt;Inputs!$F$9,AO44&lt;Inputs!$F$114),1,0)</f>
        <v>0</v>
      </c>
      <c r="AP46" s="14" t="n">
        <f aca="false">IF(AND(Time!AP45=1,AP43&gt;Inputs!$F$9,AP44&lt;Inputs!$F$114),1,0)</f>
        <v>0</v>
      </c>
      <c r="AQ46" s="14" t="n">
        <f aca="false">IF(AND(Time!AQ45=1,AQ43&gt;Inputs!$F$9,AQ44&lt;Inputs!$F$114),1,0)</f>
        <v>0</v>
      </c>
      <c r="AR46" s="14" t="n">
        <f aca="false">IF(AND(Time!AR45=1,AR43&gt;Inputs!$F$9,AR44&lt;Inputs!$F$114),1,0)</f>
        <v>0</v>
      </c>
      <c r="AS46" s="14" t="n">
        <f aca="false">IF(AND(Time!AS45=1,AS43&gt;Inputs!$F$9,AS44&lt;Inputs!$F$114),1,0)</f>
        <v>0</v>
      </c>
      <c r="AT46" s="14" t="n">
        <f aca="false">IF(AND(Time!AT45=1,AT43&gt;Inputs!$F$9,AT44&lt;Inputs!$F$114),1,0)</f>
        <v>0</v>
      </c>
      <c r="AU46" s="14" t="n">
        <f aca="false">IF(AND(Time!AU45=1,AU43&gt;Inputs!$F$9,AU44&lt;Inputs!$F$114),1,0)</f>
        <v>0</v>
      </c>
      <c r="AV46" s="14" t="n">
        <f aca="false">IF(AND(Time!AV45=1,AV43&gt;Inputs!$F$9,AV44&lt;Inputs!$F$114),1,0)</f>
        <v>0</v>
      </c>
      <c r="AW46" s="14" t="n">
        <f aca="false">IF(AND(Time!AW45=1,AW43&gt;Inputs!$F$9,AW44&lt;Inputs!$F$114),1,0)</f>
        <v>0</v>
      </c>
      <c r="AX46" s="14" t="n">
        <f aca="false">IF(AND(Time!AX45=1,AX43&gt;Inputs!$F$9,AX44&lt;Inputs!$F$114),1,0)</f>
        <v>0</v>
      </c>
      <c r="AY46" s="14" t="n">
        <f aca="false">IF(AND(Time!AY45=1,AY43&gt;Inputs!$F$9,AY44&lt;Inputs!$F$114),1,0)</f>
        <v>0</v>
      </c>
      <c r="AZ46" s="14" t="n">
        <f aca="false">IF(AND(Time!AZ45=1,AZ43&gt;Inputs!$F$9,AZ44&lt;Inputs!$F$114),1,0)</f>
        <v>0</v>
      </c>
      <c r="BA46" s="14" t="n">
        <f aca="false">IF(AND(Time!BA45=1,BA43&gt;Inputs!$F$9,BA44&lt;Inputs!$F$114),1,0)</f>
        <v>0</v>
      </c>
      <c r="BB46" s="14" t="n">
        <f aca="false">IF(AND(Time!BB45=1,BB43&gt;Inputs!$F$9,BB44&lt;Inputs!$F$114),1,0)</f>
        <v>0</v>
      </c>
      <c r="BC46" s="14" t="n">
        <f aca="false">IF(AND(Time!BC45=1,BC43&gt;Inputs!$F$9,BC44&lt;Inputs!$F$114),1,0)</f>
        <v>0</v>
      </c>
      <c r="BD46" s="14" t="n">
        <f aca="false">IF(AND(Time!BD45=1,BD43&gt;Inputs!$F$9,BD44&lt;Inputs!$F$114),1,0)</f>
        <v>0</v>
      </c>
      <c r="BE46" s="14" t="n">
        <f aca="false">IF(AND(Time!BE45=1,BE43&gt;Inputs!$F$9,BE44&lt;Inputs!$F$114),1,0)</f>
        <v>0</v>
      </c>
      <c r="BF46" s="14" t="n">
        <f aca="false">IF(AND(Time!BF45=1,BF43&gt;Inputs!$F$9,BF44&lt;Inputs!$F$114),1,0)</f>
        <v>0</v>
      </c>
      <c r="BG46" s="14" t="n">
        <f aca="false">IF(AND(Time!BG45=1,BG43&gt;Inputs!$F$9,BG44&lt;Inputs!$F$114),1,0)</f>
        <v>0</v>
      </c>
      <c r="BH46" s="14" t="n">
        <f aca="false">IF(AND(Time!BH45=1,BH43&gt;Inputs!$F$9,BH44&lt;Inputs!$F$114),1,0)</f>
        <v>0</v>
      </c>
      <c r="BI46" s="14" t="n">
        <f aca="false">IF(AND(Time!BI45=1,BI43&gt;Inputs!$F$9,BI44&lt;Inputs!$F$114),1,0)</f>
        <v>0</v>
      </c>
      <c r="BJ46" s="14" t="n">
        <f aca="false">IF(AND(Time!BJ45=1,BJ43&gt;Inputs!$F$9,BJ44&lt;Inputs!$F$114),1,0)</f>
        <v>0</v>
      </c>
      <c r="BK46" s="14" t="n">
        <f aca="false">IF(AND(Time!BK45=1,BK43&gt;Inputs!$F$9,BK44&lt;Inputs!$F$114),1,0)</f>
        <v>0</v>
      </c>
      <c r="BL46" s="14" t="n">
        <f aca="false">IF(AND(Time!BL45=1,BL43&gt;Inputs!$F$9,BL44&lt;Inputs!$F$114),1,0)</f>
        <v>0</v>
      </c>
      <c r="BM46" s="14" t="n">
        <f aca="false">IF(AND(Time!BM45=1,BM43&gt;Inputs!$F$9,BM44&lt;Inputs!$F$114),1,0)</f>
        <v>0</v>
      </c>
      <c r="BN46" s="14" t="n">
        <f aca="false">IF(AND(Time!BN45=1,BN43&gt;Inputs!$F$9,BN44&lt;Inputs!$F$114),1,0)</f>
        <v>0</v>
      </c>
      <c r="BO46" s="14" t="n">
        <f aca="false">IF(AND(Time!BO45=1,BO43&gt;Inputs!$F$9,BO44&lt;Inputs!$F$114),1,0)</f>
        <v>0</v>
      </c>
      <c r="BP46" s="14" t="n">
        <f aca="false">IF(AND(Time!BP45=1,BP43&gt;Inputs!$F$9,BP44&lt;Inputs!$F$114),1,0)</f>
        <v>0</v>
      </c>
      <c r="BQ46" s="14" t="n">
        <f aca="false">IF(AND(Time!BQ45=1,BQ43&gt;Inputs!$F$9,BQ44&lt;Inputs!$F$114),1,0)</f>
        <v>0</v>
      </c>
      <c r="BR46" s="14" t="n">
        <f aca="false">IF(AND(Time!BR45=1,BR43&gt;Inputs!$F$9,BR44&lt;Inputs!$F$114),1,0)</f>
        <v>0</v>
      </c>
      <c r="BS46" s="14" t="n">
        <f aca="false">IF(AND(Time!BS45=1,BS43&gt;Inputs!$F$9,BS44&lt;Inputs!$F$114),1,0)</f>
        <v>0</v>
      </c>
      <c r="BT46" s="14" t="n">
        <f aca="false">IF(AND(Time!BT45=1,BT43&gt;Inputs!$F$9,BT44&lt;Inputs!$F$114),1,0)</f>
        <v>0</v>
      </c>
      <c r="BU46" s="14" t="n">
        <f aca="false">IF(AND(Time!BU45=1,BU43&gt;Inputs!$F$9,BU44&lt;Inputs!$F$114),1,0)</f>
        <v>0</v>
      </c>
      <c r="BV46" s="14" t="n">
        <f aca="false">IF(AND(Time!BV45=1,BV43&gt;Inputs!$F$9,BV44&lt;Inputs!$F$114),1,0)</f>
        <v>0</v>
      </c>
      <c r="BW46" s="14" t="n">
        <f aca="false">IF(AND(Time!BW45=1,BW43&gt;Inputs!$F$9,BW44&lt;Inputs!$F$114),1,0)</f>
        <v>0</v>
      </c>
      <c r="BX46" s="14" t="n">
        <f aca="false">IF(AND(Time!BX45=1,BX43&gt;Inputs!$F$9,BX44&lt;Inputs!$F$114),1,0)</f>
        <v>0</v>
      </c>
      <c r="BY46" s="14" t="n">
        <f aca="false">IF(AND(Time!BY45=1,BY43&gt;Inputs!$F$9,BY44&lt;Inputs!$F$114),1,0)</f>
        <v>0</v>
      </c>
      <c r="BZ46" s="14" t="n">
        <f aca="false">IF(AND(Time!BZ45=1,BZ43&gt;Inputs!$F$9,BZ44&lt;Inputs!$F$114),1,0)</f>
        <v>0</v>
      </c>
      <c r="CA46" s="14" t="n">
        <f aca="false">IF(AND(Time!CA45=1,CA43&gt;Inputs!$F$9,CA44&lt;Inputs!$F$114),1,0)</f>
        <v>0</v>
      </c>
      <c r="CB46" s="14" t="n">
        <f aca="false">IF(AND(Time!CB45=1,CB43&gt;Inputs!$F$9,CB44&lt;Inputs!$F$114),1,0)</f>
        <v>0</v>
      </c>
      <c r="CC46" s="14" t="n">
        <f aca="false">IF(AND(Time!CC45=1,CC43&gt;Inputs!$F$9,CC44&lt;Inputs!$F$114),1,0)</f>
        <v>0</v>
      </c>
      <c r="CD46" s="14" t="n">
        <f aca="false">IF(AND(Time!CD45=1,CD43&gt;Inputs!$F$9,CD44&lt;Inputs!$F$114),1,0)</f>
        <v>0</v>
      </c>
      <c r="CE46" s="14" t="n">
        <f aca="false">IF(AND(Time!CE45=1,CE43&gt;Inputs!$F$9,CE44&lt;Inputs!$F$114),1,0)</f>
        <v>0</v>
      </c>
      <c r="CF46" s="14" t="n">
        <f aca="false">IF(AND(Time!CF45=1,CF43&gt;Inputs!$F$9,CF44&lt;Inputs!$F$114),1,0)</f>
        <v>0</v>
      </c>
      <c r="CG46" s="14" t="n">
        <f aca="false">IF(AND(Time!CG45=1,CG43&gt;Inputs!$F$9,CG44&lt;Inputs!$F$114),1,0)</f>
        <v>0</v>
      </c>
      <c r="CH46" s="14" t="n">
        <f aca="false">IF(AND(Time!CH45=1,CH43&gt;Inputs!$F$9,CH44&lt;Inputs!$F$114),1,0)</f>
        <v>0</v>
      </c>
      <c r="CI46" s="14" t="n">
        <f aca="false">IF(AND(Time!CI45=1,CI43&gt;Inputs!$F$9,CI44&lt;Inputs!$F$114),1,0)</f>
        <v>0</v>
      </c>
      <c r="CJ46" s="14" t="n">
        <f aca="false">IF(AND(Time!CJ45=1,CJ43&gt;Inputs!$F$9,CJ44&lt;Inputs!$F$114),1,0)</f>
        <v>0</v>
      </c>
      <c r="CK46" s="14" t="n">
        <f aca="false">IF(AND(Time!CK45=1,CK43&gt;Inputs!$F$9,CK44&lt;Inputs!$F$114),1,0)</f>
        <v>0</v>
      </c>
      <c r="CL46" s="14" t="n">
        <f aca="false">IF(AND(Time!CL45=1,CL43&gt;Inputs!$F$9,CL44&lt;Inputs!$F$114),1,0)</f>
        <v>0</v>
      </c>
      <c r="CM46" s="14" t="n">
        <f aca="false">IF(AND(Time!CM45=1,CM43&gt;Inputs!$F$9,CM44&lt;Inputs!$F$114),1,0)</f>
        <v>0</v>
      </c>
      <c r="CN46" s="14" t="n">
        <f aca="false">IF(AND(Time!CN45=1,CN43&gt;Inputs!$F$9,CN44&lt;Inputs!$F$114),1,0)</f>
        <v>0</v>
      </c>
      <c r="CO46" s="14" t="n">
        <f aca="false">IF(AND(Time!CO45=1,CO43&gt;Inputs!$F$9,CO44&lt;Inputs!$F$114),1,0)</f>
        <v>0</v>
      </c>
      <c r="CP46" s="14" t="n">
        <f aca="false">IF(AND(Time!CP45=1,CP43&gt;Inputs!$F$9,CP44&lt;Inputs!$F$114),1,0)</f>
        <v>0</v>
      </c>
      <c r="CQ46" s="14" t="n">
        <f aca="false">IF(AND(Time!CQ45=1,CQ43&gt;Inputs!$F$9,CQ44&lt;Inputs!$F$114),1,0)</f>
        <v>0</v>
      </c>
      <c r="CR46" s="14" t="n">
        <f aca="false">IF(AND(Time!CR45=1,CR43&gt;Inputs!$F$9,CR44&lt;Inputs!$F$114),1,0)</f>
        <v>0</v>
      </c>
      <c r="CS46" s="14" t="n">
        <f aca="false">IF(AND(Time!CS45=1,CS43&gt;Inputs!$F$9,CS44&lt;Inputs!$F$114),1,0)</f>
        <v>0</v>
      </c>
      <c r="CT46" s="14" t="n">
        <f aca="false">IF(AND(Time!CT45=1,CT43&gt;Inputs!$F$9,CT44&lt;Inputs!$F$114),1,0)</f>
        <v>0</v>
      </c>
      <c r="CU46" s="14" t="n">
        <f aca="false">IF(AND(Time!CU45=1,CU43&gt;Inputs!$F$9,CU44&lt;Inputs!$F$114),1,0)</f>
        <v>0</v>
      </c>
      <c r="CV46" s="14" t="n">
        <f aca="false">IF(AND(Time!CV45=1,CV43&gt;Inputs!$F$9,CV44&lt;Inputs!$F$114),1,0)</f>
        <v>0</v>
      </c>
      <c r="CW46" s="14" t="n">
        <f aca="false">IF(AND(Time!CW45=1,CW43&gt;Inputs!$F$9,CW44&lt;Inputs!$F$114),1,0)</f>
        <v>0</v>
      </c>
      <c r="CX46" s="14" t="n">
        <f aca="false">IF(AND(Time!CX45=1,CX43&gt;Inputs!$F$9,CX44&lt;Inputs!$F$114),1,0)</f>
        <v>0</v>
      </c>
      <c r="CY46" s="14" t="n">
        <f aca="false">IF(AND(Time!CY45=1,CY43&gt;Inputs!$F$9,CY44&lt;Inputs!$F$114),1,0)</f>
        <v>0</v>
      </c>
      <c r="CZ46" s="14" t="n">
        <f aca="false">IF(AND(Time!CZ45=1,CZ43&gt;Inputs!$F$9,CZ44&lt;Inputs!$F$114),1,0)</f>
        <v>0</v>
      </c>
      <c r="DA46" s="14" t="n">
        <f aca="false">IF(AND(Time!DA45=1,DA43&gt;Inputs!$F$9,DA44&lt;Inputs!$F$114),1,0)</f>
        <v>0</v>
      </c>
      <c r="DB46" s="14" t="n">
        <f aca="false">IF(AND(Time!DB45=1,DB43&gt;Inputs!$F$9,DB44&lt;Inputs!$F$114),1,0)</f>
        <v>0</v>
      </c>
    </row>
    <row r="47" customFormat="false" ht="15" hidden="false" customHeight="false" outlineLevel="0" collapsed="false">
      <c r="D47" s="0" t="s">
        <v>634</v>
      </c>
      <c r="E47" s="0" t="s">
        <v>42</v>
      </c>
      <c r="J47" s="14" t="n">
        <f aca="false">IF(AND(Time!J20=0,Time!J23=0,OR(I47=1,J46=1)),1,0)</f>
        <v>0</v>
      </c>
      <c r="K47" s="14" t="n">
        <f aca="false">IF(AND(Time!K20=0,Time!K23=0,OR(J47=1,K46=1)),1,0)</f>
        <v>0</v>
      </c>
      <c r="L47" s="14" t="n">
        <f aca="false">IF(AND(Time!L20=0,Time!L23=0,OR(K47=1,L46=1)),1,0)</f>
        <v>0</v>
      </c>
      <c r="M47" s="14" t="n">
        <f aca="false">IF(AND(Time!M20=0,Time!M23=0,OR(L47=1,M46=1)),1,0)</f>
        <v>0</v>
      </c>
      <c r="N47" s="14" t="n">
        <f aca="false">IF(AND(Time!N20=0,Time!N23=0,OR(M47=1,N46=1)),1,0)</f>
        <v>0</v>
      </c>
      <c r="O47" s="14" t="n">
        <f aca="false">IF(AND(Time!O20=0,Time!O23=0,OR(N47=1,O46=1)),1,0)</f>
        <v>0</v>
      </c>
      <c r="P47" s="14" t="n">
        <f aca="false">IF(AND(Time!P20=0,Time!P23=0,OR(O47=1,P46=1)),1,0)</f>
        <v>0</v>
      </c>
      <c r="Q47" s="14" t="n">
        <f aca="false">IF(AND(Time!Q20=0,Time!Q23=0,OR(P47=1,Q46=1)),1,0)</f>
        <v>0</v>
      </c>
      <c r="R47" s="14" t="n">
        <f aca="false">IF(AND(Time!R20=0,Time!R23=0,OR(Q47=1,R46=1)),1,0)</f>
        <v>0</v>
      </c>
      <c r="S47" s="14" t="n">
        <f aca="false">IF(AND(Time!S20=0,Time!S23=0,OR(R47=1,S46=1)),1,0)</f>
        <v>0</v>
      </c>
      <c r="T47" s="14" t="n">
        <f aca="false">IF(AND(Time!T20=0,Time!T23=0,OR(S47=1,T46=1)),1,0)</f>
        <v>0</v>
      </c>
      <c r="U47" s="14" t="n">
        <f aca="false">IF(AND(Time!U20=0,Time!U23=0,OR(T47=1,U46=1)),1,0)</f>
        <v>0</v>
      </c>
      <c r="V47" s="14" t="n">
        <f aca="false">IF(AND(Time!V20=0,Time!V23=0,OR(U47=1,V46=1)),1,0)</f>
        <v>0</v>
      </c>
      <c r="W47" s="14" t="n">
        <f aca="false">IF(AND(Time!W20=0,Time!W23=0,OR(V47=1,W46=1)),1,0)</f>
        <v>0</v>
      </c>
      <c r="X47" s="14" t="n">
        <f aca="false">IF(AND(Time!X20=0,Time!X23=0,OR(W47=1,X46=1)),1,0)</f>
        <v>0</v>
      </c>
      <c r="Y47" s="14" t="n">
        <f aca="false">IF(AND(Time!Y20=0,Time!Y23=0,OR(X47=1,Y46=1)),1,0)</f>
        <v>0</v>
      </c>
      <c r="Z47" s="14" t="n">
        <f aca="false">IF(AND(Time!Z20=0,Time!Z23=0,OR(Y47=1,Z46=1)),1,0)</f>
        <v>0</v>
      </c>
      <c r="AA47" s="14" t="n">
        <f aca="false">IF(AND(Time!AA20=0,Time!AA23=0,OR(Z47=1,AA46=1)),1,0)</f>
        <v>0</v>
      </c>
      <c r="AB47" s="14" t="n">
        <f aca="false">IF(AND(Time!AB20=0,Time!AB23=0,OR(AA47=1,AB46=1)),1,0)</f>
        <v>0</v>
      </c>
      <c r="AC47" s="14" t="n">
        <f aca="false">IF(AND(Time!AC20=0,Time!AC23=0,OR(AB47=1,AC46=1)),1,0)</f>
        <v>0</v>
      </c>
      <c r="AD47" s="14" t="n">
        <f aca="false">IF(AND(Time!AD20=0,Time!AD23=0,OR(AC47=1,AD46=1)),1,0)</f>
        <v>0</v>
      </c>
      <c r="AE47" s="14" t="n">
        <f aca="false">IF(AND(Time!AE20=0,Time!AE23=0,OR(AD47=1,AE46=1)),1,0)</f>
        <v>0</v>
      </c>
      <c r="AF47" s="14" t="n">
        <f aca="false">IF(AND(Time!AF20=0,Time!AF23=0,OR(AE47=1,AF46=1)),1,0)</f>
        <v>0</v>
      </c>
      <c r="AG47" s="14" t="n">
        <f aca="false">IF(AND(Time!AG20=0,Time!AG23=0,OR(AF47=1,AG46=1)),1,0)</f>
        <v>0</v>
      </c>
      <c r="AH47" s="14" t="n">
        <f aca="false">IF(AND(Time!AH20=0,Time!AH23=0,OR(AG47=1,AH46=1)),1,0)</f>
        <v>0</v>
      </c>
      <c r="AI47" s="14" t="n">
        <f aca="false">IF(AND(Time!AI20=0,Time!AI23=0,OR(AH47=1,AI46=1)),1,0)</f>
        <v>0</v>
      </c>
      <c r="AJ47" s="14" t="n">
        <f aca="false">IF(AND(Time!AJ20=0,Time!AJ23=0,OR(AI47=1,AJ46=1)),1,0)</f>
        <v>0</v>
      </c>
      <c r="AK47" s="14" t="n">
        <f aca="false">IF(AND(Time!AK20=0,Time!AK23=0,OR(AJ47=1,AK46=1)),1,0)</f>
        <v>0</v>
      </c>
      <c r="AL47" s="14" t="n">
        <f aca="false">IF(AND(Time!AL20=0,Time!AL23=0,OR(AK47=1,AL46=1)),1,0)</f>
        <v>0</v>
      </c>
      <c r="AM47" s="14" t="n">
        <f aca="false">IF(AND(Time!AM20=0,Time!AM23=0,OR(AL47=1,AM46=1)),1,0)</f>
        <v>0</v>
      </c>
      <c r="AN47" s="14" t="n">
        <f aca="false">IF(AND(Time!AN20=0,Time!AN23=0,OR(AM47=1,AN46=1)),1,0)</f>
        <v>0</v>
      </c>
      <c r="AO47" s="14" t="n">
        <f aca="false">IF(AND(Time!AO20=0,Time!AO23=0,OR(AN47=1,AO46=1)),1,0)</f>
        <v>0</v>
      </c>
      <c r="AP47" s="14" t="n">
        <f aca="false">IF(AND(Time!AP20=0,Time!AP23=0,OR(AO47=1,AP46=1)),1,0)</f>
        <v>0</v>
      </c>
      <c r="AQ47" s="14" t="n">
        <f aca="false">IF(AND(Time!AQ20=0,Time!AQ23=0,OR(AP47=1,AQ46=1)),1,0)</f>
        <v>0</v>
      </c>
      <c r="AR47" s="14" t="n">
        <f aca="false">IF(AND(Time!AR20=0,Time!AR23=0,OR(AQ47=1,AR46=1)),1,0)</f>
        <v>0</v>
      </c>
      <c r="AS47" s="14" t="n">
        <f aca="false">IF(AND(Time!AS20=0,Time!AS23=0,OR(AR47=1,AS46=1)),1,0)</f>
        <v>0</v>
      </c>
      <c r="AT47" s="14" t="n">
        <f aca="false">IF(AND(Time!AT20=0,Time!AT23=0,OR(AS47=1,AT46=1)),1,0)</f>
        <v>0</v>
      </c>
      <c r="AU47" s="14" t="n">
        <f aca="false">IF(AND(Time!AU20=0,Time!AU23=0,OR(AT47=1,AU46=1)),1,0)</f>
        <v>0</v>
      </c>
      <c r="AV47" s="14" t="n">
        <f aca="false">IF(AND(Time!AV20=0,Time!AV23=0,OR(AU47=1,AV46=1)),1,0)</f>
        <v>0</v>
      </c>
      <c r="AW47" s="14" t="n">
        <f aca="false">IF(AND(Time!AW20=0,Time!AW23=0,OR(AV47=1,AW46=1)),1,0)</f>
        <v>0</v>
      </c>
      <c r="AX47" s="14" t="n">
        <f aca="false">IF(AND(Time!AX20=0,Time!AX23=0,OR(AW47=1,AX46=1)),1,0)</f>
        <v>0</v>
      </c>
      <c r="AY47" s="14" t="n">
        <f aca="false">IF(AND(Time!AY20=0,Time!AY23=0,OR(AX47=1,AY46=1)),1,0)</f>
        <v>0</v>
      </c>
      <c r="AZ47" s="14" t="n">
        <f aca="false">IF(AND(Time!AZ20=0,Time!AZ23=0,OR(AY47=1,AZ46=1)),1,0)</f>
        <v>0</v>
      </c>
      <c r="BA47" s="14" t="n">
        <f aca="false">IF(AND(Time!BA20=0,Time!BA23=0,OR(AZ47=1,BA46=1)),1,0)</f>
        <v>0</v>
      </c>
      <c r="BB47" s="14" t="n">
        <f aca="false">IF(AND(Time!BB20=0,Time!BB23=0,OR(BA47=1,BB46=1)),1,0)</f>
        <v>0</v>
      </c>
      <c r="BC47" s="14" t="n">
        <f aca="false">IF(AND(Time!BC20=0,Time!BC23=0,OR(BB47=1,BC46=1)),1,0)</f>
        <v>0</v>
      </c>
      <c r="BD47" s="14" t="n">
        <f aca="false">IF(AND(Time!BD20=0,Time!BD23=0,OR(BC47=1,BD46=1)),1,0)</f>
        <v>0</v>
      </c>
      <c r="BE47" s="14" t="n">
        <f aca="false">IF(AND(Time!BE20=0,Time!BE23=0,OR(BD47=1,BE46=1)),1,0)</f>
        <v>0</v>
      </c>
      <c r="BF47" s="14" t="n">
        <f aca="false">IF(AND(Time!BF20=0,Time!BF23=0,OR(BE47=1,BF46=1)),1,0)</f>
        <v>0</v>
      </c>
      <c r="BG47" s="14" t="n">
        <f aca="false">IF(AND(Time!BG20=0,Time!BG23=0,OR(BF47=1,BG46=1)),1,0)</f>
        <v>0</v>
      </c>
      <c r="BH47" s="14" t="n">
        <f aca="false">IF(AND(Time!BH20=0,Time!BH23=0,OR(BG47=1,BH46=1)),1,0)</f>
        <v>0</v>
      </c>
      <c r="BI47" s="14" t="n">
        <f aca="false">IF(AND(Time!BI20=0,Time!BI23=0,OR(BH47=1,BI46=1)),1,0)</f>
        <v>0</v>
      </c>
      <c r="BJ47" s="14" t="n">
        <f aca="false">IF(AND(Time!BJ20=0,Time!BJ23=0,OR(BI47=1,BJ46=1)),1,0)</f>
        <v>0</v>
      </c>
      <c r="BK47" s="14" t="n">
        <f aca="false">IF(AND(Time!BK20=0,Time!BK23=0,OR(BJ47=1,BK46=1)),1,0)</f>
        <v>0</v>
      </c>
      <c r="BL47" s="14" t="n">
        <f aca="false">IF(AND(Time!BL20=0,Time!BL23=0,OR(BK47=1,BL46=1)),1,0)</f>
        <v>0</v>
      </c>
      <c r="BM47" s="14" t="n">
        <f aca="false">IF(AND(Time!BM20=0,Time!BM23=0,OR(BL47=1,BM46=1)),1,0)</f>
        <v>0</v>
      </c>
      <c r="BN47" s="14" t="n">
        <f aca="false">IF(AND(Time!BN20=0,Time!BN23=0,OR(BM47=1,BN46=1)),1,0)</f>
        <v>0</v>
      </c>
      <c r="BO47" s="14" t="n">
        <f aca="false">IF(AND(Time!BO20=0,Time!BO23=0,OR(BN47=1,BO46=1)),1,0)</f>
        <v>0</v>
      </c>
      <c r="BP47" s="14" t="n">
        <f aca="false">IF(AND(Time!BP20=0,Time!BP23=0,OR(BO47=1,BP46=1)),1,0)</f>
        <v>0</v>
      </c>
      <c r="BQ47" s="14" t="n">
        <f aca="false">IF(AND(Time!BQ20=0,Time!BQ23=0,OR(BP47=1,BQ46=1)),1,0)</f>
        <v>0</v>
      </c>
      <c r="BR47" s="14" t="n">
        <f aca="false">IF(AND(Time!BR20=0,Time!BR23=0,OR(BQ47=1,BR46=1)),1,0)</f>
        <v>0</v>
      </c>
      <c r="BS47" s="14" t="n">
        <f aca="false">IF(AND(Time!BS20=0,Time!BS23=0,OR(BR47=1,BS46=1)),1,0)</f>
        <v>0</v>
      </c>
      <c r="BT47" s="14" t="n">
        <f aca="false">IF(AND(Time!BT20=0,Time!BT23=0,OR(BS47=1,BT46=1)),1,0)</f>
        <v>0</v>
      </c>
      <c r="BU47" s="14" t="n">
        <f aca="false">IF(AND(Time!BU20=0,Time!BU23=0,OR(BT47=1,BU46=1)),1,0)</f>
        <v>0</v>
      </c>
      <c r="BV47" s="14" t="n">
        <f aca="false">IF(AND(Time!BV20=0,Time!BV23=0,OR(BU47=1,BV46=1)),1,0)</f>
        <v>0</v>
      </c>
      <c r="BW47" s="14" t="n">
        <f aca="false">IF(AND(Time!BW20=0,Time!BW23=0,OR(BV47=1,BW46=1)),1,0)</f>
        <v>0</v>
      </c>
      <c r="BX47" s="14" t="n">
        <f aca="false">IF(AND(Time!BX20=0,Time!BX23=0,OR(BW47=1,BX46=1)),1,0)</f>
        <v>0</v>
      </c>
      <c r="BY47" s="14" t="n">
        <f aca="false">IF(AND(Time!BY20=0,Time!BY23=0,OR(BX47=1,BY46=1)),1,0)</f>
        <v>0</v>
      </c>
      <c r="BZ47" s="14" t="n">
        <f aca="false">IF(AND(Time!BZ20=0,Time!BZ23=0,OR(BY47=1,BZ46=1)),1,0)</f>
        <v>0</v>
      </c>
      <c r="CA47" s="14" t="n">
        <f aca="false">IF(AND(Time!CA20=0,Time!CA23=0,OR(BZ47=1,CA46=1)),1,0)</f>
        <v>0</v>
      </c>
      <c r="CB47" s="14" t="n">
        <f aca="false">IF(AND(Time!CB20=0,Time!CB23=0,OR(CA47=1,CB46=1)),1,0)</f>
        <v>0</v>
      </c>
      <c r="CC47" s="14" t="n">
        <f aca="false">IF(AND(Time!CC20=0,Time!CC23=0,OR(CB47=1,CC46=1)),1,0)</f>
        <v>0</v>
      </c>
      <c r="CD47" s="14" t="n">
        <f aca="false">IF(AND(Time!CD20=0,Time!CD23=0,OR(CC47=1,CD46=1)),1,0)</f>
        <v>0</v>
      </c>
      <c r="CE47" s="14" t="n">
        <f aca="false">IF(AND(Time!CE20=0,Time!CE23=0,OR(CD47=1,CE46=1)),1,0)</f>
        <v>0</v>
      </c>
      <c r="CF47" s="14" t="n">
        <f aca="false">IF(AND(Time!CF20=0,Time!CF23=0,OR(CE47=1,CF46=1)),1,0)</f>
        <v>0</v>
      </c>
      <c r="CG47" s="14" t="n">
        <f aca="false">IF(AND(Time!CG20=0,Time!CG23=0,OR(CF47=1,CG46=1)),1,0)</f>
        <v>0</v>
      </c>
      <c r="CH47" s="14" t="n">
        <f aca="false">IF(AND(Time!CH20=0,Time!CH23=0,OR(CG47=1,CH46=1)),1,0)</f>
        <v>0</v>
      </c>
      <c r="CI47" s="14" t="n">
        <f aca="false">IF(AND(Time!CI20=0,Time!CI23=0,OR(CH47=1,CI46=1)),1,0)</f>
        <v>0</v>
      </c>
      <c r="CJ47" s="14" t="n">
        <f aca="false">IF(AND(Time!CJ20=0,Time!CJ23=0,OR(CI47=1,CJ46=1)),1,0)</f>
        <v>0</v>
      </c>
      <c r="CK47" s="14" t="n">
        <f aca="false">IF(AND(Time!CK20=0,Time!CK23=0,OR(CJ47=1,CK46=1)),1,0)</f>
        <v>0</v>
      </c>
      <c r="CL47" s="14" t="n">
        <f aca="false">IF(AND(Time!CL20=0,Time!CL23=0,OR(CK47=1,CL46=1)),1,0)</f>
        <v>0</v>
      </c>
      <c r="CM47" s="14" t="n">
        <f aca="false">IF(AND(Time!CM20=0,Time!CM23=0,OR(CL47=1,CM46=1)),1,0)</f>
        <v>0</v>
      </c>
      <c r="CN47" s="14" t="n">
        <f aca="false">IF(AND(Time!CN20=0,Time!CN23=0,OR(CM47=1,CN46=1)),1,0)</f>
        <v>0</v>
      </c>
      <c r="CO47" s="14" t="n">
        <f aca="false">IF(AND(Time!CO20=0,Time!CO23=0,OR(CN47=1,CO46=1)),1,0)</f>
        <v>0</v>
      </c>
      <c r="CP47" s="14" t="n">
        <f aca="false">IF(AND(Time!CP20=0,Time!CP23=0,OR(CO47=1,CP46=1)),1,0)</f>
        <v>0</v>
      </c>
      <c r="CQ47" s="14" t="n">
        <f aca="false">IF(AND(Time!CQ20=0,Time!CQ23=0,OR(CP47=1,CQ46=1)),1,0)</f>
        <v>0</v>
      </c>
      <c r="CR47" s="14" t="n">
        <f aca="false">IF(AND(Time!CR20=0,Time!CR23=0,OR(CQ47=1,CR46=1)),1,0)</f>
        <v>0</v>
      </c>
      <c r="CS47" s="14" t="n">
        <f aca="false">IF(AND(Time!CS20=0,Time!CS23=0,OR(CR47=1,CS46=1)),1,0)</f>
        <v>0</v>
      </c>
      <c r="CT47" s="14" t="n">
        <f aca="false">IF(AND(Time!CT20=0,Time!CT23=0,OR(CS47=1,CT46=1)),1,0)</f>
        <v>0</v>
      </c>
      <c r="CU47" s="14" t="n">
        <f aca="false">IF(AND(Time!CU20=0,Time!CU23=0,OR(CT47=1,CU46=1)),1,0)</f>
        <v>0</v>
      </c>
      <c r="CV47" s="14" t="n">
        <f aca="false">IF(AND(Time!CV20=0,Time!CV23=0,OR(CU47=1,CV46=1)),1,0)</f>
        <v>0</v>
      </c>
      <c r="CW47" s="14" t="n">
        <f aca="false">IF(AND(Time!CW20=0,Time!CW23=0,OR(CV47=1,CW46=1)),1,0)</f>
        <v>0</v>
      </c>
      <c r="CX47" s="14" t="n">
        <f aca="false">IF(AND(Time!CX20=0,Time!CX23=0,OR(CW47=1,CX46=1)),1,0)</f>
        <v>0</v>
      </c>
      <c r="CY47" s="14" t="n">
        <f aca="false">IF(AND(Time!CY20=0,Time!CY23=0,OR(CX47=1,CY46=1)),1,0)</f>
        <v>0</v>
      </c>
      <c r="CZ47" s="14" t="n">
        <f aca="false">IF(AND(Time!CZ20=0,Time!CZ23=0,OR(CY47=1,CZ46=1)),1,0)</f>
        <v>0</v>
      </c>
      <c r="DA47" s="14" t="n">
        <f aca="false">IF(AND(Time!DA20=0,Time!DA23=0,OR(CZ47=1,DA46=1)),1,0)</f>
        <v>0</v>
      </c>
      <c r="DB47" s="14" t="n">
        <f aca="false">IF(AND(Time!DB20=0,Time!DB23=0,OR(DA47=1,DB46=1)),1,0)</f>
        <v>0</v>
      </c>
    </row>
    <row r="48" customFormat="false" ht="15" hidden="false" customHeight="false" outlineLevel="0" collapsed="false">
      <c r="D48" s="0" t="s">
        <v>635</v>
      </c>
      <c r="E48" s="0" t="s">
        <v>42</v>
      </c>
      <c r="J48" s="14" t="n">
        <f aca="false">IF(OR(Time!J20=1,Time!J28=1),0,IF(OR(Time!J33=1,J45=1,Reserves!J13&lt;Reserves!J7-Inputs!$F$9,J47=1,Time!J34=1,Debt!J101&gt;Inputs!$F$9,Debt!J58+Debt!J59&gt;Inputs!$F$9),1,0))</f>
        <v>0</v>
      </c>
      <c r="K48" s="14" t="n">
        <f aca="false">IF(OR(Time!K20=1,Time!K28=1),0,IF(OR(Time!K33=1,K45=1,Reserves!K13&lt;Reserves!K7-Inputs!$F$9,K47=1,Time!K34=1,Debt!K101&gt;Inputs!$F$9,Debt!K58+Debt!K59&gt;Inputs!$F$9),1,0))</f>
        <v>0</v>
      </c>
      <c r="L48" s="14" t="n">
        <f aca="false">IF(OR(Time!L20=1,Time!L28=1),0,IF(OR(Time!L33=1,L45=1,Reserves!L13&lt;Reserves!L7-Inputs!$F$9,L47=1,Time!L34=1,Debt!L101&gt;Inputs!$F$9,Debt!L58+Debt!L59&gt;Inputs!$F$9),1,0))</f>
        <v>0</v>
      </c>
      <c r="M48" s="14" t="n">
        <f aca="false">IF(OR(Time!M20=1,Time!M28=1),0,IF(OR(Time!M33=1,M45=1,Reserves!M13&lt;Reserves!M7-Inputs!$F$9,M47=1,Time!M34=1,Debt!M101&gt;Inputs!$F$9,Debt!M58+Debt!M59&gt;Inputs!$F$9),1,0))</f>
        <v>0</v>
      </c>
      <c r="N48" s="14" t="n">
        <f aca="false">IF(OR(Time!N20=1,Time!N28=1),0,IF(OR(Time!N33=1,N45=1,Reserves!N13&lt;Reserves!N7-Inputs!$F$9,N47=1,Time!N34=1,Debt!N101&gt;Inputs!$F$9,Debt!N58+Debt!N59&gt;Inputs!$F$9),1,0))</f>
        <v>0</v>
      </c>
      <c r="O48" s="14" t="n">
        <f aca="false">IF(OR(Time!O20=1,Time!O28=1),0,IF(OR(Time!O33=1,O45=1,Reserves!O13&lt;Reserves!O7-Inputs!$F$9,O47=1,Time!O34=1,Debt!O101&gt;Inputs!$F$9,Debt!O58+Debt!O59&gt;Inputs!$F$9),1,0))</f>
        <v>0</v>
      </c>
      <c r="P48" s="14" t="n">
        <f aca="false">IF(OR(Time!P20=1,Time!P28=1),0,IF(OR(Time!P33=1,P45=1,Reserves!P13&lt;Reserves!P7-Inputs!$F$9,P47=1,Time!P34=1,Debt!P101&gt;Inputs!$F$9,Debt!P58+Debt!P59&gt;Inputs!$F$9),1,0))</f>
        <v>0</v>
      </c>
      <c r="Q48" s="14" t="n">
        <f aca="false">IF(OR(Time!Q20=1,Time!Q28=1),0,IF(OR(Time!Q33=1,Q45=1,Reserves!Q13&lt;Reserves!Q7-Inputs!$F$9,Q47=1,Time!Q34=1,Debt!Q101&gt;Inputs!$F$9,Debt!Q58+Debt!Q59&gt;Inputs!$F$9),1,0))</f>
        <v>0</v>
      </c>
      <c r="R48" s="14" t="n">
        <f aca="false">IF(OR(Time!R20=1,Time!R28=1),0,IF(OR(Time!R33=1,R45=1,Reserves!R13&lt;Reserves!R7-Inputs!$F$9,R47=1,Time!R34=1,Debt!R101&gt;Inputs!$F$9,Debt!R58+Debt!R59&gt;Inputs!$F$9),1,0))</f>
        <v>0</v>
      </c>
      <c r="S48" s="14" t="n">
        <f aca="false">IF(OR(Time!S20=1,Time!S28=1),0,IF(OR(Time!S33=1,S45=1,Reserves!S13&lt;Reserves!S7-Inputs!$F$9,S47=1,Time!S34=1,Debt!S101&gt;Inputs!$F$9,Debt!S58+Debt!S59&gt;Inputs!$F$9),1,0))</f>
        <v>0</v>
      </c>
      <c r="T48" s="14" t="n">
        <f aca="false">IF(OR(Time!T20=1,Time!T28=1),0,IF(OR(Time!T33=1,T45=1,Reserves!T13&lt;Reserves!T7-Inputs!$F$9,T47=1,Time!T34=1,Debt!T101&gt;Inputs!$F$9,Debt!T58+Debt!T59&gt;Inputs!$F$9),1,0))</f>
        <v>0</v>
      </c>
      <c r="U48" s="14" t="n">
        <f aca="false">IF(OR(Time!U20=1,Time!U28=1),0,IF(OR(Time!U33=1,U45=1,Reserves!U13&lt;Reserves!U7-Inputs!$F$9,U47=1,Time!U34=1,Debt!U101&gt;Inputs!$F$9,Debt!U58+Debt!U59&gt;Inputs!$F$9),1,0))</f>
        <v>0</v>
      </c>
      <c r="V48" s="14" t="n">
        <f aca="false">IF(OR(Time!V20=1,Time!V28=1),0,IF(OR(Time!V33=1,V45=1,Reserves!V13&lt;Reserves!V7-Inputs!$F$9,V47=1,Time!V34=1,Debt!V101&gt;Inputs!$F$9,Debt!V58+Debt!V59&gt;Inputs!$F$9),1,0))</f>
        <v>0</v>
      </c>
      <c r="W48" s="14" t="n">
        <f aca="false">IF(OR(Time!W20=1,Time!W28=1),0,IF(OR(Time!W33=1,W45=1,Reserves!W13&lt;Reserves!W7-Inputs!$F$9,W47=1,Time!W34=1,Debt!W101&gt;Inputs!$F$9,Debt!W58+Debt!W59&gt;Inputs!$F$9),1,0))</f>
        <v>0</v>
      </c>
      <c r="X48" s="14" t="n">
        <f aca="false">IF(OR(Time!X20=1,Time!X28=1),0,IF(OR(Time!X33=1,X45=1,Reserves!X13&lt;Reserves!X7-Inputs!$F$9,X47=1,Time!X34=1,Debt!X101&gt;Inputs!$F$9,Debt!X58+Debt!X59&gt;Inputs!$F$9),1,0))</f>
        <v>0</v>
      </c>
      <c r="Y48" s="14" t="n">
        <f aca="false">IF(OR(Time!Y20=1,Time!Y28=1),0,IF(OR(Time!Y33=1,Y45=1,Reserves!Y13&lt;Reserves!Y7-Inputs!$F$9,Y47=1,Time!Y34=1,Debt!Y101&gt;Inputs!$F$9,Debt!Y58+Debt!Y59&gt;Inputs!$F$9),1,0))</f>
        <v>0</v>
      </c>
      <c r="Z48" s="14" t="n">
        <f aca="false">IF(OR(Time!Z20=1,Time!Z28=1),0,IF(OR(Time!Z33=1,Z45=1,Reserves!Z13&lt;Reserves!Z7-Inputs!$F$9,Z47=1,Time!Z34=1,Debt!Z101&gt;Inputs!$F$9,Debt!Z58+Debt!Z59&gt;Inputs!$F$9),1,0))</f>
        <v>1</v>
      </c>
      <c r="AA48" s="14" t="n">
        <f aca="false">IF(OR(Time!AA20=1,Time!AA28=1),0,IF(OR(Time!AA33=1,AA45=1,Reserves!AA13&lt;Reserves!AA7-Inputs!$F$9,AA47=1,Time!AA34=1,Debt!AA101&gt;Inputs!$F$9,Debt!AA58+Debt!AA59&gt;Inputs!$F$9),1,0))</f>
        <v>1</v>
      </c>
      <c r="AB48" s="14" t="n">
        <f aca="false">IF(OR(Time!AB20=1,Time!AB28=1),0,IF(OR(Time!AB33=1,AB45=1,Reserves!AB13&lt;Reserves!AB7-Inputs!$F$9,AB47=1,Time!AB34=1,Debt!AB101&gt;Inputs!$F$9,Debt!AB58+Debt!AB59&gt;Inputs!$F$9),1,0))</f>
        <v>1</v>
      </c>
      <c r="AC48" s="14" t="n">
        <f aca="false">IF(OR(Time!AC20=1,Time!AC28=1),0,IF(OR(Time!AC33=1,AC45=1,Reserves!AC13&lt;Reserves!AC7-Inputs!$F$9,AC47=1,Time!AC34=1,Debt!AC101&gt;Inputs!$F$9,Debt!AC58+Debt!AC59&gt;Inputs!$F$9),1,0))</f>
        <v>1</v>
      </c>
      <c r="AD48" s="14" t="n">
        <f aca="false">IF(OR(Time!AD20=1,Time!AD28=1),0,IF(OR(Time!AD33=1,AD45=1,Reserves!AD13&lt;Reserves!AD7-Inputs!$F$9,AD47=1,Time!AD34=1,Debt!AD101&gt;Inputs!$F$9,Debt!AD58+Debt!AD59&gt;Inputs!$F$9),1,0))</f>
        <v>0</v>
      </c>
      <c r="AE48" s="14" t="n">
        <f aca="false">IF(OR(Time!AE20=1,Time!AE28=1),0,IF(OR(Time!AE33=1,AE45=1,Reserves!AE13&lt;Reserves!AE7-Inputs!$F$9,AE47=1,Time!AE34=1,Debt!AE101&gt;Inputs!$F$9,Debt!AE58+Debt!AE59&gt;Inputs!$F$9),1,0))</f>
        <v>0</v>
      </c>
      <c r="AF48" s="14" t="n">
        <f aca="false">IF(OR(Time!AF20=1,Time!AF28=1),0,IF(OR(Time!AF33=1,AF45=1,Reserves!AF13&lt;Reserves!AF7-Inputs!$F$9,AF47=1,Time!AF34=1,Debt!AF101&gt;Inputs!$F$9,Debt!AF58+Debt!AF59&gt;Inputs!$F$9),1,0))</f>
        <v>0</v>
      </c>
      <c r="AG48" s="14" t="n">
        <f aca="false">IF(OR(Time!AG20=1,Time!AG28=1),0,IF(OR(Time!AG33=1,AG45=1,Reserves!AG13&lt;Reserves!AG7-Inputs!$F$9,AG47=1,Time!AG34=1,Debt!AG101&gt;Inputs!$F$9,Debt!AG58+Debt!AG59&gt;Inputs!$F$9),1,0))</f>
        <v>0</v>
      </c>
      <c r="AH48" s="14" t="n">
        <f aca="false">IF(OR(Time!AH20=1,Time!AH28=1),0,IF(OR(Time!AH33=1,AH45=1,Reserves!AH13&lt;Reserves!AH7-Inputs!$F$9,AH47=1,Time!AH34=1,Debt!AH101&gt;Inputs!$F$9,Debt!AH58+Debt!AH59&gt;Inputs!$F$9),1,0))</f>
        <v>0</v>
      </c>
      <c r="AI48" s="14" t="n">
        <f aca="false">IF(OR(Time!AI20=1,Time!AI28=1),0,IF(OR(Time!AI33=1,AI45=1,Reserves!AI13&lt;Reserves!AI7-Inputs!$F$9,AI47=1,Time!AI34=1,Debt!AI101&gt;Inputs!$F$9,Debt!AI58+Debt!AI59&gt;Inputs!$F$9),1,0))</f>
        <v>0</v>
      </c>
      <c r="AJ48" s="14" t="n">
        <f aca="false">IF(OR(Time!AJ20=1,Time!AJ28=1),0,IF(OR(Time!AJ33=1,AJ45=1,Reserves!AJ13&lt;Reserves!AJ7-Inputs!$F$9,AJ47=1,Time!AJ34=1,Debt!AJ101&gt;Inputs!$F$9,Debt!AJ58+Debt!AJ59&gt;Inputs!$F$9),1,0))</f>
        <v>0</v>
      </c>
      <c r="AK48" s="14" t="n">
        <f aca="false">IF(OR(Time!AK20=1,Time!AK28=1),0,IF(OR(Time!AK33=1,AK45=1,Reserves!AK13&lt;Reserves!AK7-Inputs!$F$9,AK47=1,Time!AK34=1,Debt!AK101&gt;Inputs!$F$9,Debt!AK58+Debt!AK59&gt;Inputs!$F$9),1,0))</f>
        <v>0</v>
      </c>
      <c r="AL48" s="14" t="n">
        <f aca="false">IF(OR(Time!AL20=1,Time!AL28=1),0,IF(OR(Time!AL33=1,AL45=1,Reserves!AL13&lt;Reserves!AL7-Inputs!$F$9,AL47=1,Time!AL34=1,Debt!AL101&gt;Inputs!$F$9,Debt!AL58+Debt!AL59&gt;Inputs!$F$9),1,0))</f>
        <v>0</v>
      </c>
      <c r="AM48" s="14" t="n">
        <f aca="false">IF(OR(Time!AM20=1,Time!AM28=1),0,IF(OR(Time!AM33=1,AM45=1,Reserves!AM13&lt;Reserves!AM7-Inputs!$F$9,AM47=1,Time!AM34=1,Debt!AM101&gt;Inputs!$F$9,Debt!AM58+Debt!AM59&gt;Inputs!$F$9),1,0))</f>
        <v>0</v>
      </c>
      <c r="AN48" s="14" t="n">
        <f aca="false">IF(OR(Time!AN20=1,Time!AN28=1),0,IF(OR(Time!AN33=1,AN45=1,Reserves!AN13&lt;Reserves!AN7-Inputs!$F$9,AN47=1,Time!AN34=1,Debt!AN101&gt;Inputs!$F$9,Debt!AN58+Debt!AN59&gt;Inputs!$F$9),1,0))</f>
        <v>0</v>
      </c>
      <c r="AO48" s="14" t="n">
        <f aca="false">IF(OR(Time!AO20=1,Time!AO28=1),0,IF(OR(Time!AO33=1,AO45=1,Reserves!AO13&lt;Reserves!AO7-Inputs!$F$9,AO47=1,Time!AO34=1,Debt!AO101&gt;Inputs!$F$9,Debt!AO58+Debt!AO59&gt;Inputs!$F$9),1,0))</f>
        <v>0</v>
      </c>
      <c r="AP48" s="14" t="n">
        <f aca="false">IF(OR(Time!AP20=1,Time!AP28=1),0,IF(OR(Time!AP33=1,AP45=1,Reserves!AP13&lt;Reserves!AP7-Inputs!$F$9,AP47=1,Time!AP34=1,Debt!AP101&gt;Inputs!$F$9,Debt!AP58+Debt!AP59&gt;Inputs!$F$9),1,0))</f>
        <v>0</v>
      </c>
      <c r="AQ48" s="14" t="n">
        <f aca="false">IF(OR(Time!AQ20=1,Time!AQ28=1),0,IF(OR(Time!AQ33=1,AQ45=1,Reserves!AQ13&lt;Reserves!AQ7-Inputs!$F$9,AQ47=1,Time!AQ34=1,Debt!AQ101&gt;Inputs!$F$9,Debt!AQ58+Debt!AQ59&gt;Inputs!$F$9),1,0))</f>
        <v>0</v>
      </c>
      <c r="AR48" s="14" t="n">
        <f aca="false">IF(OR(Time!AR20=1,Time!AR28=1),0,IF(OR(Time!AR33=1,AR45=1,Reserves!AR13&lt;Reserves!AR7-Inputs!$F$9,AR47=1,Time!AR34=1,Debt!AR101&gt;Inputs!$F$9,Debt!AR58+Debt!AR59&gt;Inputs!$F$9),1,0))</f>
        <v>0</v>
      </c>
      <c r="AS48" s="14" t="n">
        <f aca="false">IF(OR(Time!AS20=1,Time!AS28=1),0,IF(OR(Time!AS33=1,AS45=1,Reserves!AS13&lt;Reserves!AS7-Inputs!$F$9,AS47=1,Time!AS34=1,Debt!AS101&gt;Inputs!$F$9,Debt!AS58+Debt!AS59&gt;Inputs!$F$9),1,0))</f>
        <v>0</v>
      </c>
      <c r="AT48" s="14" t="n">
        <f aca="false">IF(OR(Time!AT20=1,Time!AT28=1),0,IF(OR(Time!AT33=1,AT45=1,Reserves!AT13&lt;Reserves!AT7-Inputs!$F$9,AT47=1,Time!AT34=1,Debt!AT101&gt;Inputs!$F$9,Debt!AT58+Debt!AT59&gt;Inputs!$F$9),1,0))</f>
        <v>0</v>
      </c>
      <c r="AU48" s="14" t="n">
        <f aca="false">IF(OR(Time!AU20=1,Time!AU28=1),0,IF(OR(Time!AU33=1,AU45=1,Reserves!AU13&lt;Reserves!AU7-Inputs!$F$9,AU47=1,Time!AU34=1,Debt!AU101&gt;Inputs!$F$9,Debt!AU58+Debt!AU59&gt;Inputs!$F$9),1,0))</f>
        <v>0</v>
      </c>
      <c r="AV48" s="14" t="n">
        <f aca="false">IF(OR(Time!AV20=1,Time!AV28=1),0,IF(OR(Time!AV33=1,AV45=1,Reserves!AV13&lt;Reserves!AV7-Inputs!$F$9,AV47=1,Time!AV34=1,Debt!AV101&gt;Inputs!$F$9,Debt!AV58+Debt!AV59&gt;Inputs!$F$9),1,0))</f>
        <v>0</v>
      </c>
      <c r="AW48" s="14" t="n">
        <f aca="false">IF(OR(Time!AW20=1,Time!AW28=1),0,IF(OR(Time!AW33=1,AW45=1,Reserves!AW13&lt;Reserves!AW7-Inputs!$F$9,AW47=1,Time!AW34=1,Debt!AW101&gt;Inputs!$F$9,Debt!AW58+Debt!AW59&gt;Inputs!$F$9),1,0))</f>
        <v>0</v>
      </c>
      <c r="AX48" s="14" t="n">
        <f aca="false">IF(OR(Time!AX20=1,Time!AX28=1),0,IF(OR(Time!AX33=1,AX45=1,Reserves!AX13&lt;Reserves!AX7-Inputs!$F$9,AX47=1,Time!AX34=1,Debt!AX101&gt;Inputs!$F$9,Debt!AX58+Debt!AX59&gt;Inputs!$F$9),1,0))</f>
        <v>0</v>
      </c>
      <c r="AY48" s="14" t="n">
        <f aca="false">IF(OR(Time!AY20=1,Time!AY28=1),0,IF(OR(Time!AY33=1,AY45=1,Reserves!AY13&lt;Reserves!AY7-Inputs!$F$9,AY47=1,Time!AY34=1,Debt!AY101&gt;Inputs!$F$9,Debt!AY58+Debt!AY59&gt;Inputs!$F$9),1,0))</f>
        <v>0</v>
      </c>
      <c r="AZ48" s="14" t="n">
        <f aca="false">IF(OR(Time!AZ20=1,Time!AZ28=1),0,IF(OR(Time!AZ33=1,AZ45=1,Reserves!AZ13&lt;Reserves!AZ7-Inputs!$F$9,AZ47=1,Time!AZ34=1,Debt!AZ101&gt;Inputs!$F$9,Debt!AZ58+Debt!AZ59&gt;Inputs!$F$9),1,0))</f>
        <v>0</v>
      </c>
      <c r="BA48" s="14" t="n">
        <f aca="false">IF(OR(Time!BA20=1,Time!BA28=1),0,IF(OR(Time!BA33=1,BA45=1,Reserves!BA13&lt;Reserves!BA7-Inputs!$F$9,BA47=1,Time!BA34=1,Debt!BA101&gt;Inputs!$F$9,Debt!BA58+Debt!BA59&gt;Inputs!$F$9),1,0))</f>
        <v>0</v>
      </c>
      <c r="BB48" s="14" t="n">
        <f aca="false">IF(OR(Time!BB20=1,Time!BB28=1),0,IF(OR(Time!BB33=1,BB45=1,Reserves!BB13&lt;Reserves!BB7-Inputs!$F$9,BB47=1,Time!BB34=1,Debt!BB101&gt;Inputs!$F$9,Debt!BB58+Debt!BB59&gt;Inputs!$F$9),1,0))</f>
        <v>0</v>
      </c>
      <c r="BC48" s="14" t="n">
        <f aca="false">IF(OR(Time!BC20=1,Time!BC28=1),0,IF(OR(Time!BC33=1,BC45=1,Reserves!BC13&lt;Reserves!BC7-Inputs!$F$9,BC47=1,Time!BC34=1,Debt!BC101&gt;Inputs!$F$9,Debt!BC58+Debt!BC59&gt;Inputs!$F$9),1,0))</f>
        <v>0</v>
      </c>
      <c r="BD48" s="14" t="n">
        <f aca="false">IF(OR(Time!BD20=1,Time!BD28=1),0,IF(OR(Time!BD33=1,BD45=1,Reserves!BD13&lt;Reserves!BD7-Inputs!$F$9,BD47=1,Time!BD34=1,Debt!BD101&gt;Inputs!$F$9,Debt!BD58+Debt!BD59&gt;Inputs!$F$9),1,0))</f>
        <v>0</v>
      </c>
      <c r="BE48" s="14" t="n">
        <f aca="false">IF(OR(Time!BE20=1,Time!BE28=1),0,IF(OR(Time!BE33=1,BE45=1,Reserves!BE13&lt;Reserves!BE7-Inputs!$F$9,BE47=1,Time!BE34=1,Debt!BE101&gt;Inputs!$F$9,Debt!BE58+Debt!BE59&gt;Inputs!$F$9),1,0))</f>
        <v>0</v>
      </c>
      <c r="BF48" s="14" t="n">
        <f aca="false">IF(OR(Time!BF20=1,Time!BF28=1),0,IF(OR(Time!BF33=1,BF45=1,Reserves!BF13&lt;Reserves!BF7-Inputs!$F$9,BF47=1,Time!BF34=1,Debt!BF101&gt;Inputs!$F$9,Debt!BF58+Debt!BF59&gt;Inputs!$F$9),1,0))</f>
        <v>0</v>
      </c>
      <c r="BG48" s="14" t="n">
        <f aca="false">IF(OR(Time!BG20=1,Time!BG28=1),0,IF(OR(Time!BG33=1,BG45=1,Reserves!BG13&lt;Reserves!BG7-Inputs!$F$9,BG47=1,Time!BG34=1,Debt!BG101&gt;Inputs!$F$9,Debt!BG58+Debt!BG59&gt;Inputs!$F$9),1,0))</f>
        <v>0</v>
      </c>
      <c r="BH48" s="14" t="n">
        <f aca="false">IF(OR(Time!BH20=1,Time!BH28=1),0,IF(OR(Time!BH33=1,BH45=1,Reserves!BH13&lt;Reserves!BH7-Inputs!$F$9,BH47=1,Time!BH34=1,Debt!BH101&gt;Inputs!$F$9,Debt!BH58+Debt!BH59&gt;Inputs!$F$9),1,0))</f>
        <v>0</v>
      </c>
      <c r="BI48" s="14" t="n">
        <f aca="false">IF(OR(Time!BI20=1,Time!BI28=1),0,IF(OR(Time!BI33=1,BI45=1,Reserves!BI13&lt;Reserves!BI7-Inputs!$F$9,BI47=1,Time!BI34=1,Debt!BI101&gt;Inputs!$F$9,Debt!BI58+Debt!BI59&gt;Inputs!$F$9),1,0))</f>
        <v>0</v>
      </c>
      <c r="BJ48" s="14" t="n">
        <f aca="false">IF(OR(Time!BJ20=1,Time!BJ28=1),0,IF(OR(Time!BJ33=1,BJ45=1,Reserves!BJ13&lt;Reserves!BJ7-Inputs!$F$9,BJ47=1,Time!BJ34=1,Debt!BJ101&gt;Inputs!$F$9,Debt!BJ58+Debt!BJ59&gt;Inputs!$F$9),1,0))</f>
        <v>0</v>
      </c>
      <c r="BK48" s="14" t="n">
        <f aca="false">IF(OR(Time!BK20=1,Time!BK28=1),0,IF(OR(Time!BK33=1,BK45=1,Reserves!BK13&lt;Reserves!BK7-Inputs!$F$9,BK47=1,Time!BK34=1,Debt!BK101&gt;Inputs!$F$9,Debt!BK58+Debt!BK59&gt;Inputs!$F$9),1,0))</f>
        <v>0</v>
      </c>
      <c r="BL48" s="14" t="n">
        <f aca="false">IF(OR(Time!BL20=1,Time!BL28=1),0,IF(OR(Time!BL33=1,BL45=1,Reserves!BL13&lt;Reserves!BL7-Inputs!$F$9,BL47=1,Time!BL34=1,Debt!BL101&gt;Inputs!$F$9,Debt!BL58+Debt!BL59&gt;Inputs!$F$9),1,0))</f>
        <v>0</v>
      </c>
      <c r="BM48" s="14" t="n">
        <f aca="false">IF(OR(Time!BM20=1,Time!BM28=1),0,IF(OR(Time!BM33=1,BM45=1,Reserves!BM13&lt;Reserves!BM7-Inputs!$F$9,BM47=1,Time!BM34=1,Debt!BM101&gt;Inputs!$F$9,Debt!BM58+Debt!BM59&gt;Inputs!$F$9),1,0))</f>
        <v>0</v>
      </c>
      <c r="BN48" s="14" t="n">
        <f aca="false">IF(OR(Time!BN20=1,Time!BN28=1),0,IF(OR(Time!BN33=1,BN45=1,Reserves!BN13&lt;Reserves!BN7-Inputs!$F$9,BN47=1,Time!BN34=1,Debt!BN101&gt;Inputs!$F$9,Debt!BN58+Debt!BN59&gt;Inputs!$F$9),1,0))</f>
        <v>0</v>
      </c>
      <c r="BO48" s="14" t="n">
        <f aca="false">IF(OR(Time!BO20=1,Time!BO28=1),0,IF(OR(Time!BO33=1,BO45=1,Reserves!BO13&lt;Reserves!BO7-Inputs!$F$9,BO47=1,Time!BO34=1,Debt!BO101&gt;Inputs!$F$9,Debt!BO58+Debt!BO59&gt;Inputs!$F$9),1,0))</f>
        <v>0</v>
      </c>
      <c r="BP48" s="14" t="n">
        <f aca="false">IF(OR(Time!BP20=1,Time!BP28=1),0,IF(OR(Time!BP33=1,BP45=1,Reserves!BP13&lt;Reserves!BP7-Inputs!$F$9,BP47=1,Time!BP34=1,Debt!BP101&gt;Inputs!$F$9,Debt!BP58+Debt!BP59&gt;Inputs!$F$9),1,0))</f>
        <v>0</v>
      </c>
      <c r="BQ48" s="14" t="n">
        <f aca="false">IF(OR(Time!BQ20=1,Time!BQ28=1),0,IF(OR(Time!BQ33=1,BQ45=1,Reserves!BQ13&lt;Reserves!BQ7-Inputs!$F$9,BQ47=1,Time!BQ34=1,Debt!BQ101&gt;Inputs!$F$9,Debt!BQ58+Debt!BQ59&gt;Inputs!$F$9),1,0))</f>
        <v>0</v>
      </c>
      <c r="BR48" s="14" t="n">
        <f aca="false">IF(OR(Time!BR20=1,Time!BR28=1),0,IF(OR(Time!BR33=1,BR45=1,Reserves!BR13&lt;Reserves!BR7-Inputs!$F$9,BR47=1,Time!BR34=1,Debt!BR101&gt;Inputs!$F$9,Debt!BR58+Debt!BR59&gt;Inputs!$F$9),1,0))</f>
        <v>0</v>
      </c>
      <c r="BS48" s="14" t="n">
        <f aca="false">IF(OR(Time!BS20=1,Time!BS28=1),0,IF(OR(Time!BS33=1,BS45=1,Reserves!BS13&lt;Reserves!BS7-Inputs!$F$9,BS47=1,Time!BS34=1,Debt!BS101&gt;Inputs!$F$9,Debt!BS58+Debt!BS59&gt;Inputs!$F$9),1,0))</f>
        <v>0</v>
      </c>
      <c r="BT48" s="14" t="n">
        <f aca="false">IF(OR(Time!BT20=1,Time!BT28=1),0,IF(OR(Time!BT33=1,BT45=1,Reserves!BT13&lt;Reserves!BT7-Inputs!$F$9,BT47=1,Time!BT34=1,Debt!BT101&gt;Inputs!$F$9,Debt!BT58+Debt!BT59&gt;Inputs!$F$9),1,0))</f>
        <v>0</v>
      </c>
      <c r="BU48" s="14" t="n">
        <f aca="false">IF(OR(Time!BU20=1,Time!BU28=1),0,IF(OR(Time!BU33=1,BU45=1,Reserves!BU13&lt;Reserves!BU7-Inputs!$F$9,BU47=1,Time!BU34=1,Debt!BU101&gt;Inputs!$F$9,Debt!BU58+Debt!BU59&gt;Inputs!$F$9),1,0))</f>
        <v>0</v>
      </c>
      <c r="BV48" s="14" t="n">
        <f aca="false">IF(OR(Time!BV20=1,Time!BV28=1),0,IF(OR(Time!BV33=1,BV45=1,Reserves!BV13&lt;Reserves!BV7-Inputs!$F$9,BV47=1,Time!BV34=1,Debt!BV101&gt;Inputs!$F$9,Debt!BV58+Debt!BV59&gt;Inputs!$F$9),1,0))</f>
        <v>0</v>
      </c>
      <c r="BW48" s="14" t="n">
        <f aca="false">IF(OR(Time!BW20=1,Time!BW28=1),0,IF(OR(Time!BW33=1,BW45=1,Reserves!BW13&lt;Reserves!BW7-Inputs!$F$9,BW47=1,Time!BW34=1,Debt!BW101&gt;Inputs!$F$9,Debt!BW58+Debt!BW59&gt;Inputs!$F$9),1,0))</f>
        <v>0</v>
      </c>
      <c r="BX48" s="14" t="n">
        <f aca="false">IF(OR(Time!BX20=1,Time!BX28=1),0,IF(OR(Time!BX33=1,BX45=1,Reserves!BX13&lt;Reserves!BX7-Inputs!$F$9,BX47=1,Time!BX34=1,Debt!BX101&gt;Inputs!$F$9,Debt!BX58+Debt!BX59&gt;Inputs!$F$9),1,0))</f>
        <v>0</v>
      </c>
      <c r="BY48" s="14" t="n">
        <f aca="false">IF(OR(Time!BY20=1,Time!BY28=1),0,IF(OR(Time!BY33=1,BY45=1,Reserves!BY13&lt;Reserves!BY7-Inputs!$F$9,BY47=1,Time!BY34=1,Debt!BY101&gt;Inputs!$F$9,Debt!BY58+Debt!BY59&gt;Inputs!$F$9),1,0))</f>
        <v>0</v>
      </c>
      <c r="BZ48" s="14" t="n">
        <f aca="false">IF(OR(Time!BZ20=1,Time!BZ28=1),0,IF(OR(Time!BZ33=1,BZ45=1,Reserves!BZ13&lt;Reserves!BZ7-Inputs!$F$9,BZ47=1,Time!BZ34=1,Debt!BZ101&gt;Inputs!$F$9,Debt!BZ58+Debt!BZ59&gt;Inputs!$F$9),1,0))</f>
        <v>0</v>
      </c>
      <c r="CA48" s="14" t="n">
        <f aca="false">IF(OR(Time!CA20=1,Time!CA28=1),0,IF(OR(Time!CA33=1,CA45=1,Reserves!CA13&lt;Reserves!CA7-Inputs!$F$9,CA47=1,Time!CA34=1,Debt!CA101&gt;Inputs!$F$9,Debt!CA58+Debt!CA59&gt;Inputs!$F$9),1,0))</f>
        <v>0</v>
      </c>
      <c r="CB48" s="14" t="n">
        <f aca="false">IF(OR(Time!CB20=1,Time!CB28=1),0,IF(OR(Time!CB33=1,CB45=1,Reserves!CB13&lt;Reserves!CB7-Inputs!$F$9,CB47=1,Time!CB34=1,Debt!CB101&gt;Inputs!$F$9,Debt!CB58+Debt!CB59&gt;Inputs!$F$9),1,0))</f>
        <v>0</v>
      </c>
      <c r="CC48" s="14" t="n">
        <f aca="false">IF(OR(Time!CC20=1,Time!CC28=1),0,IF(OR(Time!CC33=1,CC45=1,Reserves!CC13&lt;Reserves!CC7-Inputs!$F$9,CC47=1,Time!CC34=1,Debt!CC101&gt;Inputs!$F$9,Debt!CC58+Debt!CC59&gt;Inputs!$F$9),1,0))</f>
        <v>0</v>
      </c>
      <c r="CD48" s="14" t="n">
        <f aca="false">IF(OR(Time!CD20=1,Time!CD28=1),0,IF(OR(Time!CD33=1,CD45=1,Reserves!CD13&lt;Reserves!CD7-Inputs!$F$9,CD47=1,Time!CD34=1,Debt!CD101&gt;Inputs!$F$9,Debt!CD58+Debt!CD59&gt;Inputs!$F$9),1,0))</f>
        <v>0</v>
      </c>
      <c r="CE48" s="14" t="n">
        <f aca="false">IF(OR(Time!CE20=1,Time!CE28=1),0,IF(OR(Time!CE33=1,CE45=1,Reserves!CE13&lt;Reserves!CE7-Inputs!$F$9,CE47=1,Time!CE34=1,Debt!CE101&gt;Inputs!$F$9,Debt!CE58+Debt!CE59&gt;Inputs!$F$9),1,0))</f>
        <v>0</v>
      </c>
      <c r="CF48" s="14" t="n">
        <f aca="false">IF(OR(Time!CF20=1,Time!CF28=1),0,IF(OR(Time!CF33=1,CF45=1,Reserves!CF13&lt;Reserves!CF7-Inputs!$F$9,CF47=1,Time!CF34=1,Debt!CF101&gt;Inputs!$F$9,Debt!CF58+Debt!CF59&gt;Inputs!$F$9),1,0))</f>
        <v>0</v>
      </c>
      <c r="CG48" s="14" t="n">
        <f aca="false">IF(OR(Time!CG20=1,Time!CG28=1),0,IF(OR(Time!CG33=1,CG45=1,Reserves!CG13&lt;Reserves!CG7-Inputs!$F$9,CG47=1,Time!CG34=1,Debt!CG101&gt;Inputs!$F$9,Debt!CG58+Debt!CG59&gt;Inputs!$F$9),1,0))</f>
        <v>0</v>
      </c>
      <c r="CH48" s="14" t="n">
        <f aca="false">IF(OR(Time!CH20=1,Time!CH28=1),0,IF(OR(Time!CH33=1,CH45=1,Reserves!CH13&lt;Reserves!CH7-Inputs!$F$9,CH47=1,Time!CH34=1,Debt!CH101&gt;Inputs!$F$9,Debt!CH58+Debt!CH59&gt;Inputs!$F$9),1,0))</f>
        <v>0</v>
      </c>
      <c r="CI48" s="14" t="n">
        <f aca="false">IF(OR(Time!CI20=1,Time!CI28=1),0,IF(OR(Time!CI33=1,CI45=1,Reserves!CI13&lt;Reserves!CI7-Inputs!$F$9,CI47=1,Time!CI34=1,Debt!CI101&gt;Inputs!$F$9,Debt!CI58+Debt!CI59&gt;Inputs!$F$9),1,0))</f>
        <v>0</v>
      </c>
      <c r="CJ48" s="14" t="n">
        <f aca="false">IF(OR(Time!CJ20=1,Time!CJ28=1),0,IF(OR(Time!CJ33=1,CJ45=1,Reserves!CJ13&lt;Reserves!CJ7-Inputs!$F$9,CJ47=1,Time!CJ34=1,Debt!CJ101&gt;Inputs!$F$9,Debt!CJ58+Debt!CJ59&gt;Inputs!$F$9),1,0))</f>
        <v>0</v>
      </c>
      <c r="CK48" s="14" t="n">
        <f aca="false">IF(OR(Time!CK20=1,Time!CK28=1),0,IF(OR(Time!CK33=1,CK45=1,Reserves!CK13&lt;Reserves!CK7-Inputs!$F$9,CK47=1,Time!CK34=1,Debt!CK101&gt;Inputs!$F$9,Debt!CK58+Debt!CK59&gt;Inputs!$F$9),1,0))</f>
        <v>0</v>
      </c>
      <c r="CL48" s="14" t="n">
        <f aca="false">IF(OR(Time!CL20=1,Time!CL28=1),0,IF(OR(Time!CL33=1,CL45=1,Reserves!CL13&lt;Reserves!CL7-Inputs!$F$9,CL47=1,Time!CL34=1,Debt!CL101&gt;Inputs!$F$9,Debt!CL58+Debt!CL59&gt;Inputs!$F$9),1,0))</f>
        <v>0</v>
      </c>
      <c r="CM48" s="14" t="n">
        <f aca="false">IF(OR(Time!CM20=1,Time!CM28=1),0,IF(OR(Time!CM33=1,CM45=1,Reserves!CM13&lt;Reserves!CM7-Inputs!$F$9,CM47=1,Time!CM34=1,Debt!CM101&gt;Inputs!$F$9,Debt!CM58+Debt!CM59&gt;Inputs!$F$9),1,0))</f>
        <v>0</v>
      </c>
      <c r="CN48" s="14" t="n">
        <f aca="false">IF(OR(Time!CN20=1,Time!CN28=1),0,IF(OR(Time!CN33=1,CN45=1,Reserves!CN13&lt;Reserves!CN7-Inputs!$F$9,CN47=1,Time!CN34=1,Debt!CN101&gt;Inputs!$F$9,Debt!CN58+Debt!CN59&gt;Inputs!$F$9),1,0))</f>
        <v>0</v>
      </c>
      <c r="CO48" s="14" t="n">
        <f aca="false">IF(OR(Time!CO20=1,Time!CO28=1),0,IF(OR(Time!CO33=1,CO45=1,Reserves!CO13&lt;Reserves!CO7-Inputs!$F$9,CO47=1,Time!CO34=1,Debt!CO101&gt;Inputs!$F$9,Debt!CO58+Debt!CO59&gt;Inputs!$F$9),1,0))</f>
        <v>0</v>
      </c>
      <c r="CP48" s="14" t="n">
        <f aca="false">IF(OR(Time!CP20=1,Time!CP28=1),0,IF(OR(Time!CP33=1,CP45=1,Reserves!CP13&lt;Reserves!CP7-Inputs!$F$9,CP47=1,Time!CP34=1,Debt!CP101&gt;Inputs!$F$9,Debt!CP58+Debt!CP59&gt;Inputs!$F$9),1,0))</f>
        <v>0</v>
      </c>
      <c r="CQ48" s="14" t="n">
        <f aca="false">IF(OR(Time!CQ20=1,Time!CQ28=1),0,IF(OR(Time!CQ33=1,CQ45=1,Reserves!CQ13&lt;Reserves!CQ7-Inputs!$F$9,CQ47=1,Time!CQ34=1,Debt!CQ101&gt;Inputs!$F$9,Debt!CQ58+Debt!CQ59&gt;Inputs!$F$9),1,0))</f>
        <v>0</v>
      </c>
      <c r="CR48" s="14" t="n">
        <f aca="false">IF(OR(Time!CR20=1,Time!CR28=1),0,IF(OR(Time!CR33=1,CR45=1,Reserves!CR13&lt;Reserves!CR7-Inputs!$F$9,CR47=1,Time!CR34=1,Debt!CR101&gt;Inputs!$F$9,Debt!CR58+Debt!CR59&gt;Inputs!$F$9),1,0))</f>
        <v>0</v>
      </c>
      <c r="CS48" s="14" t="n">
        <f aca="false">IF(OR(Time!CS20=1,Time!CS28=1),0,IF(OR(Time!CS33=1,CS45=1,Reserves!CS13&lt;Reserves!CS7-Inputs!$F$9,CS47=1,Time!CS34=1,Debt!CS101&gt;Inputs!$F$9,Debt!CS58+Debt!CS59&gt;Inputs!$F$9),1,0))</f>
        <v>0</v>
      </c>
      <c r="CT48" s="14" t="n">
        <f aca="false">IF(OR(Time!CT20=1,Time!CT28=1),0,IF(OR(Time!CT33=1,CT45=1,Reserves!CT13&lt;Reserves!CT7-Inputs!$F$9,CT47=1,Time!CT34=1,Debt!CT101&gt;Inputs!$F$9,Debt!CT58+Debt!CT59&gt;Inputs!$F$9),1,0))</f>
        <v>0</v>
      </c>
      <c r="CU48" s="14" t="n">
        <f aca="false">IF(OR(Time!CU20=1,Time!CU28=1),0,IF(OR(Time!CU33=1,CU45=1,Reserves!CU13&lt;Reserves!CU7-Inputs!$F$9,CU47=1,Time!CU34=1,Debt!CU101&gt;Inputs!$F$9,Debt!CU58+Debt!CU59&gt;Inputs!$F$9),1,0))</f>
        <v>0</v>
      </c>
      <c r="CV48" s="14" t="n">
        <f aca="false">IF(OR(Time!CV20=1,Time!CV28=1),0,IF(OR(Time!CV33=1,CV45=1,Reserves!CV13&lt;Reserves!CV7-Inputs!$F$9,CV47=1,Time!CV34=1,Debt!CV101&gt;Inputs!$F$9,Debt!CV58+Debt!CV59&gt;Inputs!$F$9),1,0))</f>
        <v>0</v>
      </c>
      <c r="CW48" s="14" t="n">
        <f aca="false">IF(OR(Time!CW20=1,Time!CW28=1),0,IF(OR(Time!CW33=1,CW45=1,Reserves!CW13&lt;Reserves!CW7-Inputs!$F$9,CW47=1,Time!CW34=1,Debt!CW101&gt;Inputs!$F$9,Debt!CW58+Debt!CW59&gt;Inputs!$F$9),1,0))</f>
        <v>0</v>
      </c>
      <c r="CX48" s="14" t="n">
        <f aca="false">IF(OR(Time!CX20=1,Time!CX28=1),0,IF(OR(Time!CX33=1,CX45=1,Reserves!CX13&lt;Reserves!CX7-Inputs!$F$9,CX47=1,Time!CX34=1,Debt!CX101&gt;Inputs!$F$9,Debt!CX58+Debt!CX59&gt;Inputs!$F$9),1,0))</f>
        <v>0</v>
      </c>
      <c r="CY48" s="14" t="n">
        <f aca="false">IF(OR(Time!CY20=1,Time!CY28=1),0,IF(OR(Time!CY33=1,CY45=1,Reserves!CY13&lt;Reserves!CY7-Inputs!$F$9,CY47=1,Time!CY34=1,Debt!CY101&gt;Inputs!$F$9,Debt!CY58+Debt!CY59&gt;Inputs!$F$9),1,0))</f>
        <v>0</v>
      </c>
      <c r="CZ48" s="14" t="n">
        <f aca="false">IF(OR(Time!CZ20=1,Time!CZ28=1),0,IF(OR(Time!CZ33=1,CZ45=1,Reserves!CZ13&lt;Reserves!CZ7-Inputs!$F$9,CZ47=1,Time!CZ34=1,Debt!CZ101&gt;Inputs!$F$9,Debt!CZ58+Debt!CZ59&gt;Inputs!$F$9),1,0))</f>
        <v>0</v>
      </c>
      <c r="DA48" s="14" t="n">
        <f aca="false">IF(OR(Time!DA20=1,Time!DA28=1),0,IF(OR(Time!DA33=1,DA45=1,Reserves!DA13&lt;Reserves!DA7-Inputs!$F$9,DA47=1,Time!DA34=1,Debt!DA101&gt;Inputs!$F$9,Debt!DA58+Debt!DA59&gt;Inputs!$F$9),1,0))</f>
        <v>0</v>
      </c>
      <c r="DB48" s="14" t="n">
        <f aca="false">IF(OR(Time!DB20=1,Time!DB28=1),0,IF(OR(Time!DB33=1,DB45=1,Reserves!DB13&lt;Reserves!DB7-Inputs!$F$9,DB47=1,Time!DB34=1,Debt!DB101&gt;Inputs!$F$9,Debt!DB58+Debt!DB59&gt;Inputs!$F$9),1,0))</f>
        <v>0</v>
      </c>
    </row>
    <row r="49" customFormat="false" ht="15" hidden="false" customHeight="false" outlineLevel="0" collapsed="false">
      <c r="D49" s="0" t="s">
        <v>636</v>
      </c>
      <c r="E49" s="0" t="s">
        <v>44</v>
      </c>
      <c r="G49" s="19" t="n">
        <f aca="false">SUM(J49:DB49)</f>
        <v>3548.24452291312</v>
      </c>
      <c r="J49" s="19" t="n">
        <f aca="false">IF(J48=1,0,MAX(0,J39))*(1-Time!J20)</f>
        <v>0</v>
      </c>
      <c r="K49" s="19" t="n">
        <f aca="false">IF(K48=1,0,MAX(0,K39))*(1-Time!K20)</f>
        <v>0</v>
      </c>
      <c r="L49" s="19" t="n">
        <f aca="false">IF(L48=1,0,MAX(0,L39))*(1-Time!L20)</f>
        <v>0</v>
      </c>
      <c r="M49" s="19" t="n">
        <f aca="false">IF(M48=1,0,MAX(0,M39))*(1-Time!M20)</f>
        <v>0</v>
      </c>
      <c r="N49" s="19" t="n">
        <f aca="false">IF(N48=1,0,MAX(0,N39))*(1-Time!N20)</f>
        <v>0</v>
      </c>
      <c r="O49" s="19" t="n">
        <f aca="false">IF(O48=1,0,MAX(0,O39))*(1-Time!O20)</f>
        <v>0</v>
      </c>
      <c r="P49" s="19" t="n">
        <f aca="false">IF(P48=1,0,MAX(0,P39))*(1-Time!P20)</f>
        <v>0</v>
      </c>
      <c r="Q49" s="19" t="n">
        <f aca="false">IF(Q48=1,0,MAX(0,Q39))*(1-Time!Q20)</f>
        <v>0</v>
      </c>
      <c r="R49" s="19" t="n">
        <f aca="false">IF(R48=1,0,MAX(0,R39))*(1-Time!R20)</f>
        <v>0</v>
      </c>
      <c r="S49" s="19" t="n">
        <f aca="false">IF(S48=1,0,MAX(0,S39))*(1-Time!S20)</f>
        <v>0</v>
      </c>
      <c r="T49" s="19" t="n">
        <f aca="false">IF(T48=1,0,MAX(0,T39))*(1-Time!T20)</f>
        <v>0</v>
      </c>
      <c r="U49" s="19" t="n">
        <f aca="false">IF(U48=1,0,MAX(0,U39))*(1-Time!U20)</f>
        <v>0</v>
      </c>
      <c r="V49" s="19" t="n">
        <f aca="false">IF(V48=1,0,MAX(0,V39))*(1-Time!V20)</f>
        <v>0</v>
      </c>
      <c r="W49" s="19" t="n">
        <f aca="false">IF(W48=1,0,MAX(0,W39))*(1-Time!W20)</f>
        <v>0</v>
      </c>
      <c r="X49" s="19" t="n">
        <f aca="false">IF(X48=1,0,MAX(0,X39))*(1-Time!X20)</f>
        <v>0</v>
      </c>
      <c r="Y49" s="19" t="n">
        <f aca="false">IF(Y48=1,0,MAX(0,Y39))*(1-Time!Y20)</f>
        <v>0</v>
      </c>
      <c r="Z49" s="19" t="n">
        <f aca="false">IF(Z48=1,0,MAX(0,Z39))*(1-Time!Z20)</f>
        <v>0</v>
      </c>
      <c r="AA49" s="19" t="n">
        <f aca="false">IF(AA48=1,0,MAX(0,AA39))*(1-Time!AA20)</f>
        <v>0</v>
      </c>
      <c r="AB49" s="19" t="n">
        <f aca="false">IF(AB48=1,0,MAX(0,AB39))*(1-Time!AB20)</f>
        <v>0</v>
      </c>
      <c r="AC49" s="19" t="n">
        <f aca="false">IF(AC48=1,0,MAX(0,AC39))*(1-Time!AC20)</f>
        <v>0</v>
      </c>
      <c r="AD49" s="19" t="n">
        <f aca="false">IF(AD48=1,0,MAX(0,AD39))*(1-Time!AD20)</f>
        <v>62.2612711860763</v>
      </c>
      <c r="AE49" s="19" t="n">
        <f aca="false">IF(AE48=1,0,MAX(0,AE39))*(1-Time!AE20)</f>
        <v>20.153216868213</v>
      </c>
      <c r="AF49" s="19" t="n">
        <f aca="false">IF(AF48=1,0,MAX(0,AF39))*(1-Time!AF20)</f>
        <v>18.6162481330978</v>
      </c>
      <c r="AG49" s="19" t="n">
        <f aca="false">IF(AG48=1,0,MAX(0,AG39))*(1-Time!AG20)</f>
        <v>26.1809099949294</v>
      </c>
      <c r="AH49" s="19" t="n">
        <f aca="false">IF(AH48=1,0,MAX(0,AH39))*(1-Time!AH20)</f>
        <v>26.9528117441956</v>
      </c>
      <c r="AI49" s="19" t="n">
        <f aca="false">IF(AI48=1,0,MAX(0,AI39))*(1-Time!AI20)</f>
        <v>26.2548361055693</v>
      </c>
      <c r="AJ49" s="19" t="n">
        <f aca="false">IF(AJ48=1,0,MAX(0,AJ39))*(1-Time!AJ20)</f>
        <v>21.9796550908114</v>
      </c>
      <c r="AK49" s="19" t="n">
        <f aca="false">IF(AK48=1,0,MAX(0,AK39))*(1-Time!AK20)</f>
        <v>21.1596487361034</v>
      </c>
      <c r="AL49" s="19" t="n">
        <f aca="false">IF(AL48=1,0,MAX(0,AL39))*(1-Time!AL20)</f>
        <v>22.1978323984121</v>
      </c>
      <c r="AM49" s="19" t="n">
        <f aca="false">IF(AM48=1,0,MAX(0,AM39))*(1-Time!AM20)</f>
        <v>24.9700113969345</v>
      </c>
      <c r="AN49" s="19" t="n">
        <f aca="false">IF(AN48=1,0,MAX(0,AN39))*(1-Time!AN20)</f>
        <v>26.0744455934944</v>
      </c>
      <c r="AO49" s="19" t="n">
        <f aca="false">IF(AO48=1,0,MAX(0,AO39))*(1-Time!AO20)</f>
        <v>32.2259057725788</v>
      </c>
      <c r="AP49" s="19" t="n">
        <f aca="false">IF(AP48=1,0,MAX(0,AP39))*(1-Time!AP20)</f>
        <v>33.1926752938878</v>
      </c>
      <c r="AQ49" s="19" t="n">
        <f aca="false">IF(AQ48=1,0,MAX(0,AQ39))*(1-Time!AQ20)</f>
        <v>26.1686336397305</v>
      </c>
      <c r="AR49" s="19" t="n">
        <f aca="false">IF(AR48=1,0,MAX(0,AR39))*(1-Time!AR20)</f>
        <v>27.8172156849531</v>
      </c>
      <c r="AS49" s="19" t="n">
        <f aca="false">IF(AS48=1,0,MAX(0,AS39))*(1-Time!AS20)</f>
        <v>30.8099066914593</v>
      </c>
      <c r="AT49" s="19" t="n">
        <f aca="false">IF(AT48=1,0,MAX(0,AT39))*(1-Time!AT20)</f>
        <v>32.1401281956166</v>
      </c>
      <c r="AU49" s="19" t="n">
        <f aca="false">IF(AU48=1,0,MAX(0,AU39))*(1-Time!AU20)</f>
        <v>35.2761397943318</v>
      </c>
      <c r="AV49" s="19" t="n">
        <f aca="false">IF(AV48=1,0,MAX(0,AV39))*(1-Time!AV20)</f>
        <v>34.452680637697</v>
      </c>
      <c r="AW49" s="19" t="n">
        <f aca="false">IF(AW48=1,0,MAX(0,AW39))*(1-Time!AW20)</f>
        <v>39.2127585198219</v>
      </c>
      <c r="AX49" s="19" t="n">
        <f aca="false">IF(AX48=1,0,MAX(0,AX39))*(1-Time!AX20)</f>
        <v>39.9126921300759</v>
      </c>
      <c r="AY49" s="19" t="n">
        <f aca="false">IF(AY48=1,0,MAX(0,AY39))*(1-Time!AY20)</f>
        <v>39.6210037357918</v>
      </c>
      <c r="AZ49" s="19" t="n">
        <f aca="false">IF(AZ48=1,0,MAX(0,AZ39))*(1-Time!AZ20)</f>
        <v>39.4076048994695</v>
      </c>
      <c r="BA49" s="19" t="n">
        <f aca="false">IF(BA48=1,0,MAX(0,BA39))*(1-Time!BA20)</f>
        <v>42.3258323015884</v>
      </c>
      <c r="BB49" s="19" t="n">
        <f aca="false">IF(BB48=1,0,MAX(0,BB39))*(1-Time!BB20)</f>
        <v>38.3726861535808</v>
      </c>
      <c r="BC49" s="19" t="n">
        <f aca="false">IF(BC48=1,0,MAX(0,BC39))*(1-Time!BC20)</f>
        <v>48.8791228121867</v>
      </c>
      <c r="BD49" s="19" t="n">
        <f aca="false">IF(BD48=1,0,MAX(0,BD39))*(1-Time!BD20)</f>
        <v>46.5243733678273</v>
      </c>
      <c r="BE49" s="19" t="n">
        <f aca="false">IF(BE48=1,0,MAX(0,BE39))*(1-Time!BE20)</f>
        <v>53.5233040923341</v>
      </c>
      <c r="BF49" s="19" t="n">
        <f aca="false">IF(BF48=1,0,MAX(0,BF39))*(1-Time!BF20)</f>
        <v>52.6107239619731</v>
      </c>
      <c r="BG49" s="19" t="n">
        <f aca="false">IF(BG48=1,0,MAX(0,BG39))*(1-Time!BG20)</f>
        <v>56.262549127704</v>
      </c>
      <c r="BH49" s="19" t="n">
        <f aca="false">IF(BH48=1,0,MAX(0,BH39))*(1-Time!BH20)</f>
        <v>56.0169229898736</v>
      </c>
      <c r="BI49" s="19" t="n">
        <f aca="false">IF(BI48=1,0,MAX(0,BI39))*(1-Time!BI20)</f>
        <v>59.5663938632578</v>
      </c>
      <c r="BJ49" s="19" t="n">
        <f aca="false">IF(BJ48=1,0,MAX(0,BJ39))*(1-Time!BJ20)</f>
        <v>58.5616402930852</v>
      </c>
      <c r="BK49" s="19" t="n">
        <f aca="false">IF(BK48=1,0,MAX(0,BK39))*(1-Time!BK20)</f>
        <v>62.849282198954</v>
      </c>
      <c r="BL49" s="19" t="n">
        <f aca="false">IF(BL48=1,0,MAX(0,BL39))*(1-Time!BL20)</f>
        <v>61.8128658950342</v>
      </c>
      <c r="BM49" s="19" t="n">
        <f aca="false">IF(BM48=1,0,MAX(0,BM39))*(1-Time!BM20)</f>
        <v>66.2927167948559</v>
      </c>
      <c r="BN49" s="19" t="n">
        <f aca="false">IF(BN48=1,0,MAX(0,BN39))*(1-Time!BN20)</f>
        <v>72.1907077428689</v>
      </c>
      <c r="BO49" s="19" t="n">
        <f aca="false">IF(BO48=1,0,MAX(0,BO39))*(1-Time!BO20)</f>
        <v>60.9205106027324</v>
      </c>
      <c r="BP49" s="19" t="n">
        <f aca="false">IF(BP48=1,0,MAX(0,BP39))*(1-Time!BP20)</f>
        <v>60.6566230253074</v>
      </c>
      <c r="BQ49" s="19" t="n">
        <f aca="false">IF(BQ48=1,0,MAX(0,BQ39))*(1-Time!BQ20)</f>
        <v>48.457843040831</v>
      </c>
      <c r="BR49" s="19" t="n">
        <f aca="false">IF(BR48=1,0,MAX(0,BR39))*(1-Time!BR20)</f>
        <v>36.6385018056577</v>
      </c>
      <c r="BS49" s="19" t="n">
        <f aca="false">IF(BS48=1,0,MAX(0,BS39))*(1-Time!BS20)</f>
        <v>40.2798441959204</v>
      </c>
      <c r="BT49" s="19" t="n">
        <f aca="false">IF(BT48=1,0,MAX(0,BT39))*(1-Time!BT20)</f>
        <v>30.5174024508114</v>
      </c>
      <c r="BU49" s="19" t="n">
        <f aca="false">IF(BU48=1,0,MAX(0,BU39))*(1-Time!BU20)</f>
        <v>80.3839545433485</v>
      </c>
      <c r="BV49" s="19" t="n">
        <f aca="false">IF(BV48=1,0,MAX(0,BV39))*(1-Time!BV20)</f>
        <v>50.1945715456323</v>
      </c>
      <c r="BW49" s="19" t="n">
        <f aca="false">IF(BW48=1,0,MAX(0,BW39))*(1-Time!BW20)</f>
        <v>50.5951403377116</v>
      </c>
      <c r="BX49" s="19" t="n">
        <f aca="false">IF(BX48=1,0,MAX(0,BX39))*(1-Time!BX20)</f>
        <v>48.352725574819</v>
      </c>
      <c r="BY49" s="19" t="n">
        <f aca="false">IF(BY48=1,0,MAX(0,BY39))*(1-Time!BY20)</f>
        <v>51.7204240138939</v>
      </c>
      <c r="BZ49" s="19" t="n">
        <f aca="false">IF(BZ48=1,0,MAX(0,BZ39))*(1-Time!BZ20)</f>
        <v>53.0469789633126</v>
      </c>
      <c r="CA49" s="19" t="n">
        <f aca="false">IF(CA48=1,0,MAX(0,CA39))*(1-Time!CA20)</f>
        <v>46.908151383406</v>
      </c>
      <c r="CB49" s="19" t="n">
        <f aca="false">IF(CB48=1,0,MAX(0,CB39))*(1-Time!CB20)</f>
        <v>43.6467655551318</v>
      </c>
      <c r="CC49" s="19" t="n">
        <f aca="false">IF(CC48=1,0,MAX(0,CC39))*(1-Time!CC20)</f>
        <v>47.8393071299145</v>
      </c>
      <c r="CD49" s="19" t="n">
        <f aca="false">IF(CD48=1,0,MAX(0,CD39))*(1-Time!CD20)</f>
        <v>46.6364934953854</v>
      </c>
      <c r="CE49" s="19" t="n">
        <f aca="false">IF(CE48=1,0,MAX(0,CE39))*(1-Time!CE20)</f>
        <v>51.9277516374682</v>
      </c>
      <c r="CF49" s="19" t="n">
        <f aca="false">IF(CF48=1,0,MAX(0,CF39))*(1-Time!CF20)</f>
        <v>51.1443474988465</v>
      </c>
      <c r="CG49" s="19" t="n">
        <f aca="false">IF(CG48=1,0,MAX(0,CG39))*(1-Time!CG20)</f>
        <v>126.874844186985</v>
      </c>
      <c r="CH49" s="19" t="n">
        <f aca="false">IF(CH48=1,0,MAX(0,CH39))*(1-Time!CH20)</f>
        <v>97.7708235518326</v>
      </c>
      <c r="CI49" s="19" t="n">
        <f aca="false">IF(CI48=1,0,MAX(0,CI39))*(1-Time!CI20)</f>
        <v>102.206624564995</v>
      </c>
      <c r="CJ49" s="19" t="n">
        <f aca="false">IF(CJ48=1,0,MAX(0,CJ39))*(1-Time!CJ20)</f>
        <v>101.462958996345</v>
      </c>
      <c r="CK49" s="19" t="n">
        <f aca="false">IF(CK48=1,0,MAX(0,CK39))*(1-Time!CK20)</f>
        <v>118.340518486067</v>
      </c>
      <c r="CL49" s="19" t="n">
        <f aca="false">IF(CL48=1,0,MAX(0,CL39))*(1-Time!CL20)</f>
        <v>109.664059573532</v>
      </c>
      <c r="CM49" s="19" t="n">
        <f aca="false">IF(CM48=1,0,MAX(0,CM39))*(1-Time!CM20)</f>
        <v>114.443570553427</v>
      </c>
      <c r="CN49" s="19" t="n">
        <f aca="false">IF(CN48=1,0,MAX(0,CN39))*(1-Time!CN20)</f>
        <v>114.326807620848</v>
      </c>
      <c r="CO49" s="19" t="n">
        <f aca="false">IF(CO48=1,0,MAX(0,CO39))*(1-Time!CO20)</f>
        <v>118.598964170886</v>
      </c>
      <c r="CP49" s="19" t="n">
        <f aca="false">IF(CP48=1,0,MAX(0,CP39))*(1-Time!CP20)</f>
        <v>161.860660569695</v>
      </c>
      <c r="CQ49" s="19" t="n">
        <f aca="false">IF(CQ48=1,0,MAX(0,CQ39))*(1-Time!CQ20)</f>
        <v>0</v>
      </c>
      <c r="CR49" s="19" t="n">
        <f aca="false">IF(CR48=1,0,MAX(0,CR39))*(1-Time!CR20)</f>
        <v>0</v>
      </c>
      <c r="CS49" s="19" t="n">
        <f aca="false">IF(CS48=1,0,MAX(0,CS39))*(1-Time!CS20)</f>
        <v>0</v>
      </c>
      <c r="CT49" s="19" t="n">
        <f aca="false">IF(CT48=1,0,MAX(0,CT39))*(1-Time!CT20)</f>
        <v>0</v>
      </c>
      <c r="CU49" s="19" t="n">
        <f aca="false">IF(CU48=1,0,MAX(0,CU39))*(1-Time!CU20)</f>
        <v>0</v>
      </c>
      <c r="CV49" s="19" t="n">
        <f aca="false">IF(CV48=1,0,MAX(0,CV39))*(1-Time!CV20)</f>
        <v>0</v>
      </c>
      <c r="CW49" s="19" t="n">
        <f aca="false">IF(CW48=1,0,MAX(0,CW39))*(1-Time!CW20)</f>
        <v>0</v>
      </c>
      <c r="CX49" s="19" t="n">
        <f aca="false">IF(CX48=1,0,MAX(0,CX39))*(1-Time!CX20)</f>
        <v>0</v>
      </c>
      <c r="CY49" s="19" t="n">
        <f aca="false">IF(CY48=1,0,MAX(0,CY39))*(1-Time!CY20)</f>
        <v>0</v>
      </c>
      <c r="CZ49" s="19" t="n">
        <f aca="false">IF(CZ48=1,0,MAX(0,CZ39))*(1-Time!CZ20)</f>
        <v>0</v>
      </c>
      <c r="DA49" s="19" t="n">
        <f aca="false">IF(DA48=1,0,MAX(0,DA39))*(1-Time!DA20)</f>
        <v>0</v>
      </c>
      <c r="DB49" s="19" t="n">
        <f aca="false">IF(DB48=1,0,MAX(0,DB39))*(1-Time!DB20)</f>
        <v>0</v>
      </c>
    </row>
    <row r="50" customFormat="false" ht="15" hidden="false" customHeight="false" outlineLevel="0" collapsed="false">
      <c r="D50" s="0" t="s">
        <v>637</v>
      </c>
      <c r="E50" s="0" t="s">
        <v>44</v>
      </c>
      <c r="G50" s="19" t="n">
        <f aca="false">SUM(J50:DB50)</f>
        <v>0</v>
      </c>
      <c r="J50" s="19" t="n">
        <f aca="false">Inputs!$F$174*Time!J35</f>
        <v>0</v>
      </c>
      <c r="K50" s="19" t="n">
        <f aca="false">Inputs!$F$174*Time!K35</f>
        <v>0</v>
      </c>
      <c r="L50" s="19" t="n">
        <f aca="false">Inputs!$F$174*Time!L35</f>
        <v>0</v>
      </c>
      <c r="M50" s="19" t="n">
        <f aca="false">Inputs!$F$174*Time!M35</f>
        <v>0</v>
      </c>
      <c r="N50" s="19" t="n">
        <f aca="false">Inputs!$F$174*Time!N35</f>
        <v>0</v>
      </c>
      <c r="O50" s="19" t="n">
        <f aca="false">Inputs!$F$174*Time!O35</f>
        <v>0</v>
      </c>
      <c r="P50" s="19" t="n">
        <f aca="false">Inputs!$F$174*Time!P35</f>
        <v>0</v>
      </c>
      <c r="Q50" s="19" t="n">
        <f aca="false">Inputs!$F$174*Time!Q35</f>
        <v>0</v>
      </c>
      <c r="R50" s="19" t="n">
        <f aca="false">Inputs!$F$174*Time!R35</f>
        <v>0</v>
      </c>
      <c r="S50" s="19" t="n">
        <f aca="false">Inputs!$F$174*Time!S35</f>
        <v>0</v>
      </c>
      <c r="T50" s="19" t="n">
        <f aca="false">Inputs!$F$174*Time!T35</f>
        <v>0</v>
      </c>
      <c r="U50" s="19" t="n">
        <f aca="false">Inputs!$F$174*Time!U35</f>
        <v>0</v>
      </c>
      <c r="V50" s="19" t="n">
        <f aca="false">Inputs!$F$174*Time!V35</f>
        <v>0</v>
      </c>
      <c r="W50" s="19" t="n">
        <f aca="false">Inputs!$F$174*Time!W35</f>
        <v>0</v>
      </c>
      <c r="X50" s="19" t="n">
        <f aca="false">Inputs!$F$174*Time!X35</f>
        <v>0</v>
      </c>
      <c r="Y50" s="19" t="n">
        <f aca="false">Inputs!$F$174*Time!Y35</f>
        <v>0</v>
      </c>
      <c r="Z50" s="19" t="n">
        <f aca="false">Inputs!$F$174*Time!Z35</f>
        <v>0</v>
      </c>
      <c r="AA50" s="19" t="n">
        <f aca="false">Inputs!$F$174*Time!AA35</f>
        <v>0</v>
      </c>
      <c r="AB50" s="19" t="n">
        <f aca="false">Inputs!$F$174*Time!AB35</f>
        <v>0</v>
      </c>
      <c r="AC50" s="19" t="n">
        <f aca="false">Inputs!$F$174*Time!AC35</f>
        <v>0</v>
      </c>
      <c r="AD50" s="19" t="n">
        <f aca="false">Inputs!$F$174*Time!AD35</f>
        <v>0</v>
      </c>
      <c r="AE50" s="19" t="n">
        <f aca="false">Inputs!$F$174*Time!AE35</f>
        <v>0</v>
      </c>
      <c r="AF50" s="19" t="n">
        <f aca="false">Inputs!$F$174*Time!AF35</f>
        <v>0</v>
      </c>
      <c r="AG50" s="19" t="n">
        <f aca="false">Inputs!$F$174*Time!AG35</f>
        <v>0</v>
      </c>
      <c r="AH50" s="19" t="n">
        <f aca="false">Inputs!$F$174*Time!AH35</f>
        <v>0</v>
      </c>
      <c r="AI50" s="19" t="n">
        <f aca="false">Inputs!$F$174*Time!AI35</f>
        <v>0</v>
      </c>
      <c r="AJ50" s="19" t="n">
        <f aca="false">Inputs!$F$174*Time!AJ35</f>
        <v>0</v>
      </c>
      <c r="AK50" s="19" t="n">
        <f aca="false">Inputs!$F$174*Time!AK35</f>
        <v>0</v>
      </c>
      <c r="AL50" s="19" t="n">
        <f aca="false">Inputs!$F$174*Time!AL35</f>
        <v>0</v>
      </c>
      <c r="AM50" s="19" t="n">
        <f aca="false">Inputs!$F$174*Time!AM35</f>
        <v>0</v>
      </c>
      <c r="AN50" s="19" t="n">
        <f aca="false">Inputs!$F$174*Time!AN35</f>
        <v>0</v>
      </c>
      <c r="AO50" s="19" t="n">
        <f aca="false">Inputs!$F$174*Time!AO35</f>
        <v>0</v>
      </c>
      <c r="AP50" s="19" t="n">
        <f aca="false">Inputs!$F$174*Time!AP35</f>
        <v>0</v>
      </c>
      <c r="AQ50" s="19" t="n">
        <f aca="false">Inputs!$F$174*Time!AQ35</f>
        <v>0</v>
      </c>
      <c r="AR50" s="19" t="n">
        <f aca="false">Inputs!$F$174*Time!AR35</f>
        <v>0</v>
      </c>
      <c r="AS50" s="19" t="n">
        <f aca="false">Inputs!$F$174*Time!AS35</f>
        <v>0</v>
      </c>
      <c r="AT50" s="19" t="n">
        <f aca="false">Inputs!$F$174*Time!AT35</f>
        <v>0</v>
      </c>
      <c r="AU50" s="19" t="n">
        <f aca="false">Inputs!$F$174*Time!AU35</f>
        <v>0</v>
      </c>
      <c r="AV50" s="19" t="n">
        <f aca="false">Inputs!$F$174*Time!AV35</f>
        <v>0</v>
      </c>
      <c r="AW50" s="19" t="n">
        <f aca="false">Inputs!$F$174*Time!AW35</f>
        <v>0</v>
      </c>
      <c r="AX50" s="19" t="n">
        <f aca="false">Inputs!$F$174*Time!AX35</f>
        <v>0</v>
      </c>
      <c r="AY50" s="19" t="n">
        <f aca="false">Inputs!$F$174*Time!AY35</f>
        <v>0</v>
      </c>
      <c r="AZ50" s="19" t="n">
        <f aca="false">Inputs!$F$174*Time!AZ35</f>
        <v>0</v>
      </c>
      <c r="BA50" s="19" t="n">
        <f aca="false">Inputs!$F$174*Time!BA35</f>
        <v>0</v>
      </c>
      <c r="BB50" s="19" t="n">
        <f aca="false">Inputs!$F$174*Time!BB35</f>
        <v>0</v>
      </c>
      <c r="BC50" s="19" t="n">
        <f aca="false">Inputs!$F$174*Time!BC35</f>
        <v>0</v>
      </c>
      <c r="BD50" s="19" t="n">
        <f aca="false">Inputs!$F$174*Time!BD35</f>
        <v>0</v>
      </c>
      <c r="BE50" s="19" t="n">
        <f aca="false">Inputs!$F$174*Time!BE35</f>
        <v>0</v>
      </c>
      <c r="BF50" s="19" t="n">
        <f aca="false">Inputs!$F$174*Time!BF35</f>
        <v>0</v>
      </c>
      <c r="BG50" s="19" t="n">
        <f aca="false">Inputs!$F$174*Time!BG35</f>
        <v>0</v>
      </c>
      <c r="BH50" s="19" t="n">
        <f aca="false">Inputs!$F$174*Time!BH35</f>
        <v>0</v>
      </c>
      <c r="BI50" s="19" t="n">
        <f aca="false">Inputs!$F$174*Time!BI35</f>
        <v>0</v>
      </c>
      <c r="BJ50" s="19" t="n">
        <f aca="false">Inputs!$F$174*Time!BJ35</f>
        <v>0</v>
      </c>
      <c r="BK50" s="19" t="n">
        <f aca="false">Inputs!$F$174*Time!BK35</f>
        <v>0</v>
      </c>
      <c r="BL50" s="19" t="n">
        <f aca="false">Inputs!$F$174*Time!BL35</f>
        <v>0</v>
      </c>
      <c r="BM50" s="19" t="n">
        <f aca="false">Inputs!$F$174*Time!BM35</f>
        <v>0</v>
      </c>
      <c r="BN50" s="19" t="n">
        <f aca="false">Inputs!$F$174*Time!BN35</f>
        <v>0</v>
      </c>
      <c r="BO50" s="19" t="n">
        <f aca="false">Inputs!$F$174*Time!BO35</f>
        <v>0</v>
      </c>
      <c r="BP50" s="19" t="n">
        <f aca="false">Inputs!$F$174*Time!BP35</f>
        <v>0</v>
      </c>
      <c r="BQ50" s="19" t="n">
        <f aca="false">Inputs!$F$174*Time!BQ35</f>
        <v>0</v>
      </c>
      <c r="BR50" s="19" t="n">
        <f aca="false">Inputs!$F$174*Time!BR35</f>
        <v>0</v>
      </c>
      <c r="BS50" s="19" t="n">
        <f aca="false">Inputs!$F$174*Time!BS35</f>
        <v>0</v>
      </c>
      <c r="BT50" s="19" t="n">
        <f aca="false">Inputs!$F$174*Time!BT35</f>
        <v>0</v>
      </c>
      <c r="BU50" s="19" t="n">
        <f aca="false">Inputs!$F$174*Time!BU35</f>
        <v>0</v>
      </c>
      <c r="BV50" s="19" t="n">
        <f aca="false">Inputs!$F$174*Time!BV35</f>
        <v>0</v>
      </c>
      <c r="BW50" s="19" t="n">
        <f aca="false">Inputs!$F$174*Time!BW35</f>
        <v>0</v>
      </c>
      <c r="BX50" s="19" t="n">
        <f aca="false">Inputs!$F$174*Time!BX35</f>
        <v>0</v>
      </c>
      <c r="BY50" s="19" t="n">
        <f aca="false">Inputs!$F$174*Time!BY35</f>
        <v>0</v>
      </c>
      <c r="BZ50" s="19" t="n">
        <f aca="false">Inputs!$F$174*Time!BZ35</f>
        <v>0</v>
      </c>
      <c r="CA50" s="19" t="n">
        <f aca="false">Inputs!$F$174*Time!CA35</f>
        <v>0</v>
      </c>
      <c r="CB50" s="19" t="n">
        <f aca="false">Inputs!$F$174*Time!CB35</f>
        <v>0</v>
      </c>
      <c r="CC50" s="19" t="n">
        <f aca="false">Inputs!$F$174*Time!CC35</f>
        <v>0</v>
      </c>
      <c r="CD50" s="19" t="n">
        <f aca="false">Inputs!$F$174*Time!CD35</f>
        <v>0</v>
      </c>
      <c r="CE50" s="19" t="n">
        <f aca="false">Inputs!$F$174*Time!CE35</f>
        <v>0</v>
      </c>
      <c r="CF50" s="19" t="n">
        <f aca="false">Inputs!$F$174*Time!CF35</f>
        <v>0</v>
      </c>
      <c r="CG50" s="19" t="n">
        <f aca="false">Inputs!$F$174*Time!CG35</f>
        <v>0</v>
      </c>
      <c r="CH50" s="19" t="n">
        <f aca="false">Inputs!$F$174*Time!CH35</f>
        <v>0</v>
      </c>
      <c r="CI50" s="19" t="n">
        <f aca="false">Inputs!$F$174*Time!CI35</f>
        <v>0</v>
      </c>
      <c r="CJ50" s="19" t="n">
        <f aca="false">Inputs!$F$174*Time!CJ35</f>
        <v>0</v>
      </c>
      <c r="CK50" s="19" t="n">
        <f aca="false">Inputs!$F$174*Time!CK35</f>
        <v>0</v>
      </c>
      <c r="CL50" s="19" t="n">
        <f aca="false">Inputs!$F$174*Time!CL35</f>
        <v>0</v>
      </c>
      <c r="CM50" s="19" t="n">
        <f aca="false">Inputs!$F$174*Time!CM35</f>
        <v>0</v>
      </c>
      <c r="CN50" s="19" t="n">
        <f aca="false">Inputs!$F$174*Time!CN35</f>
        <v>0</v>
      </c>
      <c r="CO50" s="19" t="n">
        <f aca="false">Inputs!$F$174*Time!CO35</f>
        <v>0</v>
      </c>
      <c r="CP50" s="19" t="n">
        <f aca="false">Inputs!$F$174*Time!CP35</f>
        <v>0</v>
      </c>
      <c r="CQ50" s="19" t="n">
        <f aca="false">Inputs!$F$174*Time!CQ35</f>
        <v>0</v>
      </c>
      <c r="CR50" s="19" t="n">
        <f aca="false">Inputs!$F$174*Time!CR35</f>
        <v>0</v>
      </c>
      <c r="CS50" s="19" t="n">
        <f aca="false">Inputs!$F$174*Time!CS35</f>
        <v>0</v>
      </c>
      <c r="CT50" s="19" t="n">
        <f aca="false">Inputs!$F$174*Time!CT35</f>
        <v>0</v>
      </c>
      <c r="CU50" s="19" t="n">
        <f aca="false">Inputs!$F$174*Time!CU35</f>
        <v>0</v>
      </c>
      <c r="CV50" s="19" t="n">
        <f aca="false">Inputs!$F$174*Time!CV35</f>
        <v>0</v>
      </c>
      <c r="CW50" s="19" t="n">
        <f aca="false">Inputs!$F$174*Time!CW35</f>
        <v>0</v>
      </c>
      <c r="CX50" s="19" t="n">
        <f aca="false">Inputs!$F$174*Time!CX35</f>
        <v>0</v>
      </c>
      <c r="CY50" s="19" t="n">
        <f aca="false">Inputs!$F$174*Time!CY35</f>
        <v>0</v>
      </c>
      <c r="CZ50" s="19" t="n">
        <f aca="false">Inputs!$F$174*Time!CZ35</f>
        <v>0</v>
      </c>
      <c r="DA50" s="19" t="n">
        <f aca="false">Inputs!$F$174*Time!DA35</f>
        <v>0</v>
      </c>
      <c r="DB50" s="19" t="n">
        <f aca="false">Inputs!$F$174*Time!DB35</f>
        <v>0</v>
      </c>
    </row>
    <row r="51" customFormat="false" ht="15" hidden="false" customHeight="false" outlineLevel="0" collapsed="false">
      <c r="D51" s="0" t="s">
        <v>638</v>
      </c>
      <c r="E51" s="0" t="s">
        <v>44</v>
      </c>
      <c r="J51" s="19" t="n">
        <f aca="false">(J39-J49+J50)*(1-Time!J20)</f>
        <v>0</v>
      </c>
      <c r="K51" s="19" t="n">
        <f aca="false">(K39-K49+K50)*(1-Time!K20)</f>
        <v>0</v>
      </c>
      <c r="L51" s="19" t="n">
        <f aca="false">(L39-L49+L50)*(1-Time!L20)</f>
        <v>0</v>
      </c>
      <c r="M51" s="19" t="n">
        <f aca="false">(M39-M49+M50)*(1-Time!M20)</f>
        <v>0</v>
      </c>
      <c r="N51" s="19" t="n">
        <f aca="false">(N39-N49+N50)*(1-Time!N20)</f>
        <v>0</v>
      </c>
      <c r="O51" s="19" t="n">
        <f aca="false">(O39-O49+O50)*(1-Time!O20)</f>
        <v>0</v>
      </c>
      <c r="P51" s="19" t="n">
        <f aca="false">(P39-P49+P50)*(1-Time!P20)</f>
        <v>0</v>
      </c>
      <c r="Q51" s="19" t="n">
        <f aca="false">(Q39-Q49+Q50)*(1-Time!Q20)</f>
        <v>0</v>
      </c>
      <c r="R51" s="19" t="n">
        <f aca="false">(R39-R49+R50)*(1-Time!R20)</f>
        <v>0</v>
      </c>
      <c r="S51" s="19" t="n">
        <f aca="false">(S39-S49+S50)*(1-Time!S20)</f>
        <v>0</v>
      </c>
      <c r="T51" s="19" t="n">
        <f aca="false">(T39-T49+T50)*(1-Time!T20)</f>
        <v>0</v>
      </c>
      <c r="U51" s="19" t="n">
        <f aca="false">(U39-U49+U50)*(1-Time!U20)</f>
        <v>0</v>
      </c>
      <c r="V51" s="19" t="n">
        <f aca="false">(V39-V49+V50)*(1-Time!V20)</f>
        <v>0</v>
      </c>
      <c r="W51" s="19" t="n">
        <f aca="false">(W39-W49+W50)*(1-Time!W20)</f>
        <v>0</v>
      </c>
      <c r="X51" s="19" t="n">
        <f aca="false">(X39-X49+X50)*(1-Time!X20)</f>
        <v>0</v>
      </c>
      <c r="Y51" s="19" t="n">
        <f aca="false">(Y39-Y49+Y50)*(1-Time!Y20)</f>
        <v>0</v>
      </c>
      <c r="Z51" s="19" t="n">
        <f aca="false">(Z39-Z49+Z50)*(1-Time!Z20)</f>
        <v>4.94604467235802</v>
      </c>
      <c r="AA51" s="19" t="n">
        <f aca="false">(AA39-AA49+AA50)*(1-Time!AA20)</f>
        <v>15.6508124852035</v>
      </c>
      <c r="AB51" s="19" t="n">
        <f aca="false">(AB39-AB49+AB50)*(1-Time!AB20)</f>
        <v>30.7829867094841</v>
      </c>
      <c r="AC51" s="19" t="n">
        <f aca="false">(AC39-AC49+AC50)*(1-Time!AC20)</f>
        <v>44.6928759987661</v>
      </c>
      <c r="AD51" s="19" t="n">
        <f aca="false">(AD39-AD49+AD50)*(1-Time!AD20)</f>
        <v>0</v>
      </c>
      <c r="AE51" s="19" t="n">
        <f aca="false">(AE39-AE49+AE50)*(1-Time!AE20)</f>
        <v>0</v>
      </c>
      <c r="AF51" s="19" t="n">
        <f aca="false">(AF39-AF49+AF50)*(1-Time!AF20)</f>
        <v>0</v>
      </c>
      <c r="AG51" s="19" t="n">
        <f aca="false">(AG39-AG49+AG50)*(1-Time!AG20)</f>
        <v>0</v>
      </c>
      <c r="AH51" s="19" t="n">
        <f aca="false">(AH39-AH49+AH50)*(1-Time!AH20)</f>
        <v>0</v>
      </c>
      <c r="AI51" s="19" t="n">
        <f aca="false">(AI39-AI49+AI50)*(1-Time!AI20)</f>
        <v>0</v>
      </c>
      <c r="AJ51" s="19" t="n">
        <f aca="false">(AJ39-AJ49+AJ50)*(1-Time!AJ20)</f>
        <v>0</v>
      </c>
      <c r="AK51" s="19" t="n">
        <f aca="false">(AK39-AK49+AK50)*(1-Time!AK20)</f>
        <v>0</v>
      </c>
      <c r="AL51" s="19" t="n">
        <f aca="false">(AL39-AL49+AL50)*(1-Time!AL20)</f>
        <v>0</v>
      </c>
      <c r="AM51" s="19" t="n">
        <f aca="false">(AM39-AM49+AM50)*(1-Time!AM20)</f>
        <v>0</v>
      </c>
      <c r="AN51" s="19" t="n">
        <f aca="false">(AN39-AN49+AN50)*(1-Time!AN20)</f>
        <v>0</v>
      </c>
      <c r="AO51" s="19" t="n">
        <f aca="false">(AO39-AO49+AO50)*(1-Time!AO20)</f>
        <v>0</v>
      </c>
      <c r="AP51" s="19" t="n">
        <f aca="false">(AP39-AP49+AP50)*(1-Time!AP20)</f>
        <v>0</v>
      </c>
      <c r="AQ51" s="19" t="n">
        <f aca="false">(AQ39-AQ49+AQ50)*(1-Time!AQ20)</f>
        <v>0</v>
      </c>
      <c r="AR51" s="19" t="n">
        <f aca="false">(AR39-AR49+AR50)*(1-Time!AR20)</f>
        <v>0</v>
      </c>
      <c r="AS51" s="19" t="n">
        <f aca="false">(AS39-AS49+AS50)*(1-Time!AS20)</f>
        <v>0</v>
      </c>
      <c r="AT51" s="19" t="n">
        <f aca="false">(AT39-AT49+AT50)*(1-Time!AT20)</f>
        <v>0</v>
      </c>
      <c r="AU51" s="19" t="n">
        <f aca="false">(AU39-AU49+AU50)*(1-Time!AU20)</f>
        <v>0</v>
      </c>
      <c r="AV51" s="19" t="n">
        <f aca="false">(AV39-AV49+AV50)*(1-Time!AV20)</f>
        <v>0</v>
      </c>
      <c r="AW51" s="19" t="n">
        <f aca="false">(AW39-AW49+AW50)*(1-Time!AW20)</f>
        <v>0</v>
      </c>
      <c r="AX51" s="19" t="n">
        <f aca="false">(AX39-AX49+AX50)*(1-Time!AX20)</f>
        <v>0</v>
      </c>
      <c r="AY51" s="19" t="n">
        <f aca="false">(AY39-AY49+AY50)*(1-Time!AY20)</f>
        <v>0</v>
      </c>
      <c r="AZ51" s="19" t="n">
        <f aca="false">(AZ39-AZ49+AZ50)*(1-Time!AZ20)</f>
        <v>0</v>
      </c>
      <c r="BA51" s="19" t="n">
        <f aca="false">(BA39-BA49+BA50)*(1-Time!BA20)</f>
        <v>0</v>
      </c>
      <c r="BB51" s="19" t="n">
        <f aca="false">(BB39-BB49+BB50)*(1-Time!BB20)</f>
        <v>0</v>
      </c>
      <c r="BC51" s="19" t="n">
        <f aca="false">(BC39-BC49+BC50)*(1-Time!BC20)</f>
        <v>0</v>
      </c>
      <c r="BD51" s="19" t="n">
        <f aca="false">(BD39-BD49+BD50)*(1-Time!BD20)</f>
        <v>0</v>
      </c>
      <c r="BE51" s="19" t="n">
        <f aca="false">(BE39-BE49+BE50)*(1-Time!BE20)</f>
        <v>0</v>
      </c>
      <c r="BF51" s="19" t="n">
        <f aca="false">(BF39-BF49+BF50)*(1-Time!BF20)</f>
        <v>0</v>
      </c>
      <c r="BG51" s="19" t="n">
        <f aca="false">(BG39-BG49+BG50)*(1-Time!BG20)</f>
        <v>0</v>
      </c>
      <c r="BH51" s="19" t="n">
        <f aca="false">(BH39-BH49+BH50)*(1-Time!BH20)</f>
        <v>0</v>
      </c>
      <c r="BI51" s="19" t="n">
        <f aca="false">(BI39-BI49+BI50)*(1-Time!BI20)</f>
        <v>0</v>
      </c>
      <c r="BJ51" s="19" t="n">
        <f aca="false">(BJ39-BJ49+BJ50)*(1-Time!BJ20)</f>
        <v>0</v>
      </c>
      <c r="BK51" s="19" t="n">
        <f aca="false">(BK39-BK49+BK50)*(1-Time!BK20)</f>
        <v>0</v>
      </c>
      <c r="BL51" s="19" t="n">
        <f aca="false">(BL39-BL49+BL50)*(1-Time!BL20)</f>
        <v>0</v>
      </c>
      <c r="BM51" s="19" t="n">
        <f aca="false">(BM39-BM49+BM50)*(1-Time!BM20)</f>
        <v>0</v>
      </c>
      <c r="BN51" s="19" t="n">
        <f aca="false">(BN39-BN49+BN50)*(1-Time!BN20)</f>
        <v>0</v>
      </c>
      <c r="BO51" s="19" t="n">
        <f aca="false">(BO39-BO49+BO50)*(1-Time!BO20)</f>
        <v>0</v>
      </c>
      <c r="BP51" s="19" t="n">
        <f aca="false">(BP39-BP49+BP50)*(1-Time!BP20)</f>
        <v>0</v>
      </c>
      <c r="BQ51" s="19" t="n">
        <f aca="false">(BQ39-BQ49+BQ50)*(1-Time!BQ20)</f>
        <v>0</v>
      </c>
      <c r="BR51" s="19" t="n">
        <f aca="false">(BR39-BR49+BR50)*(1-Time!BR20)</f>
        <v>0</v>
      </c>
      <c r="BS51" s="19" t="n">
        <f aca="false">(BS39-BS49+BS50)*(1-Time!BS20)</f>
        <v>0</v>
      </c>
      <c r="BT51" s="19" t="n">
        <f aca="false">(BT39-BT49+BT50)*(1-Time!BT20)</f>
        <v>0</v>
      </c>
      <c r="BU51" s="19" t="n">
        <f aca="false">(BU39-BU49+BU50)*(1-Time!BU20)</f>
        <v>0</v>
      </c>
      <c r="BV51" s="19" t="n">
        <f aca="false">(BV39-BV49+BV50)*(1-Time!BV20)</f>
        <v>0</v>
      </c>
      <c r="BW51" s="19" t="n">
        <f aca="false">(BW39-BW49+BW50)*(1-Time!BW20)</f>
        <v>0</v>
      </c>
      <c r="BX51" s="19" t="n">
        <f aca="false">(BX39-BX49+BX50)*(1-Time!BX20)</f>
        <v>0</v>
      </c>
      <c r="BY51" s="19" t="n">
        <f aca="false">(BY39-BY49+BY50)*(1-Time!BY20)</f>
        <v>0</v>
      </c>
      <c r="BZ51" s="19" t="n">
        <f aca="false">(BZ39-BZ49+BZ50)*(1-Time!BZ20)</f>
        <v>0</v>
      </c>
      <c r="CA51" s="19" t="n">
        <f aca="false">(CA39-CA49+CA50)*(1-Time!CA20)</f>
        <v>0</v>
      </c>
      <c r="CB51" s="19" t="n">
        <f aca="false">(CB39-CB49+CB50)*(1-Time!CB20)</f>
        <v>0</v>
      </c>
      <c r="CC51" s="19" t="n">
        <f aca="false">(CC39-CC49+CC50)*(1-Time!CC20)</f>
        <v>0</v>
      </c>
      <c r="CD51" s="19" t="n">
        <f aca="false">(CD39-CD49+CD50)*(1-Time!CD20)</f>
        <v>0</v>
      </c>
      <c r="CE51" s="19" t="n">
        <f aca="false">(CE39-CE49+CE50)*(1-Time!CE20)</f>
        <v>0</v>
      </c>
      <c r="CF51" s="19" t="n">
        <f aca="false">(CF39-CF49+CF50)*(1-Time!CF20)</f>
        <v>0</v>
      </c>
      <c r="CG51" s="19" t="n">
        <f aca="false">(CG39-CG49+CG50)*(1-Time!CG20)</f>
        <v>0</v>
      </c>
      <c r="CH51" s="19" t="n">
        <f aca="false">(CH39-CH49+CH50)*(1-Time!CH20)</f>
        <v>0</v>
      </c>
      <c r="CI51" s="19" t="n">
        <f aca="false">(CI39-CI49+CI50)*(1-Time!CI20)</f>
        <v>0</v>
      </c>
      <c r="CJ51" s="19" t="n">
        <f aca="false">(CJ39-CJ49+CJ50)*(1-Time!CJ20)</f>
        <v>0</v>
      </c>
      <c r="CK51" s="19" t="n">
        <f aca="false">(CK39-CK49+CK50)*(1-Time!CK20)</f>
        <v>0</v>
      </c>
      <c r="CL51" s="19" t="n">
        <f aca="false">(CL39-CL49+CL50)*(1-Time!CL20)</f>
        <v>0</v>
      </c>
      <c r="CM51" s="19" t="n">
        <f aca="false">(CM39-CM49+CM50)*(1-Time!CM20)</f>
        <v>0</v>
      </c>
      <c r="CN51" s="19" t="n">
        <f aca="false">(CN39-CN49+CN50)*(1-Time!CN20)</f>
        <v>0</v>
      </c>
      <c r="CO51" s="19" t="n">
        <f aca="false">(CO39-CO49+CO50)*(1-Time!CO20)</f>
        <v>0</v>
      </c>
      <c r="CP51" s="19" t="n">
        <f aca="false">(CP39-CP49+CP50)*(1-Time!CP20)</f>
        <v>0</v>
      </c>
      <c r="CQ51" s="19" t="n">
        <f aca="false">(CQ39-CQ49+CQ50)*(1-Time!CQ20)</f>
        <v>0</v>
      </c>
      <c r="CR51" s="19" t="n">
        <f aca="false">(CR39-CR49+CR50)*(1-Time!CR20)</f>
        <v>0</v>
      </c>
      <c r="CS51" s="19" t="n">
        <f aca="false">(CS39-CS49+CS50)*(1-Time!CS20)</f>
        <v>0</v>
      </c>
      <c r="CT51" s="19" t="n">
        <f aca="false">(CT39-CT49+CT50)*(1-Time!CT20)</f>
        <v>0</v>
      </c>
      <c r="CU51" s="19" t="n">
        <f aca="false">(CU39-CU49+CU50)*(1-Time!CU20)</f>
        <v>0</v>
      </c>
      <c r="CV51" s="19" t="n">
        <f aca="false">(CV39-CV49+CV50)*(1-Time!CV20)</f>
        <v>0</v>
      </c>
      <c r="CW51" s="19" t="n">
        <f aca="false">(CW39-CW49+CW50)*(1-Time!CW20)</f>
        <v>0</v>
      </c>
      <c r="CX51" s="19" t="n">
        <f aca="false">(CX39-CX49+CX50)*(1-Time!CX20)</f>
        <v>0</v>
      </c>
      <c r="CY51" s="19" t="n">
        <f aca="false">(CY39-CY49+CY50)*(1-Time!CY20)</f>
        <v>0</v>
      </c>
      <c r="CZ51" s="19" t="n">
        <f aca="false">(CZ39-CZ49+CZ50)*(1-Time!CZ20)</f>
        <v>0</v>
      </c>
      <c r="DA51" s="19" t="n">
        <f aca="false">(DA39-DA49+DA50)*(1-Time!DA20)</f>
        <v>0</v>
      </c>
      <c r="DB51" s="19" t="n">
        <f aca="false">(DB39-DB49+DB50)*(1-Time!DB20)</f>
        <v>0</v>
      </c>
    </row>
    <row r="52" customFormat="false" ht="15" hidden="false" customHeight="false" outlineLevel="0" collapsed="false">
      <c r="D52" s="3" t="s">
        <v>639</v>
      </c>
    </row>
    <row r="53" customFormat="false" ht="15" hidden="false" customHeight="false" outlineLevel="0" collapsed="false">
      <c r="D53" s="0" t="s">
        <v>640</v>
      </c>
      <c r="E53" s="0" t="s">
        <v>44</v>
      </c>
      <c r="J53" s="19" t="n">
        <f aca="false">I59</f>
        <v>0</v>
      </c>
      <c r="K53" s="19" t="n">
        <f aca="false">J59</f>
        <v>62.402360068135</v>
      </c>
      <c r="L53" s="19" t="n">
        <f aca="false">K59</f>
        <v>89.4860221464506</v>
      </c>
      <c r="M53" s="19" t="n">
        <f aca="false">L59</f>
        <v>144.032445579705</v>
      </c>
      <c r="N53" s="19" t="n">
        <f aca="false">M59</f>
        <v>231.07574127871</v>
      </c>
      <c r="O53" s="19" t="n">
        <f aca="false">N59</f>
        <v>336.268223031668</v>
      </c>
      <c r="P53" s="19" t="n">
        <f aca="false">O59</f>
        <v>344.955919862322</v>
      </c>
      <c r="Q53" s="19" t="n">
        <f aca="false">P59</f>
        <v>353.868068696025</v>
      </c>
      <c r="R53" s="19" t="n">
        <f aca="false">Q59</f>
        <v>362.811720569233</v>
      </c>
      <c r="S53" s="19" t="n">
        <f aca="false">R59</f>
        <v>372.083299538026</v>
      </c>
      <c r="T53" s="19" t="n">
        <f aca="false">S59</f>
        <v>381.696300948009</v>
      </c>
      <c r="U53" s="19" t="n">
        <f aca="false">T59</f>
        <v>391.557660175241</v>
      </c>
      <c r="V53" s="19" t="n">
        <f aca="false">U59</f>
        <v>401.453877750903</v>
      </c>
      <c r="W53" s="19" t="n">
        <f aca="false">V59</f>
        <v>411.712949106304</v>
      </c>
      <c r="X53" s="19" t="n">
        <f aca="false">W59</f>
        <v>422.349806942119</v>
      </c>
      <c r="Y53" s="19" t="n">
        <f aca="false">X59</f>
        <v>433.26147455709</v>
      </c>
      <c r="Z53" s="19" t="n">
        <f aca="false">Y59</f>
        <v>444.211713194868</v>
      </c>
      <c r="AA53" s="19" t="n">
        <f aca="false">Z59</f>
        <v>455.563452249184</v>
      </c>
      <c r="AB53" s="19" t="n">
        <f aca="false">AA59</f>
        <v>479.10297748047</v>
      </c>
      <c r="AC53" s="19" t="n">
        <f aca="false">AB59</f>
        <v>503.589733767862</v>
      </c>
      <c r="AD53" s="19" t="n">
        <f aca="false">AC59</f>
        <v>529.610836175703</v>
      </c>
      <c r="AE53" s="19" t="n">
        <f aca="false">AD59</f>
        <v>494.269030847571</v>
      </c>
      <c r="AF53" s="19" t="n">
        <f aca="false">AE59</f>
        <v>499.65530417603</v>
      </c>
      <c r="AG53" s="19" t="n">
        <f aca="false">AF59</f>
        <v>506.435919140811</v>
      </c>
      <c r="AH53" s="19" t="n">
        <f aca="false">AG59</f>
        <v>506.423177460939</v>
      </c>
      <c r="AI53" s="19" t="n">
        <f aca="false">AH59</f>
        <v>505.211231469741</v>
      </c>
      <c r="AJ53" s="19" t="n">
        <f aca="false">AI59</f>
        <v>505.061282557375</v>
      </c>
      <c r="AK53" s="19" t="n">
        <f aca="false">AJ59</f>
        <v>508.89510205864</v>
      </c>
      <c r="AL53" s="19" t="n">
        <f aca="false">AK59</f>
        <v>514.030690650827</v>
      </c>
      <c r="AM53" s="19" t="n">
        <f aca="false">AL59</f>
        <v>517.960404521728</v>
      </c>
      <c r="AN53" s="19" t="n">
        <f aca="false">AM59</f>
        <v>519.754045807752</v>
      </c>
      <c r="AO53" s="19" t="n">
        <f aca="false">AN59</f>
        <v>520.098057570006</v>
      </c>
      <c r="AP53" s="19" t="n">
        <f aca="false">AO59</f>
        <v>514.746259648853</v>
      </c>
      <c r="AQ53" s="19" t="n">
        <f aca="false">AP59</f>
        <v>507.71750211424</v>
      </c>
      <c r="AR53" s="19" t="n">
        <f aca="false">AQ59</f>
        <v>507.783257761837</v>
      </c>
      <c r="AS53" s="19" t="n">
        <f aca="false">AR59</f>
        <v>505.918635703041</v>
      </c>
      <c r="AT53" s="19" t="n">
        <f aca="false">AS59</f>
        <v>501.250168653662</v>
      </c>
      <c r="AU53" s="19" t="n">
        <f aca="false">AT59</f>
        <v>494.587968551051</v>
      </c>
      <c r="AV53" s="19" t="n">
        <f aca="false">AU59</f>
        <v>484.86779885774</v>
      </c>
      <c r="AW53" s="19" t="n">
        <f aca="false">AV59</f>
        <v>475.060350653765</v>
      </c>
      <c r="AX53" s="19" t="n">
        <f aca="false">AW59</f>
        <v>460.394546143066</v>
      </c>
      <c r="AY53" s="19" t="n">
        <f aca="false">AX59</f>
        <v>443.883141183728</v>
      </c>
      <c r="AZ53" s="19" t="n">
        <f aca="false">AY59</f>
        <v>427.198126606087</v>
      </c>
      <c r="BA53" s="19" t="n">
        <f aca="false">AZ59</f>
        <v>409.624442396581</v>
      </c>
      <c r="BB53" s="19" t="n">
        <f aca="false">BA59</f>
        <v>388.464410050059</v>
      </c>
      <c r="BC53" s="19" t="n">
        <f aca="false">BB59</f>
        <v>369.836890930598</v>
      </c>
      <c r="BD53" s="19" t="n">
        <f aca="false">BC59</f>
        <v>340.067696236086</v>
      </c>
      <c r="BE53" s="19" t="n">
        <f aca="false">BD59</f>
        <v>310.828544606396</v>
      </c>
      <c r="BF53" s="19" t="n">
        <f aca="false">BE59</f>
        <v>273.366134627148</v>
      </c>
      <c r="BG53" s="19" t="n">
        <f aca="false">BF59</f>
        <v>234.650274261532</v>
      </c>
      <c r="BH53" s="19" t="n">
        <f aca="false">BG59</f>
        <v>190.51239409978</v>
      </c>
      <c r="BI53" s="19" t="n">
        <f aca="false">BH59</f>
        <v>144.232481279581</v>
      </c>
      <c r="BJ53" s="19" t="n">
        <f aca="false">BI59</f>
        <v>92.1187575449066</v>
      </c>
      <c r="BK53" s="19" t="n">
        <f aca="false">BJ59</f>
        <v>38.2394001267581</v>
      </c>
      <c r="BL53" s="19" t="n">
        <f aca="false">BK59</f>
        <v>0</v>
      </c>
      <c r="BM53" s="19" t="n">
        <f aca="false">BL59</f>
        <v>0</v>
      </c>
      <c r="BN53" s="19" t="n">
        <f aca="false">BM59</f>
        <v>0</v>
      </c>
      <c r="BO53" s="19" t="n">
        <f aca="false">BN59</f>
        <v>0</v>
      </c>
      <c r="BP53" s="19" t="n">
        <f aca="false">BO59</f>
        <v>0</v>
      </c>
      <c r="BQ53" s="19" t="n">
        <f aca="false">BP59</f>
        <v>0</v>
      </c>
      <c r="BR53" s="19" t="n">
        <f aca="false">BQ59</f>
        <v>0</v>
      </c>
      <c r="BS53" s="19" t="n">
        <f aca="false">BR59</f>
        <v>0</v>
      </c>
      <c r="BT53" s="19" t="n">
        <f aca="false">BS59</f>
        <v>0</v>
      </c>
      <c r="BU53" s="19" t="n">
        <f aca="false">BT59</f>
        <v>0</v>
      </c>
      <c r="BV53" s="19" t="n">
        <f aca="false">BU59</f>
        <v>0</v>
      </c>
      <c r="BW53" s="19" t="n">
        <f aca="false">BV59</f>
        <v>0</v>
      </c>
      <c r="BX53" s="19" t="n">
        <f aca="false">BW59</f>
        <v>0</v>
      </c>
      <c r="BY53" s="19" t="n">
        <f aca="false">BX59</f>
        <v>0</v>
      </c>
      <c r="BZ53" s="19" t="n">
        <f aca="false">BY59</f>
        <v>0</v>
      </c>
      <c r="CA53" s="19" t="n">
        <f aca="false">BZ59</f>
        <v>0</v>
      </c>
      <c r="CB53" s="19" t="n">
        <f aca="false">CA59</f>
        <v>0</v>
      </c>
      <c r="CC53" s="19" t="n">
        <f aca="false">CB59</f>
        <v>0</v>
      </c>
      <c r="CD53" s="19" t="n">
        <f aca="false">CC59</f>
        <v>0</v>
      </c>
      <c r="CE53" s="19" t="n">
        <f aca="false">CD59</f>
        <v>0</v>
      </c>
      <c r="CF53" s="19" t="n">
        <f aca="false">CE59</f>
        <v>0</v>
      </c>
      <c r="CG53" s="19" t="n">
        <f aca="false">CF59</f>
        <v>0</v>
      </c>
      <c r="CH53" s="19" t="n">
        <f aca="false">CG59</f>
        <v>0</v>
      </c>
      <c r="CI53" s="19" t="n">
        <f aca="false">CH59</f>
        <v>0</v>
      </c>
      <c r="CJ53" s="19" t="n">
        <f aca="false">CI59</f>
        <v>0</v>
      </c>
      <c r="CK53" s="19" t="n">
        <f aca="false">CJ59</f>
        <v>0</v>
      </c>
      <c r="CL53" s="19" t="n">
        <f aca="false">CK59</f>
        <v>0</v>
      </c>
      <c r="CM53" s="19" t="n">
        <f aca="false">CL59</f>
        <v>0</v>
      </c>
      <c r="CN53" s="19" t="n">
        <f aca="false">CM59</f>
        <v>0</v>
      </c>
      <c r="CO53" s="19" t="n">
        <f aca="false">CN59</f>
        <v>0</v>
      </c>
      <c r="CP53" s="19" t="n">
        <f aca="false">CO59</f>
        <v>0</v>
      </c>
      <c r="CQ53" s="19" t="n">
        <f aca="false">CP59</f>
        <v>0</v>
      </c>
      <c r="CR53" s="19" t="n">
        <f aca="false">CQ59</f>
        <v>0</v>
      </c>
      <c r="CS53" s="19" t="n">
        <f aca="false">CR59</f>
        <v>0</v>
      </c>
      <c r="CT53" s="19" t="n">
        <f aca="false">CS59</f>
        <v>0</v>
      </c>
      <c r="CU53" s="19" t="n">
        <f aca="false">CT59</f>
        <v>0</v>
      </c>
      <c r="CV53" s="19" t="n">
        <f aca="false">CU59</f>
        <v>0</v>
      </c>
      <c r="CW53" s="19" t="n">
        <f aca="false">CV59</f>
        <v>0</v>
      </c>
      <c r="CX53" s="19" t="n">
        <f aca="false">CW59</f>
        <v>0</v>
      </c>
      <c r="CY53" s="19" t="n">
        <f aca="false">CX59</f>
        <v>0</v>
      </c>
      <c r="CZ53" s="19" t="n">
        <f aca="false">CY59</f>
        <v>0</v>
      </c>
      <c r="DA53" s="19" t="n">
        <f aca="false">CZ59</f>
        <v>0</v>
      </c>
      <c r="DB53" s="19" t="n">
        <f aca="false">DA59</f>
        <v>0</v>
      </c>
    </row>
    <row r="54" customFormat="false" ht="15" hidden="false" customHeight="false" outlineLevel="0" collapsed="false">
      <c r="D54" s="0" t="s">
        <v>641</v>
      </c>
      <c r="E54" s="0" t="s">
        <v>44</v>
      </c>
      <c r="G54" s="19" t="n">
        <f aca="false">SUM(J54:DB54)</f>
        <v>937.138777873248</v>
      </c>
      <c r="J54" s="19" t="n">
        <f aca="false">J53*Inputs!$F$89*Time!J9/Inputs!$F$45</f>
        <v>0</v>
      </c>
      <c r="K54" s="19" t="n">
        <f aca="false">K53*Inputs!$F$89*Time!K9/Inputs!$F$45</f>
        <v>1.61220343956853</v>
      </c>
      <c r="L54" s="19" t="n">
        <f aca="false">L53*Inputs!$F$89*Time!L9/Inputs!$F$45</f>
        <v>2.31192654476994</v>
      </c>
      <c r="M54" s="19" t="n">
        <f aca="false">M53*Inputs!$F$89*Time!M9/Inputs!$F$45</f>
        <v>3.68071955108135</v>
      </c>
      <c r="N54" s="19" t="n">
        <f aca="false">N53*Inputs!$F$89*Time!N9/Inputs!$F$45</f>
        <v>5.90509308706074</v>
      </c>
      <c r="O54" s="19" t="n">
        <f aca="false">O53*Inputs!$F$89*Time!O9/Inputs!$F$45</f>
        <v>8.68769683065379</v>
      </c>
      <c r="P54" s="19" t="n">
        <f aca="false">P53*Inputs!$F$89*Time!P9/Inputs!$F$45</f>
        <v>8.91214883370328</v>
      </c>
      <c r="Q54" s="19" t="n">
        <f aca="false">Q53*Inputs!$F$89*Time!Q9/Inputs!$F$45</f>
        <v>8.94365187320777</v>
      </c>
      <c r="R54" s="19" t="n">
        <f aca="false">R53*Inputs!$F$89*Time!R9/Inputs!$F$45</f>
        <v>9.27157896879321</v>
      </c>
      <c r="S54" s="19" t="n">
        <f aca="false">S53*Inputs!$F$89*Time!S9/Inputs!$F$45</f>
        <v>9.61300140998243</v>
      </c>
      <c r="T54" s="19" t="n">
        <f aca="false">T53*Inputs!$F$89*Time!T9/Inputs!$F$45</f>
        <v>9.86135922723212</v>
      </c>
      <c r="U54" s="19" t="n">
        <f aca="false">U53*Inputs!$F$89*Time!U9/Inputs!$F$45</f>
        <v>9.89621757566191</v>
      </c>
      <c r="V54" s="19" t="n">
        <f aca="false">V53*Inputs!$F$89*Time!V9/Inputs!$F$45</f>
        <v>10.2590713554015</v>
      </c>
      <c r="W54" s="19" t="n">
        <f aca="false">W53*Inputs!$F$89*Time!W9/Inputs!$F$45</f>
        <v>10.6368578358149</v>
      </c>
      <c r="X54" s="19" t="n">
        <f aca="false">X53*Inputs!$F$89*Time!X9/Inputs!$F$45</f>
        <v>10.9116676149704</v>
      </c>
      <c r="Y54" s="19" t="n">
        <f aca="false">Y53*Inputs!$F$89*Time!Y9/Inputs!$F$45</f>
        <v>10.9502386377785</v>
      </c>
      <c r="Z54" s="19" t="n">
        <f aca="false">Z53*Inputs!$F$89*Time!Z9/Inputs!$F$45</f>
        <v>11.3517390543154</v>
      </c>
      <c r="AA54" s="19" t="n">
        <f aca="false">AA53*Inputs!$F$89*Time!AA9/Inputs!$F$45</f>
        <v>23.5395252312866</v>
      </c>
      <c r="AB54" s="19" t="n">
        <f aca="false">AB53*Inputs!$F$89*Time!AB9/Inputs!$F$45</f>
        <v>24.4867562873922</v>
      </c>
      <c r="AC54" s="19" t="n">
        <f aca="false">AC53*Inputs!$F$89*Time!AC9/Inputs!$F$45</f>
        <v>26.0211024078408</v>
      </c>
      <c r="AD54" s="19" t="n">
        <f aca="false">AD53*Inputs!$F$89*Time!AD9/Inputs!$F$45</f>
        <v>26.9194658579445</v>
      </c>
      <c r="AE54" s="19" t="n">
        <f aca="false">AE53*Inputs!$F$89*Time!AE9/Inputs!$F$45</f>
        <v>25.5394901966718</v>
      </c>
      <c r="AF54" s="19" t="n">
        <f aca="false">AF53*Inputs!$F$89*Time!AF9/Inputs!$F$45</f>
        <v>25.3968630978789</v>
      </c>
      <c r="AG54" s="19" t="n">
        <f aca="false">AG53*Inputs!$F$89*Time!AG9/Inputs!$F$45</f>
        <v>26.1681683150567</v>
      </c>
      <c r="AH54" s="19" t="n">
        <f aca="false">AH53*Inputs!$F$89*Time!AH9/Inputs!$F$45</f>
        <v>25.7408657529974</v>
      </c>
      <c r="AI54" s="19" t="n">
        <f aca="false">AI53*Inputs!$F$89*Time!AI9/Inputs!$F$45</f>
        <v>26.1048871932036</v>
      </c>
      <c r="AJ54" s="19" t="n">
        <f aca="false">AJ53*Inputs!$F$89*Time!AJ9/Inputs!$F$45</f>
        <v>25.8134745920762</v>
      </c>
      <c r="AK54" s="19" t="n">
        <f aca="false">AK53*Inputs!$F$89*Time!AK9/Inputs!$F$45</f>
        <v>26.2952373282903</v>
      </c>
      <c r="AL54" s="19" t="n">
        <f aca="false">AL53*Inputs!$F$89*Time!AL9/Inputs!$F$45</f>
        <v>26.1275462693136</v>
      </c>
      <c r="AM54" s="19" t="n">
        <f aca="false">AM53*Inputs!$F$89*Time!AM9/Inputs!$F$45</f>
        <v>26.7636526829583</v>
      </c>
      <c r="AN54" s="19" t="n">
        <f aca="false">AN53*Inputs!$F$89*Time!AN9/Inputs!$F$45</f>
        <v>26.4184573557488</v>
      </c>
      <c r="AO54" s="19" t="n">
        <f aca="false">AO53*Inputs!$F$89*Time!AO9/Inputs!$F$45</f>
        <v>26.8741078514255</v>
      </c>
      <c r="AP54" s="19" t="n">
        <f aca="false">AP53*Inputs!$F$89*Time!AP9/Inputs!$F$45</f>
        <v>26.1639177592749</v>
      </c>
      <c r="AQ54" s="19" t="n">
        <f aca="false">AQ53*Inputs!$F$89*Time!AQ9/Inputs!$F$45</f>
        <v>26.2343892873276</v>
      </c>
      <c r="AR54" s="19" t="n">
        <f aca="false">AR53*Inputs!$F$89*Time!AR9/Inputs!$F$45</f>
        <v>25.9525936261564</v>
      </c>
      <c r="AS54" s="19" t="n">
        <f aca="false">AS53*Inputs!$F$89*Time!AS9/Inputs!$F$45</f>
        <v>26.1414396420804</v>
      </c>
      <c r="AT54" s="19" t="n">
        <f aca="false">AT53*Inputs!$F$89*Time!AT9/Inputs!$F$45</f>
        <v>25.4779280930056</v>
      </c>
      <c r="AU54" s="19" t="n">
        <f aca="false">AU53*Inputs!$F$89*Time!AU9/Inputs!$F$45</f>
        <v>25.5559701010214</v>
      </c>
      <c r="AV54" s="19" t="n">
        <f aca="false">AV53*Inputs!$F$89*Time!AV9/Inputs!$F$45</f>
        <v>24.6452324337212</v>
      </c>
      <c r="AW54" s="19" t="n">
        <f aca="false">AW53*Inputs!$F$89*Time!AW9/Inputs!$F$45</f>
        <v>24.5469540091233</v>
      </c>
      <c r="AX54" s="19" t="n">
        <f aca="false">AX53*Inputs!$F$89*Time!AX9/Inputs!$F$45</f>
        <v>23.4012871707376</v>
      </c>
      <c r="AY54" s="19" t="n">
        <f aca="false">AY53*Inputs!$F$89*Time!AY9/Inputs!$F$45</f>
        <v>22.935989158151</v>
      </c>
      <c r="AZ54" s="19" t="n">
        <f aca="false">AZ53*Inputs!$F$89*Time!AZ9/Inputs!$F$45</f>
        <v>21.8339206899632</v>
      </c>
      <c r="BA54" s="19" t="n">
        <f aca="false">BA53*Inputs!$F$89*Time!BA9/Inputs!$F$45</f>
        <v>21.1657999550672</v>
      </c>
      <c r="BB54" s="19" t="n">
        <f aca="false">BB53*Inputs!$F$89*Time!BB9/Inputs!$F$45</f>
        <v>19.7451670341198</v>
      </c>
      <c r="BC54" s="19" t="n">
        <f aca="false">BC53*Inputs!$F$89*Time!BC9/Inputs!$F$45</f>
        <v>19.1099281176742</v>
      </c>
      <c r="BD54" s="19" t="n">
        <f aca="false">BD53*Inputs!$F$89*Time!BD9/Inputs!$F$45</f>
        <v>17.2852217381369</v>
      </c>
      <c r="BE54" s="19" t="n">
        <f aca="false">BE53*Inputs!$F$89*Time!BE9/Inputs!$F$45</f>
        <v>16.0608941130866</v>
      </c>
      <c r="BF54" s="19" t="n">
        <f aca="false">BF53*Inputs!$F$89*Time!BF9/Inputs!$F$45</f>
        <v>13.8948635963566</v>
      </c>
      <c r="BG54" s="19" t="n">
        <f aca="false">BG53*Inputs!$F$89*Time!BG9/Inputs!$F$45</f>
        <v>12.124668965952</v>
      </c>
      <c r="BH54" s="19" t="n">
        <f aca="false">BH53*Inputs!$F$89*Time!BH9/Inputs!$F$45</f>
        <v>9.73701016967504</v>
      </c>
      <c r="BI54" s="19" t="n">
        <f aca="false">BI53*Inputs!$F$89*Time!BI9/Inputs!$F$45</f>
        <v>7.45267012858329</v>
      </c>
      <c r="BJ54" s="19" t="n">
        <f aca="false">BJ53*Inputs!$F$89*Time!BJ9/Inputs!$F$45</f>
        <v>4.68228287493666</v>
      </c>
      <c r="BK54" s="19" t="n">
        <f aca="false">BK53*Inputs!$F$89*Time!BK9/Inputs!$F$45</f>
        <v>1.9758769490155</v>
      </c>
      <c r="BL54" s="19" t="n">
        <f aca="false">BL53*Inputs!$F$89*Time!BL9/Inputs!$F$45</f>
        <v>0</v>
      </c>
      <c r="BM54" s="19" t="n">
        <f aca="false">BM53*Inputs!$F$89*Time!BM9/Inputs!$F$45</f>
        <v>0</v>
      </c>
      <c r="BN54" s="19" t="n">
        <f aca="false">BN53*Inputs!$F$89*Time!BN9/Inputs!$F$45</f>
        <v>0</v>
      </c>
      <c r="BO54" s="19" t="n">
        <f aca="false">BO53*Inputs!$F$89*Time!BO9/Inputs!$F$45</f>
        <v>0</v>
      </c>
      <c r="BP54" s="19" t="n">
        <f aca="false">BP53*Inputs!$F$89*Time!BP9/Inputs!$F$45</f>
        <v>0</v>
      </c>
      <c r="BQ54" s="19" t="n">
        <f aca="false">BQ53*Inputs!$F$89*Time!BQ9/Inputs!$F$45</f>
        <v>0</v>
      </c>
      <c r="BR54" s="19" t="n">
        <f aca="false">BR53*Inputs!$F$89*Time!BR9/Inputs!$F$45</f>
        <v>0</v>
      </c>
      <c r="BS54" s="19" t="n">
        <f aca="false">BS53*Inputs!$F$89*Time!BS9/Inputs!$F$45</f>
        <v>0</v>
      </c>
      <c r="BT54" s="19" t="n">
        <f aca="false">BT53*Inputs!$F$89*Time!BT9/Inputs!$F$45</f>
        <v>0</v>
      </c>
      <c r="BU54" s="19" t="n">
        <f aca="false">BU53*Inputs!$F$89*Time!BU9/Inputs!$F$45</f>
        <v>0</v>
      </c>
      <c r="BV54" s="19" t="n">
        <f aca="false">BV53*Inputs!$F$89*Time!BV9/Inputs!$F$45</f>
        <v>0</v>
      </c>
      <c r="BW54" s="19" t="n">
        <f aca="false">BW53*Inputs!$F$89*Time!BW9/Inputs!$F$45</f>
        <v>0</v>
      </c>
      <c r="BX54" s="19" t="n">
        <f aca="false">BX53*Inputs!$F$89*Time!BX9/Inputs!$F$45</f>
        <v>0</v>
      </c>
      <c r="BY54" s="19" t="n">
        <f aca="false">BY53*Inputs!$F$89*Time!BY9/Inputs!$F$45</f>
        <v>0</v>
      </c>
      <c r="BZ54" s="19" t="n">
        <f aca="false">BZ53*Inputs!$F$89*Time!BZ9/Inputs!$F$45</f>
        <v>0</v>
      </c>
      <c r="CA54" s="19" t="n">
        <f aca="false">CA53*Inputs!$F$89*Time!CA9/Inputs!$F$45</f>
        <v>0</v>
      </c>
      <c r="CB54" s="19" t="n">
        <f aca="false">CB53*Inputs!$F$89*Time!CB9/Inputs!$F$45</f>
        <v>0</v>
      </c>
      <c r="CC54" s="19" t="n">
        <f aca="false">CC53*Inputs!$F$89*Time!CC9/Inputs!$F$45</f>
        <v>0</v>
      </c>
      <c r="CD54" s="19" t="n">
        <f aca="false">CD53*Inputs!$F$89*Time!CD9/Inputs!$F$45</f>
        <v>0</v>
      </c>
      <c r="CE54" s="19" t="n">
        <f aca="false">CE53*Inputs!$F$89*Time!CE9/Inputs!$F$45</f>
        <v>0</v>
      </c>
      <c r="CF54" s="19" t="n">
        <f aca="false">CF53*Inputs!$F$89*Time!CF9/Inputs!$F$45</f>
        <v>0</v>
      </c>
      <c r="CG54" s="19" t="n">
        <f aca="false">CG53*Inputs!$F$89*Time!CG9/Inputs!$F$45</f>
        <v>0</v>
      </c>
      <c r="CH54" s="19" t="n">
        <f aca="false">CH53*Inputs!$F$89*Time!CH9/Inputs!$F$45</f>
        <v>0</v>
      </c>
      <c r="CI54" s="19" t="n">
        <f aca="false">CI53*Inputs!$F$89*Time!CI9/Inputs!$F$45</f>
        <v>0</v>
      </c>
      <c r="CJ54" s="19" t="n">
        <f aca="false">CJ53*Inputs!$F$89*Time!CJ9/Inputs!$F$45</f>
        <v>0</v>
      </c>
      <c r="CK54" s="19" t="n">
        <f aca="false">CK53*Inputs!$F$89*Time!CK9/Inputs!$F$45</f>
        <v>0</v>
      </c>
      <c r="CL54" s="19" t="n">
        <f aca="false">CL53*Inputs!$F$89*Time!CL9/Inputs!$F$45</f>
        <v>0</v>
      </c>
      <c r="CM54" s="19" t="n">
        <f aca="false">CM53*Inputs!$F$89*Time!CM9/Inputs!$F$45</f>
        <v>0</v>
      </c>
      <c r="CN54" s="19" t="n">
        <f aca="false">CN53*Inputs!$F$89*Time!CN9/Inputs!$F$45</f>
        <v>0</v>
      </c>
      <c r="CO54" s="19" t="n">
        <f aca="false">CO53*Inputs!$F$89*Time!CO9/Inputs!$F$45</f>
        <v>0</v>
      </c>
      <c r="CP54" s="19" t="n">
        <f aca="false">CP53*Inputs!$F$89*Time!CP9/Inputs!$F$45</f>
        <v>0</v>
      </c>
      <c r="CQ54" s="19" t="n">
        <f aca="false">CQ53*Inputs!$F$89*Time!CQ9/Inputs!$F$45</f>
        <v>0</v>
      </c>
      <c r="CR54" s="19" t="n">
        <f aca="false">CR53*Inputs!$F$89*Time!CR9/Inputs!$F$45</f>
        <v>0</v>
      </c>
      <c r="CS54" s="19" t="n">
        <f aca="false">CS53*Inputs!$F$89*Time!CS9/Inputs!$F$45</f>
        <v>0</v>
      </c>
      <c r="CT54" s="19" t="n">
        <f aca="false">CT53*Inputs!$F$89*Time!CT9/Inputs!$F$45</f>
        <v>0</v>
      </c>
      <c r="CU54" s="19" t="n">
        <f aca="false">CU53*Inputs!$F$89*Time!CU9/Inputs!$F$45</f>
        <v>0</v>
      </c>
      <c r="CV54" s="19" t="n">
        <f aca="false">CV53*Inputs!$F$89*Time!CV9/Inputs!$F$45</f>
        <v>0</v>
      </c>
      <c r="CW54" s="19" t="n">
        <f aca="false">CW53*Inputs!$F$89*Time!CW9/Inputs!$F$45</f>
        <v>0</v>
      </c>
      <c r="CX54" s="19" t="n">
        <f aca="false">CX53*Inputs!$F$89*Time!CX9/Inputs!$F$45</f>
        <v>0</v>
      </c>
      <c r="CY54" s="19" t="n">
        <f aca="false">CY53*Inputs!$F$89*Time!CY9/Inputs!$F$45</f>
        <v>0</v>
      </c>
      <c r="CZ54" s="19" t="n">
        <f aca="false">CZ53*Inputs!$F$89*Time!CZ9/Inputs!$F$45</f>
        <v>0</v>
      </c>
      <c r="DA54" s="19" t="n">
        <f aca="false">DA53*Inputs!$F$89*Time!DA9/Inputs!$F$45</f>
        <v>0</v>
      </c>
      <c r="DB54" s="19" t="n">
        <f aca="false">DB53*Inputs!$F$89*Time!DB9/Inputs!$F$45</f>
        <v>0</v>
      </c>
    </row>
    <row r="55" customFormat="false" ht="15" hidden="false" customHeight="false" outlineLevel="0" collapsed="false">
      <c r="D55" s="0" t="s">
        <v>642</v>
      </c>
      <c r="E55" s="0" t="s">
        <v>44</v>
      </c>
      <c r="J55" s="19" t="n">
        <f aca="false">J53+J54+J9+Funding!J38</f>
        <v>62.402360068135</v>
      </c>
      <c r="K55" s="19" t="n">
        <f aca="false">K53+K54+K9+Funding!K38</f>
        <v>89.4860221464506</v>
      </c>
      <c r="L55" s="19" t="n">
        <f aca="false">L53+L54+L9+Funding!L38</f>
        <v>144.032445579705</v>
      </c>
      <c r="M55" s="19" t="n">
        <f aca="false">M53+M54+M9+Funding!M38</f>
        <v>231.07574127871</v>
      </c>
      <c r="N55" s="19" t="n">
        <f aca="false">N53+N54+N9+Funding!N38</f>
        <v>336.268223031668</v>
      </c>
      <c r="O55" s="19" t="n">
        <f aca="false">O53+O54+O9+Funding!O38</f>
        <v>344.955919862322</v>
      </c>
      <c r="P55" s="19" t="n">
        <f aca="false">P53+P54+P9+Funding!P38</f>
        <v>353.868068696025</v>
      </c>
      <c r="Q55" s="19" t="n">
        <f aca="false">Q53+Q54+Q9+Funding!Q38</f>
        <v>362.811720569233</v>
      </c>
      <c r="R55" s="19" t="n">
        <f aca="false">R53+R54+R9+Funding!R38</f>
        <v>372.083299538026</v>
      </c>
      <c r="S55" s="19" t="n">
        <f aca="false">S53+S54+S9+Funding!S38</f>
        <v>381.696300948009</v>
      </c>
      <c r="T55" s="19" t="n">
        <f aca="false">T53+T54+T9+Funding!T38</f>
        <v>391.557660175241</v>
      </c>
      <c r="U55" s="19" t="n">
        <f aca="false">U53+U54+U9+Funding!U38</f>
        <v>401.453877750903</v>
      </c>
      <c r="V55" s="19" t="n">
        <f aca="false">V53+V54+V9+Funding!V38</f>
        <v>411.712949106304</v>
      </c>
      <c r="W55" s="19" t="n">
        <f aca="false">W53+W54+W9+Funding!W38</f>
        <v>422.349806942119</v>
      </c>
      <c r="X55" s="19" t="n">
        <f aca="false">X53+X54+X9+Funding!X38</f>
        <v>433.26147455709</v>
      </c>
      <c r="Y55" s="19" t="n">
        <f aca="false">Y53+Y54+Y9+Funding!Y38</f>
        <v>444.211713194868</v>
      </c>
      <c r="Z55" s="19" t="n">
        <f aca="false">Z53+Z54+Z9+Funding!Z38</f>
        <v>455.563452249184</v>
      </c>
      <c r="AA55" s="19" t="n">
        <f aca="false">AA53+AA54+AA9+Funding!AA38</f>
        <v>479.10297748047</v>
      </c>
      <c r="AB55" s="19" t="n">
        <f aca="false">AB53+AB54+AB9+Funding!AB38</f>
        <v>503.589733767862</v>
      </c>
      <c r="AC55" s="19" t="n">
        <f aca="false">AC53+AC54+AC9+Funding!AC38</f>
        <v>529.610836175703</v>
      </c>
      <c r="AD55" s="19" t="n">
        <f aca="false">AD53+AD54+AD9+Funding!AD38</f>
        <v>556.530302033648</v>
      </c>
      <c r="AE55" s="19" t="n">
        <f aca="false">AE53+AE54+AE9+Funding!AE38</f>
        <v>519.808521044243</v>
      </c>
      <c r="AF55" s="19" t="n">
        <f aca="false">AF53+AF54+AF9+Funding!AF38</f>
        <v>525.052167273909</v>
      </c>
      <c r="AG55" s="19" t="n">
        <f aca="false">AG53+AG54+AG9+Funding!AG38</f>
        <v>532.604087455868</v>
      </c>
      <c r="AH55" s="19" t="n">
        <f aca="false">AH53+AH54+AH9+Funding!AH38</f>
        <v>532.164043213936</v>
      </c>
      <c r="AI55" s="19" t="n">
        <f aca="false">AI53+AI54+AI9+Funding!AI38</f>
        <v>531.316118662944</v>
      </c>
      <c r="AJ55" s="19" t="n">
        <f aca="false">AJ53+AJ54+AJ9+Funding!AJ38</f>
        <v>530.874757149451</v>
      </c>
      <c r="AK55" s="19" t="n">
        <f aca="false">AK53+AK54+AK9+Funding!AK38</f>
        <v>535.19033938693</v>
      </c>
      <c r="AL55" s="19" t="n">
        <f aca="false">AL53+AL54+AL9+Funding!AL38</f>
        <v>540.15823692014</v>
      </c>
      <c r="AM55" s="19" t="n">
        <f aca="false">AM53+AM54+AM9+Funding!AM38</f>
        <v>544.724057204686</v>
      </c>
      <c r="AN55" s="19" t="n">
        <f aca="false">AN53+AN54+AN9+Funding!AN38</f>
        <v>546.172503163501</v>
      </c>
      <c r="AO55" s="19" t="n">
        <f aca="false">AO53+AO54+AO9+Funding!AO38</f>
        <v>546.972165421432</v>
      </c>
      <c r="AP55" s="19" t="n">
        <f aca="false">AP53+AP54+AP9+Funding!AP38</f>
        <v>540.910177408128</v>
      </c>
      <c r="AQ55" s="19" t="n">
        <f aca="false">AQ53+AQ54+AQ9+Funding!AQ38</f>
        <v>533.951891401568</v>
      </c>
      <c r="AR55" s="19" t="n">
        <f aca="false">AR53+AR54+AR9+Funding!AR38</f>
        <v>533.735851387994</v>
      </c>
      <c r="AS55" s="19" t="n">
        <f aca="false">AS53+AS54+AS9+Funding!AS38</f>
        <v>532.060075345121</v>
      </c>
      <c r="AT55" s="19" t="n">
        <f aca="false">AT53+AT54+AT9+Funding!AT38</f>
        <v>526.728096746668</v>
      </c>
      <c r="AU55" s="19" t="n">
        <f aca="false">AU53+AU54+AU9+Funding!AU38</f>
        <v>520.143938652072</v>
      </c>
      <c r="AV55" s="19" t="n">
        <f aca="false">AV53+AV54+AV9+Funding!AV38</f>
        <v>509.513031291462</v>
      </c>
      <c r="AW55" s="19" t="n">
        <f aca="false">AW53+AW54+AW9+Funding!AW38</f>
        <v>499.607304662888</v>
      </c>
      <c r="AX55" s="19" t="n">
        <f aca="false">AX53+AX54+AX9+Funding!AX38</f>
        <v>483.795833313804</v>
      </c>
      <c r="AY55" s="19" t="n">
        <f aca="false">AY53+AY54+AY9+Funding!AY38</f>
        <v>466.819130341879</v>
      </c>
      <c r="AZ55" s="19" t="n">
        <f aca="false">AZ53+AZ54+AZ9+Funding!AZ38</f>
        <v>449.03204729605</v>
      </c>
      <c r="BA55" s="19" t="n">
        <f aca="false">BA53+BA54+BA9+Funding!BA38</f>
        <v>430.790242351648</v>
      </c>
      <c r="BB55" s="19" t="n">
        <f aca="false">BB53+BB54+BB9+Funding!BB38</f>
        <v>408.209577084179</v>
      </c>
      <c r="BC55" s="19" t="n">
        <f aca="false">BC53+BC54+BC9+Funding!BC38</f>
        <v>388.946819048273</v>
      </c>
      <c r="BD55" s="19" t="n">
        <f aca="false">BD53+BD54+BD9+Funding!BD38</f>
        <v>357.352917974223</v>
      </c>
      <c r="BE55" s="19" t="n">
        <f aca="false">BE53+BE54+BE9+Funding!BE38</f>
        <v>326.889438719482</v>
      </c>
      <c r="BF55" s="19" t="n">
        <f aca="false">BF53+BF54+BF9+Funding!BF38</f>
        <v>287.260998223505</v>
      </c>
      <c r="BG55" s="19" t="n">
        <f aca="false">BG53+BG54+BG9+Funding!BG38</f>
        <v>246.774943227484</v>
      </c>
      <c r="BH55" s="19" t="n">
        <f aca="false">BH53+BH54+BH9+Funding!BH38</f>
        <v>200.249404269455</v>
      </c>
      <c r="BI55" s="19" t="n">
        <f aca="false">BI53+BI54+BI9+Funding!BI38</f>
        <v>151.685151408164</v>
      </c>
      <c r="BJ55" s="19" t="n">
        <f aca="false">BJ53+BJ54+BJ9+Funding!BJ38</f>
        <v>96.8010404198433</v>
      </c>
      <c r="BK55" s="19" t="n">
        <f aca="false">BK53+BK54+BK9+Funding!BK38</f>
        <v>40.2152770757736</v>
      </c>
      <c r="BL55" s="19" t="n">
        <f aca="false">BL53+BL54+BL9+Funding!BL38</f>
        <v>0</v>
      </c>
      <c r="BM55" s="19" t="n">
        <f aca="false">BM53+BM54+BM9+Funding!BM38</f>
        <v>0</v>
      </c>
      <c r="BN55" s="19" t="n">
        <f aca="false">BN53+BN54+BN9+Funding!BN38</f>
        <v>0</v>
      </c>
      <c r="BO55" s="19" t="n">
        <f aca="false">BO53+BO54+BO9+Funding!BO38</f>
        <v>0</v>
      </c>
      <c r="BP55" s="19" t="n">
        <f aca="false">BP53+BP54+BP9+Funding!BP38</f>
        <v>0</v>
      </c>
      <c r="BQ55" s="19" t="n">
        <f aca="false">BQ53+BQ54+BQ9+Funding!BQ38</f>
        <v>0</v>
      </c>
      <c r="BR55" s="19" t="n">
        <f aca="false">BR53+BR54+BR9+Funding!BR38</f>
        <v>0</v>
      </c>
      <c r="BS55" s="19" t="n">
        <f aca="false">BS53+BS54+BS9+Funding!BS38</f>
        <v>0</v>
      </c>
      <c r="BT55" s="19" t="n">
        <f aca="false">BT53+BT54+BT9+Funding!BT38</f>
        <v>0</v>
      </c>
      <c r="BU55" s="19" t="n">
        <f aca="false">BU53+BU54+BU9+Funding!BU38</f>
        <v>0</v>
      </c>
      <c r="BV55" s="19" t="n">
        <f aca="false">BV53+BV54+BV9+Funding!BV38</f>
        <v>0</v>
      </c>
      <c r="BW55" s="19" t="n">
        <f aca="false">BW53+BW54+BW9+Funding!BW38</f>
        <v>0</v>
      </c>
      <c r="BX55" s="19" t="n">
        <f aca="false">BX53+BX54+BX9+Funding!BX38</f>
        <v>0</v>
      </c>
      <c r="BY55" s="19" t="n">
        <f aca="false">BY53+BY54+BY9+Funding!BY38</f>
        <v>0</v>
      </c>
      <c r="BZ55" s="19" t="n">
        <f aca="false">BZ53+BZ54+BZ9+Funding!BZ38</f>
        <v>0</v>
      </c>
      <c r="CA55" s="19" t="n">
        <f aca="false">CA53+CA54+CA9+Funding!CA38</f>
        <v>0</v>
      </c>
      <c r="CB55" s="19" t="n">
        <f aca="false">CB53+CB54+CB9+Funding!CB38</f>
        <v>0</v>
      </c>
      <c r="CC55" s="19" t="n">
        <f aca="false">CC53+CC54+CC9+Funding!CC38</f>
        <v>0</v>
      </c>
      <c r="CD55" s="19" t="n">
        <f aca="false">CD53+CD54+CD9+Funding!CD38</f>
        <v>0</v>
      </c>
      <c r="CE55" s="19" t="n">
        <f aca="false">CE53+CE54+CE9+Funding!CE38</f>
        <v>0</v>
      </c>
      <c r="CF55" s="19" t="n">
        <f aca="false">CF53+CF54+CF9+Funding!CF38</f>
        <v>0</v>
      </c>
      <c r="CG55" s="19" t="n">
        <f aca="false">CG53+CG54+CG9+Funding!CG38</f>
        <v>0</v>
      </c>
      <c r="CH55" s="19" t="n">
        <f aca="false">CH53+CH54+CH9+Funding!CH38</f>
        <v>0</v>
      </c>
      <c r="CI55" s="19" t="n">
        <f aca="false">CI53+CI54+CI9+Funding!CI38</f>
        <v>0</v>
      </c>
      <c r="CJ55" s="19" t="n">
        <f aca="false">CJ53+CJ54+CJ9+Funding!CJ38</f>
        <v>0</v>
      </c>
      <c r="CK55" s="19" t="n">
        <f aca="false">CK53+CK54+CK9+Funding!CK38</f>
        <v>0</v>
      </c>
      <c r="CL55" s="19" t="n">
        <f aca="false">CL53+CL54+CL9+Funding!CL38</f>
        <v>0</v>
      </c>
      <c r="CM55" s="19" t="n">
        <f aca="false">CM53+CM54+CM9+Funding!CM38</f>
        <v>0</v>
      </c>
      <c r="CN55" s="19" t="n">
        <f aca="false">CN53+CN54+CN9+Funding!CN38</f>
        <v>0</v>
      </c>
      <c r="CO55" s="19" t="n">
        <f aca="false">CO53+CO54+CO9+Funding!CO38</f>
        <v>0</v>
      </c>
      <c r="CP55" s="19" t="n">
        <f aca="false">CP53+CP54+CP9+Funding!CP38</f>
        <v>0</v>
      </c>
      <c r="CQ55" s="19" t="n">
        <f aca="false">CQ53+CQ54+CQ9+Funding!CQ38</f>
        <v>0</v>
      </c>
      <c r="CR55" s="19" t="n">
        <f aca="false">CR53+CR54+CR9+Funding!CR38</f>
        <v>0</v>
      </c>
      <c r="CS55" s="19" t="n">
        <f aca="false">CS53+CS54+CS9+Funding!CS38</f>
        <v>0</v>
      </c>
      <c r="CT55" s="19" t="n">
        <f aca="false">CT53+CT54+CT9+Funding!CT38</f>
        <v>0</v>
      </c>
      <c r="CU55" s="19" t="n">
        <f aca="false">CU53+CU54+CU9+Funding!CU38</f>
        <v>0</v>
      </c>
      <c r="CV55" s="19" t="n">
        <f aca="false">CV53+CV54+CV9+Funding!CV38</f>
        <v>0</v>
      </c>
      <c r="CW55" s="19" t="n">
        <f aca="false">CW53+CW54+CW9+Funding!CW38</f>
        <v>0</v>
      </c>
      <c r="CX55" s="19" t="n">
        <f aca="false">CX53+CX54+CX9+Funding!CX38</f>
        <v>0</v>
      </c>
      <c r="CY55" s="19" t="n">
        <f aca="false">CY53+CY54+CY9+Funding!CY38</f>
        <v>0</v>
      </c>
      <c r="CZ55" s="19" t="n">
        <f aca="false">CZ53+CZ54+CZ9+Funding!CZ38</f>
        <v>0</v>
      </c>
      <c r="DA55" s="19" t="n">
        <f aca="false">DA53+DA54+DA9+Funding!DA38</f>
        <v>0</v>
      </c>
      <c r="DB55" s="19" t="n">
        <f aca="false">DB53+DB54+DB9+Funding!DB38</f>
        <v>0</v>
      </c>
    </row>
    <row r="56" customFormat="false" ht="15" hidden="false" customHeight="false" outlineLevel="0" collapsed="false">
      <c r="D56" s="0" t="s">
        <v>643</v>
      </c>
      <c r="E56" s="0" t="s">
        <v>44</v>
      </c>
      <c r="G56" s="19" t="n">
        <f aca="false">SUM(J56:DB56)</f>
        <v>1259.89705828244</v>
      </c>
      <c r="J56" s="19" t="n">
        <f aca="false">MIN(J49,J55)</f>
        <v>0</v>
      </c>
      <c r="K56" s="19" t="n">
        <f aca="false">MIN(K49,K55)</f>
        <v>0</v>
      </c>
      <c r="L56" s="19" t="n">
        <f aca="false">MIN(L49,L55)</f>
        <v>0</v>
      </c>
      <c r="M56" s="19" t="n">
        <f aca="false">MIN(M49,M55)</f>
        <v>0</v>
      </c>
      <c r="N56" s="19" t="n">
        <f aca="false">MIN(N49,N55)</f>
        <v>0</v>
      </c>
      <c r="O56" s="19" t="n">
        <f aca="false">MIN(O49,O55)</f>
        <v>0</v>
      </c>
      <c r="P56" s="19" t="n">
        <f aca="false">MIN(P49,P55)</f>
        <v>0</v>
      </c>
      <c r="Q56" s="19" t="n">
        <f aca="false">MIN(Q49,Q55)</f>
        <v>0</v>
      </c>
      <c r="R56" s="19" t="n">
        <f aca="false">MIN(R49,R55)</f>
        <v>0</v>
      </c>
      <c r="S56" s="19" t="n">
        <f aca="false">MIN(S49,S55)</f>
        <v>0</v>
      </c>
      <c r="T56" s="19" t="n">
        <f aca="false">MIN(T49,T55)</f>
        <v>0</v>
      </c>
      <c r="U56" s="19" t="n">
        <f aca="false">MIN(U49,U55)</f>
        <v>0</v>
      </c>
      <c r="V56" s="19" t="n">
        <f aca="false">MIN(V49,V55)</f>
        <v>0</v>
      </c>
      <c r="W56" s="19" t="n">
        <f aca="false">MIN(W49,W55)</f>
        <v>0</v>
      </c>
      <c r="X56" s="19" t="n">
        <f aca="false">MIN(X49,X55)</f>
        <v>0</v>
      </c>
      <c r="Y56" s="19" t="n">
        <f aca="false">MIN(Y49,Y55)</f>
        <v>0</v>
      </c>
      <c r="Z56" s="19" t="n">
        <f aca="false">MIN(Z49,Z55)</f>
        <v>0</v>
      </c>
      <c r="AA56" s="19" t="n">
        <f aca="false">MIN(AA49,AA55)</f>
        <v>0</v>
      </c>
      <c r="AB56" s="19" t="n">
        <f aca="false">MIN(AB49,AB55)</f>
        <v>0</v>
      </c>
      <c r="AC56" s="19" t="n">
        <f aca="false">MIN(AC49,AC55)</f>
        <v>0</v>
      </c>
      <c r="AD56" s="19" t="n">
        <f aca="false">MIN(AD49,AD55)</f>
        <v>62.2612711860763</v>
      </c>
      <c r="AE56" s="19" t="n">
        <f aca="false">MIN(AE49,AE55)</f>
        <v>20.153216868213</v>
      </c>
      <c r="AF56" s="19" t="n">
        <f aca="false">MIN(AF49,AF55)</f>
        <v>18.6162481330978</v>
      </c>
      <c r="AG56" s="19" t="n">
        <f aca="false">MIN(AG49,AG55)</f>
        <v>26.1809099949294</v>
      </c>
      <c r="AH56" s="19" t="n">
        <f aca="false">MIN(AH49,AH55)</f>
        <v>26.9528117441956</v>
      </c>
      <c r="AI56" s="19" t="n">
        <f aca="false">MIN(AI49,AI55)</f>
        <v>26.2548361055693</v>
      </c>
      <c r="AJ56" s="19" t="n">
        <f aca="false">MIN(AJ49,AJ55)</f>
        <v>21.9796550908114</v>
      </c>
      <c r="AK56" s="19" t="n">
        <f aca="false">MIN(AK49,AK55)</f>
        <v>21.1596487361034</v>
      </c>
      <c r="AL56" s="19" t="n">
        <f aca="false">MIN(AL49,AL55)</f>
        <v>22.1978323984121</v>
      </c>
      <c r="AM56" s="19" t="n">
        <f aca="false">MIN(AM49,AM55)</f>
        <v>24.9700113969345</v>
      </c>
      <c r="AN56" s="19" t="n">
        <f aca="false">MIN(AN49,AN55)</f>
        <v>26.0744455934944</v>
      </c>
      <c r="AO56" s="19" t="n">
        <f aca="false">MIN(AO49,AO55)</f>
        <v>32.2259057725788</v>
      </c>
      <c r="AP56" s="19" t="n">
        <f aca="false">MIN(AP49,AP55)</f>
        <v>33.1926752938878</v>
      </c>
      <c r="AQ56" s="19" t="n">
        <f aca="false">MIN(AQ49,AQ55)</f>
        <v>26.1686336397305</v>
      </c>
      <c r="AR56" s="19" t="n">
        <f aca="false">MIN(AR49,AR55)</f>
        <v>27.8172156849531</v>
      </c>
      <c r="AS56" s="19" t="n">
        <f aca="false">MIN(AS49,AS55)</f>
        <v>30.8099066914593</v>
      </c>
      <c r="AT56" s="19" t="n">
        <f aca="false">MIN(AT49,AT55)</f>
        <v>32.1401281956166</v>
      </c>
      <c r="AU56" s="19" t="n">
        <f aca="false">MIN(AU49,AU55)</f>
        <v>35.2761397943318</v>
      </c>
      <c r="AV56" s="19" t="n">
        <f aca="false">MIN(AV49,AV55)</f>
        <v>34.452680637697</v>
      </c>
      <c r="AW56" s="19" t="n">
        <f aca="false">MIN(AW49,AW55)</f>
        <v>39.2127585198219</v>
      </c>
      <c r="AX56" s="19" t="n">
        <f aca="false">MIN(AX49,AX55)</f>
        <v>39.9126921300759</v>
      </c>
      <c r="AY56" s="19" t="n">
        <f aca="false">MIN(AY49,AY55)</f>
        <v>39.6210037357918</v>
      </c>
      <c r="AZ56" s="19" t="n">
        <f aca="false">MIN(AZ49,AZ55)</f>
        <v>39.4076048994695</v>
      </c>
      <c r="BA56" s="19" t="n">
        <f aca="false">MIN(BA49,BA55)</f>
        <v>42.3258323015884</v>
      </c>
      <c r="BB56" s="19" t="n">
        <f aca="false">MIN(BB49,BB55)</f>
        <v>38.3726861535808</v>
      </c>
      <c r="BC56" s="19" t="n">
        <f aca="false">MIN(BC49,BC55)</f>
        <v>48.8791228121867</v>
      </c>
      <c r="BD56" s="19" t="n">
        <f aca="false">MIN(BD49,BD55)</f>
        <v>46.5243733678273</v>
      </c>
      <c r="BE56" s="19" t="n">
        <f aca="false">MIN(BE49,BE55)</f>
        <v>53.5233040923341</v>
      </c>
      <c r="BF56" s="19" t="n">
        <f aca="false">MIN(BF49,BF55)</f>
        <v>52.6107239619731</v>
      </c>
      <c r="BG56" s="19" t="n">
        <f aca="false">MIN(BG49,BG55)</f>
        <v>56.262549127704</v>
      </c>
      <c r="BH56" s="19" t="n">
        <f aca="false">MIN(BH49,BH55)</f>
        <v>56.0169229898736</v>
      </c>
      <c r="BI56" s="19" t="n">
        <f aca="false">MIN(BI49,BI55)</f>
        <v>59.5663938632578</v>
      </c>
      <c r="BJ56" s="19" t="n">
        <f aca="false">MIN(BJ49,BJ55)</f>
        <v>58.5616402930852</v>
      </c>
      <c r="BK56" s="19" t="n">
        <f aca="false">MIN(BK49,BK55)</f>
        <v>40.2152770757736</v>
      </c>
      <c r="BL56" s="19" t="n">
        <f aca="false">MIN(BL49,BL55)</f>
        <v>0</v>
      </c>
      <c r="BM56" s="19" t="n">
        <f aca="false">MIN(BM49,BM55)</f>
        <v>0</v>
      </c>
      <c r="BN56" s="19" t="n">
        <f aca="false">MIN(BN49,BN55)</f>
        <v>0</v>
      </c>
      <c r="BO56" s="19" t="n">
        <f aca="false">MIN(BO49,BO55)</f>
        <v>0</v>
      </c>
      <c r="BP56" s="19" t="n">
        <f aca="false">MIN(BP49,BP55)</f>
        <v>0</v>
      </c>
      <c r="BQ56" s="19" t="n">
        <f aca="false">MIN(BQ49,BQ55)</f>
        <v>0</v>
      </c>
      <c r="BR56" s="19" t="n">
        <f aca="false">MIN(BR49,BR55)</f>
        <v>0</v>
      </c>
      <c r="BS56" s="19" t="n">
        <f aca="false">MIN(BS49,BS55)</f>
        <v>0</v>
      </c>
      <c r="BT56" s="19" t="n">
        <f aca="false">MIN(BT49,BT55)</f>
        <v>0</v>
      </c>
      <c r="BU56" s="19" t="n">
        <f aca="false">MIN(BU49,BU55)</f>
        <v>0</v>
      </c>
      <c r="BV56" s="19" t="n">
        <f aca="false">MIN(BV49,BV55)</f>
        <v>0</v>
      </c>
      <c r="BW56" s="19" t="n">
        <f aca="false">MIN(BW49,BW55)</f>
        <v>0</v>
      </c>
      <c r="BX56" s="19" t="n">
        <f aca="false">MIN(BX49,BX55)</f>
        <v>0</v>
      </c>
      <c r="BY56" s="19" t="n">
        <f aca="false">MIN(BY49,BY55)</f>
        <v>0</v>
      </c>
      <c r="BZ56" s="19" t="n">
        <f aca="false">MIN(BZ49,BZ55)</f>
        <v>0</v>
      </c>
      <c r="CA56" s="19" t="n">
        <f aca="false">MIN(CA49,CA55)</f>
        <v>0</v>
      </c>
      <c r="CB56" s="19" t="n">
        <f aca="false">MIN(CB49,CB55)</f>
        <v>0</v>
      </c>
      <c r="CC56" s="19" t="n">
        <f aca="false">MIN(CC49,CC55)</f>
        <v>0</v>
      </c>
      <c r="CD56" s="19" t="n">
        <f aca="false">MIN(CD49,CD55)</f>
        <v>0</v>
      </c>
      <c r="CE56" s="19" t="n">
        <f aca="false">MIN(CE49,CE55)</f>
        <v>0</v>
      </c>
      <c r="CF56" s="19" t="n">
        <f aca="false">MIN(CF49,CF55)</f>
        <v>0</v>
      </c>
      <c r="CG56" s="19" t="n">
        <f aca="false">MIN(CG49,CG55)</f>
        <v>0</v>
      </c>
      <c r="CH56" s="19" t="n">
        <f aca="false">MIN(CH49,CH55)</f>
        <v>0</v>
      </c>
      <c r="CI56" s="19" t="n">
        <f aca="false">MIN(CI49,CI55)</f>
        <v>0</v>
      </c>
      <c r="CJ56" s="19" t="n">
        <f aca="false">MIN(CJ49,CJ55)</f>
        <v>0</v>
      </c>
      <c r="CK56" s="19" t="n">
        <f aca="false">MIN(CK49,CK55)</f>
        <v>0</v>
      </c>
      <c r="CL56" s="19" t="n">
        <f aca="false">MIN(CL49,CL55)</f>
        <v>0</v>
      </c>
      <c r="CM56" s="19" t="n">
        <f aca="false">MIN(CM49,CM55)</f>
        <v>0</v>
      </c>
      <c r="CN56" s="19" t="n">
        <f aca="false">MIN(CN49,CN55)</f>
        <v>0</v>
      </c>
      <c r="CO56" s="19" t="n">
        <f aca="false">MIN(CO49,CO55)</f>
        <v>0</v>
      </c>
      <c r="CP56" s="19" t="n">
        <f aca="false">MIN(CP49,CP55)</f>
        <v>0</v>
      </c>
      <c r="CQ56" s="19" t="n">
        <f aca="false">MIN(CQ49,CQ55)</f>
        <v>0</v>
      </c>
      <c r="CR56" s="19" t="n">
        <f aca="false">MIN(CR49,CR55)</f>
        <v>0</v>
      </c>
      <c r="CS56" s="19" t="n">
        <f aca="false">MIN(CS49,CS55)</f>
        <v>0</v>
      </c>
      <c r="CT56" s="19" t="n">
        <f aca="false">MIN(CT49,CT55)</f>
        <v>0</v>
      </c>
      <c r="CU56" s="19" t="n">
        <f aca="false">MIN(CU49,CU55)</f>
        <v>0</v>
      </c>
      <c r="CV56" s="19" t="n">
        <f aca="false">MIN(CV49,CV55)</f>
        <v>0</v>
      </c>
      <c r="CW56" s="19" t="n">
        <f aca="false">MIN(CW49,CW55)</f>
        <v>0</v>
      </c>
      <c r="CX56" s="19" t="n">
        <f aca="false">MIN(CX49,CX55)</f>
        <v>0</v>
      </c>
      <c r="CY56" s="19" t="n">
        <f aca="false">MIN(CY49,CY55)</f>
        <v>0</v>
      </c>
      <c r="CZ56" s="19" t="n">
        <f aca="false">MIN(CZ49,CZ55)</f>
        <v>0</v>
      </c>
      <c r="DA56" s="19" t="n">
        <f aca="false">MIN(DA49,DA55)</f>
        <v>0</v>
      </c>
      <c r="DB56" s="19" t="n">
        <f aca="false">MIN(DB49,DB55)</f>
        <v>0</v>
      </c>
    </row>
    <row r="57" customFormat="false" ht="15" hidden="false" customHeight="false" outlineLevel="0" collapsed="false">
      <c r="D57" s="0" t="s">
        <v>644</v>
      </c>
      <c r="E57" s="0" t="s">
        <v>44</v>
      </c>
      <c r="G57" s="19" t="n">
        <f aca="false">SUM(J57:DB57)</f>
        <v>2288.34746463068</v>
      </c>
      <c r="J57" s="19" t="n">
        <f aca="false">J49-J56</f>
        <v>0</v>
      </c>
      <c r="K57" s="19" t="n">
        <f aca="false">K49-K56</f>
        <v>0</v>
      </c>
      <c r="L57" s="19" t="n">
        <f aca="false">L49-L56</f>
        <v>0</v>
      </c>
      <c r="M57" s="19" t="n">
        <f aca="false">M49-M56</f>
        <v>0</v>
      </c>
      <c r="N57" s="19" t="n">
        <f aca="false">N49-N56</f>
        <v>0</v>
      </c>
      <c r="O57" s="19" t="n">
        <f aca="false">O49-O56</f>
        <v>0</v>
      </c>
      <c r="P57" s="19" t="n">
        <f aca="false">P49-P56</f>
        <v>0</v>
      </c>
      <c r="Q57" s="19" t="n">
        <f aca="false">Q49-Q56</f>
        <v>0</v>
      </c>
      <c r="R57" s="19" t="n">
        <f aca="false">R49-R56</f>
        <v>0</v>
      </c>
      <c r="S57" s="19" t="n">
        <f aca="false">S49-S56</f>
        <v>0</v>
      </c>
      <c r="T57" s="19" t="n">
        <f aca="false">T49-T56</f>
        <v>0</v>
      </c>
      <c r="U57" s="19" t="n">
        <f aca="false">U49-U56</f>
        <v>0</v>
      </c>
      <c r="V57" s="19" t="n">
        <f aca="false">V49-V56</f>
        <v>0</v>
      </c>
      <c r="W57" s="19" t="n">
        <f aca="false">W49-W56</f>
        <v>0</v>
      </c>
      <c r="X57" s="19" t="n">
        <f aca="false">X49-X56</f>
        <v>0</v>
      </c>
      <c r="Y57" s="19" t="n">
        <f aca="false">Y49-Y56</f>
        <v>0</v>
      </c>
      <c r="Z57" s="19" t="n">
        <f aca="false">Z49-Z56</f>
        <v>0</v>
      </c>
      <c r="AA57" s="19" t="n">
        <f aca="false">AA49-AA56</f>
        <v>0</v>
      </c>
      <c r="AB57" s="19" t="n">
        <f aca="false">AB49-AB56</f>
        <v>0</v>
      </c>
      <c r="AC57" s="19" t="n">
        <f aca="false">AC49-AC56</f>
        <v>0</v>
      </c>
      <c r="AD57" s="19" t="n">
        <f aca="false">AD49-AD56</f>
        <v>0</v>
      </c>
      <c r="AE57" s="19" t="n">
        <f aca="false">AE49-AE56</f>
        <v>0</v>
      </c>
      <c r="AF57" s="19" t="n">
        <f aca="false">AF49-AF56</f>
        <v>0</v>
      </c>
      <c r="AG57" s="19" t="n">
        <f aca="false">AG49-AG56</f>
        <v>0</v>
      </c>
      <c r="AH57" s="19" t="n">
        <f aca="false">AH49-AH56</f>
        <v>0</v>
      </c>
      <c r="AI57" s="19" t="n">
        <f aca="false">AI49-AI56</f>
        <v>0</v>
      </c>
      <c r="AJ57" s="19" t="n">
        <f aca="false">AJ49-AJ56</f>
        <v>0</v>
      </c>
      <c r="AK57" s="19" t="n">
        <f aca="false">AK49-AK56</f>
        <v>0</v>
      </c>
      <c r="AL57" s="19" t="n">
        <f aca="false">AL49-AL56</f>
        <v>0</v>
      </c>
      <c r="AM57" s="19" t="n">
        <f aca="false">AM49-AM56</f>
        <v>0</v>
      </c>
      <c r="AN57" s="19" t="n">
        <f aca="false">AN49-AN56</f>
        <v>0</v>
      </c>
      <c r="AO57" s="19" t="n">
        <f aca="false">AO49-AO56</f>
        <v>0</v>
      </c>
      <c r="AP57" s="19" t="n">
        <f aca="false">AP49-AP56</f>
        <v>0</v>
      </c>
      <c r="AQ57" s="19" t="n">
        <f aca="false">AQ49-AQ56</f>
        <v>0</v>
      </c>
      <c r="AR57" s="19" t="n">
        <f aca="false">AR49-AR56</f>
        <v>0</v>
      </c>
      <c r="AS57" s="19" t="n">
        <f aca="false">AS49-AS56</f>
        <v>0</v>
      </c>
      <c r="AT57" s="19" t="n">
        <f aca="false">AT49-AT56</f>
        <v>0</v>
      </c>
      <c r="AU57" s="19" t="n">
        <f aca="false">AU49-AU56</f>
        <v>0</v>
      </c>
      <c r="AV57" s="19" t="n">
        <f aca="false">AV49-AV56</f>
        <v>0</v>
      </c>
      <c r="AW57" s="19" t="n">
        <f aca="false">AW49-AW56</f>
        <v>0</v>
      </c>
      <c r="AX57" s="19" t="n">
        <f aca="false">AX49-AX56</f>
        <v>0</v>
      </c>
      <c r="AY57" s="19" t="n">
        <f aca="false">AY49-AY56</f>
        <v>0</v>
      </c>
      <c r="AZ57" s="19" t="n">
        <f aca="false">AZ49-AZ56</f>
        <v>0</v>
      </c>
      <c r="BA57" s="19" t="n">
        <f aca="false">BA49-BA56</f>
        <v>0</v>
      </c>
      <c r="BB57" s="19" t="n">
        <f aca="false">BB49-BB56</f>
        <v>0</v>
      </c>
      <c r="BC57" s="19" t="n">
        <f aca="false">BC49-BC56</f>
        <v>0</v>
      </c>
      <c r="BD57" s="19" t="n">
        <f aca="false">BD49-BD56</f>
        <v>0</v>
      </c>
      <c r="BE57" s="19" t="n">
        <f aca="false">BE49-BE56</f>
        <v>0</v>
      </c>
      <c r="BF57" s="19" t="n">
        <f aca="false">BF49-BF56</f>
        <v>0</v>
      </c>
      <c r="BG57" s="19" t="n">
        <f aca="false">BG49-BG56</f>
        <v>0</v>
      </c>
      <c r="BH57" s="19" t="n">
        <f aca="false">BH49-BH56</f>
        <v>0</v>
      </c>
      <c r="BI57" s="19" t="n">
        <f aca="false">BI49-BI56</f>
        <v>0</v>
      </c>
      <c r="BJ57" s="19" t="n">
        <f aca="false">BJ49-BJ56</f>
        <v>0</v>
      </c>
      <c r="BK57" s="19" t="n">
        <f aca="false">BK49-BK56</f>
        <v>22.6340051231804</v>
      </c>
      <c r="BL57" s="19" t="n">
        <f aca="false">BL49-BL56</f>
        <v>61.8128658950342</v>
      </c>
      <c r="BM57" s="19" t="n">
        <f aca="false">BM49-BM56</f>
        <v>66.2927167948559</v>
      </c>
      <c r="BN57" s="19" t="n">
        <f aca="false">BN49-BN56</f>
        <v>72.1907077428689</v>
      </c>
      <c r="BO57" s="19" t="n">
        <f aca="false">BO49-BO56</f>
        <v>60.9205106027324</v>
      </c>
      <c r="BP57" s="19" t="n">
        <f aca="false">BP49-BP56</f>
        <v>60.6566230253074</v>
      </c>
      <c r="BQ57" s="19" t="n">
        <f aca="false">BQ49-BQ56</f>
        <v>48.457843040831</v>
      </c>
      <c r="BR57" s="19" t="n">
        <f aca="false">BR49-BR56</f>
        <v>36.6385018056577</v>
      </c>
      <c r="BS57" s="19" t="n">
        <f aca="false">BS49-BS56</f>
        <v>40.2798441959204</v>
      </c>
      <c r="BT57" s="19" t="n">
        <f aca="false">BT49-BT56</f>
        <v>30.5174024508114</v>
      </c>
      <c r="BU57" s="19" t="n">
        <f aca="false">BU49-BU56</f>
        <v>80.3839545433485</v>
      </c>
      <c r="BV57" s="19" t="n">
        <f aca="false">BV49-BV56</f>
        <v>50.1945715456323</v>
      </c>
      <c r="BW57" s="19" t="n">
        <f aca="false">BW49-BW56</f>
        <v>50.5951403377116</v>
      </c>
      <c r="BX57" s="19" t="n">
        <f aca="false">BX49-BX56</f>
        <v>48.352725574819</v>
      </c>
      <c r="BY57" s="19" t="n">
        <f aca="false">BY49-BY56</f>
        <v>51.7204240138939</v>
      </c>
      <c r="BZ57" s="19" t="n">
        <f aca="false">BZ49-BZ56</f>
        <v>53.0469789633126</v>
      </c>
      <c r="CA57" s="19" t="n">
        <f aca="false">CA49-CA56</f>
        <v>46.908151383406</v>
      </c>
      <c r="CB57" s="19" t="n">
        <f aca="false">CB49-CB56</f>
        <v>43.6467655551318</v>
      </c>
      <c r="CC57" s="19" t="n">
        <f aca="false">CC49-CC56</f>
        <v>47.8393071299145</v>
      </c>
      <c r="CD57" s="19" t="n">
        <f aca="false">CD49-CD56</f>
        <v>46.6364934953854</v>
      </c>
      <c r="CE57" s="19" t="n">
        <f aca="false">CE49-CE56</f>
        <v>51.9277516374682</v>
      </c>
      <c r="CF57" s="19" t="n">
        <f aca="false">CF49-CF56</f>
        <v>51.1443474988465</v>
      </c>
      <c r="CG57" s="19" t="n">
        <f aca="false">CG49-CG56</f>
        <v>126.874844186985</v>
      </c>
      <c r="CH57" s="19" t="n">
        <f aca="false">CH49-CH56</f>
        <v>97.7708235518326</v>
      </c>
      <c r="CI57" s="19" t="n">
        <f aca="false">CI49-CI56</f>
        <v>102.206624564995</v>
      </c>
      <c r="CJ57" s="19" t="n">
        <f aca="false">CJ49-CJ56</f>
        <v>101.462958996345</v>
      </c>
      <c r="CK57" s="19" t="n">
        <f aca="false">CK49-CK56</f>
        <v>118.340518486067</v>
      </c>
      <c r="CL57" s="19" t="n">
        <f aca="false">CL49-CL56</f>
        <v>109.664059573532</v>
      </c>
      <c r="CM57" s="19" t="n">
        <f aca="false">CM49-CM56</f>
        <v>114.443570553427</v>
      </c>
      <c r="CN57" s="19" t="n">
        <f aca="false">CN49-CN56</f>
        <v>114.326807620848</v>
      </c>
      <c r="CO57" s="19" t="n">
        <f aca="false">CO49-CO56</f>
        <v>118.598964170886</v>
      </c>
      <c r="CP57" s="19" t="n">
        <f aca="false">CP49-CP56</f>
        <v>161.860660569695</v>
      </c>
      <c r="CQ57" s="19" t="n">
        <f aca="false">CQ49-CQ56</f>
        <v>0</v>
      </c>
      <c r="CR57" s="19" t="n">
        <f aca="false">CR49-CR56</f>
        <v>0</v>
      </c>
      <c r="CS57" s="19" t="n">
        <f aca="false">CS49-CS56</f>
        <v>0</v>
      </c>
      <c r="CT57" s="19" t="n">
        <f aca="false">CT49-CT56</f>
        <v>0</v>
      </c>
      <c r="CU57" s="19" t="n">
        <f aca="false">CU49-CU56</f>
        <v>0</v>
      </c>
      <c r="CV57" s="19" t="n">
        <f aca="false">CV49-CV56</f>
        <v>0</v>
      </c>
      <c r="CW57" s="19" t="n">
        <f aca="false">CW49-CW56</f>
        <v>0</v>
      </c>
      <c r="CX57" s="19" t="n">
        <f aca="false">CX49-CX56</f>
        <v>0</v>
      </c>
      <c r="CY57" s="19" t="n">
        <f aca="false">CY49-CY56</f>
        <v>0</v>
      </c>
      <c r="CZ57" s="19" t="n">
        <f aca="false">CZ49-CZ56</f>
        <v>0</v>
      </c>
      <c r="DA57" s="19" t="n">
        <f aca="false">DA49-DA56</f>
        <v>0</v>
      </c>
      <c r="DB57" s="19" t="n">
        <f aca="false">DB49-DB56</f>
        <v>0</v>
      </c>
    </row>
    <row r="58" customFormat="false" ht="15" hidden="false" customHeight="false" outlineLevel="0" collapsed="false">
      <c r="D58" s="0" t="s">
        <v>645</v>
      </c>
      <c r="E58" s="0" t="s">
        <v>44</v>
      </c>
      <c r="J58" s="19" t="n">
        <f aca="false">J55-J56</f>
        <v>62.402360068135</v>
      </c>
      <c r="K58" s="19" t="n">
        <f aca="false">K55-K56</f>
        <v>89.4860221464506</v>
      </c>
      <c r="L58" s="19" t="n">
        <f aca="false">L55-L56</f>
        <v>144.032445579705</v>
      </c>
      <c r="M58" s="19" t="n">
        <f aca="false">M55-M56</f>
        <v>231.07574127871</v>
      </c>
      <c r="N58" s="19" t="n">
        <f aca="false">N55-N56</f>
        <v>336.268223031668</v>
      </c>
      <c r="O58" s="19" t="n">
        <f aca="false">O55-O56</f>
        <v>344.955919862322</v>
      </c>
      <c r="P58" s="19" t="n">
        <f aca="false">P55-P56</f>
        <v>353.868068696025</v>
      </c>
      <c r="Q58" s="19" t="n">
        <f aca="false">Q55-Q56</f>
        <v>362.811720569233</v>
      </c>
      <c r="R58" s="19" t="n">
        <f aca="false">R55-R56</f>
        <v>372.083299538026</v>
      </c>
      <c r="S58" s="19" t="n">
        <f aca="false">S55-S56</f>
        <v>381.696300948009</v>
      </c>
      <c r="T58" s="19" t="n">
        <f aca="false">T55-T56</f>
        <v>391.557660175241</v>
      </c>
      <c r="U58" s="19" t="n">
        <f aca="false">U55-U56</f>
        <v>401.453877750903</v>
      </c>
      <c r="V58" s="19" t="n">
        <f aca="false">V55-V56</f>
        <v>411.712949106304</v>
      </c>
      <c r="W58" s="19" t="n">
        <f aca="false">W55-W56</f>
        <v>422.349806942119</v>
      </c>
      <c r="X58" s="19" t="n">
        <f aca="false">X55-X56</f>
        <v>433.26147455709</v>
      </c>
      <c r="Y58" s="19" t="n">
        <f aca="false">Y55-Y56</f>
        <v>444.211713194868</v>
      </c>
      <c r="Z58" s="19" t="n">
        <f aca="false">Z55-Z56</f>
        <v>455.563452249184</v>
      </c>
      <c r="AA58" s="19" t="n">
        <f aca="false">AA55-AA56</f>
        <v>479.10297748047</v>
      </c>
      <c r="AB58" s="19" t="n">
        <f aca="false">AB55-AB56</f>
        <v>503.589733767862</v>
      </c>
      <c r="AC58" s="19" t="n">
        <f aca="false">AC55-AC56</f>
        <v>529.610836175703</v>
      </c>
      <c r="AD58" s="19" t="n">
        <f aca="false">AD55-AD56</f>
        <v>494.269030847571</v>
      </c>
      <c r="AE58" s="19" t="n">
        <f aca="false">AE55-AE56</f>
        <v>499.65530417603</v>
      </c>
      <c r="AF58" s="19" t="n">
        <f aca="false">AF55-AF56</f>
        <v>506.435919140811</v>
      </c>
      <c r="AG58" s="19" t="n">
        <f aca="false">AG55-AG56</f>
        <v>506.423177460939</v>
      </c>
      <c r="AH58" s="19" t="n">
        <f aca="false">AH55-AH56</f>
        <v>505.211231469741</v>
      </c>
      <c r="AI58" s="19" t="n">
        <f aca="false">AI55-AI56</f>
        <v>505.061282557375</v>
      </c>
      <c r="AJ58" s="19" t="n">
        <f aca="false">AJ55-AJ56</f>
        <v>508.89510205864</v>
      </c>
      <c r="AK58" s="19" t="n">
        <f aca="false">AK55-AK56</f>
        <v>514.030690650827</v>
      </c>
      <c r="AL58" s="19" t="n">
        <f aca="false">AL55-AL56</f>
        <v>517.960404521728</v>
      </c>
      <c r="AM58" s="19" t="n">
        <f aca="false">AM55-AM56</f>
        <v>519.754045807752</v>
      </c>
      <c r="AN58" s="19" t="n">
        <f aca="false">AN55-AN56</f>
        <v>520.098057570006</v>
      </c>
      <c r="AO58" s="19" t="n">
        <f aca="false">AO55-AO56</f>
        <v>514.746259648853</v>
      </c>
      <c r="AP58" s="19" t="n">
        <f aca="false">AP55-AP56</f>
        <v>507.71750211424</v>
      </c>
      <c r="AQ58" s="19" t="n">
        <f aca="false">AQ55-AQ56</f>
        <v>507.783257761837</v>
      </c>
      <c r="AR58" s="19" t="n">
        <f aca="false">AR55-AR56</f>
        <v>505.918635703041</v>
      </c>
      <c r="AS58" s="19" t="n">
        <f aca="false">AS55-AS56</f>
        <v>501.250168653662</v>
      </c>
      <c r="AT58" s="19" t="n">
        <f aca="false">AT55-AT56</f>
        <v>494.587968551051</v>
      </c>
      <c r="AU58" s="19" t="n">
        <f aca="false">AU55-AU56</f>
        <v>484.86779885774</v>
      </c>
      <c r="AV58" s="19" t="n">
        <f aca="false">AV55-AV56</f>
        <v>475.060350653765</v>
      </c>
      <c r="AW58" s="19" t="n">
        <f aca="false">AW55-AW56</f>
        <v>460.394546143066</v>
      </c>
      <c r="AX58" s="19" t="n">
        <f aca="false">AX55-AX56</f>
        <v>443.883141183728</v>
      </c>
      <c r="AY58" s="19" t="n">
        <f aca="false">AY55-AY56</f>
        <v>427.198126606087</v>
      </c>
      <c r="AZ58" s="19" t="n">
        <f aca="false">AZ55-AZ56</f>
        <v>409.624442396581</v>
      </c>
      <c r="BA58" s="19" t="n">
        <f aca="false">BA55-BA56</f>
        <v>388.464410050059</v>
      </c>
      <c r="BB58" s="19" t="n">
        <f aca="false">BB55-BB56</f>
        <v>369.836890930598</v>
      </c>
      <c r="BC58" s="19" t="n">
        <f aca="false">BC55-BC56</f>
        <v>340.067696236086</v>
      </c>
      <c r="BD58" s="19" t="n">
        <f aca="false">BD55-BD56</f>
        <v>310.828544606396</v>
      </c>
      <c r="BE58" s="19" t="n">
        <f aca="false">BE55-BE56</f>
        <v>273.366134627148</v>
      </c>
      <c r="BF58" s="19" t="n">
        <f aca="false">BF55-BF56</f>
        <v>234.650274261532</v>
      </c>
      <c r="BG58" s="19" t="n">
        <f aca="false">BG55-BG56</f>
        <v>190.51239409978</v>
      </c>
      <c r="BH58" s="19" t="n">
        <f aca="false">BH55-BH56</f>
        <v>144.232481279581</v>
      </c>
      <c r="BI58" s="19" t="n">
        <f aca="false">BI55-BI56</f>
        <v>92.1187575449066</v>
      </c>
      <c r="BJ58" s="19" t="n">
        <f aca="false">BJ55-BJ56</f>
        <v>38.2394001267581</v>
      </c>
      <c r="BK58" s="19" t="n">
        <f aca="false">BK55-BK56</f>
        <v>0</v>
      </c>
      <c r="BL58" s="19" t="n">
        <f aca="false">BL55-BL56</f>
        <v>0</v>
      </c>
      <c r="BM58" s="19" t="n">
        <f aca="false">BM55-BM56</f>
        <v>0</v>
      </c>
      <c r="BN58" s="19" t="n">
        <f aca="false">BN55-BN56</f>
        <v>0</v>
      </c>
      <c r="BO58" s="19" t="n">
        <f aca="false">BO55-BO56</f>
        <v>0</v>
      </c>
      <c r="BP58" s="19" t="n">
        <f aca="false">BP55-BP56</f>
        <v>0</v>
      </c>
      <c r="BQ58" s="19" t="n">
        <f aca="false">BQ55-BQ56</f>
        <v>0</v>
      </c>
      <c r="BR58" s="19" t="n">
        <f aca="false">BR55-BR56</f>
        <v>0</v>
      </c>
      <c r="BS58" s="19" t="n">
        <f aca="false">BS55-BS56</f>
        <v>0</v>
      </c>
      <c r="BT58" s="19" t="n">
        <f aca="false">BT55-BT56</f>
        <v>0</v>
      </c>
      <c r="BU58" s="19" t="n">
        <f aca="false">BU55-BU56</f>
        <v>0</v>
      </c>
      <c r="BV58" s="19" t="n">
        <f aca="false">BV55-BV56</f>
        <v>0</v>
      </c>
      <c r="BW58" s="19" t="n">
        <f aca="false">BW55-BW56</f>
        <v>0</v>
      </c>
      <c r="BX58" s="19" t="n">
        <f aca="false">BX55-BX56</f>
        <v>0</v>
      </c>
      <c r="BY58" s="19" t="n">
        <f aca="false">BY55-BY56</f>
        <v>0</v>
      </c>
      <c r="BZ58" s="19" t="n">
        <f aca="false">BZ55-BZ56</f>
        <v>0</v>
      </c>
      <c r="CA58" s="19" t="n">
        <f aca="false">CA55-CA56</f>
        <v>0</v>
      </c>
      <c r="CB58" s="19" t="n">
        <f aca="false">CB55-CB56</f>
        <v>0</v>
      </c>
      <c r="CC58" s="19" t="n">
        <f aca="false">CC55-CC56</f>
        <v>0</v>
      </c>
      <c r="CD58" s="19" t="n">
        <f aca="false">CD55-CD56</f>
        <v>0</v>
      </c>
      <c r="CE58" s="19" t="n">
        <f aca="false">CE55-CE56</f>
        <v>0</v>
      </c>
      <c r="CF58" s="19" t="n">
        <f aca="false">CF55-CF56</f>
        <v>0</v>
      </c>
      <c r="CG58" s="19" t="n">
        <f aca="false">CG55-CG56</f>
        <v>0</v>
      </c>
      <c r="CH58" s="19" t="n">
        <f aca="false">CH55-CH56</f>
        <v>0</v>
      </c>
      <c r="CI58" s="19" t="n">
        <f aca="false">CI55-CI56</f>
        <v>0</v>
      </c>
      <c r="CJ58" s="19" t="n">
        <f aca="false">CJ55-CJ56</f>
        <v>0</v>
      </c>
      <c r="CK58" s="19" t="n">
        <f aca="false">CK55-CK56</f>
        <v>0</v>
      </c>
      <c r="CL58" s="19" t="n">
        <f aca="false">CL55-CL56</f>
        <v>0</v>
      </c>
      <c r="CM58" s="19" t="n">
        <f aca="false">CM55-CM56</f>
        <v>0</v>
      </c>
      <c r="CN58" s="19" t="n">
        <f aca="false">CN55-CN56</f>
        <v>0</v>
      </c>
      <c r="CO58" s="19" t="n">
        <f aca="false">CO55-CO56</f>
        <v>0</v>
      </c>
      <c r="CP58" s="19" t="n">
        <f aca="false">CP55-CP56</f>
        <v>0</v>
      </c>
      <c r="CQ58" s="19" t="n">
        <f aca="false">CQ55-CQ56</f>
        <v>0</v>
      </c>
      <c r="CR58" s="19" t="n">
        <f aca="false">CR55-CR56</f>
        <v>0</v>
      </c>
      <c r="CS58" s="19" t="n">
        <f aca="false">CS55-CS56</f>
        <v>0</v>
      </c>
      <c r="CT58" s="19" t="n">
        <f aca="false">CT55-CT56</f>
        <v>0</v>
      </c>
      <c r="CU58" s="19" t="n">
        <f aca="false">CU55-CU56</f>
        <v>0</v>
      </c>
      <c r="CV58" s="19" t="n">
        <f aca="false">CV55-CV56</f>
        <v>0</v>
      </c>
      <c r="CW58" s="19" t="n">
        <f aca="false">CW55-CW56</f>
        <v>0</v>
      </c>
      <c r="CX58" s="19" t="n">
        <f aca="false">CX55-CX56</f>
        <v>0</v>
      </c>
      <c r="CY58" s="19" t="n">
        <f aca="false">CY55-CY56</f>
        <v>0</v>
      </c>
      <c r="CZ58" s="19" t="n">
        <f aca="false">CZ55-CZ56</f>
        <v>0</v>
      </c>
      <c r="DA58" s="19" t="n">
        <f aca="false">DA55-DA56</f>
        <v>0</v>
      </c>
      <c r="DB58" s="19" t="n">
        <f aca="false">DB55-DB56</f>
        <v>0</v>
      </c>
    </row>
    <row r="59" customFormat="false" ht="15" hidden="false" customHeight="false" outlineLevel="0" collapsed="false">
      <c r="D59" s="0" t="s">
        <v>646</v>
      </c>
      <c r="E59" s="0" t="s">
        <v>44</v>
      </c>
      <c r="J59" s="19" t="n">
        <f aca="false">IF(Time!J35=1,0,J58)</f>
        <v>62.402360068135</v>
      </c>
      <c r="K59" s="19" t="n">
        <f aca="false">IF(Time!K35=1,0,K58)</f>
        <v>89.4860221464506</v>
      </c>
      <c r="L59" s="19" t="n">
        <f aca="false">IF(Time!L35=1,0,L58)</f>
        <v>144.032445579705</v>
      </c>
      <c r="M59" s="19" t="n">
        <f aca="false">IF(Time!M35=1,0,M58)</f>
        <v>231.07574127871</v>
      </c>
      <c r="N59" s="19" t="n">
        <f aca="false">IF(Time!N35=1,0,N58)</f>
        <v>336.268223031668</v>
      </c>
      <c r="O59" s="19" t="n">
        <f aca="false">IF(Time!O35=1,0,O58)</f>
        <v>344.955919862322</v>
      </c>
      <c r="P59" s="19" t="n">
        <f aca="false">IF(Time!P35=1,0,P58)</f>
        <v>353.868068696025</v>
      </c>
      <c r="Q59" s="19" t="n">
        <f aca="false">IF(Time!Q35=1,0,Q58)</f>
        <v>362.811720569233</v>
      </c>
      <c r="R59" s="19" t="n">
        <f aca="false">IF(Time!R35=1,0,R58)</f>
        <v>372.083299538026</v>
      </c>
      <c r="S59" s="19" t="n">
        <f aca="false">IF(Time!S35=1,0,S58)</f>
        <v>381.696300948009</v>
      </c>
      <c r="T59" s="19" t="n">
        <f aca="false">IF(Time!T35=1,0,T58)</f>
        <v>391.557660175241</v>
      </c>
      <c r="U59" s="19" t="n">
        <f aca="false">IF(Time!U35=1,0,U58)</f>
        <v>401.453877750903</v>
      </c>
      <c r="V59" s="19" t="n">
        <f aca="false">IF(Time!V35=1,0,V58)</f>
        <v>411.712949106304</v>
      </c>
      <c r="W59" s="19" t="n">
        <f aca="false">IF(Time!W35=1,0,W58)</f>
        <v>422.349806942119</v>
      </c>
      <c r="X59" s="19" t="n">
        <f aca="false">IF(Time!X35=1,0,X58)</f>
        <v>433.26147455709</v>
      </c>
      <c r="Y59" s="19" t="n">
        <f aca="false">IF(Time!Y35=1,0,Y58)</f>
        <v>444.211713194868</v>
      </c>
      <c r="Z59" s="19" t="n">
        <f aca="false">IF(Time!Z35=1,0,Z58)</f>
        <v>455.563452249184</v>
      </c>
      <c r="AA59" s="19" t="n">
        <f aca="false">IF(Time!AA35=1,0,AA58)</f>
        <v>479.10297748047</v>
      </c>
      <c r="AB59" s="19" t="n">
        <f aca="false">IF(Time!AB35=1,0,AB58)</f>
        <v>503.589733767862</v>
      </c>
      <c r="AC59" s="19" t="n">
        <f aca="false">IF(Time!AC35=1,0,AC58)</f>
        <v>529.610836175703</v>
      </c>
      <c r="AD59" s="19" t="n">
        <f aca="false">IF(Time!AD35=1,0,AD58)</f>
        <v>494.269030847571</v>
      </c>
      <c r="AE59" s="19" t="n">
        <f aca="false">IF(Time!AE35=1,0,AE58)</f>
        <v>499.65530417603</v>
      </c>
      <c r="AF59" s="19" t="n">
        <f aca="false">IF(Time!AF35=1,0,AF58)</f>
        <v>506.435919140811</v>
      </c>
      <c r="AG59" s="19" t="n">
        <f aca="false">IF(Time!AG35=1,0,AG58)</f>
        <v>506.423177460939</v>
      </c>
      <c r="AH59" s="19" t="n">
        <f aca="false">IF(Time!AH35=1,0,AH58)</f>
        <v>505.211231469741</v>
      </c>
      <c r="AI59" s="19" t="n">
        <f aca="false">IF(Time!AI35=1,0,AI58)</f>
        <v>505.061282557375</v>
      </c>
      <c r="AJ59" s="19" t="n">
        <f aca="false">IF(Time!AJ35=1,0,AJ58)</f>
        <v>508.89510205864</v>
      </c>
      <c r="AK59" s="19" t="n">
        <f aca="false">IF(Time!AK35=1,0,AK58)</f>
        <v>514.030690650827</v>
      </c>
      <c r="AL59" s="19" t="n">
        <f aca="false">IF(Time!AL35=1,0,AL58)</f>
        <v>517.960404521728</v>
      </c>
      <c r="AM59" s="19" t="n">
        <f aca="false">IF(Time!AM35=1,0,AM58)</f>
        <v>519.754045807752</v>
      </c>
      <c r="AN59" s="19" t="n">
        <f aca="false">IF(Time!AN35=1,0,AN58)</f>
        <v>520.098057570006</v>
      </c>
      <c r="AO59" s="19" t="n">
        <f aca="false">IF(Time!AO35=1,0,AO58)</f>
        <v>514.746259648853</v>
      </c>
      <c r="AP59" s="19" t="n">
        <f aca="false">IF(Time!AP35=1,0,AP58)</f>
        <v>507.71750211424</v>
      </c>
      <c r="AQ59" s="19" t="n">
        <f aca="false">IF(Time!AQ35=1,0,AQ58)</f>
        <v>507.783257761837</v>
      </c>
      <c r="AR59" s="19" t="n">
        <f aca="false">IF(Time!AR35=1,0,AR58)</f>
        <v>505.918635703041</v>
      </c>
      <c r="AS59" s="19" t="n">
        <f aca="false">IF(Time!AS35=1,0,AS58)</f>
        <v>501.250168653662</v>
      </c>
      <c r="AT59" s="19" t="n">
        <f aca="false">IF(Time!AT35=1,0,AT58)</f>
        <v>494.587968551051</v>
      </c>
      <c r="AU59" s="19" t="n">
        <f aca="false">IF(Time!AU35=1,0,AU58)</f>
        <v>484.86779885774</v>
      </c>
      <c r="AV59" s="19" t="n">
        <f aca="false">IF(Time!AV35=1,0,AV58)</f>
        <v>475.060350653765</v>
      </c>
      <c r="AW59" s="19" t="n">
        <f aca="false">IF(Time!AW35=1,0,AW58)</f>
        <v>460.394546143066</v>
      </c>
      <c r="AX59" s="19" t="n">
        <f aca="false">IF(Time!AX35=1,0,AX58)</f>
        <v>443.883141183728</v>
      </c>
      <c r="AY59" s="19" t="n">
        <f aca="false">IF(Time!AY35=1,0,AY58)</f>
        <v>427.198126606087</v>
      </c>
      <c r="AZ59" s="19" t="n">
        <f aca="false">IF(Time!AZ35=1,0,AZ58)</f>
        <v>409.624442396581</v>
      </c>
      <c r="BA59" s="19" t="n">
        <f aca="false">IF(Time!BA35=1,0,BA58)</f>
        <v>388.464410050059</v>
      </c>
      <c r="BB59" s="19" t="n">
        <f aca="false">IF(Time!BB35=1,0,BB58)</f>
        <v>369.836890930598</v>
      </c>
      <c r="BC59" s="19" t="n">
        <f aca="false">IF(Time!BC35=1,0,BC58)</f>
        <v>340.067696236086</v>
      </c>
      <c r="BD59" s="19" t="n">
        <f aca="false">IF(Time!BD35=1,0,BD58)</f>
        <v>310.828544606396</v>
      </c>
      <c r="BE59" s="19" t="n">
        <f aca="false">IF(Time!BE35=1,0,BE58)</f>
        <v>273.366134627148</v>
      </c>
      <c r="BF59" s="19" t="n">
        <f aca="false">IF(Time!BF35=1,0,BF58)</f>
        <v>234.650274261532</v>
      </c>
      <c r="BG59" s="19" t="n">
        <f aca="false">IF(Time!BG35=1,0,BG58)</f>
        <v>190.51239409978</v>
      </c>
      <c r="BH59" s="19" t="n">
        <f aca="false">IF(Time!BH35=1,0,BH58)</f>
        <v>144.232481279581</v>
      </c>
      <c r="BI59" s="19" t="n">
        <f aca="false">IF(Time!BI35=1,0,BI58)</f>
        <v>92.1187575449066</v>
      </c>
      <c r="BJ59" s="19" t="n">
        <f aca="false">IF(Time!BJ35=1,0,BJ58)</f>
        <v>38.2394001267581</v>
      </c>
      <c r="BK59" s="19" t="n">
        <f aca="false">IF(Time!BK35=1,0,BK58)</f>
        <v>0</v>
      </c>
      <c r="BL59" s="19" t="n">
        <f aca="false">IF(Time!BL35=1,0,BL58)</f>
        <v>0</v>
      </c>
      <c r="BM59" s="19" t="n">
        <f aca="false">IF(Time!BM35=1,0,BM58)</f>
        <v>0</v>
      </c>
      <c r="BN59" s="19" t="n">
        <f aca="false">IF(Time!BN35=1,0,BN58)</f>
        <v>0</v>
      </c>
      <c r="BO59" s="19" t="n">
        <f aca="false">IF(Time!BO35=1,0,BO58)</f>
        <v>0</v>
      </c>
      <c r="BP59" s="19" t="n">
        <f aca="false">IF(Time!BP35=1,0,BP58)</f>
        <v>0</v>
      </c>
      <c r="BQ59" s="19" t="n">
        <f aca="false">IF(Time!BQ35=1,0,BQ58)</f>
        <v>0</v>
      </c>
      <c r="BR59" s="19" t="n">
        <f aca="false">IF(Time!BR35=1,0,BR58)</f>
        <v>0</v>
      </c>
      <c r="BS59" s="19" t="n">
        <f aca="false">IF(Time!BS35=1,0,BS58)</f>
        <v>0</v>
      </c>
      <c r="BT59" s="19" t="n">
        <f aca="false">IF(Time!BT35=1,0,BT58)</f>
        <v>0</v>
      </c>
      <c r="BU59" s="19" t="n">
        <f aca="false">IF(Time!BU35=1,0,BU58)</f>
        <v>0</v>
      </c>
      <c r="BV59" s="19" t="n">
        <f aca="false">IF(Time!BV35=1,0,BV58)</f>
        <v>0</v>
      </c>
      <c r="BW59" s="19" t="n">
        <f aca="false">IF(Time!BW35=1,0,BW58)</f>
        <v>0</v>
      </c>
      <c r="BX59" s="19" t="n">
        <f aca="false">IF(Time!BX35=1,0,BX58)</f>
        <v>0</v>
      </c>
      <c r="BY59" s="19" t="n">
        <f aca="false">IF(Time!BY35=1,0,BY58)</f>
        <v>0</v>
      </c>
      <c r="BZ59" s="19" t="n">
        <f aca="false">IF(Time!BZ35=1,0,BZ58)</f>
        <v>0</v>
      </c>
      <c r="CA59" s="19" t="n">
        <f aca="false">IF(Time!CA35=1,0,CA58)</f>
        <v>0</v>
      </c>
      <c r="CB59" s="19" t="n">
        <f aca="false">IF(Time!CB35=1,0,CB58)</f>
        <v>0</v>
      </c>
      <c r="CC59" s="19" t="n">
        <f aca="false">IF(Time!CC35=1,0,CC58)</f>
        <v>0</v>
      </c>
      <c r="CD59" s="19" t="n">
        <f aca="false">IF(Time!CD35=1,0,CD58)</f>
        <v>0</v>
      </c>
      <c r="CE59" s="19" t="n">
        <f aca="false">IF(Time!CE35=1,0,CE58)</f>
        <v>0</v>
      </c>
      <c r="CF59" s="19" t="n">
        <f aca="false">IF(Time!CF35=1,0,CF58)</f>
        <v>0</v>
      </c>
      <c r="CG59" s="19" t="n">
        <f aca="false">IF(Time!CG35=1,0,CG58)</f>
        <v>0</v>
      </c>
      <c r="CH59" s="19" t="n">
        <f aca="false">IF(Time!CH35=1,0,CH58)</f>
        <v>0</v>
      </c>
      <c r="CI59" s="19" t="n">
        <f aca="false">IF(Time!CI35=1,0,CI58)</f>
        <v>0</v>
      </c>
      <c r="CJ59" s="19" t="n">
        <f aca="false">IF(Time!CJ35=1,0,CJ58)</f>
        <v>0</v>
      </c>
      <c r="CK59" s="19" t="n">
        <f aca="false">IF(Time!CK35=1,0,CK58)</f>
        <v>0</v>
      </c>
      <c r="CL59" s="19" t="n">
        <f aca="false">IF(Time!CL35=1,0,CL58)</f>
        <v>0</v>
      </c>
      <c r="CM59" s="19" t="n">
        <f aca="false">IF(Time!CM35=1,0,CM58)</f>
        <v>0</v>
      </c>
      <c r="CN59" s="19" t="n">
        <f aca="false">IF(Time!CN35=1,0,CN58)</f>
        <v>0</v>
      </c>
      <c r="CO59" s="19" t="n">
        <f aca="false">IF(Time!CO35=1,0,CO58)</f>
        <v>0</v>
      </c>
      <c r="CP59" s="19" t="n">
        <f aca="false">IF(Time!CP35=1,0,CP58)</f>
        <v>0</v>
      </c>
      <c r="CQ59" s="19" t="n">
        <f aca="false">IF(Time!CQ35=1,0,CQ58)</f>
        <v>0</v>
      </c>
      <c r="CR59" s="19" t="n">
        <f aca="false">IF(Time!CR35=1,0,CR58)</f>
        <v>0</v>
      </c>
      <c r="CS59" s="19" t="n">
        <f aca="false">IF(Time!CS35=1,0,CS58)</f>
        <v>0</v>
      </c>
      <c r="CT59" s="19" t="n">
        <f aca="false">IF(Time!CT35=1,0,CT58)</f>
        <v>0</v>
      </c>
      <c r="CU59" s="19" t="n">
        <f aca="false">IF(Time!CU35=1,0,CU58)</f>
        <v>0</v>
      </c>
      <c r="CV59" s="19" t="n">
        <f aca="false">IF(Time!CV35=1,0,CV58)</f>
        <v>0</v>
      </c>
      <c r="CW59" s="19" t="n">
        <f aca="false">IF(Time!CW35=1,0,CW58)</f>
        <v>0</v>
      </c>
      <c r="CX59" s="19" t="n">
        <f aca="false">IF(Time!CX35=1,0,CX58)</f>
        <v>0</v>
      </c>
      <c r="CY59" s="19" t="n">
        <f aca="false">IF(Time!CY35=1,0,CY58)</f>
        <v>0</v>
      </c>
      <c r="CZ59" s="19" t="n">
        <f aca="false">IF(Time!CZ35=1,0,CZ58)</f>
        <v>0</v>
      </c>
      <c r="DA59" s="19" t="n">
        <f aca="false">IF(Time!DA35=1,0,DA58)</f>
        <v>0</v>
      </c>
      <c r="DB59" s="19" t="n">
        <f aca="false">IF(Time!DB35=1,0,DB58)</f>
        <v>0</v>
      </c>
    </row>
    <row r="60" customFormat="false" ht="15" hidden="false" customHeight="false" outlineLevel="0" collapsed="false">
      <c r="D60" s="3" t="s">
        <v>647</v>
      </c>
    </row>
    <row r="61" customFormat="false" ht="15" hidden="false" customHeight="false" outlineLevel="0" collapsed="false">
      <c r="D61" s="0" t="s">
        <v>648</v>
      </c>
      <c r="E61" s="0" t="s">
        <v>44</v>
      </c>
      <c r="G61" s="19" t="n">
        <f aca="false">SUM(J61:DB61)</f>
        <v>3168.52889890231</v>
      </c>
      <c r="J61" s="19" t="n">
        <f aca="false">IF(Time!J20=1,-Funding!J27,IF(Time!J23=1,0,J49-J9))</f>
        <v>-73.4145412566294</v>
      </c>
      <c r="K61" s="19" t="n">
        <f aca="false">IF(Time!K20=1,-Funding!K27,IF(Time!K23=1,0,K49-K9))</f>
        <v>-29.9664219279377</v>
      </c>
      <c r="L61" s="19" t="n">
        <f aca="false">IF(Time!L20=1,-Funding!L27,IF(Time!L23=1,0,L49-L9))</f>
        <v>-61.4523492805693</v>
      </c>
      <c r="M61" s="19" t="n">
        <f aca="false">IF(Time!M20=1,-Funding!M27,IF(Time!M23=1,0,M49-M9))</f>
        <v>-98.0736189975583</v>
      </c>
      <c r="N61" s="19" t="n">
        <f aca="false">IF(Time!N20=1,-Funding!N27,IF(Time!N23=1,0,N49-N9))</f>
        <v>-116.808692548114</v>
      </c>
      <c r="O61" s="19" t="n">
        <f aca="false">IF(Time!O20=1,-Funding!O27,IF(Time!O23=1,0,O49-O9))</f>
        <v>-0</v>
      </c>
      <c r="P61" s="19" t="n">
        <f aca="false">IF(Time!P20=1,-Funding!P27,IF(Time!P23=1,0,P49-P9))</f>
        <v>-0</v>
      </c>
      <c r="Q61" s="19" t="n">
        <f aca="false">IF(Time!Q20=1,-Funding!Q27,IF(Time!Q23=1,0,Q49-Q9))</f>
        <v>-0</v>
      </c>
      <c r="R61" s="19" t="n">
        <f aca="false">IF(Time!R20=1,-Funding!R27,IF(Time!R23=1,0,R49-R9))</f>
        <v>-0</v>
      </c>
      <c r="S61" s="19" t="n">
        <f aca="false">IF(Time!S20=1,-Funding!S27,IF(Time!S23=1,0,S49-S9))</f>
        <v>-0</v>
      </c>
      <c r="T61" s="19" t="n">
        <f aca="false">IF(Time!T20=1,-Funding!T27,IF(Time!T23=1,0,T49-T9))</f>
        <v>-0</v>
      </c>
      <c r="U61" s="19" t="n">
        <f aca="false">IF(Time!U20=1,-Funding!U27,IF(Time!U23=1,0,U49-U9))</f>
        <v>-0</v>
      </c>
      <c r="V61" s="19" t="n">
        <f aca="false">IF(Time!V20=1,-Funding!V27,IF(Time!V23=1,0,V49-V9))</f>
        <v>-0</v>
      </c>
      <c r="W61" s="19" t="n">
        <f aca="false">IF(Time!W20=1,-Funding!W27,IF(Time!W23=1,0,W49-W9))</f>
        <v>-0</v>
      </c>
      <c r="X61" s="19" t="n">
        <f aca="false">IF(Time!X20=1,-Funding!X27,IF(Time!X23=1,0,X49-X9))</f>
        <v>-0</v>
      </c>
      <c r="Y61" s="19" t="n">
        <f aca="false">IF(Time!Y20=1,-Funding!Y27,IF(Time!Y23=1,0,Y49-Y9))</f>
        <v>-0</v>
      </c>
      <c r="Z61" s="19" t="n">
        <f aca="false">IF(Time!Z20=1,-Funding!Z27,IF(Time!Z23=1,0,Z49-Z9))</f>
        <v>0</v>
      </c>
      <c r="AA61" s="19" t="n">
        <f aca="false">IF(Time!AA20=1,-Funding!AA27,IF(Time!AA23=1,0,AA49-AA9))</f>
        <v>0</v>
      </c>
      <c r="AB61" s="19" t="n">
        <f aca="false">IF(Time!AB20=1,-Funding!AB27,IF(Time!AB23=1,0,AB49-AB9))</f>
        <v>0</v>
      </c>
      <c r="AC61" s="19" t="n">
        <f aca="false">IF(Time!AC20=1,-Funding!AC27,IF(Time!AC23=1,0,AC49-AC9))</f>
        <v>0</v>
      </c>
      <c r="AD61" s="19" t="n">
        <f aca="false">IF(Time!AD20=1,-Funding!AD27,IF(Time!AD23=1,0,AD49-AD9))</f>
        <v>62.2612711860763</v>
      </c>
      <c r="AE61" s="19" t="n">
        <f aca="false">IF(Time!AE20=1,-Funding!AE27,IF(Time!AE23=1,0,AE49-AE9))</f>
        <v>20.153216868213</v>
      </c>
      <c r="AF61" s="19" t="n">
        <f aca="false">IF(Time!AF20=1,-Funding!AF27,IF(Time!AF23=1,0,AF49-AF9))</f>
        <v>18.6162481330978</v>
      </c>
      <c r="AG61" s="19" t="n">
        <f aca="false">IF(Time!AG20=1,-Funding!AG27,IF(Time!AG23=1,0,AG49-AG9))</f>
        <v>26.1809099949294</v>
      </c>
      <c r="AH61" s="19" t="n">
        <f aca="false">IF(Time!AH20=1,-Funding!AH27,IF(Time!AH23=1,0,AH49-AH9))</f>
        <v>26.9528117441956</v>
      </c>
      <c r="AI61" s="19" t="n">
        <f aca="false">IF(Time!AI20=1,-Funding!AI27,IF(Time!AI23=1,0,AI49-AI9))</f>
        <v>26.2548361055693</v>
      </c>
      <c r="AJ61" s="19" t="n">
        <f aca="false">IF(Time!AJ20=1,-Funding!AJ27,IF(Time!AJ23=1,0,AJ49-AJ9))</f>
        <v>21.9796550908114</v>
      </c>
      <c r="AK61" s="19" t="n">
        <f aca="false">IF(Time!AK20=1,-Funding!AK27,IF(Time!AK23=1,0,AK49-AK9))</f>
        <v>21.1596487361034</v>
      </c>
      <c r="AL61" s="19" t="n">
        <f aca="false">IF(Time!AL20=1,-Funding!AL27,IF(Time!AL23=1,0,AL49-AL9))</f>
        <v>22.1978323984121</v>
      </c>
      <c r="AM61" s="19" t="n">
        <f aca="false">IF(Time!AM20=1,-Funding!AM27,IF(Time!AM23=1,0,AM49-AM9))</f>
        <v>24.9700113969345</v>
      </c>
      <c r="AN61" s="19" t="n">
        <f aca="false">IF(Time!AN20=1,-Funding!AN27,IF(Time!AN23=1,0,AN49-AN9))</f>
        <v>26.0744455934944</v>
      </c>
      <c r="AO61" s="19" t="n">
        <f aca="false">IF(Time!AO20=1,-Funding!AO27,IF(Time!AO23=1,0,AO49-AO9))</f>
        <v>32.2259057725788</v>
      </c>
      <c r="AP61" s="19" t="n">
        <f aca="false">IF(Time!AP20=1,-Funding!AP27,IF(Time!AP23=1,0,AP49-AP9))</f>
        <v>33.1926752938878</v>
      </c>
      <c r="AQ61" s="19" t="n">
        <f aca="false">IF(Time!AQ20=1,-Funding!AQ27,IF(Time!AQ23=1,0,AQ49-AQ9))</f>
        <v>26.1686336397305</v>
      </c>
      <c r="AR61" s="19" t="n">
        <f aca="false">IF(Time!AR20=1,-Funding!AR27,IF(Time!AR23=1,0,AR49-AR9))</f>
        <v>27.8172156849531</v>
      </c>
      <c r="AS61" s="19" t="n">
        <f aca="false">IF(Time!AS20=1,-Funding!AS27,IF(Time!AS23=1,0,AS49-AS9))</f>
        <v>30.8099066914593</v>
      </c>
      <c r="AT61" s="19" t="n">
        <f aca="false">IF(Time!AT20=1,-Funding!AT27,IF(Time!AT23=1,0,AT49-AT9))</f>
        <v>32.1401281956166</v>
      </c>
      <c r="AU61" s="19" t="n">
        <f aca="false">IF(Time!AU20=1,-Funding!AU27,IF(Time!AU23=1,0,AU49-AU9))</f>
        <v>35.2761397943318</v>
      </c>
      <c r="AV61" s="19" t="n">
        <f aca="false">IF(Time!AV20=1,-Funding!AV27,IF(Time!AV23=1,0,AV49-AV9))</f>
        <v>34.452680637697</v>
      </c>
      <c r="AW61" s="19" t="n">
        <f aca="false">IF(Time!AW20=1,-Funding!AW27,IF(Time!AW23=1,0,AW49-AW9))</f>
        <v>39.2127585198219</v>
      </c>
      <c r="AX61" s="19" t="n">
        <f aca="false">IF(Time!AX20=1,-Funding!AX27,IF(Time!AX23=1,0,AX49-AX9))</f>
        <v>39.9126921300759</v>
      </c>
      <c r="AY61" s="19" t="n">
        <f aca="false">IF(Time!AY20=1,-Funding!AY27,IF(Time!AY23=1,0,AY49-AY9))</f>
        <v>39.6210037357918</v>
      </c>
      <c r="AZ61" s="19" t="n">
        <f aca="false">IF(Time!AZ20=1,-Funding!AZ27,IF(Time!AZ23=1,0,AZ49-AZ9))</f>
        <v>39.4076048994695</v>
      </c>
      <c r="BA61" s="19" t="n">
        <f aca="false">IF(Time!BA20=1,-Funding!BA27,IF(Time!BA23=1,0,BA49-BA9))</f>
        <v>42.3258323015884</v>
      </c>
      <c r="BB61" s="19" t="n">
        <f aca="false">IF(Time!BB20=1,-Funding!BB27,IF(Time!BB23=1,0,BB49-BB9))</f>
        <v>38.3726861535808</v>
      </c>
      <c r="BC61" s="19" t="n">
        <f aca="false">IF(Time!BC20=1,-Funding!BC27,IF(Time!BC23=1,0,BC49-BC9))</f>
        <v>48.8791228121867</v>
      </c>
      <c r="BD61" s="19" t="n">
        <f aca="false">IF(Time!BD20=1,-Funding!BD27,IF(Time!BD23=1,0,BD49-BD9))</f>
        <v>46.5243733678273</v>
      </c>
      <c r="BE61" s="19" t="n">
        <f aca="false">IF(Time!BE20=1,-Funding!BE27,IF(Time!BE23=1,0,BE49-BE9))</f>
        <v>53.5233040923341</v>
      </c>
      <c r="BF61" s="19" t="n">
        <f aca="false">IF(Time!BF20=1,-Funding!BF27,IF(Time!BF23=1,0,BF49-BF9))</f>
        <v>52.6107239619731</v>
      </c>
      <c r="BG61" s="19" t="n">
        <f aca="false">IF(Time!BG20=1,-Funding!BG27,IF(Time!BG23=1,0,BG49-BG9))</f>
        <v>56.262549127704</v>
      </c>
      <c r="BH61" s="19" t="n">
        <f aca="false">IF(Time!BH20=1,-Funding!BH27,IF(Time!BH23=1,0,BH49-BH9))</f>
        <v>56.0169229898736</v>
      </c>
      <c r="BI61" s="19" t="n">
        <f aca="false">IF(Time!BI20=1,-Funding!BI27,IF(Time!BI23=1,0,BI49-BI9))</f>
        <v>59.5663938632578</v>
      </c>
      <c r="BJ61" s="19" t="n">
        <f aca="false">IF(Time!BJ20=1,-Funding!BJ27,IF(Time!BJ23=1,0,BJ49-BJ9))</f>
        <v>58.5616402930852</v>
      </c>
      <c r="BK61" s="19" t="n">
        <f aca="false">IF(Time!BK20=1,-Funding!BK27,IF(Time!BK23=1,0,BK49-BK9))</f>
        <v>62.849282198954</v>
      </c>
      <c r="BL61" s="19" t="n">
        <f aca="false">IF(Time!BL20=1,-Funding!BL27,IF(Time!BL23=1,0,BL49-BL9))</f>
        <v>61.8128658950342</v>
      </c>
      <c r="BM61" s="19" t="n">
        <f aca="false">IF(Time!BM20=1,-Funding!BM27,IF(Time!BM23=1,0,BM49-BM9))</f>
        <v>66.2927167948559</v>
      </c>
      <c r="BN61" s="19" t="n">
        <f aca="false">IF(Time!BN20=1,-Funding!BN27,IF(Time!BN23=1,0,BN49-BN9))</f>
        <v>72.1907077428689</v>
      </c>
      <c r="BO61" s="19" t="n">
        <f aca="false">IF(Time!BO20=1,-Funding!BO27,IF(Time!BO23=1,0,BO49-BO9))</f>
        <v>60.9205106027324</v>
      </c>
      <c r="BP61" s="19" t="n">
        <f aca="false">IF(Time!BP20=1,-Funding!BP27,IF(Time!BP23=1,0,BP49-BP9))</f>
        <v>60.6566230253074</v>
      </c>
      <c r="BQ61" s="19" t="n">
        <f aca="false">IF(Time!BQ20=1,-Funding!BQ27,IF(Time!BQ23=1,0,BQ49-BQ9))</f>
        <v>48.457843040831</v>
      </c>
      <c r="BR61" s="19" t="n">
        <f aca="false">IF(Time!BR20=1,-Funding!BR27,IF(Time!BR23=1,0,BR49-BR9))</f>
        <v>36.6385018056577</v>
      </c>
      <c r="BS61" s="19" t="n">
        <f aca="false">IF(Time!BS20=1,-Funding!BS27,IF(Time!BS23=1,0,BS49-BS9))</f>
        <v>40.2798441959204</v>
      </c>
      <c r="BT61" s="19" t="n">
        <f aca="false">IF(Time!BT20=1,-Funding!BT27,IF(Time!BT23=1,0,BT49-BT9))</f>
        <v>30.5174024508114</v>
      </c>
      <c r="BU61" s="19" t="n">
        <f aca="false">IF(Time!BU20=1,-Funding!BU27,IF(Time!BU23=1,0,BU49-BU9))</f>
        <v>80.3839545433485</v>
      </c>
      <c r="BV61" s="19" t="n">
        <f aca="false">IF(Time!BV20=1,-Funding!BV27,IF(Time!BV23=1,0,BV49-BV9))</f>
        <v>50.1945715456323</v>
      </c>
      <c r="BW61" s="19" t="n">
        <f aca="false">IF(Time!BW20=1,-Funding!BW27,IF(Time!BW23=1,0,BW49-BW9))</f>
        <v>50.5951403377116</v>
      </c>
      <c r="BX61" s="19" t="n">
        <f aca="false">IF(Time!BX20=1,-Funding!BX27,IF(Time!BX23=1,0,BX49-BX9))</f>
        <v>48.352725574819</v>
      </c>
      <c r="BY61" s="19" t="n">
        <f aca="false">IF(Time!BY20=1,-Funding!BY27,IF(Time!BY23=1,0,BY49-BY9))</f>
        <v>51.7204240138939</v>
      </c>
      <c r="BZ61" s="19" t="n">
        <f aca="false">IF(Time!BZ20=1,-Funding!BZ27,IF(Time!BZ23=1,0,BZ49-BZ9))</f>
        <v>53.0469789633126</v>
      </c>
      <c r="CA61" s="19" t="n">
        <f aca="false">IF(Time!CA20=1,-Funding!CA27,IF(Time!CA23=1,0,CA49-CA9))</f>
        <v>46.908151383406</v>
      </c>
      <c r="CB61" s="19" t="n">
        <f aca="false">IF(Time!CB20=1,-Funding!CB27,IF(Time!CB23=1,0,CB49-CB9))</f>
        <v>43.6467655551318</v>
      </c>
      <c r="CC61" s="19" t="n">
        <f aca="false">IF(Time!CC20=1,-Funding!CC27,IF(Time!CC23=1,0,CC49-CC9))</f>
        <v>47.8393071299145</v>
      </c>
      <c r="CD61" s="19" t="n">
        <f aca="false">IF(Time!CD20=1,-Funding!CD27,IF(Time!CD23=1,0,CD49-CD9))</f>
        <v>46.6364934953854</v>
      </c>
      <c r="CE61" s="19" t="n">
        <f aca="false">IF(Time!CE20=1,-Funding!CE27,IF(Time!CE23=1,0,CE49-CE9))</f>
        <v>51.9277516374682</v>
      </c>
      <c r="CF61" s="19" t="n">
        <f aca="false">IF(Time!CF20=1,-Funding!CF27,IF(Time!CF23=1,0,CF49-CF9))</f>
        <v>51.1443474988465</v>
      </c>
      <c r="CG61" s="19" t="n">
        <f aca="false">IF(Time!CG20=1,-Funding!CG27,IF(Time!CG23=1,0,CG49-CG9))</f>
        <v>126.874844186985</v>
      </c>
      <c r="CH61" s="19" t="n">
        <f aca="false">IF(Time!CH20=1,-Funding!CH27,IF(Time!CH23=1,0,CH49-CH9))</f>
        <v>97.7708235518326</v>
      </c>
      <c r="CI61" s="19" t="n">
        <f aca="false">IF(Time!CI20=1,-Funding!CI27,IF(Time!CI23=1,0,CI49-CI9))</f>
        <v>102.206624564995</v>
      </c>
      <c r="CJ61" s="19" t="n">
        <f aca="false">IF(Time!CJ20=1,-Funding!CJ27,IF(Time!CJ23=1,0,CJ49-CJ9))</f>
        <v>101.462958996345</v>
      </c>
      <c r="CK61" s="19" t="n">
        <f aca="false">IF(Time!CK20=1,-Funding!CK27,IF(Time!CK23=1,0,CK49-CK9))</f>
        <v>118.340518486067</v>
      </c>
      <c r="CL61" s="19" t="n">
        <f aca="false">IF(Time!CL20=1,-Funding!CL27,IF(Time!CL23=1,0,CL49-CL9))</f>
        <v>109.664059573532</v>
      </c>
      <c r="CM61" s="19" t="n">
        <f aca="false">IF(Time!CM20=1,-Funding!CM27,IF(Time!CM23=1,0,CM49-CM9))</f>
        <v>114.443570553427</v>
      </c>
      <c r="CN61" s="19" t="n">
        <f aca="false">IF(Time!CN20=1,-Funding!CN27,IF(Time!CN23=1,0,CN49-CN9))</f>
        <v>114.326807620848</v>
      </c>
      <c r="CO61" s="19" t="n">
        <f aca="false">IF(Time!CO20=1,-Funding!CO27,IF(Time!CO23=1,0,CO49-CO9))</f>
        <v>118.598964170886</v>
      </c>
      <c r="CP61" s="19" t="n">
        <f aca="false">IF(Time!CP20=1,-Funding!CP27,IF(Time!CP23=1,0,CP49-CP9))</f>
        <v>161.860660569695</v>
      </c>
      <c r="CQ61" s="19" t="n">
        <f aca="false">IF(Time!CQ20=1,-Funding!CQ27,IF(Time!CQ23=1,0,CQ49-CQ9))</f>
        <v>0</v>
      </c>
      <c r="CR61" s="19" t="n">
        <f aca="false">IF(Time!CR20=1,-Funding!CR27,IF(Time!CR23=1,0,CR49-CR9))</f>
        <v>0</v>
      </c>
      <c r="CS61" s="19" t="n">
        <f aca="false">IF(Time!CS20=1,-Funding!CS27,IF(Time!CS23=1,0,CS49-CS9))</f>
        <v>0</v>
      </c>
      <c r="CT61" s="19" t="n">
        <f aca="false">IF(Time!CT20=1,-Funding!CT27,IF(Time!CT23=1,0,CT49-CT9))</f>
        <v>0</v>
      </c>
      <c r="CU61" s="19" t="n">
        <f aca="false">IF(Time!CU20=1,-Funding!CU27,IF(Time!CU23=1,0,CU49-CU9))</f>
        <v>0</v>
      </c>
      <c r="CV61" s="19" t="n">
        <f aca="false">IF(Time!CV20=1,-Funding!CV27,IF(Time!CV23=1,0,CV49-CV9))</f>
        <v>0</v>
      </c>
      <c r="CW61" s="19" t="n">
        <f aca="false">IF(Time!CW20=1,-Funding!CW27,IF(Time!CW23=1,0,CW49-CW9))</f>
        <v>0</v>
      </c>
      <c r="CX61" s="19" t="n">
        <f aca="false">IF(Time!CX20=1,-Funding!CX27,IF(Time!CX23=1,0,CX49-CX9))</f>
        <v>0</v>
      </c>
      <c r="CY61" s="19" t="n">
        <f aca="false">IF(Time!CY20=1,-Funding!CY27,IF(Time!CY23=1,0,CY49-CY9))</f>
        <v>0</v>
      </c>
      <c r="CZ61" s="19" t="n">
        <f aca="false">IF(Time!CZ20=1,-Funding!CZ27,IF(Time!CZ23=1,0,CZ49-CZ9))</f>
        <v>0</v>
      </c>
      <c r="DA61" s="19" t="n">
        <f aca="false">IF(Time!DA20=1,-Funding!DA27,IF(Time!DA23=1,0,DA49-DA9))</f>
        <v>0</v>
      </c>
      <c r="DB61" s="19" t="n">
        <f aca="false">IF(Time!DB20=1,-Funding!DB27,IF(Time!DB23=1,0,DB49-DB9))</f>
        <v>0</v>
      </c>
    </row>
    <row r="62" customFormat="false" ht="15" hidden="false" customHeight="false" outlineLevel="0" collapsed="false">
      <c r="D62" s="0" t="s">
        <v>649</v>
      </c>
      <c r="E62" s="0" t="s">
        <v>44</v>
      </c>
      <c r="G62" s="19" t="n">
        <f aca="false">SUM(J62:DB62)</f>
        <v>0</v>
      </c>
      <c r="J62" s="19" t="n">
        <f aca="false">IF(Time!J23=1,J49,0)-Inputs!$F$171*Time!J35</f>
        <v>0</v>
      </c>
      <c r="K62" s="19" t="n">
        <f aca="false">IF(Time!K23=1,K49,0)-Inputs!$F$171*Time!K35</f>
        <v>0</v>
      </c>
      <c r="L62" s="19" t="n">
        <f aca="false">IF(Time!L23=1,L49,0)-Inputs!$F$171*Time!L35</f>
        <v>0</v>
      </c>
      <c r="M62" s="19" t="n">
        <f aca="false">IF(Time!M23=1,M49,0)-Inputs!$F$171*Time!M35</f>
        <v>0</v>
      </c>
      <c r="N62" s="19" t="n">
        <f aca="false">IF(Time!N23=1,N49,0)-Inputs!$F$171*Time!N35</f>
        <v>0</v>
      </c>
      <c r="O62" s="19" t="n">
        <f aca="false">IF(Time!O23=1,O49,0)-Inputs!$F$171*Time!O35</f>
        <v>0</v>
      </c>
      <c r="P62" s="19" t="n">
        <f aca="false">IF(Time!P23=1,P49,0)-Inputs!$F$171*Time!P35</f>
        <v>0</v>
      </c>
      <c r="Q62" s="19" t="n">
        <f aca="false">IF(Time!Q23=1,Q49,0)-Inputs!$F$171*Time!Q35</f>
        <v>0</v>
      </c>
      <c r="R62" s="19" t="n">
        <f aca="false">IF(Time!R23=1,R49,0)-Inputs!$F$171*Time!R35</f>
        <v>0</v>
      </c>
      <c r="S62" s="19" t="n">
        <f aca="false">IF(Time!S23=1,S49,0)-Inputs!$F$171*Time!S35</f>
        <v>0</v>
      </c>
      <c r="T62" s="19" t="n">
        <f aca="false">IF(Time!T23=1,T49,0)-Inputs!$F$171*Time!T35</f>
        <v>0</v>
      </c>
      <c r="U62" s="19" t="n">
        <f aca="false">IF(Time!U23=1,U49,0)-Inputs!$F$171*Time!U35</f>
        <v>0</v>
      </c>
      <c r="V62" s="19" t="n">
        <f aca="false">IF(Time!V23=1,V49,0)-Inputs!$F$171*Time!V35</f>
        <v>0</v>
      </c>
      <c r="W62" s="19" t="n">
        <f aca="false">IF(Time!W23=1,W49,0)-Inputs!$F$171*Time!W35</f>
        <v>0</v>
      </c>
      <c r="X62" s="19" t="n">
        <f aca="false">IF(Time!X23=1,X49,0)-Inputs!$F$171*Time!X35</f>
        <v>0</v>
      </c>
      <c r="Y62" s="19" t="n">
        <f aca="false">IF(Time!Y23=1,Y49,0)-Inputs!$F$171*Time!Y35</f>
        <v>0</v>
      </c>
      <c r="Z62" s="19" t="n">
        <f aca="false">IF(Time!Z23=1,Z49,0)-Inputs!$F$171*Time!Z35</f>
        <v>0</v>
      </c>
      <c r="AA62" s="19" t="n">
        <f aca="false">IF(Time!AA23=1,AA49,0)-Inputs!$F$171*Time!AA35</f>
        <v>0</v>
      </c>
      <c r="AB62" s="19" t="n">
        <f aca="false">IF(Time!AB23=1,AB49,0)-Inputs!$F$171*Time!AB35</f>
        <v>0</v>
      </c>
      <c r="AC62" s="19" t="n">
        <f aca="false">IF(Time!AC23=1,AC49,0)-Inputs!$F$171*Time!AC35</f>
        <v>0</v>
      </c>
      <c r="AD62" s="19" t="n">
        <f aca="false">IF(Time!AD23=1,AD49,0)-Inputs!$F$171*Time!AD35</f>
        <v>0</v>
      </c>
      <c r="AE62" s="19" t="n">
        <f aca="false">IF(Time!AE23=1,AE49,0)-Inputs!$F$171*Time!AE35</f>
        <v>0</v>
      </c>
      <c r="AF62" s="19" t="n">
        <f aca="false">IF(Time!AF23=1,AF49,0)-Inputs!$F$171*Time!AF35</f>
        <v>0</v>
      </c>
      <c r="AG62" s="19" t="n">
        <f aca="false">IF(Time!AG23=1,AG49,0)-Inputs!$F$171*Time!AG35</f>
        <v>0</v>
      </c>
      <c r="AH62" s="19" t="n">
        <f aca="false">IF(Time!AH23=1,AH49,0)-Inputs!$F$171*Time!AH35</f>
        <v>0</v>
      </c>
      <c r="AI62" s="19" t="n">
        <f aca="false">IF(Time!AI23=1,AI49,0)-Inputs!$F$171*Time!AI35</f>
        <v>0</v>
      </c>
      <c r="AJ62" s="19" t="n">
        <f aca="false">IF(Time!AJ23=1,AJ49,0)-Inputs!$F$171*Time!AJ35</f>
        <v>0</v>
      </c>
      <c r="AK62" s="19" t="n">
        <f aca="false">IF(Time!AK23=1,AK49,0)-Inputs!$F$171*Time!AK35</f>
        <v>0</v>
      </c>
      <c r="AL62" s="19" t="n">
        <f aca="false">IF(Time!AL23=1,AL49,0)-Inputs!$F$171*Time!AL35</f>
        <v>0</v>
      </c>
      <c r="AM62" s="19" t="n">
        <f aca="false">IF(Time!AM23=1,AM49,0)-Inputs!$F$171*Time!AM35</f>
        <v>0</v>
      </c>
      <c r="AN62" s="19" t="n">
        <f aca="false">IF(Time!AN23=1,AN49,0)-Inputs!$F$171*Time!AN35</f>
        <v>0</v>
      </c>
      <c r="AO62" s="19" t="n">
        <f aca="false">IF(Time!AO23=1,AO49,0)-Inputs!$F$171*Time!AO35</f>
        <v>0</v>
      </c>
      <c r="AP62" s="19" t="n">
        <f aca="false">IF(Time!AP23=1,AP49,0)-Inputs!$F$171*Time!AP35</f>
        <v>0</v>
      </c>
      <c r="AQ62" s="19" t="n">
        <f aca="false">IF(Time!AQ23=1,AQ49,0)-Inputs!$F$171*Time!AQ35</f>
        <v>0</v>
      </c>
      <c r="AR62" s="19" t="n">
        <f aca="false">IF(Time!AR23=1,AR49,0)-Inputs!$F$171*Time!AR35</f>
        <v>0</v>
      </c>
      <c r="AS62" s="19" t="n">
        <f aca="false">IF(Time!AS23=1,AS49,0)-Inputs!$F$171*Time!AS35</f>
        <v>0</v>
      </c>
      <c r="AT62" s="19" t="n">
        <f aca="false">IF(Time!AT23=1,AT49,0)-Inputs!$F$171*Time!AT35</f>
        <v>0</v>
      </c>
      <c r="AU62" s="19" t="n">
        <f aca="false">IF(Time!AU23=1,AU49,0)-Inputs!$F$171*Time!AU35</f>
        <v>0</v>
      </c>
      <c r="AV62" s="19" t="n">
        <f aca="false">IF(Time!AV23=1,AV49,0)-Inputs!$F$171*Time!AV35</f>
        <v>0</v>
      </c>
      <c r="AW62" s="19" t="n">
        <f aca="false">IF(Time!AW23=1,AW49,0)-Inputs!$F$171*Time!AW35</f>
        <v>0</v>
      </c>
      <c r="AX62" s="19" t="n">
        <f aca="false">IF(Time!AX23=1,AX49,0)-Inputs!$F$171*Time!AX35</f>
        <v>0</v>
      </c>
      <c r="AY62" s="19" t="n">
        <f aca="false">IF(Time!AY23=1,AY49,0)-Inputs!$F$171*Time!AY35</f>
        <v>0</v>
      </c>
      <c r="AZ62" s="19" t="n">
        <f aca="false">IF(Time!AZ23=1,AZ49,0)-Inputs!$F$171*Time!AZ35</f>
        <v>0</v>
      </c>
      <c r="BA62" s="19" t="n">
        <f aca="false">IF(Time!BA23=1,BA49,0)-Inputs!$F$171*Time!BA35</f>
        <v>0</v>
      </c>
      <c r="BB62" s="19" t="n">
        <f aca="false">IF(Time!BB23=1,BB49,0)-Inputs!$F$171*Time!BB35</f>
        <v>0</v>
      </c>
      <c r="BC62" s="19" t="n">
        <f aca="false">IF(Time!BC23=1,BC49,0)-Inputs!$F$171*Time!BC35</f>
        <v>0</v>
      </c>
      <c r="BD62" s="19" t="n">
        <f aca="false">IF(Time!BD23=1,BD49,0)-Inputs!$F$171*Time!BD35</f>
        <v>0</v>
      </c>
      <c r="BE62" s="19" t="n">
        <f aca="false">IF(Time!BE23=1,BE49,0)-Inputs!$F$171*Time!BE35</f>
        <v>0</v>
      </c>
      <c r="BF62" s="19" t="n">
        <f aca="false">IF(Time!BF23=1,BF49,0)-Inputs!$F$171*Time!BF35</f>
        <v>0</v>
      </c>
      <c r="BG62" s="19" t="n">
        <f aca="false">IF(Time!BG23=1,BG49,0)-Inputs!$F$171*Time!BG35</f>
        <v>0</v>
      </c>
      <c r="BH62" s="19" t="n">
        <f aca="false">IF(Time!BH23=1,BH49,0)-Inputs!$F$171*Time!BH35</f>
        <v>0</v>
      </c>
      <c r="BI62" s="19" t="n">
        <f aca="false">IF(Time!BI23=1,BI49,0)-Inputs!$F$171*Time!BI35</f>
        <v>0</v>
      </c>
      <c r="BJ62" s="19" t="n">
        <f aca="false">IF(Time!BJ23=1,BJ49,0)-Inputs!$F$171*Time!BJ35</f>
        <v>0</v>
      </c>
      <c r="BK62" s="19" t="n">
        <f aca="false">IF(Time!BK23=1,BK49,0)-Inputs!$F$171*Time!BK35</f>
        <v>0</v>
      </c>
      <c r="BL62" s="19" t="n">
        <f aca="false">IF(Time!BL23=1,BL49,0)-Inputs!$F$171*Time!BL35</f>
        <v>0</v>
      </c>
      <c r="BM62" s="19" t="n">
        <f aca="false">IF(Time!BM23=1,BM49,0)-Inputs!$F$171*Time!BM35</f>
        <v>0</v>
      </c>
      <c r="BN62" s="19" t="n">
        <f aca="false">IF(Time!BN23=1,BN49,0)-Inputs!$F$171*Time!BN35</f>
        <v>0</v>
      </c>
      <c r="BO62" s="19" t="n">
        <f aca="false">IF(Time!BO23=1,BO49,0)-Inputs!$F$171*Time!BO35</f>
        <v>0</v>
      </c>
      <c r="BP62" s="19" t="n">
        <f aca="false">IF(Time!BP23=1,BP49,0)-Inputs!$F$171*Time!BP35</f>
        <v>0</v>
      </c>
      <c r="BQ62" s="19" t="n">
        <f aca="false">IF(Time!BQ23=1,BQ49,0)-Inputs!$F$171*Time!BQ35</f>
        <v>0</v>
      </c>
      <c r="BR62" s="19" t="n">
        <f aca="false">IF(Time!BR23=1,BR49,0)-Inputs!$F$171*Time!BR35</f>
        <v>0</v>
      </c>
      <c r="BS62" s="19" t="n">
        <f aca="false">IF(Time!BS23=1,BS49,0)-Inputs!$F$171*Time!BS35</f>
        <v>0</v>
      </c>
      <c r="BT62" s="19" t="n">
        <f aca="false">IF(Time!BT23=1,BT49,0)-Inputs!$F$171*Time!BT35</f>
        <v>0</v>
      </c>
      <c r="BU62" s="19" t="n">
        <f aca="false">IF(Time!BU23=1,BU49,0)-Inputs!$F$171*Time!BU35</f>
        <v>0</v>
      </c>
      <c r="BV62" s="19" t="n">
        <f aca="false">IF(Time!BV23=1,BV49,0)-Inputs!$F$171*Time!BV35</f>
        <v>0</v>
      </c>
      <c r="BW62" s="19" t="n">
        <f aca="false">IF(Time!BW23=1,BW49,0)-Inputs!$F$171*Time!BW35</f>
        <v>0</v>
      </c>
      <c r="BX62" s="19" t="n">
        <f aca="false">IF(Time!BX23=1,BX49,0)-Inputs!$F$171*Time!BX35</f>
        <v>0</v>
      </c>
      <c r="BY62" s="19" t="n">
        <f aca="false">IF(Time!BY23=1,BY49,0)-Inputs!$F$171*Time!BY35</f>
        <v>0</v>
      </c>
      <c r="BZ62" s="19" t="n">
        <f aca="false">IF(Time!BZ23=1,BZ49,0)-Inputs!$F$171*Time!BZ35</f>
        <v>0</v>
      </c>
      <c r="CA62" s="19" t="n">
        <f aca="false">IF(Time!CA23=1,CA49,0)-Inputs!$F$171*Time!CA35</f>
        <v>0</v>
      </c>
      <c r="CB62" s="19" t="n">
        <f aca="false">IF(Time!CB23=1,CB49,0)-Inputs!$F$171*Time!CB35</f>
        <v>0</v>
      </c>
      <c r="CC62" s="19" t="n">
        <f aca="false">IF(Time!CC23=1,CC49,0)-Inputs!$F$171*Time!CC35</f>
        <v>0</v>
      </c>
      <c r="CD62" s="19" t="n">
        <f aca="false">IF(Time!CD23=1,CD49,0)-Inputs!$F$171*Time!CD35</f>
        <v>0</v>
      </c>
      <c r="CE62" s="19" t="n">
        <f aca="false">IF(Time!CE23=1,CE49,0)-Inputs!$F$171*Time!CE35</f>
        <v>0</v>
      </c>
      <c r="CF62" s="19" t="n">
        <f aca="false">IF(Time!CF23=1,CF49,0)-Inputs!$F$171*Time!CF35</f>
        <v>0</v>
      </c>
      <c r="CG62" s="19" t="n">
        <f aca="false">IF(Time!CG23=1,CG49,0)-Inputs!$F$171*Time!CG35</f>
        <v>0</v>
      </c>
      <c r="CH62" s="19" t="n">
        <f aca="false">IF(Time!CH23=1,CH49,0)-Inputs!$F$171*Time!CH35</f>
        <v>0</v>
      </c>
      <c r="CI62" s="19" t="n">
        <f aca="false">IF(Time!CI23=1,CI49,0)-Inputs!$F$171*Time!CI35</f>
        <v>0</v>
      </c>
      <c r="CJ62" s="19" t="n">
        <f aca="false">IF(Time!CJ23=1,CJ49,0)-Inputs!$F$171*Time!CJ35</f>
        <v>0</v>
      </c>
      <c r="CK62" s="19" t="n">
        <f aca="false">IF(Time!CK23=1,CK49,0)-Inputs!$F$171*Time!CK35</f>
        <v>0</v>
      </c>
      <c r="CL62" s="19" t="n">
        <f aca="false">IF(Time!CL23=1,CL49,0)-Inputs!$F$171*Time!CL35</f>
        <v>0</v>
      </c>
      <c r="CM62" s="19" t="n">
        <f aca="false">IF(Time!CM23=1,CM49,0)-Inputs!$F$171*Time!CM35</f>
        <v>0</v>
      </c>
      <c r="CN62" s="19" t="n">
        <f aca="false">IF(Time!CN23=1,CN49,0)-Inputs!$F$171*Time!CN35</f>
        <v>0</v>
      </c>
      <c r="CO62" s="19" t="n">
        <f aca="false">IF(Time!CO23=1,CO49,0)-Inputs!$F$171*Time!CO35</f>
        <v>0</v>
      </c>
      <c r="CP62" s="19" t="n">
        <f aca="false">IF(Time!CP23=1,CP49,0)-Inputs!$F$171*Time!CP35</f>
        <v>0</v>
      </c>
      <c r="CQ62" s="19" t="n">
        <f aca="false">IF(Time!CQ23=1,CQ49,0)-Inputs!$F$171*Time!CQ35</f>
        <v>0</v>
      </c>
      <c r="CR62" s="19" t="n">
        <f aca="false">IF(Time!CR23=1,CR49,0)-Inputs!$F$171*Time!CR35</f>
        <v>0</v>
      </c>
      <c r="CS62" s="19" t="n">
        <f aca="false">IF(Time!CS23=1,CS49,0)-Inputs!$F$171*Time!CS35</f>
        <v>0</v>
      </c>
      <c r="CT62" s="19" t="n">
        <f aca="false">IF(Time!CT23=1,CT49,0)-Inputs!$F$171*Time!CT35</f>
        <v>0</v>
      </c>
      <c r="CU62" s="19" t="n">
        <f aca="false">IF(Time!CU23=1,CU49,0)-Inputs!$F$171*Time!CU35</f>
        <v>0</v>
      </c>
      <c r="CV62" s="19" t="n">
        <f aca="false">IF(Time!CV23=1,CV49,0)-Inputs!$F$171*Time!CV35</f>
        <v>0</v>
      </c>
      <c r="CW62" s="19" t="n">
        <f aca="false">IF(Time!CW23=1,CW49,0)-Inputs!$F$171*Time!CW35</f>
        <v>0</v>
      </c>
      <c r="CX62" s="19" t="n">
        <f aca="false">IF(Time!CX23=1,CX49,0)-Inputs!$F$171*Time!CX35</f>
        <v>0</v>
      </c>
      <c r="CY62" s="19" t="n">
        <f aca="false">IF(Time!CY23=1,CY49,0)-Inputs!$F$171*Time!CY35</f>
        <v>0</v>
      </c>
      <c r="CZ62" s="19" t="n">
        <f aca="false">IF(Time!CZ23=1,CZ49,0)-Inputs!$F$171*Time!CZ35</f>
        <v>0</v>
      </c>
      <c r="DA62" s="19" t="n">
        <f aca="false">IF(Time!DA23=1,DA49,0)-Inputs!$F$171*Time!DA35</f>
        <v>0</v>
      </c>
      <c r="DB62" s="19" t="n">
        <f aca="false">IF(Time!DB23=1,DB49,0)-Inputs!$F$171*Time!DB35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650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651</v>
      </c>
    </row>
    <row r="6" customFormat="false" ht="15" hidden="false" customHeight="false" outlineLevel="0" collapsed="false">
      <c r="D6" s="0" t="s">
        <v>652</v>
      </c>
      <c r="E6" s="0" t="s">
        <v>44</v>
      </c>
      <c r="G6" s="19" t="n">
        <f aca="false">SUM(J6:DB6)</f>
        <v>1837.20528045823</v>
      </c>
      <c r="J6" s="19" t="n">
        <f aca="false">IF(Time!J29&gt;0,I7*Time!J25/Time!J29,0)</f>
        <v>0</v>
      </c>
      <c r="K6" s="19" t="n">
        <f aca="false">IF(Time!K29&gt;0,J7*Time!K25/Time!K29,0)</f>
        <v>0</v>
      </c>
      <c r="L6" s="19" t="n">
        <f aca="false">IF(Time!L29&gt;0,K7*Time!L25/Time!L29,0)</f>
        <v>0</v>
      </c>
      <c r="M6" s="19" t="n">
        <f aca="false">IF(Time!M29&gt;0,L7*Time!M25/Time!M29,0)</f>
        <v>0</v>
      </c>
      <c r="N6" s="19" t="n">
        <f aca="false">IF(Time!N29&gt;0,M7*Time!N25/Time!N29,0)</f>
        <v>0</v>
      </c>
      <c r="O6" s="19" t="n">
        <f aca="false">IF(Time!O29&gt;0,N7*Time!O25/Time!O29,0)</f>
        <v>0</v>
      </c>
      <c r="P6" s="19" t="n">
        <f aca="false">IF(Time!P29&gt;0,O7*Time!P25/Time!P29,0)</f>
        <v>0</v>
      </c>
      <c r="Q6" s="19" t="n">
        <f aca="false">IF(Time!Q29&gt;0,P7*Time!Q25/Time!Q29,0)</f>
        <v>0</v>
      </c>
      <c r="R6" s="19" t="n">
        <f aca="false">IF(Time!R29&gt;0,Q7*Time!R25/Time!R29,0)</f>
        <v>0</v>
      </c>
      <c r="S6" s="19" t="n">
        <f aca="false">IF(Time!S29&gt;0,R7*Time!S25/Time!S29,0)</f>
        <v>0</v>
      </c>
      <c r="T6" s="19" t="n">
        <f aca="false">IF(Time!T29&gt;0,S7*Time!T25/Time!T29,0)</f>
        <v>0</v>
      </c>
      <c r="U6" s="19" t="n">
        <f aca="false">IF(Time!U29&gt;0,T7*Time!U25/Time!U29,0)</f>
        <v>0</v>
      </c>
      <c r="V6" s="19" t="n">
        <f aca="false">IF(Time!V29&gt;0,U7*Time!V25/Time!V29,0)</f>
        <v>0</v>
      </c>
      <c r="W6" s="19" t="n">
        <f aca="false">IF(Time!W29&gt;0,V7*Time!W25/Time!W29,0)</f>
        <v>0</v>
      </c>
      <c r="X6" s="19" t="n">
        <f aca="false">IF(Time!X29&gt;0,W7*Time!X25/Time!X29,0)</f>
        <v>0</v>
      </c>
      <c r="Y6" s="19" t="n">
        <f aca="false">IF(Time!Y29&gt;0,X7*Time!Y25/Time!Y29,0)</f>
        <v>0</v>
      </c>
      <c r="Z6" s="19" t="n">
        <f aca="false">IF(Time!Z29&gt;0,Y7*Time!Z25/Time!Z29,0)</f>
        <v>13.4016577572504</v>
      </c>
      <c r="AA6" s="19" t="n">
        <f aca="false">IF(Time!AA29&gt;0,Z7*Time!AA25/Time!AA29,0)</f>
        <v>27.0978574432316</v>
      </c>
      <c r="AB6" s="19" t="n">
        <f aca="false">IF(Time!AB29&gt;0,AA7*Time!AB25/Time!AB29,0)</f>
        <v>26.8033155145008</v>
      </c>
      <c r="AC6" s="19" t="n">
        <f aca="false">IF(Time!AC29&gt;0,AB7*Time!AC25/Time!AC29,0)</f>
        <v>27.0978574432316</v>
      </c>
      <c r="AD6" s="19" t="n">
        <f aca="false">IF(Time!AD29&gt;0,AC7*Time!AD25/Time!AD29,0)</f>
        <v>26.6560445501354</v>
      </c>
      <c r="AE6" s="19" t="n">
        <f aca="false">IF(Time!AE29&gt;0,AD7*Time!AE25/Time!AE29,0)</f>
        <v>27.0978574432316</v>
      </c>
      <c r="AF6" s="19" t="n">
        <f aca="false">IF(Time!AF29&gt;0,AE7*Time!AF25/Time!AF29,0)</f>
        <v>26.6560445501354</v>
      </c>
      <c r="AG6" s="19" t="n">
        <f aca="false">IF(Time!AG29&gt;0,AF7*Time!AG25/Time!AG29,0)</f>
        <v>27.0978574432316</v>
      </c>
      <c r="AH6" s="19" t="n">
        <f aca="false">IF(Time!AH29&gt;0,AG7*Time!AH25/Time!AH29,0)</f>
        <v>26.6560445501354</v>
      </c>
      <c r="AI6" s="19" t="n">
        <f aca="false">IF(Time!AI29&gt;0,AH7*Time!AI25/Time!AI29,0)</f>
        <v>27.0978574432316</v>
      </c>
      <c r="AJ6" s="19" t="n">
        <f aca="false">IF(Time!AJ29&gt;0,AI7*Time!AJ25/Time!AJ29,0)</f>
        <v>26.8033155145008</v>
      </c>
      <c r="AK6" s="19" t="n">
        <f aca="false">IF(Time!AK29&gt;0,AJ7*Time!AK25/Time!AK29,0)</f>
        <v>27.0978574432316</v>
      </c>
      <c r="AL6" s="19" t="n">
        <f aca="false">IF(Time!AL29&gt;0,AK7*Time!AL25/Time!AL29,0)</f>
        <v>26.6560445501354</v>
      </c>
      <c r="AM6" s="19" t="n">
        <f aca="false">IF(Time!AM29&gt;0,AL7*Time!AM25/Time!AM29,0)</f>
        <v>27.0978574432316</v>
      </c>
      <c r="AN6" s="19" t="n">
        <f aca="false">IF(Time!AN29&gt;0,AM7*Time!AN25/Time!AN29,0)</f>
        <v>26.6560445501354</v>
      </c>
      <c r="AO6" s="19" t="n">
        <f aca="false">IF(Time!AO29&gt;0,AN7*Time!AO25/Time!AO29,0)</f>
        <v>27.0978574432316</v>
      </c>
      <c r="AP6" s="19" t="n">
        <f aca="false">IF(Time!AP29&gt;0,AO7*Time!AP25/Time!AP29,0)</f>
        <v>26.6560445501354</v>
      </c>
      <c r="AQ6" s="19" t="n">
        <f aca="false">IF(Time!AQ29&gt;0,AP7*Time!AQ25/Time!AQ29,0)</f>
        <v>27.0978574432316</v>
      </c>
      <c r="AR6" s="19" t="n">
        <f aca="false">IF(Time!AR29&gt;0,AQ7*Time!AR25/Time!AR29,0)</f>
        <v>26.8033155145008</v>
      </c>
      <c r="AS6" s="19" t="n">
        <f aca="false">IF(Time!AS29&gt;0,AR7*Time!AS25/Time!AS29,0)</f>
        <v>27.0978574432316</v>
      </c>
      <c r="AT6" s="19" t="n">
        <f aca="false">IF(Time!AT29&gt;0,AS7*Time!AT25/Time!AT29,0)</f>
        <v>26.6560445501354</v>
      </c>
      <c r="AU6" s="19" t="n">
        <f aca="false">IF(Time!AU29&gt;0,AT7*Time!AU25/Time!AU29,0)</f>
        <v>27.0978574432316</v>
      </c>
      <c r="AV6" s="19" t="n">
        <f aca="false">IF(Time!AV29&gt;0,AU7*Time!AV25/Time!AV29,0)</f>
        <v>26.6560445501354</v>
      </c>
      <c r="AW6" s="19" t="n">
        <f aca="false">IF(Time!AW29&gt;0,AV7*Time!AW25/Time!AW29,0)</f>
        <v>27.0978574432316</v>
      </c>
      <c r="AX6" s="19" t="n">
        <f aca="false">IF(Time!AX29&gt;0,AW7*Time!AX25/Time!AX29,0)</f>
        <v>26.6560445501354</v>
      </c>
      <c r="AY6" s="19" t="n">
        <f aca="false">IF(Time!AY29&gt;0,AX7*Time!AY25/Time!AY29,0)</f>
        <v>27.0978574432316</v>
      </c>
      <c r="AZ6" s="19" t="n">
        <f aca="false">IF(Time!AZ29&gt;0,AY7*Time!AZ25/Time!AZ29,0)</f>
        <v>26.8033155145008</v>
      </c>
      <c r="BA6" s="19" t="n">
        <f aca="false">IF(Time!BA29&gt;0,AZ7*Time!BA25/Time!BA29,0)</f>
        <v>27.0978574432316</v>
      </c>
      <c r="BB6" s="19" t="n">
        <f aca="false">IF(Time!BB29&gt;0,BA7*Time!BB25/Time!BB29,0)</f>
        <v>26.6560445501354</v>
      </c>
      <c r="BC6" s="19" t="n">
        <f aca="false">IF(Time!BC29&gt;0,BB7*Time!BC25/Time!BC29,0)</f>
        <v>27.0978574432316</v>
      </c>
      <c r="BD6" s="19" t="n">
        <f aca="false">IF(Time!BD29&gt;0,BC7*Time!BD25/Time!BD29,0)</f>
        <v>26.6560445501354</v>
      </c>
      <c r="BE6" s="19" t="n">
        <f aca="false">IF(Time!BE29&gt;0,BD7*Time!BE25/Time!BE29,0)</f>
        <v>27.0978574432316</v>
      </c>
      <c r="BF6" s="19" t="n">
        <f aca="false">IF(Time!BF29&gt;0,BE7*Time!BF25/Time!BF29,0)</f>
        <v>26.6560445501354</v>
      </c>
      <c r="BG6" s="19" t="n">
        <f aca="false">IF(Time!BG29&gt;0,BF7*Time!BG25/Time!BG29,0)</f>
        <v>27.0978574432316</v>
      </c>
      <c r="BH6" s="19" t="n">
        <f aca="false">IF(Time!BH29&gt;0,BG7*Time!BH25/Time!BH29,0)</f>
        <v>26.8033155145008</v>
      </c>
      <c r="BI6" s="19" t="n">
        <f aca="false">IF(Time!BI29&gt;0,BH7*Time!BI25/Time!BI29,0)</f>
        <v>27.0978574432316</v>
      </c>
      <c r="BJ6" s="19" t="n">
        <f aca="false">IF(Time!BJ29&gt;0,BI7*Time!BJ25/Time!BJ29,0)</f>
        <v>26.6560445501354</v>
      </c>
      <c r="BK6" s="19" t="n">
        <f aca="false">IF(Time!BK29&gt;0,BJ7*Time!BK25/Time!BK29,0)</f>
        <v>27.0978574432316</v>
      </c>
      <c r="BL6" s="19" t="n">
        <f aca="false">IF(Time!BL29&gt;0,BK7*Time!BL25/Time!BL29,0)</f>
        <v>26.6560445501354</v>
      </c>
      <c r="BM6" s="19" t="n">
        <f aca="false">IF(Time!BM29&gt;0,BL7*Time!BM25/Time!BM29,0)</f>
        <v>27.0978574432316</v>
      </c>
      <c r="BN6" s="19" t="n">
        <f aca="false">IF(Time!BN29&gt;0,BM7*Time!BN25/Time!BN29,0)</f>
        <v>26.6560445501354</v>
      </c>
      <c r="BO6" s="19" t="n">
        <f aca="false">IF(Time!BO29&gt;0,BN7*Time!BO25/Time!BO29,0)</f>
        <v>27.0978574432316</v>
      </c>
      <c r="BP6" s="19" t="n">
        <f aca="false">IF(Time!BP29&gt;0,BO7*Time!BP25/Time!BP29,0)</f>
        <v>26.8033155145008</v>
      </c>
      <c r="BQ6" s="19" t="n">
        <f aca="false">IF(Time!BQ29&gt;0,BP7*Time!BQ25/Time!BQ29,0)</f>
        <v>27.0978574432316</v>
      </c>
      <c r="BR6" s="19" t="n">
        <f aca="false">IF(Time!BR29&gt;0,BQ7*Time!BR25/Time!BR29,0)</f>
        <v>26.6560445501354</v>
      </c>
      <c r="BS6" s="19" t="n">
        <f aca="false">IF(Time!BS29&gt;0,BR7*Time!BS25/Time!BS29,0)</f>
        <v>27.0978574432316</v>
      </c>
      <c r="BT6" s="19" t="n">
        <f aca="false">IF(Time!BT29&gt;0,BS7*Time!BT25/Time!BT29,0)</f>
        <v>26.6560445501354</v>
      </c>
      <c r="BU6" s="19" t="n">
        <f aca="false">IF(Time!BU29&gt;0,BT7*Time!BU25/Time!BU29,0)</f>
        <v>27.0978574432316</v>
      </c>
      <c r="BV6" s="19" t="n">
        <f aca="false">IF(Time!BV29&gt;0,BU7*Time!BV25/Time!BV29,0)</f>
        <v>26.6560445501354</v>
      </c>
      <c r="BW6" s="19" t="n">
        <f aca="false">IF(Time!BW29&gt;0,BV7*Time!BW25/Time!BW29,0)</f>
        <v>27.0978574432316</v>
      </c>
      <c r="BX6" s="19" t="n">
        <f aca="false">IF(Time!BX29&gt;0,BW7*Time!BX25/Time!BX29,0)</f>
        <v>26.8033155145008</v>
      </c>
      <c r="BY6" s="19" t="n">
        <f aca="false">IF(Time!BY29&gt;0,BX7*Time!BY25/Time!BY29,0)</f>
        <v>27.0978574432316</v>
      </c>
      <c r="BZ6" s="19" t="n">
        <f aca="false">IF(Time!BZ29&gt;0,BY7*Time!BZ25/Time!BZ29,0)</f>
        <v>26.6560445501354</v>
      </c>
      <c r="CA6" s="19" t="n">
        <f aca="false">IF(Time!CA29&gt;0,BZ7*Time!CA25/Time!CA29,0)</f>
        <v>27.0978574432316</v>
      </c>
      <c r="CB6" s="19" t="n">
        <f aca="false">IF(Time!CB29&gt;0,CA7*Time!CB25/Time!CB29,0)</f>
        <v>26.6560445501354</v>
      </c>
      <c r="CC6" s="19" t="n">
        <f aca="false">IF(Time!CC29&gt;0,CB7*Time!CC25/Time!CC29,0)</f>
        <v>27.0978574432316</v>
      </c>
      <c r="CD6" s="19" t="n">
        <f aca="false">IF(Time!CD29&gt;0,CC7*Time!CD25/Time!CD29,0)</f>
        <v>26.6560445501354</v>
      </c>
      <c r="CE6" s="19" t="n">
        <f aca="false">IF(Time!CE29&gt;0,CD7*Time!CE25/Time!CE29,0)</f>
        <v>27.0978574432316</v>
      </c>
      <c r="CF6" s="19" t="n">
        <f aca="false">IF(Time!CF29&gt;0,CE7*Time!CF25/Time!CF29,0)</f>
        <v>26.8033155145008</v>
      </c>
      <c r="CG6" s="19" t="n">
        <f aca="false">IF(Time!CG29&gt;0,CF7*Time!CG25/Time!CG29,0)</f>
        <v>27.0978574432316</v>
      </c>
      <c r="CH6" s="19" t="n">
        <f aca="false">IF(Time!CH29&gt;0,CG7*Time!CH25/Time!CH29,0)</f>
        <v>26.6560445501354</v>
      </c>
      <c r="CI6" s="19" t="n">
        <f aca="false">IF(Time!CI29&gt;0,CH7*Time!CI25/Time!CI29,0)</f>
        <v>27.0978574432316</v>
      </c>
      <c r="CJ6" s="19" t="n">
        <f aca="false">IF(Time!CJ29&gt;0,CI7*Time!CJ25/Time!CJ29,0)</f>
        <v>26.6560445501354</v>
      </c>
      <c r="CK6" s="19" t="n">
        <f aca="false">IF(Time!CK29&gt;0,CJ7*Time!CK25/Time!CK29,0)</f>
        <v>27.0978574432316</v>
      </c>
      <c r="CL6" s="19" t="n">
        <f aca="false">IF(Time!CL29&gt;0,CK7*Time!CL25/Time!CL29,0)</f>
        <v>26.6560445501354</v>
      </c>
      <c r="CM6" s="19" t="n">
        <f aca="false">IF(Time!CM29&gt;0,CL7*Time!CM25/Time!CM29,0)</f>
        <v>27.0978574432316</v>
      </c>
      <c r="CN6" s="19" t="n">
        <f aca="false">IF(Time!CN29&gt;0,CM7*Time!CN25/Time!CN29,0)</f>
        <v>26.8033155145008</v>
      </c>
      <c r="CO6" s="19" t="n">
        <f aca="false">IF(Time!CO29&gt;0,CN7*Time!CO25/Time!CO29,0)</f>
        <v>27.0978574432316</v>
      </c>
      <c r="CP6" s="19" t="n">
        <f aca="false">IF(Time!CP29&gt;0,CO7*Time!CP25/Time!CP29,0)</f>
        <v>21.5015607973468</v>
      </c>
      <c r="CQ6" s="19" t="n">
        <f aca="false">IF(Time!CQ29&gt;0,CP7*Time!CQ25/Time!CQ29,0)</f>
        <v>0</v>
      </c>
      <c r="CR6" s="19" t="n">
        <f aca="false">IF(Time!CR29&gt;0,CQ7*Time!CR25/Time!CR29,0)</f>
        <v>0</v>
      </c>
      <c r="CS6" s="19" t="n">
        <f aca="false">IF(Time!CS29&gt;0,CR7*Time!CS25/Time!CS29,0)</f>
        <v>0</v>
      </c>
      <c r="CT6" s="19" t="n">
        <f aca="false">IF(Time!CT29&gt;0,CS7*Time!CT25/Time!CT29,0)</f>
        <v>0</v>
      </c>
      <c r="CU6" s="19" t="n">
        <f aca="false">IF(Time!CU29&gt;0,CT7*Time!CU25/Time!CU29,0)</f>
        <v>0</v>
      </c>
      <c r="CV6" s="19" t="n">
        <f aca="false">IF(Time!CV29&gt;0,CU7*Time!CV25/Time!CV29,0)</f>
        <v>0</v>
      </c>
      <c r="CW6" s="19" t="n">
        <f aca="false">IF(Time!CW29&gt;0,CV7*Time!CW25/Time!CW29,0)</f>
        <v>0</v>
      </c>
      <c r="CX6" s="19" t="n">
        <f aca="false">IF(Time!CX29&gt;0,CW7*Time!CX25/Time!CX29,0)</f>
        <v>0</v>
      </c>
      <c r="CY6" s="19" t="n">
        <f aca="false">IF(Time!CY29&gt;0,CX7*Time!CY25/Time!CY29,0)</f>
        <v>0</v>
      </c>
      <c r="CZ6" s="19" t="n">
        <f aca="false">IF(Time!CZ29&gt;0,CY7*Time!CZ25/Time!CZ29,0)</f>
        <v>0</v>
      </c>
      <c r="DA6" s="19" t="n">
        <f aca="false">IF(Time!DA29&gt;0,CZ7*Time!DA25/Time!DA29,0)</f>
        <v>0</v>
      </c>
      <c r="DB6" s="19" t="n">
        <f aca="false">IF(Time!DB29&gt;0,DA7*Time!DB25/Time!DB29,0)</f>
        <v>0</v>
      </c>
    </row>
    <row r="7" customFormat="false" ht="15" hidden="false" customHeight="false" outlineLevel="0" collapsed="false">
      <c r="D7" s="0" t="s">
        <v>653</v>
      </c>
      <c r="E7" s="0" t="s">
        <v>44</v>
      </c>
      <c r="J7" s="19" t="n">
        <f aca="false">I7+Tax!J7-J6</f>
        <v>73.4145412566294</v>
      </c>
      <c r="K7" s="19" t="n">
        <f aca="false">J7+Tax!K7-K6</f>
        <v>104.993166624136</v>
      </c>
      <c r="L7" s="19" t="n">
        <f aca="false">K7+Tax!L7-L6</f>
        <v>168.757442449475</v>
      </c>
      <c r="M7" s="19" t="n">
        <f aca="false">L7+Tax!M7-M6</f>
        <v>270.511780998115</v>
      </c>
      <c r="N7" s="19" t="n">
        <f aca="false">M7+Tax!N7-N6</f>
        <v>410.610336266944</v>
      </c>
      <c r="O7" s="19" t="n">
        <f aca="false">N7+Tax!O7-O6</f>
        <v>584.714108113076</v>
      </c>
      <c r="P7" s="19" t="n">
        <f aca="false">O7+Tax!P7-P6</f>
        <v>782.996680656637</v>
      </c>
      <c r="Q7" s="19" t="n">
        <f aca="false">P7+Tax!Q7-Q6</f>
        <v>994.625079739039</v>
      </c>
      <c r="R7" s="19" t="n">
        <f aca="false">Q7+Tax!R7-R6</f>
        <v>1210.79192273031</v>
      </c>
      <c r="S7" s="19" t="n">
        <f aca="false">R7+Tax!S7-S6</f>
        <v>1414.68140803179</v>
      </c>
      <c r="T7" s="19" t="n">
        <f aca="false">S7+Tax!T7-T6</f>
        <v>1597.81100902498</v>
      </c>
      <c r="U7" s="19" t="n">
        <f aca="false">T7+Tax!U7-U6</f>
        <v>1751.14319791677</v>
      </c>
      <c r="V7" s="19" t="n">
        <f aca="false">U7+Tax!V7-V6</f>
        <v>1870.04506887395</v>
      </c>
      <c r="W7" s="19" t="n">
        <f aca="false">V7+Tax!W7-W6</f>
        <v>1953.75987546496</v>
      </c>
      <c r="X7" s="19" t="n">
        <f aca="false">W7+Tax!X7-X6</f>
        <v>2006.88584622423</v>
      </c>
      <c r="Y7" s="19" t="n">
        <f aca="false">X7+Tax!Y7-Y6</f>
        <v>1837.20528045823</v>
      </c>
      <c r="Z7" s="19" t="n">
        <f aca="false">Y7+Tax!Z7-Z6</f>
        <v>1823.80362270098</v>
      </c>
      <c r="AA7" s="19" t="n">
        <f aca="false">Z7+Tax!AA7-AA6</f>
        <v>1796.70576525775</v>
      </c>
      <c r="AB7" s="19" t="n">
        <f aca="false">AA7+Tax!AB7-AB6</f>
        <v>1769.90244974325</v>
      </c>
      <c r="AC7" s="19" t="n">
        <f aca="false">AB7+Tax!AC7-AC6</f>
        <v>1742.80459230001</v>
      </c>
      <c r="AD7" s="19" t="n">
        <f aca="false">AC7+Tax!AD7-AD6</f>
        <v>1716.14854774988</v>
      </c>
      <c r="AE7" s="19" t="n">
        <f aca="false">AD7+Tax!AE7-AE6</f>
        <v>1689.05069030665</v>
      </c>
      <c r="AF7" s="19" t="n">
        <f aca="false">AE7+Tax!AF7-AF6</f>
        <v>1662.39464575651</v>
      </c>
      <c r="AG7" s="19" t="n">
        <f aca="false">AF7+Tax!AG7-AG6</f>
        <v>1635.29678831328</v>
      </c>
      <c r="AH7" s="19" t="n">
        <f aca="false">AG7+Tax!AH7-AH6</f>
        <v>1608.64074376314</v>
      </c>
      <c r="AI7" s="19" t="n">
        <f aca="false">AH7+Tax!AI7-AI6</f>
        <v>1581.54288631991</v>
      </c>
      <c r="AJ7" s="19" t="n">
        <f aca="false">AI7+Tax!AJ7-AJ6</f>
        <v>1554.73957080541</v>
      </c>
      <c r="AK7" s="19" t="n">
        <f aca="false">AJ7+Tax!AK7-AK6</f>
        <v>1527.64171336218</v>
      </c>
      <c r="AL7" s="19" t="n">
        <f aca="false">AK7+Tax!AL7-AL6</f>
        <v>1500.98566881204</v>
      </c>
      <c r="AM7" s="19" t="n">
        <f aca="false">AL7+Tax!AM7-AM6</f>
        <v>1473.88781136881</v>
      </c>
      <c r="AN7" s="19" t="n">
        <f aca="false">AM7+Tax!AN7-AN6</f>
        <v>1447.23176681868</v>
      </c>
      <c r="AO7" s="19" t="n">
        <f aca="false">AN7+Tax!AO7-AO6</f>
        <v>1420.13390937545</v>
      </c>
      <c r="AP7" s="19" t="n">
        <f aca="false">AO7+Tax!AP7-AP6</f>
        <v>1393.47786482531</v>
      </c>
      <c r="AQ7" s="19" t="n">
        <f aca="false">AP7+Tax!AQ7-AQ6</f>
        <v>1366.38000738208</v>
      </c>
      <c r="AR7" s="19" t="n">
        <f aca="false">AQ7+Tax!AR7-AR6</f>
        <v>1339.57669186758</v>
      </c>
      <c r="AS7" s="19" t="n">
        <f aca="false">AR7+Tax!AS7-AS6</f>
        <v>1312.47883442435</v>
      </c>
      <c r="AT7" s="19" t="n">
        <f aca="false">AS7+Tax!AT7-AT6</f>
        <v>1285.82278987421</v>
      </c>
      <c r="AU7" s="19" t="n">
        <f aca="false">AT7+Tax!AU7-AU6</f>
        <v>1258.72493243098</v>
      </c>
      <c r="AV7" s="19" t="n">
        <f aca="false">AU7+Tax!AV7-AV6</f>
        <v>1232.06888788084</v>
      </c>
      <c r="AW7" s="19" t="n">
        <f aca="false">AV7+Tax!AW7-AW6</f>
        <v>1204.97103043761</v>
      </c>
      <c r="AX7" s="19" t="n">
        <f aca="false">AW7+Tax!AX7-AX6</f>
        <v>1178.31498588748</v>
      </c>
      <c r="AY7" s="19" t="n">
        <f aca="false">AX7+Tax!AY7-AY6</f>
        <v>1151.21712844425</v>
      </c>
      <c r="AZ7" s="19" t="n">
        <f aca="false">AY7+Tax!AZ7-AZ6</f>
        <v>1124.41381292975</v>
      </c>
      <c r="BA7" s="19" t="n">
        <f aca="false">AZ7+Tax!BA7-BA6</f>
        <v>1097.31595548651</v>
      </c>
      <c r="BB7" s="19" t="n">
        <f aca="false">BA7+Tax!BB7-BB6</f>
        <v>1070.65991093638</v>
      </c>
      <c r="BC7" s="19" t="n">
        <f aca="false">BB7+Tax!BC7-BC6</f>
        <v>1043.56205349315</v>
      </c>
      <c r="BD7" s="19" t="n">
        <f aca="false">BC7+Tax!BD7-BD6</f>
        <v>1016.90600894301</v>
      </c>
      <c r="BE7" s="19" t="n">
        <f aca="false">BD7+Tax!BE7-BE6</f>
        <v>989.80815149978</v>
      </c>
      <c r="BF7" s="19" t="n">
        <f aca="false">BE7+Tax!BF7-BF6</f>
        <v>963.152106949644</v>
      </c>
      <c r="BG7" s="19" t="n">
        <f aca="false">BF7+Tax!BG7-BG6</f>
        <v>936.054249506413</v>
      </c>
      <c r="BH7" s="19" t="n">
        <f aca="false">BG7+Tax!BH7-BH6</f>
        <v>909.250933991912</v>
      </c>
      <c r="BI7" s="19" t="n">
        <f aca="false">BH7+Tax!BI7-BI6</f>
        <v>882.153076548681</v>
      </c>
      <c r="BJ7" s="19" t="n">
        <f aca="false">BI7+Tax!BJ7-BJ6</f>
        <v>855.497031998545</v>
      </c>
      <c r="BK7" s="19" t="n">
        <f aca="false">BJ7+Tax!BK7-BK6</f>
        <v>828.399174555314</v>
      </c>
      <c r="BL7" s="19" t="n">
        <f aca="false">BK7+Tax!BL7-BL6</f>
        <v>801.743130005178</v>
      </c>
      <c r="BM7" s="19" t="n">
        <f aca="false">BL7+Tax!BM7-BM6</f>
        <v>774.645272561947</v>
      </c>
      <c r="BN7" s="19" t="n">
        <f aca="false">BM7+Tax!BN7-BN6</f>
        <v>747.989228011811</v>
      </c>
      <c r="BO7" s="19" t="n">
        <f aca="false">BN7+Tax!BO7-BO6</f>
        <v>720.89137056858</v>
      </c>
      <c r="BP7" s="19" t="n">
        <f aca="false">BO7+Tax!BP7-BP6</f>
        <v>694.088055054079</v>
      </c>
      <c r="BQ7" s="19" t="n">
        <f aca="false">BP7+Tax!BQ7-BQ6</f>
        <v>666.990197610847</v>
      </c>
      <c r="BR7" s="19" t="n">
        <f aca="false">BQ7+Tax!BR7-BR6</f>
        <v>640.334153060712</v>
      </c>
      <c r="BS7" s="19" t="n">
        <f aca="false">BR7+Tax!BS7-BS6</f>
        <v>613.23629561748</v>
      </c>
      <c r="BT7" s="19" t="n">
        <f aca="false">BS7+Tax!BT7-BT6</f>
        <v>586.580251067345</v>
      </c>
      <c r="BU7" s="19" t="n">
        <f aca="false">BT7+Tax!BU7-BU6</f>
        <v>559.482393624113</v>
      </c>
      <c r="BV7" s="19" t="n">
        <f aca="false">BU7+Tax!BV7-BV6</f>
        <v>532.826349073978</v>
      </c>
      <c r="BW7" s="19" t="n">
        <f aca="false">BV7+Tax!BW7-BW6</f>
        <v>505.728491630746</v>
      </c>
      <c r="BX7" s="19" t="n">
        <f aca="false">BW7+Tax!BX7-BX6</f>
        <v>478.925176116245</v>
      </c>
      <c r="BY7" s="19" t="n">
        <f aca="false">BX7+Tax!BY7-BY6</f>
        <v>451.827318673014</v>
      </c>
      <c r="BZ7" s="19" t="n">
        <f aca="false">BY7+Tax!BZ7-BZ6</f>
        <v>425.171274122878</v>
      </c>
      <c r="CA7" s="19" t="n">
        <f aca="false">BZ7+Tax!CA7-CA6</f>
        <v>398.073416679647</v>
      </c>
      <c r="CB7" s="19" t="n">
        <f aca="false">CA7+Tax!CB7-CB6</f>
        <v>371.417372129511</v>
      </c>
      <c r="CC7" s="19" t="n">
        <f aca="false">CB7+Tax!CC7-CC6</f>
        <v>344.31951468628</v>
      </c>
      <c r="CD7" s="19" t="n">
        <f aca="false">CC7+Tax!CD7-CD6</f>
        <v>317.663470136144</v>
      </c>
      <c r="CE7" s="19" t="n">
        <f aca="false">CD7+Tax!CE7-CE6</f>
        <v>290.565612692913</v>
      </c>
      <c r="CF7" s="19" t="n">
        <f aca="false">CE7+Tax!CF7-CF6</f>
        <v>263.762297178412</v>
      </c>
      <c r="CG7" s="19" t="n">
        <f aca="false">CF7+Tax!CG7-CG6</f>
        <v>236.66443973518</v>
      </c>
      <c r="CH7" s="19" t="n">
        <f aca="false">CG7+Tax!CH7-CH6</f>
        <v>210.008395185045</v>
      </c>
      <c r="CI7" s="19" t="n">
        <f aca="false">CH7+Tax!CI7-CI6</f>
        <v>182.910537741813</v>
      </c>
      <c r="CJ7" s="19" t="n">
        <f aca="false">CI7+Tax!CJ7-CJ6</f>
        <v>156.254493191678</v>
      </c>
      <c r="CK7" s="19" t="n">
        <f aca="false">CJ7+Tax!CK7-CK6</f>
        <v>129.156635748446</v>
      </c>
      <c r="CL7" s="19" t="n">
        <f aca="false">CK7+Tax!CL7-CL6</f>
        <v>102.500591198311</v>
      </c>
      <c r="CM7" s="19" t="n">
        <f aca="false">CL7+Tax!CM7-CM6</f>
        <v>75.4027337550792</v>
      </c>
      <c r="CN7" s="19" t="n">
        <f aca="false">CM7+Tax!CN7-CN6</f>
        <v>48.5994182405784</v>
      </c>
      <c r="CO7" s="19" t="n">
        <f aca="false">CN7+Tax!CO7-CO6</f>
        <v>21.5015607973468</v>
      </c>
      <c r="CP7" s="19" t="n">
        <f aca="false">CO7+Tax!CP7-CP6</f>
        <v>0</v>
      </c>
      <c r="CQ7" s="19" t="n">
        <f aca="false">CP7+Tax!CQ7-CQ6</f>
        <v>0</v>
      </c>
      <c r="CR7" s="19" t="n">
        <f aca="false">CQ7+Tax!CR7-CR6</f>
        <v>0</v>
      </c>
      <c r="CS7" s="19" t="n">
        <f aca="false">CR7+Tax!CS7-CS6</f>
        <v>0</v>
      </c>
      <c r="CT7" s="19" t="n">
        <f aca="false">CS7+Tax!CT7-CT6</f>
        <v>0</v>
      </c>
      <c r="CU7" s="19" t="n">
        <f aca="false">CT7+Tax!CU7-CU6</f>
        <v>0</v>
      </c>
      <c r="CV7" s="19" t="n">
        <f aca="false">CU7+Tax!CV7-CV6</f>
        <v>0</v>
      </c>
      <c r="CW7" s="19" t="n">
        <f aca="false">CV7+Tax!CW7-CW6</f>
        <v>0</v>
      </c>
      <c r="CX7" s="19" t="n">
        <f aca="false">CW7+Tax!CX7-CX6</f>
        <v>0</v>
      </c>
      <c r="CY7" s="19" t="n">
        <f aca="false">CX7+Tax!CY7-CY6</f>
        <v>0</v>
      </c>
      <c r="CZ7" s="19" t="n">
        <f aca="false">CY7+Tax!CZ7-CZ6</f>
        <v>0</v>
      </c>
      <c r="DA7" s="19" t="n">
        <f aca="false">CZ7+Tax!DA7-DA6</f>
        <v>0</v>
      </c>
      <c r="DB7" s="19" t="n">
        <f aca="false">DA7+Tax!DB7-DB6</f>
        <v>0</v>
      </c>
    </row>
    <row r="8" customFormat="false" ht="15" hidden="false" customHeight="false" outlineLevel="0" collapsed="false">
      <c r="D8" s="0" t="s">
        <v>654</v>
      </c>
      <c r="E8" s="0" t="s">
        <v>44</v>
      </c>
      <c r="G8" s="19" t="n">
        <f aca="false">SUM(J8:DB8)</f>
        <v>0</v>
      </c>
      <c r="J8" s="19" t="n">
        <f aca="false">Debt!J79+Debt!J75</f>
        <v>0</v>
      </c>
      <c r="K8" s="19" t="n">
        <f aca="false">Debt!K79+Debt!K75</f>
        <v>0</v>
      </c>
      <c r="L8" s="19" t="n">
        <f aca="false">Debt!L79+Debt!L75</f>
        <v>0</v>
      </c>
      <c r="M8" s="19" t="n">
        <f aca="false">Debt!M79+Debt!M75</f>
        <v>0</v>
      </c>
      <c r="N8" s="19" t="n">
        <f aca="false">Debt!N79+Debt!N75</f>
        <v>0</v>
      </c>
      <c r="O8" s="19" t="n">
        <f aca="false">Debt!O79+Debt!O75</f>
        <v>0</v>
      </c>
      <c r="P8" s="19" t="n">
        <f aca="false">Debt!P79+Debt!P75</f>
        <v>0</v>
      </c>
      <c r="Q8" s="19" t="n">
        <f aca="false">Debt!Q79+Debt!Q75</f>
        <v>0</v>
      </c>
      <c r="R8" s="19" t="n">
        <f aca="false">Debt!R79+Debt!R75</f>
        <v>0</v>
      </c>
      <c r="S8" s="19" t="n">
        <f aca="false">Debt!S79+Debt!S75</f>
        <v>0</v>
      </c>
      <c r="T8" s="19" t="n">
        <f aca="false">Debt!T79+Debt!T75</f>
        <v>0</v>
      </c>
      <c r="U8" s="19" t="n">
        <f aca="false">Debt!U79+Debt!U75</f>
        <v>0</v>
      </c>
      <c r="V8" s="19" t="n">
        <f aca="false">Debt!V79+Debt!V75</f>
        <v>0</v>
      </c>
      <c r="W8" s="19" t="n">
        <f aca="false">Debt!W79+Debt!W75</f>
        <v>0</v>
      </c>
      <c r="X8" s="19" t="n">
        <f aca="false">Debt!X79+Debt!X75</f>
        <v>0</v>
      </c>
      <c r="Y8" s="19" t="n">
        <f aca="false">Debt!Y79+Debt!Y75</f>
        <v>0</v>
      </c>
      <c r="Z8" s="19" t="n">
        <f aca="false">Debt!Z79+Debt!Z75</f>
        <v>0</v>
      </c>
      <c r="AA8" s="19" t="n">
        <f aca="false">Debt!AA79+Debt!AA75</f>
        <v>0</v>
      </c>
      <c r="AB8" s="19" t="n">
        <f aca="false">Debt!AB79+Debt!AB75</f>
        <v>0</v>
      </c>
      <c r="AC8" s="19" t="n">
        <f aca="false">Debt!AC79+Debt!AC75</f>
        <v>0</v>
      </c>
      <c r="AD8" s="19" t="n">
        <f aca="false">Debt!AD79+Debt!AD75</f>
        <v>0</v>
      </c>
      <c r="AE8" s="19" t="n">
        <f aca="false">Debt!AE79+Debt!AE75</f>
        <v>0</v>
      </c>
      <c r="AF8" s="19" t="n">
        <f aca="false">Debt!AF79+Debt!AF75</f>
        <v>0</v>
      </c>
      <c r="AG8" s="19" t="n">
        <f aca="false">Debt!AG79+Debt!AG75</f>
        <v>0</v>
      </c>
      <c r="AH8" s="19" t="n">
        <f aca="false">Debt!AH79+Debt!AH75</f>
        <v>0</v>
      </c>
      <c r="AI8" s="19" t="n">
        <f aca="false">Debt!AI79+Debt!AI75</f>
        <v>0</v>
      </c>
      <c r="AJ8" s="19" t="n">
        <f aca="false">Debt!AJ79+Debt!AJ75</f>
        <v>0</v>
      </c>
      <c r="AK8" s="19" t="n">
        <f aca="false">Debt!AK79+Debt!AK75</f>
        <v>0</v>
      </c>
      <c r="AL8" s="19" t="n">
        <f aca="false">Debt!AL79+Debt!AL75</f>
        <v>0</v>
      </c>
      <c r="AM8" s="19" t="n">
        <f aca="false">Debt!AM79+Debt!AM75</f>
        <v>0</v>
      </c>
      <c r="AN8" s="19" t="n">
        <f aca="false">Debt!AN79+Debt!AN75</f>
        <v>0</v>
      </c>
      <c r="AO8" s="19" t="n">
        <f aca="false">Debt!AO79+Debt!AO75</f>
        <v>0</v>
      </c>
      <c r="AP8" s="19" t="n">
        <f aca="false">Debt!AP79+Debt!AP75</f>
        <v>0</v>
      </c>
      <c r="AQ8" s="19" t="n">
        <f aca="false">Debt!AQ79+Debt!AQ75</f>
        <v>0</v>
      </c>
      <c r="AR8" s="19" t="n">
        <f aca="false">Debt!AR79+Debt!AR75</f>
        <v>0</v>
      </c>
      <c r="AS8" s="19" t="n">
        <f aca="false">Debt!AS79+Debt!AS75</f>
        <v>0</v>
      </c>
      <c r="AT8" s="19" t="n">
        <f aca="false">Debt!AT79+Debt!AT75</f>
        <v>0</v>
      </c>
      <c r="AU8" s="19" t="n">
        <f aca="false">Debt!AU79+Debt!AU75</f>
        <v>0</v>
      </c>
      <c r="AV8" s="19" t="n">
        <f aca="false">Debt!AV79+Debt!AV75</f>
        <v>0</v>
      </c>
      <c r="AW8" s="19" t="n">
        <f aca="false">Debt!AW79+Debt!AW75</f>
        <v>0</v>
      </c>
      <c r="AX8" s="19" t="n">
        <f aca="false">Debt!AX79+Debt!AX75</f>
        <v>0</v>
      </c>
      <c r="AY8" s="19" t="n">
        <f aca="false">Debt!AY79+Debt!AY75</f>
        <v>0</v>
      </c>
      <c r="AZ8" s="19" t="n">
        <f aca="false">Debt!AZ79+Debt!AZ75</f>
        <v>0</v>
      </c>
      <c r="BA8" s="19" t="n">
        <f aca="false">Debt!BA79+Debt!BA75</f>
        <v>0</v>
      </c>
      <c r="BB8" s="19" t="n">
        <f aca="false">Debt!BB79+Debt!BB75</f>
        <v>0</v>
      </c>
      <c r="BC8" s="19" t="n">
        <f aca="false">Debt!BC79+Debt!BC75</f>
        <v>0</v>
      </c>
      <c r="BD8" s="19" t="n">
        <f aca="false">Debt!BD79+Debt!BD75</f>
        <v>0</v>
      </c>
      <c r="BE8" s="19" t="n">
        <f aca="false">Debt!BE79+Debt!BE75</f>
        <v>0</v>
      </c>
      <c r="BF8" s="19" t="n">
        <f aca="false">Debt!BF79+Debt!BF75</f>
        <v>0</v>
      </c>
      <c r="BG8" s="19" t="n">
        <f aca="false">Debt!BG79+Debt!BG75</f>
        <v>0</v>
      </c>
      <c r="BH8" s="19" t="n">
        <f aca="false">Debt!BH79+Debt!BH75</f>
        <v>0</v>
      </c>
      <c r="BI8" s="19" t="n">
        <f aca="false">Debt!BI79+Debt!BI75</f>
        <v>0</v>
      </c>
      <c r="BJ8" s="19" t="n">
        <f aca="false">Debt!BJ79+Debt!BJ75</f>
        <v>0</v>
      </c>
      <c r="BK8" s="19" t="n">
        <f aca="false">Debt!BK79+Debt!BK75</f>
        <v>0</v>
      </c>
      <c r="BL8" s="19" t="n">
        <f aca="false">Debt!BL79+Debt!BL75</f>
        <v>0</v>
      </c>
      <c r="BM8" s="19" t="n">
        <f aca="false">Debt!BM79+Debt!BM75</f>
        <v>0</v>
      </c>
      <c r="BN8" s="19" t="n">
        <f aca="false">Debt!BN79+Debt!BN75</f>
        <v>0</v>
      </c>
      <c r="BO8" s="19" t="n">
        <f aca="false">Debt!BO79+Debt!BO75</f>
        <v>0</v>
      </c>
      <c r="BP8" s="19" t="n">
        <f aca="false">Debt!BP79+Debt!BP75</f>
        <v>0</v>
      </c>
      <c r="BQ8" s="19" t="n">
        <f aca="false">Debt!BQ79+Debt!BQ75</f>
        <v>0</v>
      </c>
      <c r="BR8" s="19" t="n">
        <f aca="false">Debt!BR79+Debt!BR75</f>
        <v>0</v>
      </c>
      <c r="BS8" s="19" t="n">
        <f aca="false">Debt!BS79+Debt!BS75</f>
        <v>0</v>
      </c>
      <c r="BT8" s="19" t="n">
        <f aca="false">Debt!BT79+Debt!BT75</f>
        <v>0</v>
      </c>
      <c r="BU8" s="19" t="n">
        <f aca="false">Debt!BU79+Debt!BU75</f>
        <v>0</v>
      </c>
      <c r="BV8" s="19" t="n">
        <f aca="false">Debt!BV79+Debt!BV75</f>
        <v>0</v>
      </c>
      <c r="BW8" s="19" t="n">
        <f aca="false">Debt!BW79+Debt!BW75</f>
        <v>0</v>
      </c>
      <c r="BX8" s="19" t="n">
        <f aca="false">Debt!BX79+Debt!BX75</f>
        <v>0</v>
      </c>
      <c r="BY8" s="19" t="n">
        <f aca="false">Debt!BY79+Debt!BY75</f>
        <v>0</v>
      </c>
      <c r="BZ8" s="19" t="n">
        <f aca="false">Debt!BZ79+Debt!BZ75</f>
        <v>0</v>
      </c>
      <c r="CA8" s="19" t="n">
        <f aca="false">Debt!CA79+Debt!CA75</f>
        <v>0</v>
      </c>
      <c r="CB8" s="19" t="n">
        <f aca="false">Debt!CB79+Debt!CB75</f>
        <v>0</v>
      </c>
      <c r="CC8" s="19" t="n">
        <f aca="false">Debt!CC79+Debt!CC75</f>
        <v>0</v>
      </c>
      <c r="CD8" s="19" t="n">
        <f aca="false">Debt!CD79+Debt!CD75</f>
        <v>0</v>
      </c>
      <c r="CE8" s="19" t="n">
        <f aca="false">Debt!CE79+Debt!CE75</f>
        <v>0</v>
      </c>
      <c r="CF8" s="19" t="n">
        <f aca="false">Debt!CF79+Debt!CF75</f>
        <v>0</v>
      </c>
      <c r="CG8" s="19" t="n">
        <f aca="false">Debt!CG79+Debt!CG75</f>
        <v>0</v>
      </c>
      <c r="CH8" s="19" t="n">
        <f aca="false">Debt!CH79+Debt!CH75</f>
        <v>0</v>
      </c>
      <c r="CI8" s="19" t="n">
        <f aca="false">Debt!CI79+Debt!CI75</f>
        <v>0</v>
      </c>
      <c r="CJ8" s="19" t="n">
        <f aca="false">Debt!CJ79+Debt!CJ75</f>
        <v>0</v>
      </c>
      <c r="CK8" s="19" t="n">
        <f aca="false">Debt!CK79+Debt!CK75</f>
        <v>0</v>
      </c>
      <c r="CL8" s="19" t="n">
        <f aca="false">Debt!CL79+Debt!CL75</f>
        <v>0</v>
      </c>
      <c r="CM8" s="19" t="n">
        <f aca="false">Debt!CM79+Debt!CM75</f>
        <v>0</v>
      </c>
      <c r="CN8" s="19" t="n">
        <f aca="false">Debt!CN79+Debt!CN75</f>
        <v>0</v>
      </c>
      <c r="CO8" s="19" t="n">
        <f aca="false">Debt!CO79+Debt!CO75</f>
        <v>0</v>
      </c>
      <c r="CP8" s="19" t="n">
        <f aca="false">Debt!CP79+Debt!CP75</f>
        <v>0</v>
      </c>
      <c r="CQ8" s="19" t="n">
        <f aca="false">Debt!CQ79+Debt!CQ75</f>
        <v>0</v>
      </c>
      <c r="CR8" s="19" t="n">
        <f aca="false">Debt!CR79+Debt!CR75</f>
        <v>0</v>
      </c>
      <c r="CS8" s="19" t="n">
        <f aca="false">Debt!CS79+Debt!CS75</f>
        <v>0</v>
      </c>
      <c r="CT8" s="19" t="n">
        <f aca="false">Debt!CT79+Debt!CT75</f>
        <v>0</v>
      </c>
      <c r="CU8" s="19" t="n">
        <f aca="false">Debt!CU79+Debt!CU75</f>
        <v>0</v>
      </c>
      <c r="CV8" s="19" t="n">
        <f aca="false">Debt!CV79+Debt!CV75</f>
        <v>0</v>
      </c>
      <c r="CW8" s="19" t="n">
        <f aca="false">Debt!CW79+Debt!CW75</f>
        <v>0</v>
      </c>
      <c r="CX8" s="19" t="n">
        <f aca="false">Debt!CX79+Debt!CX75</f>
        <v>0</v>
      </c>
      <c r="CY8" s="19" t="n">
        <f aca="false">Debt!CY79+Debt!CY75</f>
        <v>0</v>
      </c>
      <c r="CZ8" s="19" t="n">
        <f aca="false">Debt!CZ79+Debt!CZ75</f>
        <v>0</v>
      </c>
      <c r="DA8" s="19" t="n">
        <f aca="false">Debt!DA79+Debt!DA75</f>
        <v>0</v>
      </c>
      <c r="DB8" s="19" t="n">
        <f aca="false">Debt!DB79+Debt!DB75</f>
        <v>0</v>
      </c>
    </row>
    <row r="9" customFormat="false" ht="15" hidden="false" customHeight="false" outlineLevel="0" collapsed="false">
      <c r="D9" s="0" t="s">
        <v>655</v>
      </c>
      <c r="E9" s="0" t="s">
        <v>44</v>
      </c>
      <c r="G9" s="19" t="n">
        <f aca="false">SUM(J9:DB9)</f>
        <v>2231.39012102906</v>
      </c>
      <c r="J9" s="19" t="n">
        <f aca="false">(Operations!J32-Operations!J36-Reserves!J22-J6-Debt!J64-Tax!J13-Tax!J14-Debt!J65-Tax!J23)*(1-Time!J20)+J8</f>
        <v>0</v>
      </c>
      <c r="K9" s="19" t="n">
        <f aca="false">(Operations!K32-Operations!K36-Reserves!K22-K6-Debt!K64-Tax!K13-Tax!K14-Debt!K65-Tax!K23)*(1-Time!K20)+K8</f>
        <v>0</v>
      </c>
      <c r="L9" s="19" t="n">
        <f aca="false">(Operations!L32-Operations!L36-Reserves!L22-L6-Debt!L64-Tax!L13-Tax!L14-Debt!L65-Tax!L23)*(1-Time!L20)+L8</f>
        <v>0</v>
      </c>
      <c r="M9" s="19" t="n">
        <f aca="false">(Operations!M32-Operations!M36-Reserves!M22-M6-Debt!M64-Tax!M13-Tax!M14-Debt!M65-Tax!M23)*(1-Time!M20)+M8</f>
        <v>0</v>
      </c>
      <c r="N9" s="19" t="n">
        <f aca="false">(Operations!N32-Operations!N36-Reserves!N22-N6-Debt!N64-Tax!N13-Tax!N14-Debt!N65-Tax!N23)*(1-Time!N20)+N8</f>
        <v>0</v>
      </c>
      <c r="O9" s="19" t="n">
        <f aca="false">(Operations!O32-Operations!O36-Reserves!O22-O6-Debt!O64-Tax!O13-Tax!O14-Debt!O65-Tax!O23)*(1-Time!O20)+O8</f>
        <v>0</v>
      </c>
      <c r="P9" s="19" t="n">
        <f aca="false">(Operations!P32-Operations!P36-Reserves!P22-P6-Debt!P64-Tax!P13-Tax!P14-Debt!P65-Tax!P23)*(1-Time!P20)+P8</f>
        <v>0</v>
      </c>
      <c r="Q9" s="19" t="n">
        <f aca="false">(Operations!Q32-Operations!Q36-Reserves!Q22-Q6-Debt!Q64-Tax!Q13-Tax!Q14-Debt!Q65-Tax!Q23)*(1-Time!Q20)+Q8</f>
        <v>0</v>
      </c>
      <c r="R9" s="19" t="n">
        <f aca="false">(Operations!R32-Operations!R36-Reserves!R22-R6-Debt!R64-Tax!R13-Tax!R14-Debt!R65-Tax!R23)*(1-Time!R20)+R8</f>
        <v>0</v>
      </c>
      <c r="S9" s="19" t="n">
        <f aca="false">(Operations!S32-Operations!S36-Reserves!S22-S6-Debt!S64-Tax!S13-Tax!S14-Debt!S65-Tax!S23)*(1-Time!S20)+S8</f>
        <v>0</v>
      </c>
      <c r="T9" s="19" t="n">
        <f aca="false">(Operations!T32-Operations!T36-Reserves!T22-T6-Debt!T64-Tax!T13-Tax!T14-Debt!T65-Tax!T23)*(1-Time!T20)+T8</f>
        <v>0</v>
      </c>
      <c r="U9" s="19" t="n">
        <f aca="false">(Operations!U32-Operations!U36-Reserves!U22-U6-Debt!U64-Tax!U13-Tax!U14-Debt!U65-Tax!U23)*(1-Time!U20)+U8</f>
        <v>0</v>
      </c>
      <c r="V9" s="19" t="n">
        <f aca="false">(Operations!V32-Operations!V36-Reserves!V22-V6-Debt!V64-Tax!V13-Tax!V14-Debt!V65-Tax!V23)*(1-Time!V20)+V8</f>
        <v>0</v>
      </c>
      <c r="W9" s="19" t="n">
        <f aca="false">(Operations!W32-Operations!W36-Reserves!W22-W6-Debt!W64-Tax!W13-Tax!W14-Debt!W65-Tax!W23)*(1-Time!W20)+W8</f>
        <v>0</v>
      </c>
      <c r="X9" s="19" t="n">
        <f aca="false">(Operations!X32-Operations!X36-Reserves!X22-X6-Debt!X64-Tax!X13-Tax!X14-Debt!X65-Tax!X23)*(1-Time!X20)+X8</f>
        <v>0</v>
      </c>
      <c r="Y9" s="19" t="n">
        <f aca="false">(Operations!Y32-Operations!Y36-Reserves!Y22-Y6-Debt!Y64-Tax!Y13-Tax!Y14-Debt!Y65-Tax!Y23)*(1-Time!Y20)+Y8</f>
        <v>0</v>
      </c>
      <c r="Z9" s="19" t="n">
        <f aca="false">(Operations!Z32-Operations!Z36-Reserves!Z22-Z6-Debt!Z64-Tax!Z13-Tax!Z14-Debt!Z65-Tax!Z23)*(1-Time!Z20)+Z8</f>
        <v>-25.7499004352242</v>
      </c>
      <c r="AA9" s="19" t="n">
        <f aca="false">(Operations!AA32-Operations!AA36-Reserves!AA22-AA6-Debt!AA64-Tax!AA13-Tax!AA14-Debt!AA65-Tax!AA23)*(1-Time!AA20)+AA8</f>
        <v>-51.5763120857022</v>
      </c>
      <c r="AB9" s="19" t="n">
        <f aca="false">(Operations!AB32-Operations!AB36-Reserves!AB22-AB6-Debt!AB64-Tax!AB13-Tax!AB14-Debt!AB65-Tax!AB23)*(1-Time!AB20)+AB8</f>
        <v>-46.1715256349605</v>
      </c>
      <c r="AC9" s="19" t="n">
        <f aca="false">(Operations!AC32-Operations!AC36-Reserves!AC22-AC6-Debt!AC64-Tax!AC13-Tax!AC14-Debt!AC65-Tax!AC23)*(1-Time!AC20)+AC8</f>
        <v>-47.1433655827973</v>
      </c>
      <c r="AD9" s="19" t="n">
        <f aca="false">(Operations!AD32-Operations!AD36-Reserves!AD22-AD6-Debt!AD64-Tax!AD13-Tax!AD14-Debt!AD65-Tax!AD23)*(1-Time!AD20)+AD8</f>
        <v>-43.3105862389379</v>
      </c>
      <c r="AE9" s="19" t="n">
        <f aca="false">(Operations!AE32-Operations!AE36-Reserves!AE22-AE6-Debt!AE64-Tax!AE13-Tax!AE14-Debt!AE65-Tax!AE23)*(1-Time!AE20)+AE8</f>
        <v>-40.778153035443</v>
      </c>
      <c r="AF9" s="19" t="n">
        <f aca="false">(Operations!AF32-Operations!AF36-Reserves!AF22-AF6-Debt!AF64-Tax!AF13-Tax!AF14-Debt!AF65-Tax!AF23)*(1-Time!AF20)+AF8</f>
        <v>-41.6077590804725</v>
      </c>
      <c r="AG9" s="19" t="n">
        <f aca="false">(Operations!AG32-Operations!AG36-Reserves!AG22-AG6-Debt!AG64-Tax!AG13-Tax!AG14-Debt!AG65-Tax!AG23)*(1-Time!AG20)+AG8</f>
        <v>-35.477216353827</v>
      </c>
      <c r="AH9" s="19" t="n">
        <f aca="false">(Operations!AH32-Operations!AH36-Reserves!AH22-AH6-Debt!AH64-Tax!AH13-Tax!AH14-Debt!AH65-Tax!AH23)*(1-Time!AH20)+AH8</f>
        <v>-33.4597528021675</v>
      </c>
      <c r="AI9" s="19" t="n">
        <f aca="false">(Operations!AI32-Operations!AI36-Reserves!AI22-AI6-Debt!AI64-Tax!AI13-Tax!AI14-Debt!AI65-Tax!AI23)*(1-Time!AI20)+AI8</f>
        <v>-32.3133440160385</v>
      </c>
      <c r="AJ9" s="19" t="n">
        <f aca="false">(Operations!AJ32-Operations!AJ36-Reserves!AJ22-AJ6-Debt!AJ64-Tax!AJ13-Tax!AJ14-Debt!AJ65-Tax!AJ23)*(1-Time!AJ20)+AJ8</f>
        <v>-30.3314591575642</v>
      </c>
      <c r="AK9" s="19" t="n">
        <f aca="false">(Operations!AK32-Operations!AK36-Reserves!AK22-AK6-Debt!AK64-Tax!AK13-Tax!AK14-Debt!AK65-Tax!AK23)*(1-Time!AK20)+AK8</f>
        <v>-29.0865265990374</v>
      </c>
      <c r="AL9" s="19" t="n">
        <f aca="false">(Operations!AL32-Operations!AL36-Reserves!AL22-AL6-Debt!AL64-Tax!AL13-Tax!AL14-Debt!AL65-Tax!AL23)*(1-Time!AL20)+AL8</f>
        <v>-27.0708620361212</v>
      </c>
      <c r="AM9" s="19" t="n">
        <f aca="false">(Operations!AM32-Operations!AM36-Reserves!AM22-AM6-Debt!AM64-Tax!AM13-Tax!AM14-Debt!AM65-Tax!AM23)*(1-Time!AM20)+AM8</f>
        <v>-25.7379554880883</v>
      </c>
      <c r="AN9" s="19" t="n">
        <f aca="false">(Operations!AN32-Operations!AN36-Reserves!AN22-AN6-Debt!AN64-Tax!AN13-Tax!AN14-Debt!AN65-Tax!AN23)*(1-Time!AN20)+AN8</f>
        <v>-23.4765633234306</v>
      </c>
      <c r="AO9" s="19" t="n">
        <f aca="false">(Operations!AO32-Operations!AO36-Reserves!AO22-AO6-Debt!AO64-Tax!AO13-Tax!AO14-Debt!AO65-Tax!AO23)*(1-Time!AO20)+AO8</f>
        <v>-41.087866101287</v>
      </c>
      <c r="AP9" s="19" t="n">
        <f aca="false">(Operations!AP32-Operations!AP36-Reserves!AP22-AP6-Debt!AP64-Tax!AP13-Tax!AP14-Debt!AP65-Tax!AP23)*(1-Time!AP20)+AP8</f>
        <v>-19.1015484709407</v>
      </c>
      <c r="AQ9" s="19" t="n">
        <f aca="false">(Operations!AQ32-Operations!AQ36-Reserves!AQ22-AQ6-Debt!AQ64-Tax!AQ13-Tax!AQ14-Debt!AQ65-Tax!AQ23)*(1-Time!AQ20)+AQ8</f>
        <v>-16.8652492458259</v>
      </c>
      <c r="AR9" s="19" t="n">
        <f aca="false">(Operations!AR32-Operations!AR36-Reserves!AR22-AR6-Debt!AR64-Tax!AR13-Tax!AR14-Debt!AR65-Tax!AR23)*(1-Time!AR20)+AR8</f>
        <v>-14.3903708086522</v>
      </c>
      <c r="AS9" s="19" t="n">
        <f aca="false">(Operations!AS32-Operations!AS36-Reserves!AS22-AS6-Debt!AS64-Tax!AS13-Tax!AS14-Debt!AS65-Tax!AS23)*(1-Time!AS20)+AS8</f>
        <v>-12.1829007077646</v>
      </c>
      <c r="AT9" s="19" t="n">
        <f aca="false">(Operations!AT32-Operations!AT36-Reserves!AT22-AT6-Debt!AT64-Tax!AT13-Tax!AT14-Debt!AT65-Tax!AT23)*(1-Time!AT20)+AT8</f>
        <v>-9.37280178037737</v>
      </c>
      <c r="AU9" s="19" t="n">
        <f aca="false">(Operations!AU32-Operations!AU36-Reserves!AU22-AU6-Debt!AU64-Tax!AU13-Tax!AU14-Debt!AU65-Tax!AU23)*(1-Time!AU20)+AU8</f>
        <v>-6.73442418518454</v>
      </c>
      <c r="AV9" s="19" t="n">
        <f aca="false">(Operations!AV32-Operations!AV36-Reserves!AV22-AV6-Debt!AV64-Tax!AV13-Tax!AV14-Debt!AV65-Tax!AV23)*(1-Time!AV20)+AV8</f>
        <v>-3.58488655691837</v>
      </c>
      <c r="AW9" s="19" t="n">
        <f aca="false">(Operations!AW32-Operations!AW36-Reserves!AW22-AW6-Debt!AW64-Tax!AW13-Tax!AW14-Debt!AW65-Tax!AW23)*(1-Time!AW20)+AW8</f>
        <v>-62.2529726017888</v>
      </c>
      <c r="AX9" s="19" t="n">
        <f aca="false">(Operations!AX32-Operations!AX36-Reserves!AX22-AX6-Debt!AX64-Tax!AX13-Tax!AX14-Debt!AX65-Tax!AX23)*(1-Time!AX20)+AX8</f>
        <v>1.92754922193058</v>
      </c>
      <c r="AY9" s="19" t="n">
        <f aca="false">(Operations!AY32-Operations!AY36-Reserves!AY22-AY6-Debt!AY64-Tax!AY13-Tax!AY14-Debt!AY65-Tax!AY23)*(1-Time!AY20)+AY8</f>
        <v>5.60750465484263</v>
      </c>
      <c r="AZ9" s="19" t="n">
        <f aca="false">(Operations!AZ32-Operations!AZ36-Reserves!AZ22-AZ6-Debt!AZ64-Tax!AZ13-Tax!AZ14-Debt!AZ65-Tax!AZ23)*(1-Time!AZ20)+AZ8</f>
        <v>8.3031991195083</v>
      </c>
      <c r="BA9" s="19" t="n">
        <f aca="false">(Operations!BA32-Operations!BA36-Reserves!BA22-BA6-Debt!BA64-Tax!BA13-Tax!BA14-Debt!BA65-Tax!BA23)*(1-Time!BA20)+BA8</f>
        <v>12.1384617916567</v>
      </c>
      <c r="BB9" s="19" t="n">
        <f aca="false">(Operations!BB32-Operations!BB36-Reserves!BB22-BB6-Debt!BB64-Tax!BB13-Tax!BB14-Debt!BB65-Tax!BB23)*(1-Time!BB20)+BB8</f>
        <v>15.0001918937771</v>
      </c>
      <c r="BC9" s="19" t="n">
        <f aca="false">(Operations!BC32-Operations!BC36-Reserves!BC22-BC6-Debt!BC64-Tax!BC13-Tax!BC14-Debt!BC65-Tax!BC23)*(1-Time!BC20)+BC8</f>
        <v>-30.4858504880005</v>
      </c>
      <c r="BD9" s="19" t="n">
        <f aca="false">(Operations!BD32-Operations!BD36-Reserves!BD22-BD6-Debt!BD64-Tax!BD13-Tax!BD14-Debt!BD65-Tax!BD23)*(1-Time!BD20)+BD8</f>
        <v>22.7161447778426</v>
      </c>
      <c r="BE9" s="19" t="n">
        <f aca="false">(Operations!BE32-Operations!BE36-Reserves!BE22-BE6-Debt!BE64-Tax!BE13-Tax!BE14-Debt!BE65-Tax!BE23)*(1-Time!BE20)+BE8</f>
        <v>4.47540152220252</v>
      </c>
      <c r="BF9" s="19" t="n">
        <f aca="false">(Operations!BF32-Operations!BF36-Reserves!BF22-BF6-Debt!BF64-Tax!BF13-Tax!BF14-Debt!BF65-Tax!BF23)*(1-Time!BF20)+BF8</f>
        <v>31.9045491916217</v>
      </c>
      <c r="BG9" s="19" t="n">
        <f aca="false">(Operations!BG32-Operations!BG36-Reserves!BG22-BG6-Debt!BG64-Tax!BG13-Tax!BG14-Debt!BG65-Tax!BG23)*(1-Time!BG20)+BG8</f>
        <v>37.995748294709</v>
      </c>
      <c r="BH9" s="19" t="n">
        <f aca="false">(Operations!BH32-Operations!BH36-Reserves!BH22-BH6-Debt!BH64-Tax!BH13-Tax!BH14-Debt!BH65-Tax!BH23)*(1-Time!BH20)+BH8</f>
        <v>42.5918497457704</v>
      </c>
      <c r="BI9" s="19" t="n">
        <f aca="false">(Operations!BI32-Operations!BI36-Reserves!BI22-BI6-Debt!BI64-Tax!BI13-Tax!BI14-Debt!BI65-Tax!BI23)*(1-Time!BI20)+BI8</f>
        <v>49.2321090065962</v>
      </c>
      <c r="BJ9" s="19" t="n">
        <f aca="false">(Operations!BJ32-Operations!BJ36-Reserves!BJ22-BJ6-Debt!BJ64-Tax!BJ13-Tax!BJ14-Debt!BJ65-Tax!BJ23)*(1-Time!BJ20)+BJ8</f>
        <v>53.9690250997345</v>
      </c>
      <c r="BK9" s="19" t="n">
        <f aca="false">(Operations!BK32-Operations!BK36-Reserves!BK22-BK6-Debt!BK64-Tax!BK13-Tax!BK14-Debt!BK65-Tax!BK23)*(1-Time!BK20)+BK8</f>
        <v>61.7343814511437</v>
      </c>
      <c r="BL9" s="19" t="n">
        <f aca="false">(Operations!BL32-Operations!BL36-Reserves!BL22-BL6-Debt!BL64-Tax!BL13-Tax!BL14-Debt!BL65-Tax!BL23)*(1-Time!BL20)+BL8</f>
        <v>65.7889384095321</v>
      </c>
      <c r="BM9" s="19" t="n">
        <f aca="false">(Operations!BM32-Operations!BM36-Reserves!BM22-BM6-Debt!BM64-Tax!BM13-Tax!BM14-Debt!BM65-Tax!BM23)*(1-Time!BM20)+BM8</f>
        <v>71.1762770566193</v>
      </c>
      <c r="BN9" s="19" t="n">
        <f aca="false">(Operations!BN32-Operations!BN36-Reserves!BN22-BN6-Debt!BN64-Tax!BN13-Tax!BN14-Debt!BN65-Tax!BN23)*(1-Time!BN20)+BN8</f>
        <v>73.3738310419433</v>
      </c>
      <c r="BO9" s="19" t="n">
        <f aca="false">(Operations!BO32-Operations!BO36-Reserves!BO22-BO6-Debt!BO64-Tax!BO13-Tax!BO14-Debt!BO65-Tax!BO23)*(1-Time!BO20)+BO8</f>
        <v>79.1597366228526</v>
      </c>
      <c r="BP9" s="19" t="n">
        <f aca="false">(Operations!BP32-Operations!BP36-Reserves!BP22-BP6-Debt!BP64-Tax!BP13-Tax!BP14-Debt!BP65-Tax!BP23)*(1-Time!BP20)+BP8</f>
        <v>81.7555250629</v>
      </c>
      <c r="BQ9" s="19" t="n">
        <f aca="false">(Operations!BQ32-Operations!BQ36-Reserves!BQ22-BQ6-Debt!BQ64-Tax!BQ13-Tax!BQ14-Debt!BQ65-Tax!BQ23)*(1-Time!BQ20)+BQ8</f>
        <v>70.2140565489608</v>
      </c>
      <c r="BR9" s="19" t="n">
        <f aca="false">(Operations!BR32-Operations!BR36-Reserves!BR22-BR6-Debt!BR64-Tax!BR13-Tax!BR14-Debt!BR65-Tax!BR23)*(1-Time!BR20)+BR8</f>
        <v>61.4337683498263</v>
      </c>
      <c r="BS9" s="19" t="n">
        <f aca="false">(Operations!BS32-Operations!BS36-Reserves!BS22-BS6-Debt!BS64-Tax!BS13-Tax!BS14-Debt!BS65-Tax!BS23)*(1-Time!BS20)+BS8</f>
        <v>65.8130138445817</v>
      </c>
      <c r="BT9" s="19" t="n">
        <f aca="false">(Operations!BT32-Operations!BT36-Reserves!BT22-BT6-Debt!BT64-Tax!BT13-Tax!BT14-Debt!BT65-Tax!BT23)*(1-Time!BT20)+BT8</f>
        <v>66.2138942435069</v>
      </c>
      <c r="BU9" s="19" t="n">
        <f aca="false">(Operations!BU32-Operations!BU36-Reserves!BU22-BU6-Debt!BU64-Tax!BU13-Tax!BU14-Debt!BU65-Tax!BU23)*(1-Time!BU20)+BU8</f>
        <v>-10.4094998596489</v>
      </c>
      <c r="BV9" s="19" t="n">
        <f aca="false">(Operations!BV32-Operations!BV36-Reserves!BV22-BV6-Debt!BV64-Tax!BV13-Tax!BV14-Debt!BV65-Tax!BV23)*(1-Time!BV20)+BV8</f>
        <v>74.5553266559336</v>
      </c>
      <c r="BW9" s="19" t="n">
        <f aca="false">(Operations!BW32-Operations!BW36-Reserves!BW22-BW6-Debt!BW64-Tax!BW13-Tax!BW14-Debt!BW65-Tax!BW23)*(1-Time!BW20)+BW8</f>
        <v>76.4804046795738</v>
      </c>
      <c r="BX9" s="19" t="n">
        <f aca="false">(Operations!BX32-Operations!BX36-Reserves!BX22-BX6-Debt!BX64-Tax!BX13-Tax!BX14-Debt!BX65-Tax!BX23)*(1-Time!BX20)+BX8</f>
        <v>77.5630444876941</v>
      </c>
      <c r="BY9" s="19" t="n">
        <f aca="false">(Operations!BY32-Operations!BY36-Reserves!BY22-BY6-Debt!BY64-Tax!BY13-Tax!BY14-Debt!BY65-Tax!BY23)*(1-Time!BY20)+BY8</f>
        <v>82.4469539670851</v>
      </c>
      <c r="BZ9" s="19" t="n">
        <f aca="false">(Operations!BZ32-Operations!BZ36-Reserves!BZ22-BZ6-Debt!BZ64-Tax!BZ13-Tax!BZ14-Debt!BZ65-Tax!BZ23)*(1-Time!BZ20)+BZ8</f>
        <v>83.1250885485832</v>
      </c>
      <c r="CA9" s="19" t="n">
        <f aca="false">(Operations!CA32-Operations!CA36-Reserves!CA22-CA6-Debt!CA64-Tax!CA13-Tax!CA14-Debt!CA65-Tax!CA23)*(1-Time!CA20)+CA8</f>
        <v>88.743746665387</v>
      </c>
      <c r="CB9" s="19" t="n">
        <f aca="false">(Operations!CB32-Operations!CB36-Reserves!CB22-CB6-Debt!CB64-Tax!CB13-Tax!CB14-Debt!CB65-Tax!CB23)*(1-Time!CB20)+CB8</f>
        <v>89.367091547362</v>
      </c>
      <c r="CC9" s="19" t="n">
        <f aca="false">(Operations!CC32-Operations!CC36-Reserves!CC22-CC6-Debt!CC64-Tax!CC13-Tax!CC14-Debt!CC65-Tax!CC23)*(1-Time!CC20)+CC8</f>
        <v>95.1829977186348</v>
      </c>
      <c r="CD9" s="19" t="n">
        <f aca="false">(Operations!CD32-Operations!CD36-Reserves!CD22-CD6-Debt!CD64-Tax!CD13-Tax!CD14-Debt!CD65-Tax!CD23)*(1-Time!CD20)+CD8</f>
        <v>95.8541451873518</v>
      </c>
      <c r="CE9" s="19" t="n">
        <f aca="false">(Operations!CE32-Operations!CE36-Reserves!CE22-CE6-Debt!CE64-Tax!CE13-Tax!CE14-Debt!CE65-Tax!CE23)*(1-Time!CE20)+CE8</f>
        <v>101.979848555023</v>
      </c>
      <c r="CF9" s="19" t="n">
        <f aca="false">(Operations!CF32-Operations!CF36-Reserves!CF22-CF6-Debt!CF64-Tax!CF13-Tax!CF14-Debt!CF65-Tax!CF23)*(1-Time!CF20)+CF8</f>
        <v>103.22463086162</v>
      </c>
      <c r="CG9" s="19" t="n">
        <f aca="false">(Operations!CG32-Operations!CG36-Reserves!CG22-CG6-Debt!CG64-Tax!CG13-Tax!CG14-Debt!CG65-Tax!CG23)*(1-Time!CG20)+CG8</f>
        <v>58.474575670577</v>
      </c>
      <c r="CH9" s="19" t="n">
        <f aca="false">(Operations!CH32-Operations!CH36-Reserves!CH22-CH6-Debt!CH64-Tax!CH13-Tax!CH14-Debt!CH65-Tax!CH23)*(1-Time!CH20)+CH8</f>
        <v>109.515632943402</v>
      </c>
      <c r="CI9" s="19" t="n">
        <f aca="false">(Operations!CI32-Operations!CI36-Reserves!CI22-CI6-Debt!CI64-Tax!CI13-Tax!CI14-Debt!CI65-Tax!CI23)*(1-Time!CI20)+CI8</f>
        <v>115.291764007362</v>
      </c>
      <c r="CJ9" s="19" t="n">
        <f aca="false">(Operations!CJ32-Operations!CJ36-Reserves!CJ22-CJ6-Debt!CJ64-Tax!CJ13-Tax!CJ14-Debt!CJ65-Tax!CJ23)*(1-Time!CJ20)+CJ8</f>
        <v>115.068471375353</v>
      </c>
      <c r="CK9" s="19" t="n">
        <f aca="false">(Operations!CK32-Operations!CK36-Reserves!CK22-CK6-Debt!CK64-Tax!CK13-Tax!CK14-Debt!CK65-Tax!CK23)*(1-Time!CK20)+CK8</f>
        <v>96.6638176622965</v>
      </c>
      <c r="CL9" s="19" t="n">
        <f aca="false">(Operations!CL32-Operations!CL36-Reserves!CL22-CL6-Debt!CL64-Tax!CL13-Tax!CL14-Debt!CL65-Tax!CL23)*(1-Time!CL20)+CL8</f>
        <v>120.883656321414</v>
      </c>
      <c r="CM9" s="19" t="n">
        <f aca="false">(Operations!CM32-Operations!CM36-Reserves!CM22-CM6-Debt!CM64-Tax!CM13-Tax!CM14-Debt!CM65-Tax!CM23)*(1-Time!CM20)+CM8</f>
        <v>127.205828116692</v>
      </c>
      <c r="CN9" s="19" t="n">
        <f aca="false">(Operations!CN32-Operations!CN36-Reserves!CN22-CN6-Debt!CN64-Tax!CN13-Tax!CN14-Debt!CN65-Tax!CN23)*(1-Time!CN20)+CN8</f>
        <v>127.658972863747</v>
      </c>
      <c r="CO9" s="19" t="n">
        <f aca="false">(Operations!CO32-Operations!CO36-Reserves!CO22-CO6-Debt!CO64-Tax!CO13-Tax!CO14-Debt!CO65-Tax!CO23)*(1-Time!CO20)+CO8</f>
        <v>133.537760979406</v>
      </c>
      <c r="CP9" s="19" t="n">
        <f aca="false">(Operations!CP32-Operations!CP36-Reserves!CP22-CP6-Debt!CP64-Tax!CP13-Tax!CP14-Debt!CP65-Tax!CP23)*(1-Time!CP20)+CP8</f>
        <v>35.8008579387027</v>
      </c>
      <c r="CQ9" s="19" t="n">
        <f aca="false">(Operations!CQ32-Operations!CQ36-Reserves!CQ22-CQ6-Debt!CQ64-Tax!CQ13-Tax!CQ14-Debt!CQ65-Tax!CQ23)*(1-Time!CQ20)+CQ8</f>
        <v>-5.55648191080975E-014</v>
      </c>
      <c r="CR9" s="19" t="n">
        <f aca="false">(Operations!CR32-Operations!CR36-Reserves!CR22-CR6-Debt!CR64-Tax!CR13-Tax!CR14-Debt!CR65-Tax!CR23)*(1-Time!CR20)+CR8</f>
        <v>-5.51181991980927E-014</v>
      </c>
      <c r="CS9" s="19" t="n">
        <f aca="false">(Operations!CS32-Operations!CS36-Reserves!CS22-CS6-Debt!CS64-Tax!CS13-Tax!CS14-Debt!CS65-Tax!CS23)*(1-Time!CS20)+CS8</f>
        <v>-5.55648191080975E-014</v>
      </c>
      <c r="CT9" s="19" t="n">
        <f aca="false">(Operations!CT32-Operations!CT36-Reserves!CT22-CT6-Debt!CT64-Tax!CT13-Tax!CT14-Debt!CT65-Tax!CT23)*(1-Time!CT20)+CT8</f>
        <v>-5.51181991980927E-014</v>
      </c>
      <c r="CU9" s="19" t="n">
        <f aca="false">(Operations!CU32-Operations!CU36-Reserves!CU22-CU6-Debt!CU64-Tax!CU13-Tax!CU14-Debt!CU65-Tax!CU23)*(1-Time!CU20)+CU8</f>
        <v>-5.55648191080975E-014</v>
      </c>
      <c r="CV9" s="19" t="n">
        <f aca="false">(Operations!CV32-Operations!CV36-Reserves!CV22-CV6-Debt!CV64-Tax!CV13-Tax!CV14-Debt!CV65-Tax!CV23)*(1-Time!CV20)+CV8</f>
        <v>-5.52670725014276E-014</v>
      </c>
      <c r="CW9" s="19" t="n">
        <f aca="false">(Operations!CW32-Operations!CW36-Reserves!CW22-CW6-Debt!CW64-Tax!CW13-Tax!CW14-Debt!CW65-Tax!CW23)*(1-Time!CW20)+CW8</f>
        <v>-5.55648191080975E-014</v>
      </c>
      <c r="CX9" s="19" t="n">
        <f aca="false">(Operations!CX32-Operations!CX36-Reserves!CX22-CX6-Debt!CX64-Tax!CX13-Tax!CX14-Debt!CX65-Tax!CX23)*(1-Time!CX20)+CX8</f>
        <v>-5.51181991980927E-014</v>
      </c>
      <c r="CY9" s="19" t="n">
        <f aca="false">(Operations!CY32-Operations!CY36-Reserves!CY22-CY6-Debt!CY64-Tax!CY13-Tax!CY14-Debt!CY65-Tax!CY23)*(1-Time!CY20)+CY8</f>
        <v>-5.55648191080975E-014</v>
      </c>
      <c r="CZ9" s="19" t="n">
        <f aca="false">(Operations!CZ32-Operations!CZ36-Reserves!CZ22-CZ6-Debt!CZ64-Tax!CZ13-Tax!CZ14-Debt!CZ65-Tax!CZ23)*(1-Time!CZ20)+CZ8</f>
        <v>-5.51181991980927E-014</v>
      </c>
      <c r="DA9" s="19" t="n">
        <f aca="false">(Operations!DA32-Operations!DA36-Reserves!DA22-DA6-Debt!DA64-Tax!DA13-Tax!DA14-Debt!DA65-Tax!DA23)*(1-Time!DA20)+DA8</f>
        <v>-5.55648191080975E-014</v>
      </c>
      <c r="DB9" s="19" t="n">
        <f aca="false">(Operations!DB32-Operations!DB36-Reserves!DB22-DB6-Debt!DB64-Tax!DB13-Tax!DB14-Debt!DB65-Tax!DB23)*(1-Time!DB20)+DB8</f>
        <v>-5.51181991980927E-014</v>
      </c>
    </row>
    <row r="10" customFormat="false" ht="15" hidden="false" customHeight="false" outlineLevel="0" collapsed="false">
      <c r="D10" s="3" t="s">
        <v>656</v>
      </c>
    </row>
    <row r="11" customFormat="false" ht="15" hidden="false" customHeight="false" outlineLevel="0" collapsed="false">
      <c r="D11" s="0" t="s">
        <v>657</v>
      </c>
      <c r="E11" s="0" t="s">
        <v>44</v>
      </c>
      <c r="J11" s="19" t="n">
        <f aca="false">J7+Operations!J41+Funding!J16+Reserves!J13+Reserves!J16+Reserves!J19+Reserves!J23+Reserves!J27+Reserves!J30+Waterfall!J51</f>
        <v>558.58613421378</v>
      </c>
      <c r="K11" s="19" t="n">
        <f aca="false">K7+Operations!K41+Funding!K16+Reserves!K13+Reserves!K16+Reserves!K19+Reserves!K23+Reserves!K27+Reserves!K30+Waterfall!K51</f>
        <v>590.164759581286</v>
      </c>
      <c r="L11" s="19" t="n">
        <f aca="false">L7+Operations!L41+Funding!L16+Reserves!L13+Reserves!L16+Reserves!L19+Reserves!L23+Reserves!L27+Reserves!L30+Waterfall!L51</f>
        <v>653.929035406625</v>
      </c>
      <c r="M11" s="19" t="n">
        <f aca="false">M7+Operations!M41+Funding!M16+Reserves!M13+Reserves!M16+Reserves!M19+Reserves!M23+Reserves!M27+Reserves!M30+Waterfall!M51</f>
        <v>755.683373955265</v>
      </c>
      <c r="N11" s="19" t="n">
        <f aca="false">N7+Operations!N41+Funding!N16+Reserves!N13+Reserves!N16+Reserves!N19+Reserves!N23+Reserves!N27+Reserves!N30+Waterfall!N51</f>
        <v>889.516743987819</v>
      </c>
      <c r="O11" s="19" t="n">
        <f aca="false">O7+Operations!O41+Funding!O16+Reserves!O13+Reserves!O16+Reserves!O19+Reserves!O23+Reserves!O27+Reserves!O30+Waterfall!O51</f>
        <v>1004.02394077406</v>
      </c>
      <c r="P11" s="19" t="n">
        <f aca="false">P7+Operations!P41+Funding!P16+Reserves!P13+Reserves!P16+Reserves!P19+Reserves!P23+Reserves!P27+Reserves!P30+Waterfall!P51</f>
        <v>1134.2357846319</v>
      </c>
      <c r="Q11" s="19" t="n">
        <f aca="false">Q7+Operations!Q41+Funding!Q16+Reserves!Q13+Reserves!Q16+Reserves!Q19+Reserves!Q23+Reserves!Q27+Reserves!Q30+Waterfall!Q51</f>
        <v>1273.16977396435</v>
      </c>
      <c r="R11" s="19" t="n">
        <f aca="false">R7+Operations!R41+Funding!R16+Reserves!R13+Reserves!R16+Reserves!R19+Reserves!R23+Reserves!R27+Reserves!R30+Waterfall!R51</f>
        <v>1415.3225606417</v>
      </c>
      <c r="S11" s="19" t="n">
        <f aca="false">S7+Operations!S41+Funding!S16+Reserves!S13+Reserves!S16+Reserves!S19+Reserves!S23+Reserves!S27+Reserves!S30+Waterfall!S51</f>
        <v>1549.95264018313</v>
      </c>
      <c r="T11" s="19" t="n">
        <f aca="false">T7+Operations!T41+Funding!T16+Reserves!T13+Reserves!T16+Reserves!T19+Reserves!T23+Reserves!T27+Reserves!T30+Waterfall!T51</f>
        <v>1698.25234191074</v>
      </c>
      <c r="U11" s="19" t="n">
        <f aca="false">U7+Operations!U41+Funding!U16+Reserves!U13+Reserves!U16+Reserves!U19+Reserves!U23+Reserves!U27+Reserves!U30+Waterfall!U51</f>
        <v>1822.88726291501</v>
      </c>
      <c r="V11" s="19" t="n">
        <f aca="false">V7+Operations!V41+Funding!V16+Reserves!V13+Reserves!V16+Reserves!V19+Reserves!V23+Reserves!V27+Reserves!V30+Waterfall!V51</f>
        <v>1920.24691543649</v>
      </c>
      <c r="W11" s="19" t="n">
        <f aca="false">W7+Operations!W41+Funding!W16+Reserves!W13+Reserves!W16+Reserves!W19+Reserves!W23+Reserves!W27+Reserves!W30+Waterfall!W51</f>
        <v>1989.72273109364</v>
      </c>
      <c r="X11" s="19" t="n">
        <f aca="false">X7+Operations!X41+Funding!X16+Reserves!X13+Reserves!X16+Reserves!X19+Reserves!X23+Reserves!X27+Reserves!X30+Waterfall!X51</f>
        <v>2034.93579392698</v>
      </c>
      <c r="Y11" s="19" t="n">
        <f aca="false">Y7+Operations!Y41+Funding!Y16+Reserves!Y13+Reserves!Y16+Reserves!Y19+Reserves!Y23+Reserves!Y27+Reserves!Y30+Waterfall!Y51</f>
        <v>1913.42634905138</v>
      </c>
      <c r="Z11" s="19" t="n">
        <f aca="false">Z7+Operations!Z41+Funding!Z16+Reserves!Z13+Reserves!Z16+Reserves!Z19+Reserves!Z23+Reserves!Z27+Reserves!Z30+Waterfall!Z51</f>
        <v>1905.00486357141</v>
      </c>
      <c r="AA11" s="19" t="n">
        <f aca="false">AA7+Operations!AA41+Funding!AA16+Reserves!AA13+Reserves!AA16+Reserves!AA19+Reserves!AA23+Reserves!AA27+Reserves!AA30+Waterfall!AA51</f>
        <v>1884.56440031947</v>
      </c>
      <c r="AB11" s="19" t="n">
        <f aca="false">AB7+Operations!AB41+Funding!AB16+Reserves!AB13+Reserves!AB16+Reserves!AB19+Reserves!AB23+Reserves!AB27+Reserves!AB30+Waterfall!AB51</f>
        <v>1870.6164763176</v>
      </c>
      <c r="AC11" s="19" t="n">
        <f aca="false">AC7+Operations!AC41+Funding!AC16+Reserves!AC13+Reserves!AC16+Reserves!AC19+Reserves!AC23+Reserves!AC27+Reserves!AC30+Waterfall!AC51</f>
        <v>1857.32714071463</v>
      </c>
      <c r="AD11" s="19" t="n">
        <f aca="false">AD7+Operations!AD41+Funding!AD16+Reserves!AD13+Reserves!AD16+Reserves!AD19+Reserves!AD23+Reserves!AD27+Reserves!AD30+Waterfall!AD51</f>
        <v>1744.47963060585</v>
      </c>
      <c r="AE11" s="19" t="n">
        <f aca="false">AE7+Operations!AE41+Funding!AE16+Reserves!AE13+Reserves!AE16+Reserves!AE19+Reserves!AE23+Reserves!AE27+Reserves!AE30+Waterfall!AE51</f>
        <v>1717.1634592844</v>
      </c>
      <c r="AF11" s="19" t="n">
        <f aca="false">AF7+Operations!AF41+Funding!AF16+Reserves!AF13+Reserves!AF16+Reserves!AF19+Reserves!AF23+Reserves!AF27+Reserves!AF30+Waterfall!AF51</f>
        <v>1690.48234163006</v>
      </c>
      <c r="AG11" s="19" t="n">
        <f aca="false">AG7+Operations!AG41+Funding!AG16+Reserves!AG13+Reserves!AG16+Reserves!AG19+Reserves!AG23+Reserves!AG27+Reserves!AG30+Waterfall!AG51</f>
        <v>1663.31812769512</v>
      </c>
      <c r="AH11" s="19" t="n">
        <f aca="false">AH7+Operations!AH41+Funding!AH16+Reserves!AH13+Reserves!AH16+Reserves!AH19+Reserves!AH23+Reserves!AH27+Reserves!AH30+Waterfall!AH51</f>
        <v>1637.01823670258</v>
      </c>
      <c r="AI11" s="19" t="n">
        <f aca="false">AI7+Operations!AI41+Funding!AI16+Reserves!AI13+Reserves!AI16+Reserves!AI19+Reserves!AI23+Reserves!AI27+Reserves!AI30+Waterfall!AI51</f>
        <v>1613.13782335503</v>
      </c>
      <c r="AJ11" s="19" t="n">
        <f aca="false">AJ7+Operations!AJ41+Funding!AJ16+Reserves!AJ13+Reserves!AJ16+Reserves!AJ19+Reserves!AJ23+Reserves!AJ27+Reserves!AJ30+Waterfall!AJ51</f>
        <v>1589.85304337271</v>
      </c>
      <c r="AK11" s="19" t="n">
        <f aca="false">AK7+Operations!AK41+Funding!AK16+Reserves!AK13+Reserves!AK16+Reserves!AK19+Reserves!AK23+Reserves!AK27+Reserves!AK30+Waterfall!AK51</f>
        <v>1565.92037723071</v>
      </c>
      <c r="AL11" s="19" t="n">
        <f aca="false">AL7+Operations!AL41+Funding!AL16+Reserves!AL13+Reserves!AL16+Reserves!AL19+Reserves!AL23+Reserves!AL27+Reserves!AL30+Waterfall!AL51</f>
        <v>1542.85595712656</v>
      </c>
      <c r="AM11" s="19" t="n">
        <f aca="false">AM7+Operations!AM41+Funding!AM16+Reserves!AM13+Reserves!AM16+Reserves!AM19+Reserves!AM23+Reserves!AM27+Reserves!AM30+Waterfall!AM51</f>
        <v>1518.93092963917</v>
      </c>
      <c r="AN11" s="19" t="n">
        <f aca="false">AN7+Operations!AN41+Funding!AN16+Reserves!AN13+Reserves!AN16+Reserves!AN19+Reserves!AN23+Reserves!AN27+Reserves!AN30+Waterfall!AN51</f>
        <v>1495.87790734749</v>
      </c>
      <c r="AO11" s="19" t="n">
        <f aca="false">AO7+Operations!AO41+Funding!AO16+Reserves!AO13+Reserves!AO16+Reserves!AO19+Reserves!AO23+Reserves!AO27+Reserves!AO30+Waterfall!AO51</f>
        <v>1449.45859277707</v>
      </c>
      <c r="AP11" s="19" t="n">
        <f aca="false">AP7+Operations!AP41+Funding!AP16+Reserves!AP13+Reserves!AP16+Reserves!AP19+Reserves!AP23+Reserves!AP27+Reserves!AP30+Waterfall!AP51</f>
        <v>1423.20301548121</v>
      </c>
      <c r="AQ11" s="19" t="n">
        <f aca="false">AQ7+Operations!AQ41+Funding!AQ16+Reserves!AQ13+Reserves!AQ16+Reserves!AQ19+Reserves!AQ23+Reserves!AQ27+Reserves!AQ30+Waterfall!AQ51</f>
        <v>1406.42498404304</v>
      </c>
      <c r="AR11" s="19" t="n">
        <f aca="false">AR7+Operations!AR41+Funding!AR16+Reserves!AR13+Reserves!AR16+Reserves!AR19+Reserves!AR23+Reserves!AR27+Reserves!AR30+Waterfall!AR51</f>
        <v>1390.25548771973</v>
      </c>
      <c r="AS11" s="19" t="n">
        <f aca="false">AS7+Operations!AS41+Funding!AS16+Reserves!AS13+Reserves!AS16+Reserves!AS19+Reserves!AS23+Reserves!AS27+Reserves!AS30+Waterfall!AS51</f>
        <v>1373.42718210563</v>
      </c>
      <c r="AT11" s="19" t="n">
        <f aca="false">AT7+Operations!AT41+Funding!AT16+Reserves!AT13+Reserves!AT16+Reserves!AT19+Reserves!AT23+Reserves!AT27+Reserves!AT30+Waterfall!AT51</f>
        <v>1357.48086884524</v>
      </c>
      <c r="AU11" s="19" t="n">
        <f aca="false">AU7+Operations!AU41+Funding!AU16+Reserves!AU13+Reserves!AU16+Reserves!AU19+Reserves!AU23+Reserves!AU27+Reserves!AU30+Waterfall!AU51</f>
        <v>1340.67039315767</v>
      </c>
      <c r="AV11" s="19" t="n">
        <f aca="false">AV7+Operations!AV41+Funding!AV16+Reserves!AV13+Reserves!AV16+Reserves!AV19+Reserves!AV23+Reserves!AV27+Reserves!AV30+Waterfall!AV51</f>
        <v>1326.54855205417</v>
      </c>
      <c r="AW11" s="19" t="n">
        <f aca="false">AW7+Operations!AW41+Funding!AW16+Reserves!AW13+Reserves!AW16+Reserves!AW19+Reserves!AW23+Reserves!AW27+Reserves!AW30+Waterfall!AW51</f>
        <v>1246.33844404411</v>
      </c>
      <c r="AX11" s="19" t="n">
        <f aca="false">AX7+Operations!AX41+Funding!AX16+Reserves!AX13+Reserves!AX16+Reserves!AX19+Reserves!AX23+Reserves!AX27+Reserves!AX30+Waterfall!AX51</f>
        <v>1227.98065731766</v>
      </c>
      <c r="AY11" s="19" t="n">
        <f aca="false">AY7+Operations!AY41+Funding!AY16+Reserves!AY13+Reserves!AY16+Reserves!AY19+Reserves!AY23+Reserves!AY27+Reserves!AY30+Waterfall!AY51</f>
        <v>1213.56595379012</v>
      </c>
      <c r="AZ11" s="19" t="n">
        <f aca="false">AZ7+Operations!AZ41+Funding!AZ16+Reserves!AZ13+Reserves!AZ16+Reserves!AZ19+Reserves!AZ23+Reserves!AZ27+Reserves!AZ30+Waterfall!AZ51</f>
        <v>1200.34751223062</v>
      </c>
      <c r="BA11" s="19" t="n">
        <f aca="false">BA7+Operations!BA41+Funding!BA16+Reserves!BA13+Reserves!BA16+Reserves!BA19+Reserves!BA23+Reserves!BA27+Reserves!BA30+Waterfall!BA51</f>
        <v>1185.78189257601</v>
      </c>
      <c r="BB11" s="19" t="n">
        <f aca="false">BB7+Operations!BB41+Funding!BB16+Reserves!BB13+Reserves!BB16+Reserves!BB19+Reserves!BB23+Reserves!BB27+Reserves!BB30+Waterfall!BB51</f>
        <v>1176.06782397862</v>
      </c>
      <c r="BC11" s="19" t="n">
        <f aca="false">BC7+Operations!BC41+Funding!BC16+Reserves!BC13+Reserves!BC16+Reserves!BC19+Reserves!BC23+Reserves!BC27+Reserves!BC30+Waterfall!BC51</f>
        <v>1103.47154977929</v>
      </c>
      <c r="BD11" s="19" t="n">
        <f aca="false">BD7+Operations!BD41+Funding!BD16+Reserves!BD13+Reserves!BD16+Reserves!BD19+Reserves!BD23+Reserves!BD27+Reserves!BD30+Waterfall!BD51</f>
        <v>1083.9044589008</v>
      </c>
      <c r="BE11" s="19" t="n">
        <f aca="false">BE7+Operations!BE41+Funding!BE16+Reserves!BE13+Reserves!BE16+Reserves!BE19+Reserves!BE23+Reserves!BE27+Reserves!BE30+Waterfall!BE51</f>
        <v>1033.66346536787</v>
      </c>
      <c r="BF11" s="19" t="n">
        <f aca="false">BF7+Operations!BF41+Funding!BF16+Reserves!BF13+Reserves!BF16+Reserves!BF19+Reserves!BF23+Reserves!BF27+Reserves!BF30+Waterfall!BF51</f>
        <v>1008.78031891991</v>
      </c>
      <c r="BG11" s="19" t="n">
        <f aca="false">BG7+Operations!BG41+Funding!BG16+Reserves!BG13+Reserves!BG16+Reserves!BG19+Reserves!BG23+Reserves!BG27+Reserves!BG30+Waterfall!BG51</f>
        <v>982.253045917853</v>
      </c>
      <c r="BH11" s="19" t="n">
        <f aca="false">BH7+Operations!BH41+Funding!BH16+Reserves!BH13+Reserves!BH16+Reserves!BH19+Reserves!BH23+Reserves!BH27+Reserves!BH30+Waterfall!BH51</f>
        <v>957.112327617031</v>
      </c>
      <c r="BI11" s="19" t="n">
        <f aca="false">BI7+Operations!BI41+Funding!BI16+Reserves!BI13+Reserves!BI16+Reserves!BI19+Reserves!BI23+Reserves!BI27+Reserves!BI30+Waterfall!BI51</f>
        <v>930.406579784374</v>
      </c>
      <c r="BJ11" s="19" t="n">
        <f aca="false">BJ7+Operations!BJ41+Funding!BJ16+Reserves!BJ13+Reserves!BJ16+Reserves!BJ19+Reserves!BJ23+Reserves!BJ27+Reserves!BJ30+Waterfall!BJ51</f>
        <v>905.704123466105</v>
      </c>
      <c r="BK11" s="19" t="n">
        <f aca="false">BK7+Operations!BK41+Funding!BK16+Reserves!BK13+Reserves!BK16+Reserves!BK19+Reserves!BK23+Reserves!BK27+Reserves!BK30+Waterfall!BK51</f>
        <v>879.019518879239</v>
      </c>
      <c r="BL11" s="19" t="n">
        <f aca="false">BL7+Operations!BL41+Funding!BL16+Reserves!BL13+Reserves!BL16+Reserves!BL19+Reserves!BL23+Reserves!BL27+Reserves!BL30+Waterfall!BL51</f>
        <v>854.397873280708</v>
      </c>
      <c r="BM11" s="19" t="n">
        <f aca="false">BM7+Operations!BM41+Funding!BM16+Reserves!BM13+Reserves!BM16+Reserves!BM19+Reserves!BM23+Reserves!BM27+Reserves!BM30+Waterfall!BM51</f>
        <v>827.729842366897</v>
      </c>
      <c r="BN11" s="19" t="n">
        <f aca="false">BN7+Operations!BN41+Funding!BN16+Reserves!BN13+Reserves!BN16+Reserves!BN19+Reserves!BN23+Reserves!BN27+Reserves!BN30+Waterfall!BN51</f>
        <v>796.22185685977</v>
      </c>
      <c r="BO11" s="19" t="n">
        <f aca="false">BO7+Operations!BO41+Funding!BO16+Reserves!BO13+Reserves!BO16+Reserves!BO19+Reserves!BO23+Reserves!BO27+Reserves!BO30+Waterfall!BO51</f>
        <v>788.418658729431</v>
      </c>
      <c r="BP11" s="19" t="n">
        <f aca="false">BP7+Operations!BP41+Funding!BP16+Reserves!BP13+Reserves!BP16+Reserves!BP19+Reserves!BP23+Reserves!BP27+Reserves!BP30+Waterfall!BP51</f>
        <v>782.212629135862</v>
      </c>
      <c r="BQ11" s="19" t="n">
        <f aca="false">BQ7+Operations!BQ41+Funding!BQ16+Reserves!BQ13+Reserves!BQ16+Reserves!BQ19+Reserves!BQ23+Reserves!BQ27+Reserves!BQ30+Waterfall!BQ51</f>
        <v>773.711625279417</v>
      </c>
      <c r="BR11" s="19" t="n">
        <f aca="false">BR7+Operations!BR41+Funding!BR16+Reserves!BR13+Reserves!BR16+Reserves!BR19+Reserves!BR23+Reserves!BR27+Reserves!BR30+Waterfall!BR51</f>
        <v>767.802848601404</v>
      </c>
      <c r="BS11" s="19" t="n">
        <f aca="false">BS7+Operations!BS41+Funding!BS16+Reserves!BS13+Reserves!BS16+Reserves!BS19+Reserves!BS23+Reserves!BS27+Reserves!BS30+Waterfall!BS51</f>
        <v>759.299291221196</v>
      </c>
      <c r="BT11" s="19" t="n">
        <f aca="false">BT7+Operations!BT41+Funding!BT16+Reserves!BT13+Reserves!BT16+Reserves!BT19+Reserves!BT23+Reserves!BT27+Reserves!BT30+Waterfall!BT51</f>
        <v>760.454165847943</v>
      </c>
      <c r="BU11" s="19" t="n">
        <f aca="false">BU7+Operations!BU41+Funding!BU16+Reserves!BU13+Reserves!BU16+Reserves!BU19+Reserves!BU23+Reserves!BU27+Reserves!BU30+Waterfall!BU51</f>
        <v>621.741840526476</v>
      </c>
      <c r="BV11" s="19" t="n">
        <f aca="false">BV7+Operations!BV41+Funding!BV16+Reserves!BV13+Reserves!BV16+Reserves!BV19+Reserves!BV23+Reserves!BV27+Reserves!BV30+Waterfall!BV51</f>
        <v>597.390094585125</v>
      </c>
      <c r="BW11" s="19" t="n">
        <f aca="false">BW7+Operations!BW41+Funding!BW16+Reserves!BW13+Reserves!BW16+Reserves!BW19+Reserves!BW23+Reserves!BW27+Reserves!BW30+Waterfall!BW51</f>
        <v>570.566420115614</v>
      </c>
      <c r="BX11" s="19" t="n">
        <f aca="false">BX7+Operations!BX41+Funding!BX16+Reserves!BX13+Reserves!BX16+Reserves!BX19+Reserves!BX23+Reserves!BX27+Reserves!BX30+Waterfall!BX51</f>
        <v>545.871520930313</v>
      </c>
      <c r="BY11" s="19" t="n">
        <f aca="false">BY7+Operations!BY41+Funding!BY16+Reserves!BY13+Reserves!BY16+Reserves!BY19+Reserves!BY23+Reserves!BY27+Reserves!BY30+Waterfall!BY51</f>
        <v>518.770902477655</v>
      </c>
      <c r="BZ11" s="19" t="n">
        <f aca="false">BZ7+Operations!BZ41+Funding!BZ16+Reserves!BZ13+Reserves!BZ16+Reserves!BZ19+Reserves!BZ23+Reserves!BZ27+Reserves!BZ30+Waterfall!BZ51</f>
        <v>490.076025533581</v>
      </c>
      <c r="CA11" s="19" t="n">
        <f aca="false">CA7+Operations!CA41+Funding!CA16+Reserves!CA13+Reserves!CA16+Reserves!CA19+Reserves!CA23+Reserves!CA27+Reserves!CA30+Waterfall!CA51</f>
        <v>474.986054482222</v>
      </c>
      <c r="CB11" s="19" t="n">
        <f aca="false">CB7+Operations!CB41+Funding!CB16+Reserves!CB13+Reserves!CB16+Reserves!CB19+Reserves!CB23+Reserves!CB27+Reserves!CB30+Waterfall!CB51</f>
        <v>462.897292985657</v>
      </c>
      <c r="CC11" s="19" t="n">
        <f aca="false">CC7+Operations!CC41+Funding!CC16+Reserves!CC13+Reserves!CC16+Reserves!CC19+Reserves!CC23+Reserves!CC27+Reserves!CC30+Waterfall!CC51</f>
        <v>447.808208843447</v>
      </c>
      <c r="CD11" s="19" t="n">
        <f aca="false">CD7+Operations!CD41+Funding!CD16+Reserves!CD13+Reserves!CD16+Reserves!CD19+Reserves!CD23+Reserves!CD27+Reserves!CD30+Waterfall!CD51</f>
        <v>433.62479888129</v>
      </c>
      <c r="CE11" s="19" t="n">
        <f aca="false">CE7+Operations!CE41+Funding!CE16+Reserves!CE13+Reserves!CE16+Reserves!CE19+Reserves!CE23+Reserves!CE27+Reserves!CE30+Waterfall!CE51</f>
        <v>418.449825206547</v>
      </c>
      <c r="CF11" s="19" t="n">
        <f aca="false">CF7+Operations!CF41+Funding!CF16+Reserves!CF13+Reserves!CF16+Reserves!CF19+Reserves!CF23+Reserves!CF27+Reserves!CF30+Waterfall!CF51</f>
        <v>412.651458374814</v>
      </c>
      <c r="CG11" s="19" t="n">
        <f aca="false">CG7+Operations!CG41+Funding!CG16+Reserves!CG13+Reserves!CG16+Reserves!CG19+Reserves!CG23+Reserves!CG27+Reserves!CG30+Waterfall!CG51</f>
        <v>280.796214909512</v>
      </c>
      <c r="CH11" s="19" t="n">
        <f aca="false">CH7+Operations!CH41+Funding!CH16+Reserves!CH13+Reserves!CH16+Reserves!CH19+Reserves!CH23+Reserves!CH27+Reserves!CH30+Waterfall!CH51</f>
        <v>270.022587499399</v>
      </c>
      <c r="CI11" s="19" t="n">
        <f aca="false">CI7+Operations!CI41+Funding!CI16+Reserves!CI13+Reserves!CI16+Reserves!CI19+Reserves!CI23+Reserves!CI27+Reserves!CI30+Waterfall!CI51</f>
        <v>259.033024018694</v>
      </c>
      <c r="CJ11" s="19" t="n">
        <f aca="false">CJ7+Operations!CJ41+Funding!CJ16+Reserves!CJ13+Reserves!CJ16+Reserves!CJ19+Reserves!CJ23+Reserves!CJ27+Reserves!CJ30+Waterfall!CJ51</f>
        <v>248.513603949156</v>
      </c>
      <c r="CK11" s="19" t="n">
        <f aca="false">CK7+Operations!CK41+Funding!CK16+Reserves!CK13+Reserves!CK16+Reserves!CK19+Reserves!CK23+Reserves!CK27+Reserves!CK30+Waterfall!CK51</f>
        <v>197.085226748543</v>
      </c>
      <c r="CL11" s="19" t="n">
        <f aca="false">CL7+Operations!CL41+Funding!CL16+Reserves!CL13+Reserves!CL16+Reserves!CL19+Reserves!CL23+Reserves!CL27+Reserves!CL30+Waterfall!CL51</f>
        <v>181.012098246266</v>
      </c>
      <c r="CM11" s="19" t="n">
        <f aca="false">CM7+Operations!CM41+Funding!CM16+Reserves!CM13+Reserves!CM16+Reserves!CM19+Reserves!CM23+Reserves!CM27+Reserves!CM30+Waterfall!CM51</f>
        <v>164.742968918224</v>
      </c>
      <c r="CN11" s="19" t="n">
        <f aca="false">CN7+Operations!CN41+Funding!CN16+Reserves!CN13+Reserves!CN16+Reserves!CN19+Reserves!CN23+Reserves!CN27+Reserves!CN30+Waterfall!CN51</f>
        <v>148.789871781983</v>
      </c>
      <c r="CO11" s="19" t="n">
        <f aca="false">CO7+Operations!CO41+Funding!CO16+Reserves!CO13+Reserves!CO16+Reserves!CO19+Reserves!CO23+Reserves!CO27+Reserves!CO30+Waterfall!CO51</f>
        <v>132.795545539092</v>
      </c>
      <c r="CP11" s="19" t="n">
        <f aca="false">CP7+Operations!CP41+Funding!CP16+Reserves!CP13+Reserves!CP16+Reserves!CP19+Reserves!CP23+Reserves!CP27+Reserves!CP30+Waterfall!CP51</f>
        <v>5.55648191080975E-014</v>
      </c>
      <c r="CQ11" s="19" t="n">
        <f aca="false">CQ7+Operations!CQ41+Funding!CQ16+Reserves!CQ13+Reserves!CQ16+Reserves!CQ19+Reserves!CQ23+Reserves!CQ27+Reserves!CQ30+Waterfall!CQ51</f>
        <v>0</v>
      </c>
      <c r="CR11" s="19" t="n">
        <f aca="false">CR7+Operations!CR41+Funding!CR16+Reserves!CR13+Reserves!CR16+Reserves!CR19+Reserves!CR23+Reserves!CR27+Reserves!CR30+Waterfall!CR51</f>
        <v>0</v>
      </c>
      <c r="CS11" s="19" t="n">
        <f aca="false">CS7+Operations!CS41+Funding!CS16+Reserves!CS13+Reserves!CS16+Reserves!CS19+Reserves!CS23+Reserves!CS27+Reserves!CS30+Waterfall!CS51</f>
        <v>0</v>
      </c>
      <c r="CT11" s="19" t="n">
        <f aca="false">CT7+Operations!CT41+Funding!CT16+Reserves!CT13+Reserves!CT16+Reserves!CT19+Reserves!CT23+Reserves!CT27+Reserves!CT30+Waterfall!CT51</f>
        <v>0</v>
      </c>
      <c r="CU11" s="19" t="n">
        <f aca="false">CU7+Operations!CU41+Funding!CU16+Reserves!CU13+Reserves!CU16+Reserves!CU19+Reserves!CU23+Reserves!CU27+Reserves!CU30+Waterfall!CU51</f>
        <v>0</v>
      </c>
      <c r="CV11" s="19" t="n">
        <f aca="false">CV7+Operations!CV41+Funding!CV16+Reserves!CV13+Reserves!CV16+Reserves!CV19+Reserves!CV23+Reserves!CV27+Reserves!CV30+Waterfall!CV51</f>
        <v>0</v>
      </c>
      <c r="CW11" s="19" t="n">
        <f aca="false">CW7+Operations!CW41+Funding!CW16+Reserves!CW13+Reserves!CW16+Reserves!CW19+Reserves!CW23+Reserves!CW27+Reserves!CW30+Waterfall!CW51</f>
        <v>0</v>
      </c>
      <c r="CX11" s="19" t="n">
        <f aca="false">CX7+Operations!CX41+Funding!CX16+Reserves!CX13+Reserves!CX16+Reserves!CX19+Reserves!CX23+Reserves!CX27+Reserves!CX30+Waterfall!CX51</f>
        <v>0</v>
      </c>
      <c r="CY11" s="19" t="n">
        <f aca="false">CY7+Operations!CY41+Funding!CY16+Reserves!CY13+Reserves!CY16+Reserves!CY19+Reserves!CY23+Reserves!CY27+Reserves!CY30+Waterfall!CY51</f>
        <v>0</v>
      </c>
      <c r="CZ11" s="19" t="n">
        <f aca="false">CZ7+Operations!CZ41+Funding!CZ16+Reserves!CZ13+Reserves!CZ16+Reserves!CZ19+Reserves!CZ23+Reserves!CZ27+Reserves!CZ30+Waterfall!CZ51</f>
        <v>0</v>
      </c>
      <c r="DA11" s="19" t="n">
        <f aca="false">DA7+Operations!DA41+Funding!DA16+Reserves!DA13+Reserves!DA16+Reserves!DA19+Reserves!DA23+Reserves!DA27+Reserves!DA30+Waterfall!DA51</f>
        <v>0</v>
      </c>
      <c r="DB11" s="19" t="n">
        <f aca="false">DB7+Operations!DB41+Funding!DB16+Reserves!DB13+Reserves!DB16+Reserves!DB19+Reserves!DB23+Reserves!DB27+Reserves!DB30+Waterfall!DB51</f>
        <v>0</v>
      </c>
    </row>
    <row r="12" customFormat="false" ht="15" hidden="false" customHeight="false" outlineLevel="0" collapsed="false">
      <c r="D12" s="0" t="s">
        <v>658</v>
      </c>
      <c r="E12" s="0" t="s">
        <v>44</v>
      </c>
      <c r="J12" s="19" t="n">
        <f aca="false">Debt!J47+Debt!J54+Debt!J60+Debt!J61+Debt!J94+Debt!J102+Funding!J40+Operations!J42+Waterfall!J59+Reserves!J27</f>
        <v>547.573953025285</v>
      </c>
      <c r="K12" s="19" t="n">
        <f aca="false">Debt!K47+Debt!K54+Debt!K60+Debt!K61+Debt!K94+Debt!K102+Funding!K40+Operations!K42+Waterfall!K59+Reserves!K27</f>
        <v>574.657615103601</v>
      </c>
      <c r="L12" s="19" t="n">
        <f aca="false">Debt!L47+Debt!L54+Debt!L60+Debt!L61+Debt!L94+Debt!L102+Funding!L40+Operations!L42+Waterfall!L59+Reserves!L27</f>
        <v>629.204038536855</v>
      </c>
      <c r="M12" s="19" t="n">
        <f aca="false">Debt!M47+Debt!M54+Debt!M60+Debt!M61+Debt!M94+Debt!M102+Funding!M40+Operations!M42+Waterfall!M59+Reserves!M27</f>
        <v>716.24733423586</v>
      </c>
      <c r="N12" s="19" t="n">
        <f aca="false">Debt!N47+Debt!N54+Debt!N60+Debt!N61+Debt!N94+Debt!N102+Funding!N40+Operations!N42+Waterfall!N59+Reserves!N27</f>
        <v>832.559400386198</v>
      </c>
      <c r="O12" s="19" t="n">
        <f aca="false">Debt!O47+Debt!O54+Debt!O60+Debt!O61+Debt!O94+Debt!O102+Funding!O40+Operations!O42+Waterfall!O59+Reserves!O27</f>
        <v>947.06659717244</v>
      </c>
      <c r="P12" s="19" t="n">
        <f aca="false">Debt!P47+Debt!P54+Debt!P60+Debt!P61+Debt!P94+Debt!P102+Funding!P40+Operations!P42+Waterfall!P59+Reserves!P27</f>
        <v>1077.27844103028</v>
      </c>
      <c r="Q12" s="19" t="n">
        <f aca="false">Debt!Q47+Debt!Q54+Debt!Q60+Debt!Q61+Debt!Q94+Debt!Q102+Funding!Q40+Operations!Q42+Waterfall!Q59+Reserves!Q27</f>
        <v>1216.21243036273</v>
      </c>
      <c r="R12" s="19" t="n">
        <f aca="false">Debt!R47+Debt!R54+Debt!R60+Debt!R61+Debt!R94+Debt!R102+Funding!R40+Operations!R42+Waterfall!R59+Reserves!R27</f>
        <v>1358.36521704008</v>
      </c>
      <c r="S12" s="19" t="n">
        <f aca="false">Debt!S47+Debt!S54+Debt!S60+Debt!S61+Debt!S94+Debt!S102+Funding!S40+Operations!S42+Waterfall!S59+Reserves!S27</f>
        <v>1492.99529658151</v>
      </c>
      <c r="T12" s="19" t="n">
        <f aca="false">Debt!T47+Debt!T54+Debt!T60+Debt!T61+Debt!T94+Debt!T102+Funding!T40+Operations!T42+Waterfall!T59+Reserves!T27</f>
        <v>1641.29499830911</v>
      </c>
      <c r="U12" s="19" t="n">
        <f aca="false">Debt!U47+Debt!U54+Debt!U60+Debt!U61+Debt!U94+Debt!U102+Funding!U40+Operations!U42+Waterfall!U59+Reserves!U27</f>
        <v>1765.92991931339</v>
      </c>
      <c r="V12" s="19" t="n">
        <f aca="false">Debt!V47+Debt!V54+Debt!V60+Debt!V61+Debt!V94+Debt!V102+Funding!V40+Operations!V42+Waterfall!V59+Reserves!V27</f>
        <v>1863.28957183487</v>
      </c>
      <c r="W12" s="19" t="n">
        <f aca="false">Debt!W47+Debt!W54+Debt!W60+Debt!W61+Debt!W94+Debt!W102+Funding!W40+Operations!W42+Waterfall!W59+Reserves!W27</f>
        <v>1932.76538749202</v>
      </c>
      <c r="X12" s="19" t="n">
        <f aca="false">Debt!X47+Debt!X54+Debt!X60+Debt!X61+Debt!X94+Debt!X102+Funding!X40+Operations!X42+Waterfall!X59+Reserves!X27</f>
        <v>1977.97845032536</v>
      </c>
      <c r="Y12" s="19" t="n">
        <f aca="false">Debt!Y47+Debt!Y54+Debt!Y60+Debt!Y61+Debt!Y94+Debt!Y102+Funding!Y40+Operations!Y42+Waterfall!Y59+Reserves!Y27</f>
        <v>1856.46900544975</v>
      </c>
      <c r="Z12" s="19" t="n">
        <f aca="false">Debt!Z47+Debt!Z54+Debt!Z60+Debt!Z61+Debt!Z94+Debt!Z102+Funding!Z40+Operations!Z42+Waterfall!Z59+Reserves!Z27</f>
        <v>1873.79742040501</v>
      </c>
      <c r="AA12" s="19" t="n">
        <f aca="false">Debt!AA47+Debt!AA54+Debt!AA60+Debt!AA61+Debt!AA94+Debt!AA102+Funding!AA40+Operations!AA42+Waterfall!AA59+Reserves!AA27</f>
        <v>1904.93326923877</v>
      </c>
      <c r="AB12" s="19" t="n">
        <f aca="false">Debt!AB47+Debt!AB54+Debt!AB60+Debt!AB61+Debt!AB94+Debt!AB102+Funding!AB40+Operations!AB42+Waterfall!AB59+Reserves!AB27</f>
        <v>1937.15687087187</v>
      </c>
      <c r="AC12" s="19" t="n">
        <f aca="false">Debt!AC47+Debt!AC54+Debt!AC60+Debt!AC61+Debt!AC94+Debt!AC102+Funding!AC40+Operations!AC42+Waterfall!AC59+Reserves!AC27</f>
        <v>1971.01090085169</v>
      </c>
      <c r="AD12" s="19" t="n">
        <f aca="false">Debt!AD47+Debt!AD54+Debt!AD60+Debt!AD61+Debt!AD94+Debt!AD102+Funding!AD40+Operations!AD42+Waterfall!AD59+Reserves!AD27</f>
        <v>1901.47397698185</v>
      </c>
      <c r="AE12" s="19" t="n">
        <f aca="false">Debt!AE47+Debt!AE54+Debt!AE60+Debt!AE61+Debt!AE94+Debt!AE102+Funding!AE40+Operations!AE42+Waterfall!AE59+Reserves!AE27</f>
        <v>1914.93595869585</v>
      </c>
      <c r="AF12" s="19" t="n">
        <f aca="false">Debt!AF47+Debt!AF54+Debt!AF60+Debt!AF61+Debt!AF94+Debt!AF102+Funding!AF40+Operations!AF42+Waterfall!AF59+Reserves!AF27</f>
        <v>1929.86260012197</v>
      </c>
      <c r="AG12" s="19" t="n">
        <f aca="false">Debt!AG47+Debt!AG54+Debt!AG60+Debt!AG61+Debt!AG94+Debt!AG102+Funding!AG40+Operations!AG42+Waterfall!AG59+Reserves!AG27</f>
        <v>1938.17560254086</v>
      </c>
      <c r="AH12" s="19" t="n">
        <f aca="false">Debt!AH47+Debt!AH54+Debt!AH60+Debt!AH61+Debt!AH94+Debt!AH102+Funding!AH40+Operations!AH42+Waterfall!AH59+Reserves!AH27</f>
        <v>1945.33546435049</v>
      </c>
      <c r="AI12" s="19" t="n">
        <f aca="false">Debt!AI47+Debt!AI54+Debt!AI60+Debt!AI61+Debt!AI94+Debt!AI102+Funding!AI40+Operations!AI42+Waterfall!AI59+Reserves!AI27</f>
        <v>1953.76839501897</v>
      </c>
      <c r="AJ12" s="19" t="n">
        <f aca="false">Debt!AJ47+Debt!AJ54+Debt!AJ60+Debt!AJ61+Debt!AJ94+Debt!AJ102+Funding!AJ40+Operations!AJ42+Waterfall!AJ59+Reserves!AJ27</f>
        <v>1960.81507419422</v>
      </c>
      <c r="AK12" s="19" t="n">
        <f aca="false">Debt!AK47+Debt!AK54+Debt!AK60+Debt!AK61+Debt!AK94+Debt!AK102+Funding!AK40+Operations!AK42+Waterfall!AK59+Reserves!AK27</f>
        <v>1965.96893465126</v>
      </c>
      <c r="AL12" s="19" t="n">
        <f aca="false">Debt!AL47+Debt!AL54+Debt!AL60+Debt!AL61+Debt!AL94+Debt!AL102+Funding!AL40+Operations!AL42+Waterfall!AL59+Reserves!AL27</f>
        <v>1969.97537658323</v>
      </c>
      <c r="AM12" s="19" t="n">
        <f aca="false">Debt!AM47+Debt!AM54+Debt!AM60+Debt!AM61+Debt!AM94+Debt!AM102+Funding!AM40+Operations!AM42+Waterfall!AM59+Reserves!AM27</f>
        <v>1971.78830458393</v>
      </c>
      <c r="AN12" s="19" t="n">
        <f aca="false">Debt!AN47+Debt!AN54+Debt!AN60+Debt!AN61+Debt!AN94+Debt!AN102+Funding!AN40+Operations!AN42+Waterfall!AN59+Reserves!AN27</f>
        <v>1972.21184561568</v>
      </c>
      <c r="AO12" s="19" t="n">
        <f aca="false">Debt!AO47+Debt!AO54+Debt!AO60+Debt!AO61+Debt!AO94+Debt!AO102+Funding!AO40+Operations!AO42+Waterfall!AO59+Reserves!AO27</f>
        <v>1966.88039714655</v>
      </c>
      <c r="AP12" s="19" t="n">
        <f aca="false">Debt!AP47+Debt!AP54+Debt!AP60+Debt!AP61+Debt!AP94+Debt!AP102+Funding!AP40+Operations!AP42+Waterfall!AP59+Reserves!AP27</f>
        <v>1959.72636832163</v>
      </c>
      <c r="AQ12" s="19" t="n">
        <f aca="false">Debt!AQ47+Debt!AQ54+Debt!AQ60+Debt!AQ61+Debt!AQ94+Debt!AQ102+Funding!AQ40+Operations!AQ42+Waterfall!AQ59+Reserves!AQ27</f>
        <v>1959.81358612928</v>
      </c>
      <c r="AR12" s="19" t="n">
        <f aca="false">Debt!AR47+Debt!AR54+Debt!AR60+Debt!AR61+Debt!AR94+Debt!AR102+Funding!AR40+Operations!AR42+Waterfall!AR59+Reserves!AR27</f>
        <v>1958.03446061462</v>
      </c>
      <c r="AS12" s="19" t="n">
        <f aca="false">Debt!AS47+Debt!AS54+Debt!AS60+Debt!AS61+Debt!AS94+Debt!AS102+Funding!AS40+Operations!AS42+Waterfall!AS59+Reserves!AS27</f>
        <v>1953.38905570829</v>
      </c>
      <c r="AT12" s="19" t="n">
        <f aca="false">Debt!AT47+Debt!AT54+Debt!AT60+Debt!AT61+Debt!AT94+Debt!AT102+Funding!AT40+Operations!AT42+Waterfall!AT59+Reserves!AT27</f>
        <v>1946.81554422828</v>
      </c>
      <c r="AU12" s="19" t="n">
        <f aca="false">Debt!AU47+Debt!AU54+Debt!AU60+Debt!AU61+Debt!AU94+Debt!AU102+Funding!AU40+Operations!AU42+Waterfall!AU59+Reserves!AU27</f>
        <v>1936.7394927259</v>
      </c>
      <c r="AV12" s="19" t="n">
        <f aca="false">Debt!AV47+Debt!AV54+Debt!AV60+Debt!AV61+Debt!AV94+Debt!AV102+Funding!AV40+Operations!AV42+Waterfall!AV59+Reserves!AV27</f>
        <v>1926.20253817932</v>
      </c>
      <c r="AW12" s="19" t="n">
        <f aca="false">Debt!AW47+Debt!AW54+Debt!AW60+Debt!AW61+Debt!AW94+Debt!AW102+Funding!AW40+Operations!AW42+Waterfall!AW59+Reserves!AW27</f>
        <v>1908.24540277104</v>
      </c>
      <c r="AX12" s="19" t="n">
        <f aca="false">Debt!AX47+Debt!AX54+Debt!AX60+Debt!AX61+Debt!AX94+Debt!AX102+Funding!AX40+Operations!AX42+Waterfall!AX59+Reserves!AX27</f>
        <v>1887.96006682266</v>
      </c>
      <c r="AY12" s="19" t="n">
        <f aca="false">Debt!AY47+Debt!AY54+Debt!AY60+Debt!AY61+Debt!AY94+Debt!AY102+Funding!AY40+Operations!AY42+Waterfall!AY59+Reserves!AY27</f>
        <v>1867.93785864027</v>
      </c>
      <c r="AZ12" s="19" t="n">
        <f aca="false">Debt!AZ47+Debt!AZ54+Debt!AZ60+Debt!AZ61+Debt!AZ94+Debt!AZ102+Funding!AZ40+Operations!AZ42+Waterfall!AZ59+Reserves!AZ27</f>
        <v>1846.41621796127</v>
      </c>
      <c r="BA12" s="19" t="n">
        <f aca="false">Debt!BA47+Debt!BA54+Debt!BA60+Debt!BA61+Debt!BA94+Debt!BA102+Funding!BA40+Operations!BA42+Waterfall!BA59+Reserves!BA27</f>
        <v>1819.712136515</v>
      </c>
      <c r="BB12" s="19" t="n">
        <f aca="false">Debt!BB47+Debt!BB54+Debt!BB60+Debt!BB61+Debt!BB94+Debt!BB102+Funding!BB40+Operations!BB42+Waterfall!BB59+Reserves!BB27</f>
        <v>1794.99787602384</v>
      </c>
      <c r="BC12" s="19" t="n">
        <f aca="false">Debt!BC47+Debt!BC54+Debt!BC60+Debt!BC61+Debt!BC94+Debt!BC102+Funding!BC40+Operations!BC42+Waterfall!BC59+Reserves!BC27</f>
        <v>1752.88745231251</v>
      </c>
      <c r="BD12" s="19" t="n">
        <f aca="false">Debt!BD47+Debt!BD54+Debt!BD60+Debt!BD61+Debt!BD94+Debt!BD102+Funding!BD40+Operations!BD42+Waterfall!BD59+Reserves!BD27</f>
        <v>1710.60421665617</v>
      </c>
      <c r="BE12" s="19" t="n">
        <f aca="false">Debt!BE47+Debt!BE54+Debt!BE60+Debt!BE61+Debt!BE94+Debt!BE102+Funding!BE40+Operations!BE42+Waterfall!BE59+Reserves!BE27</f>
        <v>1655.88782160104</v>
      </c>
      <c r="BF12" s="19" t="n">
        <f aca="false">Debt!BF47+Debt!BF54+Debt!BF60+Debt!BF61+Debt!BF94+Debt!BF102+Funding!BF40+Operations!BF42+Waterfall!BF59+Reserves!BF27</f>
        <v>1599.10012596146</v>
      </c>
      <c r="BG12" s="19" t="n">
        <f aca="false">Debt!BG47+Debt!BG54+Debt!BG60+Debt!BG61+Debt!BG94+Debt!BG102+Funding!BG40+Operations!BG42+Waterfall!BG59+Reserves!BG27</f>
        <v>1534.57710466469</v>
      </c>
      <c r="BH12" s="19" t="n">
        <f aca="false">Debt!BH47+Debt!BH54+Debt!BH60+Debt!BH61+Debt!BH94+Debt!BH102+Funding!BH40+Operations!BH42+Waterfall!BH59+Reserves!BH27</f>
        <v>1466.8445366181</v>
      </c>
      <c r="BI12" s="19" t="n">
        <f aca="false">Debt!BI47+Debt!BI54+Debt!BI60+Debt!BI61+Debt!BI94+Debt!BI102+Funding!BI40+Operations!BI42+Waterfall!BI59+Reserves!BI27</f>
        <v>1390.90667977885</v>
      </c>
      <c r="BJ12" s="19" t="n">
        <f aca="false">Debt!BJ47+Debt!BJ54+Debt!BJ60+Debt!BJ61+Debt!BJ94+Debt!BJ102+Funding!BJ40+Operations!BJ42+Waterfall!BJ59+Reserves!BJ27</f>
        <v>1312.23519836084</v>
      </c>
      <c r="BK12" s="19" t="n">
        <f aca="false">Debt!BK47+Debt!BK54+Debt!BK60+Debt!BK61+Debt!BK94+Debt!BK102+Funding!BK40+Operations!BK42+Waterfall!BK59+Reserves!BK27</f>
        <v>1246.45021744601</v>
      </c>
      <c r="BL12" s="19" t="n">
        <f aca="false">Debt!BL47+Debt!BL54+Debt!BL60+Debt!BL61+Debt!BL94+Debt!BL102+Funding!BL40+Operations!BL42+Waterfall!BL59+Reserves!BL27</f>
        <v>1217.85249933299</v>
      </c>
      <c r="BM12" s="19" t="n">
        <f aca="false">Debt!BM47+Debt!BM54+Debt!BM60+Debt!BM61+Debt!BM94+Debt!BM102+Funding!BM40+Operations!BM42+Waterfall!BM59+Reserves!BM27</f>
        <v>1186.30090815741</v>
      </c>
      <c r="BN12" s="19" t="n">
        <f aca="false">Debt!BN47+Debt!BN54+Debt!BN60+Debt!BN61+Debt!BN94+Debt!BN102+Funding!BN40+Operations!BN42+Waterfall!BN59+Reserves!BN27</f>
        <v>1153.60979935121</v>
      </c>
      <c r="BO12" s="19" t="n">
        <f aca="false">Debt!BO47+Debt!BO54+Debt!BO60+Debt!BO61+Debt!BO94+Debt!BO102+Funding!BO40+Operations!BO42+Waterfall!BO59+Reserves!BO27</f>
        <v>1127.56737520075</v>
      </c>
      <c r="BP12" s="19" t="n">
        <f aca="false">Debt!BP47+Debt!BP54+Debt!BP60+Debt!BP61+Debt!BP94+Debt!BP102+Funding!BP40+Operations!BP42+Waterfall!BP59+Reserves!BP27</f>
        <v>1100.26244356959</v>
      </c>
      <c r="BQ12" s="19" t="n">
        <f aca="false">Debt!BQ47+Debt!BQ54+Debt!BQ60+Debt!BQ61+Debt!BQ94+Debt!BQ102+Funding!BQ40+Operations!BQ42+Waterfall!BQ59+Reserves!BQ27</f>
        <v>1070.00522620501</v>
      </c>
      <c r="BR12" s="19" t="n">
        <f aca="false">Debt!BR47+Debt!BR54+Debt!BR60+Debt!BR61+Debt!BR94+Debt!BR102+Funding!BR40+Operations!BR42+Waterfall!BR59+Reserves!BR27</f>
        <v>1039.30118298283</v>
      </c>
      <c r="BS12" s="19" t="n">
        <f aca="false">Debt!BS47+Debt!BS54+Debt!BS60+Debt!BS61+Debt!BS94+Debt!BS102+Funding!BS40+Operations!BS42+Waterfall!BS59+Reserves!BS27</f>
        <v>1005.26445595396</v>
      </c>
      <c r="BT12" s="19" t="n">
        <f aca="false">Debt!BT47+Debt!BT54+Debt!BT60+Debt!BT61+Debt!BT94+Debt!BT102+Funding!BT40+Operations!BT42+Waterfall!BT59+Reserves!BT27</f>
        <v>970.722838788014</v>
      </c>
      <c r="BU12" s="19" t="n">
        <f aca="false">Debt!BU47+Debt!BU54+Debt!BU60+Debt!BU61+Debt!BU94+Debt!BU102+Funding!BU40+Operations!BU42+Waterfall!BU59+Reserves!BU27</f>
        <v>922.803967869545</v>
      </c>
      <c r="BV12" s="19" t="n">
        <f aca="false">Debt!BV47+Debt!BV54+Debt!BV60+Debt!BV61+Debt!BV94+Debt!BV102+Funding!BV40+Operations!BV42+Waterfall!BV59+Reserves!BV27</f>
        <v>874.091466817893</v>
      </c>
      <c r="BW12" s="19" t="n">
        <f aca="false">Debt!BW47+Debt!BW54+Debt!BW60+Debt!BW61+Debt!BW94+Debt!BW102+Funding!BW40+Operations!BW42+Waterfall!BW59+Reserves!BW27</f>
        <v>821.38252800652</v>
      </c>
      <c r="BX12" s="19" t="n">
        <f aca="false">Debt!BX47+Debt!BX54+Debt!BX60+Debt!BX61+Debt!BX94+Debt!BX102+Funding!BX40+Operations!BX42+Waterfall!BX59+Reserves!BX27</f>
        <v>767.477309908344</v>
      </c>
      <c r="BY12" s="19" t="n">
        <f aca="false">Debt!BY47+Debt!BY54+Debt!BY60+Debt!BY61+Debt!BY94+Debt!BY102+Funding!BY40+Operations!BY42+Waterfall!BY59+Reserves!BY27</f>
        <v>709.650161502494</v>
      </c>
      <c r="BZ12" s="19" t="n">
        <f aca="false">Debt!BZ47+Debt!BZ54+Debt!BZ60+Debt!BZ61+Debt!BZ94+Debt!BZ102+Funding!BZ40+Operations!BZ42+Waterfall!BZ59+Reserves!BZ27</f>
        <v>650.87717497315</v>
      </c>
      <c r="CA12" s="19" t="n">
        <f aca="false">Debt!CA47+Debt!CA54+Debt!CA60+Debt!CA61+Debt!CA94+Debt!CA102+Funding!CA40+Operations!CA42+Waterfall!CA59+Reserves!CA27</f>
        <v>593.95160863981</v>
      </c>
      <c r="CB12" s="19" t="n">
        <f aca="false">Debt!CB47+Debt!CB54+Debt!CB60+Debt!CB61+Debt!CB94+Debt!CB102+Funding!CB40+Operations!CB42+Waterfall!CB59+Reserves!CB27</f>
        <v>536.142521151014</v>
      </c>
      <c r="CC12" s="19" t="n">
        <f aca="false">Debt!CC47+Debt!CC54+Debt!CC60+Debt!CC61+Debt!CC94+Debt!CC102+Funding!CC40+Operations!CC42+Waterfall!CC59+Reserves!CC27</f>
        <v>473.709746420084</v>
      </c>
      <c r="CD12" s="19" t="n">
        <f aca="false">Debt!CD47+Debt!CD54+Debt!CD60+Debt!CD61+Debt!CD94+Debt!CD102+Funding!CD40+Operations!CD42+Waterfall!CD59+Reserves!CD27</f>
        <v>410.30868476596</v>
      </c>
      <c r="CE12" s="19" t="n">
        <f aca="false">Debt!CE47+Debt!CE54+Debt!CE60+Debt!CE61+Debt!CE94+Debt!CE102+Funding!CE40+Operations!CE42+Waterfall!CE59+Reserves!CE27</f>
        <v>345.081614173663</v>
      </c>
      <c r="CF12" s="19" t="n">
        <f aca="false">Debt!CF47+Debt!CF54+Debt!CF60+Debt!CF61+Debt!CF94+Debt!CF102+Funding!CF40+Operations!CF42+Waterfall!CF59+Reserves!CF27</f>
        <v>287.202963979157</v>
      </c>
      <c r="CG12" s="19" t="n">
        <f aca="false">Debt!CG47+Debt!CG54+Debt!CG60+Debt!CG61+Debt!CG94+Debt!CG102+Funding!CG40+Operations!CG42+Waterfall!CG59+Reserves!CG27</f>
        <v>223.747989030262</v>
      </c>
      <c r="CH12" s="19" t="n">
        <f aca="false">Debt!CH47+Debt!CH54+Debt!CH60+Debt!CH61+Debt!CH94+Debt!CH102+Funding!CH40+Operations!CH42+Waterfall!CH59+Reserves!CH27</f>
        <v>201.22955222858</v>
      </c>
      <c r="CI12" s="19" t="n">
        <f aca="false">Debt!CI47+Debt!CI54+Debt!CI60+Debt!CI61+Debt!CI94+Debt!CI102+Funding!CI40+Operations!CI42+Waterfall!CI59+Reserves!CI27</f>
        <v>177.154849305508</v>
      </c>
      <c r="CJ12" s="19" t="n">
        <f aca="false">Debt!CJ47+Debt!CJ54+Debt!CJ60+Debt!CJ61+Debt!CJ94+Debt!CJ102+Funding!CJ40+Operations!CJ42+Waterfall!CJ59+Reserves!CJ27</f>
        <v>153.029916856962</v>
      </c>
      <c r="CK12" s="19" t="n">
        <f aca="false">Debt!CK47+Debt!CK54+Debt!CK60+Debt!CK61+Debt!CK94+Debt!CK102+Funding!CK40+Operations!CK42+Waterfall!CK59+Reserves!CK27</f>
        <v>123.278240480119</v>
      </c>
      <c r="CL12" s="19" t="n">
        <f aca="false">Debt!CL47+Debt!CL54+Debt!CL60+Debt!CL61+Debt!CL94+Debt!CL102+Funding!CL40+Operations!CL42+Waterfall!CL59+Reserves!CL27</f>
        <v>95.9855152299596</v>
      </c>
      <c r="CM12" s="19" t="n">
        <f aca="false">Debt!CM47+Debt!CM54+Debt!CM60+Debt!CM61+Debt!CM94+Debt!CM102+Funding!CM40+Operations!CM42+Waterfall!CM59+Reserves!CM27</f>
        <v>66.9541283386523</v>
      </c>
      <c r="CN12" s="19" t="n">
        <f aca="false">Debt!CN47+Debt!CN54+Debt!CN60+Debt!CN61+Debt!CN94+Debt!CN102+Funding!CN40+Operations!CN42+Waterfall!CN59+Reserves!CN27</f>
        <v>37.6688659595126</v>
      </c>
      <c r="CO12" s="19" t="n">
        <f aca="false">Debt!CO47+Debt!CO54+Debt!CO60+Debt!CO61+Debt!CO94+Debt!CO102+Funding!CO40+Operations!CO42+Waterfall!CO59+Reserves!CO27</f>
        <v>6.73574290810156</v>
      </c>
      <c r="CP12" s="19" t="n">
        <f aca="false">Debt!CP47+Debt!CP54+Debt!CP60+Debt!CP61+Debt!CP94+Debt!CP102+Funding!CP40+Operations!CP42+Waterfall!CP59+Reserves!CP27</f>
        <v>2.1067592115287E-012</v>
      </c>
      <c r="CQ12" s="19" t="n">
        <f aca="false">Debt!CQ47+Debt!CQ54+Debt!CQ60+Debt!CQ61+Debt!CQ94+Debt!CQ102+Funding!CQ40+Operations!CQ42+Waterfall!CQ59+Reserves!CQ27</f>
        <v>2.1067592115287E-012</v>
      </c>
      <c r="CR12" s="19" t="n">
        <f aca="false">Debt!CR47+Debt!CR54+Debt!CR60+Debt!CR61+Debt!CR94+Debt!CR102+Funding!CR40+Operations!CR42+Waterfall!CR59+Reserves!CR27</f>
        <v>2.16187741072679E-012</v>
      </c>
      <c r="CS12" s="19" t="n">
        <f aca="false">Debt!CS47+Debt!CS54+Debt!CS60+Debt!CS61+Debt!CS94+Debt!CS102+Funding!CS40+Operations!CS42+Waterfall!CS59+Reserves!CS27</f>
        <v>2.21744222983489E-012</v>
      </c>
      <c r="CT12" s="19" t="n">
        <f aca="false">Debt!CT47+Debt!CT54+Debt!CT60+Debt!CT61+Debt!CT94+Debt!CT102+Funding!CT40+Operations!CT42+Waterfall!CT59+Reserves!CT27</f>
        <v>2.27256042903298E-012</v>
      </c>
      <c r="CU12" s="19" t="n">
        <f aca="false">Debt!CU47+Debt!CU54+Debt!CU60+Debt!CU61+Debt!CU94+Debt!CU102+Funding!CU40+Operations!CU42+Waterfall!CU59+Reserves!CU27</f>
        <v>2.32812524814108E-012</v>
      </c>
      <c r="CV12" s="19" t="n">
        <f aca="false">Debt!CV47+Debt!CV54+Debt!CV60+Debt!CV61+Debt!CV94+Debt!CV102+Funding!CV40+Operations!CV42+Waterfall!CV59+Reserves!CV27</f>
        <v>2.3833923206425E-012</v>
      </c>
      <c r="CW12" s="19" t="n">
        <f aca="false">Debt!CW47+Debt!CW54+Debt!CW60+Debt!CW61+Debt!CW94+Debt!CW102+Funding!CW40+Operations!CW42+Waterfall!CW59+Reserves!CW27</f>
        <v>2.4389571397506E-012</v>
      </c>
      <c r="CX12" s="19" t="n">
        <f aca="false">Debt!CX47+Debt!CX54+Debt!CX60+Debt!CX61+Debt!CX94+Debt!CX102+Funding!CX40+Operations!CX42+Waterfall!CX59+Reserves!CX27</f>
        <v>2.4940753389487E-012</v>
      </c>
      <c r="CY12" s="19" t="n">
        <f aca="false">Debt!CY47+Debt!CY54+Debt!CY60+Debt!CY61+Debt!CY94+Debt!CY102+Funding!CY40+Operations!CY42+Waterfall!CY59+Reserves!CY27</f>
        <v>2.54964015805679E-012</v>
      </c>
      <c r="CZ12" s="19" t="n">
        <f aca="false">Debt!CZ47+Debt!CZ54+Debt!CZ60+Debt!CZ61+Debt!CZ94+Debt!CZ102+Funding!CZ40+Operations!CZ42+Waterfall!CZ59+Reserves!CZ27</f>
        <v>2.60475835725489E-012</v>
      </c>
      <c r="DA12" s="19" t="n">
        <f aca="false">Debt!DA47+Debt!DA54+Debt!DA60+Debt!DA61+Debt!DA94+Debt!DA102+Funding!DA40+Operations!DA42+Waterfall!DA59+Reserves!DA27</f>
        <v>2.66032317636298E-012</v>
      </c>
      <c r="DB12" s="19" t="n">
        <f aca="false">Debt!DB47+Debt!DB54+Debt!DB60+Debt!DB61+Debt!DB94+Debt!DB102+Funding!DB40+Operations!DB42+Waterfall!DB59+Reserves!DB27</f>
        <v>2.71544137556108E-012</v>
      </c>
    </row>
    <row r="13" customFormat="false" ht="15" hidden="false" customHeight="false" outlineLevel="0" collapsed="false">
      <c r="D13" s="0" t="s">
        <v>659</v>
      </c>
      <c r="E13" s="0" t="s">
        <v>44</v>
      </c>
      <c r="J13" s="19" t="n">
        <f aca="false">I13+Funding!J37+Debt!J78+Inputs!$F$171*Time!J35</f>
        <v>11.0121811884944</v>
      </c>
      <c r="K13" s="19" t="n">
        <f aca="false">J13+Funding!K37+Debt!K78+Inputs!$F$171*Time!K35</f>
        <v>15.5071444776851</v>
      </c>
      <c r="L13" s="19" t="n">
        <f aca="false">K13+Funding!L37+Debt!L78+Inputs!$F$171*Time!L35</f>
        <v>24.7249968697705</v>
      </c>
      <c r="M13" s="19" t="n">
        <f aca="false">L13+Funding!M37+Debt!M78+Inputs!$F$171*Time!M35</f>
        <v>39.4360397194042</v>
      </c>
      <c r="N13" s="19" t="n">
        <f aca="false">M13+Funding!N37+Debt!N78+Inputs!$F$171*Time!N35</f>
        <v>56.9573436016214</v>
      </c>
      <c r="O13" s="19" t="n">
        <f aca="false">N13+Funding!O37+Debt!O78+Inputs!$F$171*Time!O35</f>
        <v>56.9573436016214</v>
      </c>
      <c r="P13" s="19" t="n">
        <f aca="false">O13+Funding!P37+Debt!P78+Inputs!$F$171*Time!P35</f>
        <v>56.9573436016214</v>
      </c>
      <c r="Q13" s="19" t="n">
        <f aca="false">P13+Funding!Q37+Debt!Q78+Inputs!$F$171*Time!Q35</f>
        <v>56.9573436016214</v>
      </c>
      <c r="R13" s="19" t="n">
        <f aca="false">Q13+Funding!R37+Debt!R78+Inputs!$F$171*Time!R35</f>
        <v>56.9573436016214</v>
      </c>
      <c r="S13" s="19" t="n">
        <f aca="false">R13+Funding!S37+Debt!S78+Inputs!$F$171*Time!S35</f>
        <v>56.9573436016214</v>
      </c>
      <c r="T13" s="19" t="n">
        <f aca="false">S13+Funding!T37+Debt!T78+Inputs!$F$171*Time!T35</f>
        <v>56.9573436016214</v>
      </c>
      <c r="U13" s="19" t="n">
        <f aca="false">T13+Funding!U37+Debt!U78+Inputs!$F$171*Time!U35</f>
        <v>56.9573436016214</v>
      </c>
      <c r="V13" s="19" t="n">
        <f aca="false">U13+Funding!V37+Debt!V78+Inputs!$F$171*Time!V35</f>
        <v>56.9573436016214</v>
      </c>
      <c r="W13" s="19" t="n">
        <f aca="false">V13+Funding!W37+Debt!W78+Inputs!$F$171*Time!W35</f>
        <v>56.9573436016214</v>
      </c>
      <c r="X13" s="19" t="n">
        <f aca="false">W13+Funding!X37+Debt!X78+Inputs!$F$171*Time!X35</f>
        <v>56.9573436016214</v>
      </c>
      <c r="Y13" s="19" t="n">
        <f aca="false">X13+Funding!Y37+Debt!Y78+Inputs!$F$171*Time!Y35</f>
        <v>56.9573436016214</v>
      </c>
      <c r="Z13" s="19" t="n">
        <f aca="false">Y13+Funding!Z37+Debt!Z78+Inputs!$F$171*Time!Z35</f>
        <v>56.9573436016214</v>
      </c>
      <c r="AA13" s="19" t="n">
        <f aca="false">Z13+Funding!AA37+Debt!AA78+Inputs!$F$171*Time!AA35</f>
        <v>56.9573436016214</v>
      </c>
      <c r="AB13" s="19" t="n">
        <f aca="false">AA13+Funding!AB37+Debt!AB78+Inputs!$F$171*Time!AB35</f>
        <v>56.9573436016214</v>
      </c>
      <c r="AC13" s="19" t="n">
        <f aca="false">AB13+Funding!AC37+Debt!AC78+Inputs!$F$171*Time!AC35</f>
        <v>56.9573436016214</v>
      </c>
      <c r="AD13" s="19" t="n">
        <f aca="false">AC13+Funding!AD37+Debt!AD78+Inputs!$F$171*Time!AD35</f>
        <v>56.9573436016214</v>
      </c>
      <c r="AE13" s="19" t="n">
        <f aca="false">AD13+Funding!AE37+Debt!AE78+Inputs!$F$171*Time!AE35</f>
        <v>56.9573436016214</v>
      </c>
      <c r="AF13" s="19" t="n">
        <f aca="false">AE13+Funding!AF37+Debt!AF78+Inputs!$F$171*Time!AF35</f>
        <v>56.9573436016214</v>
      </c>
      <c r="AG13" s="19" t="n">
        <f aca="false">AF13+Funding!AG37+Debt!AG78+Inputs!$F$171*Time!AG35</f>
        <v>56.9573436016214</v>
      </c>
      <c r="AH13" s="19" t="n">
        <f aca="false">AG13+Funding!AH37+Debt!AH78+Inputs!$F$171*Time!AH35</f>
        <v>56.9573436016214</v>
      </c>
      <c r="AI13" s="19" t="n">
        <f aca="false">AH13+Funding!AI37+Debt!AI78+Inputs!$F$171*Time!AI35</f>
        <v>56.9573436016214</v>
      </c>
      <c r="AJ13" s="19" t="n">
        <f aca="false">AI13+Funding!AJ37+Debt!AJ78+Inputs!$F$171*Time!AJ35</f>
        <v>56.9573436016214</v>
      </c>
      <c r="AK13" s="19" t="n">
        <f aca="false">AJ13+Funding!AK37+Debt!AK78+Inputs!$F$171*Time!AK35</f>
        <v>56.9573436016214</v>
      </c>
      <c r="AL13" s="19" t="n">
        <f aca="false">AK13+Funding!AL37+Debt!AL78+Inputs!$F$171*Time!AL35</f>
        <v>56.9573436016214</v>
      </c>
      <c r="AM13" s="19" t="n">
        <f aca="false">AL13+Funding!AM37+Debt!AM78+Inputs!$F$171*Time!AM35</f>
        <v>56.9573436016214</v>
      </c>
      <c r="AN13" s="19" t="n">
        <f aca="false">AM13+Funding!AN37+Debt!AN78+Inputs!$F$171*Time!AN35</f>
        <v>56.9573436016214</v>
      </c>
      <c r="AO13" s="19" t="n">
        <f aca="false">AN13+Funding!AO37+Debt!AO78+Inputs!$F$171*Time!AO35</f>
        <v>56.9573436016214</v>
      </c>
      <c r="AP13" s="19" t="n">
        <f aca="false">AO13+Funding!AP37+Debt!AP78+Inputs!$F$171*Time!AP35</f>
        <v>56.9573436016214</v>
      </c>
      <c r="AQ13" s="19" t="n">
        <f aca="false">AP13+Funding!AQ37+Debt!AQ78+Inputs!$F$171*Time!AQ35</f>
        <v>56.9573436016214</v>
      </c>
      <c r="AR13" s="19" t="n">
        <f aca="false">AQ13+Funding!AR37+Debt!AR78+Inputs!$F$171*Time!AR35</f>
        <v>56.9573436016214</v>
      </c>
      <c r="AS13" s="19" t="n">
        <f aca="false">AR13+Funding!AS37+Debt!AS78+Inputs!$F$171*Time!AS35</f>
        <v>56.9573436016214</v>
      </c>
      <c r="AT13" s="19" t="n">
        <f aca="false">AS13+Funding!AT37+Debt!AT78+Inputs!$F$171*Time!AT35</f>
        <v>56.9573436016214</v>
      </c>
      <c r="AU13" s="19" t="n">
        <f aca="false">AT13+Funding!AU37+Debt!AU78+Inputs!$F$171*Time!AU35</f>
        <v>56.9573436016214</v>
      </c>
      <c r="AV13" s="19" t="n">
        <f aca="false">AU13+Funding!AV37+Debt!AV78+Inputs!$F$171*Time!AV35</f>
        <v>56.9573436016214</v>
      </c>
      <c r="AW13" s="19" t="n">
        <f aca="false">AV13+Funding!AW37+Debt!AW78+Inputs!$F$171*Time!AW35</f>
        <v>56.9573436016214</v>
      </c>
      <c r="AX13" s="19" t="n">
        <f aca="false">AW13+Funding!AX37+Debt!AX78+Inputs!$F$171*Time!AX35</f>
        <v>56.9573436016214</v>
      </c>
      <c r="AY13" s="19" t="n">
        <f aca="false">AX13+Funding!AY37+Debt!AY78+Inputs!$F$171*Time!AY35</f>
        <v>56.9573436016214</v>
      </c>
      <c r="AZ13" s="19" t="n">
        <f aca="false">AY13+Funding!AZ37+Debt!AZ78+Inputs!$F$171*Time!AZ35</f>
        <v>56.9573436016214</v>
      </c>
      <c r="BA13" s="19" t="n">
        <f aca="false">AZ13+Funding!BA37+Debt!BA78+Inputs!$F$171*Time!BA35</f>
        <v>56.9573436016214</v>
      </c>
      <c r="BB13" s="19" t="n">
        <f aca="false">BA13+Funding!BB37+Debt!BB78+Inputs!$F$171*Time!BB35</f>
        <v>56.9573436016214</v>
      </c>
      <c r="BC13" s="19" t="n">
        <f aca="false">BB13+Funding!BC37+Debt!BC78+Inputs!$F$171*Time!BC35</f>
        <v>56.9573436016214</v>
      </c>
      <c r="BD13" s="19" t="n">
        <f aca="false">BC13+Funding!BD37+Debt!BD78+Inputs!$F$171*Time!BD35</f>
        <v>56.9573436016214</v>
      </c>
      <c r="BE13" s="19" t="n">
        <f aca="false">BD13+Funding!BE37+Debt!BE78+Inputs!$F$171*Time!BE35</f>
        <v>56.9573436016214</v>
      </c>
      <c r="BF13" s="19" t="n">
        <f aca="false">BE13+Funding!BF37+Debt!BF78+Inputs!$F$171*Time!BF35</f>
        <v>56.9573436016214</v>
      </c>
      <c r="BG13" s="19" t="n">
        <f aca="false">BF13+Funding!BG37+Debt!BG78+Inputs!$F$171*Time!BG35</f>
        <v>56.9573436016214</v>
      </c>
      <c r="BH13" s="19" t="n">
        <f aca="false">BG13+Funding!BH37+Debt!BH78+Inputs!$F$171*Time!BH35</f>
        <v>56.9573436016214</v>
      </c>
      <c r="BI13" s="19" t="n">
        <f aca="false">BH13+Funding!BI37+Debt!BI78+Inputs!$F$171*Time!BI35</f>
        <v>56.9573436016214</v>
      </c>
      <c r="BJ13" s="19" t="n">
        <f aca="false">BI13+Funding!BJ37+Debt!BJ78+Inputs!$F$171*Time!BJ35</f>
        <v>56.9573436016214</v>
      </c>
      <c r="BK13" s="19" t="n">
        <f aca="false">BJ13+Funding!BK37+Debt!BK78+Inputs!$F$171*Time!BK35</f>
        <v>56.9573436016214</v>
      </c>
      <c r="BL13" s="19" t="n">
        <f aca="false">BK13+Funding!BL37+Debt!BL78+Inputs!$F$171*Time!BL35</f>
        <v>56.9573436016214</v>
      </c>
      <c r="BM13" s="19" t="n">
        <f aca="false">BL13+Funding!BM37+Debt!BM78+Inputs!$F$171*Time!BM35</f>
        <v>56.9573436016214</v>
      </c>
      <c r="BN13" s="19" t="n">
        <f aca="false">BM13+Funding!BN37+Debt!BN78+Inputs!$F$171*Time!BN35</f>
        <v>56.9573436016214</v>
      </c>
      <c r="BO13" s="19" t="n">
        <f aca="false">BN13+Funding!BO37+Debt!BO78+Inputs!$F$171*Time!BO35</f>
        <v>56.9573436016214</v>
      </c>
      <c r="BP13" s="19" t="n">
        <f aca="false">BO13+Funding!BP37+Debt!BP78+Inputs!$F$171*Time!BP35</f>
        <v>56.9573436016214</v>
      </c>
      <c r="BQ13" s="19" t="n">
        <f aca="false">BP13+Funding!BQ37+Debt!BQ78+Inputs!$F$171*Time!BQ35</f>
        <v>56.9573436016214</v>
      </c>
      <c r="BR13" s="19" t="n">
        <f aca="false">BQ13+Funding!BR37+Debt!BR78+Inputs!$F$171*Time!BR35</f>
        <v>56.9573436016214</v>
      </c>
      <c r="BS13" s="19" t="n">
        <f aca="false">BR13+Funding!BS37+Debt!BS78+Inputs!$F$171*Time!BS35</f>
        <v>56.9573436016214</v>
      </c>
      <c r="BT13" s="19" t="n">
        <f aca="false">BS13+Funding!BT37+Debt!BT78+Inputs!$F$171*Time!BT35</f>
        <v>56.9573436016214</v>
      </c>
      <c r="BU13" s="19" t="n">
        <f aca="false">BT13+Funding!BU37+Debt!BU78+Inputs!$F$171*Time!BU35</f>
        <v>56.9573436016214</v>
      </c>
      <c r="BV13" s="19" t="n">
        <f aca="false">BU13+Funding!BV37+Debt!BV78+Inputs!$F$171*Time!BV35</f>
        <v>56.9573436016214</v>
      </c>
      <c r="BW13" s="19" t="n">
        <f aca="false">BV13+Funding!BW37+Debt!BW78+Inputs!$F$171*Time!BW35</f>
        <v>56.9573436016214</v>
      </c>
      <c r="BX13" s="19" t="n">
        <f aca="false">BW13+Funding!BX37+Debt!BX78+Inputs!$F$171*Time!BX35</f>
        <v>56.9573436016214</v>
      </c>
      <c r="BY13" s="19" t="n">
        <f aca="false">BX13+Funding!BY37+Debt!BY78+Inputs!$F$171*Time!BY35</f>
        <v>56.9573436016214</v>
      </c>
      <c r="BZ13" s="19" t="n">
        <f aca="false">BY13+Funding!BZ37+Debt!BZ78+Inputs!$F$171*Time!BZ35</f>
        <v>56.9573436016214</v>
      </c>
      <c r="CA13" s="19" t="n">
        <f aca="false">BZ13+Funding!CA37+Debt!CA78+Inputs!$F$171*Time!CA35</f>
        <v>56.9573436016214</v>
      </c>
      <c r="CB13" s="19" t="n">
        <f aca="false">CA13+Funding!CB37+Debt!CB78+Inputs!$F$171*Time!CB35</f>
        <v>56.9573436016214</v>
      </c>
      <c r="CC13" s="19" t="n">
        <f aca="false">CB13+Funding!CC37+Debt!CC78+Inputs!$F$171*Time!CC35</f>
        <v>56.9573436016214</v>
      </c>
      <c r="CD13" s="19" t="n">
        <f aca="false">CC13+Funding!CD37+Debt!CD78+Inputs!$F$171*Time!CD35</f>
        <v>56.9573436016214</v>
      </c>
      <c r="CE13" s="19" t="n">
        <f aca="false">CD13+Funding!CE37+Debt!CE78+Inputs!$F$171*Time!CE35</f>
        <v>56.9573436016214</v>
      </c>
      <c r="CF13" s="19" t="n">
        <f aca="false">CE13+Funding!CF37+Debt!CF78+Inputs!$F$171*Time!CF35</f>
        <v>56.9573436016214</v>
      </c>
      <c r="CG13" s="19" t="n">
        <f aca="false">CF13+Funding!CG37+Debt!CG78+Inputs!$F$171*Time!CG35</f>
        <v>56.9573436016214</v>
      </c>
      <c r="CH13" s="19" t="n">
        <f aca="false">CG13+Funding!CH37+Debt!CH78+Inputs!$F$171*Time!CH35</f>
        <v>56.9573436016214</v>
      </c>
      <c r="CI13" s="19" t="n">
        <f aca="false">CH13+Funding!CI37+Debt!CI78+Inputs!$F$171*Time!CI35</f>
        <v>56.9573436016214</v>
      </c>
      <c r="CJ13" s="19" t="n">
        <f aca="false">CI13+Funding!CJ37+Debt!CJ78+Inputs!$F$171*Time!CJ35</f>
        <v>56.9573436016214</v>
      </c>
      <c r="CK13" s="19" t="n">
        <f aca="false">CJ13+Funding!CK37+Debt!CK78+Inputs!$F$171*Time!CK35</f>
        <v>56.9573436016214</v>
      </c>
      <c r="CL13" s="19" t="n">
        <f aca="false">CK13+Funding!CL37+Debt!CL78+Inputs!$F$171*Time!CL35</f>
        <v>56.9573436016214</v>
      </c>
      <c r="CM13" s="19" t="n">
        <f aca="false">CL13+Funding!CM37+Debt!CM78+Inputs!$F$171*Time!CM35</f>
        <v>56.9573436016214</v>
      </c>
      <c r="CN13" s="19" t="n">
        <f aca="false">CM13+Funding!CN37+Debt!CN78+Inputs!$F$171*Time!CN35</f>
        <v>56.9573436016214</v>
      </c>
      <c r="CO13" s="19" t="n">
        <f aca="false">CN13+Funding!CO37+Debt!CO78+Inputs!$F$171*Time!CO35</f>
        <v>56.9573436016214</v>
      </c>
      <c r="CP13" s="19" t="n">
        <f aca="false">CO13+Funding!CP37+Debt!CP78+Inputs!$F$171*Time!CP35</f>
        <v>56.9573436016214</v>
      </c>
      <c r="CQ13" s="19" t="n">
        <f aca="false">CP13+Funding!CQ37+Debt!CQ78+Inputs!$F$171*Time!CQ35</f>
        <v>56.9573436016214</v>
      </c>
      <c r="CR13" s="19" t="n">
        <f aca="false">CQ13+Funding!CR37+Debt!CR78+Inputs!$F$171*Time!CR35</f>
        <v>56.9573436016214</v>
      </c>
      <c r="CS13" s="19" t="n">
        <f aca="false">CR13+Funding!CS37+Debt!CS78+Inputs!$F$171*Time!CS35</f>
        <v>56.9573436016214</v>
      </c>
      <c r="CT13" s="19" t="n">
        <f aca="false">CS13+Funding!CT37+Debt!CT78+Inputs!$F$171*Time!CT35</f>
        <v>56.9573436016214</v>
      </c>
      <c r="CU13" s="19" t="n">
        <f aca="false">CT13+Funding!CU37+Debt!CU78+Inputs!$F$171*Time!CU35</f>
        <v>56.9573436016214</v>
      </c>
      <c r="CV13" s="19" t="n">
        <f aca="false">CU13+Funding!CV37+Debt!CV78+Inputs!$F$171*Time!CV35</f>
        <v>56.9573436016214</v>
      </c>
      <c r="CW13" s="19" t="n">
        <f aca="false">CV13+Funding!CW37+Debt!CW78+Inputs!$F$171*Time!CW35</f>
        <v>56.9573436016214</v>
      </c>
      <c r="CX13" s="19" t="n">
        <f aca="false">CW13+Funding!CX37+Debt!CX78+Inputs!$F$171*Time!CX35</f>
        <v>56.9573436016214</v>
      </c>
      <c r="CY13" s="19" t="n">
        <f aca="false">CX13+Funding!CY37+Debt!CY78+Inputs!$F$171*Time!CY35</f>
        <v>56.9573436016214</v>
      </c>
      <c r="CZ13" s="19" t="n">
        <f aca="false">CY13+Funding!CZ37+Debt!CZ78+Inputs!$F$171*Time!CZ35</f>
        <v>56.9573436016214</v>
      </c>
      <c r="DA13" s="19" t="n">
        <f aca="false">CZ13+Funding!DA37+Debt!DA78+Inputs!$F$171*Time!DA35</f>
        <v>56.9573436016214</v>
      </c>
      <c r="DB13" s="19" t="n">
        <f aca="false">DA13+Funding!DB37+Debt!DB78+Inputs!$F$171*Time!DB35</f>
        <v>56.9573436016214</v>
      </c>
    </row>
    <row r="14" customFormat="false" ht="15" hidden="false" customHeight="false" outlineLevel="0" collapsed="false">
      <c r="D14" s="0" t="s">
        <v>660</v>
      </c>
      <c r="E14" s="0" t="s">
        <v>44</v>
      </c>
      <c r="J14" s="19" t="n">
        <f aca="false">I14+Debt!J80</f>
        <v>0</v>
      </c>
      <c r="K14" s="19" t="n">
        <f aca="false">J14+Debt!K80</f>
        <v>0</v>
      </c>
      <c r="L14" s="19" t="n">
        <f aca="false">K14+Debt!L80</f>
        <v>0</v>
      </c>
      <c r="M14" s="19" t="n">
        <f aca="false">L14+Debt!M80</f>
        <v>0</v>
      </c>
      <c r="N14" s="19" t="n">
        <f aca="false">M14+Debt!N80</f>
        <v>0</v>
      </c>
      <c r="O14" s="19" t="n">
        <f aca="false">N14+Debt!O80</f>
        <v>0</v>
      </c>
      <c r="P14" s="19" t="n">
        <f aca="false">O14+Debt!P80</f>
        <v>0</v>
      </c>
      <c r="Q14" s="19" t="n">
        <f aca="false">P14+Debt!Q80</f>
        <v>0</v>
      </c>
      <c r="R14" s="19" t="n">
        <f aca="false">Q14+Debt!R80</f>
        <v>0</v>
      </c>
      <c r="S14" s="19" t="n">
        <f aca="false">R14+Debt!S80</f>
        <v>0</v>
      </c>
      <c r="T14" s="19" t="n">
        <f aca="false">S14+Debt!T80</f>
        <v>0</v>
      </c>
      <c r="U14" s="19" t="n">
        <f aca="false">T14+Debt!U80</f>
        <v>0</v>
      </c>
      <c r="V14" s="19" t="n">
        <f aca="false">U14+Debt!V80</f>
        <v>0</v>
      </c>
      <c r="W14" s="19" t="n">
        <f aca="false">V14+Debt!W80</f>
        <v>0</v>
      </c>
      <c r="X14" s="19" t="n">
        <f aca="false">W14+Debt!X80</f>
        <v>0</v>
      </c>
      <c r="Y14" s="19" t="n">
        <f aca="false">X14+Debt!Y80</f>
        <v>0</v>
      </c>
      <c r="Z14" s="19" t="n">
        <f aca="false">Y14+Debt!Z80</f>
        <v>0</v>
      </c>
      <c r="AA14" s="19" t="n">
        <f aca="false">Z14+Debt!AA80</f>
        <v>0</v>
      </c>
      <c r="AB14" s="19" t="n">
        <f aca="false">AA14+Debt!AB80</f>
        <v>0</v>
      </c>
      <c r="AC14" s="19" t="n">
        <f aca="false">AB14+Debt!AC80</f>
        <v>0</v>
      </c>
      <c r="AD14" s="19" t="n">
        <f aca="false">AC14+Debt!AD80</f>
        <v>0</v>
      </c>
      <c r="AE14" s="19" t="n">
        <f aca="false">AD14+Debt!AE80</f>
        <v>0</v>
      </c>
      <c r="AF14" s="19" t="n">
        <f aca="false">AE14+Debt!AF80</f>
        <v>0</v>
      </c>
      <c r="AG14" s="19" t="n">
        <f aca="false">AF14+Debt!AG80</f>
        <v>0</v>
      </c>
      <c r="AH14" s="19" t="n">
        <f aca="false">AG14+Debt!AH80</f>
        <v>0</v>
      </c>
      <c r="AI14" s="19" t="n">
        <f aca="false">AH14+Debt!AI80</f>
        <v>0</v>
      </c>
      <c r="AJ14" s="19" t="n">
        <f aca="false">AI14+Debt!AJ80</f>
        <v>0</v>
      </c>
      <c r="AK14" s="19" t="n">
        <f aca="false">AJ14+Debt!AK80</f>
        <v>0</v>
      </c>
      <c r="AL14" s="19" t="n">
        <f aca="false">AK14+Debt!AL80</f>
        <v>0</v>
      </c>
      <c r="AM14" s="19" t="n">
        <f aca="false">AL14+Debt!AM80</f>
        <v>0</v>
      </c>
      <c r="AN14" s="19" t="n">
        <f aca="false">AM14+Debt!AN80</f>
        <v>0</v>
      </c>
      <c r="AO14" s="19" t="n">
        <f aca="false">AN14+Debt!AO80</f>
        <v>0</v>
      </c>
      <c r="AP14" s="19" t="n">
        <f aca="false">AO14+Debt!AP80</f>
        <v>0</v>
      </c>
      <c r="AQ14" s="19" t="n">
        <f aca="false">AP14+Debt!AQ80</f>
        <v>0</v>
      </c>
      <c r="AR14" s="19" t="n">
        <f aca="false">AQ14+Debt!AR80</f>
        <v>0</v>
      </c>
      <c r="AS14" s="19" t="n">
        <f aca="false">AR14+Debt!AS80</f>
        <v>0</v>
      </c>
      <c r="AT14" s="19" t="n">
        <f aca="false">AS14+Debt!AT80</f>
        <v>0</v>
      </c>
      <c r="AU14" s="19" t="n">
        <f aca="false">AT14+Debt!AU80</f>
        <v>0</v>
      </c>
      <c r="AV14" s="19" t="n">
        <f aca="false">AU14+Debt!AV80</f>
        <v>0</v>
      </c>
      <c r="AW14" s="19" t="n">
        <f aca="false">AV14+Debt!AW80</f>
        <v>0</v>
      </c>
      <c r="AX14" s="19" t="n">
        <f aca="false">AW14+Debt!AX80</f>
        <v>0</v>
      </c>
      <c r="AY14" s="19" t="n">
        <f aca="false">AX14+Debt!AY80</f>
        <v>0</v>
      </c>
      <c r="AZ14" s="19" t="n">
        <f aca="false">AY14+Debt!AZ80</f>
        <v>0</v>
      </c>
      <c r="BA14" s="19" t="n">
        <f aca="false">AZ14+Debt!BA80</f>
        <v>0</v>
      </c>
      <c r="BB14" s="19" t="n">
        <f aca="false">BA14+Debt!BB80</f>
        <v>0</v>
      </c>
      <c r="BC14" s="19" t="n">
        <f aca="false">BB14+Debt!BC80</f>
        <v>0</v>
      </c>
      <c r="BD14" s="19" t="n">
        <f aca="false">BC14+Debt!BD80</f>
        <v>0</v>
      </c>
      <c r="BE14" s="19" t="n">
        <f aca="false">BD14+Debt!BE80</f>
        <v>0</v>
      </c>
      <c r="BF14" s="19" t="n">
        <f aca="false">BE14+Debt!BF80</f>
        <v>0</v>
      </c>
      <c r="BG14" s="19" t="n">
        <f aca="false">BF14+Debt!BG80</f>
        <v>0</v>
      </c>
      <c r="BH14" s="19" t="n">
        <f aca="false">BG14+Debt!BH80</f>
        <v>0</v>
      </c>
      <c r="BI14" s="19" t="n">
        <f aca="false">BH14+Debt!BI80</f>
        <v>0</v>
      </c>
      <c r="BJ14" s="19" t="n">
        <f aca="false">BI14+Debt!BJ80</f>
        <v>0</v>
      </c>
      <c r="BK14" s="19" t="n">
        <f aca="false">BJ14+Debt!BK80</f>
        <v>0</v>
      </c>
      <c r="BL14" s="19" t="n">
        <f aca="false">BK14+Debt!BL80</f>
        <v>0</v>
      </c>
      <c r="BM14" s="19" t="n">
        <f aca="false">BL14+Debt!BM80</f>
        <v>0</v>
      </c>
      <c r="BN14" s="19" t="n">
        <f aca="false">BM14+Debt!BN80</f>
        <v>0</v>
      </c>
      <c r="BO14" s="19" t="n">
        <f aca="false">BN14+Debt!BO80</f>
        <v>0</v>
      </c>
      <c r="BP14" s="19" t="n">
        <f aca="false">BO14+Debt!BP80</f>
        <v>0</v>
      </c>
      <c r="BQ14" s="19" t="n">
        <f aca="false">BP14+Debt!BQ80</f>
        <v>0</v>
      </c>
      <c r="BR14" s="19" t="n">
        <f aca="false">BQ14+Debt!BR80</f>
        <v>0</v>
      </c>
      <c r="BS14" s="19" t="n">
        <f aca="false">BR14+Debt!BS80</f>
        <v>0</v>
      </c>
      <c r="BT14" s="19" t="n">
        <f aca="false">BS14+Debt!BT80</f>
        <v>0</v>
      </c>
      <c r="BU14" s="19" t="n">
        <f aca="false">BT14+Debt!BU80</f>
        <v>0</v>
      </c>
      <c r="BV14" s="19" t="n">
        <f aca="false">BU14+Debt!BV80</f>
        <v>0</v>
      </c>
      <c r="BW14" s="19" t="n">
        <f aca="false">BV14+Debt!BW80</f>
        <v>0</v>
      </c>
      <c r="BX14" s="19" t="n">
        <f aca="false">BW14+Debt!BX80</f>
        <v>0</v>
      </c>
      <c r="BY14" s="19" t="n">
        <f aca="false">BX14+Debt!BY80</f>
        <v>0</v>
      </c>
      <c r="BZ14" s="19" t="n">
        <f aca="false">BY14+Debt!BZ80</f>
        <v>0</v>
      </c>
      <c r="CA14" s="19" t="n">
        <f aca="false">BZ14+Debt!CA80</f>
        <v>0</v>
      </c>
      <c r="CB14" s="19" t="n">
        <f aca="false">CA14+Debt!CB80</f>
        <v>0</v>
      </c>
      <c r="CC14" s="19" t="n">
        <f aca="false">CB14+Debt!CC80</f>
        <v>0</v>
      </c>
      <c r="CD14" s="19" t="n">
        <f aca="false">CC14+Debt!CD80</f>
        <v>0</v>
      </c>
      <c r="CE14" s="19" t="n">
        <f aca="false">CD14+Debt!CE80</f>
        <v>0</v>
      </c>
      <c r="CF14" s="19" t="n">
        <f aca="false">CE14+Debt!CF80</f>
        <v>0</v>
      </c>
      <c r="CG14" s="19" t="n">
        <f aca="false">CF14+Debt!CG80</f>
        <v>0</v>
      </c>
      <c r="CH14" s="19" t="n">
        <f aca="false">CG14+Debt!CH80</f>
        <v>0</v>
      </c>
      <c r="CI14" s="19" t="n">
        <f aca="false">CH14+Debt!CI80</f>
        <v>0</v>
      </c>
      <c r="CJ14" s="19" t="n">
        <f aca="false">CI14+Debt!CJ80</f>
        <v>0</v>
      </c>
      <c r="CK14" s="19" t="n">
        <f aca="false">CJ14+Debt!CK80</f>
        <v>0</v>
      </c>
      <c r="CL14" s="19" t="n">
        <f aca="false">CK14+Debt!CL80</f>
        <v>0</v>
      </c>
      <c r="CM14" s="19" t="n">
        <f aca="false">CL14+Debt!CM80</f>
        <v>0</v>
      </c>
      <c r="CN14" s="19" t="n">
        <f aca="false">CM14+Debt!CN80</f>
        <v>0</v>
      </c>
      <c r="CO14" s="19" t="n">
        <f aca="false">CN14+Debt!CO80</f>
        <v>0</v>
      </c>
      <c r="CP14" s="19" t="n">
        <f aca="false">CO14+Debt!CP80</f>
        <v>0</v>
      </c>
      <c r="CQ14" s="19" t="n">
        <f aca="false">CP14+Debt!CQ80</f>
        <v>0</v>
      </c>
      <c r="CR14" s="19" t="n">
        <f aca="false">CQ14+Debt!CR80</f>
        <v>0</v>
      </c>
      <c r="CS14" s="19" t="n">
        <f aca="false">CR14+Debt!CS80</f>
        <v>0</v>
      </c>
      <c r="CT14" s="19" t="n">
        <f aca="false">CS14+Debt!CT80</f>
        <v>0</v>
      </c>
      <c r="CU14" s="19" t="n">
        <f aca="false">CT14+Debt!CU80</f>
        <v>0</v>
      </c>
      <c r="CV14" s="19" t="n">
        <f aca="false">CU14+Debt!CV80</f>
        <v>0</v>
      </c>
      <c r="CW14" s="19" t="n">
        <f aca="false">CV14+Debt!CW80</f>
        <v>0</v>
      </c>
      <c r="CX14" s="19" t="n">
        <f aca="false">CW14+Debt!CX80</f>
        <v>0</v>
      </c>
      <c r="CY14" s="19" t="n">
        <f aca="false">CX14+Debt!CY80</f>
        <v>0</v>
      </c>
      <c r="CZ14" s="19" t="n">
        <f aca="false">CY14+Debt!CZ80</f>
        <v>0</v>
      </c>
      <c r="DA14" s="19" t="n">
        <f aca="false">CZ14+Debt!DA80</f>
        <v>0</v>
      </c>
      <c r="DB14" s="19" t="n">
        <f aca="false">DA14+Debt!DB80</f>
        <v>0</v>
      </c>
    </row>
    <row r="15" customFormat="false" ht="15" hidden="false" customHeight="false" outlineLevel="0" collapsed="false">
      <c r="D15" s="0" t="s">
        <v>661</v>
      </c>
      <c r="E15" s="0" t="s">
        <v>44</v>
      </c>
      <c r="J15" s="19" t="n">
        <f aca="false">I15+J9-Waterfall!J57</f>
        <v>0</v>
      </c>
      <c r="K15" s="19" t="n">
        <f aca="false">J15+K9-Waterfall!K57</f>
        <v>0</v>
      </c>
      <c r="L15" s="19" t="n">
        <f aca="false">K15+L9-Waterfall!L57</f>
        <v>0</v>
      </c>
      <c r="M15" s="19" t="n">
        <f aca="false">L15+M9-Waterfall!M57</f>
        <v>0</v>
      </c>
      <c r="N15" s="19" t="n">
        <f aca="false">M15+N9-Waterfall!N57</f>
        <v>0</v>
      </c>
      <c r="O15" s="19" t="n">
        <f aca="false">N15+O9-Waterfall!O57</f>
        <v>0</v>
      </c>
      <c r="P15" s="19" t="n">
        <f aca="false">O15+P9-Waterfall!P57</f>
        <v>0</v>
      </c>
      <c r="Q15" s="19" t="n">
        <f aca="false">P15+Q9-Waterfall!Q57</f>
        <v>0</v>
      </c>
      <c r="R15" s="19" t="n">
        <f aca="false">Q15+R9-Waterfall!R57</f>
        <v>0</v>
      </c>
      <c r="S15" s="19" t="n">
        <f aca="false">R15+S9-Waterfall!S57</f>
        <v>0</v>
      </c>
      <c r="T15" s="19" t="n">
        <f aca="false">S15+T9-Waterfall!T57</f>
        <v>0</v>
      </c>
      <c r="U15" s="19" t="n">
        <f aca="false">T15+U9-Waterfall!U57</f>
        <v>0</v>
      </c>
      <c r="V15" s="19" t="n">
        <f aca="false">U15+V9-Waterfall!V57</f>
        <v>0</v>
      </c>
      <c r="W15" s="19" t="n">
        <f aca="false">V15+W9-Waterfall!W57</f>
        <v>0</v>
      </c>
      <c r="X15" s="19" t="n">
        <f aca="false">W15+X9-Waterfall!X57</f>
        <v>0</v>
      </c>
      <c r="Y15" s="19" t="n">
        <f aca="false">X15+Y9-Waterfall!Y57</f>
        <v>0</v>
      </c>
      <c r="Z15" s="19" t="n">
        <f aca="false">Y15+Z9-Waterfall!Z57</f>
        <v>-25.7499004352242</v>
      </c>
      <c r="AA15" s="19" t="n">
        <f aca="false">Z15+AA9-Waterfall!AA57</f>
        <v>-77.3262125209264</v>
      </c>
      <c r="AB15" s="19" t="n">
        <f aca="false">AA15+AB9-Waterfall!AB57</f>
        <v>-123.497738155887</v>
      </c>
      <c r="AC15" s="19" t="n">
        <f aca="false">AB15+AC9-Waterfall!AC57</f>
        <v>-170.641103738684</v>
      </c>
      <c r="AD15" s="19" t="n">
        <f aca="false">AC15+AD9-Waterfall!AD57</f>
        <v>-213.951689977622</v>
      </c>
      <c r="AE15" s="19" t="n">
        <f aca="false">AD15+AE9-Waterfall!AE57</f>
        <v>-254.729843013065</v>
      </c>
      <c r="AF15" s="19" t="n">
        <f aca="false">AE15+AF9-Waterfall!AF57</f>
        <v>-296.337602093538</v>
      </c>
      <c r="AG15" s="19" t="n">
        <f aca="false">AF15+AG9-Waterfall!AG57</f>
        <v>-331.814818447365</v>
      </c>
      <c r="AH15" s="19" t="n">
        <f aca="false">AG15+AH9-Waterfall!AH57</f>
        <v>-365.274571249532</v>
      </c>
      <c r="AI15" s="19" t="n">
        <f aca="false">AH15+AI9-Waterfall!AI57</f>
        <v>-397.587915265571</v>
      </c>
      <c r="AJ15" s="19" t="n">
        <f aca="false">AI15+AJ9-Waterfall!AJ57</f>
        <v>-427.919374423135</v>
      </c>
      <c r="AK15" s="19" t="n">
        <f aca="false">AJ15+AK9-Waterfall!AK57</f>
        <v>-457.005901022172</v>
      </c>
      <c r="AL15" s="19" t="n">
        <f aca="false">AK15+AL9-Waterfall!AL57</f>
        <v>-484.076763058293</v>
      </c>
      <c r="AM15" s="19" t="n">
        <f aca="false">AL15+AM9-Waterfall!AM57</f>
        <v>-509.814718546382</v>
      </c>
      <c r="AN15" s="19" t="n">
        <f aca="false">AM15+AN9-Waterfall!AN57</f>
        <v>-533.291281869812</v>
      </c>
      <c r="AO15" s="19" t="n">
        <f aca="false">AN15+AO9-Waterfall!AO57</f>
        <v>-574.379147971099</v>
      </c>
      <c r="AP15" s="19" t="n">
        <f aca="false">AO15+AP9-Waterfall!AP57</f>
        <v>-593.48069644204</v>
      </c>
      <c r="AQ15" s="19" t="n">
        <f aca="false">AP15+AQ9-Waterfall!AQ57</f>
        <v>-610.345945687866</v>
      </c>
      <c r="AR15" s="19" t="n">
        <f aca="false">AQ15+AR9-Waterfall!AR57</f>
        <v>-624.736316496518</v>
      </c>
      <c r="AS15" s="19" t="n">
        <f aca="false">AR15+AS9-Waterfall!AS57</f>
        <v>-636.919217204283</v>
      </c>
      <c r="AT15" s="19" t="n">
        <f aca="false">AS15+AT9-Waterfall!AT57</f>
        <v>-646.29201898466</v>
      </c>
      <c r="AU15" s="19" t="n">
        <f aca="false">AT15+AU9-Waterfall!AU57</f>
        <v>-653.026443169845</v>
      </c>
      <c r="AV15" s="19" t="n">
        <f aca="false">AU15+AV9-Waterfall!AV57</f>
        <v>-656.611329726763</v>
      </c>
      <c r="AW15" s="19" t="n">
        <f aca="false">AV15+AW9-Waterfall!AW57</f>
        <v>-718.864302328552</v>
      </c>
      <c r="AX15" s="19" t="n">
        <f aca="false">AW15+AX9-Waterfall!AX57</f>
        <v>-716.936753106621</v>
      </c>
      <c r="AY15" s="19" t="n">
        <f aca="false">AX15+AY9-Waterfall!AY57</f>
        <v>-711.329248451779</v>
      </c>
      <c r="AZ15" s="19" t="n">
        <f aca="false">AY15+AZ9-Waterfall!AZ57</f>
        <v>-703.02604933227</v>
      </c>
      <c r="BA15" s="19" t="n">
        <f aca="false">AZ15+BA9-Waterfall!BA57</f>
        <v>-690.887587540614</v>
      </c>
      <c r="BB15" s="19" t="n">
        <f aca="false">BA15+BB9-Waterfall!BB57</f>
        <v>-675.887395646836</v>
      </c>
      <c r="BC15" s="19" t="n">
        <f aca="false">BB15+BC9-Waterfall!BC57</f>
        <v>-706.373246134837</v>
      </c>
      <c r="BD15" s="19" t="n">
        <f aca="false">BC15+BD9-Waterfall!BD57</f>
        <v>-683.657101356994</v>
      </c>
      <c r="BE15" s="19" t="n">
        <f aca="false">BD15+BE9-Waterfall!BE57</f>
        <v>-679.181699834792</v>
      </c>
      <c r="BF15" s="19" t="n">
        <f aca="false">BE15+BF9-Waterfall!BF57</f>
        <v>-647.27715064317</v>
      </c>
      <c r="BG15" s="19" t="n">
        <f aca="false">BF15+BG9-Waterfall!BG57</f>
        <v>-609.281402348461</v>
      </c>
      <c r="BH15" s="19" t="n">
        <f aca="false">BG15+BH9-Waterfall!BH57</f>
        <v>-566.689552602691</v>
      </c>
      <c r="BI15" s="19" t="n">
        <f aca="false">BH15+BI9-Waterfall!BI57</f>
        <v>-517.457443596094</v>
      </c>
      <c r="BJ15" s="19" t="n">
        <f aca="false">BI15+BJ9-Waterfall!BJ57</f>
        <v>-463.48841849636</v>
      </c>
      <c r="BK15" s="19" t="n">
        <f aca="false">BJ15+BK9-Waterfall!BK57</f>
        <v>-424.388042168397</v>
      </c>
      <c r="BL15" s="19" t="n">
        <f aca="false">BK15+BL9-Waterfall!BL57</f>
        <v>-420.411969653899</v>
      </c>
      <c r="BM15" s="19" t="n">
        <f aca="false">BL15+BM9-Waterfall!BM57</f>
        <v>-415.528409392135</v>
      </c>
      <c r="BN15" s="19" t="n">
        <f aca="false">BM15+BN9-Waterfall!BN57</f>
        <v>-414.345286093061</v>
      </c>
      <c r="BO15" s="19" t="n">
        <f aca="false">BN15+BO9-Waterfall!BO57</f>
        <v>-396.106060072941</v>
      </c>
      <c r="BP15" s="19" t="n">
        <f aca="false">BO15+BP9-Waterfall!BP57</f>
        <v>-375.007158035348</v>
      </c>
      <c r="BQ15" s="19" t="n">
        <f aca="false">BP15+BQ9-Waterfall!BQ57</f>
        <v>-353.250944527218</v>
      </c>
      <c r="BR15" s="19" t="n">
        <f aca="false">BQ15+BR9-Waterfall!BR57</f>
        <v>-328.45567798305</v>
      </c>
      <c r="BS15" s="19" t="n">
        <f aca="false">BR15+BS9-Waterfall!BS57</f>
        <v>-302.922508334388</v>
      </c>
      <c r="BT15" s="19" t="n">
        <f aca="false">BS15+BT9-Waterfall!BT57</f>
        <v>-267.226016541693</v>
      </c>
      <c r="BU15" s="19" t="n">
        <f aca="false">BT15+BU9-Waterfall!BU57</f>
        <v>-358.01947094469</v>
      </c>
      <c r="BV15" s="19" t="n">
        <f aca="false">BU15+BV9-Waterfall!BV57</f>
        <v>-333.658715834389</v>
      </c>
      <c r="BW15" s="19" t="n">
        <f aca="false">BV15+BW9-Waterfall!BW57</f>
        <v>-307.773451492527</v>
      </c>
      <c r="BX15" s="19" t="n">
        <f aca="false">BW15+BX9-Waterfall!BX57</f>
        <v>-278.563132579652</v>
      </c>
      <c r="BY15" s="19" t="n">
        <f aca="false">BX15+BY9-Waterfall!BY57</f>
        <v>-247.83660262646</v>
      </c>
      <c r="BZ15" s="19" t="n">
        <f aca="false">BY15+BZ9-Waterfall!BZ57</f>
        <v>-217.75849304119</v>
      </c>
      <c r="CA15" s="19" t="n">
        <f aca="false">BZ15+CA9-Waterfall!CA57</f>
        <v>-175.922897759209</v>
      </c>
      <c r="CB15" s="19" t="n">
        <f aca="false">CA15+CB9-Waterfall!CB57</f>
        <v>-130.202571766979</v>
      </c>
      <c r="CC15" s="19" t="n">
        <f aca="false">CB15+CC9-Waterfall!CC57</f>
        <v>-82.8588811782582</v>
      </c>
      <c r="CD15" s="19" t="n">
        <f aca="false">CC15+CD9-Waterfall!CD57</f>
        <v>-33.6412294862918</v>
      </c>
      <c r="CE15" s="19" t="n">
        <f aca="false">CD15+CE9-Waterfall!CE57</f>
        <v>16.4108674312629</v>
      </c>
      <c r="CF15" s="19" t="n">
        <f aca="false">CE15+CF9-Waterfall!CF57</f>
        <v>68.4911507940365</v>
      </c>
      <c r="CG15" s="19" t="n">
        <f aca="false">CF15+CG9-Waterfall!CG57</f>
        <v>0.0908822776285092</v>
      </c>
      <c r="CH15" s="19" t="n">
        <f aca="false">CG15+CH9-Waterfall!CH57</f>
        <v>11.8356916691983</v>
      </c>
      <c r="CI15" s="19" t="n">
        <f aca="false">CH15+CI9-Waterfall!CI57</f>
        <v>24.9208311115648</v>
      </c>
      <c r="CJ15" s="19" t="n">
        <f aca="false">CI15+CJ9-Waterfall!CJ57</f>
        <v>38.5263434905727</v>
      </c>
      <c r="CK15" s="19" t="n">
        <f aca="false">CJ15+CK9-Waterfall!CK57</f>
        <v>16.8496426668026</v>
      </c>
      <c r="CL15" s="19" t="n">
        <f aca="false">CK15+CL9-Waterfall!CL57</f>
        <v>28.0692394146854</v>
      </c>
      <c r="CM15" s="19" t="n">
        <f aca="false">CL15+CM9-Waterfall!CM57</f>
        <v>40.8314969779505</v>
      </c>
      <c r="CN15" s="19" t="n">
        <f aca="false">CM15+CN9-Waterfall!CN57</f>
        <v>54.1636622208493</v>
      </c>
      <c r="CO15" s="19" t="n">
        <f aca="false">CN15+CO9-Waterfall!CO57</f>
        <v>69.102459029369</v>
      </c>
      <c r="CP15" s="19" t="n">
        <f aca="false">CO15+CP9-Waterfall!CP57</f>
        <v>-56.9573436016231</v>
      </c>
      <c r="CQ15" s="19" t="n">
        <f aca="false">CP15+CQ9-Waterfall!CQ57</f>
        <v>-56.9573436016231</v>
      </c>
      <c r="CR15" s="19" t="n">
        <f aca="false">CQ15+CR9-Waterfall!CR57</f>
        <v>-56.9573436016232</v>
      </c>
      <c r="CS15" s="19" t="n">
        <f aca="false">CR15+CS9-Waterfall!CS57</f>
        <v>-56.9573436016232</v>
      </c>
      <c r="CT15" s="19" t="n">
        <f aca="false">CS15+CT9-Waterfall!CT57</f>
        <v>-56.9573436016233</v>
      </c>
      <c r="CU15" s="19" t="n">
        <f aca="false">CT15+CU9-Waterfall!CU57</f>
        <v>-56.9573436016233</v>
      </c>
      <c r="CV15" s="19" t="n">
        <f aca="false">CU15+CV9-Waterfall!CV57</f>
        <v>-56.9573436016234</v>
      </c>
      <c r="CW15" s="19" t="n">
        <f aca="false">CV15+CW9-Waterfall!CW57</f>
        <v>-56.9573436016235</v>
      </c>
      <c r="CX15" s="19" t="n">
        <f aca="false">CW15+CX9-Waterfall!CX57</f>
        <v>-56.9573436016235</v>
      </c>
      <c r="CY15" s="19" t="n">
        <f aca="false">CX15+CY9-Waterfall!CY57</f>
        <v>-56.9573436016236</v>
      </c>
      <c r="CZ15" s="19" t="n">
        <f aca="false">CY15+CZ9-Waterfall!CZ57</f>
        <v>-56.9573436016236</v>
      </c>
      <c r="DA15" s="19" t="n">
        <f aca="false">CZ15+DA9-Waterfall!DA57</f>
        <v>-56.9573436016237</v>
      </c>
      <c r="DB15" s="19" t="n">
        <f aca="false">DA15+DB9-Waterfall!DB57</f>
        <v>-56.9573436016237</v>
      </c>
    </row>
    <row r="16" customFormat="false" ht="15" hidden="false" customHeight="false" outlineLevel="0" collapsed="false">
      <c r="D16" s="0" t="s">
        <v>662</v>
      </c>
      <c r="E16" s="0" t="s">
        <v>44</v>
      </c>
      <c r="J16" s="19" t="n">
        <f aca="false">J13+J14+J15</f>
        <v>11.0121811884944</v>
      </c>
      <c r="K16" s="19" t="n">
        <f aca="false">K13+K14+K15</f>
        <v>15.5071444776851</v>
      </c>
      <c r="L16" s="19" t="n">
        <f aca="false">L13+L14+L15</f>
        <v>24.7249968697705</v>
      </c>
      <c r="M16" s="19" t="n">
        <f aca="false">M13+M14+M15</f>
        <v>39.4360397194042</v>
      </c>
      <c r="N16" s="19" t="n">
        <f aca="false">N13+N14+N15</f>
        <v>56.9573436016214</v>
      </c>
      <c r="O16" s="19" t="n">
        <f aca="false">O13+O14+O15</f>
        <v>56.9573436016214</v>
      </c>
      <c r="P16" s="19" t="n">
        <f aca="false">P13+P14+P15</f>
        <v>56.9573436016214</v>
      </c>
      <c r="Q16" s="19" t="n">
        <f aca="false">Q13+Q14+Q15</f>
        <v>56.9573436016214</v>
      </c>
      <c r="R16" s="19" t="n">
        <f aca="false">R13+R14+R15</f>
        <v>56.9573436016214</v>
      </c>
      <c r="S16" s="19" t="n">
        <f aca="false">S13+S14+S15</f>
        <v>56.9573436016214</v>
      </c>
      <c r="T16" s="19" t="n">
        <f aca="false">T13+T14+T15</f>
        <v>56.9573436016214</v>
      </c>
      <c r="U16" s="19" t="n">
        <f aca="false">U13+U14+U15</f>
        <v>56.9573436016214</v>
      </c>
      <c r="V16" s="19" t="n">
        <f aca="false">V13+V14+V15</f>
        <v>56.9573436016214</v>
      </c>
      <c r="W16" s="19" t="n">
        <f aca="false">W13+W14+W15</f>
        <v>56.9573436016214</v>
      </c>
      <c r="X16" s="19" t="n">
        <f aca="false">X13+X14+X15</f>
        <v>56.9573436016214</v>
      </c>
      <c r="Y16" s="19" t="n">
        <f aca="false">Y13+Y14+Y15</f>
        <v>56.9573436016214</v>
      </c>
      <c r="Z16" s="19" t="n">
        <f aca="false">Z13+Z14+Z15</f>
        <v>31.2074431663972</v>
      </c>
      <c r="AA16" s="19" t="n">
        <f aca="false">AA13+AA14+AA15</f>
        <v>-20.368868919305</v>
      </c>
      <c r="AB16" s="19" t="n">
        <f aca="false">AB13+AB14+AB15</f>
        <v>-66.5403945542655</v>
      </c>
      <c r="AC16" s="19" t="n">
        <f aca="false">AC13+AC14+AC15</f>
        <v>-113.683760137063</v>
      </c>
      <c r="AD16" s="19" t="n">
        <f aca="false">AD13+AD14+AD15</f>
        <v>-156.994346376001</v>
      </c>
      <c r="AE16" s="19" t="n">
        <f aca="false">AE13+AE14+AE15</f>
        <v>-197.772499411444</v>
      </c>
      <c r="AF16" s="19" t="n">
        <f aca="false">AF13+AF14+AF15</f>
        <v>-239.380258491916</v>
      </c>
      <c r="AG16" s="19" t="n">
        <f aca="false">AG13+AG14+AG15</f>
        <v>-274.857474845743</v>
      </c>
      <c r="AH16" s="19" t="n">
        <f aca="false">AH13+AH14+AH15</f>
        <v>-308.317227647911</v>
      </c>
      <c r="AI16" s="19" t="n">
        <f aca="false">AI13+AI14+AI15</f>
        <v>-340.630571663949</v>
      </c>
      <c r="AJ16" s="19" t="n">
        <f aca="false">AJ13+AJ14+AJ15</f>
        <v>-370.962030821513</v>
      </c>
      <c r="AK16" s="19" t="n">
        <f aca="false">AK13+AK14+AK15</f>
        <v>-400.048557420551</v>
      </c>
      <c r="AL16" s="19" t="n">
        <f aca="false">AL13+AL14+AL15</f>
        <v>-427.119419456672</v>
      </c>
      <c r="AM16" s="19" t="n">
        <f aca="false">AM13+AM14+AM15</f>
        <v>-452.85737494476</v>
      </c>
      <c r="AN16" s="19" t="n">
        <f aca="false">AN13+AN14+AN15</f>
        <v>-476.333938268191</v>
      </c>
      <c r="AO16" s="19" t="n">
        <f aca="false">AO13+AO14+AO15</f>
        <v>-517.421804369478</v>
      </c>
      <c r="AP16" s="19" t="n">
        <f aca="false">AP13+AP14+AP15</f>
        <v>-536.523352840419</v>
      </c>
      <c r="AQ16" s="19" t="n">
        <f aca="false">AQ13+AQ14+AQ15</f>
        <v>-553.388602086244</v>
      </c>
      <c r="AR16" s="19" t="n">
        <f aca="false">AR13+AR14+AR15</f>
        <v>-567.778972894897</v>
      </c>
      <c r="AS16" s="19" t="n">
        <f aca="false">AS13+AS14+AS15</f>
        <v>-579.961873602661</v>
      </c>
      <c r="AT16" s="19" t="n">
        <f aca="false">AT13+AT14+AT15</f>
        <v>-589.334675383039</v>
      </c>
      <c r="AU16" s="19" t="n">
        <f aca="false">AU13+AU14+AU15</f>
        <v>-596.069099568223</v>
      </c>
      <c r="AV16" s="19" t="n">
        <f aca="false">AV13+AV14+AV15</f>
        <v>-599.653986125142</v>
      </c>
      <c r="AW16" s="19" t="n">
        <f aca="false">AW13+AW14+AW15</f>
        <v>-661.90695872693</v>
      </c>
      <c r="AX16" s="19" t="n">
        <f aca="false">AX13+AX14+AX15</f>
        <v>-659.979409505</v>
      </c>
      <c r="AY16" s="19" t="n">
        <f aca="false">AY13+AY14+AY15</f>
        <v>-654.371904850157</v>
      </c>
      <c r="AZ16" s="19" t="n">
        <f aca="false">AZ13+AZ14+AZ15</f>
        <v>-646.068705730649</v>
      </c>
      <c r="BA16" s="19" t="n">
        <f aca="false">BA13+BA14+BA15</f>
        <v>-633.930243938992</v>
      </c>
      <c r="BB16" s="19" t="n">
        <f aca="false">BB13+BB14+BB15</f>
        <v>-618.930052045215</v>
      </c>
      <c r="BC16" s="19" t="n">
        <f aca="false">BC13+BC14+BC15</f>
        <v>-649.415902533215</v>
      </c>
      <c r="BD16" s="19" t="n">
        <f aca="false">BD13+BD14+BD15</f>
        <v>-626.699757755373</v>
      </c>
      <c r="BE16" s="19" t="n">
        <f aca="false">BE13+BE14+BE15</f>
        <v>-622.22435623317</v>
      </c>
      <c r="BF16" s="19" t="n">
        <f aca="false">BF13+BF14+BF15</f>
        <v>-590.319807041549</v>
      </c>
      <c r="BG16" s="19" t="n">
        <f aca="false">BG13+BG14+BG15</f>
        <v>-552.32405874684</v>
      </c>
      <c r="BH16" s="19" t="n">
        <f aca="false">BH13+BH14+BH15</f>
        <v>-509.732209001069</v>
      </c>
      <c r="BI16" s="19" t="n">
        <f aca="false">BI13+BI14+BI15</f>
        <v>-460.500099994473</v>
      </c>
      <c r="BJ16" s="19" t="n">
        <f aca="false">BJ13+BJ14+BJ15</f>
        <v>-406.531074894739</v>
      </c>
      <c r="BK16" s="19" t="n">
        <f aca="false">BK13+BK14+BK15</f>
        <v>-367.430698566775</v>
      </c>
      <c r="BL16" s="19" t="n">
        <f aca="false">BL13+BL14+BL15</f>
        <v>-363.454626052277</v>
      </c>
      <c r="BM16" s="19" t="n">
        <f aca="false">BM13+BM14+BM15</f>
        <v>-358.571065790514</v>
      </c>
      <c r="BN16" s="19" t="n">
        <f aca="false">BN13+BN14+BN15</f>
        <v>-357.38794249144</v>
      </c>
      <c r="BO16" s="19" t="n">
        <f aca="false">BO13+BO14+BO15</f>
        <v>-339.148716471319</v>
      </c>
      <c r="BP16" s="19" t="n">
        <f aca="false">BP13+BP14+BP15</f>
        <v>-318.049814433727</v>
      </c>
      <c r="BQ16" s="19" t="n">
        <f aca="false">BQ13+BQ14+BQ15</f>
        <v>-296.293600925597</v>
      </c>
      <c r="BR16" s="19" t="n">
        <f aca="false">BR13+BR14+BR15</f>
        <v>-271.498334381428</v>
      </c>
      <c r="BS16" s="19" t="n">
        <f aca="false">BS13+BS14+BS15</f>
        <v>-245.965164732767</v>
      </c>
      <c r="BT16" s="19" t="n">
        <f aca="false">BT13+BT14+BT15</f>
        <v>-210.268672940071</v>
      </c>
      <c r="BU16" s="19" t="n">
        <f aca="false">BU13+BU14+BU15</f>
        <v>-301.062127343069</v>
      </c>
      <c r="BV16" s="19" t="n">
        <f aca="false">BV13+BV14+BV15</f>
        <v>-276.701372232768</v>
      </c>
      <c r="BW16" s="19" t="n">
        <f aca="false">BW13+BW14+BW15</f>
        <v>-250.816107890905</v>
      </c>
      <c r="BX16" s="19" t="n">
        <f aca="false">BX13+BX14+BX15</f>
        <v>-221.60578897803</v>
      </c>
      <c r="BY16" s="19" t="n">
        <f aca="false">BY13+BY14+BY15</f>
        <v>-190.879259024839</v>
      </c>
      <c r="BZ16" s="19" t="n">
        <f aca="false">BZ13+BZ14+BZ15</f>
        <v>-160.801149439568</v>
      </c>
      <c r="CA16" s="19" t="n">
        <f aca="false">CA13+CA14+CA15</f>
        <v>-118.965554157587</v>
      </c>
      <c r="CB16" s="19" t="n">
        <f aca="false">CB13+CB14+CB15</f>
        <v>-73.2452281653571</v>
      </c>
      <c r="CC16" s="19" t="n">
        <f aca="false">CC13+CC14+CC15</f>
        <v>-25.9015375766369</v>
      </c>
      <c r="CD16" s="19" t="n">
        <f aca="false">CD13+CD14+CD15</f>
        <v>23.3161141153296</v>
      </c>
      <c r="CE16" s="19" t="n">
        <f aca="false">CE13+CE14+CE15</f>
        <v>73.3682110328843</v>
      </c>
      <c r="CF16" s="19" t="n">
        <f aca="false">CF13+CF14+CF15</f>
        <v>125.448494395658</v>
      </c>
      <c r="CG16" s="19" t="n">
        <f aca="false">CG13+CG14+CG15</f>
        <v>57.0482258792499</v>
      </c>
      <c r="CH16" s="19" t="n">
        <f aca="false">CH13+CH14+CH15</f>
        <v>68.7930352708197</v>
      </c>
      <c r="CI16" s="19" t="n">
        <f aca="false">CI13+CI14+CI15</f>
        <v>81.8781747131862</v>
      </c>
      <c r="CJ16" s="19" t="n">
        <f aca="false">CJ13+CJ14+CJ15</f>
        <v>95.4836870921941</v>
      </c>
      <c r="CK16" s="19" t="n">
        <f aca="false">CK13+CK14+CK15</f>
        <v>73.806986268424</v>
      </c>
      <c r="CL16" s="19" t="n">
        <f aca="false">CL13+CL14+CL15</f>
        <v>85.0265830163068</v>
      </c>
      <c r="CM16" s="19" t="n">
        <f aca="false">CM13+CM14+CM15</f>
        <v>97.7888405795718</v>
      </c>
      <c r="CN16" s="19" t="n">
        <f aca="false">CN13+CN14+CN15</f>
        <v>111.121005822471</v>
      </c>
      <c r="CO16" s="19" t="n">
        <f aca="false">CO13+CO14+CO15</f>
        <v>126.05980263099</v>
      </c>
      <c r="CP16" s="19" t="n">
        <f aca="false">CP13+CP14+CP15</f>
        <v>-1.68398628375144E-012</v>
      </c>
      <c r="CQ16" s="19" t="n">
        <f aca="false">CQ13+CQ14+CQ15</f>
        <v>-1.74082970261225E-012</v>
      </c>
      <c r="CR16" s="19" t="n">
        <f aca="false">CR13+CR14+CR15</f>
        <v>-1.79767312147305E-012</v>
      </c>
      <c r="CS16" s="19" t="n">
        <f aca="false">CS13+CS14+CS15</f>
        <v>-1.85451654033386E-012</v>
      </c>
      <c r="CT16" s="19" t="n">
        <f aca="false">CT13+CT14+CT15</f>
        <v>-1.91135995919467E-012</v>
      </c>
      <c r="CU16" s="19" t="n">
        <f aca="false">CU13+CU14+CU15</f>
        <v>-1.96820337805548E-012</v>
      </c>
      <c r="CV16" s="19" t="n">
        <f aca="false">CV13+CV14+CV15</f>
        <v>-2.02504679691629E-012</v>
      </c>
      <c r="CW16" s="19" t="n">
        <f aca="false">CW13+CW14+CW15</f>
        <v>-2.08189021577709E-012</v>
      </c>
      <c r="CX16" s="19" t="n">
        <f aca="false">CX13+CX14+CX15</f>
        <v>-2.1387336346379E-012</v>
      </c>
      <c r="CY16" s="19" t="n">
        <f aca="false">CY13+CY14+CY15</f>
        <v>-2.19557705349871E-012</v>
      </c>
      <c r="CZ16" s="19" t="n">
        <f aca="false">CZ13+CZ14+CZ15</f>
        <v>-2.25242047235952E-012</v>
      </c>
      <c r="DA16" s="19" t="n">
        <f aca="false">DA13+DA14+DA15</f>
        <v>-2.30926389122033E-012</v>
      </c>
      <c r="DB16" s="19" t="n">
        <f aca="false">DB13+DB14+DB15</f>
        <v>-2.36610731008113E-012</v>
      </c>
    </row>
    <row r="17" customFormat="false" ht="15" hidden="false" customHeight="false" outlineLevel="0" collapsed="false">
      <c r="D17" s="0" t="s">
        <v>663</v>
      </c>
      <c r="E17" s="0" t="s">
        <v>44</v>
      </c>
      <c r="J17" s="19" t="n">
        <f aca="false">ROUND(J11-J12-J16,6)</f>
        <v>0</v>
      </c>
      <c r="K17" s="19" t="n">
        <f aca="false">ROUND(K11-K12-K16,6)</f>
        <v>0</v>
      </c>
      <c r="L17" s="19" t="n">
        <f aca="false">ROUND(L11-L12-L16,6)</f>
        <v>0</v>
      </c>
      <c r="M17" s="19" t="n">
        <f aca="false">ROUND(M11-M12-M16,6)</f>
        <v>0</v>
      </c>
      <c r="N17" s="19" t="n">
        <f aca="false">ROUND(N11-N12-N16,6)</f>
        <v>0</v>
      </c>
      <c r="O17" s="19" t="n">
        <f aca="false">ROUND(O11-O12-O16,6)</f>
        <v>0</v>
      </c>
      <c r="P17" s="19" t="n">
        <f aca="false">ROUND(P11-P12-P16,6)</f>
        <v>0</v>
      </c>
      <c r="Q17" s="19" t="n">
        <f aca="false">ROUND(Q11-Q12-Q16,6)</f>
        <v>0</v>
      </c>
      <c r="R17" s="19" t="n">
        <f aca="false">ROUND(R11-R12-R16,6)</f>
        <v>0</v>
      </c>
      <c r="S17" s="19" t="n">
        <f aca="false">ROUND(S11-S12-S16,6)</f>
        <v>-0</v>
      </c>
      <c r="T17" s="19" t="n">
        <f aca="false">ROUND(T11-T12-T16,6)</f>
        <v>0</v>
      </c>
      <c r="U17" s="19" t="n">
        <f aca="false">ROUND(U11-U12-U16,6)</f>
        <v>-0</v>
      </c>
      <c r="V17" s="19" t="n">
        <f aca="false">ROUND(V11-V12-V16,6)</f>
        <v>0</v>
      </c>
      <c r="W17" s="19" t="n">
        <f aca="false">ROUND(W11-W12-W16,6)</f>
        <v>0</v>
      </c>
      <c r="X17" s="19" t="n">
        <f aca="false">ROUND(X11-X12-X16,6)</f>
        <v>0</v>
      </c>
      <c r="Y17" s="19" t="n">
        <f aca="false">ROUND(Y11-Y12-Y16,6)</f>
        <v>0</v>
      </c>
      <c r="Z17" s="19" t="n">
        <f aca="false">ROUND(Z11-Z12-Z16,6)</f>
        <v>0</v>
      </c>
      <c r="AA17" s="19" t="n">
        <f aca="false">ROUND(AA11-AA12-AA16,6)</f>
        <v>0</v>
      </c>
      <c r="AB17" s="19" t="n">
        <f aca="false">ROUND(AB11-AB12-AB16,6)</f>
        <v>0</v>
      </c>
      <c r="AC17" s="19" t="n">
        <f aca="false">ROUND(AC11-AC12-AC16,6)</f>
        <v>0</v>
      </c>
      <c r="AD17" s="19" t="n">
        <f aca="false">ROUND(AD11-AD12-AD16,6)</f>
        <v>0</v>
      </c>
      <c r="AE17" s="19" t="n">
        <f aca="false">ROUND(AE11-AE12-AE16,6)</f>
        <v>0</v>
      </c>
      <c r="AF17" s="19" t="n">
        <f aca="false">ROUND(AF11-AF12-AF16,6)</f>
        <v>0</v>
      </c>
      <c r="AG17" s="19" t="n">
        <f aca="false">ROUND(AG11-AG12-AG16,6)</f>
        <v>0</v>
      </c>
      <c r="AH17" s="19" t="n">
        <f aca="false">ROUND(AH11-AH12-AH16,6)</f>
        <v>0</v>
      </c>
      <c r="AI17" s="19" t="n">
        <f aca="false">ROUND(AI11-AI12-AI16,6)</f>
        <v>0</v>
      </c>
      <c r="AJ17" s="19" t="n">
        <f aca="false">ROUND(AJ11-AJ12-AJ16,6)</f>
        <v>0</v>
      </c>
      <c r="AK17" s="19" t="n">
        <f aca="false">ROUND(AK11-AK12-AK16,6)</f>
        <v>0</v>
      </c>
      <c r="AL17" s="19" t="n">
        <f aca="false">ROUND(AL11-AL12-AL16,6)</f>
        <v>0</v>
      </c>
      <c r="AM17" s="19" t="n">
        <f aca="false">ROUND(AM11-AM12-AM16,6)</f>
        <v>0</v>
      </c>
      <c r="AN17" s="19" t="n">
        <f aca="false">ROUND(AN11-AN12-AN16,6)</f>
        <v>0</v>
      </c>
      <c r="AO17" s="19" t="n">
        <f aca="false">ROUND(AO11-AO12-AO16,6)</f>
        <v>0</v>
      </c>
      <c r="AP17" s="19" t="n">
        <f aca="false">ROUND(AP11-AP12-AP16,6)</f>
        <v>0</v>
      </c>
      <c r="AQ17" s="19" t="n">
        <f aca="false">ROUND(AQ11-AQ12-AQ16,6)</f>
        <v>0</v>
      </c>
      <c r="AR17" s="19" t="n">
        <f aca="false">ROUND(AR11-AR12-AR16,6)</f>
        <v>0</v>
      </c>
      <c r="AS17" s="19" t="n">
        <f aca="false">ROUND(AS11-AS12-AS16,6)</f>
        <v>0</v>
      </c>
      <c r="AT17" s="19" t="n">
        <f aca="false">ROUND(AT11-AT12-AT16,6)</f>
        <v>0</v>
      </c>
      <c r="AU17" s="19" t="n">
        <f aca="false">ROUND(AU11-AU12-AU16,6)</f>
        <v>0</v>
      </c>
      <c r="AV17" s="19" t="n">
        <f aca="false">ROUND(AV11-AV12-AV16,6)</f>
        <v>0</v>
      </c>
      <c r="AW17" s="19" t="n">
        <f aca="false">ROUND(AW11-AW12-AW16,6)</f>
        <v>0</v>
      </c>
      <c r="AX17" s="19" t="n">
        <f aca="false">ROUND(AX11-AX12-AX16,6)</f>
        <v>0</v>
      </c>
      <c r="AY17" s="19" t="n">
        <f aca="false">ROUND(AY11-AY12-AY16,6)</f>
        <v>0</v>
      </c>
      <c r="AZ17" s="19" t="n">
        <f aca="false">ROUND(AZ11-AZ12-AZ16,6)</f>
        <v>0</v>
      </c>
      <c r="BA17" s="19" t="n">
        <f aca="false">ROUND(BA11-BA12-BA16,6)</f>
        <v>0</v>
      </c>
      <c r="BB17" s="19" t="n">
        <f aca="false">ROUND(BB11-BB12-BB16,6)</f>
        <v>0</v>
      </c>
      <c r="BC17" s="19" t="n">
        <f aca="false">ROUND(BC11-BC12-BC16,6)</f>
        <v>0</v>
      </c>
      <c r="BD17" s="19" t="n">
        <f aca="false">ROUND(BD11-BD12-BD16,6)</f>
        <v>0</v>
      </c>
      <c r="BE17" s="19" t="n">
        <f aca="false">ROUND(BE11-BE12-BE16,6)</f>
        <v>0</v>
      </c>
      <c r="BF17" s="19" t="n">
        <f aca="false">ROUND(BF11-BF12-BF16,6)</f>
        <v>0</v>
      </c>
      <c r="BG17" s="19" t="n">
        <f aca="false">ROUND(BG11-BG12-BG16,6)</f>
        <v>0</v>
      </c>
      <c r="BH17" s="19" t="n">
        <f aca="false">ROUND(BH11-BH12-BH16,6)</f>
        <v>0</v>
      </c>
      <c r="BI17" s="19" t="n">
        <f aca="false">ROUND(BI11-BI12-BI16,6)</f>
        <v>0</v>
      </c>
      <c r="BJ17" s="19" t="n">
        <f aca="false">ROUND(BJ11-BJ12-BJ16,6)</f>
        <v>0</v>
      </c>
      <c r="BK17" s="19" t="n">
        <f aca="false">ROUND(BK11-BK12-BK16,6)</f>
        <v>0</v>
      </c>
      <c r="BL17" s="19" t="n">
        <f aca="false">ROUND(BL11-BL12-BL16,6)</f>
        <v>0</v>
      </c>
      <c r="BM17" s="19" t="n">
        <f aca="false">ROUND(BM11-BM12-BM16,6)</f>
        <v>0</v>
      </c>
      <c r="BN17" s="19" t="n">
        <f aca="false">ROUND(BN11-BN12-BN16,6)</f>
        <v>0</v>
      </c>
      <c r="BO17" s="19" t="n">
        <f aca="false">ROUND(BO11-BO12-BO16,6)</f>
        <v>0</v>
      </c>
      <c r="BP17" s="19" t="n">
        <f aca="false">ROUND(BP11-BP12-BP16,6)</f>
        <v>0</v>
      </c>
      <c r="BQ17" s="19" t="n">
        <f aca="false">ROUND(BQ11-BQ12-BQ16,6)</f>
        <v>0</v>
      </c>
      <c r="BR17" s="19" t="n">
        <f aca="false">ROUND(BR11-BR12-BR16,6)</f>
        <v>0</v>
      </c>
      <c r="BS17" s="19" t="n">
        <f aca="false">ROUND(BS11-BS12-BS16,6)</f>
        <v>0</v>
      </c>
      <c r="BT17" s="19" t="n">
        <f aca="false">ROUND(BT11-BT12-BT16,6)</f>
        <v>0</v>
      </c>
      <c r="BU17" s="19" t="n">
        <f aca="false">ROUND(BU11-BU12-BU16,6)</f>
        <v>0</v>
      </c>
      <c r="BV17" s="19" t="n">
        <f aca="false">ROUND(BV11-BV12-BV16,6)</f>
        <v>0</v>
      </c>
      <c r="BW17" s="19" t="n">
        <f aca="false">ROUND(BW11-BW12-BW16,6)</f>
        <v>0</v>
      </c>
      <c r="BX17" s="19" t="n">
        <f aca="false">ROUND(BX11-BX12-BX16,6)</f>
        <v>0</v>
      </c>
      <c r="BY17" s="19" t="n">
        <f aca="false">ROUND(BY11-BY12-BY16,6)</f>
        <v>0</v>
      </c>
      <c r="BZ17" s="19" t="n">
        <f aca="false">ROUND(BZ11-BZ12-BZ16,6)</f>
        <v>0</v>
      </c>
      <c r="CA17" s="19" t="n">
        <f aca="false">ROUND(CA11-CA12-CA16,6)</f>
        <v>0</v>
      </c>
      <c r="CB17" s="19" t="n">
        <f aca="false">ROUND(CB11-CB12-CB16,6)</f>
        <v>0</v>
      </c>
      <c r="CC17" s="19" t="n">
        <f aca="false">ROUND(CC11-CC12-CC16,6)</f>
        <v>-0</v>
      </c>
      <c r="CD17" s="19" t="n">
        <f aca="false">ROUND(CD11-CD12-CD16,6)</f>
        <v>-0</v>
      </c>
      <c r="CE17" s="19" t="n">
        <f aca="false">ROUND(CE11-CE12-CE16,6)</f>
        <v>-0</v>
      </c>
      <c r="CF17" s="19" t="n">
        <f aca="false">ROUND(CF11-CF12-CF16,6)</f>
        <v>0</v>
      </c>
      <c r="CG17" s="19" t="n">
        <f aca="false">ROUND(CG11-CG12-CG16,6)</f>
        <v>-0</v>
      </c>
      <c r="CH17" s="19" t="n">
        <f aca="false">ROUND(CH11-CH12-CH16,6)</f>
        <v>-0</v>
      </c>
      <c r="CI17" s="19" t="n">
        <f aca="false">ROUND(CI11-CI12-CI16,6)</f>
        <v>-0</v>
      </c>
      <c r="CJ17" s="19" t="n">
        <f aca="false">ROUND(CJ11-CJ12-CJ16,6)</f>
        <v>-0</v>
      </c>
      <c r="CK17" s="19" t="n">
        <f aca="false">ROUND(CK11-CK12-CK16,6)</f>
        <v>-0</v>
      </c>
      <c r="CL17" s="19" t="n">
        <f aca="false">ROUND(CL11-CL12-CL16,6)</f>
        <v>-0</v>
      </c>
      <c r="CM17" s="19" t="n">
        <f aca="false">ROUND(CM11-CM12-CM16,6)</f>
        <v>-0</v>
      </c>
      <c r="CN17" s="19" t="n">
        <f aca="false">ROUND(CN11-CN12-CN16,6)</f>
        <v>-0</v>
      </c>
      <c r="CO17" s="19" t="n">
        <f aca="false">ROUND(CO11-CO12-CO16,6)</f>
        <v>0</v>
      </c>
      <c r="CP17" s="19" t="n">
        <f aca="false">ROUND(CP11-CP12-CP16,6)</f>
        <v>-0</v>
      </c>
      <c r="CQ17" s="19" t="n">
        <f aca="false">ROUND(CQ11-CQ12-CQ16,6)</f>
        <v>-0</v>
      </c>
      <c r="CR17" s="19" t="n">
        <f aca="false">ROUND(CR11-CR12-CR16,6)</f>
        <v>-0</v>
      </c>
      <c r="CS17" s="19" t="n">
        <f aca="false">ROUND(CS11-CS12-CS16,6)</f>
        <v>-0</v>
      </c>
      <c r="CT17" s="19" t="n">
        <f aca="false">ROUND(CT11-CT12-CT16,6)</f>
        <v>-0</v>
      </c>
      <c r="CU17" s="19" t="n">
        <f aca="false">ROUND(CU11-CU12-CU16,6)</f>
        <v>-0</v>
      </c>
      <c r="CV17" s="19" t="n">
        <f aca="false">ROUND(CV11-CV12-CV16,6)</f>
        <v>-0</v>
      </c>
      <c r="CW17" s="19" t="n">
        <f aca="false">ROUND(CW11-CW12-CW16,6)</f>
        <v>-0</v>
      </c>
      <c r="CX17" s="19" t="n">
        <f aca="false">ROUND(CX11-CX12-CX16,6)</f>
        <v>-0</v>
      </c>
      <c r="CY17" s="19" t="n">
        <f aca="false">ROUND(CY11-CY12-CY16,6)</f>
        <v>-0</v>
      </c>
      <c r="CZ17" s="19" t="n">
        <f aca="false">ROUND(CZ11-CZ12-CZ16,6)</f>
        <v>-0</v>
      </c>
      <c r="DA17" s="19" t="n">
        <f aca="false">ROUND(DA11-DA12-DA16,6)</f>
        <v>-0</v>
      </c>
      <c r="DB17" s="19" t="n">
        <f aca="false">ROUND(DB11-DB12-DB16,6)</f>
        <v>-0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664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665</v>
      </c>
    </row>
    <row r="6" customFormat="false" ht="15" hidden="false" customHeight="false" outlineLevel="0" collapsed="false">
      <c r="D6" s="0" t="s">
        <v>666</v>
      </c>
      <c r="E6" s="0" t="s">
        <v>126</v>
      </c>
      <c r="J6" s="31" t="str">
        <f aca="false">IF(AND(Time!J30=1,Debt!J68&gt;Inputs!$F$9),Waterfall!J7/Debt!J68,"")</f>
        <v/>
      </c>
      <c r="K6" s="31" t="str">
        <f aca="false">IF(AND(Time!K30=1,Debt!K68&gt;Inputs!$F$9),Waterfall!K7/Debt!K68,"")</f>
        <v/>
      </c>
      <c r="L6" s="31" t="str">
        <f aca="false">IF(AND(Time!L30=1,Debt!L68&gt;Inputs!$F$9),Waterfall!L7/Debt!L68,"")</f>
        <v/>
      </c>
      <c r="M6" s="31" t="str">
        <f aca="false">IF(AND(Time!M30=1,Debt!M68&gt;Inputs!$F$9),Waterfall!M7/Debt!M68,"")</f>
        <v/>
      </c>
      <c r="N6" s="31" t="str">
        <f aca="false">IF(AND(Time!N30=1,Debt!N68&gt;Inputs!$F$9),Waterfall!N7/Debt!N68,"")</f>
        <v/>
      </c>
      <c r="O6" s="31" t="str">
        <f aca="false">IF(AND(Time!O30=1,Debt!O68&gt;Inputs!$F$9),Waterfall!O7/Debt!O68,"")</f>
        <v/>
      </c>
      <c r="P6" s="31" t="str">
        <f aca="false">IF(AND(Time!P30=1,Debt!P68&gt;Inputs!$F$9),Waterfall!P7/Debt!P68,"")</f>
        <v/>
      </c>
      <c r="Q6" s="31" t="str">
        <f aca="false">IF(AND(Time!Q30=1,Debt!Q68&gt;Inputs!$F$9),Waterfall!Q7/Debt!Q68,"")</f>
        <v/>
      </c>
      <c r="R6" s="31" t="str">
        <f aca="false">IF(AND(Time!R30=1,Debt!R68&gt;Inputs!$F$9),Waterfall!R7/Debt!R68,"")</f>
        <v/>
      </c>
      <c r="S6" s="31" t="str">
        <f aca="false">IF(AND(Time!S30=1,Debt!S68&gt;Inputs!$F$9),Waterfall!S7/Debt!S68,"")</f>
        <v/>
      </c>
      <c r="T6" s="31" t="str">
        <f aca="false">IF(AND(Time!T30=1,Debt!T68&gt;Inputs!$F$9),Waterfall!T7/Debt!T68,"")</f>
        <v/>
      </c>
      <c r="U6" s="31" t="str">
        <f aca="false">IF(AND(Time!U30=1,Debt!U68&gt;Inputs!$F$9),Waterfall!U7/Debt!U68,"")</f>
        <v/>
      </c>
      <c r="V6" s="31" t="str">
        <f aca="false">IF(AND(Time!V30=1,Debt!V68&gt;Inputs!$F$9),Waterfall!V7/Debt!V68,"")</f>
        <v/>
      </c>
      <c r="W6" s="31" t="str">
        <f aca="false">IF(AND(Time!W30=1,Debt!W68&gt;Inputs!$F$9),Waterfall!W7/Debt!W68,"")</f>
        <v/>
      </c>
      <c r="X6" s="31" t="str">
        <f aca="false">IF(AND(Time!X30=1,Debt!X68&gt;Inputs!$F$9),Waterfall!X7/Debt!X68,"")</f>
        <v/>
      </c>
      <c r="Y6" s="31" t="str">
        <f aca="false">IF(AND(Time!Y30=1,Debt!Y68&gt;Inputs!$F$9),Waterfall!Y7/Debt!Y68,"")</f>
        <v/>
      </c>
      <c r="Z6" s="31" t="str">
        <f aca="false">IF(AND(Time!Z30=1,Debt!Z68&gt;Inputs!$F$9),Waterfall!Z7/Debt!Z68,"")</f>
        <v/>
      </c>
      <c r="AA6" s="31" t="str">
        <f aca="false">IF(AND(Time!AA30=1,Debt!AA68&gt;Inputs!$F$9),Waterfall!AA7/Debt!AA68,"")</f>
        <v/>
      </c>
      <c r="AB6" s="31" t="str">
        <f aca="false">IF(AND(Time!AB30=1,Debt!AB68&gt;Inputs!$F$9),Waterfall!AB7/Debt!AB68,"")</f>
        <v/>
      </c>
      <c r="AC6" s="31" t="str">
        <f aca="false">IF(AND(Time!AC30=1,Debt!AC68&gt;Inputs!$F$9),Waterfall!AC7/Debt!AC68,"")</f>
        <v/>
      </c>
      <c r="AD6" s="31" t="n">
        <f aca="false">IF(AND(Time!AD30=1,Debt!AD68&gt;Inputs!$F$9),Waterfall!AD7/Debt!AD68,"")</f>
        <v>1.74858601407761</v>
      </c>
      <c r="AE6" s="31" t="n">
        <f aca="false">IF(AND(Time!AE30=1,Debt!AE68&gt;Inputs!$F$9),Waterfall!AE7/Debt!AE68,"")</f>
        <v>1.82840186296727</v>
      </c>
      <c r="AF6" s="31" t="n">
        <f aca="false">IF(AND(Time!AF30=1,Debt!AF68&gt;Inputs!$F$9),Waterfall!AF7/Debt!AF68,"")</f>
        <v>1.98310844400004</v>
      </c>
      <c r="AG6" s="31" t="n">
        <f aca="false">IF(AND(Time!AG30=1,Debt!AG68&gt;Inputs!$F$9),Waterfall!AG7/Debt!AG68,"")</f>
        <v>2.11889801272632</v>
      </c>
      <c r="AH6" s="31" t="n">
        <f aca="false">IF(AND(Time!AH30=1,Debt!AH68&gt;Inputs!$F$9),Waterfall!AH7/Debt!AH68,"")</f>
        <v>2.17769580980897</v>
      </c>
      <c r="AI6" s="31" t="n">
        <f aca="false">IF(AND(Time!AI30=1,Debt!AI68&gt;Inputs!$F$9),Waterfall!AI7/Debt!AI68,"")</f>
        <v>2.12476253734259</v>
      </c>
      <c r="AJ6" s="31" t="n">
        <f aca="false">IF(AND(Time!AJ30=1,Debt!AJ68&gt;Inputs!$F$9),Waterfall!AJ7/Debt!AJ68,"")</f>
        <v>2.19309600522109</v>
      </c>
      <c r="AK6" s="31" t="n">
        <f aca="false">IF(AND(Time!AK30=1,Debt!AK68&gt;Inputs!$F$9),Waterfall!AK7/Debt!AK68,"")</f>
        <v>2.27924918595244</v>
      </c>
      <c r="AL6" s="31" t="n">
        <f aca="false">IF(AND(Time!AL30=1,Debt!AL68&gt;Inputs!$F$9),Waterfall!AL7/Debt!AL68,"")</f>
        <v>2.34471459524389</v>
      </c>
      <c r="AM6" s="31" t="n">
        <f aca="false">IF(AND(Time!AM30=1,Debt!AM68&gt;Inputs!$F$9),Waterfall!AM7/Debt!AM68,"")</f>
        <v>2.44326449576584</v>
      </c>
      <c r="AN6" s="31" t="n">
        <f aca="false">IF(AND(Time!AN30=1,Debt!AN68&gt;Inputs!$F$9),Waterfall!AN7/Debt!AN68,"")</f>
        <v>2.51293533945344</v>
      </c>
      <c r="AO6" s="31" t="n">
        <f aca="false">IF(AND(Time!AO30=1,Debt!AO68&gt;Inputs!$F$9),Waterfall!AO7/Debt!AO68,"")</f>
        <v>2.75559113496689</v>
      </c>
      <c r="AP6" s="31" t="n">
        <f aca="false">IF(AND(Time!AP30=1,Debt!AP68&gt;Inputs!$F$9),Waterfall!AP7/Debt!AP68,"")</f>
        <v>2.8308357620789</v>
      </c>
      <c r="AQ6" s="31" t="n">
        <f aca="false">IF(AND(Time!AQ30=1,Debt!AQ68&gt;Inputs!$F$9),Waterfall!AQ7/Debt!AQ68,"")</f>
        <v>2.49740312260836</v>
      </c>
      <c r="AR6" s="31" t="n">
        <f aca="false">IF(AND(Time!AR30=1,Debt!AR68&gt;Inputs!$F$9),Waterfall!AR7/Debt!AR68,"")</f>
        <v>2.58349963045874</v>
      </c>
      <c r="AS6" s="31" t="n">
        <f aca="false">IF(AND(Time!AS30=1,Debt!AS68&gt;Inputs!$F$9),Waterfall!AS7/Debt!AS68,"")</f>
        <v>2.69450217922744</v>
      </c>
      <c r="AT6" s="31" t="n">
        <f aca="false">IF(AND(Time!AT30=1,Debt!AT68&gt;Inputs!$F$9),Waterfall!AT7/Debt!AT68,"")</f>
        <v>2.776011214013</v>
      </c>
      <c r="AU6" s="31" t="n">
        <f aca="false">IF(AND(Time!AU30=1,Debt!AU68&gt;Inputs!$F$9),Waterfall!AU7/Debt!AU68,"")</f>
        <v>2.90348138012187</v>
      </c>
      <c r="AV6" s="31" t="n">
        <f aca="false">IF(AND(Time!AV30=1,Debt!AV68&gt;Inputs!$F$9),Waterfall!AV7/Debt!AV68,"")</f>
        <v>2.98919925966843</v>
      </c>
      <c r="AW6" s="31" t="n">
        <f aca="false">IF(AND(Time!AW30=1,Debt!AW68&gt;Inputs!$F$9),Waterfall!AW7/Debt!AW68,"")</f>
        <v>2.97746112421153</v>
      </c>
      <c r="AX6" s="31" t="n">
        <f aca="false">IF(AND(Time!AX30=1,Debt!AX68&gt;Inputs!$F$9),Waterfall!AX7/Debt!AX68,"")</f>
        <v>2.98802126065341</v>
      </c>
      <c r="AY6" s="31" t="n">
        <f aca="false">IF(AND(Time!AY30=1,Debt!AY68&gt;Inputs!$F$9),Waterfall!AY7/Debt!AY68,"")</f>
        <v>3.005356871549</v>
      </c>
      <c r="AZ6" s="31" t="n">
        <f aca="false">IF(AND(Time!AZ30=1,Debt!AZ68&gt;Inputs!$F$9),Waterfall!AZ7/Debt!AZ68,"")</f>
        <v>3.01605059203353</v>
      </c>
      <c r="BA6" s="31" t="n">
        <f aca="false">IF(AND(Time!BA30=1,Debt!BA68&gt;Inputs!$F$9),Waterfall!BA7/Debt!BA68,"")</f>
        <v>3.01374295669556</v>
      </c>
      <c r="BB6" s="31" t="n">
        <f aca="false">IF(AND(Time!BB30=1,Debt!BB68&gt;Inputs!$F$9),Waterfall!BB7/Debt!BB68,"")</f>
        <v>3.02469926817594</v>
      </c>
      <c r="BC6" s="31" t="n">
        <f aca="false">IF(AND(Time!BC30=1,Debt!BC68&gt;Inputs!$F$9),Waterfall!BC7/Debt!BC68,"")</f>
        <v>2.98489204566714</v>
      </c>
      <c r="BD6" s="31" t="n">
        <f aca="false">IF(AND(Time!BD30=1,Debt!BD68&gt;Inputs!$F$9),Waterfall!BD7/Debt!BD68,"")</f>
        <v>2.99471468658824</v>
      </c>
      <c r="BE6" s="31" t="n">
        <f aca="false">IF(AND(Time!BE30=1,Debt!BE68&gt;Inputs!$F$9),Waterfall!BE7/Debt!BE68,"")</f>
        <v>2.97890612843747</v>
      </c>
      <c r="BF6" s="31" t="n">
        <f aca="false">IF(AND(Time!BF30=1,Debt!BF68&gt;Inputs!$F$9),Waterfall!BF7/Debt!BF68,"")</f>
        <v>2.9883463450877</v>
      </c>
      <c r="BG6" s="31" t="n">
        <f aca="false">IF(AND(Time!BG30=1,Debt!BG68&gt;Inputs!$F$9),Waterfall!BG7/Debt!BG68,"")</f>
        <v>2.98759786580187</v>
      </c>
      <c r="BH6" s="31" t="n">
        <f aca="false">IF(AND(Time!BH30=1,Debt!BH68&gt;Inputs!$F$9),Waterfall!BH7/Debt!BH68,"")</f>
        <v>2.99704605388977</v>
      </c>
      <c r="BI6" s="31" t="n">
        <f aca="false">IF(AND(Time!BI30=1,Debt!BI68&gt;Inputs!$F$9),Waterfall!BI7/Debt!BI68,"")</f>
        <v>2.99647123679137</v>
      </c>
      <c r="BJ6" s="31" t="n">
        <f aca="false">IF(AND(Time!BJ30=1,Debt!BJ68&gt;Inputs!$F$9),Waterfall!BJ7/Debt!BJ68,"")</f>
        <v>3.00592347359734</v>
      </c>
      <c r="BK6" s="31" t="n">
        <f aca="false">IF(AND(Time!BK30=1,Debt!BK68&gt;Inputs!$F$9),Waterfall!BK7/Debt!BK68,"")</f>
        <v>3.00551991027908</v>
      </c>
      <c r="BL6" s="31" t="n">
        <f aca="false">IF(AND(Time!BL30=1,Debt!BL68&gt;Inputs!$F$9),Waterfall!BL7/Debt!BL68,"")</f>
        <v>3.01498115667576</v>
      </c>
      <c r="BM6" s="31" t="n">
        <f aca="false">IF(AND(Time!BM30=1,Debt!BM68&gt;Inputs!$F$9),Waterfall!BM7/Debt!BM68,"")</f>
        <v>3.01466783274327</v>
      </c>
      <c r="BN6" s="31" t="n">
        <f aca="false">IF(AND(Time!BN30=1,Debt!BN68&gt;Inputs!$F$9),Waterfall!BN7/Debt!BN68,"")</f>
        <v>3.02413380345471</v>
      </c>
      <c r="BO6" s="31" t="n">
        <f aca="false">IF(AND(Time!BO30=1,Debt!BO68&gt;Inputs!$F$9),Waterfall!BO7/Debt!BO68,"")</f>
        <v>3.09328483001081</v>
      </c>
      <c r="BP6" s="31" t="n">
        <f aca="false">IF(AND(Time!BP30=1,Debt!BP68&gt;Inputs!$F$9),Waterfall!BP7/Debt!BP68,"")</f>
        <v>3.10381849090535</v>
      </c>
      <c r="BQ6" s="31" t="n">
        <f aca="false">IF(AND(Time!BQ30=1,Debt!BQ68&gt;Inputs!$F$9),Waterfall!BQ7/Debt!BQ68,"")</f>
        <v>2.65854240765004</v>
      </c>
      <c r="BR6" s="31" t="n">
        <f aca="false">IF(AND(Time!BR30=1,Debt!BR68&gt;Inputs!$F$9),Waterfall!BR7/Debt!BR68,"")</f>
        <v>2.41985691964738</v>
      </c>
      <c r="BS6" s="31" t="n">
        <f aca="false">IF(AND(Time!BS30=1,Debt!BS68&gt;Inputs!$F$9),Waterfall!BS7/Debt!BS68,"")</f>
        <v>2.40254509839264</v>
      </c>
      <c r="BT6" s="31" t="n">
        <f aca="false">IF(AND(Time!BT30=1,Debt!BT68&gt;Inputs!$F$9),Waterfall!BT7/Debt!BT68,"")</f>
        <v>2.40108068655744</v>
      </c>
      <c r="BU6" s="31" t="n">
        <f aca="false">IF(AND(Time!BU30=1,Debt!BU68&gt;Inputs!$F$9),Waterfall!BU7/Debt!BU68,"")</f>
        <v>3.04505366669444</v>
      </c>
      <c r="BV6" s="31" t="n">
        <f aca="false">IF(AND(Time!BV30=1,Debt!BV68&gt;Inputs!$F$9),Waterfall!BV7/Debt!BV68,"")</f>
        <v>2.48582065427596</v>
      </c>
      <c r="BW6" s="31" t="n">
        <f aca="false">IF(AND(Time!BW30=1,Debt!BW68&gt;Inputs!$F$9),Waterfall!BW7/Debt!BW68,"")</f>
        <v>2.4046049509282</v>
      </c>
      <c r="BX6" s="31" t="n">
        <f aca="false">IF(AND(Time!BX30=1,Debt!BX68&gt;Inputs!$F$9),Waterfall!BX7/Debt!BX68,"")</f>
        <v>2.40143213972025</v>
      </c>
      <c r="BY6" s="31" t="n">
        <f aca="false">IF(AND(Time!BY30=1,Debt!BY68&gt;Inputs!$F$9),Waterfall!BY7/Debt!BY68,"")</f>
        <v>2.38511791341435</v>
      </c>
      <c r="BZ6" s="31" t="n">
        <f aca="false">IF(AND(Time!BZ30=1,Debt!BZ68&gt;Inputs!$F$9),Waterfall!BZ7/Debt!BZ68,"")</f>
        <v>2.3818095421183</v>
      </c>
      <c r="CA6" s="31" t="n">
        <f aca="false">IF(AND(Time!CA30=1,Debt!CA68&gt;Inputs!$F$9),Waterfall!CA7/Debt!CA68,"")</f>
        <v>2.33898731237683</v>
      </c>
      <c r="CB6" s="31" t="n">
        <f aca="false">IF(AND(Time!CB30=1,Debt!CB68&gt;Inputs!$F$9),Waterfall!CB7/Debt!CB68,"")</f>
        <v>2.33569857351425</v>
      </c>
      <c r="CC6" s="31" t="n">
        <f aca="false">IF(AND(Time!CC30=1,Debt!CC68&gt;Inputs!$F$9),Waterfall!CC7/Debt!CC68,"")</f>
        <v>2.32084797823802</v>
      </c>
      <c r="CD6" s="31" t="n">
        <f aca="false">IF(AND(Time!CD30=1,Debt!CD68&gt;Inputs!$F$9),Waterfall!CD7/Debt!CD68,"")</f>
        <v>2.31720538990083</v>
      </c>
      <c r="CE6" s="31" t="n">
        <f aca="false">IF(AND(Time!CE30=1,Debt!CE68&gt;Inputs!$F$9),Waterfall!CE7/Debt!CE68,"")</f>
        <v>2.28767351680273</v>
      </c>
      <c r="CF6" s="31" t="n">
        <f aca="false">IF(AND(Time!CF30=1,Debt!CF68&gt;Inputs!$F$9),Waterfall!CF7/Debt!CF68,"")</f>
        <v>2.59590917361104</v>
      </c>
      <c r="CG6" s="31" t="n">
        <f aca="false">IF(AND(Time!CG30=1,Debt!CG68&gt;Inputs!$F$9),Waterfall!CG7/Debt!CG68,"")</f>
        <v>3.02121621359908</v>
      </c>
      <c r="CH6" s="31" t="str">
        <f aca="false">IF(AND(Time!CH30=1,Debt!CH68&gt;Inputs!$F$9),Waterfall!CH7/Debt!CH68,"")</f>
        <v/>
      </c>
      <c r="CI6" s="31" t="str">
        <f aca="false">IF(AND(Time!CI30=1,Debt!CI68&gt;Inputs!$F$9),Waterfall!CI7/Debt!CI68,"")</f>
        <v/>
      </c>
      <c r="CJ6" s="31" t="str">
        <f aca="false">IF(AND(Time!CJ30=1,Debt!CJ68&gt;Inputs!$F$9),Waterfall!CJ7/Debt!CJ68,"")</f>
        <v/>
      </c>
      <c r="CK6" s="31" t="str">
        <f aca="false">IF(AND(Time!CK30=1,Debt!CK68&gt;Inputs!$F$9),Waterfall!CK7/Debt!CK68,"")</f>
        <v/>
      </c>
      <c r="CL6" s="31" t="str">
        <f aca="false">IF(AND(Time!CL30=1,Debt!CL68&gt;Inputs!$F$9),Waterfall!CL7/Debt!CL68,"")</f>
        <v/>
      </c>
      <c r="CM6" s="31" t="str">
        <f aca="false">IF(AND(Time!CM30=1,Debt!CM68&gt;Inputs!$F$9),Waterfall!CM7/Debt!CM68,"")</f>
        <v/>
      </c>
      <c r="CN6" s="31" t="str">
        <f aca="false">IF(AND(Time!CN30=1,Debt!CN68&gt;Inputs!$F$9),Waterfall!CN7/Debt!CN68,"")</f>
        <v/>
      </c>
      <c r="CO6" s="31" t="str">
        <f aca="false">IF(AND(Time!CO30=1,Debt!CO68&gt;Inputs!$F$9),Waterfall!CO7/Debt!CO68,"")</f>
        <v/>
      </c>
      <c r="CP6" s="31" t="str">
        <f aca="false">IF(AND(Time!CP30=1,Debt!CP68&gt;Inputs!$F$9),Waterfall!CP7/Debt!CP68,"")</f>
        <v/>
      </c>
      <c r="CQ6" s="31" t="str">
        <f aca="false">IF(AND(Time!CQ30=1,Debt!CQ68&gt;Inputs!$F$9),Waterfall!CQ7/Debt!CQ68,"")</f>
        <v/>
      </c>
      <c r="CR6" s="31" t="str">
        <f aca="false">IF(AND(Time!CR30=1,Debt!CR68&gt;Inputs!$F$9),Waterfall!CR7/Debt!CR68,"")</f>
        <v/>
      </c>
      <c r="CS6" s="31" t="str">
        <f aca="false">IF(AND(Time!CS30=1,Debt!CS68&gt;Inputs!$F$9),Waterfall!CS7/Debt!CS68,"")</f>
        <v/>
      </c>
      <c r="CT6" s="31" t="str">
        <f aca="false">IF(AND(Time!CT30=1,Debt!CT68&gt;Inputs!$F$9),Waterfall!CT7/Debt!CT68,"")</f>
        <v/>
      </c>
      <c r="CU6" s="31" t="str">
        <f aca="false">IF(AND(Time!CU30=1,Debt!CU68&gt;Inputs!$F$9),Waterfall!CU7/Debt!CU68,"")</f>
        <v/>
      </c>
      <c r="CV6" s="31" t="str">
        <f aca="false">IF(AND(Time!CV30=1,Debt!CV68&gt;Inputs!$F$9),Waterfall!CV7/Debt!CV68,"")</f>
        <v/>
      </c>
      <c r="CW6" s="31" t="str">
        <f aca="false">IF(AND(Time!CW30=1,Debt!CW68&gt;Inputs!$F$9),Waterfall!CW7/Debt!CW68,"")</f>
        <v/>
      </c>
      <c r="CX6" s="31" t="str">
        <f aca="false">IF(AND(Time!CX30=1,Debt!CX68&gt;Inputs!$F$9),Waterfall!CX7/Debt!CX68,"")</f>
        <v/>
      </c>
      <c r="CY6" s="31" t="str">
        <f aca="false">IF(AND(Time!CY30=1,Debt!CY68&gt;Inputs!$F$9),Waterfall!CY7/Debt!CY68,"")</f>
        <v/>
      </c>
      <c r="CZ6" s="31" t="str">
        <f aca="false">IF(AND(Time!CZ30=1,Debt!CZ68&gt;Inputs!$F$9),Waterfall!CZ7/Debt!CZ68,"")</f>
        <v/>
      </c>
      <c r="DA6" s="31" t="str">
        <f aca="false">IF(AND(Time!DA30=1,Debt!DA68&gt;Inputs!$F$9),Waterfall!DA7/Debt!DA68,"")</f>
        <v/>
      </c>
      <c r="DB6" s="31" t="str">
        <f aca="false">IF(AND(Time!DB30=1,Debt!DB68&gt;Inputs!$F$9),Waterfall!DB7/Debt!DB68,"")</f>
        <v/>
      </c>
    </row>
    <row r="7" customFormat="false" ht="15" hidden="false" customHeight="false" outlineLevel="0" collapsed="false">
      <c r="D7" s="0" t="s">
        <v>667</v>
      </c>
      <c r="E7" s="0" t="s">
        <v>126</v>
      </c>
      <c r="F7" s="31" t="n">
        <f aca="false">IF(COUNT($J$6:$DB$6)&gt;0,MIN($J$6:$DB$6),0)</f>
        <v>1.74858601407761</v>
      </c>
    </row>
    <row r="8" customFormat="false" ht="15" hidden="false" customHeight="false" outlineLevel="0" collapsed="false">
      <c r="D8" s="0" t="s">
        <v>668</v>
      </c>
      <c r="E8" s="0" t="s">
        <v>126</v>
      </c>
      <c r="F8" s="31" t="n">
        <f aca="false">IF(COUNT($J$6:$DB$6)&gt;0,AVERAGE($J$6:$DB$6),0)</f>
        <v>2.64650489386417</v>
      </c>
    </row>
    <row r="9" customFormat="false" ht="15" hidden="false" customHeight="false" outlineLevel="0" collapsed="false">
      <c r="D9" s="0" t="s">
        <v>669</v>
      </c>
      <c r="E9" s="0" t="s">
        <v>126</v>
      </c>
      <c r="J9" s="31" t="str">
        <f aca="false">IF(AND(Time!J32=1,Debt!J68&gt;Inputs!$F$9),Waterfall!J7/Debt!J68,"")</f>
        <v/>
      </c>
      <c r="K9" s="31" t="str">
        <f aca="false">IF(AND(Time!K32=1,Debt!K68&gt;Inputs!$F$9),Waterfall!K7/Debt!K68,"")</f>
        <v/>
      </c>
      <c r="L9" s="31" t="str">
        <f aca="false">IF(AND(Time!L32=1,Debt!L68&gt;Inputs!$F$9),Waterfall!L7/Debt!L68,"")</f>
        <v/>
      </c>
      <c r="M9" s="31" t="str">
        <f aca="false">IF(AND(Time!M32=1,Debt!M68&gt;Inputs!$F$9),Waterfall!M7/Debt!M68,"")</f>
        <v/>
      </c>
      <c r="N9" s="31" t="str">
        <f aca="false">IF(AND(Time!N32=1,Debt!N68&gt;Inputs!$F$9),Waterfall!N7/Debt!N68,"")</f>
        <v/>
      </c>
      <c r="O9" s="31" t="str">
        <f aca="false">IF(AND(Time!O32=1,Debt!O68&gt;Inputs!$F$9),Waterfall!O7/Debt!O68,"")</f>
        <v/>
      </c>
      <c r="P9" s="31" t="str">
        <f aca="false">IF(AND(Time!P32=1,Debt!P68&gt;Inputs!$F$9),Waterfall!P7/Debt!P68,"")</f>
        <v/>
      </c>
      <c r="Q9" s="31" t="str">
        <f aca="false">IF(AND(Time!Q32=1,Debt!Q68&gt;Inputs!$F$9),Waterfall!Q7/Debt!Q68,"")</f>
        <v/>
      </c>
      <c r="R9" s="31" t="str">
        <f aca="false">IF(AND(Time!R32=1,Debt!R68&gt;Inputs!$F$9),Waterfall!R7/Debt!R68,"")</f>
        <v/>
      </c>
      <c r="S9" s="31" t="str">
        <f aca="false">IF(AND(Time!S32=1,Debt!S68&gt;Inputs!$F$9),Waterfall!S7/Debt!S68,"")</f>
        <v/>
      </c>
      <c r="T9" s="31" t="str">
        <f aca="false">IF(AND(Time!T32=1,Debt!T68&gt;Inputs!$F$9),Waterfall!T7/Debt!T68,"")</f>
        <v/>
      </c>
      <c r="U9" s="31" t="str">
        <f aca="false">IF(AND(Time!U32=1,Debt!U68&gt;Inputs!$F$9),Waterfall!U7/Debt!U68,"")</f>
        <v/>
      </c>
      <c r="V9" s="31" t="str">
        <f aca="false">IF(AND(Time!V32=1,Debt!V68&gt;Inputs!$F$9),Waterfall!V7/Debt!V68,"")</f>
        <v/>
      </c>
      <c r="W9" s="31" t="str">
        <f aca="false">IF(AND(Time!W32=1,Debt!W68&gt;Inputs!$F$9),Waterfall!W7/Debt!W68,"")</f>
        <v/>
      </c>
      <c r="X9" s="31" t="str">
        <f aca="false">IF(AND(Time!X32=1,Debt!X68&gt;Inputs!$F$9),Waterfall!X7/Debt!X68,"")</f>
        <v/>
      </c>
      <c r="Y9" s="31" t="str">
        <f aca="false">IF(AND(Time!Y32=1,Debt!Y68&gt;Inputs!$F$9),Waterfall!Y7/Debt!Y68,"")</f>
        <v/>
      </c>
      <c r="Z9" s="31" t="n">
        <f aca="false">IF(AND(Time!Z32=1,Debt!Z68&gt;Inputs!$F$9),Waterfall!Z7/Debt!Z68,"")</f>
        <v>1.92528914918638</v>
      </c>
      <c r="AA9" s="31" t="n">
        <f aca="false">IF(AND(Time!AA32=1,Debt!AA68&gt;Inputs!$F$9),Waterfall!AA7/Debt!AA68,"")</f>
        <v>1.95278894883027</v>
      </c>
      <c r="AB9" s="31" t="n">
        <f aca="false">IF(AND(Time!AB32=1,Debt!AB68&gt;Inputs!$F$9),Waterfall!AB7/Debt!AB68,"")</f>
        <v>1.84980054546002</v>
      </c>
      <c r="AC9" s="31" t="n">
        <f aca="false">IF(AND(Time!AC32=1,Debt!AC68&gt;Inputs!$F$9),Waterfall!AC7/Debt!AC68,"")</f>
        <v>1.82961847327131</v>
      </c>
      <c r="AD9" s="31" t="str">
        <f aca="false">IF(AND(Time!AD32=1,Debt!AD68&gt;Inputs!$F$9),Waterfall!AD7/Debt!AD68,"")</f>
        <v/>
      </c>
      <c r="AE9" s="31" t="str">
        <f aca="false">IF(AND(Time!AE32=1,Debt!AE68&gt;Inputs!$F$9),Waterfall!AE7/Debt!AE68,"")</f>
        <v/>
      </c>
      <c r="AF9" s="31" t="str">
        <f aca="false">IF(AND(Time!AF32=1,Debt!AF68&gt;Inputs!$F$9),Waterfall!AF7/Debt!AF68,"")</f>
        <v/>
      </c>
      <c r="AG9" s="31" t="str">
        <f aca="false">IF(AND(Time!AG32=1,Debt!AG68&gt;Inputs!$F$9),Waterfall!AG7/Debt!AG68,"")</f>
        <v/>
      </c>
      <c r="AH9" s="31" t="str">
        <f aca="false">IF(AND(Time!AH32=1,Debt!AH68&gt;Inputs!$F$9),Waterfall!AH7/Debt!AH68,"")</f>
        <v/>
      </c>
      <c r="AI9" s="31" t="str">
        <f aca="false">IF(AND(Time!AI32=1,Debt!AI68&gt;Inputs!$F$9),Waterfall!AI7/Debt!AI68,"")</f>
        <v/>
      </c>
      <c r="AJ9" s="31" t="str">
        <f aca="false">IF(AND(Time!AJ32=1,Debt!AJ68&gt;Inputs!$F$9),Waterfall!AJ7/Debt!AJ68,"")</f>
        <v/>
      </c>
      <c r="AK9" s="31" t="str">
        <f aca="false">IF(AND(Time!AK32=1,Debt!AK68&gt;Inputs!$F$9),Waterfall!AK7/Debt!AK68,"")</f>
        <v/>
      </c>
      <c r="AL9" s="31" t="str">
        <f aca="false">IF(AND(Time!AL32=1,Debt!AL68&gt;Inputs!$F$9),Waterfall!AL7/Debt!AL68,"")</f>
        <v/>
      </c>
      <c r="AM9" s="31" t="str">
        <f aca="false">IF(AND(Time!AM32=1,Debt!AM68&gt;Inputs!$F$9),Waterfall!AM7/Debt!AM68,"")</f>
        <v/>
      </c>
      <c r="AN9" s="31" t="str">
        <f aca="false">IF(AND(Time!AN32=1,Debt!AN68&gt;Inputs!$F$9),Waterfall!AN7/Debt!AN68,"")</f>
        <v/>
      </c>
      <c r="AO9" s="31" t="str">
        <f aca="false">IF(AND(Time!AO32=1,Debt!AO68&gt;Inputs!$F$9),Waterfall!AO7/Debt!AO68,"")</f>
        <v/>
      </c>
      <c r="AP9" s="31" t="str">
        <f aca="false">IF(AND(Time!AP32=1,Debt!AP68&gt;Inputs!$F$9),Waterfall!AP7/Debt!AP68,"")</f>
        <v/>
      </c>
      <c r="AQ9" s="31" t="str">
        <f aca="false">IF(AND(Time!AQ32=1,Debt!AQ68&gt;Inputs!$F$9),Waterfall!AQ7/Debt!AQ68,"")</f>
        <v/>
      </c>
      <c r="AR9" s="31" t="str">
        <f aca="false">IF(AND(Time!AR32=1,Debt!AR68&gt;Inputs!$F$9),Waterfall!AR7/Debt!AR68,"")</f>
        <v/>
      </c>
      <c r="AS9" s="31" t="str">
        <f aca="false">IF(AND(Time!AS32=1,Debt!AS68&gt;Inputs!$F$9),Waterfall!AS7/Debt!AS68,"")</f>
        <v/>
      </c>
      <c r="AT9" s="31" t="str">
        <f aca="false">IF(AND(Time!AT32=1,Debt!AT68&gt;Inputs!$F$9),Waterfall!AT7/Debt!AT68,"")</f>
        <v/>
      </c>
      <c r="AU9" s="31" t="str">
        <f aca="false">IF(AND(Time!AU32=1,Debt!AU68&gt;Inputs!$F$9),Waterfall!AU7/Debt!AU68,"")</f>
        <v/>
      </c>
      <c r="AV9" s="31" t="str">
        <f aca="false">IF(AND(Time!AV32=1,Debt!AV68&gt;Inputs!$F$9),Waterfall!AV7/Debt!AV68,"")</f>
        <v/>
      </c>
      <c r="AW9" s="31" t="str">
        <f aca="false">IF(AND(Time!AW32=1,Debt!AW68&gt;Inputs!$F$9),Waterfall!AW7/Debt!AW68,"")</f>
        <v/>
      </c>
      <c r="AX9" s="31" t="str">
        <f aca="false">IF(AND(Time!AX32=1,Debt!AX68&gt;Inputs!$F$9),Waterfall!AX7/Debt!AX68,"")</f>
        <v/>
      </c>
      <c r="AY9" s="31" t="str">
        <f aca="false">IF(AND(Time!AY32=1,Debt!AY68&gt;Inputs!$F$9),Waterfall!AY7/Debt!AY68,"")</f>
        <v/>
      </c>
      <c r="AZ9" s="31" t="str">
        <f aca="false">IF(AND(Time!AZ32=1,Debt!AZ68&gt;Inputs!$F$9),Waterfall!AZ7/Debt!AZ68,"")</f>
        <v/>
      </c>
      <c r="BA9" s="31" t="str">
        <f aca="false">IF(AND(Time!BA32=1,Debt!BA68&gt;Inputs!$F$9),Waterfall!BA7/Debt!BA68,"")</f>
        <v/>
      </c>
      <c r="BB9" s="31" t="str">
        <f aca="false">IF(AND(Time!BB32=1,Debt!BB68&gt;Inputs!$F$9),Waterfall!BB7/Debt!BB68,"")</f>
        <v/>
      </c>
      <c r="BC9" s="31" t="str">
        <f aca="false">IF(AND(Time!BC32=1,Debt!BC68&gt;Inputs!$F$9),Waterfall!BC7/Debt!BC68,"")</f>
        <v/>
      </c>
      <c r="BD9" s="31" t="str">
        <f aca="false">IF(AND(Time!BD32=1,Debt!BD68&gt;Inputs!$F$9),Waterfall!BD7/Debt!BD68,"")</f>
        <v/>
      </c>
      <c r="BE9" s="31" t="str">
        <f aca="false">IF(AND(Time!BE32=1,Debt!BE68&gt;Inputs!$F$9),Waterfall!BE7/Debt!BE68,"")</f>
        <v/>
      </c>
      <c r="BF9" s="31" t="str">
        <f aca="false">IF(AND(Time!BF32=1,Debt!BF68&gt;Inputs!$F$9),Waterfall!BF7/Debt!BF68,"")</f>
        <v/>
      </c>
      <c r="BG9" s="31" t="str">
        <f aca="false">IF(AND(Time!BG32=1,Debt!BG68&gt;Inputs!$F$9),Waterfall!BG7/Debt!BG68,"")</f>
        <v/>
      </c>
      <c r="BH9" s="31" t="str">
        <f aca="false">IF(AND(Time!BH32=1,Debt!BH68&gt;Inputs!$F$9),Waterfall!BH7/Debt!BH68,"")</f>
        <v/>
      </c>
      <c r="BI9" s="31" t="str">
        <f aca="false">IF(AND(Time!BI32=1,Debt!BI68&gt;Inputs!$F$9),Waterfall!BI7/Debt!BI68,"")</f>
        <v/>
      </c>
      <c r="BJ9" s="31" t="str">
        <f aca="false">IF(AND(Time!BJ32=1,Debt!BJ68&gt;Inputs!$F$9),Waterfall!BJ7/Debt!BJ68,"")</f>
        <v/>
      </c>
      <c r="BK9" s="31" t="str">
        <f aca="false">IF(AND(Time!BK32=1,Debt!BK68&gt;Inputs!$F$9),Waterfall!BK7/Debt!BK68,"")</f>
        <v/>
      </c>
      <c r="BL9" s="31" t="str">
        <f aca="false">IF(AND(Time!BL32=1,Debt!BL68&gt;Inputs!$F$9),Waterfall!BL7/Debt!BL68,"")</f>
        <v/>
      </c>
      <c r="BM9" s="31" t="str">
        <f aca="false">IF(AND(Time!BM32=1,Debt!BM68&gt;Inputs!$F$9),Waterfall!BM7/Debt!BM68,"")</f>
        <v/>
      </c>
      <c r="BN9" s="31" t="str">
        <f aca="false">IF(AND(Time!BN32=1,Debt!BN68&gt;Inputs!$F$9),Waterfall!BN7/Debt!BN68,"")</f>
        <v/>
      </c>
      <c r="BO9" s="31" t="str">
        <f aca="false">IF(AND(Time!BO32=1,Debt!BO68&gt;Inputs!$F$9),Waterfall!BO7/Debt!BO68,"")</f>
        <v/>
      </c>
      <c r="BP9" s="31" t="str">
        <f aca="false">IF(AND(Time!BP32=1,Debt!BP68&gt;Inputs!$F$9),Waterfall!BP7/Debt!BP68,"")</f>
        <v/>
      </c>
      <c r="BQ9" s="31" t="str">
        <f aca="false">IF(AND(Time!BQ32=1,Debt!BQ68&gt;Inputs!$F$9),Waterfall!BQ7/Debt!BQ68,"")</f>
        <v/>
      </c>
      <c r="BR9" s="31" t="str">
        <f aca="false">IF(AND(Time!BR32=1,Debt!BR68&gt;Inputs!$F$9),Waterfall!BR7/Debt!BR68,"")</f>
        <v/>
      </c>
      <c r="BS9" s="31" t="str">
        <f aca="false">IF(AND(Time!BS32=1,Debt!BS68&gt;Inputs!$F$9),Waterfall!BS7/Debt!BS68,"")</f>
        <v/>
      </c>
      <c r="BT9" s="31" t="str">
        <f aca="false">IF(AND(Time!BT32=1,Debt!BT68&gt;Inputs!$F$9),Waterfall!BT7/Debt!BT68,"")</f>
        <v/>
      </c>
      <c r="BU9" s="31" t="str">
        <f aca="false">IF(AND(Time!BU32=1,Debt!BU68&gt;Inputs!$F$9),Waterfall!BU7/Debt!BU68,"")</f>
        <v/>
      </c>
      <c r="BV9" s="31" t="str">
        <f aca="false">IF(AND(Time!BV32=1,Debt!BV68&gt;Inputs!$F$9),Waterfall!BV7/Debt!BV68,"")</f>
        <v/>
      </c>
      <c r="BW9" s="31" t="str">
        <f aca="false">IF(AND(Time!BW32=1,Debt!BW68&gt;Inputs!$F$9),Waterfall!BW7/Debt!BW68,"")</f>
        <v/>
      </c>
      <c r="BX9" s="31" t="str">
        <f aca="false">IF(AND(Time!BX32=1,Debt!BX68&gt;Inputs!$F$9),Waterfall!BX7/Debt!BX68,"")</f>
        <v/>
      </c>
      <c r="BY9" s="31" t="str">
        <f aca="false">IF(AND(Time!BY32=1,Debt!BY68&gt;Inputs!$F$9),Waterfall!BY7/Debt!BY68,"")</f>
        <v/>
      </c>
      <c r="BZ9" s="31" t="str">
        <f aca="false">IF(AND(Time!BZ32=1,Debt!BZ68&gt;Inputs!$F$9),Waterfall!BZ7/Debt!BZ68,"")</f>
        <v/>
      </c>
      <c r="CA9" s="31" t="str">
        <f aca="false">IF(AND(Time!CA32=1,Debt!CA68&gt;Inputs!$F$9),Waterfall!CA7/Debt!CA68,"")</f>
        <v/>
      </c>
      <c r="CB9" s="31" t="str">
        <f aca="false">IF(AND(Time!CB32=1,Debt!CB68&gt;Inputs!$F$9),Waterfall!CB7/Debt!CB68,"")</f>
        <v/>
      </c>
      <c r="CC9" s="31" t="str">
        <f aca="false">IF(AND(Time!CC32=1,Debt!CC68&gt;Inputs!$F$9),Waterfall!CC7/Debt!CC68,"")</f>
        <v/>
      </c>
      <c r="CD9" s="31" t="str">
        <f aca="false">IF(AND(Time!CD32=1,Debt!CD68&gt;Inputs!$F$9),Waterfall!CD7/Debt!CD68,"")</f>
        <v/>
      </c>
      <c r="CE9" s="31" t="str">
        <f aca="false">IF(AND(Time!CE32=1,Debt!CE68&gt;Inputs!$F$9),Waterfall!CE7/Debt!CE68,"")</f>
        <v/>
      </c>
      <c r="CF9" s="31" t="str">
        <f aca="false">IF(AND(Time!CF32=1,Debt!CF68&gt;Inputs!$F$9),Waterfall!CF7/Debt!CF68,"")</f>
        <v/>
      </c>
      <c r="CG9" s="31" t="str">
        <f aca="false">IF(AND(Time!CG32=1,Debt!CG68&gt;Inputs!$F$9),Waterfall!CG7/Debt!CG68,"")</f>
        <v/>
      </c>
      <c r="CH9" s="31" t="str">
        <f aca="false">IF(AND(Time!CH32=1,Debt!CH68&gt;Inputs!$F$9),Waterfall!CH7/Debt!CH68,"")</f>
        <v/>
      </c>
      <c r="CI9" s="31" t="str">
        <f aca="false">IF(AND(Time!CI32=1,Debt!CI68&gt;Inputs!$F$9),Waterfall!CI7/Debt!CI68,"")</f>
        <v/>
      </c>
      <c r="CJ9" s="31" t="str">
        <f aca="false">IF(AND(Time!CJ32=1,Debt!CJ68&gt;Inputs!$F$9),Waterfall!CJ7/Debt!CJ68,"")</f>
        <v/>
      </c>
      <c r="CK9" s="31" t="str">
        <f aca="false">IF(AND(Time!CK32=1,Debt!CK68&gt;Inputs!$F$9),Waterfall!CK7/Debt!CK68,"")</f>
        <v/>
      </c>
      <c r="CL9" s="31" t="str">
        <f aca="false">IF(AND(Time!CL32=1,Debt!CL68&gt;Inputs!$F$9),Waterfall!CL7/Debt!CL68,"")</f>
        <v/>
      </c>
      <c r="CM9" s="31" t="str">
        <f aca="false">IF(AND(Time!CM32=1,Debt!CM68&gt;Inputs!$F$9),Waterfall!CM7/Debt!CM68,"")</f>
        <v/>
      </c>
      <c r="CN9" s="31" t="str">
        <f aca="false">IF(AND(Time!CN32=1,Debt!CN68&gt;Inputs!$F$9),Waterfall!CN7/Debt!CN68,"")</f>
        <v/>
      </c>
      <c r="CO9" s="31" t="str">
        <f aca="false">IF(AND(Time!CO32=1,Debt!CO68&gt;Inputs!$F$9),Waterfall!CO7/Debt!CO68,"")</f>
        <v/>
      </c>
      <c r="CP9" s="31" t="str">
        <f aca="false">IF(AND(Time!CP32=1,Debt!CP68&gt;Inputs!$F$9),Waterfall!CP7/Debt!CP68,"")</f>
        <v/>
      </c>
      <c r="CQ9" s="31" t="str">
        <f aca="false">IF(AND(Time!CQ32=1,Debt!CQ68&gt;Inputs!$F$9),Waterfall!CQ7/Debt!CQ68,"")</f>
        <v/>
      </c>
      <c r="CR9" s="31" t="str">
        <f aca="false">IF(AND(Time!CR32=1,Debt!CR68&gt;Inputs!$F$9),Waterfall!CR7/Debt!CR68,"")</f>
        <v/>
      </c>
      <c r="CS9" s="31" t="str">
        <f aca="false">IF(AND(Time!CS32=1,Debt!CS68&gt;Inputs!$F$9),Waterfall!CS7/Debt!CS68,"")</f>
        <v/>
      </c>
      <c r="CT9" s="31" t="str">
        <f aca="false">IF(AND(Time!CT32=1,Debt!CT68&gt;Inputs!$F$9),Waterfall!CT7/Debt!CT68,"")</f>
        <v/>
      </c>
      <c r="CU9" s="31" t="str">
        <f aca="false">IF(AND(Time!CU32=1,Debt!CU68&gt;Inputs!$F$9),Waterfall!CU7/Debt!CU68,"")</f>
        <v/>
      </c>
      <c r="CV9" s="31" t="str">
        <f aca="false">IF(AND(Time!CV32=1,Debt!CV68&gt;Inputs!$F$9),Waterfall!CV7/Debt!CV68,"")</f>
        <v/>
      </c>
      <c r="CW9" s="31" t="str">
        <f aca="false">IF(AND(Time!CW32=1,Debt!CW68&gt;Inputs!$F$9),Waterfall!CW7/Debt!CW68,"")</f>
        <v/>
      </c>
      <c r="CX9" s="31" t="str">
        <f aca="false">IF(AND(Time!CX32=1,Debt!CX68&gt;Inputs!$F$9),Waterfall!CX7/Debt!CX68,"")</f>
        <v/>
      </c>
      <c r="CY9" s="31" t="str">
        <f aca="false">IF(AND(Time!CY32=1,Debt!CY68&gt;Inputs!$F$9),Waterfall!CY7/Debt!CY68,"")</f>
        <v/>
      </c>
      <c r="CZ9" s="31" t="str">
        <f aca="false">IF(AND(Time!CZ32=1,Debt!CZ68&gt;Inputs!$F$9),Waterfall!CZ7/Debt!CZ68,"")</f>
        <v/>
      </c>
      <c r="DA9" s="31" t="str">
        <f aca="false">IF(AND(Time!DA32=1,Debt!DA68&gt;Inputs!$F$9),Waterfall!DA7/Debt!DA68,"")</f>
        <v/>
      </c>
      <c r="DB9" s="31" t="str">
        <f aca="false">IF(AND(Time!DB32=1,Debt!DB68&gt;Inputs!$F$9),Waterfall!DB7/Debt!DB68,"")</f>
        <v/>
      </c>
    </row>
    <row r="10" customFormat="false" ht="15" hidden="false" customHeight="false" outlineLevel="0" collapsed="false">
      <c r="D10" s="0" t="s">
        <v>670</v>
      </c>
      <c r="E10" s="0" t="s">
        <v>126</v>
      </c>
      <c r="F10" s="31" t="n">
        <f aca="false">IF(COUNT($J$9:$DB$9)&gt;0,MIN($J$9:$DB$9),0)</f>
        <v>1.82961847327131</v>
      </c>
    </row>
    <row r="11" customFormat="false" ht="15" hidden="false" customHeight="false" outlineLevel="0" collapsed="false">
      <c r="D11" s="0" t="s">
        <v>671</v>
      </c>
      <c r="E11" s="0" t="s">
        <v>126</v>
      </c>
      <c r="J11" s="31" t="str">
        <f aca="false">IF(AND(Time!J30=1,Time!J47=1,Debt!J68+Debt!J98+Debt!J99&gt;Inputs!$F$9),Waterfall!J7/(Debt!J68+Debt!J98+Debt!J99),"")</f>
        <v/>
      </c>
      <c r="K11" s="31" t="str">
        <f aca="false">IF(AND(Time!K30=1,Time!K47=1,Debt!K68+Debt!K98+Debt!K99&gt;Inputs!$F$9),Waterfall!K7/(Debt!K68+Debt!K98+Debt!K99),"")</f>
        <v/>
      </c>
      <c r="L11" s="31" t="str">
        <f aca="false">IF(AND(Time!L30=1,Time!L47=1,Debt!L68+Debt!L98+Debt!L99&gt;Inputs!$F$9),Waterfall!L7/(Debt!L68+Debt!L98+Debt!L99),"")</f>
        <v/>
      </c>
      <c r="M11" s="31" t="str">
        <f aca="false">IF(AND(Time!M30=1,Time!M47=1,Debt!M68+Debt!M98+Debt!M99&gt;Inputs!$F$9),Waterfall!M7/(Debt!M68+Debt!M98+Debt!M99),"")</f>
        <v/>
      </c>
      <c r="N11" s="31" t="str">
        <f aca="false">IF(AND(Time!N30=1,Time!N47=1,Debt!N68+Debt!N98+Debt!N99&gt;Inputs!$F$9),Waterfall!N7/(Debt!N68+Debt!N98+Debt!N99),"")</f>
        <v/>
      </c>
      <c r="O11" s="31" t="str">
        <f aca="false">IF(AND(Time!O30=1,Time!O47=1,Debt!O68+Debt!O98+Debt!O99&gt;Inputs!$F$9),Waterfall!O7/(Debt!O68+Debt!O98+Debt!O99),"")</f>
        <v/>
      </c>
      <c r="P11" s="31" t="str">
        <f aca="false">IF(AND(Time!P30=1,Time!P47=1,Debt!P68+Debt!P98+Debt!P99&gt;Inputs!$F$9),Waterfall!P7/(Debt!P68+Debt!P98+Debt!P99),"")</f>
        <v/>
      </c>
      <c r="Q11" s="31" t="str">
        <f aca="false">IF(AND(Time!Q30=1,Time!Q47=1,Debt!Q68+Debt!Q98+Debt!Q99&gt;Inputs!$F$9),Waterfall!Q7/(Debt!Q68+Debt!Q98+Debt!Q99),"")</f>
        <v/>
      </c>
      <c r="R11" s="31" t="str">
        <f aca="false">IF(AND(Time!R30=1,Time!R47=1,Debt!R68+Debt!R98+Debt!R99&gt;Inputs!$F$9),Waterfall!R7/(Debt!R68+Debt!R98+Debt!R99),"")</f>
        <v/>
      </c>
      <c r="S11" s="31" t="str">
        <f aca="false">IF(AND(Time!S30=1,Time!S47=1,Debt!S68+Debt!S98+Debt!S99&gt;Inputs!$F$9),Waterfall!S7/(Debt!S68+Debt!S98+Debt!S99),"")</f>
        <v/>
      </c>
      <c r="T11" s="31" t="str">
        <f aca="false">IF(AND(Time!T30=1,Time!T47=1,Debt!T68+Debt!T98+Debt!T99&gt;Inputs!$F$9),Waterfall!T7/(Debt!T68+Debt!T98+Debt!T99),"")</f>
        <v/>
      </c>
      <c r="U11" s="31" t="str">
        <f aca="false">IF(AND(Time!U30=1,Time!U47=1,Debt!U68+Debt!U98+Debt!U99&gt;Inputs!$F$9),Waterfall!U7/(Debt!U68+Debt!U98+Debt!U99),"")</f>
        <v/>
      </c>
      <c r="V11" s="31" t="str">
        <f aca="false">IF(AND(Time!V30=1,Time!V47=1,Debt!V68+Debt!V98+Debt!V99&gt;Inputs!$F$9),Waterfall!V7/(Debt!V68+Debt!V98+Debt!V99),"")</f>
        <v/>
      </c>
      <c r="W11" s="31" t="str">
        <f aca="false">IF(AND(Time!W30=1,Time!W47=1,Debt!W68+Debt!W98+Debt!W99&gt;Inputs!$F$9),Waterfall!W7/(Debt!W68+Debt!W98+Debt!W99),"")</f>
        <v/>
      </c>
      <c r="X11" s="31" t="str">
        <f aca="false">IF(AND(Time!X30=1,Time!X47=1,Debt!X68+Debt!X98+Debt!X99&gt;Inputs!$F$9),Waterfall!X7/(Debt!X68+Debt!X98+Debt!X99),"")</f>
        <v/>
      </c>
      <c r="Y11" s="31" t="str">
        <f aca="false">IF(AND(Time!Y30=1,Time!Y47=1,Debt!Y68+Debt!Y98+Debt!Y99&gt;Inputs!$F$9),Waterfall!Y7/(Debt!Y68+Debt!Y98+Debt!Y99),"")</f>
        <v/>
      </c>
      <c r="Z11" s="31" t="str">
        <f aca="false">IF(AND(Time!Z30=1,Time!Z47=1,Debt!Z68+Debt!Z98+Debt!Z99&gt;Inputs!$F$9),Waterfall!Z7/(Debt!Z68+Debt!Z98+Debt!Z99),"")</f>
        <v/>
      </c>
      <c r="AA11" s="31" t="str">
        <f aca="false">IF(AND(Time!AA30=1,Time!AA47=1,Debt!AA68+Debt!AA98+Debt!AA99&gt;Inputs!$F$9),Waterfall!AA7/(Debt!AA68+Debt!AA98+Debt!AA99),"")</f>
        <v/>
      </c>
      <c r="AB11" s="31" t="str">
        <f aca="false">IF(AND(Time!AB30=1,Time!AB47=1,Debt!AB68+Debt!AB98+Debt!AB99&gt;Inputs!$F$9),Waterfall!AB7/(Debt!AB68+Debt!AB98+Debt!AB99),"")</f>
        <v/>
      </c>
      <c r="AC11" s="31" t="str">
        <f aca="false">IF(AND(Time!AC30=1,Time!AC47=1,Debt!AC68+Debt!AC98+Debt!AC99&gt;Inputs!$F$9),Waterfall!AC7/(Debt!AC68+Debt!AC98+Debt!AC99),"")</f>
        <v/>
      </c>
      <c r="AD11" s="31" t="str">
        <f aca="false">IF(AND(Time!AD30=1,Time!AD47=1,Debt!AD68+Debt!AD98+Debt!AD99&gt;Inputs!$F$9),Waterfall!AD7/(Debt!AD68+Debt!AD98+Debt!AD99),"")</f>
        <v/>
      </c>
      <c r="AE11" s="31" t="str">
        <f aca="false">IF(AND(Time!AE30=1,Time!AE47=1,Debt!AE68+Debt!AE98+Debt!AE99&gt;Inputs!$F$9),Waterfall!AE7/(Debt!AE68+Debt!AE98+Debt!AE99),"")</f>
        <v/>
      </c>
      <c r="AF11" s="31" t="str">
        <f aca="false">IF(AND(Time!AF30=1,Time!AF47=1,Debt!AF68+Debt!AF98+Debt!AF99&gt;Inputs!$F$9),Waterfall!AF7/(Debt!AF68+Debt!AF98+Debt!AF99),"")</f>
        <v/>
      </c>
      <c r="AG11" s="31" t="str">
        <f aca="false">IF(AND(Time!AG30=1,Time!AG47=1,Debt!AG68+Debt!AG98+Debt!AG99&gt;Inputs!$F$9),Waterfall!AG7/(Debt!AG68+Debt!AG98+Debt!AG99),"")</f>
        <v/>
      </c>
      <c r="AH11" s="31" t="str">
        <f aca="false">IF(AND(Time!AH30=1,Time!AH47=1,Debt!AH68+Debt!AH98+Debt!AH99&gt;Inputs!$F$9),Waterfall!AH7/(Debt!AH68+Debt!AH98+Debt!AH99),"")</f>
        <v/>
      </c>
      <c r="AI11" s="31" t="str">
        <f aca="false">IF(AND(Time!AI30=1,Time!AI47=1,Debt!AI68+Debt!AI98+Debt!AI99&gt;Inputs!$F$9),Waterfall!AI7/(Debt!AI68+Debt!AI98+Debt!AI99),"")</f>
        <v/>
      </c>
      <c r="AJ11" s="31" t="n">
        <f aca="false">IF(AND(Time!AJ30=1,Time!AJ47=1,Debt!AJ68+Debt!AJ98+Debt!AJ99&gt;Inputs!$F$9),Waterfall!AJ7/(Debt!AJ68+Debt!AJ98+Debt!AJ99),"")</f>
        <v>1.77363914018649</v>
      </c>
      <c r="AK11" s="31" t="n">
        <f aca="false">IF(AND(Time!AK30=1,Time!AK47=1,Debt!AK68+Debt!AK98+Debt!AK99&gt;Inputs!$F$9),Waterfall!AK7/(Debt!AK68+Debt!AK98+Debt!AK99),"")</f>
        <v>1.65584257626591</v>
      </c>
      <c r="AL11" s="31" t="n">
        <f aca="false">IF(AND(Time!AL30=1,Time!AL47=1,Debt!AL68+Debt!AL98+Debt!AL99&gt;Inputs!$F$9),Waterfall!AL7/(Debt!AL68+Debt!AL98+Debt!AL99),"")</f>
        <v>1.70728936601593</v>
      </c>
      <c r="AM11" s="31" t="n">
        <f aca="false">IF(AND(Time!AM30=1,Time!AM47=1,Debt!AM68+Debt!AM98+Debt!AM99&gt;Inputs!$F$9),Waterfall!AM7/(Debt!AM68+Debt!AM98+Debt!AM99),"")</f>
        <v>1.77499739918843</v>
      </c>
      <c r="AN11" s="31" t="n">
        <f aca="false">IF(AND(Time!AN30=1,Time!AN47=1,Debt!AN68+Debt!AN98+Debt!AN99&gt;Inputs!$F$9),Waterfall!AN7/(Debt!AN68+Debt!AN98+Debt!AN99),"")</f>
        <v>1.82977825584279</v>
      </c>
      <c r="AO11" s="31" t="n">
        <f aca="false">IF(AND(Time!AO30=1,Time!AO47=1,Debt!AO68+Debt!AO98+Debt!AO99&gt;Inputs!$F$9),Waterfall!AO7/(Debt!AO68+Debt!AO98+Debt!AO99),"")</f>
        <v>2.00189832343952</v>
      </c>
      <c r="AP11" s="31" t="n">
        <f aca="false">IF(AND(Time!AP30=1,Time!AP47=1,Debt!AP68+Debt!AP98+Debt!AP99&gt;Inputs!$F$9),Waterfall!AP7/(Debt!AP68+Debt!AP98+Debt!AP99),"")</f>
        <v>2.0478149400072</v>
      </c>
      <c r="AQ11" s="31" t="n">
        <f aca="false">IF(AND(Time!AQ30=1,Time!AQ47=1,Debt!AQ68+Debt!AQ98+Debt!AQ99&gt;Inputs!$F$9),Waterfall!AQ7/(Debt!AQ68+Debt!AQ98+Debt!AQ99),"")</f>
        <v>1.81451016875562</v>
      </c>
      <c r="AR11" s="31" t="n">
        <f aca="false">IF(AND(Time!AR30=1,Time!AR47=1,Debt!AR68+Debt!AR98+Debt!AR99&gt;Inputs!$F$9),Waterfall!AR7/(Debt!AR68+Debt!AR98+Debt!AR99),"")</f>
        <v>1.87990929109817</v>
      </c>
      <c r="AS11" s="31" t="n">
        <f aca="false">IF(AND(Time!AS30=1,Time!AS47=1,Debt!AS68+Debt!AS98+Debt!AS99&gt;Inputs!$F$9),Waterfall!AS7/(Debt!AS68+Debt!AS98+Debt!AS99),"")</f>
        <v>1.95771421909489</v>
      </c>
      <c r="AT11" s="31" t="n">
        <f aca="false">IF(AND(Time!AT30=1,Time!AT47=1,Debt!AT68+Debt!AT98+Debt!AT99&gt;Inputs!$F$9),Waterfall!AT7/(Debt!AT68+Debt!AT98+Debt!AT99),"")</f>
        <v>2.02153665236051</v>
      </c>
      <c r="AU11" s="31" t="n">
        <f aca="false">IF(AND(Time!AU30=1,Time!AU47=1,Debt!AU68+Debt!AU98+Debt!AU99&gt;Inputs!$F$9),Waterfall!AU7/(Debt!AU68+Debt!AU98+Debt!AU99),"")</f>
        <v>2.08476241265736</v>
      </c>
      <c r="AV11" s="31" t="n">
        <f aca="false">IF(AND(Time!AV30=1,Time!AV47=1,Debt!AV68+Debt!AV98+Debt!AV99&gt;Inputs!$F$9),Waterfall!AV7/(Debt!AV68+Debt!AV98+Debt!AV99),"")</f>
        <v>2.12286737761178</v>
      </c>
      <c r="AW11" s="31" t="n">
        <f aca="false">IF(AND(Time!AW30=1,Time!AW47=1,Debt!AW68+Debt!AW98+Debt!AW99&gt;Inputs!$F$9),Waterfall!AW7/(Debt!AW68+Debt!AW98+Debt!AW99),"")</f>
        <v>2.11453119702601</v>
      </c>
      <c r="AX11" s="31" t="n">
        <f aca="false">IF(AND(Time!AX30=1,Time!AX47=1,Debt!AX68+Debt!AX98+Debt!AX99&gt;Inputs!$F$9),Waterfall!AX7/(Debt!AX68+Debt!AX98+Debt!AX99),"")</f>
        <v>2.12203078711961</v>
      </c>
      <c r="AY11" s="31" t="n">
        <f aca="false">IF(AND(Time!AY30=1,Time!AY47=1,Debt!AY68+Debt!AY98+Debt!AY99&gt;Inputs!$F$9),Waterfall!AY7/(Debt!AY68+Debt!AY98+Debt!AY99),"")</f>
        <v>2.1343421787815</v>
      </c>
      <c r="AZ11" s="31" t="n">
        <f aca="false">IF(AND(Time!AZ30=1,Time!AZ47=1,Debt!AZ68+Debt!AZ98+Debt!AZ99&gt;Inputs!$F$9),Waterfall!AZ7/(Debt!AZ68+Debt!AZ98+Debt!AZ99),"")</f>
        <v>2.14193663749431</v>
      </c>
      <c r="BA11" s="31" t="n">
        <f aca="false">IF(AND(Time!BA30=1,Time!BA47=1,Debt!BA68+Debt!BA98+Debt!BA99&gt;Inputs!$F$9),Waterfall!BA7/(Debt!BA68+Debt!BA98+Debt!BA99),"")</f>
        <v>2.14029780269179</v>
      </c>
      <c r="BB11" s="31" t="n">
        <f aca="false">IF(AND(Time!BB30=1,Time!BB47=1,Debt!BB68+Debt!BB98+Debt!BB99&gt;Inputs!$F$9),Waterfall!BB7/(Debt!BB68+Debt!BB98+Debt!BB99),"")</f>
        <v>2.14807874808893</v>
      </c>
      <c r="BC11" s="31" t="n">
        <f aca="false">IF(AND(Time!BC30=1,Time!BC47=1,Debt!BC68+Debt!BC98+Debt!BC99&gt;Inputs!$F$9),Waterfall!BC7/(Debt!BC68+Debt!BC98+Debt!BC99),"")</f>
        <v>2.11980848347411</v>
      </c>
      <c r="BD11" s="31" t="n">
        <f aca="false">IF(AND(Time!BD30=1,Time!BD47=1,Debt!BD68+Debt!BD98+Debt!BD99&gt;Inputs!$F$9),Waterfall!BD7/(Debt!BD68+Debt!BD98+Debt!BD99),"")</f>
        <v>2.12678431952986</v>
      </c>
      <c r="BE11" s="31" t="n">
        <f aca="false">IF(AND(Time!BE30=1,Time!BE47=1,Debt!BE68+Debt!BE98+Debt!BE99&gt;Inputs!$F$9),Waterfall!BE7/(Debt!BE68+Debt!BE98+Debt!BE99),"")</f>
        <v>2.1155574090866</v>
      </c>
      <c r="BF11" s="31" t="n">
        <f aca="false">IF(AND(Time!BF30=1,Time!BF47=1,Debt!BF68+Debt!BF98+Debt!BF99&gt;Inputs!$F$9),Waterfall!BF7/(Debt!BF68+Debt!BF98+Debt!BF99),"")</f>
        <v>2.12226165534905</v>
      </c>
      <c r="BG11" s="31" t="n">
        <f aca="false">IF(AND(Time!BG30=1,Time!BG47=1,Debt!BG68+Debt!BG98+Debt!BG99&gt;Inputs!$F$9),Waterfall!BG7/(Debt!BG68+Debt!BG98+Debt!BG99),"")</f>
        <v>2.12173010086884</v>
      </c>
      <c r="BH11" s="31" t="n">
        <f aca="false">IF(AND(Time!BH30=1,Time!BH47=1,Debt!BH68+Debt!BH98+Debt!BH99&gt;Inputs!$F$9),Waterfall!BH7/(Debt!BH68+Debt!BH98+Debt!BH99),"")</f>
        <v>2.12844000828116</v>
      </c>
      <c r="BI11" s="31" t="n">
        <f aca="false">IF(AND(Time!BI30=1,Time!BI47=1,Debt!BI68+Debt!BI98+Debt!BI99&gt;Inputs!$F$9),Waterfall!BI7/(Debt!BI68+Debt!BI98+Debt!BI99),"")</f>
        <v>2.12803178508816</v>
      </c>
      <c r="BJ11" s="31" t="n">
        <f aca="false">IF(AND(Time!BJ30=1,Time!BJ47=1,Debt!BJ68+Debt!BJ98+Debt!BJ99&gt;Inputs!$F$9),Waterfall!BJ7/(Debt!BJ68+Debt!BJ98+Debt!BJ99),"")</f>
        <v>2.13474456781617</v>
      </c>
      <c r="BK11" s="31" t="n">
        <f aca="false">IF(AND(Time!BK30=1,Time!BK47=1,Debt!BK68+Debt!BK98+Debt!BK99&gt;Inputs!$F$9),Waterfall!BK7/(Debt!BK68+Debt!BK98+Debt!BK99),"")</f>
        <v>2.13445796550942</v>
      </c>
      <c r="BL11" s="31" t="n">
        <f aca="false">IF(AND(Time!BL30=1,Time!BL47=1,Debt!BL68+Debt!BL98+Debt!BL99&gt;Inputs!$F$9),Waterfall!BL7/(Debt!BL68+Debt!BL98+Debt!BL99),"")</f>
        <v>2.14117714666206</v>
      </c>
      <c r="BM11" s="31" t="n">
        <f aca="false">IF(AND(Time!BM30=1,Time!BM47=1,Debt!BM68+Debt!BM98+Debt!BM99&gt;Inputs!$F$9),Waterfall!BM7/(Debt!BM68+Debt!BM98+Debt!BM99),"")</f>
        <v>2.14095463049732</v>
      </c>
      <c r="BN11" s="31" t="n">
        <f aca="false">IF(AND(Time!BN30=1,Time!BN47=1,Debt!BN68+Debt!BN98+Debt!BN99&gt;Inputs!$F$9),Waterfall!BN7/(Debt!BN68+Debt!BN98+Debt!BN99),"")</f>
        <v>2.14767716676042</v>
      </c>
      <c r="BO11" s="31" t="n">
        <f aca="false">IF(AND(Time!BO30=1,Time!BO47=1,Debt!BO68+Debt!BO98+Debt!BO99&gt;Inputs!$F$9),Waterfall!BO7/(Debt!BO68+Debt!BO98+Debt!BO99),"")</f>
        <v>2.19678679300213</v>
      </c>
      <c r="BP11" s="31" t="n">
        <f aca="false">IF(AND(Time!BP30=1,Time!BP47=1,Debt!BP68+Debt!BP98+Debt!BP99&gt;Inputs!$F$9),Waterfall!BP7/(Debt!BP68+Debt!BP98+Debt!BP99),"")</f>
        <v>2.20426758071058</v>
      </c>
      <c r="BQ11" s="31" t="n">
        <f aca="false">IF(AND(Time!BQ30=1,Time!BQ47=1,Debt!BQ68+Debt!BQ98+Debt!BQ99&gt;Inputs!$F$9),Waterfall!BQ7/(Debt!BQ68+Debt!BQ98+Debt!BQ99),"")</f>
        <v>1.88804173256211</v>
      </c>
      <c r="BR11" s="31" t="n">
        <f aca="false">IF(AND(Time!BR30=1,Time!BR47=1,Debt!BR68+Debt!BR98+Debt!BR99&gt;Inputs!$F$9),Waterfall!BR7/(Debt!BR68+Debt!BR98+Debt!BR99),"")</f>
        <v>1.71853224457755</v>
      </c>
      <c r="BS11" s="31" t="n">
        <f aca="false">IF(AND(Time!BS30=1,Time!BS47=1,Debt!BS68+Debt!BS98+Debt!BS99&gt;Inputs!$F$9),Waterfall!BS7/(Debt!BS68+Debt!BS98+Debt!BS99),"")</f>
        <v>1.70623774782567</v>
      </c>
      <c r="BT11" s="31" t="n">
        <f aca="false">IF(AND(Time!BT30=1,Time!BT47=1,Debt!BT68+Debt!BT98+Debt!BT99&gt;Inputs!$F$9),Waterfall!BT7/(Debt!BT68+Debt!BT98+Debt!BT99),"")</f>
        <v>1.70519775288312</v>
      </c>
      <c r="BU11" s="31" t="n">
        <f aca="false">IF(AND(Time!BU30=1,Time!BU47=1,Debt!BU68+Debt!BU98+Debt!BU99&gt;Inputs!$F$9),Waterfall!BU7/(Debt!BU68+Debt!BU98+Debt!BU99),"")</f>
        <v>2.16253402017094</v>
      </c>
      <c r="BV11" s="31" t="n">
        <f aca="false">IF(AND(Time!BV30=1,Time!BV47=1,Debt!BV68+Debt!BV98+Debt!BV99&gt;Inputs!$F$9),Waterfall!BV7/(Debt!BV68+Debt!BV98+Debt!BV99),"")</f>
        <v>1.76537832213345</v>
      </c>
      <c r="BW11" s="31" t="n">
        <f aca="false">IF(AND(Time!BW30=1,Time!BW47=1,Debt!BW68+Debt!BW98+Debt!BW99&gt;Inputs!$F$9),Waterfall!BW7/(Debt!BW68+Debt!BW98+Debt!BW99),"")</f>
        <v>1.70770061241601</v>
      </c>
      <c r="BX11" s="31" t="n">
        <f aca="false">IF(AND(Time!BX30=1,Time!BX47=1,Debt!BX68+Debt!BX98+Debt!BX99&gt;Inputs!$F$9),Waterfall!BX7/(Debt!BX68+Debt!BX98+Debt!BX99),"")</f>
        <v>1.70544734763719</v>
      </c>
      <c r="BY11" s="31" t="n">
        <f aca="false">IF(AND(Time!BY30=1,Time!BY47=1,Debt!BY68+Debt!BY98+Debt!BY99&gt;Inputs!$F$9),Waterfall!BY7/(Debt!BY68+Debt!BY98+Debt!BY99),"")</f>
        <v>1.69386132214767</v>
      </c>
      <c r="BZ11" s="31" t="n">
        <f aca="false">IF(AND(Time!BZ30=1,Time!BZ47=1,Debt!BZ68+Debt!BZ98+Debt!BZ99&gt;Inputs!$F$9),Waterfall!BZ7/(Debt!BZ68+Debt!BZ98+Debt!BZ99),"")</f>
        <v>1.69151178540311</v>
      </c>
      <c r="CA11" s="31" t="n">
        <f aca="false">IF(AND(Time!CA30=1,Time!CA47=1,Debt!CA68+Debt!CA98+Debt!CA99&gt;Inputs!$F$9),Waterfall!CA7/(Debt!CA68+Debt!CA98+Debt!CA99),"")</f>
        <v>1.66110032512299</v>
      </c>
      <c r="CB11" s="31" t="n">
        <f aca="false">IF(AND(Time!CB30=1,Time!CB47=1,Debt!CB68+Debt!CB98+Debt!CB99&gt;Inputs!$F$9),Waterfall!CB7/(Debt!CB68+Debt!CB98+Debt!CB99),"")</f>
        <v>1.65876473092589</v>
      </c>
      <c r="CC11" s="31" t="n">
        <f aca="false">IF(AND(Time!CC30=1,Time!CC47=1,Debt!CC68+Debt!CC98+Debt!CC99&gt;Inputs!$F$9),Waterfall!CC7/(Debt!CC68+Debt!CC98+Debt!CC99),"")</f>
        <v>1.64821814586701</v>
      </c>
      <c r="CD11" s="31" t="n">
        <f aca="false">IF(AND(Time!CD30=1,Time!CD47=1,Debt!CD68+Debt!CD98+Debt!CD99&gt;Inputs!$F$9),Waterfall!CD7/(Debt!CD68+Debt!CD98+Debt!CD99),"")</f>
        <v>1.64563125510485</v>
      </c>
      <c r="CE11" s="31" t="n">
        <f aca="false">IF(AND(Time!CE30=1,Time!CE47=1,Debt!CE68+Debt!CE98+Debt!CE99&gt;Inputs!$F$9),Waterfall!CE7/(Debt!CE68+Debt!CE98+Debt!CE99),"")</f>
        <v>1.62465833073491</v>
      </c>
      <c r="CF11" s="31" t="n">
        <f aca="false">IF(AND(Time!CF30=1,Time!CF47=1,Debt!CF68+Debt!CF98+Debt!CF99&gt;Inputs!$F$9),Waterfall!CF7/(Debt!CF68+Debt!CF98+Debt!CF99),"")</f>
        <v>1.84356090751652</v>
      </c>
      <c r="CG11" s="31" t="n">
        <f aca="false">IF(AND(Time!CG30=1,Time!CG47=1,Debt!CG68+Debt!CG98+Debt!CG99&gt;Inputs!$F$9),Waterfall!CG7/(Debt!CG68+Debt!CG98+Debt!CG99),"")</f>
        <v>2.1456051548978</v>
      </c>
      <c r="CH11" s="31" t="str">
        <f aca="false">IF(AND(Time!CH30=1,Time!CH47=1,Debt!CH68+Debt!CH98+Debt!CH99&gt;Inputs!$F$9),Waterfall!CH7/(Debt!CH68+Debt!CH98+Debt!CH99),"")</f>
        <v/>
      </c>
      <c r="CI11" s="31" t="str">
        <f aca="false">IF(AND(Time!CI30=1,Time!CI47=1,Debt!CI68+Debt!CI98+Debt!CI99&gt;Inputs!$F$9),Waterfall!CI7/(Debt!CI68+Debt!CI98+Debt!CI99),"")</f>
        <v/>
      </c>
      <c r="CJ11" s="31" t="str">
        <f aca="false">IF(AND(Time!CJ30=1,Time!CJ47=1,Debt!CJ68+Debt!CJ98+Debt!CJ99&gt;Inputs!$F$9),Waterfall!CJ7/(Debt!CJ68+Debt!CJ98+Debt!CJ99),"")</f>
        <v/>
      </c>
      <c r="CK11" s="31" t="str">
        <f aca="false">IF(AND(Time!CK30=1,Time!CK47=1,Debt!CK68+Debt!CK98+Debt!CK99&gt;Inputs!$F$9),Waterfall!CK7/(Debt!CK68+Debt!CK98+Debt!CK99),"")</f>
        <v/>
      </c>
      <c r="CL11" s="31" t="str">
        <f aca="false">IF(AND(Time!CL30=1,Time!CL47=1,Debt!CL68+Debt!CL98+Debt!CL99&gt;Inputs!$F$9),Waterfall!CL7/(Debt!CL68+Debt!CL98+Debt!CL99),"")</f>
        <v/>
      </c>
      <c r="CM11" s="31" t="str">
        <f aca="false">IF(AND(Time!CM30=1,Time!CM47=1,Debt!CM68+Debt!CM98+Debt!CM99&gt;Inputs!$F$9),Waterfall!CM7/(Debt!CM68+Debt!CM98+Debt!CM99),"")</f>
        <v/>
      </c>
      <c r="CN11" s="31" t="str">
        <f aca="false">IF(AND(Time!CN30=1,Time!CN47=1,Debt!CN68+Debt!CN98+Debt!CN99&gt;Inputs!$F$9),Waterfall!CN7/(Debt!CN68+Debt!CN98+Debt!CN99),"")</f>
        <v/>
      </c>
      <c r="CO11" s="31" t="str">
        <f aca="false">IF(AND(Time!CO30=1,Time!CO47=1,Debt!CO68+Debt!CO98+Debt!CO99&gt;Inputs!$F$9),Waterfall!CO7/(Debt!CO68+Debt!CO98+Debt!CO99),"")</f>
        <v/>
      </c>
      <c r="CP11" s="31" t="str">
        <f aca="false">IF(AND(Time!CP30=1,Time!CP47=1,Debt!CP68+Debt!CP98+Debt!CP99&gt;Inputs!$F$9),Waterfall!CP7/(Debt!CP68+Debt!CP98+Debt!CP99),"")</f>
        <v/>
      </c>
      <c r="CQ11" s="31" t="str">
        <f aca="false">IF(AND(Time!CQ30=1,Time!CQ47=1,Debt!CQ68+Debt!CQ98+Debt!CQ99&gt;Inputs!$F$9),Waterfall!CQ7/(Debt!CQ68+Debt!CQ98+Debt!CQ99),"")</f>
        <v/>
      </c>
      <c r="CR11" s="31" t="str">
        <f aca="false">IF(AND(Time!CR30=1,Time!CR47=1,Debt!CR68+Debt!CR98+Debt!CR99&gt;Inputs!$F$9),Waterfall!CR7/(Debt!CR68+Debt!CR98+Debt!CR99),"")</f>
        <v/>
      </c>
      <c r="CS11" s="31" t="str">
        <f aca="false">IF(AND(Time!CS30=1,Time!CS47=1,Debt!CS68+Debt!CS98+Debt!CS99&gt;Inputs!$F$9),Waterfall!CS7/(Debt!CS68+Debt!CS98+Debt!CS99),"")</f>
        <v/>
      </c>
      <c r="CT11" s="31" t="str">
        <f aca="false">IF(AND(Time!CT30=1,Time!CT47=1,Debt!CT68+Debt!CT98+Debt!CT99&gt;Inputs!$F$9),Waterfall!CT7/(Debt!CT68+Debt!CT98+Debt!CT99),"")</f>
        <v/>
      </c>
      <c r="CU11" s="31" t="str">
        <f aca="false">IF(AND(Time!CU30=1,Time!CU47=1,Debt!CU68+Debt!CU98+Debt!CU99&gt;Inputs!$F$9),Waterfall!CU7/(Debt!CU68+Debt!CU98+Debt!CU99),"")</f>
        <v/>
      </c>
      <c r="CV11" s="31" t="str">
        <f aca="false">IF(AND(Time!CV30=1,Time!CV47=1,Debt!CV68+Debt!CV98+Debt!CV99&gt;Inputs!$F$9),Waterfall!CV7/(Debt!CV68+Debt!CV98+Debt!CV99),"")</f>
        <v/>
      </c>
      <c r="CW11" s="31" t="str">
        <f aca="false">IF(AND(Time!CW30=1,Time!CW47=1,Debt!CW68+Debt!CW98+Debt!CW99&gt;Inputs!$F$9),Waterfall!CW7/(Debt!CW68+Debt!CW98+Debt!CW99),"")</f>
        <v/>
      </c>
      <c r="CX11" s="31" t="str">
        <f aca="false">IF(AND(Time!CX30=1,Time!CX47=1,Debt!CX68+Debt!CX98+Debt!CX99&gt;Inputs!$F$9),Waterfall!CX7/(Debt!CX68+Debt!CX98+Debt!CX99),"")</f>
        <v/>
      </c>
      <c r="CY11" s="31" t="str">
        <f aca="false">IF(AND(Time!CY30=1,Time!CY47=1,Debt!CY68+Debt!CY98+Debt!CY99&gt;Inputs!$F$9),Waterfall!CY7/(Debt!CY68+Debt!CY98+Debt!CY99),"")</f>
        <v/>
      </c>
      <c r="CZ11" s="31" t="str">
        <f aca="false">IF(AND(Time!CZ30=1,Time!CZ47=1,Debt!CZ68+Debt!CZ98+Debt!CZ99&gt;Inputs!$F$9),Waterfall!CZ7/(Debt!CZ68+Debt!CZ98+Debt!CZ99),"")</f>
        <v/>
      </c>
      <c r="DA11" s="31" t="str">
        <f aca="false">IF(AND(Time!DA30=1,Time!DA47=1,Debt!DA68+Debt!DA98+Debt!DA99&gt;Inputs!$F$9),Waterfall!DA7/(Debt!DA68+Debt!DA98+Debt!DA99),"")</f>
        <v/>
      </c>
      <c r="DB11" s="31" t="str">
        <f aca="false">IF(AND(Time!DB30=1,Time!DB47=1,Debt!DB68+Debt!DB98+Debt!DB99&gt;Inputs!$F$9),Waterfall!DB7/(Debt!DB68+Debt!DB98+Debt!DB99),"")</f>
        <v/>
      </c>
    </row>
    <row r="12" customFormat="false" ht="15" hidden="false" customHeight="false" outlineLevel="0" collapsed="false">
      <c r="D12" s="0" t="s">
        <v>672</v>
      </c>
      <c r="E12" s="0" t="s">
        <v>126</v>
      </c>
      <c r="F12" s="31" t="n">
        <f aca="false">IF(COUNT($J$11:$DB$11)&gt;0,MIN($J$11:$DB$11),0)</f>
        <v>1.62465833073491</v>
      </c>
    </row>
    <row r="13" customFormat="false" ht="15" hidden="false" customHeight="false" outlineLevel="0" collapsed="false">
      <c r="D13" s="0" t="s">
        <v>673</v>
      </c>
      <c r="E13" s="0" t="s">
        <v>171</v>
      </c>
      <c r="J13" s="27" t="n">
        <f aca="false">IF(Time!J8&gt;=Inputs!$F$21,IF(I13&gt;0,I13,1)/(1+Debt!J9),0)</f>
        <v>0</v>
      </c>
      <c r="K13" s="27" t="n">
        <f aca="false">IF(Time!K8&gt;=Inputs!$F$21,IF(J13&gt;0,J13,1)/(1+Debt!K9),0)</f>
        <v>0</v>
      </c>
      <c r="L13" s="27" t="n">
        <f aca="false">IF(Time!L8&gt;=Inputs!$F$21,IF(K13&gt;0,K13,1)/(1+Debt!L9),0)</f>
        <v>0</v>
      </c>
      <c r="M13" s="27" t="n">
        <f aca="false">IF(Time!M8&gt;=Inputs!$F$21,IF(L13&gt;0,L13,1)/(1+Debt!M9),0)</f>
        <v>0</v>
      </c>
      <c r="N13" s="27" t="n">
        <f aca="false">IF(Time!N8&gt;=Inputs!$F$21,IF(M13&gt;0,M13,1)/(1+Debt!N9),0)</f>
        <v>0</v>
      </c>
      <c r="O13" s="27" t="n">
        <f aca="false">IF(Time!O8&gt;=Inputs!$F$21,IF(N13&gt;0,N13,1)/(1+Debt!O9),0)</f>
        <v>0</v>
      </c>
      <c r="P13" s="27" t="n">
        <f aca="false">IF(Time!P8&gt;=Inputs!$F$21,IF(O13&gt;0,O13,1)/(1+Debt!P9),0)</f>
        <v>0</v>
      </c>
      <c r="Q13" s="27" t="n">
        <f aca="false">IF(Time!Q8&gt;=Inputs!$F$21,IF(P13&gt;0,P13,1)/(1+Debt!Q9),0)</f>
        <v>0</v>
      </c>
      <c r="R13" s="27" t="n">
        <f aca="false">IF(Time!R8&gt;=Inputs!$F$21,IF(Q13&gt;0,Q13,1)/(1+Debt!R9),0)</f>
        <v>0</v>
      </c>
      <c r="S13" s="27" t="n">
        <f aca="false">IF(Time!S8&gt;=Inputs!$F$21,IF(R13&gt;0,R13,1)/(1+Debt!S9),0)</f>
        <v>0</v>
      </c>
      <c r="T13" s="27" t="n">
        <f aca="false">IF(Time!T8&gt;=Inputs!$F$21,IF(S13&gt;0,S13,1)/(1+Debt!T9),0)</f>
        <v>0</v>
      </c>
      <c r="U13" s="27" t="n">
        <f aca="false">IF(Time!U8&gt;=Inputs!$F$21,IF(T13&gt;0,T13,1)/(1+Debt!U9),0)</f>
        <v>0</v>
      </c>
      <c r="V13" s="27" t="n">
        <f aca="false">IF(Time!V8&gt;=Inputs!$F$21,IF(U13&gt;0,U13,1)/(1+Debt!V9),0)</f>
        <v>0</v>
      </c>
      <c r="W13" s="27" t="n">
        <f aca="false">IF(Time!W8&gt;=Inputs!$F$21,IF(V13&gt;0,V13,1)/(1+Debt!W9),0)</f>
        <v>0</v>
      </c>
      <c r="X13" s="27" t="n">
        <f aca="false">IF(Time!X8&gt;=Inputs!$F$21,IF(W13&gt;0,W13,1)/(1+Debt!X9),0)</f>
        <v>0</v>
      </c>
      <c r="Y13" s="27" t="n">
        <f aca="false">IF(Time!Y8&gt;=Inputs!$F$21,IF(X13&gt;0,X13,1)/(1+Debt!Y9),0)</f>
        <v>0</v>
      </c>
      <c r="Z13" s="27" t="n">
        <f aca="false">IF(Time!Z8&gt;=Inputs!$F$21,IF(Y13&gt;0,Y13,1)/(1+Debt!Z9),0)</f>
        <v>0</v>
      </c>
      <c r="AA13" s="27" t="n">
        <f aca="false">IF(Time!AA8&gt;=Inputs!$F$21,IF(Z13&gt;0,Z13,1)/(1+Debt!AA9),0)</f>
        <v>0</v>
      </c>
      <c r="AB13" s="27" t="n">
        <f aca="false">IF(Time!AB8&gt;=Inputs!$F$21,IF(AA13&gt;0,AA13,1)/(1+Debt!AB9),0)</f>
        <v>0</v>
      </c>
      <c r="AC13" s="27" t="n">
        <f aca="false">IF(Time!AC8&gt;=Inputs!$F$21,IF(AB13&gt;0,AB13,1)/(1+Debt!AC9),0)</f>
        <v>0</v>
      </c>
      <c r="AD13" s="27" t="n">
        <f aca="false">IF(Time!AD8&gt;=Inputs!$F$21,IF(AC13&gt;0,AC13,1)/(1+Debt!AD9),0)</f>
        <v>0.973799854875808</v>
      </c>
      <c r="AE13" s="27" t="n">
        <f aca="false">IF(Time!AE8&gt;=Inputs!$F$21,IF(AD13&gt;0,AD13,1)/(1+Debt!AE9),0)</f>
        <v>0.948078542462012</v>
      </c>
      <c r="AF13" s="27" t="n">
        <f aca="false">IF(Time!AF8&gt;=Inputs!$F$21,IF(AE13&gt;0,AE13,1)/(1+Debt!AF9),0)</f>
        <v>0.923370667591315</v>
      </c>
      <c r="AG13" s="27" t="n">
        <f aca="false">IF(Time!AG8&gt;=Inputs!$F$21,IF(AF13&gt;0,AF13,1)/(1+Debt!AG9),0)</f>
        <v>0.899676809935699</v>
      </c>
      <c r="AH13" s="27" t="n">
        <f aca="false">IF(Time!AH8&gt;=Inputs!$F$21,IF(AG13&gt;0,AG13,1)/(1+Debt!AH9),0)</f>
        <v>0.876771988482153</v>
      </c>
      <c r="AI13" s="27" t="n">
        <f aca="false">IF(Time!AI8&gt;=Inputs!$F$21,IF(AH13&gt;0,AH13,1)/(1+Debt!AI9),0)</f>
        <v>0.85427386132622</v>
      </c>
      <c r="AJ13" s="27" t="n">
        <f aca="false">IF(Time!AJ8&gt;=Inputs!$F$21,IF(AI13&gt;0,AI13,1)/(1+Debt!AJ9),0)</f>
        <v>0.832467639495786</v>
      </c>
      <c r="AK13" s="27" t="n">
        <f aca="false">IF(Time!AK8&gt;=Inputs!$F$21,IF(AJ13&gt;0,AJ13,1)/(1+Debt!AK9),0)</f>
        <v>0.811106369915311</v>
      </c>
      <c r="AL13" s="27" t="n">
        <f aca="false">IF(Time!AL8&gt;=Inputs!$F$21,IF(AK13&gt;0,AK13,1)/(1+Debt!AL9),0)</f>
        <v>0.790456458327536</v>
      </c>
      <c r="AM13" s="27" t="n">
        <f aca="false">IF(Time!AM8&gt;=Inputs!$F$21,IF(AL13&gt;0,AL13,1)/(1+Debt!AM9),0)</f>
        <v>0.770173203223244</v>
      </c>
      <c r="AN13" s="27" t="n">
        <f aca="false">IF(Time!AN8&gt;=Inputs!$F$21,IF(AM13&gt;0,AM13,1)/(1+Debt!AN9),0)</f>
        <v>0.750565406830898</v>
      </c>
      <c r="AO13" s="27" t="n">
        <f aca="false">IF(Time!AO8&gt;=Inputs!$F$21,IF(AN13&gt;0,AN13,1)/(1+Debt!AO9),0)</f>
        <v>0.731305763293518</v>
      </c>
      <c r="AP13" s="27" t="n">
        <f aca="false">IF(Time!AP8&gt;=Inputs!$F$21,IF(AO13&gt;0,AO13,1)/(1+Debt!AP9),0)</f>
        <v>0.712687490874799</v>
      </c>
      <c r="AQ13" s="27" t="n">
        <f aca="false">IF(Time!AQ8&gt;=Inputs!$F$21,IF(AP13&gt;0,AP13,1)/(1+Debt!AQ9),0)</f>
        <v>0.694399801483739</v>
      </c>
      <c r="AR13" s="27" t="n">
        <f aca="false">IF(Time!AR8&gt;=Inputs!$F$21,IF(AQ13&gt;0,AQ13,1)/(1+Debt!AR9),0)</f>
        <v>0.676674530003869</v>
      </c>
      <c r="AS13" s="27" t="n">
        <f aca="false">IF(Time!AS8&gt;=Inputs!$F$21,IF(AR13&gt;0,AR13,1)/(1+Debt!AS9),0)</f>
        <v>0.659310939675711</v>
      </c>
      <c r="AT13" s="27" t="n">
        <f aca="false">IF(Time!AT8&gt;=Inputs!$F$21,IF(AS13&gt;0,AS13,1)/(1+Debt!AT9),0)</f>
        <v>0.64252557943427</v>
      </c>
      <c r="AU13" s="27" t="n">
        <f aca="false">IF(Time!AU8&gt;=Inputs!$F$21,IF(AT13&gt;0,AT13,1)/(1+Debt!AU9),0)</f>
        <v>0.626038257328921</v>
      </c>
      <c r="AV13" s="27" t="n">
        <f aca="false">IF(Time!AV8&gt;=Inputs!$F$21,IF(AU13&gt;0,AU13,1)/(1+Debt!AV9),0)</f>
        <v>0.610099984441536</v>
      </c>
      <c r="AW13" s="27" t="n">
        <f aca="false">IF(Time!AW8&gt;=Inputs!$F$21,IF(AV13&gt;0,AV13,1)/(1+Debt!AW9),0)</f>
        <v>0.59444470894447</v>
      </c>
      <c r="AX13" s="27" t="n">
        <f aca="false">IF(Time!AX8&gt;=Inputs!$F$21,IF(AW13&gt;0,AW13,1)/(1+Debt!AX9),0)</f>
        <v>0.579310774433752</v>
      </c>
      <c r="AY13" s="27" t="n">
        <f aca="false">IF(Time!AY8&gt;=Inputs!$F$21,IF(AX13&gt;0,AX13,1)/(1+Debt!AY9),0)</f>
        <v>0.564445555611495</v>
      </c>
      <c r="AZ13" s="27" t="n">
        <f aca="false">IF(Time!AZ8&gt;=Inputs!$F$21,IF(AY13&gt;0,AY13,1)/(1+Debt!AZ9),0)</f>
        <v>0.550037500356523</v>
      </c>
      <c r="BA13" s="27" t="n">
        <f aca="false">IF(Time!BA8&gt;=Inputs!$F$21,IF(AZ13&gt;0,AZ13,1)/(1+Debt!BA9),0)</f>
        <v>0.535923439020034</v>
      </c>
      <c r="BB13" s="27" t="n">
        <f aca="false">IF(Time!BB8&gt;=Inputs!$F$21,IF(BA13&gt;0,BA13,1)/(1+Debt!BB9),0)</f>
        <v>0.522279394238662</v>
      </c>
      <c r="BC13" s="27" t="n">
        <f aca="false">IF(Time!BC8&gt;=Inputs!$F$21,IF(BB13&gt;0,BB13,1)/(1+Debt!BC9),0)</f>
        <v>0.508877610905179</v>
      </c>
      <c r="BD13" s="27" t="n">
        <f aca="false">IF(Time!BD8&gt;=Inputs!$F$21,IF(BC13&gt;0,BC13,1)/(1+Debt!BD9),0)</f>
        <v>0.495922124345152</v>
      </c>
      <c r="BE13" s="27" t="n">
        <f aca="false">IF(Time!BE8&gt;=Inputs!$F$21,IF(BD13&gt;0,BD13,1)/(1+Debt!BE9),0)</f>
        <v>0.483196673304827</v>
      </c>
      <c r="BF13" s="27" t="n">
        <f aca="false">IF(Time!BF8&gt;=Inputs!$F$21,IF(BE13&gt;0,BE13,1)/(1+Debt!BF9),0)</f>
        <v>0.470894996295074</v>
      </c>
      <c r="BG13" s="27" t="n">
        <f aca="false">IF(Time!BG8&gt;=Inputs!$F$21,IF(BF13&gt;0,BF13,1)/(1+Debt!BG9),0)</f>
        <v>0.458791464687203</v>
      </c>
      <c r="BH13" s="27" t="n">
        <f aca="false">IF(Time!BH8&gt;=Inputs!$F$21,IF(BG13&gt;0,BG13,1)/(1+Debt!BH9),0)</f>
        <v>0.447060788627529</v>
      </c>
      <c r="BI13" s="27" t="n">
        <f aca="false">IF(Time!BI8&gt;=Inputs!$F$21,IF(BH13&gt;0,BH13,1)/(1+Debt!BI9),0)</f>
        <v>0.435569873607481</v>
      </c>
      <c r="BJ13" s="27" t="n">
        <f aca="false">IF(Time!BJ8&gt;=Inputs!$F$21,IF(BI13&gt;0,BI13,1)/(1+Debt!BJ9),0)</f>
        <v>0.424462263100906</v>
      </c>
      <c r="BK13" s="27" t="n">
        <f aca="false">IF(Time!BK8&gt;=Inputs!$F$21,IF(BJ13&gt;0,BJ13,1)/(1+Debt!BK9),0)</f>
        <v>0.41355220362223</v>
      </c>
      <c r="BL13" s="27" t="n">
        <f aca="false">IF(Time!BL8&gt;=Inputs!$F$21,IF(BK13&gt;0,BK13,1)/(1+Debt!BL9),0)</f>
        <v>0.403006072954546</v>
      </c>
      <c r="BM13" s="27" t="n">
        <f aca="false">IF(Time!BM8&gt;=Inputs!$F$21,IF(BL13&gt;0,BL13,1)/(1+Debt!BM9),0)</f>
        <v>0.392647507285879</v>
      </c>
      <c r="BN13" s="27" t="n">
        <f aca="false">IF(Time!BN8&gt;=Inputs!$F$21,IF(BM13&gt;0,BM13,1)/(1+Debt!BN9),0)</f>
        <v>0.38263447415026</v>
      </c>
      <c r="BO13" s="27" t="n">
        <f aca="false">IF(Time!BO8&gt;=Inputs!$F$21,IF(BN13&gt;0,BN13,1)/(1+Debt!BO9),0)</f>
        <v>0.372799524769663</v>
      </c>
      <c r="BP13" s="27" t="n">
        <f aca="false">IF(Time!BP8&gt;=Inputs!$F$21,IF(BO13&gt;0,BO13,1)/(1+Debt!BP9),0)</f>
        <v>0.36326754608899</v>
      </c>
      <c r="BQ13" s="27" t="n">
        <f aca="false">IF(Time!BQ8&gt;=Inputs!$F$21,IF(BP13&gt;0,BP13,1)/(1+Debt!BQ9),0)</f>
        <v>0.353930389693626</v>
      </c>
      <c r="BR13" s="27" t="n">
        <f aca="false">IF(Time!BR8&gt;=Inputs!$F$21,IF(BQ13&gt;0,BQ13,1)/(1+Debt!BR9),0)</f>
        <v>0.344904694498967</v>
      </c>
      <c r="BS13" s="27" t="n">
        <f aca="false">IF(Time!BS8&gt;=Inputs!$F$21,IF(BR13&gt;0,BR13,1)/(1+Debt!BS9),0)</f>
        <v>0.336039523060715</v>
      </c>
      <c r="BT13" s="27" t="n">
        <f aca="false">IF(Time!BT8&gt;=Inputs!$F$21,IF(BS13&gt;0,BS13,1)/(1+Debt!BT9),0)</f>
        <v>0.327470068736293</v>
      </c>
      <c r="BU13" s="27" t="n">
        <f aca="false">IF(Time!BU8&gt;=Inputs!$F$21,IF(BT13&gt;0,BT13,1)/(1+Debt!BU9),0)</f>
        <v>0.319053023835061</v>
      </c>
      <c r="BV13" s="27" t="n">
        <f aca="false">IF(Time!BV8&gt;=Inputs!$F$21,IF(BU13&gt;0,BU13,1)/(1+Debt!BV9),0)</f>
        <v>0.310916747810382</v>
      </c>
      <c r="BW13" s="27" t="n">
        <f aca="false">IF(Time!BW8&gt;=Inputs!$F$21,IF(BV13&gt;0,BV13,1)/(1+Debt!BW9),0)</f>
        <v>0.30292517704801</v>
      </c>
      <c r="BX13" s="27" t="n">
        <f aca="false">IF(Time!BX8&gt;=Inputs!$F$21,IF(BW13&gt;0,BW13,1)/(1+Debt!BX9),0)</f>
        <v>0.295179790754278</v>
      </c>
      <c r="BY13" s="27" t="n">
        <f aca="false">IF(Time!BY8&gt;=Inputs!$F$21,IF(BX13&gt;0,BX13,1)/(1+Debt!BY9),0)</f>
        <v>0.287592710926485</v>
      </c>
      <c r="BZ13" s="27" t="n">
        <f aca="false">IF(Time!BZ8&gt;=Inputs!$F$21,IF(BY13&gt;0,BY13,1)/(1+Debt!BZ9),0)</f>
        <v>0.280258714681418</v>
      </c>
      <c r="CA13" s="27" t="n">
        <f aca="false">IF(Time!CA8&gt;=Inputs!$F$21,IF(BZ13&gt;0,BZ13,1)/(1+Debt!CA9),0)</f>
        <v>0.273055154995679</v>
      </c>
      <c r="CB13" s="27" t="n">
        <f aca="false">IF(Time!CB8&gt;=Inputs!$F$21,IF(CA13&gt;0,CA13,1)/(1+Debt!CB9),0)</f>
        <v>0.266091885742494</v>
      </c>
      <c r="CC13" s="27" t="n">
        <f aca="false">IF(Time!CC8&gt;=Inputs!$F$21,IF(CB13&gt;0,CB13,1)/(1+Debt!CC9),0)</f>
        <v>0.259252459596492</v>
      </c>
      <c r="CD13" s="27" t="n">
        <f aca="false">IF(Time!CD8&gt;=Inputs!$F$21,IF(CC13&gt;0,CC13,1)/(1+Debt!CD9),0)</f>
        <v>0.252641177415245</v>
      </c>
      <c r="CE13" s="27" t="n">
        <f aca="false">IF(Time!CE8&gt;=Inputs!$F$21,IF(CD13&gt;0,CD13,1)/(1+Debt!CE9),0)</f>
        <v>0.246147478182181</v>
      </c>
      <c r="CF13" s="27" t="n">
        <f aca="false">IF(Time!CF8&gt;=Inputs!$F$21,IF(CE13&gt;0,CE13,1)/(1+Debt!CF9),0)</f>
        <v>0.23985382071096</v>
      </c>
      <c r="CG13" s="27" t="n">
        <f aca="false">IF(Time!CG8&gt;=Inputs!$F$21,IF(CF13&gt;0,CF13,1)/(1+Debt!CG9),0)</f>
        <v>0.233688798098521</v>
      </c>
      <c r="CH13" s="27" t="n">
        <f aca="false">IF(Time!CH8&gt;=Inputs!$F$21,IF(CG13&gt;0,CG13,1)/(1+Debt!CH9),0)</f>
        <v>0.227729423251198</v>
      </c>
      <c r="CI13" s="27" t="n">
        <f aca="false">IF(Time!CI8&gt;=Inputs!$F$21,IF(CH13&gt;0,CH13,1)/(1+Debt!CI9),0)</f>
        <v>0.221876037052472</v>
      </c>
      <c r="CJ13" s="27" t="n">
        <f aca="false">IF(Time!CJ8&gt;=Inputs!$F$21,IF(CI13&gt;0,CI13,1)/(1+Debt!CJ9),0)</f>
        <v>0.216217903307111</v>
      </c>
      <c r="CK13" s="27" t="n">
        <f aca="false">IF(Time!CK8&gt;=Inputs!$F$21,IF(CJ13&gt;0,CJ13,1)/(1+Debt!CK9),0)</f>
        <v>0.21066040057836</v>
      </c>
      <c r="CL13" s="27" t="n">
        <f aca="false">IF(Time!CL8&gt;=Inputs!$F$21,IF(CK13&gt;0,CK13,1)/(1+Debt!CL9),0)</f>
        <v>0.205288280464993</v>
      </c>
      <c r="CM13" s="27" t="n">
        <f aca="false">IF(Time!CM8&gt;=Inputs!$F$21,IF(CL13&gt;0,CL13,1)/(1+Debt!CM9),0)</f>
        <v>0.200011704559785</v>
      </c>
      <c r="CN13" s="27" t="n">
        <f aca="false">IF(Time!CN8&gt;=Inputs!$F$21,IF(CM13&gt;0,CM13,1)/(1+Debt!CN9),0)</f>
        <v>0.194897676303105</v>
      </c>
      <c r="CO13" s="27" t="n">
        <f aca="false">IF(Time!CO8&gt;=Inputs!$F$21,IF(CN13&gt;0,CN13,1)/(1+Debt!CO9),0)</f>
        <v>0.189888172689784</v>
      </c>
      <c r="CP13" s="27" t="n">
        <f aca="false">IF(Time!CP8&gt;=Inputs!$F$21,IF(CO13&gt;0,CO13,1)/(1+Debt!CP9),0)</f>
        <v>0.185045771987057</v>
      </c>
      <c r="CQ13" s="27" t="n">
        <f aca="false">IF(Time!CQ8&gt;=Inputs!$F$21,IF(CP13&gt;0,CP13,1)/(1+Debt!CQ9),0)</f>
        <v>0.180289494329045</v>
      </c>
      <c r="CR13" s="27" t="n">
        <f aca="false">IF(Time!CR8&gt;=Inputs!$F$21,IF(CQ13&gt;0,CQ13,1)/(1+Debt!CR9),0)</f>
        <v>0.175691872678014</v>
      </c>
      <c r="CS13" s="27" t="n">
        <f aca="false">IF(Time!CS8&gt;=Inputs!$F$21,IF(CR13&gt;0,CR13,1)/(1+Debt!CS9),0)</f>
        <v>0.171176020628332</v>
      </c>
      <c r="CT13" s="27" t="n">
        <f aca="false">IF(Time!CT8&gt;=Inputs!$F$21,IF(CS13&gt;0,CS13,1)/(1+Debt!CT9),0)</f>
        <v>0.166810804665489</v>
      </c>
      <c r="CU13" s="27" t="n">
        <f aca="false">IF(Time!CU8&gt;=Inputs!$F$21,IF(CT13&gt;0,CT13,1)/(1+Debt!CU9),0)</f>
        <v>0.162523224923321</v>
      </c>
      <c r="CV13" s="27" t="n">
        <f aca="false">IF(Time!CV8&gt;=Inputs!$F$21,IF(CU13&gt;0,CU13,1)/(1+Debt!CV9),0)</f>
        <v>0.158367726291609</v>
      </c>
      <c r="CW13" s="27" t="n">
        <f aca="false">IF(Time!CW8&gt;=Inputs!$F$21,IF(CV13&gt;0,CV13,1)/(1+Debt!CW9),0)</f>
        <v>0.154297161099967</v>
      </c>
      <c r="CX13" s="27" t="n">
        <f aca="false">IF(Time!CX8&gt;=Inputs!$F$21,IF(CW13&gt;0,CW13,1)/(1+Debt!CX9),0)</f>
        <v>0.150362378481569</v>
      </c>
      <c r="CY13" s="27" t="n">
        <f aca="false">IF(Time!CY8&gt;=Inputs!$F$21,IF(CX13&gt;0,CX13,1)/(1+Debt!CY9),0)</f>
        <v>0.146497576742529</v>
      </c>
      <c r="CZ13" s="27" t="n">
        <f aca="false">IF(Time!CZ8&gt;=Inputs!$F$21,IF(CY13&gt;0,CY13,1)/(1+Debt!CZ9),0)</f>
        <v>0.142761693888336</v>
      </c>
      <c r="DA13" s="27" t="n">
        <f aca="false">IF(Time!DA8&gt;=Inputs!$F$21,IF(CZ13&gt;0,CZ13,1)/(1+Debt!DA9),0)</f>
        <v>0.139092254442248</v>
      </c>
      <c r="DB13" s="27" t="n">
        <f aca="false">IF(Time!DB8&gt;=Inputs!$F$21,IF(DA13&gt;0,DA13,1)/(1+Debt!DB9),0)</f>
        <v>0.135545217145959</v>
      </c>
    </row>
    <row r="14" customFormat="false" ht="15" hidden="false" customHeight="false" outlineLevel="0" collapsed="false">
      <c r="D14" s="0" t="s">
        <v>674</v>
      </c>
      <c r="E14" s="0" t="s">
        <v>126</v>
      </c>
      <c r="J14" s="31" t="str">
        <f aca="false">IF(AND(Time!J30=1,Debt!J42+Debt!J49&gt;Inputs!$F$9),SUMPRODUCT(Waterfall!J$7:$DB$7,J$13:$DB$13,Time!J$30:$DB$30)/(J13*(1+Debt!J9))/(Debt!J42+Debt!J49),"")</f>
        <v/>
      </c>
      <c r="K14" s="31" t="str">
        <f aca="false">IF(AND(Time!K30=1,Debt!K42+Debt!K49&gt;Inputs!$F$9),SUMPRODUCT(Waterfall!K$7:$DB$7,K$13:$DB$13,Time!K$30:$DB$30)/(K13*(1+Debt!K9))/(Debt!K42+Debt!K49),"")</f>
        <v/>
      </c>
      <c r="L14" s="31" t="str">
        <f aca="false">IF(AND(Time!L30=1,Debt!L42+Debt!L49&gt;Inputs!$F$9),SUMPRODUCT(Waterfall!L$7:$DB$7,L$13:$DB$13,Time!L$30:$DB$30)/(L13*(1+Debt!L9))/(Debt!L42+Debt!L49),"")</f>
        <v/>
      </c>
      <c r="M14" s="31" t="str">
        <f aca="false">IF(AND(Time!M30=1,Debt!M42+Debt!M49&gt;Inputs!$F$9),SUMPRODUCT(Waterfall!M$7:$DB$7,M$13:$DB$13,Time!M$30:$DB$30)/(M13*(1+Debt!M9))/(Debt!M42+Debt!M49),"")</f>
        <v/>
      </c>
      <c r="N14" s="31" t="str">
        <f aca="false">IF(AND(Time!N30=1,Debt!N42+Debt!N49&gt;Inputs!$F$9),SUMPRODUCT(Waterfall!N$7:$DB$7,N$13:$DB$13,Time!N$30:$DB$30)/(N13*(1+Debt!N9))/(Debt!N42+Debt!N49),"")</f>
        <v/>
      </c>
      <c r="O14" s="31" t="str">
        <f aca="false">IF(AND(Time!O30=1,Debt!O42+Debt!O49&gt;Inputs!$F$9),SUMPRODUCT(Waterfall!O$7:$DB$7,O$13:$DB$13,Time!O$30:$DB$30)/(O13*(1+Debt!O9))/(Debt!O42+Debt!O49),"")</f>
        <v/>
      </c>
      <c r="P14" s="31" t="str">
        <f aca="false">IF(AND(Time!P30=1,Debt!P42+Debt!P49&gt;Inputs!$F$9),SUMPRODUCT(Waterfall!P$7:$DB$7,P$13:$DB$13,Time!P$30:$DB$30)/(P13*(1+Debt!P9))/(Debt!P42+Debt!P49),"")</f>
        <v/>
      </c>
      <c r="Q14" s="31" t="str">
        <f aca="false">IF(AND(Time!Q30=1,Debt!Q42+Debt!Q49&gt;Inputs!$F$9),SUMPRODUCT(Waterfall!Q$7:$DB$7,Q$13:$DB$13,Time!Q$30:$DB$30)/(Q13*(1+Debt!Q9))/(Debt!Q42+Debt!Q49),"")</f>
        <v/>
      </c>
      <c r="R14" s="31" t="str">
        <f aca="false">IF(AND(Time!R30=1,Debt!R42+Debt!R49&gt;Inputs!$F$9),SUMPRODUCT(Waterfall!R$7:$DB$7,R$13:$DB$13,Time!R$30:$DB$30)/(R13*(1+Debt!R9))/(Debt!R42+Debt!R49),"")</f>
        <v/>
      </c>
      <c r="S14" s="31" t="str">
        <f aca="false">IF(AND(Time!S30=1,Debt!S42+Debt!S49&gt;Inputs!$F$9),SUMPRODUCT(Waterfall!S$7:$DB$7,S$13:$DB$13,Time!S$30:$DB$30)/(S13*(1+Debt!S9))/(Debt!S42+Debt!S49),"")</f>
        <v/>
      </c>
      <c r="T14" s="31" t="str">
        <f aca="false">IF(AND(Time!T30=1,Debt!T42+Debt!T49&gt;Inputs!$F$9),SUMPRODUCT(Waterfall!T$7:$DB$7,T$13:$DB$13,Time!T$30:$DB$30)/(T13*(1+Debt!T9))/(Debt!T42+Debt!T49),"")</f>
        <v/>
      </c>
      <c r="U14" s="31" t="str">
        <f aca="false">IF(AND(Time!U30=1,Debt!U42+Debt!U49&gt;Inputs!$F$9),SUMPRODUCT(Waterfall!U$7:$DB$7,U$13:$DB$13,Time!U$30:$DB$30)/(U13*(1+Debt!U9))/(Debt!U42+Debt!U49),"")</f>
        <v/>
      </c>
      <c r="V14" s="31" t="str">
        <f aca="false">IF(AND(Time!V30=1,Debt!V42+Debt!V49&gt;Inputs!$F$9),SUMPRODUCT(Waterfall!V$7:$DB$7,V$13:$DB$13,Time!V$30:$DB$30)/(V13*(1+Debt!V9))/(Debt!V42+Debt!V49),"")</f>
        <v/>
      </c>
      <c r="W14" s="31" t="str">
        <f aca="false">IF(AND(Time!W30=1,Debt!W42+Debt!W49&gt;Inputs!$F$9),SUMPRODUCT(Waterfall!W$7:$DB$7,W$13:$DB$13,Time!W$30:$DB$30)/(W13*(1+Debt!W9))/(Debt!W42+Debt!W49),"")</f>
        <v/>
      </c>
      <c r="X14" s="31" t="str">
        <f aca="false">IF(AND(Time!X30=1,Debt!X42+Debt!X49&gt;Inputs!$F$9),SUMPRODUCT(Waterfall!X$7:$DB$7,X$13:$DB$13,Time!X$30:$DB$30)/(X13*(1+Debt!X9))/(Debt!X42+Debt!X49),"")</f>
        <v/>
      </c>
      <c r="Y14" s="31" t="str">
        <f aca="false">IF(AND(Time!Y30=1,Debt!Y42+Debt!Y49&gt;Inputs!$F$9),SUMPRODUCT(Waterfall!Y$7:$DB$7,Y$13:$DB$13,Time!Y$30:$DB$30)/(Y13*(1+Debt!Y9))/(Debt!Y42+Debt!Y49),"")</f>
        <v/>
      </c>
      <c r="Z14" s="31" t="str">
        <f aca="false">IF(AND(Time!Z30=1,Debt!Z42+Debt!Z49&gt;Inputs!$F$9),SUMPRODUCT(Waterfall!Z$7:$DB$7,Z$13:$DB$13,Time!Z$30:$DB$30)/(Z13*(1+Debt!Z9))/(Debt!Z42+Debt!Z49),"")</f>
        <v/>
      </c>
      <c r="AA14" s="31" t="str">
        <f aca="false">IF(AND(Time!AA30=1,Debt!AA42+Debt!AA49&gt;Inputs!$F$9),SUMPRODUCT(Waterfall!AA$7:$DB$7,AA$13:$DB$13,Time!AA$30:$DB$30)/(AA13*(1+Debt!AA9))/(Debt!AA42+Debt!AA49),"")</f>
        <v/>
      </c>
      <c r="AB14" s="31" t="str">
        <f aca="false">IF(AND(Time!AB30=1,Debt!AB42+Debt!AB49&gt;Inputs!$F$9),SUMPRODUCT(Waterfall!AB$7:$DB$7,AB$13:$DB$13,Time!AB$30:$DB$30)/(AB13*(1+Debt!AB9))/(Debt!AB42+Debt!AB49),"")</f>
        <v/>
      </c>
      <c r="AC14" s="31" t="str">
        <f aca="false">IF(AND(Time!AC30=1,Debt!AC42+Debt!AC49&gt;Inputs!$F$9),SUMPRODUCT(Waterfall!AC$7:$DB$7,AC$13:$DB$13,Time!AC$30:$DB$30)/(AC13*(1+Debt!AC9))/(Debt!AC42+Debt!AC49),"")</f>
        <v/>
      </c>
      <c r="AD14" s="31" t="n">
        <f aca="false">IF(AND(Time!AD30=1,Debt!AD42+Debt!AD49&gt;Inputs!$F$9),SUMPRODUCT(Waterfall!AD$7:$DB$7,AD$13:$DB$13,Time!AD$30:$DB$30)/(AD13*(1+Debt!AD9))/(Debt!AD42+Debt!AD49),"")</f>
        <v>2.61624392013932</v>
      </c>
      <c r="AE14" s="31" t="n">
        <f aca="false">IF(AND(Time!AE30=1,Debt!AE42+Debt!AE49&gt;Inputs!$F$9),SUMPRODUCT(Waterfall!AE$7:$DB$7,AE$13:$DB$13,Time!AE$30:$DB$30)/(AE13*(1+Debt!AE9))/(Debt!AE42+Debt!AE49),"")</f>
        <v>2.63958830958767</v>
      </c>
      <c r="AF14" s="31" t="n">
        <f aca="false">IF(AND(Time!AF30=1,Debt!AF42+Debt!AF49&gt;Inputs!$F$9),SUMPRODUCT(Waterfall!AF$7:$DB$7,AF$13:$DB$13,Time!AF$30:$DB$30)/(AF13*(1+Debt!AF9))/(Debt!AF42+Debt!AF49),"")</f>
        <v>2.66159574787984</v>
      </c>
      <c r="AG14" s="31" t="n">
        <f aca="false">IF(AND(Time!AG30=1,Debt!AG42+Debt!AG49&gt;Inputs!$F$9),SUMPRODUCT(Waterfall!AG$7:$DB$7,AG$13:$DB$13,Time!AG$30:$DB$30)/(AG13*(1+Debt!AG9))/(Debt!AG42+Debt!AG49),"")</f>
        <v>2.67975094816289</v>
      </c>
      <c r="AH14" s="31" t="n">
        <f aca="false">IF(AND(Time!AH30=1,Debt!AH42+Debt!AH49&gt;Inputs!$F$9),SUMPRODUCT(Waterfall!AH$7:$DB$7,AH$13:$DB$13,Time!AH$30:$DB$30)/(AH13*(1+Debt!AH9))/(Debt!AH42+Debt!AH49),"")</f>
        <v>2.69452155186326</v>
      </c>
      <c r="AI14" s="31" t="n">
        <f aca="false">IF(AND(Time!AI30=1,Debt!AI42+Debt!AI49&gt;Inputs!$F$9),SUMPRODUCT(Waterfall!AI$7:$DB$7,AI$13:$DB$13,Time!AI$30:$DB$30)/(AI13*(1+Debt!AI9))/(Debt!AI42+Debt!AI49),"")</f>
        <v>2.70802312524819</v>
      </c>
      <c r="AJ14" s="31" t="n">
        <f aca="false">IF(AND(Time!AJ30=1,Debt!AJ42+Debt!AJ49&gt;Inputs!$F$9),SUMPRODUCT(Waterfall!AJ$7:$DB$7,AJ$13:$DB$13,Time!AJ$30:$DB$30)/(AJ13*(1+Debt!AJ9))/(Debt!AJ42+Debt!AJ49),"")</f>
        <v>2.7233838561166</v>
      </c>
      <c r="AK14" s="31" t="n">
        <f aca="false">IF(AND(Time!AK30=1,Debt!AK42+Debt!AK49&gt;Inputs!$F$9),SUMPRODUCT(Waterfall!AK$7:$DB$7,AK$13:$DB$13,Time!AK$30:$DB$30)/(AK13*(1+Debt!AK9))/(Debt!AK42+Debt!AK49),"")</f>
        <v>2.7372745756617</v>
      </c>
      <c r="AL14" s="31" t="n">
        <f aca="false">IF(AND(Time!AL30=1,Debt!AL42+Debt!AL49&gt;Inputs!$F$9),SUMPRODUCT(Waterfall!AL$7:$DB$7,AL$13:$DB$13,Time!AL$30:$DB$30)/(AL13*(1+Debt!AL9))/(Debt!AL42+Debt!AL49),"")</f>
        <v>2.74933711663928</v>
      </c>
      <c r="AM14" s="31" t="n">
        <f aca="false">IF(AND(Time!AM30=1,Debt!AM42+Debt!AM49&gt;Inputs!$F$9),SUMPRODUCT(Waterfall!AM$7:$DB$7,AM$13:$DB$13,Time!AM$30:$DB$30)/(AM13*(1+Debt!AM9))/(Debt!AM42+Debt!AM49),"")</f>
        <v>2.75990748924515</v>
      </c>
      <c r="AN14" s="31" t="n">
        <f aca="false">IF(AND(Time!AN30=1,Debt!AN42+Debt!AN49&gt;Inputs!$F$9),SUMPRODUCT(Waterfall!AN$7:$DB$7,AN$13:$DB$13,Time!AN$30:$DB$30)/(AN13*(1+Debt!AN9))/(Debt!AN42+Debt!AN49),"")</f>
        <v>2.76824658827749</v>
      </c>
      <c r="AO14" s="31" t="n">
        <f aca="false">IF(AND(Time!AO30=1,Debt!AO42+Debt!AO49&gt;Inputs!$F$9),SUMPRODUCT(Waterfall!AO$7:$DB$7,AO$13:$DB$13,Time!AO$30:$DB$30)/(AO13*(1+Debt!AO9))/(Debt!AO42+Debt!AO49),"")</f>
        <v>2.7749163480853</v>
      </c>
      <c r="AP14" s="31" t="n">
        <f aca="false">IF(AND(Time!AP30=1,Debt!AP42+Debt!AP49&gt;Inputs!$F$9),SUMPRODUCT(Waterfall!AP$7:$DB$7,AP$13:$DB$13,Time!AP$30:$DB$30)/(AP13*(1+Debt!AP9))/(Debt!AP42+Debt!AP49),"")</f>
        <v>2.77542529623617</v>
      </c>
      <c r="AQ14" s="31" t="n">
        <f aca="false">IF(AND(Time!AQ30=1,Debt!AQ42+Debt!AQ49&gt;Inputs!$F$9),SUMPRODUCT(Waterfall!AQ$7:$DB$7,AQ$13:$DB$13,Time!AQ$30:$DB$30)/(AQ13*(1+Debt!AQ9))/(Debt!AQ42+Debt!AQ49),"")</f>
        <v>2.77397775132887</v>
      </c>
      <c r="AR14" s="31" t="n">
        <f aca="false">IF(AND(Time!AR30=1,Debt!AR42+Debt!AR49&gt;Inputs!$F$9),SUMPRODUCT(Waterfall!AR$7:$DB$7,AR$13:$DB$13,Time!AR$30:$DB$30)/(AR13*(1+Debt!AR9))/(Debt!AR42+Debt!AR49),"")</f>
        <v>2.78126161127912</v>
      </c>
      <c r="AS14" s="31" t="n">
        <f aca="false">IF(AND(Time!AS30=1,Debt!AS42+Debt!AS49&gt;Inputs!$F$9),SUMPRODUCT(Waterfall!AS$7:$DB$7,AS$13:$DB$13,Time!AS$30:$DB$30)/(AS13*(1+Debt!AS9))/(Debt!AS42+Debt!AS49),"")</f>
        <v>2.78644192270361</v>
      </c>
      <c r="AT14" s="31" t="n">
        <f aca="false">IF(AND(Time!AT30=1,Debt!AT42+Debt!AT49&gt;Inputs!$F$9),SUMPRODUCT(Waterfall!AT$7:$DB$7,AT$13:$DB$13,Time!AT$30:$DB$30)/(AT13*(1+Debt!AT9))/(Debt!AT42+Debt!AT49),"")</f>
        <v>2.78886324463918</v>
      </c>
      <c r="AU14" s="31" t="n">
        <f aca="false">IF(AND(Time!AU30=1,Debt!AU42+Debt!AU49&gt;Inputs!$F$9),SUMPRODUCT(Waterfall!AU$7:$DB$7,AU$13:$DB$13,Time!AU$30:$DB$30)/(AU13*(1+Debt!AU9))/(Debt!AU42+Debt!AU49),"")</f>
        <v>2.78919899152739</v>
      </c>
      <c r="AV14" s="31" t="n">
        <f aca="false">IF(AND(Time!AV30=1,Debt!AV42+Debt!AV49&gt;Inputs!$F$9),SUMPRODUCT(Waterfall!AV$7:$DB$7,AV$13:$DB$13,Time!AV$30:$DB$30)/(AV13*(1+Debt!AV9))/(Debt!AV42+Debt!AV49),"")</f>
        <v>2.78618925445515</v>
      </c>
      <c r="AW14" s="31" t="n">
        <f aca="false">IF(AND(Time!AW30=1,Debt!AW42+Debt!AW49&gt;Inputs!$F$9),SUMPRODUCT(Waterfall!AW$7:$DB$7,AW$13:$DB$13,Time!AW$30:$DB$30)/(AW13*(1+Debt!AW9))/(Debt!AW42+Debt!AW49),"")</f>
        <v>2.78088379706219</v>
      </c>
      <c r="AX14" s="31" t="n">
        <f aca="false">IF(AND(Time!AX30=1,Debt!AX42+Debt!AX49&gt;Inputs!$F$9),SUMPRODUCT(Waterfall!AX$7:$DB$7,AX$13:$DB$13,Time!AX$30:$DB$30)/(AX13*(1+Debt!AX9))/(Debt!AX42+Debt!AX49),"")</f>
        <v>2.77528988209604</v>
      </c>
      <c r="AY14" s="31" t="n">
        <f aca="false">IF(AND(Time!AY30=1,Debt!AY42+Debt!AY49&gt;Inputs!$F$9),SUMPRODUCT(Waterfall!AY$7:$DB$7,AY$13:$DB$13,Time!AY$30:$DB$30)/(AY13*(1+Debt!AY9))/(Debt!AY42+Debt!AY49),"")</f>
        <v>2.76919709163022</v>
      </c>
      <c r="AZ14" s="31" t="n">
        <f aca="false">IF(AND(Time!AZ30=1,Debt!AZ42+Debt!AZ49&gt;Inputs!$F$9),SUMPRODUCT(Waterfall!AZ$7:$DB$7,AZ$13:$DB$13,Time!AZ$30:$DB$30)/(AZ13*(1+Debt!AZ9))/(Debt!AZ42+Debt!AZ49),"")</f>
        <v>2.76246651354488</v>
      </c>
      <c r="BA14" s="31" t="n">
        <f aca="false">IF(AND(Time!BA30=1,Debt!BA42+Debt!BA49&gt;Inputs!$F$9),SUMPRODUCT(Waterfall!BA$7:$DB$7,BA$13:$DB$13,Time!BA$30:$DB$30)/(BA13*(1+Debt!BA9))/(Debt!BA42+Debt!BA49),"")</f>
        <v>2.75514203974478</v>
      </c>
      <c r="BB14" s="31" t="n">
        <f aca="false">IF(AND(Time!BB30=1,Debt!BB42+Debt!BB49&gt;Inputs!$F$9),SUMPRODUCT(Waterfall!BB$7:$DB$7,BB$13:$DB$13,Time!BB$30:$DB$30)/(BB13*(1+Debt!BB9))/(Debt!BB42+Debt!BB49),"")</f>
        <v>2.74729144532647</v>
      </c>
      <c r="BC14" s="31" t="n">
        <f aca="false">IF(AND(Time!BC30=1,Debt!BC42+Debt!BC49&gt;Inputs!$F$9),SUMPRODUCT(Waterfall!BC$7:$DB$7,BC$13:$DB$13,Time!BC$30:$DB$30)/(BC13*(1+Debt!BC9))/(Debt!BC42+Debt!BC49),"")</f>
        <v>2.73879755963338</v>
      </c>
      <c r="BD14" s="31" t="n">
        <f aca="false">IF(AND(Time!BD30=1,Debt!BD42+Debt!BD49&gt;Inputs!$F$9),SUMPRODUCT(Waterfall!BD$7:$DB$7,BD$13:$DB$13,Time!BD$30:$DB$30)/(BD13*(1+Debt!BD9))/(Debt!BD42+Debt!BD49),"")</f>
        <v>2.72989085743865</v>
      </c>
      <c r="BE14" s="31" t="n">
        <f aca="false">IF(AND(Time!BE30=1,Debt!BE42+Debt!BE49&gt;Inputs!$F$9),SUMPRODUCT(Waterfall!BE$7:$DB$7,BE$13:$DB$13,Time!BE$30:$DB$30)/(BE13*(1+Debt!BE9))/(Debt!BE42+Debt!BE49),"")</f>
        <v>2.72017108380019</v>
      </c>
      <c r="BF14" s="31" t="n">
        <f aca="false">IF(AND(Time!BF30=1,Debt!BF42+Debt!BF49&gt;Inputs!$F$9),SUMPRODUCT(Waterfall!BF$7:$DB$7,BF$13:$DB$13,Time!BF$30:$DB$30)/(BF13*(1+Debt!BF9))/(Debt!BF42+Debt!BF49),"")</f>
        <v>2.70962685031048</v>
      </c>
      <c r="BG14" s="31" t="n">
        <f aca="false">IF(AND(Time!BG30=1,Debt!BG42+Debt!BG49&gt;Inputs!$F$9),SUMPRODUCT(Waterfall!BG$7:$DB$7,BG$13:$DB$13,Time!BG$30:$DB$30)/(BG13*(1+Debt!BG9))/(Debt!BG42+Debt!BG49),"")</f>
        <v>2.69805629092</v>
      </c>
      <c r="BH14" s="31" t="n">
        <f aca="false">IF(AND(Time!BH30=1,Debt!BH42+Debt!BH49&gt;Inputs!$F$9),SUMPRODUCT(Waterfall!BH$7:$DB$7,BH$13:$DB$13,Time!BH$30:$DB$30)/(BH13*(1+Debt!BH9))/(Debt!BH42+Debt!BH49),"")</f>
        <v>2.68527456459761</v>
      </c>
      <c r="BI14" s="31" t="n">
        <f aca="false">IF(AND(Time!BI30=1,Debt!BI42+Debt!BI49&gt;Inputs!$F$9),SUMPRODUCT(Waterfall!BI$7:$DB$7,BI$13:$DB$13,Time!BI$30:$DB$30)/(BI13*(1+Debt!BI9))/(Debt!BI42+Debt!BI49),"")</f>
        <v>2.6711267352955</v>
      </c>
      <c r="BJ14" s="31" t="n">
        <f aca="false">IF(AND(Time!BJ30=1,Debt!BJ42+Debt!BJ49&gt;Inputs!$F$9),SUMPRODUCT(Waterfall!BJ$7:$DB$7,BJ$13:$DB$13,Time!BJ$30:$DB$30)/(BJ13*(1+Debt!BJ9))/(Debt!BJ42+Debt!BJ49),"")</f>
        <v>2.65545245809877</v>
      </c>
      <c r="BK14" s="31" t="n">
        <f aca="false">IF(AND(Time!BK30=1,Debt!BK42+Debt!BK49&gt;Inputs!$F$9),SUMPRODUCT(Waterfall!BK$7:$DB$7,BK$13:$DB$13,Time!BK$30:$DB$30)/(BK13*(1+Debt!BK9))/(Debt!BK42+Debt!BK49),"")</f>
        <v>2.63812247969061</v>
      </c>
      <c r="BL14" s="31" t="n">
        <f aca="false">IF(AND(Time!BL30=1,Debt!BL42+Debt!BL49&gt;Inputs!$F$9),SUMPRODUCT(Waterfall!BL$7:$DB$7,BL$13:$DB$13,Time!BL$30:$DB$30)/(BL13*(1+Debt!BL9))/(Debt!BL42+Debt!BL49),"")</f>
        <v>2.61863819201582</v>
      </c>
      <c r="BM14" s="31" t="n">
        <f aca="false">IF(AND(Time!BM30=1,Debt!BM42+Debt!BM49&gt;Inputs!$F$9),SUMPRODUCT(Waterfall!BM$7:$DB$7,BM$13:$DB$13,Time!BM$30:$DB$30)/(BM13*(1+Debt!BM9))/(Debt!BM42+Debt!BM49),"")</f>
        <v>2.59695637473128</v>
      </c>
      <c r="BN14" s="31" t="n">
        <f aca="false">IF(AND(Time!BN30=1,Debt!BN42+Debt!BN49&gt;Inputs!$F$9),SUMPRODUCT(Waterfall!BN$7:$DB$7,BN$13:$DB$13,Time!BN$30:$DB$30)/(BN13*(1+Debt!BN9))/(Debt!BN42+Debt!BN49),"")</f>
        <v>2.57231918176011</v>
      </c>
      <c r="BO14" s="31" t="n">
        <f aca="false">IF(AND(Time!BO30=1,Debt!BO42+Debt!BO49&gt;Inputs!$F$9),SUMPRODUCT(Waterfall!BO$7:$DB$7,BO$13:$DB$13,Time!BO$30:$DB$30)/(BO13*(1+Debt!BO9))/(Debt!BO42+Debt!BO49),"")</f>
        <v>2.54466153420232</v>
      </c>
      <c r="BP14" s="31" t="n">
        <f aca="false">IF(AND(Time!BP30=1,Debt!BP42+Debt!BP49&gt;Inputs!$F$9),SUMPRODUCT(Waterfall!BP$7:$DB$7,BP$13:$DB$13,Time!BP$30:$DB$30)/(BP13*(1+Debt!BP9))/(Debt!BP42+Debt!BP49),"")</f>
        <v>2.5143934801863</v>
      </c>
      <c r="BQ14" s="31" t="n">
        <f aca="false">IF(AND(Time!BQ30=1,Debt!BQ42+Debt!BQ49&gt;Inputs!$F$9),SUMPRODUCT(Waterfall!BQ$7:$DB$7,BQ$13:$DB$13,Time!BQ$30:$DB$30)/(BQ13*(1+Debt!BQ9))/(Debt!BQ42+Debt!BQ49),"")</f>
        <v>2.48051943768214</v>
      </c>
      <c r="BR14" s="31" t="n">
        <f aca="false">IF(AND(Time!BR30=1,Debt!BR42+Debt!BR49&gt;Inputs!$F$9),SUMPRODUCT(Waterfall!BR$7:$DB$7,BR$13:$DB$13,Time!BR$30:$DB$30)/(BR13*(1+Debt!BR9))/(Debt!BR42+Debt!BR49),"")</f>
        <v>2.46943682250671</v>
      </c>
      <c r="BS14" s="31" t="n">
        <f aca="false">IF(AND(Time!BS30=1,Debt!BS42+Debt!BS49&gt;Inputs!$F$9),SUMPRODUCT(Waterfall!BS$7:$DB$7,BS$13:$DB$13,Time!BS$30:$DB$30)/(BS13*(1+Debt!BS9))/(Debt!BS42+Debt!BS49),"")</f>
        <v>2.47261087973252</v>
      </c>
      <c r="BT14" s="31" t="n">
        <f aca="false">IF(AND(Time!BT30=1,Debt!BT42+Debt!BT49&gt;Inputs!$F$9),SUMPRODUCT(Waterfall!BT$7:$DB$7,BT$13:$DB$13,Time!BT$30:$DB$30)/(BT13*(1+Debt!BT9))/(Debt!BT42+Debt!BT49),"")</f>
        <v>2.47753222270925</v>
      </c>
      <c r="BU14" s="31" t="n">
        <f aca="false">IF(AND(Time!BU30=1,Debt!BU42+Debt!BU49&gt;Inputs!$F$9),SUMPRODUCT(Waterfall!BU$7:$DB$7,BU$13:$DB$13,Time!BU$30:$DB$30)/(BU13*(1+Debt!BU9))/(Debt!BU42+Debt!BU49),"")</f>
        <v>2.48310053067862</v>
      </c>
      <c r="BV14" s="31" t="n">
        <f aca="false">IF(AND(Time!BV30=1,Debt!BV42+Debt!BV49&gt;Inputs!$F$9),SUMPRODUCT(Waterfall!BV$7:$DB$7,BV$13:$DB$13,Time!BV$30:$DB$30)/(BV13*(1+Debt!BV9))/(Debt!BV42+Debt!BV49),"")</f>
        <v>2.42949752507108</v>
      </c>
      <c r="BW14" s="31" t="n">
        <f aca="false">IF(AND(Time!BW30=1,Debt!BW42+Debt!BW49&gt;Inputs!$F$9),SUMPRODUCT(Waterfall!BW$7:$DB$7,BW$13:$DB$13,Time!BW$30:$DB$30)/(BW13*(1+Debt!BW9))/(Debt!BW42+Debt!BW49),"")</f>
        <v>2.42376954504606</v>
      </c>
      <c r="BX14" s="31" t="n">
        <f aca="false">IF(AND(Time!BX30=1,Debt!BX42+Debt!BX49&gt;Inputs!$F$9),SUMPRODUCT(Waterfall!BX$7:$DB$7,BX$13:$DB$13,Time!BX$30:$DB$30)/(BX13*(1+Debt!BX9))/(Debt!BX42+Debt!BX49),"")</f>
        <v>2.42598090771259</v>
      </c>
      <c r="BY14" s="31" t="n">
        <f aca="false">IF(AND(Time!BY30=1,Debt!BY42+Debt!BY49&gt;Inputs!$F$9),SUMPRODUCT(Waterfall!BY$7:$DB$7,BY$13:$DB$13,Time!BY$30:$DB$30)/(BY13*(1+Debt!BY9))/(Debt!BY42+Debt!BY49),"")</f>
        <v>2.42908579926344</v>
      </c>
      <c r="BZ14" s="31" t="n">
        <f aca="false">IF(AND(Time!BZ30=1,Debt!BZ42+Debt!BZ49&gt;Inputs!$F$9),SUMPRODUCT(Waterfall!BZ$7:$DB$7,BZ$13:$DB$13,Time!BZ$30:$DB$30)/(BZ13*(1+Debt!BZ9))/(Debt!BZ42+Debt!BZ49),"")</f>
        <v>2.43553658651939</v>
      </c>
      <c r="CA14" s="31" t="n">
        <f aca="false">IF(AND(Time!CA30=1,Debt!CA42+Debt!CA49&gt;Inputs!$F$9),SUMPRODUCT(Waterfall!CA$7:$DB$7,CA$13:$DB$13,Time!CA$30:$DB$30)/(CA13*(1+Debt!CA9))/(Debt!CA42+Debt!CA49),"")</f>
        <v>2.44442765539114</v>
      </c>
      <c r="CB14" s="31" t="n">
        <f aca="false">IF(AND(Time!CB30=1,Debt!CB42+Debt!CB49&gt;Inputs!$F$9),SUMPRODUCT(Waterfall!CB$7:$DB$7,CB$13:$DB$13,Time!CB$30:$DB$30)/(CB13*(1+Debt!CB9))/(Debt!CB42+Debt!CB49),"")</f>
        <v>2.46367863212411</v>
      </c>
      <c r="CC14" s="31" t="n">
        <f aca="false">IF(AND(Time!CC30=1,Debt!CC42+Debt!CC49&gt;Inputs!$F$9),SUMPRODUCT(Waterfall!CC$7:$DB$7,CC$13:$DB$13,Time!CC$30:$DB$30)/(CC13*(1+Debt!CC9))/(Debt!CC42+Debt!CC49),"")</f>
        <v>2.49112479886471</v>
      </c>
      <c r="CD14" s="31" t="n">
        <f aca="false">IF(AND(Time!CD30=1,Debt!CD42+Debt!CD49&gt;Inputs!$F$9),SUMPRODUCT(Waterfall!CD$7:$DB$7,CD$13:$DB$13,Time!CD$30:$DB$30)/(CD13*(1+Debt!CD9))/(Debt!CD42+Debt!CD49),"")</f>
        <v>2.53885629974667</v>
      </c>
      <c r="CE14" s="31" t="n">
        <f aca="false">IF(AND(Time!CE30=1,Debt!CE42+Debt!CE49&gt;Inputs!$F$9),SUMPRODUCT(Waterfall!CE$7:$DB$7,CE$13:$DB$13,Time!CE$30:$DB$30)/(CE13*(1+Debt!CE9))/(Debt!CE42+Debt!CE49),"")</f>
        <v>2.62130748567621</v>
      </c>
      <c r="CF14" s="31" t="n">
        <f aca="false">IF(AND(Time!CF30=1,Debt!CF42+Debt!CF49&gt;Inputs!$F$9),SUMPRODUCT(Waterfall!CF$7:$DB$7,CF$13:$DB$13,Time!CF$30:$DB$30)/(CF13*(1+Debt!CF9))/(Debt!CF42+Debt!CF49),"")</f>
        <v>2.81253676273423</v>
      </c>
      <c r="CG14" s="31" t="n">
        <f aca="false">IF(AND(Time!CG30=1,Debt!CG42+Debt!CG49&gt;Inputs!$F$9),SUMPRODUCT(Waterfall!CG$7:$DB$7,CG$13:$DB$13,Time!CG$30:$DB$30)/(CG13*(1+Debt!CG9))/(Debt!CG42+Debt!CG49),"")</f>
        <v>3.02121621359894</v>
      </c>
      <c r="CH14" s="31" t="str">
        <f aca="false">IF(AND(Time!CH30=1,Debt!CH42+Debt!CH49&gt;Inputs!$F$9),SUMPRODUCT(Waterfall!CH$7:$DB$7,CH$13:$DB$13,Time!CH$30:$DB$30)/(CH13*(1+Debt!CH9))/(Debt!CH42+Debt!CH49),"")</f>
        <v/>
      </c>
      <c r="CI14" s="31" t="str">
        <f aca="false">IF(AND(Time!CI30=1,Debt!CI42+Debt!CI49&gt;Inputs!$F$9),SUMPRODUCT(Waterfall!CI$7:$DB$7,CI$13:$DB$13,Time!CI$30:$DB$30)/(CI13*(1+Debt!CI9))/(Debt!CI42+Debt!CI49),"")</f>
        <v/>
      </c>
      <c r="CJ14" s="31" t="str">
        <f aca="false">IF(AND(Time!CJ30=1,Debt!CJ42+Debt!CJ49&gt;Inputs!$F$9),SUMPRODUCT(Waterfall!CJ$7:$DB$7,CJ$13:$DB$13,Time!CJ$30:$DB$30)/(CJ13*(1+Debt!CJ9))/(Debt!CJ42+Debt!CJ49),"")</f>
        <v/>
      </c>
      <c r="CK14" s="31" t="str">
        <f aca="false">IF(AND(Time!CK30=1,Debt!CK42+Debt!CK49&gt;Inputs!$F$9),SUMPRODUCT(Waterfall!CK$7:$DB$7,CK$13:$DB$13,Time!CK$30:$DB$30)/(CK13*(1+Debt!CK9))/(Debt!CK42+Debt!CK49),"")</f>
        <v/>
      </c>
      <c r="CL14" s="31" t="str">
        <f aca="false">IF(AND(Time!CL30=1,Debt!CL42+Debt!CL49&gt;Inputs!$F$9),SUMPRODUCT(Waterfall!CL$7:$DB$7,CL$13:$DB$13,Time!CL$30:$DB$30)/(CL13*(1+Debt!CL9))/(Debt!CL42+Debt!CL49),"")</f>
        <v/>
      </c>
      <c r="CM14" s="31" t="str">
        <f aca="false">IF(AND(Time!CM30=1,Debt!CM42+Debt!CM49&gt;Inputs!$F$9),SUMPRODUCT(Waterfall!CM$7:$DB$7,CM$13:$DB$13,Time!CM$30:$DB$30)/(CM13*(1+Debt!CM9))/(Debt!CM42+Debt!CM49),"")</f>
        <v/>
      </c>
      <c r="CN14" s="31" t="str">
        <f aca="false">IF(AND(Time!CN30=1,Debt!CN42+Debt!CN49&gt;Inputs!$F$9),SUMPRODUCT(Waterfall!CN$7:$DB$7,CN$13:$DB$13,Time!CN$30:$DB$30)/(CN13*(1+Debt!CN9))/(Debt!CN42+Debt!CN49),"")</f>
        <v/>
      </c>
      <c r="CO14" s="31" t="str">
        <f aca="false">IF(AND(Time!CO30=1,Debt!CO42+Debt!CO49&gt;Inputs!$F$9),SUMPRODUCT(Waterfall!CO$7:$DB$7,CO$13:$DB$13,Time!CO$30:$DB$30)/(CO13*(1+Debt!CO9))/(Debt!CO42+Debt!CO49),"")</f>
        <v/>
      </c>
      <c r="CP14" s="31" t="str">
        <f aca="false">IF(AND(Time!CP30=1,Debt!CP42+Debt!CP49&gt;Inputs!$F$9),SUMPRODUCT(Waterfall!CP$7:$DB$7,CP$13:$DB$13,Time!CP$30:$DB$30)/(CP13*(1+Debt!CP9))/(Debt!CP42+Debt!CP49),"")</f>
        <v/>
      </c>
      <c r="CQ14" s="31" t="str">
        <f aca="false">IF(AND(Time!CQ30=1,Debt!CQ42+Debt!CQ49&gt;Inputs!$F$9),SUMPRODUCT(Waterfall!CQ$7:$DB$7,CQ$13:$DB$13,Time!CQ$30:$DB$30)/(CQ13*(1+Debt!CQ9))/(Debt!CQ42+Debt!CQ49),"")</f>
        <v/>
      </c>
      <c r="CR14" s="31" t="str">
        <f aca="false">IF(AND(Time!CR30=1,Debt!CR42+Debt!CR49&gt;Inputs!$F$9),SUMPRODUCT(Waterfall!CR$7:$DB$7,CR$13:$DB$13,Time!CR$30:$DB$30)/(CR13*(1+Debt!CR9))/(Debt!CR42+Debt!CR49),"")</f>
        <v/>
      </c>
      <c r="CS14" s="31" t="str">
        <f aca="false">IF(AND(Time!CS30=1,Debt!CS42+Debt!CS49&gt;Inputs!$F$9),SUMPRODUCT(Waterfall!CS$7:$DB$7,CS$13:$DB$13,Time!CS$30:$DB$30)/(CS13*(1+Debt!CS9))/(Debt!CS42+Debt!CS49),"")</f>
        <v/>
      </c>
      <c r="CT14" s="31" t="str">
        <f aca="false">IF(AND(Time!CT30=1,Debt!CT42+Debt!CT49&gt;Inputs!$F$9),SUMPRODUCT(Waterfall!CT$7:$DB$7,CT$13:$DB$13,Time!CT$30:$DB$30)/(CT13*(1+Debt!CT9))/(Debt!CT42+Debt!CT49),"")</f>
        <v/>
      </c>
      <c r="CU14" s="31" t="str">
        <f aca="false">IF(AND(Time!CU30=1,Debt!CU42+Debt!CU49&gt;Inputs!$F$9),SUMPRODUCT(Waterfall!CU$7:$DB$7,CU$13:$DB$13,Time!CU$30:$DB$30)/(CU13*(1+Debt!CU9))/(Debt!CU42+Debt!CU49),"")</f>
        <v/>
      </c>
      <c r="CV14" s="31" t="str">
        <f aca="false">IF(AND(Time!CV30=1,Debt!CV42+Debt!CV49&gt;Inputs!$F$9),SUMPRODUCT(Waterfall!CV$7:$DB$7,CV$13:$DB$13,Time!CV$30:$DB$30)/(CV13*(1+Debt!CV9))/(Debt!CV42+Debt!CV49),"")</f>
        <v/>
      </c>
      <c r="CW14" s="31" t="str">
        <f aca="false">IF(AND(Time!CW30=1,Debt!CW42+Debt!CW49&gt;Inputs!$F$9),SUMPRODUCT(Waterfall!CW$7:$DB$7,CW$13:$DB$13,Time!CW$30:$DB$30)/(CW13*(1+Debt!CW9))/(Debt!CW42+Debt!CW49),"")</f>
        <v/>
      </c>
      <c r="CX14" s="31" t="str">
        <f aca="false">IF(AND(Time!CX30=1,Debt!CX42+Debt!CX49&gt;Inputs!$F$9),SUMPRODUCT(Waterfall!CX$7:$DB$7,CX$13:$DB$13,Time!CX$30:$DB$30)/(CX13*(1+Debt!CX9))/(Debt!CX42+Debt!CX49),"")</f>
        <v/>
      </c>
      <c r="CY14" s="31" t="str">
        <f aca="false">IF(AND(Time!CY30=1,Debt!CY42+Debt!CY49&gt;Inputs!$F$9),SUMPRODUCT(Waterfall!CY$7:$DB$7,CY$13:$DB$13,Time!CY$30:$DB$30)/(CY13*(1+Debt!CY9))/(Debt!CY42+Debt!CY49),"")</f>
        <v/>
      </c>
      <c r="CZ14" s="31" t="str">
        <f aca="false">IF(AND(Time!CZ30=1,Debt!CZ42+Debt!CZ49&gt;Inputs!$F$9),SUMPRODUCT(Waterfall!CZ$7:$DB$7,CZ$13:$DB$13,Time!CZ$30:$DB$30)/(CZ13*(1+Debt!CZ9))/(Debt!CZ42+Debt!CZ49),"")</f>
        <v/>
      </c>
      <c r="DA14" s="31" t="str">
        <f aca="false">IF(AND(Time!DA30=1,Debt!DA42+Debt!DA49&gt;Inputs!$F$9),SUMPRODUCT(Waterfall!DA$7:$DB$7,DA$13:$DB$13,Time!DA$30:$DB$30)/(DA13*(1+Debt!DA9))/(Debt!DA42+Debt!DA49),"")</f>
        <v/>
      </c>
      <c r="DB14" s="31" t="str">
        <f aca="false">IF(AND(Time!DB30=1,Debt!DB42+Debt!DB49&gt;Inputs!$F$9),SUMPRODUCT(Waterfall!DB$7:$DB$7,DB$13:$DB$13,Time!DB$30:$DB$30)/(DB13*(1+Debt!DB9))/(Debt!DB42+Debt!DB49),"")</f>
        <v/>
      </c>
    </row>
    <row r="15" customFormat="false" ht="15" hidden="false" customHeight="false" outlineLevel="0" collapsed="false">
      <c r="D15" s="0" t="s">
        <v>675</v>
      </c>
      <c r="E15" s="0" t="s">
        <v>126</v>
      </c>
      <c r="F15" s="31" t="n">
        <f aca="false">SUMPRODUCT($J$14:$DB$14,Time!$J$31:$DB$31)</f>
        <v>2.61624392013932</v>
      </c>
    </row>
    <row r="16" customFormat="false" ht="15" hidden="false" customHeight="false" outlineLevel="0" collapsed="false">
      <c r="D16" s="0" t="s">
        <v>676</v>
      </c>
      <c r="E16" s="0" t="s">
        <v>126</v>
      </c>
      <c r="F16" s="31" t="n">
        <f aca="false">IF(COUNT($J$14:$DB$14)&gt;0,MIN($J$14:$DB$14),0)</f>
        <v>2.42376954504606</v>
      </c>
    </row>
    <row r="17" customFormat="false" ht="15" hidden="false" customHeight="false" outlineLevel="0" collapsed="false">
      <c r="D17" s="0" t="s">
        <v>677</v>
      </c>
      <c r="E17" s="0" t="s">
        <v>126</v>
      </c>
      <c r="F17" s="31" t="n">
        <f aca="false">IFERROR(SUMPRODUCT(Waterfall!$J$7:$DB$7,$J$13:$DB$13,Time!$J$26:$DB$26)/SUMPRODUCT(Debt!$J$42:$DB$42+Debt!$J$49:$DB$49,Time!$J$31:$DB$31),0)</f>
        <v>2.91147930686522</v>
      </c>
    </row>
    <row r="18" customFormat="false" ht="15" hidden="false" customHeight="false" outlineLevel="0" collapsed="false">
      <c r="D18" s="0" t="s">
        <v>678</v>
      </c>
      <c r="E18" s="0" t="s">
        <v>126</v>
      </c>
      <c r="J18" s="31" t="str">
        <f aca="false">IF(AND(Time!J37=1,Debt!J68&gt;Inputs!$F$9),Waterfall!J7/Debt!J68,"")</f>
        <v/>
      </c>
      <c r="K18" s="31" t="str">
        <f aca="false">IF(AND(Time!K37=1,Debt!K68&gt;Inputs!$F$9),Waterfall!K7/Debt!K68,"")</f>
        <v/>
      </c>
      <c r="L18" s="31" t="str">
        <f aca="false">IF(AND(Time!L37=1,Debt!L68&gt;Inputs!$F$9),Waterfall!L7/Debt!L68,"")</f>
        <v/>
      </c>
      <c r="M18" s="31" t="str">
        <f aca="false">IF(AND(Time!M37=1,Debt!M68&gt;Inputs!$F$9),Waterfall!M7/Debt!M68,"")</f>
        <v/>
      </c>
      <c r="N18" s="31" t="str">
        <f aca="false">IF(AND(Time!N37=1,Debt!N68&gt;Inputs!$F$9),Waterfall!N7/Debt!N68,"")</f>
        <v/>
      </c>
      <c r="O18" s="31" t="str">
        <f aca="false">IF(AND(Time!O37=1,Debt!O68&gt;Inputs!$F$9),Waterfall!O7/Debt!O68,"")</f>
        <v/>
      </c>
      <c r="P18" s="31" t="str">
        <f aca="false">IF(AND(Time!P37=1,Debt!P68&gt;Inputs!$F$9),Waterfall!P7/Debt!P68,"")</f>
        <v/>
      </c>
      <c r="Q18" s="31" t="str">
        <f aca="false">IF(AND(Time!Q37=1,Debt!Q68&gt;Inputs!$F$9),Waterfall!Q7/Debt!Q68,"")</f>
        <v/>
      </c>
      <c r="R18" s="31" t="str">
        <f aca="false">IF(AND(Time!R37=1,Debt!R68&gt;Inputs!$F$9),Waterfall!R7/Debt!R68,"")</f>
        <v/>
      </c>
      <c r="S18" s="31" t="str">
        <f aca="false">IF(AND(Time!S37=1,Debt!S68&gt;Inputs!$F$9),Waterfall!S7/Debt!S68,"")</f>
        <v/>
      </c>
      <c r="T18" s="31" t="str">
        <f aca="false">IF(AND(Time!T37=1,Debt!T68&gt;Inputs!$F$9),Waterfall!T7/Debt!T68,"")</f>
        <v/>
      </c>
      <c r="U18" s="31" t="str">
        <f aca="false">IF(AND(Time!U37=1,Debt!U68&gt;Inputs!$F$9),Waterfall!U7/Debt!U68,"")</f>
        <v/>
      </c>
      <c r="V18" s="31" t="str">
        <f aca="false">IF(AND(Time!V37=1,Debt!V68&gt;Inputs!$F$9),Waterfall!V7/Debt!V68,"")</f>
        <v/>
      </c>
      <c r="W18" s="31" t="str">
        <f aca="false">IF(AND(Time!W37=1,Debt!W68&gt;Inputs!$F$9),Waterfall!W7/Debt!W68,"")</f>
        <v/>
      </c>
      <c r="X18" s="31" t="str">
        <f aca="false">IF(AND(Time!X37=1,Debt!X68&gt;Inputs!$F$9),Waterfall!X7/Debt!X68,"")</f>
        <v/>
      </c>
      <c r="Y18" s="31" t="str">
        <f aca="false">IF(AND(Time!Y37=1,Debt!Y68&gt;Inputs!$F$9),Waterfall!Y7/Debt!Y68,"")</f>
        <v/>
      </c>
      <c r="Z18" s="31" t="str">
        <f aca="false">IF(AND(Time!Z37=1,Debt!Z68&gt;Inputs!$F$9),Waterfall!Z7/Debt!Z68,"")</f>
        <v/>
      </c>
      <c r="AA18" s="31" t="str">
        <f aca="false">IF(AND(Time!AA37=1,Debt!AA68&gt;Inputs!$F$9),Waterfall!AA7/Debt!AA68,"")</f>
        <v/>
      </c>
      <c r="AB18" s="31" t="str">
        <f aca="false">IF(AND(Time!AB37=1,Debt!AB68&gt;Inputs!$F$9),Waterfall!AB7/Debt!AB68,"")</f>
        <v/>
      </c>
      <c r="AC18" s="31" t="str">
        <f aca="false">IF(AND(Time!AC37=1,Debt!AC68&gt;Inputs!$F$9),Waterfall!AC7/Debt!AC68,"")</f>
        <v/>
      </c>
      <c r="AD18" s="31" t="str">
        <f aca="false">IF(AND(Time!AD37=1,Debt!AD68&gt;Inputs!$F$9),Waterfall!AD7/Debt!AD68,"")</f>
        <v/>
      </c>
      <c r="AE18" s="31" t="str">
        <f aca="false">IF(AND(Time!AE37=1,Debt!AE68&gt;Inputs!$F$9),Waterfall!AE7/Debt!AE68,"")</f>
        <v/>
      </c>
      <c r="AF18" s="31" t="str">
        <f aca="false">IF(AND(Time!AF37=1,Debt!AF68&gt;Inputs!$F$9),Waterfall!AF7/Debt!AF68,"")</f>
        <v/>
      </c>
      <c r="AG18" s="31" t="str">
        <f aca="false">IF(AND(Time!AG37=1,Debt!AG68&gt;Inputs!$F$9),Waterfall!AG7/Debt!AG68,"")</f>
        <v/>
      </c>
      <c r="AH18" s="31" t="str">
        <f aca="false">IF(AND(Time!AH37=1,Debt!AH68&gt;Inputs!$F$9),Waterfall!AH7/Debt!AH68,"")</f>
        <v/>
      </c>
      <c r="AI18" s="31" t="str">
        <f aca="false">IF(AND(Time!AI37=1,Debt!AI68&gt;Inputs!$F$9),Waterfall!AI7/Debt!AI68,"")</f>
        <v/>
      </c>
      <c r="AJ18" s="31" t="str">
        <f aca="false">IF(AND(Time!AJ37=1,Debt!AJ68&gt;Inputs!$F$9),Waterfall!AJ7/Debt!AJ68,"")</f>
        <v/>
      </c>
      <c r="AK18" s="31" t="str">
        <f aca="false">IF(AND(Time!AK37=1,Debt!AK68&gt;Inputs!$F$9),Waterfall!AK7/Debt!AK68,"")</f>
        <v/>
      </c>
      <c r="AL18" s="31" t="str">
        <f aca="false">IF(AND(Time!AL37=1,Debt!AL68&gt;Inputs!$F$9),Waterfall!AL7/Debt!AL68,"")</f>
        <v/>
      </c>
      <c r="AM18" s="31" t="str">
        <f aca="false">IF(AND(Time!AM37=1,Debt!AM68&gt;Inputs!$F$9),Waterfall!AM7/Debt!AM68,"")</f>
        <v/>
      </c>
      <c r="AN18" s="31" t="str">
        <f aca="false">IF(AND(Time!AN37=1,Debt!AN68&gt;Inputs!$F$9),Waterfall!AN7/Debt!AN68,"")</f>
        <v/>
      </c>
      <c r="AO18" s="31" t="str">
        <f aca="false">IF(AND(Time!AO37=1,Debt!AO68&gt;Inputs!$F$9),Waterfall!AO7/Debt!AO68,"")</f>
        <v/>
      </c>
      <c r="AP18" s="31" t="str">
        <f aca="false">IF(AND(Time!AP37=1,Debt!AP68&gt;Inputs!$F$9),Waterfall!AP7/Debt!AP68,"")</f>
        <v/>
      </c>
      <c r="AQ18" s="31" t="str">
        <f aca="false">IF(AND(Time!AQ37=1,Debt!AQ68&gt;Inputs!$F$9),Waterfall!AQ7/Debt!AQ68,"")</f>
        <v/>
      </c>
      <c r="AR18" s="31" t="str">
        <f aca="false">IF(AND(Time!AR37=1,Debt!AR68&gt;Inputs!$F$9),Waterfall!AR7/Debt!AR68,"")</f>
        <v/>
      </c>
      <c r="AS18" s="31" t="str">
        <f aca="false">IF(AND(Time!AS37=1,Debt!AS68&gt;Inputs!$F$9),Waterfall!AS7/Debt!AS68,"")</f>
        <v/>
      </c>
      <c r="AT18" s="31" t="str">
        <f aca="false">IF(AND(Time!AT37=1,Debt!AT68&gt;Inputs!$F$9),Waterfall!AT7/Debt!AT68,"")</f>
        <v/>
      </c>
      <c r="AU18" s="31" t="str">
        <f aca="false">IF(AND(Time!AU37=1,Debt!AU68&gt;Inputs!$F$9),Waterfall!AU7/Debt!AU68,"")</f>
        <v/>
      </c>
      <c r="AV18" s="31" t="str">
        <f aca="false">IF(AND(Time!AV37=1,Debt!AV68&gt;Inputs!$F$9),Waterfall!AV7/Debt!AV68,"")</f>
        <v/>
      </c>
      <c r="AW18" s="31" t="str">
        <f aca="false">IF(AND(Time!AW37=1,Debt!AW68&gt;Inputs!$F$9),Waterfall!AW7/Debt!AW68,"")</f>
        <v/>
      </c>
      <c r="AX18" s="31" t="str">
        <f aca="false">IF(AND(Time!AX37=1,Debt!AX68&gt;Inputs!$F$9),Waterfall!AX7/Debt!AX68,"")</f>
        <v/>
      </c>
      <c r="AY18" s="31" t="str">
        <f aca="false">IF(AND(Time!AY37=1,Debt!AY68&gt;Inputs!$F$9),Waterfall!AY7/Debt!AY68,"")</f>
        <v/>
      </c>
      <c r="AZ18" s="31" t="str">
        <f aca="false">IF(AND(Time!AZ37=1,Debt!AZ68&gt;Inputs!$F$9),Waterfall!AZ7/Debt!AZ68,"")</f>
        <v/>
      </c>
      <c r="BA18" s="31" t="str">
        <f aca="false">IF(AND(Time!BA37=1,Debt!BA68&gt;Inputs!$F$9),Waterfall!BA7/Debt!BA68,"")</f>
        <v/>
      </c>
      <c r="BB18" s="31" t="str">
        <f aca="false">IF(AND(Time!BB37=1,Debt!BB68&gt;Inputs!$F$9),Waterfall!BB7/Debt!BB68,"")</f>
        <v/>
      </c>
      <c r="BC18" s="31" t="str">
        <f aca="false">IF(AND(Time!BC37=1,Debt!BC68&gt;Inputs!$F$9),Waterfall!BC7/Debt!BC68,"")</f>
        <v/>
      </c>
      <c r="BD18" s="31" t="str">
        <f aca="false">IF(AND(Time!BD37=1,Debt!BD68&gt;Inputs!$F$9),Waterfall!BD7/Debt!BD68,"")</f>
        <v/>
      </c>
      <c r="BE18" s="31" t="str">
        <f aca="false">IF(AND(Time!BE37=1,Debt!BE68&gt;Inputs!$F$9),Waterfall!BE7/Debt!BE68,"")</f>
        <v/>
      </c>
      <c r="BF18" s="31" t="str">
        <f aca="false">IF(AND(Time!BF37=1,Debt!BF68&gt;Inputs!$F$9),Waterfall!BF7/Debt!BF68,"")</f>
        <v/>
      </c>
      <c r="BG18" s="31" t="str">
        <f aca="false">IF(AND(Time!BG37=1,Debt!BG68&gt;Inputs!$F$9),Waterfall!BG7/Debt!BG68,"")</f>
        <v/>
      </c>
      <c r="BH18" s="31" t="str">
        <f aca="false">IF(AND(Time!BH37=1,Debt!BH68&gt;Inputs!$F$9),Waterfall!BH7/Debt!BH68,"")</f>
        <v/>
      </c>
      <c r="BI18" s="31" t="str">
        <f aca="false">IF(AND(Time!BI37=1,Debt!BI68&gt;Inputs!$F$9),Waterfall!BI7/Debt!BI68,"")</f>
        <v/>
      </c>
      <c r="BJ18" s="31" t="str">
        <f aca="false">IF(AND(Time!BJ37=1,Debt!BJ68&gt;Inputs!$F$9),Waterfall!BJ7/Debt!BJ68,"")</f>
        <v/>
      </c>
      <c r="BK18" s="31" t="str">
        <f aca="false">IF(AND(Time!BK37=1,Debt!BK68&gt;Inputs!$F$9),Waterfall!BK7/Debt!BK68,"")</f>
        <v/>
      </c>
      <c r="BL18" s="31" t="str">
        <f aca="false">IF(AND(Time!BL37=1,Debt!BL68&gt;Inputs!$F$9),Waterfall!BL7/Debt!BL68,"")</f>
        <v/>
      </c>
      <c r="BM18" s="31" t="str">
        <f aca="false">IF(AND(Time!BM37=1,Debt!BM68&gt;Inputs!$F$9),Waterfall!BM7/Debt!BM68,"")</f>
        <v/>
      </c>
      <c r="BN18" s="31" t="str">
        <f aca="false">IF(AND(Time!BN37=1,Debt!BN68&gt;Inputs!$F$9),Waterfall!BN7/Debt!BN68,"")</f>
        <v/>
      </c>
      <c r="BO18" s="31" t="str">
        <f aca="false">IF(AND(Time!BO37=1,Debt!BO68&gt;Inputs!$F$9),Waterfall!BO7/Debt!BO68,"")</f>
        <v/>
      </c>
      <c r="BP18" s="31" t="str">
        <f aca="false">IF(AND(Time!BP37=1,Debt!BP68&gt;Inputs!$F$9),Waterfall!BP7/Debt!BP68,"")</f>
        <v/>
      </c>
      <c r="BQ18" s="31" t="str">
        <f aca="false">IF(AND(Time!BQ37=1,Debt!BQ68&gt;Inputs!$F$9),Waterfall!BQ7/Debt!BQ68,"")</f>
        <v/>
      </c>
      <c r="BR18" s="31" t="str">
        <f aca="false">IF(AND(Time!BR37=1,Debt!BR68&gt;Inputs!$F$9),Waterfall!BR7/Debt!BR68,"")</f>
        <v/>
      </c>
      <c r="BS18" s="31" t="str">
        <f aca="false">IF(AND(Time!BS37=1,Debt!BS68&gt;Inputs!$F$9),Waterfall!BS7/Debt!BS68,"")</f>
        <v/>
      </c>
      <c r="BT18" s="31" t="str">
        <f aca="false">IF(AND(Time!BT37=1,Debt!BT68&gt;Inputs!$F$9),Waterfall!BT7/Debt!BT68,"")</f>
        <v/>
      </c>
      <c r="BU18" s="31" t="str">
        <f aca="false">IF(AND(Time!BU37=1,Debt!BU68&gt;Inputs!$F$9),Waterfall!BU7/Debt!BU68,"")</f>
        <v/>
      </c>
      <c r="BV18" s="31" t="str">
        <f aca="false">IF(AND(Time!BV37=1,Debt!BV68&gt;Inputs!$F$9),Waterfall!BV7/Debt!BV68,"")</f>
        <v/>
      </c>
      <c r="BW18" s="31" t="str">
        <f aca="false">IF(AND(Time!BW37=1,Debt!BW68&gt;Inputs!$F$9),Waterfall!BW7/Debt!BW68,"")</f>
        <v/>
      </c>
      <c r="BX18" s="31" t="str">
        <f aca="false">IF(AND(Time!BX37=1,Debt!BX68&gt;Inputs!$F$9),Waterfall!BX7/Debt!BX68,"")</f>
        <v/>
      </c>
      <c r="BY18" s="31" t="str">
        <f aca="false">IF(AND(Time!BY37=1,Debt!BY68&gt;Inputs!$F$9),Waterfall!BY7/Debt!BY68,"")</f>
        <v/>
      </c>
      <c r="BZ18" s="31" t="str">
        <f aca="false">IF(AND(Time!BZ37=1,Debt!BZ68&gt;Inputs!$F$9),Waterfall!BZ7/Debt!BZ68,"")</f>
        <v/>
      </c>
      <c r="CA18" s="31" t="str">
        <f aca="false">IF(AND(Time!CA37=1,Debt!CA68&gt;Inputs!$F$9),Waterfall!CA7/Debt!CA68,"")</f>
        <v/>
      </c>
      <c r="CB18" s="31" t="str">
        <f aca="false">IF(AND(Time!CB37=1,Debt!CB68&gt;Inputs!$F$9),Waterfall!CB7/Debt!CB68,"")</f>
        <v/>
      </c>
      <c r="CC18" s="31" t="str">
        <f aca="false">IF(AND(Time!CC37=1,Debt!CC68&gt;Inputs!$F$9),Waterfall!CC7/Debt!CC68,"")</f>
        <v/>
      </c>
      <c r="CD18" s="31" t="str">
        <f aca="false">IF(AND(Time!CD37=1,Debt!CD68&gt;Inputs!$F$9),Waterfall!CD7/Debt!CD68,"")</f>
        <v/>
      </c>
      <c r="CE18" s="31" t="str">
        <f aca="false">IF(AND(Time!CE37=1,Debt!CE68&gt;Inputs!$F$9),Waterfall!CE7/Debt!CE68,"")</f>
        <v/>
      </c>
      <c r="CF18" s="31" t="str">
        <f aca="false">IF(AND(Time!CF37=1,Debt!CF68&gt;Inputs!$F$9),Waterfall!CF7/Debt!CF68,"")</f>
        <v/>
      </c>
      <c r="CG18" s="31" t="str">
        <f aca="false">IF(AND(Time!CG37=1,Debt!CG68&gt;Inputs!$F$9),Waterfall!CG7/Debt!CG68,"")</f>
        <v/>
      </c>
      <c r="CH18" s="31" t="str">
        <f aca="false">IF(AND(Time!CH37=1,Debt!CH68&gt;Inputs!$F$9),Waterfall!CH7/Debt!CH68,"")</f>
        <v/>
      </c>
      <c r="CI18" s="31" t="str">
        <f aca="false">IF(AND(Time!CI37=1,Debt!CI68&gt;Inputs!$F$9),Waterfall!CI7/Debt!CI68,"")</f>
        <v/>
      </c>
      <c r="CJ18" s="31" t="str">
        <f aca="false">IF(AND(Time!CJ37=1,Debt!CJ68&gt;Inputs!$F$9),Waterfall!CJ7/Debt!CJ68,"")</f>
        <v/>
      </c>
      <c r="CK18" s="31" t="str">
        <f aca="false">IF(AND(Time!CK37=1,Debt!CK68&gt;Inputs!$F$9),Waterfall!CK7/Debt!CK68,"")</f>
        <v/>
      </c>
      <c r="CL18" s="31" t="str">
        <f aca="false">IF(AND(Time!CL37=1,Debt!CL68&gt;Inputs!$F$9),Waterfall!CL7/Debt!CL68,"")</f>
        <v/>
      </c>
      <c r="CM18" s="31" t="str">
        <f aca="false">IF(AND(Time!CM37=1,Debt!CM68&gt;Inputs!$F$9),Waterfall!CM7/Debt!CM68,"")</f>
        <v/>
      </c>
      <c r="CN18" s="31" t="str">
        <f aca="false">IF(AND(Time!CN37=1,Debt!CN68&gt;Inputs!$F$9),Waterfall!CN7/Debt!CN68,"")</f>
        <v/>
      </c>
      <c r="CO18" s="31" t="str">
        <f aca="false">IF(AND(Time!CO37=1,Debt!CO68&gt;Inputs!$F$9),Waterfall!CO7/Debt!CO68,"")</f>
        <v/>
      </c>
      <c r="CP18" s="31" t="str">
        <f aca="false">IF(AND(Time!CP37=1,Debt!CP68&gt;Inputs!$F$9),Waterfall!CP7/Debt!CP68,"")</f>
        <v/>
      </c>
      <c r="CQ18" s="31" t="str">
        <f aca="false">IF(AND(Time!CQ37=1,Debt!CQ68&gt;Inputs!$F$9),Waterfall!CQ7/Debt!CQ68,"")</f>
        <v/>
      </c>
      <c r="CR18" s="31" t="str">
        <f aca="false">IF(AND(Time!CR37=1,Debt!CR68&gt;Inputs!$F$9),Waterfall!CR7/Debt!CR68,"")</f>
        <v/>
      </c>
      <c r="CS18" s="31" t="str">
        <f aca="false">IF(AND(Time!CS37=1,Debt!CS68&gt;Inputs!$F$9),Waterfall!CS7/Debt!CS68,"")</f>
        <v/>
      </c>
      <c r="CT18" s="31" t="str">
        <f aca="false">IF(AND(Time!CT37=1,Debt!CT68&gt;Inputs!$F$9),Waterfall!CT7/Debt!CT68,"")</f>
        <v/>
      </c>
      <c r="CU18" s="31" t="str">
        <f aca="false">IF(AND(Time!CU37=1,Debt!CU68&gt;Inputs!$F$9),Waterfall!CU7/Debt!CU68,"")</f>
        <v/>
      </c>
      <c r="CV18" s="31" t="str">
        <f aca="false">IF(AND(Time!CV37=1,Debt!CV68&gt;Inputs!$F$9),Waterfall!CV7/Debt!CV68,"")</f>
        <v/>
      </c>
      <c r="CW18" s="31" t="str">
        <f aca="false">IF(AND(Time!CW37=1,Debt!CW68&gt;Inputs!$F$9),Waterfall!CW7/Debt!CW68,"")</f>
        <v/>
      </c>
      <c r="CX18" s="31" t="str">
        <f aca="false">IF(AND(Time!CX37=1,Debt!CX68&gt;Inputs!$F$9),Waterfall!CX7/Debt!CX68,"")</f>
        <v/>
      </c>
      <c r="CY18" s="31" t="str">
        <f aca="false">IF(AND(Time!CY37=1,Debt!CY68&gt;Inputs!$F$9),Waterfall!CY7/Debt!CY68,"")</f>
        <v/>
      </c>
      <c r="CZ18" s="31" t="str">
        <f aca="false">IF(AND(Time!CZ37=1,Debt!CZ68&gt;Inputs!$F$9),Waterfall!CZ7/Debt!CZ68,"")</f>
        <v/>
      </c>
      <c r="DA18" s="31" t="str">
        <f aca="false">IF(AND(Time!DA37=1,Debt!DA68&gt;Inputs!$F$9),Waterfall!DA7/Debt!DA68,"")</f>
        <v/>
      </c>
      <c r="DB18" s="31" t="str">
        <f aca="false">IF(AND(Time!DB37=1,Debt!DB68&gt;Inputs!$F$9),Waterfall!DB7/Debt!DB68,"")</f>
        <v/>
      </c>
    </row>
    <row r="19" customFormat="false" ht="15" hidden="false" customHeight="false" outlineLevel="0" collapsed="false">
      <c r="D19" s="0" t="s">
        <v>679</v>
      </c>
      <c r="E19" s="0" t="s">
        <v>126</v>
      </c>
      <c r="F19" s="31" t="n">
        <f aca="false">IF(COUNT($J$18:$DB$18)&gt;0,MIN($J$18:$DB$18),0)</f>
        <v>0</v>
      </c>
    </row>
    <row r="20" customFormat="false" ht="15" hidden="false" customHeight="false" outlineLevel="0" collapsed="false">
      <c r="D20" s="0" t="s">
        <v>680</v>
      </c>
      <c r="E20" s="0" t="s">
        <v>126</v>
      </c>
      <c r="F20" s="31" t="n">
        <f aca="false">IF(COUNT($J$18:$DB$18)&gt;0,AVERAGE($J$18:$DB$18),0)</f>
        <v>0</v>
      </c>
    </row>
    <row r="21" customFormat="false" ht="15" hidden="false" customHeight="false" outlineLevel="0" collapsed="false">
      <c r="D21" s="0" t="s">
        <v>681</v>
      </c>
      <c r="E21" s="0" t="s">
        <v>39</v>
      </c>
      <c r="F21" s="14" t="n">
        <f aca="false">SUMPRODUCT(Waterfall!$J$48:$DB$48,Time!$J$26:$DB$26,1-Time!$J$33:$DB$33)</f>
        <v>0</v>
      </c>
    </row>
    <row r="22" customFormat="false" ht="15" hidden="false" customHeight="false" outlineLevel="0" collapsed="false">
      <c r="D22" s="0" t="s">
        <v>682</v>
      </c>
      <c r="E22" s="0" t="s">
        <v>44</v>
      </c>
      <c r="F22" s="19" t="n">
        <f aca="false">SUM(Waterfall!$J$23:$DB$23)</f>
        <v>5.55648191080975E-014</v>
      </c>
    </row>
    <row r="23" customFormat="false" ht="15" hidden="false" customHeight="false" outlineLevel="0" collapsed="false">
      <c r="D23" s="0" t="s">
        <v>683</v>
      </c>
      <c r="E23" s="0" t="s">
        <v>105</v>
      </c>
      <c r="F23" s="26" t="n">
        <f aca="false">IFERROR(Debt!$F$26/Funding!$F$25,0)</f>
        <v>0.51108941774104</v>
      </c>
    </row>
    <row r="24" customFormat="false" ht="15" hidden="false" customHeight="false" outlineLevel="0" collapsed="false">
      <c r="D24" s="0" t="s">
        <v>684</v>
      </c>
      <c r="E24" s="0" t="s">
        <v>105</v>
      </c>
      <c r="F24" s="26" t="n">
        <f aca="false">IFERROR(Debt!$F$28/Funding!$F$25,0)</f>
        <v>0.26891058225896</v>
      </c>
    </row>
    <row r="25" customFormat="false" ht="15" hidden="false" customHeight="false" outlineLevel="0" collapsed="false">
      <c r="D25" s="0" t="s">
        <v>685</v>
      </c>
      <c r="E25" s="0" t="s">
        <v>105</v>
      </c>
      <c r="F25" s="26" t="n">
        <f aca="false">IFERROR(Debt!$F$29/Funding!$F$25,0)</f>
        <v>0.22</v>
      </c>
    </row>
    <row r="26" customFormat="false" ht="15" hidden="false" customHeight="false" outlineLevel="0" collapsed="false">
      <c r="D26" s="0" t="s">
        <v>686</v>
      </c>
      <c r="E26" s="0" t="s">
        <v>105</v>
      </c>
      <c r="F26" s="26" t="n">
        <f aca="false">IFERROR(Debt!$F$28/Funding!$F$24,0)</f>
        <v>0.230524933672099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687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688</v>
      </c>
    </row>
    <row r="6" customFormat="false" ht="15" hidden="false" customHeight="false" outlineLevel="0" collapsed="false">
      <c r="D6" s="0" t="s">
        <v>689</v>
      </c>
      <c r="E6" s="0" t="s">
        <v>44</v>
      </c>
      <c r="G6" s="19" t="n">
        <f aca="false">SUM(J6:DB6)</f>
        <v>3168.52889890231</v>
      </c>
      <c r="J6" s="29" t="n">
        <f aca="false">Waterfall!J61</f>
        <v>-73.4145412566294</v>
      </c>
      <c r="K6" s="29" t="n">
        <f aca="false">Waterfall!K61</f>
        <v>-29.9664219279377</v>
      </c>
      <c r="L6" s="29" t="n">
        <f aca="false">Waterfall!L61</f>
        <v>-61.4523492805693</v>
      </c>
      <c r="M6" s="29" t="n">
        <f aca="false">Waterfall!M61</f>
        <v>-98.0736189975583</v>
      </c>
      <c r="N6" s="29" t="n">
        <f aca="false">Waterfall!N61</f>
        <v>-116.808692548114</v>
      </c>
      <c r="O6" s="29" t="n">
        <f aca="false">Waterfall!O61</f>
        <v>-0</v>
      </c>
      <c r="P6" s="29" t="n">
        <f aca="false">Waterfall!P61</f>
        <v>-0</v>
      </c>
      <c r="Q6" s="29" t="n">
        <f aca="false">Waterfall!Q61</f>
        <v>-0</v>
      </c>
      <c r="R6" s="29" t="n">
        <f aca="false">Waterfall!R61</f>
        <v>-0</v>
      </c>
      <c r="S6" s="29" t="n">
        <f aca="false">Waterfall!S61</f>
        <v>-0</v>
      </c>
      <c r="T6" s="29" t="n">
        <f aca="false">Waterfall!T61</f>
        <v>-0</v>
      </c>
      <c r="U6" s="29" t="n">
        <f aca="false">Waterfall!U61</f>
        <v>-0</v>
      </c>
      <c r="V6" s="29" t="n">
        <f aca="false">Waterfall!V61</f>
        <v>-0</v>
      </c>
      <c r="W6" s="29" t="n">
        <f aca="false">Waterfall!W61</f>
        <v>-0</v>
      </c>
      <c r="X6" s="29" t="n">
        <f aca="false">Waterfall!X61</f>
        <v>-0</v>
      </c>
      <c r="Y6" s="29" t="n">
        <f aca="false">Waterfall!Y61</f>
        <v>-0</v>
      </c>
      <c r="Z6" s="29" t="n">
        <f aca="false">Waterfall!Z61</f>
        <v>0</v>
      </c>
      <c r="AA6" s="29" t="n">
        <f aca="false">Waterfall!AA61</f>
        <v>0</v>
      </c>
      <c r="AB6" s="29" t="n">
        <f aca="false">Waterfall!AB61</f>
        <v>0</v>
      </c>
      <c r="AC6" s="29" t="n">
        <f aca="false">Waterfall!AC61</f>
        <v>0</v>
      </c>
      <c r="AD6" s="29" t="n">
        <f aca="false">Waterfall!AD61</f>
        <v>62.2612711860763</v>
      </c>
      <c r="AE6" s="29" t="n">
        <f aca="false">Waterfall!AE61</f>
        <v>20.153216868213</v>
      </c>
      <c r="AF6" s="29" t="n">
        <f aca="false">Waterfall!AF61</f>
        <v>18.6162481330978</v>
      </c>
      <c r="AG6" s="29" t="n">
        <f aca="false">Waterfall!AG61</f>
        <v>26.1809099949294</v>
      </c>
      <c r="AH6" s="29" t="n">
        <f aca="false">Waterfall!AH61</f>
        <v>26.9528117441956</v>
      </c>
      <c r="AI6" s="29" t="n">
        <f aca="false">Waterfall!AI61</f>
        <v>26.2548361055693</v>
      </c>
      <c r="AJ6" s="29" t="n">
        <f aca="false">Waterfall!AJ61</f>
        <v>21.9796550908114</v>
      </c>
      <c r="AK6" s="29" t="n">
        <f aca="false">Waterfall!AK61</f>
        <v>21.1596487361034</v>
      </c>
      <c r="AL6" s="29" t="n">
        <f aca="false">Waterfall!AL61</f>
        <v>22.1978323984121</v>
      </c>
      <c r="AM6" s="29" t="n">
        <f aca="false">Waterfall!AM61</f>
        <v>24.9700113969345</v>
      </c>
      <c r="AN6" s="29" t="n">
        <f aca="false">Waterfall!AN61</f>
        <v>26.0744455934944</v>
      </c>
      <c r="AO6" s="29" t="n">
        <f aca="false">Waterfall!AO61</f>
        <v>32.2259057725788</v>
      </c>
      <c r="AP6" s="29" t="n">
        <f aca="false">Waterfall!AP61</f>
        <v>33.1926752938878</v>
      </c>
      <c r="AQ6" s="29" t="n">
        <f aca="false">Waterfall!AQ61</f>
        <v>26.1686336397305</v>
      </c>
      <c r="AR6" s="29" t="n">
        <f aca="false">Waterfall!AR61</f>
        <v>27.8172156849531</v>
      </c>
      <c r="AS6" s="29" t="n">
        <f aca="false">Waterfall!AS61</f>
        <v>30.8099066914593</v>
      </c>
      <c r="AT6" s="29" t="n">
        <f aca="false">Waterfall!AT61</f>
        <v>32.1401281956166</v>
      </c>
      <c r="AU6" s="29" t="n">
        <f aca="false">Waterfall!AU61</f>
        <v>35.2761397943318</v>
      </c>
      <c r="AV6" s="29" t="n">
        <f aca="false">Waterfall!AV61</f>
        <v>34.452680637697</v>
      </c>
      <c r="AW6" s="29" t="n">
        <f aca="false">Waterfall!AW61</f>
        <v>39.2127585198219</v>
      </c>
      <c r="AX6" s="29" t="n">
        <f aca="false">Waterfall!AX61</f>
        <v>39.9126921300759</v>
      </c>
      <c r="AY6" s="29" t="n">
        <f aca="false">Waterfall!AY61</f>
        <v>39.6210037357918</v>
      </c>
      <c r="AZ6" s="29" t="n">
        <f aca="false">Waterfall!AZ61</f>
        <v>39.4076048994695</v>
      </c>
      <c r="BA6" s="29" t="n">
        <f aca="false">Waterfall!BA61</f>
        <v>42.3258323015884</v>
      </c>
      <c r="BB6" s="29" t="n">
        <f aca="false">Waterfall!BB61</f>
        <v>38.3726861535808</v>
      </c>
      <c r="BC6" s="29" t="n">
        <f aca="false">Waterfall!BC61</f>
        <v>48.8791228121867</v>
      </c>
      <c r="BD6" s="29" t="n">
        <f aca="false">Waterfall!BD61</f>
        <v>46.5243733678273</v>
      </c>
      <c r="BE6" s="29" t="n">
        <f aca="false">Waterfall!BE61</f>
        <v>53.5233040923341</v>
      </c>
      <c r="BF6" s="29" t="n">
        <f aca="false">Waterfall!BF61</f>
        <v>52.6107239619731</v>
      </c>
      <c r="BG6" s="29" t="n">
        <f aca="false">Waterfall!BG61</f>
        <v>56.262549127704</v>
      </c>
      <c r="BH6" s="29" t="n">
        <f aca="false">Waterfall!BH61</f>
        <v>56.0169229898736</v>
      </c>
      <c r="BI6" s="29" t="n">
        <f aca="false">Waterfall!BI61</f>
        <v>59.5663938632578</v>
      </c>
      <c r="BJ6" s="29" t="n">
        <f aca="false">Waterfall!BJ61</f>
        <v>58.5616402930852</v>
      </c>
      <c r="BK6" s="29" t="n">
        <f aca="false">Waterfall!BK61</f>
        <v>62.849282198954</v>
      </c>
      <c r="BL6" s="29" t="n">
        <f aca="false">Waterfall!BL61</f>
        <v>61.8128658950342</v>
      </c>
      <c r="BM6" s="29" t="n">
        <f aca="false">Waterfall!BM61</f>
        <v>66.2927167948559</v>
      </c>
      <c r="BN6" s="29" t="n">
        <f aca="false">Waterfall!BN61</f>
        <v>72.1907077428689</v>
      </c>
      <c r="BO6" s="29" t="n">
        <f aca="false">Waterfall!BO61</f>
        <v>60.9205106027324</v>
      </c>
      <c r="BP6" s="29" t="n">
        <f aca="false">Waterfall!BP61</f>
        <v>60.6566230253074</v>
      </c>
      <c r="BQ6" s="29" t="n">
        <f aca="false">Waterfall!BQ61</f>
        <v>48.457843040831</v>
      </c>
      <c r="BR6" s="29" t="n">
        <f aca="false">Waterfall!BR61</f>
        <v>36.6385018056577</v>
      </c>
      <c r="BS6" s="29" t="n">
        <f aca="false">Waterfall!BS61</f>
        <v>40.2798441959204</v>
      </c>
      <c r="BT6" s="29" t="n">
        <f aca="false">Waterfall!BT61</f>
        <v>30.5174024508114</v>
      </c>
      <c r="BU6" s="29" t="n">
        <f aca="false">Waterfall!BU61</f>
        <v>80.3839545433485</v>
      </c>
      <c r="BV6" s="29" t="n">
        <f aca="false">Waterfall!BV61</f>
        <v>50.1945715456323</v>
      </c>
      <c r="BW6" s="29" t="n">
        <f aca="false">Waterfall!BW61</f>
        <v>50.5951403377116</v>
      </c>
      <c r="BX6" s="29" t="n">
        <f aca="false">Waterfall!BX61</f>
        <v>48.352725574819</v>
      </c>
      <c r="BY6" s="29" t="n">
        <f aca="false">Waterfall!BY61</f>
        <v>51.7204240138939</v>
      </c>
      <c r="BZ6" s="29" t="n">
        <f aca="false">Waterfall!BZ61</f>
        <v>53.0469789633126</v>
      </c>
      <c r="CA6" s="29" t="n">
        <f aca="false">Waterfall!CA61</f>
        <v>46.908151383406</v>
      </c>
      <c r="CB6" s="29" t="n">
        <f aca="false">Waterfall!CB61</f>
        <v>43.6467655551318</v>
      </c>
      <c r="CC6" s="29" t="n">
        <f aca="false">Waterfall!CC61</f>
        <v>47.8393071299145</v>
      </c>
      <c r="CD6" s="29" t="n">
        <f aca="false">Waterfall!CD61</f>
        <v>46.6364934953854</v>
      </c>
      <c r="CE6" s="29" t="n">
        <f aca="false">Waterfall!CE61</f>
        <v>51.9277516374682</v>
      </c>
      <c r="CF6" s="29" t="n">
        <f aca="false">Waterfall!CF61</f>
        <v>51.1443474988465</v>
      </c>
      <c r="CG6" s="29" t="n">
        <f aca="false">Waterfall!CG61</f>
        <v>126.874844186985</v>
      </c>
      <c r="CH6" s="29" t="n">
        <f aca="false">Waterfall!CH61</f>
        <v>97.7708235518326</v>
      </c>
      <c r="CI6" s="29" t="n">
        <f aca="false">Waterfall!CI61</f>
        <v>102.206624564995</v>
      </c>
      <c r="CJ6" s="29" t="n">
        <f aca="false">Waterfall!CJ61</f>
        <v>101.462958996345</v>
      </c>
      <c r="CK6" s="29" t="n">
        <f aca="false">Waterfall!CK61</f>
        <v>118.340518486067</v>
      </c>
      <c r="CL6" s="29" t="n">
        <f aca="false">Waterfall!CL61</f>
        <v>109.664059573532</v>
      </c>
      <c r="CM6" s="29" t="n">
        <f aca="false">Waterfall!CM61</f>
        <v>114.443570553427</v>
      </c>
      <c r="CN6" s="29" t="n">
        <f aca="false">Waterfall!CN61</f>
        <v>114.326807620848</v>
      </c>
      <c r="CO6" s="29" t="n">
        <f aca="false">Waterfall!CO61</f>
        <v>118.598964170886</v>
      </c>
      <c r="CP6" s="29" t="n">
        <f aca="false">Waterfall!CP61</f>
        <v>161.860660569695</v>
      </c>
      <c r="CQ6" s="29" t="n">
        <f aca="false">Waterfall!CQ61</f>
        <v>0</v>
      </c>
      <c r="CR6" s="29" t="n">
        <f aca="false">Waterfall!CR61</f>
        <v>0</v>
      </c>
      <c r="CS6" s="29" t="n">
        <f aca="false">Waterfall!CS61</f>
        <v>0</v>
      </c>
      <c r="CT6" s="29" t="n">
        <f aca="false">Waterfall!CT61</f>
        <v>0</v>
      </c>
      <c r="CU6" s="29" t="n">
        <f aca="false">Waterfall!CU61</f>
        <v>0</v>
      </c>
      <c r="CV6" s="29" t="n">
        <f aca="false">Waterfall!CV61</f>
        <v>0</v>
      </c>
      <c r="CW6" s="29" t="n">
        <f aca="false">Waterfall!CW61</f>
        <v>0</v>
      </c>
      <c r="CX6" s="29" t="n">
        <f aca="false">Waterfall!CX61</f>
        <v>0</v>
      </c>
      <c r="CY6" s="29" t="n">
        <f aca="false">Waterfall!CY61</f>
        <v>0</v>
      </c>
      <c r="CZ6" s="29" t="n">
        <f aca="false">Waterfall!CZ61</f>
        <v>0</v>
      </c>
      <c r="DA6" s="29" t="n">
        <f aca="false">Waterfall!DA61</f>
        <v>0</v>
      </c>
      <c r="DB6" s="29" t="n">
        <f aca="false">Waterfall!DB61</f>
        <v>0</v>
      </c>
    </row>
    <row r="7" customFormat="false" ht="15" hidden="false" customHeight="false" outlineLevel="0" collapsed="false">
      <c r="D7" s="0" t="s">
        <v>690</v>
      </c>
      <c r="E7" s="0" t="s">
        <v>105</v>
      </c>
      <c r="F7" s="26" t="n">
        <f aca="false">IFERROR(XIRR($J$6:$DB$6,Time!$J$8:$DB$8),"n/a")</f>
        <v>0.114805967335496</v>
      </c>
    </row>
    <row r="8" customFormat="false" ht="15" hidden="false" customHeight="false" outlineLevel="0" collapsed="false">
      <c r="D8" s="0" t="s">
        <v>691</v>
      </c>
      <c r="E8" s="0" t="s">
        <v>44</v>
      </c>
      <c r="F8" s="19" t="n">
        <f aca="false">SUMPRODUCT($J$6:$DB$6/(1+Inputs!$F$90)^((Time!$J$8:$DB$8-Inputs!$F$13)/Inputs!$F$45))</f>
        <v>4.08491644394183</v>
      </c>
    </row>
    <row r="9" customFormat="false" ht="15" hidden="false" customHeight="false" outlineLevel="0" collapsed="false">
      <c r="D9" s="0" t="s">
        <v>692</v>
      </c>
      <c r="E9" s="0" t="s">
        <v>44</v>
      </c>
      <c r="F9" s="19" t="n">
        <f aca="false">SUM(Funding!$J$27:$DB$27)+SUM(Waterfall!$J$9:$DB$9)</f>
        <v>379.715624010809</v>
      </c>
    </row>
    <row r="10" customFormat="false" ht="15" hidden="false" customHeight="false" outlineLevel="0" collapsed="false">
      <c r="D10" s="3" t="s">
        <v>693</v>
      </c>
    </row>
    <row r="11" customFormat="false" ht="15" hidden="false" customHeight="false" outlineLevel="0" collapsed="false">
      <c r="D11" s="0" t="s">
        <v>694</v>
      </c>
      <c r="E11" s="0" t="s">
        <v>44</v>
      </c>
      <c r="G11" s="19" t="n">
        <f aca="false">SUM(J11:DB11)</f>
        <v>4911.73527202665</v>
      </c>
      <c r="J11" s="19" t="n">
        <f aca="false">-Construction!J13+Funding!J39+Waterfall!J7*(1-Time!J20)-Operations!J45</f>
        <v>-55.3514163668316</v>
      </c>
      <c r="K11" s="19" t="n">
        <f aca="false">-Construction!K13+Funding!K39+Waterfall!K7*(1-Time!K20)-Operations!K45</f>
        <v>-25.7012772458539</v>
      </c>
      <c r="L11" s="19" t="n">
        <f aca="false">-Construction!L13+Funding!L39+Waterfall!L7*(1-Time!L20)-Operations!L45</f>
        <v>-57.1872045984855</v>
      </c>
      <c r="M11" s="19" t="n">
        <f aca="false">-Construction!M13+Funding!M39+Waterfall!M7*(1-Time!M20)-Operations!M45</f>
        <v>-93.7908921319688</v>
      </c>
      <c r="N11" s="19" t="n">
        <f aca="false">-Construction!N13+Funding!N39+Waterfall!N7*(1-Time!N20)-Operations!N45</f>
        <v>-129.910735316179</v>
      </c>
      <c r="O11" s="19" t="n">
        <f aca="false">-Construction!O13+Funding!O39+Waterfall!O7*(1-Time!O20)-Operations!O45</f>
        <v>-161.008488503749</v>
      </c>
      <c r="P11" s="19" t="n">
        <f aca="false">-Construction!P13+Funding!P39+Waterfall!P7*(1-Time!P20)-Operations!P45</f>
        <v>-183.60752547217</v>
      </c>
      <c r="Q11" s="19" t="n">
        <f aca="false">-Construction!Q13+Funding!Q39+Waterfall!Q7*(1-Time!Q20)-Operations!Q45</f>
        <v>-195.401600107557</v>
      </c>
      <c r="R11" s="19" t="n">
        <f aca="false">-Construction!R13+Funding!R39+Waterfall!R7*(1-Time!R20)-Operations!R45</f>
        <v>-197.954374753021</v>
      </c>
      <c r="S11" s="19" t="n">
        <f aca="false">-Construction!S13+Funding!S39+Waterfall!S7*(1-Time!S20)-Operations!S45</f>
        <v>-183.60752547217</v>
      </c>
      <c r="T11" s="19" t="n">
        <f aca="false">-Construction!T13+Funding!T39+Waterfall!T7*(1-Time!T20)-Operations!T45</f>
        <v>-161.008488503749</v>
      </c>
      <c r="U11" s="19" t="n">
        <f aca="false">-Construction!U13+Funding!U39+Waterfall!U7*(1-Time!U20)-Operations!U45</f>
        <v>-129.874481754926</v>
      </c>
      <c r="V11" s="19" t="n">
        <f aca="false">-Construction!V13+Funding!V39+Waterfall!V7*(1-Time!V20)-Operations!V45</f>
        <v>-93.7908921319688</v>
      </c>
      <c r="W11" s="19" t="n">
        <f aca="false">-Construction!W13+Funding!W39+Waterfall!W7*(1-Time!W20)-Operations!W45</f>
        <v>-57.1872045984855</v>
      </c>
      <c r="X11" s="19" t="n">
        <f aca="false">-Construction!X13+Funding!X39+Waterfall!X7*(1-Time!X20)-Operations!X45</f>
        <v>-25.7012772458539</v>
      </c>
      <c r="Y11" s="19" t="n">
        <f aca="false">-Construction!Y13+Funding!Y39+Waterfall!Y7*(1-Time!Y20)-Operations!Y45</f>
        <v>197.083384202969</v>
      </c>
      <c r="Z11" s="19" t="n">
        <f aca="false">-Construction!Z13+Funding!Z39+Waterfall!Z7*(1-Time!Z20)-Operations!Z45</f>
        <v>13.3688633669775</v>
      </c>
      <c r="AA11" s="19" t="n">
        <f aca="false">-Construction!AA13+Funding!AA39+Waterfall!AA7*(1-Time!AA20)-Operations!AA45</f>
        <v>30.0078043201198</v>
      </c>
      <c r="AB11" s="19" t="n">
        <f aca="false">-Construction!AB13+Funding!AB39+Waterfall!AB7*(1-Time!AB20)-Operations!AB45</f>
        <v>35.7067674601907</v>
      </c>
      <c r="AC11" s="19" t="n">
        <f aca="false">-Construction!AC13+Funding!AC39+Waterfall!AC7*(1-Time!AC20)-Operations!AC45</f>
        <v>37.6436558644639</v>
      </c>
      <c r="AD11" s="19" t="n">
        <f aca="false">-Construction!AD13+Funding!AD39+Waterfall!AD7*(1-Time!AD20)-Operations!AD45</f>
        <v>41.5005322947458</v>
      </c>
      <c r="AE11" s="19" t="n">
        <f aca="false">-Construction!AE13+Funding!AE39+Waterfall!AE7*(1-Time!AE20)-Operations!AE45</f>
        <v>43.7575640720232</v>
      </c>
      <c r="AF11" s="19" t="n">
        <f aca="false">-Construction!AF13+Funding!AF39+Waterfall!AF7*(1-Time!AF20)-Operations!AF45</f>
        <v>46.809980254985</v>
      </c>
      <c r="AG11" s="19" t="n">
        <f aca="false">-Construction!AG13+Funding!AG39+Waterfall!AG7*(1-Time!AG20)-Operations!AG45</f>
        <v>49.2257087401623</v>
      </c>
      <c r="AH11" s="19" t="n">
        <f aca="false">-Construction!AH13+Funding!AH39+Waterfall!AH7*(1-Time!AH20)-Operations!AH45</f>
        <v>50.1845616653847</v>
      </c>
      <c r="AI11" s="19" t="n">
        <f aca="false">-Construction!AI13+Funding!AI39+Waterfall!AI7*(1-Time!AI20)-Operations!AI45</f>
        <v>49.3619519094543</v>
      </c>
      <c r="AJ11" s="19" t="n">
        <f aca="false">-Construction!AJ13+Funding!AJ39+Waterfall!AJ7*(1-Time!AJ20)-Operations!AJ45</f>
        <v>50.6761233616812</v>
      </c>
      <c r="AK11" s="19" t="n">
        <f aca="false">-Construction!AK13+Funding!AK39+Waterfall!AK7*(1-Time!AK20)-Operations!AK45</f>
        <v>52.9509470961209</v>
      </c>
      <c r="AL11" s="19" t="n">
        <f aca="false">-Construction!AL13+Funding!AL39+Waterfall!AL7*(1-Time!AL20)-Operations!AL45</f>
        <v>54.0334759624056</v>
      </c>
      <c r="AM11" s="19" t="n">
        <f aca="false">-Construction!AM13+Funding!AM39+Waterfall!AM7*(1-Time!AM20)-Operations!AM45</f>
        <v>56.761309756952</v>
      </c>
      <c r="AN11" s="19" t="n">
        <f aca="false">-Construction!AN13+Funding!AN39+Waterfall!AN7*(1-Time!AN20)-Operations!AN45</f>
        <v>57.910089157488</v>
      </c>
      <c r="AO11" s="19" t="n">
        <f aca="false">-Construction!AO13+Funding!AO39+Waterfall!AO7*(1-Time!AO20)-Operations!AO45</f>
        <v>64.0172041325963</v>
      </c>
      <c r="AP11" s="19" t="n">
        <f aca="false">-Construction!AP13+Funding!AP39+Waterfall!AP7*(1-Time!AP20)-Operations!AP45</f>
        <v>65.2360404179162</v>
      </c>
      <c r="AQ11" s="19" t="n">
        <f aca="false">-Construction!AQ13+Funding!AQ39+Waterfall!AQ7*(1-Time!AQ20)-Operations!AQ45</f>
        <v>58.019044796834</v>
      </c>
      <c r="AR11" s="19" t="n">
        <f aca="false">-Construction!AR13+Funding!AR39+Waterfall!AR7*(1-Time!AR20)-Operations!AR45</f>
        <v>59.697225140304</v>
      </c>
      <c r="AS11" s="19" t="n">
        <f aca="false">-Construction!AS13+Funding!AS39+Waterfall!AS7*(1-Time!AS20)-Operations!AS45</f>
        <v>62.5980007899108</v>
      </c>
      <c r="AT11" s="19" t="n">
        <f aca="false">-Construction!AT13+Funding!AT39+Waterfall!AT7*(1-Time!AT20)-Operations!AT45</f>
        <v>63.9726197414392</v>
      </c>
      <c r="AU11" s="19" t="n">
        <f aca="false">-Construction!AU13+Funding!AU39+Waterfall!AU7*(1-Time!AU20)-Operations!AU45</f>
        <v>67.4529533238202</v>
      </c>
      <c r="AV11" s="19" t="n">
        <f aca="false">-Construction!AV13+Funding!AV39+Waterfall!AV7*(1-Time!AV20)-Operations!AV45</f>
        <v>68.9110274047114</v>
      </c>
      <c r="AW11" s="19" t="n">
        <f aca="false">-Construction!AW13+Funding!AW39+Waterfall!AW7*(1-Time!AW20)-Operations!AW45</f>
        <v>74.5865636661476</v>
      </c>
      <c r="AX11" s="19" t="n">
        <f aca="false">-Construction!AX13+Funding!AX39+Waterfall!AX7*(1-Time!AX20)-Operations!AX45</f>
        <v>75.1513112479582</v>
      </c>
      <c r="AY11" s="19" t="n">
        <f aca="false">-Construction!AY13+Funding!AY39+Waterfall!AY7*(1-Time!AY20)-Operations!AY45</f>
        <v>75.0578086767168</v>
      </c>
      <c r="AZ11" s="19" t="n">
        <f aca="false">-Construction!AZ13+Funding!AZ39+Waterfall!AZ7*(1-Time!AZ20)-Operations!AZ45</f>
        <v>76.1394779267271</v>
      </c>
      <c r="BA11" s="19" t="n">
        <f aca="false">-Construction!BA13+Funding!BA39+Waterfall!BA7*(1-Time!BA20)-Operations!BA45</f>
        <v>79.6520457853012</v>
      </c>
      <c r="BB11" s="19" t="n">
        <f aca="false">-Construction!BB13+Funding!BB39+Waterfall!BB7*(1-Time!BB20)-Operations!BB45</f>
        <v>80.27678446265</v>
      </c>
      <c r="BC11" s="19" t="n">
        <f aca="false">-Construction!BC13+Funding!BC39+Waterfall!BC7*(1-Time!BC20)-Operations!BC45</f>
        <v>92.7497959504098</v>
      </c>
      <c r="BD11" s="19" t="n">
        <f aca="false">-Construction!BD13+Funding!BD39+Waterfall!BD7*(1-Time!BD20)-Operations!BD45</f>
        <v>93.4048485247771</v>
      </c>
      <c r="BE11" s="19" t="n">
        <f aca="false">-Construction!BE13+Funding!BE39+Waterfall!BE7*(1-Time!BE20)-Operations!BE45</f>
        <v>101.735687415536</v>
      </c>
      <c r="BF11" s="19" t="n">
        <f aca="false">-Construction!BF13+Funding!BF39+Waterfall!BF7*(1-Time!BF20)-Operations!BF45</f>
        <v>102.425887903128</v>
      </c>
      <c r="BG11" s="19" t="n">
        <f aca="false">-Construction!BG13+Funding!BG39+Waterfall!BG7*(1-Time!BG20)-Operations!BG45</f>
        <v>107.03863868891</v>
      </c>
      <c r="BH11" s="19" t="n">
        <f aca="false">-Construction!BH13+Funding!BH39+Waterfall!BH7*(1-Time!BH20)-Operations!BH45</f>
        <v>108.358186634721</v>
      </c>
      <c r="BI11" s="19" t="n">
        <f aca="false">-Construction!BI13+Funding!BI39+Waterfall!BI7*(1-Time!BI20)-Operations!BI45</f>
        <v>112.627121762851</v>
      </c>
      <c r="BJ11" s="19" t="n">
        <f aca="false">-Construction!BJ13+Funding!BJ39+Waterfall!BJ7*(1-Time!BJ20)-Operations!BJ45</f>
        <v>113.388918362832</v>
      </c>
      <c r="BK11" s="19" t="n">
        <f aca="false">-Construction!BK13+Funding!BK39+Waterfall!BK7*(1-Time!BK20)-Operations!BK45</f>
        <v>118.517220647001</v>
      </c>
      <c r="BL11" s="19" t="n">
        <f aca="false">-Construction!BL13+Funding!BL39+Waterfall!BL7*(1-Time!BL20)-Operations!BL45</f>
        <v>119.319227424256</v>
      </c>
      <c r="BM11" s="19" t="n">
        <f aca="false">-Construction!BM13+Funding!BM39+Waterfall!BM7*(1-Time!BM20)-Operations!BM45</f>
        <v>124.674040554691</v>
      </c>
      <c r="BN11" s="19" t="n">
        <f aca="false">-Construction!BN13+Funding!BN39+Waterfall!BN7*(1-Time!BN20)-Operations!BN45</f>
        <v>125.514305123325</v>
      </c>
      <c r="BO11" s="19" t="n">
        <f aca="false">-Construction!BO13+Funding!BO39+Waterfall!BO7*(1-Time!BO20)-Operations!BO45</f>
        <v>112.552038371944</v>
      </c>
      <c r="BP11" s="19" t="n">
        <f aca="false">-Construction!BP13+Funding!BP39+Waterfall!BP7*(1-Time!BP20)-Operations!BP45</f>
        <v>114.166536065097</v>
      </c>
      <c r="BQ11" s="19" t="n">
        <f aca="false">-Construction!BQ13+Funding!BQ39+Waterfall!BQ7*(1-Time!BQ20)-Operations!BQ45</f>
        <v>102.351515148844</v>
      </c>
      <c r="BR11" s="19" t="n">
        <f aca="false">-Construction!BR13+Funding!BR39+Waterfall!BR7*(1-Time!BR20)-Operations!BR45</f>
        <v>92.3958776690488</v>
      </c>
      <c r="BS11" s="19" t="n">
        <f aca="false">-Construction!BS13+Funding!BS39+Waterfall!BS7*(1-Time!BS20)-Operations!BS45</f>
        <v>96.5230539802575</v>
      </c>
      <c r="BT11" s="19" t="n">
        <f aca="false">-Construction!BT13+Funding!BT39+Waterfall!BT7*(1-Time!BT20)-Operations!BT45</f>
        <v>95.6779040761689</v>
      </c>
      <c r="BU11" s="19" t="n">
        <f aca="false">-Construction!BU13+Funding!BU39+Waterfall!BU7*(1-Time!BU20)-Operations!BU45</f>
        <v>148.899430967449</v>
      </c>
      <c r="BV11" s="19" t="n">
        <f aca="false">-Construction!BV13+Funding!BV39+Waterfall!BV7*(1-Time!BV20)-Operations!BV45</f>
        <v>120.711745639381</v>
      </c>
      <c r="BW11" s="19" t="n">
        <f aca="false">-Construction!BW13+Funding!BW39+Waterfall!BW7*(1-Time!BW20)-Operations!BW45</f>
        <v>121.913531626981</v>
      </c>
      <c r="BX11" s="19" t="n">
        <f aca="false">-Construction!BX13+Funding!BX39+Waterfall!BX7*(1-Time!BX20)-Operations!BX45</f>
        <v>121.579602794457</v>
      </c>
      <c r="BY11" s="19" t="n">
        <f aca="false">-Construction!BY13+Funding!BY39+Waterfall!BY7*(1-Time!BY20)-Operations!BY45</f>
        <v>125.375758910204</v>
      </c>
      <c r="BZ11" s="19" t="n">
        <f aca="false">-Construction!BZ13+Funding!BZ39+Waterfall!BZ7*(1-Time!BZ20)-Operations!BZ45</f>
        <v>124.338711027284</v>
      </c>
      <c r="CA11" s="19" t="n">
        <f aca="false">-Construction!CA13+Funding!CA39+Waterfall!CA7*(1-Time!CA20)-Operations!CA45</f>
        <v>116.920715744122</v>
      </c>
      <c r="CB11" s="19" t="n">
        <f aca="false">-Construction!CB13+Funding!CB39+Waterfall!CB7*(1-Time!CB20)-Operations!CB45</f>
        <v>115.880559091473</v>
      </c>
      <c r="CC11" s="19" t="n">
        <f aca="false">-Construction!CC13+Funding!CC39+Waterfall!CC7*(1-Time!CC20)-Operations!CC45</f>
        <v>120.654035702137</v>
      </c>
      <c r="CD11" s="19" t="n">
        <f aca="false">-Construction!CD13+Funding!CD39+Waterfall!CD7*(1-Time!CD20)-Operations!CD45</f>
        <v>119.565634571733</v>
      </c>
      <c r="CE11" s="19" t="n">
        <f aca="false">-Construction!CE13+Funding!CE39+Waterfall!CE7*(1-Time!CE20)-Operations!CE45</f>
        <v>118.665771362771</v>
      </c>
      <c r="CF11" s="19" t="n">
        <f aca="false">-Construction!CF13+Funding!CF39+Waterfall!CF7*(1-Time!CF20)-Operations!CF45</f>
        <v>118.293983671019</v>
      </c>
      <c r="CG11" s="19" t="n">
        <f aca="false">-Construction!CG13+Funding!CG39+Waterfall!CG7*(1-Time!CG20)-Operations!CG45</f>
        <v>146.689084472723</v>
      </c>
      <c r="CH11" s="19" t="n">
        <f aca="false">-Construction!CH13+Funding!CH39+Waterfall!CH7*(1-Time!CH20)-Operations!CH45</f>
        <v>123.71386464887</v>
      </c>
      <c r="CI11" s="19" t="n">
        <f aca="false">-Construction!CI13+Funding!CI39+Waterfall!CI7*(1-Time!CI20)-Operations!CI45</f>
        <v>129.34838054512</v>
      </c>
      <c r="CJ11" s="19" t="n">
        <f aca="false">-Construction!CJ13+Funding!CJ39+Waterfall!CJ7*(1-Time!CJ20)-Operations!CJ45</f>
        <v>128.306126817846</v>
      </c>
      <c r="CK11" s="19" t="n">
        <f aca="false">-Construction!CK13+Funding!CK39+Waterfall!CK7*(1-Time!CK20)-Operations!CK45</f>
        <v>150.414944717452</v>
      </c>
      <c r="CL11" s="19" t="n">
        <f aca="false">-Construction!CL13+Funding!CL39+Waterfall!CL7*(1-Time!CL20)-Operations!CL45</f>
        <v>138.858143416961</v>
      </c>
      <c r="CM11" s="19" t="n">
        <f aca="false">-Construction!CM13+Funding!CM39+Waterfall!CM7*(1-Time!CM20)-Operations!CM45</f>
        <v>144.9175887513</v>
      </c>
      <c r="CN11" s="19" t="n">
        <f aca="false">-Construction!CN13+Funding!CN39+Waterfall!CN7*(1-Time!CN20)-Operations!CN45</f>
        <v>144.664489074489</v>
      </c>
      <c r="CO11" s="19" t="n">
        <f aca="false">-Construction!CO13+Funding!CO39+Waterfall!CO7*(1-Time!CO20)-Operations!CO45</f>
        <v>150.074260803195</v>
      </c>
      <c r="CP11" s="19" t="n">
        <f aca="false">-Construction!CP13+Funding!CP39+Waterfall!CP7*(1-Time!CP20)-Operations!CP45</f>
        <v>161.860660569695</v>
      </c>
      <c r="CQ11" s="19" t="n">
        <f aca="false">-Construction!CQ13+Funding!CQ39+Waterfall!CQ7*(1-Time!CQ20)-Operations!CQ45</f>
        <v>0</v>
      </c>
      <c r="CR11" s="19" t="n">
        <f aca="false">-Construction!CR13+Funding!CR39+Waterfall!CR7*(1-Time!CR20)-Operations!CR45</f>
        <v>0</v>
      </c>
      <c r="CS11" s="19" t="n">
        <f aca="false">-Construction!CS13+Funding!CS39+Waterfall!CS7*(1-Time!CS20)-Operations!CS45</f>
        <v>0</v>
      </c>
      <c r="CT11" s="19" t="n">
        <f aca="false">-Construction!CT13+Funding!CT39+Waterfall!CT7*(1-Time!CT20)-Operations!CT45</f>
        <v>0</v>
      </c>
      <c r="CU11" s="19" t="n">
        <f aca="false">-Construction!CU13+Funding!CU39+Waterfall!CU7*(1-Time!CU20)-Operations!CU45</f>
        <v>0</v>
      </c>
      <c r="CV11" s="19" t="n">
        <f aca="false">-Construction!CV13+Funding!CV39+Waterfall!CV7*(1-Time!CV20)-Operations!CV45</f>
        <v>0</v>
      </c>
      <c r="CW11" s="19" t="n">
        <f aca="false">-Construction!CW13+Funding!CW39+Waterfall!CW7*(1-Time!CW20)-Operations!CW45</f>
        <v>0</v>
      </c>
      <c r="CX11" s="19" t="n">
        <f aca="false">-Construction!CX13+Funding!CX39+Waterfall!CX7*(1-Time!CX20)-Operations!CX45</f>
        <v>0</v>
      </c>
      <c r="CY11" s="19" t="n">
        <f aca="false">-Construction!CY13+Funding!CY39+Waterfall!CY7*(1-Time!CY20)-Operations!CY45</f>
        <v>0</v>
      </c>
      <c r="CZ11" s="19" t="n">
        <f aca="false">-Construction!CZ13+Funding!CZ39+Waterfall!CZ7*(1-Time!CZ20)-Operations!CZ45</f>
        <v>0</v>
      </c>
      <c r="DA11" s="19" t="n">
        <f aca="false">-Construction!DA13+Funding!DA39+Waterfall!DA7*(1-Time!DA20)-Operations!DA45</f>
        <v>0</v>
      </c>
      <c r="DB11" s="19" t="n">
        <f aca="false">-Construction!DB13+Funding!DB39+Waterfall!DB7*(1-Time!DB20)-Operations!DB45</f>
        <v>0</v>
      </c>
    </row>
    <row r="12" customFormat="false" ht="15" hidden="false" customHeight="false" outlineLevel="0" collapsed="false">
      <c r="D12" s="0" t="s">
        <v>695</v>
      </c>
      <c r="E12" s="0" t="s">
        <v>105</v>
      </c>
      <c r="F12" s="26" t="n">
        <f aca="false">IFERROR(XIRR($J$11:$DB$11,Time!$J$8:$DB$8),"n/a")</f>
        <v>0.073915749878304</v>
      </c>
    </row>
    <row r="13" customFormat="false" ht="15" hidden="false" customHeight="false" outlineLevel="0" collapsed="false">
      <c r="D13" s="0" t="s">
        <v>696</v>
      </c>
      <c r="E13" s="0" t="s">
        <v>44</v>
      </c>
      <c r="G13" s="19" t="n">
        <f aca="false">SUM(J13:DB13)</f>
        <v>5868.04532389625</v>
      </c>
      <c r="J13" s="19" t="n">
        <f aca="false">J11+Tax!J23</f>
        <v>-55.3514163668316</v>
      </c>
      <c r="K13" s="19" t="n">
        <f aca="false">K11+Tax!K23</f>
        <v>-25.7012772458539</v>
      </c>
      <c r="L13" s="19" t="n">
        <f aca="false">L11+Tax!L23</f>
        <v>-57.1872045984855</v>
      </c>
      <c r="M13" s="19" t="n">
        <f aca="false">M11+Tax!M23</f>
        <v>-93.7908921319688</v>
      </c>
      <c r="N13" s="19" t="n">
        <f aca="false">N11+Tax!N23</f>
        <v>-129.910735316179</v>
      </c>
      <c r="O13" s="19" t="n">
        <f aca="false">O11+Tax!O23</f>
        <v>-161.008488503749</v>
      </c>
      <c r="P13" s="19" t="n">
        <f aca="false">P11+Tax!P23</f>
        <v>-183.60752547217</v>
      </c>
      <c r="Q13" s="19" t="n">
        <f aca="false">Q11+Tax!Q23</f>
        <v>-195.401600107557</v>
      </c>
      <c r="R13" s="19" t="n">
        <f aca="false">R11+Tax!R23</f>
        <v>-197.954374753021</v>
      </c>
      <c r="S13" s="19" t="n">
        <f aca="false">S11+Tax!S23</f>
        <v>-183.60752547217</v>
      </c>
      <c r="T13" s="19" t="n">
        <f aca="false">T11+Tax!T23</f>
        <v>-161.008488503749</v>
      </c>
      <c r="U13" s="19" t="n">
        <f aca="false">U11+Tax!U23</f>
        <v>-129.874481754926</v>
      </c>
      <c r="V13" s="19" t="n">
        <f aca="false">V11+Tax!V23</f>
        <v>-93.7908921319688</v>
      </c>
      <c r="W13" s="19" t="n">
        <f aca="false">W11+Tax!W23</f>
        <v>-57.1872045984855</v>
      </c>
      <c r="X13" s="19" t="n">
        <f aca="false">X11+Tax!X23</f>
        <v>-25.7012772458539</v>
      </c>
      <c r="Y13" s="19" t="n">
        <f aca="false">Y11+Tax!Y23</f>
        <v>197.083384202969</v>
      </c>
      <c r="Z13" s="19" t="n">
        <f aca="false">Z11+Tax!Z23</f>
        <v>13.3688633669775</v>
      </c>
      <c r="AA13" s="19" t="n">
        <f aca="false">AA11+Tax!AA23</f>
        <v>30.0078043201198</v>
      </c>
      <c r="AB13" s="19" t="n">
        <f aca="false">AB11+Tax!AB23</f>
        <v>35.7067674601907</v>
      </c>
      <c r="AC13" s="19" t="n">
        <f aca="false">AC11+Tax!AC23</f>
        <v>37.6436558644639</v>
      </c>
      <c r="AD13" s="19" t="n">
        <f aca="false">AD11+Tax!AD23</f>
        <v>41.5005322947458</v>
      </c>
      <c r="AE13" s="19" t="n">
        <f aca="false">AE11+Tax!AE23</f>
        <v>43.7575640720232</v>
      </c>
      <c r="AF13" s="19" t="n">
        <f aca="false">AF11+Tax!AF23</f>
        <v>46.809980254985</v>
      </c>
      <c r="AG13" s="19" t="n">
        <f aca="false">AG11+Tax!AG23</f>
        <v>49.2257087401623</v>
      </c>
      <c r="AH13" s="19" t="n">
        <f aca="false">AH11+Tax!AH23</f>
        <v>50.1845616653847</v>
      </c>
      <c r="AI13" s="19" t="n">
        <f aca="false">AI11+Tax!AI23</f>
        <v>49.3619519094543</v>
      </c>
      <c r="AJ13" s="19" t="n">
        <f aca="false">AJ11+Tax!AJ23</f>
        <v>50.6761233616812</v>
      </c>
      <c r="AK13" s="19" t="n">
        <f aca="false">AK11+Tax!AK23</f>
        <v>52.9509470961209</v>
      </c>
      <c r="AL13" s="19" t="n">
        <f aca="false">AL11+Tax!AL23</f>
        <v>54.0334759624056</v>
      </c>
      <c r="AM13" s="19" t="n">
        <f aca="false">AM11+Tax!AM23</f>
        <v>56.761309756952</v>
      </c>
      <c r="AN13" s="19" t="n">
        <f aca="false">AN11+Tax!AN23</f>
        <v>57.910089157488</v>
      </c>
      <c r="AO13" s="19" t="n">
        <f aca="false">AO11+Tax!AO23</f>
        <v>64.0172041325963</v>
      </c>
      <c r="AP13" s="19" t="n">
        <f aca="false">AP11+Tax!AP23</f>
        <v>65.2360404179162</v>
      </c>
      <c r="AQ13" s="19" t="n">
        <f aca="false">AQ11+Tax!AQ23</f>
        <v>58.019044796834</v>
      </c>
      <c r="AR13" s="19" t="n">
        <f aca="false">AR11+Tax!AR23</f>
        <v>59.697225140304</v>
      </c>
      <c r="AS13" s="19" t="n">
        <f aca="false">AS11+Tax!AS23</f>
        <v>62.5980007899108</v>
      </c>
      <c r="AT13" s="19" t="n">
        <f aca="false">AT11+Tax!AT23</f>
        <v>63.9726197414392</v>
      </c>
      <c r="AU13" s="19" t="n">
        <f aca="false">AU11+Tax!AU23</f>
        <v>67.4529533238202</v>
      </c>
      <c r="AV13" s="19" t="n">
        <f aca="false">AV11+Tax!AV23</f>
        <v>68.9110274047114</v>
      </c>
      <c r="AW13" s="19" t="n">
        <f aca="false">AW11+Tax!AW23</f>
        <v>74.5865636661476</v>
      </c>
      <c r="AX13" s="19" t="n">
        <f aca="false">AX11+Tax!AX23</f>
        <v>75.1513112479582</v>
      </c>
      <c r="AY13" s="19" t="n">
        <f aca="false">AY11+Tax!AY23</f>
        <v>75.0578086767168</v>
      </c>
      <c r="AZ13" s="19" t="n">
        <f aca="false">AZ11+Tax!AZ23</f>
        <v>76.1394779267271</v>
      </c>
      <c r="BA13" s="19" t="n">
        <f aca="false">BA11+Tax!BA23</f>
        <v>79.6520457853012</v>
      </c>
      <c r="BB13" s="19" t="n">
        <f aca="false">BB11+Tax!BB23</f>
        <v>80.27678446265</v>
      </c>
      <c r="BC13" s="19" t="n">
        <f aca="false">BC11+Tax!BC23</f>
        <v>92.7497959504098</v>
      </c>
      <c r="BD13" s="19" t="n">
        <f aca="false">BD11+Tax!BD23</f>
        <v>93.4048485247771</v>
      </c>
      <c r="BE13" s="19" t="n">
        <f aca="false">BE11+Tax!BE23</f>
        <v>101.735687415536</v>
      </c>
      <c r="BF13" s="19" t="n">
        <f aca="false">BF11+Tax!BF23</f>
        <v>102.425887903128</v>
      </c>
      <c r="BG13" s="19" t="n">
        <f aca="false">BG11+Tax!BG23</f>
        <v>107.03863868891</v>
      </c>
      <c r="BH13" s="19" t="n">
        <f aca="false">BH11+Tax!BH23</f>
        <v>108.358186634721</v>
      </c>
      <c r="BI13" s="19" t="n">
        <f aca="false">BI11+Tax!BI23</f>
        <v>112.627121762851</v>
      </c>
      <c r="BJ13" s="19" t="n">
        <f aca="false">BJ11+Tax!BJ23</f>
        <v>113.388918362832</v>
      </c>
      <c r="BK13" s="19" t="n">
        <f aca="false">BK11+Tax!BK23</f>
        <v>118.517220647001</v>
      </c>
      <c r="BL13" s="19" t="n">
        <f aca="false">BL11+Tax!BL23</f>
        <v>119.319227424256</v>
      </c>
      <c r="BM13" s="19" t="n">
        <f aca="false">BM11+Tax!BM23</f>
        <v>124.674040554691</v>
      </c>
      <c r="BN13" s="19" t="n">
        <f aca="false">BN11+Tax!BN23</f>
        <v>125.514305123325</v>
      </c>
      <c r="BO13" s="19" t="n">
        <f aca="false">BO11+Tax!BO23</f>
        <v>112.552038371944</v>
      </c>
      <c r="BP13" s="19" t="n">
        <f aca="false">BP11+Tax!BP23</f>
        <v>114.166536065097</v>
      </c>
      <c r="BQ13" s="19" t="n">
        <f aca="false">BQ11+Tax!BQ23</f>
        <v>119.371941304954</v>
      </c>
      <c r="BR13" s="19" t="n">
        <f aca="false">BR11+Tax!BR23</f>
        <v>118.72463553326</v>
      </c>
      <c r="BS13" s="19" t="n">
        <f aca="false">BS11+Tax!BS23</f>
        <v>124.728631342221</v>
      </c>
      <c r="BT13" s="19" t="n">
        <f aca="false">BT11+Tax!BT23</f>
        <v>124.055287323386</v>
      </c>
      <c r="BU13" s="19" t="n">
        <f aca="false">BU11+Tax!BU23</f>
        <v>148.899430967449</v>
      </c>
      <c r="BV13" s="19" t="n">
        <f aca="false">BV11+Tax!BV23</f>
        <v>148.20281426636</v>
      </c>
      <c r="BW13" s="19" t="n">
        <f aca="false">BW11+Tax!BW23</f>
        <v>154.690847918227</v>
      </c>
      <c r="BX13" s="19" t="n">
        <f aca="false">BX11+Tax!BX23</f>
        <v>154.820907574898</v>
      </c>
      <c r="BY13" s="19" t="n">
        <f aca="false">BY11+Tax!BY23</f>
        <v>160.710167753241</v>
      </c>
      <c r="BZ13" s="19" t="n">
        <f aca="false">BZ11+Tax!BZ23</f>
        <v>159.963748976677</v>
      </c>
      <c r="CA13" s="19" t="n">
        <f aca="false">CA11+Tax!CA23</f>
        <v>154.953750029288</v>
      </c>
      <c r="CB13" s="19" t="n">
        <f aca="false">CB11+Tax!CB23</f>
        <v>154.1807411832</v>
      </c>
      <c r="CC13" s="19" t="n">
        <f aca="false">CC11+Tax!CC23</f>
        <v>161.446749010123</v>
      </c>
      <c r="CD13" s="19" t="n">
        <f aca="false">CD11+Tax!CD23</f>
        <v>160.645982509169</v>
      </c>
      <c r="CE13" s="19" t="n">
        <f aca="false">CE11+Tax!CE23</f>
        <v>162.371420743495</v>
      </c>
      <c r="CF13" s="19" t="n">
        <f aca="false">CF11+Tax!CF23</f>
        <v>162.533111183142</v>
      </c>
      <c r="CG13" s="19" t="n">
        <f aca="false">CG11+Tax!CG23</f>
        <v>171.74961690297</v>
      </c>
      <c r="CH13" s="19" t="n">
        <f aca="false">CH11+Tax!CH23</f>
        <v>170.649135910328</v>
      </c>
      <c r="CI13" s="19" t="n">
        <f aca="false">CI11+Tax!CI23</f>
        <v>178.759136548275</v>
      </c>
      <c r="CJ13" s="19" t="n">
        <f aca="false">CJ11+Tax!CJ23</f>
        <v>177.621185978712</v>
      </c>
      <c r="CK13" s="19" t="n">
        <f aca="false">CK11+Tax!CK23</f>
        <v>191.842295144151</v>
      </c>
      <c r="CL13" s="19" t="n">
        <f aca="false">CL11+Tax!CL23</f>
        <v>190.665424697567</v>
      </c>
      <c r="CM13" s="19" t="n">
        <f aca="false">CM11+Tax!CM23</f>
        <v>199.434372229882</v>
      </c>
      <c r="CN13" s="19" t="n">
        <f aca="false">CN11+Tax!CN23</f>
        <v>199.375477444667</v>
      </c>
      <c r="CO13" s="19" t="n">
        <f aca="false">CO11+Tax!CO23</f>
        <v>207.304729794369</v>
      </c>
      <c r="CP13" s="19" t="n">
        <f aca="false">CP11+Tax!CP23</f>
        <v>177.203885400567</v>
      </c>
      <c r="CQ13" s="19" t="n">
        <f aca="false">CQ11+Tax!CQ23</f>
        <v>0</v>
      </c>
      <c r="CR13" s="19" t="n">
        <f aca="false">CR11+Tax!CR23</f>
        <v>0</v>
      </c>
      <c r="CS13" s="19" t="n">
        <f aca="false">CS11+Tax!CS23</f>
        <v>0</v>
      </c>
      <c r="CT13" s="19" t="n">
        <f aca="false">CT11+Tax!CT23</f>
        <v>0</v>
      </c>
      <c r="CU13" s="19" t="n">
        <f aca="false">CU11+Tax!CU23</f>
        <v>0</v>
      </c>
      <c r="CV13" s="19" t="n">
        <f aca="false">CV11+Tax!CV23</f>
        <v>0</v>
      </c>
      <c r="CW13" s="19" t="n">
        <f aca="false">CW11+Tax!CW23</f>
        <v>0</v>
      </c>
      <c r="CX13" s="19" t="n">
        <f aca="false">CX11+Tax!CX23</f>
        <v>0</v>
      </c>
      <c r="CY13" s="19" t="n">
        <f aca="false">CY11+Tax!CY23</f>
        <v>0</v>
      </c>
      <c r="CZ13" s="19" t="n">
        <f aca="false">CZ11+Tax!CZ23</f>
        <v>0</v>
      </c>
      <c r="DA13" s="19" t="n">
        <f aca="false">DA11+Tax!DA23</f>
        <v>0</v>
      </c>
      <c r="DB13" s="19" t="n">
        <f aca="false">DB11+Tax!DB23</f>
        <v>0</v>
      </c>
    </row>
    <row r="14" customFormat="false" ht="15" hidden="false" customHeight="false" outlineLevel="0" collapsed="false">
      <c r="D14" s="0" t="s">
        <v>697</v>
      </c>
      <c r="E14" s="0" t="s">
        <v>105</v>
      </c>
      <c r="F14" s="26" t="n">
        <f aca="false">IFERROR(XIRR($J$13:$DB$13,Time!$J$8:$DB$8),"n/a")</f>
        <v>0.0780137319372182</v>
      </c>
    </row>
    <row r="15" customFormat="false" ht="15" hidden="false" customHeight="false" outlineLevel="0" collapsed="false">
      <c r="D15" s="3" t="s">
        <v>698</v>
      </c>
    </row>
    <row r="16" customFormat="false" ht="15" hidden="false" customHeight="false" outlineLevel="0" collapsed="false">
      <c r="D16" s="0" t="s">
        <v>699</v>
      </c>
      <c r="E16" s="0" t="s">
        <v>44</v>
      </c>
      <c r="F16" s="19" t="n">
        <f aca="false">SUMPRODUCT((Time!$J$8:$DB$8&gt;Inputs!$F$36)*Waterfall!$J$49:$DB$49/(1+Inputs!$F$90)^((Time!$J$8:$DB$8-Inputs!$F$36)/Inputs!$F$45))</f>
        <v>657.984273267948</v>
      </c>
    </row>
    <row r="17" customFormat="false" ht="15" hidden="false" customHeight="false" outlineLevel="0" collapsed="false">
      <c r="D17" s="0" t="s">
        <v>700</v>
      </c>
      <c r="E17" s="0" t="s">
        <v>44</v>
      </c>
      <c r="G17" s="19" t="n">
        <f aca="false">SUM(J17:DB17)</f>
        <v>7422.04532389625</v>
      </c>
      <c r="J17" s="19" t="n">
        <f aca="false">Operations!J32-Operations!J44-Operations!J36-Reserves!J22+Operations!J31</f>
        <v>0</v>
      </c>
      <c r="K17" s="19" t="n">
        <f aca="false">Operations!K32-Operations!K44-Operations!K36-Reserves!K22+Operations!K31</f>
        <v>0</v>
      </c>
      <c r="L17" s="19" t="n">
        <f aca="false">Operations!L32-Operations!L44-Operations!L36-Reserves!L22+Operations!L31</f>
        <v>0</v>
      </c>
      <c r="M17" s="19" t="n">
        <f aca="false">Operations!M32-Operations!M44-Operations!M36-Reserves!M22+Operations!M31</f>
        <v>0</v>
      </c>
      <c r="N17" s="19" t="n">
        <f aca="false">Operations!N32-Operations!N44-Operations!N36-Reserves!N22+Operations!N31</f>
        <v>0</v>
      </c>
      <c r="O17" s="19" t="n">
        <f aca="false">Operations!O32-Operations!O44-Operations!O36-Reserves!O22+Operations!O31</f>
        <v>0</v>
      </c>
      <c r="P17" s="19" t="n">
        <f aca="false">Operations!P32-Operations!P44-Operations!P36-Reserves!P22+Operations!P31</f>
        <v>0</v>
      </c>
      <c r="Q17" s="19" t="n">
        <f aca="false">Operations!Q32-Operations!Q44-Operations!Q36-Reserves!Q22+Operations!Q31</f>
        <v>0</v>
      </c>
      <c r="R17" s="19" t="n">
        <f aca="false">Operations!R32-Operations!R44-Operations!R36-Reserves!R22+Operations!R31</f>
        <v>0</v>
      </c>
      <c r="S17" s="19" t="n">
        <f aca="false">Operations!S32-Operations!S44-Operations!S36-Reserves!S22+Operations!S31</f>
        <v>0</v>
      </c>
      <c r="T17" s="19" t="n">
        <f aca="false">Operations!T32-Operations!T44-Operations!T36-Reserves!T22+Operations!T31</f>
        <v>0</v>
      </c>
      <c r="U17" s="19" t="n">
        <f aca="false">Operations!U32-Operations!U44-Operations!U36-Reserves!U22+Operations!U31</f>
        <v>0</v>
      </c>
      <c r="V17" s="19" t="n">
        <f aca="false">Operations!V32-Operations!V44-Operations!V36-Reserves!V22+Operations!V31</f>
        <v>0</v>
      </c>
      <c r="W17" s="19" t="n">
        <f aca="false">Operations!W32-Operations!W44-Operations!W36-Reserves!W22+Operations!W31</f>
        <v>0</v>
      </c>
      <c r="X17" s="19" t="n">
        <f aca="false">Operations!X32-Operations!X44-Operations!X36-Reserves!X22+Operations!X31</f>
        <v>0</v>
      </c>
      <c r="Y17" s="19" t="n">
        <f aca="false">Operations!Y32-Operations!Y44-Operations!Y36-Reserves!Y22+Operations!Y31</f>
        <v>0</v>
      </c>
      <c r="Z17" s="19" t="n">
        <f aca="false">Operations!Z32-Operations!Z44-Operations!Z36-Reserves!Z22+Operations!Z31</f>
        <v>13.3688633669775</v>
      </c>
      <c r="AA17" s="19" t="n">
        <f aca="false">Operations!AA32-Operations!AA44-Operations!AA36-Reserves!AA22+Operations!AA31</f>
        <v>30.0078043201198</v>
      </c>
      <c r="AB17" s="19" t="n">
        <f aca="false">Operations!AB32-Operations!AB44-Operations!AB36-Reserves!AB22+Operations!AB31</f>
        <v>35.7067674601907</v>
      </c>
      <c r="AC17" s="19" t="n">
        <f aca="false">Operations!AC32-Operations!AC44-Operations!AC36-Reserves!AC22+Operations!AC31</f>
        <v>37.6436558644639</v>
      </c>
      <c r="AD17" s="19" t="n">
        <f aca="false">Operations!AD32-Operations!AD44-Operations!AD36-Reserves!AD22+Operations!AD31</f>
        <v>41.5005322947458</v>
      </c>
      <c r="AE17" s="19" t="n">
        <f aca="false">Operations!AE32-Operations!AE44-Operations!AE36-Reserves!AE22+Operations!AE31</f>
        <v>43.7575640720232</v>
      </c>
      <c r="AF17" s="19" t="n">
        <f aca="false">Operations!AF32-Operations!AF44-Operations!AF36-Reserves!AF22+Operations!AF31</f>
        <v>46.809980254985</v>
      </c>
      <c r="AG17" s="19" t="n">
        <f aca="false">Operations!AG32-Operations!AG44-Operations!AG36-Reserves!AG22+Operations!AG31</f>
        <v>49.2257087401623</v>
      </c>
      <c r="AH17" s="19" t="n">
        <f aca="false">Operations!AH32-Operations!AH44-Operations!AH36-Reserves!AH22+Operations!AH31</f>
        <v>50.1845616653847</v>
      </c>
      <c r="AI17" s="19" t="n">
        <f aca="false">Operations!AI32-Operations!AI44-Operations!AI36-Reserves!AI22+Operations!AI31</f>
        <v>52.5765642210674</v>
      </c>
      <c r="AJ17" s="19" t="n">
        <f aca="false">Operations!AJ32-Operations!AJ44-Operations!AJ36-Reserves!AJ22+Operations!AJ31</f>
        <v>53.8907356732943</v>
      </c>
      <c r="AK17" s="19" t="n">
        <f aca="false">Operations!AK32-Operations!AK44-Operations!AK36-Reserves!AK22+Operations!AK31</f>
        <v>56.165559407734</v>
      </c>
      <c r="AL17" s="19" t="n">
        <f aca="false">Operations!AL32-Operations!AL44-Operations!AL36-Reserves!AL22+Operations!AL31</f>
        <v>57.2480882740187</v>
      </c>
      <c r="AM17" s="19" t="n">
        <f aca="false">Operations!AM32-Operations!AM44-Operations!AM36-Reserves!AM22+Operations!AM31</f>
        <v>59.9759220685651</v>
      </c>
      <c r="AN17" s="19" t="n">
        <f aca="false">Operations!AN32-Operations!AN44-Operations!AN36-Reserves!AN22+Operations!AN31</f>
        <v>61.1247014691011</v>
      </c>
      <c r="AO17" s="19" t="n">
        <f aca="false">Operations!AO32-Operations!AO44-Operations!AO36-Reserves!AO22+Operations!AO31</f>
        <v>44.7295302629177</v>
      </c>
      <c r="AP17" s="19" t="n">
        <f aca="false">Operations!AP32-Operations!AP44-Operations!AP36-Reserves!AP22+Operations!AP31</f>
        <v>65.2360404179162</v>
      </c>
      <c r="AQ17" s="19" t="n">
        <f aca="false">Operations!AQ32-Operations!AQ44-Operations!AQ36-Reserves!AQ22+Operations!AQ31</f>
        <v>68.3019617789706</v>
      </c>
      <c r="AR17" s="19" t="n">
        <f aca="false">Operations!AR32-Operations!AR44-Operations!AR36-Reserves!AR22+Operations!AR31</f>
        <v>69.9801421224406</v>
      </c>
      <c r="AS17" s="19" t="n">
        <f aca="false">Operations!AS32-Operations!AS44-Operations!AS36-Reserves!AS22+Operations!AS31</f>
        <v>72.8809177720473</v>
      </c>
      <c r="AT17" s="19" t="n">
        <f aca="false">Operations!AT32-Operations!AT44-Operations!AT36-Reserves!AT22+Operations!AT31</f>
        <v>74.2555367235758</v>
      </c>
      <c r="AU17" s="19" t="n">
        <f aca="false">Operations!AU32-Operations!AU44-Operations!AU36-Reserves!AU22+Operations!AU31</f>
        <v>77.7358703059567</v>
      </c>
      <c r="AV17" s="19" t="n">
        <f aca="false">Operations!AV32-Operations!AV44-Operations!AV36-Reserves!AV22+Operations!AV31</f>
        <v>79.193944386848</v>
      </c>
      <c r="AW17" s="19" t="n">
        <f aca="false">Operations!AW32-Operations!AW44-Operations!AW36-Reserves!AW22+Operations!AW31</f>
        <v>21.1812472891344</v>
      </c>
      <c r="AX17" s="19" t="n">
        <f aca="false">Operations!AX32-Operations!AX44-Operations!AX36-Reserves!AX22+Operations!AX31</f>
        <v>83.4434967637644</v>
      </c>
      <c r="AY17" s="19" t="n">
        <f aca="false">Operations!AY32-Operations!AY44-Operations!AY36-Reserves!AY22+Operations!AY31</f>
        <v>87.2666871473635</v>
      </c>
      <c r="AZ17" s="19" t="n">
        <f aca="false">Operations!AZ32-Operations!AZ44-Operations!AZ36-Reserves!AZ22+Operations!AZ31</f>
        <v>88.3483563973738</v>
      </c>
      <c r="BA17" s="19" t="n">
        <f aca="false">Operations!BA32-Operations!BA44-Operations!BA36-Reserves!BA22+Operations!BA31</f>
        <v>91.8609242559479</v>
      </c>
      <c r="BB17" s="19" t="n">
        <f aca="false">Operations!BB32-Operations!BB44-Operations!BB36-Reserves!BB22+Operations!BB31</f>
        <v>92.4856629332967</v>
      </c>
      <c r="BC17" s="19" t="n">
        <f aca="false">Operations!BC32-Operations!BC44-Operations!BC36-Reserves!BC22+Operations!BC31</f>
        <v>46.9133758104128</v>
      </c>
      <c r="BD17" s="19" t="n">
        <f aca="false">Operations!BD32-Operations!BD44-Operations!BD36-Reserves!BD22+Operations!BD31</f>
        <v>97.3215414796176</v>
      </c>
      <c r="BE17" s="19" t="n">
        <f aca="false">Operations!BE32-Operations!BE44-Operations!BE36-Reserves!BE22+Operations!BE31</f>
        <v>78.235529686493</v>
      </c>
      <c r="BF17" s="19" t="n">
        <f aca="false">Operations!BF32-Operations!BF44-Operations!BF36-Reserves!BF22+Operations!BF31</f>
        <v>102.425887903128</v>
      </c>
      <c r="BG17" s="19" t="n">
        <f aca="false">Operations!BG32-Operations!BG44-Operations!BG36-Reserves!BG22+Operations!BG31</f>
        <v>107.03863868891</v>
      </c>
      <c r="BH17" s="19" t="n">
        <f aca="false">Operations!BH32-Operations!BH44-Operations!BH36-Reserves!BH22+Operations!BH31</f>
        <v>108.358186634721</v>
      </c>
      <c r="BI17" s="19" t="n">
        <f aca="false">Operations!BI32-Operations!BI44-Operations!BI36-Reserves!BI22+Operations!BI31</f>
        <v>112.627121762851</v>
      </c>
      <c r="BJ17" s="19" t="n">
        <f aca="false">Operations!BJ32-Operations!BJ44-Operations!BJ36-Reserves!BJ22+Operations!BJ31</f>
        <v>113.388918362832</v>
      </c>
      <c r="BK17" s="19" t="n">
        <f aca="false">Operations!BK32-Operations!BK44-Operations!BK36-Reserves!BK22+Operations!BK31</f>
        <v>118.517220647001</v>
      </c>
      <c r="BL17" s="19" t="n">
        <f aca="false">Operations!BL32-Operations!BL44-Operations!BL36-Reserves!BL22+Operations!BL31</f>
        <v>119.319227424256</v>
      </c>
      <c r="BM17" s="19" t="n">
        <f aca="false">Operations!BM32-Operations!BM44-Operations!BM36-Reserves!BM22+Operations!BM31</f>
        <v>124.674040554691</v>
      </c>
      <c r="BN17" s="19" t="n">
        <f aca="false">Operations!BN32-Operations!BN44-Operations!BN36-Reserves!BN22+Operations!BN31</f>
        <v>125.514305123325</v>
      </c>
      <c r="BO17" s="19" t="n">
        <f aca="false">Operations!BO32-Operations!BO44-Operations!BO36-Reserves!BO22+Operations!BO31</f>
        <v>131.153528546706</v>
      </c>
      <c r="BP17" s="19" t="n">
        <f aca="false">Operations!BP32-Operations!BP44-Operations!BP36-Reserves!BP22+Operations!BP31</f>
        <v>132.768026239859</v>
      </c>
      <c r="BQ17" s="19" t="n">
        <f aca="false">Operations!BQ32-Operations!BQ44-Operations!BQ36-Reserves!BQ22+Operations!BQ31</f>
        <v>137.973431479717</v>
      </c>
      <c r="BR17" s="19" t="n">
        <f aca="false">Operations!BR32-Operations!BR44-Operations!BR36-Reserves!BR22+Operations!BR31</f>
        <v>137.326125708022</v>
      </c>
      <c r="BS17" s="19" t="n">
        <f aca="false">Operations!BS32-Operations!BS44-Operations!BS36-Reserves!BS22+Operations!BS31</f>
        <v>143.330121516983</v>
      </c>
      <c r="BT17" s="19" t="n">
        <f aca="false">Operations!BT32-Operations!BT44-Operations!BT36-Reserves!BT22+Operations!BT31</f>
        <v>142.656777498148</v>
      </c>
      <c r="BU17" s="19" t="n">
        <f aca="false">Operations!BU32-Operations!BU44-Operations!BU36-Reserves!BU22+Operations!BU31</f>
        <v>37.2904899188757</v>
      </c>
      <c r="BV17" s="19" t="n">
        <f aca="false">Operations!BV32-Operations!BV44-Operations!BV36-Reserves!BV22+Operations!BV31</f>
        <v>148.20281426636</v>
      </c>
      <c r="BW17" s="19" t="n">
        <f aca="false">Operations!BW32-Operations!BW44-Operations!BW36-Reserves!BW22+Operations!BW31</f>
        <v>154.690847918227</v>
      </c>
      <c r="BX17" s="19" t="n">
        <f aca="false">Operations!BX32-Operations!BX44-Operations!BX36-Reserves!BX22+Operations!BX31</f>
        <v>154.820907574898</v>
      </c>
      <c r="BY17" s="19" t="n">
        <f aca="false">Operations!BY32-Operations!BY44-Operations!BY36-Reserves!BY22+Operations!BY31</f>
        <v>160.710167753241</v>
      </c>
      <c r="BZ17" s="19" t="n">
        <f aca="false">Operations!BZ32-Operations!BZ44-Operations!BZ36-Reserves!BZ22+Operations!BZ31</f>
        <v>159.963748976677</v>
      </c>
      <c r="CA17" s="19" t="n">
        <f aca="false">Operations!CA32-Operations!CA44-Operations!CA36-Reserves!CA22+Operations!CA31</f>
        <v>166.963307108092</v>
      </c>
      <c r="CB17" s="19" t="n">
        <f aca="false">Operations!CB32-Operations!CB44-Operations!CB36-Reserves!CB22+Operations!CB31</f>
        <v>166.190298262004</v>
      </c>
      <c r="CC17" s="19" t="n">
        <f aca="false">Operations!CC32-Operations!CC44-Operations!CC36-Reserves!CC22+Operations!CC31</f>
        <v>173.456306088927</v>
      </c>
      <c r="CD17" s="19" t="n">
        <f aca="false">Operations!CD32-Operations!CD44-Operations!CD36-Reserves!CD22+Operations!CD31</f>
        <v>172.655539587974</v>
      </c>
      <c r="CE17" s="19" t="n">
        <f aca="false">Operations!CE32-Operations!CE44-Operations!CE36-Reserves!CE22+Operations!CE31</f>
        <v>180.195330528162</v>
      </c>
      <c r="CF17" s="19" t="n">
        <f aca="false">Operations!CF32-Operations!CF44-Operations!CF36-Reserves!CF22+Operations!CF31</f>
        <v>180.357020967809</v>
      </c>
      <c r="CG17" s="19" t="n">
        <f aca="false">Operations!CG32-Operations!CG44-Operations!CG36-Reserves!CG22+Operations!CG31</f>
        <v>115.129331804791</v>
      </c>
      <c r="CH17" s="19" t="n">
        <f aca="false">Operations!CH32-Operations!CH44-Operations!CH36-Reserves!CH22+Operations!CH31</f>
        <v>186.326760901695</v>
      </c>
      <c r="CI17" s="19" t="n">
        <f aca="false">Operations!CI32-Operations!CI44-Operations!CI36-Reserves!CI22+Operations!CI31</f>
        <v>194.436761539642</v>
      </c>
      <c r="CJ17" s="19" t="n">
        <f aca="false">Operations!CJ32-Operations!CJ44-Operations!CJ36-Reserves!CJ22+Operations!CJ31</f>
        <v>193.545392777217</v>
      </c>
      <c r="CK17" s="19" t="n">
        <f aca="false">Operations!CK32-Operations!CK44-Operations!CK36-Reserves!CK22+Operations!CK31</f>
        <v>167.066033001619</v>
      </c>
      <c r="CL17" s="19" t="n">
        <f aca="false">Operations!CL32-Operations!CL44-Operations!CL36-Reserves!CL22+Operations!CL31</f>
        <v>201.028025142526</v>
      </c>
      <c r="CM17" s="19" t="n">
        <f aca="false">Operations!CM32-Operations!CM44-Operations!CM36-Reserves!CM22+Operations!CM31</f>
        <v>209.796972674841</v>
      </c>
      <c r="CN17" s="19" t="n">
        <f aca="false">Operations!CN32-Operations!CN44-Operations!CN36-Reserves!CN22+Operations!CN31</f>
        <v>209.997142900749</v>
      </c>
      <c r="CO17" s="19" t="n">
        <f aca="false">Operations!CO32-Operations!CO44-Operations!CO36-Reserves!CO22+Operations!CO31</f>
        <v>217.926395250451</v>
      </c>
      <c r="CP17" s="19" t="n">
        <f aca="false">Operations!CP32-Operations!CP44-Operations!CP36-Reserves!CP22+Operations!CP31</f>
        <v>85.6663961734082</v>
      </c>
      <c r="CQ17" s="19" t="n">
        <f aca="false">Operations!CQ32-Operations!CQ44-Operations!CQ36-Reserves!CQ22+Operations!CQ31</f>
        <v>0</v>
      </c>
      <c r="CR17" s="19" t="n">
        <f aca="false">Operations!CR32-Operations!CR44-Operations!CR36-Reserves!CR22+Operations!CR31</f>
        <v>0</v>
      </c>
      <c r="CS17" s="19" t="n">
        <f aca="false">Operations!CS32-Operations!CS44-Operations!CS36-Reserves!CS22+Operations!CS31</f>
        <v>0</v>
      </c>
      <c r="CT17" s="19" t="n">
        <f aca="false">Operations!CT32-Operations!CT44-Operations!CT36-Reserves!CT22+Operations!CT31</f>
        <v>0</v>
      </c>
      <c r="CU17" s="19" t="n">
        <f aca="false">Operations!CU32-Operations!CU44-Operations!CU36-Reserves!CU22+Operations!CU31</f>
        <v>0</v>
      </c>
      <c r="CV17" s="19" t="n">
        <f aca="false">Operations!CV32-Operations!CV44-Operations!CV36-Reserves!CV22+Operations!CV31</f>
        <v>0</v>
      </c>
      <c r="CW17" s="19" t="n">
        <f aca="false">Operations!CW32-Operations!CW44-Operations!CW36-Reserves!CW22+Operations!CW31</f>
        <v>0</v>
      </c>
      <c r="CX17" s="19" t="n">
        <f aca="false">Operations!CX32-Operations!CX44-Operations!CX36-Reserves!CX22+Operations!CX31</f>
        <v>0</v>
      </c>
      <c r="CY17" s="19" t="n">
        <f aca="false">Operations!CY32-Operations!CY44-Operations!CY36-Reserves!CY22+Operations!CY31</f>
        <v>0</v>
      </c>
      <c r="CZ17" s="19" t="n">
        <f aca="false">Operations!CZ32-Operations!CZ44-Operations!CZ36-Reserves!CZ22+Operations!CZ31</f>
        <v>0</v>
      </c>
      <c r="DA17" s="19" t="n">
        <f aca="false">Operations!DA32-Operations!DA44-Operations!DA36-Reserves!DA22+Operations!DA31</f>
        <v>0</v>
      </c>
      <c r="DB17" s="19" t="n">
        <f aca="false">Operations!DB32-Operations!DB44-Operations!DB36-Reserves!DB22+Operations!DB31</f>
        <v>0</v>
      </c>
    </row>
    <row r="18" customFormat="false" ht="15" hidden="false" customHeight="false" outlineLevel="0" collapsed="false">
      <c r="D18" s="0" t="s">
        <v>701</v>
      </c>
      <c r="E18" s="0" t="s">
        <v>44</v>
      </c>
      <c r="F18" s="19" t="n">
        <f aca="false">SUMPRODUCT((Time!$J$8:$DB$8&gt;Inputs!$F$36)*$J$17:$DB$17/(1+Inputs!$F$180)^((Time!$J$8:$DB$8-Inputs!$F$36)/Inputs!$F$45))</f>
        <v>1799.86286210469</v>
      </c>
    </row>
    <row r="19" customFormat="false" ht="15" hidden="false" customHeight="false" outlineLevel="0" collapsed="false">
      <c r="D19" s="0" t="s">
        <v>702</v>
      </c>
      <c r="E19" s="0" t="s">
        <v>44</v>
      </c>
      <c r="F19" s="19" t="n">
        <f aca="false">$F$18-Inputs!$F$181</f>
        <v>1787.36286210469</v>
      </c>
    </row>
    <row r="20" customFormat="false" ht="15" hidden="false" customHeight="false" outlineLevel="0" collapsed="false">
      <c r="D20" s="0" t="s">
        <v>703</v>
      </c>
      <c r="E20" s="0" t="s">
        <v>44</v>
      </c>
      <c r="F20" s="19" t="n">
        <f aca="false">SUMPRODUCT((Time!$J$8:$DB$8=Inputs!$F$36)*(Debt!$J$47:$DB$47+Debt!$J$54:$DB$54+Debt!$J$60:$DB$60+Debt!$J$61:$DB$61))</f>
        <v>882.130169013</v>
      </c>
    </row>
    <row r="21" customFormat="false" ht="15" hidden="false" customHeight="false" outlineLevel="0" collapsed="false">
      <c r="D21" s="0" t="s">
        <v>704</v>
      </c>
      <c r="E21" s="0" t="s">
        <v>44</v>
      </c>
      <c r="F21" s="19" t="n">
        <f aca="false">SUMPRODUCT((Time!$J$8:$DB$8=Inputs!$F$36)*Debt!$J$102:$DB$102)</f>
        <v>538.691498872493</v>
      </c>
    </row>
    <row r="22" customFormat="false" ht="15" hidden="false" customHeight="false" outlineLevel="0" collapsed="false">
      <c r="D22" s="0" t="s">
        <v>705</v>
      </c>
      <c r="E22" s="0" t="s">
        <v>44</v>
      </c>
      <c r="F22" s="19" t="n">
        <f aca="false">SUMPRODUCT((Time!$J$8:$DB$8&lt;=Inputs!$F$36)*(Funding!$J$27:$DB$27+Waterfall!$J$9:$DB$9-Waterfall!$J$49:$DB$49))</f>
        <v>278.684887823422</v>
      </c>
    </row>
    <row r="23" customFormat="false" ht="15" hidden="false" customHeight="false" outlineLevel="0" collapsed="false">
      <c r="D23" s="0" t="s">
        <v>706</v>
      </c>
      <c r="E23" s="0" t="s">
        <v>44</v>
      </c>
      <c r="F23" s="19" t="n">
        <f aca="false">$F$20+$F$21+$F$22</f>
        <v>1699.50655570892</v>
      </c>
    </row>
    <row r="24" customFormat="false" ht="15" hidden="false" customHeight="false" outlineLevel="0" collapsed="false">
      <c r="D24" s="3" t="s">
        <v>707</v>
      </c>
    </row>
    <row r="25" customFormat="false" ht="15" hidden="false" customHeight="false" outlineLevel="0" collapsed="false">
      <c r="D25" s="0" t="s">
        <v>708</v>
      </c>
      <c r="E25" s="0" t="s">
        <v>44</v>
      </c>
      <c r="F25" s="19" t="n">
        <f aca="false">SUMPRODUCT((Time!$J$8:$DB$8&gt;Inputs!$F$20)*Waterfall!$J$49:$DB$49/(1+Inputs!$F$178)^((Time!$J$8:$DB$8-Inputs!$F$20)/Inputs!$F$45))</f>
        <v>543.791386905908</v>
      </c>
    </row>
    <row r="26" customFormat="false" ht="15" hidden="false" customHeight="false" outlineLevel="0" collapsed="false">
      <c r="D26" s="0" t="s">
        <v>709</v>
      </c>
      <c r="E26" s="0" t="s">
        <v>42</v>
      </c>
      <c r="J26" s="14" t="n">
        <f aca="false">IF(AND(Inputs!$F$215=1,Time!J8&gt;Inputs!$F$20,Debt!J93&lt;=Inputs!$F$9),1,0)</f>
        <v>0</v>
      </c>
      <c r="K26" s="14" t="n">
        <f aca="false">IF(AND(Inputs!$F$215=1,Time!K8&gt;Inputs!$F$20,Debt!K93&lt;=Inputs!$F$9),1,0)</f>
        <v>0</v>
      </c>
      <c r="L26" s="14" t="n">
        <f aca="false">IF(AND(Inputs!$F$215=1,Time!L8&gt;Inputs!$F$20,Debt!L93&lt;=Inputs!$F$9),1,0)</f>
        <v>0</v>
      </c>
      <c r="M26" s="14" t="n">
        <f aca="false">IF(AND(Inputs!$F$215=1,Time!M8&gt;Inputs!$F$20,Debt!M93&lt;=Inputs!$F$9),1,0)</f>
        <v>0</v>
      </c>
      <c r="N26" s="14" t="n">
        <f aca="false">IF(AND(Inputs!$F$215=1,Time!N8&gt;Inputs!$F$20,Debt!N93&lt;=Inputs!$F$9),1,0)</f>
        <v>0</v>
      </c>
      <c r="O26" s="14" t="n">
        <f aca="false">IF(AND(Inputs!$F$215=1,Time!O8&gt;Inputs!$F$20,Debt!O93&lt;=Inputs!$F$9),1,0)</f>
        <v>0</v>
      </c>
      <c r="P26" s="14" t="n">
        <f aca="false">IF(AND(Inputs!$F$215=1,Time!P8&gt;Inputs!$F$20,Debt!P93&lt;=Inputs!$F$9),1,0)</f>
        <v>0</v>
      </c>
      <c r="Q26" s="14" t="n">
        <f aca="false">IF(AND(Inputs!$F$215=1,Time!Q8&gt;Inputs!$F$20,Debt!Q93&lt;=Inputs!$F$9),1,0)</f>
        <v>0</v>
      </c>
      <c r="R26" s="14" t="n">
        <f aca="false">IF(AND(Inputs!$F$215=1,Time!R8&gt;Inputs!$F$20,Debt!R93&lt;=Inputs!$F$9),1,0)</f>
        <v>0</v>
      </c>
      <c r="S26" s="14" t="n">
        <f aca="false">IF(AND(Inputs!$F$215=1,Time!S8&gt;Inputs!$F$20,Debt!S93&lt;=Inputs!$F$9),1,0)</f>
        <v>0</v>
      </c>
      <c r="T26" s="14" t="n">
        <f aca="false">IF(AND(Inputs!$F$215=1,Time!T8&gt;Inputs!$F$20,Debt!T93&lt;=Inputs!$F$9),1,0)</f>
        <v>0</v>
      </c>
      <c r="U26" s="14" t="n">
        <f aca="false">IF(AND(Inputs!$F$215=1,Time!U8&gt;Inputs!$F$20,Debt!U93&lt;=Inputs!$F$9),1,0)</f>
        <v>0</v>
      </c>
      <c r="V26" s="14" t="n">
        <f aca="false">IF(AND(Inputs!$F$215=1,Time!V8&gt;Inputs!$F$20,Debt!V93&lt;=Inputs!$F$9),1,0)</f>
        <v>0</v>
      </c>
      <c r="W26" s="14" t="n">
        <f aca="false">IF(AND(Inputs!$F$215=1,Time!W8&gt;Inputs!$F$20,Debt!W93&lt;=Inputs!$F$9),1,0)</f>
        <v>0</v>
      </c>
      <c r="X26" s="14" t="n">
        <f aca="false">IF(AND(Inputs!$F$215=1,Time!X8&gt;Inputs!$F$20,Debt!X93&lt;=Inputs!$F$9),1,0)</f>
        <v>0</v>
      </c>
      <c r="Y26" s="14" t="n">
        <f aca="false">IF(AND(Inputs!$F$215=1,Time!Y8&gt;Inputs!$F$20,Debt!Y93&lt;=Inputs!$F$9),1,0)</f>
        <v>0</v>
      </c>
      <c r="Z26" s="14" t="n">
        <f aca="false">IF(AND(Inputs!$F$215=1,Time!Z8&gt;Inputs!$F$20,Debt!Z93&lt;=Inputs!$F$9),1,0)</f>
        <v>0</v>
      </c>
      <c r="AA26" s="14" t="n">
        <f aca="false">IF(AND(Inputs!$F$215=1,Time!AA8&gt;Inputs!$F$20,Debt!AA93&lt;=Inputs!$F$9),1,0)</f>
        <v>0</v>
      </c>
      <c r="AB26" s="14" t="n">
        <f aca="false">IF(AND(Inputs!$F$215=1,Time!AB8&gt;Inputs!$F$20,Debt!AB93&lt;=Inputs!$F$9),1,0)</f>
        <v>0</v>
      </c>
      <c r="AC26" s="14" t="n">
        <f aca="false">IF(AND(Inputs!$F$215=1,Time!AC8&gt;Inputs!$F$20,Debt!AC93&lt;=Inputs!$F$9),1,0)</f>
        <v>0</v>
      </c>
      <c r="AD26" s="14" t="n">
        <f aca="false">IF(AND(Inputs!$F$215=1,Time!AD8&gt;Inputs!$F$20,Debt!AD93&lt;=Inputs!$F$9),1,0)</f>
        <v>0</v>
      </c>
      <c r="AE26" s="14" t="n">
        <f aca="false">IF(AND(Inputs!$F$215=1,Time!AE8&gt;Inputs!$F$20,Debt!AE93&lt;=Inputs!$F$9),1,0)</f>
        <v>0</v>
      </c>
      <c r="AF26" s="14" t="n">
        <f aca="false">IF(AND(Inputs!$F$215=1,Time!AF8&gt;Inputs!$F$20,Debt!AF93&lt;=Inputs!$F$9),1,0)</f>
        <v>0</v>
      </c>
      <c r="AG26" s="14" t="n">
        <f aca="false">IF(AND(Inputs!$F$215=1,Time!AG8&gt;Inputs!$F$20,Debt!AG93&lt;=Inputs!$F$9),1,0)</f>
        <v>0</v>
      </c>
      <c r="AH26" s="14" t="n">
        <f aca="false">IF(AND(Inputs!$F$215=1,Time!AH8&gt;Inputs!$F$20,Debt!AH93&lt;=Inputs!$F$9),1,0)</f>
        <v>0</v>
      </c>
      <c r="AI26" s="14" t="n">
        <f aca="false">IF(AND(Inputs!$F$215=1,Time!AI8&gt;Inputs!$F$20,Debt!AI93&lt;=Inputs!$F$9),1,0)</f>
        <v>0</v>
      </c>
      <c r="AJ26" s="14" t="n">
        <f aca="false">IF(AND(Inputs!$F$215=1,Time!AJ8&gt;Inputs!$F$20,Debt!AJ93&lt;=Inputs!$F$9),1,0)</f>
        <v>0</v>
      </c>
      <c r="AK26" s="14" t="n">
        <f aca="false">IF(AND(Inputs!$F$215=1,Time!AK8&gt;Inputs!$F$20,Debt!AK93&lt;=Inputs!$F$9),1,0)</f>
        <v>0</v>
      </c>
      <c r="AL26" s="14" t="n">
        <f aca="false">IF(AND(Inputs!$F$215=1,Time!AL8&gt;Inputs!$F$20,Debt!AL93&lt;=Inputs!$F$9),1,0)</f>
        <v>0</v>
      </c>
      <c r="AM26" s="14" t="n">
        <f aca="false">IF(AND(Inputs!$F$215=1,Time!AM8&gt;Inputs!$F$20,Debt!AM93&lt;=Inputs!$F$9),1,0)</f>
        <v>0</v>
      </c>
      <c r="AN26" s="14" t="n">
        <f aca="false">IF(AND(Inputs!$F$215=1,Time!AN8&gt;Inputs!$F$20,Debt!AN93&lt;=Inputs!$F$9),1,0)</f>
        <v>0</v>
      </c>
      <c r="AO26" s="14" t="n">
        <f aca="false">IF(AND(Inputs!$F$215=1,Time!AO8&gt;Inputs!$F$20,Debt!AO93&lt;=Inputs!$F$9),1,0)</f>
        <v>0</v>
      </c>
      <c r="AP26" s="14" t="n">
        <f aca="false">IF(AND(Inputs!$F$215=1,Time!AP8&gt;Inputs!$F$20,Debt!AP93&lt;=Inputs!$F$9),1,0)</f>
        <v>0</v>
      </c>
      <c r="AQ26" s="14" t="n">
        <f aca="false">IF(AND(Inputs!$F$215=1,Time!AQ8&gt;Inputs!$F$20,Debt!AQ93&lt;=Inputs!$F$9),1,0)</f>
        <v>0</v>
      </c>
      <c r="AR26" s="14" t="n">
        <f aca="false">IF(AND(Inputs!$F$215=1,Time!AR8&gt;Inputs!$F$20,Debt!AR93&lt;=Inputs!$F$9),1,0)</f>
        <v>0</v>
      </c>
      <c r="AS26" s="14" t="n">
        <f aca="false">IF(AND(Inputs!$F$215=1,Time!AS8&gt;Inputs!$F$20,Debt!AS93&lt;=Inputs!$F$9),1,0)</f>
        <v>0</v>
      </c>
      <c r="AT26" s="14" t="n">
        <f aca="false">IF(AND(Inputs!$F$215=1,Time!AT8&gt;Inputs!$F$20,Debt!AT93&lt;=Inputs!$F$9),1,0)</f>
        <v>0</v>
      </c>
      <c r="AU26" s="14" t="n">
        <f aca="false">IF(AND(Inputs!$F$215=1,Time!AU8&gt;Inputs!$F$20,Debt!AU93&lt;=Inputs!$F$9),1,0)</f>
        <v>0</v>
      </c>
      <c r="AV26" s="14" t="n">
        <f aca="false">IF(AND(Inputs!$F$215=1,Time!AV8&gt;Inputs!$F$20,Debt!AV93&lt;=Inputs!$F$9),1,0)</f>
        <v>0</v>
      </c>
      <c r="AW26" s="14" t="n">
        <f aca="false">IF(AND(Inputs!$F$215=1,Time!AW8&gt;Inputs!$F$20,Debt!AW93&lt;=Inputs!$F$9),1,0)</f>
        <v>0</v>
      </c>
      <c r="AX26" s="14" t="n">
        <f aca="false">IF(AND(Inputs!$F$215=1,Time!AX8&gt;Inputs!$F$20,Debt!AX93&lt;=Inputs!$F$9),1,0)</f>
        <v>0</v>
      </c>
      <c r="AY26" s="14" t="n">
        <f aca="false">IF(AND(Inputs!$F$215=1,Time!AY8&gt;Inputs!$F$20,Debt!AY93&lt;=Inputs!$F$9),1,0)</f>
        <v>0</v>
      </c>
      <c r="AZ26" s="14" t="n">
        <f aca="false">IF(AND(Inputs!$F$215=1,Time!AZ8&gt;Inputs!$F$20,Debt!AZ93&lt;=Inputs!$F$9),1,0)</f>
        <v>0</v>
      </c>
      <c r="BA26" s="14" t="n">
        <f aca="false">IF(AND(Inputs!$F$215=1,Time!BA8&gt;Inputs!$F$20,Debt!BA93&lt;=Inputs!$F$9),1,0)</f>
        <v>0</v>
      </c>
      <c r="BB26" s="14" t="n">
        <f aca="false">IF(AND(Inputs!$F$215=1,Time!BB8&gt;Inputs!$F$20,Debt!BB93&lt;=Inputs!$F$9),1,0)</f>
        <v>0</v>
      </c>
      <c r="BC26" s="14" t="n">
        <f aca="false">IF(AND(Inputs!$F$215=1,Time!BC8&gt;Inputs!$F$20,Debt!BC93&lt;=Inputs!$F$9),1,0)</f>
        <v>0</v>
      </c>
      <c r="BD26" s="14" t="n">
        <f aca="false">IF(AND(Inputs!$F$215=1,Time!BD8&gt;Inputs!$F$20,Debt!BD93&lt;=Inputs!$F$9),1,0)</f>
        <v>0</v>
      </c>
      <c r="BE26" s="14" t="n">
        <f aca="false">IF(AND(Inputs!$F$215=1,Time!BE8&gt;Inputs!$F$20,Debt!BE93&lt;=Inputs!$F$9),1,0)</f>
        <v>0</v>
      </c>
      <c r="BF26" s="14" t="n">
        <f aca="false">IF(AND(Inputs!$F$215=1,Time!BF8&gt;Inputs!$F$20,Debt!BF93&lt;=Inputs!$F$9),1,0)</f>
        <v>0</v>
      </c>
      <c r="BG26" s="14" t="n">
        <f aca="false">IF(AND(Inputs!$F$215=1,Time!BG8&gt;Inputs!$F$20,Debt!BG93&lt;=Inputs!$F$9),1,0)</f>
        <v>0</v>
      </c>
      <c r="BH26" s="14" t="n">
        <f aca="false">IF(AND(Inputs!$F$215=1,Time!BH8&gt;Inputs!$F$20,Debt!BH93&lt;=Inputs!$F$9),1,0)</f>
        <v>0</v>
      </c>
      <c r="BI26" s="14" t="n">
        <f aca="false">IF(AND(Inputs!$F$215=1,Time!BI8&gt;Inputs!$F$20,Debt!BI93&lt;=Inputs!$F$9),1,0)</f>
        <v>0</v>
      </c>
      <c r="BJ26" s="14" t="n">
        <f aca="false">IF(AND(Inputs!$F$215=1,Time!BJ8&gt;Inputs!$F$20,Debt!BJ93&lt;=Inputs!$F$9),1,0)</f>
        <v>0</v>
      </c>
      <c r="BK26" s="14" t="n">
        <f aca="false">IF(AND(Inputs!$F$215=1,Time!BK8&gt;Inputs!$F$20,Debt!BK93&lt;=Inputs!$F$9),1,0)</f>
        <v>0</v>
      </c>
      <c r="BL26" s="14" t="n">
        <f aca="false">IF(AND(Inputs!$F$215=1,Time!BL8&gt;Inputs!$F$20,Debt!BL93&lt;=Inputs!$F$9),1,0)</f>
        <v>0</v>
      </c>
      <c r="BM26" s="14" t="n">
        <f aca="false">IF(AND(Inputs!$F$215=1,Time!BM8&gt;Inputs!$F$20,Debt!BM93&lt;=Inputs!$F$9),1,0)</f>
        <v>0</v>
      </c>
      <c r="BN26" s="14" t="n">
        <f aca="false">IF(AND(Inputs!$F$215=1,Time!BN8&gt;Inputs!$F$20,Debt!BN93&lt;=Inputs!$F$9),1,0)</f>
        <v>0</v>
      </c>
      <c r="BO26" s="14" t="n">
        <f aca="false">IF(AND(Inputs!$F$215=1,Time!BO8&gt;Inputs!$F$20,Debt!BO93&lt;=Inputs!$F$9),1,0)</f>
        <v>0</v>
      </c>
      <c r="BP26" s="14" t="n">
        <f aca="false">IF(AND(Inputs!$F$215=1,Time!BP8&gt;Inputs!$F$20,Debt!BP93&lt;=Inputs!$F$9),1,0)</f>
        <v>0</v>
      </c>
      <c r="BQ26" s="14" t="n">
        <f aca="false">IF(AND(Inputs!$F$215=1,Time!BQ8&gt;Inputs!$F$20,Debt!BQ93&lt;=Inputs!$F$9),1,0)</f>
        <v>0</v>
      </c>
      <c r="BR26" s="14" t="n">
        <f aca="false">IF(AND(Inputs!$F$215=1,Time!BR8&gt;Inputs!$F$20,Debt!BR93&lt;=Inputs!$F$9),1,0)</f>
        <v>0</v>
      </c>
      <c r="BS26" s="14" t="n">
        <f aca="false">IF(AND(Inputs!$F$215=1,Time!BS8&gt;Inputs!$F$20,Debt!BS93&lt;=Inputs!$F$9),1,0)</f>
        <v>0</v>
      </c>
      <c r="BT26" s="14" t="n">
        <f aca="false">IF(AND(Inputs!$F$215=1,Time!BT8&gt;Inputs!$F$20,Debt!BT93&lt;=Inputs!$F$9),1,0)</f>
        <v>0</v>
      </c>
      <c r="BU26" s="14" t="n">
        <f aca="false">IF(AND(Inputs!$F$215=1,Time!BU8&gt;Inputs!$F$20,Debt!BU93&lt;=Inputs!$F$9),1,0)</f>
        <v>0</v>
      </c>
      <c r="BV26" s="14" t="n">
        <f aca="false">IF(AND(Inputs!$F$215=1,Time!BV8&gt;Inputs!$F$20,Debt!BV93&lt;=Inputs!$F$9),1,0)</f>
        <v>0</v>
      </c>
      <c r="BW26" s="14" t="n">
        <f aca="false">IF(AND(Inputs!$F$215=1,Time!BW8&gt;Inputs!$F$20,Debt!BW93&lt;=Inputs!$F$9),1,0)</f>
        <v>0</v>
      </c>
      <c r="BX26" s="14" t="n">
        <f aca="false">IF(AND(Inputs!$F$215=1,Time!BX8&gt;Inputs!$F$20,Debt!BX93&lt;=Inputs!$F$9),1,0)</f>
        <v>0</v>
      </c>
      <c r="BY26" s="14" t="n">
        <f aca="false">IF(AND(Inputs!$F$215=1,Time!BY8&gt;Inputs!$F$20,Debt!BY93&lt;=Inputs!$F$9),1,0)</f>
        <v>0</v>
      </c>
      <c r="BZ26" s="14" t="n">
        <f aca="false">IF(AND(Inputs!$F$215=1,Time!BZ8&gt;Inputs!$F$20,Debt!BZ93&lt;=Inputs!$F$9),1,0)</f>
        <v>0</v>
      </c>
      <c r="CA26" s="14" t="n">
        <f aca="false">IF(AND(Inputs!$F$215=1,Time!CA8&gt;Inputs!$F$20,Debt!CA93&lt;=Inputs!$F$9),1,0)</f>
        <v>0</v>
      </c>
      <c r="CB26" s="14" t="n">
        <f aca="false">IF(AND(Inputs!$F$215=1,Time!CB8&gt;Inputs!$F$20,Debt!CB93&lt;=Inputs!$F$9),1,0)</f>
        <v>0</v>
      </c>
      <c r="CC26" s="14" t="n">
        <f aca="false">IF(AND(Inputs!$F$215=1,Time!CC8&gt;Inputs!$F$20,Debt!CC93&lt;=Inputs!$F$9),1,0)</f>
        <v>0</v>
      </c>
      <c r="CD26" s="14" t="n">
        <f aca="false">IF(AND(Inputs!$F$215=1,Time!CD8&gt;Inputs!$F$20,Debt!CD93&lt;=Inputs!$F$9),1,0)</f>
        <v>0</v>
      </c>
      <c r="CE26" s="14" t="n">
        <f aca="false">IF(AND(Inputs!$F$215=1,Time!CE8&gt;Inputs!$F$20,Debt!CE93&lt;=Inputs!$F$9),1,0)</f>
        <v>0</v>
      </c>
      <c r="CF26" s="14" t="n">
        <f aca="false">IF(AND(Inputs!$F$215=1,Time!CF8&gt;Inputs!$F$20,Debt!CF93&lt;=Inputs!$F$9),1,0)</f>
        <v>0</v>
      </c>
      <c r="CG26" s="14" t="n">
        <f aca="false">IF(AND(Inputs!$F$215=1,Time!CG8&gt;Inputs!$F$20,Debt!CG93&lt;=Inputs!$F$9),1,0)</f>
        <v>0</v>
      </c>
      <c r="CH26" s="14" t="n">
        <f aca="false">IF(AND(Inputs!$F$215=1,Time!CH8&gt;Inputs!$F$20,Debt!CH93&lt;=Inputs!$F$9),1,0)</f>
        <v>0</v>
      </c>
      <c r="CI26" s="14" t="n">
        <f aca="false">IF(AND(Inputs!$F$215=1,Time!CI8&gt;Inputs!$F$20,Debt!CI93&lt;=Inputs!$F$9),1,0)</f>
        <v>0</v>
      </c>
      <c r="CJ26" s="14" t="n">
        <f aca="false">IF(AND(Inputs!$F$215=1,Time!CJ8&gt;Inputs!$F$20,Debt!CJ93&lt;=Inputs!$F$9),1,0)</f>
        <v>0</v>
      </c>
      <c r="CK26" s="14" t="n">
        <f aca="false">IF(AND(Inputs!$F$215=1,Time!CK8&gt;Inputs!$F$20,Debt!CK93&lt;=Inputs!$F$9),1,0)</f>
        <v>0</v>
      </c>
      <c r="CL26" s="14" t="n">
        <f aca="false">IF(AND(Inputs!$F$215=1,Time!CL8&gt;Inputs!$F$20,Debt!CL93&lt;=Inputs!$F$9),1,0)</f>
        <v>0</v>
      </c>
      <c r="CM26" s="14" t="n">
        <f aca="false">IF(AND(Inputs!$F$215=1,Time!CM8&gt;Inputs!$F$20,Debt!CM93&lt;=Inputs!$F$9),1,0)</f>
        <v>0</v>
      </c>
      <c r="CN26" s="14" t="n">
        <f aca="false">IF(AND(Inputs!$F$215=1,Time!CN8&gt;Inputs!$F$20,Debt!CN93&lt;=Inputs!$F$9),1,0)</f>
        <v>0</v>
      </c>
      <c r="CO26" s="14" t="n">
        <f aca="false">IF(AND(Inputs!$F$215=1,Time!CO8&gt;Inputs!$F$20,Debt!CO93&lt;=Inputs!$F$9),1,0)</f>
        <v>0</v>
      </c>
      <c r="CP26" s="14" t="n">
        <f aca="false">IF(AND(Inputs!$F$215=1,Time!CP8&gt;Inputs!$F$20,Debt!CP93&lt;=Inputs!$F$9),1,0)</f>
        <v>0</v>
      </c>
      <c r="CQ26" s="14" t="n">
        <f aca="false">IF(AND(Inputs!$F$215=1,Time!CQ8&gt;Inputs!$F$20,Debt!CQ93&lt;=Inputs!$F$9),1,0)</f>
        <v>0</v>
      </c>
      <c r="CR26" s="14" t="n">
        <f aca="false">IF(AND(Inputs!$F$215=1,Time!CR8&gt;Inputs!$F$20,Debt!CR93&lt;=Inputs!$F$9),1,0)</f>
        <v>0</v>
      </c>
      <c r="CS26" s="14" t="n">
        <f aca="false">IF(AND(Inputs!$F$215=1,Time!CS8&gt;Inputs!$F$20,Debt!CS93&lt;=Inputs!$F$9),1,0)</f>
        <v>0</v>
      </c>
      <c r="CT26" s="14" t="n">
        <f aca="false">IF(AND(Inputs!$F$215=1,Time!CT8&gt;Inputs!$F$20,Debt!CT93&lt;=Inputs!$F$9),1,0)</f>
        <v>0</v>
      </c>
      <c r="CU26" s="14" t="n">
        <f aca="false">IF(AND(Inputs!$F$215=1,Time!CU8&gt;Inputs!$F$20,Debt!CU93&lt;=Inputs!$F$9),1,0)</f>
        <v>0</v>
      </c>
      <c r="CV26" s="14" t="n">
        <f aca="false">IF(AND(Inputs!$F$215=1,Time!CV8&gt;Inputs!$F$20,Debt!CV93&lt;=Inputs!$F$9),1,0)</f>
        <v>0</v>
      </c>
      <c r="CW26" s="14" t="n">
        <f aca="false">IF(AND(Inputs!$F$215=1,Time!CW8&gt;Inputs!$F$20,Debt!CW93&lt;=Inputs!$F$9),1,0)</f>
        <v>0</v>
      </c>
      <c r="CX26" s="14" t="n">
        <f aca="false">IF(AND(Inputs!$F$215=1,Time!CX8&gt;Inputs!$F$20,Debt!CX93&lt;=Inputs!$F$9),1,0)</f>
        <v>0</v>
      </c>
      <c r="CY26" s="14" t="n">
        <f aca="false">IF(AND(Inputs!$F$215=1,Time!CY8&gt;Inputs!$F$20,Debt!CY93&lt;=Inputs!$F$9),1,0)</f>
        <v>0</v>
      </c>
      <c r="CZ26" s="14" t="n">
        <f aca="false">IF(AND(Inputs!$F$215=1,Time!CZ8&gt;Inputs!$F$20,Debt!CZ93&lt;=Inputs!$F$9),1,0)</f>
        <v>0</v>
      </c>
      <c r="DA26" s="14" t="n">
        <f aca="false">IF(AND(Inputs!$F$215=1,Time!DA8&gt;Inputs!$F$20,Debt!DA93&lt;=Inputs!$F$9),1,0)</f>
        <v>0</v>
      </c>
      <c r="DB26" s="14" t="n">
        <f aca="false">IF(AND(Inputs!$F$215=1,Time!DB8&gt;Inputs!$F$20,Debt!DB93&lt;=Inputs!$F$9),1,0)</f>
        <v>0</v>
      </c>
    </row>
    <row r="27" customFormat="false" ht="15" hidden="false" customHeight="false" outlineLevel="0" collapsed="false">
      <c r="D27" s="0" t="s">
        <v>710</v>
      </c>
      <c r="E27" s="0" t="s">
        <v>44</v>
      </c>
      <c r="F27" s="19" t="n">
        <f aca="false">Inputs!$F$175*SUMPRODUCT($J$26:$DB$26*Waterfall!$J$49:$DB$49/(1+Inputs!$F$178)^((Time!$J$8:$DB$8-Inputs!$F$20)/Inputs!$F$45))</f>
        <v>0</v>
      </c>
    </row>
    <row r="28" customFormat="false" ht="15" hidden="false" customHeight="false" outlineLevel="0" collapsed="false">
      <c r="D28" s="0" t="s">
        <v>711</v>
      </c>
      <c r="E28" s="0" t="s">
        <v>44</v>
      </c>
      <c r="F28" s="19" t="n">
        <f aca="false">Inputs!$F$169*($F$25-$F$27)</f>
        <v>462.222678870022</v>
      </c>
    </row>
    <row r="29" customFormat="false" ht="15" hidden="false" customHeight="false" outlineLevel="0" collapsed="false">
      <c r="D29" s="0" t="s">
        <v>712</v>
      </c>
      <c r="E29" s="0" t="s">
        <v>44</v>
      </c>
      <c r="F29" s="19" t="n">
        <f aca="false">Inputs!$F$170*($F$25-$F$27)</f>
        <v>81.5687080358863</v>
      </c>
    </row>
    <row r="30" customFormat="false" ht="15" hidden="false" customHeight="false" outlineLevel="0" collapsed="false">
      <c r="D30" s="0" t="s">
        <v>713</v>
      </c>
      <c r="E30" s="0" t="s">
        <v>44</v>
      </c>
      <c r="F30" s="19" t="n">
        <f aca="false">Inputs!$F$171-$F$29</f>
        <v>38.4312919641137</v>
      </c>
    </row>
    <row r="31" customFormat="false" ht="15" hidden="false" customHeight="false" outlineLevel="0" collapsed="false">
      <c r="D31" s="0" t="s">
        <v>714</v>
      </c>
      <c r="E31" s="0" t="s">
        <v>44</v>
      </c>
      <c r="G31" s="19" t="n">
        <f aca="false">SUM(J31:DB31)</f>
        <v>0</v>
      </c>
      <c r="J31" s="19" t="n">
        <f aca="false">IF(Time!J23=1,Waterfall!J16+Waterfall!J22+Waterfall!J38,0)</f>
        <v>0</v>
      </c>
      <c r="K31" s="19" t="n">
        <f aca="false">IF(Time!K23=1,Waterfall!K16+Waterfall!K22+Waterfall!K38,0)</f>
        <v>0</v>
      </c>
      <c r="L31" s="19" t="n">
        <f aca="false">IF(Time!L23=1,Waterfall!L16+Waterfall!L22+Waterfall!L38,0)</f>
        <v>0</v>
      </c>
      <c r="M31" s="19" t="n">
        <f aca="false">IF(Time!M23=1,Waterfall!M16+Waterfall!M22+Waterfall!M38,0)</f>
        <v>0</v>
      </c>
      <c r="N31" s="19" t="n">
        <f aca="false">IF(Time!N23=1,Waterfall!N16+Waterfall!N22+Waterfall!N38,0)</f>
        <v>0</v>
      </c>
      <c r="O31" s="19" t="n">
        <f aca="false">IF(Time!O23=1,Waterfall!O16+Waterfall!O22+Waterfall!O38,0)</f>
        <v>0</v>
      </c>
      <c r="P31" s="19" t="n">
        <f aca="false">IF(Time!P23=1,Waterfall!P16+Waterfall!P22+Waterfall!P38,0)</f>
        <v>0</v>
      </c>
      <c r="Q31" s="19" t="n">
        <f aca="false">IF(Time!Q23=1,Waterfall!Q16+Waterfall!Q22+Waterfall!Q38,0)</f>
        <v>0</v>
      </c>
      <c r="R31" s="19" t="n">
        <f aca="false">IF(Time!R23=1,Waterfall!R16+Waterfall!R22+Waterfall!R38,0)</f>
        <v>0</v>
      </c>
      <c r="S31" s="19" t="n">
        <f aca="false">IF(Time!S23=1,Waterfall!S16+Waterfall!S22+Waterfall!S38,0)</f>
        <v>0</v>
      </c>
      <c r="T31" s="19" t="n">
        <f aca="false">IF(Time!T23=1,Waterfall!T16+Waterfall!T22+Waterfall!T38,0)</f>
        <v>0</v>
      </c>
      <c r="U31" s="19" t="n">
        <f aca="false">IF(Time!U23=1,Waterfall!U16+Waterfall!U22+Waterfall!U38,0)</f>
        <v>0</v>
      </c>
      <c r="V31" s="19" t="n">
        <f aca="false">IF(Time!V23=1,Waterfall!V16+Waterfall!V22+Waterfall!V38,0)</f>
        <v>0</v>
      </c>
      <c r="W31" s="19" t="n">
        <f aca="false">IF(Time!W23=1,Waterfall!W16+Waterfall!W22+Waterfall!W38,0)</f>
        <v>0</v>
      </c>
      <c r="X31" s="19" t="n">
        <f aca="false">IF(Time!X23=1,Waterfall!X16+Waterfall!X22+Waterfall!X38,0)</f>
        <v>0</v>
      </c>
      <c r="Y31" s="19" t="n">
        <f aca="false">IF(Time!Y23=1,Waterfall!Y16+Waterfall!Y22+Waterfall!Y38,0)</f>
        <v>0</v>
      </c>
      <c r="Z31" s="19" t="n">
        <f aca="false">IF(Time!Z23=1,Waterfall!Z16+Waterfall!Z22+Waterfall!Z38,0)</f>
        <v>0</v>
      </c>
      <c r="AA31" s="19" t="n">
        <f aca="false">IF(Time!AA23=1,Waterfall!AA16+Waterfall!AA22+Waterfall!AA38,0)</f>
        <v>0</v>
      </c>
      <c r="AB31" s="19" t="n">
        <f aca="false">IF(Time!AB23=1,Waterfall!AB16+Waterfall!AB22+Waterfall!AB38,0)</f>
        <v>0</v>
      </c>
      <c r="AC31" s="19" t="n">
        <f aca="false">IF(Time!AC23=1,Waterfall!AC16+Waterfall!AC22+Waterfall!AC38,0)</f>
        <v>0</v>
      </c>
      <c r="AD31" s="19" t="n">
        <f aca="false">IF(Time!AD23=1,Waterfall!AD16+Waterfall!AD22+Waterfall!AD38,0)</f>
        <v>0</v>
      </c>
      <c r="AE31" s="19" t="n">
        <f aca="false">IF(Time!AE23=1,Waterfall!AE16+Waterfall!AE22+Waterfall!AE38,0)</f>
        <v>0</v>
      </c>
      <c r="AF31" s="19" t="n">
        <f aca="false">IF(Time!AF23=1,Waterfall!AF16+Waterfall!AF22+Waterfall!AF38,0)</f>
        <v>0</v>
      </c>
      <c r="AG31" s="19" t="n">
        <f aca="false">IF(Time!AG23=1,Waterfall!AG16+Waterfall!AG22+Waterfall!AG38,0)</f>
        <v>0</v>
      </c>
      <c r="AH31" s="19" t="n">
        <f aca="false">IF(Time!AH23=1,Waterfall!AH16+Waterfall!AH22+Waterfall!AH38,0)</f>
        <v>0</v>
      </c>
      <c r="AI31" s="19" t="n">
        <f aca="false">IF(Time!AI23=1,Waterfall!AI16+Waterfall!AI22+Waterfall!AI38,0)</f>
        <v>0</v>
      </c>
      <c r="AJ31" s="19" t="n">
        <f aca="false">IF(Time!AJ23=1,Waterfall!AJ16+Waterfall!AJ22+Waterfall!AJ38,0)</f>
        <v>0</v>
      </c>
      <c r="AK31" s="19" t="n">
        <f aca="false">IF(Time!AK23=1,Waterfall!AK16+Waterfall!AK22+Waterfall!AK38,0)</f>
        <v>0</v>
      </c>
      <c r="AL31" s="19" t="n">
        <f aca="false">IF(Time!AL23=1,Waterfall!AL16+Waterfall!AL22+Waterfall!AL38,0)</f>
        <v>0</v>
      </c>
      <c r="AM31" s="19" t="n">
        <f aca="false">IF(Time!AM23=1,Waterfall!AM16+Waterfall!AM22+Waterfall!AM38,0)</f>
        <v>0</v>
      </c>
      <c r="AN31" s="19" t="n">
        <f aca="false">IF(Time!AN23=1,Waterfall!AN16+Waterfall!AN22+Waterfall!AN38,0)</f>
        <v>0</v>
      </c>
      <c r="AO31" s="19" t="n">
        <f aca="false">IF(Time!AO23=1,Waterfall!AO16+Waterfall!AO22+Waterfall!AO38,0)</f>
        <v>0</v>
      </c>
      <c r="AP31" s="19" t="n">
        <f aca="false">IF(Time!AP23=1,Waterfall!AP16+Waterfall!AP22+Waterfall!AP38,0)</f>
        <v>0</v>
      </c>
      <c r="AQ31" s="19" t="n">
        <f aca="false">IF(Time!AQ23=1,Waterfall!AQ16+Waterfall!AQ22+Waterfall!AQ38,0)</f>
        <v>0</v>
      </c>
      <c r="AR31" s="19" t="n">
        <f aca="false">IF(Time!AR23=1,Waterfall!AR16+Waterfall!AR22+Waterfall!AR38,0)</f>
        <v>0</v>
      </c>
      <c r="AS31" s="19" t="n">
        <f aca="false">IF(Time!AS23=1,Waterfall!AS16+Waterfall!AS22+Waterfall!AS38,0)</f>
        <v>0</v>
      </c>
      <c r="AT31" s="19" t="n">
        <f aca="false">IF(Time!AT23=1,Waterfall!AT16+Waterfall!AT22+Waterfall!AT38,0)</f>
        <v>0</v>
      </c>
      <c r="AU31" s="19" t="n">
        <f aca="false">IF(Time!AU23=1,Waterfall!AU16+Waterfall!AU22+Waterfall!AU38,0)</f>
        <v>0</v>
      </c>
      <c r="AV31" s="19" t="n">
        <f aca="false">IF(Time!AV23=1,Waterfall!AV16+Waterfall!AV22+Waterfall!AV38,0)</f>
        <v>0</v>
      </c>
      <c r="AW31" s="19" t="n">
        <f aca="false">IF(Time!AW23=1,Waterfall!AW16+Waterfall!AW22+Waterfall!AW38,0)</f>
        <v>0</v>
      </c>
      <c r="AX31" s="19" t="n">
        <f aca="false">IF(Time!AX23=1,Waterfall!AX16+Waterfall!AX22+Waterfall!AX38,0)</f>
        <v>0</v>
      </c>
      <c r="AY31" s="19" t="n">
        <f aca="false">IF(Time!AY23=1,Waterfall!AY16+Waterfall!AY22+Waterfall!AY38,0)</f>
        <v>0</v>
      </c>
      <c r="AZ31" s="19" t="n">
        <f aca="false">IF(Time!AZ23=1,Waterfall!AZ16+Waterfall!AZ22+Waterfall!AZ38,0)</f>
        <v>0</v>
      </c>
      <c r="BA31" s="19" t="n">
        <f aca="false">IF(Time!BA23=1,Waterfall!BA16+Waterfall!BA22+Waterfall!BA38,0)</f>
        <v>0</v>
      </c>
      <c r="BB31" s="19" t="n">
        <f aca="false">IF(Time!BB23=1,Waterfall!BB16+Waterfall!BB22+Waterfall!BB38,0)</f>
        <v>0</v>
      </c>
      <c r="BC31" s="19" t="n">
        <f aca="false">IF(Time!BC23=1,Waterfall!BC16+Waterfall!BC22+Waterfall!BC38,0)</f>
        <v>0</v>
      </c>
      <c r="BD31" s="19" t="n">
        <f aca="false">IF(Time!BD23=1,Waterfall!BD16+Waterfall!BD22+Waterfall!BD38,0)</f>
        <v>0</v>
      </c>
      <c r="BE31" s="19" t="n">
        <f aca="false">IF(Time!BE23=1,Waterfall!BE16+Waterfall!BE22+Waterfall!BE38,0)</f>
        <v>0</v>
      </c>
      <c r="BF31" s="19" t="n">
        <f aca="false">IF(Time!BF23=1,Waterfall!BF16+Waterfall!BF22+Waterfall!BF38,0)</f>
        <v>0</v>
      </c>
      <c r="BG31" s="19" t="n">
        <f aca="false">IF(Time!BG23=1,Waterfall!BG16+Waterfall!BG22+Waterfall!BG38,0)</f>
        <v>0</v>
      </c>
      <c r="BH31" s="19" t="n">
        <f aca="false">IF(Time!BH23=1,Waterfall!BH16+Waterfall!BH22+Waterfall!BH38,0)</f>
        <v>0</v>
      </c>
      <c r="BI31" s="19" t="n">
        <f aca="false">IF(Time!BI23=1,Waterfall!BI16+Waterfall!BI22+Waterfall!BI38,0)</f>
        <v>0</v>
      </c>
      <c r="BJ31" s="19" t="n">
        <f aca="false">IF(Time!BJ23=1,Waterfall!BJ16+Waterfall!BJ22+Waterfall!BJ38,0)</f>
        <v>0</v>
      </c>
      <c r="BK31" s="19" t="n">
        <f aca="false">IF(Time!BK23=1,Waterfall!BK16+Waterfall!BK22+Waterfall!BK38,0)</f>
        <v>0</v>
      </c>
      <c r="BL31" s="19" t="n">
        <f aca="false">IF(Time!BL23=1,Waterfall!BL16+Waterfall!BL22+Waterfall!BL38,0)</f>
        <v>0</v>
      </c>
      <c r="BM31" s="19" t="n">
        <f aca="false">IF(Time!BM23=1,Waterfall!BM16+Waterfall!BM22+Waterfall!BM38,0)</f>
        <v>0</v>
      </c>
      <c r="BN31" s="19" t="n">
        <f aca="false">IF(Time!BN23=1,Waterfall!BN16+Waterfall!BN22+Waterfall!BN38,0)</f>
        <v>0</v>
      </c>
      <c r="BO31" s="19" t="n">
        <f aca="false">IF(Time!BO23=1,Waterfall!BO16+Waterfall!BO22+Waterfall!BO38,0)</f>
        <v>0</v>
      </c>
      <c r="BP31" s="19" t="n">
        <f aca="false">IF(Time!BP23=1,Waterfall!BP16+Waterfall!BP22+Waterfall!BP38,0)</f>
        <v>0</v>
      </c>
      <c r="BQ31" s="19" t="n">
        <f aca="false">IF(Time!BQ23=1,Waterfall!BQ16+Waterfall!BQ22+Waterfall!BQ38,0)</f>
        <v>0</v>
      </c>
      <c r="BR31" s="19" t="n">
        <f aca="false">IF(Time!BR23=1,Waterfall!BR16+Waterfall!BR22+Waterfall!BR38,0)</f>
        <v>0</v>
      </c>
      <c r="BS31" s="19" t="n">
        <f aca="false">IF(Time!BS23=1,Waterfall!BS16+Waterfall!BS22+Waterfall!BS38,0)</f>
        <v>0</v>
      </c>
      <c r="BT31" s="19" t="n">
        <f aca="false">IF(Time!BT23=1,Waterfall!BT16+Waterfall!BT22+Waterfall!BT38,0)</f>
        <v>0</v>
      </c>
      <c r="BU31" s="19" t="n">
        <f aca="false">IF(Time!BU23=1,Waterfall!BU16+Waterfall!BU22+Waterfall!BU38,0)</f>
        <v>0</v>
      </c>
      <c r="BV31" s="19" t="n">
        <f aca="false">IF(Time!BV23=1,Waterfall!BV16+Waterfall!BV22+Waterfall!BV38,0)</f>
        <v>0</v>
      </c>
      <c r="BW31" s="19" t="n">
        <f aca="false">IF(Time!BW23=1,Waterfall!BW16+Waterfall!BW22+Waterfall!BW38,0)</f>
        <v>0</v>
      </c>
      <c r="BX31" s="19" t="n">
        <f aca="false">IF(Time!BX23=1,Waterfall!BX16+Waterfall!BX22+Waterfall!BX38,0)</f>
        <v>0</v>
      </c>
      <c r="BY31" s="19" t="n">
        <f aca="false">IF(Time!BY23=1,Waterfall!BY16+Waterfall!BY22+Waterfall!BY38,0)</f>
        <v>0</v>
      </c>
      <c r="BZ31" s="19" t="n">
        <f aca="false">IF(Time!BZ23=1,Waterfall!BZ16+Waterfall!BZ22+Waterfall!BZ38,0)</f>
        <v>0</v>
      </c>
      <c r="CA31" s="19" t="n">
        <f aca="false">IF(Time!CA23=1,Waterfall!CA16+Waterfall!CA22+Waterfall!CA38,0)</f>
        <v>0</v>
      </c>
      <c r="CB31" s="19" t="n">
        <f aca="false">IF(Time!CB23=1,Waterfall!CB16+Waterfall!CB22+Waterfall!CB38,0)</f>
        <v>0</v>
      </c>
      <c r="CC31" s="19" t="n">
        <f aca="false">IF(Time!CC23=1,Waterfall!CC16+Waterfall!CC22+Waterfall!CC38,0)</f>
        <v>0</v>
      </c>
      <c r="CD31" s="19" t="n">
        <f aca="false">IF(Time!CD23=1,Waterfall!CD16+Waterfall!CD22+Waterfall!CD38,0)</f>
        <v>0</v>
      </c>
      <c r="CE31" s="19" t="n">
        <f aca="false">IF(Time!CE23=1,Waterfall!CE16+Waterfall!CE22+Waterfall!CE38,0)</f>
        <v>0</v>
      </c>
      <c r="CF31" s="19" t="n">
        <f aca="false">IF(Time!CF23=1,Waterfall!CF16+Waterfall!CF22+Waterfall!CF38,0)</f>
        <v>0</v>
      </c>
      <c r="CG31" s="19" t="n">
        <f aca="false">IF(Time!CG23=1,Waterfall!CG16+Waterfall!CG22+Waterfall!CG38,0)</f>
        <v>0</v>
      </c>
      <c r="CH31" s="19" t="n">
        <f aca="false">IF(Time!CH23=1,Waterfall!CH16+Waterfall!CH22+Waterfall!CH38,0)</f>
        <v>0</v>
      </c>
      <c r="CI31" s="19" t="n">
        <f aca="false">IF(Time!CI23=1,Waterfall!CI16+Waterfall!CI22+Waterfall!CI38,0)</f>
        <v>0</v>
      </c>
      <c r="CJ31" s="19" t="n">
        <f aca="false">IF(Time!CJ23=1,Waterfall!CJ16+Waterfall!CJ22+Waterfall!CJ38,0)</f>
        <v>0</v>
      </c>
      <c r="CK31" s="19" t="n">
        <f aca="false">IF(Time!CK23=1,Waterfall!CK16+Waterfall!CK22+Waterfall!CK38,0)</f>
        <v>0</v>
      </c>
      <c r="CL31" s="19" t="n">
        <f aca="false">IF(Time!CL23=1,Waterfall!CL16+Waterfall!CL22+Waterfall!CL38,0)</f>
        <v>0</v>
      </c>
      <c r="CM31" s="19" t="n">
        <f aca="false">IF(Time!CM23=1,Waterfall!CM16+Waterfall!CM22+Waterfall!CM38,0)</f>
        <v>0</v>
      </c>
      <c r="CN31" s="19" t="n">
        <f aca="false">IF(Time!CN23=1,Waterfall!CN16+Waterfall!CN22+Waterfall!CN38,0)</f>
        <v>0</v>
      </c>
      <c r="CO31" s="19" t="n">
        <f aca="false">IF(Time!CO23=1,Waterfall!CO16+Waterfall!CO22+Waterfall!CO38,0)</f>
        <v>0</v>
      </c>
      <c r="CP31" s="19" t="n">
        <f aca="false">IF(Time!CP23=1,Waterfall!CP16+Waterfall!CP22+Waterfall!CP38,0)</f>
        <v>0</v>
      </c>
      <c r="CQ31" s="19" t="n">
        <f aca="false">IF(Time!CQ23=1,Waterfall!CQ16+Waterfall!CQ22+Waterfall!CQ38,0)</f>
        <v>0</v>
      </c>
      <c r="CR31" s="19" t="n">
        <f aca="false">IF(Time!CR23=1,Waterfall!CR16+Waterfall!CR22+Waterfall!CR38,0)</f>
        <v>0</v>
      </c>
      <c r="CS31" s="19" t="n">
        <f aca="false">IF(Time!CS23=1,Waterfall!CS16+Waterfall!CS22+Waterfall!CS38,0)</f>
        <v>0</v>
      </c>
      <c r="CT31" s="19" t="n">
        <f aca="false">IF(Time!CT23=1,Waterfall!CT16+Waterfall!CT22+Waterfall!CT38,0)</f>
        <v>0</v>
      </c>
      <c r="CU31" s="19" t="n">
        <f aca="false">IF(Time!CU23=1,Waterfall!CU16+Waterfall!CU22+Waterfall!CU38,0)</f>
        <v>0</v>
      </c>
      <c r="CV31" s="19" t="n">
        <f aca="false">IF(Time!CV23=1,Waterfall!CV16+Waterfall!CV22+Waterfall!CV38,0)</f>
        <v>0</v>
      </c>
      <c r="CW31" s="19" t="n">
        <f aca="false">IF(Time!CW23=1,Waterfall!CW16+Waterfall!CW22+Waterfall!CW38,0)</f>
        <v>0</v>
      </c>
      <c r="CX31" s="19" t="n">
        <f aca="false">IF(Time!CX23=1,Waterfall!CX16+Waterfall!CX22+Waterfall!CX38,0)</f>
        <v>0</v>
      </c>
      <c r="CY31" s="19" t="n">
        <f aca="false">IF(Time!CY23=1,Waterfall!CY16+Waterfall!CY22+Waterfall!CY38,0)</f>
        <v>0</v>
      </c>
      <c r="CZ31" s="19" t="n">
        <f aca="false">IF(Time!CZ23=1,Waterfall!CZ16+Waterfall!CZ22+Waterfall!CZ38,0)</f>
        <v>0</v>
      </c>
      <c r="DA31" s="19" t="n">
        <f aca="false">IF(Time!DA23=1,Waterfall!DA16+Waterfall!DA22+Waterfall!DA38,0)</f>
        <v>0</v>
      </c>
      <c r="DB31" s="19" t="n">
        <f aca="false">IF(Time!DB23=1,Waterfall!DB16+Waterfall!DB22+Waterfall!DB38,0)</f>
        <v>0</v>
      </c>
    </row>
    <row r="32" customFormat="false" ht="15" hidden="false" customHeight="false" outlineLevel="0" collapsed="false">
      <c r="D32" s="0" t="s">
        <v>715</v>
      </c>
      <c r="E32" s="0" t="s">
        <v>44</v>
      </c>
      <c r="F32" s="19" t="n">
        <f aca="false">SUMPRODUCT((Time!$J$8:$DB$8&gt;Inputs!$F$20)*$J$31:$DB$31/(1+Inputs!$F$179)^((Time!$J$8:$DB$8-Inputs!$F$20)/Inputs!$F$45))</f>
        <v>0</v>
      </c>
    </row>
    <row r="33" customFormat="false" ht="15" hidden="false" customHeight="false" outlineLevel="0" collapsed="false">
      <c r="D33" s="0" t="s">
        <v>538</v>
      </c>
      <c r="E33" s="0" t="s">
        <v>44</v>
      </c>
      <c r="F33" s="19" t="n">
        <f aca="false">SUM(Debt!$J$76:$DB$76)</f>
        <v>0</v>
      </c>
    </row>
    <row r="34" customFormat="false" ht="15" hidden="false" customHeight="false" outlineLevel="0" collapsed="false">
      <c r="D34" s="0" t="s">
        <v>716</v>
      </c>
      <c r="E34" s="0" t="s">
        <v>105</v>
      </c>
      <c r="F34" s="26" t="n">
        <f aca="false">IF($F$33&gt;0,($F$32+$F$28)/$F$33,0)</f>
        <v>0</v>
      </c>
    </row>
    <row r="35" customFormat="false" ht="15" hidden="false" customHeight="false" outlineLevel="0" collapsed="false">
      <c r="D35" s="0" t="s">
        <v>717</v>
      </c>
      <c r="E35" s="0" t="s">
        <v>105</v>
      </c>
      <c r="F35" s="26" t="n">
        <f aca="false">IF($F$33&gt;0,(Debt!$F$81+$F$28)/$F$33,0)</f>
        <v>0</v>
      </c>
    </row>
    <row r="36" customFormat="false" ht="15" hidden="false" customHeight="false" outlineLevel="0" collapsed="false">
      <c r="D36" s="0" t="s">
        <v>718</v>
      </c>
      <c r="E36" s="0" t="s">
        <v>44</v>
      </c>
      <c r="F36" s="19" t="n">
        <f aca="false">SUMPRODUCT(Time!$J$35:$DB$35,Debt!$J$102:$DB$102)</f>
        <v>0</v>
      </c>
    </row>
    <row r="37" customFormat="false" ht="15" hidden="false" customHeight="false" outlineLevel="0" collapsed="false">
      <c r="D37" s="0" t="s">
        <v>719</v>
      </c>
      <c r="E37" s="0" t="s">
        <v>44</v>
      </c>
      <c r="F37" s="19" t="n">
        <f aca="false">SUMPRODUCT((Time!$J$8:$DB$8&gt;Inputs!$F$20)*Waterfall!$J$35:$DB$35/(1+Inputs!$F$118)^((Time!$J$8:$DB$8-Inputs!$F$20)/Inputs!$F$45))</f>
        <v>565.924695888365</v>
      </c>
    </row>
    <row r="38" customFormat="false" ht="15" hidden="false" customHeight="false" outlineLevel="0" collapsed="false">
      <c r="D38" s="0" t="s">
        <v>720</v>
      </c>
      <c r="E38" s="0" t="s">
        <v>105</v>
      </c>
      <c r="F38" s="26" t="n">
        <f aca="false">IF($F$36&gt;0,$F$37/$F$36,0)</f>
        <v>0</v>
      </c>
    </row>
    <row r="39" customFormat="false" ht="15" hidden="false" customHeight="false" outlineLevel="0" collapsed="false">
      <c r="D39" s="3" t="s">
        <v>721</v>
      </c>
    </row>
    <row r="40" customFormat="false" ht="15" hidden="false" customHeight="false" outlineLevel="0" collapsed="false">
      <c r="D40" s="0" t="s">
        <v>722</v>
      </c>
      <c r="E40" s="0" t="s">
        <v>44</v>
      </c>
      <c r="F40" s="19" t="n">
        <f aca="false">Inputs!$F$185+Inputs!$F$186+Inputs!$F$187+Inputs!$F$188+Inputs!$F$189+Inputs!$F$190+Inputs!$F$191</f>
        <v>384.2</v>
      </c>
    </row>
    <row r="41" customFormat="false" ht="15" hidden="false" customHeight="false" outlineLevel="0" collapsed="false">
      <c r="D41" s="0" t="s">
        <v>723</v>
      </c>
      <c r="E41" s="0" t="s">
        <v>44</v>
      </c>
      <c r="F41" s="19" t="n">
        <f aca="false">Inputs!$F$185+Inputs!$F$186+Inputs!$F$187</f>
        <v>143.4</v>
      </c>
    </row>
    <row r="42" customFormat="false" ht="15" hidden="false" customHeight="false" outlineLevel="0" collapsed="false">
      <c r="D42" s="0" t="s">
        <v>724</v>
      </c>
      <c r="E42" s="0" t="s">
        <v>171</v>
      </c>
      <c r="F42" s="27" t="n">
        <f aca="false">(1+Inputs!$F$184)^(-(Inputs!$F$42-Inputs!$F$41)/Inputs!$F$45)</f>
        <v>0.660965692482408</v>
      </c>
    </row>
    <row r="43" customFormat="false" ht="15" hidden="false" customHeight="false" outlineLevel="0" collapsed="false">
      <c r="D43" s="0" t="s">
        <v>725</v>
      </c>
      <c r="E43" s="0" t="s">
        <v>44</v>
      </c>
      <c r="F43" s="19" t="n">
        <f aca="false">Inputs!$F$192*$F$42+Inputs!$F$193+Inputs!$F$194</f>
        <v>345.395933917787</v>
      </c>
    </row>
    <row r="44" customFormat="false" ht="15" hidden="false" customHeight="false" outlineLevel="0" collapsed="false">
      <c r="D44" s="0" t="s">
        <v>726</v>
      </c>
      <c r="E44" s="0" t="s">
        <v>44</v>
      </c>
      <c r="F44" s="19" t="n">
        <f aca="false">Inputs!$F$81*$F$42+Inputs!$F$193+Inputs!$F$194</f>
        <v>264.361540019444</v>
      </c>
    </row>
    <row r="45" customFormat="false" ht="15" hidden="false" customHeight="false" outlineLevel="0" collapsed="false">
      <c r="D45" s="0" t="s">
        <v>727</v>
      </c>
      <c r="E45" s="0" t="s">
        <v>44</v>
      </c>
      <c r="F45" s="19" t="n">
        <f aca="false">$F$40-$F$43</f>
        <v>38.8040660822127</v>
      </c>
    </row>
    <row r="46" customFormat="false" ht="15" hidden="false" customHeight="false" outlineLevel="0" collapsed="false">
      <c r="D46" s="0" t="s">
        <v>728</v>
      </c>
      <c r="E46" s="0" t="s">
        <v>105</v>
      </c>
      <c r="F46" s="26" t="n">
        <f aca="false">$F$45/$F$40</f>
        <v>0.100999651437305</v>
      </c>
    </row>
    <row r="47" customFormat="false" ht="15" hidden="false" customHeight="false" outlineLevel="0" collapsed="false">
      <c r="D47" s="0" t="s">
        <v>729</v>
      </c>
      <c r="E47" s="0" t="s">
        <v>44</v>
      </c>
      <c r="F47" s="19" t="n">
        <f aca="false">$F$40-$F$44</f>
        <v>119.838459980556</v>
      </c>
    </row>
    <row r="48" customFormat="false" ht="15" hidden="false" customHeight="false" outlineLevel="0" collapsed="false">
      <c r="D48" s="0" t="s">
        <v>730</v>
      </c>
      <c r="E48" s="0" t="s">
        <v>105</v>
      </c>
      <c r="F48" s="26" t="n">
        <f aca="false">$F$47/$F$40</f>
        <v>0.311916866164904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731</v>
      </c>
    </row>
    <row r="5" customFormat="false" ht="15" hidden="false" customHeight="false" outlineLevel="0" collapsed="false">
      <c r="D5" s="3" t="s">
        <v>732</v>
      </c>
    </row>
    <row r="6" customFormat="false" ht="15" hidden="false" customHeight="false" outlineLevel="0" collapsed="false">
      <c r="D6" s="0" t="s">
        <v>733</v>
      </c>
      <c r="E6" s="0" t="s">
        <v>44</v>
      </c>
      <c r="F6" s="19" t="n">
        <f aca="false">ROUND(SUMPRODUCT(ABS(Funding!$J$42:$DB$42)),6)</f>
        <v>0</v>
      </c>
    </row>
    <row r="7" customFormat="false" ht="15" hidden="false" customHeight="false" outlineLevel="0" collapsed="false">
      <c r="D7" s="0" t="s">
        <v>734</v>
      </c>
      <c r="E7" s="0" t="s">
        <v>44</v>
      </c>
      <c r="F7" s="19" t="n">
        <f aca="false">ROUND(Debt!$F$29+Debt!$F$26+Debt!$F$28+Inputs!$F$227-Funding!$F$24,6)</f>
        <v>0</v>
      </c>
    </row>
    <row r="8" customFormat="false" ht="15" hidden="false" customHeight="false" outlineLevel="0" collapsed="false">
      <c r="D8" s="0" t="s">
        <v>735</v>
      </c>
      <c r="E8" s="0" t="s">
        <v>44</v>
      </c>
      <c r="F8" s="19" t="n">
        <f aca="false">ROUND(SUM(Funding!$J$27:$DB$27)-Debt!$F$29,6)</f>
        <v>0</v>
      </c>
    </row>
    <row r="9" customFormat="false" ht="15" hidden="false" customHeight="false" outlineLevel="0" collapsed="false">
      <c r="D9" s="0" t="s">
        <v>736</v>
      </c>
      <c r="E9" s="0" t="s">
        <v>44</v>
      </c>
      <c r="F9" s="19" t="n">
        <f aca="false">ROUND(SUMPRODUCT(Funding!$J$16:$DB$16,Time!$J$21:$DB$21),6)</f>
        <v>0</v>
      </c>
    </row>
    <row r="10" customFormat="false" ht="15" hidden="false" customHeight="false" outlineLevel="0" collapsed="false">
      <c r="D10" s="0" t="s">
        <v>737</v>
      </c>
      <c r="E10" s="0" t="s">
        <v>44</v>
      </c>
      <c r="F10" s="19" t="n">
        <f aca="false">ROUND(SUMPRODUCT(ABS(Funding!$J$40:$DB$40)*Time!$J$26:$DB$26),6)</f>
        <v>0</v>
      </c>
    </row>
    <row r="11" customFormat="false" ht="15" hidden="false" customHeight="false" outlineLevel="0" collapsed="false">
      <c r="D11" s="0" t="s">
        <v>738</v>
      </c>
      <c r="E11" s="0" t="s">
        <v>44</v>
      </c>
      <c r="F11" s="19" t="n">
        <f aca="false">ROUND(SUMPRODUCT(ABS(Financials!$J$17:$DB$17)),6)</f>
        <v>0</v>
      </c>
    </row>
    <row r="12" customFormat="false" ht="15" hidden="false" customHeight="false" outlineLevel="0" collapsed="false">
      <c r="D12" s="0" t="s">
        <v>739</v>
      </c>
      <c r="E12" s="0" t="s">
        <v>44</v>
      </c>
      <c r="F12" s="19" t="n">
        <f aca="false">IF(Debt!$F$24=1,ROUND(SUMPRODUCT(Debt!$J$36:$DB$36,Time!$J$30:$DB$30*(Time!$J$8:$DB$8=Inputs!$F$22)),6),0)</f>
        <v>0</v>
      </c>
    </row>
    <row r="13" customFormat="false" ht="15" hidden="false" customHeight="false" outlineLevel="0" collapsed="false">
      <c r="D13" s="0" t="s">
        <v>740</v>
      </c>
      <c r="E13" s="0" t="s">
        <v>44</v>
      </c>
      <c r="F13" s="19" t="n">
        <f aca="false">IF(AND(Debt!$F$24=1,Inputs!$F$7=1),ROUND(ABS(Debt!$F$22-Inputs!$F$269)+SUMPRODUCT(ABS(Debt!$J$35:$DB$35-Inputs!$J$272:$DB$272))+SUMPRODUCT(ABS(Debt!$J$38:$DB$38-Inputs!$J$273:$DB$273))+SUMPRODUCT(ABS(Debt!$J$111:$DB$111-Inputs!$J$274:$DB$274)),3),0)</f>
        <v>0</v>
      </c>
    </row>
    <row r="14" customFormat="false" ht="15" hidden="false" customHeight="false" outlineLevel="0" collapsed="false">
      <c r="D14" s="0" t="s">
        <v>741</v>
      </c>
      <c r="E14" s="0" t="s">
        <v>44</v>
      </c>
      <c r="F14" s="19" t="n">
        <f aca="false">IF(Debt!$F$25=1,ROUND(SUMPRODUCT(ABS(Debt!$J$88:$DB$88-Inputs!$J$277:$DB$277))+SUMPRODUCT(ABS(Debt!$J$111:$DB$111-Inputs!$J$278:$DB$278)),3),0)</f>
        <v>0</v>
      </c>
    </row>
    <row r="15" customFormat="false" ht="15" hidden="false" customHeight="false" outlineLevel="0" collapsed="false">
      <c r="D15" s="0" t="s">
        <v>742</v>
      </c>
      <c r="E15" s="0" t="s">
        <v>44</v>
      </c>
      <c r="F15" s="19" t="n">
        <f aca="false">ROUND(SUMPRODUCT((Debt!$J$47:$DB$47+Debt!$J$54:$DB$54+Debt!$J$94:$DB$94)*Time!$J$28:$DB$28),6)</f>
        <v>0</v>
      </c>
    </row>
    <row r="16" customFormat="false" ht="15" hidden="false" customHeight="false" outlineLevel="0" collapsed="false">
      <c r="D16" s="0" t="s">
        <v>743</v>
      </c>
      <c r="E16" s="0" t="s">
        <v>44</v>
      </c>
      <c r="F16" s="19" t="n">
        <f aca="false">ROUND(SUMPRODUCT(Debt!$J$102:$DB$102*Time!$J$28:$DB$28),6)</f>
        <v>0</v>
      </c>
    </row>
    <row r="17" customFormat="false" ht="15" hidden="false" customHeight="false" outlineLevel="0" collapsed="false">
      <c r="D17" s="0" t="s">
        <v>744</v>
      </c>
      <c r="E17" s="0" t="s">
        <v>44</v>
      </c>
      <c r="F17" s="19" t="n">
        <f aca="false">ROUND(-MIN(0,MIN(Reserves!$J$13:$DB$13),MIN(Reserves!$J$19:$DB$19),MIN(Reserves!$J$23:$DB$23),MIN(Reserves!$J$16:$DB$16),MIN(Reserves!$J$30:$DB$30)),6)</f>
        <v>-0</v>
      </c>
    </row>
    <row r="18" customFormat="false" ht="15" hidden="false" customHeight="false" outlineLevel="0" collapsed="false">
      <c r="D18" s="0" t="s">
        <v>745</v>
      </c>
      <c r="E18" s="0" t="s">
        <v>44</v>
      </c>
      <c r="F18" s="19" t="n">
        <f aca="false">ROUND(SUMPRODUCT(Reserves!$J$16:$DB$16,Time!$J$31:$DB$31),6)</f>
        <v>0</v>
      </c>
    </row>
    <row r="19" customFormat="false" ht="15" hidden="false" customHeight="false" outlineLevel="0" collapsed="false">
      <c r="D19" s="0" t="s">
        <v>746</v>
      </c>
      <c r="E19" s="0" t="s">
        <v>44</v>
      </c>
      <c r="F19" s="19" t="n">
        <f aca="false">ROUND(-MIN(0,MIN(Waterfall!$J$51:$DB$51)),6)</f>
        <v>-0</v>
      </c>
    </row>
    <row r="20" customFormat="false" ht="15" hidden="false" customHeight="false" outlineLevel="0" collapsed="false">
      <c r="D20" s="0" t="s">
        <v>747</v>
      </c>
      <c r="E20" s="0" t="s">
        <v>44</v>
      </c>
      <c r="F20" s="19" t="n">
        <f aca="false">ROUND(MAX(0,Debt!$F$28-Inputs!$F$120*Funding!$F$24),6)</f>
        <v>0</v>
      </c>
    </row>
    <row r="21" customFormat="false" ht="15" hidden="false" customHeight="false" outlineLevel="0" collapsed="false">
      <c r="D21" s="0" t="s">
        <v>748</v>
      </c>
      <c r="E21" s="0" t="s">
        <v>44</v>
      </c>
      <c r="F21" s="19" t="n">
        <f aca="false">ROUND(MAX(0,Inputs!$F$87*Funding!$F$25-Debt!$F$29),6)</f>
        <v>0</v>
      </c>
    </row>
    <row r="22" customFormat="false" ht="15" hidden="false" customHeight="false" outlineLevel="0" collapsed="false">
      <c r="D22" s="0" t="s">
        <v>749</v>
      </c>
      <c r="E22" s="0" t="s">
        <v>44</v>
      </c>
      <c r="F22" s="19" t="n">
        <f aca="false">ROUND(SUM(Debt!$J$77:$DB$77)+SUM(Debt!$J$78:$DB$78)+SUM(Debt!$J$79:$DB$79)-SUM(Debt!$J$76:$DB$76),6)</f>
        <v>0</v>
      </c>
    </row>
    <row r="23" customFormat="false" ht="15" hidden="false" customHeight="false" outlineLevel="0" collapsed="false">
      <c r="D23" s="0" t="s">
        <v>750</v>
      </c>
      <c r="E23" s="0" t="s">
        <v>44</v>
      </c>
      <c r="F23" s="19" t="n">
        <f aca="false">ABS($F$6)+ABS($F$7)+ABS($F$8)+ABS($F$9)+ABS($F$10)+ABS($F$11)+ABS($F$12)+ABS($F$13)+ABS($F$14)+ABS($F$15)+ABS($F$16)+ABS($F$17)+ABS($F$18)+ABS($F$19)+ABS($F$20)+ABS($F$21)+ABS($F$22)</f>
        <v>0</v>
      </c>
    </row>
  </sheetData>
  <conditionalFormatting sqref="F6">
    <cfRule type="cellIs" priority="2" operator="notEqual" aboveAverage="0" equalAverage="0" bottom="0" percent="0" rank="0" text="" dxfId="0">
      <formula>0</formula>
    </cfRule>
  </conditionalFormatting>
  <conditionalFormatting sqref="F7">
    <cfRule type="cellIs" priority="3" operator="notEqual" aboveAverage="0" equalAverage="0" bottom="0" percent="0" rank="0" text="" dxfId="0">
      <formula>0</formula>
    </cfRule>
  </conditionalFormatting>
  <conditionalFormatting sqref="F8">
    <cfRule type="cellIs" priority="4" operator="notEqual" aboveAverage="0" equalAverage="0" bottom="0" percent="0" rank="0" text="" dxfId="0">
      <formula>0</formula>
    </cfRule>
  </conditionalFormatting>
  <conditionalFormatting sqref="F9">
    <cfRule type="cellIs" priority="5" operator="notEqual" aboveAverage="0" equalAverage="0" bottom="0" percent="0" rank="0" text="" dxfId="0">
      <formula>0</formula>
    </cfRule>
  </conditionalFormatting>
  <conditionalFormatting sqref="F10">
    <cfRule type="cellIs" priority="6" operator="notEqual" aboveAverage="0" equalAverage="0" bottom="0" percent="0" rank="0" text="" dxfId="0">
      <formula>0</formula>
    </cfRule>
  </conditionalFormatting>
  <conditionalFormatting sqref="F11">
    <cfRule type="cellIs" priority="7" operator="notEqual" aboveAverage="0" equalAverage="0" bottom="0" percent="0" rank="0" text="" dxfId="0">
      <formula>0</formula>
    </cfRule>
  </conditionalFormatting>
  <conditionalFormatting sqref="F12">
    <cfRule type="cellIs" priority="8" operator="notEqual" aboveAverage="0" equalAverage="0" bottom="0" percent="0" rank="0" text="" dxfId="0">
      <formula>0</formula>
    </cfRule>
  </conditionalFormatting>
  <conditionalFormatting sqref="F13">
    <cfRule type="cellIs" priority="9" operator="notEqual" aboveAverage="0" equalAverage="0" bottom="0" percent="0" rank="0" text="" dxfId="0">
      <formula>0</formula>
    </cfRule>
  </conditionalFormatting>
  <conditionalFormatting sqref="F14">
    <cfRule type="cellIs" priority="10" operator="notEqual" aboveAverage="0" equalAverage="0" bottom="0" percent="0" rank="0" text="" dxfId="0">
      <formula>0</formula>
    </cfRule>
  </conditionalFormatting>
  <conditionalFormatting sqref="F15">
    <cfRule type="cellIs" priority="11" operator="notEqual" aboveAverage="0" equalAverage="0" bottom="0" percent="0" rank="0" text="" dxfId="0">
      <formula>0</formula>
    </cfRule>
  </conditionalFormatting>
  <conditionalFormatting sqref="F16">
    <cfRule type="cellIs" priority="12" operator="notEqual" aboveAverage="0" equalAverage="0" bottom="0" percent="0" rank="0" text="" dxfId="0">
      <formula>0</formula>
    </cfRule>
  </conditionalFormatting>
  <conditionalFormatting sqref="F17">
    <cfRule type="cellIs" priority="13" operator="notEqual" aboveAverage="0" equalAverage="0" bottom="0" percent="0" rank="0" text="" dxfId="0">
      <formula>0</formula>
    </cfRule>
  </conditionalFormatting>
  <conditionalFormatting sqref="F18">
    <cfRule type="cellIs" priority="14" operator="notEqual" aboveAverage="0" equalAverage="0" bottom="0" percent="0" rank="0" text="" dxfId="0">
      <formula>0</formula>
    </cfRule>
  </conditionalFormatting>
  <conditionalFormatting sqref="F19">
    <cfRule type="cellIs" priority="15" operator="notEqual" aboveAverage="0" equalAverage="0" bottom="0" percent="0" rank="0" text="" dxfId="0">
      <formula>0</formula>
    </cfRule>
  </conditionalFormatting>
  <conditionalFormatting sqref="F20">
    <cfRule type="cellIs" priority="16" operator="notEqual" aboveAverage="0" equalAverage="0" bottom="0" percent="0" rank="0" text="" dxfId="0">
      <formula>0</formula>
    </cfRule>
  </conditionalFormatting>
  <conditionalFormatting sqref="F21">
    <cfRule type="cellIs" priority="17" operator="notEqual" aboveAverage="0" equalAverage="0" bottom="0" percent="0" rank="0" text="" dxfId="0">
      <formula>0</formula>
    </cfRule>
  </conditionalFormatting>
  <conditionalFormatting sqref="F22">
    <cfRule type="cellIs" priority="18" operator="notEqual" aboveAverage="0" equalAverage="0" bottom="0" percent="0" rank="0" text="" dxfId="0">
      <formula>0</formula>
    </cfRule>
  </conditionalFormatting>
  <conditionalFormatting sqref="F23">
    <cfRule type="cellIs" priority="19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751</v>
      </c>
    </row>
    <row r="5" customFormat="false" ht="15" hidden="false" customHeight="false" outlineLevel="0" collapsed="false">
      <c r="D5" s="3" t="s">
        <v>752</v>
      </c>
    </row>
    <row r="6" customFormat="false" ht="15" hidden="false" customHeight="false" outlineLevel="0" collapsed="false">
      <c r="D6" s="0" t="s">
        <v>753</v>
      </c>
      <c r="E6" s="0" t="s">
        <v>39</v>
      </c>
      <c r="F6" s="32" t="n">
        <f aca="false">Inputs!$F$6</f>
        <v>9</v>
      </c>
    </row>
    <row r="7" customFormat="false" ht="15" hidden="false" customHeight="false" outlineLevel="0" collapsed="false">
      <c r="D7" s="0" t="s">
        <v>452</v>
      </c>
      <c r="E7" s="0" t="s">
        <v>44</v>
      </c>
      <c r="F7" s="29" t="n">
        <f aca="false">Funding!$F$24</f>
        <v>2013.38010914004</v>
      </c>
    </row>
    <row r="8" customFormat="false" ht="15" hidden="false" customHeight="false" outlineLevel="0" collapsed="false">
      <c r="D8" s="0" t="s">
        <v>754</v>
      </c>
      <c r="E8" s="0" t="s">
        <v>44</v>
      </c>
      <c r="F8" s="29" t="n">
        <f aca="false">Funding!$F$25</f>
        <v>1725.98010914004</v>
      </c>
    </row>
    <row r="9" customFormat="false" ht="15" hidden="false" customHeight="false" outlineLevel="0" collapsed="false">
      <c r="D9" s="0" t="s">
        <v>301</v>
      </c>
      <c r="E9" s="0" t="s">
        <v>44</v>
      </c>
      <c r="F9" s="29" t="n">
        <f aca="false">Debt!$F$26</f>
        <v>882.130169013</v>
      </c>
    </row>
    <row r="10" customFormat="false" ht="15" hidden="false" customHeight="false" outlineLevel="0" collapsed="false">
      <c r="D10" s="0" t="s">
        <v>508</v>
      </c>
      <c r="E10" s="0" t="s">
        <v>44</v>
      </c>
      <c r="F10" s="29" t="n">
        <f aca="false">Funding!$F$6</f>
        <v>396.95857605585</v>
      </c>
    </row>
    <row r="11" customFormat="false" ht="15" hidden="false" customHeight="false" outlineLevel="0" collapsed="false">
      <c r="D11" s="0" t="s">
        <v>515</v>
      </c>
      <c r="E11" s="0" t="s">
        <v>44</v>
      </c>
      <c r="F11" s="29" t="n">
        <f aca="false">Funding!$F$7</f>
        <v>485.17159295715</v>
      </c>
    </row>
    <row r="12" customFormat="false" ht="15" hidden="false" customHeight="false" outlineLevel="0" collapsed="false">
      <c r="D12" s="0" t="s">
        <v>151</v>
      </c>
      <c r="E12" s="0" t="s">
        <v>44</v>
      </c>
      <c r="F12" s="29" t="n">
        <f aca="false">Debt!$F$28</f>
        <v>464.134316116232</v>
      </c>
    </row>
    <row r="13" customFormat="false" ht="15" hidden="false" customHeight="false" outlineLevel="0" collapsed="false">
      <c r="D13" s="0" t="s">
        <v>302</v>
      </c>
      <c r="E13" s="0" t="s">
        <v>44</v>
      </c>
      <c r="F13" s="29" t="n">
        <f aca="false">Debt!$F$29</f>
        <v>379.715624010809</v>
      </c>
    </row>
    <row r="14" customFormat="false" ht="15" hidden="false" customHeight="false" outlineLevel="0" collapsed="false">
      <c r="D14" s="0" t="s">
        <v>755</v>
      </c>
      <c r="E14" s="0" t="s">
        <v>39</v>
      </c>
      <c r="F14" s="32" t="n">
        <f aca="false">Debt!$F$23</f>
        <v>5</v>
      </c>
    </row>
    <row r="15" customFormat="false" ht="15" hidden="false" customHeight="false" outlineLevel="0" collapsed="false">
      <c r="D15" s="0" t="s">
        <v>756</v>
      </c>
      <c r="E15" s="0" t="s">
        <v>126</v>
      </c>
      <c r="F15" s="33" t="n">
        <f aca="false">Debt!$F$37</f>
        <v>1.5</v>
      </c>
    </row>
    <row r="16" customFormat="false" ht="15" hidden="false" customHeight="false" outlineLevel="0" collapsed="false">
      <c r="D16" s="0" t="s">
        <v>757</v>
      </c>
      <c r="E16" s="0" t="s">
        <v>44</v>
      </c>
      <c r="F16" s="19" t="n">
        <f aca="false">SUM(Funding!$J$11:$DB$11)+SUM(Funding!$J$13:$DB$13)-SUM(Funding!$J$15:$DB$15)+SUM(Funding!$J$19:$DB$19)</f>
        <v>113.037373736295</v>
      </c>
    </row>
    <row r="17" customFormat="false" ht="15" hidden="false" customHeight="false" outlineLevel="0" collapsed="false">
      <c r="D17" s="0" t="s">
        <v>758</v>
      </c>
      <c r="E17" s="0" t="s">
        <v>44</v>
      </c>
      <c r="F17" s="19" t="n">
        <f aca="false">SUM(Funding!$J$10:$DB$10)+SUM(Funding!$J$12:$DB$12)</f>
        <v>24.8291668105991</v>
      </c>
    </row>
    <row r="18" customFormat="false" ht="15" hidden="false" customHeight="false" outlineLevel="0" collapsed="false">
      <c r="D18" s="0" t="s">
        <v>450</v>
      </c>
      <c r="E18" s="0" t="s">
        <v>44</v>
      </c>
      <c r="F18" s="19" t="n">
        <f aca="false">SUM(Funding!$J$21:$DB$21)</f>
        <v>13.887642147287</v>
      </c>
    </row>
    <row r="19" customFormat="false" ht="15" hidden="false" customHeight="false" outlineLevel="0" collapsed="false">
      <c r="D19" s="0" t="s">
        <v>583</v>
      </c>
      <c r="E19" s="0" t="s">
        <v>44</v>
      </c>
      <c r="F19" s="19" t="n">
        <f aca="false">SUM(Funding!$J$22:$DB$22)</f>
        <v>20.2259264458606</v>
      </c>
    </row>
    <row r="20" customFormat="false" ht="15" hidden="false" customHeight="false" outlineLevel="0" collapsed="false">
      <c r="D20" s="0" t="s">
        <v>759</v>
      </c>
      <c r="E20" s="0" t="s">
        <v>126</v>
      </c>
      <c r="F20" s="33" t="n">
        <f aca="false">Ratios!$F$7</f>
        <v>1.74858601407761</v>
      </c>
    </row>
    <row r="21" customFormat="false" ht="15" hidden="false" customHeight="false" outlineLevel="0" collapsed="false">
      <c r="D21" s="0" t="s">
        <v>760</v>
      </c>
      <c r="E21" s="0" t="s">
        <v>126</v>
      </c>
      <c r="F21" s="33" t="n">
        <f aca="false">Ratios!$F$8</f>
        <v>2.64650489386417</v>
      </c>
    </row>
    <row r="22" customFormat="false" ht="15" hidden="false" customHeight="false" outlineLevel="0" collapsed="false">
      <c r="D22" s="0" t="s">
        <v>672</v>
      </c>
      <c r="E22" s="0" t="s">
        <v>126</v>
      </c>
      <c r="F22" s="33" t="n">
        <f aca="false">Ratios!$F$12</f>
        <v>1.62465833073491</v>
      </c>
    </row>
    <row r="23" customFormat="false" ht="15" hidden="false" customHeight="false" outlineLevel="0" collapsed="false">
      <c r="D23" s="0" t="s">
        <v>761</v>
      </c>
      <c r="E23" s="0" t="s">
        <v>126</v>
      </c>
      <c r="F23" s="33" t="n">
        <f aca="false">Ratios!$F$15</f>
        <v>2.61624392013932</v>
      </c>
    </row>
    <row r="24" customFormat="false" ht="15" hidden="false" customHeight="false" outlineLevel="0" collapsed="false">
      <c r="D24" s="0" t="s">
        <v>762</v>
      </c>
      <c r="E24" s="0" t="s">
        <v>126</v>
      </c>
      <c r="F24" s="33" t="n">
        <f aca="false">Ratios!$F$17</f>
        <v>2.91147930686522</v>
      </c>
    </row>
    <row r="25" customFormat="false" ht="15" hidden="false" customHeight="false" outlineLevel="0" collapsed="false">
      <c r="D25" s="0" t="s">
        <v>763</v>
      </c>
      <c r="E25" s="0" t="s">
        <v>105</v>
      </c>
      <c r="F25" s="34" t="n">
        <f aca="false">Returns!$F$7</f>
        <v>0.114805967335496</v>
      </c>
    </row>
    <row r="26" customFormat="false" ht="15" hidden="false" customHeight="false" outlineLevel="0" collapsed="false">
      <c r="D26" s="0" t="s">
        <v>764</v>
      </c>
      <c r="E26" s="0" t="s">
        <v>44</v>
      </c>
      <c r="F26" s="29" t="n">
        <f aca="false">Returns!$F$8</f>
        <v>4.08491644394183</v>
      </c>
    </row>
    <row r="27" customFormat="false" ht="15" hidden="false" customHeight="false" outlineLevel="0" collapsed="false">
      <c r="D27" s="0" t="s">
        <v>765</v>
      </c>
      <c r="E27" s="0" t="s">
        <v>105</v>
      </c>
      <c r="F27" s="34" t="n">
        <f aca="false">Returns!$F$12</f>
        <v>0.073915749878304</v>
      </c>
    </row>
    <row r="28" customFormat="false" ht="15" hidden="false" customHeight="false" outlineLevel="0" collapsed="false">
      <c r="D28" s="0" t="s">
        <v>729</v>
      </c>
      <c r="E28" s="0" t="s">
        <v>44</v>
      </c>
      <c r="F28" s="29" t="n">
        <f aca="false">Returns!$F$47</f>
        <v>119.838459980556</v>
      </c>
    </row>
    <row r="29" customFormat="false" ht="15" hidden="false" customHeight="false" outlineLevel="0" collapsed="false">
      <c r="D29" s="0" t="s">
        <v>766</v>
      </c>
      <c r="E29" s="0" t="s">
        <v>44</v>
      </c>
      <c r="F29" s="29" t="n">
        <f aca="false">Checks!$F$23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2026-10-03T20:44:43Z</dcterms:created>
  <dc:creator>openpyxl</dc:creator>
  <dc:description/>
  <dc:language>en-US</dc:language>
  <cp:lastModifiedBy/>
  <dcterms:modified xsi:type="dcterms:W3CDTF">2026-10-03T20:45:19Z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