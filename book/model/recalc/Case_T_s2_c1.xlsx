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<sst xmlns="http://schemas.openxmlformats.org/spreadsheetml/2006/main" count="1500" uniqueCount="767">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</sst>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2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2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1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2.9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0.72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0.84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0.93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0.98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2.9</v>
      </c>
      <c r="K6" s="18" t="n">
        <f aca="false">IF(Time!K11&lt;=Inputs!$F$55,Inputs!$F$243,IF(Time!K11&lt;=Inputs!$F$56,Inputs!$F$244,Inputs!$F$245))</f>
        <v>2.9</v>
      </c>
      <c r="L6" s="18" t="n">
        <f aca="false">IF(Time!L11&lt;=Inputs!$F$55,Inputs!$F$243,IF(Time!L11&lt;=Inputs!$F$56,Inputs!$F$244,Inputs!$F$245))</f>
        <v>2.9</v>
      </c>
      <c r="M6" s="18" t="n">
        <f aca="false">IF(Time!M11&lt;=Inputs!$F$55,Inputs!$F$243,IF(Time!M11&lt;=Inputs!$F$56,Inputs!$F$244,Inputs!$F$245))</f>
        <v>2.9</v>
      </c>
      <c r="N6" s="18" t="n">
        <f aca="false">IF(Time!N11&lt;=Inputs!$F$55,Inputs!$F$243,IF(Time!N11&lt;=Inputs!$F$56,Inputs!$F$244,Inputs!$F$245))</f>
        <v>2.9</v>
      </c>
      <c r="O6" s="18" t="n">
        <f aca="false">IF(Time!O11&lt;=Inputs!$F$55,Inputs!$F$243,IF(Time!O11&lt;=Inputs!$F$56,Inputs!$F$244,Inputs!$F$245))</f>
        <v>2.9</v>
      </c>
      <c r="P6" s="18" t="n">
        <f aca="false">IF(Time!P11&lt;=Inputs!$F$55,Inputs!$F$243,IF(Time!P11&lt;=Inputs!$F$56,Inputs!$F$244,Inputs!$F$245))</f>
        <v>2.9</v>
      </c>
      <c r="Q6" s="18" t="n">
        <f aca="false">IF(Time!Q11&lt;=Inputs!$F$55,Inputs!$F$243,IF(Time!Q11&lt;=Inputs!$F$56,Inputs!$F$244,Inputs!$F$245))</f>
        <v>2.9</v>
      </c>
      <c r="R6" s="18" t="n">
        <f aca="false">IF(Time!R11&lt;=Inputs!$F$55,Inputs!$F$243,IF(Time!R11&lt;=Inputs!$F$56,Inputs!$F$244,Inputs!$F$245))</f>
        <v>2.9</v>
      </c>
      <c r="S6" s="18" t="n">
        <f aca="false">IF(Time!S11&lt;=Inputs!$F$55,Inputs!$F$243,IF(Time!S11&lt;=Inputs!$F$56,Inputs!$F$244,Inputs!$F$245))</f>
        <v>2.9</v>
      </c>
      <c r="T6" s="18" t="n">
        <f aca="false">IF(Time!T11&lt;=Inputs!$F$55,Inputs!$F$243,IF(Time!T11&lt;=Inputs!$F$56,Inputs!$F$244,Inputs!$F$245))</f>
        <v>2.9</v>
      </c>
      <c r="U6" s="18" t="n">
        <f aca="false">IF(Time!U11&lt;=Inputs!$F$55,Inputs!$F$243,IF(Time!U11&lt;=Inputs!$F$56,Inputs!$F$244,Inputs!$F$245))</f>
        <v>2.9</v>
      </c>
      <c r="V6" s="18" t="n">
        <f aca="false">IF(Time!V11&lt;=Inputs!$F$55,Inputs!$F$243,IF(Time!V11&lt;=Inputs!$F$56,Inputs!$F$244,Inputs!$F$245))</f>
        <v>2.9</v>
      </c>
      <c r="W6" s="18" t="n">
        <f aca="false">IF(Time!W11&lt;=Inputs!$F$55,Inputs!$F$243,IF(Time!W11&lt;=Inputs!$F$56,Inputs!$F$244,Inputs!$F$245))</f>
        <v>2.9</v>
      </c>
      <c r="X6" s="18" t="n">
        <f aca="false">IF(Time!X11&lt;=Inputs!$F$55,Inputs!$F$243,IF(Time!X11&lt;=Inputs!$F$56,Inputs!$F$244,Inputs!$F$245))</f>
        <v>2.9</v>
      </c>
      <c r="Y6" s="18" t="n">
        <f aca="false">IF(Time!Y11&lt;=Inputs!$F$55,Inputs!$F$243,IF(Time!Y11&lt;=Inputs!$F$56,Inputs!$F$244,Inputs!$F$245))</f>
        <v>2.9</v>
      </c>
      <c r="Z6" s="18" t="n">
        <f aca="false">IF(Time!Z11&lt;=Inputs!$F$55,Inputs!$F$243,IF(Time!Z11&lt;=Inputs!$F$56,Inputs!$F$244,Inputs!$F$245))</f>
        <v>2.9</v>
      </c>
      <c r="AA6" s="18" t="n">
        <f aca="false">IF(Time!AA11&lt;=Inputs!$F$55,Inputs!$F$243,IF(Time!AA11&lt;=Inputs!$F$56,Inputs!$F$244,Inputs!$F$245))</f>
        <v>2.9</v>
      </c>
      <c r="AB6" s="18" t="n">
        <f aca="false">IF(Time!AB11&lt;=Inputs!$F$55,Inputs!$F$243,IF(Time!AB11&lt;=Inputs!$F$56,Inputs!$F$244,Inputs!$F$245))</f>
        <v>2.9</v>
      </c>
      <c r="AC6" s="18" t="n">
        <f aca="false">IF(Time!AC11&lt;=Inputs!$F$55,Inputs!$F$243,IF(Time!AC11&lt;=Inputs!$F$56,Inputs!$F$244,Inputs!$F$245))</f>
        <v>2.9</v>
      </c>
      <c r="AD6" s="18" t="n">
        <f aca="false">IF(Time!AD11&lt;=Inputs!$F$55,Inputs!$F$243,IF(Time!AD11&lt;=Inputs!$F$56,Inputs!$F$244,Inputs!$F$245))</f>
        <v>2.9</v>
      </c>
      <c r="AE6" s="18" t="n">
        <f aca="false">IF(Time!AE11&lt;=Inputs!$F$55,Inputs!$F$243,IF(Time!AE11&lt;=Inputs!$F$56,Inputs!$F$244,Inputs!$F$245))</f>
        <v>2.9</v>
      </c>
      <c r="AF6" s="18" t="n">
        <f aca="false">IF(Time!AF11&lt;=Inputs!$F$55,Inputs!$F$243,IF(Time!AF11&lt;=Inputs!$F$56,Inputs!$F$244,Inputs!$F$245))</f>
        <v>2.9</v>
      </c>
      <c r="AG6" s="18" t="n">
        <f aca="false">IF(Time!AG11&lt;=Inputs!$F$55,Inputs!$F$243,IF(Time!AG11&lt;=Inputs!$F$56,Inputs!$F$244,Inputs!$F$245))</f>
        <v>2.9</v>
      </c>
      <c r="AH6" s="18" t="n">
        <f aca="false">IF(Time!AH11&lt;=Inputs!$F$55,Inputs!$F$243,IF(Time!AH11&lt;=Inputs!$F$56,Inputs!$F$244,Inputs!$F$245))</f>
        <v>2.9</v>
      </c>
      <c r="AI6" s="18" t="n">
        <f aca="false">IF(Time!AI11&lt;=Inputs!$F$55,Inputs!$F$243,IF(Time!AI11&lt;=Inputs!$F$56,Inputs!$F$244,Inputs!$F$245))</f>
        <v>2.9</v>
      </c>
      <c r="AJ6" s="18" t="n">
        <f aca="false">IF(Time!AJ11&lt;=Inputs!$F$55,Inputs!$F$243,IF(Time!AJ11&lt;=Inputs!$F$56,Inputs!$F$244,Inputs!$F$245))</f>
        <v>2.9</v>
      </c>
      <c r="AK6" s="18" t="n">
        <f aca="false">IF(Time!AK11&lt;=Inputs!$F$55,Inputs!$F$243,IF(Time!AK11&lt;=Inputs!$F$56,Inputs!$F$244,Inputs!$F$245))</f>
        <v>2.9</v>
      </c>
      <c r="AL6" s="18" t="n">
        <f aca="false">IF(Time!AL11&lt;=Inputs!$F$55,Inputs!$F$243,IF(Time!AL11&lt;=Inputs!$F$56,Inputs!$F$244,Inputs!$F$245))</f>
        <v>2.9</v>
      </c>
      <c r="AM6" s="18" t="n">
        <f aca="false">IF(Time!AM11&lt;=Inputs!$F$55,Inputs!$F$243,IF(Time!AM11&lt;=Inputs!$F$56,Inputs!$F$244,Inputs!$F$245))</f>
        <v>2.9</v>
      </c>
      <c r="AN6" s="18" t="n">
        <f aca="false">IF(Time!AN11&lt;=Inputs!$F$55,Inputs!$F$243,IF(Time!AN11&lt;=Inputs!$F$56,Inputs!$F$244,Inputs!$F$245))</f>
        <v>2.9</v>
      </c>
      <c r="AO6" s="18" t="n">
        <f aca="false">IF(Time!AO11&lt;=Inputs!$F$55,Inputs!$F$243,IF(Time!AO11&lt;=Inputs!$F$56,Inputs!$F$244,Inputs!$F$245))</f>
        <v>2.9</v>
      </c>
      <c r="AP6" s="18" t="n">
        <f aca="false">IF(Time!AP11&lt;=Inputs!$F$55,Inputs!$F$243,IF(Time!AP11&lt;=Inputs!$F$56,Inputs!$F$244,Inputs!$F$245))</f>
        <v>2.9</v>
      </c>
      <c r="AQ6" s="18" t="n">
        <f aca="false">IF(Time!AQ11&lt;=Inputs!$F$55,Inputs!$F$243,IF(Time!AQ11&lt;=Inputs!$F$56,Inputs!$F$244,Inputs!$F$245))</f>
        <v>2.9</v>
      </c>
      <c r="AR6" s="18" t="n">
        <f aca="false">IF(Time!AR11&lt;=Inputs!$F$55,Inputs!$F$243,IF(Time!AR11&lt;=Inputs!$F$56,Inputs!$F$244,Inputs!$F$245))</f>
        <v>2.9</v>
      </c>
      <c r="AS6" s="18" t="n">
        <f aca="false">IF(Time!AS11&lt;=Inputs!$F$55,Inputs!$F$243,IF(Time!AS11&lt;=Inputs!$F$56,Inputs!$F$244,Inputs!$F$245))</f>
        <v>2.9</v>
      </c>
      <c r="AT6" s="18" t="n">
        <f aca="false">IF(Time!AT11&lt;=Inputs!$F$55,Inputs!$F$243,IF(Time!AT11&lt;=Inputs!$F$56,Inputs!$F$244,Inputs!$F$245))</f>
        <v>2.9</v>
      </c>
      <c r="AU6" s="18" t="n">
        <f aca="false">IF(Time!AU11&lt;=Inputs!$F$55,Inputs!$F$243,IF(Time!AU11&lt;=Inputs!$F$56,Inputs!$F$244,Inputs!$F$245))</f>
        <v>2.9</v>
      </c>
      <c r="AV6" s="18" t="n">
        <f aca="false">IF(Time!AV11&lt;=Inputs!$F$55,Inputs!$F$243,IF(Time!AV11&lt;=Inputs!$F$56,Inputs!$F$244,Inputs!$F$245))</f>
        <v>2.9</v>
      </c>
      <c r="AW6" s="18" t="n">
        <f aca="false">IF(Time!AW11&lt;=Inputs!$F$55,Inputs!$F$243,IF(Time!AW11&lt;=Inputs!$F$56,Inputs!$F$244,Inputs!$F$245))</f>
        <v>2.9</v>
      </c>
      <c r="AX6" s="18" t="n">
        <f aca="false">IF(Time!AX11&lt;=Inputs!$F$55,Inputs!$F$243,IF(Time!AX11&lt;=Inputs!$F$56,Inputs!$F$244,Inputs!$F$245))</f>
        <v>2</v>
      </c>
      <c r="AY6" s="18" t="n">
        <f aca="false">IF(Time!AY11&lt;=Inputs!$F$55,Inputs!$F$243,IF(Time!AY11&lt;=Inputs!$F$56,Inputs!$F$244,Inputs!$F$245))</f>
        <v>2</v>
      </c>
      <c r="AZ6" s="18" t="n">
        <f aca="false">IF(Time!AZ11&lt;=Inputs!$F$55,Inputs!$F$243,IF(Time!AZ11&lt;=Inputs!$F$56,Inputs!$F$244,Inputs!$F$245))</f>
        <v>2</v>
      </c>
      <c r="BA6" s="18" t="n">
        <f aca="false">IF(Time!BA11&lt;=Inputs!$F$55,Inputs!$F$243,IF(Time!BA11&lt;=Inputs!$F$56,Inputs!$F$244,Inputs!$F$245))</f>
        <v>2</v>
      </c>
      <c r="BB6" s="18" t="n">
        <f aca="false">IF(Time!BB11&lt;=Inputs!$F$55,Inputs!$F$243,IF(Time!BB11&lt;=Inputs!$F$56,Inputs!$F$244,Inputs!$F$245))</f>
        <v>2</v>
      </c>
      <c r="BC6" s="18" t="n">
        <f aca="false">IF(Time!BC11&lt;=Inputs!$F$55,Inputs!$F$243,IF(Time!BC11&lt;=Inputs!$F$56,Inputs!$F$244,Inputs!$F$245))</f>
        <v>2</v>
      </c>
      <c r="BD6" s="18" t="n">
        <f aca="false">IF(Time!BD11&lt;=Inputs!$F$55,Inputs!$F$243,IF(Time!BD11&lt;=Inputs!$F$56,Inputs!$F$244,Inputs!$F$245))</f>
        <v>2</v>
      </c>
      <c r="BE6" s="18" t="n">
        <f aca="false">IF(Time!BE11&lt;=Inputs!$F$55,Inputs!$F$243,IF(Time!BE11&lt;=Inputs!$F$56,Inputs!$F$244,Inputs!$F$245))</f>
        <v>2</v>
      </c>
      <c r="BF6" s="18" t="n">
        <f aca="false">IF(Time!BF11&lt;=Inputs!$F$55,Inputs!$F$243,IF(Time!BF11&lt;=Inputs!$F$56,Inputs!$F$244,Inputs!$F$245))</f>
        <v>2</v>
      </c>
      <c r="BG6" s="18" t="n">
        <f aca="false">IF(Time!BG11&lt;=Inputs!$F$55,Inputs!$F$243,IF(Time!BG11&lt;=Inputs!$F$56,Inputs!$F$244,Inputs!$F$245))</f>
        <v>2</v>
      </c>
      <c r="BH6" s="18" t="n">
        <f aca="false">IF(Time!BH11&lt;=Inputs!$F$55,Inputs!$F$243,IF(Time!BH11&lt;=Inputs!$F$56,Inputs!$F$244,Inputs!$F$245))</f>
        <v>2</v>
      </c>
      <c r="BI6" s="18" t="n">
        <f aca="false">IF(Time!BI11&lt;=Inputs!$F$55,Inputs!$F$243,IF(Time!BI11&lt;=Inputs!$F$56,Inputs!$F$244,Inputs!$F$245))</f>
        <v>2</v>
      </c>
      <c r="BJ6" s="18" t="n">
        <f aca="false">IF(Time!BJ11&lt;=Inputs!$F$55,Inputs!$F$243,IF(Time!BJ11&lt;=Inputs!$F$56,Inputs!$F$244,Inputs!$F$245))</f>
        <v>2</v>
      </c>
      <c r="BK6" s="18" t="n">
        <f aca="false">IF(Time!BK11&lt;=Inputs!$F$55,Inputs!$F$243,IF(Time!BK11&lt;=Inputs!$F$56,Inputs!$F$244,Inputs!$F$245))</f>
        <v>2</v>
      </c>
      <c r="BL6" s="18" t="n">
        <f aca="false">IF(Time!BL11&lt;=Inputs!$F$55,Inputs!$F$243,IF(Time!BL11&lt;=Inputs!$F$56,Inputs!$F$244,Inputs!$F$245))</f>
        <v>2</v>
      </c>
      <c r="BM6" s="18" t="n">
        <f aca="false">IF(Time!BM11&lt;=Inputs!$F$55,Inputs!$F$243,IF(Time!BM11&lt;=Inputs!$F$56,Inputs!$F$244,Inputs!$F$245))</f>
        <v>2</v>
      </c>
      <c r="BN6" s="18" t="n">
        <f aca="false">IF(Time!BN11&lt;=Inputs!$F$55,Inputs!$F$243,IF(Time!BN11&lt;=Inputs!$F$56,Inputs!$F$244,Inputs!$F$245))</f>
        <v>2</v>
      </c>
      <c r="BO6" s="18" t="n">
        <f aca="false">IF(Time!BO11&lt;=Inputs!$F$55,Inputs!$F$243,IF(Time!BO11&lt;=Inputs!$F$56,Inputs!$F$244,Inputs!$F$245))</f>
        <v>2</v>
      </c>
      <c r="BP6" s="18" t="n">
        <f aca="false">IF(Time!BP11&lt;=Inputs!$F$55,Inputs!$F$243,IF(Time!BP11&lt;=Inputs!$F$56,Inputs!$F$244,Inputs!$F$245))</f>
        <v>2</v>
      </c>
      <c r="BQ6" s="18" t="n">
        <f aca="false">IF(Time!BQ11&lt;=Inputs!$F$55,Inputs!$F$243,IF(Time!BQ11&lt;=Inputs!$F$56,Inputs!$F$244,Inputs!$F$245))</f>
        <v>2</v>
      </c>
      <c r="BR6" s="18" t="n">
        <f aca="false">IF(Time!BR11&lt;=Inputs!$F$55,Inputs!$F$243,IF(Time!BR11&lt;=Inputs!$F$56,Inputs!$F$244,Inputs!$F$245))</f>
        <v>1</v>
      </c>
      <c r="BS6" s="18" t="n">
        <f aca="false">IF(Time!BS11&lt;=Inputs!$F$55,Inputs!$F$243,IF(Time!BS11&lt;=Inputs!$F$56,Inputs!$F$244,Inputs!$F$245))</f>
        <v>1</v>
      </c>
      <c r="BT6" s="18" t="n">
        <f aca="false">IF(Time!BT11&lt;=Inputs!$F$55,Inputs!$F$243,IF(Time!BT11&lt;=Inputs!$F$56,Inputs!$F$244,Inputs!$F$245))</f>
        <v>1</v>
      </c>
      <c r="BU6" s="18" t="n">
        <f aca="false">IF(Time!BU11&lt;=Inputs!$F$55,Inputs!$F$243,IF(Time!BU11&lt;=Inputs!$F$56,Inputs!$F$244,Inputs!$F$245))</f>
        <v>1</v>
      </c>
      <c r="BV6" s="18" t="n">
        <f aca="false">IF(Time!BV11&lt;=Inputs!$F$55,Inputs!$F$243,IF(Time!BV11&lt;=Inputs!$F$56,Inputs!$F$244,Inputs!$F$245))</f>
        <v>1</v>
      </c>
      <c r="BW6" s="18" t="n">
        <f aca="false">IF(Time!BW11&lt;=Inputs!$F$55,Inputs!$F$243,IF(Time!BW11&lt;=Inputs!$F$56,Inputs!$F$244,Inputs!$F$245))</f>
        <v>1</v>
      </c>
      <c r="BX6" s="18" t="n">
        <f aca="false">IF(Time!BX11&lt;=Inputs!$F$55,Inputs!$F$243,IF(Time!BX11&lt;=Inputs!$F$56,Inputs!$F$244,Inputs!$F$245))</f>
        <v>1</v>
      </c>
      <c r="BY6" s="18" t="n">
        <f aca="false">IF(Time!BY11&lt;=Inputs!$F$55,Inputs!$F$243,IF(Time!BY11&lt;=Inputs!$F$56,Inputs!$F$244,Inputs!$F$245))</f>
        <v>1</v>
      </c>
      <c r="BZ6" s="18" t="n">
        <f aca="false">IF(Time!BZ11&lt;=Inputs!$F$55,Inputs!$F$243,IF(Time!BZ11&lt;=Inputs!$F$56,Inputs!$F$244,Inputs!$F$245))</f>
        <v>1</v>
      </c>
      <c r="CA6" s="18" t="n">
        <f aca="false">IF(Time!CA11&lt;=Inputs!$F$55,Inputs!$F$243,IF(Time!CA11&lt;=Inputs!$F$56,Inputs!$F$244,Inputs!$F$245))</f>
        <v>1</v>
      </c>
      <c r="CB6" s="18" t="n">
        <f aca="false">IF(Time!CB11&lt;=Inputs!$F$55,Inputs!$F$243,IF(Time!CB11&lt;=Inputs!$F$56,Inputs!$F$244,Inputs!$F$245))</f>
        <v>1</v>
      </c>
      <c r="CC6" s="18" t="n">
        <f aca="false">IF(Time!CC11&lt;=Inputs!$F$55,Inputs!$F$243,IF(Time!CC11&lt;=Inputs!$F$56,Inputs!$F$244,Inputs!$F$245))</f>
        <v>1</v>
      </c>
      <c r="CD6" s="18" t="n">
        <f aca="false">IF(Time!CD11&lt;=Inputs!$F$55,Inputs!$F$243,IF(Time!CD11&lt;=Inputs!$F$56,Inputs!$F$244,Inputs!$F$245))</f>
        <v>1</v>
      </c>
      <c r="CE6" s="18" t="n">
        <f aca="false">IF(Time!CE11&lt;=Inputs!$F$55,Inputs!$F$243,IF(Time!CE11&lt;=Inputs!$F$56,Inputs!$F$244,Inputs!$F$245))</f>
        <v>1</v>
      </c>
      <c r="CF6" s="18" t="n">
        <f aca="false">IF(Time!CF11&lt;=Inputs!$F$55,Inputs!$F$243,IF(Time!CF11&lt;=Inputs!$F$56,Inputs!$F$244,Inputs!$F$245))</f>
        <v>1</v>
      </c>
      <c r="CG6" s="18" t="n">
        <f aca="false">IF(Time!CG11&lt;=Inputs!$F$55,Inputs!$F$243,IF(Time!CG11&lt;=Inputs!$F$56,Inputs!$F$244,Inputs!$F$245))</f>
        <v>1</v>
      </c>
      <c r="CH6" s="18" t="n">
        <f aca="false">IF(Time!CH11&lt;=Inputs!$F$55,Inputs!$F$243,IF(Time!CH11&lt;=Inputs!$F$56,Inputs!$F$244,Inputs!$F$245))</f>
        <v>1</v>
      </c>
      <c r="CI6" s="18" t="n">
        <f aca="false">IF(Time!CI11&lt;=Inputs!$F$55,Inputs!$F$243,IF(Time!CI11&lt;=Inputs!$F$56,Inputs!$F$244,Inputs!$F$245))</f>
        <v>1</v>
      </c>
      <c r="CJ6" s="18" t="n">
        <f aca="false">IF(Time!CJ11&lt;=Inputs!$F$55,Inputs!$F$243,IF(Time!CJ11&lt;=Inputs!$F$56,Inputs!$F$244,Inputs!$F$245))</f>
        <v>1</v>
      </c>
      <c r="CK6" s="18" t="n">
        <f aca="false">IF(Time!CK11&lt;=Inputs!$F$55,Inputs!$F$243,IF(Time!CK11&lt;=Inputs!$F$56,Inputs!$F$244,Inputs!$F$245))</f>
        <v>1</v>
      </c>
      <c r="CL6" s="18" t="n">
        <f aca="false">IF(Time!CL11&lt;=Inputs!$F$55,Inputs!$F$243,IF(Time!CL11&lt;=Inputs!$F$56,Inputs!$F$244,Inputs!$F$245))</f>
        <v>1</v>
      </c>
      <c r="CM6" s="18" t="n">
        <f aca="false">IF(Time!CM11&lt;=Inputs!$F$55,Inputs!$F$243,IF(Time!CM11&lt;=Inputs!$F$56,Inputs!$F$244,Inputs!$F$245))</f>
        <v>1</v>
      </c>
      <c r="CN6" s="18" t="n">
        <f aca="false">IF(Time!CN11&lt;=Inputs!$F$55,Inputs!$F$243,IF(Time!CN11&lt;=Inputs!$F$56,Inputs!$F$244,Inputs!$F$245))</f>
        <v>1</v>
      </c>
      <c r="CO6" s="18" t="n">
        <f aca="false">IF(Time!CO11&lt;=Inputs!$F$55,Inputs!$F$243,IF(Time!CO11&lt;=Inputs!$F$56,Inputs!$F$244,Inputs!$F$245))</f>
        <v>1</v>
      </c>
      <c r="CP6" s="18" t="n">
        <f aca="false">IF(Time!CP11&lt;=Inputs!$F$55,Inputs!$F$243,IF(Time!CP11&lt;=Inputs!$F$56,Inputs!$F$244,Inputs!$F$245))</f>
        <v>1</v>
      </c>
      <c r="CQ6" s="18" t="n">
        <f aca="false">IF(Time!CQ11&lt;=Inputs!$F$55,Inputs!$F$243,IF(Time!CQ11&lt;=Inputs!$F$56,Inputs!$F$244,Inputs!$F$245))</f>
        <v>1</v>
      </c>
      <c r="CR6" s="18" t="n">
        <f aca="false">IF(Time!CR11&lt;=Inputs!$F$55,Inputs!$F$243,IF(Time!CR11&lt;=Inputs!$F$56,Inputs!$F$244,Inputs!$F$245))</f>
        <v>1</v>
      </c>
      <c r="CS6" s="18" t="n">
        <f aca="false">IF(Time!CS11&lt;=Inputs!$F$55,Inputs!$F$243,IF(Time!CS11&lt;=Inputs!$F$56,Inputs!$F$244,Inputs!$F$245))</f>
        <v>1</v>
      </c>
      <c r="CT6" s="18" t="n">
        <f aca="false">IF(Time!CT11&lt;=Inputs!$F$55,Inputs!$F$243,IF(Time!CT11&lt;=Inputs!$F$56,Inputs!$F$244,Inputs!$F$245))</f>
        <v>1</v>
      </c>
      <c r="CU6" s="18" t="n">
        <f aca="false">IF(Time!CU11&lt;=Inputs!$F$55,Inputs!$F$243,IF(Time!CU11&lt;=Inputs!$F$56,Inputs!$F$244,Inputs!$F$245))</f>
        <v>1</v>
      </c>
      <c r="CV6" s="18" t="n">
        <f aca="false">IF(Time!CV11&lt;=Inputs!$F$55,Inputs!$F$243,IF(Time!CV11&lt;=Inputs!$F$56,Inputs!$F$244,Inputs!$F$245))</f>
        <v>1</v>
      </c>
      <c r="CW6" s="18" t="n">
        <f aca="false">IF(Time!CW11&lt;=Inputs!$F$55,Inputs!$F$243,IF(Time!CW11&lt;=Inputs!$F$56,Inputs!$F$244,Inputs!$F$245))</f>
        <v>1</v>
      </c>
      <c r="CX6" s="18" t="n">
        <f aca="false">IF(Time!CX11&lt;=Inputs!$F$55,Inputs!$F$243,IF(Time!CX11&lt;=Inputs!$F$56,Inputs!$F$244,Inputs!$F$245))</f>
        <v>1</v>
      </c>
      <c r="CY6" s="18" t="n">
        <f aca="false">IF(Time!CY11&lt;=Inputs!$F$55,Inputs!$F$243,IF(Time!CY11&lt;=Inputs!$F$56,Inputs!$F$244,Inputs!$F$245))</f>
        <v>1</v>
      </c>
      <c r="CZ6" s="18" t="n">
        <f aca="false">IF(Time!CZ11&lt;=Inputs!$F$55,Inputs!$F$243,IF(Time!CZ11&lt;=Inputs!$F$56,Inputs!$F$244,Inputs!$F$245))</f>
        <v>1</v>
      </c>
      <c r="DA6" s="18" t="n">
        <f aca="false">IF(Time!DA11&lt;=Inputs!$F$55,Inputs!$F$243,IF(Time!DA11&lt;=Inputs!$F$56,Inputs!$F$244,Inputs!$F$245))</f>
        <v>1</v>
      </c>
      <c r="DB6" s="18" t="n">
        <f aca="false">IF(Time!DB11&lt;=Inputs!$F$55,Inputs!$F$243,IF(Time!DB11&lt;=Inputs!$F$56,Inputs!$F$244,Inputs!$F$245))</f>
        <v>1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46.9163529821465</v>
      </c>
      <c r="K7" s="16" t="n">
        <f aca="false">IF(Time!K11&lt;=Inputs!$F$242,Inputs!$F$241/(1+Inputs!$F$243/100)^(Inputs!$F$242-Time!K11),J7*IF(Time!K11&gt;Time!J11,1+K6/100,1))</f>
        <v>46.9163529821465</v>
      </c>
      <c r="L7" s="16" t="n">
        <f aca="false">IF(Time!L11&lt;=Inputs!$F$242,Inputs!$F$241/(1+Inputs!$F$243/100)^(Inputs!$F$242-Time!L11),K7*IF(Time!L11&gt;Time!K11,1+L6/100,1))</f>
        <v>46.9163529821465</v>
      </c>
      <c r="M7" s="16" t="n">
        <f aca="false">IF(Time!M11&lt;=Inputs!$F$242,Inputs!$F$241/(1+Inputs!$F$243/100)^(Inputs!$F$242-Time!M11),L7*IF(Time!M11&gt;Time!L11,1+M6/100,1))</f>
        <v>48.2769272186288</v>
      </c>
      <c r="N7" s="16" t="n">
        <f aca="false">IF(Time!N11&lt;=Inputs!$F$242,Inputs!$F$241/(1+Inputs!$F$243/100)^(Inputs!$F$242-Time!N11),M7*IF(Time!N11&gt;Time!M11,1+N6/100,1))</f>
        <v>48.2769272186288</v>
      </c>
      <c r="O7" s="16" t="n">
        <f aca="false">IF(Time!O11&lt;=Inputs!$F$242,Inputs!$F$241/(1+Inputs!$F$243/100)^(Inputs!$F$242-Time!O11),N7*IF(Time!O11&gt;Time!N11,1+O6/100,1))</f>
        <v>48.2769272186288</v>
      </c>
      <c r="P7" s="16" t="n">
        <f aca="false">IF(Time!P11&lt;=Inputs!$F$242,Inputs!$F$241/(1+Inputs!$F$243/100)^(Inputs!$F$242-Time!P11),O7*IF(Time!P11&gt;Time!O11,1+P6/100,1))</f>
        <v>48.2769272186288</v>
      </c>
      <c r="Q7" s="16" t="n">
        <f aca="false">IF(Time!Q11&lt;=Inputs!$F$242,Inputs!$F$241/(1+Inputs!$F$243/100)^(Inputs!$F$242-Time!Q11),P7*IF(Time!Q11&gt;Time!P11,1+Q6/100,1))</f>
        <v>49.676958107969</v>
      </c>
      <c r="R7" s="16" t="n">
        <f aca="false">IF(Time!R11&lt;=Inputs!$F$242,Inputs!$F$241/(1+Inputs!$F$243/100)^(Inputs!$F$242-Time!R11),Q7*IF(Time!R11&gt;Time!Q11,1+R6/100,1))</f>
        <v>49.676958107969</v>
      </c>
      <c r="S7" s="16" t="n">
        <f aca="false">IF(Time!S11&lt;=Inputs!$F$242,Inputs!$F$241/(1+Inputs!$F$243/100)^(Inputs!$F$242-Time!S11),R7*IF(Time!S11&gt;Time!R11,1+S6/100,1))</f>
        <v>49.676958107969</v>
      </c>
      <c r="T7" s="16" t="n">
        <f aca="false">IF(Time!T11&lt;=Inputs!$F$242,Inputs!$F$241/(1+Inputs!$F$243/100)^(Inputs!$F$242-Time!T11),S7*IF(Time!T11&gt;Time!S11,1+T6/100,1))</f>
        <v>49.676958107969</v>
      </c>
      <c r="U7" s="16" t="n">
        <f aca="false">IF(Time!U11&lt;=Inputs!$F$242,Inputs!$F$241/(1+Inputs!$F$243/100)^(Inputs!$F$242-Time!U11),T7*IF(Time!U11&gt;Time!T11,1+U6/100,1))</f>
        <v>51.1175898931001</v>
      </c>
      <c r="V7" s="16" t="n">
        <f aca="false">IF(Time!V11&lt;=Inputs!$F$242,Inputs!$F$241/(1+Inputs!$F$243/100)^(Inputs!$F$242-Time!V11),U7*IF(Time!V11&gt;Time!U11,1+V6/100,1))</f>
        <v>51.1175898931001</v>
      </c>
      <c r="W7" s="16" t="n">
        <f aca="false">IF(Time!W11&lt;=Inputs!$F$242,Inputs!$F$241/(1+Inputs!$F$243/100)^(Inputs!$F$242-Time!W11),V7*IF(Time!W11&gt;Time!V11,1+W6/100,1))</f>
        <v>51.1175898931001</v>
      </c>
      <c r="X7" s="16" t="n">
        <f aca="false">IF(Time!X11&lt;=Inputs!$F$242,Inputs!$F$241/(1+Inputs!$F$243/100)^(Inputs!$F$242-Time!X11),W7*IF(Time!X11&gt;Time!W11,1+X6/100,1))</f>
        <v>51.1175898931001</v>
      </c>
      <c r="Y7" s="16" t="n">
        <f aca="false">IF(Time!Y11&lt;=Inputs!$F$242,Inputs!$F$241/(1+Inputs!$F$243/100)^(Inputs!$F$242-Time!Y11),X7*IF(Time!Y11&gt;Time!X11,1+Y6/100,1))</f>
        <v>52.6</v>
      </c>
      <c r="Z7" s="16" t="n">
        <f aca="false">IF(Time!Z11&lt;=Inputs!$F$242,Inputs!$F$241/(1+Inputs!$F$243/100)^(Inputs!$F$242-Time!Z11),Y7*IF(Time!Z11&gt;Time!Y11,1+Z6/100,1))</f>
        <v>52.6</v>
      </c>
      <c r="AA7" s="16" t="n">
        <f aca="false">IF(Time!AA11&lt;=Inputs!$F$242,Inputs!$F$241/(1+Inputs!$F$243/100)^(Inputs!$F$242-Time!AA11),Z7*IF(Time!AA11&gt;Time!Z11,1+AA6/100,1))</f>
        <v>52.6</v>
      </c>
      <c r="AB7" s="16" t="n">
        <f aca="false">IF(Time!AB11&lt;=Inputs!$F$242,Inputs!$F$241/(1+Inputs!$F$243/100)^(Inputs!$F$242-Time!AB11),AA7*IF(Time!AB11&gt;Time!AA11,1+AB6/100,1))</f>
        <v>54.1254</v>
      </c>
      <c r="AC7" s="16" t="n">
        <f aca="false">IF(Time!AC11&lt;=Inputs!$F$242,Inputs!$F$241/(1+Inputs!$F$243/100)^(Inputs!$F$242-Time!AC11),AB7*IF(Time!AC11&gt;Time!AB11,1+AC6/100,1))</f>
        <v>54.1254</v>
      </c>
      <c r="AD7" s="16" t="n">
        <f aca="false">IF(Time!AD11&lt;=Inputs!$F$242,Inputs!$F$241/(1+Inputs!$F$243/100)^(Inputs!$F$242-Time!AD11),AC7*IF(Time!AD11&gt;Time!AC11,1+AD6/100,1))</f>
        <v>55.6950366</v>
      </c>
      <c r="AE7" s="16" t="n">
        <f aca="false">IF(Time!AE11&lt;=Inputs!$F$242,Inputs!$F$241/(1+Inputs!$F$243/100)^(Inputs!$F$242-Time!AE11),AD7*IF(Time!AE11&gt;Time!AD11,1+AE6/100,1))</f>
        <v>55.6950366</v>
      </c>
      <c r="AF7" s="16" t="n">
        <f aca="false">IF(Time!AF11&lt;=Inputs!$F$242,Inputs!$F$241/(1+Inputs!$F$243/100)^(Inputs!$F$242-Time!AF11),AE7*IF(Time!AF11&gt;Time!AE11,1+AF6/100,1))</f>
        <v>57.3101926614</v>
      </c>
      <c r="AG7" s="16" t="n">
        <f aca="false">IF(Time!AG11&lt;=Inputs!$F$242,Inputs!$F$241/(1+Inputs!$F$243/100)^(Inputs!$F$242-Time!AG11),AF7*IF(Time!AG11&gt;Time!AF11,1+AG6/100,1))</f>
        <v>57.3101926614</v>
      </c>
      <c r="AH7" s="16" t="n">
        <f aca="false">IF(Time!AH11&lt;=Inputs!$F$242,Inputs!$F$241/(1+Inputs!$F$243/100)^(Inputs!$F$242-Time!AH11),AG7*IF(Time!AH11&gt;Time!AG11,1+AH6/100,1))</f>
        <v>58.9721882485806</v>
      </c>
      <c r="AI7" s="16" t="n">
        <f aca="false">IF(Time!AI11&lt;=Inputs!$F$242,Inputs!$F$241/(1+Inputs!$F$243/100)^(Inputs!$F$242-Time!AI11),AH7*IF(Time!AI11&gt;Time!AH11,1+AI6/100,1))</f>
        <v>58.9721882485806</v>
      </c>
      <c r="AJ7" s="16" t="n">
        <f aca="false">IF(Time!AJ11&lt;=Inputs!$F$242,Inputs!$F$241/(1+Inputs!$F$243/100)^(Inputs!$F$242-Time!AJ11),AI7*IF(Time!AJ11&gt;Time!AI11,1+AJ6/100,1))</f>
        <v>60.6823817077894</v>
      </c>
      <c r="AK7" s="16" t="n">
        <f aca="false">IF(Time!AK11&lt;=Inputs!$F$242,Inputs!$F$241/(1+Inputs!$F$243/100)^(Inputs!$F$242-Time!AK11),AJ7*IF(Time!AK11&gt;Time!AJ11,1+AK6/100,1))</f>
        <v>60.6823817077894</v>
      </c>
      <c r="AL7" s="16" t="n">
        <f aca="false">IF(Time!AL11&lt;=Inputs!$F$242,Inputs!$F$241/(1+Inputs!$F$243/100)^(Inputs!$F$242-Time!AL11),AK7*IF(Time!AL11&gt;Time!AK11,1+AL6/100,1))</f>
        <v>62.4421707773153</v>
      </c>
      <c r="AM7" s="16" t="n">
        <f aca="false">IF(Time!AM11&lt;=Inputs!$F$242,Inputs!$F$241/(1+Inputs!$F$243/100)^(Inputs!$F$242-Time!AM11),AL7*IF(Time!AM11&gt;Time!AL11,1+AM6/100,1))</f>
        <v>62.4421707773153</v>
      </c>
      <c r="AN7" s="16" t="n">
        <f aca="false">IF(Time!AN11&lt;=Inputs!$F$242,Inputs!$F$241/(1+Inputs!$F$243/100)^(Inputs!$F$242-Time!AN11),AM7*IF(Time!AN11&gt;Time!AM11,1+AN6/100,1))</f>
        <v>64.2529937298574</v>
      </c>
      <c r="AO7" s="16" t="n">
        <f aca="false">IF(Time!AO11&lt;=Inputs!$F$242,Inputs!$F$241/(1+Inputs!$F$243/100)^(Inputs!$F$242-Time!AO11),AN7*IF(Time!AO11&gt;Time!AN11,1+AO6/100,1))</f>
        <v>64.2529937298574</v>
      </c>
      <c r="AP7" s="16" t="n">
        <f aca="false">IF(Time!AP11&lt;=Inputs!$F$242,Inputs!$F$241/(1+Inputs!$F$243/100)^(Inputs!$F$242-Time!AP11),AO7*IF(Time!AP11&gt;Time!AO11,1+AP6/100,1))</f>
        <v>66.1163305480233</v>
      </c>
      <c r="AQ7" s="16" t="n">
        <f aca="false">IF(Time!AQ11&lt;=Inputs!$F$242,Inputs!$F$241/(1+Inputs!$F$243/100)^(Inputs!$F$242-Time!AQ11),AP7*IF(Time!AQ11&gt;Time!AP11,1+AQ6/100,1))</f>
        <v>66.1163305480233</v>
      </c>
      <c r="AR7" s="16" t="n">
        <f aca="false">IF(Time!AR11&lt;=Inputs!$F$242,Inputs!$F$241/(1+Inputs!$F$243/100)^(Inputs!$F$242-Time!AR11),AQ7*IF(Time!AR11&gt;Time!AQ11,1+AR6/100,1))</f>
        <v>68.033704133916</v>
      </c>
      <c r="AS7" s="16" t="n">
        <f aca="false">IF(Time!AS11&lt;=Inputs!$F$242,Inputs!$F$241/(1+Inputs!$F$243/100)^(Inputs!$F$242-Time!AS11),AR7*IF(Time!AS11&gt;Time!AR11,1+AS6/100,1))</f>
        <v>68.033704133916</v>
      </c>
      <c r="AT7" s="16" t="n">
        <f aca="false">IF(Time!AT11&lt;=Inputs!$F$242,Inputs!$F$241/(1+Inputs!$F$243/100)^(Inputs!$F$242-Time!AT11),AS7*IF(Time!AT11&gt;Time!AS11,1+AT6/100,1))</f>
        <v>70.0066815537995</v>
      </c>
      <c r="AU7" s="16" t="n">
        <f aca="false">IF(Time!AU11&lt;=Inputs!$F$242,Inputs!$F$241/(1+Inputs!$F$243/100)^(Inputs!$F$242-Time!AU11),AT7*IF(Time!AU11&gt;Time!AT11,1+AU6/100,1))</f>
        <v>70.0066815537995</v>
      </c>
      <c r="AV7" s="16" t="n">
        <f aca="false">IF(Time!AV11&lt;=Inputs!$F$242,Inputs!$F$241/(1+Inputs!$F$243/100)^(Inputs!$F$242-Time!AV11),AU7*IF(Time!AV11&gt;Time!AU11,1+AV6/100,1))</f>
        <v>72.0368753188597</v>
      </c>
      <c r="AW7" s="16" t="n">
        <f aca="false">IF(Time!AW11&lt;=Inputs!$F$242,Inputs!$F$241/(1+Inputs!$F$243/100)^(Inputs!$F$242-Time!AW11),AV7*IF(Time!AW11&gt;Time!AV11,1+AW6/100,1))</f>
        <v>72.0368753188597</v>
      </c>
      <c r="AX7" s="16" t="n">
        <f aca="false">IF(Time!AX11&lt;=Inputs!$F$242,Inputs!$F$241/(1+Inputs!$F$243/100)^(Inputs!$F$242-Time!AX11),AW7*IF(Time!AX11&gt;Time!AW11,1+AX6/100,1))</f>
        <v>73.4776128252369</v>
      </c>
      <c r="AY7" s="16" t="n">
        <f aca="false">IF(Time!AY11&lt;=Inputs!$F$242,Inputs!$F$241/(1+Inputs!$F$243/100)^(Inputs!$F$242-Time!AY11),AX7*IF(Time!AY11&gt;Time!AX11,1+AY6/100,1))</f>
        <v>73.4776128252369</v>
      </c>
      <c r="AZ7" s="16" t="n">
        <f aca="false">IF(Time!AZ11&lt;=Inputs!$F$242,Inputs!$F$241/(1+Inputs!$F$243/100)^(Inputs!$F$242-Time!AZ11),AY7*IF(Time!AZ11&gt;Time!AY11,1+AZ6/100,1))</f>
        <v>74.9471650817416</v>
      </c>
      <c r="BA7" s="16" t="n">
        <f aca="false">IF(Time!BA11&lt;=Inputs!$F$242,Inputs!$F$241/(1+Inputs!$F$243/100)^(Inputs!$F$242-Time!BA11),AZ7*IF(Time!BA11&gt;Time!AZ11,1+BA6/100,1))</f>
        <v>74.9471650817416</v>
      </c>
      <c r="BB7" s="16" t="n">
        <f aca="false">IF(Time!BB11&lt;=Inputs!$F$242,Inputs!$F$241/(1+Inputs!$F$243/100)^(Inputs!$F$242-Time!BB11),BA7*IF(Time!BB11&gt;Time!BA11,1+BB6/100,1))</f>
        <v>76.4461083833765</v>
      </c>
      <c r="BC7" s="16" t="n">
        <f aca="false">IF(Time!BC11&lt;=Inputs!$F$242,Inputs!$F$241/(1+Inputs!$F$243/100)^(Inputs!$F$242-Time!BC11),BB7*IF(Time!BC11&gt;Time!BB11,1+BC6/100,1))</f>
        <v>76.4461083833765</v>
      </c>
      <c r="BD7" s="16" t="n">
        <f aca="false">IF(Time!BD11&lt;=Inputs!$F$242,Inputs!$F$241/(1+Inputs!$F$243/100)^(Inputs!$F$242-Time!BD11),BC7*IF(Time!BD11&gt;Time!BC11,1+BD6/100,1))</f>
        <v>77.975030551044</v>
      </c>
      <c r="BE7" s="16" t="n">
        <f aca="false">IF(Time!BE11&lt;=Inputs!$F$242,Inputs!$F$241/(1+Inputs!$F$243/100)^(Inputs!$F$242-Time!BE11),BD7*IF(Time!BE11&gt;Time!BD11,1+BE6/100,1))</f>
        <v>77.975030551044</v>
      </c>
      <c r="BF7" s="16" t="n">
        <f aca="false">IF(Time!BF11&lt;=Inputs!$F$242,Inputs!$F$241/(1+Inputs!$F$243/100)^(Inputs!$F$242-Time!BF11),BE7*IF(Time!BF11&gt;Time!BE11,1+BF6/100,1))</f>
        <v>79.5345311620649</v>
      </c>
      <c r="BG7" s="16" t="n">
        <f aca="false">IF(Time!BG11&lt;=Inputs!$F$242,Inputs!$F$241/(1+Inputs!$F$243/100)^(Inputs!$F$242-Time!BG11),BF7*IF(Time!BG11&gt;Time!BF11,1+BG6/100,1))</f>
        <v>79.5345311620649</v>
      </c>
      <c r="BH7" s="16" t="n">
        <f aca="false">IF(Time!BH11&lt;=Inputs!$F$242,Inputs!$F$241/(1+Inputs!$F$243/100)^(Inputs!$F$242-Time!BH11),BG7*IF(Time!BH11&gt;Time!BG11,1+BH6/100,1))</f>
        <v>81.1252217853062</v>
      </c>
      <c r="BI7" s="16" t="n">
        <f aca="false">IF(Time!BI11&lt;=Inputs!$F$242,Inputs!$F$241/(1+Inputs!$F$243/100)^(Inputs!$F$242-Time!BI11),BH7*IF(Time!BI11&gt;Time!BH11,1+BI6/100,1))</f>
        <v>81.1252217853062</v>
      </c>
      <c r="BJ7" s="16" t="n">
        <f aca="false">IF(Time!BJ11&lt;=Inputs!$F$242,Inputs!$F$241/(1+Inputs!$F$243/100)^(Inputs!$F$242-Time!BJ11),BI7*IF(Time!BJ11&gt;Time!BI11,1+BJ6/100,1))</f>
        <v>82.7477262210123</v>
      </c>
      <c r="BK7" s="16" t="n">
        <f aca="false">IF(Time!BK11&lt;=Inputs!$F$242,Inputs!$F$241/(1+Inputs!$F$243/100)^(Inputs!$F$242-Time!BK11),BJ7*IF(Time!BK11&gt;Time!BJ11,1+BK6/100,1))</f>
        <v>82.7477262210123</v>
      </c>
      <c r="BL7" s="16" t="n">
        <f aca="false">IF(Time!BL11&lt;=Inputs!$F$242,Inputs!$F$241/(1+Inputs!$F$243/100)^(Inputs!$F$242-Time!BL11),BK7*IF(Time!BL11&gt;Time!BK11,1+BL6/100,1))</f>
        <v>84.4026807454326</v>
      </c>
      <c r="BM7" s="16" t="n">
        <f aca="false">IF(Time!BM11&lt;=Inputs!$F$242,Inputs!$F$241/(1+Inputs!$F$243/100)^(Inputs!$F$242-Time!BM11),BL7*IF(Time!BM11&gt;Time!BL11,1+BM6/100,1))</f>
        <v>84.4026807454326</v>
      </c>
      <c r="BN7" s="16" t="n">
        <f aca="false">IF(Time!BN11&lt;=Inputs!$F$242,Inputs!$F$241/(1+Inputs!$F$243/100)^(Inputs!$F$242-Time!BN11),BM7*IF(Time!BN11&gt;Time!BM11,1+BN6/100,1))</f>
        <v>86.0907343603412</v>
      </c>
      <c r="BO7" s="16" t="n">
        <f aca="false">IF(Time!BO11&lt;=Inputs!$F$242,Inputs!$F$241/(1+Inputs!$F$243/100)^(Inputs!$F$242-Time!BO11),BN7*IF(Time!BO11&gt;Time!BN11,1+BO6/100,1))</f>
        <v>86.0907343603412</v>
      </c>
      <c r="BP7" s="16" t="n">
        <f aca="false">IF(Time!BP11&lt;=Inputs!$F$242,Inputs!$F$241/(1+Inputs!$F$243/100)^(Inputs!$F$242-Time!BP11),BO7*IF(Time!BP11&gt;Time!BO11,1+BP6/100,1))</f>
        <v>87.8125490475481</v>
      </c>
      <c r="BQ7" s="16" t="n">
        <f aca="false">IF(Time!BQ11&lt;=Inputs!$F$242,Inputs!$F$241/(1+Inputs!$F$243/100)^(Inputs!$F$242-Time!BQ11),BP7*IF(Time!BQ11&gt;Time!BP11,1+BQ6/100,1))</f>
        <v>87.8125490475481</v>
      </c>
      <c r="BR7" s="16" t="n">
        <f aca="false">IF(Time!BR11&lt;=Inputs!$F$242,Inputs!$F$241/(1+Inputs!$F$243/100)^(Inputs!$F$242-Time!BR11),BQ7*IF(Time!BR11&gt;Time!BQ11,1+BR6/100,1))</f>
        <v>88.6906745380235</v>
      </c>
      <c r="BS7" s="16" t="n">
        <f aca="false">IF(Time!BS11&lt;=Inputs!$F$242,Inputs!$F$241/(1+Inputs!$F$243/100)^(Inputs!$F$242-Time!BS11),BR7*IF(Time!BS11&gt;Time!BR11,1+BS6/100,1))</f>
        <v>88.6906745380235</v>
      </c>
      <c r="BT7" s="16" t="n">
        <f aca="false">IF(Time!BT11&lt;=Inputs!$F$242,Inputs!$F$241/(1+Inputs!$F$243/100)^(Inputs!$F$242-Time!BT11),BS7*IF(Time!BT11&gt;Time!BS11,1+BT6/100,1))</f>
        <v>89.5775812834038</v>
      </c>
      <c r="BU7" s="16" t="n">
        <f aca="false">IF(Time!BU11&lt;=Inputs!$F$242,Inputs!$F$241/(1+Inputs!$F$243/100)^(Inputs!$F$242-Time!BU11),BT7*IF(Time!BU11&gt;Time!BT11,1+BU6/100,1))</f>
        <v>89.5775812834038</v>
      </c>
      <c r="BV7" s="16" t="n">
        <f aca="false">IF(Time!BV11&lt;=Inputs!$F$242,Inputs!$F$241/(1+Inputs!$F$243/100)^(Inputs!$F$242-Time!BV11),BU7*IF(Time!BV11&gt;Time!BU11,1+BV6/100,1))</f>
        <v>90.4733570962378</v>
      </c>
      <c r="BW7" s="16" t="n">
        <f aca="false">IF(Time!BW11&lt;=Inputs!$F$242,Inputs!$F$241/(1+Inputs!$F$243/100)^(Inputs!$F$242-Time!BW11),BV7*IF(Time!BW11&gt;Time!BV11,1+BW6/100,1))</f>
        <v>90.4733570962378</v>
      </c>
      <c r="BX7" s="16" t="n">
        <f aca="false">IF(Time!BX11&lt;=Inputs!$F$242,Inputs!$F$241/(1+Inputs!$F$243/100)^(Inputs!$F$242-Time!BX11),BW7*IF(Time!BX11&gt;Time!BW11,1+BX6/100,1))</f>
        <v>91.3780906672002</v>
      </c>
      <c r="BY7" s="16" t="n">
        <f aca="false">IF(Time!BY11&lt;=Inputs!$F$242,Inputs!$F$241/(1+Inputs!$F$243/100)^(Inputs!$F$242-Time!BY11),BX7*IF(Time!BY11&gt;Time!BX11,1+BY6/100,1))</f>
        <v>91.3780906672002</v>
      </c>
      <c r="BZ7" s="16" t="n">
        <f aca="false">IF(Time!BZ11&lt;=Inputs!$F$242,Inputs!$F$241/(1+Inputs!$F$243/100)^(Inputs!$F$242-Time!BZ11),BY7*IF(Time!BZ11&gt;Time!BY11,1+BZ6/100,1))</f>
        <v>92.2918715738722</v>
      </c>
      <c r="CA7" s="16" t="n">
        <f aca="false">IF(Time!CA11&lt;=Inputs!$F$242,Inputs!$F$241/(1+Inputs!$F$243/100)^(Inputs!$F$242-Time!CA11),BZ7*IF(Time!CA11&gt;Time!BZ11,1+CA6/100,1))</f>
        <v>92.2918715738722</v>
      </c>
      <c r="CB7" s="16" t="n">
        <f aca="false">IF(Time!CB11&lt;=Inputs!$F$242,Inputs!$F$241/(1+Inputs!$F$243/100)^(Inputs!$F$242-Time!CB11),CA7*IF(Time!CB11&gt;Time!CA11,1+CB6/100,1))</f>
        <v>93.2147902896109</v>
      </c>
      <c r="CC7" s="16" t="n">
        <f aca="false">IF(Time!CC11&lt;=Inputs!$F$242,Inputs!$F$241/(1+Inputs!$F$243/100)^(Inputs!$F$242-Time!CC11),CB7*IF(Time!CC11&gt;Time!CB11,1+CC6/100,1))</f>
        <v>93.2147902896109</v>
      </c>
      <c r="CD7" s="16" t="n">
        <f aca="false">IF(Time!CD11&lt;=Inputs!$F$242,Inputs!$F$241/(1+Inputs!$F$243/100)^(Inputs!$F$242-Time!CD11),CC7*IF(Time!CD11&gt;Time!CC11,1+CD6/100,1))</f>
        <v>94.146938192507</v>
      </c>
      <c r="CE7" s="16" t="n">
        <f aca="false">IF(Time!CE11&lt;=Inputs!$F$242,Inputs!$F$241/(1+Inputs!$F$243/100)^(Inputs!$F$242-Time!CE11),CD7*IF(Time!CE11&gt;Time!CD11,1+CE6/100,1))</f>
        <v>94.146938192507</v>
      </c>
      <c r="CF7" s="16" t="n">
        <f aca="false">IF(Time!CF11&lt;=Inputs!$F$242,Inputs!$F$241/(1+Inputs!$F$243/100)^(Inputs!$F$242-Time!CF11),CE7*IF(Time!CF11&gt;Time!CE11,1+CF6/100,1))</f>
        <v>95.0884075744321</v>
      </c>
      <c r="CG7" s="16" t="n">
        <f aca="false">IF(Time!CG11&lt;=Inputs!$F$242,Inputs!$F$241/(1+Inputs!$F$243/100)^(Inputs!$F$242-Time!CG11),CF7*IF(Time!CG11&gt;Time!CF11,1+CG6/100,1))</f>
        <v>95.0884075744321</v>
      </c>
      <c r="CH7" s="16" t="n">
        <f aca="false">IF(Time!CH11&lt;=Inputs!$F$242,Inputs!$F$241/(1+Inputs!$F$243/100)^(Inputs!$F$242-Time!CH11),CG7*IF(Time!CH11&gt;Time!CG11,1+CH6/100,1))</f>
        <v>96.0392916501764</v>
      </c>
      <c r="CI7" s="16" t="n">
        <f aca="false">IF(Time!CI11&lt;=Inputs!$F$242,Inputs!$F$241/(1+Inputs!$F$243/100)^(Inputs!$F$242-Time!CI11),CH7*IF(Time!CI11&gt;Time!CH11,1+CI6/100,1))</f>
        <v>96.0392916501764</v>
      </c>
      <c r="CJ7" s="16" t="n">
        <f aca="false">IF(Time!CJ11&lt;=Inputs!$F$242,Inputs!$F$241/(1+Inputs!$F$243/100)^(Inputs!$F$242-Time!CJ11),CI7*IF(Time!CJ11&gt;Time!CI11,1+CJ6/100,1))</f>
        <v>96.9996845666782</v>
      </c>
      <c r="CK7" s="16" t="n">
        <f aca="false">IF(Time!CK11&lt;=Inputs!$F$242,Inputs!$F$241/(1+Inputs!$F$243/100)^(Inputs!$F$242-Time!CK11),CJ7*IF(Time!CK11&gt;Time!CJ11,1+CK6/100,1))</f>
        <v>96.9996845666782</v>
      </c>
      <c r="CL7" s="16" t="n">
        <f aca="false">IF(Time!CL11&lt;=Inputs!$F$242,Inputs!$F$241/(1+Inputs!$F$243/100)^(Inputs!$F$242-Time!CL11),CK7*IF(Time!CL11&gt;Time!CK11,1+CL6/100,1))</f>
        <v>97.9696814123449</v>
      </c>
      <c r="CM7" s="16" t="n">
        <f aca="false">IF(Time!CM11&lt;=Inputs!$F$242,Inputs!$F$241/(1+Inputs!$F$243/100)^(Inputs!$F$242-Time!CM11),CL7*IF(Time!CM11&gt;Time!CL11,1+CM6/100,1))</f>
        <v>97.9696814123449</v>
      </c>
      <c r="CN7" s="16" t="n">
        <f aca="false">IF(Time!CN11&lt;=Inputs!$F$242,Inputs!$F$241/(1+Inputs!$F$243/100)^(Inputs!$F$242-Time!CN11),CM7*IF(Time!CN11&gt;Time!CM11,1+CN6/100,1))</f>
        <v>98.9493782264684</v>
      </c>
      <c r="CO7" s="16" t="n">
        <f aca="false">IF(Time!CO11&lt;=Inputs!$F$242,Inputs!$F$241/(1+Inputs!$F$243/100)^(Inputs!$F$242-Time!CO11),CN7*IF(Time!CO11&gt;Time!CN11,1+CO6/100,1))</f>
        <v>98.9493782264684</v>
      </c>
      <c r="CP7" s="16" t="n">
        <f aca="false">IF(Time!CP11&lt;=Inputs!$F$242,Inputs!$F$241/(1+Inputs!$F$243/100)^(Inputs!$F$242-Time!CP11),CO7*IF(Time!CP11&gt;Time!CO11,1+CP6/100,1))</f>
        <v>99.9388720087331</v>
      </c>
      <c r="CQ7" s="16" t="n">
        <f aca="false">IF(Time!CQ11&lt;=Inputs!$F$242,Inputs!$F$241/(1+Inputs!$F$243/100)^(Inputs!$F$242-Time!CQ11),CP7*IF(Time!CQ11&gt;Time!CP11,1+CQ6/100,1))</f>
        <v>99.9388720087331</v>
      </c>
      <c r="CR7" s="16" t="n">
        <f aca="false">IF(Time!CR11&lt;=Inputs!$F$242,Inputs!$F$241/(1+Inputs!$F$243/100)^(Inputs!$F$242-Time!CR11),CQ7*IF(Time!CR11&gt;Time!CQ11,1+CR6/100,1))</f>
        <v>100.93826072882</v>
      </c>
      <c r="CS7" s="16" t="n">
        <f aca="false">IF(Time!CS11&lt;=Inputs!$F$242,Inputs!$F$241/(1+Inputs!$F$243/100)^(Inputs!$F$242-Time!CS11),CR7*IF(Time!CS11&gt;Time!CR11,1+CS6/100,1))</f>
        <v>100.93826072882</v>
      </c>
      <c r="CT7" s="16" t="n">
        <f aca="false">IF(Time!CT11&lt;=Inputs!$F$242,Inputs!$F$241/(1+Inputs!$F$243/100)^(Inputs!$F$242-Time!CT11),CS7*IF(Time!CT11&gt;Time!CS11,1+CT6/100,1))</f>
        <v>101.947643336109</v>
      </c>
      <c r="CU7" s="16" t="n">
        <f aca="false">IF(Time!CU11&lt;=Inputs!$F$242,Inputs!$F$241/(1+Inputs!$F$243/100)^(Inputs!$F$242-Time!CU11),CT7*IF(Time!CU11&gt;Time!CT11,1+CU6/100,1))</f>
        <v>101.947643336109</v>
      </c>
      <c r="CV7" s="16" t="n">
        <f aca="false">IF(Time!CV11&lt;=Inputs!$F$242,Inputs!$F$241/(1+Inputs!$F$243/100)^(Inputs!$F$242-Time!CV11),CU7*IF(Time!CV11&gt;Time!CU11,1+CV6/100,1))</f>
        <v>102.96711976947</v>
      </c>
      <c r="CW7" s="16" t="n">
        <f aca="false">IF(Time!CW11&lt;=Inputs!$F$242,Inputs!$F$241/(1+Inputs!$F$243/100)^(Inputs!$F$242-Time!CW11),CV7*IF(Time!CW11&gt;Time!CV11,1+CW6/100,1))</f>
        <v>102.96711976947</v>
      </c>
      <c r="CX7" s="16" t="n">
        <f aca="false">IF(Time!CX11&lt;=Inputs!$F$242,Inputs!$F$241/(1+Inputs!$F$243/100)^(Inputs!$F$242-Time!CX11),CW7*IF(Time!CX11&gt;Time!CW11,1+CX6/100,1))</f>
        <v>103.996790967164</v>
      </c>
      <c r="CY7" s="16" t="n">
        <f aca="false">IF(Time!CY11&lt;=Inputs!$F$242,Inputs!$F$241/(1+Inputs!$F$243/100)^(Inputs!$F$242-Time!CY11),CX7*IF(Time!CY11&gt;Time!CX11,1+CY6/100,1))</f>
        <v>103.996790967164</v>
      </c>
      <c r="CZ7" s="16" t="n">
        <f aca="false">IF(Time!CZ11&lt;=Inputs!$F$242,Inputs!$F$241/(1+Inputs!$F$243/100)^(Inputs!$F$242-Time!CZ11),CY7*IF(Time!CZ11&gt;Time!CY11,1+CZ6/100,1))</f>
        <v>105.036758876836</v>
      </c>
      <c r="DA7" s="16" t="n">
        <f aca="false">IF(Time!DA11&lt;=Inputs!$F$242,Inputs!$F$241/(1+Inputs!$F$243/100)^(Inputs!$F$242-Time!DA11),CZ7*IF(Time!DA11&gt;Time!CZ11,1+DA6/100,1))</f>
        <v>105.036758876836</v>
      </c>
      <c r="DB7" s="16" t="n">
        <f aca="false">IF(Time!DB11&lt;=Inputs!$F$242,Inputs!$F$241/(1+Inputs!$F$243/100)^(Inputs!$F$242-Time!DB11),DA7*IF(Time!DB11&gt;Time!DA11,1+DB6/100,1))</f>
        <v>106.087126465604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0.72</v>
      </c>
      <c r="K9" s="16" t="n">
        <f aca="false">CHOOSE(K8-Inputs!$F$57+1,Inputs!$F$248,Inputs!$F$249,Inputs!$F$250,Inputs!$F$251,Inputs!$F$252)</f>
        <v>0.72</v>
      </c>
      <c r="L9" s="16" t="n">
        <f aca="false">CHOOSE(L8-Inputs!$F$57+1,Inputs!$F$248,Inputs!$F$249,Inputs!$F$250,Inputs!$F$251,Inputs!$F$252)</f>
        <v>0.72</v>
      </c>
      <c r="M9" s="16" t="n">
        <f aca="false">CHOOSE(M8-Inputs!$F$57+1,Inputs!$F$248,Inputs!$F$249,Inputs!$F$250,Inputs!$F$251,Inputs!$F$252)</f>
        <v>0.72</v>
      </c>
      <c r="N9" s="16" t="n">
        <f aca="false">CHOOSE(N8-Inputs!$F$57+1,Inputs!$F$248,Inputs!$F$249,Inputs!$F$250,Inputs!$F$251,Inputs!$F$252)</f>
        <v>0.72</v>
      </c>
      <c r="O9" s="16" t="n">
        <f aca="false">CHOOSE(O8-Inputs!$F$57+1,Inputs!$F$248,Inputs!$F$249,Inputs!$F$250,Inputs!$F$251,Inputs!$F$252)</f>
        <v>0.72</v>
      </c>
      <c r="P9" s="16" t="n">
        <f aca="false">CHOOSE(P8-Inputs!$F$57+1,Inputs!$F$248,Inputs!$F$249,Inputs!$F$250,Inputs!$F$251,Inputs!$F$252)</f>
        <v>0.72</v>
      </c>
      <c r="Q9" s="16" t="n">
        <f aca="false">CHOOSE(Q8-Inputs!$F$57+1,Inputs!$F$248,Inputs!$F$249,Inputs!$F$250,Inputs!$F$251,Inputs!$F$252)</f>
        <v>0.72</v>
      </c>
      <c r="R9" s="16" t="n">
        <f aca="false">CHOOSE(R8-Inputs!$F$57+1,Inputs!$F$248,Inputs!$F$249,Inputs!$F$250,Inputs!$F$251,Inputs!$F$252)</f>
        <v>0.72</v>
      </c>
      <c r="S9" s="16" t="n">
        <f aca="false">CHOOSE(S8-Inputs!$F$57+1,Inputs!$F$248,Inputs!$F$249,Inputs!$F$250,Inputs!$F$251,Inputs!$F$252)</f>
        <v>0.72</v>
      </c>
      <c r="T9" s="16" t="n">
        <f aca="false">CHOOSE(T8-Inputs!$F$57+1,Inputs!$F$248,Inputs!$F$249,Inputs!$F$250,Inputs!$F$251,Inputs!$F$252)</f>
        <v>0.72</v>
      </c>
      <c r="U9" s="16" t="n">
        <f aca="false">CHOOSE(U8-Inputs!$F$57+1,Inputs!$F$248,Inputs!$F$249,Inputs!$F$250,Inputs!$F$251,Inputs!$F$252)</f>
        <v>0.72</v>
      </c>
      <c r="V9" s="16" t="n">
        <f aca="false">CHOOSE(V8-Inputs!$F$57+1,Inputs!$F$248,Inputs!$F$249,Inputs!$F$250,Inputs!$F$251,Inputs!$F$252)</f>
        <v>0.72</v>
      </c>
      <c r="W9" s="16" t="n">
        <f aca="false">CHOOSE(W8-Inputs!$F$57+1,Inputs!$F$248,Inputs!$F$249,Inputs!$F$250,Inputs!$F$251,Inputs!$F$252)</f>
        <v>0.72</v>
      </c>
      <c r="X9" s="16" t="n">
        <f aca="false">CHOOSE(X8-Inputs!$F$57+1,Inputs!$F$248,Inputs!$F$249,Inputs!$F$250,Inputs!$F$251,Inputs!$F$252)</f>
        <v>0.72</v>
      </c>
      <c r="Y9" s="16" t="n">
        <f aca="false">CHOOSE(Y8-Inputs!$F$57+1,Inputs!$F$248,Inputs!$F$249,Inputs!$F$250,Inputs!$F$251,Inputs!$F$252)</f>
        <v>0.72</v>
      </c>
      <c r="Z9" s="16" t="n">
        <f aca="false">CHOOSE(Z8-Inputs!$F$57+1,Inputs!$F$248,Inputs!$F$249,Inputs!$F$250,Inputs!$F$251,Inputs!$F$252)</f>
        <v>0.72</v>
      </c>
      <c r="AA9" s="16" t="n">
        <f aca="false">CHOOSE(AA8-Inputs!$F$57+1,Inputs!$F$248,Inputs!$F$249,Inputs!$F$250,Inputs!$F$251,Inputs!$F$252)</f>
        <v>0.72</v>
      </c>
      <c r="AB9" s="16" t="n">
        <f aca="false">CHOOSE(AB8-Inputs!$F$57+1,Inputs!$F$248,Inputs!$F$249,Inputs!$F$250,Inputs!$F$251,Inputs!$F$252)</f>
        <v>0.84</v>
      </c>
      <c r="AC9" s="16" t="n">
        <f aca="false">CHOOSE(AC8-Inputs!$F$57+1,Inputs!$F$248,Inputs!$F$249,Inputs!$F$250,Inputs!$F$251,Inputs!$F$252)</f>
        <v>0.84</v>
      </c>
      <c r="AD9" s="16" t="n">
        <f aca="false">CHOOSE(AD8-Inputs!$F$57+1,Inputs!$F$248,Inputs!$F$249,Inputs!$F$250,Inputs!$F$251,Inputs!$F$252)</f>
        <v>0.93</v>
      </c>
      <c r="AE9" s="16" t="n">
        <f aca="false">CHOOSE(AE8-Inputs!$F$57+1,Inputs!$F$248,Inputs!$F$249,Inputs!$F$250,Inputs!$F$251,Inputs!$F$252)</f>
        <v>0.93</v>
      </c>
      <c r="AF9" s="16" t="n">
        <f aca="false">CHOOSE(AF8-Inputs!$F$57+1,Inputs!$F$248,Inputs!$F$249,Inputs!$F$250,Inputs!$F$251,Inputs!$F$252)</f>
        <v>0.98</v>
      </c>
      <c r="AG9" s="16" t="n">
        <f aca="false">CHOOSE(AG8-Inputs!$F$57+1,Inputs!$F$248,Inputs!$F$249,Inputs!$F$250,Inputs!$F$251,Inputs!$F$252)</f>
        <v>0.98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33.7797741471455</v>
      </c>
      <c r="K11" s="16" t="n">
        <f aca="false">K7*K9*K10*Inputs!$F$218</f>
        <v>33.7797741471455</v>
      </c>
      <c r="L11" s="16" t="n">
        <f aca="false">L7*L9*L10*Inputs!$F$218</f>
        <v>33.7797741471455</v>
      </c>
      <c r="M11" s="16" t="n">
        <f aca="false">M7*M9*M10*Inputs!$F$218</f>
        <v>34.7593875974127</v>
      </c>
      <c r="N11" s="16" t="n">
        <f aca="false">N7*N9*N10*Inputs!$F$218</f>
        <v>34.7593875974127</v>
      </c>
      <c r="O11" s="16" t="n">
        <f aca="false">O7*O9*O10*Inputs!$F$218</f>
        <v>34.7593875974127</v>
      </c>
      <c r="P11" s="16" t="n">
        <f aca="false">P7*P9*P10*Inputs!$F$218</f>
        <v>34.7593875974127</v>
      </c>
      <c r="Q11" s="16" t="n">
        <f aca="false">Q7*Q9*Q10*Inputs!$F$218</f>
        <v>35.7674098377377</v>
      </c>
      <c r="R11" s="16" t="n">
        <f aca="false">R7*R9*R10*Inputs!$F$218</f>
        <v>35.7674098377377</v>
      </c>
      <c r="S11" s="16" t="n">
        <f aca="false">S7*S9*S10*Inputs!$F$218</f>
        <v>35.7674098377377</v>
      </c>
      <c r="T11" s="16" t="n">
        <f aca="false">T7*T9*T10*Inputs!$F$218</f>
        <v>35.7674098377377</v>
      </c>
      <c r="U11" s="16" t="n">
        <f aca="false">U7*U9*U10*Inputs!$F$218</f>
        <v>36.8046647230321</v>
      </c>
      <c r="V11" s="16" t="n">
        <f aca="false">V7*V9*V10*Inputs!$F$218</f>
        <v>36.8046647230321</v>
      </c>
      <c r="W11" s="16" t="n">
        <f aca="false">W7*W9*W10*Inputs!$F$218</f>
        <v>36.8046647230321</v>
      </c>
      <c r="X11" s="16" t="n">
        <f aca="false">X7*X9*X10*Inputs!$F$218</f>
        <v>36.8046647230321</v>
      </c>
      <c r="Y11" s="16" t="n">
        <f aca="false">Y7*Y9*Y10*Inputs!$F$218</f>
        <v>37.872</v>
      </c>
      <c r="Z11" s="16" t="n">
        <f aca="false">Z7*Z9*Z10*Inputs!$F$218</f>
        <v>37.872</v>
      </c>
      <c r="AA11" s="16" t="n">
        <f aca="false">AA7*AA9*AA10*Inputs!$F$218</f>
        <v>37.872</v>
      </c>
      <c r="AB11" s="16" t="n">
        <f aca="false">AB7*AB9*AB10*Inputs!$F$218</f>
        <v>45.465336</v>
      </c>
      <c r="AC11" s="16" t="n">
        <f aca="false">AC7*AC9*AC10*Inputs!$F$218</f>
        <v>45.465336</v>
      </c>
      <c r="AD11" s="16" t="n">
        <f aca="false">AD7*AD9*AD10*Inputs!$F$218</f>
        <v>51.796384038</v>
      </c>
      <c r="AE11" s="16" t="n">
        <f aca="false">AE7*AE9*AE10*Inputs!$F$218</f>
        <v>51.796384038</v>
      </c>
      <c r="AF11" s="16" t="n">
        <f aca="false">AF7*AF9*AF10*Inputs!$F$218</f>
        <v>56.163988808172</v>
      </c>
      <c r="AG11" s="16" t="n">
        <f aca="false">AG7*AG9*AG10*Inputs!$F$218</f>
        <v>56.163988808172</v>
      </c>
      <c r="AH11" s="16" t="n">
        <f aca="false">AH7*AH9*AH10*Inputs!$F$218</f>
        <v>58.9721882485806</v>
      </c>
      <c r="AI11" s="16" t="n">
        <f aca="false">AI7*AI9*AI10*Inputs!$F$218</f>
        <v>58.9721882485806</v>
      </c>
      <c r="AJ11" s="16" t="n">
        <f aca="false">AJ7*AJ9*AJ10*Inputs!$F$218</f>
        <v>60.6823817077894</v>
      </c>
      <c r="AK11" s="16" t="n">
        <f aca="false">AK7*AK9*AK10*Inputs!$F$218</f>
        <v>60.6823817077894</v>
      </c>
      <c r="AL11" s="16" t="n">
        <f aca="false">AL7*AL9*AL10*Inputs!$F$218</f>
        <v>62.4421707773153</v>
      </c>
      <c r="AM11" s="16" t="n">
        <f aca="false">AM7*AM9*AM10*Inputs!$F$218</f>
        <v>62.4421707773153</v>
      </c>
      <c r="AN11" s="16" t="n">
        <f aca="false">AN7*AN9*AN10*Inputs!$F$218</f>
        <v>64.2529937298574</v>
      </c>
      <c r="AO11" s="16" t="n">
        <f aca="false">AO7*AO9*AO10*Inputs!$F$218</f>
        <v>64.2529937298574</v>
      </c>
      <c r="AP11" s="16" t="n">
        <f aca="false">AP7*AP9*AP10*Inputs!$F$218</f>
        <v>66.1163305480233</v>
      </c>
      <c r="AQ11" s="16" t="n">
        <f aca="false">AQ7*AQ9*AQ10*Inputs!$F$218</f>
        <v>66.1163305480233</v>
      </c>
      <c r="AR11" s="16" t="n">
        <f aca="false">AR7*AR9*AR10*Inputs!$F$218</f>
        <v>68.033704133916</v>
      </c>
      <c r="AS11" s="16" t="n">
        <f aca="false">AS7*AS9*AS10*Inputs!$F$218</f>
        <v>68.033704133916</v>
      </c>
      <c r="AT11" s="16" t="n">
        <f aca="false">AT7*AT9*AT10*Inputs!$F$218</f>
        <v>70.0066815537995</v>
      </c>
      <c r="AU11" s="16" t="n">
        <f aca="false">AU7*AU9*AU10*Inputs!$F$218</f>
        <v>70.0066815537995</v>
      </c>
      <c r="AV11" s="16" t="n">
        <f aca="false">AV7*AV9*AV10*Inputs!$F$218</f>
        <v>72.0368753188597</v>
      </c>
      <c r="AW11" s="16" t="n">
        <f aca="false">AW7*AW9*AW10*Inputs!$F$218</f>
        <v>72.0368753188597</v>
      </c>
      <c r="AX11" s="16" t="n">
        <f aca="false">AX7*AX9*AX10*Inputs!$F$218</f>
        <v>73.4776128252369</v>
      </c>
      <c r="AY11" s="16" t="n">
        <f aca="false">AY7*AY9*AY10*Inputs!$F$218</f>
        <v>73.4776128252369</v>
      </c>
      <c r="AZ11" s="16" t="n">
        <f aca="false">AZ7*AZ9*AZ10*Inputs!$F$218</f>
        <v>74.9471650817416</v>
      </c>
      <c r="BA11" s="16" t="n">
        <f aca="false">BA7*BA9*BA10*Inputs!$F$218</f>
        <v>74.9471650817416</v>
      </c>
      <c r="BB11" s="16" t="n">
        <f aca="false">BB7*BB9*BB10*Inputs!$F$218</f>
        <v>76.4461083833765</v>
      </c>
      <c r="BC11" s="16" t="n">
        <f aca="false">BC7*BC9*BC10*Inputs!$F$218</f>
        <v>76.4461083833765</v>
      </c>
      <c r="BD11" s="16" t="n">
        <f aca="false">BD7*BD9*BD10*Inputs!$F$218</f>
        <v>77.975030551044</v>
      </c>
      <c r="BE11" s="16" t="n">
        <f aca="false">BE7*BE9*BE10*Inputs!$F$218</f>
        <v>77.975030551044</v>
      </c>
      <c r="BF11" s="16" t="n">
        <f aca="false">BF7*BF9*BF10*Inputs!$F$218</f>
        <v>79.5345311620649</v>
      </c>
      <c r="BG11" s="16" t="n">
        <f aca="false">BG7*BG9*BG10*Inputs!$F$218</f>
        <v>79.5345311620649</v>
      </c>
      <c r="BH11" s="16" t="n">
        <f aca="false">BH7*BH9*BH10*Inputs!$F$218</f>
        <v>81.1252217853062</v>
      </c>
      <c r="BI11" s="16" t="n">
        <f aca="false">BI7*BI9*BI10*Inputs!$F$218</f>
        <v>81.1252217853062</v>
      </c>
      <c r="BJ11" s="16" t="n">
        <f aca="false">BJ7*BJ9*BJ10*Inputs!$F$218</f>
        <v>82.7477262210123</v>
      </c>
      <c r="BK11" s="16" t="n">
        <f aca="false">BK7*BK9*BK10*Inputs!$F$218</f>
        <v>82.7477262210123</v>
      </c>
      <c r="BL11" s="16" t="n">
        <f aca="false">BL7*BL9*BL10*Inputs!$F$218</f>
        <v>84.4026807454326</v>
      </c>
      <c r="BM11" s="16" t="n">
        <f aca="false">BM7*BM9*BM10*Inputs!$F$218</f>
        <v>84.4026807454326</v>
      </c>
      <c r="BN11" s="16" t="n">
        <f aca="false">BN7*BN9*BN10*Inputs!$F$218</f>
        <v>86.0907343603412</v>
      </c>
      <c r="BO11" s="16" t="n">
        <f aca="false">BO7*BO9*BO10*Inputs!$F$218</f>
        <v>86.0907343603412</v>
      </c>
      <c r="BP11" s="16" t="n">
        <f aca="false">BP7*BP9*BP10*Inputs!$F$218</f>
        <v>87.8125490475481</v>
      </c>
      <c r="BQ11" s="16" t="n">
        <f aca="false">BQ7*BQ9*BQ10*Inputs!$F$218</f>
        <v>87.8125490475481</v>
      </c>
      <c r="BR11" s="16" t="n">
        <f aca="false">BR7*BR9*BR10*Inputs!$F$218</f>
        <v>88.6906745380235</v>
      </c>
      <c r="BS11" s="16" t="n">
        <f aca="false">BS7*BS9*BS10*Inputs!$F$218</f>
        <v>88.6906745380235</v>
      </c>
      <c r="BT11" s="16" t="n">
        <f aca="false">BT7*BT9*BT10*Inputs!$F$218</f>
        <v>89.5775812834038</v>
      </c>
      <c r="BU11" s="16" t="n">
        <f aca="false">BU7*BU9*BU10*Inputs!$F$218</f>
        <v>89.5775812834038</v>
      </c>
      <c r="BV11" s="16" t="n">
        <f aca="false">BV7*BV9*BV10*Inputs!$F$218</f>
        <v>90.4733570962378</v>
      </c>
      <c r="BW11" s="16" t="n">
        <f aca="false">BW7*BW9*BW10*Inputs!$F$218</f>
        <v>90.4733570962378</v>
      </c>
      <c r="BX11" s="16" t="n">
        <f aca="false">BX7*BX9*BX10*Inputs!$F$218</f>
        <v>91.3780906672002</v>
      </c>
      <c r="BY11" s="16" t="n">
        <f aca="false">BY7*BY9*BY10*Inputs!$F$218</f>
        <v>91.3780906672002</v>
      </c>
      <c r="BZ11" s="16" t="n">
        <f aca="false">BZ7*BZ9*BZ10*Inputs!$F$218</f>
        <v>92.2918715738722</v>
      </c>
      <c r="CA11" s="16" t="n">
        <f aca="false">CA7*CA9*CA10*Inputs!$F$218</f>
        <v>92.2918715738722</v>
      </c>
      <c r="CB11" s="16" t="n">
        <f aca="false">CB7*CB9*CB10*Inputs!$F$218</f>
        <v>93.2147902896109</v>
      </c>
      <c r="CC11" s="16" t="n">
        <f aca="false">CC7*CC9*CC10*Inputs!$F$218</f>
        <v>93.2147902896109</v>
      </c>
      <c r="CD11" s="16" t="n">
        <f aca="false">CD7*CD9*CD10*Inputs!$F$218</f>
        <v>94.146938192507</v>
      </c>
      <c r="CE11" s="16" t="n">
        <f aca="false">CE7*CE9*CE10*Inputs!$F$218</f>
        <v>94.146938192507</v>
      </c>
      <c r="CF11" s="16" t="n">
        <f aca="false">CF7*CF9*CF10*Inputs!$F$218</f>
        <v>95.0884075744321</v>
      </c>
      <c r="CG11" s="16" t="n">
        <f aca="false">CG7*CG9*CG10*Inputs!$F$218</f>
        <v>95.0884075744321</v>
      </c>
      <c r="CH11" s="16" t="n">
        <f aca="false">CH7*CH9*CH10*Inputs!$F$218</f>
        <v>96.0392916501764</v>
      </c>
      <c r="CI11" s="16" t="n">
        <f aca="false">CI7*CI9*CI10*Inputs!$F$218</f>
        <v>96.0392916501764</v>
      </c>
      <c r="CJ11" s="16" t="n">
        <f aca="false">CJ7*CJ9*CJ10*Inputs!$F$218</f>
        <v>96.9996845666782</v>
      </c>
      <c r="CK11" s="16" t="n">
        <f aca="false">CK7*CK9*CK10*Inputs!$F$218</f>
        <v>96.9996845666782</v>
      </c>
      <c r="CL11" s="16" t="n">
        <f aca="false">CL7*CL9*CL10*Inputs!$F$218</f>
        <v>97.9696814123449</v>
      </c>
      <c r="CM11" s="16" t="n">
        <f aca="false">CM7*CM9*CM10*Inputs!$F$218</f>
        <v>97.9696814123449</v>
      </c>
      <c r="CN11" s="16" t="n">
        <f aca="false">CN7*CN9*CN10*Inputs!$F$218</f>
        <v>98.9493782264684</v>
      </c>
      <c r="CO11" s="16" t="n">
        <f aca="false">CO7*CO9*CO10*Inputs!$F$218</f>
        <v>98.9493782264684</v>
      </c>
      <c r="CP11" s="16" t="n">
        <f aca="false">CP7*CP9*CP10*Inputs!$F$218</f>
        <v>99.9388720087331</v>
      </c>
      <c r="CQ11" s="16" t="n">
        <f aca="false">CQ7*CQ9*CQ10*Inputs!$F$218</f>
        <v>99.9388720087331</v>
      </c>
      <c r="CR11" s="16" t="n">
        <f aca="false">CR7*CR9*CR10*Inputs!$F$218</f>
        <v>100.93826072882</v>
      </c>
      <c r="CS11" s="16" t="n">
        <f aca="false">CS7*CS9*CS10*Inputs!$F$218</f>
        <v>100.93826072882</v>
      </c>
      <c r="CT11" s="16" t="n">
        <f aca="false">CT7*CT9*CT10*Inputs!$F$218</f>
        <v>101.947643336109</v>
      </c>
      <c r="CU11" s="16" t="n">
        <f aca="false">CU7*CU9*CU10*Inputs!$F$218</f>
        <v>101.947643336109</v>
      </c>
      <c r="CV11" s="16" t="n">
        <f aca="false">CV7*CV9*CV10*Inputs!$F$218</f>
        <v>102.96711976947</v>
      </c>
      <c r="CW11" s="16" t="n">
        <f aca="false">CW7*CW9*CW10*Inputs!$F$218</f>
        <v>102.96711976947</v>
      </c>
      <c r="CX11" s="16" t="n">
        <f aca="false">CX7*CX9*CX10*Inputs!$F$218</f>
        <v>103.996790967164</v>
      </c>
      <c r="CY11" s="16" t="n">
        <f aca="false">CY7*CY9*CY10*Inputs!$F$218</f>
        <v>103.996790967164</v>
      </c>
      <c r="CZ11" s="16" t="n">
        <f aca="false">CZ7*CZ9*CZ10*Inputs!$F$218</f>
        <v>105.036758876836</v>
      </c>
      <c r="DA11" s="16" t="n">
        <f aca="false">DA7*DA9*DA10*Inputs!$F$218</f>
        <v>105.036758876836</v>
      </c>
      <c r="DB11" s="16" t="n">
        <f aca="false">DB7*DB9*DB10*Inputs!$F$218</f>
        <v>106.087126465604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37.872</v>
      </c>
      <c r="AA13" s="16" t="n">
        <f aca="false">IF(Time!AA39=1,AA12,AA11)*Time!AA26</f>
        <v>37.872</v>
      </c>
      <c r="AB13" s="16" t="n">
        <f aca="false">IF(Time!AB39=1,AB12,AB11)*Time!AB26</f>
        <v>45.465336</v>
      </c>
      <c r="AC13" s="16" t="n">
        <f aca="false">IF(Time!AC39=1,AC12,AC11)*Time!AC26</f>
        <v>45.465336</v>
      </c>
      <c r="AD13" s="16" t="n">
        <f aca="false">IF(Time!AD39=1,AD12,AD11)*Time!AD26</f>
        <v>51.796384038</v>
      </c>
      <c r="AE13" s="16" t="n">
        <f aca="false">IF(Time!AE39=1,AE12,AE11)*Time!AE26</f>
        <v>51.796384038</v>
      </c>
      <c r="AF13" s="16" t="n">
        <f aca="false">IF(Time!AF39=1,AF12,AF11)*Time!AF26</f>
        <v>56.163988808172</v>
      </c>
      <c r="AG13" s="16" t="n">
        <f aca="false">IF(Time!AG39=1,AG12,AG11)*Time!AG26</f>
        <v>56.163988808172</v>
      </c>
      <c r="AH13" s="16" t="n">
        <f aca="false">IF(Time!AH39=1,AH12,AH11)*Time!AH26</f>
        <v>58.9721882485806</v>
      </c>
      <c r="AI13" s="16" t="n">
        <f aca="false">IF(Time!AI39=1,AI12,AI11)*Time!AI26</f>
        <v>58.9721882485806</v>
      </c>
      <c r="AJ13" s="16" t="n">
        <f aca="false">IF(Time!AJ39=1,AJ12,AJ11)*Time!AJ26</f>
        <v>60.6823817077894</v>
      </c>
      <c r="AK13" s="16" t="n">
        <f aca="false">IF(Time!AK39=1,AK12,AK11)*Time!AK26</f>
        <v>60.6823817077894</v>
      </c>
      <c r="AL13" s="16" t="n">
        <f aca="false">IF(Time!AL39=1,AL12,AL11)*Time!AL26</f>
        <v>62.4421707773153</v>
      </c>
      <c r="AM13" s="16" t="n">
        <f aca="false">IF(Time!AM39=1,AM12,AM11)*Time!AM26</f>
        <v>62.4421707773153</v>
      </c>
      <c r="AN13" s="16" t="n">
        <f aca="false">IF(Time!AN39=1,AN12,AN11)*Time!AN26</f>
        <v>64.2529937298574</v>
      </c>
      <c r="AO13" s="16" t="n">
        <f aca="false">IF(Time!AO39=1,AO12,AO11)*Time!AO26</f>
        <v>64.2529937298574</v>
      </c>
      <c r="AP13" s="16" t="n">
        <f aca="false">IF(Time!AP39=1,AP12,AP11)*Time!AP26</f>
        <v>66.1163305480233</v>
      </c>
      <c r="AQ13" s="16" t="n">
        <f aca="false">IF(Time!AQ39=1,AQ12,AQ11)*Time!AQ26</f>
        <v>66.1163305480233</v>
      </c>
      <c r="AR13" s="16" t="n">
        <f aca="false">IF(Time!AR39=1,AR12,AR11)*Time!AR26</f>
        <v>68.033704133916</v>
      </c>
      <c r="AS13" s="16" t="n">
        <f aca="false">IF(Time!AS39=1,AS12,AS11)*Time!AS26</f>
        <v>68.033704133916</v>
      </c>
      <c r="AT13" s="16" t="n">
        <f aca="false">IF(Time!AT39=1,AT12,AT11)*Time!AT26</f>
        <v>70.0066815537995</v>
      </c>
      <c r="AU13" s="16" t="n">
        <f aca="false">IF(Time!AU39=1,AU12,AU11)*Time!AU26</f>
        <v>70.0066815537995</v>
      </c>
      <c r="AV13" s="16" t="n">
        <f aca="false">IF(Time!AV39=1,AV12,AV11)*Time!AV26</f>
        <v>72.0368753188597</v>
      </c>
      <c r="AW13" s="16" t="n">
        <f aca="false">IF(Time!AW39=1,AW12,AW11)*Time!AW26</f>
        <v>72.0368753188597</v>
      </c>
      <c r="AX13" s="16" t="n">
        <f aca="false">IF(Time!AX39=1,AX12,AX11)*Time!AX26</f>
        <v>73.4776128252369</v>
      </c>
      <c r="AY13" s="16" t="n">
        <f aca="false">IF(Time!AY39=1,AY12,AY11)*Time!AY26</f>
        <v>73.4776128252369</v>
      </c>
      <c r="AZ13" s="16" t="n">
        <f aca="false">IF(Time!AZ39=1,AZ12,AZ11)*Time!AZ26</f>
        <v>74.9471650817416</v>
      </c>
      <c r="BA13" s="16" t="n">
        <f aca="false">IF(Time!BA39=1,BA12,BA11)*Time!BA26</f>
        <v>74.9471650817416</v>
      </c>
      <c r="BB13" s="16" t="n">
        <f aca="false">IF(Time!BB39=1,BB12,BB11)*Time!BB26</f>
        <v>76.4461083833765</v>
      </c>
      <c r="BC13" s="16" t="n">
        <f aca="false">IF(Time!BC39=1,BC12,BC11)*Time!BC26</f>
        <v>76.4461083833765</v>
      </c>
      <c r="BD13" s="16" t="n">
        <f aca="false">IF(Time!BD39=1,BD12,BD11)*Time!BD26</f>
        <v>77.975030551044</v>
      </c>
      <c r="BE13" s="16" t="n">
        <f aca="false">IF(Time!BE39=1,BE12,BE11)*Time!BE26</f>
        <v>77.975030551044</v>
      </c>
      <c r="BF13" s="16" t="n">
        <f aca="false">IF(Time!BF39=1,BF12,BF11)*Time!BF26</f>
        <v>79.5345311620649</v>
      </c>
      <c r="BG13" s="16" t="n">
        <f aca="false">IF(Time!BG39=1,BG12,BG11)*Time!BG26</f>
        <v>79.5345311620649</v>
      </c>
      <c r="BH13" s="16" t="n">
        <f aca="false">IF(Time!BH39=1,BH12,BH11)*Time!BH26</f>
        <v>81.1252217853062</v>
      </c>
      <c r="BI13" s="16" t="n">
        <f aca="false">IF(Time!BI39=1,BI12,BI11)*Time!BI26</f>
        <v>81.1252217853062</v>
      </c>
      <c r="BJ13" s="16" t="n">
        <f aca="false">IF(Time!BJ39=1,BJ12,BJ11)*Time!BJ26</f>
        <v>82.7477262210123</v>
      </c>
      <c r="BK13" s="16" t="n">
        <f aca="false">IF(Time!BK39=1,BK12,BK11)*Time!BK26</f>
        <v>82.7477262210123</v>
      </c>
      <c r="BL13" s="16" t="n">
        <f aca="false">IF(Time!BL39=1,BL12,BL11)*Time!BL26</f>
        <v>84.4026807454326</v>
      </c>
      <c r="BM13" s="16" t="n">
        <f aca="false">IF(Time!BM39=1,BM12,BM11)*Time!BM26</f>
        <v>84.4026807454326</v>
      </c>
      <c r="BN13" s="16" t="n">
        <f aca="false">IF(Time!BN39=1,BN12,BN11)*Time!BN26</f>
        <v>86.0907343603412</v>
      </c>
      <c r="BO13" s="16" t="n">
        <f aca="false">IF(Time!BO39=1,BO12,BO11)*Time!BO26</f>
        <v>86.0907343603412</v>
      </c>
      <c r="BP13" s="16" t="n">
        <f aca="false">IF(Time!BP39=1,BP12,BP11)*Time!BP26</f>
        <v>87.8125490475481</v>
      </c>
      <c r="BQ13" s="16" t="n">
        <f aca="false">IF(Time!BQ39=1,BQ12,BQ11)*Time!BQ26</f>
        <v>87.8125490475481</v>
      </c>
      <c r="BR13" s="16" t="n">
        <f aca="false">IF(Time!BR39=1,BR12,BR11)*Time!BR26</f>
        <v>88.6906745380235</v>
      </c>
      <c r="BS13" s="16" t="n">
        <f aca="false">IF(Time!BS39=1,BS12,BS11)*Time!BS26</f>
        <v>88.6906745380235</v>
      </c>
      <c r="BT13" s="16" t="n">
        <f aca="false">IF(Time!BT39=1,BT12,BT11)*Time!BT26</f>
        <v>89.5775812834038</v>
      </c>
      <c r="BU13" s="16" t="n">
        <f aca="false">IF(Time!BU39=1,BU12,BU11)*Time!BU26</f>
        <v>89.5775812834038</v>
      </c>
      <c r="BV13" s="16" t="n">
        <f aca="false">IF(Time!BV39=1,BV12,BV11)*Time!BV26</f>
        <v>90.4733570962378</v>
      </c>
      <c r="BW13" s="16" t="n">
        <f aca="false">IF(Time!BW39=1,BW12,BW11)*Time!BW26</f>
        <v>90.4733570962378</v>
      </c>
      <c r="BX13" s="16" t="n">
        <f aca="false">IF(Time!BX39=1,BX12,BX11)*Time!BX26</f>
        <v>91.3780906672002</v>
      </c>
      <c r="BY13" s="16" t="n">
        <f aca="false">IF(Time!BY39=1,BY12,BY11)*Time!BY26</f>
        <v>91.3780906672002</v>
      </c>
      <c r="BZ13" s="16" t="n">
        <f aca="false">IF(Time!BZ39=1,BZ12,BZ11)*Time!BZ26</f>
        <v>92.2918715738722</v>
      </c>
      <c r="CA13" s="16" t="n">
        <f aca="false">IF(Time!CA39=1,CA12,CA11)*Time!CA26</f>
        <v>92.2918715738722</v>
      </c>
      <c r="CB13" s="16" t="n">
        <f aca="false">IF(Time!CB39=1,CB12,CB11)*Time!CB26</f>
        <v>93.2147902896109</v>
      </c>
      <c r="CC13" s="16" t="n">
        <f aca="false">IF(Time!CC39=1,CC12,CC11)*Time!CC26</f>
        <v>93.2147902896109</v>
      </c>
      <c r="CD13" s="16" t="n">
        <f aca="false">IF(Time!CD39=1,CD12,CD11)*Time!CD26</f>
        <v>94.146938192507</v>
      </c>
      <c r="CE13" s="16" t="n">
        <f aca="false">IF(Time!CE39=1,CE12,CE11)*Time!CE26</f>
        <v>94.146938192507</v>
      </c>
      <c r="CF13" s="16" t="n">
        <f aca="false">IF(Time!CF39=1,CF12,CF11)*Time!CF26</f>
        <v>95.0884075744321</v>
      </c>
      <c r="CG13" s="16" t="n">
        <f aca="false">IF(Time!CG39=1,CG12,CG11)*Time!CG26</f>
        <v>95.0884075744321</v>
      </c>
      <c r="CH13" s="16" t="n">
        <f aca="false">IF(Time!CH39=1,CH12,CH11)*Time!CH26</f>
        <v>96.0392916501764</v>
      </c>
      <c r="CI13" s="16" t="n">
        <f aca="false">IF(Time!CI39=1,CI12,CI11)*Time!CI26</f>
        <v>96.0392916501764</v>
      </c>
      <c r="CJ13" s="16" t="n">
        <f aca="false">IF(Time!CJ39=1,CJ12,CJ11)*Time!CJ26</f>
        <v>96.9996845666782</v>
      </c>
      <c r="CK13" s="16" t="n">
        <f aca="false">IF(Time!CK39=1,CK12,CK11)*Time!CK26</f>
        <v>96.9996845666782</v>
      </c>
      <c r="CL13" s="16" t="n">
        <f aca="false">IF(Time!CL39=1,CL12,CL11)*Time!CL26</f>
        <v>97.9696814123449</v>
      </c>
      <c r="CM13" s="16" t="n">
        <f aca="false">IF(Time!CM39=1,CM12,CM11)*Time!CM26</f>
        <v>97.9696814123449</v>
      </c>
      <c r="CN13" s="16" t="n">
        <f aca="false">IF(Time!CN39=1,CN12,CN11)*Time!CN26</f>
        <v>98.9493782264684</v>
      </c>
      <c r="CO13" s="16" t="n">
        <f aca="false">IF(Time!CO39=1,CO12,CO11)*Time!CO26</f>
        <v>98.9493782264684</v>
      </c>
      <c r="CP13" s="16" t="n">
        <f aca="false">IF(Time!CP39=1,CP12,CP11)*Time!CP26</f>
        <v>99.9388720087331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8793.41736855728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17.8661753528469</v>
      </c>
      <c r="AA18" s="19" t="n">
        <f aca="false">AA13*Inputs!$F$64*Time!AA25*Inputs!$F$127*Time!AA60*AA17/Inputs!$F$65</f>
        <v>37.2190737271772</v>
      </c>
      <c r="AB18" s="19" t="n">
        <f aca="false">AB13*Inputs!$F$64*Time!AB25*Inputs!$F$127*Time!AB60*AB17/Inputs!$F$65</f>
        <v>44.1958295528515</v>
      </c>
      <c r="AC18" s="19" t="n">
        <f aca="false">AC13*Inputs!$F$64*Time!AC25*Inputs!$F$127*Time!AC60*AC17/Inputs!$F$65</f>
        <v>46.0201748859614</v>
      </c>
      <c r="AD18" s="19" t="n">
        <f aca="false">AD13*Inputs!$F$64*Time!AD25*Inputs!$F$127*Time!AD60*AD17/Inputs!$F$65</f>
        <v>51.5736719958071</v>
      </c>
      <c r="AE18" s="19" t="n">
        <f aca="false">AE13*Inputs!$F$64*Time!AE25*Inputs!$F$127*Time!AE60*AE17/Inputs!$F$65</f>
        <v>54.011122347029</v>
      </c>
      <c r="AF18" s="19" t="n">
        <f aca="false">AF13*Inputs!$F$64*Time!AF25*Inputs!$F$127*Time!AF60*AF17/Inputs!$F$65</f>
        <v>57.6106076174121</v>
      </c>
      <c r="AG18" s="19" t="n">
        <f aca="false">AG13*Inputs!$F$64*Time!AG25*Inputs!$F$127*Time!AG60*AG17/Inputs!$F$65</f>
        <v>60.3127714452656</v>
      </c>
      <c r="AH18" s="19" t="n">
        <f aca="false">AH13*Inputs!$F$64*Time!AH25*Inputs!$F$127*Time!AH60*AH17/Inputs!$F$65</f>
        <v>62.2958815933301</v>
      </c>
      <c r="AI18" s="19" t="n">
        <f aca="false">AI13*Inputs!$F$64*Time!AI25*Inputs!$F$127*Time!AI60*AI17/Inputs!$F$65</f>
        <v>65.228589935282</v>
      </c>
      <c r="AJ18" s="19" t="n">
        <f aca="false">AJ13*Inputs!$F$64*Time!AJ25*Inputs!$F$127*Time!AJ60*AJ17/Inputs!$F$65</f>
        <v>66.3906514451072</v>
      </c>
      <c r="AK18" s="19" t="n">
        <f aca="false">AK13*Inputs!$F$64*Time!AK25*Inputs!$F$127*Time!AK60*AK17/Inputs!$F$65</f>
        <v>69.1429278041305</v>
      </c>
      <c r="AL18" s="19" t="n">
        <f aca="false">AL13*Inputs!$F$64*Time!AL25*Inputs!$F$127*Time!AL60*AL17/Inputs!$F$65</f>
        <v>69.9880497858234</v>
      </c>
      <c r="AM18" s="19" t="n">
        <f aca="false">AM13*Inputs!$F$64*Time!AM25*Inputs!$F$127*Time!AM60*AM17/Inputs!$F$65</f>
        <v>73.2988189357296</v>
      </c>
      <c r="AN18" s="19" t="n">
        <f aca="false">AN13*Inputs!$F$64*Time!AN25*Inputs!$F$127*Time!AN60*AN17/Inputs!$F$65</f>
        <v>74.1947376519604</v>
      </c>
      <c r="AO18" s="19" t="n">
        <f aca="false">AO13*Inputs!$F$64*Time!AO25*Inputs!$F$127*Time!AO60*AO17/Inputs!$F$65</f>
        <v>77.6732980001268</v>
      </c>
      <c r="AP18" s="19" t="n">
        <f aca="false">AP13*Inputs!$F$64*Time!AP25*Inputs!$F$127*Time!AP60*AP17/Inputs!$F$65</f>
        <v>78.6226852131827</v>
      </c>
      <c r="AQ18" s="19" t="n">
        <f aca="false">AQ13*Inputs!$F$64*Time!AQ25*Inputs!$F$127*Time!AQ60*AQ17/Inputs!$F$65</f>
        <v>82.3133137784993</v>
      </c>
      <c r="AR18" s="19" t="n">
        <f aca="false">AR13*Inputs!$F$64*Time!AR25*Inputs!$F$127*Time!AR60*AR17/Inputs!$F$65</f>
        <v>83.7797433576619</v>
      </c>
      <c r="AS18" s="19" t="n">
        <f aca="false">AS13*Inputs!$F$64*Time!AS25*Inputs!$F$127*Time!AS60*AS17/Inputs!$F$65</f>
        <v>87.2327188391785</v>
      </c>
      <c r="AT18" s="19" t="n">
        <f aca="false">AT13*Inputs!$F$64*Time!AT25*Inputs!$F$127*Time!AT60*AT17/Inputs!$F$65</f>
        <v>88.2989491906421</v>
      </c>
      <c r="AU18" s="19" t="n">
        <f aca="false">AU13*Inputs!$F$64*Time!AU25*Inputs!$F$127*Time!AU60*AU17/Inputs!$F$65</f>
        <v>92.446007663981</v>
      </c>
      <c r="AV18" s="19" t="n">
        <f aca="false">AV13*Inputs!$F$64*Time!AV25*Inputs!$F$127*Time!AV60*AV17/Inputs!$F$65</f>
        <v>93.5759591380913</v>
      </c>
      <c r="AW18" s="19" t="n">
        <f aca="false">AW13*Inputs!$F$64*Time!AW25*Inputs!$F$127*Time!AW60*AW17/Inputs!$F$65</f>
        <v>97.4881070403332</v>
      </c>
      <c r="AX18" s="19" t="n">
        <f aca="false">AX13*Inputs!$F$64*Time!AX25*Inputs!$F$127*Time!AX60*AX17/Inputs!$F$65</f>
        <v>97.8165995749257</v>
      </c>
      <c r="AY18" s="19" t="n">
        <f aca="false">AY13*Inputs!$F$64*Time!AY25*Inputs!$F$127*Time!AY60*AY17/Inputs!$F$65</f>
        <v>101.927897925003</v>
      </c>
      <c r="AZ18" s="19" t="n">
        <f aca="false">AZ13*Inputs!$F$64*Time!AZ25*Inputs!$F$127*Time!AZ60*AZ17/Inputs!$F$65</f>
        <v>102.836385710856</v>
      </c>
      <c r="BA18" s="19" t="n">
        <f aca="false">BA13*Inputs!$F$64*Time!BA25*Inputs!$F$127*Time!BA60*BA17/Inputs!$F$65</f>
        <v>106.547921748451</v>
      </c>
      <c r="BB18" s="19" t="n">
        <f aca="false">BB13*Inputs!$F$64*Time!BB25*Inputs!$F$127*Time!BB60*BB17/Inputs!$F$65</f>
        <v>106.90694191956</v>
      </c>
      <c r="BC18" s="19" t="n">
        <f aca="false">BC13*Inputs!$F$64*Time!BC25*Inputs!$F$127*Time!BC60*BC17/Inputs!$F$65</f>
        <v>111.396913919934</v>
      </c>
      <c r="BD18" s="19" t="n">
        <f aca="false">BD13*Inputs!$F$64*Time!BD25*Inputs!$F$127*Time!BD60*BD17/Inputs!$F$65</f>
        <v>111.772273086404</v>
      </c>
      <c r="BE18" s="19" t="n">
        <f aca="false">BE13*Inputs!$F$64*Time!BE25*Inputs!$F$127*Time!BE60*BE17/Inputs!$F$65</f>
        <v>116.483883934928</v>
      </c>
      <c r="BF18" s="19" t="n">
        <f aca="false">BF13*Inputs!$F$64*Time!BF25*Inputs!$F$127*Time!BF60*BF17/Inputs!$F$65</f>
        <v>116.876383978622</v>
      </c>
      <c r="BG18" s="19" t="n">
        <f aca="false">BG13*Inputs!$F$64*Time!BG25*Inputs!$F$127*Time!BG60*BG17/Inputs!$F$65</f>
        <v>121.773959020884</v>
      </c>
      <c r="BH18" s="19" t="n">
        <f aca="false">BH13*Inputs!$F$64*Time!BH25*Inputs!$F$127*Time!BH60*BH17/Inputs!$F$65</f>
        <v>122.859335612157</v>
      </c>
      <c r="BI18" s="19" t="n">
        <f aca="false">BI13*Inputs!$F$64*Time!BI25*Inputs!$F$127*Time!BI60*BI17/Inputs!$F$65</f>
        <v>127.319181029999</v>
      </c>
      <c r="BJ18" s="19" t="n">
        <f aca="false">BJ13*Inputs!$F$64*Time!BJ25*Inputs!$F$127*Time!BJ60*BJ17/Inputs!$F$65</f>
        <v>127.748191313904</v>
      </c>
      <c r="BK18" s="19" t="n">
        <f aca="false">BK13*Inputs!$F$64*Time!BK25*Inputs!$F$127*Time!BK60*BK17/Inputs!$F$65</f>
        <v>133.129442558631</v>
      </c>
      <c r="BL18" s="19" t="n">
        <f aca="false">BL13*Inputs!$F$64*Time!BL25*Inputs!$F$127*Time!BL60*BL17/Inputs!$F$65</f>
        <v>133.578030897688</v>
      </c>
      <c r="BM18" s="19" t="n">
        <f aca="false">BM13*Inputs!$F$64*Time!BM25*Inputs!$F$127*Time!BM60*BM17/Inputs!$F$65</f>
        <v>139.168076389606</v>
      </c>
      <c r="BN18" s="19" t="n">
        <f aca="false">BN13*Inputs!$F$64*Time!BN25*Inputs!$F$127*Time!BN60*BN17/Inputs!$F$65</f>
        <v>139.637012299179</v>
      </c>
      <c r="BO18" s="19" t="n">
        <f aca="false">BO13*Inputs!$F$64*Time!BO25*Inputs!$F$127*Time!BO60*BO17/Inputs!$F$65</f>
        <v>145.490658404557</v>
      </c>
      <c r="BP18" s="19" t="n">
        <f aca="false">BP13*Inputs!$F$64*Time!BP25*Inputs!$F$127*Time!BP60*BP17/Inputs!$F$65</f>
        <v>146.787422968597</v>
      </c>
      <c r="BQ18" s="19" t="n">
        <f aca="false">BQ13*Inputs!$F$64*Time!BQ25*Inputs!$F$127*Time!BQ60*BQ17/Inputs!$F$65</f>
        <v>152.108044169466</v>
      </c>
      <c r="BR18" s="19" t="n">
        <f aca="false">BR13*Inputs!$F$64*Time!BR25*Inputs!$F$127*Time!BR60*BR17/Inputs!$F$65</f>
        <v>151.124301927283</v>
      </c>
      <c r="BS18" s="19" t="n">
        <f aca="false">BS13*Inputs!$F$64*Time!BS25*Inputs!$F$127*Time!BS60*BS17/Inputs!$F$65</f>
        <v>157.472316310863</v>
      </c>
      <c r="BT18" s="19" t="n">
        <f aca="false">BT13*Inputs!$F$64*Time!BT25*Inputs!$F$127*Time!BT60*BT17/Inputs!$F$65</f>
        <v>156.453881221678</v>
      </c>
      <c r="BU18" s="19" t="n">
        <f aca="false">BU13*Inputs!$F$64*Time!BU25*Inputs!$F$127*Time!BU60*BU17/Inputs!$F$65</f>
        <v>163.028191901355</v>
      </c>
      <c r="BV18" s="19" t="n">
        <f aca="false">BV13*Inputs!$F$64*Time!BV25*Inputs!$F$127*Time!BV60*BV17/Inputs!$F$65</f>
        <v>161.973824790689</v>
      </c>
      <c r="BW18" s="19" t="n">
        <f aca="false">BW13*Inputs!$F$64*Time!BW25*Inputs!$F$127*Time!BW60*BW17/Inputs!$F$65</f>
        <v>168.779961870817</v>
      </c>
      <c r="BX18" s="19" t="n">
        <f aca="false">BX13*Inputs!$F$64*Time!BX25*Inputs!$F$127*Time!BX60*BX17/Inputs!$F$65</f>
        <v>168.614851038552</v>
      </c>
      <c r="BY18" s="19" t="n">
        <f aca="false">BY13*Inputs!$F$64*Time!BY25*Inputs!$F$127*Time!BY60*BY17/Inputs!$F$65</f>
        <v>174.731993760258</v>
      </c>
      <c r="BZ18" s="19" t="n">
        <f aca="false">BZ13*Inputs!$F$64*Time!BZ25*Inputs!$F$127*Time!BZ60*BZ17/Inputs!$F$65</f>
        <v>173.601933583222</v>
      </c>
      <c r="CA18" s="19" t="n">
        <f aca="false">CA13*Inputs!$F$64*Time!CA25*Inputs!$F$127*Time!CA60*CA17/Inputs!$F$65</f>
        <v>180.888732924478</v>
      </c>
      <c r="CB18" s="19" t="n">
        <f aca="false">CB13*Inputs!$F$64*Time!CB25*Inputs!$F$127*Time!CB60*CB17/Inputs!$F$65</f>
        <v>179.718854706107</v>
      </c>
      <c r="CC18" s="19" t="n">
        <f aca="false">CC13*Inputs!$F$64*Time!CC25*Inputs!$F$127*Time!CC60*CC17/Inputs!$F$65</f>
        <v>187.254703752115</v>
      </c>
      <c r="CD18" s="19" t="n">
        <f aca="false">CD13*Inputs!$F$64*Time!CD25*Inputs!$F$127*Time!CD60*CD17/Inputs!$F$65</f>
        <v>186.04365430937</v>
      </c>
      <c r="CE18" s="19" t="n">
        <f aca="false">CE13*Inputs!$F$64*Time!CE25*Inputs!$F$127*Time!CE60*CE17/Inputs!$F$65</f>
        <v>193.834510903316</v>
      </c>
      <c r="CF18" s="19" t="n">
        <f aca="false">CF13*Inputs!$F$64*Time!CF25*Inputs!$F$127*Time!CF60*CF17/Inputs!$F$65</f>
        <v>193.644890186128</v>
      </c>
      <c r="CG18" s="19" t="n">
        <f aca="false">CG13*Inputs!$F$64*Time!CG25*Inputs!$F$127*Time!CG60*CG17/Inputs!$F$65</f>
        <v>200.685666484326</v>
      </c>
      <c r="CH18" s="19" t="n">
        <f aca="false">CH13*Inputs!$F$64*Time!CH25*Inputs!$F$127*Time!CH60*CH17/Inputs!$F$65</f>
        <v>199.387753749998</v>
      </c>
      <c r="CI18" s="19" t="n">
        <f aca="false">CI13*Inputs!$F$64*Time!CI25*Inputs!$F$127*Time!CI60*CI17/Inputs!$F$65</f>
        <v>207.761170082355</v>
      </c>
      <c r="CJ18" s="19" t="n">
        <f aca="false">CJ13*Inputs!$F$64*Time!CJ25*Inputs!$F$127*Time!CJ60*CJ17/Inputs!$F$65</f>
        <v>206.417497297583</v>
      </c>
      <c r="CK18" s="19" t="n">
        <f aca="false">CK13*Inputs!$F$64*Time!CK25*Inputs!$F$127*Time!CK60*CK17/Inputs!$F$65</f>
        <v>215.065890625749</v>
      </c>
      <c r="CL18" s="19" t="n">
        <f aca="false">CL13*Inputs!$F$64*Time!CL25*Inputs!$F$127*Time!CL60*CL17/Inputs!$F$65</f>
        <v>213.674975354854</v>
      </c>
      <c r="CM18" s="19" t="n">
        <f aca="false">CM13*Inputs!$F$64*Time!CM25*Inputs!$F$127*Time!CM60*CM17/Inputs!$F$65</f>
        <v>222.659209254682</v>
      </c>
      <c r="CN18" s="19" t="n">
        <f aca="false">CN13*Inputs!$F$64*Time!CN25*Inputs!$F$127*Time!CN60*CN17/Inputs!$F$65</f>
        <v>222.44139046302</v>
      </c>
      <c r="CO18" s="19" t="n">
        <f aca="false">CO13*Inputs!$F$64*Time!CO25*Inputs!$F$127*Time!CO60*CO17/Inputs!$F$65</f>
        <v>230.49282939353</v>
      </c>
      <c r="CP18" s="19" t="n">
        <f aca="false">CP13*Inputs!$F$64*Time!CP25*Inputs!$F$127*Time!CP60*CP17/Inputs!$F$65</f>
        <v>184.719959904185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158.281512634031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0.321591156351244</v>
      </c>
      <c r="AA19" s="19" t="n">
        <f aca="false">AA18*Inputs!$F$128</f>
        <v>0.66994332708919</v>
      </c>
      <c r="AB19" s="19" t="n">
        <f aca="false">AB18*Inputs!$F$128</f>
        <v>0.795524931951328</v>
      </c>
      <c r="AC19" s="19" t="n">
        <f aca="false">AC18*Inputs!$F$128</f>
        <v>0.828363147947305</v>
      </c>
      <c r="AD19" s="19" t="n">
        <f aca="false">AD18*Inputs!$F$128</f>
        <v>0.928326095924528</v>
      </c>
      <c r="AE19" s="19" t="n">
        <f aca="false">AE18*Inputs!$F$128</f>
        <v>0.972200202246522</v>
      </c>
      <c r="AF19" s="19" t="n">
        <f aca="false">AF18*Inputs!$F$128</f>
        <v>1.03699093711342</v>
      </c>
      <c r="AG19" s="19" t="n">
        <f aca="false">AG18*Inputs!$F$128</f>
        <v>1.08562988601478</v>
      </c>
      <c r="AH19" s="19" t="n">
        <f aca="false">AH18*Inputs!$F$128</f>
        <v>1.12132586867994</v>
      </c>
      <c r="AI19" s="19" t="n">
        <f aca="false">AI18*Inputs!$F$128</f>
        <v>1.17411461883507</v>
      </c>
      <c r="AJ19" s="19" t="n">
        <f aca="false">AJ18*Inputs!$F$128</f>
        <v>1.19503172601193</v>
      </c>
      <c r="AK19" s="19" t="n">
        <f aca="false">AK18*Inputs!$F$128</f>
        <v>1.24457270047435</v>
      </c>
      <c r="AL19" s="19" t="n">
        <f aca="false">AL18*Inputs!$F$128</f>
        <v>1.25978489614482</v>
      </c>
      <c r="AM19" s="19" t="n">
        <f aca="false">AM18*Inputs!$F$128</f>
        <v>1.31937874084313</v>
      </c>
      <c r="AN19" s="19" t="n">
        <f aca="false">AN18*Inputs!$F$128</f>
        <v>1.33550527773529</v>
      </c>
      <c r="AO19" s="19" t="n">
        <f aca="false">AO18*Inputs!$F$128</f>
        <v>1.39811936400228</v>
      </c>
      <c r="AP19" s="19" t="n">
        <f aca="false">AP18*Inputs!$F$128</f>
        <v>1.41520833383729</v>
      </c>
      <c r="AQ19" s="19" t="n">
        <f aca="false">AQ18*Inputs!$F$128</f>
        <v>1.48163964801299</v>
      </c>
      <c r="AR19" s="19" t="n">
        <f aca="false">AR18*Inputs!$F$128</f>
        <v>1.50803538043791</v>
      </c>
      <c r="AS19" s="19" t="n">
        <f aca="false">AS18*Inputs!$F$128</f>
        <v>1.57018893910521</v>
      </c>
      <c r="AT19" s="19" t="n">
        <f aca="false">AT18*Inputs!$F$128</f>
        <v>1.58938108543156</v>
      </c>
      <c r="AU19" s="19" t="n">
        <f aca="false">AU18*Inputs!$F$128</f>
        <v>1.66402813795166</v>
      </c>
      <c r="AV19" s="19" t="n">
        <f aca="false">AV18*Inputs!$F$128</f>
        <v>1.68436726448564</v>
      </c>
      <c r="AW19" s="19" t="n">
        <f aca="false">AW18*Inputs!$F$128</f>
        <v>1.754785926726</v>
      </c>
      <c r="AX19" s="19" t="n">
        <f aca="false">AX18*Inputs!$F$128</f>
        <v>1.76069879234866</v>
      </c>
      <c r="AY19" s="19" t="n">
        <f aca="false">AY18*Inputs!$F$128</f>
        <v>1.83470216265005</v>
      </c>
      <c r="AZ19" s="19" t="n">
        <f aca="false">AZ18*Inputs!$F$128</f>
        <v>1.85105494279541</v>
      </c>
      <c r="BA19" s="19" t="n">
        <f aca="false">BA18*Inputs!$F$128</f>
        <v>1.91786259147213</v>
      </c>
      <c r="BB19" s="19" t="n">
        <f aca="false">BB18*Inputs!$F$128</f>
        <v>1.92432495455209</v>
      </c>
      <c r="BC19" s="19" t="n">
        <f aca="false">BC18*Inputs!$F$128</f>
        <v>2.00514445055882</v>
      </c>
      <c r="BD19" s="19" t="n">
        <f aca="false">BD18*Inputs!$F$128</f>
        <v>2.01190091555527</v>
      </c>
      <c r="BE19" s="19" t="n">
        <f aca="false">BE18*Inputs!$F$128</f>
        <v>2.09670991082871</v>
      </c>
      <c r="BF19" s="19" t="n">
        <f aca="false">BF18*Inputs!$F$128</f>
        <v>2.1037749116152</v>
      </c>
      <c r="BG19" s="19" t="n">
        <f aca="false">BG18*Inputs!$F$128</f>
        <v>2.19193126237591</v>
      </c>
      <c r="BH19" s="19" t="n">
        <f aca="false">BH18*Inputs!$F$128</f>
        <v>2.21146804101882</v>
      </c>
      <c r="BI19" s="19" t="n">
        <f aca="false">BI18*Inputs!$F$128</f>
        <v>2.29174525853998</v>
      </c>
      <c r="BJ19" s="19" t="n">
        <f aca="false">BJ18*Inputs!$F$128</f>
        <v>2.29946744365027</v>
      </c>
      <c r="BK19" s="19" t="n">
        <f aca="false">BK18*Inputs!$F$128</f>
        <v>2.39632996605536</v>
      </c>
      <c r="BL19" s="19" t="n">
        <f aca="false">BL18*Inputs!$F$128</f>
        <v>2.40440455615838</v>
      </c>
      <c r="BM19" s="19" t="n">
        <f aca="false">BM18*Inputs!$F$128</f>
        <v>2.5050253750129</v>
      </c>
      <c r="BN19" s="19" t="n">
        <f aca="false">BN18*Inputs!$F$128</f>
        <v>2.51346622138523</v>
      </c>
      <c r="BO19" s="19" t="n">
        <f aca="false">BO18*Inputs!$F$128</f>
        <v>2.61883185128202</v>
      </c>
      <c r="BP19" s="19" t="n">
        <f aca="false">BP18*Inputs!$F$128</f>
        <v>2.64217361343475</v>
      </c>
      <c r="BQ19" s="19" t="n">
        <f aca="false">BQ18*Inputs!$F$128</f>
        <v>2.73794479505039</v>
      </c>
      <c r="BR19" s="19" t="n">
        <f aca="false">BR18*Inputs!$F$128</f>
        <v>2.7202374346911</v>
      </c>
      <c r="BS19" s="19" t="n">
        <f aca="false">BS18*Inputs!$F$128</f>
        <v>2.83450169359553</v>
      </c>
      <c r="BT19" s="19" t="n">
        <f aca="false">BT18*Inputs!$F$128</f>
        <v>2.81616986199021</v>
      </c>
      <c r="BU19" s="19" t="n">
        <f aca="false">BU18*Inputs!$F$128</f>
        <v>2.93450745422439</v>
      </c>
      <c r="BV19" s="19" t="n">
        <f aca="false">BV18*Inputs!$F$128</f>
        <v>2.91552884623239</v>
      </c>
      <c r="BW19" s="19" t="n">
        <f aca="false">BW18*Inputs!$F$128</f>
        <v>3.03803931367471</v>
      </c>
      <c r="BX19" s="19" t="n">
        <f aca="false">BX18*Inputs!$F$128</f>
        <v>3.03506731869394</v>
      </c>
      <c r="BY19" s="19" t="n">
        <f aca="false">BY18*Inputs!$F$128</f>
        <v>3.14517588768464</v>
      </c>
      <c r="BZ19" s="19" t="n">
        <f aca="false">BZ18*Inputs!$F$128</f>
        <v>3.12483480449799</v>
      </c>
      <c r="CA19" s="19" t="n">
        <f aca="false">CA18*Inputs!$F$128</f>
        <v>3.2559971926406</v>
      </c>
      <c r="CB19" s="19" t="n">
        <f aca="false">CB18*Inputs!$F$128</f>
        <v>3.23493938470993</v>
      </c>
      <c r="CC19" s="19" t="n">
        <f aca="false">CC18*Inputs!$F$128</f>
        <v>3.37058466753806</v>
      </c>
      <c r="CD19" s="19" t="n">
        <f aca="false">CD18*Inputs!$F$128</f>
        <v>3.34878577756866</v>
      </c>
      <c r="CE19" s="19" t="n">
        <f aca="false">CE18*Inputs!$F$128</f>
        <v>3.48902119625968</v>
      </c>
      <c r="CF19" s="19" t="n">
        <f aca="false">CF18*Inputs!$F$128</f>
        <v>3.4856080233503</v>
      </c>
      <c r="CG19" s="19" t="n">
        <f aca="false">CG18*Inputs!$F$128</f>
        <v>3.61234199671788</v>
      </c>
      <c r="CH19" s="19" t="n">
        <f aca="false">CH18*Inputs!$F$128</f>
        <v>3.58897956749997</v>
      </c>
      <c r="CI19" s="19" t="n">
        <f aca="false">CI18*Inputs!$F$128</f>
        <v>3.73970106148239</v>
      </c>
      <c r="CJ19" s="19" t="n">
        <f aca="false">CJ18*Inputs!$F$128</f>
        <v>3.7155149513565</v>
      </c>
      <c r="CK19" s="19" t="n">
        <f aca="false">CK18*Inputs!$F$128</f>
        <v>3.87118603126348</v>
      </c>
      <c r="CL19" s="19" t="n">
        <f aca="false">CL18*Inputs!$F$128</f>
        <v>3.84614955638737</v>
      </c>
      <c r="CM19" s="19" t="n">
        <f aca="false">CM18*Inputs!$F$128</f>
        <v>4.00786576658428</v>
      </c>
      <c r="CN19" s="19" t="n">
        <f aca="false">CN18*Inputs!$F$128</f>
        <v>4.00394502833437</v>
      </c>
      <c r="CO19" s="19" t="n">
        <f aca="false">CO18*Inputs!$F$128</f>
        <v>4.14887092908355</v>
      </c>
      <c r="CP19" s="19" t="n">
        <f aca="false">CP18*Inputs!$F$128</f>
        <v>3.32495927827532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8635.13585592325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17.5445841964957</v>
      </c>
      <c r="AA20" s="19" t="n">
        <f aca="false">AA18-AA19</f>
        <v>36.549130400088</v>
      </c>
      <c r="AB20" s="19" t="n">
        <f aca="false">AB18-AB19</f>
        <v>43.4003046209002</v>
      </c>
      <c r="AC20" s="19" t="n">
        <f aca="false">AC18-AC19</f>
        <v>45.1918117380141</v>
      </c>
      <c r="AD20" s="19" t="n">
        <f aca="false">AD18-AD19</f>
        <v>50.6453458998826</v>
      </c>
      <c r="AE20" s="19" t="n">
        <f aca="false">AE18-AE19</f>
        <v>53.0389221447825</v>
      </c>
      <c r="AF20" s="19" t="n">
        <f aca="false">AF18-AF19</f>
        <v>56.5736166802987</v>
      </c>
      <c r="AG20" s="19" t="n">
        <f aca="false">AG18-AG19</f>
        <v>59.2271415592508</v>
      </c>
      <c r="AH20" s="19" t="n">
        <f aca="false">AH18-AH19</f>
        <v>61.1745557246501</v>
      </c>
      <c r="AI20" s="19" t="n">
        <f aca="false">AI18-AI19</f>
        <v>64.0544753164469</v>
      </c>
      <c r="AJ20" s="19" t="n">
        <f aca="false">AJ18-AJ19</f>
        <v>65.1956197190953</v>
      </c>
      <c r="AK20" s="19" t="n">
        <f aca="false">AK18-AK19</f>
        <v>67.8983551036562</v>
      </c>
      <c r="AL20" s="19" t="n">
        <f aca="false">AL18-AL19</f>
        <v>68.7282648896786</v>
      </c>
      <c r="AM20" s="19" t="n">
        <f aca="false">AM18-AM19</f>
        <v>71.9794401948865</v>
      </c>
      <c r="AN20" s="19" t="n">
        <f aca="false">AN18-AN19</f>
        <v>72.8592323742251</v>
      </c>
      <c r="AO20" s="19" t="n">
        <f aca="false">AO18-AO19</f>
        <v>76.2751786361245</v>
      </c>
      <c r="AP20" s="19" t="n">
        <f aca="false">AP18-AP19</f>
        <v>77.2074768793454</v>
      </c>
      <c r="AQ20" s="19" t="n">
        <f aca="false">AQ18-AQ19</f>
        <v>80.8316741304863</v>
      </c>
      <c r="AR20" s="19" t="n">
        <f aca="false">AR18-AR19</f>
        <v>82.271707977224</v>
      </c>
      <c r="AS20" s="19" t="n">
        <f aca="false">AS18-AS19</f>
        <v>85.6625299000733</v>
      </c>
      <c r="AT20" s="19" t="n">
        <f aca="false">AT18-AT19</f>
        <v>86.7095681052106</v>
      </c>
      <c r="AU20" s="19" t="n">
        <f aca="false">AU18-AU19</f>
        <v>90.7819795260294</v>
      </c>
      <c r="AV20" s="19" t="n">
        <f aca="false">AV18-AV19</f>
        <v>91.8915918736057</v>
      </c>
      <c r="AW20" s="19" t="n">
        <f aca="false">AW18-AW19</f>
        <v>95.7333211136072</v>
      </c>
      <c r="AX20" s="19" t="n">
        <f aca="false">AX18-AX19</f>
        <v>96.055900782577</v>
      </c>
      <c r="AY20" s="19" t="n">
        <f aca="false">AY18-AY19</f>
        <v>100.093195762353</v>
      </c>
      <c r="AZ20" s="19" t="n">
        <f aca="false">AZ18-AZ19</f>
        <v>100.98533076806</v>
      </c>
      <c r="BA20" s="19" t="n">
        <f aca="false">BA18-BA19</f>
        <v>104.630059156979</v>
      </c>
      <c r="BB20" s="19" t="n">
        <f aca="false">BB18-BB19</f>
        <v>104.982616965008</v>
      </c>
      <c r="BC20" s="19" t="n">
        <f aca="false">BC18-BC19</f>
        <v>109.391769469376</v>
      </c>
      <c r="BD20" s="19" t="n">
        <f aca="false">BD18-BD19</f>
        <v>109.760372170848</v>
      </c>
      <c r="BE20" s="19" t="n">
        <f aca="false">BE18-BE19</f>
        <v>114.3871740241</v>
      </c>
      <c r="BF20" s="19" t="n">
        <f aca="false">BF18-BF19</f>
        <v>114.772609067007</v>
      </c>
      <c r="BG20" s="19" t="n">
        <f aca="false">BG18-BG19</f>
        <v>119.582027758508</v>
      </c>
      <c r="BH20" s="19" t="n">
        <f aca="false">BH18-BH19</f>
        <v>120.647867571138</v>
      </c>
      <c r="BI20" s="19" t="n">
        <f aca="false">BI18-BI19</f>
        <v>125.027435771459</v>
      </c>
      <c r="BJ20" s="19" t="n">
        <f aca="false">BJ18-BJ19</f>
        <v>125.448723870254</v>
      </c>
      <c r="BK20" s="19" t="n">
        <f aca="false">BK18-BK19</f>
        <v>130.733112592576</v>
      </c>
      <c r="BL20" s="19" t="n">
        <f aca="false">BL18-BL19</f>
        <v>131.173626341529</v>
      </c>
      <c r="BM20" s="19" t="n">
        <f aca="false">BM18-BM19</f>
        <v>136.663051014593</v>
      </c>
      <c r="BN20" s="19" t="n">
        <f aca="false">BN18-BN19</f>
        <v>137.123546077794</v>
      </c>
      <c r="BO20" s="19" t="n">
        <f aca="false">BO18-BO19</f>
        <v>142.871826553275</v>
      </c>
      <c r="BP20" s="19" t="n">
        <f aca="false">BP18-BP19</f>
        <v>144.145249355163</v>
      </c>
      <c r="BQ20" s="19" t="n">
        <f aca="false">BQ18-BQ19</f>
        <v>149.370099374416</v>
      </c>
      <c r="BR20" s="19" t="n">
        <f aca="false">BR18-BR19</f>
        <v>148.404064492592</v>
      </c>
      <c r="BS20" s="19" t="n">
        <f aca="false">BS18-BS19</f>
        <v>154.637814617267</v>
      </c>
      <c r="BT20" s="19" t="n">
        <f aca="false">BT18-BT19</f>
        <v>153.637711359688</v>
      </c>
      <c r="BU20" s="19" t="n">
        <f aca="false">BU18-BU19</f>
        <v>160.09368444713</v>
      </c>
      <c r="BV20" s="19" t="n">
        <f aca="false">BV18-BV19</f>
        <v>159.058295944456</v>
      </c>
      <c r="BW20" s="19" t="n">
        <f aca="false">BW18-BW19</f>
        <v>165.741922557142</v>
      </c>
      <c r="BX20" s="19" t="n">
        <f aca="false">BX18-BX19</f>
        <v>165.579783719858</v>
      </c>
      <c r="BY20" s="19" t="n">
        <f aca="false">BY18-BY19</f>
        <v>171.586817872573</v>
      </c>
      <c r="BZ20" s="19" t="n">
        <f aca="false">BZ18-BZ19</f>
        <v>170.477098778724</v>
      </c>
      <c r="CA20" s="19" t="n">
        <f aca="false">CA18-CA19</f>
        <v>177.632735731837</v>
      </c>
      <c r="CB20" s="19" t="n">
        <f aca="false">CB18-CB19</f>
        <v>176.483915321397</v>
      </c>
      <c r="CC20" s="19" t="n">
        <f aca="false">CC18-CC19</f>
        <v>183.884119084577</v>
      </c>
      <c r="CD20" s="19" t="n">
        <f aca="false">CD18-CD19</f>
        <v>182.694868531801</v>
      </c>
      <c r="CE20" s="19" t="n">
        <f aca="false">CE18-CE19</f>
        <v>190.345489707056</v>
      </c>
      <c r="CF20" s="19" t="n">
        <f aca="false">CF18-CF19</f>
        <v>190.159282162778</v>
      </c>
      <c r="CG20" s="19" t="n">
        <f aca="false">CG18-CG19</f>
        <v>197.073324487609</v>
      </c>
      <c r="CH20" s="19" t="n">
        <f aca="false">CH18-CH19</f>
        <v>195.798774182498</v>
      </c>
      <c r="CI20" s="19" t="n">
        <f aca="false">CI18-CI19</f>
        <v>204.021469020873</v>
      </c>
      <c r="CJ20" s="19" t="n">
        <f aca="false">CJ18-CJ19</f>
        <v>202.701982346227</v>
      </c>
      <c r="CK20" s="19" t="n">
        <f aca="false">CK18-CK19</f>
        <v>211.194704594485</v>
      </c>
      <c r="CL20" s="19" t="n">
        <f aca="false">CL18-CL19</f>
        <v>209.828825798467</v>
      </c>
      <c r="CM20" s="19" t="n">
        <f aca="false">CM18-CM19</f>
        <v>218.651343488098</v>
      </c>
      <c r="CN20" s="19" t="n">
        <f aca="false">CN18-CN19</f>
        <v>218.437445434686</v>
      </c>
      <c r="CO20" s="19" t="n">
        <f aca="false">CO18-CO19</f>
        <v>226.343958464447</v>
      </c>
      <c r="CP20" s="19" t="n">
        <f aca="false">CP18-CP19</f>
        <v>181.395000625909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535.378423067241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1.08776422018273</v>
      </c>
      <c r="AA26" s="19" t="n">
        <f aca="false">Inputs!$F$143*AA20*Inputs!$F$221</f>
        <v>2.26604608480546</v>
      </c>
      <c r="AB26" s="19" t="n">
        <f aca="false">Inputs!$F$143*AB20*Inputs!$F$221</f>
        <v>2.69081888649581</v>
      </c>
      <c r="AC26" s="19" t="n">
        <f aca="false">Inputs!$F$143*AC20*Inputs!$F$221</f>
        <v>2.80189232775687</v>
      </c>
      <c r="AD26" s="19" t="n">
        <f aca="false">Inputs!$F$143*AD20*Inputs!$F$221</f>
        <v>3.14001144579272</v>
      </c>
      <c r="AE26" s="19" t="n">
        <f aca="false">Inputs!$F$143*AE20*Inputs!$F$221</f>
        <v>3.28841317297651</v>
      </c>
      <c r="AF26" s="19" t="n">
        <f aca="false">Inputs!$F$143*AF20*Inputs!$F$221</f>
        <v>3.50756423417852</v>
      </c>
      <c r="AG26" s="19" t="n">
        <f aca="false">Inputs!$F$143*AG20*Inputs!$F$221</f>
        <v>3.67208277667355</v>
      </c>
      <c r="AH26" s="19" t="n">
        <f aca="false">Inputs!$F$143*AH20*Inputs!$F$221</f>
        <v>3.79282245492831</v>
      </c>
      <c r="AI26" s="19" t="n">
        <f aca="false">Inputs!$F$143*AI20*Inputs!$F$221</f>
        <v>3.97137746961971</v>
      </c>
      <c r="AJ26" s="19" t="n">
        <f aca="false">Inputs!$F$143*AJ20*Inputs!$F$221</f>
        <v>4.04212842258391</v>
      </c>
      <c r="AK26" s="19" t="n">
        <f aca="false">Inputs!$F$143*AK20*Inputs!$F$221</f>
        <v>4.20969801642668</v>
      </c>
      <c r="AL26" s="19" t="n">
        <f aca="false">Inputs!$F$143*AL20*Inputs!$F$221</f>
        <v>4.26115242316007</v>
      </c>
      <c r="AM26" s="19" t="n">
        <f aca="false">Inputs!$F$143*AM20*Inputs!$F$221</f>
        <v>4.46272529208296</v>
      </c>
      <c r="AN26" s="19" t="n">
        <f aca="false">Inputs!$F$143*AN20*Inputs!$F$221</f>
        <v>4.51727240720196</v>
      </c>
      <c r="AO26" s="19" t="n">
        <f aca="false">Inputs!$F$143*AO20*Inputs!$F$221</f>
        <v>4.72906107543972</v>
      </c>
      <c r="AP26" s="19" t="n">
        <f aca="false">Inputs!$F$143*AP20*Inputs!$F$221</f>
        <v>4.78686356651942</v>
      </c>
      <c r="AQ26" s="19" t="n">
        <f aca="false">Inputs!$F$143*AQ20*Inputs!$F$221</f>
        <v>5.01156379609015</v>
      </c>
      <c r="AR26" s="19" t="n">
        <f aca="false">Inputs!$F$143*AR20*Inputs!$F$221</f>
        <v>5.10084589458789</v>
      </c>
      <c r="AS26" s="19" t="n">
        <f aca="false">Inputs!$F$143*AS20*Inputs!$F$221</f>
        <v>5.31107685380454</v>
      </c>
      <c r="AT26" s="19" t="n">
        <f aca="false">Inputs!$F$143*AT20*Inputs!$F$221</f>
        <v>5.37599322252306</v>
      </c>
      <c r="AU26" s="19" t="n">
        <f aca="false">Inputs!$F$143*AU20*Inputs!$F$221</f>
        <v>5.62848273061382</v>
      </c>
      <c r="AV26" s="19" t="n">
        <f aca="false">Inputs!$F$143*AV20*Inputs!$F$221</f>
        <v>5.69727869616355</v>
      </c>
      <c r="AW26" s="19" t="n">
        <f aca="false">Inputs!$F$143*AW20*Inputs!$F$221</f>
        <v>5.93546590904365</v>
      </c>
      <c r="AX26" s="19" t="n">
        <f aca="false">Inputs!$F$143*AX20*Inputs!$F$221</f>
        <v>5.95546584851977</v>
      </c>
      <c r="AY26" s="19" t="n">
        <f aca="false">Inputs!$F$143*AY20*Inputs!$F$221</f>
        <v>6.20577813726586</v>
      </c>
      <c r="AZ26" s="19" t="n">
        <f aca="false">Inputs!$F$143*AZ20*Inputs!$F$221</f>
        <v>6.26109050761975</v>
      </c>
      <c r="BA26" s="19" t="n">
        <f aca="false">Inputs!$F$143*BA20*Inputs!$F$221</f>
        <v>6.48706366773272</v>
      </c>
      <c r="BB26" s="19" t="n">
        <f aca="false">Inputs!$F$143*BB20*Inputs!$F$221</f>
        <v>6.50892225183051</v>
      </c>
      <c r="BC26" s="19" t="n">
        <f aca="false">Inputs!$F$143*BC20*Inputs!$F$221</f>
        <v>6.78228970710128</v>
      </c>
      <c r="BD26" s="19" t="n">
        <f aca="false">Inputs!$F$143*BD20*Inputs!$F$221</f>
        <v>6.8051430745926</v>
      </c>
      <c r="BE26" s="19" t="n">
        <f aca="false">Inputs!$F$143*BE20*Inputs!$F$221</f>
        <v>7.09200478949419</v>
      </c>
      <c r="BF26" s="19" t="n">
        <f aca="false">Inputs!$F$143*BF20*Inputs!$F$221</f>
        <v>7.11590176215444</v>
      </c>
      <c r="BG26" s="19" t="n">
        <f aca="false">Inputs!$F$143*BG20*Inputs!$F$221</f>
        <v>7.41408572102748</v>
      </c>
      <c r="BH26" s="19" t="n">
        <f aca="false">Inputs!$F$143*BH20*Inputs!$F$221</f>
        <v>7.48016778941055</v>
      </c>
      <c r="BI26" s="19" t="n">
        <f aca="false">Inputs!$F$143*BI20*Inputs!$F$221</f>
        <v>7.75170101783044</v>
      </c>
      <c r="BJ26" s="19" t="n">
        <f aca="false">Inputs!$F$143*BJ20*Inputs!$F$221</f>
        <v>7.77782087995574</v>
      </c>
      <c r="BK26" s="19" t="n">
        <f aca="false">Inputs!$F$143*BK20*Inputs!$F$221</f>
        <v>8.10545298073971</v>
      </c>
      <c r="BL26" s="19" t="n">
        <f aca="false">Inputs!$F$143*BL20*Inputs!$F$221</f>
        <v>8.13276483317482</v>
      </c>
      <c r="BM26" s="19" t="n">
        <f aca="false">Inputs!$F$143*BM20*Inputs!$F$221</f>
        <v>8.47310916290476</v>
      </c>
      <c r="BN26" s="19" t="n">
        <f aca="false">Inputs!$F$143*BN20*Inputs!$F$221</f>
        <v>8.50165985682324</v>
      </c>
      <c r="BO26" s="19" t="n">
        <f aca="false">Inputs!$F$143*BO20*Inputs!$F$221</f>
        <v>8.85805324630303</v>
      </c>
      <c r="BP26" s="19" t="n">
        <f aca="false">Inputs!$F$143*BP20*Inputs!$F$221</f>
        <v>8.93700546002008</v>
      </c>
      <c r="BQ26" s="19" t="n">
        <f aca="false">Inputs!$F$143*BQ20*Inputs!$F$221</f>
        <v>9.26094616121378</v>
      </c>
      <c r="BR26" s="19" t="n">
        <f aca="false">Inputs!$F$143*BR20*Inputs!$F$221</f>
        <v>9.20105199854071</v>
      </c>
      <c r="BS26" s="19" t="n">
        <f aca="false">Inputs!$F$143*BS20*Inputs!$F$221</f>
        <v>9.58754450627056</v>
      </c>
      <c r="BT26" s="19" t="n">
        <f aca="false">Inputs!$F$143*BT20*Inputs!$F$221</f>
        <v>9.52553810430067</v>
      </c>
      <c r="BU26" s="19" t="n">
        <f aca="false">Inputs!$F$143*BU20*Inputs!$F$221</f>
        <v>9.92580843572209</v>
      </c>
      <c r="BV26" s="19" t="n">
        <f aca="false">Inputs!$F$143*BV20*Inputs!$F$221</f>
        <v>9.86161434855628</v>
      </c>
      <c r="BW26" s="19" t="n">
        <f aca="false">Inputs!$F$143*BW20*Inputs!$F$221</f>
        <v>10.2759991985428</v>
      </c>
      <c r="BX26" s="19" t="n">
        <f aca="false">Inputs!$F$143*BX20*Inputs!$F$221</f>
        <v>10.2659465906312</v>
      </c>
      <c r="BY26" s="19" t="n">
        <f aca="false">Inputs!$F$143*BY20*Inputs!$F$221</f>
        <v>10.6383827080995</v>
      </c>
      <c r="BZ26" s="19" t="n">
        <f aca="false">Inputs!$F$143*BZ20*Inputs!$F$221</f>
        <v>10.5695801242809</v>
      </c>
      <c r="CA26" s="19" t="n">
        <f aca="false">Inputs!$F$143*CA20*Inputs!$F$221</f>
        <v>11.0132296153739</v>
      </c>
      <c r="CB26" s="19" t="n">
        <f aca="false">Inputs!$F$143*CB20*Inputs!$F$221</f>
        <v>10.9420027499266</v>
      </c>
      <c r="CC26" s="19" t="n">
        <f aca="false">Inputs!$F$143*CC20*Inputs!$F$221</f>
        <v>11.4008153832437</v>
      </c>
      <c r="CD26" s="19" t="n">
        <f aca="false">Inputs!$F$143*CD20*Inputs!$F$221</f>
        <v>11.3270818489717</v>
      </c>
      <c r="CE26" s="19" t="n">
        <f aca="false">Inputs!$F$143*CE20*Inputs!$F$221</f>
        <v>11.8014203618375</v>
      </c>
      <c r="CF26" s="19" t="n">
        <f aca="false">Inputs!$F$143*CF20*Inputs!$F$221</f>
        <v>11.7898754940922</v>
      </c>
      <c r="CG26" s="19" t="n">
        <f aca="false">Inputs!$F$143*CG20*Inputs!$F$221</f>
        <v>12.2185461182317</v>
      </c>
      <c r="CH26" s="19" t="n">
        <f aca="false">Inputs!$F$143*CH20*Inputs!$F$221</f>
        <v>12.1395239993149</v>
      </c>
      <c r="CI26" s="19" t="n">
        <f aca="false">Inputs!$F$143*CI20*Inputs!$F$221</f>
        <v>12.6493310792941</v>
      </c>
      <c r="CJ26" s="19" t="n">
        <f aca="false">Inputs!$F$143*CJ20*Inputs!$F$221</f>
        <v>12.5675229054661</v>
      </c>
      <c r="CK26" s="19" t="n">
        <f aca="false">Inputs!$F$143*CK20*Inputs!$F$221</f>
        <v>13.0940716848581</v>
      </c>
      <c r="CL26" s="19" t="n">
        <f aca="false">Inputs!$F$143*CL20*Inputs!$F$221</f>
        <v>13.0093871995049</v>
      </c>
      <c r="CM26" s="19" t="n">
        <f aca="false">Inputs!$F$143*CM20*Inputs!$F$221</f>
        <v>13.5563832962621</v>
      </c>
      <c r="CN26" s="19" t="n">
        <f aca="false">Inputs!$F$143*CN20*Inputs!$F$221</f>
        <v>13.5431216169505</v>
      </c>
      <c r="CO26" s="19" t="n">
        <f aca="false">Inputs!$F$143*CO20*Inputs!$F$221</f>
        <v>14.0333254247957</v>
      </c>
      <c r="CP26" s="19" t="n">
        <f aca="false">Inputs!$F$143*CP20*Inputs!$F$221</f>
        <v>11.2464900388064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1716.26358250847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6.60821977996441</v>
      </c>
      <c r="AA29" s="19" t="n">
        <f aca="false">AA24+AA25+AA26+AA27+AA28</f>
        <v>13.4282858979904</v>
      </c>
      <c r="AB29" s="19" t="n">
        <f aca="false">AB24+AB25+AB26+AB27+AB28</f>
        <v>14.0077527840483</v>
      </c>
      <c r="AC29" s="19" t="n">
        <f aca="false">AC24+AC25+AC26+AC27+AC28</f>
        <v>14.2431881362714</v>
      </c>
      <c r="AD29" s="19" t="n">
        <f aca="false">AD24+AD25+AD26+AD27+AD28</f>
        <v>14.6761332114159</v>
      </c>
      <c r="AE29" s="19" t="n">
        <f aca="false">AE24+AE25+AE26+AE27+AE28</f>
        <v>15.0157413767039</v>
      </c>
      <c r="AF29" s="19" t="n">
        <f aca="false">AF24+AF25+AF26+AF27+AF28</f>
        <v>15.3320890439423</v>
      </c>
      <c r="AG29" s="19" t="n">
        <f aca="false">AG24+AG25+AG26+AG27+AG28</f>
        <v>15.6925941854942</v>
      </c>
      <c r="AH29" s="19" t="n">
        <f aca="false">AH24+AH25+AH26+AH27+AH28</f>
        <v>15.9129603849361</v>
      </c>
      <c r="AI29" s="19" t="n">
        <f aca="false">AI24+AI25+AI26+AI27+AI28</f>
        <v>16.2924016636608</v>
      </c>
      <c r="AJ29" s="19" t="n">
        <f aca="false">AJ24+AJ25+AJ26+AJ27+AJ28</f>
        <v>16.5339059410533</v>
      </c>
      <c r="AK29" s="19" t="n">
        <f aca="false">AK24+AK25+AK26+AK27+AK28</f>
        <v>16.8387478153188</v>
      </c>
      <c r="AL29" s="19" t="n">
        <f aca="false">AL24+AL25+AL26+AL27+AL28</f>
        <v>16.9948723358745</v>
      </c>
      <c r="AM29" s="19" t="n">
        <f aca="false">AM24+AM25+AM26+AM27+AM28</f>
        <v>17.4075013359474</v>
      </c>
      <c r="AN29" s="19" t="n">
        <f aca="false">AN24+AN25+AN26+AN27+AN28</f>
        <v>17.5693353177343</v>
      </c>
      <c r="AO29" s="19" t="n">
        <f aca="false">AO24+AO25+AO26+AO27+AO28</f>
        <v>17.9974565204008</v>
      </c>
      <c r="AP29" s="19" t="n">
        <f aca="false">AP24+AP25+AP26+AP27+AP28</f>
        <v>18.1652280498151</v>
      </c>
      <c r="AQ29" s="19" t="n">
        <f aca="false">AQ24+AQ25+AQ26+AQ27+AQ28</f>
        <v>18.6116691271752</v>
      </c>
      <c r="AR29" s="19" t="n">
        <f aca="false">AR24+AR25+AR26+AR27+AR28</f>
        <v>18.889430946294</v>
      </c>
      <c r="AS29" s="19" t="n">
        <f aca="false">AS24+AS25+AS26+AS27+AS28</f>
        <v>19.2511848181667</v>
      </c>
      <c r="AT29" s="19" t="n">
        <f aca="false">AT24+AT25+AT26+AT27+AT28</f>
        <v>19.4316374077855</v>
      </c>
      <c r="AU29" s="19" t="n">
        <f aca="false">AU24+AU25+AU26+AU27+AU28</f>
        <v>19.9170933940851</v>
      </c>
      <c r="AV29" s="19" t="n">
        <f aca="false">AV24+AV25+AV26+AV27+AV28</f>
        <v>20.1043139860576</v>
      </c>
      <c r="AW29" s="19" t="n">
        <f aca="false">AW24+AW25+AW26+AW27+AW28</f>
        <v>20.5812918391017</v>
      </c>
      <c r="AX29" s="19" t="n">
        <f aca="false">AX24+AX25+AX26+AX27+AX28</f>
        <v>20.7226770206612</v>
      </c>
      <c r="AY29" s="19" t="n">
        <f aca="false">AY24+AY25+AY26+AY27+AY28</f>
        <v>21.2177497155753</v>
      </c>
      <c r="AZ29" s="19" t="n">
        <f aca="false">AZ24+AZ25+AZ26+AZ27+AZ28</f>
        <v>21.4811084311721</v>
      </c>
      <c r="BA29" s="19" t="n">
        <f aca="false">BA24+BA25+BA26+BA27+BA28</f>
        <v>21.8743345354999</v>
      </c>
      <c r="BB29" s="19" t="n">
        <f aca="false">BB24+BB25+BB26+BB27+BB28</f>
        <v>22.0237234895616</v>
      </c>
      <c r="BC29" s="19" t="n">
        <f aca="false">BC24+BC25+BC26+BC27+BC28</f>
        <v>22.5542423465627</v>
      </c>
      <c r="BD29" s="19" t="n">
        <f aca="false">BD24+BD25+BD26+BD27+BD28</f>
        <v>22.7078143432669</v>
      </c>
      <c r="BE29" s="19" t="n">
        <f aca="false">BE24+BE25+BE26+BE27+BE28</f>
        <v>23.2582562449421</v>
      </c>
      <c r="BF29" s="19" t="n">
        <f aca="false">BF24+BF25+BF26+BF27+BF28</f>
        <v>23.4161398125456</v>
      </c>
      <c r="BG29" s="19" t="n">
        <f aca="false">BG24+BG25+BG26+BG27+BG28</f>
        <v>23.9844934628616</v>
      </c>
      <c r="BH29" s="19" t="n">
        <f aca="false">BH24+BH25+BH26+BH27+BH28</f>
        <v>24.2802197689712</v>
      </c>
      <c r="BI29" s="19" t="n">
        <f aca="false">BI24+BI25+BI26+BI27+BI28</f>
        <v>24.7363689532104</v>
      </c>
      <c r="BJ29" s="19" t="n">
        <f aca="false">BJ24+BJ25+BJ26+BJ27+BJ28</f>
        <v>24.903258481648</v>
      </c>
      <c r="BK29" s="19" t="n">
        <f aca="false">BK24+BK25+BK26+BK27+BK28</f>
        <v>25.5147376145042</v>
      </c>
      <c r="BL29" s="19" t="n">
        <f aca="false">BL24+BL25+BL26+BL27+BL28</f>
        <v>25.6863383749094</v>
      </c>
      <c r="BM29" s="19" t="n">
        <f aca="false">BM24+BM25+BM26+BM27+BM28</f>
        <v>26.3176259125133</v>
      </c>
      <c r="BN29" s="19" t="n">
        <f aca="false">BN24+BN25+BN26+BN27+BN28</f>
        <v>26.4940727371011</v>
      </c>
      <c r="BO29" s="19" t="n">
        <f aca="false">BO24+BO25+BO26+BO27+BO28</f>
        <v>27.1486829146518</v>
      </c>
      <c r="BP29" s="19" t="n">
        <f aca="false">BP24+BP25+BP26+BP27+BP28</f>
        <v>27.4811193982291</v>
      </c>
      <c r="BQ29" s="19" t="n">
        <f aca="false">BQ24+BQ25+BQ26+BQ27+BQ28</f>
        <v>28.0088415712713</v>
      </c>
      <c r="BR29" s="19" t="n">
        <f aca="false">BR24+BR25+BR26+BR27+BR28</f>
        <v>28.1043307808827</v>
      </c>
      <c r="BS29" s="19" t="n">
        <f aca="false">BS24+BS25+BS26+BS27+BS28</f>
        <v>28.8041373015795</v>
      </c>
      <c r="BT29" s="19" t="n">
        <f aca="false">BT24+BT25+BT26+BT27+BT28</f>
        <v>28.9013988562012</v>
      </c>
      <c r="BU29" s="19" t="n">
        <f aca="false">BU24+BU25+BU26+BU27+BU28</f>
        <v>29.6228160509138</v>
      </c>
      <c r="BV29" s="19" t="n">
        <f aca="false">BV24+BV25+BV26+BV27+BV28</f>
        <v>29.7218716192543</v>
      </c>
      <c r="BW29" s="19" t="n">
        <f aca="false">BW24+BW25+BW26+BW27+BW28</f>
        <v>30.4654320041143</v>
      </c>
      <c r="BX29" s="19" t="n">
        <f aca="false">BX24+BX25+BX26+BX27+BX28</f>
        <v>30.7351786008451</v>
      </c>
      <c r="BY29" s="19" t="n">
        <f aca="false">BY24+BY25+BY26+BY27+BY28</f>
        <v>31.3325513338103</v>
      </c>
      <c r="BZ29" s="19" t="n">
        <f aca="false">BZ24+BZ25+BZ26+BZ27+BZ28</f>
        <v>31.435262919308</v>
      </c>
      <c r="CA29" s="19" t="n">
        <f aca="false">CA24+CA25+CA26+CA27+CA28</f>
        <v>32.2247524567274</v>
      </c>
      <c r="CB29" s="19" t="n">
        <f aca="false">CB24+CB25+CB26+CB27+CB28</f>
        <v>32.3293276148294</v>
      </c>
      <c r="CC29" s="19" t="n">
        <f aca="false">CC24+CC25+CC26+CC27+CC28</f>
        <v>33.1426262956311</v>
      </c>
      <c r="CD29" s="19" t="n">
        <f aca="false">CD24+CD25+CD26+CD27+CD28</f>
        <v>33.249089835497</v>
      </c>
      <c r="CE29" s="19" t="n">
        <f aca="false">CE24+CE25+CE26+CE27+CE28</f>
        <v>34.0867765470345</v>
      </c>
      <c r="CF29" s="19" t="n">
        <f aca="false">CF24+CF25+CF26+CF27+CF28</f>
        <v>34.3840776481602</v>
      </c>
      <c r="CG29" s="19" t="n">
        <f aca="false">CG24+CG25+CG26+CG27+CG28</f>
        <v>35.0610362080587</v>
      </c>
      <c r="CH29" s="19" t="n">
        <f aca="false">CH24+CH25+CH26+CH27+CH28</f>
        <v>35.1713336401581</v>
      </c>
      <c r="CI29" s="19" t="n">
        <f aca="false">CI24+CI25+CI26+CI27+CI28</f>
        <v>36.0628834213667</v>
      </c>
      <c r="CJ29" s="19" t="n">
        <f aca="false">CJ24+CJ25+CJ26+CJ27+CJ28</f>
        <v>36.1751277873303</v>
      </c>
      <c r="CK29" s="19" t="n">
        <f aca="false">CK24+CK25+CK26+CK27+CK28</f>
        <v>37.0929628354825</v>
      </c>
      <c r="CL29" s="19" t="n">
        <f aca="false">CL24+CL25+CL26+CL27+CL28</f>
        <v>37.2071822034158</v>
      </c>
      <c r="CM29" s="19" t="n">
        <f aca="false">CM24+CM25+CM26+CM27+CM28</f>
        <v>38.1552467256521</v>
      </c>
      <c r="CN29" s="19" t="n">
        <f aca="false">CN24+CN25+CN26+CN27+CN28</f>
        <v>38.4828932079979</v>
      </c>
      <c r="CO29" s="19" t="n">
        <f aca="false">CO24+CO25+CO26+CO27+CO28</f>
        <v>39.2471604399205</v>
      </c>
      <c r="CP29" s="19" t="n">
        <f aca="false">CP24+CP25+CP26+CP27+CP28</f>
        <v>31.7532857454011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6918.87227341478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10.9363644165313</v>
      </c>
      <c r="AA32" s="19" t="n">
        <f aca="false">AA20+AA21-AA29-AA30-AA31</f>
        <v>23.1208445020976</v>
      </c>
      <c r="AB32" s="19" t="n">
        <f aca="false">AB20+AB21-AB29-AB30-AB31</f>
        <v>29.392551836852</v>
      </c>
      <c r="AC32" s="19" t="n">
        <f aca="false">AC20+AC21-AC29-AC30-AC31</f>
        <v>30.9486236017427</v>
      </c>
      <c r="AD32" s="19" t="n">
        <f aca="false">AD20+AD21-AD29-AD30-AD31</f>
        <v>35.9692126884667</v>
      </c>
      <c r="AE32" s="19" t="n">
        <f aca="false">AE20+AE21-AE29-AE30-AE31</f>
        <v>38.0231807680785</v>
      </c>
      <c r="AF32" s="19" t="n">
        <f aca="false">AF20+AF21-AF29-AF30-AF31</f>
        <v>41.2415276363564</v>
      </c>
      <c r="AG32" s="19" t="n">
        <f aca="false">AG20+AG21-AG29-AG30-AG31</f>
        <v>43.5345473737567</v>
      </c>
      <c r="AH32" s="19" t="n">
        <f aca="false">AH20+AH21-AH29-AH30-AH31</f>
        <v>45.261595339714</v>
      </c>
      <c r="AI32" s="19" t="n">
        <f aca="false">AI20+AI21-AI29-AI30-AI31</f>
        <v>47.7620736527861</v>
      </c>
      <c r="AJ32" s="19" t="n">
        <f aca="false">AJ20+AJ21-AJ29-AJ30-AJ31</f>
        <v>48.661713778042</v>
      </c>
      <c r="AK32" s="19" t="n">
        <f aca="false">AK20+AK21-AK29-AK30-AK31</f>
        <v>51.0596072883374</v>
      </c>
      <c r="AL32" s="19" t="n">
        <f aca="false">AL20+AL21-AL29-AL30-AL31</f>
        <v>51.7333925538041</v>
      </c>
      <c r="AM32" s="19" t="n">
        <f aca="false">AM20+AM21-AM29-AM30-AM31</f>
        <v>54.5719388589391</v>
      </c>
      <c r="AN32" s="19" t="n">
        <f aca="false">AN20+AN21-AN29-AN30-AN31</f>
        <v>55.2898970564908</v>
      </c>
      <c r="AO32" s="19" t="n">
        <f aca="false">AO20+AO21-AO29-AO30-AO31</f>
        <v>58.2777221157238</v>
      </c>
      <c r="AP32" s="19" t="n">
        <f aca="false">AP20+AP21-AP29-AP30-AP31</f>
        <v>59.0422488295304</v>
      </c>
      <c r="AQ32" s="19" t="n">
        <f aca="false">AQ20+AQ21-AQ29-AQ30-AQ31</f>
        <v>62.2200050033111</v>
      </c>
      <c r="AR32" s="19" t="n">
        <f aca="false">AR20+AR21-AR29-AR30-AR31</f>
        <v>63.38227703093</v>
      </c>
      <c r="AS32" s="19" t="n">
        <f aca="false">AS20+AS21-AS29-AS30-AS31</f>
        <v>66.4113450819065</v>
      </c>
      <c r="AT32" s="19" t="n">
        <f aca="false">AT20+AT21-AT29-AT30-AT31</f>
        <v>67.277930697425</v>
      </c>
      <c r="AU32" s="19" t="n">
        <f aca="false">AU20+AU21-AU29-AU30-AU31</f>
        <v>70.8648861319443</v>
      </c>
      <c r="AV32" s="19" t="n">
        <f aca="false">AV20+AV21-AV29-AV30-AV31</f>
        <v>71.7872778875481</v>
      </c>
      <c r="AW32" s="19" t="n">
        <f aca="false">AW20+AW21-AW29-AW30-AW31</f>
        <v>75.1520292745055</v>
      </c>
      <c r="AX32" s="19" t="n">
        <f aca="false">AX20+AX21-AX29-AX30-AX31</f>
        <v>75.3332237619158</v>
      </c>
      <c r="AY32" s="19" t="n">
        <f aca="false">AY20+AY21-AY29-AY30-AY31</f>
        <v>78.8754460467772</v>
      </c>
      <c r="AZ32" s="19" t="n">
        <f aca="false">AZ20+AZ21-AZ29-AZ30-AZ31</f>
        <v>79.5042223368884</v>
      </c>
      <c r="BA32" s="19" t="n">
        <f aca="false">BA20+BA21-BA29-BA30-BA31</f>
        <v>82.7557246214794</v>
      </c>
      <c r="BB32" s="19" t="n">
        <f aca="false">BB20+BB21-BB29-BB30-BB31</f>
        <v>82.9588934754467</v>
      </c>
      <c r="BC32" s="19" t="n">
        <f aca="false">BC20+BC21-BC29-BC30-BC31</f>
        <v>86.8375271228128</v>
      </c>
      <c r="BD32" s="19" t="n">
        <f aca="false">BD20+BD21-BD29-BD30-BD31</f>
        <v>87.0525578275815</v>
      </c>
      <c r="BE32" s="19" t="n">
        <f aca="false">BE20+BE21-BE29-BE30-BE31</f>
        <v>91.1289177791577</v>
      </c>
      <c r="BF32" s="19" t="n">
        <f aca="false">BF20+BF21-BF29-BF30-BF31</f>
        <v>91.3564692544614</v>
      </c>
      <c r="BG32" s="19" t="n">
        <f aca="false">BG20+BG21-BG29-BG30-BG31</f>
        <v>95.5975342956462</v>
      </c>
      <c r="BH32" s="19" t="n">
        <f aca="false">BH20+BH21-BH29-BH30-BH31</f>
        <v>96.3676478021667</v>
      </c>
      <c r="BI32" s="19" t="n">
        <f aca="false">BI20+BI21-BI29-BI30-BI31</f>
        <v>100.291066818248</v>
      </c>
      <c r="BJ32" s="19" t="n">
        <f aca="false">BJ20+BJ21-BJ29-BJ30-BJ31</f>
        <v>100.545465388606</v>
      </c>
      <c r="BK32" s="19" t="n">
        <f aca="false">BK20+BK21-BK29-BK30-BK31</f>
        <v>105.218374978072</v>
      </c>
      <c r="BL32" s="19" t="n">
        <f aca="false">BL20+BL21-BL29-BL30-BL31</f>
        <v>105.48728796662</v>
      </c>
      <c r="BM32" s="19" t="n">
        <f aca="false">BM20+BM21-BM29-BM30-BM31</f>
        <v>110.34542510208</v>
      </c>
      <c r="BN32" s="19" t="n">
        <f aca="false">BN20+BN21-BN29-BN30-BN31</f>
        <v>110.629473340693</v>
      </c>
      <c r="BO32" s="19" t="n">
        <f aca="false">BO20+BO21-BO29-BO30-BO31</f>
        <v>115.723143638623</v>
      </c>
      <c r="BP32" s="19" t="n">
        <f aca="false">BP20+BP21-BP29-BP30-BP31</f>
        <v>116.664129956933</v>
      </c>
      <c r="BQ32" s="19" t="n">
        <f aca="false">BQ20+BQ21-BQ29-BQ30-BQ31</f>
        <v>121.361257803144</v>
      </c>
      <c r="BR32" s="19" t="n">
        <f aca="false">BR20+BR21-BR29-BR30-BR31</f>
        <v>120.299733711709</v>
      </c>
      <c r="BS32" s="19" t="n">
        <f aca="false">BS20+BS21-BS29-BS30-BS31</f>
        <v>125.833677315688</v>
      </c>
      <c r="BT32" s="19" t="n">
        <f aca="false">BT20+BT21-BT29-BT30-BT31</f>
        <v>124.736312503487</v>
      </c>
      <c r="BU32" s="19" t="n">
        <f aca="false">BU20+BU21-BU29-BU30-BU31</f>
        <v>130.470868396217</v>
      </c>
      <c r="BV32" s="19" t="n">
        <f aca="false">BV20+BV21-BV29-BV30-BV31</f>
        <v>129.336424325202</v>
      </c>
      <c r="BW32" s="19" t="n">
        <f aca="false">BW20+BW21-BW29-BW30-BW31</f>
        <v>135.276490553028</v>
      </c>
      <c r="BX32" s="19" t="n">
        <f aca="false">BX20+BX21-BX29-BX30-BX31</f>
        <v>134.844605119013</v>
      </c>
      <c r="BY32" s="19" t="n">
        <f aca="false">BY20+BY21-BY29-BY30-BY31</f>
        <v>140.254266538763</v>
      </c>
      <c r="BZ32" s="19" t="n">
        <f aca="false">BZ20+BZ21-BZ29-BZ30-BZ31</f>
        <v>139.041835859416</v>
      </c>
      <c r="CA32" s="19" t="n">
        <f aca="false">CA20+CA21-CA29-CA30-CA31</f>
        <v>145.40798327511</v>
      </c>
      <c r="CB32" s="19" t="n">
        <f aca="false">CB20+CB21-CB29-CB30-CB31</f>
        <v>144.154587706568</v>
      </c>
      <c r="CC32" s="19" t="n">
        <f aca="false">CC20+CC21-CC29-CC30-CC31</f>
        <v>150.741492788945</v>
      </c>
      <c r="CD32" s="19" t="n">
        <f aca="false">CD20+CD21-CD29-CD30-CD31</f>
        <v>149.445778696304</v>
      </c>
      <c r="CE32" s="19" t="n">
        <f aca="false">CE20+CE21-CE29-CE30-CE31</f>
        <v>156.258713160022</v>
      </c>
      <c r="CF32" s="19" t="n">
        <f aca="false">CF20+CF21-CF29-CF30-CF31</f>
        <v>155.775204514617</v>
      </c>
      <c r="CG32" s="19" t="n">
        <f aca="false">CG20+CG21-CG29-CG30-CG31</f>
        <v>162.01228827955</v>
      </c>
      <c r="CH32" s="19" t="n">
        <f aca="false">CH20+CH21-CH29-CH30-CH31</f>
        <v>160.62744054234</v>
      </c>
      <c r="CI32" s="19" t="n">
        <f aca="false">CI20+CI21-CI29-CI30-CI31</f>
        <v>167.958585599506</v>
      </c>
      <c r="CJ32" s="19" t="n">
        <f aca="false">CJ20+CJ21-CJ29-CJ30-CJ31</f>
        <v>166.526854558896</v>
      </c>
      <c r="CK32" s="19" t="n">
        <f aca="false">CK20+CK21-CK29-CK30-CK31</f>
        <v>174.101741759003</v>
      </c>
      <c r="CL32" s="19" t="n">
        <f aca="false">CL20+CL21-CL29-CL30-CL31</f>
        <v>172.621643595051</v>
      </c>
      <c r="CM32" s="19" t="n">
        <f aca="false">CM20+CM21-CM29-CM30-CM31</f>
        <v>180.496096762446</v>
      </c>
      <c r="CN32" s="19" t="n">
        <f aca="false">CN20+CN21-CN29-CN30-CN31</f>
        <v>179.954552226688</v>
      </c>
      <c r="CO32" s="19" t="n">
        <f aca="false">CO20+CO21-CO29-CO30-CO31</f>
        <v>187.096798024526</v>
      </c>
      <c r="CP32" s="19" t="n">
        <f aca="false">CP20+CP21-CP29-CP30-CP31</f>
        <v>149.641714880508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2.69916679946087</v>
      </c>
      <c r="AA41" s="19" t="n">
        <f aca="false">IF(AND(Time!AA26=1,Time!AA28=0),AA20/Time!AA25*Inputs!$F$156,0)</f>
        <v>2.78091209565887</v>
      </c>
      <c r="AB41" s="19" t="n">
        <f aca="false">IF(AND(Time!AB26=1,Time!AB28=0),AB20/Time!AB25*Inputs!$F$156,0)</f>
        <v>3.33848497083848</v>
      </c>
      <c r="AC41" s="19" t="n">
        <f aca="false">IF(AND(Time!AC26=1,Time!AC28=0),AC20/Time!AC25*Inputs!$F$156,0)</f>
        <v>3.4385074148489</v>
      </c>
      <c r="AD41" s="19" t="n">
        <f aca="false">IF(AND(Time!AD26=1,Time!AD28=0),AD20/Time!AD25*Inputs!$F$156,0)</f>
        <v>3.91731957236661</v>
      </c>
      <c r="AE41" s="19" t="n">
        <f aca="false">IF(AND(Time!AE26=1,Time!AE28=0),AE20/Time!AE25*Inputs!$F$156,0)</f>
        <v>4.03557016318997</v>
      </c>
      <c r="AF41" s="19" t="n">
        <f aca="false">IF(AND(Time!AF26=1,Time!AF28=0),AF20/Time!AF25*Inputs!$F$156,0)</f>
        <v>4.37585985372476</v>
      </c>
      <c r="AG41" s="19" t="n">
        <f aca="false">IF(AND(Time!AG26=1,Time!AG28=0),AG20/Time!AG25*Inputs!$F$156,0)</f>
        <v>4.50641294472561</v>
      </c>
      <c r="AH41" s="19" t="n">
        <f aca="false">IF(AND(Time!AH26=1,Time!AH28=0),AH20/Time!AH25*Inputs!$F$156,0)</f>
        <v>4.73173359196189</v>
      </c>
      <c r="AI41" s="19" t="n">
        <f aca="false">IF(AND(Time!AI26=1,Time!AI28=0),AI20/Time!AI25*Inputs!$F$156,0)</f>
        <v>4.87371007842531</v>
      </c>
      <c r="AJ41" s="19" t="n">
        <f aca="false">IF(AND(Time!AJ26=1,Time!AJ28=0),AJ20/Time!AJ25*Inputs!$F$156,0)</f>
        <v>5.01504767069964</v>
      </c>
      <c r="AK41" s="19" t="n">
        <f aca="false">IF(AND(Time!AK26=1,Time!AK28=0),AK20/Time!AK25*Inputs!$F$156,0)</f>
        <v>5.16617919266949</v>
      </c>
      <c r="AL41" s="19" t="n">
        <f aca="false">IF(AND(Time!AL26=1,Time!AL28=0),AL20/Time!AL25*Inputs!$F$156,0)</f>
        <v>5.31599838925691</v>
      </c>
      <c r="AM41" s="19" t="n">
        <f aca="false">IF(AND(Time!AM26=1,Time!AM28=0),AM20/Time!AM25*Inputs!$F$156,0)</f>
        <v>5.47669653656745</v>
      </c>
      <c r="AN41" s="19" t="n">
        <f aca="false">IF(AND(Time!AN26=1,Time!AN28=0),AN20/Time!AN25*Inputs!$F$156,0)</f>
        <v>5.63552073612791</v>
      </c>
      <c r="AO41" s="19" t="n">
        <f aca="false">IF(AND(Time!AO26=1,Time!AO28=0),AO20/Time!AO25*Inputs!$F$156,0)</f>
        <v>5.80354620057469</v>
      </c>
      <c r="AP41" s="19" t="n">
        <f aca="false">IF(AND(Time!AP26=1,Time!AP28=0),AP20/Time!AP25*Inputs!$F$156,0)</f>
        <v>5.97184904039136</v>
      </c>
      <c r="AQ41" s="19" t="n">
        <f aca="false">IF(AND(Time!AQ26=1,Time!AQ28=0),AQ20/Time!AQ25*Inputs!$F$156,0)</f>
        <v>6.1502360751457</v>
      </c>
      <c r="AR41" s="19" t="n">
        <f aca="false">IF(AND(Time!AR26=1,Time!AR28=0),AR20/Time!AR25*Inputs!$F$156,0)</f>
        <v>6.32859292132492</v>
      </c>
      <c r="AS41" s="19" t="n">
        <f aca="false">IF(AND(Time!AS26=1,Time!AS28=0),AS20/Time!AS25*Inputs!$F$156,0)</f>
        <v>6.51780118804905</v>
      </c>
      <c r="AT41" s="19" t="n">
        <f aca="false">IF(AND(Time!AT26=1,Time!AT28=0),AT20/Time!AT25*Inputs!$F$156,0)</f>
        <v>6.70681742250248</v>
      </c>
      <c r="AU41" s="19" t="n">
        <f aca="false">IF(AND(Time!AU26=1,Time!AU28=0),AU20/Time!AU25*Inputs!$F$156,0)</f>
        <v>6.90732452915441</v>
      </c>
      <c r="AV41" s="19" t="n">
        <f aca="false">IF(AND(Time!AV26=1,Time!AV28=0),AV20/Time!AV25*Inputs!$F$156,0)</f>
        <v>7.10763694049989</v>
      </c>
      <c r="AW41" s="19" t="n">
        <f aca="false">IF(AND(Time!AW26=1,Time!AW28=0),AW20/Time!AW25*Inputs!$F$156,0)</f>
        <v>7.28405704125272</v>
      </c>
      <c r="AX41" s="19" t="n">
        <f aca="false">IF(AND(Time!AX26=1,Time!AX28=0),AX20/Time!AX25*Inputs!$F$156,0)</f>
        <v>7.42973818207778</v>
      </c>
      <c r="AY41" s="19" t="n">
        <f aca="false">IF(AND(Time!AY26=1,Time!AY28=0),AY20/Time!AY25*Inputs!$F$156,0)</f>
        <v>7.61578663409204</v>
      </c>
      <c r="AZ41" s="19" t="n">
        <f aca="false">IF(AND(Time!AZ26=1,Time!AZ28=0),AZ20/Time!AZ25*Inputs!$F$156,0)</f>
        <v>7.76810236677388</v>
      </c>
      <c r="BA41" s="19" t="n">
        <f aca="false">IF(AND(Time!BA26=1,Time!BA28=0),BA20/Time!BA25*Inputs!$F$156,0)</f>
        <v>7.96098276194408</v>
      </c>
      <c r="BB41" s="19" t="n">
        <f aca="false">IF(AND(Time!BB26=1,Time!BB28=0),BB20/Time!BB25*Inputs!$F$156,0)</f>
        <v>8.12020241718296</v>
      </c>
      <c r="BC41" s="19" t="n">
        <f aca="false">IF(AND(Time!BC26=1,Time!BC28=0),BC20/Time!BC25*Inputs!$F$156,0)</f>
        <v>8.32328680745249</v>
      </c>
      <c r="BD41" s="19" t="n">
        <f aca="false">IF(AND(Time!BD26=1,Time!BD28=0),BD20/Time!BD25*Inputs!$F$156,0)</f>
        <v>8.48975254360153</v>
      </c>
      <c r="BE41" s="19" t="n">
        <f aca="false">IF(AND(Time!BE26=1,Time!BE28=0),BE20/Time!BE25*Inputs!$F$156,0)</f>
        <v>8.70337193661629</v>
      </c>
      <c r="BF41" s="19" t="n">
        <f aca="false">IF(AND(Time!BF26=1,Time!BF28=0),BF20/Time!BF25*Inputs!$F$156,0)</f>
        <v>8.87743937534861</v>
      </c>
      <c r="BG41" s="19" t="n">
        <f aca="false">IF(AND(Time!BG26=1,Time!BG28=0),BG20/Time!BG25*Inputs!$F$156,0)</f>
        <v>9.09863254684298</v>
      </c>
      <c r="BH41" s="19" t="n">
        <f aca="false">IF(AND(Time!BH26=1,Time!BH28=0),BH20/Time!BH25*Inputs!$F$156,0)</f>
        <v>9.28060519777984</v>
      </c>
      <c r="BI41" s="19" t="n">
        <f aca="false">IF(AND(Time!BI26=1,Time!BI28=0),BI20/Time!BI25*Inputs!$F$156,0)</f>
        <v>9.51295706956751</v>
      </c>
      <c r="BJ41" s="19" t="n">
        <f aca="false">IF(AND(Time!BJ26=1,Time!BJ28=0),BJ20/Time!BJ25*Inputs!$F$156,0)</f>
        <v>9.70321621095886</v>
      </c>
      <c r="BK41" s="19" t="n">
        <f aca="false">IF(AND(Time!BK26=1,Time!BK28=0),BK20/Time!BK25*Inputs!$F$156,0)</f>
        <v>9.94708465378296</v>
      </c>
      <c r="BL41" s="19" t="n">
        <f aca="false">IF(AND(Time!BL26=1,Time!BL28=0),BL20/Time!BL25*Inputs!$F$156,0)</f>
        <v>10.1460263468586</v>
      </c>
      <c r="BM41" s="19" t="n">
        <f aca="false">IF(AND(Time!BM26=1,Time!BM28=0),BM20/Time!BM25*Inputs!$F$156,0)</f>
        <v>10.3982756206755</v>
      </c>
      <c r="BN41" s="19" t="n">
        <f aca="false">IF(AND(Time!BN26=1,Time!BN28=0),BN20/Time!BN25*Inputs!$F$156,0)</f>
        <v>10.6062411330891</v>
      </c>
      <c r="BO41" s="19" t="n">
        <f aca="false">IF(AND(Time!BO26=1,Time!BO28=0),BO20/Time!BO25*Inputs!$F$156,0)</f>
        <v>10.8706824551405</v>
      </c>
      <c r="BP41" s="19" t="n">
        <f aca="false">IF(AND(Time!BP26=1,Time!BP28=0),BP20/Time!BP25*Inputs!$F$156,0)</f>
        <v>11.0880961042433</v>
      </c>
      <c r="BQ41" s="19" t="n">
        <f aca="false">IF(AND(Time!BQ26=1,Time!BQ28=0),BQ20/Time!BQ25*Inputs!$F$156,0)</f>
        <v>11.365116256749</v>
      </c>
      <c r="BR41" s="19" t="n">
        <f aca="false">IF(AND(Time!BR26=1,Time!BR28=0),BR20/Time!BR25*Inputs!$F$156,0)</f>
        <v>11.4787674193165</v>
      </c>
      <c r="BS41" s="19" t="n">
        <f aca="false">IF(AND(Time!BS26=1,Time!BS28=0),BS20/Time!BS25*Inputs!$F$156,0)</f>
        <v>11.7659206774008</v>
      </c>
      <c r="BT41" s="19" t="n">
        <f aca="false">IF(AND(Time!BT26=1,Time!BT28=0),BT20/Time!BT25*Inputs!$F$156,0)</f>
        <v>11.8835798841748</v>
      </c>
      <c r="BU41" s="19" t="n">
        <f aca="false">IF(AND(Time!BU26=1,Time!BU28=0),BU20/Time!BU25*Inputs!$F$156,0)</f>
        <v>12.1810412079338</v>
      </c>
      <c r="BV41" s="19" t="n">
        <f aca="false">IF(AND(Time!BV26=1,Time!BV28=0),BV20/Time!BV25*Inputs!$F$156,0)</f>
        <v>12.3028516200132</v>
      </c>
      <c r="BW41" s="19" t="n">
        <f aca="false">IF(AND(Time!BW26=1,Time!BW28=0),BW20/Time!BW25*Inputs!$F$156,0)</f>
        <v>12.6107984554348</v>
      </c>
      <c r="BX41" s="19" t="n">
        <f aca="false">IF(AND(Time!BX26=1,Time!BX28=0),BX20/Time!BX25*Inputs!$F$156,0)</f>
        <v>12.7369064399891</v>
      </c>
      <c r="BY41" s="19" t="n">
        <f aca="false">IF(AND(Time!BY26=1,Time!BY28=0),BY20/Time!BY25*Inputs!$F$156,0)</f>
        <v>13.0555187511741</v>
      </c>
      <c r="BZ41" s="19" t="n">
        <f aca="false">IF(AND(Time!BZ26=1,Time!BZ28=0),BZ20/Time!BZ25*Inputs!$F$156,0)</f>
        <v>13.1860739386858</v>
      </c>
      <c r="CA41" s="19" t="n">
        <f aca="false">IF(AND(Time!CA26=1,Time!CA28=0),CA20/Time!CA25*Inputs!$F$156,0)</f>
        <v>13.5155342404659</v>
      </c>
      <c r="CB41" s="19" t="n">
        <f aca="false">IF(AND(Time!CB26=1,Time!CB28=0),CB20/Time!CB25*Inputs!$F$156,0)</f>
        <v>13.6506895828705</v>
      </c>
      <c r="CC41" s="19" t="n">
        <f aca="false">IF(AND(Time!CC26=1,Time!CC28=0),CC20/Time!CC25*Inputs!$F$156,0)</f>
        <v>13.9911829738265</v>
      </c>
      <c r="CD41" s="19" t="n">
        <f aca="false">IF(AND(Time!CD26=1,Time!CD28=0),CD20/Time!CD25*Inputs!$F$156,0)</f>
        <v>14.1310948035647</v>
      </c>
      <c r="CE41" s="19" t="n">
        <f aca="false">IF(AND(Time!CE26=1,Time!CE28=0),CE20/Time!CE25*Inputs!$F$156,0)</f>
        <v>14.4828089994499</v>
      </c>
      <c r="CF41" s="19" t="n">
        <f aca="false">IF(AND(Time!CF26=1,Time!CF28=0),CF20/Time!CF25*Inputs!$F$156,0)</f>
        <v>14.6276370894444</v>
      </c>
      <c r="CG41" s="19" t="n">
        <f aca="false">IF(AND(Time!CG26=1,Time!CG28=0),CG20/Time!CG25*Inputs!$F$156,0)</f>
        <v>14.9947094718833</v>
      </c>
      <c r="CH41" s="19" t="n">
        <f aca="false">IF(AND(Time!CH26=1,Time!CH28=0),CH20/Time!CH25*Inputs!$F$156,0)</f>
        <v>15.1446565666021</v>
      </c>
      <c r="CI41" s="19" t="n">
        <f aca="false">IF(AND(Time!CI26=1,Time!CI28=0),CI20/Time!CI25*Inputs!$F$156,0)</f>
        <v>15.5233726428925</v>
      </c>
      <c r="CJ41" s="19" t="n">
        <f aca="false">IF(AND(Time!CJ26=1,Time!CJ28=0),CJ20/Time!CJ25*Inputs!$F$156,0)</f>
        <v>15.6786063693214</v>
      </c>
      <c r="CK41" s="19" t="n">
        <f aca="false">IF(AND(Time!CK26=1,Time!CK28=0),CK20/Time!CK25*Inputs!$F$156,0)</f>
        <v>16.0691623061021</v>
      </c>
      <c r="CL41" s="19" t="n">
        <f aca="false">IF(AND(Time!CL26=1,Time!CL28=0),CL20/Time!CL25*Inputs!$F$156,0)</f>
        <v>16.2298539291632</v>
      </c>
      <c r="CM41" s="19" t="n">
        <f aca="false">IF(AND(Time!CM26=1,Time!CM28=0),CM20/Time!CM25*Inputs!$F$156,0)</f>
        <v>16.6365152653988</v>
      </c>
      <c r="CN41" s="19" t="n">
        <f aca="false">IF(AND(Time!CN26=1,Time!CN28=0),CN20/Time!CN25*Inputs!$F$156,0)</f>
        <v>16.8028804180528</v>
      </c>
      <c r="CO41" s="19" t="n">
        <f aca="false">IF(AND(Time!CO26=1,Time!CO28=0),CO20/Time!CO25*Inputs!$F$156,0)</f>
        <v>17.2218229266427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2.17853399339486</v>
      </c>
      <c r="AA42" s="19" t="n">
        <f aca="false">IF(AND(Time!AA26=1,Time!AA28=0),AA29/Time!AA25*Inputs!$F$157,0)</f>
        <v>2.18939443988974</v>
      </c>
      <c r="AB42" s="19" t="n">
        <f aca="false">IF(AND(Time!AB26=1,Time!AB28=0),AB29/Time!AB25*Inputs!$F$157,0)</f>
        <v>2.30897023912883</v>
      </c>
      <c r="AC42" s="19" t="n">
        <f aca="false">IF(AND(Time!AC26=1,Time!AC28=0),AC29/Time!AC25*Inputs!$F$157,0)</f>
        <v>2.32225893526165</v>
      </c>
      <c r="AD42" s="19" t="n">
        <f aca="false">IF(AND(Time!AD26=1,Time!AD28=0),AD29/Time!AD25*Inputs!$F$157,0)</f>
        <v>2.43250826708551</v>
      </c>
      <c r="AE42" s="19" t="n">
        <f aca="false">IF(AND(Time!AE26=1,Time!AE28=0),AE29/Time!AE25*Inputs!$F$157,0)</f>
        <v>2.44821870272347</v>
      </c>
      <c r="AF42" s="19" t="n">
        <f aca="false">IF(AND(Time!AF26=1,Time!AF28=0),AF29/Time!AF25*Inputs!$F$157,0)</f>
        <v>2.54123022827772</v>
      </c>
      <c r="AG42" s="19" t="n">
        <f aca="false">IF(AND(Time!AG26=1,Time!AG28=0),AG29/Time!AG25*Inputs!$F$157,0)</f>
        <v>2.55857513893926</v>
      </c>
      <c r="AH42" s="19" t="n">
        <f aca="false">IF(AND(Time!AH26=1,Time!AH28=0),AH29/Time!AH25*Inputs!$F$157,0)</f>
        <v>2.63750724612201</v>
      </c>
      <c r="AI42" s="19" t="n">
        <f aca="false">IF(AND(Time!AI26=1,Time!AI28=0),AI29/Time!AI25*Inputs!$F$157,0)</f>
        <v>2.65636983646644</v>
      </c>
      <c r="AJ42" s="19" t="n">
        <f aca="false">IF(AND(Time!AJ26=1,Time!AJ28=0),AJ29/Time!AJ25*Inputs!$F$157,0)</f>
        <v>2.72536911116263</v>
      </c>
      <c r="AK42" s="19" t="n">
        <f aca="false">IF(AND(Time!AK26=1,Time!AK28=0),AK29/Time!AK25*Inputs!$F$157,0)</f>
        <v>2.7454480133672</v>
      </c>
      <c r="AL42" s="19" t="n">
        <f aca="false">IF(AND(Time!AL26=1,Time!AL28=0),AL29/Time!AL25*Inputs!$F$157,0)</f>
        <v>2.81682966892948</v>
      </c>
      <c r="AM42" s="19" t="n">
        <f aca="false">IF(AND(Time!AM26=1,Time!AM28=0),AM29/Time!AM25*Inputs!$F$157,0)</f>
        <v>2.8381795656436</v>
      </c>
      <c r="AN42" s="19" t="n">
        <f aca="false">IF(AND(Time!AN26=1,Time!AN28=0),AN29/Time!AN25*Inputs!$F$157,0)</f>
        <v>2.91204452780126</v>
      </c>
      <c r="AO42" s="19" t="n">
        <f aca="false">IF(AND(Time!AO26=1,Time!AO28=0),AO29/Time!AO25*Inputs!$F$157,0)</f>
        <v>2.93436791093491</v>
      </c>
      <c r="AP42" s="19" t="n">
        <f aca="false">IF(AND(Time!AP26=1,Time!AP28=0),AP29/Time!AP25*Inputs!$F$157,0)</f>
        <v>3.01081127897487</v>
      </c>
      <c r="AQ42" s="19" t="n">
        <f aca="false">IF(AND(Time!AQ26=1,Time!AQ28=0),AQ29/Time!AQ25*Inputs!$F$157,0)</f>
        <v>3.03451127073509</v>
      </c>
      <c r="AR42" s="19" t="n">
        <f aca="false">IF(AND(Time!AR26=1,Time!AR28=0),AR29/Time!AR25*Inputs!$F$157,0)</f>
        <v>3.11364246367483</v>
      </c>
      <c r="AS42" s="19" t="n">
        <f aca="false">IF(AND(Time!AS26=1,Time!AS28=0),AS29/Time!AS25*Inputs!$F$157,0)</f>
        <v>3.13878013339675</v>
      </c>
      <c r="AT42" s="19" t="n">
        <f aca="false">IF(AND(Time!AT26=1,Time!AT28=0),AT29/Time!AT25*Inputs!$F$157,0)</f>
        <v>3.22071338250589</v>
      </c>
      <c r="AU42" s="19" t="n">
        <f aca="false">IF(AND(Time!AU26=1,Time!AU28=0),AU29/Time!AU25*Inputs!$F$157,0)</f>
        <v>3.24735218381822</v>
      </c>
      <c r="AV42" s="19" t="n">
        <f aca="false">IF(AND(Time!AV26=1,Time!AV28=0),AV29/Time!AV25*Inputs!$F$157,0)</f>
        <v>3.3322067380206</v>
      </c>
      <c r="AW42" s="19" t="n">
        <f aca="false">IF(AND(Time!AW26=1,Time!AW28=0),AW29/Time!AW25*Inputs!$F$157,0)</f>
        <v>3.35564540854919</v>
      </c>
      <c r="AX42" s="19" t="n">
        <f aca="false">IF(AND(Time!AX26=1,Time!AX28=0),AX29/Time!AX25*Inputs!$F$157,0)</f>
        <v>3.43469784872837</v>
      </c>
      <c r="AY42" s="19" t="n">
        <f aca="false">IF(AND(Time!AY26=1,Time!AY28=0),AY29/Time!AY25*Inputs!$F$157,0)</f>
        <v>3.45941571449598</v>
      </c>
      <c r="AZ42" s="19" t="n">
        <f aca="false">IF(AND(Time!AZ26=1,Time!AZ28=0),AZ29/Time!AZ25*Inputs!$F$157,0)</f>
        <v>3.5408420490943</v>
      </c>
      <c r="BA42" s="19" t="n">
        <f aca="false">IF(AND(Time!BA26=1,Time!BA28=0),BA29/Time!BA25*Inputs!$F$157,0)</f>
        <v>3.56646758730977</v>
      </c>
      <c r="BB42" s="19" t="n">
        <f aca="false">IF(AND(Time!BB26=1,Time!BB28=0),BB29/Time!BB25*Inputs!$F$157,0)</f>
        <v>3.65034090987208</v>
      </c>
      <c r="BC42" s="19" t="n">
        <f aca="false">IF(AND(Time!BC26=1,Time!BC28=0),BC29/Time!BC25*Inputs!$F$157,0)</f>
        <v>3.67732212172218</v>
      </c>
      <c r="BD42" s="19" t="n">
        <f aca="false">IF(AND(Time!BD26=1,Time!BD28=0),BD29/Time!BD25*Inputs!$F$157,0)</f>
        <v>3.76372613424314</v>
      </c>
      <c r="BE42" s="19" t="n">
        <f aca="false">IF(AND(Time!BE26=1,Time!BE28=0),BE29/Time!BE25*Inputs!$F$157,0)</f>
        <v>3.79210699645796</v>
      </c>
      <c r="BF42" s="19" t="n">
        <f aca="false">IF(AND(Time!BF26=1,Time!BF28=0),BF29/Time!BF25*Inputs!$F$157,0)</f>
        <v>3.88112814572579</v>
      </c>
      <c r="BG42" s="19" t="n">
        <f aca="false">IF(AND(Time!BG26=1,Time!BG28=0),BG29/Time!BG25*Inputs!$F$157,0)</f>
        <v>3.91051523851005</v>
      </c>
      <c r="BH42" s="19" t="n">
        <f aca="false">IF(AND(Time!BH26=1,Time!BH28=0),BH29/Time!BH25*Inputs!$F$157,0)</f>
        <v>4.00223402785239</v>
      </c>
      <c r="BI42" s="19" t="n">
        <f aca="false">IF(AND(Time!BI26=1,Time!BI28=0),BI29/Time!BI25*Inputs!$F$157,0)</f>
        <v>4.03310363367561</v>
      </c>
      <c r="BJ42" s="19" t="n">
        <f aca="false">IF(AND(Time!BJ26=1,Time!BJ28=0),BJ29/Time!BJ25*Inputs!$F$157,0)</f>
        <v>4.12761190303557</v>
      </c>
      <c r="BK42" s="19" t="n">
        <f aca="false">IF(AND(Time!BK26=1,Time!BK28=0),BK29/Time!BK25*Inputs!$F$157,0)</f>
        <v>4.16001156758221</v>
      </c>
      <c r="BL42" s="19" t="n">
        <f aca="false">IF(AND(Time!BL26=1,Time!BL28=0),BL29/Time!BL25*Inputs!$F$157,0)</f>
        <v>4.25740415053746</v>
      </c>
      <c r="BM42" s="19" t="n">
        <f aca="false">IF(AND(Time!BM26=1,Time!BM28=0),BM29/Time!BM25*Inputs!$F$157,0)</f>
        <v>4.29091726834457</v>
      </c>
      <c r="BN42" s="19" t="n">
        <f aca="false">IF(AND(Time!BN26=1,Time!BN28=0),BN29/Time!BN25*Inputs!$F$157,0)</f>
        <v>4.39128277410516</v>
      </c>
      <c r="BO42" s="19" t="n">
        <f aca="false">IF(AND(Time!BO26=1,Time!BO28=0),BO29/Time!BO25*Inputs!$F$157,0)</f>
        <v>4.42641569260628</v>
      </c>
      <c r="BP42" s="19" t="n">
        <f aca="false">IF(AND(Time!BP26=1,Time!BP28=0),BP29/Time!BP25*Inputs!$F$157,0)</f>
        <v>4.52985484586195</v>
      </c>
      <c r="BQ42" s="19" t="n">
        <f aca="false">IF(AND(Time!BQ26=1,Time!BQ28=0),BQ29/Time!BQ25*Inputs!$F$157,0)</f>
        <v>4.56665895183771</v>
      </c>
      <c r="BR42" s="19" t="n">
        <f aca="false">IF(AND(Time!BR26=1,Time!BR28=0),BR29/Time!BR25*Inputs!$F$157,0)</f>
        <v>4.65817637252199</v>
      </c>
      <c r="BS42" s="19" t="n">
        <f aca="false">IF(AND(Time!BS26=1,Time!BS28=0),BS29/Time!BS25*Inputs!$F$157,0)</f>
        <v>4.69632673395318</v>
      </c>
      <c r="BT42" s="19" t="n">
        <f aca="false">IF(AND(Time!BT26=1,Time!BT28=0),BT29/Time!BT25*Inputs!$F$157,0)</f>
        <v>4.79028710323776</v>
      </c>
      <c r="BU42" s="19" t="n">
        <f aca="false">IF(AND(Time!BU26=1,Time!BU28=0),BU29/Time!BU25*Inputs!$F$157,0)</f>
        <v>4.8298069648229</v>
      </c>
      <c r="BV42" s="19" t="n">
        <f aca="false">IF(AND(Time!BV26=1,Time!BV28=0),BV29/Time!BV25*Inputs!$F$157,0)</f>
        <v>4.9262770639648</v>
      </c>
      <c r="BW42" s="19" t="n">
        <f aca="false">IF(AND(Time!BW26=1,Time!BW28=0),BW29/Time!BW25*Inputs!$F$157,0)</f>
        <v>4.96719000067081</v>
      </c>
      <c r="BX42" s="19" t="n">
        <f aca="false">IF(AND(Time!BX26=1,Time!BX28=0),BX29/Time!BX25*Inputs!$F$157,0)</f>
        <v>5.06623823090853</v>
      </c>
      <c r="BY42" s="19" t="n">
        <f aca="false">IF(AND(Time!BY26=1,Time!BY28=0),BY29/Time!BY25*Inputs!$F$157,0)</f>
        <v>5.10856815225168</v>
      </c>
      <c r="BZ42" s="19" t="n">
        <f aca="false">IF(AND(Time!BZ26=1,Time!BZ28=0),BZ29/Time!BZ25*Inputs!$F$157,0)</f>
        <v>5.21026457226099</v>
      </c>
      <c r="CA42" s="19" t="n">
        <f aca="false">IF(AND(Time!CA26=1,Time!CA28=0),CA29/Time!CA25*Inputs!$F$157,0)</f>
        <v>5.25403572664034</v>
      </c>
      <c r="CB42" s="19" t="n">
        <f aca="false">IF(AND(Time!CB26=1,Time!CB28=0),CB29/Time!CB25*Inputs!$F$157,0)</f>
        <v>5.3584520908557</v>
      </c>
      <c r="CC42" s="19" t="n">
        <f aca="false">IF(AND(Time!CC26=1,Time!CC28=0),CC29/Time!CC25*Inputs!$F$157,0)</f>
        <v>5.40368906993985</v>
      </c>
      <c r="CD42" s="19" t="n">
        <f aca="false">IF(AND(Time!CD26=1,Time!CD28=0),CD29/Time!CD25*Inputs!$F$157,0)</f>
        <v>5.51089886776194</v>
      </c>
      <c r="CE42" s="19" t="n">
        <f aca="false">IF(AND(Time!CE26=1,Time!CE28=0),CE29/Time!CE25*Inputs!$F$157,0)</f>
        <v>5.55762661092954</v>
      </c>
      <c r="CF42" s="19" t="n">
        <f aca="false">IF(AND(Time!CF26=1,Time!CF28=0),CF29/Time!CF25*Inputs!$F$157,0)</f>
        <v>5.66770510683959</v>
      </c>
      <c r="CG42" s="19" t="n">
        <f aca="false">IF(AND(Time!CG26=1,Time!CG28=0),CG29/Time!CG25*Inputs!$F$157,0)</f>
        <v>5.71647329479218</v>
      </c>
      <c r="CH42" s="19" t="n">
        <f aca="false">IF(AND(Time!CH26=1,Time!CH28=0),CH29/Time!CH25*Inputs!$F$157,0)</f>
        <v>5.82950281328587</v>
      </c>
      <c r="CI42" s="19" t="n">
        <f aca="false">IF(AND(Time!CI26=1,Time!CI28=0),CI29/Time!CI25*Inputs!$F$157,0)</f>
        <v>5.87981794913588</v>
      </c>
      <c r="CJ42" s="19" t="n">
        <f aca="false">IF(AND(Time!CJ26=1,Time!CJ28=0),CJ29/Time!CJ25*Inputs!$F$157,0)</f>
        <v>5.99587753381166</v>
      </c>
      <c r="CK42" s="19" t="n">
        <f aca="false">IF(AND(Time!CK26=1,Time!CK28=0),CK29/Time!CK25*Inputs!$F$157,0)</f>
        <v>6.04776567969824</v>
      </c>
      <c r="CL42" s="19" t="n">
        <f aca="false">IF(AND(Time!CL26=1,Time!CL28=0),CL29/Time!CL25*Inputs!$F$157,0)</f>
        <v>6.16693627680925</v>
      </c>
      <c r="CM42" s="19" t="n">
        <f aca="false">IF(AND(Time!CM26=1,Time!CM28=0),CM29/Time!CM25*Inputs!$F$157,0)</f>
        <v>6.22096414005198</v>
      </c>
      <c r="CN42" s="19" t="n">
        <f aca="false">IF(AND(Time!CN26=1,Time!CN28=0),CN29/Time!CN25*Inputs!$F$157,0)</f>
        <v>6.34333404527438</v>
      </c>
      <c r="CO42" s="19" t="n">
        <f aca="false">IF(AND(Time!CO26=1,Time!CO28=0),CO29/Time!CO25*Inputs!$F$157,0)</f>
        <v>6.39899354998704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0.520632806066013</v>
      </c>
      <c r="AA43" s="19" t="n">
        <f aca="false">AA41-AA42</f>
        <v>0.591517655769136</v>
      </c>
      <c r="AB43" s="19" t="n">
        <f aca="false">AB41-AB42</f>
        <v>1.02951473170964</v>
      </c>
      <c r="AC43" s="19" t="n">
        <f aca="false">AC41-AC42</f>
        <v>1.11624847958725</v>
      </c>
      <c r="AD43" s="19" t="n">
        <f aca="false">AD41-AD42</f>
        <v>1.4848113052811</v>
      </c>
      <c r="AE43" s="19" t="n">
        <f aca="false">AE41-AE42</f>
        <v>1.5873514604665</v>
      </c>
      <c r="AF43" s="19" t="n">
        <f aca="false">AF41-AF42</f>
        <v>1.83462962544704</v>
      </c>
      <c r="AG43" s="19" t="n">
        <f aca="false">AG41-AG42</f>
        <v>1.94783780578634</v>
      </c>
      <c r="AH43" s="19" t="n">
        <f aca="false">AH41-AH42</f>
        <v>2.09422634583988</v>
      </c>
      <c r="AI43" s="19" t="n">
        <f aca="false">AI41-AI42</f>
        <v>2.21734024195887</v>
      </c>
      <c r="AJ43" s="19" t="n">
        <f aca="false">AJ41-AJ42</f>
        <v>2.28967855953701</v>
      </c>
      <c r="AK43" s="19" t="n">
        <f aca="false">AK41-AK42</f>
        <v>2.42073117930229</v>
      </c>
      <c r="AL43" s="19" t="n">
        <f aca="false">AL41-AL42</f>
        <v>2.49916872032743</v>
      </c>
      <c r="AM43" s="19" t="n">
        <f aca="false">AM41-AM42</f>
        <v>2.63851697092385</v>
      </c>
      <c r="AN43" s="19" t="n">
        <f aca="false">AN41-AN42</f>
        <v>2.72347620832664</v>
      </c>
      <c r="AO43" s="19" t="n">
        <f aca="false">AO41-AO42</f>
        <v>2.86917828963978</v>
      </c>
      <c r="AP43" s="19" t="n">
        <f aca="false">AP41-AP42</f>
        <v>2.96103776141649</v>
      </c>
      <c r="AQ43" s="19" t="n">
        <f aca="false">AQ41-AQ42</f>
        <v>3.11572480441061</v>
      </c>
      <c r="AR43" s="19" t="n">
        <f aca="false">AR41-AR42</f>
        <v>3.21495045765009</v>
      </c>
      <c r="AS43" s="19" t="n">
        <f aca="false">AS41-AS42</f>
        <v>3.3790210546523</v>
      </c>
      <c r="AT43" s="19" t="n">
        <f aca="false">AT41-AT42</f>
        <v>3.48610403999658</v>
      </c>
      <c r="AU43" s="19" t="n">
        <f aca="false">AU41-AU42</f>
        <v>3.65997234533619</v>
      </c>
      <c r="AV43" s="19" t="n">
        <f aca="false">AV41-AV42</f>
        <v>3.77543020247929</v>
      </c>
      <c r="AW43" s="19" t="n">
        <f aca="false">AW41-AW42</f>
        <v>3.92841163270354</v>
      </c>
      <c r="AX43" s="19" t="n">
        <f aca="false">AX41-AX42</f>
        <v>3.99504033334941</v>
      </c>
      <c r="AY43" s="19" t="n">
        <f aca="false">AY41-AY42</f>
        <v>4.15637091959606</v>
      </c>
      <c r="AZ43" s="19" t="n">
        <f aca="false">AZ41-AZ42</f>
        <v>4.22726031767958</v>
      </c>
      <c r="BA43" s="19" t="n">
        <f aca="false">BA41-BA42</f>
        <v>4.39451517463431</v>
      </c>
      <c r="BB43" s="19" t="n">
        <f aca="false">BB41-BB42</f>
        <v>4.46986150731088</v>
      </c>
      <c r="BC43" s="19" t="n">
        <f aca="false">BC41-BC42</f>
        <v>4.64596468573031</v>
      </c>
      <c r="BD43" s="19" t="n">
        <f aca="false">BD41-BD42</f>
        <v>4.7260264093584</v>
      </c>
      <c r="BE43" s="19" t="n">
        <f aca="false">BE41-BE42</f>
        <v>4.91126494015833</v>
      </c>
      <c r="BF43" s="19" t="n">
        <f aca="false">BF41-BF42</f>
        <v>4.99631122962282</v>
      </c>
      <c r="BG43" s="19" t="n">
        <f aca="false">BG41-BG42</f>
        <v>5.18811730833294</v>
      </c>
      <c r="BH43" s="19" t="n">
        <f aca="false">BH41-BH42</f>
        <v>5.27837116992745</v>
      </c>
      <c r="BI43" s="19" t="n">
        <f aca="false">BI41-BI42</f>
        <v>5.4798534358919</v>
      </c>
      <c r="BJ43" s="19" t="n">
        <f aca="false">BJ41-BJ42</f>
        <v>5.57560430792328</v>
      </c>
      <c r="BK43" s="19" t="n">
        <f aca="false">BK41-BK42</f>
        <v>5.78707308620075</v>
      </c>
      <c r="BL43" s="19" t="n">
        <f aca="false">BL41-BL42</f>
        <v>5.88862219632116</v>
      </c>
      <c r="BM43" s="19" t="n">
        <f aca="false">BM41-BM42</f>
        <v>6.10735835233098</v>
      </c>
      <c r="BN43" s="19" t="n">
        <f aca="false">BN41-BN42</f>
        <v>6.2149583589839</v>
      </c>
      <c r="BO43" s="19" t="n">
        <f aca="false">BO41-BO42</f>
        <v>6.44426676253419</v>
      </c>
      <c r="BP43" s="19" t="n">
        <f aca="false">BP41-BP42</f>
        <v>6.55824125838133</v>
      </c>
      <c r="BQ43" s="19" t="n">
        <f aca="false">BQ41-BQ42</f>
        <v>6.79845730491131</v>
      </c>
      <c r="BR43" s="19" t="n">
        <f aca="false">BR41-BR42</f>
        <v>6.82059104679453</v>
      </c>
      <c r="BS43" s="19" t="n">
        <f aca="false">BS41-BS42</f>
        <v>7.06959394344758</v>
      </c>
      <c r="BT43" s="19" t="n">
        <f aca="false">BT41-BT42</f>
        <v>7.09329278093701</v>
      </c>
      <c r="BU43" s="19" t="n">
        <f aca="false">BU41-BU42</f>
        <v>7.35123424311094</v>
      </c>
      <c r="BV43" s="19" t="n">
        <f aca="false">BV41-BV42</f>
        <v>7.37657455604838</v>
      </c>
      <c r="BW43" s="19" t="n">
        <f aca="false">BW41-BW42</f>
        <v>7.64360845476394</v>
      </c>
      <c r="BX43" s="19" t="n">
        <f aca="false">BX41-BX42</f>
        <v>7.67066820908056</v>
      </c>
      <c r="BY43" s="19" t="n">
        <f aca="false">BY41-BY42</f>
        <v>7.94695059892238</v>
      </c>
      <c r="BZ43" s="19" t="n">
        <f aca="false">BZ41-BZ42</f>
        <v>7.97580936642481</v>
      </c>
      <c r="CA43" s="19" t="n">
        <f aca="false">CA41-CA42</f>
        <v>8.26149851382552</v>
      </c>
      <c r="CB43" s="19" t="n">
        <f aca="false">CB41-CB42</f>
        <v>8.29223749201482</v>
      </c>
      <c r="CC43" s="19" t="n">
        <f aca="false">CC41-CC42</f>
        <v>8.58749390388662</v>
      </c>
      <c r="CD43" s="19" t="n">
        <f aca="false">CD41-CD42</f>
        <v>8.6201959358028</v>
      </c>
      <c r="CE43" s="19" t="n">
        <f aca="false">CE41-CE42</f>
        <v>8.92518238852038</v>
      </c>
      <c r="CF43" s="19" t="n">
        <f aca="false">CF41-CF42</f>
        <v>8.95993198260483</v>
      </c>
      <c r="CG43" s="19" t="n">
        <f aca="false">CG41-CG42</f>
        <v>9.27823617709109</v>
      </c>
      <c r="CH43" s="19" t="n">
        <f aca="false">CH41-CH42</f>
        <v>9.31515375331622</v>
      </c>
      <c r="CI43" s="19" t="n">
        <f aca="false">CI41-CI42</f>
        <v>9.6435546937566</v>
      </c>
      <c r="CJ43" s="19" t="n">
        <f aca="false">CJ41-CJ42</f>
        <v>9.68272883550975</v>
      </c>
      <c r="CK43" s="19" t="n">
        <f aca="false">CK41-CK42</f>
        <v>10.0213966264039</v>
      </c>
      <c r="CL43" s="19" t="n">
        <f aca="false">CL41-CL42</f>
        <v>10.0629176523539</v>
      </c>
      <c r="CM43" s="19" t="n">
        <f aca="false">CM41-CM42</f>
        <v>10.4155511253468</v>
      </c>
      <c r="CN43" s="19" t="n">
        <f aca="false">CN41-CN42</f>
        <v>10.4595463727784</v>
      </c>
      <c r="CO43" s="19" t="n">
        <f aca="false">CO41-CO42</f>
        <v>10.8228293766556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0.520632806066013</v>
      </c>
      <c r="AA44" s="19" t="n">
        <f aca="false">AA43-Z43</f>
        <v>0.0708848497031229</v>
      </c>
      <c r="AB44" s="19" t="n">
        <f aca="false">AB43-AA43</f>
        <v>0.437997075940509</v>
      </c>
      <c r="AC44" s="19" t="n">
        <f aca="false">AC43-AB43</f>
        <v>0.0867337478776094</v>
      </c>
      <c r="AD44" s="19" t="n">
        <f aca="false">AD43-AC43</f>
        <v>0.368562825693849</v>
      </c>
      <c r="AE44" s="19" t="n">
        <f aca="false">AE43-AD43</f>
        <v>0.1025401551854</v>
      </c>
      <c r="AF44" s="19" t="n">
        <f aca="false">AF43-AE43</f>
        <v>0.247278164980536</v>
      </c>
      <c r="AG44" s="19" t="n">
        <f aca="false">AG43-AF43</f>
        <v>0.113208180339303</v>
      </c>
      <c r="AH44" s="19" t="n">
        <f aca="false">AH43-AG43</f>
        <v>0.146388540053533</v>
      </c>
      <c r="AI44" s="19" t="n">
        <f aca="false">AI43-AH43</f>
        <v>0.123113896118992</v>
      </c>
      <c r="AJ44" s="19" t="n">
        <f aca="false">AJ43-AI43</f>
        <v>0.0723383175781387</v>
      </c>
      <c r="AK44" s="19" t="n">
        <f aca="false">AK43-AJ43</f>
        <v>0.131052619765287</v>
      </c>
      <c r="AL44" s="19" t="n">
        <f aca="false">AL43-AK43</f>
        <v>0.0784375410251315</v>
      </c>
      <c r="AM44" s="19" t="n">
        <f aca="false">AM43-AL43</f>
        <v>0.139348250596429</v>
      </c>
      <c r="AN44" s="19" t="n">
        <f aca="false">AN43-AM43</f>
        <v>0.0849592374027903</v>
      </c>
      <c r="AO44" s="19" t="n">
        <f aca="false">AO43-AN43</f>
        <v>0.145702081313141</v>
      </c>
      <c r="AP44" s="19" t="n">
        <f aca="false">AP43-AO43</f>
        <v>0.0918594717767034</v>
      </c>
      <c r="AQ44" s="19" t="n">
        <f aca="false">AQ43-AP43</f>
        <v>0.154687042994119</v>
      </c>
      <c r="AR44" s="19" t="n">
        <f aca="false">AR43-AQ43</f>
        <v>0.0992256532394849</v>
      </c>
      <c r="AS44" s="19" t="n">
        <f aca="false">AS43-AR43</f>
        <v>0.164070597002208</v>
      </c>
      <c r="AT44" s="19" t="n">
        <f aca="false">AT43-AS43</f>
        <v>0.107082985344285</v>
      </c>
      <c r="AU44" s="19" t="n">
        <f aca="false">AU43-AT43</f>
        <v>0.173868305339606</v>
      </c>
      <c r="AV44" s="19" t="n">
        <f aca="false">AV43-AU43</f>
        <v>0.115457857143101</v>
      </c>
      <c r="AW44" s="19" t="n">
        <f aca="false">AW43-AV43</f>
        <v>0.152981430224243</v>
      </c>
      <c r="AX44" s="19" t="n">
        <f aca="false">AX43-AW43</f>
        <v>0.066628700645873</v>
      </c>
      <c r="AY44" s="19" t="n">
        <f aca="false">AY43-AX43</f>
        <v>0.161330586246653</v>
      </c>
      <c r="AZ44" s="19" t="n">
        <f aca="false">AZ43-AY43</f>
        <v>0.0708893980835166</v>
      </c>
      <c r="BA44" s="19" t="n">
        <f aca="false">BA43-AZ43</f>
        <v>0.167254856954727</v>
      </c>
      <c r="BB44" s="19" t="n">
        <f aca="false">BB43-BA43</f>
        <v>0.0753463326765722</v>
      </c>
      <c r="BC44" s="19" t="n">
        <f aca="false">BC43-BB43</f>
        <v>0.176103178419432</v>
      </c>
      <c r="BD44" s="19" t="n">
        <f aca="false">BD43-BC43</f>
        <v>0.0800617236280869</v>
      </c>
      <c r="BE44" s="19" t="n">
        <f aca="false">BE43-BD43</f>
        <v>0.185238530799936</v>
      </c>
      <c r="BF44" s="19" t="n">
        <f aca="false">BF43-BE43</f>
        <v>0.0850462894644881</v>
      </c>
      <c r="BG44" s="19" t="n">
        <f aca="false">BG43-BF43</f>
        <v>0.191806078710117</v>
      </c>
      <c r="BH44" s="19" t="n">
        <f aca="false">BH43-BG43</f>
        <v>0.0902538615945101</v>
      </c>
      <c r="BI44" s="19" t="n">
        <f aca="false">BI43-BH43</f>
        <v>0.201482265964448</v>
      </c>
      <c r="BJ44" s="19" t="n">
        <f aca="false">BJ43-BI43</f>
        <v>0.0957508720313873</v>
      </c>
      <c r="BK44" s="19" t="n">
        <f aca="false">BK43-BJ43</f>
        <v>0.21146877827747</v>
      </c>
      <c r="BL44" s="19" t="n">
        <f aca="false">BL43-BK43</f>
        <v>0.101549110120404</v>
      </c>
      <c r="BM44" s="19" t="n">
        <f aca="false">BM43-BL43</f>
        <v>0.218736156009819</v>
      </c>
      <c r="BN44" s="19" t="n">
        <f aca="false">BN43-BM43</f>
        <v>0.107600006652919</v>
      </c>
      <c r="BO44" s="19" t="n">
        <f aca="false">BO43-BN43</f>
        <v>0.229308403550294</v>
      </c>
      <c r="BP44" s="19" t="n">
        <f aca="false">BP43-BO43</f>
        <v>0.113974495847141</v>
      </c>
      <c r="BQ44" s="19" t="n">
        <f aca="false">BQ43-BP43</f>
        <v>0.240216046529983</v>
      </c>
      <c r="BR44" s="19" t="n">
        <f aca="false">BR43-BQ43</f>
        <v>0.0221337418832146</v>
      </c>
      <c r="BS44" s="19" t="n">
        <f aca="false">BS43-BR43</f>
        <v>0.249002896653052</v>
      </c>
      <c r="BT44" s="19" t="n">
        <f aca="false">BT43-BS43</f>
        <v>0.023698837489432</v>
      </c>
      <c r="BU44" s="19" t="n">
        <f aca="false">BU43-BT43</f>
        <v>0.25794146217393</v>
      </c>
      <c r="BV44" s="19" t="n">
        <f aca="false">BV43-BU43</f>
        <v>0.0253403129374368</v>
      </c>
      <c r="BW44" s="19" t="n">
        <f aca="false">BW43-BV43</f>
        <v>0.267033898715562</v>
      </c>
      <c r="BX44" s="19" t="n">
        <f aca="false">BX43-BW43</f>
        <v>0.0270597543166238</v>
      </c>
      <c r="BY44" s="19" t="n">
        <f aca="false">BY43-BX43</f>
        <v>0.276282389841811</v>
      </c>
      <c r="BZ44" s="19" t="n">
        <f aca="false">BZ43-BY43</f>
        <v>0.0288587675024301</v>
      </c>
      <c r="CA44" s="19" t="n">
        <f aca="false">CA43-BZ43</f>
        <v>0.285689147400716</v>
      </c>
      <c r="CB44" s="19" t="n">
        <f aca="false">CB43-CA43</f>
        <v>0.0307389781892944</v>
      </c>
      <c r="CC44" s="19" t="n">
        <f aca="false">CC43-CB43</f>
        <v>0.295256411871803</v>
      </c>
      <c r="CD44" s="19" t="n">
        <f aca="false">CD43-CC43</f>
        <v>0.0327020319161804</v>
      </c>
      <c r="CE44" s="19" t="n">
        <f aca="false">CE43-CD43</f>
        <v>0.304986452717579</v>
      </c>
      <c r="CF44" s="19" t="n">
        <f aca="false">CF43-CE43</f>
        <v>0.0347495940844542</v>
      </c>
      <c r="CG44" s="19" t="n">
        <f aca="false">CG43-CF43</f>
        <v>0.318304194486252</v>
      </c>
      <c r="CH44" s="19" t="n">
        <f aca="false">CH43-CG43</f>
        <v>0.0369175762251359</v>
      </c>
      <c r="CI44" s="19" t="n">
        <f aca="false">CI43-CH43</f>
        <v>0.328400940440382</v>
      </c>
      <c r="CJ44" s="19" t="n">
        <f aca="false">CJ43-CI43</f>
        <v>0.039174141753147</v>
      </c>
      <c r="CK44" s="19" t="n">
        <f aca="false">CK43-CJ43</f>
        <v>0.338667790894156</v>
      </c>
      <c r="CL44" s="19" t="n">
        <f aca="false">CL43-CK43</f>
        <v>0.0415210259500114</v>
      </c>
      <c r="CM44" s="19" t="n">
        <f aca="false">CM43-CL43</f>
        <v>0.352633472992878</v>
      </c>
      <c r="CN44" s="19" t="n">
        <f aca="false">CN43-CM43</f>
        <v>0.0439952474315888</v>
      </c>
      <c r="CO44" s="19" t="n">
        <f aca="false">CO43-CN43</f>
        <v>0.363283003877262</v>
      </c>
      <c r="CP44" s="19" t="n">
        <f aca="false">CP43-CO43</f>
        <v>-10.8228293766556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378.331239337129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0</v>
      </c>
      <c r="BQ47" s="29" t="n">
        <f aca="false">Tax!BQ23</f>
        <v>0</v>
      </c>
      <c r="BR47" s="29" t="n">
        <f aca="false">Tax!BR23</f>
        <v>0</v>
      </c>
      <c r="BS47" s="29" t="n">
        <f aca="false">Tax!BS23</f>
        <v>0</v>
      </c>
      <c r="BT47" s="29" t="n">
        <f aca="false">Tax!BT23</f>
        <v>0</v>
      </c>
      <c r="BU47" s="29" t="n">
        <f aca="false">Tax!BU23</f>
        <v>0</v>
      </c>
      <c r="BV47" s="29" t="n">
        <f aca="false">Tax!BV23</f>
        <v>0</v>
      </c>
      <c r="BW47" s="29" t="n">
        <f aca="false">Tax!BW23</f>
        <v>0</v>
      </c>
      <c r="BX47" s="29" t="n">
        <f aca="false">Tax!BX23</f>
        <v>0</v>
      </c>
      <c r="BY47" s="29" t="n">
        <f aca="false">Tax!BY23</f>
        <v>0</v>
      </c>
      <c r="BZ47" s="29" t="n">
        <f aca="false">Tax!BZ23</f>
        <v>0</v>
      </c>
      <c r="CA47" s="29" t="n">
        <f aca="false">Tax!CA23</f>
        <v>0</v>
      </c>
      <c r="CB47" s="29" t="n">
        <f aca="false">Tax!CB23</f>
        <v>0</v>
      </c>
      <c r="CC47" s="29" t="n">
        <f aca="false">Tax!CC23</f>
        <v>0</v>
      </c>
      <c r="CD47" s="29" t="n">
        <f aca="false">Tax!CD23</f>
        <v>0</v>
      </c>
      <c r="CE47" s="29" t="n">
        <f aca="false">Tax!CE23</f>
        <v>0</v>
      </c>
      <c r="CF47" s="29" t="n">
        <f aca="false">Tax!CF23</f>
        <v>16.5695075834007</v>
      </c>
      <c r="CG47" s="29" t="n">
        <f aca="false">Tax!CG23</f>
        <v>16.9648219288335</v>
      </c>
      <c r="CH47" s="29" t="n">
        <f aca="false">Tax!CH23</f>
        <v>39.2001323317515</v>
      </c>
      <c r="CI47" s="29" t="n">
        <f aca="false">Tax!CI23</f>
        <v>41.3552677644721</v>
      </c>
      <c r="CJ47" s="29" t="n">
        <f aca="false">Tax!CJ23</f>
        <v>41.1828694552326</v>
      </c>
      <c r="CK47" s="29" t="n">
        <f aca="false">Tax!CK23</f>
        <v>32.9562714857368</v>
      </c>
      <c r="CL47" s="29" t="n">
        <f aca="false">Tax!CL23</f>
        <v>43.2573997561071</v>
      </c>
      <c r="CM47" s="29" t="n">
        <f aca="false">Tax!CM23</f>
        <v>45.6052609209343</v>
      </c>
      <c r="CN47" s="29" t="n">
        <f aca="false">Tax!CN23</f>
        <v>45.668834889684</v>
      </c>
      <c r="CO47" s="29" t="n">
        <f aca="false">Tax!CO23</f>
        <v>47.8562358919235</v>
      </c>
      <c r="CP47" s="29" t="n">
        <f aca="false">Tax!CP23</f>
        <v>7.71463732905282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6065.32549141505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10.4157316104653</v>
      </c>
      <c r="AA48" s="19" t="n">
        <f aca="false">(AA32-AA44-AA47-AA37-AA39)*(1-Time!AA20)</f>
        <v>23.0499596523945</v>
      </c>
      <c r="AB48" s="19" t="n">
        <f aca="false">(AB32-AB44-AB47-AB37-AB39)*(1-Time!AB20)</f>
        <v>28.9545547609114</v>
      </c>
      <c r="AC48" s="19" t="n">
        <f aca="false">(AC32-AC44-AC47-AC37-AC39)*(1-Time!AC20)</f>
        <v>30.8618898538651</v>
      </c>
      <c r="AD48" s="19" t="n">
        <f aca="false">(AD32-AD44-AD47-AD37-AD39)*(1-Time!AD20)</f>
        <v>35.6006498627729</v>
      </c>
      <c r="AE48" s="19" t="n">
        <f aca="false">(AE32-AE44-AE47-AE37-AE39)*(1-Time!AE20)</f>
        <v>37.9206406128931</v>
      </c>
      <c r="AF48" s="19" t="n">
        <f aca="false">(AF32-AF44-AF47-AF37-AF39)*(1-Time!AF20)</f>
        <v>40.9942494713759</v>
      </c>
      <c r="AG48" s="19" t="n">
        <f aca="false">(AG32-AG44-AG47-AG37-AG39)*(1-Time!AG20)</f>
        <v>43.4213391934174</v>
      </c>
      <c r="AH48" s="19" t="n">
        <f aca="false">(AH32-AH44-AH47-AH37-AH39)*(1-Time!AH20)</f>
        <v>45.1152067996604</v>
      </c>
      <c r="AI48" s="19" t="n">
        <f aca="false">(AI32-AI44-AI47-AI37-AI39)*(1-Time!AI20)</f>
        <v>44.424347445054</v>
      </c>
      <c r="AJ48" s="19" t="n">
        <f aca="false">(AJ32-AJ44-AJ47-AJ37-AJ39)*(1-Time!AJ20)</f>
        <v>45.3747631488508</v>
      </c>
      <c r="AK48" s="19" t="n">
        <f aca="false">(AK32-AK44-AK47-AK37-AK39)*(1-Time!AK20)</f>
        <v>47.713942356959</v>
      </c>
      <c r="AL48" s="19" t="n">
        <f aca="false">(AL32-AL44-AL47-AL37-AL39)*(1-Time!AL20)</f>
        <v>48.4403427011658</v>
      </c>
      <c r="AM48" s="19" t="n">
        <f aca="false">(AM32-AM44-AM47-AM37-AM39)*(1-Time!AM20)</f>
        <v>51.2179782967296</v>
      </c>
      <c r="AN48" s="19" t="n">
        <f aca="false">(AN32-AN44-AN47-AN37-AN39)*(1-Time!AN20)</f>
        <v>51.9903255074749</v>
      </c>
      <c r="AO48" s="19" t="n">
        <f aca="false">(AO32-AO44-AO47-AO37-AO39)*(1-Time!AO20)</f>
        <v>58.1320200344106</v>
      </c>
      <c r="AP48" s="19" t="n">
        <f aca="false">(AP32-AP44-AP47-AP37-AP39)*(1-Time!AP20)</f>
        <v>58.9503893577537</v>
      </c>
      <c r="AQ48" s="19" t="n">
        <f aca="false">(AQ32-AQ44-AQ47-AQ37-AQ39)*(1-Time!AQ20)</f>
        <v>51.7824009781804</v>
      </c>
      <c r="AR48" s="19" t="n">
        <f aca="false">(AR32-AR44-AR47-AR37-AR39)*(1-Time!AR20)</f>
        <v>53.000134395554</v>
      </c>
      <c r="AS48" s="19" t="n">
        <f aca="false">(AS32-AS44-AS47-AS37-AS39)*(1-Time!AS20)</f>
        <v>55.9643575027677</v>
      </c>
      <c r="AT48" s="19" t="n">
        <f aca="false">(AT32-AT44-AT47-AT37-AT39)*(1-Time!AT20)</f>
        <v>56.8879307299442</v>
      </c>
      <c r="AU48" s="19" t="n">
        <f aca="false">(AU32-AU44-AU47-AU37-AU39)*(1-Time!AU20)</f>
        <v>60.4081008444681</v>
      </c>
      <c r="AV48" s="19" t="n">
        <f aca="false">(AV32-AV44-AV47-AV37-AV39)*(1-Time!AV20)</f>
        <v>61.3889030482684</v>
      </c>
      <c r="AW48" s="19" t="n">
        <f aca="false">(AW32-AW44-AW47-AW37-AW39)*(1-Time!AW20)</f>
        <v>66.706862328475</v>
      </c>
      <c r="AX48" s="19" t="n">
        <f aca="false">(AX32-AX44-AX47-AX37-AX39)*(1-Time!AX20)</f>
        <v>66.9744095454637</v>
      </c>
      <c r="AY48" s="19" t="n">
        <f aca="false">(AY32-AY44-AY47-AY37-AY39)*(1-Time!AY20)</f>
        <v>66.5052369898839</v>
      </c>
      <c r="AZ48" s="19" t="n">
        <f aca="false">(AZ32-AZ44-AZ47-AZ37-AZ39)*(1-Time!AZ20)</f>
        <v>67.2244544681581</v>
      </c>
      <c r="BA48" s="19" t="n">
        <f aca="false">(BA32-BA44-BA47-BA37-BA39)*(1-Time!BA20)</f>
        <v>70.379591293878</v>
      </c>
      <c r="BB48" s="19" t="n">
        <f aca="false">(BB32-BB44-BB47-BB37-BB39)*(1-Time!BB20)</f>
        <v>70.6746686721234</v>
      </c>
      <c r="BC48" s="19" t="n">
        <f aca="false">(BC32-BC44-BC47-BC37-BC39)*(1-Time!BC20)</f>
        <v>82.7447309895529</v>
      </c>
      <c r="BD48" s="19" t="n">
        <f aca="false">(BD32-BD44-BD47-BD37-BD39)*(1-Time!BD20)</f>
        <v>83.0558031491129</v>
      </c>
      <c r="BE48" s="19" t="n">
        <f aca="false">(BE32-BE44-BE47-BE37-BE39)*(1-Time!BE20)</f>
        <v>90.9436792483577</v>
      </c>
      <c r="BF48" s="19" t="n">
        <f aca="false">(BF32-BF44-BF47-BF37-BF39)*(1-Time!BF20)</f>
        <v>91.271422964997</v>
      </c>
      <c r="BG48" s="19" t="n">
        <f aca="false">(BG32-BG44-BG47-BG37-BG39)*(1-Time!BG20)</f>
        <v>95.4057282169361</v>
      </c>
      <c r="BH48" s="19" t="n">
        <f aca="false">(BH32-BH44-BH47-BH37-BH39)*(1-Time!BH20)</f>
        <v>96.2773939405722</v>
      </c>
      <c r="BI48" s="19" t="n">
        <f aca="false">(BI32-BI44-BI47-BI37-BI39)*(1-Time!BI20)</f>
        <v>100.089584552284</v>
      </c>
      <c r="BJ48" s="19" t="n">
        <f aca="false">(BJ32-BJ44-BJ47-BJ37-BJ39)*(1-Time!BJ20)</f>
        <v>100.449714516574</v>
      </c>
      <c r="BK48" s="19" t="n">
        <f aca="false">(BK32-BK44-BK47-BK37-BK39)*(1-Time!BK20)</f>
        <v>105.006906199794</v>
      </c>
      <c r="BL48" s="19" t="n">
        <f aca="false">(BL32-BL44-BL47-BL37-BL39)*(1-Time!BL20)</f>
        <v>105.3857388565</v>
      </c>
      <c r="BM48" s="19" t="n">
        <f aca="false">(BM32-BM44-BM47-BM37-BM39)*(1-Time!BM20)</f>
        <v>110.12668894607</v>
      </c>
      <c r="BN48" s="19" t="n">
        <f aca="false">(BN32-BN44-BN47-BN37-BN39)*(1-Time!BN20)</f>
        <v>110.52187333404</v>
      </c>
      <c r="BO48" s="19" t="n">
        <f aca="false">(BO32-BO44-BO47-BO37-BO39)*(1-Time!BO20)</f>
        <v>96.8923450603104</v>
      </c>
      <c r="BP48" s="19" t="n">
        <f aca="false">(BP32-BP44-BP47-BP37-BP39)*(1-Time!BP20)</f>
        <v>97.9486652863241</v>
      </c>
      <c r="BQ48" s="19" t="n">
        <f aca="false">(BQ32-BQ44-BQ47-BQ37-BQ39)*(1-Time!BQ20)</f>
        <v>102.519551581852</v>
      </c>
      <c r="BR48" s="19" t="n">
        <f aca="false">(BR32-BR44-BR47-BR37-BR39)*(1-Time!BR20)</f>
        <v>101.676109795064</v>
      </c>
      <c r="BS48" s="19" t="n">
        <f aca="false">(BS32-BS44-BS47-BS37-BS39)*(1-Time!BS20)</f>
        <v>106.983184244272</v>
      </c>
      <c r="BT48" s="19" t="n">
        <f aca="false">(BT32-BT44-BT47-BT37-BT39)*(1-Time!BT20)</f>
        <v>106.111123491235</v>
      </c>
      <c r="BU48" s="19" t="n">
        <f aca="false">(BU32-BU44-BU47-BU37-BU39)*(1-Time!BU20)</f>
        <v>130.212926934043</v>
      </c>
      <c r="BV48" s="19" t="n">
        <f aca="false">(BV32-BV44-BV47-BV37-BV39)*(1-Time!BV20)</f>
        <v>129.311084012264</v>
      </c>
      <c r="BW48" s="19" t="n">
        <f aca="false">(BW32-BW44-BW47-BW37-BW39)*(1-Time!BW20)</f>
        <v>135.009456654313</v>
      </c>
      <c r="BX48" s="19" t="n">
        <f aca="false">(BX32-BX44-BX47-BX37-BX39)*(1-Time!BX20)</f>
        <v>134.817545364697</v>
      </c>
      <c r="BY48" s="19" t="n">
        <f aca="false">(BY32-BY44-BY47-BY37-BY39)*(1-Time!BY20)</f>
        <v>139.977984148921</v>
      </c>
      <c r="BZ48" s="19" t="n">
        <f aca="false">(BZ32-BZ44-BZ47-BZ37-BZ39)*(1-Time!BZ20)</f>
        <v>139.012977091913</v>
      </c>
      <c r="CA48" s="19" t="n">
        <f aca="false">(CA32-CA44-CA47-CA37-CA39)*(1-Time!CA20)</f>
        <v>133.112737048905</v>
      </c>
      <c r="CB48" s="19" t="n">
        <f aca="false">(CB32-CB44-CB47-CB37-CB39)*(1-Time!CB20)</f>
        <v>132.114291649574</v>
      </c>
      <c r="CC48" s="19" t="n">
        <f aca="false">(CC32-CC44-CC47-CC37-CC39)*(1-Time!CC20)</f>
        <v>138.436679298269</v>
      </c>
      <c r="CD48" s="19" t="n">
        <f aca="false">(CD32-CD44-CD47-CD37-CD39)*(1-Time!CD20)</f>
        <v>137.403519585584</v>
      </c>
      <c r="CE48" s="19" t="n">
        <f aca="false">(CE32-CE44-CE47-CE37-CE39)*(1-Time!CE20)</f>
        <v>138.129816922637</v>
      </c>
      <c r="CF48" s="19" t="n">
        <f aca="false">(CF32-CF44-CF47-CF37-CF39)*(1-Time!CF20)</f>
        <v>121.347037552466</v>
      </c>
      <c r="CG48" s="19" t="n">
        <f aca="false">(CG32-CG44-CG47-CG37-CG39)*(1-Time!CG20)</f>
        <v>129.292104781583</v>
      </c>
      <c r="CH48" s="19" t="n">
        <f aca="false">(CH32-CH44-CH47-CH37-CH39)*(1-Time!CH20)</f>
        <v>105.712765642997</v>
      </c>
      <c r="CI48" s="19" t="n">
        <f aca="false">(CI32-CI44-CI47-CI37-CI39)*(1-Time!CI20)</f>
        <v>110.597291903227</v>
      </c>
      <c r="CJ48" s="19" t="n">
        <f aca="false">(CJ32-CJ44-CJ47-CJ37-CJ39)*(1-Time!CJ20)</f>
        <v>109.380604163406</v>
      </c>
      <c r="CK48" s="19" t="n">
        <f aca="false">(CK32-CK44-CK47-CK37-CK39)*(1-Time!CK20)</f>
        <v>130.69694838973</v>
      </c>
      <c r="CL48" s="19" t="n">
        <f aca="false">(CL32-CL44-CL47-CL37-CL39)*(1-Time!CL20)</f>
        <v>118.960122368036</v>
      </c>
      <c r="CM48" s="19" t="n">
        <f aca="false">(CM32-CM44-CM47-CM37-CM39)*(1-Time!CM20)</f>
        <v>124.175601923561</v>
      </c>
      <c r="CN48" s="19" t="n">
        <f aca="false">(CN32-CN44-CN47-CN37-CN39)*(1-Time!CN20)</f>
        <v>123.62005663349</v>
      </c>
      <c r="CO48" s="19" t="n">
        <f aca="false">(CO32-CO44-CO47-CO37-CO39)*(1-Time!CO20)</f>
        <v>128.255613672643</v>
      </c>
      <c r="CP48" s="19" t="n">
        <f aca="false">(CP32-CP44-CP47-CP37-CP39)*(1-Time!CP20)</f>
        <v>141.862699835627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458.742054031212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3.72312176131331</v>
      </c>
      <c r="AA13" s="19" t="n">
        <f aca="false">Debt!AA97*(1-Time!AA20)</f>
        <v>7.5855023327836</v>
      </c>
      <c r="AB13" s="19" t="n">
        <f aca="false">Debt!AB97*(1-Time!AB20)</f>
        <v>7.61879143853029</v>
      </c>
      <c r="AC13" s="19" t="n">
        <f aca="false">Debt!AC97*(1-Time!AC20)</f>
        <v>7.82004001949595</v>
      </c>
      <c r="AD13" s="19" t="n">
        <f aca="false">Debt!AD97*(1-Time!AD20)</f>
        <v>7.81120258248904</v>
      </c>
      <c r="AE13" s="19" t="n">
        <f aca="false">Debt!AE97*(1-Time!AE20)</f>
        <v>8.06116371359517</v>
      </c>
      <c r="AF13" s="19" t="n">
        <f aca="false">Debt!AF97*(1-Time!AF20)</f>
        <v>8.05205378239998</v>
      </c>
      <c r="AG13" s="19" t="n">
        <f aca="false">Debt!AG97*(1-Time!AG20)</f>
        <v>8.30972223356627</v>
      </c>
      <c r="AH13" s="19" t="n">
        <f aca="false">Debt!AH97*(1-Time!AH20)</f>
        <v>8.30033140607678</v>
      </c>
      <c r="AI13" s="19" t="n">
        <f aca="false">Debt!AI97*(1-Time!AI20)</f>
        <v>8.56594482538174</v>
      </c>
      <c r="AJ13" s="19" t="n">
        <f aca="false">Debt!AJ97*(1-Time!AJ20)</f>
        <v>8.60353661964961</v>
      </c>
      <c r="AK13" s="19" t="n">
        <f aca="false">Debt!AK97*(1-Time!AK20)</f>
        <v>8.7464996147847</v>
      </c>
      <c r="AL13" s="19" t="n">
        <f aca="false">Debt!AL97*(1-Time!AL20)</f>
        <v>8.60389364280452</v>
      </c>
      <c r="AM13" s="19" t="n">
        <f aca="false">Debt!AM97*(1-Time!AM20)</f>
        <v>8.7464996147847</v>
      </c>
      <c r="AN13" s="19" t="n">
        <f aca="false">Debt!AN97*(1-Time!AN20)</f>
        <v>8.60389364280452</v>
      </c>
      <c r="AO13" s="19" t="n">
        <f aca="false">Debt!AO97*(1-Time!AO20)</f>
        <v>8.7464996147847</v>
      </c>
      <c r="AP13" s="19" t="n">
        <f aca="false">Debt!AP97*(1-Time!AP20)</f>
        <v>8.60389364280452</v>
      </c>
      <c r="AQ13" s="19" t="n">
        <f aca="false">Debt!AQ97*(1-Time!AQ20)</f>
        <v>8.74329535321871</v>
      </c>
      <c r="AR13" s="19" t="n">
        <f aca="false">Debt!AR97*(1-Time!AR20)</f>
        <v>8.64825953416199</v>
      </c>
      <c r="AS13" s="19" t="n">
        <f aca="false">Debt!AS97*(1-Time!AS20)</f>
        <v>8.74329535321871</v>
      </c>
      <c r="AT13" s="19" t="n">
        <f aca="false">Debt!AT97*(1-Time!AT20)</f>
        <v>8.60074162463362</v>
      </c>
      <c r="AU13" s="19" t="n">
        <f aca="false">Debt!AU97*(1-Time!AU20)</f>
        <v>8.74329535321871</v>
      </c>
      <c r="AV13" s="19" t="n">
        <f aca="false">Debt!AV97*(1-Time!AV20)</f>
        <v>8.5949727100051</v>
      </c>
      <c r="AW13" s="19" t="n">
        <f aca="false">Debt!AW97*(1-Time!AW20)</f>
        <v>8.7248899363273</v>
      </c>
      <c r="AX13" s="19" t="n">
        <f aca="false">Debt!AX97*(1-Time!AX20)</f>
        <v>8.55990447167867</v>
      </c>
      <c r="AY13" s="19" t="n">
        <f aca="false">Debt!AY97*(1-Time!AY20)</f>
        <v>8.67549523339556</v>
      </c>
      <c r="AZ13" s="19" t="n">
        <f aca="false">Debt!AZ97*(1-Time!AZ20)</f>
        <v>8.55805675526278</v>
      </c>
      <c r="BA13" s="19" t="n">
        <f aca="false">Debt!BA97*(1-Time!BA20)</f>
        <v>8.62519561249932</v>
      </c>
      <c r="BB13" s="19" t="n">
        <f aca="false">Debt!BB97*(1-Time!BB20)</f>
        <v>8.45178195579972</v>
      </c>
      <c r="BC13" s="19" t="n">
        <f aca="false">Debt!BC97*(1-Time!BC20)</f>
        <v>8.55516526050567</v>
      </c>
      <c r="BD13" s="19" t="n">
        <f aca="false">Debt!BD97*(1-Time!BD20)</f>
        <v>8.35307586358064</v>
      </c>
      <c r="BE13" s="19" t="n">
        <f aca="false">Debt!BE97*(1-Time!BE20)</f>
        <v>8.42403124596649</v>
      </c>
      <c r="BF13" s="19" t="n">
        <f aca="false">Debt!BF97*(1-Time!BF20)</f>
        <v>8.20302355584316</v>
      </c>
      <c r="BG13" s="19" t="n">
        <f aca="false">Debt!BG97*(1-Time!BG20)</f>
        <v>8.24975529450173</v>
      </c>
      <c r="BH13" s="19" t="n">
        <f aca="false">Debt!BH97*(1-Time!BH20)</f>
        <v>8.06286963094579</v>
      </c>
      <c r="BI13" s="19" t="n">
        <f aca="false">Debt!BI97*(1-Time!BI20)</f>
        <v>8.04824640285193</v>
      </c>
      <c r="BJ13" s="19" t="n">
        <f aca="false">Debt!BJ97*(1-Time!BJ20)</f>
        <v>7.80639477033226</v>
      </c>
      <c r="BK13" s="19" t="n">
        <f aca="false">Debt!BK97*(1-Time!BK20)</f>
        <v>7.81873655568363</v>
      </c>
      <c r="BL13" s="19" t="n">
        <f aca="false">Debt!BL97*(1-Time!BL20)</f>
        <v>7.56570916075471</v>
      </c>
      <c r="BM13" s="19" t="n">
        <f aca="false">Debt!BM97*(1-Time!BM20)</f>
        <v>7.55868004704135</v>
      </c>
      <c r="BN13" s="19" t="n">
        <f aca="false">Debt!BN97*(1-Time!BN20)</f>
        <v>7.29404059134399</v>
      </c>
      <c r="BO13" s="19" t="n">
        <f aca="false">Debt!BO97*(1-Time!BO20)</f>
        <v>7.2661760482614</v>
      </c>
      <c r="BP13" s="19" t="n">
        <f aca="false">Debt!BP97*(1-Time!BP20)</f>
        <v>7.0714977331798</v>
      </c>
      <c r="BQ13" s="19" t="n">
        <f aca="false">Debt!BQ97*(1-Time!BQ20)</f>
        <v>7.0267367250833</v>
      </c>
      <c r="BR13" s="19" t="n">
        <f aca="false">Debt!BR97*(1-Time!BR20)</f>
        <v>6.78038866287733</v>
      </c>
      <c r="BS13" s="19" t="n">
        <f aca="false">Debt!BS97*(1-Time!BS20)</f>
        <v>6.75699867755069</v>
      </c>
      <c r="BT13" s="19" t="n">
        <f aca="false">Debt!BT97*(1-Time!BT20)</f>
        <v>6.50057535940965</v>
      </c>
      <c r="BU13" s="19" t="n">
        <f aca="false">Debt!BU97*(1-Time!BU20)</f>
        <v>6.45774677652489</v>
      </c>
      <c r="BV13" s="19" t="n">
        <f aca="false">Debt!BV97*(1-Time!BV20)</f>
        <v>6.14764134777452</v>
      </c>
      <c r="BW13" s="19" t="n">
        <f aca="false">Debt!BW97*(1-Time!BW20)</f>
        <v>6.03867350302918</v>
      </c>
      <c r="BX13" s="19" t="n">
        <f aca="false">Debt!BX97*(1-Time!BX20)</f>
        <v>5.74947797523754</v>
      </c>
      <c r="BY13" s="19" t="n">
        <f aca="false">Debt!BY97*(1-Time!BY20)</f>
        <v>5.58263722465931</v>
      </c>
      <c r="BZ13" s="19" t="n">
        <f aca="false">Debt!BZ97*(1-Time!BZ20)</f>
        <v>5.25081231577713</v>
      </c>
      <c r="CA13" s="19" t="n">
        <f aca="false">Debt!CA97*(1-Time!CA20)</f>
        <v>5.09021013387808</v>
      </c>
      <c r="CB13" s="19" t="n">
        <f aca="false">Debt!CB97*(1-Time!CB20)</f>
        <v>4.77490671038016</v>
      </c>
      <c r="CC13" s="19" t="n">
        <f aca="false">Debt!CC97*(1-Time!CC20)</f>
        <v>4.61538404283299</v>
      </c>
      <c r="CD13" s="19" t="n">
        <f aca="false">Debt!CD97*(1-Time!CD20)</f>
        <v>4.28823650115597</v>
      </c>
      <c r="CE13" s="19" t="n">
        <f aca="false">Debt!CE97*(1-Time!CE20)</f>
        <v>4.10063636232068</v>
      </c>
      <c r="CF13" s="19" t="n">
        <f aca="false">Debt!CF97*(1-Time!CF20)</f>
        <v>3.79563930086677</v>
      </c>
      <c r="CG13" s="19" t="n">
        <f aca="false">Debt!CG97*(1-Time!CG20)</f>
        <v>3.60903296016095</v>
      </c>
      <c r="CH13" s="19" t="n">
        <f aca="false">Debt!CH97*(1-Time!CH20)</f>
        <v>3.30428821969997</v>
      </c>
      <c r="CI13" s="19" t="n">
        <f aca="false">Debt!CI97*(1-Time!CI20)</f>
        <v>3.009835608034</v>
      </c>
      <c r="CJ13" s="19" t="n">
        <f aca="false">Debt!CJ97*(1-Time!CJ20)</f>
        <v>2.59457849131889</v>
      </c>
      <c r="CK13" s="19" t="n">
        <f aca="false">Debt!CK97*(1-Time!CK20)</f>
        <v>2.26352979480801</v>
      </c>
      <c r="CL13" s="19" t="n">
        <f aca="false">Debt!CL97*(1-Time!CL20)</f>
        <v>1.77426652455844</v>
      </c>
      <c r="CM13" s="19" t="n">
        <f aca="false">Debt!CM97*(1-Time!CM20)</f>
        <v>1.38070291609991</v>
      </c>
      <c r="CN13" s="19" t="n">
        <f aca="false">Debt!CN97*(1-Time!CN20)</f>
        <v>0.92178707990713</v>
      </c>
      <c r="CO13" s="19" t="n">
        <f aca="false">Debt!CO97*(1-Time!CO20)</f>
        <v>0.478154274883068</v>
      </c>
      <c r="CP13" s="19" t="n">
        <f aca="false">Debt!CP97*(1-Time!CP20)</f>
        <v>8.58140845178066E-012</v>
      </c>
      <c r="CQ13" s="19" t="n">
        <f aca="false">Debt!CQ97*(1-Time!CQ20)</f>
        <v>8.7236417410367E-012</v>
      </c>
      <c r="CR13" s="19" t="n">
        <f aca="false">Debt!CR97*(1-Time!CR20)</f>
        <v>8.7137831425941E-012</v>
      </c>
      <c r="CS13" s="19" t="n">
        <f aca="false">Debt!CS97*(1-Time!CS20)</f>
        <v>8.99262715765257E-012</v>
      </c>
      <c r="CT13" s="19" t="n">
        <f aca="false">Debt!CT97*(1-Time!CT20)</f>
        <v>8.98246457845423E-012</v>
      </c>
      <c r="CU13" s="19" t="n">
        <f aca="false">Debt!CU97*(1-Time!CU20)</f>
        <v>9.26990649055936E-012</v>
      </c>
      <c r="CV13" s="19" t="n">
        <f aca="false">Debt!CV97*(1-Time!CV20)</f>
        <v>9.31058763254418E-012</v>
      </c>
      <c r="CW13" s="19" t="n">
        <f aca="false">Debt!CW97*(1-Time!CW20)</f>
        <v>9.55652461141065E-012</v>
      </c>
      <c r="CX13" s="19" t="n">
        <f aca="false">Debt!CX97*(1-Time!CX20)</f>
        <v>9.54572477099452E-012</v>
      </c>
      <c r="CY13" s="19" t="n">
        <f aca="false">Debt!CY97*(1-Time!CY20)</f>
        <v>9.85119120023995E-012</v>
      </c>
      <c r="CZ13" s="19" t="n">
        <f aca="false">Debt!CZ97*(1-Time!CZ20)</f>
        <v>9.84005835674323E-012</v>
      </c>
      <c r="DA13" s="19" t="n">
        <f aca="false">Debt!DA97*(1-Time!DA20)</f>
        <v>1.01549435605294E-011</v>
      </c>
      <c r="DB13" s="19" t="n">
        <f aca="false">Debt!DB97*(1-Time!DB20)</f>
        <v>1.01434674461104E-011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1763.89279371786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27.0557741322784</v>
      </c>
      <c r="AF14" s="19" t="n">
        <f aca="false">Waterfall!AF54*(1-Time!AF20)</f>
        <v>27.2621794790726</v>
      </c>
      <c r="AG14" s="19" t="n">
        <f aca="false">Waterfall!AG54*(1-Time!AG20)</f>
        <v>28.4612907191371</v>
      </c>
      <c r="AH14" s="19" t="n">
        <f aca="false">Waterfall!AH54*(1-Time!AH20)</f>
        <v>28.4081858244451</v>
      </c>
      <c r="AI14" s="19" t="n">
        <f aca="false">Waterfall!AI54*(1-Time!AI20)</f>
        <v>29.2161805219624</v>
      </c>
      <c r="AJ14" s="19" t="n">
        <f aca="false">Waterfall!AJ54*(1-Time!AJ20)</f>
        <v>29.3023253735298</v>
      </c>
      <c r="AK14" s="19" t="n">
        <f aca="false">Waterfall!AK54*(1-Time!AK20)</f>
        <v>30.2766281686431</v>
      </c>
      <c r="AL14" s="19" t="n">
        <f aca="false">Waterfall!AL54*(1-Time!AL20)</f>
        <v>30.5125828107333</v>
      </c>
      <c r="AM14" s="19" t="n">
        <f aca="false">Waterfall!AM54*(1-Time!AM20)</f>
        <v>31.7369537236046</v>
      </c>
      <c r="AN14" s="19" t="n">
        <f aca="false">Waterfall!AN54*(1-Time!AN20)</f>
        <v>31.8452194306924</v>
      </c>
      <c r="AO14" s="19" t="n">
        <f aca="false">Waterfall!AO54*(1-Time!AO20)</f>
        <v>32.9771052321788</v>
      </c>
      <c r="AP14" s="19" t="n">
        <f aca="false">Waterfall!AP54*(1-Time!AP20)</f>
        <v>32.7767542325754</v>
      </c>
      <c r="AQ14" s="19" t="n">
        <f aca="false">Waterfall!AQ54*(1-Time!AQ20)</f>
        <v>33.6233115381461</v>
      </c>
      <c r="AR14" s="19" t="n">
        <f aca="false">Waterfall!AR54*(1-Time!AR20)</f>
        <v>33.9575985869464</v>
      </c>
      <c r="AS14" s="19" t="n">
        <f aca="false">Waterfall!AS54*(1-Time!AS20)</f>
        <v>34.9940871013283</v>
      </c>
      <c r="AT14" s="19" t="n">
        <f aca="false">Waterfall!AT54*(1-Time!AT20)</f>
        <v>34.9733879748481</v>
      </c>
      <c r="AU14" s="19" t="n">
        <f aca="false">Waterfall!AU54*(1-Time!AU20)</f>
        <v>36.0655300304208</v>
      </c>
      <c r="AV14" s="19" t="n">
        <f aca="false">Waterfall!AV54*(1-Time!AV20)</f>
        <v>35.8757099828422</v>
      </c>
      <c r="AW14" s="19" t="n">
        <f aca="false">Waterfall!AW54*(1-Time!AW20)</f>
        <v>36.932542130214</v>
      </c>
      <c r="AX14" s="19" t="n">
        <f aca="false">Waterfall!AX54*(1-Time!AX20)</f>
        <v>36.6149960336561</v>
      </c>
      <c r="AY14" s="19" t="n">
        <f aca="false">Waterfall!AY54*(1-Time!AY20)</f>
        <v>37.4739889900782</v>
      </c>
      <c r="AZ14" s="19" t="n">
        <f aca="false">Waterfall!AZ54*(1-Time!AZ20)</f>
        <v>37.3940484056338</v>
      </c>
      <c r="BA14" s="19" t="n">
        <f aca="false">Waterfall!BA54*(1-Time!BA20)</f>
        <v>38.1615793212117</v>
      </c>
      <c r="BB14" s="19" t="n">
        <f aca="false">Waterfall!BB54*(1-Time!BB20)</f>
        <v>37.7990232433888</v>
      </c>
      <c r="BC14" s="19" t="n">
        <f aca="false">Waterfall!BC54*(1-Time!BC20)</f>
        <v>38.8920376823645</v>
      </c>
      <c r="BD14" s="19" t="n">
        <f aca="false">Waterfall!BD54*(1-Time!BD20)</f>
        <v>38.2588422649694</v>
      </c>
      <c r="BE14" s="19" t="n">
        <f aca="false">Waterfall!BE54*(1-Time!BE20)</f>
        <v>39.0006244735909</v>
      </c>
      <c r="BF14" s="19" t="n">
        <f aca="false">Waterfall!BF54*(1-Time!BF20)</f>
        <v>38.1751192963126</v>
      </c>
      <c r="BG14" s="19" t="n">
        <f aca="false">Waterfall!BG54*(1-Time!BG20)</f>
        <v>38.6383155452659</v>
      </c>
      <c r="BH14" s="19" t="n">
        <f aca="false">Waterfall!BH54*(1-Time!BH20)</f>
        <v>37.9121197925671</v>
      </c>
      <c r="BI14" s="19" t="n">
        <f aca="false">Waterfall!BI54*(1-Time!BI20)</f>
        <v>38.0174684440226</v>
      </c>
      <c r="BJ14" s="19" t="n">
        <f aca="false">Waterfall!BJ54*(1-Time!BJ20)</f>
        <v>36.9395806623268</v>
      </c>
      <c r="BK14" s="19" t="n">
        <f aca="false">Waterfall!BK54*(1-Time!BK20)</f>
        <v>37.1031850420716</v>
      </c>
      <c r="BL14" s="19" t="n">
        <f aca="false">Waterfall!BL54*(1-Time!BL20)</f>
        <v>35.8763120577674</v>
      </c>
      <c r="BM14" s="19" t="n">
        <f aca="false">Waterfall!BM54*(1-Time!BM20)</f>
        <v>35.8507338834731</v>
      </c>
      <c r="BN14" s="19" t="n">
        <f aca="false">Waterfall!BN54*(1-Time!BN20)</f>
        <v>34.4583065354165</v>
      </c>
      <c r="BO14" s="19" t="n">
        <f aca="false">Waterfall!BO54*(1-Time!BO20)</f>
        <v>33.8544364325204</v>
      </c>
      <c r="BP14" s="19" t="n">
        <f aca="false">Waterfall!BP54*(1-Time!BP20)</f>
        <v>32.9034779896897</v>
      </c>
      <c r="BQ14" s="19" t="n">
        <f aca="false">Waterfall!BQ54*(1-Time!BQ20)</f>
        <v>32.6690128284716</v>
      </c>
      <c r="BR14" s="19" t="n">
        <f aca="false">Waterfall!BR54*(1-Time!BR20)</f>
        <v>31.3252980214452</v>
      </c>
      <c r="BS14" s="19" t="n">
        <f aca="false">Waterfall!BS54*(1-Time!BS20)</f>
        <v>31.0904410306647</v>
      </c>
      <c r="BT14" s="19" t="n">
        <f aca="false">Waterfall!BT54*(1-Time!BT20)</f>
        <v>29.5847701072753</v>
      </c>
      <c r="BU14" s="19" t="n">
        <f aca="false">Waterfall!BU54*(1-Time!BU20)</f>
        <v>29.4878378398582</v>
      </c>
      <c r="BV14" s="19" t="n">
        <f aca="false">Waterfall!BV54*(1-Time!BV20)</f>
        <v>27.3698829735373</v>
      </c>
      <c r="BW14" s="19" t="n">
        <f aca="false">Waterfall!BW54*(1-Time!BW20)</f>
        <v>26.1998092285122</v>
      </c>
      <c r="BX14" s="19" t="n">
        <f aca="false">Waterfall!BX54*(1-Time!BX20)</f>
        <v>23.9988659996454</v>
      </c>
      <c r="BY14" s="19" t="n">
        <f aca="false">Waterfall!BY54*(1-Time!BY20)</f>
        <v>22.3201750389266</v>
      </c>
      <c r="BZ14" s="19" t="n">
        <f aca="false">Waterfall!BZ54*(1-Time!BZ20)</f>
        <v>19.7196676268952</v>
      </c>
      <c r="CA14" s="19" t="n">
        <f aca="false">Waterfall!CA54*(1-Time!CA20)</f>
        <v>17.5662122623372</v>
      </c>
      <c r="CB14" s="19" t="n">
        <f aca="false">Waterfall!CB54*(1-Time!CB20)</f>
        <v>14.965371556937</v>
      </c>
      <c r="CC14" s="19" t="n">
        <f aca="false">Waterfall!CC54*(1-Time!CC20)</f>
        <v>12.8925964253933</v>
      </c>
      <c r="CD14" s="19" t="n">
        <f aca="false">Waterfall!CD54*(1-Time!CD20)</f>
        <v>10.0022229785813</v>
      </c>
      <c r="CE14" s="19" t="n">
        <f aca="false">Waterfall!CE54*(1-Time!CE20)</f>
        <v>7.35336224616098</v>
      </c>
      <c r="CF14" s="19" t="n">
        <f aca="false">Waterfall!CF54*(1-Time!CF20)</f>
        <v>4.00045630252683</v>
      </c>
      <c r="CG14" s="19" t="n">
        <f aca="false">Waterfall!CG54*(1-Time!CG20)</f>
        <v>1.45067932198181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1261.10413112363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-29.1926798128687</v>
      </c>
      <c r="AA15" s="19" t="n">
        <f aca="false">(Operations!AA32-Operations!AA36-Reserves!AA22-AA8-Debt!AA64-AA13-AA14-Debt!AA65)*(1-Time!AA20)</f>
        <v>-58.533901051035</v>
      </c>
      <c r="AB15" s="19" t="n">
        <f aca="false">(Operations!AB32-Operations!AB36-Reserves!AB22-AB8-Debt!AB64-AB13-AB14-Debt!AB65)*(1-Time!AB20)</f>
        <v>-52.9138051247356</v>
      </c>
      <c r="AC15" s="19" t="n">
        <f aca="false">(Operations!AC32-Operations!AC36-Reserves!AC22-AC8-Debt!AC64-AC13-AC14-Debt!AC65)*(1-Time!AC20)</f>
        <v>-53.9225133762612</v>
      </c>
      <c r="AD15" s="19" t="n">
        <f aca="false">(Operations!AD32-Operations!AD36-Reserves!AD22-AD8-Debt!AD64-AD13-AD14-Debt!AD65)*(1-Time!AD20)</f>
        <v>-49.1512668772841</v>
      </c>
      <c r="AE15" s="19" t="n">
        <f aca="false">(Operations!AE32-Operations!AE36-Reserves!AE22-AE8-Debt!AE64-AE13-AE14-Debt!AE65)*(1-Time!AE20)</f>
        <v>-48.1237516284622</v>
      </c>
      <c r="AF15" s="19" t="n">
        <f aca="false">(Operations!AF32-Operations!AF36-Reserves!AF22-AF8-Debt!AF64-AF13-AF14-Debt!AF65)*(1-Time!AF20)</f>
        <v>-49.29507957976</v>
      </c>
      <c r="AG15" s="19" t="n">
        <f aca="false">(Operations!AG32-Operations!AG36-Reserves!AG22-AG8-Debt!AG64-AG13-AG14-Debt!AG65)*(1-Time!AG20)</f>
        <v>-43.5660729433673</v>
      </c>
      <c r="AH15" s="19" t="n">
        <f aca="false">(Operations!AH32-Operations!AH36-Reserves!AH22-AH8-Debt!AH64-AH13-AH14-Debt!AH65)*(1-Time!AH20)</f>
        <v>-41.1477651861762</v>
      </c>
      <c r="AI15" s="19" t="n">
        <f aca="false">(Operations!AI32-Operations!AI36-Reserves!AI22-AI8-Debt!AI64-AI13-AI14-Debt!AI65)*(1-Time!AI20)</f>
        <v>-40.3496590589787</v>
      </c>
      <c r="AJ15" s="19" t="n">
        <f aca="false">(Operations!AJ32-Operations!AJ36-Reserves!AJ22-AJ8-Debt!AJ64-AJ13-AJ14-Debt!AJ65)*(1-Time!AJ20)</f>
        <v>-39.1545795335232</v>
      </c>
      <c r="AK15" s="19" t="n">
        <f aca="false">(Operations!AK32-Operations!AK36-Reserves!AK22-AK8-Debt!AK64-AK13-AK14-Debt!AK65)*(1-Time!AK20)</f>
        <v>-38.2931278595111</v>
      </c>
      <c r="AL15" s="19" t="n">
        <f aca="false">(Operations!AL32-Operations!AL36-Reserves!AL22-AL8-Debt!AL64-AL13-AL14-Debt!AL65)*(1-Time!AL20)</f>
        <v>-37.0839271951021</v>
      </c>
      <c r="AM15" s="19" t="n">
        <f aca="false">(Operations!AM32-Operations!AM36-Reserves!AM22-AM8-Debt!AM64-AM13-AM14-Debt!AM65)*(1-Time!AM20)</f>
        <v>-36.2411218438709</v>
      </c>
      <c r="AN15" s="19" t="n">
        <f aca="false">(Operations!AN32-Operations!AN36-Reserves!AN22-AN8-Debt!AN64-AN13-AN14-Debt!AN65)*(1-Time!AN20)</f>
        <v>-34.8600593123745</v>
      </c>
      <c r="AO15" s="19" t="n">
        <f aca="false">(Operations!AO32-Operations!AO36-Reserves!AO22-AO8-Debt!AO64-AO13-AO14-Debt!AO65)*(1-Time!AO20)</f>
        <v>-53.063163965339</v>
      </c>
      <c r="AP15" s="19" t="n">
        <f aca="false">(Operations!AP32-Operations!AP36-Reserves!AP22-AP8-Debt!AP64-AP13-AP14-Debt!AP65)*(1-Time!AP20)</f>
        <v>-32.0392423412179</v>
      </c>
      <c r="AQ15" s="19" t="n">
        <f aca="false">(Operations!AQ32-Operations!AQ36-Reserves!AQ22-AQ8-Debt!AQ64-AQ13-AQ14-Debt!AQ65)*(1-Time!AQ20)</f>
        <v>-30.4762092524744</v>
      </c>
      <c r="AR15" s="19" t="n">
        <f aca="false">(Operations!AR32-Operations!AR36-Reserves!AR22-AR8-Debt!AR64-AR13-AR14-Debt!AR65)*(1-Time!AR20)</f>
        <v>-29.1340124085641</v>
      </c>
      <c r="AS15" s="19" t="n">
        <f aca="false">(Operations!AS32-Operations!AS36-Reserves!AS22-AS8-Debt!AS64-AS13-AS14-Debt!AS65)*(1-Time!AS20)</f>
        <v>-27.6556447370612</v>
      </c>
      <c r="AT15" s="19" t="n">
        <f aca="false">(Operations!AT32-Operations!AT36-Reserves!AT22-AT8-Debt!AT64-AT13-AT14-Debt!AT65)*(1-Time!AT20)</f>
        <v>-25.997042197425</v>
      </c>
      <c r="AU15" s="19" t="n">
        <f aca="false">(Operations!AU32-Operations!AU36-Reserves!AU22-AU8-Debt!AU64-AU13-AU14-Debt!AU65)*(1-Time!AU20)</f>
        <v>-24.2735466161158</v>
      </c>
      <c r="AV15" s="19" t="n">
        <f aca="false">(Operations!AV32-Operations!AV36-Reserves!AV22-AV8-Debt!AV64-AV13-AV14-Debt!AV65)*(1-Time!AV20)</f>
        <v>-22.3842481006675</v>
      </c>
      <c r="AW15" s="19" t="n">
        <f aca="false">(Operations!AW32-Operations!AW36-Reserves!AW22-AW8-Debt!AW64-AW13-AW14-Debt!AW65)*(1-Time!AW20)</f>
        <v>-82.5322871022919</v>
      </c>
      <c r="AX15" s="19" t="n">
        <f aca="false">(Operations!AX32-Operations!AX36-Reserves!AX22-AX8-Debt!AX64-AX13-AX14-Debt!AX65)*(1-Time!AX20)</f>
        <v>-19.4947807984188</v>
      </c>
      <c r="AY15" s="19" t="n">
        <f aca="false">(Operations!AY32-Operations!AY36-Reserves!AY22-AY8-Debt!AY64-AY13-AY14-Debt!AY65)*(1-Time!AY20)</f>
        <v>-17.498796539248</v>
      </c>
      <c r="AZ15" s="19" t="n">
        <f aca="false">(Operations!AZ32-Operations!AZ36-Reserves!AZ22-AZ8-Debt!AZ64-AZ13-AZ14-Debt!AZ65)*(1-Time!AZ20)</f>
        <v>-16.2056258105055</v>
      </c>
      <c r="BA15" s="19" t="n">
        <f aca="false">(Operations!BA32-Operations!BA36-Reserves!BA22-BA8-Debt!BA64-BA13-BA14-Debt!BA65)*(1-Time!BA20)</f>
        <v>-14.1468276222979</v>
      </c>
      <c r="BB15" s="19" t="n">
        <f aca="false">(Operations!BB32-Operations!BB36-Reserves!BB22-BB8-Debt!BB64-BB13-BB14-Debt!BB65)*(1-Time!BB20)</f>
        <v>-12.6915186390428</v>
      </c>
      <c r="BC15" s="19" t="n">
        <f aca="false">(Operations!BC32-Operations!BC36-Reserves!BC22-BC8-Debt!BC64-BC13-BC14-Debt!BC65)*(1-Time!BC20)</f>
        <v>-60.2887222423367</v>
      </c>
      <c r="BD15" s="19" t="n">
        <f aca="false">(Operations!BD32-Operations!BD36-Reserves!BD22-BD8-Debt!BD64-BD13-BD14-Debt!BD65)*(1-Time!BD20)</f>
        <v>-8.64438518829662</v>
      </c>
      <c r="BE15" s="19" t="n">
        <f aca="false">(Operations!BE32-Operations!BE36-Reserves!BE22-BE8-Debt!BE64-BE13-BE14-Debt!BE65)*(1-Time!BE20)</f>
        <v>-29.2739615392746</v>
      </c>
      <c r="BF15" s="19" t="n">
        <f aca="false">(Operations!BF32-Operations!BF36-Reserves!BF22-BF8-Debt!BF64-BF13-BF14-Debt!BF65)*(1-Time!BF20)</f>
        <v>-3.57030051216444</v>
      </c>
      <c r="BG15" s="19" t="n">
        <f aca="false">(Operations!BG32-Operations!BG36-Reserves!BG22-BG8-Debt!BG64-BG13-BG14-Debt!BG65)*(1-Time!BG20)</f>
        <v>-0.169933706312222</v>
      </c>
      <c r="BH15" s="19" t="n">
        <f aca="false">(Operations!BH32-Operations!BH36-Reserves!BH22-BH8-Debt!BH64-BH13-BH14-Debt!BH65)*(1-Time!BH20)</f>
        <v>2.29342727842965</v>
      </c>
      <c r="BI15" s="19" t="n">
        <f aca="false">(Operations!BI32-Operations!BI36-Reserves!BI22-BI8-Debt!BI64-BI13-BI14-Debt!BI65)*(1-Time!BI20)</f>
        <v>6.10851258051635</v>
      </c>
      <c r="BJ15" s="19" t="n">
        <f aca="false">(Operations!BJ32-Operations!BJ36-Reserves!BJ22-BJ8-Debt!BJ64-BJ13-BJ14-Debt!BJ65)*(1-Time!BJ20)</f>
        <v>8.72745851597546</v>
      </c>
      <c r="BK15" s="19" t="n">
        <f aca="false">(Operations!BK32-Operations!BK36-Reserves!BK22-BK8-Debt!BK64-BK13-BK14-Debt!BK65)*(1-Time!BK20)</f>
        <v>13.0732406097111</v>
      </c>
      <c r="BL15" s="19" t="n">
        <f aca="false">(Operations!BL32-Operations!BL36-Reserves!BL22-BL8-Debt!BL64-BL13-BL14-Debt!BL65)*(1-Time!BL20)</f>
        <v>15.9313660672158</v>
      </c>
      <c r="BM15" s="19" t="n">
        <f aca="false">(Operations!BM32-Operations!BM36-Reserves!BM22-BM8-Debt!BM64-BM13-BM14-Debt!BM65)*(1-Time!BM20)</f>
        <v>20.752893638528</v>
      </c>
      <c r="BN15" s="19" t="n">
        <f aca="false">(Operations!BN32-Operations!BN36-Reserves!BN22-BN8-Debt!BN64-BN13-BN14-Debt!BN65)*(1-Time!BN20)</f>
        <v>23.8724666575916</v>
      </c>
      <c r="BO15" s="19" t="n">
        <f aca="false">(Operations!BO32-Operations!BO36-Reserves!BO22-BO8-Debt!BO64-BO13-BO14-Debt!BO65)*(1-Time!BO20)</f>
        <v>29.6178162711043</v>
      </c>
      <c r="BP15" s="19" t="n">
        <f aca="false">(Operations!BP32-Operations!BP36-Reserves!BP22-BP8-Debt!BP64-BP13-BP14-Debt!BP65)*(1-Time!BP20)</f>
        <v>32.5805177188023</v>
      </c>
      <c r="BQ15" s="19" t="n">
        <f aca="false">(Operations!BQ32-Operations!BQ36-Reserves!BQ22-BQ8-Debt!BQ64-BQ13-BQ14-Debt!BQ65)*(1-Time!BQ20)</f>
        <v>37.682660367034</v>
      </c>
      <c r="BR15" s="19" t="n">
        <f aca="false">(Operations!BR32-Operations!BR36-Reserves!BR22-BR8-Debt!BR64-BR13-BR14-Debt!BR65)*(1-Time!BR20)</f>
        <v>39.3547417961273</v>
      </c>
      <c r="BS15" s="19" t="n">
        <f aca="false">(Operations!BS32-Operations!BS36-Reserves!BS22-BS8-Debt!BS64-BS13-BS14-Debt!BS65)*(1-Time!BS20)</f>
        <v>45.1539649980304</v>
      </c>
      <c r="BT15" s="19" t="n">
        <f aca="false">(Operations!BT32-Operations!BT36-Reserves!BT22-BT8-Debt!BT64-BT13-BT14-Debt!BT65)*(1-Time!BT20)</f>
        <v>47.0269353987884</v>
      </c>
      <c r="BU15" s="19" t="n">
        <f aca="false">(Operations!BU32-Operations!BU36-Reserves!BU22-BU8-Debt!BU64-BU13-BU14-Debt!BU65)*(1-Time!BU20)</f>
        <v>-58.6147817464661</v>
      </c>
      <c r="BV15" s="19" t="n">
        <f aca="false">(Operations!BV32-Operations!BV36-Reserves!BV22-BV8-Debt!BV64-BV13-BV14-Debt!BV65)*(1-Time!BV20)</f>
        <v>55.7478577871693</v>
      </c>
      <c r="BW15" s="19" t="n">
        <f aca="false">(Operations!BW32-Operations!BW36-Reserves!BW22-BW8-Debt!BW64-BW13-BW14-Debt!BW65)*(1-Time!BW20)</f>
        <v>63.3433050249301</v>
      </c>
      <c r="BX15" s="19" t="n">
        <f aca="false">(Operations!BX32-Operations!BX36-Reserves!BX22-BX8-Debt!BX64-BX13-BX14-Debt!BX65)*(1-Time!BX20)</f>
        <v>66.7636097916621</v>
      </c>
      <c r="BY15" s="19" t="n">
        <f aca="false">(Operations!BY32-Operations!BY36-Reserves!BY22-BY8-Debt!BY64-BY13-BY14-Debt!BY65)*(1-Time!BY20)</f>
        <v>74.693438097984</v>
      </c>
      <c r="BZ15" s="19" t="n">
        <f aca="false">(Operations!BZ32-Operations!BZ36-Reserves!BZ22-BZ8-Debt!BZ64-BZ13-BZ14-Debt!BZ65)*(1-Time!BZ20)</f>
        <v>78.0395155196069</v>
      </c>
      <c r="CA15" s="19" t="n">
        <f aca="false">(Operations!CA32-Operations!CA36-Reserves!CA22-CA8-Debt!CA64-CA13-CA14-Debt!CA65)*(1-Time!CA20)</f>
        <v>87.3315621472948</v>
      </c>
      <c r="CB15" s="19" t="n">
        <f aca="false">(Operations!CB32-Operations!CB36-Reserves!CB22-CB8-Debt!CB64-CB13-CB14-Debt!CB65)*(1-Time!CB20)</f>
        <v>90.5935453031952</v>
      </c>
      <c r="CC15" s="19" t="n">
        <f aca="false">(Operations!CC32-Operations!CC36-Reserves!CC22-CC8-Debt!CC64-CC13-CC14-Debt!CC65)*(1-Time!CC20)</f>
        <v>100.0325452283</v>
      </c>
      <c r="CD15" s="19" t="n">
        <f aca="false">(Operations!CD32-Operations!CD36-Reserves!CD22-CD8-Debt!CD64-CD13-CD14-Debt!CD65)*(1-Time!CD20)</f>
        <v>103.646086183608</v>
      </c>
      <c r="CE15" s="19" t="n">
        <f aca="false">(Operations!CE32-Operations!CE36-Reserves!CE22-CE8-Debt!CE64-CE13-CE14-Debt!CE65)*(1-Time!CE20)</f>
        <v>114.047445733041</v>
      </c>
      <c r="CF15" s="19" t="n">
        <f aca="false">(Operations!CF32-Operations!CF36-Reserves!CF22-CF8-Debt!CF64-CF13-CF14-Debt!CF65)*(1-Time!CF20)</f>
        <v>118.801120678835</v>
      </c>
      <c r="CG15" s="19" t="n">
        <f aca="false">(Operations!CG32-Operations!CG36-Reserves!CG22-CG8-Debt!CG64-CG13-CG14-Debt!CG65)*(1-Time!CG20)</f>
        <v>56.549406429445</v>
      </c>
      <c r="CH15" s="19" t="n">
        <f aca="false">(Operations!CH32-Operations!CH36-Reserves!CH22-CH8-Debt!CH64-CH13-CH14-Debt!CH65)*(1-Time!CH20)</f>
        <v>130.667107772505</v>
      </c>
      <c r="CI15" s="19" t="n">
        <f aca="false">(Operations!CI32-Operations!CI36-Reserves!CI22-CI8-Debt!CI64-CI13-CI14-Debt!CI65)*(1-Time!CI20)</f>
        <v>137.85089254824</v>
      </c>
      <c r="CJ15" s="19" t="n">
        <f aca="false">(Operations!CJ32-Operations!CJ36-Reserves!CJ22-CJ8-Debt!CJ64-CJ13-CJ14-Debt!CJ65)*(1-Time!CJ20)</f>
        <v>137.276231517442</v>
      </c>
      <c r="CK15" s="19" t="n">
        <f aca="false">(Operations!CK32-Operations!CK36-Reserves!CK22-CK8-Debt!CK64-CK13-CK14-Debt!CK65)*(1-Time!CK20)</f>
        <v>109.854238285789</v>
      </c>
      <c r="CL15" s="19" t="n">
        <f aca="false">(Operations!CL32-Operations!CL36-Reserves!CL22-CL8-Debt!CL64-CL13-CL14-Debt!CL65)*(1-Time!CL20)</f>
        <v>144.191332520357</v>
      </c>
      <c r="CM15" s="19" t="n">
        <f aca="false">(Operations!CM32-Operations!CM36-Reserves!CM22-CM8-Debt!CM64-CM13-CM14-Debt!CM65)*(1-Time!CM20)</f>
        <v>152.017536403114</v>
      </c>
      <c r="CN15" s="19" t="n">
        <f aca="false">(Operations!CN32-Operations!CN36-Reserves!CN22-CN8-Debt!CN64-CN13-CN14-Debt!CN65)*(1-Time!CN20)</f>
        <v>152.22944963228</v>
      </c>
      <c r="CO15" s="19" t="n">
        <f aca="false">(Operations!CO32-Operations!CO36-Reserves!CO22-CO8-Debt!CO64-CO13-CO14-Debt!CO65)*(1-Time!CO20)</f>
        <v>159.520786306412</v>
      </c>
      <c r="CP15" s="19" t="n">
        <f aca="false">(Operations!CP32-Operations!CP36-Reserves!CP22-CP8-Debt!CP64-CP13-CP14-Debt!CP65)*(1-Time!CP20)</f>
        <v>25.7154577635094</v>
      </c>
      <c r="CQ15" s="19" t="n">
        <f aca="false">(Operations!CQ32-Operations!CQ36-Reserves!CQ22-CQ8-Debt!CQ64-CQ13-CQ14-Debt!CQ65)*(1-Time!CQ20)</f>
        <v>-8.79103378731807E-012</v>
      </c>
      <c r="CR15" s="19" t="n">
        <f aca="false">(Operations!CR32-Operations!CR36-Reserves!CR22-CR8-Debt!CR64-CR13-CR14-Debt!CR65)*(1-Time!CR20)</f>
        <v>-8.78061439545465E-012</v>
      </c>
      <c r="CS15" s="19" t="n">
        <f aca="false">(Operations!CS32-Operations!CS36-Reserves!CS22-CS8-Debt!CS64-CS13-CS14-Debt!CS65)*(1-Time!CS20)</f>
        <v>-9.06001920393395E-012</v>
      </c>
      <c r="CT15" s="19" t="n">
        <f aca="false">(Operations!CT32-Operations!CT36-Reserves!CT22-CT8-Debt!CT64-CT13-CT14-Debt!CT65)*(1-Time!CT20)</f>
        <v>-9.04929583131478E-012</v>
      </c>
      <c r="CU15" s="19" t="n">
        <f aca="false">(Operations!CU32-Operations!CU36-Reserves!CU22-CU8-Debt!CU64-CU13-CU14-Debt!CU65)*(1-Time!CU20)</f>
        <v>-9.33729853684073E-012</v>
      </c>
      <c r="CV15" s="19" t="n">
        <f aca="false">(Operations!CV32-Operations!CV36-Reserves!CV22-CV8-Debt!CV64-CV13-CV14-Debt!CV65)*(1-Time!CV20)</f>
        <v>-9.377605816545E-012</v>
      </c>
      <c r="CW15" s="19" t="n">
        <f aca="false">(Operations!CW32-Operations!CW36-Reserves!CW22-CW8-Debt!CW64-CW13-CW14-Debt!CW65)*(1-Time!CW20)</f>
        <v>-9.62391665769202E-012</v>
      </c>
      <c r="CX15" s="19" t="n">
        <f aca="false">(Operations!CX32-Operations!CX36-Reserves!CX22-CX8-Debt!CX64-CX13-CX14-Debt!CX65)*(1-Time!CX20)</f>
        <v>-9.61255602385507E-012</v>
      </c>
      <c r="CY15" s="19" t="n">
        <f aca="false">(Operations!CY32-Operations!CY36-Reserves!CY22-CY8-Debt!CY64-CY13-CY14-Debt!CY65)*(1-Time!CY20)</f>
        <v>-9.91858324652133E-012</v>
      </c>
      <c r="CZ15" s="19" t="n">
        <f aca="false">(Operations!CZ32-Operations!CZ36-Reserves!CZ22-CZ8-Debt!CZ64-CZ13-CZ14-Debt!CZ65)*(1-Time!CZ20)</f>
        <v>-9.90688960960378E-012</v>
      </c>
      <c r="DA15" s="19" t="n">
        <f aca="false">(Operations!DA32-Operations!DA36-Reserves!DA22-DA8-Debt!DA64-DA13-DA14-Debt!DA65)*(1-Time!DA20)</f>
        <v>-1.02223356068107E-011</v>
      </c>
      <c r="DB15" s="19" t="n">
        <f aca="false">(Operations!DB32-Operations!DB36-Reserves!DB22-DB8-Debt!DB64-DB13-DB14-Debt!DB65)*(1-Time!DB20)</f>
        <v>-1.02102986989709E-011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29.1926798128687</v>
      </c>
      <c r="AB16" s="19" t="n">
        <f aca="false">AA21</f>
        <v>87.7265808639037</v>
      </c>
      <c r="AC16" s="19" t="n">
        <f aca="false">AB21</f>
        <v>140.640385988639</v>
      </c>
      <c r="AD16" s="19" t="n">
        <f aca="false">AC21</f>
        <v>194.5628993649</v>
      </c>
      <c r="AE16" s="19" t="n">
        <f aca="false">AD21</f>
        <v>243.714166242185</v>
      </c>
      <c r="AF16" s="19" t="n">
        <f aca="false">AE21</f>
        <v>291.837917870647</v>
      </c>
      <c r="AG16" s="19" t="n">
        <f aca="false">AF21</f>
        <v>341.132997450407</v>
      </c>
      <c r="AH16" s="19" t="n">
        <f aca="false">AG21</f>
        <v>384.699070393774</v>
      </c>
      <c r="AI16" s="19" t="n">
        <f aca="false">AH21</f>
        <v>425.84683557995</v>
      </c>
      <c r="AJ16" s="19" t="n">
        <f aca="false">AI21</f>
        <v>466.196494638929</v>
      </c>
      <c r="AK16" s="19" t="n">
        <f aca="false">AJ21</f>
        <v>505.351074172452</v>
      </c>
      <c r="AL16" s="19" t="n">
        <f aca="false">AK21</f>
        <v>543.644202031945</v>
      </c>
      <c r="AM16" s="19" t="n">
        <f aca="false">AL21</f>
        <v>580.728129227047</v>
      </c>
      <c r="AN16" s="19" t="n">
        <f aca="false">AM21</f>
        <v>616.969251070918</v>
      </c>
      <c r="AO16" s="19" t="n">
        <f aca="false">AN21</f>
        <v>651.829310383292</v>
      </c>
      <c r="AP16" s="19" t="n">
        <f aca="false">AO21</f>
        <v>704.892474348631</v>
      </c>
      <c r="AQ16" s="19" t="n">
        <f aca="false">AP21</f>
        <v>736.931716689849</v>
      </c>
      <c r="AR16" s="19" t="n">
        <f aca="false">AQ21</f>
        <v>767.407925942323</v>
      </c>
      <c r="AS16" s="19" t="n">
        <f aca="false">AR21</f>
        <v>796.541938350887</v>
      </c>
      <c r="AT16" s="19" t="n">
        <f aca="false">AS21</f>
        <v>824.197583087949</v>
      </c>
      <c r="AU16" s="19" t="n">
        <f aca="false">AT21</f>
        <v>850.194625285374</v>
      </c>
      <c r="AV16" s="19" t="n">
        <f aca="false">AU21</f>
        <v>874.468171901489</v>
      </c>
      <c r="AW16" s="19" t="n">
        <f aca="false">AV21</f>
        <v>896.852420002157</v>
      </c>
      <c r="AX16" s="19" t="n">
        <f aca="false">AW21</f>
        <v>979.384707104449</v>
      </c>
      <c r="AY16" s="19" t="n">
        <f aca="false">AX21</f>
        <v>998.879487902868</v>
      </c>
      <c r="AZ16" s="19" t="n">
        <f aca="false">AY21</f>
        <v>1016.37828444212</v>
      </c>
      <c r="BA16" s="19" t="n">
        <f aca="false">AZ21</f>
        <v>1032.58391025262</v>
      </c>
      <c r="BB16" s="19" t="n">
        <f aca="false">BA21</f>
        <v>1046.73073787492</v>
      </c>
      <c r="BC16" s="19" t="n">
        <f aca="false">BB21</f>
        <v>1059.42225651396</v>
      </c>
      <c r="BD16" s="19" t="n">
        <f aca="false">BC21</f>
        <v>1119.7109787563</v>
      </c>
      <c r="BE16" s="19" t="n">
        <f aca="false">BD21</f>
        <v>1128.3553639446</v>
      </c>
      <c r="BF16" s="19" t="n">
        <f aca="false">BE21</f>
        <v>1157.62932548387</v>
      </c>
      <c r="BG16" s="19" t="n">
        <f aca="false">BF21</f>
        <v>1161.19962599603</v>
      </c>
      <c r="BH16" s="19" t="n">
        <f aca="false">BG21</f>
        <v>1161.36955970235</v>
      </c>
      <c r="BI16" s="19" t="n">
        <f aca="false">BH21</f>
        <v>1159.07613242392</v>
      </c>
      <c r="BJ16" s="19" t="n">
        <f aca="false">BI21</f>
        <v>1152.9676198434</v>
      </c>
      <c r="BK16" s="19" t="n">
        <f aca="false">BJ21</f>
        <v>1144.24016132742</v>
      </c>
      <c r="BL16" s="19" t="n">
        <f aca="false">BK21</f>
        <v>1131.16692071771</v>
      </c>
      <c r="BM16" s="19" t="n">
        <f aca="false">BL21</f>
        <v>1115.2355546505</v>
      </c>
      <c r="BN16" s="19" t="n">
        <f aca="false">BM21</f>
        <v>1094.48266101197</v>
      </c>
      <c r="BO16" s="19" t="n">
        <f aca="false">BN21</f>
        <v>1070.61019435438</v>
      </c>
      <c r="BP16" s="19" t="n">
        <f aca="false">BO21</f>
        <v>1040.99237808327</v>
      </c>
      <c r="BQ16" s="19" t="n">
        <f aca="false">BP21</f>
        <v>1008.41186036447</v>
      </c>
      <c r="BR16" s="19" t="n">
        <f aca="false">BQ21</f>
        <v>970.729199997438</v>
      </c>
      <c r="BS16" s="19" t="n">
        <f aca="false">BR21</f>
        <v>931.374458201311</v>
      </c>
      <c r="BT16" s="19" t="n">
        <f aca="false">BS21</f>
        <v>886.22049320328</v>
      </c>
      <c r="BU16" s="19" t="n">
        <f aca="false">BT21</f>
        <v>839.193557804492</v>
      </c>
      <c r="BV16" s="19" t="n">
        <f aca="false">BU21</f>
        <v>897.808339550958</v>
      </c>
      <c r="BW16" s="19" t="n">
        <f aca="false">BV21</f>
        <v>842.060481763788</v>
      </c>
      <c r="BX16" s="19" t="n">
        <f aca="false">BW21</f>
        <v>778.717176738858</v>
      </c>
      <c r="BY16" s="19" t="n">
        <f aca="false">BX21</f>
        <v>711.953566947196</v>
      </c>
      <c r="BZ16" s="19" t="n">
        <f aca="false">BY21</f>
        <v>637.260128849212</v>
      </c>
      <c r="CA16" s="19" t="n">
        <f aca="false">BZ21</f>
        <v>559.220613329605</v>
      </c>
      <c r="CB16" s="19" t="n">
        <f aca="false">CA21</f>
        <v>471.88905118231</v>
      </c>
      <c r="CC16" s="19" t="n">
        <f aca="false">CB21</f>
        <v>381.295505879115</v>
      </c>
      <c r="CD16" s="19" t="n">
        <f aca="false">CC21</f>
        <v>281.262960650815</v>
      </c>
      <c r="CE16" s="19" t="n">
        <f aca="false">CD21</f>
        <v>177.616874467207</v>
      </c>
      <c r="CF16" s="19" t="n">
        <f aca="false">CE21</f>
        <v>63.5694287341658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8.79103378731807E-012</v>
      </c>
      <c r="CS16" s="19" t="n">
        <f aca="false">CR21</f>
        <v>1.75716481827727E-011</v>
      </c>
      <c r="CT16" s="19" t="n">
        <f aca="false">CS21</f>
        <v>2.66316673867067E-011</v>
      </c>
      <c r="CU16" s="19" t="n">
        <f aca="false">CT21</f>
        <v>3.56809632180215E-011</v>
      </c>
      <c r="CV16" s="19" t="n">
        <f aca="false">CU21</f>
        <v>4.50182617548622E-011</v>
      </c>
      <c r="CW16" s="19" t="n">
        <f aca="false">CV21</f>
        <v>5.43958675714072E-011</v>
      </c>
      <c r="CX16" s="19" t="n">
        <f aca="false">CW21</f>
        <v>6.40197842290992E-011</v>
      </c>
      <c r="CY16" s="19" t="n">
        <f aca="false">CX21</f>
        <v>7.36323402529543E-011</v>
      </c>
      <c r="CZ16" s="19" t="n">
        <f aca="false">CY21</f>
        <v>8.35509234994756E-011</v>
      </c>
      <c r="DA16" s="19" t="n">
        <f aca="false">CZ21</f>
        <v>9.34578131090794E-011</v>
      </c>
      <c r="DB16" s="19" t="n">
        <f aca="false">DA21</f>
        <v>1.0368014871589E-010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1219.98434144881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0</v>
      </c>
      <c r="AY17" s="19" t="n">
        <f aca="false">MIN(AY16,MAX(0,AY15))</f>
        <v>0</v>
      </c>
      <c r="AZ17" s="19" t="n">
        <f aca="false">MIN(AZ16,MAX(0,AZ15))</f>
        <v>0</v>
      </c>
      <c r="BA17" s="19" t="n">
        <f aca="false">MIN(BA16,MAX(0,BA15))</f>
        <v>0</v>
      </c>
      <c r="BB17" s="19" t="n">
        <f aca="false">MIN(BB16,MAX(0,BB15))</f>
        <v>0</v>
      </c>
      <c r="BC17" s="19" t="n">
        <f aca="false">MIN(BC16,MAX(0,BC15))</f>
        <v>0</v>
      </c>
      <c r="BD17" s="19" t="n">
        <f aca="false">MIN(BD16,MAX(0,BD15))</f>
        <v>0</v>
      </c>
      <c r="BE17" s="19" t="n">
        <f aca="false">MIN(BE16,MAX(0,BE15))</f>
        <v>0</v>
      </c>
      <c r="BF17" s="19" t="n">
        <f aca="false">MIN(BF16,MAX(0,BF15))</f>
        <v>0</v>
      </c>
      <c r="BG17" s="19" t="n">
        <f aca="false">MIN(BG16,MAX(0,BG15))</f>
        <v>0</v>
      </c>
      <c r="BH17" s="19" t="n">
        <f aca="false">MIN(BH16,MAX(0,BH15))</f>
        <v>2.29342727842965</v>
      </c>
      <c r="BI17" s="19" t="n">
        <f aca="false">MIN(BI16,MAX(0,BI15))</f>
        <v>6.10851258051635</v>
      </c>
      <c r="BJ17" s="19" t="n">
        <f aca="false">MIN(BJ16,MAX(0,BJ15))</f>
        <v>8.72745851597546</v>
      </c>
      <c r="BK17" s="19" t="n">
        <f aca="false">MIN(BK16,MAX(0,BK15))</f>
        <v>13.0732406097111</v>
      </c>
      <c r="BL17" s="19" t="n">
        <f aca="false">MIN(BL16,MAX(0,BL15))</f>
        <v>15.9313660672158</v>
      </c>
      <c r="BM17" s="19" t="n">
        <f aca="false">MIN(BM16,MAX(0,BM15))</f>
        <v>20.752893638528</v>
      </c>
      <c r="BN17" s="19" t="n">
        <f aca="false">MIN(BN16,MAX(0,BN15))</f>
        <v>23.8724666575916</v>
      </c>
      <c r="BO17" s="19" t="n">
        <f aca="false">MIN(BO16,MAX(0,BO15))</f>
        <v>29.6178162711043</v>
      </c>
      <c r="BP17" s="19" t="n">
        <f aca="false">MIN(BP16,MAX(0,BP15))</f>
        <v>32.5805177188023</v>
      </c>
      <c r="BQ17" s="19" t="n">
        <f aca="false">MIN(BQ16,MAX(0,BQ15))</f>
        <v>37.682660367034</v>
      </c>
      <c r="BR17" s="19" t="n">
        <f aca="false">MIN(BR16,MAX(0,BR15))</f>
        <v>39.3547417961273</v>
      </c>
      <c r="BS17" s="19" t="n">
        <f aca="false">MIN(BS16,MAX(0,BS15))</f>
        <v>45.1539649980304</v>
      </c>
      <c r="BT17" s="19" t="n">
        <f aca="false">MIN(BT16,MAX(0,BT15))</f>
        <v>47.0269353987884</v>
      </c>
      <c r="BU17" s="19" t="n">
        <f aca="false">MIN(BU16,MAX(0,BU15))</f>
        <v>0</v>
      </c>
      <c r="BV17" s="19" t="n">
        <f aca="false">MIN(BV16,MAX(0,BV15))</f>
        <v>55.7478577871693</v>
      </c>
      <c r="BW17" s="19" t="n">
        <f aca="false">MIN(BW16,MAX(0,BW15))</f>
        <v>63.3433050249301</v>
      </c>
      <c r="BX17" s="19" t="n">
        <f aca="false">MIN(BX16,MAX(0,BX15))</f>
        <v>66.7636097916621</v>
      </c>
      <c r="BY17" s="19" t="n">
        <f aca="false">MIN(BY16,MAX(0,BY15))</f>
        <v>74.693438097984</v>
      </c>
      <c r="BZ17" s="19" t="n">
        <f aca="false">MIN(BZ16,MAX(0,BZ15))</f>
        <v>78.0395155196069</v>
      </c>
      <c r="CA17" s="19" t="n">
        <f aca="false">MIN(CA16,MAX(0,CA15))</f>
        <v>87.3315621472948</v>
      </c>
      <c r="CB17" s="19" t="n">
        <f aca="false">MIN(CB16,MAX(0,CB15))</f>
        <v>90.5935453031952</v>
      </c>
      <c r="CC17" s="19" t="n">
        <f aca="false">MIN(CC16,MAX(0,CC15))</f>
        <v>100.0325452283</v>
      </c>
      <c r="CD17" s="19" t="n">
        <f aca="false">MIN(CD16,MAX(0,CD15))</f>
        <v>103.646086183608</v>
      </c>
      <c r="CE17" s="19" t="n">
        <f aca="false">MIN(CE16,MAX(0,CE15))</f>
        <v>114.047445733041</v>
      </c>
      <c r="CF17" s="19" t="n">
        <f aca="false">MIN(CF16,MAX(0,CF15))</f>
        <v>63.5694287341658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1219.98434144893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29.1926798128687</v>
      </c>
      <c r="AA18" s="19" t="n">
        <f aca="false">MAX(0,-AA15)</f>
        <v>58.533901051035</v>
      </c>
      <c r="AB18" s="19" t="n">
        <f aca="false">MAX(0,-AB15)</f>
        <v>52.9138051247356</v>
      </c>
      <c r="AC18" s="19" t="n">
        <f aca="false">MAX(0,-AC15)</f>
        <v>53.9225133762612</v>
      </c>
      <c r="AD18" s="19" t="n">
        <f aca="false">MAX(0,-AD15)</f>
        <v>49.1512668772841</v>
      </c>
      <c r="AE18" s="19" t="n">
        <f aca="false">MAX(0,-AE15)</f>
        <v>48.1237516284622</v>
      </c>
      <c r="AF18" s="19" t="n">
        <f aca="false">MAX(0,-AF15)</f>
        <v>49.29507957976</v>
      </c>
      <c r="AG18" s="19" t="n">
        <f aca="false">MAX(0,-AG15)</f>
        <v>43.5660729433673</v>
      </c>
      <c r="AH18" s="19" t="n">
        <f aca="false">MAX(0,-AH15)</f>
        <v>41.1477651861762</v>
      </c>
      <c r="AI18" s="19" t="n">
        <f aca="false">MAX(0,-AI15)</f>
        <v>40.3496590589787</v>
      </c>
      <c r="AJ18" s="19" t="n">
        <f aca="false">MAX(0,-AJ15)</f>
        <v>39.1545795335232</v>
      </c>
      <c r="AK18" s="19" t="n">
        <f aca="false">MAX(0,-AK15)</f>
        <v>38.2931278594924</v>
      </c>
      <c r="AL18" s="19" t="n">
        <f aca="false">MAX(0,-AL15)</f>
        <v>37.0839271951021</v>
      </c>
      <c r="AM18" s="19" t="n">
        <f aca="false">MAX(0,-AM15)</f>
        <v>36.2411218438709</v>
      </c>
      <c r="AN18" s="19" t="n">
        <f aca="false">MAX(0,-AN15)</f>
        <v>34.8600593123745</v>
      </c>
      <c r="AO18" s="19" t="n">
        <f aca="false">MAX(0,-AO15)</f>
        <v>53.063163965339</v>
      </c>
      <c r="AP18" s="19" t="n">
        <f aca="false">MAX(0,-AP15)</f>
        <v>32.0392423412179</v>
      </c>
      <c r="AQ18" s="19" t="n">
        <f aca="false">MAX(0,-AQ15)</f>
        <v>30.4762092524744</v>
      </c>
      <c r="AR18" s="19" t="n">
        <f aca="false">MAX(0,-AR15)</f>
        <v>29.1340124085641</v>
      </c>
      <c r="AS18" s="19" t="n">
        <f aca="false">MAX(0,-AS15)</f>
        <v>27.6556447370612</v>
      </c>
      <c r="AT18" s="19" t="n">
        <f aca="false">MAX(0,-AT15)</f>
        <v>25.997042197425</v>
      </c>
      <c r="AU18" s="19" t="n">
        <f aca="false">MAX(0,-AU15)</f>
        <v>24.2735466161158</v>
      </c>
      <c r="AV18" s="19" t="n">
        <f aca="false">MAX(0,-AV15)</f>
        <v>22.3842481006675</v>
      </c>
      <c r="AW18" s="19" t="n">
        <f aca="false">MAX(0,-AW15)</f>
        <v>82.5322871022919</v>
      </c>
      <c r="AX18" s="19" t="n">
        <f aca="false">MAX(0,-AX15)</f>
        <v>19.4947807984188</v>
      </c>
      <c r="AY18" s="19" t="n">
        <f aca="false">MAX(0,-AY15)</f>
        <v>17.498796539248</v>
      </c>
      <c r="AZ18" s="19" t="n">
        <f aca="false">MAX(0,-AZ15)</f>
        <v>16.2056258105055</v>
      </c>
      <c r="BA18" s="19" t="n">
        <f aca="false">MAX(0,-BA15)</f>
        <v>14.1468276222979</v>
      </c>
      <c r="BB18" s="19" t="n">
        <f aca="false">MAX(0,-BB15)</f>
        <v>12.6915186390428</v>
      </c>
      <c r="BC18" s="19" t="n">
        <f aca="false">MAX(0,-BC15)</f>
        <v>60.2887222423367</v>
      </c>
      <c r="BD18" s="19" t="n">
        <f aca="false">MAX(0,-BD15)</f>
        <v>8.64438518829662</v>
      </c>
      <c r="BE18" s="19" t="n">
        <f aca="false">MAX(0,-BE15)</f>
        <v>29.2739615392746</v>
      </c>
      <c r="BF18" s="19" t="n">
        <f aca="false">MAX(0,-BF15)</f>
        <v>3.57030051216444</v>
      </c>
      <c r="BG18" s="19" t="n">
        <f aca="false">MAX(0,-BG15)</f>
        <v>0.169933706312222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58.6147817464661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8.79103378731807E-012</v>
      </c>
      <c r="CR18" s="19" t="n">
        <f aca="false">MAX(0,-CR15)</f>
        <v>8.78061439545465E-012</v>
      </c>
      <c r="CS18" s="19" t="n">
        <f aca="false">MAX(0,-CS15)</f>
        <v>9.06001920393395E-012</v>
      </c>
      <c r="CT18" s="19" t="n">
        <f aca="false">MAX(0,-CT15)</f>
        <v>9.04929583131478E-012</v>
      </c>
      <c r="CU18" s="19" t="n">
        <f aca="false">MAX(0,-CU15)</f>
        <v>9.33729853684073E-012</v>
      </c>
      <c r="CV18" s="19" t="n">
        <f aca="false">MAX(0,-CV15)</f>
        <v>9.377605816545E-012</v>
      </c>
      <c r="CW18" s="19" t="n">
        <f aca="false">MAX(0,-CW15)</f>
        <v>9.62391665769202E-012</v>
      </c>
      <c r="CX18" s="19" t="n">
        <f aca="false">MAX(0,-CX15)</f>
        <v>9.61255602385507E-012</v>
      </c>
      <c r="CY18" s="19" t="n">
        <f aca="false">MAX(0,-CY15)</f>
        <v>9.91858324652133E-012</v>
      </c>
      <c r="CZ18" s="19" t="n">
        <f aca="false">MAX(0,-CZ15)</f>
        <v>9.90688960960378E-012</v>
      </c>
      <c r="DA18" s="19" t="n">
        <f aca="false">MAX(0,-DA15)</f>
        <v>1.02223356068107E-011</v>
      </c>
      <c r="DB18" s="19" t="n">
        <f aca="false">MAX(0,-DB15)</f>
        <v>1.02102986989709E-011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29.1926798128687</v>
      </c>
      <c r="AA21" s="19" t="n">
        <f aca="false">AA16-AA17+AA18-AA20</f>
        <v>87.7265808639037</v>
      </c>
      <c r="AB21" s="19" t="n">
        <f aca="false">AB16-AB17+AB18-AB20</f>
        <v>140.640385988639</v>
      </c>
      <c r="AC21" s="19" t="n">
        <f aca="false">AC16-AC17+AC18-AC20</f>
        <v>194.5628993649</v>
      </c>
      <c r="AD21" s="19" t="n">
        <f aca="false">AD16-AD17+AD18-AD20</f>
        <v>243.714166242185</v>
      </c>
      <c r="AE21" s="19" t="n">
        <f aca="false">AE16-AE17+AE18-AE20</f>
        <v>291.837917870647</v>
      </c>
      <c r="AF21" s="19" t="n">
        <f aca="false">AF16-AF17+AF18-AF20</f>
        <v>341.132997450407</v>
      </c>
      <c r="AG21" s="19" t="n">
        <f aca="false">AG16-AG17+AG18-AG20</f>
        <v>384.699070393774</v>
      </c>
      <c r="AH21" s="19" t="n">
        <f aca="false">AH16-AH17+AH18-AH20</f>
        <v>425.84683557995</v>
      </c>
      <c r="AI21" s="19" t="n">
        <f aca="false">AI16-AI17+AI18-AI20</f>
        <v>466.196494638929</v>
      </c>
      <c r="AJ21" s="19" t="n">
        <f aca="false">AJ16-AJ17+AJ18-AJ20</f>
        <v>505.351074172452</v>
      </c>
      <c r="AK21" s="19" t="n">
        <f aca="false">AK16-AK17+AK18-AK20</f>
        <v>543.644202031945</v>
      </c>
      <c r="AL21" s="19" t="n">
        <f aca="false">AL16-AL17+AL18-AL20</f>
        <v>580.728129227047</v>
      </c>
      <c r="AM21" s="19" t="n">
        <f aca="false">AM16-AM17+AM18-AM20</f>
        <v>616.969251070918</v>
      </c>
      <c r="AN21" s="19" t="n">
        <f aca="false">AN16-AN17+AN18-AN20</f>
        <v>651.829310383292</v>
      </c>
      <c r="AO21" s="19" t="n">
        <f aca="false">AO16-AO17+AO18-AO20</f>
        <v>704.892474348631</v>
      </c>
      <c r="AP21" s="19" t="n">
        <f aca="false">AP16-AP17+AP18-AP20</f>
        <v>736.931716689849</v>
      </c>
      <c r="AQ21" s="19" t="n">
        <f aca="false">AQ16-AQ17+AQ18-AQ20</f>
        <v>767.407925942323</v>
      </c>
      <c r="AR21" s="19" t="n">
        <f aca="false">AR16-AR17+AR18-AR20</f>
        <v>796.541938350887</v>
      </c>
      <c r="AS21" s="19" t="n">
        <f aca="false">AS16-AS17+AS18-AS20</f>
        <v>824.197583087949</v>
      </c>
      <c r="AT21" s="19" t="n">
        <f aca="false">AT16-AT17+AT18-AT20</f>
        <v>850.194625285374</v>
      </c>
      <c r="AU21" s="19" t="n">
        <f aca="false">AU16-AU17+AU18-AU20</f>
        <v>874.468171901489</v>
      </c>
      <c r="AV21" s="19" t="n">
        <f aca="false">AV16-AV17+AV18-AV20</f>
        <v>896.852420002157</v>
      </c>
      <c r="AW21" s="19" t="n">
        <f aca="false">AW16-AW17+AW18-AW20</f>
        <v>979.384707104449</v>
      </c>
      <c r="AX21" s="19" t="n">
        <f aca="false">AX16-AX17+AX18-AX20</f>
        <v>998.879487902868</v>
      </c>
      <c r="AY21" s="19" t="n">
        <f aca="false">AY16-AY17+AY18-AY20</f>
        <v>1016.37828444212</v>
      </c>
      <c r="AZ21" s="19" t="n">
        <f aca="false">AZ16-AZ17+AZ18-AZ20</f>
        <v>1032.58391025262</v>
      </c>
      <c r="BA21" s="19" t="n">
        <f aca="false">BA16-BA17+BA18-BA20</f>
        <v>1046.73073787492</v>
      </c>
      <c r="BB21" s="19" t="n">
        <f aca="false">BB16-BB17+BB18-BB20</f>
        <v>1059.42225651396</v>
      </c>
      <c r="BC21" s="19" t="n">
        <f aca="false">BC16-BC17+BC18-BC20</f>
        <v>1119.7109787563</v>
      </c>
      <c r="BD21" s="19" t="n">
        <f aca="false">BD16-BD17+BD18-BD20</f>
        <v>1128.3553639446</v>
      </c>
      <c r="BE21" s="19" t="n">
        <f aca="false">BE16-BE17+BE18-BE20</f>
        <v>1157.62932548387</v>
      </c>
      <c r="BF21" s="19" t="n">
        <f aca="false">BF16-BF17+BF18-BF20</f>
        <v>1161.19962599603</v>
      </c>
      <c r="BG21" s="19" t="n">
        <f aca="false">BG16-BG17+BG18-BG20</f>
        <v>1161.36955970235</v>
      </c>
      <c r="BH21" s="19" t="n">
        <f aca="false">BH16-BH17+BH18-BH20</f>
        <v>1159.07613242392</v>
      </c>
      <c r="BI21" s="19" t="n">
        <f aca="false">BI16-BI17+BI18-BI20</f>
        <v>1152.9676198434</v>
      </c>
      <c r="BJ21" s="19" t="n">
        <f aca="false">BJ16-BJ17+BJ18-BJ20</f>
        <v>1144.24016132742</v>
      </c>
      <c r="BK21" s="19" t="n">
        <f aca="false">BK16-BK17+BK18-BK20</f>
        <v>1131.16692071771</v>
      </c>
      <c r="BL21" s="19" t="n">
        <f aca="false">BL16-BL17+BL18-BL20</f>
        <v>1115.2355546505</v>
      </c>
      <c r="BM21" s="19" t="n">
        <f aca="false">BM16-BM17+BM18-BM20</f>
        <v>1094.48266101197</v>
      </c>
      <c r="BN21" s="19" t="n">
        <f aca="false">BN16-BN17+BN18-BN20</f>
        <v>1070.61019435438</v>
      </c>
      <c r="BO21" s="19" t="n">
        <f aca="false">BO16-BO17+BO18-BO20</f>
        <v>1040.99237808327</v>
      </c>
      <c r="BP21" s="19" t="n">
        <f aca="false">BP16-BP17+BP18-BP20</f>
        <v>1008.41186036447</v>
      </c>
      <c r="BQ21" s="19" t="n">
        <f aca="false">BQ16-BQ17+BQ18-BQ20</f>
        <v>970.729199997438</v>
      </c>
      <c r="BR21" s="19" t="n">
        <f aca="false">BR16-BR17+BR18-BR20</f>
        <v>931.374458201311</v>
      </c>
      <c r="BS21" s="19" t="n">
        <f aca="false">BS16-BS17+BS18-BS20</f>
        <v>886.22049320328</v>
      </c>
      <c r="BT21" s="19" t="n">
        <f aca="false">BT16-BT17+BT18-BT20</f>
        <v>839.193557804492</v>
      </c>
      <c r="BU21" s="19" t="n">
        <f aca="false">BU16-BU17+BU18-BU20</f>
        <v>897.808339550958</v>
      </c>
      <c r="BV21" s="19" t="n">
        <f aca="false">BV16-BV17+BV18-BV20</f>
        <v>842.060481763788</v>
      </c>
      <c r="BW21" s="19" t="n">
        <f aca="false">BW16-BW17+BW18-BW20</f>
        <v>778.717176738858</v>
      </c>
      <c r="BX21" s="19" t="n">
        <f aca="false">BX16-BX17+BX18-BX20</f>
        <v>711.953566947196</v>
      </c>
      <c r="BY21" s="19" t="n">
        <f aca="false">BY16-BY17+BY18-BY20</f>
        <v>637.260128849212</v>
      </c>
      <c r="BZ21" s="19" t="n">
        <f aca="false">BZ16-BZ17+BZ18-BZ20</f>
        <v>559.220613329605</v>
      </c>
      <c r="CA21" s="19" t="n">
        <f aca="false">CA16-CA17+CA18-CA20</f>
        <v>471.88905118231</v>
      </c>
      <c r="CB21" s="19" t="n">
        <f aca="false">CB16-CB17+CB18-CB20</f>
        <v>381.295505879115</v>
      </c>
      <c r="CC21" s="19" t="n">
        <f aca="false">CC16-CC17+CC18-CC20</f>
        <v>281.262960650815</v>
      </c>
      <c r="CD21" s="19" t="n">
        <f aca="false">CD16-CD17+CD18-CD20</f>
        <v>177.616874467207</v>
      </c>
      <c r="CE21" s="19" t="n">
        <f aca="false">CE16-CE17+CE18-CE20</f>
        <v>63.5694287341658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8.79103378731807E-012</v>
      </c>
      <c r="CR21" s="19" t="n">
        <f aca="false">CR16-CR17+CR18-CR20</f>
        <v>1.75716481827727E-011</v>
      </c>
      <c r="CS21" s="19" t="n">
        <f aca="false">CS16-CS17+CS18-CS20</f>
        <v>2.66316673867067E-011</v>
      </c>
      <c r="CT21" s="19" t="n">
        <f aca="false">CT16-CT17+CT18-CT20</f>
        <v>3.56809632180215E-011</v>
      </c>
      <c r="CU21" s="19" t="n">
        <f aca="false">CU16-CU17+CU18-CU20</f>
        <v>4.50182617548622E-011</v>
      </c>
      <c r="CV21" s="19" t="n">
        <f aca="false">CV16-CV17+CV18-CV20</f>
        <v>5.43958675714072E-011</v>
      </c>
      <c r="CW21" s="19" t="n">
        <f aca="false">CW16-CW17+CW18-CW20</f>
        <v>6.40197842290992E-011</v>
      </c>
      <c r="CX21" s="19" t="n">
        <f aca="false">CX16-CX17+CX18-CX20</f>
        <v>7.36323402529543E-011</v>
      </c>
      <c r="CY21" s="19" t="n">
        <f aca="false">CY16-CY17+CY18-CY20</f>
        <v>8.35509234994756E-011</v>
      </c>
      <c r="CZ21" s="19" t="n">
        <f aca="false">CZ16-CZ17+CZ18-CZ20</f>
        <v>9.34578131090794E-011</v>
      </c>
      <c r="DA21" s="19" t="n">
        <f aca="false">DA16-DA17+DA18-DA20</f>
        <v>1.0368014871589E-010</v>
      </c>
      <c r="DB21" s="19" t="n">
        <f aca="false">DB16-DB17+DB18-DB20</f>
        <v>1.13890447414861E-010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1261.10413112376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0</v>
      </c>
      <c r="BQ22" s="19" t="n">
        <f aca="false">MAX(0,BQ15)-BQ17</f>
        <v>0</v>
      </c>
      <c r="BR22" s="19" t="n">
        <f aca="false">MAX(0,BR15)-BR17</f>
        <v>0</v>
      </c>
      <c r="BS22" s="19" t="n">
        <f aca="false">MAX(0,BS15)-BS17</f>
        <v>0</v>
      </c>
      <c r="BT22" s="19" t="n">
        <f aca="false">MAX(0,BT15)-BT17</f>
        <v>0</v>
      </c>
      <c r="BU22" s="19" t="n">
        <f aca="false">MAX(0,BU15)-BU17</f>
        <v>0</v>
      </c>
      <c r="BV22" s="19" t="n">
        <f aca="false">MAX(0,BV15)-BV17</f>
        <v>0</v>
      </c>
      <c r="BW22" s="19" t="n">
        <f aca="false">MAX(0,BW15)-BW17</f>
        <v>0</v>
      </c>
      <c r="BX22" s="19" t="n">
        <f aca="false">MAX(0,BX15)-BX17</f>
        <v>0</v>
      </c>
      <c r="BY22" s="19" t="n">
        <f aca="false">MAX(0,BY15)-BY17</f>
        <v>0</v>
      </c>
      <c r="BZ22" s="19" t="n">
        <f aca="false">MAX(0,BZ15)-BZ17</f>
        <v>0</v>
      </c>
      <c r="CA22" s="19" t="n">
        <f aca="false">MAX(0,CA15)-CA17</f>
        <v>0</v>
      </c>
      <c r="CB22" s="19" t="n">
        <f aca="false">MAX(0,CB15)-CB17</f>
        <v>0</v>
      </c>
      <c r="CC22" s="19" t="n">
        <f aca="false">MAX(0,CC15)-CC17</f>
        <v>0</v>
      </c>
      <c r="CD22" s="19" t="n">
        <f aca="false">MAX(0,CD15)-CD17</f>
        <v>0</v>
      </c>
      <c r="CE22" s="19" t="n">
        <f aca="false">MAX(0,CE15)-CE17</f>
        <v>0</v>
      </c>
      <c r="CF22" s="19" t="n">
        <f aca="false">MAX(0,CF15)-CF17</f>
        <v>55.2316919446691</v>
      </c>
      <c r="CG22" s="19" t="n">
        <f aca="false">MAX(0,CG15)-CG17</f>
        <v>56.549406429445</v>
      </c>
      <c r="CH22" s="19" t="n">
        <f aca="false">MAX(0,CH15)-CH17</f>
        <v>130.667107772505</v>
      </c>
      <c r="CI22" s="19" t="n">
        <f aca="false">MAX(0,CI15)-CI17</f>
        <v>137.85089254824</v>
      </c>
      <c r="CJ22" s="19" t="n">
        <f aca="false">MAX(0,CJ15)-CJ17</f>
        <v>137.276231517442</v>
      </c>
      <c r="CK22" s="19" t="n">
        <f aca="false">MAX(0,CK15)-CK17</f>
        <v>109.854238285789</v>
      </c>
      <c r="CL22" s="19" t="n">
        <f aca="false">MAX(0,CL15)-CL17</f>
        <v>144.191332520357</v>
      </c>
      <c r="CM22" s="19" t="n">
        <f aca="false">MAX(0,CM15)-CM17</f>
        <v>152.017536403114</v>
      </c>
      <c r="CN22" s="19" t="n">
        <f aca="false">MAX(0,CN15)-CN17</f>
        <v>152.22944963228</v>
      </c>
      <c r="CO22" s="19" t="n">
        <f aca="false">MAX(0,CO15)-CO17</f>
        <v>159.520786306412</v>
      </c>
      <c r="CP22" s="19" t="n">
        <f aca="false">MAX(0,CP15)-CP17</f>
        <v>25.7154577635094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378.331239337129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0</v>
      </c>
      <c r="BQ23" s="19" t="n">
        <f aca="false">Inputs!$F$158*BQ22</f>
        <v>0</v>
      </c>
      <c r="BR23" s="19" t="n">
        <f aca="false">Inputs!$F$158*BR22</f>
        <v>0</v>
      </c>
      <c r="BS23" s="19" t="n">
        <f aca="false">Inputs!$F$158*BS22</f>
        <v>0</v>
      </c>
      <c r="BT23" s="19" t="n">
        <f aca="false">Inputs!$F$158*BT22</f>
        <v>0</v>
      </c>
      <c r="BU23" s="19" t="n">
        <f aca="false">Inputs!$F$158*BU22</f>
        <v>0</v>
      </c>
      <c r="BV23" s="19" t="n">
        <f aca="false">Inputs!$F$158*BV22</f>
        <v>0</v>
      </c>
      <c r="BW23" s="19" t="n">
        <f aca="false">Inputs!$F$158*BW22</f>
        <v>0</v>
      </c>
      <c r="BX23" s="19" t="n">
        <f aca="false">Inputs!$F$158*BX22</f>
        <v>0</v>
      </c>
      <c r="BY23" s="19" t="n">
        <f aca="false">Inputs!$F$158*BY22</f>
        <v>0</v>
      </c>
      <c r="BZ23" s="19" t="n">
        <f aca="false">Inputs!$F$158*BZ22</f>
        <v>0</v>
      </c>
      <c r="CA23" s="19" t="n">
        <f aca="false">Inputs!$F$158*CA22</f>
        <v>0</v>
      </c>
      <c r="CB23" s="19" t="n">
        <f aca="false">Inputs!$F$158*CB22</f>
        <v>0</v>
      </c>
      <c r="CC23" s="19" t="n">
        <f aca="false">Inputs!$F$158*CC22</f>
        <v>0</v>
      </c>
      <c r="CD23" s="19" t="n">
        <f aca="false">Inputs!$F$158*CD22</f>
        <v>0</v>
      </c>
      <c r="CE23" s="19" t="n">
        <f aca="false">Inputs!$F$158*CE22</f>
        <v>0</v>
      </c>
      <c r="CF23" s="19" t="n">
        <f aca="false">Inputs!$F$158*CF22</f>
        <v>16.5695075834007</v>
      </c>
      <c r="CG23" s="19" t="n">
        <f aca="false">Inputs!$F$158*CG22</f>
        <v>16.9648219288335</v>
      </c>
      <c r="CH23" s="19" t="n">
        <f aca="false">Inputs!$F$158*CH22</f>
        <v>39.2001323317515</v>
      </c>
      <c r="CI23" s="19" t="n">
        <f aca="false">Inputs!$F$158*CI22</f>
        <v>41.3552677644721</v>
      </c>
      <c r="CJ23" s="19" t="n">
        <f aca="false">Inputs!$F$158*CJ22</f>
        <v>41.1828694552326</v>
      </c>
      <c r="CK23" s="19" t="n">
        <f aca="false">Inputs!$F$158*CK22</f>
        <v>32.9562714857368</v>
      </c>
      <c r="CL23" s="19" t="n">
        <f aca="false">Inputs!$F$158*CL22</f>
        <v>43.2573997561071</v>
      </c>
      <c r="CM23" s="19" t="n">
        <f aca="false">Inputs!$F$158*CM22</f>
        <v>45.6052609209343</v>
      </c>
      <c r="CN23" s="19" t="n">
        <f aca="false">Inputs!$F$158*CN22</f>
        <v>45.668834889684</v>
      </c>
      <c r="CO23" s="19" t="n">
        <f aca="false">Inputs!$F$158*CO22</f>
        <v>47.8562358919235</v>
      </c>
      <c r="CP23" s="19" t="n">
        <f aca="false">Inputs!$F$158*CP22</f>
        <v>7.71463732905282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0.0753264079201916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4.20685683112385</v>
      </c>
      <c r="U11" s="19" t="n">
        <f aca="false">Debt!U43*Time!U20</f>
        <v>4.52506029174383</v>
      </c>
      <c r="V11" s="19" t="n">
        <f aca="false">Debt!V43*Time!V20</f>
        <v>4.91661608386637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5.37650198103329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0.265017064035482</v>
      </c>
      <c r="U12" s="19" t="n">
        <f aca="false">Inputs!$F$109*($F$6-Debt!U42)*Time!U9/Inputs!$F$45*Time!U20</f>
        <v>0.19250213114717</v>
      </c>
      <c r="V12" s="19" t="n">
        <f aca="false">Inputs!$F$109*($F$6-Debt!V42)*Time!V9/Inputs!$F$45*Time!V20</f>
        <v>0.139029812632337</v>
      </c>
      <c r="W12" s="19" t="n">
        <f aca="false">Inputs!$F$109*($F$6-Debt!W42)*Time!W9/Inputs!$F$45*Time!W20</f>
        <v>0.0983531071135615</v>
      </c>
      <c r="X12" s="19" t="n">
        <f aca="false">Inputs!$F$109*($F$6-Debt!X42)*Time!X9/Inputs!$F$45*Time!X20</f>
        <v>0.0704567428082704</v>
      </c>
      <c r="Y12" s="19" t="n">
        <f aca="false">Inputs!$F$109*($F$6-Debt!Y42)*Time!Y9/Inputs!$F$45*Time!Y20</f>
        <v>0.0537594888101216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71.7440649982434</v>
      </c>
      <c r="W14" s="19" t="n">
        <f aca="false">IF(Time!W6=1,$F$7,V16)</f>
        <v>50.2018465625412</v>
      </c>
      <c r="X14" s="19" t="n">
        <f aca="false">IF(Time!X6=1,$F$7,W16)</f>
        <v>35.9628556286811</v>
      </c>
      <c r="Y14" s="19" t="n">
        <f aca="false">IF(Time!Y6=1,$F$7,X16)</f>
        <v>28.049947702747</v>
      </c>
      <c r="Z14" s="19" t="n">
        <f aca="false">IF(Time!Z6=1,$F$7,Y16)</f>
        <v>1.27897692436818E-013</v>
      </c>
      <c r="AA14" s="19" t="n">
        <f aca="false">IF(Time!AA6=1,$F$7,Z16)</f>
        <v>1.27897692436818E-013</v>
      </c>
      <c r="AB14" s="19" t="n">
        <f aca="false">IF(Time!AB6=1,$F$7,AA16)</f>
        <v>1.27897692436818E-013</v>
      </c>
      <c r="AC14" s="19" t="n">
        <f aca="false">IF(Time!AC6=1,$F$7,AB16)</f>
        <v>1.27897692436818E-013</v>
      </c>
      <c r="AD14" s="19" t="n">
        <f aca="false">IF(Time!AD6=1,$F$7,AC16)</f>
        <v>1.27897692436818E-013</v>
      </c>
      <c r="AE14" s="19" t="n">
        <f aca="false">IF(Time!AE6=1,$F$7,AD16)</f>
        <v>1.27897692436818E-013</v>
      </c>
      <c r="AF14" s="19" t="n">
        <f aca="false">IF(Time!AF6=1,$F$7,AE16)</f>
        <v>1.27897692436818E-013</v>
      </c>
      <c r="AG14" s="19" t="n">
        <f aca="false">IF(Time!AG6=1,$F$7,AF16)</f>
        <v>1.27897692436818E-013</v>
      </c>
      <c r="AH14" s="19" t="n">
        <f aca="false">IF(Time!AH6=1,$F$7,AG16)</f>
        <v>1.27897692436818E-013</v>
      </c>
      <c r="AI14" s="19" t="n">
        <f aca="false">IF(Time!AI6=1,$F$7,AH16)</f>
        <v>1.27897692436818E-013</v>
      </c>
      <c r="AJ14" s="19" t="n">
        <f aca="false">IF(Time!AJ6=1,$F$7,AI16)</f>
        <v>1.27897692436818E-013</v>
      </c>
      <c r="AK14" s="19" t="n">
        <f aca="false">IF(Time!AK6=1,$F$7,AJ16)</f>
        <v>1.27897692436818E-013</v>
      </c>
      <c r="AL14" s="19" t="n">
        <f aca="false">IF(Time!AL6=1,$F$7,AK16)</f>
        <v>1.27897692436818E-013</v>
      </c>
      <c r="AM14" s="19" t="n">
        <f aca="false">IF(Time!AM6=1,$F$7,AL16)</f>
        <v>1.27897692436818E-013</v>
      </c>
      <c r="AN14" s="19" t="n">
        <f aca="false">IF(Time!AN6=1,$F$7,AM16)</f>
        <v>1.27897692436818E-013</v>
      </c>
      <c r="AO14" s="19" t="n">
        <f aca="false">IF(Time!AO6=1,$F$7,AN16)</f>
        <v>1.27897692436818E-013</v>
      </c>
      <c r="AP14" s="19" t="n">
        <f aca="false">IF(Time!AP6=1,$F$7,AO16)</f>
        <v>1.27897692436818E-013</v>
      </c>
      <c r="AQ14" s="19" t="n">
        <f aca="false">IF(Time!AQ6=1,$F$7,AP16)</f>
        <v>1.27897692436818E-013</v>
      </c>
      <c r="AR14" s="19" t="n">
        <f aca="false">IF(Time!AR6=1,$F$7,AQ16)</f>
        <v>1.27897692436818E-013</v>
      </c>
      <c r="AS14" s="19" t="n">
        <f aca="false">IF(Time!AS6=1,$F$7,AR16)</f>
        <v>1.27897692436818E-013</v>
      </c>
      <c r="AT14" s="19" t="n">
        <f aca="false">IF(Time!AT6=1,$F$7,AS16)</f>
        <v>1.27897692436818E-013</v>
      </c>
      <c r="AU14" s="19" t="n">
        <f aca="false">IF(Time!AU6=1,$F$7,AT16)</f>
        <v>1.27897692436818E-013</v>
      </c>
      <c r="AV14" s="19" t="n">
        <f aca="false">IF(Time!AV6=1,$F$7,AU16)</f>
        <v>1.27897692436818E-013</v>
      </c>
      <c r="AW14" s="19" t="n">
        <f aca="false">IF(Time!AW6=1,$F$7,AV16)</f>
        <v>1.27897692436818E-013</v>
      </c>
      <c r="AX14" s="19" t="n">
        <f aca="false">IF(Time!AX6=1,$F$7,AW16)</f>
        <v>1.27897692436818E-013</v>
      </c>
      <c r="AY14" s="19" t="n">
        <f aca="false">IF(Time!AY6=1,$F$7,AX16)</f>
        <v>1.27897692436818E-013</v>
      </c>
      <c r="AZ14" s="19" t="n">
        <f aca="false">IF(Time!AZ6=1,$F$7,AY16)</f>
        <v>1.27897692436818E-013</v>
      </c>
      <c r="BA14" s="19" t="n">
        <f aca="false">IF(Time!BA6=1,$F$7,AZ16)</f>
        <v>1.27897692436818E-013</v>
      </c>
      <c r="BB14" s="19" t="n">
        <f aca="false">IF(Time!BB6=1,$F$7,BA16)</f>
        <v>1.27897692436818E-013</v>
      </c>
      <c r="BC14" s="19" t="n">
        <f aca="false">IF(Time!BC6=1,$F$7,BB16)</f>
        <v>1.27897692436818E-013</v>
      </c>
      <c r="BD14" s="19" t="n">
        <f aca="false">IF(Time!BD6=1,$F$7,BC16)</f>
        <v>1.27897692436818E-013</v>
      </c>
      <c r="BE14" s="19" t="n">
        <f aca="false">IF(Time!BE6=1,$F$7,BD16)</f>
        <v>1.27897692436818E-013</v>
      </c>
      <c r="BF14" s="19" t="n">
        <f aca="false">IF(Time!BF6=1,$F$7,BE16)</f>
        <v>1.27897692436818E-013</v>
      </c>
      <c r="BG14" s="19" t="n">
        <f aca="false">IF(Time!BG6=1,$F$7,BF16)</f>
        <v>1.27897692436818E-013</v>
      </c>
      <c r="BH14" s="19" t="n">
        <f aca="false">IF(Time!BH6=1,$F$7,BG16)</f>
        <v>1.27897692436818E-013</v>
      </c>
      <c r="BI14" s="19" t="n">
        <f aca="false">IF(Time!BI6=1,$F$7,BH16)</f>
        <v>1.27897692436818E-013</v>
      </c>
      <c r="BJ14" s="19" t="n">
        <f aca="false">IF(Time!BJ6=1,$F$7,BI16)</f>
        <v>1.27897692436818E-013</v>
      </c>
      <c r="BK14" s="19" t="n">
        <f aca="false">IF(Time!BK6=1,$F$7,BJ16)</f>
        <v>1.27897692436818E-013</v>
      </c>
      <c r="BL14" s="19" t="n">
        <f aca="false">IF(Time!BL6=1,$F$7,BK16)</f>
        <v>1.27897692436818E-013</v>
      </c>
      <c r="BM14" s="19" t="n">
        <f aca="false">IF(Time!BM6=1,$F$7,BL16)</f>
        <v>1.27897692436818E-013</v>
      </c>
      <c r="BN14" s="19" t="n">
        <f aca="false">IF(Time!BN6=1,$F$7,BM16)</f>
        <v>1.27897692436818E-013</v>
      </c>
      <c r="BO14" s="19" t="n">
        <f aca="false">IF(Time!BO6=1,$F$7,BN16)</f>
        <v>1.27897692436818E-013</v>
      </c>
      <c r="BP14" s="19" t="n">
        <f aca="false">IF(Time!BP6=1,$F$7,BO16)</f>
        <v>1.27897692436818E-013</v>
      </c>
      <c r="BQ14" s="19" t="n">
        <f aca="false">IF(Time!BQ6=1,$F$7,BP16)</f>
        <v>1.27897692436818E-013</v>
      </c>
      <c r="BR14" s="19" t="n">
        <f aca="false">IF(Time!BR6=1,$F$7,BQ16)</f>
        <v>1.27897692436818E-013</v>
      </c>
      <c r="BS14" s="19" t="n">
        <f aca="false">IF(Time!BS6=1,$F$7,BR16)</f>
        <v>1.27897692436818E-013</v>
      </c>
      <c r="BT14" s="19" t="n">
        <f aca="false">IF(Time!BT6=1,$F$7,BS16)</f>
        <v>1.27897692436818E-013</v>
      </c>
      <c r="BU14" s="19" t="n">
        <f aca="false">IF(Time!BU6=1,$F$7,BT16)</f>
        <v>1.27897692436818E-013</v>
      </c>
      <c r="BV14" s="19" t="n">
        <f aca="false">IF(Time!BV6=1,$F$7,BU16)</f>
        <v>1.27897692436818E-013</v>
      </c>
      <c r="BW14" s="19" t="n">
        <f aca="false">IF(Time!BW6=1,$F$7,BV16)</f>
        <v>1.27897692436818E-013</v>
      </c>
      <c r="BX14" s="19" t="n">
        <f aca="false">IF(Time!BX6=1,$F$7,BW16)</f>
        <v>1.27897692436818E-013</v>
      </c>
      <c r="BY14" s="19" t="n">
        <f aca="false">IF(Time!BY6=1,$F$7,BX16)</f>
        <v>1.27897692436818E-013</v>
      </c>
      <c r="BZ14" s="19" t="n">
        <f aca="false">IF(Time!BZ6=1,$F$7,BY16)</f>
        <v>1.27897692436818E-013</v>
      </c>
      <c r="CA14" s="19" t="n">
        <f aca="false">IF(Time!CA6=1,$F$7,BZ16)</f>
        <v>1.27897692436818E-013</v>
      </c>
      <c r="CB14" s="19" t="n">
        <f aca="false">IF(Time!CB6=1,$F$7,CA16)</f>
        <v>1.27897692436818E-013</v>
      </c>
      <c r="CC14" s="19" t="n">
        <f aca="false">IF(Time!CC6=1,$F$7,CB16)</f>
        <v>1.27897692436818E-013</v>
      </c>
      <c r="CD14" s="19" t="n">
        <f aca="false">IF(Time!CD6=1,$F$7,CC16)</f>
        <v>1.27897692436818E-013</v>
      </c>
      <c r="CE14" s="19" t="n">
        <f aca="false">IF(Time!CE6=1,$F$7,CD16)</f>
        <v>1.27897692436818E-013</v>
      </c>
      <c r="CF14" s="19" t="n">
        <f aca="false">IF(Time!CF6=1,$F$7,CE16)</f>
        <v>1.27897692436818E-013</v>
      </c>
      <c r="CG14" s="19" t="n">
        <f aca="false">IF(Time!CG6=1,$F$7,CF16)</f>
        <v>1.27897692436818E-013</v>
      </c>
      <c r="CH14" s="19" t="n">
        <f aca="false">IF(Time!CH6=1,$F$7,CG16)</f>
        <v>1.27897692436818E-013</v>
      </c>
      <c r="CI14" s="19" t="n">
        <f aca="false">IF(Time!CI6=1,$F$7,CH16)</f>
        <v>1.27897692436818E-013</v>
      </c>
      <c r="CJ14" s="19" t="n">
        <f aca="false">IF(Time!CJ6=1,$F$7,CI16)</f>
        <v>1.27897692436818E-013</v>
      </c>
      <c r="CK14" s="19" t="n">
        <f aca="false">IF(Time!CK6=1,$F$7,CJ16)</f>
        <v>1.27897692436818E-013</v>
      </c>
      <c r="CL14" s="19" t="n">
        <f aca="false">IF(Time!CL6=1,$F$7,CK16)</f>
        <v>1.27897692436818E-013</v>
      </c>
      <c r="CM14" s="19" t="n">
        <f aca="false">IF(Time!CM6=1,$F$7,CL16)</f>
        <v>1.27897692436818E-013</v>
      </c>
      <c r="CN14" s="19" t="n">
        <f aca="false">IF(Time!CN6=1,$F$7,CM16)</f>
        <v>1.27897692436818E-013</v>
      </c>
      <c r="CO14" s="19" t="n">
        <f aca="false">IF(Time!CO6=1,$F$7,CN16)</f>
        <v>1.27897692436818E-013</v>
      </c>
      <c r="CP14" s="19" t="n">
        <f aca="false">IF(Time!CP6=1,$F$7,CO16)</f>
        <v>1.27897692436818E-013</v>
      </c>
      <c r="CQ14" s="19" t="n">
        <f aca="false">IF(Time!CQ6=1,$F$7,CP16)</f>
        <v>1.27897692436818E-013</v>
      </c>
      <c r="CR14" s="19" t="n">
        <f aca="false">IF(Time!CR6=1,$F$7,CQ16)</f>
        <v>1.27897692436818E-013</v>
      </c>
      <c r="CS14" s="19" t="n">
        <f aca="false">IF(Time!CS6=1,$F$7,CR16)</f>
        <v>1.27897692436818E-013</v>
      </c>
      <c r="CT14" s="19" t="n">
        <f aca="false">IF(Time!CT6=1,$F$7,CS16)</f>
        <v>1.27897692436818E-013</v>
      </c>
      <c r="CU14" s="19" t="n">
        <f aca="false">IF(Time!CU6=1,$F$7,CT16)</f>
        <v>1.27897692436818E-013</v>
      </c>
      <c r="CV14" s="19" t="n">
        <f aca="false">IF(Time!CV6=1,$F$7,CU16)</f>
        <v>1.27897692436818E-013</v>
      </c>
      <c r="CW14" s="19" t="n">
        <f aca="false">IF(Time!CW6=1,$F$7,CV16)</f>
        <v>1.27897692436818E-013</v>
      </c>
      <c r="CX14" s="19" t="n">
        <f aca="false">IF(Time!CX6=1,$F$7,CW16)</f>
        <v>1.27897692436818E-013</v>
      </c>
      <c r="CY14" s="19" t="n">
        <f aca="false">IF(Time!CY6=1,$F$7,CX16)</f>
        <v>1.27897692436818E-013</v>
      </c>
      <c r="CZ14" s="19" t="n">
        <f aca="false">IF(Time!CZ6=1,$F$7,CY16)</f>
        <v>1.27897692436818E-013</v>
      </c>
      <c r="DA14" s="19" t="n">
        <f aca="false">IF(Time!DA6=1,$F$7,CZ16)</f>
        <v>1.27897692436818E-013</v>
      </c>
      <c r="DB14" s="19" t="n">
        <f aca="false">IF(Time!DB6=1,$F$7,DA16)</f>
        <v>1.27897692436818E-013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0.716011015113407</v>
      </c>
      <c r="U15" s="19" t="n">
        <f aca="false">U14*Inputs!$F$111*Time!U9/Inputs!$F$45*Time!U20</f>
        <v>0.520093477134458</v>
      </c>
      <c r="V15" s="19" t="n">
        <f aca="false">V14*Inputs!$F$111*Time!V9/Inputs!$F$45*Time!V20</f>
        <v>0.375624406059296</v>
      </c>
      <c r="W15" s="19" t="n">
        <f aca="false">W14*Inputs!$F$111*Time!W9/Inputs!$F$45*Time!W20</f>
        <v>0.265725938517341</v>
      </c>
      <c r="X15" s="19" t="n">
        <f aca="false">X14*Inputs!$F$111*Time!X9/Inputs!$F$45*Time!X20</f>
        <v>0.190356813903046</v>
      </c>
      <c r="Y15" s="19" t="n">
        <f aca="false">Y14*Inputs!$F$111*Time!Y9/Inputs!$F$45*Time!Y20</f>
        <v>0.145244934679978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71.7440649982434</v>
      </c>
      <c r="V16" s="19" t="n">
        <f aca="false">V14-V36</f>
        <v>50.2018465625412</v>
      </c>
      <c r="W16" s="19" t="n">
        <f aca="false">W14-W36</f>
        <v>35.9628556286811</v>
      </c>
      <c r="X16" s="19" t="n">
        <f aca="false">X14-X36</f>
        <v>28.049947702747</v>
      </c>
      <c r="Y16" s="19" t="n">
        <f aca="false">Y14-Y36</f>
        <v>1.27897692436818E-013</v>
      </c>
      <c r="Z16" s="19" t="n">
        <f aca="false">Z14-Z36</f>
        <v>1.27897692436818E-013</v>
      </c>
      <c r="AA16" s="19" t="n">
        <f aca="false">AA14-AA36</f>
        <v>1.27897692436818E-013</v>
      </c>
      <c r="AB16" s="19" t="n">
        <f aca="false">AB14-AB36</f>
        <v>1.27897692436818E-013</v>
      </c>
      <c r="AC16" s="19" t="n">
        <f aca="false">AC14-AC36</f>
        <v>1.27897692436818E-013</v>
      </c>
      <c r="AD16" s="19" t="n">
        <f aca="false">AD14-AD36</f>
        <v>1.27897692436818E-013</v>
      </c>
      <c r="AE16" s="19" t="n">
        <f aca="false">AE14-AE36</f>
        <v>1.27897692436818E-013</v>
      </c>
      <c r="AF16" s="19" t="n">
        <f aca="false">AF14-AF36</f>
        <v>1.27897692436818E-013</v>
      </c>
      <c r="AG16" s="19" t="n">
        <f aca="false">AG14-AG36</f>
        <v>1.27897692436818E-013</v>
      </c>
      <c r="AH16" s="19" t="n">
        <f aca="false">AH14-AH36</f>
        <v>1.27897692436818E-013</v>
      </c>
      <c r="AI16" s="19" t="n">
        <f aca="false">AI14-AI36</f>
        <v>1.27897692436818E-013</v>
      </c>
      <c r="AJ16" s="19" t="n">
        <f aca="false">AJ14-AJ36</f>
        <v>1.27897692436818E-013</v>
      </c>
      <c r="AK16" s="19" t="n">
        <f aca="false">AK14-AK36</f>
        <v>1.27897692436818E-013</v>
      </c>
      <c r="AL16" s="19" t="n">
        <f aca="false">AL14-AL36</f>
        <v>1.27897692436818E-013</v>
      </c>
      <c r="AM16" s="19" t="n">
        <f aca="false">AM14-AM36</f>
        <v>1.27897692436818E-013</v>
      </c>
      <c r="AN16" s="19" t="n">
        <f aca="false">AN14-AN36</f>
        <v>1.27897692436818E-013</v>
      </c>
      <c r="AO16" s="19" t="n">
        <f aca="false">AO14-AO36</f>
        <v>1.27897692436818E-013</v>
      </c>
      <c r="AP16" s="19" t="n">
        <f aca="false">AP14-AP36</f>
        <v>1.27897692436818E-013</v>
      </c>
      <c r="AQ16" s="19" t="n">
        <f aca="false">AQ14-AQ36</f>
        <v>1.27897692436818E-013</v>
      </c>
      <c r="AR16" s="19" t="n">
        <f aca="false">AR14-AR36</f>
        <v>1.27897692436818E-013</v>
      </c>
      <c r="AS16" s="19" t="n">
        <f aca="false">AS14-AS36</f>
        <v>1.27897692436818E-013</v>
      </c>
      <c r="AT16" s="19" t="n">
        <f aca="false">AT14-AT36</f>
        <v>1.27897692436818E-013</v>
      </c>
      <c r="AU16" s="19" t="n">
        <f aca="false">AU14-AU36</f>
        <v>1.27897692436818E-013</v>
      </c>
      <c r="AV16" s="19" t="n">
        <f aca="false">AV14-AV36</f>
        <v>1.27897692436818E-013</v>
      </c>
      <c r="AW16" s="19" t="n">
        <f aca="false">AW14-AW36</f>
        <v>1.27897692436818E-013</v>
      </c>
      <c r="AX16" s="19" t="n">
        <f aca="false">AX14-AX36</f>
        <v>1.27897692436818E-013</v>
      </c>
      <c r="AY16" s="19" t="n">
        <f aca="false">AY14-AY36</f>
        <v>1.27897692436818E-013</v>
      </c>
      <c r="AZ16" s="19" t="n">
        <f aca="false">AZ14-AZ36</f>
        <v>1.27897692436818E-013</v>
      </c>
      <c r="BA16" s="19" t="n">
        <f aca="false">BA14-BA36</f>
        <v>1.27897692436818E-013</v>
      </c>
      <c r="BB16" s="19" t="n">
        <f aca="false">BB14-BB36</f>
        <v>1.27897692436818E-013</v>
      </c>
      <c r="BC16" s="19" t="n">
        <f aca="false">BC14-BC36</f>
        <v>1.27897692436818E-013</v>
      </c>
      <c r="BD16" s="19" t="n">
        <f aca="false">BD14-BD36</f>
        <v>1.27897692436818E-013</v>
      </c>
      <c r="BE16" s="19" t="n">
        <f aca="false">BE14-BE36</f>
        <v>1.27897692436818E-013</v>
      </c>
      <c r="BF16" s="19" t="n">
        <f aca="false">BF14-BF36</f>
        <v>1.27897692436818E-013</v>
      </c>
      <c r="BG16" s="19" t="n">
        <f aca="false">BG14-BG36</f>
        <v>1.27897692436818E-013</v>
      </c>
      <c r="BH16" s="19" t="n">
        <f aca="false">BH14-BH36</f>
        <v>1.27897692436818E-013</v>
      </c>
      <c r="BI16" s="19" t="n">
        <f aca="false">BI14-BI36</f>
        <v>1.27897692436818E-013</v>
      </c>
      <c r="BJ16" s="19" t="n">
        <f aca="false">BJ14-BJ36</f>
        <v>1.27897692436818E-013</v>
      </c>
      <c r="BK16" s="19" t="n">
        <f aca="false">BK14-BK36</f>
        <v>1.27897692436818E-013</v>
      </c>
      <c r="BL16" s="19" t="n">
        <f aca="false">BL14-BL36</f>
        <v>1.27897692436818E-013</v>
      </c>
      <c r="BM16" s="19" t="n">
        <f aca="false">BM14-BM36</f>
        <v>1.27897692436818E-013</v>
      </c>
      <c r="BN16" s="19" t="n">
        <f aca="false">BN14-BN36</f>
        <v>1.27897692436818E-013</v>
      </c>
      <c r="BO16" s="19" t="n">
        <f aca="false">BO14-BO36</f>
        <v>1.27897692436818E-013</v>
      </c>
      <c r="BP16" s="19" t="n">
        <f aca="false">BP14-BP36</f>
        <v>1.27897692436818E-013</v>
      </c>
      <c r="BQ16" s="19" t="n">
        <f aca="false">BQ14-BQ36</f>
        <v>1.27897692436818E-013</v>
      </c>
      <c r="BR16" s="19" t="n">
        <f aca="false">BR14-BR36</f>
        <v>1.27897692436818E-013</v>
      </c>
      <c r="BS16" s="19" t="n">
        <f aca="false">BS14-BS36</f>
        <v>1.27897692436818E-013</v>
      </c>
      <c r="BT16" s="19" t="n">
        <f aca="false">BT14-BT36</f>
        <v>1.27897692436818E-013</v>
      </c>
      <c r="BU16" s="19" t="n">
        <f aca="false">BU14-BU36</f>
        <v>1.27897692436818E-013</v>
      </c>
      <c r="BV16" s="19" t="n">
        <f aca="false">BV14-BV36</f>
        <v>1.27897692436818E-013</v>
      </c>
      <c r="BW16" s="19" t="n">
        <f aca="false">BW14-BW36</f>
        <v>1.27897692436818E-013</v>
      </c>
      <c r="BX16" s="19" t="n">
        <f aca="false">BX14-BX36</f>
        <v>1.27897692436818E-013</v>
      </c>
      <c r="BY16" s="19" t="n">
        <f aca="false">BY14-BY36</f>
        <v>1.27897692436818E-013</v>
      </c>
      <c r="BZ16" s="19" t="n">
        <f aca="false">BZ14-BZ36</f>
        <v>1.27897692436818E-013</v>
      </c>
      <c r="CA16" s="19" t="n">
        <f aca="false">CA14-CA36</f>
        <v>1.27897692436818E-013</v>
      </c>
      <c r="CB16" s="19" t="n">
        <f aca="false">CB14-CB36</f>
        <v>1.27897692436818E-013</v>
      </c>
      <c r="CC16" s="19" t="n">
        <f aca="false">CC14-CC36</f>
        <v>1.27897692436818E-013</v>
      </c>
      <c r="CD16" s="19" t="n">
        <f aca="false">CD14-CD36</f>
        <v>1.27897692436818E-013</v>
      </c>
      <c r="CE16" s="19" t="n">
        <f aca="false">CE14-CE36</f>
        <v>1.27897692436818E-013</v>
      </c>
      <c r="CF16" s="19" t="n">
        <f aca="false">CF14-CF36</f>
        <v>1.27897692436818E-013</v>
      </c>
      <c r="CG16" s="19" t="n">
        <f aca="false">CG14-CG36</f>
        <v>1.27897692436818E-013</v>
      </c>
      <c r="CH16" s="19" t="n">
        <f aca="false">CH14-CH36</f>
        <v>1.27897692436818E-013</v>
      </c>
      <c r="CI16" s="19" t="n">
        <f aca="false">CI14-CI36</f>
        <v>1.27897692436818E-013</v>
      </c>
      <c r="CJ16" s="19" t="n">
        <f aca="false">CJ14-CJ36</f>
        <v>1.27897692436818E-013</v>
      </c>
      <c r="CK16" s="19" t="n">
        <f aca="false">CK14-CK36</f>
        <v>1.27897692436818E-013</v>
      </c>
      <c r="CL16" s="19" t="n">
        <f aca="false">CL14-CL36</f>
        <v>1.27897692436818E-013</v>
      </c>
      <c r="CM16" s="19" t="n">
        <f aca="false">CM14-CM36</f>
        <v>1.27897692436818E-013</v>
      </c>
      <c r="CN16" s="19" t="n">
        <f aca="false">CN14-CN36</f>
        <v>1.27897692436818E-013</v>
      </c>
      <c r="CO16" s="19" t="n">
        <f aca="false">CO14-CO36</f>
        <v>1.27897692436818E-013</v>
      </c>
      <c r="CP16" s="19" t="n">
        <f aca="false">CP14-CP36</f>
        <v>1.27897692436818E-013</v>
      </c>
      <c r="CQ16" s="19" t="n">
        <f aca="false">CQ14-CQ36</f>
        <v>1.27897692436818E-013</v>
      </c>
      <c r="CR16" s="19" t="n">
        <f aca="false">CR14-CR36</f>
        <v>1.27897692436818E-013</v>
      </c>
      <c r="CS16" s="19" t="n">
        <f aca="false">CS14-CS36</f>
        <v>1.27897692436818E-013</v>
      </c>
      <c r="CT16" s="19" t="n">
        <f aca="false">CT14-CT36</f>
        <v>1.27897692436818E-013</v>
      </c>
      <c r="CU16" s="19" t="n">
        <f aca="false">CU14-CU36</f>
        <v>1.27897692436818E-013</v>
      </c>
      <c r="CV16" s="19" t="n">
        <f aca="false">CV14-CV36</f>
        <v>1.27897692436818E-013</v>
      </c>
      <c r="CW16" s="19" t="n">
        <f aca="false">CW14-CW36</f>
        <v>1.27897692436818E-013</v>
      </c>
      <c r="CX16" s="19" t="n">
        <f aca="false">CX14-CX36</f>
        <v>1.27897692436818E-013</v>
      </c>
      <c r="CY16" s="19" t="n">
        <f aca="false">CY14-CY36</f>
        <v>1.27897692436818E-013</v>
      </c>
      <c r="CZ16" s="19" t="n">
        <f aca="false">CZ14-CZ36</f>
        <v>1.27897692436818E-013</v>
      </c>
      <c r="DA16" s="19" t="n">
        <f aca="false">DA14-DA36</f>
        <v>1.27897692436818E-013</v>
      </c>
      <c r="DB16" s="19" t="n">
        <f aca="false">DB14-DB36</f>
        <v>1.27897692436818E-013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180.740139861134</v>
      </c>
      <c r="X17" s="19" t="n">
        <f aca="false">W40</f>
        <v>210.992588436548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0.645931468888627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1.90390462814963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0.645931468888627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1.90390462814963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30.2524485754141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96.6467474241223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21.9569056998016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11.3912458841367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123.764961246765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39.1676698830949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5.99352374951786</v>
      </c>
      <c r="O34" s="19" t="n">
        <f aca="false">O32-O33</f>
        <v>57.0124385059261</v>
      </c>
      <c r="P34" s="19" t="n">
        <f aca="false">P32-P33</f>
        <v>65.1191486985329</v>
      </c>
      <c r="Q34" s="19" t="n">
        <f aca="false">Q32-Q33</f>
        <v>69.5423446973091</v>
      </c>
      <c r="R34" s="19" t="n">
        <f aca="false">R32-R33</f>
        <v>70.8047707427995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26.833688293165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5.1260606478615</v>
      </c>
      <c r="O35" s="19" t="n">
        <f aca="false">Inputs!$F$96*O33</f>
        <v>48.7608341399099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56.6667865309465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6.26518523627516</v>
      </c>
      <c r="O36" s="19" t="n">
        <f aca="false">Inputs!$F$97*O33</f>
        <v>59.5965750598899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28.0499477027469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99.2873886658971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180.740139861134</v>
      </c>
      <c r="W40" s="19" t="n">
        <f aca="false">W17+W31-W39</f>
        <v>210.992588436548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6065.32549141505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10.4157316104653</v>
      </c>
      <c r="AA13" s="29" t="n">
        <f aca="false">Operations!AA48</f>
        <v>23.0499596523945</v>
      </c>
      <c r="AB13" s="29" t="n">
        <f aca="false">Operations!AB48</f>
        <v>28.9545547609114</v>
      </c>
      <c r="AC13" s="29" t="n">
        <f aca="false">Operations!AC48</f>
        <v>30.8618898538651</v>
      </c>
      <c r="AD13" s="29" t="n">
        <f aca="false">Operations!AD48</f>
        <v>35.6006498627729</v>
      </c>
      <c r="AE13" s="29" t="n">
        <f aca="false">Operations!AE48</f>
        <v>37.9206406128931</v>
      </c>
      <c r="AF13" s="29" t="n">
        <f aca="false">Operations!AF48</f>
        <v>40.9942494713759</v>
      </c>
      <c r="AG13" s="29" t="n">
        <f aca="false">Operations!AG48</f>
        <v>43.4213391934174</v>
      </c>
      <c r="AH13" s="29" t="n">
        <f aca="false">Operations!AH48</f>
        <v>45.1152067996604</v>
      </c>
      <c r="AI13" s="29" t="n">
        <f aca="false">Operations!AI48</f>
        <v>44.424347445054</v>
      </c>
      <c r="AJ13" s="29" t="n">
        <f aca="false">Operations!AJ48</f>
        <v>45.3747631488508</v>
      </c>
      <c r="AK13" s="29" t="n">
        <f aca="false">Operations!AK48</f>
        <v>47.713942356959</v>
      </c>
      <c r="AL13" s="29" t="n">
        <f aca="false">Operations!AL48</f>
        <v>48.4403427011658</v>
      </c>
      <c r="AM13" s="29" t="n">
        <f aca="false">Operations!AM48</f>
        <v>51.2179782967296</v>
      </c>
      <c r="AN13" s="29" t="n">
        <f aca="false">Operations!AN48</f>
        <v>51.9903255074749</v>
      </c>
      <c r="AO13" s="29" t="n">
        <f aca="false">Operations!AO48</f>
        <v>58.1320200344106</v>
      </c>
      <c r="AP13" s="29" t="n">
        <f aca="false">Operations!AP48</f>
        <v>58.9503893577537</v>
      </c>
      <c r="AQ13" s="29" t="n">
        <f aca="false">Operations!AQ48</f>
        <v>51.7824009781804</v>
      </c>
      <c r="AR13" s="29" t="n">
        <f aca="false">Operations!AR48</f>
        <v>53.000134395554</v>
      </c>
      <c r="AS13" s="29" t="n">
        <f aca="false">Operations!AS48</f>
        <v>55.9643575027677</v>
      </c>
      <c r="AT13" s="29" t="n">
        <f aca="false">Operations!AT48</f>
        <v>56.8879307299442</v>
      </c>
      <c r="AU13" s="29" t="n">
        <f aca="false">Operations!AU48</f>
        <v>60.4081008444681</v>
      </c>
      <c r="AV13" s="29" t="n">
        <f aca="false">Operations!AV48</f>
        <v>61.3889030482684</v>
      </c>
      <c r="AW13" s="29" t="n">
        <f aca="false">Operations!AW48</f>
        <v>66.706862328475</v>
      </c>
      <c r="AX13" s="29" t="n">
        <f aca="false">Operations!AX48</f>
        <v>66.9744095454637</v>
      </c>
      <c r="AY13" s="29" t="n">
        <f aca="false">Operations!AY48</f>
        <v>66.5052369898839</v>
      </c>
      <c r="AZ13" s="29" t="n">
        <f aca="false">Operations!AZ48</f>
        <v>67.2244544681581</v>
      </c>
      <c r="BA13" s="29" t="n">
        <f aca="false">Operations!BA48</f>
        <v>70.379591293878</v>
      </c>
      <c r="BB13" s="29" t="n">
        <f aca="false">Operations!BB48</f>
        <v>70.6746686721234</v>
      </c>
      <c r="BC13" s="29" t="n">
        <f aca="false">Operations!BC48</f>
        <v>82.7447309895529</v>
      </c>
      <c r="BD13" s="29" t="n">
        <f aca="false">Operations!BD48</f>
        <v>83.0558031491129</v>
      </c>
      <c r="BE13" s="29" t="n">
        <f aca="false">Operations!BE48</f>
        <v>90.9436792483577</v>
      </c>
      <c r="BF13" s="29" t="n">
        <f aca="false">Operations!BF48</f>
        <v>91.271422964997</v>
      </c>
      <c r="BG13" s="29" t="n">
        <f aca="false">Operations!BG48</f>
        <v>95.4057282169361</v>
      </c>
      <c r="BH13" s="29" t="n">
        <f aca="false">Operations!BH48</f>
        <v>96.2773939405722</v>
      </c>
      <c r="BI13" s="29" t="n">
        <f aca="false">Operations!BI48</f>
        <v>100.089584552284</v>
      </c>
      <c r="BJ13" s="29" t="n">
        <f aca="false">Operations!BJ48</f>
        <v>100.449714516574</v>
      </c>
      <c r="BK13" s="29" t="n">
        <f aca="false">Operations!BK48</f>
        <v>105.006906199794</v>
      </c>
      <c r="BL13" s="29" t="n">
        <f aca="false">Operations!BL48</f>
        <v>105.3857388565</v>
      </c>
      <c r="BM13" s="29" t="n">
        <f aca="false">Operations!BM48</f>
        <v>110.12668894607</v>
      </c>
      <c r="BN13" s="29" t="n">
        <f aca="false">Operations!BN48</f>
        <v>110.52187333404</v>
      </c>
      <c r="BO13" s="29" t="n">
        <f aca="false">Operations!BO48</f>
        <v>96.8923450603104</v>
      </c>
      <c r="BP13" s="29" t="n">
        <f aca="false">Operations!BP48</f>
        <v>97.9486652863241</v>
      </c>
      <c r="BQ13" s="29" t="n">
        <f aca="false">Operations!BQ48</f>
        <v>102.519551581852</v>
      </c>
      <c r="BR13" s="29" t="n">
        <f aca="false">Operations!BR48</f>
        <v>101.676109795064</v>
      </c>
      <c r="BS13" s="29" t="n">
        <f aca="false">Operations!BS48</f>
        <v>106.983184244272</v>
      </c>
      <c r="BT13" s="29" t="n">
        <f aca="false">Operations!BT48</f>
        <v>106.111123491235</v>
      </c>
      <c r="BU13" s="29" t="n">
        <f aca="false">Operations!BU48</f>
        <v>130.212926934043</v>
      </c>
      <c r="BV13" s="29" t="n">
        <f aca="false">Operations!BV48</f>
        <v>129.311084012264</v>
      </c>
      <c r="BW13" s="29" t="n">
        <f aca="false">Operations!BW48</f>
        <v>135.009456654313</v>
      </c>
      <c r="BX13" s="29" t="n">
        <f aca="false">Operations!BX48</f>
        <v>134.817545364697</v>
      </c>
      <c r="BY13" s="29" t="n">
        <f aca="false">Operations!BY48</f>
        <v>139.977984148921</v>
      </c>
      <c r="BZ13" s="29" t="n">
        <f aca="false">Operations!BZ48</f>
        <v>139.012977091913</v>
      </c>
      <c r="CA13" s="29" t="n">
        <f aca="false">Operations!CA48</f>
        <v>133.112737048905</v>
      </c>
      <c r="CB13" s="29" t="n">
        <f aca="false">Operations!CB48</f>
        <v>132.114291649574</v>
      </c>
      <c r="CC13" s="29" t="n">
        <f aca="false">Operations!CC48</f>
        <v>138.436679298269</v>
      </c>
      <c r="CD13" s="29" t="n">
        <f aca="false">Operations!CD48</f>
        <v>137.403519585584</v>
      </c>
      <c r="CE13" s="29" t="n">
        <f aca="false">Operations!CE48</f>
        <v>138.129816922637</v>
      </c>
      <c r="CF13" s="29" t="n">
        <f aca="false">Operations!CF48</f>
        <v>121.347037552466</v>
      </c>
      <c r="CG13" s="29" t="n">
        <f aca="false">Operations!CG48</f>
        <v>129.292104781583</v>
      </c>
      <c r="CH13" s="29" t="n">
        <f aca="false">Operations!CH48</f>
        <v>105.712765642997</v>
      </c>
      <c r="CI13" s="29" t="n">
        <f aca="false">Operations!CI48</f>
        <v>110.597291903227</v>
      </c>
      <c r="CJ13" s="29" t="n">
        <f aca="false">Operations!CJ48</f>
        <v>109.380604163406</v>
      </c>
      <c r="CK13" s="29" t="n">
        <f aca="false">Operations!CK48</f>
        <v>130.69694838973</v>
      </c>
      <c r="CL13" s="29" t="n">
        <f aca="false">Operations!CL48</f>
        <v>118.960122368036</v>
      </c>
      <c r="CM13" s="29" t="n">
        <f aca="false">Operations!CM48</f>
        <v>124.175601923561</v>
      </c>
      <c r="CN13" s="29" t="n">
        <f aca="false">Operations!CN48</f>
        <v>123.62005663349</v>
      </c>
      <c r="CO13" s="29" t="n">
        <f aca="false">Operations!CO48</f>
        <v>128.255613672643</v>
      </c>
      <c r="CP13" s="29" t="n">
        <f aca="false">Operations!CP48</f>
        <v>141.862699835627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2156.47469890003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1437.64979926669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1391.27399929034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882.130169013</v>
      </c>
      <c r="AE18" s="19" t="n">
        <f aca="false">IF(AND(Time!AE30=1,AE9&gt;0),AE13/(Inputs!$F$91*AE9),Inputs!$F$10)</f>
        <v>931.827663718887</v>
      </c>
      <c r="AF18" s="19" t="n">
        <f aca="false">IF(AND(Time!AF30=1,AF9&gt;0),AF13/(Inputs!$F$91*AF9),Inputs!$F$10)</f>
        <v>1021.34475209178</v>
      </c>
      <c r="AG18" s="19" t="n">
        <f aca="false">IF(AND(Time!AG30=1,AG9&gt;0),AG13/(Inputs!$F$91*AG9),Inputs!$F$10)</f>
        <v>1099.16453162588</v>
      </c>
      <c r="AH18" s="19" t="n">
        <f aca="false">IF(AND(Time!AH30=1,AH9&gt;0),AH13/(Inputs!$F$91*AH9),Inputs!$F$10)</f>
        <v>1151.30780526556</v>
      </c>
      <c r="AI18" s="19" t="n">
        <f aca="false">IF(AND(Time!AI30=1,AI9&gt;0),AI13/(Inputs!$F$91*AI9),Inputs!$F$10)</f>
        <v>1124.55460746431</v>
      </c>
      <c r="AJ18" s="19" t="n">
        <f aca="false">IF(AND(Time!AJ30=1,AJ9&gt;0),AJ13/(Inputs!$F$91*AJ9),Inputs!$F$10)</f>
        <v>1154.80869832865</v>
      </c>
      <c r="AK18" s="19" t="n">
        <f aca="false">IF(AND(Time!AK30=1,AK9&gt;0),AK13/(Inputs!$F$91*AK9),Inputs!$F$10)</f>
        <v>1207.82716694196</v>
      </c>
      <c r="AL18" s="19" t="n">
        <f aca="false">IF(AND(Time!AL30=1,AL9&gt;0),AL13/(Inputs!$F$91*AL9),Inputs!$F$10)</f>
        <v>1236.16289490245</v>
      </c>
      <c r="AM18" s="19" t="n">
        <f aca="false">IF(AND(Time!AM30=1,AM9&gt;0),AM13/(Inputs!$F$91*AM9),Inputs!$F$10)</f>
        <v>1296.52807055485</v>
      </c>
      <c r="AN18" s="19" t="n">
        <f aca="false">IF(AND(Time!AN30=1,AN9&gt;0),AN13/(Inputs!$F$91*AN9),Inputs!$F$10)</f>
        <v>1326.75591671018</v>
      </c>
      <c r="AO18" s="19" t="n">
        <f aca="false">IF(AND(Time!AO30=1,AO9&gt;0),AO13/(Inputs!$F$91*AO9),Inputs!$F$10)</f>
        <v>1471.54960580479</v>
      </c>
      <c r="AP18" s="19" t="n">
        <f aca="false">IF(AND(Time!AP30=1,AP9&gt;0),AP13/(Inputs!$F$91*AP9),Inputs!$F$10)</f>
        <v>1504.37176742668</v>
      </c>
      <c r="AQ18" s="19" t="n">
        <f aca="false">IF(AND(Time!AQ30=1,AQ9&gt;0),AQ13/(Inputs!$F$91*AQ9),Inputs!$F$10)</f>
        <v>1310.81582408388</v>
      </c>
      <c r="AR18" s="19" t="n">
        <f aca="false">IF(AND(Time!AR30=1,AR9&gt;0),AR13/(Inputs!$F$91*AR9),Inputs!$F$10)</f>
        <v>1348.87792167182</v>
      </c>
      <c r="AS18" s="19" t="n">
        <f aca="false">IF(AND(Time!AS30=1,AS9&gt;0),AS13/(Inputs!$F$91*AS9),Inputs!$F$10)</f>
        <v>1416.67755865988</v>
      </c>
      <c r="AT18" s="19" t="n">
        <f aca="false">IF(AND(Time!AT30=1,AT9&gt;0),AT13/(Inputs!$F$91*AT9),Inputs!$F$10)</f>
        <v>1451.73929858356</v>
      </c>
      <c r="AU18" s="19" t="n">
        <f aca="false">IF(AND(Time!AU30=1,AU9&gt;0),AU13/(Inputs!$F$91*AU9),Inputs!$F$10)</f>
        <v>1529.1661451378</v>
      </c>
      <c r="AV18" s="19" t="n">
        <f aca="false">IF(AND(Time!AV30=1,AV9&gt;0),AV13/(Inputs!$F$91*AV9),Inputs!$F$10)</f>
        <v>1566.60089246657</v>
      </c>
      <c r="AW18" s="19" t="n">
        <f aca="false">IF(AND(Time!AW30=1,AW9&gt;0),AW13/(Inputs!$F$91*AW9),Inputs!$F$10)</f>
        <v>1688.61252208052</v>
      </c>
      <c r="AX18" s="19" t="n">
        <f aca="false">IF(AND(Time!AX30=1,AX9&gt;0),AX13/(Inputs!$F$91*AX9),Inputs!$F$10)</f>
        <v>1709.13902279452</v>
      </c>
      <c r="AY18" s="19" t="n">
        <f aca="false">IF(AND(Time!AY30=1,AY9&gt;0),AY13/(Inputs!$F$91*AY9),Inputs!$F$10)</f>
        <v>1683.50859334472</v>
      </c>
      <c r="AZ18" s="19" t="n">
        <f aca="false">IF(AND(Time!AZ30=1,AZ9&gt;0),AZ13/(Inputs!$F$91*AZ9),Inputs!$F$10)</f>
        <v>1710.8934432464</v>
      </c>
      <c r="BA18" s="19" t="n">
        <f aca="false">IF(AND(Time!BA30=1,BA9&gt;0),BA13/(Inputs!$F$91*BA9),Inputs!$F$10)</f>
        <v>1781.58370832293</v>
      </c>
      <c r="BB18" s="19" t="n">
        <f aca="false">IF(AND(Time!BB30=1,BB9&gt;0),BB13/(Inputs!$F$91*BB9),Inputs!$F$10)</f>
        <v>1803.56698880045</v>
      </c>
      <c r="BC18" s="19" t="n">
        <f aca="false">IF(AND(Time!BC30=1,BC9&gt;0),BC13/(Inputs!$F$91*BC9),Inputs!$F$10)</f>
        <v>2094.59392943895</v>
      </c>
      <c r="BD18" s="19" t="n">
        <f aca="false">IF(AND(Time!BD30=1,BD9&gt;0),BD13/(Inputs!$F$91*BD9),Inputs!$F$10)</f>
        <v>2119.52468405605</v>
      </c>
      <c r="BE18" s="19" t="n">
        <f aca="false">IF(AND(Time!BE30=1,BE9&gt;0),BE13/(Inputs!$F$91*BE9),Inputs!$F$10)</f>
        <v>2302.14149222992</v>
      </c>
      <c r="BF18" s="19" t="n">
        <f aca="false">IF(AND(Time!BF30=1,BF9&gt;0),BF13/(Inputs!$F$91*BF9),Inputs!$F$10)</f>
        <v>2329.18142487792</v>
      </c>
      <c r="BG18" s="19" t="n">
        <f aca="false">IF(AND(Time!BG30=1,BG9&gt;0),BG13/(Inputs!$F$91*BG9),Inputs!$F$10)</f>
        <v>2410.94005762388</v>
      </c>
      <c r="BH18" s="19" t="n">
        <f aca="false">IF(AND(Time!BH30=1,BH9&gt;0),BH13/(Inputs!$F$91*BH9),Inputs!$F$10)</f>
        <v>2446.11350292872</v>
      </c>
      <c r="BI18" s="19" t="n">
        <f aca="false">IF(AND(Time!BI30=1,BI9&gt;0),BI13/(Inputs!$F$91*BI9),Inputs!$F$10)</f>
        <v>2529.30293870129</v>
      </c>
      <c r="BJ18" s="19" t="n">
        <f aca="false">IF(AND(Time!BJ30=1,BJ9&gt;0),BJ13/(Inputs!$F$91*BJ9),Inputs!$F$10)</f>
        <v>2559.03302372777</v>
      </c>
      <c r="BK18" s="19" t="n">
        <f aca="false">IF(AND(Time!BK30=1,BK9&gt;0),BK13/(Inputs!$F$91*BK9),Inputs!$F$10)</f>
        <v>2653.56557950675</v>
      </c>
      <c r="BL18" s="19" t="n">
        <f aca="false">IF(AND(Time!BL30=1,BL9&gt;0),BL13/(Inputs!$F$91*BL9),Inputs!$F$10)</f>
        <v>2684.78200522147</v>
      </c>
      <c r="BM18" s="19" t="n">
        <f aca="false">IF(AND(Time!BM30=1,BM9&gt;0),BM13/(Inputs!$F$91*BM9),Inputs!$F$10)</f>
        <v>2782.9444914444</v>
      </c>
      <c r="BN18" s="19" t="n">
        <f aca="false">IF(AND(Time!BN30=1,BN9&gt;0),BN13/(Inputs!$F$91*BN9),Inputs!$F$10)</f>
        <v>2815.6289449623</v>
      </c>
      <c r="BO18" s="19" t="n">
        <f aca="false">IF(AND(Time!BO30=1,BO9&gt;0),BO13/(Inputs!$F$91*BO9),Inputs!$F$10)</f>
        <v>2448.50744655339</v>
      </c>
      <c r="BP18" s="19" t="n">
        <f aca="false">IF(AND(Time!BP30=1,BP9&gt;0),BP13/(Inputs!$F$91*BP9),Inputs!$F$10)</f>
        <v>2488.5753856052</v>
      </c>
      <c r="BQ18" s="19" t="n">
        <f aca="false">IF(AND(Time!BQ30=1,BQ9&gt;0),BQ13/(Inputs!$F$91*BQ9),Inputs!$F$10)</f>
        <v>2590.70915570506</v>
      </c>
      <c r="BR18" s="19" t="n">
        <f aca="false">IF(AND(Time!BR30=1,BR9&gt;0),BR13/(Inputs!$F$91*BR9),Inputs!$F$10)</f>
        <v>2590.2763780061</v>
      </c>
      <c r="BS18" s="19" t="n">
        <f aca="false">IF(AND(Time!BS30=1,BS9&gt;0),BS13/(Inputs!$F$91*BS9),Inputs!$F$10)</f>
        <v>2703.50689845565</v>
      </c>
      <c r="BT18" s="19" t="n">
        <f aca="false">IF(AND(Time!BT30=1,BT9&gt;0),BT13/(Inputs!$F$91*BT9),Inputs!$F$10)</f>
        <v>2703.26173156143</v>
      </c>
      <c r="BU18" s="19" t="n">
        <f aca="false">IF(AND(Time!BU30=1,BU9&gt;0),BU13/(Inputs!$F$91*BU9),Inputs!$F$10)</f>
        <v>3290.53157952843</v>
      </c>
      <c r="BV18" s="19" t="n">
        <f aca="false">IF(AND(Time!BV30=1,BV9&gt;0),BV13/(Inputs!$F$91*BV9),Inputs!$F$10)</f>
        <v>3294.29840506734</v>
      </c>
      <c r="BW18" s="19" t="n">
        <f aca="false">IF(AND(Time!BW30=1,BW9&gt;0),BW13/(Inputs!$F$91*BW9),Inputs!$F$10)</f>
        <v>3411.74176110041</v>
      </c>
      <c r="BX18" s="19" t="n">
        <f aca="false">IF(AND(Time!BX30=1,BX9&gt;0),BX13/(Inputs!$F$91*BX9),Inputs!$F$10)</f>
        <v>3425.30063030007</v>
      </c>
      <c r="BY18" s="19" t="n">
        <f aca="false">IF(AND(Time!BY30=1,BY9&gt;0),BY13/(Inputs!$F$91*BY9),Inputs!$F$10)</f>
        <v>3537.29839368456</v>
      </c>
      <c r="BZ18" s="19" t="n">
        <f aca="false">IF(AND(Time!BZ30=1,BZ9&gt;0),BZ13/(Inputs!$F$91*BZ9),Inputs!$F$10)</f>
        <v>3541.46152447471</v>
      </c>
      <c r="CA18" s="19" t="n">
        <f aca="false">IF(AND(Time!CA30=1,CA9&gt;0),CA13/(Inputs!$F$91*CA9),Inputs!$F$10)</f>
        <v>3363.81091501577</v>
      </c>
      <c r="CB18" s="19" t="n">
        <f aca="false">IF(AND(Time!CB30=1,CB9&gt;0),CB13/(Inputs!$F$91*CB9),Inputs!$F$10)</f>
        <v>3365.71225577628</v>
      </c>
      <c r="CC18" s="19" t="n">
        <f aca="false">IF(AND(Time!CC30=1,CC9&gt;0),CC13/(Inputs!$F$91*CC9),Inputs!$F$10)</f>
        <v>3498.34901742702</v>
      </c>
      <c r="CD18" s="19" t="n">
        <f aca="false">IF(AND(Time!CD30=1,CD9&gt;0),CD13/(Inputs!$F$91*CD9),Inputs!$F$10)</f>
        <v>3500.4593680345</v>
      </c>
      <c r="CE18" s="19" t="n">
        <f aca="false">IF(AND(Time!CE30=1,CE9&gt;0),CE13/(Inputs!$F$91*CE9),Inputs!$F$10)</f>
        <v>3490.59448520536</v>
      </c>
      <c r="CF18" s="19" t="n">
        <f aca="false">IF(AND(Time!CF30=1,CF9&gt;0),CF13/(Inputs!$F$91*CF9),Inputs!$F$10)</f>
        <v>3083.05631206329</v>
      </c>
      <c r="CG18" s="19" t="n">
        <f aca="false">IF(AND(Time!CG30=1,CG9&gt;0),CG13/(Inputs!$F$91*CG9),Inputs!$F$10)</f>
        <v>3267.26204367556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882.130169013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882.130169013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4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1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464.134316116232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882.130169013</v>
      </c>
      <c r="AF31" s="19" t="n">
        <f aca="false">IF(Time!AF21=1,$F$26,AE36)</f>
        <v>882.130169013</v>
      </c>
      <c r="AG31" s="19" t="n">
        <f aca="false">IF(Time!AG21=1,$F$26,AF36)</f>
        <v>882.130169013</v>
      </c>
      <c r="AH31" s="19" t="n">
        <f aca="false">IF(Time!AH21=1,$F$26,AG36)</f>
        <v>882.130169013</v>
      </c>
      <c r="AI31" s="19" t="n">
        <f aca="false">IF(Time!AI21=1,$F$26,AH36)</f>
        <v>882.130169013</v>
      </c>
      <c r="AJ31" s="19" t="n">
        <f aca="false">IF(Time!AJ21=1,$F$26,AI36)</f>
        <v>882.130169013</v>
      </c>
      <c r="AK31" s="19" t="n">
        <f aca="false">IF(Time!AK21=1,$F$26,AJ36)</f>
        <v>882.130169013</v>
      </c>
      <c r="AL31" s="19" t="n">
        <f aca="false">IF(Time!AL21=1,$F$26,AK36)</f>
        <v>882.130169013</v>
      </c>
      <c r="AM31" s="19" t="n">
        <f aca="false">IF(Time!AM21=1,$F$26,AL36)</f>
        <v>882.130169013</v>
      </c>
      <c r="AN31" s="19" t="n">
        <f aca="false">IF(Time!AN21=1,$F$26,AM36)</f>
        <v>882.130169013</v>
      </c>
      <c r="AO31" s="19" t="n">
        <f aca="false">IF(Time!AO21=1,$F$26,AN36)</f>
        <v>882.130169013</v>
      </c>
      <c r="AP31" s="19" t="n">
        <f aca="false">IF(Time!AP21=1,$F$26,AO36)</f>
        <v>882.130169013</v>
      </c>
      <c r="AQ31" s="19" t="n">
        <f aca="false">IF(Time!AQ21=1,$F$26,AP36)</f>
        <v>882.130169013</v>
      </c>
      <c r="AR31" s="19" t="n">
        <f aca="false">IF(Time!AR21=1,$F$26,AQ36)</f>
        <v>882.130169013</v>
      </c>
      <c r="AS31" s="19" t="n">
        <f aca="false">IF(Time!AS21=1,$F$26,AR36)</f>
        <v>882.130169013</v>
      </c>
      <c r="AT31" s="19" t="n">
        <f aca="false">IF(Time!AT21=1,$F$26,AS36)</f>
        <v>882.130169013</v>
      </c>
      <c r="AU31" s="19" t="n">
        <f aca="false">IF(Time!AU21=1,$F$26,AT36)</f>
        <v>882.130169013</v>
      </c>
      <c r="AV31" s="19" t="n">
        <f aca="false">IF(Time!AV21=1,$F$26,AU36)</f>
        <v>882.130169013</v>
      </c>
      <c r="AW31" s="19" t="n">
        <f aca="false">IF(Time!AW21=1,$F$26,AV36)</f>
        <v>882.121627576314</v>
      </c>
      <c r="AX31" s="19" t="n">
        <f aca="false">IF(Time!AX21=1,$F$26,AW36)</f>
        <v>880.302762115662</v>
      </c>
      <c r="AY31" s="19" t="n">
        <f aca="false">IF(Time!AY21=1,$F$26,AX36)</f>
        <v>878.14895932998</v>
      </c>
      <c r="AZ31" s="19" t="n">
        <f aca="false">IF(Time!AZ21=1,$F$26,AY36)</f>
        <v>876.30118606427</v>
      </c>
      <c r="BA31" s="19" t="n">
        <f aca="false">IF(Time!BA21=1,$F$26,AZ36)</f>
        <v>874.010852016748</v>
      </c>
      <c r="BB31" s="19" t="n">
        <f aca="false">IF(Time!BB21=1,$F$26,BA36)</f>
        <v>870.599163609161</v>
      </c>
      <c r="BC31" s="19" t="n">
        <f aca="false">IF(Time!BC21=1,$F$26,BB36)</f>
        <v>866.802307458268</v>
      </c>
      <c r="BD31" s="19" t="n">
        <f aca="false">IF(Time!BD21=1,$F$26,BC36)</f>
        <v>858.557301123308</v>
      </c>
      <c r="BE31" s="19" t="n">
        <f aca="false">IF(Time!BE21=1,$F$26,BD36)</f>
        <v>849.796382488475</v>
      </c>
      <c r="BF31" s="19" t="n">
        <f aca="false">IF(Time!BF21=1,$F$26,BE36)</f>
        <v>838.024562274668</v>
      </c>
      <c r="BG31" s="19" t="n">
        <f aca="false">IF(Time!BG21=1,$F$26,BF36)</f>
        <v>825.6420385853</v>
      </c>
      <c r="BH31" s="19" t="n">
        <f aca="false">IF(Time!BH21=1,$F$26,BG36)</f>
        <v>811.595918928112</v>
      </c>
      <c r="BI31" s="19" t="n">
        <f aca="false">IF(Time!BI21=1,$F$26,BH36)</f>
        <v>796.736838999492</v>
      </c>
      <c r="BJ31" s="19" t="n">
        <f aca="false">IF(Time!BJ21=1,$F$26,BI36)</f>
        <v>780.169235639731</v>
      </c>
      <c r="BK31" s="19" t="n">
        <f aca="false">IF(Time!BK21=1,$F$26,BJ36)</f>
        <v>762.863397819546</v>
      </c>
      <c r="BL31" s="19" t="n">
        <f aca="false">IF(Time!BL21=1,$F$26,BK36)</f>
        <v>743.555568811125</v>
      </c>
      <c r="BM31" s="19" t="n">
        <f aca="false">IF(Time!BM21=1,$F$26,BL36)</f>
        <v>723.437977791896</v>
      </c>
      <c r="BN31" s="19" t="n">
        <f aca="false">IF(Time!BN21=1,$F$26,BM36)</f>
        <v>701.167424415122</v>
      </c>
      <c r="BO31" s="19" t="n">
        <f aca="false">IF(Time!BO21=1,$F$26,BN36)</f>
        <v>678.011822584139</v>
      </c>
      <c r="BP31" s="19" t="n">
        <f aca="false">IF(Time!BP21=1,$F$26,BO36)</f>
        <v>659.512752265702</v>
      </c>
      <c r="BQ31" s="19" t="n">
        <f aca="false">IF(Time!BQ21=1,$F$26,BP36)</f>
        <v>640.035466165061</v>
      </c>
      <c r="BR31" s="19" t="n">
        <f aca="false">IF(Time!BR21=1,$F$26,BQ36)</f>
        <v>618.421347147161</v>
      </c>
      <c r="BS31" s="19" t="n">
        <f aca="false">IF(Time!BS21=1,$F$26,BR36)</f>
        <v>596.422235590151</v>
      </c>
      <c r="BT31" s="19" t="n">
        <f aca="false">IF(Time!BT21=1,$F$26,BS36)</f>
        <v>571.981315839742</v>
      </c>
      <c r="BU31" s="19" t="n">
        <f aca="false">IF(Time!BU21=1,$F$26,BT36)</f>
        <v>547.101452494364</v>
      </c>
      <c r="BV31" s="19" t="n">
        <f aca="false">IF(Time!BV21=1,$F$26,BU36)</f>
        <v>512.635932425048</v>
      </c>
      <c r="BW31" s="19" t="n">
        <f aca="false">IF(Time!BW21=1,$F$26,BV36)</f>
        <v>477.490811552237</v>
      </c>
      <c r="BX31" s="19" t="n">
        <f aca="false">IF(Time!BX21=1,$F$26,BW36)</f>
        <v>439.387631697739</v>
      </c>
      <c r="BY31" s="19" t="n">
        <f aca="false">IF(Time!BY21=1,$F$26,BX36)</f>
        <v>400.28901066637</v>
      </c>
      <c r="BZ31" s="19" t="n">
        <f aca="false">IF(Time!BZ21=1,$F$26,BY36)</f>
        <v>358.283315861183</v>
      </c>
      <c r="CA31" s="19" t="n">
        <f aca="false">IF(Time!CA21=1,$F$26,BZ36)</f>
        <v>315.455646725574</v>
      </c>
      <c r="CB31" s="19" t="n">
        <f aca="false">IF(Time!CB21=1,$F$26,CA36)</f>
        <v>273.790036851132</v>
      </c>
      <c r="CC31" s="19" t="n">
        <f aca="false">IF(Time!CC21=1,$F$26,CB36)</f>
        <v>231.341950912639</v>
      </c>
      <c r="CD31" s="19" t="n">
        <f aca="false">IF(Time!CD21=1,$F$26,CC36)</f>
        <v>185.45801236504</v>
      </c>
      <c r="CE31" s="19" t="n">
        <f aca="false">IF(Time!CE21=1,$F$26,CD36)</f>
        <v>138.712134536013</v>
      </c>
      <c r="CF31" s="19" t="n">
        <f aca="false">IF(Time!CF21=1,$F$26,CE36)</f>
        <v>90.4997335695622</v>
      </c>
      <c r="CG31" s="19" t="n">
        <f aca="false">IF(Time!CG21=1,$F$26,CF36)</f>
        <v>47.3050216277462</v>
      </c>
      <c r="CH31" s="19" t="n">
        <f aca="false">IF(Time!CH21=1,$F$26,CG36)</f>
        <v>3.06954461848363E-012</v>
      </c>
      <c r="CI31" s="19" t="n">
        <f aca="false">IF(Time!CI21=1,$F$26,CH36)</f>
        <v>3.06954461848363E-012</v>
      </c>
      <c r="CJ31" s="19" t="n">
        <f aca="false">IF(Time!CJ21=1,$F$26,CI36)</f>
        <v>3.06954461848363E-012</v>
      </c>
      <c r="CK31" s="19" t="n">
        <f aca="false">IF(Time!CK21=1,$F$26,CJ36)</f>
        <v>3.06954461848363E-012</v>
      </c>
      <c r="CL31" s="19" t="n">
        <f aca="false">IF(Time!CL21=1,$F$26,CK36)</f>
        <v>3.06954461848363E-012</v>
      </c>
      <c r="CM31" s="19" t="n">
        <f aca="false">IF(Time!CM21=1,$F$26,CL36)</f>
        <v>3.06954461848363E-012</v>
      </c>
      <c r="CN31" s="19" t="n">
        <f aca="false">IF(Time!CN21=1,$F$26,CM36)</f>
        <v>3.06954461848363E-012</v>
      </c>
      <c r="CO31" s="19" t="n">
        <f aca="false">IF(Time!CO21=1,$F$26,CN36)</f>
        <v>3.06954461848363E-012</v>
      </c>
      <c r="CP31" s="19" t="n">
        <f aca="false">IF(Time!CP21=1,$F$26,CO36)</f>
        <v>3.06954461848363E-012</v>
      </c>
      <c r="CQ31" s="19" t="n">
        <f aca="false">IF(Time!CQ21=1,$F$26,CP36)</f>
        <v>3.06954461848363E-012</v>
      </c>
      <c r="CR31" s="19" t="n">
        <f aca="false">IF(Time!CR21=1,$F$26,CQ36)</f>
        <v>3.06954461848363E-012</v>
      </c>
      <c r="CS31" s="19" t="n">
        <f aca="false">IF(Time!CS21=1,$F$26,CR36)</f>
        <v>3.06954461848363E-012</v>
      </c>
      <c r="CT31" s="19" t="n">
        <f aca="false">IF(Time!CT21=1,$F$26,CS36)</f>
        <v>3.06954461848363E-012</v>
      </c>
      <c r="CU31" s="19" t="n">
        <f aca="false">IF(Time!CU21=1,$F$26,CT36)</f>
        <v>3.06954461848363E-012</v>
      </c>
      <c r="CV31" s="19" t="n">
        <f aca="false">IF(Time!CV21=1,$F$26,CU36)</f>
        <v>3.06954461848363E-012</v>
      </c>
      <c r="CW31" s="19" t="n">
        <f aca="false">IF(Time!CW21=1,$F$26,CV36)</f>
        <v>3.06954461848363E-012</v>
      </c>
      <c r="CX31" s="19" t="n">
        <f aca="false">IF(Time!CX21=1,$F$26,CW36)</f>
        <v>3.06954461848363E-012</v>
      </c>
      <c r="CY31" s="19" t="n">
        <f aca="false">IF(Time!CY21=1,$F$26,CX36)</f>
        <v>3.06954461848363E-012</v>
      </c>
      <c r="CZ31" s="19" t="n">
        <f aca="false">IF(Time!CZ21=1,$F$26,CY36)</f>
        <v>3.06954461848363E-012</v>
      </c>
      <c r="DA31" s="19" t="n">
        <f aca="false">IF(Time!DA21=1,$F$26,CZ36)</f>
        <v>3.06954461848363E-012</v>
      </c>
      <c r="DB31" s="19" t="n">
        <f aca="false">IF(Time!DB21=1,$F$26,DA36)</f>
        <v>3.06954461848363E-012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1117.75048922056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23.9321371074356</v>
      </c>
      <c r="AF32" s="19" t="n">
        <f aca="false">AF31*AF9</f>
        <v>23.6043472038103</v>
      </c>
      <c r="AG32" s="19" t="n">
        <f aca="false">AG31*AG9</f>
        <v>23.2317499211891</v>
      </c>
      <c r="AH32" s="19" t="n">
        <f aca="false">AH31*AH9</f>
        <v>23.0447987452329</v>
      </c>
      <c r="AI32" s="19" t="n">
        <f aca="false">AI31*AI9</f>
        <v>23.2317499211891</v>
      </c>
      <c r="AJ32" s="19" t="n">
        <f aca="false">AJ31*AJ9</f>
        <v>23.107115803885</v>
      </c>
      <c r="AK32" s="19" t="n">
        <f aca="false">AK31*AK9</f>
        <v>23.2317499211891</v>
      </c>
      <c r="AL32" s="19" t="n">
        <f aca="false">AL31*AL9</f>
        <v>23.0447987452329</v>
      </c>
      <c r="AM32" s="19" t="n">
        <f aca="false">AM31*AM9</f>
        <v>23.2317499211891</v>
      </c>
      <c r="AN32" s="19" t="n">
        <f aca="false">AN31*AN9</f>
        <v>23.0447987452329</v>
      </c>
      <c r="AO32" s="19" t="n">
        <f aca="false">AO31*AO9</f>
        <v>23.2317499211891</v>
      </c>
      <c r="AP32" s="19" t="n">
        <f aca="false">AP31*AP9</f>
        <v>23.0447987452329</v>
      </c>
      <c r="AQ32" s="19" t="n">
        <f aca="false">AQ31*AQ9</f>
        <v>23.2317499211891</v>
      </c>
      <c r="AR32" s="19" t="n">
        <f aca="false">AR31*AR9</f>
        <v>23.107115803885</v>
      </c>
      <c r="AS32" s="19" t="n">
        <f aca="false">AS31*AS9</f>
        <v>23.2317499211891</v>
      </c>
      <c r="AT32" s="19" t="n">
        <f aca="false">AT31*AT9</f>
        <v>23.0447987452329</v>
      </c>
      <c r="AU32" s="19" t="n">
        <f aca="false">AU31*AU9</f>
        <v>23.2317499211891</v>
      </c>
      <c r="AV32" s="19" t="n">
        <f aca="false">AV31*AV9</f>
        <v>23.0447987452329</v>
      </c>
      <c r="AW32" s="19" t="n">
        <f aca="false">AW31*AW9</f>
        <v>23.231524974205</v>
      </c>
      <c r="AX32" s="19" t="n">
        <f aca="false">AX31*AX9</f>
        <v>22.9970595048644</v>
      </c>
      <c r="AY32" s="19" t="n">
        <f aca="false">AY31*AY9</f>
        <v>23.1269009193199</v>
      </c>
      <c r="AZ32" s="19" t="n">
        <f aca="false">AZ31*AZ9</f>
        <v>22.9544274719964</v>
      </c>
      <c r="BA32" s="19" t="n">
        <f aca="false">BA31*BA9</f>
        <v>23.0179198668346</v>
      </c>
      <c r="BB32" s="19" t="n">
        <f aca="false">BB31*BB9</f>
        <v>22.7435623651656</v>
      </c>
      <c r="BC32" s="19" t="n">
        <f aca="false">BC31*BC9</f>
        <v>22.8280758842104</v>
      </c>
      <c r="BD32" s="19" t="n">
        <f aca="false">BD31*BD9</f>
        <v>22.4289803371926</v>
      </c>
      <c r="BE32" s="19" t="n">
        <f aca="false">BE31*BE9</f>
        <v>22.3802084266006</v>
      </c>
      <c r="BF32" s="19" t="n">
        <f aca="false">BF31*BF9</f>
        <v>21.8925823643347</v>
      </c>
      <c r="BG32" s="19" t="n">
        <f aca="false">BG31*BG9</f>
        <v>21.7815397189592</v>
      </c>
      <c r="BH32" s="19" t="n">
        <f aca="false">BH31*BH9</f>
        <v>21.2959155857235</v>
      </c>
      <c r="BI32" s="19" t="n">
        <f aca="false">BI31*BI9</f>
        <v>21.0189819476258</v>
      </c>
      <c r="BJ32" s="19" t="n">
        <f aca="false">BJ31*BJ9</f>
        <v>20.4159868898359</v>
      </c>
      <c r="BK32" s="19" t="n">
        <f aca="false">BK31*BK9</f>
        <v>20.125355327374</v>
      </c>
      <c r="BL32" s="19" t="n">
        <f aca="false">BL31*BL9</f>
        <v>19.4578561307466</v>
      </c>
      <c r="BM32" s="19" t="n">
        <f aca="false">BM31*BM9</f>
        <v>19.0852600898055</v>
      </c>
      <c r="BN32" s="19" t="n">
        <f aca="false">BN31*BN9</f>
        <v>18.3486150062057</v>
      </c>
      <c r="BO32" s="19" t="n">
        <f aca="false">BO31*BO9</f>
        <v>17.8868574435052</v>
      </c>
      <c r="BP32" s="19" t="n">
        <f aca="false">BP31*BP9</f>
        <v>17.3053210007609</v>
      </c>
      <c r="BQ32" s="19" t="n">
        <f aca="false">BQ31*BQ9</f>
        <v>16.884990439324</v>
      </c>
      <c r="BR32" s="19" t="n">
        <f aca="false">BR31*BR9</f>
        <v>16.1832606811241</v>
      </c>
      <c r="BS32" s="19" t="n">
        <f aca="false">BS31*BS9</f>
        <v>15.7344151662102</v>
      </c>
      <c r="BT32" s="19" t="n">
        <f aca="false">BT31*BT9</f>
        <v>14.9679870878782</v>
      </c>
      <c r="BU32" s="19" t="n">
        <f aca="false">BU31*BU9</f>
        <v>14.4332670344947</v>
      </c>
      <c r="BV32" s="19" t="n">
        <f aca="false">BV31*BV9</f>
        <v>13.4149976665853</v>
      </c>
      <c r="BW32" s="19" t="n">
        <f aca="false">BW31*BW9</f>
        <v>12.5968453533251</v>
      </c>
      <c r="BX32" s="19" t="n">
        <f aca="false">BX31*BX9</f>
        <v>11.5293358379674</v>
      </c>
      <c r="BY32" s="19" t="n">
        <f aca="false">BY31*BY9</f>
        <v>10.5601587339616</v>
      </c>
      <c r="BZ32" s="19" t="n">
        <f aca="false">BZ31*BZ9</f>
        <v>9.3757958470009</v>
      </c>
      <c r="CA32" s="19" t="n">
        <f aca="false">CA31*CA9</f>
        <v>8.32214128836797</v>
      </c>
      <c r="CB32" s="19" t="n">
        <f aca="false">CB31*CB9</f>
        <v>7.16471958592026</v>
      </c>
      <c r="CC32" s="19" t="n">
        <f aca="false">CC31*CC9</f>
        <v>6.10310964918793</v>
      </c>
      <c r="CD32" s="19" t="n">
        <f aca="false">CD31*CD9</f>
        <v>4.85318848282317</v>
      </c>
      <c r="CE32" s="19" t="n">
        <f aca="false">CE31*CE9</f>
        <v>3.65941137526711</v>
      </c>
      <c r="CF32" s="19" t="n">
        <f aca="false">CF31*CF9</f>
        <v>2.37467271788804</v>
      </c>
      <c r="CG32" s="19" t="n">
        <f aca="false">CG31*CG9</f>
        <v>1.24796965190445</v>
      </c>
      <c r="CH32" s="19" t="n">
        <f aca="false">CH31*CH9</f>
        <v>8.0325882931466E-014</v>
      </c>
      <c r="CI32" s="19" t="n">
        <f aca="false">CI31*CI9</f>
        <v>8.0978686769849E-014</v>
      </c>
      <c r="CJ32" s="19" t="n">
        <f aca="false">CJ31*CJ9</f>
        <v>8.0325882931466E-014</v>
      </c>
      <c r="CK32" s="19" t="n">
        <f aca="false">CK31*CK9</f>
        <v>8.0978686769849E-014</v>
      </c>
      <c r="CL32" s="19" t="n">
        <f aca="false">CL31*CL9</f>
        <v>8.0325882931466E-014</v>
      </c>
      <c r="CM32" s="19" t="n">
        <f aca="false">CM31*CM9</f>
        <v>8.0978686769849E-014</v>
      </c>
      <c r="CN32" s="19" t="n">
        <f aca="false">CN31*CN9</f>
        <v>8.0543484210927E-014</v>
      </c>
      <c r="CO32" s="19" t="n">
        <f aca="false">CO31*CO9</f>
        <v>8.0978686769849E-014</v>
      </c>
      <c r="CP32" s="19" t="n">
        <f aca="false">CP31*CP9</f>
        <v>8.0325882931466E-014</v>
      </c>
      <c r="CQ32" s="19" t="n">
        <f aca="false">CQ31*CQ9</f>
        <v>8.0978686769849E-014</v>
      </c>
      <c r="CR32" s="19" t="n">
        <f aca="false">CR31*CR9</f>
        <v>8.0325882931466E-014</v>
      </c>
      <c r="CS32" s="19" t="n">
        <f aca="false">CS31*CS9</f>
        <v>8.0978686769849E-014</v>
      </c>
      <c r="CT32" s="19" t="n">
        <f aca="false">CT31*CT9</f>
        <v>8.0325882931466E-014</v>
      </c>
      <c r="CU32" s="19" t="n">
        <f aca="false">CU31*CU9</f>
        <v>8.0978686769849E-014</v>
      </c>
      <c r="CV32" s="19" t="n">
        <f aca="false">CV31*CV9</f>
        <v>8.0543484210927E-014</v>
      </c>
      <c r="CW32" s="19" t="n">
        <f aca="false">CW31*CW9</f>
        <v>8.0978686769849E-014</v>
      </c>
      <c r="CX32" s="19" t="n">
        <f aca="false">CX31*CX9</f>
        <v>8.0325882931466E-014</v>
      </c>
      <c r="CY32" s="19" t="n">
        <f aca="false">CY31*CY9</f>
        <v>8.0978686769849E-014</v>
      </c>
      <c r="CZ32" s="19" t="n">
        <f aca="false">CZ31*CZ9</f>
        <v>8.0325882931466E-014</v>
      </c>
      <c r="DA32" s="19" t="n">
        <f aca="false">DA31*DA9</f>
        <v>8.0978686769849E-014</v>
      </c>
      <c r="DB32" s="19" t="n">
        <f aca="false">DB31*DB9</f>
        <v>8.0325882931466E-014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1</v>
      </c>
      <c r="AI33" s="14" t="n">
        <f aca="false">IF(AND(Time!AI30=1,AI32&gt;AI13/$F$37),1,0)</f>
        <v>1</v>
      </c>
      <c r="AJ33" s="14" t="n">
        <f aca="false">IF(AND(Time!AJ30=1,AJ32&gt;AJ13/$F$37),1,0)</f>
        <v>1</v>
      </c>
      <c r="AK33" s="14" t="n">
        <f aca="false">IF(AND(Time!AK30=1,AK32&gt;AK13/$F$37),1,0)</f>
        <v>1</v>
      </c>
      <c r="AL33" s="14" t="n">
        <f aca="false">IF(AND(Time!AL30=1,AL32&gt;AL13/$F$37),1,0)</f>
        <v>1</v>
      </c>
      <c r="AM33" s="14" t="n">
        <f aca="false">IF(AND(Time!AM30=1,AM32&gt;AM13/$F$37),1,0)</f>
        <v>1</v>
      </c>
      <c r="AN33" s="14" t="n">
        <f aca="false">IF(AND(Time!AN30=1,AN32&gt;AN13/$F$37),1,0)</f>
        <v>1</v>
      </c>
      <c r="AO33" s="14" t="n">
        <f aca="false">IF(AND(Time!AO30=1,AO32&gt;AO13/$F$37),1,0)</f>
        <v>1</v>
      </c>
      <c r="AP33" s="14" t="n">
        <f aca="false">IF(AND(Time!AP30=1,AP32&gt;AP13/$F$37),1,0)</f>
        <v>1</v>
      </c>
      <c r="AQ33" s="14" t="n">
        <f aca="false">IF(AND(Time!AQ30=1,AQ32&gt;AQ13/$F$37),1,0)</f>
        <v>1</v>
      </c>
      <c r="AR33" s="14" t="n">
        <f aca="false">IF(AND(Time!AR30=1,AR32&gt;AR13/$F$37),1,0)</f>
        <v>1</v>
      </c>
      <c r="AS33" s="14" t="n">
        <f aca="false">IF(AND(Time!AS30=1,AS32&gt;AS13/$F$37),1,0)</f>
        <v>1</v>
      </c>
      <c r="AT33" s="14" t="n">
        <f aca="false">IF(AND(Time!AT30=1,AT32&gt;AT13/$F$37),1,0)</f>
        <v>1</v>
      </c>
      <c r="AU33" s="14" t="n">
        <f aca="false">IF(AND(Time!AU30=1,AU32&gt;AU13/$F$37),1,0)</f>
        <v>1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1917.46664120213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23.7337665751819</v>
      </c>
      <c r="AE34" s="19" t="n">
        <f aca="false">IF(Time!AE30=1,MAX(AE32,AE13/$F$37),0)</f>
        <v>23.9321371074356</v>
      </c>
      <c r="AF34" s="19" t="n">
        <f aca="false">IF(Time!AF30=1,MAX(AF32,AF13/$F$37),0)</f>
        <v>23.6043472038103</v>
      </c>
      <c r="AG34" s="19" t="n">
        <f aca="false">IF(Time!AG30=1,MAX(AG32,AG13/$F$37),0)</f>
        <v>23.2317499211891</v>
      </c>
      <c r="AH34" s="19" t="n">
        <f aca="false">IF(Time!AH30=1,MAX(AH32,AH13/$F$37),0)</f>
        <v>23.0447987452329</v>
      </c>
      <c r="AI34" s="19" t="n">
        <f aca="false">IF(Time!AI30=1,MAX(AI32,AI13/$F$37),0)</f>
        <v>23.2317499211891</v>
      </c>
      <c r="AJ34" s="19" t="n">
        <f aca="false">IF(Time!AJ30=1,MAX(AJ32,AJ13/$F$37),0)</f>
        <v>23.107115803885</v>
      </c>
      <c r="AK34" s="19" t="n">
        <f aca="false">IF(Time!AK30=1,MAX(AK32,AK13/$F$37),0)</f>
        <v>23.2317499211891</v>
      </c>
      <c r="AL34" s="19" t="n">
        <f aca="false">IF(Time!AL30=1,MAX(AL32,AL13/$F$37),0)</f>
        <v>23.0447987452329</v>
      </c>
      <c r="AM34" s="19" t="n">
        <f aca="false">IF(Time!AM30=1,MAX(AM32,AM13/$F$37),0)</f>
        <v>23.2317499211891</v>
      </c>
      <c r="AN34" s="19" t="n">
        <f aca="false">IF(Time!AN30=1,MAX(AN32,AN13/$F$37),0)</f>
        <v>23.0447987452329</v>
      </c>
      <c r="AO34" s="19" t="n">
        <f aca="false">IF(Time!AO30=1,MAX(AO32,AO13/$F$37),0)</f>
        <v>23.2317499211891</v>
      </c>
      <c r="AP34" s="19" t="n">
        <f aca="false">IF(Time!AP30=1,MAX(AP32,AP13/$F$37),0)</f>
        <v>23.0447987452329</v>
      </c>
      <c r="AQ34" s="19" t="n">
        <f aca="false">IF(Time!AQ30=1,MAX(AQ32,AQ13/$F$37),0)</f>
        <v>23.2317499211891</v>
      </c>
      <c r="AR34" s="19" t="n">
        <f aca="false">IF(Time!AR30=1,MAX(AR32,AR13/$F$37),0)</f>
        <v>23.107115803885</v>
      </c>
      <c r="AS34" s="19" t="n">
        <f aca="false">IF(Time!AS30=1,MAX(AS32,AS13/$F$37),0)</f>
        <v>23.2317499211891</v>
      </c>
      <c r="AT34" s="19" t="n">
        <f aca="false">IF(Time!AT30=1,MAX(AT32,AT13/$F$37),0)</f>
        <v>23.0447987452329</v>
      </c>
      <c r="AU34" s="19" t="n">
        <f aca="false">IF(Time!AU30=1,MAX(AU32,AU13/$F$37),0)</f>
        <v>23.2317499211891</v>
      </c>
      <c r="AV34" s="19" t="n">
        <f aca="false">IF(Time!AV30=1,MAX(AV32,AV13/$F$37),0)</f>
        <v>23.053340181932</v>
      </c>
      <c r="AW34" s="19" t="n">
        <f aca="false">IF(Time!AW30=1,MAX(AW32,AW13/$F$37),0)</f>
        <v>25.0503904348722</v>
      </c>
      <c r="AX34" s="19" t="n">
        <f aca="false">IF(Time!AX30=1,MAX(AX32,AX13/$F$37),0)</f>
        <v>25.1508622905611</v>
      </c>
      <c r="AY34" s="19" t="n">
        <f aca="false">IF(Time!AY30=1,MAX(AY32,AY13/$F$37),0)</f>
        <v>24.9746741850447</v>
      </c>
      <c r="AZ34" s="19" t="n">
        <f aca="false">IF(Time!AZ30=1,MAX(AZ32,AZ13/$F$37),0)</f>
        <v>25.2447615195326</v>
      </c>
      <c r="BA34" s="19" t="n">
        <f aca="false">IF(Time!BA30=1,MAX(BA32,BA13/$F$37),0)</f>
        <v>26.4296082744367</v>
      </c>
      <c r="BB34" s="19" t="n">
        <f aca="false">IF(Time!BB30=1,MAX(BB32,BB13/$F$37),0)</f>
        <v>26.5404185160749</v>
      </c>
      <c r="BC34" s="19" t="n">
        <f aca="false">IF(Time!BC30=1,MAX(BC32,BC13/$F$37),0)</f>
        <v>31.0730822191881</v>
      </c>
      <c r="BD34" s="19" t="n">
        <f aca="false">IF(Time!BD30=1,MAX(BD32,BD13/$F$37),0)</f>
        <v>31.1898989720437</v>
      </c>
      <c r="BE34" s="19" t="n">
        <f aca="false">IF(Time!BE30=1,MAX(BE32,BE13/$F$37),0)</f>
        <v>34.1520286404276</v>
      </c>
      <c r="BF34" s="19" t="n">
        <f aca="false">IF(Time!BF30=1,MAX(BF32,BF13/$F$37),0)</f>
        <v>34.2751060537223</v>
      </c>
      <c r="BG34" s="19" t="n">
        <f aca="false">IF(Time!BG30=1,MAX(BG32,BG13/$F$37),0)</f>
        <v>35.8276593761682</v>
      </c>
      <c r="BH34" s="19" t="n">
        <f aca="false">IF(Time!BH30=1,MAX(BH32,BH13/$F$37),0)</f>
        <v>36.1549955143643</v>
      </c>
      <c r="BI34" s="19" t="n">
        <f aca="false">IF(Time!BI30=1,MAX(BI32,BI13/$F$37),0)</f>
        <v>37.5865853074097</v>
      </c>
      <c r="BJ34" s="19" t="n">
        <f aca="false">IF(Time!BJ30=1,MAX(BJ32,BJ13/$F$37),0)</f>
        <v>37.721824710042</v>
      </c>
      <c r="BK34" s="19" t="n">
        <f aca="false">IF(Time!BK30=1,MAX(BK32,BK13/$F$37),0)</f>
        <v>39.4331843358189</v>
      </c>
      <c r="BL34" s="19" t="n">
        <f aca="false">IF(Time!BL30=1,MAX(BL32,BL13/$F$37),0)</f>
        <v>39.5754471499985</v>
      </c>
      <c r="BM34" s="19" t="n">
        <f aca="false">IF(Time!BM30=1,MAX(BM32,BM13/$F$37),0)</f>
        <v>41.3558134666028</v>
      </c>
      <c r="BN34" s="19" t="n">
        <f aca="false">IF(Time!BN30=1,MAX(BN32,BN13/$F$37),0)</f>
        <v>41.5042168372138</v>
      </c>
      <c r="BO34" s="19" t="n">
        <f aca="false">IF(Time!BO30=1,MAX(BO32,BO13/$F$37),0)</f>
        <v>36.3859277619634</v>
      </c>
      <c r="BP34" s="19" t="n">
        <f aca="false">IF(Time!BP30=1,MAX(BP32,BP13/$F$37),0)</f>
        <v>36.7826071014232</v>
      </c>
      <c r="BQ34" s="19" t="n">
        <f aca="false">IF(Time!BQ30=1,MAX(BQ32,BQ13/$F$37),0)</f>
        <v>38.4991094572462</v>
      </c>
      <c r="BR34" s="19" t="n">
        <f aca="false">IF(Time!BR30=1,MAX(BR32,BR13/$F$37),0)</f>
        <v>38.1823722381564</v>
      </c>
      <c r="BS34" s="19" t="n">
        <f aca="false">IF(Time!BS30=1,MAX(BS32,BS13/$F$37),0)</f>
        <v>40.1753349166431</v>
      </c>
      <c r="BT34" s="19" t="n">
        <f aca="false">IF(Time!BT30=1,MAX(BT32,BT13/$F$37),0)</f>
        <v>39.8478504332786</v>
      </c>
      <c r="BU34" s="19" t="n">
        <f aca="false">IF(Time!BU30=1,MAX(BU32,BU13/$F$37),0)</f>
        <v>48.8987871038398</v>
      </c>
      <c r="BV34" s="19" t="n">
        <f aca="false">IF(Time!BV30=1,MAX(BV32,BV13/$F$37),0)</f>
        <v>48.5601185394239</v>
      </c>
      <c r="BW34" s="19" t="n">
        <f aca="false">IF(Time!BW30=1,MAX(BW32,BW13/$F$37),0)</f>
        <v>50.7000252078533</v>
      </c>
      <c r="BX34" s="19" t="n">
        <f aca="false">IF(Time!BX30=1,MAX(BX32,BX13/$F$37),0)</f>
        <v>50.6279568693656</v>
      </c>
      <c r="BY34" s="19" t="n">
        <f aca="false">IF(Time!BY30=1,MAX(BY32,BY13/$F$37),0)</f>
        <v>52.5658535391794</v>
      </c>
      <c r="BZ34" s="19" t="n">
        <f aca="false">IF(Time!BZ30=1,MAX(BZ32,BZ13/$F$37),0)</f>
        <v>52.2034649826405</v>
      </c>
      <c r="CA34" s="19" t="n">
        <f aca="false">IF(Time!CA30=1,MAX(CA32,CA13/$F$37),0)</f>
        <v>49.9877511628385</v>
      </c>
      <c r="CB34" s="19" t="n">
        <f aca="false">IF(Time!CB30=1,MAX(CB32,CB13/$F$37),0)</f>
        <v>49.6128055244428</v>
      </c>
      <c r="CC34" s="19" t="n">
        <f aca="false">IF(Time!CC30=1,MAX(CC32,CC13/$F$37),0)</f>
        <v>51.9870481968164</v>
      </c>
      <c r="CD34" s="19" t="n">
        <f aca="false">IF(Time!CD30=1,MAX(CD32,CD13/$F$37),0)</f>
        <v>51.5990663118806</v>
      </c>
      <c r="CE34" s="19" t="n">
        <f aca="false">IF(Time!CE30=1,MAX(CE32,CE13/$F$37),0)</f>
        <v>51.871812341748</v>
      </c>
      <c r="CF34" s="19" t="n">
        <f aca="false">IF(Time!CF30=1,MAX(CF32,CF13/$F$37),0)</f>
        <v>45.5693846584472</v>
      </c>
      <c r="CG34" s="19" t="n">
        <f aca="false">IF(Time!CG30=1,MAX(CG32,CG13/$F$37),0)</f>
        <v>48.5529912796169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882.130169011655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0</v>
      </c>
      <c r="AI35" s="19" t="n">
        <f aca="false">IF(Time!AI30=1,AI34-AI32,0)</f>
        <v>0</v>
      </c>
      <c r="AJ35" s="19" t="n">
        <f aca="false">IF(Time!AJ30=1,AJ34-AJ32,0)</f>
        <v>0</v>
      </c>
      <c r="AK35" s="19" t="n">
        <f aca="false">IF(Time!AK30=1,AK34-AK32,0)</f>
        <v>0</v>
      </c>
      <c r="AL35" s="19" t="n">
        <f aca="false">IF(Time!AL30=1,AL34-AL32,0)</f>
        <v>0</v>
      </c>
      <c r="AM35" s="19" t="n">
        <f aca="false">IF(Time!AM30=1,AM34-AM32,0)</f>
        <v>0</v>
      </c>
      <c r="AN35" s="19" t="n">
        <f aca="false">IF(Time!AN30=1,AN34-AN32,0)</f>
        <v>0</v>
      </c>
      <c r="AO35" s="19" t="n">
        <f aca="false">IF(Time!AO30=1,AO34-AO32,0)</f>
        <v>0</v>
      </c>
      <c r="AP35" s="19" t="n">
        <f aca="false">IF(Time!AP30=1,AP34-AP32,0)</f>
        <v>0</v>
      </c>
      <c r="AQ35" s="19" t="n">
        <f aca="false">IF(Time!AQ30=1,AQ34-AQ32,0)</f>
        <v>0</v>
      </c>
      <c r="AR35" s="19" t="n">
        <f aca="false">IF(Time!AR30=1,AR34-AR32,0)</f>
        <v>0</v>
      </c>
      <c r="AS35" s="19" t="n">
        <f aca="false">IF(Time!AS30=1,AS34-AS32,0)</f>
        <v>0</v>
      </c>
      <c r="AT35" s="19" t="n">
        <f aca="false">IF(Time!AT30=1,AT34-AT32,0)</f>
        <v>0</v>
      </c>
      <c r="AU35" s="19" t="n">
        <f aca="false">IF(Time!AU30=1,AU34-AU32,0)</f>
        <v>0</v>
      </c>
      <c r="AV35" s="19" t="n">
        <f aca="false">IF(Time!AV30=1,AV34-AV32,0)</f>
        <v>0.00854143668563978</v>
      </c>
      <c r="AW35" s="19" t="n">
        <f aca="false">IF(Time!AW30=1,AW34-AW32,0)</f>
        <v>1.81886546065254</v>
      </c>
      <c r="AX35" s="19" t="n">
        <f aca="false">IF(Time!AX30=1,AX34-AX32,0)</f>
        <v>2.15380278568206</v>
      </c>
      <c r="AY35" s="19" t="n">
        <f aca="false">IF(Time!AY30=1,AY34-AY32,0)</f>
        <v>1.84777326571026</v>
      </c>
      <c r="AZ35" s="19" t="n">
        <f aca="false">IF(Time!AZ30=1,AZ34-AZ32,0)</f>
        <v>2.29033404752155</v>
      </c>
      <c r="BA35" s="19" t="n">
        <f aca="false">IF(Time!BA30=1,BA34-BA32,0)</f>
        <v>3.41168840758671</v>
      </c>
      <c r="BB35" s="19" t="n">
        <f aca="false">IF(Time!BB30=1,BB34-BB32,0)</f>
        <v>3.7968561508939</v>
      </c>
      <c r="BC35" s="19" t="n">
        <f aca="false">IF(Time!BC30=1,BC34-BC32,0)</f>
        <v>8.24500633495962</v>
      </c>
      <c r="BD35" s="19" t="n">
        <f aca="false">IF(Time!BD30=1,BD34-BD32,0)</f>
        <v>8.76091863483294</v>
      </c>
      <c r="BE35" s="19" t="n">
        <f aca="false">IF(Time!BE30=1,BE34-BE32,0)</f>
        <v>11.7718202138071</v>
      </c>
      <c r="BF35" s="19" t="n">
        <f aca="false">IF(Time!BF30=1,BF34-BF32,0)</f>
        <v>12.3825236893676</v>
      </c>
      <c r="BG35" s="19" t="n">
        <f aca="false">IF(Time!BG30=1,BG34-BG32,0)</f>
        <v>14.0461196571882</v>
      </c>
      <c r="BH35" s="19" t="n">
        <f aca="false">IF(Time!BH30=1,BH34-BH32,0)</f>
        <v>14.8590799286198</v>
      </c>
      <c r="BI35" s="19" t="n">
        <f aca="false">IF(Time!BI30=1,BI34-BI32,0)</f>
        <v>16.567603359762</v>
      </c>
      <c r="BJ35" s="19" t="n">
        <f aca="false">IF(Time!BJ30=1,BJ34-BJ32,0)</f>
        <v>17.3058378201841</v>
      </c>
      <c r="BK35" s="19" t="n">
        <f aca="false">IF(Time!BK30=1,BK34-BK32,0)</f>
        <v>19.3078290084219</v>
      </c>
      <c r="BL35" s="19" t="n">
        <f aca="false">IF(Time!BL30=1,BL34-BL32,0)</f>
        <v>20.1175910192289</v>
      </c>
      <c r="BM35" s="19" t="n">
        <f aca="false">IF(Time!BM30=1,BM34-BM32,0)</f>
        <v>22.2705533767732</v>
      </c>
      <c r="BN35" s="19" t="n">
        <f aca="false">IF(Time!BN30=1,BN34-BN32,0)</f>
        <v>23.1556018309839</v>
      </c>
      <c r="BO35" s="19" t="n">
        <f aca="false">IF(Time!BO30=1,BO34-BO32,0)</f>
        <v>18.499070318437</v>
      </c>
      <c r="BP35" s="19" t="n">
        <f aca="false">IF(Time!BP30=1,BP34-BP32,0)</f>
        <v>19.4772861006409</v>
      </c>
      <c r="BQ35" s="19" t="n">
        <f aca="false">IF(Time!BQ30=1,BQ34-BQ32,0)</f>
        <v>21.6141190178998</v>
      </c>
      <c r="BR35" s="19" t="n">
        <f aca="false">IF(Time!BR30=1,BR34-BR32,0)</f>
        <v>21.99911155701</v>
      </c>
      <c r="BS35" s="19" t="n">
        <f aca="false">IF(Time!BS30=1,BS34-BS32,0)</f>
        <v>24.4409197504095</v>
      </c>
      <c r="BT35" s="19" t="n">
        <f aca="false">IF(Time!BT30=1,BT34-BT32,0)</f>
        <v>24.8798633453772</v>
      </c>
      <c r="BU35" s="19" t="n">
        <f aca="false">IF(Time!BU30=1,BU34-BU32,0)</f>
        <v>34.4655200693166</v>
      </c>
      <c r="BV35" s="19" t="n">
        <f aca="false">IF(Time!BV30=1,BV34-BV32,0)</f>
        <v>35.1451208728104</v>
      </c>
      <c r="BW35" s="19" t="n">
        <f aca="false">IF(Time!BW30=1,BW34-BW32,0)</f>
        <v>38.1031798544986</v>
      </c>
      <c r="BX35" s="19" t="n">
        <f aca="false">IF(Time!BX30=1,BX34-BX32,0)</f>
        <v>39.0986210313686</v>
      </c>
      <c r="BY35" s="19" t="n">
        <f aca="false">IF(Time!BY30=1,BY34-BY32,0)</f>
        <v>42.0056948051872</v>
      </c>
      <c r="BZ35" s="19" t="n">
        <f aca="false">IF(Time!BZ30=1,BZ34-BZ32,0)</f>
        <v>42.8276691356091</v>
      </c>
      <c r="CA35" s="19" t="n">
        <f aca="false">IF(Time!CA30=1,CA34-CA32,0)</f>
        <v>41.6656098744414</v>
      </c>
      <c r="CB35" s="19" t="n">
        <f aca="false">IF(Time!CB30=1,CB34-CB32,0)</f>
        <v>42.4480859384936</v>
      </c>
      <c r="CC35" s="19" t="n">
        <f aca="false">IF(Time!CC30=1,CC34-CC32,0)</f>
        <v>45.8839385475982</v>
      </c>
      <c r="CD35" s="19" t="n">
        <f aca="false">IF(Time!CD30=1,CD34-CD32,0)</f>
        <v>46.7458778290274</v>
      </c>
      <c r="CE35" s="19" t="n">
        <f aca="false">IF(Time!CE30=1,CE34-CE32,0)</f>
        <v>48.2124009664507</v>
      </c>
      <c r="CF35" s="19" t="n">
        <f aca="false">IF(Time!CF30=1,CF34-CF32,0)</f>
        <v>43.1947119405326</v>
      </c>
      <c r="CG35" s="19" t="n">
        <f aca="false">IF(Time!CG30=1,CG34-CG32,0)</f>
        <v>47.3050216276842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882.130169013</v>
      </c>
      <c r="AE36" s="19" t="n">
        <f aca="false">AE31-AE35</f>
        <v>882.130169013</v>
      </c>
      <c r="AF36" s="19" t="n">
        <f aca="false">AF31-AF35</f>
        <v>882.130169013</v>
      </c>
      <c r="AG36" s="19" t="n">
        <f aca="false">AG31-AG35</f>
        <v>882.130169013</v>
      </c>
      <c r="AH36" s="19" t="n">
        <f aca="false">AH31-AH35</f>
        <v>882.130169013</v>
      </c>
      <c r="AI36" s="19" t="n">
        <f aca="false">AI31-AI35</f>
        <v>882.130169013</v>
      </c>
      <c r="AJ36" s="19" t="n">
        <f aca="false">AJ31-AJ35</f>
        <v>882.130169013</v>
      </c>
      <c r="AK36" s="19" t="n">
        <f aca="false">AK31-AK35</f>
        <v>882.130169013</v>
      </c>
      <c r="AL36" s="19" t="n">
        <f aca="false">AL31-AL35</f>
        <v>882.130169013</v>
      </c>
      <c r="AM36" s="19" t="n">
        <f aca="false">AM31-AM35</f>
        <v>882.130169013</v>
      </c>
      <c r="AN36" s="19" t="n">
        <f aca="false">AN31-AN35</f>
        <v>882.130169013</v>
      </c>
      <c r="AO36" s="19" t="n">
        <f aca="false">AO31-AO35</f>
        <v>882.130169013</v>
      </c>
      <c r="AP36" s="19" t="n">
        <f aca="false">AP31-AP35</f>
        <v>882.130169013</v>
      </c>
      <c r="AQ36" s="19" t="n">
        <f aca="false">AQ31-AQ35</f>
        <v>882.130169013</v>
      </c>
      <c r="AR36" s="19" t="n">
        <f aca="false">AR31-AR35</f>
        <v>882.130169013</v>
      </c>
      <c r="AS36" s="19" t="n">
        <f aca="false">AS31-AS35</f>
        <v>882.130169013</v>
      </c>
      <c r="AT36" s="19" t="n">
        <f aca="false">AT31-AT35</f>
        <v>882.130169013</v>
      </c>
      <c r="AU36" s="19" t="n">
        <f aca="false">AU31-AU35</f>
        <v>882.130169013</v>
      </c>
      <c r="AV36" s="19" t="n">
        <f aca="false">AV31-AV35</f>
        <v>882.121627576314</v>
      </c>
      <c r="AW36" s="19" t="n">
        <f aca="false">AW31-AW35</f>
        <v>880.302762115662</v>
      </c>
      <c r="AX36" s="19" t="n">
        <f aca="false">AX31-AX35</f>
        <v>878.14895932998</v>
      </c>
      <c r="AY36" s="19" t="n">
        <f aca="false">AY31-AY35</f>
        <v>876.30118606427</v>
      </c>
      <c r="AZ36" s="19" t="n">
        <f aca="false">AZ31-AZ35</f>
        <v>874.010852016748</v>
      </c>
      <c r="BA36" s="19" t="n">
        <f aca="false">BA31-BA35</f>
        <v>870.599163609161</v>
      </c>
      <c r="BB36" s="19" t="n">
        <f aca="false">BB31-BB35</f>
        <v>866.802307458268</v>
      </c>
      <c r="BC36" s="19" t="n">
        <f aca="false">BC31-BC35</f>
        <v>858.557301123308</v>
      </c>
      <c r="BD36" s="19" t="n">
        <f aca="false">BD31-BD35</f>
        <v>849.796382488475</v>
      </c>
      <c r="BE36" s="19" t="n">
        <f aca="false">BE31-BE35</f>
        <v>838.024562274668</v>
      </c>
      <c r="BF36" s="19" t="n">
        <f aca="false">BF31-BF35</f>
        <v>825.6420385853</v>
      </c>
      <c r="BG36" s="19" t="n">
        <f aca="false">BG31-BG35</f>
        <v>811.595918928112</v>
      </c>
      <c r="BH36" s="19" t="n">
        <f aca="false">BH31-BH35</f>
        <v>796.736838999492</v>
      </c>
      <c r="BI36" s="19" t="n">
        <f aca="false">BI31-BI35</f>
        <v>780.169235639731</v>
      </c>
      <c r="BJ36" s="19" t="n">
        <f aca="false">BJ31-BJ35</f>
        <v>762.863397819546</v>
      </c>
      <c r="BK36" s="19" t="n">
        <f aca="false">BK31-BK35</f>
        <v>743.555568811125</v>
      </c>
      <c r="BL36" s="19" t="n">
        <f aca="false">BL31-BL35</f>
        <v>723.437977791896</v>
      </c>
      <c r="BM36" s="19" t="n">
        <f aca="false">BM31-BM35</f>
        <v>701.167424415122</v>
      </c>
      <c r="BN36" s="19" t="n">
        <f aca="false">BN31-BN35</f>
        <v>678.011822584139</v>
      </c>
      <c r="BO36" s="19" t="n">
        <f aca="false">BO31-BO35</f>
        <v>659.512752265702</v>
      </c>
      <c r="BP36" s="19" t="n">
        <f aca="false">BP31-BP35</f>
        <v>640.035466165061</v>
      </c>
      <c r="BQ36" s="19" t="n">
        <f aca="false">BQ31-BQ35</f>
        <v>618.421347147161</v>
      </c>
      <c r="BR36" s="19" t="n">
        <f aca="false">BR31-BR35</f>
        <v>596.422235590151</v>
      </c>
      <c r="BS36" s="19" t="n">
        <f aca="false">BS31-BS35</f>
        <v>571.981315839742</v>
      </c>
      <c r="BT36" s="19" t="n">
        <f aca="false">BT31-BT35</f>
        <v>547.101452494364</v>
      </c>
      <c r="BU36" s="19" t="n">
        <f aca="false">BU31-BU35</f>
        <v>512.635932425048</v>
      </c>
      <c r="BV36" s="19" t="n">
        <f aca="false">BV31-BV35</f>
        <v>477.490811552237</v>
      </c>
      <c r="BW36" s="19" t="n">
        <f aca="false">BW31-BW35</f>
        <v>439.387631697739</v>
      </c>
      <c r="BX36" s="19" t="n">
        <f aca="false">BX31-BX35</f>
        <v>400.28901066637</v>
      </c>
      <c r="BY36" s="19" t="n">
        <f aca="false">BY31-BY35</f>
        <v>358.283315861183</v>
      </c>
      <c r="BZ36" s="19" t="n">
        <f aca="false">BZ31-BZ35</f>
        <v>315.455646725574</v>
      </c>
      <c r="CA36" s="19" t="n">
        <f aca="false">CA31-CA35</f>
        <v>273.790036851132</v>
      </c>
      <c r="CB36" s="19" t="n">
        <f aca="false">CB31-CB35</f>
        <v>231.341950912639</v>
      </c>
      <c r="CC36" s="19" t="n">
        <f aca="false">CC31-CC35</f>
        <v>185.45801236504</v>
      </c>
      <c r="CD36" s="19" t="n">
        <f aca="false">CD31-CD35</f>
        <v>138.712134536013</v>
      </c>
      <c r="CE36" s="19" t="n">
        <f aca="false">CE31-CE35</f>
        <v>90.4997335695622</v>
      </c>
      <c r="CF36" s="19" t="n">
        <f aca="false">CF31-CF35</f>
        <v>47.3050216277462</v>
      </c>
      <c r="CG36" s="19" t="n">
        <f aca="false">CG31-CG35</f>
        <v>3.06954461848363E-012</v>
      </c>
      <c r="CH36" s="19" t="n">
        <f aca="false">CH31-CH35</f>
        <v>3.06954461848363E-012</v>
      </c>
      <c r="CI36" s="19" t="n">
        <f aca="false">CI31-CI35</f>
        <v>3.06954461848363E-012</v>
      </c>
      <c r="CJ36" s="19" t="n">
        <f aca="false">CJ31-CJ35</f>
        <v>3.06954461848363E-012</v>
      </c>
      <c r="CK36" s="19" t="n">
        <f aca="false">CK31-CK35</f>
        <v>3.06954461848363E-012</v>
      </c>
      <c r="CL36" s="19" t="n">
        <f aca="false">CL31-CL35</f>
        <v>3.06954461848363E-012</v>
      </c>
      <c r="CM36" s="19" t="n">
        <f aca="false">CM31-CM35</f>
        <v>3.06954461848363E-012</v>
      </c>
      <c r="CN36" s="19" t="n">
        <f aca="false">CN31-CN35</f>
        <v>3.06954461848363E-012</v>
      </c>
      <c r="CO36" s="19" t="n">
        <f aca="false">CO31-CO35</f>
        <v>3.06954461848363E-012</v>
      </c>
      <c r="CP36" s="19" t="n">
        <f aca="false">CP31-CP35</f>
        <v>3.06954461848363E-012</v>
      </c>
      <c r="CQ36" s="19" t="n">
        <f aca="false">CQ31-CQ35</f>
        <v>3.06954461848363E-012</v>
      </c>
      <c r="CR36" s="19" t="n">
        <f aca="false">CR31-CR35</f>
        <v>3.06954461848363E-012</v>
      </c>
      <c r="CS36" s="19" t="n">
        <f aca="false">CS31-CS35</f>
        <v>3.06954461848363E-012</v>
      </c>
      <c r="CT36" s="19" t="n">
        <f aca="false">CT31-CT35</f>
        <v>3.06954461848363E-012</v>
      </c>
      <c r="CU36" s="19" t="n">
        <f aca="false">CU31-CU35</f>
        <v>3.06954461848363E-012</v>
      </c>
      <c r="CV36" s="19" t="n">
        <f aca="false">CV31-CV35</f>
        <v>3.06954461848363E-012</v>
      </c>
      <c r="CW36" s="19" t="n">
        <f aca="false">CW31-CW35</f>
        <v>3.06954461848363E-012</v>
      </c>
      <c r="CX36" s="19" t="n">
        <f aca="false">CX31-CX35</f>
        <v>3.06954461848363E-012</v>
      </c>
      <c r="CY36" s="19" t="n">
        <f aca="false">CY31-CY35</f>
        <v>3.06954461848363E-012</v>
      </c>
      <c r="CZ36" s="19" t="n">
        <f aca="false">CZ31-CZ35</f>
        <v>3.06954461848363E-012</v>
      </c>
      <c r="DA36" s="19" t="n">
        <f aca="false">DA31-DA35</f>
        <v>3.06954461848363E-012</v>
      </c>
      <c r="DB36" s="19" t="n">
        <f aca="false">DB31-DB35</f>
        <v>3.06954461848363E-012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2.66290709128484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20.2259264458606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4.70870458287729</v>
      </c>
      <c r="AA38" s="19" t="n">
        <f aca="false">IF(Time!AA32=1,MAX(0,AA32-AA13/Inputs!$F$95),0)</f>
        <v>8.06522077756791</v>
      </c>
      <c r="AB38" s="19" t="n">
        <f aca="false">IF(Time!AB32=1,MAX(0,AB32-AB13/Inputs!$F$95),0)</f>
        <v>4.09445721388988</v>
      </c>
      <c r="AC38" s="19" t="n">
        <f aca="false">IF(Time!AC32=1,MAX(0,AC32-AC13/Inputs!$F$95),0)</f>
        <v>3.35754387152552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882.130169011655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0.00854143668563978</v>
      </c>
      <c r="AW40" s="19" t="n">
        <f aca="false">IF($F$24=1,AW35,Inputs!AW272)</f>
        <v>1.81886546065254</v>
      </c>
      <c r="AX40" s="19" t="n">
        <f aca="false">IF($F$24=1,AX35,Inputs!AX272)</f>
        <v>2.15380278568206</v>
      </c>
      <c r="AY40" s="19" t="n">
        <f aca="false">IF($F$24=1,AY35,Inputs!AY272)</f>
        <v>1.84777326571026</v>
      </c>
      <c r="AZ40" s="19" t="n">
        <f aca="false">IF($F$24=1,AZ35,Inputs!AZ272)</f>
        <v>2.29033404752155</v>
      </c>
      <c r="BA40" s="19" t="n">
        <f aca="false">IF($F$24=1,BA35,Inputs!BA272)</f>
        <v>3.41168840758671</v>
      </c>
      <c r="BB40" s="19" t="n">
        <f aca="false">IF($F$24=1,BB35,Inputs!BB272)</f>
        <v>3.7968561508939</v>
      </c>
      <c r="BC40" s="19" t="n">
        <f aca="false">IF($F$24=1,BC35,Inputs!BC272)</f>
        <v>8.24500633495962</v>
      </c>
      <c r="BD40" s="19" t="n">
        <f aca="false">IF($F$24=1,BD35,Inputs!BD272)</f>
        <v>8.76091863483294</v>
      </c>
      <c r="BE40" s="19" t="n">
        <f aca="false">IF($F$24=1,BE35,Inputs!BE272)</f>
        <v>11.7718202138071</v>
      </c>
      <c r="BF40" s="19" t="n">
        <f aca="false">IF($F$24=1,BF35,Inputs!BF272)</f>
        <v>12.3825236893676</v>
      </c>
      <c r="BG40" s="19" t="n">
        <f aca="false">IF($F$24=1,BG35,Inputs!BG272)</f>
        <v>14.0461196571882</v>
      </c>
      <c r="BH40" s="19" t="n">
        <f aca="false">IF($F$24=1,BH35,Inputs!BH272)</f>
        <v>14.8590799286198</v>
      </c>
      <c r="BI40" s="19" t="n">
        <f aca="false">IF($F$24=1,BI35,Inputs!BI272)</f>
        <v>16.567603359762</v>
      </c>
      <c r="BJ40" s="19" t="n">
        <f aca="false">IF($F$24=1,BJ35,Inputs!BJ272)</f>
        <v>17.3058378201841</v>
      </c>
      <c r="BK40" s="19" t="n">
        <f aca="false">IF($F$24=1,BK35,Inputs!BK272)</f>
        <v>19.3078290084219</v>
      </c>
      <c r="BL40" s="19" t="n">
        <f aca="false">IF($F$24=1,BL35,Inputs!BL272)</f>
        <v>20.1175910192289</v>
      </c>
      <c r="BM40" s="19" t="n">
        <f aca="false">IF($F$24=1,BM35,Inputs!BM272)</f>
        <v>22.2705533767732</v>
      </c>
      <c r="BN40" s="19" t="n">
        <f aca="false">IF($F$24=1,BN35,Inputs!BN272)</f>
        <v>23.1556018309839</v>
      </c>
      <c r="BO40" s="19" t="n">
        <f aca="false">IF($F$24=1,BO35,Inputs!BO272)</f>
        <v>18.499070318437</v>
      </c>
      <c r="BP40" s="19" t="n">
        <f aca="false">IF($F$24=1,BP35,Inputs!BP272)</f>
        <v>19.4772861006409</v>
      </c>
      <c r="BQ40" s="19" t="n">
        <f aca="false">IF($F$24=1,BQ35,Inputs!BQ272)</f>
        <v>21.6141190178998</v>
      </c>
      <c r="BR40" s="19" t="n">
        <f aca="false">IF($F$24=1,BR35,Inputs!BR272)</f>
        <v>21.99911155701</v>
      </c>
      <c r="BS40" s="19" t="n">
        <f aca="false">IF($F$24=1,BS35,Inputs!BS272)</f>
        <v>24.4409197504095</v>
      </c>
      <c r="BT40" s="19" t="n">
        <f aca="false">IF($F$24=1,BT35,Inputs!BT272)</f>
        <v>24.8798633453772</v>
      </c>
      <c r="BU40" s="19" t="n">
        <f aca="false">IF($F$24=1,BU35,Inputs!BU272)</f>
        <v>34.4655200693166</v>
      </c>
      <c r="BV40" s="19" t="n">
        <f aca="false">IF($F$24=1,BV35,Inputs!BV272)</f>
        <v>35.1451208728104</v>
      </c>
      <c r="BW40" s="19" t="n">
        <f aca="false">IF($F$24=1,BW35,Inputs!BW272)</f>
        <v>38.1031798544986</v>
      </c>
      <c r="BX40" s="19" t="n">
        <f aca="false">IF($F$24=1,BX35,Inputs!BX272)</f>
        <v>39.0986210313686</v>
      </c>
      <c r="BY40" s="19" t="n">
        <f aca="false">IF($F$24=1,BY35,Inputs!BY272)</f>
        <v>42.0056948051872</v>
      </c>
      <c r="BZ40" s="19" t="n">
        <f aca="false">IF($F$24=1,BZ35,Inputs!BZ272)</f>
        <v>42.8276691356091</v>
      </c>
      <c r="CA40" s="19" t="n">
        <f aca="false">IF($F$24=1,CA35,Inputs!CA272)</f>
        <v>41.6656098744414</v>
      </c>
      <c r="CB40" s="19" t="n">
        <f aca="false">IF($F$24=1,CB35,Inputs!CB272)</f>
        <v>42.4480859384936</v>
      </c>
      <c r="CC40" s="19" t="n">
        <f aca="false">IF($F$24=1,CC35,Inputs!CC272)</f>
        <v>45.8839385475982</v>
      </c>
      <c r="CD40" s="19" t="n">
        <f aca="false">IF($F$24=1,CD35,Inputs!CD272)</f>
        <v>46.7458778290274</v>
      </c>
      <c r="CE40" s="19" t="n">
        <f aca="false">IF($F$24=1,CE35,Inputs!CE272)</f>
        <v>48.2124009664507</v>
      </c>
      <c r="CF40" s="19" t="n">
        <f aca="false">IF($F$24=1,CF35,Inputs!CF272)</f>
        <v>43.1947119405326</v>
      </c>
      <c r="CG40" s="19" t="n">
        <f aca="false">IF($F$24=1,CG35,Inputs!CG272)</f>
        <v>47.3050216276842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5.1260606478615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229.615326855623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355.884337959225</v>
      </c>
      <c r="X42" s="19" t="n">
        <f aca="false">W47</f>
        <v>367.534421450565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396.954732409341</v>
      </c>
      <c r="AX42" s="19" t="n">
        <f aca="false">AW47</f>
        <v>396.136242952048</v>
      </c>
      <c r="AY42" s="19" t="n">
        <f aca="false">AX47</f>
        <v>395.167031698491</v>
      </c>
      <c r="AZ42" s="19" t="n">
        <f aca="false">AY47</f>
        <v>394.335533728921</v>
      </c>
      <c r="BA42" s="19" t="n">
        <f aca="false">AZ47</f>
        <v>393.304883407536</v>
      </c>
      <c r="BB42" s="19" t="n">
        <f aca="false">BA47</f>
        <v>391.769623624122</v>
      </c>
      <c r="BC42" s="19" t="n">
        <f aca="false">BB47</f>
        <v>390.06103835622</v>
      </c>
      <c r="BD42" s="19" t="n">
        <f aca="false">BC47</f>
        <v>386.350785505488</v>
      </c>
      <c r="BE42" s="19" t="n">
        <f aca="false">BD47</f>
        <v>382.408372119814</v>
      </c>
      <c r="BF42" s="19" t="n">
        <f aca="false">BE47</f>
        <v>377.1110530236</v>
      </c>
      <c r="BG42" s="19" t="n">
        <f aca="false">BF47</f>
        <v>371.538917363385</v>
      </c>
      <c r="BH42" s="19" t="n">
        <f aca="false">BG47</f>
        <v>365.21816351765</v>
      </c>
      <c r="BI42" s="19" t="n">
        <f aca="false">BH47</f>
        <v>358.531577549771</v>
      </c>
      <c r="BJ42" s="19" t="n">
        <f aca="false">BI47</f>
        <v>351.076156037879</v>
      </c>
      <c r="BK42" s="19" t="n">
        <f aca="false">BJ47</f>
        <v>343.288529018796</v>
      </c>
      <c r="BL42" s="19" t="n">
        <f aca="false">BK47</f>
        <v>334.600005965006</v>
      </c>
      <c r="BM42" s="19" t="n">
        <f aca="false">BL47</f>
        <v>325.547090006353</v>
      </c>
      <c r="BN42" s="19" t="n">
        <f aca="false">BM47</f>
        <v>315.525340986805</v>
      </c>
      <c r="BO42" s="19" t="n">
        <f aca="false">BN47</f>
        <v>305.105320162862</v>
      </c>
      <c r="BP42" s="19" t="n">
        <f aca="false">BO47</f>
        <v>296.780738519566</v>
      </c>
      <c r="BQ42" s="19" t="n">
        <f aca="false">BP47</f>
        <v>288.015959774277</v>
      </c>
      <c r="BR42" s="19" t="n">
        <f aca="false">BQ47</f>
        <v>278.289606216222</v>
      </c>
      <c r="BS42" s="19" t="n">
        <f aca="false">BR47</f>
        <v>268.390006015568</v>
      </c>
      <c r="BT42" s="19" t="n">
        <f aca="false">BS47</f>
        <v>257.391592127883</v>
      </c>
      <c r="BU42" s="19" t="n">
        <f aca="false">BT47</f>
        <v>246.195653622464</v>
      </c>
      <c r="BV42" s="19" t="n">
        <f aca="false">BU47</f>
        <v>230.686169591271</v>
      </c>
      <c r="BW42" s="19" t="n">
        <f aca="false">BV47</f>
        <v>214.870865198507</v>
      </c>
      <c r="BX42" s="19" t="n">
        <f aca="false">BW47</f>
        <v>197.724434263982</v>
      </c>
      <c r="BY42" s="19" t="n">
        <f aca="false">BX47</f>
        <v>180.130054799866</v>
      </c>
      <c r="BZ42" s="19" t="n">
        <f aca="false">BY47</f>
        <v>161.227492137532</v>
      </c>
      <c r="CA42" s="19" t="n">
        <f aca="false">BZ47</f>
        <v>141.955041026508</v>
      </c>
      <c r="CB42" s="19" t="n">
        <f aca="false">CA47</f>
        <v>123.205516583009</v>
      </c>
      <c r="CC42" s="19" t="n">
        <f aca="false">CB47</f>
        <v>104.103877910687</v>
      </c>
      <c r="CD42" s="19" t="n">
        <f aca="false">CC47</f>
        <v>83.456105564268</v>
      </c>
      <c r="CE42" s="19" t="n">
        <f aca="false">CD47</f>
        <v>62.4204605412056</v>
      </c>
      <c r="CF42" s="19" t="n">
        <f aca="false">CE47</f>
        <v>40.7248801063028</v>
      </c>
      <c r="CG42" s="19" t="n">
        <f aca="false">CF47</f>
        <v>21.2872597324856</v>
      </c>
      <c r="CH42" s="19" t="n">
        <f aca="false">CG47</f>
        <v>1.18660636871937E-012</v>
      </c>
      <c r="CI42" s="19" t="n">
        <f aca="false">CH47</f>
        <v>1.18660636871937E-012</v>
      </c>
      <c r="CJ42" s="19" t="n">
        <f aca="false">CI47</f>
        <v>1.18660636871937E-012</v>
      </c>
      <c r="CK42" s="19" t="n">
        <f aca="false">CJ47</f>
        <v>1.18660636871937E-012</v>
      </c>
      <c r="CL42" s="19" t="n">
        <f aca="false">CK47</f>
        <v>1.18660636871937E-012</v>
      </c>
      <c r="CM42" s="19" t="n">
        <f aca="false">CL47</f>
        <v>1.18660636871937E-012</v>
      </c>
      <c r="CN42" s="19" t="n">
        <f aca="false">CM47</f>
        <v>1.18660636871937E-012</v>
      </c>
      <c r="CO42" s="19" t="n">
        <f aca="false">CN47</f>
        <v>1.18660636871937E-012</v>
      </c>
      <c r="CP42" s="19" t="n">
        <f aca="false">CO47</f>
        <v>1.18660636871937E-012</v>
      </c>
      <c r="CQ42" s="19" t="n">
        <f aca="false">CP47</f>
        <v>1.18660636871937E-012</v>
      </c>
      <c r="CR42" s="19" t="n">
        <f aca="false">CQ47</f>
        <v>1.18660636871937E-012</v>
      </c>
      <c r="CS42" s="19" t="n">
        <f aca="false">CR47</f>
        <v>1.18660636871937E-012</v>
      </c>
      <c r="CT42" s="19" t="n">
        <f aca="false">CS47</f>
        <v>1.18660636871937E-012</v>
      </c>
      <c r="CU42" s="19" t="n">
        <f aca="false">CT47</f>
        <v>1.18660636871937E-012</v>
      </c>
      <c r="CV42" s="19" t="n">
        <f aca="false">CU47</f>
        <v>1.18660636871937E-012</v>
      </c>
      <c r="CW42" s="19" t="n">
        <f aca="false">CV47</f>
        <v>1.18660636871937E-012</v>
      </c>
      <c r="CX42" s="19" t="n">
        <f aca="false">CW47</f>
        <v>1.18660636871937E-012</v>
      </c>
      <c r="CY42" s="19" t="n">
        <f aca="false">CX47</f>
        <v>1.18660636871937E-012</v>
      </c>
      <c r="CZ42" s="19" t="n">
        <f aca="false">CY47</f>
        <v>1.18660636871937E-012</v>
      </c>
      <c r="DA42" s="19" t="n">
        <f aca="false">CZ47</f>
        <v>1.18660636871937E-012</v>
      </c>
      <c r="DB42" s="19" t="n">
        <f aca="false">DA47</f>
        <v>1.18660636871937E-012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589.504375218894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0.0753264079201916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4.20685683112385</v>
      </c>
      <c r="U43" s="19" t="n">
        <f aca="false">U42*U8*Time!U9/Inputs!$F$45</f>
        <v>4.52506029174383</v>
      </c>
      <c r="V43" s="19" t="n">
        <f aca="false">V42*V8*Time!V9/Inputs!$F$45</f>
        <v>4.91661608386637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5.37650198103329</v>
      </c>
      <c r="Z43" s="19" t="n">
        <f aca="false">Z42*Z8*Time!Z9/Inputs!$F$45</f>
        <v>5.76982009191534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11.4662277664059</v>
      </c>
      <c r="AX43" s="19" t="n">
        <f aca="false">AX42*AX8*Time!AX9/Inputs!$F$45</f>
        <v>11.2560214151468</v>
      </c>
      <c r="AY43" s="19" t="n">
        <f aca="false">AY42*AY8*Time!AY9/Inputs!$F$45</f>
        <v>11.4145891742562</v>
      </c>
      <c r="AZ43" s="19" t="n">
        <f aca="false">AZ42*AZ8*Time!AZ9/Inputs!$F$45</f>
        <v>11.2667604028642</v>
      </c>
      <c r="BA43" s="19" t="n">
        <f aca="false">BA42*BA8*Time!BA9/Inputs!$F$45</f>
        <v>11.3608001280612</v>
      </c>
      <c r="BB43" s="19" t="n">
        <f aca="false">BB42*BB8*Time!BB9/Inputs!$F$45</f>
        <v>11.1319460205284</v>
      </c>
      <c r="BC43" s="19" t="n">
        <f aca="false">BC42*BC8*Time!BC9/Inputs!$F$45</f>
        <v>11.2671001084858</v>
      </c>
      <c r="BD43" s="19" t="n">
        <f aca="false">BD42*BD8*Time!BD9/Inputs!$F$45</f>
        <v>10.9779723334605</v>
      </c>
      <c r="BE43" s="19" t="n">
        <f aca="false">BE42*BE8*Time!BE9/Inputs!$F$45</f>
        <v>11.0460491751606</v>
      </c>
      <c r="BF43" s="19" t="n">
        <f aca="false">BF42*BF8*Time!BF9/Inputs!$F$45</f>
        <v>10.7154297649963</v>
      </c>
      <c r="BG43" s="19" t="n">
        <f aca="false">BG42*BG8*Time!BG9/Inputs!$F$45</f>
        <v>10.7695390293277</v>
      </c>
      <c r="BH43" s="19" t="n">
        <f aca="false">BH42*BH8*Time!BH9/Inputs!$F$45</f>
        <v>10.4712550170198</v>
      </c>
      <c r="BI43" s="19" t="n">
        <f aca="false">BI42*BI8*Time!BI9/Inputs!$F$45</f>
        <v>10.3925043574701</v>
      </c>
      <c r="BJ43" s="19" t="n">
        <f aca="false">BJ42*BJ8*Time!BJ9/Inputs!$F$45</f>
        <v>10.010479709491</v>
      </c>
      <c r="BK43" s="19" t="n">
        <f aca="false">BK42*BK8*Time!BK9/Inputs!$F$45</f>
        <v>9.95066475895578</v>
      </c>
      <c r="BL43" s="19" t="n">
        <f aca="false">BL42*BL8*Time!BL9/Inputs!$F$45</f>
        <v>9.54068373172821</v>
      </c>
      <c r="BM43" s="19" t="n">
        <f aca="false">BM42*BM8*Time!BM9/Inputs!$F$45</f>
        <v>9.43640606100606</v>
      </c>
      <c r="BN43" s="19" t="n">
        <f aca="false">BN42*BN8*Time!BN9/Inputs!$F$45</f>
        <v>8.99679448306897</v>
      </c>
      <c r="BO43" s="19" t="n">
        <f aca="false">BO42*BO8*Time!BO9/Inputs!$F$45</f>
        <v>8.84387475978926</v>
      </c>
      <c r="BP43" s="19" t="n">
        <f aca="false">BP42*BP8*Time!BP9/Inputs!$F$45</f>
        <v>8.50906966741713</v>
      </c>
      <c r="BQ43" s="19" t="n">
        <f aca="false">BQ42*BQ8*Time!BQ9/Inputs!$F$45</f>
        <v>8.34851740934754</v>
      </c>
      <c r="BR43" s="19" t="n">
        <f aca="false">BR42*BR8*Time!BR9/Inputs!$F$45</f>
        <v>7.93506596354886</v>
      </c>
      <c r="BS43" s="19" t="n">
        <f aca="false">BS42*BS8*Time!BS9/Inputs!$F$45</f>
        <v>7.77963359902659</v>
      </c>
      <c r="BT43" s="19" t="n">
        <f aca="false">BT42*BT8*Time!BT9/Inputs!$F$45</f>
        <v>7.33918628786561</v>
      </c>
      <c r="BU43" s="19" t="n">
        <f aca="false">BU42*BU8*Time!BU9/Inputs!$F$45</f>
        <v>7.13630141185114</v>
      </c>
      <c r="BV43" s="19" t="n">
        <f aca="false">BV42*BV8*Time!BV9/Inputs!$F$45</f>
        <v>6.57771591786618</v>
      </c>
      <c r="BW43" s="19" t="n">
        <f aca="false">BW42*BW8*Time!BW9/Inputs!$F$45</f>
        <v>6.22831165424712</v>
      </c>
      <c r="BX43" s="19" t="n">
        <f aca="false">BX42*BX8*Time!BX9/Inputs!$F$45</f>
        <v>5.66900330019883</v>
      </c>
      <c r="BY43" s="19" t="n">
        <f aca="false">BY42*BY8*Time!BY9/Inputs!$F$45</f>
        <v>5.22130405419886</v>
      </c>
      <c r="BZ43" s="19" t="n">
        <f aca="false">BZ42*BZ8*Time!BZ9/Inputs!$F$45</f>
        <v>4.59719212170237</v>
      </c>
      <c r="CA43" s="19" t="n">
        <f aca="false">CA42*CA8*Time!CA9/Inputs!$F$45</f>
        <v>4.11475160016563</v>
      </c>
      <c r="CB43" s="19" t="n">
        <f aca="false">CB42*CB8*Time!CB9/Inputs!$F$45</f>
        <v>3.51304496941827</v>
      </c>
      <c r="CC43" s="19" t="n">
        <f aca="false">CC42*CC8*Time!CC9/Inputs!$F$45</f>
        <v>3.0175863788906</v>
      </c>
      <c r="CD43" s="19" t="n">
        <f aca="false">CD42*CD8*Time!CD9/Inputs!$F$45</f>
        <v>2.37964224290444</v>
      </c>
      <c r="CE43" s="19" t="n">
        <f aca="false">CE42*CE8*Time!CE9/Inputs!$F$45</f>
        <v>1.80933828089303</v>
      </c>
      <c r="CF43" s="19" t="n">
        <f aca="false">CF42*CF8*Time!CF9/Inputs!$F$45</f>
        <v>1.167632521404</v>
      </c>
      <c r="CG43" s="19" t="n">
        <f aca="false">CG42*CG8*Time!CG9/Inputs!$F$45</f>
        <v>0.617038925944377</v>
      </c>
      <c r="CH43" s="19" t="n">
        <f aca="false">CH42*CH8*Time!CH9/Inputs!$F$45</f>
        <v>3.38345363902653E-014</v>
      </c>
      <c r="CI43" s="19" t="n">
        <f aca="false">CI42*CI8*Time!CI9/Inputs!$F$45</f>
        <v>3.43953298110984E-014</v>
      </c>
      <c r="CJ43" s="19" t="n">
        <f aca="false">CJ42*CJ8*Time!CJ9/Inputs!$F$45</f>
        <v>3.38345363902653E-014</v>
      </c>
      <c r="CK43" s="19" t="n">
        <f aca="false">CK42*CK8*Time!CK9/Inputs!$F$45</f>
        <v>3.43953298110984E-014</v>
      </c>
      <c r="CL43" s="19" t="n">
        <f aca="false">CL42*CL8*Time!CL9/Inputs!$F$45</f>
        <v>3.38345363902653E-014</v>
      </c>
      <c r="CM43" s="19" t="n">
        <f aca="false">CM42*CM8*Time!CM9/Inputs!$F$45</f>
        <v>3.43953298110984E-014</v>
      </c>
      <c r="CN43" s="19" t="n">
        <f aca="false">CN42*CN8*Time!CN9/Inputs!$F$45</f>
        <v>3.4021467530543E-014</v>
      </c>
      <c r="CO43" s="19" t="n">
        <f aca="false">CO42*CO8*Time!CO9/Inputs!$F$45</f>
        <v>3.43953298110984E-014</v>
      </c>
      <c r="CP43" s="19" t="n">
        <f aca="false">CP42*CP8*Time!CP9/Inputs!$F$45</f>
        <v>3.38345363902653E-014</v>
      </c>
      <c r="CQ43" s="19" t="n">
        <f aca="false">CQ42*CQ8*Time!CQ9/Inputs!$F$45</f>
        <v>3.43953298110984E-014</v>
      </c>
      <c r="CR43" s="19" t="n">
        <f aca="false">CR42*CR8*Time!CR9/Inputs!$F$45</f>
        <v>3.38345363902653E-014</v>
      </c>
      <c r="CS43" s="19" t="n">
        <f aca="false">CS42*CS8*Time!CS9/Inputs!$F$45</f>
        <v>3.43953298110984E-014</v>
      </c>
      <c r="CT43" s="19" t="n">
        <f aca="false">CT42*CT8*Time!CT9/Inputs!$F$45</f>
        <v>3.38345363902653E-014</v>
      </c>
      <c r="CU43" s="19" t="n">
        <f aca="false">CU42*CU8*Time!CU9/Inputs!$F$45</f>
        <v>3.43953298110984E-014</v>
      </c>
      <c r="CV43" s="19" t="n">
        <f aca="false">CV42*CV8*Time!CV9/Inputs!$F$45</f>
        <v>3.4021467530543E-014</v>
      </c>
      <c r="CW43" s="19" t="n">
        <f aca="false">CW42*CW8*Time!CW9/Inputs!$F$45</f>
        <v>3.43953298110984E-014</v>
      </c>
      <c r="CX43" s="19" t="n">
        <f aca="false">CX42*CX8*Time!CX9/Inputs!$F$45</f>
        <v>3.38345363902653E-014</v>
      </c>
      <c r="CY43" s="19" t="n">
        <f aca="false">CY42*CY8*Time!CY9/Inputs!$F$45</f>
        <v>3.43953298110984E-014</v>
      </c>
      <c r="CZ43" s="19" t="n">
        <f aca="false">CZ42*CZ8*Time!CZ9/Inputs!$F$45</f>
        <v>3.38345363902653E-014</v>
      </c>
      <c r="DA43" s="19" t="n">
        <f aca="false">DA42*DA8*Time!DA9/Inputs!$F$45</f>
        <v>3.43953298110984E-014</v>
      </c>
      <c r="DB43" s="19" t="n">
        <f aca="false">DB42*DB8*Time!DB9/Inputs!$F$45</f>
        <v>3.38345363902653E-014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551.574975462928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5.76982009191534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11.4662277664059</v>
      </c>
      <c r="AX44" s="19" t="n">
        <f aca="false">AX43*(1-Time!AX20)</f>
        <v>11.2560214151468</v>
      </c>
      <c r="AY44" s="19" t="n">
        <f aca="false">AY43*(1-Time!AY20)</f>
        <v>11.4145891742562</v>
      </c>
      <c r="AZ44" s="19" t="n">
        <f aca="false">AZ43*(1-Time!AZ20)</f>
        <v>11.2667604028642</v>
      </c>
      <c r="BA44" s="19" t="n">
        <f aca="false">BA43*(1-Time!BA20)</f>
        <v>11.3608001280612</v>
      </c>
      <c r="BB44" s="19" t="n">
        <f aca="false">BB43*(1-Time!BB20)</f>
        <v>11.1319460205284</v>
      </c>
      <c r="BC44" s="19" t="n">
        <f aca="false">BC43*(1-Time!BC20)</f>
        <v>11.2671001084858</v>
      </c>
      <c r="BD44" s="19" t="n">
        <f aca="false">BD43*(1-Time!BD20)</f>
        <v>10.9779723334605</v>
      </c>
      <c r="BE44" s="19" t="n">
        <f aca="false">BE43*(1-Time!BE20)</f>
        <v>11.0460491751606</v>
      </c>
      <c r="BF44" s="19" t="n">
        <f aca="false">BF43*(1-Time!BF20)</f>
        <v>10.7154297649963</v>
      </c>
      <c r="BG44" s="19" t="n">
        <f aca="false">BG43*(1-Time!BG20)</f>
        <v>10.7695390293277</v>
      </c>
      <c r="BH44" s="19" t="n">
        <f aca="false">BH43*(1-Time!BH20)</f>
        <v>10.4712550170198</v>
      </c>
      <c r="BI44" s="19" t="n">
        <f aca="false">BI43*(1-Time!BI20)</f>
        <v>10.3925043574701</v>
      </c>
      <c r="BJ44" s="19" t="n">
        <f aca="false">BJ43*(1-Time!BJ20)</f>
        <v>10.010479709491</v>
      </c>
      <c r="BK44" s="19" t="n">
        <f aca="false">BK43*(1-Time!BK20)</f>
        <v>9.95066475895578</v>
      </c>
      <c r="BL44" s="19" t="n">
        <f aca="false">BL43*(1-Time!BL20)</f>
        <v>9.54068373172821</v>
      </c>
      <c r="BM44" s="19" t="n">
        <f aca="false">BM43*(1-Time!BM20)</f>
        <v>9.43640606100606</v>
      </c>
      <c r="BN44" s="19" t="n">
        <f aca="false">BN43*(1-Time!BN20)</f>
        <v>8.99679448306897</v>
      </c>
      <c r="BO44" s="19" t="n">
        <f aca="false">BO43*(1-Time!BO20)</f>
        <v>8.84387475978926</v>
      </c>
      <c r="BP44" s="19" t="n">
        <f aca="false">BP43*(1-Time!BP20)</f>
        <v>8.50906966741713</v>
      </c>
      <c r="BQ44" s="19" t="n">
        <f aca="false">BQ43*(1-Time!BQ20)</f>
        <v>8.34851740934754</v>
      </c>
      <c r="BR44" s="19" t="n">
        <f aca="false">BR43*(1-Time!BR20)</f>
        <v>7.93506596354886</v>
      </c>
      <c r="BS44" s="19" t="n">
        <f aca="false">BS43*(1-Time!BS20)</f>
        <v>7.77963359902659</v>
      </c>
      <c r="BT44" s="19" t="n">
        <f aca="false">BT43*(1-Time!BT20)</f>
        <v>7.33918628786561</v>
      </c>
      <c r="BU44" s="19" t="n">
        <f aca="false">BU43*(1-Time!BU20)</f>
        <v>7.13630141185114</v>
      </c>
      <c r="BV44" s="19" t="n">
        <f aca="false">BV43*(1-Time!BV20)</f>
        <v>6.57771591786618</v>
      </c>
      <c r="BW44" s="19" t="n">
        <f aca="false">BW43*(1-Time!BW20)</f>
        <v>6.22831165424712</v>
      </c>
      <c r="BX44" s="19" t="n">
        <f aca="false">BX43*(1-Time!BX20)</f>
        <v>5.66900330019883</v>
      </c>
      <c r="BY44" s="19" t="n">
        <f aca="false">BY43*(1-Time!BY20)</f>
        <v>5.22130405419886</v>
      </c>
      <c r="BZ44" s="19" t="n">
        <f aca="false">BZ43*(1-Time!BZ20)</f>
        <v>4.59719212170237</v>
      </c>
      <c r="CA44" s="19" t="n">
        <f aca="false">CA43*(1-Time!CA20)</f>
        <v>4.11475160016563</v>
      </c>
      <c r="CB44" s="19" t="n">
        <f aca="false">CB43*(1-Time!CB20)</f>
        <v>3.51304496941827</v>
      </c>
      <c r="CC44" s="19" t="n">
        <f aca="false">CC43*(1-Time!CC20)</f>
        <v>3.0175863788906</v>
      </c>
      <c r="CD44" s="19" t="n">
        <f aca="false">CD43*(1-Time!CD20)</f>
        <v>2.37964224290444</v>
      </c>
      <c r="CE44" s="19" t="n">
        <f aca="false">CE43*(1-Time!CE20)</f>
        <v>1.80933828089303</v>
      </c>
      <c r="CF44" s="19" t="n">
        <f aca="false">CF43*(1-Time!CF20)</f>
        <v>1.167632521404</v>
      </c>
      <c r="CG44" s="19" t="n">
        <f aca="false">CG43*(1-Time!CG20)</f>
        <v>0.617038925944377</v>
      </c>
      <c r="CH44" s="19" t="n">
        <f aca="false">CH43*(1-Time!CH20)</f>
        <v>3.38345363902653E-014</v>
      </c>
      <c r="CI44" s="19" t="n">
        <f aca="false">CI43*(1-Time!CI20)</f>
        <v>3.43953298110984E-014</v>
      </c>
      <c r="CJ44" s="19" t="n">
        <f aca="false">CJ43*(1-Time!CJ20)</f>
        <v>3.38345363902653E-014</v>
      </c>
      <c r="CK44" s="19" t="n">
        <f aca="false">CK43*(1-Time!CK20)</f>
        <v>3.43953298110984E-014</v>
      </c>
      <c r="CL44" s="19" t="n">
        <f aca="false">CL43*(1-Time!CL20)</f>
        <v>3.38345363902653E-014</v>
      </c>
      <c r="CM44" s="19" t="n">
        <f aca="false">CM43*(1-Time!CM20)</f>
        <v>3.43953298110984E-014</v>
      </c>
      <c r="CN44" s="19" t="n">
        <f aca="false">CN43*(1-Time!CN20)</f>
        <v>3.4021467530543E-014</v>
      </c>
      <c r="CO44" s="19" t="n">
        <f aca="false">CO43*(1-Time!CO20)</f>
        <v>3.43953298110984E-014</v>
      </c>
      <c r="CP44" s="19" t="n">
        <f aca="false">CP43*(1-Time!CP20)</f>
        <v>3.38345363902653E-014</v>
      </c>
      <c r="CQ44" s="19" t="n">
        <f aca="false">CQ43*(1-Time!CQ20)</f>
        <v>3.43953298110984E-014</v>
      </c>
      <c r="CR44" s="19" t="n">
        <f aca="false">CR43*(1-Time!CR20)</f>
        <v>3.38345363902653E-014</v>
      </c>
      <c r="CS44" s="19" t="n">
        <f aca="false">CS43*(1-Time!CS20)</f>
        <v>3.43953298110984E-014</v>
      </c>
      <c r="CT44" s="19" t="n">
        <f aca="false">CT43*(1-Time!CT20)</f>
        <v>3.38345363902653E-014</v>
      </c>
      <c r="CU44" s="19" t="n">
        <f aca="false">CU43*(1-Time!CU20)</f>
        <v>3.43953298110984E-014</v>
      </c>
      <c r="CV44" s="19" t="n">
        <f aca="false">CV43*(1-Time!CV20)</f>
        <v>3.4021467530543E-014</v>
      </c>
      <c r="CW44" s="19" t="n">
        <f aca="false">CW43*(1-Time!CW20)</f>
        <v>3.43953298110984E-014</v>
      </c>
      <c r="CX44" s="19" t="n">
        <f aca="false">CX43*(1-Time!CX20)</f>
        <v>3.38345363902653E-014</v>
      </c>
      <c r="CY44" s="19" t="n">
        <f aca="false">CY43*(1-Time!CY20)</f>
        <v>3.43953298110984E-014</v>
      </c>
      <c r="CZ44" s="19" t="n">
        <f aca="false">CZ43*(1-Time!CZ20)</f>
        <v>3.38345363902653E-014</v>
      </c>
      <c r="DA44" s="19" t="n">
        <f aca="false">DA43*(1-Time!DA20)</f>
        <v>3.43953298110984E-014</v>
      </c>
      <c r="DB44" s="19" t="n">
        <f aca="false">DB43*(1-Time!DB20)</f>
        <v>3.38345363902653E-014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0.0038436465085379</v>
      </c>
      <c r="AW45" s="19" t="n">
        <f aca="false">IF(OR(Time!AW20=1,Time!AW34=1,Time!AW23=1),0,MIN(Inputs!$F$96*AW40,AW42))</f>
        <v>0.818489457293644</v>
      </c>
      <c r="AX45" s="19" t="n">
        <f aca="false">IF(OR(Time!AX20=1,Time!AX34=1,Time!AX23=1),0,MIN(Inputs!$F$96*AX40,AX42))</f>
        <v>0.969211253556927</v>
      </c>
      <c r="AY45" s="19" t="n">
        <f aca="false">IF(OR(Time!AY20=1,Time!AY34=1,Time!AY23=1),0,MIN(Inputs!$F$96*AY40,AY42))</f>
        <v>0.831497969569617</v>
      </c>
      <c r="AZ45" s="19" t="n">
        <f aca="false">IF(OR(Time!AZ20=1,Time!AZ34=1,Time!AZ23=1),0,MIN(Inputs!$F$96*AZ40,AZ42))</f>
        <v>1.0306503213847</v>
      </c>
      <c r="BA45" s="19" t="n">
        <f aca="false">IF(OR(Time!BA20=1,Time!BA34=1,Time!BA23=1),0,MIN(Inputs!$F$96*BA40,BA42))</f>
        <v>1.53525978341402</v>
      </c>
      <c r="BB45" s="19" t="n">
        <f aca="false">IF(OR(Time!BB20=1,Time!BB34=1,Time!BB23=1),0,MIN(Inputs!$F$96*BB40,BB42))</f>
        <v>1.70858526790226</v>
      </c>
      <c r="BC45" s="19" t="n">
        <f aca="false">IF(OR(Time!BC20=1,Time!BC34=1,Time!BC23=1),0,MIN(Inputs!$F$96*BC40,BC42))</f>
        <v>3.71025285073183</v>
      </c>
      <c r="BD45" s="19" t="n">
        <f aca="false">IF(OR(Time!BD20=1,Time!BD34=1,Time!BD23=1),0,MIN(Inputs!$F$96*BD40,BD42))</f>
        <v>3.94241338567482</v>
      </c>
      <c r="BE45" s="19" t="n">
        <f aca="false">IF(OR(Time!BE20=1,Time!BE34=1,Time!BE23=1),0,MIN(Inputs!$F$96*BE40,BE42))</f>
        <v>5.2973190962132</v>
      </c>
      <c r="BF45" s="19" t="n">
        <f aca="false">IF(OR(Time!BF20=1,Time!BF34=1,Time!BF23=1),0,MIN(Inputs!$F$96*BF40,BF42))</f>
        <v>5.5721356602154</v>
      </c>
      <c r="BG45" s="19" t="n">
        <f aca="false">IF(OR(Time!BG20=1,Time!BG34=1,Time!BG23=1),0,MIN(Inputs!$F$96*BG40,BG42))</f>
        <v>6.32075384573467</v>
      </c>
      <c r="BH45" s="19" t="n">
        <f aca="false">IF(OR(Time!BH20=1,Time!BH34=1,Time!BH23=1),0,MIN(Inputs!$F$96*BH40,BH42))</f>
        <v>6.6865859678789</v>
      </c>
      <c r="BI45" s="19" t="n">
        <f aca="false">IF(OR(Time!BI20=1,Time!BI34=1,Time!BI23=1),0,MIN(Inputs!$F$96*BI40,BI42))</f>
        <v>7.45542151189288</v>
      </c>
      <c r="BJ45" s="19" t="n">
        <f aca="false">IF(OR(Time!BJ20=1,Time!BJ34=1,Time!BJ23=1),0,MIN(Inputs!$F$96*BJ40,BJ42))</f>
        <v>7.78762701908283</v>
      </c>
      <c r="BK45" s="19" t="n">
        <f aca="false">IF(OR(Time!BK20=1,Time!BK34=1,Time!BK23=1),0,MIN(Inputs!$F$96*BK40,BK42))</f>
        <v>8.68852305378987</v>
      </c>
      <c r="BL45" s="19" t="n">
        <f aca="false">IF(OR(Time!BL20=1,Time!BL34=1,Time!BL23=1),0,MIN(Inputs!$F$96*BL40,BL42))</f>
        <v>9.052915958653</v>
      </c>
      <c r="BM45" s="19" t="n">
        <f aca="false">IF(OR(Time!BM20=1,Time!BM34=1,Time!BM23=1),0,MIN(Inputs!$F$96*BM40,BM42))</f>
        <v>10.021749019548</v>
      </c>
      <c r="BN45" s="19" t="n">
        <f aca="false">IF(OR(Time!BN20=1,Time!BN34=1,Time!BN23=1),0,MIN(Inputs!$F$96*BN40,BN42))</f>
        <v>10.4200208239428</v>
      </c>
      <c r="BO45" s="19" t="n">
        <f aca="false">IF(OR(Time!BO20=1,Time!BO34=1,Time!BO23=1),0,MIN(Inputs!$F$96*BO40,BO42))</f>
        <v>8.32458164329666</v>
      </c>
      <c r="BP45" s="19" t="n">
        <f aca="false">IF(OR(Time!BP20=1,Time!BP34=1,Time!BP23=1),0,MIN(Inputs!$F$96*BP40,BP42))</f>
        <v>8.7647787452884</v>
      </c>
      <c r="BQ45" s="19" t="n">
        <f aca="false">IF(OR(Time!BQ20=1,Time!BQ34=1,Time!BQ23=1),0,MIN(Inputs!$F$96*BQ40,BQ42))</f>
        <v>9.7263535580549</v>
      </c>
      <c r="BR45" s="19" t="n">
        <f aca="false">IF(OR(Time!BR20=1,Time!BR34=1,Time!BR23=1),0,MIN(Inputs!$F$96*BR40,BR42))</f>
        <v>9.8996002006545</v>
      </c>
      <c r="BS45" s="19" t="n">
        <f aca="false">IF(OR(Time!BS20=1,Time!BS34=1,Time!BS23=1),0,MIN(Inputs!$F$96*BS40,BS42))</f>
        <v>10.9984138876843</v>
      </c>
      <c r="BT45" s="19" t="n">
        <f aca="false">IF(OR(Time!BT20=1,Time!BT34=1,Time!BT23=1),0,MIN(Inputs!$F$96*BT40,BT42))</f>
        <v>11.1959385054198</v>
      </c>
      <c r="BU45" s="19" t="n">
        <f aca="false">IF(OR(Time!BU20=1,Time!BU34=1,Time!BU23=1),0,MIN(Inputs!$F$96*BU40,BU42))</f>
        <v>15.5094840311925</v>
      </c>
      <c r="BV45" s="19" t="n">
        <f aca="false">IF(OR(Time!BV20=1,Time!BV34=1,Time!BV23=1),0,MIN(Inputs!$F$96*BV40,BV42))</f>
        <v>15.8153043927647</v>
      </c>
      <c r="BW45" s="19" t="n">
        <f aca="false">IF(OR(Time!BW20=1,Time!BW34=1,Time!BW23=1),0,MIN(Inputs!$F$96*BW40,BW42))</f>
        <v>17.1464309345244</v>
      </c>
      <c r="BX45" s="19" t="n">
        <f aca="false">IF(OR(Time!BX20=1,Time!BX34=1,Time!BX23=1),0,MIN(Inputs!$F$96*BX40,BX42))</f>
        <v>17.5943794641159</v>
      </c>
      <c r="BY45" s="19" t="n">
        <f aca="false">IF(OR(Time!BY20=1,Time!BY34=1,Time!BY23=1),0,MIN(Inputs!$F$96*BY40,BY42))</f>
        <v>18.9025626623343</v>
      </c>
      <c r="BZ45" s="19" t="n">
        <f aca="false">IF(OR(Time!BZ20=1,Time!BZ34=1,Time!BZ23=1),0,MIN(Inputs!$F$96*BZ40,BZ42))</f>
        <v>19.2724511110241</v>
      </c>
      <c r="CA45" s="19" t="n">
        <f aca="false">IF(OR(Time!CA20=1,Time!CA34=1,Time!CA23=1),0,MIN(Inputs!$F$96*CA40,CA42))</f>
        <v>18.7495244434986</v>
      </c>
      <c r="CB45" s="19" t="n">
        <f aca="false">IF(OR(Time!CB20=1,Time!CB34=1,Time!CB23=1),0,MIN(Inputs!$F$96*CB40,CB42))</f>
        <v>19.1016386723221</v>
      </c>
      <c r="CC45" s="19" t="n">
        <f aca="false">IF(OR(Time!CC20=1,Time!CC34=1,Time!CC23=1),0,MIN(Inputs!$F$96*CC40,CC42))</f>
        <v>20.6477723464192</v>
      </c>
      <c r="CD45" s="19" t="n">
        <f aca="false">IF(OR(Time!CD20=1,Time!CD34=1,Time!CD23=1),0,MIN(Inputs!$F$96*CD40,CD42))</f>
        <v>21.0356450230623</v>
      </c>
      <c r="CE45" s="19" t="n">
        <f aca="false">IF(OR(Time!CE20=1,Time!CE34=1,Time!CE23=1),0,MIN(Inputs!$F$96*CE40,CE42))</f>
        <v>21.6955804349028</v>
      </c>
      <c r="CF45" s="19" t="n">
        <f aca="false">IF(OR(Time!CF20=1,Time!CF34=1,Time!CF23=1),0,MIN(Inputs!$F$96*CF40,CF42))</f>
        <v>19.4376203738172</v>
      </c>
      <c r="CG45" s="19" t="n">
        <f aca="false">IF(OR(Time!CG20=1,Time!CG34=1,Time!CG23=1),0,MIN(Inputs!$F$96*CG40,CG42))</f>
        <v>21.2872597324844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5.1260606478615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229.615326855623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355.884337959225</v>
      </c>
      <c r="W46" s="19" t="n">
        <f aca="false">W42+Funding!W35-Waterfall!W20-Waterfall!W31</f>
        <v>367.534421450565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396.954732409341</v>
      </c>
      <c r="AW46" s="19" t="n">
        <f aca="false">AW42+Funding!AW35-Waterfall!AW20-Waterfall!AW31</f>
        <v>396.136242952048</v>
      </c>
      <c r="AX46" s="19" t="n">
        <f aca="false">AX42+Funding!AX35-Waterfall!AX20-Waterfall!AX31</f>
        <v>395.167031698491</v>
      </c>
      <c r="AY46" s="19" t="n">
        <f aca="false">AY42+Funding!AY35-Waterfall!AY20-Waterfall!AY31</f>
        <v>394.335533728921</v>
      </c>
      <c r="AZ46" s="19" t="n">
        <f aca="false">AZ42+Funding!AZ35-Waterfall!AZ20-Waterfall!AZ31</f>
        <v>393.304883407536</v>
      </c>
      <c r="BA46" s="19" t="n">
        <f aca="false">BA42+Funding!BA35-Waterfall!BA20-Waterfall!BA31</f>
        <v>391.769623624122</v>
      </c>
      <c r="BB46" s="19" t="n">
        <f aca="false">BB42+Funding!BB35-Waterfall!BB20-Waterfall!BB31</f>
        <v>390.06103835622</v>
      </c>
      <c r="BC46" s="19" t="n">
        <f aca="false">BC42+Funding!BC35-Waterfall!BC20-Waterfall!BC31</f>
        <v>386.350785505488</v>
      </c>
      <c r="BD46" s="19" t="n">
        <f aca="false">BD42+Funding!BD35-Waterfall!BD20-Waterfall!BD31</f>
        <v>382.408372119814</v>
      </c>
      <c r="BE46" s="19" t="n">
        <f aca="false">BE42+Funding!BE35-Waterfall!BE20-Waterfall!BE31</f>
        <v>377.1110530236</v>
      </c>
      <c r="BF46" s="19" t="n">
        <f aca="false">BF42+Funding!BF35-Waterfall!BF20-Waterfall!BF31</f>
        <v>371.538917363385</v>
      </c>
      <c r="BG46" s="19" t="n">
        <f aca="false">BG42+Funding!BG35-Waterfall!BG20-Waterfall!BG31</f>
        <v>365.21816351765</v>
      </c>
      <c r="BH46" s="19" t="n">
        <f aca="false">BH42+Funding!BH35-Waterfall!BH20-Waterfall!BH31</f>
        <v>358.531577549771</v>
      </c>
      <c r="BI46" s="19" t="n">
        <f aca="false">BI42+Funding!BI35-Waterfall!BI20-Waterfall!BI31</f>
        <v>351.076156037879</v>
      </c>
      <c r="BJ46" s="19" t="n">
        <f aca="false">BJ42+Funding!BJ35-Waterfall!BJ20-Waterfall!BJ31</f>
        <v>343.288529018796</v>
      </c>
      <c r="BK46" s="19" t="n">
        <f aca="false">BK42+Funding!BK35-Waterfall!BK20-Waterfall!BK31</f>
        <v>334.600005965006</v>
      </c>
      <c r="BL46" s="19" t="n">
        <f aca="false">BL42+Funding!BL35-Waterfall!BL20-Waterfall!BL31</f>
        <v>325.547090006353</v>
      </c>
      <c r="BM46" s="19" t="n">
        <f aca="false">BM42+Funding!BM35-Waterfall!BM20-Waterfall!BM31</f>
        <v>315.525340986805</v>
      </c>
      <c r="BN46" s="19" t="n">
        <f aca="false">BN42+Funding!BN35-Waterfall!BN20-Waterfall!BN31</f>
        <v>305.105320162862</v>
      </c>
      <c r="BO46" s="19" t="n">
        <f aca="false">BO42+Funding!BO35-Waterfall!BO20-Waterfall!BO31</f>
        <v>296.780738519566</v>
      </c>
      <c r="BP46" s="19" t="n">
        <f aca="false">BP42+Funding!BP35-Waterfall!BP20-Waterfall!BP31</f>
        <v>288.015959774277</v>
      </c>
      <c r="BQ46" s="19" t="n">
        <f aca="false">BQ42+Funding!BQ35-Waterfall!BQ20-Waterfall!BQ31</f>
        <v>278.289606216222</v>
      </c>
      <c r="BR46" s="19" t="n">
        <f aca="false">BR42+Funding!BR35-Waterfall!BR20-Waterfall!BR31</f>
        <v>268.390006015568</v>
      </c>
      <c r="BS46" s="19" t="n">
        <f aca="false">BS42+Funding!BS35-Waterfall!BS20-Waterfall!BS31</f>
        <v>257.391592127883</v>
      </c>
      <c r="BT46" s="19" t="n">
        <f aca="false">BT42+Funding!BT35-Waterfall!BT20-Waterfall!BT31</f>
        <v>246.195653622464</v>
      </c>
      <c r="BU46" s="19" t="n">
        <f aca="false">BU42+Funding!BU35-Waterfall!BU20-Waterfall!BU31</f>
        <v>230.686169591271</v>
      </c>
      <c r="BV46" s="19" t="n">
        <f aca="false">BV42+Funding!BV35-Waterfall!BV20-Waterfall!BV31</f>
        <v>214.870865198507</v>
      </c>
      <c r="BW46" s="19" t="n">
        <f aca="false">BW42+Funding!BW35-Waterfall!BW20-Waterfall!BW31</f>
        <v>197.724434263982</v>
      </c>
      <c r="BX46" s="19" t="n">
        <f aca="false">BX42+Funding!BX35-Waterfall!BX20-Waterfall!BX31</f>
        <v>180.130054799866</v>
      </c>
      <c r="BY46" s="19" t="n">
        <f aca="false">BY42+Funding!BY35-Waterfall!BY20-Waterfall!BY31</f>
        <v>161.227492137532</v>
      </c>
      <c r="BZ46" s="19" t="n">
        <f aca="false">BZ42+Funding!BZ35-Waterfall!BZ20-Waterfall!BZ31</f>
        <v>141.955041026508</v>
      </c>
      <c r="CA46" s="19" t="n">
        <f aca="false">CA42+Funding!CA35-Waterfall!CA20-Waterfall!CA31</f>
        <v>123.205516583009</v>
      </c>
      <c r="CB46" s="19" t="n">
        <f aca="false">CB42+Funding!CB35-Waterfall!CB20-Waterfall!CB31</f>
        <v>104.103877910687</v>
      </c>
      <c r="CC46" s="19" t="n">
        <f aca="false">CC42+Funding!CC35-Waterfall!CC20-Waterfall!CC31</f>
        <v>83.456105564268</v>
      </c>
      <c r="CD46" s="19" t="n">
        <f aca="false">CD42+Funding!CD35-Waterfall!CD20-Waterfall!CD31</f>
        <v>62.4204605412056</v>
      </c>
      <c r="CE46" s="19" t="n">
        <f aca="false">CE42+Funding!CE35-Waterfall!CE20-Waterfall!CE31</f>
        <v>40.7248801063028</v>
      </c>
      <c r="CF46" s="19" t="n">
        <f aca="false">CF42+Funding!CF35-Waterfall!CF20-Waterfall!CF31</f>
        <v>21.2872597324856</v>
      </c>
      <c r="CG46" s="19" t="n">
        <f aca="false">CG42+Funding!CG35-Waterfall!CG20-Waterfall!CG31</f>
        <v>1.18660636871937E-012</v>
      </c>
      <c r="CH46" s="19" t="n">
        <f aca="false">CH42+Funding!CH35-Waterfall!CH20-Waterfall!CH31</f>
        <v>1.18660636871937E-012</v>
      </c>
      <c r="CI46" s="19" t="n">
        <f aca="false">CI42+Funding!CI35-Waterfall!CI20-Waterfall!CI31</f>
        <v>1.18660636871937E-012</v>
      </c>
      <c r="CJ46" s="19" t="n">
        <f aca="false">CJ42+Funding!CJ35-Waterfall!CJ20-Waterfall!CJ31</f>
        <v>1.18660636871937E-012</v>
      </c>
      <c r="CK46" s="19" t="n">
        <f aca="false">CK42+Funding!CK35-Waterfall!CK20-Waterfall!CK31</f>
        <v>1.18660636871937E-012</v>
      </c>
      <c r="CL46" s="19" t="n">
        <f aca="false">CL42+Funding!CL35-Waterfall!CL20-Waterfall!CL31</f>
        <v>1.18660636871937E-012</v>
      </c>
      <c r="CM46" s="19" t="n">
        <f aca="false">CM42+Funding!CM35-Waterfall!CM20-Waterfall!CM31</f>
        <v>1.18660636871937E-012</v>
      </c>
      <c r="CN46" s="19" t="n">
        <f aca="false">CN42+Funding!CN35-Waterfall!CN20-Waterfall!CN31</f>
        <v>1.18660636871937E-012</v>
      </c>
      <c r="CO46" s="19" t="n">
        <f aca="false">CO42+Funding!CO35-Waterfall!CO20-Waterfall!CO31</f>
        <v>1.18660636871937E-012</v>
      </c>
      <c r="CP46" s="19" t="n">
        <f aca="false">CP42+Funding!CP35-Waterfall!CP20-Waterfall!CP31</f>
        <v>1.18660636871937E-012</v>
      </c>
      <c r="CQ46" s="19" t="n">
        <f aca="false">CQ42+Funding!CQ35-Waterfall!CQ20-Waterfall!CQ31</f>
        <v>1.18660636871937E-012</v>
      </c>
      <c r="CR46" s="19" t="n">
        <f aca="false">CR42+Funding!CR35-Waterfall!CR20-Waterfall!CR31</f>
        <v>1.18660636871937E-012</v>
      </c>
      <c r="CS46" s="19" t="n">
        <f aca="false">CS42+Funding!CS35-Waterfall!CS20-Waterfall!CS31</f>
        <v>1.18660636871937E-012</v>
      </c>
      <c r="CT46" s="19" t="n">
        <f aca="false">CT42+Funding!CT35-Waterfall!CT20-Waterfall!CT31</f>
        <v>1.18660636871937E-012</v>
      </c>
      <c r="CU46" s="19" t="n">
        <f aca="false">CU42+Funding!CU35-Waterfall!CU20-Waterfall!CU31</f>
        <v>1.18660636871937E-012</v>
      </c>
      <c r="CV46" s="19" t="n">
        <f aca="false">CV42+Funding!CV35-Waterfall!CV20-Waterfall!CV31</f>
        <v>1.18660636871937E-012</v>
      </c>
      <c r="CW46" s="19" t="n">
        <f aca="false">CW42+Funding!CW35-Waterfall!CW20-Waterfall!CW31</f>
        <v>1.18660636871937E-012</v>
      </c>
      <c r="CX46" s="19" t="n">
        <f aca="false">CX42+Funding!CX35-Waterfall!CX20-Waterfall!CX31</f>
        <v>1.18660636871937E-012</v>
      </c>
      <c r="CY46" s="19" t="n">
        <f aca="false">CY42+Funding!CY35-Waterfall!CY20-Waterfall!CY31</f>
        <v>1.18660636871937E-012</v>
      </c>
      <c r="CZ46" s="19" t="n">
        <f aca="false">CZ42+Funding!CZ35-Waterfall!CZ20-Waterfall!CZ31</f>
        <v>1.18660636871937E-012</v>
      </c>
      <c r="DA46" s="19" t="n">
        <f aca="false">DA42+Funding!DA35-Waterfall!DA20-Waterfall!DA31</f>
        <v>1.18660636871937E-012</v>
      </c>
      <c r="DB46" s="19" t="n">
        <f aca="false">DB42+Funding!DB35-Waterfall!DB20-Waterfall!DB31</f>
        <v>1.18660636871937E-012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5.1260606478615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229.615326855623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355.884337959225</v>
      </c>
      <c r="W47" s="19" t="n">
        <f aca="false">IF(Time!W35=1,0,W46)</f>
        <v>367.534421450565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396.954732409341</v>
      </c>
      <c r="AW47" s="19" t="n">
        <f aca="false">IF(Time!AW35=1,0,AW46)</f>
        <v>396.136242952048</v>
      </c>
      <c r="AX47" s="19" t="n">
        <f aca="false">IF(Time!AX35=1,0,AX46)</f>
        <v>395.167031698491</v>
      </c>
      <c r="AY47" s="19" t="n">
        <f aca="false">IF(Time!AY35=1,0,AY46)</f>
        <v>394.335533728921</v>
      </c>
      <c r="AZ47" s="19" t="n">
        <f aca="false">IF(Time!AZ35=1,0,AZ46)</f>
        <v>393.304883407536</v>
      </c>
      <c r="BA47" s="19" t="n">
        <f aca="false">IF(Time!BA35=1,0,BA46)</f>
        <v>391.769623624122</v>
      </c>
      <c r="BB47" s="19" t="n">
        <f aca="false">IF(Time!BB35=1,0,BB46)</f>
        <v>390.06103835622</v>
      </c>
      <c r="BC47" s="19" t="n">
        <f aca="false">IF(Time!BC35=1,0,BC46)</f>
        <v>386.350785505488</v>
      </c>
      <c r="BD47" s="19" t="n">
        <f aca="false">IF(Time!BD35=1,0,BD46)</f>
        <v>382.408372119814</v>
      </c>
      <c r="BE47" s="19" t="n">
        <f aca="false">IF(Time!BE35=1,0,BE46)</f>
        <v>377.1110530236</v>
      </c>
      <c r="BF47" s="19" t="n">
        <f aca="false">IF(Time!BF35=1,0,BF46)</f>
        <v>371.538917363385</v>
      </c>
      <c r="BG47" s="19" t="n">
        <f aca="false">IF(Time!BG35=1,0,BG46)</f>
        <v>365.21816351765</v>
      </c>
      <c r="BH47" s="19" t="n">
        <f aca="false">IF(Time!BH35=1,0,BH46)</f>
        <v>358.531577549771</v>
      </c>
      <c r="BI47" s="19" t="n">
        <f aca="false">IF(Time!BI35=1,0,BI46)</f>
        <v>351.076156037879</v>
      </c>
      <c r="BJ47" s="19" t="n">
        <f aca="false">IF(Time!BJ35=1,0,BJ46)</f>
        <v>343.288529018796</v>
      </c>
      <c r="BK47" s="19" t="n">
        <f aca="false">IF(Time!BK35=1,0,BK46)</f>
        <v>334.600005965006</v>
      </c>
      <c r="BL47" s="19" t="n">
        <f aca="false">IF(Time!BL35=1,0,BL46)</f>
        <v>325.547090006353</v>
      </c>
      <c r="BM47" s="19" t="n">
        <f aca="false">IF(Time!BM35=1,0,BM46)</f>
        <v>315.525340986805</v>
      </c>
      <c r="BN47" s="19" t="n">
        <f aca="false">IF(Time!BN35=1,0,BN46)</f>
        <v>305.105320162862</v>
      </c>
      <c r="BO47" s="19" t="n">
        <f aca="false">IF(Time!BO35=1,0,BO46)</f>
        <v>296.780738519566</v>
      </c>
      <c r="BP47" s="19" t="n">
        <f aca="false">IF(Time!BP35=1,0,BP46)</f>
        <v>288.015959774277</v>
      </c>
      <c r="BQ47" s="19" t="n">
        <f aca="false">IF(Time!BQ35=1,0,BQ46)</f>
        <v>278.289606216222</v>
      </c>
      <c r="BR47" s="19" t="n">
        <f aca="false">IF(Time!BR35=1,0,BR46)</f>
        <v>268.390006015568</v>
      </c>
      <c r="BS47" s="19" t="n">
        <f aca="false">IF(Time!BS35=1,0,BS46)</f>
        <v>257.391592127883</v>
      </c>
      <c r="BT47" s="19" t="n">
        <f aca="false">IF(Time!BT35=1,0,BT46)</f>
        <v>246.195653622464</v>
      </c>
      <c r="BU47" s="19" t="n">
        <f aca="false">IF(Time!BU35=1,0,BU46)</f>
        <v>230.686169591271</v>
      </c>
      <c r="BV47" s="19" t="n">
        <f aca="false">IF(Time!BV35=1,0,BV46)</f>
        <v>214.870865198507</v>
      </c>
      <c r="BW47" s="19" t="n">
        <f aca="false">IF(Time!BW35=1,0,BW46)</f>
        <v>197.724434263982</v>
      </c>
      <c r="BX47" s="19" t="n">
        <f aca="false">IF(Time!BX35=1,0,BX46)</f>
        <v>180.130054799866</v>
      </c>
      <c r="BY47" s="19" t="n">
        <f aca="false">IF(Time!BY35=1,0,BY46)</f>
        <v>161.227492137532</v>
      </c>
      <c r="BZ47" s="19" t="n">
        <f aca="false">IF(Time!BZ35=1,0,BZ46)</f>
        <v>141.955041026508</v>
      </c>
      <c r="CA47" s="19" t="n">
        <f aca="false">IF(Time!CA35=1,0,CA46)</f>
        <v>123.205516583009</v>
      </c>
      <c r="CB47" s="19" t="n">
        <f aca="false">IF(Time!CB35=1,0,CB46)</f>
        <v>104.103877910687</v>
      </c>
      <c r="CC47" s="19" t="n">
        <f aca="false">IF(Time!CC35=1,0,CC46)</f>
        <v>83.456105564268</v>
      </c>
      <c r="CD47" s="19" t="n">
        <f aca="false">IF(Time!CD35=1,0,CD46)</f>
        <v>62.4204605412056</v>
      </c>
      <c r="CE47" s="19" t="n">
        <f aca="false">IF(Time!CE35=1,0,CE46)</f>
        <v>40.7248801063028</v>
      </c>
      <c r="CF47" s="19" t="n">
        <f aca="false">IF(Time!CF35=1,0,CF46)</f>
        <v>21.2872597324856</v>
      </c>
      <c r="CG47" s="19" t="n">
        <f aca="false">IF(Time!CG35=1,0,CG46)</f>
        <v>1.18660636871937E-012</v>
      </c>
      <c r="CH47" s="19" t="n">
        <f aca="false">IF(Time!CH35=1,0,CH46)</f>
        <v>1.18660636871937E-012</v>
      </c>
      <c r="CI47" s="19" t="n">
        <f aca="false">IF(Time!CI35=1,0,CI46)</f>
        <v>1.18660636871937E-012</v>
      </c>
      <c r="CJ47" s="19" t="n">
        <f aca="false">IF(Time!CJ35=1,0,CJ46)</f>
        <v>1.18660636871937E-012</v>
      </c>
      <c r="CK47" s="19" t="n">
        <f aca="false">IF(Time!CK35=1,0,CK46)</f>
        <v>1.18660636871937E-012</v>
      </c>
      <c r="CL47" s="19" t="n">
        <f aca="false">IF(Time!CL35=1,0,CL46)</f>
        <v>1.18660636871937E-012</v>
      </c>
      <c r="CM47" s="19" t="n">
        <f aca="false">IF(Time!CM35=1,0,CM46)</f>
        <v>1.18660636871937E-012</v>
      </c>
      <c r="CN47" s="19" t="n">
        <f aca="false">IF(Time!CN35=1,0,CN46)</f>
        <v>1.18660636871937E-012</v>
      </c>
      <c r="CO47" s="19" t="n">
        <f aca="false">IF(Time!CO35=1,0,CO46)</f>
        <v>1.18660636871937E-012</v>
      </c>
      <c r="CP47" s="19" t="n">
        <f aca="false">IF(Time!CP35=1,0,CP46)</f>
        <v>1.18660636871937E-012</v>
      </c>
      <c r="CQ47" s="19" t="n">
        <f aca="false">IF(Time!CQ35=1,0,CQ46)</f>
        <v>1.18660636871937E-012</v>
      </c>
      <c r="CR47" s="19" t="n">
        <f aca="false">IF(Time!CR35=1,0,CR46)</f>
        <v>1.18660636871937E-012</v>
      </c>
      <c r="CS47" s="19" t="n">
        <f aca="false">IF(Time!CS35=1,0,CS46)</f>
        <v>1.18660636871937E-012</v>
      </c>
      <c r="CT47" s="19" t="n">
        <f aca="false">IF(Time!CT35=1,0,CT46)</f>
        <v>1.18660636871937E-012</v>
      </c>
      <c r="CU47" s="19" t="n">
        <f aca="false">IF(Time!CU35=1,0,CU46)</f>
        <v>1.18660636871937E-012</v>
      </c>
      <c r="CV47" s="19" t="n">
        <f aca="false">IF(Time!CV35=1,0,CV46)</f>
        <v>1.18660636871937E-012</v>
      </c>
      <c r="CW47" s="19" t="n">
        <f aca="false">IF(Time!CW35=1,0,CW46)</f>
        <v>1.18660636871937E-012</v>
      </c>
      <c r="CX47" s="19" t="n">
        <f aca="false">IF(Time!CX35=1,0,CX46)</f>
        <v>1.18660636871937E-012</v>
      </c>
      <c r="CY47" s="19" t="n">
        <f aca="false">IF(Time!CY35=1,0,CY46)</f>
        <v>1.18660636871937E-012</v>
      </c>
      <c r="CZ47" s="19" t="n">
        <f aca="false">IF(Time!CZ35=1,0,CZ46)</f>
        <v>1.18660636871937E-012</v>
      </c>
      <c r="DA47" s="19" t="n">
        <f aca="false">IF(Time!DA35=1,0,DA46)</f>
        <v>1.18660636871937E-012</v>
      </c>
      <c r="DB47" s="19" t="n">
        <f aca="false">IF(Time!DB35=1,0,DB46)</f>
        <v>1.18660636871937E-012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485.166895166973</v>
      </c>
      <c r="AX49" s="19" t="n">
        <f aca="false">IF(Time!AX6=1,Funding!$F$7,AW54)</f>
        <v>484.166519163614</v>
      </c>
      <c r="AY49" s="19" t="n">
        <f aca="false">IF(Time!AY6=1,Funding!$F$7,AX54)</f>
        <v>482.981927631489</v>
      </c>
      <c r="AZ49" s="19" t="n">
        <f aca="false">IF(Time!AZ6=1,Funding!$F$7,AY54)</f>
        <v>481.965652335348</v>
      </c>
      <c r="BA49" s="19" t="n">
        <f aca="false">IF(Time!BA6=1,Funding!$F$7,AZ54)</f>
        <v>480.705968609211</v>
      </c>
      <c r="BB49" s="19" t="n">
        <f aca="false">IF(Time!BB6=1,Funding!$F$7,BA54)</f>
        <v>478.829539985039</v>
      </c>
      <c r="BC49" s="19" t="n">
        <f aca="false">IF(Time!BC6=1,Funding!$F$7,BB54)</f>
        <v>476.741269102047</v>
      </c>
      <c r="BD49" s="19" t="n">
        <f aca="false">IF(Time!BD6=1,Funding!$F$7,BC54)</f>
        <v>472.206515617819</v>
      </c>
      <c r="BE49" s="19" t="n">
        <f aca="false">IF(Time!BE6=1,Funding!$F$7,BD54)</f>
        <v>467.388010368661</v>
      </c>
      <c r="BF49" s="19" t="n">
        <f aca="false">IF(Time!BF6=1,Funding!$F$7,BE54)</f>
        <v>460.913509251067</v>
      </c>
      <c r="BG49" s="19" t="n">
        <f aca="false">IF(Time!BG6=1,Funding!$F$7,BF54)</f>
        <v>454.103121221915</v>
      </c>
      <c r="BH49" s="19" t="n">
        <f aca="false">IF(Time!BH6=1,Funding!$F$7,BG54)</f>
        <v>446.377755410462</v>
      </c>
      <c r="BI49" s="19" t="n">
        <f aca="false">IF(Time!BI6=1,Funding!$F$7,BH54)</f>
        <v>438.205261449721</v>
      </c>
      <c r="BJ49" s="19" t="n">
        <f aca="false">IF(Time!BJ6=1,Funding!$F$7,BI54)</f>
        <v>429.093079601852</v>
      </c>
      <c r="BK49" s="19" t="n">
        <f aca="false">IF(Time!BK6=1,Funding!$F$7,BJ54)</f>
        <v>419.57486880075</v>
      </c>
      <c r="BL49" s="19" t="n">
        <f aca="false">IF(Time!BL6=1,Funding!$F$7,BK54)</f>
        <v>408.955562846118</v>
      </c>
      <c r="BM49" s="19" t="n">
        <f aca="false">IF(Time!BM6=1,Funding!$F$7,BL54)</f>
        <v>397.890887785542</v>
      </c>
      <c r="BN49" s="19" t="n">
        <f aca="false">IF(Time!BN6=1,Funding!$F$7,BM54)</f>
        <v>385.642083428317</v>
      </c>
      <c r="BO49" s="19" t="n">
        <f aca="false">IF(Time!BO6=1,Funding!$F$7,BN54)</f>
        <v>372.906502421276</v>
      </c>
      <c r="BP49" s="19" t="n">
        <f aca="false">IF(Time!BP6=1,Funding!$F$7,BO54)</f>
        <v>362.732013746136</v>
      </c>
      <c r="BQ49" s="19" t="n">
        <f aca="false">IF(Time!BQ6=1,Funding!$F$7,BP54)</f>
        <v>352.019506390783</v>
      </c>
      <c r="BR49" s="19" t="n">
        <f aca="false">IF(Time!BR6=1,Funding!$F$7,BQ54)</f>
        <v>340.131740930938</v>
      </c>
      <c r="BS49" s="19" t="n">
        <f aca="false">IF(Time!BS6=1,Funding!$F$7,BR54)</f>
        <v>328.032229574583</v>
      </c>
      <c r="BT49" s="19" t="n">
        <f aca="false">IF(Time!BT6=1,Funding!$F$7,BS54)</f>
        <v>314.589723711858</v>
      </c>
      <c r="BU49" s="19" t="n">
        <f aca="false">IF(Time!BU6=1,Funding!$F$7,BT54)</f>
        <v>300.9057988719</v>
      </c>
      <c r="BV49" s="19" t="n">
        <f aca="false">IF(Time!BV6=1,Funding!$F$7,BU54)</f>
        <v>281.949762833776</v>
      </c>
      <c r="BW49" s="19" t="n">
        <f aca="false">IF(Time!BW6=1,Funding!$F$7,BV54)</f>
        <v>262.61994635373</v>
      </c>
      <c r="BX49" s="19" t="n">
        <f aca="false">IF(Time!BX6=1,Funding!$F$7,BW54)</f>
        <v>241.663197433756</v>
      </c>
      <c r="BY49" s="19" t="n">
        <f aca="false">IF(Time!BY6=1,Funding!$F$7,BX54)</f>
        <v>220.158955866503</v>
      </c>
      <c r="BZ49" s="19" t="n">
        <f aca="false">IF(Time!BZ6=1,Funding!$F$7,BY54)</f>
        <v>197.05582372365</v>
      </c>
      <c r="CA49" s="19" t="n">
        <f aca="false">IF(Time!CA6=1,Funding!$F$7,BZ54)</f>
        <v>173.500605699065</v>
      </c>
      <c r="CB49" s="19" t="n">
        <f aca="false">IF(Time!CB6=1,Funding!$F$7,CA54)</f>
        <v>150.584520268122</v>
      </c>
      <c r="CC49" s="19" t="n">
        <f aca="false">IF(Time!CC6=1,Funding!$F$7,CB54)</f>
        <v>127.238073001951</v>
      </c>
      <c r="CD49" s="19" t="n">
        <f aca="false">IF(Time!CD6=1,Funding!$F$7,CC54)</f>
        <v>102.001906800772</v>
      </c>
      <c r="CE49" s="19" t="n">
        <f aca="false">IF(Time!CE6=1,Funding!$F$7,CD54)</f>
        <v>76.2916739948068</v>
      </c>
      <c r="CF49" s="19" t="n">
        <f aca="false">IF(Time!CF6=1,Funding!$F$7,CE54)</f>
        <v>49.7748534632589</v>
      </c>
      <c r="CG49" s="19" t="n">
        <f aca="false">IF(Time!CG6=1,Funding!$F$7,CF54)</f>
        <v>26.0177618952601</v>
      </c>
      <c r="CH49" s="19" t="n">
        <f aca="false">IF(Time!CH6=1,Funding!$F$7,CG54)</f>
        <v>1.36068933898059E-012</v>
      </c>
      <c r="CI49" s="19" t="n">
        <f aca="false">IF(Time!CI6=1,Funding!$F$7,CH54)</f>
        <v>1.36068933898059E-012</v>
      </c>
      <c r="CJ49" s="19" t="n">
        <f aca="false">IF(Time!CJ6=1,Funding!$F$7,CI54)</f>
        <v>1.36068933898059E-012</v>
      </c>
      <c r="CK49" s="19" t="n">
        <f aca="false">IF(Time!CK6=1,Funding!$F$7,CJ54)</f>
        <v>1.36068933898059E-012</v>
      </c>
      <c r="CL49" s="19" t="n">
        <f aca="false">IF(Time!CL6=1,Funding!$F$7,CK54)</f>
        <v>1.36068933898059E-012</v>
      </c>
      <c r="CM49" s="19" t="n">
        <f aca="false">IF(Time!CM6=1,Funding!$F$7,CL54)</f>
        <v>1.36068933898059E-012</v>
      </c>
      <c r="CN49" s="19" t="n">
        <f aca="false">IF(Time!CN6=1,Funding!$F$7,CM54)</f>
        <v>1.36068933898059E-012</v>
      </c>
      <c r="CO49" s="19" t="n">
        <f aca="false">IF(Time!CO6=1,Funding!$F$7,CN54)</f>
        <v>1.36068933898059E-012</v>
      </c>
      <c r="CP49" s="19" t="n">
        <f aca="false">IF(Time!CP6=1,Funding!$F$7,CO54)</f>
        <v>1.36068933898059E-012</v>
      </c>
      <c r="CQ49" s="19" t="n">
        <f aca="false">IF(Time!CQ6=1,Funding!$F$7,CP54)</f>
        <v>1.36068933898059E-012</v>
      </c>
      <c r="CR49" s="19" t="n">
        <f aca="false">IF(Time!CR6=1,Funding!$F$7,CQ54)</f>
        <v>1.36068933898059E-012</v>
      </c>
      <c r="CS49" s="19" t="n">
        <f aca="false">IF(Time!CS6=1,Funding!$F$7,CR54)</f>
        <v>1.36068933898059E-012</v>
      </c>
      <c r="CT49" s="19" t="n">
        <f aca="false">IF(Time!CT6=1,Funding!$F$7,CS54)</f>
        <v>1.36068933898059E-012</v>
      </c>
      <c r="CU49" s="19" t="n">
        <f aca="false">IF(Time!CU6=1,Funding!$F$7,CT54)</f>
        <v>1.36068933898059E-012</v>
      </c>
      <c r="CV49" s="19" t="n">
        <f aca="false">IF(Time!CV6=1,Funding!$F$7,CU54)</f>
        <v>1.36068933898059E-012</v>
      </c>
      <c r="CW49" s="19" t="n">
        <f aca="false">IF(Time!CW6=1,Funding!$F$7,CV54)</f>
        <v>1.36068933898059E-012</v>
      </c>
      <c r="CX49" s="19" t="n">
        <f aca="false">IF(Time!CX6=1,Funding!$F$7,CW54)</f>
        <v>1.36068933898059E-012</v>
      </c>
      <c r="CY49" s="19" t="n">
        <f aca="false">IF(Time!CY6=1,Funding!$F$7,CX54)</f>
        <v>1.36068933898059E-012</v>
      </c>
      <c r="CZ49" s="19" t="n">
        <f aca="false">IF(Time!CZ6=1,Funding!$F$7,CY54)</f>
        <v>1.36068933898059E-012</v>
      </c>
      <c r="DA49" s="19" t="n">
        <f aca="false">IF(Time!DA6=1,Funding!$F$7,CZ54)</f>
        <v>1.36068933898059E-012</v>
      </c>
      <c r="DB49" s="19" t="n">
        <f aca="false">IF(Time!DB6=1,Funding!$F$7,DA54)</f>
        <v>1.36068933898059E-012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656.573089267066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11.7652972077991</v>
      </c>
      <c r="AX50" s="19" t="n">
        <f aca="false">AX49*Inputs!$F$110*Time!AX10/Inputs!$F$46</f>
        <v>11.7410380897176</v>
      </c>
      <c r="AY50" s="19" t="n">
        <f aca="false">AY49*Inputs!$F$110*Time!AY10/Inputs!$F$46</f>
        <v>11.7123117450636</v>
      </c>
      <c r="AZ50" s="19" t="n">
        <f aca="false">AZ49*Inputs!$F$110*Time!AZ10/Inputs!$F$46</f>
        <v>11.6876670691322</v>
      </c>
      <c r="BA50" s="19" t="n">
        <f aca="false">BA49*Inputs!$F$110*Time!BA10/Inputs!$F$46</f>
        <v>11.6571197387734</v>
      </c>
      <c r="BB50" s="19" t="n">
        <f aca="false">BB49*Inputs!$F$110*Time!BB10/Inputs!$F$46</f>
        <v>11.6116163446372</v>
      </c>
      <c r="BC50" s="19" t="n">
        <f aca="false">BC49*Inputs!$F$110*Time!BC10/Inputs!$F$46</f>
        <v>11.5609757757246</v>
      </c>
      <c r="BD50" s="19" t="n">
        <f aca="false">BD49*Inputs!$F$110*Time!BD10/Inputs!$F$46</f>
        <v>11.4510080037321</v>
      </c>
      <c r="BE50" s="19" t="n">
        <f aca="false">BE49*Inputs!$F$110*Time!BE10/Inputs!$F$46</f>
        <v>11.33415925144</v>
      </c>
      <c r="BF50" s="19" t="n">
        <f aca="false">BF49*Inputs!$F$110*Time!BF10/Inputs!$F$46</f>
        <v>11.1771525993384</v>
      </c>
      <c r="BG50" s="19" t="n">
        <f aca="false">BG49*Inputs!$F$110*Time!BG10/Inputs!$F$46</f>
        <v>11.0120006896314</v>
      </c>
      <c r="BH50" s="19" t="n">
        <f aca="false">BH49*Inputs!$F$110*Time!BH10/Inputs!$F$46</f>
        <v>10.8246605687037</v>
      </c>
      <c r="BI50" s="19" t="n">
        <f aca="false">BI49*Inputs!$F$110*Time!BI10/Inputs!$F$46</f>
        <v>10.6264775901557</v>
      </c>
      <c r="BJ50" s="19" t="n">
        <f aca="false">BJ49*Inputs!$F$110*Time!BJ10/Inputs!$F$46</f>
        <v>10.4055071803449</v>
      </c>
      <c r="BK50" s="19" t="n">
        <f aca="false">BK49*Inputs!$F$110*Time!BK10/Inputs!$F$46</f>
        <v>10.1746905684182</v>
      </c>
      <c r="BL50" s="19" t="n">
        <f aca="false">BL49*Inputs!$F$110*Time!BL10/Inputs!$F$46</f>
        <v>9.91717239901837</v>
      </c>
      <c r="BM50" s="19" t="n">
        <f aca="false">BM49*Inputs!$F$110*Time!BM10/Inputs!$F$46</f>
        <v>9.6488540287994</v>
      </c>
      <c r="BN50" s="19" t="n">
        <f aca="false">BN49*Inputs!$F$110*Time!BN10/Inputs!$F$46</f>
        <v>9.35182052313669</v>
      </c>
      <c r="BO50" s="19" t="n">
        <f aca="false">BO49*Inputs!$F$110*Time!BO10/Inputs!$F$46</f>
        <v>9.04298268371594</v>
      </c>
      <c r="BP50" s="19" t="n">
        <f aca="false">BP49*Inputs!$F$110*Time!BP10/Inputs!$F$46</f>
        <v>8.79625133334379</v>
      </c>
      <c r="BQ50" s="19" t="n">
        <f aca="false">BQ49*Inputs!$F$110*Time!BQ10/Inputs!$F$46</f>
        <v>8.53647302997649</v>
      </c>
      <c r="BR50" s="19" t="n">
        <f aca="false">BR49*Inputs!$F$110*Time!BR10/Inputs!$F$46</f>
        <v>8.24819471757525</v>
      </c>
      <c r="BS50" s="19" t="n">
        <f aca="false">BS49*Inputs!$F$110*Time!BS10/Inputs!$F$46</f>
        <v>7.95478156718363</v>
      </c>
      <c r="BT50" s="19" t="n">
        <f aca="false">BT49*Inputs!$F$110*Time!BT10/Inputs!$F$46</f>
        <v>7.62880080001255</v>
      </c>
      <c r="BU50" s="19" t="n">
        <f aca="false">BU49*Inputs!$F$110*Time!BU10/Inputs!$F$46</f>
        <v>7.29696562264357</v>
      </c>
      <c r="BV50" s="19" t="n">
        <f aca="false">BV49*Inputs!$F$110*Time!BV10/Inputs!$F$46</f>
        <v>6.83728174871906</v>
      </c>
      <c r="BW50" s="19" t="n">
        <f aca="false">BW49*Inputs!$F$110*Time!BW10/Inputs!$F$46</f>
        <v>6.36853369907796</v>
      </c>
      <c r="BX50" s="19" t="n">
        <f aca="false">BX49*Inputs!$F$110*Time!BX10/Inputs!$F$46</f>
        <v>5.86033253776858</v>
      </c>
      <c r="BY50" s="19" t="n">
        <f aca="false">BY49*Inputs!$F$110*Time!BY10/Inputs!$F$46</f>
        <v>5.3388546797627</v>
      </c>
      <c r="BZ50" s="19" t="n">
        <f aca="false">BZ49*Inputs!$F$110*Time!BZ10/Inputs!$F$46</f>
        <v>4.77860372529852</v>
      </c>
      <c r="CA50" s="19" t="n">
        <f aca="false">CA49*Inputs!$F$110*Time!CA10/Inputs!$F$46</f>
        <v>4.20738968820233</v>
      </c>
      <c r="CB50" s="19" t="n">
        <f aca="false">CB49*Inputs!$F$110*Time!CB10/Inputs!$F$46</f>
        <v>3.65167461650197</v>
      </c>
      <c r="CC50" s="19" t="n">
        <f aca="false">CC49*Inputs!$F$110*Time!CC10/Inputs!$F$46</f>
        <v>3.08552327029731</v>
      </c>
      <c r="CD50" s="19" t="n">
        <f aca="false">CD49*Inputs!$F$110*Time!CD10/Inputs!$F$46</f>
        <v>2.47354623991872</v>
      </c>
      <c r="CE50" s="19" t="n">
        <f aca="false">CE49*Inputs!$F$110*Time!CE10/Inputs!$F$46</f>
        <v>1.85007309437407</v>
      </c>
      <c r="CF50" s="19" t="n">
        <f aca="false">CF49*Inputs!$F$110*Time!CF10/Inputs!$F$46</f>
        <v>1.20704019648403</v>
      </c>
      <c r="CG50" s="19" t="n">
        <f aca="false">CG49*Inputs!$F$110*Time!CG10/Inputs!$F$46</f>
        <v>0.630930725960058</v>
      </c>
      <c r="CH50" s="19" t="n">
        <f aca="false">CH49*Inputs!$F$110*Time!CH10/Inputs!$F$46</f>
        <v>3.29967164702794E-014</v>
      </c>
      <c r="CI50" s="19" t="n">
        <f aca="false">CI49*Inputs!$F$110*Time!CI10/Inputs!$F$46</f>
        <v>3.29967164702794E-014</v>
      </c>
      <c r="CJ50" s="19" t="n">
        <f aca="false">CJ49*Inputs!$F$110*Time!CJ10/Inputs!$F$46</f>
        <v>3.29967164702794E-014</v>
      </c>
      <c r="CK50" s="19" t="n">
        <f aca="false">CK49*Inputs!$F$110*Time!CK10/Inputs!$F$46</f>
        <v>3.29967164702794E-014</v>
      </c>
      <c r="CL50" s="19" t="n">
        <f aca="false">CL49*Inputs!$F$110*Time!CL10/Inputs!$F$46</f>
        <v>3.29967164702794E-014</v>
      </c>
      <c r="CM50" s="19" t="n">
        <f aca="false">CM49*Inputs!$F$110*Time!CM10/Inputs!$F$46</f>
        <v>3.29967164702794E-014</v>
      </c>
      <c r="CN50" s="19" t="n">
        <f aca="false">CN49*Inputs!$F$110*Time!CN10/Inputs!$F$46</f>
        <v>3.29967164702794E-014</v>
      </c>
      <c r="CO50" s="19" t="n">
        <f aca="false">CO49*Inputs!$F$110*Time!CO10/Inputs!$F$46</f>
        <v>3.29967164702794E-014</v>
      </c>
      <c r="CP50" s="19" t="n">
        <f aca="false">CP49*Inputs!$F$110*Time!CP10/Inputs!$F$46</f>
        <v>3.29967164702794E-014</v>
      </c>
      <c r="CQ50" s="19" t="n">
        <f aca="false">CQ49*Inputs!$F$110*Time!CQ10/Inputs!$F$46</f>
        <v>3.29967164702794E-014</v>
      </c>
      <c r="CR50" s="19" t="n">
        <f aca="false">CR49*Inputs!$F$110*Time!CR10/Inputs!$F$46</f>
        <v>3.29967164702794E-014</v>
      </c>
      <c r="CS50" s="19" t="n">
        <f aca="false">CS49*Inputs!$F$110*Time!CS10/Inputs!$F$46</f>
        <v>3.29967164702794E-014</v>
      </c>
      <c r="CT50" s="19" t="n">
        <f aca="false">CT49*Inputs!$F$110*Time!CT10/Inputs!$F$46</f>
        <v>3.29967164702794E-014</v>
      </c>
      <c r="CU50" s="19" t="n">
        <f aca="false">CU49*Inputs!$F$110*Time!CU10/Inputs!$F$46</f>
        <v>3.29967164702794E-014</v>
      </c>
      <c r="CV50" s="19" t="n">
        <f aca="false">CV49*Inputs!$F$110*Time!CV10/Inputs!$F$46</f>
        <v>3.29967164702794E-014</v>
      </c>
      <c r="CW50" s="19" t="n">
        <f aca="false">CW49*Inputs!$F$110*Time!CW10/Inputs!$F$46</f>
        <v>3.29967164702794E-014</v>
      </c>
      <c r="CX50" s="19" t="n">
        <f aca="false">CX49*Inputs!$F$110*Time!CX10/Inputs!$F$46</f>
        <v>3.29967164702794E-014</v>
      </c>
      <c r="CY50" s="19" t="n">
        <f aca="false">CY49*Inputs!$F$110*Time!CY10/Inputs!$F$46</f>
        <v>3.29967164702794E-014</v>
      </c>
      <c r="CZ50" s="19" t="n">
        <f aca="false">CZ49*Inputs!$F$110*Time!CZ10/Inputs!$F$46</f>
        <v>3.29967164702794E-014</v>
      </c>
      <c r="DA50" s="19" t="n">
        <f aca="false">DA49*Inputs!$F$110*Time!DA10/Inputs!$F$46</f>
        <v>3.29967164702794E-014</v>
      </c>
      <c r="DB50" s="19" t="n">
        <f aca="false">DB49*Inputs!$F$110*Time!DB10/Inputs!$F$46</f>
        <v>3.29967164702794E-014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566.175513757629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11.7652972077991</v>
      </c>
      <c r="AX51" s="19" t="n">
        <f aca="false">AX50*(1-Time!AX20)</f>
        <v>11.7410380897176</v>
      </c>
      <c r="AY51" s="19" t="n">
        <f aca="false">AY50*(1-Time!AY20)</f>
        <v>11.7123117450636</v>
      </c>
      <c r="AZ51" s="19" t="n">
        <f aca="false">AZ50*(1-Time!AZ20)</f>
        <v>11.6876670691322</v>
      </c>
      <c r="BA51" s="19" t="n">
        <f aca="false">BA50*(1-Time!BA20)</f>
        <v>11.6571197387734</v>
      </c>
      <c r="BB51" s="19" t="n">
        <f aca="false">BB50*(1-Time!BB20)</f>
        <v>11.6116163446372</v>
      </c>
      <c r="BC51" s="19" t="n">
        <f aca="false">BC50*(1-Time!BC20)</f>
        <v>11.5609757757246</v>
      </c>
      <c r="BD51" s="19" t="n">
        <f aca="false">BD50*(1-Time!BD20)</f>
        <v>11.4510080037321</v>
      </c>
      <c r="BE51" s="19" t="n">
        <f aca="false">BE50*(1-Time!BE20)</f>
        <v>11.33415925144</v>
      </c>
      <c r="BF51" s="19" t="n">
        <f aca="false">BF50*(1-Time!BF20)</f>
        <v>11.1771525993384</v>
      </c>
      <c r="BG51" s="19" t="n">
        <f aca="false">BG50*(1-Time!BG20)</f>
        <v>11.0120006896314</v>
      </c>
      <c r="BH51" s="19" t="n">
        <f aca="false">BH50*(1-Time!BH20)</f>
        <v>10.8246605687037</v>
      </c>
      <c r="BI51" s="19" t="n">
        <f aca="false">BI50*(1-Time!BI20)</f>
        <v>10.6264775901557</v>
      </c>
      <c r="BJ51" s="19" t="n">
        <f aca="false">BJ50*(1-Time!BJ20)</f>
        <v>10.4055071803449</v>
      </c>
      <c r="BK51" s="19" t="n">
        <f aca="false">BK50*(1-Time!BK20)</f>
        <v>10.1746905684182</v>
      </c>
      <c r="BL51" s="19" t="n">
        <f aca="false">BL50*(1-Time!BL20)</f>
        <v>9.91717239901837</v>
      </c>
      <c r="BM51" s="19" t="n">
        <f aca="false">BM50*(1-Time!BM20)</f>
        <v>9.6488540287994</v>
      </c>
      <c r="BN51" s="19" t="n">
        <f aca="false">BN50*(1-Time!BN20)</f>
        <v>9.35182052313669</v>
      </c>
      <c r="BO51" s="19" t="n">
        <f aca="false">BO50*(1-Time!BO20)</f>
        <v>9.04298268371594</v>
      </c>
      <c r="BP51" s="19" t="n">
        <f aca="false">BP50*(1-Time!BP20)</f>
        <v>8.79625133334379</v>
      </c>
      <c r="BQ51" s="19" t="n">
        <f aca="false">BQ50*(1-Time!BQ20)</f>
        <v>8.53647302997649</v>
      </c>
      <c r="BR51" s="19" t="n">
        <f aca="false">BR50*(1-Time!BR20)</f>
        <v>8.24819471757525</v>
      </c>
      <c r="BS51" s="19" t="n">
        <f aca="false">BS50*(1-Time!BS20)</f>
        <v>7.95478156718363</v>
      </c>
      <c r="BT51" s="19" t="n">
        <f aca="false">BT50*(1-Time!BT20)</f>
        <v>7.62880080001255</v>
      </c>
      <c r="BU51" s="19" t="n">
        <f aca="false">BU50*(1-Time!BU20)</f>
        <v>7.29696562264357</v>
      </c>
      <c r="BV51" s="19" t="n">
        <f aca="false">BV50*(1-Time!BV20)</f>
        <v>6.83728174871906</v>
      </c>
      <c r="BW51" s="19" t="n">
        <f aca="false">BW50*(1-Time!BW20)</f>
        <v>6.36853369907796</v>
      </c>
      <c r="BX51" s="19" t="n">
        <f aca="false">BX50*(1-Time!BX20)</f>
        <v>5.86033253776858</v>
      </c>
      <c r="BY51" s="19" t="n">
        <f aca="false">BY50*(1-Time!BY20)</f>
        <v>5.3388546797627</v>
      </c>
      <c r="BZ51" s="19" t="n">
        <f aca="false">BZ50*(1-Time!BZ20)</f>
        <v>4.77860372529852</v>
      </c>
      <c r="CA51" s="19" t="n">
        <f aca="false">CA50*(1-Time!CA20)</f>
        <v>4.20738968820233</v>
      </c>
      <c r="CB51" s="19" t="n">
        <f aca="false">CB50*(1-Time!CB20)</f>
        <v>3.65167461650197</v>
      </c>
      <c r="CC51" s="19" t="n">
        <f aca="false">CC50*(1-Time!CC20)</f>
        <v>3.08552327029731</v>
      </c>
      <c r="CD51" s="19" t="n">
        <f aca="false">CD50*(1-Time!CD20)</f>
        <v>2.47354623991872</v>
      </c>
      <c r="CE51" s="19" t="n">
        <f aca="false">CE50*(1-Time!CE20)</f>
        <v>1.85007309437407</v>
      </c>
      <c r="CF51" s="19" t="n">
        <f aca="false">CF50*(1-Time!CF20)</f>
        <v>1.20704019648403</v>
      </c>
      <c r="CG51" s="19" t="n">
        <f aca="false">CG50*(1-Time!CG20)</f>
        <v>0.630930725960058</v>
      </c>
      <c r="CH51" s="19" t="n">
        <f aca="false">CH50*(1-Time!CH20)</f>
        <v>3.29967164702794E-014</v>
      </c>
      <c r="CI51" s="19" t="n">
        <f aca="false">CI50*(1-Time!CI20)</f>
        <v>3.29967164702794E-014</v>
      </c>
      <c r="CJ51" s="19" t="n">
        <f aca="false">CJ50*(1-Time!CJ20)</f>
        <v>3.29967164702794E-014</v>
      </c>
      <c r="CK51" s="19" t="n">
        <f aca="false">CK50*(1-Time!CK20)</f>
        <v>3.29967164702794E-014</v>
      </c>
      <c r="CL51" s="19" t="n">
        <f aca="false">CL50*(1-Time!CL20)</f>
        <v>3.29967164702794E-014</v>
      </c>
      <c r="CM51" s="19" t="n">
        <f aca="false">CM50*(1-Time!CM20)</f>
        <v>3.29967164702794E-014</v>
      </c>
      <c r="CN51" s="19" t="n">
        <f aca="false">CN50*(1-Time!CN20)</f>
        <v>3.29967164702794E-014</v>
      </c>
      <c r="CO51" s="19" t="n">
        <f aca="false">CO50*(1-Time!CO20)</f>
        <v>3.29967164702794E-014</v>
      </c>
      <c r="CP51" s="19" t="n">
        <f aca="false">CP50*(1-Time!CP20)</f>
        <v>3.29967164702794E-014</v>
      </c>
      <c r="CQ51" s="19" t="n">
        <f aca="false">CQ50*(1-Time!CQ20)</f>
        <v>3.29967164702794E-014</v>
      </c>
      <c r="CR51" s="19" t="n">
        <f aca="false">CR50*(1-Time!CR20)</f>
        <v>3.29967164702794E-014</v>
      </c>
      <c r="CS51" s="19" t="n">
        <f aca="false">CS50*(1-Time!CS20)</f>
        <v>3.29967164702794E-014</v>
      </c>
      <c r="CT51" s="19" t="n">
        <f aca="false">CT50*(1-Time!CT20)</f>
        <v>3.29967164702794E-014</v>
      </c>
      <c r="CU51" s="19" t="n">
        <f aca="false">CU50*(1-Time!CU20)</f>
        <v>3.29967164702794E-014</v>
      </c>
      <c r="CV51" s="19" t="n">
        <f aca="false">CV50*(1-Time!CV20)</f>
        <v>3.29967164702794E-014</v>
      </c>
      <c r="CW51" s="19" t="n">
        <f aca="false">CW50*(1-Time!CW20)</f>
        <v>3.29967164702794E-014</v>
      </c>
      <c r="CX51" s="19" t="n">
        <f aca="false">CX50*(1-Time!CX20)</f>
        <v>3.29967164702794E-014</v>
      </c>
      <c r="CY51" s="19" t="n">
        <f aca="false">CY50*(1-Time!CY20)</f>
        <v>3.29967164702794E-014</v>
      </c>
      <c r="CZ51" s="19" t="n">
        <f aca="false">CZ50*(1-Time!CZ20)</f>
        <v>3.29967164702794E-014</v>
      </c>
      <c r="DA51" s="19" t="n">
        <f aca="false">DA50*(1-Time!DA20)</f>
        <v>3.29967164702794E-014</v>
      </c>
      <c r="DB51" s="19" t="n">
        <f aca="false">DB50*(1-Time!DB20)</f>
        <v>3.29967164702794E-014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0.00469779017710188</v>
      </c>
      <c r="AW52" s="19" t="n">
        <f aca="false">IF(OR(Time!AW20=1,Time!AW34=1,Time!AW23=1),0,MIN(Inputs!$F$97*AW40,AW49))</f>
        <v>1.0003760033589</v>
      </c>
      <c r="AX52" s="19" t="n">
        <f aca="false">IF(OR(Time!AX20=1,Time!AX34=1,Time!AX23=1),0,MIN(Inputs!$F$97*AX40,AX49))</f>
        <v>1.18459153212513</v>
      </c>
      <c r="AY52" s="19" t="n">
        <f aca="false">IF(OR(Time!AY20=1,Time!AY34=1,Time!AY23=1),0,MIN(Inputs!$F$97*AY40,AY49))</f>
        <v>1.01627529614064</v>
      </c>
      <c r="AZ52" s="19" t="n">
        <f aca="false">IF(OR(Time!AZ20=1,Time!AZ34=1,Time!AZ23=1),0,MIN(Inputs!$F$97*AZ40,AZ49))</f>
        <v>1.25968372613686</v>
      </c>
      <c r="BA52" s="19" t="n">
        <f aca="false">IF(OR(Time!BA20=1,Time!BA34=1,Time!BA23=1),0,MIN(Inputs!$F$97*BA40,BA49))</f>
        <v>1.87642862417269</v>
      </c>
      <c r="BB52" s="19" t="n">
        <f aca="false">IF(OR(Time!BB20=1,Time!BB34=1,Time!BB23=1),0,MIN(Inputs!$F$97*BB40,BB49))</f>
        <v>2.08827088299165</v>
      </c>
      <c r="BC52" s="19" t="n">
        <f aca="false">IF(OR(Time!BC20=1,Time!BC34=1,Time!BC23=1),0,MIN(Inputs!$F$97*BC40,BC49))</f>
        <v>4.53475348422779</v>
      </c>
      <c r="BD52" s="19" t="n">
        <f aca="false">IF(OR(Time!BD20=1,Time!BD34=1,Time!BD23=1),0,MIN(Inputs!$F$97*BD40,BD49))</f>
        <v>4.81850524915812</v>
      </c>
      <c r="BE52" s="19" t="n">
        <f aca="false">IF(OR(Time!BE20=1,Time!BE34=1,Time!BE23=1),0,MIN(Inputs!$F$97*BE40,BE49))</f>
        <v>6.47450111759391</v>
      </c>
      <c r="BF52" s="19" t="n">
        <f aca="false">IF(OR(Time!BF20=1,Time!BF34=1,Time!BF23=1),0,MIN(Inputs!$F$97*BF40,BF49))</f>
        <v>6.81038802915216</v>
      </c>
      <c r="BG52" s="19" t="n">
        <f aca="false">IF(OR(Time!BG20=1,Time!BG34=1,Time!BG23=1),0,MIN(Inputs!$F$97*BG40,BG49))</f>
        <v>7.72536581145349</v>
      </c>
      <c r="BH52" s="19" t="n">
        <f aca="false">IF(OR(Time!BH20=1,Time!BH34=1,Time!BH23=1),0,MIN(Inputs!$F$97*BH40,BH49))</f>
        <v>8.17249396074087</v>
      </c>
      <c r="BI52" s="19" t="n">
        <f aca="false">IF(OR(Time!BI20=1,Time!BI34=1,Time!BI23=1),0,MIN(Inputs!$F$97*BI40,BI49))</f>
        <v>9.11218184786908</v>
      </c>
      <c r="BJ52" s="19" t="n">
        <f aca="false">IF(OR(Time!BJ20=1,Time!BJ34=1,Time!BJ23=1),0,MIN(Inputs!$F$97*BJ40,BJ49))</f>
        <v>9.51821080110123</v>
      </c>
      <c r="BK52" s="19" t="n">
        <f aca="false">IF(OR(Time!BK20=1,Time!BK34=1,Time!BK23=1),0,MIN(Inputs!$F$97*BK40,BK49))</f>
        <v>10.6193059546321</v>
      </c>
      <c r="BL52" s="19" t="n">
        <f aca="false">IF(OR(Time!BL20=1,Time!BL34=1,Time!BL23=1),0,MIN(Inputs!$F$97*BL40,BL49))</f>
        <v>11.0646750605759</v>
      </c>
      <c r="BM52" s="19" t="n">
        <f aca="false">IF(OR(Time!BM20=1,Time!BM34=1,Time!BM23=1),0,MIN(Inputs!$F$97*BM40,BM49))</f>
        <v>12.2488043572253</v>
      </c>
      <c r="BN52" s="19" t="n">
        <f aca="false">IF(OR(Time!BN20=1,Time!BN34=1,Time!BN23=1),0,MIN(Inputs!$F$97*BN40,BN49))</f>
        <v>12.7355810070412</v>
      </c>
      <c r="BO52" s="19" t="n">
        <f aca="false">IF(OR(Time!BO20=1,Time!BO34=1,Time!BO23=1),0,MIN(Inputs!$F$97*BO40,BO49))</f>
        <v>10.1744886751404</v>
      </c>
      <c r="BP52" s="19" t="n">
        <f aca="false">IF(OR(Time!BP20=1,Time!BP34=1,Time!BP23=1),0,MIN(Inputs!$F$97*BP40,BP49))</f>
        <v>10.7125073553525</v>
      </c>
      <c r="BQ52" s="19" t="n">
        <f aca="false">IF(OR(Time!BQ20=1,Time!BQ34=1,Time!BQ23=1),0,MIN(Inputs!$F$97*BQ40,BQ49))</f>
        <v>11.8877654598449</v>
      </c>
      <c r="BR52" s="19" t="n">
        <f aca="false">IF(OR(Time!BR20=1,Time!BR34=1,Time!BR23=1),0,MIN(Inputs!$F$97*BR40,BR49))</f>
        <v>12.0995113563555</v>
      </c>
      <c r="BS52" s="19" t="n">
        <f aca="false">IF(OR(Time!BS20=1,Time!BS34=1,Time!BS23=1),0,MIN(Inputs!$F$97*BS40,BS49))</f>
        <v>13.4425058627252</v>
      </c>
      <c r="BT52" s="19" t="n">
        <f aca="false">IF(OR(Time!BT20=1,Time!BT34=1,Time!BT23=1),0,MIN(Inputs!$F$97*BT40,BT49))</f>
        <v>13.6839248399575</v>
      </c>
      <c r="BU52" s="19" t="n">
        <f aca="false">IF(OR(Time!BU20=1,Time!BU34=1,Time!BU23=1),0,MIN(Inputs!$F$97*BU40,BU49))</f>
        <v>18.9560360381241</v>
      </c>
      <c r="BV52" s="19" t="n">
        <f aca="false">IF(OR(Time!BV20=1,Time!BV34=1,Time!BV23=1),0,MIN(Inputs!$F$97*BV40,BV49))</f>
        <v>19.3298164800457</v>
      </c>
      <c r="BW52" s="19" t="n">
        <f aca="false">IF(OR(Time!BW20=1,Time!BW34=1,Time!BW23=1),0,MIN(Inputs!$F$97*BW40,BW49))</f>
        <v>20.9567489199742</v>
      </c>
      <c r="BX52" s="19" t="n">
        <f aca="false">IF(OR(Time!BX20=1,Time!BX34=1,Time!BX23=1),0,MIN(Inputs!$F$97*BX40,BX49))</f>
        <v>21.5042415672528</v>
      </c>
      <c r="BY52" s="19" t="n">
        <f aca="false">IF(OR(Time!BY20=1,Time!BY34=1,Time!BY23=1),0,MIN(Inputs!$F$97*BY40,BY49))</f>
        <v>23.103132142853</v>
      </c>
      <c r="BZ52" s="19" t="n">
        <f aca="false">IF(OR(Time!BZ20=1,Time!BZ34=1,Time!BZ23=1),0,MIN(Inputs!$F$97*BZ40,BZ49))</f>
        <v>23.555218024585</v>
      </c>
      <c r="CA52" s="19" t="n">
        <f aca="false">IF(OR(Time!CA20=1,Time!CA34=1,Time!CA23=1),0,MIN(Inputs!$F$97*CA40,CA49))</f>
        <v>22.9160854309428</v>
      </c>
      <c r="CB52" s="19" t="n">
        <f aca="false">IF(OR(Time!CB20=1,Time!CB34=1,Time!CB23=1),0,MIN(Inputs!$F$97*CB40,CB49))</f>
        <v>23.3464472661715</v>
      </c>
      <c r="CC52" s="19" t="n">
        <f aca="false">IF(OR(Time!CC20=1,Time!CC34=1,Time!CC23=1),0,MIN(Inputs!$F$97*CC40,CC49))</f>
        <v>25.236166201179</v>
      </c>
      <c r="CD52" s="19" t="n">
        <f aca="false">IF(OR(Time!CD20=1,Time!CD34=1,Time!CD23=1),0,MIN(Inputs!$F$97*CD40,CD49))</f>
        <v>25.7102328059651</v>
      </c>
      <c r="CE52" s="19" t="n">
        <f aca="false">IF(OR(Time!CE20=1,Time!CE34=1,Time!CE23=1),0,MIN(Inputs!$F$97*CE40,CE49))</f>
        <v>26.5168205315479</v>
      </c>
      <c r="CF52" s="19" t="n">
        <f aca="false">IF(OR(Time!CF20=1,Time!CF34=1,Time!CF23=1),0,MIN(Inputs!$F$97*CF40,CF49))</f>
        <v>23.7570915679988</v>
      </c>
      <c r="CG52" s="19" t="n">
        <f aca="false">IF(OR(Time!CG20=1,Time!CG34=1,Time!CG23=1),0,MIN(Inputs!$F$97*CG40,CG49))</f>
        <v>26.0177618952587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485.166895166973</v>
      </c>
      <c r="AW53" s="19" t="n">
        <f aca="false">AW49-Waterfall!AW21-Waterfall!AW32</f>
        <v>484.166519163614</v>
      </c>
      <c r="AX53" s="19" t="n">
        <f aca="false">AX49-Waterfall!AX21-Waterfall!AX32</f>
        <v>482.981927631489</v>
      </c>
      <c r="AY53" s="19" t="n">
        <f aca="false">AY49-Waterfall!AY21-Waterfall!AY32</f>
        <v>481.965652335348</v>
      </c>
      <c r="AZ53" s="19" t="n">
        <f aca="false">AZ49-Waterfall!AZ21-Waterfall!AZ32</f>
        <v>480.705968609211</v>
      </c>
      <c r="BA53" s="19" t="n">
        <f aca="false">BA49-Waterfall!BA21-Waterfall!BA32</f>
        <v>478.829539985039</v>
      </c>
      <c r="BB53" s="19" t="n">
        <f aca="false">BB49-Waterfall!BB21-Waterfall!BB32</f>
        <v>476.741269102047</v>
      </c>
      <c r="BC53" s="19" t="n">
        <f aca="false">BC49-Waterfall!BC21-Waterfall!BC32</f>
        <v>472.206515617819</v>
      </c>
      <c r="BD53" s="19" t="n">
        <f aca="false">BD49-Waterfall!BD21-Waterfall!BD32</f>
        <v>467.388010368661</v>
      </c>
      <c r="BE53" s="19" t="n">
        <f aca="false">BE49-Waterfall!BE21-Waterfall!BE32</f>
        <v>460.913509251067</v>
      </c>
      <c r="BF53" s="19" t="n">
        <f aca="false">BF49-Waterfall!BF21-Waterfall!BF32</f>
        <v>454.103121221915</v>
      </c>
      <c r="BG53" s="19" t="n">
        <f aca="false">BG49-Waterfall!BG21-Waterfall!BG32</f>
        <v>446.377755410462</v>
      </c>
      <c r="BH53" s="19" t="n">
        <f aca="false">BH49-Waterfall!BH21-Waterfall!BH32</f>
        <v>438.205261449721</v>
      </c>
      <c r="BI53" s="19" t="n">
        <f aca="false">BI49-Waterfall!BI21-Waterfall!BI32</f>
        <v>429.093079601852</v>
      </c>
      <c r="BJ53" s="19" t="n">
        <f aca="false">BJ49-Waterfall!BJ21-Waterfall!BJ32</f>
        <v>419.57486880075</v>
      </c>
      <c r="BK53" s="19" t="n">
        <f aca="false">BK49-Waterfall!BK21-Waterfall!BK32</f>
        <v>408.955562846118</v>
      </c>
      <c r="BL53" s="19" t="n">
        <f aca="false">BL49-Waterfall!BL21-Waterfall!BL32</f>
        <v>397.890887785542</v>
      </c>
      <c r="BM53" s="19" t="n">
        <f aca="false">BM49-Waterfall!BM21-Waterfall!BM32</f>
        <v>385.642083428317</v>
      </c>
      <c r="BN53" s="19" t="n">
        <f aca="false">BN49-Waterfall!BN21-Waterfall!BN32</f>
        <v>372.906502421276</v>
      </c>
      <c r="BO53" s="19" t="n">
        <f aca="false">BO49-Waterfall!BO21-Waterfall!BO32</f>
        <v>362.732013746136</v>
      </c>
      <c r="BP53" s="19" t="n">
        <f aca="false">BP49-Waterfall!BP21-Waterfall!BP32</f>
        <v>352.019506390783</v>
      </c>
      <c r="BQ53" s="19" t="n">
        <f aca="false">BQ49-Waterfall!BQ21-Waterfall!BQ32</f>
        <v>340.131740930938</v>
      </c>
      <c r="BR53" s="19" t="n">
        <f aca="false">BR49-Waterfall!BR21-Waterfall!BR32</f>
        <v>328.032229574583</v>
      </c>
      <c r="BS53" s="19" t="n">
        <f aca="false">BS49-Waterfall!BS21-Waterfall!BS32</f>
        <v>314.589723711858</v>
      </c>
      <c r="BT53" s="19" t="n">
        <f aca="false">BT49-Waterfall!BT21-Waterfall!BT32</f>
        <v>300.9057988719</v>
      </c>
      <c r="BU53" s="19" t="n">
        <f aca="false">BU49-Waterfall!BU21-Waterfall!BU32</f>
        <v>281.949762833776</v>
      </c>
      <c r="BV53" s="19" t="n">
        <f aca="false">BV49-Waterfall!BV21-Waterfall!BV32</f>
        <v>262.61994635373</v>
      </c>
      <c r="BW53" s="19" t="n">
        <f aca="false">BW49-Waterfall!BW21-Waterfall!BW32</f>
        <v>241.663197433756</v>
      </c>
      <c r="BX53" s="19" t="n">
        <f aca="false">BX49-Waterfall!BX21-Waterfall!BX32</f>
        <v>220.158955866503</v>
      </c>
      <c r="BY53" s="19" t="n">
        <f aca="false">BY49-Waterfall!BY21-Waterfall!BY32</f>
        <v>197.05582372365</v>
      </c>
      <c r="BZ53" s="19" t="n">
        <f aca="false">BZ49-Waterfall!BZ21-Waterfall!BZ32</f>
        <v>173.500605699065</v>
      </c>
      <c r="CA53" s="19" t="n">
        <f aca="false">CA49-Waterfall!CA21-Waterfall!CA32</f>
        <v>150.584520268122</v>
      </c>
      <c r="CB53" s="19" t="n">
        <f aca="false">CB49-Waterfall!CB21-Waterfall!CB32</f>
        <v>127.238073001951</v>
      </c>
      <c r="CC53" s="19" t="n">
        <f aca="false">CC49-Waterfall!CC21-Waterfall!CC32</f>
        <v>102.001906800772</v>
      </c>
      <c r="CD53" s="19" t="n">
        <f aca="false">CD49-Waterfall!CD21-Waterfall!CD32</f>
        <v>76.2916739948068</v>
      </c>
      <c r="CE53" s="19" t="n">
        <f aca="false">CE49-Waterfall!CE21-Waterfall!CE32</f>
        <v>49.7748534632589</v>
      </c>
      <c r="CF53" s="19" t="n">
        <f aca="false">CF49-Waterfall!CF21-Waterfall!CF32</f>
        <v>26.0177618952601</v>
      </c>
      <c r="CG53" s="19" t="n">
        <f aca="false">CG49-Waterfall!CG21-Waterfall!CG32</f>
        <v>1.36068933898059E-012</v>
      </c>
      <c r="CH53" s="19" t="n">
        <f aca="false">CH49-Waterfall!CH21-Waterfall!CH32</f>
        <v>1.36068933898059E-012</v>
      </c>
      <c r="CI53" s="19" t="n">
        <f aca="false">CI49-Waterfall!CI21-Waterfall!CI32</f>
        <v>1.36068933898059E-012</v>
      </c>
      <c r="CJ53" s="19" t="n">
        <f aca="false">CJ49-Waterfall!CJ21-Waterfall!CJ32</f>
        <v>1.36068933898059E-012</v>
      </c>
      <c r="CK53" s="19" t="n">
        <f aca="false">CK49-Waterfall!CK21-Waterfall!CK32</f>
        <v>1.36068933898059E-012</v>
      </c>
      <c r="CL53" s="19" t="n">
        <f aca="false">CL49-Waterfall!CL21-Waterfall!CL32</f>
        <v>1.36068933898059E-012</v>
      </c>
      <c r="CM53" s="19" t="n">
        <f aca="false">CM49-Waterfall!CM21-Waterfall!CM32</f>
        <v>1.36068933898059E-012</v>
      </c>
      <c r="CN53" s="19" t="n">
        <f aca="false">CN49-Waterfall!CN21-Waterfall!CN32</f>
        <v>1.36068933898059E-012</v>
      </c>
      <c r="CO53" s="19" t="n">
        <f aca="false">CO49-Waterfall!CO21-Waterfall!CO32</f>
        <v>1.36068933898059E-012</v>
      </c>
      <c r="CP53" s="19" t="n">
        <f aca="false">CP49-Waterfall!CP21-Waterfall!CP32</f>
        <v>1.36068933898059E-012</v>
      </c>
      <c r="CQ53" s="19" t="n">
        <f aca="false">CQ49-Waterfall!CQ21-Waterfall!CQ32</f>
        <v>1.36068933898059E-012</v>
      </c>
      <c r="CR53" s="19" t="n">
        <f aca="false">CR49-Waterfall!CR21-Waterfall!CR32</f>
        <v>1.36068933898059E-012</v>
      </c>
      <c r="CS53" s="19" t="n">
        <f aca="false">CS49-Waterfall!CS21-Waterfall!CS32</f>
        <v>1.36068933898059E-012</v>
      </c>
      <c r="CT53" s="19" t="n">
        <f aca="false">CT49-Waterfall!CT21-Waterfall!CT32</f>
        <v>1.36068933898059E-012</v>
      </c>
      <c r="CU53" s="19" t="n">
        <f aca="false">CU49-Waterfall!CU21-Waterfall!CU32</f>
        <v>1.36068933898059E-012</v>
      </c>
      <c r="CV53" s="19" t="n">
        <f aca="false">CV49-Waterfall!CV21-Waterfall!CV32</f>
        <v>1.36068933898059E-012</v>
      </c>
      <c r="CW53" s="19" t="n">
        <f aca="false">CW49-Waterfall!CW21-Waterfall!CW32</f>
        <v>1.36068933898059E-012</v>
      </c>
      <c r="CX53" s="19" t="n">
        <f aca="false">CX49-Waterfall!CX21-Waterfall!CX32</f>
        <v>1.36068933898059E-012</v>
      </c>
      <c r="CY53" s="19" t="n">
        <f aca="false">CY49-Waterfall!CY21-Waterfall!CY32</f>
        <v>1.36068933898059E-012</v>
      </c>
      <c r="CZ53" s="19" t="n">
        <f aca="false">CZ49-Waterfall!CZ21-Waterfall!CZ32</f>
        <v>1.36068933898059E-012</v>
      </c>
      <c r="DA53" s="19" t="n">
        <f aca="false">DA49-Waterfall!DA21-Waterfall!DA32</f>
        <v>1.36068933898059E-012</v>
      </c>
      <c r="DB53" s="19" t="n">
        <f aca="false">DB49-Waterfall!DB21-Waterfall!DB32</f>
        <v>1.36068933898059E-012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485.166895166973</v>
      </c>
      <c r="AW54" s="19" t="n">
        <f aca="false">IF(Time!AW35=1,0,AW53)</f>
        <v>484.166519163614</v>
      </c>
      <c r="AX54" s="19" t="n">
        <f aca="false">IF(Time!AX35=1,0,AX53)</f>
        <v>482.981927631489</v>
      </c>
      <c r="AY54" s="19" t="n">
        <f aca="false">IF(Time!AY35=1,0,AY53)</f>
        <v>481.965652335348</v>
      </c>
      <c r="AZ54" s="19" t="n">
        <f aca="false">IF(Time!AZ35=1,0,AZ53)</f>
        <v>480.705968609211</v>
      </c>
      <c r="BA54" s="19" t="n">
        <f aca="false">IF(Time!BA35=1,0,BA53)</f>
        <v>478.829539985039</v>
      </c>
      <c r="BB54" s="19" t="n">
        <f aca="false">IF(Time!BB35=1,0,BB53)</f>
        <v>476.741269102047</v>
      </c>
      <c r="BC54" s="19" t="n">
        <f aca="false">IF(Time!BC35=1,0,BC53)</f>
        <v>472.206515617819</v>
      </c>
      <c r="BD54" s="19" t="n">
        <f aca="false">IF(Time!BD35=1,0,BD53)</f>
        <v>467.388010368661</v>
      </c>
      <c r="BE54" s="19" t="n">
        <f aca="false">IF(Time!BE35=1,0,BE53)</f>
        <v>460.913509251067</v>
      </c>
      <c r="BF54" s="19" t="n">
        <f aca="false">IF(Time!BF35=1,0,BF53)</f>
        <v>454.103121221915</v>
      </c>
      <c r="BG54" s="19" t="n">
        <f aca="false">IF(Time!BG35=1,0,BG53)</f>
        <v>446.377755410462</v>
      </c>
      <c r="BH54" s="19" t="n">
        <f aca="false">IF(Time!BH35=1,0,BH53)</f>
        <v>438.205261449721</v>
      </c>
      <c r="BI54" s="19" t="n">
        <f aca="false">IF(Time!BI35=1,0,BI53)</f>
        <v>429.093079601852</v>
      </c>
      <c r="BJ54" s="19" t="n">
        <f aca="false">IF(Time!BJ35=1,0,BJ53)</f>
        <v>419.57486880075</v>
      </c>
      <c r="BK54" s="19" t="n">
        <f aca="false">IF(Time!BK35=1,0,BK53)</f>
        <v>408.955562846118</v>
      </c>
      <c r="BL54" s="19" t="n">
        <f aca="false">IF(Time!BL35=1,0,BL53)</f>
        <v>397.890887785542</v>
      </c>
      <c r="BM54" s="19" t="n">
        <f aca="false">IF(Time!BM35=1,0,BM53)</f>
        <v>385.642083428317</v>
      </c>
      <c r="BN54" s="19" t="n">
        <f aca="false">IF(Time!BN35=1,0,BN53)</f>
        <v>372.906502421276</v>
      </c>
      <c r="BO54" s="19" t="n">
        <f aca="false">IF(Time!BO35=1,0,BO53)</f>
        <v>362.732013746136</v>
      </c>
      <c r="BP54" s="19" t="n">
        <f aca="false">IF(Time!BP35=1,0,BP53)</f>
        <v>352.019506390783</v>
      </c>
      <c r="BQ54" s="19" t="n">
        <f aca="false">IF(Time!BQ35=1,0,BQ53)</f>
        <v>340.131740930938</v>
      </c>
      <c r="BR54" s="19" t="n">
        <f aca="false">IF(Time!BR35=1,0,BR53)</f>
        <v>328.032229574583</v>
      </c>
      <c r="BS54" s="19" t="n">
        <f aca="false">IF(Time!BS35=1,0,BS53)</f>
        <v>314.589723711858</v>
      </c>
      <c r="BT54" s="19" t="n">
        <f aca="false">IF(Time!BT35=1,0,BT53)</f>
        <v>300.9057988719</v>
      </c>
      <c r="BU54" s="19" t="n">
        <f aca="false">IF(Time!BU35=1,0,BU53)</f>
        <v>281.949762833776</v>
      </c>
      <c r="BV54" s="19" t="n">
        <f aca="false">IF(Time!BV35=1,0,BV53)</f>
        <v>262.61994635373</v>
      </c>
      <c r="BW54" s="19" t="n">
        <f aca="false">IF(Time!BW35=1,0,BW53)</f>
        <v>241.663197433756</v>
      </c>
      <c r="BX54" s="19" t="n">
        <f aca="false">IF(Time!BX35=1,0,BX53)</f>
        <v>220.158955866503</v>
      </c>
      <c r="BY54" s="19" t="n">
        <f aca="false">IF(Time!BY35=1,0,BY53)</f>
        <v>197.05582372365</v>
      </c>
      <c r="BZ54" s="19" t="n">
        <f aca="false">IF(Time!BZ35=1,0,BZ53)</f>
        <v>173.500605699065</v>
      </c>
      <c r="CA54" s="19" t="n">
        <f aca="false">IF(Time!CA35=1,0,CA53)</f>
        <v>150.584520268122</v>
      </c>
      <c r="CB54" s="19" t="n">
        <f aca="false">IF(Time!CB35=1,0,CB53)</f>
        <v>127.238073001951</v>
      </c>
      <c r="CC54" s="19" t="n">
        <f aca="false">IF(Time!CC35=1,0,CC53)</f>
        <v>102.001906800772</v>
      </c>
      <c r="CD54" s="19" t="n">
        <f aca="false">IF(Time!CD35=1,0,CD53)</f>
        <v>76.2916739948068</v>
      </c>
      <c r="CE54" s="19" t="n">
        <f aca="false">IF(Time!CE35=1,0,CE53)</f>
        <v>49.7748534632589</v>
      </c>
      <c r="CF54" s="19" t="n">
        <f aca="false">IF(Time!CF35=1,0,CF53)</f>
        <v>26.0177618952601</v>
      </c>
      <c r="CG54" s="19" t="n">
        <f aca="false">IF(Time!CG35=1,0,CG53)</f>
        <v>1.36068933898059E-012</v>
      </c>
      <c r="CH54" s="19" t="n">
        <f aca="false">IF(Time!CH35=1,0,CH53)</f>
        <v>1.36068933898059E-012</v>
      </c>
      <c r="CI54" s="19" t="n">
        <f aca="false">IF(Time!CI35=1,0,CI53)</f>
        <v>1.36068933898059E-012</v>
      </c>
      <c r="CJ54" s="19" t="n">
        <f aca="false">IF(Time!CJ35=1,0,CJ53)</f>
        <v>1.36068933898059E-012</v>
      </c>
      <c r="CK54" s="19" t="n">
        <f aca="false">IF(Time!CK35=1,0,CK53)</f>
        <v>1.36068933898059E-012</v>
      </c>
      <c r="CL54" s="19" t="n">
        <f aca="false">IF(Time!CL35=1,0,CL53)</f>
        <v>1.36068933898059E-012</v>
      </c>
      <c r="CM54" s="19" t="n">
        <f aca="false">IF(Time!CM35=1,0,CM53)</f>
        <v>1.36068933898059E-012</v>
      </c>
      <c r="CN54" s="19" t="n">
        <f aca="false">IF(Time!CN35=1,0,CN53)</f>
        <v>1.36068933898059E-012</v>
      </c>
      <c r="CO54" s="19" t="n">
        <f aca="false">IF(Time!CO35=1,0,CO53)</f>
        <v>1.36068933898059E-012</v>
      </c>
      <c r="CP54" s="19" t="n">
        <f aca="false">IF(Time!CP35=1,0,CP53)</f>
        <v>1.36068933898059E-012</v>
      </c>
      <c r="CQ54" s="19" t="n">
        <f aca="false">IF(Time!CQ35=1,0,CQ53)</f>
        <v>1.36068933898059E-012</v>
      </c>
      <c r="CR54" s="19" t="n">
        <f aca="false">IF(Time!CR35=1,0,CR53)</f>
        <v>1.36068933898059E-012</v>
      </c>
      <c r="CS54" s="19" t="n">
        <f aca="false">IF(Time!CS35=1,0,CS53)</f>
        <v>1.36068933898059E-012</v>
      </c>
      <c r="CT54" s="19" t="n">
        <f aca="false">IF(Time!CT35=1,0,CT53)</f>
        <v>1.36068933898059E-012</v>
      </c>
      <c r="CU54" s="19" t="n">
        <f aca="false">IF(Time!CU35=1,0,CU53)</f>
        <v>1.36068933898059E-012</v>
      </c>
      <c r="CV54" s="19" t="n">
        <f aca="false">IF(Time!CV35=1,0,CV53)</f>
        <v>1.36068933898059E-012</v>
      </c>
      <c r="CW54" s="19" t="n">
        <f aca="false">IF(Time!CW35=1,0,CW53)</f>
        <v>1.36068933898059E-012</v>
      </c>
      <c r="CX54" s="19" t="n">
        <f aca="false">IF(Time!CX35=1,0,CX53)</f>
        <v>1.36068933898059E-012</v>
      </c>
      <c r="CY54" s="19" t="n">
        <f aca="false">IF(Time!CY35=1,0,CY53)</f>
        <v>1.36068933898059E-012</v>
      </c>
      <c r="CZ54" s="19" t="n">
        <f aca="false">IF(Time!CZ35=1,0,CZ53)</f>
        <v>1.36068933898059E-012</v>
      </c>
      <c r="DA54" s="19" t="n">
        <f aca="false">IF(Time!DA35=1,0,DA53)</f>
        <v>1.36068933898059E-012</v>
      </c>
      <c r="DB54" s="19" t="n">
        <f aca="false">IF(Time!DB35=1,0,DB53)</f>
        <v>1.36068933898059E-012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3.38345363902653E-014</v>
      </c>
      <c r="CT56" s="19" t="n">
        <f aca="false">CS60</f>
        <v>6.82298662013636E-014</v>
      </c>
      <c r="CU56" s="19" t="n">
        <f aca="false">CT60</f>
        <v>1.02064402591629E-013</v>
      </c>
      <c r="CV56" s="19" t="n">
        <f aca="false">CU60</f>
        <v>1.36459732402727E-013</v>
      </c>
      <c r="CW56" s="19" t="n">
        <f aca="false">CV60</f>
        <v>1.7048119993327E-013</v>
      </c>
      <c r="CX56" s="19" t="n">
        <f aca="false">CW60</f>
        <v>2.04876529744369E-013</v>
      </c>
      <c r="CY56" s="19" t="n">
        <f aca="false">CX60</f>
        <v>2.38711066134634E-013</v>
      </c>
      <c r="CZ56" s="19" t="n">
        <f aca="false">CY60</f>
        <v>2.73106395945732E-013</v>
      </c>
      <c r="DA56" s="19" t="n">
        <f aca="false">CZ60</f>
        <v>3.06940932335998E-013</v>
      </c>
      <c r="DB56" s="19" t="n">
        <f aca="false">DA60</f>
        <v>3.41336262147096E-013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3.29967164702794E-014</v>
      </c>
      <c r="CT57" s="19" t="n">
        <f aca="false">CS61</f>
        <v>6.59934329405587E-014</v>
      </c>
      <c r="CU57" s="19" t="n">
        <f aca="false">CT61</f>
        <v>9.89901494108381E-014</v>
      </c>
      <c r="CV57" s="19" t="n">
        <f aca="false">CU61</f>
        <v>1.31986865881117E-013</v>
      </c>
      <c r="CW57" s="19" t="n">
        <f aca="false">CV61</f>
        <v>1.64983582351397E-013</v>
      </c>
      <c r="CX57" s="19" t="n">
        <f aca="false">CW61</f>
        <v>1.97980298821676E-013</v>
      </c>
      <c r="CY57" s="19" t="n">
        <f aca="false">CX61</f>
        <v>2.30977015291956E-013</v>
      </c>
      <c r="CZ57" s="19" t="n">
        <f aca="false">CY61</f>
        <v>2.63973731762235E-013</v>
      </c>
      <c r="DA57" s="19" t="n">
        <f aca="false">CZ61</f>
        <v>2.96970448232514E-013</v>
      </c>
      <c r="DB57" s="19" t="n">
        <f aca="false">DA61</f>
        <v>3.29967164702794E-013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3.38345363902653E-014</v>
      </c>
      <c r="CS58" s="19" t="n">
        <f aca="false">(CS56+CS44-Waterfall!CS16*Waterfall!CS18)*(1-Time!CS20)</f>
        <v>6.82298662013636E-014</v>
      </c>
      <c r="CT58" s="19" t="n">
        <f aca="false">(CT56+CT44-Waterfall!CT16*Waterfall!CT18)*(1-Time!CT20)</f>
        <v>1.02064402591629E-013</v>
      </c>
      <c r="CU58" s="19" t="n">
        <f aca="false">(CU56+CU44-Waterfall!CU16*Waterfall!CU18)*(1-Time!CU20)</f>
        <v>1.36459732402727E-013</v>
      </c>
      <c r="CV58" s="19" t="n">
        <f aca="false">(CV56+CV44-Waterfall!CV16*Waterfall!CV18)*(1-Time!CV20)</f>
        <v>1.7048119993327E-013</v>
      </c>
      <c r="CW58" s="19" t="n">
        <f aca="false">(CW56+CW44-Waterfall!CW16*Waterfall!CW18)*(1-Time!CW20)</f>
        <v>2.04876529744369E-013</v>
      </c>
      <c r="CX58" s="19" t="n">
        <f aca="false">(CX56+CX44-Waterfall!CX16*Waterfall!CX18)*(1-Time!CX20)</f>
        <v>2.38711066134634E-013</v>
      </c>
      <c r="CY58" s="19" t="n">
        <f aca="false">(CY56+CY44-Waterfall!CY16*Waterfall!CY18)*(1-Time!CY20)</f>
        <v>2.73106395945732E-013</v>
      </c>
      <c r="CZ58" s="19" t="n">
        <f aca="false">(CZ56+CZ44-Waterfall!CZ16*Waterfall!CZ18)*(1-Time!CZ20)</f>
        <v>3.06940932335998E-013</v>
      </c>
      <c r="DA58" s="19" t="n">
        <f aca="false">(DA56+DA44-Waterfall!DA16*Waterfall!DA18)*(1-Time!DA20)</f>
        <v>3.41336262147096E-013</v>
      </c>
      <c r="DB58" s="19" t="n">
        <f aca="false">(DB56+DB44-Waterfall!DB16*Waterfall!DB18)*(1-Time!DB20)</f>
        <v>3.75170798537361E-013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3.29967164702794E-014</v>
      </c>
      <c r="CS59" s="19" t="n">
        <f aca="false">(CS57+CS51-Waterfall!CS16*Waterfall!CS19)*(1-Time!CS20)</f>
        <v>6.59934329405587E-014</v>
      </c>
      <c r="CT59" s="19" t="n">
        <f aca="false">(CT57+CT51-Waterfall!CT16*Waterfall!CT19)*(1-Time!CT20)</f>
        <v>9.89901494108381E-014</v>
      </c>
      <c r="CU59" s="19" t="n">
        <f aca="false">(CU57+CU51-Waterfall!CU16*Waterfall!CU19)*(1-Time!CU20)</f>
        <v>1.31986865881117E-013</v>
      </c>
      <c r="CV59" s="19" t="n">
        <f aca="false">(CV57+CV51-Waterfall!CV16*Waterfall!CV19)*(1-Time!CV20)</f>
        <v>1.64983582351397E-013</v>
      </c>
      <c r="CW59" s="19" t="n">
        <f aca="false">(CW57+CW51-Waterfall!CW16*Waterfall!CW19)*(1-Time!CW20)</f>
        <v>1.97980298821676E-013</v>
      </c>
      <c r="CX59" s="19" t="n">
        <f aca="false">(CX57+CX51-Waterfall!CX16*Waterfall!CX19)*(1-Time!CX20)</f>
        <v>2.30977015291956E-013</v>
      </c>
      <c r="CY59" s="19" t="n">
        <f aca="false">(CY57+CY51-Waterfall!CY16*Waterfall!CY19)*(1-Time!CY20)</f>
        <v>2.63973731762235E-013</v>
      </c>
      <c r="CZ59" s="19" t="n">
        <f aca="false">(CZ57+CZ51-Waterfall!CZ16*Waterfall!CZ19)*(1-Time!CZ20)</f>
        <v>2.96970448232514E-013</v>
      </c>
      <c r="DA59" s="19" t="n">
        <f aca="false">(DA57+DA51-Waterfall!DA16*Waterfall!DA19)*(1-Time!DA20)</f>
        <v>3.29967164702794E-013</v>
      </c>
      <c r="DB59" s="19" t="n">
        <f aca="false">(DB57+DB51-Waterfall!DB16*Waterfall!DB19)*(1-Time!DB20)</f>
        <v>3.62963881173073E-013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3.38345363902653E-014</v>
      </c>
      <c r="CS60" s="19" t="n">
        <f aca="false">IF(Time!CS35=1,0,CS58)</f>
        <v>6.82298662013636E-014</v>
      </c>
      <c r="CT60" s="19" t="n">
        <f aca="false">IF(Time!CT35=1,0,CT58)</f>
        <v>1.02064402591629E-013</v>
      </c>
      <c r="CU60" s="19" t="n">
        <f aca="false">IF(Time!CU35=1,0,CU58)</f>
        <v>1.36459732402727E-013</v>
      </c>
      <c r="CV60" s="19" t="n">
        <f aca="false">IF(Time!CV35=1,0,CV58)</f>
        <v>1.7048119993327E-013</v>
      </c>
      <c r="CW60" s="19" t="n">
        <f aca="false">IF(Time!CW35=1,0,CW58)</f>
        <v>2.04876529744369E-013</v>
      </c>
      <c r="CX60" s="19" t="n">
        <f aca="false">IF(Time!CX35=1,0,CX58)</f>
        <v>2.38711066134634E-013</v>
      </c>
      <c r="CY60" s="19" t="n">
        <f aca="false">IF(Time!CY35=1,0,CY58)</f>
        <v>2.73106395945732E-013</v>
      </c>
      <c r="CZ60" s="19" t="n">
        <f aca="false">IF(Time!CZ35=1,0,CZ58)</f>
        <v>3.06940932335998E-013</v>
      </c>
      <c r="DA60" s="19" t="n">
        <f aca="false">IF(Time!DA35=1,0,DA58)</f>
        <v>3.41336262147096E-013</v>
      </c>
      <c r="DB60" s="19" t="n">
        <f aca="false">IF(Time!DB35=1,0,DB58)</f>
        <v>3.75170798537361E-013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3.29967164702794E-014</v>
      </c>
      <c r="CS61" s="19" t="n">
        <f aca="false">IF(Time!CS35=1,0,CS59)</f>
        <v>6.59934329405587E-014</v>
      </c>
      <c r="CT61" s="19" t="n">
        <f aca="false">IF(Time!CT35=1,0,CT59)</f>
        <v>9.89901494108381E-014</v>
      </c>
      <c r="CU61" s="19" t="n">
        <f aca="false">IF(Time!CU35=1,0,CU59)</f>
        <v>1.31986865881117E-013</v>
      </c>
      <c r="CV61" s="19" t="n">
        <f aca="false">IF(Time!CV35=1,0,CV59)</f>
        <v>1.64983582351397E-013</v>
      </c>
      <c r="CW61" s="19" t="n">
        <f aca="false">IF(Time!CW35=1,0,CW59)</f>
        <v>1.97980298821676E-013</v>
      </c>
      <c r="CX61" s="19" t="n">
        <f aca="false">IF(Time!CX35=1,0,CX59)</f>
        <v>2.30977015291956E-013</v>
      </c>
      <c r="CY61" s="19" t="n">
        <f aca="false">IF(Time!CY35=1,0,CY59)</f>
        <v>2.63973731762235E-013</v>
      </c>
      <c r="CZ61" s="19" t="n">
        <f aca="false">IF(Time!CZ35=1,0,CZ59)</f>
        <v>2.96970448232514E-013</v>
      </c>
      <c r="DA61" s="19" t="n">
        <f aca="false">IF(Time!DA35=1,0,DA59)</f>
        <v>3.29967164702794E-013</v>
      </c>
      <c r="DB61" s="19" t="n">
        <f aca="false">IF(Time!DB35=1,0,DB59)</f>
        <v>3.62963881173073E-013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1117.75048922056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23.231524974205</v>
      </c>
      <c r="AX64" s="19" t="n">
        <f aca="false">AX44+AX51+AX63</f>
        <v>22.9970595048644</v>
      </c>
      <c r="AY64" s="19" t="n">
        <f aca="false">AY44+AY51+AY63</f>
        <v>23.1269009193199</v>
      </c>
      <c r="AZ64" s="19" t="n">
        <f aca="false">AZ44+AZ51+AZ63</f>
        <v>22.9544274719964</v>
      </c>
      <c r="BA64" s="19" t="n">
        <f aca="false">BA44+BA51+BA63</f>
        <v>23.0179198668346</v>
      </c>
      <c r="BB64" s="19" t="n">
        <f aca="false">BB44+BB51+BB63</f>
        <v>22.7435623651656</v>
      </c>
      <c r="BC64" s="19" t="n">
        <f aca="false">BC44+BC51+BC63</f>
        <v>22.8280758842104</v>
      </c>
      <c r="BD64" s="19" t="n">
        <f aca="false">BD44+BD51+BD63</f>
        <v>22.4289803371926</v>
      </c>
      <c r="BE64" s="19" t="n">
        <f aca="false">BE44+BE51+BE63</f>
        <v>22.3802084266006</v>
      </c>
      <c r="BF64" s="19" t="n">
        <f aca="false">BF44+BF51+BF63</f>
        <v>21.8925823643347</v>
      </c>
      <c r="BG64" s="19" t="n">
        <f aca="false">BG44+BG51+BG63</f>
        <v>21.7815397189592</v>
      </c>
      <c r="BH64" s="19" t="n">
        <f aca="false">BH44+BH51+BH63</f>
        <v>21.2959155857235</v>
      </c>
      <c r="BI64" s="19" t="n">
        <f aca="false">BI44+BI51+BI63</f>
        <v>21.0189819476258</v>
      </c>
      <c r="BJ64" s="19" t="n">
        <f aca="false">BJ44+BJ51+BJ63</f>
        <v>20.4159868898359</v>
      </c>
      <c r="BK64" s="19" t="n">
        <f aca="false">BK44+BK51+BK63</f>
        <v>20.125355327374</v>
      </c>
      <c r="BL64" s="19" t="n">
        <f aca="false">BL44+BL51+BL63</f>
        <v>19.4578561307466</v>
      </c>
      <c r="BM64" s="19" t="n">
        <f aca="false">BM44+BM51+BM63</f>
        <v>19.0852600898055</v>
      </c>
      <c r="BN64" s="19" t="n">
        <f aca="false">BN44+BN51+BN63</f>
        <v>18.3486150062057</v>
      </c>
      <c r="BO64" s="19" t="n">
        <f aca="false">BO44+BO51+BO63</f>
        <v>17.8868574435052</v>
      </c>
      <c r="BP64" s="19" t="n">
        <f aca="false">BP44+BP51+BP63</f>
        <v>17.3053210007609</v>
      </c>
      <c r="BQ64" s="19" t="n">
        <f aca="false">BQ44+BQ51+BQ63</f>
        <v>16.884990439324</v>
      </c>
      <c r="BR64" s="19" t="n">
        <f aca="false">BR44+BR51+BR63</f>
        <v>16.1832606811241</v>
      </c>
      <c r="BS64" s="19" t="n">
        <f aca="false">BS44+BS51+BS63</f>
        <v>15.7344151662102</v>
      </c>
      <c r="BT64" s="19" t="n">
        <f aca="false">BT44+BT51+BT63</f>
        <v>14.9679870878782</v>
      </c>
      <c r="BU64" s="19" t="n">
        <f aca="false">BU44+BU51+BU63</f>
        <v>14.4332670344947</v>
      </c>
      <c r="BV64" s="19" t="n">
        <f aca="false">BV44+BV51+BV63</f>
        <v>13.4149976665852</v>
      </c>
      <c r="BW64" s="19" t="n">
        <f aca="false">BW44+BW51+BW63</f>
        <v>12.5968453533251</v>
      </c>
      <c r="BX64" s="19" t="n">
        <f aca="false">BX44+BX51+BX63</f>
        <v>11.5293358379674</v>
      </c>
      <c r="BY64" s="19" t="n">
        <f aca="false">BY44+BY51+BY63</f>
        <v>10.5601587339616</v>
      </c>
      <c r="BZ64" s="19" t="n">
        <f aca="false">BZ44+BZ51+BZ63</f>
        <v>9.37579584700089</v>
      </c>
      <c r="CA64" s="19" t="n">
        <f aca="false">CA44+CA51+CA63</f>
        <v>8.32214128836796</v>
      </c>
      <c r="CB64" s="19" t="n">
        <f aca="false">CB44+CB51+CB63</f>
        <v>7.16471958592024</v>
      </c>
      <c r="CC64" s="19" t="n">
        <f aca="false">CC44+CC51+CC63</f>
        <v>6.10310964918791</v>
      </c>
      <c r="CD64" s="19" t="n">
        <f aca="false">CD44+CD51+CD63</f>
        <v>4.85318848282316</v>
      </c>
      <c r="CE64" s="19" t="n">
        <f aca="false">CE44+CE51+CE63</f>
        <v>3.65941137526709</v>
      </c>
      <c r="CF64" s="19" t="n">
        <f aca="false">CF44+CF51+CF63</f>
        <v>2.37467271788803</v>
      </c>
      <c r="CG64" s="19" t="n">
        <f aca="false">CG44+CG51+CG63</f>
        <v>1.24796965190443</v>
      </c>
      <c r="CH64" s="19" t="n">
        <f aca="false">CH44+CH51+CH63</f>
        <v>6.68312528605446E-014</v>
      </c>
      <c r="CI64" s="19" t="n">
        <f aca="false">CI44+CI51+CI63</f>
        <v>6.73920462813777E-014</v>
      </c>
      <c r="CJ64" s="19" t="n">
        <f aca="false">CJ44+CJ51+CJ63</f>
        <v>6.68312528605446E-014</v>
      </c>
      <c r="CK64" s="19" t="n">
        <f aca="false">CK44+CK51+CK63</f>
        <v>6.73920462813777E-014</v>
      </c>
      <c r="CL64" s="19" t="n">
        <f aca="false">CL44+CL51+CL63</f>
        <v>6.68312528605446E-014</v>
      </c>
      <c r="CM64" s="19" t="n">
        <f aca="false">CM44+CM51+CM63</f>
        <v>6.73920462813777E-014</v>
      </c>
      <c r="CN64" s="19" t="n">
        <f aca="false">CN44+CN51+CN63</f>
        <v>6.70181840008223E-014</v>
      </c>
      <c r="CO64" s="19" t="n">
        <f aca="false">CO44+CO51+CO63</f>
        <v>6.73920462813777E-014</v>
      </c>
      <c r="CP64" s="19" t="n">
        <f aca="false">CP44+CP51+CP63</f>
        <v>6.68312528605446E-014</v>
      </c>
      <c r="CQ64" s="19" t="n">
        <f aca="false">CQ44+CQ51+CQ63</f>
        <v>6.73920462813777E-014</v>
      </c>
      <c r="CR64" s="19" t="n">
        <f aca="false">CR44+CR51+CR63</f>
        <v>6.68312528605446E-014</v>
      </c>
      <c r="CS64" s="19" t="n">
        <f aca="false">CS44+CS51+CS63</f>
        <v>6.73920462813777E-014</v>
      </c>
      <c r="CT64" s="19" t="n">
        <f aca="false">CT44+CT51+CT63</f>
        <v>6.68312528605446E-014</v>
      </c>
      <c r="CU64" s="19" t="n">
        <f aca="false">CU44+CU51+CU63</f>
        <v>6.73920462813777E-014</v>
      </c>
      <c r="CV64" s="19" t="n">
        <f aca="false">CV44+CV51+CV63</f>
        <v>6.70181840008223E-014</v>
      </c>
      <c r="CW64" s="19" t="n">
        <f aca="false">CW44+CW51+CW63</f>
        <v>6.73920462813777E-014</v>
      </c>
      <c r="CX64" s="19" t="n">
        <f aca="false">CX44+CX51+CX63</f>
        <v>6.68312528605446E-014</v>
      </c>
      <c r="CY64" s="19" t="n">
        <f aca="false">CY44+CY51+CY63</f>
        <v>6.73920462813777E-014</v>
      </c>
      <c r="CZ64" s="19" t="n">
        <f aca="false">CZ44+CZ51+CZ63</f>
        <v>6.68312528605446E-014</v>
      </c>
      <c r="DA64" s="19" t="n">
        <f aca="false">DA44+DA51+DA63</f>
        <v>6.73920462813777E-014</v>
      </c>
      <c r="DB64" s="19" t="n">
        <f aca="false">DB44+DB51+DB63</f>
        <v>6.68312528605446E-014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4.96198220069812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4.96198220069812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882.130169012997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0.00854143668563978</v>
      </c>
      <c r="AW67" s="19" t="n">
        <f aca="false">AW45+AW52+AW66</f>
        <v>1.81886546065254</v>
      </c>
      <c r="AX67" s="19" t="n">
        <f aca="false">AX45+AX52+AX66</f>
        <v>2.15380278568206</v>
      </c>
      <c r="AY67" s="19" t="n">
        <f aca="false">AY45+AY52+AY66</f>
        <v>1.84777326571026</v>
      </c>
      <c r="AZ67" s="19" t="n">
        <f aca="false">AZ45+AZ52+AZ66</f>
        <v>2.29033404752155</v>
      </c>
      <c r="BA67" s="19" t="n">
        <f aca="false">BA45+BA52+BA66</f>
        <v>3.41168840758671</v>
      </c>
      <c r="BB67" s="19" t="n">
        <f aca="false">BB45+BB52+BB66</f>
        <v>3.7968561508939</v>
      </c>
      <c r="BC67" s="19" t="n">
        <f aca="false">BC45+BC52+BC66</f>
        <v>8.24500633495962</v>
      </c>
      <c r="BD67" s="19" t="n">
        <f aca="false">BD45+BD52+BD66</f>
        <v>8.76091863483294</v>
      </c>
      <c r="BE67" s="19" t="n">
        <f aca="false">BE45+BE52+BE66</f>
        <v>11.7718202138071</v>
      </c>
      <c r="BF67" s="19" t="n">
        <f aca="false">BF45+BF52+BF66</f>
        <v>12.3825236893676</v>
      </c>
      <c r="BG67" s="19" t="n">
        <f aca="false">BG45+BG52+BG66</f>
        <v>14.0461196571882</v>
      </c>
      <c r="BH67" s="19" t="n">
        <f aca="false">BH45+BH52+BH66</f>
        <v>14.8590799286198</v>
      </c>
      <c r="BI67" s="19" t="n">
        <f aca="false">BI45+BI52+BI66</f>
        <v>16.567603359762</v>
      </c>
      <c r="BJ67" s="19" t="n">
        <f aca="false">BJ45+BJ52+BJ66</f>
        <v>17.3058378201841</v>
      </c>
      <c r="BK67" s="19" t="n">
        <f aca="false">BK45+BK52+BK66</f>
        <v>19.3078290084219</v>
      </c>
      <c r="BL67" s="19" t="n">
        <f aca="false">BL45+BL52+BL66</f>
        <v>20.1175910192289</v>
      </c>
      <c r="BM67" s="19" t="n">
        <f aca="false">BM45+BM52+BM66</f>
        <v>22.2705533767732</v>
      </c>
      <c r="BN67" s="19" t="n">
        <f aca="false">BN45+BN52+BN66</f>
        <v>23.1556018309839</v>
      </c>
      <c r="BO67" s="19" t="n">
        <f aca="false">BO45+BO52+BO66</f>
        <v>18.499070318437</v>
      </c>
      <c r="BP67" s="19" t="n">
        <f aca="false">BP45+BP52+BP66</f>
        <v>19.4772861006409</v>
      </c>
      <c r="BQ67" s="19" t="n">
        <f aca="false">BQ45+BQ52+BQ66</f>
        <v>21.6141190178998</v>
      </c>
      <c r="BR67" s="19" t="n">
        <f aca="false">BR45+BR52+BR66</f>
        <v>21.99911155701</v>
      </c>
      <c r="BS67" s="19" t="n">
        <f aca="false">BS45+BS52+BS66</f>
        <v>24.4409197504095</v>
      </c>
      <c r="BT67" s="19" t="n">
        <f aca="false">BT45+BT52+BT66</f>
        <v>24.8798633453772</v>
      </c>
      <c r="BU67" s="19" t="n">
        <f aca="false">BU45+BU52+BU66</f>
        <v>34.4655200693166</v>
      </c>
      <c r="BV67" s="19" t="n">
        <f aca="false">BV45+BV52+BV66</f>
        <v>35.1451208728104</v>
      </c>
      <c r="BW67" s="19" t="n">
        <f aca="false">BW45+BW52+BW66</f>
        <v>38.1031798544986</v>
      </c>
      <c r="BX67" s="19" t="n">
        <f aca="false">BX45+BX52+BX66</f>
        <v>39.0986210313686</v>
      </c>
      <c r="BY67" s="19" t="n">
        <f aca="false">BY45+BY52+BY66</f>
        <v>42.0056948051872</v>
      </c>
      <c r="BZ67" s="19" t="n">
        <f aca="false">BZ45+BZ52+BZ66</f>
        <v>42.8276691356091</v>
      </c>
      <c r="CA67" s="19" t="n">
        <f aca="false">CA45+CA52+CA66</f>
        <v>41.6656098744414</v>
      </c>
      <c r="CB67" s="19" t="n">
        <f aca="false">CB45+CB52+CB66</f>
        <v>42.4480859384936</v>
      </c>
      <c r="CC67" s="19" t="n">
        <f aca="false">CC45+CC52+CC66</f>
        <v>45.8839385475982</v>
      </c>
      <c r="CD67" s="19" t="n">
        <f aca="false">CD45+CD52+CD66</f>
        <v>46.7458778290274</v>
      </c>
      <c r="CE67" s="19" t="n">
        <f aca="false">CE45+CE52+CE66</f>
        <v>48.2124009664507</v>
      </c>
      <c r="CF67" s="19" t="n">
        <f aca="false">CF45+CF52+CF66</f>
        <v>43.194711941816</v>
      </c>
      <c r="CG67" s="19" t="n">
        <f aca="false">CG45+CG52+CG66</f>
        <v>47.3050216277432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1979.65473178769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23.0533401819185</v>
      </c>
      <c r="AW68" s="19" t="n">
        <f aca="false">AW64+(Inputs!$F$96+Inputs!$F$97)*AW40*(1-Time!AW23)*(1-Time!AW20)+AW66-AW39</f>
        <v>25.0503904348576</v>
      </c>
      <c r="AX68" s="19" t="n">
        <f aca="false">AX64+(Inputs!$F$96+Inputs!$F$97)*AX40*(1-Time!AX23)*(1-Time!AX20)+AX66-AX39</f>
        <v>25.1508622905465</v>
      </c>
      <c r="AY68" s="19" t="n">
        <f aca="false">AY64+(Inputs!$F$96+Inputs!$F$97)*AY40*(1-Time!AY23)*(1-Time!AY20)+AY66-AY39</f>
        <v>24.9746741850301</v>
      </c>
      <c r="AZ68" s="19" t="n">
        <f aca="false">AZ64+(Inputs!$F$96+Inputs!$F$97)*AZ40*(1-Time!AZ23)*(1-Time!AZ20)+AZ66-AZ39</f>
        <v>25.2447615195179</v>
      </c>
      <c r="BA68" s="19" t="n">
        <f aca="false">BA64+(Inputs!$F$96+Inputs!$F$97)*BA40*(1-Time!BA23)*(1-Time!BA20)+BA66-BA39</f>
        <v>26.4296082744213</v>
      </c>
      <c r="BB68" s="19" t="n">
        <f aca="false">BB64+(Inputs!$F$96+Inputs!$F$97)*BB40*(1-Time!BB23)*(1-Time!BB20)+BB66-BB39</f>
        <v>26.5404185160595</v>
      </c>
      <c r="BC68" s="19" t="n">
        <f aca="false">BC64+(Inputs!$F$96+Inputs!$F$97)*BC40*(1-Time!BC23)*(1-Time!BC20)+BC66-BC39</f>
        <v>31.07308221917</v>
      </c>
      <c r="BD68" s="19" t="n">
        <f aca="false">BD64+(Inputs!$F$96+Inputs!$F$97)*BD40*(1-Time!BD23)*(1-Time!BD20)+BD66-BD39</f>
        <v>31.1898989720255</v>
      </c>
      <c r="BE68" s="19" t="n">
        <f aca="false">BE64+(Inputs!$F$96+Inputs!$F$97)*BE40*(1-Time!BE23)*(1-Time!BE20)+BE66-BE39</f>
        <v>34.1520286404077</v>
      </c>
      <c r="BF68" s="19" t="n">
        <f aca="false">BF64+(Inputs!$F$96+Inputs!$F$97)*BF40*(1-Time!BF23)*(1-Time!BF20)+BF66-BF39</f>
        <v>34.2751060537023</v>
      </c>
      <c r="BG68" s="19" t="n">
        <f aca="false">BG64+(Inputs!$F$96+Inputs!$F$97)*BG40*(1-Time!BG23)*(1-Time!BG20)+BG66-BG39</f>
        <v>35.8276593761473</v>
      </c>
      <c r="BH68" s="19" t="n">
        <f aca="false">BH64+(Inputs!$F$96+Inputs!$F$97)*BH40*(1-Time!BH23)*(1-Time!BH20)+BH66-BH39</f>
        <v>36.1549955143432</v>
      </c>
      <c r="BI68" s="19" t="n">
        <f aca="false">BI64+(Inputs!$F$96+Inputs!$F$97)*BI40*(1-Time!BI23)*(1-Time!BI20)+BI66-BI39</f>
        <v>37.5865853073878</v>
      </c>
      <c r="BJ68" s="19" t="n">
        <f aca="false">BJ64+(Inputs!$F$96+Inputs!$F$97)*BJ40*(1-Time!BJ23)*(1-Time!BJ20)+BJ66-BJ39</f>
        <v>37.72182471002</v>
      </c>
      <c r="BK68" s="19" t="n">
        <f aca="false">BK64+(Inputs!$F$96+Inputs!$F$97)*BK40*(1-Time!BK23)*(1-Time!BK20)+BK66-BK39</f>
        <v>39.4331843357959</v>
      </c>
      <c r="BL68" s="19" t="n">
        <f aca="false">BL64+(Inputs!$F$96+Inputs!$F$97)*BL40*(1-Time!BL23)*(1-Time!BL20)+BL66-BL39</f>
        <v>39.5754471499755</v>
      </c>
      <c r="BM68" s="19" t="n">
        <f aca="false">BM64+(Inputs!$F$96+Inputs!$F$97)*BM40*(1-Time!BM23)*(1-Time!BM20)+BM66-BM39</f>
        <v>41.3558134665787</v>
      </c>
      <c r="BN68" s="19" t="n">
        <f aca="false">BN64+(Inputs!$F$96+Inputs!$F$97)*BN40*(1-Time!BN23)*(1-Time!BN20)+BN66-BN39</f>
        <v>41.5042168371896</v>
      </c>
      <c r="BO68" s="19" t="n">
        <f aca="false">BO64+(Inputs!$F$96+Inputs!$F$97)*BO40*(1-Time!BO23)*(1-Time!BO20)+BO66-BO39</f>
        <v>36.3859277619422</v>
      </c>
      <c r="BP68" s="19" t="n">
        <f aca="false">BP64+(Inputs!$F$96+Inputs!$F$97)*BP40*(1-Time!BP23)*(1-Time!BP20)+BP66-BP39</f>
        <v>36.7826071014018</v>
      </c>
      <c r="BQ68" s="19" t="n">
        <f aca="false">BQ64+(Inputs!$F$96+Inputs!$F$97)*BQ40*(1-Time!BQ23)*(1-Time!BQ20)+BQ66-BQ39</f>
        <v>38.4991094572238</v>
      </c>
      <c r="BR68" s="19" t="n">
        <f aca="false">BR64+(Inputs!$F$96+Inputs!$F$97)*BR40*(1-Time!BR23)*(1-Time!BR20)+BR66-BR39</f>
        <v>38.1823722381341</v>
      </c>
      <c r="BS68" s="19" t="n">
        <f aca="false">BS64+(Inputs!$F$96+Inputs!$F$97)*BS40*(1-Time!BS23)*(1-Time!BS20)+BS66-BS39</f>
        <v>40.1753349166197</v>
      </c>
      <c r="BT68" s="19" t="n">
        <f aca="false">BT64+(Inputs!$F$96+Inputs!$F$97)*BT40*(1-Time!BT23)*(1-Time!BT20)+BT66-BT39</f>
        <v>39.8478504332554</v>
      </c>
      <c r="BU68" s="19" t="n">
        <f aca="false">BU64+(Inputs!$F$96+Inputs!$F$97)*BU40*(1-Time!BU23)*(1-Time!BU20)+BU66-BU39</f>
        <v>48.8987871038113</v>
      </c>
      <c r="BV68" s="19" t="n">
        <f aca="false">BV64+(Inputs!$F$96+Inputs!$F$97)*BV40*(1-Time!BV23)*(1-Time!BV20)+BV66-BV39</f>
        <v>48.5601185393956</v>
      </c>
      <c r="BW68" s="19" t="n">
        <f aca="false">BW64+(Inputs!$F$96+Inputs!$F$97)*BW40*(1-Time!BW23)*(1-Time!BW20)+BW66-BW39</f>
        <v>50.7000252078237</v>
      </c>
      <c r="BX68" s="19" t="n">
        <f aca="false">BX64+(Inputs!$F$96+Inputs!$F$97)*BX40*(1-Time!BX23)*(1-Time!BX20)+BX66-BX39</f>
        <v>50.627956869336</v>
      </c>
      <c r="BY68" s="19" t="n">
        <f aca="false">BY64+(Inputs!$F$96+Inputs!$F$97)*BY40*(1-Time!BY23)*(1-Time!BY20)+BY66-BY39</f>
        <v>52.5658535391488</v>
      </c>
      <c r="BZ68" s="19" t="n">
        <f aca="false">BZ64+(Inputs!$F$96+Inputs!$F$97)*BZ40*(1-Time!BZ23)*(1-Time!BZ20)+BZ66-BZ39</f>
        <v>52.20346498261</v>
      </c>
      <c r="CA68" s="19" t="n">
        <f aca="false">CA64+(Inputs!$F$96+Inputs!$F$97)*CA40*(1-Time!CA23)*(1-Time!CA20)+CA66-CA39</f>
        <v>49.9877511628093</v>
      </c>
      <c r="CB68" s="19" t="n">
        <f aca="false">CB64+(Inputs!$F$96+Inputs!$F$97)*CB40*(1-Time!CB23)*(1-Time!CB20)+CB66-CB39</f>
        <v>49.6128055244139</v>
      </c>
      <c r="CC68" s="19" t="n">
        <f aca="false">CC64+(Inputs!$F$96+Inputs!$F$97)*CC40*(1-Time!CC23)*(1-Time!CC20)+CC66-CC39</f>
        <v>51.9870481967861</v>
      </c>
      <c r="CD68" s="19" t="n">
        <f aca="false">CD64+(Inputs!$F$96+Inputs!$F$97)*CD40*(1-Time!CD23)*(1-Time!CD20)+CD66-CD39</f>
        <v>51.5990663118506</v>
      </c>
      <c r="CE68" s="19" t="n">
        <f aca="false">CE64+(Inputs!$F$96+Inputs!$F$97)*CE40*(1-Time!CE23)*(1-Time!CE20)+CE66-CE39</f>
        <v>51.8718123417178</v>
      </c>
      <c r="CF68" s="19" t="n">
        <f aca="false">CF64+(Inputs!$F$96+Inputs!$F$97)*CF40*(1-Time!CF23)*(1-Time!CF20)+CF66-CF39</f>
        <v>45.569384659704</v>
      </c>
      <c r="CG68" s="19" t="n">
        <f aca="false">CG64+(Inputs!$F$96+Inputs!$F$97)*CG40*(1-Time!CG23)*(1-Time!CG20)+CG66-CG39</f>
        <v>48.5529912796476</v>
      </c>
      <c r="CH68" s="19" t="n">
        <f aca="false">CH64+(Inputs!$F$96+Inputs!$F$97)*CH40*(1-Time!CH23)*(1-Time!CH20)+CH66-CH39</f>
        <v>6.68312528605446E-014</v>
      </c>
      <c r="CI68" s="19" t="n">
        <f aca="false">CI64+(Inputs!$F$96+Inputs!$F$97)*CI40*(1-Time!CI23)*(1-Time!CI20)+CI66-CI39</f>
        <v>6.73920462813777E-014</v>
      </c>
      <c r="CJ68" s="19" t="n">
        <f aca="false">CJ64+(Inputs!$F$96+Inputs!$F$97)*CJ40*(1-Time!CJ23)*(1-Time!CJ20)+CJ66-CJ39</f>
        <v>6.68312528605446E-014</v>
      </c>
      <c r="CK68" s="19" t="n">
        <f aca="false">CK64+(Inputs!$F$96+Inputs!$F$97)*CK40*(1-Time!CK23)*(1-Time!CK20)+CK66-CK39</f>
        <v>6.73920462813777E-014</v>
      </c>
      <c r="CL68" s="19" t="n">
        <f aca="false">CL64+(Inputs!$F$96+Inputs!$F$97)*CL40*(1-Time!CL23)*(1-Time!CL20)+CL66-CL39</f>
        <v>6.68312528605446E-014</v>
      </c>
      <c r="CM68" s="19" t="n">
        <f aca="false">CM64+(Inputs!$F$96+Inputs!$F$97)*CM40*(1-Time!CM23)*(1-Time!CM20)+CM66-CM39</f>
        <v>6.73920462813777E-014</v>
      </c>
      <c r="CN68" s="19" t="n">
        <f aca="false">CN64+(Inputs!$F$96+Inputs!$F$97)*CN40*(1-Time!CN23)*(1-Time!CN20)+CN66-CN39</f>
        <v>6.70181840008223E-014</v>
      </c>
      <c r="CO68" s="19" t="n">
        <f aca="false">CO64+(Inputs!$F$96+Inputs!$F$97)*CO40*(1-Time!CO23)*(1-Time!CO20)+CO66-CO39</f>
        <v>6.73920462813777E-014</v>
      </c>
      <c r="CP68" s="19" t="n">
        <f aca="false">CP64+(Inputs!$F$96+Inputs!$F$97)*CP40*(1-Time!CP23)*(1-Time!CP20)+CP66-CP39</f>
        <v>6.68312528605446E-014</v>
      </c>
      <c r="CQ68" s="19" t="n">
        <f aca="false">CQ64+(Inputs!$F$96+Inputs!$F$97)*CQ40*(1-Time!CQ23)*(1-Time!CQ20)+CQ66-CQ39</f>
        <v>6.73920462813777E-014</v>
      </c>
      <c r="CR68" s="19" t="n">
        <f aca="false">CR64+(Inputs!$F$96+Inputs!$F$97)*CR40*(1-Time!CR23)*(1-Time!CR20)+CR66-CR39</f>
        <v>6.68312528605446E-014</v>
      </c>
      <c r="CS68" s="19" t="n">
        <f aca="false">CS64+(Inputs!$F$96+Inputs!$F$97)*CS40*(1-Time!CS23)*(1-Time!CS20)+CS66-CS39</f>
        <v>6.73920462813777E-014</v>
      </c>
      <c r="CT68" s="19" t="n">
        <f aca="false">CT64+(Inputs!$F$96+Inputs!$F$97)*CT40*(1-Time!CT23)*(1-Time!CT20)+CT66-CT39</f>
        <v>6.68312528605446E-014</v>
      </c>
      <c r="CU68" s="19" t="n">
        <f aca="false">CU64+(Inputs!$F$96+Inputs!$F$97)*CU40*(1-Time!CU23)*(1-Time!CU20)+CU66-CU39</f>
        <v>6.73920462813777E-014</v>
      </c>
      <c r="CV68" s="19" t="n">
        <f aca="false">CV64+(Inputs!$F$96+Inputs!$F$97)*CV40*(1-Time!CV23)*(1-Time!CV20)+CV66-CV39</f>
        <v>6.70181840008223E-014</v>
      </c>
      <c r="CW68" s="19" t="n">
        <f aca="false">CW64+(Inputs!$F$96+Inputs!$F$97)*CW40*(1-Time!CW23)*(1-Time!CW20)+CW66-CW39</f>
        <v>6.73920462813777E-014</v>
      </c>
      <c r="CX68" s="19" t="n">
        <f aca="false">CX64+(Inputs!$F$96+Inputs!$F$97)*CX40*(1-Time!CX23)*(1-Time!CX20)+CX66-CX39</f>
        <v>6.68312528605446E-014</v>
      </c>
      <c r="CY68" s="19" t="n">
        <f aca="false">CY64+(Inputs!$F$96+Inputs!$F$97)*CY40*(1-Time!CY23)*(1-Time!CY20)+CY66-CY39</f>
        <v>6.73920462813777E-014</v>
      </c>
      <c r="CZ68" s="19" t="n">
        <f aca="false">CZ64+(Inputs!$F$96+Inputs!$F$97)*CZ40*(1-Time!CZ23)*(1-Time!CZ20)+CZ66-CZ39</f>
        <v>6.68312528605446E-014</v>
      </c>
      <c r="DA68" s="19" t="n">
        <f aca="false">DA64+(Inputs!$F$96+Inputs!$F$97)*DA40*(1-Time!DA23)*(1-Time!DA20)+DA66-DA39</f>
        <v>6.73920462813777E-014</v>
      </c>
      <c r="DB68" s="19" t="n">
        <f aca="false">DB64+(Inputs!$F$96+Inputs!$F$97)*DB40*(1-Time!DB23)*(1-Time!DB20)+DB66-DB39</f>
        <v>6.68312528605446E-014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882.121627576314</v>
      </c>
      <c r="AX70" s="19" t="n">
        <f aca="false">IF(Time!AX21=1,$F$26,AW70-AW40)</f>
        <v>880.302762115662</v>
      </c>
      <c r="AY70" s="19" t="n">
        <f aca="false">IF(Time!AY21=1,$F$26,AX70-AX40)</f>
        <v>878.14895932998</v>
      </c>
      <c r="AZ70" s="19" t="n">
        <f aca="false">IF(Time!AZ21=1,$F$26,AY70-AY40)</f>
        <v>876.30118606427</v>
      </c>
      <c r="BA70" s="19" t="n">
        <f aca="false">IF(Time!BA21=1,$F$26,AZ70-AZ40)</f>
        <v>874.010852016748</v>
      </c>
      <c r="BB70" s="19" t="n">
        <f aca="false">IF(Time!BB21=1,$F$26,BA70-BA40)</f>
        <v>870.599163609161</v>
      </c>
      <c r="BC70" s="19" t="n">
        <f aca="false">IF(Time!BC21=1,$F$26,BB70-BB40)</f>
        <v>866.802307458268</v>
      </c>
      <c r="BD70" s="19" t="n">
        <f aca="false">IF(Time!BD21=1,$F$26,BC70-BC40)</f>
        <v>858.557301123308</v>
      </c>
      <c r="BE70" s="19" t="n">
        <f aca="false">IF(Time!BE21=1,$F$26,BD70-BD40)</f>
        <v>849.796382488475</v>
      </c>
      <c r="BF70" s="19" t="n">
        <f aca="false">IF(Time!BF21=1,$F$26,BE70-BE40)</f>
        <v>838.024562274668</v>
      </c>
      <c r="BG70" s="19" t="n">
        <f aca="false">IF(Time!BG21=1,$F$26,BF70-BF40)</f>
        <v>825.6420385853</v>
      </c>
      <c r="BH70" s="19" t="n">
        <f aca="false">IF(Time!BH21=1,$F$26,BG70-BG40)</f>
        <v>811.595918928112</v>
      </c>
      <c r="BI70" s="19" t="n">
        <f aca="false">IF(Time!BI21=1,$F$26,BH70-BH40)</f>
        <v>796.736838999492</v>
      </c>
      <c r="BJ70" s="19" t="n">
        <f aca="false">IF(Time!BJ21=1,$F$26,BI70-BI40)</f>
        <v>780.169235639731</v>
      </c>
      <c r="BK70" s="19" t="n">
        <f aca="false">IF(Time!BK21=1,$F$26,BJ70-BJ40)</f>
        <v>762.863397819546</v>
      </c>
      <c r="BL70" s="19" t="n">
        <f aca="false">IF(Time!BL21=1,$F$26,BK70-BK40)</f>
        <v>743.555568811125</v>
      </c>
      <c r="BM70" s="19" t="n">
        <f aca="false">IF(Time!BM21=1,$F$26,BL70-BL40)</f>
        <v>723.437977791896</v>
      </c>
      <c r="BN70" s="19" t="n">
        <f aca="false">IF(Time!BN21=1,$F$26,BM70-BM40)</f>
        <v>701.167424415122</v>
      </c>
      <c r="BO70" s="19" t="n">
        <f aca="false">IF(Time!BO21=1,$F$26,BN70-BN40)</f>
        <v>678.011822584139</v>
      </c>
      <c r="BP70" s="19" t="n">
        <f aca="false">IF(Time!BP21=1,$F$26,BO70-BO40)</f>
        <v>659.512752265702</v>
      </c>
      <c r="BQ70" s="19" t="n">
        <f aca="false">IF(Time!BQ21=1,$F$26,BP70-BP40)</f>
        <v>640.035466165061</v>
      </c>
      <c r="BR70" s="19" t="n">
        <f aca="false">IF(Time!BR21=1,$F$26,BQ70-BQ40)</f>
        <v>618.421347147161</v>
      </c>
      <c r="BS70" s="19" t="n">
        <f aca="false">IF(Time!BS21=1,$F$26,BR70-BR40)</f>
        <v>596.422235590151</v>
      </c>
      <c r="BT70" s="19" t="n">
        <f aca="false">IF(Time!BT21=1,$F$26,BS70-BS40)</f>
        <v>571.981315839742</v>
      </c>
      <c r="BU70" s="19" t="n">
        <f aca="false">IF(Time!BU21=1,$F$26,BT70-BT40)</f>
        <v>547.101452494364</v>
      </c>
      <c r="BV70" s="19" t="n">
        <f aca="false">IF(Time!BV21=1,$F$26,BU70-BU40)</f>
        <v>512.635932425048</v>
      </c>
      <c r="BW70" s="19" t="n">
        <f aca="false">IF(Time!BW21=1,$F$26,BV70-BV40)</f>
        <v>477.490811552237</v>
      </c>
      <c r="BX70" s="19" t="n">
        <f aca="false">IF(Time!BX21=1,$F$26,BW70-BW40)</f>
        <v>439.387631697739</v>
      </c>
      <c r="BY70" s="19" t="n">
        <f aca="false">IF(Time!BY21=1,$F$26,BX70-BX40)</f>
        <v>400.28901066637</v>
      </c>
      <c r="BZ70" s="19" t="n">
        <f aca="false">IF(Time!BZ21=1,$F$26,BY70-BY40)</f>
        <v>358.283315861183</v>
      </c>
      <c r="CA70" s="19" t="n">
        <f aca="false">IF(Time!CA21=1,$F$26,BZ70-BZ40)</f>
        <v>315.455646725574</v>
      </c>
      <c r="CB70" s="19" t="n">
        <f aca="false">IF(Time!CB21=1,$F$26,CA70-CA40)</f>
        <v>273.790036851132</v>
      </c>
      <c r="CC70" s="19" t="n">
        <f aca="false">IF(Time!CC21=1,$F$26,CB70-CB40)</f>
        <v>231.341950912639</v>
      </c>
      <c r="CD70" s="19" t="n">
        <f aca="false">IF(Time!CD21=1,$F$26,CC70-CC40)</f>
        <v>185.45801236504</v>
      </c>
      <c r="CE70" s="19" t="n">
        <f aca="false">IF(Time!CE21=1,$F$26,CD70-CD40)</f>
        <v>138.712134536013</v>
      </c>
      <c r="CF70" s="19" t="n">
        <f aca="false">IF(Time!CF21=1,$F$26,CE70-CE40)</f>
        <v>90.4997335695622</v>
      </c>
      <c r="CG70" s="19" t="n">
        <f aca="false">IF(Time!CG21=1,$F$26,CF70-CF40)</f>
        <v>47.3050216290297</v>
      </c>
      <c r="CH70" s="19" t="n">
        <f aca="false">IF(Time!CH21=1,$F$26,CG70-CG40)</f>
        <v>1.28650867736724E-009</v>
      </c>
      <c r="CI70" s="19" t="n">
        <f aca="false">IF(Time!CI21=1,$F$26,CH70-CH40)</f>
        <v>1.28650867736724E-009</v>
      </c>
      <c r="CJ70" s="19" t="n">
        <f aca="false">IF(Time!CJ21=1,$F$26,CI70-CI40)</f>
        <v>1.28650867736724E-009</v>
      </c>
      <c r="CK70" s="19" t="n">
        <f aca="false">IF(Time!CK21=1,$F$26,CJ70-CJ40)</f>
        <v>1.28650867736724E-009</v>
      </c>
      <c r="CL70" s="19" t="n">
        <f aca="false">IF(Time!CL21=1,$F$26,CK70-CK40)</f>
        <v>1.28650867736724E-009</v>
      </c>
      <c r="CM70" s="19" t="n">
        <f aca="false">IF(Time!CM21=1,$F$26,CL70-CL40)</f>
        <v>1.28650867736724E-009</v>
      </c>
      <c r="CN70" s="19" t="n">
        <f aca="false">IF(Time!CN21=1,$F$26,CM70-CM40)</f>
        <v>1.28650867736724E-009</v>
      </c>
      <c r="CO70" s="19" t="n">
        <f aca="false">IF(Time!CO21=1,$F$26,CN70-CN40)</f>
        <v>1.28650867736724E-009</v>
      </c>
      <c r="CP70" s="19" t="n">
        <f aca="false">IF(Time!CP21=1,$F$26,CO70-CO40)</f>
        <v>1.28650867736724E-009</v>
      </c>
      <c r="CQ70" s="19" t="n">
        <f aca="false">IF(Time!CQ21=1,$F$26,CP70-CP40)</f>
        <v>1.28650867736724E-009</v>
      </c>
      <c r="CR70" s="19" t="n">
        <f aca="false">IF(Time!CR21=1,$F$26,CQ70-CQ40)</f>
        <v>1.28650867736724E-009</v>
      </c>
      <c r="CS70" s="19" t="n">
        <f aca="false">IF(Time!CS21=1,$F$26,CR70-CR40)</f>
        <v>1.28650867736724E-009</v>
      </c>
      <c r="CT70" s="19" t="n">
        <f aca="false">IF(Time!CT21=1,$F$26,CS70-CS40)</f>
        <v>1.28650867736724E-009</v>
      </c>
      <c r="CU70" s="19" t="n">
        <f aca="false">IF(Time!CU21=1,$F$26,CT70-CT40)</f>
        <v>1.28650867736724E-009</v>
      </c>
      <c r="CV70" s="19" t="n">
        <f aca="false">IF(Time!CV21=1,$F$26,CU70-CU40)</f>
        <v>1.28650867736724E-009</v>
      </c>
      <c r="CW70" s="19" t="n">
        <f aca="false">IF(Time!CW21=1,$F$26,CV70-CV40)</f>
        <v>1.28650867736724E-009</v>
      </c>
      <c r="CX70" s="19" t="n">
        <f aca="false">IF(Time!CX21=1,$F$26,CW70-CW40)</f>
        <v>1.28650867736724E-009</v>
      </c>
      <c r="CY70" s="19" t="n">
        <f aca="false">IF(Time!CY21=1,$F$26,CX70-CX40)</f>
        <v>1.28650867736724E-009</v>
      </c>
      <c r="CZ70" s="19" t="n">
        <f aca="false">IF(Time!CZ21=1,$F$26,CY70-CY40)</f>
        <v>1.28650867736724E-009</v>
      </c>
      <c r="DA70" s="19" t="n">
        <f aca="false">IF(Time!DA21=1,$F$26,CZ70-CZ40)</f>
        <v>1.28650867736724E-009</v>
      </c>
      <c r="DB70" s="19" t="n">
        <f aca="false">IF(Time!DB21=1,$F$26,DA70-DA40)</f>
        <v>1.28650867736724E-009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1.30174098344362</v>
      </c>
      <c r="AX72" s="19" t="n">
        <f aca="false">Time!AX52*(Inputs!$F$101-Inputs!$F$100)/100*Inputs!$F$96*AX70*Time!AX9/Inputs!$F$45*AX71</f>
        <v>1.25083259166432</v>
      </c>
      <c r="AY72" s="19" t="n">
        <f aca="false">Time!AY52*(Inputs!$F$101-Inputs!$F$100)/100*Inputs!$F$96*AY70*Time!AY9/Inputs!$F$45*AY71</f>
        <v>1.24117356076911</v>
      </c>
      <c r="AZ72" s="19" t="n">
        <f aca="false">Time!AZ52*(Inputs!$F$101-Inputs!$F$100)/100*Inputs!$F$96*AZ70*Time!AZ9/Inputs!$F$45*AZ71</f>
        <v>1.1990320086552</v>
      </c>
      <c r="BA72" s="19" t="n">
        <f aca="false">Time!BA52*(Inputs!$F$101-Inputs!$F$100)/100*Inputs!$F$96*BA70*Time!BA9/Inputs!$F$45*BA71</f>
        <v>1.18303771463547</v>
      </c>
      <c r="BB72" s="19" t="n">
        <f aca="false">Time!BB52*(Inputs!$F$101-Inputs!$F$100)/100*Inputs!$F$96*BB70*Time!BB9/Inputs!$F$45*BB71</f>
        <v>1.13467379890991</v>
      </c>
      <c r="BC72" s="19" t="n">
        <f aca="false">Time!BC52*(Inputs!$F$101-Inputs!$F$100)/100*Inputs!$F$96*BC70*Time!BC9/Inputs!$F$45*BC71</f>
        <v>1.12375086836184</v>
      </c>
      <c r="BD72" s="19" t="n">
        <f aca="false">Time!BD52*(Inputs!$F$101-Inputs!$F$100)/100*Inputs!$F$96*BD70*Time!BD9/Inputs!$F$45*BD71</f>
        <v>1.07174208144409</v>
      </c>
      <c r="BE72" s="19" t="n">
        <f aca="false">Time!BE52*(Inputs!$F$101-Inputs!$F$100)/100*Inputs!$F$96*BE70*Time!BE9/Inputs!$F$45*BE71</f>
        <v>1.05519585424525</v>
      </c>
      <c r="BF72" s="19" t="n">
        <f aca="false">Time!BF52*(Inputs!$F$101-Inputs!$F$100)/100*Inputs!$F$96*BF70*Time!BF9/Inputs!$F$45*BF71</f>
        <v>1.00194979824547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5.99352374951786</v>
      </c>
      <c r="P96" s="19" t="n">
        <f aca="false">O102</f>
        <v>63.0521895651964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339.845289289783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491.7427450032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522.578281376499</v>
      </c>
      <c r="AF96" s="19" t="n">
        <f aca="false">AE102</f>
        <v>530.639445090094</v>
      </c>
      <c r="AG96" s="19" t="n">
        <f aca="false">AF102</f>
        <v>538.691498872494</v>
      </c>
      <c r="AH96" s="19" t="n">
        <f aca="false">AG102</f>
        <v>547.00122110606</v>
      </c>
      <c r="AI96" s="19" t="n">
        <f aca="false">AH102</f>
        <v>555.301552512137</v>
      </c>
      <c r="AJ96" s="19" t="n">
        <f aca="false">AI102</f>
        <v>563.867497337518</v>
      </c>
      <c r="AK96" s="19" t="n">
        <f aca="false">AJ102</f>
        <v>567.006315607491</v>
      </c>
      <c r="AL96" s="19" t="n">
        <f aca="false">AK102</f>
        <v>567.006315607491</v>
      </c>
      <c r="AM96" s="19" t="n">
        <f aca="false">AL102</f>
        <v>567.006315607491</v>
      </c>
      <c r="AN96" s="19" t="n">
        <f aca="false">AM102</f>
        <v>567.006315607491</v>
      </c>
      <c r="AO96" s="19" t="n">
        <f aca="false">AN102</f>
        <v>567.006315607491</v>
      </c>
      <c r="AP96" s="19" t="n">
        <f aca="false">AO102</f>
        <v>567.006315607491</v>
      </c>
      <c r="AQ96" s="19" t="n">
        <f aca="false">AP102</f>
        <v>566.798594047462</v>
      </c>
      <c r="AR96" s="19" t="n">
        <f aca="false">AQ102</f>
        <v>566.798594047462</v>
      </c>
      <c r="AS96" s="19" t="n">
        <f aca="false">AR102</f>
        <v>566.798594047462</v>
      </c>
      <c r="AT96" s="19" t="n">
        <f aca="false">AS102</f>
        <v>566.798594047462</v>
      </c>
      <c r="AU96" s="19" t="n">
        <f aca="false">AT102</f>
        <v>566.798594047462</v>
      </c>
      <c r="AV96" s="19" t="n">
        <f aca="false">AU102</f>
        <v>566.418416053129</v>
      </c>
      <c r="AW96" s="19" t="n">
        <f aca="false">AV102</f>
        <v>565.605432430994</v>
      </c>
      <c r="AX96" s="19" t="n">
        <f aca="false">AW102</f>
        <v>564.107379511558</v>
      </c>
      <c r="AY96" s="19" t="n">
        <f aca="false">AX102</f>
        <v>562.403339050401</v>
      </c>
      <c r="AZ96" s="19" t="n">
        <f aca="false">AY102</f>
        <v>560.886790862406</v>
      </c>
      <c r="BA96" s="19" t="n">
        <f aca="false">AZ102</f>
        <v>559.14258286485</v>
      </c>
      <c r="BB96" s="19" t="n">
        <f aca="false">BA102</f>
        <v>556.981983509714</v>
      </c>
      <c r="BC96" s="19" t="n">
        <f aca="false">BB102</f>
        <v>554.602749375634</v>
      </c>
      <c r="BD96" s="19" t="n">
        <f aca="false">BC102</f>
        <v>550.477140469963</v>
      </c>
      <c r="BE96" s="19" t="n">
        <f aca="false">BD102</f>
        <v>546.101769817024</v>
      </c>
      <c r="BF96" s="19" t="n">
        <f aca="false">BE102</f>
        <v>540.588523793513</v>
      </c>
      <c r="BG96" s="19" t="n">
        <f aca="false">BF102</f>
        <v>534.804042784373</v>
      </c>
      <c r="BH96" s="19" t="n">
        <f aca="false">BG102</f>
        <v>528.432704032036</v>
      </c>
      <c r="BI96" s="19" t="n">
        <f aca="false">BH102</f>
        <v>521.740895325546</v>
      </c>
      <c r="BJ96" s="19" t="n">
        <f aca="false">BI102</f>
        <v>514.45023853885</v>
      </c>
      <c r="BK96" s="19" t="n">
        <f aca="false">BJ102</f>
        <v>506.862539575257</v>
      </c>
      <c r="BL96" s="19" t="n">
        <f aca="false">BK102</f>
        <v>498.588784832894</v>
      </c>
      <c r="BM96" s="19" t="n">
        <f aca="false">BL102</f>
        <v>490.003945931034</v>
      </c>
      <c r="BN96" s="19" t="n">
        <f aca="false">BM102</f>
        <v>480.685519055457</v>
      </c>
      <c r="BO96" s="19" t="n">
        <f aca="false">BN102</f>
        <v>471.041890028312</v>
      </c>
      <c r="BP96" s="19" t="n">
        <f aca="false">BO102</f>
        <v>463.459145408789</v>
      </c>
      <c r="BQ96" s="19" t="n">
        <f aca="false">BP102</f>
        <v>455.519839559428</v>
      </c>
      <c r="BR96" s="19" t="n">
        <f aca="false">BQ102</f>
        <v>446.835276414658</v>
      </c>
      <c r="BS96" s="19" t="n">
        <f aca="false">BR102</f>
        <v>438.03362413079</v>
      </c>
      <c r="BT96" s="19" t="n">
        <f aca="false">BS102</f>
        <v>428.395263457286</v>
      </c>
      <c r="BU96" s="19" t="n">
        <f aca="false">BT102</f>
        <v>418.63412429518</v>
      </c>
      <c r="BV96" s="19" t="n">
        <f aca="false">BU102</f>
        <v>405.136513187033</v>
      </c>
      <c r="BW96" s="19" t="n">
        <f aca="false">BV102</f>
        <v>391.467005648915</v>
      </c>
      <c r="BX96" s="19" t="n">
        <f aca="false">BW102</f>
        <v>376.815244732045</v>
      </c>
      <c r="BY96" s="19" t="n">
        <f aca="false">BX102</f>
        <v>361.903699026827</v>
      </c>
      <c r="BZ96" s="19" t="n">
        <f aca="false">BY102</f>
        <v>346.034466337821</v>
      </c>
      <c r="CA96" s="19" t="n">
        <f aca="false">BZ102</f>
        <v>329.981297752469</v>
      </c>
      <c r="CB96" s="19" t="n">
        <f aca="false">CA102</f>
        <v>314.671749050078</v>
      </c>
      <c r="CC96" s="19" t="n">
        <f aca="false">CB102</f>
        <v>299.199910420936</v>
      </c>
      <c r="CD96" s="19" t="n">
        <f aca="false">CC102</f>
        <v>282.599632203432</v>
      </c>
      <c r="CE96" s="19" t="n">
        <f aca="false">CD102</f>
        <v>265.830539969993</v>
      </c>
      <c r="CF96" s="19" t="n">
        <f aca="false">CE102</f>
        <v>248.762541265599</v>
      </c>
      <c r="CG96" s="19" t="n">
        <f aca="false">CF102</f>
        <v>233.961535673975</v>
      </c>
      <c r="CH96" s="19" t="n">
        <f aca="false">CG102</f>
        <v>217.756328348407</v>
      </c>
      <c r="CI96" s="19" t="n">
        <f aca="false">CH102</f>
        <v>195.117575471087</v>
      </c>
      <c r="CJ96" s="19" t="n">
        <f aca="false">CI102</f>
        <v>170.985655099013</v>
      </c>
      <c r="CK96" s="19" t="n">
        <f aca="false">CJ102</f>
        <v>146.737065768849</v>
      </c>
      <c r="CL96" s="19" t="n">
        <f aca="false">CK102</f>
        <v>116.926169332292</v>
      </c>
      <c r="CM96" s="19" t="n">
        <f aca="false">CL102</f>
        <v>89.5063520134393</v>
      </c>
      <c r="CN96" s="19" t="n">
        <f aca="false">CM102</f>
        <v>60.4130367316854</v>
      </c>
      <c r="CO96" s="19" t="n">
        <f aca="false">CN102</f>
        <v>30.997142357971</v>
      </c>
      <c r="CP96" s="19" t="n">
        <f aca="false">CO102</f>
        <v>5.65524516105143E-010</v>
      </c>
      <c r="CQ96" s="19" t="n">
        <f aca="false">CP102</f>
        <v>5.65524516105143E-010</v>
      </c>
      <c r="CR96" s="19" t="n">
        <f aca="false">CQ102</f>
        <v>5.74248157846179E-010</v>
      </c>
      <c r="CS96" s="19" t="n">
        <f aca="false">CR102</f>
        <v>5.82961940988773E-010</v>
      </c>
      <c r="CT96" s="19" t="n">
        <f aca="false">CS102</f>
        <v>5.91954568146426E-010</v>
      </c>
      <c r="CU96" s="19" t="n">
        <f aca="false">CT102</f>
        <v>6.0093703272488E-010</v>
      </c>
      <c r="CV96" s="19" t="n">
        <f aca="false">CU102</f>
        <v>6.1020693921544E-010</v>
      </c>
      <c r="CW96" s="19" t="n">
        <f aca="false">CV102</f>
        <v>6.19517526847984E-010</v>
      </c>
      <c r="CX96" s="19" t="n">
        <f aca="false">CW102</f>
        <v>6.29074051459394E-010</v>
      </c>
      <c r="CY96" s="19" t="n">
        <f aca="false">CX102</f>
        <v>6.38619776230389E-010</v>
      </c>
      <c r="CZ96" s="19" t="n">
        <f aca="false">CY102</f>
        <v>6.48470967430629E-010</v>
      </c>
      <c r="DA96" s="19" t="n">
        <f aca="false">CZ102</f>
        <v>6.58311025787372E-010</v>
      </c>
      <c r="DB96" s="19" t="n">
        <f aca="false">DA102</f>
        <v>6.68465969347901E-010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482.627361156866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0.0462273097524457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2.09400744519138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3.44547297434767</v>
      </c>
      <c r="Y97" s="19" t="n">
        <f aca="false">Y96*Time!Y50*Time!Y9/Inputs!$F$45</f>
        <v>3.4536838888191</v>
      </c>
      <c r="Z97" s="19" t="n">
        <f aca="false">Z96*Time!Z50*Time!Z9/Inputs!$F$45</f>
        <v>3.72312176131331</v>
      </c>
      <c r="AA97" s="19" t="n">
        <f aca="false">AA96*Time!AA50*Time!AA9/Inputs!$F$45</f>
        <v>7.5855023327836</v>
      </c>
      <c r="AB97" s="19" t="n">
        <f aca="false">AB96*Time!AB50*Time!AB9/Inputs!$F$45</f>
        <v>7.61879143853029</v>
      </c>
      <c r="AC97" s="19" t="n">
        <f aca="false">AC96*Time!AC50*Time!AC9/Inputs!$F$45</f>
        <v>7.82004001949595</v>
      </c>
      <c r="AD97" s="19" t="n">
        <f aca="false">AD96*Time!AD50*Time!AD9/Inputs!$F$45</f>
        <v>7.81120258248904</v>
      </c>
      <c r="AE97" s="19" t="n">
        <f aca="false">AE96*Time!AE50*Time!AE9/Inputs!$F$45</f>
        <v>8.06116371359517</v>
      </c>
      <c r="AF97" s="19" t="n">
        <f aca="false">AF96*Time!AF50*Time!AF9/Inputs!$F$45</f>
        <v>8.05205378239998</v>
      </c>
      <c r="AG97" s="19" t="n">
        <f aca="false">AG96*Time!AG50*Time!AG9/Inputs!$F$45</f>
        <v>8.30972223356627</v>
      </c>
      <c r="AH97" s="19" t="n">
        <f aca="false">AH96*Time!AH50*Time!AH9/Inputs!$F$45</f>
        <v>8.30033140607678</v>
      </c>
      <c r="AI97" s="19" t="n">
        <f aca="false">AI96*Time!AI50*Time!AI9/Inputs!$F$45</f>
        <v>8.56594482538174</v>
      </c>
      <c r="AJ97" s="19" t="n">
        <f aca="false">AJ96*Time!AJ50*Time!AJ9/Inputs!$F$45</f>
        <v>8.60353661964961</v>
      </c>
      <c r="AK97" s="19" t="n">
        <f aca="false">AK96*Time!AK50*Time!AK9/Inputs!$F$45</f>
        <v>8.7464996147847</v>
      </c>
      <c r="AL97" s="19" t="n">
        <f aca="false">AL96*Time!AL50*Time!AL9/Inputs!$F$45</f>
        <v>8.60389364280452</v>
      </c>
      <c r="AM97" s="19" t="n">
        <f aca="false">AM96*Time!AM50*Time!AM9/Inputs!$F$45</f>
        <v>8.7464996147847</v>
      </c>
      <c r="AN97" s="19" t="n">
        <f aca="false">AN96*Time!AN50*Time!AN9/Inputs!$F$45</f>
        <v>8.60389364280452</v>
      </c>
      <c r="AO97" s="19" t="n">
        <f aca="false">AO96*Time!AO50*Time!AO9/Inputs!$F$45</f>
        <v>8.7464996147847</v>
      </c>
      <c r="AP97" s="19" t="n">
        <f aca="false">AP96*Time!AP50*Time!AP9/Inputs!$F$45</f>
        <v>8.60389364280452</v>
      </c>
      <c r="AQ97" s="19" t="n">
        <f aca="false">AQ96*Time!AQ50*Time!AQ9/Inputs!$F$45</f>
        <v>8.74329535321871</v>
      </c>
      <c r="AR97" s="19" t="n">
        <f aca="false">AR96*Time!AR50*Time!AR9/Inputs!$F$45</f>
        <v>8.64825953416199</v>
      </c>
      <c r="AS97" s="19" t="n">
        <f aca="false">AS96*Time!AS50*Time!AS9/Inputs!$F$45</f>
        <v>8.74329535321871</v>
      </c>
      <c r="AT97" s="19" t="n">
        <f aca="false">AT96*Time!AT50*Time!AT9/Inputs!$F$45</f>
        <v>8.60074162463362</v>
      </c>
      <c r="AU97" s="19" t="n">
        <f aca="false">AU96*Time!AU50*Time!AU9/Inputs!$F$45</f>
        <v>8.74329535321871</v>
      </c>
      <c r="AV97" s="19" t="n">
        <f aca="false">AV96*Time!AV50*Time!AV9/Inputs!$F$45</f>
        <v>8.5949727100051</v>
      </c>
      <c r="AW97" s="19" t="n">
        <f aca="false">AW96*Time!AW50*Time!AW9/Inputs!$F$45</f>
        <v>8.7248899363273</v>
      </c>
      <c r="AX97" s="19" t="n">
        <f aca="false">AX96*Time!AX50*Time!AX9/Inputs!$F$45</f>
        <v>8.55990447167867</v>
      </c>
      <c r="AY97" s="19" t="n">
        <f aca="false">AY96*Time!AY50*Time!AY9/Inputs!$F$45</f>
        <v>8.67549523339556</v>
      </c>
      <c r="AZ97" s="19" t="n">
        <f aca="false">AZ96*Time!AZ50*Time!AZ9/Inputs!$F$45</f>
        <v>8.55805675526278</v>
      </c>
      <c r="BA97" s="19" t="n">
        <f aca="false">BA96*Time!BA50*Time!BA9/Inputs!$F$45</f>
        <v>8.62519561249932</v>
      </c>
      <c r="BB97" s="19" t="n">
        <f aca="false">BB96*Time!BB50*Time!BB9/Inputs!$F$45</f>
        <v>8.45178195579972</v>
      </c>
      <c r="BC97" s="19" t="n">
        <f aca="false">BC96*Time!BC50*Time!BC9/Inputs!$F$45</f>
        <v>8.55516526050567</v>
      </c>
      <c r="BD97" s="19" t="n">
        <f aca="false">BD96*Time!BD50*Time!BD9/Inputs!$F$45</f>
        <v>8.35307586358064</v>
      </c>
      <c r="BE97" s="19" t="n">
        <f aca="false">BE96*Time!BE50*Time!BE9/Inputs!$F$45</f>
        <v>8.42403124596649</v>
      </c>
      <c r="BF97" s="19" t="n">
        <f aca="false">BF96*Time!BF50*Time!BF9/Inputs!$F$45</f>
        <v>8.20302355584316</v>
      </c>
      <c r="BG97" s="19" t="n">
        <f aca="false">BG96*Time!BG50*Time!BG9/Inputs!$F$45</f>
        <v>8.24975529450173</v>
      </c>
      <c r="BH97" s="19" t="n">
        <f aca="false">BH96*Time!BH50*Time!BH9/Inputs!$F$45</f>
        <v>8.06286963094579</v>
      </c>
      <c r="BI97" s="19" t="n">
        <f aca="false">BI96*Time!BI50*Time!BI9/Inputs!$F$45</f>
        <v>8.04824640285193</v>
      </c>
      <c r="BJ97" s="19" t="n">
        <f aca="false">BJ96*Time!BJ50*Time!BJ9/Inputs!$F$45</f>
        <v>7.80639477033226</v>
      </c>
      <c r="BK97" s="19" t="n">
        <f aca="false">BK96*Time!BK50*Time!BK9/Inputs!$F$45</f>
        <v>7.81873655568363</v>
      </c>
      <c r="BL97" s="19" t="n">
        <f aca="false">BL96*Time!BL50*Time!BL9/Inputs!$F$45</f>
        <v>7.56570916075471</v>
      </c>
      <c r="BM97" s="19" t="n">
        <f aca="false">BM96*Time!BM50*Time!BM9/Inputs!$F$45</f>
        <v>7.55868004704135</v>
      </c>
      <c r="BN97" s="19" t="n">
        <f aca="false">BN96*Time!BN50*Time!BN9/Inputs!$F$45</f>
        <v>7.29404059134399</v>
      </c>
      <c r="BO97" s="19" t="n">
        <f aca="false">BO96*Time!BO50*Time!BO9/Inputs!$F$45</f>
        <v>7.2661760482614</v>
      </c>
      <c r="BP97" s="19" t="n">
        <f aca="false">BP96*Time!BP50*Time!BP9/Inputs!$F$45</f>
        <v>7.0714977331798</v>
      </c>
      <c r="BQ97" s="19" t="n">
        <f aca="false">BQ96*Time!BQ50*Time!BQ9/Inputs!$F$45</f>
        <v>7.0267367250833</v>
      </c>
      <c r="BR97" s="19" t="n">
        <f aca="false">BR96*Time!BR50*Time!BR9/Inputs!$F$45</f>
        <v>6.78038866287733</v>
      </c>
      <c r="BS97" s="19" t="n">
        <f aca="false">BS96*Time!BS50*Time!BS9/Inputs!$F$45</f>
        <v>6.75699867755069</v>
      </c>
      <c r="BT97" s="19" t="n">
        <f aca="false">BT96*Time!BT50*Time!BT9/Inputs!$F$45</f>
        <v>6.50057535940965</v>
      </c>
      <c r="BU97" s="19" t="n">
        <f aca="false">BU96*Time!BU50*Time!BU9/Inputs!$F$45</f>
        <v>6.45774677652489</v>
      </c>
      <c r="BV97" s="19" t="n">
        <f aca="false">BV96*Time!BV50*Time!BV9/Inputs!$F$45</f>
        <v>6.14764134777452</v>
      </c>
      <c r="BW97" s="19" t="n">
        <f aca="false">BW96*Time!BW50*Time!BW9/Inputs!$F$45</f>
        <v>6.03867350302918</v>
      </c>
      <c r="BX97" s="19" t="n">
        <f aca="false">BX96*Time!BX50*Time!BX9/Inputs!$F$45</f>
        <v>5.74947797523754</v>
      </c>
      <c r="BY97" s="19" t="n">
        <f aca="false">BY96*Time!BY50*Time!BY9/Inputs!$F$45</f>
        <v>5.58263722465931</v>
      </c>
      <c r="BZ97" s="19" t="n">
        <f aca="false">BZ96*Time!BZ50*Time!BZ9/Inputs!$F$45</f>
        <v>5.25081231577713</v>
      </c>
      <c r="CA97" s="19" t="n">
        <f aca="false">CA96*Time!CA50*Time!CA9/Inputs!$F$45</f>
        <v>5.09021013387808</v>
      </c>
      <c r="CB97" s="19" t="n">
        <f aca="false">CB96*Time!CB50*Time!CB9/Inputs!$F$45</f>
        <v>4.77490671038016</v>
      </c>
      <c r="CC97" s="19" t="n">
        <f aca="false">CC96*Time!CC50*Time!CC9/Inputs!$F$45</f>
        <v>4.61538404283299</v>
      </c>
      <c r="CD97" s="19" t="n">
        <f aca="false">CD96*Time!CD50*Time!CD9/Inputs!$F$45</f>
        <v>4.28823650115597</v>
      </c>
      <c r="CE97" s="19" t="n">
        <f aca="false">CE96*Time!CE50*Time!CE9/Inputs!$F$45</f>
        <v>4.10063636232068</v>
      </c>
      <c r="CF97" s="19" t="n">
        <f aca="false">CF96*Time!CF50*Time!CF9/Inputs!$F$45</f>
        <v>3.79563930086677</v>
      </c>
      <c r="CG97" s="19" t="n">
        <f aca="false">CG96*Time!CG50*Time!CG9/Inputs!$F$45</f>
        <v>3.60903296016095</v>
      </c>
      <c r="CH97" s="19" t="n">
        <f aca="false">CH96*Time!CH50*Time!CH9/Inputs!$F$45</f>
        <v>3.30428821969997</v>
      </c>
      <c r="CI97" s="19" t="n">
        <f aca="false">CI96*Time!CI50*Time!CI9/Inputs!$F$45</f>
        <v>3.009835608034</v>
      </c>
      <c r="CJ97" s="19" t="n">
        <f aca="false">CJ96*Time!CJ50*Time!CJ9/Inputs!$F$45</f>
        <v>2.59457849131889</v>
      </c>
      <c r="CK97" s="19" t="n">
        <f aca="false">CK96*Time!CK50*Time!CK9/Inputs!$F$45</f>
        <v>2.26352979480801</v>
      </c>
      <c r="CL97" s="19" t="n">
        <f aca="false">CL96*Time!CL50*Time!CL9/Inputs!$F$45</f>
        <v>1.77426652455844</v>
      </c>
      <c r="CM97" s="19" t="n">
        <f aca="false">CM96*Time!CM50*Time!CM9/Inputs!$F$45</f>
        <v>1.38070291609991</v>
      </c>
      <c r="CN97" s="19" t="n">
        <f aca="false">CN96*Time!CN50*Time!CN9/Inputs!$F$45</f>
        <v>0.92178707990713</v>
      </c>
      <c r="CO97" s="19" t="n">
        <f aca="false">CO96*Time!CO50*Time!CO9/Inputs!$F$45</f>
        <v>0.478154274883068</v>
      </c>
      <c r="CP97" s="19" t="n">
        <f aca="false">CP96*Time!CP50*Time!CP9/Inputs!$F$45</f>
        <v>8.58140845178066E-012</v>
      </c>
      <c r="CQ97" s="19" t="n">
        <f aca="false">CQ96*Time!CQ50*Time!CQ9/Inputs!$F$45</f>
        <v>8.7236417410367E-012</v>
      </c>
      <c r="CR97" s="19" t="n">
        <f aca="false">CR96*Time!CR50*Time!CR9/Inputs!$F$45</f>
        <v>8.7137831425941E-012</v>
      </c>
      <c r="CS97" s="19" t="n">
        <f aca="false">CS96*Time!CS50*Time!CS9/Inputs!$F$45</f>
        <v>8.99262715765257E-012</v>
      </c>
      <c r="CT97" s="19" t="n">
        <f aca="false">CT96*Time!CT50*Time!CT9/Inputs!$F$45</f>
        <v>8.98246457845423E-012</v>
      </c>
      <c r="CU97" s="19" t="n">
        <f aca="false">CU96*Time!CU50*Time!CU9/Inputs!$F$45</f>
        <v>9.26990649055936E-012</v>
      </c>
      <c r="CV97" s="19" t="n">
        <f aca="false">CV96*Time!CV50*Time!CV9/Inputs!$F$45</f>
        <v>9.31058763254418E-012</v>
      </c>
      <c r="CW97" s="19" t="n">
        <f aca="false">CW96*Time!CW50*Time!CW9/Inputs!$F$45</f>
        <v>9.55652461141065E-012</v>
      </c>
      <c r="CX97" s="19" t="n">
        <f aca="false">CX96*Time!CX50*Time!CX9/Inputs!$F$45</f>
        <v>9.54572477099452E-012</v>
      </c>
      <c r="CY97" s="19" t="n">
        <f aca="false">CY96*Time!CY50*Time!CY9/Inputs!$F$45</f>
        <v>9.85119120023995E-012</v>
      </c>
      <c r="CZ97" s="19" t="n">
        <f aca="false">CZ96*Time!CZ50*Time!CZ9/Inputs!$F$45</f>
        <v>9.84005835674323E-012</v>
      </c>
      <c r="DA97" s="19" t="n">
        <f aca="false">DA96*Time!DA50*Time!DA9/Inputs!$F$45</f>
        <v>1.01549435605294E-011</v>
      </c>
      <c r="DB97" s="19" t="n">
        <f aca="false">DB96*Time!DB50*Time!DB9/Inputs!$F$45</f>
        <v>1.01434674461104E-011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378.592411625755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4.30176830982481</v>
      </c>
      <c r="AK98" s="19" t="n">
        <f aca="false">AK97*Time!AK51*(1-Time!AK20)</f>
        <v>8.7464996147847</v>
      </c>
      <c r="AL98" s="19" t="n">
        <f aca="false">AL97*Time!AL51*(1-Time!AL20)</f>
        <v>8.60389364280452</v>
      </c>
      <c r="AM98" s="19" t="n">
        <f aca="false">AM97*Time!AM51*(1-Time!AM20)</f>
        <v>8.7464996147847</v>
      </c>
      <c r="AN98" s="19" t="n">
        <f aca="false">AN97*Time!AN51*(1-Time!AN20)</f>
        <v>8.60389364280452</v>
      </c>
      <c r="AO98" s="19" t="n">
        <f aca="false">AO97*Time!AO51*(1-Time!AO20)</f>
        <v>8.7464996147847</v>
      </c>
      <c r="AP98" s="19" t="n">
        <f aca="false">AP97*Time!AP51*(1-Time!AP20)</f>
        <v>8.60389364280452</v>
      </c>
      <c r="AQ98" s="19" t="n">
        <f aca="false">AQ97*Time!AQ51*(1-Time!AQ20)</f>
        <v>8.74329535321871</v>
      </c>
      <c r="AR98" s="19" t="n">
        <f aca="false">AR97*Time!AR51*(1-Time!AR20)</f>
        <v>8.64825953416199</v>
      </c>
      <c r="AS98" s="19" t="n">
        <f aca="false">AS97*Time!AS51*(1-Time!AS20)</f>
        <v>8.74329535321871</v>
      </c>
      <c r="AT98" s="19" t="n">
        <f aca="false">AT97*Time!AT51*(1-Time!AT20)</f>
        <v>8.60074162463362</v>
      </c>
      <c r="AU98" s="19" t="n">
        <f aca="false">AU97*Time!AU51*(1-Time!AU20)</f>
        <v>8.74329535321871</v>
      </c>
      <c r="AV98" s="19" t="n">
        <f aca="false">AV97*Time!AV51*(1-Time!AV20)</f>
        <v>8.5949727100051</v>
      </c>
      <c r="AW98" s="19" t="n">
        <f aca="false">AW97*Time!AW51*(1-Time!AW20)</f>
        <v>8.7248899363273</v>
      </c>
      <c r="AX98" s="19" t="n">
        <f aca="false">AX97*Time!AX51*(1-Time!AX20)</f>
        <v>8.55990447167867</v>
      </c>
      <c r="AY98" s="19" t="n">
        <f aca="false">AY97*Time!AY51*(1-Time!AY20)</f>
        <v>8.67549523339556</v>
      </c>
      <c r="AZ98" s="19" t="n">
        <f aca="false">AZ97*Time!AZ51*(1-Time!AZ20)</f>
        <v>8.55805675526278</v>
      </c>
      <c r="BA98" s="19" t="n">
        <f aca="false">BA97*Time!BA51*(1-Time!BA20)</f>
        <v>8.62519561249932</v>
      </c>
      <c r="BB98" s="19" t="n">
        <f aca="false">BB97*Time!BB51*(1-Time!BB20)</f>
        <v>8.45178195579972</v>
      </c>
      <c r="BC98" s="19" t="n">
        <f aca="false">BC97*Time!BC51*(1-Time!BC20)</f>
        <v>8.55516526050567</v>
      </c>
      <c r="BD98" s="19" t="n">
        <f aca="false">BD97*Time!BD51*(1-Time!BD20)</f>
        <v>8.35307586358064</v>
      </c>
      <c r="BE98" s="19" t="n">
        <f aca="false">BE97*Time!BE51*(1-Time!BE20)</f>
        <v>8.42403124596649</v>
      </c>
      <c r="BF98" s="19" t="n">
        <f aca="false">BF97*Time!BF51*(1-Time!BF20)</f>
        <v>8.20302355584316</v>
      </c>
      <c r="BG98" s="19" t="n">
        <f aca="false">BG97*Time!BG51*(1-Time!BG20)</f>
        <v>8.24975529450173</v>
      </c>
      <c r="BH98" s="19" t="n">
        <f aca="false">BH97*Time!BH51*(1-Time!BH20)</f>
        <v>8.06286963094579</v>
      </c>
      <c r="BI98" s="19" t="n">
        <f aca="false">BI97*Time!BI51*(1-Time!BI20)</f>
        <v>8.04824640285193</v>
      </c>
      <c r="BJ98" s="19" t="n">
        <f aca="false">BJ97*Time!BJ51*(1-Time!BJ20)</f>
        <v>7.80639477033226</v>
      </c>
      <c r="BK98" s="19" t="n">
        <f aca="false">BK97*Time!BK51*(1-Time!BK20)</f>
        <v>7.81873655568363</v>
      </c>
      <c r="BL98" s="19" t="n">
        <f aca="false">BL97*Time!BL51*(1-Time!BL20)</f>
        <v>7.56570916075471</v>
      </c>
      <c r="BM98" s="19" t="n">
        <f aca="false">BM97*Time!BM51*(1-Time!BM20)</f>
        <v>7.55868004704135</v>
      </c>
      <c r="BN98" s="19" t="n">
        <f aca="false">BN97*Time!BN51*(1-Time!BN20)</f>
        <v>7.29404059134399</v>
      </c>
      <c r="BO98" s="19" t="n">
        <f aca="false">BO97*Time!BO51*(1-Time!BO20)</f>
        <v>7.2661760482614</v>
      </c>
      <c r="BP98" s="19" t="n">
        <f aca="false">BP97*Time!BP51*(1-Time!BP20)</f>
        <v>7.0714977331798</v>
      </c>
      <c r="BQ98" s="19" t="n">
        <f aca="false">BQ97*Time!BQ51*(1-Time!BQ20)</f>
        <v>7.0267367250833</v>
      </c>
      <c r="BR98" s="19" t="n">
        <f aca="false">BR97*Time!BR51*(1-Time!BR20)</f>
        <v>6.78038866287733</v>
      </c>
      <c r="BS98" s="19" t="n">
        <f aca="false">BS97*Time!BS51*(1-Time!BS20)</f>
        <v>6.75699867755069</v>
      </c>
      <c r="BT98" s="19" t="n">
        <f aca="false">BT97*Time!BT51*(1-Time!BT20)</f>
        <v>6.50057535940965</v>
      </c>
      <c r="BU98" s="19" t="n">
        <f aca="false">BU97*Time!BU51*(1-Time!BU20)</f>
        <v>6.45774677652489</v>
      </c>
      <c r="BV98" s="19" t="n">
        <f aca="false">BV97*Time!BV51*(1-Time!BV20)</f>
        <v>6.14764134777452</v>
      </c>
      <c r="BW98" s="19" t="n">
        <f aca="false">BW97*Time!BW51*(1-Time!BW20)</f>
        <v>6.03867350302918</v>
      </c>
      <c r="BX98" s="19" t="n">
        <f aca="false">BX97*Time!BX51*(1-Time!BX20)</f>
        <v>5.74947797523754</v>
      </c>
      <c r="BY98" s="19" t="n">
        <f aca="false">BY97*Time!BY51*(1-Time!BY20)</f>
        <v>5.58263722465931</v>
      </c>
      <c r="BZ98" s="19" t="n">
        <f aca="false">BZ97*Time!BZ51*(1-Time!BZ20)</f>
        <v>5.25081231577713</v>
      </c>
      <c r="CA98" s="19" t="n">
        <f aca="false">CA97*Time!CA51*(1-Time!CA20)</f>
        <v>5.09021013387808</v>
      </c>
      <c r="CB98" s="19" t="n">
        <f aca="false">CB97*Time!CB51*(1-Time!CB20)</f>
        <v>4.77490671038016</v>
      </c>
      <c r="CC98" s="19" t="n">
        <f aca="false">CC97*Time!CC51*(1-Time!CC20)</f>
        <v>4.61538404283299</v>
      </c>
      <c r="CD98" s="19" t="n">
        <f aca="false">CD97*Time!CD51*(1-Time!CD20)</f>
        <v>4.28823650115597</v>
      </c>
      <c r="CE98" s="19" t="n">
        <f aca="false">CE97*Time!CE51*(1-Time!CE20)</f>
        <v>4.10063636232068</v>
      </c>
      <c r="CF98" s="19" t="n">
        <f aca="false">CF97*Time!CF51*(1-Time!CF20)</f>
        <v>3.79563930086677</v>
      </c>
      <c r="CG98" s="19" t="n">
        <f aca="false">CG97*Time!CG51*(1-Time!CG20)</f>
        <v>3.60903296016095</v>
      </c>
      <c r="CH98" s="19" t="n">
        <f aca="false">CH97*Time!CH51*(1-Time!CH20)</f>
        <v>3.30428821969997</v>
      </c>
      <c r="CI98" s="19" t="n">
        <f aca="false">CI97*Time!CI51*(1-Time!CI20)</f>
        <v>3.009835608034</v>
      </c>
      <c r="CJ98" s="19" t="n">
        <f aca="false">CJ97*Time!CJ51*(1-Time!CJ20)</f>
        <v>2.59457849131889</v>
      </c>
      <c r="CK98" s="19" t="n">
        <f aca="false">CK97*Time!CK51*(1-Time!CK20)</f>
        <v>2.26352979480801</v>
      </c>
      <c r="CL98" s="19" t="n">
        <f aca="false">CL97*Time!CL51*(1-Time!CL20)</f>
        <v>1.77426652455844</v>
      </c>
      <c r="CM98" s="19" t="n">
        <f aca="false">CM97*Time!CM51*(1-Time!CM20)</f>
        <v>1.38070291609991</v>
      </c>
      <c r="CN98" s="19" t="n">
        <f aca="false">CN97*Time!CN51*(1-Time!CN20)</f>
        <v>0.92178707990713</v>
      </c>
      <c r="CO98" s="19" t="n">
        <f aca="false">CO97*Time!CO51*(1-Time!CO20)</f>
        <v>0.478154274883068</v>
      </c>
      <c r="CP98" s="19" t="n">
        <f aca="false">CP97*Time!CP51*(1-Time!CP20)</f>
        <v>8.58140845178066E-012</v>
      </c>
      <c r="CQ98" s="19" t="n">
        <f aca="false">CQ97*Time!CQ51*(1-Time!CQ20)</f>
        <v>8.7236417410367E-012</v>
      </c>
      <c r="CR98" s="19" t="n">
        <f aca="false">CR97*Time!CR51*(1-Time!CR20)</f>
        <v>8.7137831425941E-012</v>
      </c>
      <c r="CS98" s="19" t="n">
        <f aca="false">CS97*Time!CS51*(1-Time!CS20)</f>
        <v>8.99262715765257E-012</v>
      </c>
      <c r="CT98" s="19" t="n">
        <f aca="false">CT97*Time!CT51*(1-Time!CT20)</f>
        <v>8.98246457845423E-012</v>
      </c>
      <c r="CU98" s="19" t="n">
        <f aca="false">CU97*Time!CU51*(1-Time!CU20)</f>
        <v>9.26990649055936E-012</v>
      </c>
      <c r="CV98" s="19" t="n">
        <f aca="false">CV97*Time!CV51*(1-Time!CV20)</f>
        <v>9.31058763254418E-012</v>
      </c>
      <c r="CW98" s="19" t="n">
        <f aca="false">CW97*Time!CW51*(1-Time!CW20)</f>
        <v>9.55652461141065E-012</v>
      </c>
      <c r="CX98" s="19" t="n">
        <f aca="false">CX97*Time!CX51*(1-Time!CX20)</f>
        <v>9.54572477099452E-012</v>
      </c>
      <c r="CY98" s="19" t="n">
        <f aca="false">CY97*Time!CY51*(1-Time!CY20)</f>
        <v>9.85119120023995E-012</v>
      </c>
      <c r="CZ98" s="19" t="n">
        <f aca="false">CZ97*Time!CZ51*(1-Time!CZ20)</f>
        <v>9.84005835674323E-012</v>
      </c>
      <c r="DA98" s="19" t="n">
        <f aca="false">DA97*Time!DA51*(1-Time!DA20)</f>
        <v>1.01549435605294E-011</v>
      </c>
      <c r="DB98" s="19" t="n">
        <f aca="false">DB97*Time!DB51*(1-Time!DB20)</f>
        <v>1.01434674461104E-011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568.169265646782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1.16295003985632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0.207721560028984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0.380177994333074</v>
      </c>
      <c r="AV99" s="19" t="n">
        <f aca="false">MIN(AV116,AV96+AV97-AV98)*(1-Time!AV20)</f>
        <v>0.812983622135368</v>
      </c>
      <c r="AW99" s="19" t="n">
        <f aca="false">MIN(AW116,AW96+AW97-AW98)*(1-Time!AW20)</f>
        <v>1.4980529194353</v>
      </c>
      <c r="AX99" s="19" t="n">
        <f aca="false">MIN(AX116,AX96+AX97-AX98)*(1-Time!AX20)</f>
        <v>1.70404046115698</v>
      </c>
      <c r="AY99" s="19" t="n">
        <f aca="false">MIN(AY116,AY96+AY97-AY98)*(1-Time!AY20)</f>
        <v>1.51654818799489</v>
      </c>
      <c r="AZ99" s="19" t="n">
        <f aca="false">MIN(AZ116,AZ96+AZ97-AZ98)*(1-Time!AZ20)</f>
        <v>1.74420799755619</v>
      </c>
      <c r="BA99" s="19" t="n">
        <f aca="false">MIN(BA116,BA96+BA97-BA98)*(1-Time!BA20)</f>
        <v>2.1605993551365</v>
      </c>
      <c r="BB99" s="19" t="n">
        <f aca="false">MIN(BB116,BB96+BB97-BB98)*(1-Time!BB20)</f>
        <v>2.37923413407953</v>
      </c>
      <c r="BC99" s="19" t="n">
        <f aca="false">MIN(BC116,BC96+BC97-BC98)*(1-Time!BC20)</f>
        <v>4.12560890567128</v>
      </c>
      <c r="BD99" s="19" t="n">
        <f aca="false">MIN(BD116,BD96+BD97-BD98)*(1-Time!BD20)</f>
        <v>4.37537065293923</v>
      </c>
      <c r="BE99" s="19" t="n">
        <f aca="false">MIN(BE116,BE96+BE97-BE98)*(1-Time!BE20)</f>
        <v>5.51324602351017</v>
      </c>
      <c r="BF99" s="19" t="n">
        <f aca="false">MIN(BF116,BF96+BF97-BF98)*(1-Time!BF20)</f>
        <v>5.78448100914082</v>
      </c>
      <c r="BG99" s="19" t="n">
        <f aca="false">MIN(BG116,BG96+BG97-BG98)*(1-Time!BG20)</f>
        <v>6.37133875233697</v>
      </c>
      <c r="BH99" s="19" t="n">
        <f aca="false">MIN(BH116,BH96+BH97-BH98)*(1-Time!BH20)</f>
        <v>6.69180870648929</v>
      </c>
      <c r="BI99" s="19" t="n">
        <f aca="false">MIN(BI116,BI96+BI97-BI98)*(1-Time!BI20)</f>
        <v>7.29065678669654</v>
      </c>
      <c r="BJ99" s="19" t="n">
        <f aca="false">MIN(BJ116,BJ96+BJ97-BJ98)*(1-Time!BJ20)</f>
        <v>7.58769896359323</v>
      </c>
      <c r="BK99" s="19" t="n">
        <f aca="false">MIN(BK116,BK96+BK97-BK98)*(1-Time!BK20)</f>
        <v>8.27375474236214</v>
      </c>
      <c r="BL99" s="19" t="n">
        <f aca="false">MIN(BL116,BL96+BL97-BL98)*(1-Time!BL20)</f>
        <v>8.58483890186085</v>
      </c>
      <c r="BM99" s="19" t="n">
        <f aca="false">MIN(BM116,BM96+BM97-BM98)*(1-Time!BM20)</f>
        <v>9.31842687557638</v>
      </c>
      <c r="BN99" s="19" t="n">
        <f aca="false">MIN(BN116,BN96+BN97-BN98)*(1-Time!BN20)</f>
        <v>9.64362902714479</v>
      </c>
      <c r="BO99" s="19" t="n">
        <f aca="false">MIN(BO116,BO96+BO97-BO98)*(1-Time!BO20)</f>
        <v>7.58274461952365</v>
      </c>
      <c r="BP99" s="19" t="n">
        <f aca="false">MIN(BP116,BP96+BP97-BP98)*(1-Time!BP20)</f>
        <v>7.93930584936071</v>
      </c>
      <c r="BQ99" s="19" t="n">
        <f aca="false">MIN(BQ116,BQ96+BQ97-BQ98)*(1-Time!BQ20)</f>
        <v>8.68456314476986</v>
      </c>
      <c r="BR99" s="19" t="n">
        <f aca="false">MIN(BR116,BR96+BR97-BR98)*(1-Time!BR20)</f>
        <v>8.80165228386773</v>
      </c>
      <c r="BS99" s="19" t="n">
        <f aca="false">MIN(BS116,BS96+BS97-BS98)*(1-Time!BS20)</f>
        <v>9.63836067350456</v>
      </c>
      <c r="BT99" s="19" t="n">
        <f aca="false">MIN(BT116,BT96+BT97-BT98)*(1-Time!BT20)</f>
        <v>9.76113916210539</v>
      </c>
      <c r="BU99" s="19" t="n">
        <f aca="false">MIN(BU116,BU96+BU97-BU98)*(1-Time!BU20)</f>
        <v>13.4976111081478</v>
      </c>
      <c r="BV99" s="19" t="n">
        <f aca="false">MIN(BV116,BV96+BV97-BV98)*(1-Time!BV20)</f>
        <v>13.6695075381176</v>
      </c>
      <c r="BW99" s="19" t="n">
        <f aca="false">MIN(BW116,BW96+BW97-BW98)*(1-Time!BW20)</f>
        <v>14.6517609168706</v>
      </c>
      <c r="BX99" s="19" t="n">
        <f aca="false">MIN(BX116,BX96+BX97-BX98)*(1-Time!BX20)</f>
        <v>14.9115457052175</v>
      </c>
      <c r="BY99" s="19" t="n">
        <f aca="false">MIN(BY116,BY96+BY97-BY98)*(1-Time!BY20)</f>
        <v>15.8692326890066</v>
      </c>
      <c r="BZ99" s="19" t="n">
        <f aca="false">MIN(BZ116,BZ96+BZ97-BZ98)*(1-Time!BZ20)</f>
        <v>16.0531685853517</v>
      </c>
      <c r="CA99" s="19" t="n">
        <f aca="false">MIN(CA116,CA96+CA97-CA98)*(1-Time!CA20)</f>
        <v>15.3095487023912</v>
      </c>
      <c r="CB99" s="19" t="n">
        <f aca="false">MIN(CB116,CB96+CB97-CB98)*(1-Time!CB20)</f>
        <v>15.4718386291413</v>
      </c>
      <c r="CC99" s="19" t="n">
        <f aca="false">MIN(CC116,CC96+CC97-CC98)*(1-Time!CC20)</f>
        <v>16.6002782175043</v>
      </c>
      <c r="CD99" s="19" t="n">
        <f aca="false">MIN(CD116,CD96+CD97-CD98)*(1-Time!CD20)</f>
        <v>16.7690922334392</v>
      </c>
      <c r="CE99" s="19" t="n">
        <f aca="false">MIN(CE116,CE96+CE97-CE98)*(1-Time!CE20)</f>
        <v>17.0679987043941</v>
      </c>
      <c r="CF99" s="19" t="n">
        <f aca="false">MIN(CF116,CF96+CF97-CF98)*(1-Time!CF20)</f>
        <v>14.8010055916242</v>
      </c>
      <c r="CG99" s="19" t="n">
        <f aca="false">MIN(CG116,CG96+CG97-CG98)*(1-Time!CG20)</f>
        <v>16.2052073255672</v>
      </c>
      <c r="CH99" s="19" t="n">
        <f aca="false">MIN(CH116,CH96+CH97-CH98)*(1-Time!CH20)</f>
        <v>22.6387528773202</v>
      </c>
      <c r="CI99" s="19" t="n">
        <f aca="false">MIN(CI116,CI96+CI97-CI98)*(1-Time!CI20)</f>
        <v>24.1319203720738</v>
      </c>
      <c r="CJ99" s="19" t="n">
        <f aca="false">MIN(CJ116,CJ96+CJ97-CJ98)*(1-Time!CJ20)</f>
        <v>24.2485893301648</v>
      </c>
      <c r="CK99" s="19" t="n">
        <f aca="false">MIN(CK116,CK96+CK97-CK98)*(1-Time!CK20)</f>
        <v>29.8108964365569</v>
      </c>
      <c r="CL99" s="19" t="n">
        <f aca="false">MIN(CL116,CL96+CL97-CL98)*(1-Time!CL20)</f>
        <v>27.4198173188524</v>
      </c>
      <c r="CM99" s="19" t="n">
        <f aca="false">MIN(CM116,CM96+CM97-CM98)*(1-Time!CM20)</f>
        <v>29.0933152817539</v>
      </c>
      <c r="CN99" s="19" t="n">
        <f aca="false">MIN(CN116,CN96+CN97-CN98)*(1-Time!CN20)</f>
        <v>29.4158943737145</v>
      </c>
      <c r="CO99" s="19" t="n">
        <f aca="false">MIN(CO116,CO96+CO97-CO98)*(1-Time!CO20)</f>
        <v>30.9971423574054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946.761677273139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5.46471834968112</v>
      </c>
      <c r="AK100" s="19" t="n">
        <f aca="false">AK98+AK99+AJ101</f>
        <v>8.7464996147847</v>
      </c>
      <c r="AL100" s="19" t="n">
        <f aca="false">AL98+AL99+AK101</f>
        <v>8.60389364280452</v>
      </c>
      <c r="AM100" s="19" t="n">
        <f aca="false">AM98+AM99+AL101</f>
        <v>8.7464996147847</v>
      </c>
      <c r="AN100" s="19" t="n">
        <f aca="false">AN98+AN99+AM101</f>
        <v>8.60389364280452</v>
      </c>
      <c r="AO100" s="19" t="n">
        <f aca="false">AO98+AO99+AN101</f>
        <v>8.7464996147847</v>
      </c>
      <c r="AP100" s="19" t="n">
        <f aca="false">AP98+AP99+AO101</f>
        <v>8.8116152028335</v>
      </c>
      <c r="AQ100" s="19" t="n">
        <f aca="false">AQ98+AQ99+AP101</f>
        <v>8.74329535321871</v>
      </c>
      <c r="AR100" s="19" t="n">
        <f aca="false">AR98+AR99+AQ101</f>
        <v>8.64825953416199</v>
      </c>
      <c r="AS100" s="19" t="n">
        <f aca="false">AS98+AS99+AR101</f>
        <v>8.74329535321871</v>
      </c>
      <c r="AT100" s="19" t="n">
        <f aca="false">AT98+AT99+AS101</f>
        <v>8.60074162463362</v>
      </c>
      <c r="AU100" s="19" t="n">
        <f aca="false">AU98+AU99+AT101</f>
        <v>9.12347334755179</v>
      </c>
      <c r="AV100" s="19" t="n">
        <f aca="false">AV98+AV99+AU101</f>
        <v>9.40795633214046</v>
      </c>
      <c r="AW100" s="19" t="n">
        <f aca="false">AW98+AW99+AV101</f>
        <v>10.2229428557626</v>
      </c>
      <c r="AX100" s="19" t="n">
        <f aca="false">AX98+AX99+AW101</f>
        <v>10.2639449328357</v>
      </c>
      <c r="AY100" s="19" t="n">
        <f aca="false">AY98+AY99+AX101</f>
        <v>10.1920434213904</v>
      </c>
      <c r="AZ100" s="19" t="n">
        <f aca="false">AZ98+AZ99+AY101</f>
        <v>10.302264752819</v>
      </c>
      <c r="BA100" s="19" t="n">
        <f aca="false">BA98+BA99+AZ101</f>
        <v>10.7857949676358</v>
      </c>
      <c r="BB100" s="19" t="n">
        <f aca="false">BB98+BB99+BA101</f>
        <v>10.8310160898793</v>
      </c>
      <c r="BC100" s="19" t="n">
        <f aca="false">BC98+BC99+BB101</f>
        <v>12.6807741661769</v>
      </c>
      <c r="BD100" s="19" t="n">
        <f aca="false">BD98+BD99+BC101</f>
        <v>12.7284465165199</v>
      </c>
      <c r="BE100" s="19" t="n">
        <f aca="false">BE98+BE99+BD101</f>
        <v>13.9372772694767</v>
      </c>
      <c r="BF100" s="19" t="n">
        <f aca="false">BF98+BF99+BE101</f>
        <v>13.987504564984</v>
      </c>
      <c r="BG100" s="19" t="n">
        <f aca="false">BG98+BG99+BF101</f>
        <v>14.6210940468387</v>
      </c>
      <c r="BH100" s="19" t="n">
        <f aca="false">BH98+BH99+BG101</f>
        <v>14.7546783374351</v>
      </c>
      <c r="BI100" s="19" t="n">
        <f aca="false">BI98+BI99+BH101</f>
        <v>15.3389031895485</v>
      </c>
      <c r="BJ100" s="19" t="n">
        <f aca="false">BJ98+BJ99+BI101</f>
        <v>15.3940937339255</v>
      </c>
      <c r="BK100" s="19" t="n">
        <f aca="false">BK98+BK99+BJ101</f>
        <v>16.0924912980458</v>
      </c>
      <c r="BL100" s="19" t="n">
        <f aca="false">BL98+BL99+BK101</f>
        <v>16.1505480626156</v>
      </c>
      <c r="BM100" s="19" t="n">
        <f aca="false">BM98+BM99+BL101</f>
        <v>16.8771069226177</v>
      </c>
      <c r="BN100" s="19" t="n">
        <f aca="false">BN98+BN99+BM101</f>
        <v>16.9376696184888</v>
      </c>
      <c r="BO100" s="19" t="n">
        <f aca="false">BO98+BO99+BN101</f>
        <v>14.848920667785</v>
      </c>
      <c r="BP100" s="19" t="n">
        <f aca="false">BP98+BP99+BO101</f>
        <v>15.0108035825405</v>
      </c>
      <c r="BQ100" s="19" t="n">
        <f aca="false">BQ98+BQ99+BP101</f>
        <v>15.7112998698532</v>
      </c>
      <c r="BR100" s="19" t="n">
        <f aca="false">BR98+BR99+BQ101</f>
        <v>15.5820409467451</v>
      </c>
      <c r="BS100" s="19" t="n">
        <f aca="false">BS98+BS99+BR101</f>
        <v>16.3953593510553</v>
      </c>
      <c r="BT100" s="19" t="n">
        <f aca="false">BT98+BT99+BS101</f>
        <v>16.261714521515</v>
      </c>
      <c r="BU100" s="19" t="n">
        <f aca="false">BU98+BU99+BT101</f>
        <v>19.9553578846727</v>
      </c>
      <c r="BV100" s="19" t="n">
        <f aca="false">BV98+BV99+BU101</f>
        <v>19.8171488858921</v>
      </c>
      <c r="BW100" s="19" t="n">
        <f aca="false">BW98+BW99+BV101</f>
        <v>20.6904344198998</v>
      </c>
      <c r="BX100" s="19" t="n">
        <f aca="false">BX98+BX99+BW101</f>
        <v>20.661023680455</v>
      </c>
      <c r="BY100" s="19" t="n">
        <f aca="false">BY98+BY99+BX101</f>
        <v>21.4518699136659</v>
      </c>
      <c r="BZ100" s="19" t="n">
        <f aca="false">BZ98+BZ99+BY101</f>
        <v>21.3039809011289</v>
      </c>
      <c r="CA100" s="19" t="n">
        <f aca="false">CA98+CA99+BZ101</f>
        <v>20.3997588362693</v>
      </c>
      <c r="CB100" s="19" t="n">
        <f aca="false">CB98+CB99+CA101</f>
        <v>20.2467453395215</v>
      </c>
      <c r="CC100" s="19" t="n">
        <f aca="false">CC98+CC99+CB101</f>
        <v>21.2156622603372</v>
      </c>
      <c r="CD100" s="19" t="n">
        <f aca="false">CD98+CD99+CC101</f>
        <v>21.0573287345951</v>
      </c>
      <c r="CE100" s="19" t="n">
        <f aca="false">CE98+CE99+CD101</f>
        <v>21.1686350667148</v>
      </c>
      <c r="CF100" s="19" t="n">
        <f aca="false">CF98+CF99+CE101</f>
        <v>18.596644892491</v>
      </c>
      <c r="CG100" s="19" t="n">
        <f aca="false">CG98+CG99+CF101</f>
        <v>19.8142402857282</v>
      </c>
      <c r="CH100" s="19" t="n">
        <f aca="false">CH98+CH99+CG101</f>
        <v>25.9430410970201</v>
      </c>
      <c r="CI100" s="19" t="n">
        <f aca="false">CI98+CI99+CH101</f>
        <v>27.1417559801078</v>
      </c>
      <c r="CJ100" s="19" t="n">
        <f aca="false">CJ98+CJ99+CI101</f>
        <v>26.8431678214837</v>
      </c>
      <c r="CK100" s="19" t="n">
        <f aca="false">CK98+CK99+CJ101</f>
        <v>32.0744262313649</v>
      </c>
      <c r="CL100" s="19" t="n">
        <f aca="false">CL98+CL99+CK101</f>
        <v>29.1940838434108</v>
      </c>
      <c r="CM100" s="19" t="n">
        <f aca="false">CM98+CM99+CL101</f>
        <v>30.4740181978538</v>
      </c>
      <c r="CN100" s="19" t="n">
        <f aca="false">CN98+CN99+CM101</f>
        <v>30.3376814536216</v>
      </c>
      <c r="CO100" s="19" t="n">
        <f aca="false">CO98+CO99+CN101</f>
        <v>31.4752966322885</v>
      </c>
      <c r="CP100" s="19" t="n">
        <f aca="false">CP98+CP99+CO101</f>
        <v>8.58140845178066E-012</v>
      </c>
      <c r="CQ100" s="19" t="n">
        <f aca="false">CQ98+CQ99+CP101</f>
        <v>8.7236417410367E-012</v>
      </c>
      <c r="CR100" s="19" t="n">
        <f aca="false">CR98+CR99+CQ101</f>
        <v>1.74374248836308E-011</v>
      </c>
      <c r="CS100" s="19" t="n">
        <f aca="false">CS98+CS99+CR101</f>
        <v>2.64300520412834E-011</v>
      </c>
      <c r="CT100" s="19" t="n">
        <f aca="false">CT98+CT99+CS101</f>
        <v>3.54125166197376E-011</v>
      </c>
      <c r="CU100" s="19" t="n">
        <f aca="false">CU98+CU99+CT101</f>
        <v>4.4682423110297E-011</v>
      </c>
      <c r="CV100" s="19" t="n">
        <f aca="false">CV98+CV99+CU101</f>
        <v>5.39930107428411E-011</v>
      </c>
      <c r="CW100" s="19" t="n">
        <f aca="false">CW98+CW99+CV101</f>
        <v>6.35495353542518E-011</v>
      </c>
      <c r="CX100" s="19" t="n">
        <f aca="false">CX98+CX99+CW101</f>
        <v>7.30952601252463E-011</v>
      </c>
      <c r="CY100" s="19" t="n">
        <f aca="false">CY98+CY99+CX101</f>
        <v>8.29464513254863E-011</v>
      </c>
      <c r="CZ100" s="19" t="n">
        <f aca="false">CZ98+CZ99+CY101</f>
        <v>9.27865096822295E-011</v>
      </c>
      <c r="DA100" s="19" t="n">
        <f aca="false">DA98+DA99+CZ101</f>
        <v>1.02941453242759E-010</v>
      </c>
      <c r="DB100" s="19" t="n">
        <f aca="false">DB98+DB99+DA101</f>
        <v>1.13084920688869E-010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8.7236417410367E-012</v>
      </c>
      <c r="CR101" s="19" t="n">
        <f aca="false">CR100-Waterfall!CR35</f>
        <v>1.74374248836308E-011</v>
      </c>
      <c r="CS101" s="19" t="n">
        <f aca="false">CS100-Waterfall!CS35</f>
        <v>2.64300520412834E-011</v>
      </c>
      <c r="CT101" s="19" t="n">
        <f aca="false">CT100-Waterfall!CT35</f>
        <v>3.54125166197376E-011</v>
      </c>
      <c r="CU101" s="19" t="n">
        <f aca="false">CU100-Waterfall!CU35</f>
        <v>4.4682423110297E-011</v>
      </c>
      <c r="CV101" s="19" t="n">
        <f aca="false">CV100-Waterfall!CV35</f>
        <v>5.39930107428411E-011</v>
      </c>
      <c r="CW101" s="19" t="n">
        <f aca="false">CW100-Waterfall!CW35</f>
        <v>6.35495353542518E-011</v>
      </c>
      <c r="CX101" s="19" t="n">
        <f aca="false">CX100-Waterfall!CX35</f>
        <v>7.30952601252463E-011</v>
      </c>
      <c r="CY101" s="19" t="n">
        <f aca="false">CY100-Waterfall!CY35</f>
        <v>8.29464513254863E-011</v>
      </c>
      <c r="CZ101" s="19" t="n">
        <f aca="false">CZ100-Waterfall!CZ35</f>
        <v>9.27865096822295E-011</v>
      </c>
      <c r="DA101" s="19" t="n">
        <f aca="false">DA100-Waterfall!DA35</f>
        <v>1.02941453242759E-010</v>
      </c>
      <c r="DB101" s="19" t="n">
        <f aca="false">DB100-Waterfall!DB35</f>
        <v>1.13084920688869E-010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5.99352374951786</v>
      </c>
      <c r="O102" s="19" t="n">
        <f aca="false">IF(Time!O20=1,O96+Funding!O34+O97,O96+O97-Waterfall!O35)</f>
        <v>63.0521895651964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339.845289289783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491.7427450032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522.578281376499</v>
      </c>
      <c r="AE102" s="19" t="n">
        <f aca="false">IF(Time!AE20=1,AE96+Funding!AE34+AE97,AE96+AE97-Waterfall!AE35)</f>
        <v>530.639445090094</v>
      </c>
      <c r="AF102" s="19" t="n">
        <f aca="false">IF(Time!AF20=1,AF96+Funding!AF34+AF97,AF96+AF97-Waterfall!AF35)</f>
        <v>538.691498872494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555.301552512137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567.006315607491</v>
      </c>
      <c r="AK102" s="19" t="n">
        <f aca="false">IF(Time!AK20=1,AK96+Funding!AK34+AK97,AK96+AK97-Waterfall!AK35)</f>
        <v>567.006315607491</v>
      </c>
      <c r="AL102" s="19" t="n">
        <f aca="false">IF(Time!AL20=1,AL96+Funding!AL34+AL97,AL96+AL97-Waterfall!AL35)</f>
        <v>567.006315607491</v>
      </c>
      <c r="AM102" s="19" t="n">
        <f aca="false">IF(Time!AM20=1,AM96+Funding!AM34+AM97,AM96+AM97-Waterfall!AM35)</f>
        <v>567.006315607491</v>
      </c>
      <c r="AN102" s="19" t="n">
        <f aca="false">IF(Time!AN20=1,AN96+Funding!AN34+AN97,AN96+AN97-Waterfall!AN35)</f>
        <v>567.006315607491</v>
      </c>
      <c r="AO102" s="19" t="n">
        <f aca="false">IF(Time!AO20=1,AO96+Funding!AO34+AO97,AO96+AO97-Waterfall!AO35)</f>
        <v>567.006315607491</v>
      </c>
      <c r="AP102" s="19" t="n">
        <f aca="false">IF(Time!AP20=1,AP96+Funding!AP34+AP97,AP96+AP97-Waterfall!AP35)</f>
        <v>566.798594047462</v>
      </c>
      <c r="AQ102" s="19" t="n">
        <f aca="false">IF(Time!AQ20=1,AQ96+Funding!AQ34+AQ97,AQ96+AQ97-Waterfall!AQ35)</f>
        <v>566.798594047462</v>
      </c>
      <c r="AR102" s="19" t="n">
        <f aca="false">IF(Time!AR20=1,AR96+Funding!AR34+AR97,AR96+AR97-Waterfall!AR35)</f>
        <v>566.798594047462</v>
      </c>
      <c r="AS102" s="19" t="n">
        <f aca="false">IF(Time!AS20=1,AS96+Funding!AS34+AS97,AS96+AS97-Waterfall!AS35)</f>
        <v>566.798594047462</v>
      </c>
      <c r="AT102" s="19" t="n">
        <f aca="false">IF(Time!AT20=1,AT96+Funding!AT34+AT97,AT96+AT97-Waterfall!AT35)</f>
        <v>566.798594047462</v>
      </c>
      <c r="AU102" s="19" t="n">
        <f aca="false">IF(Time!AU20=1,AU96+Funding!AU34+AU97,AU96+AU97-Waterfall!AU35)</f>
        <v>566.418416053129</v>
      </c>
      <c r="AV102" s="19" t="n">
        <f aca="false">IF(Time!AV20=1,AV96+Funding!AV34+AV97,AV96+AV97-Waterfall!AV35)</f>
        <v>565.605432430994</v>
      </c>
      <c r="AW102" s="19" t="n">
        <f aca="false">IF(Time!AW20=1,AW96+Funding!AW34+AW97,AW96+AW97-Waterfall!AW35)</f>
        <v>564.107379511558</v>
      </c>
      <c r="AX102" s="19" t="n">
        <f aca="false">IF(Time!AX20=1,AX96+Funding!AX34+AX97,AX96+AX97-Waterfall!AX35)</f>
        <v>562.403339050401</v>
      </c>
      <c r="AY102" s="19" t="n">
        <f aca="false">IF(Time!AY20=1,AY96+Funding!AY34+AY97,AY96+AY97-Waterfall!AY35)</f>
        <v>560.886790862406</v>
      </c>
      <c r="AZ102" s="19" t="n">
        <f aca="false">IF(Time!AZ20=1,AZ96+Funding!AZ34+AZ97,AZ96+AZ97-Waterfall!AZ35)</f>
        <v>559.14258286485</v>
      </c>
      <c r="BA102" s="19" t="n">
        <f aca="false">IF(Time!BA20=1,BA96+Funding!BA34+BA97,BA96+BA97-Waterfall!BA35)</f>
        <v>556.981983509714</v>
      </c>
      <c r="BB102" s="19" t="n">
        <f aca="false">IF(Time!BB20=1,BB96+Funding!BB34+BB97,BB96+BB97-Waterfall!BB35)</f>
        <v>554.602749375634</v>
      </c>
      <c r="BC102" s="19" t="n">
        <f aca="false">IF(Time!BC20=1,BC96+Funding!BC34+BC97,BC96+BC97-Waterfall!BC35)</f>
        <v>550.477140469963</v>
      </c>
      <c r="BD102" s="19" t="n">
        <f aca="false">IF(Time!BD20=1,BD96+Funding!BD34+BD97,BD96+BD97-Waterfall!BD35)</f>
        <v>546.101769817024</v>
      </c>
      <c r="BE102" s="19" t="n">
        <f aca="false">IF(Time!BE20=1,BE96+Funding!BE34+BE97,BE96+BE97-Waterfall!BE35)</f>
        <v>540.588523793513</v>
      </c>
      <c r="BF102" s="19" t="n">
        <f aca="false">IF(Time!BF20=1,BF96+Funding!BF34+BF97,BF96+BF97-Waterfall!BF35)</f>
        <v>534.804042784373</v>
      </c>
      <c r="BG102" s="19" t="n">
        <f aca="false">IF(Time!BG20=1,BG96+Funding!BG34+BG97,BG96+BG97-Waterfall!BG35)</f>
        <v>528.432704032036</v>
      </c>
      <c r="BH102" s="19" t="n">
        <f aca="false">IF(Time!BH20=1,BH96+Funding!BH34+BH97,BH96+BH97-Waterfall!BH35)</f>
        <v>521.740895325546</v>
      </c>
      <c r="BI102" s="19" t="n">
        <f aca="false">IF(Time!BI20=1,BI96+Funding!BI34+BI97,BI96+BI97-Waterfall!BI35)</f>
        <v>514.45023853885</v>
      </c>
      <c r="BJ102" s="19" t="n">
        <f aca="false">IF(Time!BJ20=1,BJ96+Funding!BJ34+BJ97,BJ96+BJ97-Waterfall!BJ35)</f>
        <v>506.862539575257</v>
      </c>
      <c r="BK102" s="19" t="n">
        <f aca="false">IF(Time!BK20=1,BK96+Funding!BK34+BK97,BK96+BK97-Waterfall!BK35)</f>
        <v>498.588784832894</v>
      </c>
      <c r="BL102" s="19" t="n">
        <f aca="false">IF(Time!BL20=1,BL96+Funding!BL34+BL97,BL96+BL97-Waterfall!BL35)</f>
        <v>490.003945931034</v>
      </c>
      <c r="BM102" s="19" t="n">
        <f aca="false">IF(Time!BM20=1,BM96+Funding!BM34+BM97,BM96+BM97-Waterfall!BM35)</f>
        <v>480.685519055457</v>
      </c>
      <c r="BN102" s="19" t="n">
        <f aca="false">IF(Time!BN20=1,BN96+Funding!BN34+BN97,BN96+BN97-Waterfall!BN35)</f>
        <v>471.041890028312</v>
      </c>
      <c r="BO102" s="19" t="n">
        <f aca="false">IF(Time!BO20=1,BO96+Funding!BO34+BO97,BO96+BO97-Waterfall!BO35)</f>
        <v>463.459145408789</v>
      </c>
      <c r="BP102" s="19" t="n">
        <f aca="false">IF(Time!BP20=1,BP96+Funding!BP34+BP97,BP96+BP97-Waterfall!BP35)</f>
        <v>455.519839559428</v>
      </c>
      <c r="BQ102" s="19" t="n">
        <f aca="false">IF(Time!BQ20=1,BQ96+Funding!BQ34+BQ97,BQ96+BQ97-Waterfall!BQ35)</f>
        <v>446.835276414658</v>
      </c>
      <c r="BR102" s="19" t="n">
        <f aca="false">IF(Time!BR20=1,BR96+Funding!BR34+BR97,BR96+BR97-Waterfall!BR35)</f>
        <v>438.03362413079</v>
      </c>
      <c r="BS102" s="19" t="n">
        <f aca="false">IF(Time!BS20=1,BS96+Funding!BS34+BS97,BS96+BS97-Waterfall!BS35)</f>
        <v>428.395263457286</v>
      </c>
      <c r="BT102" s="19" t="n">
        <f aca="false">IF(Time!BT20=1,BT96+Funding!BT34+BT97,BT96+BT97-Waterfall!BT35)</f>
        <v>418.63412429518</v>
      </c>
      <c r="BU102" s="19" t="n">
        <f aca="false">IF(Time!BU20=1,BU96+Funding!BU34+BU97,BU96+BU97-Waterfall!BU35)</f>
        <v>405.136513187033</v>
      </c>
      <c r="BV102" s="19" t="n">
        <f aca="false">IF(Time!BV20=1,BV96+Funding!BV34+BV97,BV96+BV97-Waterfall!BV35)</f>
        <v>391.467005648915</v>
      </c>
      <c r="BW102" s="19" t="n">
        <f aca="false">IF(Time!BW20=1,BW96+Funding!BW34+BW97,BW96+BW97-Waterfall!BW35)</f>
        <v>376.815244732045</v>
      </c>
      <c r="BX102" s="19" t="n">
        <f aca="false">IF(Time!BX20=1,BX96+Funding!BX34+BX97,BX96+BX97-Waterfall!BX35)</f>
        <v>361.903699026827</v>
      </c>
      <c r="BY102" s="19" t="n">
        <f aca="false">IF(Time!BY20=1,BY96+Funding!BY34+BY97,BY96+BY97-Waterfall!BY35)</f>
        <v>346.034466337821</v>
      </c>
      <c r="BZ102" s="19" t="n">
        <f aca="false">IF(Time!BZ20=1,BZ96+Funding!BZ34+BZ97,BZ96+BZ97-Waterfall!BZ35)</f>
        <v>329.981297752469</v>
      </c>
      <c r="CA102" s="19" t="n">
        <f aca="false">IF(Time!CA20=1,CA96+Funding!CA34+CA97,CA96+CA97-Waterfall!CA35)</f>
        <v>314.671749050078</v>
      </c>
      <c r="CB102" s="19" t="n">
        <f aca="false">IF(Time!CB20=1,CB96+Funding!CB34+CB97,CB96+CB97-Waterfall!CB35)</f>
        <v>299.199910420936</v>
      </c>
      <c r="CC102" s="19" t="n">
        <f aca="false">IF(Time!CC20=1,CC96+Funding!CC34+CC97,CC96+CC97-Waterfall!CC35)</f>
        <v>282.599632203432</v>
      </c>
      <c r="CD102" s="19" t="n">
        <f aca="false">IF(Time!CD20=1,CD96+Funding!CD34+CD97,CD96+CD97-Waterfall!CD35)</f>
        <v>265.830539969993</v>
      </c>
      <c r="CE102" s="19" t="n">
        <f aca="false">IF(Time!CE20=1,CE96+Funding!CE34+CE97,CE96+CE97-Waterfall!CE35)</f>
        <v>248.762541265599</v>
      </c>
      <c r="CF102" s="19" t="n">
        <f aca="false">IF(Time!CF20=1,CF96+Funding!CF34+CF97,CF96+CF97-Waterfall!CF35)</f>
        <v>233.961535673975</v>
      </c>
      <c r="CG102" s="19" t="n">
        <f aca="false">IF(Time!CG20=1,CG96+Funding!CG34+CG97,CG96+CG97-Waterfall!CG35)</f>
        <v>217.756328348407</v>
      </c>
      <c r="CH102" s="19" t="n">
        <f aca="false">IF(Time!CH20=1,CH96+Funding!CH34+CH97,CH96+CH97-Waterfall!CH35)</f>
        <v>195.117575471087</v>
      </c>
      <c r="CI102" s="19" t="n">
        <f aca="false">IF(Time!CI20=1,CI96+Funding!CI34+CI97,CI96+CI97-Waterfall!CI35)</f>
        <v>170.985655099013</v>
      </c>
      <c r="CJ102" s="19" t="n">
        <f aca="false">IF(Time!CJ20=1,CJ96+Funding!CJ34+CJ97,CJ96+CJ97-Waterfall!CJ35)</f>
        <v>146.737065768849</v>
      </c>
      <c r="CK102" s="19" t="n">
        <f aca="false">IF(Time!CK20=1,CK96+Funding!CK34+CK97,CK96+CK97-Waterfall!CK35)</f>
        <v>116.926169332292</v>
      </c>
      <c r="CL102" s="19" t="n">
        <f aca="false">IF(Time!CL20=1,CL96+Funding!CL34+CL97,CL96+CL97-Waterfall!CL35)</f>
        <v>89.5063520134393</v>
      </c>
      <c r="CM102" s="19" t="n">
        <f aca="false">IF(Time!CM20=1,CM96+Funding!CM34+CM97,CM96+CM97-Waterfall!CM35)</f>
        <v>60.4130367316854</v>
      </c>
      <c r="CN102" s="19" t="n">
        <f aca="false">IF(Time!CN20=1,CN96+Funding!CN34+CN97,CN96+CN97-Waterfall!CN35)</f>
        <v>30.997142357971</v>
      </c>
      <c r="CO102" s="19" t="n">
        <f aca="false">IF(Time!CO20=1,CO96+Funding!CO34+CO97,CO96+CO97-Waterfall!CO35)</f>
        <v>5.65524516105143E-010</v>
      </c>
      <c r="CP102" s="19" t="n">
        <f aca="false">IF(Time!CP20=1,CP96+Funding!CP34+CP97,CP96+CP97-Waterfall!CP35)</f>
        <v>5.65524516105143E-010</v>
      </c>
      <c r="CQ102" s="19" t="n">
        <f aca="false">IF(Time!CQ20=1,CQ96+Funding!CQ34+CQ97,CQ96+CQ97-Waterfall!CQ35)</f>
        <v>5.74248157846179E-010</v>
      </c>
      <c r="CR102" s="19" t="n">
        <f aca="false">IF(Time!CR20=1,CR96+Funding!CR34+CR97,CR96+CR97-Waterfall!CR35)</f>
        <v>5.82961940988773E-010</v>
      </c>
      <c r="CS102" s="19" t="n">
        <f aca="false">IF(Time!CS20=1,CS96+Funding!CS34+CS97,CS96+CS97-Waterfall!CS35)</f>
        <v>5.91954568146426E-010</v>
      </c>
      <c r="CT102" s="19" t="n">
        <f aca="false">IF(Time!CT20=1,CT96+Funding!CT34+CT97,CT96+CT97-Waterfall!CT35)</f>
        <v>6.0093703272488E-010</v>
      </c>
      <c r="CU102" s="19" t="n">
        <f aca="false">IF(Time!CU20=1,CU96+Funding!CU34+CU97,CU96+CU97-Waterfall!CU35)</f>
        <v>6.1020693921544E-010</v>
      </c>
      <c r="CV102" s="19" t="n">
        <f aca="false">IF(Time!CV20=1,CV96+Funding!CV34+CV97,CV96+CV97-Waterfall!CV35)</f>
        <v>6.19517526847984E-010</v>
      </c>
      <c r="CW102" s="19" t="n">
        <f aca="false">IF(Time!CW20=1,CW96+Funding!CW34+CW97,CW96+CW97-Waterfall!CW35)</f>
        <v>6.29074051459394E-010</v>
      </c>
      <c r="CX102" s="19" t="n">
        <f aca="false">IF(Time!CX20=1,CX96+Funding!CX34+CX97,CX96+CX97-Waterfall!CX35)</f>
        <v>6.38619776230389E-010</v>
      </c>
      <c r="CY102" s="19" t="n">
        <f aca="false">IF(Time!CY20=1,CY96+Funding!CY34+CY97,CY96+CY97-Waterfall!CY35)</f>
        <v>6.48470967430629E-010</v>
      </c>
      <c r="CZ102" s="19" t="n">
        <f aca="false">IF(Time!CZ20=1,CZ96+Funding!CZ34+CZ97,CZ96+CZ97-Waterfall!CZ35)</f>
        <v>6.58311025787372E-010</v>
      </c>
      <c r="DA102" s="19" t="n">
        <f aca="false">IF(Time!DA20=1,DA96+Funding!DA34+DA97,DA96+DA97-Waterfall!DA35)</f>
        <v>6.68465969347901E-010</v>
      </c>
      <c r="DB102" s="19" t="n">
        <f aca="false">IF(Time!DB20=1,DB96+Funding!DB34+DB97,DB96+DB97-Waterfall!DB35)</f>
        <v>6.78609436794012E-010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4168.08477665878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15.1244361933425</v>
      </c>
      <c r="AA104" s="19" t="n">
        <f aca="false">AA13-IF(Inputs!$F$215=1,AA87,AA34-AA39)</f>
        <v>31.1151804299624</v>
      </c>
      <c r="AB104" s="19" t="n">
        <f aca="false">AB13-IF(Inputs!$F$215=1,AB87,AB34-AB39)</f>
        <v>33.0490119748013</v>
      </c>
      <c r="AC104" s="19" t="n">
        <f aca="false">AC13-IF(Inputs!$F$215=1,AC87,AC34-AC39)</f>
        <v>34.2194337253906</v>
      </c>
      <c r="AD104" s="19" t="n">
        <f aca="false">AD13-IF(Inputs!$F$215=1,AD87,AD34-AD39)</f>
        <v>11.866883287591</v>
      </c>
      <c r="AE104" s="19" t="n">
        <f aca="false">AE13-IF(Inputs!$F$215=1,AE87,AE34-AE39)</f>
        <v>13.9885035054576</v>
      </c>
      <c r="AF104" s="19" t="n">
        <f aca="false">AF13-IF(Inputs!$F$215=1,AF87,AF34-AF39)</f>
        <v>17.3899022675656</v>
      </c>
      <c r="AG104" s="19" t="n">
        <f aca="false">AG13-IF(Inputs!$F$215=1,AG87,AG34-AG39)</f>
        <v>20.1895892722283</v>
      </c>
      <c r="AH104" s="19" t="n">
        <f aca="false">AH13-IF(Inputs!$F$215=1,AH87,AH34-AH39)</f>
        <v>22.0704080544275</v>
      </c>
      <c r="AI104" s="19" t="n">
        <f aca="false">AI13-IF(Inputs!$F$215=1,AI87,AI34-AI39)</f>
        <v>21.1925975238649</v>
      </c>
      <c r="AJ104" s="19" t="n">
        <f aca="false">AJ13-IF(Inputs!$F$215=1,AJ87,AJ34-AJ39)</f>
        <v>22.2676473449658</v>
      </c>
      <c r="AK104" s="19" t="n">
        <f aca="false">AK13-IF(Inputs!$F$215=1,AK87,AK34-AK39)</f>
        <v>24.4821924357699</v>
      </c>
      <c r="AL104" s="19" t="n">
        <f aca="false">AL13-IF(Inputs!$F$215=1,AL87,AL34-AL39)</f>
        <v>25.3955439559329</v>
      </c>
      <c r="AM104" s="19" t="n">
        <f aca="false">AM13-IF(Inputs!$F$215=1,AM87,AM34-AM39)</f>
        <v>27.9862283755405</v>
      </c>
      <c r="AN104" s="19" t="n">
        <f aca="false">AN13-IF(Inputs!$F$215=1,AN87,AN34-AN39)</f>
        <v>28.945526762242</v>
      </c>
      <c r="AO104" s="19" t="n">
        <f aca="false">AO13-IF(Inputs!$F$215=1,AO87,AO34-AO39)</f>
        <v>34.9002701132215</v>
      </c>
      <c r="AP104" s="19" t="n">
        <f aca="false">AP13-IF(Inputs!$F$215=1,AP87,AP34-AP39)</f>
        <v>35.9055906125208</v>
      </c>
      <c r="AQ104" s="19" t="n">
        <f aca="false">AQ13-IF(Inputs!$F$215=1,AQ87,AQ34-AQ39)</f>
        <v>28.5506510569913</v>
      </c>
      <c r="AR104" s="19" t="n">
        <f aca="false">AR13-IF(Inputs!$F$215=1,AR87,AR34-AR39)</f>
        <v>29.893018591669</v>
      </c>
      <c r="AS104" s="19" t="n">
        <f aca="false">AS13-IF(Inputs!$F$215=1,AS87,AS34-AS39)</f>
        <v>32.7326075815786</v>
      </c>
      <c r="AT104" s="19" t="n">
        <f aca="false">AT13-IF(Inputs!$F$215=1,AT87,AT34-AT39)</f>
        <v>33.8431319847112</v>
      </c>
      <c r="AU104" s="19" t="n">
        <f aca="false">AU13-IF(Inputs!$F$215=1,AU87,AU34-AU39)</f>
        <v>37.176350923279</v>
      </c>
      <c r="AV104" s="19" t="n">
        <f aca="false">AV13-IF(Inputs!$F$215=1,AV87,AV34-AV39)</f>
        <v>38.3355628663364</v>
      </c>
      <c r="AW104" s="19" t="n">
        <f aca="false">AW13-IF(Inputs!$F$215=1,AW87,AW34-AW39)</f>
        <v>41.6564718936029</v>
      </c>
      <c r="AX104" s="19" t="n">
        <f aca="false">AX13-IF(Inputs!$F$215=1,AX87,AX34-AX39)</f>
        <v>41.8235472549026</v>
      </c>
      <c r="AY104" s="19" t="n">
        <f aca="false">AY13-IF(Inputs!$F$215=1,AY87,AY34-AY39)</f>
        <v>41.5305628048392</v>
      </c>
      <c r="AZ104" s="19" t="n">
        <f aca="false">AZ13-IF(Inputs!$F$215=1,AZ87,AZ34-AZ39)</f>
        <v>41.9796929486255</v>
      </c>
      <c r="BA104" s="19" t="n">
        <f aca="false">BA13-IF(Inputs!$F$215=1,BA87,BA34-BA39)</f>
        <v>43.9499830194413</v>
      </c>
      <c r="BB104" s="19" t="n">
        <f aca="false">BB13-IF(Inputs!$F$215=1,BB87,BB34-BB39)</f>
        <v>44.1342501560485</v>
      </c>
      <c r="BC104" s="19" t="n">
        <f aca="false">BC13-IF(Inputs!$F$215=1,BC87,BC34-BC39)</f>
        <v>51.6716487703648</v>
      </c>
      <c r="BD104" s="19" t="n">
        <f aca="false">BD13-IF(Inputs!$F$215=1,BD87,BD34-BD39)</f>
        <v>51.8659041770692</v>
      </c>
      <c r="BE104" s="19" t="n">
        <f aca="false">BE13-IF(Inputs!$F$215=1,BE87,BE34-BE39)</f>
        <v>56.7916506079301</v>
      </c>
      <c r="BF104" s="19" t="n">
        <f aca="false">BF13-IF(Inputs!$F$215=1,BF87,BF34-BF39)</f>
        <v>56.9963169112747</v>
      </c>
      <c r="BG104" s="19" t="n">
        <f aca="false">BG13-IF(Inputs!$F$215=1,BG87,BG34-BG39)</f>
        <v>59.5780688407679</v>
      </c>
      <c r="BH104" s="19" t="n">
        <f aca="false">BH13-IF(Inputs!$F$215=1,BH87,BH34-BH39)</f>
        <v>60.122398426208</v>
      </c>
      <c r="BI104" s="19" t="n">
        <f aca="false">BI13-IF(Inputs!$F$215=1,BI87,BI34-BI39)</f>
        <v>62.5029992448741</v>
      </c>
      <c r="BJ104" s="19" t="n">
        <f aca="false">BJ13-IF(Inputs!$F$215=1,BJ87,BJ34-BJ39)</f>
        <v>62.7278898065325</v>
      </c>
      <c r="BK104" s="19" t="n">
        <f aca="false">BK13-IF(Inputs!$F$215=1,BK87,BK34-BK39)</f>
        <v>65.5737218639755</v>
      </c>
      <c r="BL104" s="19" t="n">
        <f aca="false">BL13-IF(Inputs!$F$215=1,BL87,BL34-BL39)</f>
        <v>65.810291706501</v>
      </c>
      <c r="BM104" s="19" t="n">
        <f aca="false">BM13-IF(Inputs!$F$215=1,BM87,BM34-BM39)</f>
        <v>68.7708754794669</v>
      </c>
      <c r="BN104" s="19" t="n">
        <f aca="false">BN13-IF(Inputs!$F$215=1,BN87,BN34-BN39)</f>
        <v>69.0176564968264</v>
      </c>
      <c r="BO104" s="19" t="n">
        <f aca="false">BO13-IF(Inputs!$F$215=1,BO87,BO34-BO39)</f>
        <v>60.5064172983469</v>
      </c>
      <c r="BP104" s="19" t="n">
        <f aca="false">BP13-IF(Inputs!$F$215=1,BP87,BP34-BP39)</f>
        <v>61.1660581849008</v>
      </c>
      <c r="BQ104" s="19" t="n">
        <f aca="false">BQ13-IF(Inputs!$F$215=1,BQ87,BQ34-BQ39)</f>
        <v>64.020442124606</v>
      </c>
      <c r="BR104" s="19" t="n">
        <f aca="false">BR13-IF(Inputs!$F$215=1,BR87,BR34-BR39)</f>
        <v>63.4937375569076</v>
      </c>
      <c r="BS104" s="19" t="n">
        <f aca="false">BS13-IF(Inputs!$F$215=1,BS87,BS34-BS39)</f>
        <v>66.8078493276293</v>
      </c>
      <c r="BT104" s="19" t="n">
        <f aca="false">BT13-IF(Inputs!$F$215=1,BT87,BT34-BT39)</f>
        <v>66.2632730579567</v>
      </c>
      <c r="BU104" s="19" t="n">
        <f aca="false">BU13-IF(Inputs!$F$215=1,BU87,BU34-BU39)</f>
        <v>81.314139830203</v>
      </c>
      <c r="BV104" s="19" t="n">
        <f aca="false">BV13-IF(Inputs!$F$215=1,BV87,BV34-BV39)</f>
        <v>80.7509654728405</v>
      </c>
      <c r="BW104" s="19" t="n">
        <f aca="false">BW13-IF(Inputs!$F$215=1,BW87,BW34-BW39)</f>
        <v>84.3094314464593</v>
      </c>
      <c r="BX104" s="19" t="n">
        <f aca="false">BX13-IF(Inputs!$F$215=1,BX87,BX34-BX39)</f>
        <v>84.189588495331</v>
      </c>
      <c r="BY104" s="19" t="n">
        <f aca="false">BY13-IF(Inputs!$F$215=1,BY87,BY34-BY39)</f>
        <v>87.4121306097418</v>
      </c>
      <c r="BZ104" s="19" t="n">
        <f aca="false">BZ13-IF(Inputs!$F$215=1,BZ87,BZ34-BZ39)</f>
        <v>86.8095121092727</v>
      </c>
      <c r="CA104" s="19" t="n">
        <f aca="false">CA13-IF(Inputs!$F$215=1,CA87,CA34-CA39)</f>
        <v>83.1249858860661</v>
      </c>
      <c r="CB104" s="19" t="n">
        <f aca="false">CB13-IF(Inputs!$F$215=1,CB87,CB34-CB39)</f>
        <v>82.5014861251316</v>
      </c>
      <c r="CC104" s="19" t="n">
        <f aca="false">CC13-IF(Inputs!$F$215=1,CC87,CC34-CC39)</f>
        <v>86.4496311014528</v>
      </c>
      <c r="CD104" s="19" t="n">
        <f aca="false">CD13-IF(Inputs!$F$215=1,CD87,CD34-CD39)</f>
        <v>85.804453273703</v>
      </c>
      <c r="CE104" s="19" t="n">
        <f aca="false">CE13-IF(Inputs!$F$215=1,CE87,CE34-CE39)</f>
        <v>86.2580045808893</v>
      </c>
      <c r="CF104" s="19" t="n">
        <f aca="false">CF13-IF(Inputs!$F$215=1,CF87,CF34-CF39)</f>
        <v>75.7776528940184</v>
      </c>
      <c r="CG104" s="19" t="n">
        <f aca="false">CG13-IF(Inputs!$F$215=1,CG87,CG34-CG39)</f>
        <v>80.739113501966</v>
      </c>
      <c r="CH104" s="19" t="n">
        <f aca="false">CH13-IF(Inputs!$F$215=1,CH87,CH34-CH39)</f>
        <v>105.712765642997</v>
      </c>
      <c r="CI104" s="19" t="n">
        <f aca="false">CI13-IF(Inputs!$F$215=1,CI87,CI34-CI39)</f>
        <v>110.597291903227</v>
      </c>
      <c r="CJ104" s="19" t="n">
        <f aca="false">CJ13-IF(Inputs!$F$215=1,CJ87,CJ34-CJ39)</f>
        <v>109.380604163406</v>
      </c>
      <c r="CK104" s="19" t="n">
        <f aca="false">CK13-IF(Inputs!$F$215=1,CK87,CK34-CK39)</f>
        <v>130.69694838973</v>
      </c>
      <c r="CL104" s="19" t="n">
        <f aca="false">CL13-IF(Inputs!$F$215=1,CL87,CL34-CL39)</f>
        <v>118.960122368036</v>
      </c>
      <c r="CM104" s="19" t="n">
        <f aca="false">CM13-IF(Inputs!$F$215=1,CM87,CM34-CM39)</f>
        <v>124.175601923561</v>
      </c>
      <c r="CN104" s="19" t="n">
        <f aca="false">CN13-IF(Inputs!$F$215=1,CN87,CN34-CN39)</f>
        <v>123.62005663349</v>
      </c>
      <c r="CO104" s="19" t="n">
        <f aca="false">CO13-IF(Inputs!$F$215=1,CO87,CO34-CO39)</f>
        <v>128.255613672643</v>
      </c>
      <c r="CP104" s="19" t="n">
        <f aca="false">CP13-IF(Inputs!$F$215=1,CP87,CP34-CP39)</f>
        <v>141.862699835627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491.7427450032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522.578281376499</v>
      </c>
      <c r="AF106" s="19" t="n">
        <f aca="false">IF(Time!AF49=1,AE102,AE112)</f>
        <v>530.639445090094</v>
      </c>
      <c r="AG106" s="19" t="n">
        <f aca="false">IF(Time!AG49=1,AF102,AF112)</f>
        <v>538.691498872494</v>
      </c>
      <c r="AH106" s="19" t="n">
        <f aca="false">IF(Time!AH49=1,AG102,AG112)</f>
        <v>547.00122110606</v>
      </c>
      <c r="AI106" s="19" t="n">
        <f aca="false">IF(Time!AI49=1,AH102,AH112)</f>
        <v>555.301552512137</v>
      </c>
      <c r="AJ106" s="19" t="n">
        <f aca="false">IF(Time!AJ49=1,AI102,AI112)</f>
        <v>563.867497337518</v>
      </c>
      <c r="AK106" s="19" t="n">
        <f aca="false">IF(Time!AK49=1,AJ102,AJ112)</f>
        <v>567.006315607491</v>
      </c>
      <c r="AL106" s="19" t="n">
        <f aca="false">IF(Time!AL49=1,AK102,AK112)</f>
        <v>567.006315607491</v>
      </c>
      <c r="AM106" s="19" t="n">
        <f aca="false">IF(Time!AM49=1,AL102,AL112)</f>
        <v>567.006315607491</v>
      </c>
      <c r="AN106" s="19" t="n">
        <f aca="false">IF(Time!AN49=1,AM102,AM112)</f>
        <v>567.006315607491</v>
      </c>
      <c r="AO106" s="19" t="n">
        <f aca="false">IF(Time!AO49=1,AN102,AN112)</f>
        <v>567.006315607491</v>
      </c>
      <c r="AP106" s="19" t="n">
        <f aca="false">IF(Time!AP49=1,AO102,AO112)</f>
        <v>567.006315607491</v>
      </c>
      <c r="AQ106" s="19" t="n">
        <f aca="false">IF(Time!AQ49=1,AP102,AP112)</f>
        <v>566.798594047462</v>
      </c>
      <c r="AR106" s="19" t="n">
        <f aca="false">IF(Time!AR49=1,AQ102,AQ112)</f>
        <v>566.798594047462</v>
      </c>
      <c r="AS106" s="19" t="n">
        <f aca="false">IF(Time!AS49=1,AR102,AR112)</f>
        <v>566.798594047462</v>
      </c>
      <c r="AT106" s="19" t="n">
        <f aca="false">IF(Time!AT49=1,AS102,AS112)</f>
        <v>566.798594047462</v>
      </c>
      <c r="AU106" s="19" t="n">
        <f aca="false">IF(Time!AU49=1,AT102,AT112)</f>
        <v>566.798594047462</v>
      </c>
      <c r="AV106" s="19" t="n">
        <f aca="false">IF(Time!AV49=1,AU102,AU112)</f>
        <v>566.418416053129</v>
      </c>
      <c r="AW106" s="19" t="n">
        <f aca="false">IF(Time!AW49=1,AV102,AV112)</f>
        <v>565.605432430994</v>
      </c>
      <c r="AX106" s="19" t="n">
        <f aca="false">IF(Time!AX49=1,AW102,AW112)</f>
        <v>564.107379511558</v>
      </c>
      <c r="AY106" s="19" t="n">
        <f aca="false">IF(Time!AY49=1,AX102,AX112)</f>
        <v>562.403339050401</v>
      </c>
      <c r="AZ106" s="19" t="n">
        <f aca="false">IF(Time!AZ49=1,AY102,AY112)</f>
        <v>560.886790862407</v>
      </c>
      <c r="BA106" s="19" t="n">
        <f aca="false">IF(Time!BA49=1,AZ102,AZ112)</f>
        <v>559.14258286485</v>
      </c>
      <c r="BB106" s="19" t="n">
        <f aca="false">IF(Time!BB49=1,BA102,BA112)</f>
        <v>556.981983509714</v>
      </c>
      <c r="BC106" s="19" t="n">
        <f aca="false">IF(Time!BC49=1,BB102,BB112)</f>
        <v>554.602749375634</v>
      </c>
      <c r="BD106" s="19" t="n">
        <f aca="false">IF(Time!BD49=1,BC102,BC112)</f>
        <v>550.477140469963</v>
      </c>
      <c r="BE106" s="19" t="n">
        <f aca="false">IF(Time!BE49=1,BD102,BD112)</f>
        <v>546.101769817024</v>
      </c>
      <c r="BF106" s="19" t="n">
        <f aca="false">IF(Time!BF49=1,BE102,BE112)</f>
        <v>540.588523793514</v>
      </c>
      <c r="BG106" s="19" t="n">
        <f aca="false">IF(Time!BG49=1,BF102,BF112)</f>
        <v>534.804042784373</v>
      </c>
      <c r="BH106" s="19" t="n">
        <f aca="false">IF(Time!BH49=1,BG102,BG112)</f>
        <v>528.432704032036</v>
      </c>
      <c r="BI106" s="19" t="n">
        <f aca="false">IF(Time!BI49=1,BH102,BH112)</f>
        <v>521.740895325547</v>
      </c>
      <c r="BJ106" s="19" t="n">
        <f aca="false">IF(Time!BJ49=1,BI102,BI112)</f>
        <v>514.45023853885</v>
      </c>
      <c r="BK106" s="19" t="n">
        <f aca="false">IF(Time!BK49=1,BJ102,BJ112)</f>
        <v>506.862539575257</v>
      </c>
      <c r="BL106" s="19" t="n">
        <f aca="false">IF(Time!BL49=1,BK102,BK112)</f>
        <v>498.588784832895</v>
      </c>
      <c r="BM106" s="19" t="n">
        <f aca="false">IF(Time!BM49=1,BL102,BL112)</f>
        <v>490.003945931034</v>
      </c>
      <c r="BN106" s="19" t="n">
        <f aca="false">IF(Time!BN49=1,BM102,BM112)</f>
        <v>480.685519055458</v>
      </c>
      <c r="BO106" s="19" t="n">
        <f aca="false">IF(Time!BO49=1,BN102,BN112)</f>
        <v>471.041890028313</v>
      </c>
      <c r="BP106" s="19" t="n">
        <f aca="false">IF(Time!BP49=1,BO102,BO112)</f>
        <v>463.459145408789</v>
      </c>
      <c r="BQ106" s="19" t="n">
        <f aca="false">IF(Time!BQ49=1,BP102,BP112)</f>
        <v>455.519839559428</v>
      </c>
      <c r="BR106" s="19" t="n">
        <f aca="false">IF(Time!BR49=1,BQ102,BQ112)</f>
        <v>446.835276414659</v>
      </c>
      <c r="BS106" s="19" t="n">
        <f aca="false">IF(Time!BS49=1,BR102,BR112)</f>
        <v>438.033624130791</v>
      </c>
      <c r="BT106" s="19" t="n">
        <f aca="false">IF(Time!BT49=1,BS102,BS112)</f>
        <v>428.395263457286</v>
      </c>
      <c r="BU106" s="19" t="n">
        <f aca="false">IF(Time!BU49=1,BT102,BT112)</f>
        <v>418.634124295181</v>
      </c>
      <c r="BV106" s="19" t="n">
        <f aca="false">IF(Time!BV49=1,BU102,BU112)</f>
        <v>405.136513187033</v>
      </c>
      <c r="BW106" s="19" t="n">
        <f aca="false">IF(Time!BW49=1,BV102,BV112)</f>
        <v>391.467005648915</v>
      </c>
      <c r="BX106" s="19" t="n">
        <f aca="false">IF(Time!BX49=1,BW102,BW112)</f>
        <v>376.815244732045</v>
      </c>
      <c r="BY106" s="19" t="n">
        <f aca="false">IF(Time!BY49=1,BX102,BX112)</f>
        <v>361.903699026827</v>
      </c>
      <c r="BZ106" s="19" t="n">
        <f aca="false">IF(Time!BZ49=1,BY102,BY112)</f>
        <v>346.034466337821</v>
      </c>
      <c r="CA106" s="19" t="n">
        <f aca="false">IF(Time!CA49=1,BZ102,BZ112)</f>
        <v>329.981297752469</v>
      </c>
      <c r="CB106" s="19" t="n">
        <f aca="false">IF(Time!CB49=1,CA102,CA112)</f>
        <v>314.671749050078</v>
      </c>
      <c r="CC106" s="19" t="n">
        <f aca="false">IF(Time!CC49=1,CB102,CB112)</f>
        <v>299.199910420937</v>
      </c>
      <c r="CD106" s="19" t="n">
        <f aca="false">IF(Time!CD49=1,CC102,CC112)</f>
        <v>282.599632203432</v>
      </c>
      <c r="CE106" s="19" t="n">
        <f aca="false">IF(Time!CE49=1,CD102,CD112)</f>
        <v>265.830539969993</v>
      </c>
      <c r="CF106" s="19" t="n">
        <f aca="false">IF(Time!CF49=1,CE102,CE112)</f>
        <v>248.762541265599</v>
      </c>
      <c r="CG106" s="19" t="n">
        <f aca="false">IF(Time!CG49=1,CF102,CF112)</f>
        <v>233.961535673975</v>
      </c>
      <c r="CH106" s="19" t="n">
        <f aca="false">IF(Time!CH49=1,CG102,CG112)</f>
        <v>217.756328348408</v>
      </c>
      <c r="CI106" s="19" t="n">
        <f aca="false">IF(Time!CI49=1,CH102,CH112)</f>
        <v>195.117575471088</v>
      </c>
      <c r="CJ106" s="19" t="n">
        <f aca="false">IF(Time!CJ49=1,CI102,CI112)</f>
        <v>170.985655099014</v>
      </c>
      <c r="CK106" s="19" t="n">
        <f aca="false">IF(Time!CK49=1,CJ102,CJ112)</f>
        <v>146.737065768849</v>
      </c>
      <c r="CL106" s="19" t="n">
        <f aca="false">IF(Time!CL49=1,CK102,CK112)</f>
        <v>116.926169332292</v>
      </c>
      <c r="CM106" s="19" t="n">
        <f aca="false">IF(Time!CM49=1,CL102,CL112)</f>
        <v>89.5063520134397</v>
      </c>
      <c r="CN106" s="19" t="n">
        <f aca="false">IF(Time!CN49=1,CM102,CM112)</f>
        <v>60.4130367316858</v>
      </c>
      <c r="CO106" s="19" t="n">
        <f aca="false">IF(Time!CO49=1,CN102,CN112)</f>
        <v>30.9971423579713</v>
      </c>
      <c r="CP106" s="19" t="n">
        <f aca="false">IF(Time!CP49=1,CO102,CO112)</f>
        <v>5.65862023904629E-010</v>
      </c>
      <c r="CQ106" s="19" t="n">
        <f aca="false">IF(Time!CQ49=1,CP102,CP112)</f>
        <v>5.65862023904629E-010</v>
      </c>
      <c r="CR106" s="19" t="n">
        <f aca="false">IF(Time!CR49=1,CQ102,CQ112)</f>
        <v>5.65862023904629E-010</v>
      </c>
      <c r="CS106" s="19" t="n">
        <f aca="false">IF(Time!CS49=1,CR102,CR112)</f>
        <v>5.65862023904629E-010</v>
      </c>
      <c r="CT106" s="19" t="n">
        <f aca="false">IF(Time!CT49=1,CS102,CS112)</f>
        <v>5.65862023904629E-010</v>
      </c>
      <c r="CU106" s="19" t="n">
        <f aca="false">IF(Time!CU49=1,CT102,CT112)</f>
        <v>5.65862023904629E-010</v>
      </c>
      <c r="CV106" s="19" t="n">
        <f aca="false">IF(Time!CV49=1,CU102,CU112)</f>
        <v>5.65862023904629E-010</v>
      </c>
      <c r="CW106" s="19" t="n">
        <f aca="false">IF(Time!CW49=1,CV102,CV112)</f>
        <v>5.65862023904629E-010</v>
      </c>
      <c r="CX106" s="19" t="n">
        <f aca="false">IF(Time!CX49=1,CW102,CW112)</f>
        <v>5.65862023904629E-010</v>
      </c>
      <c r="CY106" s="19" t="n">
        <f aca="false">IF(Time!CY49=1,CX102,CX112)</f>
        <v>5.65862023904629E-010</v>
      </c>
      <c r="CZ106" s="19" t="n">
        <f aca="false">IF(Time!CZ49=1,CY102,CY112)</f>
        <v>5.65862023904629E-010</v>
      </c>
      <c r="DA106" s="19" t="n">
        <f aca="false">IF(Time!DA49=1,CZ102,CZ112)</f>
        <v>5.65862023904629E-010</v>
      </c>
      <c r="DB106" s="19" t="n">
        <f aca="false">IF(Time!DB49=1,DA102,DA112)</f>
        <v>5.65862023904629E-010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458.742054031203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3.72312176131331</v>
      </c>
      <c r="AA107" s="19" t="n">
        <f aca="false">AA106*Time!AA50*Time!AA9/Inputs!$F$45</f>
        <v>7.5855023327836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7.82004001949595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8.06116371359517</v>
      </c>
      <c r="AF107" s="19" t="n">
        <f aca="false">AF106*Time!AF50*Time!AF9/Inputs!$F$45</f>
        <v>8.05205378239998</v>
      </c>
      <c r="AG107" s="19" t="n">
        <f aca="false">AG106*Time!AG50*Time!AG9/Inputs!$F$45</f>
        <v>8.30972223356627</v>
      </c>
      <c r="AH107" s="19" t="n">
        <f aca="false">AH106*Time!AH50*Time!AH9/Inputs!$F$45</f>
        <v>8.30033140607678</v>
      </c>
      <c r="AI107" s="19" t="n">
        <f aca="false">AI106*Time!AI50*Time!AI9/Inputs!$F$45</f>
        <v>8.56594482538174</v>
      </c>
      <c r="AJ107" s="19" t="n">
        <f aca="false">AJ106*Time!AJ50*Time!AJ9/Inputs!$F$45</f>
        <v>8.60353661964961</v>
      </c>
      <c r="AK107" s="19" t="n">
        <f aca="false">AK106*Time!AK50*Time!AK9/Inputs!$F$45</f>
        <v>8.74649961478471</v>
      </c>
      <c r="AL107" s="19" t="n">
        <f aca="false">AL106*Time!AL50*Time!AL9/Inputs!$F$45</f>
        <v>8.60389364280452</v>
      </c>
      <c r="AM107" s="19" t="n">
        <f aca="false">AM106*Time!AM50*Time!AM9/Inputs!$F$45</f>
        <v>8.74649961478471</v>
      </c>
      <c r="AN107" s="19" t="n">
        <f aca="false">AN106*Time!AN50*Time!AN9/Inputs!$F$45</f>
        <v>8.60389364280452</v>
      </c>
      <c r="AO107" s="19" t="n">
        <f aca="false">AO106*Time!AO50*Time!AO9/Inputs!$F$45</f>
        <v>8.74649961478471</v>
      </c>
      <c r="AP107" s="19" t="n">
        <f aca="false">AP106*Time!AP50*Time!AP9/Inputs!$F$45</f>
        <v>8.60389364280452</v>
      </c>
      <c r="AQ107" s="19" t="n">
        <f aca="false">AQ106*Time!AQ50*Time!AQ9/Inputs!$F$45</f>
        <v>8.74329535321872</v>
      </c>
      <c r="AR107" s="19" t="n">
        <f aca="false">AR106*Time!AR50*Time!AR9/Inputs!$F$45</f>
        <v>8.64825953416199</v>
      </c>
      <c r="AS107" s="19" t="n">
        <f aca="false">AS106*Time!AS50*Time!AS9/Inputs!$F$45</f>
        <v>8.74329535321872</v>
      </c>
      <c r="AT107" s="19" t="n">
        <f aca="false">AT106*Time!AT50*Time!AT9/Inputs!$F$45</f>
        <v>8.60074162463363</v>
      </c>
      <c r="AU107" s="19" t="n">
        <f aca="false">AU106*Time!AU50*Time!AU9/Inputs!$F$45</f>
        <v>8.74329535321872</v>
      </c>
      <c r="AV107" s="19" t="n">
        <f aca="false">AV106*Time!AV50*Time!AV9/Inputs!$F$45</f>
        <v>8.5949727100051</v>
      </c>
      <c r="AW107" s="19" t="n">
        <f aca="false">AW106*Time!AW50*Time!AW9/Inputs!$F$45</f>
        <v>8.72488993632731</v>
      </c>
      <c r="AX107" s="19" t="n">
        <f aca="false">AX106*Time!AX50*Time!AX9/Inputs!$F$45</f>
        <v>8.55990447167868</v>
      </c>
      <c r="AY107" s="19" t="n">
        <f aca="false">AY106*Time!AY50*Time!AY9/Inputs!$F$45</f>
        <v>8.67549523339556</v>
      </c>
      <c r="AZ107" s="19" t="n">
        <f aca="false">AZ106*Time!AZ50*Time!AZ9/Inputs!$F$45</f>
        <v>8.55805675526278</v>
      </c>
      <c r="BA107" s="19" t="n">
        <f aca="false">BA106*Time!BA50*Time!BA9/Inputs!$F$45</f>
        <v>8.62519561249933</v>
      </c>
      <c r="BB107" s="19" t="n">
        <f aca="false">BB106*Time!BB50*Time!BB9/Inputs!$F$45</f>
        <v>8.45178195579973</v>
      </c>
      <c r="BC107" s="19" t="n">
        <f aca="false">BC106*Time!BC50*Time!BC9/Inputs!$F$45</f>
        <v>8.55516526050568</v>
      </c>
      <c r="BD107" s="19" t="n">
        <f aca="false">BD106*Time!BD50*Time!BD9/Inputs!$F$45</f>
        <v>8.35307586358065</v>
      </c>
      <c r="BE107" s="19" t="n">
        <f aca="false">BE106*Time!BE50*Time!BE9/Inputs!$F$45</f>
        <v>8.4240312459665</v>
      </c>
      <c r="BF107" s="19" t="n">
        <f aca="false">BF106*Time!BF50*Time!BF9/Inputs!$F$45</f>
        <v>8.20302355584317</v>
      </c>
      <c r="BG107" s="19" t="n">
        <f aca="false">BG106*Time!BG50*Time!BG9/Inputs!$F$45</f>
        <v>8.24975529450174</v>
      </c>
      <c r="BH107" s="19" t="n">
        <f aca="false">BH106*Time!BH50*Time!BH9/Inputs!$F$45</f>
        <v>8.06286963094579</v>
      </c>
      <c r="BI107" s="19" t="n">
        <f aca="false">BI106*Time!BI50*Time!BI9/Inputs!$F$45</f>
        <v>8.04824640285194</v>
      </c>
      <c r="BJ107" s="19" t="n">
        <f aca="false">BJ106*Time!BJ50*Time!BJ9/Inputs!$F$45</f>
        <v>7.80639477033226</v>
      </c>
      <c r="BK107" s="19" t="n">
        <f aca="false">BK106*Time!BK50*Time!BK9/Inputs!$F$45</f>
        <v>7.81873655568363</v>
      </c>
      <c r="BL107" s="19" t="n">
        <f aca="false">BL106*Time!BL50*Time!BL9/Inputs!$F$45</f>
        <v>7.56570916075471</v>
      </c>
      <c r="BM107" s="19" t="n">
        <f aca="false">BM106*Time!BM50*Time!BM9/Inputs!$F$45</f>
        <v>7.55868004704135</v>
      </c>
      <c r="BN107" s="19" t="n">
        <f aca="false">BN106*Time!BN50*Time!BN9/Inputs!$F$45</f>
        <v>7.29404059134399</v>
      </c>
      <c r="BO107" s="19" t="n">
        <f aca="false">BO106*Time!BO50*Time!BO9/Inputs!$F$45</f>
        <v>7.2661760482614</v>
      </c>
      <c r="BP107" s="19" t="n">
        <f aca="false">BP106*Time!BP50*Time!BP9/Inputs!$F$45</f>
        <v>7.0714977331798</v>
      </c>
      <c r="BQ107" s="19" t="n">
        <f aca="false">BQ106*Time!BQ50*Time!BQ9/Inputs!$F$45</f>
        <v>7.0267367250833</v>
      </c>
      <c r="BR107" s="19" t="n">
        <f aca="false">BR106*Time!BR50*Time!BR9/Inputs!$F$45</f>
        <v>6.78038866287734</v>
      </c>
      <c r="BS107" s="19" t="n">
        <f aca="false">BS106*Time!BS50*Time!BS9/Inputs!$F$45</f>
        <v>6.7569986775507</v>
      </c>
      <c r="BT107" s="19" t="n">
        <f aca="false">BT106*Time!BT50*Time!BT9/Inputs!$F$45</f>
        <v>6.50057535940966</v>
      </c>
      <c r="BU107" s="19" t="n">
        <f aca="false">BU106*Time!BU50*Time!BU9/Inputs!$F$45</f>
        <v>6.45774677652489</v>
      </c>
      <c r="BV107" s="19" t="n">
        <f aca="false">BV106*Time!BV50*Time!BV9/Inputs!$F$45</f>
        <v>6.14764134777452</v>
      </c>
      <c r="BW107" s="19" t="n">
        <f aca="false">BW106*Time!BW50*Time!BW9/Inputs!$F$45</f>
        <v>6.03867350302919</v>
      </c>
      <c r="BX107" s="19" t="n">
        <f aca="false">BX106*Time!BX50*Time!BX9/Inputs!$F$45</f>
        <v>5.74947797523755</v>
      </c>
      <c r="BY107" s="19" t="n">
        <f aca="false">BY106*Time!BY50*Time!BY9/Inputs!$F$45</f>
        <v>5.58263722465931</v>
      </c>
      <c r="BZ107" s="19" t="n">
        <f aca="false">BZ106*Time!BZ50*Time!BZ9/Inputs!$F$45</f>
        <v>5.25081231577714</v>
      </c>
      <c r="CA107" s="19" t="n">
        <f aca="false">CA106*Time!CA50*Time!CA9/Inputs!$F$45</f>
        <v>5.09021013387809</v>
      </c>
      <c r="CB107" s="19" t="n">
        <f aca="false">CB106*Time!CB50*Time!CB9/Inputs!$F$45</f>
        <v>4.77490671038017</v>
      </c>
      <c r="CC107" s="19" t="n">
        <f aca="false">CC106*Time!CC50*Time!CC9/Inputs!$F$45</f>
        <v>4.61538404283299</v>
      </c>
      <c r="CD107" s="19" t="n">
        <f aca="false">CD106*Time!CD50*Time!CD9/Inputs!$F$45</f>
        <v>4.28823650115597</v>
      </c>
      <c r="CE107" s="19" t="n">
        <f aca="false">CE106*Time!CE50*Time!CE9/Inputs!$F$45</f>
        <v>4.10063636232068</v>
      </c>
      <c r="CF107" s="19" t="n">
        <f aca="false">CF106*Time!CF50*Time!CF9/Inputs!$F$45</f>
        <v>3.79563930086678</v>
      </c>
      <c r="CG107" s="19" t="n">
        <f aca="false">CG106*Time!CG50*Time!CG9/Inputs!$F$45</f>
        <v>3.60903296016095</v>
      </c>
      <c r="CH107" s="19" t="n">
        <f aca="false">CH106*Time!CH50*Time!CH9/Inputs!$F$45</f>
        <v>3.30428821969997</v>
      </c>
      <c r="CI107" s="19" t="n">
        <f aca="false">CI106*Time!CI50*Time!CI9/Inputs!$F$45</f>
        <v>3.009835608034</v>
      </c>
      <c r="CJ107" s="19" t="n">
        <f aca="false">CJ106*Time!CJ50*Time!CJ9/Inputs!$F$45</f>
        <v>2.5945784913189</v>
      </c>
      <c r="CK107" s="19" t="n">
        <f aca="false">CK106*Time!CK50*Time!CK9/Inputs!$F$45</f>
        <v>2.26352979480802</v>
      </c>
      <c r="CL107" s="19" t="n">
        <f aca="false">CL106*Time!CL50*Time!CL9/Inputs!$F$45</f>
        <v>1.77426652455845</v>
      </c>
      <c r="CM107" s="19" t="n">
        <f aca="false">CM106*Time!CM50*Time!CM9/Inputs!$F$45</f>
        <v>1.38070291609992</v>
      </c>
      <c r="CN107" s="19" t="n">
        <f aca="false">CN106*Time!CN50*Time!CN9/Inputs!$F$45</f>
        <v>0.921787079907135</v>
      </c>
      <c r="CO107" s="19" t="n">
        <f aca="false">CO106*Time!CO50*Time!CO9/Inputs!$F$45</f>
        <v>0.478154274883073</v>
      </c>
      <c r="CP107" s="19" t="n">
        <f aca="false">CP106*Time!CP50*Time!CP9/Inputs!$F$45</f>
        <v>8.58652987835117E-012</v>
      </c>
      <c r="CQ107" s="19" t="n">
        <f aca="false">CQ106*Time!CQ50*Time!CQ9/Inputs!$F$45</f>
        <v>8.72884805313047E-012</v>
      </c>
      <c r="CR107" s="19" t="n">
        <f aca="false">CR106*Time!CR50*Time!CR9/Inputs!$F$45</f>
        <v>8.58652987835117E-012</v>
      </c>
      <c r="CS107" s="19" t="n">
        <f aca="false">CS106*Time!CS50*Time!CS9/Inputs!$F$45</f>
        <v>8.72884805313047E-012</v>
      </c>
      <c r="CT107" s="19" t="n">
        <f aca="false">CT106*Time!CT50*Time!CT9/Inputs!$F$45</f>
        <v>8.58652987835117E-012</v>
      </c>
      <c r="CU107" s="19" t="n">
        <f aca="false">CU106*Time!CU50*Time!CU9/Inputs!$F$45</f>
        <v>8.72884805313047E-012</v>
      </c>
      <c r="CV107" s="19" t="n">
        <f aca="false">CV106*Time!CV50*Time!CV9/Inputs!$F$45</f>
        <v>8.63396926994427E-012</v>
      </c>
      <c r="CW107" s="19" t="n">
        <f aca="false">CW106*Time!CW50*Time!CW9/Inputs!$F$45</f>
        <v>8.72884805313047E-012</v>
      </c>
      <c r="CX107" s="19" t="n">
        <f aca="false">CX106*Time!CX50*Time!CX9/Inputs!$F$45</f>
        <v>8.58652987835117E-012</v>
      </c>
      <c r="CY107" s="19" t="n">
        <f aca="false">CY106*Time!CY50*Time!CY9/Inputs!$F$45</f>
        <v>8.72884805313047E-012</v>
      </c>
      <c r="CZ107" s="19" t="n">
        <f aca="false">CZ106*Time!CZ50*Time!CZ9/Inputs!$F$45</f>
        <v>8.58652987835117E-012</v>
      </c>
      <c r="DA107" s="19" t="n">
        <f aca="false">DA106*Time!DA50*Time!DA9/Inputs!$F$45</f>
        <v>8.72884805313047E-012</v>
      </c>
      <c r="DB107" s="19" t="n">
        <f aca="false">DB106*Time!DB50*Time!DB9/Inputs!$F$45</f>
        <v>8.58652987835117E-012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378.592411625747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4.30176830982481</v>
      </c>
      <c r="AK108" s="19" t="n">
        <f aca="false">AK107*Time!AK51</f>
        <v>8.74649961478471</v>
      </c>
      <c r="AL108" s="19" t="n">
        <f aca="false">AL107*Time!AL51</f>
        <v>8.60389364280452</v>
      </c>
      <c r="AM108" s="19" t="n">
        <f aca="false">AM107*Time!AM51</f>
        <v>8.74649961478471</v>
      </c>
      <c r="AN108" s="19" t="n">
        <f aca="false">AN107*Time!AN51</f>
        <v>8.60389364280452</v>
      </c>
      <c r="AO108" s="19" t="n">
        <f aca="false">AO107*Time!AO51</f>
        <v>8.74649961478471</v>
      </c>
      <c r="AP108" s="19" t="n">
        <f aca="false">AP107*Time!AP51</f>
        <v>8.60389364280452</v>
      </c>
      <c r="AQ108" s="19" t="n">
        <f aca="false">AQ107*Time!AQ51</f>
        <v>8.74329535321872</v>
      </c>
      <c r="AR108" s="19" t="n">
        <f aca="false">AR107*Time!AR51</f>
        <v>8.64825953416199</v>
      </c>
      <c r="AS108" s="19" t="n">
        <f aca="false">AS107*Time!AS51</f>
        <v>8.74329535321872</v>
      </c>
      <c r="AT108" s="19" t="n">
        <f aca="false">AT107*Time!AT51</f>
        <v>8.60074162463363</v>
      </c>
      <c r="AU108" s="19" t="n">
        <f aca="false">AU107*Time!AU51</f>
        <v>8.74329535321872</v>
      </c>
      <c r="AV108" s="19" t="n">
        <f aca="false">AV107*Time!AV51</f>
        <v>8.5949727100051</v>
      </c>
      <c r="AW108" s="19" t="n">
        <f aca="false">AW107*Time!AW51</f>
        <v>8.72488993632731</v>
      </c>
      <c r="AX108" s="19" t="n">
        <f aca="false">AX107*Time!AX51</f>
        <v>8.55990447167868</v>
      </c>
      <c r="AY108" s="19" t="n">
        <f aca="false">AY107*Time!AY51</f>
        <v>8.67549523339556</v>
      </c>
      <c r="AZ108" s="19" t="n">
        <f aca="false">AZ107*Time!AZ51</f>
        <v>8.55805675526278</v>
      </c>
      <c r="BA108" s="19" t="n">
        <f aca="false">BA107*Time!BA51</f>
        <v>8.62519561249933</v>
      </c>
      <c r="BB108" s="19" t="n">
        <f aca="false">BB107*Time!BB51</f>
        <v>8.45178195579973</v>
      </c>
      <c r="BC108" s="19" t="n">
        <f aca="false">BC107*Time!BC51</f>
        <v>8.55516526050568</v>
      </c>
      <c r="BD108" s="19" t="n">
        <f aca="false">BD107*Time!BD51</f>
        <v>8.35307586358065</v>
      </c>
      <c r="BE108" s="19" t="n">
        <f aca="false">BE107*Time!BE51</f>
        <v>8.4240312459665</v>
      </c>
      <c r="BF108" s="19" t="n">
        <f aca="false">BF107*Time!BF51</f>
        <v>8.20302355584317</v>
      </c>
      <c r="BG108" s="19" t="n">
        <f aca="false">BG107*Time!BG51</f>
        <v>8.24975529450174</v>
      </c>
      <c r="BH108" s="19" t="n">
        <f aca="false">BH107*Time!BH51</f>
        <v>8.06286963094579</v>
      </c>
      <c r="BI108" s="19" t="n">
        <f aca="false">BI107*Time!BI51</f>
        <v>8.04824640285194</v>
      </c>
      <c r="BJ108" s="19" t="n">
        <f aca="false">BJ107*Time!BJ51</f>
        <v>7.80639477033226</v>
      </c>
      <c r="BK108" s="19" t="n">
        <f aca="false">BK107*Time!BK51</f>
        <v>7.81873655568363</v>
      </c>
      <c r="BL108" s="19" t="n">
        <f aca="false">BL107*Time!BL51</f>
        <v>7.56570916075471</v>
      </c>
      <c r="BM108" s="19" t="n">
        <f aca="false">BM107*Time!BM51</f>
        <v>7.55868004704135</v>
      </c>
      <c r="BN108" s="19" t="n">
        <f aca="false">BN107*Time!BN51</f>
        <v>7.29404059134399</v>
      </c>
      <c r="BO108" s="19" t="n">
        <f aca="false">BO107*Time!BO51</f>
        <v>7.2661760482614</v>
      </c>
      <c r="BP108" s="19" t="n">
        <f aca="false">BP107*Time!BP51</f>
        <v>7.0714977331798</v>
      </c>
      <c r="BQ108" s="19" t="n">
        <f aca="false">BQ107*Time!BQ51</f>
        <v>7.0267367250833</v>
      </c>
      <c r="BR108" s="19" t="n">
        <f aca="false">BR107*Time!BR51</f>
        <v>6.78038866287734</v>
      </c>
      <c r="BS108" s="19" t="n">
        <f aca="false">BS107*Time!BS51</f>
        <v>6.7569986775507</v>
      </c>
      <c r="BT108" s="19" t="n">
        <f aca="false">BT107*Time!BT51</f>
        <v>6.50057535940966</v>
      </c>
      <c r="BU108" s="19" t="n">
        <f aca="false">BU107*Time!BU51</f>
        <v>6.45774677652489</v>
      </c>
      <c r="BV108" s="19" t="n">
        <f aca="false">BV107*Time!BV51</f>
        <v>6.14764134777452</v>
      </c>
      <c r="BW108" s="19" t="n">
        <f aca="false">BW107*Time!BW51</f>
        <v>6.03867350302919</v>
      </c>
      <c r="BX108" s="19" t="n">
        <f aca="false">BX107*Time!BX51</f>
        <v>5.74947797523755</v>
      </c>
      <c r="BY108" s="19" t="n">
        <f aca="false">BY107*Time!BY51</f>
        <v>5.58263722465931</v>
      </c>
      <c r="BZ108" s="19" t="n">
        <f aca="false">BZ107*Time!BZ51</f>
        <v>5.25081231577714</v>
      </c>
      <c r="CA108" s="19" t="n">
        <f aca="false">CA107*Time!CA51</f>
        <v>5.09021013387809</v>
      </c>
      <c r="CB108" s="19" t="n">
        <f aca="false">CB107*Time!CB51</f>
        <v>4.77490671038017</v>
      </c>
      <c r="CC108" s="19" t="n">
        <f aca="false">CC107*Time!CC51</f>
        <v>4.61538404283299</v>
      </c>
      <c r="CD108" s="19" t="n">
        <f aca="false">CD107*Time!CD51</f>
        <v>4.28823650115597</v>
      </c>
      <c r="CE108" s="19" t="n">
        <f aca="false">CE107*Time!CE51</f>
        <v>4.10063636232068</v>
      </c>
      <c r="CF108" s="19" t="n">
        <f aca="false">CF107*Time!CF51</f>
        <v>3.79563930086678</v>
      </c>
      <c r="CG108" s="19" t="n">
        <f aca="false">CG107*Time!CG51</f>
        <v>3.60903296016095</v>
      </c>
      <c r="CH108" s="19" t="n">
        <f aca="false">CH107*Time!CH51</f>
        <v>3.30428821969997</v>
      </c>
      <c r="CI108" s="19" t="n">
        <f aca="false">CI107*Time!CI51</f>
        <v>3.009835608034</v>
      </c>
      <c r="CJ108" s="19" t="n">
        <f aca="false">CJ107*Time!CJ51</f>
        <v>2.5945784913189</v>
      </c>
      <c r="CK108" s="19" t="n">
        <f aca="false">CK107*Time!CK51</f>
        <v>2.26352979480802</v>
      </c>
      <c r="CL108" s="19" t="n">
        <f aca="false">CL107*Time!CL51</f>
        <v>1.77426652455845</v>
      </c>
      <c r="CM108" s="19" t="n">
        <f aca="false">CM107*Time!CM51</f>
        <v>1.38070291609992</v>
      </c>
      <c r="CN108" s="19" t="n">
        <f aca="false">CN107*Time!CN51</f>
        <v>0.921787079907135</v>
      </c>
      <c r="CO108" s="19" t="n">
        <f aca="false">CO107*Time!CO51</f>
        <v>0.478154274883073</v>
      </c>
      <c r="CP108" s="19" t="n">
        <f aca="false">CP107*Time!CP51</f>
        <v>8.58652987835117E-012</v>
      </c>
      <c r="CQ108" s="19" t="n">
        <f aca="false">CQ107*Time!CQ51</f>
        <v>8.72884805313047E-012</v>
      </c>
      <c r="CR108" s="19" t="n">
        <f aca="false">CR107*Time!CR51</f>
        <v>8.58652987835117E-012</v>
      </c>
      <c r="CS108" s="19" t="n">
        <f aca="false">CS107*Time!CS51</f>
        <v>8.72884805313047E-012</v>
      </c>
      <c r="CT108" s="19" t="n">
        <f aca="false">CT107*Time!CT51</f>
        <v>8.58652987835117E-012</v>
      </c>
      <c r="CU108" s="19" t="n">
        <f aca="false">CU107*Time!CU51</f>
        <v>8.72884805313047E-012</v>
      </c>
      <c r="CV108" s="19" t="n">
        <f aca="false">CV107*Time!CV51</f>
        <v>8.63396926994427E-012</v>
      </c>
      <c r="CW108" s="19" t="n">
        <f aca="false">CW107*Time!CW51</f>
        <v>8.72884805313047E-012</v>
      </c>
      <c r="CX108" s="19" t="n">
        <f aca="false">CX107*Time!CX51</f>
        <v>8.58652987835117E-012</v>
      </c>
      <c r="CY108" s="19" t="n">
        <f aca="false">CY107*Time!CY51</f>
        <v>8.72884805313047E-012</v>
      </c>
      <c r="CZ108" s="19" t="n">
        <f aca="false">CZ107*Time!CZ51</f>
        <v>8.58652987835117E-012</v>
      </c>
      <c r="DA108" s="19" t="n">
        <f aca="false">DA107*Time!DA51</f>
        <v>8.72884805313047E-012</v>
      </c>
      <c r="DB108" s="19" t="n">
        <f aca="false">DB107*Time!DB51</f>
        <v>8.58652987835117E-012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1</v>
      </c>
      <c r="AL109" s="14" t="n">
        <f aca="false">IF(AND(Time!AL47=1,AL108&gt;AL104/$F$115),1,0)</f>
        <v>1</v>
      </c>
      <c r="AM109" s="14" t="n">
        <f aca="false">IF(AND(Time!AM47=1,AM108&gt;AM104/$F$115),1,0)</f>
        <v>1</v>
      </c>
      <c r="AN109" s="14" t="n">
        <f aca="false">IF(AND(Time!AN47=1,AN108&gt;AN104/$F$115),1,0)</f>
        <v>1</v>
      </c>
      <c r="AO109" s="14" t="n">
        <f aca="false">IF(AND(Time!AO47=1,AO108&gt;AO104/$F$115),1,0)</f>
        <v>1</v>
      </c>
      <c r="AP109" s="14" t="n">
        <f aca="false">IF(AND(Time!AP47=1,AP108&gt;AP104/$F$115),1,0)</f>
        <v>0</v>
      </c>
      <c r="AQ109" s="14" t="n">
        <f aca="false">IF(AND(Time!AQ47=1,AQ108&gt;AQ104/$F$115),1,0)</f>
        <v>1</v>
      </c>
      <c r="AR109" s="14" t="n">
        <f aca="false">IF(AND(Time!AR47=1,AR108&gt;AR104/$F$115),1,0)</f>
        <v>1</v>
      </c>
      <c r="AS109" s="14" t="n">
        <f aca="false">IF(AND(Time!AS47=1,AS108&gt;AS104/$F$115),1,0)</f>
        <v>1</v>
      </c>
      <c r="AT109" s="14" t="n">
        <f aca="false">IF(AND(Time!AT47=1,AT108&gt;AT104/$F$115),1,0)</f>
        <v>1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946.761677272416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5.46471834968112</v>
      </c>
      <c r="AK110" s="19" t="n">
        <f aca="false">IF(Time!AK47=1,MAX(AK108,AK104/$F$115),0)</f>
        <v>8.74649961478471</v>
      </c>
      <c r="AL110" s="19" t="n">
        <f aca="false">IF(Time!AL47=1,MAX(AL108,AL104/$F$115),0)</f>
        <v>8.60389364280452</v>
      </c>
      <c r="AM110" s="19" t="n">
        <f aca="false">IF(Time!AM47=1,MAX(AM108,AM104/$F$115),0)</f>
        <v>8.74649961478471</v>
      </c>
      <c r="AN110" s="19" t="n">
        <f aca="false">IF(Time!AN47=1,MAX(AN108,AN104/$F$115),0)</f>
        <v>8.60389364280452</v>
      </c>
      <c r="AO110" s="19" t="n">
        <f aca="false">IF(Time!AO47=1,MAX(AO108,AO104/$F$115),0)</f>
        <v>8.74649961478471</v>
      </c>
      <c r="AP110" s="19" t="n">
        <f aca="false">IF(Time!AP47=1,MAX(AP108,AP104/$F$115),0)</f>
        <v>8.8116152028335</v>
      </c>
      <c r="AQ110" s="19" t="n">
        <f aca="false">IF(Time!AQ47=1,MAX(AQ108,AQ104/$F$115),0)</f>
        <v>8.74329535321872</v>
      </c>
      <c r="AR110" s="19" t="n">
        <f aca="false">IF(Time!AR47=1,MAX(AR108,AR104/$F$115),0)</f>
        <v>8.64825953416199</v>
      </c>
      <c r="AS110" s="19" t="n">
        <f aca="false">IF(Time!AS47=1,MAX(AS108,AS104/$F$115),0)</f>
        <v>8.74329535321872</v>
      </c>
      <c r="AT110" s="19" t="n">
        <f aca="false">IF(Time!AT47=1,MAX(AT108,AT104/$F$115),0)</f>
        <v>8.60074162463363</v>
      </c>
      <c r="AU110" s="19" t="n">
        <f aca="false">IF(Time!AU47=1,MAX(AU108,AU104/$F$115),0)</f>
        <v>9.12347334755179</v>
      </c>
      <c r="AV110" s="19" t="n">
        <f aca="false">IF(Time!AV47=1,MAX(AV108,AV104/$F$115),0)</f>
        <v>9.40795633214047</v>
      </c>
      <c r="AW110" s="19" t="n">
        <f aca="false">IF(Time!AW47=1,MAX(AW108,AW104/$F$115),0)</f>
        <v>10.2229428557626</v>
      </c>
      <c r="AX110" s="19" t="n">
        <f aca="false">IF(Time!AX47=1,MAX(AX108,AX104/$F$115),0)</f>
        <v>10.2639449328357</v>
      </c>
      <c r="AY110" s="19" t="n">
        <f aca="false">IF(Time!AY47=1,MAX(AY108,AY104/$F$115),0)</f>
        <v>10.1920434213904</v>
      </c>
      <c r="AZ110" s="19" t="n">
        <f aca="false">IF(Time!AZ47=1,MAX(AZ108,AZ104/$F$115),0)</f>
        <v>10.302264752819</v>
      </c>
      <c r="BA110" s="19" t="n">
        <f aca="false">IF(Time!BA47=1,MAX(BA108,BA104/$F$115),0)</f>
        <v>10.7857949676358</v>
      </c>
      <c r="BB110" s="19" t="n">
        <f aca="false">IF(Time!BB47=1,MAX(BB108,BB104/$F$115),0)</f>
        <v>10.8310160898793</v>
      </c>
      <c r="BC110" s="19" t="n">
        <f aca="false">IF(Time!BC47=1,MAX(BC108,BC104/$F$115),0)</f>
        <v>12.680774166177</v>
      </c>
      <c r="BD110" s="19" t="n">
        <f aca="false">IF(Time!BD47=1,MAX(BD108,BD104/$F$115),0)</f>
        <v>12.7284465165199</v>
      </c>
      <c r="BE110" s="19" t="n">
        <f aca="false">IF(Time!BE47=1,MAX(BE108,BE104/$F$115),0)</f>
        <v>13.9372772694767</v>
      </c>
      <c r="BF110" s="19" t="n">
        <f aca="false">IF(Time!BF47=1,MAX(BF108,BF104/$F$115),0)</f>
        <v>13.987504564984</v>
      </c>
      <c r="BG110" s="19" t="n">
        <f aca="false">IF(Time!BG47=1,MAX(BG108,BG104/$F$115),0)</f>
        <v>14.6210940468387</v>
      </c>
      <c r="BH110" s="19" t="n">
        <f aca="false">IF(Time!BH47=1,MAX(BH108,BH104/$F$115),0)</f>
        <v>14.7546783374351</v>
      </c>
      <c r="BI110" s="19" t="n">
        <f aca="false">IF(Time!BI47=1,MAX(BI108,BI104/$F$115),0)</f>
        <v>15.3389031895485</v>
      </c>
      <c r="BJ110" s="19" t="n">
        <f aca="false">IF(Time!BJ47=1,MAX(BJ108,BJ104/$F$115),0)</f>
        <v>15.3940937339255</v>
      </c>
      <c r="BK110" s="19" t="n">
        <f aca="false">IF(Time!BK47=1,MAX(BK108,BK104/$F$115),0)</f>
        <v>16.0924912980458</v>
      </c>
      <c r="BL110" s="19" t="n">
        <f aca="false">IF(Time!BL47=1,MAX(BL108,BL104/$F$115),0)</f>
        <v>16.1505480626156</v>
      </c>
      <c r="BM110" s="19" t="n">
        <f aca="false">IF(Time!BM47=1,MAX(BM108,BM104/$F$115),0)</f>
        <v>16.8771069226177</v>
      </c>
      <c r="BN110" s="19" t="n">
        <f aca="false">IF(Time!BN47=1,MAX(BN108,BN104/$F$115),0)</f>
        <v>16.9376696184888</v>
      </c>
      <c r="BO110" s="19" t="n">
        <f aca="false">IF(Time!BO47=1,MAX(BO108,BO104/$F$115),0)</f>
        <v>14.8489206677851</v>
      </c>
      <c r="BP110" s="19" t="n">
        <f aca="false">IF(Time!BP47=1,MAX(BP108,BP104/$F$115),0)</f>
        <v>15.0108035825405</v>
      </c>
      <c r="BQ110" s="19" t="n">
        <f aca="false">IF(Time!BQ47=1,MAX(BQ108,BQ104/$F$115),0)</f>
        <v>15.7112998698532</v>
      </c>
      <c r="BR110" s="19" t="n">
        <f aca="false">IF(Time!BR47=1,MAX(BR108,BR104/$F$115),0)</f>
        <v>15.5820409467451</v>
      </c>
      <c r="BS110" s="19" t="n">
        <f aca="false">IF(Time!BS47=1,MAX(BS108,BS104/$F$115),0)</f>
        <v>16.3953593510553</v>
      </c>
      <c r="BT110" s="19" t="n">
        <f aca="false">IF(Time!BT47=1,MAX(BT108,BT104/$F$115),0)</f>
        <v>16.2617145215151</v>
      </c>
      <c r="BU110" s="19" t="n">
        <f aca="false">IF(Time!BU47=1,MAX(BU108,BU104/$F$115),0)</f>
        <v>19.9553578846727</v>
      </c>
      <c r="BV110" s="19" t="n">
        <f aca="false">IF(Time!BV47=1,MAX(BV108,BV104/$F$115),0)</f>
        <v>19.8171488858921</v>
      </c>
      <c r="BW110" s="19" t="n">
        <f aca="false">IF(Time!BW47=1,MAX(BW108,BW104/$F$115),0)</f>
        <v>20.6904344198998</v>
      </c>
      <c r="BX110" s="19" t="n">
        <f aca="false">IF(Time!BX47=1,MAX(BX108,BX104/$F$115),0)</f>
        <v>20.661023680455</v>
      </c>
      <c r="BY110" s="19" t="n">
        <f aca="false">IF(Time!BY47=1,MAX(BY108,BY104/$F$115),0)</f>
        <v>21.4518699136659</v>
      </c>
      <c r="BZ110" s="19" t="n">
        <f aca="false">IF(Time!BZ47=1,MAX(BZ108,BZ104/$F$115),0)</f>
        <v>21.3039809011289</v>
      </c>
      <c r="CA110" s="19" t="n">
        <f aca="false">IF(Time!CA47=1,MAX(CA108,CA104/$F$115),0)</f>
        <v>20.3997588362693</v>
      </c>
      <c r="CB110" s="19" t="n">
        <f aca="false">IF(Time!CB47=1,MAX(CB108,CB104/$F$115),0)</f>
        <v>20.2467453395215</v>
      </c>
      <c r="CC110" s="19" t="n">
        <f aca="false">IF(Time!CC47=1,MAX(CC108,CC104/$F$115),0)</f>
        <v>21.2156622603373</v>
      </c>
      <c r="CD110" s="19" t="n">
        <f aca="false">IF(Time!CD47=1,MAX(CD108,CD104/$F$115),0)</f>
        <v>21.0573287345952</v>
      </c>
      <c r="CE110" s="19" t="n">
        <f aca="false">IF(Time!CE47=1,MAX(CE108,CE104/$F$115),0)</f>
        <v>21.1686350667148</v>
      </c>
      <c r="CF110" s="19" t="n">
        <f aca="false">IF(Time!CF47=1,MAX(CF108,CF104/$F$115),0)</f>
        <v>18.596644892491</v>
      </c>
      <c r="CG110" s="19" t="n">
        <f aca="false">IF(Time!CG47=1,MAX(CG108,CG104/$F$115),0)</f>
        <v>19.8142402857282</v>
      </c>
      <c r="CH110" s="19" t="n">
        <f aca="false">IF(Time!CH47=1,MAX(CH108,CH104/$F$115),0)</f>
        <v>25.9430410970202</v>
      </c>
      <c r="CI110" s="19" t="n">
        <f aca="false">IF(Time!CI47=1,MAX(CI108,CI104/$F$115),0)</f>
        <v>27.1417559801078</v>
      </c>
      <c r="CJ110" s="19" t="n">
        <f aca="false">IF(Time!CJ47=1,MAX(CJ108,CJ104/$F$115),0)</f>
        <v>26.8431678214837</v>
      </c>
      <c r="CK110" s="19" t="n">
        <f aca="false">IF(Time!CK47=1,MAX(CK108,CK104/$F$115),0)</f>
        <v>32.074426231365</v>
      </c>
      <c r="CL110" s="19" t="n">
        <f aca="false">IF(Time!CL47=1,MAX(CL108,CL104/$F$115),0)</f>
        <v>29.1940838434108</v>
      </c>
      <c r="CM110" s="19" t="n">
        <f aca="false">IF(Time!CM47=1,MAX(CM108,CM104/$F$115),0)</f>
        <v>30.4740181978538</v>
      </c>
      <c r="CN110" s="19" t="n">
        <f aca="false">IF(Time!CN47=1,MAX(CN108,CN104/$F$115),0)</f>
        <v>30.3376814536216</v>
      </c>
      <c r="CO110" s="19" t="n">
        <f aca="false">IF(Time!CO47=1,MAX(CO108,CO104/$F$115),0)</f>
        <v>31.4752966322885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568.169265646782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1.16295003985632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</v>
      </c>
      <c r="AP111" s="19" t="n">
        <f aca="false">IF(Time!AP47=1,AP110-AP108,0)</f>
        <v>0.207721560028984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</v>
      </c>
      <c r="AT111" s="19" t="n">
        <f aca="false">IF(Time!AT47=1,AT110-AT108,0)</f>
        <v>0</v>
      </c>
      <c r="AU111" s="19" t="n">
        <f aca="false">IF(Time!AU47=1,AU110-AU108,0)</f>
        <v>0.380177994333074</v>
      </c>
      <c r="AV111" s="19" t="n">
        <f aca="false">IF(Time!AV47=1,AV110-AV108,0)</f>
        <v>0.812983622135368</v>
      </c>
      <c r="AW111" s="19" t="n">
        <f aca="false">IF(Time!AW47=1,AW110-AW108,0)</f>
        <v>1.4980529194353</v>
      </c>
      <c r="AX111" s="19" t="n">
        <f aca="false">IF(Time!AX47=1,AX110-AX108,0)</f>
        <v>1.70404046115698</v>
      </c>
      <c r="AY111" s="19" t="n">
        <f aca="false">IF(Time!AY47=1,AY110-AY108,0)</f>
        <v>1.51654818799489</v>
      </c>
      <c r="AZ111" s="19" t="n">
        <f aca="false">IF(Time!AZ47=1,AZ110-AZ108,0)</f>
        <v>1.74420799755619</v>
      </c>
      <c r="BA111" s="19" t="n">
        <f aca="false">IF(Time!BA47=1,BA110-BA108,0)</f>
        <v>2.1605993551365</v>
      </c>
      <c r="BB111" s="19" t="n">
        <f aca="false">IF(Time!BB47=1,BB110-BB108,0)</f>
        <v>2.37923413407953</v>
      </c>
      <c r="BC111" s="19" t="n">
        <f aca="false">IF(Time!BC47=1,BC110-BC108,0)</f>
        <v>4.12560890567128</v>
      </c>
      <c r="BD111" s="19" t="n">
        <f aca="false">IF(Time!BD47=1,BD110-BD108,0)</f>
        <v>4.37537065293923</v>
      </c>
      <c r="BE111" s="19" t="n">
        <f aca="false">IF(Time!BE47=1,BE110-BE108,0)</f>
        <v>5.51324602351017</v>
      </c>
      <c r="BF111" s="19" t="n">
        <f aca="false">IF(Time!BF47=1,BF110-BF108,0)</f>
        <v>5.78448100914082</v>
      </c>
      <c r="BG111" s="19" t="n">
        <f aca="false">IF(Time!BG47=1,BG110-BG108,0)</f>
        <v>6.37133875233697</v>
      </c>
      <c r="BH111" s="19" t="n">
        <f aca="false">IF(Time!BH47=1,BH110-BH108,0)</f>
        <v>6.69180870648929</v>
      </c>
      <c r="BI111" s="19" t="n">
        <f aca="false">IF(Time!BI47=1,BI110-BI108,0)</f>
        <v>7.29065678669654</v>
      </c>
      <c r="BJ111" s="19" t="n">
        <f aca="false">IF(Time!BJ47=1,BJ110-BJ108,0)</f>
        <v>7.58769896359323</v>
      </c>
      <c r="BK111" s="19" t="n">
        <f aca="false">IF(Time!BK47=1,BK110-BK108,0)</f>
        <v>8.27375474236214</v>
      </c>
      <c r="BL111" s="19" t="n">
        <f aca="false">IF(Time!BL47=1,BL110-BL108,0)</f>
        <v>8.58483890186085</v>
      </c>
      <c r="BM111" s="19" t="n">
        <f aca="false">IF(Time!BM47=1,BM110-BM108,0)</f>
        <v>9.31842687557638</v>
      </c>
      <c r="BN111" s="19" t="n">
        <f aca="false">IF(Time!BN47=1,BN110-BN108,0)</f>
        <v>9.64362902714479</v>
      </c>
      <c r="BO111" s="19" t="n">
        <f aca="false">IF(Time!BO47=1,BO110-BO108,0)</f>
        <v>7.58274461952365</v>
      </c>
      <c r="BP111" s="19" t="n">
        <f aca="false">IF(Time!BP47=1,BP110-BP108,0)</f>
        <v>7.93930584936071</v>
      </c>
      <c r="BQ111" s="19" t="n">
        <f aca="false">IF(Time!BQ47=1,BQ110-BQ108,0)</f>
        <v>8.68456314476986</v>
      </c>
      <c r="BR111" s="19" t="n">
        <f aca="false">IF(Time!BR47=1,BR110-BR108,0)</f>
        <v>8.80165228386773</v>
      </c>
      <c r="BS111" s="19" t="n">
        <f aca="false">IF(Time!BS47=1,BS110-BS108,0)</f>
        <v>9.63836067350456</v>
      </c>
      <c r="BT111" s="19" t="n">
        <f aca="false">IF(Time!BT47=1,BT110-BT108,0)</f>
        <v>9.76113916210539</v>
      </c>
      <c r="BU111" s="19" t="n">
        <f aca="false">IF(Time!BU47=1,BU110-BU108,0)</f>
        <v>13.4976111081478</v>
      </c>
      <c r="BV111" s="19" t="n">
        <f aca="false">IF(Time!BV47=1,BV110-BV108,0)</f>
        <v>13.6695075381176</v>
      </c>
      <c r="BW111" s="19" t="n">
        <f aca="false">IF(Time!BW47=1,BW110-BW108,0)</f>
        <v>14.6517609168706</v>
      </c>
      <c r="BX111" s="19" t="n">
        <f aca="false">IF(Time!BX47=1,BX110-BX108,0)</f>
        <v>14.9115457052175</v>
      </c>
      <c r="BY111" s="19" t="n">
        <f aca="false">IF(Time!BY47=1,BY110-BY108,0)</f>
        <v>15.8692326890066</v>
      </c>
      <c r="BZ111" s="19" t="n">
        <f aca="false">IF(Time!BZ47=1,BZ110-BZ108,0)</f>
        <v>16.0531685853517</v>
      </c>
      <c r="CA111" s="19" t="n">
        <f aca="false">IF(Time!CA47=1,CA110-CA108,0)</f>
        <v>15.3095487023912</v>
      </c>
      <c r="CB111" s="19" t="n">
        <f aca="false">IF(Time!CB47=1,CB110-CB108,0)</f>
        <v>15.4718386291413</v>
      </c>
      <c r="CC111" s="19" t="n">
        <f aca="false">IF(Time!CC47=1,CC110-CC108,0)</f>
        <v>16.6002782175043</v>
      </c>
      <c r="CD111" s="19" t="n">
        <f aca="false">IF(Time!CD47=1,CD110-CD108,0)</f>
        <v>16.7690922334392</v>
      </c>
      <c r="CE111" s="19" t="n">
        <f aca="false">IF(Time!CE47=1,CE110-CE108,0)</f>
        <v>17.0679987043941</v>
      </c>
      <c r="CF111" s="19" t="n">
        <f aca="false">IF(Time!CF47=1,CF110-CF108,0)</f>
        <v>14.8010055916242</v>
      </c>
      <c r="CG111" s="19" t="n">
        <f aca="false">IF(Time!CG47=1,CG110-CG108,0)</f>
        <v>16.2052073255672</v>
      </c>
      <c r="CH111" s="19" t="n">
        <f aca="false">IF(Time!CH47=1,CH110-CH108,0)</f>
        <v>22.6387528773202</v>
      </c>
      <c r="CI111" s="19" t="n">
        <f aca="false">IF(Time!CI47=1,CI110-CI108,0)</f>
        <v>24.1319203720738</v>
      </c>
      <c r="CJ111" s="19" t="n">
        <f aca="false">IF(Time!CJ47=1,CJ110-CJ108,0)</f>
        <v>24.2485893301648</v>
      </c>
      <c r="CK111" s="19" t="n">
        <f aca="false">IF(Time!CK47=1,CK110-CK108,0)</f>
        <v>29.8108964365569</v>
      </c>
      <c r="CL111" s="19" t="n">
        <f aca="false">IF(Time!CL47=1,CL110-CL108,0)</f>
        <v>27.4198173188524</v>
      </c>
      <c r="CM111" s="19" t="n">
        <f aca="false">IF(Time!CM47=1,CM110-CM108,0)</f>
        <v>29.0933152817539</v>
      </c>
      <c r="CN111" s="19" t="n">
        <f aca="false">IF(Time!CN47=1,CN110-CN108,0)</f>
        <v>29.4158943737145</v>
      </c>
      <c r="CO111" s="19" t="n">
        <f aca="false">IF(Time!CO47=1,CO110-CO108,0)</f>
        <v>30.9971423574054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491.7427450032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522.578281376499</v>
      </c>
      <c r="AE112" s="19" t="n">
        <f aca="false">AE106+AE107-AE108-AE111</f>
        <v>530.639445090094</v>
      </c>
      <c r="AF112" s="19" t="n">
        <f aca="false">AF106+AF107-AF108-AF111</f>
        <v>538.691498872494</v>
      </c>
      <c r="AG112" s="19" t="n">
        <f aca="false">AG106+AG107-AG108-AG111</f>
        <v>547.00122110606</v>
      </c>
      <c r="AH112" s="19" t="n">
        <f aca="false">AH106+AH107-AH108-AH111</f>
        <v>555.301552512137</v>
      </c>
      <c r="AI112" s="19" t="n">
        <f aca="false">AI106+AI107-AI108-AI111</f>
        <v>563.867497337518</v>
      </c>
      <c r="AJ112" s="19" t="n">
        <f aca="false">AJ106+AJ107-AJ108-AJ111</f>
        <v>567.006315607491</v>
      </c>
      <c r="AK112" s="19" t="n">
        <f aca="false">AK106+AK107-AK108-AK111</f>
        <v>567.006315607491</v>
      </c>
      <c r="AL112" s="19" t="n">
        <f aca="false">AL106+AL107-AL108-AL111</f>
        <v>567.006315607491</v>
      </c>
      <c r="AM112" s="19" t="n">
        <f aca="false">AM106+AM107-AM108-AM111</f>
        <v>567.006315607491</v>
      </c>
      <c r="AN112" s="19" t="n">
        <f aca="false">AN106+AN107-AN108-AN111</f>
        <v>567.006315607491</v>
      </c>
      <c r="AO112" s="19" t="n">
        <f aca="false">AO106+AO107-AO108-AO111</f>
        <v>567.006315607491</v>
      </c>
      <c r="AP112" s="19" t="n">
        <f aca="false">AP106+AP107-AP108-AP111</f>
        <v>566.798594047462</v>
      </c>
      <c r="AQ112" s="19" t="n">
        <f aca="false">AQ106+AQ107-AQ108-AQ111</f>
        <v>566.798594047462</v>
      </c>
      <c r="AR112" s="19" t="n">
        <f aca="false">AR106+AR107-AR108-AR111</f>
        <v>566.798594047462</v>
      </c>
      <c r="AS112" s="19" t="n">
        <f aca="false">AS106+AS107-AS108-AS111</f>
        <v>566.798594047462</v>
      </c>
      <c r="AT112" s="19" t="n">
        <f aca="false">AT106+AT107-AT108-AT111</f>
        <v>566.798594047462</v>
      </c>
      <c r="AU112" s="19" t="n">
        <f aca="false">AU106+AU107-AU108-AU111</f>
        <v>566.418416053129</v>
      </c>
      <c r="AV112" s="19" t="n">
        <f aca="false">AV106+AV107-AV108-AV111</f>
        <v>565.605432430994</v>
      </c>
      <c r="AW112" s="19" t="n">
        <f aca="false">AW106+AW107-AW108-AW111</f>
        <v>564.107379511558</v>
      </c>
      <c r="AX112" s="19" t="n">
        <f aca="false">AX106+AX107-AX108-AX111</f>
        <v>562.403339050401</v>
      </c>
      <c r="AY112" s="19" t="n">
        <f aca="false">AY106+AY107-AY108-AY111</f>
        <v>560.886790862407</v>
      </c>
      <c r="AZ112" s="19" t="n">
        <f aca="false">AZ106+AZ107-AZ108-AZ111</f>
        <v>559.14258286485</v>
      </c>
      <c r="BA112" s="19" t="n">
        <f aca="false">BA106+BA107-BA108-BA111</f>
        <v>556.981983509714</v>
      </c>
      <c r="BB112" s="19" t="n">
        <f aca="false">BB106+BB107-BB108-BB111</f>
        <v>554.602749375634</v>
      </c>
      <c r="BC112" s="19" t="n">
        <f aca="false">BC106+BC107-BC108-BC111</f>
        <v>550.477140469963</v>
      </c>
      <c r="BD112" s="19" t="n">
        <f aca="false">BD106+BD107-BD108-BD111</f>
        <v>546.101769817024</v>
      </c>
      <c r="BE112" s="19" t="n">
        <f aca="false">BE106+BE107-BE108-BE111</f>
        <v>540.588523793514</v>
      </c>
      <c r="BF112" s="19" t="n">
        <f aca="false">BF106+BF107-BF108-BF111</f>
        <v>534.804042784373</v>
      </c>
      <c r="BG112" s="19" t="n">
        <f aca="false">BG106+BG107-BG108-BG111</f>
        <v>528.432704032036</v>
      </c>
      <c r="BH112" s="19" t="n">
        <f aca="false">BH106+BH107-BH108-BH111</f>
        <v>521.740895325547</v>
      </c>
      <c r="BI112" s="19" t="n">
        <f aca="false">BI106+BI107-BI108-BI111</f>
        <v>514.45023853885</v>
      </c>
      <c r="BJ112" s="19" t="n">
        <f aca="false">BJ106+BJ107-BJ108-BJ111</f>
        <v>506.862539575257</v>
      </c>
      <c r="BK112" s="19" t="n">
        <f aca="false">BK106+BK107-BK108-BK111</f>
        <v>498.588784832895</v>
      </c>
      <c r="BL112" s="19" t="n">
        <f aca="false">BL106+BL107-BL108-BL111</f>
        <v>490.003945931034</v>
      </c>
      <c r="BM112" s="19" t="n">
        <f aca="false">BM106+BM107-BM108-BM111</f>
        <v>480.685519055458</v>
      </c>
      <c r="BN112" s="19" t="n">
        <f aca="false">BN106+BN107-BN108-BN111</f>
        <v>471.041890028313</v>
      </c>
      <c r="BO112" s="19" t="n">
        <f aca="false">BO106+BO107-BO108-BO111</f>
        <v>463.459145408789</v>
      </c>
      <c r="BP112" s="19" t="n">
        <f aca="false">BP106+BP107-BP108-BP111</f>
        <v>455.519839559428</v>
      </c>
      <c r="BQ112" s="19" t="n">
        <f aca="false">BQ106+BQ107-BQ108-BQ111</f>
        <v>446.835276414659</v>
      </c>
      <c r="BR112" s="19" t="n">
        <f aca="false">BR106+BR107-BR108-BR111</f>
        <v>438.033624130791</v>
      </c>
      <c r="BS112" s="19" t="n">
        <f aca="false">BS106+BS107-BS108-BS111</f>
        <v>428.395263457286</v>
      </c>
      <c r="BT112" s="19" t="n">
        <f aca="false">BT106+BT107-BT108-BT111</f>
        <v>418.634124295181</v>
      </c>
      <c r="BU112" s="19" t="n">
        <f aca="false">BU106+BU107-BU108-BU111</f>
        <v>405.136513187033</v>
      </c>
      <c r="BV112" s="19" t="n">
        <f aca="false">BV106+BV107-BV108-BV111</f>
        <v>391.467005648915</v>
      </c>
      <c r="BW112" s="19" t="n">
        <f aca="false">BW106+BW107-BW108-BW111</f>
        <v>376.815244732045</v>
      </c>
      <c r="BX112" s="19" t="n">
        <f aca="false">BX106+BX107-BX108-BX111</f>
        <v>361.903699026827</v>
      </c>
      <c r="BY112" s="19" t="n">
        <f aca="false">BY106+BY107-BY108-BY111</f>
        <v>346.034466337821</v>
      </c>
      <c r="BZ112" s="19" t="n">
        <f aca="false">BZ106+BZ107-BZ108-BZ111</f>
        <v>329.981297752469</v>
      </c>
      <c r="CA112" s="19" t="n">
        <f aca="false">CA106+CA107-CA108-CA111</f>
        <v>314.671749050078</v>
      </c>
      <c r="CB112" s="19" t="n">
        <f aca="false">CB106+CB107-CB108-CB111</f>
        <v>299.199910420937</v>
      </c>
      <c r="CC112" s="19" t="n">
        <f aca="false">CC106+CC107-CC108-CC111</f>
        <v>282.599632203432</v>
      </c>
      <c r="CD112" s="19" t="n">
        <f aca="false">CD106+CD107-CD108-CD111</f>
        <v>265.830539969993</v>
      </c>
      <c r="CE112" s="19" t="n">
        <f aca="false">CE106+CE107-CE108-CE111</f>
        <v>248.762541265599</v>
      </c>
      <c r="CF112" s="19" t="n">
        <f aca="false">CF106+CF107-CF108-CF111</f>
        <v>233.961535673975</v>
      </c>
      <c r="CG112" s="19" t="n">
        <f aca="false">CG106+CG107-CG108-CG111</f>
        <v>217.756328348408</v>
      </c>
      <c r="CH112" s="19" t="n">
        <f aca="false">CH106+CH107-CH108-CH111</f>
        <v>195.117575471088</v>
      </c>
      <c r="CI112" s="19" t="n">
        <f aca="false">CI106+CI107-CI108-CI111</f>
        <v>170.985655099014</v>
      </c>
      <c r="CJ112" s="19" t="n">
        <f aca="false">CJ106+CJ107-CJ108-CJ111</f>
        <v>146.737065768849</v>
      </c>
      <c r="CK112" s="19" t="n">
        <f aca="false">CK106+CK107-CK108-CK111</f>
        <v>116.926169332292</v>
      </c>
      <c r="CL112" s="19" t="n">
        <f aca="false">CL106+CL107-CL108-CL111</f>
        <v>89.5063520134397</v>
      </c>
      <c r="CM112" s="19" t="n">
        <f aca="false">CM106+CM107-CM108-CM111</f>
        <v>60.4130367316858</v>
      </c>
      <c r="CN112" s="19" t="n">
        <f aca="false">CN106+CN107-CN108-CN111</f>
        <v>30.9971423579713</v>
      </c>
      <c r="CO112" s="19" t="n">
        <f aca="false">CO106+CO107-CO108-CO111</f>
        <v>5.65862023904629E-010</v>
      </c>
      <c r="CP112" s="19" t="n">
        <f aca="false">CP106+CP107-CP108-CP111</f>
        <v>5.65862023904629E-010</v>
      </c>
      <c r="CQ112" s="19" t="n">
        <f aca="false">CQ106+CQ107-CQ108-CQ111</f>
        <v>5.65862023904629E-010</v>
      </c>
      <c r="CR112" s="19" t="n">
        <f aca="false">CR106+CR107-CR108-CR111</f>
        <v>5.65862023904629E-010</v>
      </c>
      <c r="CS112" s="19" t="n">
        <f aca="false">CS106+CS107-CS108-CS111</f>
        <v>5.65862023904629E-010</v>
      </c>
      <c r="CT112" s="19" t="n">
        <f aca="false">CT106+CT107-CT108-CT111</f>
        <v>5.65862023904629E-010</v>
      </c>
      <c r="CU112" s="19" t="n">
        <f aca="false">CU106+CU107-CU108-CU111</f>
        <v>5.65862023904629E-010</v>
      </c>
      <c r="CV112" s="19" t="n">
        <f aca="false">CV106+CV107-CV108-CV111</f>
        <v>5.65862023904629E-010</v>
      </c>
      <c r="CW112" s="19" t="n">
        <f aca="false">CW106+CW107-CW108-CW111</f>
        <v>5.65862023904629E-010</v>
      </c>
      <c r="CX112" s="19" t="n">
        <f aca="false">CX106+CX107-CX108-CX111</f>
        <v>5.65862023904629E-010</v>
      </c>
      <c r="CY112" s="19" t="n">
        <f aca="false">CY106+CY107-CY108-CY111</f>
        <v>5.65862023904629E-010</v>
      </c>
      <c r="CZ112" s="19" t="n">
        <f aca="false">CZ106+CZ107-CZ108-CZ111</f>
        <v>5.65862023904629E-010</v>
      </c>
      <c r="DA112" s="19" t="n">
        <f aca="false">DA106+DA107-DA108-DA111</f>
        <v>5.65862023904629E-010</v>
      </c>
      <c r="DB112" s="19" t="n">
        <f aca="false">DB106+DB107-DB108-DB111</f>
        <v>5.65862023904629E-010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1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4.07480238140089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568.169265646782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1.16295003985632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0.207721560028984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0.380177994333074</v>
      </c>
      <c r="AV116" s="19" t="n">
        <f aca="false">IF($F$114=1,AV111,IF(Inputs!$F$215=1,Inputs!AV278,Inputs!AV274))</f>
        <v>0.812983622135368</v>
      </c>
      <c r="AW116" s="19" t="n">
        <f aca="false">IF($F$114=1,AW111,IF(Inputs!$F$215=1,Inputs!AW278,Inputs!AW274))</f>
        <v>1.4980529194353</v>
      </c>
      <c r="AX116" s="19" t="n">
        <f aca="false">IF($F$114=1,AX111,IF(Inputs!$F$215=1,Inputs!AX278,Inputs!AX274))</f>
        <v>1.70404046115698</v>
      </c>
      <c r="AY116" s="19" t="n">
        <f aca="false">IF($F$114=1,AY111,IF(Inputs!$F$215=1,Inputs!AY278,Inputs!AY274))</f>
        <v>1.51654818799489</v>
      </c>
      <c r="AZ116" s="19" t="n">
        <f aca="false">IF($F$114=1,AZ111,IF(Inputs!$F$215=1,Inputs!AZ278,Inputs!AZ274))</f>
        <v>1.74420799755619</v>
      </c>
      <c r="BA116" s="19" t="n">
        <f aca="false">IF($F$114=1,BA111,IF(Inputs!$F$215=1,Inputs!BA278,Inputs!BA274))</f>
        <v>2.1605993551365</v>
      </c>
      <c r="BB116" s="19" t="n">
        <f aca="false">IF($F$114=1,BB111,IF(Inputs!$F$215=1,Inputs!BB278,Inputs!BB274))</f>
        <v>2.37923413407953</v>
      </c>
      <c r="BC116" s="19" t="n">
        <f aca="false">IF($F$114=1,BC111,IF(Inputs!$F$215=1,Inputs!BC278,Inputs!BC274))</f>
        <v>4.12560890567128</v>
      </c>
      <c r="BD116" s="19" t="n">
        <f aca="false">IF($F$114=1,BD111,IF(Inputs!$F$215=1,Inputs!BD278,Inputs!BD274))</f>
        <v>4.37537065293923</v>
      </c>
      <c r="BE116" s="19" t="n">
        <f aca="false">IF($F$114=1,BE111,IF(Inputs!$F$215=1,Inputs!BE278,Inputs!BE274))</f>
        <v>5.51324602351017</v>
      </c>
      <c r="BF116" s="19" t="n">
        <f aca="false">IF($F$114=1,BF111,IF(Inputs!$F$215=1,Inputs!BF278,Inputs!BF274))</f>
        <v>5.78448100914082</v>
      </c>
      <c r="BG116" s="19" t="n">
        <f aca="false">IF($F$114=1,BG111,IF(Inputs!$F$215=1,Inputs!BG278,Inputs!BG274))</f>
        <v>6.37133875233697</v>
      </c>
      <c r="BH116" s="19" t="n">
        <f aca="false">IF($F$114=1,BH111,IF(Inputs!$F$215=1,Inputs!BH278,Inputs!BH274))</f>
        <v>6.69180870648929</v>
      </c>
      <c r="BI116" s="19" t="n">
        <f aca="false">IF($F$114=1,BI111,IF(Inputs!$F$215=1,Inputs!BI278,Inputs!BI274))</f>
        <v>7.29065678669654</v>
      </c>
      <c r="BJ116" s="19" t="n">
        <f aca="false">IF($F$114=1,BJ111,IF(Inputs!$F$215=1,Inputs!BJ278,Inputs!BJ274))</f>
        <v>7.58769896359323</v>
      </c>
      <c r="BK116" s="19" t="n">
        <f aca="false">IF($F$114=1,BK111,IF(Inputs!$F$215=1,Inputs!BK278,Inputs!BK274))</f>
        <v>8.27375474236214</v>
      </c>
      <c r="BL116" s="19" t="n">
        <f aca="false">IF($F$114=1,BL111,IF(Inputs!$F$215=1,Inputs!BL278,Inputs!BL274))</f>
        <v>8.58483890186085</v>
      </c>
      <c r="BM116" s="19" t="n">
        <f aca="false">IF($F$114=1,BM111,IF(Inputs!$F$215=1,Inputs!BM278,Inputs!BM274))</f>
        <v>9.31842687557638</v>
      </c>
      <c r="BN116" s="19" t="n">
        <f aca="false">IF($F$114=1,BN111,IF(Inputs!$F$215=1,Inputs!BN278,Inputs!BN274))</f>
        <v>9.64362902714479</v>
      </c>
      <c r="BO116" s="19" t="n">
        <f aca="false">IF($F$114=1,BO111,IF(Inputs!$F$215=1,Inputs!BO278,Inputs!BO274))</f>
        <v>7.58274461952365</v>
      </c>
      <c r="BP116" s="19" t="n">
        <f aca="false">IF($F$114=1,BP111,IF(Inputs!$F$215=1,Inputs!BP278,Inputs!BP274))</f>
        <v>7.93930584936071</v>
      </c>
      <c r="BQ116" s="19" t="n">
        <f aca="false">IF($F$114=1,BQ111,IF(Inputs!$F$215=1,Inputs!BQ278,Inputs!BQ274))</f>
        <v>8.68456314476986</v>
      </c>
      <c r="BR116" s="19" t="n">
        <f aca="false">IF($F$114=1,BR111,IF(Inputs!$F$215=1,Inputs!BR278,Inputs!BR274))</f>
        <v>8.80165228386773</v>
      </c>
      <c r="BS116" s="19" t="n">
        <f aca="false">IF($F$114=1,BS111,IF(Inputs!$F$215=1,Inputs!BS278,Inputs!BS274))</f>
        <v>9.63836067350456</v>
      </c>
      <c r="BT116" s="19" t="n">
        <f aca="false">IF($F$114=1,BT111,IF(Inputs!$F$215=1,Inputs!BT278,Inputs!BT274))</f>
        <v>9.76113916210539</v>
      </c>
      <c r="BU116" s="19" t="n">
        <f aca="false">IF($F$114=1,BU111,IF(Inputs!$F$215=1,Inputs!BU278,Inputs!BU274))</f>
        <v>13.4976111081478</v>
      </c>
      <c r="BV116" s="19" t="n">
        <f aca="false">IF($F$114=1,BV111,IF(Inputs!$F$215=1,Inputs!BV278,Inputs!BV274))</f>
        <v>13.6695075381176</v>
      </c>
      <c r="BW116" s="19" t="n">
        <f aca="false">IF($F$114=1,BW111,IF(Inputs!$F$215=1,Inputs!BW278,Inputs!BW274))</f>
        <v>14.6517609168706</v>
      </c>
      <c r="BX116" s="19" t="n">
        <f aca="false">IF($F$114=1,BX111,IF(Inputs!$F$215=1,Inputs!BX278,Inputs!BX274))</f>
        <v>14.9115457052175</v>
      </c>
      <c r="BY116" s="19" t="n">
        <f aca="false">IF($F$114=1,BY111,IF(Inputs!$F$215=1,Inputs!BY278,Inputs!BY274))</f>
        <v>15.8692326890066</v>
      </c>
      <c r="BZ116" s="19" t="n">
        <f aca="false">IF($F$114=1,BZ111,IF(Inputs!$F$215=1,Inputs!BZ278,Inputs!BZ274))</f>
        <v>16.0531685853517</v>
      </c>
      <c r="CA116" s="19" t="n">
        <f aca="false">IF($F$114=1,CA111,IF(Inputs!$F$215=1,Inputs!CA278,Inputs!CA274))</f>
        <v>15.3095487023912</v>
      </c>
      <c r="CB116" s="19" t="n">
        <f aca="false">IF($F$114=1,CB111,IF(Inputs!$F$215=1,Inputs!CB278,Inputs!CB274))</f>
        <v>15.4718386291413</v>
      </c>
      <c r="CC116" s="19" t="n">
        <f aca="false">IF($F$114=1,CC111,IF(Inputs!$F$215=1,Inputs!CC278,Inputs!CC274))</f>
        <v>16.6002782175043</v>
      </c>
      <c r="CD116" s="19" t="n">
        <f aca="false">IF($F$114=1,CD111,IF(Inputs!$F$215=1,Inputs!CD278,Inputs!CD274))</f>
        <v>16.7690922334392</v>
      </c>
      <c r="CE116" s="19" t="n">
        <f aca="false">IF($F$114=1,CE111,IF(Inputs!$F$215=1,Inputs!CE278,Inputs!CE274))</f>
        <v>17.0679987043941</v>
      </c>
      <c r="CF116" s="19" t="n">
        <f aca="false">IF($F$114=1,CF111,IF(Inputs!$F$215=1,Inputs!CF278,Inputs!CF274))</f>
        <v>14.8010055916242</v>
      </c>
      <c r="CG116" s="19" t="n">
        <f aca="false">IF($F$114=1,CG111,IF(Inputs!$F$215=1,Inputs!CG278,Inputs!CG274))</f>
        <v>16.2052073255672</v>
      </c>
      <c r="CH116" s="19" t="n">
        <f aca="false">IF($F$114=1,CH111,IF(Inputs!$F$215=1,Inputs!CH278,Inputs!CH274))</f>
        <v>22.6387528773202</v>
      </c>
      <c r="CI116" s="19" t="n">
        <f aca="false">IF($F$114=1,CI111,IF(Inputs!$F$215=1,Inputs!CI278,Inputs!CI274))</f>
        <v>24.1319203720738</v>
      </c>
      <c r="CJ116" s="19" t="n">
        <f aca="false">IF($F$114=1,CJ111,IF(Inputs!$F$215=1,Inputs!CJ278,Inputs!CJ274))</f>
        <v>24.2485893301648</v>
      </c>
      <c r="CK116" s="19" t="n">
        <f aca="false">IF($F$114=1,CK111,IF(Inputs!$F$215=1,Inputs!CK278,Inputs!CK274))</f>
        <v>29.8108964365569</v>
      </c>
      <c r="CL116" s="19" t="n">
        <f aca="false">IF($F$114=1,CL111,IF(Inputs!$F$215=1,Inputs!CL278,Inputs!CL274))</f>
        <v>27.4198173188524</v>
      </c>
      <c r="CM116" s="19" t="n">
        <f aca="false">IF($F$114=1,CM111,IF(Inputs!$F$215=1,Inputs!CM278,Inputs!CM274))</f>
        <v>29.0933152817539</v>
      </c>
      <c r="CN116" s="19" t="n">
        <f aca="false">IF($F$114=1,CN111,IF(Inputs!$F$215=1,Inputs!CN278,Inputs!CN274))</f>
        <v>29.4158943737145</v>
      </c>
      <c r="CO116" s="19" t="n">
        <f aca="false">IF($F$114=1,CO111,IF(Inputs!$F$215=1,Inputs!CO278,Inputs!CO274))</f>
        <v>30.9971423574054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23.0533401819185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25.0503904348576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25.1508622905465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24.9746741850301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25.2447615195179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26.4296082744213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26.5404185160595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31.07308221917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31.1898989720255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34.1520286404077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34.2751060537023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35.8276593761473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36.1549955143432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37.5865853073878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37.72182471002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39.4331843357959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39.5754471499755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41.3558134665787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41.5042168371896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36.3859277619422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36.7826071014018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38.4991094572238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38.1823722381341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40.1753349166197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39.8478504332554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48.8987871038113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48.5601185393956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50.7000252078237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50.627956869336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52.5658535391488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52.20346498261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49.9877511628093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49.6128055244139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51.9870481967862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51.5990663118506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51.8718123417178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45.5693846584206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48.5529912795886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6.68312528605446E-014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6.73920462813777E-014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6.68312528605446E-014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6.73920462813777E-014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6.68312528605446E-014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6.73920462813777E-014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6.70181840008223E-014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6.73920462813777E-014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6.68312528605446E-014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6.73920462813777E-014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6.68312528605446E-014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6.73920462813777E-014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6.68312528605446E-014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6.73920462813777E-014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6.70181840008223E-014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6.73920462813777E-014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6.68312528605446E-014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6.73920462813777E-014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6.68312528605446E-014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6.73920462813777E-014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6.68312528605446E-014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23.0533401819185</v>
      </c>
      <c r="AV7" s="19" t="n">
        <f aca="false">IF(Time!AV20=1,IF(Time!AV8=Inputs!$F$15,AV6*Inputs!$F$115/Time!AW14,0),IF(Time!AV35=1,0,IF(Time!AW14=0,0,AV6*Inputs!$F$115/Time!AW14)))</f>
        <v>25.0503904348576</v>
      </c>
      <c r="AW7" s="19" t="n">
        <f aca="false">IF(Time!AW20=1,IF(Time!AW8=Inputs!$F$15,AW6*Inputs!$F$115/Time!AX14,0),IF(Time!AW35=1,0,IF(Time!AX14=0,0,AW6*Inputs!$F$115/Time!AX14)))</f>
        <v>25.1508622905465</v>
      </c>
      <c r="AX7" s="19" t="n">
        <f aca="false">IF(Time!AX20=1,IF(Time!AX8=Inputs!$F$15,AX6*Inputs!$F$115/Time!AY14,0),IF(Time!AX35=1,0,IF(Time!AY14=0,0,AX6*Inputs!$F$115/Time!AY14)))</f>
        <v>24.9746741850301</v>
      </c>
      <c r="AY7" s="19" t="n">
        <f aca="false">IF(Time!AY20=1,IF(Time!AY8=Inputs!$F$15,AY6*Inputs!$F$115/Time!AZ14,0),IF(Time!AY35=1,0,IF(Time!AZ14=0,0,AY6*Inputs!$F$115/Time!AZ14)))</f>
        <v>25.2447615195179</v>
      </c>
      <c r="AZ7" s="19" t="n">
        <f aca="false">IF(Time!AZ20=1,IF(Time!AZ8=Inputs!$F$15,AZ6*Inputs!$F$115/Time!BA14,0),IF(Time!AZ35=1,0,IF(Time!BA14=0,0,AZ6*Inputs!$F$115/Time!BA14)))</f>
        <v>26.4296082744213</v>
      </c>
      <c r="BA7" s="19" t="n">
        <f aca="false">IF(Time!BA20=1,IF(Time!BA8=Inputs!$F$15,BA6*Inputs!$F$115/Time!BB14,0),IF(Time!BA35=1,0,IF(Time!BB14=0,0,BA6*Inputs!$F$115/Time!BB14)))</f>
        <v>26.5404185160595</v>
      </c>
      <c r="BB7" s="19" t="n">
        <f aca="false">IF(Time!BB20=1,IF(Time!BB8=Inputs!$F$15,BB6*Inputs!$F$115/Time!BC14,0),IF(Time!BB35=1,0,IF(Time!BC14=0,0,BB6*Inputs!$F$115/Time!BC14)))</f>
        <v>31.07308221917</v>
      </c>
      <c r="BC7" s="19" t="n">
        <f aca="false">IF(Time!BC20=1,IF(Time!BC8=Inputs!$F$15,BC6*Inputs!$F$115/Time!BD14,0),IF(Time!BC35=1,0,IF(Time!BD14=0,0,BC6*Inputs!$F$115/Time!BD14)))</f>
        <v>31.1898989720255</v>
      </c>
      <c r="BD7" s="19" t="n">
        <f aca="false">IF(Time!BD20=1,IF(Time!BD8=Inputs!$F$15,BD6*Inputs!$F$115/Time!BE14,0),IF(Time!BD35=1,0,IF(Time!BE14=0,0,BD6*Inputs!$F$115/Time!BE14)))</f>
        <v>34.1520286404077</v>
      </c>
      <c r="BE7" s="19" t="n">
        <f aca="false">IF(Time!BE20=1,IF(Time!BE8=Inputs!$F$15,BE6*Inputs!$F$115/Time!BF14,0),IF(Time!BE35=1,0,IF(Time!BF14=0,0,BE6*Inputs!$F$115/Time!BF14)))</f>
        <v>34.2751060537023</v>
      </c>
      <c r="BF7" s="19" t="n">
        <f aca="false">IF(Time!BF20=1,IF(Time!BF8=Inputs!$F$15,BF6*Inputs!$F$115/Time!BG14,0),IF(Time!BF35=1,0,IF(Time!BG14=0,0,BF6*Inputs!$F$115/Time!BG14)))</f>
        <v>35.8276593761473</v>
      </c>
      <c r="BG7" s="19" t="n">
        <f aca="false">IF(Time!BG20=1,IF(Time!BG8=Inputs!$F$15,BG6*Inputs!$F$115/Time!BH14,0),IF(Time!BG35=1,0,IF(Time!BH14=0,0,BG6*Inputs!$F$115/Time!BH14)))</f>
        <v>36.1549955143432</v>
      </c>
      <c r="BH7" s="19" t="n">
        <f aca="false">IF(Time!BH20=1,IF(Time!BH8=Inputs!$F$15,BH6*Inputs!$F$115/Time!BI14,0),IF(Time!BH35=1,0,IF(Time!BI14=0,0,BH6*Inputs!$F$115/Time!BI14)))</f>
        <v>37.5865853073878</v>
      </c>
      <c r="BI7" s="19" t="n">
        <f aca="false">IF(Time!BI20=1,IF(Time!BI8=Inputs!$F$15,BI6*Inputs!$F$115/Time!BJ14,0),IF(Time!BI35=1,0,IF(Time!BJ14=0,0,BI6*Inputs!$F$115/Time!BJ14)))</f>
        <v>37.72182471002</v>
      </c>
      <c r="BJ7" s="19" t="n">
        <f aca="false">IF(Time!BJ20=1,IF(Time!BJ8=Inputs!$F$15,BJ6*Inputs!$F$115/Time!BK14,0),IF(Time!BJ35=1,0,IF(Time!BK14=0,0,BJ6*Inputs!$F$115/Time!BK14)))</f>
        <v>39.4331843357959</v>
      </c>
      <c r="BK7" s="19" t="n">
        <f aca="false">IF(Time!BK20=1,IF(Time!BK8=Inputs!$F$15,BK6*Inputs!$F$115/Time!BL14,0),IF(Time!BK35=1,0,IF(Time!BL14=0,0,BK6*Inputs!$F$115/Time!BL14)))</f>
        <v>39.5754471499755</v>
      </c>
      <c r="BL7" s="19" t="n">
        <f aca="false">IF(Time!BL20=1,IF(Time!BL8=Inputs!$F$15,BL6*Inputs!$F$115/Time!BM14,0),IF(Time!BL35=1,0,IF(Time!BM14=0,0,BL6*Inputs!$F$115/Time!BM14)))</f>
        <v>41.3558134665787</v>
      </c>
      <c r="BM7" s="19" t="n">
        <f aca="false">IF(Time!BM20=1,IF(Time!BM8=Inputs!$F$15,BM6*Inputs!$F$115/Time!BN14,0),IF(Time!BM35=1,0,IF(Time!BN14=0,0,BM6*Inputs!$F$115/Time!BN14)))</f>
        <v>41.5042168371896</v>
      </c>
      <c r="BN7" s="19" t="n">
        <f aca="false">IF(Time!BN20=1,IF(Time!BN8=Inputs!$F$15,BN6*Inputs!$F$115/Time!BO14,0),IF(Time!BN35=1,0,IF(Time!BO14=0,0,BN6*Inputs!$F$115/Time!BO14)))</f>
        <v>36.3859277619422</v>
      </c>
      <c r="BO7" s="19" t="n">
        <f aca="false">IF(Time!BO20=1,IF(Time!BO8=Inputs!$F$15,BO6*Inputs!$F$115/Time!BP14,0),IF(Time!BO35=1,0,IF(Time!BP14=0,0,BO6*Inputs!$F$115/Time!BP14)))</f>
        <v>36.7826071014018</v>
      </c>
      <c r="BP7" s="19" t="n">
        <f aca="false">IF(Time!BP20=1,IF(Time!BP8=Inputs!$F$15,BP6*Inputs!$F$115/Time!BQ14,0),IF(Time!BP35=1,0,IF(Time!BQ14=0,0,BP6*Inputs!$F$115/Time!BQ14)))</f>
        <v>38.4991094572238</v>
      </c>
      <c r="BQ7" s="19" t="n">
        <f aca="false">IF(Time!BQ20=1,IF(Time!BQ8=Inputs!$F$15,BQ6*Inputs!$F$115/Time!BR14,0),IF(Time!BQ35=1,0,IF(Time!BR14=0,0,BQ6*Inputs!$F$115/Time!BR14)))</f>
        <v>38.1823722381341</v>
      </c>
      <c r="BR7" s="19" t="n">
        <f aca="false">IF(Time!BR20=1,IF(Time!BR8=Inputs!$F$15,BR6*Inputs!$F$115/Time!BS14,0),IF(Time!BR35=1,0,IF(Time!BS14=0,0,BR6*Inputs!$F$115/Time!BS14)))</f>
        <v>40.1753349166197</v>
      </c>
      <c r="BS7" s="19" t="n">
        <f aca="false">IF(Time!BS20=1,IF(Time!BS8=Inputs!$F$15,BS6*Inputs!$F$115/Time!BT14,0),IF(Time!BS35=1,0,IF(Time!BT14=0,0,BS6*Inputs!$F$115/Time!BT14)))</f>
        <v>39.8478504332554</v>
      </c>
      <c r="BT7" s="19" t="n">
        <f aca="false">IF(Time!BT20=1,IF(Time!BT8=Inputs!$F$15,BT6*Inputs!$F$115/Time!BU14,0),IF(Time!BT35=1,0,IF(Time!BU14=0,0,BT6*Inputs!$F$115/Time!BU14)))</f>
        <v>48.8987871038113</v>
      </c>
      <c r="BU7" s="19" t="n">
        <f aca="false">IF(Time!BU20=1,IF(Time!BU8=Inputs!$F$15,BU6*Inputs!$F$115/Time!BV14,0),IF(Time!BU35=1,0,IF(Time!BV14=0,0,BU6*Inputs!$F$115/Time!BV14)))</f>
        <v>48.5601185393956</v>
      </c>
      <c r="BV7" s="19" t="n">
        <f aca="false">IF(Time!BV20=1,IF(Time!BV8=Inputs!$F$15,BV6*Inputs!$F$115/Time!BW14,0),IF(Time!BV35=1,0,IF(Time!BW14=0,0,BV6*Inputs!$F$115/Time!BW14)))</f>
        <v>50.7000252078237</v>
      </c>
      <c r="BW7" s="19" t="n">
        <f aca="false">IF(Time!BW20=1,IF(Time!BW8=Inputs!$F$15,BW6*Inputs!$F$115/Time!BX14,0),IF(Time!BW35=1,0,IF(Time!BX14=0,0,BW6*Inputs!$F$115/Time!BX14)))</f>
        <v>50.627956869336</v>
      </c>
      <c r="BX7" s="19" t="n">
        <f aca="false">IF(Time!BX20=1,IF(Time!BX8=Inputs!$F$15,BX6*Inputs!$F$115/Time!BY14,0),IF(Time!BX35=1,0,IF(Time!BY14=0,0,BX6*Inputs!$F$115/Time!BY14)))</f>
        <v>52.5658535391488</v>
      </c>
      <c r="BY7" s="19" t="n">
        <f aca="false">IF(Time!BY20=1,IF(Time!BY8=Inputs!$F$15,BY6*Inputs!$F$115/Time!BZ14,0),IF(Time!BY35=1,0,IF(Time!BZ14=0,0,BY6*Inputs!$F$115/Time!BZ14)))</f>
        <v>52.20346498261</v>
      </c>
      <c r="BZ7" s="19" t="n">
        <f aca="false">IF(Time!BZ20=1,IF(Time!BZ8=Inputs!$F$15,BZ6*Inputs!$F$115/Time!CA14,0),IF(Time!BZ35=1,0,IF(Time!CA14=0,0,BZ6*Inputs!$F$115/Time!CA14)))</f>
        <v>49.9877511628094</v>
      </c>
      <c r="CA7" s="19" t="n">
        <f aca="false">IF(Time!CA20=1,IF(Time!CA8=Inputs!$F$15,CA6*Inputs!$F$115/Time!CB14,0),IF(Time!CA35=1,0,IF(Time!CB14=0,0,CA6*Inputs!$F$115/Time!CB14)))</f>
        <v>49.6128055244139</v>
      </c>
      <c r="CB7" s="19" t="n">
        <f aca="false">IF(Time!CB20=1,IF(Time!CB8=Inputs!$F$15,CB6*Inputs!$F$115/Time!CC14,0),IF(Time!CB35=1,0,IF(Time!CC14=0,0,CB6*Inputs!$F$115/Time!CC14)))</f>
        <v>51.9870481967862</v>
      </c>
      <c r="CC7" s="19" t="n">
        <f aca="false">IF(Time!CC20=1,IF(Time!CC8=Inputs!$F$15,CC6*Inputs!$F$115/Time!CD14,0),IF(Time!CC35=1,0,IF(Time!CD14=0,0,CC6*Inputs!$F$115/Time!CD14)))</f>
        <v>51.5990663118506</v>
      </c>
      <c r="CD7" s="19" t="n">
        <f aca="false">IF(Time!CD20=1,IF(Time!CD8=Inputs!$F$15,CD6*Inputs!$F$115/Time!CE14,0),IF(Time!CD35=1,0,IF(Time!CE14=0,0,CD6*Inputs!$F$115/Time!CE14)))</f>
        <v>51.8718123417178</v>
      </c>
      <c r="CE7" s="19" t="n">
        <f aca="false">IF(Time!CE20=1,IF(Time!CE8=Inputs!$F$15,CE6*Inputs!$F$115/Time!CF14,0),IF(Time!CE35=1,0,IF(Time!CF14=0,0,CE6*Inputs!$F$115/Time!CF14)))</f>
        <v>45.5693846584206</v>
      </c>
      <c r="CF7" s="19" t="n">
        <f aca="false">IF(Time!CF20=1,IF(Time!CF8=Inputs!$F$15,CF6*Inputs!$F$115/Time!CG14,0),IF(Time!CF35=1,0,IF(Time!CG14=0,0,CF6*Inputs!$F$115/Time!CG14)))</f>
        <v>48.5529912795886</v>
      </c>
      <c r="CG7" s="19" t="n">
        <f aca="false">IF(Time!CG20=1,IF(Time!CG8=Inputs!$F$15,CG6*Inputs!$F$115/Time!CH14,0),IF(Time!CG35=1,0,IF(Time!CH14=0,0,CG6*Inputs!$F$115/Time!CH14)))</f>
        <v>6.68312528605446E-014</v>
      </c>
      <c r="CH7" s="19" t="n">
        <f aca="false">IF(Time!CH20=1,IF(Time!CH8=Inputs!$F$15,CH6*Inputs!$F$115/Time!CI14,0),IF(Time!CH35=1,0,IF(Time!CI14=0,0,CH6*Inputs!$F$115/Time!CI14)))</f>
        <v>6.73920462813777E-014</v>
      </c>
      <c r="CI7" s="19" t="n">
        <f aca="false">IF(Time!CI20=1,IF(Time!CI8=Inputs!$F$15,CI6*Inputs!$F$115/Time!CJ14,0),IF(Time!CI35=1,0,IF(Time!CJ14=0,0,CI6*Inputs!$F$115/Time!CJ14)))</f>
        <v>6.68312528605446E-014</v>
      </c>
      <c r="CJ7" s="19" t="n">
        <f aca="false">IF(Time!CJ20=1,IF(Time!CJ8=Inputs!$F$15,CJ6*Inputs!$F$115/Time!CK14,0),IF(Time!CJ35=1,0,IF(Time!CK14=0,0,CJ6*Inputs!$F$115/Time!CK14)))</f>
        <v>6.73920462813777E-014</v>
      </c>
      <c r="CK7" s="19" t="n">
        <f aca="false">IF(Time!CK20=1,IF(Time!CK8=Inputs!$F$15,CK6*Inputs!$F$115/Time!CL14,0),IF(Time!CK35=1,0,IF(Time!CL14=0,0,CK6*Inputs!$F$115/Time!CL14)))</f>
        <v>6.68312528605446E-014</v>
      </c>
      <c r="CL7" s="19" t="n">
        <f aca="false">IF(Time!CL20=1,IF(Time!CL8=Inputs!$F$15,CL6*Inputs!$F$115/Time!CM14,0),IF(Time!CL35=1,0,IF(Time!CM14=0,0,CL6*Inputs!$F$115/Time!CM14)))</f>
        <v>6.73920462813777E-014</v>
      </c>
      <c r="CM7" s="19" t="n">
        <f aca="false">IF(Time!CM20=1,IF(Time!CM8=Inputs!$F$15,CM6*Inputs!$F$115/Time!CN14,0),IF(Time!CM35=1,0,IF(Time!CN14=0,0,CM6*Inputs!$F$115/Time!CN14)))</f>
        <v>6.70181840008223E-014</v>
      </c>
      <c r="CN7" s="19" t="n">
        <f aca="false">IF(Time!CN20=1,IF(Time!CN8=Inputs!$F$15,CN6*Inputs!$F$115/Time!CO14,0),IF(Time!CN35=1,0,IF(Time!CO14=0,0,CN6*Inputs!$F$115/Time!CO14)))</f>
        <v>6.73920462813777E-014</v>
      </c>
      <c r="CO7" s="19" t="n">
        <f aca="false">IF(Time!CO20=1,IF(Time!CO8=Inputs!$F$15,CO6*Inputs!$F$115/Time!CP14,0),IF(Time!CO35=1,0,IF(Time!CP14=0,0,CO6*Inputs!$F$115/Time!CP14)))</f>
        <v>6.68312528605446E-014</v>
      </c>
      <c r="CP7" s="19" t="n">
        <f aca="false">IF(Time!CP20=1,IF(Time!CP8=Inputs!$F$15,CP6*Inputs!$F$115/Time!CQ14,0),IF(Time!CP35=1,0,IF(Time!CQ14=0,0,CP6*Inputs!$F$115/Time!CQ14)))</f>
        <v>6.73920462813777E-014</v>
      </c>
      <c r="CQ7" s="19" t="n">
        <f aca="false">IF(Time!CQ20=1,IF(Time!CQ8=Inputs!$F$15,CQ6*Inputs!$F$115/Time!CR14,0),IF(Time!CQ35=1,0,IF(Time!CR14=0,0,CQ6*Inputs!$F$115/Time!CR14)))</f>
        <v>6.68312528605446E-014</v>
      </c>
      <c r="CR7" s="19" t="n">
        <f aca="false">IF(Time!CR20=1,IF(Time!CR8=Inputs!$F$15,CR6*Inputs!$F$115/Time!CS14,0),IF(Time!CR35=1,0,IF(Time!CS14=0,0,CR6*Inputs!$F$115/Time!CS14)))</f>
        <v>6.73920462813777E-014</v>
      </c>
      <c r="CS7" s="19" t="n">
        <f aca="false">IF(Time!CS20=1,IF(Time!CS8=Inputs!$F$15,CS6*Inputs!$F$115/Time!CT14,0),IF(Time!CS35=1,0,IF(Time!CT14=0,0,CS6*Inputs!$F$115/Time!CT14)))</f>
        <v>6.68312528605446E-014</v>
      </c>
      <c r="CT7" s="19" t="n">
        <f aca="false">IF(Time!CT20=1,IF(Time!CT8=Inputs!$F$15,CT6*Inputs!$F$115/Time!CU14,0),IF(Time!CT35=1,0,IF(Time!CU14=0,0,CT6*Inputs!$F$115/Time!CU14)))</f>
        <v>6.73920462813777E-014</v>
      </c>
      <c r="CU7" s="19" t="n">
        <f aca="false">IF(Time!CU20=1,IF(Time!CU8=Inputs!$F$15,CU6*Inputs!$F$115/Time!CV14,0),IF(Time!CU35=1,0,IF(Time!CV14=0,0,CU6*Inputs!$F$115/Time!CV14)))</f>
        <v>6.70181840008223E-014</v>
      </c>
      <c r="CV7" s="19" t="n">
        <f aca="false">IF(Time!CV20=1,IF(Time!CV8=Inputs!$F$15,CV6*Inputs!$F$115/Time!CW14,0),IF(Time!CV35=1,0,IF(Time!CW14=0,0,CV6*Inputs!$F$115/Time!CW14)))</f>
        <v>6.73920462813777E-014</v>
      </c>
      <c r="CW7" s="19" t="n">
        <f aca="false">IF(Time!CW20=1,IF(Time!CW8=Inputs!$F$15,CW6*Inputs!$F$115/Time!CX14,0),IF(Time!CW35=1,0,IF(Time!CX14=0,0,CW6*Inputs!$F$115/Time!CX14)))</f>
        <v>6.68312528605446E-014</v>
      </c>
      <c r="CX7" s="19" t="n">
        <f aca="false">IF(Time!CX20=1,IF(Time!CX8=Inputs!$F$15,CX6*Inputs!$F$115/Time!CY14,0),IF(Time!CX35=1,0,IF(Time!CY14=0,0,CX6*Inputs!$F$115/Time!CY14)))</f>
        <v>6.73920462813777E-014</v>
      </c>
      <c r="CY7" s="19" t="n">
        <f aca="false">IF(Time!CY20=1,IF(Time!CY8=Inputs!$F$15,CY6*Inputs!$F$115/Time!CZ14,0),IF(Time!CY35=1,0,IF(Time!CZ14=0,0,CY6*Inputs!$F$115/Time!CZ14)))</f>
        <v>6.68312528605446E-014</v>
      </c>
      <c r="CZ7" s="19" t="n">
        <f aca="false">IF(Time!CZ20=1,IF(Time!CZ8=Inputs!$F$15,CZ6*Inputs!$F$115/Time!DA14,0),IF(Time!CZ35=1,0,IF(Time!DA14=0,0,CZ6*Inputs!$F$115/Time!DA14)))</f>
        <v>6.73920462813777E-014</v>
      </c>
      <c r="DA7" s="19" t="n">
        <f aca="false">IF(Time!DA20=1,IF(Time!DA8=Inputs!$F$15,DA6*Inputs!$F$115/Time!DB14,0),IF(Time!DA35=1,0,IF(Time!DB14=0,0,DA6*Inputs!$F$115/Time!DB14)))</f>
        <v>6.68312528605446E-014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23.0533401819185</v>
      </c>
      <c r="AW8" s="19" t="n">
        <f aca="false">AV13</f>
        <v>25.0503904348576</v>
      </c>
      <c r="AX8" s="19" t="n">
        <f aca="false">AW13</f>
        <v>25.1508622905465</v>
      </c>
      <c r="AY8" s="19" t="n">
        <f aca="false">AX13</f>
        <v>24.9746741850301</v>
      </c>
      <c r="AZ8" s="19" t="n">
        <f aca="false">AY13</f>
        <v>25.2447615195179</v>
      </c>
      <c r="BA8" s="19" t="n">
        <f aca="false">AZ13</f>
        <v>26.4296082744213</v>
      </c>
      <c r="BB8" s="19" t="n">
        <f aca="false">BA13</f>
        <v>26.5404185160595</v>
      </c>
      <c r="BC8" s="19" t="n">
        <f aca="false">BB13</f>
        <v>31.07308221917</v>
      </c>
      <c r="BD8" s="19" t="n">
        <f aca="false">BC13</f>
        <v>31.1898989720255</v>
      </c>
      <c r="BE8" s="19" t="n">
        <f aca="false">BD13</f>
        <v>34.1520286404077</v>
      </c>
      <c r="BF8" s="19" t="n">
        <f aca="false">BE13</f>
        <v>34.2751060537023</v>
      </c>
      <c r="BG8" s="19" t="n">
        <f aca="false">BF13</f>
        <v>35.8276593761473</v>
      </c>
      <c r="BH8" s="19" t="n">
        <f aca="false">BG13</f>
        <v>36.1549955143432</v>
      </c>
      <c r="BI8" s="19" t="n">
        <f aca="false">BH13</f>
        <v>37.5865853073878</v>
      </c>
      <c r="BJ8" s="19" t="n">
        <f aca="false">BI13</f>
        <v>37.72182471002</v>
      </c>
      <c r="BK8" s="19" t="n">
        <f aca="false">BJ13</f>
        <v>39.4331843357959</v>
      </c>
      <c r="BL8" s="19" t="n">
        <f aca="false">BK13</f>
        <v>39.5754471499755</v>
      </c>
      <c r="BM8" s="19" t="n">
        <f aca="false">BL13</f>
        <v>41.3558134665787</v>
      </c>
      <c r="BN8" s="19" t="n">
        <f aca="false">BM13</f>
        <v>41.5042168371896</v>
      </c>
      <c r="BO8" s="19" t="n">
        <f aca="false">BN13</f>
        <v>36.3859277619422</v>
      </c>
      <c r="BP8" s="19" t="n">
        <f aca="false">BO13</f>
        <v>36.7826071014018</v>
      </c>
      <c r="BQ8" s="19" t="n">
        <f aca="false">BP13</f>
        <v>38.4991094572238</v>
      </c>
      <c r="BR8" s="19" t="n">
        <f aca="false">BQ13</f>
        <v>38.1823722381341</v>
      </c>
      <c r="BS8" s="19" t="n">
        <f aca="false">BR13</f>
        <v>40.1753349166197</v>
      </c>
      <c r="BT8" s="19" t="n">
        <f aca="false">BS13</f>
        <v>39.8478504332554</v>
      </c>
      <c r="BU8" s="19" t="n">
        <f aca="false">BT13</f>
        <v>48.8987871038113</v>
      </c>
      <c r="BV8" s="19" t="n">
        <f aca="false">BU13</f>
        <v>48.5601185393956</v>
      </c>
      <c r="BW8" s="19" t="n">
        <f aca="false">BV13</f>
        <v>50.7000252078237</v>
      </c>
      <c r="BX8" s="19" t="n">
        <f aca="false">BW13</f>
        <v>50.627956869336</v>
      </c>
      <c r="BY8" s="19" t="n">
        <f aca="false">BX13</f>
        <v>52.5658535391488</v>
      </c>
      <c r="BZ8" s="19" t="n">
        <f aca="false">BY13</f>
        <v>52.20346498261</v>
      </c>
      <c r="CA8" s="19" t="n">
        <f aca="false">BZ13</f>
        <v>49.9877511628094</v>
      </c>
      <c r="CB8" s="19" t="n">
        <f aca="false">CA13</f>
        <v>49.6128055244139</v>
      </c>
      <c r="CC8" s="19" t="n">
        <f aca="false">CB13</f>
        <v>51.9870481967862</v>
      </c>
      <c r="CD8" s="19" t="n">
        <f aca="false">CC13</f>
        <v>51.5990663118506</v>
      </c>
      <c r="CE8" s="19" t="n">
        <f aca="false">CD13</f>
        <v>51.8718123417178</v>
      </c>
      <c r="CF8" s="19" t="n">
        <f aca="false">CE13</f>
        <v>45.569384659704</v>
      </c>
      <c r="CG8" s="19" t="n">
        <f aca="false">CF13</f>
        <v>48.5529912796476</v>
      </c>
      <c r="CH8" s="19" t="n">
        <f aca="false">CG13</f>
        <v>0</v>
      </c>
      <c r="CI8" s="19" t="n">
        <f aca="false">CH13</f>
        <v>6.73920462813777E-014</v>
      </c>
      <c r="CJ8" s="19" t="n">
        <f aca="false">CI13</f>
        <v>6.68312528605446E-014</v>
      </c>
      <c r="CK8" s="19" t="n">
        <f aca="false">CJ13</f>
        <v>6.73920462813777E-014</v>
      </c>
      <c r="CL8" s="19" t="n">
        <f aca="false">CK13</f>
        <v>6.68312528605446E-014</v>
      </c>
      <c r="CM8" s="19" t="n">
        <f aca="false">CL13</f>
        <v>6.73920462813777E-014</v>
      </c>
      <c r="CN8" s="19" t="n">
        <f aca="false">CM13</f>
        <v>6.70181840008223E-014</v>
      </c>
      <c r="CO8" s="19" t="n">
        <f aca="false">CN13</f>
        <v>6.73920462813777E-014</v>
      </c>
      <c r="CP8" s="19" t="n">
        <f aca="false">CO13</f>
        <v>6.68312528605446E-014</v>
      </c>
      <c r="CQ8" s="19" t="n">
        <f aca="false">CP13</f>
        <v>6.73920462813777E-014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23.0533401819185</v>
      </c>
      <c r="AW9" s="19" t="n">
        <f aca="false">AW8-Waterfall!AW23</f>
        <v>25.0503904348576</v>
      </c>
      <c r="AX9" s="19" t="n">
        <f aca="false">AX8-Waterfall!AX23</f>
        <v>25.1508622905465</v>
      </c>
      <c r="AY9" s="19" t="n">
        <f aca="false">AY8-Waterfall!AY23</f>
        <v>24.9746741850301</v>
      </c>
      <c r="AZ9" s="19" t="n">
        <f aca="false">AZ8-Waterfall!AZ23</f>
        <v>25.2447615195179</v>
      </c>
      <c r="BA9" s="19" t="n">
        <f aca="false">BA8-Waterfall!BA23</f>
        <v>26.4296082744213</v>
      </c>
      <c r="BB9" s="19" t="n">
        <f aca="false">BB8-Waterfall!BB23</f>
        <v>26.5404185160595</v>
      </c>
      <c r="BC9" s="19" t="n">
        <f aca="false">BC8-Waterfall!BC23</f>
        <v>31.07308221917</v>
      </c>
      <c r="BD9" s="19" t="n">
        <f aca="false">BD8-Waterfall!BD23</f>
        <v>31.1898989720255</v>
      </c>
      <c r="BE9" s="19" t="n">
        <f aca="false">BE8-Waterfall!BE23</f>
        <v>34.1520286404077</v>
      </c>
      <c r="BF9" s="19" t="n">
        <f aca="false">BF8-Waterfall!BF23</f>
        <v>34.2751060537023</v>
      </c>
      <c r="BG9" s="19" t="n">
        <f aca="false">BG8-Waterfall!BG23</f>
        <v>35.8276593761473</v>
      </c>
      <c r="BH9" s="19" t="n">
        <f aca="false">BH8-Waterfall!BH23</f>
        <v>36.1549955143432</v>
      </c>
      <c r="BI9" s="19" t="n">
        <f aca="false">BI8-Waterfall!BI23</f>
        <v>37.5865853073878</v>
      </c>
      <c r="BJ9" s="19" t="n">
        <f aca="false">BJ8-Waterfall!BJ23</f>
        <v>37.72182471002</v>
      </c>
      <c r="BK9" s="19" t="n">
        <f aca="false">BK8-Waterfall!BK23</f>
        <v>39.4331843357959</v>
      </c>
      <c r="BL9" s="19" t="n">
        <f aca="false">BL8-Waterfall!BL23</f>
        <v>39.5754471499755</v>
      </c>
      <c r="BM9" s="19" t="n">
        <f aca="false">BM8-Waterfall!BM23</f>
        <v>41.3558134665787</v>
      </c>
      <c r="BN9" s="19" t="n">
        <f aca="false">BN8-Waterfall!BN23</f>
        <v>41.5042168371896</v>
      </c>
      <c r="BO9" s="19" t="n">
        <f aca="false">BO8-Waterfall!BO23</f>
        <v>36.3859277619422</v>
      </c>
      <c r="BP9" s="19" t="n">
        <f aca="false">BP8-Waterfall!BP23</f>
        <v>36.7826071014018</v>
      </c>
      <c r="BQ9" s="19" t="n">
        <f aca="false">BQ8-Waterfall!BQ23</f>
        <v>38.4991094572238</v>
      </c>
      <c r="BR9" s="19" t="n">
        <f aca="false">BR8-Waterfall!BR23</f>
        <v>38.1823722381341</v>
      </c>
      <c r="BS9" s="19" t="n">
        <f aca="false">BS8-Waterfall!BS23</f>
        <v>40.1753349166197</v>
      </c>
      <c r="BT9" s="19" t="n">
        <f aca="false">BT8-Waterfall!BT23</f>
        <v>39.8478504332554</v>
      </c>
      <c r="BU9" s="19" t="n">
        <f aca="false">BU8-Waterfall!BU23</f>
        <v>48.8987871038113</v>
      </c>
      <c r="BV9" s="19" t="n">
        <f aca="false">BV8-Waterfall!BV23</f>
        <v>48.5601185393956</v>
      </c>
      <c r="BW9" s="19" t="n">
        <f aca="false">BW8-Waterfall!BW23</f>
        <v>50.7000252078237</v>
      </c>
      <c r="BX9" s="19" t="n">
        <f aca="false">BX8-Waterfall!BX23</f>
        <v>50.627956869336</v>
      </c>
      <c r="BY9" s="19" t="n">
        <f aca="false">BY8-Waterfall!BY23</f>
        <v>52.5658535391488</v>
      </c>
      <c r="BZ9" s="19" t="n">
        <f aca="false">BZ8-Waterfall!BZ23</f>
        <v>52.20346498261</v>
      </c>
      <c r="CA9" s="19" t="n">
        <f aca="false">CA8-Waterfall!CA23</f>
        <v>49.9877511628094</v>
      </c>
      <c r="CB9" s="19" t="n">
        <f aca="false">CB8-Waterfall!CB23</f>
        <v>49.6128055244139</v>
      </c>
      <c r="CC9" s="19" t="n">
        <f aca="false">CC8-Waterfall!CC23</f>
        <v>51.9870481967862</v>
      </c>
      <c r="CD9" s="19" t="n">
        <f aca="false">CD8-Waterfall!CD23</f>
        <v>51.5990663118506</v>
      </c>
      <c r="CE9" s="19" t="n">
        <f aca="false">CE8-Waterfall!CE23</f>
        <v>51.8718123417178</v>
      </c>
      <c r="CF9" s="19" t="n">
        <f aca="false">CF8-Waterfall!CF23</f>
        <v>45.569384659704</v>
      </c>
      <c r="CG9" s="19" t="n">
        <f aca="false">CG8-Waterfall!CG23</f>
        <v>48.5529912796476</v>
      </c>
      <c r="CH9" s="19" t="n">
        <f aca="false">CH8-Waterfall!CH23</f>
        <v>0</v>
      </c>
      <c r="CI9" s="19" t="n">
        <f aca="false">CI8-Waterfall!CI23</f>
        <v>6.73920462813777E-014</v>
      </c>
      <c r="CJ9" s="19" t="n">
        <f aca="false">CJ8-Waterfall!CJ23</f>
        <v>6.68312528605446E-014</v>
      </c>
      <c r="CK9" s="19" t="n">
        <f aca="false">CK8-Waterfall!CK23</f>
        <v>6.73920462813777E-014</v>
      </c>
      <c r="CL9" s="19" t="n">
        <f aca="false">CL8-Waterfall!CL23</f>
        <v>6.68312528605446E-014</v>
      </c>
      <c r="CM9" s="19" t="n">
        <f aca="false">CM8-Waterfall!CM23</f>
        <v>6.73920462813777E-014</v>
      </c>
      <c r="CN9" s="19" t="n">
        <f aca="false">CN8-Waterfall!CN23</f>
        <v>6.70181840008223E-014</v>
      </c>
      <c r="CO9" s="19" t="n">
        <f aca="false">CO8-Waterfall!CO23</f>
        <v>6.73920462813777E-014</v>
      </c>
      <c r="CP9" s="19" t="n">
        <f aca="false">CP8-Waterfall!CP23</f>
        <v>6.68312528605446E-014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</v>
      </c>
      <c r="AA10" s="19" t="n">
        <f aca="false">AA7-AA9</f>
        <v>3.93639673901129</v>
      </c>
      <c r="AB10" s="19" t="n">
        <f aca="false">AB7-AB9</f>
        <v>1.27155672863574</v>
      </c>
      <c r="AC10" s="19" t="n">
        <f aca="false">AC7-AC9</f>
        <v>3.15917333927185</v>
      </c>
      <c r="AD10" s="19" t="n">
        <f aca="false">AD7-AD9</f>
        <v>0.198370532253669</v>
      </c>
      <c r="AE10" s="19" t="n">
        <f aca="false">AE7-AE9</f>
        <v>-0.327789903625298</v>
      </c>
      <c r="AF10" s="19" t="n">
        <f aca="false">AF7-AF9</f>
        <v>-0.372597282621189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-0.178409739270528</v>
      </c>
      <c r="AV10" s="19" t="n">
        <f aca="false">AV7-AV9</f>
        <v>1.99705025293903</v>
      </c>
      <c r="AW10" s="19" t="n">
        <f aca="false">AW7-AW9</f>
        <v>0.100471855688898</v>
      </c>
      <c r="AX10" s="19" t="n">
        <f aca="false">AX7-AX9</f>
        <v>-0.176188105516363</v>
      </c>
      <c r="AY10" s="19" t="n">
        <f aca="false">AY7-AY9</f>
        <v>0.270087334487826</v>
      </c>
      <c r="AZ10" s="19" t="n">
        <f aca="false">AZ7-AZ9</f>
        <v>1.18484675490336</v>
      </c>
      <c r="BA10" s="19" t="n">
        <f aca="false">BA7-BA9</f>
        <v>0.110810241638191</v>
      </c>
      <c r="BB10" s="19" t="n">
        <f aca="false">BB7-BB9</f>
        <v>4.53266370311054</v>
      </c>
      <c r="BC10" s="19" t="n">
        <f aca="false">BC7-BC9</f>
        <v>0.116816752855499</v>
      </c>
      <c r="BD10" s="19" t="n">
        <f aca="false">BD7-BD9</f>
        <v>2.96212966838221</v>
      </c>
      <c r="BE10" s="19" t="n">
        <f aca="false">BE7-BE9</f>
        <v>0.123077413294553</v>
      </c>
      <c r="BF10" s="19" t="n">
        <f aca="false">BF7-BF9</f>
        <v>1.55255332244502</v>
      </c>
      <c r="BG10" s="19" t="n">
        <f aca="false">BG7-BG9</f>
        <v>0.327336138195903</v>
      </c>
      <c r="BH10" s="19" t="n">
        <f aca="false">BH7-BH9</f>
        <v>1.43158979304457</v>
      </c>
      <c r="BI10" s="19" t="n">
        <f aca="false">BI7-BI9</f>
        <v>0.135239402632195</v>
      </c>
      <c r="BJ10" s="19" t="n">
        <f aca="false">BJ7-BJ9</f>
        <v>1.71135962577593</v>
      </c>
      <c r="BK10" s="19" t="n">
        <f aca="false">BK7-BK9</f>
        <v>0.142262814179567</v>
      </c>
      <c r="BL10" s="19" t="n">
        <f aca="false">BL7-BL9</f>
        <v>1.78036631660322</v>
      </c>
      <c r="BM10" s="19" t="n">
        <f aca="false">BM7-BM9</f>
        <v>0.148403370610865</v>
      </c>
      <c r="BN10" s="19" t="n">
        <f aca="false">BN7-BN9</f>
        <v>-5.11828907524733</v>
      </c>
      <c r="BO10" s="19" t="n">
        <f aca="false">BO7-BO9</f>
        <v>0.396679339459581</v>
      </c>
      <c r="BP10" s="19" t="n">
        <f aca="false">BP7-BP9</f>
        <v>1.71650235582199</v>
      </c>
      <c r="BQ10" s="19" t="n">
        <f aca="false">BQ7-BQ9</f>
        <v>-0.316737219089681</v>
      </c>
      <c r="BR10" s="19" t="n">
        <f aca="false">BR7-BR9</f>
        <v>1.99296267848557</v>
      </c>
      <c r="BS10" s="19" t="n">
        <f aca="false">BS7-BS9</f>
        <v>-0.327484483364287</v>
      </c>
      <c r="BT10" s="19" t="n">
        <f aca="false">BT7-BT9</f>
        <v>9.05093667055593</v>
      </c>
      <c r="BU10" s="19" t="n">
        <f aca="false">BU7-BU9</f>
        <v>-0.338668564415727</v>
      </c>
      <c r="BV10" s="19" t="n">
        <f aca="false">BV7-BV9</f>
        <v>2.1399066684281</v>
      </c>
      <c r="BW10" s="19" t="n">
        <f aca="false">BW7-BW9</f>
        <v>-0.0720683384876679</v>
      </c>
      <c r="BX10" s="19" t="n">
        <f aca="false">BX7-BX9</f>
        <v>1.93789666981274</v>
      </c>
      <c r="BY10" s="19" t="n">
        <f aca="false">BY7-BY9</f>
        <v>-0.362388556538754</v>
      </c>
      <c r="BZ10" s="19" t="n">
        <f aca="false">BZ7-BZ9</f>
        <v>-2.21571381980068</v>
      </c>
      <c r="CA10" s="19" t="n">
        <f aca="false">CA7-CA9</f>
        <v>-0.374945638395495</v>
      </c>
      <c r="CB10" s="19" t="n">
        <f aca="false">CB7-CB9</f>
        <v>2.3742426723723</v>
      </c>
      <c r="CC10" s="19" t="n">
        <f aca="false">CC7-CC9</f>
        <v>-0.387981884935577</v>
      </c>
      <c r="CD10" s="19" t="n">
        <f aca="false">CD7-CD9</f>
        <v>0.27274602986725</v>
      </c>
      <c r="CE10" s="19" t="n">
        <f aca="false">CE7-CE9</f>
        <v>-6.30242768201379</v>
      </c>
      <c r="CF10" s="19" t="n">
        <f aca="false">CF7-CF9</f>
        <v>2.98360661994356</v>
      </c>
      <c r="CG10" s="19" t="n">
        <f aca="false">CG7-CG9</f>
        <v>-48.5529912796475</v>
      </c>
      <c r="CH10" s="19" t="n">
        <f aca="false">CH7-CH9</f>
        <v>6.73920462813777E-014</v>
      </c>
      <c r="CI10" s="19" t="n">
        <f aca="false">CI7-CI9</f>
        <v>-5.60793420833112E-016</v>
      </c>
      <c r="CJ10" s="19" t="n">
        <f aca="false">CJ7-CJ9</f>
        <v>5.60793420833112E-016</v>
      </c>
      <c r="CK10" s="19" t="n">
        <f aca="false">CK7-CK9</f>
        <v>-5.60793420833112E-016</v>
      </c>
      <c r="CL10" s="19" t="n">
        <f aca="false">CL7-CL9</f>
        <v>5.60793420833112E-016</v>
      </c>
      <c r="CM10" s="19" t="n">
        <f aca="false">CM7-CM9</f>
        <v>-3.73862280555416E-016</v>
      </c>
      <c r="CN10" s="19" t="n">
        <f aca="false">CN7-CN9</f>
        <v>3.73862280555416E-016</v>
      </c>
      <c r="CO10" s="19" t="n">
        <f aca="false">CO7-CO9</f>
        <v>-5.60793420833112E-016</v>
      </c>
      <c r="CP10" s="19" t="n">
        <f aca="false">CP7-CP9</f>
        <v>5.60793420833112E-016</v>
      </c>
      <c r="CQ10" s="19" t="n">
        <f aca="false">CQ7-CQ9</f>
        <v>6.68312528605446E-014</v>
      </c>
      <c r="CR10" s="19" t="n">
        <f aca="false">CR7-CR9</f>
        <v>6.73920462813777E-014</v>
      </c>
      <c r="CS10" s="19" t="n">
        <f aca="false">CS7-CS9</f>
        <v>6.68312528605446E-014</v>
      </c>
      <c r="CT10" s="19" t="n">
        <f aca="false">CT7-CT9</f>
        <v>6.73920462813777E-014</v>
      </c>
      <c r="CU10" s="19" t="n">
        <f aca="false">CU7-CU9</f>
        <v>6.70181840008223E-014</v>
      </c>
      <c r="CV10" s="19" t="n">
        <f aca="false">CV7-CV9</f>
        <v>6.73920462813777E-014</v>
      </c>
      <c r="CW10" s="19" t="n">
        <f aca="false">CW7-CW9</f>
        <v>6.68312528605446E-014</v>
      </c>
      <c r="CX10" s="19" t="n">
        <f aca="false">CX7-CX9</f>
        <v>6.73920462813777E-014</v>
      </c>
      <c r="CY10" s="19" t="n">
        <f aca="false">CY7-CY9</f>
        <v>6.68312528605446E-014</v>
      </c>
      <c r="CZ10" s="19" t="n">
        <f aca="false">CZ7-CZ9</f>
        <v>6.73920462813777E-014</v>
      </c>
      <c r="DA10" s="19" t="n">
        <f aca="false">DA7-DA9</f>
        <v>6.68312528605446E-014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52.7210635400721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</v>
      </c>
      <c r="AA11" s="19" t="n">
        <f aca="false">MIN(MAX(0,Waterfall!AA24),MAX(0,AA10))*(1-Time!AA20)</f>
        <v>3.93639673901129</v>
      </c>
      <c r="AB11" s="19" t="n">
        <f aca="false">MIN(MAX(0,Waterfall!AB24),MAX(0,AB10))*(1-Time!AB20)</f>
        <v>1.27155672863574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0.198370532253669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1.99705025293903</v>
      </c>
      <c r="AW11" s="19" t="n">
        <f aca="false">MIN(MAX(0,Waterfall!AW24),MAX(0,AW10))*(1-Time!AW20)</f>
        <v>0.100471855688898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0.270087334487826</v>
      </c>
      <c r="AZ11" s="19" t="n">
        <f aca="false">MIN(MAX(0,Waterfall!AZ24),MAX(0,AZ10))*(1-Time!AZ20)</f>
        <v>1.18484675490336</v>
      </c>
      <c r="BA11" s="19" t="n">
        <f aca="false">MIN(MAX(0,Waterfall!BA24),MAX(0,BA10))*(1-Time!BA20)</f>
        <v>0.110810241638191</v>
      </c>
      <c r="BB11" s="19" t="n">
        <f aca="false">MIN(MAX(0,Waterfall!BB24),MAX(0,BB10))*(1-Time!BB20)</f>
        <v>4.53266370311054</v>
      </c>
      <c r="BC11" s="19" t="n">
        <f aca="false">MIN(MAX(0,Waterfall!BC24),MAX(0,BC10))*(1-Time!BC20)</f>
        <v>0.116816752855499</v>
      </c>
      <c r="BD11" s="19" t="n">
        <f aca="false">MIN(MAX(0,Waterfall!BD24),MAX(0,BD10))*(1-Time!BD20)</f>
        <v>2.96212966838221</v>
      </c>
      <c r="BE11" s="19" t="n">
        <f aca="false">MIN(MAX(0,Waterfall!BE24),MAX(0,BE10))*(1-Time!BE20)</f>
        <v>0.123077413294553</v>
      </c>
      <c r="BF11" s="19" t="n">
        <f aca="false">MIN(MAX(0,Waterfall!BF24),MAX(0,BF10))*(1-Time!BF20)</f>
        <v>1.55255332244502</v>
      </c>
      <c r="BG11" s="19" t="n">
        <f aca="false">MIN(MAX(0,Waterfall!BG24),MAX(0,BG10))*(1-Time!BG20)</f>
        <v>0.327336138195903</v>
      </c>
      <c r="BH11" s="19" t="n">
        <f aca="false">MIN(MAX(0,Waterfall!BH24),MAX(0,BH10))*(1-Time!BH20)</f>
        <v>1.43158979304457</v>
      </c>
      <c r="BI11" s="19" t="n">
        <f aca="false">MIN(MAX(0,Waterfall!BI24),MAX(0,BI10))*(1-Time!BI20)</f>
        <v>0.135239402632195</v>
      </c>
      <c r="BJ11" s="19" t="n">
        <f aca="false">MIN(MAX(0,Waterfall!BJ24),MAX(0,BJ10))*(1-Time!BJ20)</f>
        <v>1.71135962577593</v>
      </c>
      <c r="BK11" s="19" t="n">
        <f aca="false">MIN(MAX(0,Waterfall!BK24),MAX(0,BK10))*(1-Time!BK20)</f>
        <v>0.142262814179567</v>
      </c>
      <c r="BL11" s="19" t="n">
        <f aca="false">MIN(MAX(0,Waterfall!BL24),MAX(0,BL10))*(1-Time!BL20)</f>
        <v>1.78036631660322</v>
      </c>
      <c r="BM11" s="19" t="n">
        <f aca="false">MIN(MAX(0,Waterfall!BM24),MAX(0,BM10))*(1-Time!BM20)</f>
        <v>0.148403370610865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0.396679339459581</v>
      </c>
      <c r="BP11" s="19" t="n">
        <f aca="false">MIN(MAX(0,Waterfall!BP24),MAX(0,BP10))*(1-Time!BP20)</f>
        <v>1.71650235582199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1.99296267848557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9.05093667055593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2.1399066684281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1.93789666981274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2.3742426723723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0.27274602986725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2.98360661994356</v>
      </c>
      <c r="CG11" s="19" t="n">
        <f aca="false">MIN(MAX(0,Waterfall!CG24),MAX(0,CG10))*(1-Time!CG20)</f>
        <v>0</v>
      </c>
      <c r="CH11" s="19" t="n">
        <f aca="false">MIN(MAX(0,Waterfall!CH24),MAX(0,CH10))*(1-Time!CH20)</f>
        <v>6.73920462813777E-014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5.60793420833112E-016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5.60793420833112E-016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3.73862280555416E-016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5.60793420833112E-016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66.608705687359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0.372597282621189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0.178409739270528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0.176188105516363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5.11828907524733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0.316737219089681</v>
      </c>
      <c r="BR12" s="19" t="n">
        <f aca="false">MAX(0,-BR10)*(1-Time!BR20)</f>
        <v>0</v>
      </c>
      <c r="BS12" s="19" t="n">
        <f aca="false">MAX(0,-BS10)*(1-Time!BS20)</f>
        <v>0.327484483364287</v>
      </c>
      <c r="BT12" s="19" t="n">
        <f aca="false">MAX(0,-BT10)*(1-Time!BT20)</f>
        <v>0</v>
      </c>
      <c r="BU12" s="19" t="n">
        <f aca="false">MAX(0,-BU10)*(1-Time!BU20)</f>
        <v>0.338668564415727</v>
      </c>
      <c r="BV12" s="19" t="n">
        <f aca="false">MAX(0,-BV10)*(1-Time!BV20)</f>
        <v>0</v>
      </c>
      <c r="BW12" s="19" t="n">
        <f aca="false">MAX(0,-BW10)*(1-Time!BW20)</f>
        <v>0.0720683384876679</v>
      </c>
      <c r="BX12" s="19" t="n">
        <f aca="false">MAX(0,-BX10)*(1-Time!BX20)</f>
        <v>0</v>
      </c>
      <c r="BY12" s="19" t="n">
        <f aca="false">MAX(0,-BY10)*(1-Time!BY20)</f>
        <v>0.362388556538754</v>
      </c>
      <c r="BZ12" s="19" t="n">
        <f aca="false">MAX(0,-BZ10)*(1-Time!BZ20)</f>
        <v>2.21571381980068</v>
      </c>
      <c r="CA12" s="19" t="n">
        <f aca="false">MAX(0,-CA10)*(1-Time!CA20)</f>
        <v>0.374945638395495</v>
      </c>
      <c r="CB12" s="19" t="n">
        <f aca="false">MAX(0,-CB10)*(1-Time!CB20)</f>
        <v>0</v>
      </c>
      <c r="CC12" s="19" t="n">
        <f aca="false">MAX(0,-CC10)*(1-Time!CC20)</f>
        <v>0.387981884935577</v>
      </c>
      <c r="CD12" s="19" t="n">
        <f aca="false">MAX(0,-CD10)*(1-Time!CD20)</f>
        <v>0</v>
      </c>
      <c r="CE12" s="19" t="n">
        <f aca="false">MAX(0,-CE10)*(1-Time!CE20)</f>
        <v>6.30242768201379</v>
      </c>
      <c r="CF12" s="19" t="n">
        <f aca="false">MAX(0,-CF10)*(1-Time!CF20)</f>
        <v>0</v>
      </c>
      <c r="CG12" s="19" t="n">
        <f aca="false">MAX(0,-CG10)*(1-Time!CG20)</f>
        <v>48.5529912796475</v>
      </c>
      <c r="CH12" s="19" t="n">
        <f aca="false">MAX(0,-CH10)*(1-Time!CH20)</f>
        <v>0</v>
      </c>
      <c r="CI12" s="19" t="n">
        <f aca="false">MAX(0,-CI10)*(1-Time!CI20)</f>
        <v>5.60793420833112E-016</v>
      </c>
      <c r="CJ12" s="19" t="n">
        <f aca="false">MAX(0,-CJ10)*(1-Time!CJ20)</f>
        <v>0</v>
      </c>
      <c r="CK12" s="19" t="n">
        <f aca="false">MAX(0,-CK10)*(1-Time!CK20)</f>
        <v>5.60793420833112E-016</v>
      </c>
      <c r="CL12" s="19" t="n">
        <f aca="false">MAX(0,-CL10)*(1-Time!CL20)</f>
        <v>0</v>
      </c>
      <c r="CM12" s="19" t="n">
        <f aca="false">MAX(0,-CM10)*(1-Time!CM20)</f>
        <v>3.73862280555416E-016</v>
      </c>
      <c r="CN12" s="19" t="n">
        <f aca="false">MAX(0,-CN10)*(1-Time!CN20)</f>
        <v>0</v>
      </c>
      <c r="CO12" s="19" t="n">
        <f aca="false">MAX(0,-CO10)*(1-Time!CO20)</f>
        <v>5.60793420833112E-016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23.0533401819185</v>
      </c>
      <c r="AV13" s="19" t="n">
        <f aca="false">IF(Time!AV20=1,AV8+Funding!AV21,AV9+AV11-AV12)</f>
        <v>25.0503904348576</v>
      </c>
      <c r="AW13" s="19" t="n">
        <f aca="false">IF(Time!AW20=1,AW8+Funding!AW21,AW9+AW11-AW12)</f>
        <v>25.1508622905465</v>
      </c>
      <c r="AX13" s="19" t="n">
        <f aca="false">IF(Time!AX20=1,AX8+Funding!AX21,AX9+AX11-AX12)</f>
        <v>24.9746741850301</v>
      </c>
      <c r="AY13" s="19" t="n">
        <f aca="false">IF(Time!AY20=1,AY8+Funding!AY21,AY9+AY11-AY12)</f>
        <v>25.2447615195179</v>
      </c>
      <c r="AZ13" s="19" t="n">
        <f aca="false">IF(Time!AZ20=1,AZ8+Funding!AZ21,AZ9+AZ11-AZ12)</f>
        <v>26.4296082744213</v>
      </c>
      <c r="BA13" s="19" t="n">
        <f aca="false">IF(Time!BA20=1,BA8+Funding!BA21,BA9+BA11-BA12)</f>
        <v>26.5404185160595</v>
      </c>
      <c r="BB13" s="19" t="n">
        <f aca="false">IF(Time!BB20=1,BB8+Funding!BB21,BB9+BB11-BB12)</f>
        <v>31.07308221917</v>
      </c>
      <c r="BC13" s="19" t="n">
        <f aca="false">IF(Time!BC20=1,BC8+Funding!BC21,BC9+BC11-BC12)</f>
        <v>31.1898989720255</v>
      </c>
      <c r="BD13" s="19" t="n">
        <f aca="false">IF(Time!BD20=1,BD8+Funding!BD21,BD9+BD11-BD12)</f>
        <v>34.1520286404077</v>
      </c>
      <c r="BE13" s="19" t="n">
        <f aca="false">IF(Time!BE20=1,BE8+Funding!BE21,BE9+BE11-BE12)</f>
        <v>34.2751060537023</v>
      </c>
      <c r="BF13" s="19" t="n">
        <f aca="false">IF(Time!BF20=1,BF8+Funding!BF21,BF9+BF11-BF12)</f>
        <v>35.8276593761473</v>
      </c>
      <c r="BG13" s="19" t="n">
        <f aca="false">IF(Time!BG20=1,BG8+Funding!BG21,BG9+BG11-BG12)</f>
        <v>36.1549955143432</v>
      </c>
      <c r="BH13" s="19" t="n">
        <f aca="false">IF(Time!BH20=1,BH8+Funding!BH21,BH9+BH11-BH12)</f>
        <v>37.5865853073878</v>
      </c>
      <c r="BI13" s="19" t="n">
        <f aca="false">IF(Time!BI20=1,BI8+Funding!BI21,BI9+BI11-BI12)</f>
        <v>37.72182471002</v>
      </c>
      <c r="BJ13" s="19" t="n">
        <f aca="false">IF(Time!BJ20=1,BJ8+Funding!BJ21,BJ9+BJ11-BJ12)</f>
        <v>39.4331843357959</v>
      </c>
      <c r="BK13" s="19" t="n">
        <f aca="false">IF(Time!BK20=1,BK8+Funding!BK21,BK9+BK11-BK12)</f>
        <v>39.5754471499755</v>
      </c>
      <c r="BL13" s="19" t="n">
        <f aca="false">IF(Time!BL20=1,BL8+Funding!BL21,BL9+BL11-BL12)</f>
        <v>41.3558134665787</v>
      </c>
      <c r="BM13" s="19" t="n">
        <f aca="false">IF(Time!BM20=1,BM8+Funding!BM21,BM9+BM11-BM12)</f>
        <v>41.5042168371896</v>
      </c>
      <c r="BN13" s="19" t="n">
        <f aca="false">IF(Time!BN20=1,BN8+Funding!BN21,BN9+BN11-BN12)</f>
        <v>36.3859277619422</v>
      </c>
      <c r="BO13" s="19" t="n">
        <f aca="false">IF(Time!BO20=1,BO8+Funding!BO21,BO9+BO11-BO12)</f>
        <v>36.7826071014018</v>
      </c>
      <c r="BP13" s="19" t="n">
        <f aca="false">IF(Time!BP20=1,BP8+Funding!BP21,BP9+BP11-BP12)</f>
        <v>38.4991094572238</v>
      </c>
      <c r="BQ13" s="19" t="n">
        <f aca="false">IF(Time!BQ20=1,BQ8+Funding!BQ21,BQ9+BQ11-BQ12)</f>
        <v>38.1823722381341</v>
      </c>
      <c r="BR13" s="19" t="n">
        <f aca="false">IF(Time!BR20=1,BR8+Funding!BR21,BR9+BR11-BR12)</f>
        <v>40.1753349166197</v>
      </c>
      <c r="BS13" s="19" t="n">
        <f aca="false">IF(Time!BS20=1,BS8+Funding!BS21,BS9+BS11-BS12)</f>
        <v>39.8478504332554</v>
      </c>
      <c r="BT13" s="19" t="n">
        <f aca="false">IF(Time!BT20=1,BT8+Funding!BT21,BT9+BT11-BT12)</f>
        <v>48.8987871038113</v>
      </c>
      <c r="BU13" s="19" t="n">
        <f aca="false">IF(Time!BU20=1,BU8+Funding!BU21,BU9+BU11-BU12)</f>
        <v>48.5601185393956</v>
      </c>
      <c r="BV13" s="19" t="n">
        <f aca="false">IF(Time!BV20=1,BV8+Funding!BV21,BV9+BV11-BV12)</f>
        <v>50.7000252078237</v>
      </c>
      <c r="BW13" s="19" t="n">
        <f aca="false">IF(Time!BW20=1,BW8+Funding!BW21,BW9+BW11-BW12)</f>
        <v>50.627956869336</v>
      </c>
      <c r="BX13" s="19" t="n">
        <f aca="false">IF(Time!BX20=1,BX8+Funding!BX21,BX9+BX11-BX12)</f>
        <v>52.5658535391488</v>
      </c>
      <c r="BY13" s="19" t="n">
        <f aca="false">IF(Time!BY20=1,BY8+Funding!BY21,BY9+BY11-BY12)</f>
        <v>52.20346498261</v>
      </c>
      <c r="BZ13" s="19" t="n">
        <f aca="false">IF(Time!BZ20=1,BZ8+Funding!BZ21,BZ9+BZ11-BZ12)</f>
        <v>49.9877511628094</v>
      </c>
      <c r="CA13" s="19" t="n">
        <f aca="false">IF(Time!CA20=1,CA8+Funding!CA21,CA9+CA11-CA12)</f>
        <v>49.6128055244139</v>
      </c>
      <c r="CB13" s="19" t="n">
        <f aca="false">IF(Time!CB20=1,CB8+Funding!CB21,CB9+CB11-CB12)</f>
        <v>51.9870481967862</v>
      </c>
      <c r="CC13" s="19" t="n">
        <f aca="false">IF(Time!CC20=1,CC8+Funding!CC21,CC9+CC11-CC12)</f>
        <v>51.5990663118506</v>
      </c>
      <c r="CD13" s="19" t="n">
        <f aca="false">IF(Time!CD20=1,CD8+Funding!CD21,CD9+CD11-CD12)</f>
        <v>51.8718123417178</v>
      </c>
      <c r="CE13" s="19" t="n">
        <f aca="false">IF(Time!CE20=1,CE8+Funding!CE21,CE9+CE11-CE12)</f>
        <v>45.569384659704</v>
      </c>
      <c r="CF13" s="19" t="n">
        <f aca="false">IF(Time!CF20=1,CF8+Funding!CF21,CF9+CF11-CF12)</f>
        <v>48.5529912796476</v>
      </c>
      <c r="CG13" s="19" t="n">
        <f aca="false">IF(Time!CG20=1,CG8+Funding!CG21,CG9+CG11-CG12)</f>
        <v>0</v>
      </c>
      <c r="CH13" s="19" t="n">
        <f aca="false">IF(Time!CH20=1,CH8+Funding!CH21,CH9+CH11-CH12)</f>
        <v>6.73920462813777E-014</v>
      </c>
      <c r="CI13" s="19" t="n">
        <f aca="false">IF(Time!CI20=1,CI8+Funding!CI21,CI9+CI11-CI12)</f>
        <v>6.68312528605446E-014</v>
      </c>
      <c r="CJ13" s="19" t="n">
        <f aca="false">IF(Time!CJ20=1,CJ8+Funding!CJ21,CJ9+CJ11-CJ12)</f>
        <v>6.73920462813777E-014</v>
      </c>
      <c r="CK13" s="19" t="n">
        <f aca="false">IF(Time!CK20=1,CK8+Funding!CK21,CK9+CK11-CK12)</f>
        <v>6.68312528605446E-014</v>
      </c>
      <c r="CL13" s="19" t="n">
        <f aca="false">IF(Time!CL20=1,CL8+Funding!CL21,CL9+CL11-CL12)</f>
        <v>6.73920462813777E-014</v>
      </c>
      <c r="CM13" s="19" t="n">
        <f aca="false">IF(Time!CM20=1,CM8+Funding!CM21,CM9+CM11-CM12)</f>
        <v>6.70181840008223E-014</v>
      </c>
      <c r="CN13" s="19" t="n">
        <f aca="false">IF(Time!CN20=1,CN8+Funding!CN21,CN9+CN11-CN12)</f>
        <v>6.73920462813777E-014</v>
      </c>
      <c r="CO13" s="19" t="n">
        <f aca="false">IF(Time!CO20=1,CO8+Funding!CO21,CO9+CO11-CO12)</f>
        <v>6.68312528605446E-014</v>
      </c>
      <c r="CP13" s="19" t="n">
        <f aca="false">IF(Time!CP20=1,CP8+Funding!CP21,CP9+CP11-CP12)</f>
        <v>6.73920462813777E-014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7.4520010854154</v>
      </c>
      <c r="AC15" s="19" t="n">
        <f aca="false">AB16</f>
        <v>3.35754387152552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7.4520010854154</v>
      </c>
      <c r="AB16" s="19" t="n">
        <f aca="false">AB15+Funding!AB22-Debt!AB39</f>
        <v>3.35754387152552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1.99291291584575</v>
      </c>
      <c r="AB6" s="19" t="n">
        <f aca="false">AA51</f>
        <v>5.73983606096598</v>
      </c>
      <c r="AC6" s="19" t="n">
        <f aca="false">AB51</f>
        <v>14.1197975859674</v>
      </c>
      <c r="AD6" s="19" t="n">
        <f aca="false">AC51</f>
        <v>21.2479208646506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3.76410014268913E-011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6065.32549141505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10.4157316104653</v>
      </c>
      <c r="AA7" s="29" t="n">
        <f aca="false">Operations!AA48</f>
        <v>23.0499596523945</v>
      </c>
      <c r="AB7" s="29" t="n">
        <f aca="false">Operations!AB48</f>
        <v>28.9545547609114</v>
      </c>
      <c r="AC7" s="29" t="n">
        <f aca="false">Operations!AC48</f>
        <v>30.8618898538651</v>
      </c>
      <c r="AD7" s="29" t="n">
        <f aca="false">Operations!AD48</f>
        <v>35.6006498627729</v>
      </c>
      <c r="AE7" s="29" t="n">
        <f aca="false">Operations!AE48</f>
        <v>37.9206406128931</v>
      </c>
      <c r="AF7" s="29" t="n">
        <f aca="false">Operations!AF48</f>
        <v>40.9942494713759</v>
      </c>
      <c r="AG7" s="29" t="n">
        <f aca="false">Operations!AG48</f>
        <v>43.4213391934174</v>
      </c>
      <c r="AH7" s="29" t="n">
        <f aca="false">Operations!AH48</f>
        <v>45.1152067996604</v>
      </c>
      <c r="AI7" s="29" t="n">
        <f aca="false">Operations!AI48</f>
        <v>44.424347445054</v>
      </c>
      <c r="AJ7" s="29" t="n">
        <f aca="false">Operations!AJ48</f>
        <v>45.3747631488508</v>
      </c>
      <c r="AK7" s="29" t="n">
        <f aca="false">Operations!AK48</f>
        <v>47.713942356959</v>
      </c>
      <c r="AL7" s="29" t="n">
        <f aca="false">Operations!AL48</f>
        <v>48.4403427011658</v>
      </c>
      <c r="AM7" s="29" t="n">
        <f aca="false">Operations!AM48</f>
        <v>51.2179782967296</v>
      </c>
      <c r="AN7" s="29" t="n">
        <f aca="false">Operations!AN48</f>
        <v>51.9903255074749</v>
      </c>
      <c r="AO7" s="29" t="n">
        <f aca="false">Operations!AO48</f>
        <v>58.1320200344106</v>
      </c>
      <c r="AP7" s="29" t="n">
        <f aca="false">Operations!AP48</f>
        <v>58.9503893577537</v>
      </c>
      <c r="AQ7" s="29" t="n">
        <f aca="false">Operations!AQ48</f>
        <v>51.7824009781804</v>
      </c>
      <c r="AR7" s="29" t="n">
        <f aca="false">Operations!AR48</f>
        <v>53.000134395554</v>
      </c>
      <c r="AS7" s="29" t="n">
        <f aca="false">Operations!AS48</f>
        <v>55.9643575027677</v>
      </c>
      <c r="AT7" s="29" t="n">
        <f aca="false">Operations!AT48</f>
        <v>56.8879307299442</v>
      </c>
      <c r="AU7" s="29" t="n">
        <f aca="false">Operations!AU48</f>
        <v>60.4081008444681</v>
      </c>
      <c r="AV7" s="29" t="n">
        <f aca="false">Operations!AV48</f>
        <v>61.3889030482684</v>
      </c>
      <c r="AW7" s="29" t="n">
        <f aca="false">Operations!AW48</f>
        <v>66.706862328475</v>
      </c>
      <c r="AX7" s="29" t="n">
        <f aca="false">Operations!AX48</f>
        <v>66.9744095454637</v>
      </c>
      <c r="AY7" s="29" t="n">
        <f aca="false">Operations!AY48</f>
        <v>66.5052369898839</v>
      </c>
      <c r="AZ7" s="29" t="n">
        <f aca="false">Operations!AZ48</f>
        <v>67.2244544681581</v>
      </c>
      <c r="BA7" s="29" t="n">
        <f aca="false">Operations!BA48</f>
        <v>70.379591293878</v>
      </c>
      <c r="BB7" s="29" t="n">
        <f aca="false">Operations!BB48</f>
        <v>70.6746686721234</v>
      </c>
      <c r="BC7" s="29" t="n">
        <f aca="false">Operations!BC48</f>
        <v>82.7447309895529</v>
      </c>
      <c r="BD7" s="29" t="n">
        <f aca="false">Operations!BD48</f>
        <v>83.0558031491129</v>
      </c>
      <c r="BE7" s="29" t="n">
        <f aca="false">Operations!BE48</f>
        <v>90.9436792483577</v>
      </c>
      <c r="BF7" s="29" t="n">
        <f aca="false">Operations!BF48</f>
        <v>91.271422964997</v>
      </c>
      <c r="BG7" s="29" t="n">
        <f aca="false">Operations!BG48</f>
        <v>95.4057282169361</v>
      </c>
      <c r="BH7" s="29" t="n">
        <f aca="false">Operations!BH48</f>
        <v>96.2773939405722</v>
      </c>
      <c r="BI7" s="29" t="n">
        <f aca="false">Operations!BI48</f>
        <v>100.089584552284</v>
      </c>
      <c r="BJ7" s="29" t="n">
        <f aca="false">Operations!BJ48</f>
        <v>100.449714516574</v>
      </c>
      <c r="BK7" s="29" t="n">
        <f aca="false">Operations!BK48</f>
        <v>105.006906199794</v>
      </c>
      <c r="BL7" s="29" t="n">
        <f aca="false">Operations!BL48</f>
        <v>105.3857388565</v>
      </c>
      <c r="BM7" s="29" t="n">
        <f aca="false">Operations!BM48</f>
        <v>110.12668894607</v>
      </c>
      <c r="BN7" s="29" t="n">
        <f aca="false">Operations!BN48</f>
        <v>110.52187333404</v>
      </c>
      <c r="BO7" s="29" t="n">
        <f aca="false">Operations!BO48</f>
        <v>96.8923450603104</v>
      </c>
      <c r="BP7" s="29" t="n">
        <f aca="false">Operations!BP48</f>
        <v>97.9486652863241</v>
      </c>
      <c r="BQ7" s="29" t="n">
        <f aca="false">Operations!BQ48</f>
        <v>102.519551581852</v>
      </c>
      <c r="BR7" s="29" t="n">
        <f aca="false">Operations!BR48</f>
        <v>101.676109795064</v>
      </c>
      <c r="BS7" s="29" t="n">
        <f aca="false">Operations!BS48</f>
        <v>106.983184244272</v>
      </c>
      <c r="BT7" s="29" t="n">
        <f aca="false">Operations!BT48</f>
        <v>106.111123491235</v>
      </c>
      <c r="BU7" s="29" t="n">
        <f aca="false">Operations!BU48</f>
        <v>130.212926934043</v>
      </c>
      <c r="BV7" s="29" t="n">
        <f aca="false">Operations!BV48</f>
        <v>129.311084012264</v>
      </c>
      <c r="BW7" s="29" t="n">
        <f aca="false">Operations!BW48</f>
        <v>135.009456654313</v>
      </c>
      <c r="BX7" s="29" t="n">
        <f aca="false">Operations!BX48</f>
        <v>134.817545364697</v>
      </c>
      <c r="BY7" s="29" t="n">
        <f aca="false">Operations!BY48</f>
        <v>139.977984148921</v>
      </c>
      <c r="BZ7" s="29" t="n">
        <f aca="false">Operations!BZ48</f>
        <v>139.012977091913</v>
      </c>
      <c r="CA7" s="29" t="n">
        <f aca="false">Operations!CA48</f>
        <v>133.112737048905</v>
      </c>
      <c r="CB7" s="29" t="n">
        <f aca="false">Operations!CB48</f>
        <v>132.114291649574</v>
      </c>
      <c r="CC7" s="29" t="n">
        <f aca="false">Operations!CC48</f>
        <v>138.436679298269</v>
      </c>
      <c r="CD7" s="29" t="n">
        <f aca="false">Operations!CD48</f>
        <v>137.403519585584</v>
      </c>
      <c r="CE7" s="29" t="n">
        <f aca="false">Operations!CE48</f>
        <v>138.129816922637</v>
      </c>
      <c r="CF7" s="29" t="n">
        <f aca="false">Operations!CF48</f>
        <v>121.347037552466</v>
      </c>
      <c r="CG7" s="29" t="n">
        <f aca="false">Operations!CG48</f>
        <v>129.292104781583</v>
      </c>
      <c r="CH7" s="29" t="n">
        <f aca="false">Operations!CH48</f>
        <v>105.712765642997</v>
      </c>
      <c r="CI7" s="29" t="n">
        <f aca="false">Operations!CI48</f>
        <v>110.597291903227</v>
      </c>
      <c r="CJ7" s="29" t="n">
        <f aca="false">Operations!CJ48</f>
        <v>109.380604163406</v>
      </c>
      <c r="CK7" s="29" t="n">
        <f aca="false">Operations!CK48</f>
        <v>130.69694838973</v>
      </c>
      <c r="CL7" s="29" t="n">
        <f aca="false">Operations!CL48</f>
        <v>118.960122368036</v>
      </c>
      <c r="CM7" s="29" t="n">
        <f aca="false">Operations!CM48</f>
        <v>124.175601923561</v>
      </c>
      <c r="CN7" s="29" t="n">
        <f aca="false">Operations!CN48</f>
        <v>123.62005663349</v>
      </c>
      <c r="CO7" s="29" t="n">
        <f aca="false">Operations!CO48</f>
        <v>128.255613672643</v>
      </c>
      <c r="CP7" s="29" t="n">
        <f aca="false">Operations!CP48</f>
        <v>141.862699835627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15.1244361933425</v>
      </c>
      <c r="AA10" s="19" t="n">
        <f aca="false">(AA6+AA7+AA8+AA9)*(1-Time!AA20)</f>
        <v>33.1080933458082</v>
      </c>
      <c r="AB10" s="19" t="n">
        <f aca="false">(AB6+AB7+AB8+AB9)*(1-Time!AB20)</f>
        <v>38.7888480357673</v>
      </c>
      <c r="AC10" s="19" t="n">
        <f aca="false">(AC6+AC7+AC8+AC9)*(1-Time!AC20)</f>
        <v>48.339231311358</v>
      </c>
      <c r="AD10" s="19" t="n">
        <f aca="false">(AD6+AD7+AD8+AD9)*(1-Time!AD20)</f>
        <v>56.8485707274234</v>
      </c>
      <c r="AE10" s="19" t="n">
        <f aca="false">(AE6+AE7+AE8+AE9)*(1-Time!AE20)</f>
        <v>37.9206406128931</v>
      </c>
      <c r="AF10" s="19" t="n">
        <f aca="false">(AF6+AF7+AF8+AF9)*(1-Time!AF20)</f>
        <v>40.9942494713759</v>
      </c>
      <c r="AG10" s="19" t="n">
        <f aca="false">(AG6+AG7+AG8+AG9)*(1-Time!AG20)</f>
        <v>43.4213391934174</v>
      </c>
      <c r="AH10" s="19" t="n">
        <f aca="false">(AH6+AH7+AH8+AH9)*(1-Time!AH20)</f>
        <v>45.1152067996604</v>
      </c>
      <c r="AI10" s="19" t="n">
        <f aca="false">(AI6+AI7+AI8+AI9)*(1-Time!AI20)</f>
        <v>44.424347445054</v>
      </c>
      <c r="AJ10" s="19" t="n">
        <f aca="false">(AJ6+AJ7+AJ8+AJ9)*(1-Time!AJ20)</f>
        <v>45.3747631488508</v>
      </c>
      <c r="AK10" s="19" t="n">
        <f aca="false">(AK6+AK7+AK8+AK9)*(1-Time!AK20)</f>
        <v>47.7139423569966</v>
      </c>
      <c r="AL10" s="19" t="n">
        <f aca="false">(AL6+AL7+AL8+AL9)*(1-Time!AL20)</f>
        <v>48.4403427011658</v>
      </c>
      <c r="AM10" s="19" t="n">
        <f aca="false">(AM6+AM7+AM8+AM9)*(1-Time!AM20)</f>
        <v>51.2179782967296</v>
      </c>
      <c r="AN10" s="19" t="n">
        <f aca="false">(AN6+AN7+AN8+AN9)*(1-Time!AN20)</f>
        <v>51.9903255074749</v>
      </c>
      <c r="AO10" s="19" t="n">
        <f aca="false">(AO6+AO7+AO8+AO9)*(1-Time!AO20)</f>
        <v>58.1320200344106</v>
      </c>
      <c r="AP10" s="19" t="n">
        <f aca="false">(AP6+AP7+AP8+AP9)*(1-Time!AP20)</f>
        <v>58.9503893577537</v>
      </c>
      <c r="AQ10" s="19" t="n">
        <f aca="false">(AQ6+AQ7+AQ8+AQ9)*(1-Time!AQ20)</f>
        <v>51.7824009781804</v>
      </c>
      <c r="AR10" s="19" t="n">
        <f aca="false">(AR6+AR7+AR8+AR9)*(1-Time!AR20)</f>
        <v>53.000134395554</v>
      </c>
      <c r="AS10" s="19" t="n">
        <f aca="false">(AS6+AS7+AS8+AS9)*(1-Time!AS20)</f>
        <v>55.9643575027677</v>
      </c>
      <c r="AT10" s="19" t="n">
        <f aca="false">(AT6+AT7+AT8+AT9)*(1-Time!AT20)</f>
        <v>56.8879307299442</v>
      </c>
      <c r="AU10" s="19" t="n">
        <f aca="false">(AU6+AU7+AU8+AU9)*(1-Time!AU20)</f>
        <v>60.4081008444681</v>
      </c>
      <c r="AV10" s="19" t="n">
        <f aca="false">(AV6+AV7+AV8+AV9)*(1-Time!AV20)</f>
        <v>61.3889030482684</v>
      </c>
      <c r="AW10" s="19" t="n">
        <f aca="false">(AW6+AW7+AW8+AW9)*(1-Time!AW20)</f>
        <v>66.706862328475</v>
      </c>
      <c r="AX10" s="19" t="n">
        <f aca="false">(AX6+AX7+AX8+AX9)*(1-Time!AX20)</f>
        <v>66.9744095454637</v>
      </c>
      <c r="AY10" s="19" t="n">
        <f aca="false">(AY6+AY7+AY8+AY9)*(1-Time!AY20)</f>
        <v>66.5052369898839</v>
      </c>
      <c r="AZ10" s="19" t="n">
        <f aca="false">(AZ6+AZ7+AZ8+AZ9)*(1-Time!AZ20)</f>
        <v>67.2244544681581</v>
      </c>
      <c r="BA10" s="19" t="n">
        <f aca="false">(BA6+BA7+BA8+BA9)*(1-Time!BA20)</f>
        <v>70.379591293878</v>
      </c>
      <c r="BB10" s="19" t="n">
        <f aca="false">(BB6+BB7+BB8+BB9)*(1-Time!BB20)</f>
        <v>70.6746686721234</v>
      </c>
      <c r="BC10" s="19" t="n">
        <f aca="false">(BC6+BC7+BC8+BC9)*(1-Time!BC20)</f>
        <v>82.7447309895529</v>
      </c>
      <c r="BD10" s="19" t="n">
        <f aca="false">(BD6+BD7+BD8+BD9)*(1-Time!BD20)</f>
        <v>83.0558031491129</v>
      </c>
      <c r="BE10" s="19" t="n">
        <f aca="false">(BE6+BE7+BE8+BE9)*(1-Time!BE20)</f>
        <v>90.9436792483577</v>
      </c>
      <c r="BF10" s="19" t="n">
        <f aca="false">(BF6+BF7+BF8+BF9)*(1-Time!BF20)</f>
        <v>91.271422964997</v>
      </c>
      <c r="BG10" s="19" t="n">
        <f aca="false">(BG6+BG7+BG8+BG9)*(1-Time!BG20)</f>
        <v>95.4057282169361</v>
      </c>
      <c r="BH10" s="19" t="n">
        <f aca="false">(BH6+BH7+BH8+BH9)*(1-Time!BH20)</f>
        <v>96.2773939405722</v>
      </c>
      <c r="BI10" s="19" t="n">
        <f aca="false">(BI6+BI7+BI8+BI9)*(1-Time!BI20)</f>
        <v>100.089584552284</v>
      </c>
      <c r="BJ10" s="19" t="n">
        <f aca="false">(BJ6+BJ7+BJ8+BJ9)*(1-Time!BJ20)</f>
        <v>100.449714516574</v>
      </c>
      <c r="BK10" s="19" t="n">
        <f aca="false">(BK6+BK7+BK8+BK9)*(1-Time!BK20)</f>
        <v>105.006906199794</v>
      </c>
      <c r="BL10" s="19" t="n">
        <f aca="false">(BL6+BL7+BL8+BL9)*(1-Time!BL20)</f>
        <v>105.3857388565</v>
      </c>
      <c r="BM10" s="19" t="n">
        <f aca="false">(BM6+BM7+BM8+BM9)*(1-Time!BM20)</f>
        <v>110.12668894607</v>
      </c>
      <c r="BN10" s="19" t="n">
        <f aca="false">(BN6+BN7+BN8+BN9)*(1-Time!BN20)</f>
        <v>110.52187333404</v>
      </c>
      <c r="BO10" s="19" t="n">
        <f aca="false">(BO6+BO7+BO8+BO9)*(1-Time!BO20)</f>
        <v>96.8923450603104</v>
      </c>
      <c r="BP10" s="19" t="n">
        <f aca="false">(BP6+BP7+BP8+BP9)*(1-Time!BP20)</f>
        <v>97.9486652863241</v>
      </c>
      <c r="BQ10" s="19" t="n">
        <f aca="false">(BQ6+BQ7+BQ8+BQ9)*(1-Time!BQ20)</f>
        <v>102.519551581852</v>
      </c>
      <c r="BR10" s="19" t="n">
        <f aca="false">(BR6+BR7+BR8+BR9)*(1-Time!BR20)</f>
        <v>101.676109795064</v>
      </c>
      <c r="BS10" s="19" t="n">
        <f aca="false">(BS6+BS7+BS8+BS9)*(1-Time!BS20)</f>
        <v>106.983184244272</v>
      </c>
      <c r="BT10" s="19" t="n">
        <f aca="false">(BT6+BT7+BT8+BT9)*(1-Time!BT20)</f>
        <v>106.111123491235</v>
      </c>
      <c r="BU10" s="19" t="n">
        <f aca="false">(BU6+BU7+BU8+BU9)*(1-Time!BU20)</f>
        <v>130.212926934043</v>
      </c>
      <c r="BV10" s="19" t="n">
        <f aca="false">(BV6+BV7+BV8+BV9)*(1-Time!BV20)</f>
        <v>129.311084012264</v>
      </c>
      <c r="BW10" s="19" t="n">
        <f aca="false">(BW6+BW7+BW8+BW9)*(1-Time!BW20)</f>
        <v>135.009456654313</v>
      </c>
      <c r="BX10" s="19" t="n">
        <f aca="false">(BX6+BX7+BX8+BX9)*(1-Time!BX20)</f>
        <v>134.817545364697</v>
      </c>
      <c r="BY10" s="19" t="n">
        <f aca="false">(BY6+BY7+BY8+BY9)*(1-Time!BY20)</f>
        <v>139.977984148921</v>
      </c>
      <c r="BZ10" s="19" t="n">
        <f aca="false">(BZ6+BZ7+BZ8+BZ9)*(1-Time!BZ20)</f>
        <v>139.012977091913</v>
      </c>
      <c r="CA10" s="19" t="n">
        <f aca="false">(CA6+CA7+CA8+CA9)*(1-Time!CA20)</f>
        <v>133.112737048905</v>
      </c>
      <c r="CB10" s="19" t="n">
        <f aca="false">(CB6+CB7+CB8+CB9)*(1-Time!CB20)</f>
        <v>132.114291649574</v>
      </c>
      <c r="CC10" s="19" t="n">
        <f aca="false">(CC6+CC7+CC8+CC9)*(1-Time!CC20)</f>
        <v>138.436679298269</v>
      </c>
      <c r="CD10" s="19" t="n">
        <f aca="false">(CD6+CD7+CD8+CD9)*(1-Time!CD20)</f>
        <v>137.403519585584</v>
      </c>
      <c r="CE10" s="19" t="n">
        <f aca="false">(CE6+CE7+CE8+CE9)*(1-Time!CE20)</f>
        <v>138.129816922637</v>
      </c>
      <c r="CF10" s="19" t="n">
        <f aca="false">(CF6+CF7+CF8+CF9)*(1-Time!CF20)</f>
        <v>121.347037552466</v>
      </c>
      <c r="CG10" s="19" t="n">
        <f aca="false">(CG6+CG7+CG8+CG9)*(1-Time!CG20)</f>
        <v>129.292104781583</v>
      </c>
      <c r="CH10" s="19" t="n">
        <f aca="false">(CH6+CH7+CH8+CH9)*(1-Time!CH20)</f>
        <v>105.712765642997</v>
      </c>
      <c r="CI10" s="19" t="n">
        <f aca="false">(CI6+CI7+CI8+CI9)*(1-Time!CI20)</f>
        <v>110.597291903227</v>
      </c>
      <c r="CJ10" s="19" t="n">
        <f aca="false">(CJ6+CJ7+CJ8+CJ9)*(1-Time!CJ20)</f>
        <v>109.380604163406</v>
      </c>
      <c r="CK10" s="19" t="n">
        <f aca="false">(CK6+CK7+CK8+CK9)*(1-Time!CK20)</f>
        <v>130.69694838973</v>
      </c>
      <c r="CL10" s="19" t="n">
        <f aca="false">(CL6+CL7+CL8+CL9)*(1-Time!CL20)</f>
        <v>118.960122368036</v>
      </c>
      <c r="CM10" s="19" t="n">
        <f aca="false">(CM6+CM7+CM8+CM9)*(1-Time!CM20)</f>
        <v>124.175601923561</v>
      </c>
      <c r="CN10" s="19" t="n">
        <f aca="false">(CN6+CN7+CN8+CN9)*(1-Time!CN20)</f>
        <v>123.62005663349</v>
      </c>
      <c r="CO10" s="19" t="n">
        <f aca="false">(CO6+CO7+CO8+CO9)*(1-Time!CO20)</f>
        <v>128.255613672643</v>
      </c>
      <c r="CP10" s="19" t="n">
        <f aca="false">(CP6+CP7+CP8+CP9)*(1-Time!CP20)</f>
        <v>141.862699835627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6.68312528605446E-014</v>
      </c>
      <c r="CT12" s="19" t="n">
        <f aca="false">Debt!CT56+Debt!CT57</f>
        <v>1.34223299141922E-013</v>
      </c>
      <c r="CU12" s="19" t="n">
        <f aca="false">Debt!CU56+Debt!CU57</f>
        <v>2.01054552002467E-013</v>
      </c>
      <c r="CV12" s="19" t="n">
        <f aca="false">Debt!CV56+Debt!CV57</f>
        <v>2.68446598283845E-013</v>
      </c>
      <c r="CW12" s="19" t="n">
        <f aca="false">Debt!CW56+Debt!CW57</f>
        <v>3.35464782284667E-013</v>
      </c>
      <c r="CX12" s="19" t="n">
        <f aca="false">Debt!CX56+Debt!CX57</f>
        <v>4.02856828566045E-013</v>
      </c>
      <c r="CY12" s="19" t="n">
        <f aca="false">Debt!CY56+Debt!CY57</f>
        <v>4.69688081426589E-013</v>
      </c>
      <c r="CZ12" s="19" t="n">
        <f aca="false">Debt!CZ56+Debt!CZ57</f>
        <v>5.37080127707967E-013</v>
      </c>
      <c r="DA12" s="19" t="n">
        <f aca="false">Debt!DA56+Debt!DA57</f>
        <v>6.03911380568512E-013</v>
      </c>
      <c r="DB12" s="19" t="n">
        <f aca="false">Debt!DB56+Debt!DB57</f>
        <v>6.71303426849889E-013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2004.84264043426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23.0533401819185</v>
      </c>
      <c r="AW13" s="19" t="n">
        <f aca="false">(Debt!AW65+Debt!AW64+AW12+Debt!AW67)*(1-Time!AW20)</f>
        <v>25.0503904348576</v>
      </c>
      <c r="AX13" s="19" t="n">
        <f aca="false">(Debt!AX65+Debt!AX64+AX12+Debt!AX67)*(1-Time!AX20)</f>
        <v>25.1508622905465</v>
      </c>
      <c r="AY13" s="19" t="n">
        <f aca="false">(Debt!AY65+Debt!AY64+AY12+Debt!AY67)*(1-Time!AY20)</f>
        <v>24.9746741850301</v>
      </c>
      <c r="AZ13" s="19" t="n">
        <f aca="false">(Debt!AZ65+Debt!AZ64+AZ12+Debt!AZ67)*(1-Time!AZ20)</f>
        <v>25.2447615195179</v>
      </c>
      <c r="BA13" s="19" t="n">
        <f aca="false">(Debt!BA65+Debt!BA64+BA12+Debt!BA67)*(1-Time!BA20)</f>
        <v>26.4296082744213</v>
      </c>
      <c r="BB13" s="19" t="n">
        <f aca="false">(Debt!BB65+Debt!BB64+BB12+Debt!BB67)*(1-Time!BB20)</f>
        <v>26.5404185160595</v>
      </c>
      <c r="BC13" s="19" t="n">
        <f aca="false">(Debt!BC65+Debt!BC64+BC12+Debt!BC67)*(1-Time!BC20)</f>
        <v>31.07308221917</v>
      </c>
      <c r="BD13" s="19" t="n">
        <f aca="false">(Debt!BD65+Debt!BD64+BD12+Debt!BD67)*(1-Time!BD20)</f>
        <v>31.1898989720255</v>
      </c>
      <c r="BE13" s="19" t="n">
        <f aca="false">(Debt!BE65+Debt!BE64+BE12+Debt!BE67)*(1-Time!BE20)</f>
        <v>34.1520286404077</v>
      </c>
      <c r="BF13" s="19" t="n">
        <f aca="false">(Debt!BF65+Debt!BF64+BF12+Debt!BF67)*(1-Time!BF20)</f>
        <v>34.2751060537023</v>
      </c>
      <c r="BG13" s="19" t="n">
        <f aca="false">(Debt!BG65+Debt!BG64+BG12+Debt!BG67)*(1-Time!BG20)</f>
        <v>35.8276593761473</v>
      </c>
      <c r="BH13" s="19" t="n">
        <f aca="false">(Debt!BH65+Debt!BH64+BH12+Debt!BH67)*(1-Time!BH20)</f>
        <v>36.1549955143432</v>
      </c>
      <c r="BI13" s="19" t="n">
        <f aca="false">(Debt!BI65+Debt!BI64+BI12+Debt!BI67)*(1-Time!BI20)</f>
        <v>37.5865853073878</v>
      </c>
      <c r="BJ13" s="19" t="n">
        <f aca="false">(Debt!BJ65+Debt!BJ64+BJ12+Debt!BJ67)*(1-Time!BJ20)</f>
        <v>37.72182471002</v>
      </c>
      <c r="BK13" s="19" t="n">
        <f aca="false">(Debt!BK65+Debt!BK64+BK12+Debt!BK67)*(1-Time!BK20)</f>
        <v>39.4331843357959</v>
      </c>
      <c r="BL13" s="19" t="n">
        <f aca="false">(Debt!BL65+Debt!BL64+BL12+Debt!BL67)*(1-Time!BL20)</f>
        <v>39.5754471499755</v>
      </c>
      <c r="BM13" s="19" t="n">
        <f aca="false">(Debt!BM65+Debt!BM64+BM12+Debt!BM67)*(1-Time!BM20)</f>
        <v>41.3558134665787</v>
      </c>
      <c r="BN13" s="19" t="n">
        <f aca="false">(Debt!BN65+Debt!BN64+BN12+Debt!BN67)*(1-Time!BN20)</f>
        <v>41.5042168371896</v>
      </c>
      <c r="BO13" s="19" t="n">
        <f aca="false">(Debt!BO65+Debt!BO64+BO12+Debt!BO67)*(1-Time!BO20)</f>
        <v>36.3859277619422</v>
      </c>
      <c r="BP13" s="19" t="n">
        <f aca="false">(Debt!BP65+Debt!BP64+BP12+Debt!BP67)*(1-Time!BP20)</f>
        <v>36.7826071014018</v>
      </c>
      <c r="BQ13" s="19" t="n">
        <f aca="false">(Debt!BQ65+Debt!BQ64+BQ12+Debt!BQ67)*(1-Time!BQ20)</f>
        <v>38.4991094572238</v>
      </c>
      <c r="BR13" s="19" t="n">
        <f aca="false">(Debt!BR65+Debt!BR64+BR12+Debt!BR67)*(1-Time!BR20)</f>
        <v>38.1823722381341</v>
      </c>
      <c r="BS13" s="19" t="n">
        <f aca="false">(Debt!BS65+Debt!BS64+BS12+Debt!BS67)*(1-Time!BS20)</f>
        <v>40.1753349166197</v>
      </c>
      <c r="BT13" s="19" t="n">
        <f aca="false">(Debt!BT65+Debt!BT64+BT12+Debt!BT67)*(1-Time!BT20)</f>
        <v>39.8478504332554</v>
      </c>
      <c r="BU13" s="19" t="n">
        <f aca="false">(Debt!BU65+Debt!BU64+BU12+Debt!BU67)*(1-Time!BU20)</f>
        <v>48.8987871038113</v>
      </c>
      <c r="BV13" s="19" t="n">
        <f aca="false">(Debt!BV65+Debt!BV64+BV12+Debt!BV67)*(1-Time!BV20)</f>
        <v>48.5601185393956</v>
      </c>
      <c r="BW13" s="19" t="n">
        <f aca="false">(Debt!BW65+Debt!BW64+BW12+Debt!BW67)*(1-Time!BW20)</f>
        <v>50.7000252078237</v>
      </c>
      <c r="BX13" s="19" t="n">
        <f aca="false">(Debt!BX65+Debt!BX64+BX12+Debt!BX67)*(1-Time!BX20)</f>
        <v>50.627956869336</v>
      </c>
      <c r="BY13" s="19" t="n">
        <f aca="false">(Debt!BY65+Debt!BY64+BY12+Debt!BY67)*(1-Time!BY20)</f>
        <v>52.5658535391488</v>
      </c>
      <c r="BZ13" s="19" t="n">
        <f aca="false">(Debt!BZ65+Debt!BZ64+BZ12+Debt!BZ67)*(1-Time!BZ20)</f>
        <v>52.20346498261</v>
      </c>
      <c r="CA13" s="19" t="n">
        <f aca="false">(Debt!CA65+Debt!CA64+CA12+Debt!CA67)*(1-Time!CA20)</f>
        <v>49.9877511628093</v>
      </c>
      <c r="CB13" s="19" t="n">
        <f aca="false">(Debt!CB65+Debt!CB64+CB12+Debt!CB67)*(1-Time!CB20)</f>
        <v>49.6128055244139</v>
      </c>
      <c r="CC13" s="19" t="n">
        <f aca="false">(Debt!CC65+Debt!CC64+CC12+Debt!CC67)*(1-Time!CC20)</f>
        <v>51.9870481967862</v>
      </c>
      <c r="CD13" s="19" t="n">
        <f aca="false">(Debt!CD65+Debt!CD64+CD12+Debt!CD67)*(1-Time!CD20)</f>
        <v>51.5990663118506</v>
      </c>
      <c r="CE13" s="19" t="n">
        <f aca="false">(Debt!CE65+Debt!CE64+CE12+Debt!CE67)*(1-Time!CE20)</f>
        <v>51.8718123417178</v>
      </c>
      <c r="CF13" s="19" t="n">
        <f aca="false">(Debt!CF65+Debt!CF64+CF12+Debt!CF67)*(1-Time!CF20)</f>
        <v>45.569384659704</v>
      </c>
      <c r="CG13" s="19" t="n">
        <f aca="false">(Debt!CG65+Debt!CG64+CG12+Debt!CG67)*(1-Time!CG20)</f>
        <v>48.5529912796476</v>
      </c>
      <c r="CH13" s="19" t="n">
        <f aca="false">(Debt!CH65+Debt!CH64+CH12+Debt!CH67)*(1-Time!CH20)</f>
        <v>6.68312528605446E-014</v>
      </c>
      <c r="CI13" s="19" t="n">
        <f aca="false">(Debt!CI65+Debt!CI64+CI12+Debt!CI67)*(1-Time!CI20)</f>
        <v>6.73920462813777E-014</v>
      </c>
      <c r="CJ13" s="19" t="n">
        <f aca="false">(Debt!CJ65+Debt!CJ64+CJ12+Debt!CJ67)*(1-Time!CJ20)</f>
        <v>6.68312528605446E-014</v>
      </c>
      <c r="CK13" s="19" t="n">
        <f aca="false">(Debt!CK65+Debt!CK64+CK12+Debt!CK67)*(1-Time!CK20)</f>
        <v>6.73920462813777E-014</v>
      </c>
      <c r="CL13" s="19" t="n">
        <f aca="false">(Debt!CL65+Debt!CL64+CL12+Debt!CL67)*(1-Time!CL20)</f>
        <v>6.68312528605446E-014</v>
      </c>
      <c r="CM13" s="19" t="n">
        <f aca="false">(Debt!CM65+Debt!CM64+CM12+Debt!CM67)*(1-Time!CM20)</f>
        <v>6.73920462813777E-014</v>
      </c>
      <c r="CN13" s="19" t="n">
        <f aca="false">(Debt!CN65+Debt!CN64+CN12+Debt!CN67)*(1-Time!CN20)</f>
        <v>6.70181840008223E-014</v>
      </c>
      <c r="CO13" s="19" t="n">
        <f aca="false">(Debt!CO65+Debt!CO64+CO12+Debt!CO67)*(1-Time!CO20)</f>
        <v>6.73920462813777E-014</v>
      </c>
      <c r="CP13" s="19" t="n">
        <f aca="false">(Debt!CP65+Debt!CP64+CP12+Debt!CP67)*(1-Time!CP20)</f>
        <v>6.68312528605446E-014</v>
      </c>
      <c r="CQ13" s="19" t="n">
        <f aca="false">(Debt!CQ65+Debt!CQ64+CQ12+Debt!CQ67)*(1-Time!CQ20)</f>
        <v>6.73920462813777E-014</v>
      </c>
      <c r="CR13" s="19" t="n">
        <f aca="false">(Debt!CR65+Debt!CR64+CR12+Debt!CR67)*(1-Time!CR20)</f>
        <v>6.68312528605446E-014</v>
      </c>
      <c r="CS13" s="19" t="n">
        <f aca="false">(Debt!CS65+Debt!CS64+CS12+Debt!CS67)*(1-Time!CS20)</f>
        <v>1.34223299141922E-013</v>
      </c>
      <c r="CT13" s="19" t="n">
        <f aca="false">(Debt!CT65+Debt!CT64+CT12+Debt!CT67)*(1-Time!CT20)</f>
        <v>2.01054552002467E-013</v>
      </c>
      <c r="CU13" s="19" t="n">
        <f aca="false">(Debt!CU65+Debt!CU64+CU12+Debt!CU67)*(1-Time!CU20)</f>
        <v>2.68446598283845E-013</v>
      </c>
      <c r="CV13" s="19" t="n">
        <f aca="false">(Debt!CV65+Debt!CV64+CV12+Debt!CV67)*(1-Time!CV20)</f>
        <v>3.35464782284667E-013</v>
      </c>
      <c r="CW13" s="19" t="n">
        <f aca="false">(Debt!CW65+Debt!CW64+CW12+Debt!CW67)*(1-Time!CW20)</f>
        <v>4.02856828566045E-013</v>
      </c>
      <c r="CX13" s="19" t="n">
        <f aca="false">(Debt!CX65+Debt!CX64+CX12+Debt!CX67)*(1-Time!CX20)</f>
        <v>4.69688081426589E-013</v>
      </c>
      <c r="CY13" s="19" t="n">
        <f aca="false">(Debt!CY65+Debt!CY64+CY12+Debt!CY67)*(1-Time!CY20)</f>
        <v>5.37080127707967E-013</v>
      </c>
      <c r="CZ13" s="19" t="n">
        <f aca="false">(Debt!CZ65+Debt!CZ64+CZ12+Debt!CZ67)*(1-Time!CZ20)</f>
        <v>6.03911380568512E-013</v>
      </c>
      <c r="DA13" s="19" t="n">
        <f aca="false">(Debt!DA65+Debt!DA64+DA12+Debt!DA67)*(1-Time!DA20)</f>
        <v>6.71303426849889E-013</v>
      </c>
      <c r="DB13" s="19" t="n">
        <f aca="false">(Debt!DB65+Debt!DB64+DB12+Debt!DB67)*(1-Time!DB20)</f>
        <v>7.38134679710434E-013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2004.84264043425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23.0533401819185</v>
      </c>
      <c r="AW14" s="19" t="n">
        <f aca="false">MIN(AW13,MAX(0,AW10)+Reserves!AW8)*(1-Time!AW20)</f>
        <v>25.0503904348576</v>
      </c>
      <c r="AX14" s="19" t="n">
        <f aca="false">MIN(AX13,MAX(0,AX10)+Reserves!AX8)*(1-Time!AX20)</f>
        <v>25.1508622905465</v>
      </c>
      <c r="AY14" s="19" t="n">
        <f aca="false">MIN(AY13,MAX(0,AY10)+Reserves!AY8)*(1-Time!AY20)</f>
        <v>24.9746741850301</v>
      </c>
      <c r="AZ14" s="19" t="n">
        <f aca="false">MIN(AZ13,MAX(0,AZ10)+Reserves!AZ8)*(1-Time!AZ20)</f>
        <v>25.2447615195179</v>
      </c>
      <c r="BA14" s="19" t="n">
        <f aca="false">MIN(BA13,MAX(0,BA10)+Reserves!BA8)*(1-Time!BA20)</f>
        <v>26.4296082744213</v>
      </c>
      <c r="BB14" s="19" t="n">
        <f aca="false">MIN(BB13,MAX(0,BB10)+Reserves!BB8)*(1-Time!BB20)</f>
        <v>26.5404185160595</v>
      </c>
      <c r="BC14" s="19" t="n">
        <f aca="false">MIN(BC13,MAX(0,BC10)+Reserves!BC8)*(1-Time!BC20)</f>
        <v>31.07308221917</v>
      </c>
      <c r="BD14" s="19" t="n">
        <f aca="false">MIN(BD13,MAX(0,BD10)+Reserves!BD8)*(1-Time!BD20)</f>
        <v>31.1898989720255</v>
      </c>
      <c r="BE14" s="19" t="n">
        <f aca="false">MIN(BE13,MAX(0,BE10)+Reserves!BE8)*(1-Time!BE20)</f>
        <v>34.1520286404077</v>
      </c>
      <c r="BF14" s="19" t="n">
        <f aca="false">MIN(BF13,MAX(0,BF10)+Reserves!BF8)*(1-Time!BF20)</f>
        <v>34.2751060537023</v>
      </c>
      <c r="BG14" s="19" t="n">
        <f aca="false">MIN(BG13,MAX(0,BG10)+Reserves!BG8)*(1-Time!BG20)</f>
        <v>35.8276593761473</v>
      </c>
      <c r="BH14" s="19" t="n">
        <f aca="false">MIN(BH13,MAX(0,BH10)+Reserves!BH8)*(1-Time!BH20)</f>
        <v>36.1549955143432</v>
      </c>
      <c r="BI14" s="19" t="n">
        <f aca="false">MIN(BI13,MAX(0,BI10)+Reserves!BI8)*(1-Time!BI20)</f>
        <v>37.5865853073878</v>
      </c>
      <c r="BJ14" s="19" t="n">
        <f aca="false">MIN(BJ13,MAX(0,BJ10)+Reserves!BJ8)*(1-Time!BJ20)</f>
        <v>37.72182471002</v>
      </c>
      <c r="BK14" s="19" t="n">
        <f aca="false">MIN(BK13,MAX(0,BK10)+Reserves!BK8)*(1-Time!BK20)</f>
        <v>39.4331843357959</v>
      </c>
      <c r="BL14" s="19" t="n">
        <f aca="false">MIN(BL13,MAX(0,BL10)+Reserves!BL8)*(1-Time!BL20)</f>
        <v>39.5754471499755</v>
      </c>
      <c r="BM14" s="19" t="n">
        <f aca="false">MIN(BM13,MAX(0,BM10)+Reserves!BM8)*(1-Time!BM20)</f>
        <v>41.3558134665787</v>
      </c>
      <c r="BN14" s="19" t="n">
        <f aca="false">MIN(BN13,MAX(0,BN10)+Reserves!BN8)*(1-Time!BN20)</f>
        <v>41.5042168371896</v>
      </c>
      <c r="BO14" s="19" t="n">
        <f aca="false">MIN(BO13,MAX(0,BO10)+Reserves!BO8)*(1-Time!BO20)</f>
        <v>36.3859277619422</v>
      </c>
      <c r="BP14" s="19" t="n">
        <f aca="false">MIN(BP13,MAX(0,BP10)+Reserves!BP8)*(1-Time!BP20)</f>
        <v>36.7826071014018</v>
      </c>
      <c r="BQ14" s="19" t="n">
        <f aca="false">MIN(BQ13,MAX(0,BQ10)+Reserves!BQ8)*(1-Time!BQ20)</f>
        <v>38.4991094572238</v>
      </c>
      <c r="BR14" s="19" t="n">
        <f aca="false">MIN(BR13,MAX(0,BR10)+Reserves!BR8)*(1-Time!BR20)</f>
        <v>38.1823722381341</v>
      </c>
      <c r="BS14" s="19" t="n">
        <f aca="false">MIN(BS13,MAX(0,BS10)+Reserves!BS8)*(1-Time!BS20)</f>
        <v>40.1753349166197</v>
      </c>
      <c r="BT14" s="19" t="n">
        <f aca="false">MIN(BT13,MAX(0,BT10)+Reserves!BT8)*(1-Time!BT20)</f>
        <v>39.8478504332554</v>
      </c>
      <c r="BU14" s="19" t="n">
        <f aca="false">MIN(BU13,MAX(0,BU10)+Reserves!BU8)*(1-Time!BU20)</f>
        <v>48.8987871038113</v>
      </c>
      <c r="BV14" s="19" t="n">
        <f aca="false">MIN(BV13,MAX(0,BV10)+Reserves!BV8)*(1-Time!BV20)</f>
        <v>48.5601185393956</v>
      </c>
      <c r="BW14" s="19" t="n">
        <f aca="false">MIN(BW13,MAX(0,BW10)+Reserves!BW8)*(1-Time!BW20)</f>
        <v>50.7000252078237</v>
      </c>
      <c r="BX14" s="19" t="n">
        <f aca="false">MIN(BX13,MAX(0,BX10)+Reserves!BX8)*(1-Time!BX20)</f>
        <v>50.627956869336</v>
      </c>
      <c r="BY14" s="19" t="n">
        <f aca="false">MIN(BY13,MAX(0,BY10)+Reserves!BY8)*(1-Time!BY20)</f>
        <v>52.5658535391488</v>
      </c>
      <c r="BZ14" s="19" t="n">
        <f aca="false">MIN(BZ13,MAX(0,BZ10)+Reserves!BZ8)*(1-Time!BZ20)</f>
        <v>52.20346498261</v>
      </c>
      <c r="CA14" s="19" t="n">
        <f aca="false">MIN(CA13,MAX(0,CA10)+Reserves!CA8)*(1-Time!CA20)</f>
        <v>49.9877511628093</v>
      </c>
      <c r="CB14" s="19" t="n">
        <f aca="false">MIN(CB13,MAX(0,CB10)+Reserves!CB8)*(1-Time!CB20)</f>
        <v>49.6128055244139</v>
      </c>
      <c r="CC14" s="19" t="n">
        <f aca="false">MIN(CC13,MAX(0,CC10)+Reserves!CC8)*(1-Time!CC20)</f>
        <v>51.9870481967862</v>
      </c>
      <c r="CD14" s="19" t="n">
        <f aca="false">MIN(CD13,MAX(0,CD10)+Reserves!CD8)*(1-Time!CD20)</f>
        <v>51.5990663118506</v>
      </c>
      <c r="CE14" s="19" t="n">
        <f aca="false">MIN(CE13,MAX(0,CE10)+Reserves!CE8)*(1-Time!CE20)</f>
        <v>51.8718123417178</v>
      </c>
      <c r="CF14" s="19" t="n">
        <f aca="false">MIN(CF13,MAX(0,CF10)+Reserves!CF8)*(1-Time!CF20)</f>
        <v>45.569384659704</v>
      </c>
      <c r="CG14" s="19" t="n">
        <f aca="false">MIN(CG13,MAX(0,CG10)+Reserves!CG8)*(1-Time!CG20)</f>
        <v>48.5529912796476</v>
      </c>
      <c r="CH14" s="19" t="n">
        <f aca="false">MIN(CH13,MAX(0,CH10)+Reserves!CH8)*(1-Time!CH20)</f>
        <v>6.68312528605446E-014</v>
      </c>
      <c r="CI14" s="19" t="n">
        <f aca="false">MIN(CI13,MAX(0,CI10)+Reserves!CI8)*(1-Time!CI20)</f>
        <v>6.73920462813777E-014</v>
      </c>
      <c r="CJ14" s="19" t="n">
        <f aca="false">MIN(CJ13,MAX(0,CJ10)+Reserves!CJ8)*(1-Time!CJ20)</f>
        <v>6.68312528605446E-014</v>
      </c>
      <c r="CK14" s="19" t="n">
        <f aca="false">MIN(CK13,MAX(0,CK10)+Reserves!CK8)*(1-Time!CK20)</f>
        <v>6.73920462813777E-014</v>
      </c>
      <c r="CL14" s="19" t="n">
        <f aca="false">MIN(CL13,MAX(0,CL10)+Reserves!CL8)*(1-Time!CL20)</f>
        <v>6.68312528605446E-014</v>
      </c>
      <c r="CM14" s="19" t="n">
        <f aca="false">MIN(CM13,MAX(0,CM10)+Reserves!CM8)*(1-Time!CM20)</f>
        <v>6.73920462813777E-014</v>
      </c>
      <c r="CN14" s="19" t="n">
        <f aca="false">MIN(CN13,MAX(0,CN10)+Reserves!CN8)*(1-Time!CN20)</f>
        <v>6.70181840008223E-014</v>
      </c>
      <c r="CO14" s="19" t="n">
        <f aca="false">MIN(CO13,MAX(0,CO10)+Reserves!CO8)*(1-Time!CO20)</f>
        <v>6.73920462813777E-014</v>
      </c>
      <c r="CP14" s="19" t="n">
        <f aca="false">MIN(CP13,MAX(0,CP10)+Reserves!CP8)*(1-Time!CP20)</f>
        <v>6.68312528605446E-014</v>
      </c>
      <c r="CQ14" s="19" t="n">
        <f aca="false">MIN(CQ13,MAX(0,CQ10)+Reserves!CQ8)*(1-Time!CQ20)</f>
        <v>6.73920462813777E-014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4.96198220069812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4.96198220069812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1117.75048922056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23.231524974205</v>
      </c>
      <c r="AX16" s="19" t="n">
        <f aca="false">MIN(Debt!AX64+AX12,AX14-AX15)</f>
        <v>22.9970595048644</v>
      </c>
      <c r="AY16" s="19" t="n">
        <f aca="false">MIN(Debt!AY64+AY12,AY14-AY15)</f>
        <v>23.1269009193199</v>
      </c>
      <c r="AZ16" s="19" t="n">
        <f aca="false">MIN(Debt!AZ64+AZ12,AZ14-AZ15)</f>
        <v>22.9544274719964</v>
      </c>
      <c r="BA16" s="19" t="n">
        <f aca="false">MIN(Debt!BA64+BA12,BA14-BA15)</f>
        <v>23.0179198668346</v>
      </c>
      <c r="BB16" s="19" t="n">
        <f aca="false">MIN(Debt!BB64+BB12,BB14-BB15)</f>
        <v>22.7435623651656</v>
      </c>
      <c r="BC16" s="19" t="n">
        <f aca="false">MIN(Debt!BC64+BC12,BC14-BC15)</f>
        <v>22.8280758842104</v>
      </c>
      <c r="BD16" s="19" t="n">
        <f aca="false">MIN(Debt!BD64+BD12,BD14-BD15)</f>
        <v>22.4289803371926</v>
      </c>
      <c r="BE16" s="19" t="n">
        <f aca="false">MIN(Debt!BE64+BE12,BE14-BE15)</f>
        <v>22.3802084266006</v>
      </c>
      <c r="BF16" s="19" t="n">
        <f aca="false">MIN(Debt!BF64+BF12,BF14-BF15)</f>
        <v>21.8925823643347</v>
      </c>
      <c r="BG16" s="19" t="n">
        <f aca="false">MIN(Debt!BG64+BG12,BG14-BG15)</f>
        <v>21.7815397189592</v>
      </c>
      <c r="BH16" s="19" t="n">
        <f aca="false">MIN(Debt!BH64+BH12,BH14-BH15)</f>
        <v>21.2959155857235</v>
      </c>
      <c r="BI16" s="19" t="n">
        <f aca="false">MIN(Debt!BI64+BI12,BI14-BI15)</f>
        <v>21.0189819476258</v>
      </c>
      <c r="BJ16" s="19" t="n">
        <f aca="false">MIN(Debt!BJ64+BJ12,BJ14-BJ15)</f>
        <v>20.4159868898359</v>
      </c>
      <c r="BK16" s="19" t="n">
        <f aca="false">MIN(Debt!BK64+BK12,BK14-BK15)</f>
        <v>20.125355327374</v>
      </c>
      <c r="BL16" s="19" t="n">
        <f aca="false">MIN(Debt!BL64+BL12,BL14-BL15)</f>
        <v>19.4578561307466</v>
      </c>
      <c r="BM16" s="19" t="n">
        <f aca="false">MIN(Debt!BM64+BM12,BM14-BM15)</f>
        <v>19.0852600898055</v>
      </c>
      <c r="BN16" s="19" t="n">
        <f aca="false">MIN(Debt!BN64+BN12,BN14-BN15)</f>
        <v>18.3486150062057</v>
      </c>
      <c r="BO16" s="19" t="n">
        <f aca="false">MIN(Debt!BO64+BO12,BO14-BO15)</f>
        <v>17.8868574435052</v>
      </c>
      <c r="BP16" s="19" t="n">
        <f aca="false">MIN(Debt!BP64+BP12,BP14-BP15)</f>
        <v>17.3053210007609</v>
      </c>
      <c r="BQ16" s="19" t="n">
        <f aca="false">MIN(Debt!BQ64+BQ12,BQ14-BQ15)</f>
        <v>16.884990439324</v>
      </c>
      <c r="BR16" s="19" t="n">
        <f aca="false">MIN(Debt!BR64+BR12,BR14-BR15)</f>
        <v>16.1832606811241</v>
      </c>
      <c r="BS16" s="19" t="n">
        <f aca="false">MIN(Debt!BS64+BS12,BS14-BS15)</f>
        <v>15.7344151662102</v>
      </c>
      <c r="BT16" s="19" t="n">
        <f aca="false">MIN(Debt!BT64+BT12,BT14-BT15)</f>
        <v>14.9679870878782</v>
      </c>
      <c r="BU16" s="19" t="n">
        <f aca="false">MIN(Debt!BU64+BU12,BU14-BU15)</f>
        <v>14.4332670344947</v>
      </c>
      <c r="BV16" s="19" t="n">
        <f aca="false">MIN(Debt!BV64+BV12,BV14-BV15)</f>
        <v>13.4149976665852</v>
      </c>
      <c r="BW16" s="19" t="n">
        <f aca="false">MIN(Debt!BW64+BW12,BW14-BW15)</f>
        <v>12.5968453533251</v>
      </c>
      <c r="BX16" s="19" t="n">
        <f aca="false">MIN(Debt!BX64+BX12,BX14-BX15)</f>
        <v>11.5293358379674</v>
      </c>
      <c r="BY16" s="19" t="n">
        <f aca="false">MIN(Debt!BY64+BY12,BY14-BY15)</f>
        <v>10.5601587339616</v>
      </c>
      <c r="BZ16" s="19" t="n">
        <f aca="false">MIN(Debt!BZ64+BZ12,BZ14-BZ15)</f>
        <v>9.37579584700089</v>
      </c>
      <c r="CA16" s="19" t="n">
        <f aca="false">MIN(Debt!CA64+CA12,CA14-CA15)</f>
        <v>8.32214128836796</v>
      </c>
      <c r="CB16" s="19" t="n">
        <f aca="false">MIN(Debt!CB64+CB12,CB14-CB15)</f>
        <v>7.16471958592024</v>
      </c>
      <c r="CC16" s="19" t="n">
        <f aca="false">MIN(Debt!CC64+CC12,CC14-CC15)</f>
        <v>6.10310964918791</v>
      </c>
      <c r="CD16" s="19" t="n">
        <f aca="false">MIN(Debt!CD64+CD12,CD14-CD15)</f>
        <v>4.85318848282316</v>
      </c>
      <c r="CE16" s="19" t="n">
        <f aca="false">MIN(Debt!CE64+CE12,CE14-CE15)</f>
        <v>3.65941137526709</v>
      </c>
      <c r="CF16" s="19" t="n">
        <f aca="false">MIN(Debt!CF64+CF12,CF14-CF15)</f>
        <v>2.37467271788803</v>
      </c>
      <c r="CG16" s="19" t="n">
        <f aca="false">MIN(Debt!CG64+CG12,CG14-CG15)</f>
        <v>1.24796965190443</v>
      </c>
      <c r="CH16" s="19" t="n">
        <f aca="false">MIN(Debt!CH64+CH12,CH14-CH15)</f>
        <v>6.68312528605446E-014</v>
      </c>
      <c r="CI16" s="19" t="n">
        <f aca="false">MIN(Debt!CI64+CI12,CI14-CI15)</f>
        <v>6.73920462813777E-014</v>
      </c>
      <c r="CJ16" s="19" t="n">
        <f aca="false">MIN(Debt!CJ64+CJ12,CJ14-CJ15)</f>
        <v>6.68312528605446E-014</v>
      </c>
      <c r="CK16" s="19" t="n">
        <f aca="false">MIN(Debt!CK64+CK12,CK14-CK15)</f>
        <v>6.73920462813777E-014</v>
      </c>
      <c r="CL16" s="19" t="n">
        <f aca="false">MIN(Debt!CL64+CL12,CL14-CL15)</f>
        <v>6.68312528605446E-014</v>
      </c>
      <c r="CM16" s="19" t="n">
        <f aca="false">MIN(Debt!CM64+CM12,CM14-CM15)</f>
        <v>6.73920462813777E-014</v>
      </c>
      <c r="CN16" s="19" t="n">
        <f aca="false">MIN(Debt!CN64+CN12,CN14-CN15)</f>
        <v>6.70181840008223E-014</v>
      </c>
      <c r="CO16" s="19" t="n">
        <f aca="false">MIN(Debt!CO64+CO12,CO14-CO15)</f>
        <v>6.73920462813777E-014</v>
      </c>
      <c r="CP16" s="19" t="n">
        <f aca="false">MIN(Debt!CP64+CP12,CP14-CP15)</f>
        <v>6.68312528605446E-014</v>
      </c>
      <c r="CQ16" s="19" t="n">
        <f aca="false">MIN(Debt!CQ64+CQ12,CQ14-CQ15)</f>
        <v>6.73920462813777E-014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882.130169012997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0.00854143668563978</v>
      </c>
      <c r="AW17" s="19" t="n">
        <f aca="false">AW14-AW15-AW16</f>
        <v>1.81886546065254</v>
      </c>
      <c r="AX17" s="19" t="n">
        <f aca="false">AX14-AX15-AX16</f>
        <v>2.15380278568206</v>
      </c>
      <c r="AY17" s="19" t="n">
        <f aca="false">AY14-AY15-AY16</f>
        <v>1.84777326571026</v>
      </c>
      <c r="AZ17" s="19" t="n">
        <f aca="false">AZ14-AZ15-AZ16</f>
        <v>2.29033404752155</v>
      </c>
      <c r="BA17" s="19" t="n">
        <f aca="false">BA14-BA15-BA16</f>
        <v>3.41168840758671</v>
      </c>
      <c r="BB17" s="19" t="n">
        <f aca="false">BB14-BB15-BB16</f>
        <v>3.7968561508939</v>
      </c>
      <c r="BC17" s="19" t="n">
        <f aca="false">BC14-BC15-BC16</f>
        <v>8.24500633495962</v>
      </c>
      <c r="BD17" s="19" t="n">
        <f aca="false">BD14-BD15-BD16</f>
        <v>8.76091863483294</v>
      </c>
      <c r="BE17" s="19" t="n">
        <f aca="false">BE14-BE15-BE16</f>
        <v>11.7718202138071</v>
      </c>
      <c r="BF17" s="19" t="n">
        <f aca="false">BF14-BF15-BF16</f>
        <v>12.3825236893676</v>
      </c>
      <c r="BG17" s="19" t="n">
        <f aca="false">BG14-BG15-BG16</f>
        <v>14.0461196571882</v>
      </c>
      <c r="BH17" s="19" t="n">
        <f aca="false">BH14-BH15-BH16</f>
        <v>14.8590799286198</v>
      </c>
      <c r="BI17" s="19" t="n">
        <f aca="false">BI14-BI15-BI16</f>
        <v>16.567603359762</v>
      </c>
      <c r="BJ17" s="19" t="n">
        <f aca="false">BJ14-BJ15-BJ16</f>
        <v>17.3058378201841</v>
      </c>
      <c r="BK17" s="19" t="n">
        <f aca="false">BK14-BK15-BK16</f>
        <v>19.3078290084219</v>
      </c>
      <c r="BL17" s="19" t="n">
        <f aca="false">BL14-BL15-BL16</f>
        <v>20.1175910192289</v>
      </c>
      <c r="BM17" s="19" t="n">
        <f aca="false">BM14-BM15-BM16</f>
        <v>22.2705533767732</v>
      </c>
      <c r="BN17" s="19" t="n">
        <f aca="false">BN14-BN15-BN16</f>
        <v>23.1556018309839</v>
      </c>
      <c r="BO17" s="19" t="n">
        <f aca="false">BO14-BO15-BO16</f>
        <v>18.499070318437</v>
      </c>
      <c r="BP17" s="19" t="n">
        <f aca="false">BP14-BP15-BP16</f>
        <v>19.4772861006409</v>
      </c>
      <c r="BQ17" s="19" t="n">
        <f aca="false">BQ14-BQ15-BQ16</f>
        <v>21.6141190178998</v>
      </c>
      <c r="BR17" s="19" t="n">
        <f aca="false">BR14-BR15-BR16</f>
        <v>21.99911155701</v>
      </c>
      <c r="BS17" s="19" t="n">
        <f aca="false">BS14-BS15-BS16</f>
        <v>24.4409197504095</v>
      </c>
      <c r="BT17" s="19" t="n">
        <f aca="false">BT14-BT15-BT16</f>
        <v>24.8798633453773</v>
      </c>
      <c r="BU17" s="19" t="n">
        <f aca="false">BU14-BU15-BU16</f>
        <v>34.4655200693166</v>
      </c>
      <c r="BV17" s="19" t="n">
        <f aca="false">BV14-BV15-BV16</f>
        <v>35.1451208728104</v>
      </c>
      <c r="BW17" s="19" t="n">
        <f aca="false">BW14-BW15-BW16</f>
        <v>38.1031798544986</v>
      </c>
      <c r="BX17" s="19" t="n">
        <f aca="false">BX14-BX15-BX16</f>
        <v>39.0986210313686</v>
      </c>
      <c r="BY17" s="19" t="n">
        <f aca="false">BY14-BY15-BY16</f>
        <v>42.0056948051872</v>
      </c>
      <c r="BZ17" s="19" t="n">
        <f aca="false">BZ14-BZ15-BZ16</f>
        <v>42.8276691356091</v>
      </c>
      <c r="CA17" s="19" t="n">
        <f aca="false">CA14-CA15-CA16</f>
        <v>41.6656098744414</v>
      </c>
      <c r="CB17" s="19" t="n">
        <f aca="false">CB14-CB15-CB16</f>
        <v>42.4480859384936</v>
      </c>
      <c r="CC17" s="19" t="n">
        <f aca="false">CC14-CC15-CC16</f>
        <v>45.8839385475982</v>
      </c>
      <c r="CD17" s="19" t="n">
        <f aca="false">CD14-CD15-CD16</f>
        <v>46.7458778290274</v>
      </c>
      <c r="CE17" s="19" t="n">
        <f aca="false">CE14-CE15-CE16</f>
        <v>48.2124009664507</v>
      </c>
      <c r="CF17" s="19" t="n">
        <f aca="false">CF14-CF15-CF16</f>
        <v>43.194711941816</v>
      </c>
      <c r="CG17" s="19" t="n">
        <f aca="false">CG14-CG15-CG16</f>
        <v>47.3050216277432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0.489454811071209</v>
      </c>
      <c r="AY18" s="16" t="n">
        <f aca="false">IF(Debt!AY64+AY12&gt;0,(Debt!AY44+Debt!AY56)/(Debt!AY64+AY12),0)</f>
        <v>0.49356328433615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</v>
      </c>
      <c r="BB18" s="16" t="n">
        <f aca="false">IF(Debt!BB64+BB12&gt;0,(Debt!BB44+Debt!BB56)/(Debt!BB64+BB12),0)</f>
        <v>0.489454811071209</v>
      </c>
      <c r="BC18" s="16" t="n">
        <f aca="false">IF(Debt!BC64+BC12&gt;0,(Debt!BC44+Debt!BC56)/(Debt!BC64+BC12),0)</f>
        <v>0.49356328433615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0.490325535743498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0.490325535743497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0.490325535743497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0.490325535743498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0.494434239648985</v>
      </c>
      <c r="CH18" s="16" t="n">
        <f aca="false">IF(Debt!CH64+CH12&gt;0,(Debt!CH44+Debt!CH56)/(Debt!CH64+CH12),0)</f>
        <v>0.506268174574956</v>
      </c>
      <c r="CI18" s="16" t="n">
        <f aca="false">IF(Debt!CI64+CI12&gt;0,(Debt!CI44+Debt!CI56)/(Debt!CI64+CI12),0)</f>
        <v>0.510376694417168</v>
      </c>
      <c r="CJ18" s="16" t="n">
        <f aca="false">IF(Debt!CJ64+CJ12&gt;0,(Debt!CJ44+Debt!CJ56)/(Debt!CJ64+CJ12),0)</f>
        <v>0.506268174574956</v>
      </c>
      <c r="CK18" s="16" t="n">
        <f aca="false">IF(Debt!CK64+CK12&gt;0,(Debt!CK44+Debt!CK56)/(Debt!CK64+CK12),0)</f>
        <v>0.510376694417168</v>
      </c>
      <c r="CL18" s="16" t="n">
        <f aca="false">IF(Debt!CL64+CL12&gt;0,(Debt!CL44+Debt!CL56)/(Debt!CL64+CL12),0)</f>
        <v>0.506268174574956</v>
      </c>
      <c r="CM18" s="16" t="n">
        <f aca="false">IF(Debt!CM64+CM12&gt;0,(Debt!CM44+Debt!CM56)/(Debt!CM64+CM12),0)</f>
        <v>0.510376694417168</v>
      </c>
      <c r="CN18" s="16" t="n">
        <f aca="false">IF(Debt!CN64+CN12&gt;0,(Debt!CN44+Debt!CN56)/(Debt!CN64+CN12),0)</f>
        <v>0.507645321009079</v>
      </c>
      <c r="CO18" s="16" t="n">
        <f aca="false">IF(Debt!CO64+CO12&gt;0,(Debt!CO44+Debt!CO56)/(Debt!CO64+CO12),0)</f>
        <v>0.510376694417168</v>
      </c>
      <c r="CP18" s="16" t="n">
        <f aca="false">IF(Debt!CP64+CP12&gt;0,(Debt!CP44+Debt!CP56)/(Debt!CP64+CP12),0)</f>
        <v>0.506268174574956</v>
      </c>
      <c r="CQ18" s="16" t="n">
        <f aca="false">IF(Debt!CQ64+CQ12&gt;0,(Debt!CQ44+Debt!CQ56)/(Debt!CQ64+CQ12),0)</f>
        <v>0.510376694417168</v>
      </c>
      <c r="CR18" s="16" t="n">
        <f aca="false">IF(Debt!CR64+CR12&gt;0,(Debt!CR44+Debt!CR56)/(Debt!CR64+CR12),0)</f>
        <v>0.506268174574956</v>
      </c>
      <c r="CS18" s="16" t="n">
        <f aca="false">IF(Debt!CS64+CS12&gt;0,(Debt!CS44+Debt!CS56)/(Debt!CS64+CS12),0)</f>
        <v>0.508331017323752</v>
      </c>
      <c r="CT18" s="16" t="n">
        <f aca="false">IF(Debt!CT64+CT12&gt;0,(Debt!CT44+Debt!CT56)/(Debt!CT64+CT12),0)</f>
        <v>0.507645321009079</v>
      </c>
      <c r="CU18" s="16" t="n">
        <f aca="false">IF(Debt!CU64+CU12&gt;0,(Debt!CU44+Debt!CU56)/(Debt!CU64+CU12),0)</f>
        <v>0.508331017323752</v>
      </c>
      <c r="CV18" s="16" t="n">
        <f aca="false">IF(Debt!CV64+CV12&gt;0,(Debt!CV44+Debt!CV56)/(Debt!CV64+CV12),0)</f>
        <v>0.508194030897122</v>
      </c>
      <c r="CW18" s="16" t="n">
        <f aca="false">IF(Debt!CW64+CW12&gt;0,(Debt!CW44+Debt!CW56)/(Debt!CW64+CW12),0)</f>
        <v>0.508559158531878</v>
      </c>
      <c r="CX18" s="16" t="n">
        <f aca="false">IF(Debt!CX64+CX12&gt;0,(Debt!CX44+Debt!CX56)/(Debt!CX64+CX12),0)</f>
        <v>0.508233177664619</v>
      </c>
      <c r="CY18" s="16" t="n">
        <f aca="false">IF(Debt!CY64+CY12&gt;0,(Debt!CY44+Debt!CY56)/(Debt!CY64+CY12),0)</f>
        <v>0.508502143081026</v>
      </c>
      <c r="CZ18" s="16" t="n">
        <f aca="false">IF(Debt!CZ64+CZ12&gt;0,(Debt!CZ44+Debt!CZ56)/(Debt!CZ64+CZ12),0)</f>
        <v>0.508254923176061</v>
      </c>
      <c r="DA18" s="16" t="n">
        <f aca="false">IF(Debt!DA64+DA12&gt;0,(Debt!DA44+Debt!DA56)/(Debt!DA64+DA12),0)</f>
        <v>0.508467927459906</v>
      </c>
      <c r="DB18" s="16" t="n">
        <f aca="false">IF(Debt!DB64+DB12&gt;0,(Debt!DB44+Debt!DB56)/(Debt!DB64+DB12),0)</f>
        <v>0.508268760227522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0.50643671566385</v>
      </c>
      <c r="AH19" s="16" t="n">
        <f aca="false">IF(Debt!AH64+AH12&gt;0,(Debt!AH51+Debt!AH57)/(Debt!AH64+AH12),0)</f>
        <v>0.510545188928791</v>
      </c>
      <c r="AI19" s="16" t="n">
        <f aca="false">IF(Debt!AI64+AI12&gt;0,(Debt!AI51+Debt!AI57)/(Debt!AI64+AI12),0)</f>
        <v>0.50643671566385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0.50643671566385</v>
      </c>
      <c r="AL19" s="16" t="n">
        <f aca="false">IF(Debt!AL64+AL12&gt;0,(Debt!AL51+Debt!AL57)/(Debt!AL64+AL12),0)</f>
        <v>0.510545188928791</v>
      </c>
      <c r="AM19" s="16" t="n">
        <f aca="false">IF(Debt!AM64+AM12&gt;0,(Debt!AM51+Debt!AM57)/(Debt!AM64+AM12),0)</f>
        <v>0.50643671566385</v>
      </c>
      <c r="AN19" s="16" t="n">
        <f aca="false">IF(Debt!AN64+AN12&gt;0,(Debt!AN51+Debt!AN57)/(Debt!AN64+AN12),0)</f>
        <v>0.510545188928791</v>
      </c>
      <c r="AO19" s="16" t="n">
        <f aca="false">IF(Debt!AO64+AO12&gt;0,(Debt!AO51+Debt!AO57)/(Debt!AO64+AO12),0)</f>
        <v>0.50643671566385</v>
      </c>
      <c r="AP19" s="16" t="n">
        <f aca="false">IF(Debt!AP64+AP12&gt;0,(Debt!AP51+Debt!AP57)/(Debt!AP64+AP12),0)</f>
        <v>0.510545188928791</v>
      </c>
      <c r="AQ19" s="16" t="n">
        <f aca="false">IF(Debt!AQ64+AQ12&gt;0,(Debt!AQ51+Debt!AQ57)/(Debt!AQ64+AQ12),0)</f>
        <v>0.50643671566385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0.50643671566385</v>
      </c>
      <c r="AT19" s="16" t="n">
        <f aca="false">IF(Debt!AT64+AT12&gt;0,(Debt!AT51+Debt!AT57)/(Debt!AT64+AT12),0)</f>
        <v>0.510545188928791</v>
      </c>
      <c r="AU19" s="16" t="n">
        <f aca="false">IF(Debt!AU64+AU12&gt;0,(Debt!AU51+Debt!AU57)/(Debt!AU64+AU12),0)</f>
        <v>0.50643671566385</v>
      </c>
      <c r="AV19" s="16" t="n">
        <f aca="false">IF(Debt!AV64+AV12&gt;0,(Debt!AV51+Debt!AV57)/(Debt!AV64+AV12),0)</f>
        <v>0.510545188928791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0.50643671566385</v>
      </c>
      <c r="BF19" s="16" t="n">
        <f aca="false">IF(Debt!BF64+BF12&gt;0,(Debt!BF51+Debt!BF57)/(Debt!BF64+BF12),0)</f>
        <v>0.510545188928791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0.509674464256503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0.509674464256503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0.509674464256502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0.509674464256502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0.509674464256502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0.509674464256502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0.505565760351015</v>
      </c>
      <c r="CH19" s="16" t="n">
        <f aca="false">IF(Debt!CH64+CH12&gt;0,(Debt!CH51+Debt!CH57)/(Debt!CH64+CH12),0)</f>
        <v>0.493731825425044</v>
      </c>
      <c r="CI19" s="16" t="n">
        <f aca="false">IF(Debt!CI64+CI12&gt;0,(Debt!CI51+Debt!CI57)/(Debt!CI64+CI12),0)</f>
        <v>0.489623305582832</v>
      </c>
      <c r="CJ19" s="16" t="n">
        <f aca="false">IF(Debt!CJ64+CJ12&gt;0,(Debt!CJ51+Debt!CJ57)/(Debt!CJ64+CJ12),0)</f>
        <v>0.493731825425044</v>
      </c>
      <c r="CK19" s="16" t="n">
        <f aca="false">IF(Debt!CK64+CK12&gt;0,(Debt!CK51+Debt!CK57)/(Debt!CK64+CK12),0)</f>
        <v>0.489623305582832</v>
      </c>
      <c r="CL19" s="16" t="n">
        <f aca="false">IF(Debt!CL64+CL12&gt;0,(Debt!CL51+Debt!CL57)/(Debt!CL64+CL12),0)</f>
        <v>0.493731825425044</v>
      </c>
      <c r="CM19" s="16" t="n">
        <f aca="false">IF(Debt!CM64+CM12&gt;0,(Debt!CM51+Debt!CM57)/(Debt!CM64+CM12),0)</f>
        <v>0.489623305582832</v>
      </c>
      <c r="CN19" s="16" t="n">
        <f aca="false">IF(Debt!CN64+CN12&gt;0,(Debt!CN51+Debt!CN57)/(Debt!CN64+CN12),0)</f>
        <v>0.492354678990921</v>
      </c>
      <c r="CO19" s="16" t="n">
        <f aca="false">IF(Debt!CO64+CO12&gt;0,(Debt!CO51+Debt!CO57)/(Debt!CO64+CO12),0)</f>
        <v>0.489623305582832</v>
      </c>
      <c r="CP19" s="16" t="n">
        <f aca="false">IF(Debt!CP64+CP12&gt;0,(Debt!CP51+Debt!CP57)/(Debt!CP64+CP12),0)</f>
        <v>0.493731825425044</v>
      </c>
      <c r="CQ19" s="16" t="n">
        <f aca="false">IF(Debt!CQ64+CQ12&gt;0,(Debt!CQ51+Debt!CQ57)/(Debt!CQ64+CQ12),0)</f>
        <v>0.489623305582832</v>
      </c>
      <c r="CR19" s="16" t="n">
        <f aca="false">IF(Debt!CR64+CR12&gt;0,(Debt!CR51+Debt!CR57)/(Debt!CR64+CR12),0)</f>
        <v>0.493731825425044</v>
      </c>
      <c r="CS19" s="16" t="n">
        <f aca="false">IF(Debt!CS64+CS12&gt;0,(Debt!CS51+Debt!CS57)/(Debt!CS64+CS12),0)</f>
        <v>0.491668982676248</v>
      </c>
      <c r="CT19" s="16" t="n">
        <f aca="false">IF(Debt!CT64+CT12&gt;0,(Debt!CT51+Debt!CT57)/(Debt!CT64+CT12),0)</f>
        <v>0.492354678990921</v>
      </c>
      <c r="CU19" s="16" t="n">
        <f aca="false">IF(Debt!CU64+CU12&gt;0,(Debt!CU51+Debt!CU57)/(Debt!CU64+CU12),0)</f>
        <v>0.491668982676248</v>
      </c>
      <c r="CV19" s="16" t="n">
        <f aca="false">IF(Debt!CV64+CV12&gt;0,(Debt!CV51+Debt!CV57)/(Debt!CV64+CV12),0)</f>
        <v>0.491805969102879</v>
      </c>
      <c r="CW19" s="16" t="n">
        <f aca="false">IF(Debt!CW64+CW12&gt;0,(Debt!CW51+Debt!CW57)/(Debt!CW64+CW12),0)</f>
        <v>0.491440841468122</v>
      </c>
      <c r="CX19" s="16" t="n">
        <f aca="false">IF(Debt!CX64+CX12&gt;0,(Debt!CX51+Debt!CX57)/(Debt!CX64+CX12),0)</f>
        <v>0.491766822335381</v>
      </c>
      <c r="CY19" s="16" t="n">
        <f aca="false">IF(Debt!CY64+CY12&gt;0,(Debt!CY51+Debt!CY57)/(Debt!CY64+CY12),0)</f>
        <v>0.491497856918974</v>
      </c>
      <c r="CZ19" s="16" t="n">
        <f aca="false">IF(Debt!CZ64+CZ12&gt;0,(Debt!CZ51+Debt!CZ57)/(Debt!CZ64+CZ12),0)</f>
        <v>0.49174507682394</v>
      </c>
      <c r="DA19" s="16" t="n">
        <f aca="false">IF(Debt!DA64+DA12&gt;0,(Debt!DA51+Debt!DA57)/(Debt!DA64+DA12),0)</f>
        <v>0.491532072540094</v>
      </c>
      <c r="DB19" s="16" t="n">
        <f aca="false">IF(Debt!DB64+DB12&gt;0,(Debt!DB51+Debt!DB57)/(Debt!DB64+DB12),0)</f>
        <v>0.491731239772478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0.0038436465085379</v>
      </c>
      <c r="AW20" s="19" t="n">
        <f aca="false">IF(Debt!AW67&gt;0,AW17*Debt!AW45/Debt!AW67,0)</f>
        <v>0.818489457293644</v>
      </c>
      <c r="AX20" s="19" t="n">
        <f aca="false">IF(Debt!AX67&gt;0,AX17*Debt!AX45/Debt!AX67,0)</f>
        <v>0.969211253556927</v>
      </c>
      <c r="AY20" s="19" t="n">
        <f aca="false">IF(Debt!AY67&gt;0,AY17*Debt!AY45/Debt!AY67,0)</f>
        <v>0.831497969569617</v>
      </c>
      <c r="AZ20" s="19" t="n">
        <f aca="false">IF(Debt!AZ67&gt;0,AZ17*Debt!AZ45/Debt!AZ67,0)</f>
        <v>1.0306503213847</v>
      </c>
      <c r="BA20" s="19" t="n">
        <f aca="false">IF(Debt!BA67&gt;0,BA17*Debt!BA45/Debt!BA67,0)</f>
        <v>1.53525978341402</v>
      </c>
      <c r="BB20" s="19" t="n">
        <f aca="false">IF(Debt!BB67&gt;0,BB17*Debt!BB45/Debt!BB67,0)</f>
        <v>1.70858526790226</v>
      </c>
      <c r="BC20" s="19" t="n">
        <f aca="false">IF(Debt!BC67&gt;0,BC17*Debt!BC45/Debt!BC67,0)</f>
        <v>3.71025285073183</v>
      </c>
      <c r="BD20" s="19" t="n">
        <f aca="false">IF(Debt!BD67&gt;0,BD17*Debt!BD45/Debt!BD67,0)</f>
        <v>3.94241338567482</v>
      </c>
      <c r="BE20" s="19" t="n">
        <f aca="false">IF(Debt!BE67&gt;0,BE17*Debt!BE45/Debt!BE67,0)</f>
        <v>5.2973190962132</v>
      </c>
      <c r="BF20" s="19" t="n">
        <f aca="false">IF(Debt!BF67&gt;0,BF17*Debt!BF45/Debt!BF67,0)</f>
        <v>5.5721356602154</v>
      </c>
      <c r="BG20" s="19" t="n">
        <f aca="false">IF(Debt!BG67&gt;0,BG17*Debt!BG45/Debt!BG67,0)</f>
        <v>6.32075384573467</v>
      </c>
      <c r="BH20" s="19" t="n">
        <f aca="false">IF(Debt!BH67&gt;0,BH17*Debt!BH45/Debt!BH67,0)</f>
        <v>6.68658596787889</v>
      </c>
      <c r="BI20" s="19" t="n">
        <f aca="false">IF(Debt!BI67&gt;0,BI17*Debt!BI45/Debt!BI67,0)</f>
        <v>7.45542151189288</v>
      </c>
      <c r="BJ20" s="19" t="n">
        <f aca="false">IF(Debt!BJ67&gt;0,BJ17*Debt!BJ45/Debt!BJ67,0)</f>
        <v>7.78762701908282</v>
      </c>
      <c r="BK20" s="19" t="n">
        <f aca="false">IF(Debt!BK67&gt;0,BK17*Debt!BK45/Debt!BK67,0)</f>
        <v>8.68852305378987</v>
      </c>
      <c r="BL20" s="19" t="n">
        <f aca="false">IF(Debt!BL67&gt;0,BL17*Debt!BL45/Debt!BL67,0)</f>
        <v>9.052915958653</v>
      </c>
      <c r="BM20" s="19" t="n">
        <f aca="false">IF(Debt!BM67&gt;0,BM17*Debt!BM45/Debt!BM67,0)</f>
        <v>10.021749019548</v>
      </c>
      <c r="BN20" s="19" t="n">
        <f aca="false">IF(Debt!BN67&gt;0,BN17*Debt!BN45/Debt!BN67,0)</f>
        <v>10.4200208239428</v>
      </c>
      <c r="BO20" s="19" t="n">
        <f aca="false">IF(Debt!BO67&gt;0,BO17*Debt!BO45/Debt!BO67,0)</f>
        <v>8.32458164329666</v>
      </c>
      <c r="BP20" s="19" t="n">
        <f aca="false">IF(Debt!BP67&gt;0,BP17*Debt!BP45/Debt!BP67,0)</f>
        <v>8.7647787452884</v>
      </c>
      <c r="BQ20" s="19" t="n">
        <f aca="false">IF(Debt!BQ67&gt;0,BQ17*Debt!BQ45/Debt!BQ67,0)</f>
        <v>9.7263535580549</v>
      </c>
      <c r="BR20" s="19" t="n">
        <f aca="false">IF(Debt!BR67&gt;0,BR17*Debt!BR45/Debt!BR67,0)</f>
        <v>9.89960020065451</v>
      </c>
      <c r="BS20" s="19" t="n">
        <f aca="false">IF(Debt!BS67&gt;0,BS17*Debt!BS45/Debt!BS67,0)</f>
        <v>10.9984138876843</v>
      </c>
      <c r="BT20" s="19" t="n">
        <f aca="false">IF(Debt!BT67&gt;0,BT17*Debt!BT45/Debt!BT67,0)</f>
        <v>11.1959385054198</v>
      </c>
      <c r="BU20" s="19" t="n">
        <f aca="false">IF(Debt!BU67&gt;0,BU17*Debt!BU45/Debt!BU67,0)</f>
        <v>15.5094840311925</v>
      </c>
      <c r="BV20" s="19" t="n">
        <f aca="false">IF(Debt!BV67&gt;0,BV17*Debt!BV45/Debt!BV67,0)</f>
        <v>15.8153043927647</v>
      </c>
      <c r="BW20" s="19" t="n">
        <f aca="false">IF(Debt!BW67&gt;0,BW17*Debt!BW45/Debt!BW67,0)</f>
        <v>17.1464309345244</v>
      </c>
      <c r="BX20" s="19" t="n">
        <f aca="false">IF(Debt!BX67&gt;0,BX17*Debt!BX45/Debt!BX67,0)</f>
        <v>17.5943794641159</v>
      </c>
      <c r="BY20" s="19" t="n">
        <f aca="false">IF(Debt!BY67&gt;0,BY17*Debt!BY45/Debt!BY67,0)</f>
        <v>18.9025626623343</v>
      </c>
      <c r="BZ20" s="19" t="n">
        <f aca="false">IF(Debt!BZ67&gt;0,BZ17*Debt!BZ45/Debt!BZ67,0)</f>
        <v>19.2724511110241</v>
      </c>
      <c r="CA20" s="19" t="n">
        <f aca="false">IF(Debt!CA67&gt;0,CA17*Debt!CA45/Debt!CA67,0)</f>
        <v>18.7495244434986</v>
      </c>
      <c r="CB20" s="19" t="n">
        <f aca="false">IF(Debt!CB67&gt;0,CB17*Debt!CB45/Debt!CB67,0)</f>
        <v>19.1016386723221</v>
      </c>
      <c r="CC20" s="19" t="n">
        <f aca="false">IF(Debt!CC67&gt;0,CC17*Debt!CC45/Debt!CC67,0)</f>
        <v>20.6477723464192</v>
      </c>
      <c r="CD20" s="19" t="n">
        <f aca="false">IF(Debt!CD67&gt;0,CD17*Debt!CD45/Debt!CD67,0)</f>
        <v>21.0356450230623</v>
      </c>
      <c r="CE20" s="19" t="n">
        <f aca="false">IF(Debt!CE67&gt;0,CE17*Debt!CE45/Debt!CE67,0)</f>
        <v>21.6955804349028</v>
      </c>
      <c r="CF20" s="19" t="n">
        <f aca="false">IF(Debt!CF67&gt;0,CF17*Debt!CF45/Debt!CF67,0)</f>
        <v>19.4376203738172</v>
      </c>
      <c r="CG20" s="19" t="n">
        <f aca="false">IF(Debt!CG67&gt;0,CG17*Debt!CG45/Debt!CG67,0)</f>
        <v>21.2872597324844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0.00469779017710188</v>
      </c>
      <c r="AW21" s="19" t="n">
        <f aca="false">IF(Debt!AW67&gt;0,AW17*Debt!AW52/Debt!AW67,0)</f>
        <v>1.0003760033589</v>
      </c>
      <c r="AX21" s="19" t="n">
        <f aca="false">IF(Debt!AX67&gt;0,AX17*Debt!AX52/Debt!AX67,0)</f>
        <v>1.18459153212513</v>
      </c>
      <c r="AY21" s="19" t="n">
        <f aca="false">IF(Debt!AY67&gt;0,AY17*Debt!AY52/Debt!AY67,0)</f>
        <v>1.01627529614064</v>
      </c>
      <c r="AZ21" s="19" t="n">
        <f aca="false">IF(Debt!AZ67&gt;0,AZ17*Debt!AZ52/Debt!AZ67,0)</f>
        <v>1.25968372613686</v>
      </c>
      <c r="BA21" s="19" t="n">
        <f aca="false">IF(Debt!BA67&gt;0,BA17*Debt!BA52/Debt!BA67,0)</f>
        <v>1.87642862417269</v>
      </c>
      <c r="BB21" s="19" t="n">
        <f aca="false">IF(Debt!BB67&gt;0,BB17*Debt!BB52/Debt!BB67,0)</f>
        <v>2.08827088299165</v>
      </c>
      <c r="BC21" s="19" t="n">
        <f aca="false">IF(Debt!BC67&gt;0,BC17*Debt!BC52/Debt!BC67,0)</f>
        <v>4.53475348422779</v>
      </c>
      <c r="BD21" s="19" t="n">
        <f aca="false">IF(Debt!BD67&gt;0,BD17*Debt!BD52/Debt!BD67,0)</f>
        <v>4.81850524915812</v>
      </c>
      <c r="BE21" s="19" t="n">
        <f aca="false">IF(Debt!BE67&gt;0,BE17*Debt!BE52/Debt!BE67,0)</f>
        <v>6.47450111759391</v>
      </c>
      <c r="BF21" s="19" t="n">
        <f aca="false">IF(Debt!BF67&gt;0,BF17*Debt!BF52/Debt!BF67,0)</f>
        <v>6.81038802915216</v>
      </c>
      <c r="BG21" s="19" t="n">
        <f aca="false">IF(Debt!BG67&gt;0,BG17*Debt!BG52/Debt!BG67,0)</f>
        <v>7.72536581145349</v>
      </c>
      <c r="BH21" s="19" t="n">
        <f aca="false">IF(Debt!BH67&gt;0,BH17*Debt!BH52/Debt!BH67,0)</f>
        <v>8.17249396074087</v>
      </c>
      <c r="BI21" s="19" t="n">
        <f aca="false">IF(Debt!BI67&gt;0,BI17*Debt!BI52/Debt!BI67,0)</f>
        <v>9.11218184786908</v>
      </c>
      <c r="BJ21" s="19" t="n">
        <f aca="false">IF(Debt!BJ67&gt;0,BJ17*Debt!BJ52/Debt!BJ67,0)</f>
        <v>9.51821080110123</v>
      </c>
      <c r="BK21" s="19" t="n">
        <f aca="false">IF(Debt!BK67&gt;0,BK17*Debt!BK52/Debt!BK67,0)</f>
        <v>10.6193059546321</v>
      </c>
      <c r="BL21" s="19" t="n">
        <f aca="false">IF(Debt!BL67&gt;0,BL17*Debt!BL52/Debt!BL67,0)</f>
        <v>11.0646750605759</v>
      </c>
      <c r="BM21" s="19" t="n">
        <f aca="false">IF(Debt!BM67&gt;0,BM17*Debt!BM52/Debt!BM67,0)</f>
        <v>12.2488043572253</v>
      </c>
      <c r="BN21" s="19" t="n">
        <f aca="false">IF(Debt!BN67&gt;0,BN17*Debt!BN52/Debt!BN67,0)</f>
        <v>12.7355810070411</v>
      </c>
      <c r="BO21" s="19" t="n">
        <f aca="false">IF(Debt!BO67&gt;0,BO17*Debt!BO52/Debt!BO67,0)</f>
        <v>10.1744886751404</v>
      </c>
      <c r="BP21" s="19" t="n">
        <f aca="false">IF(Debt!BP67&gt;0,BP17*Debt!BP52/Debt!BP67,0)</f>
        <v>10.7125073553525</v>
      </c>
      <c r="BQ21" s="19" t="n">
        <f aca="false">IF(Debt!BQ67&gt;0,BQ17*Debt!BQ52/Debt!BQ67,0)</f>
        <v>11.8877654598449</v>
      </c>
      <c r="BR21" s="19" t="n">
        <f aca="false">IF(Debt!BR67&gt;0,BR17*Debt!BR52/Debt!BR67,0)</f>
        <v>12.0995113563555</v>
      </c>
      <c r="BS21" s="19" t="n">
        <f aca="false">IF(Debt!BS67&gt;0,BS17*Debt!BS52/Debt!BS67,0)</f>
        <v>13.4425058627252</v>
      </c>
      <c r="BT21" s="19" t="n">
        <f aca="false">IF(Debt!BT67&gt;0,BT17*Debt!BT52/Debt!BT67,0)</f>
        <v>13.6839248399575</v>
      </c>
      <c r="BU21" s="19" t="n">
        <f aca="false">IF(Debt!BU67&gt;0,BU17*Debt!BU52/Debt!BU67,0)</f>
        <v>18.9560360381241</v>
      </c>
      <c r="BV21" s="19" t="n">
        <f aca="false">IF(Debt!BV67&gt;0,BV17*Debt!BV52/Debt!BV67,0)</f>
        <v>19.3298164800457</v>
      </c>
      <c r="BW21" s="19" t="n">
        <f aca="false">IF(Debt!BW67&gt;0,BW17*Debt!BW52/Debt!BW67,0)</f>
        <v>20.9567489199742</v>
      </c>
      <c r="BX21" s="19" t="n">
        <f aca="false">IF(Debt!BX67&gt;0,BX17*Debt!BX52/Debt!BX67,0)</f>
        <v>21.5042415672528</v>
      </c>
      <c r="BY21" s="19" t="n">
        <f aca="false">IF(Debt!BY67&gt;0,BY17*Debt!BY52/Debt!BY67,0)</f>
        <v>23.103132142853</v>
      </c>
      <c r="BZ21" s="19" t="n">
        <f aca="false">IF(Debt!BZ67&gt;0,BZ17*Debt!BZ52/Debt!BZ67,0)</f>
        <v>23.555218024585</v>
      </c>
      <c r="CA21" s="19" t="n">
        <f aca="false">IF(Debt!CA67&gt;0,CA17*Debt!CA52/Debt!CA67,0)</f>
        <v>22.9160854309428</v>
      </c>
      <c r="CB21" s="19" t="n">
        <f aca="false">IF(Debt!CB67&gt;0,CB17*Debt!CB52/Debt!CB67,0)</f>
        <v>23.3464472661715</v>
      </c>
      <c r="CC21" s="19" t="n">
        <f aca="false">IF(Debt!CC67&gt;0,CC17*Debt!CC52/Debt!CC67,0)</f>
        <v>25.236166201179</v>
      </c>
      <c r="CD21" s="19" t="n">
        <f aca="false">IF(Debt!CD67&gt;0,CD17*Debt!CD52/Debt!CD67,0)</f>
        <v>25.7102328059651</v>
      </c>
      <c r="CE21" s="19" t="n">
        <f aca="false">IF(Debt!CE67&gt;0,CE17*Debt!CE52/Debt!CE67,0)</f>
        <v>26.5168205315479</v>
      </c>
      <c r="CF21" s="19" t="n">
        <f aca="false">IF(Debt!CF67&gt;0,CF17*Debt!CF52/Debt!CF67,0)</f>
        <v>23.7570915679988</v>
      </c>
      <c r="CG21" s="19" t="n">
        <f aca="false">IF(Debt!CG67&gt;0,CG17*Debt!CG52/Debt!CG67,0)</f>
        <v>26.0177618952587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6.73920462813777E-014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6.73920462813777E-014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3.47191053682175</v>
      </c>
      <c r="AA24" s="19" t="n">
        <f aca="false">AA10-AA14+AA23</f>
        <v>9.67623279997726</v>
      </c>
      <c r="AB24" s="19" t="n">
        <f aca="false">AB10-AB14+AB23</f>
        <v>15.3913543146031</v>
      </c>
      <c r="AC24" s="19" t="n">
        <f aca="false">AC10-AC14+AC23</f>
        <v>24.4070942039224</v>
      </c>
      <c r="AD24" s="19" t="n">
        <f aca="false">AD10-AD14+AD23</f>
        <v>33.1148041522415</v>
      </c>
      <c r="AE24" s="19" t="n">
        <f aca="false">AE10-AE14+AE23</f>
        <v>13.9885035054576</v>
      </c>
      <c r="AF24" s="19" t="n">
        <f aca="false">AF10-AF14+AF23</f>
        <v>12.4279200668675</v>
      </c>
      <c r="AG24" s="19" t="n">
        <f aca="false">AG10-AG14+AG23</f>
        <v>20.1895892722283</v>
      </c>
      <c r="AH24" s="19" t="n">
        <f aca="false">AH10-AH14+AH23</f>
        <v>22.0704080544275</v>
      </c>
      <c r="AI24" s="19" t="n">
        <f aca="false">AI10-AI14+AI23</f>
        <v>21.1925975238649</v>
      </c>
      <c r="AJ24" s="19" t="n">
        <f aca="false">AJ10-AJ14+AJ23</f>
        <v>22.2676473449658</v>
      </c>
      <c r="AK24" s="19" t="n">
        <f aca="false">AK10-AK14+AK23</f>
        <v>24.4821924358075</v>
      </c>
      <c r="AL24" s="19" t="n">
        <f aca="false">AL10-AL14+AL23</f>
        <v>25.3955439559329</v>
      </c>
      <c r="AM24" s="19" t="n">
        <f aca="false">AM10-AM14+AM23</f>
        <v>27.9862283755405</v>
      </c>
      <c r="AN24" s="19" t="n">
        <f aca="false">AN10-AN14+AN23</f>
        <v>28.945526762242</v>
      </c>
      <c r="AO24" s="19" t="n">
        <f aca="false">AO10-AO14+AO23</f>
        <v>34.9002701132216</v>
      </c>
      <c r="AP24" s="19" t="n">
        <f aca="false">AP10-AP14+AP23</f>
        <v>35.9055906125208</v>
      </c>
      <c r="AQ24" s="19" t="n">
        <f aca="false">AQ10-AQ14+AQ23</f>
        <v>28.5506510569913</v>
      </c>
      <c r="AR24" s="19" t="n">
        <f aca="false">AR10-AR14+AR23</f>
        <v>29.893018591669</v>
      </c>
      <c r="AS24" s="19" t="n">
        <f aca="false">AS10-AS14+AS23</f>
        <v>32.7326075815787</v>
      </c>
      <c r="AT24" s="19" t="n">
        <f aca="false">AT10-AT14+AT23</f>
        <v>33.8431319847113</v>
      </c>
      <c r="AU24" s="19" t="n">
        <f aca="false">AU10-AU14+AU23</f>
        <v>37.176350923279</v>
      </c>
      <c r="AV24" s="19" t="n">
        <f aca="false">AV10-AV14+AV23</f>
        <v>38.3355628663499</v>
      </c>
      <c r="AW24" s="19" t="n">
        <f aca="false">AW10-AW14+AW23</f>
        <v>41.6564718936175</v>
      </c>
      <c r="AX24" s="19" t="n">
        <f aca="false">AX10-AX14+AX23</f>
        <v>41.8235472549172</v>
      </c>
      <c r="AY24" s="19" t="n">
        <f aca="false">AY10-AY14+AY23</f>
        <v>41.5305628048537</v>
      </c>
      <c r="AZ24" s="19" t="n">
        <f aca="false">AZ10-AZ14+AZ23</f>
        <v>41.9796929486402</v>
      </c>
      <c r="BA24" s="19" t="n">
        <f aca="false">BA10-BA14+BA23</f>
        <v>43.9499830194567</v>
      </c>
      <c r="BB24" s="19" t="n">
        <f aca="false">BB10-BB14+BB23</f>
        <v>44.134250156064</v>
      </c>
      <c r="BC24" s="19" t="n">
        <f aca="false">BC10-BC14+BC23</f>
        <v>51.6716487703829</v>
      </c>
      <c r="BD24" s="19" t="n">
        <f aca="false">BD10-BD14+BD23</f>
        <v>51.8659041770874</v>
      </c>
      <c r="BE24" s="19" t="n">
        <f aca="false">BE10-BE14+BE23</f>
        <v>56.79165060795</v>
      </c>
      <c r="BF24" s="19" t="n">
        <f aca="false">BF10-BF14+BF23</f>
        <v>56.9963169112947</v>
      </c>
      <c r="BG24" s="19" t="n">
        <f aca="false">BG10-BG14+BG23</f>
        <v>59.5780688407887</v>
      </c>
      <c r="BH24" s="19" t="n">
        <f aca="false">BH10-BH14+BH23</f>
        <v>60.122398426229</v>
      </c>
      <c r="BI24" s="19" t="n">
        <f aca="false">BI10-BI14+BI23</f>
        <v>62.502999244896</v>
      </c>
      <c r="BJ24" s="19" t="n">
        <f aca="false">BJ10-BJ14+BJ23</f>
        <v>62.7278898065545</v>
      </c>
      <c r="BK24" s="19" t="n">
        <f aca="false">BK10-BK14+BK23</f>
        <v>65.5737218639985</v>
      </c>
      <c r="BL24" s="19" t="n">
        <f aca="false">BL10-BL14+BL23</f>
        <v>65.8102917065241</v>
      </c>
      <c r="BM24" s="19" t="n">
        <f aca="false">BM10-BM14+BM23</f>
        <v>68.770875479491</v>
      </c>
      <c r="BN24" s="19" t="n">
        <f aca="false">BN10-BN14+BN23</f>
        <v>69.0176564968506</v>
      </c>
      <c r="BO24" s="19" t="n">
        <f aca="false">BO10-BO14+BO23</f>
        <v>60.5064172983681</v>
      </c>
      <c r="BP24" s="19" t="n">
        <f aca="false">BP10-BP14+BP23</f>
        <v>61.1660581849223</v>
      </c>
      <c r="BQ24" s="19" t="n">
        <f aca="false">BQ10-BQ14+BQ23</f>
        <v>64.0204421246285</v>
      </c>
      <c r="BR24" s="19" t="n">
        <f aca="false">BR10-BR14+BR23</f>
        <v>63.4937375569299</v>
      </c>
      <c r="BS24" s="19" t="n">
        <f aca="false">BS10-BS14+BS23</f>
        <v>66.8078493276527</v>
      </c>
      <c r="BT24" s="19" t="n">
        <f aca="false">BT10-BT14+BT23</f>
        <v>66.2632730579799</v>
      </c>
      <c r="BU24" s="19" t="n">
        <f aca="false">BU10-BU14+BU23</f>
        <v>81.3141398302314</v>
      </c>
      <c r="BV24" s="19" t="n">
        <f aca="false">BV10-BV14+BV23</f>
        <v>80.7509654728688</v>
      </c>
      <c r="BW24" s="19" t="n">
        <f aca="false">BW10-BW14+BW23</f>
        <v>84.3094314464889</v>
      </c>
      <c r="BX24" s="19" t="n">
        <f aca="false">BX10-BX14+BX23</f>
        <v>84.1895884953605</v>
      </c>
      <c r="BY24" s="19" t="n">
        <f aca="false">BY10-BY14+BY23</f>
        <v>87.4121306097724</v>
      </c>
      <c r="BZ24" s="19" t="n">
        <f aca="false">BZ10-BZ14+BZ23</f>
        <v>86.8095121093031</v>
      </c>
      <c r="CA24" s="19" t="n">
        <f aca="false">CA10-CA14+CA23</f>
        <v>83.1249858860952</v>
      </c>
      <c r="CB24" s="19" t="n">
        <f aca="false">CB10-CB14+CB23</f>
        <v>82.5014861251605</v>
      </c>
      <c r="CC24" s="19" t="n">
        <f aca="false">CC10-CC14+CC23</f>
        <v>86.4496311014831</v>
      </c>
      <c r="CD24" s="19" t="n">
        <f aca="false">CD10-CD14+CD23</f>
        <v>85.8044532737331</v>
      </c>
      <c r="CE24" s="19" t="n">
        <f aca="false">CE10-CE14+CE23</f>
        <v>86.2580045809195</v>
      </c>
      <c r="CF24" s="19" t="n">
        <f aca="false">CF10-CF14+CF23</f>
        <v>75.7776528927615</v>
      </c>
      <c r="CG24" s="19" t="n">
        <f aca="false">CG10-CG14+CG23</f>
        <v>80.7391135019354</v>
      </c>
      <c r="CH24" s="19" t="n">
        <f aca="false">CH10-CH14+CH23</f>
        <v>105.712765642997</v>
      </c>
      <c r="CI24" s="19" t="n">
        <f aca="false">CI10-CI14+CI23</f>
        <v>110.597291903227</v>
      </c>
      <c r="CJ24" s="19" t="n">
        <f aca="false">CJ10-CJ14+CJ23</f>
        <v>109.380604163406</v>
      </c>
      <c r="CK24" s="19" t="n">
        <f aca="false">CK10-CK14+CK23</f>
        <v>130.69694838973</v>
      </c>
      <c r="CL24" s="19" t="n">
        <f aca="false">CL10-CL14+CL23</f>
        <v>118.960122368035</v>
      </c>
      <c r="CM24" s="19" t="n">
        <f aca="false">CM10-CM14+CM23</f>
        <v>124.175601923561</v>
      </c>
      <c r="CN24" s="19" t="n">
        <f aca="false">CN10-CN14+CN23</f>
        <v>123.62005663349</v>
      </c>
      <c r="CO24" s="19" t="n">
        <f aca="false">CO10-CO14+CO23</f>
        <v>128.255613672643</v>
      </c>
      <c r="CP24" s="19" t="n">
        <f aca="false">CP10-CP14+CP23</f>
        <v>141.862699835627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1.99291291584575</v>
      </c>
      <c r="AA26" s="19" t="n">
        <f aca="false">AA24-Reserves!AA11+Reserves!AA12</f>
        <v>5.73983606096598</v>
      </c>
      <c r="AB26" s="19" t="n">
        <f aca="false">AB24-Reserves!AB11+Reserves!AB12</f>
        <v>14.1197975859674</v>
      </c>
      <c r="AC26" s="19" t="n">
        <f aca="false">AC24-Reserves!AC11+Reserves!AC12</f>
        <v>21.2479208646506</v>
      </c>
      <c r="AD26" s="19" t="n">
        <f aca="false">AD24-Reserves!AD11+Reserves!AD12</f>
        <v>32.9164336199878</v>
      </c>
      <c r="AE26" s="19" t="n">
        <f aca="false">AE24-Reserves!AE11+Reserves!AE12</f>
        <v>14.3162934090829</v>
      </c>
      <c r="AF26" s="19" t="n">
        <f aca="false">AF24-Reserves!AF11+Reserves!AF12</f>
        <v>12.8005173494887</v>
      </c>
      <c r="AG26" s="19" t="n">
        <f aca="false">AG24-Reserves!AG11+Reserves!AG12</f>
        <v>20.3765404481845</v>
      </c>
      <c r="AH26" s="19" t="n">
        <f aca="false">AH24-Reserves!AH11+Reserves!AH12</f>
        <v>21.8834568784714</v>
      </c>
      <c r="AI26" s="19" t="n">
        <f aca="false">AI24-Reserves!AI11+Reserves!AI12</f>
        <v>21.317231641169</v>
      </c>
      <c r="AJ26" s="19" t="n">
        <f aca="false">AJ24-Reserves!AJ11+Reserves!AJ12</f>
        <v>22.1430132276617</v>
      </c>
      <c r="AK26" s="19" t="n">
        <f aca="false">AK24-Reserves!AK11+Reserves!AK12</f>
        <v>24.6691436117637</v>
      </c>
      <c r="AL26" s="19" t="n">
        <f aca="false">AL24-Reserves!AL11+Reserves!AL12</f>
        <v>25.2085927799767</v>
      </c>
      <c r="AM26" s="19" t="n">
        <f aca="false">AM24-Reserves!AM11+Reserves!AM12</f>
        <v>28.1731795514967</v>
      </c>
      <c r="AN26" s="19" t="n">
        <f aca="false">AN24-Reserves!AN11+Reserves!AN12</f>
        <v>28.7585755862858</v>
      </c>
      <c r="AO26" s="19" t="n">
        <f aca="false">AO24-Reserves!AO11+Reserves!AO12</f>
        <v>35.0872212891777</v>
      </c>
      <c r="AP26" s="19" t="n">
        <f aca="false">AP24-Reserves!AP11+Reserves!AP12</f>
        <v>35.7186394365646</v>
      </c>
      <c r="AQ26" s="19" t="n">
        <f aca="false">AQ24-Reserves!AQ11+Reserves!AQ12</f>
        <v>28.6752851742954</v>
      </c>
      <c r="AR26" s="19" t="n">
        <f aca="false">AR24-Reserves!AR11+Reserves!AR12</f>
        <v>29.7683844743649</v>
      </c>
      <c r="AS26" s="19" t="n">
        <f aca="false">AS24-Reserves!AS11+Reserves!AS12</f>
        <v>32.9195587575348</v>
      </c>
      <c r="AT26" s="19" t="n">
        <f aca="false">AT24-Reserves!AT11+Reserves!AT12</f>
        <v>33.6561808087551</v>
      </c>
      <c r="AU26" s="19" t="n">
        <f aca="false">AU24-Reserves!AU11+Reserves!AU12</f>
        <v>37.3547606625496</v>
      </c>
      <c r="AV26" s="19" t="n">
        <f aca="false">AV24-Reserves!AV11+Reserves!AV12</f>
        <v>36.3385126134108</v>
      </c>
      <c r="AW26" s="19" t="n">
        <f aca="false">AW24-Reserves!AW11+Reserves!AW12</f>
        <v>41.5560000379286</v>
      </c>
      <c r="AX26" s="19" t="n">
        <f aca="false">AX24-Reserves!AX11+Reserves!AX12</f>
        <v>41.9997353604336</v>
      </c>
      <c r="AY26" s="19" t="n">
        <f aca="false">AY24-Reserves!AY11+Reserves!AY12</f>
        <v>41.2604754703659</v>
      </c>
      <c r="AZ26" s="19" t="n">
        <f aca="false">AZ24-Reserves!AZ11+Reserves!AZ12</f>
        <v>40.7948461937368</v>
      </c>
      <c r="BA26" s="19" t="n">
        <f aca="false">BA24-Reserves!BA11+Reserves!BA12</f>
        <v>43.8391727778185</v>
      </c>
      <c r="BB26" s="19" t="n">
        <f aca="false">BB24-Reserves!BB11+Reserves!BB12</f>
        <v>39.6015864529534</v>
      </c>
      <c r="BC26" s="19" t="n">
        <f aca="false">BC24-Reserves!BC11+Reserves!BC12</f>
        <v>51.5548320175274</v>
      </c>
      <c r="BD26" s="19" t="n">
        <f aca="false">BD24-Reserves!BD11+Reserves!BD12</f>
        <v>48.9037745087052</v>
      </c>
      <c r="BE26" s="19" t="n">
        <f aca="false">BE24-Reserves!BE11+Reserves!BE12</f>
        <v>56.6685731946554</v>
      </c>
      <c r="BF26" s="19" t="n">
        <f aca="false">BF24-Reserves!BF11+Reserves!BF12</f>
        <v>55.4437635888497</v>
      </c>
      <c r="BG26" s="19" t="n">
        <f aca="false">BG24-Reserves!BG11+Reserves!BG12</f>
        <v>59.2507327025928</v>
      </c>
      <c r="BH26" s="19" t="n">
        <f aca="false">BH24-Reserves!BH11+Reserves!BH12</f>
        <v>58.6908086331845</v>
      </c>
      <c r="BI26" s="19" t="n">
        <f aca="false">BI24-Reserves!BI11+Reserves!BI12</f>
        <v>62.3677598422638</v>
      </c>
      <c r="BJ26" s="19" t="n">
        <f aca="false">BJ24-Reserves!BJ11+Reserves!BJ12</f>
        <v>61.0165301807785</v>
      </c>
      <c r="BK26" s="19" t="n">
        <f aca="false">BK24-Reserves!BK11+Reserves!BK12</f>
        <v>65.4314590498189</v>
      </c>
      <c r="BL26" s="19" t="n">
        <f aca="false">BL24-Reserves!BL11+Reserves!BL12</f>
        <v>64.0299253899208</v>
      </c>
      <c r="BM26" s="19" t="n">
        <f aca="false">BM24-Reserves!BM11+Reserves!BM12</f>
        <v>68.6224721088801</v>
      </c>
      <c r="BN26" s="19" t="n">
        <f aca="false">BN24-Reserves!BN11+Reserves!BN12</f>
        <v>74.1359455720979</v>
      </c>
      <c r="BO26" s="19" t="n">
        <f aca="false">BO24-Reserves!BO11+Reserves!BO12</f>
        <v>60.1097379589085</v>
      </c>
      <c r="BP26" s="19" t="n">
        <f aca="false">BP24-Reserves!BP11+Reserves!BP12</f>
        <v>59.4495558291003</v>
      </c>
      <c r="BQ26" s="19" t="n">
        <f aca="false">BQ24-Reserves!BQ11+Reserves!BQ12</f>
        <v>64.3371793437181</v>
      </c>
      <c r="BR26" s="19" t="n">
        <f aca="false">BR24-Reserves!BR11+Reserves!BR12</f>
        <v>61.5007748784443</v>
      </c>
      <c r="BS26" s="19" t="n">
        <f aca="false">BS24-Reserves!BS11+Reserves!BS12</f>
        <v>67.135333811017</v>
      </c>
      <c r="BT26" s="19" t="n">
        <f aca="false">BT24-Reserves!BT11+Reserves!BT12</f>
        <v>57.212336387424</v>
      </c>
      <c r="BU26" s="19" t="n">
        <f aca="false">BU24-Reserves!BU11+Reserves!BU12</f>
        <v>81.6528083946472</v>
      </c>
      <c r="BV26" s="19" t="n">
        <f aca="false">BV24-Reserves!BV11+Reserves!BV12</f>
        <v>78.6110588044407</v>
      </c>
      <c r="BW26" s="19" t="n">
        <f aca="false">BW24-Reserves!BW11+Reserves!BW12</f>
        <v>84.3814997849765</v>
      </c>
      <c r="BX26" s="19" t="n">
        <f aca="false">BX24-Reserves!BX11+Reserves!BX12</f>
        <v>82.2516918255478</v>
      </c>
      <c r="BY26" s="19" t="n">
        <f aca="false">BY24-Reserves!BY11+Reserves!BY12</f>
        <v>87.7745191663112</v>
      </c>
      <c r="BZ26" s="19" t="n">
        <f aca="false">BZ24-Reserves!BZ11+Reserves!BZ12</f>
        <v>89.0252259291037</v>
      </c>
      <c r="CA26" s="19" t="n">
        <f aca="false">CA24-Reserves!CA11+Reserves!CA12</f>
        <v>83.4999315244907</v>
      </c>
      <c r="CB26" s="19" t="n">
        <f aca="false">CB24-Reserves!CB11+Reserves!CB12</f>
        <v>80.1272434527882</v>
      </c>
      <c r="CC26" s="19" t="n">
        <f aca="false">CC24-Reserves!CC11+Reserves!CC12</f>
        <v>86.8376129864187</v>
      </c>
      <c r="CD26" s="19" t="n">
        <f aca="false">CD24-Reserves!CD11+Reserves!CD12</f>
        <v>85.5317072438658</v>
      </c>
      <c r="CE26" s="19" t="n">
        <f aca="false">CE24-Reserves!CE11+Reserves!CE12</f>
        <v>92.5604322629333</v>
      </c>
      <c r="CF26" s="19" t="n">
        <f aca="false">CF24-Reserves!CF11+Reserves!CF12</f>
        <v>72.7940462728179</v>
      </c>
      <c r="CG26" s="19" t="n">
        <f aca="false">CG24-Reserves!CG11+Reserves!CG12</f>
        <v>129.292104781583</v>
      </c>
      <c r="CH26" s="19" t="n">
        <f aca="false">CH24-Reserves!CH11+Reserves!CH12</f>
        <v>105.712765642997</v>
      </c>
      <c r="CI26" s="19" t="n">
        <f aca="false">CI24-Reserves!CI11+Reserves!CI12</f>
        <v>110.597291903227</v>
      </c>
      <c r="CJ26" s="19" t="n">
        <f aca="false">CJ24-Reserves!CJ11+Reserves!CJ12</f>
        <v>109.380604163406</v>
      </c>
      <c r="CK26" s="19" t="n">
        <f aca="false">CK24-Reserves!CK11+Reserves!CK12</f>
        <v>130.69694838973</v>
      </c>
      <c r="CL26" s="19" t="n">
        <f aca="false">CL24-Reserves!CL11+Reserves!CL12</f>
        <v>118.960122368035</v>
      </c>
      <c r="CM26" s="19" t="n">
        <f aca="false">CM24-Reserves!CM11+Reserves!CM12</f>
        <v>124.175601923561</v>
      </c>
      <c r="CN26" s="19" t="n">
        <f aca="false">CN24-Reserves!CN11+Reserves!CN12</f>
        <v>123.62005663349</v>
      </c>
      <c r="CO26" s="19" t="n">
        <f aca="false">CO24-Reserves!CO11+Reserves!CO12</f>
        <v>128.255613672643</v>
      </c>
      <c r="CP26" s="19" t="n">
        <f aca="false">CP24-Reserves!CP11+Reserves!CP12</f>
        <v>141.862699835627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5.1260606478615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229.615326855623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355.884337959225</v>
      </c>
      <c r="X28" s="19" t="n">
        <f aca="false">Debt!X42-X20</f>
        <v>367.534421450565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396.954732409341</v>
      </c>
      <c r="AW28" s="19" t="n">
        <f aca="false">Debt!AW42-AW20</f>
        <v>396.136242952048</v>
      </c>
      <c r="AX28" s="19" t="n">
        <f aca="false">Debt!AX42-AX20</f>
        <v>395.167031698491</v>
      </c>
      <c r="AY28" s="19" t="n">
        <f aca="false">Debt!AY42-AY20</f>
        <v>394.335533728921</v>
      </c>
      <c r="AZ28" s="19" t="n">
        <f aca="false">Debt!AZ42-AZ20</f>
        <v>393.304883407536</v>
      </c>
      <c r="BA28" s="19" t="n">
        <f aca="false">Debt!BA42-BA20</f>
        <v>391.769623624122</v>
      </c>
      <c r="BB28" s="19" t="n">
        <f aca="false">Debt!BB42-BB20</f>
        <v>390.06103835622</v>
      </c>
      <c r="BC28" s="19" t="n">
        <f aca="false">Debt!BC42-BC20</f>
        <v>386.350785505488</v>
      </c>
      <c r="BD28" s="19" t="n">
        <f aca="false">Debt!BD42-BD20</f>
        <v>382.408372119814</v>
      </c>
      <c r="BE28" s="19" t="n">
        <f aca="false">Debt!BE42-BE20</f>
        <v>377.1110530236</v>
      </c>
      <c r="BF28" s="19" t="n">
        <f aca="false">Debt!BF42-BF20</f>
        <v>371.538917363385</v>
      </c>
      <c r="BG28" s="19" t="n">
        <f aca="false">Debt!BG42-BG20</f>
        <v>365.21816351765</v>
      </c>
      <c r="BH28" s="19" t="n">
        <f aca="false">Debt!BH42-BH20</f>
        <v>358.531577549771</v>
      </c>
      <c r="BI28" s="19" t="n">
        <f aca="false">Debt!BI42-BI20</f>
        <v>351.076156037879</v>
      </c>
      <c r="BJ28" s="19" t="n">
        <f aca="false">Debt!BJ42-BJ20</f>
        <v>343.288529018796</v>
      </c>
      <c r="BK28" s="19" t="n">
        <f aca="false">Debt!BK42-BK20</f>
        <v>334.600005965006</v>
      </c>
      <c r="BL28" s="19" t="n">
        <f aca="false">Debt!BL42-BL20</f>
        <v>325.547090006353</v>
      </c>
      <c r="BM28" s="19" t="n">
        <f aca="false">Debt!BM42-BM20</f>
        <v>315.525340986805</v>
      </c>
      <c r="BN28" s="19" t="n">
        <f aca="false">Debt!BN42-BN20</f>
        <v>305.105320162862</v>
      </c>
      <c r="BO28" s="19" t="n">
        <f aca="false">Debt!BO42-BO20</f>
        <v>296.780738519566</v>
      </c>
      <c r="BP28" s="19" t="n">
        <f aca="false">Debt!BP42-BP20</f>
        <v>288.015959774277</v>
      </c>
      <c r="BQ28" s="19" t="n">
        <f aca="false">Debt!BQ42-BQ20</f>
        <v>278.289606216222</v>
      </c>
      <c r="BR28" s="19" t="n">
        <f aca="false">Debt!BR42-BR20</f>
        <v>268.390006015568</v>
      </c>
      <c r="BS28" s="19" t="n">
        <f aca="false">Debt!BS42-BS20</f>
        <v>257.391592127883</v>
      </c>
      <c r="BT28" s="19" t="n">
        <f aca="false">Debt!BT42-BT20</f>
        <v>246.195653622464</v>
      </c>
      <c r="BU28" s="19" t="n">
        <f aca="false">Debt!BU42-BU20</f>
        <v>230.686169591271</v>
      </c>
      <c r="BV28" s="19" t="n">
        <f aca="false">Debt!BV42-BV20</f>
        <v>214.870865198507</v>
      </c>
      <c r="BW28" s="19" t="n">
        <f aca="false">Debt!BW42-BW20</f>
        <v>197.724434263982</v>
      </c>
      <c r="BX28" s="19" t="n">
        <f aca="false">Debt!BX42-BX20</f>
        <v>180.130054799866</v>
      </c>
      <c r="BY28" s="19" t="n">
        <f aca="false">Debt!BY42-BY20</f>
        <v>161.227492137532</v>
      </c>
      <c r="BZ28" s="19" t="n">
        <f aca="false">Debt!BZ42-BZ20</f>
        <v>141.955041026508</v>
      </c>
      <c r="CA28" s="19" t="n">
        <f aca="false">Debt!CA42-CA20</f>
        <v>123.205516583009</v>
      </c>
      <c r="CB28" s="19" t="n">
        <f aca="false">Debt!CB42-CB20</f>
        <v>104.103877910687</v>
      </c>
      <c r="CC28" s="19" t="n">
        <f aca="false">Debt!CC42-CC20</f>
        <v>83.456105564268</v>
      </c>
      <c r="CD28" s="19" t="n">
        <f aca="false">Debt!CD42-CD20</f>
        <v>62.4204605412056</v>
      </c>
      <c r="CE28" s="19" t="n">
        <f aca="false">Debt!CE42-CE20</f>
        <v>40.7248801063028</v>
      </c>
      <c r="CF28" s="19" t="n">
        <f aca="false">Debt!CF42-CF20</f>
        <v>21.2872597324856</v>
      </c>
      <c r="CG28" s="19" t="n">
        <f aca="false">Debt!CG42-CG20</f>
        <v>1.18660636871937E-012</v>
      </c>
      <c r="CH28" s="19" t="n">
        <f aca="false">Debt!CH42-CH20</f>
        <v>1.18660636871937E-012</v>
      </c>
      <c r="CI28" s="19" t="n">
        <f aca="false">Debt!CI42-CI20</f>
        <v>1.18660636871937E-012</v>
      </c>
      <c r="CJ28" s="19" t="n">
        <f aca="false">Debt!CJ42-CJ20</f>
        <v>1.18660636871937E-012</v>
      </c>
      <c r="CK28" s="19" t="n">
        <f aca="false">Debt!CK42-CK20</f>
        <v>1.18660636871937E-012</v>
      </c>
      <c r="CL28" s="19" t="n">
        <f aca="false">Debt!CL42-CL20</f>
        <v>1.18660636871937E-012</v>
      </c>
      <c r="CM28" s="19" t="n">
        <f aca="false">Debt!CM42-CM20</f>
        <v>1.18660636871937E-012</v>
      </c>
      <c r="CN28" s="19" t="n">
        <f aca="false">Debt!CN42-CN20</f>
        <v>1.18660636871937E-012</v>
      </c>
      <c r="CO28" s="19" t="n">
        <f aca="false">Debt!CO42-CO20</f>
        <v>1.18660636871937E-012</v>
      </c>
      <c r="CP28" s="19" t="n">
        <f aca="false">Debt!CP42-CP20</f>
        <v>1.18660636871937E-012</v>
      </c>
      <c r="CQ28" s="19" t="n">
        <f aca="false">Debt!CQ42-CQ20</f>
        <v>1.18660636871937E-012</v>
      </c>
      <c r="CR28" s="19" t="n">
        <f aca="false">Debt!CR42-CR20</f>
        <v>1.18660636871937E-012</v>
      </c>
      <c r="CS28" s="19" t="n">
        <f aca="false">Debt!CS42-CS20</f>
        <v>1.18660636871937E-012</v>
      </c>
      <c r="CT28" s="19" t="n">
        <f aca="false">Debt!CT42-CT20</f>
        <v>1.18660636871937E-012</v>
      </c>
      <c r="CU28" s="19" t="n">
        <f aca="false">Debt!CU42-CU20</f>
        <v>1.18660636871937E-012</v>
      </c>
      <c r="CV28" s="19" t="n">
        <f aca="false">Debt!CV42-CV20</f>
        <v>1.18660636871937E-012</v>
      </c>
      <c r="CW28" s="19" t="n">
        <f aca="false">Debt!CW42-CW20</f>
        <v>1.18660636871937E-012</v>
      </c>
      <c r="CX28" s="19" t="n">
        <f aca="false">Debt!CX42-CX20</f>
        <v>1.18660636871937E-012</v>
      </c>
      <c r="CY28" s="19" t="n">
        <f aca="false">Debt!CY42-CY20</f>
        <v>1.18660636871937E-012</v>
      </c>
      <c r="CZ28" s="19" t="n">
        <f aca="false">Debt!CZ42-CZ20</f>
        <v>1.18660636871937E-012</v>
      </c>
      <c r="DA28" s="19" t="n">
        <f aca="false">Debt!DA42-DA20</f>
        <v>1.18660636871937E-012</v>
      </c>
      <c r="DB28" s="19" t="n">
        <f aca="false">Debt!DB42-DB20</f>
        <v>1.18660636871937E-012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485.166895166973</v>
      </c>
      <c r="AW29" s="19" t="n">
        <f aca="false">Debt!AW49-AW21</f>
        <v>484.166519163614</v>
      </c>
      <c r="AX29" s="19" t="n">
        <f aca="false">Debt!AX49-AX21</f>
        <v>482.981927631489</v>
      </c>
      <c r="AY29" s="19" t="n">
        <f aca="false">Debt!AY49-AY21</f>
        <v>481.965652335348</v>
      </c>
      <c r="AZ29" s="19" t="n">
        <f aca="false">Debt!AZ49-AZ21</f>
        <v>480.705968609211</v>
      </c>
      <c r="BA29" s="19" t="n">
        <f aca="false">Debt!BA49-BA21</f>
        <v>478.829539985039</v>
      </c>
      <c r="BB29" s="19" t="n">
        <f aca="false">Debt!BB49-BB21</f>
        <v>476.741269102047</v>
      </c>
      <c r="BC29" s="19" t="n">
        <f aca="false">Debt!BC49-BC21</f>
        <v>472.206515617819</v>
      </c>
      <c r="BD29" s="19" t="n">
        <f aca="false">Debt!BD49-BD21</f>
        <v>467.388010368661</v>
      </c>
      <c r="BE29" s="19" t="n">
        <f aca="false">Debt!BE49-BE21</f>
        <v>460.913509251067</v>
      </c>
      <c r="BF29" s="19" t="n">
        <f aca="false">Debt!BF49-BF21</f>
        <v>454.103121221915</v>
      </c>
      <c r="BG29" s="19" t="n">
        <f aca="false">Debt!BG49-BG21</f>
        <v>446.377755410462</v>
      </c>
      <c r="BH29" s="19" t="n">
        <f aca="false">Debt!BH49-BH21</f>
        <v>438.205261449721</v>
      </c>
      <c r="BI29" s="19" t="n">
        <f aca="false">Debt!BI49-BI21</f>
        <v>429.093079601852</v>
      </c>
      <c r="BJ29" s="19" t="n">
        <f aca="false">Debt!BJ49-BJ21</f>
        <v>419.57486880075</v>
      </c>
      <c r="BK29" s="19" t="n">
        <f aca="false">Debt!BK49-BK21</f>
        <v>408.955562846118</v>
      </c>
      <c r="BL29" s="19" t="n">
        <f aca="false">Debt!BL49-BL21</f>
        <v>397.890887785542</v>
      </c>
      <c r="BM29" s="19" t="n">
        <f aca="false">Debt!BM49-BM21</f>
        <v>385.642083428317</v>
      </c>
      <c r="BN29" s="19" t="n">
        <f aca="false">Debt!BN49-BN21</f>
        <v>372.906502421276</v>
      </c>
      <c r="BO29" s="19" t="n">
        <f aca="false">Debt!BO49-BO21</f>
        <v>362.732013746136</v>
      </c>
      <c r="BP29" s="19" t="n">
        <f aca="false">Debt!BP49-BP21</f>
        <v>352.019506390783</v>
      </c>
      <c r="BQ29" s="19" t="n">
        <f aca="false">Debt!BQ49-BQ21</f>
        <v>340.131740930938</v>
      </c>
      <c r="BR29" s="19" t="n">
        <f aca="false">Debt!BR49-BR21</f>
        <v>328.032229574583</v>
      </c>
      <c r="BS29" s="19" t="n">
        <f aca="false">Debt!BS49-BS21</f>
        <v>314.589723711858</v>
      </c>
      <c r="BT29" s="19" t="n">
        <f aca="false">Debt!BT49-BT21</f>
        <v>300.9057988719</v>
      </c>
      <c r="BU29" s="19" t="n">
        <f aca="false">Debt!BU49-BU21</f>
        <v>281.949762833776</v>
      </c>
      <c r="BV29" s="19" t="n">
        <f aca="false">Debt!BV49-BV21</f>
        <v>262.61994635373</v>
      </c>
      <c r="BW29" s="19" t="n">
        <f aca="false">Debt!BW49-BW21</f>
        <v>241.663197433756</v>
      </c>
      <c r="BX29" s="19" t="n">
        <f aca="false">Debt!BX49-BX21</f>
        <v>220.158955866503</v>
      </c>
      <c r="BY29" s="19" t="n">
        <f aca="false">Debt!BY49-BY21</f>
        <v>197.05582372365</v>
      </c>
      <c r="BZ29" s="19" t="n">
        <f aca="false">Debt!BZ49-BZ21</f>
        <v>173.500605699065</v>
      </c>
      <c r="CA29" s="19" t="n">
        <f aca="false">Debt!CA49-CA21</f>
        <v>150.584520268122</v>
      </c>
      <c r="CB29" s="19" t="n">
        <f aca="false">Debt!CB49-CB21</f>
        <v>127.238073001951</v>
      </c>
      <c r="CC29" s="19" t="n">
        <f aca="false">Debt!CC49-CC21</f>
        <v>102.001906800772</v>
      </c>
      <c r="CD29" s="19" t="n">
        <f aca="false">Debt!CD49-CD21</f>
        <v>76.2916739948068</v>
      </c>
      <c r="CE29" s="19" t="n">
        <f aca="false">Debt!CE49-CE21</f>
        <v>49.7748534632589</v>
      </c>
      <c r="CF29" s="19" t="n">
        <f aca="false">Debt!CF49-CF21</f>
        <v>26.0177618952601</v>
      </c>
      <c r="CG29" s="19" t="n">
        <f aca="false">Debt!CG49-CG21</f>
        <v>1.36068933898059E-012</v>
      </c>
      <c r="CH29" s="19" t="n">
        <f aca="false">Debt!CH49-CH21</f>
        <v>1.36068933898059E-012</v>
      </c>
      <c r="CI29" s="19" t="n">
        <f aca="false">Debt!CI49-CI21</f>
        <v>1.36068933898059E-012</v>
      </c>
      <c r="CJ29" s="19" t="n">
        <f aca="false">Debt!CJ49-CJ21</f>
        <v>1.36068933898059E-012</v>
      </c>
      <c r="CK29" s="19" t="n">
        <f aca="false">Debt!CK49-CK21</f>
        <v>1.36068933898059E-012</v>
      </c>
      <c r="CL29" s="19" t="n">
        <f aca="false">Debt!CL49-CL21</f>
        <v>1.36068933898059E-012</v>
      </c>
      <c r="CM29" s="19" t="n">
        <f aca="false">Debt!CM49-CM21</f>
        <v>1.36068933898059E-012</v>
      </c>
      <c r="CN29" s="19" t="n">
        <f aca="false">Debt!CN49-CN21</f>
        <v>1.36068933898059E-012</v>
      </c>
      <c r="CO29" s="19" t="n">
        <f aca="false">Debt!CO49-CO21</f>
        <v>1.36068933898059E-012</v>
      </c>
      <c r="CP29" s="19" t="n">
        <f aca="false">Debt!CP49-CP21</f>
        <v>1.36068933898059E-012</v>
      </c>
      <c r="CQ29" s="19" t="n">
        <f aca="false">Debt!CQ49-CQ21</f>
        <v>1.36068933898059E-012</v>
      </c>
      <c r="CR29" s="19" t="n">
        <f aca="false">Debt!CR49-CR21</f>
        <v>1.36068933898059E-012</v>
      </c>
      <c r="CS29" s="19" t="n">
        <f aca="false">Debt!CS49-CS21</f>
        <v>1.36068933898059E-012</v>
      </c>
      <c r="CT29" s="19" t="n">
        <f aca="false">Debt!CT49-CT21</f>
        <v>1.36068933898059E-012</v>
      </c>
      <c r="CU29" s="19" t="n">
        <f aca="false">Debt!CU49-CU21</f>
        <v>1.36068933898059E-012</v>
      </c>
      <c r="CV29" s="19" t="n">
        <f aca="false">Debt!CV49-CV21</f>
        <v>1.36068933898059E-012</v>
      </c>
      <c r="CW29" s="19" t="n">
        <f aca="false">Debt!CW49-CW21</f>
        <v>1.36068933898059E-012</v>
      </c>
      <c r="CX29" s="19" t="n">
        <f aca="false">Debt!CX49-CX21</f>
        <v>1.36068933898059E-012</v>
      </c>
      <c r="CY29" s="19" t="n">
        <f aca="false">Debt!CY49-CY21</f>
        <v>1.36068933898059E-012</v>
      </c>
      <c r="CZ29" s="19" t="n">
        <f aca="false">Debt!CZ49-CZ21</f>
        <v>1.36068933898059E-012</v>
      </c>
      <c r="DA29" s="19" t="n">
        <f aca="false">Debt!DA49-DA21</f>
        <v>1.36068933898059E-012</v>
      </c>
      <c r="DB29" s="19" t="n">
        <f aca="false">Debt!DB49-DB21</f>
        <v>1.36068933898059E-012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1.99291291584575</v>
      </c>
      <c r="AA33" s="19" t="n">
        <f aca="false">AA26-AA30</f>
        <v>5.73983606096598</v>
      </c>
      <c r="AB33" s="19" t="n">
        <f aca="false">AB26-AB30</f>
        <v>14.1197975859674</v>
      </c>
      <c r="AC33" s="19" t="n">
        <f aca="false">AC26-AC30</f>
        <v>21.2479208646506</v>
      </c>
      <c r="AD33" s="19" t="n">
        <f aca="false">AD26-AD30</f>
        <v>32.9164336199878</v>
      </c>
      <c r="AE33" s="19" t="n">
        <f aca="false">AE26-AE30</f>
        <v>14.3162934090829</v>
      </c>
      <c r="AF33" s="19" t="n">
        <f aca="false">AF26-AF30</f>
        <v>12.8005173494887</v>
      </c>
      <c r="AG33" s="19" t="n">
        <f aca="false">AG26-AG30</f>
        <v>20.3765404481845</v>
      </c>
      <c r="AH33" s="19" t="n">
        <f aca="false">AH26-AH30</f>
        <v>21.8834568784714</v>
      </c>
      <c r="AI33" s="19" t="n">
        <f aca="false">AI26-AI30</f>
        <v>21.317231641169</v>
      </c>
      <c r="AJ33" s="19" t="n">
        <f aca="false">AJ26-AJ30</f>
        <v>22.1430132276617</v>
      </c>
      <c r="AK33" s="19" t="n">
        <f aca="false">AK26-AK30</f>
        <v>24.6691436117637</v>
      </c>
      <c r="AL33" s="19" t="n">
        <f aca="false">AL26-AL30</f>
        <v>25.2085927799767</v>
      </c>
      <c r="AM33" s="19" t="n">
        <f aca="false">AM26-AM30</f>
        <v>28.1731795514967</v>
      </c>
      <c r="AN33" s="19" t="n">
        <f aca="false">AN26-AN30</f>
        <v>28.7585755862858</v>
      </c>
      <c r="AO33" s="19" t="n">
        <f aca="false">AO26-AO30</f>
        <v>35.0872212891777</v>
      </c>
      <c r="AP33" s="19" t="n">
        <f aca="false">AP26-AP30</f>
        <v>35.7186394365646</v>
      </c>
      <c r="AQ33" s="19" t="n">
        <f aca="false">AQ26-AQ30</f>
        <v>28.6752851742954</v>
      </c>
      <c r="AR33" s="19" t="n">
        <f aca="false">AR26-AR30</f>
        <v>29.7683844743649</v>
      </c>
      <c r="AS33" s="19" t="n">
        <f aca="false">AS26-AS30</f>
        <v>32.9195587575348</v>
      </c>
      <c r="AT33" s="19" t="n">
        <f aca="false">AT26-AT30</f>
        <v>33.6561808087551</v>
      </c>
      <c r="AU33" s="19" t="n">
        <f aca="false">AU26-AU30</f>
        <v>37.3547606625496</v>
      </c>
      <c r="AV33" s="19" t="n">
        <f aca="false">AV26-AV30</f>
        <v>36.3385126134108</v>
      </c>
      <c r="AW33" s="19" t="n">
        <f aca="false">AW26-AW30</f>
        <v>41.5560000379286</v>
      </c>
      <c r="AX33" s="19" t="n">
        <f aca="false">AX26-AX30</f>
        <v>41.9997353604336</v>
      </c>
      <c r="AY33" s="19" t="n">
        <f aca="false">AY26-AY30</f>
        <v>41.2604754703659</v>
      </c>
      <c r="AZ33" s="19" t="n">
        <f aca="false">AZ26-AZ30</f>
        <v>40.7948461937368</v>
      </c>
      <c r="BA33" s="19" t="n">
        <f aca="false">BA26-BA30</f>
        <v>43.8391727778185</v>
      </c>
      <c r="BB33" s="19" t="n">
        <f aca="false">BB26-BB30</f>
        <v>39.6015864529534</v>
      </c>
      <c r="BC33" s="19" t="n">
        <f aca="false">BC26-BC30</f>
        <v>51.5548320175274</v>
      </c>
      <c r="BD33" s="19" t="n">
        <f aca="false">BD26-BD30</f>
        <v>48.9037745087052</v>
      </c>
      <c r="BE33" s="19" t="n">
        <f aca="false">BE26-BE30</f>
        <v>56.6685731946554</v>
      </c>
      <c r="BF33" s="19" t="n">
        <f aca="false">BF26-BF30</f>
        <v>55.4437635888497</v>
      </c>
      <c r="BG33" s="19" t="n">
        <f aca="false">BG26-BG30</f>
        <v>59.2507327025928</v>
      </c>
      <c r="BH33" s="19" t="n">
        <f aca="false">BH26-BH30</f>
        <v>58.6908086331845</v>
      </c>
      <c r="BI33" s="19" t="n">
        <f aca="false">BI26-BI30</f>
        <v>62.3677598422638</v>
      </c>
      <c r="BJ33" s="19" t="n">
        <f aca="false">BJ26-BJ30</f>
        <v>61.0165301807785</v>
      </c>
      <c r="BK33" s="19" t="n">
        <f aca="false">BK26-BK30</f>
        <v>65.4314590498189</v>
      </c>
      <c r="BL33" s="19" t="n">
        <f aca="false">BL26-BL30</f>
        <v>64.0299253899208</v>
      </c>
      <c r="BM33" s="19" t="n">
        <f aca="false">BM26-BM30</f>
        <v>68.6224721088801</v>
      </c>
      <c r="BN33" s="19" t="n">
        <f aca="false">BN26-BN30</f>
        <v>74.1359455720979</v>
      </c>
      <c r="BO33" s="19" t="n">
        <f aca="false">BO26-BO30</f>
        <v>60.1097379589085</v>
      </c>
      <c r="BP33" s="19" t="n">
        <f aca="false">BP26-BP30</f>
        <v>59.4495558291003</v>
      </c>
      <c r="BQ33" s="19" t="n">
        <f aca="false">BQ26-BQ30</f>
        <v>64.3371793437181</v>
      </c>
      <c r="BR33" s="19" t="n">
        <f aca="false">BR26-BR30</f>
        <v>61.5007748784443</v>
      </c>
      <c r="BS33" s="19" t="n">
        <f aca="false">BS26-BS30</f>
        <v>67.135333811017</v>
      </c>
      <c r="BT33" s="19" t="n">
        <f aca="false">BT26-BT30</f>
        <v>57.212336387424</v>
      </c>
      <c r="BU33" s="19" t="n">
        <f aca="false">BU26-BU30</f>
        <v>81.6528083946472</v>
      </c>
      <c r="BV33" s="19" t="n">
        <f aca="false">BV26-BV30</f>
        <v>78.6110588044407</v>
      </c>
      <c r="BW33" s="19" t="n">
        <f aca="false">BW26-BW30</f>
        <v>84.3814997849765</v>
      </c>
      <c r="BX33" s="19" t="n">
        <f aca="false">BX26-BX30</f>
        <v>82.2516918255478</v>
      </c>
      <c r="BY33" s="19" t="n">
        <f aca="false">BY26-BY30</f>
        <v>87.7745191663112</v>
      </c>
      <c r="BZ33" s="19" t="n">
        <f aca="false">BZ26-BZ30</f>
        <v>89.0252259291037</v>
      </c>
      <c r="CA33" s="19" t="n">
        <f aca="false">CA26-CA30</f>
        <v>83.4999315244907</v>
      </c>
      <c r="CB33" s="19" t="n">
        <f aca="false">CB26-CB30</f>
        <v>80.1272434527882</v>
      </c>
      <c r="CC33" s="19" t="n">
        <f aca="false">CC26-CC30</f>
        <v>86.8376129864187</v>
      </c>
      <c r="CD33" s="19" t="n">
        <f aca="false">CD26-CD30</f>
        <v>85.5317072438658</v>
      </c>
      <c r="CE33" s="19" t="n">
        <f aca="false">CE26-CE30</f>
        <v>92.5604322629333</v>
      </c>
      <c r="CF33" s="19" t="n">
        <f aca="false">CF26-CF30</f>
        <v>72.7940462728179</v>
      </c>
      <c r="CG33" s="19" t="n">
        <f aca="false">CG26-CG30</f>
        <v>129.292104781583</v>
      </c>
      <c r="CH33" s="19" t="n">
        <f aca="false">CH26-CH30</f>
        <v>105.712765642997</v>
      </c>
      <c r="CI33" s="19" t="n">
        <f aca="false">CI26-CI30</f>
        <v>110.597291903227</v>
      </c>
      <c r="CJ33" s="19" t="n">
        <f aca="false">CJ26-CJ30</f>
        <v>109.380604163406</v>
      </c>
      <c r="CK33" s="19" t="n">
        <f aca="false">CK26-CK30</f>
        <v>130.69694838973</v>
      </c>
      <c r="CL33" s="19" t="n">
        <f aca="false">CL26-CL30</f>
        <v>118.960122368035</v>
      </c>
      <c r="CM33" s="19" t="n">
        <f aca="false">CM26-CM30</f>
        <v>124.175601923561</v>
      </c>
      <c r="CN33" s="19" t="n">
        <f aca="false">CN26-CN30</f>
        <v>123.62005663349</v>
      </c>
      <c r="CO33" s="19" t="n">
        <f aca="false">CO26-CO30</f>
        <v>128.255613672643</v>
      </c>
      <c r="CP33" s="19" t="n">
        <f aca="false">CP26-CP30</f>
        <v>141.862699835627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946.761677272424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5.46471834968112</v>
      </c>
      <c r="AK35" s="19" t="n">
        <f aca="false">MIN(Debt!AK100,MAX(0,AK33))*(1-Time!AK20)</f>
        <v>8.7464996147847</v>
      </c>
      <c r="AL35" s="19" t="n">
        <f aca="false">MIN(Debt!AL100,MAX(0,AL33))*(1-Time!AL20)</f>
        <v>8.60389364280452</v>
      </c>
      <c r="AM35" s="19" t="n">
        <f aca="false">MIN(Debt!AM100,MAX(0,AM33))*(1-Time!AM20)</f>
        <v>8.7464996147847</v>
      </c>
      <c r="AN35" s="19" t="n">
        <f aca="false">MIN(Debt!AN100,MAX(0,AN33))*(1-Time!AN20)</f>
        <v>8.60389364280452</v>
      </c>
      <c r="AO35" s="19" t="n">
        <f aca="false">MIN(Debt!AO100,MAX(0,AO33))*(1-Time!AO20)</f>
        <v>8.7464996147847</v>
      </c>
      <c r="AP35" s="19" t="n">
        <f aca="false">MIN(Debt!AP100,MAX(0,AP33))*(1-Time!AP20)</f>
        <v>8.8116152028335</v>
      </c>
      <c r="AQ35" s="19" t="n">
        <f aca="false">MIN(Debt!AQ100,MAX(0,AQ33))*(1-Time!AQ20)</f>
        <v>8.74329535321871</v>
      </c>
      <c r="AR35" s="19" t="n">
        <f aca="false">MIN(Debt!AR100,MAX(0,AR33))*(1-Time!AR20)</f>
        <v>8.64825953416199</v>
      </c>
      <c r="AS35" s="19" t="n">
        <f aca="false">MIN(Debt!AS100,MAX(0,AS33))*(1-Time!AS20)</f>
        <v>8.74329535321871</v>
      </c>
      <c r="AT35" s="19" t="n">
        <f aca="false">MIN(Debt!AT100,MAX(0,AT33))*(1-Time!AT20)</f>
        <v>8.60074162463362</v>
      </c>
      <c r="AU35" s="19" t="n">
        <f aca="false">MIN(Debt!AU100,MAX(0,AU33))*(1-Time!AU20)</f>
        <v>9.12347334755179</v>
      </c>
      <c r="AV35" s="19" t="n">
        <f aca="false">MIN(Debt!AV100,MAX(0,AV33))*(1-Time!AV20)</f>
        <v>9.40795633214046</v>
      </c>
      <c r="AW35" s="19" t="n">
        <f aca="false">MIN(Debt!AW100,MAX(0,AW33))*(1-Time!AW20)</f>
        <v>10.2229428557626</v>
      </c>
      <c r="AX35" s="19" t="n">
        <f aca="false">MIN(Debt!AX100,MAX(0,AX33))*(1-Time!AX20)</f>
        <v>10.2639449328357</v>
      </c>
      <c r="AY35" s="19" t="n">
        <f aca="false">MIN(Debt!AY100,MAX(0,AY33))*(1-Time!AY20)</f>
        <v>10.1920434213904</v>
      </c>
      <c r="AZ35" s="19" t="n">
        <f aca="false">MIN(Debt!AZ100,MAX(0,AZ33))*(1-Time!AZ20)</f>
        <v>10.302264752819</v>
      </c>
      <c r="BA35" s="19" t="n">
        <f aca="false">MIN(Debt!BA100,MAX(0,BA33))*(1-Time!BA20)</f>
        <v>10.7857949676358</v>
      </c>
      <c r="BB35" s="19" t="n">
        <f aca="false">MIN(Debt!BB100,MAX(0,BB33))*(1-Time!BB20)</f>
        <v>10.8310160898793</v>
      </c>
      <c r="BC35" s="19" t="n">
        <f aca="false">MIN(Debt!BC100,MAX(0,BC33))*(1-Time!BC20)</f>
        <v>12.6807741661769</v>
      </c>
      <c r="BD35" s="19" t="n">
        <f aca="false">MIN(Debt!BD100,MAX(0,BD33))*(1-Time!BD20)</f>
        <v>12.7284465165199</v>
      </c>
      <c r="BE35" s="19" t="n">
        <f aca="false">MIN(Debt!BE100,MAX(0,BE33))*(1-Time!BE20)</f>
        <v>13.9372772694767</v>
      </c>
      <c r="BF35" s="19" t="n">
        <f aca="false">MIN(Debt!BF100,MAX(0,BF33))*(1-Time!BF20)</f>
        <v>13.987504564984</v>
      </c>
      <c r="BG35" s="19" t="n">
        <f aca="false">MIN(Debt!BG100,MAX(0,BG33))*(1-Time!BG20)</f>
        <v>14.6210940468387</v>
      </c>
      <c r="BH35" s="19" t="n">
        <f aca="false">MIN(Debt!BH100,MAX(0,BH33))*(1-Time!BH20)</f>
        <v>14.7546783374351</v>
      </c>
      <c r="BI35" s="19" t="n">
        <f aca="false">MIN(Debt!BI100,MAX(0,BI33))*(1-Time!BI20)</f>
        <v>15.3389031895485</v>
      </c>
      <c r="BJ35" s="19" t="n">
        <f aca="false">MIN(Debt!BJ100,MAX(0,BJ33))*(1-Time!BJ20)</f>
        <v>15.3940937339255</v>
      </c>
      <c r="BK35" s="19" t="n">
        <f aca="false">MIN(Debt!BK100,MAX(0,BK33))*(1-Time!BK20)</f>
        <v>16.0924912980458</v>
      </c>
      <c r="BL35" s="19" t="n">
        <f aca="false">MIN(Debt!BL100,MAX(0,BL33))*(1-Time!BL20)</f>
        <v>16.1505480626156</v>
      </c>
      <c r="BM35" s="19" t="n">
        <f aca="false">MIN(Debt!BM100,MAX(0,BM33))*(1-Time!BM20)</f>
        <v>16.8771069226177</v>
      </c>
      <c r="BN35" s="19" t="n">
        <f aca="false">MIN(Debt!BN100,MAX(0,BN33))*(1-Time!BN20)</f>
        <v>16.9376696184888</v>
      </c>
      <c r="BO35" s="19" t="n">
        <f aca="false">MIN(Debt!BO100,MAX(0,BO33))*(1-Time!BO20)</f>
        <v>14.848920667785</v>
      </c>
      <c r="BP35" s="19" t="n">
        <f aca="false">MIN(Debt!BP100,MAX(0,BP33))*(1-Time!BP20)</f>
        <v>15.0108035825405</v>
      </c>
      <c r="BQ35" s="19" t="n">
        <f aca="false">MIN(Debt!BQ100,MAX(0,BQ33))*(1-Time!BQ20)</f>
        <v>15.7112998698532</v>
      </c>
      <c r="BR35" s="19" t="n">
        <f aca="false">MIN(Debt!BR100,MAX(0,BR33))*(1-Time!BR20)</f>
        <v>15.5820409467451</v>
      </c>
      <c r="BS35" s="19" t="n">
        <f aca="false">MIN(Debt!BS100,MAX(0,BS33))*(1-Time!BS20)</f>
        <v>16.3953593510553</v>
      </c>
      <c r="BT35" s="19" t="n">
        <f aca="false">MIN(Debt!BT100,MAX(0,BT33))*(1-Time!BT20)</f>
        <v>16.261714521515</v>
      </c>
      <c r="BU35" s="19" t="n">
        <f aca="false">MIN(Debt!BU100,MAX(0,BU33))*(1-Time!BU20)</f>
        <v>19.9553578846727</v>
      </c>
      <c r="BV35" s="19" t="n">
        <f aca="false">MIN(Debt!BV100,MAX(0,BV33))*(1-Time!BV20)</f>
        <v>19.8171488858921</v>
      </c>
      <c r="BW35" s="19" t="n">
        <f aca="false">MIN(Debt!BW100,MAX(0,BW33))*(1-Time!BW20)</f>
        <v>20.6904344198998</v>
      </c>
      <c r="BX35" s="19" t="n">
        <f aca="false">MIN(Debt!BX100,MAX(0,BX33))*(1-Time!BX20)</f>
        <v>20.661023680455</v>
      </c>
      <c r="BY35" s="19" t="n">
        <f aca="false">MIN(Debt!BY100,MAX(0,BY33))*(1-Time!BY20)</f>
        <v>21.4518699136659</v>
      </c>
      <c r="BZ35" s="19" t="n">
        <f aca="false">MIN(Debt!BZ100,MAX(0,BZ33))*(1-Time!BZ20)</f>
        <v>21.3039809011289</v>
      </c>
      <c r="CA35" s="19" t="n">
        <f aca="false">MIN(Debt!CA100,MAX(0,CA33))*(1-Time!CA20)</f>
        <v>20.3997588362693</v>
      </c>
      <c r="CB35" s="19" t="n">
        <f aca="false">MIN(Debt!CB100,MAX(0,CB33))*(1-Time!CB20)</f>
        <v>20.2467453395215</v>
      </c>
      <c r="CC35" s="19" t="n">
        <f aca="false">MIN(Debt!CC100,MAX(0,CC33))*(1-Time!CC20)</f>
        <v>21.2156622603372</v>
      </c>
      <c r="CD35" s="19" t="n">
        <f aca="false">MIN(Debt!CD100,MAX(0,CD33))*(1-Time!CD20)</f>
        <v>21.0573287345951</v>
      </c>
      <c r="CE35" s="19" t="n">
        <f aca="false">MIN(Debt!CE100,MAX(0,CE33))*(1-Time!CE20)</f>
        <v>21.1686350667148</v>
      </c>
      <c r="CF35" s="19" t="n">
        <f aca="false">MIN(Debt!CF100,MAX(0,CF33))*(1-Time!CF20)</f>
        <v>18.596644892491</v>
      </c>
      <c r="CG35" s="19" t="n">
        <f aca="false">MIN(Debt!CG100,MAX(0,CG33))*(1-Time!CG20)</f>
        <v>19.8142402857282</v>
      </c>
      <c r="CH35" s="19" t="n">
        <f aca="false">MIN(Debt!CH100,MAX(0,CH33))*(1-Time!CH20)</f>
        <v>25.9430410970201</v>
      </c>
      <c r="CI35" s="19" t="n">
        <f aca="false">MIN(Debt!CI100,MAX(0,CI33))*(1-Time!CI20)</f>
        <v>27.1417559801078</v>
      </c>
      <c r="CJ35" s="19" t="n">
        <f aca="false">MIN(Debt!CJ100,MAX(0,CJ33))*(1-Time!CJ20)</f>
        <v>26.8431678214837</v>
      </c>
      <c r="CK35" s="19" t="n">
        <f aca="false">MIN(Debt!CK100,MAX(0,CK33))*(1-Time!CK20)</f>
        <v>32.0744262313649</v>
      </c>
      <c r="CL35" s="19" t="n">
        <f aca="false">MIN(Debt!CL100,MAX(0,CL33))*(1-Time!CL20)</f>
        <v>29.1940838434108</v>
      </c>
      <c r="CM35" s="19" t="n">
        <f aca="false">MIN(Debt!CM100,MAX(0,CM33))*(1-Time!CM20)</f>
        <v>30.4740181978538</v>
      </c>
      <c r="CN35" s="19" t="n">
        <f aca="false">MIN(Debt!CN100,MAX(0,CN33))*(1-Time!CN20)</f>
        <v>30.3376814536216</v>
      </c>
      <c r="CO35" s="19" t="n">
        <f aca="false">MIN(Debt!CO100,MAX(0,CO33))*(1-Time!CO20)</f>
        <v>31.4752966322885</v>
      </c>
      <c r="CP35" s="19" t="n">
        <f aca="false">MIN(Debt!CP100,MAX(0,CP33))*(1-Time!CP20)</f>
        <v>8.58140845178066E-012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1.99291291584575</v>
      </c>
      <c r="AA36" s="19" t="n">
        <f aca="false">AA33-AA35</f>
        <v>5.73983606096598</v>
      </c>
      <c r="AB36" s="19" t="n">
        <f aca="false">AB33-AB35</f>
        <v>14.1197975859674</v>
      </c>
      <c r="AC36" s="19" t="n">
        <f aca="false">AC33-AC35</f>
        <v>21.2479208646506</v>
      </c>
      <c r="AD36" s="19" t="n">
        <f aca="false">AD33-AD35</f>
        <v>32.9164336199878</v>
      </c>
      <c r="AE36" s="19" t="n">
        <f aca="false">AE33-AE35</f>
        <v>14.3162934090829</v>
      </c>
      <c r="AF36" s="19" t="n">
        <f aca="false">AF33-AF35</f>
        <v>12.8005173494887</v>
      </c>
      <c r="AG36" s="19" t="n">
        <f aca="false">AG33-AG35</f>
        <v>20.3765404481845</v>
      </c>
      <c r="AH36" s="19" t="n">
        <f aca="false">AH33-AH35</f>
        <v>21.8834568784714</v>
      </c>
      <c r="AI36" s="19" t="n">
        <f aca="false">AI33-AI35</f>
        <v>21.317231641169</v>
      </c>
      <c r="AJ36" s="19" t="n">
        <f aca="false">AJ33-AJ35</f>
        <v>16.678294877982</v>
      </c>
      <c r="AK36" s="19" t="n">
        <f aca="false">AK33-AK35</f>
        <v>15.922643996979</v>
      </c>
      <c r="AL36" s="19" t="n">
        <f aca="false">AL33-AL35</f>
        <v>16.6046991371722</v>
      </c>
      <c r="AM36" s="19" t="n">
        <f aca="false">AM33-AM35</f>
        <v>19.426679936712</v>
      </c>
      <c r="AN36" s="19" t="n">
        <f aca="false">AN33-AN35</f>
        <v>20.1546819434813</v>
      </c>
      <c r="AO36" s="19" t="n">
        <f aca="false">AO33-AO35</f>
        <v>26.340721674393</v>
      </c>
      <c r="AP36" s="19" t="n">
        <f aca="false">AP33-AP35</f>
        <v>26.9070242337311</v>
      </c>
      <c r="AQ36" s="19" t="n">
        <f aca="false">AQ33-AQ35</f>
        <v>19.9319898210767</v>
      </c>
      <c r="AR36" s="19" t="n">
        <f aca="false">AR33-AR35</f>
        <v>21.1201249402029</v>
      </c>
      <c r="AS36" s="19" t="n">
        <f aca="false">AS33-AS35</f>
        <v>24.1762634043161</v>
      </c>
      <c r="AT36" s="19" t="n">
        <f aca="false">AT33-AT35</f>
        <v>25.0554391841215</v>
      </c>
      <c r="AU36" s="19" t="n">
        <f aca="false">AU33-AU35</f>
        <v>28.2312873149978</v>
      </c>
      <c r="AV36" s="19" t="n">
        <f aca="false">AV33-AV35</f>
        <v>26.9305562812704</v>
      </c>
      <c r="AW36" s="19" t="n">
        <f aca="false">AW33-AW35</f>
        <v>31.333057182166</v>
      </c>
      <c r="AX36" s="19" t="n">
        <f aca="false">AX33-AX35</f>
        <v>31.7357904275979</v>
      </c>
      <c r="AY36" s="19" t="n">
        <f aca="false">AY33-AY35</f>
        <v>31.0684320489755</v>
      </c>
      <c r="AZ36" s="19" t="n">
        <f aca="false">AZ33-AZ35</f>
        <v>30.4925814409179</v>
      </c>
      <c r="BA36" s="19" t="n">
        <f aca="false">BA33-BA35</f>
        <v>33.0533778101826</v>
      </c>
      <c r="BB36" s="19" t="n">
        <f aca="false">BB33-BB35</f>
        <v>28.7705703630742</v>
      </c>
      <c r="BC36" s="19" t="n">
        <f aca="false">BC33-BC35</f>
        <v>38.8740578513505</v>
      </c>
      <c r="BD36" s="19" t="n">
        <f aca="false">BD33-BD35</f>
        <v>36.1753279921853</v>
      </c>
      <c r="BE36" s="19" t="n">
        <f aca="false">BE33-BE35</f>
        <v>42.7312959251788</v>
      </c>
      <c r="BF36" s="19" t="n">
        <f aca="false">BF33-BF35</f>
        <v>41.4562590238657</v>
      </c>
      <c r="BG36" s="19" t="n">
        <f aca="false">BG33-BG35</f>
        <v>44.6296386557541</v>
      </c>
      <c r="BH36" s="19" t="n">
        <f aca="false">BH33-BH35</f>
        <v>43.9361302957494</v>
      </c>
      <c r="BI36" s="19" t="n">
        <f aca="false">BI33-BI35</f>
        <v>47.0288566527154</v>
      </c>
      <c r="BJ36" s="19" t="n">
        <f aca="false">BJ33-BJ35</f>
        <v>45.622436446853</v>
      </c>
      <c r="BK36" s="19" t="n">
        <f aca="false">BK33-BK35</f>
        <v>49.3389677517731</v>
      </c>
      <c r="BL36" s="19" t="n">
        <f aca="false">BL33-BL35</f>
        <v>47.8793773273053</v>
      </c>
      <c r="BM36" s="19" t="n">
        <f aca="false">BM33-BM35</f>
        <v>51.7453651862624</v>
      </c>
      <c r="BN36" s="19" t="n">
        <f aca="false">BN33-BN35</f>
        <v>57.1982759536092</v>
      </c>
      <c r="BO36" s="19" t="n">
        <f aca="false">BO33-BO35</f>
        <v>45.2608172911235</v>
      </c>
      <c r="BP36" s="19" t="n">
        <f aca="false">BP33-BP35</f>
        <v>44.4387522465598</v>
      </c>
      <c r="BQ36" s="19" t="n">
        <f aca="false">BQ33-BQ35</f>
        <v>48.625879473865</v>
      </c>
      <c r="BR36" s="19" t="n">
        <f aca="false">BR33-BR35</f>
        <v>45.9187339316992</v>
      </c>
      <c r="BS36" s="19" t="n">
        <f aca="false">BS33-BS35</f>
        <v>50.7399744599617</v>
      </c>
      <c r="BT36" s="19" t="n">
        <f aca="false">BT33-BT35</f>
        <v>40.9506218659089</v>
      </c>
      <c r="BU36" s="19" t="n">
        <f aca="false">BU33-BU35</f>
        <v>61.6974505099745</v>
      </c>
      <c r="BV36" s="19" t="n">
        <f aca="false">BV33-BV35</f>
        <v>58.7939099185486</v>
      </c>
      <c r="BW36" s="19" t="n">
        <f aca="false">BW33-BW35</f>
        <v>63.6910653650768</v>
      </c>
      <c r="BX36" s="19" t="n">
        <f aca="false">BX33-BX35</f>
        <v>61.5906681450928</v>
      </c>
      <c r="BY36" s="19" t="n">
        <f aca="false">BY33-BY35</f>
        <v>66.3226492526453</v>
      </c>
      <c r="BZ36" s="19" t="n">
        <f aca="false">BZ33-BZ35</f>
        <v>67.7212450279749</v>
      </c>
      <c r="CA36" s="19" t="n">
        <f aca="false">CA33-CA35</f>
        <v>63.1001726882215</v>
      </c>
      <c r="CB36" s="19" t="n">
        <f aca="false">CB33-CB35</f>
        <v>59.8804981132667</v>
      </c>
      <c r="CC36" s="19" t="n">
        <f aca="false">CC33-CC35</f>
        <v>65.6219507260814</v>
      </c>
      <c r="CD36" s="19" t="n">
        <f aca="false">CD33-CD35</f>
        <v>64.4743785092707</v>
      </c>
      <c r="CE36" s="19" t="n">
        <f aca="false">CE33-CE35</f>
        <v>71.3917971962185</v>
      </c>
      <c r="CF36" s="19" t="n">
        <f aca="false">CF33-CF35</f>
        <v>54.197401380327</v>
      </c>
      <c r="CG36" s="19" t="n">
        <f aca="false">CG33-CG35</f>
        <v>109.477864495855</v>
      </c>
      <c r="CH36" s="19" t="n">
        <f aca="false">CH33-CH35</f>
        <v>79.7697245459767</v>
      </c>
      <c r="CI36" s="19" t="n">
        <f aca="false">CI33-CI35</f>
        <v>83.4555359231188</v>
      </c>
      <c r="CJ36" s="19" t="n">
        <f aca="false">CJ33-CJ35</f>
        <v>82.5374363419225</v>
      </c>
      <c r="CK36" s="19" t="n">
        <f aca="false">CK33-CK35</f>
        <v>98.6225221583646</v>
      </c>
      <c r="CL36" s="19" t="n">
        <f aca="false">CL33-CL35</f>
        <v>89.7660385246247</v>
      </c>
      <c r="CM36" s="19" t="n">
        <f aca="false">CM33-CM35</f>
        <v>93.7015837257067</v>
      </c>
      <c r="CN36" s="19" t="n">
        <f aca="false">CN33-CN35</f>
        <v>93.2823751798686</v>
      </c>
      <c r="CO36" s="19" t="n">
        <f aca="false">CO33-CO35</f>
        <v>96.7803170403548</v>
      </c>
      <c r="CP36" s="19" t="n">
        <f aca="false">CP33-CP35</f>
        <v>141.862699835618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1.99291291584575</v>
      </c>
      <c r="AA39" s="19" t="n">
        <f aca="false">AA36-AA38</f>
        <v>5.73983606096598</v>
      </c>
      <c r="AB39" s="19" t="n">
        <f aca="false">AB36-AB38</f>
        <v>14.1197975859674</v>
      </c>
      <c r="AC39" s="19" t="n">
        <f aca="false">AC36-AC38</f>
        <v>21.2479208646506</v>
      </c>
      <c r="AD39" s="19" t="n">
        <f aca="false">AD36-AD38</f>
        <v>32.9164336199878</v>
      </c>
      <c r="AE39" s="19" t="n">
        <f aca="false">AE36-AE38</f>
        <v>14.3162934090829</v>
      </c>
      <c r="AF39" s="19" t="n">
        <f aca="false">AF36-AF38</f>
        <v>12.8005173494887</v>
      </c>
      <c r="AG39" s="19" t="n">
        <f aca="false">AG36-AG38</f>
        <v>20.3765404481845</v>
      </c>
      <c r="AH39" s="19" t="n">
        <f aca="false">AH36-AH38</f>
        <v>21.8834568784714</v>
      </c>
      <c r="AI39" s="19" t="n">
        <f aca="false">AI36-AI38</f>
        <v>21.317231641169</v>
      </c>
      <c r="AJ39" s="19" t="n">
        <f aca="false">AJ36-AJ38</f>
        <v>16.6782948779846</v>
      </c>
      <c r="AK39" s="19" t="n">
        <f aca="false">AK36-AK38</f>
        <v>15.922643996979</v>
      </c>
      <c r="AL39" s="19" t="n">
        <f aca="false">AL36-AL38</f>
        <v>16.6046991371722</v>
      </c>
      <c r="AM39" s="19" t="n">
        <f aca="false">AM36-AM38</f>
        <v>19.426679936712</v>
      </c>
      <c r="AN39" s="19" t="n">
        <f aca="false">AN36-AN38</f>
        <v>20.1546819434813</v>
      </c>
      <c r="AO39" s="19" t="n">
        <f aca="false">AO36-AO38</f>
        <v>26.340721674393</v>
      </c>
      <c r="AP39" s="19" t="n">
        <f aca="false">AP36-AP38</f>
        <v>26.9070242337311</v>
      </c>
      <c r="AQ39" s="19" t="n">
        <f aca="false">AQ36-AQ38</f>
        <v>19.9319898210767</v>
      </c>
      <c r="AR39" s="19" t="n">
        <f aca="false">AR36-AR38</f>
        <v>21.1201249402029</v>
      </c>
      <c r="AS39" s="19" t="n">
        <f aca="false">AS36-AS38</f>
        <v>24.1762634043161</v>
      </c>
      <c r="AT39" s="19" t="n">
        <f aca="false">AT36-AT38</f>
        <v>25.0554391841215</v>
      </c>
      <c r="AU39" s="19" t="n">
        <f aca="false">AU36-AU38</f>
        <v>28.2312873149978</v>
      </c>
      <c r="AV39" s="19" t="n">
        <f aca="false">AV36-AV38</f>
        <v>26.9305562812704</v>
      </c>
      <c r="AW39" s="19" t="n">
        <f aca="false">AW36-AW38</f>
        <v>31.333057182166</v>
      </c>
      <c r="AX39" s="19" t="n">
        <f aca="false">AX36-AX38</f>
        <v>31.7357904275979</v>
      </c>
      <c r="AY39" s="19" t="n">
        <f aca="false">AY36-AY38</f>
        <v>31.0684320489755</v>
      </c>
      <c r="AZ39" s="19" t="n">
        <f aca="false">AZ36-AZ38</f>
        <v>30.4925814409179</v>
      </c>
      <c r="BA39" s="19" t="n">
        <f aca="false">BA36-BA38</f>
        <v>33.0533778101826</v>
      </c>
      <c r="BB39" s="19" t="n">
        <f aca="false">BB36-BB38</f>
        <v>28.7705703630742</v>
      </c>
      <c r="BC39" s="19" t="n">
        <f aca="false">BC36-BC38</f>
        <v>38.8740578513505</v>
      </c>
      <c r="BD39" s="19" t="n">
        <f aca="false">BD36-BD38</f>
        <v>36.1753279921853</v>
      </c>
      <c r="BE39" s="19" t="n">
        <f aca="false">BE36-BE38</f>
        <v>42.7312959251788</v>
      </c>
      <c r="BF39" s="19" t="n">
        <f aca="false">BF36-BF38</f>
        <v>41.4562590238657</v>
      </c>
      <c r="BG39" s="19" t="n">
        <f aca="false">BG36-BG38</f>
        <v>44.6296386557541</v>
      </c>
      <c r="BH39" s="19" t="n">
        <f aca="false">BH36-BH38</f>
        <v>43.9361302957494</v>
      </c>
      <c r="BI39" s="19" t="n">
        <f aca="false">BI36-BI38</f>
        <v>47.0288566527154</v>
      </c>
      <c r="BJ39" s="19" t="n">
        <f aca="false">BJ36-BJ38</f>
        <v>45.622436446853</v>
      </c>
      <c r="BK39" s="19" t="n">
        <f aca="false">BK36-BK38</f>
        <v>49.3389677517731</v>
      </c>
      <c r="BL39" s="19" t="n">
        <f aca="false">BL36-BL38</f>
        <v>47.8793773273053</v>
      </c>
      <c r="BM39" s="19" t="n">
        <f aca="false">BM36-BM38</f>
        <v>51.7453651862624</v>
      </c>
      <c r="BN39" s="19" t="n">
        <f aca="false">BN36-BN38</f>
        <v>57.1982759536092</v>
      </c>
      <c r="BO39" s="19" t="n">
        <f aca="false">BO36-BO38</f>
        <v>45.2608172911235</v>
      </c>
      <c r="BP39" s="19" t="n">
        <f aca="false">BP36-BP38</f>
        <v>44.4387522465598</v>
      </c>
      <c r="BQ39" s="19" t="n">
        <f aca="false">BQ36-BQ38</f>
        <v>48.625879473865</v>
      </c>
      <c r="BR39" s="19" t="n">
        <f aca="false">BR36-BR38</f>
        <v>45.9187339316992</v>
      </c>
      <c r="BS39" s="19" t="n">
        <f aca="false">BS36-BS38</f>
        <v>50.7399744599617</v>
      </c>
      <c r="BT39" s="19" t="n">
        <f aca="false">BT36-BT38</f>
        <v>40.9506218659089</v>
      </c>
      <c r="BU39" s="19" t="n">
        <f aca="false">BU36-BU38</f>
        <v>61.6974505099745</v>
      </c>
      <c r="BV39" s="19" t="n">
        <f aca="false">BV36-BV38</f>
        <v>58.7939099185486</v>
      </c>
      <c r="BW39" s="19" t="n">
        <f aca="false">BW36-BW38</f>
        <v>63.6910653650768</v>
      </c>
      <c r="BX39" s="19" t="n">
        <f aca="false">BX36-BX38</f>
        <v>61.5906681450928</v>
      </c>
      <c r="BY39" s="19" t="n">
        <f aca="false">BY36-BY38</f>
        <v>66.3226492526453</v>
      </c>
      <c r="BZ39" s="19" t="n">
        <f aca="false">BZ36-BZ38</f>
        <v>67.7212450279749</v>
      </c>
      <c r="CA39" s="19" t="n">
        <f aca="false">CA36-CA38</f>
        <v>63.1001726882215</v>
      </c>
      <c r="CB39" s="19" t="n">
        <f aca="false">CB36-CB38</f>
        <v>59.8804981132667</v>
      </c>
      <c r="CC39" s="19" t="n">
        <f aca="false">CC36-CC38</f>
        <v>65.6219507260814</v>
      </c>
      <c r="CD39" s="19" t="n">
        <f aca="false">CD36-CD38</f>
        <v>64.4743785092707</v>
      </c>
      <c r="CE39" s="19" t="n">
        <f aca="false">CE36-CE38</f>
        <v>71.3917971962185</v>
      </c>
      <c r="CF39" s="19" t="n">
        <f aca="false">CF36-CF38</f>
        <v>54.197401380327</v>
      </c>
      <c r="CG39" s="19" t="n">
        <f aca="false">CG36-CG38</f>
        <v>109.477864495855</v>
      </c>
      <c r="CH39" s="19" t="n">
        <f aca="false">CH36-CH38</f>
        <v>79.7697245459767</v>
      </c>
      <c r="CI39" s="19" t="n">
        <f aca="false">CI36-CI38</f>
        <v>83.4555359231188</v>
      </c>
      <c r="CJ39" s="19" t="n">
        <f aca="false">CJ36-CJ38</f>
        <v>82.5374363419225</v>
      </c>
      <c r="CK39" s="19" t="n">
        <f aca="false">CK36-CK38</f>
        <v>98.6225221583646</v>
      </c>
      <c r="CL39" s="19" t="n">
        <f aca="false">CL36-CL38</f>
        <v>89.7660385246247</v>
      </c>
      <c r="CM39" s="19" t="n">
        <f aca="false">CM36-CM38</f>
        <v>93.7015837257067</v>
      </c>
      <c r="CN39" s="19" t="n">
        <f aca="false">CN36-CN38</f>
        <v>93.2823751798686</v>
      </c>
      <c r="CO39" s="19" t="n">
        <f aca="false">CO36-CO38</f>
        <v>96.7803170403548</v>
      </c>
      <c r="CP39" s="19" t="n">
        <f aca="false">CP36-CP38</f>
        <v>141.862699835618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1.5</v>
      </c>
      <c r="AA41" s="31" t="n">
        <f aca="false">IF(Debt!AA68&gt;Inputs!$F$9,AA7/Debt!AA68,0)</f>
        <v>1.5</v>
      </c>
      <c r="AB41" s="31" t="n">
        <f aca="false">IF(Debt!AB68&gt;Inputs!$F$9,AB7/Debt!AB68,0)</f>
        <v>1.5</v>
      </c>
      <c r="AC41" s="31" t="n">
        <f aca="false">IF(Debt!AC68&gt;Inputs!$F$9,AC7/Debt!AC68,0)</f>
        <v>1.5</v>
      </c>
      <c r="AD41" s="31" t="n">
        <f aca="false">IF(Debt!AD68&gt;Inputs!$F$9,AD7/Debt!AD68,0)</f>
        <v>1.5</v>
      </c>
      <c r="AE41" s="31" t="n">
        <f aca="false">IF(Debt!AE68&gt;Inputs!$F$9,AE7/Debt!AE68,0)</f>
        <v>1.58450707693428</v>
      </c>
      <c r="AF41" s="31" t="n">
        <f aca="false">IF(Debt!AF68&gt;Inputs!$F$9,AF7/Debt!AF68,0)</f>
        <v>1.73672455829486</v>
      </c>
      <c r="AG41" s="31" t="n">
        <f aca="false">IF(Debt!AG68&gt;Inputs!$F$9,AG7/Debt!AG68,0)</f>
        <v>1.86905159278656</v>
      </c>
      <c r="AH41" s="31" t="n">
        <f aca="false">IF(Debt!AH68&gt;Inputs!$F$9,AH7/Debt!AH68,0)</f>
        <v>1.95771754392054</v>
      </c>
      <c r="AI41" s="31" t="n">
        <f aca="false">IF(Debt!AI68&gt;Inputs!$F$9,AI7/Debt!AI68,0)</f>
        <v>1.91222562208005</v>
      </c>
      <c r="AJ41" s="31" t="n">
        <f aca="false">IF(Debt!AJ68&gt;Inputs!$F$9,AJ7/Debt!AJ68,0)</f>
        <v>1.96367056511752</v>
      </c>
      <c r="AK41" s="31" t="n">
        <f aca="false">IF(Debt!AK68&gt;Inputs!$F$9,AK7/Debt!AK68,0)</f>
        <v>2.05382472344196</v>
      </c>
      <c r="AL41" s="31" t="n">
        <f aca="false">IF(Debt!AL68&gt;Inputs!$F$9,AL7/Debt!AL68,0)</f>
        <v>2.10200762595882</v>
      </c>
      <c r="AM41" s="31" t="n">
        <f aca="false">IF(Debt!AM68&gt;Inputs!$F$9,AM7/Debt!AM68,0)</f>
        <v>2.20465434030929</v>
      </c>
      <c r="AN41" s="31" t="n">
        <f aca="false">IF(Debt!AN68&gt;Inputs!$F$9,AN7/Debt!AN68,0)</f>
        <v>2.25605465607417</v>
      </c>
      <c r="AO41" s="31" t="n">
        <f aca="false">IF(Debt!AO68&gt;Inputs!$F$9,AO7/Debt!AO68,0)</f>
        <v>2.50226608979593</v>
      </c>
      <c r="AP41" s="31" t="n">
        <f aca="false">IF(Debt!AP68&gt;Inputs!$F$9,AP7/Debt!AP68,0)</f>
        <v>2.55807785563535</v>
      </c>
      <c r="AQ41" s="31" t="n">
        <f aca="false">IF(Debt!AQ68&gt;Inputs!$F$9,AQ7/Debt!AQ68,0)</f>
        <v>2.22894965527117</v>
      </c>
      <c r="AR41" s="31" t="n">
        <f aca="false">IF(Debt!AR68&gt;Inputs!$F$9,AR7/Debt!AR68,0)</f>
        <v>2.2936715618417</v>
      </c>
      <c r="AS41" s="31" t="n">
        <f aca="false">IF(Debt!AS68&gt;Inputs!$F$9,AS7/Debt!AS68,0)</f>
        <v>2.40896005219667</v>
      </c>
      <c r="AT41" s="31" t="n">
        <f aca="false">IF(Debt!AT68&gt;Inputs!$F$9,AT7/Debt!AT68,0)</f>
        <v>2.46858006263613</v>
      </c>
      <c r="AU41" s="31" t="n">
        <f aca="false">IF(Debt!AU68&gt;Inputs!$F$9,AU7/Debt!AU68,0)</f>
        <v>2.60023894236962</v>
      </c>
      <c r="AV41" s="31" t="n">
        <f aca="false">IF(Debt!AV68&gt;Inputs!$F$9,AV7/Debt!AV68,0)</f>
        <v>2.66290709128639</v>
      </c>
      <c r="AW41" s="31" t="n">
        <f aca="false">IF(Debt!AW68&gt;Inputs!$F$9,AW7/Debt!AW68,0)</f>
        <v>2.66290709128639</v>
      </c>
      <c r="AX41" s="31" t="n">
        <f aca="false">IF(Debt!AX68&gt;Inputs!$F$9,AX7/Debt!AX68,0)</f>
        <v>2.66290709128639</v>
      </c>
      <c r="AY41" s="31" t="n">
        <f aca="false">IF(Debt!AY68&gt;Inputs!$F$9,AY7/Debt!AY68,0)</f>
        <v>2.66290709128639</v>
      </c>
      <c r="AZ41" s="31" t="n">
        <f aca="false">IF(Debt!AZ68&gt;Inputs!$F$9,AZ7/Debt!AZ68,0)</f>
        <v>2.66290709128639</v>
      </c>
      <c r="BA41" s="31" t="n">
        <f aca="false">IF(Debt!BA68&gt;Inputs!$F$9,BA7/Debt!BA68,0)</f>
        <v>2.66290709128639</v>
      </c>
      <c r="BB41" s="31" t="n">
        <f aca="false">IF(Debt!BB68&gt;Inputs!$F$9,BB7/Debt!BB68,0)</f>
        <v>2.66290709128639</v>
      </c>
      <c r="BC41" s="31" t="n">
        <f aca="false">IF(Debt!BC68&gt;Inputs!$F$9,BC7/Debt!BC68,0)</f>
        <v>2.66290709128639</v>
      </c>
      <c r="BD41" s="31" t="n">
        <f aca="false">IF(Debt!BD68&gt;Inputs!$F$9,BD7/Debt!BD68,0)</f>
        <v>2.66290709128639</v>
      </c>
      <c r="BE41" s="31" t="n">
        <f aca="false">IF(Debt!BE68&gt;Inputs!$F$9,BE7/Debt!BE68,0)</f>
        <v>2.66290709128639</v>
      </c>
      <c r="BF41" s="31" t="n">
        <f aca="false">IF(Debt!BF68&gt;Inputs!$F$9,BF7/Debt!BF68,0)</f>
        <v>2.66290709128639</v>
      </c>
      <c r="BG41" s="31" t="n">
        <f aca="false">IF(Debt!BG68&gt;Inputs!$F$9,BG7/Debt!BG68,0)</f>
        <v>2.66290709128639</v>
      </c>
      <c r="BH41" s="31" t="n">
        <f aca="false">IF(Debt!BH68&gt;Inputs!$F$9,BH7/Debt!BH68,0)</f>
        <v>2.66290709128639</v>
      </c>
      <c r="BI41" s="31" t="n">
        <f aca="false">IF(Debt!BI68&gt;Inputs!$F$9,BI7/Debt!BI68,0)</f>
        <v>2.66290709128639</v>
      </c>
      <c r="BJ41" s="31" t="n">
        <f aca="false">IF(Debt!BJ68&gt;Inputs!$F$9,BJ7/Debt!BJ68,0)</f>
        <v>2.66290709128639</v>
      </c>
      <c r="BK41" s="31" t="n">
        <f aca="false">IF(Debt!BK68&gt;Inputs!$F$9,BK7/Debt!BK68,0)</f>
        <v>2.66290709128639</v>
      </c>
      <c r="BL41" s="31" t="n">
        <f aca="false">IF(Debt!BL68&gt;Inputs!$F$9,BL7/Debt!BL68,0)</f>
        <v>2.66290709128639</v>
      </c>
      <c r="BM41" s="31" t="n">
        <f aca="false">IF(Debt!BM68&gt;Inputs!$F$9,BM7/Debt!BM68,0)</f>
        <v>2.66290709128639</v>
      </c>
      <c r="BN41" s="31" t="n">
        <f aca="false">IF(Debt!BN68&gt;Inputs!$F$9,BN7/Debt!BN68,0)</f>
        <v>2.66290709128639</v>
      </c>
      <c r="BO41" s="31" t="n">
        <f aca="false">IF(Debt!BO68&gt;Inputs!$F$9,BO7/Debt!BO68,0)</f>
        <v>2.66290709128639</v>
      </c>
      <c r="BP41" s="31" t="n">
        <f aca="false">IF(Debt!BP68&gt;Inputs!$F$9,BP7/Debt!BP68,0)</f>
        <v>2.66290709128639</v>
      </c>
      <c r="BQ41" s="31" t="n">
        <f aca="false">IF(Debt!BQ68&gt;Inputs!$F$9,BQ7/Debt!BQ68,0)</f>
        <v>2.66290709128639</v>
      </c>
      <c r="BR41" s="31" t="n">
        <f aca="false">IF(Debt!BR68&gt;Inputs!$F$9,BR7/Debt!BR68,0)</f>
        <v>2.66290709128639</v>
      </c>
      <c r="BS41" s="31" t="n">
        <f aca="false">IF(Debt!BS68&gt;Inputs!$F$9,BS7/Debt!BS68,0)</f>
        <v>2.66290709128639</v>
      </c>
      <c r="BT41" s="31" t="n">
        <f aca="false">IF(Debt!BT68&gt;Inputs!$F$9,BT7/Debt!BT68,0)</f>
        <v>2.66290709128639</v>
      </c>
      <c r="BU41" s="31" t="n">
        <f aca="false">IF(Debt!BU68&gt;Inputs!$F$9,BU7/Debt!BU68,0)</f>
        <v>2.66290709128639</v>
      </c>
      <c r="BV41" s="31" t="n">
        <f aca="false">IF(Debt!BV68&gt;Inputs!$F$9,BV7/Debt!BV68,0)</f>
        <v>2.66290709128639</v>
      </c>
      <c r="BW41" s="31" t="n">
        <f aca="false">IF(Debt!BW68&gt;Inputs!$F$9,BW7/Debt!BW68,0)</f>
        <v>2.66290709128639</v>
      </c>
      <c r="BX41" s="31" t="n">
        <f aca="false">IF(Debt!BX68&gt;Inputs!$F$9,BX7/Debt!BX68,0)</f>
        <v>2.66290709128639</v>
      </c>
      <c r="BY41" s="31" t="n">
        <f aca="false">IF(Debt!BY68&gt;Inputs!$F$9,BY7/Debt!BY68,0)</f>
        <v>2.66290709128639</v>
      </c>
      <c r="BZ41" s="31" t="n">
        <f aca="false">IF(Debt!BZ68&gt;Inputs!$F$9,BZ7/Debt!BZ68,0)</f>
        <v>2.66290709128639</v>
      </c>
      <c r="CA41" s="31" t="n">
        <f aca="false">IF(Debt!CA68&gt;Inputs!$F$9,CA7/Debt!CA68,0)</f>
        <v>2.66290709128639</v>
      </c>
      <c r="CB41" s="31" t="n">
        <f aca="false">IF(Debt!CB68&gt;Inputs!$F$9,CB7/Debt!CB68,0)</f>
        <v>2.66290709128639</v>
      </c>
      <c r="CC41" s="31" t="n">
        <f aca="false">IF(Debt!CC68&gt;Inputs!$F$9,CC7/Debt!CC68,0)</f>
        <v>2.66290709128639</v>
      </c>
      <c r="CD41" s="31" t="n">
        <f aca="false">IF(Debt!CD68&gt;Inputs!$F$9,CD7/Debt!CD68,0)</f>
        <v>2.66290709128639</v>
      </c>
      <c r="CE41" s="31" t="n">
        <f aca="false">IF(Debt!CE68&gt;Inputs!$F$9,CE7/Debt!CE68,0)</f>
        <v>2.66290709128639</v>
      </c>
      <c r="CF41" s="31" t="n">
        <f aca="false">IF(Debt!CF68&gt;Inputs!$F$9,CF7/Debt!CF68,0)</f>
        <v>2.66290709121139</v>
      </c>
      <c r="CG41" s="31" t="n">
        <f aca="false">IF(Debt!CG68&gt;Inputs!$F$9,CG7/Debt!CG68,0)</f>
        <v>2.66290709128316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10.4157316104653</v>
      </c>
      <c r="AA42" s="19" t="n">
        <f aca="false">IF(OR(Time!AA36=1,Time!Z44=0),AA7,AA7+Z7)</f>
        <v>23.0499596523945</v>
      </c>
      <c r="AB42" s="19" t="n">
        <f aca="false">IF(OR(Time!AB36=1,Time!AA44=0),AB7,AB7+AA7)</f>
        <v>52.004514413306</v>
      </c>
      <c r="AC42" s="19" t="n">
        <f aca="false">IF(OR(Time!AC36=1,Time!AB44=0),AC7,AC7+AB7)</f>
        <v>59.8164446147765</v>
      </c>
      <c r="AD42" s="19" t="n">
        <f aca="false">IF(OR(Time!AD36=1,Time!AC44=0),AD7,AD7+AC7)</f>
        <v>66.4625397166379</v>
      </c>
      <c r="AE42" s="19" t="n">
        <f aca="false">IF(OR(Time!AE36=1,Time!AD44=0),AE7,AE7+AD7)</f>
        <v>73.521290475666</v>
      </c>
      <c r="AF42" s="19" t="n">
        <f aca="false">IF(OR(Time!AF36=1,Time!AE44=0),AF7,AF7+AE7)</f>
        <v>78.914890084269</v>
      </c>
      <c r="AG42" s="19" t="n">
        <f aca="false">IF(OR(Time!AG36=1,Time!AF44=0),AG7,AG7+AF7)</f>
        <v>84.4155886647933</v>
      </c>
      <c r="AH42" s="19" t="n">
        <f aca="false">IF(OR(Time!AH36=1,Time!AG44=0),AH7,AH7+AG7)</f>
        <v>88.5365459930778</v>
      </c>
      <c r="AI42" s="19" t="n">
        <f aca="false">IF(OR(Time!AI36=1,Time!AH44=0),AI7,AI7+AH7)</f>
        <v>89.5395542447144</v>
      </c>
      <c r="AJ42" s="19" t="n">
        <f aca="false">IF(OR(Time!AJ36=1,Time!AI44=0),AJ7,AJ7+AI7)</f>
        <v>89.7991105939047</v>
      </c>
      <c r="AK42" s="19" t="n">
        <f aca="false">IF(OR(Time!AK36=1,Time!AJ44=0),AK7,AK7+AJ7)</f>
        <v>93.0887055058097</v>
      </c>
      <c r="AL42" s="19" t="n">
        <f aca="false">IF(OR(Time!AL36=1,Time!AK44=0),AL7,AL7+AK7)</f>
        <v>96.1542850581248</v>
      </c>
      <c r="AM42" s="19" t="n">
        <f aca="false">IF(OR(Time!AM36=1,Time!AL44=0),AM7,AM7+AL7)</f>
        <v>99.6583209978954</v>
      </c>
      <c r="AN42" s="19" t="n">
        <f aca="false">IF(OR(Time!AN36=1,Time!AM44=0),AN7,AN7+AM7)</f>
        <v>103.208303804204</v>
      </c>
      <c r="AO42" s="19" t="n">
        <f aca="false">IF(OR(Time!AO36=1,Time!AN44=0),AO7,AO7+AN7)</f>
        <v>110.122345541886</v>
      </c>
      <c r="AP42" s="19" t="n">
        <f aca="false">IF(OR(Time!AP36=1,Time!AO44=0),AP7,AP7+AO7)</f>
        <v>117.082409392164</v>
      </c>
      <c r="AQ42" s="19" t="n">
        <f aca="false">IF(OR(Time!AQ36=1,Time!AP44=0),AQ7,AQ7+AP7)</f>
        <v>110.732790335934</v>
      </c>
      <c r="AR42" s="19" t="n">
        <f aca="false">IF(OR(Time!AR36=1,Time!AQ44=0),AR7,AR7+AQ7)</f>
        <v>104.782535373734</v>
      </c>
      <c r="AS42" s="19" t="n">
        <f aca="false">IF(OR(Time!AS36=1,Time!AR44=0),AS7,AS7+AR7)</f>
        <v>108.964491898322</v>
      </c>
      <c r="AT42" s="19" t="n">
        <f aca="false">IF(OR(Time!AT36=1,Time!AS44=0),AT7,AT7+AS7)</f>
        <v>112.852288232712</v>
      </c>
      <c r="AU42" s="19" t="n">
        <f aca="false">IF(OR(Time!AU36=1,Time!AT44=0),AU7,AU7+AT7)</f>
        <v>117.296031574412</v>
      </c>
      <c r="AV42" s="19" t="n">
        <f aca="false">IF(OR(Time!AV36=1,Time!AU44=0),AV7,AV7+AU7)</f>
        <v>121.797003892737</v>
      </c>
      <c r="AW42" s="19" t="n">
        <f aca="false">IF(OR(Time!AW36=1,Time!AV44=0),AW7,AW7+AV7)</f>
        <v>128.095765376743</v>
      </c>
      <c r="AX42" s="19" t="n">
        <f aca="false">IF(OR(Time!AX36=1,Time!AW44=0),AX7,AX7+AW7)</f>
        <v>133.681271873939</v>
      </c>
      <c r="AY42" s="19" t="n">
        <f aca="false">IF(OR(Time!AY36=1,Time!AX44=0),AY7,AY7+AX7)</f>
        <v>133.479646535348</v>
      </c>
      <c r="AZ42" s="19" t="n">
        <f aca="false">IF(OR(Time!AZ36=1,Time!AY44=0),AZ7,AZ7+AY7)</f>
        <v>133.729691458042</v>
      </c>
      <c r="BA42" s="19" t="n">
        <f aca="false">IF(OR(Time!BA36=1,Time!AZ44=0),BA7,BA7+AZ7)</f>
        <v>137.604045762036</v>
      </c>
      <c r="BB42" s="19" t="n">
        <f aca="false">IF(OR(Time!BB36=1,Time!BA44=0),BB7,BB7+BA7)</f>
        <v>141.054259966001</v>
      </c>
      <c r="BC42" s="19" t="n">
        <f aca="false">IF(OR(Time!BC36=1,Time!BB44=0),BC7,BC7+BB7)</f>
        <v>153.419399661676</v>
      </c>
      <c r="BD42" s="19" t="n">
        <f aca="false">IF(OR(Time!BD36=1,Time!BC44=0),BD7,BD7+BC7)</f>
        <v>165.800534138666</v>
      </c>
      <c r="BE42" s="19" t="n">
        <f aca="false">IF(OR(Time!BE36=1,Time!BD44=0),BE7,BE7+BD7)</f>
        <v>173.999482397471</v>
      </c>
      <c r="BF42" s="19" t="n">
        <f aca="false">IF(OR(Time!BF36=1,Time!BE44=0),BF7,BF7+BE7)</f>
        <v>182.215102213355</v>
      </c>
      <c r="BG42" s="19" t="n">
        <f aca="false">IF(OR(Time!BG36=1,Time!BF44=0),BG7,BG7+BF7)</f>
        <v>186.677151181933</v>
      </c>
      <c r="BH42" s="19" t="n">
        <f aca="false">IF(OR(Time!BH36=1,Time!BG44=0),BH7,BH7+BG7)</f>
        <v>191.683122157508</v>
      </c>
      <c r="BI42" s="19" t="n">
        <f aca="false">IF(OR(Time!BI36=1,Time!BH44=0),BI7,BI7+BH7)</f>
        <v>196.366978492856</v>
      </c>
      <c r="BJ42" s="19" t="n">
        <f aca="false">IF(OR(Time!BJ36=1,Time!BI44=0),BJ7,BJ7+BI7)</f>
        <v>200.539299068858</v>
      </c>
      <c r="BK42" s="19" t="n">
        <f aca="false">IF(OR(Time!BK36=1,Time!BJ44=0),BK7,BK7+BJ7)</f>
        <v>205.456620716369</v>
      </c>
      <c r="BL42" s="19" t="n">
        <f aca="false">IF(OR(Time!BL36=1,Time!BK44=0),BL7,BL7+BK7)</f>
        <v>210.392645056294</v>
      </c>
      <c r="BM42" s="19" t="n">
        <f aca="false">IF(OR(Time!BM36=1,Time!BL44=0),BM7,BM7+BL7)</f>
        <v>215.512427802569</v>
      </c>
      <c r="BN42" s="19" t="n">
        <f aca="false">IF(OR(Time!BN36=1,Time!BM44=0),BN7,BN7+BM7)</f>
        <v>220.64856228011</v>
      </c>
      <c r="BO42" s="19" t="n">
        <f aca="false">IF(OR(Time!BO36=1,Time!BN44=0),BO7,BO7+BN7)</f>
        <v>207.41421839435</v>
      </c>
      <c r="BP42" s="19" t="n">
        <f aca="false">IF(OR(Time!BP36=1,Time!BO44=0),BP7,BP7+BO7)</f>
        <v>194.841010346634</v>
      </c>
      <c r="BQ42" s="19" t="n">
        <f aca="false">IF(OR(Time!BQ36=1,Time!BP44=0),BQ7,BQ7+BP7)</f>
        <v>200.468216868176</v>
      </c>
      <c r="BR42" s="19" t="n">
        <f aca="false">IF(OR(Time!BR36=1,Time!BQ44=0),BR7,BR7+BQ7)</f>
        <v>204.195661376916</v>
      </c>
      <c r="BS42" s="19" t="n">
        <f aca="false">IF(OR(Time!BS36=1,Time!BR44=0),BS7,BS7+BR7)</f>
        <v>208.659294039336</v>
      </c>
      <c r="BT42" s="19" t="n">
        <f aca="false">IF(OR(Time!BT36=1,Time!BS44=0),BT7,BT7+BS7)</f>
        <v>213.094307735508</v>
      </c>
      <c r="BU42" s="19" t="n">
        <f aca="false">IF(OR(Time!BU36=1,Time!BT44=0),BU7,BU7+BT7)</f>
        <v>236.324050425278</v>
      </c>
      <c r="BV42" s="19" t="n">
        <f aca="false">IF(OR(Time!BV36=1,Time!BU44=0),BV7,BV7+BU7)</f>
        <v>259.524010946307</v>
      </c>
      <c r="BW42" s="19" t="n">
        <f aca="false">IF(OR(Time!BW36=1,Time!BV44=0),BW7,BW7+BV7)</f>
        <v>264.320540666577</v>
      </c>
      <c r="BX42" s="19" t="n">
        <f aca="false">IF(OR(Time!BX36=1,Time!BW44=0),BX7,BX7+BW7)</f>
        <v>269.827002019009</v>
      </c>
      <c r="BY42" s="19" t="n">
        <f aca="false">IF(OR(Time!BY36=1,Time!BX44=0),BY7,BY7+BX7)</f>
        <v>274.795529513618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        <v>272.125714140818</v>
      </c>
      <c r="CB42" s="19" t="n">
        <f aca="false">IF(OR(Time!CB36=1,Time!CA44=0),CB7,CB7+CA7)</f>
        <v>265.227028698479</v>
      </c>
      <c r="CC42" s="19" t="n">
        <f aca="false">IF(OR(Time!CC36=1,Time!CB44=0),CC7,CC7+CB7)</f>
        <v>270.550970947844</v>
      </c>
      <c r="CD42" s="19" t="n">
        <f aca="false">IF(OR(Time!CD36=1,Time!CC44=0),CD7,CD7+CC7)</f>
        <v>275.840198883853</v>
      </c>
      <c r="CE42" s="19" t="n">
        <f aca="false">IF(OR(Time!CE36=1,Time!CD44=0),CE7,CE7+CD7)</f>
        <v>275.533336508221</v>
      </c>
      <c r="CF42" s="19" t="n">
        <f aca="false">IF(OR(Time!CF36=1,Time!CE44=0),CF7,CF7+CE7)</f>
        <v>259.476854475103</v>
      </c>
      <c r="CG42" s="19" t="n">
        <f aca="false">IF(OR(Time!CG36=1,Time!CF44=0),CG7,CG7+CF7)</f>
        <v>250.639142334048</v>
      </c>
      <c r="CH42" s="19" t="n">
        <f aca="false">IF(OR(Time!CH36=1,Time!CG44=0),CH7,CH7+CG7)</f>
        <v>235.00487042458</v>
      </c>
      <c r="CI42" s="19" t="n">
        <f aca="false">IF(OR(Time!CI36=1,Time!CH44=0),CI7,CI7+CH7)</f>
        <v>216.310057546224</v>
      </c>
      <c r="CJ42" s="19" t="n">
        <f aca="false">IF(OR(Time!CJ36=1,Time!CI44=0),CJ7,CJ7+CI7)</f>
        <v>219.977896066633</v>
      </c>
      <c r="CK42" s="19" t="n">
        <f aca="false">IF(OR(Time!CK36=1,Time!CJ44=0),CK7,CK7+CJ7)</f>
        <v>240.077552553136</v>
      </c>
      <c r="CL42" s="19" t="n">
        <f aca="false">IF(OR(Time!CL36=1,Time!CK44=0),CL7,CL7+CK7)</f>
        <v>249.657070757765</v>
      </c>
      <c r="CM42" s="19" t="n">
        <f aca="false">IF(OR(Time!CM36=1,Time!CL44=0),CM7,CM7+CL7)</f>
        <v>243.135724291596</v>
      </c>
      <c r="CN42" s="19" t="n">
        <f aca="false">IF(OR(Time!CN36=1,Time!CM44=0),CN7,CN7+CM7)</f>
        <v>247.795658557051</v>
      </c>
      <c r="CO42" s="19" t="n">
        <f aca="false">IF(OR(Time!CO36=1,Time!CN44=0),CO7,CO7+CN7)</f>
        <v>251.875670306134</v>
      </c>
      <c r="CP42" s="19" t="n">
        <f aca="false">IF(OR(Time!CP36=1,Time!CO44=0),CP7,CP7+CO7)</f>
        <v>270.11831350827</v>
      </c>
      <c r="CQ42" s="19" t="n">
        <f aca="false">IF(OR(Time!CQ36=1,Time!CP44=0),CQ7,CQ7+CP7)</f>
        <v>141.862699835627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44.3083598110919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46.2850901031076</v>
      </c>
      <c r="AW43" s="19" t="n">
        <f aca="false">IF(OR(Time!AW36=1,Time!AV44=0),Debt!AW68,Debt!AW68+Debt!AV68)</f>
        <v>48.1037306167761</v>
      </c>
      <c r="AX43" s="19" t="n">
        <f aca="false">IF(OR(Time!AX36=1,Time!AW44=0),Debt!AX68,Debt!AX68+Debt!AW68)</f>
        <v>50.2012527254041</v>
      </c>
      <c r="AY43" s="19" t="n">
        <f aca="false">IF(OR(Time!AY36=1,Time!AX44=0),Debt!AY68,Debt!AY68+Debt!AX68)</f>
        <v>50.1255364755766</v>
      </c>
      <c r="AZ43" s="19" t="n">
        <f aca="false">IF(OR(Time!AZ36=1,Time!AY44=0),Debt!AZ68,Debt!AZ68+Debt!AY68)</f>
        <v>50.2194357045481</v>
      </c>
      <c r="BA43" s="19" t="n">
        <f aca="false">IF(OR(Time!BA36=1,Time!AZ44=0),Debt!BA68,Debt!BA68+Debt!AZ68)</f>
        <v>51.6743697939392</v>
      </c>
      <c r="BB43" s="19" t="n">
        <f aca="false">IF(OR(Time!BB36=1,Time!BA44=0),Debt!BB68,Debt!BB68+Debt!BA68)</f>
        <v>52.9700267904808</v>
      </c>
      <c r="BC43" s="19" t="n">
        <f aca="false">IF(OR(Time!BC36=1,Time!BB44=0),Debt!BC68,Debt!BC68+Debt!BB68)</f>
        <v>57.6135007352295</v>
      </c>
      <c r="BD43" s="19" t="n">
        <f aca="false">IF(OR(Time!BD36=1,Time!BC44=0),Debt!BD68,Debt!BD68+Debt!BC68)</f>
        <v>62.2629811911956</v>
      </c>
      <c r="BE43" s="19" t="n">
        <f aca="false">IF(OR(Time!BE36=1,Time!BD44=0),Debt!BE68,Debt!BE68+Debt!BD68)</f>
        <v>65.3419276124333</v>
      </c>
      <c r="BF43" s="19" t="n">
        <f aca="false">IF(OR(Time!BF36=1,Time!BE44=0),Debt!BF68,Debt!BF68+Debt!BE68)</f>
        <v>68.42713469411</v>
      </c>
      <c r="BG43" s="19" t="n">
        <f aca="false">IF(OR(Time!BG36=1,Time!BF44=0),Debt!BG68,Debt!BG68+Debt!BF68)</f>
        <v>70.1027654298496</v>
      </c>
      <c r="BH43" s="19" t="n">
        <f aca="false">IF(OR(Time!BH36=1,Time!BG44=0),Debt!BH68,Debt!BH68+Debt!BG68)</f>
        <v>71.9826548904905</v>
      </c>
      <c r="BI43" s="19" t="n">
        <f aca="false">IF(OR(Time!BI36=1,Time!BH44=0),Debt!BI68,Debt!BI68+Debt!BH68)</f>
        <v>73.741580821731</v>
      </c>
      <c r="BJ43" s="19" t="n">
        <f aca="false">IF(OR(Time!BJ36=1,Time!BI44=0),Debt!BJ68,Debt!BJ68+Debt!BI68)</f>
        <v>75.3084100174078</v>
      </c>
      <c r="BK43" s="19" t="n">
        <f aca="false">IF(OR(Time!BK36=1,Time!BJ44=0),Debt!BK68,Debt!BK68+Debt!BJ68)</f>
        <v>77.1550090458159</v>
      </c>
      <c r="BL43" s="19" t="n">
        <f aca="false">IF(OR(Time!BL36=1,Time!BK44=0),Debt!BL68,Debt!BL68+Debt!BK68)</f>
        <v>79.0086314857714</v>
      </c>
      <c r="BM43" s="19" t="n">
        <f aca="false">IF(OR(Time!BM36=1,Time!BL44=0),Debt!BM68,Debt!BM68+Debt!BL68)</f>
        <v>80.9312606165542</v>
      </c>
      <c r="BN43" s="19" t="n">
        <f aca="false">IF(OR(Time!BN36=1,Time!BM44=0),Debt!BN68,Debt!BN68+Debt!BM68)</f>
        <v>82.8600303037683</v>
      </c>
      <c r="BO43" s="19" t="n">
        <f aca="false">IF(OR(Time!BO36=1,Time!BN44=0),Debt!BO68,Debt!BO68+Debt!BN68)</f>
        <v>77.8901445991318</v>
      </c>
      <c r="BP43" s="19" t="n">
        <f aca="false">IF(OR(Time!BP36=1,Time!BO44=0),Debt!BP68,Debt!BP68+Debt!BO68)</f>
        <v>73.168534863344</v>
      </c>
      <c r="BQ43" s="19" t="n">
        <f aca="false">IF(OR(Time!BQ36=1,Time!BP44=0),Debt!BQ68,Debt!BQ68+Debt!BP68)</f>
        <v>75.2817165586256</v>
      </c>
      <c r="BR43" s="19" t="n">
        <f aca="false">IF(OR(Time!BR36=1,Time!BQ44=0),Debt!BR68,Debt!BR68+Debt!BQ68)</f>
        <v>76.6814816953579</v>
      </c>
      <c r="BS43" s="19" t="n">
        <f aca="false">IF(OR(Time!BS36=1,Time!BR44=0),Debt!BS68,Debt!BS68+Debt!BR68)</f>
        <v>78.3577071547538</v>
      </c>
      <c r="BT43" s="19" t="n">
        <f aca="false">IF(OR(Time!BT36=1,Time!BS44=0),Debt!BT68,Debt!BT68+Debt!BS68)</f>
        <v>80.0231853498751</v>
      </c>
      <c r="BU43" s="19" t="n">
        <f aca="false">IF(OR(Time!BU36=1,Time!BT44=0),Debt!BU68,Debt!BU68+Debt!BT68)</f>
        <v>88.7466375370667</v>
      </c>
      <c r="BV43" s="19" t="n">
        <f aca="false">IF(OR(Time!BV36=1,Time!BU44=0),Debt!BV68,Debt!BV68+Debt!BU68)</f>
        <v>97.458905643207</v>
      </c>
      <c r="BW43" s="19" t="n">
        <f aca="false">IF(OR(Time!BW36=1,Time!BV44=0),Debt!BW68,Debt!BW68+Debt!BV68)</f>
        <v>99.2601437472193</v>
      </c>
      <c r="BX43" s="19" t="n">
        <f aca="false">IF(OR(Time!BX36=1,Time!BW44=0),Debt!BX68,Debt!BX68+Debt!BW68)</f>
        <v>101.32798207716</v>
      </c>
      <c r="BY43" s="19" t="n">
        <f aca="false">IF(OR(Time!BY36=1,Time!BX44=0),Debt!BY68,Debt!BY68+Debt!BX68)</f>
        <v>103.193810408485</v>
      </c>
      <c r="BZ43" s="19" t="n">
        <f aca="false">IF(OR(Time!BZ36=1,Time!BY44=0),Debt!BZ68,Debt!BZ68+Debt!BY68)</f>
        <v>104.769318521759</v>
      </c>
      <c r="CA43" s="19" t="n">
        <f aca="false">IF(OR(Time!CA36=1,Time!BZ44=0),Debt!CA68,Debt!CA68+Debt!BZ68)</f>
        <v>102.191216145419</v>
      </c>
      <c r="CB43" s="19" t="n">
        <f aca="false">IF(OR(Time!CB36=1,Time!CA44=0),Debt!CB68,Debt!CB68+Debt!CA68)</f>
        <v>99.6005566872232</v>
      </c>
      <c r="CC43" s="19" t="n">
        <f aca="false">IF(OR(Time!CC36=1,Time!CB44=0),Debt!CC68,Debt!CC68+Debt!CB68)</f>
        <v>101.5998537212</v>
      </c>
      <c r="CD43" s="19" t="n">
        <f aca="false">IF(OR(Time!CD36=1,Time!CC44=0),Debt!CD68,Debt!CD68+Debt!CC68)</f>
        <v>103.586114508637</v>
      </c>
      <c r="CE43" s="19" t="n">
        <f aca="false">IF(OR(Time!CE36=1,Time!CD44=0),Debt!CE68,Debt!CE68+Debt!CD68)</f>
        <v>103.470878653568</v>
      </c>
      <c r="CF43" s="19" t="n">
        <f aca="false">IF(OR(Time!CF36=1,Time!CE44=0),Debt!CF68,Debt!CF68+Debt!CE68)</f>
        <v>97.4411970014219</v>
      </c>
      <c r="CG43" s="19" t="n">
        <f aca="false">IF(OR(Time!CG36=1,Time!CF44=0),Debt!CG68,Debt!CG68+Debt!CF68)</f>
        <v>94.1223759393516</v>
      </c>
      <c r="CH43" s="19" t="n">
        <f aca="false">IF(OR(Time!CH36=1,Time!CG44=0),Debt!CH68,Debt!CH68+Debt!CG68)</f>
        <v>48.5529912796477</v>
      </c>
      <c r="CI43" s="19" t="n">
        <f aca="false">IF(OR(Time!CI36=1,Time!CH44=0),Debt!CI68,Debt!CI68+Debt!CH68)</f>
        <v>1.34223299141922E-013</v>
      </c>
      <c r="CJ43" s="19" t="n">
        <f aca="false">IF(OR(Time!CJ36=1,Time!CI44=0),Debt!CJ68,Debt!CJ68+Debt!CI68)</f>
        <v>1.34223299141922E-013</v>
      </c>
      <c r="CK43" s="19" t="n">
        <f aca="false">IF(OR(Time!CK36=1,Time!CJ44=0),Debt!CK68,Debt!CK68+Debt!CJ68)</f>
        <v>1.34223299141922E-013</v>
      </c>
      <c r="CL43" s="19" t="n">
        <f aca="false">IF(OR(Time!CL36=1,Time!CK44=0),Debt!CL68,Debt!CL68+Debt!CK68)</f>
        <v>1.34223299141922E-013</v>
      </c>
      <c r="CM43" s="19" t="n">
        <f aca="false">IF(OR(Time!CM36=1,Time!CL44=0),Debt!CM68,Debt!CM68+Debt!CL68)</f>
        <v>1.34223299141922E-013</v>
      </c>
      <c r="CN43" s="19" t="n">
        <f aca="false">IF(OR(Time!CN36=1,Time!CM44=0),Debt!CN68,Debt!CN68+Debt!CM68)</f>
        <v>1.344102302822E-013</v>
      </c>
      <c r="CO43" s="19" t="n">
        <f aca="false">IF(OR(Time!CO36=1,Time!CN44=0),Debt!CO68,Debt!CO68+Debt!CN68)</f>
        <v>1.344102302822E-013</v>
      </c>
      <c r="CP43" s="19" t="n">
        <f aca="false">IF(OR(Time!CP36=1,Time!CO44=0),Debt!CP68,Debt!CP68+Debt!CO68)</f>
        <v>1.34223299141922E-013</v>
      </c>
      <c r="CQ43" s="19" t="n">
        <f aca="false">IF(OR(Time!CQ36=1,Time!CP44=0),Debt!CQ68,Debt!CQ68+Debt!CP68)</f>
        <v>1.34223299141922E-013</v>
      </c>
      <c r="CR43" s="19" t="n">
        <f aca="false">IF(OR(Time!CR36=1,Time!CQ44=0),Debt!CR68,Debt!CR68+Debt!CQ68)</f>
        <v>6.68312528605446E-014</v>
      </c>
      <c r="CS43" s="19" t="n">
        <f aca="false">IF(OR(Time!CS36=1,Time!CR44=0),Debt!CS68,Debt!CS68+Debt!CR68)</f>
        <v>6.73920462813777E-014</v>
      </c>
      <c r="CT43" s="19" t="n">
        <f aca="false">IF(OR(Time!CT36=1,Time!CS44=0),Debt!CT68,Debt!CT68+Debt!CS68)</f>
        <v>6.68312528605446E-014</v>
      </c>
      <c r="CU43" s="19" t="n">
        <f aca="false">IF(OR(Time!CU36=1,Time!CT44=0),Debt!CU68,Debt!CU68+Debt!CT68)</f>
        <v>6.73920462813777E-014</v>
      </c>
      <c r="CV43" s="19" t="n">
        <f aca="false">IF(OR(Time!CV36=1,Time!CU44=0),Debt!CV68,Debt!CV68+Debt!CU68)</f>
        <v>6.70181840008223E-014</v>
      </c>
      <c r="CW43" s="19" t="n">
        <f aca="false">IF(OR(Time!CW36=1,Time!CV44=0),Debt!CW68,Debt!CW68+Debt!CV68)</f>
        <v>6.73920462813777E-014</v>
      </c>
      <c r="CX43" s="19" t="n">
        <f aca="false">IF(OR(Time!CX36=1,Time!CW44=0),Debt!CX68,Debt!CX68+Debt!CW68)</f>
        <v>6.68312528605446E-014</v>
      </c>
      <c r="CY43" s="19" t="n">
        <f aca="false">IF(OR(Time!CY36=1,Time!CX44=0),Debt!CY68,Debt!CY68+Debt!CX68)</f>
        <v>6.73920462813777E-014</v>
      </c>
      <c r="CZ43" s="19" t="n">
        <f aca="false">IF(OR(Time!CZ36=1,Time!CY44=0),Debt!CZ68,Debt!CZ68+Debt!CY68)</f>
        <v>6.68312528605446E-014</v>
      </c>
      <c r="DA43" s="19" t="n">
        <f aca="false">IF(OR(Time!DA36=1,Time!CZ44=0),Debt!DA68,Debt!DA68+Debt!CZ68)</f>
        <v>6.73920462813777E-014</v>
      </c>
      <c r="DB43" s="19" t="n">
        <f aca="false">IF(OR(Time!DB36=1,Time!DA44=0),Debt!DB68,Debt!DB68+Debt!DA68)</f>
        <v>6.68312528605446E-014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1.5</v>
      </c>
      <c r="AB44" s="31" t="n">
        <f aca="false">IF(AND(Time!AB44=1,AB43&gt;Inputs!$F$9),AB42/AB43,0)</f>
        <v>1.5</v>
      </c>
      <c r="AC44" s="31" t="n">
        <f aca="false">IF(AND(Time!AC44=1,AC43&gt;Inputs!$F$9),AC42/AC43,0)</f>
        <v>1.5</v>
      </c>
      <c r="AD44" s="31" t="n">
        <f aca="false">IF(AND(Time!AD44=1,AD43&gt;Inputs!$F$9),AD42/AD43,0)</f>
        <v>1.5</v>
      </c>
      <c r="AE44" s="31" t="n">
        <f aca="false">IF(AND(Time!AE44=1,AE43&gt;Inputs!$F$9),AE42/AE43,0)</f>
        <v>1.54242938443392</v>
      </c>
      <c r="AF44" s="31" t="n">
        <f aca="false">IF(AND(Time!AF44=1,AF43&gt;Inputs!$F$9),AF42/AF43,0)</f>
        <v>1.66009100646932</v>
      </c>
      <c r="AG44" s="31" t="n">
        <f aca="false">IF(AND(Time!AG44=1,AG43&gt;Inputs!$F$9),AG42/AG43,0)</f>
        <v>1.80236172197481</v>
      </c>
      <c r="AH44" s="31" t="n">
        <f aca="false">IF(AND(Time!AH44=1,AH43&gt;Inputs!$F$9),AH42/AH43,0)</f>
        <v>1.91320546895753</v>
      </c>
      <c r="AI44" s="31" t="n">
        <f aca="false">IF(AND(Time!AI44=1,AI43&gt;Inputs!$F$9),AI42/AI43,0)</f>
        <v>1.93487969230696</v>
      </c>
      <c r="AJ44" s="31" t="n">
        <f aca="false">IF(AND(Time!AJ44=1,AJ43&gt;Inputs!$F$9),AJ42/AJ43,0)</f>
        <v>1.93787890982654</v>
      </c>
      <c r="AK44" s="31" t="n">
        <f aca="false">IF(AND(Time!AK44=1,AK43&gt;Inputs!$F$9),AK42/AK43,0)</f>
        <v>2.00886888466584</v>
      </c>
      <c r="AL44" s="31" t="n">
        <f aca="false">IF(AND(Time!AL44=1,AL43&gt;Inputs!$F$9),AL42/AL43,0)</f>
        <v>2.07781884840288</v>
      </c>
      <c r="AM44" s="31" t="n">
        <f aca="false">IF(AND(Time!AM44=1,AM43&gt;Inputs!$F$9),AM42/AM43,0)</f>
        <v>2.15353832275325</v>
      </c>
      <c r="AN44" s="31" t="n">
        <f aca="false">IF(AND(Time!AN44=1,AN43&gt;Inputs!$F$9),AN42/AN43,0)</f>
        <v>2.23025067293084</v>
      </c>
      <c r="AO44" s="31" t="n">
        <f aca="false">IF(AND(Time!AO44=1,AO43&gt;Inputs!$F$9),AO42/AO43,0)</f>
        <v>2.37965770385529</v>
      </c>
      <c r="AP44" s="31" t="n">
        <f aca="false">IF(AND(Time!AP44=1,AP43&gt;Inputs!$F$9),AP42/AP43,0)</f>
        <v>2.53005923661543</v>
      </c>
      <c r="AQ44" s="31" t="n">
        <f aca="false">IF(AND(Time!AQ44=1,AQ43&gt;Inputs!$F$9),AQ42/AQ43,0)</f>
        <v>2.39284893811196</v>
      </c>
      <c r="AR44" s="31" t="n">
        <f aca="false">IF(AND(Time!AR44=1,AR43&gt;Inputs!$F$9),AR42/AR43,0)</f>
        <v>2.26122356976546</v>
      </c>
      <c r="AS44" s="31" t="n">
        <f aca="false">IF(AND(Time!AS44=1,AS43&gt;Inputs!$F$9),AS42/AS43,0)</f>
        <v>2.35147084835443</v>
      </c>
      <c r="AT44" s="31" t="n">
        <f aca="false">IF(AND(Time!AT44=1,AT43&gt;Inputs!$F$9),AT42/AT43,0)</f>
        <v>2.4386496289123</v>
      </c>
      <c r="AU44" s="31" t="n">
        <f aca="false">IF(AND(Time!AU44=1,AU43&gt;Inputs!$F$9),AU42/AU43,0)</f>
        <v>2.53467544479007</v>
      </c>
      <c r="AV44" s="31" t="n">
        <f aca="false">IF(AND(Time!AV44=1,AV43&gt;Inputs!$F$9),AV42/AV43,0)</f>
        <v>2.63145223702522</v>
      </c>
      <c r="AW44" s="31" t="n">
        <f aca="false">IF(AND(Time!AW44=1,AW43&gt;Inputs!$F$9),AW42/AW43,0)</f>
        <v>2.66290709128639</v>
      </c>
      <c r="AX44" s="31" t="n">
        <f aca="false">IF(AND(Time!AX44=1,AX43&gt;Inputs!$F$9),AX42/AX43,0)</f>
        <v>2.66290709128639</v>
      </c>
      <c r="AY44" s="31" t="n">
        <f aca="false">IF(AND(Time!AY44=1,AY43&gt;Inputs!$F$9),AY42/AY43,0)</f>
        <v>2.66290709128639</v>
      </c>
      <c r="AZ44" s="31" t="n">
        <f aca="false">IF(AND(Time!AZ44=1,AZ43&gt;Inputs!$F$9),AZ42/AZ43,0)</f>
        <v>2.66290709128639</v>
      </c>
      <c r="BA44" s="31" t="n">
        <f aca="false">IF(AND(Time!BA44=1,BA43&gt;Inputs!$F$9),BA42/BA43,0)</f>
        <v>2.66290709128639</v>
      </c>
      <c r="BB44" s="31" t="n">
        <f aca="false">IF(AND(Time!BB44=1,BB43&gt;Inputs!$F$9),BB42/BB43,0)</f>
        <v>2.66290709128639</v>
      </c>
      <c r="BC44" s="31" t="n">
        <f aca="false">IF(AND(Time!BC44=1,BC43&gt;Inputs!$F$9),BC42/BC43,0)</f>
        <v>2.66290709128639</v>
      </c>
      <c r="BD44" s="31" t="n">
        <f aca="false">IF(AND(Time!BD44=1,BD43&gt;Inputs!$F$9),BD42/BD43,0)</f>
        <v>2.66290709128639</v>
      </c>
      <c r="BE44" s="31" t="n">
        <f aca="false">IF(AND(Time!BE44=1,BE43&gt;Inputs!$F$9),BE42/BE43,0)</f>
        <v>2.66290709128639</v>
      </c>
      <c r="BF44" s="31" t="n">
        <f aca="false">IF(AND(Time!BF44=1,BF43&gt;Inputs!$F$9),BF42/BF43,0)</f>
        <v>2.66290709128639</v>
      </c>
      <c r="BG44" s="31" t="n">
        <f aca="false">IF(AND(Time!BG44=1,BG43&gt;Inputs!$F$9),BG42/BG43,0)</f>
        <v>2.66290709128639</v>
      </c>
      <c r="BH44" s="31" t="n">
        <f aca="false">IF(AND(Time!BH44=1,BH43&gt;Inputs!$F$9),BH42/BH43,0)</f>
        <v>2.66290709128639</v>
      </c>
      <c r="BI44" s="31" t="n">
        <f aca="false">IF(AND(Time!BI44=1,BI43&gt;Inputs!$F$9),BI42/BI43,0)</f>
        <v>2.66290709128639</v>
      </c>
      <c r="BJ44" s="31" t="n">
        <f aca="false">IF(AND(Time!BJ44=1,BJ43&gt;Inputs!$F$9),BJ42/BJ43,0)</f>
        <v>2.66290709128639</v>
      </c>
      <c r="BK44" s="31" t="n">
        <f aca="false">IF(AND(Time!BK44=1,BK43&gt;Inputs!$F$9),BK42/BK43,0)</f>
        <v>2.66290709128639</v>
      </c>
      <c r="BL44" s="31" t="n">
        <f aca="false">IF(AND(Time!BL44=1,BL43&gt;Inputs!$F$9),BL42/BL43,0)</f>
        <v>2.66290709128639</v>
      </c>
      <c r="BM44" s="31" t="n">
        <f aca="false">IF(AND(Time!BM44=1,BM43&gt;Inputs!$F$9),BM42/BM43,0)</f>
        <v>2.66290709128639</v>
      </c>
      <c r="BN44" s="31" t="n">
        <f aca="false">IF(AND(Time!BN44=1,BN43&gt;Inputs!$F$9),BN42/BN43,0)</f>
        <v>2.66290709128639</v>
      </c>
      <c r="BO44" s="31" t="n">
        <f aca="false">IF(AND(Time!BO44=1,BO43&gt;Inputs!$F$9),BO42/BO43,0)</f>
        <v>2.66290709128639</v>
      </c>
      <c r="BP44" s="31" t="n">
        <f aca="false">IF(AND(Time!BP44=1,BP43&gt;Inputs!$F$9),BP42/BP43,0)</f>
        <v>2.66290709128639</v>
      </c>
      <c r="BQ44" s="31" t="n">
        <f aca="false">IF(AND(Time!BQ44=1,BQ43&gt;Inputs!$F$9),BQ42/BQ43,0)</f>
        <v>2.66290709128639</v>
      </c>
      <c r="BR44" s="31" t="n">
        <f aca="false">IF(AND(Time!BR44=1,BR43&gt;Inputs!$F$9),BR42/BR43,0)</f>
        <v>2.66290709128639</v>
      </c>
      <c r="BS44" s="31" t="n">
        <f aca="false">IF(AND(Time!BS44=1,BS43&gt;Inputs!$F$9),BS42/BS43,0)</f>
        <v>2.66290709128639</v>
      </c>
      <c r="BT44" s="31" t="n">
        <f aca="false">IF(AND(Time!BT44=1,BT43&gt;Inputs!$F$9),BT42/BT43,0)</f>
        <v>2.66290709128639</v>
      </c>
      <c r="BU44" s="31" t="n">
        <f aca="false">IF(AND(Time!BU44=1,BU43&gt;Inputs!$F$9),BU42/BU43,0)</f>
        <v>2.66290709128639</v>
      </c>
      <c r="BV44" s="31" t="n">
        <f aca="false">IF(AND(Time!BV44=1,BV43&gt;Inputs!$F$9),BV42/BV43,0)</f>
        <v>2.66290709128639</v>
      </c>
      <c r="BW44" s="31" t="n">
        <f aca="false">IF(AND(Time!BW44=1,BW43&gt;Inputs!$F$9),BW42/BW43,0)</f>
        <v>2.66290709128639</v>
      </c>
      <c r="BX44" s="31" t="n">
        <f aca="false">IF(AND(Time!BX44=1,BX43&gt;Inputs!$F$9),BX42/BX43,0)</f>
        <v>2.66290709128639</v>
      </c>
      <c r="BY44" s="31" t="n">
        <f aca="false">IF(AND(Time!BY44=1,BY43&gt;Inputs!$F$9),BY42/BY43,0)</f>
        <v>2.66290709128639</v>
      </c>
      <c r="BZ44" s="31" t="n">
        <f aca="false">IF(AND(Time!BZ44=1,BZ43&gt;Inputs!$F$9),BZ42/BZ43,0)</f>
        <v>2.66290709128639</v>
      </c>
      <c r="CA44" s="31" t="n">
        <f aca="false">IF(AND(Time!CA44=1,CA43&gt;Inputs!$F$9),CA42/CA43,0)</f>
        <v>2.66290709128639</v>
      </c>
      <c r="CB44" s="31" t="n">
        <f aca="false">IF(AND(Time!CB44=1,CB43&gt;Inputs!$F$9),CB42/CB43,0)</f>
        <v>2.66290709128639</v>
      </c>
      <c r="CC44" s="31" t="n">
        <f aca="false">IF(AND(Time!CC44=1,CC43&gt;Inputs!$F$9),CC42/CC43,0)</f>
        <v>2.66290709128639</v>
      </c>
      <c r="CD44" s="31" t="n">
        <f aca="false">IF(AND(Time!CD44=1,CD43&gt;Inputs!$F$9),CD42/CD43,0)</f>
        <v>2.66290709128639</v>
      </c>
      <c r="CE44" s="31" t="n">
        <f aca="false">IF(AND(Time!CE44=1,CE43&gt;Inputs!$F$9),CE42/CE43,0)</f>
        <v>2.66290709128639</v>
      </c>
      <c r="CF44" s="31" t="n">
        <f aca="false">IF(AND(Time!CF44=1,CF43&gt;Inputs!$F$9),CF42/CF43,0)</f>
        <v>2.66290709125132</v>
      </c>
      <c r="CG44" s="31" t="n">
        <f aca="false">IF(AND(Time!CG44=1,CG43&gt;Inputs!$F$9),CG42/CG43,0)</f>
        <v>2.66290709124841</v>
      </c>
      <c r="CH44" s="31" t="n">
        <f aca="false">IF(AND(Time!CH44=1,CH43&gt;Inputs!$F$9),CH42/CH43,0)</f>
        <v>4.8401728550778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3147.83474230157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32.9164336199878</v>
      </c>
      <c r="AE49" s="19" t="n">
        <f aca="false">IF(AE48=1,0,MAX(0,AE39))*(1-Time!AE20)</f>
        <v>14.3162934090829</v>
      </c>
      <c r="AF49" s="19" t="n">
        <f aca="false">IF(AF48=1,0,MAX(0,AF39))*(1-Time!AF20)</f>
        <v>12.8005173494887</v>
      </c>
      <c r="AG49" s="19" t="n">
        <f aca="false">IF(AG48=1,0,MAX(0,AG39))*(1-Time!AG20)</f>
        <v>20.3765404481845</v>
      </c>
      <c r="AH49" s="19" t="n">
        <f aca="false">IF(AH48=1,0,MAX(0,AH39))*(1-Time!AH20)</f>
        <v>21.8834568784714</v>
      </c>
      <c r="AI49" s="19" t="n">
        <f aca="false">IF(AI48=1,0,MAX(0,AI39))*(1-Time!AI20)</f>
        <v>21.317231641169</v>
      </c>
      <c r="AJ49" s="19" t="n">
        <f aca="false">IF(AJ48=1,0,MAX(0,AJ39))*(1-Time!AJ20)</f>
        <v>16.6782948779846</v>
      </c>
      <c r="AK49" s="19" t="n">
        <f aca="false">IF(AK48=1,0,MAX(0,AK39))*(1-Time!AK20)</f>
        <v>15.922643996979</v>
      </c>
      <c r="AL49" s="19" t="n">
        <f aca="false">IF(AL48=1,0,MAX(0,AL39))*(1-Time!AL20)</f>
        <v>16.6046991371722</v>
      </c>
      <c r="AM49" s="19" t="n">
        <f aca="false">IF(AM48=1,0,MAX(0,AM39))*(1-Time!AM20)</f>
        <v>19.426679936712</v>
      </c>
      <c r="AN49" s="19" t="n">
        <f aca="false">IF(AN48=1,0,MAX(0,AN39))*(1-Time!AN20)</f>
        <v>20.1546819434813</v>
      </c>
      <c r="AO49" s="19" t="n">
        <f aca="false">IF(AO48=1,0,MAX(0,AO39))*(1-Time!AO20)</f>
        <v>26.340721674393</v>
      </c>
      <c r="AP49" s="19" t="n">
        <f aca="false">IF(AP48=1,0,MAX(0,AP39))*(1-Time!AP20)</f>
        <v>26.9070242337311</v>
      </c>
      <c r="AQ49" s="19" t="n">
        <f aca="false">IF(AQ48=1,0,MAX(0,AQ39))*(1-Time!AQ20)</f>
        <v>19.9319898210767</v>
      </c>
      <c r="AR49" s="19" t="n">
        <f aca="false">IF(AR48=1,0,MAX(0,AR39))*(1-Time!AR20)</f>
        <v>21.1201249402029</v>
      </c>
      <c r="AS49" s="19" t="n">
        <f aca="false">IF(AS48=1,0,MAX(0,AS39))*(1-Time!AS20)</f>
        <v>24.1762634043161</v>
      </c>
      <c r="AT49" s="19" t="n">
        <f aca="false">IF(AT48=1,0,MAX(0,AT39))*(1-Time!AT20)</f>
        <v>25.0554391841215</v>
      </c>
      <c r="AU49" s="19" t="n">
        <f aca="false">IF(AU48=1,0,MAX(0,AU39))*(1-Time!AU20)</f>
        <v>28.2312873149978</v>
      </c>
      <c r="AV49" s="19" t="n">
        <f aca="false">IF(AV48=1,0,MAX(0,AV39))*(1-Time!AV20)</f>
        <v>26.9305562812704</v>
      </c>
      <c r="AW49" s="19" t="n">
        <f aca="false">IF(AW48=1,0,MAX(0,AW39))*(1-Time!AW20)</f>
        <v>31.333057182166</v>
      </c>
      <c r="AX49" s="19" t="n">
        <f aca="false">IF(AX48=1,0,MAX(0,AX39))*(1-Time!AX20)</f>
        <v>31.7357904275979</v>
      </c>
      <c r="AY49" s="19" t="n">
        <f aca="false">IF(AY48=1,0,MAX(0,AY39))*(1-Time!AY20)</f>
        <v>31.0684320489755</v>
      </c>
      <c r="AZ49" s="19" t="n">
        <f aca="false">IF(AZ48=1,0,MAX(0,AZ39))*(1-Time!AZ20)</f>
        <v>30.4925814409179</v>
      </c>
      <c r="BA49" s="19" t="n">
        <f aca="false">IF(BA48=1,0,MAX(0,BA39))*(1-Time!BA20)</f>
        <v>33.0533778101826</v>
      </c>
      <c r="BB49" s="19" t="n">
        <f aca="false">IF(BB48=1,0,MAX(0,BB39))*(1-Time!BB20)</f>
        <v>28.7705703630742</v>
      </c>
      <c r="BC49" s="19" t="n">
        <f aca="false">IF(BC48=1,0,MAX(0,BC39))*(1-Time!BC20)</f>
        <v>38.8740578513505</v>
      </c>
      <c r="BD49" s="19" t="n">
        <f aca="false">IF(BD48=1,0,MAX(0,BD39))*(1-Time!BD20)</f>
        <v>36.1753279921853</v>
      </c>
      <c r="BE49" s="19" t="n">
        <f aca="false">IF(BE48=1,0,MAX(0,BE39))*(1-Time!BE20)</f>
        <v>42.7312959251788</v>
      </c>
      <c r="BF49" s="19" t="n">
        <f aca="false">IF(BF48=1,0,MAX(0,BF39))*(1-Time!BF20)</f>
        <v>41.4562590238657</v>
      </c>
      <c r="BG49" s="19" t="n">
        <f aca="false">IF(BG48=1,0,MAX(0,BG39))*(1-Time!BG20)</f>
        <v>44.6296386557541</v>
      </c>
      <c r="BH49" s="19" t="n">
        <f aca="false">IF(BH48=1,0,MAX(0,BH39))*(1-Time!BH20)</f>
        <v>43.9361302957494</v>
      </c>
      <c r="BI49" s="19" t="n">
        <f aca="false">IF(BI48=1,0,MAX(0,BI39))*(1-Time!BI20)</f>
        <v>47.0288566527154</v>
      </c>
      <c r="BJ49" s="19" t="n">
        <f aca="false">IF(BJ48=1,0,MAX(0,BJ39))*(1-Time!BJ20)</f>
        <v>45.622436446853</v>
      </c>
      <c r="BK49" s="19" t="n">
        <f aca="false">IF(BK48=1,0,MAX(0,BK39))*(1-Time!BK20)</f>
        <v>49.3389677517731</v>
      </c>
      <c r="BL49" s="19" t="n">
        <f aca="false">IF(BL48=1,0,MAX(0,BL39))*(1-Time!BL20)</f>
        <v>47.8793773273053</v>
      </c>
      <c r="BM49" s="19" t="n">
        <f aca="false">IF(BM48=1,0,MAX(0,BM39))*(1-Time!BM20)</f>
        <v>51.7453651862624</v>
      </c>
      <c r="BN49" s="19" t="n">
        <f aca="false">IF(BN48=1,0,MAX(0,BN39))*(1-Time!BN20)</f>
        <v>57.1982759536092</v>
      </c>
      <c r="BO49" s="19" t="n">
        <f aca="false">IF(BO48=1,0,MAX(0,BO39))*(1-Time!BO20)</f>
        <v>45.2608172911235</v>
      </c>
      <c r="BP49" s="19" t="n">
        <f aca="false">IF(BP48=1,0,MAX(0,BP39))*(1-Time!BP20)</f>
        <v>44.4387522465598</v>
      </c>
      <c r="BQ49" s="19" t="n">
        <f aca="false">IF(BQ48=1,0,MAX(0,BQ39))*(1-Time!BQ20)</f>
        <v>48.625879473865</v>
      </c>
      <c r="BR49" s="19" t="n">
        <f aca="false">IF(BR48=1,0,MAX(0,BR39))*(1-Time!BR20)</f>
        <v>45.9187339316992</v>
      </c>
      <c r="BS49" s="19" t="n">
        <f aca="false">IF(BS48=1,0,MAX(0,BS39))*(1-Time!BS20)</f>
        <v>50.7399744599617</v>
      </c>
      <c r="BT49" s="19" t="n">
        <f aca="false">IF(BT48=1,0,MAX(0,BT39))*(1-Time!BT20)</f>
        <v>40.9506218659089</v>
      </c>
      <c r="BU49" s="19" t="n">
        <f aca="false">IF(BU48=1,0,MAX(0,BU39))*(1-Time!BU20)</f>
        <v>61.6974505099745</v>
      </c>
      <c r="BV49" s="19" t="n">
        <f aca="false">IF(BV48=1,0,MAX(0,BV39))*(1-Time!BV20)</f>
        <v>58.7939099185486</v>
      </c>
      <c r="BW49" s="19" t="n">
        <f aca="false">IF(BW48=1,0,MAX(0,BW39))*(1-Time!BW20)</f>
        <v>63.6910653650768</v>
      </c>
      <c r="BX49" s="19" t="n">
        <f aca="false">IF(BX48=1,0,MAX(0,BX39))*(1-Time!BX20)</f>
        <v>61.5906681450928</v>
      </c>
      <c r="BY49" s="19" t="n">
        <f aca="false">IF(BY48=1,0,MAX(0,BY39))*(1-Time!BY20)</f>
        <v>66.3226492526453</v>
      </c>
      <c r="BZ49" s="19" t="n">
        <f aca="false">IF(BZ48=1,0,MAX(0,BZ39))*(1-Time!BZ20)</f>
        <v>67.7212450279749</v>
      </c>
      <c r="CA49" s="19" t="n">
        <f aca="false">IF(CA48=1,0,MAX(0,CA39))*(1-Time!CA20)</f>
        <v>63.1001726882215</v>
      </c>
      <c r="CB49" s="19" t="n">
        <f aca="false">IF(CB48=1,0,MAX(0,CB39))*(1-Time!CB20)</f>
        <v>59.8804981132667</v>
      </c>
      <c r="CC49" s="19" t="n">
        <f aca="false">IF(CC48=1,0,MAX(0,CC39))*(1-Time!CC20)</f>
        <v>65.6219507260814</v>
      </c>
      <c r="CD49" s="19" t="n">
        <f aca="false">IF(CD48=1,0,MAX(0,CD39))*(1-Time!CD20)</f>
        <v>64.4743785092707</v>
      </c>
      <c r="CE49" s="19" t="n">
        <f aca="false">IF(CE48=1,0,MAX(0,CE39))*(1-Time!CE20)</f>
        <v>71.3917971962185</v>
      </c>
      <c r="CF49" s="19" t="n">
        <f aca="false">IF(CF48=1,0,MAX(0,CF39))*(1-Time!CF20)</f>
        <v>54.197401380327</v>
      </c>
      <c r="CG49" s="19" t="n">
        <f aca="false">IF(CG48=1,0,MAX(0,CG39))*(1-Time!CG20)</f>
        <v>109.477864495855</v>
      </c>
      <c r="CH49" s="19" t="n">
        <f aca="false">IF(CH48=1,0,MAX(0,CH39))*(1-Time!CH20)</f>
        <v>79.7697245459767</v>
      </c>
      <c r="CI49" s="19" t="n">
        <f aca="false">IF(CI48=1,0,MAX(0,CI39))*(1-Time!CI20)</f>
        <v>83.4555359231188</v>
      </c>
      <c r="CJ49" s="19" t="n">
        <f aca="false">IF(CJ48=1,0,MAX(0,CJ39))*(1-Time!CJ20)</f>
        <v>82.5374363419225</v>
      </c>
      <c r="CK49" s="19" t="n">
        <f aca="false">IF(CK48=1,0,MAX(0,CK39))*(1-Time!CK20)</f>
        <v>98.6225221583646</v>
      </c>
      <c r="CL49" s="19" t="n">
        <f aca="false">IF(CL48=1,0,MAX(0,CL39))*(1-Time!CL20)</f>
        <v>89.7660385246247</v>
      </c>
      <c r="CM49" s="19" t="n">
        <f aca="false">IF(CM48=1,0,MAX(0,CM39))*(1-Time!CM20)</f>
        <v>93.7015837257067</v>
      </c>
      <c r="CN49" s="19" t="n">
        <f aca="false">IF(CN48=1,0,MAX(0,CN39))*(1-Time!CN20)</f>
        <v>93.2823751798686</v>
      </c>
      <c r="CO49" s="19" t="n">
        <f aca="false">IF(CO48=1,0,MAX(0,CO39))*(1-Time!CO20)</f>
        <v>96.7803170403548</v>
      </c>
      <c r="CP49" s="19" t="n">
        <f aca="false">IF(CP48=1,0,MAX(0,CP39))*(1-Time!CP20)</f>
        <v>141.862699835618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1.99291291584575</v>
      </c>
      <c r="AA51" s="19" t="n">
        <f aca="false">(AA39-AA49+AA50)*(1-Time!AA20)</f>
        <v>5.73983606096598</v>
      </c>
      <c r="AB51" s="19" t="n">
        <f aca="false">(AB39-AB49+AB50)*(1-Time!AB20)</f>
        <v>14.1197975859674</v>
      </c>
      <c r="AC51" s="19" t="n">
        <f aca="false">(AC39-AC49+AC50)*(1-Time!AC20)</f>
        <v>21.2479208646506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3.76410014268913E-011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523.61386841366</v>
      </c>
      <c r="AF53" s="19" t="n">
        <f aca="false">AE59</f>
        <v>536.353349136855</v>
      </c>
      <c r="AG53" s="19" t="n">
        <f aca="false">AF59</f>
        <v>550.815011266439</v>
      </c>
      <c r="AH53" s="19" t="n">
        <f aca="false">AG59</f>
        <v>558.899761537392</v>
      </c>
      <c r="AI53" s="19" t="n">
        <f aca="false">AH59</f>
        <v>565.424490483366</v>
      </c>
      <c r="AJ53" s="19" t="n">
        <f aca="false">AI59</f>
        <v>573.323439364159</v>
      </c>
      <c r="AK53" s="19" t="n">
        <f aca="false">AJ59</f>
        <v>585.947469859742</v>
      </c>
      <c r="AL53" s="19" t="n">
        <f aca="false">AK59</f>
        <v>600.301454031406</v>
      </c>
      <c r="AM53" s="19" t="n">
        <f aca="false">AL59</f>
        <v>614.209337704967</v>
      </c>
      <c r="AN53" s="19" t="n">
        <f aca="false">AM59</f>
        <v>626.51961149186</v>
      </c>
      <c r="AO53" s="19" t="n">
        <f aca="false">AN59</f>
        <v>638.210148979071</v>
      </c>
      <c r="AP53" s="19" t="n">
        <f aca="false">AO59</f>
        <v>644.846532536857</v>
      </c>
      <c r="AQ53" s="19" t="n">
        <f aca="false">AP59</f>
        <v>650.716262535701</v>
      </c>
      <c r="AR53" s="19" t="n">
        <f aca="false">AQ59</f>
        <v>664.40758425277</v>
      </c>
      <c r="AS53" s="19" t="n">
        <f aca="false">AR59</f>
        <v>677.245057899514</v>
      </c>
      <c r="AT53" s="19" t="n">
        <f aca="false">AS59</f>
        <v>688.062881596526</v>
      </c>
      <c r="AU53" s="19" t="n">
        <f aca="false">AT59</f>
        <v>697.980830387253</v>
      </c>
      <c r="AV53" s="19" t="n">
        <f aca="false">AU59</f>
        <v>705.815073102676</v>
      </c>
      <c r="AW53" s="19" t="n">
        <f aca="false">AV59</f>
        <v>714.760226804247</v>
      </c>
      <c r="AX53" s="19" t="n">
        <f aca="false">AW59</f>
        <v>720.359711752295</v>
      </c>
      <c r="AY53" s="19" t="n">
        <f aca="false">AX59</f>
        <v>725.238917358354</v>
      </c>
      <c r="AZ53" s="19" t="n">
        <f aca="false">AY59</f>
        <v>731.644474299456</v>
      </c>
      <c r="BA53" s="19" t="n">
        <f aca="false">AZ59</f>
        <v>738.545941264172</v>
      </c>
      <c r="BB53" s="19" t="n">
        <f aca="false">BA59</f>
        <v>743.654142775201</v>
      </c>
      <c r="BC53" s="19" t="n">
        <f aca="false">BB59</f>
        <v>752.682595655516</v>
      </c>
      <c r="BD53" s="19" t="n">
        <f aca="false">BC59</f>
        <v>752.70057548653</v>
      </c>
      <c r="BE53" s="19" t="n">
        <f aca="false">BD59</f>
        <v>754.784089759314</v>
      </c>
      <c r="BF53" s="19" t="n">
        <f aca="false">BE59</f>
        <v>751.053418307726</v>
      </c>
      <c r="BG53" s="19" t="n">
        <f aca="false">BF59</f>
        <v>747.772278580173</v>
      </c>
      <c r="BH53" s="19" t="n">
        <f aca="false">BG59</f>
        <v>741.780955469685</v>
      </c>
      <c r="BI53" s="19" t="n">
        <f aca="false">BH59</f>
        <v>735.756944966503</v>
      </c>
      <c r="BJ53" s="19" t="n">
        <f aca="false">BI59</f>
        <v>726.74555675781</v>
      </c>
      <c r="BK53" s="19" t="n">
        <f aca="false">BJ59</f>
        <v>718.062700973284</v>
      </c>
      <c r="BL53" s="19" t="n">
        <f aca="false">BK59</f>
        <v>705.826918263582</v>
      </c>
      <c r="BM53" s="19" t="n">
        <f aca="false">BL59</f>
        <v>693.823852994044</v>
      </c>
      <c r="BN53" s="19" t="n">
        <f aca="false">BM59</f>
        <v>677.929221691255</v>
      </c>
      <c r="BO53" s="19" t="n">
        <f aca="false">BN59</f>
        <v>655.189252273062</v>
      </c>
      <c r="BP53" s="19" t="n">
        <f aca="false">BO59</f>
        <v>643.782871414459</v>
      </c>
      <c r="BQ53" s="19" t="n">
        <f aca="false">BP59</f>
        <v>632.247597157589</v>
      </c>
      <c r="BR53" s="19" t="n">
        <f aca="false">BQ59</f>
        <v>616.290730512195</v>
      </c>
      <c r="BS53" s="19" t="n">
        <f aca="false">BR59</f>
        <v>601.697294601941</v>
      </c>
      <c r="BT53" s="19" t="n">
        <f aca="false">BS59</f>
        <v>582.047761172644</v>
      </c>
      <c r="BU53" s="19" t="n">
        <f aca="false">BT59</f>
        <v>570.681909414011</v>
      </c>
      <c r="BV53" s="19" t="n">
        <f aca="false">BU59</f>
        <v>538.472296743895</v>
      </c>
      <c r="BW53" s="19" t="n">
        <f aca="false">BV59</f>
        <v>507.048269798883</v>
      </c>
      <c r="BX53" s="19" t="n">
        <f aca="false">BW59</f>
        <v>469.557013662319</v>
      </c>
      <c r="BY53" s="19" t="n">
        <f aca="false">BX59</f>
        <v>431.965211516871</v>
      </c>
      <c r="BZ53" s="19" t="n">
        <f aca="false">BY59</f>
        <v>387.962737303153</v>
      </c>
      <c r="CA53" s="19" t="n">
        <f aca="false">BZ59</f>
        <v>339.961159902073</v>
      </c>
      <c r="CB53" s="19" t="n">
        <f aca="false">CA59</f>
        <v>294.427199476189</v>
      </c>
      <c r="CC53" s="19" t="n">
        <f aca="false">CB59</f>
        <v>249.512072919859</v>
      </c>
      <c r="CD53" s="19" t="n">
        <f aca="false">CC59</f>
        <v>196.782718619171</v>
      </c>
      <c r="CE53" s="19" t="n">
        <f aca="false">CD59</f>
        <v>142.310563088481</v>
      </c>
      <c r="CF53" s="19" t="n">
        <f aca="false">CE59</f>
        <v>78.2721281384237</v>
      </c>
      <c r="CG53" s="19" t="n">
        <f aca="false">CF59</f>
        <v>28.0751830606235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1885.34622650354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8.94365187320776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9.86135922723211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27.0557741322784</v>
      </c>
      <c r="AF54" s="19" t="n">
        <f aca="false">AF53*Inputs!$F$89*Time!AF9/Inputs!$F$45</f>
        <v>27.2621794790726</v>
      </c>
      <c r="AG54" s="19" t="n">
        <f aca="false">AG53*Inputs!$F$89*Time!AG9/Inputs!$F$45</f>
        <v>28.4612907191371</v>
      </c>
      <c r="AH54" s="19" t="n">
        <f aca="false">AH53*Inputs!$F$89*Time!AH9/Inputs!$F$45</f>
        <v>28.4081858244451</v>
      </c>
      <c r="AI54" s="19" t="n">
        <f aca="false">AI53*Inputs!$F$89*Time!AI9/Inputs!$F$45</f>
        <v>29.2161805219624</v>
      </c>
      <c r="AJ54" s="19" t="n">
        <f aca="false">AJ53*Inputs!$F$89*Time!AJ9/Inputs!$F$45</f>
        <v>29.3023253735298</v>
      </c>
      <c r="AK54" s="19" t="n">
        <f aca="false">AK53*Inputs!$F$89*Time!AK9/Inputs!$F$45</f>
        <v>30.2766281686431</v>
      </c>
      <c r="AL54" s="19" t="n">
        <f aca="false">AL53*Inputs!$F$89*Time!AL9/Inputs!$F$45</f>
        <v>30.5125828107333</v>
      </c>
      <c r="AM54" s="19" t="n">
        <f aca="false">AM53*Inputs!$F$89*Time!AM9/Inputs!$F$45</f>
        <v>31.7369537236046</v>
      </c>
      <c r="AN54" s="19" t="n">
        <f aca="false">AN53*Inputs!$F$89*Time!AN9/Inputs!$F$45</f>
        <v>31.8452194306924</v>
      </c>
      <c r="AO54" s="19" t="n">
        <f aca="false">AO53*Inputs!$F$89*Time!AO9/Inputs!$F$45</f>
        <v>32.9771052321788</v>
      </c>
      <c r="AP54" s="19" t="n">
        <f aca="false">AP53*Inputs!$F$89*Time!AP9/Inputs!$F$45</f>
        <v>32.7767542325754</v>
      </c>
      <c r="AQ54" s="19" t="n">
        <f aca="false">AQ53*Inputs!$F$89*Time!AQ9/Inputs!$F$45</f>
        <v>33.6233115381461</v>
      </c>
      <c r="AR54" s="19" t="n">
        <f aca="false">AR53*Inputs!$F$89*Time!AR9/Inputs!$F$45</f>
        <v>33.9575985869464</v>
      </c>
      <c r="AS54" s="19" t="n">
        <f aca="false">AS53*Inputs!$F$89*Time!AS9/Inputs!$F$45</f>
        <v>34.9940871013283</v>
      </c>
      <c r="AT54" s="19" t="n">
        <f aca="false">AT53*Inputs!$F$89*Time!AT9/Inputs!$F$45</f>
        <v>34.9733879748481</v>
      </c>
      <c r="AU54" s="19" t="n">
        <f aca="false">AU53*Inputs!$F$89*Time!AU9/Inputs!$F$45</f>
        <v>36.0655300304208</v>
      </c>
      <c r="AV54" s="19" t="n">
        <f aca="false">AV53*Inputs!$F$89*Time!AV9/Inputs!$F$45</f>
        <v>35.8757099828422</v>
      </c>
      <c r="AW54" s="19" t="n">
        <f aca="false">AW53*Inputs!$F$89*Time!AW9/Inputs!$F$45</f>
        <v>36.932542130214</v>
      </c>
      <c r="AX54" s="19" t="n">
        <f aca="false">AX53*Inputs!$F$89*Time!AX9/Inputs!$F$45</f>
        <v>36.6149960336561</v>
      </c>
      <c r="AY54" s="19" t="n">
        <f aca="false">AY53*Inputs!$F$89*Time!AY9/Inputs!$F$45</f>
        <v>37.4739889900782</v>
      </c>
      <c r="AZ54" s="19" t="n">
        <f aca="false">AZ53*Inputs!$F$89*Time!AZ9/Inputs!$F$45</f>
        <v>37.3940484056338</v>
      </c>
      <c r="BA54" s="19" t="n">
        <f aca="false">BA53*Inputs!$F$89*Time!BA9/Inputs!$F$45</f>
        <v>38.1615793212117</v>
      </c>
      <c r="BB54" s="19" t="n">
        <f aca="false">BB53*Inputs!$F$89*Time!BB9/Inputs!$F$45</f>
        <v>37.7990232433888</v>
      </c>
      <c r="BC54" s="19" t="n">
        <f aca="false">BC53*Inputs!$F$89*Time!BC9/Inputs!$F$45</f>
        <v>38.8920376823645</v>
      </c>
      <c r="BD54" s="19" t="n">
        <f aca="false">BD53*Inputs!$F$89*Time!BD9/Inputs!$F$45</f>
        <v>38.2588422649694</v>
      </c>
      <c r="BE54" s="19" t="n">
        <f aca="false">BE53*Inputs!$F$89*Time!BE9/Inputs!$F$45</f>
        <v>39.0006244735909</v>
      </c>
      <c r="BF54" s="19" t="n">
        <f aca="false">BF53*Inputs!$F$89*Time!BF9/Inputs!$F$45</f>
        <v>38.1751192963126</v>
      </c>
      <c r="BG54" s="19" t="n">
        <f aca="false">BG53*Inputs!$F$89*Time!BG9/Inputs!$F$45</f>
        <v>38.6383155452659</v>
      </c>
      <c r="BH54" s="19" t="n">
        <f aca="false">BH53*Inputs!$F$89*Time!BH9/Inputs!$F$45</f>
        <v>37.9121197925671</v>
      </c>
      <c r="BI54" s="19" t="n">
        <f aca="false">BI53*Inputs!$F$89*Time!BI9/Inputs!$F$45</f>
        <v>38.0174684440226</v>
      </c>
      <c r="BJ54" s="19" t="n">
        <f aca="false">BJ53*Inputs!$F$89*Time!BJ9/Inputs!$F$45</f>
        <v>36.9395806623268</v>
      </c>
      <c r="BK54" s="19" t="n">
        <f aca="false">BK53*Inputs!$F$89*Time!BK9/Inputs!$F$45</f>
        <v>37.1031850420716</v>
      </c>
      <c r="BL54" s="19" t="n">
        <f aca="false">BL53*Inputs!$F$89*Time!BL9/Inputs!$F$45</f>
        <v>35.8763120577674</v>
      </c>
      <c r="BM54" s="19" t="n">
        <f aca="false">BM53*Inputs!$F$89*Time!BM9/Inputs!$F$45</f>
        <v>35.8507338834731</v>
      </c>
      <c r="BN54" s="19" t="n">
        <f aca="false">BN53*Inputs!$F$89*Time!BN9/Inputs!$F$45</f>
        <v>34.4583065354165</v>
      </c>
      <c r="BO54" s="19" t="n">
        <f aca="false">BO53*Inputs!$F$89*Time!BO9/Inputs!$F$45</f>
        <v>33.8544364325204</v>
      </c>
      <c r="BP54" s="19" t="n">
        <f aca="false">BP53*Inputs!$F$89*Time!BP9/Inputs!$F$45</f>
        <v>32.9034779896897</v>
      </c>
      <c r="BQ54" s="19" t="n">
        <f aca="false">BQ53*Inputs!$F$89*Time!BQ9/Inputs!$F$45</f>
        <v>32.6690128284716</v>
      </c>
      <c r="BR54" s="19" t="n">
        <f aca="false">BR53*Inputs!$F$89*Time!BR9/Inputs!$F$45</f>
        <v>31.3252980214452</v>
      </c>
      <c r="BS54" s="19" t="n">
        <f aca="false">BS53*Inputs!$F$89*Time!BS9/Inputs!$F$45</f>
        <v>31.0904410306647</v>
      </c>
      <c r="BT54" s="19" t="n">
        <f aca="false">BT53*Inputs!$F$89*Time!BT9/Inputs!$F$45</f>
        <v>29.5847701072753</v>
      </c>
      <c r="BU54" s="19" t="n">
        <f aca="false">BU53*Inputs!$F$89*Time!BU9/Inputs!$F$45</f>
        <v>29.4878378398582</v>
      </c>
      <c r="BV54" s="19" t="n">
        <f aca="false">BV53*Inputs!$F$89*Time!BV9/Inputs!$F$45</f>
        <v>27.3698829735373</v>
      </c>
      <c r="BW54" s="19" t="n">
        <f aca="false">BW53*Inputs!$F$89*Time!BW9/Inputs!$F$45</f>
        <v>26.1998092285122</v>
      </c>
      <c r="BX54" s="19" t="n">
        <f aca="false">BX53*Inputs!$F$89*Time!BX9/Inputs!$F$45</f>
        <v>23.9988659996454</v>
      </c>
      <c r="BY54" s="19" t="n">
        <f aca="false">BY53*Inputs!$F$89*Time!BY9/Inputs!$F$45</f>
        <v>22.3201750389266</v>
      </c>
      <c r="BZ54" s="19" t="n">
        <f aca="false">BZ53*Inputs!$F$89*Time!BZ9/Inputs!$F$45</f>
        <v>19.7196676268952</v>
      </c>
      <c r="CA54" s="19" t="n">
        <f aca="false">CA53*Inputs!$F$89*Time!CA9/Inputs!$F$45</f>
        <v>17.5662122623372</v>
      </c>
      <c r="CB54" s="19" t="n">
        <f aca="false">CB53*Inputs!$F$89*Time!CB9/Inputs!$F$45</f>
        <v>14.965371556937</v>
      </c>
      <c r="CC54" s="19" t="n">
        <f aca="false">CC53*Inputs!$F$89*Time!CC9/Inputs!$F$45</f>
        <v>12.8925964253933</v>
      </c>
      <c r="CD54" s="19" t="n">
        <f aca="false">CD53*Inputs!$F$89*Time!CD9/Inputs!$F$45</f>
        <v>10.0022229785813</v>
      </c>
      <c r="CE54" s="19" t="n">
        <f aca="false">CE53*Inputs!$F$89*Time!CE9/Inputs!$F$45</f>
        <v>7.35336224616098</v>
      </c>
      <c r="CF54" s="19" t="n">
        <f aca="false">CF53*Inputs!$F$89*Time!CF9/Inputs!$F$45</f>
        <v>4.00045630252683</v>
      </c>
      <c r="CG54" s="19" t="n">
        <f aca="false">CG53*Inputs!$F$89*Time!CG9/Inputs!$F$45</f>
        <v>1.45067932198181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550.669642545938</v>
      </c>
      <c r="AF55" s="19" t="n">
        <f aca="false">AF53+AF54+AF9+Funding!AF38</f>
        <v>563.615528615928</v>
      </c>
      <c r="AG55" s="19" t="n">
        <f aca="false">AG53+AG54+AG9+Funding!AG38</f>
        <v>579.276301985576</v>
      </c>
      <c r="AH55" s="19" t="n">
        <f aca="false">AH53+AH54+AH9+Funding!AH38</f>
        <v>587.307947361837</v>
      </c>
      <c r="AI55" s="19" t="n">
        <f aca="false">AI53+AI54+AI9+Funding!AI38</f>
        <v>594.640671005328</v>
      </c>
      <c r="AJ55" s="19" t="n">
        <f aca="false">AJ53+AJ54+AJ9+Funding!AJ38</f>
        <v>602.625764737689</v>
      </c>
      <c r="AK55" s="19" t="n">
        <f aca="false">AK53+AK54+AK9+Funding!AK38</f>
        <v>616.224098028385</v>
      </c>
      <c r="AL55" s="19" t="n">
        <f aca="false">AL53+AL54+AL9+Funding!AL38</f>
        <v>630.814036842139</v>
      </c>
      <c r="AM55" s="19" t="n">
        <f aca="false">AM53+AM54+AM9+Funding!AM38</f>
        <v>645.946291428572</v>
      </c>
      <c r="AN55" s="19" t="n">
        <f aca="false">AN53+AN54+AN9+Funding!AN38</f>
        <v>658.364830922552</v>
      </c>
      <c r="AO55" s="19" t="n">
        <f aca="false">AO53+AO54+AO9+Funding!AO38</f>
        <v>671.18725421125</v>
      </c>
      <c r="AP55" s="19" t="n">
        <f aca="false">AP53+AP54+AP9+Funding!AP38</f>
        <v>677.623286769432</v>
      </c>
      <c r="AQ55" s="19" t="n">
        <f aca="false">AQ53+AQ54+AQ9+Funding!AQ38</f>
        <v>684.339574073847</v>
      </c>
      <c r="AR55" s="19" t="n">
        <f aca="false">AR53+AR54+AR9+Funding!AR38</f>
        <v>698.365182839717</v>
      </c>
      <c r="AS55" s="19" t="n">
        <f aca="false">AS53+AS54+AS9+Funding!AS38</f>
        <v>712.239145000842</v>
      </c>
      <c r="AT55" s="19" t="n">
        <f aca="false">AT53+AT54+AT9+Funding!AT38</f>
        <v>723.036269571374</v>
      </c>
      <c r="AU55" s="19" t="n">
        <f aca="false">AU53+AU54+AU9+Funding!AU38</f>
        <v>734.046360417673</v>
      </c>
      <c r="AV55" s="19" t="n">
        <f aca="false">AV53+AV54+AV9+Funding!AV38</f>
        <v>741.690783085518</v>
      </c>
      <c r="AW55" s="19" t="n">
        <f aca="false">AW53+AW54+AW9+Funding!AW38</f>
        <v>751.692768934461</v>
      </c>
      <c r="AX55" s="19" t="n">
        <f aca="false">AX53+AX54+AX9+Funding!AX38</f>
        <v>756.974707785952</v>
      </c>
      <c r="AY55" s="19" t="n">
        <f aca="false">AY53+AY54+AY9+Funding!AY38</f>
        <v>762.712906348432</v>
      </c>
      <c r="AZ55" s="19" t="n">
        <f aca="false">AZ53+AZ54+AZ9+Funding!AZ38</f>
        <v>769.03852270509</v>
      </c>
      <c r="BA55" s="19" t="n">
        <f aca="false">BA53+BA54+BA9+Funding!BA38</f>
        <v>776.707520585384</v>
      </c>
      <c r="BB55" s="19" t="n">
        <f aca="false">BB53+BB54+BB9+Funding!BB38</f>
        <v>781.45316601859</v>
      </c>
      <c r="BC55" s="19" t="n">
        <f aca="false">BC53+BC54+BC9+Funding!BC38</f>
        <v>791.57463333788</v>
      </c>
      <c r="BD55" s="19" t="n">
        <f aca="false">BD53+BD54+BD9+Funding!BD38</f>
        <v>790.959417751499</v>
      </c>
      <c r="BE55" s="19" t="n">
        <f aca="false">BE53+BE54+BE9+Funding!BE38</f>
        <v>793.784714232905</v>
      </c>
      <c r="BF55" s="19" t="n">
        <f aca="false">BF53+BF54+BF9+Funding!BF38</f>
        <v>789.228537604039</v>
      </c>
      <c r="BG55" s="19" t="n">
        <f aca="false">BG53+BG54+BG9+Funding!BG38</f>
        <v>786.410594125439</v>
      </c>
      <c r="BH55" s="19" t="n">
        <f aca="false">BH53+BH54+BH9+Funding!BH38</f>
        <v>779.693075262252</v>
      </c>
      <c r="BI55" s="19" t="n">
        <f aca="false">BI53+BI54+BI9+Funding!BI38</f>
        <v>773.774413410525</v>
      </c>
      <c r="BJ55" s="19" t="n">
        <f aca="false">BJ53+BJ54+BJ9+Funding!BJ38</f>
        <v>763.685137420137</v>
      </c>
      <c r="BK55" s="19" t="n">
        <f aca="false">BK53+BK54+BK9+Funding!BK38</f>
        <v>755.165886015355</v>
      </c>
      <c r="BL55" s="19" t="n">
        <f aca="false">BL53+BL54+BL9+Funding!BL38</f>
        <v>741.70323032135</v>
      </c>
      <c r="BM55" s="19" t="n">
        <f aca="false">BM53+BM54+BM9+Funding!BM38</f>
        <v>729.674586877517</v>
      </c>
      <c r="BN55" s="19" t="n">
        <f aca="false">BN53+BN54+BN9+Funding!BN38</f>
        <v>712.387528226671</v>
      </c>
      <c r="BO55" s="19" t="n">
        <f aca="false">BO53+BO54+BO9+Funding!BO38</f>
        <v>689.043688705583</v>
      </c>
      <c r="BP55" s="19" t="n">
        <f aca="false">BP53+BP54+BP9+Funding!BP38</f>
        <v>676.686349404149</v>
      </c>
      <c r="BQ55" s="19" t="n">
        <f aca="false">BQ53+BQ54+BQ9+Funding!BQ38</f>
        <v>664.91660998606</v>
      </c>
      <c r="BR55" s="19" t="n">
        <f aca="false">BR53+BR54+BR9+Funding!BR38</f>
        <v>647.616028533641</v>
      </c>
      <c r="BS55" s="19" t="n">
        <f aca="false">BS53+BS54+BS9+Funding!BS38</f>
        <v>632.787735632606</v>
      </c>
      <c r="BT55" s="19" t="n">
        <f aca="false">BT53+BT54+BT9+Funding!BT38</f>
        <v>611.63253127992</v>
      </c>
      <c r="BU55" s="19" t="n">
        <f aca="false">BU53+BU54+BU9+Funding!BU38</f>
        <v>600.169747253869</v>
      </c>
      <c r="BV55" s="19" t="n">
        <f aca="false">BV53+BV54+BV9+Funding!BV38</f>
        <v>565.842179717432</v>
      </c>
      <c r="BW55" s="19" t="n">
        <f aca="false">BW53+BW54+BW9+Funding!BW38</f>
        <v>533.248079027395</v>
      </c>
      <c r="BX55" s="19" t="n">
        <f aca="false">BX53+BX54+BX9+Funding!BX38</f>
        <v>493.555879661964</v>
      </c>
      <c r="BY55" s="19" t="n">
        <f aca="false">BY53+BY54+BY9+Funding!BY38</f>
        <v>454.285386555798</v>
      </c>
      <c r="BZ55" s="19" t="n">
        <f aca="false">BZ53+BZ54+BZ9+Funding!BZ38</f>
        <v>407.682404930048</v>
      </c>
      <c r="CA55" s="19" t="n">
        <f aca="false">CA53+CA54+CA9+Funding!CA38</f>
        <v>357.52737216441</v>
      </c>
      <c r="CB55" s="19" t="n">
        <f aca="false">CB53+CB54+CB9+Funding!CB38</f>
        <v>309.392571033126</v>
      </c>
      <c r="CC55" s="19" t="n">
        <f aca="false">CC53+CC54+CC9+Funding!CC38</f>
        <v>262.404669345252</v>
      </c>
      <c r="CD55" s="19" t="n">
        <f aca="false">CD53+CD54+CD9+Funding!CD38</f>
        <v>206.784941597752</v>
      </c>
      <c r="CE55" s="19" t="n">
        <f aca="false">CE53+CE54+CE9+Funding!CE38</f>
        <v>149.663925334642</v>
      </c>
      <c r="CF55" s="19" t="n">
        <f aca="false">CF53+CF54+CF9+Funding!CF38</f>
        <v>82.2725844409505</v>
      </c>
      <c r="CG55" s="19" t="n">
        <f aca="false">CG53+CG54+CG9+Funding!CG38</f>
        <v>29.5258623826053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2208.10450691276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32.9164336199878</v>
      </c>
      <c r="AE56" s="19" t="n">
        <f aca="false">MIN(AE49,AE55)</f>
        <v>14.3162934090829</v>
      </c>
      <c r="AF56" s="19" t="n">
        <f aca="false">MIN(AF49,AF55)</f>
        <v>12.8005173494887</v>
      </c>
      <c r="AG56" s="19" t="n">
        <f aca="false">MIN(AG49,AG55)</f>
        <v>20.3765404481845</v>
      </c>
      <c r="AH56" s="19" t="n">
        <f aca="false">MIN(AH49,AH55)</f>
        <v>21.8834568784714</v>
      </c>
      <c r="AI56" s="19" t="n">
        <f aca="false">MIN(AI49,AI55)</f>
        <v>21.317231641169</v>
      </c>
      <c r="AJ56" s="19" t="n">
        <f aca="false">MIN(AJ49,AJ55)</f>
        <v>16.6782948779846</v>
      </c>
      <c r="AK56" s="19" t="n">
        <f aca="false">MIN(AK49,AK55)</f>
        <v>15.922643996979</v>
      </c>
      <c r="AL56" s="19" t="n">
        <f aca="false">MIN(AL49,AL55)</f>
        <v>16.6046991371722</v>
      </c>
      <c r="AM56" s="19" t="n">
        <f aca="false">MIN(AM49,AM55)</f>
        <v>19.426679936712</v>
      </c>
      <c r="AN56" s="19" t="n">
        <f aca="false">MIN(AN49,AN55)</f>
        <v>20.1546819434813</v>
      </c>
      <c r="AO56" s="19" t="n">
        <f aca="false">MIN(AO49,AO55)</f>
        <v>26.340721674393</v>
      </c>
      <c r="AP56" s="19" t="n">
        <f aca="false">MIN(AP49,AP55)</f>
        <v>26.9070242337311</v>
      </c>
      <c r="AQ56" s="19" t="n">
        <f aca="false">MIN(AQ49,AQ55)</f>
        <v>19.9319898210767</v>
      </c>
      <c r="AR56" s="19" t="n">
        <f aca="false">MIN(AR49,AR55)</f>
        <v>21.1201249402029</v>
      </c>
      <c r="AS56" s="19" t="n">
        <f aca="false">MIN(AS49,AS55)</f>
        <v>24.1762634043161</v>
      </c>
      <c r="AT56" s="19" t="n">
        <f aca="false">MIN(AT49,AT55)</f>
        <v>25.0554391841215</v>
      </c>
      <c r="AU56" s="19" t="n">
        <f aca="false">MIN(AU49,AU55)</f>
        <v>28.2312873149978</v>
      </c>
      <c r="AV56" s="19" t="n">
        <f aca="false">MIN(AV49,AV55)</f>
        <v>26.9305562812704</v>
      </c>
      <c r="AW56" s="19" t="n">
        <f aca="false">MIN(AW49,AW55)</f>
        <v>31.333057182166</v>
      </c>
      <c r="AX56" s="19" t="n">
        <f aca="false">MIN(AX49,AX55)</f>
        <v>31.7357904275979</v>
      </c>
      <c r="AY56" s="19" t="n">
        <f aca="false">MIN(AY49,AY55)</f>
        <v>31.0684320489755</v>
      </c>
      <c r="AZ56" s="19" t="n">
        <f aca="false">MIN(AZ49,AZ55)</f>
        <v>30.4925814409179</v>
      </c>
      <c r="BA56" s="19" t="n">
        <f aca="false">MIN(BA49,BA55)</f>
        <v>33.0533778101826</v>
      </c>
      <c r="BB56" s="19" t="n">
        <f aca="false">MIN(BB49,BB55)</f>
        <v>28.7705703630742</v>
      </c>
      <c r="BC56" s="19" t="n">
        <f aca="false">MIN(BC49,BC55)</f>
        <v>38.8740578513505</v>
      </c>
      <c r="BD56" s="19" t="n">
        <f aca="false">MIN(BD49,BD55)</f>
        <v>36.1753279921853</v>
      </c>
      <c r="BE56" s="19" t="n">
        <f aca="false">MIN(BE49,BE55)</f>
        <v>42.7312959251788</v>
      </c>
      <c r="BF56" s="19" t="n">
        <f aca="false">MIN(BF49,BF55)</f>
        <v>41.4562590238657</v>
      </c>
      <c r="BG56" s="19" t="n">
        <f aca="false">MIN(BG49,BG55)</f>
        <v>44.6296386557541</v>
      </c>
      <c r="BH56" s="19" t="n">
        <f aca="false">MIN(BH49,BH55)</f>
        <v>43.9361302957494</v>
      </c>
      <c r="BI56" s="19" t="n">
        <f aca="false">MIN(BI49,BI55)</f>
        <v>47.0288566527154</v>
      </c>
      <c r="BJ56" s="19" t="n">
        <f aca="false">MIN(BJ49,BJ55)</f>
        <v>45.622436446853</v>
      </c>
      <c r="BK56" s="19" t="n">
        <f aca="false">MIN(BK49,BK55)</f>
        <v>49.3389677517731</v>
      </c>
      <c r="BL56" s="19" t="n">
        <f aca="false">MIN(BL49,BL55)</f>
        <v>47.8793773273053</v>
      </c>
      <c r="BM56" s="19" t="n">
        <f aca="false">MIN(BM49,BM55)</f>
        <v>51.7453651862624</v>
      </c>
      <c r="BN56" s="19" t="n">
        <f aca="false">MIN(BN49,BN55)</f>
        <v>57.1982759536092</v>
      </c>
      <c r="BO56" s="19" t="n">
        <f aca="false">MIN(BO49,BO55)</f>
        <v>45.2608172911235</v>
      </c>
      <c r="BP56" s="19" t="n">
        <f aca="false">MIN(BP49,BP55)</f>
        <v>44.4387522465598</v>
      </c>
      <c r="BQ56" s="19" t="n">
        <f aca="false">MIN(BQ49,BQ55)</f>
        <v>48.625879473865</v>
      </c>
      <c r="BR56" s="19" t="n">
        <f aca="false">MIN(BR49,BR55)</f>
        <v>45.9187339316992</v>
      </c>
      <c r="BS56" s="19" t="n">
        <f aca="false">MIN(BS49,BS55)</f>
        <v>50.7399744599617</v>
      </c>
      <c r="BT56" s="19" t="n">
        <f aca="false">MIN(BT49,BT55)</f>
        <v>40.9506218659089</v>
      </c>
      <c r="BU56" s="19" t="n">
        <f aca="false">MIN(BU49,BU55)</f>
        <v>61.6974505099745</v>
      </c>
      <c r="BV56" s="19" t="n">
        <f aca="false">MIN(BV49,BV55)</f>
        <v>58.7939099185486</v>
      </c>
      <c r="BW56" s="19" t="n">
        <f aca="false">MIN(BW49,BW55)</f>
        <v>63.6910653650768</v>
      </c>
      <c r="BX56" s="19" t="n">
        <f aca="false">MIN(BX49,BX55)</f>
        <v>61.5906681450928</v>
      </c>
      <c r="BY56" s="19" t="n">
        <f aca="false">MIN(BY49,BY55)</f>
        <v>66.3226492526453</v>
      </c>
      <c r="BZ56" s="19" t="n">
        <f aca="false">MIN(BZ49,BZ55)</f>
        <v>67.7212450279749</v>
      </c>
      <c r="CA56" s="19" t="n">
        <f aca="false">MIN(CA49,CA55)</f>
        <v>63.1001726882215</v>
      </c>
      <c r="CB56" s="19" t="n">
        <f aca="false">MIN(CB49,CB55)</f>
        <v>59.8804981132667</v>
      </c>
      <c r="CC56" s="19" t="n">
        <f aca="false">MIN(CC49,CC55)</f>
        <v>65.6219507260814</v>
      </c>
      <c r="CD56" s="19" t="n">
        <f aca="false">MIN(CD49,CD55)</f>
        <v>64.4743785092707</v>
      </c>
      <c r="CE56" s="19" t="n">
        <f aca="false">MIN(CE49,CE55)</f>
        <v>71.3917971962185</v>
      </c>
      <c r="CF56" s="19" t="n">
        <f aca="false">MIN(CF49,CF55)</f>
        <v>54.197401380327</v>
      </c>
      <c r="CG56" s="19" t="n">
        <f aca="false">MIN(CG49,CG55)</f>
        <v>29.5258623826053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939.730235388805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0</v>
      </c>
      <c r="BL57" s="19" t="n">
        <f aca="false">BL49-BL56</f>
        <v>0</v>
      </c>
      <c r="BM57" s="19" t="n">
        <f aca="false">BM49-BM56</f>
        <v>0</v>
      </c>
      <c r="BN57" s="19" t="n">
        <f aca="false">BN49-BN56</f>
        <v>0</v>
      </c>
      <c r="BO57" s="19" t="n">
        <f aca="false">BO49-BO56</f>
        <v>0</v>
      </c>
      <c r="BP57" s="19" t="n">
        <f aca="false">BP49-BP56</f>
        <v>0</v>
      </c>
      <c r="BQ57" s="19" t="n">
        <f aca="false">BQ49-BQ56</f>
        <v>0</v>
      </c>
      <c r="BR57" s="19" t="n">
        <f aca="false">BR49-BR56</f>
        <v>0</v>
      </c>
      <c r="BS57" s="19" t="n">
        <f aca="false">BS49-BS56</f>
        <v>0</v>
      </c>
      <c r="BT57" s="19" t="n">
        <f aca="false">BT49-BT56</f>
        <v>0</v>
      </c>
      <c r="BU57" s="19" t="n">
        <f aca="false">BU49-BU56</f>
        <v>0</v>
      </c>
      <c r="BV57" s="19" t="n">
        <f aca="false">BV49-BV56</f>
        <v>0</v>
      </c>
      <c r="BW57" s="19" t="n">
        <f aca="false">BW49-BW56</f>
        <v>0</v>
      </c>
      <c r="BX57" s="19" t="n">
        <f aca="false">BX49-BX56</f>
        <v>0</v>
      </c>
      <c r="BY57" s="19" t="n">
        <f aca="false">BY49-BY56</f>
        <v>0</v>
      </c>
      <c r="BZ57" s="19" t="n">
        <f aca="false">BZ49-BZ56</f>
        <v>0</v>
      </c>
      <c r="CA57" s="19" t="n">
        <f aca="false">CA49-CA56</f>
        <v>0</v>
      </c>
      <c r="CB57" s="19" t="n">
        <f aca="false">CB49-CB56</f>
        <v>0</v>
      </c>
      <c r="CC57" s="19" t="n">
        <f aca="false">CC49-CC56</f>
        <v>0</v>
      </c>
      <c r="CD57" s="19" t="n">
        <f aca="false">CD49-CD56</f>
        <v>0</v>
      </c>
      <c r="CE57" s="19" t="n">
        <f aca="false">CE49-CE56</f>
        <v>0</v>
      </c>
      <c r="CF57" s="19" t="n">
        <f aca="false">CF49-CF56</f>
        <v>0</v>
      </c>
      <c r="CG57" s="19" t="n">
        <f aca="false">CG49-CG56</f>
        <v>79.9520021132494</v>
      </c>
      <c r="CH57" s="19" t="n">
        <f aca="false">CH49-CH56</f>
        <v>79.7697245459767</v>
      </c>
      <c r="CI57" s="19" t="n">
        <f aca="false">CI49-CI56</f>
        <v>83.4555359231188</v>
      </c>
      <c r="CJ57" s="19" t="n">
        <f aca="false">CJ49-CJ56</f>
        <v>82.5374363419225</v>
      </c>
      <c r="CK57" s="19" t="n">
        <f aca="false">CK49-CK56</f>
        <v>98.6225221583646</v>
      </c>
      <c r="CL57" s="19" t="n">
        <f aca="false">CL49-CL56</f>
        <v>89.7660385246247</v>
      </c>
      <c r="CM57" s="19" t="n">
        <f aca="false">CM49-CM56</f>
        <v>93.7015837257067</v>
      </c>
      <c r="CN57" s="19" t="n">
        <f aca="false">CN49-CN56</f>
        <v>93.2823751798686</v>
      </c>
      <c r="CO57" s="19" t="n">
        <f aca="false">CO49-CO56</f>
        <v>96.7803170403548</v>
      </c>
      <c r="CP57" s="19" t="n">
        <f aca="false">CP49-CP56</f>
        <v>141.862699835618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523.61386841366</v>
      </c>
      <c r="AE58" s="19" t="n">
        <f aca="false">AE55-AE56</f>
        <v>536.353349136855</v>
      </c>
      <c r="AF58" s="19" t="n">
        <f aca="false">AF55-AF56</f>
        <v>550.815011266439</v>
      </c>
      <c r="AG58" s="19" t="n">
        <f aca="false">AG55-AG56</f>
        <v>558.899761537392</v>
      </c>
      <c r="AH58" s="19" t="n">
        <f aca="false">AH55-AH56</f>
        <v>565.424490483366</v>
      </c>
      <c r="AI58" s="19" t="n">
        <f aca="false">AI55-AI56</f>
        <v>573.323439364159</v>
      </c>
      <c r="AJ58" s="19" t="n">
        <f aca="false">AJ55-AJ56</f>
        <v>585.947469859704</v>
      </c>
      <c r="AK58" s="19" t="n">
        <f aca="false">AK55-AK56</f>
        <v>600.301454031406</v>
      </c>
      <c r="AL58" s="19" t="n">
        <f aca="false">AL55-AL56</f>
        <v>614.209337704967</v>
      </c>
      <c r="AM58" s="19" t="n">
        <f aca="false">AM55-AM56</f>
        <v>626.51961149186</v>
      </c>
      <c r="AN58" s="19" t="n">
        <f aca="false">AN55-AN56</f>
        <v>638.210148979071</v>
      </c>
      <c r="AO58" s="19" t="n">
        <f aca="false">AO55-AO56</f>
        <v>644.846532536857</v>
      </c>
      <c r="AP58" s="19" t="n">
        <f aca="false">AP55-AP56</f>
        <v>650.716262535701</v>
      </c>
      <c r="AQ58" s="19" t="n">
        <f aca="false">AQ55-AQ56</f>
        <v>664.40758425277</v>
      </c>
      <c r="AR58" s="19" t="n">
        <f aca="false">AR55-AR56</f>
        <v>677.245057899514</v>
      </c>
      <c r="AS58" s="19" t="n">
        <f aca="false">AS55-AS56</f>
        <v>688.062881596526</v>
      </c>
      <c r="AT58" s="19" t="n">
        <f aca="false">AT55-AT56</f>
        <v>697.980830387253</v>
      </c>
      <c r="AU58" s="19" t="n">
        <f aca="false">AU55-AU56</f>
        <v>705.815073102676</v>
      </c>
      <c r="AV58" s="19" t="n">
        <f aca="false">AV55-AV56</f>
        <v>714.760226804247</v>
      </c>
      <c r="AW58" s="19" t="n">
        <f aca="false">AW55-AW56</f>
        <v>720.359711752295</v>
      </c>
      <c r="AX58" s="19" t="n">
        <f aca="false">AX55-AX56</f>
        <v>725.238917358354</v>
      </c>
      <c r="AY58" s="19" t="n">
        <f aca="false">AY55-AY56</f>
        <v>731.644474299456</v>
      </c>
      <c r="AZ58" s="19" t="n">
        <f aca="false">AZ55-AZ56</f>
        <v>738.545941264172</v>
      </c>
      <c r="BA58" s="19" t="n">
        <f aca="false">BA55-BA56</f>
        <v>743.654142775201</v>
      </c>
      <c r="BB58" s="19" t="n">
        <f aca="false">BB55-BB56</f>
        <v>752.682595655516</v>
      </c>
      <c r="BC58" s="19" t="n">
        <f aca="false">BC55-BC56</f>
        <v>752.70057548653</v>
      </c>
      <c r="BD58" s="19" t="n">
        <f aca="false">BD55-BD56</f>
        <v>754.784089759314</v>
      </c>
      <c r="BE58" s="19" t="n">
        <f aca="false">BE55-BE56</f>
        <v>751.053418307726</v>
      </c>
      <c r="BF58" s="19" t="n">
        <f aca="false">BF55-BF56</f>
        <v>747.772278580173</v>
      </c>
      <c r="BG58" s="19" t="n">
        <f aca="false">BG55-BG56</f>
        <v>741.780955469685</v>
      </c>
      <c r="BH58" s="19" t="n">
        <f aca="false">BH55-BH56</f>
        <v>735.756944966503</v>
      </c>
      <c r="BI58" s="19" t="n">
        <f aca="false">BI55-BI56</f>
        <v>726.74555675781</v>
      </c>
      <c r="BJ58" s="19" t="n">
        <f aca="false">BJ55-BJ56</f>
        <v>718.062700973284</v>
      </c>
      <c r="BK58" s="19" t="n">
        <f aca="false">BK55-BK56</f>
        <v>705.826918263582</v>
      </c>
      <c r="BL58" s="19" t="n">
        <f aca="false">BL55-BL56</f>
        <v>693.823852994044</v>
      </c>
      <c r="BM58" s="19" t="n">
        <f aca="false">BM55-BM56</f>
        <v>677.929221691255</v>
      </c>
      <c r="BN58" s="19" t="n">
        <f aca="false">BN55-BN56</f>
        <v>655.189252273062</v>
      </c>
      <c r="BO58" s="19" t="n">
        <f aca="false">BO55-BO56</f>
        <v>643.782871414459</v>
      </c>
      <c r="BP58" s="19" t="n">
        <f aca="false">BP55-BP56</f>
        <v>632.247597157589</v>
      </c>
      <c r="BQ58" s="19" t="n">
        <f aca="false">BQ55-BQ56</f>
        <v>616.290730512195</v>
      </c>
      <c r="BR58" s="19" t="n">
        <f aca="false">BR55-BR56</f>
        <v>601.697294601941</v>
      </c>
      <c r="BS58" s="19" t="n">
        <f aca="false">BS55-BS56</f>
        <v>582.047761172644</v>
      </c>
      <c r="BT58" s="19" t="n">
        <f aca="false">BT55-BT56</f>
        <v>570.681909414011</v>
      </c>
      <c r="BU58" s="19" t="n">
        <f aca="false">BU55-BU56</f>
        <v>538.472296743895</v>
      </c>
      <c r="BV58" s="19" t="n">
        <f aca="false">BV55-BV56</f>
        <v>507.048269798883</v>
      </c>
      <c r="BW58" s="19" t="n">
        <f aca="false">BW55-BW56</f>
        <v>469.557013662319</v>
      </c>
      <c r="BX58" s="19" t="n">
        <f aca="false">BX55-BX56</f>
        <v>431.965211516871</v>
      </c>
      <c r="BY58" s="19" t="n">
        <f aca="false">BY55-BY56</f>
        <v>387.962737303153</v>
      </c>
      <c r="BZ58" s="19" t="n">
        <f aca="false">BZ55-BZ56</f>
        <v>339.961159902073</v>
      </c>
      <c r="CA58" s="19" t="n">
        <f aca="false">CA55-CA56</f>
        <v>294.427199476189</v>
      </c>
      <c r="CB58" s="19" t="n">
        <f aca="false">CB55-CB56</f>
        <v>249.512072919859</v>
      </c>
      <c r="CC58" s="19" t="n">
        <f aca="false">CC55-CC56</f>
        <v>196.782718619171</v>
      </c>
      <c r="CD58" s="19" t="n">
        <f aca="false">CD55-CD56</f>
        <v>142.310563088481</v>
      </c>
      <c r="CE58" s="19" t="n">
        <f aca="false">CE55-CE56</f>
        <v>78.2721281384237</v>
      </c>
      <c r="CF58" s="19" t="n">
        <f aca="false">CF55-CF56</f>
        <v>28.0751830606235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523.61386841366</v>
      </c>
      <c r="AE59" s="19" t="n">
        <f aca="false">IF(Time!AE35=1,0,AE58)</f>
        <v>536.353349136855</v>
      </c>
      <c r="AF59" s="19" t="n">
        <f aca="false">IF(Time!AF35=1,0,AF58)</f>
        <v>550.815011266439</v>
      </c>
      <c r="AG59" s="19" t="n">
        <f aca="false">IF(Time!AG35=1,0,AG58)</f>
        <v>558.899761537392</v>
      </c>
      <c r="AH59" s="19" t="n">
        <f aca="false">IF(Time!AH35=1,0,AH58)</f>
        <v>565.424490483366</v>
      </c>
      <c r="AI59" s="19" t="n">
        <f aca="false">IF(Time!AI35=1,0,AI58)</f>
        <v>573.323439364159</v>
      </c>
      <c r="AJ59" s="19" t="n">
        <f aca="false">IF(Time!AJ35=1,0,AJ58)</f>
        <v>585.947469859742</v>
      </c>
      <c r="AK59" s="19" t="n">
        <f aca="false">IF(Time!AK35=1,0,AK58)</f>
        <v>600.301454031406</v>
      </c>
      <c r="AL59" s="19" t="n">
        <f aca="false">IF(Time!AL35=1,0,AL58)</f>
        <v>614.209337704967</v>
      </c>
      <c r="AM59" s="19" t="n">
        <f aca="false">IF(Time!AM35=1,0,AM58)</f>
        <v>626.51961149186</v>
      </c>
      <c r="AN59" s="19" t="n">
        <f aca="false">IF(Time!AN35=1,0,AN58)</f>
        <v>638.210148979071</v>
      </c>
      <c r="AO59" s="19" t="n">
        <f aca="false">IF(Time!AO35=1,0,AO58)</f>
        <v>644.846532536857</v>
      </c>
      <c r="AP59" s="19" t="n">
        <f aca="false">IF(Time!AP35=1,0,AP58)</f>
        <v>650.716262535701</v>
      </c>
      <c r="AQ59" s="19" t="n">
        <f aca="false">IF(Time!AQ35=1,0,AQ58)</f>
        <v>664.40758425277</v>
      </c>
      <c r="AR59" s="19" t="n">
        <f aca="false">IF(Time!AR35=1,0,AR58)</f>
        <v>677.245057899514</v>
      </c>
      <c r="AS59" s="19" t="n">
        <f aca="false">IF(Time!AS35=1,0,AS58)</f>
        <v>688.062881596526</v>
      </c>
      <c r="AT59" s="19" t="n">
        <f aca="false">IF(Time!AT35=1,0,AT58)</f>
        <v>697.980830387253</v>
      </c>
      <c r="AU59" s="19" t="n">
        <f aca="false">IF(Time!AU35=1,0,AU58)</f>
        <v>705.815073102676</v>
      </c>
      <c r="AV59" s="19" t="n">
        <f aca="false">IF(Time!AV35=1,0,AV58)</f>
        <v>714.760226804247</v>
      </c>
      <c r="AW59" s="19" t="n">
        <f aca="false">IF(Time!AW35=1,0,AW58)</f>
        <v>720.359711752295</v>
      </c>
      <c r="AX59" s="19" t="n">
        <f aca="false">IF(Time!AX35=1,0,AX58)</f>
        <v>725.238917358354</v>
      </c>
      <c r="AY59" s="19" t="n">
        <f aca="false">IF(Time!AY35=1,0,AY58)</f>
        <v>731.644474299456</v>
      </c>
      <c r="AZ59" s="19" t="n">
        <f aca="false">IF(Time!AZ35=1,0,AZ58)</f>
        <v>738.545941264172</v>
      </c>
      <c r="BA59" s="19" t="n">
        <f aca="false">IF(Time!BA35=1,0,BA58)</f>
        <v>743.654142775201</v>
      </c>
      <c r="BB59" s="19" t="n">
        <f aca="false">IF(Time!BB35=1,0,BB58)</f>
        <v>752.682595655516</v>
      </c>
      <c r="BC59" s="19" t="n">
        <f aca="false">IF(Time!BC35=1,0,BC58)</f>
        <v>752.70057548653</v>
      </c>
      <c r="BD59" s="19" t="n">
        <f aca="false">IF(Time!BD35=1,0,BD58)</f>
        <v>754.784089759314</v>
      </c>
      <c r="BE59" s="19" t="n">
        <f aca="false">IF(Time!BE35=1,0,BE58)</f>
        <v>751.053418307726</v>
      </c>
      <c r="BF59" s="19" t="n">
        <f aca="false">IF(Time!BF35=1,0,BF58)</f>
        <v>747.772278580173</v>
      </c>
      <c r="BG59" s="19" t="n">
        <f aca="false">IF(Time!BG35=1,0,BG58)</f>
        <v>741.780955469685</v>
      </c>
      <c r="BH59" s="19" t="n">
        <f aca="false">IF(Time!BH35=1,0,BH58)</f>
        <v>735.756944966503</v>
      </c>
      <c r="BI59" s="19" t="n">
        <f aca="false">IF(Time!BI35=1,0,BI58)</f>
        <v>726.74555675781</v>
      </c>
      <c r="BJ59" s="19" t="n">
        <f aca="false">IF(Time!BJ35=1,0,BJ58)</f>
        <v>718.062700973284</v>
      </c>
      <c r="BK59" s="19" t="n">
        <f aca="false">IF(Time!BK35=1,0,BK58)</f>
        <v>705.826918263582</v>
      </c>
      <c r="BL59" s="19" t="n">
        <f aca="false">IF(Time!BL35=1,0,BL58)</f>
        <v>693.823852994044</v>
      </c>
      <c r="BM59" s="19" t="n">
        <f aca="false">IF(Time!BM35=1,0,BM58)</f>
        <v>677.929221691255</v>
      </c>
      <c r="BN59" s="19" t="n">
        <f aca="false">IF(Time!BN35=1,0,BN58)</f>
        <v>655.189252273062</v>
      </c>
      <c r="BO59" s="19" t="n">
        <f aca="false">IF(Time!BO35=1,0,BO58)</f>
        <v>643.782871414459</v>
      </c>
      <c r="BP59" s="19" t="n">
        <f aca="false">IF(Time!BP35=1,0,BP58)</f>
        <v>632.247597157589</v>
      </c>
      <c r="BQ59" s="19" t="n">
        <f aca="false">IF(Time!BQ35=1,0,BQ58)</f>
        <v>616.290730512195</v>
      </c>
      <c r="BR59" s="19" t="n">
        <f aca="false">IF(Time!BR35=1,0,BR58)</f>
        <v>601.697294601941</v>
      </c>
      <c r="BS59" s="19" t="n">
        <f aca="false">IF(Time!BS35=1,0,BS58)</f>
        <v>582.047761172644</v>
      </c>
      <c r="BT59" s="19" t="n">
        <f aca="false">IF(Time!BT35=1,0,BT58)</f>
        <v>570.681909414011</v>
      </c>
      <c r="BU59" s="19" t="n">
        <f aca="false">IF(Time!BU35=1,0,BU58)</f>
        <v>538.472296743895</v>
      </c>
      <c r="BV59" s="19" t="n">
        <f aca="false">IF(Time!BV35=1,0,BV58)</f>
        <v>507.048269798883</v>
      </c>
      <c r="BW59" s="19" t="n">
        <f aca="false">IF(Time!BW35=1,0,BW58)</f>
        <v>469.557013662319</v>
      </c>
      <c r="BX59" s="19" t="n">
        <f aca="false">IF(Time!BX35=1,0,BX58)</f>
        <v>431.965211516871</v>
      </c>
      <c r="BY59" s="19" t="n">
        <f aca="false">IF(Time!BY35=1,0,BY58)</f>
        <v>387.962737303153</v>
      </c>
      <c r="BZ59" s="19" t="n">
        <f aca="false">IF(Time!BZ35=1,0,BZ58)</f>
        <v>339.961159902073</v>
      </c>
      <c r="CA59" s="19" t="n">
        <f aca="false">IF(Time!CA35=1,0,CA58)</f>
        <v>294.427199476189</v>
      </c>
      <c r="CB59" s="19" t="n">
        <f aca="false">IF(Time!CB35=1,0,CB58)</f>
        <v>249.512072919859</v>
      </c>
      <c r="CC59" s="19" t="n">
        <f aca="false">IF(Time!CC35=1,0,CC58)</f>
        <v>196.782718619171</v>
      </c>
      <c r="CD59" s="19" t="n">
        <f aca="false">IF(Time!CD35=1,0,CD58)</f>
        <v>142.310563088481</v>
      </c>
      <c r="CE59" s="19" t="n">
        <f aca="false">IF(Time!CE35=1,0,CE58)</f>
        <v>78.2721281384237</v>
      </c>
      <c r="CF59" s="19" t="n">
        <f aca="false">IF(Time!CF35=1,0,CF58)</f>
        <v>28.0751830606235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2768.11911829076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32.9164336199878</v>
      </c>
      <c r="AE61" s="19" t="n">
        <f aca="false">IF(Time!AE20=1,-Funding!AE27,IF(Time!AE23=1,0,AE49-AE9))</f>
        <v>14.3162934090829</v>
      </c>
      <c r="AF61" s="19" t="n">
        <f aca="false">IF(Time!AF20=1,-Funding!AF27,IF(Time!AF23=1,0,AF49-AF9))</f>
        <v>12.8005173494887</v>
      </c>
      <c r="AG61" s="19" t="n">
        <f aca="false">IF(Time!AG20=1,-Funding!AG27,IF(Time!AG23=1,0,AG49-AG9))</f>
        <v>20.3765404481845</v>
      </c>
      <c r="AH61" s="19" t="n">
        <f aca="false">IF(Time!AH20=1,-Funding!AH27,IF(Time!AH23=1,0,AH49-AH9))</f>
        <v>21.8834568784714</v>
      </c>
      <c r="AI61" s="19" t="n">
        <f aca="false">IF(Time!AI20=1,-Funding!AI27,IF(Time!AI23=1,0,AI49-AI9))</f>
        <v>21.317231641169</v>
      </c>
      <c r="AJ61" s="19" t="n">
        <f aca="false">IF(Time!AJ20=1,-Funding!AJ27,IF(Time!AJ23=1,0,AJ49-AJ9))</f>
        <v>16.6782948779846</v>
      </c>
      <c r="AK61" s="19" t="n">
        <f aca="false">IF(Time!AK20=1,-Funding!AK27,IF(Time!AK23=1,0,AK49-AK9))</f>
        <v>15.922643996979</v>
      </c>
      <c r="AL61" s="19" t="n">
        <f aca="false">IF(Time!AL20=1,-Funding!AL27,IF(Time!AL23=1,0,AL49-AL9))</f>
        <v>16.6046991371722</v>
      </c>
      <c r="AM61" s="19" t="n">
        <f aca="false">IF(Time!AM20=1,-Funding!AM27,IF(Time!AM23=1,0,AM49-AM9))</f>
        <v>19.426679936712</v>
      </c>
      <c r="AN61" s="19" t="n">
        <f aca="false">IF(Time!AN20=1,-Funding!AN27,IF(Time!AN23=1,0,AN49-AN9))</f>
        <v>20.1546819434813</v>
      </c>
      <c r="AO61" s="19" t="n">
        <f aca="false">IF(Time!AO20=1,-Funding!AO27,IF(Time!AO23=1,0,AO49-AO9))</f>
        <v>26.340721674393</v>
      </c>
      <c r="AP61" s="19" t="n">
        <f aca="false">IF(Time!AP20=1,-Funding!AP27,IF(Time!AP23=1,0,AP49-AP9))</f>
        <v>26.9070242337311</v>
      </c>
      <c r="AQ61" s="19" t="n">
        <f aca="false">IF(Time!AQ20=1,-Funding!AQ27,IF(Time!AQ23=1,0,AQ49-AQ9))</f>
        <v>19.9319898210767</v>
      </c>
      <c r="AR61" s="19" t="n">
        <f aca="false">IF(Time!AR20=1,-Funding!AR27,IF(Time!AR23=1,0,AR49-AR9))</f>
        <v>21.1201249402029</v>
      </c>
      <c r="AS61" s="19" t="n">
        <f aca="false">IF(Time!AS20=1,-Funding!AS27,IF(Time!AS23=1,0,AS49-AS9))</f>
        <v>24.1762634043161</v>
      </c>
      <c r="AT61" s="19" t="n">
        <f aca="false">IF(Time!AT20=1,-Funding!AT27,IF(Time!AT23=1,0,AT49-AT9))</f>
        <v>25.0554391841215</v>
      </c>
      <c r="AU61" s="19" t="n">
        <f aca="false">IF(Time!AU20=1,-Funding!AU27,IF(Time!AU23=1,0,AU49-AU9))</f>
        <v>28.2312873149978</v>
      </c>
      <c r="AV61" s="19" t="n">
        <f aca="false">IF(Time!AV20=1,-Funding!AV27,IF(Time!AV23=1,0,AV49-AV9))</f>
        <v>26.9305562812704</v>
      </c>
      <c r="AW61" s="19" t="n">
        <f aca="false">IF(Time!AW20=1,-Funding!AW27,IF(Time!AW23=1,0,AW49-AW9))</f>
        <v>31.333057182166</v>
      </c>
      <c r="AX61" s="19" t="n">
        <f aca="false">IF(Time!AX20=1,-Funding!AX27,IF(Time!AX23=1,0,AX49-AX9))</f>
        <v>31.7357904275979</v>
      </c>
      <c r="AY61" s="19" t="n">
        <f aca="false">IF(Time!AY20=1,-Funding!AY27,IF(Time!AY23=1,0,AY49-AY9))</f>
        <v>31.0684320489755</v>
      </c>
      <c r="AZ61" s="19" t="n">
        <f aca="false">IF(Time!AZ20=1,-Funding!AZ27,IF(Time!AZ23=1,0,AZ49-AZ9))</f>
        <v>30.4925814409179</v>
      </c>
      <c r="BA61" s="19" t="n">
        <f aca="false">IF(Time!BA20=1,-Funding!BA27,IF(Time!BA23=1,0,BA49-BA9))</f>
        <v>33.0533778101826</v>
      </c>
      <c r="BB61" s="19" t="n">
        <f aca="false">IF(Time!BB20=1,-Funding!BB27,IF(Time!BB23=1,0,BB49-BB9))</f>
        <v>28.7705703630742</v>
      </c>
      <c r="BC61" s="19" t="n">
        <f aca="false">IF(Time!BC20=1,-Funding!BC27,IF(Time!BC23=1,0,BC49-BC9))</f>
        <v>38.8740578513505</v>
      </c>
      <c r="BD61" s="19" t="n">
        <f aca="false">IF(Time!BD20=1,-Funding!BD27,IF(Time!BD23=1,0,BD49-BD9))</f>
        <v>36.1753279921853</v>
      </c>
      <c r="BE61" s="19" t="n">
        <f aca="false">IF(Time!BE20=1,-Funding!BE27,IF(Time!BE23=1,0,BE49-BE9))</f>
        <v>42.7312959251788</v>
      </c>
      <c r="BF61" s="19" t="n">
        <f aca="false">IF(Time!BF20=1,-Funding!BF27,IF(Time!BF23=1,0,BF49-BF9))</f>
        <v>41.4562590238657</v>
      </c>
      <c r="BG61" s="19" t="n">
        <f aca="false">IF(Time!BG20=1,-Funding!BG27,IF(Time!BG23=1,0,BG49-BG9))</f>
        <v>44.6296386557541</v>
      </c>
      <c r="BH61" s="19" t="n">
        <f aca="false">IF(Time!BH20=1,-Funding!BH27,IF(Time!BH23=1,0,BH49-BH9))</f>
        <v>43.9361302957494</v>
      </c>
      <c r="BI61" s="19" t="n">
        <f aca="false">IF(Time!BI20=1,-Funding!BI27,IF(Time!BI23=1,0,BI49-BI9))</f>
        <v>47.0288566527154</v>
      </c>
      <c r="BJ61" s="19" t="n">
        <f aca="false">IF(Time!BJ20=1,-Funding!BJ27,IF(Time!BJ23=1,0,BJ49-BJ9))</f>
        <v>45.622436446853</v>
      </c>
      <c r="BK61" s="19" t="n">
        <f aca="false">IF(Time!BK20=1,-Funding!BK27,IF(Time!BK23=1,0,BK49-BK9))</f>
        <v>49.3389677517731</v>
      </c>
      <c r="BL61" s="19" t="n">
        <f aca="false">IF(Time!BL20=1,-Funding!BL27,IF(Time!BL23=1,0,BL49-BL9))</f>
        <v>47.8793773273053</v>
      </c>
      <c r="BM61" s="19" t="n">
        <f aca="false">IF(Time!BM20=1,-Funding!BM27,IF(Time!BM23=1,0,BM49-BM9))</f>
        <v>51.7453651862624</v>
      </c>
      <c r="BN61" s="19" t="n">
        <f aca="false">IF(Time!BN20=1,-Funding!BN27,IF(Time!BN23=1,0,BN49-BN9))</f>
        <v>57.1982759536092</v>
      </c>
      <c r="BO61" s="19" t="n">
        <f aca="false">IF(Time!BO20=1,-Funding!BO27,IF(Time!BO23=1,0,BO49-BO9))</f>
        <v>45.2608172911235</v>
      </c>
      <c r="BP61" s="19" t="n">
        <f aca="false">IF(Time!BP20=1,-Funding!BP27,IF(Time!BP23=1,0,BP49-BP9))</f>
        <v>44.4387522465598</v>
      </c>
      <c r="BQ61" s="19" t="n">
        <f aca="false">IF(Time!BQ20=1,-Funding!BQ27,IF(Time!BQ23=1,0,BQ49-BQ9))</f>
        <v>48.625879473865</v>
      </c>
      <c r="BR61" s="19" t="n">
        <f aca="false">IF(Time!BR20=1,-Funding!BR27,IF(Time!BR23=1,0,BR49-BR9))</f>
        <v>45.9187339316992</v>
      </c>
      <c r="BS61" s="19" t="n">
        <f aca="false">IF(Time!BS20=1,-Funding!BS27,IF(Time!BS23=1,0,BS49-BS9))</f>
        <v>50.7399744599617</v>
      </c>
      <c r="BT61" s="19" t="n">
        <f aca="false">IF(Time!BT20=1,-Funding!BT27,IF(Time!BT23=1,0,BT49-BT9))</f>
        <v>40.9506218659089</v>
      </c>
      <c r="BU61" s="19" t="n">
        <f aca="false">IF(Time!BU20=1,-Funding!BU27,IF(Time!BU23=1,0,BU49-BU9))</f>
        <v>61.6974505099745</v>
      </c>
      <c r="BV61" s="19" t="n">
        <f aca="false">IF(Time!BV20=1,-Funding!BV27,IF(Time!BV23=1,0,BV49-BV9))</f>
        <v>58.7939099185486</v>
      </c>
      <c r="BW61" s="19" t="n">
        <f aca="false">IF(Time!BW20=1,-Funding!BW27,IF(Time!BW23=1,0,BW49-BW9))</f>
        <v>63.6910653650768</v>
      </c>
      <c r="BX61" s="19" t="n">
        <f aca="false">IF(Time!BX20=1,-Funding!BX27,IF(Time!BX23=1,0,BX49-BX9))</f>
        <v>61.5906681450928</v>
      </c>
      <c r="BY61" s="19" t="n">
        <f aca="false">IF(Time!BY20=1,-Funding!BY27,IF(Time!BY23=1,0,BY49-BY9))</f>
        <v>66.3226492526453</v>
      </c>
      <c r="BZ61" s="19" t="n">
        <f aca="false">IF(Time!BZ20=1,-Funding!BZ27,IF(Time!BZ23=1,0,BZ49-BZ9))</f>
        <v>67.7212450279749</v>
      </c>
      <c r="CA61" s="19" t="n">
        <f aca="false">IF(Time!CA20=1,-Funding!CA27,IF(Time!CA23=1,0,CA49-CA9))</f>
        <v>63.1001726882215</v>
      </c>
      <c r="CB61" s="19" t="n">
        <f aca="false">IF(Time!CB20=1,-Funding!CB27,IF(Time!CB23=1,0,CB49-CB9))</f>
        <v>59.8804981132667</v>
      </c>
      <c r="CC61" s="19" t="n">
        <f aca="false">IF(Time!CC20=1,-Funding!CC27,IF(Time!CC23=1,0,CC49-CC9))</f>
        <v>65.6219507260814</v>
      </c>
      <c r="CD61" s="19" t="n">
        <f aca="false">IF(Time!CD20=1,-Funding!CD27,IF(Time!CD23=1,0,CD49-CD9))</f>
        <v>64.4743785092707</v>
      </c>
      <c r="CE61" s="19" t="n">
        <f aca="false">IF(Time!CE20=1,-Funding!CE27,IF(Time!CE23=1,0,CE49-CE9))</f>
        <v>71.3917971962185</v>
      </c>
      <c r="CF61" s="19" t="n">
        <f aca="false">IF(Time!CF20=1,-Funding!CF27,IF(Time!CF23=1,0,CF49-CF9))</f>
        <v>54.197401380327</v>
      </c>
      <c r="CG61" s="19" t="n">
        <f aca="false">IF(Time!CG20=1,-Funding!CG27,IF(Time!CG23=1,0,CG49-CG9))</f>
        <v>109.477864495855</v>
      </c>
      <c r="CH61" s="19" t="n">
        <f aca="false">IF(Time!CH20=1,-Funding!CH27,IF(Time!CH23=1,0,CH49-CH9))</f>
        <v>79.7697245459767</v>
      </c>
      <c r="CI61" s="19" t="n">
        <f aca="false">IF(Time!CI20=1,-Funding!CI27,IF(Time!CI23=1,0,CI49-CI9))</f>
        <v>83.4555359231188</v>
      </c>
      <c r="CJ61" s="19" t="n">
        <f aca="false">IF(Time!CJ20=1,-Funding!CJ27,IF(Time!CJ23=1,0,CJ49-CJ9))</f>
        <v>82.5374363419225</v>
      </c>
      <c r="CK61" s="19" t="n">
        <f aca="false">IF(Time!CK20=1,-Funding!CK27,IF(Time!CK23=1,0,CK49-CK9))</f>
        <v>98.6225221583646</v>
      </c>
      <c r="CL61" s="19" t="n">
        <f aca="false">IF(Time!CL20=1,-Funding!CL27,IF(Time!CL23=1,0,CL49-CL9))</f>
        <v>89.7660385246247</v>
      </c>
      <c r="CM61" s="19" t="n">
        <f aca="false">IF(Time!CM20=1,-Funding!CM27,IF(Time!CM23=1,0,CM49-CM9))</f>
        <v>93.7015837257067</v>
      </c>
      <c r="CN61" s="19" t="n">
        <f aca="false">IF(Time!CN20=1,-Funding!CN27,IF(Time!CN23=1,0,CN49-CN9))</f>
        <v>93.2823751798686</v>
      </c>
      <c r="CO61" s="19" t="n">
        <f aca="false">IF(Time!CO20=1,-Funding!CO27,IF(Time!CO23=1,0,CO49-CO9))</f>
        <v>96.7803170403548</v>
      </c>
      <c r="CP61" s="19" t="n">
        <f aca="false">IF(Time!CP20=1,-Funding!CP27,IF(Time!CP23=1,0,CP49-CP9))</f>
        <v>141.862699835618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882.772891786501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-29.1926798128687</v>
      </c>
      <c r="AA9" s="19" t="n">
        <f aca="false">(Operations!AA32-Operations!AA36-Reserves!AA22-AA6-Debt!AA64-Tax!AA13-Tax!AA14-Debt!AA65-Tax!AA23)*(1-Time!AA20)+AA8</f>
        <v>-58.533901051035</v>
      </c>
      <c r="AB9" s="19" t="n">
        <f aca="false">(Operations!AB32-Operations!AB36-Reserves!AB22-AB6-Debt!AB64-Tax!AB13-Tax!AB14-Debt!AB65-Tax!AB23)*(1-Time!AB20)+AB8</f>
        <v>-52.9138051247356</v>
      </c>
      <c r="AC9" s="19" t="n">
        <f aca="false">(Operations!AC32-Operations!AC36-Reserves!AC22-AC6-Debt!AC64-Tax!AC13-Tax!AC14-Debt!AC65-Tax!AC23)*(1-Time!AC20)+AC8</f>
        <v>-53.9225133762612</v>
      </c>
      <c r="AD9" s="19" t="n">
        <f aca="false">(Operations!AD32-Operations!AD36-Reserves!AD22-AD6-Debt!AD64-Tax!AD13-Tax!AD14-Debt!AD65-Tax!AD23)*(1-Time!AD20)+AD8</f>
        <v>-49.1512668772841</v>
      </c>
      <c r="AE9" s="19" t="n">
        <f aca="false">(Operations!AE32-Operations!AE36-Reserves!AE22-AE6-Debt!AE64-Tax!AE13-Tax!AE14-Debt!AE65-Tax!AE23)*(1-Time!AE20)+AE8</f>
        <v>-48.1237516284622</v>
      </c>
      <c r="AF9" s="19" t="n">
        <f aca="false">(Operations!AF32-Operations!AF36-Reserves!AF22-AF6-Debt!AF64-Tax!AF13-Tax!AF14-Debt!AF65-Tax!AF23)*(1-Time!AF20)+AF8</f>
        <v>-49.29507957976</v>
      </c>
      <c r="AG9" s="19" t="n">
        <f aca="false">(Operations!AG32-Operations!AG36-Reserves!AG22-AG6-Debt!AG64-Tax!AG13-Tax!AG14-Debt!AG65-Tax!AG23)*(1-Time!AG20)+AG8</f>
        <v>-43.5660729433673</v>
      </c>
      <c r="AH9" s="19" t="n">
        <f aca="false">(Operations!AH32-Operations!AH36-Reserves!AH22-AH6-Debt!AH64-Tax!AH13-Tax!AH14-Debt!AH65-Tax!AH23)*(1-Time!AH20)+AH8</f>
        <v>-41.1477651861762</v>
      </c>
      <c r="AI9" s="19" t="n">
        <f aca="false">(Operations!AI32-Operations!AI36-Reserves!AI22-AI6-Debt!AI64-Tax!AI13-Tax!AI14-Debt!AI65-Tax!AI23)*(1-Time!AI20)+AI8</f>
        <v>-40.3496590589787</v>
      </c>
      <c r="AJ9" s="19" t="n">
        <f aca="false">(Operations!AJ32-Operations!AJ36-Reserves!AJ22-AJ6-Debt!AJ64-Tax!AJ13-Tax!AJ14-Debt!AJ65-Tax!AJ23)*(1-Time!AJ20)+AJ8</f>
        <v>-39.1545795335232</v>
      </c>
      <c r="AK9" s="19" t="n">
        <f aca="false">(Operations!AK32-Operations!AK36-Reserves!AK22-AK6-Debt!AK64-Tax!AK13-Tax!AK14-Debt!AK65-Tax!AK23)*(1-Time!AK20)+AK8</f>
        <v>-38.2931278595111</v>
      </c>
      <c r="AL9" s="19" t="n">
        <f aca="false">(Operations!AL32-Operations!AL36-Reserves!AL22-AL6-Debt!AL64-Tax!AL13-Tax!AL14-Debt!AL65-Tax!AL23)*(1-Time!AL20)+AL8</f>
        <v>-37.0839271951021</v>
      </c>
      <c r="AM9" s="19" t="n">
        <f aca="false">(Operations!AM32-Operations!AM36-Reserves!AM22-AM6-Debt!AM64-Tax!AM13-Tax!AM14-Debt!AM65-Tax!AM23)*(1-Time!AM20)+AM8</f>
        <v>-36.2411218438709</v>
      </c>
      <c r="AN9" s="19" t="n">
        <f aca="false">(Operations!AN32-Operations!AN36-Reserves!AN22-AN6-Debt!AN64-Tax!AN13-Tax!AN14-Debt!AN65-Tax!AN23)*(1-Time!AN20)+AN8</f>
        <v>-34.8600593123745</v>
      </c>
      <c r="AO9" s="19" t="n">
        <f aca="false">(Operations!AO32-Operations!AO36-Reserves!AO22-AO6-Debt!AO64-Tax!AO13-Tax!AO14-Debt!AO65-Tax!AO23)*(1-Time!AO20)+AO8</f>
        <v>-53.063163965339</v>
      </c>
      <c r="AP9" s="19" t="n">
        <f aca="false">(Operations!AP32-Operations!AP36-Reserves!AP22-AP6-Debt!AP64-Tax!AP13-Tax!AP14-Debt!AP65-Tax!AP23)*(1-Time!AP20)+AP8</f>
        <v>-32.0392423412179</v>
      </c>
      <c r="AQ9" s="19" t="n">
        <f aca="false">(Operations!AQ32-Operations!AQ36-Reserves!AQ22-AQ6-Debt!AQ64-Tax!AQ13-Tax!AQ14-Debt!AQ65-Tax!AQ23)*(1-Time!AQ20)+AQ8</f>
        <v>-30.4762092524744</v>
      </c>
      <c r="AR9" s="19" t="n">
        <f aca="false">(Operations!AR32-Operations!AR36-Reserves!AR22-AR6-Debt!AR64-Tax!AR13-Tax!AR14-Debt!AR65-Tax!AR23)*(1-Time!AR20)+AR8</f>
        <v>-29.1340124085641</v>
      </c>
      <c r="AS9" s="19" t="n">
        <f aca="false">(Operations!AS32-Operations!AS36-Reserves!AS22-AS6-Debt!AS64-Tax!AS13-Tax!AS14-Debt!AS65-Tax!AS23)*(1-Time!AS20)+AS8</f>
        <v>-27.6556447370612</v>
      </c>
      <c r="AT9" s="19" t="n">
        <f aca="false">(Operations!AT32-Operations!AT36-Reserves!AT22-AT6-Debt!AT64-Tax!AT13-Tax!AT14-Debt!AT65-Tax!AT23)*(1-Time!AT20)+AT8</f>
        <v>-25.997042197425</v>
      </c>
      <c r="AU9" s="19" t="n">
        <f aca="false">(Operations!AU32-Operations!AU36-Reserves!AU22-AU6-Debt!AU64-Tax!AU13-Tax!AU14-Debt!AU65-Tax!AU23)*(1-Time!AU20)+AU8</f>
        <v>-24.2735466161158</v>
      </c>
      <c r="AV9" s="19" t="n">
        <f aca="false">(Operations!AV32-Operations!AV36-Reserves!AV22-AV6-Debt!AV64-Tax!AV13-Tax!AV14-Debt!AV65-Tax!AV23)*(1-Time!AV20)+AV8</f>
        <v>-22.3842481006675</v>
      </c>
      <c r="AW9" s="19" t="n">
        <f aca="false">(Operations!AW32-Operations!AW36-Reserves!AW22-AW6-Debt!AW64-Tax!AW13-Tax!AW14-Debt!AW65-Tax!AW23)*(1-Time!AW20)+AW8</f>
        <v>-82.5322871022919</v>
      </c>
      <c r="AX9" s="19" t="n">
        <f aca="false">(Operations!AX32-Operations!AX36-Reserves!AX22-AX6-Debt!AX64-Tax!AX13-Tax!AX14-Debt!AX65-Tax!AX23)*(1-Time!AX20)+AX8</f>
        <v>-19.4947807984188</v>
      </c>
      <c r="AY9" s="19" t="n">
        <f aca="false">(Operations!AY32-Operations!AY36-Reserves!AY22-AY6-Debt!AY64-Tax!AY13-Tax!AY14-Debt!AY65-Tax!AY23)*(1-Time!AY20)+AY8</f>
        <v>-17.498796539248</v>
      </c>
      <c r="AZ9" s="19" t="n">
        <f aca="false">(Operations!AZ32-Operations!AZ36-Reserves!AZ22-AZ6-Debt!AZ64-Tax!AZ13-Tax!AZ14-Debt!AZ65-Tax!AZ23)*(1-Time!AZ20)+AZ8</f>
        <v>-16.2056258105055</v>
      </c>
      <c r="BA9" s="19" t="n">
        <f aca="false">(Operations!BA32-Operations!BA36-Reserves!BA22-BA6-Debt!BA64-Tax!BA13-Tax!BA14-Debt!BA65-Tax!BA23)*(1-Time!BA20)+BA8</f>
        <v>-14.1468276222979</v>
      </c>
      <c r="BB9" s="19" t="n">
        <f aca="false">(Operations!BB32-Operations!BB36-Reserves!BB22-BB6-Debt!BB64-Tax!BB13-Tax!BB14-Debt!BB65-Tax!BB23)*(1-Time!BB20)+BB8</f>
        <v>-12.6915186390428</v>
      </c>
      <c r="BC9" s="19" t="n">
        <f aca="false">(Operations!BC32-Operations!BC36-Reserves!BC22-BC6-Debt!BC64-Tax!BC13-Tax!BC14-Debt!BC65-Tax!BC23)*(1-Time!BC20)+BC8</f>
        <v>-60.2887222423367</v>
      </c>
      <c r="BD9" s="19" t="n">
        <f aca="false">(Operations!BD32-Operations!BD36-Reserves!BD22-BD6-Debt!BD64-Tax!BD13-Tax!BD14-Debt!BD65-Tax!BD23)*(1-Time!BD20)+BD8</f>
        <v>-8.64438518829662</v>
      </c>
      <c r="BE9" s="19" t="n">
        <f aca="false">(Operations!BE32-Operations!BE36-Reserves!BE22-BE6-Debt!BE64-Tax!BE13-Tax!BE14-Debt!BE65-Tax!BE23)*(1-Time!BE20)+BE8</f>
        <v>-29.2739615392746</v>
      </c>
      <c r="BF9" s="19" t="n">
        <f aca="false">(Operations!BF32-Operations!BF36-Reserves!BF22-BF6-Debt!BF64-Tax!BF13-Tax!BF14-Debt!BF65-Tax!BF23)*(1-Time!BF20)+BF8</f>
        <v>-3.57030051216444</v>
      </c>
      <c r="BG9" s="19" t="n">
        <f aca="false">(Operations!BG32-Operations!BG36-Reserves!BG22-BG6-Debt!BG64-Tax!BG13-Tax!BG14-Debt!BG65-Tax!BG23)*(1-Time!BG20)+BG8</f>
        <v>-0.169933706312222</v>
      </c>
      <c r="BH9" s="19" t="n">
        <f aca="false">(Operations!BH32-Operations!BH36-Reserves!BH22-BH6-Debt!BH64-Tax!BH13-Tax!BH14-Debt!BH65-Tax!BH23)*(1-Time!BH20)+BH8</f>
        <v>2.29342727842965</v>
      </c>
      <c r="BI9" s="19" t="n">
        <f aca="false">(Operations!BI32-Operations!BI36-Reserves!BI22-BI6-Debt!BI64-Tax!BI13-Tax!BI14-Debt!BI65-Tax!BI23)*(1-Time!BI20)+BI8</f>
        <v>6.10851258051635</v>
      </c>
      <c r="BJ9" s="19" t="n">
        <f aca="false">(Operations!BJ32-Operations!BJ36-Reserves!BJ22-BJ6-Debt!BJ64-Tax!BJ13-Tax!BJ14-Debt!BJ65-Tax!BJ23)*(1-Time!BJ20)+BJ8</f>
        <v>8.72745851597546</v>
      </c>
      <c r="BK9" s="19" t="n">
        <f aca="false">(Operations!BK32-Operations!BK36-Reserves!BK22-BK6-Debt!BK64-Tax!BK13-Tax!BK14-Debt!BK65-Tax!BK23)*(1-Time!BK20)+BK8</f>
        <v>13.0732406097111</v>
      </c>
      <c r="BL9" s="19" t="n">
        <f aca="false">(Operations!BL32-Operations!BL36-Reserves!BL22-BL6-Debt!BL64-Tax!BL13-Tax!BL14-Debt!BL65-Tax!BL23)*(1-Time!BL20)+BL8</f>
        <v>15.9313660672158</v>
      </c>
      <c r="BM9" s="19" t="n">
        <f aca="false">(Operations!BM32-Operations!BM36-Reserves!BM22-BM6-Debt!BM64-Tax!BM13-Tax!BM14-Debt!BM65-Tax!BM23)*(1-Time!BM20)+BM8</f>
        <v>20.752893638528</v>
      </c>
      <c r="BN9" s="19" t="n">
        <f aca="false">(Operations!BN32-Operations!BN36-Reserves!BN22-BN6-Debt!BN64-Tax!BN13-Tax!BN14-Debt!BN65-Tax!BN23)*(1-Time!BN20)+BN8</f>
        <v>23.8724666575916</v>
      </c>
      <c r="BO9" s="19" t="n">
        <f aca="false">(Operations!BO32-Operations!BO36-Reserves!BO22-BO6-Debt!BO64-Tax!BO13-Tax!BO14-Debt!BO65-Tax!BO23)*(1-Time!BO20)+BO8</f>
        <v>29.6178162711043</v>
      </c>
      <c r="BP9" s="19" t="n">
        <f aca="false">(Operations!BP32-Operations!BP36-Reserves!BP22-BP6-Debt!BP64-Tax!BP13-Tax!BP14-Debt!BP65-Tax!BP23)*(1-Time!BP20)+BP8</f>
        <v>32.5805177188023</v>
      </c>
      <c r="BQ9" s="19" t="n">
        <f aca="false">(Operations!BQ32-Operations!BQ36-Reserves!BQ22-BQ6-Debt!BQ64-Tax!BQ13-Tax!BQ14-Debt!BQ65-Tax!BQ23)*(1-Time!BQ20)+BQ8</f>
        <v>37.682660367034</v>
      </c>
      <c r="BR9" s="19" t="n">
        <f aca="false">(Operations!BR32-Operations!BR36-Reserves!BR22-BR6-Debt!BR64-Tax!BR13-Tax!BR14-Debt!BR65-Tax!BR23)*(1-Time!BR20)+BR8</f>
        <v>39.3547417961273</v>
      </c>
      <c r="BS9" s="19" t="n">
        <f aca="false">(Operations!BS32-Operations!BS36-Reserves!BS22-BS6-Debt!BS64-Tax!BS13-Tax!BS14-Debt!BS65-Tax!BS23)*(1-Time!BS20)+BS8</f>
        <v>45.1539649980304</v>
      </c>
      <c r="BT9" s="19" t="n">
        <f aca="false">(Operations!BT32-Operations!BT36-Reserves!BT22-BT6-Debt!BT64-Tax!BT13-Tax!BT14-Debt!BT65-Tax!BT23)*(1-Time!BT20)+BT8</f>
        <v>47.0269353987884</v>
      </c>
      <c r="BU9" s="19" t="n">
        <f aca="false">(Operations!BU32-Operations!BU36-Reserves!BU22-BU6-Debt!BU64-Tax!BU13-Tax!BU14-Debt!BU65-Tax!BU23)*(1-Time!BU20)+BU8</f>
        <v>-58.6147817464661</v>
      </c>
      <c r="BV9" s="19" t="n">
        <f aca="false">(Operations!BV32-Operations!BV36-Reserves!BV22-BV6-Debt!BV64-Tax!BV13-Tax!BV14-Debt!BV65-Tax!BV23)*(1-Time!BV20)+BV8</f>
        <v>55.7478577871693</v>
      </c>
      <c r="BW9" s="19" t="n">
        <f aca="false">(Operations!BW32-Operations!BW36-Reserves!BW22-BW6-Debt!BW64-Tax!BW13-Tax!BW14-Debt!BW65-Tax!BW23)*(1-Time!BW20)+BW8</f>
        <v>63.3433050249301</v>
      </c>
      <c r="BX9" s="19" t="n">
        <f aca="false">(Operations!BX32-Operations!BX36-Reserves!BX22-BX6-Debt!BX64-Tax!BX13-Tax!BX14-Debt!BX65-Tax!BX23)*(1-Time!BX20)+BX8</f>
        <v>66.7636097916621</v>
      </c>
      <c r="BY9" s="19" t="n">
        <f aca="false">(Operations!BY32-Operations!BY36-Reserves!BY22-BY6-Debt!BY64-Tax!BY13-Tax!BY14-Debt!BY65-Tax!BY23)*(1-Time!BY20)+BY8</f>
        <v>74.693438097984</v>
      </c>
      <c r="BZ9" s="19" t="n">
        <f aca="false">(Operations!BZ32-Operations!BZ36-Reserves!BZ22-BZ6-Debt!BZ64-Tax!BZ13-Tax!BZ14-Debt!BZ65-Tax!BZ23)*(1-Time!BZ20)+BZ8</f>
        <v>78.0395155196069</v>
      </c>
      <c r="CA9" s="19" t="n">
        <f aca="false">(Operations!CA32-Operations!CA36-Reserves!CA22-CA6-Debt!CA64-Tax!CA13-Tax!CA14-Debt!CA65-Tax!CA23)*(1-Time!CA20)+CA8</f>
        <v>87.3315621472948</v>
      </c>
      <c r="CB9" s="19" t="n">
        <f aca="false">(Operations!CB32-Operations!CB36-Reserves!CB22-CB6-Debt!CB64-Tax!CB13-Tax!CB14-Debt!CB65-Tax!CB23)*(1-Time!CB20)+CB8</f>
        <v>90.5935453031952</v>
      </c>
      <c r="CC9" s="19" t="n">
        <f aca="false">(Operations!CC32-Operations!CC36-Reserves!CC22-CC6-Debt!CC64-Tax!CC13-Tax!CC14-Debt!CC65-Tax!CC23)*(1-Time!CC20)+CC8</f>
        <v>100.0325452283</v>
      </c>
      <c r="CD9" s="19" t="n">
        <f aca="false">(Operations!CD32-Operations!CD36-Reserves!CD22-CD6-Debt!CD64-Tax!CD13-Tax!CD14-Debt!CD65-Tax!CD23)*(1-Time!CD20)+CD8</f>
        <v>103.646086183608</v>
      </c>
      <c r="CE9" s="19" t="n">
        <f aca="false">(Operations!CE32-Operations!CE36-Reserves!CE22-CE6-Debt!CE64-Tax!CE13-Tax!CE14-Debt!CE65-Tax!CE23)*(1-Time!CE20)+CE8</f>
        <v>114.047445733041</v>
      </c>
      <c r="CF9" s="19" t="n">
        <f aca="false">(Operations!CF32-Operations!CF36-Reserves!CF22-CF6-Debt!CF64-Tax!CF13-Tax!CF14-Debt!CF65-Tax!CF23)*(1-Time!CF20)+CF8</f>
        <v>102.231613095434</v>
      </c>
      <c r="CG9" s="19" t="n">
        <f aca="false">(Operations!CG32-Operations!CG36-Reserves!CG22-CG6-Debt!CG64-Tax!CG13-Tax!CG14-Debt!CG65-Tax!CG23)*(1-Time!CG20)+CG8</f>
        <v>39.5845845006115</v>
      </c>
      <c r="CH9" s="19" t="n">
        <f aca="false">(Operations!CH32-Operations!CH36-Reserves!CH22-CH6-Debt!CH64-Tax!CH13-Tax!CH14-Debt!CH65-Tax!CH23)*(1-Time!CH20)+CH8</f>
        <v>91.4669754407535</v>
      </c>
      <c r="CI9" s="19" t="n">
        <f aca="false">(Operations!CI32-Operations!CI36-Reserves!CI22-CI6-Debt!CI64-Tax!CI13-Tax!CI14-Debt!CI65-Tax!CI23)*(1-Time!CI20)+CI8</f>
        <v>96.4956247837682</v>
      </c>
      <c r="CJ9" s="19" t="n">
        <f aca="false">(Operations!CJ32-Operations!CJ36-Reserves!CJ22-CJ6-Debt!CJ64-Tax!CJ13-Tax!CJ14-Debt!CJ65-Tax!CJ23)*(1-Time!CJ20)+CJ8</f>
        <v>96.0933620622095</v>
      </c>
      <c r="CK9" s="19" t="n">
        <f aca="false">(Operations!CK32-Operations!CK36-Reserves!CK22-CK6-Debt!CK64-Tax!CK13-Tax!CK14-Debt!CK65-Tax!CK23)*(1-Time!CK20)+CK8</f>
        <v>76.8979668000526</v>
      </c>
      <c r="CL9" s="19" t="n">
        <f aca="false">(Operations!CL32-Operations!CL36-Reserves!CL22-CL6-Debt!CL64-Tax!CL13-Tax!CL14-Debt!CL65-Tax!CL23)*(1-Time!CL20)+CL8</f>
        <v>100.93393276425</v>
      </c>
      <c r="CM9" s="19" t="n">
        <f aca="false">(Operations!CM32-Operations!CM36-Reserves!CM22-CM6-Debt!CM64-Tax!CM13-Tax!CM14-Debt!CM65-Tax!CM23)*(1-Time!CM20)+CM8</f>
        <v>106.41227548218</v>
      </c>
      <c r="CN9" s="19" t="n">
        <f aca="false">(Operations!CN32-Operations!CN36-Reserves!CN22-CN6-Debt!CN64-Tax!CN13-Tax!CN14-Debt!CN65-Tax!CN23)*(1-Time!CN20)+CN8</f>
        <v>106.560614742596</v>
      </c>
      <c r="CO9" s="19" t="n">
        <f aca="false">(Operations!CO32-Operations!CO36-Reserves!CO22-CO6-Debt!CO64-Tax!CO13-Tax!CO14-Debt!CO65-Tax!CO23)*(1-Time!CO20)+CO8</f>
        <v>111.664550414488</v>
      </c>
      <c r="CP9" s="19" t="n">
        <f aca="false">(Operations!CP32-Operations!CP36-Reserves!CP22-CP6-Debt!CP64-Tax!CP13-Tax!CP14-Debt!CP65-Tax!CP23)*(1-Time!CP20)+CP8</f>
        <v>18.0008204344566</v>
      </c>
      <c r="CQ9" s="19" t="n">
        <f aca="false">(Operations!CQ32-Operations!CQ36-Reserves!CQ22-CQ6-Debt!CQ64-Tax!CQ13-Tax!CQ14-Debt!CQ65-Tax!CQ23)*(1-Time!CQ20)+CQ8</f>
        <v>-8.79103378731807E-012</v>
      </c>
      <c r="CR9" s="19" t="n">
        <f aca="false">(Operations!CR32-Operations!CR36-Reserves!CR22-CR6-Debt!CR64-Tax!CR13-Tax!CR14-Debt!CR65-Tax!CR23)*(1-Time!CR20)+CR8</f>
        <v>-8.78061439545465E-012</v>
      </c>
      <c r="CS9" s="19" t="n">
        <f aca="false">(Operations!CS32-Operations!CS36-Reserves!CS22-CS6-Debt!CS64-Tax!CS13-Tax!CS14-Debt!CS65-Tax!CS23)*(1-Time!CS20)+CS8</f>
        <v>-9.06001920393395E-012</v>
      </c>
      <c r="CT9" s="19" t="n">
        <f aca="false">(Operations!CT32-Operations!CT36-Reserves!CT22-CT6-Debt!CT64-Tax!CT13-Tax!CT14-Debt!CT65-Tax!CT23)*(1-Time!CT20)+CT8</f>
        <v>-9.04929583131478E-012</v>
      </c>
      <c r="CU9" s="19" t="n">
        <f aca="false">(Operations!CU32-Operations!CU36-Reserves!CU22-CU6-Debt!CU64-Tax!CU13-Tax!CU14-Debt!CU65-Tax!CU23)*(1-Time!CU20)+CU8</f>
        <v>-9.33729853684073E-012</v>
      </c>
      <c r="CV9" s="19" t="n">
        <f aca="false">(Operations!CV32-Operations!CV36-Reserves!CV22-CV6-Debt!CV64-Tax!CV13-Tax!CV14-Debt!CV65-Tax!CV23)*(1-Time!CV20)+CV8</f>
        <v>-9.377605816545E-012</v>
      </c>
      <c r="CW9" s="19" t="n">
        <f aca="false">(Operations!CW32-Operations!CW36-Reserves!CW22-CW6-Debt!CW64-Tax!CW13-Tax!CW14-Debt!CW65-Tax!CW23)*(1-Time!CW20)+CW8</f>
        <v>-9.62391665769202E-012</v>
      </c>
      <c r="CX9" s="19" t="n">
        <f aca="false">(Operations!CX32-Operations!CX36-Reserves!CX22-CX6-Debt!CX64-Tax!CX13-Tax!CX14-Debt!CX65-Tax!CX23)*(1-Time!CX20)+CX8</f>
        <v>-9.61255602385507E-012</v>
      </c>
      <c r="CY9" s="19" t="n">
        <f aca="false">(Operations!CY32-Operations!CY36-Reserves!CY22-CY6-Debt!CY64-Tax!CY13-Tax!CY14-Debt!CY65-Tax!CY23)*(1-Time!CY20)+CY8</f>
        <v>-9.91858324652133E-012</v>
      </c>
      <c r="CZ9" s="19" t="n">
        <f aca="false">(Operations!CZ32-Operations!CZ36-Reserves!CZ22-CZ6-Debt!CZ64-Tax!CZ13-Tax!CZ14-Debt!CZ65-Tax!CZ23)*(1-Time!CZ20)+CZ8</f>
        <v>-9.90688960960378E-012</v>
      </c>
      <c r="DA9" s="19" t="n">
        <f aca="false">(Operations!DA32-Operations!DA36-Reserves!DA22-DA6-Debt!DA64-Tax!DA13-Tax!DA14-Debt!DA65-Tax!DA23)*(1-Time!DA20)+DA8</f>
        <v>-1.02223356068107E-011</v>
      </c>
      <c r="DB9" s="19" t="n">
        <f aca="false">(Operations!DB32-Operations!DB36-Reserves!DB22-DB6-Debt!DB64-Tax!DB13-Tax!DB14-Debt!DB65-Tax!DB23)*(1-Time!DB20)+DB8</f>
        <v>-1.02102986989709E-011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1920.2469154365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1901.48706404753</v>
      </c>
      <c r="AA11" s="19" t="n">
        <f aca="false">AA7+Operations!AA41+Funding!AA16+Reserves!AA13+Reserves!AA16+Reserves!AA19+Reserves!AA23+Reserves!AA27+Reserves!AA30+Waterfall!AA51</f>
        <v>1874.08905100706</v>
      </c>
      <c r="AB11" s="19" t="n">
        <f aca="false">AB7+Operations!AB41+Funding!AB16+Reserves!AB13+Reserves!AB16+Reserves!AB19+Reserves!AB23+Reserves!AB27+Reserves!AB30+Waterfall!AB51</f>
        <v>1853.40036940749</v>
      </c>
      <c r="AC11" s="19" t="n">
        <f aca="false">AC7+Operations!AC41+Funding!AC16+Reserves!AC13+Reserves!AC16+Reserves!AC19+Reserves!AC23+Reserves!AC27+Reserves!AC30+Waterfall!AC51</f>
        <v>1833.3322871547</v>
      </c>
      <c r="AD11" s="19" t="n">
        <f aca="false">AD7+Operations!AD41+Funding!AD16+Reserves!AD13+Reserves!AD16+Reserves!AD19+Reserves!AD23+Reserves!AD27+Reserves!AD30+Waterfall!AD51</f>
        <v>1743.99800442968</v>
      </c>
      <c r="AE11" s="19" t="n">
        <f aca="false">AE7+Operations!AE41+Funding!AE16+Reserves!AE13+Reserves!AE16+Reserves!AE19+Reserves!AE23+Reserves!AE27+Reserves!AE30+Waterfall!AE51</f>
        <v>1716.69060767365</v>
      </c>
      <c r="AF11" s="19" t="n">
        <f aca="false">AF7+Operations!AF41+Funding!AF16+Reserves!AF13+Reserves!AF16+Reserves!AF19+Reserves!AF23+Reserves!AF27+Reserves!AF30+Waterfall!AF51</f>
        <v>1690.00225553143</v>
      </c>
      <c r="AG11" s="19" t="n">
        <f aca="false">AG7+Operations!AG41+Funding!AG16+Reserves!AG13+Reserves!AG16+Reserves!AG19+Reserves!AG23+Reserves!AG27+Reserves!AG30+Waterfall!AG51</f>
        <v>1662.84800000324</v>
      </c>
      <c r="AH11" s="19" t="n">
        <f aca="false">AH7+Operations!AH41+Funding!AH16+Reserves!AH13+Reserves!AH16+Reserves!AH19+Reserves!AH23+Reserves!AH27+Reserves!AH30+Waterfall!AH51</f>
        <v>1636.6042272763</v>
      </c>
      <c r="AI11" s="19" t="n">
        <f aca="false">AI7+Operations!AI41+Funding!AI16+Reserves!AI13+Reserves!AI16+Reserves!AI19+Reserves!AI23+Reserves!AI27+Reserves!AI30+Waterfall!AI51</f>
        <v>1612.73832451384</v>
      </c>
      <c r="AJ11" s="19" t="n">
        <f aca="false">AJ7+Operations!AJ41+Funding!AJ16+Reserves!AJ13+Reserves!AJ16+Reserves!AJ19+Reserves!AJ23+Reserves!AJ27+Reserves!AJ30+Waterfall!AJ51</f>
        <v>1589.41559302056</v>
      </c>
      <c r="AK11" s="19" t="n">
        <f aca="false">AK7+Operations!AK41+Funding!AK16+Reserves!AK13+Reserves!AK16+Reserves!AK19+Reserves!AK23+Reserves!AK27+Reserves!AK30+Waterfall!AK51</f>
        <v>1565.49652823492</v>
      </c>
      <c r="AL11" s="19" t="n">
        <f aca="false">AL7+Operations!AL41+Funding!AL16+Reserves!AL13+Reserves!AL16+Reserves!AL19+Reserves!AL23+Reserves!AL27+Reserves!AL30+Waterfall!AL51</f>
        <v>1542.39186636894</v>
      </c>
      <c r="AM11" s="19" t="n">
        <f aca="false">AM7+Operations!AM41+Funding!AM16+Reserves!AM13+Reserves!AM16+Reserves!AM19+Reserves!AM23+Reserves!AM27+Reserves!AM30+Waterfall!AM51</f>
        <v>1518.48236820868</v>
      </c>
      <c r="AN11" s="19" t="n">
        <f aca="false">AN7+Operations!AN41+Funding!AN16+Reserves!AN13+Reserves!AN16+Reserves!AN19+Reserves!AN23+Reserves!AN27+Reserves!AN30+Waterfall!AN51</f>
        <v>1495.38671134567</v>
      </c>
      <c r="AO11" s="19" t="n">
        <f aca="false">AO7+Operations!AO41+Funding!AO16+Reserves!AO13+Reserves!AO16+Reserves!AO19+Reserves!AO23+Reserves!AO27+Reserves!AO30+Waterfall!AO51</f>
        <v>1448.98225432125</v>
      </c>
      <c r="AP11" s="19" t="n">
        <f aca="false">AP7+Operations!AP41+Funding!AP16+Reserves!AP13+Reserves!AP16+Reserves!AP19+Reserves!AP23+Reserves!AP27+Reserves!AP30+Waterfall!AP51</f>
        <v>1422.68146378689</v>
      </c>
      <c r="AQ11" s="19" t="n">
        <f aca="false">AQ7+Operations!AQ41+Funding!AQ16+Reserves!AQ13+Reserves!AQ16+Reserves!AQ19+Reserves!AQ23+Reserves!AQ27+Reserves!AQ30+Waterfall!AQ51</f>
        <v>1405.92027624325</v>
      </c>
      <c r="AR11" s="19" t="n">
        <f aca="false">AR7+Operations!AR41+Funding!AR16+Reserves!AR13+Reserves!AR16+Reserves!AR19+Reserves!AR23+Reserves!AR27+Reserves!AR30+Waterfall!AR51</f>
        <v>1389.70286867437</v>
      </c>
      <c r="AS11" s="19" t="n">
        <f aca="false">AS7+Operations!AS41+Funding!AS16+Reserves!AS13+Reserves!AS16+Reserves!AS19+Reserves!AS23+Reserves!AS27+Reserves!AS30+Waterfall!AS51</f>
        <v>1372.89018530404</v>
      </c>
      <c r="AT11" s="19" t="n">
        <f aca="false">AT7+Operations!AT41+Funding!AT16+Reserves!AT13+Reserves!AT16+Reserves!AT19+Reserves!AT23+Reserves!AT27+Reserves!AT30+Waterfall!AT51</f>
        <v>1356.89302514645</v>
      </c>
      <c r="AU11" s="19" t="n">
        <f aca="false">AU7+Operations!AU41+Funding!AU16+Reserves!AU13+Reserves!AU16+Reserves!AU19+Reserves!AU23+Reserves!AU27+Reserves!AU30+Waterfall!AU51</f>
        <v>1340.10018205274</v>
      </c>
      <c r="AV11" s="19" t="n">
        <f aca="false">AV7+Operations!AV41+Funding!AV16+Reserves!AV13+Reserves!AV16+Reserves!AV19+Reserves!AV23+Reserves!AV27+Reserves!AV30+Waterfall!AV51</f>
        <v>1325.92441714902</v>
      </c>
      <c r="AW11" s="19" t="n">
        <f aca="false">AW7+Operations!AW41+Funding!AW16+Reserves!AW13+Reserves!AW16+Reserves!AW19+Reserves!AW23+Reserves!AW27+Reserves!AW30+Waterfall!AW51</f>
        <v>1245.69813528522</v>
      </c>
      <c r="AX11" s="19" t="n">
        <f aca="false">AX7+Operations!AX41+Funding!AX16+Reserves!AX13+Reserves!AX16+Reserves!AX19+Reserves!AX23+Reserves!AX27+Reserves!AX30+Waterfall!AX51</f>
        <v>1227.3037692862</v>
      </c>
      <c r="AY11" s="19" t="n">
        <f aca="false">AY7+Operations!AY41+Funding!AY16+Reserves!AY13+Reserves!AY16+Reserves!AY19+Reserves!AY23+Reserves!AY27+Reserves!AY30+Waterfall!AY51</f>
        <v>1212.87092610012</v>
      </c>
      <c r="AZ11" s="19" t="n">
        <f aca="false">AZ7+Operations!AZ41+Funding!AZ16+Reserves!AZ13+Reserves!AZ16+Reserves!AZ19+Reserves!AZ23+Reserves!AZ27+Reserves!AZ30+Waterfall!AZ51</f>
        <v>1199.61365154385</v>
      </c>
      <c r="BA11" s="19" t="n">
        <f aca="false">BA7+Operations!BA41+Funding!BA16+Reserves!BA13+Reserves!BA16+Reserves!BA19+Reserves!BA23+Reserves!BA27+Reserves!BA30+Waterfall!BA51</f>
        <v>1185.02836320807</v>
      </c>
      <c r="BB11" s="19" t="n">
        <f aca="false">BB7+Operations!BB41+Funding!BB16+Reserves!BB13+Reserves!BB16+Reserves!BB19+Reserves!BB23+Reserves!BB27+Reserves!BB30+Waterfall!BB51</f>
        <v>1175.27308048693</v>
      </c>
      <c r="BC11" s="19" t="n">
        <f aca="false">BC7+Operations!BC41+Funding!BC16+Reserves!BC13+Reserves!BC16+Reserves!BC19+Reserves!BC23+Reserves!BC27+Reserves!BC30+Waterfall!BC51</f>
        <v>1102.65870404683</v>
      </c>
      <c r="BD11" s="19" t="n">
        <f aca="false">BD7+Operations!BD41+Funding!BD16+Reserves!BD13+Reserves!BD16+Reserves!BD19+Reserves!BD23+Reserves!BD27+Reserves!BD30+Waterfall!BD51</f>
        <v>1083.04794785606</v>
      </c>
      <c r="BE11" s="19" t="n">
        <f aca="false">BE7+Operations!BE41+Funding!BE16+Reserves!BE13+Reserves!BE16+Reserves!BE19+Reserves!BE23+Reserves!BE27+Reserves!BE30+Waterfall!BE51</f>
        <v>1032.7866294901</v>
      </c>
      <c r="BF11" s="19" t="n">
        <f aca="false">BF7+Operations!BF41+Funding!BF16+Reserves!BF13+Reserves!BF16+Reserves!BF19+Reserves!BF23+Reserves!BF27+Reserves!BF30+Waterfall!BF51</f>
        <v>1007.85720570114</v>
      </c>
      <c r="BG11" s="19" t="n">
        <f aca="false">BG7+Operations!BG41+Funding!BG16+Reserves!BG13+Reserves!BG16+Reserves!BG19+Reserves!BG23+Reserves!BG27+Reserves!BG30+Waterfall!BG51</f>
        <v>981.307877567599</v>
      </c>
      <c r="BH11" s="19" t="n">
        <f aca="false">BH7+Operations!BH41+Funding!BH16+Reserves!BH13+Reserves!BH16+Reserves!BH19+Reserves!BH23+Reserves!BH27+Reserves!BH30+Waterfall!BH51</f>
        <v>956.11812449708</v>
      </c>
      <c r="BI11" s="19" t="n">
        <f aca="false">BI7+Operations!BI41+Funding!BI16+Reserves!BI13+Reserves!BI16+Reserves!BI19+Reserves!BI23+Reserves!BI27+Reserves!BI30+Waterfall!BI51</f>
        <v>929.387858328268</v>
      </c>
      <c r="BJ11" s="19" t="n">
        <f aca="false">BJ7+Operations!BJ41+Funding!BJ16+Reserves!BJ13+Reserves!BJ16+Reserves!BJ19+Reserves!BJ23+Reserves!BJ27+Reserves!BJ30+Waterfall!BJ51</f>
        <v>904.6334325453</v>
      </c>
      <c r="BK11" s="19" t="n">
        <f aca="false">BK7+Operations!BK41+Funding!BK16+Reserves!BK13+Reserves!BK16+Reserves!BK19+Reserves!BK23+Reserves!BK27+Reserves!BK30+Waterfall!BK51</f>
        <v>877.921706359072</v>
      </c>
      <c r="BL11" s="19" t="n">
        <f aca="false">BL7+Operations!BL41+Funding!BL16+Reserves!BL13+Reserves!BL16+Reserves!BL19+Reserves!BL23+Reserves!BL27+Reserves!BL30+Waterfall!BL51</f>
        <v>853.244969818616</v>
      </c>
      <c r="BM11" s="19" t="n">
        <f aca="false">BM7+Operations!BM41+Funding!BM16+Reserves!BM13+Reserves!BM16+Reserves!BM19+Reserves!BM23+Reserves!BM27+Reserves!BM30+Waterfall!BM51</f>
        <v>826.547765019812</v>
      </c>
      <c r="BN11" s="19" t="n">
        <f aca="false">BN7+Operations!BN41+Funding!BN16+Reserves!BN13+Reserves!BN16+Reserves!BN19+Reserves!BN23+Reserves!BN27+Reserves!BN30+Waterfall!BN51</f>
        <v>794.981396906842</v>
      </c>
      <c r="BO11" s="19" t="n">
        <f aca="false">BO7+Operations!BO41+Funding!BO16+Reserves!BO13+Reserves!BO16+Reserves!BO19+Reserves!BO23+Reserves!BO27+Reserves!BO30+Waterfall!BO51</f>
        <v>787.146150299884</v>
      </c>
      <c r="BP11" s="19" t="n">
        <f aca="false">BP7+Operations!BP41+Funding!BP16+Reserves!BP13+Reserves!BP16+Reserves!BP19+Reserves!BP23+Reserves!BP27+Reserves!BP30+Waterfall!BP51</f>
        <v>780.87824096507</v>
      </c>
      <c r="BQ11" s="19" t="n">
        <f aca="false">BQ7+Operations!BQ41+Funding!BQ16+Reserves!BQ13+Reserves!BQ16+Reserves!BQ19+Reserves!BQ23+Reserves!BQ27+Reserves!BQ30+Waterfall!BQ51</f>
        <v>772.342156630017</v>
      </c>
      <c r="BR11" s="19" t="n">
        <f aca="false">BR7+Operations!BR41+Funding!BR16+Reserves!BR13+Reserves!BR16+Reserves!BR19+Reserves!BR23+Reserves!BR27+Reserves!BR30+Waterfall!BR51</f>
        <v>766.394216095697</v>
      </c>
      <c r="BS11" s="19" t="n">
        <f aca="false">BS7+Operations!BS41+Funding!BS16+Reserves!BS13+Reserves!BS16+Reserves!BS19+Reserves!BS23+Reserves!BS27+Reserves!BS30+Waterfall!BS51</f>
        <v>757.857517601948</v>
      </c>
      <c r="BT11" s="19" t="n">
        <f aca="false">BT7+Operations!BT41+Funding!BT16+Reserves!BT13+Reserves!BT16+Reserves!BT19+Reserves!BT23+Reserves!BT27+Reserves!BT30+Waterfall!BT51</f>
        <v>758.971559103904</v>
      </c>
      <c r="BU11" s="19" t="n">
        <f aca="false">BU7+Operations!BU41+Funding!BU16+Reserves!BU13+Reserves!BU16+Reserves!BU19+Reserves!BU23+Reserves!BU27+Reserves!BU30+Waterfall!BU51</f>
        <v>620.223553371443</v>
      </c>
      <c r="BV11" s="19" t="n">
        <f aca="false">BV7+Operations!BV41+Funding!BV16+Reserves!BV13+Reserves!BV16+Reserves!BV19+Reserves!BV23+Reserves!BV27+Reserves!BV30+Waterfall!BV51</f>
        <v>595.829225901815</v>
      </c>
      <c r="BW11" s="19" t="n">
        <f aca="false">BW7+Operations!BW41+Funding!BW16+Reserves!BW13+Reserves!BW16+Reserves!BW19+Reserves!BW23+Reserves!BW27+Reserves!BW30+Waterfall!BW51</f>
        <v>568.967246955517</v>
      </c>
      <c r="BX11" s="19" t="n">
        <f aca="false">BX7+Operations!BX41+Funding!BX16+Reserves!BX13+Reserves!BX16+Reserves!BX19+Reserves!BX23+Reserves!BX27+Reserves!BX30+Waterfall!BX51</f>
        <v>544.227936095383</v>
      </c>
      <c r="BY11" s="19" t="n">
        <f aca="false">BY7+Operations!BY41+Funding!BY16+Reserves!BY13+Reserves!BY16+Reserves!BY19+Reserves!BY23+Reserves!BY27+Reserves!BY30+Waterfall!BY51</f>
        <v>517.086302406798</v>
      </c>
      <c r="BZ11" s="19" t="n">
        <f aca="false">BZ7+Operations!BZ41+Funding!BZ16+Reserves!BZ13+Reserves!BZ16+Reserves!BZ19+Reserves!BZ23+Reserves!BZ27+Reserves!BZ30+Waterfall!BZ51</f>
        <v>488.345099224374</v>
      </c>
      <c r="CA11" s="19" t="n">
        <f aca="false">CA7+Operations!CA41+Funding!CA16+Reserves!CA13+Reserves!CA16+Reserves!CA19+Reserves!CA23+Reserves!CA27+Reserves!CA30+Waterfall!CA51</f>
        <v>473.211313523331</v>
      </c>
      <c r="CB11" s="19" t="n">
        <f aca="false">CB7+Operations!CB41+Funding!CB16+Reserves!CB13+Reserves!CB16+Reserves!CB19+Reserves!CB23+Reserves!CB27+Reserves!CB30+Waterfall!CB51</f>
        <v>461.074224066777</v>
      </c>
      <c r="CC11" s="19" t="n">
        <f aca="false">CC7+Operations!CC41+Funding!CC16+Reserves!CC13+Reserves!CC16+Reserves!CC19+Reserves!CC23+Reserves!CC27+Reserves!CC30+Waterfall!CC51</f>
        <v>445.93843520837</v>
      </c>
      <c r="CD11" s="19" t="n">
        <f aca="false">CD7+Operations!CD41+Funding!CD16+Reserves!CD13+Reserves!CD16+Reserves!CD19+Reserves!CD23+Reserves!CD27+Reserves!CD30+Waterfall!CD51</f>
        <v>431.704605596644</v>
      </c>
      <c r="CE11" s="19" t="n">
        <f aca="false">CE7+Operations!CE41+Funding!CE16+Reserves!CE13+Reserves!CE16+Reserves!CE19+Reserves!CE23+Reserves!CE27+Reserves!CE30+Waterfall!CE51</f>
        <v>416.479944451951</v>
      </c>
      <c r="CF11" s="19" t="n">
        <f aca="false">CF7+Operations!CF41+Funding!CF16+Reserves!CF13+Reserves!CF16+Reserves!CF19+Reserves!CF23+Reserves!CF27+Reserves!CF30+Waterfall!CF51</f>
        <v>410.628973432055</v>
      </c>
      <c r="CG11" s="19" t="n">
        <f aca="false">CG7+Operations!CG41+Funding!CG16+Reserves!CG13+Reserves!CG16+Reserves!CG19+Reserves!CG23+Reserves!CG27+Reserves!CG30+Waterfall!CG51</f>
        <v>278.724911993435</v>
      </c>
      <c r="CH11" s="19" t="n">
        <f aca="false">CH7+Operations!CH41+Funding!CH16+Reserves!CH13+Reserves!CH16+Reserves!CH19+Reserves!CH23+Reserves!CH27+Reserves!CH30+Waterfall!CH51</f>
        <v>267.896439529386</v>
      </c>
      <c r="CI11" s="19" t="n">
        <f aca="false">CI7+Operations!CI41+Funding!CI16+Reserves!CI13+Reserves!CI16+Reserves!CI19+Reserves!CI23+Reserves!CI27+Reserves!CI30+Waterfall!CI51</f>
        <v>256.854923153811</v>
      </c>
      <c r="CJ11" s="19" t="n">
        <f aca="false">CJ7+Operations!CJ41+Funding!CJ16+Reserves!CJ13+Reserves!CJ16+Reserves!CJ19+Reserves!CJ23+Reserves!CJ27+Reserves!CJ30+Waterfall!CJ51</f>
        <v>246.278319128609</v>
      </c>
      <c r="CK11" s="19" t="n">
        <f aca="false">CK7+Operations!CK41+Funding!CK16+Reserves!CK13+Reserves!CK16+Reserves!CK19+Reserves!CK23+Reserves!CK27+Reserves!CK30+Waterfall!CK51</f>
        <v>194.794755479627</v>
      </c>
      <c r="CL11" s="19" t="n">
        <f aca="false">CL7+Operations!CL41+Funding!CL16+Reserves!CL13+Reserves!CL16+Reserves!CL19+Reserves!CL23+Reserves!CL27+Reserves!CL30+Waterfall!CL51</f>
        <v>178.662002997511</v>
      </c>
      <c r="CM11" s="19" t="n">
        <f aca="false">CM7+Operations!CM41+Funding!CM16+Reserves!CM13+Reserves!CM16+Reserves!CM19+Reserves!CM23+Reserves!CM27+Reserves!CM30+Waterfall!CM51</f>
        <v>162.333407335473</v>
      </c>
      <c r="CN11" s="19" t="n">
        <f aca="false">CN7+Operations!CN41+Funding!CN16+Reserves!CN13+Reserves!CN16+Reserves!CN19+Reserves!CN23+Reserves!CN27+Reserves!CN30+Waterfall!CN51</f>
        <v>146.318122429708</v>
      </c>
      <c r="CO11" s="19" t="n">
        <f aca="false">CO7+Operations!CO41+Funding!CO16+Reserves!CO13+Reserves!CO16+Reserves!CO19+Reserves!CO23+Reserves!CO27+Reserves!CO30+Waterfall!CO51</f>
        <v>130.260872951149</v>
      </c>
      <c r="CP11" s="19" t="n">
        <f aca="false">CP7+Operations!CP41+Funding!CP16+Reserves!CP13+Reserves!CP16+Reserves!CP19+Reserves!CP23+Reserves!CP27+Reserves!CP30+Waterfall!CP51</f>
        <v>1.95289738718196E-013</v>
      </c>
      <c r="CQ11" s="19" t="n">
        <f aca="false">CQ7+Operations!CQ41+Funding!CQ16+Reserves!CQ13+Reserves!CQ16+Reserves!CQ19+Reserves!CQ23+Reserves!CQ27+Reserves!CQ30+Waterfall!CQ51</f>
        <v>1.27897692436818E-013</v>
      </c>
      <c r="CR11" s="19" t="n">
        <f aca="false">CR7+Operations!CR41+Funding!CR16+Reserves!CR13+Reserves!CR16+Reserves!CR19+Reserves!CR23+Reserves!CR27+Reserves!CR30+Waterfall!CR51</f>
        <v>1.27897692436818E-013</v>
      </c>
      <c r="CS11" s="19" t="n">
        <f aca="false">CS7+Operations!CS41+Funding!CS16+Reserves!CS13+Reserves!CS16+Reserves!CS19+Reserves!CS23+Reserves!CS27+Reserves!CS30+Waterfall!CS51</f>
        <v>1.27897692436818E-013</v>
      </c>
      <c r="CT11" s="19" t="n">
        <f aca="false">CT7+Operations!CT41+Funding!CT16+Reserves!CT13+Reserves!CT16+Reserves!CT19+Reserves!CT23+Reserves!CT27+Reserves!CT30+Waterfall!CT51</f>
        <v>1.27897692436818E-013</v>
      </c>
      <c r="CU11" s="19" t="n">
        <f aca="false">CU7+Operations!CU41+Funding!CU16+Reserves!CU13+Reserves!CU16+Reserves!CU19+Reserves!CU23+Reserves!CU27+Reserves!CU30+Waterfall!CU51</f>
        <v>1.27897692436818E-013</v>
      </c>
      <c r="CV11" s="19" t="n">
        <f aca="false">CV7+Operations!CV41+Funding!CV16+Reserves!CV13+Reserves!CV16+Reserves!CV19+Reserves!CV23+Reserves!CV27+Reserves!CV30+Waterfall!CV51</f>
        <v>1.27897692436818E-013</v>
      </c>
      <c r="CW11" s="19" t="n">
        <f aca="false">CW7+Operations!CW41+Funding!CW16+Reserves!CW13+Reserves!CW16+Reserves!CW19+Reserves!CW23+Reserves!CW27+Reserves!CW30+Waterfall!CW51</f>
        <v>1.27897692436818E-013</v>
      </c>
      <c r="CX11" s="19" t="n">
        <f aca="false">CX7+Operations!CX41+Funding!CX16+Reserves!CX13+Reserves!CX16+Reserves!CX19+Reserves!CX23+Reserves!CX27+Reserves!CX30+Waterfall!CX51</f>
        <v>1.27897692436818E-013</v>
      </c>
      <c r="CY11" s="19" t="n">
        <f aca="false">CY7+Operations!CY41+Funding!CY16+Reserves!CY13+Reserves!CY16+Reserves!CY19+Reserves!CY23+Reserves!CY27+Reserves!CY30+Waterfall!CY51</f>
        <v>1.27897692436818E-013</v>
      </c>
      <c r="CZ11" s="19" t="n">
        <f aca="false">CZ7+Operations!CZ41+Funding!CZ16+Reserves!CZ13+Reserves!CZ16+Reserves!CZ19+Reserves!CZ23+Reserves!CZ27+Reserves!CZ30+Waterfall!CZ51</f>
        <v>1.27897692436818E-013</v>
      </c>
      <c r="DA11" s="19" t="n">
        <f aca="false">DA7+Operations!DA41+Funding!DA16+Reserves!DA13+Reserves!DA16+Reserves!DA19+Reserves!DA23+Reserves!DA27+Reserves!DA30+Waterfall!DA51</f>
        <v>1.27897692436818E-013</v>
      </c>
      <c r="DB11" s="19" t="n">
        <f aca="false">DB7+Operations!DB41+Funding!DB16+Reserves!DB13+Reserves!DB16+Reserves!DB19+Reserves!DB23+Reserves!DB27+Reserves!DB30+Waterfall!DB51</f>
        <v>1.27897692436818E-013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1873.72240025878</v>
      </c>
      <c r="AA12" s="19" t="n">
        <f aca="false">Debt!AA47+Debt!AA54+Debt!AA60+Debt!AA61+Debt!AA94+Debt!AA102+Funding!AA40+Operations!AA42+Waterfall!AA59+Reserves!AA27</f>
        <v>1904.85828826934</v>
      </c>
      <c r="AB12" s="19" t="n">
        <f aca="false">Debt!AB47+Debt!AB54+Debt!AB60+Debt!AB61+Debt!AB94+Debt!AB102+Funding!AB40+Operations!AB42+Waterfall!AB59+Reserves!AB27</f>
        <v>1937.0834117945</v>
      </c>
      <c r="AC12" s="19" t="n">
        <f aca="false">Debt!AC47+Debt!AC54+Debt!AC60+Debt!AC61+Debt!AC94+Debt!AC102+Funding!AC40+Operations!AC42+Waterfall!AC59+Reserves!AC27</f>
        <v>1970.93784291797</v>
      </c>
      <c r="AD12" s="19" t="n">
        <f aca="false">Debt!AD47+Debt!AD54+Debt!AD60+Debt!AD61+Debt!AD94+Debt!AD102+Funding!AD40+Operations!AD42+Waterfall!AD59+Reserves!AD27</f>
        <v>1930.75482707024</v>
      </c>
      <c r="AE12" s="19" t="n">
        <f aca="false">Debt!AE47+Debt!AE54+Debt!AE60+Debt!AE61+Debt!AE94+Debt!AE102+Funding!AE40+Operations!AE42+Waterfall!AE59+Reserves!AE27</f>
        <v>1951.57118194267</v>
      </c>
      <c r="AF12" s="19" t="n">
        <f aca="false">Debt!AF47+Debt!AF54+Debt!AF60+Debt!AF61+Debt!AF94+Debt!AF102+Funding!AF40+Operations!AF42+Waterfall!AF59+Reserves!AF27</f>
        <v>1974.17790938021</v>
      </c>
      <c r="AG12" s="19" t="n">
        <f aca="false">Debt!AG47+Debt!AG54+Debt!AG60+Debt!AG61+Debt!AG94+Debt!AG102+Funding!AG40+Operations!AG42+Waterfall!AG59+Reserves!AG27</f>
        <v>1990.58972679539</v>
      </c>
      <c r="AH12" s="19" t="n">
        <f aca="false">Debt!AH47+Debt!AH54+Debt!AH60+Debt!AH61+Debt!AH94+Debt!AH102+Funding!AH40+Operations!AH42+Waterfall!AH59+Reserves!AH27</f>
        <v>2005.49371925462</v>
      </c>
      <c r="AI12" s="19" t="n">
        <f aca="false">Debt!AI47+Debt!AI54+Debt!AI60+Debt!AI61+Debt!AI94+Debt!AI102+Funding!AI40+Operations!AI42+Waterfall!AI59+Reserves!AI27</f>
        <v>2021.97747555114</v>
      </c>
      <c r="AJ12" s="19" t="n">
        <f aca="false">Debt!AJ47+Debt!AJ54+Debt!AJ60+Debt!AJ61+Debt!AJ94+Debt!AJ102+Funding!AJ40+Operations!AJ42+Waterfall!AJ59+Reserves!AJ27</f>
        <v>2037.8093235914</v>
      </c>
      <c r="AK12" s="19" t="n">
        <f aca="false">Debt!AK47+Debt!AK54+Debt!AK60+Debt!AK61+Debt!AK94+Debt!AK102+Funding!AK40+Operations!AK42+Waterfall!AK59+Reserves!AK27</f>
        <v>2052.18338666526</v>
      </c>
      <c r="AL12" s="19" t="n">
        <f aca="false">Debt!AL47+Debt!AL54+Debt!AL60+Debt!AL61+Debt!AL94+Debt!AL102+Funding!AL40+Operations!AL42+Waterfall!AL59+Reserves!AL27</f>
        <v>2066.16265199439</v>
      </c>
      <c r="AM12" s="19" t="n">
        <f aca="false">Debt!AM47+Debt!AM54+Debt!AM60+Debt!AM61+Debt!AM94+Debt!AM102+Funding!AM40+Operations!AM42+Waterfall!AM59+Reserves!AM27</f>
        <v>2078.49427567799</v>
      </c>
      <c r="AN12" s="19" t="n">
        <f aca="false">Debt!AN47+Debt!AN54+Debt!AN60+Debt!AN61+Debt!AN94+Debt!AN102+Funding!AN40+Operations!AN42+Waterfall!AN59+Reserves!AN27</f>
        <v>2090.25867812736</v>
      </c>
      <c r="AO12" s="19" t="n">
        <f aca="false">Debt!AO47+Debt!AO54+Debt!AO60+Debt!AO61+Debt!AO94+Debt!AO102+Funding!AO40+Operations!AO42+Waterfall!AO59+Reserves!AO27</f>
        <v>2096.91738506828</v>
      </c>
      <c r="AP12" s="19" t="n">
        <f aca="false">Debt!AP47+Debt!AP54+Debt!AP60+Debt!AP61+Debt!AP94+Debt!AP102+Funding!AP40+Operations!AP42+Waterfall!AP59+Reserves!AP27</f>
        <v>2102.65583687514</v>
      </c>
      <c r="AQ12" s="19" t="n">
        <f aca="false">Debt!AQ47+Debt!AQ54+Debt!AQ60+Debt!AQ61+Debt!AQ94+Debt!AQ102+Funding!AQ40+Operations!AQ42+Waterfall!AQ59+Reserves!AQ27</f>
        <v>2116.37085858397</v>
      </c>
      <c r="AR12" s="19" t="n">
        <f aca="false">Debt!AR47+Debt!AR54+Debt!AR60+Debt!AR61+Debt!AR94+Debt!AR102+Funding!AR40+Operations!AR42+Waterfall!AR59+Reserves!AR27</f>
        <v>2129.28746342365</v>
      </c>
      <c r="AS12" s="19" t="n">
        <f aca="false">Debt!AS47+Debt!AS54+Debt!AS60+Debt!AS61+Debt!AS94+Debt!AS102+Funding!AS40+Operations!AS42+Waterfall!AS59+Reserves!AS27</f>
        <v>2140.13042479038</v>
      </c>
      <c r="AT12" s="19" t="n">
        <f aca="false">Debt!AT47+Debt!AT54+Debt!AT60+Debt!AT61+Debt!AT94+Debt!AT102+Funding!AT40+Operations!AT42+Waterfall!AT59+Reserves!AT27</f>
        <v>2150.13030683022</v>
      </c>
      <c r="AU12" s="19" t="n">
        <f aca="false">Debt!AU47+Debt!AU54+Debt!AU60+Debt!AU61+Debt!AU94+Debt!AU102+Funding!AU40+Operations!AU42+Waterfall!AU59+Reserves!AU27</f>
        <v>2157.61101035262</v>
      </c>
      <c r="AV12" s="19" t="n">
        <f aca="false">Debt!AV47+Debt!AV54+Debt!AV60+Debt!AV61+Debt!AV94+Debt!AV102+Funding!AV40+Operations!AV42+Waterfall!AV59+Reserves!AV27</f>
        <v>2165.81949354958</v>
      </c>
      <c r="AW12" s="19" t="n">
        <f aca="false">Debt!AW47+Debt!AW54+Debt!AW60+Debt!AW61+Debt!AW94+Debt!AW102+Funding!AW40+Operations!AW42+Waterfall!AW59+Reserves!AW27</f>
        <v>2168.12549878806</v>
      </c>
      <c r="AX12" s="19" t="n">
        <f aca="false">Debt!AX47+Debt!AX54+Debt!AX60+Debt!AX61+Debt!AX94+Debt!AX102+Funding!AX40+Operations!AX42+Waterfall!AX59+Reserves!AX27</f>
        <v>2169.22591358746</v>
      </c>
      <c r="AY12" s="19" t="n">
        <f aca="false">Debt!AY47+Debt!AY54+Debt!AY60+Debt!AY61+Debt!AY94+Debt!AY102+Funding!AY40+Operations!AY42+Waterfall!AY59+Reserves!AY27</f>
        <v>2172.29186694063</v>
      </c>
      <c r="AZ12" s="19" t="n">
        <f aca="false">Debt!AZ47+Debt!AZ54+Debt!AZ60+Debt!AZ61+Debt!AZ94+Debt!AZ102+Funding!AZ40+Operations!AZ42+Waterfall!AZ59+Reserves!AZ27</f>
        <v>2175.24021819486</v>
      </c>
      <c r="BA12" s="19" t="n">
        <f aca="false">Debt!BA47+Debt!BA54+Debt!BA60+Debt!BA61+Debt!BA94+Debt!BA102+Funding!BA40+Operations!BA42+Waterfall!BA59+Reserves!BA27</f>
        <v>2174.80175748139</v>
      </c>
      <c r="BB12" s="19" t="n">
        <f aca="false">Debt!BB47+Debt!BB54+Debt!BB60+Debt!BB61+Debt!BB94+Debt!BB102+Funding!BB40+Operations!BB42+Waterfall!BB59+Reserves!BB27</f>
        <v>2177.73799339929</v>
      </c>
      <c r="BC12" s="19" t="n">
        <f aca="false">Debt!BC47+Debt!BC54+Debt!BC60+Debt!BC61+Debt!BC94+Debt!BC102+Funding!BC40+Operations!BC42+Waterfall!BC59+Reserves!BC27</f>
        <v>2165.41233920152</v>
      </c>
      <c r="BD12" s="19" t="n">
        <f aca="false">Debt!BD47+Debt!BD54+Debt!BD60+Debt!BD61+Debt!BD94+Debt!BD102+Funding!BD40+Operations!BD42+Waterfall!BD59+Reserves!BD27</f>
        <v>2154.44596819906</v>
      </c>
      <c r="BE12" s="19" t="n">
        <f aca="false">Debt!BE47+Debt!BE54+Debt!BE60+Debt!BE61+Debt!BE94+Debt!BE102+Funding!BE40+Operations!BE42+Waterfall!BE59+Reserves!BE27</f>
        <v>2133.45861137237</v>
      </c>
      <c r="BF12" s="19" t="n">
        <f aca="false">Debt!BF47+Debt!BF54+Debt!BF60+Debt!BF61+Debt!BF94+Debt!BF102+Funding!BF40+Operations!BF42+Waterfall!BF59+Reserves!BF27</f>
        <v>2112.09948809557</v>
      </c>
      <c r="BG12" s="19" t="n">
        <f aca="false">Debt!BG47+Debt!BG54+Debt!BG60+Debt!BG61+Debt!BG94+Debt!BG102+Funding!BG40+Operations!BG42+Waterfall!BG59+Reserves!BG27</f>
        <v>2085.72009366834</v>
      </c>
      <c r="BH12" s="19" t="n">
        <f aca="false">Debt!BH47+Debt!BH54+Debt!BH60+Debt!BH61+Debt!BH94+Debt!BH102+Funding!BH40+Operations!BH42+Waterfall!BH59+Reserves!BH27</f>
        <v>2058.23691331939</v>
      </c>
      <c r="BI12" s="19" t="n">
        <f aca="false">Debt!BI47+Debt!BI54+Debt!BI60+Debt!BI61+Debt!BI94+Debt!BI102+Funding!BI40+Operations!BI42+Waterfall!BI59+Reserves!BI27</f>
        <v>2025.39813457007</v>
      </c>
      <c r="BJ12" s="19" t="n">
        <f aca="false">Debt!BJ47+Debt!BJ54+Debt!BJ60+Debt!BJ61+Debt!BJ94+Debt!BJ102+Funding!BJ40+Operations!BJ42+Waterfall!BJ59+Reserves!BJ27</f>
        <v>1991.91625027112</v>
      </c>
      <c r="BK12" s="19" t="n">
        <f aca="false">Debt!BK47+Debt!BK54+Debt!BK60+Debt!BK61+Debt!BK94+Debt!BK102+Funding!BK40+Operations!BK42+Waterfall!BK59+Reserves!BK27</f>
        <v>1952.13128347518</v>
      </c>
      <c r="BL12" s="19" t="n">
        <f aca="false">Debt!BL47+Debt!BL54+Debt!BL60+Debt!BL61+Debt!BL94+Debt!BL102+Funding!BL40+Operations!BL42+Waterfall!BL59+Reserves!BL27</f>
        <v>1911.52318086751</v>
      </c>
      <c r="BM12" s="19" t="n">
        <f aca="false">Debt!BM47+Debt!BM54+Debt!BM60+Debt!BM61+Debt!BM94+Debt!BM102+Funding!BM40+Operations!BM42+Waterfall!BM59+Reserves!BM27</f>
        <v>1864.07308243018</v>
      </c>
      <c r="BN12" s="19" t="n">
        <f aca="false">Debt!BN47+Debt!BN54+Debt!BN60+Debt!BN61+Debt!BN94+Debt!BN102+Funding!BN40+Operations!BN42+Waterfall!BN59+Reserves!BN27</f>
        <v>1808.63424765962</v>
      </c>
      <c r="BO12" s="19" t="n">
        <f aca="false">Debt!BO47+Debt!BO54+Debt!BO60+Debt!BO61+Debt!BO94+Debt!BO102+Funding!BO40+Operations!BO42+Waterfall!BO59+Reserves!BO27</f>
        <v>1771.18118478156</v>
      </c>
      <c r="BP12" s="19" t="n">
        <f aca="false">Debt!BP47+Debt!BP54+Debt!BP60+Debt!BP61+Debt!BP94+Debt!BP102+Funding!BP40+Operations!BP42+Waterfall!BP59+Reserves!BP27</f>
        <v>1732.33275772794</v>
      </c>
      <c r="BQ12" s="19" t="n">
        <f aca="false">Debt!BQ47+Debt!BQ54+Debt!BQ60+Debt!BQ61+Debt!BQ94+Debt!BQ102+Funding!BQ40+Operations!BQ42+Waterfall!BQ59+Reserves!BQ27</f>
        <v>1686.11401302585</v>
      </c>
      <c r="BR12" s="19" t="n">
        <f aca="false">Debt!BR47+Debt!BR54+Debt!BR60+Debt!BR61+Debt!BR94+Debt!BR102+Funding!BR40+Operations!BR42+Waterfall!BR59+Reserves!BR27</f>
        <v>1640.8113306954</v>
      </c>
      <c r="BS12" s="19" t="n">
        <f aca="false">Debt!BS47+Debt!BS54+Debt!BS60+Debt!BS61+Debt!BS94+Debt!BS102+Funding!BS40+Operations!BS42+Waterfall!BS59+Reserves!BS27</f>
        <v>1587.12066720362</v>
      </c>
      <c r="BT12" s="19" t="n">
        <f aca="false">Debt!BT47+Debt!BT54+Debt!BT60+Debt!BT61+Debt!BT94+Debt!BT102+Funding!BT40+Operations!BT42+Waterfall!BT59+Reserves!BT27</f>
        <v>1541.20777330679</v>
      </c>
      <c r="BU12" s="19" t="n">
        <f aca="false">Debt!BU47+Debt!BU54+Debt!BU60+Debt!BU61+Debt!BU94+Debt!BU102+Funding!BU40+Operations!BU42+Waterfall!BU59+Reserves!BU27</f>
        <v>1461.0745493208</v>
      </c>
      <c r="BV12" s="19" t="n">
        <f aca="false">Debt!BV47+Debt!BV54+Debt!BV60+Debt!BV61+Debt!BV94+Debt!BV102+Funding!BV40+Operations!BV42+Waterfall!BV59+Reserves!BV27</f>
        <v>1380.932364064</v>
      </c>
      <c r="BW12" s="19" t="n">
        <f aca="false">Debt!BW47+Debt!BW54+Debt!BW60+Debt!BW61+Debt!BW94+Debt!BW102+Funding!BW40+Operations!BW42+Waterfall!BW59+Reserves!BW27</f>
        <v>1290.72708009277</v>
      </c>
      <c r="BX12" s="19" t="n">
        <f aca="false">Debt!BX47+Debt!BX54+Debt!BX60+Debt!BX61+Debt!BX94+Debt!BX102+Funding!BX40+Operations!BX42+Waterfall!BX59+Reserves!BX27</f>
        <v>1199.22415944098</v>
      </c>
      <c r="BY12" s="19" t="n">
        <f aca="false">Debt!BY47+Debt!BY54+Debt!BY60+Debt!BY61+Debt!BY94+Debt!BY102+Funding!BY40+Operations!BY42+Waterfall!BY59+Reserves!BY27</f>
        <v>1097.38908765441</v>
      </c>
      <c r="BZ12" s="19" t="n">
        <f aca="false">Debt!BZ47+Debt!BZ54+Debt!BZ60+Debt!BZ61+Debt!BZ94+Debt!BZ102+Funding!BZ40+Operations!BZ42+Waterfall!BZ59+Reserves!BZ27</f>
        <v>990.608368952376</v>
      </c>
      <c r="CA12" s="19" t="n">
        <f aca="false">Debt!CA47+Debt!CA54+Debt!CA60+Debt!CA61+Debt!CA94+Debt!CA102+Funding!CA40+Operations!CA42+Waterfall!CA59+Reserves!CA27</f>
        <v>888.143021104038</v>
      </c>
      <c r="CB12" s="19" t="n">
        <f aca="false">Debt!CB47+Debt!CB54+Debt!CB60+Debt!CB61+Debt!CB94+Debt!CB102+Funding!CB40+Operations!CB42+Waterfall!CB59+Reserves!CB27</f>
        <v>785.412386344289</v>
      </c>
      <c r="CC12" s="19" t="n">
        <f aca="false">Debt!CC47+Debt!CC54+Debt!CC60+Debt!CC61+Debt!CC94+Debt!CC102+Funding!CC40+Operations!CC42+Waterfall!CC59+Reserves!CC27</f>
        <v>670.244052257582</v>
      </c>
      <c r="CD12" s="19" t="n">
        <f aca="false">Debt!CD47+Debt!CD54+Debt!CD60+Debt!CD61+Debt!CD94+Debt!CD102+Funding!CD40+Operations!CD42+Waterfall!CD59+Reserves!CD27</f>
        <v>552.364136462248</v>
      </c>
      <c r="CE12" s="19" t="n">
        <f aca="false">Debt!CE47+Debt!CE54+Debt!CE60+Debt!CE61+Debt!CE94+Debt!CE102+Funding!CE40+Operations!CE42+Waterfall!CE59+Reserves!CE27</f>
        <v>423.092029584514</v>
      </c>
      <c r="CF12" s="19" t="n">
        <f aca="false">Debt!CF47+Debt!CF54+Debt!CF60+Debt!CF61+Debt!CF94+Debt!CF102+Funding!CF40+Operations!CF42+Waterfall!CF59+Reserves!CF27</f>
        <v>315.009445469183</v>
      </c>
      <c r="CG12" s="19" t="n">
        <f aca="false">Debt!CG47+Debt!CG54+Debt!CG60+Debt!CG61+Debt!CG94+Debt!CG102+Funding!CG40+Operations!CG42+Waterfall!CG59+Reserves!CG27</f>
        <v>223.472801643202</v>
      </c>
      <c r="CH12" s="19" t="n">
        <f aca="false">Debt!CH47+Debt!CH54+Debt!CH60+Debt!CH61+Debt!CH94+Debt!CH102+Funding!CH40+Operations!CH42+Waterfall!CH59+Reserves!CH27</f>
        <v>200.947078284376</v>
      </c>
      <c r="CI12" s="19" t="n">
        <f aca="false">Debt!CI47+Debt!CI54+Debt!CI60+Debt!CI61+Debt!CI94+Debt!CI102+Funding!CI40+Operations!CI42+Waterfall!CI59+Reserves!CI27</f>
        <v>176.865473048152</v>
      </c>
      <c r="CJ12" s="19" t="n">
        <f aca="false">Debt!CJ47+Debt!CJ54+Debt!CJ60+Debt!CJ61+Debt!CJ94+Debt!CJ102+Funding!CJ40+Operations!CJ42+Waterfall!CJ59+Reserves!CJ27</f>
        <v>152.732943302663</v>
      </c>
      <c r="CK12" s="19" t="n">
        <f aca="false">Debt!CK47+Debt!CK54+Debt!CK60+Debt!CK61+Debt!CK94+Debt!CK102+Funding!CK40+Operations!CK42+Waterfall!CK59+Reserves!CK27</f>
        <v>122.973935011993</v>
      </c>
      <c r="CL12" s="19" t="n">
        <f aca="false">Debt!CL47+Debt!CL54+Debt!CL60+Debt!CL61+Debt!CL94+Debt!CL102+Funding!CL40+Operations!CL42+Waterfall!CL59+Reserves!CL27</f>
        <v>95.6732882902511</v>
      </c>
      <c r="CM12" s="19" t="n">
        <f aca="false">Debt!CM47+Debt!CM54+Debt!CM60+Debt!CM61+Debt!CM94+Debt!CM102+Funding!CM40+Operations!CM42+Waterfall!CM59+Reserves!CM27</f>
        <v>66.6340008717399</v>
      </c>
      <c r="CN12" s="19" t="n">
        <f aca="false">Debt!CN47+Debt!CN54+Debt!CN60+Debt!CN61+Debt!CN94+Debt!CN102+Funding!CN40+Operations!CN42+Waterfall!CN59+Reserves!CN27</f>
        <v>37.3404764032479</v>
      </c>
      <c r="CO12" s="19" t="n">
        <f aca="false">Debt!CO47+Debt!CO54+Debt!CO60+Debt!CO61+Debt!CO94+Debt!CO102+Funding!CO40+Operations!CO42+Waterfall!CO59+Reserves!CO27</f>
        <v>6.39899355055511</v>
      </c>
      <c r="CP12" s="19" t="n">
        <f aca="false">Debt!CP47+Debt!CP54+Debt!CP60+Debt!CP61+Debt!CP94+Debt!CP102+Funding!CP40+Operations!CP42+Waterfall!CP59+Reserves!CP27</f>
        <v>5.68071811812843E-010</v>
      </c>
      <c r="CQ12" s="19" t="n">
        <f aca="false">Debt!CQ47+Debt!CQ54+Debt!CQ60+Debt!CQ61+Debt!CQ94+Debt!CQ102+Funding!CQ40+Operations!CQ42+Waterfall!CQ59+Reserves!CQ27</f>
        <v>5.76795453553879E-010</v>
      </c>
      <c r="CR12" s="19" t="n">
        <f aca="false">Debt!CR47+Debt!CR54+Debt!CR60+Debt!CR61+Debt!CR94+Debt!CR102+Funding!CR40+Operations!CR42+Waterfall!CR59+Reserves!CR27</f>
        <v>5.85576067949334E-010</v>
      </c>
      <c r="CS12" s="19" t="n">
        <f aca="false">Debt!CS47+Debt!CS54+Debt!CS60+Debt!CS61+Debt!CS94+Debt!CS102+Funding!CS40+Operations!CS42+Waterfall!CS59+Reserves!CS27</f>
        <v>5.94636087153268E-010</v>
      </c>
      <c r="CT12" s="19" t="n">
        <f aca="false">Debt!CT47+Debt!CT54+Debt!CT60+Debt!CT61+Debt!CT94+Debt!CT102+Funding!CT40+Operations!CT42+Waterfall!CT59+Reserves!CT27</f>
        <v>6.03685382984583E-010</v>
      </c>
      <c r="CU12" s="19" t="n">
        <f aca="false">Debt!CU47+Debt!CU54+Debt!CU60+Debt!CU61+Debt!CU94+Debt!CU102+Funding!CU40+Operations!CU42+Waterfall!CU59+Reserves!CU27</f>
        <v>6.13022681521423E-010</v>
      </c>
      <c r="CV12" s="19" t="n">
        <f aca="false">Debt!CV47+Debt!CV54+Debt!CV60+Debt!CV61+Debt!CV94+Debt!CV102+Funding!CV40+Operations!CV42+Waterfall!CV59+Reserves!CV27</f>
        <v>6.22400287337968E-010</v>
      </c>
      <c r="CW12" s="19" t="n">
        <f aca="false">Debt!CW47+Debt!CW54+Debt!CW60+Debt!CW61+Debt!CW94+Debt!CW102+Funding!CW40+Operations!CW42+Waterfall!CW59+Reserves!CW27</f>
        <v>6.3202420399566E-010</v>
      </c>
      <c r="CX12" s="19" t="n">
        <f aca="false">Debt!CX47+Debt!CX54+Debt!CX60+Debt!CX61+Debt!CX94+Debt!CX102+Funding!CX40+Operations!CX42+Waterfall!CX59+Reserves!CX27</f>
        <v>6.41636760019515E-010</v>
      </c>
      <c r="CY12" s="19" t="n">
        <f aca="false">Debt!CY47+Debt!CY54+Debt!CY60+Debt!CY61+Debt!CY94+Debt!CY102+Funding!CY40+Operations!CY42+Waterfall!CY59+Reserves!CY27</f>
        <v>6.51555343266037E-010</v>
      </c>
      <c r="CZ12" s="19" t="n">
        <f aca="false">Debt!CZ47+Debt!CZ54+Debt!CZ60+Debt!CZ61+Debt!CZ94+Debt!CZ102+Funding!CZ40+Operations!CZ42+Waterfall!CZ59+Reserves!CZ27</f>
        <v>6.61462232875641E-010</v>
      </c>
      <c r="DA12" s="19" t="n">
        <f aca="false">Debt!DA47+Debt!DA54+Debt!DA60+Debt!DA61+Debt!DA94+Debt!DA102+Funding!DA40+Operations!DA42+Waterfall!DA59+Reserves!DA27</f>
        <v>6.71684568482451E-010</v>
      </c>
      <c r="DB12" s="19" t="n">
        <f aca="false">Debt!DB47+Debt!DB54+Debt!DB60+Debt!DB61+Debt!DB94+Debt!DB102+Funding!DB40+Operations!DB42+Waterfall!DB59+Reserves!DB27</f>
        <v>6.81894867181422E-010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-29.1926798128687</v>
      </c>
      <c r="AA15" s="19" t="n">
        <f aca="false">Z15+AA9-Waterfall!AA57</f>
        <v>-87.7265808639037</v>
      </c>
      <c r="AB15" s="19" t="n">
        <f aca="false">AA15+AB9-Waterfall!AB57</f>
        <v>-140.640385988639</v>
      </c>
      <c r="AC15" s="19" t="n">
        <f aca="false">AB15+AC9-Waterfall!AC57</f>
        <v>-194.5628993649</v>
      </c>
      <c r="AD15" s="19" t="n">
        <f aca="false">AC15+AD9-Waterfall!AD57</f>
        <v>-243.714166242185</v>
      </c>
      <c r="AE15" s="19" t="n">
        <f aca="false">AD15+AE9-Waterfall!AE57</f>
        <v>-291.837917870647</v>
      </c>
      <c r="AF15" s="19" t="n">
        <f aca="false">AE15+AF9-Waterfall!AF57</f>
        <v>-341.132997450407</v>
      </c>
      <c r="AG15" s="19" t="n">
        <f aca="false">AF15+AG9-Waterfall!AG57</f>
        <v>-384.699070393774</v>
      </c>
      <c r="AH15" s="19" t="n">
        <f aca="false">AG15+AH9-Waterfall!AH57</f>
        <v>-425.84683557995</v>
      </c>
      <c r="AI15" s="19" t="n">
        <f aca="false">AH15+AI9-Waterfall!AI57</f>
        <v>-466.196494638929</v>
      </c>
      <c r="AJ15" s="19" t="n">
        <f aca="false">AI15+AJ9-Waterfall!AJ57</f>
        <v>-505.351074172452</v>
      </c>
      <c r="AK15" s="19" t="n">
        <f aca="false">AJ15+AK9-Waterfall!AK57</f>
        <v>-543.644202031963</v>
      </c>
      <c r="AL15" s="19" t="n">
        <f aca="false">AK15+AL9-Waterfall!AL57</f>
        <v>-580.728129227065</v>
      </c>
      <c r="AM15" s="19" t="n">
        <f aca="false">AL15+AM9-Waterfall!AM57</f>
        <v>-616.969251070936</v>
      </c>
      <c r="AN15" s="19" t="n">
        <f aca="false">AM15+AN9-Waterfall!AN57</f>
        <v>-651.829310383311</v>
      </c>
      <c r="AO15" s="19" t="n">
        <f aca="false">AN15+AO9-Waterfall!AO57</f>
        <v>-704.89247434865</v>
      </c>
      <c r="AP15" s="19" t="n">
        <f aca="false">AO15+AP9-Waterfall!AP57</f>
        <v>-736.931716689868</v>
      </c>
      <c r="AQ15" s="19" t="n">
        <f aca="false">AP15+AQ9-Waterfall!AQ57</f>
        <v>-767.407925942342</v>
      </c>
      <c r="AR15" s="19" t="n">
        <f aca="false">AQ15+AR9-Waterfall!AR57</f>
        <v>-796.541938350906</v>
      </c>
      <c r="AS15" s="19" t="n">
        <f aca="false">AR15+AS9-Waterfall!AS57</f>
        <v>-824.197583087967</v>
      </c>
      <c r="AT15" s="19" t="n">
        <f aca="false">AS15+AT9-Waterfall!AT57</f>
        <v>-850.194625285392</v>
      </c>
      <c r="AU15" s="19" t="n">
        <f aca="false">AT15+AU9-Waterfall!AU57</f>
        <v>-874.468171901508</v>
      </c>
      <c r="AV15" s="19" t="n">
        <f aca="false">AU15+AV9-Waterfall!AV57</f>
        <v>-896.852420002176</v>
      </c>
      <c r="AW15" s="19" t="n">
        <f aca="false">AV15+AW9-Waterfall!AW57</f>
        <v>-979.384707104468</v>
      </c>
      <c r="AX15" s="19" t="n">
        <f aca="false">AW15+AX9-Waterfall!AX57</f>
        <v>-998.879487902886</v>
      </c>
      <c r="AY15" s="19" t="n">
        <f aca="false">AX15+AY9-Waterfall!AY57</f>
        <v>-1016.37828444213</v>
      </c>
      <c r="AZ15" s="19" t="n">
        <f aca="false">AY15+AZ9-Waterfall!AZ57</f>
        <v>-1032.58391025264</v>
      </c>
      <c r="BA15" s="19" t="n">
        <f aca="false">AZ15+BA9-Waterfall!BA57</f>
        <v>-1046.73073787494</v>
      </c>
      <c r="BB15" s="19" t="n">
        <f aca="false">BA15+BB9-Waterfall!BB57</f>
        <v>-1059.42225651398</v>
      </c>
      <c r="BC15" s="19" t="n">
        <f aca="false">BB15+BC9-Waterfall!BC57</f>
        <v>-1119.71097875632</v>
      </c>
      <c r="BD15" s="19" t="n">
        <f aca="false">BC15+BD9-Waterfall!BD57</f>
        <v>-1128.35536394461</v>
      </c>
      <c r="BE15" s="19" t="n">
        <f aca="false">BD15+BE9-Waterfall!BE57</f>
        <v>-1157.62932548389</v>
      </c>
      <c r="BF15" s="19" t="n">
        <f aca="false">BE15+BF9-Waterfall!BF57</f>
        <v>-1161.19962599605</v>
      </c>
      <c r="BG15" s="19" t="n">
        <f aca="false">BF15+BG9-Waterfall!BG57</f>
        <v>-1161.36955970237</v>
      </c>
      <c r="BH15" s="19" t="n">
        <f aca="false">BG15+BH9-Waterfall!BH57</f>
        <v>-1159.07613242394</v>
      </c>
      <c r="BI15" s="19" t="n">
        <f aca="false">BH15+BI9-Waterfall!BI57</f>
        <v>-1152.96761984342</v>
      </c>
      <c r="BJ15" s="19" t="n">
        <f aca="false">BI15+BJ9-Waterfall!BJ57</f>
        <v>-1144.24016132744</v>
      </c>
      <c r="BK15" s="19" t="n">
        <f aca="false">BJ15+BK9-Waterfall!BK57</f>
        <v>-1131.16692071773</v>
      </c>
      <c r="BL15" s="19" t="n">
        <f aca="false">BK15+BL9-Waterfall!BL57</f>
        <v>-1115.23555465052</v>
      </c>
      <c r="BM15" s="19" t="n">
        <f aca="false">BL15+BM9-Waterfall!BM57</f>
        <v>-1094.48266101199</v>
      </c>
      <c r="BN15" s="19" t="n">
        <f aca="false">BM15+BN9-Waterfall!BN57</f>
        <v>-1070.6101943544</v>
      </c>
      <c r="BO15" s="19" t="n">
        <f aca="false">BN15+BO9-Waterfall!BO57</f>
        <v>-1040.99237808329</v>
      </c>
      <c r="BP15" s="19" t="n">
        <f aca="false">BO15+BP9-Waterfall!BP57</f>
        <v>-1008.41186036449</v>
      </c>
      <c r="BQ15" s="19" t="n">
        <f aca="false">BP15+BQ9-Waterfall!BQ57</f>
        <v>-970.729199997457</v>
      </c>
      <c r="BR15" s="19" t="n">
        <f aca="false">BQ15+BR9-Waterfall!BR57</f>
        <v>-931.374458201329</v>
      </c>
      <c r="BS15" s="19" t="n">
        <f aca="false">BR15+BS9-Waterfall!BS57</f>
        <v>-886.220493203299</v>
      </c>
      <c r="BT15" s="19" t="n">
        <f aca="false">BS15+BT9-Waterfall!BT57</f>
        <v>-839.19355780451</v>
      </c>
      <c r="BU15" s="19" t="n">
        <f aca="false">BT15+BU9-Waterfall!BU57</f>
        <v>-897.808339550976</v>
      </c>
      <c r="BV15" s="19" t="n">
        <f aca="false">BU15+BV9-Waterfall!BV57</f>
        <v>-842.060481763807</v>
      </c>
      <c r="BW15" s="19" t="n">
        <f aca="false">BV15+BW9-Waterfall!BW57</f>
        <v>-778.717176738877</v>
      </c>
      <c r="BX15" s="19" t="n">
        <f aca="false">BW15+BX9-Waterfall!BX57</f>
        <v>-711.953566947215</v>
      </c>
      <c r="BY15" s="19" t="n">
        <f aca="false">BX15+BY9-Waterfall!BY57</f>
        <v>-637.260128849231</v>
      </c>
      <c r="BZ15" s="19" t="n">
        <f aca="false">BY15+BZ9-Waterfall!BZ57</f>
        <v>-559.220613329624</v>
      </c>
      <c r="CA15" s="19" t="n">
        <f aca="false">BZ15+CA9-Waterfall!CA57</f>
        <v>-471.889051182329</v>
      </c>
      <c r="CB15" s="19" t="n">
        <f aca="false">CA15+CB9-Waterfall!CB57</f>
        <v>-381.295505879134</v>
      </c>
      <c r="CC15" s="19" t="n">
        <f aca="false">CB15+CC9-Waterfall!CC57</f>
        <v>-281.262960650834</v>
      </c>
      <c r="CD15" s="19" t="n">
        <f aca="false">CC15+CD9-Waterfall!CD57</f>
        <v>-177.616874467226</v>
      </c>
      <c r="CE15" s="19" t="n">
        <f aca="false">CD15+CE9-Waterfall!CE57</f>
        <v>-63.5694287341845</v>
      </c>
      <c r="CF15" s="19" t="n">
        <f aca="false">CE15+CF9-Waterfall!CF57</f>
        <v>38.6621843612497</v>
      </c>
      <c r="CG15" s="19" t="n">
        <f aca="false">CF15+CG9-Waterfall!CG57</f>
        <v>-1.70523325138819</v>
      </c>
      <c r="CH15" s="19" t="n">
        <f aca="false">CG15+CH9-Waterfall!CH57</f>
        <v>9.99201764338861</v>
      </c>
      <c r="CI15" s="19" t="n">
        <f aca="false">CH15+CI9-Waterfall!CI57</f>
        <v>23.032106504038</v>
      </c>
      <c r="CJ15" s="19" t="n">
        <f aca="false">CI15+CJ9-Waterfall!CJ57</f>
        <v>36.588032224325</v>
      </c>
      <c r="CK15" s="19" t="n">
        <f aca="false">CJ15+CK9-Waterfall!CK57</f>
        <v>14.863476866013</v>
      </c>
      <c r="CL15" s="19" t="n">
        <f aca="false">CK15+CL9-Waterfall!CL57</f>
        <v>26.0313711056382</v>
      </c>
      <c r="CM15" s="19" t="n">
        <f aca="false">CL15+CM9-Waterfall!CM57</f>
        <v>38.7420628621116</v>
      </c>
      <c r="CN15" s="19" t="n">
        <f aca="false">CM15+CN9-Waterfall!CN57</f>
        <v>52.020302424839</v>
      </c>
      <c r="CO15" s="19" t="n">
        <f aca="false">CN15+CO9-Waterfall!CO57</f>
        <v>66.9045357989723</v>
      </c>
      <c r="CP15" s="19" t="n">
        <f aca="false">CO15+CP9-Waterfall!CP57</f>
        <v>-56.9573436021894</v>
      </c>
      <c r="CQ15" s="19" t="n">
        <f aca="false">CP15+CQ9-Waterfall!CQ57</f>
        <v>-56.9573436021981</v>
      </c>
      <c r="CR15" s="19" t="n">
        <f aca="false">CQ15+CR9-Waterfall!CR57</f>
        <v>-56.9573436022069</v>
      </c>
      <c r="CS15" s="19" t="n">
        <f aca="false">CR15+CS9-Waterfall!CS57</f>
        <v>-56.957343602216</v>
      </c>
      <c r="CT15" s="19" t="n">
        <f aca="false">CS15+CT9-Waterfall!CT57</f>
        <v>-56.957343602225</v>
      </c>
      <c r="CU15" s="19" t="n">
        <f aca="false">CT15+CU9-Waterfall!CU57</f>
        <v>-56.9573436022344</v>
      </c>
      <c r="CV15" s="19" t="n">
        <f aca="false">CU15+CV9-Waterfall!CV57</f>
        <v>-56.9573436022438</v>
      </c>
      <c r="CW15" s="19" t="n">
        <f aca="false">CV15+CW9-Waterfall!CW57</f>
        <v>-56.9573436022534</v>
      </c>
      <c r="CX15" s="19" t="n">
        <f aca="false">CW15+CX9-Waterfall!CX57</f>
        <v>-56.957343602263</v>
      </c>
      <c r="CY15" s="19" t="n">
        <f aca="false">CX15+CY9-Waterfall!CY57</f>
        <v>-56.9573436022729</v>
      </c>
      <c r="CZ15" s="19" t="n">
        <f aca="false">CY15+CZ9-Waterfall!CZ57</f>
        <v>-56.9573436022828</v>
      </c>
      <c r="DA15" s="19" t="n">
        <f aca="false">CZ15+DA9-Waterfall!DA57</f>
        <v>-56.957343602293</v>
      </c>
      <c r="DB15" s="19" t="n">
        <f aca="false">DA15+DB9-Waterfall!DB57</f>
        <v>-56.9573436023033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27.7646637887527</v>
      </c>
      <c r="AA16" s="19" t="n">
        <f aca="false">AA13+AA14+AA15</f>
        <v>-30.7692372622823</v>
      </c>
      <c r="AB16" s="19" t="n">
        <f aca="false">AB13+AB14+AB15</f>
        <v>-83.6830423870179</v>
      </c>
      <c r="AC16" s="19" t="n">
        <f aca="false">AC13+AC14+AC15</f>
        <v>-137.605555763279</v>
      </c>
      <c r="AD16" s="19" t="n">
        <f aca="false">AD13+AD14+AD15</f>
        <v>-186.756822640563</v>
      </c>
      <c r="AE16" s="19" t="n">
        <f aca="false">AE13+AE14+AE15</f>
        <v>-234.880574269025</v>
      </c>
      <c r="AF16" s="19" t="n">
        <f aca="false">AF13+AF14+AF15</f>
        <v>-284.175653848785</v>
      </c>
      <c r="AG16" s="19" t="n">
        <f aca="false">AG13+AG14+AG15</f>
        <v>-327.741726792153</v>
      </c>
      <c r="AH16" s="19" t="n">
        <f aca="false">AH13+AH14+AH15</f>
        <v>-368.889491978329</v>
      </c>
      <c r="AI16" s="19" t="n">
        <f aca="false">AI13+AI14+AI15</f>
        <v>-409.239151037308</v>
      </c>
      <c r="AJ16" s="19" t="n">
        <f aca="false">AJ13+AJ14+AJ15</f>
        <v>-448.393730570831</v>
      </c>
      <c r="AK16" s="19" t="n">
        <f aca="false">AK13+AK14+AK15</f>
        <v>-486.686858430342</v>
      </c>
      <c r="AL16" s="19" t="n">
        <f aca="false">AL13+AL14+AL15</f>
        <v>-523.770785625444</v>
      </c>
      <c r="AM16" s="19" t="n">
        <f aca="false">AM13+AM14+AM15</f>
        <v>-560.011907469315</v>
      </c>
      <c r="AN16" s="19" t="n">
        <f aca="false">AN13+AN14+AN15</f>
        <v>-594.871966781689</v>
      </c>
      <c r="AO16" s="19" t="n">
        <f aca="false">AO13+AO14+AO15</f>
        <v>-647.935130747028</v>
      </c>
      <c r="AP16" s="19" t="n">
        <f aca="false">AP13+AP14+AP15</f>
        <v>-679.974373088246</v>
      </c>
      <c r="AQ16" s="19" t="n">
        <f aca="false">AQ13+AQ14+AQ15</f>
        <v>-710.450582340721</v>
      </c>
      <c r="AR16" s="19" t="n">
        <f aca="false">AR13+AR14+AR15</f>
        <v>-739.584594749285</v>
      </c>
      <c r="AS16" s="19" t="n">
        <f aca="false">AS13+AS14+AS15</f>
        <v>-767.240239486346</v>
      </c>
      <c r="AT16" s="19" t="n">
        <f aca="false">AT13+AT14+AT15</f>
        <v>-793.237281683771</v>
      </c>
      <c r="AU16" s="19" t="n">
        <f aca="false">AU13+AU14+AU15</f>
        <v>-817.510828299887</v>
      </c>
      <c r="AV16" s="19" t="n">
        <f aca="false">AV13+AV14+AV15</f>
        <v>-839.895076400554</v>
      </c>
      <c r="AW16" s="19" t="n">
        <f aca="false">AW13+AW14+AW15</f>
        <v>-922.427363502846</v>
      </c>
      <c r="AX16" s="19" t="n">
        <f aca="false">AX13+AX14+AX15</f>
        <v>-941.922144301265</v>
      </c>
      <c r="AY16" s="19" t="n">
        <f aca="false">AY13+AY14+AY15</f>
        <v>-959.420940840513</v>
      </c>
      <c r="AZ16" s="19" t="n">
        <f aca="false">AZ13+AZ14+AZ15</f>
        <v>-975.626566651018</v>
      </c>
      <c r="BA16" s="19" t="n">
        <f aca="false">BA13+BA14+BA15</f>
        <v>-989.773394273316</v>
      </c>
      <c r="BB16" s="19" t="n">
        <f aca="false">BB13+BB14+BB15</f>
        <v>-1002.46491291236</v>
      </c>
      <c r="BC16" s="19" t="n">
        <f aca="false">BC13+BC14+BC15</f>
        <v>-1062.7536351547</v>
      </c>
      <c r="BD16" s="19" t="n">
        <f aca="false">BD13+BD14+BD15</f>
        <v>-1071.39802034299</v>
      </c>
      <c r="BE16" s="19" t="n">
        <f aca="false">BE13+BE14+BE15</f>
        <v>-1100.67198188227</v>
      </c>
      <c r="BF16" s="19" t="n">
        <f aca="false">BF13+BF14+BF15</f>
        <v>-1104.24228239443</v>
      </c>
      <c r="BG16" s="19" t="n">
        <f aca="false">BG13+BG14+BG15</f>
        <v>-1104.41221610074</v>
      </c>
      <c r="BH16" s="19" t="n">
        <f aca="false">BH13+BH14+BH15</f>
        <v>-1102.11878882231</v>
      </c>
      <c r="BI16" s="19" t="n">
        <f aca="false">BI13+BI14+BI15</f>
        <v>-1096.0102762418</v>
      </c>
      <c r="BJ16" s="19" t="n">
        <f aca="false">BJ13+BJ14+BJ15</f>
        <v>-1087.28281772582</v>
      </c>
      <c r="BK16" s="19" t="n">
        <f aca="false">BK13+BK14+BK15</f>
        <v>-1074.20957711611</v>
      </c>
      <c r="BL16" s="19" t="n">
        <f aca="false">BL13+BL14+BL15</f>
        <v>-1058.2782110489</v>
      </c>
      <c r="BM16" s="19" t="n">
        <f aca="false">BM13+BM14+BM15</f>
        <v>-1037.52531741037</v>
      </c>
      <c r="BN16" s="19" t="n">
        <f aca="false">BN13+BN14+BN15</f>
        <v>-1013.65285075278</v>
      </c>
      <c r="BO16" s="19" t="n">
        <f aca="false">BO13+BO14+BO15</f>
        <v>-984.035034481672</v>
      </c>
      <c r="BP16" s="19" t="n">
        <f aca="false">BP13+BP14+BP15</f>
        <v>-951.454516762869</v>
      </c>
      <c r="BQ16" s="19" t="n">
        <f aca="false">BQ13+BQ14+BQ15</f>
        <v>-913.771856395835</v>
      </c>
      <c r="BR16" s="19" t="n">
        <f aca="false">BR13+BR14+BR15</f>
        <v>-874.417114599708</v>
      </c>
      <c r="BS16" s="19" t="n">
        <f aca="false">BS13+BS14+BS15</f>
        <v>-829.263149601677</v>
      </c>
      <c r="BT16" s="19" t="n">
        <f aca="false">BT13+BT14+BT15</f>
        <v>-782.236214202889</v>
      </c>
      <c r="BU16" s="19" t="n">
        <f aca="false">BU13+BU14+BU15</f>
        <v>-840.850995949355</v>
      </c>
      <c r="BV16" s="19" t="n">
        <f aca="false">BV13+BV14+BV15</f>
        <v>-785.103138162186</v>
      </c>
      <c r="BW16" s="19" t="n">
        <f aca="false">BW13+BW14+BW15</f>
        <v>-721.759833137256</v>
      </c>
      <c r="BX16" s="19" t="n">
        <f aca="false">BX13+BX14+BX15</f>
        <v>-654.996223345593</v>
      </c>
      <c r="BY16" s="19" t="n">
        <f aca="false">BY13+BY14+BY15</f>
        <v>-580.302785247609</v>
      </c>
      <c r="BZ16" s="19" t="n">
        <f aca="false">BZ13+BZ14+BZ15</f>
        <v>-502.263269728002</v>
      </c>
      <c r="CA16" s="19" t="n">
        <f aca="false">CA13+CA14+CA15</f>
        <v>-414.931707580708</v>
      </c>
      <c r="CB16" s="19" t="n">
        <f aca="false">CB13+CB14+CB15</f>
        <v>-324.338162277512</v>
      </c>
      <c r="CC16" s="19" t="n">
        <f aca="false">CC13+CC14+CC15</f>
        <v>-224.305617049213</v>
      </c>
      <c r="CD16" s="19" t="n">
        <f aca="false">CD13+CD14+CD15</f>
        <v>-120.659530865604</v>
      </c>
      <c r="CE16" s="19" t="n">
        <f aca="false">CE13+CE14+CE15</f>
        <v>-6.6120851325631</v>
      </c>
      <c r="CF16" s="19" t="n">
        <f aca="false">CF13+CF14+CF15</f>
        <v>95.6195279628711</v>
      </c>
      <c r="CG16" s="19" t="n">
        <f aca="false">CG13+CG14+CG15</f>
        <v>55.2521103502332</v>
      </c>
      <c r="CH16" s="19" t="n">
        <f aca="false">CH13+CH14+CH15</f>
        <v>66.94936124501</v>
      </c>
      <c r="CI16" s="19" t="n">
        <f aca="false">CI13+CI14+CI15</f>
        <v>79.9894501056594</v>
      </c>
      <c r="CJ16" s="19" t="n">
        <f aca="false">CJ13+CJ14+CJ15</f>
        <v>93.5453758259463</v>
      </c>
      <c r="CK16" s="19" t="n">
        <f aca="false">CK13+CK14+CK15</f>
        <v>71.8208204676343</v>
      </c>
      <c r="CL16" s="19" t="n">
        <f aca="false">CL13+CL14+CL15</f>
        <v>82.9887147072595</v>
      </c>
      <c r="CM16" s="19" t="n">
        <f aca="false">CM13+CM14+CM15</f>
        <v>95.6994064637329</v>
      </c>
      <c r="CN16" s="19" t="n">
        <f aca="false">CN13+CN14+CN15</f>
        <v>108.97764602646</v>
      </c>
      <c r="CO16" s="19" t="n">
        <f aca="false">CO13+CO14+CO15</f>
        <v>123.861879400594</v>
      </c>
      <c r="CP16" s="19" t="n">
        <f aca="false">CP13+CP14+CP15</f>
        <v>-5.67993652111909E-010</v>
      </c>
      <c r="CQ16" s="19" t="n">
        <f aca="false">CQ13+CQ14+CQ15</f>
        <v>-5.76783065753261E-010</v>
      </c>
      <c r="CR16" s="19" t="n">
        <f aca="false">CR13+CR14+CR15</f>
        <v>-5.85565373967256E-010</v>
      </c>
      <c r="CS16" s="19" t="n">
        <f aca="false">CS13+CS14+CS15</f>
        <v>-5.94624793848197E-010</v>
      </c>
      <c r="CT16" s="19" t="n">
        <f aca="false">CT13+CT14+CT15</f>
        <v>-6.03677108301781E-010</v>
      </c>
      <c r="CU16" s="19" t="n">
        <f aca="false">CU13+CU14+CU15</f>
        <v>-6.13013639849669E-010</v>
      </c>
      <c r="CV16" s="19" t="n">
        <f aca="false">CV13+CV14+CV15</f>
        <v>-6.22392803961702E-010</v>
      </c>
      <c r="CW16" s="19" t="n">
        <f aca="false">CW13+CW14+CW15</f>
        <v>-6.32013552603894E-010</v>
      </c>
      <c r="CX16" s="19" t="n">
        <f aca="false">CX13+CX14+CX15</f>
        <v>-6.41627195818728E-010</v>
      </c>
      <c r="CY16" s="19" t="n">
        <f aca="false">CY13+CY14+CY15</f>
        <v>-6.51546372409939E-010</v>
      </c>
      <c r="CZ16" s="19" t="n">
        <f aca="false">CZ13+CZ14+CZ15</f>
        <v>-6.61451338146435E-010</v>
      </c>
      <c r="DA16" s="19" t="n">
        <f aca="false">DA13+DA14+DA15</f>
        <v>-6.71676048114023E-010</v>
      </c>
      <c r="DB16" s="19" t="n">
        <f aca="false">DB13+DB14+DB15</f>
        <v>-6.81886547226895E-010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0</v>
      </c>
      <c r="T17" s="19" t="n">
        <f aca="false">ROUND(T11-T12-T16,6)</f>
        <v>0</v>
      </c>
      <c r="U17" s="19" t="n">
        <f aca="false">ROUND(U11-U12-U16,6)</f>
        <v>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-0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1.5</v>
      </c>
      <c r="AE6" s="31" t="n">
        <f aca="false">IF(AND(Time!AE30=1,Debt!AE68&gt;Inputs!$F$9),Waterfall!AE7/Debt!AE68,"")</f>
        <v>1.58450707693428</v>
      </c>
      <c r="AF6" s="31" t="n">
        <f aca="false">IF(AND(Time!AF30=1,Debt!AF68&gt;Inputs!$F$9),Waterfall!AF7/Debt!AF68,"")</f>
        <v>1.73672455829486</v>
      </c>
      <c r="AG6" s="31" t="n">
        <f aca="false">IF(AND(Time!AG30=1,Debt!AG68&gt;Inputs!$F$9),Waterfall!AG7/Debt!AG68,"")</f>
        <v>1.86905159278656</v>
      </c>
      <c r="AH6" s="31" t="n">
        <f aca="false">IF(AND(Time!AH30=1,Debt!AH68&gt;Inputs!$F$9),Waterfall!AH7/Debt!AH68,"")</f>
        <v>1.95771754392054</v>
      </c>
      <c r="AI6" s="31" t="n">
        <f aca="false">IF(AND(Time!AI30=1,Debt!AI68&gt;Inputs!$F$9),Waterfall!AI7/Debt!AI68,"")</f>
        <v>1.91222562208005</v>
      </c>
      <c r="AJ6" s="31" t="n">
        <f aca="false">IF(AND(Time!AJ30=1,Debt!AJ68&gt;Inputs!$F$9),Waterfall!AJ7/Debt!AJ68,"")</f>
        <v>1.96367056511752</v>
      </c>
      <c r="AK6" s="31" t="n">
        <f aca="false">IF(AND(Time!AK30=1,Debt!AK68&gt;Inputs!$F$9),Waterfall!AK7/Debt!AK68,"")</f>
        <v>2.05382472344196</v>
      </c>
      <c r="AL6" s="31" t="n">
        <f aca="false">IF(AND(Time!AL30=1,Debt!AL68&gt;Inputs!$F$9),Waterfall!AL7/Debt!AL68,"")</f>
        <v>2.10200762595882</v>
      </c>
      <c r="AM6" s="31" t="n">
        <f aca="false">IF(AND(Time!AM30=1,Debt!AM68&gt;Inputs!$F$9),Waterfall!AM7/Debt!AM68,"")</f>
        <v>2.20465434030929</v>
      </c>
      <c r="AN6" s="31" t="n">
        <f aca="false">IF(AND(Time!AN30=1,Debt!AN68&gt;Inputs!$F$9),Waterfall!AN7/Debt!AN68,"")</f>
        <v>2.25605465607417</v>
      </c>
      <c r="AO6" s="31" t="n">
        <f aca="false">IF(AND(Time!AO30=1,Debt!AO68&gt;Inputs!$F$9),Waterfall!AO7/Debt!AO68,"")</f>
        <v>2.50226608979593</v>
      </c>
      <c r="AP6" s="31" t="n">
        <f aca="false">IF(AND(Time!AP30=1,Debt!AP68&gt;Inputs!$F$9),Waterfall!AP7/Debt!AP68,"")</f>
        <v>2.55807785563535</v>
      </c>
      <c r="AQ6" s="31" t="n">
        <f aca="false">IF(AND(Time!AQ30=1,Debt!AQ68&gt;Inputs!$F$9),Waterfall!AQ7/Debt!AQ68,"")</f>
        <v>2.22894965527117</v>
      </c>
      <c r="AR6" s="31" t="n">
        <f aca="false">IF(AND(Time!AR30=1,Debt!AR68&gt;Inputs!$F$9),Waterfall!AR7/Debt!AR68,"")</f>
        <v>2.2936715618417</v>
      </c>
      <c r="AS6" s="31" t="n">
        <f aca="false">IF(AND(Time!AS30=1,Debt!AS68&gt;Inputs!$F$9),Waterfall!AS7/Debt!AS68,"")</f>
        <v>2.40896005219667</v>
      </c>
      <c r="AT6" s="31" t="n">
        <f aca="false">IF(AND(Time!AT30=1,Debt!AT68&gt;Inputs!$F$9),Waterfall!AT7/Debt!AT68,"")</f>
        <v>2.46858006263613</v>
      </c>
      <c r="AU6" s="31" t="n">
        <f aca="false">IF(AND(Time!AU30=1,Debt!AU68&gt;Inputs!$F$9),Waterfall!AU7/Debt!AU68,"")</f>
        <v>2.60023894236962</v>
      </c>
      <c r="AV6" s="31" t="n">
        <f aca="false">IF(AND(Time!AV30=1,Debt!AV68&gt;Inputs!$F$9),Waterfall!AV7/Debt!AV68,"")</f>
        <v>2.66290709128639</v>
      </c>
      <c r="AW6" s="31" t="n">
        <f aca="false">IF(AND(Time!AW30=1,Debt!AW68&gt;Inputs!$F$9),Waterfall!AW7/Debt!AW68,"")</f>
        <v>2.66290709128639</v>
      </c>
      <c r="AX6" s="31" t="n">
        <f aca="false">IF(AND(Time!AX30=1,Debt!AX68&gt;Inputs!$F$9),Waterfall!AX7/Debt!AX68,"")</f>
        <v>2.66290709128639</v>
      </c>
      <c r="AY6" s="31" t="n">
        <f aca="false">IF(AND(Time!AY30=1,Debt!AY68&gt;Inputs!$F$9),Waterfall!AY7/Debt!AY68,"")</f>
        <v>2.66290709128639</v>
      </c>
      <c r="AZ6" s="31" t="n">
        <f aca="false">IF(AND(Time!AZ30=1,Debt!AZ68&gt;Inputs!$F$9),Waterfall!AZ7/Debt!AZ68,"")</f>
        <v>2.66290709128639</v>
      </c>
      <c r="BA6" s="31" t="n">
        <f aca="false">IF(AND(Time!BA30=1,Debt!BA68&gt;Inputs!$F$9),Waterfall!BA7/Debt!BA68,"")</f>
        <v>2.66290709128639</v>
      </c>
      <c r="BB6" s="31" t="n">
        <f aca="false">IF(AND(Time!BB30=1,Debt!BB68&gt;Inputs!$F$9),Waterfall!BB7/Debt!BB68,"")</f>
        <v>2.66290709128639</v>
      </c>
      <c r="BC6" s="31" t="n">
        <f aca="false">IF(AND(Time!BC30=1,Debt!BC68&gt;Inputs!$F$9),Waterfall!BC7/Debt!BC68,"")</f>
        <v>2.66290709128639</v>
      </c>
      <c r="BD6" s="31" t="n">
        <f aca="false">IF(AND(Time!BD30=1,Debt!BD68&gt;Inputs!$F$9),Waterfall!BD7/Debt!BD68,"")</f>
        <v>2.66290709128639</v>
      </c>
      <c r="BE6" s="31" t="n">
        <f aca="false">IF(AND(Time!BE30=1,Debt!BE68&gt;Inputs!$F$9),Waterfall!BE7/Debt!BE68,"")</f>
        <v>2.66290709128639</v>
      </c>
      <c r="BF6" s="31" t="n">
        <f aca="false">IF(AND(Time!BF30=1,Debt!BF68&gt;Inputs!$F$9),Waterfall!BF7/Debt!BF68,"")</f>
        <v>2.66290709128639</v>
      </c>
      <c r="BG6" s="31" t="n">
        <f aca="false">IF(AND(Time!BG30=1,Debt!BG68&gt;Inputs!$F$9),Waterfall!BG7/Debt!BG68,"")</f>
        <v>2.66290709128639</v>
      </c>
      <c r="BH6" s="31" t="n">
        <f aca="false">IF(AND(Time!BH30=1,Debt!BH68&gt;Inputs!$F$9),Waterfall!BH7/Debt!BH68,"")</f>
        <v>2.66290709128639</v>
      </c>
      <c r="BI6" s="31" t="n">
        <f aca="false">IF(AND(Time!BI30=1,Debt!BI68&gt;Inputs!$F$9),Waterfall!BI7/Debt!BI68,"")</f>
        <v>2.66290709128639</v>
      </c>
      <c r="BJ6" s="31" t="n">
        <f aca="false">IF(AND(Time!BJ30=1,Debt!BJ68&gt;Inputs!$F$9),Waterfall!BJ7/Debt!BJ68,"")</f>
        <v>2.66290709128639</v>
      </c>
      <c r="BK6" s="31" t="n">
        <f aca="false">IF(AND(Time!BK30=1,Debt!BK68&gt;Inputs!$F$9),Waterfall!BK7/Debt!BK68,"")</f>
        <v>2.66290709128639</v>
      </c>
      <c r="BL6" s="31" t="n">
        <f aca="false">IF(AND(Time!BL30=1,Debt!BL68&gt;Inputs!$F$9),Waterfall!BL7/Debt!BL68,"")</f>
        <v>2.66290709128639</v>
      </c>
      <c r="BM6" s="31" t="n">
        <f aca="false">IF(AND(Time!BM30=1,Debt!BM68&gt;Inputs!$F$9),Waterfall!BM7/Debt!BM68,"")</f>
        <v>2.66290709128639</v>
      </c>
      <c r="BN6" s="31" t="n">
        <f aca="false">IF(AND(Time!BN30=1,Debt!BN68&gt;Inputs!$F$9),Waterfall!BN7/Debt!BN68,"")</f>
        <v>2.66290709128639</v>
      </c>
      <c r="BO6" s="31" t="n">
        <f aca="false">IF(AND(Time!BO30=1,Debt!BO68&gt;Inputs!$F$9),Waterfall!BO7/Debt!BO68,"")</f>
        <v>2.66290709128639</v>
      </c>
      <c r="BP6" s="31" t="n">
        <f aca="false">IF(AND(Time!BP30=1,Debt!BP68&gt;Inputs!$F$9),Waterfall!BP7/Debt!BP68,"")</f>
        <v>2.66290709128639</v>
      </c>
      <c r="BQ6" s="31" t="n">
        <f aca="false">IF(AND(Time!BQ30=1,Debt!BQ68&gt;Inputs!$F$9),Waterfall!BQ7/Debt!BQ68,"")</f>
        <v>2.66290709128639</v>
      </c>
      <c r="BR6" s="31" t="n">
        <f aca="false">IF(AND(Time!BR30=1,Debt!BR68&gt;Inputs!$F$9),Waterfall!BR7/Debt!BR68,"")</f>
        <v>2.66290709128639</v>
      </c>
      <c r="BS6" s="31" t="n">
        <f aca="false">IF(AND(Time!BS30=1,Debt!BS68&gt;Inputs!$F$9),Waterfall!BS7/Debt!BS68,"")</f>
        <v>2.66290709128639</v>
      </c>
      <c r="BT6" s="31" t="n">
        <f aca="false">IF(AND(Time!BT30=1,Debt!BT68&gt;Inputs!$F$9),Waterfall!BT7/Debt!BT68,"")</f>
        <v>2.66290709128639</v>
      </c>
      <c r="BU6" s="31" t="n">
        <f aca="false">IF(AND(Time!BU30=1,Debt!BU68&gt;Inputs!$F$9),Waterfall!BU7/Debt!BU68,"")</f>
        <v>2.66290709128639</v>
      </c>
      <c r="BV6" s="31" t="n">
        <f aca="false">IF(AND(Time!BV30=1,Debt!BV68&gt;Inputs!$F$9),Waterfall!BV7/Debt!BV68,"")</f>
        <v>2.66290709128639</v>
      </c>
      <c r="BW6" s="31" t="n">
        <f aca="false">IF(AND(Time!BW30=1,Debt!BW68&gt;Inputs!$F$9),Waterfall!BW7/Debt!BW68,"")</f>
        <v>2.66290709128639</v>
      </c>
      <c r="BX6" s="31" t="n">
        <f aca="false">IF(AND(Time!BX30=1,Debt!BX68&gt;Inputs!$F$9),Waterfall!BX7/Debt!BX68,"")</f>
        <v>2.66290709128639</v>
      </c>
      <c r="BY6" s="31" t="n">
        <f aca="false">IF(AND(Time!BY30=1,Debt!BY68&gt;Inputs!$F$9),Waterfall!BY7/Debt!BY68,"")</f>
        <v>2.66290709128639</v>
      </c>
      <c r="BZ6" s="31" t="n">
        <f aca="false">IF(AND(Time!BZ30=1,Debt!BZ68&gt;Inputs!$F$9),Waterfall!BZ7/Debt!BZ68,"")</f>
        <v>2.66290709128639</v>
      </c>
      <c r="CA6" s="31" t="n">
        <f aca="false">IF(AND(Time!CA30=1,Debt!CA68&gt;Inputs!$F$9),Waterfall!CA7/Debt!CA68,"")</f>
        <v>2.66290709128639</v>
      </c>
      <c r="CB6" s="31" t="n">
        <f aca="false">IF(AND(Time!CB30=1,Debt!CB68&gt;Inputs!$F$9),Waterfall!CB7/Debt!CB68,"")</f>
        <v>2.66290709128639</v>
      </c>
      <c r="CC6" s="31" t="n">
        <f aca="false">IF(AND(Time!CC30=1,Debt!CC68&gt;Inputs!$F$9),Waterfall!CC7/Debt!CC68,"")</f>
        <v>2.66290709128639</v>
      </c>
      <c r="CD6" s="31" t="n">
        <f aca="false">IF(AND(Time!CD30=1,Debt!CD68&gt;Inputs!$F$9),Waterfall!CD7/Debt!CD68,"")</f>
        <v>2.66290709128639</v>
      </c>
      <c r="CE6" s="31" t="n">
        <f aca="false">IF(AND(Time!CE30=1,Debt!CE68&gt;Inputs!$F$9),Waterfall!CE7/Debt!CE68,"")</f>
        <v>2.66290709128639</v>
      </c>
      <c r="CF6" s="31" t="n">
        <f aca="false">IF(AND(Time!CF30=1,Debt!CF68&gt;Inputs!$F$9),Waterfall!CF7/Debt!CF68,"")</f>
        <v>2.66290709121139</v>
      </c>
      <c r="CG6" s="31" t="n">
        <f aca="false">IF(AND(Time!CG30=1,Debt!CG68&gt;Inputs!$F$9),Waterfall!CG7/Debt!CG68,"")</f>
        <v>2.66290709128316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1.5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2.48913664274052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1.5</v>
      </c>
      <c r="AA9" s="31" t="n">
        <f aca="false">IF(AND(Time!AA32=1,Debt!AA68&gt;Inputs!$F$9),Waterfall!AA7/Debt!AA68,"")</f>
        <v>1.5</v>
      </c>
      <c r="AB9" s="31" t="n">
        <f aca="false">IF(AND(Time!AB32=1,Debt!AB68&gt;Inputs!$F$9),Waterfall!AB7/Debt!AB68,"")</f>
        <v>1.5</v>
      </c>
      <c r="AC9" s="31" t="n">
        <f aca="false">IF(AND(Time!AC32=1,Debt!AC68&gt;Inputs!$F$9),Waterfall!AC7/Debt!AC68,"")</f>
        <v>1.5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1.5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1.58809416661784</v>
      </c>
      <c r="AK11" s="31" t="n">
        <f aca="false">IF(AND(Time!AK30=1,Time!AK47=1,Debt!AK68+Debt!AK98+Debt!AK99&gt;Inputs!$F$9),Waterfall!AK7/(Debt!AK68+Debt!AK98+Debt!AK99),"")</f>
        <v>1.49207486492603</v>
      </c>
      <c r="AL11" s="31" t="n">
        <f aca="false">IF(AND(Time!AL30=1,Time!AL47=1,Debt!AL68+Debt!AL98+Debt!AL99&gt;Inputs!$F$9),Waterfall!AL7/(Debt!AL68+Debt!AL98+Debt!AL99),"")</f>
        <v>1.5305637941451</v>
      </c>
      <c r="AM11" s="31" t="n">
        <f aca="false">IF(AND(Time!AM30=1,Time!AM47=1,Debt!AM68+Debt!AM98+Debt!AM99&gt;Inputs!$F$9),Waterfall!AM7/(Debt!AM68+Debt!AM98+Debt!AM99),"")</f>
        <v>1.6016504667997</v>
      </c>
      <c r="AN11" s="31" t="n">
        <f aca="false">IF(AND(Time!AN30=1,Time!AN47=1,Debt!AN68+Debt!AN98+Debt!AN99&gt;Inputs!$F$9),Waterfall!AN7/(Debt!AN68+Debt!AN98+Debt!AN99),"")</f>
        <v>1.64273218210829</v>
      </c>
      <c r="AO11" s="31" t="n">
        <f aca="false">IF(AND(Time!AO30=1,Time!AO47=1,Debt!AO68+Debt!AO98+Debt!AO99&gt;Inputs!$F$9),Waterfall!AO7/(Debt!AO68+Debt!AO98+Debt!AO99),"")</f>
        <v>1.81786122999057</v>
      </c>
      <c r="AP11" s="31" t="n">
        <f aca="false">IF(AND(Time!AP30=1,Time!AP47=1,Debt!AP68+Debt!AP98+Debt!AP99&gt;Inputs!$F$9),Waterfall!AP7/(Debt!AP68+Debt!AP98+Debt!AP99),"")</f>
        <v>1.85050299301914</v>
      </c>
      <c r="AQ11" s="31" t="n">
        <f aca="false">IF(AND(Time!AQ30=1,Time!AQ47=1,Debt!AQ68+Debt!AQ98+Debt!AQ99&gt;Inputs!$F$9),Waterfall!AQ7/(Debt!AQ68+Debt!AQ98+Debt!AQ99),"")</f>
        <v>1.61946294473666</v>
      </c>
      <c r="AR11" s="31" t="n">
        <f aca="false">IF(AND(Time!AR30=1,Time!AR47=1,Debt!AR68+Debt!AR98+Debt!AR99&gt;Inputs!$F$9),Waterfall!AR7/(Debt!AR68+Debt!AR98+Debt!AR99),"")</f>
        <v>1.66901300429767</v>
      </c>
      <c r="AS11" s="31" t="n">
        <f aca="false">IF(AND(Time!AS30=1,Time!AS47=1,Debt!AS68+Debt!AS98+Debt!AS99&gt;Inputs!$F$9),Waterfall!AS7/(Debt!AS68+Debt!AS98+Debt!AS99),"")</f>
        <v>1.7502510793178</v>
      </c>
      <c r="AT11" s="31" t="n">
        <f aca="false">IF(AND(Time!AT30=1,Time!AT47=1,Debt!AT68+Debt!AT98+Debt!AT99&gt;Inputs!$F$9),Waterfall!AT7/(Debt!AT68+Debt!AT98+Debt!AT99),"")</f>
        <v>1.79766027266559</v>
      </c>
      <c r="AU11" s="31" t="n">
        <f aca="false">IF(AND(Time!AU30=1,Time!AU47=1,Debt!AU68+Debt!AU98+Debt!AU99&gt;Inputs!$F$9),Waterfall!AU7/(Debt!AU68+Debt!AU98+Debt!AU99),"")</f>
        <v>1.86702778536626</v>
      </c>
      <c r="AV11" s="31" t="n">
        <f aca="false">IF(AND(Time!AV30=1,Time!AV47=1,Debt!AV68+Debt!AV98+Debt!AV99&gt;Inputs!$F$9),Waterfall!AV7/(Debt!AV68+Debt!AV98+Debt!AV99),"")</f>
        <v>1.89114144044372</v>
      </c>
      <c r="AW11" s="31" t="n">
        <f aca="false">IF(AND(Time!AW30=1,Time!AW47=1,Debt!AW68+Debt!AW98+Debt!AW99&gt;Inputs!$F$9),Waterfall!AW7/(Debt!AW68+Debt!AW98+Debt!AW99),"")</f>
        <v>1.89114144044372</v>
      </c>
      <c r="AX11" s="31" t="n">
        <f aca="false">IF(AND(Time!AX30=1,Time!AX47=1,Debt!AX68+Debt!AX98+Debt!AX99&gt;Inputs!$F$9),Waterfall!AX7/(Debt!AX68+Debt!AX98+Debt!AX99),"")</f>
        <v>1.89114144044372</v>
      </c>
      <c r="AY11" s="31" t="n">
        <f aca="false">IF(AND(Time!AY30=1,Time!AY47=1,Debt!AY68+Debt!AY98+Debt!AY99&gt;Inputs!$F$9),Waterfall!AY7/(Debt!AY68+Debt!AY98+Debt!AY99),"")</f>
        <v>1.89114144044372</v>
      </c>
      <c r="AZ11" s="31" t="n">
        <f aca="false">IF(AND(Time!AZ30=1,Time!AZ47=1,Debt!AZ68+Debt!AZ98+Debt!AZ99&gt;Inputs!$F$9),Waterfall!AZ7/(Debt!AZ68+Debt!AZ98+Debt!AZ99),"")</f>
        <v>1.89114144044372</v>
      </c>
      <c r="BA11" s="31" t="n">
        <f aca="false">IF(AND(Time!BA30=1,Time!BA47=1,Debt!BA68+Debt!BA98+Debt!BA99&gt;Inputs!$F$9),Waterfall!BA7/(Debt!BA68+Debt!BA98+Debt!BA99),"")</f>
        <v>1.89114144044372</v>
      </c>
      <c r="BB11" s="31" t="n">
        <f aca="false">IF(AND(Time!BB30=1,Time!BB47=1,Debt!BB68+Debt!BB98+Debt!BB99&gt;Inputs!$F$9),Waterfall!BB7/(Debt!BB68+Debt!BB98+Debt!BB99),"")</f>
        <v>1.89114144044372</v>
      </c>
      <c r="BC11" s="31" t="n">
        <f aca="false">IF(AND(Time!BC30=1,Time!BC47=1,Debt!BC68+Debt!BC98+Debt!BC99&gt;Inputs!$F$9),Waterfall!BC7/(Debt!BC68+Debt!BC98+Debt!BC99),"")</f>
        <v>1.89114144044372</v>
      </c>
      <c r="BD11" s="31" t="n">
        <f aca="false">IF(AND(Time!BD30=1,Time!BD47=1,Debt!BD68+Debt!BD98+Debt!BD99&gt;Inputs!$F$9),Waterfall!BD7/(Debt!BD68+Debt!BD98+Debt!BD99),"")</f>
        <v>1.89114144044373</v>
      </c>
      <c r="BE11" s="31" t="n">
        <f aca="false">IF(AND(Time!BE30=1,Time!BE47=1,Debt!BE68+Debt!BE98+Debt!BE99&gt;Inputs!$F$9),Waterfall!BE7/(Debt!BE68+Debt!BE98+Debt!BE99),"")</f>
        <v>1.89114144044373</v>
      </c>
      <c r="BF11" s="31" t="n">
        <f aca="false">IF(AND(Time!BF30=1,Time!BF47=1,Debt!BF68+Debt!BF98+Debt!BF99&gt;Inputs!$F$9),Waterfall!BF7/(Debt!BF68+Debt!BF98+Debt!BF99),"")</f>
        <v>1.89114144044372</v>
      </c>
      <c r="BG11" s="31" t="n">
        <f aca="false">IF(AND(Time!BG30=1,Time!BG47=1,Debt!BG68+Debt!BG98+Debt!BG99&gt;Inputs!$F$9),Waterfall!BG7/(Debt!BG68+Debt!BG98+Debt!BG99),"")</f>
        <v>1.89114144044373</v>
      </c>
      <c r="BH11" s="31" t="n">
        <f aca="false">IF(AND(Time!BH30=1,Time!BH47=1,Debt!BH68+Debt!BH98+Debt!BH99&gt;Inputs!$F$9),Waterfall!BH7/(Debt!BH68+Debt!BH98+Debt!BH99),"")</f>
        <v>1.89114144044373</v>
      </c>
      <c r="BI11" s="31" t="n">
        <f aca="false">IF(AND(Time!BI30=1,Time!BI47=1,Debt!BI68+Debt!BI98+Debt!BI99&gt;Inputs!$F$9),Waterfall!BI7/(Debt!BI68+Debt!BI98+Debt!BI99),"")</f>
        <v>1.89114144044372</v>
      </c>
      <c r="BJ11" s="31" t="n">
        <f aca="false">IF(AND(Time!BJ30=1,Time!BJ47=1,Debt!BJ68+Debt!BJ98+Debt!BJ99&gt;Inputs!$F$9),Waterfall!BJ7/(Debt!BJ68+Debt!BJ98+Debt!BJ99),"")</f>
        <v>1.89114144044372</v>
      </c>
      <c r="BK11" s="31" t="n">
        <f aca="false">IF(AND(Time!BK30=1,Time!BK47=1,Debt!BK68+Debt!BK98+Debt!BK99&gt;Inputs!$F$9),Waterfall!BK7/(Debt!BK68+Debt!BK98+Debt!BK99),"")</f>
        <v>1.89114144044372</v>
      </c>
      <c r="BL11" s="31" t="n">
        <f aca="false">IF(AND(Time!BL30=1,Time!BL47=1,Debt!BL68+Debt!BL98+Debt!BL99&gt;Inputs!$F$9),Waterfall!BL7/(Debt!BL68+Debt!BL98+Debt!BL99),"")</f>
        <v>1.89114144044373</v>
      </c>
      <c r="BM11" s="31" t="n">
        <f aca="false">IF(AND(Time!BM30=1,Time!BM47=1,Debt!BM68+Debt!BM98+Debt!BM99&gt;Inputs!$F$9),Waterfall!BM7/(Debt!BM68+Debt!BM98+Debt!BM99),"")</f>
        <v>1.89114144044372</v>
      </c>
      <c r="BN11" s="31" t="n">
        <f aca="false">IF(AND(Time!BN30=1,Time!BN47=1,Debt!BN68+Debt!BN98+Debt!BN99&gt;Inputs!$F$9),Waterfall!BN7/(Debt!BN68+Debt!BN98+Debt!BN99),"")</f>
        <v>1.89114144044373</v>
      </c>
      <c r="BO11" s="31" t="n">
        <f aca="false">IF(AND(Time!BO30=1,Time!BO47=1,Debt!BO68+Debt!BO98+Debt!BO99&gt;Inputs!$F$9),Waterfall!BO7/(Debt!BO68+Debt!BO98+Debt!BO99),"")</f>
        <v>1.89114144044372</v>
      </c>
      <c r="BP11" s="31" t="n">
        <f aca="false">IF(AND(Time!BP30=1,Time!BP47=1,Debt!BP68+Debt!BP98+Debt!BP99&gt;Inputs!$F$9),Waterfall!BP7/(Debt!BP68+Debt!BP98+Debt!BP99),"")</f>
        <v>1.89114144044373</v>
      </c>
      <c r="BQ11" s="31" t="n">
        <f aca="false">IF(AND(Time!BQ30=1,Time!BQ47=1,Debt!BQ68+Debt!BQ98+Debt!BQ99&gt;Inputs!$F$9),Waterfall!BQ7/(Debt!BQ68+Debt!BQ98+Debt!BQ99),"")</f>
        <v>1.89114144044372</v>
      </c>
      <c r="BR11" s="31" t="n">
        <f aca="false">IF(AND(Time!BR30=1,Time!BR47=1,Debt!BR68+Debt!BR98+Debt!BR99&gt;Inputs!$F$9),Waterfall!BR7/(Debt!BR68+Debt!BR98+Debt!BR99),"")</f>
        <v>1.89114144044372</v>
      </c>
      <c r="BS11" s="31" t="n">
        <f aca="false">IF(AND(Time!BS30=1,Time!BS47=1,Debt!BS68+Debt!BS98+Debt!BS99&gt;Inputs!$F$9),Waterfall!BS7/(Debt!BS68+Debt!BS98+Debt!BS99),"")</f>
        <v>1.89114144044373</v>
      </c>
      <c r="BT11" s="31" t="n">
        <f aca="false">IF(AND(Time!BT30=1,Time!BT47=1,Debt!BT68+Debt!BT98+Debt!BT99&gt;Inputs!$F$9),Waterfall!BT7/(Debt!BT68+Debt!BT98+Debt!BT99),"")</f>
        <v>1.89114144044373</v>
      </c>
      <c r="BU11" s="31" t="n">
        <f aca="false">IF(AND(Time!BU30=1,Time!BU47=1,Debt!BU68+Debt!BU98+Debt!BU99&gt;Inputs!$F$9),Waterfall!BU7/(Debt!BU68+Debt!BU98+Debt!BU99),"")</f>
        <v>1.89114144044372</v>
      </c>
      <c r="BV11" s="31" t="n">
        <f aca="false">IF(AND(Time!BV30=1,Time!BV47=1,Debt!BV68+Debt!BV98+Debt!BV99&gt;Inputs!$F$9),Waterfall!BV7/(Debt!BV68+Debt!BV98+Debt!BV99),"")</f>
        <v>1.89114144044372</v>
      </c>
      <c r="BW11" s="31" t="n">
        <f aca="false">IF(AND(Time!BW30=1,Time!BW47=1,Debt!BW68+Debt!BW98+Debt!BW99&gt;Inputs!$F$9),Waterfall!BW7/(Debt!BW68+Debt!BW98+Debt!BW99),"")</f>
        <v>1.89114144044372</v>
      </c>
      <c r="BX11" s="31" t="n">
        <f aca="false">IF(AND(Time!BX30=1,Time!BX47=1,Debt!BX68+Debt!BX98+Debt!BX99&gt;Inputs!$F$9),Waterfall!BX7/(Debt!BX68+Debt!BX98+Debt!BX99),"")</f>
        <v>1.89114144044373</v>
      </c>
      <c r="BY11" s="31" t="n">
        <f aca="false">IF(AND(Time!BY30=1,Time!BY47=1,Debt!BY68+Debt!BY98+Debt!BY99&gt;Inputs!$F$9),Waterfall!BY7/(Debt!BY68+Debt!BY98+Debt!BY99),"")</f>
        <v>1.89114144044372</v>
      </c>
      <c r="BZ11" s="31" t="n">
        <f aca="false">IF(AND(Time!BZ30=1,Time!BZ47=1,Debt!BZ68+Debt!BZ98+Debt!BZ99&gt;Inputs!$F$9),Waterfall!BZ7/(Debt!BZ68+Debt!BZ98+Debt!BZ99),"")</f>
        <v>1.89114144044372</v>
      </c>
      <c r="CA11" s="31" t="n">
        <f aca="false">IF(AND(Time!CA30=1,Time!CA47=1,Debt!CA68+Debt!CA98+Debt!CA99&gt;Inputs!$F$9),Waterfall!CA7/(Debt!CA68+Debt!CA98+Debt!CA99),"")</f>
        <v>1.89114144044372</v>
      </c>
      <c r="CB11" s="31" t="n">
        <f aca="false">IF(AND(Time!CB30=1,Time!CB47=1,Debt!CB68+Debt!CB98+Debt!CB99&gt;Inputs!$F$9),Waterfall!CB7/(Debt!CB68+Debt!CB98+Debt!CB99),"")</f>
        <v>1.89114144044372</v>
      </c>
      <c r="CC11" s="31" t="n">
        <f aca="false">IF(AND(Time!CC30=1,Time!CC47=1,Debt!CC68+Debt!CC98+Debt!CC99&gt;Inputs!$F$9),Waterfall!CC7/(Debt!CC68+Debt!CC98+Debt!CC99),"")</f>
        <v>1.89114144044372</v>
      </c>
      <c r="CD11" s="31" t="n">
        <f aca="false">IF(AND(Time!CD30=1,Time!CD47=1,Debt!CD68+Debt!CD98+Debt!CD99&gt;Inputs!$F$9),Waterfall!CD7/(Debt!CD68+Debt!CD98+Debt!CD99),"")</f>
        <v>1.89114144044372</v>
      </c>
      <c r="CE11" s="31" t="n">
        <f aca="false">IF(AND(Time!CE30=1,Time!CE47=1,Debt!CE68+Debt!CE98+Debt!CE99&gt;Inputs!$F$9),Waterfall!CE7/(Debt!CE68+Debt!CE98+Debt!CE99),"")</f>
        <v>1.89114144044372</v>
      </c>
      <c r="CF11" s="31" t="n">
        <f aca="false">IF(AND(Time!CF30=1,Time!CF47=1,Debt!CF68+Debt!CF98+Debt!CF99&gt;Inputs!$F$9),Waterfall!CF7/(Debt!CF68+Debt!CF98+Debt!CF99),"")</f>
        <v>1.8911414404059</v>
      </c>
      <c r="CG11" s="31" t="n">
        <f aca="false">IF(AND(Time!CG30=1,Time!CG47=1,Debt!CG68+Debt!CG98+Debt!CG99&gt;Inputs!$F$9),Waterfall!CG7/(Debt!CG68+Debt!CG98+Debt!CG99),"")</f>
        <v>1.89114144044209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1.49207486492603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2.44462186494865</v>
      </c>
      <c r="AE14" s="31" t="n">
        <f aca="false">IF(AND(Time!AE30=1,Debt!AE42+Debt!AE49&gt;Inputs!$F$9),SUMPRODUCT(Waterfall!AE$7:$DB$7,AE$13:$DB$13,Time!AE$30:$DB$30)/(AE13*(1+Debt!AE9))/(Debt!AE42+Debt!AE49),"")</f>
        <v>2.47003697445521</v>
      </c>
      <c r="AF14" s="31" t="n">
        <f aca="false">IF(AND(Time!AF30=1,Debt!AF42+Debt!AF49&gt;Inputs!$F$9),SUMPRODUCT(Waterfall!AF$7:$DB$7,AF$13:$DB$13,Time!AF$30:$DB$30)/(AF13*(1+Debt!AF9))/(Debt!AF42+Debt!AF49),"")</f>
        <v>2.49406134598749</v>
      </c>
      <c r="AG14" s="31" t="n">
        <f aca="false">IF(AND(Time!AG30=1,Debt!AG42+Debt!AG49&gt;Inputs!$F$9),SUMPRODUCT(Waterfall!AG$7:$DB$7,AG$13:$DB$13,Time!AG$30:$DB$30)/(AG13*(1+Debt!AG9))/(Debt!AG42+Debt!AG49),"")</f>
        <v>2.51432642830172</v>
      </c>
      <c r="AH14" s="31" t="n">
        <f aca="false">IF(AND(Time!AH30=1,Debt!AH42+Debt!AH49&gt;Inputs!$F$9),SUMPRODUCT(Waterfall!AH$7:$DB$7,AH$13:$DB$13,Time!AH$30:$DB$30)/(AH13*(1+Debt!AH9))/(Debt!AH42+Debt!AH49),"")</f>
        <v>2.5313203642714</v>
      </c>
      <c r="AI14" s="31" t="n">
        <f aca="false">IF(AND(Time!AI30=1,Debt!AI42+Debt!AI49&gt;Inputs!$F$9),SUMPRODUCT(Waterfall!AI$7:$DB$7,AI$13:$DB$13,Time!AI$30:$DB$30)/(AI13*(1+Debt!AI9))/(Debt!AI42+Debt!AI49),"")</f>
        <v>2.54630518399418</v>
      </c>
      <c r="AJ14" s="31" t="n">
        <f aca="false">IF(AND(Time!AJ30=1,Debt!AJ42+Debt!AJ49&gt;Inputs!$F$9),SUMPRODUCT(Waterfall!AJ$7:$DB$7,AJ$13:$DB$13,Time!AJ$30:$DB$30)/(AJ13*(1+Debt!AJ9))/(Debt!AJ42+Debt!AJ49),"")</f>
        <v>2.56300428162169</v>
      </c>
      <c r="AK14" s="31" t="n">
        <f aca="false">IF(AND(Time!AK30=1,Debt!AK42+Debt!AK49&gt;Inputs!$F$9),SUMPRODUCT(Waterfall!AK$7:$DB$7,AK$13:$DB$13,Time!AK$30:$DB$30)/(AK13*(1+Debt!AK9))/(Debt!AK42+Debt!AK49),"")</f>
        <v>2.57870363538932</v>
      </c>
      <c r="AL14" s="31" t="n">
        <f aca="false">IF(AND(Time!AL30=1,Debt!AL42+Debt!AL49&gt;Inputs!$F$9),SUMPRODUCT(Waterfall!AL$7:$DB$7,AL$13:$DB$13,Time!AL$30:$DB$30)/(AL13*(1+Debt!AL9))/(Debt!AL42+Debt!AL49),"")</f>
        <v>2.59252682843906</v>
      </c>
      <c r="AM14" s="31" t="n">
        <f aca="false">IF(AND(Time!AM30=1,Debt!AM42+Debt!AM49&gt;Inputs!$F$9),SUMPRODUCT(Waterfall!AM$7:$DB$7,AM$13:$DB$13,Time!AM$30:$DB$30)/(AM13*(1+Debt!AM9))/(Debt!AM42+Debt!AM49),"")</f>
        <v>2.60534116888326</v>
      </c>
      <c r="AN14" s="31" t="n">
        <f aca="false">IF(AND(Time!AN30=1,Debt!AN42+Debt!AN49&gt;Inputs!$F$9),SUMPRODUCT(Waterfall!AN$7:$DB$7,AN$13:$DB$13,Time!AN$30:$DB$30)/(AN13*(1+Debt!AN9))/(Debt!AN42+Debt!AN49),"")</f>
        <v>2.61589364347843</v>
      </c>
      <c r="AO14" s="31" t="n">
        <f aca="false">IF(AND(Time!AO30=1,Debt!AO42+Debt!AO49&gt;Inputs!$F$9),SUMPRODUCT(Waterfall!AO$7:$DB$7,AO$13:$DB$13,Time!AO$30:$DB$30)/(AO13*(1+Debt!AO9))/(Debt!AO42+Debt!AO49),"")</f>
        <v>2.62529408950863</v>
      </c>
      <c r="AP14" s="31" t="n">
        <f aca="false">IF(AND(Time!AP30=1,Debt!AP42+Debt!AP49&gt;Inputs!$F$9),SUMPRODUCT(Waterfall!AP$7:$DB$7,AP$13:$DB$13,Time!AP$30:$DB$30)/(AP13*(1+Debt!AP9))/(Debt!AP42+Debt!AP49),"")</f>
        <v>2.62853415069578</v>
      </c>
      <c r="AQ14" s="31" t="n">
        <f aca="false">IF(AND(Time!AQ30=1,Debt!AQ42+Debt!AQ49&gt;Inputs!$F$9),SUMPRODUCT(Waterfall!AQ$7:$DB$7,AQ$13:$DB$13,Time!AQ$30:$DB$30)/(AQ13*(1+Debt!AQ9))/(Debt!AQ42+Debt!AQ49),"")</f>
        <v>2.63037475336083</v>
      </c>
      <c r="AR14" s="31" t="n">
        <f aca="false">IF(AND(Time!AR30=1,Debt!AR42+Debt!AR49&gt;Inputs!$F$9),SUMPRODUCT(Waterfall!AR$7:$DB$7,AR$13:$DB$13,Time!AR$30:$DB$30)/(AR13*(1+Debt!AR9))/(Debt!AR42+Debt!AR49),"")</f>
        <v>2.64094667099668</v>
      </c>
      <c r="AS14" s="31" t="n">
        <f aca="false">IF(AND(Time!AS30=1,Debt!AS42+Debt!AS49&gt;Inputs!$F$9),SUMPRODUCT(Waterfall!AS$7:$DB$7,AS$13:$DB$13,Time!AS$30:$DB$30)/(AS13*(1+Debt!AS9))/(Debt!AS42+Debt!AS49),"")</f>
        <v>2.65004343068695</v>
      </c>
      <c r="AT14" s="31" t="n">
        <f aca="false">IF(AND(Time!AT30=1,Debt!AT42+Debt!AT49&gt;Inputs!$F$9),SUMPRODUCT(Waterfall!AT$7:$DB$7,AT$13:$DB$13,Time!AT$30:$DB$30)/(AT13*(1+Debt!AT9))/(Debt!AT42+Debt!AT49),"")</f>
        <v>2.65639259428659</v>
      </c>
      <c r="AU14" s="31" t="n">
        <f aca="false">IF(AND(Time!AU30=1,Debt!AU42+Debt!AU49&gt;Inputs!$F$9),SUMPRODUCT(Waterfall!AU$7:$DB$7,AU$13:$DB$13,Time!AU$30:$DB$30)/(AU13*(1+Debt!AU9))/(Debt!AU42+Debt!AU49),"")</f>
        <v>2.66129901529536</v>
      </c>
      <c r="AV14" s="31" t="n">
        <f aca="false">IF(AND(Time!AV30=1,Debt!AV42+Debt!AV49&gt;Inputs!$F$9),SUMPRODUCT(Waterfall!AV$7:$DB$7,AV$13:$DB$13,Time!AV$30:$DB$30)/(AV13*(1+Debt!AV9))/(Debt!AV42+Debt!AV49),"")</f>
        <v>2.66290709128484</v>
      </c>
      <c r="AW14" s="31" t="n">
        <f aca="false">IF(AND(Time!AW30=1,Debt!AW42+Debt!AW49&gt;Inputs!$F$9),SUMPRODUCT(Waterfall!AW$7:$DB$7,AW$13:$DB$13,Time!AW$30:$DB$30)/(AW13*(1+Debt!AW9))/(Debt!AW42+Debt!AW49),"")</f>
        <v>2.6629070912848</v>
      </c>
      <c r="AX14" s="31" t="n">
        <f aca="false">IF(AND(Time!AX30=1,Debt!AX42+Debt!AX49&gt;Inputs!$F$9),SUMPRODUCT(Waterfall!AX$7:$DB$7,AX$13:$DB$13,Time!AX$30:$DB$30)/(AX13*(1+Debt!AX9))/(Debt!AX42+Debt!AX49),"")</f>
        <v>2.66290709128475</v>
      </c>
      <c r="AY14" s="31" t="n">
        <f aca="false">IF(AND(Time!AY30=1,Debt!AY42+Debt!AY49&gt;Inputs!$F$9),SUMPRODUCT(Waterfall!AY$7:$DB$7,AY$13:$DB$13,Time!AY$30:$DB$30)/(AY13*(1+Debt!AY9))/(Debt!AY42+Debt!AY49),"")</f>
        <v>2.66290709128471</v>
      </c>
      <c r="AZ14" s="31" t="n">
        <f aca="false">IF(AND(Time!AZ30=1,Debt!AZ42+Debt!AZ49&gt;Inputs!$F$9),SUMPRODUCT(Waterfall!AZ$7:$DB$7,AZ$13:$DB$13,Time!AZ$30:$DB$30)/(AZ13*(1+Debt!AZ9))/(Debt!AZ42+Debt!AZ49),"")</f>
        <v>2.66290709128466</v>
      </c>
      <c r="BA14" s="31" t="n">
        <f aca="false">IF(AND(Time!BA30=1,Debt!BA42+Debt!BA49&gt;Inputs!$F$9),SUMPRODUCT(Waterfall!BA$7:$DB$7,BA$13:$DB$13,Time!BA$30:$DB$30)/(BA13*(1+Debt!BA9))/(Debt!BA42+Debt!BA49),"")</f>
        <v>2.66290709128461</v>
      </c>
      <c r="BB14" s="31" t="n">
        <f aca="false">IF(AND(Time!BB30=1,Debt!BB42+Debt!BB49&gt;Inputs!$F$9),SUMPRODUCT(Waterfall!BB$7:$DB$7,BB$13:$DB$13,Time!BB$30:$DB$30)/(BB13*(1+Debt!BB9))/(Debt!BB42+Debt!BB49),"")</f>
        <v>2.66290709128455</v>
      </c>
      <c r="BC14" s="31" t="n">
        <f aca="false">IF(AND(Time!BC30=1,Debt!BC42+Debt!BC49&gt;Inputs!$F$9),SUMPRODUCT(Waterfall!BC$7:$DB$7,BC$13:$DB$13,Time!BC$30:$DB$30)/(BC13*(1+Debt!BC9))/(Debt!BC42+Debt!BC49),"")</f>
        <v>2.6629070912845</v>
      </c>
      <c r="BD14" s="31" t="n">
        <f aca="false">IF(AND(Time!BD30=1,Debt!BD42+Debt!BD49&gt;Inputs!$F$9),SUMPRODUCT(Waterfall!BD$7:$DB$7,BD$13:$DB$13,Time!BD$30:$DB$30)/(BD13*(1+Debt!BD9))/(Debt!BD42+Debt!BD49),"")</f>
        <v>2.66290709128443</v>
      </c>
      <c r="BE14" s="31" t="n">
        <f aca="false">IF(AND(Time!BE30=1,Debt!BE42+Debt!BE49&gt;Inputs!$F$9),SUMPRODUCT(Waterfall!BE$7:$DB$7,BE$13:$DB$13,Time!BE$30:$DB$30)/(BE13*(1+Debt!BE9))/(Debt!BE42+Debt!BE49),"")</f>
        <v>2.66290709128436</v>
      </c>
      <c r="BF14" s="31" t="n">
        <f aca="false">IF(AND(Time!BF30=1,Debt!BF42+Debt!BF49&gt;Inputs!$F$9),SUMPRODUCT(Waterfall!BF$7:$DB$7,BF$13:$DB$13,Time!BF$30:$DB$30)/(BF13*(1+Debt!BF9))/(Debt!BF42+Debt!BF49),"")</f>
        <v>2.66290709128427</v>
      </c>
      <c r="BG14" s="31" t="n">
        <f aca="false">IF(AND(Time!BG30=1,Debt!BG42+Debt!BG49&gt;Inputs!$F$9),SUMPRODUCT(Waterfall!BG$7:$DB$7,BG$13:$DB$13,Time!BG$30:$DB$30)/(BG13*(1+Debt!BG9))/(Debt!BG42+Debt!BG49),"")</f>
        <v>2.66290709128418</v>
      </c>
      <c r="BH14" s="31" t="n">
        <f aca="false">IF(AND(Time!BH30=1,Debt!BH42+Debt!BH49&gt;Inputs!$F$9),SUMPRODUCT(Waterfall!BH$7:$DB$7,BH$13:$DB$13,Time!BH$30:$DB$30)/(BH13*(1+Debt!BH9))/(Debt!BH42+Debt!BH49),"")</f>
        <v>2.66290709128409</v>
      </c>
      <c r="BI14" s="31" t="n">
        <f aca="false">IF(AND(Time!BI30=1,Debt!BI42+Debt!BI49&gt;Inputs!$F$9),SUMPRODUCT(Waterfall!BI$7:$DB$7,BI$13:$DB$13,Time!BI$30:$DB$30)/(BI13*(1+Debt!BI9))/(Debt!BI42+Debt!BI49),"")</f>
        <v>2.66290709128398</v>
      </c>
      <c r="BJ14" s="31" t="n">
        <f aca="false">IF(AND(Time!BJ30=1,Debt!BJ42+Debt!BJ49&gt;Inputs!$F$9),SUMPRODUCT(Waterfall!BJ$7:$DB$7,BJ$13:$DB$13,Time!BJ$30:$DB$30)/(BJ13*(1+Debt!BJ9))/(Debt!BJ42+Debt!BJ49),"")</f>
        <v>2.66290709128387</v>
      </c>
      <c r="BK14" s="31" t="n">
        <f aca="false">IF(AND(Time!BK30=1,Debt!BK42+Debt!BK49&gt;Inputs!$F$9),SUMPRODUCT(Waterfall!BK$7:$DB$7,BK$13:$DB$13,Time!BK$30:$DB$30)/(BK13*(1+Debt!BK9))/(Debt!BK42+Debt!BK49),"")</f>
        <v>2.66290709128374</v>
      </c>
      <c r="BL14" s="31" t="n">
        <f aca="false">IF(AND(Time!BL30=1,Debt!BL42+Debt!BL49&gt;Inputs!$F$9),SUMPRODUCT(Waterfall!BL$7:$DB$7,BL$13:$DB$13,Time!BL$30:$DB$30)/(BL13*(1+Debt!BL9))/(Debt!BL42+Debt!BL49),"")</f>
        <v>2.6629070912836</v>
      </c>
      <c r="BM14" s="31" t="n">
        <f aca="false">IF(AND(Time!BM30=1,Debt!BM42+Debt!BM49&gt;Inputs!$F$9),SUMPRODUCT(Waterfall!BM$7:$DB$7,BM$13:$DB$13,Time!BM$30:$DB$30)/(BM13*(1+Debt!BM9))/(Debt!BM42+Debt!BM49),"")</f>
        <v>2.66290709128345</v>
      </c>
      <c r="BN14" s="31" t="n">
        <f aca="false">IF(AND(Time!BN30=1,Debt!BN42+Debt!BN49&gt;Inputs!$F$9),SUMPRODUCT(Waterfall!BN$7:$DB$7,BN$13:$DB$13,Time!BN$30:$DB$30)/(BN13*(1+Debt!BN9))/(Debt!BN42+Debt!BN49),"")</f>
        <v>2.66290709128328</v>
      </c>
      <c r="BO14" s="31" t="n">
        <f aca="false">IF(AND(Time!BO30=1,Debt!BO42+Debt!BO49&gt;Inputs!$F$9),SUMPRODUCT(Waterfall!BO$7:$DB$7,BO$13:$DB$13,Time!BO$30:$DB$30)/(BO13*(1+Debt!BO9))/(Debt!BO42+Debt!BO49),"")</f>
        <v>2.66290709128309</v>
      </c>
      <c r="BP14" s="31" t="n">
        <f aca="false">IF(AND(Time!BP30=1,Debt!BP42+Debt!BP49&gt;Inputs!$F$9),SUMPRODUCT(Waterfall!BP$7:$DB$7,BP$13:$DB$13,Time!BP$30:$DB$30)/(BP13*(1+Debt!BP9))/(Debt!BP42+Debt!BP49),"")</f>
        <v>2.6629070912829</v>
      </c>
      <c r="BQ14" s="31" t="n">
        <f aca="false">IF(AND(Time!BQ30=1,Debt!BQ42+Debt!BQ49&gt;Inputs!$F$9),SUMPRODUCT(Waterfall!BQ$7:$DB$7,BQ$13:$DB$13,Time!BQ$30:$DB$30)/(BQ13*(1+Debt!BQ9))/(Debt!BQ42+Debt!BQ49),"")</f>
        <v>2.6629070912827</v>
      </c>
      <c r="BR14" s="31" t="n">
        <f aca="false">IF(AND(Time!BR30=1,Debt!BR42+Debt!BR49&gt;Inputs!$F$9),SUMPRODUCT(Waterfall!BR$7:$DB$7,BR$13:$DB$13,Time!BR$30:$DB$30)/(BR13*(1+Debt!BR9))/(Debt!BR42+Debt!BR49),"")</f>
        <v>2.66290709128247</v>
      </c>
      <c r="BS14" s="31" t="n">
        <f aca="false">IF(AND(Time!BS30=1,Debt!BS42+Debt!BS49&gt;Inputs!$F$9),SUMPRODUCT(Waterfall!BS$7:$DB$7,BS$13:$DB$13,Time!BS$30:$DB$30)/(BS13*(1+Debt!BS9))/(Debt!BS42+Debt!BS49),"")</f>
        <v>2.66290709128222</v>
      </c>
      <c r="BT14" s="31" t="n">
        <f aca="false">IF(AND(Time!BT30=1,Debt!BT42+Debt!BT49&gt;Inputs!$F$9),SUMPRODUCT(Waterfall!BT$7:$DB$7,BT$13:$DB$13,Time!BT$30:$DB$30)/(BT13*(1+Debt!BT9))/(Debt!BT42+Debt!BT49),"")</f>
        <v>2.66290709128193</v>
      </c>
      <c r="BU14" s="31" t="n">
        <f aca="false">IF(AND(Time!BU30=1,Debt!BU42+Debt!BU49&gt;Inputs!$F$9),SUMPRODUCT(Waterfall!BU$7:$DB$7,BU$13:$DB$13,Time!BU$30:$DB$30)/(BU13*(1+Debt!BU9))/(Debt!BU42+Debt!BU49),"")</f>
        <v>2.6629070912816</v>
      </c>
      <c r="BV14" s="31" t="n">
        <f aca="false">IF(AND(Time!BV30=1,Debt!BV42+Debt!BV49&gt;Inputs!$F$9),SUMPRODUCT(Waterfall!BV$7:$DB$7,BV$13:$DB$13,Time!BV$30:$DB$30)/(BV13*(1+Debt!BV9))/(Debt!BV42+Debt!BV49),"")</f>
        <v>2.66290709128115</v>
      </c>
      <c r="BW14" s="31" t="n">
        <f aca="false">IF(AND(Time!BW30=1,Debt!BW42+Debt!BW49&gt;Inputs!$F$9),SUMPRODUCT(Waterfall!BW$7:$DB$7,BW$13:$DB$13,Time!BW$30:$DB$30)/(BW13*(1+Debt!BW9))/(Debt!BW42+Debt!BW49),"")</f>
        <v>2.66290709128061</v>
      </c>
      <c r="BX14" s="31" t="n">
        <f aca="false">IF(AND(Time!BX30=1,Debt!BX42+Debt!BX49&gt;Inputs!$F$9),SUMPRODUCT(Waterfall!BX$7:$DB$7,BX$13:$DB$13,Time!BX$30:$DB$30)/(BX13*(1+Debt!BX9))/(Debt!BX42+Debt!BX49),"")</f>
        <v>2.66290709127995</v>
      </c>
      <c r="BY14" s="31" t="n">
        <f aca="false">IF(AND(Time!BY30=1,Debt!BY42+Debt!BY49&gt;Inputs!$F$9),SUMPRODUCT(Waterfall!BY$7:$DB$7,BY$13:$DB$13,Time!BY$30:$DB$30)/(BY13*(1+Debt!BY9))/(Debt!BY42+Debt!BY49),"")</f>
        <v>2.66290709127913</v>
      </c>
      <c r="BZ14" s="31" t="n">
        <f aca="false">IF(AND(Time!BZ30=1,Debt!BZ42+Debt!BZ49&gt;Inputs!$F$9),SUMPRODUCT(Waterfall!BZ$7:$DB$7,BZ$13:$DB$13,Time!BZ$30:$DB$30)/(BZ13*(1+Debt!BZ9))/(Debt!BZ42+Debt!BZ49),"")</f>
        <v>2.66290709127806</v>
      </c>
      <c r="CA14" s="31" t="n">
        <f aca="false">IF(AND(Time!CA30=1,Debt!CA42+Debt!CA49&gt;Inputs!$F$9),SUMPRODUCT(Waterfall!CA$7:$DB$7,CA$13:$DB$13,Time!CA$30:$DB$30)/(CA13*(1+Debt!CA9))/(Debt!CA42+Debt!CA49),"")</f>
        <v>2.66290709127669</v>
      </c>
      <c r="CB14" s="31" t="n">
        <f aca="false">IF(AND(Time!CB30=1,Debt!CB42+Debt!CB49&gt;Inputs!$F$9),SUMPRODUCT(Waterfall!CB$7:$DB$7,CB$13:$DB$13,Time!CB$30:$DB$30)/(CB13*(1+Debt!CB9))/(Debt!CB42+Debt!CB49),"")</f>
        <v>2.66290709127491</v>
      </c>
      <c r="CC14" s="31" t="n">
        <f aca="false">IF(AND(Time!CC30=1,Debt!CC42+Debt!CC49&gt;Inputs!$F$9),SUMPRODUCT(Waterfall!CC$7:$DB$7,CC$13:$DB$13,Time!CC$30:$DB$30)/(CC13*(1+Debt!CC9))/(Debt!CC42+Debt!CC49),"")</f>
        <v>2.66290709127245</v>
      </c>
      <c r="CD14" s="31" t="n">
        <f aca="false">IF(AND(Time!CD30=1,Debt!CD42+Debt!CD49&gt;Inputs!$F$9),SUMPRODUCT(Waterfall!CD$7:$DB$7,CD$13:$DB$13,Time!CD$30:$DB$30)/(CD13*(1+Debt!CD9))/(Debt!CD42+Debt!CD49),"")</f>
        <v>2.66290709126855</v>
      </c>
      <c r="CE14" s="31" t="n">
        <f aca="false">IF(AND(Time!CE30=1,Debt!CE42+Debt!CE49&gt;Inputs!$F$9),SUMPRODUCT(Waterfall!CE$7:$DB$7,CE$13:$DB$13,Time!CE$30:$DB$30)/(CE13*(1+Debt!CE9))/(Debt!CE42+Debt!CE49),"")</f>
        <v>2.66290709126191</v>
      </c>
      <c r="CF14" s="31" t="n">
        <f aca="false">IF(AND(Time!CF30=1,Debt!CF42+Debt!CF49&gt;Inputs!$F$9),SUMPRODUCT(Waterfall!CF$7:$DB$7,CF$13:$DB$13,Time!CF$30:$DB$30)/(CF13*(1+Debt!CF9))/(Debt!CF42+Debt!CF49),"")</f>
        <v>2.66290709124787</v>
      </c>
      <c r="CG14" s="31" t="n">
        <f aca="false">IF(AND(Time!CG30=1,Debt!CG42+Debt!CG49&gt;Inputs!$F$9),SUMPRODUCT(Waterfall!CG$7:$DB$7,CG$13:$DB$13,Time!CG$30:$DB$30)/(CG13*(1+Debt!CG9))/(Debt!CG42+Debt!CG49),"")</f>
        <v>2.66290709128302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2.44462186494865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2.44462186494865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2.69827126015181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6.73920462813777E-014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2768.11911829076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32.9164336199878</v>
      </c>
      <c r="AE6" s="29" t="n">
        <f aca="false">Waterfall!AE61</f>
        <v>14.3162934090829</v>
      </c>
      <c r="AF6" s="29" t="n">
        <f aca="false">Waterfall!AF61</f>
        <v>12.8005173494887</v>
      </c>
      <c r="AG6" s="29" t="n">
        <f aca="false">Waterfall!AG61</f>
        <v>20.3765404481845</v>
      </c>
      <c r="AH6" s="29" t="n">
        <f aca="false">Waterfall!AH61</f>
        <v>21.8834568784714</v>
      </c>
      <c r="AI6" s="29" t="n">
        <f aca="false">Waterfall!AI61</f>
        <v>21.317231641169</v>
      </c>
      <c r="AJ6" s="29" t="n">
        <f aca="false">Waterfall!AJ61</f>
        <v>16.6782948779846</v>
      </c>
      <c r="AK6" s="29" t="n">
        <f aca="false">Waterfall!AK61</f>
        <v>15.922643996979</v>
      </c>
      <c r="AL6" s="29" t="n">
        <f aca="false">Waterfall!AL61</f>
        <v>16.6046991371722</v>
      </c>
      <c r="AM6" s="29" t="n">
        <f aca="false">Waterfall!AM61</f>
        <v>19.426679936712</v>
      </c>
      <c r="AN6" s="29" t="n">
        <f aca="false">Waterfall!AN61</f>
        <v>20.1546819434813</v>
      </c>
      <c r="AO6" s="29" t="n">
        <f aca="false">Waterfall!AO61</f>
        <v>26.340721674393</v>
      </c>
      <c r="AP6" s="29" t="n">
        <f aca="false">Waterfall!AP61</f>
        <v>26.9070242337311</v>
      </c>
      <c r="AQ6" s="29" t="n">
        <f aca="false">Waterfall!AQ61</f>
        <v>19.9319898210767</v>
      </c>
      <c r="AR6" s="29" t="n">
        <f aca="false">Waterfall!AR61</f>
        <v>21.1201249402029</v>
      </c>
      <c r="AS6" s="29" t="n">
        <f aca="false">Waterfall!AS61</f>
        <v>24.1762634043161</v>
      </c>
      <c r="AT6" s="29" t="n">
        <f aca="false">Waterfall!AT61</f>
        <v>25.0554391841215</v>
      </c>
      <c r="AU6" s="29" t="n">
        <f aca="false">Waterfall!AU61</f>
        <v>28.2312873149978</v>
      </c>
      <c r="AV6" s="29" t="n">
        <f aca="false">Waterfall!AV61</f>
        <v>26.9305562812704</v>
      </c>
      <c r="AW6" s="29" t="n">
        <f aca="false">Waterfall!AW61</f>
        <v>31.333057182166</v>
      </c>
      <c r="AX6" s="29" t="n">
        <f aca="false">Waterfall!AX61</f>
        <v>31.7357904275979</v>
      </c>
      <c r="AY6" s="29" t="n">
        <f aca="false">Waterfall!AY61</f>
        <v>31.0684320489755</v>
      </c>
      <c r="AZ6" s="29" t="n">
        <f aca="false">Waterfall!AZ61</f>
        <v>30.4925814409179</v>
      </c>
      <c r="BA6" s="29" t="n">
        <f aca="false">Waterfall!BA61</f>
        <v>33.0533778101826</v>
      </c>
      <c r="BB6" s="29" t="n">
        <f aca="false">Waterfall!BB61</f>
        <v>28.7705703630742</v>
      </c>
      <c r="BC6" s="29" t="n">
        <f aca="false">Waterfall!BC61</f>
        <v>38.8740578513505</v>
      </c>
      <c r="BD6" s="29" t="n">
        <f aca="false">Waterfall!BD61</f>
        <v>36.1753279921853</v>
      </c>
      <c r="BE6" s="29" t="n">
        <f aca="false">Waterfall!BE61</f>
        <v>42.7312959251788</v>
      </c>
      <c r="BF6" s="29" t="n">
        <f aca="false">Waterfall!BF61</f>
        <v>41.4562590238657</v>
      </c>
      <c r="BG6" s="29" t="n">
        <f aca="false">Waterfall!BG61</f>
        <v>44.6296386557541</v>
      </c>
      <c r="BH6" s="29" t="n">
        <f aca="false">Waterfall!BH61</f>
        <v>43.9361302957494</v>
      </c>
      <c r="BI6" s="29" t="n">
        <f aca="false">Waterfall!BI61</f>
        <v>47.0288566527154</v>
      </c>
      <c r="BJ6" s="29" t="n">
        <f aca="false">Waterfall!BJ61</f>
        <v>45.622436446853</v>
      </c>
      <c r="BK6" s="29" t="n">
        <f aca="false">Waterfall!BK61</f>
        <v>49.3389677517731</v>
      </c>
      <c r="BL6" s="29" t="n">
        <f aca="false">Waterfall!BL61</f>
        <v>47.8793773273053</v>
      </c>
      <c r="BM6" s="29" t="n">
        <f aca="false">Waterfall!BM61</f>
        <v>51.7453651862624</v>
      </c>
      <c r="BN6" s="29" t="n">
        <f aca="false">Waterfall!BN61</f>
        <v>57.1982759536092</v>
      </c>
      <c r="BO6" s="29" t="n">
        <f aca="false">Waterfall!BO61</f>
        <v>45.2608172911235</v>
      </c>
      <c r="BP6" s="29" t="n">
        <f aca="false">Waterfall!BP61</f>
        <v>44.4387522465598</v>
      </c>
      <c r="BQ6" s="29" t="n">
        <f aca="false">Waterfall!BQ61</f>
        <v>48.625879473865</v>
      </c>
      <c r="BR6" s="29" t="n">
        <f aca="false">Waterfall!BR61</f>
        <v>45.9187339316992</v>
      </c>
      <c r="BS6" s="29" t="n">
        <f aca="false">Waterfall!BS61</f>
        <v>50.7399744599617</v>
      </c>
      <c r="BT6" s="29" t="n">
        <f aca="false">Waterfall!BT61</f>
        <v>40.9506218659089</v>
      </c>
      <c r="BU6" s="29" t="n">
        <f aca="false">Waterfall!BU61</f>
        <v>61.6974505099745</v>
      </c>
      <c r="BV6" s="29" t="n">
        <f aca="false">Waterfall!BV61</f>
        <v>58.7939099185486</v>
      </c>
      <c r="BW6" s="29" t="n">
        <f aca="false">Waterfall!BW61</f>
        <v>63.6910653650768</v>
      </c>
      <c r="BX6" s="29" t="n">
        <f aca="false">Waterfall!BX61</f>
        <v>61.5906681450928</v>
      </c>
      <c r="BY6" s="29" t="n">
        <f aca="false">Waterfall!BY61</f>
        <v>66.3226492526453</v>
      </c>
      <c r="BZ6" s="29" t="n">
        <f aca="false">Waterfall!BZ61</f>
        <v>67.7212450279749</v>
      </c>
      <c r="CA6" s="29" t="n">
        <f aca="false">Waterfall!CA61</f>
        <v>63.1001726882215</v>
      </c>
      <c r="CB6" s="29" t="n">
        <f aca="false">Waterfall!CB61</f>
        <v>59.8804981132667</v>
      </c>
      <c r="CC6" s="29" t="n">
        <f aca="false">Waterfall!CC61</f>
        <v>65.6219507260814</v>
      </c>
      <c r="CD6" s="29" t="n">
        <f aca="false">Waterfall!CD61</f>
        <v>64.4743785092707</v>
      </c>
      <c r="CE6" s="29" t="n">
        <f aca="false">Waterfall!CE61</f>
        <v>71.3917971962185</v>
      </c>
      <c r="CF6" s="29" t="n">
        <f aca="false">Waterfall!CF61</f>
        <v>54.197401380327</v>
      </c>
      <c r="CG6" s="29" t="n">
        <f aca="false">Waterfall!CG61</f>
        <v>109.477864495855</v>
      </c>
      <c r="CH6" s="29" t="n">
        <f aca="false">Waterfall!CH61</f>
        <v>79.7697245459767</v>
      </c>
      <c r="CI6" s="29" t="n">
        <f aca="false">Waterfall!CI61</f>
        <v>83.4555359231188</v>
      </c>
      <c r="CJ6" s="29" t="n">
        <f aca="false">Waterfall!CJ61</f>
        <v>82.5374363419225</v>
      </c>
      <c r="CK6" s="29" t="n">
        <f aca="false">Waterfall!CK61</f>
        <v>98.6225221583646</v>
      </c>
      <c r="CL6" s="29" t="n">
        <f aca="false">Waterfall!CL61</f>
        <v>89.7660385246247</v>
      </c>
      <c r="CM6" s="29" t="n">
        <f aca="false">Waterfall!CM61</f>
        <v>93.7015837257067</v>
      </c>
      <c r="CN6" s="29" t="n">
        <f aca="false">Waterfall!CN61</f>
        <v>93.2823751798686</v>
      </c>
      <c r="CO6" s="29" t="n">
        <f aca="false">Waterfall!CO61</f>
        <v>96.7803170403548</v>
      </c>
      <c r="CP6" s="29" t="n">
        <f aca="false">Waterfall!CP61</f>
        <v>141.862699835618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0.10039393731363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-68.1430646579991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4511.32549141505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10.4157316104653</v>
      </c>
      <c r="AA11" s="19" t="n">
        <f aca="false">-Construction!AA13+Funding!AA39+Waterfall!AA7*(1-Time!AA20)-Operations!AA45</f>
        <v>23.0499596523945</v>
      </c>
      <c r="AB11" s="19" t="n">
        <f aca="false">-Construction!AB13+Funding!AB39+Waterfall!AB7*(1-Time!AB20)-Operations!AB45</f>
        <v>28.9545547609114</v>
      </c>
      <c r="AC11" s="19" t="n">
        <f aca="false">-Construction!AC13+Funding!AC39+Waterfall!AC7*(1-Time!AC20)-Operations!AC45</f>
        <v>30.8618898538651</v>
      </c>
      <c r="AD11" s="19" t="n">
        <f aca="false">-Construction!AD13+Funding!AD39+Waterfall!AD7*(1-Time!AD20)-Operations!AD45</f>
        <v>35.6006498627729</v>
      </c>
      <c r="AE11" s="19" t="n">
        <f aca="false">-Construction!AE13+Funding!AE39+Waterfall!AE7*(1-Time!AE20)-Operations!AE45</f>
        <v>37.9206406128931</v>
      </c>
      <c r="AF11" s="19" t="n">
        <f aca="false">-Construction!AF13+Funding!AF39+Waterfall!AF7*(1-Time!AF20)-Operations!AF45</f>
        <v>40.9942494713759</v>
      </c>
      <c r="AG11" s="19" t="n">
        <f aca="false">-Construction!AG13+Funding!AG39+Waterfall!AG7*(1-Time!AG20)-Operations!AG45</f>
        <v>43.4213391934174</v>
      </c>
      <c r="AH11" s="19" t="n">
        <f aca="false">-Construction!AH13+Funding!AH39+Waterfall!AH7*(1-Time!AH20)-Operations!AH45</f>
        <v>45.1152067996604</v>
      </c>
      <c r="AI11" s="19" t="n">
        <f aca="false">-Construction!AI13+Funding!AI39+Waterfall!AI7*(1-Time!AI20)-Operations!AI45</f>
        <v>44.424347445054</v>
      </c>
      <c r="AJ11" s="19" t="n">
        <f aca="false">-Construction!AJ13+Funding!AJ39+Waterfall!AJ7*(1-Time!AJ20)-Operations!AJ45</f>
        <v>45.3747631488508</v>
      </c>
      <c r="AK11" s="19" t="n">
        <f aca="false">-Construction!AK13+Funding!AK39+Waterfall!AK7*(1-Time!AK20)-Operations!AK45</f>
        <v>47.713942356959</v>
      </c>
      <c r="AL11" s="19" t="n">
        <f aca="false">-Construction!AL13+Funding!AL39+Waterfall!AL7*(1-Time!AL20)-Operations!AL45</f>
        <v>48.4403427011658</v>
      </c>
      <c r="AM11" s="19" t="n">
        <f aca="false">-Construction!AM13+Funding!AM39+Waterfall!AM7*(1-Time!AM20)-Operations!AM45</f>
        <v>51.2179782967296</v>
      </c>
      <c r="AN11" s="19" t="n">
        <f aca="false">-Construction!AN13+Funding!AN39+Waterfall!AN7*(1-Time!AN20)-Operations!AN45</f>
        <v>51.9903255074749</v>
      </c>
      <c r="AO11" s="19" t="n">
        <f aca="false">-Construction!AO13+Funding!AO39+Waterfall!AO7*(1-Time!AO20)-Operations!AO45</f>
        <v>58.1320200344106</v>
      </c>
      <c r="AP11" s="19" t="n">
        <f aca="false">-Construction!AP13+Funding!AP39+Waterfall!AP7*(1-Time!AP20)-Operations!AP45</f>
        <v>58.9503893577537</v>
      </c>
      <c r="AQ11" s="19" t="n">
        <f aca="false">-Construction!AQ13+Funding!AQ39+Waterfall!AQ7*(1-Time!AQ20)-Operations!AQ45</f>
        <v>51.7824009781804</v>
      </c>
      <c r="AR11" s="19" t="n">
        <f aca="false">-Construction!AR13+Funding!AR39+Waterfall!AR7*(1-Time!AR20)-Operations!AR45</f>
        <v>53.000134395554</v>
      </c>
      <c r="AS11" s="19" t="n">
        <f aca="false">-Construction!AS13+Funding!AS39+Waterfall!AS7*(1-Time!AS20)-Operations!AS45</f>
        <v>55.9643575027677</v>
      </c>
      <c r="AT11" s="19" t="n">
        <f aca="false">-Construction!AT13+Funding!AT39+Waterfall!AT7*(1-Time!AT20)-Operations!AT45</f>
        <v>56.8879307299442</v>
      </c>
      <c r="AU11" s="19" t="n">
        <f aca="false">-Construction!AU13+Funding!AU39+Waterfall!AU7*(1-Time!AU20)-Operations!AU45</f>
        <v>60.4081008444681</v>
      </c>
      <c r="AV11" s="19" t="n">
        <f aca="false">-Construction!AV13+Funding!AV39+Waterfall!AV7*(1-Time!AV20)-Operations!AV45</f>
        <v>61.3889030482684</v>
      </c>
      <c r="AW11" s="19" t="n">
        <f aca="false">-Construction!AW13+Funding!AW39+Waterfall!AW7*(1-Time!AW20)-Operations!AW45</f>
        <v>66.706862328475</v>
      </c>
      <c r="AX11" s="19" t="n">
        <f aca="false">-Construction!AX13+Funding!AX39+Waterfall!AX7*(1-Time!AX20)-Operations!AX45</f>
        <v>66.9744095454637</v>
      </c>
      <c r="AY11" s="19" t="n">
        <f aca="false">-Construction!AY13+Funding!AY39+Waterfall!AY7*(1-Time!AY20)-Operations!AY45</f>
        <v>66.5052369898839</v>
      </c>
      <c r="AZ11" s="19" t="n">
        <f aca="false">-Construction!AZ13+Funding!AZ39+Waterfall!AZ7*(1-Time!AZ20)-Operations!AZ45</f>
        <v>67.2244544681581</v>
      </c>
      <c r="BA11" s="19" t="n">
        <f aca="false">-Construction!BA13+Funding!BA39+Waterfall!BA7*(1-Time!BA20)-Operations!BA45</f>
        <v>70.379591293878</v>
      </c>
      <c r="BB11" s="19" t="n">
        <f aca="false">-Construction!BB13+Funding!BB39+Waterfall!BB7*(1-Time!BB20)-Operations!BB45</f>
        <v>70.6746686721234</v>
      </c>
      <c r="BC11" s="19" t="n">
        <f aca="false">-Construction!BC13+Funding!BC39+Waterfall!BC7*(1-Time!BC20)-Operations!BC45</f>
        <v>82.7447309895529</v>
      </c>
      <c r="BD11" s="19" t="n">
        <f aca="false">-Construction!BD13+Funding!BD39+Waterfall!BD7*(1-Time!BD20)-Operations!BD45</f>
        <v>83.0558031491129</v>
      </c>
      <c r="BE11" s="19" t="n">
        <f aca="false">-Construction!BE13+Funding!BE39+Waterfall!BE7*(1-Time!BE20)-Operations!BE45</f>
        <v>90.9436792483577</v>
      </c>
      <c r="BF11" s="19" t="n">
        <f aca="false">-Construction!BF13+Funding!BF39+Waterfall!BF7*(1-Time!BF20)-Operations!BF45</f>
        <v>91.271422964997</v>
      </c>
      <c r="BG11" s="19" t="n">
        <f aca="false">-Construction!BG13+Funding!BG39+Waterfall!BG7*(1-Time!BG20)-Operations!BG45</f>
        <v>95.4057282169361</v>
      </c>
      <c r="BH11" s="19" t="n">
        <f aca="false">-Construction!BH13+Funding!BH39+Waterfall!BH7*(1-Time!BH20)-Operations!BH45</f>
        <v>96.2773939405722</v>
      </c>
      <c r="BI11" s="19" t="n">
        <f aca="false">-Construction!BI13+Funding!BI39+Waterfall!BI7*(1-Time!BI20)-Operations!BI45</f>
        <v>100.089584552284</v>
      </c>
      <c r="BJ11" s="19" t="n">
        <f aca="false">-Construction!BJ13+Funding!BJ39+Waterfall!BJ7*(1-Time!BJ20)-Operations!BJ45</f>
        <v>100.449714516574</v>
      </c>
      <c r="BK11" s="19" t="n">
        <f aca="false">-Construction!BK13+Funding!BK39+Waterfall!BK7*(1-Time!BK20)-Operations!BK45</f>
        <v>105.006906199794</v>
      </c>
      <c r="BL11" s="19" t="n">
        <f aca="false">-Construction!BL13+Funding!BL39+Waterfall!BL7*(1-Time!BL20)-Operations!BL45</f>
        <v>105.3857388565</v>
      </c>
      <c r="BM11" s="19" t="n">
        <f aca="false">-Construction!BM13+Funding!BM39+Waterfall!BM7*(1-Time!BM20)-Operations!BM45</f>
        <v>110.12668894607</v>
      </c>
      <c r="BN11" s="19" t="n">
        <f aca="false">-Construction!BN13+Funding!BN39+Waterfall!BN7*(1-Time!BN20)-Operations!BN45</f>
        <v>110.52187333404</v>
      </c>
      <c r="BO11" s="19" t="n">
        <f aca="false">-Construction!BO13+Funding!BO39+Waterfall!BO7*(1-Time!BO20)-Operations!BO45</f>
        <v>96.8923450603104</v>
      </c>
      <c r="BP11" s="19" t="n">
        <f aca="false">-Construction!BP13+Funding!BP39+Waterfall!BP7*(1-Time!BP20)-Operations!BP45</f>
        <v>97.9486652863241</v>
      </c>
      <c r="BQ11" s="19" t="n">
        <f aca="false">-Construction!BQ13+Funding!BQ39+Waterfall!BQ7*(1-Time!BQ20)-Operations!BQ45</f>
        <v>102.519551581852</v>
      </c>
      <c r="BR11" s="19" t="n">
        <f aca="false">-Construction!BR13+Funding!BR39+Waterfall!BR7*(1-Time!BR20)-Operations!BR45</f>
        <v>101.676109795064</v>
      </c>
      <c r="BS11" s="19" t="n">
        <f aca="false">-Construction!BS13+Funding!BS39+Waterfall!BS7*(1-Time!BS20)-Operations!BS45</f>
        <v>106.983184244272</v>
      </c>
      <c r="BT11" s="19" t="n">
        <f aca="false">-Construction!BT13+Funding!BT39+Waterfall!BT7*(1-Time!BT20)-Operations!BT45</f>
        <v>106.111123491235</v>
      </c>
      <c r="BU11" s="19" t="n">
        <f aca="false">-Construction!BU13+Funding!BU39+Waterfall!BU7*(1-Time!BU20)-Operations!BU45</f>
        <v>130.212926934043</v>
      </c>
      <c r="BV11" s="19" t="n">
        <f aca="false">-Construction!BV13+Funding!BV39+Waterfall!BV7*(1-Time!BV20)-Operations!BV45</f>
        <v>129.311084012264</v>
      </c>
      <c r="BW11" s="19" t="n">
        <f aca="false">-Construction!BW13+Funding!BW39+Waterfall!BW7*(1-Time!BW20)-Operations!BW45</f>
        <v>135.009456654313</v>
      </c>
      <c r="BX11" s="19" t="n">
        <f aca="false">-Construction!BX13+Funding!BX39+Waterfall!BX7*(1-Time!BX20)-Operations!BX45</f>
        <v>134.817545364697</v>
      </c>
      <c r="BY11" s="19" t="n">
        <f aca="false">-Construction!BY13+Funding!BY39+Waterfall!BY7*(1-Time!BY20)-Operations!BY45</f>
        <v>139.977984148921</v>
      </c>
      <c r="BZ11" s="19" t="n">
        <f aca="false">-Construction!BZ13+Funding!BZ39+Waterfall!BZ7*(1-Time!BZ20)-Operations!BZ45</f>
        <v>139.012977091913</v>
      </c>
      <c r="CA11" s="19" t="n">
        <f aca="false">-Construction!CA13+Funding!CA39+Waterfall!CA7*(1-Time!CA20)-Operations!CA45</f>
        <v>133.112737048905</v>
      </c>
      <c r="CB11" s="19" t="n">
        <f aca="false">-Construction!CB13+Funding!CB39+Waterfall!CB7*(1-Time!CB20)-Operations!CB45</f>
        <v>132.114291649574</v>
      </c>
      <c r="CC11" s="19" t="n">
        <f aca="false">-Construction!CC13+Funding!CC39+Waterfall!CC7*(1-Time!CC20)-Operations!CC45</f>
        <v>138.436679298269</v>
      </c>
      <c r="CD11" s="19" t="n">
        <f aca="false">-Construction!CD13+Funding!CD39+Waterfall!CD7*(1-Time!CD20)-Operations!CD45</f>
        <v>137.403519585584</v>
      </c>
      <c r="CE11" s="19" t="n">
        <f aca="false">-Construction!CE13+Funding!CE39+Waterfall!CE7*(1-Time!CE20)-Operations!CE45</f>
        <v>138.129816922637</v>
      </c>
      <c r="CF11" s="19" t="n">
        <f aca="false">-Construction!CF13+Funding!CF39+Waterfall!CF7*(1-Time!CF20)-Operations!CF45</f>
        <v>121.347037552466</v>
      </c>
      <c r="CG11" s="19" t="n">
        <f aca="false">-Construction!CG13+Funding!CG39+Waterfall!CG7*(1-Time!CG20)-Operations!CG45</f>
        <v>129.292104781583</v>
      </c>
      <c r="CH11" s="19" t="n">
        <f aca="false">-Construction!CH13+Funding!CH39+Waterfall!CH7*(1-Time!CH20)-Operations!CH45</f>
        <v>105.712765642997</v>
      </c>
      <c r="CI11" s="19" t="n">
        <f aca="false">-Construction!CI13+Funding!CI39+Waterfall!CI7*(1-Time!CI20)-Operations!CI45</f>
        <v>110.597291903227</v>
      </c>
      <c r="CJ11" s="19" t="n">
        <f aca="false">-Construction!CJ13+Funding!CJ39+Waterfall!CJ7*(1-Time!CJ20)-Operations!CJ45</f>
        <v>109.380604163406</v>
      </c>
      <c r="CK11" s="19" t="n">
        <f aca="false">-Construction!CK13+Funding!CK39+Waterfall!CK7*(1-Time!CK20)-Operations!CK45</f>
        <v>130.69694838973</v>
      </c>
      <c r="CL11" s="19" t="n">
        <f aca="false">-Construction!CL13+Funding!CL39+Waterfall!CL7*(1-Time!CL20)-Operations!CL45</f>
        <v>118.960122368036</v>
      </c>
      <c r="CM11" s="19" t="n">
        <f aca="false">-Construction!CM13+Funding!CM39+Waterfall!CM7*(1-Time!CM20)-Operations!CM45</f>
        <v>124.175601923561</v>
      </c>
      <c r="CN11" s="19" t="n">
        <f aca="false">-Construction!CN13+Funding!CN39+Waterfall!CN7*(1-Time!CN20)-Operations!CN45</f>
        <v>123.62005663349</v>
      </c>
      <c r="CO11" s="19" t="n">
        <f aca="false">-Construction!CO13+Funding!CO39+Waterfall!CO7*(1-Time!CO20)-Operations!CO45</f>
        <v>128.255613672643</v>
      </c>
      <c r="CP11" s="19" t="n">
        <f aca="false">-Construction!CP13+Funding!CP39+Waterfall!CP7*(1-Time!CP20)-Operations!CP45</f>
        <v>141.862699835627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0.068396049735376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4889.65673075218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10.4157316104653</v>
      </c>
      <c r="AA13" s="19" t="n">
        <f aca="false">AA11+Tax!AA23</f>
        <v>23.0499596523945</v>
      </c>
      <c r="AB13" s="19" t="n">
        <f aca="false">AB11+Tax!AB23</f>
        <v>28.9545547609114</v>
      </c>
      <c r="AC13" s="19" t="n">
        <f aca="false">AC11+Tax!AC23</f>
        <v>30.8618898538651</v>
      </c>
      <c r="AD13" s="19" t="n">
        <f aca="false">AD11+Tax!AD23</f>
        <v>35.6006498627729</v>
      </c>
      <c r="AE13" s="19" t="n">
        <f aca="false">AE11+Tax!AE23</f>
        <v>37.9206406128931</v>
      </c>
      <c r="AF13" s="19" t="n">
        <f aca="false">AF11+Tax!AF23</f>
        <v>40.9942494713759</v>
      </c>
      <c r="AG13" s="19" t="n">
        <f aca="false">AG11+Tax!AG23</f>
        <v>43.4213391934174</v>
      </c>
      <c r="AH13" s="19" t="n">
        <f aca="false">AH11+Tax!AH23</f>
        <v>45.1152067996604</v>
      </c>
      <c r="AI13" s="19" t="n">
        <f aca="false">AI11+Tax!AI23</f>
        <v>44.424347445054</v>
      </c>
      <c r="AJ13" s="19" t="n">
        <f aca="false">AJ11+Tax!AJ23</f>
        <v>45.3747631488508</v>
      </c>
      <c r="AK13" s="19" t="n">
        <f aca="false">AK11+Tax!AK23</f>
        <v>47.713942356959</v>
      </c>
      <c r="AL13" s="19" t="n">
        <f aca="false">AL11+Tax!AL23</f>
        <v>48.4403427011658</v>
      </c>
      <c r="AM13" s="19" t="n">
        <f aca="false">AM11+Tax!AM23</f>
        <v>51.2179782967296</v>
      </c>
      <c r="AN13" s="19" t="n">
        <f aca="false">AN11+Tax!AN23</f>
        <v>51.9903255074749</v>
      </c>
      <c r="AO13" s="19" t="n">
        <f aca="false">AO11+Tax!AO23</f>
        <v>58.1320200344106</v>
      </c>
      <c r="AP13" s="19" t="n">
        <f aca="false">AP11+Tax!AP23</f>
        <v>58.9503893577537</v>
      </c>
      <c r="AQ13" s="19" t="n">
        <f aca="false">AQ11+Tax!AQ23</f>
        <v>51.7824009781804</v>
      </c>
      <c r="AR13" s="19" t="n">
        <f aca="false">AR11+Tax!AR23</f>
        <v>53.000134395554</v>
      </c>
      <c r="AS13" s="19" t="n">
        <f aca="false">AS11+Tax!AS23</f>
        <v>55.9643575027677</v>
      </c>
      <c r="AT13" s="19" t="n">
        <f aca="false">AT11+Tax!AT23</f>
        <v>56.8879307299442</v>
      </c>
      <c r="AU13" s="19" t="n">
        <f aca="false">AU11+Tax!AU23</f>
        <v>60.4081008444681</v>
      </c>
      <c r="AV13" s="19" t="n">
        <f aca="false">AV11+Tax!AV23</f>
        <v>61.3889030482684</v>
      </c>
      <c r="AW13" s="19" t="n">
        <f aca="false">AW11+Tax!AW23</f>
        <v>66.706862328475</v>
      </c>
      <c r="AX13" s="19" t="n">
        <f aca="false">AX11+Tax!AX23</f>
        <v>66.9744095454637</v>
      </c>
      <c r="AY13" s="19" t="n">
        <f aca="false">AY11+Tax!AY23</f>
        <v>66.5052369898839</v>
      </c>
      <c r="AZ13" s="19" t="n">
        <f aca="false">AZ11+Tax!AZ23</f>
        <v>67.2244544681581</v>
      </c>
      <c r="BA13" s="19" t="n">
        <f aca="false">BA11+Tax!BA23</f>
        <v>70.379591293878</v>
      </c>
      <c r="BB13" s="19" t="n">
        <f aca="false">BB11+Tax!BB23</f>
        <v>70.6746686721234</v>
      </c>
      <c r="BC13" s="19" t="n">
        <f aca="false">BC11+Tax!BC23</f>
        <v>82.7447309895529</v>
      </c>
      <c r="BD13" s="19" t="n">
        <f aca="false">BD11+Tax!BD23</f>
        <v>83.0558031491129</v>
      </c>
      <c r="BE13" s="19" t="n">
        <f aca="false">BE11+Tax!BE23</f>
        <v>90.9436792483577</v>
      </c>
      <c r="BF13" s="19" t="n">
        <f aca="false">BF11+Tax!BF23</f>
        <v>91.271422964997</v>
      </c>
      <c r="BG13" s="19" t="n">
        <f aca="false">BG11+Tax!BG23</f>
        <v>95.4057282169361</v>
      </c>
      <c r="BH13" s="19" t="n">
        <f aca="false">BH11+Tax!BH23</f>
        <v>96.2773939405722</v>
      </c>
      <c r="BI13" s="19" t="n">
        <f aca="false">BI11+Tax!BI23</f>
        <v>100.089584552284</v>
      </c>
      <c r="BJ13" s="19" t="n">
        <f aca="false">BJ11+Tax!BJ23</f>
        <v>100.449714516574</v>
      </c>
      <c r="BK13" s="19" t="n">
        <f aca="false">BK11+Tax!BK23</f>
        <v>105.006906199794</v>
      </c>
      <c r="BL13" s="19" t="n">
        <f aca="false">BL11+Tax!BL23</f>
        <v>105.3857388565</v>
      </c>
      <c r="BM13" s="19" t="n">
        <f aca="false">BM11+Tax!BM23</f>
        <v>110.12668894607</v>
      </c>
      <c r="BN13" s="19" t="n">
        <f aca="false">BN11+Tax!BN23</f>
        <v>110.52187333404</v>
      </c>
      <c r="BO13" s="19" t="n">
        <f aca="false">BO11+Tax!BO23</f>
        <v>96.8923450603104</v>
      </c>
      <c r="BP13" s="19" t="n">
        <f aca="false">BP11+Tax!BP23</f>
        <v>97.9486652863241</v>
      </c>
      <c r="BQ13" s="19" t="n">
        <f aca="false">BQ11+Tax!BQ23</f>
        <v>102.519551581852</v>
      </c>
      <c r="BR13" s="19" t="n">
        <f aca="false">BR11+Tax!BR23</f>
        <v>101.676109795064</v>
      </c>
      <c r="BS13" s="19" t="n">
        <f aca="false">BS11+Tax!BS23</f>
        <v>106.983184244272</v>
      </c>
      <c r="BT13" s="19" t="n">
        <f aca="false">BT11+Tax!BT23</f>
        <v>106.111123491235</v>
      </c>
      <c r="BU13" s="19" t="n">
        <f aca="false">BU11+Tax!BU23</f>
        <v>130.212926934043</v>
      </c>
      <c r="BV13" s="19" t="n">
        <f aca="false">BV11+Tax!BV23</f>
        <v>129.311084012264</v>
      </c>
      <c r="BW13" s="19" t="n">
        <f aca="false">BW11+Tax!BW23</f>
        <v>135.009456654313</v>
      </c>
      <c r="BX13" s="19" t="n">
        <f aca="false">BX11+Tax!BX23</f>
        <v>134.817545364697</v>
      </c>
      <c r="BY13" s="19" t="n">
        <f aca="false">BY11+Tax!BY23</f>
        <v>139.977984148921</v>
      </c>
      <c r="BZ13" s="19" t="n">
        <f aca="false">BZ11+Tax!BZ23</f>
        <v>139.012977091913</v>
      </c>
      <c r="CA13" s="19" t="n">
        <f aca="false">CA11+Tax!CA23</f>
        <v>133.112737048905</v>
      </c>
      <c r="CB13" s="19" t="n">
        <f aca="false">CB11+Tax!CB23</f>
        <v>132.114291649574</v>
      </c>
      <c r="CC13" s="19" t="n">
        <f aca="false">CC11+Tax!CC23</f>
        <v>138.436679298269</v>
      </c>
      <c r="CD13" s="19" t="n">
        <f aca="false">CD11+Tax!CD23</f>
        <v>137.403519585584</v>
      </c>
      <c r="CE13" s="19" t="n">
        <f aca="false">CE11+Tax!CE23</f>
        <v>138.129816922637</v>
      </c>
      <c r="CF13" s="19" t="n">
        <f aca="false">CF11+Tax!CF23</f>
        <v>137.916545135866</v>
      </c>
      <c r="CG13" s="19" t="n">
        <f aca="false">CG11+Tax!CG23</f>
        <v>146.256926710416</v>
      </c>
      <c r="CH13" s="19" t="n">
        <f aca="false">CH11+Tax!CH23</f>
        <v>144.912897974748</v>
      </c>
      <c r="CI13" s="19" t="n">
        <f aca="false">CI11+Tax!CI23</f>
        <v>151.952559667699</v>
      </c>
      <c r="CJ13" s="19" t="n">
        <f aca="false">CJ11+Tax!CJ23</f>
        <v>150.563473618639</v>
      </c>
      <c r="CK13" s="19" t="n">
        <f aca="false">CK11+Tax!CK23</f>
        <v>163.653219875466</v>
      </c>
      <c r="CL13" s="19" t="n">
        <f aca="false">CL11+Tax!CL23</f>
        <v>162.217522124143</v>
      </c>
      <c r="CM13" s="19" t="n">
        <f aca="false">CM11+Tax!CM23</f>
        <v>169.780862844495</v>
      </c>
      <c r="CN13" s="19" t="n">
        <f aca="false">CN11+Tax!CN23</f>
        <v>169.288891523174</v>
      </c>
      <c r="CO13" s="19" t="n">
        <f aca="false">CO11+Tax!CO23</f>
        <v>176.111849564567</v>
      </c>
      <c r="CP13" s="19" t="n">
        <f aca="false">CP11+Tax!CP23</f>
        <v>149.57733716468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0.0698891737193028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547.221200157625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6443.65673075218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10.4157316104653</v>
      </c>
      <c r="AA17" s="19" t="n">
        <f aca="false">Operations!AA32-Operations!AA44-Operations!AA36-Reserves!AA22+Operations!AA31</f>
        <v>23.0499596523945</v>
      </c>
      <c r="AB17" s="19" t="n">
        <f aca="false">Operations!AB32-Operations!AB44-Operations!AB36-Reserves!AB22+Operations!AB31</f>
        <v>28.9545547609114</v>
      </c>
      <c r="AC17" s="19" t="n">
        <f aca="false">Operations!AC32-Operations!AC44-Operations!AC36-Reserves!AC22+Operations!AC31</f>
        <v>30.8618898538651</v>
      </c>
      <c r="AD17" s="19" t="n">
        <f aca="false">Operations!AD32-Operations!AD44-Operations!AD36-Reserves!AD22+Operations!AD31</f>
        <v>35.6006498627729</v>
      </c>
      <c r="AE17" s="19" t="n">
        <f aca="false">Operations!AE32-Operations!AE44-Operations!AE36-Reserves!AE22+Operations!AE31</f>
        <v>37.9206406128931</v>
      </c>
      <c r="AF17" s="19" t="n">
        <f aca="false">Operations!AF32-Operations!AF44-Operations!AF36-Reserves!AF22+Operations!AF31</f>
        <v>40.9942494713759</v>
      </c>
      <c r="AG17" s="19" t="n">
        <f aca="false">Operations!AG32-Operations!AG44-Operations!AG36-Reserves!AG22+Operations!AG31</f>
        <v>43.4213391934174</v>
      </c>
      <c r="AH17" s="19" t="n">
        <f aca="false">Operations!AH32-Operations!AH44-Operations!AH36-Reserves!AH22+Operations!AH31</f>
        <v>45.1152067996604</v>
      </c>
      <c r="AI17" s="19" t="n">
        <f aca="false">Operations!AI32-Operations!AI44-Operations!AI36-Reserves!AI22+Operations!AI31</f>
        <v>47.6389597566671</v>
      </c>
      <c r="AJ17" s="19" t="n">
        <f aca="false">Operations!AJ32-Operations!AJ44-Operations!AJ36-Reserves!AJ22+Operations!AJ31</f>
        <v>48.5893754604639</v>
      </c>
      <c r="AK17" s="19" t="n">
        <f aca="false">Operations!AK32-Operations!AK44-Operations!AK36-Reserves!AK22+Operations!AK31</f>
        <v>50.9285546685721</v>
      </c>
      <c r="AL17" s="19" t="n">
        <f aca="false">Operations!AL32-Operations!AL44-Operations!AL36-Reserves!AL22+Operations!AL31</f>
        <v>51.6549550127789</v>
      </c>
      <c r="AM17" s="19" t="n">
        <f aca="false">Operations!AM32-Operations!AM44-Operations!AM36-Reserves!AM22+Operations!AM31</f>
        <v>54.4325906083427</v>
      </c>
      <c r="AN17" s="19" t="n">
        <f aca="false">Operations!AN32-Operations!AN44-Operations!AN36-Reserves!AN22+Operations!AN31</f>
        <v>55.204937819088</v>
      </c>
      <c r="AO17" s="19" t="n">
        <f aca="false">Operations!AO32-Operations!AO44-Operations!AO36-Reserves!AO22+Operations!AO31</f>
        <v>38.844346164732</v>
      </c>
      <c r="AP17" s="19" t="n">
        <f aca="false">Operations!AP32-Operations!AP44-Operations!AP36-Reserves!AP22+Operations!AP31</f>
        <v>58.9503893577537</v>
      </c>
      <c r="AQ17" s="19" t="n">
        <f aca="false">Operations!AQ32-Operations!AQ44-Operations!AQ36-Reserves!AQ22+Operations!AQ31</f>
        <v>62.065317960317</v>
      </c>
      <c r="AR17" s="19" t="n">
        <f aca="false">Operations!AR32-Operations!AR44-Operations!AR36-Reserves!AR22+Operations!AR31</f>
        <v>63.2830513776905</v>
      </c>
      <c r="AS17" s="19" t="n">
        <f aca="false">Operations!AS32-Operations!AS44-Operations!AS36-Reserves!AS22+Operations!AS31</f>
        <v>66.2472744849043</v>
      </c>
      <c r="AT17" s="19" t="n">
        <f aca="false">Operations!AT32-Operations!AT44-Operations!AT36-Reserves!AT22+Operations!AT31</f>
        <v>67.1708477120807</v>
      </c>
      <c r="AU17" s="19" t="n">
        <f aca="false">Operations!AU32-Operations!AU44-Operations!AU36-Reserves!AU22+Operations!AU31</f>
        <v>70.6910178266047</v>
      </c>
      <c r="AV17" s="19" t="n">
        <f aca="false">Operations!AV32-Operations!AV44-Operations!AV36-Reserves!AV22+Operations!AV31</f>
        <v>71.671820030405</v>
      </c>
      <c r="AW17" s="19" t="n">
        <f aca="false">Operations!AW32-Operations!AW44-Operations!AW36-Reserves!AW22+Operations!AW31</f>
        <v>13.3015459514618</v>
      </c>
      <c r="AX17" s="19" t="n">
        <f aca="false">Operations!AX32-Operations!AX44-Operations!AX36-Reserves!AX22+Operations!AX31</f>
        <v>75.2665950612699</v>
      </c>
      <c r="AY17" s="19" t="n">
        <f aca="false">Operations!AY32-Operations!AY44-Operations!AY36-Reserves!AY22+Operations!AY31</f>
        <v>78.7141154605306</v>
      </c>
      <c r="AZ17" s="19" t="n">
        <f aca="false">Operations!AZ32-Operations!AZ44-Operations!AZ36-Reserves!AZ22+Operations!AZ31</f>
        <v>79.4333329388048</v>
      </c>
      <c r="BA17" s="19" t="n">
        <f aca="false">Operations!BA32-Operations!BA44-Operations!BA36-Reserves!BA22+Operations!BA31</f>
        <v>82.5884697645247</v>
      </c>
      <c r="BB17" s="19" t="n">
        <f aca="false">Operations!BB32-Operations!BB44-Operations!BB36-Reserves!BB22+Operations!BB31</f>
        <v>82.8835471427701</v>
      </c>
      <c r="BC17" s="19" t="n">
        <f aca="false">Operations!BC32-Operations!BC44-Operations!BC36-Reserves!BC22+Operations!BC31</f>
        <v>36.908310849556</v>
      </c>
      <c r="BD17" s="19" t="n">
        <f aca="false">Operations!BD32-Operations!BD44-Operations!BD36-Reserves!BD22+Operations!BD31</f>
        <v>86.9724961039534</v>
      </c>
      <c r="BE17" s="19" t="n">
        <f aca="false">Operations!BE32-Operations!BE44-Operations!BE36-Reserves!BE22+Operations!BE31</f>
        <v>67.443521519315</v>
      </c>
      <c r="BF17" s="19" t="n">
        <f aca="false">Operations!BF32-Operations!BF44-Operations!BF36-Reserves!BF22+Operations!BF31</f>
        <v>91.271422964997</v>
      </c>
      <c r="BG17" s="19" t="n">
        <f aca="false">Operations!BG32-Operations!BG44-Operations!BG36-Reserves!BG22+Operations!BG31</f>
        <v>95.4057282169361</v>
      </c>
      <c r="BH17" s="19" t="n">
        <f aca="false">Operations!BH32-Operations!BH44-Operations!BH36-Reserves!BH22+Operations!BH31</f>
        <v>96.2773939405722</v>
      </c>
      <c r="BI17" s="19" t="n">
        <f aca="false">Operations!BI32-Operations!BI44-Operations!BI36-Reserves!BI22+Operations!BI31</f>
        <v>100.089584552284</v>
      </c>
      <c r="BJ17" s="19" t="n">
        <f aca="false">Operations!BJ32-Operations!BJ44-Operations!BJ36-Reserves!BJ22+Operations!BJ31</f>
        <v>100.449714516574</v>
      </c>
      <c r="BK17" s="19" t="n">
        <f aca="false">Operations!BK32-Operations!BK44-Operations!BK36-Reserves!BK22+Operations!BK31</f>
        <v>105.006906199794</v>
      </c>
      <c r="BL17" s="19" t="n">
        <f aca="false">Operations!BL32-Operations!BL44-Operations!BL36-Reserves!BL22+Operations!BL31</f>
        <v>105.3857388565</v>
      </c>
      <c r="BM17" s="19" t="n">
        <f aca="false">Operations!BM32-Operations!BM44-Operations!BM36-Reserves!BM22+Operations!BM31</f>
        <v>110.12668894607</v>
      </c>
      <c r="BN17" s="19" t="n">
        <f aca="false">Operations!BN32-Operations!BN44-Operations!BN36-Reserves!BN22+Operations!BN31</f>
        <v>110.52187333404</v>
      </c>
      <c r="BO17" s="19" t="n">
        <f aca="false">Operations!BO32-Operations!BO44-Operations!BO36-Reserves!BO22+Operations!BO31</f>
        <v>115.493835235073</v>
      </c>
      <c r="BP17" s="19" t="n">
        <f aca="false">Operations!BP32-Operations!BP44-Operations!BP36-Reserves!BP22+Operations!BP31</f>
        <v>116.550155461086</v>
      </c>
      <c r="BQ17" s="19" t="n">
        <f aca="false">Operations!BQ32-Operations!BQ44-Operations!BQ36-Reserves!BQ22+Operations!BQ31</f>
        <v>121.121041756614</v>
      </c>
      <c r="BR17" s="19" t="n">
        <f aca="false">Operations!BR32-Operations!BR44-Operations!BR36-Reserves!BR22+Operations!BR31</f>
        <v>120.277599969826</v>
      </c>
      <c r="BS17" s="19" t="n">
        <f aca="false">Operations!BS32-Operations!BS44-Operations!BS36-Reserves!BS22+Operations!BS31</f>
        <v>125.584674419035</v>
      </c>
      <c r="BT17" s="19" t="n">
        <f aca="false">Operations!BT32-Operations!BT44-Operations!BT36-Reserves!BT22+Operations!BT31</f>
        <v>124.712613665998</v>
      </c>
      <c r="BU17" s="19" t="n">
        <f aca="false">Operations!BU32-Operations!BU44-Operations!BU36-Reserves!BU22+Operations!BU31</f>
        <v>18.6039858854694</v>
      </c>
      <c r="BV17" s="19" t="n">
        <f aca="false">Operations!BV32-Operations!BV44-Operations!BV36-Reserves!BV22+Operations!BV31</f>
        <v>129.311084012264</v>
      </c>
      <c r="BW17" s="19" t="n">
        <f aca="false">Operations!BW32-Operations!BW44-Operations!BW36-Reserves!BW22+Operations!BW31</f>
        <v>135.009456654313</v>
      </c>
      <c r="BX17" s="19" t="n">
        <f aca="false">Operations!BX32-Operations!BX44-Operations!BX36-Reserves!BX22+Operations!BX31</f>
        <v>134.817545364697</v>
      </c>
      <c r="BY17" s="19" t="n">
        <f aca="false">Operations!BY32-Operations!BY44-Operations!BY36-Reserves!BY22+Operations!BY31</f>
        <v>139.977984148921</v>
      </c>
      <c r="BZ17" s="19" t="n">
        <f aca="false">Operations!BZ32-Operations!BZ44-Operations!BZ36-Reserves!BZ22+Operations!BZ31</f>
        <v>139.012977091913</v>
      </c>
      <c r="CA17" s="19" t="n">
        <f aca="false">Operations!CA32-Operations!CA44-Operations!CA36-Reserves!CA22+Operations!CA31</f>
        <v>145.122294127709</v>
      </c>
      <c r="CB17" s="19" t="n">
        <f aca="false">Operations!CB32-Operations!CB44-Operations!CB36-Reserves!CB22+Operations!CB31</f>
        <v>144.123848728379</v>
      </c>
      <c r="CC17" s="19" t="n">
        <f aca="false">Operations!CC32-Operations!CC44-Operations!CC36-Reserves!CC22+Operations!CC31</f>
        <v>150.446236377074</v>
      </c>
      <c r="CD17" s="19" t="n">
        <f aca="false">Operations!CD32-Operations!CD44-Operations!CD36-Reserves!CD22+Operations!CD31</f>
        <v>149.413076664388</v>
      </c>
      <c r="CE17" s="19" t="n">
        <f aca="false">Operations!CE32-Operations!CE44-Operations!CE36-Reserves!CE22+Operations!CE31</f>
        <v>155.953726707304</v>
      </c>
      <c r="CF17" s="19" t="n">
        <f aca="false">Operations!CF32-Operations!CF44-Operations!CF36-Reserves!CF22+Operations!CF31</f>
        <v>155.740454920533</v>
      </c>
      <c r="CG17" s="19" t="n">
        <f aca="false">Operations!CG32-Operations!CG44-Operations!CG36-Reserves!CG22+Operations!CG31</f>
        <v>89.6366416122375</v>
      </c>
      <c r="CH17" s="19" t="n">
        <f aca="false">Operations!CH32-Operations!CH44-Operations!CH36-Reserves!CH22+Operations!CH31</f>
        <v>160.590522966115</v>
      </c>
      <c r="CI17" s="19" t="n">
        <f aca="false">Operations!CI32-Operations!CI44-Operations!CI36-Reserves!CI22+Operations!CI31</f>
        <v>167.630184659066</v>
      </c>
      <c r="CJ17" s="19" t="n">
        <f aca="false">Operations!CJ32-Operations!CJ44-Operations!CJ36-Reserves!CJ22+Operations!CJ31</f>
        <v>166.487680417143</v>
      </c>
      <c r="CK17" s="19" t="n">
        <f aca="false">Operations!CK32-Operations!CK44-Operations!CK36-Reserves!CK22+Operations!CK31</f>
        <v>138.876957732935</v>
      </c>
      <c r="CL17" s="19" t="n">
        <f aca="false">Operations!CL32-Operations!CL44-Operations!CL36-Reserves!CL22+Operations!CL31</f>
        <v>172.580122569101</v>
      </c>
      <c r="CM17" s="19" t="n">
        <f aca="false">Operations!CM32-Operations!CM44-Operations!CM36-Reserves!CM22+Operations!CM31</f>
        <v>180.143463289453</v>
      </c>
      <c r="CN17" s="19" t="n">
        <f aca="false">Operations!CN32-Operations!CN44-Operations!CN36-Reserves!CN22+Operations!CN31</f>
        <v>179.910556979256</v>
      </c>
      <c r="CO17" s="19" t="n">
        <f aca="false">Operations!CO32-Operations!CO44-Operations!CO36-Reserves!CO22+Operations!CO31</f>
        <v>186.733515020649</v>
      </c>
      <c r="CP17" s="19" t="n">
        <f aca="false">Operations!CP32-Operations!CP44-Operations!CP36-Reserves!CP22+Operations!CP31</f>
        <v>58.0398479375205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1589.02994089848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1576.52994089848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538.691498872494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319.68237963225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1740.50404751774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447.616609523617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380.474118095075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67.1424914285426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52.8575085714574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565.924695888138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2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4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2.66290709128484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1.5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2.48913664274052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1.49207486492603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2.44462186494865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2.69827126015181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0.10039393731363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-68.1430646579991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0.068396049735376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