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8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(Inputs!$F$174*Funding!$F$76/Inputs!$F$175+Inputs!$F$176*Funding!$F$76/Inputs!$F$177+Inputs!$F$178*Funding!$F$76/Inputs!$F$179)*J7</f>
        <v/>
      </c>
      <c r="K11" s="11">
        <f>(Inputs!$F$174*Funding!$F$76/Inputs!$F$175+Inputs!$F$176*Funding!$F$76/Inputs!$F$177+Inputs!$F$178*Funding!$F$76/Inputs!$F$179)*K7</f>
        <v/>
      </c>
      <c r="L11" s="11">
        <f>(Inputs!$F$174*Funding!$F$76/Inputs!$F$175+Inputs!$F$176*Funding!$F$76/Inputs!$F$177+Inputs!$F$178*Funding!$F$76/Inputs!$F$179)*L7</f>
        <v/>
      </c>
      <c r="M11" s="11">
        <f>(Inputs!$F$174*Funding!$F$76/Inputs!$F$175+Inputs!$F$176*Funding!$F$76/Inputs!$F$177+Inputs!$F$178*Funding!$F$76/Inputs!$F$179)*M7</f>
        <v/>
      </c>
      <c r="N11" s="11">
        <f>(Inputs!$F$174*Funding!$F$76/Inputs!$F$175+Inputs!$F$176*Funding!$F$76/Inputs!$F$177+Inputs!$F$178*Funding!$F$76/Inputs!$F$179)*N7</f>
        <v/>
      </c>
      <c r="O11" s="11">
        <f>(Inputs!$F$174*Funding!$F$76/Inputs!$F$175+Inputs!$F$176*Funding!$F$76/Inputs!$F$177+Inputs!$F$178*Funding!$F$76/Inputs!$F$179)*O7</f>
        <v/>
      </c>
      <c r="P11" s="11">
        <f>(Inputs!$F$174*Funding!$F$76/Inputs!$F$175+Inputs!$F$176*Funding!$F$76/Inputs!$F$177+Inputs!$F$178*Funding!$F$76/Inputs!$F$179)*P7</f>
        <v/>
      </c>
      <c r="Q11" s="11">
        <f>(Inputs!$F$174*Funding!$F$76/Inputs!$F$175+Inputs!$F$176*Funding!$F$76/Inputs!$F$177+Inputs!$F$178*Funding!$F$76/Inputs!$F$179)*Q7</f>
        <v/>
      </c>
      <c r="R11" s="11">
        <f>(Inputs!$F$174*Funding!$F$76/Inputs!$F$175+Inputs!$F$176*Funding!$F$76/Inputs!$F$177+Inputs!$F$178*Funding!$F$76/Inputs!$F$179)*R7</f>
        <v/>
      </c>
      <c r="S11" s="11">
        <f>(Inputs!$F$174*Funding!$F$76/Inputs!$F$175+Inputs!$F$176*Funding!$F$76/Inputs!$F$177+Inputs!$F$178*Funding!$F$76/Inputs!$F$179)*S7</f>
        <v/>
      </c>
      <c r="T11" s="11">
        <f>(Inputs!$F$174*Funding!$F$76/Inputs!$F$175+Inputs!$F$176*Funding!$F$76/Inputs!$F$177+Inputs!$F$178*Funding!$F$76/Inputs!$F$179)*T7</f>
        <v/>
      </c>
      <c r="U11" s="11">
        <f>(Inputs!$F$174*Funding!$F$76/Inputs!$F$175+Inputs!$F$176*Funding!$F$76/Inputs!$F$177+Inputs!$F$178*Funding!$F$76/Inputs!$F$179)*U7</f>
        <v/>
      </c>
      <c r="V11" s="11">
        <f>(Inputs!$F$174*Funding!$F$76/Inputs!$F$175+Inputs!$F$176*Funding!$F$76/Inputs!$F$177+Inputs!$F$178*Funding!$F$76/Inputs!$F$179)*V7</f>
        <v/>
      </c>
      <c r="W11" s="11">
        <f>(Inputs!$F$174*Funding!$F$76/Inputs!$F$175+Inputs!$F$176*Funding!$F$76/Inputs!$F$177+Inputs!$F$178*Funding!$F$76/Inputs!$F$179)*W7</f>
        <v/>
      </c>
      <c r="X11" s="11">
        <f>(Inputs!$F$174*Funding!$F$76/Inputs!$F$175+Inputs!$F$176*Funding!$F$76/Inputs!$F$177+Inputs!$F$178*Funding!$F$76/Inputs!$F$179)*X7</f>
        <v/>
      </c>
      <c r="Y11" s="11">
        <f>(Inputs!$F$174*Funding!$F$76/Inputs!$F$175+Inputs!$F$176*Funding!$F$76/Inputs!$F$177+Inputs!$F$178*Funding!$F$76/Inputs!$F$179)*Y7</f>
        <v/>
      </c>
      <c r="Z11" s="11">
        <f>(Inputs!$F$174*Funding!$F$76/Inputs!$F$175+Inputs!$F$176*Funding!$F$76/Inputs!$F$177+Inputs!$F$178*Funding!$F$76/Inputs!$F$179)*Z7</f>
        <v/>
      </c>
      <c r="AA11" s="11">
        <f>(Inputs!$F$174*Funding!$F$76/Inputs!$F$175+Inputs!$F$176*Funding!$F$76/Inputs!$F$177+Inputs!$F$178*Funding!$F$76/Inputs!$F$179)*AA7</f>
        <v/>
      </c>
      <c r="AB11" s="11">
        <f>(Inputs!$F$174*Funding!$F$76/Inputs!$F$175+Inputs!$F$176*Funding!$F$76/Inputs!$F$177+Inputs!$F$178*Funding!$F$76/Inputs!$F$179)*AB7</f>
        <v/>
      </c>
      <c r="AC11" s="11">
        <f>(Inputs!$F$174*Funding!$F$76/Inputs!$F$175+Inputs!$F$176*Funding!$F$76/Inputs!$F$177+Inputs!$F$178*Funding!$F$76/Inputs!$F$179)*AC7</f>
        <v/>
      </c>
      <c r="AD11" s="11">
        <f>(Inputs!$F$174*Funding!$F$76/Inputs!$F$175+Inputs!$F$176*Funding!$F$76/Inputs!$F$177+Inputs!$F$178*Funding!$F$76/Inputs!$F$179)*AD7</f>
        <v/>
      </c>
      <c r="AE11" s="11">
        <f>(Inputs!$F$174*Funding!$F$76/Inputs!$F$175+Inputs!$F$176*Funding!$F$76/Inputs!$F$177+Inputs!$F$178*Funding!$F$76/Inputs!$F$179)*AE7</f>
        <v/>
      </c>
      <c r="AF11" s="11">
        <f>(Inputs!$F$174*Funding!$F$76/Inputs!$F$175+Inputs!$F$176*Funding!$F$76/Inputs!$F$177+Inputs!$F$178*Funding!$F$76/Inputs!$F$179)*AF7</f>
        <v/>
      </c>
      <c r="AG11" s="11">
        <f>(Inputs!$F$174*Funding!$F$76/Inputs!$F$175+Inputs!$F$176*Funding!$F$76/Inputs!$F$177+Inputs!$F$178*Funding!$F$76/Inputs!$F$179)*AG7</f>
        <v/>
      </c>
      <c r="AH11" s="11">
        <f>(Inputs!$F$174*Funding!$F$76/Inputs!$F$175+Inputs!$F$176*Funding!$F$76/Inputs!$F$177+Inputs!$F$178*Funding!$F$76/Inputs!$F$179)*AH7</f>
        <v/>
      </c>
      <c r="AI11" s="11">
        <f>(Inputs!$F$174*Funding!$F$76/Inputs!$F$175+Inputs!$F$176*Funding!$F$76/Inputs!$F$177+Inputs!$F$178*Funding!$F$76/Inputs!$F$179)*AI7</f>
        <v/>
      </c>
      <c r="AJ11" s="11">
        <f>(Inputs!$F$174*Funding!$F$76/Inputs!$F$175+Inputs!$F$176*Funding!$F$76/Inputs!$F$177+Inputs!$F$178*Funding!$F$76/Inputs!$F$179)*AJ7</f>
        <v/>
      </c>
      <c r="AK11" s="11">
        <f>(Inputs!$F$174*Funding!$F$76/Inputs!$F$175+Inputs!$F$176*Funding!$F$76/Inputs!$F$177+Inputs!$F$178*Funding!$F$76/Inputs!$F$179)*AK7</f>
        <v/>
      </c>
      <c r="AL11" s="11">
        <f>(Inputs!$F$174*Funding!$F$76/Inputs!$F$175+Inputs!$F$176*Funding!$F$76/Inputs!$F$177+Inputs!$F$178*Funding!$F$76/Inputs!$F$179)*AL7</f>
        <v/>
      </c>
      <c r="AM11" s="11">
        <f>(Inputs!$F$174*Funding!$F$76/Inputs!$F$175+Inputs!$F$176*Funding!$F$76/Inputs!$F$177+Inputs!$F$178*Funding!$F$76/Inputs!$F$179)*AM7</f>
        <v/>
      </c>
      <c r="AN11" s="11">
        <f>(Inputs!$F$174*Funding!$F$76/Inputs!$F$175+Inputs!$F$176*Funding!$F$76/Inputs!$F$177+Inputs!$F$178*Funding!$F$76/Inputs!$F$179)*AN7</f>
        <v/>
      </c>
      <c r="AO11" s="11">
        <f>(Inputs!$F$174*Funding!$F$76/Inputs!$F$175+Inputs!$F$176*Funding!$F$76/Inputs!$F$177+Inputs!$F$178*Funding!$F$76/Inputs!$F$179)*AO7</f>
        <v/>
      </c>
      <c r="AP11" s="11">
        <f>(Inputs!$F$174*Funding!$F$76/Inputs!$F$175+Inputs!$F$176*Funding!$F$76/Inputs!$F$177+Inputs!$F$178*Funding!$F$76/Inputs!$F$179)*AP7</f>
        <v/>
      </c>
      <c r="AQ11" s="11">
        <f>(Inputs!$F$174*Funding!$F$76/Inputs!$F$175+Inputs!$F$176*Funding!$F$76/Inputs!$F$177+Inputs!$F$178*Funding!$F$76/Inputs!$F$179)*AQ7</f>
        <v/>
      </c>
      <c r="AR11" s="11">
        <f>(Inputs!$F$174*Funding!$F$76/Inputs!$F$175+Inputs!$F$176*Funding!$F$76/Inputs!$F$177+Inputs!$F$178*Funding!$F$76/Inputs!$F$179)*AR7</f>
        <v/>
      </c>
      <c r="AS11" s="11">
        <f>(Inputs!$F$174*Funding!$F$76/Inputs!$F$175+Inputs!$F$176*Funding!$F$76/Inputs!$F$177+Inputs!$F$178*Funding!$F$76/Inputs!$F$179)*AS7</f>
        <v/>
      </c>
      <c r="AT11" s="11">
        <f>(Inputs!$F$174*Funding!$F$76/Inputs!$F$175+Inputs!$F$176*Funding!$F$76/Inputs!$F$177+Inputs!$F$178*Funding!$F$76/Inputs!$F$179)*AT7</f>
        <v/>
      </c>
      <c r="AU11" s="11">
        <f>(Inputs!$F$174*Funding!$F$76/Inputs!$F$175+Inputs!$F$176*Funding!$F$76/Inputs!$F$177+Inputs!$F$178*Funding!$F$76/Inputs!$F$179)*AU7</f>
        <v/>
      </c>
      <c r="AV11" s="11">
        <f>(Inputs!$F$174*Funding!$F$76/Inputs!$F$175+Inputs!$F$176*Funding!$F$76/Inputs!$F$177+Inputs!$F$178*Funding!$F$76/Inputs!$F$179)*AV7</f>
        <v/>
      </c>
      <c r="AW11" s="11">
        <f>(Inputs!$F$174*Funding!$F$76/Inputs!$F$175+Inputs!$F$176*Funding!$F$76/Inputs!$F$177+Inputs!$F$178*Funding!$F$76/Inputs!$F$179)*AW7</f>
        <v/>
      </c>
      <c r="AX11" s="11">
        <f>(Inputs!$F$174*Funding!$F$76/Inputs!$F$175+Inputs!$F$176*Funding!$F$76/Inputs!$F$177+Inputs!$F$178*Funding!$F$76/Inputs!$F$179)*AX7</f>
        <v/>
      </c>
      <c r="AY11" s="11">
        <f>(Inputs!$F$174*Funding!$F$76/Inputs!$F$175+Inputs!$F$176*Funding!$F$76/Inputs!$F$177+Inputs!$F$178*Funding!$F$76/Inputs!$F$179)*AY7</f>
        <v/>
      </c>
      <c r="AZ11" s="11">
        <f>(Inputs!$F$174*Funding!$F$76/Inputs!$F$175+Inputs!$F$176*Funding!$F$76/Inputs!$F$177+Inputs!$F$178*Funding!$F$76/Inputs!$F$179)*AZ7</f>
        <v/>
      </c>
      <c r="BA11" s="11">
        <f>(Inputs!$F$174*Funding!$F$76/Inputs!$F$175+Inputs!$F$176*Funding!$F$76/Inputs!$F$177+Inputs!$F$178*Funding!$F$76/Inputs!$F$179)*BA7</f>
        <v/>
      </c>
      <c r="BB11" s="11">
        <f>(Inputs!$F$174*Funding!$F$76/Inputs!$F$175+Inputs!$F$176*Funding!$F$76/Inputs!$F$177+Inputs!$F$178*Funding!$F$76/Inputs!$F$179)*BB7</f>
        <v/>
      </c>
      <c r="BC11" s="11">
        <f>(Inputs!$F$174*Funding!$F$76/Inputs!$F$175+Inputs!$F$176*Funding!$F$76/Inputs!$F$177+Inputs!$F$178*Funding!$F$76/Inputs!$F$179)*BC7</f>
        <v/>
      </c>
      <c r="BD11" s="11">
        <f>(Inputs!$F$174*Funding!$F$76/Inputs!$F$175+Inputs!$F$176*Funding!$F$76/Inputs!$F$177+Inputs!$F$178*Funding!$F$76/Inputs!$F$179)*BD7</f>
        <v/>
      </c>
      <c r="BE11" s="11">
        <f>(Inputs!$F$174*Funding!$F$76/Inputs!$F$175+Inputs!$F$176*Funding!$F$76/Inputs!$F$177+Inputs!$F$178*Funding!$F$76/Inputs!$F$179)*BE7</f>
        <v/>
      </c>
      <c r="BF11" s="11">
        <f>(Inputs!$F$174*Funding!$F$76/Inputs!$F$175+Inputs!$F$176*Funding!$F$76/Inputs!$F$177+Inputs!$F$178*Funding!$F$76/Inputs!$F$179)*BF7</f>
        <v/>
      </c>
      <c r="BG11" s="11">
        <f>(Inputs!$F$174*Funding!$F$76/Inputs!$F$175+Inputs!$F$176*Funding!$F$76/Inputs!$F$177+Inputs!$F$178*Funding!$F$76/Inputs!$F$179)*BG7</f>
        <v/>
      </c>
      <c r="BH11" s="11">
        <f>(Inputs!$F$174*Funding!$F$76/Inputs!$F$175+Inputs!$F$176*Funding!$F$76/Inputs!$F$177+Inputs!$F$178*Funding!$F$76/Inputs!$F$179)*BH7</f>
        <v/>
      </c>
      <c r="BI11" s="11">
        <f>(Inputs!$F$174*Funding!$F$76/Inputs!$F$175+Inputs!$F$176*Funding!$F$76/Inputs!$F$177+Inputs!$F$178*Funding!$F$76/Inputs!$F$179)*BI7</f>
        <v/>
      </c>
      <c r="BJ11" s="11">
        <f>(Inputs!$F$174*Funding!$F$76/Inputs!$F$175+Inputs!$F$176*Funding!$F$76/Inputs!$F$177+Inputs!$F$178*Funding!$F$76/Inputs!$F$179)*BJ7</f>
        <v/>
      </c>
      <c r="BK11" s="11">
        <f>(Inputs!$F$174*Funding!$F$76/Inputs!$F$175+Inputs!$F$176*Funding!$F$76/Inputs!$F$177+Inputs!$F$178*Funding!$F$76/Inputs!$F$179)*BK7</f>
        <v/>
      </c>
      <c r="BL11" s="11">
        <f>(Inputs!$F$174*Funding!$F$76/Inputs!$F$175+Inputs!$F$176*Funding!$F$76/Inputs!$F$177+Inputs!$F$178*Funding!$F$76/Inputs!$F$179)*BL7</f>
        <v/>
      </c>
      <c r="BM11" s="11">
        <f>(Inputs!$F$174*Funding!$F$76/Inputs!$F$175+Inputs!$F$176*Funding!$F$76/Inputs!$F$177+Inputs!$F$178*Funding!$F$76/Inputs!$F$179)*BM7</f>
        <v/>
      </c>
      <c r="BN11" s="11">
        <f>(Inputs!$F$174*Funding!$F$76/Inputs!$F$175+Inputs!$F$176*Funding!$F$76/Inputs!$F$177+Inputs!$F$178*Funding!$F$76/Inputs!$F$179)*BN7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Funding!$F$8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Inputs!$F$49*IF(Time!J17=15,1,0)</f>
        <v/>
      </c>
      <c r="K20" s="9">
        <f>Inputs!$F$49*IF(Time!K17=15,1,0)</f>
        <v/>
      </c>
      <c r="L20" s="9">
        <f>Inputs!$F$49*IF(Time!L17=15,1,0)</f>
        <v/>
      </c>
      <c r="M20" s="9">
        <f>Inputs!$F$49*IF(Time!M17=15,1,0)</f>
        <v/>
      </c>
      <c r="N20" s="9">
        <f>Inputs!$F$49*IF(Time!N17=15,1,0)</f>
        <v/>
      </c>
      <c r="O20" s="9">
        <f>Inputs!$F$49*IF(Time!O17=15,1,0)</f>
        <v/>
      </c>
      <c r="P20" s="9">
        <f>Inputs!$F$49*IF(Time!P17=15,1,0)</f>
        <v/>
      </c>
      <c r="Q20" s="9">
        <f>Inputs!$F$49*IF(Time!Q17=15,1,0)</f>
        <v/>
      </c>
      <c r="R20" s="9">
        <f>Inputs!$F$49*IF(Time!R17=15,1,0)</f>
        <v/>
      </c>
      <c r="S20" s="9">
        <f>Inputs!$F$49*IF(Time!S17=15,1,0)</f>
        <v/>
      </c>
      <c r="T20" s="9">
        <f>Inputs!$F$49*IF(Time!T17=15,1,0)</f>
        <v/>
      </c>
      <c r="U20" s="9">
        <f>Inputs!$F$49*IF(Time!U17=15,1,0)</f>
        <v/>
      </c>
      <c r="V20" s="9">
        <f>Inputs!$F$49*IF(Time!V17=15,1,0)</f>
        <v/>
      </c>
      <c r="W20" s="9">
        <f>Inputs!$F$49*IF(Time!W17=15,1,0)</f>
        <v/>
      </c>
      <c r="X20" s="9">
        <f>Inputs!$F$49*IF(Time!X17=15,1,0)</f>
        <v/>
      </c>
      <c r="Y20" s="9">
        <f>Inputs!$F$49*IF(Time!Y17=15,1,0)</f>
        <v/>
      </c>
      <c r="Z20" s="9">
        <f>Inputs!$F$49*IF(Time!Z17=15,1,0)</f>
        <v/>
      </c>
      <c r="AA20" s="9">
        <f>Inputs!$F$49*IF(Time!AA17=15,1,0)</f>
        <v/>
      </c>
      <c r="AB20" s="9">
        <f>Inputs!$F$49*IF(Time!AB17=15,1,0)</f>
        <v/>
      </c>
      <c r="AC20" s="9">
        <f>Inputs!$F$49*IF(Time!AC17=15,1,0)</f>
        <v/>
      </c>
      <c r="AD20" s="9">
        <f>Inputs!$F$49*IF(Time!AD17=15,1,0)</f>
        <v/>
      </c>
      <c r="AE20" s="9">
        <f>Inputs!$F$49*IF(Time!AE17=15,1,0)</f>
        <v/>
      </c>
      <c r="AF20" s="9">
        <f>Inputs!$F$49*IF(Time!AF17=15,1,0)</f>
        <v/>
      </c>
      <c r="AG20" s="9">
        <f>Inputs!$F$49*IF(Time!AG17=15,1,0)</f>
        <v/>
      </c>
      <c r="AH20" s="9">
        <f>Inputs!$F$49*IF(Time!AH17=15,1,0)</f>
        <v/>
      </c>
      <c r="AI20" s="9">
        <f>Inputs!$F$49*IF(Time!AI17=15,1,0)</f>
        <v/>
      </c>
      <c r="AJ20" s="9">
        <f>Inputs!$F$49*IF(Time!AJ17=15,1,0)</f>
        <v/>
      </c>
      <c r="AK20" s="9">
        <f>Inputs!$F$49*IF(Time!AK17=15,1,0)</f>
        <v/>
      </c>
      <c r="AL20" s="9">
        <f>Inputs!$F$49*IF(Time!AL17=15,1,0)</f>
        <v/>
      </c>
      <c r="AM20" s="9">
        <f>Inputs!$F$49*IF(Time!AM17=15,1,0)</f>
        <v/>
      </c>
      <c r="AN20" s="9">
        <f>Inputs!$F$49*IF(Time!AN17=15,1,0)</f>
        <v/>
      </c>
      <c r="AO20" s="9">
        <f>Inputs!$F$49*IF(Time!AO17=15,1,0)</f>
        <v/>
      </c>
      <c r="AP20" s="9">
        <f>Inputs!$F$49*IF(Time!AP17=15,1,0)</f>
        <v/>
      </c>
      <c r="AQ20" s="9">
        <f>Inputs!$F$49*IF(Time!AQ17=15,1,0)</f>
        <v/>
      </c>
      <c r="AR20" s="9">
        <f>Inputs!$F$49*IF(Time!AR17=15,1,0)</f>
        <v/>
      </c>
      <c r="AS20" s="9">
        <f>Inputs!$F$49*IF(Time!AS17=15,1,0)</f>
        <v/>
      </c>
      <c r="AT20" s="9">
        <f>Inputs!$F$49*IF(Time!AT17=15,1,0)</f>
        <v/>
      </c>
      <c r="AU20" s="9">
        <f>Inputs!$F$49*IF(Time!AU17=15,1,0)</f>
        <v/>
      </c>
      <c r="AV20" s="9">
        <f>Inputs!$F$49*IF(Time!AV17=15,1,0)</f>
        <v/>
      </c>
      <c r="AW20" s="9">
        <f>Inputs!$F$49*IF(Time!AW17=15,1,0)</f>
        <v/>
      </c>
      <c r="AX20" s="9">
        <f>Inputs!$F$49*IF(Time!AX17=15,1,0)</f>
        <v/>
      </c>
      <c r="AY20" s="9">
        <f>Inputs!$F$49*IF(Time!AY17=15,1,0)</f>
        <v/>
      </c>
      <c r="AZ20" s="9">
        <f>Inputs!$F$49*IF(Time!AZ17=15,1,0)</f>
        <v/>
      </c>
      <c r="BA20" s="9">
        <f>Inputs!$F$49*IF(Time!BA17=15,1,0)</f>
        <v/>
      </c>
      <c r="BB20" s="9">
        <f>Inputs!$F$49*IF(Time!BB17=15,1,0)</f>
        <v/>
      </c>
      <c r="BC20" s="9">
        <f>Inputs!$F$49*IF(Time!BC17=15,1,0)</f>
        <v/>
      </c>
      <c r="BD20" s="9">
        <f>Inputs!$F$49*IF(Time!BD17=15,1,0)</f>
        <v/>
      </c>
      <c r="BE20" s="9">
        <f>Inputs!$F$49*IF(Time!BE17=15,1,0)</f>
        <v/>
      </c>
      <c r="BF20" s="9">
        <f>Inputs!$F$49*IF(Time!BF17=15,1,0)</f>
        <v/>
      </c>
      <c r="BG20" s="9">
        <f>Inputs!$F$49*IF(Time!BG17=15,1,0)</f>
        <v/>
      </c>
      <c r="BH20" s="9">
        <f>Inputs!$F$49*IF(Time!BH17=15,1,0)</f>
        <v/>
      </c>
      <c r="BI20" s="9">
        <f>Inputs!$F$49*IF(Time!BI17=15,1,0)</f>
        <v/>
      </c>
      <c r="BJ20" s="9">
        <f>Inputs!$F$49*IF(Time!BJ17=15,1,0)</f>
        <v/>
      </c>
      <c r="BK20" s="9">
        <f>Inputs!$F$49*IF(Time!BK17=15,1,0)</f>
        <v/>
      </c>
      <c r="BL20" s="9">
        <f>Inputs!$F$49*IF(Time!BL17=15,1,0)</f>
        <v/>
      </c>
      <c r="BM20" s="9">
        <f>Inputs!$F$49*IF(Time!BM17=15,1,0)</f>
        <v/>
      </c>
      <c r="BN20" s="9">
        <f>Inputs!$F$49*IF(Time!BN17=15,1,0)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IF(Time!J17&gt;15,(1+Inputs!$F$199/200)^-(Time!J17-15),0)</f>
        <v/>
      </c>
      <c r="K106" s="10">
        <f>IF(Time!K17&gt;15,(1+Inputs!$F$199/200)^-(Time!K17-15),0)</f>
        <v/>
      </c>
      <c r="L106" s="10">
        <f>IF(Time!L17&gt;15,(1+Inputs!$F$199/200)^-(Time!L17-15),0)</f>
        <v/>
      </c>
      <c r="M106" s="10">
        <f>IF(Time!M17&gt;15,(1+Inputs!$F$199/200)^-(Time!M17-15),0)</f>
        <v/>
      </c>
      <c r="N106" s="10">
        <f>IF(Time!N17&gt;15,(1+Inputs!$F$199/200)^-(Time!N17-15),0)</f>
        <v/>
      </c>
      <c r="O106" s="10">
        <f>IF(Time!O17&gt;15,(1+Inputs!$F$199/200)^-(Time!O17-15),0)</f>
        <v/>
      </c>
      <c r="P106" s="10">
        <f>IF(Time!P17&gt;15,(1+Inputs!$F$199/200)^-(Time!P17-15),0)</f>
        <v/>
      </c>
      <c r="Q106" s="10">
        <f>IF(Time!Q17&gt;15,(1+Inputs!$F$199/200)^-(Time!Q17-15),0)</f>
        <v/>
      </c>
      <c r="R106" s="10">
        <f>IF(Time!R17&gt;15,(1+Inputs!$F$199/200)^-(Time!R17-15),0)</f>
        <v/>
      </c>
      <c r="S106" s="10">
        <f>IF(Time!S17&gt;15,(1+Inputs!$F$199/200)^-(Time!S17-15),0)</f>
        <v/>
      </c>
      <c r="T106" s="10">
        <f>IF(Time!T17&gt;15,(1+Inputs!$F$199/200)^-(Time!T17-15),0)</f>
        <v/>
      </c>
      <c r="U106" s="10">
        <f>IF(Time!U17&gt;15,(1+Inputs!$F$199/200)^-(Time!U17-15),0)</f>
        <v/>
      </c>
      <c r="V106" s="10">
        <f>IF(Time!V17&gt;15,(1+Inputs!$F$199/200)^-(Time!V17-15),0)</f>
        <v/>
      </c>
      <c r="W106" s="10">
        <f>IF(Time!W17&gt;15,(1+Inputs!$F$199/200)^-(Time!W17-15),0)</f>
        <v/>
      </c>
      <c r="X106" s="10">
        <f>IF(Time!X17&gt;15,(1+Inputs!$F$199/200)^-(Time!X17-15),0)</f>
        <v/>
      </c>
      <c r="Y106" s="10">
        <f>IF(Time!Y17&gt;15,(1+Inputs!$F$199/200)^-(Time!Y17-15),0)</f>
        <v/>
      </c>
      <c r="Z106" s="10">
        <f>IF(Time!Z17&gt;15,(1+Inputs!$F$199/200)^-(Time!Z17-15),0)</f>
        <v/>
      </c>
      <c r="AA106" s="10">
        <f>IF(Time!AA17&gt;15,(1+Inputs!$F$199/200)^-(Time!AA17-15),0)</f>
        <v/>
      </c>
      <c r="AB106" s="10">
        <f>IF(Time!AB17&gt;15,(1+Inputs!$F$199/200)^-(Time!AB17-15),0)</f>
        <v/>
      </c>
      <c r="AC106" s="10">
        <f>IF(Time!AC17&gt;15,(1+Inputs!$F$199/200)^-(Time!AC17-15),0)</f>
        <v/>
      </c>
      <c r="AD106" s="10">
        <f>IF(Time!AD17&gt;15,(1+Inputs!$F$199/200)^-(Time!AD17-15),0)</f>
        <v/>
      </c>
      <c r="AE106" s="10">
        <f>IF(Time!AE17&gt;15,(1+Inputs!$F$199/200)^-(Time!AE17-15),0)</f>
        <v/>
      </c>
      <c r="AF106" s="10">
        <f>IF(Time!AF17&gt;15,(1+Inputs!$F$199/200)^-(Time!AF17-15),0)</f>
        <v/>
      </c>
      <c r="AG106" s="10">
        <f>IF(Time!AG17&gt;15,(1+Inputs!$F$199/200)^-(Time!AG17-15),0)</f>
        <v/>
      </c>
      <c r="AH106" s="10">
        <f>IF(Time!AH17&gt;15,(1+Inputs!$F$199/200)^-(Time!AH17-15),0)</f>
        <v/>
      </c>
      <c r="AI106" s="10">
        <f>IF(Time!AI17&gt;15,(1+Inputs!$F$199/200)^-(Time!AI17-15),0)</f>
        <v/>
      </c>
      <c r="AJ106" s="10">
        <f>IF(Time!AJ17&gt;15,(1+Inputs!$F$199/200)^-(Time!AJ17-15),0)</f>
        <v/>
      </c>
      <c r="AK106" s="10">
        <f>IF(Time!AK17&gt;15,(1+Inputs!$F$199/200)^-(Time!AK17-15),0)</f>
        <v/>
      </c>
      <c r="AL106" s="10">
        <f>IF(Time!AL17&gt;15,(1+Inputs!$F$199/200)^-(Time!AL17-15),0)</f>
        <v/>
      </c>
      <c r="AM106" s="10">
        <f>IF(Time!AM17&gt;15,(1+Inputs!$F$199/200)^-(Time!AM17-15),0)</f>
        <v/>
      </c>
      <c r="AN106" s="10">
        <f>IF(Time!AN17&gt;15,(1+Inputs!$F$199/200)^-(Time!AN17-15),0)</f>
        <v/>
      </c>
      <c r="AO106" s="10">
        <f>IF(Time!AO17&gt;15,(1+Inputs!$F$199/200)^-(Time!AO17-15),0)</f>
        <v/>
      </c>
      <c r="AP106" s="10">
        <f>IF(Time!AP17&gt;15,(1+Inputs!$F$199/200)^-(Time!AP17-15),0)</f>
        <v/>
      </c>
      <c r="AQ106" s="10">
        <f>IF(Time!AQ17&gt;15,(1+Inputs!$F$199/200)^-(Time!AQ17-15),0)</f>
        <v/>
      </c>
      <c r="AR106" s="10">
        <f>IF(Time!AR17&gt;15,(1+Inputs!$F$199/200)^-(Time!AR17-15),0)</f>
        <v/>
      </c>
      <c r="AS106" s="10">
        <f>IF(Time!AS17&gt;15,(1+Inputs!$F$199/200)^-(Time!AS17-15),0)</f>
        <v/>
      </c>
      <c r="AT106" s="10">
        <f>IF(Time!AT17&gt;15,(1+Inputs!$F$199/200)^-(Time!AT17-15),0)</f>
        <v/>
      </c>
      <c r="AU106" s="10">
        <f>IF(Time!AU17&gt;15,(1+Inputs!$F$199/200)^-(Time!AU17-15),0)</f>
        <v/>
      </c>
      <c r="AV106" s="10">
        <f>IF(Time!AV17&gt;15,(1+Inputs!$F$199/200)^-(Time!AV17-15),0)</f>
        <v/>
      </c>
      <c r="AW106" s="10">
        <f>IF(Time!AW17&gt;15,(1+Inputs!$F$199/200)^-(Time!AW17-15),0)</f>
        <v/>
      </c>
      <c r="AX106" s="10">
        <f>IF(Time!AX17&gt;15,(1+Inputs!$F$199/200)^-(Time!AX17-15),0)</f>
        <v/>
      </c>
      <c r="AY106" s="10">
        <f>IF(Time!AY17&gt;15,(1+Inputs!$F$199/200)^-(Time!AY17-15),0)</f>
        <v/>
      </c>
      <c r="AZ106" s="10">
        <f>IF(Time!AZ17&gt;15,(1+Inputs!$F$199/200)^-(Time!AZ17-15),0)</f>
        <v/>
      </c>
      <c r="BA106" s="10">
        <f>IF(Time!BA17&gt;15,(1+Inputs!$F$199/200)^-(Time!BA17-15),0)</f>
        <v/>
      </c>
      <c r="BB106" s="10">
        <f>IF(Time!BB17&gt;15,(1+Inputs!$F$199/200)^-(Time!BB17-15),0)</f>
        <v/>
      </c>
      <c r="BC106" s="10">
        <f>IF(Time!BC17&gt;15,(1+Inputs!$F$199/200)^-(Time!BC17-15),0)</f>
        <v/>
      </c>
      <c r="BD106" s="10">
        <f>IF(Time!BD17&gt;15,(1+Inputs!$F$199/200)^-(Time!BD17-15),0)</f>
        <v/>
      </c>
      <c r="BE106" s="10">
        <f>IF(Time!BE17&gt;15,(1+Inputs!$F$199/200)^-(Time!BE17-15),0)</f>
        <v/>
      </c>
      <c r="BF106" s="10">
        <f>IF(Time!BF17&gt;15,(1+Inputs!$F$199/200)^-(Time!BF17-15),0)</f>
        <v/>
      </c>
      <c r="BG106" s="10">
        <f>IF(Time!BG17&gt;15,(1+Inputs!$F$199/200)^-(Time!BG17-15),0)</f>
        <v/>
      </c>
      <c r="BH106" s="10">
        <f>IF(Time!BH17&gt;15,(1+Inputs!$F$199/200)^-(Time!BH17-15),0)</f>
        <v/>
      </c>
      <c r="BI106" s="10">
        <f>IF(Time!BI17&gt;15,(1+Inputs!$F$199/200)^-(Time!BI17-15),0)</f>
        <v/>
      </c>
      <c r="BJ106" s="10">
        <f>IF(Time!BJ17&gt;15,(1+Inputs!$F$199/200)^-(Time!BJ17-15),0)</f>
        <v/>
      </c>
      <c r="BK106" s="10">
        <f>IF(Time!BK17&gt;15,(1+Inputs!$F$199/200)^-(Time!BK17-15),0)</f>
        <v/>
      </c>
      <c r="BL106" s="10">
        <f>IF(Time!BL17&gt;15,(1+Inputs!$F$199/200)^-(Time!BL17-15),0)</f>
        <v/>
      </c>
      <c r="BM106" s="10">
        <f>IF(Time!BM17&gt;15,(1+Inputs!$F$199/200)^-(Time!BM17-15),0)</f>
        <v/>
      </c>
      <c r="BN106" s="10">
        <f>IF(Time!BN17&gt;15,(1+Inputs!$F$199/200)^-(Time!BN17-15),0)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IF(AND(Inputs!$F$49=1,Time!J17&gt;15),Inputs!$F$201,1)</f>
        <v/>
      </c>
      <c r="K113" s="11">
        <f>IF(AND(Inputs!$F$49=1,Time!K17&gt;15),Inputs!$F$201,1)</f>
        <v/>
      </c>
      <c r="L113" s="11">
        <f>IF(AND(Inputs!$F$49=1,Time!L17&gt;15),Inputs!$F$201,1)</f>
        <v/>
      </c>
      <c r="M113" s="11">
        <f>IF(AND(Inputs!$F$49=1,Time!M17&gt;15),Inputs!$F$201,1)</f>
        <v/>
      </c>
      <c r="N113" s="11">
        <f>IF(AND(Inputs!$F$49=1,Time!N17&gt;15),Inputs!$F$201,1)</f>
        <v/>
      </c>
      <c r="O113" s="11">
        <f>IF(AND(Inputs!$F$49=1,Time!O17&gt;15),Inputs!$F$201,1)</f>
        <v/>
      </c>
      <c r="P113" s="11">
        <f>IF(AND(Inputs!$F$49=1,Time!P17&gt;15),Inputs!$F$201,1)</f>
        <v/>
      </c>
      <c r="Q113" s="11">
        <f>IF(AND(Inputs!$F$49=1,Time!Q17&gt;15),Inputs!$F$201,1)</f>
        <v/>
      </c>
      <c r="R113" s="11">
        <f>IF(AND(Inputs!$F$49=1,Time!R17&gt;15),Inputs!$F$201,1)</f>
        <v/>
      </c>
      <c r="S113" s="11">
        <f>IF(AND(Inputs!$F$49=1,Time!S17&gt;15),Inputs!$F$201,1)</f>
        <v/>
      </c>
      <c r="T113" s="11">
        <f>IF(AND(Inputs!$F$49=1,Time!T17&gt;15),Inputs!$F$201,1)</f>
        <v/>
      </c>
      <c r="U113" s="11">
        <f>IF(AND(Inputs!$F$49=1,Time!U17&gt;15),Inputs!$F$201,1)</f>
        <v/>
      </c>
      <c r="V113" s="11">
        <f>IF(AND(Inputs!$F$49=1,Time!V17&gt;15),Inputs!$F$201,1)</f>
        <v/>
      </c>
      <c r="W113" s="11">
        <f>IF(AND(Inputs!$F$49=1,Time!W17&gt;15),Inputs!$F$201,1)</f>
        <v/>
      </c>
      <c r="X113" s="11">
        <f>IF(AND(Inputs!$F$49=1,Time!X17&gt;15),Inputs!$F$201,1)</f>
        <v/>
      </c>
      <c r="Y113" s="11">
        <f>IF(AND(Inputs!$F$49=1,Time!Y17&gt;15),Inputs!$F$201,1)</f>
        <v/>
      </c>
      <c r="Z113" s="11">
        <f>IF(AND(Inputs!$F$49=1,Time!Z17&gt;15),Inputs!$F$201,1)</f>
        <v/>
      </c>
      <c r="AA113" s="11">
        <f>IF(AND(Inputs!$F$49=1,Time!AA17&gt;15),Inputs!$F$201,1)</f>
        <v/>
      </c>
      <c r="AB113" s="11">
        <f>IF(AND(Inputs!$F$49=1,Time!AB17&gt;15),Inputs!$F$201,1)</f>
        <v/>
      </c>
      <c r="AC113" s="11">
        <f>IF(AND(Inputs!$F$49=1,Time!AC17&gt;15),Inputs!$F$201,1)</f>
        <v/>
      </c>
      <c r="AD113" s="11">
        <f>IF(AND(Inputs!$F$49=1,Time!AD17&gt;15),Inputs!$F$201,1)</f>
        <v/>
      </c>
      <c r="AE113" s="11">
        <f>IF(AND(Inputs!$F$49=1,Time!AE17&gt;15),Inputs!$F$201,1)</f>
        <v/>
      </c>
      <c r="AF113" s="11">
        <f>IF(AND(Inputs!$F$49=1,Time!AF17&gt;15),Inputs!$F$201,1)</f>
        <v/>
      </c>
      <c r="AG113" s="11">
        <f>IF(AND(Inputs!$F$49=1,Time!AG17&gt;15),Inputs!$F$201,1)</f>
        <v/>
      </c>
      <c r="AH113" s="11">
        <f>IF(AND(Inputs!$F$49=1,Time!AH17&gt;15),Inputs!$F$201,1)</f>
        <v/>
      </c>
      <c r="AI113" s="11">
        <f>IF(AND(Inputs!$F$49=1,Time!AI17&gt;15),Inputs!$F$201,1)</f>
        <v/>
      </c>
      <c r="AJ113" s="11">
        <f>IF(AND(Inputs!$F$49=1,Time!AJ17&gt;15),Inputs!$F$201,1)</f>
        <v/>
      </c>
      <c r="AK113" s="11">
        <f>IF(AND(Inputs!$F$49=1,Time!AK17&gt;15),Inputs!$F$201,1)</f>
        <v/>
      </c>
      <c r="AL113" s="11">
        <f>IF(AND(Inputs!$F$49=1,Time!AL17&gt;15),Inputs!$F$201,1)</f>
        <v/>
      </c>
      <c r="AM113" s="11">
        <f>IF(AND(Inputs!$F$49=1,Time!AM17&gt;15),Inputs!$F$201,1)</f>
        <v/>
      </c>
      <c r="AN113" s="11">
        <f>IF(AND(Inputs!$F$49=1,Time!AN17&gt;15),Inputs!$F$201,1)</f>
        <v/>
      </c>
      <c r="AO113" s="11">
        <f>IF(AND(Inputs!$F$49=1,Time!AO17&gt;15),Inputs!$F$201,1)</f>
        <v/>
      </c>
      <c r="AP113" s="11">
        <f>IF(AND(Inputs!$F$49=1,Time!AP17&gt;15),Inputs!$F$201,1)</f>
        <v/>
      </c>
      <c r="AQ113" s="11">
        <f>IF(AND(Inputs!$F$49=1,Time!AQ17&gt;15),Inputs!$F$201,1)</f>
        <v/>
      </c>
      <c r="AR113" s="11">
        <f>IF(AND(Inputs!$F$49=1,Time!AR17&gt;15),Inputs!$F$201,1)</f>
        <v/>
      </c>
      <c r="AS113" s="11">
        <f>IF(AND(Inputs!$F$49=1,Time!AS17&gt;15),Inputs!$F$201,1)</f>
        <v/>
      </c>
      <c r="AT113" s="11">
        <f>IF(AND(Inputs!$F$49=1,Time!AT17&gt;15),Inputs!$F$201,1)</f>
        <v/>
      </c>
      <c r="AU113" s="11">
        <f>IF(AND(Inputs!$F$49=1,Time!AU17&gt;15),Inputs!$F$201,1)</f>
        <v/>
      </c>
      <c r="AV113" s="11">
        <f>IF(AND(Inputs!$F$49=1,Time!AV17&gt;15),Inputs!$F$201,1)</f>
        <v/>
      </c>
      <c r="AW113" s="11">
        <f>IF(AND(Inputs!$F$49=1,Time!AW17&gt;15),Inputs!$F$201,1)</f>
        <v/>
      </c>
      <c r="AX113" s="11">
        <f>IF(AND(Inputs!$F$49=1,Time!AX17&gt;15),Inputs!$F$201,1)</f>
        <v/>
      </c>
      <c r="AY113" s="11">
        <f>IF(AND(Inputs!$F$49=1,Time!AY17&gt;15),Inputs!$F$201,1)</f>
        <v/>
      </c>
      <c r="AZ113" s="11">
        <f>IF(AND(Inputs!$F$49=1,Time!AZ17&gt;15),Inputs!$F$201,1)</f>
        <v/>
      </c>
      <c r="BA113" s="11">
        <f>IF(AND(Inputs!$F$49=1,Time!BA17&gt;15),Inputs!$F$201,1)</f>
        <v/>
      </c>
      <c r="BB113" s="11">
        <f>IF(AND(Inputs!$F$49=1,Time!BB17&gt;15),Inputs!$F$201,1)</f>
        <v/>
      </c>
      <c r="BC113" s="11">
        <f>IF(AND(Inputs!$F$49=1,Time!BC17&gt;15),Inputs!$F$201,1)</f>
        <v/>
      </c>
      <c r="BD113" s="11">
        <f>IF(AND(Inputs!$F$49=1,Time!BD17&gt;15),Inputs!$F$201,1)</f>
        <v/>
      </c>
      <c r="BE113" s="11">
        <f>IF(AND(Inputs!$F$49=1,Time!BE17&gt;15),Inputs!$F$201,1)</f>
        <v/>
      </c>
      <c r="BF113" s="11">
        <f>IF(AND(Inputs!$F$49=1,Time!BF17&gt;15),Inputs!$F$201,1)</f>
        <v/>
      </c>
      <c r="BG113" s="11">
        <f>IF(AND(Inputs!$F$49=1,Time!BG17&gt;15),Inputs!$F$201,1)</f>
        <v/>
      </c>
      <c r="BH113" s="11">
        <f>IF(AND(Inputs!$F$49=1,Time!BH17&gt;15),Inputs!$F$201,1)</f>
        <v/>
      </c>
      <c r="BI113" s="11">
        <f>IF(AND(Inputs!$F$49=1,Time!BI17&gt;15),Inputs!$F$201,1)</f>
        <v/>
      </c>
      <c r="BJ113" s="11">
        <f>IF(AND(Inputs!$F$49=1,Time!BJ17&gt;15),Inputs!$F$201,1)</f>
        <v/>
      </c>
      <c r="BK113" s="11">
        <f>IF(AND(Inputs!$F$49=1,Time!BK17&gt;15),Inputs!$F$201,1)</f>
        <v/>
      </c>
      <c r="BL113" s="11">
        <f>IF(AND(Inputs!$F$49=1,Time!BL17&gt;15),Inputs!$F$201,1)</f>
        <v/>
      </c>
      <c r="BM113" s="11">
        <f>IF(AND(Inputs!$F$49=1,Time!BM17&gt;15),Inputs!$F$201,1)</f>
        <v/>
      </c>
      <c r="BN113" s="11">
        <f>IF(AND(Inputs!$F$49=1,Time!BN17&gt;15),Inputs!$F$201,1)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IF(J134=1,Waterfall!J7/$F$137,0)</f>
        <v/>
      </c>
      <c r="K140" s="11">
        <f>IF(K134=1,Waterfall!K7/$F$137,0)</f>
        <v/>
      </c>
      <c r="L140" s="11">
        <f>IF(L134=1,Waterfall!L7/$F$137,0)</f>
        <v/>
      </c>
      <c r="M140" s="11">
        <f>IF(M134=1,Waterfall!M7/$F$137,0)</f>
        <v/>
      </c>
      <c r="N140" s="11">
        <f>IF(N134=1,Waterfall!N7/$F$137,0)</f>
        <v/>
      </c>
      <c r="O140" s="11">
        <f>IF(O134=1,Waterfall!O7/$F$137,0)</f>
        <v/>
      </c>
      <c r="P140" s="11">
        <f>IF(P134=1,Waterfall!P7/$F$137,0)</f>
        <v/>
      </c>
      <c r="Q140" s="11">
        <f>IF(Q134=1,Waterfall!Q7/$F$137,0)</f>
        <v/>
      </c>
      <c r="R140" s="11">
        <f>IF(R134=1,Waterfall!R7/$F$137,0)</f>
        <v/>
      </c>
      <c r="S140" s="11">
        <f>IF(S134=1,Waterfall!S7/$F$137,0)</f>
        <v/>
      </c>
      <c r="T140" s="11">
        <f>IF(T134=1,Waterfall!T7/$F$137,0)</f>
        <v/>
      </c>
      <c r="U140" s="11">
        <f>IF(U134=1,Waterfall!U7/$F$137,0)</f>
        <v/>
      </c>
      <c r="V140" s="11">
        <f>IF(V134=1,Waterfall!V7/$F$137,0)</f>
        <v/>
      </c>
      <c r="W140" s="11">
        <f>IF(W134=1,Waterfall!W7/$F$137,0)</f>
        <v/>
      </c>
      <c r="X140" s="11">
        <f>IF(X134=1,Waterfall!X7/$F$137,0)</f>
        <v/>
      </c>
      <c r="Y140" s="11">
        <f>IF(Y134=1,Waterfall!Y7/$F$137,0)</f>
        <v/>
      </c>
      <c r="Z140" s="11">
        <f>IF(Z134=1,Waterfall!Z7/$F$137,0)</f>
        <v/>
      </c>
      <c r="AA140" s="11">
        <f>IF(AA134=1,Waterfall!AA7/$F$137,0)</f>
        <v/>
      </c>
      <c r="AB140" s="11">
        <f>IF(AB134=1,Waterfall!AB7/$F$137,0)</f>
        <v/>
      </c>
      <c r="AC140" s="11">
        <f>IF(AC134=1,Waterfall!AC7/$F$137,0)</f>
        <v/>
      </c>
      <c r="AD140" s="11">
        <f>IF(AD134=1,Waterfall!AD7/$F$137,0)</f>
        <v/>
      </c>
      <c r="AE140" s="11">
        <f>IF(AE134=1,Waterfall!AE7/$F$137,0)</f>
        <v/>
      </c>
      <c r="AF140" s="11">
        <f>IF(AF134=1,Waterfall!AF7/$F$137,0)</f>
        <v/>
      </c>
      <c r="AG140" s="11">
        <f>IF(AG134=1,Waterfall!AG7/$F$137,0)</f>
        <v/>
      </c>
      <c r="AH140" s="11">
        <f>IF(AH134=1,Waterfall!AH7/$F$137,0)</f>
        <v/>
      </c>
      <c r="AI140" s="11">
        <f>IF(AI134=1,Waterfall!AI7/$F$137,0)</f>
        <v/>
      </c>
      <c r="AJ140" s="11">
        <f>IF(AJ134=1,Waterfall!AJ7/$F$137,0)</f>
        <v/>
      </c>
      <c r="AK140" s="11">
        <f>IF(AK134=1,Waterfall!AK7/$F$137,0)</f>
        <v/>
      </c>
      <c r="AL140" s="11">
        <f>IF(AL134=1,Waterfall!AL7/$F$137,0)</f>
        <v/>
      </c>
      <c r="AM140" s="11">
        <f>IF(AM134=1,Waterfall!AM7/$F$137,0)</f>
        <v/>
      </c>
      <c r="AN140" s="11">
        <f>IF(AN134=1,Waterfall!AN7/$F$137,0)</f>
        <v/>
      </c>
      <c r="AO140" s="11">
        <f>IF(AO134=1,Waterfall!AO7/$F$137,0)</f>
        <v/>
      </c>
      <c r="AP140" s="11">
        <f>IF(AP134=1,Waterfall!AP7/$F$137,0)</f>
        <v/>
      </c>
      <c r="AQ140" s="11">
        <f>IF(AQ134=1,Waterfall!AQ7/$F$137,0)</f>
        <v/>
      </c>
      <c r="AR140" s="11">
        <f>IF(AR134=1,Waterfall!AR7/$F$137,0)</f>
        <v/>
      </c>
      <c r="AS140" s="11">
        <f>IF(AS134=1,Waterfall!AS7/$F$137,0)</f>
        <v/>
      </c>
      <c r="AT140" s="11">
        <f>IF(AT134=1,Waterfall!AT7/$F$137,0)</f>
        <v/>
      </c>
      <c r="AU140" s="11">
        <f>IF(AU134=1,Waterfall!AU7/$F$137,0)</f>
        <v/>
      </c>
      <c r="AV140" s="11">
        <f>IF(AV134=1,Waterfall!AV7/$F$137,0)</f>
        <v/>
      </c>
      <c r="AW140" s="11">
        <f>IF(AW134=1,Waterfall!AW7/$F$137,0)</f>
        <v/>
      </c>
      <c r="AX140" s="11">
        <f>IF(AX134=1,Waterfall!AX7/$F$137,0)</f>
        <v/>
      </c>
      <c r="AY140" s="11">
        <f>IF(AY134=1,Waterfall!AY7/$F$137,0)</f>
        <v/>
      </c>
      <c r="AZ140" s="11">
        <f>IF(AZ134=1,Waterfall!AZ7/$F$137,0)</f>
        <v/>
      </c>
      <c r="BA140" s="11">
        <f>IF(BA134=1,Waterfall!BA7/$F$137,0)</f>
        <v/>
      </c>
      <c r="BB140" s="11">
        <f>IF(BB134=1,Waterfall!BB7/$F$137,0)</f>
        <v/>
      </c>
      <c r="BC140" s="11">
        <f>IF(BC134=1,Waterfall!BC7/$F$137,0)</f>
        <v/>
      </c>
      <c r="BD140" s="11">
        <f>IF(BD134=1,Waterfall!BD7/$F$137,0)</f>
        <v/>
      </c>
      <c r="BE140" s="11">
        <f>IF(BE134=1,Waterfall!BE7/$F$137,0)</f>
        <v/>
      </c>
      <c r="BF140" s="11">
        <f>IF(BF134=1,Waterfall!BF7/$F$137,0)</f>
        <v/>
      </c>
      <c r="BG140" s="11">
        <f>IF(BG134=1,Waterfall!BG7/$F$137,0)</f>
        <v/>
      </c>
      <c r="BH140" s="11">
        <f>IF(BH134=1,Waterfall!BH7/$F$137,0)</f>
        <v/>
      </c>
      <c r="BI140" s="11">
        <f>IF(BI134=1,Waterfall!BI7/$F$137,0)</f>
        <v/>
      </c>
      <c r="BJ140" s="11">
        <f>IF(BJ134=1,Waterfall!BJ7/$F$137,0)</f>
        <v/>
      </c>
      <c r="BK140" s="11">
        <f>IF(BK134=1,Waterfall!BK7/$F$137,0)</f>
        <v/>
      </c>
      <c r="BL140" s="11">
        <f>IF(BL134=1,Waterfall!BL7/$F$137,0)</f>
        <v/>
      </c>
      <c r="BM140" s="11">
        <f>IF(BM134=1,Waterfall!BM7/$F$137,0)</f>
        <v/>
      </c>
      <c r="BN140" s="11">
        <f>IF(BN134=1,Waterfall!BN7/$F$137,0)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MIN(IF(Debt!$J$121:$BN$121&gt;0.000000001,Waterfall!$J$17:$BN$17,999))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SUM(Waterfall!$J$7:$BN$7*(Debt!$J$121:$BN$121&gt;0.000000001))/SUM(Debt!$J$121:$BN$121)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2026-10-03T20:47:23Z</dcterms:created>
  <dcterms:modified xsi:type="dcterms:W3CDTF">2026-10-03T20:47:23Z</dcterms:modified>
</cp:coreProperties>
</file>