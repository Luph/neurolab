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nputs" sheetId="2" state="visible" r:id="rId2"/>
    <sheet name="Time" sheetId="3" state="visible" r:id="rId3"/>
    <sheet name="Construction" sheetId="4" state="visible" r:id="rId4"/>
    <sheet name="Operations" sheetId="5" state="visible" r:id="rId5"/>
    <sheet name="Tax" sheetId="6" state="visible" r:id="rId6"/>
    <sheet name="Funding" sheetId="7" state="visible" r:id="rId7"/>
    <sheet name="Debt" sheetId="8" state="visible" r:id="rId8"/>
    <sheet name="Reserves" sheetId="9" state="visible" r:id="rId9"/>
    <sheet name="Waterfall" sheetId="10" state="visible" r:id="rId10"/>
    <sheet name="Financials" sheetId="11" state="visible" r:id="rId11"/>
    <sheet name="Ratios" sheetId="12" state="visible" r:id="rId12"/>
    <sheet name="Returns" sheetId="13" state="visible" r:id="rId13"/>
    <sheet name="Checks" sheetId="14" state="visible" r:id="rId14"/>
    <sheet name="Outputs" sheetId="15" state="visible" r:id="rId15"/>
  </sheets>
  <definedNames>
    <definedName name="Scenario">Inputs!$F$8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0.0000"/>
    <numFmt numFmtId="165" formatCode="#,##0.00000"/>
    <numFmt numFmtId="166" formatCode="yyyy-mm-dd"/>
    <numFmt numFmtId="167" formatCode="0.000000"/>
    <numFmt numFmtId="168" formatCode="#,##0.000;(#,##0.000);&quot;-&quot;"/>
    <numFmt numFmtId="169" formatCode="0.0"/>
    <numFmt numFmtId="170" formatCode="0.0000000"/>
    <numFmt numFmtId="171" formatCode="#,##0.000000"/>
    <numFmt numFmtId="172" formatCode="0.0000%"/>
    <numFmt numFmtId="173" formatCode="#,##0.000"/>
    <numFmt numFmtId="174" formatCode="#,##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0000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1" fontId="3" fillId="3" borderId="0" pivotButton="0" quotePrefix="0" xfId="0"/>
    <xf numFmtId="0" fontId="3" fillId="3" borderId="0" pivotButton="0" quotePrefix="0" xfId="0"/>
    <xf numFmtId="164" fontId="0" fillId="0" borderId="0" pivotButton="0" quotePrefix="0" xfId="0"/>
    <xf numFmtId="165" fontId="3" fillId="3" borderId="0" pivotButton="0" quotePrefix="0" xfId="0"/>
    <xf numFmtId="166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68" fontId="4" fillId="0" borderId="0" pivotButton="0" quotePrefix="0" xfId="0"/>
    <xf numFmtId="166" fontId="4" fillId="0" borderId="0" pivotButton="0" quotePrefix="0" xfId="0"/>
    <xf numFmtId="172" fontId="0" fillId="0" borderId="0" pivotButton="0" quotePrefix="0" xfId="0"/>
    <xf numFmtId="173" fontId="0" fillId="0" borderId="0" pivotButton="0" quotePrefix="0" xfId="0"/>
    <xf numFmtId="17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Case P companion model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t="inlineStr">
        <is>
          <t>Companion model for Chapters 39-45. Python mirror: model/case_p.py (source of truth).</t>
        </is>
      </c>
    </row>
    <row r="6">
      <c r="D6" t="inlineStr">
        <is>
          <t>Select the scenario on the Inputs sheet (cell named Scenario):</t>
        </is>
      </c>
    </row>
    <row r="7">
      <c r="D7" t="inlineStr">
        <is>
          <t xml:space="preserve">  1: FC base</t>
        </is>
      </c>
    </row>
    <row r="8">
      <c r="D8" t="inlineStr">
        <is>
          <t xml:space="preserve">  2: FC banking</t>
        </is>
      </c>
    </row>
    <row r="9">
      <c r="D9" t="inlineStr">
        <is>
          <t xml:space="preserve">  3: FC downside</t>
        </is>
      </c>
    </row>
    <row r="10">
      <c r="D10" t="inlineStr">
        <is>
          <t xml:space="preserve">  4: Sens: availability -3 points</t>
        </is>
      </c>
    </row>
    <row r="11">
      <c r="D11" t="inlineStr">
        <is>
          <t xml:space="preserve">  5: Sens: heat rate +2%</t>
        </is>
      </c>
    </row>
    <row r="12">
      <c r="D12" t="inlineStr">
        <is>
          <t xml:space="preserve">  6: Sens: fixed opex +10%</t>
        </is>
      </c>
    </row>
    <row r="13">
      <c r="D13" t="inlineStr">
        <is>
          <t xml:space="preserve">  7: Sens: capex +10% funded pro rata</t>
        </is>
      </c>
    </row>
    <row r="14">
      <c r="D14" t="inlineStr">
        <is>
          <t xml:space="preserve">  8: Sens: COD delay 6 months, no LDs</t>
        </is>
      </c>
    </row>
    <row r="15">
      <c r="D15" t="inlineStr">
        <is>
          <t xml:space="preserve">  9: Sens: base rate +200 bps (unhedged)</t>
        </is>
      </c>
    </row>
    <row r="16">
      <c r="D16" t="inlineStr">
        <is>
          <t xml:space="preserve">  10: Sens: KCR devaluation 40%, 90-day lag</t>
        </is>
      </c>
    </row>
    <row r="17">
      <c r="D17" t="inlineStr">
        <is>
          <t xml:space="preserve">  11: Sens: SEKA pays 120 days late for 12 months</t>
        </is>
      </c>
    </row>
    <row r="18">
      <c r="D18" t="inlineStr">
        <is>
          <t xml:space="preserve">  12: Sens: dispatch 50%</t>
        </is>
      </c>
    </row>
    <row r="19">
      <c r="D19" t="inlineStr">
        <is>
          <t xml:space="preserve">  13: Sens: gas price +30%</t>
        </is>
      </c>
    </row>
    <row r="20">
      <c r="D20" t="inlineStr">
        <is>
          <t xml:space="preserve">  14: COD re-forecast (2021 lenders case)</t>
        </is>
      </c>
    </row>
    <row r="21">
      <c r="D21" t="inlineStr">
        <is>
          <t xml:space="preserve">  15: Actual history</t>
        </is>
      </c>
    </row>
    <row r="22">
      <c r="D22" t="inlineStr"/>
    </row>
    <row r="23">
      <c r="D23" t="inlineStr">
        <is>
          <t>Circularity: none. IDC/fee/premium/DSRA gross-up is solved in closed form on the Funding sheet</t>
        </is>
      </c>
    </row>
    <row r="24">
      <c r="D24" t="inlineStr">
        <is>
          <t>(balance = alpha + beta x T; T = alpha/(g - beta)). Sculpting with tax uses the contractual</t>
        </is>
      </c>
    </row>
    <row r="25">
      <c r="D25" t="inlineStr">
        <is>
          <t>repayment profile on Inputs; the Debt sheet recomputes the sculpted profile live and the</t>
        </is>
      </c>
    </row>
    <row r="26">
      <c r="D26" t="inlineStr">
        <is>
          <t>Checks sheet reports the difference (Python iterates the profile to convergence, tolerance USD 1,000).</t>
        </is>
      </c>
    </row>
    <row r="27">
      <c r="D27" t="inlineStr">
        <is>
          <t>Sheets: Cover, Inputs, Time, Construction, Operations, Tax, Funding, Debt, Reserves, Waterfall, Financials, Ratios, Returns, Checks, Outputs</t>
        </is>
      </c>
    </row>
    <row r="28">
      <c r="D28" t="inlineStr">
        <is>
          <t>Sign convention: costs stored positive and subtracted explicitly.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2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Inputs: scenario selector, assumptions, contract terms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Scenario table: columns J-X = scenarios 1-15; semiannual rows: columns = periods; annual rows: columns = years 2015+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Scenario control</t>
        </is>
      </c>
    </row>
    <row r="8">
      <c r="D8" t="inlineStr">
        <is>
          <t>Scenario selector (1-15, see table below)</t>
        </is>
      </c>
      <c r="E8" t="inlineStr">
        <is>
          <t>index</t>
        </is>
      </c>
      <c r="F8" s="4" t="n">
        <v>12</v>
      </c>
    </row>
    <row r="9">
      <c r="B9" s="2" t="inlineStr">
        <is>
          <t>Live scenario parameters (selected from the scenario table)</t>
        </is>
      </c>
    </row>
    <row r="10">
      <c r="D10" t="inlineStr">
        <is>
          <t>Macro path (1 FC forward, 2 actual history, 3 COD re-forecast) [table]</t>
        </is>
      </c>
      <c r="E10" t="inlineStr">
        <is>
          <t>code</t>
        </is>
      </c>
      <c r="J10" s="5" t="n">
        <v>1</v>
      </c>
      <c r="K10" s="5" t="n">
        <v>1</v>
      </c>
      <c r="L10" s="5" t="n">
        <v>1</v>
      </c>
      <c r="M10" s="5" t="n">
        <v>1</v>
      </c>
      <c r="N10" s="5" t="n">
        <v>1</v>
      </c>
      <c r="O10" s="5" t="n">
        <v>1</v>
      </c>
      <c r="P10" s="5" t="n">
        <v>1</v>
      </c>
      <c r="Q10" s="5" t="n">
        <v>1</v>
      </c>
      <c r="R10" s="5" t="n">
        <v>1</v>
      </c>
      <c r="S10" s="5" t="n">
        <v>1</v>
      </c>
      <c r="T10" s="5" t="n">
        <v>1</v>
      </c>
      <c r="U10" s="5" t="n">
        <v>1</v>
      </c>
      <c r="V10" s="5" t="n">
        <v>1</v>
      </c>
      <c r="W10" s="5" t="n">
        <v>3</v>
      </c>
      <c r="X10" s="5" t="n">
        <v>2</v>
      </c>
    </row>
    <row r="11">
      <c r="D11" t="inlineStr">
        <is>
          <t>Construction case (1 FC budget, 2 actual) [table]</t>
        </is>
      </c>
      <c r="E11" t="inlineStr">
        <is>
          <t>code</t>
        </is>
      </c>
      <c r="J11" s="5" t="n">
        <v>1</v>
      </c>
      <c r="K11" s="5" t="n">
        <v>1</v>
      </c>
      <c r="L11" s="5" t="n">
        <v>1</v>
      </c>
      <c r="M11" s="5" t="n">
        <v>1</v>
      </c>
      <c r="N11" s="5" t="n">
        <v>1</v>
      </c>
      <c r="O11" s="5" t="n">
        <v>1</v>
      </c>
      <c r="P11" s="5" t="n">
        <v>1</v>
      </c>
      <c r="Q11" s="5" t="n">
        <v>1</v>
      </c>
      <c r="R11" s="5" t="n">
        <v>1</v>
      </c>
      <c r="S11" s="5" t="n">
        <v>1</v>
      </c>
      <c r="T11" s="5" t="n">
        <v>1</v>
      </c>
      <c r="U11" s="5" t="n">
        <v>1</v>
      </c>
      <c r="V11" s="5" t="n">
        <v>1</v>
      </c>
      <c r="W11" s="5" t="n">
        <v>2</v>
      </c>
      <c r="X11" s="5" t="n">
        <v>2</v>
      </c>
    </row>
    <row r="12">
      <c r="D12" t="inlineStr">
        <is>
          <t>COD delay (sensitivity) [table]</t>
        </is>
      </c>
      <c r="E12" t="inlineStr">
        <is>
          <t>months</t>
        </is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6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</row>
    <row r="13">
      <c r="D13" t="inlineStr">
        <is>
          <t>Capex factor [table]</t>
        </is>
      </c>
      <c r="E13" t="inlineStr">
        <is>
          <t>factor</t>
        </is>
      </c>
      <c r="J13" s="5" t="n">
        <v>1</v>
      </c>
      <c r="K13" s="5" t="n">
        <v>1</v>
      </c>
      <c r="L13" s="5" t="n">
        <v>1</v>
      </c>
      <c r="M13" s="5" t="n">
        <v>1</v>
      </c>
      <c r="N13" s="5" t="n">
        <v>1</v>
      </c>
      <c r="O13" s="5" t="n">
        <v>1</v>
      </c>
      <c r="P13" s="5" t="n">
        <v>1.1</v>
      </c>
      <c r="Q13" s="5" t="n">
        <v>1</v>
      </c>
      <c r="R13" s="5" t="n">
        <v>1</v>
      </c>
      <c r="S13" s="5" t="n">
        <v>1</v>
      </c>
      <c r="T13" s="5" t="n">
        <v>1</v>
      </c>
      <c r="U13" s="5" t="n">
        <v>1</v>
      </c>
      <c r="V13" s="5" t="n">
        <v>1</v>
      </c>
      <c r="W13" s="5" t="n">
        <v>1</v>
      </c>
      <c r="X13" s="5" t="n">
        <v>1</v>
      </c>
    </row>
    <row r="14">
      <c r="D14" t="inlineStr">
        <is>
          <t>Availability adjustment [table]</t>
        </is>
      </c>
      <c r="E14" t="inlineStr">
        <is>
          <t>points</t>
        </is>
      </c>
      <c r="J14" s="5" t="n">
        <v>0</v>
      </c>
      <c r="K14" s="5" t="n">
        <v>0</v>
      </c>
      <c r="L14" s="5" t="n">
        <v>-6.5</v>
      </c>
      <c r="M14" s="5" t="n">
        <v>-3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</row>
    <row r="15">
      <c r="D15" t="inlineStr">
        <is>
          <t>Dispatch factor when available [table]</t>
        </is>
      </c>
      <c r="E15" t="inlineStr">
        <is>
          <t>%</t>
        </is>
      </c>
      <c r="J15" s="5" t="n">
        <v>76.5</v>
      </c>
      <c r="K15" s="5" t="n">
        <v>72</v>
      </c>
      <c r="L15" s="5" t="n">
        <v>76.5</v>
      </c>
      <c r="M15" s="5" t="n">
        <v>76.5</v>
      </c>
      <c r="N15" s="5" t="n">
        <v>76.5</v>
      </c>
      <c r="O15" s="5" t="n">
        <v>76.5</v>
      </c>
      <c r="P15" s="5" t="n">
        <v>76.5</v>
      </c>
      <c r="Q15" s="5" t="n">
        <v>76.5</v>
      </c>
      <c r="R15" s="5" t="n">
        <v>76.5</v>
      </c>
      <c r="S15" s="5" t="n">
        <v>76.5</v>
      </c>
      <c r="T15" s="5" t="n">
        <v>76.5</v>
      </c>
      <c r="U15" s="5" t="n">
        <v>50</v>
      </c>
      <c r="V15" s="5" t="n">
        <v>76.5</v>
      </c>
      <c r="W15" s="5" t="n">
        <v>76.5</v>
      </c>
      <c r="X15" s="5" t="n">
        <v>76.5</v>
      </c>
    </row>
    <row r="16">
      <c r="D16" t="inlineStr">
        <is>
          <t>Plant heat rate factor [table]</t>
        </is>
      </c>
      <c r="E16" t="inlineStr">
        <is>
          <t>factor</t>
        </is>
      </c>
      <c r="J16" s="5" t="n">
        <v>1</v>
      </c>
      <c r="K16" s="5" t="n">
        <v>1</v>
      </c>
      <c r="L16" s="5" t="n">
        <v>1.015</v>
      </c>
      <c r="M16" s="5" t="n">
        <v>1</v>
      </c>
      <c r="N16" s="5" t="n">
        <v>1.02</v>
      </c>
      <c r="O16" s="5" t="n">
        <v>1</v>
      </c>
      <c r="P16" s="5" t="n">
        <v>1</v>
      </c>
      <c r="Q16" s="5" t="n">
        <v>1</v>
      </c>
      <c r="R16" s="5" t="n">
        <v>1</v>
      </c>
      <c r="S16" s="5" t="n">
        <v>1</v>
      </c>
      <c r="T16" s="5" t="n">
        <v>1</v>
      </c>
      <c r="U16" s="5" t="n">
        <v>1</v>
      </c>
      <c r="V16" s="5" t="n">
        <v>1</v>
      </c>
      <c r="W16" s="5" t="n">
        <v>1</v>
      </c>
      <c r="X16" s="5" t="n">
        <v>1</v>
      </c>
    </row>
    <row r="17">
      <c r="D17" t="inlineStr">
        <is>
          <t>Fixed opex factor [table]</t>
        </is>
      </c>
      <c r="E17" t="inlineStr">
        <is>
          <t>factor</t>
        </is>
      </c>
      <c r="J17" s="5" t="n">
        <v>1</v>
      </c>
      <c r="K17" s="5" t="n">
        <v>1</v>
      </c>
      <c r="L17" s="5" t="n">
        <v>1.1</v>
      </c>
      <c r="M17" s="5" t="n">
        <v>1</v>
      </c>
      <c r="N17" s="5" t="n">
        <v>1</v>
      </c>
      <c r="O17" s="5" t="n">
        <v>1.1</v>
      </c>
      <c r="P17" s="5" t="n">
        <v>1</v>
      </c>
      <c r="Q17" s="5" t="n">
        <v>1</v>
      </c>
      <c r="R17" s="5" t="n">
        <v>1</v>
      </c>
      <c r="S17" s="5" t="n">
        <v>1</v>
      </c>
      <c r="T17" s="5" t="n">
        <v>1</v>
      </c>
      <c r="U17" s="5" t="n">
        <v>1</v>
      </c>
      <c r="V17" s="5" t="n">
        <v>1</v>
      </c>
      <c r="W17" s="5" t="n">
        <v>1</v>
      </c>
      <c r="X17" s="5" t="n">
        <v>1</v>
      </c>
    </row>
    <row r="18">
      <c r="D18" t="inlineStr">
        <is>
          <t>Gas price factor [table]</t>
        </is>
      </c>
      <c r="E18" t="inlineStr">
        <is>
          <t>factor</t>
        </is>
      </c>
      <c r="J18" s="5" t="n">
        <v>1</v>
      </c>
      <c r="K18" s="5" t="n">
        <v>1</v>
      </c>
      <c r="L18" s="5" t="n">
        <v>1</v>
      </c>
      <c r="M18" s="5" t="n">
        <v>1</v>
      </c>
      <c r="N18" s="5" t="n">
        <v>1</v>
      </c>
      <c r="O18" s="5" t="n">
        <v>1</v>
      </c>
      <c r="P18" s="5" t="n">
        <v>1</v>
      </c>
      <c r="Q18" s="5" t="n">
        <v>1</v>
      </c>
      <c r="R18" s="5" t="n">
        <v>1</v>
      </c>
      <c r="S18" s="5" t="n">
        <v>1</v>
      </c>
      <c r="T18" s="5" t="n">
        <v>1</v>
      </c>
      <c r="U18" s="5" t="n">
        <v>1</v>
      </c>
      <c r="V18" s="5" t="n">
        <v>1.3</v>
      </c>
      <c r="W18" s="5" t="n">
        <v>1</v>
      </c>
      <c r="X18" s="5" t="n">
        <v>1</v>
      </c>
    </row>
    <row r="19">
      <c r="D19" t="inlineStr">
        <is>
          <t>Base rate shift from 2022H1 [table]</t>
        </is>
      </c>
      <c r="E19" t="inlineStr">
        <is>
          <t>%</t>
        </is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2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</row>
    <row r="20">
      <c r="D20" t="inlineStr">
        <is>
          <t>KCR devaluation from 2022H1 [table]</t>
        </is>
      </c>
      <c r="E20" t="inlineStr">
        <is>
          <t>fraction</t>
        </is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0.4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</row>
    <row r="21">
      <c r="D21" t="inlineStr">
        <is>
          <t>Extra days on SEKA capacity/VOM payments, 2022H1-2022H2 [table]</t>
        </is>
      </c>
      <c r="E21" t="inlineStr">
        <is>
          <t>days</t>
        </is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90</v>
      </c>
      <c r="T21" s="5" t="n">
        <v>120</v>
      </c>
      <c r="U21" s="5" t="n">
        <v>0</v>
      </c>
      <c r="V21" s="5" t="n">
        <v>0</v>
      </c>
      <c r="W21" s="5" t="n">
        <v>0</v>
      </c>
      <c r="X21" s="5" t="n">
        <v>0</v>
      </c>
    </row>
    <row r="22">
      <c r="D22" t="inlineStr">
        <is>
          <t>Offtaker crisis events (1 = on) [table]</t>
        </is>
      </c>
      <c r="E22" t="inlineStr">
        <is>
          <t>flag</t>
        </is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1</v>
      </c>
    </row>
    <row r="23">
      <c r="D23" t="inlineStr">
        <is>
          <t>Insurance market step-up from 2022H2 (1 = on) [table]</t>
        </is>
      </c>
      <c r="E23" t="inlineStr">
        <is>
          <t>flag</t>
        </is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1</v>
      </c>
    </row>
    <row r="24">
      <c r="D24" t="inlineStr">
        <is>
          <t>Repayment profile (1 FC contract, 2 COD re-sculpted) [table]</t>
        </is>
      </c>
      <c r="E24" t="inlineStr">
        <is>
          <t>code</t>
        </is>
      </c>
      <c r="J24" s="5" t="n">
        <v>1</v>
      </c>
      <c r="K24" s="5" t="n">
        <v>1</v>
      </c>
      <c r="L24" s="5" t="n">
        <v>1</v>
      </c>
      <c r="M24" s="5" t="n">
        <v>1</v>
      </c>
      <c r="N24" s="5" t="n">
        <v>1</v>
      </c>
      <c r="O24" s="5" t="n">
        <v>1</v>
      </c>
      <c r="P24" s="5" t="n">
        <v>1</v>
      </c>
      <c r="Q24" s="5" t="n">
        <v>1</v>
      </c>
      <c r="R24" s="5" t="n">
        <v>1</v>
      </c>
      <c r="S24" s="5" t="n">
        <v>1</v>
      </c>
      <c r="T24" s="5" t="n">
        <v>1</v>
      </c>
      <c r="U24" s="5" t="n">
        <v>1</v>
      </c>
      <c r="V24" s="5" t="n">
        <v>1</v>
      </c>
      <c r="W24" s="5" t="n">
        <v>2</v>
      </c>
      <c r="X24" s="5" t="n">
        <v>2</v>
      </c>
    </row>
    <row r="25">
      <c r="D25" t="inlineStr">
        <is>
          <t>Performance LD prepayment June 2022 (1 = on) [table]</t>
        </is>
      </c>
      <c r="E25" t="inlineStr">
        <is>
          <t>flag</t>
        </is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1</v>
      </c>
      <c r="X25" s="5" t="n">
        <v>1</v>
      </c>
    </row>
    <row r="26">
      <c r="D26" t="inlineStr">
        <is>
          <t>Waiver and amendment 2023 (1 = on) [table]</t>
        </is>
      </c>
      <c r="E26" t="inlineStr">
        <is>
          <t>flag</t>
        </is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1</v>
      </c>
    </row>
    <row r="27">
      <c r="D27" t="inlineStr">
        <is>
          <t>2025 bond refinancing (1 = on) [table]</t>
        </is>
      </c>
      <c r="E27" t="inlineStr">
        <is>
          <t>flag</t>
        </is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1</v>
      </c>
    </row>
    <row r="28">
      <c r="D28" t="inlineStr">
        <is>
          <t>Funding mode (1 committed amounts, 2 re-grossed pro rata) [table]</t>
        </is>
      </c>
      <c r="E28" t="inlineStr">
        <is>
          <t>code</t>
        </is>
      </c>
      <c r="J28" s="5" t="n">
        <v>1</v>
      </c>
      <c r="K28" s="5" t="n">
        <v>1</v>
      </c>
      <c r="L28" s="5" t="n">
        <v>1</v>
      </c>
      <c r="M28" s="5" t="n">
        <v>1</v>
      </c>
      <c r="N28" s="5" t="n">
        <v>1</v>
      </c>
      <c r="O28" s="5" t="n">
        <v>1</v>
      </c>
      <c r="P28" s="5" t="n">
        <v>2</v>
      </c>
      <c r="Q28" s="5" t="n">
        <v>2</v>
      </c>
      <c r="R28" s="5" t="n">
        <v>1</v>
      </c>
      <c r="S28" s="5" t="n">
        <v>1</v>
      </c>
      <c r="T28" s="5" t="n">
        <v>1</v>
      </c>
      <c r="U28" s="5" t="n">
        <v>1</v>
      </c>
      <c r="V28" s="5" t="n">
        <v>1</v>
      </c>
      <c r="W28" s="5" t="n">
        <v>1</v>
      </c>
      <c r="X28" s="5" t="n">
        <v>1</v>
      </c>
    </row>
    <row r="29">
      <c r="D29" t="inlineStr">
        <is>
          <t>Soft mini-perm sweep (1 = on) [table]</t>
        </is>
      </c>
      <c r="E29" t="inlineStr">
        <is>
          <t>flag</t>
        </is>
      </c>
      <c r="J29" s="5" t="n">
        <v>1</v>
      </c>
      <c r="K29" s="5" t="n">
        <v>1</v>
      </c>
      <c r="L29" s="5" t="n">
        <v>1</v>
      </c>
      <c r="M29" s="5" t="n">
        <v>1</v>
      </c>
      <c r="N29" s="5" t="n">
        <v>1</v>
      </c>
      <c r="O29" s="5" t="n">
        <v>1</v>
      </c>
      <c r="P29" s="5" t="n">
        <v>1</v>
      </c>
      <c r="Q29" s="5" t="n">
        <v>1</v>
      </c>
      <c r="R29" s="5" t="n">
        <v>1</v>
      </c>
      <c r="S29" s="5" t="n">
        <v>1</v>
      </c>
      <c r="T29" s="5" t="n">
        <v>1</v>
      </c>
      <c r="U29" s="5" t="n">
        <v>1</v>
      </c>
      <c r="V29" s="5" t="n">
        <v>1</v>
      </c>
      <c r="W29" s="5" t="n">
        <v>1</v>
      </c>
      <c r="X29" s="5" t="n">
        <v>1</v>
      </c>
    </row>
    <row r="30">
      <c r="D30" t="inlineStr">
        <is>
          <t>Shareholder loan share of equity [table]</t>
        </is>
      </c>
      <c r="E30" t="inlineStr">
        <is>
          <t>fraction</t>
        </is>
      </c>
      <c r="J30" s="5" t="n">
        <v>0.8</v>
      </c>
      <c r="K30" s="5" t="n">
        <v>0.8</v>
      </c>
      <c r="L30" s="5" t="n">
        <v>0.8</v>
      </c>
      <c r="M30" s="5" t="n">
        <v>0.8</v>
      </c>
      <c r="N30" s="5" t="n">
        <v>0.8</v>
      </c>
      <c r="O30" s="5" t="n">
        <v>0.8</v>
      </c>
      <c r="P30" s="5" t="n">
        <v>0.8</v>
      </c>
      <c r="Q30" s="5" t="n">
        <v>0.8</v>
      </c>
      <c r="R30" s="5" t="n">
        <v>0.8</v>
      </c>
      <c r="S30" s="5" t="n">
        <v>0.8</v>
      </c>
      <c r="T30" s="5" t="n">
        <v>0.8</v>
      </c>
      <c r="U30" s="5" t="n">
        <v>0.8</v>
      </c>
      <c r="V30" s="5" t="n">
        <v>0.8</v>
      </c>
      <c r="W30" s="5" t="n">
        <v>0.8</v>
      </c>
      <c r="X30" s="5" t="n">
        <v>0.8</v>
      </c>
    </row>
    <row r="31">
      <c r="D31" t="inlineStr">
        <is>
          <t>Capital charge factor [table]</t>
        </is>
      </c>
      <c r="E31" t="inlineStr">
        <is>
          <t>factor</t>
        </is>
      </c>
      <c r="J31" s="5" t="n">
        <v>1</v>
      </c>
      <c r="K31" s="5" t="n">
        <v>1</v>
      </c>
      <c r="L31" s="5" t="n">
        <v>1</v>
      </c>
      <c r="M31" s="5" t="n">
        <v>1</v>
      </c>
      <c r="N31" s="5" t="n">
        <v>1</v>
      </c>
      <c r="O31" s="5" t="n">
        <v>1</v>
      </c>
      <c r="P31" s="5" t="n">
        <v>1</v>
      </c>
      <c r="Q31" s="5" t="n">
        <v>1</v>
      </c>
      <c r="R31" s="5" t="n">
        <v>1</v>
      </c>
      <c r="S31" s="5" t="n">
        <v>1</v>
      </c>
      <c r="T31" s="5" t="n">
        <v>1</v>
      </c>
      <c r="U31" s="5" t="n">
        <v>1</v>
      </c>
      <c r="V31" s="5" t="n">
        <v>1</v>
      </c>
      <c r="W31" s="5" t="n">
        <v>1</v>
      </c>
      <c r="X31" s="5" t="n">
        <v>1</v>
      </c>
    </row>
    <row r="32">
      <c r="D32" t="inlineStr">
        <is>
          <t>Macro path (1 FC forward, 2 actual history, 3 COD re-forecast)</t>
        </is>
      </c>
      <c r="E32" t="inlineStr">
        <is>
          <t>code</t>
        </is>
      </c>
      <c r="F32" s="6">
        <f>INDEX($J$10:$X$10,1,Scenario)</f>
        <v/>
      </c>
    </row>
    <row r="33">
      <c r="D33" t="inlineStr">
        <is>
          <t>Construction case (1 FC budget, 2 actual)</t>
        </is>
      </c>
      <c r="E33" t="inlineStr">
        <is>
          <t>code</t>
        </is>
      </c>
      <c r="F33" s="6">
        <f>INDEX($J$11:$X$11,1,Scenario)</f>
        <v/>
      </c>
    </row>
    <row r="34">
      <c r="D34" t="inlineStr">
        <is>
          <t>COD delay (sensitivity)</t>
        </is>
      </c>
      <c r="E34" t="inlineStr">
        <is>
          <t>months</t>
        </is>
      </c>
      <c r="F34" s="6">
        <f>INDEX($J$12:$X$12,1,Scenario)</f>
        <v/>
      </c>
    </row>
    <row r="35">
      <c r="D35" t="inlineStr">
        <is>
          <t>Capex factor</t>
        </is>
      </c>
      <c r="E35" t="inlineStr">
        <is>
          <t>factor</t>
        </is>
      </c>
      <c r="F35" s="6">
        <f>INDEX($J$13:$X$13,1,Scenario)</f>
        <v/>
      </c>
    </row>
    <row r="36">
      <c r="D36" t="inlineStr">
        <is>
          <t>Availability adjustment</t>
        </is>
      </c>
      <c r="E36" t="inlineStr">
        <is>
          <t>points</t>
        </is>
      </c>
      <c r="F36" s="6">
        <f>INDEX($J$14:$X$14,1,Scenario)</f>
        <v/>
      </c>
    </row>
    <row r="37">
      <c r="D37" t="inlineStr">
        <is>
          <t>Dispatch factor when available</t>
        </is>
      </c>
      <c r="E37" t="inlineStr">
        <is>
          <t>%</t>
        </is>
      </c>
      <c r="F37" s="6">
        <f>INDEX($J$15:$X$15,1,Scenario)</f>
        <v/>
      </c>
    </row>
    <row r="38">
      <c r="D38" t="inlineStr">
        <is>
          <t>Plant heat rate factor</t>
        </is>
      </c>
      <c r="E38" t="inlineStr">
        <is>
          <t>factor</t>
        </is>
      </c>
      <c r="F38" s="6">
        <f>INDEX($J$16:$X$16,1,Scenario)</f>
        <v/>
      </c>
    </row>
    <row r="39">
      <c r="D39" t="inlineStr">
        <is>
          <t>Fixed opex factor</t>
        </is>
      </c>
      <c r="E39" t="inlineStr">
        <is>
          <t>factor</t>
        </is>
      </c>
      <c r="F39" s="6">
        <f>INDEX($J$17:$X$17,1,Scenario)</f>
        <v/>
      </c>
    </row>
    <row r="40">
      <c r="D40" t="inlineStr">
        <is>
          <t>Gas price factor</t>
        </is>
      </c>
      <c r="E40" t="inlineStr">
        <is>
          <t>factor</t>
        </is>
      </c>
      <c r="F40" s="6">
        <f>INDEX($J$18:$X$18,1,Scenario)</f>
        <v/>
      </c>
    </row>
    <row r="41">
      <c r="D41" t="inlineStr">
        <is>
          <t>Base rate shift from 2022H1</t>
        </is>
      </c>
      <c r="E41" t="inlineStr">
        <is>
          <t>%</t>
        </is>
      </c>
      <c r="F41" s="6">
        <f>INDEX($J$19:$X$19,1,Scenario)</f>
        <v/>
      </c>
    </row>
    <row r="42">
      <c r="D42" t="inlineStr">
        <is>
          <t>KCR devaluation from 2022H1</t>
        </is>
      </c>
      <c r="E42" t="inlineStr">
        <is>
          <t>fraction</t>
        </is>
      </c>
      <c r="F42" s="6">
        <f>INDEX($J$20:$X$20,1,Scenario)</f>
        <v/>
      </c>
    </row>
    <row r="43">
      <c r="D43" t="inlineStr">
        <is>
          <t>Extra days on SEKA capacity/VOM payments, 2022H1-2022H2</t>
        </is>
      </c>
      <c r="E43" t="inlineStr">
        <is>
          <t>days</t>
        </is>
      </c>
      <c r="F43" s="6">
        <f>INDEX($J$21:$X$21,1,Scenario)</f>
        <v/>
      </c>
    </row>
    <row r="44">
      <c r="D44" t="inlineStr">
        <is>
          <t>Offtaker crisis events (1 = on)</t>
        </is>
      </c>
      <c r="E44" t="inlineStr">
        <is>
          <t>flag</t>
        </is>
      </c>
      <c r="F44" s="6">
        <f>INDEX($J$22:$X$22,1,Scenario)</f>
        <v/>
      </c>
    </row>
    <row r="45">
      <c r="D45" t="inlineStr">
        <is>
          <t>Insurance market step-up from 2022H2 (1 = on)</t>
        </is>
      </c>
      <c r="E45" t="inlineStr">
        <is>
          <t>flag</t>
        </is>
      </c>
      <c r="F45" s="6">
        <f>INDEX($J$23:$X$23,1,Scenario)</f>
        <v/>
      </c>
    </row>
    <row r="46">
      <c r="D46" t="inlineStr">
        <is>
          <t>Repayment profile (1 FC contract, 2 COD re-sculpted)</t>
        </is>
      </c>
      <c r="E46" t="inlineStr">
        <is>
          <t>code</t>
        </is>
      </c>
      <c r="F46" s="6">
        <f>INDEX($J$24:$X$24,1,Scenario)</f>
        <v/>
      </c>
    </row>
    <row r="47">
      <c r="D47" t="inlineStr">
        <is>
          <t>Performance LD prepayment June 2022 (1 = on)</t>
        </is>
      </c>
      <c r="E47" t="inlineStr">
        <is>
          <t>flag</t>
        </is>
      </c>
      <c r="F47" s="6">
        <f>INDEX($J$25:$X$25,1,Scenario)</f>
        <v/>
      </c>
    </row>
    <row r="48">
      <c r="D48" t="inlineStr">
        <is>
          <t>Waiver and amendment 2023 (1 = on)</t>
        </is>
      </c>
      <c r="E48" t="inlineStr">
        <is>
          <t>flag</t>
        </is>
      </c>
      <c r="F48" s="6">
        <f>INDEX($J$26:$X$26,1,Scenario)</f>
        <v/>
      </c>
    </row>
    <row r="49">
      <c r="D49" t="inlineStr">
        <is>
          <t>2025 bond refinancing (1 = on)</t>
        </is>
      </c>
      <c r="E49" t="inlineStr">
        <is>
          <t>flag</t>
        </is>
      </c>
      <c r="F49" s="6">
        <f>INDEX($J$27:$X$27,1,Scenario)</f>
        <v/>
      </c>
    </row>
    <row r="50">
      <c r="D50" t="inlineStr">
        <is>
          <t>Funding mode (1 committed amounts, 2 re-grossed pro rata)</t>
        </is>
      </c>
      <c r="E50" t="inlineStr">
        <is>
          <t>code</t>
        </is>
      </c>
      <c r="F50" s="6">
        <f>INDEX($J$28:$X$28,1,Scenario)</f>
        <v/>
      </c>
    </row>
    <row r="51">
      <c r="D51" t="inlineStr">
        <is>
          <t>Soft mini-perm sweep (1 = on)</t>
        </is>
      </c>
      <c r="E51" t="inlineStr">
        <is>
          <t>flag</t>
        </is>
      </c>
      <c r="F51" s="6">
        <f>INDEX($J$29:$X$29,1,Scenario)</f>
        <v/>
      </c>
    </row>
    <row r="52">
      <c r="D52" t="inlineStr">
        <is>
          <t>Shareholder loan share of equity</t>
        </is>
      </c>
      <c r="E52" t="inlineStr">
        <is>
          <t>fraction</t>
        </is>
      </c>
      <c r="F52" s="6">
        <f>INDEX($J$30:$X$30,1,Scenario)</f>
        <v/>
      </c>
    </row>
    <row r="53">
      <c r="D53" t="inlineStr">
        <is>
          <t>Capital charge factor</t>
        </is>
      </c>
      <c r="E53" t="inlineStr">
        <is>
          <t>factor</t>
        </is>
      </c>
      <c r="F53" s="6">
        <f>INDEX($J$31:$X$31,1,Scenario)</f>
        <v/>
      </c>
    </row>
    <row r="54">
      <c r="B54" s="2" t="inlineStr">
        <is>
          <t>Capital cost (USD m unless stated)</t>
        </is>
      </c>
    </row>
    <row r="55">
      <c r="D55" t="inlineStr">
        <is>
          <t>EPC contract price</t>
        </is>
      </c>
      <c r="E55" t="inlineStr">
        <is>
          <t>USD m</t>
        </is>
      </c>
      <c r="F55" s="7" t="n">
        <v>571.84</v>
      </c>
    </row>
    <row r="56">
      <c r="D56" t="inlineStr">
        <is>
          <t>of which offshore portion</t>
        </is>
      </c>
      <c r="E56" t="inlineStr">
        <is>
          <t>USD m</t>
        </is>
      </c>
      <c r="F56" s="7" t="n">
        <v>489.17</v>
      </c>
    </row>
    <row r="57">
      <c r="D57" t="inlineStr">
        <is>
          <t>of which onshore portion</t>
        </is>
      </c>
      <c r="E57" t="inlineStr">
        <is>
          <t>USD m</t>
        </is>
      </c>
      <c r="F57" s="7" t="n">
        <v>82.67</v>
      </c>
    </row>
    <row r="58">
      <c r="D58" t="inlineStr">
        <is>
          <t>Onshore portion fixed in KCR at</t>
        </is>
      </c>
      <c r="E58" t="inlineStr">
        <is>
          <t>KCR/USD</t>
        </is>
      </c>
      <c r="F58" s="7" t="n">
        <v>519.4</v>
      </c>
    </row>
    <row r="59">
      <c r="D59" t="inlineStr">
        <is>
          <t>Owner's costs</t>
        </is>
      </c>
      <c r="E59" t="inlineStr">
        <is>
          <t>USD m</t>
        </is>
      </c>
      <c r="F59" s="7" t="n">
        <v>46.18</v>
      </c>
    </row>
    <row r="60">
      <c r="D60" t="inlineStr">
        <is>
          <t>Insurance during construction</t>
        </is>
      </c>
      <c r="E60" t="inlineStr">
        <is>
          <t>USD m</t>
        </is>
      </c>
      <c r="F60" s="7" t="n">
        <v>7.62</v>
      </c>
    </row>
    <row r="61">
      <c r="D61" t="inlineStr">
        <is>
          <t>Development costs reimbursed at FC</t>
        </is>
      </c>
      <c r="E61" t="inlineStr">
        <is>
          <t>USD m</t>
        </is>
      </c>
      <c r="F61" s="7" t="n">
        <v>21.43</v>
      </c>
    </row>
    <row r="62">
      <c r="D62" t="inlineStr">
        <is>
          <t>Development fee at FC</t>
        </is>
      </c>
      <c r="E62" t="inlineStr">
        <is>
          <t>USD m</t>
        </is>
      </c>
      <c r="F62" s="7" t="n">
        <v>11.2</v>
      </c>
    </row>
    <row r="63">
      <c r="D63" t="inlineStr">
        <is>
          <t>Lenders' advisors and legal</t>
        </is>
      </c>
      <c r="E63" t="inlineStr">
        <is>
          <t>USD m</t>
        </is>
      </c>
      <c r="F63" s="7" t="n">
        <v>8.970000000000001</v>
      </c>
    </row>
    <row r="64">
      <c r="D64" t="inlineStr">
        <is>
          <t>Contingency</t>
        </is>
      </c>
      <c r="E64" t="inlineStr">
        <is>
          <t>USD m</t>
        </is>
      </c>
      <c r="F64" s="7" t="n">
        <v>38.4</v>
      </c>
    </row>
    <row r="65">
      <c r="D65" t="inlineStr">
        <is>
          <t>Initial working capital (spares, fuel)</t>
        </is>
      </c>
      <c r="E65" t="inlineStr">
        <is>
          <t>USD m</t>
        </is>
      </c>
      <c r="F65" s="7" t="n">
        <v>5.35</v>
      </c>
    </row>
    <row r="66">
      <c r="D66" t="inlineStr">
        <is>
          <t>LNTP paid February 2018 (equity credit at FC)</t>
        </is>
      </c>
      <c r="E66" t="inlineStr">
        <is>
          <t>USD m</t>
        </is>
      </c>
      <c r="F66" s="7" t="n">
        <v>14.2</v>
      </c>
    </row>
    <row r="67">
      <c r="D67" t="inlineStr">
        <is>
          <t>Extended owner's costs (actual, months 34-40)</t>
        </is>
      </c>
      <c r="E67" t="inlineStr">
        <is>
          <t>USD m</t>
        </is>
      </c>
      <c r="F67" s="7" t="n">
        <v>6.93</v>
      </c>
    </row>
    <row r="68">
      <c r="D68" t="inlineStr">
        <is>
          <t>VAT on onshore EPC</t>
        </is>
      </c>
      <c r="E68" t="inlineStr">
        <is>
          <t>%</t>
        </is>
      </c>
      <c r="F68" s="7" t="n">
        <v>18</v>
      </c>
    </row>
    <row r="69">
      <c r="D69" t="inlineStr">
        <is>
          <t>VAT facility margin over policy rate</t>
        </is>
      </c>
      <c r="E69" t="inlineStr">
        <is>
          <t>%</t>
        </is>
      </c>
      <c r="F69" s="7" t="n">
        <v>2.5</v>
      </c>
    </row>
    <row r="70">
      <c r="D70" t="inlineStr">
        <is>
          <t>VAT facility limit</t>
        </is>
      </c>
      <c r="E70" t="inlineStr">
        <is>
          <t>KCR m</t>
        </is>
      </c>
      <c r="F70" s="7" t="n">
        <v>7900</v>
      </c>
    </row>
    <row r="71">
      <c r="D71" t="inlineStr">
        <is>
          <t>Policy rate, FC expectation</t>
        </is>
      </c>
      <c r="E71" t="inlineStr">
        <is>
          <t>%</t>
        </is>
      </c>
      <c r="F71" s="7" t="n">
        <v>13.5</v>
      </c>
    </row>
    <row r="72">
      <c r="B72" s="2" t="inlineStr">
        <is>
          <t>Senior debt terms</t>
        </is>
      </c>
    </row>
    <row r="73">
      <c r="D73" t="inlineStr">
        <is>
          <t>ECA-covered tranche share</t>
        </is>
      </c>
      <c r="E73" t="inlineStr">
        <is>
          <t>fraction</t>
        </is>
      </c>
      <c r="F73" s="7" t="n">
        <v>0.3</v>
      </c>
    </row>
    <row r="74">
      <c r="D74" t="inlineStr">
        <is>
          <t>ABDB A-loan share</t>
        </is>
      </c>
      <c r="E74" t="inlineStr">
        <is>
          <t>fraction</t>
        </is>
      </c>
      <c r="F74" s="7" t="n">
        <v>0.22</v>
      </c>
    </row>
    <row r="75">
      <c r="D75" t="inlineStr">
        <is>
          <t>ABDB B-loan share</t>
        </is>
      </c>
      <c r="E75" t="inlineStr">
        <is>
          <t>fraction</t>
        </is>
      </c>
      <c r="F75" s="7" t="n">
        <v>0.1</v>
      </c>
    </row>
    <row r="76">
      <c r="D76" t="inlineStr">
        <is>
          <t>Commercial tranche share</t>
        </is>
      </c>
      <c r="E76" t="inlineStr">
        <is>
          <t>fraction</t>
        </is>
      </c>
      <c r="F76" s="7" t="n">
        <v>0.38</v>
      </c>
    </row>
    <row r="77">
      <c r="D77" t="inlineStr">
        <is>
          <t>ECA margin</t>
        </is>
      </c>
      <c r="E77" t="inlineStr">
        <is>
          <t>%</t>
        </is>
      </c>
      <c r="F77" s="7" t="n">
        <v>1.35</v>
      </c>
    </row>
    <row r="78">
      <c r="D78" t="inlineStr">
        <is>
          <t>A-loan margin</t>
        </is>
      </c>
      <c r="E78" t="inlineStr">
        <is>
          <t>%</t>
        </is>
      </c>
      <c r="F78" s="7" t="n">
        <v>3.65</v>
      </c>
    </row>
    <row r="79">
      <c r="D79" t="inlineStr">
        <is>
          <t>B-loan margin</t>
        </is>
      </c>
      <c r="E79" t="inlineStr">
        <is>
          <t>%</t>
        </is>
      </c>
      <c r="F79" s="7" t="n">
        <v>3.4</v>
      </c>
    </row>
    <row r="80">
      <c r="D80" t="inlineStr">
        <is>
          <t>Commercial margin to 2025</t>
        </is>
      </c>
      <c r="E80" t="inlineStr">
        <is>
          <t>%</t>
        </is>
      </c>
      <c r="F80" s="7" t="n">
        <v>4.1</v>
      </c>
    </row>
    <row r="81">
      <c r="D81" t="inlineStr">
        <is>
          <t>Commercial margin 2026-2029</t>
        </is>
      </c>
      <c r="E81" t="inlineStr">
        <is>
          <t>%</t>
        </is>
      </c>
      <c r="F81" s="7" t="n">
        <v>4.6</v>
      </c>
    </row>
    <row r="82">
      <c r="D82" t="inlineStr">
        <is>
          <t>Commercial margin from 2030</t>
        </is>
      </c>
      <c r="E82" t="inlineStr">
        <is>
          <t>%</t>
        </is>
      </c>
      <c r="F82" s="7" t="n">
        <v>5.1</v>
      </c>
    </row>
    <row r="83">
      <c r="D83" t="inlineStr">
        <is>
          <t>ECA commitment fee</t>
        </is>
      </c>
      <c r="E83" t="inlineStr">
        <is>
          <t>% pa</t>
        </is>
      </c>
      <c r="F83" s="7" t="n">
        <v>0.45</v>
      </c>
    </row>
    <row r="84">
      <c r="D84" t="inlineStr">
        <is>
          <t>A-loan commitment fee</t>
        </is>
      </c>
      <c r="E84" t="inlineStr">
        <is>
          <t>% pa</t>
        </is>
      </c>
      <c r="F84" s="7" t="n">
        <v>0.75</v>
      </c>
    </row>
    <row r="85">
      <c r="D85" t="inlineStr">
        <is>
          <t>B-loan commitment fee</t>
        </is>
      </c>
      <c r="E85" t="inlineStr">
        <is>
          <t>% pa</t>
        </is>
      </c>
      <c r="F85" s="7" t="n">
        <v>0.85</v>
      </c>
    </row>
    <row r="86">
      <c r="D86" t="inlineStr">
        <is>
          <t>Commercial commitment fee (% of margin)</t>
        </is>
      </c>
      <c r="E86" t="inlineStr">
        <is>
          <t>%</t>
        </is>
      </c>
      <c r="F86" s="7" t="n">
        <v>40</v>
      </c>
    </row>
    <row r="87">
      <c r="D87" t="inlineStr">
        <is>
          <t>ECA arrangement fee</t>
        </is>
      </c>
      <c r="E87" t="inlineStr">
        <is>
          <t>%</t>
        </is>
      </c>
      <c r="F87" s="7" t="n">
        <v>1.1</v>
      </c>
    </row>
    <row r="88">
      <c r="D88" t="inlineStr">
        <is>
          <t>A-loan front-end fee</t>
        </is>
      </c>
      <c r="E88" t="inlineStr">
        <is>
          <t>%</t>
        </is>
      </c>
      <c r="F88" s="7" t="n">
        <v>1.25</v>
      </c>
    </row>
    <row r="89">
      <c r="D89" t="inlineStr">
        <is>
          <t>B-loan upfront fee</t>
        </is>
      </c>
      <c r="E89" t="inlineStr">
        <is>
          <t>%</t>
        </is>
      </c>
      <c r="F89" s="7" t="n">
        <v>1.5</v>
      </c>
    </row>
    <row r="90">
      <c r="D90" t="inlineStr">
        <is>
          <t>Commercial upfront fee</t>
        </is>
      </c>
      <c r="E90" t="inlineStr">
        <is>
          <t>%</t>
        </is>
      </c>
      <c r="F90" s="7" t="n">
        <v>2.15</v>
      </c>
    </row>
    <row r="91">
      <c r="D91" t="inlineStr">
        <is>
          <t>Withholding tax on commercial interest (grossed up)</t>
        </is>
      </c>
      <c r="E91" t="inlineStr">
        <is>
          <t>%</t>
        </is>
      </c>
      <c r="F91" s="7" t="n">
        <v>10</v>
      </c>
    </row>
    <row r="92">
      <c r="D92" t="inlineStr">
        <is>
          <t>ECA premium (% of ECA drawdowns, financed)</t>
        </is>
      </c>
      <c r="E92" t="inlineStr">
        <is>
          <t>%</t>
        </is>
      </c>
      <c r="F92" s="7" t="n">
        <v>10.85</v>
      </c>
    </row>
    <row r="93">
      <c r="D93" t="inlineStr">
        <is>
          <t>PRI premium</t>
        </is>
      </c>
      <c r="E93" t="inlineStr">
        <is>
          <t>% pa</t>
        </is>
      </c>
      <c r="F93" s="7" t="n">
        <v>1.15</v>
      </c>
    </row>
    <row r="94">
      <c r="D94" t="inlineStr">
        <is>
          <t>PRI cover of commercial tranche</t>
        </is>
      </c>
      <c r="E94" t="inlineStr">
        <is>
          <t>%</t>
        </is>
      </c>
      <c r="F94" s="7" t="n">
        <v>90</v>
      </c>
    </row>
    <row r="95">
      <c r="D95" t="inlineStr">
        <is>
          <t>Swap fixed rate</t>
        </is>
      </c>
      <c r="E95" t="inlineStr">
        <is>
          <t>%</t>
        </is>
      </c>
      <c r="F95" s="7" t="n">
        <v>2.947</v>
      </c>
    </row>
    <row r="96">
      <c r="D96" t="inlineStr">
        <is>
          <t>ISDA 6M spread adjustment</t>
        </is>
      </c>
      <c r="E96" t="inlineStr">
        <is>
          <t>%</t>
        </is>
      </c>
      <c r="F96" s="7" t="n">
        <v>0.42826</v>
      </c>
    </row>
    <row r="97">
      <c r="D97" t="inlineStr">
        <is>
          <t>Standby facility</t>
        </is>
      </c>
      <c r="E97" t="inlineStr">
        <is>
          <t>USD m</t>
        </is>
      </c>
      <c r="F97" s="7" t="n">
        <v>46</v>
      </c>
    </row>
    <row r="98">
      <c r="D98" t="inlineStr">
        <is>
          <t>Standby commitment fee</t>
        </is>
      </c>
      <c r="E98" t="inlineStr">
        <is>
          <t>% pa</t>
        </is>
      </c>
      <c r="F98" s="7" t="n">
        <v>0.6</v>
      </c>
    </row>
    <row r="99">
      <c r="D99" t="inlineStr">
        <is>
          <t>Standby margin over tranche margin</t>
        </is>
      </c>
      <c r="E99" t="inlineStr">
        <is>
          <t>%</t>
        </is>
      </c>
      <c r="F99" s="7" t="n">
        <v>0.25</v>
      </c>
    </row>
    <row r="100">
      <c r="D100" t="inlineStr">
        <is>
          <t>Standby commercial share</t>
        </is>
      </c>
      <c r="E100" t="inlineStr">
        <is>
          <t>fraction</t>
        </is>
      </c>
      <c r="F100" s="7" t="n">
        <v>0.6</v>
      </c>
    </row>
    <row r="101">
      <c r="D101" t="inlineStr">
        <is>
          <t>Contingent equity</t>
        </is>
      </c>
      <c r="E101" t="inlineStr">
        <is>
          <t>USD m</t>
        </is>
      </c>
      <c r="F101" s="7" t="n">
        <v>15.4</v>
      </c>
    </row>
    <row r="102">
      <c r="D102" t="inlineStr">
        <is>
          <t>Shareholder loan rate</t>
        </is>
      </c>
      <c r="E102" t="inlineStr">
        <is>
          <t>% pa</t>
        </is>
      </c>
      <c r="F102" s="7" t="n">
        <v>9.5</v>
      </c>
    </row>
    <row r="103">
      <c r="D103" t="inlineStr">
        <is>
          <t>Gearing cap</t>
        </is>
      </c>
      <c r="E103" t="inlineStr">
        <is>
          <t>fraction</t>
        </is>
      </c>
      <c r="F103" s="7" t="n">
        <v>0.75</v>
      </c>
    </row>
    <row r="104">
      <c r="D104" t="inlineStr">
        <is>
          <t>Sizing DSCR target</t>
        </is>
      </c>
      <c r="E104" t="inlineStr">
        <is>
          <t>x</t>
        </is>
      </c>
      <c r="F104" s="7" t="n">
        <v>1.35</v>
      </c>
    </row>
    <row r="105">
      <c r="D105" t="inlineStr">
        <is>
          <t>Agency and account fees</t>
        </is>
      </c>
      <c r="E105" t="inlineStr">
        <is>
          <t>USD m pa</t>
        </is>
      </c>
      <c r="F105" s="7" t="n">
        <v>0.255</v>
      </c>
    </row>
    <row r="106">
      <c r="D106" t="inlineStr">
        <is>
          <t>Lock-up historic DSCR</t>
        </is>
      </c>
      <c r="E106" t="inlineStr">
        <is>
          <t>x</t>
        </is>
      </c>
      <c r="F106" s="7" t="n">
        <v>1.2</v>
      </c>
    </row>
    <row r="107">
      <c r="D107" t="inlineStr">
        <is>
          <t>Event of default DSCR</t>
        </is>
      </c>
      <c r="E107" t="inlineStr">
        <is>
          <t>x</t>
        </is>
      </c>
      <c r="F107" s="7" t="n">
        <v>1.1</v>
      </c>
    </row>
    <row r="108">
      <c r="D108" t="inlineStr">
        <is>
          <t>Waiver release DSCR (two consecutive tests)</t>
        </is>
      </c>
      <c r="E108" t="inlineStr">
        <is>
          <t>x</t>
        </is>
      </c>
      <c r="F108" s="7" t="n">
        <v>1.25</v>
      </c>
    </row>
    <row r="109">
      <c r="D109" t="inlineStr">
        <is>
          <t>Soft mini-perm sweep share (from 2027)</t>
        </is>
      </c>
      <c r="E109" t="inlineStr">
        <is>
          <t>fraction</t>
        </is>
      </c>
      <c r="F109" s="7" t="n">
        <v>0.5</v>
      </c>
    </row>
    <row r="110">
      <c r="B110" s="2" t="inlineStr">
        <is>
          <t>Contract terms fixed at financial close (from the FC base sizing run)</t>
        </is>
      </c>
    </row>
    <row r="111">
      <c r="D111" t="inlineStr">
        <is>
          <t>Senior debt commitment (total, 4 tranches)</t>
        </is>
      </c>
      <c r="E111" t="inlineStr">
        <is>
          <t>USD m</t>
        </is>
      </c>
      <c r="F111" s="7" t="n">
        <v>633.2559755427742</v>
      </c>
    </row>
    <row r="112">
      <c r="D112" t="inlineStr">
        <is>
          <t>Equity commitment (base, incl. LNTP)</t>
        </is>
      </c>
      <c r="E112" t="inlineStr">
        <is>
          <t>USD m</t>
        </is>
      </c>
      <c r="F112" s="7" t="n">
        <v>221.8337675840513</v>
      </c>
    </row>
    <row r="113">
      <c r="B113" s="2" t="inlineStr">
        <is>
          <t>Plant and PPA</t>
        </is>
      </c>
    </row>
    <row r="114">
      <c r="D114" t="inlineStr">
        <is>
          <t>Contracted capacity (FC)</t>
        </is>
      </c>
      <c r="E114" t="inlineStr">
        <is>
          <t>MW</t>
        </is>
      </c>
      <c r="F114" s="7" t="n">
        <v>588.4</v>
      </c>
    </row>
    <row r="115">
      <c r="D115" t="inlineStr">
        <is>
          <t>Contracted capacity after tests</t>
        </is>
      </c>
      <c r="E115" t="inlineStr">
        <is>
          <t>MW</t>
        </is>
      </c>
      <c r="F115" s="7" t="n">
        <v>581.9</v>
      </c>
    </row>
    <row r="116">
      <c r="D116" t="inlineStr">
        <is>
          <t>Guaranteed net heat rate</t>
        </is>
      </c>
      <c r="E116" t="inlineStr">
        <is>
          <t>kJ/kWh</t>
        </is>
      </c>
      <c r="F116" s="7" t="n">
        <v>6261</v>
      </c>
    </row>
    <row r="117">
      <c r="D117" t="inlineStr">
        <is>
          <t>Tested net heat rate</t>
        </is>
      </c>
      <c r="E117" t="inlineStr">
        <is>
          <t>kJ/kWh</t>
        </is>
      </c>
      <c r="F117" s="7" t="n">
        <v>6286</v>
      </c>
    </row>
    <row r="118">
      <c r="D118" t="inlineStr">
        <is>
          <t>PPA contracted heat rate</t>
        </is>
      </c>
      <c r="E118" t="inlineStr">
        <is>
          <t>kJ/kWh</t>
        </is>
      </c>
      <c r="F118" s="7" t="n">
        <v>6323</v>
      </c>
    </row>
    <row r="119">
      <c r="D119" t="inlineStr">
        <is>
          <t>Contracted HR degradation allowance</t>
        </is>
      </c>
      <c r="E119" t="inlineStr">
        <is>
          <t>% pa</t>
        </is>
      </c>
      <c r="F119" s="7" t="n">
        <v>0.1</v>
      </c>
    </row>
    <row r="120">
      <c r="D120" t="inlineStr">
        <is>
          <t>Average part-load penalty</t>
        </is>
      </c>
      <c r="E120" t="inlineStr">
        <is>
          <t>%</t>
        </is>
      </c>
      <c r="F120" s="7" t="n">
        <v>2.3</v>
      </c>
    </row>
    <row r="121">
      <c r="D121" t="inlineStr">
        <is>
          <t>HHV/LHV ratio</t>
        </is>
      </c>
      <c r="E121" t="inlineStr">
        <is>
          <t>factor</t>
        </is>
      </c>
      <c r="F121" s="7" t="n">
        <v>1.108</v>
      </c>
    </row>
    <row r="122">
      <c r="D122" t="inlineStr">
        <is>
          <t>kJ per MMBtu</t>
        </is>
      </c>
      <c r="E122" t="inlineStr">
        <is>
          <t>kJ</t>
        </is>
      </c>
      <c r="F122" s="7" t="n">
        <v>1055056</v>
      </c>
    </row>
    <row r="123">
      <c r="D123" t="inlineStr">
        <is>
          <t>Output degradation, non-recoverable</t>
        </is>
      </c>
      <c r="E123" t="inlineStr">
        <is>
          <t>% pa</t>
        </is>
      </c>
      <c r="F123" s="7" t="n">
        <v>0.15</v>
      </c>
    </row>
    <row r="124">
      <c r="D124" t="inlineStr">
        <is>
          <t>Output degradation, recoverable average</t>
        </is>
      </c>
      <c r="E124" t="inlineStr">
        <is>
          <t>%</t>
        </is>
      </c>
      <c r="F124" s="7" t="n">
        <v>1</v>
      </c>
    </row>
    <row r="125">
      <c r="D125" t="inlineStr">
        <is>
          <t>Heat-rate degradation, non-recoverable</t>
        </is>
      </c>
      <c r="E125" t="inlineStr">
        <is>
          <t>% pa</t>
        </is>
      </c>
      <c r="F125" s="7" t="n">
        <v>0.12</v>
      </c>
    </row>
    <row r="126">
      <c r="D126" t="inlineStr">
        <is>
          <t>Heat-rate degradation, recoverable average</t>
        </is>
      </c>
      <c r="E126" t="inlineStr">
        <is>
          <t>%</t>
        </is>
      </c>
      <c r="F126" s="7" t="n">
        <v>0.8</v>
      </c>
    </row>
    <row r="127">
      <c r="D127" t="inlineStr">
        <is>
          <t>GT operating hours per year</t>
        </is>
      </c>
      <c r="E127" t="inlineStr">
        <is>
          <t>h</t>
        </is>
      </c>
      <c r="F127" s="7" t="n">
        <v>8059</v>
      </c>
    </row>
    <row r="128">
      <c r="D128" t="inlineStr">
        <is>
          <t>GT starts per year</t>
        </is>
      </c>
      <c r="E128" t="inlineStr">
        <is>
          <t>starts</t>
        </is>
      </c>
      <c r="F128" s="7" t="n">
        <v>38</v>
      </c>
    </row>
    <row r="129">
      <c r="D129" t="inlineStr">
        <is>
          <t>EOH per start</t>
        </is>
      </c>
      <c r="E129" t="inlineStr">
        <is>
          <t>h</t>
        </is>
      </c>
      <c r="F129" s="7" t="n">
        <v>10</v>
      </c>
    </row>
    <row r="130">
      <c r="D130" t="inlineStr">
        <is>
          <t>PPA availability target</t>
        </is>
      </c>
      <c r="E130" t="inlineStr">
        <is>
          <t>%</t>
        </is>
      </c>
      <c r="F130" s="7" t="n">
        <v>90</v>
      </c>
    </row>
    <row r="131">
      <c r="D131" t="inlineStr">
        <is>
          <t>Capital charge (Nov 2016 prices)</t>
        </is>
      </c>
      <c r="E131" t="inlineStr">
        <is>
          <t>USD/kW-month</t>
        </is>
      </c>
      <c r="F131" s="7" t="n">
        <v>14.36</v>
      </c>
    </row>
    <row r="132">
      <c r="D132" t="inlineStr">
        <is>
          <t>Capital charge indexed share</t>
        </is>
      </c>
      <c r="E132" t="inlineStr">
        <is>
          <t>fraction</t>
        </is>
      </c>
      <c r="F132" s="7" t="n">
        <v>0.2</v>
      </c>
    </row>
    <row r="133">
      <c r="D133" t="inlineStr">
        <is>
          <t>Fixed O&amp;M charge</t>
        </is>
      </c>
      <c r="E133" t="inlineStr">
        <is>
          <t>USD/kW-month</t>
        </is>
      </c>
      <c r="F133" s="7" t="n">
        <v>2.31</v>
      </c>
    </row>
    <row r="134">
      <c r="D134" t="inlineStr">
        <is>
          <t>Fixed O&amp;M US CPI share</t>
        </is>
      </c>
      <c r="E134" t="inlineStr">
        <is>
          <t>fraction</t>
        </is>
      </c>
      <c r="F134" s="7" t="n">
        <v>0.62</v>
      </c>
    </row>
    <row r="135">
      <c r="D135" t="inlineStr">
        <is>
          <t>Bid base FX rate</t>
        </is>
      </c>
      <c r="E135" t="inlineStr">
        <is>
          <t>KCR/USD</t>
        </is>
      </c>
      <c r="F135" s="7" t="n">
        <v>462.35</v>
      </c>
    </row>
    <row r="136">
      <c r="D136" t="inlineStr">
        <is>
          <t>Variable O&amp;M charge</t>
        </is>
      </c>
      <c r="E136" t="inlineStr">
        <is>
          <t>USD/MWh</t>
        </is>
      </c>
      <c r="F136" s="7" t="n">
        <v>3.86</v>
      </c>
    </row>
    <row r="137">
      <c r="D137" t="inlineStr">
        <is>
          <t>VOM US CPI share</t>
        </is>
      </c>
      <c r="E137" t="inlineStr">
        <is>
          <t>fraction</t>
        </is>
      </c>
      <c r="F137" s="7" t="n">
        <v>0.7</v>
      </c>
    </row>
    <row r="138">
      <c r="B138" s="2" t="inlineStr">
        <is>
          <t>Fuel and transport</t>
        </is>
      </c>
    </row>
    <row r="139">
      <c r="D139" t="inlineStr">
        <is>
          <t>GSA gas price 2018</t>
        </is>
      </c>
      <c r="E139" t="inlineStr">
        <is>
          <t>USD/MMBtu</t>
        </is>
      </c>
      <c r="F139" s="7" t="n">
        <v>5.86</v>
      </c>
    </row>
    <row r="140">
      <c r="D140" t="inlineStr">
        <is>
          <t>GSA escalation</t>
        </is>
      </c>
      <c r="E140" t="inlineStr">
        <is>
          <t>% pa</t>
        </is>
      </c>
      <c r="F140" s="7" t="n">
        <v>2</v>
      </c>
    </row>
    <row r="141">
      <c r="D141" t="inlineStr">
        <is>
          <t>Daily contract quantity</t>
        </is>
      </c>
      <c r="E141" t="inlineStr">
        <is>
          <t>MMBtu/d</t>
        </is>
      </c>
      <c r="F141" s="7" t="n">
        <v>72400</v>
      </c>
    </row>
    <row r="142">
      <c r="D142" t="inlineStr">
        <is>
          <t>Take-or-pay level</t>
        </is>
      </c>
      <c r="E142" t="inlineStr">
        <is>
          <t>fraction</t>
        </is>
      </c>
      <c r="F142" s="7" t="n">
        <v>0.8</v>
      </c>
    </row>
    <row r="143">
      <c r="D143" t="inlineStr">
        <is>
          <t>GTA reserved capacity</t>
        </is>
      </c>
      <c r="E143" t="inlineStr">
        <is>
          <t>MMBtu/d</t>
        </is>
      </c>
      <c r="F143" s="7" t="n">
        <v>96500</v>
      </c>
    </row>
    <row r="144">
      <c r="D144" t="inlineStr">
        <is>
          <t>GTA reservation charge 2018</t>
        </is>
      </c>
      <c r="E144" t="inlineStr">
        <is>
          <t>USD/MMBtu</t>
        </is>
      </c>
      <c r="F144" s="7" t="n">
        <v>0.62</v>
      </c>
    </row>
    <row r="145">
      <c r="D145" t="inlineStr">
        <is>
          <t>GTA commodity charge 2018</t>
        </is>
      </c>
      <c r="E145" t="inlineStr">
        <is>
          <t>USD/MMBtu</t>
        </is>
      </c>
      <c r="F145" s="7" t="n">
        <v>0.19</v>
      </c>
    </row>
    <row r="146">
      <c r="D146" t="inlineStr">
        <is>
          <t>GTA escalation</t>
        </is>
      </c>
      <c r="E146" t="inlineStr">
        <is>
          <t>% pa</t>
        </is>
      </c>
      <c r="F146" s="7" t="n">
        <v>1.5</v>
      </c>
    </row>
    <row r="147">
      <c r="B147" s="2" t="inlineStr">
        <is>
          <t>Operating costs (2018 prices)</t>
        </is>
      </c>
    </row>
    <row r="148">
      <c r="D148" t="inlineStr">
        <is>
          <t>O&amp;M fixed fee</t>
        </is>
      </c>
      <c r="E148" t="inlineStr">
        <is>
          <t>USD m pa</t>
        </is>
      </c>
      <c r="F148" s="7" t="n">
        <v>7.92</v>
      </c>
    </row>
    <row r="149">
      <c r="D149" t="inlineStr">
        <is>
          <t>O&amp;M USD share</t>
        </is>
      </c>
      <c r="E149" t="inlineStr">
        <is>
          <t>fraction</t>
        </is>
      </c>
      <c r="F149" s="7" t="n">
        <v>0.65</v>
      </c>
    </row>
    <row r="150">
      <c r="D150" t="inlineStr">
        <is>
          <t>KCR conversion rate for 2018-price local costs</t>
        </is>
      </c>
      <c r="E150" t="inlineStr">
        <is>
          <t>KCR/USD</t>
        </is>
      </c>
      <c r="F150" s="7" t="n">
        <v>516.8</v>
      </c>
    </row>
    <row r="151">
      <c r="D151" t="inlineStr">
        <is>
          <t>O&amp;M availability incentive (max)</t>
        </is>
      </c>
      <c r="E151" t="inlineStr">
        <is>
          <t>USD m pa</t>
        </is>
      </c>
      <c r="F151" s="7" t="n">
        <v>0.6</v>
      </c>
    </row>
    <row r="152">
      <c r="D152" t="inlineStr">
        <is>
          <t>LTSA fixed fee</t>
        </is>
      </c>
      <c r="E152" t="inlineStr">
        <is>
          <t>USD m pa</t>
        </is>
      </c>
      <c r="F152" s="7" t="n">
        <v>2.64</v>
      </c>
    </row>
    <row r="153">
      <c r="D153" t="inlineStr">
        <is>
          <t>LTSA variable fee</t>
        </is>
      </c>
      <c r="E153" t="inlineStr">
        <is>
          <t>USD/EOH/GT</t>
        </is>
      </c>
      <c r="F153" s="7" t="n">
        <v>486</v>
      </c>
    </row>
    <row r="154">
      <c r="D154" t="inlineStr">
        <is>
          <t>Operational insurance</t>
        </is>
      </c>
      <c r="E154" t="inlineStr">
        <is>
          <t>USD m pa</t>
        </is>
      </c>
      <c r="F154" s="7" t="n">
        <v>4.37</v>
      </c>
    </row>
    <row r="155">
      <c r="D155" t="inlineStr">
        <is>
          <t>Insurance market step-up (actual, from 2022H2)</t>
        </is>
      </c>
      <c r="E155" t="inlineStr">
        <is>
          <t>fraction</t>
        </is>
      </c>
      <c r="F155" s="7" t="n">
        <v>0.18</v>
      </c>
    </row>
    <row r="156">
      <c r="D156" t="inlineStr">
        <is>
          <t>Project company G&amp;A</t>
        </is>
      </c>
      <c r="E156" t="inlineStr">
        <is>
          <t>USD m pa</t>
        </is>
      </c>
      <c r="F156" s="7" t="n">
        <v>3.18</v>
      </c>
    </row>
    <row r="157">
      <c r="D157" t="inlineStr">
        <is>
          <t>Land lease and permits</t>
        </is>
      </c>
      <c r="E157" t="inlineStr">
        <is>
          <t>KCR m pa</t>
        </is>
      </c>
      <c r="F157" s="7" t="n">
        <v>368</v>
      </c>
    </row>
    <row r="158">
      <c r="D158" t="inlineStr">
        <is>
          <t>Community fund + OREK levy</t>
        </is>
      </c>
      <c r="E158" t="inlineStr">
        <is>
          <t>% of non-fuel revenue</t>
        </is>
      </c>
      <c r="F158" s="7" t="n">
        <v>0.55</v>
      </c>
    </row>
    <row r="159">
      <c r="D159" t="inlineStr">
        <is>
          <t>Variable consumables</t>
        </is>
      </c>
      <c r="E159" t="inlineStr">
        <is>
          <t>USD/MWh</t>
        </is>
      </c>
      <c r="F159" s="7" t="n">
        <v>1.08</v>
      </c>
    </row>
    <row r="160">
      <c r="D160" t="inlineStr">
        <is>
          <t>ABDB PRG fee (0.75% x USD 41.5m)</t>
        </is>
      </c>
      <c r="E160" t="inlineStr">
        <is>
          <t>USD m pa</t>
        </is>
      </c>
      <c r="F160" s="7" t="n">
        <v>0.31125</v>
      </c>
    </row>
    <row r="161">
      <c r="D161" t="inlineStr">
        <is>
          <t>Major maintenance outside LTSA (OY8, 16, 24)</t>
        </is>
      </c>
      <c r="E161" t="inlineStr">
        <is>
          <t>USD m</t>
        </is>
      </c>
      <c r="F161" s="7" t="n">
        <v>9.470000000000001</v>
      </c>
    </row>
    <row r="162">
      <c r="D162" t="inlineStr">
        <is>
          <t>HRSG/BOP works outside LTSA (OY4, 12, 20)</t>
        </is>
      </c>
      <c r="E162" t="inlineStr">
        <is>
          <t>USD m</t>
        </is>
      </c>
      <c r="F162" s="7" t="n">
        <v>2.18</v>
      </c>
    </row>
    <row r="163">
      <c r="D163" t="inlineStr">
        <is>
          <t>Handback reserve from OY20</t>
        </is>
      </c>
      <c r="E163" t="inlineStr">
        <is>
          <t>USD m pa</t>
        </is>
      </c>
      <c r="F163" s="7" t="n">
        <v>1.85</v>
      </c>
    </row>
    <row r="164">
      <c r="B164" s="2" t="inlineStr">
        <is>
          <t>Working capital</t>
        </is>
      </c>
    </row>
    <row r="165">
      <c r="D165" t="inlineStr">
        <is>
          <t>Receivable days</t>
        </is>
      </c>
      <c r="E165" t="inlineStr">
        <is>
          <t>days</t>
        </is>
      </c>
      <c r="F165" s="7" t="n">
        <v>45</v>
      </c>
    </row>
    <row r="166">
      <c r="D166" t="inlineStr">
        <is>
          <t>Gas payable days</t>
        </is>
      </c>
      <c r="E166" t="inlineStr">
        <is>
          <t>days</t>
        </is>
      </c>
      <c r="F166" s="7" t="n">
        <v>45</v>
      </c>
    </row>
    <row r="167">
      <c r="D167" t="inlineStr">
        <is>
          <t>GTA payable days</t>
        </is>
      </c>
      <c r="E167" t="inlineStr">
        <is>
          <t>days</t>
        </is>
      </c>
      <c r="F167" s="7" t="n">
        <v>30</v>
      </c>
    </row>
    <row r="168">
      <c r="D168" t="inlineStr">
        <is>
          <t>O&amp;M/LTSA payable days</t>
        </is>
      </c>
      <c r="E168" t="inlineStr">
        <is>
          <t>days</t>
        </is>
      </c>
      <c r="F168" s="7" t="n">
        <v>30</v>
      </c>
    </row>
    <row r="169">
      <c r="D169" t="inlineStr">
        <is>
          <t>Other payable days</t>
        </is>
      </c>
      <c r="E169" t="inlineStr">
        <is>
          <t>days</t>
        </is>
      </c>
      <c r="F169" s="7" t="n">
        <v>30</v>
      </c>
    </row>
    <row r="170">
      <c r="B170" s="2" t="inlineStr">
        <is>
          <t>Tax</t>
        </is>
      </c>
    </row>
    <row r="171">
      <c r="D171" t="inlineStr">
        <is>
          <t>Corporate income tax</t>
        </is>
      </c>
      <c r="E171" t="inlineStr">
        <is>
          <t>%</t>
        </is>
      </c>
      <c r="F171" s="7" t="n">
        <v>30</v>
      </c>
    </row>
    <row r="172">
      <c r="D172" t="inlineStr">
        <is>
          <t>Reduced rate OY6-OY8</t>
        </is>
      </c>
      <c r="E172" t="inlineStr">
        <is>
          <t>%</t>
        </is>
      </c>
      <c r="F172" s="7" t="n">
        <v>15</v>
      </c>
    </row>
    <row r="173">
      <c r="D173" t="inlineStr">
        <is>
          <t>Minimum turnover tax (non-fuel revenue, from OY6)</t>
        </is>
      </c>
      <c r="E173" t="inlineStr">
        <is>
          <t>%</t>
        </is>
      </c>
      <c r="F173" s="7" t="n">
        <v>0.5</v>
      </c>
    </row>
    <row r="174">
      <c r="D174" t="inlineStr">
        <is>
          <t>Plant share of capitalized cost</t>
        </is>
      </c>
      <c r="E174" t="inlineStr">
        <is>
          <t>fraction</t>
        </is>
      </c>
      <c r="F174" s="7" t="n">
        <v>0.92</v>
      </c>
    </row>
    <row r="175">
      <c r="D175" t="inlineStr">
        <is>
          <t>Plant life</t>
        </is>
      </c>
      <c r="E175" t="inlineStr">
        <is>
          <t>months</t>
        </is>
      </c>
      <c r="F175" s="7" t="n">
        <v>240</v>
      </c>
    </row>
    <row r="176">
      <c r="D176" t="inlineStr">
        <is>
          <t>Buildings share</t>
        </is>
      </c>
      <c r="E176" t="inlineStr">
        <is>
          <t>fraction</t>
        </is>
      </c>
      <c r="F176" s="7" t="n">
        <v>0.05</v>
      </c>
    </row>
    <row r="177">
      <c r="D177" t="inlineStr">
        <is>
          <t>Buildings life</t>
        </is>
      </c>
      <c r="E177" t="inlineStr">
        <is>
          <t>months</t>
        </is>
      </c>
      <c r="F177" s="7" t="n">
        <v>300</v>
      </c>
    </row>
    <row r="178">
      <c r="D178" t="inlineStr">
        <is>
          <t>Intangibles share</t>
        </is>
      </c>
      <c r="E178" t="inlineStr">
        <is>
          <t>fraction</t>
        </is>
      </c>
      <c r="F178" s="7" t="n">
        <v>0.03</v>
      </c>
    </row>
    <row r="179">
      <c r="D179" t="inlineStr">
        <is>
          <t>Intangibles life</t>
        </is>
      </c>
      <c r="E179" t="inlineStr">
        <is>
          <t>months</t>
        </is>
      </c>
      <c r="F179" s="7" t="n">
        <v>60</v>
      </c>
    </row>
    <row r="180">
      <c r="D180" t="inlineStr">
        <is>
          <t>Thin capitalization ratio (SHL to equity)</t>
        </is>
      </c>
      <c r="E180" t="inlineStr">
        <is>
          <t>x</t>
        </is>
      </c>
      <c r="F180" s="7" t="n">
        <v>3</v>
      </c>
    </row>
    <row r="181">
      <c r="D181" t="inlineStr">
        <is>
          <t>Deferred tax rate</t>
        </is>
      </c>
      <c r="E181" t="inlineStr">
        <is>
          <t>%</t>
        </is>
      </c>
      <c r="F181" s="7" t="n">
        <v>30</v>
      </c>
    </row>
    <row r="182">
      <c r="B182" s="2" t="inlineStr">
        <is>
          <t>Events (actual history)</t>
        </is>
      </c>
    </row>
    <row r="183">
      <c r="D183" t="inlineStr">
        <is>
          <t>Share of SEKA arrears matched by deferred SNHK/GCK payables (calibration)</t>
        </is>
      </c>
      <c r="E183" t="inlineStr">
        <is>
          <t>fraction</t>
        </is>
      </c>
      <c r="F183" s="7" t="n">
        <v>0.8</v>
      </c>
    </row>
    <row r="184">
      <c r="D184" t="inlineStr">
        <is>
          <t>Late payment interest spread</t>
        </is>
      </c>
      <c r="E184" t="inlineStr">
        <is>
          <t>%</t>
        </is>
      </c>
      <c r="F184" s="7" t="n">
        <v>2</v>
      </c>
    </row>
    <row r="185">
      <c r="D185" t="inlineStr">
        <is>
          <t>Late payment interest received (1 - waived)</t>
        </is>
      </c>
      <c r="E185" t="inlineStr">
        <is>
          <t>fraction</t>
        </is>
      </c>
      <c r="F185" s="7" t="n">
        <v>0.6</v>
      </c>
    </row>
    <row r="186">
      <c r="D186" t="inlineStr">
        <is>
          <t>EPC delay LDs received Nov 2021</t>
        </is>
      </c>
      <c r="E186" t="inlineStr">
        <is>
          <t>USD m</t>
        </is>
      </c>
      <c r="F186" s="7" t="n">
        <v>10.1393</v>
      </c>
    </row>
    <row r="187">
      <c r="D187" t="inlineStr">
        <is>
          <t>DSU insurance proceeds Nov 2021</t>
        </is>
      </c>
      <c r="E187" t="inlineStr">
        <is>
          <t>USD m</t>
        </is>
      </c>
      <c r="F187" s="7" t="n">
        <v>7.0804</v>
      </c>
    </row>
    <row r="188">
      <c r="D188" t="inlineStr">
        <is>
          <t>Performance LDs (prepay June 2022)</t>
        </is>
      </c>
      <c r="E188" t="inlineStr">
        <is>
          <t>USD m</t>
        </is>
      </c>
      <c r="F188" s="7" t="n">
        <v>18.485</v>
      </c>
    </row>
    <row r="189">
      <c r="D189" t="inlineStr">
        <is>
          <t>Waiver fee</t>
        </is>
      </c>
      <c r="E189" t="inlineStr">
        <is>
          <t>% of senior debt</t>
        </is>
      </c>
      <c r="F189" s="7" t="n">
        <v>0.25</v>
      </c>
    </row>
    <row r="190">
      <c r="D190" t="inlineStr">
        <is>
          <t>Margin uplift 2023H2-2024H2</t>
        </is>
      </c>
      <c r="E190" t="inlineStr">
        <is>
          <t>%</t>
        </is>
      </c>
      <c r="F190" s="7" t="n">
        <v>0.5</v>
      </c>
    </row>
    <row r="191">
      <c r="D191" t="inlineStr">
        <is>
          <t>Deferred share of 2023-12-31 principal</t>
        </is>
      </c>
      <c r="E191" t="inlineStr">
        <is>
          <t>fraction</t>
        </is>
      </c>
      <c r="F191" s="7" t="n">
        <v>0.6</v>
      </c>
    </row>
    <row r="192">
      <c r="D192" t="inlineStr">
        <is>
          <t>Bond coupon</t>
        </is>
      </c>
      <c r="E192" t="inlineStr">
        <is>
          <t>%</t>
        </is>
      </c>
      <c r="F192" s="7" t="n">
        <v>7.875</v>
      </c>
    </row>
    <row r="193">
      <c r="D193" t="inlineStr">
        <is>
          <t>Bond issue price</t>
        </is>
      </c>
      <c r="E193" t="inlineStr">
        <is>
          <t>fraction</t>
        </is>
      </c>
      <c r="F193" s="7" t="n">
        <v>0.99512</v>
      </c>
    </row>
    <row r="194">
      <c r="D194" t="inlineStr">
        <is>
          <t>Underwriting fee</t>
        </is>
      </c>
      <c r="E194" t="inlineStr">
        <is>
          <t>fraction</t>
        </is>
      </c>
      <c r="F194" s="7" t="n">
        <v>0.01</v>
      </c>
    </row>
    <row r="195">
      <c r="D195" t="inlineStr">
        <is>
          <t>Other transaction costs</t>
        </is>
      </c>
      <c r="E195" t="inlineStr">
        <is>
          <t>USD m</t>
        </is>
      </c>
      <c r="F195" s="7" t="n">
        <v>3.1</v>
      </c>
    </row>
    <row r="196">
      <c r="D196" t="inlineStr">
        <is>
          <t>ABDB partial credit guarantee</t>
        </is>
      </c>
      <c r="E196" t="inlineStr">
        <is>
          <t>USD m</t>
        </is>
      </c>
      <c r="F196" s="7" t="n">
        <v>95</v>
      </c>
    </row>
    <row r="197">
      <c r="D197" t="inlineStr">
        <is>
          <t>PCG fee</t>
        </is>
      </c>
      <c r="E197" t="inlineStr">
        <is>
          <t>% pa</t>
        </is>
      </c>
      <c r="F197" s="7" t="n">
        <v>1.1</v>
      </c>
    </row>
    <row r="198">
      <c r="D198" t="inlineStr">
        <is>
          <t>PCG upfront fee</t>
        </is>
      </c>
      <c r="E198" t="inlineStr">
        <is>
          <t>%</t>
        </is>
      </c>
      <c r="F198" s="7" t="n">
        <v>0.75</v>
      </c>
    </row>
    <row r="199">
      <c r="D199" t="inlineStr">
        <is>
          <t>Flat swap rate for unwind</t>
        </is>
      </c>
      <c r="E199" t="inlineStr">
        <is>
          <t>%</t>
        </is>
      </c>
      <c r="F199" s="7" t="n">
        <v>3.68</v>
      </c>
    </row>
    <row r="200">
      <c r="D200" t="inlineStr">
        <is>
          <t>Share of swap terminated</t>
        </is>
      </c>
      <c r="E200" t="inlineStr">
        <is>
          <t>fraction</t>
        </is>
      </c>
      <c r="F200" s="7" t="n">
        <v>0.48</v>
      </c>
    </row>
    <row r="201">
      <c r="D201" t="inlineStr">
        <is>
          <t>Share of swap remaining after refi</t>
        </is>
      </c>
      <c r="E201" t="inlineStr">
        <is>
          <t>fraction</t>
        </is>
      </c>
      <c r="F201" s="7" t="n">
        <v>0.52</v>
      </c>
    </row>
    <row r="202">
      <c r="B202" s="2" t="inlineStr">
        <is>
          <t>Annual tables (columns J = 2015 ... ): CPI annual average change (%), policy rate (%)</t>
        </is>
      </c>
    </row>
    <row r="203">
      <c r="D203" t="inlineStr">
        <is>
          <t>Calendar year</t>
        </is>
      </c>
      <c r="E203" t="inlineStr">
        <is>
          <t>year</t>
        </is>
      </c>
      <c r="J203" s="5" t="n">
        <v>2015</v>
      </c>
      <c r="K203" s="5" t="n">
        <v>2016</v>
      </c>
      <c r="L203" s="5" t="n">
        <v>2017</v>
      </c>
      <c r="M203" s="5" t="n">
        <v>2018</v>
      </c>
      <c r="N203" s="5" t="n">
        <v>2019</v>
      </c>
      <c r="O203" s="5" t="n">
        <v>2020</v>
      </c>
      <c r="P203" s="5" t="n">
        <v>2021</v>
      </c>
      <c r="Q203" s="5" t="n">
        <v>2022</v>
      </c>
      <c r="R203" s="5" t="n">
        <v>2023</v>
      </c>
      <c r="S203" s="5" t="n">
        <v>2024</v>
      </c>
      <c r="T203" s="5" t="n">
        <v>2025</v>
      </c>
      <c r="U203" s="5" t="n">
        <v>2026</v>
      </c>
      <c r="V203" s="5" t="n">
        <v>2027</v>
      </c>
      <c r="W203" s="5" t="n">
        <v>2028</v>
      </c>
      <c r="X203" s="5" t="n">
        <v>2029</v>
      </c>
      <c r="Y203" s="5" t="n">
        <v>2030</v>
      </c>
      <c r="Z203" s="5" t="n">
        <v>2031</v>
      </c>
      <c r="AA203" s="5" t="n">
        <v>2032</v>
      </c>
      <c r="AB203" s="5" t="n">
        <v>2033</v>
      </c>
      <c r="AC203" s="5" t="n">
        <v>2034</v>
      </c>
      <c r="AD203" s="5" t="n">
        <v>2035</v>
      </c>
      <c r="AE203" s="5" t="n">
        <v>2036</v>
      </c>
      <c r="AF203" s="5" t="n">
        <v>2037</v>
      </c>
      <c r="AG203" s="5" t="n">
        <v>2038</v>
      </c>
      <c r="AH203" s="5" t="n">
        <v>2039</v>
      </c>
      <c r="AI203" s="5" t="n">
        <v>2040</v>
      </c>
      <c r="AJ203" s="5" t="n">
        <v>2041</v>
      </c>
      <c r="AK203" s="5" t="n">
        <v>2042</v>
      </c>
      <c r="AL203" s="5" t="n">
        <v>2043</v>
      </c>
      <c r="AM203" s="5" t="n">
        <v>2044</v>
      </c>
      <c r="AN203" s="5" t="n">
        <v>2045</v>
      </c>
      <c r="AO203" s="5" t="n">
        <v>2046</v>
      </c>
      <c r="AP203" s="5" t="n">
        <v>2047</v>
      </c>
      <c r="AQ203" s="5" t="n">
        <v>2048</v>
      </c>
      <c r="AR203" s="5" t="n">
        <v>2049</v>
      </c>
    </row>
    <row r="204">
      <c r="D204" t="inlineStr">
        <is>
          <t>US CPI, FC expectation</t>
        </is>
      </c>
      <c r="E204" t="inlineStr">
        <is>
          <t>%</t>
        </is>
      </c>
      <c r="J204" s="5" t="n">
        <v>0.1</v>
      </c>
      <c r="K204" s="5" t="n">
        <v>1.3</v>
      </c>
      <c r="L204" s="5" t="n">
        <v>2.1</v>
      </c>
      <c r="M204" s="5" t="n">
        <v>2.2</v>
      </c>
      <c r="N204" s="5" t="n">
        <v>2.2</v>
      </c>
      <c r="O204" s="5" t="n">
        <v>2.2</v>
      </c>
      <c r="P204" s="5" t="n">
        <v>2.2</v>
      </c>
      <c r="Q204" s="5" t="n">
        <v>2.2</v>
      </c>
      <c r="R204" s="5" t="n">
        <v>2.2</v>
      </c>
      <c r="S204" s="5" t="n">
        <v>2.2</v>
      </c>
      <c r="T204" s="5" t="n">
        <v>2.2</v>
      </c>
      <c r="U204" s="5" t="n">
        <v>2.2</v>
      </c>
      <c r="V204" s="5" t="n">
        <v>2.2</v>
      </c>
      <c r="W204" s="5" t="n">
        <v>2.2</v>
      </c>
      <c r="X204" s="5" t="n">
        <v>2.2</v>
      </c>
      <c r="Y204" s="5" t="n">
        <v>2.2</v>
      </c>
      <c r="Z204" s="5" t="n">
        <v>2.2</v>
      </c>
      <c r="AA204" s="5" t="n">
        <v>2.2</v>
      </c>
      <c r="AB204" s="5" t="n">
        <v>2.2</v>
      </c>
      <c r="AC204" s="5" t="n">
        <v>2.2</v>
      </c>
      <c r="AD204" s="5" t="n">
        <v>2.2</v>
      </c>
      <c r="AE204" s="5" t="n">
        <v>2.2</v>
      </c>
      <c r="AF204" s="5" t="n">
        <v>2.2</v>
      </c>
      <c r="AG204" s="5" t="n">
        <v>2.2</v>
      </c>
      <c r="AH204" s="5" t="n">
        <v>2.2</v>
      </c>
      <c r="AI204" s="5" t="n">
        <v>2.2</v>
      </c>
      <c r="AJ204" s="5" t="n">
        <v>2.2</v>
      </c>
      <c r="AK204" s="5" t="n">
        <v>2.2</v>
      </c>
      <c r="AL204" s="5" t="n">
        <v>2.2</v>
      </c>
      <c r="AM204" s="5" t="n">
        <v>2.2</v>
      </c>
      <c r="AN204" s="5" t="n">
        <v>2.2</v>
      </c>
      <c r="AO204" s="5" t="n">
        <v>2.2</v>
      </c>
      <c r="AP204" s="5" t="n">
        <v>2.2</v>
      </c>
      <c r="AQ204" s="5" t="n">
        <v>2.2</v>
      </c>
      <c r="AR204" s="5" t="n">
        <v>2.2</v>
      </c>
    </row>
    <row r="205">
      <c r="D205" t="inlineStr">
        <is>
          <t>Kessara CPI, FC expectation</t>
        </is>
      </c>
      <c r="E205" t="inlineStr">
        <is>
          <t>%</t>
        </is>
      </c>
      <c r="J205" s="5" t="n">
        <v>8.699999999999999</v>
      </c>
      <c r="K205" s="5" t="n">
        <v>9.4</v>
      </c>
      <c r="L205" s="5" t="n">
        <v>8.1</v>
      </c>
      <c r="M205" s="5" t="n">
        <v>7.5</v>
      </c>
      <c r="N205" s="5" t="n">
        <v>7.5</v>
      </c>
      <c r="O205" s="5" t="n">
        <v>7.5</v>
      </c>
      <c r="P205" s="5" t="n">
        <v>7.5</v>
      </c>
      <c r="Q205" s="5" t="n">
        <v>7.5</v>
      </c>
      <c r="R205" s="5" t="n">
        <v>7.5</v>
      </c>
      <c r="S205" s="5" t="n">
        <v>7.5</v>
      </c>
      <c r="T205" s="5" t="n">
        <v>7.5</v>
      </c>
      <c r="U205" s="5" t="n">
        <v>7.5</v>
      </c>
      <c r="V205" s="5" t="n">
        <v>7.5</v>
      </c>
      <c r="W205" s="5" t="n">
        <v>7.5</v>
      </c>
      <c r="X205" s="5" t="n">
        <v>7.5</v>
      </c>
      <c r="Y205" s="5" t="n">
        <v>7.5</v>
      </c>
      <c r="Z205" s="5" t="n">
        <v>7.5</v>
      </c>
      <c r="AA205" s="5" t="n">
        <v>7.5</v>
      </c>
      <c r="AB205" s="5" t="n">
        <v>7.5</v>
      </c>
      <c r="AC205" s="5" t="n">
        <v>7.5</v>
      </c>
      <c r="AD205" s="5" t="n">
        <v>7.5</v>
      </c>
      <c r="AE205" s="5" t="n">
        <v>7.5</v>
      </c>
      <c r="AF205" s="5" t="n">
        <v>7.5</v>
      </c>
      <c r="AG205" s="5" t="n">
        <v>7.5</v>
      </c>
      <c r="AH205" s="5" t="n">
        <v>7.5</v>
      </c>
      <c r="AI205" s="5" t="n">
        <v>7.5</v>
      </c>
      <c r="AJ205" s="5" t="n">
        <v>7.5</v>
      </c>
      <c r="AK205" s="5" t="n">
        <v>7.5</v>
      </c>
      <c r="AL205" s="5" t="n">
        <v>7.5</v>
      </c>
      <c r="AM205" s="5" t="n">
        <v>7.5</v>
      </c>
      <c r="AN205" s="5" t="n">
        <v>7.5</v>
      </c>
      <c r="AO205" s="5" t="n">
        <v>7.5</v>
      </c>
      <c r="AP205" s="5" t="n">
        <v>7.5</v>
      </c>
      <c r="AQ205" s="5" t="n">
        <v>7.5</v>
      </c>
      <c r="AR205" s="5" t="n">
        <v>7.5</v>
      </c>
    </row>
    <row r="206">
      <c r="D206" t="inlineStr">
        <is>
          <t>US CPI, actual history + assumptions</t>
        </is>
      </c>
      <c r="E206" t="inlineStr">
        <is>
          <t>%</t>
        </is>
      </c>
      <c r="J206" s="5" t="n">
        <v>0.1</v>
      </c>
      <c r="K206" s="5" t="n">
        <v>1.3</v>
      </c>
      <c r="L206" s="5" t="n">
        <v>2.1</v>
      </c>
      <c r="M206" s="5" t="n">
        <v>2.4</v>
      </c>
      <c r="N206" s="5" t="n">
        <v>1.8</v>
      </c>
      <c r="O206" s="5" t="n">
        <v>1.2</v>
      </c>
      <c r="P206" s="5" t="n">
        <v>4.7</v>
      </c>
      <c r="Q206" s="5" t="n">
        <v>8</v>
      </c>
      <c r="R206" s="5" t="n">
        <v>4.1</v>
      </c>
      <c r="S206" s="5" t="n">
        <v>2.9</v>
      </c>
      <c r="T206" s="5" t="n">
        <v>2.7</v>
      </c>
      <c r="U206" s="5" t="n">
        <v>2.6</v>
      </c>
      <c r="V206" s="5" t="n">
        <v>2.3</v>
      </c>
      <c r="W206" s="5" t="n">
        <v>2.3</v>
      </c>
      <c r="X206" s="5" t="n">
        <v>2.3</v>
      </c>
      <c r="Y206" s="5" t="n">
        <v>2.3</v>
      </c>
      <c r="Z206" s="5" t="n">
        <v>2.3</v>
      </c>
      <c r="AA206" s="5" t="n">
        <v>2.3</v>
      </c>
      <c r="AB206" s="5" t="n">
        <v>2.3</v>
      </c>
      <c r="AC206" s="5" t="n">
        <v>2.3</v>
      </c>
      <c r="AD206" s="5" t="n">
        <v>2.3</v>
      </c>
      <c r="AE206" s="5" t="n">
        <v>2.3</v>
      </c>
      <c r="AF206" s="5" t="n">
        <v>2.3</v>
      </c>
      <c r="AG206" s="5" t="n">
        <v>2.3</v>
      </c>
      <c r="AH206" s="5" t="n">
        <v>2.3</v>
      </c>
      <c r="AI206" s="5" t="n">
        <v>2.3</v>
      </c>
      <c r="AJ206" s="5" t="n">
        <v>2.3</v>
      </c>
      <c r="AK206" s="5" t="n">
        <v>2.3</v>
      </c>
      <c r="AL206" s="5" t="n">
        <v>2.3</v>
      </c>
      <c r="AM206" s="5" t="n">
        <v>2.3</v>
      </c>
      <c r="AN206" s="5" t="n">
        <v>2.3</v>
      </c>
      <c r="AO206" s="5" t="n">
        <v>2.3</v>
      </c>
      <c r="AP206" s="5" t="n">
        <v>2.3</v>
      </c>
      <c r="AQ206" s="5" t="n">
        <v>2.3</v>
      </c>
      <c r="AR206" s="5" t="n">
        <v>2.3</v>
      </c>
    </row>
    <row r="207">
      <c r="D207" t="inlineStr">
        <is>
          <t>Kessara CPI, actual history + assumptions</t>
        </is>
      </c>
      <c r="E207" t="inlineStr">
        <is>
          <t>%</t>
        </is>
      </c>
      <c r="J207" s="5" t="n">
        <v>8.699999999999999</v>
      </c>
      <c r="K207" s="5" t="n">
        <v>9.4</v>
      </c>
      <c r="L207" s="5" t="n">
        <v>8.1</v>
      </c>
      <c r="M207" s="5" t="n">
        <v>7.6</v>
      </c>
      <c r="N207" s="5" t="n">
        <v>7.9</v>
      </c>
      <c r="O207" s="5" t="n">
        <v>9.800000000000001</v>
      </c>
      <c r="P207" s="5" t="n">
        <v>10.6</v>
      </c>
      <c r="Q207" s="5" t="n">
        <v>26.3</v>
      </c>
      <c r="R207" s="5" t="n">
        <v>34.8</v>
      </c>
      <c r="S207" s="5" t="n">
        <v>19.2</v>
      </c>
      <c r="T207" s="5" t="n">
        <v>12.4</v>
      </c>
      <c r="U207" s="5" t="n">
        <v>9.6</v>
      </c>
      <c r="V207" s="5" t="n">
        <v>8</v>
      </c>
      <c r="W207" s="5" t="n">
        <v>7</v>
      </c>
      <c r="X207" s="5" t="n">
        <v>7</v>
      </c>
      <c r="Y207" s="5" t="n">
        <v>7</v>
      </c>
      <c r="Z207" s="5" t="n">
        <v>7</v>
      </c>
      <c r="AA207" s="5" t="n">
        <v>7</v>
      </c>
      <c r="AB207" s="5" t="n">
        <v>7</v>
      </c>
      <c r="AC207" s="5" t="n">
        <v>7</v>
      </c>
      <c r="AD207" s="5" t="n">
        <v>7</v>
      </c>
      <c r="AE207" s="5" t="n">
        <v>7</v>
      </c>
      <c r="AF207" s="5" t="n">
        <v>7</v>
      </c>
      <c r="AG207" s="5" t="n">
        <v>7</v>
      </c>
      <c r="AH207" s="5" t="n">
        <v>7</v>
      </c>
      <c r="AI207" s="5" t="n">
        <v>7</v>
      </c>
      <c r="AJ207" s="5" t="n">
        <v>7</v>
      </c>
      <c r="AK207" s="5" t="n">
        <v>7</v>
      </c>
      <c r="AL207" s="5" t="n">
        <v>7</v>
      </c>
      <c r="AM207" s="5" t="n">
        <v>7</v>
      </c>
      <c r="AN207" s="5" t="n">
        <v>7</v>
      </c>
      <c r="AO207" s="5" t="n">
        <v>7</v>
      </c>
      <c r="AP207" s="5" t="n">
        <v>7</v>
      </c>
      <c r="AQ207" s="5" t="n">
        <v>7</v>
      </c>
      <c r="AR207" s="5" t="n">
        <v>7</v>
      </c>
    </row>
    <row r="208">
      <c r="D208" t="inlineStr">
        <is>
          <t>US CPI, COD re-forecast</t>
        </is>
      </c>
      <c r="E208" t="inlineStr">
        <is>
          <t>%</t>
        </is>
      </c>
      <c r="J208" s="5" t="n">
        <v>0.1</v>
      </c>
      <c r="K208" s="5" t="n">
        <v>1.3</v>
      </c>
      <c r="L208" s="5" t="n">
        <v>2.1</v>
      </c>
      <c r="M208" s="5" t="n">
        <v>2.4</v>
      </c>
      <c r="N208" s="5" t="n">
        <v>1.8</v>
      </c>
      <c r="O208" s="5" t="n">
        <v>1.2</v>
      </c>
      <c r="P208" s="5" t="n">
        <v>4.7</v>
      </c>
      <c r="Q208" s="5" t="n">
        <v>2.2</v>
      </c>
      <c r="R208" s="5" t="n">
        <v>2.2</v>
      </c>
      <c r="S208" s="5" t="n">
        <v>2.2</v>
      </c>
      <c r="T208" s="5" t="n">
        <v>2.2</v>
      </c>
      <c r="U208" s="5" t="n">
        <v>2.2</v>
      </c>
      <c r="V208" s="5" t="n">
        <v>2.2</v>
      </c>
      <c r="W208" s="5" t="n">
        <v>2.2</v>
      </c>
      <c r="X208" s="5" t="n">
        <v>2.2</v>
      </c>
      <c r="Y208" s="5" t="n">
        <v>2.2</v>
      </c>
      <c r="Z208" s="5" t="n">
        <v>2.2</v>
      </c>
      <c r="AA208" s="5" t="n">
        <v>2.2</v>
      </c>
      <c r="AB208" s="5" t="n">
        <v>2.2</v>
      </c>
      <c r="AC208" s="5" t="n">
        <v>2.2</v>
      </c>
      <c r="AD208" s="5" t="n">
        <v>2.2</v>
      </c>
      <c r="AE208" s="5" t="n">
        <v>2.2</v>
      </c>
      <c r="AF208" s="5" t="n">
        <v>2.2</v>
      </c>
      <c r="AG208" s="5" t="n">
        <v>2.2</v>
      </c>
      <c r="AH208" s="5" t="n">
        <v>2.2</v>
      </c>
      <c r="AI208" s="5" t="n">
        <v>2.2</v>
      </c>
      <c r="AJ208" s="5" t="n">
        <v>2.2</v>
      </c>
      <c r="AK208" s="5" t="n">
        <v>2.2</v>
      </c>
      <c r="AL208" s="5" t="n">
        <v>2.2</v>
      </c>
      <c r="AM208" s="5" t="n">
        <v>2.2</v>
      </c>
      <c r="AN208" s="5" t="n">
        <v>2.2</v>
      </c>
      <c r="AO208" s="5" t="n">
        <v>2.2</v>
      </c>
      <c r="AP208" s="5" t="n">
        <v>2.2</v>
      </c>
      <c r="AQ208" s="5" t="n">
        <v>2.2</v>
      </c>
      <c r="AR208" s="5" t="n">
        <v>2.2</v>
      </c>
    </row>
    <row r="209">
      <c r="D209" t="inlineStr">
        <is>
          <t>Kessara CPI, COD re-forecast</t>
        </is>
      </c>
      <c r="E209" t="inlineStr">
        <is>
          <t>%</t>
        </is>
      </c>
      <c r="J209" s="5" t="n">
        <v>8.699999999999999</v>
      </c>
      <c r="K209" s="5" t="n">
        <v>9.4</v>
      </c>
      <c r="L209" s="5" t="n">
        <v>8.1</v>
      </c>
      <c r="M209" s="5" t="n">
        <v>7.6</v>
      </c>
      <c r="N209" s="5" t="n">
        <v>7.9</v>
      </c>
      <c r="O209" s="5" t="n">
        <v>9.800000000000001</v>
      </c>
      <c r="P209" s="5" t="n">
        <v>10.6</v>
      </c>
      <c r="Q209" s="5" t="n">
        <v>7.5</v>
      </c>
      <c r="R209" s="5" t="n">
        <v>7.5</v>
      </c>
      <c r="S209" s="5" t="n">
        <v>7.5</v>
      </c>
      <c r="T209" s="5" t="n">
        <v>7.5</v>
      </c>
      <c r="U209" s="5" t="n">
        <v>7.5</v>
      </c>
      <c r="V209" s="5" t="n">
        <v>7.5</v>
      </c>
      <c r="W209" s="5" t="n">
        <v>7.5</v>
      </c>
      <c r="X209" s="5" t="n">
        <v>7.5</v>
      </c>
      <c r="Y209" s="5" t="n">
        <v>7.5</v>
      </c>
      <c r="Z209" s="5" t="n">
        <v>7.5</v>
      </c>
      <c r="AA209" s="5" t="n">
        <v>7.5</v>
      </c>
      <c r="AB209" s="5" t="n">
        <v>7.5</v>
      </c>
      <c r="AC209" s="5" t="n">
        <v>7.5</v>
      </c>
      <c r="AD209" s="5" t="n">
        <v>7.5</v>
      </c>
      <c r="AE209" s="5" t="n">
        <v>7.5</v>
      </c>
      <c r="AF209" s="5" t="n">
        <v>7.5</v>
      </c>
      <c r="AG209" s="5" t="n">
        <v>7.5</v>
      </c>
      <c r="AH209" s="5" t="n">
        <v>7.5</v>
      </c>
      <c r="AI209" s="5" t="n">
        <v>7.5</v>
      </c>
      <c r="AJ209" s="5" t="n">
        <v>7.5</v>
      </c>
      <c r="AK209" s="5" t="n">
        <v>7.5</v>
      </c>
      <c r="AL209" s="5" t="n">
        <v>7.5</v>
      </c>
      <c r="AM209" s="5" t="n">
        <v>7.5</v>
      </c>
      <c r="AN209" s="5" t="n">
        <v>7.5</v>
      </c>
      <c r="AO209" s="5" t="n">
        <v>7.5</v>
      </c>
      <c r="AP209" s="5" t="n">
        <v>7.5</v>
      </c>
      <c r="AQ209" s="5" t="n">
        <v>7.5</v>
      </c>
      <c r="AR209" s="5" t="n">
        <v>7.5</v>
      </c>
    </row>
    <row r="210">
      <c r="D210" t="inlineStr">
        <is>
          <t>Kessara policy rate (actual)</t>
        </is>
      </c>
      <c r="E210" t="inlineStr">
        <is>
          <t>%</t>
        </is>
      </c>
      <c r="J210" s="5" t="n">
        <v>15.5</v>
      </c>
      <c r="K210" s="5" t="n">
        <v>15.5</v>
      </c>
      <c r="L210" s="5" t="n">
        <v>15.5</v>
      </c>
      <c r="M210" s="5" t="n">
        <v>13.5</v>
      </c>
      <c r="N210" s="5" t="n">
        <v>13.5</v>
      </c>
      <c r="O210" s="5" t="n">
        <v>13.5</v>
      </c>
      <c r="P210" s="5" t="n">
        <v>13.5</v>
      </c>
      <c r="Q210" s="5" t="n">
        <v>19</v>
      </c>
      <c r="R210" s="5" t="n">
        <v>27</v>
      </c>
      <c r="S210" s="5" t="n">
        <v>24.5</v>
      </c>
      <c r="T210" s="5" t="n">
        <v>18</v>
      </c>
      <c r="U210" s="5" t="n">
        <v>15.5</v>
      </c>
      <c r="V210" s="5" t="n">
        <v>15.5</v>
      </c>
      <c r="W210" s="5" t="n">
        <v>15.5</v>
      </c>
      <c r="X210" s="5" t="n">
        <v>15.5</v>
      </c>
      <c r="Y210" s="5" t="n">
        <v>15.5</v>
      </c>
      <c r="Z210" s="5" t="n">
        <v>15.5</v>
      </c>
      <c r="AA210" s="5" t="n">
        <v>15.5</v>
      </c>
      <c r="AB210" s="5" t="n">
        <v>15.5</v>
      </c>
      <c r="AC210" s="5" t="n">
        <v>15.5</v>
      </c>
      <c r="AD210" s="5" t="n">
        <v>15.5</v>
      </c>
      <c r="AE210" s="5" t="n">
        <v>15.5</v>
      </c>
      <c r="AF210" s="5" t="n">
        <v>15.5</v>
      </c>
      <c r="AG210" s="5" t="n">
        <v>15.5</v>
      </c>
      <c r="AH210" s="5" t="n">
        <v>15.5</v>
      </c>
      <c r="AI210" s="5" t="n">
        <v>15.5</v>
      </c>
      <c r="AJ210" s="5" t="n">
        <v>15.5</v>
      </c>
      <c r="AK210" s="5" t="n">
        <v>15.5</v>
      </c>
      <c r="AL210" s="5" t="n">
        <v>15.5</v>
      </c>
      <c r="AM210" s="5" t="n">
        <v>15.5</v>
      </c>
      <c r="AN210" s="5" t="n">
        <v>15.5</v>
      </c>
      <c r="AO210" s="5" t="n">
        <v>15.5</v>
      </c>
      <c r="AP210" s="5" t="n">
        <v>15.5</v>
      </c>
      <c r="AQ210" s="5" t="n">
        <v>15.5</v>
      </c>
      <c r="AR210" s="5" t="n">
        <v>15.5</v>
      </c>
    </row>
    <row r="211">
      <c r="B211" s="2" t="inlineStr">
        <is>
          <t>Semiannual inputs (column J = 2018H2 ... BN = 2046H2)</t>
        </is>
      </c>
    </row>
    <row r="212">
      <c r="D212" t="inlineStr">
        <is>
          <t>6M LIBOR forward curve at FC</t>
        </is>
      </c>
      <c r="E212" t="inlineStr">
        <is>
          <t>%</t>
        </is>
      </c>
      <c r="J212" s="5" t="n">
        <v>2.52</v>
      </c>
      <c r="K212" s="5" t="n">
        <v>2.79</v>
      </c>
      <c r="L212" s="5" t="n">
        <v>2.94</v>
      </c>
      <c r="M212" s="5" t="n">
        <v>3.02</v>
      </c>
      <c r="N212" s="5" t="n">
        <v>3.06</v>
      </c>
      <c r="O212" s="5" t="n">
        <v>3.09</v>
      </c>
      <c r="P212" s="5" t="n">
        <v>3.09</v>
      </c>
      <c r="Q212" s="5" t="n">
        <v>3.11</v>
      </c>
      <c r="R212" s="5" t="n">
        <v>3.11</v>
      </c>
      <c r="S212" s="5" t="n">
        <v>3.12</v>
      </c>
      <c r="T212" s="5" t="n">
        <v>3.12</v>
      </c>
      <c r="U212" s="5" t="n">
        <v>3.12</v>
      </c>
      <c r="V212" s="5" t="n">
        <v>3.12</v>
      </c>
      <c r="W212" s="5" t="n">
        <v>3.12</v>
      </c>
      <c r="X212" s="5" t="n">
        <v>3.12</v>
      </c>
      <c r="Y212" s="5" t="n">
        <v>3.12</v>
      </c>
      <c r="Z212" s="5" t="n">
        <v>3.12</v>
      </c>
      <c r="AA212" s="5" t="n">
        <v>3.12</v>
      </c>
      <c r="AB212" s="5" t="n">
        <v>3.12</v>
      </c>
      <c r="AC212" s="5" t="n">
        <v>3.12</v>
      </c>
      <c r="AD212" s="5" t="n">
        <v>3.12</v>
      </c>
      <c r="AE212" s="5" t="n">
        <v>3.12</v>
      </c>
      <c r="AF212" s="5" t="n">
        <v>3.12</v>
      </c>
      <c r="AG212" s="5" t="n">
        <v>3.12</v>
      </c>
      <c r="AH212" s="5" t="n">
        <v>3.12</v>
      </c>
      <c r="AI212" s="5" t="n">
        <v>3.12</v>
      </c>
      <c r="AJ212" s="5" t="n">
        <v>3.12</v>
      </c>
      <c r="AK212" s="5" t="n">
        <v>3.12</v>
      </c>
      <c r="AL212" s="5" t="n">
        <v>3.12</v>
      </c>
      <c r="AM212" s="5" t="n">
        <v>3.12</v>
      </c>
      <c r="AN212" s="5" t="n">
        <v>3.12</v>
      </c>
      <c r="AO212" s="5" t="n">
        <v>3.12</v>
      </c>
      <c r="AP212" s="5" t="n">
        <v>3.12</v>
      </c>
      <c r="AQ212" s="5" t="n">
        <v>3.12</v>
      </c>
      <c r="AR212" s="5" t="n">
        <v>3.12</v>
      </c>
      <c r="AS212" s="5" t="n">
        <v>3.12</v>
      </c>
      <c r="AT212" s="5" t="n">
        <v>3.12</v>
      </c>
      <c r="AU212" s="5" t="n">
        <v>3.12</v>
      </c>
      <c r="AV212" s="5" t="n">
        <v>3.12</v>
      </c>
      <c r="AW212" s="5" t="n">
        <v>3.12</v>
      </c>
      <c r="AX212" s="5" t="n">
        <v>3.12</v>
      </c>
      <c r="AY212" s="5" t="n">
        <v>3.12</v>
      </c>
      <c r="AZ212" s="5" t="n">
        <v>3.12</v>
      </c>
      <c r="BA212" s="5" t="n">
        <v>3.12</v>
      </c>
      <c r="BB212" s="5" t="n">
        <v>3.12</v>
      </c>
      <c r="BC212" s="5" t="n">
        <v>3.12</v>
      </c>
      <c r="BD212" s="5" t="n">
        <v>3.12</v>
      </c>
      <c r="BE212" s="5" t="n">
        <v>3.12</v>
      </c>
      <c r="BF212" s="5" t="n">
        <v>3.12</v>
      </c>
      <c r="BG212" s="5" t="n">
        <v>3.12</v>
      </c>
      <c r="BH212" s="5" t="n">
        <v>3.12</v>
      </c>
      <c r="BI212" s="5" t="n">
        <v>3.12</v>
      </c>
      <c r="BJ212" s="5" t="n">
        <v>3.12</v>
      </c>
      <c r="BK212" s="5" t="n">
        <v>3.12</v>
      </c>
      <c r="BL212" s="5" t="n">
        <v>3.12</v>
      </c>
      <c r="BM212" s="5" t="n">
        <v>3.12</v>
      </c>
      <c r="BN212" s="5" t="n">
        <v>3.12</v>
      </c>
    </row>
    <row r="213">
      <c r="D213" t="inlineStr">
        <is>
          <t>6M LIBOR to 2022H2; 6M Term SOFR + CAS from 2023H1 (actual)</t>
        </is>
      </c>
      <c r="E213" t="inlineStr">
        <is>
          <t>%</t>
        </is>
      </c>
      <c r="J213" s="5" t="n">
        <v>2.52</v>
      </c>
      <c r="K213" s="5" t="n">
        <v>2.87</v>
      </c>
      <c r="L213" s="5" t="n">
        <v>2.2</v>
      </c>
      <c r="M213" s="5" t="n">
        <v>1.91</v>
      </c>
      <c r="N213" s="5" t="n">
        <v>0.37</v>
      </c>
      <c r="O213" s="5" t="n">
        <v>0.25</v>
      </c>
      <c r="P213" s="5" t="n">
        <v>0.16</v>
      </c>
      <c r="Q213" s="5" t="n">
        <v>0.34</v>
      </c>
      <c r="R213" s="5" t="n">
        <v>2.94</v>
      </c>
      <c r="S213" s="5" t="n">
        <v>5.28826</v>
      </c>
      <c r="T213" s="5" t="n">
        <v>5.89826</v>
      </c>
      <c r="U213" s="5" t="n">
        <v>5.58826</v>
      </c>
      <c r="V213" s="5" t="n">
        <v>5.64826</v>
      </c>
      <c r="W213" s="5" t="n">
        <v>4.67826</v>
      </c>
      <c r="X213" s="5" t="n">
        <v>4.59826</v>
      </c>
      <c r="Y213" s="5" t="n">
        <v>4.04826</v>
      </c>
      <c r="Z213" s="5" t="n">
        <v>4.00826</v>
      </c>
      <c r="AA213" s="5" t="n">
        <v>3.87826</v>
      </c>
      <c r="AB213" s="5" t="n">
        <v>3.87826</v>
      </c>
      <c r="AC213" s="5" t="n">
        <v>3.92826</v>
      </c>
      <c r="AD213" s="5" t="n">
        <v>3.92826</v>
      </c>
      <c r="AE213" s="5" t="n">
        <v>3.92826</v>
      </c>
      <c r="AF213" s="5" t="n">
        <v>3.92826</v>
      </c>
      <c r="AG213" s="5" t="n">
        <v>3.92826</v>
      </c>
      <c r="AH213" s="5" t="n">
        <v>3.92826</v>
      </c>
      <c r="AI213" s="5" t="n">
        <v>3.92826</v>
      </c>
      <c r="AJ213" s="5" t="n">
        <v>3.92826</v>
      </c>
      <c r="AK213" s="5" t="n">
        <v>3.92826</v>
      </c>
      <c r="AL213" s="5" t="n">
        <v>3.92826</v>
      </c>
      <c r="AM213" s="5" t="n">
        <v>3.92826</v>
      </c>
      <c r="AN213" s="5" t="n">
        <v>3.92826</v>
      </c>
      <c r="AO213" s="5" t="n">
        <v>3.92826</v>
      </c>
      <c r="AP213" s="5" t="n">
        <v>3.92826</v>
      </c>
      <c r="AQ213" s="5" t="n">
        <v>3.92826</v>
      </c>
      <c r="AR213" s="5" t="n">
        <v>3.92826</v>
      </c>
      <c r="AS213" s="5" t="n">
        <v>3.92826</v>
      </c>
      <c r="AT213" s="5" t="n">
        <v>3.92826</v>
      </c>
      <c r="AU213" s="5" t="n">
        <v>3.92826</v>
      </c>
      <c r="AV213" s="5" t="n">
        <v>3.92826</v>
      </c>
      <c r="AW213" s="5" t="n">
        <v>3.92826</v>
      </c>
      <c r="AX213" s="5" t="n">
        <v>3.92826</v>
      </c>
      <c r="AY213" s="5" t="n">
        <v>3.92826</v>
      </c>
      <c r="AZ213" s="5" t="n">
        <v>3.92826</v>
      </c>
      <c r="BA213" s="5" t="n">
        <v>3.92826</v>
      </c>
      <c r="BB213" s="5" t="n">
        <v>3.92826</v>
      </c>
      <c r="BC213" s="5" t="n">
        <v>3.92826</v>
      </c>
      <c r="BD213" s="5" t="n">
        <v>3.92826</v>
      </c>
      <c r="BE213" s="5" t="n">
        <v>3.92826</v>
      </c>
      <c r="BF213" s="5" t="n">
        <v>3.92826</v>
      </c>
      <c r="BG213" s="5" t="n">
        <v>3.92826</v>
      </c>
      <c r="BH213" s="5" t="n">
        <v>3.92826</v>
      </c>
      <c r="BI213" s="5" t="n">
        <v>3.92826</v>
      </c>
      <c r="BJ213" s="5" t="n">
        <v>3.92826</v>
      </c>
      <c r="BK213" s="5" t="n">
        <v>3.92826</v>
      </c>
      <c r="BL213" s="5" t="n">
        <v>3.92826</v>
      </c>
      <c r="BM213" s="5" t="n">
        <v>3.92826</v>
      </c>
      <c r="BN213" s="5" t="n">
        <v>3.92826</v>
      </c>
    </row>
    <row r="214">
      <c r="D214" t="inlineStr">
        <is>
          <t>Base rate, COD re-forecast</t>
        </is>
      </c>
      <c r="E214" t="inlineStr">
        <is>
          <t>%</t>
        </is>
      </c>
      <c r="J214" s="5" t="n">
        <v>2.52</v>
      </c>
      <c r="K214" s="5" t="n">
        <v>2.87</v>
      </c>
      <c r="L214" s="5" t="n">
        <v>2.2</v>
      </c>
      <c r="M214" s="5" t="n">
        <v>1.91</v>
      </c>
      <c r="N214" s="5" t="n">
        <v>0.37</v>
      </c>
      <c r="O214" s="5" t="n">
        <v>0.25</v>
      </c>
      <c r="P214" s="5" t="n">
        <v>0.16</v>
      </c>
      <c r="Q214" s="5" t="n">
        <v>3.11</v>
      </c>
      <c r="R214" s="5" t="n">
        <v>3.11</v>
      </c>
      <c r="S214" s="5" t="n">
        <v>3.12</v>
      </c>
      <c r="T214" s="5" t="n">
        <v>3.12</v>
      </c>
      <c r="U214" s="5" t="n">
        <v>3.12</v>
      </c>
      <c r="V214" s="5" t="n">
        <v>3.12</v>
      </c>
      <c r="W214" s="5" t="n">
        <v>3.12</v>
      </c>
      <c r="X214" s="5" t="n">
        <v>3.12</v>
      </c>
      <c r="Y214" s="5" t="n">
        <v>3.12</v>
      </c>
      <c r="Z214" s="5" t="n">
        <v>3.12</v>
      </c>
      <c r="AA214" s="5" t="n">
        <v>3.12</v>
      </c>
      <c r="AB214" s="5" t="n">
        <v>3.12</v>
      </c>
      <c r="AC214" s="5" t="n">
        <v>3.12</v>
      </c>
      <c r="AD214" s="5" t="n">
        <v>3.12</v>
      </c>
      <c r="AE214" s="5" t="n">
        <v>3.12</v>
      </c>
      <c r="AF214" s="5" t="n">
        <v>3.12</v>
      </c>
      <c r="AG214" s="5" t="n">
        <v>3.12</v>
      </c>
      <c r="AH214" s="5" t="n">
        <v>3.12</v>
      </c>
      <c r="AI214" s="5" t="n">
        <v>3.12</v>
      </c>
      <c r="AJ214" s="5" t="n">
        <v>3.12</v>
      </c>
      <c r="AK214" s="5" t="n">
        <v>3.12</v>
      </c>
      <c r="AL214" s="5" t="n">
        <v>3.12</v>
      </c>
      <c r="AM214" s="5" t="n">
        <v>3.12</v>
      </c>
      <c r="AN214" s="5" t="n">
        <v>3.12</v>
      </c>
      <c r="AO214" s="5" t="n">
        <v>3.12</v>
      </c>
      <c r="AP214" s="5" t="n">
        <v>3.12</v>
      </c>
      <c r="AQ214" s="5" t="n">
        <v>3.12</v>
      </c>
      <c r="AR214" s="5" t="n">
        <v>3.12</v>
      </c>
      <c r="AS214" s="5" t="n">
        <v>3.12</v>
      </c>
      <c r="AT214" s="5" t="n">
        <v>3.12</v>
      </c>
      <c r="AU214" s="5" t="n">
        <v>3.12</v>
      </c>
      <c r="AV214" s="5" t="n">
        <v>3.12</v>
      </c>
      <c r="AW214" s="5" t="n">
        <v>3.12</v>
      </c>
      <c r="AX214" s="5" t="n">
        <v>3.12</v>
      </c>
      <c r="AY214" s="5" t="n">
        <v>3.12</v>
      </c>
      <c r="AZ214" s="5" t="n">
        <v>3.12</v>
      </c>
      <c r="BA214" s="5" t="n">
        <v>3.12</v>
      </c>
      <c r="BB214" s="5" t="n">
        <v>3.12</v>
      </c>
      <c r="BC214" s="5" t="n">
        <v>3.12</v>
      </c>
      <c r="BD214" s="5" t="n">
        <v>3.12</v>
      </c>
      <c r="BE214" s="5" t="n">
        <v>3.12</v>
      </c>
      <c r="BF214" s="5" t="n">
        <v>3.12</v>
      </c>
      <c r="BG214" s="5" t="n">
        <v>3.12</v>
      </c>
      <c r="BH214" s="5" t="n">
        <v>3.12</v>
      </c>
      <c r="BI214" s="5" t="n">
        <v>3.12</v>
      </c>
      <c r="BJ214" s="5" t="n">
        <v>3.12</v>
      </c>
      <c r="BK214" s="5" t="n">
        <v>3.12</v>
      </c>
      <c r="BL214" s="5" t="n">
        <v>3.12</v>
      </c>
      <c r="BM214" s="5" t="n">
        <v>3.12</v>
      </c>
      <c r="BN214" s="5" t="n">
        <v>3.12</v>
      </c>
    </row>
    <row r="215">
      <c r="D215" t="inlineStr">
        <is>
          <t>KCR per USD, semiannual average (actual to 2026H2)</t>
        </is>
      </c>
      <c r="E215" t="inlineStr">
        <is>
          <t>KCR/USD</t>
        </is>
      </c>
      <c r="J215" s="5" t="n">
        <v>524.6</v>
      </c>
      <c r="K215" s="5" t="n">
        <v>539.1</v>
      </c>
      <c r="L215" s="5" t="n">
        <v>551.3</v>
      </c>
      <c r="M215" s="5" t="n">
        <v>566</v>
      </c>
      <c r="N215" s="5" t="n">
        <v>579.8</v>
      </c>
      <c r="O215" s="5" t="n">
        <v>597.4</v>
      </c>
      <c r="P215" s="5" t="n">
        <v>609.6</v>
      </c>
      <c r="Q215" s="5" t="n">
        <v>654.9</v>
      </c>
      <c r="R215" s="5" t="n">
        <v>830.3</v>
      </c>
      <c r="S215" s="5" t="n">
        <v>1052.8</v>
      </c>
      <c r="T215" s="5" t="n">
        <v>1043.8</v>
      </c>
      <c r="U215" s="5" t="n">
        <v>1093.1</v>
      </c>
      <c r="V215" s="5" t="n">
        <v>1050.7</v>
      </c>
      <c r="W215" s="5" t="n">
        <v>1035.6</v>
      </c>
      <c r="X215" s="5" t="n">
        <v>1023.8</v>
      </c>
      <c r="Y215" s="5" t="n">
        <v>1028.9</v>
      </c>
      <c r="Z215" s="5" t="n">
        <v>1043.9</v>
      </c>
    </row>
    <row r="216">
      <c r="D216" t="inlineStr">
        <is>
          <t>SEKA overdue receivables at period end (actual)</t>
        </is>
      </c>
      <c r="E216" t="inlineStr">
        <is>
          <t>USD m</t>
        </is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18.4</v>
      </c>
      <c r="R216" s="5" t="n">
        <v>68.90000000000001</v>
      </c>
      <c r="S216" s="5" t="n">
        <v>112.6</v>
      </c>
      <c r="T216" s="5" t="n">
        <v>71.8</v>
      </c>
      <c r="U216" s="5" t="n">
        <v>34.6</v>
      </c>
      <c r="V216" s="5" t="n">
        <v>12.3</v>
      </c>
      <c r="W216" s="5" t="n">
        <v>0</v>
      </c>
      <c r="X216" s="5" t="n">
        <v>0</v>
      </c>
      <c r="Y216" s="5" t="n">
        <v>0</v>
      </c>
      <c r="Z216" s="5" t="n">
        <v>0</v>
      </c>
      <c r="AA216" s="5" t="n">
        <v>0</v>
      </c>
      <c r="AB216" s="5" t="n">
        <v>0</v>
      </c>
      <c r="AC216" s="5" t="n">
        <v>0</v>
      </c>
      <c r="AD216" s="5" t="n">
        <v>0</v>
      </c>
      <c r="AE216" s="5" t="n">
        <v>0</v>
      </c>
      <c r="AF216" s="5" t="n">
        <v>0</v>
      </c>
      <c r="AG216" s="5" t="n">
        <v>0</v>
      </c>
      <c r="AH216" s="5" t="n">
        <v>0</v>
      </c>
      <c r="AI216" s="5" t="n">
        <v>0</v>
      </c>
      <c r="AJ216" s="5" t="n">
        <v>0</v>
      </c>
      <c r="AK216" s="5" t="n">
        <v>0</v>
      </c>
      <c r="AL216" s="5" t="n">
        <v>0</v>
      </c>
      <c r="AM216" s="5" t="n">
        <v>0</v>
      </c>
      <c r="AN216" s="5" t="n">
        <v>0</v>
      </c>
      <c r="AO216" s="5" t="n">
        <v>0</v>
      </c>
      <c r="AP216" s="5" t="n">
        <v>0</v>
      </c>
      <c r="AQ216" s="5" t="n">
        <v>0</v>
      </c>
      <c r="AR216" s="5" t="n">
        <v>0</v>
      </c>
      <c r="AS216" s="5" t="n">
        <v>0</v>
      </c>
      <c r="AT216" s="5" t="n">
        <v>0</v>
      </c>
      <c r="AU216" s="5" t="n">
        <v>0</v>
      </c>
      <c r="AV216" s="5" t="n">
        <v>0</v>
      </c>
      <c r="AW216" s="5" t="n">
        <v>0</v>
      </c>
      <c r="AX216" s="5" t="n">
        <v>0</v>
      </c>
      <c r="AY216" s="5" t="n">
        <v>0</v>
      </c>
      <c r="AZ216" s="5" t="n">
        <v>0</v>
      </c>
      <c r="BA216" s="5" t="n">
        <v>0</v>
      </c>
      <c r="BB216" s="5" t="n">
        <v>0</v>
      </c>
      <c r="BC216" s="5" t="n">
        <v>0</v>
      </c>
      <c r="BD216" s="5" t="n">
        <v>0</v>
      </c>
      <c r="BE216" s="5" t="n">
        <v>0</v>
      </c>
      <c r="BF216" s="5" t="n">
        <v>0</v>
      </c>
      <c r="BG216" s="5" t="n">
        <v>0</v>
      </c>
      <c r="BH216" s="5" t="n">
        <v>0</v>
      </c>
      <c r="BI216" s="5" t="n">
        <v>0</v>
      </c>
      <c r="BJ216" s="5" t="n">
        <v>0</v>
      </c>
      <c r="BK216" s="5" t="n">
        <v>0</v>
      </c>
      <c r="BL216" s="5" t="n">
        <v>0</v>
      </c>
      <c r="BM216" s="5" t="n">
        <v>0</v>
      </c>
      <c r="BN216" s="5" t="n">
        <v>0</v>
      </c>
    </row>
    <row r="217">
      <c r="D217" t="inlineStr">
        <is>
          <t>FX conversion losses (actual)</t>
        </is>
      </c>
      <c r="E217" t="inlineStr">
        <is>
          <t>USD m</t>
        </is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1.27</v>
      </c>
      <c r="S217" s="5" t="n">
        <v>3.84</v>
      </c>
      <c r="T217" s="5" t="n">
        <v>1.12</v>
      </c>
      <c r="U217" s="5" t="n">
        <v>0.31</v>
      </c>
      <c r="V217" s="5" t="n">
        <v>0</v>
      </c>
      <c r="W217" s="5" t="n">
        <v>0</v>
      </c>
      <c r="X217" s="5" t="n">
        <v>0</v>
      </c>
      <c r="Y217" s="5" t="n">
        <v>0</v>
      </c>
      <c r="Z217" s="5" t="n">
        <v>0</v>
      </c>
      <c r="AA217" s="5" t="n">
        <v>0</v>
      </c>
      <c r="AB217" s="5" t="n">
        <v>0</v>
      </c>
      <c r="AC217" s="5" t="n">
        <v>0</v>
      </c>
      <c r="AD217" s="5" t="n">
        <v>0</v>
      </c>
      <c r="AE217" s="5" t="n">
        <v>0</v>
      </c>
      <c r="AF217" s="5" t="n">
        <v>0</v>
      </c>
      <c r="AG217" s="5" t="n">
        <v>0</v>
      </c>
      <c r="AH217" s="5" t="n">
        <v>0</v>
      </c>
      <c r="AI217" s="5" t="n">
        <v>0</v>
      </c>
      <c r="AJ217" s="5" t="n">
        <v>0</v>
      </c>
      <c r="AK217" s="5" t="n">
        <v>0</v>
      </c>
      <c r="AL217" s="5" t="n">
        <v>0</v>
      </c>
      <c r="AM217" s="5" t="n">
        <v>0</v>
      </c>
      <c r="AN217" s="5" t="n">
        <v>0</v>
      </c>
      <c r="AO217" s="5" t="n">
        <v>0</v>
      </c>
      <c r="AP217" s="5" t="n">
        <v>0</v>
      </c>
      <c r="AQ217" s="5" t="n">
        <v>0</v>
      </c>
      <c r="AR217" s="5" t="n">
        <v>0</v>
      </c>
      <c r="AS217" s="5" t="n">
        <v>0</v>
      </c>
      <c r="AT217" s="5" t="n">
        <v>0</v>
      </c>
      <c r="AU217" s="5" t="n">
        <v>0</v>
      </c>
      <c r="AV217" s="5" t="n">
        <v>0</v>
      </c>
      <c r="AW217" s="5" t="n">
        <v>0</v>
      </c>
      <c r="AX217" s="5" t="n">
        <v>0</v>
      </c>
      <c r="AY217" s="5" t="n">
        <v>0</v>
      </c>
      <c r="AZ217" s="5" t="n">
        <v>0</v>
      </c>
      <c r="BA217" s="5" t="n">
        <v>0</v>
      </c>
      <c r="BB217" s="5" t="n">
        <v>0</v>
      </c>
      <c r="BC217" s="5" t="n">
        <v>0</v>
      </c>
      <c r="BD217" s="5" t="n">
        <v>0</v>
      </c>
      <c r="BE217" s="5" t="n">
        <v>0</v>
      </c>
      <c r="BF217" s="5" t="n">
        <v>0</v>
      </c>
      <c r="BG217" s="5" t="n">
        <v>0</v>
      </c>
      <c r="BH217" s="5" t="n">
        <v>0</v>
      </c>
      <c r="BI217" s="5" t="n">
        <v>0</v>
      </c>
      <c r="BJ217" s="5" t="n">
        <v>0</v>
      </c>
      <c r="BK217" s="5" t="n">
        <v>0</v>
      </c>
      <c r="BL217" s="5" t="n">
        <v>0</v>
      </c>
      <c r="BM217" s="5" t="n">
        <v>0</v>
      </c>
      <c r="BN217" s="5" t="n">
        <v>0</v>
      </c>
    </row>
    <row r="218">
      <c r="D218" t="inlineStr">
        <is>
          <t>Settlement installment share of late payment interest</t>
        </is>
      </c>
      <c r="E218" t="inlineStr">
        <is>
          <t>fraction</t>
        </is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  <c r="U218" s="5" t="n">
        <v>0.2</v>
      </c>
      <c r="V218" s="5" t="n">
        <v>0.4</v>
      </c>
      <c r="W218" s="5" t="n">
        <v>0.4</v>
      </c>
      <c r="X218" s="5" t="n">
        <v>0</v>
      </c>
      <c r="Y218" s="5" t="n">
        <v>0</v>
      </c>
      <c r="Z218" s="5" t="n">
        <v>0</v>
      </c>
      <c r="AA218" s="5" t="n">
        <v>0</v>
      </c>
      <c r="AB218" s="5" t="n">
        <v>0</v>
      </c>
      <c r="AC218" s="5" t="n">
        <v>0</v>
      </c>
      <c r="AD218" s="5" t="n">
        <v>0</v>
      </c>
      <c r="AE218" s="5" t="n">
        <v>0</v>
      </c>
      <c r="AF218" s="5" t="n">
        <v>0</v>
      </c>
      <c r="AG218" s="5" t="n">
        <v>0</v>
      </c>
      <c r="AH218" s="5" t="n">
        <v>0</v>
      </c>
      <c r="AI218" s="5" t="n">
        <v>0</v>
      </c>
      <c r="AJ218" s="5" t="n">
        <v>0</v>
      </c>
      <c r="AK218" s="5" t="n">
        <v>0</v>
      </c>
      <c r="AL218" s="5" t="n">
        <v>0</v>
      </c>
      <c r="AM218" s="5" t="n">
        <v>0</v>
      </c>
      <c r="AN218" s="5" t="n">
        <v>0</v>
      </c>
      <c r="AO218" s="5" t="n">
        <v>0</v>
      </c>
      <c r="AP218" s="5" t="n">
        <v>0</v>
      </c>
      <c r="AQ218" s="5" t="n">
        <v>0</v>
      </c>
      <c r="AR218" s="5" t="n">
        <v>0</v>
      </c>
      <c r="AS218" s="5" t="n">
        <v>0</v>
      </c>
      <c r="AT218" s="5" t="n">
        <v>0</v>
      </c>
      <c r="AU218" s="5" t="n">
        <v>0</v>
      </c>
      <c r="AV218" s="5" t="n">
        <v>0</v>
      </c>
      <c r="AW218" s="5" t="n">
        <v>0</v>
      </c>
      <c r="AX218" s="5" t="n">
        <v>0</v>
      </c>
      <c r="AY218" s="5" t="n">
        <v>0</v>
      </c>
      <c r="AZ218" s="5" t="n">
        <v>0</v>
      </c>
      <c r="BA218" s="5" t="n">
        <v>0</v>
      </c>
      <c r="BB218" s="5" t="n">
        <v>0</v>
      </c>
      <c r="BC218" s="5" t="n">
        <v>0</v>
      </c>
      <c r="BD218" s="5" t="n">
        <v>0</v>
      </c>
      <c r="BE218" s="5" t="n">
        <v>0</v>
      </c>
      <c r="BF218" s="5" t="n">
        <v>0</v>
      </c>
      <c r="BG218" s="5" t="n">
        <v>0</v>
      </c>
      <c r="BH218" s="5" t="n">
        <v>0</v>
      </c>
      <c r="BI218" s="5" t="n">
        <v>0</v>
      </c>
      <c r="BJ218" s="5" t="n">
        <v>0</v>
      </c>
      <c r="BK218" s="5" t="n">
        <v>0</v>
      </c>
      <c r="BL218" s="5" t="n">
        <v>0</v>
      </c>
      <c r="BM218" s="5" t="n">
        <v>0</v>
      </c>
      <c r="BN218" s="5" t="n">
        <v>0</v>
      </c>
    </row>
    <row r="219">
      <c r="D219" t="inlineStr">
        <is>
          <t>Contract repayment profile at FC (share of debt)</t>
        </is>
      </c>
      <c r="E219" t="inlineStr">
        <is>
          <t>fraction</t>
        </is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0.02446043211430804</v>
      </c>
      <c r="Q219" s="5" t="n">
        <v>0.02549563991993633</v>
      </c>
      <c r="R219" s="5" t="n">
        <v>0.02675152229066621</v>
      </c>
      <c r="S219" s="5" t="n">
        <v>0.02753984637468513</v>
      </c>
      <c r="T219" s="5" t="n">
        <v>0.0288066694390464</v>
      </c>
      <c r="U219" s="5" t="n">
        <v>0.02972536483920772</v>
      </c>
      <c r="V219" s="5" t="n">
        <v>0.03166730192250924</v>
      </c>
      <c r="W219" s="5" t="n">
        <v>0.03263535190708168</v>
      </c>
      <c r="X219" s="5" t="n">
        <v>0.0317294685115491</v>
      </c>
      <c r="Y219" s="5" t="n">
        <v>0.03174439879630291</v>
      </c>
      <c r="Z219" s="5" t="n">
        <v>0.03305950431870376</v>
      </c>
      <c r="AA219" s="5" t="n">
        <v>0.03402426353926975</v>
      </c>
      <c r="AB219" s="5" t="n">
        <v>0.03564974851234601</v>
      </c>
      <c r="AC219" s="5" t="n">
        <v>0.03683076964636899</v>
      </c>
      <c r="AD219" s="5" t="n">
        <v>0.0402165127561107</v>
      </c>
      <c r="AE219" s="5" t="n">
        <v>0.04194504016536777</v>
      </c>
      <c r="AF219" s="5" t="n">
        <v>0.04341654712966558</v>
      </c>
      <c r="AG219" s="5" t="n">
        <v>0.04422683953596448</v>
      </c>
      <c r="AH219" s="5" t="n">
        <v>0.0464470950071792</v>
      </c>
      <c r="AI219" s="5" t="n">
        <v>0.04781089882837024</v>
      </c>
      <c r="AJ219" s="5" t="n">
        <v>0.05011909730654722</v>
      </c>
      <c r="AK219" s="5" t="n">
        <v>0.05174136373715012</v>
      </c>
      <c r="AL219" s="5" t="n">
        <v>0.05486337334066368</v>
      </c>
      <c r="AM219" s="5" t="n">
        <v>0.05600370673381757</v>
      </c>
      <c r="AN219" s="5" t="n">
        <v>0.04620239321839347</v>
      </c>
      <c r="AO219" s="5" t="n">
        <v>0.04688685010878882</v>
      </c>
      <c r="AP219" s="5" t="n">
        <v>0</v>
      </c>
      <c r="AQ219" s="5" t="n">
        <v>0</v>
      </c>
      <c r="AR219" s="5" t="n">
        <v>0</v>
      </c>
      <c r="AS219" s="5" t="n">
        <v>0</v>
      </c>
      <c r="AT219" s="5" t="n">
        <v>0</v>
      </c>
      <c r="AU219" s="5" t="n">
        <v>0</v>
      </c>
      <c r="AV219" s="5" t="n">
        <v>0</v>
      </c>
      <c r="AW219" s="5" t="n">
        <v>0</v>
      </c>
      <c r="AX219" s="5" t="n">
        <v>0</v>
      </c>
      <c r="AY219" s="5" t="n">
        <v>0</v>
      </c>
      <c r="AZ219" s="5" t="n">
        <v>0</v>
      </c>
      <c r="BA219" s="5" t="n">
        <v>0</v>
      </c>
      <c r="BB219" s="5" t="n">
        <v>0</v>
      </c>
      <c r="BC219" s="5" t="n">
        <v>0</v>
      </c>
      <c r="BD219" s="5" t="n">
        <v>0</v>
      </c>
      <c r="BE219" s="5" t="n">
        <v>0</v>
      </c>
      <c r="BF219" s="5" t="n">
        <v>0</v>
      </c>
      <c r="BG219" s="5" t="n">
        <v>0</v>
      </c>
      <c r="BH219" s="5" t="n">
        <v>0</v>
      </c>
      <c r="BI219" s="5" t="n">
        <v>0</v>
      </c>
      <c r="BJ219" s="5" t="n">
        <v>0</v>
      </c>
      <c r="BK219" s="5" t="n">
        <v>0</v>
      </c>
      <c r="BL219" s="5" t="n">
        <v>0</v>
      </c>
      <c r="BM219" s="5" t="n">
        <v>0</v>
      </c>
      <c r="BN219" s="5" t="n">
        <v>0</v>
      </c>
    </row>
    <row r="220">
      <c r="D220" t="inlineStr">
        <is>
          <t>COD re-sculpted repayment profile (share of debt at COD)</t>
        </is>
      </c>
      <c r="E220" t="inlineStr">
        <is>
          <t>fraction</t>
        </is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0.02548157946637554</v>
      </c>
      <c r="R220" s="5" t="n">
        <v>0.02724046169668245</v>
      </c>
      <c r="S220" s="5" t="n">
        <v>0.02819978008186348</v>
      </c>
      <c r="T220" s="5" t="n">
        <v>0.0295228109676876</v>
      </c>
      <c r="U220" s="5" t="n">
        <v>0.03034461219149864</v>
      </c>
      <c r="V220" s="5" t="n">
        <v>0.03173368856184668</v>
      </c>
      <c r="W220" s="5" t="n">
        <v>0.03346748378078401</v>
      </c>
      <c r="X220" s="5" t="n">
        <v>0.03500391245957334</v>
      </c>
      <c r="Y220" s="5" t="n">
        <v>0.0325817454453932</v>
      </c>
      <c r="Z220" s="5" t="n">
        <v>0.03411591565222778</v>
      </c>
      <c r="AA220" s="5" t="n">
        <v>0.03482261412504876</v>
      </c>
      <c r="AB220" s="5" t="n">
        <v>0.03651800951755971</v>
      </c>
      <c r="AC220" s="5" t="n">
        <v>0.03754927558110237</v>
      </c>
      <c r="AD220" s="5" t="n">
        <v>0.03933404164983187</v>
      </c>
      <c r="AE220" s="5" t="n">
        <v>0.04247886241881366</v>
      </c>
      <c r="AF220" s="5" t="n">
        <v>0.0447618765783362</v>
      </c>
      <c r="AG220" s="5" t="n">
        <v>0.04510839177713549</v>
      </c>
      <c r="AH220" s="5" t="n">
        <v>0.04743757341759251</v>
      </c>
      <c r="AI220" s="5" t="n">
        <v>0.04890705928826625</v>
      </c>
      <c r="AJ220" s="5" t="n">
        <v>0.05130382136581318</v>
      </c>
      <c r="AK220" s="5" t="n">
        <v>0.05281633928178639</v>
      </c>
      <c r="AL220" s="5" t="n">
        <v>0.05529304641388739</v>
      </c>
      <c r="AM220" s="5" t="n">
        <v>0.05784416123726327</v>
      </c>
      <c r="AN220" s="5" t="n">
        <v>0.05023740455416895</v>
      </c>
      <c r="AO220" s="5" t="n">
        <v>0.04789553248946258</v>
      </c>
      <c r="AP220" s="5" t="n">
        <v>0</v>
      </c>
      <c r="AQ220" s="5" t="n">
        <v>0</v>
      </c>
      <c r="AR220" s="5" t="n">
        <v>0</v>
      </c>
      <c r="AS220" s="5" t="n">
        <v>0</v>
      </c>
      <c r="AT220" s="5" t="n">
        <v>0</v>
      </c>
      <c r="AU220" s="5" t="n">
        <v>0</v>
      </c>
      <c r="AV220" s="5" t="n">
        <v>0</v>
      </c>
      <c r="AW220" s="5" t="n">
        <v>0</v>
      </c>
      <c r="AX220" s="5" t="n">
        <v>0</v>
      </c>
      <c r="AY220" s="5" t="n">
        <v>0</v>
      </c>
      <c r="AZ220" s="5" t="n">
        <v>0</v>
      </c>
      <c r="BA220" s="5" t="n">
        <v>0</v>
      </c>
      <c r="BB220" s="5" t="n">
        <v>0</v>
      </c>
      <c r="BC220" s="5" t="n">
        <v>0</v>
      </c>
      <c r="BD220" s="5" t="n">
        <v>0</v>
      </c>
      <c r="BE220" s="5" t="n">
        <v>0</v>
      </c>
      <c r="BF220" s="5" t="n">
        <v>0</v>
      </c>
      <c r="BG220" s="5" t="n">
        <v>0</v>
      </c>
      <c r="BH220" s="5" t="n">
        <v>0</v>
      </c>
      <c r="BI220" s="5" t="n">
        <v>0</v>
      </c>
      <c r="BJ220" s="5" t="n">
        <v>0</v>
      </c>
      <c r="BK220" s="5" t="n">
        <v>0</v>
      </c>
      <c r="BL220" s="5" t="n">
        <v>0</v>
      </c>
      <c r="BM220" s="5" t="n">
        <v>0</v>
      </c>
      <c r="BN220" s="5" t="n">
        <v>0</v>
      </c>
    </row>
    <row r="221">
      <c r="D221" t="inlineStr">
        <is>
          <t>Bond amortization profile (share of face)</t>
        </is>
      </c>
      <c r="E221" t="inlineStr">
        <is>
          <t>fraction</t>
        </is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  <c r="U221" s="5" t="n">
        <v>0</v>
      </c>
      <c r="V221" s="5" t="n">
        <v>0</v>
      </c>
      <c r="W221" s="5" t="n">
        <v>0</v>
      </c>
      <c r="X221" s="5" t="n">
        <v>0.01124173296319697</v>
      </c>
      <c r="Y221" s="5" t="n">
        <v>0.01660157113816582</v>
      </c>
      <c r="Z221" s="5" t="n">
        <v>0.01813099396757644</v>
      </c>
      <c r="AA221" s="5" t="n">
        <v>0.01807869301018089</v>
      </c>
      <c r="AB221" s="5" t="n">
        <v>0.01941828261001155</v>
      </c>
      <c r="AC221" s="5" t="n">
        <v>0.01945692078740058</v>
      </c>
      <c r="AD221" s="5" t="n">
        <v>0.02058927715248009</v>
      </c>
      <c r="AE221" s="5" t="n">
        <v>0.02263833529811895</v>
      </c>
      <c r="AF221" s="5" t="n">
        <v>0.02414995985061897</v>
      </c>
      <c r="AG221" s="5" t="n">
        <v>0.02437751304173978</v>
      </c>
      <c r="AH221" s="5" t="n">
        <v>0.02577324256552261</v>
      </c>
      <c r="AI221" s="5" t="n">
        <v>0.02585987923059821</v>
      </c>
      <c r="AJ221" s="5" t="n">
        <v>0.0271397250345482</v>
      </c>
      <c r="AK221" s="5" t="n">
        <v>0.02725742450482177</v>
      </c>
      <c r="AL221" s="5" t="n">
        <v>0.02838841781451125</v>
      </c>
      <c r="AM221" s="5" t="n">
        <v>0.02576275470806855</v>
      </c>
      <c r="AN221" s="5" t="n">
        <v>0.02350986208260821</v>
      </c>
      <c r="AO221" s="5" t="n">
        <v>0.0205056453292884</v>
      </c>
      <c r="AP221" s="5" t="n">
        <v>0.08908721306956474</v>
      </c>
      <c r="AQ221" s="5" t="n">
        <v>0.0910527718621414</v>
      </c>
      <c r="AR221" s="5" t="n">
        <v>0.09584884708768662</v>
      </c>
      <c r="AS221" s="5" t="n">
        <v>0.0980632129022101</v>
      </c>
      <c r="AT221" s="5" t="n">
        <v>0.1027873370813236</v>
      </c>
      <c r="AU221" s="5" t="n">
        <v>0.1242803869076166</v>
      </c>
      <c r="AV221" s="5" t="n">
        <v>0</v>
      </c>
      <c r="AW221" s="5" t="n">
        <v>0</v>
      </c>
      <c r="AX221" s="5" t="n">
        <v>0</v>
      </c>
      <c r="AY221" s="5" t="n">
        <v>0</v>
      </c>
      <c r="AZ221" s="5" t="n">
        <v>0</v>
      </c>
      <c r="BA221" s="5" t="n">
        <v>0</v>
      </c>
      <c r="BB221" s="5" t="n">
        <v>0</v>
      </c>
      <c r="BC221" s="5" t="n">
        <v>0</v>
      </c>
      <c r="BD221" s="5" t="n">
        <v>0</v>
      </c>
      <c r="BE221" s="5" t="n">
        <v>0</v>
      </c>
      <c r="BF221" s="5" t="n">
        <v>0</v>
      </c>
      <c r="BG221" s="5" t="n">
        <v>0</v>
      </c>
      <c r="BH221" s="5" t="n">
        <v>0</v>
      </c>
      <c r="BI221" s="5" t="n">
        <v>0</v>
      </c>
      <c r="BJ221" s="5" t="n">
        <v>0</v>
      </c>
      <c r="BK221" s="5" t="n">
        <v>0</v>
      </c>
      <c r="BL221" s="5" t="n">
        <v>0</v>
      </c>
      <c r="BM221" s="5" t="n">
        <v>0</v>
      </c>
      <c r="BN221" s="5" t="n">
        <v>0</v>
      </c>
    </row>
    <row r="222">
      <c r="D222" t="inlineStr">
        <is>
          <t>Swap notional schedule, semiannual (contract)</t>
        </is>
      </c>
      <c r="E222" t="inlineStr">
        <is>
          <t>USD m</t>
        </is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506.6047800584543</v>
      </c>
      <c r="Q222" s="5" t="n">
        <v>494.2130082270505</v>
      </c>
      <c r="R222" s="5" t="n">
        <v>481.2967951729616</v>
      </c>
      <c r="S222" s="5" t="n">
        <v>467.7443461066698</v>
      </c>
      <c r="T222" s="5" t="n">
        <v>453.7925282911789</v>
      </c>
      <c r="U222" s="5" t="n">
        <v>439.1989318557941</v>
      </c>
      <c r="V222" s="5" t="n">
        <v>424.13991993927</v>
      </c>
      <c r="W222" s="5" t="n">
        <v>408.0971134137725</v>
      </c>
      <c r="X222" s="5" t="n">
        <v>391.5638881387553</v>
      </c>
      <c r="Y222" s="5" t="n">
        <v>375.4895877220902</v>
      </c>
      <c r="Z222" s="5" t="n">
        <v>359.4077235518013</v>
      </c>
      <c r="AA222" s="5" t="n">
        <v>342.6596206375829</v>
      </c>
      <c r="AB222" s="5" t="n">
        <v>325.4227660906203</v>
      </c>
      <c r="AC222" s="5" t="n">
        <v>307.362433086384</v>
      </c>
      <c r="AD222" s="5" t="n">
        <v>288.7037891303016</v>
      </c>
      <c r="AE222" s="5" t="n">
        <v>268.3299115307742</v>
      </c>
      <c r="AF222" s="5" t="n">
        <v>247.080353683255</v>
      </c>
      <c r="AG222" s="5" t="n">
        <v>225.0853233737332</v>
      </c>
      <c r="AH222" s="5" t="n">
        <v>202.6797950579354</v>
      </c>
      <c r="AI222" s="5" t="n">
        <v>179.1494747074693</v>
      </c>
      <c r="AJ222" s="5" t="n">
        <v>154.9282448221257</v>
      </c>
      <c r="AK222" s="5" t="n">
        <v>129.5376705544141</v>
      </c>
      <c r="AL222" s="5" t="n">
        <v>103.3252483584307</v>
      </c>
      <c r="AM222" s="5" t="n">
        <v>75.53120117391893</v>
      </c>
      <c r="AN222" s="5" t="n">
        <v>47.15945564157511</v>
      </c>
      <c r="AO222" s="5" t="n">
        <v>23.75310238699667</v>
      </c>
      <c r="AP222" s="5" t="n">
        <v>0</v>
      </c>
      <c r="AQ222" s="5" t="n">
        <v>0</v>
      </c>
      <c r="AR222" s="5" t="n">
        <v>0</v>
      </c>
      <c r="AS222" s="5" t="n">
        <v>0</v>
      </c>
      <c r="AT222" s="5" t="n">
        <v>0</v>
      </c>
      <c r="AU222" s="5" t="n">
        <v>0</v>
      </c>
      <c r="AV222" s="5" t="n">
        <v>0</v>
      </c>
      <c r="AW222" s="5" t="n">
        <v>0</v>
      </c>
      <c r="AX222" s="5" t="n">
        <v>0</v>
      </c>
      <c r="AY222" s="5" t="n">
        <v>0</v>
      </c>
      <c r="AZ222" s="5" t="n">
        <v>0</v>
      </c>
      <c r="BA222" s="5" t="n">
        <v>0</v>
      </c>
      <c r="BB222" s="5" t="n">
        <v>0</v>
      </c>
      <c r="BC222" s="5" t="n">
        <v>0</v>
      </c>
      <c r="BD222" s="5" t="n">
        <v>0</v>
      </c>
      <c r="BE222" s="5" t="n">
        <v>0</v>
      </c>
      <c r="BF222" s="5" t="n">
        <v>0</v>
      </c>
      <c r="BG222" s="5" t="n">
        <v>0</v>
      </c>
      <c r="BH222" s="5" t="n">
        <v>0</v>
      </c>
      <c r="BI222" s="5" t="n">
        <v>0</v>
      </c>
      <c r="BJ222" s="5" t="n">
        <v>0</v>
      </c>
      <c r="BK222" s="5" t="n">
        <v>0</v>
      </c>
      <c r="BL222" s="5" t="n">
        <v>0</v>
      </c>
      <c r="BM222" s="5" t="n">
        <v>0</v>
      </c>
      <c r="BN222" s="5" t="n">
        <v>0</v>
      </c>
    </row>
    <row r="223">
      <c r="D223" t="inlineStr">
        <is>
          <t>Availability profile by OY (8-year cycle, cols J-Q)</t>
        </is>
      </c>
      <c r="E223" t="inlineStr">
        <is>
          <t>%</t>
        </is>
      </c>
      <c r="J223" s="5" t="n">
        <v>93.8</v>
      </c>
      <c r="K223" s="5" t="n">
        <v>92.90000000000001</v>
      </c>
      <c r="L223" s="5" t="n">
        <v>93.8</v>
      </c>
      <c r="M223" s="5" t="n">
        <v>90.59999999999999</v>
      </c>
      <c r="N223" s="5" t="n">
        <v>93.8</v>
      </c>
      <c r="O223" s="5" t="n">
        <v>92.90000000000001</v>
      </c>
      <c r="P223" s="5" t="n">
        <v>93.8</v>
      </c>
      <c r="Q223" s="5" t="n">
        <v>88.7</v>
      </c>
    </row>
    <row r="224">
      <c r="B224" s="2" t="inlineStr">
        <is>
          <t>Monthly inputs (column J = Aug 2018 ... BJ = Dec 2022)</t>
        </is>
      </c>
    </row>
    <row r="225">
      <c r="D225" t="inlineStr">
        <is>
          <t>EPC payment profile, FC (33 months)</t>
        </is>
      </c>
      <c r="E225" t="inlineStr">
        <is>
          <t>%</t>
        </is>
      </c>
      <c r="J225" s="5" t="n">
        <v>10</v>
      </c>
      <c r="K225" s="5" t="n">
        <v>0.0108</v>
      </c>
      <c r="L225" s="5" t="n">
        <v>0.1133</v>
      </c>
      <c r="M225" s="5" t="n">
        <v>0.3239</v>
      </c>
      <c r="N225" s="5" t="n">
        <v>0.6294</v>
      </c>
      <c r="O225" s="5" t="n">
        <v>1.0114</v>
      </c>
      <c r="P225" s="5" t="n">
        <v>1.4496</v>
      </c>
      <c r="Q225" s="5" t="n">
        <v>1.9236</v>
      </c>
      <c r="R225" s="5" t="n">
        <v>2.4133</v>
      </c>
      <c r="S225" s="5" t="n">
        <v>2.8999</v>
      </c>
      <c r="T225" s="5" t="n">
        <v>3.3659</v>
      </c>
      <c r="U225" s="5" t="n">
        <v>3.7957</v>
      </c>
      <c r="V225" s="5" t="n">
        <v>4.1755</v>
      </c>
      <c r="W225" s="5" t="n">
        <v>4.4935</v>
      </c>
      <c r="X225" s="5" t="n">
        <v>4.7405</v>
      </c>
      <c r="Y225" s="5" t="n">
        <v>4.9091</v>
      </c>
      <c r="Z225" s="5" t="n">
        <v>4.9946</v>
      </c>
      <c r="AA225" s="5" t="n">
        <v>4.9946</v>
      </c>
      <c r="AB225" s="5" t="n">
        <v>4.9091</v>
      </c>
      <c r="AC225" s="5" t="n">
        <v>4.7405</v>
      </c>
      <c r="AD225" s="5" t="n">
        <v>4.4935</v>
      </c>
      <c r="AE225" s="5" t="n">
        <v>4.1755</v>
      </c>
      <c r="AF225" s="5" t="n">
        <v>3.7957</v>
      </c>
      <c r="AG225" s="5" t="n">
        <v>3.3659</v>
      </c>
      <c r="AH225" s="5" t="n">
        <v>2.8999</v>
      </c>
      <c r="AI225" s="5" t="n">
        <v>2.4133</v>
      </c>
      <c r="AJ225" s="5" t="n">
        <v>1.9236</v>
      </c>
      <c r="AK225" s="5" t="n">
        <v>1.4496</v>
      </c>
      <c r="AL225" s="5" t="n">
        <v>1.0114</v>
      </c>
      <c r="AM225" s="5" t="n">
        <v>0.6294</v>
      </c>
      <c r="AN225" s="5" t="n">
        <v>0.3239</v>
      </c>
      <c r="AO225" s="5" t="n">
        <v>0.1133</v>
      </c>
      <c r="AP225" s="5" t="n">
        <v>7.5108</v>
      </c>
    </row>
    <row r="226">
      <c r="D226" t="inlineStr">
        <is>
          <t>EPC payment profile, actual (40 months)</t>
        </is>
      </c>
      <c r="E226" t="inlineStr">
        <is>
          <t>%</t>
        </is>
      </c>
      <c r="J226" s="5" t="n">
        <v>10</v>
      </c>
      <c r="K226" s="5" t="n">
        <v>0.0102</v>
      </c>
      <c r="L226" s="5" t="n">
        <v>0.0868</v>
      </c>
      <c r="M226" s="5" t="n">
        <v>0.2284</v>
      </c>
      <c r="N226" s="5" t="n">
        <v>0.4235</v>
      </c>
      <c r="O226" s="5" t="n">
        <v>0.6612</v>
      </c>
      <c r="P226" s="5" t="n">
        <v>0.9313</v>
      </c>
      <c r="Q226" s="5" t="n">
        <v>1.2242</v>
      </c>
      <c r="R226" s="5" t="n">
        <v>1.5311</v>
      </c>
      <c r="S226" s="5" t="n">
        <v>1.8437</v>
      </c>
      <c r="T226" s="5" t="n">
        <v>2.1545</v>
      </c>
      <c r="U226" s="5" t="n">
        <v>2.4565</v>
      </c>
      <c r="V226" s="5" t="n">
        <v>2.7436</v>
      </c>
      <c r="W226" s="5" t="n">
        <v>3.01</v>
      </c>
      <c r="X226" s="5" t="n">
        <v>3.2509</v>
      </c>
      <c r="Y226" s="5" t="n">
        <v>3.4619</v>
      </c>
      <c r="Z226" s="5" t="n">
        <v>3.6396</v>
      </c>
      <c r="AA226" s="5" t="n">
        <v>3.7808</v>
      </c>
      <c r="AB226" s="5" t="n">
        <v>3.8833</v>
      </c>
      <c r="AC226" s="5" t="n">
        <v>3.9455</v>
      </c>
      <c r="AD226" s="5" t="n">
        <v>3.966</v>
      </c>
      <c r="AE226" s="5" t="n">
        <v>3.9455</v>
      </c>
      <c r="AF226" s="5" t="n">
        <v>3.8833</v>
      </c>
      <c r="AG226" s="5" t="n">
        <v>3.7808</v>
      </c>
      <c r="AH226" s="5" t="n">
        <v>3.6396</v>
      </c>
      <c r="AI226" s="5" t="n">
        <v>3.4619</v>
      </c>
      <c r="AJ226" s="5" t="n">
        <v>3.2509</v>
      </c>
      <c r="AK226" s="5" t="n">
        <v>3.01</v>
      </c>
      <c r="AL226" s="5" t="n">
        <v>2.7436</v>
      </c>
      <c r="AM226" s="5" t="n">
        <v>2.4565</v>
      </c>
      <c r="AN226" s="5" t="n">
        <v>2.1545</v>
      </c>
      <c r="AO226" s="5" t="n">
        <v>1.8437</v>
      </c>
      <c r="AP226" s="5" t="n">
        <v>1.5311</v>
      </c>
      <c r="AQ226" s="5" t="n">
        <v>1.2242</v>
      </c>
      <c r="AR226" s="5" t="n">
        <v>0.9313</v>
      </c>
      <c r="AS226" s="5" t="n">
        <v>0.6612</v>
      </c>
      <c r="AT226" s="5" t="n">
        <v>0.4235</v>
      </c>
      <c r="AU226" s="5" t="n">
        <v>0.2284</v>
      </c>
      <c r="AV226" s="5" t="n">
        <v>0.0868</v>
      </c>
      <c r="AW226" s="5" t="n">
        <v>7.5102</v>
      </c>
    </row>
    <row r="227">
      <c r="D227" t="inlineStr">
        <is>
          <t>Owner's cost profile, FC</t>
        </is>
      </c>
      <c r="E227" t="inlineStr">
        <is>
          <t>%</t>
        </is>
      </c>
      <c r="J227" s="5" t="n">
        <v>12</v>
      </c>
      <c r="K227" s="5" t="n">
        <v>2.75</v>
      </c>
      <c r="L227" s="5" t="n">
        <v>2.75</v>
      </c>
      <c r="M227" s="5" t="n">
        <v>2.75</v>
      </c>
      <c r="N227" s="5" t="n">
        <v>2.75</v>
      </c>
      <c r="O227" s="5" t="n">
        <v>2.75</v>
      </c>
      <c r="P227" s="5" t="n">
        <v>2.75</v>
      </c>
      <c r="Q227" s="5" t="n">
        <v>2.75</v>
      </c>
      <c r="R227" s="5" t="n">
        <v>2.75</v>
      </c>
      <c r="S227" s="5" t="n">
        <v>2.75</v>
      </c>
      <c r="T227" s="5" t="n">
        <v>2.75</v>
      </c>
      <c r="U227" s="5" t="n">
        <v>2.75</v>
      </c>
      <c r="V227" s="5" t="n">
        <v>2.75</v>
      </c>
      <c r="W227" s="5" t="n">
        <v>2.75</v>
      </c>
      <c r="X227" s="5" t="n">
        <v>2.75</v>
      </c>
      <c r="Y227" s="5" t="n">
        <v>2.75</v>
      </c>
      <c r="Z227" s="5" t="n">
        <v>2.75</v>
      </c>
      <c r="AA227" s="5" t="n">
        <v>2.75</v>
      </c>
      <c r="AB227" s="5" t="n">
        <v>2.75</v>
      </c>
      <c r="AC227" s="5" t="n">
        <v>2.75</v>
      </c>
      <c r="AD227" s="5" t="n">
        <v>2.75</v>
      </c>
      <c r="AE227" s="5" t="n">
        <v>2.75</v>
      </c>
      <c r="AF227" s="5" t="n">
        <v>2.75</v>
      </c>
      <c r="AG227" s="5" t="n">
        <v>2.75</v>
      </c>
      <c r="AH227" s="5" t="n">
        <v>2.75</v>
      </c>
      <c r="AI227" s="5" t="n">
        <v>2.75</v>
      </c>
      <c r="AJ227" s="5" t="n">
        <v>2.75</v>
      </c>
      <c r="AK227" s="5" t="n">
        <v>2.75</v>
      </c>
      <c r="AL227" s="5" t="n">
        <v>2.75</v>
      </c>
      <c r="AM227" s="5" t="n">
        <v>2.75</v>
      </c>
      <c r="AN227" s="5" t="n">
        <v>2.75</v>
      </c>
      <c r="AO227" s="5" t="n">
        <v>2.75</v>
      </c>
      <c r="AP227" s="5" t="n">
        <v>2.75</v>
      </c>
    </row>
    <row r="228">
      <c r="D228" t="inlineStr">
        <is>
          <t>Overrun items, actual (excl. extended owners)</t>
        </is>
      </c>
      <c r="E228" t="inlineStr">
        <is>
          <t>USD m</t>
        </is>
      </c>
      <c r="J228" s="5" t="n">
        <v>0</v>
      </c>
      <c r="K228" s="5" t="n">
        <v>0</v>
      </c>
      <c r="L228" s="5" t="n">
        <v>0</v>
      </c>
      <c r="M228" s="5" t="n">
        <v>0</v>
      </c>
      <c r="N228" s="5" t="n">
        <v>0</v>
      </c>
      <c r="O228" s="5" t="n">
        <v>0</v>
      </c>
      <c r="P228" s="5" t="n">
        <v>0</v>
      </c>
      <c r="Q228" s="5" t="n">
        <v>0</v>
      </c>
      <c r="R228" s="5" t="n">
        <v>0</v>
      </c>
      <c r="S228" s="5" t="n">
        <v>0</v>
      </c>
      <c r="T228" s="5" t="n">
        <v>0</v>
      </c>
      <c r="U228" s="5" t="n">
        <v>0</v>
      </c>
      <c r="V228" s="5" t="n">
        <v>0</v>
      </c>
      <c r="W228" s="5" t="n">
        <v>0</v>
      </c>
      <c r="X228" s="5" t="n">
        <v>0</v>
      </c>
      <c r="Y228" s="5" t="n">
        <v>0</v>
      </c>
      <c r="Z228" s="5" t="n">
        <v>0</v>
      </c>
      <c r="AA228" s="5" t="n">
        <v>0</v>
      </c>
      <c r="AB228" s="5" t="n">
        <v>0</v>
      </c>
      <c r="AC228" s="5" t="n">
        <v>0</v>
      </c>
      <c r="AD228" s="5" t="n">
        <v>0.3425</v>
      </c>
      <c r="AE228" s="5" t="n">
        <v>0.3425</v>
      </c>
      <c r="AF228" s="5" t="n">
        <v>0.3425</v>
      </c>
      <c r="AG228" s="5" t="n">
        <v>0.3425</v>
      </c>
      <c r="AH228" s="5" t="n">
        <v>0.3425</v>
      </c>
      <c r="AI228" s="5" t="n">
        <v>0.3425</v>
      </c>
      <c r="AJ228" s="5" t="n">
        <v>1.909166666666667</v>
      </c>
      <c r="AK228" s="5" t="n">
        <v>1.909166666666667</v>
      </c>
      <c r="AL228" s="5" t="n">
        <v>1.909166666666667</v>
      </c>
      <c r="AM228" s="5" t="n">
        <v>2.454166666666667</v>
      </c>
      <c r="AN228" s="5" t="n">
        <v>2.454166666666667</v>
      </c>
      <c r="AO228" s="5" t="n">
        <v>2.454166666666667</v>
      </c>
      <c r="AP228" s="5" t="n">
        <v>0.545</v>
      </c>
      <c r="AQ228" s="5" t="n">
        <v>2.087857142857143</v>
      </c>
      <c r="AR228" s="5" t="n">
        <v>0.6678571428571429</v>
      </c>
      <c r="AS228" s="5" t="n">
        <v>1.122857142857143</v>
      </c>
      <c r="AT228" s="5" t="n">
        <v>0.1228571428571429</v>
      </c>
      <c r="AU228" s="5" t="n">
        <v>2.762857142857143</v>
      </c>
      <c r="AV228" s="5" t="n">
        <v>0.8078571428571429</v>
      </c>
      <c r="AW228" s="5" t="n">
        <v>9.077857142857143</v>
      </c>
      <c r="AX228" s="5" t="n">
        <v>0</v>
      </c>
      <c r="AY228" s="5" t="n">
        <v>0</v>
      </c>
      <c r="AZ228" s="5" t="n">
        <v>0</v>
      </c>
      <c r="BA228" s="5" t="n">
        <v>0</v>
      </c>
      <c r="BB228" s="5" t="n">
        <v>0</v>
      </c>
      <c r="BC228" s="5" t="n">
        <v>0</v>
      </c>
      <c r="BD228" s="5" t="n">
        <v>0</v>
      </c>
      <c r="BE228" s="5" t="n">
        <v>0</v>
      </c>
      <c r="BF228" s="5" t="n">
        <v>0</v>
      </c>
      <c r="BG228" s="5" t="n">
        <v>0</v>
      </c>
      <c r="BH228" s="5" t="n">
        <v>0</v>
      </c>
      <c r="BI228" s="5" t="n">
        <v>0</v>
      </c>
      <c r="BJ228" s="5" t="n">
        <v>0</v>
      </c>
    </row>
    <row r="229">
      <c r="D229" t="inlineStr">
        <is>
          <t>Swap notional schedule, monthly (contract)</t>
        </is>
      </c>
      <c r="E229" t="inlineStr">
        <is>
          <t>USD m</t>
        </is>
      </c>
      <c r="J229" s="5" t="n">
        <v>0</v>
      </c>
      <c r="K229" s="5" t="n">
        <v>72.03829474521896</v>
      </c>
      <c r="L229" s="5" t="n">
        <v>73.51887276343012</v>
      </c>
      <c r="M229" s="5" t="n">
        <v>75.40617553902828</v>
      </c>
      <c r="N229" s="5" t="n">
        <v>78.07421473717562</v>
      </c>
      <c r="O229" s="5" t="n">
        <v>81.91599308048065</v>
      </c>
      <c r="P229" s="5" t="n">
        <v>87.21000268067854</v>
      </c>
      <c r="Q229" s="5" t="n">
        <v>94.11618703202072</v>
      </c>
      <c r="R229" s="5" t="n">
        <v>102.8823415907884</v>
      </c>
      <c r="S229" s="5" t="n">
        <v>113.5022413334215</v>
      </c>
      <c r="T229" s="5" t="n">
        <v>126.0097195597594</v>
      </c>
      <c r="U229" s="5" t="n">
        <v>140.2836182208805</v>
      </c>
      <c r="V229" s="5" t="n">
        <v>156.2511438360465</v>
      </c>
      <c r="W229" s="5" t="n">
        <v>173.7077024568702</v>
      </c>
      <c r="X229" s="5" t="n">
        <v>192.4025609545302</v>
      </c>
      <c r="Y229" s="5" t="n">
        <v>212.1224961922896</v>
      </c>
      <c r="Z229" s="5" t="n">
        <v>232.5249987992842</v>
      </c>
      <c r="AA229" s="5" t="n">
        <v>253.3550550829947</v>
      </c>
      <c r="AB229" s="5" t="n">
        <v>274.9625112136583</v>
      </c>
      <c r="AC229" s="5" t="n">
        <v>295.573347969675</v>
      </c>
      <c r="AD229" s="5" t="n">
        <v>315.6942886417129</v>
      </c>
      <c r="AE229" s="5" t="n">
        <v>334.9285707017309</v>
      </c>
      <c r="AF229" s="5" t="n">
        <v>353.0762113009259</v>
      </c>
      <c r="AG229" s="5" t="n">
        <v>369.8270855783692</v>
      </c>
      <c r="AH229" s="5" t="n">
        <v>385.0658631524328</v>
      </c>
      <c r="AI229" s="5" t="n">
        <v>398.6100572520498</v>
      </c>
      <c r="AJ229" s="5" t="n">
        <v>410.3341888433459</v>
      </c>
      <c r="AK229" s="5" t="n">
        <v>420.3015849535684</v>
      </c>
      <c r="AL229" s="5" t="n">
        <v>428.480478068478</v>
      </c>
      <c r="AM229" s="5" t="n">
        <v>435.0832520222062</v>
      </c>
      <c r="AN229" s="5" t="n">
        <v>440.2743361688925</v>
      </c>
      <c r="AO229" s="5" t="n">
        <v>444.2027041636388</v>
      </c>
      <c r="AP229" s="5" t="n">
        <v>447.4816350572161</v>
      </c>
      <c r="AQ229" s="5" t="n">
        <v>479.6249919693773</v>
      </c>
      <c r="AR229" s="5" t="n">
        <v>504.4002583438451</v>
      </c>
      <c r="AS229" s="5" t="n">
        <v>0</v>
      </c>
      <c r="AT229" s="5" t="n">
        <v>0</v>
      </c>
      <c r="AU229" s="5" t="n">
        <v>0</v>
      </c>
      <c r="AV229" s="5" t="n">
        <v>0</v>
      </c>
      <c r="AW229" s="5" t="n">
        <v>0</v>
      </c>
      <c r="AX229" s="5" t="n">
        <v>0</v>
      </c>
      <c r="AY229" s="5" t="n">
        <v>0</v>
      </c>
      <c r="AZ229" s="5" t="n">
        <v>0</v>
      </c>
      <c r="BA229" s="5" t="n">
        <v>0</v>
      </c>
      <c r="BB229" s="5" t="n">
        <v>0</v>
      </c>
      <c r="BC229" s="5" t="n">
        <v>0</v>
      </c>
      <c r="BD229" s="5" t="n">
        <v>0</v>
      </c>
      <c r="BE229" s="5" t="n">
        <v>0</v>
      </c>
      <c r="BF229" s="5" t="n">
        <v>0</v>
      </c>
      <c r="BG229" s="5" t="n">
        <v>0</v>
      </c>
      <c r="BH229" s="5" t="n">
        <v>0</v>
      </c>
      <c r="BI229" s="5" t="n">
        <v>0</v>
      </c>
      <c r="BJ229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34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Time: semiannual operating timeline (monthly timeline on the Construction sheet)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Key dates (scenario-dependent)</t>
        </is>
      </c>
    </row>
    <row r="8">
      <c r="D8" t="inlineStr">
        <is>
          <t>Commercial operation date</t>
        </is>
      </c>
      <c r="E8" t="inlineStr">
        <is>
          <t>date</t>
        </is>
      </c>
      <c r="F8" s="8">
        <f>IF(Inputs!$F$33=2,DATE(2021,12,1),EDATE(DATE(2021,5,1),Inputs!$F$34))</f>
        <v/>
      </c>
    </row>
    <row r="9">
      <c r="D9" t="inlineStr">
        <is>
          <t>PPA expiry</t>
        </is>
      </c>
      <c r="E9" t="inlineStr">
        <is>
          <t>date</t>
        </is>
      </c>
      <c r="F9" s="8">
        <f>EDATE(Time!$F$8,300)-1</f>
        <v/>
      </c>
    </row>
    <row r="10">
      <c r="D10" t="inlineStr">
        <is>
          <t>Construction months (NTP to COD)</t>
        </is>
      </c>
      <c r="E10" t="inlineStr">
        <is>
          <t>months</t>
        </is>
      </c>
      <c r="F10" s="9">
        <f>(YEAR(Time!$F$8)-2018)*12+MONTH(Time!$F$8)-8</f>
        <v/>
      </c>
    </row>
    <row r="11">
      <c r="D11" t="inlineStr">
        <is>
          <t>Period containing COD (period number)</t>
        </is>
      </c>
      <c r="E11" t="inlineStr">
        <is>
          <t>index</t>
        </is>
      </c>
      <c r="F11" s="9">
        <f>(YEAR(Time!$F$8)-2018)*2+IF(MONTH(Time!$F$8)&lt;=6,0,1)</f>
        <v/>
      </c>
    </row>
    <row r="12">
      <c r="D12" t="inlineStr">
        <is>
          <t>First debt service period</t>
        </is>
      </c>
      <c r="E12" t="inlineStr">
        <is>
          <t>index</t>
        </is>
      </c>
      <c r="F12" s="9">
        <f>Time!$F$11+1</f>
        <v/>
      </c>
    </row>
    <row r="13">
      <c r="D13" t="inlineStr">
        <is>
          <t>Last month of the funding period (month number)</t>
        </is>
      </c>
      <c r="E13" t="inlineStr">
        <is>
          <t>index</t>
        </is>
      </c>
      <c r="F13" s="9">
        <f>(YEAR(Time!$F$8)-2018)*12+IF(MONTH(Time!$F$8)&lt;=6,6,12)-7</f>
        <v/>
      </c>
    </row>
    <row r="14">
      <c r="D14" t="inlineStr">
        <is>
          <t>Last operating period (period number)</t>
        </is>
      </c>
      <c r="E14" t="inlineStr">
        <is>
          <t>index</t>
        </is>
      </c>
      <c r="F14" s="9">
        <f>SUMPRODUCT($J$32:$BN$32,$J$17:$BN$17)</f>
        <v/>
      </c>
    </row>
    <row r="15">
      <c r="D15" t="inlineStr">
        <is>
          <t>FC FX drift (Kessara 7.5% / US 2.2%)</t>
        </is>
      </c>
      <c r="E15" t="inlineStr">
        <is>
          <t>factor</t>
        </is>
      </c>
      <c r="F15" s="10">
        <f>1.075/1.022</f>
        <v/>
      </c>
    </row>
    <row r="16">
      <c r="B16" s="2" t="inlineStr">
        <is>
          <t>Semiannual timeline</t>
        </is>
      </c>
    </row>
    <row r="17">
      <c r="D17" t="inlineStr">
        <is>
          <t>Period number</t>
        </is>
      </c>
      <c r="E17" t="inlineStr">
        <is>
          <t>index</t>
        </is>
      </c>
      <c r="J17" s="9">
        <f>1</f>
        <v/>
      </c>
      <c r="K17" s="9">
        <f>2</f>
        <v/>
      </c>
      <c r="L17" s="9">
        <f>3</f>
        <v/>
      </c>
      <c r="M17" s="9">
        <f>4</f>
        <v/>
      </c>
      <c r="N17" s="9">
        <f>5</f>
        <v/>
      </c>
      <c r="O17" s="9">
        <f>6</f>
        <v/>
      </c>
      <c r="P17" s="9">
        <f>7</f>
        <v/>
      </c>
      <c r="Q17" s="9">
        <f>8</f>
        <v/>
      </c>
      <c r="R17" s="9">
        <f>9</f>
        <v/>
      </c>
      <c r="S17" s="9">
        <f>10</f>
        <v/>
      </c>
      <c r="T17" s="9">
        <f>11</f>
        <v/>
      </c>
      <c r="U17" s="9">
        <f>12</f>
        <v/>
      </c>
      <c r="V17" s="9">
        <f>13</f>
        <v/>
      </c>
      <c r="W17" s="9">
        <f>14</f>
        <v/>
      </c>
      <c r="X17" s="9">
        <f>15</f>
        <v/>
      </c>
      <c r="Y17" s="9">
        <f>16</f>
        <v/>
      </c>
      <c r="Z17" s="9">
        <f>17</f>
        <v/>
      </c>
      <c r="AA17" s="9">
        <f>18</f>
        <v/>
      </c>
      <c r="AB17" s="9">
        <f>19</f>
        <v/>
      </c>
      <c r="AC17" s="9">
        <f>20</f>
        <v/>
      </c>
      <c r="AD17" s="9">
        <f>21</f>
        <v/>
      </c>
      <c r="AE17" s="9">
        <f>22</f>
        <v/>
      </c>
      <c r="AF17" s="9">
        <f>23</f>
        <v/>
      </c>
      <c r="AG17" s="9">
        <f>24</f>
        <v/>
      </c>
      <c r="AH17" s="9">
        <f>25</f>
        <v/>
      </c>
      <c r="AI17" s="9">
        <f>26</f>
        <v/>
      </c>
      <c r="AJ17" s="9">
        <f>27</f>
        <v/>
      </c>
      <c r="AK17" s="9">
        <f>28</f>
        <v/>
      </c>
      <c r="AL17" s="9">
        <f>29</f>
        <v/>
      </c>
      <c r="AM17" s="9">
        <f>30</f>
        <v/>
      </c>
      <c r="AN17" s="9">
        <f>31</f>
        <v/>
      </c>
      <c r="AO17" s="9">
        <f>32</f>
        <v/>
      </c>
      <c r="AP17" s="9">
        <f>33</f>
        <v/>
      </c>
      <c r="AQ17" s="9">
        <f>34</f>
        <v/>
      </c>
      <c r="AR17" s="9">
        <f>35</f>
        <v/>
      </c>
      <c r="AS17" s="9">
        <f>36</f>
        <v/>
      </c>
      <c r="AT17" s="9">
        <f>37</f>
        <v/>
      </c>
      <c r="AU17" s="9">
        <f>38</f>
        <v/>
      </c>
      <c r="AV17" s="9">
        <f>39</f>
        <v/>
      </c>
      <c r="AW17" s="9">
        <f>40</f>
        <v/>
      </c>
      <c r="AX17" s="9">
        <f>41</f>
        <v/>
      </c>
      <c r="AY17" s="9">
        <f>42</f>
        <v/>
      </c>
      <c r="AZ17" s="9">
        <f>43</f>
        <v/>
      </c>
      <c r="BA17" s="9">
        <f>44</f>
        <v/>
      </c>
      <c r="BB17" s="9">
        <f>45</f>
        <v/>
      </c>
      <c r="BC17" s="9">
        <f>46</f>
        <v/>
      </c>
      <c r="BD17" s="9">
        <f>47</f>
        <v/>
      </c>
      <c r="BE17" s="9">
        <f>48</f>
        <v/>
      </c>
      <c r="BF17" s="9">
        <f>49</f>
        <v/>
      </c>
      <c r="BG17" s="9">
        <f>50</f>
        <v/>
      </c>
      <c r="BH17" s="9">
        <f>51</f>
        <v/>
      </c>
      <c r="BI17" s="9">
        <f>52</f>
        <v/>
      </c>
      <c r="BJ17" s="9">
        <f>53</f>
        <v/>
      </c>
      <c r="BK17" s="9">
        <f>54</f>
        <v/>
      </c>
      <c r="BL17" s="9">
        <f>55</f>
        <v/>
      </c>
      <c r="BM17" s="9">
        <f>56</f>
        <v/>
      </c>
      <c r="BN17" s="9">
        <f>57</f>
        <v/>
      </c>
    </row>
    <row r="18">
      <c r="D18" t="inlineStr">
        <is>
          <t>Period start</t>
        </is>
      </c>
      <c r="E18" t="inlineStr">
        <is>
          <t>date</t>
        </is>
      </c>
      <c r="J18" s="8">
        <f>DATE(2018,7,1)</f>
        <v/>
      </c>
      <c r="K18" s="8">
        <f>EDATE(J18,6)</f>
        <v/>
      </c>
      <c r="L18" s="8">
        <f>EDATE(K18,6)</f>
        <v/>
      </c>
      <c r="M18" s="8">
        <f>EDATE(L18,6)</f>
        <v/>
      </c>
      <c r="N18" s="8">
        <f>EDATE(M18,6)</f>
        <v/>
      </c>
      <c r="O18" s="8">
        <f>EDATE(N18,6)</f>
        <v/>
      </c>
      <c r="P18" s="8">
        <f>EDATE(O18,6)</f>
        <v/>
      </c>
      <c r="Q18" s="8">
        <f>EDATE(P18,6)</f>
        <v/>
      </c>
      <c r="R18" s="8">
        <f>EDATE(Q18,6)</f>
        <v/>
      </c>
      <c r="S18" s="8">
        <f>EDATE(R18,6)</f>
        <v/>
      </c>
      <c r="T18" s="8">
        <f>EDATE(S18,6)</f>
        <v/>
      </c>
      <c r="U18" s="8">
        <f>EDATE(T18,6)</f>
        <v/>
      </c>
      <c r="V18" s="8">
        <f>EDATE(U18,6)</f>
        <v/>
      </c>
      <c r="W18" s="8">
        <f>EDATE(V18,6)</f>
        <v/>
      </c>
      <c r="X18" s="8">
        <f>EDATE(W18,6)</f>
        <v/>
      </c>
      <c r="Y18" s="8">
        <f>EDATE(X18,6)</f>
        <v/>
      </c>
      <c r="Z18" s="8">
        <f>EDATE(Y18,6)</f>
        <v/>
      </c>
      <c r="AA18" s="8">
        <f>EDATE(Z18,6)</f>
        <v/>
      </c>
      <c r="AB18" s="8">
        <f>EDATE(AA18,6)</f>
        <v/>
      </c>
      <c r="AC18" s="8">
        <f>EDATE(AB18,6)</f>
        <v/>
      </c>
      <c r="AD18" s="8">
        <f>EDATE(AC18,6)</f>
        <v/>
      </c>
      <c r="AE18" s="8">
        <f>EDATE(AD18,6)</f>
        <v/>
      </c>
      <c r="AF18" s="8">
        <f>EDATE(AE18,6)</f>
        <v/>
      </c>
      <c r="AG18" s="8">
        <f>EDATE(AF18,6)</f>
        <v/>
      </c>
      <c r="AH18" s="8">
        <f>EDATE(AG18,6)</f>
        <v/>
      </c>
      <c r="AI18" s="8">
        <f>EDATE(AH18,6)</f>
        <v/>
      </c>
      <c r="AJ18" s="8">
        <f>EDATE(AI18,6)</f>
        <v/>
      </c>
      <c r="AK18" s="8">
        <f>EDATE(AJ18,6)</f>
        <v/>
      </c>
      <c r="AL18" s="8">
        <f>EDATE(AK18,6)</f>
        <v/>
      </c>
      <c r="AM18" s="8">
        <f>EDATE(AL18,6)</f>
        <v/>
      </c>
      <c r="AN18" s="8">
        <f>EDATE(AM18,6)</f>
        <v/>
      </c>
      <c r="AO18" s="8">
        <f>EDATE(AN18,6)</f>
        <v/>
      </c>
      <c r="AP18" s="8">
        <f>EDATE(AO18,6)</f>
        <v/>
      </c>
      <c r="AQ18" s="8">
        <f>EDATE(AP18,6)</f>
        <v/>
      </c>
      <c r="AR18" s="8">
        <f>EDATE(AQ18,6)</f>
        <v/>
      </c>
      <c r="AS18" s="8">
        <f>EDATE(AR18,6)</f>
        <v/>
      </c>
      <c r="AT18" s="8">
        <f>EDATE(AS18,6)</f>
        <v/>
      </c>
      <c r="AU18" s="8">
        <f>EDATE(AT18,6)</f>
        <v/>
      </c>
      <c r="AV18" s="8">
        <f>EDATE(AU18,6)</f>
        <v/>
      </c>
      <c r="AW18" s="8">
        <f>EDATE(AV18,6)</f>
        <v/>
      </c>
      <c r="AX18" s="8">
        <f>EDATE(AW18,6)</f>
        <v/>
      </c>
      <c r="AY18" s="8">
        <f>EDATE(AX18,6)</f>
        <v/>
      </c>
      <c r="AZ18" s="8">
        <f>EDATE(AY18,6)</f>
        <v/>
      </c>
      <c r="BA18" s="8">
        <f>EDATE(AZ18,6)</f>
        <v/>
      </c>
      <c r="BB18" s="8">
        <f>EDATE(BA18,6)</f>
        <v/>
      </c>
      <c r="BC18" s="8">
        <f>EDATE(BB18,6)</f>
        <v/>
      </c>
      <c r="BD18" s="8">
        <f>EDATE(BC18,6)</f>
        <v/>
      </c>
      <c r="BE18" s="8">
        <f>EDATE(BD18,6)</f>
        <v/>
      </c>
      <c r="BF18" s="8">
        <f>EDATE(BE18,6)</f>
        <v/>
      </c>
      <c r="BG18" s="8">
        <f>EDATE(BF18,6)</f>
        <v/>
      </c>
      <c r="BH18" s="8">
        <f>EDATE(BG18,6)</f>
        <v/>
      </c>
      <c r="BI18" s="8">
        <f>EDATE(BH18,6)</f>
        <v/>
      </c>
      <c r="BJ18" s="8">
        <f>EDATE(BI18,6)</f>
        <v/>
      </c>
      <c r="BK18" s="8">
        <f>EDATE(BJ18,6)</f>
        <v/>
      </c>
      <c r="BL18" s="8">
        <f>EDATE(BK18,6)</f>
        <v/>
      </c>
      <c r="BM18" s="8">
        <f>EDATE(BL18,6)</f>
        <v/>
      </c>
      <c r="BN18" s="8">
        <f>EDATE(BM18,6)</f>
        <v/>
      </c>
    </row>
    <row r="19">
      <c r="D19" t="inlineStr">
        <is>
          <t>Period end</t>
        </is>
      </c>
      <c r="E19" t="inlineStr">
        <is>
          <t>date</t>
        </is>
      </c>
      <c r="J19" s="8">
        <f>EOMONTH(J18,5)</f>
        <v/>
      </c>
      <c r="K19" s="8">
        <f>EOMONTH(K18,5)</f>
        <v/>
      </c>
      <c r="L19" s="8">
        <f>EOMONTH(L18,5)</f>
        <v/>
      </c>
      <c r="M19" s="8">
        <f>EOMONTH(M18,5)</f>
        <v/>
      </c>
      <c r="N19" s="8">
        <f>EOMONTH(N18,5)</f>
        <v/>
      </c>
      <c r="O19" s="8">
        <f>EOMONTH(O18,5)</f>
        <v/>
      </c>
      <c r="P19" s="8">
        <f>EOMONTH(P18,5)</f>
        <v/>
      </c>
      <c r="Q19" s="8">
        <f>EOMONTH(Q18,5)</f>
        <v/>
      </c>
      <c r="R19" s="8">
        <f>EOMONTH(R18,5)</f>
        <v/>
      </c>
      <c r="S19" s="8">
        <f>EOMONTH(S18,5)</f>
        <v/>
      </c>
      <c r="T19" s="8">
        <f>EOMONTH(T18,5)</f>
        <v/>
      </c>
      <c r="U19" s="8">
        <f>EOMONTH(U18,5)</f>
        <v/>
      </c>
      <c r="V19" s="8">
        <f>EOMONTH(V18,5)</f>
        <v/>
      </c>
      <c r="W19" s="8">
        <f>EOMONTH(W18,5)</f>
        <v/>
      </c>
      <c r="X19" s="8">
        <f>EOMONTH(X18,5)</f>
        <v/>
      </c>
      <c r="Y19" s="8">
        <f>EOMONTH(Y18,5)</f>
        <v/>
      </c>
      <c r="Z19" s="8">
        <f>EOMONTH(Z18,5)</f>
        <v/>
      </c>
      <c r="AA19" s="8">
        <f>EOMONTH(AA18,5)</f>
        <v/>
      </c>
      <c r="AB19" s="8">
        <f>EOMONTH(AB18,5)</f>
        <v/>
      </c>
      <c r="AC19" s="8">
        <f>EOMONTH(AC18,5)</f>
        <v/>
      </c>
      <c r="AD19" s="8">
        <f>EOMONTH(AD18,5)</f>
        <v/>
      </c>
      <c r="AE19" s="8">
        <f>EOMONTH(AE18,5)</f>
        <v/>
      </c>
      <c r="AF19" s="8">
        <f>EOMONTH(AF18,5)</f>
        <v/>
      </c>
      <c r="AG19" s="8">
        <f>EOMONTH(AG18,5)</f>
        <v/>
      </c>
      <c r="AH19" s="8">
        <f>EOMONTH(AH18,5)</f>
        <v/>
      </c>
      <c r="AI19" s="8">
        <f>EOMONTH(AI18,5)</f>
        <v/>
      </c>
      <c r="AJ19" s="8">
        <f>EOMONTH(AJ18,5)</f>
        <v/>
      </c>
      <c r="AK19" s="8">
        <f>EOMONTH(AK18,5)</f>
        <v/>
      </c>
      <c r="AL19" s="8">
        <f>EOMONTH(AL18,5)</f>
        <v/>
      </c>
      <c r="AM19" s="8">
        <f>EOMONTH(AM18,5)</f>
        <v/>
      </c>
      <c r="AN19" s="8">
        <f>EOMONTH(AN18,5)</f>
        <v/>
      </c>
      <c r="AO19" s="8">
        <f>EOMONTH(AO18,5)</f>
        <v/>
      </c>
      <c r="AP19" s="8">
        <f>EOMONTH(AP18,5)</f>
        <v/>
      </c>
      <c r="AQ19" s="8">
        <f>EOMONTH(AQ18,5)</f>
        <v/>
      </c>
      <c r="AR19" s="8">
        <f>EOMONTH(AR18,5)</f>
        <v/>
      </c>
      <c r="AS19" s="8">
        <f>EOMONTH(AS18,5)</f>
        <v/>
      </c>
      <c r="AT19" s="8">
        <f>EOMONTH(AT18,5)</f>
        <v/>
      </c>
      <c r="AU19" s="8">
        <f>EOMONTH(AU18,5)</f>
        <v/>
      </c>
      <c r="AV19" s="8">
        <f>EOMONTH(AV18,5)</f>
        <v/>
      </c>
      <c r="AW19" s="8">
        <f>EOMONTH(AW18,5)</f>
        <v/>
      </c>
      <c r="AX19" s="8">
        <f>EOMONTH(AX18,5)</f>
        <v/>
      </c>
      <c r="AY19" s="8">
        <f>EOMONTH(AY18,5)</f>
        <v/>
      </c>
      <c r="AZ19" s="8">
        <f>EOMONTH(AZ18,5)</f>
        <v/>
      </c>
      <c r="BA19" s="8">
        <f>EOMONTH(BA18,5)</f>
        <v/>
      </c>
      <c r="BB19" s="8">
        <f>EOMONTH(BB18,5)</f>
        <v/>
      </c>
      <c r="BC19" s="8">
        <f>EOMONTH(BC18,5)</f>
        <v/>
      </c>
      <c r="BD19" s="8">
        <f>EOMONTH(BD18,5)</f>
        <v/>
      </c>
      <c r="BE19" s="8">
        <f>EOMONTH(BE18,5)</f>
        <v/>
      </c>
      <c r="BF19" s="8">
        <f>EOMONTH(BF18,5)</f>
        <v/>
      </c>
      <c r="BG19" s="8">
        <f>EOMONTH(BG18,5)</f>
        <v/>
      </c>
      <c r="BH19" s="8">
        <f>EOMONTH(BH18,5)</f>
        <v/>
      </c>
      <c r="BI19" s="8">
        <f>EOMONTH(BI18,5)</f>
        <v/>
      </c>
      <c r="BJ19" s="8">
        <f>EOMONTH(BJ18,5)</f>
        <v/>
      </c>
      <c r="BK19" s="8">
        <f>EOMONTH(BK18,5)</f>
        <v/>
      </c>
      <c r="BL19" s="8">
        <f>EOMONTH(BL18,5)</f>
        <v/>
      </c>
      <c r="BM19" s="8">
        <f>EOMONTH(BM18,5)</f>
        <v/>
      </c>
      <c r="BN19" s="8">
        <f>EOMONTH(BN18,5)</f>
        <v/>
      </c>
    </row>
    <row r="20">
      <c r="D20" t="inlineStr">
        <is>
          <t>Days in period</t>
        </is>
      </c>
      <c r="E20" t="inlineStr">
        <is>
          <t>days</t>
        </is>
      </c>
      <c r="J20" s="9">
        <f>J19-J18+1</f>
        <v/>
      </c>
      <c r="K20" s="9">
        <f>K19-K18+1</f>
        <v/>
      </c>
      <c r="L20" s="9">
        <f>L19-L18+1</f>
        <v/>
      </c>
      <c r="M20" s="9">
        <f>M19-M18+1</f>
        <v/>
      </c>
      <c r="N20" s="9">
        <f>N19-N18+1</f>
        <v/>
      </c>
      <c r="O20" s="9">
        <f>O19-O18+1</f>
        <v/>
      </c>
      <c r="P20" s="9">
        <f>P19-P18+1</f>
        <v/>
      </c>
      <c r="Q20" s="9">
        <f>Q19-Q18+1</f>
        <v/>
      </c>
      <c r="R20" s="9">
        <f>R19-R18+1</f>
        <v/>
      </c>
      <c r="S20" s="9">
        <f>S19-S18+1</f>
        <v/>
      </c>
      <c r="T20" s="9">
        <f>T19-T18+1</f>
        <v/>
      </c>
      <c r="U20" s="9">
        <f>U19-U18+1</f>
        <v/>
      </c>
      <c r="V20" s="9">
        <f>V19-V18+1</f>
        <v/>
      </c>
      <c r="W20" s="9">
        <f>W19-W18+1</f>
        <v/>
      </c>
      <c r="X20" s="9">
        <f>X19-X18+1</f>
        <v/>
      </c>
      <c r="Y20" s="9">
        <f>Y19-Y18+1</f>
        <v/>
      </c>
      <c r="Z20" s="9">
        <f>Z19-Z18+1</f>
        <v/>
      </c>
      <c r="AA20" s="9">
        <f>AA19-AA18+1</f>
        <v/>
      </c>
      <c r="AB20" s="9">
        <f>AB19-AB18+1</f>
        <v/>
      </c>
      <c r="AC20" s="9">
        <f>AC19-AC18+1</f>
        <v/>
      </c>
      <c r="AD20" s="9">
        <f>AD19-AD18+1</f>
        <v/>
      </c>
      <c r="AE20" s="9">
        <f>AE19-AE18+1</f>
        <v/>
      </c>
      <c r="AF20" s="9">
        <f>AF19-AF18+1</f>
        <v/>
      </c>
      <c r="AG20" s="9">
        <f>AG19-AG18+1</f>
        <v/>
      </c>
      <c r="AH20" s="9">
        <f>AH19-AH18+1</f>
        <v/>
      </c>
      <c r="AI20" s="9">
        <f>AI19-AI18+1</f>
        <v/>
      </c>
      <c r="AJ20" s="9">
        <f>AJ19-AJ18+1</f>
        <v/>
      </c>
      <c r="AK20" s="9">
        <f>AK19-AK18+1</f>
        <v/>
      </c>
      <c r="AL20" s="9">
        <f>AL19-AL18+1</f>
        <v/>
      </c>
      <c r="AM20" s="9">
        <f>AM19-AM18+1</f>
        <v/>
      </c>
      <c r="AN20" s="9">
        <f>AN19-AN18+1</f>
        <v/>
      </c>
      <c r="AO20" s="9">
        <f>AO19-AO18+1</f>
        <v/>
      </c>
      <c r="AP20" s="9">
        <f>AP19-AP18+1</f>
        <v/>
      </c>
      <c r="AQ20" s="9">
        <f>AQ19-AQ18+1</f>
        <v/>
      </c>
      <c r="AR20" s="9">
        <f>AR19-AR18+1</f>
        <v/>
      </c>
      <c r="AS20" s="9">
        <f>AS19-AS18+1</f>
        <v/>
      </c>
      <c r="AT20" s="9">
        <f>AT19-AT18+1</f>
        <v/>
      </c>
      <c r="AU20" s="9">
        <f>AU19-AU18+1</f>
        <v/>
      </c>
      <c r="AV20" s="9">
        <f>AV19-AV18+1</f>
        <v/>
      </c>
      <c r="AW20" s="9">
        <f>AW19-AW18+1</f>
        <v/>
      </c>
      <c r="AX20" s="9">
        <f>AX19-AX18+1</f>
        <v/>
      </c>
      <c r="AY20" s="9">
        <f>AY19-AY18+1</f>
        <v/>
      </c>
      <c r="AZ20" s="9">
        <f>AZ19-AZ18+1</f>
        <v/>
      </c>
      <c r="BA20" s="9">
        <f>BA19-BA18+1</f>
        <v/>
      </c>
      <c r="BB20" s="9">
        <f>BB19-BB18+1</f>
        <v/>
      </c>
      <c r="BC20" s="9">
        <f>BC19-BC18+1</f>
        <v/>
      </c>
      <c r="BD20" s="9">
        <f>BD19-BD18+1</f>
        <v/>
      </c>
      <c r="BE20" s="9">
        <f>BE19-BE18+1</f>
        <v/>
      </c>
      <c r="BF20" s="9">
        <f>BF19-BF18+1</f>
        <v/>
      </c>
      <c r="BG20" s="9">
        <f>BG19-BG18+1</f>
        <v/>
      </c>
      <c r="BH20" s="9">
        <f>BH19-BH18+1</f>
        <v/>
      </c>
      <c r="BI20" s="9">
        <f>BI19-BI18+1</f>
        <v/>
      </c>
      <c r="BJ20" s="9">
        <f>BJ19-BJ18+1</f>
        <v/>
      </c>
      <c r="BK20" s="9">
        <f>BK19-BK18+1</f>
        <v/>
      </c>
      <c r="BL20" s="9">
        <f>BL19-BL18+1</f>
        <v/>
      </c>
      <c r="BM20" s="9">
        <f>BM19-BM18+1</f>
        <v/>
      </c>
      <c r="BN20" s="9">
        <f>BN19-BN18+1</f>
        <v/>
      </c>
    </row>
    <row r="21">
      <c r="D21" t="inlineStr">
        <is>
          <t>Calendar year</t>
        </is>
      </c>
      <c r="E21" t="inlineStr">
        <is>
          <t>year</t>
        </is>
      </c>
      <c r="J21" s="9">
        <f>YEAR(J18)</f>
        <v/>
      </c>
      <c r="K21" s="9">
        <f>YEAR(K18)</f>
        <v/>
      </c>
      <c r="L21" s="9">
        <f>YEAR(L18)</f>
        <v/>
      </c>
      <c r="M21" s="9">
        <f>YEAR(M18)</f>
        <v/>
      </c>
      <c r="N21" s="9">
        <f>YEAR(N18)</f>
        <v/>
      </c>
      <c r="O21" s="9">
        <f>YEAR(O18)</f>
        <v/>
      </c>
      <c r="P21" s="9">
        <f>YEAR(P18)</f>
        <v/>
      </c>
      <c r="Q21" s="9">
        <f>YEAR(Q18)</f>
        <v/>
      </c>
      <c r="R21" s="9">
        <f>YEAR(R18)</f>
        <v/>
      </c>
      <c r="S21" s="9">
        <f>YEAR(S18)</f>
        <v/>
      </c>
      <c r="T21" s="9">
        <f>YEAR(T18)</f>
        <v/>
      </c>
      <c r="U21" s="9">
        <f>YEAR(U18)</f>
        <v/>
      </c>
      <c r="V21" s="9">
        <f>YEAR(V18)</f>
        <v/>
      </c>
      <c r="W21" s="9">
        <f>YEAR(W18)</f>
        <v/>
      </c>
      <c r="X21" s="9">
        <f>YEAR(X18)</f>
        <v/>
      </c>
      <c r="Y21" s="9">
        <f>YEAR(Y18)</f>
        <v/>
      </c>
      <c r="Z21" s="9">
        <f>YEAR(Z18)</f>
        <v/>
      </c>
      <c r="AA21" s="9">
        <f>YEAR(AA18)</f>
        <v/>
      </c>
      <c r="AB21" s="9">
        <f>YEAR(AB18)</f>
        <v/>
      </c>
      <c r="AC21" s="9">
        <f>YEAR(AC18)</f>
        <v/>
      </c>
      <c r="AD21" s="9">
        <f>YEAR(AD18)</f>
        <v/>
      </c>
      <c r="AE21" s="9">
        <f>YEAR(AE18)</f>
        <v/>
      </c>
      <c r="AF21" s="9">
        <f>YEAR(AF18)</f>
        <v/>
      </c>
      <c r="AG21" s="9">
        <f>YEAR(AG18)</f>
        <v/>
      </c>
      <c r="AH21" s="9">
        <f>YEAR(AH18)</f>
        <v/>
      </c>
      <c r="AI21" s="9">
        <f>YEAR(AI18)</f>
        <v/>
      </c>
      <c r="AJ21" s="9">
        <f>YEAR(AJ18)</f>
        <v/>
      </c>
      <c r="AK21" s="9">
        <f>YEAR(AK18)</f>
        <v/>
      </c>
      <c r="AL21" s="9">
        <f>YEAR(AL18)</f>
        <v/>
      </c>
      <c r="AM21" s="9">
        <f>YEAR(AM18)</f>
        <v/>
      </c>
      <c r="AN21" s="9">
        <f>YEAR(AN18)</f>
        <v/>
      </c>
      <c r="AO21" s="9">
        <f>YEAR(AO18)</f>
        <v/>
      </c>
      <c r="AP21" s="9">
        <f>YEAR(AP18)</f>
        <v/>
      </c>
      <c r="AQ21" s="9">
        <f>YEAR(AQ18)</f>
        <v/>
      </c>
      <c r="AR21" s="9">
        <f>YEAR(AR18)</f>
        <v/>
      </c>
      <c r="AS21" s="9">
        <f>YEAR(AS18)</f>
        <v/>
      </c>
      <c r="AT21" s="9">
        <f>YEAR(AT18)</f>
        <v/>
      </c>
      <c r="AU21" s="9">
        <f>YEAR(AU18)</f>
        <v/>
      </c>
      <c r="AV21" s="9">
        <f>YEAR(AV18)</f>
        <v/>
      </c>
      <c r="AW21" s="9">
        <f>YEAR(AW18)</f>
        <v/>
      </c>
      <c r="AX21" s="9">
        <f>YEAR(AX18)</f>
        <v/>
      </c>
      <c r="AY21" s="9">
        <f>YEAR(AY18)</f>
        <v/>
      </c>
      <c r="AZ21" s="9">
        <f>YEAR(AZ18)</f>
        <v/>
      </c>
      <c r="BA21" s="9">
        <f>YEAR(BA18)</f>
        <v/>
      </c>
      <c r="BB21" s="9">
        <f>YEAR(BB18)</f>
        <v/>
      </c>
      <c r="BC21" s="9">
        <f>YEAR(BC18)</f>
        <v/>
      </c>
      <c r="BD21" s="9">
        <f>YEAR(BD18)</f>
        <v/>
      </c>
      <c r="BE21" s="9">
        <f>YEAR(BE18)</f>
        <v/>
      </c>
      <c r="BF21" s="9">
        <f>YEAR(BF18)</f>
        <v/>
      </c>
      <c r="BG21" s="9">
        <f>YEAR(BG18)</f>
        <v/>
      </c>
      <c r="BH21" s="9">
        <f>YEAR(BH18)</f>
        <v/>
      </c>
      <c r="BI21" s="9">
        <f>YEAR(BI18)</f>
        <v/>
      </c>
      <c r="BJ21" s="9">
        <f>YEAR(BJ18)</f>
        <v/>
      </c>
      <c r="BK21" s="9">
        <f>YEAR(BK18)</f>
        <v/>
      </c>
      <c r="BL21" s="9">
        <f>YEAR(BL18)</f>
        <v/>
      </c>
      <c r="BM21" s="9">
        <f>YEAR(BM18)</f>
        <v/>
      </c>
      <c r="BN21" s="9">
        <f>YEAR(BN18)</f>
        <v/>
      </c>
    </row>
    <row r="22">
      <c r="D22" t="inlineStr">
        <is>
          <t>Half (1 = Jan-Jun)</t>
        </is>
      </c>
      <c r="E22" t="inlineStr">
        <is>
          <t>index</t>
        </is>
      </c>
      <c r="J22" s="9">
        <f>IF(MONTH(J18)=1,1,2)</f>
        <v/>
      </c>
      <c r="K22" s="9">
        <f>IF(MONTH(K18)=1,1,2)</f>
        <v/>
      </c>
      <c r="L22" s="9">
        <f>IF(MONTH(L18)=1,1,2)</f>
        <v/>
      </c>
      <c r="M22" s="9">
        <f>IF(MONTH(M18)=1,1,2)</f>
        <v/>
      </c>
      <c r="N22" s="9">
        <f>IF(MONTH(N18)=1,1,2)</f>
        <v/>
      </c>
      <c r="O22" s="9">
        <f>IF(MONTH(O18)=1,1,2)</f>
        <v/>
      </c>
      <c r="P22" s="9">
        <f>IF(MONTH(P18)=1,1,2)</f>
        <v/>
      </c>
      <c r="Q22" s="9">
        <f>IF(MONTH(Q18)=1,1,2)</f>
        <v/>
      </c>
      <c r="R22" s="9">
        <f>IF(MONTH(R18)=1,1,2)</f>
        <v/>
      </c>
      <c r="S22" s="9">
        <f>IF(MONTH(S18)=1,1,2)</f>
        <v/>
      </c>
      <c r="T22" s="9">
        <f>IF(MONTH(T18)=1,1,2)</f>
        <v/>
      </c>
      <c r="U22" s="9">
        <f>IF(MONTH(U18)=1,1,2)</f>
        <v/>
      </c>
      <c r="V22" s="9">
        <f>IF(MONTH(V18)=1,1,2)</f>
        <v/>
      </c>
      <c r="W22" s="9">
        <f>IF(MONTH(W18)=1,1,2)</f>
        <v/>
      </c>
      <c r="X22" s="9">
        <f>IF(MONTH(X18)=1,1,2)</f>
        <v/>
      </c>
      <c r="Y22" s="9">
        <f>IF(MONTH(Y18)=1,1,2)</f>
        <v/>
      </c>
      <c r="Z22" s="9">
        <f>IF(MONTH(Z18)=1,1,2)</f>
        <v/>
      </c>
      <c r="AA22" s="9">
        <f>IF(MONTH(AA18)=1,1,2)</f>
        <v/>
      </c>
      <c r="AB22" s="9">
        <f>IF(MONTH(AB18)=1,1,2)</f>
        <v/>
      </c>
      <c r="AC22" s="9">
        <f>IF(MONTH(AC18)=1,1,2)</f>
        <v/>
      </c>
      <c r="AD22" s="9">
        <f>IF(MONTH(AD18)=1,1,2)</f>
        <v/>
      </c>
      <c r="AE22" s="9">
        <f>IF(MONTH(AE18)=1,1,2)</f>
        <v/>
      </c>
      <c r="AF22" s="9">
        <f>IF(MONTH(AF18)=1,1,2)</f>
        <v/>
      </c>
      <c r="AG22" s="9">
        <f>IF(MONTH(AG18)=1,1,2)</f>
        <v/>
      </c>
      <c r="AH22" s="9">
        <f>IF(MONTH(AH18)=1,1,2)</f>
        <v/>
      </c>
      <c r="AI22" s="9">
        <f>IF(MONTH(AI18)=1,1,2)</f>
        <v/>
      </c>
      <c r="AJ22" s="9">
        <f>IF(MONTH(AJ18)=1,1,2)</f>
        <v/>
      </c>
      <c r="AK22" s="9">
        <f>IF(MONTH(AK18)=1,1,2)</f>
        <v/>
      </c>
      <c r="AL22" s="9">
        <f>IF(MONTH(AL18)=1,1,2)</f>
        <v/>
      </c>
      <c r="AM22" s="9">
        <f>IF(MONTH(AM18)=1,1,2)</f>
        <v/>
      </c>
      <c r="AN22" s="9">
        <f>IF(MONTH(AN18)=1,1,2)</f>
        <v/>
      </c>
      <c r="AO22" s="9">
        <f>IF(MONTH(AO18)=1,1,2)</f>
        <v/>
      </c>
      <c r="AP22" s="9">
        <f>IF(MONTH(AP18)=1,1,2)</f>
        <v/>
      </c>
      <c r="AQ22" s="9">
        <f>IF(MONTH(AQ18)=1,1,2)</f>
        <v/>
      </c>
      <c r="AR22" s="9">
        <f>IF(MONTH(AR18)=1,1,2)</f>
        <v/>
      </c>
      <c r="AS22" s="9">
        <f>IF(MONTH(AS18)=1,1,2)</f>
        <v/>
      </c>
      <c r="AT22" s="9">
        <f>IF(MONTH(AT18)=1,1,2)</f>
        <v/>
      </c>
      <c r="AU22" s="9">
        <f>IF(MONTH(AU18)=1,1,2)</f>
        <v/>
      </c>
      <c r="AV22" s="9">
        <f>IF(MONTH(AV18)=1,1,2)</f>
        <v/>
      </c>
      <c r="AW22" s="9">
        <f>IF(MONTH(AW18)=1,1,2)</f>
        <v/>
      </c>
      <c r="AX22" s="9">
        <f>IF(MONTH(AX18)=1,1,2)</f>
        <v/>
      </c>
      <c r="AY22" s="9">
        <f>IF(MONTH(AY18)=1,1,2)</f>
        <v/>
      </c>
      <c r="AZ22" s="9">
        <f>IF(MONTH(AZ18)=1,1,2)</f>
        <v/>
      </c>
      <c r="BA22" s="9">
        <f>IF(MONTH(BA18)=1,1,2)</f>
        <v/>
      </c>
      <c r="BB22" s="9">
        <f>IF(MONTH(BB18)=1,1,2)</f>
        <v/>
      </c>
      <c r="BC22" s="9">
        <f>IF(MONTH(BC18)=1,1,2)</f>
        <v/>
      </c>
      <c r="BD22" s="9">
        <f>IF(MONTH(BD18)=1,1,2)</f>
        <v/>
      </c>
      <c r="BE22" s="9">
        <f>IF(MONTH(BE18)=1,1,2)</f>
        <v/>
      </c>
      <c r="BF22" s="9">
        <f>IF(MONTH(BF18)=1,1,2)</f>
        <v/>
      </c>
      <c r="BG22" s="9">
        <f>IF(MONTH(BG18)=1,1,2)</f>
        <v/>
      </c>
      <c r="BH22" s="9">
        <f>IF(MONTH(BH18)=1,1,2)</f>
        <v/>
      </c>
      <c r="BI22" s="9">
        <f>IF(MONTH(BI18)=1,1,2)</f>
        <v/>
      </c>
      <c r="BJ22" s="9">
        <f>IF(MONTH(BJ18)=1,1,2)</f>
        <v/>
      </c>
      <c r="BK22" s="9">
        <f>IF(MONTH(BK18)=1,1,2)</f>
        <v/>
      </c>
      <c r="BL22" s="9">
        <f>IF(MONTH(BL18)=1,1,2)</f>
        <v/>
      </c>
      <c r="BM22" s="9">
        <f>IF(MONTH(BM18)=1,1,2)</f>
        <v/>
      </c>
      <c r="BN22" s="9">
        <f>IF(MONTH(BN18)=1,1,2)</f>
        <v/>
      </c>
    </row>
    <row r="23">
      <c r="D23" t="inlineStr">
        <is>
          <t>Operations start in period</t>
        </is>
      </c>
      <c r="E23" t="inlineStr">
        <is>
          <t>date</t>
        </is>
      </c>
      <c r="J23" s="8">
        <f>MAX(J18,$F$8)</f>
        <v/>
      </c>
      <c r="K23" s="8">
        <f>MAX(K18,$F$8)</f>
        <v/>
      </c>
      <c r="L23" s="8">
        <f>MAX(L18,$F$8)</f>
        <v/>
      </c>
      <c r="M23" s="8">
        <f>MAX(M18,$F$8)</f>
        <v/>
      </c>
      <c r="N23" s="8">
        <f>MAX(N18,$F$8)</f>
        <v/>
      </c>
      <c r="O23" s="8">
        <f>MAX(O18,$F$8)</f>
        <v/>
      </c>
      <c r="P23" s="8">
        <f>MAX(P18,$F$8)</f>
        <v/>
      </c>
      <c r="Q23" s="8">
        <f>MAX(Q18,$F$8)</f>
        <v/>
      </c>
      <c r="R23" s="8">
        <f>MAX(R18,$F$8)</f>
        <v/>
      </c>
      <c r="S23" s="8">
        <f>MAX(S18,$F$8)</f>
        <v/>
      </c>
      <c r="T23" s="8">
        <f>MAX(T18,$F$8)</f>
        <v/>
      </c>
      <c r="U23" s="8">
        <f>MAX(U18,$F$8)</f>
        <v/>
      </c>
      <c r="V23" s="8">
        <f>MAX(V18,$F$8)</f>
        <v/>
      </c>
      <c r="W23" s="8">
        <f>MAX(W18,$F$8)</f>
        <v/>
      </c>
      <c r="X23" s="8">
        <f>MAX(X18,$F$8)</f>
        <v/>
      </c>
      <c r="Y23" s="8">
        <f>MAX(Y18,$F$8)</f>
        <v/>
      </c>
      <c r="Z23" s="8">
        <f>MAX(Z18,$F$8)</f>
        <v/>
      </c>
      <c r="AA23" s="8">
        <f>MAX(AA18,$F$8)</f>
        <v/>
      </c>
      <c r="AB23" s="8">
        <f>MAX(AB18,$F$8)</f>
        <v/>
      </c>
      <c r="AC23" s="8">
        <f>MAX(AC18,$F$8)</f>
        <v/>
      </c>
      <c r="AD23" s="8">
        <f>MAX(AD18,$F$8)</f>
        <v/>
      </c>
      <c r="AE23" s="8">
        <f>MAX(AE18,$F$8)</f>
        <v/>
      </c>
      <c r="AF23" s="8">
        <f>MAX(AF18,$F$8)</f>
        <v/>
      </c>
      <c r="AG23" s="8">
        <f>MAX(AG18,$F$8)</f>
        <v/>
      </c>
      <c r="AH23" s="8">
        <f>MAX(AH18,$F$8)</f>
        <v/>
      </c>
      <c r="AI23" s="8">
        <f>MAX(AI18,$F$8)</f>
        <v/>
      </c>
      <c r="AJ23" s="8">
        <f>MAX(AJ18,$F$8)</f>
        <v/>
      </c>
      <c r="AK23" s="8">
        <f>MAX(AK18,$F$8)</f>
        <v/>
      </c>
      <c r="AL23" s="8">
        <f>MAX(AL18,$F$8)</f>
        <v/>
      </c>
      <c r="AM23" s="8">
        <f>MAX(AM18,$F$8)</f>
        <v/>
      </c>
      <c r="AN23" s="8">
        <f>MAX(AN18,$F$8)</f>
        <v/>
      </c>
      <c r="AO23" s="8">
        <f>MAX(AO18,$F$8)</f>
        <v/>
      </c>
      <c r="AP23" s="8">
        <f>MAX(AP18,$F$8)</f>
        <v/>
      </c>
      <c r="AQ23" s="8">
        <f>MAX(AQ18,$F$8)</f>
        <v/>
      </c>
      <c r="AR23" s="8">
        <f>MAX(AR18,$F$8)</f>
        <v/>
      </c>
      <c r="AS23" s="8">
        <f>MAX(AS18,$F$8)</f>
        <v/>
      </c>
      <c r="AT23" s="8">
        <f>MAX(AT18,$F$8)</f>
        <v/>
      </c>
      <c r="AU23" s="8">
        <f>MAX(AU18,$F$8)</f>
        <v/>
      </c>
      <c r="AV23" s="8">
        <f>MAX(AV18,$F$8)</f>
        <v/>
      </c>
      <c r="AW23" s="8">
        <f>MAX(AW18,$F$8)</f>
        <v/>
      </c>
      <c r="AX23" s="8">
        <f>MAX(AX18,$F$8)</f>
        <v/>
      </c>
      <c r="AY23" s="8">
        <f>MAX(AY18,$F$8)</f>
        <v/>
      </c>
      <c r="AZ23" s="8">
        <f>MAX(AZ18,$F$8)</f>
        <v/>
      </c>
      <c r="BA23" s="8">
        <f>MAX(BA18,$F$8)</f>
        <v/>
      </c>
      <c r="BB23" s="8">
        <f>MAX(BB18,$F$8)</f>
        <v/>
      </c>
      <c r="BC23" s="8">
        <f>MAX(BC18,$F$8)</f>
        <v/>
      </c>
      <c r="BD23" s="8">
        <f>MAX(BD18,$F$8)</f>
        <v/>
      </c>
      <c r="BE23" s="8">
        <f>MAX(BE18,$F$8)</f>
        <v/>
      </c>
      <c r="BF23" s="8">
        <f>MAX(BF18,$F$8)</f>
        <v/>
      </c>
      <c r="BG23" s="8">
        <f>MAX(BG18,$F$8)</f>
        <v/>
      </c>
      <c r="BH23" s="8">
        <f>MAX(BH18,$F$8)</f>
        <v/>
      </c>
      <c r="BI23" s="8">
        <f>MAX(BI18,$F$8)</f>
        <v/>
      </c>
      <c r="BJ23" s="8">
        <f>MAX(BJ18,$F$8)</f>
        <v/>
      </c>
      <c r="BK23" s="8">
        <f>MAX(BK18,$F$8)</f>
        <v/>
      </c>
      <c r="BL23" s="8">
        <f>MAX(BL18,$F$8)</f>
        <v/>
      </c>
      <c r="BM23" s="8">
        <f>MAX(BM18,$F$8)</f>
        <v/>
      </c>
      <c r="BN23" s="8">
        <f>MAX(BN18,$F$8)</f>
        <v/>
      </c>
    </row>
    <row r="24">
      <c r="D24" t="inlineStr">
        <is>
          <t>Operations end in period</t>
        </is>
      </c>
      <c r="E24" t="inlineStr">
        <is>
          <t>date</t>
        </is>
      </c>
      <c r="J24" s="8">
        <f>MIN(J19,$F$9)</f>
        <v/>
      </c>
      <c r="K24" s="8">
        <f>MIN(K19,$F$9)</f>
        <v/>
      </c>
      <c r="L24" s="8">
        <f>MIN(L19,$F$9)</f>
        <v/>
      </c>
      <c r="M24" s="8">
        <f>MIN(M19,$F$9)</f>
        <v/>
      </c>
      <c r="N24" s="8">
        <f>MIN(N19,$F$9)</f>
        <v/>
      </c>
      <c r="O24" s="8">
        <f>MIN(O19,$F$9)</f>
        <v/>
      </c>
      <c r="P24" s="8">
        <f>MIN(P19,$F$9)</f>
        <v/>
      </c>
      <c r="Q24" s="8">
        <f>MIN(Q19,$F$9)</f>
        <v/>
      </c>
      <c r="R24" s="8">
        <f>MIN(R19,$F$9)</f>
        <v/>
      </c>
      <c r="S24" s="8">
        <f>MIN(S19,$F$9)</f>
        <v/>
      </c>
      <c r="T24" s="8">
        <f>MIN(T19,$F$9)</f>
        <v/>
      </c>
      <c r="U24" s="8">
        <f>MIN(U19,$F$9)</f>
        <v/>
      </c>
      <c r="V24" s="8">
        <f>MIN(V19,$F$9)</f>
        <v/>
      </c>
      <c r="W24" s="8">
        <f>MIN(W19,$F$9)</f>
        <v/>
      </c>
      <c r="X24" s="8">
        <f>MIN(X19,$F$9)</f>
        <v/>
      </c>
      <c r="Y24" s="8">
        <f>MIN(Y19,$F$9)</f>
        <v/>
      </c>
      <c r="Z24" s="8">
        <f>MIN(Z19,$F$9)</f>
        <v/>
      </c>
      <c r="AA24" s="8">
        <f>MIN(AA19,$F$9)</f>
        <v/>
      </c>
      <c r="AB24" s="8">
        <f>MIN(AB19,$F$9)</f>
        <v/>
      </c>
      <c r="AC24" s="8">
        <f>MIN(AC19,$F$9)</f>
        <v/>
      </c>
      <c r="AD24" s="8">
        <f>MIN(AD19,$F$9)</f>
        <v/>
      </c>
      <c r="AE24" s="8">
        <f>MIN(AE19,$F$9)</f>
        <v/>
      </c>
      <c r="AF24" s="8">
        <f>MIN(AF19,$F$9)</f>
        <v/>
      </c>
      <c r="AG24" s="8">
        <f>MIN(AG19,$F$9)</f>
        <v/>
      </c>
      <c r="AH24" s="8">
        <f>MIN(AH19,$F$9)</f>
        <v/>
      </c>
      <c r="AI24" s="8">
        <f>MIN(AI19,$F$9)</f>
        <v/>
      </c>
      <c r="AJ24" s="8">
        <f>MIN(AJ19,$F$9)</f>
        <v/>
      </c>
      <c r="AK24" s="8">
        <f>MIN(AK19,$F$9)</f>
        <v/>
      </c>
      <c r="AL24" s="8">
        <f>MIN(AL19,$F$9)</f>
        <v/>
      </c>
      <c r="AM24" s="8">
        <f>MIN(AM19,$F$9)</f>
        <v/>
      </c>
      <c r="AN24" s="8">
        <f>MIN(AN19,$F$9)</f>
        <v/>
      </c>
      <c r="AO24" s="8">
        <f>MIN(AO19,$F$9)</f>
        <v/>
      </c>
      <c r="AP24" s="8">
        <f>MIN(AP19,$F$9)</f>
        <v/>
      </c>
      <c r="AQ24" s="8">
        <f>MIN(AQ19,$F$9)</f>
        <v/>
      </c>
      <c r="AR24" s="8">
        <f>MIN(AR19,$F$9)</f>
        <v/>
      </c>
      <c r="AS24" s="8">
        <f>MIN(AS19,$F$9)</f>
        <v/>
      </c>
      <c r="AT24" s="8">
        <f>MIN(AT19,$F$9)</f>
        <v/>
      </c>
      <c r="AU24" s="8">
        <f>MIN(AU19,$F$9)</f>
        <v/>
      </c>
      <c r="AV24" s="8">
        <f>MIN(AV19,$F$9)</f>
        <v/>
      </c>
      <c r="AW24" s="8">
        <f>MIN(AW19,$F$9)</f>
        <v/>
      </c>
      <c r="AX24" s="8">
        <f>MIN(AX19,$F$9)</f>
        <v/>
      </c>
      <c r="AY24" s="8">
        <f>MIN(AY19,$F$9)</f>
        <v/>
      </c>
      <c r="AZ24" s="8">
        <f>MIN(AZ19,$F$9)</f>
        <v/>
      </c>
      <c r="BA24" s="8">
        <f>MIN(BA19,$F$9)</f>
        <v/>
      </c>
      <c r="BB24" s="8">
        <f>MIN(BB19,$F$9)</f>
        <v/>
      </c>
      <c r="BC24" s="8">
        <f>MIN(BC19,$F$9)</f>
        <v/>
      </c>
      <c r="BD24" s="8">
        <f>MIN(BD19,$F$9)</f>
        <v/>
      </c>
      <c r="BE24" s="8">
        <f>MIN(BE19,$F$9)</f>
        <v/>
      </c>
      <c r="BF24" s="8">
        <f>MIN(BF19,$F$9)</f>
        <v/>
      </c>
      <c r="BG24" s="8">
        <f>MIN(BG19,$F$9)</f>
        <v/>
      </c>
      <c r="BH24" s="8">
        <f>MIN(BH19,$F$9)</f>
        <v/>
      </c>
      <c r="BI24" s="8">
        <f>MIN(BI19,$F$9)</f>
        <v/>
      </c>
      <c r="BJ24" s="8">
        <f>MIN(BJ19,$F$9)</f>
        <v/>
      </c>
      <c r="BK24" s="8">
        <f>MIN(BK19,$F$9)</f>
        <v/>
      </c>
      <c r="BL24" s="8">
        <f>MIN(BL19,$F$9)</f>
        <v/>
      </c>
      <c r="BM24" s="8">
        <f>MIN(BM19,$F$9)</f>
        <v/>
      </c>
      <c r="BN24" s="8">
        <f>MIN(BN19,$F$9)</f>
        <v/>
      </c>
    </row>
    <row r="25">
      <c r="D25" t="inlineStr">
        <is>
          <t>Operating months in period</t>
        </is>
      </c>
      <c r="E25" t="inlineStr">
        <is>
          <t>months</t>
        </is>
      </c>
      <c r="J25" s="9">
        <f>IF(J24&gt;=J23,(YEAR(J24)-YEAR(J23))*12+MONTH(J24)-MONTH(J23)+1,0)</f>
        <v/>
      </c>
      <c r="K25" s="9">
        <f>IF(K24&gt;=K23,(YEAR(K24)-YEAR(K23))*12+MONTH(K24)-MONTH(K23)+1,0)</f>
        <v/>
      </c>
      <c r="L25" s="9">
        <f>IF(L24&gt;=L23,(YEAR(L24)-YEAR(L23))*12+MONTH(L24)-MONTH(L23)+1,0)</f>
        <v/>
      </c>
      <c r="M25" s="9">
        <f>IF(M24&gt;=M23,(YEAR(M24)-YEAR(M23))*12+MONTH(M24)-MONTH(M23)+1,0)</f>
        <v/>
      </c>
      <c r="N25" s="9">
        <f>IF(N24&gt;=N23,(YEAR(N24)-YEAR(N23))*12+MONTH(N24)-MONTH(N23)+1,0)</f>
        <v/>
      </c>
      <c r="O25" s="9">
        <f>IF(O24&gt;=O23,(YEAR(O24)-YEAR(O23))*12+MONTH(O24)-MONTH(O23)+1,0)</f>
        <v/>
      </c>
      <c r="P25" s="9">
        <f>IF(P24&gt;=P23,(YEAR(P24)-YEAR(P23))*12+MONTH(P24)-MONTH(P23)+1,0)</f>
        <v/>
      </c>
      <c r="Q25" s="9">
        <f>IF(Q24&gt;=Q23,(YEAR(Q24)-YEAR(Q23))*12+MONTH(Q24)-MONTH(Q23)+1,0)</f>
        <v/>
      </c>
      <c r="R25" s="9">
        <f>IF(R24&gt;=R23,(YEAR(R24)-YEAR(R23))*12+MONTH(R24)-MONTH(R23)+1,0)</f>
        <v/>
      </c>
      <c r="S25" s="9">
        <f>IF(S24&gt;=S23,(YEAR(S24)-YEAR(S23))*12+MONTH(S24)-MONTH(S23)+1,0)</f>
        <v/>
      </c>
      <c r="T25" s="9">
        <f>IF(T24&gt;=T23,(YEAR(T24)-YEAR(T23))*12+MONTH(T24)-MONTH(T23)+1,0)</f>
        <v/>
      </c>
      <c r="U25" s="9">
        <f>IF(U24&gt;=U23,(YEAR(U24)-YEAR(U23))*12+MONTH(U24)-MONTH(U23)+1,0)</f>
        <v/>
      </c>
      <c r="V25" s="9">
        <f>IF(V24&gt;=V23,(YEAR(V24)-YEAR(V23))*12+MONTH(V24)-MONTH(V23)+1,0)</f>
        <v/>
      </c>
      <c r="W25" s="9">
        <f>IF(W24&gt;=W23,(YEAR(W24)-YEAR(W23))*12+MONTH(W24)-MONTH(W23)+1,0)</f>
        <v/>
      </c>
      <c r="X25" s="9">
        <f>IF(X24&gt;=X23,(YEAR(X24)-YEAR(X23))*12+MONTH(X24)-MONTH(X23)+1,0)</f>
        <v/>
      </c>
      <c r="Y25" s="9">
        <f>IF(Y24&gt;=Y23,(YEAR(Y24)-YEAR(Y23))*12+MONTH(Y24)-MONTH(Y23)+1,0)</f>
        <v/>
      </c>
      <c r="Z25" s="9">
        <f>IF(Z24&gt;=Z23,(YEAR(Z24)-YEAR(Z23))*12+MONTH(Z24)-MONTH(Z23)+1,0)</f>
        <v/>
      </c>
      <c r="AA25" s="9">
        <f>IF(AA24&gt;=AA23,(YEAR(AA24)-YEAR(AA23))*12+MONTH(AA24)-MONTH(AA23)+1,0)</f>
        <v/>
      </c>
      <c r="AB25" s="9">
        <f>IF(AB24&gt;=AB23,(YEAR(AB24)-YEAR(AB23))*12+MONTH(AB24)-MONTH(AB23)+1,0)</f>
        <v/>
      </c>
      <c r="AC25" s="9">
        <f>IF(AC24&gt;=AC23,(YEAR(AC24)-YEAR(AC23))*12+MONTH(AC24)-MONTH(AC23)+1,0)</f>
        <v/>
      </c>
      <c r="AD25" s="9">
        <f>IF(AD24&gt;=AD23,(YEAR(AD24)-YEAR(AD23))*12+MONTH(AD24)-MONTH(AD23)+1,0)</f>
        <v/>
      </c>
      <c r="AE25" s="9">
        <f>IF(AE24&gt;=AE23,(YEAR(AE24)-YEAR(AE23))*12+MONTH(AE24)-MONTH(AE23)+1,0)</f>
        <v/>
      </c>
      <c r="AF25" s="9">
        <f>IF(AF24&gt;=AF23,(YEAR(AF24)-YEAR(AF23))*12+MONTH(AF24)-MONTH(AF23)+1,0)</f>
        <v/>
      </c>
      <c r="AG25" s="9">
        <f>IF(AG24&gt;=AG23,(YEAR(AG24)-YEAR(AG23))*12+MONTH(AG24)-MONTH(AG23)+1,0)</f>
        <v/>
      </c>
      <c r="AH25" s="9">
        <f>IF(AH24&gt;=AH23,(YEAR(AH24)-YEAR(AH23))*12+MONTH(AH24)-MONTH(AH23)+1,0)</f>
        <v/>
      </c>
      <c r="AI25" s="9">
        <f>IF(AI24&gt;=AI23,(YEAR(AI24)-YEAR(AI23))*12+MONTH(AI24)-MONTH(AI23)+1,0)</f>
        <v/>
      </c>
      <c r="AJ25" s="9">
        <f>IF(AJ24&gt;=AJ23,(YEAR(AJ24)-YEAR(AJ23))*12+MONTH(AJ24)-MONTH(AJ23)+1,0)</f>
        <v/>
      </c>
      <c r="AK25" s="9">
        <f>IF(AK24&gt;=AK23,(YEAR(AK24)-YEAR(AK23))*12+MONTH(AK24)-MONTH(AK23)+1,0)</f>
        <v/>
      </c>
      <c r="AL25" s="9">
        <f>IF(AL24&gt;=AL23,(YEAR(AL24)-YEAR(AL23))*12+MONTH(AL24)-MONTH(AL23)+1,0)</f>
        <v/>
      </c>
      <c r="AM25" s="9">
        <f>IF(AM24&gt;=AM23,(YEAR(AM24)-YEAR(AM23))*12+MONTH(AM24)-MONTH(AM23)+1,0)</f>
        <v/>
      </c>
      <c r="AN25" s="9">
        <f>IF(AN24&gt;=AN23,(YEAR(AN24)-YEAR(AN23))*12+MONTH(AN24)-MONTH(AN23)+1,0)</f>
        <v/>
      </c>
      <c r="AO25" s="9">
        <f>IF(AO24&gt;=AO23,(YEAR(AO24)-YEAR(AO23))*12+MONTH(AO24)-MONTH(AO23)+1,0)</f>
        <v/>
      </c>
      <c r="AP25" s="9">
        <f>IF(AP24&gt;=AP23,(YEAR(AP24)-YEAR(AP23))*12+MONTH(AP24)-MONTH(AP23)+1,0)</f>
        <v/>
      </c>
      <c r="AQ25" s="9">
        <f>IF(AQ24&gt;=AQ23,(YEAR(AQ24)-YEAR(AQ23))*12+MONTH(AQ24)-MONTH(AQ23)+1,0)</f>
        <v/>
      </c>
      <c r="AR25" s="9">
        <f>IF(AR24&gt;=AR23,(YEAR(AR24)-YEAR(AR23))*12+MONTH(AR24)-MONTH(AR23)+1,0)</f>
        <v/>
      </c>
      <c r="AS25" s="9">
        <f>IF(AS24&gt;=AS23,(YEAR(AS24)-YEAR(AS23))*12+MONTH(AS24)-MONTH(AS23)+1,0)</f>
        <v/>
      </c>
      <c r="AT25" s="9">
        <f>IF(AT24&gt;=AT23,(YEAR(AT24)-YEAR(AT23))*12+MONTH(AT24)-MONTH(AT23)+1,0)</f>
        <v/>
      </c>
      <c r="AU25" s="9">
        <f>IF(AU24&gt;=AU23,(YEAR(AU24)-YEAR(AU23))*12+MONTH(AU24)-MONTH(AU23)+1,0)</f>
        <v/>
      </c>
      <c r="AV25" s="9">
        <f>IF(AV24&gt;=AV23,(YEAR(AV24)-YEAR(AV23))*12+MONTH(AV24)-MONTH(AV23)+1,0)</f>
        <v/>
      </c>
      <c r="AW25" s="9">
        <f>IF(AW24&gt;=AW23,(YEAR(AW24)-YEAR(AW23))*12+MONTH(AW24)-MONTH(AW23)+1,0)</f>
        <v/>
      </c>
      <c r="AX25" s="9">
        <f>IF(AX24&gt;=AX23,(YEAR(AX24)-YEAR(AX23))*12+MONTH(AX24)-MONTH(AX23)+1,0)</f>
        <v/>
      </c>
      <c r="AY25" s="9">
        <f>IF(AY24&gt;=AY23,(YEAR(AY24)-YEAR(AY23))*12+MONTH(AY24)-MONTH(AY23)+1,0)</f>
        <v/>
      </c>
      <c r="AZ25" s="9">
        <f>IF(AZ24&gt;=AZ23,(YEAR(AZ24)-YEAR(AZ23))*12+MONTH(AZ24)-MONTH(AZ23)+1,0)</f>
        <v/>
      </c>
      <c r="BA25" s="9">
        <f>IF(BA24&gt;=BA23,(YEAR(BA24)-YEAR(BA23))*12+MONTH(BA24)-MONTH(BA23)+1,0)</f>
        <v/>
      </c>
      <c r="BB25" s="9">
        <f>IF(BB24&gt;=BB23,(YEAR(BB24)-YEAR(BB23))*12+MONTH(BB24)-MONTH(BB23)+1,0)</f>
        <v/>
      </c>
      <c r="BC25" s="9">
        <f>IF(BC24&gt;=BC23,(YEAR(BC24)-YEAR(BC23))*12+MONTH(BC24)-MONTH(BC23)+1,0)</f>
        <v/>
      </c>
      <c r="BD25" s="9">
        <f>IF(BD24&gt;=BD23,(YEAR(BD24)-YEAR(BD23))*12+MONTH(BD24)-MONTH(BD23)+1,0)</f>
        <v/>
      </c>
      <c r="BE25" s="9">
        <f>IF(BE24&gt;=BE23,(YEAR(BE24)-YEAR(BE23))*12+MONTH(BE24)-MONTH(BE23)+1,0)</f>
        <v/>
      </c>
      <c r="BF25" s="9">
        <f>IF(BF24&gt;=BF23,(YEAR(BF24)-YEAR(BF23))*12+MONTH(BF24)-MONTH(BF23)+1,0)</f>
        <v/>
      </c>
      <c r="BG25" s="9">
        <f>IF(BG24&gt;=BG23,(YEAR(BG24)-YEAR(BG23))*12+MONTH(BG24)-MONTH(BG23)+1,0)</f>
        <v/>
      </c>
      <c r="BH25" s="9">
        <f>IF(BH24&gt;=BH23,(YEAR(BH24)-YEAR(BH23))*12+MONTH(BH24)-MONTH(BH23)+1,0)</f>
        <v/>
      </c>
      <c r="BI25" s="9">
        <f>IF(BI24&gt;=BI23,(YEAR(BI24)-YEAR(BI23))*12+MONTH(BI24)-MONTH(BI23)+1,0)</f>
        <v/>
      </c>
      <c r="BJ25" s="9">
        <f>IF(BJ24&gt;=BJ23,(YEAR(BJ24)-YEAR(BJ23))*12+MONTH(BJ24)-MONTH(BJ23)+1,0)</f>
        <v/>
      </c>
      <c r="BK25" s="9">
        <f>IF(BK24&gt;=BK23,(YEAR(BK24)-YEAR(BK23))*12+MONTH(BK24)-MONTH(BK23)+1,0)</f>
        <v/>
      </c>
      <c r="BL25" s="9">
        <f>IF(BL24&gt;=BL23,(YEAR(BL24)-YEAR(BL23))*12+MONTH(BL24)-MONTH(BL23)+1,0)</f>
        <v/>
      </c>
      <c r="BM25" s="9">
        <f>IF(BM24&gt;=BM23,(YEAR(BM24)-YEAR(BM23))*12+MONTH(BM24)-MONTH(BM23)+1,0)</f>
        <v/>
      </c>
      <c r="BN25" s="9">
        <f>IF(BN24&gt;=BN23,(YEAR(BN24)-YEAR(BN23))*12+MONTH(BN24)-MONTH(BN23)+1,0)</f>
        <v/>
      </c>
    </row>
    <row r="26">
      <c r="D26" t="inlineStr">
        <is>
          <t>Operating days in period</t>
        </is>
      </c>
      <c r="E26" t="inlineStr">
        <is>
          <t>days</t>
        </is>
      </c>
      <c r="J26" s="9">
        <f>IF(J24&gt;=J23,J24-J23+1,0)</f>
        <v/>
      </c>
      <c r="K26" s="9">
        <f>IF(K24&gt;=K23,K24-K23+1,0)</f>
        <v/>
      </c>
      <c r="L26" s="9">
        <f>IF(L24&gt;=L23,L24-L23+1,0)</f>
        <v/>
      </c>
      <c r="M26" s="9">
        <f>IF(M24&gt;=M23,M24-M23+1,0)</f>
        <v/>
      </c>
      <c r="N26" s="9">
        <f>IF(N24&gt;=N23,N24-N23+1,0)</f>
        <v/>
      </c>
      <c r="O26" s="9">
        <f>IF(O24&gt;=O23,O24-O23+1,0)</f>
        <v/>
      </c>
      <c r="P26" s="9">
        <f>IF(P24&gt;=P23,P24-P23+1,0)</f>
        <v/>
      </c>
      <c r="Q26" s="9">
        <f>IF(Q24&gt;=Q23,Q24-Q23+1,0)</f>
        <v/>
      </c>
      <c r="R26" s="9">
        <f>IF(R24&gt;=R23,R24-R23+1,0)</f>
        <v/>
      </c>
      <c r="S26" s="9">
        <f>IF(S24&gt;=S23,S24-S23+1,0)</f>
        <v/>
      </c>
      <c r="T26" s="9">
        <f>IF(T24&gt;=T23,T24-T23+1,0)</f>
        <v/>
      </c>
      <c r="U26" s="9">
        <f>IF(U24&gt;=U23,U24-U23+1,0)</f>
        <v/>
      </c>
      <c r="V26" s="9">
        <f>IF(V24&gt;=V23,V24-V23+1,0)</f>
        <v/>
      </c>
      <c r="W26" s="9">
        <f>IF(W24&gt;=W23,W24-W23+1,0)</f>
        <v/>
      </c>
      <c r="X26" s="9">
        <f>IF(X24&gt;=X23,X24-X23+1,0)</f>
        <v/>
      </c>
      <c r="Y26" s="9">
        <f>IF(Y24&gt;=Y23,Y24-Y23+1,0)</f>
        <v/>
      </c>
      <c r="Z26" s="9">
        <f>IF(Z24&gt;=Z23,Z24-Z23+1,0)</f>
        <v/>
      </c>
      <c r="AA26" s="9">
        <f>IF(AA24&gt;=AA23,AA24-AA23+1,0)</f>
        <v/>
      </c>
      <c r="AB26" s="9">
        <f>IF(AB24&gt;=AB23,AB24-AB23+1,0)</f>
        <v/>
      </c>
      <c r="AC26" s="9">
        <f>IF(AC24&gt;=AC23,AC24-AC23+1,0)</f>
        <v/>
      </c>
      <c r="AD26" s="9">
        <f>IF(AD24&gt;=AD23,AD24-AD23+1,0)</f>
        <v/>
      </c>
      <c r="AE26" s="9">
        <f>IF(AE24&gt;=AE23,AE24-AE23+1,0)</f>
        <v/>
      </c>
      <c r="AF26" s="9">
        <f>IF(AF24&gt;=AF23,AF24-AF23+1,0)</f>
        <v/>
      </c>
      <c r="AG26" s="9">
        <f>IF(AG24&gt;=AG23,AG24-AG23+1,0)</f>
        <v/>
      </c>
      <c r="AH26" s="9">
        <f>IF(AH24&gt;=AH23,AH24-AH23+1,0)</f>
        <v/>
      </c>
      <c r="AI26" s="9">
        <f>IF(AI24&gt;=AI23,AI24-AI23+1,0)</f>
        <v/>
      </c>
      <c r="AJ26" s="9">
        <f>IF(AJ24&gt;=AJ23,AJ24-AJ23+1,0)</f>
        <v/>
      </c>
      <c r="AK26" s="9">
        <f>IF(AK24&gt;=AK23,AK24-AK23+1,0)</f>
        <v/>
      </c>
      <c r="AL26" s="9">
        <f>IF(AL24&gt;=AL23,AL24-AL23+1,0)</f>
        <v/>
      </c>
      <c r="AM26" s="9">
        <f>IF(AM24&gt;=AM23,AM24-AM23+1,0)</f>
        <v/>
      </c>
      <c r="AN26" s="9">
        <f>IF(AN24&gt;=AN23,AN24-AN23+1,0)</f>
        <v/>
      </c>
      <c r="AO26" s="9">
        <f>IF(AO24&gt;=AO23,AO24-AO23+1,0)</f>
        <v/>
      </c>
      <c r="AP26" s="9">
        <f>IF(AP24&gt;=AP23,AP24-AP23+1,0)</f>
        <v/>
      </c>
      <c r="AQ26" s="9">
        <f>IF(AQ24&gt;=AQ23,AQ24-AQ23+1,0)</f>
        <v/>
      </c>
      <c r="AR26" s="9">
        <f>IF(AR24&gt;=AR23,AR24-AR23+1,0)</f>
        <v/>
      </c>
      <c r="AS26" s="9">
        <f>IF(AS24&gt;=AS23,AS24-AS23+1,0)</f>
        <v/>
      </c>
      <c r="AT26" s="9">
        <f>IF(AT24&gt;=AT23,AT24-AT23+1,0)</f>
        <v/>
      </c>
      <c r="AU26" s="9">
        <f>IF(AU24&gt;=AU23,AU24-AU23+1,0)</f>
        <v/>
      </c>
      <c r="AV26" s="9">
        <f>IF(AV24&gt;=AV23,AV24-AV23+1,0)</f>
        <v/>
      </c>
      <c r="AW26" s="9">
        <f>IF(AW24&gt;=AW23,AW24-AW23+1,0)</f>
        <v/>
      </c>
      <c r="AX26" s="9">
        <f>IF(AX24&gt;=AX23,AX24-AX23+1,0)</f>
        <v/>
      </c>
      <c r="AY26" s="9">
        <f>IF(AY24&gt;=AY23,AY24-AY23+1,0)</f>
        <v/>
      </c>
      <c r="AZ26" s="9">
        <f>IF(AZ24&gt;=AZ23,AZ24-AZ23+1,0)</f>
        <v/>
      </c>
      <c r="BA26" s="9">
        <f>IF(BA24&gt;=BA23,BA24-BA23+1,0)</f>
        <v/>
      </c>
      <c r="BB26" s="9">
        <f>IF(BB24&gt;=BB23,BB24-BB23+1,0)</f>
        <v/>
      </c>
      <c r="BC26" s="9">
        <f>IF(BC24&gt;=BC23,BC24-BC23+1,0)</f>
        <v/>
      </c>
      <c r="BD26" s="9">
        <f>IF(BD24&gt;=BD23,BD24-BD23+1,0)</f>
        <v/>
      </c>
      <c r="BE26" s="9">
        <f>IF(BE24&gt;=BE23,BE24-BE23+1,0)</f>
        <v/>
      </c>
      <c r="BF26" s="9">
        <f>IF(BF24&gt;=BF23,BF24-BF23+1,0)</f>
        <v/>
      </c>
      <c r="BG26" s="9">
        <f>IF(BG24&gt;=BG23,BG24-BG23+1,0)</f>
        <v/>
      </c>
      <c r="BH26" s="9">
        <f>IF(BH24&gt;=BH23,BH24-BH23+1,0)</f>
        <v/>
      </c>
      <c r="BI26" s="9">
        <f>IF(BI24&gt;=BI23,BI24-BI23+1,0)</f>
        <v/>
      </c>
      <c r="BJ26" s="9">
        <f>IF(BJ24&gt;=BJ23,BJ24-BJ23+1,0)</f>
        <v/>
      </c>
      <c r="BK26" s="9">
        <f>IF(BK24&gt;=BK23,BK24-BK23+1,0)</f>
        <v/>
      </c>
      <c r="BL26" s="9">
        <f>IF(BL24&gt;=BL23,BL24-BL23+1,0)</f>
        <v/>
      </c>
      <c r="BM26" s="9">
        <f>IF(BM24&gt;=BM23,BM24-BM23+1,0)</f>
        <v/>
      </c>
      <c r="BN26" s="9">
        <f>IF(BN24&gt;=BN23,BN24-BN23+1,0)</f>
        <v/>
      </c>
    </row>
    <row r="27">
      <c r="D27" t="inlineStr">
        <is>
          <t>Operating months elapsed at period start</t>
        </is>
      </c>
      <c r="E27" t="inlineStr">
        <is>
          <t>months</t>
        </is>
      </c>
      <c r="J27" s="9">
        <f>MIN(MAX((YEAR(J18)-YEAR($F$8))*12+MONTH(J18)-MONTH($F$8),0),300)</f>
        <v/>
      </c>
      <c r="K27" s="9">
        <f>MIN(MAX((YEAR(K18)-YEAR($F$8))*12+MONTH(K18)-MONTH($F$8),0),300)</f>
        <v/>
      </c>
      <c r="L27" s="9">
        <f>MIN(MAX((YEAR(L18)-YEAR($F$8))*12+MONTH(L18)-MONTH($F$8),0),300)</f>
        <v/>
      </c>
      <c r="M27" s="9">
        <f>MIN(MAX((YEAR(M18)-YEAR($F$8))*12+MONTH(M18)-MONTH($F$8),0),300)</f>
        <v/>
      </c>
      <c r="N27" s="9">
        <f>MIN(MAX((YEAR(N18)-YEAR($F$8))*12+MONTH(N18)-MONTH($F$8),0),300)</f>
        <v/>
      </c>
      <c r="O27" s="9">
        <f>MIN(MAX((YEAR(O18)-YEAR($F$8))*12+MONTH(O18)-MONTH($F$8),0),300)</f>
        <v/>
      </c>
      <c r="P27" s="9">
        <f>MIN(MAX((YEAR(P18)-YEAR($F$8))*12+MONTH(P18)-MONTH($F$8),0),300)</f>
        <v/>
      </c>
      <c r="Q27" s="9">
        <f>MIN(MAX((YEAR(Q18)-YEAR($F$8))*12+MONTH(Q18)-MONTH($F$8),0),300)</f>
        <v/>
      </c>
      <c r="R27" s="9">
        <f>MIN(MAX((YEAR(R18)-YEAR($F$8))*12+MONTH(R18)-MONTH($F$8),0),300)</f>
        <v/>
      </c>
      <c r="S27" s="9">
        <f>MIN(MAX((YEAR(S18)-YEAR($F$8))*12+MONTH(S18)-MONTH($F$8),0),300)</f>
        <v/>
      </c>
      <c r="T27" s="9">
        <f>MIN(MAX((YEAR(T18)-YEAR($F$8))*12+MONTH(T18)-MONTH($F$8),0),300)</f>
        <v/>
      </c>
      <c r="U27" s="9">
        <f>MIN(MAX((YEAR(U18)-YEAR($F$8))*12+MONTH(U18)-MONTH($F$8),0),300)</f>
        <v/>
      </c>
      <c r="V27" s="9">
        <f>MIN(MAX((YEAR(V18)-YEAR($F$8))*12+MONTH(V18)-MONTH($F$8),0),300)</f>
        <v/>
      </c>
      <c r="W27" s="9">
        <f>MIN(MAX((YEAR(W18)-YEAR($F$8))*12+MONTH(W18)-MONTH($F$8),0),300)</f>
        <v/>
      </c>
      <c r="X27" s="9">
        <f>MIN(MAX((YEAR(X18)-YEAR($F$8))*12+MONTH(X18)-MONTH($F$8),0),300)</f>
        <v/>
      </c>
      <c r="Y27" s="9">
        <f>MIN(MAX((YEAR(Y18)-YEAR($F$8))*12+MONTH(Y18)-MONTH($F$8),0),300)</f>
        <v/>
      </c>
      <c r="Z27" s="9">
        <f>MIN(MAX((YEAR(Z18)-YEAR($F$8))*12+MONTH(Z18)-MONTH($F$8),0),300)</f>
        <v/>
      </c>
      <c r="AA27" s="9">
        <f>MIN(MAX((YEAR(AA18)-YEAR($F$8))*12+MONTH(AA18)-MONTH($F$8),0),300)</f>
        <v/>
      </c>
      <c r="AB27" s="9">
        <f>MIN(MAX((YEAR(AB18)-YEAR($F$8))*12+MONTH(AB18)-MONTH($F$8),0),300)</f>
        <v/>
      </c>
      <c r="AC27" s="9">
        <f>MIN(MAX((YEAR(AC18)-YEAR($F$8))*12+MONTH(AC18)-MONTH($F$8),0),300)</f>
        <v/>
      </c>
      <c r="AD27" s="9">
        <f>MIN(MAX((YEAR(AD18)-YEAR($F$8))*12+MONTH(AD18)-MONTH($F$8),0),300)</f>
        <v/>
      </c>
      <c r="AE27" s="9">
        <f>MIN(MAX((YEAR(AE18)-YEAR($F$8))*12+MONTH(AE18)-MONTH($F$8),0),300)</f>
        <v/>
      </c>
      <c r="AF27" s="9">
        <f>MIN(MAX((YEAR(AF18)-YEAR($F$8))*12+MONTH(AF18)-MONTH($F$8),0),300)</f>
        <v/>
      </c>
      <c r="AG27" s="9">
        <f>MIN(MAX((YEAR(AG18)-YEAR($F$8))*12+MONTH(AG18)-MONTH($F$8),0),300)</f>
        <v/>
      </c>
      <c r="AH27" s="9">
        <f>MIN(MAX((YEAR(AH18)-YEAR($F$8))*12+MONTH(AH18)-MONTH($F$8),0),300)</f>
        <v/>
      </c>
      <c r="AI27" s="9">
        <f>MIN(MAX((YEAR(AI18)-YEAR($F$8))*12+MONTH(AI18)-MONTH($F$8),0),300)</f>
        <v/>
      </c>
      <c r="AJ27" s="9">
        <f>MIN(MAX((YEAR(AJ18)-YEAR($F$8))*12+MONTH(AJ18)-MONTH($F$8),0),300)</f>
        <v/>
      </c>
      <c r="AK27" s="9">
        <f>MIN(MAX((YEAR(AK18)-YEAR($F$8))*12+MONTH(AK18)-MONTH($F$8),0),300)</f>
        <v/>
      </c>
      <c r="AL27" s="9">
        <f>MIN(MAX((YEAR(AL18)-YEAR($F$8))*12+MONTH(AL18)-MONTH($F$8),0),300)</f>
        <v/>
      </c>
      <c r="AM27" s="9">
        <f>MIN(MAX((YEAR(AM18)-YEAR($F$8))*12+MONTH(AM18)-MONTH($F$8),0),300)</f>
        <v/>
      </c>
      <c r="AN27" s="9">
        <f>MIN(MAX((YEAR(AN18)-YEAR($F$8))*12+MONTH(AN18)-MONTH($F$8),0),300)</f>
        <v/>
      </c>
      <c r="AO27" s="9">
        <f>MIN(MAX((YEAR(AO18)-YEAR($F$8))*12+MONTH(AO18)-MONTH($F$8),0),300)</f>
        <v/>
      </c>
      <c r="AP27" s="9">
        <f>MIN(MAX((YEAR(AP18)-YEAR($F$8))*12+MONTH(AP18)-MONTH($F$8),0),300)</f>
        <v/>
      </c>
      <c r="AQ27" s="9">
        <f>MIN(MAX((YEAR(AQ18)-YEAR($F$8))*12+MONTH(AQ18)-MONTH($F$8),0),300)</f>
        <v/>
      </c>
      <c r="AR27" s="9">
        <f>MIN(MAX((YEAR(AR18)-YEAR($F$8))*12+MONTH(AR18)-MONTH($F$8),0),300)</f>
        <v/>
      </c>
      <c r="AS27" s="9">
        <f>MIN(MAX((YEAR(AS18)-YEAR($F$8))*12+MONTH(AS18)-MONTH($F$8),0),300)</f>
        <v/>
      </c>
      <c r="AT27" s="9">
        <f>MIN(MAX((YEAR(AT18)-YEAR($F$8))*12+MONTH(AT18)-MONTH($F$8),0),300)</f>
        <v/>
      </c>
      <c r="AU27" s="9">
        <f>MIN(MAX((YEAR(AU18)-YEAR($F$8))*12+MONTH(AU18)-MONTH($F$8),0),300)</f>
        <v/>
      </c>
      <c r="AV27" s="9">
        <f>MIN(MAX((YEAR(AV18)-YEAR($F$8))*12+MONTH(AV18)-MONTH($F$8),0),300)</f>
        <v/>
      </c>
      <c r="AW27" s="9">
        <f>MIN(MAX((YEAR(AW18)-YEAR($F$8))*12+MONTH(AW18)-MONTH($F$8),0),300)</f>
        <v/>
      </c>
      <c r="AX27" s="9">
        <f>MIN(MAX((YEAR(AX18)-YEAR($F$8))*12+MONTH(AX18)-MONTH($F$8),0),300)</f>
        <v/>
      </c>
      <c r="AY27" s="9">
        <f>MIN(MAX((YEAR(AY18)-YEAR($F$8))*12+MONTH(AY18)-MONTH($F$8),0),300)</f>
        <v/>
      </c>
      <c r="AZ27" s="9">
        <f>MIN(MAX((YEAR(AZ18)-YEAR($F$8))*12+MONTH(AZ18)-MONTH($F$8),0),300)</f>
        <v/>
      </c>
      <c r="BA27" s="9">
        <f>MIN(MAX((YEAR(BA18)-YEAR($F$8))*12+MONTH(BA18)-MONTH($F$8),0),300)</f>
        <v/>
      </c>
      <c r="BB27" s="9">
        <f>MIN(MAX((YEAR(BB18)-YEAR($F$8))*12+MONTH(BB18)-MONTH($F$8),0),300)</f>
        <v/>
      </c>
      <c r="BC27" s="9">
        <f>MIN(MAX((YEAR(BC18)-YEAR($F$8))*12+MONTH(BC18)-MONTH($F$8),0),300)</f>
        <v/>
      </c>
      <c r="BD27" s="9">
        <f>MIN(MAX((YEAR(BD18)-YEAR($F$8))*12+MONTH(BD18)-MONTH($F$8),0),300)</f>
        <v/>
      </c>
      <c r="BE27" s="9">
        <f>MIN(MAX((YEAR(BE18)-YEAR($F$8))*12+MONTH(BE18)-MONTH($F$8),0),300)</f>
        <v/>
      </c>
      <c r="BF27" s="9">
        <f>MIN(MAX((YEAR(BF18)-YEAR($F$8))*12+MONTH(BF18)-MONTH($F$8),0),300)</f>
        <v/>
      </c>
      <c r="BG27" s="9">
        <f>MIN(MAX((YEAR(BG18)-YEAR($F$8))*12+MONTH(BG18)-MONTH($F$8),0),300)</f>
        <v/>
      </c>
      <c r="BH27" s="9">
        <f>MIN(MAX((YEAR(BH18)-YEAR($F$8))*12+MONTH(BH18)-MONTH($F$8),0),300)</f>
        <v/>
      </c>
      <c r="BI27" s="9">
        <f>MIN(MAX((YEAR(BI18)-YEAR($F$8))*12+MONTH(BI18)-MONTH($F$8),0),300)</f>
        <v/>
      </c>
      <c r="BJ27" s="9">
        <f>MIN(MAX((YEAR(BJ18)-YEAR($F$8))*12+MONTH(BJ18)-MONTH($F$8),0),300)</f>
        <v/>
      </c>
      <c r="BK27" s="9">
        <f>MIN(MAX((YEAR(BK18)-YEAR($F$8))*12+MONTH(BK18)-MONTH($F$8),0),300)</f>
        <v/>
      </c>
      <c r="BL27" s="9">
        <f>MIN(MAX((YEAR(BL18)-YEAR($F$8))*12+MONTH(BL18)-MONTH($F$8),0),300)</f>
        <v/>
      </c>
      <c r="BM27" s="9">
        <f>MIN(MAX((YEAR(BM18)-YEAR($F$8))*12+MONTH(BM18)-MONTH($F$8),0),300)</f>
        <v/>
      </c>
      <c r="BN27" s="9">
        <f>MIN(MAX((YEAR(BN18)-YEAR($F$8))*12+MONTH(BN18)-MONTH($F$8),0),300)</f>
        <v/>
      </c>
    </row>
    <row r="28">
      <c r="D28" t="inlineStr">
        <is>
          <t>Operating months elapsed at period end</t>
        </is>
      </c>
      <c r="E28" t="inlineStr">
        <is>
          <t>months</t>
        </is>
      </c>
      <c r="J28" s="9">
        <f>J27+J25</f>
        <v/>
      </c>
      <c r="K28" s="9">
        <f>K27+K25</f>
        <v/>
      </c>
      <c r="L28" s="9">
        <f>L27+L25</f>
        <v/>
      </c>
      <c r="M28" s="9">
        <f>M27+M25</f>
        <v/>
      </c>
      <c r="N28" s="9">
        <f>N27+N25</f>
        <v/>
      </c>
      <c r="O28" s="9">
        <f>O27+O25</f>
        <v/>
      </c>
      <c r="P28" s="9">
        <f>P27+P25</f>
        <v/>
      </c>
      <c r="Q28" s="9">
        <f>Q27+Q25</f>
        <v/>
      </c>
      <c r="R28" s="9">
        <f>R27+R25</f>
        <v/>
      </c>
      <c r="S28" s="9">
        <f>S27+S25</f>
        <v/>
      </c>
      <c r="T28" s="9">
        <f>T27+T25</f>
        <v/>
      </c>
      <c r="U28" s="9">
        <f>U27+U25</f>
        <v/>
      </c>
      <c r="V28" s="9">
        <f>V27+V25</f>
        <v/>
      </c>
      <c r="W28" s="9">
        <f>W27+W25</f>
        <v/>
      </c>
      <c r="X28" s="9">
        <f>X27+X25</f>
        <v/>
      </c>
      <c r="Y28" s="9">
        <f>Y27+Y25</f>
        <v/>
      </c>
      <c r="Z28" s="9">
        <f>Z27+Z25</f>
        <v/>
      </c>
      <c r="AA28" s="9">
        <f>AA27+AA25</f>
        <v/>
      </c>
      <c r="AB28" s="9">
        <f>AB27+AB25</f>
        <v/>
      </c>
      <c r="AC28" s="9">
        <f>AC27+AC25</f>
        <v/>
      </c>
      <c r="AD28" s="9">
        <f>AD27+AD25</f>
        <v/>
      </c>
      <c r="AE28" s="9">
        <f>AE27+AE25</f>
        <v/>
      </c>
      <c r="AF28" s="9">
        <f>AF27+AF25</f>
        <v/>
      </c>
      <c r="AG28" s="9">
        <f>AG27+AG25</f>
        <v/>
      </c>
      <c r="AH28" s="9">
        <f>AH27+AH25</f>
        <v/>
      </c>
      <c r="AI28" s="9">
        <f>AI27+AI25</f>
        <v/>
      </c>
      <c r="AJ28" s="9">
        <f>AJ27+AJ25</f>
        <v/>
      </c>
      <c r="AK28" s="9">
        <f>AK27+AK25</f>
        <v/>
      </c>
      <c r="AL28" s="9">
        <f>AL27+AL25</f>
        <v/>
      </c>
      <c r="AM28" s="9">
        <f>AM27+AM25</f>
        <v/>
      </c>
      <c r="AN28" s="9">
        <f>AN27+AN25</f>
        <v/>
      </c>
      <c r="AO28" s="9">
        <f>AO27+AO25</f>
        <v/>
      </c>
      <c r="AP28" s="9">
        <f>AP27+AP25</f>
        <v/>
      </c>
      <c r="AQ28" s="9">
        <f>AQ27+AQ25</f>
        <v/>
      </c>
      <c r="AR28" s="9">
        <f>AR27+AR25</f>
        <v/>
      </c>
      <c r="AS28" s="9">
        <f>AS27+AS25</f>
        <v/>
      </c>
      <c r="AT28" s="9">
        <f>AT27+AT25</f>
        <v/>
      </c>
      <c r="AU28" s="9">
        <f>AU27+AU25</f>
        <v/>
      </c>
      <c r="AV28" s="9">
        <f>AV27+AV25</f>
        <v/>
      </c>
      <c r="AW28" s="9">
        <f>AW27+AW25</f>
        <v/>
      </c>
      <c r="AX28" s="9">
        <f>AX27+AX25</f>
        <v/>
      </c>
      <c r="AY28" s="9">
        <f>AY27+AY25</f>
        <v/>
      </c>
      <c r="AZ28" s="9">
        <f>AZ27+AZ25</f>
        <v/>
      </c>
      <c r="BA28" s="9">
        <f>BA27+BA25</f>
        <v/>
      </c>
      <c r="BB28" s="9">
        <f>BB27+BB25</f>
        <v/>
      </c>
      <c r="BC28" s="9">
        <f>BC27+BC25</f>
        <v/>
      </c>
      <c r="BD28" s="9">
        <f>BD27+BD25</f>
        <v/>
      </c>
      <c r="BE28" s="9">
        <f>BE27+BE25</f>
        <v/>
      </c>
      <c r="BF28" s="9">
        <f>BF27+BF25</f>
        <v/>
      </c>
      <c r="BG28" s="9">
        <f>BG27+BG25</f>
        <v/>
      </c>
      <c r="BH28" s="9">
        <f>BH27+BH25</f>
        <v/>
      </c>
      <c r="BI28" s="9">
        <f>BI27+BI25</f>
        <v/>
      </c>
      <c r="BJ28" s="9">
        <f>BJ27+BJ25</f>
        <v/>
      </c>
      <c r="BK28" s="9">
        <f>BK27+BK25</f>
        <v/>
      </c>
      <c r="BL28" s="9">
        <f>BL27+BL25</f>
        <v/>
      </c>
      <c r="BM28" s="9">
        <f>BM27+BM25</f>
        <v/>
      </c>
      <c r="BN28" s="9">
        <f>BN27+BN25</f>
        <v/>
      </c>
    </row>
    <row r="29">
      <c r="D29" t="inlineStr">
        <is>
          <t>Flag_CODPeriod</t>
        </is>
      </c>
      <c r="E29" t="inlineStr">
        <is>
          <t>flag</t>
        </is>
      </c>
      <c r="J29" s="9">
        <f>IF(J17=$F$11,1,0)</f>
        <v/>
      </c>
      <c r="K29" s="9">
        <f>IF(K17=$F$11,1,0)</f>
        <v/>
      </c>
      <c r="L29" s="9">
        <f>IF(L17=$F$11,1,0)</f>
        <v/>
      </c>
      <c r="M29" s="9">
        <f>IF(M17=$F$11,1,0)</f>
        <v/>
      </c>
      <c r="N29" s="9">
        <f>IF(N17=$F$11,1,0)</f>
        <v/>
      </c>
      <c r="O29" s="9">
        <f>IF(O17=$F$11,1,0)</f>
        <v/>
      </c>
      <c r="P29" s="9">
        <f>IF(P17=$F$11,1,0)</f>
        <v/>
      </c>
      <c r="Q29" s="9">
        <f>IF(Q17=$F$11,1,0)</f>
        <v/>
      </c>
      <c r="R29" s="9">
        <f>IF(R17=$F$11,1,0)</f>
        <v/>
      </c>
      <c r="S29" s="9">
        <f>IF(S17=$F$11,1,0)</f>
        <v/>
      </c>
      <c r="T29" s="9">
        <f>IF(T17=$F$11,1,0)</f>
        <v/>
      </c>
      <c r="U29" s="9">
        <f>IF(U17=$F$11,1,0)</f>
        <v/>
      </c>
      <c r="V29" s="9">
        <f>IF(V17=$F$11,1,0)</f>
        <v/>
      </c>
      <c r="W29" s="9">
        <f>IF(W17=$F$11,1,0)</f>
        <v/>
      </c>
      <c r="X29" s="9">
        <f>IF(X17=$F$11,1,0)</f>
        <v/>
      </c>
      <c r="Y29" s="9">
        <f>IF(Y17=$F$11,1,0)</f>
        <v/>
      </c>
      <c r="Z29" s="9">
        <f>IF(Z17=$F$11,1,0)</f>
        <v/>
      </c>
      <c r="AA29" s="9">
        <f>IF(AA17=$F$11,1,0)</f>
        <v/>
      </c>
      <c r="AB29" s="9">
        <f>IF(AB17=$F$11,1,0)</f>
        <v/>
      </c>
      <c r="AC29" s="9">
        <f>IF(AC17=$F$11,1,0)</f>
        <v/>
      </c>
      <c r="AD29" s="9">
        <f>IF(AD17=$F$11,1,0)</f>
        <v/>
      </c>
      <c r="AE29" s="9">
        <f>IF(AE17=$F$11,1,0)</f>
        <v/>
      </c>
      <c r="AF29" s="9">
        <f>IF(AF17=$F$11,1,0)</f>
        <v/>
      </c>
      <c r="AG29" s="9">
        <f>IF(AG17=$F$11,1,0)</f>
        <v/>
      </c>
      <c r="AH29" s="9">
        <f>IF(AH17=$F$11,1,0)</f>
        <v/>
      </c>
      <c r="AI29" s="9">
        <f>IF(AI17=$F$11,1,0)</f>
        <v/>
      </c>
      <c r="AJ29" s="9">
        <f>IF(AJ17=$F$11,1,0)</f>
        <v/>
      </c>
      <c r="AK29" s="9">
        <f>IF(AK17=$F$11,1,0)</f>
        <v/>
      </c>
      <c r="AL29" s="9">
        <f>IF(AL17=$F$11,1,0)</f>
        <v/>
      </c>
      <c r="AM29" s="9">
        <f>IF(AM17=$F$11,1,0)</f>
        <v/>
      </c>
      <c r="AN29" s="9">
        <f>IF(AN17=$F$11,1,0)</f>
        <v/>
      </c>
      <c r="AO29" s="9">
        <f>IF(AO17=$F$11,1,0)</f>
        <v/>
      </c>
      <c r="AP29" s="9">
        <f>IF(AP17=$F$11,1,0)</f>
        <v/>
      </c>
      <c r="AQ29" s="9">
        <f>IF(AQ17=$F$11,1,0)</f>
        <v/>
      </c>
      <c r="AR29" s="9">
        <f>IF(AR17=$F$11,1,0)</f>
        <v/>
      </c>
      <c r="AS29" s="9">
        <f>IF(AS17=$F$11,1,0)</f>
        <v/>
      </c>
      <c r="AT29" s="9">
        <f>IF(AT17=$F$11,1,0)</f>
        <v/>
      </c>
      <c r="AU29" s="9">
        <f>IF(AU17=$F$11,1,0)</f>
        <v/>
      </c>
      <c r="AV29" s="9">
        <f>IF(AV17=$F$11,1,0)</f>
        <v/>
      </c>
      <c r="AW29" s="9">
        <f>IF(AW17=$F$11,1,0)</f>
        <v/>
      </c>
      <c r="AX29" s="9">
        <f>IF(AX17=$F$11,1,0)</f>
        <v/>
      </c>
      <c r="AY29" s="9">
        <f>IF(AY17=$F$11,1,0)</f>
        <v/>
      </c>
      <c r="AZ29" s="9">
        <f>IF(AZ17=$F$11,1,0)</f>
        <v/>
      </c>
      <c r="BA29" s="9">
        <f>IF(BA17=$F$11,1,0)</f>
        <v/>
      </c>
      <c r="BB29" s="9">
        <f>IF(BB17=$F$11,1,0)</f>
        <v/>
      </c>
      <c r="BC29" s="9">
        <f>IF(BC17=$F$11,1,0)</f>
        <v/>
      </c>
      <c r="BD29" s="9">
        <f>IF(BD17=$F$11,1,0)</f>
        <v/>
      </c>
      <c r="BE29" s="9">
        <f>IF(BE17=$F$11,1,0)</f>
        <v/>
      </c>
      <c r="BF29" s="9">
        <f>IF(BF17=$F$11,1,0)</f>
        <v/>
      </c>
      <c r="BG29" s="9">
        <f>IF(BG17=$F$11,1,0)</f>
        <v/>
      </c>
      <c r="BH29" s="9">
        <f>IF(BH17=$F$11,1,0)</f>
        <v/>
      </c>
      <c r="BI29" s="9">
        <f>IF(BI17=$F$11,1,0)</f>
        <v/>
      </c>
      <c r="BJ29" s="9">
        <f>IF(BJ17=$F$11,1,0)</f>
        <v/>
      </c>
      <c r="BK29" s="9">
        <f>IF(BK17=$F$11,1,0)</f>
        <v/>
      </c>
      <c r="BL29" s="9">
        <f>IF(BL17=$F$11,1,0)</f>
        <v/>
      </c>
      <c r="BM29" s="9">
        <f>IF(BM17=$F$11,1,0)</f>
        <v/>
      </c>
      <c r="BN29" s="9">
        <f>IF(BN17=$F$11,1,0)</f>
        <v/>
      </c>
    </row>
    <row r="30">
      <c r="D30" t="inlineStr">
        <is>
          <t>Flag_DebtService (after COD period)</t>
        </is>
      </c>
      <c r="E30" t="inlineStr">
        <is>
          <t>flag</t>
        </is>
      </c>
      <c r="J30" s="9">
        <f>IF(J17&gt;$F$11,1,0)</f>
        <v/>
      </c>
      <c r="K30" s="9">
        <f>IF(K17&gt;$F$11,1,0)</f>
        <v/>
      </c>
      <c r="L30" s="9">
        <f>IF(L17&gt;$F$11,1,0)</f>
        <v/>
      </c>
      <c r="M30" s="9">
        <f>IF(M17&gt;$F$11,1,0)</f>
        <v/>
      </c>
      <c r="N30" s="9">
        <f>IF(N17&gt;$F$11,1,0)</f>
        <v/>
      </c>
      <c r="O30" s="9">
        <f>IF(O17&gt;$F$11,1,0)</f>
        <v/>
      </c>
      <c r="P30" s="9">
        <f>IF(P17&gt;$F$11,1,0)</f>
        <v/>
      </c>
      <c r="Q30" s="9">
        <f>IF(Q17&gt;$F$11,1,0)</f>
        <v/>
      </c>
      <c r="R30" s="9">
        <f>IF(R17&gt;$F$11,1,0)</f>
        <v/>
      </c>
      <c r="S30" s="9">
        <f>IF(S17&gt;$F$11,1,0)</f>
        <v/>
      </c>
      <c r="T30" s="9">
        <f>IF(T17&gt;$F$11,1,0)</f>
        <v/>
      </c>
      <c r="U30" s="9">
        <f>IF(U17&gt;$F$11,1,0)</f>
        <v/>
      </c>
      <c r="V30" s="9">
        <f>IF(V17&gt;$F$11,1,0)</f>
        <v/>
      </c>
      <c r="W30" s="9">
        <f>IF(W17&gt;$F$11,1,0)</f>
        <v/>
      </c>
      <c r="X30" s="9">
        <f>IF(X17&gt;$F$11,1,0)</f>
        <v/>
      </c>
      <c r="Y30" s="9">
        <f>IF(Y17&gt;$F$11,1,0)</f>
        <v/>
      </c>
      <c r="Z30" s="9">
        <f>IF(Z17&gt;$F$11,1,0)</f>
        <v/>
      </c>
      <c r="AA30" s="9">
        <f>IF(AA17&gt;$F$11,1,0)</f>
        <v/>
      </c>
      <c r="AB30" s="9">
        <f>IF(AB17&gt;$F$11,1,0)</f>
        <v/>
      </c>
      <c r="AC30" s="9">
        <f>IF(AC17&gt;$F$11,1,0)</f>
        <v/>
      </c>
      <c r="AD30" s="9">
        <f>IF(AD17&gt;$F$11,1,0)</f>
        <v/>
      </c>
      <c r="AE30" s="9">
        <f>IF(AE17&gt;$F$11,1,0)</f>
        <v/>
      </c>
      <c r="AF30" s="9">
        <f>IF(AF17&gt;$F$11,1,0)</f>
        <v/>
      </c>
      <c r="AG30" s="9">
        <f>IF(AG17&gt;$F$11,1,0)</f>
        <v/>
      </c>
      <c r="AH30" s="9">
        <f>IF(AH17&gt;$F$11,1,0)</f>
        <v/>
      </c>
      <c r="AI30" s="9">
        <f>IF(AI17&gt;$F$11,1,0)</f>
        <v/>
      </c>
      <c r="AJ30" s="9">
        <f>IF(AJ17&gt;$F$11,1,0)</f>
        <v/>
      </c>
      <c r="AK30" s="9">
        <f>IF(AK17&gt;$F$11,1,0)</f>
        <v/>
      </c>
      <c r="AL30" s="9">
        <f>IF(AL17&gt;$F$11,1,0)</f>
        <v/>
      </c>
      <c r="AM30" s="9">
        <f>IF(AM17&gt;$F$11,1,0)</f>
        <v/>
      </c>
      <c r="AN30" s="9">
        <f>IF(AN17&gt;$F$11,1,0)</f>
        <v/>
      </c>
      <c r="AO30" s="9">
        <f>IF(AO17&gt;$F$11,1,0)</f>
        <v/>
      </c>
      <c r="AP30" s="9">
        <f>IF(AP17&gt;$F$11,1,0)</f>
        <v/>
      </c>
      <c r="AQ30" s="9">
        <f>IF(AQ17&gt;$F$11,1,0)</f>
        <v/>
      </c>
      <c r="AR30" s="9">
        <f>IF(AR17&gt;$F$11,1,0)</f>
        <v/>
      </c>
      <c r="AS30" s="9">
        <f>IF(AS17&gt;$F$11,1,0)</f>
        <v/>
      </c>
      <c r="AT30" s="9">
        <f>IF(AT17&gt;$F$11,1,0)</f>
        <v/>
      </c>
      <c r="AU30" s="9">
        <f>IF(AU17&gt;$F$11,1,0)</f>
        <v/>
      </c>
      <c r="AV30" s="9">
        <f>IF(AV17&gt;$F$11,1,0)</f>
        <v/>
      </c>
      <c r="AW30" s="9">
        <f>IF(AW17&gt;$F$11,1,0)</f>
        <v/>
      </c>
      <c r="AX30" s="9">
        <f>IF(AX17&gt;$F$11,1,0)</f>
        <v/>
      </c>
      <c r="AY30" s="9">
        <f>IF(AY17&gt;$F$11,1,0)</f>
        <v/>
      </c>
      <c r="AZ30" s="9">
        <f>IF(AZ17&gt;$F$11,1,0)</f>
        <v/>
      </c>
      <c r="BA30" s="9">
        <f>IF(BA17&gt;$F$11,1,0)</f>
        <v/>
      </c>
      <c r="BB30" s="9">
        <f>IF(BB17&gt;$F$11,1,0)</f>
        <v/>
      </c>
      <c r="BC30" s="9">
        <f>IF(BC17&gt;$F$11,1,0)</f>
        <v/>
      </c>
      <c r="BD30" s="9">
        <f>IF(BD17&gt;$F$11,1,0)</f>
        <v/>
      </c>
      <c r="BE30" s="9">
        <f>IF(BE17&gt;$F$11,1,0)</f>
        <v/>
      </c>
      <c r="BF30" s="9">
        <f>IF(BF17&gt;$F$11,1,0)</f>
        <v/>
      </c>
      <c r="BG30" s="9">
        <f>IF(BG17&gt;$F$11,1,0)</f>
        <v/>
      </c>
      <c r="BH30" s="9">
        <f>IF(BH17&gt;$F$11,1,0)</f>
        <v/>
      </c>
      <c r="BI30" s="9">
        <f>IF(BI17&gt;$F$11,1,0)</f>
        <v/>
      </c>
      <c r="BJ30" s="9">
        <f>IF(BJ17&gt;$F$11,1,0)</f>
        <v/>
      </c>
      <c r="BK30" s="9">
        <f>IF(BK17&gt;$F$11,1,0)</f>
        <v/>
      </c>
      <c r="BL30" s="9">
        <f>IF(BL17&gt;$F$11,1,0)</f>
        <v/>
      </c>
      <c r="BM30" s="9">
        <f>IF(BM17&gt;$F$11,1,0)</f>
        <v/>
      </c>
      <c r="BN30" s="9">
        <f>IF(BN17&gt;$F$11,1,0)</f>
        <v/>
      </c>
    </row>
    <row r="31">
      <c r="D31" t="inlineStr">
        <is>
          <t>Flag_Operations</t>
        </is>
      </c>
      <c r="E31" t="inlineStr">
        <is>
          <t>flag</t>
        </is>
      </c>
      <c r="J31" s="9">
        <f>IF(J25&gt;0,1,0)</f>
        <v/>
      </c>
      <c r="K31" s="9">
        <f>IF(K25&gt;0,1,0)</f>
        <v/>
      </c>
      <c r="L31" s="9">
        <f>IF(L25&gt;0,1,0)</f>
        <v/>
      </c>
      <c r="M31" s="9">
        <f>IF(M25&gt;0,1,0)</f>
        <v/>
      </c>
      <c r="N31" s="9">
        <f>IF(N25&gt;0,1,0)</f>
        <v/>
      </c>
      <c r="O31" s="9">
        <f>IF(O25&gt;0,1,0)</f>
        <v/>
      </c>
      <c r="P31" s="9">
        <f>IF(P25&gt;0,1,0)</f>
        <v/>
      </c>
      <c r="Q31" s="9">
        <f>IF(Q25&gt;0,1,0)</f>
        <v/>
      </c>
      <c r="R31" s="9">
        <f>IF(R25&gt;0,1,0)</f>
        <v/>
      </c>
      <c r="S31" s="9">
        <f>IF(S25&gt;0,1,0)</f>
        <v/>
      </c>
      <c r="T31" s="9">
        <f>IF(T25&gt;0,1,0)</f>
        <v/>
      </c>
      <c r="U31" s="9">
        <f>IF(U25&gt;0,1,0)</f>
        <v/>
      </c>
      <c r="V31" s="9">
        <f>IF(V25&gt;0,1,0)</f>
        <v/>
      </c>
      <c r="W31" s="9">
        <f>IF(W25&gt;0,1,0)</f>
        <v/>
      </c>
      <c r="X31" s="9">
        <f>IF(X25&gt;0,1,0)</f>
        <v/>
      </c>
      <c r="Y31" s="9">
        <f>IF(Y25&gt;0,1,0)</f>
        <v/>
      </c>
      <c r="Z31" s="9">
        <f>IF(Z25&gt;0,1,0)</f>
        <v/>
      </c>
      <c r="AA31" s="9">
        <f>IF(AA25&gt;0,1,0)</f>
        <v/>
      </c>
      <c r="AB31" s="9">
        <f>IF(AB25&gt;0,1,0)</f>
        <v/>
      </c>
      <c r="AC31" s="9">
        <f>IF(AC25&gt;0,1,0)</f>
        <v/>
      </c>
      <c r="AD31" s="9">
        <f>IF(AD25&gt;0,1,0)</f>
        <v/>
      </c>
      <c r="AE31" s="9">
        <f>IF(AE25&gt;0,1,0)</f>
        <v/>
      </c>
      <c r="AF31" s="9">
        <f>IF(AF25&gt;0,1,0)</f>
        <v/>
      </c>
      <c r="AG31" s="9">
        <f>IF(AG25&gt;0,1,0)</f>
        <v/>
      </c>
      <c r="AH31" s="9">
        <f>IF(AH25&gt;0,1,0)</f>
        <v/>
      </c>
      <c r="AI31" s="9">
        <f>IF(AI25&gt;0,1,0)</f>
        <v/>
      </c>
      <c r="AJ31" s="9">
        <f>IF(AJ25&gt;0,1,0)</f>
        <v/>
      </c>
      <c r="AK31" s="9">
        <f>IF(AK25&gt;0,1,0)</f>
        <v/>
      </c>
      <c r="AL31" s="9">
        <f>IF(AL25&gt;0,1,0)</f>
        <v/>
      </c>
      <c r="AM31" s="9">
        <f>IF(AM25&gt;0,1,0)</f>
        <v/>
      </c>
      <c r="AN31" s="9">
        <f>IF(AN25&gt;0,1,0)</f>
        <v/>
      </c>
      <c r="AO31" s="9">
        <f>IF(AO25&gt;0,1,0)</f>
        <v/>
      </c>
      <c r="AP31" s="9">
        <f>IF(AP25&gt;0,1,0)</f>
        <v/>
      </c>
      <c r="AQ31" s="9">
        <f>IF(AQ25&gt;0,1,0)</f>
        <v/>
      </c>
      <c r="AR31" s="9">
        <f>IF(AR25&gt;0,1,0)</f>
        <v/>
      </c>
      <c r="AS31" s="9">
        <f>IF(AS25&gt;0,1,0)</f>
        <v/>
      </c>
      <c r="AT31" s="9">
        <f>IF(AT25&gt;0,1,0)</f>
        <v/>
      </c>
      <c r="AU31" s="9">
        <f>IF(AU25&gt;0,1,0)</f>
        <v/>
      </c>
      <c r="AV31" s="9">
        <f>IF(AV25&gt;0,1,0)</f>
        <v/>
      </c>
      <c r="AW31" s="9">
        <f>IF(AW25&gt;0,1,0)</f>
        <v/>
      </c>
      <c r="AX31" s="9">
        <f>IF(AX25&gt;0,1,0)</f>
        <v/>
      </c>
      <c r="AY31" s="9">
        <f>IF(AY25&gt;0,1,0)</f>
        <v/>
      </c>
      <c r="AZ31" s="9">
        <f>IF(AZ25&gt;0,1,0)</f>
        <v/>
      </c>
      <c r="BA31" s="9">
        <f>IF(BA25&gt;0,1,0)</f>
        <v/>
      </c>
      <c r="BB31" s="9">
        <f>IF(BB25&gt;0,1,0)</f>
        <v/>
      </c>
      <c r="BC31" s="9">
        <f>IF(BC25&gt;0,1,0)</f>
        <v/>
      </c>
      <c r="BD31" s="9">
        <f>IF(BD25&gt;0,1,0)</f>
        <v/>
      </c>
      <c r="BE31" s="9">
        <f>IF(BE25&gt;0,1,0)</f>
        <v/>
      </c>
      <c r="BF31" s="9">
        <f>IF(BF25&gt;0,1,0)</f>
        <v/>
      </c>
      <c r="BG31" s="9">
        <f>IF(BG25&gt;0,1,0)</f>
        <v/>
      </c>
      <c r="BH31" s="9">
        <f>IF(BH25&gt;0,1,0)</f>
        <v/>
      </c>
      <c r="BI31" s="9">
        <f>IF(BI25&gt;0,1,0)</f>
        <v/>
      </c>
      <c r="BJ31" s="9">
        <f>IF(BJ25&gt;0,1,0)</f>
        <v/>
      </c>
      <c r="BK31" s="9">
        <f>IF(BK25&gt;0,1,0)</f>
        <v/>
      </c>
      <c r="BL31" s="9">
        <f>IF(BL25&gt;0,1,0)</f>
        <v/>
      </c>
      <c r="BM31" s="9">
        <f>IF(BM25&gt;0,1,0)</f>
        <v/>
      </c>
      <c r="BN31" s="9">
        <f>IF(BN25&gt;0,1,0)</f>
        <v/>
      </c>
    </row>
    <row r="32">
      <c r="D32" t="inlineStr">
        <is>
          <t>Flag_LastOperatingPeriod</t>
        </is>
      </c>
      <c r="E32" t="inlineStr">
        <is>
          <t>flag</t>
        </is>
      </c>
      <c r="J32" s="9">
        <f>IF(AND(J25&gt;0,K25=0),1,0)</f>
        <v/>
      </c>
      <c r="K32" s="9">
        <f>IF(AND(K25&gt;0,L25=0),1,0)</f>
        <v/>
      </c>
      <c r="L32" s="9">
        <f>IF(AND(L25&gt;0,M25=0),1,0)</f>
        <v/>
      </c>
      <c r="M32" s="9">
        <f>IF(AND(M25&gt;0,N25=0),1,0)</f>
        <v/>
      </c>
      <c r="N32" s="9">
        <f>IF(AND(N25&gt;0,O25=0),1,0)</f>
        <v/>
      </c>
      <c r="O32" s="9">
        <f>IF(AND(O25&gt;0,P25=0),1,0)</f>
        <v/>
      </c>
      <c r="P32" s="9">
        <f>IF(AND(P25&gt;0,Q25=0),1,0)</f>
        <v/>
      </c>
      <c r="Q32" s="9">
        <f>IF(AND(Q25&gt;0,R25=0),1,0)</f>
        <v/>
      </c>
      <c r="R32" s="9">
        <f>IF(AND(R25&gt;0,S25=0),1,0)</f>
        <v/>
      </c>
      <c r="S32" s="9">
        <f>IF(AND(S25&gt;0,T25=0),1,0)</f>
        <v/>
      </c>
      <c r="T32" s="9">
        <f>IF(AND(T25&gt;0,U25=0),1,0)</f>
        <v/>
      </c>
      <c r="U32" s="9">
        <f>IF(AND(U25&gt;0,V25=0),1,0)</f>
        <v/>
      </c>
      <c r="V32" s="9">
        <f>IF(AND(V25&gt;0,W25=0),1,0)</f>
        <v/>
      </c>
      <c r="W32" s="9">
        <f>IF(AND(W25&gt;0,X25=0),1,0)</f>
        <v/>
      </c>
      <c r="X32" s="9">
        <f>IF(AND(X25&gt;0,Y25=0),1,0)</f>
        <v/>
      </c>
      <c r="Y32" s="9">
        <f>IF(AND(Y25&gt;0,Z25=0),1,0)</f>
        <v/>
      </c>
      <c r="Z32" s="9">
        <f>IF(AND(Z25&gt;0,AA25=0),1,0)</f>
        <v/>
      </c>
      <c r="AA32" s="9">
        <f>IF(AND(AA25&gt;0,AB25=0),1,0)</f>
        <v/>
      </c>
      <c r="AB32" s="9">
        <f>IF(AND(AB25&gt;0,AC25=0),1,0)</f>
        <v/>
      </c>
      <c r="AC32" s="9">
        <f>IF(AND(AC25&gt;0,AD25=0),1,0)</f>
        <v/>
      </c>
      <c r="AD32" s="9">
        <f>IF(AND(AD25&gt;0,AE25=0),1,0)</f>
        <v/>
      </c>
      <c r="AE32" s="9">
        <f>IF(AND(AE25&gt;0,AF25=0),1,0)</f>
        <v/>
      </c>
      <c r="AF32" s="9">
        <f>IF(AND(AF25&gt;0,AG25=0),1,0)</f>
        <v/>
      </c>
      <c r="AG32" s="9">
        <f>IF(AND(AG25&gt;0,AH25=0),1,0)</f>
        <v/>
      </c>
      <c r="AH32" s="9">
        <f>IF(AND(AH25&gt;0,AI25=0),1,0)</f>
        <v/>
      </c>
      <c r="AI32" s="9">
        <f>IF(AND(AI25&gt;0,AJ25=0),1,0)</f>
        <v/>
      </c>
      <c r="AJ32" s="9">
        <f>IF(AND(AJ25&gt;0,AK25=0),1,0)</f>
        <v/>
      </c>
      <c r="AK32" s="9">
        <f>IF(AND(AK25&gt;0,AL25=0),1,0)</f>
        <v/>
      </c>
      <c r="AL32" s="9">
        <f>IF(AND(AL25&gt;0,AM25=0),1,0)</f>
        <v/>
      </c>
      <c r="AM32" s="9">
        <f>IF(AND(AM25&gt;0,AN25=0),1,0)</f>
        <v/>
      </c>
      <c r="AN32" s="9">
        <f>IF(AND(AN25&gt;0,AO25=0),1,0)</f>
        <v/>
      </c>
      <c r="AO32" s="9">
        <f>IF(AND(AO25&gt;0,AP25=0),1,0)</f>
        <v/>
      </c>
      <c r="AP32" s="9">
        <f>IF(AND(AP25&gt;0,AQ25=0),1,0)</f>
        <v/>
      </c>
      <c r="AQ32" s="9">
        <f>IF(AND(AQ25&gt;0,AR25=0),1,0)</f>
        <v/>
      </c>
      <c r="AR32" s="9">
        <f>IF(AND(AR25&gt;0,AS25=0),1,0)</f>
        <v/>
      </c>
      <c r="AS32" s="9">
        <f>IF(AND(AS25&gt;0,AT25=0),1,0)</f>
        <v/>
      </c>
      <c r="AT32" s="9">
        <f>IF(AND(AT25&gt;0,AU25=0),1,0)</f>
        <v/>
      </c>
      <c r="AU32" s="9">
        <f>IF(AND(AU25&gt;0,AV25=0),1,0)</f>
        <v/>
      </c>
      <c r="AV32" s="9">
        <f>IF(AND(AV25&gt;0,AW25=0),1,0)</f>
        <v/>
      </c>
      <c r="AW32" s="9">
        <f>IF(AND(AW25&gt;0,AX25=0),1,0)</f>
        <v/>
      </c>
      <c r="AX32" s="9">
        <f>IF(AND(AX25&gt;0,AY25=0),1,0)</f>
        <v/>
      </c>
      <c r="AY32" s="9">
        <f>IF(AND(AY25&gt;0,AZ25=0),1,0)</f>
        <v/>
      </c>
      <c r="AZ32" s="9">
        <f>IF(AND(AZ25&gt;0,BA25=0),1,0)</f>
        <v/>
      </c>
      <c r="BA32" s="9">
        <f>IF(AND(BA25&gt;0,BB25=0),1,0)</f>
        <v/>
      </c>
      <c r="BB32" s="9">
        <f>IF(AND(BB25&gt;0,BC25=0),1,0)</f>
        <v/>
      </c>
      <c r="BC32" s="9">
        <f>IF(AND(BC25&gt;0,BD25=0),1,0)</f>
        <v/>
      </c>
      <c r="BD32" s="9">
        <f>IF(AND(BD25&gt;0,BE25=0),1,0)</f>
        <v/>
      </c>
      <c r="BE32" s="9">
        <f>IF(AND(BE25&gt;0,BF25=0),1,0)</f>
        <v/>
      </c>
      <c r="BF32" s="9">
        <f>IF(AND(BF25&gt;0,BG25=0),1,0)</f>
        <v/>
      </c>
      <c r="BG32" s="9">
        <f>IF(AND(BG25&gt;0,BH25=0),1,0)</f>
        <v/>
      </c>
      <c r="BH32" s="9">
        <f>IF(AND(BH25&gt;0,BI25=0),1,0)</f>
        <v/>
      </c>
      <c r="BI32" s="9">
        <f>IF(AND(BI25&gt;0,BJ25=0),1,0)</f>
        <v/>
      </c>
      <c r="BJ32" s="9">
        <f>IF(AND(BJ25&gt;0,BK25=0),1,0)</f>
        <v/>
      </c>
      <c r="BK32" s="9">
        <f>IF(AND(BK25&gt;0,BL25=0),1,0)</f>
        <v/>
      </c>
      <c r="BL32" s="9">
        <f>IF(AND(BL25&gt;0,BM25=0),1,0)</f>
        <v/>
      </c>
      <c r="BM32" s="9">
        <f>IF(AND(BM25&gt;0,BN25=0),1,0)</f>
        <v/>
      </c>
      <c r="BN32" s="9">
        <f>IF(AND(BN25&gt;0,0=0),1,0)</f>
        <v/>
      </c>
    </row>
    <row r="33">
      <c r="D33" t="inlineStr">
        <is>
          <t>Flag_ShockPeriods (2022H1-2022H2)</t>
        </is>
      </c>
      <c r="E33" t="inlineStr">
        <is>
          <t>flag</t>
        </is>
      </c>
      <c r="J33" s="9">
        <f>IF(AND(J17&gt;=8,J17&lt;=9),1,0)</f>
        <v/>
      </c>
      <c r="K33" s="9">
        <f>IF(AND(K17&gt;=8,K17&lt;=9),1,0)</f>
        <v/>
      </c>
      <c r="L33" s="9">
        <f>IF(AND(L17&gt;=8,L17&lt;=9),1,0)</f>
        <v/>
      </c>
      <c r="M33" s="9">
        <f>IF(AND(M17&gt;=8,M17&lt;=9),1,0)</f>
        <v/>
      </c>
      <c r="N33" s="9">
        <f>IF(AND(N17&gt;=8,N17&lt;=9),1,0)</f>
        <v/>
      </c>
      <c r="O33" s="9">
        <f>IF(AND(O17&gt;=8,O17&lt;=9),1,0)</f>
        <v/>
      </c>
      <c r="P33" s="9">
        <f>IF(AND(P17&gt;=8,P17&lt;=9),1,0)</f>
        <v/>
      </c>
      <c r="Q33" s="9">
        <f>IF(AND(Q17&gt;=8,Q17&lt;=9),1,0)</f>
        <v/>
      </c>
      <c r="R33" s="9">
        <f>IF(AND(R17&gt;=8,R17&lt;=9),1,0)</f>
        <v/>
      </c>
      <c r="S33" s="9">
        <f>IF(AND(S17&gt;=8,S17&lt;=9),1,0)</f>
        <v/>
      </c>
      <c r="T33" s="9">
        <f>IF(AND(T17&gt;=8,T17&lt;=9),1,0)</f>
        <v/>
      </c>
      <c r="U33" s="9">
        <f>IF(AND(U17&gt;=8,U17&lt;=9),1,0)</f>
        <v/>
      </c>
      <c r="V33" s="9">
        <f>IF(AND(V17&gt;=8,V17&lt;=9),1,0)</f>
        <v/>
      </c>
      <c r="W33" s="9">
        <f>IF(AND(W17&gt;=8,W17&lt;=9),1,0)</f>
        <v/>
      </c>
      <c r="X33" s="9">
        <f>IF(AND(X17&gt;=8,X17&lt;=9),1,0)</f>
        <v/>
      </c>
      <c r="Y33" s="9">
        <f>IF(AND(Y17&gt;=8,Y17&lt;=9),1,0)</f>
        <v/>
      </c>
      <c r="Z33" s="9">
        <f>IF(AND(Z17&gt;=8,Z17&lt;=9),1,0)</f>
        <v/>
      </c>
      <c r="AA33" s="9">
        <f>IF(AND(AA17&gt;=8,AA17&lt;=9),1,0)</f>
        <v/>
      </c>
      <c r="AB33" s="9">
        <f>IF(AND(AB17&gt;=8,AB17&lt;=9),1,0)</f>
        <v/>
      </c>
      <c r="AC33" s="9">
        <f>IF(AND(AC17&gt;=8,AC17&lt;=9),1,0)</f>
        <v/>
      </c>
      <c r="AD33" s="9">
        <f>IF(AND(AD17&gt;=8,AD17&lt;=9),1,0)</f>
        <v/>
      </c>
      <c r="AE33" s="9">
        <f>IF(AND(AE17&gt;=8,AE17&lt;=9),1,0)</f>
        <v/>
      </c>
      <c r="AF33" s="9">
        <f>IF(AND(AF17&gt;=8,AF17&lt;=9),1,0)</f>
        <v/>
      </c>
      <c r="AG33" s="9">
        <f>IF(AND(AG17&gt;=8,AG17&lt;=9),1,0)</f>
        <v/>
      </c>
      <c r="AH33" s="9">
        <f>IF(AND(AH17&gt;=8,AH17&lt;=9),1,0)</f>
        <v/>
      </c>
      <c r="AI33" s="9">
        <f>IF(AND(AI17&gt;=8,AI17&lt;=9),1,0)</f>
        <v/>
      </c>
      <c r="AJ33" s="9">
        <f>IF(AND(AJ17&gt;=8,AJ17&lt;=9),1,0)</f>
        <v/>
      </c>
      <c r="AK33" s="9">
        <f>IF(AND(AK17&gt;=8,AK17&lt;=9),1,0)</f>
        <v/>
      </c>
      <c r="AL33" s="9">
        <f>IF(AND(AL17&gt;=8,AL17&lt;=9),1,0)</f>
        <v/>
      </c>
      <c r="AM33" s="9">
        <f>IF(AND(AM17&gt;=8,AM17&lt;=9),1,0)</f>
        <v/>
      </c>
      <c r="AN33" s="9">
        <f>IF(AND(AN17&gt;=8,AN17&lt;=9),1,0)</f>
        <v/>
      </c>
      <c r="AO33" s="9">
        <f>IF(AND(AO17&gt;=8,AO17&lt;=9),1,0)</f>
        <v/>
      </c>
      <c r="AP33" s="9">
        <f>IF(AND(AP17&gt;=8,AP17&lt;=9),1,0)</f>
        <v/>
      </c>
      <c r="AQ33" s="9">
        <f>IF(AND(AQ17&gt;=8,AQ17&lt;=9),1,0)</f>
        <v/>
      </c>
      <c r="AR33" s="9">
        <f>IF(AND(AR17&gt;=8,AR17&lt;=9),1,0)</f>
        <v/>
      </c>
      <c r="AS33" s="9">
        <f>IF(AND(AS17&gt;=8,AS17&lt;=9),1,0)</f>
        <v/>
      </c>
      <c r="AT33" s="9">
        <f>IF(AND(AT17&gt;=8,AT17&lt;=9),1,0)</f>
        <v/>
      </c>
      <c r="AU33" s="9">
        <f>IF(AND(AU17&gt;=8,AU17&lt;=9),1,0)</f>
        <v/>
      </c>
      <c r="AV33" s="9">
        <f>IF(AND(AV17&gt;=8,AV17&lt;=9),1,0)</f>
        <v/>
      </c>
      <c r="AW33" s="9">
        <f>IF(AND(AW17&gt;=8,AW17&lt;=9),1,0)</f>
        <v/>
      </c>
      <c r="AX33" s="9">
        <f>IF(AND(AX17&gt;=8,AX17&lt;=9),1,0)</f>
        <v/>
      </c>
      <c r="AY33" s="9">
        <f>IF(AND(AY17&gt;=8,AY17&lt;=9),1,0)</f>
        <v/>
      </c>
      <c r="AZ33" s="9">
        <f>IF(AND(AZ17&gt;=8,AZ17&lt;=9),1,0)</f>
        <v/>
      </c>
      <c r="BA33" s="9">
        <f>IF(AND(BA17&gt;=8,BA17&lt;=9),1,0)</f>
        <v/>
      </c>
      <c r="BB33" s="9">
        <f>IF(AND(BB17&gt;=8,BB17&lt;=9),1,0)</f>
        <v/>
      </c>
      <c r="BC33" s="9">
        <f>IF(AND(BC17&gt;=8,BC17&lt;=9),1,0)</f>
        <v/>
      </c>
      <c r="BD33" s="9">
        <f>IF(AND(BD17&gt;=8,BD17&lt;=9),1,0)</f>
        <v/>
      </c>
      <c r="BE33" s="9">
        <f>IF(AND(BE17&gt;=8,BE17&lt;=9),1,0)</f>
        <v/>
      </c>
      <c r="BF33" s="9">
        <f>IF(AND(BF17&gt;=8,BF17&lt;=9),1,0)</f>
        <v/>
      </c>
      <c r="BG33" s="9">
        <f>IF(AND(BG17&gt;=8,BG17&lt;=9),1,0)</f>
        <v/>
      </c>
      <c r="BH33" s="9">
        <f>IF(AND(BH17&gt;=8,BH17&lt;=9),1,0)</f>
        <v/>
      </c>
      <c r="BI33" s="9">
        <f>IF(AND(BI17&gt;=8,BI17&lt;=9),1,0)</f>
        <v/>
      </c>
      <c r="BJ33" s="9">
        <f>IF(AND(BJ17&gt;=8,BJ17&lt;=9),1,0)</f>
        <v/>
      </c>
      <c r="BK33" s="9">
        <f>IF(AND(BK17&gt;=8,BK17&lt;=9),1,0)</f>
        <v/>
      </c>
      <c r="BL33" s="9">
        <f>IF(AND(BL17&gt;=8,BL17&lt;=9),1,0)</f>
        <v/>
      </c>
      <c r="BM33" s="9">
        <f>IF(AND(BM17&gt;=8,BM17&lt;=9),1,0)</f>
        <v/>
      </c>
      <c r="BN33" s="9">
        <f>IF(AND(BN17&gt;=8,BN17&lt;=9),1,0)</f>
        <v/>
      </c>
    </row>
    <row r="34">
      <c r="D34" t="inlineStr">
        <is>
          <t>Flag from 2022H1</t>
        </is>
      </c>
      <c r="E34" t="inlineStr">
        <is>
          <t>flag</t>
        </is>
      </c>
      <c r="J34" s="9">
        <f>IF(J17&gt;=8,1,0)</f>
        <v/>
      </c>
      <c r="K34" s="9">
        <f>IF(K17&gt;=8,1,0)</f>
        <v/>
      </c>
      <c r="L34" s="9">
        <f>IF(L17&gt;=8,1,0)</f>
        <v/>
      </c>
      <c r="M34" s="9">
        <f>IF(M17&gt;=8,1,0)</f>
        <v/>
      </c>
      <c r="N34" s="9">
        <f>IF(N17&gt;=8,1,0)</f>
        <v/>
      </c>
      <c r="O34" s="9">
        <f>IF(O17&gt;=8,1,0)</f>
        <v/>
      </c>
      <c r="P34" s="9">
        <f>IF(P17&gt;=8,1,0)</f>
        <v/>
      </c>
      <c r="Q34" s="9">
        <f>IF(Q17&gt;=8,1,0)</f>
        <v/>
      </c>
      <c r="R34" s="9">
        <f>IF(R17&gt;=8,1,0)</f>
        <v/>
      </c>
      <c r="S34" s="9">
        <f>IF(S17&gt;=8,1,0)</f>
        <v/>
      </c>
      <c r="T34" s="9">
        <f>IF(T17&gt;=8,1,0)</f>
        <v/>
      </c>
      <c r="U34" s="9">
        <f>IF(U17&gt;=8,1,0)</f>
        <v/>
      </c>
      <c r="V34" s="9">
        <f>IF(V17&gt;=8,1,0)</f>
        <v/>
      </c>
      <c r="W34" s="9">
        <f>IF(W17&gt;=8,1,0)</f>
        <v/>
      </c>
      <c r="X34" s="9">
        <f>IF(X17&gt;=8,1,0)</f>
        <v/>
      </c>
      <c r="Y34" s="9">
        <f>IF(Y17&gt;=8,1,0)</f>
        <v/>
      </c>
      <c r="Z34" s="9">
        <f>IF(Z17&gt;=8,1,0)</f>
        <v/>
      </c>
      <c r="AA34" s="9">
        <f>IF(AA17&gt;=8,1,0)</f>
        <v/>
      </c>
      <c r="AB34" s="9">
        <f>IF(AB17&gt;=8,1,0)</f>
        <v/>
      </c>
      <c r="AC34" s="9">
        <f>IF(AC17&gt;=8,1,0)</f>
        <v/>
      </c>
      <c r="AD34" s="9">
        <f>IF(AD17&gt;=8,1,0)</f>
        <v/>
      </c>
      <c r="AE34" s="9">
        <f>IF(AE17&gt;=8,1,0)</f>
        <v/>
      </c>
      <c r="AF34" s="9">
        <f>IF(AF17&gt;=8,1,0)</f>
        <v/>
      </c>
      <c r="AG34" s="9">
        <f>IF(AG17&gt;=8,1,0)</f>
        <v/>
      </c>
      <c r="AH34" s="9">
        <f>IF(AH17&gt;=8,1,0)</f>
        <v/>
      </c>
      <c r="AI34" s="9">
        <f>IF(AI17&gt;=8,1,0)</f>
        <v/>
      </c>
      <c r="AJ34" s="9">
        <f>IF(AJ17&gt;=8,1,0)</f>
        <v/>
      </c>
      <c r="AK34" s="9">
        <f>IF(AK17&gt;=8,1,0)</f>
        <v/>
      </c>
      <c r="AL34" s="9">
        <f>IF(AL17&gt;=8,1,0)</f>
        <v/>
      </c>
      <c r="AM34" s="9">
        <f>IF(AM17&gt;=8,1,0)</f>
        <v/>
      </c>
      <c r="AN34" s="9">
        <f>IF(AN17&gt;=8,1,0)</f>
        <v/>
      </c>
      <c r="AO34" s="9">
        <f>IF(AO17&gt;=8,1,0)</f>
        <v/>
      </c>
      <c r="AP34" s="9">
        <f>IF(AP17&gt;=8,1,0)</f>
        <v/>
      </c>
      <c r="AQ34" s="9">
        <f>IF(AQ17&gt;=8,1,0)</f>
        <v/>
      </c>
      <c r="AR34" s="9">
        <f>IF(AR17&gt;=8,1,0)</f>
        <v/>
      </c>
      <c r="AS34" s="9">
        <f>IF(AS17&gt;=8,1,0)</f>
        <v/>
      </c>
      <c r="AT34" s="9">
        <f>IF(AT17&gt;=8,1,0)</f>
        <v/>
      </c>
      <c r="AU34" s="9">
        <f>IF(AU17&gt;=8,1,0)</f>
        <v/>
      </c>
      <c r="AV34" s="9">
        <f>IF(AV17&gt;=8,1,0)</f>
        <v/>
      </c>
      <c r="AW34" s="9">
        <f>IF(AW17&gt;=8,1,0)</f>
        <v/>
      </c>
      <c r="AX34" s="9">
        <f>IF(AX17&gt;=8,1,0)</f>
        <v/>
      </c>
      <c r="AY34" s="9">
        <f>IF(AY17&gt;=8,1,0)</f>
        <v/>
      </c>
      <c r="AZ34" s="9">
        <f>IF(AZ17&gt;=8,1,0)</f>
        <v/>
      </c>
      <c r="BA34" s="9">
        <f>IF(BA17&gt;=8,1,0)</f>
        <v/>
      </c>
      <c r="BB34" s="9">
        <f>IF(BB17&gt;=8,1,0)</f>
        <v/>
      </c>
      <c r="BC34" s="9">
        <f>IF(BC17&gt;=8,1,0)</f>
        <v/>
      </c>
      <c r="BD34" s="9">
        <f>IF(BD17&gt;=8,1,0)</f>
        <v/>
      </c>
      <c r="BE34" s="9">
        <f>IF(BE17&gt;=8,1,0)</f>
        <v/>
      </c>
      <c r="BF34" s="9">
        <f>IF(BF17&gt;=8,1,0)</f>
        <v/>
      </c>
      <c r="BG34" s="9">
        <f>IF(BG17&gt;=8,1,0)</f>
        <v/>
      </c>
      <c r="BH34" s="9">
        <f>IF(BH17&gt;=8,1,0)</f>
        <v/>
      </c>
      <c r="BI34" s="9">
        <f>IF(BI17&gt;=8,1,0)</f>
        <v/>
      </c>
      <c r="BJ34" s="9">
        <f>IF(BJ17&gt;=8,1,0)</f>
        <v/>
      </c>
      <c r="BK34" s="9">
        <f>IF(BK17&gt;=8,1,0)</f>
        <v/>
      </c>
      <c r="BL34" s="9">
        <f>IF(BL17&gt;=8,1,0)</f>
        <v/>
      </c>
      <c r="BM34" s="9">
        <f>IF(BM17&gt;=8,1,0)</f>
        <v/>
      </c>
      <c r="BN34" s="9">
        <f>IF(BN17&gt;=8,1,0)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36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Construction: monthly uses of funds before financing costs, VAT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3" t="inlineStr">
        <is>
          <t>2018-08</t>
        </is>
      </c>
      <c r="K5" s="3" t="inlineStr">
        <is>
          <t>2018-09</t>
        </is>
      </c>
      <c r="L5" s="3" t="inlineStr">
        <is>
          <t>2018-10</t>
        </is>
      </c>
      <c r="M5" s="3" t="inlineStr">
        <is>
          <t>2018-11</t>
        </is>
      </c>
      <c r="N5" s="3" t="inlineStr">
        <is>
          <t>2018-12</t>
        </is>
      </c>
      <c r="O5" s="3" t="inlineStr">
        <is>
          <t>2019-01</t>
        </is>
      </c>
      <c r="P5" s="3" t="inlineStr">
        <is>
          <t>2019-02</t>
        </is>
      </c>
      <c r="Q5" s="3" t="inlineStr">
        <is>
          <t>2019-03</t>
        </is>
      </c>
      <c r="R5" s="3" t="inlineStr">
        <is>
          <t>2019-04</t>
        </is>
      </c>
      <c r="S5" s="3" t="inlineStr">
        <is>
          <t>2019-05</t>
        </is>
      </c>
      <c r="T5" s="3" t="inlineStr">
        <is>
          <t>2019-06</t>
        </is>
      </c>
      <c r="U5" s="3" t="inlineStr">
        <is>
          <t>2019-07</t>
        </is>
      </c>
      <c r="V5" s="3" t="inlineStr">
        <is>
          <t>2019-08</t>
        </is>
      </c>
      <c r="W5" s="3" t="inlineStr">
        <is>
          <t>2019-09</t>
        </is>
      </c>
      <c r="X5" s="3" t="inlineStr">
        <is>
          <t>2019-10</t>
        </is>
      </c>
      <c r="Y5" s="3" t="inlineStr">
        <is>
          <t>2019-11</t>
        </is>
      </c>
      <c r="Z5" s="3" t="inlineStr">
        <is>
          <t>2019-12</t>
        </is>
      </c>
      <c r="AA5" s="3" t="inlineStr">
        <is>
          <t>2020-01</t>
        </is>
      </c>
      <c r="AB5" s="3" t="inlineStr">
        <is>
          <t>2020-02</t>
        </is>
      </c>
      <c r="AC5" s="3" t="inlineStr">
        <is>
          <t>2020-03</t>
        </is>
      </c>
      <c r="AD5" s="3" t="inlineStr">
        <is>
          <t>2020-04</t>
        </is>
      </c>
      <c r="AE5" s="3" t="inlineStr">
        <is>
          <t>2020-05</t>
        </is>
      </c>
      <c r="AF5" s="3" t="inlineStr">
        <is>
          <t>2020-06</t>
        </is>
      </c>
      <c r="AG5" s="3" t="inlineStr">
        <is>
          <t>2020-07</t>
        </is>
      </c>
      <c r="AH5" s="3" t="inlineStr">
        <is>
          <t>2020-08</t>
        </is>
      </c>
      <c r="AI5" s="3" t="inlineStr">
        <is>
          <t>2020-09</t>
        </is>
      </c>
      <c r="AJ5" s="3" t="inlineStr">
        <is>
          <t>2020-10</t>
        </is>
      </c>
      <c r="AK5" s="3" t="inlineStr">
        <is>
          <t>2020-11</t>
        </is>
      </c>
      <c r="AL5" s="3" t="inlineStr">
        <is>
          <t>2020-12</t>
        </is>
      </c>
      <c r="AM5" s="3" t="inlineStr">
        <is>
          <t>2021-01</t>
        </is>
      </c>
      <c r="AN5" s="3" t="inlineStr">
        <is>
          <t>2021-02</t>
        </is>
      </c>
      <c r="AO5" s="3" t="inlineStr">
        <is>
          <t>2021-03</t>
        </is>
      </c>
      <c r="AP5" s="3" t="inlineStr">
        <is>
          <t>2021-04</t>
        </is>
      </c>
      <c r="AQ5" s="3" t="inlineStr">
        <is>
          <t>2021-05</t>
        </is>
      </c>
      <c r="AR5" s="3" t="inlineStr">
        <is>
          <t>2021-06</t>
        </is>
      </c>
      <c r="AS5" s="3" t="inlineStr">
        <is>
          <t>2021-07</t>
        </is>
      </c>
      <c r="AT5" s="3" t="inlineStr">
        <is>
          <t>2021-08</t>
        </is>
      </c>
      <c r="AU5" s="3" t="inlineStr">
        <is>
          <t>2021-09</t>
        </is>
      </c>
      <c r="AV5" s="3" t="inlineStr">
        <is>
          <t>2021-10</t>
        </is>
      </c>
      <c r="AW5" s="3" t="inlineStr">
        <is>
          <t>2021-11</t>
        </is>
      </c>
      <c r="AX5" s="3" t="inlineStr">
        <is>
          <t>2021-12</t>
        </is>
      </c>
      <c r="AY5" s="3" t="inlineStr">
        <is>
          <t>2022-01</t>
        </is>
      </c>
      <c r="AZ5" s="3" t="inlineStr">
        <is>
          <t>2022-02</t>
        </is>
      </c>
      <c r="BA5" s="3" t="inlineStr">
        <is>
          <t>2022-03</t>
        </is>
      </c>
      <c r="BB5" s="3" t="inlineStr">
        <is>
          <t>2022-04</t>
        </is>
      </c>
      <c r="BC5" s="3" t="inlineStr">
        <is>
          <t>2022-05</t>
        </is>
      </c>
      <c r="BD5" s="3" t="inlineStr">
        <is>
          <t>2022-06</t>
        </is>
      </c>
      <c r="BE5" s="3" t="inlineStr">
        <is>
          <t>2022-07</t>
        </is>
      </c>
      <c r="BF5" s="3" t="inlineStr">
        <is>
          <t>2022-08</t>
        </is>
      </c>
      <c r="BG5" s="3" t="inlineStr">
        <is>
          <t>2022-09</t>
        </is>
      </c>
      <c r="BH5" s="3" t="inlineStr">
        <is>
          <t>2022-10</t>
        </is>
      </c>
      <c r="BI5" s="3" t="inlineStr">
        <is>
          <t>2022-11</t>
        </is>
      </c>
      <c r="BJ5" s="3" t="inlineStr">
        <is>
          <t>2022-12</t>
        </is>
      </c>
    </row>
    <row r="7">
      <c r="B7" s="2" t="inlineStr">
        <is>
          <t>Monthly timeline (column J = August 2018)</t>
        </is>
      </c>
    </row>
    <row r="8">
      <c r="D8" t="inlineStr">
        <is>
          <t>Month number</t>
        </is>
      </c>
      <c r="E8" t="inlineStr">
        <is>
          <t>index</t>
        </is>
      </c>
      <c r="J8" s="9">
        <f>1</f>
        <v/>
      </c>
      <c r="K8" s="9">
        <f>2</f>
        <v/>
      </c>
      <c r="L8" s="9">
        <f>3</f>
        <v/>
      </c>
      <c r="M8" s="9">
        <f>4</f>
        <v/>
      </c>
      <c r="N8" s="9">
        <f>5</f>
        <v/>
      </c>
      <c r="O8" s="9">
        <f>6</f>
        <v/>
      </c>
      <c r="P8" s="9">
        <f>7</f>
        <v/>
      </c>
      <c r="Q8" s="9">
        <f>8</f>
        <v/>
      </c>
      <c r="R8" s="9">
        <f>9</f>
        <v/>
      </c>
      <c r="S8" s="9">
        <f>10</f>
        <v/>
      </c>
      <c r="T8" s="9">
        <f>11</f>
        <v/>
      </c>
      <c r="U8" s="9">
        <f>12</f>
        <v/>
      </c>
      <c r="V8" s="9">
        <f>13</f>
        <v/>
      </c>
      <c r="W8" s="9">
        <f>14</f>
        <v/>
      </c>
      <c r="X8" s="9">
        <f>15</f>
        <v/>
      </c>
      <c r="Y8" s="9">
        <f>16</f>
        <v/>
      </c>
      <c r="Z8" s="9">
        <f>17</f>
        <v/>
      </c>
      <c r="AA8" s="9">
        <f>18</f>
        <v/>
      </c>
      <c r="AB8" s="9">
        <f>19</f>
        <v/>
      </c>
      <c r="AC8" s="9">
        <f>20</f>
        <v/>
      </c>
      <c r="AD8" s="9">
        <f>21</f>
        <v/>
      </c>
      <c r="AE8" s="9">
        <f>22</f>
        <v/>
      </c>
      <c r="AF8" s="9">
        <f>23</f>
        <v/>
      </c>
      <c r="AG8" s="9">
        <f>24</f>
        <v/>
      </c>
      <c r="AH8" s="9">
        <f>25</f>
        <v/>
      </c>
      <c r="AI8" s="9">
        <f>26</f>
        <v/>
      </c>
      <c r="AJ8" s="9">
        <f>27</f>
        <v/>
      </c>
      <c r="AK8" s="9">
        <f>28</f>
        <v/>
      </c>
      <c r="AL8" s="9">
        <f>29</f>
        <v/>
      </c>
      <c r="AM8" s="9">
        <f>30</f>
        <v/>
      </c>
      <c r="AN8" s="9">
        <f>31</f>
        <v/>
      </c>
      <c r="AO8" s="9">
        <f>32</f>
        <v/>
      </c>
      <c r="AP8" s="9">
        <f>33</f>
        <v/>
      </c>
      <c r="AQ8" s="9">
        <f>34</f>
        <v/>
      </c>
      <c r="AR8" s="9">
        <f>35</f>
        <v/>
      </c>
      <c r="AS8" s="9">
        <f>36</f>
        <v/>
      </c>
      <c r="AT8" s="9">
        <f>37</f>
        <v/>
      </c>
      <c r="AU8" s="9">
        <f>38</f>
        <v/>
      </c>
      <c r="AV8" s="9">
        <f>39</f>
        <v/>
      </c>
      <c r="AW8" s="9">
        <f>40</f>
        <v/>
      </c>
      <c r="AX8" s="9">
        <f>41</f>
        <v/>
      </c>
      <c r="AY8" s="9">
        <f>42</f>
        <v/>
      </c>
      <c r="AZ8" s="9">
        <f>43</f>
        <v/>
      </c>
      <c r="BA8" s="9">
        <f>44</f>
        <v/>
      </c>
      <c r="BB8" s="9">
        <f>45</f>
        <v/>
      </c>
      <c r="BC8" s="9">
        <f>46</f>
        <v/>
      </c>
      <c r="BD8" s="9">
        <f>47</f>
        <v/>
      </c>
      <c r="BE8" s="9">
        <f>48</f>
        <v/>
      </c>
      <c r="BF8" s="9">
        <f>49</f>
        <v/>
      </c>
      <c r="BG8" s="9">
        <f>50</f>
        <v/>
      </c>
      <c r="BH8" s="9">
        <f>51</f>
        <v/>
      </c>
      <c r="BI8" s="9">
        <f>52</f>
        <v/>
      </c>
      <c r="BJ8" s="9">
        <f>53</f>
        <v/>
      </c>
    </row>
    <row r="9">
      <c r="D9" t="inlineStr">
        <is>
          <t>Month start</t>
        </is>
      </c>
      <c r="E9" t="inlineStr">
        <is>
          <t>date</t>
        </is>
      </c>
      <c r="J9" s="8">
        <f>DATE(2018,8,1)</f>
        <v/>
      </c>
      <c r="K9" s="8">
        <f>EDATE(J9,1)</f>
        <v/>
      </c>
      <c r="L9" s="8">
        <f>EDATE(K9,1)</f>
        <v/>
      </c>
      <c r="M9" s="8">
        <f>EDATE(L9,1)</f>
        <v/>
      </c>
      <c r="N9" s="8">
        <f>EDATE(M9,1)</f>
        <v/>
      </c>
      <c r="O9" s="8">
        <f>EDATE(N9,1)</f>
        <v/>
      </c>
      <c r="P9" s="8">
        <f>EDATE(O9,1)</f>
        <v/>
      </c>
      <c r="Q9" s="8">
        <f>EDATE(P9,1)</f>
        <v/>
      </c>
      <c r="R9" s="8">
        <f>EDATE(Q9,1)</f>
        <v/>
      </c>
      <c r="S9" s="8">
        <f>EDATE(R9,1)</f>
        <v/>
      </c>
      <c r="T9" s="8">
        <f>EDATE(S9,1)</f>
        <v/>
      </c>
      <c r="U9" s="8">
        <f>EDATE(T9,1)</f>
        <v/>
      </c>
      <c r="V9" s="8">
        <f>EDATE(U9,1)</f>
        <v/>
      </c>
      <c r="W9" s="8">
        <f>EDATE(V9,1)</f>
        <v/>
      </c>
      <c r="X9" s="8">
        <f>EDATE(W9,1)</f>
        <v/>
      </c>
      <c r="Y9" s="8">
        <f>EDATE(X9,1)</f>
        <v/>
      </c>
      <c r="Z9" s="8">
        <f>EDATE(Y9,1)</f>
        <v/>
      </c>
      <c r="AA9" s="8">
        <f>EDATE(Z9,1)</f>
        <v/>
      </c>
      <c r="AB9" s="8">
        <f>EDATE(AA9,1)</f>
        <v/>
      </c>
      <c r="AC9" s="8">
        <f>EDATE(AB9,1)</f>
        <v/>
      </c>
      <c r="AD9" s="8">
        <f>EDATE(AC9,1)</f>
        <v/>
      </c>
      <c r="AE9" s="8">
        <f>EDATE(AD9,1)</f>
        <v/>
      </c>
      <c r="AF9" s="8">
        <f>EDATE(AE9,1)</f>
        <v/>
      </c>
      <c r="AG9" s="8">
        <f>EDATE(AF9,1)</f>
        <v/>
      </c>
      <c r="AH9" s="8">
        <f>EDATE(AG9,1)</f>
        <v/>
      </c>
      <c r="AI9" s="8">
        <f>EDATE(AH9,1)</f>
        <v/>
      </c>
      <c r="AJ9" s="8">
        <f>EDATE(AI9,1)</f>
        <v/>
      </c>
      <c r="AK9" s="8">
        <f>EDATE(AJ9,1)</f>
        <v/>
      </c>
      <c r="AL9" s="8">
        <f>EDATE(AK9,1)</f>
        <v/>
      </c>
      <c r="AM9" s="8">
        <f>EDATE(AL9,1)</f>
        <v/>
      </c>
      <c r="AN9" s="8">
        <f>EDATE(AM9,1)</f>
        <v/>
      </c>
      <c r="AO9" s="8">
        <f>EDATE(AN9,1)</f>
        <v/>
      </c>
      <c r="AP9" s="8">
        <f>EDATE(AO9,1)</f>
        <v/>
      </c>
      <c r="AQ9" s="8">
        <f>EDATE(AP9,1)</f>
        <v/>
      </c>
      <c r="AR9" s="8">
        <f>EDATE(AQ9,1)</f>
        <v/>
      </c>
      <c r="AS9" s="8">
        <f>EDATE(AR9,1)</f>
        <v/>
      </c>
      <c r="AT9" s="8">
        <f>EDATE(AS9,1)</f>
        <v/>
      </c>
      <c r="AU9" s="8">
        <f>EDATE(AT9,1)</f>
        <v/>
      </c>
      <c r="AV9" s="8">
        <f>EDATE(AU9,1)</f>
        <v/>
      </c>
      <c r="AW9" s="8">
        <f>EDATE(AV9,1)</f>
        <v/>
      </c>
      <c r="AX9" s="8">
        <f>EDATE(AW9,1)</f>
        <v/>
      </c>
      <c r="AY9" s="8">
        <f>EDATE(AX9,1)</f>
        <v/>
      </c>
      <c r="AZ9" s="8">
        <f>EDATE(AY9,1)</f>
        <v/>
      </c>
      <c r="BA9" s="8">
        <f>EDATE(AZ9,1)</f>
        <v/>
      </c>
      <c r="BB9" s="8">
        <f>EDATE(BA9,1)</f>
        <v/>
      </c>
      <c r="BC9" s="8">
        <f>EDATE(BB9,1)</f>
        <v/>
      </c>
      <c r="BD9" s="8">
        <f>EDATE(BC9,1)</f>
        <v/>
      </c>
      <c r="BE9" s="8">
        <f>EDATE(BD9,1)</f>
        <v/>
      </c>
      <c r="BF9" s="8">
        <f>EDATE(BE9,1)</f>
        <v/>
      </c>
      <c r="BG9" s="8">
        <f>EDATE(BF9,1)</f>
        <v/>
      </c>
      <c r="BH9" s="8">
        <f>EDATE(BG9,1)</f>
        <v/>
      </c>
      <c r="BI9" s="8">
        <f>EDATE(BH9,1)</f>
        <v/>
      </c>
      <c r="BJ9" s="8">
        <f>EDATE(BI9,1)</f>
        <v/>
      </c>
    </row>
    <row r="10">
      <c r="D10" t="inlineStr">
        <is>
          <t>Month end</t>
        </is>
      </c>
      <c r="E10" t="inlineStr">
        <is>
          <t>date</t>
        </is>
      </c>
      <c r="J10" s="8">
        <f>EOMONTH(J9,0)</f>
        <v/>
      </c>
      <c r="K10" s="8">
        <f>EOMONTH(K9,0)</f>
        <v/>
      </c>
      <c r="L10" s="8">
        <f>EOMONTH(L9,0)</f>
        <v/>
      </c>
      <c r="M10" s="8">
        <f>EOMONTH(M9,0)</f>
        <v/>
      </c>
      <c r="N10" s="8">
        <f>EOMONTH(N9,0)</f>
        <v/>
      </c>
      <c r="O10" s="8">
        <f>EOMONTH(O9,0)</f>
        <v/>
      </c>
      <c r="P10" s="8">
        <f>EOMONTH(P9,0)</f>
        <v/>
      </c>
      <c r="Q10" s="8">
        <f>EOMONTH(Q9,0)</f>
        <v/>
      </c>
      <c r="R10" s="8">
        <f>EOMONTH(R9,0)</f>
        <v/>
      </c>
      <c r="S10" s="8">
        <f>EOMONTH(S9,0)</f>
        <v/>
      </c>
      <c r="T10" s="8">
        <f>EOMONTH(T9,0)</f>
        <v/>
      </c>
      <c r="U10" s="8">
        <f>EOMONTH(U9,0)</f>
        <v/>
      </c>
      <c r="V10" s="8">
        <f>EOMONTH(V9,0)</f>
        <v/>
      </c>
      <c r="W10" s="8">
        <f>EOMONTH(W9,0)</f>
        <v/>
      </c>
      <c r="X10" s="8">
        <f>EOMONTH(X9,0)</f>
        <v/>
      </c>
      <c r="Y10" s="8">
        <f>EOMONTH(Y9,0)</f>
        <v/>
      </c>
      <c r="Z10" s="8">
        <f>EOMONTH(Z9,0)</f>
        <v/>
      </c>
      <c r="AA10" s="8">
        <f>EOMONTH(AA9,0)</f>
        <v/>
      </c>
      <c r="AB10" s="8">
        <f>EOMONTH(AB9,0)</f>
        <v/>
      </c>
      <c r="AC10" s="8">
        <f>EOMONTH(AC9,0)</f>
        <v/>
      </c>
      <c r="AD10" s="8">
        <f>EOMONTH(AD9,0)</f>
        <v/>
      </c>
      <c r="AE10" s="8">
        <f>EOMONTH(AE9,0)</f>
        <v/>
      </c>
      <c r="AF10" s="8">
        <f>EOMONTH(AF9,0)</f>
        <v/>
      </c>
      <c r="AG10" s="8">
        <f>EOMONTH(AG9,0)</f>
        <v/>
      </c>
      <c r="AH10" s="8">
        <f>EOMONTH(AH9,0)</f>
        <v/>
      </c>
      <c r="AI10" s="8">
        <f>EOMONTH(AI9,0)</f>
        <v/>
      </c>
      <c r="AJ10" s="8">
        <f>EOMONTH(AJ9,0)</f>
        <v/>
      </c>
      <c r="AK10" s="8">
        <f>EOMONTH(AK9,0)</f>
        <v/>
      </c>
      <c r="AL10" s="8">
        <f>EOMONTH(AL9,0)</f>
        <v/>
      </c>
      <c r="AM10" s="8">
        <f>EOMONTH(AM9,0)</f>
        <v/>
      </c>
      <c r="AN10" s="8">
        <f>EOMONTH(AN9,0)</f>
        <v/>
      </c>
      <c r="AO10" s="8">
        <f>EOMONTH(AO9,0)</f>
        <v/>
      </c>
      <c r="AP10" s="8">
        <f>EOMONTH(AP9,0)</f>
        <v/>
      </c>
      <c r="AQ10" s="8">
        <f>EOMONTH(AQ9,0)</f>
        <v/>
      </c>
      <c r="AR10" s="8">
        <f>EOMONTH(AR9,0)</f>
        <v/>
      </c>
      <c r="AS10" s="8">
        <f>EOMONTH(AS9,0)</f>
        <v/>
      </c>
      <c r="AT10" s="8">
        <f>EOMONTH(AT9,0)</f>
        <v/>
      </c>
      <c r="AU10" s="8">
        <f>EOMONTH(AU9,0)</f>
        <v/>
      </c>
      <c r="AV10" s="8">
        <f>EOMONTH(AV9,0)</f>
        <v/>
      </c>
      <c r="AW10" s="8">
        <f>EOMONTH(AW9,0)</f>
        <v/>
      </c>
      <c r="AX10" s="8">
        <f>EOMONTH(AX9,0)</f>
        <v/>
      </c>
      <c r="AY10" s="8">
        <f>EOMONTH(AY9,0)</f>
        <v/>
      </c>
      <c r="AZ10" s="8">
        <f>EOMONTH(AZ9,0)</f>
        <v/>
      </c>
      <c r="BA10" s="8">
        <f>EOMONTH(BA9,0)</f>
        <v/>
      </c>
      <c r="BB10" s="8">
        <f>EOMONTH(BB9,0)</f>
        <v/>
      </c>
      <c r="BC10" s="8">
        <f>EOMONTH(BC9,0)</f>
        <v/>
      </c>
      <c r="BD10" s="8">
        <f>EOMONTH(BD9,0)</f>
        <v/>
      </c>
      <c r="BE10" s="8">
        <f>EOMONTH(BE9,0)</f>
        <v/>
      </c>
      <c r="BF10" s="8">
        <f>EOMONTH(BF9,0)</f>
        <v/>
      </c>
      <c r="BG10" s="8">
        <f>EOMONTH(BG9,0)</f>
        <v/>
      </c>
      <c r="BH10" s="8">
        <f>EOMONTH(BH9,0)</f>
        <v/>
      </c>
      <c r="BI10" s="8">
        <f>EOMONTH(BI9,0)</f>
        <v/>
      </c>
      <c r="BJ10" s="8">
        <f>EOMONTH(BJ9,0)</f>
        <v/>
      </c>
    </row>
    <row r="11">
      <c r="D11" t="inlineStr">
        <is>
          <t>Days</t>
        </is>
      </c>
      <c r="E11" t="inlineStr">
        <is>
          <t>days</t>
        </is>
      </c>
      <c r="J11" s="9">
        <f>J10-J9+1</f>
        <v/>
      </c>
      <c r="K11" s="9">
        <f>K10-K9+1</f>
        <v/>
      </c>
      <c r="L11" s="9">
        <f>L10-L9+1</f>
        <v/>
      </c>
      <c r="M11" s="9">
        <f>M10-M9+1</f>
        <v/>
      </c>
      <c r="N11" s="9">
        <f>N10-N9+1</f>
        <v/>
      </c>
      <c r="O11" s="9">
        <f>O10-O9+1</f>
        <v/>
      </c>
      <c r="P11" s="9">
        <f>P10-P9+1</f>
        <v/>
      </c>
      <c r="Q11" s="9">
        <f>Q10-Q9+1</f>
        <v/>
      </c>
      <c r="R11" s="9">
        <f>R10-R9+1</f>
        <v/>
      </c>
      <c r="S11" s="9">
        <f>S10-S9+1</f>
        <v/>
      </c>
      <c r="T11" s="9">
        <f>T10-T9+1</f>
        <v/>
      </c>
      <c r="U11" s="9">
        <f>U10-U9+1</f>
        <v/>
      </c>
      <c r="V11" s="9">
        <f>V10-V9+1</f>
        <v/>
      </c>
      <c r="W11" s="9">
        <f>W10-W9+1</f>
        <v/>
      </c>
      <c r="X11" s="9">
        <f>X10-X9+1</f>
        <v/>
      </c>
      <c r="Y11" s="9">
        <f>Y10-Y9+1</f>
        <v/>
      </c>
      <c r="Z11" s="9">
        <f>Z10-Z9+1</f>
        <v/>
      </c>
      <c r="AA11" s="9">
        <f>AA10-AA9+1</f>
        <v/>
      </c>
      <c r="AB11" s="9">
        <f>AB10-AB9+1</f>
        <v/>
      </c>
      <c r="AC11" s="9">
        <f>AC10-AC9+1</f>
        <v/>
      </c>
      <c r="AD11" s="9">
        <f>AD10-AD9+1</f>
        <v/>
      </c>
      <c r="AE11" s="9">
        <f>AE10-AE9+1</f>
        <v/>
      </c>
      <c r="AF11" s="9">
        <f>AF10-AF9+1</f>
        <v/>
      </c>
      <c r="AG11" s="9">
        <f>AG10-AG9+1</f>
        <v/>
      </c>
      <c r="AH11" s="9">
        <f>AH10-AH9+1</f>
        <v/>
      </c>
      <c r="AI11" s="9">
        <f>AI10-AI9+1</f>
        <v/>
      </c>
      <c r="AJ11" s="9">
        <f>AJ10-AJ9+1</f>
        <v/>
      </c>
      <c r="AK11" s="9">
        <f>AK10-AK9+1</f>
        <v/>
      </c>
      <c r="AL11" s="9">
        <f>AL10-AL9+1</f>
        <v/>
      </c>
      <c r="AM11" s="9">
        <f>AM10-AM9+1</f>
        <v/>
      </c>
      <c r="AN11" s="9">
        <f>AN10-AN9+1</f>
        <v/>
      </c>
      <c r="AO11" s="9">
        <f>AO10-AO9+1</f>
        <v/>
      </c>
      <c r="AP11" s="9">
        <f>AP10-AP9+1</f>
        <v/>
      </c>
      <c r="AQ11" s="9">
        <f>AQ10-AQ9+1</f>
        <v/>
      </c>
      <c r="AR11" s="9">
        <f>AR10-AR9+1</f>
        <v/>
      </c>
      <c r="AS11" s="9">
        <f>AS10-AS9+1</f>
        <v/>
      </c>
      <c r="AT11" s="9">
        <f>AT10-AT9+1</f>
        <v/>
      </c>
      <c r="AU11" s="9">
        <f>AU10-AU9+1</f>
        <v/>
      </c>
      <c r="AV11" s="9">
        <f>AV10-AV9+1</f>
        <v/>
      </c>
      <c r="AW11" s="9">
        <f>AW10-AW9+1</f>
        <v/>
      </c>
      <c r="AX11" s="9">
        <f>AX10-AX9+1</f>
        <v/>
      </c>
      <c r="AY11" s="9">
        <f>AY10-AY9+1</f>
        <v/>
      </c>
      <c r="AZ11" s="9">
        <f>AZ10-AZ9+1</f>
        <v/>
      </c>
      <c r="BA11" s="9">
        <f>BA10-BA9+1</f>
        <v/>
      </c>
      <c r="BB11" s="9">
        <f>BB10-BB9+1</f>
        <v/>
      </c>
      <c r="BC11" s="9">
        <f>BC10-BC9+1</f>
        <v/>
      </c>
      <c r="BD11" s="9">
        <f>BD10-BD9+1</f>
        <v/>
      </c>
      <c r="BE11" s="9">
        <f>BE10-BE9+1</f>
        <v/>
      </c>
      <c r="BF11" s="9">
        <f>BF10-BF9+1</f>
        <v/>
      </c>
      <c r="BG11" s="9">
        <f>BG10-BG9+1</f>
        <v/>
      </c>
      <c r="BH11" s="9">
        <f>BH10-BH9+1</f>
        <v/>
      </c>
      <c r="BI11" s="9">
        <f>BI10-BI9+1</f>
        <v/>
      </c>
      <c r="BJ11" s="9">
        <f>BJ10-BJ9+1</f>
        <v/>
      </c>
    </row>
    <row r="12">
      <c r="D12" t="inlineStr">
        <is>
          <t>Semiannual period number</t>
        </is>
      </c>
      <c r="E12" t="inlineStr">
        <is>
          <t>index</t>
        </is>
      </c>
      <c r="J12" s="9">
        <f>(YEAR(J9)-2018)*2+IF(MONTH(J9)&lt;=6,0,1)</f>
        <v/>
      </c>
      <c r="K12" s="9">
        <f>(YEAR(K9)-2018)*2+IF(MONTH(K9)&lt;=6,0,1)</f>
        <v/>
      </c>
      <c r="L12" s="9">
        <f>(YEAR(L9)-2018)*2+IF(MONTH(L9)&lt;=6,0,1)</f>
        <v/>
      </c>
      <c r="M12" s="9">
        <f>(YEAR(M9)-2018)*2+IF(MONTH(M9)&lt;=6,0,1)</f>
        <v/>
      </c>
      <c r="N12" s="9">
        <f>(YEAR(N9)-2018)*2+IF(MONTH(N9)&lt;=6,0,1)</f>
        <v/>
      </c>
      <c r="O12" s="9">
        <f>(YEAR(O9)-2018)*2+IF(MONTH(O9)&lt;=6,0,1)</f>
        <v/>
      </c>
      <c r="P12" s="9">
        <f>(YEAR(P9)-2018)*2+IF(MONTH(P9)&lt;=6,0,1)</f>
        <v/>
      </c>
      <c r="Q12" s="9">
        <f>(YEAR(Q9)-2018)*2+IF(MONTH(Q9)&lt;=6,0,1)</f>
        <v/>
      </c>
      <c r="R12" s="9">
        <f>(YEAR(R9)-2018)*2+IF(MONTH(R9)&lt;=6,0,1)</f>
        <v/>
      </c>
      <c r="S12" s="9">
        <f>(YEAR(S9)-2018)*2+IF(MONTH(S9)&lt;=6,0,1)</f>
        <v/>
      </c>
      <c r="T12" s="9">
        <f>(YEAR(T9)-2018)*2+IF(MONTH(T9)&lt;=6,0,1)</f>
        <v/>
      </c>
      <c r="U12" s="9">
        <f>(YEAR(U9)-2018)*2+IF(MONTH(U9)&lt;=6,0,1)</f>
        <v/>
      </c>
      <c r="V12" s="9">
        <f>(YEAR(V9)-2018)*2+IF(MONTH(V9)&lt;=6,0,1)</f>
        <v/>
      </c>
      <c r="W12" s="9">
        <f>(YEAR(W9)-2018)*2+IF(MONTH(W9)&lt;=6,0,1)</f>
        <v/>
      </c>
      <c r="X12" s="9">
        <f>(YEAR(X9)-2018)*2+IF(MONTH(X9)&lt;=6,0,1)</f>
        <v/>
      </c>
      <c r="Y12" s="9">
        <f>(YEAR(Y9)-2018)*2+IF(MONTH(Y9)&lt;=6,0,1)</f>
        <v/>
      </c>
      <c r="Z12" s="9">
        <f>(YEAR(Z9)-2018)*2+IF(MONTH(Z9)&lt;=6,0,1)</f>
        <v/>
      </c>
      <c r="AA12" s="9">
        <f>(YEAR(AA9)-2018)*2+IF(MONTH(AA9)&lt;=6,0,1)</f>
        <v/>
      </c>
      <c r="AB12" s="9">
        <f>(YEAR(AB9)-2018)*2+IF(MONTH(AB9)&lt;=6,0,1)</f>
        <v/>
      </c>
      <c r="AC12" s="9">
        <f>(YEAR(AC9)-2018)*2+IF(MONTH(AC9)&lt;=6,0,1)</f>
        <v/>
      </c>
      <c r="AD12" s="9">
        <f>(YEAR(AD9)-2018)*2+IF(MONTH(AD9)&lt;=6,0,1)</f>
        <v/>
      </c>
      <c r="AE12" s="9">
        <f>(YEAR(AE9)-2018)*2+IF(MONTH(AE9)&lt;=6,0,1)</f>
        <v/>
      </c>
      <c r="AF12" s="9">
        <f>(YEAR(AF9)-2018)*2+IF(MONTH(AF9)&lt;=6,0,1)</f>
        <v/>
      </c>
      <c r="AG12" s="9">
        <f>(YEAR(AG9)-2018)*2+IF(MONTH(AG9)&lt;=6,0,1)</f>
        <v/>
      </c>
      <c r="AH12" s="9">
        <f>(YEAR(AH9)-2018)*2+IF(MONTH(AH9)&lt;=6,0,1)</f>
        <v/>
      </c>
      <c r="AI12" s="9">
        <f>(YEAR(AI9)-2018)*2+IF(MONTH(AI9)&lt;=6,0,1)</f>
        <v/>
      </c>
      <c r="AJ12" s="9">
        <f>(YEAR(AJ9)-2018)*2+IF(MONTH(AJ9)&lt;=6,0,1)</f>
        <v/>
      </c>
      <c r="AK12" s="9">
        <f>(YEAR(AK9)-2018)*2+IF(MONTH(AK9)&lt;=6,0,1)</f>
        <v/>
      </c>
      <c r="AL12" s="9">
        <f>(YEAR(AL9)-2018)*2+IF(MONTH(AL9)&lt;=6,0,1)</f>
        <v/>
      </c>
      <c r="AM12" s="9">
        <f>(YEAR(AM9)-2018)*2+IF(MONTH(AM9)&lt;=6,0,1)</f>
        <v/>
      </c>
      <c r="AN12" s="9">
        <f>(YEAR(AN9)-2018)*2+IF(MONTH(AN9)&lt;=6,0,1)</f>
        <v/>
      </c>
      <c r="AO12" s="9">
        <f>(YEAR(AO9)-2018)*2+IF(MONTH(AO9)&lt;=6,0,1)</f>
        <v/>
      </c>
      <c r="AP12" s="9">
        <f>(YEAR(AP9)-2018)*2+IF(MONTH(AP9)&lt;=6,0,1)</f>
        <v/>
      </c>
      <c r="AQ12" s="9">
        <f>(YEAR(AQ9)-2018)*2+IF(MONTH(AQ9)&lt;=6,0,1)</f>
        <v/>
      </c>
      <c r="AR12" s="9">
        <f>(YEAR(AR9)-2018)*2+IF(MONTH(AR9)&lt;=6,0,1)</f>
        <v/>
      </c>
      <c r="AS12" s="9">
        <f>(YEAR(AS9)-2018)*2+IF(MONTH(AS9)&lt;=6,0,1)</f>
        <v/>
      </c>
      <c r="AT12" s="9">
        <f>(YEAR(AT9)-2018)*2+IF(MONTH(AT9)&lt;=6,0,1)</f>
        <v/>
      </c>
      <c r="AU12" s="9">
        <f>(YEAR(AU9)-2018)*2+IF(MONTH(AU9)&lt;=6,0,1)</f>
        <v/>
      </c>
      <c r="AV12" s="9">
        <f>(YEAR(AV9)-2018)*2+IF(MONTH(AV9)&lt;=6,0,1)</f>
        <v/>
      </c>
      <c r="AW12" s="9">
        <f>(YEAR(AW9)-2018)*2+IF(MONTH(AW9)&lt;=6,0,1)</f>
        <v/>
      </c>
      <c r="AX12" s="9">
        <f>(YEAR(AX9)-2018)*2+IF(MONTH(AX9)&lt;=6,0,1)</f>
        <v/>
      </c>
      <c r="AY12" s="9">
        <f>(YEAR(AY9)-2018)*2+IF(MONTH(AY9)&lt;=6,0,1)</f>
        <v/>
      </c>
      <c r="AZ12" s="9">
        <f>(YEAR(AZ9)-2018)*2+IF(MONTH(AZ9)&lt;=6,0,1)</f>
        <v/>
      </c>
      <c r="BA12" s="9">
        <f>(YEAR(BA9)-2018)*2+IF(MONTH(BA9)&lt;=6,0,1)</f>
        <v/>
      </c>
      <c r="BB12" s="9">
        <f>(YEAR(BB9)-2018)*2+IF(MONTH(BB9)&lt;=6,0,1)</f>
        <v/>
      </c>
      <c r="BC12" s="9">
        <f>(YEAR(BC9)-2018)*2+IF(MONTH(BC9)&lt;=6,0,1)</f>
        <v/>
      </c>
      <c r="BD12" s="9">
        <f>(YEAR(BD9)-2018)*2+IF(MONTH(BD9)&lt;=6,0,1)</f>
        <v/>
      </c>
      <c r="BE12" s="9">
        <f>(YEAR(BE9)-2018)*2+IF(MONTH(BE9)&lt;=6,0,1)</f>
        <v/>
      </c>
      <c r="BF12" s="9">
        <f>(YEAR(BF9)-2018)*2+IF(MONTH(BF9)&lt;=6,0,1)</f>
        <v/>
      </c>
      <c r="BG12" s="9">
        <f>(YEAR(BG9)-2018)*2+IF(MONTH(BG9)&lt;=6,0,1)</f>
        <v/>
      </c>
      <c r="BH12" s="9">
        <f>(YEAR(BH9)-2018)*2+IF(MONTH(BH9)&lt;=6,0,1)</f>
        <v/>
      </c>
      <c r="BI12" s="9">
        <f>(YEAR(BI9)-2018)*2+IF(MONTH(BI9)&lt;=6,0,1)</f>
        <v/>
      </c>
      <c r="BJ12" s="9">
        <f>(YEAR(BJ9)-2018)*2+IF(MONTH(BJ9)&lt;=6,0,1)</f>
        <v/>
      </c>
    </row>
    <row r="13">
      <c r="D13" t="inlineStr">
        <is>
          <t>Flag_Construction (before COD)</t>
        </is>
      </c>
      <c r="E13" t="inlineStr">
        <is>
          <t>flag</t>
        </is>
      </c>
      <c r="J13" s="9">
        <f>IF(J8&lt;=Time!$F$10,1,0)</f>
        <v/>
      </c>
      <c r="K13" s="9">
        <f>IF(K8&lt;=Time!$F$10,1,0)</f>
        <v/>
      </c>
      <c r="L13" s="9">
        <f>IF(L8&lt;=Time!$F$10,1,0)</f>
        <v/>
      </c>
      <c r="M13" s="9">
        <f>IF(M8&lt;=Time!$F$10,1,0)</f>
        <v/>
      </c>
      <c r="N13" s="9">
        <f>IF(N8&lt;=Time!$F$10,1,0)</f>
        <v/>
      </c>
      <c r="O13" s="9">
        <f>IF(O8&lt;=Time!$F$10,1,0)</f>
        <v/>
      </c>
      <c r="P13" s="9">
        <f>IF(P8&lt;=Time!$F$10,1,0)</f>
        <v/>
      </c>
      <c r="Q13" s="9">
        <f>IF(Q8&lt;=Time!$F$10,1,0)</f>
        <v/>
      </c>
      <c r="R13" s="9">
        <f>IF(R8&lt;=Time!$F$10,1,0)</f>
        <v/>
      </c>
      <c r="S13" s="9">
        <f>IF(S8&lt;=Time!$F$10,1,0)</f>
        <v/>
      </c>
      <c r="T13" s="9">
        <f>IF(T8&lt;=Time!$F$10,1,0)</f>
        <v/>
      </c>
      <c r="U13" s="9">
        <f>IF(U8&lt;=Time!$F$10,1,0)</f>
        <v/>
      </c>
      <c r="V13" s="9">
        <f>IF(V8&lt;=Time!$F$10,1,0)</f>
        <v/>
      </c>
      <c r="W13" s="9">
        <f>IF(W8&lt;=Time!$F$10,1,0)</f>
        <v/>
      </c>
      <c r="X13" s="9">
        <f>IF(X8&lt;=Time!$F$10,1,0)</f>
        <v/>
      </c>
      <c r="Y13" s="9">
        <f>IF(Y8&lt;=Time!$F$10,1,0)</f>
        <v/>
      </c>
      <c r="Z13" s="9">
        <f>IF(Z8&lt;=Time!$F$10,1,0)</f>
        <v/>
      </c>
      <c r="AA13" s="9">
        <f>IF(AA8&lt;=Time!$F$10,1,0)</f>
        <v/>
      </c>
      <c r="AB13" s="9">
        <f>IF(AB8&lt;=Time!$F$10,1,0)</f>
        <v/>
      </c>
      <c r="AC13" s="9">
        <f>IF(AC8&lt;=Time!$F$10,1,0)</f>
        <v/>
      </c>
      <c r="AD13" s="9">
        <f>IF(AD8&lt;=Time!$F$10,1,0)</f>
        <v/>
      </c>
      <c r="AE13" s="9">
        <f>IF(AE8&lt;=Time!$F$10,1,0)</f>
        <v/>
      </c>
      <c r="AF13" s="9">
        <f>IF(AF8&lt;=Time!$F$10,1,0)</f>
        <v/>
      </c>
      <c r="AG13" s="9">
        <f>IF(AG8&lt;=Time!$F$10,1,0)</f>
        <v/>
      </c>
      <c r="AH13" s="9">
        <f>IF(AH8&lt;=Time!$F$10,1,0)</f>
        <v/>
      </c>
      <c r="AI13" s="9">
        <f>IF(AI8&lt;=Time!$F$10,1,0)</f>
        <v/>
      </c>
      <c r="AJ13" s="9">
        <f>IF(AJ8&lt;=Time!$F$10,1,0)</f>
        <v/>
      </c>
      <c r="AK13" s="9">
        <f>IF(AK8&lt;=Time!$F$10,1,0)</f>
        <v/>
      </c>
      <c r="AL13" s="9">
        <f>IF(AL8&lt;=Time!$F$10,1,0)</f>
        <v/>
      </c>
      <c r="AM13" s="9">
        <f>IF(AM8&lt;=Time!$F$10,1,0)</f>
        <v/>
      </c>
      <c r="AN13" s="9">
        <f>IF(AN8&lt;=Time!$F$10,1,0)</f>
        <v/>
      </c>
      <c r="AO13" s="9">
        <f>IF(AO8&lt;=Time!$F$10,1,0)</f>
        <v/>
      </c>
      <c r="AP13" s="9">
        <f>IF(AP8&lt;=Time!$F$10,1,0)</f>
        <v/>
      </c>
      <c r="AQ13" s="9">
        <f>IF(AQ8&lt;=Time!$F$10,1,0)</f>
        <v/>
      </c>
      <c r="AR13" s="9">
        <f>IF(AR8&lt;=Time!$F$10,1,0)</f>
        <v/>
      </c>
      <c r="AS13" s="9">
        <f>IF(AS8&lt;=Time!$F$10,1,0)</f>
        <v/>
      </c>
      <c r="AT13" s="9">
        <f>IF(AT8&lt;=Time!$F$10,1,0)</f>
        <v/>
      </c>
      <c r="AU13" s="9">
        <f>IF(AU8&lt;=Time!$F$10,1,0)</f>
        <v/>
      </c>
      <c r="AV13" s="9">
        <f>IF(AV8&lt;=Time!$F$10,1,0)</f>
        <v/>
      </c>
      <c r="AW13" s="9">
        <f>IF(AW8&lt;=Time!$F$10,1,0)</f>
        <v/>
      </c>
      <c r="AX13" s="9">
        <f>IF(AX8&lt;=Time!$F$10,1,0)</f>
        <v/>
      </c>
      <c r="AY13" s="9">
        <f>IF(AY8&lt;=Time!$F$10,1,0)</f>
        <v/>
      </c>
      <c r="AZ13" s="9">
        <f>IF(AZ8&lt;=Time!$F$10,1,0)</f>
        <v/>
      </c>
      <c r="BA13" s="9">
        <f>IF(BA8&lt;=Time!$F$10,1,0)</f>
        <v/>
      </c>
      <c r="BB13" s="9">
        <f>IF(BB8&lt;=Time!$F$10,1,0)</f>
        <v/>
      </c>
      <c r="BC13" s="9">
        <f>IF(BC8&lt;=Time!$F$10,1,0)</f>
        <v/>
      </c>
      <c r="BD13" s="9">
        <f>IF(BD8&lt;=Time!$F$10,1,0)</f>
        <v/>
      </c>
      <c r="BE13" s="9">
        <f>IF(BE8&lt;=Time!$F$10,1,0)</f>
        <v/>
      </c>
      <c r="BF13" s="9">
        <f>IF(BF8&lt;=Time!$F$10,1,0)</f>
        <v/>
      </c>
      <c r="BG13" s="9">
        <f>IF(BG8&lt;=Time!$F$10,1,0)</f>
        <v/>
      </c>
      <c r="BH13" s="9">
        <f>IF(BH8&lt;=Time!$F$10,1,0)</f>
        <v/>
      </c>
      <c r="BI13" s="9">
        <f>IF(BI8&lt;=Time!$F$10,1,0)</f>
        <v/>
      </c>
      <c r="BJ13" s="9">
        <f>IF(BJ8&lt;=Time!$F$10,1,0)</f>
        <v/>
      </c>
    </row>
    <row r="14">
      <c r="D14" t="inlineStr">
        <is>
          <t>Flag_FundingPeriod (to end of COD period)</t>
        </is>
      </c>
      <c r="E14" t="inlineStr">
        <is>
          <t>flag</t>
        </is>
      </c>
      <c r="J14" s="9">
        <f>IF(J8&lt;=Time!$F$13,1,0)</f>
        <v/>
      </c>
      <c r="K14" s="9">
        <f>IF(K8&lt;=Time!$F$13,1,0)</f>
        <v/>
      </c>
      <c r="L14" s="9">
        <f>IF(L8&lt;=Time!$F$13,1,0)</f>
        <v/>
      </c>
      <c r="M14" s="9">
        <f>IF(M8&lt;=Time!$F$13,1,0)</f>
        <v/>
      </c>
      <c r="N14" s="9">
        <f>IF(N8&lt;=Time!$F$13,1,0)</f>
        <v/>
      </c>
      <c r="O14" s="9">
        <f>IF(O8&lt;=Time!$F$13,1,0)</f>
        <v/>
      </c>
      <c r="P14" s="9">
        <f>IF(P8&lt;=Time!$F$13,1,0)</f>
        <v/>
      </c>
      <c r="Q14" s="9">
        <f>IF(Q8&lt;=Time!$F$13,1,0)</f>
        <v/>
      </c>
      <c r="R14" s="9">
        <f>IF(R8&lt;=Time!$F$13,1,0)</f>
        <v/>
      </c>
      <c r="S14" s="9">
        <f>IF(S8&lt;=Time!$F$13,1,0)</f>
        <v/>
      </c>
      <c r="T14" s="9">
        <f>IF(T8&lt;=Time!$F$13,1,0)</f>
        <v/>
      </c>
      <c r="U14" s="9">
        <f>IF(U8&lt;=Time!$F$13,1,0)</f>
        <v/>
      </c>
      <c r="V14" s="9">
        <f>IF(V8&lt;=Time!$F$13,1,0)</f>
        <v/>
      </c>
      <c r="W14" s="9">
        <f>IF(W8&lt;=Time!$F$13,1,0)</f>
        <v/>
      </c>
      <c r="X14" s="9">
        <f>IF(X8&lt;=Time!$F$13,1,0)</f>
        <v/>
      </c>
      <c r="Y14" s="9">
        <f>IF(Y8&lt;=Time!$F$13,1,0)</f>
        <v/>
      </c>
      <c r="Z14" s="9">
        <f>IF(Z8&lt;=Time!$F$13,1,0)</f>
        <v/>
      </c>
      <c r="AA14" s="9">
        <f>IF(AA8&lt;=Time!$F$13,1,0)</f>
        <v/>
      </c>
      <c r="AB14" s="9">
        <f>IF(AB8&lt;=Time!$F$13,1,0)</f>
        <v/>
      </c>
      <c r="AC14" s="9">
        <f>IF(AC8&lt;=Time!$F$13,1,0)</f>
        <v/>
      </c>
      <c r="AD14" s="9">
        <f>IF(AD8&lt;=Time!$F$13,1,0)</f>
        <v/>
      </c>
      <c r="AE14" s="9">
        <f>IF(AE8&lt;=Time!$F$13,1,0)</f>
        <v/>
      </c>
      <c r="AF14" s="9">
        <f>IF(AF8&lt;=Time!$F$13,1,0)</f>
        <v/>
      </c>
      <c r="AG14" s="9">
        <f>IF(AG8&lt;=Time!$F$13,1,0)</f>
        <v/>
      </c>
      <c r="AH14" s="9">
        <f>IF(AH8&lt;=Time!$F$13,1,0)</f>
        <v/>
      </c>
      <c r="AI14" s="9">
        <f>IF(AI8&lt;=Time!$F$13,1,0)</f>
        <v/>
      </c>
      <c r="AJ14" s="9">
        <f>IF(AJ8&lt;=Time!$F$13,1,0)</f>
        <v/>
      </c>
      <c r="AK14" s="9">
        <f>IF(AK8&lt;=Time!$F$13,1,0)</f>
        <v/>
      </c>
      <c r="AL14" s="9">
        <f>IF(AL8&lt;=Time!$F$13,1,0)</f>
        <v/>
      </c>
      <c r="AM14" s="9">
        <f>IF(AM8&lt;=Time!$F$13,1,0)</f>
        <v/>
      </c>
      <c r="AN14" s="9">
        <f>IF(AN8&lt;=Time!$F$13,1,0)</f>
        <v/>
      </c>
      <c r="AO14" s="9">
        <f>IF(AO8&lt;=Time!$F$13,1,0)</f>
        <v/>
      </c>
      <c r="AP14" s="9">
        <f>IF(AP8&lt;=Time!$F$13,1,0)</f>
        <v/>
      </c>
      <c r="AQ14" s="9">
        <f>IF(AQ8&lt;=Time!$F$13,1,0)</f>
        <v/>
      </c>
      <c r="AR14" s="9">
        <f>IF(AR8&lt;=Time!$F$13,1,0)</f>
        <v/>
      </c>
      <c r="AS14" s="9">
        <f>IF(AS8&lt;=Time!$F$13,1,0)</f>
        <v/>
      </c>
      <c r="AT14" s="9">
        <f>IF(AT8&lt;=Time!$F$13,1,0)</f>
        <v/>
      </c>
      <c r="AU14" s="9">
        <f>IF(AU8&lt;=Time!$F$13,1,0)</f>
        <v/>
      </c>
      <c r="AV14" s="9">
        <f>IF(AV8&lt;=Time!$F$13,1,0)</f>
        <v/>
      </c>
      <c r="AW14" s="9">
        <f>IF(AW8&lt;=Time!$F$13,1,0)</f>
        <v/>
      </c>
      <c r="AX14" s="9">
        <f>IF(AX8&lt;=Time!$F$13,1,0)</f>
        <v/>
      </c>
      <c r="AY14" s="9">
        <f>IF(AY8&lt;=Time!$F$13,1,0)</f>
        <v/>
      </c>
      <c r="AZ14" s="9">
        <f>IF(AZ8&lt;=Time!$F$13,1,0)</f>
        <v/>
      </c>
      <c r="BA14" s="9">
        <f>IF(BA8&lt;=Time!$F$13,1,0)</f>
        <v/>
      </c>
      <c r="BB14" s="9">
        <f>IF(BB8&lt;=Time!$F$13,1,0)</f>
        <v/>
      </c>
      <c r="BC14" s="9">
        <f>IF(BC8&lt;=Time!$F$13,1,0)</f>
        <v/>
      </c>
      <c r="BD14" s="9">
        <f>IF(BD8&lt;=Time!$F$13,1,0)</f>
        <v/>
      </c>
      <c r="BE14" s="9">
        <f>IF(BE8&lt;=Time!$F$13,1,0)</f>
        <v/>
      </c>
      <c r="BF14" s="9">
        <f>IF(BF8&lt;=Time!$F$13,1,0)</f>
        <v/>
      </c>
      <c r="BG14" s="9">
        <f>IF(BG8&lt;=Time!$F$13,1,0)</f>
        <v/>
      </c>
      <c r="BH14" s="9">
        <f>IF(BH8&lt;=Time!$F$13,1,0)</f>
        <v/>
      </c>
      <c r="BI14" s="9">
        <f>IF(BI8&lt;=Time!$F$13,1,0)</f>
        <v/>
      </c>
      <c r="BJ14" s="9">
        <f>IF(BJ8&lt;=Time!$F$13,1,0)</f>
        <v/>
      </c>
    </row>
    <row r="15">
      <c r="D15" t="inlineStr">
        <is>
          <t>Flag_CODMonth</t>
        </is>
      </c>
      <c r="E15" t="inlineStr">
        <is>
          <t>flag</t>
        </is>
      </c>
      <c r="J15" s="9">
        <f>IF(J8=Time!$F$10+1,1,0)</f>
        <v/>
      </c>
      <c r="K15" s="9">
        <f>IF(K8=Time!$F$10+1,1,0)</f>
        <v/>
      </c>
      <c r="L15" s="9">
        <f>IF(L8=Time!$F$10+1,1,0)</f>
        <v/>
      </c>
      <c r="M15" s="9">
        <f>IF(M8=Time!$F$10+1,1,0)</f>
        <v/>
      </c>
      <c r="N15" s="9">
        <f>IF(N8=Time!$F$10+1,1,0)</f>
        <v/>
      </c>
      <c r="O15" s="9">
        <f>IF(O8=Time!$F$10+1,1,0)</f>
        <v/>
      </c>
      <c r="P15" s="9">
        <f>IF(P8=Time!$F$10+1,1,0)</f>
        <v/>
      </c>
      <c r="Q15" s="9">
        <f>IF(Q8=Time!$F$10+1,1,0)</f>
        <v/>
      </c>
      <c r="R15" s="9">
        <f>IF(R8=Time!$F$10+1,1,0)</f>
        <v/>
      </c>
      <c r="S15" s="9">
        <f>IF(S8=Time!$F$10+1,1,0)</f>
        <v/>
      </c>
      <c r="T15" s="9">
        <f>IF(T8=Time!$F$10+1,1,0)</f>
        <v/>
      </c>
      <c r="U15" s="9">
        <f>IF(U8=Time!$F$10+1,1,0)</f>
        <v/>
      </c>
      <c r="V15" s="9">
        <f>IF(V8=Time!$F$10+1,1,0)</f>
        <v/>
      </c>
      <c r="W15" s="9">
        <f>IF(W8=Time!$F$10+1,1,0)</f>
        <v/>
      </c>
      <c r="X15" s="9">
        <f>IF(X8=Time!$F$10+1,1,0)</f>
        <v/>
      </c>
      <c r="Y15" s="9">
        <f>IF(Y8=Time!$F$10+1,1,0)</f>
        <v/>
      </c>
      <c r="Z15" s="9">
        <f>IF(Z8=Time!$F$10+1,1,0)</f>
        <v/>
      </c>
      <c r="AA15" s="9">
        <f>IF(AA8=Time!$F$10+1,1,0)</f>
        <v/>
      </c>
      <c r="AB15" s="9">
        <f>IF(AB8=Time!$F$10+1,1,0)</f>
        <v/>
      </c>
      <c r="AC15" s="9">
        <f>IF(AC8=Time!$F$10+1,1,0)</f>
        <v/>
      </c>
      <c r="AD15" s="9">
        <f>IF(AD8=Time!$F$10+1,1,0)</f>
        <v/>
      </c>
      <c r="AE15" s="9">
        <f>IF(AE8=Time!$F$10+1,1,0)</f>
        <v/>
      </c>
      <c r="AF15" s="9">
        <f>IF(AF8=Time!$F$10+1,1,0)</f>
        <v/>
      </c>
      <c r="AG15" s="9">
        <f>IF(AG8=Time!$F$10+1,1,0)</f>
        <v/>
      </c>
      <c r="AH15" s="9">
        <f>IF(AH8=Time!$F$10+1,1,0)</f>
        <v/>
      </c>
      <c r="AI15" s="9">
        <f>IF(AI8=Time!$F$10+1,1,0)</f>
        <v/>
      </c>
      <c r="AJ15" s="9">
        <f>IF(AJ8=Time!$F$10+1,1,0)</f>
        <v/>
      </c>
      <c r="AK15" s="9">
        <f>IF(AK8=Time!$F$10+1,1,0)</f>
        <v/>
      </c>
      <c r="AL15" s="9">
        <f>IF(AL8=Time!$F$10+1,1,0)</f>
        <v/>
      </c>
      <c r="AM15" s="9">
        <f>IF(AM8=Time!$F$10+1,1,0)</f>
        <v/>
      </c>
      <c r="AN15" s="9">
        <f>IF(AN8=Time!$F$10+1,1,0)</f>
        <v/>
      </c>
      <c r="AO15" s="9">
        <f>IF(AO8=Time!$F$10+1,1,0)</f>
        <v/>
      </c>
      <c r="AP15" s="9">
        <f>IF(AP8=Time!$F$10+1,1,0)</f>
        <v/>
      </c>
      <c r="AQ15" s="9">
        <f>IF(AQ8=Time!$F$10+1,1,0)</f>
        <v/>
      </c>
      <c r="AR15" s="9">
        <f>IF(AR8=Time!$F$10+1,1,0)</f>
        <v/>
      </c>
      <c r="AS15" s="9">
        <f>IF(AS8=Time!$F$10+1,1,0)</f>
        <v/>
      </c>
      <c r="AT15" s="9">
        <f>IF(AT8=Time!$F$10+1,1,0)</f>
        <v/>
      </c>
      <c r="AU15" s="9">
        <f>IF(AU8=Time!$F$10+1,1,0)</f>
        <v/>
      </c>
      <c r="AV15" s="9">
        <f>IF(AV8=Time!$F$10+1,1,0)</f>
        <v/>
      </c>
      <c r="AW15" s="9">
        <f>IF(AW8=Time!$F$10+1,1,0)</f>
        <v/>
      </c>
      <c r="AX15" s="9">
        <f>IF(AX8=Time!$F$10+1,1,0)</f>
        <v/>
      </c>
      <c r="AY15" s="9">
        <f>IF(AY8=Time!$F$10+1,1,0)</f>
        <v/>
      </c>
      <c r="AZ15" s="9">
        <f>IF(AZ8=Time!$F$10+1,1,0)</f>
        <v/>
      </c>
      <c r="BA15" s="9">
        <f>IF(BA8=Time!$F$10+1,1,0)</f>
        <v/>
      </c>
      <c r="BB15" s="9">
        <f>IF(BB8=Time!$F$10+1,1,0)</f>
        <v/>
      </c>
      <c r="BC15" s="9">
        <f>IF(BC8=Time!$F$10+1,1,0)</f>
        <v/>
      </c>
      <c r="BD15" s="9">
        <f>IF(BD8=Time!$F$10+1,1,0)</f>
        <v/>
      </c>
      <c r="BE15" s="9">
        <f>IF(BE8=Time!$F$10+1,1,0)</f>
        <v/>
      </c>
      <c r="BF15" s="9">
        <f>IF(BF8=Time!$F$10+1,1,0)</f>
        <v/>
      </c>
      <c r="BG15" s="9">
        <f>IF(BG8=Time!$F$10+1,1,0)</f>
        <v/>
      </c>
      <c r="BH15" s="9">
        <f>IF(BH8=Time!$F$10+1,1,0)</f>
        <v/>
      </c>
      <c r="BI15" s="9">
        <f>IF(BI8=Time!$F$10+1,1,0)</f>
        <v/>
      </c>
      <c r="BJ15" s="9">
        <f>IF(BJ8=Time!$F$10+1,1,0)</f>
        <v/>
      </c>
    </row>
    <row r="16">
      <c r="D16" t="inlineStr">
        <is>
          <t>KCR per USD</t>
        </is>
      </c>
      <c r="E16" t="inlineStr">
        <is>
          <t>KCR/USD</t>
        </is>
      </c>
      <c r="J16" s="11">
        <f>IF(Inputs!$F$32=1,Inputs!$F$58*Time!$F$15^((J8-0.5)/12),INDEX(Operations!$J$11:$BN$11,1,J12))</f>
        <v/>
      </c>
      <c r="K16" s="11">
        <f>IF(Inputs!$F$32=1,Inputs!$F$58*Time!$F$15^((K8-0.5)/12),INDEX(Operations!$J$11:$BN$11,1,K12))</f>
        <v/>
      </c>
      <c r="L16" s="11">
        <f>IF(Inputs!$F$32=1,Inputs!$F$58*Time!$F$15^((L8-0.5)/12),INDEX(Operations!$J$11:$BN$11,1,L12))</f>
        <v/>
      </c>
      <c r="M16" s="11">
        <f>IF(Inputs!$F$32=1,Inputs!$F$58*Time!$F$15^((M8-0.5)/12),INDEX(Operations!$J$11:$BN$11,1,M12))</f>
        <v/>
      </c>
      <c r="N16" s="11">
        <f>IF(Inputs!$F$32=1,Inputs!$F$58*Time!$F$15^((N8-0.5)/12),INDEX(Operations!$J$11:$BN$11,1,N12))</f>
        <v/>
      </c>
      <c r="O16" s="11">
        <f>IF(Inputs!$F$32=1,Inputs!$F$58*Time!$F$15^((O8-0.5)/12),INDEX(Operations!$J$11:$BN$11,1,O12))</f>
        <v/>
      </c>
      <c r="P16" s="11">
        <f>IF(Inputs!$F$32=1,Inputs!$F$58*Time!$F$15^((P8-0.5)/12),INDEX(Operations!$J$11:$BN$11,1,P12))</f>
        <v/>
      </c>
      <c r="Q16" s="11">
        <f>IF(Inputs!$F$32=1,Inputs!$F$58*Time!$F$15^((Q8-0.5)/12),INDEX(Operations!$J$11:$BN$11,1,Q12))</f>
        <v/>
      </c>
      <c r="R16" s="11">
        <f>IF(Inputs!$F$32=1,Inputs!$F$58*Time!$F$15^((R8-0.5)/12),INDEX(Operations!$J$11:$BN$11,1,R12))</f>
        <v/>
      </c>
      <c r="S16" s="11">
        <f>IF(Inputs!$F$32=1,Inputs!$F$58*Time!$F$15^((S8-0.5)/12),INDEX(Operations!$J$11:$BN$11,1,S12))</f>
        <v/>
      </c>
      <c r="T16" s="11">
        <f>IF(Inputs!$F$32=1,Inputs!$F$58*Time!$F$15^((T8-0.5)/12),INDEX(Operations!$J$11:$BN$11,1,T12))</f>
        <v/>
      </c>
      <c r="U16" s="11">
        <f>IF(Inputs!$F$32=1,Inputs!$F$58*Time!$F$15^((U8-0.5)/12),INDEX(Operations!$J$11:$BN$11,1,U12))</f>
        <v/>
      </c>
      <c r="V16" s="11">
        <f>IF(Inputs!$F$32=1,Inputs!$F$58*Time!$F$15^((V8-0.5)/12),INDEX(Operations!$J$11:$BN$11,1,V12))</f>
        <v/>
      </c>
      <c r="W16" s="11">
        <f>IF(Inputs!$F$32=1,Inputs!$F$58*Time!$F$15^((W8-0.5)/12),INDEX(Operations!$J$11:$BN$11,1,W12))</f>
        <v/>
      </c>
      <c r="X16" s="11">
        <f>IF(Inputs!$F$32=1,Inputs!$F$58*Time!$F$15^((X8-0.5)/12),INDEX(Operations!$J$11:$BN$11,1,X12))</f>
        <v/>
      </c>
      <c r="Y16" s="11">
        <f>IF(Inputs!$F$32=1,Inputs!$F$58*Time!$F$15^((Y8-0.5)/12),INDEX(Operations!$J$11:$BN$11,1,Y12))</f>
        <v/>
      </c>
      <c r="Z16" s="11">
        <f>IF(Inputs!$F$32=1,Inputs!$F$58*Time!$F$15^((Z8-0.5)/12),INDEX(Operations!$J$11:$BN$11,1,Z12))</f>
        <v/>
      </c>
      <c r="AA16" s="11">
        <f>IF(Inputs!$F$32=1,Inputs!$F$58*Time!$F$15^((AA8-0.5)/12),INDEX(Operations!$J$11:$BN$11,1,AA12))</f>
        <v/>
      </c>
      <c r="AB16" s="11">
        <f>IF(Inputs!$F$32=1,Inputs!$F$58*Time!$F$15^((AB8-0.5)/12),INDEX(Operations!$J$11:$BN$11,1,AB12))</f>
        <v/>
      </c>
      <c r="AC16" s="11">
        <f>IF(Inputs!$F$32=1,Inputs!$F$58*Time!$F$15^((AC8-0.5)/12),INDEX(Operations!$J$11:$BN$11,1,AC12))</f>
        <v/>
      </c>
      <c r="AD16" s="11">
        <f>IF(Inputs!$F$32=1,Inputs!$F$58*Time!$F$15^((AD8-0.5)/12),INDEX(Operations!$J$11:$BN$11,1,AD12))</f>
        <v/>
      </c>
      <c r="AE16" s="11">
        <f>IF(Inputs!$F$32=1,Inputs!$F$58*Time!$F$15^((AE8-0.5)/12),INDEX(Operations!$J$11:$BN$11,1,AE12))</f>
        <v/>
      </c>
      <c r="AF16" s="11">
        <f>IF(Inputs!$F$32=1,Inputs!$F$58*Time!$F$15^((AF8-0.5)/12),INDEX(Operations!$J$11:$BN$11,1,AF12))</f>
        <v/>
      </c>
      <c r="AG16" s="11">
        <f>IF(Inputs!$F$32=1,Inputs!$F$58*Time!$F$15^((AG8-0.5)/12),INDEX(Operations!$J$11:$BN$11,1,AG12))</f>
        <v/>
      </c>
      <c r="AH16" s="11">
        <f>IF(Inputs!$F$32=1,Inputs!$F$58*Time!$F$15^((AH8-0.5)/12),INDEX(Operations!$J$11:$BN$11,1,AH12))</f>
        <v/>
      </c>
      <c r="AI16" s="11">
        <f>IF(Inputs!$F$32=1,Inputs!$F$58*Time!$F$15^((AI8-0.5)/12),INDEX(Operations!$J$11:$BN$11,1,AI12))</f>
        <v/>
      </c>
      <c r="AJ16" s="11">
        <f>IF(Inputs!$F$32=1,Inputs!$F$58*Time!$F$15^((AJ8-0.5)/12),INDEX(Operations!$J$11:$BN$11,1,AJ12))</f>
        <v/>
      </c>
      <c r="AK16" s="11">
        <f>IF(Inputs!$F$32=1,Inputs!$F$58*Time!$F$15^((AK8-0.5)/12),INDEX(Operations!$J$11:$BN$11,1,AK12))</f>
        <v/>
      </c>
      <c r="AL16" s="11">
        <f>IF(Inputs!$F$32=1,Inputs!$F$58*Time!$F$15^((AL8-0.5)/12),INDEX(Operations!$J$11:$BN$11,1,AL12))</f>
        <v/>
      </c>
      <c r="AM16" s="11">
        <f>IF(Inputs!$F$32=1,Inputs!$F$58*Time!$F$15^((AM8-0.5)/12),INDEX(Operations!$J$11:$BN$11,1,AM12))</f>
        <v/>
      </c>
      <c r="AN16" s="11">
        <f>IF(Inputs!$F$32=1,Inputs!$F$58*Time!$F$15^((AN8-0.5)/12),INDEX(Operations!$J$11:$BN$11,1,AN12))</f>
        <v/>
      </c>
      <c r="AO16" s="11">
        <f>IF(Inputs!$F$32=1,Inputs!$F$58*Time!$F$15^((AO8-0.5)/12),INDEX(Operations!$J$11:$BN$11,1,AO12))</f>
        <v/>
      </c>
      <c r="AP16" s="11">
        <f>IF(Inputs!$F$32=1,Inputs!$F$58*Time!$F$15^((AP8-0.5)/12),INDEX(Operations!$J$11:$BN$11,1,AP12))</f>
        <v/>
      </c>
      <c r="AQ16" s="11">
        <f>IF(Inputs!$F$32=1,Inputs!$F$58*Time!$F$15^((AQ8-0.5)/12),INDEX(Operations!$J$11:$BN$11,1,AQ12))</f>
        <v/>
      </c>
      <c r="AR16" s="11">
        <f>IF(Inputs!$F$32=1,Inputs!$F$58*Time!$F$15^((AR8-0.5)/12),INDEX(Operations!$J$11:$BN$11,1,AR12))</f>
        <v/>
      </c>
      <c r="AS16" s="11">
        <f>IF(Inputs!$F$32=1,Inputs!$F$58*Time!$F$15^((AS8-0.5)/12),INDEX(Operations!$J$11:$BN$11,1,AS12))</f>
        <v/>
      </c>
      <c r="AT16" s="11">
        <f>IF(Inputs!$F$32=1,Inputs!$F$58*Time!$F$15^((AT8-0.5)/12),INDEX(Operations!$J$11:$BN$11,1,AT12))</f>
        <v/>
      </c>
      <c r="AU16" s="11">
        <f>IF(Inputs!$F$32=1,Inputs!$F$58*Time!$F$15^((AU8-0.5)/12),INDEX(Operations!$J$11:$BN$11,1,AU12))</f>
        <v/>
      </c>
      <c r="AV16" s="11">
        <f>IF(Inputs!$F$32=1,Inputs!$F$58*Time!$F$15^((AV8-0.5)/12),INDEX(Operations!$J$11:$BN$11,1,AV12))</f>
        <v/>
      </c>
      <c r="AW16" s="11">
        <f>IF(Inputs!$F$32=1,Inputs!$F$58*Time!$F$15^((AW8-0.5)/12),INDEX(Operations!$J$11:$BN$11,1,AW12))</f>
        <v/>
      </c>
      <c r="AX16" s="11">
        <f>IF(Inputs!$F$32=1,Inputs!$F$58*Time!$F$15^((AX8-0.5)/12),INDEX(Operations!$J$11:$BN$11,1,AX12))</f>
        <v/>
      </c>
      <c r="AY16" s="11">
        <f>IF(Inputs!$F$32=1,Inputs!$F$58*Time!$F$15^((AY8-0.5)/12),INDEX(Operations!$J$11:$BN$11,1,AY12))</f>
        <v/>
      </c>
      <c r="AZ16" s="11">
        <f>IF(Inputs!$F$32=1,Inputs!$F$58*Time!$F$15^((AZ8-0.5)/12),INDEX(Operations!$J$11:$BN$11,1,AZ12))</f>
        <v/>
      </c>
      <c r="BA16" s="11">
        <f>IF(Inputs!$F$32=1,Inputs!$F$58*Time!$F$15^((BA8-0.5)/12),INDEX(Operations!$J$11:$BN$11,1,BA12))</f>
        <v/>
      </c>
      <c r="BB16" s="11">
        <f>IF(Inputs!$F$32=1,Inputs!$F$58*Time!$F$15^((BB8-0.5)/12),INDEX(Operations!$J$11:$BN$11,1,BB12))</f>
        <v/>
      </c>
      <c r="BC16" s="11">
        <f>IF(Inputs!$F$32=1,Inputs!$F$58*Time!$F$15^((BC8-0.5)/12),INDEX(Operations!$J$11:$BN$11,1,BC12))</f>
        <v/>
      </c>
      <c r="BD16" s="11">
        <f>IF(Inputs!$F$32=1,Inputs!$F$58*Time!$F$15^((BD8-0.5)/12),INDEX(Operations!$J$11:$BN$11,1,BD12))</f>
        <v/>
      </c>
      <c r="BE16" s="11">
        <f>IF(Inputs!$F$32=1,Inputs!$F$58*Time!$F$15^((BE8-0.5)/12),INDEX(Operations!$J$11:$BN$11,1,BE12))</f>
        <v/>
      </c>
      <c r="BF16" s="11">
        <f>IF(Inputs!$F$32=1,Inputs!$F$58*Time!$F$15^((BF8-0.5)/12),INDEX(Operations!$J$11:$BN$11,1,BF12))</f>
        <v/>
      </c>
      <c r="BG16" s="11">
        <f>IF(Inputs!$F$32=1,Inputs!$F$58*Time!$F$15^((BG8-0.5)/12),INDEX(Operations!$J$11:$BN$11,1,BG12))</f>
        <v/>
      </c>
      <c r="BH16" s="11">
        <f>IF(Inputs!$F$32=1,Inputs!$F$58*Time!$F$15^((BH8-0.5)/12),INDEX(Operations!$J$11:$BN$11,1,BH12))</f>
        <v/>
      </c>
      <c r="BI16" s="11">
        <f>IF(Inputs!$F$32=1,Inputs!$F$58*Time!$F$15^((BI8-0.5)/12),INDEX(Operations!$J$11:$BN$11,1,BI12))</f>
        <v/>
      </c>
      <c r="BJ16" s="11">
        <f>IF(Inputs!$F$32=1,Inputs!$F$58*Time!$F$15^((BJ8-0.5)/12),INDEX(Operations!$J$11:$BN$11,1,BJ12))</f>
        <v/>
      </c>
    </row>
    <row r="17">
      <c r="D17" t="inlineStr">
        <is>
          <t>Base rate (6M fixing for the half-year)</t>
        </is>
      </c>
      <c r="E17" t="inlineStr">
        <is>
          <t>%</t>
        </is>
      </c>
      <c r="J17" s="11">
        <f>INDEX(Operations!$J$8:$BN$8,1,J12)</f>
        <v/>
      </c>
      <c r="K17" s="11">
        <f>INDEX(Operations!$J$8:$BN$8,1,K12)</f>
        <v/>
      </c>
      <c r="L17" s="11">
        <f>INDEX(Operations!$J$8:$BN$8,1,L12)</f>
        <v/>
      </c>
      <c r="M17" s="11">
        <f>INDEX(Operations!$J$8:$BN$8,1,M12)</f>
        <v/>
      </c>
      <c r="N17" s="11">
        <f>INDEX(Operations!$J$8:$BN$8,1,N12)</f>
        <v/>
      </c>
      <c r="O17" s="11">
        <f>INDEX(Operations!$J$8:$BN$8,1,O12)</f>
        <v/>
      </c>
      <c r="P17" s="11">
        <f>INDEX(Operations!$J$8:$BN$8,1,P12)</f>
        <v/>
      </c>
      <c r="Q17" s="11">
        <f>INDEX(Operations!$J$8:$BN$8,1,Q12)</f>
        <v/>
      </c>
      <c r="R17" s="11">
        <f>INDEX(Operations!$J$8:$BN$8,1,R12)</f>
        <v/>
      </c>
      <c r="S17" s="11">
        <f>INDEX(Operations!$J$8:$BN$8,1,S12)</f>
        <v/>
      </c>
      <c r="T17" s="11">
        <f>INDEX(Operations!$J$8:$BN$8,1,T12)</f>
        <v/>
      </c>
      <c r="U17" s="11">
        <f>INDEX(Operations!$J$8:$BN$8,1,U12)</f>
        <v/>
      </c>
      <c r="V17" s="11">
        <f>INDEX(Operations!$J$8:$BN$8,1,V12)</f>
        <v/>
      </c>
      <c r="W17" s="11">
        <f>INDEX(Operations!$J$8:$BN$8,1,W12)</f>
        <v/>
      </c>
      <c r="X17" s="11">
        <f>INDEX(Operations!$J$8:$BN$8,1,X12)</f>
        <v/>
      </c>
      <c r="Y17" s="11">
        <f>INDEX(Operations!$J$8:$BN$8,1,Y12)</f>
        <v/>
      </c>
      <c r="Z17" s="11">
        <f>INDEX(Operations!$J$8:$BN$8,1,Z12)</f>
        <v/>
      </c>
      <c r="AA17" s="11">
        <f>INDEX(Operations!$J$8:$BN$8,1,AA12)</f>
        <v/>
      </c>
      <c r="AB17" s="11">
        <f>INDEX(Operations!$J$8:$BN$8,1,AB12)</f>
        <v/>
      </c>
      <c r="AC17" s="11">
        <f>INDEX(Operations!$J$8:$BN$8,1,AC12)</f>
        <v/>
      </c>
      <c r="AD17" s="11">
        <f>INDEX(Operations!$J$8:$BN$8,1,AD12)</f>
        <v/>
      </c>
      <c r="AE17" s="11">
        <f>INDEX(Operations!$J$8:$BN$8,1,AE12)</f>
        <v/>
      </c>
      <c r="AF17" s="11">
        <f>INDEX(Operations!$J$8:$BN$8,1,AF12)</f>
        <v/>
      </c>
      <c r="AG17" s="11">
        <f>INDEX(Operations!$J$8:$BN$8,1,AG12)</f>
        <v/>
      </c>
      <c r="AH17" s="11">
        <f>INDEX(Operations!$J$8:$BN$8,1,AH12)</f>
        <v/>
      </c>
      <c r="AI17" s="11">
        <f>INDEX(Operations!$J$8:$BN$8,1,AI12)</f>
        <v/>
      </c>
      <c r="AJ17" s="11">
        <f>INDEX(Operations!$J$8:$BN$8,1,AJ12)</f>
        <v/>
      </c>
      <c r="AK17" s="11">
        <f>INDEX(Operations!$J$8:$BN$8,1,AK12)</f>
        <v/>
      </c>
      <c r="AL17" s="11">
        <f>INDEX(Operations!$J$8:$BN$8,1,AL12)</f>
        <v/>
      </c>
      <c r="AM17" s="11">
        <f>INDEX(Operations!$J$8:$BN$8,1,AM12)</f>
        <v/>
      </c>
      <c r="AN17" s="11">
        <f>INDEX(Operations!$J$8:$BN$8,1,AN12)</f>
        <v/>
      </c>
      <c r="AO17" s="11">
        <f>INDEX(Operations!$J$8:$BN$8,1,AO12)</f>
        <v/>
      </c>
      <c r="AP17" s="11">
        <f>INDEX(Operations!$J$8:$BN$8,1,AP12)</f>
        <v/>
      </c>
      <c r="AQ17" s="11">
        <f>INDEX(Operations!$J$8:$BN$8,1,AQ12)</f>
        <v/>
      </c>
      <c r="AR17" s="11">
        <f>INDEX(Operations!$J$8:$BN$8,1,AR12)</f>
        <v/>
      </c>
      <c r="AS17" s="11">
        <f>INDEX(Operations!$J$8:$BN$8,1,AS12)</f>
        <v/>
      </c>
      <c r="AT17" s="11">
        <f>INDEX(Operations!$J$8:$BN$8,1,AT12)</f>
        <v/>
      </c>
      <c r="AU17" s="11">
        <f>INDEX(Operations!$J$8:$BN$8,1,AU12)</f>
        <v/>
      </c>
      <c r="AV17" s="11">
        <f>INDEX(Operations!$J$8:$BN$8,1,AV12)</f>
        <v/>
      </c>
      <c r="AW17" s="11">
        <f>INDEX(Operations!$J$8:$BN$8,1,AW12)</f>
        <v/>
      </c>
      <c r="AX17" s="11">
        <f>INDEX(Operations!$J$8:$BN$8,1,AX12)</f>
        <v/>
      </c>
      <c r="AY17" s="11">
        <f>INDEX(Operations!$J$8:$BN$8,1,AY12)</f>
        <v/>
      </c>
      <c r="AZ17" s="11">
        <f>INDEX(Operations!$J$8:$BN$8,1,AZ12)</f>
        <v/>
      </c>
      <c r="BA17" s="11">
        <f>INDEX(Operations!$J$8:$BN$8,1,BA12)</f>
        <v/>
      </c>
      <c r="BB17" s="11">
        <f>INDEX(Operations!$J$8:$BN$8,1,BB12)</f>
        <v/>
      </c>
      <c r="BC17" s="11">
        <f>INDEX(Operations!$J$8:$BN$8,1,BC12)</f>
        <v/>
      </c>
      <c r="BD17" s="11">
        <f>INDEX(Operations!$J$8:$BN$8,1,BD12)</f>
        <v/>
      </c>
      <c r="BE17" s="11">
        <f>INDEX(Operations!$J$8:$BN$8,1,BE12)</f>
        <v/>
      </c>
      <c r="BF17" s="11">
        <f>INDEX(Operations!$J$8:$BN$8,1,BF12)</f>
        <v/>
      </c>
      <c r="BG17" s="11">
        <f>INDEX(Operations!$J$8:$BN$8,1,BG12)</f>
        <v/>
      </c>
      <c r="BH17" s="11">
        <f>INDEX(Operations!$J$8:$BN$8,1,BH12)</f>
        <v/>
      </c>
      <c r="BI17" s="11">
        <f>INDEX(Operations!$J$8:$BN$8,1,BI12)</f>
        <v/>
      </c>
      <c r="BJ17" s="11">
        <f>INDEX(Operations!$J$8:$BN$8,1,BJ12)</f>
        <v/>
      </c>
    </row>
    <row r="18">
      <c r="D18" t="inlineStr">
        <is>
          <t>Kessara policy rate</t>
        </is>
      </c>
      <c r="E18" t="inlineStr">
        <is>
          <t>%</t>
        </is>
      </c>
      <c r="J18" s="11">
        <f>IF(Inputs!$F$32=1,Inputs!$F$71,INDEX(Inputs!$J$210:$AR$210,1,YEAR(J9)-2014))</f>
        <v/>
      </c>
      <c r="K18" s="11">
        <f>IF(Inputs!$F$32=1,Inputs!$F$71,INDEX(Inputs!$J$210:$AR$210,1,YEAR(K9)-2014))</f>
        <v/>
      </c>
      <c r="L18" s="11">
        <f>IF(Inputs!$F$32=1,Inputs!$F$71,INDEX(Inputs!$J$210:$AR$210,1,YEAR(L9)-2014))</f>
        <v/>
      </c>
      <c r="M18" s="11">
        <f>IF(Inputs!$F$32=1,Inputs!$F$71,INDEX(Inputs!$J$210:$AR$210,1,YEAR(M9)-2014))</f>
        <v/>
      </c>
      <c r="N18" s="11">
        <f>IF(Inputs!$F$32=1,Inputs!$F$71,INDEX(Inputs!$J$210:$AR$210,1,YEAR(N9)-2014))</f>
        <v/>
      </c>
      <c r="O18" s="11">
        <f>IF(Inputs!$F$32=1,Inputs!$F$71,INDEX(Inputs!$J$210:$AR$210,1,YEAR(O9)-2014))</f>
        <v/>
      </c>
      <c r="P18" s="11">
        <f>IF(Inputs!$F$32=1,Inputs!$F$71,INDEX(Inputs!$J$210:$AR$210,1,YEAR(P9)-2014))</f>
        <v/>
      </c>
      <c r="Q18" s="11">
        <f>IF(Inputs!$F$32=1,Inputs!$F$71,INDEX(Inputs!$J$210:$AR$210,1,YEAR(Q9)-2014))</f>
        <v/>
      </c>
      <c r="R18" s="11">
        <f>IF(Inputs!$F$32=1,Inputs!$F$71,INDEX(Inputs!$J$210:$AR$210,1,YEAR(R9)-2014))</f>
        <v/>
      </c>
      <c r="S18" s="11">
        <f>IF(Inputs!$F$32=1,Inputs!$F$71,INDEX(Inputs!$J$210:$AR$210,1,YEAR(S9)-2014))</f>
        <v/>
      </c>
      <c r="T18" s="11">
        <f>IF(Inputs!$F$32=1,Inputs!$F$71,INDEX(Inputs!$J$210:$AR$210,1,YEAR(T9)-2014))</f>
        <v/>
      </c>
      <c r="U18" s="11">
        <f>IF(Inputs!$F$32=1,Inputs!$F$71,INDEX(Inputs!$J$210:$AR$210,1,YEAR(U9)-2014))</f>
        <v/>
      </c>
      <c r="V18" s="11">
        <f>IF(Inputs!$F$32=1,Inputs!$F$71,INDEX(Inputs!$J$210:$AR$210,1,YEAR(V9)-2014))</f>
        <v/>
      </c>
      <c r="W18" s="11">
        <f>IF(Inputs!$F$32=1,Inputs!$F$71,INDEX(Inputs!$J$210:$AR$210,1,YEAR(W9)-2014))</f>
        <v/>
      </c>
      <c r="X18" s="11">
        <f>IF(Inputs!$F$32=1,Inputs!$F$71,INDEX(Inputs!$J$210:$AR$210,1,YEAR(X9)-2014))</f>
        <v/>
      </c>
      <c r="Y18" s="11">
        <f>IF(Inputs!$F$32=1,Inputs!$F$71,INDEX(Inputs!$J$210:$AR$210,1,YEAR(Y9)-2014))</f>
        <v/>
      </c>
      <c r="Z18" s="11">
        <f>IF(Inputs!$F$32=1,Inputs!$F$71,INDEX(Inputs!$J$210:$AR$210,1,YEAR(Z9)-2014))</f>
        <v/>
      </c>
      <c r="AA18" s="11">
        <f>IF(Inputs!$F$32=1,Inputs!$F$71,INDEX(Inputs!$J$210:$AR$210,1,YEAR(AA9)-2014))</f>
        <v/>
      </c>
      <c r="AB18" s="11">
        <f>IF(Inputs!$F$32=1,Inputs!$F$71,INDEX(Inputs!$J$210:$AR$210,1,YEAR(AB9)-2014))</f>
        <v/>
      </c>
      <c r="AC18" s="11">
        <f>IF(Inputs!$F$32=1,Inputs!$F$71,INDEX(Inputs!$J$210:$AR$210,1,YEAR(AC9)-2014))</f>
        <v/>
      </c>
      <c r="AD18" s="11">
        <f>IF(Inputs!$F$32=1,Inputs!$F$71,INDEX(Inputs!$J$210:$AR$210,1,YEAR(AD9)-2014))</f>
        <v/>
      </c>
      <c r="AE18" s="11">
        <f>IF(Inputs!$F$32=1,Inputs!$F$71,INDEX(Inputs!$J$210:$AR$210,1,YEAR(AE9)-2014))</f>
        <v/>
      </c>
      <c r="AF18" s="11">
        <f>IF(Inputs!$F$32=1,Inputs!$F$71,INDEX(Inputs!$J$210:$AR$210,1,YEAR(AF9)-2014))</f>
        <v/>
      </c>
      <c r="AG18" s="11">
        <f>IF(Inputs!$F$32=1,Inputs!$F$71,INDEX(Inputs!$J$210:$AR$210,1,YEAR(AG9)-2014))</f>
        <v/>
      </c>
      <c r="AH18" s="11">
        <f>IF(Inputs!$F$32=1,Inputs!$F$71,INDEX(Inputs!$J$210:$AR$210,1,YEAR(AH9)-2014))</f>
        <v/>
      </c>
      <c r="AI18" s="11">
        <f>IF(Inputs!$F$32=1,Inputs!$F$71,INDEX(Inputs!$J$210:$AR$210,1,YEAR(AI9)-2014))</f>
        <v/>
      </c>
      <c r="AJ18" s="11">
        <f>IF(Inputs!$F$32=1,Inputs!$F$71,INDEX(Inputs!$J$210:$AR$210,1,YEAR(AJ9)-2014))</f>
        <v/>
      </c>
      <c r="AK18" s="11">
        <f>IF(Inputs!$F$32=1,Inputs!$F$71,INDEX(Inputs!$J$210:$AR$210,1,YEAR(AK9)-2014))</f>
        <v/>
      </c>
      <c r="AL18" s="11">
        <f>IF(Inputs!$F$32=1,Inputs!$F$71,INDEX(Inputs!$J$210:$AR$210,1,YEAR(AL9)-2014))</f>
        <v/>
      </c>
      <c r="AM18" s="11">
        <f>IF(Inputs!$F$32=1,Inputs!$F$71,INDEX(Inputs!$J$210:$AR$210,1,YEAR(AM9)-2014))</f>
        <v/>
      </c>
      <c r="AN18" s="11">
        <f>IF(Inputs!$F$32=1,Inputs!$F$71,INDEX(Inputs!$J$210:$AR$210,1,YEAR(AN9)-2014))</f>
        <v/>
      </c>
      <c r="AO18" s="11">
        <f>IF(Inputs!$F$32=1,Inputs!$F$71,INDEX(Inputs!$J$210:$AR$210,1,YEAR(AO9)-2014))</f>
        <v/>
      </c>
      <c r="AP18" s="11">
        <f>IF(Inputs!$F$32=1,Inputs!$F$71,INDEX(Inputs!$J$210:$AR$210,1,YEAR(AP9)-2014))</f>
        <v/>
      </c>
      <c r="AQ18" s="11">
        <f>IF(Inputs!$F$32=1,Inputs!$F$71,INDEX(Inputs!$J$210:$AR$210,1,YEAR(AQ9)-2014))</f>
        <v/>
      </c>
      <c r="AR18" s="11">
        <f>IF(Inputs!$F$32=1,Inputs!$F$71,INDEX(Inputs!$J$210:$AR$210,1,YEAR(AR9)-2014))</f>
        <v/>
      </c>
      <c r="AS18" s="11">
        <f>IF(Inputs!$F$32=1,Inputs!$F$71,INDEX(Inputs!$J$210:$AR$210,1,YEAR(AS9)-2014))</f>
        <v/>
      </c>
      <c r="AT18" s="11">
        <f>IF(Inputs!$F$32=1,Inputs!$F$71,INDEX(Inputs!$J$210:$AR$210,1,YEAR(AT9)-2014))</f>
        <v/>
      </c>
      <c r="AU18" s="11">
        <f>IF(Inputs!$F$32=1,Inputs!$F$71,INDEX(Inputs!$J$210:$AR$210,1,YEAR(AU9)-2014))</f>
        <v/>
      </c>
      <c r="AV18" s="11">
        <f>IF(Inputs!$F$32=1,Inputs!$F$71,INDEX(Inputs!$J$210:$AR$210,1,YEAR(AV9)-2014))</f>
        <v/>
      </c>
      <c r="AW18" s="11">
        <f>IF(Inputs!$F$32=1,Inputs!$F$71,INDEX(Inputs!$J$210:$AR$210,1,YEAR(AW9)-2014))</f>
        <v/>
      </c>
      <c r="AX18" s="11">
        <f>IF(Inputs!$F$32=1,Inputs!$F$71,INDEX(Inputs!$J$210:$AR$210,1,YEAR(AX9)-2014))</f>
        <v/>
      </c>
      <c r="AY18" s="11">
        <f>IF(Inputs!$F$32=1,Inputs!$F$71,INDEX(Inputs!$J$210:$AR$210,1,YEAR(AY9)-2014))</f>
        <v/>
      </c>
      <c r="AZ18" s="11">
        <f>IF(Inputs!$F$32=1,Inputs!$F$71,INDEX(Inputs!$J$210:$AR$210,1,YEAR(AZ9)-2014))</f>
        <v/>
      </c>
      <c r="BA18" s="11">
        <f>IF(Inputs!$F$32=1,Inputs!$F$71,INDEX(Inputs!$J$210:$AR$210,1,YEAR(BA9)-2014))</f>
        <v/>
      </c>
      <c r="BB18" s="11">
        <f>IF(Inputs!$F$32=1,Inputs!$F$71,INDEX(Inputs!$J$210:$AR$210,1,YEAR(BB9)-2014))</f>
        <v/>
      </c>
      <c r="BC18" s="11">
        <f>IF(Inputs!$F$32=1,Inputs!$F$71,INDEX(Inputs!$J$210:$AR$210,1,YEAR(BC9)-2014))</f>
        <v/>
      </c>
      <c r="BD18" s="11">
        <f>IF(Inputs!$F$32=1,Inputs!$F$71,INDEX(Inputs!$J$210:$AR$210,1,YEAR(BD9)-2014))</f>
        <v/>
      </c>
      <c r="BE18" s="11">
        <f>IF(Inputs!$F$32=1,Inputs!$F$71,INDEX(Inputs!$J$210:$AR$210,1,YEAR(BE9)-2014))</f>
        <v/>
      </c>
      <c r="BF18" s="11">
        <f>IF(Inputs!$F$32=1,Inputs!$F$71,INDEX(Inputs!$J$210:$AR$210,1,YEAR(BF9)-2014))</f>
        <v/>
      </c>
      <c r="BG18" s="11">
        <f>IF(Inputs!$F$32=1,Inputs!$F$71,INDEX(Inputs!$J$210:$AR$210,1,YEAR(BG9)-2014))</f>
        <v/>
      </c>
      <c r="BH18" s="11">
        <f>IF(Inputs!$F$32=1,Inputs!$F$71,INDEX(Inputs!$J$210:$AR$210,1,YEAR(BH9)-2014))</f>
        <v/>
      </c>
      <c r="BI18" s="11">
        <f>IF(Inputs!$F$32=1,Inputs!$F$71,INDEX(Inputs!$J$210:$AR$210,1,YEAR(BI9)-2014))</f>
        <v/>
      </c>
      <c r="BJ18" s="11">
        <f>IF(Inputs!$F$32=1,Inputs!$F$71,INDEX(Inputs!$J$210:$AR$210,1,YEAR(BJ9)-2014))</f>
        <v/>
      </c>
    </row>
    <row r="19">
      <c r="B19" s="2" t="inlineStr">
        <is>
          <t>Uses before financing costs (USD m)</t>
        </is>
      </c>
    </row>
    <row r="20">
      <c r="D20" t="inlineStr">
        <is>
          <t>EPC payment profile, selected</t>
        </is>
      </c>
      <c r="E20" t="inlineStr">
        <is>
          <t>%</t>
        </is>
      </c>
      <c r="J20" s="11">
        <f>IF(Inputs!$F$33=2,Inputs!J226,Inputs!J225+IF(Inputs!$F$34&gt;0,IF(J8=33,-7.5,0)+IF(J8=33+Inputs!$F$34,7.5,0),0))</f>
        <v/>
      </c>
      <c r="K20" s="11">
        <f>IF(Inputs!$F$33=2,Inputs!K226,Inputs!K225+IF(Inputs!$F$34&gt;0,IF(K8=33,-7.5,0)+IF(K8=33+Inputs!$F$34,7.5,0),0))</f>
        <v/>
      </c>
      <c r="L20" s="11">
        <f>IF(Inputs!$F$33=2,Inputs!L226,Inputs!L225+IF(Inputs!$F$34&gt;0,IF(L8=33,-7.5,0)+IF(L8=33+Inputs!$F$34,7.5,0),0))</f>
        <v/>
      </c>
      <c r="M20" s="11">
        <f>IF(Inputs!$F$33=2,Inputs!M226,Inputs!M225+IF(Inputs!$F$34&gt;0,IF(M8=33,-7.5,0)+IF(M8=33+Inputs!$F$34,7.5,0),0))</f>
        <v/>
      </c>
      <c r="N20" s="11">
        <f>IF(Inputs!$F$33=2,Inputs!N226,Inputs!N225+IF(Inputs!$F$34&gt;0,IF(N8=33,-7.5,0)+IF(N8=33+Inputs!$F$34,7.5,0),0))</f>
        <v/>
      </c>
      <c r="O20" s="11">
        <f>IF(Inputs!$F$33=2,Inputs!O226,Inputs!O225+IF(Inputs!$F$34&gt;0,IF(O8=33,-7.5,0)+IF(O8=33+Inputs!$F$34,7.5,0),0))</f>
        <v/>
      </c>
      <c r="P20" s="11">
        <f>IF(Inputs!$F$33=2,Inputs!P226,Inputs!P225+IF(Inputs!$F$34&gt;0,IF(P8=33,-7.5,0)+IF(P8=33+Inputs!$F$34,7.5,0),0))</f>
        <v/>
      </c>
      <c r="Q20" s="11">
        <f>IF(Inputs!$F$33=2,Inputs!Q226,Inputs!Q225+IF(Inputs!$F$34&gt;0,IF(Q8=33,-7.5,0)+IF(Q8=33+Inputs!$F$34,7.5,0),0))</f>
        <v/>
      </c>
      <c r="R20" s="11">
        <f>IF(Inputs!$F$33=2,Inputs!R226,Inputs!R225+IF(Inputs!$F$34&gt;0,IF(R8=33,-7.5,0)+IF(R8=33+Inputs!$F$34,7.5,0),0))</f>
        <v/>
      </c>
      <c r="S20" s="11">
        <f>IF(Inputs!$F$33=2,Inputs!S226,Inputs!S225+IF(Inputs!$F$34&gt;0,IF(S8=33,-7.5,0)+IF(S8=33+Inputs!$F$34,7.5,0),0))</f>
        <v/>
      </c>
      <c r="T20" s="11">
        <f>IF(Inputs!$F$33=2,Inputs!T226,Inputs!T225+IF(Inputs!$F$34&gt;0,IF(T8=33,-7.5,0)+IF(T8=33+Inputs!$F$34,7.5,0),0))</f>
        <v/>
      </c>
      <c r="U20" s="11">
        <f>IF(Inputs!$F$33=2,Inputs!U226,Inputs!U225+IF(Inputs!$F$34&gt;0,IF(U8=33,-7.5,0)+IF(U8=33+Inputs!$F$34,7.5,0),0))</f>
        <v/>
      </c>
      <c r="V20" s="11">
        <f>IF(Inputs!$F$33=2,Inputs!V226,Inputs!V225+IF(Inputs!$F$34&gt;0,IF(V8=33,-7.5,0)+IF(V8=33+Inputs!$F$34,7.5,0),0))</f>
        <v/>
      </c>
      <c r="W20" s="11">
        <f>IF(Inputs!$F$33=2,Inputs!W226,Inputs!W225+IF(Inputs!$F$34&gt;0,IF(W8=33,-7.5,0)+IF(W8=33+Inputs!$F$34,7.5,0),0))</f>
        <v/>
      </c>
      <c r="X20" s="11">
        <f>IF(Inputs!$F$33=2,Inputs!X226,Inputs!X225+IF(Inputs!$F$34&gt;0,IF(X8=33,-7.5,0)+IF(X8=33+Inputs!$F$34,7.5,0),0))</f>
        <v/>
      </c>
      <c r="Y20" s="11">
        <f>IF(Inputs!$F$33=2,Inputs!Y226,Inputs!Y225+IF(Inputs!$F$34&gt;0,IF(Y8=33,-7.5,0)+IF(Y8=33+Inputs!$F$34,7.5,0),0))</f>
        <v/>
      </c>
      <c r="Z20" s="11">
        <f>IF(Inputs!$F$33=2,Inputs!Z226,Inputs!Z225+IF(Inputs!$F$34&gt;0,IF(Z8=33,-7.5,0)+IF(Z8=33+Inputs!$F$34,7.5,0),0))</f>
        <v/>
      </c>
      <c r="AA20" s="11">
        <f>IF(Inputs!$F$33=2,Inputs!AA226,Inputs!AA225+IF(Inputs!$F$34&gt;0,IF(AA8=33,-7.5,0)+IF(AA8=33+Inputs!$F$34,7.5,0),0))</f>
        <v/>
      </c>
      <c r="AB20" s="11">
        <f>IF(Inputs!$F$33=2,Inputs!AB226,Inputs!AB225+IF(Inputs!$F$34&gt;0,IF(AB8=33,-7.5,0)+IF(AB8=33+Inputs!$F$34,7.5,0),0))</f>
        <v/>
      </c>
      <c r="AC20" s="11">
        <f>IF(Inputs!$F$33=2,Inputs!AC226,Inputs!AC225+IF(Inputs!$F$34&gt;0,IF(AC8=33,-7.5,0)+IF(AC8=33+Inputs!$F$34,7.5,0),0))</f>
        <v/>
      </c>
      <c r="AD20" s="11">
        <f>IF(Inputs!$F$33=2,Inputs!AD226,Inputs!AD225+IF(Inputs!$F$34&gt;0,IF(AD8=33,-7.5,0)+IF(AD8=33+Inputs!$F$34,7.5,0),0))</f>
        <v/>
      </c>
      <c r="AE20" s="11">
        <f>IF(Inputs!$F$33=2,Inputs!AE226,Inputs!AE225+IF(Inputs!$F$34&gt;0,IF(AE8=33,-7.5,0)+IF(AE8=33+Inputs!$F$34,7.5,0),0))</f>
        <v/>
      </c>
      <c r="AF20" s="11">
        <f>IF(Inputs!$F$33=2,Inputs!AF226,Inputs!AF225+IF(Inputs!$F$34&gt;0,IF(AF8=33,-7.5,0)+IF(AF8=33+Inputs!$F$34,7.5,0),0))</f>
        <v/>
      </c>
      <c r="AG20" s="11">
        <f>IF(Inputs!$F$33=2,Inputs!AG226,Inputs!AG225+IF(Inputs!$F$34&gt;0,IF(AG8=33,-7.5,0)+IF(AG8=33+Inputs!$F$34,7.5,0),0))</f>
        <v/>
      </c>
      <c r="AH20" s="11">
        <f>IF(Inputs!$F$33=2,Inputs!AH226,Inputs!AH225+IF(Inputs!$F$34&gt;0,IF(AH8=33,-7.5,0)+IF(AH8=33+Inputs!$F$34,7.5,0),0))</f>
        <v/>
      </c>
      <c r="AI20" s="11">
        <f>IF(Inputs!$F$33=2,Inputs!AI226,Inputs!AI225+IF(Inputs!$F$34&gt;0,IF(AI8=33,-7.5,0)+IF(AI8=33+Inputs!$F$34,7.5,0),0))</f>
        <v/>
      </c>
      <c r="AJ20" s="11">
        <f>IF(Inputs!$F$33=2,Inputs!AJ226,Inputs!AJ225+IF(Inputs!$F$34&gt;0,IF(AJ8=33,-7.5,0)+IF(AJ8=33+Inputs!$F$34,7.5,0),0))</f>
        <v/>
      </c>
      <c r="AK20" s="11">
        <f>IF(Inputs!$F$33=2,Inputs!AK226,Inputs!AK225+IF(Inputs!$F$34&gt;0,IF(AK8=33,-7.5,0)+IF(AK8=33+Inputs!$F$34,7.5,0),0))</f>
        <v/>
      </c>
      <c r="AL20" s="11">
        <f>IF(Inputs!$F$33=2,Inputs!AL226,Inputs!AL225+IF(Inputs!$F$34&gt;0,IF(AL8=33,-7.5,0)+IF(AL8=33+Inputs!$F$34,7.5,0),0))</f>
        <v/>
      </c>
      <c r="AM20" s="11">
        <f>IF(Inputs!$F$33=2,Inputs!AM226,Inputs!AM225+IF(Inputs!$F$34&gt;0,IF(AM8=33,-7.5,0)+IF(AM8=33+Inputs!$F$34,7.5,0),0))</f>
        <v/>
      </c>
      <c r="AN20" s="11">
        <f>IF(Inputs!$F$33=2,Inputs!AN226,Inputs!AN225+IF(Inputs!$F$34&gt;0,IF(AN8=33,-7.5,0)+IF(AN8=33+Inputs!$F$34,7.5,0),0))</f>
        <v/>
      </c>
      <c r="AO20" s="11">
        <f>IF(Inputs!$F$33=2,Inputs!AO226,Inputs!AO225+IF(Inputs!$F$34&gt;0,IF(AO8=33,-7.5,0)+IF(AO8=33+Inputs!$F$34,7.5,0),0))</f>
        <v/>
      </c>
      <c r="AP20" s="11">
        <f>IF(Inputs!$F$33=2,Inputs!AP226,Inputs!AP225+IF(Inputs!$F$34&gt;0,IF(AP8=33,-7.5,0)+IF(AP8=33+Inputs!$F$34,7.5,0),0))</f>
        <v/>
      </c>
      <c r="AQ20" s="11">
        <f>IF(Inputs!$F$33=2,Inputs!AQ226,Inputs!AQ225+IF(Inputs!$F$34&gt;0,IF(AQ8=33,-7.5,0)+IF(AQ8=33+Inputs!$F$34,7.5,0),0))</f>
        <v/>
      </c>
      <c r="AR20" s="11">
        <f>IF(Inputs!$F$33=2,Inputs!AR226,Inputs!AR225+IF(Inputs!$F$34&gt;0,IF(AR8=33,-7.5,0)+IF(AR8=33+Inputs!$F$34,7.5,0),0))</f>
        <v/>
      </c>
      <c r="AS20" s="11">
        <f>IF(Inputs!$F$33=2,Inputs!AS226,Inputs!AS225+IF(Inputs!$F$34&gt;0,IF(AS8=33,-7.5,0)+IF(AS8=33+Inputs!$F$34,7.5,0),0))</f>
        <v/>
      </c>
      <c r="AT20" s="11">
        <f>IF(Inputs!$F$33=2,Inputs!AT226,Inputs!AT225+IF(Inputs!$F$34&gt;0,IF(AT8=33,-7.5,0)+IF(AT8=33+Inputs!$F$34,7.5,0),0))</f>
        <v/>
      </c>
      <c r="AU20" s="11">
        <f>IF(Inputs!$F$33=2,Inputs!AU226,Inputs!AU225+IF(Inputs!$F$34&gt;0,IF(AU8=33,-7.5,0)+IF(AU8=33+Inputs!$F$34,7.5,0),0))</f>
        <v/>
      </c>
      <c r="AV20" s="11">
        <f>IF(Inputs!$F$33=2,Inputs!AV226,Inputs!AV225+IF(Inputs!$F$34&gt;0,IF(AV8=33,-7.5,0)+IF(AV8=33+Inputs!$F$34,7.5,0),0))</f>
        <v/>
      </c>
      <c r="AW20" s="11">
        <f>IF(Inputs!$F$33=2,Inputs!AW226,Inputs!AW225+IF(Inputs!$F$34&gt;0,IF(AW8=33,-7.5,0)+IF(AW8=33+Inputs!$F$34,7.5,0),0))</f>
        <v/>
      </c>
      <c r="AX20" s="11">
        <f>IF(Inputs!$F$33=2,Inputs!AX226,Inputs!AX225+IF(Inputs!$F$34&gt;0,IF(AX8=33,-7.5,0)+IF(AX8=33+Inputs!$F$34,7.5,0),0))</f>
        <v/>
      </c>
      <c r="AY20" s="11">
        <f>IF(Inputs!$F$33=2,Inputs!AY226,Inputs!AY225+IF(Inputs!$F$34&gt;0,IF(AY8=33,-7.5,0)+IF(AY8=33+Inputs!$F$34,7.5,0),0))</f>
        <v/>
      </c>
      <c r="AZ20" s="11">
        <f>IF(Inputs!$F$33=2,Inputs!AZ226,Inputs!AZ225+IF(Inputs!$F$34&gt;0,IF(AZ8=33,-7.5,0)+IF(AZ8=33+Inputs!$F$34,7.5,0),0))</f>
        <v/>
      </c>
      <c r="BA20" s="11">
        <f>IF(Inputs!$F$33=2,Inputs!BA226,Inputs!BA225+IF(Inputs!$F$34&gt;0,IF(BA8=33,-7.5,0)+IF(BA8=33+Inputs!$F$34,7.5,0),0))</f>
        <v/>
      </c>
      <c r="BB20" s="11">
        <f>IF(Inputs!$F$33=2,Inputs!BB226,Inputs!BB225+IF(Inputs!$F$34&gt;0,IF(BB8=33,-7.5,0)+IF(BB8=33+Inputs!$F$34,7.5,0),0))</f>
        <v/>
      </c>
      <c r="BC20" s="11">
        <f>IF(Inputs!$F$33=2,Inputs!BC226,Inputs!BC225+IF(Inputs!$F$34&gt;0,IF(BC8=33,-7.5,0)+IF(BC8=33+Inputs!$F$34,7.5,0),0))</f>
        <v/>
      </c>
      <c r="BD20" s="11">
        <f>IF(Inputs!$F$33=2,Inputs!BD226,Inputs!BD225+IF(Inputs!$F$34&gt;0,IF(BD8=33,-7.5,0)+IF(BD8=33+Inputs!$F$34,7.5,0),0))</f>
        <v/>
      </c>
      <c r="BE20" s="11">
        <f>IF(Inputs!$F$33=2,Inputs!BE226,Inputs!BE225+IF(Inputs!$F$34&gt;0,IF(BE8=33,-7.5,0)+IF(BE8=33+Inputs!$F$34,7.5,0),0))</f>
        <v/>
      </c>
      <c r="BF20" s="11">
        <f>IF(Inputs!$F$33=2,Inputs!BF226,Inputs!BF225+IF(Inputs!$F$34&gt;0,IF(BF8=33,-7.5,0)+IF(BF8=33+Inputs!$F$34,7.5,0),0))</f>
        <v/>
      </c>
      <c r="BG20" s="11">
        <f>IF(Inputs!$F$33=2,Inputs!BG226,Inputs!BG225+IF(Inputs!$F$34&gt;0,IF(BG8=33,-7.5,0)+IF(BG8=33+Inputs!$F$34,7.5,0),0))</f>
        <v/>
      </c>
      <c r="BH20" s="11">
        <f>IF(Inputs!$F$33=2,Inputs!BH226,Inputs!BH225+IF(Inputs!$F$34&gt;0,IF(BH8=33,-7.5,0)+IF(BH8=33+Inputs!$F$34,7.5,0),0))</f>
        <v/>
      </c>
      <c r="BI20" s="11">
        <f>IF(Inputs!$F$33=2,Inputs!BI226,Inputs!BI225+IF(Inputs!$F$34&gt;0,IF(BI8=33,-7.5,0)+IF(BI8=33+Inputs!$F$34,7.5,0),0))</f>
        <v/>
      </c>
      <c r="BJ20" s="11">
        <f>IF(Inputs!$F$33=2,Inputs!BJ226,Inputs!BJ225+IF(Inputs!$F$34&gt;0,IF(BJ8=33,-7.5,0)+IF(BJ8=33+Inputs!$F$34,7.5,0),0))</f>
        <v/>
      </c>
    </row>
    <row r="21">
      <c r="D21" t="inlineStr">
        <is>
          <t>EPC progress payments for contingency (FC)</t>
        </is>
      </c>
      <c r="E21" t="inlineStr">
        <is>
          <t>%</t>
        </is>
      </c>
      <c r="J21" s="11">
        <f>IF(J8=1,0,J20)-IF(J8=Time!$F$10,7.5,0)</f>
        <v/>
      </c>
      <c r="K21" s="11">
        <f>IF(K8=1,0,K20)-IF(K8=Time!$F$10,7.5,0)</f>
        <v/>
      </c>
      <c r="L21" s="11">
        <f>IF(L8=1,0,L20)-IF(L8=Time!$F$10,7.5,0)</f>
        <v/>
      </c>
      <c r="M21" s="11">
        <f>IF(M8=1,0,M20)-IF(M8=Time!$F$10,7.5,0)</f>
        <v/>
      </c>
      <c r="N21" s="11">
        <f>IF(N8=1,0,N20)-IF(N8=Time!$F$10,7.5,0)</f>
        <v/>
      </c>
      <c r="O21" s="11">
        <f>IF(O8=1,0,O20)-IF(O8=Time!$F$10,7.5,0)</f>
        <v/>
      </c>
      <c r="P21" s="11">
        <f>IF(P8=1,0,P20)-IF(P8=Time!$F$10,7.5,0)</f>
        <v/>
      </c>
      <c r="Q21" s="11">
        <f>IF(Q8=1,0,Q20)-IF(Q8=Time!$F$10,7.5,0)</f>
        <v/>
      </c>
      <c r="R21" s="11">
        <f>IF(R8=1,0,R20)-IF(R8=Time!$F$10,7.5,0)</f>
        <v/>
      </c>
      <c r="S21" s="11">
        <f>IF(S8=1,0,S20)-IF(S8=Time!$F$10,7.5,0)</f>
        <v/>
      </c>
      <c r="T21" s="11">
        <f>IF(T8=1,0,T20)-IF(T8=Time!$F$10,7.5,0)</f>
        <v/>
      </c>
      <c r="U21" s="11">
        <f>IF(U8=1,0,U20)-IF(U8=Time!$F$10,7.5,0)</f>
        <v/>
      </c>
      <c r="V21" s="11">
        <f>IF(V8=1,0,V20)-IF(V8=Time!$F$10,7.5,0)</f>
        <v/>
      </c>
      <c r="W21" s="11">
        <f>IF(W8=1,0,W20)-IF(W8=Time!$F$10,7.5,0)</f>
        <v/>
      </c>
      <c r="X21" s="11">
        <f>IF(X8=1,0,X20)-IF(X8=Time!$F$10,7.5,0)</f>
        <v/>
      </c>
      <c r="Y21" s="11">
        <f>IF(Y8=1,0,Y20)-IF(Y8=Time!$F$10,7.5,0)</f>
        <v/>
      </c>
      <c r="Z21" s="11">
        <f>IF(Z8=1,0,Z20)-IF(Z8=Time!$F$10,7.5,0)</f>
        <v/>
      </c>
      <c r="AA21" s="11">
        <f>IF(AA8=1,0,AA20)-IF(AA8=Time!$F$10,7.5,0)</f>
        <v/>
      </c>
      <c r="AB21" s="11">
        <f>IF(AB8=1,0,AB20)-IF(AB8=Time!$F$10,7.5,0)</f>
        <v/>
      </c>
      <c r="AC21" s="11">
        <f>IF(AC8=1,0,AC20)-IF(AC8=Time!$F$10,7.5,0)</f>
        <v/>
      </c>
      <c r="AD21" s="11">
        <f>IF(AD8=1,0,AD20)-IF(AD8=Time!$F$10,7.5,0)</f>
        <v/>
      </c>
      <c r="AE21" s="11">
        <f>IF(AE8=1,0,AE20)-IF(AE8=Time!$F$10,7.5,0)</f>
        <v/>
      </c>
      <c r="AF21" s="11">
        <f>IF(AF8=1,0,AF20)-IF(AF8=Time!$F$10,7.5,0)</f>
        <v/>
      </c>
      <c r="AG21" s="11">
        <f>IF(AG8=1,0,AG20)-IF(AG8=Time!$F$10,7.5,0)</f>
        <v/>
      </c>
      <c r="AH21" s="11">
        <f>IF(AH8=1,0,AH20)-IF(AH8=Time!$F$10,7.5,0)</f>
        <v/>
      </c>
      <c r="AI21" s="11">
        <f>IF(AI8=1,0,AI20)-IF(AI8=Time!$F$10,7.5,0)</f>
        <v/>
      </c>
      <c r="AJ21" s="11">
        <f>IF(AJ8=1,0,AJ20)-IF(AJ8=Time!$F$10,7.5,0)</f>
        <v/>
      </c>
      <c r="AK21" s="11">
        <f>IF(AK8=1,0,AK20)-IF(AK8=Time!$F$10,7.5,0)</f>
        <v/>
      </c>
      <c r="AL21" s="11">
        <f>IF(AL8=1,0,AL20)-IF(AL8=Time!$F$10,7.5,0)</f>
        <v/>
      </c>
      <c r="AM21" s="11">
        <f>IF(AM8=1,0,AM20)-IF(AM8=Time!$F$10,7.5,0)</f>
        <v/>
      </c>
      <c r="AN21" s="11">
        <f>IF(AN8=1,0,AN20)-IF(AN8=Time!$F$10,7.5,0)</f>
        <v/>
      </c>
      <c r="AO21" s="11">
        <f>IF(AO8=1,0,AO20)-IF(AO8=Time!$F$10,7.5,0)</f>
        <v/>
      </c>
      <c r="AP21" s="11">
        <f>IF(AP8=1,0,AP20)-IF(AP8=Time!$F$10,7.5,0)</f>
        <v/>
      </c>
      <c r="AQ21" s="11">
        <f>IF(AQ8=1,0,AQ20)-IF(AQ8=Time!$F$10,7.5,0)</f>
        <v/>
      </c>
      <c r="AR21" s="11">
        <f>IF(AR8=1,0,AR20)-IF(AR8=Time!$F$10,7.5,0)</f>
        <v/>
      </c>
      <c r="AS21" s="11">
        <f>IF(AS8=1,0,AS20)-IF(AS8=Time!$F$10,7.5,0)</f>
        <v/>
      </c>
      <c r="AT21" s="11">
        <f>IF(AT8=1,0,AT20)-IF(AT8=Time!$F$10,7.5,0)</f>
        <v/>
      </c>
      <c r="AU21" s="11">
        <f>IF(AU8=1,0,AU20)-IF(AU8=Time!$F$10,7.5,0)</f>
        <v/>
      </c>
      <c r="AV21" s="11">
        <f>IF(AV8=1,0,AV20)-IF(AV8=Time!$F$10,7.5,0)</f>
        <v/>
      </c>
      <c r="AW21" s="11">
        <f>IF(AW8=1,0,AW20)-IF(AW8=Time!$F$10,7.5,0)</f>
        <v/>
      </c>
      <c r="AX21" s="11">
        <f>IF(AX8=1,0,AX20)-IF(AX8=Time!$F$10,7.5,0)</f>
        <v/>
      </c>
      <c r="AY21" s="11">
        <f>IF(AY8=1,0,AY20)-IF(AY8=Time!$F$10,7.5,0)</f>
        <v/>
      </c>
      <c r="AZ21" s="11">
        <f>IF(AZ8=1,0,AZ20)-IF(AZ8=Time!$F$10,7.5,0)</f>
        <v/>
      </c>
      <c r="BA21" s="11">
        <f>IF(BA8=1,0,BA20)-IF(BA8=Time!$F$10,7.5,0)</f>
        <v/>
      </c>
      <c r="BB21" s="11">
        <f>IF(BB8=1,0,BB20)-IF(BB8=Time!$F$10,7.5,0)</f>
        <v/>
      </c>
      <c r="BC21" s="11">
        <f>IF(BC8=1,0,BC20)-IF(BC8=Time!$F$10,7.5,0)</f>
        <v/>
      </c>
      <c r="BD21" s="11">
        <f>IF(BD8=1,0,BD20)-IF(BD8=Time!$F$10,7.5,0)</f>
        <v/>
      </c>
      <c r="BE21" s="11">
        <f>IF(BE8=1,0,BE20)-IF(BE8=Time!$F$10,7.5,0)</f>
        <v/>
      </c>
      <c r="BF21" s="11">
        <f>IF(BF8=1,0,BF20)-IF(BF8=Time!$F$10,7.5,0)</f>
        <v/>
      </c>
      <c r="BG21" s="11">
        <f>IF(BG8=1,0,BG20)-IF(BG8=Time!$F$10,7.5,0)</f>
        <v/>
      </c>
      <c r="BH21" s="11">
        <f>IF(BH8=1,0,BH20)-IF(BH8=Time!$F$10,7.5,0)</f>
        <v/>
      </c>
      <c r="BI21" s="11">
        <f>IF(BI8=1,0,BI20)-IF(BI8=Time!$F$10,7.5,0)</f>
        <v/>
      </c>
      <c r="BJ21" s="11">
        <f>IF(BJ8=1,0,BJ20)-IF(BJ8=Time!$F$10,7.5,0)</f>
        <v/>
      </c>
    </row>
    <row r="22">
      <c r="D22" t="inlineStr">
        <is>
          <t>EPC payments</t>
        </is>
      </c>
      <c r="E22" t="inlineStr">
        <is>
          <t>USD m</t>
        </is>
      </c>
      <c r="G22" s="11">
        <f>SUM(J22:BJ22)</f>
        <v/>
      </c>
      <c r="J22" s="11">
        <f>IF(Inputs!$F$33=2,J20/100*Inputs!$F$56+J20/100*Inputs!$F$57*Inputs!$F$58/J16,Inputs!$F$55*Inputs!$F$35*J20/100)</f>
        <v/>
      </c>
      <c r="K22" s="11">
        <f>IF(Inputs!$F$33=2,K20/100*Inputs!$F$56+K20/100*Inputs!$F$57*Inputs!$F$58/K16,Inputs!$F$55*Inputs!$F$35*K20/100)</f>
        <v/>
      </c>
      <c r="L22" s="11">
        <f>IF(Inputs!$F$33=2,L20/100*Inputs!$F$56+L20/100*Inputs!$F$57*Inputs!$F$58/L16,Inputs!$F$55*Inputs!$F$35*L20/100)</f>
        <v/>
      </c>
      <c r="M22" s="11">
        <f>IF(Inputs!$F$33=2,M20/100*Inputs!$F$56+M20/100*Inputs!$F$57*Inputs!$F$58/M16,Inputs!$F$55*Inputs!$F$35*M20/100)</f>
        <v/>
      </c>
      <c r="N22" s="11">
        <f>IF(Inputs!$F$33=2,N20/100*Inputs!$F$56+N20/100*Inputs!$F$57*Inputs!$F$58/N16,Inputs!$F$55*Inputs!$F$35*N20/100)</f>
        <v/>
      </c>
      <c r="O22" s="11">
        <f>IF(Inputs!$F$33=2,O20/100*Inputs!$F$56+O20/100*Inputs!$F$57*Inputs!$F$58/O16,Inputs!$F$55*Inputs!$F$35*O20/100)</f>
        <v/>
      </c>
      <c r="P22" s="11">
        <f>IF(Inputs!$F$33=2,P20/100*Inputs!$F$56+P20/100*Inputs!$F$57*Inputs!$F$58/P16,Inputs!$F$55*Inputs!$F$35*P20/100)</f>
        <v/>
      </c>
      <c r="Q22" s="11">
        <f>IF(Inputs!$F$33=2,Q20/100*Inputs!$F$56+Q20/100*Inputs!$F$57*Inputs!$F$58/Q16,Inputs!$F$55*Inputs!$F$35*Q20/100)</f>
        <v/>
      </c>
      <c r="R22" s="11">
        <f>IF(Inputs!$F$33=2,R20/100*Inputs!$F$56+R20/100*Inputs!$F$57*Inputs!$F$58/R16,Inputs!$F$55*Inputs!$F$35*R20/100)</f>
        <v/>
      </c>
      <c r="S22" s="11">
        <f>IF(Inputs!$F$33=2,S20/100*Inputs!$F$56+S20/100*Inputs!$F$57*Inputs!$F$58/S16,Inputs!$F$55*Inputs!$F$35*S20/100)</f>
        <v/>
      </c>
      <c r="T22" s="11">
        <f>IF(Inputs!$F$33=2,T20/100*Inputs!$F$56+T20/100*Inputs!$F$57*Inputs!$F$58/T16,Inputs!$F$55*Inputs!$F$35*T20/100)</f>
        <v/>
      </c>
      <c r="U22" s="11">
        <f>IF(Inputs!$F$33=2,U20/100*Inputs!$F$56+U20/100*Inputs!$F$57*Inputs!$F$58/U16,Inputs!$F$55*Inputs!$F$35*U20/100)</f>
        <v/>
      </c>
      <c r="V22" s="11">
        <f>IF(Inputs!$F$33=2,V20/100*Inputs!$F$56+V20/100*Inputs!$F$57*Inputs!$F$58/V16,Inputs!$F$55*Inputs!$F$35*V20/100)</f>
        <v/>
      </c>
      <c r="W22" s="11">
        <f>IF(Inputs!$F$33=2,W20/100*Inputs!$F$56+W20/100*Inputs!$F$57*Inputs!$F$58/W16,Inputs!$F$55*Inputs!$F$35*W20/100)</f>
        <v/>
      </c>
      <c r="X22" s="11">
        <f>IF(Inputs!$F$33=2,X20/100*Inputs!$F$56+X20/100*Inputs!$F$57*Inputs!$F$58/X16,Inputs!$F$55*Inputs!$F$35*X20/100)</f>
        <v/>
      </c>
      <c r="Y22" s="11">
        <f>IF(Inputs!$F$33=2,Y20/100*Inputs!$F$56+Y20/100*Inputs!$F$57*Inputs!$F$58/Y16,Inputs!$F$55*Inputs!$F$35*Y20/100)</f>
        <v/>
      </c>
      <c r="Z22" s="11">
        <f>IF(Inputs!$F$33=2,Z20/100*Inputs!$F$56+Z20/100*Inputs!$F$57*Inputs!$F$58/Z16,Inputs!$F$55*Inputs!$F$35*Z20/100)</f>
        <v/>
      </c>
      <c r="AA22" s="11">
        <f>IF(Inputs!$F$33=2,AA20/100*Inputs!$F$56+AA20/100*Inputs!$F$57*Inputs!$F$58/AA16,Inputs!$F$55*Inputs!$F$35*AA20/100)</f>
        <v/>
      </c>
      <c r="AB22" s="11">
        <f>IF(Inputs!$F$33=2,AB20/100*Inputs!$F$56+AB20/100*Inputs!$F$57*Inputs!$F$58/AB16,Inputs!$F$55*Inputs!$F$35*AB20/100)</f>
        <v/>
      </c>
      <c r="AC22" s="11">
        <f>IF(Inputs!$F$33=2,AC20/100*Inputs!$F$56+AC20/100*Inputs!$F$57*Inputs!$F$58/AC16,Inputs!$F$55*Inputs!$F$35*AC20/100)</f>
        <v/>
      </c>
      <c r="AD22" s="11">
        <f>IF(Inputs!$F$33=2,AD20/100*Inputs!$F$56+AD20/100*Inputs!$F$57*Inputs!$F$58/AD16,Inputs!$F$55*Inputs!$F$35*AD20/100)</f>
        <v/>
      </c>
      <c r="AE22" s="11">
        <f>IF(Inputs!$F$33=2,AE20/100*Inputs!$F$56+AE20/100*Inputs!$F$57*Inputs!$F$58/AE16,Inputs!$F$55*Inputs!$F$35*AE20/100)</f>
        <v/>
      </c>
      <c r="AF22" s="11">
        <f>IF(Inputs!$F$33=2,AF20/100*Inputs!$F$56+AF20/100*Inputs!$F$57*Inputs!$F$58/AF16,Inputs!$F$55*Inputs!$F$35*AF20/100)</f>
        <v/>
      </c>
      <c r="AG22" s="11">
        <f>IF(Inputs!$F$33=2,AG20/100*Inputs!$F$56+AG20/100*Inputs!$F$57*Inputs!$F$58/AG16,Inputs!$F$55*Inputs!$F$35*AG20/100)</f>
        <v/>
      </c>
      <c r="AH22" s="11">
        <f>IF(Inputs!$F$33=2,AH20/100*Inputs!$F$56+AH20/100*Inputs!$F$57*Inputs!$F$58/AH16,Inputs!$F$55*Inputs!$F$35*AH20/100)</f>
        <v/>
      </c>
      <c r="AI22" s="11">
        <f>IF(Inputs!$F$33=2,AI20/100*Inputs!$F$56+AI20/100*Inputs!$F$57*Inputs!$F$58/AI16,Inputs!$F$55*Inputs!$F$35*AI20/100)</f>
        <v/>
      </c>
      <c r="AJ22" s="11">
        <f>IF(Inputs!$F$33=2,AJ20/100*Inputs!$F$56+AJ20/100*Inputs!$F$57*Inputs!$F$58/AJ16,Inputs!$F$55*Inputs!$F$35*AJ20/100)</f>
        <v/>
      </c>
      <c r="AK22" s="11">
        <f>IF(Inputs!$F$33=2,AK20/100*Inputs!$F$56+AK20/100*Inputs!$F$57*Inputs!$F$58/AK16,Inputs!$F$55*Inputs!$F$35*AK20/100)</f>
        <v/>
      </c>
      <c r="AL22" s="11">
        <f>IF(Inputs!$F$33=2,AL20/100*Inputs!$F$56+AL20/100*Inputs!$F$57*Inputs!$F$58/AL16,Inputs!$F$55*Inputs!$F$35*AL20/100)</f>
        <v/>
      </c>
      <c r="AM22" s="11">
        <f>IF(Inputs!$F$33=2,AM20/100*Inputs!$F$56+AM20/100*Inputs!$F$57*Inputs!$F$58/AM16,Inputs!$F$55*Inputs!$F$35*AM20/100)</f>
        <v/>
      </c>
      <c r="AN22" s="11">
        <f>IF(Inputs!$F$33=2,AN20/100*Inputs!$F$56+AN20/100*Inputs!$F$57*Inputs!$F$58/AN16,Inputs!$F$55*Inputs!$F$35*AN20/100)</f>
        <v/>
      </c>
      <c r="AO22" s="11">
        <f>IF(Inputs!$F$33=2,AO20/100*Inputs!$F$56+AO20/100*Inputs!$F$57*Inputs!$F$58/AO16,Inputs!$F$55*Inputs!$F$35*AO20/100)</f>
        <v/>
      </c>
      <c r="AP22" s="11">
        <f>IF(Inputs!$F$33=2,AP20/100*Inputs!$F$56+AP20/100*Inputs!$F$57*Inputs!$F$58/AP16,Inputs!$F$55*Inputs!$F$35*AP20/100)</f>
        <v/>
      </c>
      <c r="AQ22" s="11">
        <f>IF(Inputs!$F$33=2,AQ20/100*Inputs!$F$56+AQ20/100*Inputs!$F$57*Inputs!$F$58/AQ16,Inputs!$F$55*Inputs!$F$35*AQ20/100)</f>
        <v/>
      </c>
      <c r="AR22" s="11">
        <f>IF(Inputs!$F$33=2,AR20/100*Inputs!$F$56+AR20/100*Inputs!$F$57*Inputs!$F$58/AR16,Inputs!$F$55*Inputs!$F$35*AR20/100)</f>
        <v/>
      </c>
      <c r="AS22" s="11">
        <f>IF(Inputs!$F$33=2,AS20/100*Inputs!$F$56+AS20/100*Inputs!$F$57*Inputs!$F$58/AS16,Inputs!$F$55*Inputs!$F$35*AS20/100)</f>
        <v/>
      </c>
      <c r="AT22" s="11">
        <f>IF(Inputs!$F$33=2,AT20/100*Inputs!$F$56+AT20/100*Inputs!$F$57*Inputs!$F$58/AT16,Inputs!$F$55*Inputs!$F$35*AT20/100)</f>
        <v/>
      </c>
      <c r="AU22" s="11">
        <f>IF(Inputs!$F$33=2,AU20/100*Inputs!$F$56+AU20/100*Inputs!$F$57*Inputs!$F$58/AU16,Inputs!$F$55*Inputs!$F$35*AU20/100)</f>
        <v/>
      </c>
      <c r="AV22" s="11">
        <f>IF(Inputs!$F$33=2,AV20/100*Inputs!$F$56+AV20/100*Inputs!$F$57*Inputs!$F$58/AV16,Inputs!$F$55*Inputs!$F$35*AV20/100)</f>
        <v/>
      </c>
      <c r="AW22" s="11">
        <f>IF(Inputs!$F$33=2,AW20/100*Inputs!$F$56+AW20/100*Inputs!$F$57*Inputs!$F$58/AW16,Inputs!$F$55*Inputs!$F$35*AW20/100)</f>
        <v/>
      </c>
      <c r="AX22" s="11">
        <f>IF(Inputs!$F$33=2,AX20/100*Inputs!$F$56+AX20/100*Inputs!$F$57*Inputs!$F$58/AX16,Inputs!$F$55*Inputs!$F$35*AX20/100)</f>
        <v/>
      </c>
      <c r="AY22" s="11">
        <f>IF(Inputs!$F$33=2,AY20/100*Inputs!$F$56+AY20/100*Inputs!$F$57*Inputs!$F$58/AY16,Inputs!$F$55*Inputs!$F$35*AY20/100)</f>
        <v/>
      </c>
      <c r="AZ22" s="11">
        <f>IF(Inputs!$F$33=2,AZ20/100*Inputs!$F$56+AZ20/100*Inputs!$F$57*Inputs!$F$58/AZ16,Inputs!$F$55*Inputs!$F$35*AZ20/100)</f>
        <v/>
      </c>
      <c r="BA22" s="11">
        <f>IF(Inputs!$F$33=2,BA20/100*Inputs!$F$56+BA20/100*Inputs!$F$57*Inputs!$F$58/BA16,Inputs!$F$55*Inputs!$F$35*BA20/100)</f>
        <v/>
      </c>
      <c r="BB22" s="11">
        <f>IF(Inputs!$F$33=2,BB20/100*Inputs!$F$56+BB20/100*Inputs!$F$57*Inputs!$F$58/BB16,Inputs!$F$55*Inputs!$F$35*BB20/100)</f>
        <v/>
      </c>
      <c r="BC22" s="11">
        <f>IF(Inputs!$F$33=2,BC20/100*Inputs!$F$56+BC20/100*Inputs!$F$57*Inputs!$F$58/BC16,Inputs!$F$55*Inputs!$F$35*BC20/100)</f>
        <v/>
      </c>
      <c r="BD22" s="11">
        <f>IF(Inputs!$F$33=2,BD20/100*Inputs!$F$56+BD20/100*Inputs!$F$57*Inputs!$F$58/BD16,Inputs!$F$55*Inputs!$F$35*BD20/100)</f>
        <v/>
      </c>
      <c r="BE22" s="11">
        <f>IF(Inputs!$F$33=2,BE20/100*Inputs!$F$56+BE20/100*Inputs!$F$57*Inputs!$F$58/BE16,Inputs!$F$55*Inputs!$F$35*BE20/100)</f>
        <v/>
      </c>
      <c r="BF22" s="11">
        <f>IF(Inputs!$F$33=2,BF20/100*Inputs!$F$56+BF20/100*Inputs!$F$57*Inputs!$F$58/BF16,Inputs!$F$55*Inputs!$F$35*BF20/100)</f>
        <v/>
      </c>
      <c r="BG22" s="11">
        <f>IF(Inputs!$F$33=2,BG20/100*Inputs!$F$56+BG20/100*Inputs!$F$57*Inputs!$F$58/BG16,Inputs!$F$55*Inputs!$F$35*BG20/100)</f>
        <v/>
      </c>
      <c r="BH22" s="11">
        <f>IF(Inputs!$F$33=2,BH20/100*Inputs!$F$56+BH20/100*Inputs!$F$57*Inputs!$F$58/BH16,Inputs!$F$55*Inputs!$F$35*BH20/100)</f>
        <v/>
      </c>
      <c r="BI22" s="11">
        <f>IF(Inputs!$F$33=2,BI20/100*Inputs!$F$56+BI20/100*Inputs!$F$57*Inputs!$F$58/BI16,Inputs!$F$55*Inputs!$F$35*BI20/100)</f>
        <v/>
      </c>
      <c r="BJ22" s="11">
        <f>IF(Inputs!$F$33=2,BJ20/100*Inputs!$F$56+BJ20/100*Inputs!$F$57*Inputs!$F$58/BJ16,Inputs!$F$55*Inputs!$F$35*BJ20/100)</f>
        <v/>
      </c>
    </row>
    <row r="23">
      <c r="D23" t="inlineStr">
        <is>
          <t>Owner's costs</t>
        </is>
      </c>
      <c r="E23" t="inlineStr">
        <is>
          <t>USD m</t>
        </is>
      </c>
      <c r="G23" s="11">
        <f>SUM(J23:BJ23)</f>
        <v/>
      </c>
      <c r="J23" s="11">
        <f>Inputs!$F$59*IF(Inputs!$F$33=1,Inputs!$F$35,1)*(Inputs!J227+IF(AND(Inputs!$F$33=1,J8&gt;33,J8&lt;=Time!$F$10),2.75,0))/100+IF(AND(Inputs!$F$33=2,J8&gt;=34,J8&lt;=40),Inputs!$F$67/7,0)</f>
        <v/>
      </c>
      <c r="K23" s="11">
        <f>Inputs!$F$59*IF(Inputs!$F$33=1,Inputs!$F$35,1)*(Inputs!K227+IF(AND(Inputs!$F$33=1,K8&gt;33,K8&lt;=Time!$F$10),2.75,0))/100+IF(AND(Inputs!$F$33=2,K8&gt;=34,K8&lt;=40),Inputs!$F$67/7,0)</f>
        <v/>
      </c>
      <c r="L23" s="11">
        <f>Inputs!$F$59*IF(Inputs!$F$33=1,Inputs!$F$35,1)*(Inputs!L227+IF(AND(Inputs!$F$33=1,L8&gt;33,L8&lt;=Time!$F$10),2.75,0))/100+IF(AND(Inputs!$F$33=2,L8&gt;=34,L8&lt;=40),Inputs!$F$67/7,0)</f>
        <v/>
      </c>
      <c r="M23" s="11">
        <f>Inputs!$F$59*IF(Inputs!$F$33=1,Inputs!$F$35,1)*(Inputs!M227+IF(AND(Inputs!$F$33=1,M8&gt;33,M8&lt;=Time!$F$10),2.75,0))/100+IF(AND(Inputs!$F$33=2,M8&gt;=34,M8&lt;=40),Inputs!$F$67/7,0)</f>
        <v/>
      </c>
      <c r="N23" s="11">
        <f>Inputs!$F$59*IF(Inputs!$F$33=1,Inputs!$F$35,1)*(Inputs!N227+IF(AND(Inputs!$F$33=1,N8&gt;33,N8&lt;=Time!$F$10),2.75,0))/100+IF(AND(Inputs!$F$33=2,N8&gt;=34,N8&lt;=40),Inputs!$F$67/7,0)</f>
        <v/>
      </c>
      <c r="O23" s="11">
        <f>Inputs!$F$59*IF(Inputs!$F$33=1,Inputs!$F$35,1)*(Inputs!O227+IF(AND(Inputs!$F$33=1,O8&gt;33,O8&lt;=Time!$F$10),2.75,0))/100+IF(AND(Inputs!$F$33=2,O8&gt;=34,O8&lt;=40),Inputs!$F$67/7,0)</f>
        <v/>
      </c>
      <c r="P23" s="11">
        <f>Inputs!$F$59*IF(Inputs!$F$33=1,Inputs!$F$35,1)*(Inputs!P227+IF(AND(Inputs!$F$33=1,P8&gt;33,P8&lt;=Time!$F$10),2.75,0))/100+IF(AND(Inputs!$F$33=2,P8&gt;=34,P8&lt;=40),Inputs!$F$67/7,0)</f>
        <v/>
      </c>
      <c r="Q23" s="11">
        <f>Inputs!$F$59*IF(Inputs!$F$33=1,Inputs!$F$35,1)*(Inputs!Q227+IF(AND(Inputs!$F$33=1,Q8&gt;33,Q8&lt;=Time!$F$10),2.75,0))/100+IF(AND(Inputs!$F$33=2,Q8&gt;=34,Q8&lt;=40),Inputs!$F$67/7,0)</f>
        <v/>
      </c>
      <c r="R23" s="11">
        <f>Inputs!$F$59*IF(Inputs!$F$33=1,Inputs!$F$35,1)*(Inputs!R227+IF(AND(Inputs!$F$33=1,R8&gt;33,R8&lt;=Time!$F$10),2.75,0))/100+IF(AND(Inputs!$F$33=2,R8&gt;=34,R8&lt;=40),Inputs!$F$67/7,0)</f>
        <v/>
      </c>
      <c r="S23" s="11">
        <f>Inputs!$F$59*IF(Inputs!$F$33=1,Inputs!$F$35,1)*(Inputs!S227+IF(AND(Inputs!$F$33=1,S8&gt;33,S8&lt;=Time!$F$10),2.75,0))/100+IF(AND(Inputs!$F$33=2,S8&gt;=34,S8&lt;=40),Inputs!$F$67/7,0)</f>
        <v/>
      </c>
      <c r="T23" s="11">
        <f>Inputs!$F$59*IF(Inputs!$F$33=1,Inputs!$F$35,1)*(Inputs!T227+IF(AND(Inputs!$F$33=1,T8&gt;33,T8&lt;=Time!$F$10),2.75,0))/100+IF(AND(Inputs!$F$33=2,T8&gt;=34,T8&lt;=40),Inputs!$F$67/7,0)</f>
        <v/>
      </c>
      <c r="U23" s="11">
        <f>Inputs!$F$59*IF(Inputs!$F$33=1,Inputs!$F$35,1)*(Inputs!U227+IF(AND(Inputs!$F$33=1,U8&gt;33,U8&lt;=Time!$F$10),2.75,0))/100+IF(AND(Inputs!$F$33=2,U8&gt;=34,U8&lt;=40),Inputs!$F$67/7,0)</f>
        <v/>
      </c>
      <c r="V23" s="11">
        <f>Inputs!$F$59*IF(Inputs!$F$33=1,Inputs!$F$35,1)*(Inputs!V227+IF(AND(Inputs!$F$33=1,V8&gt;33,V8&lt;=Time!$F$10),2.75,0))/100+IF(AND(Inputs!$F$33=2,V8&gt;=34,V8&lt;=40),Inputs!$F$67/7,0)</f>
        <v/>
      </c>
      <c r="W23" s="11">
        <f>Inputs!$F$59*IF(Inputs!$F$33=1,Inputs!$F$35,1)*(Inputs!W227+IF(AND(Inputs!$F$33=1,W8&gt;33,W8&lt;=Time!$F$10),2.75,0))/100+IF(AND(Inputs!$F$33=2,W8&gt;=34,W8&lt;=40),Inputs!$F$67/7,0)</f>
        <v/>
      </c>
      <c r="X23" s="11">
        <f>Inputs!$F$59*IF(Inputs!$F$33=1,Inputs!$F$35,1)*(Inputs!X227+IF(AND(Inputs!$F$33=1,X8&gt;33,X8&lt;=Time!$F$10),2.75,0))/100+IF(AND(Inputs!$F$33=2,X8&gt;=34,X8&lt;=40),Inputs!$F$67/7,0)</f>
        <v/>
      </c>
      <c r="Y23" s="11">
        <f>Inputs!$F$59*IF(Inputs!$F$33=1,Inputs!$F$35,1)*(Inputs!Y227+IF(AND(Inputs!$F$33=1,Y8&gt;33,Y8&lt;=Time!$F$10),2.75,0))/100+IF(AND(Inputs!$F$33=2,Y8&gt;=34,Y8&lt;=40),Inputs!$F$67/7,0)</f>
        <v/>
      </c>
      <c r="Z23" s="11">
        <f>Inputs!$F$59*IF(Inputs!$F$33=1,Inputs!$F$35,1)*(Inputs!Z227+IF(AND(Inputs!$F$33=1,Z8&gt;33,Z8&lt;=Time!$F$10),2.75,0))/100+IF(AND(Inputs!$F$33=2,Z8&gt;=34,Z8&lt;=40),Inputs!$F$67/7,0)</f>
        <v/>
      </c>
      <c r="AA23" s="11">
        <f>Inputs!$F$59*IF(Inputs!$F$33=1,Inputs!$F$35,1)*(Inputs!AA227+IF(AND(Inputs!$F$33=1,AA8&gt;33,AA8&lt;=Time!$F$10),2.75,0))/100+IF(AND(Inputs!$F$33=2,AA8&gt;=34,AA8&lt;=40),Inputs!$F$67/7,0)</f>
        <v/>
      </c>
      <c r="AB23" s="11">
        <f>Inputs!$F$59*IF(Inputs!$F$33=1,Inputs!$F$35,1)*(Inputs!AB227+IF(AND(Inputs!$F$33=1,AB8&gt;33,AB8&lt;=Time!$F$10),2.75,0))/100+IF(AND(Inputs!$F$33=2,AB8&gt;=34,AB8&lt;=40),Inputs!$F$67/7,0)</f>
        <v/>
      </c>
      <c r="AC23" s="11">
        <f>Inputs!$F$59*IF(Inputs!$F$33=1,Inputs!$F$35,1)*(Inputs!AC227+IF(AND(Inputs!$F$33=1,AC8&gt;33,AC8&lt;=Time!$F$10),2.75,0))/100+IF(AND(Inputs!$F$33=2,AC8&gt;=34,AC8&lt;=40),Inputs!$F$67/7,0)</f>
        <v/>
      </c>
      <c r="AD23" s="11">
        <f>Inputs!$F$59*IF(Inputs!$F$33=1,Inputs!$F$35,1)*(Inputs!AD227+IF(AND(Inputs!$F$33=1,AD8&gt;33,AD8&lt;=Time!$F$10),2.75,0))/100+IF(AND(Inputs!$F$33=2,AD8&gt;=34,AD8&lt;=40),Inputs!$F$67/7,0)</f>
        <v/>
      </c>
      <c r="AE23" s="11">
        <f>Inputs!$F$59*IF(Inputs!$F$33=1,Inputs!$F$35,1)*(Inputs!AE227+IF(AND(Inputs!$F$33=1,AE8&gt;33,AE8&lt;=Time!$F$10),2.75,0))/100+IF(AND(Inputs!$F$33=2,AE8&gt;=34,AE8&lt;=40),Inputs!$F$67/7,0)</f>
        <v/>
      </c>
      <c r="AF23" s="11">
        <f>Inputs!$F$59*IF(Inputs!$F$33=1,Inputs!$F$35,1)*(Inputs!AF227+IF(AND(Inputs!$F$33=1,AF8&gt;33,AF8&lt;=Time!$F$10),2.75,0))/100+IF(AND(Inputs!$F$33=2,AF8&gt;=34,AF8&lt;=40),Inputs!$F$67/7,0)</f>
        <v/>
      </c>
      <c r="AG23" s="11">
        <f>Inputs!$F$59*IF(Inputs!$F$33=1,Inputs!$F$35,1)*(Inputs!AG227+IF(AND(Inputs!$F$33=1,AG8&gt;33,AG8&lt;=Time!$F$10),2.75,0))/100+IF(AND(Inputs!$F$33=2,AG8&gt;=34,AG8&lt;=40),Inputs!$F$67/7,0)</f>
        <v/>
      </c>
      <c r="AH23" s="11">
        <f>Inputs!$F$59*IF(Inputs!$F$33=1,Inputs!$F$35,1)*(Inputs!AH227+IF(AND(Inputs!$F$33=1,AH8&gt;33,AH8&lt;=Time!$F$10),2.75,0))/100+IF(AND(Inputs!$F$33=2,AH8&gt;=34,AH8&lt;=40),Inputs!$F$67/7,0)</f>
        <v/>
      </c>
      <c r="AI23" s="11">
        <f>Inputs!$F$59*IF(Inputs!$F$33=1,Inputs!$F$35,1)*(Inputs!AI227+IF(AND(Inputs!$F$33=1,AI8&gt;33,AI8&lt;=Time!$F$10),2.75,0))/100+IF(AND(Inputs!$F$33=2,AI8&gt;=34,AI8&lt;=40),Inputs!$F$67/7,0)</f>
        <v/>
      </c>
      <c r="AJ23" s="11">
        <f>Inputs!$F$59*IF(Inputs!$F$33=1,Inputs!$F$35,1)*(Inputs!AJ227+IF(AND(Inputs!$F$33=1,AJ8&gt;33,AJ8&lt;=Time!$F$10),2.75,0))/100+IF(AND(Inputs!$F$33=2,AJ8&gt;=34,AJ8&lt;=40),Inputs!$F$67/7,0)</f>
        <v/>
      </c>
      <c r="AK23" s="11">
        <f>Inputs!$F$59*IF(Inputs!$F$33=1,Inputs!$F$35,1)*(Inputs!AK227+IF(AND(Inputs!$F$33=1,AK8&gt;33,AK8&lt;=Time!$F$10),2.75,0))/100+IF(AND(Inputs!$F$33=2,AK8&gt;=34,AK8&lt;=40),Inputs!$F$67/7,0)</f>
        <v/>
      </c>
      <c r="AL23" s="11">
        <f>Inputs!$F$59*IF(Inputs!$F$33=1,Inputs!$F$35,1)*(Inputs!AL227+IF(AND(Inputs!$F$33=1,AL8&gt;33,AL8&lt;=Time!$F$10),2.75,0))/100+IF(AND(Inputs!$F$33=2,AL8&gt;=34,AL8&lt;=40),Inputs!$F$67/7,0)</f>
        <v/>
      </c>
      <c r="AM23" s="11">
        <f>Inputs!$F$59*IF(Inputs!$F$33=1,Inputs!$F$35,1)*(Inputs!AM227+IF(AND(Inputs!$F$33=1,AM8&gt;33,AM8&lt;=Time!$F$10),2.75,0))/100+IF(AND(Inputs!$F$33=2,AM8&gt;=34,AM8&lt;=40),Inputs!$F$67/7,0)</f>
        <v/>
      </c>
      <c r="AN23" s="11">
        <f>Inputs!$F$59*IF(Inputs!$F$33=1,Inputs!$F$35,1)*(Inputs!AN227+IF(AND(Inputs!$F$33=1,AN8&gt;33,AN8&lt;=Time!$F$10),2.75,0))/100+IF(AND(Inputs!$F$33=2,AN8&gt;=34,AN8&lt;=40),Inputs!$F$67/7,0)</f>
        <v/>
      </c>
      <c r="AO23" s="11">
        <f>Inputs!$F$59*IF(Inputs!$F$33=1,Inputs!$F$35,1)*(Inputs!AO227+IF(AND(Inputs!$F$33=1,AO8&gt;33,AO8&lt;=Time!$F$10),2.75,0))/100+IF(AND(Inputs!$F$33=2,AO8&gt;=34,AO8&lt;=40),Inputs!$F$67/7,0)</f>
        <v/>
      </c>
      <c r="AP23" s="11">
        <f>Inputs!$F$59*IF(Inputs!$F$33=1,Inputs!$F$35,1)*(Inputs!AP227+IF(AND(Inputs!$F$33=1,AP8&gt;33,AP8&lt;=Time!$F$10),2.75,0))/100+IF(AND(Inputs!$F$33=2,AP8&gt;=34,AP8&lt;=40),Inputs!$F$67/7,0)</f>
        <v/>
      </c>
      <c r="AQ23" s="11">
        <f>Inputs!$F$59*IF(Inputs!$F$33=1,Inputs!$F$35,1)*(Inputs!AQ227+IF(AND(Inputs!$F$33=1,AQ8&gt;33,AQ8&lt;=Time!$F$10),2.75,0))/100+IF(AND(Inputs!$F$33=2,AQ8&gt;=34,AQ8&lt;=40),Inputs!$F$67/7,0)</f>
        <v/>
      </c>
      <c r="AR23" s="11">
        <f>Inputs!$F$59*IF(Inputs!$F$33=1,Inputs!$F$35,1)*(Inputs!AR227+IF(AND(Inputs!$F$33=1,AR8&gt;33,AR8&lt;=Time!$F$10),2.75,0))/100+IF(AND(Inputs!$F$33=2,AR8&gt;=34,AR8&lt;=40),Inputs!$F$67/7,0)</f>
        <v/>
      </c>
      <c r="AS23" s="11">
        <f>Inputs!$F$59*IF(Inputs!$F$33=1,Inputs!$F$35,1)*(Inputs!AS227+IF(AND(Inputs!$F$33=1,AS8&gt;33,AS8&lt;=Time!$F$10),2.75,0))/100+IF(AND(Inputs!$F$33=2,AS8&gt;=34,AS8&lt;=40),Inputs!$F$67/7,0)</f>
        <v/>
      </c>
      <c r="AT23" s="11">
        <f>Inputs!$F$59*IF(Inputs!$F$33=1,Inputs!$F$35,1)*(Inputs!AT227+IF(AND(Inputs!$F$33=1,AT8&gt;33,AT8&lt;=Time!$F$10),2.75,0))/100+IF(AND(Inputs!$F$33=2,AT8&gt;=34,AT8&lt;=40),Inputs!$F$67/7,0)</f>
        <v/>
      </c>
      <c r="AU23" s="11">
        <f>Inputs!$F$59*IF(Inputs!$F$33=1,Inputs!$F$35,1)*(Inputs!AU227+IF(AND(Inputs!$F$33=1,AU8&gt;33,AU8&lt;=Time!$F$10),2.75,0))/100+IF(AND(Inputs!$F$33=2,AU8&gt;=34,AU8&lt;=40),Inputs!$F$67/7,0)</f>
        <v/>
      </c>
      <c r="AV23" s="11">
        <f>Inputs!$F$59*IF(Inputs!$F$33=1,Inputs!$F$35,1)*(Inputs!AV227+IF(AND(Inputs!$F$33=1,AV8&gt;33,AV8&lt;=Time!$F$10),2.75,0))/100+IF(AND(Inputs!$F$33=2,AV8&gt;=34,AV8&lt;=40),Inputs!$F$67/7,0)</f>
        <v/>
      </c>
      <c r="AW23" s="11">
        <f>Inputs!$F$59*IF(Inputs!$F$33=1,Inputs!$F$35,1)*(Inputs!AW227+IF(AND(Inputs!$F$33=1,AW8&gt;33,AW8&lt;=Time!$F$10),2.75,0))/100+IF(AND(Inputs!$F$33=2,AW8&gt;=34,AW8&lt;=40),Inputs!$F$67/7,0)</f>
        <v/>
      </c>
      <c r="AX23" s="11">
        <f>Inputs!$F$59*IF(Inputs!$F$33=1,Inputs!$F$35,1)*(Inputs!AX227+IF(AND(Inputs!$F$33=1,AX8&gt;33,AX8&lt;=Time!$F$10),2.75,0))/100+IF(AND(Inputs!$F$33=2,AX8&gt;=34,AX8&lt;=40),Inputs!$F$67/7,0)</f>
        <v/>
      </c>
      <c r="AY23" s="11">
        <f>Inputs!$F$59*IF(Inputs!$F$33=1,Inputs!$F$35,1)*(Inputs!AY227+IF(AND(Inputs!$F$33=1,AY8&gt;33,AY8&lt;=Time!$F$10),2.75,0))/100+IF(AND(Inputs!$F$33=2,AY8&gt;=34,AY8&lt;=40),Inputs!$F$67/7,0)</f>
        <v/>
      </c>
      <c r="AZ23" s="11">
        <f>Inputs!$F$59*IF(Inputs!$F$33=1,Inputs!$F$35,1)*(Inputs!AZ227+IF(AND(Inputs!$F$33=1,AZ8&gt;33,AZ8&lt;=Time!$F$10),2.75,0))/100+IF(AND(Inputs!$F$33=2,AZ8&gt;=34,AZ8&lt;=40),Inputs!$F$67/7,0)</f>
        <v/>
      </c>
      <c r="BA23" s="11">
        <f>Inputs!$F$59*IF(Inputs!$F$33=1,Inputs!$F$35,1)*(Inputs!BA227+IF(AND(Inputs!$F$33=1,BA8&gt;33,BA8&lt;=Time!$F$10),2.75,0))/100+IF(AND(Inputs!$F$33=2,BA8&gt;=34,BA8&lt;=40),Inputs!$F$67/7,0)</f>
        <v/>
      </c>
      <c r="BB23" s="11">
        <f>Inputs!$F$59*IF(Inputs!$F$33=1,Inputs!$F$35,1)*(Inputs!BB227+IF(AND(Inputs!$F$33=1,BB8&gt;33,BB8&lt;=Time!$F$10),2.75,0))/100+IF(AND(Inputs!$F$33=2,BB8&gt;=34,BB8&lt;=40),Inputs!$F$67/7,0)</f>
        <v/>
      </c>
      <c r="BC23" s="11">
        <f>Inputs!$F$59*IF(Inputs!$F$33=1,Inputs!$F$35,1)*(Inputs!BC227+IF(AND(Inputs!$F$33=1,BC8&gt;33,BC8&lt;=Time!$F$10),2.75,0))/100+IF(AND(Inputs!$F$33=2,BC8&gt;=34,BC8&lt;=40),Inputs!$F$67/7,0)</f>
        <v/>
      </c>
      <c r="BD23" s="11">
        <f>Inputs!$F$59*IF(Inputs!$F$33=1,Inputs!$F$35,1)*(Inputs!BD227+IF(AND(Inputs!$F$33=1,BD8&gt;33,BD8&lt;=Time!$F$10),2.75,0))/100+IF(AND(Inputs!$F$33=2,BD8&gt;=34,BD8&lt;=40),Inputs!$F$67/7,0)</f>
        <v/>
      </c>
      <c r="BE23" s="11">
        <f>Inputs!$F$59*IF(Inputs!$F$33=1,Inputs!$F$35,1)*(Inputs!BE227+IF(AND(Inputs!$F$33=1,BE8&gt;33,BE8&lt;=Time!$F$10),2.75,0))/100+IF(AND(Inputs!$F$33=2,BE8&gt;=34,BE8&lt;=40),Inputs!$F$67/7,0)</f>
        <v/>
      </c>
      <c r="BF23" s="11">
        <f>Inputs!$F$59*IF(Inputs!$F$33=1,Inputs!$F$35,1)*(Inputs!BF227+IF(AND(Inputs!$F$33=1,BF8&gt;33,BF8&lt;=Time!$F$10),2.75,0))/100+IF(AND(Inputs!$F$33=2,BF8&gt;=34,BF8&lt;=40),Inputs!$F$67/7,0)</f>
        <v/>
      </c>
      <c r="BG23" s="11">
        <f>Inputs!$F$59*IF(Inputs!$F$33=1,Inputs!$F$35,1)*(Inputs!BG227+IF(AND(Inputs!$F$33=1,BG8&gt;33,BG8&lt;=Time!$F$10),2.75,0))/100+IF(AND(Inputs!$F$33=2,BG8&gt;=34,BG8&lt;=40),Inputs!$F$67/7,0)</f>
        <v/>
      </c>
      <c r="BH23" s="11">
        <f>Inputs!$F$59*IF(Inputs!$F$33=1,Inputs!$F$35,1)*(Inputs!BH227+IF(AND(Inputs!$F$33=1,BH8&gt;33,BH8&lt;=Time!$F$10),2.75,0))/100+IF(AND(Inputs!$F$33=2,BH8&gt;=34,BH8&lt;=40),Inputs!$F$67/7,0)</f>
        <v/>
      </c>
      <c r="BI23" s="11">
        <f>Inputs!$F$59*IF(Inputs!$F$33=1,Inputs!$F$35,1)*(Inputs!BI227+IF(AND(Inputs!$F$33=1,BI8&gt;33,BI8&lt;=Time!$F$10),2.75,0))/100+IF(AND(Inputs!$F$33=2,BI8&gt;=34,BI8&lt;=40),Inputs!$F$67/7,0)</f>
        <v/>
      </c>
      <c r="BJ23" s="11">
        <f>Inputs!$F$59*IF(Inputs!$F$33=1,Inputs!$F$35,1)*(Inputs!BJ227+IF(AND(Inputs!$F$33=1,BJ8&gt;33,BJ8&lt;=Time!$F$10),2.75,0))/100+IF(AND(Inputs!$F$33=2,BJ8&gt;=34,BJ8&lt;=40),Inputs!$F$67/7,0)</f>
        <v/>
      </c>
    </row>
    <row r="24">
      <c r="D24" t="inlineStr">
        <is>
          <t>Insurance during construction</t>
        </is>
      </c>
      <c r="E24" t="inlineStr">
        <is>
          <t>USD m</t>
        </is>
      </c>
      <c r="G24" s="11">
        <f>SUM(J24:BJ24)</f>
        <v/>
      </c>
      <c r="J24" s="11">
        <f>Inputs!$F$60*Inputs!$F$35*(0.85*IF(J8=1,1,0)+0.15*IF(J8=18,1,0))</f>
        <v/>
      </c>
      <c r="K24" s="11">
        <f>Inputs!$F$60*Inputs!$F$35*(0.85*IF(K8=1,1,0)+0.15*IF(K8=18,1,0))</f>
        <v/>
      </c>
      <c r="L24" s="11">
        <f>Inputs!$F$60*Inputs!$F$35*(0.85*IF(L8=1,1,0)+0.15*IF(L8=18,1,0))</f>
        <v/>
      </c>
      <c r="M24" s="11">
        <f>Inputs!$F$60*Inputs!$F$35*(0.85*IF(M8=1,1,0)+0.15*IF(M8=18,1,0))</f>
        <v/>
      </c>
      <c r="N24" s="11">
        <f>Inputs!$F$60*Inputs!$F$35*(0.85*IF(N8=1,1,0)+0.15*IF(N8=18,1,0))</f>
        <v/>
      </c>
      <c r="O24" s="11">
        <f>Inputs!$F$60*Inputs!$F$35*(0.85*IF(O8=1,1,0)+0.15*IF(O8=18,1,0))</f>
        <v/>
      </c>
      <c r="P24" s="11">
        <f>Inputs!$F$60*Inputs!$F$35*(0.85*IF(P8=1,1,0)+0.15*IF(P8=18,1,0))</f>
        <v/>
      </c>
      <c r="Q24" s="11">
        <f>Inputs!$F$60*Inputs!$F$35*(0.85*IF(Q8=1,1,0)+0.15*IF(Q8=18,1,0))</f>
        <v/>
      </c>
      <c r="R24" s="11">
        <f>Inputs!$F$60*Inputs!$F$35*(0.85*IF(R8=1,1,0)+0.15*IF(R8=18,1,0))</f>
        <v/>
      </c>
      <c r="S24" s="11">
        <f>Inputs!$F$60*Inputs!$F$35*(0.85*IF(S8=1,1,0)+0.15*IF(S8=18,1,0))</f>
        <v/>
      </c>
      <c r="T24" s="11">
        <f>Inputs!$F$60*Inputs!$F$35*(0.85*IF(T8=1,1,0)+0.15*IF(T8=18,1,0))</f>
        <v/>
      </c>
      <c r="U24" s="11">
        <f>Inputs!$F$60*Inputs!$F$35*(0.85*IF(U8=1,1,0)+0.15*IF(U8=18,1,0))</f>
        <v/>
      </c>
      <c r="V24" s="11">
        <f>Inputs!$F$60*Inputs!$F$35*(0.85*IF(V8=1,1,0)+0.15*IF(V8=18,1,0))</f>
        <v/>
      </c>
      <c r="W24" s="11">
        <f>Inputs!$F$60*Inputs!$F$35*(0.85*IF(W8=1,1,0)+0.15*IF(W8=18,1,0))</f>
        <v/>
      </c>
      <c r="X24" s="11">
        <f>Inputs!$F$60*Inputs!$F$35*(0.85*IF(X8=1,1,0)+0.15*IF(X8=18,1,0))</f>
        <v/>
      </c>
      <c r="Y24" s="11">
        <f>Inputs!$F$60*Inputs!$F$35*(0.85*IF(Y8=1,1,0)+0.15*IF(Y8=18,1,0))</f>
        <v/>
      </c>
      <c r="Z24" s="11">
        <f>Inputs!$F$60*Inputs!$F$35*(0.85*IF(Z8=1,1,0)+0.15*IF(Z8=18,1,0))</f>
        <v/>
      </c>
      <c r="AA24" s="11">
        <f>Inputs!$F$60*Inputs!$F$35*(0.85*IF(AA8=1,1,0)+0.15*IF(AA8=18,1,0))</f>
        <v/>
      </c>
      <c r="AB24" s="11">
        <f>Inputs!$F$60*Inputs!$F$35*(0.85*IF(AB8=1,1,0)+0.15*IF(AB8=18,1,0))</f>
        <v/>
      </c>
      <c r="AC24" s="11">
        <f>Inputs!$F$60*Inputs!$F$35*(0.85*IF(AC8=1,1,0)+0.15*IF(AC8=18,1,0))</f>
        <v/>
      </c>
      <c r="AD24" s="11">
        <f>Inputs!$F$60*Inputs!$F$35*(0.85*IF(AD8=1,1,0)+0.15*IF(AD8=18,1,0))</f>
        <v/>
      </c>
      <c r="AE24" s="11">
        <f>Inputs!$F$60*Inputs!$F$35*(0.85*IF(AE8=1,1,0)+0.15*IF(AE8=18,1,0))</f>
        <v/>
      </c>
      <c r="AF24" s="11">
        <f>Inputs!$F$60*Inputs!$F$35*(0.85*IF(AF8=1,1,0)+0.15*IF(AF8=18,1,0))</f>
        <v/>
      </c>
      <c r="AG24" s="11">
        <f>Inputs!$F$60*Inputs!$F$35*(0.85*IF(AG8=1,1,0)+0.15*IF(AG8=18,1,0))</f>
        <v/>
      </c>
      <c r="AH24" s="11">
        <f>Inputs!$F$60*Inputs!$F$35*(0.85*IF(AH8=1,1,0)+0.15*IF(AH8=18,1,0))</f>
        <v/>
      </c>
      <c r="AI24" s="11">
        <f>Inputs!$F$60*Inputs!$F$35*(0.85*IF(AI8=1,1,0)+0.15*IF(AI8=18,1,0))</f>
        <v/>
      </c>
      <c r="AJ24" s="11">
        <f>Inputs!$F$60*Inputs!$F$35*(0.85*IF(AJ8=1,1,0)+0.15*IF(AJ8=18,1,0))</f>
        <v/>
      </c>
      <c r="AK24" s="11">
        <f>Inputs!$F$60*Inputs!$F$35*(0.85*IF(AK8=1,1,0)+0.15*IF(AK8=18,1,0))</f>
        <v/>
      </c>
      <c r="AL24" s="11">
        <f>Inputs!$F$60*Inputs!$F$35*(0.85*IF(AL8=1,1,0)+0.15*IF(AL8=18,1,0))</f>
        <v/>
      </c>
      <c r="AM24" s="11">
        <f>Inputs!$F$60*Inputs!$F$35*(0.85*IF(AM8=1,1,0)+0.15*IF(AM8=18,1,0))</f>
        <v/>
      </c>
      <c r="AN24" s="11">
        <f>Inputs!$F$60*Inputs!$F$35*(0.85*IF(AN8=1,1,0)+0.15*IF(AN8=18,1,0))</f>
        <v/>
      </c>
      <c r="AO24" s="11">
        <f>Inputs!$F$60*Inputs!$F$35*(0.85*IF(AO8=1,1,0)+0.15*IF(AO8=18,1,0))</f>
        <v/>
      </c>
      <c r="AP24" s="11">
        <f>Inputs!$F$60*Inputs!$F$35*(0.85*IF(AP8=1,1,0)+0.15*IF(AP8=18,1,0))</f>
        <v/>
      </c>
      <c r="AQ24" s="11">
        <f>Inputs!$F$60*Inputs!$F$35*(0.85*IF(AQ8=1,1,0)+0.15*IF(AQ8=18,1,0))</f>
        <v/>
      </c>
      <c r="AR24" s="11">
        <f>Inputs!$F$60*Inputs!$F$35*(0.85*IF(AR8=1,1,0)+0.15*IF(AR8=18,1,0))</f>
        <v/>
      </c>
      <c r="AS24" s="11">
        <f>Inputs!$F$60*Inputs!$F$35*(0.85*IF(AS8=1,1,0)+0.15*IF(AS8=18,1,0))</f>
        <v/>
      </c>
      <c r="AT24" s="11">
        <f>Inputs!$F$60*Inputs!$F$35*(0.85*IF(AT8=1,1,0)+0.15*IF(AT8=18,1,0))</f>
        <v/>
      </c>
      <c r="AU24" s="11">
        <f>Inputs!$F$60*Inputs!$F$35*(0.85*IF(AU8=1,1,0)+0.15*IF(AU8=18,1,0))</f>
        <v/>
      </c>
      <c r="AV24" s="11">
        <f>Inputs!$F$60*Inputs!$F$35*(0.85*IF(AV8=1,1,0)+0.15*IF(AV8=18,1,0))</f>
        <v/>
      </c>
      <c r="AW24" s="11">
        <f>Inputs!$F$60*Inputs!$F$35*(0.85*IF(AW8=1,1,0)+0.15*IF(AW8=18,1,0))</f>
        <v/>
      </c>
      <c r="AX24" s="11">
        <f>Inputs!$F$60*Inputs!$F$35*(0.85*IF(AX8=1,1,0)+0.15*IF(AX8=18,1,0))</f>
        <v/>
      </c>
      <c r="AY24" s="11">
        <f>Inputs!$F$60*Inputs!$F$35*(0.85*IF(AY8=1,1,0)+0.15*IF(AY8=18,1,0))</f>
        <v/>
      </c>
      <c r="AZ24" s="11">
        <f>Inputs!$F$60*Inputs!$F$35*(0.85*IF(AZ8=1,1,0)+0.15*IF(AZ8=18,1,0))</f>
        <v/>
      </c>
      <c r="BA24" s="11">
        <f>Inputs!$F$60*Inputs!$F$35*(0.85*IF(BA8=1,1,0)+0.15*IF(BA8=18,1,0))</f>
        <v/>
      </c>
      <c r="BB24" s="11">
        <f>Inputs!$F$60*Inputs!$F$35*(0.85*IF(BB8=1,1,0)+0.15*IF(BB8=18,1,0))</f>
        <v/>
      </c>
      <c r="BC24" s="11">
        <f>Inputs!$F$60*Inputs!$F$35*(0.85*IF(BC8=1,1,0)+0.15*IF(BC8=18,1,0))</f>
        <v/>
      </c>
      <c r="BD24" s="11">
        <f>Inputs!$F$60*Inputs!$F$35*(0.85*IF(BD8=1,1,0)+0.15*IF(BD8=18,1,0))</f>
        <v/>
      </c>
      <c r="BE24" s="11">
        <f>Inputs!$F$60*Inputs!$F$35*(0.85*IF(BE8=1,1,0)+0.15*IF(BE8=18,1,0))</f>
        <v/>
      </c>
      <c r="BF24" s="11">
        <f>Inputs!$F$60*Inputs!$F$35*(0.85*IF(BF8=1,1,0)+0.15*IF(BF8=18,1,0))</f>
        <v/>
      </c>
      <c r="BG24" s="11">
        <f>Inputs!$F$60*Inputs!$F$35*(0.85*IF(BG8=1,1,0)+0.15*IF(BG8=18,1,0))</f>
        <v/>
      </c>
      <c r="BH24" s="11">
        <f>Inputs!$F$60*Inputs!$F$35*(0.85*IF(BH8=1,1,0)+0.15*IF(BH8=18,1,0))</f>
        <v/>
      </c>
      <c r="BI24" s="11">
        <f>Inputs!$F$60*Inputs!$F$35*(0.85*IF(BI8=1,1,0)+0.15*IF(BI8=18,1,0))</f>
        <v/>
      </c>
      <c r="BJ24" s="11">
        <f>Inputs!$F$60*Inputs!$F$35*(0.85*IF(BJ8=1,1,0)+0.15*IF(BJ8=18,1,0))</f>
        <v/>
      </c>
    </row>
    <row r="25">
      <c r="D25" t="inlineStr">
        <is>
          <t>Development costs and fee</t>
        </is>
      </c>
      <c r="E25" t="inlineStr">
        <is>
          <t>USD m</t>
        </is>
      </c>
      <c r="G25" s="11">
        <f>SUM(J25:BJ25)</f>
        <v/>
      </c>
      <c r="J25" s="11">
        <f>IF(J8=1,Inputs!$F$61+Inputs!$F$62,0)</f>
        <v/>
      </c>
      <c r="K25" s="11">
        <f>IF(K8=1,Inputs!$F$61+Inputs!$F$62,0)</f>
        <v/>
      </c>
      <c r="L25" s="11">
        <f>IF(L8=1,Inputs!$F$61+Inputs!$F$62,0)</f>
        <v/>
      </c>
      <c r="M25" s="11">
        <f>IF(M8=1,Inputs!$F$61+Inputs!$F$62,0)</f>
        <v/>
      </c>
      <c r="N25" s="11">
        <f>IF(N8=1,Inputs!$F$61+Inputs!$F$62,0)</f>
        <v/>
      </c>
      <c r="O25" s="11">
        <f>IF(O8=1,Inputs!$F$61+Inputs!$F$62,0)</f>
        <v/>
      </c>
      <c r="P25" s="11">
        <f>IF(P8=1,Inputs!$F$61+Inputs!$F$62,0)</f>
        <v/>
      </c>
      <c r="Q25" s="11">
        <f>IF(Q8=1,Inputs!$F$61+Inputs!$F$62,0)</f>
        <v/>
      </c>
      <c r="R25" s="11">
        <f>IF(R8=1,Inputs!$F$61+Inputs!$F$62,0)</f>
        <v/>
      </c>
      <c r="S25" s="11">
        <f>IF(S8=1,Inputs!$F$61+Inputs!$F$62,0)</f>
        <v/>
      </c>
      <c r="T25" s="11">
        <f>IF(T8=1,Inputs!$F$61+Inputs!$F$62,0)</f>
        <v/>
      </c>
      <c r="U25" s="11">
        <f>IF(U8=1,Inputs!$F$61+Inputs!$F$62,0)</f>
        <v/>
      </c>
      <c r="V25" s="11">
        <f>IF(V8=1,Inputs!$F$61+Inputs!$F$62,0)</f>
        <v/>
      </c>
      <c r="W25" s="11">
        <f>IF(W8=1,Inputs!$F$61+Inputs!$F$62,0)</f>
        <v/>
      </c>
      <c r="X25" s="11">
        <f>IF(X8=1,Inputs!$F$61+Inputs!$F$62,0)</f>
        <v/>
      </c>
      <c r="Y25" s="11">
        <f>IF(Y8=1,Inputs!$F$61+Inputs!$F$62,0)</f>
        <v/>
      </c>
      <c r="Z25" s="11">
        <f>IF(Z8=1,Inputs!$F$61+Inputs!$F$62,0)</f>
        <v/>
      </c>
      <c r="AA25" s="11">
        <f>IF(AA8=1,Inputs!$F$61+Inputs!$F$62,0)</f>
        <v/>
      </c>
      <c r="AB25" s="11">
        <f>IF(AB8=1,Inputs!$F$61+Inputs!$F$62,0)</f>
        <v/>
      </c>
      <c r="AC25" s="11">
        <f>IF(AC8=1,Inputs!$F$61+Inputs!$F$62,0)</f>
        <v/>
      </c>
      <c r="AD25" s="11">
        <f>IF(AD8=1,Inputs!$F$61+Inputs!$F$62,0)</f>
        <v/>
      </c>
      <c r="AE25" s="11">
        <f>IF(AE8=1,Inputs!$F$61+Inputs!$F$62,0)</f>
        <v/>
      </c>
      <c r="AF25" s="11">
        <f>IF(AF8=1,Inputs!$F$61+Inputs!$F$62,0)</f>
        <v/>
      </c>
      <c r="AG25" s="11">
        <f>IF(AG8=1,Inputs!$F$61+Inputs!$F$62,0)</f>
        <v/>
      </c>
      <c r="AH25" s="11">
        <f>IF(AH8=1,Inputs!$F$61+Inputs!$F$62,0)</f>
        <v/>
      </c>
      <c r="AI25" s="11">
        <f>IF(AI8=1,Inputs!$F$61+Inputs!$F$62,0)</f>
        <v/>
      </c>
      <c r="AJ25" s="11">
        <f>IF(AJ8=1,Inputs!$F$61+Inputs!$F$62,0)</f>
        <v/>
      </c>
      <c r="AK25" s="11">
        <f>IF(AK8=1,Inputs!$F$61+Inputs!$F$62,0)</f>
        <v/>
      </c>
      <c r="AL25" s="11">
        <f>IF(AL8=1,Inputs!$F$61+Inputs!$F$62,0)</f>
        <v/>
      </c>
      <c r="AM25" s="11">
        <f>IF(AM8=1,Inputs!$F$61+Inputs!$F$62,0)</f>
        <v/>
      </c>
      <c r="AN25" s="11">
        <f>IF(AN8=1,Inputs!$F$61+Inputs!$F$62,0)</f>
        <v/>
      </c>
      <c r="AO25" s="11">
        <f>IF(AO8=1,Inputs!$F$61+Inputs!$F$62,0)</f>
        <v/>
      </c>
      <c r="AP25" s="11">
        <f>IF(AP8=1,Inputs!$F$61+Inputs!$F$62,0)</f>
        <v/>
      </c>
      <c r="AQ25" s="11">
        <f>IF(AQ8=1,Inputs!$F$61+Inputs!$F$62,0)</f>
        <v/>
      </c>
      <c r="AR25" s="11">
        <f>IF(AR8=1,Inputs!$F$61+Inputs!$F$62,0)</f>
        <v/>
      </c>
      <c r="AS25" s="11">
        <f>IF(AS8=1,Inputs!$F$61+Inputs!$F$62,0)</f>
        <v/>
      </c>
      <c r="AT25" s="11">
        <f>IF(AT8=1,Inputs!$F$61+Inputs!$F$62,0)</f>
        <v/>
      </c>
      <c r="AU25" s="11">
        <f>IF(AU8=1,Inputs!$F$61+Inputs!$F$62,0)</f>
        <v/>
      </c>
      <c r="AV25" s="11">
        <f>IF(AV8=1,Inputs!$F$61+Inputs!$F$62,0)</f>
        <v/>
      </c>
      <c r="AW25" s="11">
        <f>IF(AW8=1,Inputs!$F$61+Inputs!$F$62,0)</f>
        <v/>
      </c>
      <c r="AX25" s="11">
        <f>IF(AX8=1,Inputs!$F$61+Inputs!$F$62,0)</f>
        <v/>
      </c>
      <c r="AY25" s="11">
        <f>IF(AY8=1,Inputs!$F$61+Inputs!$F$62,0)</f>
        <v/>
      </c>
      <c r="AZ25" s="11">
        <f>IF(AZ8=1,Inputs!$F$61+Inputs!$F$62,0)</f>
        <v/>
      </c>
      <c r="BA25" s="11">
        <f>IF(BA8=1,Inputs!$F$61+Inputs!$F$62,0)</f>
        <v/>
      </c>
      <c r="BB25" s="11">
        <f>IF(BB8=1,Inputs!$F$61+Inputs!$F$62,0)</f>
        <v/>
      </c>
      <c r="BC25" s="11">
        <f>IF(BC8=1,Inputs!$F$61+Inputs!$F$62,0)</f>
        <v/>
      </c>
      <c r="BD25" s="11">
        <f>IF(BD8=1,Inputs!$F$61+Inputs!$F$62,0)</f>
        <v/>
      </c>
      <c r="BE25" s="11">
        <f>IF(BE8=1,Inputs!$F$61+Inputs!$F$62,0)</f>
        <v/>
      </c>
      <c r="BF25" s="11">
        <f>IF(BF8=1,Inputs!$F$61+Inputs!$F$62,0)</f>
        <v/>
      </c>
      <c r="BG25" s="11">
        <f>IF(BG8=1,Inputs!$F$61+Inputs!$F$62,0)</f>
        <v/>
      </c>
      <c r="BH25" s="11">
        <f>IF(BH8=1,Inputs!$F$61+Inputs!$F$62,0)</f>
        <v/>
      </c>
      <c r="BI25" s="11">
        <f>IF(BI8=1,Inputs!$F$61+Inputs!$F$62,0)</f>
        <v/>
      </c>
      <c r="BJ25" s="11">
        <f>IF(BJ8=1,Inputs!$F$61+Inputs!$F$62,0)</f>
        <v/>
      </c>
    </row>
    <row r="26">
      <c r="D26" t="inlineStr">
        <is>
          <t>Lenders' advisors and legal</t>
        </is>
      </c>
      <c r="E26" t="inlineStr">
        <is>
          <t>USD m</t>
        </is>
      </c>
      <c r="G26" s="11">
        <f>SUM(J26:BJ26)</f>
        <v/>
      </c>
      <c r="J26" s="11">
        <f>Inputs!$F$63*Inputs!$F$35*(0.7*IF(J8=1,1,0)+0.3/(Time!$F$10-1)*IF(AND(J8&gt;=2,J8&lt;=Time!$F$10),1,0))</f>
        <v/>
      </c>
      <c r="K26" s="11">
        <f>Inputs!$F$63*Inputs!$F$35*(0.7*IF(K8=1,1,0)+0.3/(Time!$F$10-1)*IF(AND(K8&gt;=2,K8&lt;=Time!$F$10),1,0))</f>
        <v/>
      </c>
      <c r="L26" s="11">
        <f>Inputs!$F$63*Inputs!$F$35*(0.7*IF(L8=1,1,0)+0.3/(Time!$F$10-1)*IF(AND(L8&gt;=2,L8&lt;=Time!$F$10),1,0))</f>
        <v/>
      </c>
      <c r="M26" s="11">
        <f>Inputs!$F$63*Inputs!$F$35*(0.7*IF(M8=1,1,0)+0.3/(Time!$F$10-1)*IF(AND(M8&gt;=2,M8&lt;=Time!$F$10),1,0))</f>
        <v/>
      </c>
      <c r="N26" s="11">
        <f>Inputs!$F$63*Inputs!$F$35*(0.7*IF(N8=1,1,0)+0.3/(Time!$F$10-1)*IF(AND(N8&gt;=2,N8&lt;=Time!$F$10),1,0))</f>
        <v/>
      </c>
      <c r="O26" s="11">
        <f>Inputs!$F$63*Inputs!$F$35*(0.7*IF(O8=1,1,0)+0.3/(Time!$F$10-1)*IF(AND(O8&gt;=2,O8&lt;=Time!$F$10),1,0))</f>
        <v/>
      </c>
      <c r="P26" s="11">
        <f>Inputs!$F$63*Inputs!$F$35*(0.7*IF(P8=1,1,0)+0.3/(Time!$F$10-1)*IF(AND(P8&gt;=2,P8&lt;=Time!$F$10),1,0))</f>
        <v/>
      </c>
      <c r="Q26" s="11">
        <f>Inputs!$F$63*Inputs!$F$35*(0.7*IF(Q8=1,1,0)+0.3/(Time!$F$10-1)*IF(AND(Q8&gt;=2,Q8&lt;=Time!$F$10),1,0))</f>
        <v/>
      </c>
      <c r="R26" s="11">
        <f>Inputs!$F$63*Inputs!$F$35*(0.7*IF(R8=1,1,0)+0.3/(Time!$F$10-1)*IF(AND(R8&gt;=2,R8&lt;=Time!$F$10),1,0))</f>
        <v/>
      </c>
      <c r="S26" s="11">
        <f>Inputs!$F$63*Inputs!$F$35*(0.7*IF(S8=1,1,0)+0.3/(Time!$F$10-1)*IF(AND(S8&gt;=2,S8&lt;=Time!$F$10),1,0))</f>
        <v/>
      </c>
      <c r="T26" s="11">
        <f>Inputs!$F$63*Inputs!$F$35*(0.7*IF(T8=1,1,0)+0.3/(Time!$F$10-1)*IF(AND(T8&gt;=2,T8&lt;=Time!$F$10),1,0))</f>
        <v/>
      </c>
      <c r="U26" s="11">
        <f>Inputs!$F$63*Inputs!$F$35*(0.7*IF(U8=1,1,0)+0.3/(Time!$F$10-1)*IF(AND(U8&gt;=2,U8&lt;=Time!$F$10),1,0))</f>
        <v/>
      </c>
      <c r="V26" s="11">
        <f>Inputs!$F$63*Inputs!$F$35*(0.7*IF(V8=1,1,0)+0.3/(Time!$F$10-1)*IF(AND(V8&gt;=2,V8&lt;=Time!$F$10),1,0))</f>
        <v/>
      </c>
      <c r="W26" s="11">
        <f>Inputs!$F$63*Inputs!$F$35*(0.7*IF(W8=1,1,0)+0.3/(Time!$F$10-1)*IF(AND(W8&gt;=2,W8&lt;=Time!$F$10),1,0))</f>
        <v/>
      </c>
      <c r="X26" s="11">
        <f>Inputs!$F$63*Inputs!$F$35*(0.7*IF(X8=1,1,0)+0.3/(Time!$F$10-1)*IF(AND(X8&gt;=2,X8&lt;=Time!$F$10),1,0))</f>
        <v/>
      </c>
      <c r="Y26" s="11">
        <f>Inputs!$F$63*Inputs!$F$35*(0.7*IF(Y8=1,1,0)+0.3/(Time!$F$10-1)*IF(AND(Y8&gt;=2,Y8&lt;=Time!$F$10),1,0))</f>
        <v/>
      </c>
      <c r="Z26" s="11">
        <f>Inputs!$F$63*Inputs!$F$35*(0.7*IF(Z8=1,1,0)+0.3/(Time!$F$10-1)*IF(AND(Z8&gt;=2,Z8&lt;=Time!$F$10),1,0))</f>
        <v/>
      </c>
      <c r="AA26" s="11">
        <f>Inputs!$F$63*Inputs!$F$35*(0.7*IF(AA8=1,1,0)+0.3/(Time!$F$10-1)*IF(AND(AA8&gt;=2,AA8&lt;=Time!$F$10),1,0))</f>
        <v/>
      </c>
      <c r="AB26" s="11">
        <f>Inputs!$F$63*Inputs!$F$35*(0.7*IF(AB8=1,1,0)+0.3/(Time!$F$10-1)*IF(AND(AB8&gt;=2,AB8&lt;=Time!$F$10),1,0))</f>
        <v/>
      </c>
      <c r="AC26" s="11">
        <f>Inputs!$F$63*Inputs!$F$35*(0.7*IF(AC8=1,1,0)+0.3/(Time!$F$10-1)*IF(AND(AC8&gt;=2,AC8&lt;=Time!$F$10),1,0))</f>
        <v/>
      </c>
      <c r="AD26" s="11">
        <f>Inputs!$F$63*Inputs!$F$35*(0.7*IF(AD8=1,1,0)+0.3/(Time!$F$10-1)*IF(AND(AD8&gt;=2,AD8&lt;=Time!$F$10),1,0))</f>
        <v/>
      </c>
      <c r="AE26" s="11">
        <f>Inputs!$F$63*Inputs!$F$35*(0.7*IF(AE8=1,1,0)+0.3/(Time!$F$10-1)*IF(AND(AE8&gt;=2,AE8&lt;=Time!$F$10),1,0))</f>
        <v/>
      </c>
      <c r="AF26" s="11">
        <f>Inputs!$F$63*Inputs!$F$35*(0.7*IF(AF8=1,1,0)+0.3/(Time!$F$10-1)*IF(AND(AF8&gt;=2,AF8&lt;=Time!$F$10),1,0))</f>
        <v/>
      </c>
      <c r="AG26" s="11">
        <f>Inputs!$F$63*Inputs!$F$35*(0.7*IF(AG8=1,1,0)+0.3/(Time!$F$10-1)*IF(AND(AG8&gt;=2,AG8&lt;=Time!$F$10),1,0))</f>
        <v/>
      </c>
      <c r="AH26" s="11">
        <f>Inputs!$F$63*Inputs!$F$35*(0.7*IF(AH8=1,1,0)+0.3/(Time!$F$10-1)*IF(AND(AH8&gt;=2,AH8&lt;=Time!$F$10),1,0))</f>
        <v/>
      </c>
      <c r="AI26" s="11">
        <f>Inputs!$F$63*Inputs!$F$35*(0.7*IF(AI8=1,1,0)+0.3/(Time!$F$10-1)*IF(AND(AI8&gt;=2,AI8&lt;=Time!$F$10),1,0))</f>
        <v/>
      </c>
      <c r="AJ26" s="11">
        <f>Inputs!$F$63*Inputs!$F$35*(0.7*IF(AJ8=1,1,0)+0.3/(Time!$F$10-1)*IF(AND(AJ8&gt;=2,AJ8&lt;=Time!$F$10),1,0))</f>
        <v/>
      </c>
      <c r="AK26" s="11">
        <f>Inputs!$F$63*Inputs!$F$35*(0.7*IF(AK8=1,1,0)+0.3/(Time!$F$10-1)*IF(AND(AK8&gt;=2,AK8&lt;=Time!$F$10),1,0))</f>
        <v/>
      </c>
      <c r="AL26" s="11">
        <f>Inputs!$F$63*Inputs!$F$35*(0.7*IF(AL8=1,1,0)+0.3/(Time!$F$10-1)*IF(AND(AL8&gt;=2,AL8&lt;=Time!$F$10),1,0))</f>
        <v/>
      </c>
      <c r="AM26" s="11">
        <f>Inputs!$F$63*Inputs!$F$35*(0.7*IF(AM8=1,1,0)+0.3/(Time!$F$10-1)*IF(AND(AM8&gt;=2,AM8&lt;=Time!$F$10),1,0))</f>
        <v/>
      </c>
      <c r="AN26" s="11">
        <f>Inputs!$F$63*Inputs!$F$35*(0.7*IF(AN8=1,1,0)+0.3/(Time!$F$10-1)*IF(AND(AN8&gt;=2,AN8&lt;=Time!$F$10),1,0))</f>
        <v/>
      </c>
      <c r="AO26" s="11">
        <f>Inputs!$F$63*Inputs!$F$35*(0.7*IF(AO8=1,1,0)+0.3/(Time!$F$10-1)*IF(AND(AO8&gt;=2,AO8&lt;=Time!$F$10),1,0))</f>
        <v/>
      </c>
      <c r="AP26" s="11">
        <f>Inputs!$F$63*Inputs!$F$35*(0.7*IF(AP8=1,1,0)+0.3/(Time!$F$10-1)*IF(AND(AP8&gt;=2,AP8&lt;=Time!$F$10),1,0))</f>
        <v/>
      </c>
      <c r="AQ26" s="11">
        <f>Inputs!$F$63*Inputs!$F$35*(0.7*IF(AQ8=1,1,0)+0.3/(Time!$F$10-1)*IF(AND(AQ8&gt;=2,AQ8&lt;=Time!$F$10),1,0))</f>
        <v/>
      </c>
      <c r="AR26" s="11">
        <f>Inputs!$F$63*Inputs!$F$35*(0.7*IF(AR8=1,1,0)+0.3/(Time!$F$10-1)*IF(AND(AR8&gt;=2,AR8&lt;=Time!$F$10),1,0))</f>
        <v/>
      </c>
      <c r="AS26" s="11">
        <f>Inputs!$F$63*Inputs!$F$35*(0.7*IF(AS8=1,1,0)+0.3/(Time!$F$10-1)*IF(AND(AS8&gt;=2,AS8&lt;=Time!$F$10),1,0))</f>
        <v/>
      </c>
      <c r="AT26" s="11">
        <f>Inputs!$F$63*Inputs!$F$35*(0.7*IF(AT8=1,1,0)+0.3/(Time!$F$10-1)*IF(AND(AT8&gt;=2,AT8&lt;=Time!$F$10),1,0))</f>
        <v/>
      </c>
      <c r="AU26" s="11">
        <f>Inputs!$F$63*Inputs!$F$35*(0.7*IF(AU8=1,1,0)+0.3/(Time!$F$10-1)*IF(AND(AU8&gt;=2,AU8&lt;=Time!$F$10),1,0))</f>
        <v/>
      </c>
      <c r="AV26" s="11">
        <f>Inputs!$F$63*Inputs!$F$35*(0.7*IF(AV8=1,1,0)+0.3/(Time!$F$10-1)*IF(AND(AV8&gt;=2,AV8&lt;=Time!$F$10),1,0))</f>
        <v/>
      </c>
      <c r="AW26" s="11">
        <f>Inputs!$F$63*Inputs!$F$35*(0.7*IF(AW8=1,1,0)+0.3/(Time!$F$10-1)*IF(AND(AW8&gt;=2,AW8&lt;=Time!$F$10),1,0))</f>
        <v/>
      </c>
      <c r="AX26" s="11">
        <f>Inputs!$F$63*Inputs!$F$35*(0.7*IF(AX8=1,1,0)+0.3/(Time!$F$10-1)*IF(AND(AX8&gt;=2,AX8&lt;=Time!$F$10),1,0))</f>
        <v/>
      </c>
      <c r="AY26" s="11">
        <f>Inputs!$F$63*Inputs!$F$35*(0.7*IF(AY8=1,1,0)+0.3/(Time!$F$10-1)*IF(AND(AY8&gt;=2,AY8&lt;=Time!$F$10),1,0))</f>
        <v/>
      </c>
      <c r="AZ26" s="11">
        <f>Inputs!$F$63*Inputs!$F$35*(0.7*IF(AZ8=1,1,0)+0.3/(Time!$F$10-1)*IF(AND(AZ8&gt;=2,AZ8&lt;=Time!$F$10),1,0))</f>
        <v/>
      </c>
      <c r="BA26" s="11">
        <f>Inputs!$F$63*Inputs!$F$35*(0.7*IF(BA8=1,1,0)+0.3/(Time!$F$10-1)*IF(AND(BA8&gt;=2,BA8&lt;=Time!$F$10),1,0))</f>
        <v/>
      </c>
      <c r="BB26" s="11">
        <f>Inputs!$F$63*Inputs!$F$35*(0.7*IF(BB8=1,1,0)+0.3/(Time!$F$10-1)*IF(AND(BB8&gt;=2,BB8&lt;=Time!$F$10),1,0))</f>
        <v/>
      </c>
      <c r="BC26" s="11">
        <f>Inputs!$F$63*Inputs!$F$35*(0.7*IF(BC8=1,1,0)+0.3/(Time!$F$10-1)*IF(AND(BC8&gt;=2,BC8&lt;=Time!$F$10),1,0))</f>
        <v/>
      </c>
      <c r="BD26" s="11">
        <f>Inputs!$F$63*Inputs!$F$35*(0.7*IF(BD8=1,1,0)+0.3/(Time!$F$10-1)*IF(AND(BD8&gt;=2,BD8&lt;=Time!$F$10),1,0))</f>
        <v/>
      </c>
      <c r="BE26" s="11">
        <f>Inputs!$F$63*Inputs!$F$35*(0.7*IF(BE8=1,1,0)+0.3/(Time!$F$10-1)*IF(AND(BE8&gt;=2,BE8&lt;=Time!$F$10),1,0))</f>
        <v/>
      </c>
      <c r="BF26" s="11">
        <f>Inputs!$F$63*Inputs!$F$35*(0.7*IF(BF8=1,1,0)+0.3/(Time!$F$10-1)*IF(AND(BF8&gt;=2,BF8&lt;=Time!$F$10),1,0))</f>
        <v/>
      </c>
      <c r="BG26" s="11">
        <f>Inputs!$F$63*Inputs!$F$35*(0.7*IF(BG8=1,1,0)+0.3/(Time!$F$10-1)*IF(AND(BG8&gt;=2,BG8&lt;=Time!$F$10),1,0))</f>
        <v/>
      </c>
      <c r="BH26" s="11">
        <f>Inputs!$F$63*Inputs!$F$35*(0.7*IF(BH8=1,1,0)+0.3/(Time!$F$10-1)*IF(AND(BH8&gt;=2,BH8&lt;=Time!$F$10),1,0))</f>
        <v/>
      </c>
      <c r="BI26" s="11">
        <f>Inputs!$F$63*Inputs!$F$35*(0.7*IF(BI8=1,1,0)+0.3/(Time!$F$10-1)*IF(AND(BI8&gt;=2,BI8&lt;=Time!$F$10),1,0))</f>
        <v/>
      </c>
      <c r="BJ26" s="11">
        <f>Inputs!$F$63*Inputs!$F$35*(0.7*IF(BJ8=1,1,0)+0.3/(Time!$F$10-1)*IF(AND(BJ8&gt;=2,BJ8&lt;=Time!$F$10),1,0))</f>
        <v/>
      </c>
    </row>
    <row r="27">
      <c r="D27" t="inlineStr">
        <is>
          <t>Contingency (FC: pro rata with EPC progress payments)</t>
        </is>
      </c>
      <c r="E27" t="inlineStr">
        <is>
          <t>USD m</t>
        </is>
      </c>
      <c r="G27" s="11">
        <f>SUM(J27:BJ27)</f>
        <v/>
      </c>
      <c r="J27" s="11">
        <f>IF(Inputs!$F$33=1,Inputs!$F$64*Inputs!$F$35*J21/SUM($J$21:$BJ$21),0)</f>
        <v/>
      </c>
      <c r="K27" s="11">
        <f>IF(Inputs!$F$33=1,Inputs!$F$64*Inputs!$F$35*K21/SUM($J$21:$BJ$21),0)</f>
        <v/>
      </c>
      <c r="L27" s="11">
        <f>IF(Inputs!$F$33=1,Inputs!$F$64*Inputs!$F$35*L21/SUM($J$21:$BJ$21),0)</f>
        <v/>
      </c>
      <c r="M27" s="11">
        <f>IF(Inputs!$F$33=1,Inputs!$F$64*Inputs!$F$35*M21/SUM($J$21:$BJ$21),0)</f>
        <v/>
      </c>
      <c r="N27" s="11">
        <f>IF(Inputs!$F$33=1,Inputs!$F$64*Inputs!$F$35*N21/SUM($J$21:$BJ$21),0)</f>
        <v/>
      </c>
      <c r="O27" s="11">
        <f>IF(Inputs!$F$33=1,Inputs!$F$64*Inputs!$F$35*O21/SUM($J$21:$BJ$21),0)</f>
        <v/>
      </c>
      <c r="P27" s="11">
        <f>IF(Inputs!$F$33=1,Inputs!$F$64*Inputs!$F$35*P21/SUM($J$21:$BJ$21),0)</f>
        <v/>
      </c>
      <c r="Q27" s="11">
        <f>IF(Inputs!$F$33=1,Inputs!$F$64*Inputs!$F$35*Q21/SUM($J$21:$BJ$21),0)</f>
        <v/>
      </c>
      <c r="R27" s="11">
        <f>IF(Inputs!$F$33=1,Inputs!$F$64*Inputs!$F$35*R21/SUM($J$21:$BJ$21),0)</f>
        <v/>
      </c>
      <c r="S27" s="11">
        <f>IF(Inputs!$F$33=1,Inputs!$F$64*Inputs!$F$35*S21/SUM($J$21:$BJ$21),0)</f>
        <v/>
      </c>
      <c r="T27" s="11">
        <f>IF(Inputs!$F$33=1,Inputs!$F$64*Inputs!$F$35*T21/SUM($J$21:$BJ$21),0)</f>
        <v/>
      </c>
      <c r="U27" s="11">
        <f>IF(Inputs!$F$33=1,Inputs!$F$64*Inputs!$F$35*U21/SUM($J$21:$BJ$21),0)</f>
        <v/>
      </c>
      <c r="V27" s="11">
        <f>IF(Inputs!$F$33=1,Inputs!$F$64*Inputs!$F$35*V21/SUM($J$21:$BJ$21),0)</f>
        <v/>
      </c>
      <c r="W27" s="11">
        <f>IF(Inputs!$F$33=1,Inputs!$F$64*Inputs!$F$35*W21/SUM($J$21:$BJ$21),0)</f>
        <v/>
      </c>
      <c r="X27" s="11">
        <f>IF(Inputs!$F$33=1,Inputs!$F$64*Inputs!$F$35*X21/SUM($J$21:$BJ$21),0)</f>
        <v/>
      </c>
      <c r="Y27" s="11">
        <f>IF(Inputs!$F$33=1,Inputs!$F$64*Inputs!$F$35*Y21/SUM($J$21:$BJ$21),0)</f>
        <v/>
      </c>
      <c r="Z27" s="11">
        <f>IF(Inputs!$F$33=1,Inputs!$F$64*Inputs!$F$35*Z21/SUM($J$21:$BJ$21),0)</f>
        <v/>
      </c>
      <c r="AA27" s="11">
        <f>IF(Inputs!$F$33=1,Inputs!$F$64*Inputs!$F$35*AA21/SUM($J$21:$BJ$21),0)</f>
        <v/>
      </c>
      <c r="AB27" s="11">
        <f>IF(Inputs!$F$33=1,Inputs!$F$64*Inputs!$F$35*AB21/SUM($J$21:$BJ$21),0)</f>
        <v/>
      </c>
      <c r="AC27" s="11">
        <f>IF(Inputs!$F$33=1,Inputs!$F$64*Inputs!$F$35*AC21/SUM($J$21:$BJ$21),0)</f>
        <v/>
      </c>
      <c r="AD27" s="11">
        <f>IF(Inputs!$F$33=1,Inputs!$F$64*Inputs!$F$35*AD21/SUM($J$21:$BJ$21),0)</f>
        <v/>
      </c>
      <c r="AE27" s="11">
        <f>IF(Inputs!$F$33=1,Inputs!$F$64*Inputs!$F$35*AE21/SUM($J$21:$BJ$21),0)</f>
        <v/>
      </c>
      <c r="AF27" s="11">
        <f>IF(Inputs!$F$33=1,Inputs!$F$64*Inputs!$F$35*AF21/SUM($J$21:$BJ$21),0)</f>
        <v/>
      </c>
      <c r="AG27" s="11">
        <f>IF(Inputs!$F$33=1,Inputs!$F$64*Inputs!$F$35*AG21/SUM($J$21:$BJ$21),0)</f>
        <v/>
      </c>
      <c r="AH27" s="11">
        <f>IF(Inputs!$F$33=1,Inputs!$F$64*Inputs!$F$35*AH21/SUM($J$21:$BJ$21),0)</f>
        <v/>
      </c>
      <c r="AI27" s="11">
        <f>IF(Inputs!$F$33=1,Inputs!$F$64*Inputs!$F$35*AI21/SUM($J$21:$BJ$21),0)</f>
        <v/>
      </c>
      <c r="AJ27" s="11">
        <f>IF(Inputs!$F$33=1,Inputs!$F$64*Inputs!$F$35*AJ21/SUM($J$21:$BJ$21),0)</f>
        <v/>
      </c>
      <c r="AK27" s="11">
        <f>IF(Inputs!$F$33=1,Inputs!$F$64*Inputs!$F$35*AK21/SUM($J$21:$BJ$21),0)</f>
        <v/>
      </c>
      <c r="AL27" s="11">
        <f>IF(Inputs!$F$33=1,Inputs!$F$64*Inputs!$F$35*AL21/SUM($J$21:$BJ$21),0)</f>
        <v/>
      </c>
      <c r="AM27" s="11">
        <f>IF(Inputs!$F$33=1,Inputs!$F$64*Inputs!$F$35*AM21/SUM($J$21:$BJ$21),0)</f>
        <v/>
      </c>
      <c r="AN27" s="11">
        <f>IF(Inputs!$F$33=1,Inputs!$F$64*Inputs!$F$35*AN21/SUM($J$21:$BJ$21),0)</f>
        <v/>
      </c>
      <c r="AO27" s="11">
        <f>IF(Inputs!$F$33=1,Inputs!$F$64*Inputs!$F$35*AO21/SUM($J$21:$BJ$21),0)</f>
        <v/>
      </c>
      <c r="AP27" s="11">
        <f>IF(Inputs!$F$33=1,Inputs!$F$64*Inputs!$F$35*AP21/SUM($J$21:$BJ$21),0)</f>
        <v/>
      </c>
      <c r="AQ27" s="11">
        <f>IF(Inputs!$F$33=1,Inputs!$F$64*Inputs!$F$35*AQ21/SUM($J$21:$BJ$21),0)</f>
        <v/>
      </c>
      <c r="AR27" s="11">
        <f>IF(Inputs!$F$33=1,Inputs!$F$64*Inputs!$F$35*AR21/SUM($J$21:$BJ$21),0)</f>
        <v/>
      </c>
      <c r="AS27" s="11">
        <f>IF(Inputs!$F$33=1,Inputs!$F$64*Inputs!$F$35*AS21/SUM($J$21:$BJ$21),0)</f>
        <v/>
      </c>
      <c r="AT27" s="11">
        <f>IF(Inputs!$F$33=1,Inputs!$F$64*Inputs!$F$35*AT21/SUM($J$21:$BJ$21),0)</f>
        <v/>
      </c>
      <c r="AU27" s="11">
        <f>IF(Inputs!$F$33=1,Inputs!$F$64*Inputs!$F$35*AU21/SUM($J$21:$BJ$21),0)</f>
        <v/>
      </c>
      <c r="AV27" s="11">
        <f>IF(Inputs!$F$33=1,Inputs!$F$64*Inputs!$F$35*AV21/SUM($J$21:$BJ$21),0)</f>
        <v/>
      </c>
      <c r="AW27" s="11">
        <f>IF(Inputs!$F$33=1,Inputs!$F$64*Inputs!$F$35*AW21/SUM($J$21:$BJ$21),0)</f>
        <v/>
      </c>
      <c r="AX27" s="11">
        <f>IF(Inputs!$F$33=1,Inputs!$F$64*Inputs!$F$35*AX21/SUM($J$21:$BJ$21),0)</f>
        <v/>
      </c>
      <c r="AY27" s="11">
        <f>IF(Inputs!$F$33=1,Inputs!$F$64*Inputs!$F$35*AY21/SUM($J$21:$BJ$21),0)</f>
        <v/>
      </c>
      <c r="AZ27" s="11">
        <f>IF(Inputs!$F$33=1,Inputs!$F$64*Inputs!$F$35*AZ21/SUM($J$21:$BJ$21),0)</f>
        <v/>
      </c>
      <c r="BA27" s="11">
        <f>IF(Inputs!$F$33=1,Inputs!$F$64*Inputs!$F$35*BA21/SUM($J$21:$BJ$21),0)</f>
        <v/>
      </c>
      <c r="BB27" s="11">
        <f>IF(Inputs!$F$33=1,Inputs!$F$64*Inputs!$F$35*BB21/SUM($J$21:$BJ$21),0)</f>
        <v/>
      </c>
      <c r="BC27" s="11">
        <f>IF(Inputs!$F$33=1,Inputs!$F$64*Inputs!$F$35*BC21/SUM($J$21:$BJ$21),0)</f>
        <v/>
      </c>
      <c r="BD27" s="11">
        <f>IF(Inputs!$F$33=1,Inputs!$F$64*Inputs!$F$35*BD21/SUM($J$21:$BJ$21),0)</f>
        <v/>
      </c>
      <c r="BE27" s="11">
        <f>IF(Inputs!$F$33=1,Inputs!$F$64*Inputs!$F$35*BE21/SUM($J$21:$BJ$21),0)</f>
        <v/>
      </c>
      <c r="BF27" s="11">
        <f>IF(Inputs!$F$33=1,Inputs!$F$64*Inputs!$F$35*BF21/SUM($J$21:$BJ$21),0)</f>
        <v/>
      </c>
      <c r="BG27" s="11">
        <f>IF(Inputs!$F$33=1,Inputs!$F$64*Inputs!$F$35*BG21/SUM($J$21:$BJ$21),0)</f>
        <v/>
      </c>
      <c r="BH27" s="11">
        <f>IF(Inputs!$F$33=1,Inputs!$F$64*Inputs!$F$35*BH21/SUM($J$21:$BJ$21),0)</f>
        <v/>
      </c>
      <c r="BI27" s="11">
        <f>IF(Inputs!$F$33=1,Inputs!$F$64*Inputs!$F$35*BI21/SUM($J$21:$BJ$21),0)</f>
        <v/>
      </c>
      <c r="BJ27" s="11">
        <f>IF(Inputs!$F$33=1,Inputs!$F$64*Inputs!$F$35*BJ21/SUM($J$21:$BJ$21),0)</f>
        <v/>
      </c>
    </row>
    <row r="28">
      <c r="D28" t="inlineStr">
        <is>
          <t>Initial working capital</t>
        </is>
      </c>
      <c r="E28" t="inlineStr">
        <is>
          <t>USD m</t>
        </is>
      </c>
      <c r="G28" s="11">
        <f>SUM(J28:BJ28)</f>
        <v/>
      </c>
      <c r="J28" s="11">
        <f>IF(J8=Time!$F$10,Inputs!$F$65*Inputs!$F$35,0)</f>
        <v/>
      </c>
      <c r="K28" s="11">
        <f>IF(K8=Time!$F$10,Inputs!$F$65*Inputs!$F$35,0)</f>
        <v/>
      </c>
      <c r="L28" s="11">
        <f>IF(L8=Time!$F$10,Inputs!$F$65*Inputs!$F$35,0)</f>
        <v/>
      </c>
      <c r="M28" s="11">
        <f>IF(M8=Time!$F$10,Inputs!$F$65*Inputs!$F$35,0)</f>
        <v/>
      </c>
      <c r="N28" s="11">
        <f>IF(N8=Time!$F$10,Inputs!$F$65*Inputs!$F$35,0)</f>
        <v/>
      </c>
      <c r="O28" s="11">
        <f>IF(O8=Time!$F$10,Inputs!$F$65*Inputs!$F$35,0)</f>
        <v/>
      </c>
      <c r="P28" s="11">
        <f>IF(P8=Time!$F$10,Inputs!$F$65*Inputs!$F$35,0)</f>
        <v/>
      </c>
      <c r="Q28" s="11">
        <f>IF(Q8=Time!$F$10,Inputs!$F$65*Inputs!$F$35,0)</f>
        <v/>
      </c>
      <c r="R28" s="11">
        <f>IF(R8=Time!$F$10,Inputs!$F$65*Inputs!$F$35,0)</f>
        <v/>
      </c>
      <c r="S28" s="11">
        <f>IF(S8=Time!$F$10,Inputs!$F$65*Inputs!$F$35,0)</f>
        <v/>
      </c>
      <c r="T28" s="11">
        <f>IF(T8=Time!$F$10,Inputs!$F$65*Inputs!$F$35,0)</f>
        <v/>
      </c>
      <c r="U28" s="11">
        <f>IF(U8=Time!$F$10,Inputs!$F$65*Inputs!$F$35,0)</f>
        <v/>
      </c>
      <c r="V28" s="11">
        <f>IF(V8=Time!$F$10,Inputs!$F$65*Inputs!$F$35,0)</f>
        <v/>
      </c>
      <c r="W28" s="11">
        <f>IF(W8=Time!$F$10,Inputs!$F$65*Inputs!$F$35,0)</f>
        <v/>
      </c>
      <c r="X28" s="11">
        <f>IF(X8=Time!$F$10,Inputs!$F$65*Inputs!$F$35,0)</f>
        <v/>
      </c>
      <c r="Y28" s="11">
        <f>IF(Y8=Time!$F$10,Inputs!$F$65*Inputs!$F$35,0)</f>
        <v/>
      </c>
      <c r="Z28" s="11">
        <f>IF(Z8=Time!$F$10,Inputs!$F$65*Inputs!$F$35,0)</f>
        <v/>
      </c>
      <c r="AA28" s="11">
        <f>IF(AA8=Time!$F$10,Inputs!$F$65*Inputs!$F$35,0)</f>
        <v/>
      </c>
      <c r="AB28" s="11">
        <f>IF(AB8=Time!$F$10,Inputs!$F$65*Inputs!$F$35,0)</f>
        <v/>
      </c>
      <c r="AC28" s="11">
        <f>IF(AC8=Time!$F$10,Inputs!$F$65*Inputs!$F$35,0)</f>
        <v/>
      </c>
      <c r="AD28" s="11">
        <f>IF(AD8=Time!$F$10,Inputs!$F$65*Inputs!$F$35,0)</f>
        <v/>
      </c>
      <c r="AE28" s="11">
        <f>IF(AE8=Time!$F$10,Inputs!$F$65*Inputs!$F$35,0)</f>
        <v/>
      </c>
      <c r="AF28" s="11">
        <f>IF(AF8=Time!$F$10,Inputs!$F$65*Inputs!$F$35,0)</f>
        <v/>
      </c>
      <c r="AG28" s="11">
        <f>IF(AG8=Time!$F$10,Inputs!$F$65*Inputs!$F$35,0)</f>
        <v/>
      </c>
      <c r="AH28" s="11">
        <f>IF(AH8=Time!$F$10,Inputs!$F$65*Inputs!$F$35,0)</f>
        <v/>
      </c>
      <c r="AI28" s="11">
        <f>IF(AI8=Time!$F$10,Inputs!$F$65*Inputs!$F$35,0)</f>
        <v/>
      </c>
      <c r="AJ28" s="11">
        <f>IF(AJ8=Time!$F$10,Inputs!$F$65*Inputs!$F$35,0)</f>
        <v/>
      </c>
      <c r="AK28" s="11">
        <f>IF(AK8=Time!$F$10,Inputs!$F$65*Inputs!$F$35,0)</f>
        <v/>
      </c>
      <c r="AL28" s="11">
        <f>IF(AL8=Time!$F$10,Inputs!$F$65*Inputs!$F$35,0)</f>
        <v/>
      </c>
      <c r="AM28" s="11">
        <f>IF(AM8=Time!$F$10,Inputs!$F$65*Inputs!$F$35,0)</f>
        <v/>
      </c>
      <c r="AN28" s="11">
        <f>IF(AN8=Time!$F$10,Inputs!$F$65*Inputs!$F$35,0)</f>
        <v/>
      </c>
      <c r="AO28" s="11">
        <f>IF(AO8=Time!$F$10,Inputs!$F$65*Inputs!$F$35,0)</f>
        <v/>
      </c>
      <c r="AP28" s="11">
        <f>IF(AP8=Time!$F$10,Inputs!$F$65*Inputs!$F$35,0)</f>
        <v/>
      </c>
      <c r="AQ28" s="11">
        <f>IF(AQ8=Time!$F$10,Inputs!$F$65*Inputs!$F$35,0)</f>
        <v/>
      </c>
      <c r="AR28" s="11">
        <f>IF(AR8=Time!$F$10,Inputs!$F$65*Inputs!$F$35,0)</f>
        <v/>
      </c>
      <c r="AS28" s="11">
        <f>IF(AS8=Time!$F$10,Inputs!$F$65*Inputs!$F$35,0)</f>
        <v/>
      </c>
      <c r="AT28" s="11">
        <f>IF(AT8=Time!$F$10,Inputs!$F$65*Inputs!$F$35,0)</f>
        <v/>
      </c>
      <c r="AU28" s="11">
        <f>IF(AU8=Time!$F$10,Inputs!$F$65*Inputs!$F$35,0)</f>
        <v/>
      </c>
      <c r="AV28" s="11">
        <f>IF(AV8=Time!$F$10,Inputs!$F$65*Inputs!$F$35,0)</f>
        <v/>
      </c>
      <c r="AW28" s="11">
        <f>IF(AW8=Time!$F$10,Inputs!$F$65*Inputs!$F$35,0)</f>
        <v/>
      </c>
      <c r="AX28" s="11">
        <f>IF(AX8=Time!$F$10,Inputs!$F$65*Inputs!$F$35,0)</f>
        <v/>
      </c>
      <c r="AY28" s="11">
        <f>IF(AY8=Time!$F$10,Inputs!$F$65*Inputs!$F$35,0)</f>
        <v/>
      </c>
      <c r="AZ28" s="11">
        <f>IF(AZ8=Time!$F$10,Inputs!$F$65*Inputs!$F$35,0)</f>
        <v/>
      </c>
      <c r="BA28" s="11">
        <f>IF(BA8=Time!$F$10,Inputs!$F$65*Inputs!$F$35,0)</f>
        <v/>
      </c>
      <c r="BB28" s="11">
        <f>IF(BB8=Time!$F$10,Inputs!$F$65*Inputs!$F$35,0)</f>
        <v/>
      </c>
      <c r="BC28" s="11">
        <f>IF(BC8=Time!$F$10,Inputs!$F$65*Inputs!$F$35,0)</f>
        <v/>
      </c>
      <c r="BD28" s="11">
        <f>IF(BD8=Time!$F$10,Inputs!$F$65*Inputs!$F$35,0)</f>
        <v/>
      </c>
      <c r="BE28" s="11">
        <f>IF(BE8=Time!$F$10,Inputs!$F$65*Inputs!$F$35,0)</f>
        <v/>
      </c>
      <c r="BF28" s="11">
        <f>IF(BF8=Time!$F$10,Inputs!$F$65*Inputs!$F$35,0)</f>
        <v/>
      </c>
      <c r="BG28" s="11">
        <f>IF(BG8=Time!$F$10,Inputs!$F$65*Inputs!$F$35,0)</f>
        <v/>
      </c>
      <c r="BH28" s="11">
        <f>IF(BH8=Time!$F$10,Inputs!$F$65*Inputs!$F$35,0)</f>
        <v/>
      </c>
      <c r="BI28" s="11">
        <f>IF(BI8=Time!$F$10,Inputs!$F$65*Inputs!$F$35,0)</f>
        <v/>
      </c>
      <c r="BJ28" s="11">
        <f>IF(BJ8=Time!$F$10,Inputs!$F$65*Inputs!$F$35,0)</f>
        <v/>
      </c>
    </row>
    <row r="29">
      <c r="D29" t="inlineStr">
        <is>
          <t>Overrun items (actual)</t>
        </is>
      </c>
      <c r="E29" t="inlineStr">
        <is>
          <t>USD m</t>
        </is>
      </c>
      <c r="G29" s="11">
        <f>SUM(J29:BJ29)</f>
        <v/>
      </c>
      <c r="J29" s="11">
        <f>IF(Inputs!$F$33=2,Inputs!J228,0)</f>
        <v/>
      </c>
      <c r="K29" s="11">
        <f>IF(Inputs!$F$33=2,Inputs!K228,0)</f>
        <v/>
      </c>
      <c r="L29" s="11">
        <f>IF(Inputs!$F$33=2,Inputs!L228,0)</f>
        <v/>
      </c>
      <c r="M29" s="11">
        <f>IF(Inputs!$F$33=2,Inputs!M228,0)</f>
        <v/>
      </c>
      <c r="N29" s="11">
        <f>IF(Inputs!$F$33=2,Inputs!N228,0)</f>
        <v/>
      </c>
      <c r="O29" s="11">
        <f>IF(Inputs!$F$33=2,Inputs!O228,0)</f>
        <v/>
      </c>
      <c r="P29" s="11">
        <f>IF(Inputs!$F$33=2,Inputs!P228,0)</f>
        <v/>
      </c>
      <c r="Q29" s="11">
        <f>IF(Inputs!$F$33=2,Inputs!Q228,0)</f>
        <v/>
      </c>
      <c r="R29" s="11">
        <f>IF(Inputs!$F$33=2,Inputs!R228,0)</f>
        <v/>
      </c>
      <c r="S29" s="11">
        <f>IF(Inputs!$F$33=2,Inputs!S228,0)</f>
        <v/>
      </c>
      <c r="T29" s="11">
        <f>IF(Inputs!$F$33=2,Inputs!T228,0)</f>
        <v/>
      </c>
      <c r="U29" s="11">
        <f>IF(Inputs!$F$33=2,Inputs!U228,0)</f>
        <v/>
      </c>
      <c r="V29" s="11">
        <f>IF(Inputs!$F$33=2,Inputs!V228,0)</f>
        <v/>
      </c>
      <c r="W29" s="11">
        <f>IF(Inputs!$F$33=2,Inputs!W228,0)</f>
        <v/>
      </c>
      <c r="X29" s="11">
        <f>IF(Inputs!$F$33=2,Inputs!X228,0)</f>
        <v/>
      </c>
      <c r="Y29" s="11">
        <f>IF(Inputs!$F$33=2,Inputs!Y228,0)</f>
        <v/>
      </c>
      <c r="Z29" s="11">
        <f>IF(Inputs!$F$33=2,Inputs!Z228,0)</f>
        <v/>
      </c>
      <c r="AA29" s="11">
        <f>IF(Inputs!$F$33=2,Inputs!AA228,0)</f>
        <v/>
      </c>
      <c r="AB29" s="11">
        <f>IF(Inputs!$F$33=2,Inputs!AB228,0)</f>
        <v/>
      </c>
      <c r="AC29" s="11">
        <f>IF(Inputs!$F$33=2,Inputs!AC228,0)</f>
        <v/>
      </c>
      <c r="AD29" s="11">
        <f>IF(Inputs!$F$33=2,Inputs!AD228,0)</f>
        <v/>
      </c>
      <c r="AE29" s="11">
        <f>IF(Inputs!$F$33=2,Inputs!AE228,0)</f>
        <v/>
      </c>
      <c r="AF29" s="11">
        <f>IF(Inputs!$F$33=2,Inputs!AF228,0)</f>
        <v/>
      </c>
      <c r="AG29" s="11">
        <f>IF(Inputs!$F$33=2,Inputs!AG228,0)</f>
        <v/>
      </c>
      <c r="AH29" s="11">
        <f>IF(Inputs!$F$33=2,Inputs!AH228,0)</f>
        <v/>
      </c>
      <c r="AI29" s="11">
        <f>IF(Inputs!$F$33=2,Inputs!AI228,0)</f>
        <v/>
      </c>
      <c r="AJ29" s="11">
        <f>IF(Inputs!$F$33=2,Inputs!AJ228,0)</f>
        <v/>
      </c>
      <c r="AK29" s="11">
        <f>IF(Inputs!$F$33=2,Inputs!AK228,0)</f>
        <v/>
      </c>
      <c r="AL29" s="11">
        <f>IF(Inputs!$F$33=2,Inputs!AL228,0)</f>
        <v/>
      </c>
      <c r="AM29" s="11">
        <f>IF(Inputs!$F$33=2,Inputs!AM228,0)</f>
        <v/>
      </c>
      <c r="AN29" s="11">
        <f>IF(Inputs!$F$33=2,Inputs!AN228,0)</f>
        <v/>
      </c>
      <c r="AO29" s="11">
        <f>IF(Inputs!$F$33=2,Inputs!AO228,0)</f>
        <v/>
      </c>
      <c r="AP29" s="11">
        <f>IF(Inputs!$F$33=2,Inputs!AP228,0)</f>
        <v/>
      </c>
      <c r="AQ29" s="11">
        <f>IF(Inputs!$F$33=2,Inputs!AQ228,0)</f>
        <v/>
      </c>
      <c r="AR29" s="11">
        <f>IF(Inputs!$F$33=2,Inputs!AR228,0)</f>
        <v/>
      </c>
      <c r="AS29" s="11">
        <f>IF(Inputs!$F$33=2,Inputs!AS228,0)</f>
        <v/>
      </c>
      <c r="AT29" s="11">
        <f>IF(Inputs!$F$33=2,Inputs!AT228,0)</f>
        <v/>
      </c>
      <c r="AU29" s="11">
        <f>IF(Inputs!$F$33=2,Inputs!AU228,0)</f>
        <v/>
      </c>
      <c r="AV29" s="11">
        <f>IF(Inputs!$F$33=2,Inputs!AV228,0)</f>
        <v/>
      </c>
      <c r="AW29" s="11">
        <f>IF(Inputs!$F$33=2,Inputs!AW228,0)</f>
        <v/>
      </c>
      <c r="AX29" s="11">
        <f>IF(Inputs!$F$33=2,Inputs!AX228,0)</f>
        <v/>
      </c>
      <c r="AY29" s="11">
        <f>IF(Inputs!$F$33=2,Inputs!AY228,0)</f>
        <v/>
      </c>
      <c r="AZ29" s="11">
        <f>IF(Inputs!$F$33=2,Inputs!AZ228,0)</f>
        <v/>
      </c>
      <c r="BA29" s="11">
        <f>IF(Inputs!$F$33=2,Inputs!BA228,0)</f>
        <v/>
      </c>
      <c r="BB29" s="11">
        <f>IF(Inputs!$F$33=2,Inputs!BB228,0)</f>
        <v/>
      </c>
      <c r="BC29" s="11">
        <f>IF(Inputs!$F$33=2,Inputs!BC228,0)</f>
        <v/>
      </c>
      <c r="BD29" s="11">
        <f>IF(Inputs!$F$33=2,Inputs!BD228,0)</f>
        <v/>
      </c>
      <c r="BE29" s="11">
        <f>IF(Inputs!$F$33=2,Inputs!BE228,0)</f>
        <v/>
      </c>
      <c r="BF29" s="11">
        <f>IF(Inputs!$F$33=2,Inputs!BF228,0)</f>
        <v/>
      </c>
      <c r="BG29" s="11">
        <f>IF(Inputs!$F$33=2,Inputs!BG228,0)</f>
        <v/>
      </c>
      <c r="BH29" s="11">
        <f>IF(Inputs!$F$33=2,Inputs!BH228,0)</f>
        <v/>
      </c>
      <c r="BI29" s="11">
        <f>IF(Inputs!$F$33=2,Inputs!BI228,0)</f>
        <v/>
      </c>
      <c r="BJ29" s="11">
        <f>IF(Inputs!$F$33=2,Inputs!BJ228,0)</f>
        <v/>
      </c>
    </row>
    <row r="30">
      <c r="D30" t="inlineStr">
        <is>
          <t>Uses before financing costs</t>
        </is>
      </c>
      <c r="E30" t="inlineStr">
        <is>
          <t>USD m</t>
        </is>
      </c>
      <c r="G30" s="11">
        <f>SUM(J30:BJ30)</f>
        <v/>
      </c>
      <c r="J30" s="11">
        <f>J22+J23+J24+J25+J26+J27+J28+J29</f>
        <v/>
      </c>
      <c r="K30" s="11">
        <f>K22+K23+K24+K25+K26+K27+K28+K29</f>
        <v/>
      </c>
      <c r="L30" s="11">
        <f>L22+L23+L24+L25+L26+L27+L28+L29</f>
        <v/>
      </c>
      <c r="M30" s="11">
        <f>M22+M23+M24+M25+M26+M27+M28+M29</f>
        <v/>
      </c>
      <c r="N30" s="11">
        <f>N22+N23+N24+N25+N26+N27+N28+N29</f>
        <v/>
      </c>
      <c r="O30" s="11">
        <f>O22+O23+O24+O25+O26+O27+O28+O29</f>
        <v/>
      </c>
      <c r="P30" s="11">
        <f>P22+P23+P24+P25+P26+P27+P28+P29</f>
        <v/>
      </c>
      <c r="Q30" s="11">
        <f>Q22+Q23+Q24+Q25+Q26+Q27+Q28+Q29</f>
        <v/>
      </c>
      <c r="R30" s="11">
        <f>R22+R23+R24+R25+R26+R27+R28+R29</f>
        <v/>
      </c>
      <c r="S30" s="11">
        <f>S22+S23+S24+S25+S26+S27+S28+S29</f>
        <v/>
      </c>
      <c r="T30" s="11">
        <f>T22+T23+T24+T25+T26+T27+T28+T29</f>
        <v/>
      </c>
      <c r="U30" s="11">
        <f>U22+U23+U24+U25+U26+U27+U28+U29</f>
        <v/>
      </c>
      <c r="V30" s="11">
        <f>V22+V23+V24+V25+V26+V27+V28+V29</f>
        <v/>
      </c>
      <c r="W30" s="11">
        <f>W22+W23+W24+W25+W26+W27+W28+W29</f>
        <v/>
      </c>
      <c r="X30" s="11">
        <f>X22+X23+X24+X25+X26+X27+X28+X29</f>
        <v/>
      </c>
      <c r="Y30" s="11">
        <f>Y22+Y23+Y24+Y25+Y26+Y27+Y28+Y29</f>
        <v/>
      </c>
      <c r="Z30" s="11">
        <f>Z22+Z23+Z24+Z25+Z26+Z27+Z28+Z29</f>
        <v/>
      </c>
      <c r="AA30" s="11">
        <f>AA22+AA23+AA24+AA25+AA26+AA27+AA28+AA29</f>
        <v/>
      </c>
      <c r="AB30" s="11">
        <f>AB22+AB23+AB24+AB25+AB26+AB27+AB28+AB29</f>
        <v/>
      </c>
      <c r="AC30" s="11">
        <f>AC22+AC23+AC24+AC25+AC26+AC27+AC28+AC29</f>
        <v/>
      </c>
      <c r="AD30" s="11">
        <f>AD22+AD23+AD24+AD25+AD26+AD27+AD28+AD29</f>
        <v/>
      </c>
      <c r="AE30" s="11">
        <f>AE22+AE23+AE24+AE25+AE26+AE27+AE28+AE29</f>
        <v/>
      </c>
      <c r="AF30" s="11">
        <f>AF22+AF23+AF24+AF25+AF26+AF27+AF28+AF29</f>
        <v/>
      </c>
      <c r="AG30" s="11">
        <f>AG22+AG23+AG24+AG25+AG26+AG27+AG28+AG29</f>
        <v/>
      </c>
      <c r="AH30" s="11">
        <f>AH22+AH23+AH24+AH25+AH26+AH27+AH28+AH29</f>
        <v/>
      </c>
      <c r="AI30" s="11">
        <f>AI22+AI23+AI24+AI25+AI26+AI27+AI28+AI29</f>
        <v/>
      </c>
      <c r="AJ30" s="11">
        <f>AJ22+AJ23+AJ24+AJ25+AJ26+AJ27+AJ28+AJ29</f>
        <v/>
      </c>
      <c r="AK30" s="11">
        <f>AK22+AK23+AK24+AK25+AK26+AK27+AK28+AK29</f>
        <v/>
      </c>
      <c r="AL30" s="11">
        <f>AL22+AL23+AL24+AL25+AL26+AL27+AL28+AL29</f>
        <v/>
      </c>
      <c r="AM30" s="11">
        <f>AM22+AM23+AM24+AM25+AM26+AM27+AM28+AM29</f>
        <v/>
      </c>
      <c r="AN30" s="11">
        <f>AN22+AN23+AN24+AN25+AN26+AN27+AN28+AN29</f>
        <v/>
      </c>
      <c r="AO30" s="11">
        <f>AO22+AO23+AO24+AO25+AO26+AO27+AO28+AO29</f>
        <v/>
      </c>
      <c r="AP30" s="11">
        <f>AP22+AP23+AP24+AP25+AP26+AP27+AP28+AP29</f>
        <v/>
      </c>
      <c r="AQ30" s="11">
        <f>AQ22+AQ23+AQ24+AQ25+AQ26+AQ27+AQ28+AQ29</f>
        <v/>
      </c>
      <c r="AR30" s="11">
        <f>AR22+AR23+AR24+AR25+AR26+AR27+AR28+AR29</f>
        <v/>
      </c>
      <c r="AS30" s="11">
        <f>AS22+AS23+AS24+AS25+AS26+AS27+AS28+AS29</f>
        <v/>
      </c>
      <c r="AT30" s="11">
        <f>AT22+AT23+AT24+AT25+AT26+AT27+AT28+AT29</f>
        <v/>
      </c>
      <c r="AU30" s="11">
        <f>AU22+AU23+AU24+AU25+AU26+AU27+AU28+AU29</f>
        <v/>
      </c>
      <c r="AV30" s="11">
        <f>AV22+AV23+AV24+AV25+AV26+AV27+AV28+AV29</f>
        <v/>
      </c>
      <c r="AW30" s="11">
        <f>AW22+AW23+AW24+AW25+AW26+AW27+AW28+AW29</f>
        <v/>
      </c>
      <c r="AX30" s="11">
        <f>AX22+AX23+AX24+AX25+AX26+AX27+AX28+AX29</f>
        <v/>
      </c>
      <c r="AY30" s="11">
        <f>AY22+AY23+AY24+AY25+AY26+AY27+AY28+AY29</f>
        <v/>
      </c>
      <c r="AZ30" s="11">
        <f>AZ22+AZ23+AZ24+AZ25+AZ26+AZ27+AZ28+AZ29</f>
        <v/>
      </c>
      <c r="BA30" s="11">
        <f>BA22+BA23+BA24+BA25+BA26+BA27+BA28+BA29</f>
        <v/>
      </c>
      <c r="BB30" s="11">
        <f>BB22+BB23+BB24+BB25+BB26+BB27+BB28+BB29</f>
        <v/>
      </c>
      <c r="BC30" s="11">
        <f>BC22+BC23+BC24+BC25+BC26+BC27+BC28+BC29</f>
        <v/>
      </c>
      <c r="BD30" s="11">
        <f>BD22+BD23+BD24+BD25+BD26+BD27+BD28+BD29</f>
        <v/>
      </c>
      <c r="BE30" s="11">
        <f>BE22+BE23+BE24+BE25+BE26+BE27+BE28+BE29</f>
        <v/>
      </c>
      <c r="BF30" s="11">
        <f>BF22+BF23+BF24+BF25+BF26+BF27+BF28+BF29</f>
        <v/>
      </c>
      <c r="BG30" s="11">
        <f>BG22+BG23+BG24+BG25+BG26+BG27+BG28+BG29</f>
        <v/>
      </c>
      <c r="BH30" s="11">
        <f>BH22+BH23+BH24+BH25+BH26+BH27+BH28+BH29</f>
        <v/>
      </c>
      <c r="BI30" s="11">
        <f>BI22+BI23+BI24+BI25+BI26+BI27+BI28+BI29</f>
        <v/>
      </c>
      <c r="BJ30" s="11">
        <f>BJ22+BJ23+BJ24+BJ25+BJ26+BJ27+BJ28+BJ29</f>
        <v/>
      </c>
    </row>
    <row r="31">
      <c r="B31" s="2" t="inlineStr">
        <is>
          <t>VAT on onshore EPC (KCR m) and UBK VAT facility</t>
        </is>
      </c>
    </row>
    <row r="32">
      <c r="D32" t="inlineStr">
        <is>
          <t>Onshore EPC payments</t>
        </is>
      </c>
      <c r="E32" t="inlineStr">
        <is>
          <t>KCR m</t>
        </is>
      </c>
      <c r="G32" s="11">
        <f>SUM(J32:BJ32)</f>
        <v/>
      </c>
      <c r="J32" s="11">
        <f>J20/100*Inputs!$F$57*Inputs!$F$58*Inputs!$F$35</f>
        <v/>
      </c>
      <c r="K32" s="11">
        <f>K20/100*Inputs!$F$57*Inputs!$F$58*Inputs!$F$35</f>
        <v/>
      </c>
      <c r="L32" s="11">
        <f>L20/100*Inputs!$F$57*Inputs!$F$58*Inputs!$F$35</f>
        <v/>
      </c>
      <c r="M32" s="11">
        <f>M20/100*Inputs!$F$57*Inputs!$F$58*Inputs!$F$35</f>
        <v/>
      </c>
      <c r="N32" s="11">
        <f>N20/100*Inputs!$F$57*Inputs!$F$58*Inputs!$F$35</f>
        <v/>
      </c>
      <c r="O32" s="11">
        <f>O20/100*Inputs!$F$57*Inputs!$F$58*Inputs!$F$35</f>
        <v/>
      </c>
      <c r="P32" s="11">
        <f>P20/100*Inputs!$F$57*Inputs!$F$58*Inputs!$F$35</f>
        <v/>
      </c>
      <c r="Q32" s="11">
        <f>Q20/100*Inputs!$F$57*Inputs!$F$58*Inputs!$F$35</f>
        <v/>
      </c>
      <c r="R32" s="11">
        <f>R20/100*Inputs!$F$57*Inputs!$F$58*Inputs!$F$35</f>
        <v/>
      </c>
      <c r="S32" s="11">
        <f>S20/100*Inputs!$F$57*Inputs!$F$58*Inputs!$F$35</f>
        <v/>
      </c>
      <c r="T32" s="11">
        <f>T20/100*Inputs!$F$57*Inputs!$F$58*Inputs!$F$35</f>
        <v/>
      </c>
      <c r="U32" s="11">
        <f>U20/100*Inputs!$F$57*Inputs!$F$58*Inputs!$F$35</f>
        <v/>
      </c>
      <c r="V32" s="11">
        <f>V20/100*Inputs!$F$57*Inputs!$F$58*Inputs!$F$35</f>
        <v/>
      </c>
      <c r="W32" s="11">
        <f>W20/100*Inputs!$F$57*Inputs!$F$58*Inputs!$F$35</f>
        <v/>
      </c>
      <c r="X32" s="11">
        <f>X20/100*Inputs!$F$57*Inputs!$F$58*Inputs!$F$35</f>
        <v/>
      </c>
      <c r="Y32" s="11">
        <f>Y20/100*Inputs!$F$57*Inputs!$F$58*Inputs!$F$35</f>
        <v/>
      </c>
      <c r="Z32" s="11">
        <f>Z20/100*Inputs!$F$57*Inputs!$F$58*Inputs!$F$35</f>
        <v/>
      </c>
      <c r="AA32" s="11">
        <f>AA20/100*Inputs!$F$57*Inputs!$F$58*Inputs!$F$35</f>
        <v/>
      </c>
      <c r="AB32" s="11">
        <f>AB20/100*Inputs!$F$57*Inputs!$F$58*Inputs!$F$35</f>
        <v/>
      </c>
      <c r="AC32" s="11">
        <f>AC20/100*Inputs!$F$57*Inputs!$F$58*Inputs!$F$35</f>
        <v/>
      </c>
      <c r="AD32" s="11">
        <f>AD20/100*Inputs!$F$57*Inputs!$F$58*Inputs!$F$35</f>
        <v/>
      </c>
      <c r="AE32" s="11">
        <f>AE20/100*Inputs!$F$57*Inputs!$F$58*Inputs!$F$35</f>
        <v/>
      </c>
      <c r="AF32" s="11">
        <f>AF20/100*Inputs!$F$57*Inputs!$F$58*Inputs!$F$35</f>
        <v/>
      </c>
      <c r="AG32" s="11">
        <f>AG20/100*Inputs!$F$57*Inputs!$F$58*Inputs!$F$35</f>
        <v/>
      </c>
      <c r="AH32" s="11">
        <f>AH20/100*Inputs!$F$57*Inputs!$F$58*Inputs!$F$35</f>
        <v/>
      </c>
      <c r="AI32" s="11">
        <f>AI20/100*Inputs!$F$57*Inputs!$F$58*Inputs!$F$35</f>
        <v/>
      </c>
      <c r="AJ32" s="11">
        <f>AJ20/100*Inputs!$F$57*Inputs!$F$58*Inputs!$F$35</f>
        <v/>
      </c>
      <c r="AK32" s="11">
        <f>AK20/100*Inputs!$F$57*Inputs!$F$58*Inputs!$F$35</f>
        <v/>
      </c>
      <c r="AL32" s="11">
        <f>AL20/100*Inputs!$F$57*Inputs!$F$58*Inputs!$F$35</f>
        <v/>
      </c>
      <c r="AM32" s="11">
        <f>AM20/100*Inputs!$F$57*Inputs!$F$58*Inputs!$F$35</f>
        <v/>
      </c>
      <c r="AN32" s="11">
        <f>AN20/100*Inputs!$F$57*Inputs!$F$58*Inputs!$F$35</f>
        <v/>
      </c>
      <c r="AO32" s="11">
        <f>AO20/100*Inputs!$F$57*Inputs!$F$58*Inputs!$F$35</f>
        <v/>
      </c>
      <c r="AP32" s="11">
        <f>AP20/100*Inputs!$F$57*Inputs!$F$58*Inputs!$F$35</f>
        <v/>
      </c>
      <c r="AQ32" s="11">
        <f>AQ20/100*Inputs!$F$57*Inputs!$F$58*Inputs!$F$35</f>
        <v/>
      </c>
      <c r="AR32" s="11">
        <f>AR20/100*Inputs!$F$57*Inputs!$F$58*Inputs!$F$35</f>
        <v/>
      </c>
      <c r="AS32" s="11">
        <f>AS20/100*Inputs!$F$57*Inputs!$F$58*Inputs!$F$35</f>
        <v/>
      </c>
      <c r="AT32" s="11">
        <f>AT20/100*Inputs!$F$57*Inputs!$F$58*Inputs!$F$35</f>
        <v/>
      </c>
      <c r="AU32" s="11">
        <f>AU20/100*Inputs!$F$57*Inputs!$F$58*Inputs!$F$35</f>
        <v/>
      </c>
      <c r="AV32" s="11">
        <f>AV20/100*Inputs!$F$57*Inputs!$F$58*Inputs!$F$35</f>
        <v/>
      </c>
      <c r="AW32" s="11">
        <f>AW20/100*Inputs!$F$57*Inputs!$F$58*Inputs!$F$35</f>
        <v/>
      </c>
      <c r="AX32" s="11">
        <f>AX20/100*Inputs!$F$57*Inputs!$F$58*Inputs!$F$35</f>
        <v/>
      </c>
      <c r="AY32" s="11">
        <f>AY20/100*Inputs!$F$57*Inputs!$F$58*Inputs!$F$35</f>
        <v/>
      </c>
      <c r="AZ32" s="11">
        <f>AZ20/100*Inputs!$F$57*Inputs!$F$58*Inputs!$F$35</f>
        <v/>
      </c>
      <c r="BA32" s="11">
        <f>BA20/100*Inputs!$F$57*Inputs!$F$58*Inputs!$F$35</f>
        <v/>
      </c>
      <c r="BB32" s="11">
        <f>BB20/100*Inputs!$F$57*Inputs!$F$58*Inputs!$F$35</f>
        <v/>
      </c>
      <c r="BC32" s="11">
        <f>BC20/100*Inputs!$F$57*Inputs!$F$58*Inputs!$F$35</f>
        <v/>
      </c>
      <c r="BD32" s="11">
        <f>BD20/100*Inputs!$F$57*Inputs!$F$58*Inputs!$F$35</f>
        <v/>
      </c>
      <c r="BE32" s="11">
        <f>BE20/100*Inputs!$F$57*Inputs!$F$58*Inputs!$F$35</f>
        <v/>
      </c>
      <c r="BF32" s="11">
        <f>BF20/100*Inputs!$F$57*Inputs!$F$58*Inputs!$F$35</f>
        <v/>
      </c>
      <c r="BG32" s="11">
        <f>BG20/100*Inputs!$F$57*Inputs!$F$58*Inputs!$F$35</f>
        <v/>
      </c>
      <c r="BH32" s="11">
        <f>BH20/100*Inputs!$F$57*Inputs!$F$58*Inputs!$F$35</f>
        <v/>
      </c>
      <c r="BI32" s="11">
        <f>BI20/100*Inputs!$F$57*Inputs!$F$58*Inputs!$F$35</f>
        <v/>
      </c>
      <c r="BJ32" s="11">
        <f>BJ20/100*Inputs!$F$57*Inputs!$F$58*Inputs!$F$35</f>
        <v/>
      </c>
    </row>
    <row r="33">
      <c r="D33" t="inlineStr">
        <is>
          <t>VAT paid (drawn on the VAT facility)</t>
        </is>
      </c>
      <c r="E33" t="inlineStr">
        <is>
          <t>KCR m</t>
        </is>
      </c>
      <c r="G33" s="11">
        <f>SUM(J33:BJ33)</f>
        <v/>
      </c>
      <c r="J33" s="11">
        <f>Inputs!$F$68/100*J32</f>
        <v/>
      </c>
      <c r="K33" s="11">
        <f>Inputs!$F$68/100*K32</f>
        <v/>
      </c>
      <c r="L33" s="11">
        <f>Inputs!$F$68/100*L32</f>
        <v/>
      </c>
      <c r="M33" s="11">
        <f>Inputs!$F$68/100*M32</f>
        <v/>
      </c>
      <c r="N33" s="11">
        <f>Inputs!$F$68/100*N32</f>
        <v/>
      </c>
      <c r="O33" s="11">
        <f>Inputs!$F$68/100*O32</f>
        <v/>
      </c>
      <c r="P33" s="11">
        <f>Inputs!$F$68/100*P32</f>
        <v/>
      </c>
      <c r="Q33" s="11">
        <f>Inputs!$F$68/100*Q32</f>
        <v/>
      </c>
      <c r="R33" s="11">
        <f>Inputs!$F$68/100*R32</f>
        <v/>
      </c>
      <c r="S33" s="11">
        <f>Inputs!$F$68/100*S32</f>
        <v/>
      </c>
      <c r="T33" s="11">
        <f>Inputs!$F$68/100*T32</f>
        <v/>
      </c>
      <c r="U33" s="11">
        <f>Inputs!$F$68/100*U32</f>
        <v/>
      </c>
      <c r="V33" s="11">
        <f>Inputs!$F$68/100*V32</f>
        <v/>
      </c>
      <c r="W33" s="11">
        <f>Inputs!$F$68/100*W32</f>
        <v/>
      </c>
      <c r="X33" s="11">
        <f>Inputs!$F$68/100*X32</f>
        <v/>
      </c>
      <c r="Y33" s="11">
        <f>Inputs!$F$68/100*Y32</f>
        <v/>
      </c>
      <c r="Z33" s="11">
        <f>Inputs!$F$68/100*Z32</f>
        <v/>
      </c>
      <c r="AA33" s="11">
        <f>Inputs!$F$68/100*AA32</f>
        <v/>
      </c>
      <c r="AB33" s="11">
        <f>Inputs!$F$68/100*AB32</f>
        <v/>
      </c>
      <c r="AC33" s="11">
        <f>Inputs!$F$68/100*AC32</f>
        <v/>
      </c>
      <c r="AD33" s="11">
        <f>Inputs!$F$68/100*AD32</f>
        <v/>
      </c>
      <c r="AE33" s="11">
        <f>Inputs!$F$68/100*AE32</f>
        <v/>
      </c>
      <c r="AF33" s="11">
        <f>Inputs!$F$68/100*AF32</f>
        <v/>
      </c>
      <c r="AG33" s="11">
        <f>Inputs!$F$68/100*AG32</f>
        <v/>
      </c>
      <c r="AH33" s="11">
        <f>Inputs!$F$68/100*AH32</f>
        <v/>
      </c>
      <c r="AI33" s="11">
        <f>Inputs!$F$68/100*AI32</f>
        <v/>
      </c>
      <c r="AJ33" s="11">
        <f>Inputs!$F$68/100*AJ32</f>
        <v/>
      </c>
      <c r="AK33" s="11">
        <f>Inputs!$F$68/100*AK32</f>
        <v/>
      </c>
      <c r="AL33" s="11">
        <f>Inputs!$F$68/100*AL32</f>
        <v/>
      </c>
      <c r="AM33" s="11">
        <f>Inputs!$F$68/100*AM32</f>
        <v/>
      </c>
      <c r="AN33" s="11">
        <f>Inputs!$F$68/100*AN32</f>
        <v/>
      </c>
      <c r="AO33" s="11">
        <f>Inputs!$F$68/100*AO32</f>
        <v/>
      </c>
      <c r="AP33" s="11">
        <f>Inputs!$F$68/100*AP32</f>
        <v/>
      </c>
      <c r="AQ33" s="11">
        <f>Inputs!$F$68/100*AQ32</f>
        <v/>
      </c>
      <c r="AR33" s="11">
        <f>Inputs!$F$68/100*AR32</f>
        <v/>
      </c>
      <c r="AS33" s="11">
        <f>Inputs!$F$68/100*AS32</f>
        <v/>
      </c>
      <c r="AT33" s="11">
        <f>Inputs!$F$68/100*AT32</f>
        <v/>
      </c>
      <c r="AU33" s="11">
        <f>Inputs!$F$68/100*AU32</f>
        <v/>
      </c>
      <c r="AV33" s="11">
        <f>Inputs!$F$68/100*AV32</f>
        <v/>
      </c>
      <c r="AW33" s="11">
        <f>Inputs!$F$68/100*AW32</f>
        <v/>
      </c>
      <c r="AX33" s="11">
        <f>Inputs!$F$68/100*AX32</f>
        <v/>
      </c>
      <c r="AY33" s="11">
        <f>Inputs!$F$68/100*AY32</f>
        <v/>
      </c>
      <c r="AZ33" s="11">
        <f>Inputs!$F$68/100*AZ32</f>
        <v/>
      </c>
      <c r="BA33" s="11">
        <f>Inputs!$F$68/100*BA32</f>
        <v/>
      </c>
      <c r="BB33" s="11">
        <f>Inputs!$F$68/100*BB32</f>
        <v/>
      </c>
      <c r="BC33" s="11">
        <f>Inputs!$F$68/100*BC32</f>
        <v/>
      </c>
      <c r="BD33" s="11">
        <f>Inputs!$F$68/100*BD32</f>
        <v/>
      </c>
      <c r="BE33" s="11">
        <f>Inputs!$F$68/100*BE32</f>
        <v/>
      </c>
      <c r="BF33" s="11">
        <f>Inputs!$F$68/100*BF32</f>
        <v/>
      </c>
      <c r="BG33" s="11">
        <f>Inputs!$F$68/100*BG32</f>
        <v/>
      </c>
      <c r="BH33" s="11">
        <f>Inputs!$F$68/100*BH32</f>
        <v/>
      </c>
      <c r="BI33" s="11">
        <f>Inputs!$F$68/100*BI32</f>
        <v/>
      </c>
      <c r="BJ33" s="11">
        <f>Inputs!$F$68/100*BJ32</f>
        <v/>
      </c>
    </row>
    <row r="34">
      <c r="D34" t="inlineStr">
        <is>
          <t>VAT refunds (9-month lag) repaying the facility</t>
        </is>
      </c>
      <c r="E34" t="inlineStr">
        <is>
          <t>KCR m</t>
        </is>
      </c>
      <c r="G34" s="11">
        <f>SUM(J34:BJ34)</f>
        <v/>
      </c>
      <c r="J34" s="11">
        <f>0</f>
        <v/>
      </c>
      <c r="K34" s="11">
        <f>0</f>
        <v/>
      </c>
      <c r="L34" s="11">
        <f>0</f>
        <v/>
      </c>
      <c r="M34" s="11">
        <f>0</f>
        <v/>
      </c>
      <c r="N34" s="11">
        <f>0</f>
        <v/>
      </c>
      <c r="O34" s="11">
        <f>0</f>
        <v/>
      </c>
      <c r="P34" s="11">
        <f>0</f>
        <v/>
      </c>
      <c r="Q34" s="11">
        <f>0</f>
        <v/>
      </c>
      <c r="R34" s="11">
        <f>0</f>
        <v/>
      </c>
      <c r="S34" s="11">
        <f>J33</f>
        <v/>
      </c>
      <c r="T34" s="11">
        <f>K33</f>
        <v/>
      </c>
      <c r="U34" s="11">
        <f>L33</f>
        <v/>
      </c>
      <c r="V34" s="11">
        <f>M33</f>
        <v/>
      </c>
      <c r="W34" s="11">
        <f>N33</f>
        <v/>
      </c>
      <c r="X34" s="11">
        <f>O33</f>
        <v/>
      </c>
      <c r="Y34" s="11">
        <f>P33</f>
        <v/>
      </c>
      <c r="Z34" s="11">
        <f>Q33</f>
        <v/>
      </c>
      <c r="AA34" s="11">
        <f>R33</f>
        <v/>
      </c>
      <c r="AB34" s="11">
        <f>S33</f>
        <v/>
      </c>
      <c r="AC34" s="11">
        <f>T33</f>
        <v/>
      </c>
      <c r="AD34" s="11">
        <f>U33</f>
        <v/>
      </c>
      <c r="AE34" s="11">
        <f>V33</f>
        <v/>
      </c>
      <c r="AF34" s="11">
        <f>W33</f>
        <v/>
      </c>
      <c r="AG34" s="11">
        <f>X33</f>
        <v/>
      </c>
      <c r="AH34" s="11">
        <f>Y33</f>
        <v/>
      </c>
      <c r="AI34" s="11">
        <f>Z33</f>
        <v/>
      </c>
      <c r="AJ34" s="11">
        <f>AA33</f>
        <v/>
      </c>
      <c r="AK34" s="11">
        <f>AB33</f>
        <v/>
      </c>
      <c r="AL34" s="11">
        <f>AC33</f>
        <v/>
      </c>
      <c r="AM34" s="11">
        <f>AD33</f>
        <v/>
      </c>
      <c r="AN34" s="11">
        <f>AE33</f>
        <v/>
      </c>
      <c r="AO34" s="11">
        <f>AF33</f>
        <v/>
      </c>
      <c r="AP34" s="11">
        <f>AG33</f>
        <v/>
      </c>
      <c r="AQ34" s="11">
        <f>AH33</f>
        <v/>
      </c>
      <c r="AR34" s="11">
        <f>AI33</f>
        <v/>
      </c>
      <c r="AS34" s="11">
        <f>AJ33</f>
        <v/>
      </c>
      <c r="AT34" s="11">
        <f>AK33</f>
        <v/>
      </c>
      <c r="AU34" s="11">
        <f>AL33</f>
        <v/>
      </c>
      <c r="AV34" s="11">
        <f>AM33</f>
        <v/>
      </c>
      <c r="AW34" s="11">
        <f>AN33</f>
        <v/>
      </c>
      <c r="AX34" s="11">
        <f>AO33</f>
        <v/>
      </c>
      <c r="AY34" s="11">
        <f>AP33</f>
        <v/>
      </c>
      <c r="AZ34" s="11">
        <f>AQ33</f>
        <v/>
      </c>
      <c r="BA34" s="11">
        <f>AR33</f>
        <v/>
      </c>
      <c r="BB34" s="11">
        <f>AS33</f>
        <v/>
      </c>
      <c r="BC34" s="11">
        <f>AT33</f>
        <v/>
      </c>
      <c r="BD34" s="11">
        <f>AU33</f>
        <v/>
      </c>
      <c r="BE34" s="11">
        <f>AV33</f>
        <v/>
      </c>
      <c r="BF34" s="11">
        <f>AW33</f>
        <v/>
      </c>
      <c r="BG34" s="11">
        <f>AX33</f>
        <v/>
      </c>
      <c r="BH34" s="11">
        <f>AY33</f>
        <v/>
      </c>
      <c r="BI34" s="11">
        <f>AZ33</f>
        <v/>
      </c>
      <c r="BJ34" s="11">
        <f>BA33</f>
        <v/>
      </c>
    </row>
    <row r="35">
      <c r="D35" t="inlineStr">
        <is>
          <t>VAT facility balance</t>
        </is>
      </c>
      <c r="E35" t="inlineStr">
        <is>
          <t>KCR m</t>
        </is>
      </c>
      <c r="J35" s="11">
        <f>0+J33-J34</f>
        <v/>
      </c>
      <c r="K35" s="11">
        <f>J35+K33-K34</f>
        <v/>
      </c>
      <c r="L35" s="11">
        <f>K35+L33-L34</f>
        <v/>
      </c>
      <c r="M35" s="11">
        <f>L35+M33-M34</f>
        <v/>
      </c>
      <c r="N35" s="11">
        <f>M35+N33-N34</f>
        <v/>
      </c>
      <c r="O35" s="11">
        <f>N35+O33-O34</f>
        <v/>
      </c>
      <c r="P35" s="11">
        <f>O35+P33-P34</f>
        <v/>
      </c>
      <c r="Q35" s="11">
        <f>P35+Q33-Q34</f>
        <v/>
      </c>
      <c r="R35" s="11">
        <f>Q35+R33-R34</f>
        <v/>
      </c>
      <c r="S35" s="11">
        <f>R35+S33-S34</f>
        <v/>
      </c>
      <c r="T35" s="11">
        <f>S35+T33-T34</f>
        <v/>
      </c>
      <c r="U35" s="11">
        <f>T35+U33-U34</f>
        <v/>
      </c>
      <c r="V35" s="11">
        <f>U35+V33-V34</f>
        <v/>
      </c>
      <c r="W35" s="11">
        <f>V35+W33-W34</f>
        <v/>
      </c>
      <c r="X35" s="11">
        <f>W35+X33-X34</f>
        <v/>
      </c>
      <c r="Y35" s="11">
        <f>X35+Y33-Y34</f>
        <v/>
      </c>
      <c r="Z35" s="11">
        <f>Y35+Z33-Z34</f>
        <v/>
      </c>
      <c r="AA35" s="11">
        <f>Z35+AA33-AA34</f>
        <v/>
      </c>
      <c r="AB35" s="11">
        <f>AA35+AB33-AB34</f>
        <v/>
      </c>
      <c r="AC35" s="11">
        <f>AB35+AC33-AC34</f>
        <v/>
      </c>
      <c r="AD35" s="11">
        <f>AC35+AD33-AD34</f>
        <v/>
      </c>
      <c r="AE35" s="11">
        <f>AD35+AE33-AE34</f>
        <v/>
      </c>
      <c r="AF35" s="11">
        <f>AE35+AF33-AF34</f>
        <v/>
      </c>
      <c r="AG35" s="11">
        <f>AF35+AG33-AG34</f>
        <v/>
      </c>
      <c r="AH35" s="11">
        <f>AG35+AH33-AH34</f>
        <v/>
      </c>
      <c r="AI35" s="11">
        <f>AH35+AI33-AI34</f>
        <v/>
      </c>
      <c r="AJ35" s="11">
        <f>AI35+AJ33-AJ34</f>
        <v/>
      </c>
      <c r="AK35" s="11">
        <f>AJ35+AK33-AK34</f>
        <v/>
      </c>
      <c r="AL35" s="11">
        <f>AK35+AL33-AL34</f>
        <v/>
      </c>
      <c r="AM35" s="11">
        <f>AL35+AM33-AM34</f>
        <v/>
      </c>
      <c r="AN35" s="11">
        <f>AM35+AN33-AN34</f>
        <v/>
      </c>
      <c r="AO35" s="11">
        <f>AN35+AO33-AO34</f>
        <v/>
      </c>
      <c r="AP35" s="11">
        <f>AO35+AP33-AP34</f>
        <v/>
      </c>
      <c r="AQ35" s="11">
        <f>AP35+AQ33-AQ34</f>
        <v/>
      </c>
      <c r="AR35" s="11">
        <f>AQ35+AR33-AR34</f>
        <v/>
      </c>
      <c r="AS35" s="11">
        <f>AR35+AS33-AS34</f>
        <v/>
      </c>
      <c r="AT35" s="11">
        <f>AS35+AT33-AT34</f>
        <v/>
      </c>
      <c r="AU35" s="11">
        <f>AT35+AU33-AU34</f>
        <v/>
      </c>
      <c r="AV35" s="11">
        <f>AU35+AV33-AV34</f>
        <v/>
      </c>
      <c r="AW35" s="11">
        <f>AV35+AW33-AW34</f>
        <v/>
      </c>
      <c r="AX35" s="11">
        <f>AW35+AX33-AX34</f>
        <v/>
      </c>
      <c r="AY35" s="11">
        <f>AX35+AY33-AY34</f>
        <v/>
      </c>
      <c r="AZ35" s="11">
        <f>AY35+AZ33-AZ34</f>
        <v/>
      </c>
      <c r="BA35" s="11">
        <f>AZ35+BA33-BA34</f>
        <v/>
      </c>
      <c r="BB35" s="11">
        <f>BA35+BB33-BB34</f>
        <v/>
      </c>
      <c r="BC35" s="11">
        <f>BB35+BC33-BC34</f>
        <v/>
      </c>
      <c r="BD35" s="11">
        <f>BC35+BD33-BD34</f>
        <v/>
      </c>
      <c r="BE35" s="11">
        <f>BD35+BE33-BE34</f>
        <v/>
      </c>
      <c r="BF35" s="11">
        <f>BE35+BF33-BF34</f>
        <v/>
      </c>
      <c r="BG35" s="11">
        <f>BF35+BG33-BG34</f>
        <v/>
      </c>
      <c r="BH35" s="11">
        <f>BG35+BH33-BH34</f>
        <v/>
      </c>
      <c r="BI35" s="11">
        <f>BH35+BI33-BI34</f>
        <v/>
      </c>
      <c r="BJ35" s="11">
        <f>BI35+BJ33-BJ34</f>
        <v/>
      </c>
    </row>
    <row r="36">
      <c r="D36" t="inlineStr">
        <is>
          <t>VAT facility interest</t>
        </is>
      </c>
      <c r="E36" t="inlineStr">
        <is>
          <t>USD m</t>
        </is>
      </c>
      <c r="G36" s="11">
        <f>SUM(J36:BJ36)</f>
        <v/>
      </c>
      <c r="J36" s="11">
        <f>0*(J18+Inputs!$F$69)/100*J11/365/J16</f>
        <v/>
      </c>
      <c r="K36" s="11">
        <f>J35*(K18+Inputs!$F$69)/100*K11/365/K16</f>
        <v/>
      </c>
      <c r="L36" s="11">
        <f>K35*(L18+Inputs!$F$69)/100*L11/365/L16</f>
        <v/>
      </c>
      <c r="M36" s="11">
        <f>L35*(M18+Inputs!$F$69)/100*M11/365/M16</f>
        <v/>
      </c>
      <c r="N36" s="11">
        <f>M35*(N18+Inputs!$F$69)/100*N11/365/N16</f>
        <v/>
      </c>
      <c r="O36" s="11">
        <f>N35*(O18+Inputs!$F$69)/100*O11/365/O16</f>
        <v/>
      </c>
      <c r="P36" s="11">
        <f>O35*(P18+Inputs!$F$69)/100*P11/365/P16</f>
        <v/>
      </c>
      <c r="Q36" s="11">
        <f>P35*(Q18+Inputs!$F$69)/100*Q11/365/Q16</f>
        <v/>
      </c>
      <c r="R36" s="11">
        <f>Q35*(R18+Inputs!$F$69)/100*R11/365/R16</f>
        <v/>
      </c>
      <c r="S36" s="11">
        <f>R35*(S18+Inputs!$F$69)/100*S11/365/S16</f>
        <v/>
      </c>
      <c r="T36" s="11">
        <f>S35*(T18+Inputs!$F$69)/100*T11/365/T16</f>
        <v/>
      </c>
      <c r="U36" s="11">
        <f>T35*(U18+Inputs!$F$69)/100*U11/365/U16</f>
        <v/>
      </c>
      <c r="V36" s="11">
        <f>U35*(V18+Inputs!$F$69)/100*V11/365/V16</f>
        <v/>
      </c>
      <c r="W36" s="11">
        <f>V35*(W18+Inputs!$F$69)/100*W11/365/W16</f>
        <v/>
      </c>
      <c r="X36" s="11">
        <f>W35*(X18+Inputs!$F$69)/100*X11/365/X16</f>
        <v/>
      </c>
      <c r="Y36" s="11">
        <f>X35*(Y18+Inputs!$F$69)/100*Y11/365/Y16</f>
        <v/>
      </c>
      <c r="Z36" s="11">
        <f>Y35*(Z18+Inputs!$F$69)/100*Z11/365/Z16</f>
        <v/>
      </c>
      <c r="AA36" s="11">
        <f>Z35*(AA18+Inputs!$F$69)/100*AA11/365/AA16</f>
        <v/>
      </c>
      <c r="AB36" s="11">
        <f>AA35*(AB18+Inputs!$F$69)/100*AB11/365/AB16</f>
        <v/>
      </c>
      <c r="AC36" s="11">
        <f>AB35*(AC18+Inputs!$F$69)/100*AC11/365/AC16</f>
        <v/>
      </c>
      <c r="AD36" s="11">
        <f>AC35*(AD18+Inputs!$F$69)/100*AD11/365/AD16</f>
        <v/>
      </c>
      <c r="AE36" s="11">
        <f>AD35*(AE18+Inputs!$F$69)/100*AE11/365/AE16</f>
        <v/>
      </c>
      <c r="AF36" s="11">
        <f>AE35*(AF18+Inputs!$F$69)/100*AF11/365/AF16</f>
        <v/>
      </c>
      <c r="AG36" s="11">
        <f>AF35*(AG18+Inputs!$F$69)/100*AG11/365/AG16</f>
        <v/>
      </c>
      <c r="AH36" s="11">
        <f>AG35*(AH18+Inputs!$F$69)/100*AH11/365/AH16</f>
        <v/>
      </c>
      <c r="AI36" s="11">
        <f>AH35*(AI18+Inputs!$F$69)/100*AI11/365/AI16</f>
        <v/>
      </c>
      <c r="AJ36" s="11">
        <f>AI35*(AJ18+Inputs!$F$69)/100*AJ11/365/AJ16</f>
        <v/>
      </c>
      <c r="AK36" s="11">
        <f>AJ35*(AK18+Inputs!$F$69)/100*AK11/365/AK16</f>
        <v/>
      </c>
      <c r="AL36" s="11">
        <f>AK35*(AL18+Inputs!$F$69)/100*AL11/365/AL16</f>
        <v/>
      </c>
      <c r="AM36" s="11">
        <f>AL35*(AM18+Inputs!$F$69)/100*AM11/365/AM16</f>
        <v/>
      </c>
      <c r="AN36" s="11">
        <f>AM35*(AN18+Inputs!$F$69)/100*AN11/365/AN16</f>
        <v/>
      </c>
      <c r="AO36" s="11">
        <f>AN35*(AO18+Inputs!$F$69)/100*AO11/365/AO16</f>
        <v/>
      </c>
      <c r="AP36" s="11">
        <f>AO35*(AP18+Inputs!$F$69)/100*AP11/365/AP16</f>
        <v/>
      </c>
      <c r="AQ36" s="11">
        <f>AP35*(AQ18+Inputs!$F$69)/100*AQ11/365/AQ16</f>
        <v/>
      </c>
      <c r="AR36" s="11">
        <f>AQ35*(AR18+Inputs!$F$69)/100*AR11/365/AR16</f>
        <v/>
      </c>
      <c r="AS36" s="11">
        <f>AR35*(AS18+Inputs!$F$69)/100*AS11/365/AS16</f>
        <v/>
      </c>
      <c r="AT36" s="11">
        <f>AS35*(AT18+Inputs!$F$69)/100*AT11/365/AT16</f>
        <v/>
      </c>
      <c r="AU36" s="11">
        <f>AT35*(AU18+Inputs!$F$69)/100*AU11/365/AU16</f>
        <v/>
      </c>
      <c r="AV36" s="11">
        <f>AU35*(AV18+Inputs!$F$69)/100*AV11/365/AV16</f>
        <v/>
      </c>
      <c r="AW36" s="11">
        <f>AV35*(AW18+Inputs!$F$69)/100*AW11/365/AW16</f>
        <v/>
      </c>
      <c r="AX36" s="11">
        <f>AW35*(AX18+Inputs!$F$69)/100*AX11/365/AX16</f>
        <v/>
      </c>
      <c r="AY36" s="11">
        <f>AX35*(AY18+Inputs!$F$69)/100*AY11/365/AY16</f>
        <v/>
      </c>
      <c r="AZ36" s="11">
        <f>AY35*(AZ18+Inputs!$F$69)/100*AZ11/365/AZ16</f>
        <v/>
      </c>
      <c r="BA36" s="11">
        <f>AZ35*(BA18+Inputs!$F$69)/100*BA11/365/BA16</f>
        <v/>
      </c>
      <c r="BB36" s="11">
        <f>BA35*(BB18+Inputs!$F$69)/100*BB11/365/BB16</f>
        <v/>
      </c>
      <c r="BC36" s="11">
        <f>BB35*(BC18+Inputs!$F$69)/100*BC11/365/BC16</f>
        <v/>
      </c>
      <c r="BD36" s="11">
        <f>BC35*(BD18+Inputs!$F$69)/100*BD11/365/BD16</f>
        <v/>
      </c>
      <c r="BE36" s="11">
        <f>BD35*(BE18+Inputs!$F$69)/100*BE11/365/BE16</f>
        <v/>
      </c>
      <c r="BF36" s="11">
        <f>BE35*(BF18+Inputs!$F$69)/100*BF11/365/BF16</f>
        <v/>
      </c>
      <c r="BG36" s="11">
        <f>BF35*(BG18+Inputs!$F$69)/100*BG11/365/BG16</f>
        <v/>
      </c>
      <c r="BH36" s="11">
        <f>BG35*(BH18+Inputs!$F$69)/100*BH11/365/BH16</f>
        <v/>
      </c>
      <c r="BI36" s="11">
        <f>BH35*(BI18+Inputs!$F$69)/100*BI11/365/BI16</f>
        <v/>
      </c>
      <c r="BJ36" s="11">
        <f>BI35*(BJ18+Inputs!$F$69)/100*BJ11/365/BJ16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N92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Operations: macro paths, plant, revenue, operating costs, working capital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Macro paths</t>
        </is>
      </c>
    </row>
    <row r="8">
      <c r="D8" t="inlineStr">
        <is>
          <t>Base rate before sensitivity shift</t>
        </is>
      </c>
      <c r="E8" t="inlineStr">
        <is>
          <t>%</t>
        </is>
      </c>
      <c r="J8" s="11">
        <f>CHOOSE(Inputs!$F$32,Inputs!J212,Inputs!J213,Inputs!J214)</f>
        <v/>
      </c>
      <c r="K8" s="11">
        <f>CHOOSE(Inputs!$F$32,Inputs!K212,Inputs!K213,Inputs!K214)</f>
        <v/>
      </c>
      <c r="L8" s="11">
        <f>CHOOSE(Inputs!$F$32,Inputs!L212,Inputs!L213,Inputs!L214)</f>
        <v/>
      </c>
      <c r="M8" s="11">
        <f>CHOOSE(Inputs!$F$32,Inputs!M212,Inputs!M213,Inputs!M214)</f>
        <v/>
      </c>
      <c r="N8" s="11">
        <f>CHOOSE(Inputs!$F$32,Inputs!N212,Inputs!N213,Inputs!N214)</f>
        <v/>
      </c>
      <c r="O8" s="11">
        <f>CHOOSE(Inputs!$F$32,Inputs!O212,Inputs!O213,Inputs!O214)</f>
        <v/>
      </c>
      <c r="P8" s="11">
        <f>CHOOSE(Inputs!$F$32,Inputs!P212,Inputs!P213,Inputs!P214)</f>
        <v/>
      </c>
      <c r="Q8" s="11">
        <f>CHOOSE(Inputs!$F$32,Inputs!Q212,Inputs!Q213,Inputs!Q214)</f>
        <v/>
      </c>
      <c r="R8" s="11">
        <f>CHOOSE(Inputs!$F$32,Inputs!R212,Inputs!R213,Inputs!R214)</f>
        <v/>
      </c>
      <c r="S8" s="11">
        <f>CHOOSE(Inputs!$F$32,Inputs!S212,Inputs!S213,Inputs!S214)</f>
        <v/>
      </c>
      <c r="T8" s="11">
        <f>CHOOSE(Inputs!$F$32,Inputs!T212,Inputs!T213,Inputs!T214)</f>
        <v/>
      </c>
      <c r="U8" s="11">
        <f>CHOOSE(Inputs!$F$32,Inputs!U212,Inputs!U213,Inputs!U214)</f>
        <v/>
      </c>
      <c r="V8" s="11">
        <f>CHOOSE(Inputs!$F$32,Inputs!V212,Inputs!V213,Inputs!V214)</f>
        <v/>
      </c>
      <c r="W8" s="11">
        <f>CHOOSE(Inputs!$F$32,Inputs!W212,Inputs!W213,Inputs!W214)</f>
        <v/>
      </c>
      <c r="X8" s="11">
        <f>CHOOSE(Inputs!$F$32,Inputs!X212,Inputs!X213,Inputs!X214)</f>
        <v/>
      </c>
      <c r="Y8" s="11">
        <f>CHOOSE(Inputs!$F$32,Inputs!Y212,Inputs!Y213,Inputs!Y214)</f>
        <v/>
      </c>
      <c r="Z8" s="11">
        <f>CHOOSE(Inputs!$F$32,Inputs!Z212,Inputs!Z213,Inputs!Z214)</f>
        <v/>
      </c>
      <c r="AA8" s="11">
        <f>CHOOSE(Inputs!$F$32,Inputs!AA212,Inputs!AA213,Inputs!AA214)</f>
        <v/>
      </c>
      <c r="AB8" s="11">
        <f>CHOOSE(Inputs!$F$32,Inputs!AB212,Inputs!AB213,Inputs!AB214)</f>
        <v/>
      </c>
      <c r="AC8" s="11">
        <f>CHOOSE(Inputs!$F$32,Inputs!AC212,Inputs!AC213,Inputs!AC214)</f>
        <v/>
      </c>
      <c r="AD8" s="11">
        <f>CHOOSE(Inputs!$F$32,Inputs!AD212,Inputs!AD213,Inputs!AD214)</f>
        <v/>
      </c>
      <c r="AE8" s="11">
        <f>CHOOSE(Inputs!$F$32,Inputs!AE212,Inputs!AE213,Inputs!AE214)</f>
        <v/>
      </c>
      <c r="AF8" s="11">
        <f>CHOOSE(Inputs!$F$32,Inputs!AF212,Inputs!AF213,Inputs!AF214)</f>
        <v/>
      </c>
      <c r="AG8" s="11">
        <f>CHOOSE(Inputs!$F$32,Inputs!AG212,Inputs!AG213,Inputs!AG214)</f>
        <v/>
      </c>
      <c r="AH8" s="11">
        <f>CHOOSE(Inputs!$F$32,Inputs!AH212,Inputs!AH213,Inputs!AH214)</f>
        <v/>
      </c>
      <c r="AI8" s="11">
        <f>CHOOSE(Inputs!$F$32,Inputs!AI212,Inputs!AI213,Inputs!AI214)</f>
        <v/>
      </c>
      <c r="AJ8" s="11">
        <f>CHOOSE(Inputs!$F$32,Inputs!AJ212,Inputs!AJ213,Inputs!AJ214)</f>
        <v/>
      </c>
      <c r="AK8" s="11">
        <f>CHOOSE(Inputs!$F$32,Inputs!AK212,Inputs!AK213,Inputs!AK214)</f>
        <v/>
      </c>
      <c r="AL8" s="11">
        <f>CHOOSE(Inputs!$F$32,Inputs!AL212,Inputs!AL213,Inputs!AL214)</f>
        <v/>
      </c>
      <c r="AM8" s="11">
        <f>CHOOSE(Inputs!$F$32,Inputs!AM212,Inputs!AM213,Inputs!AM214)</f>
        <v/>
      </c>
      <c r="AN8" s="11">
        <f>CHOOSE(Inputs!$F$32,Inputs!AN212,Inputs!AN213,Inputs!AN214)</f>
        <v/>
      </c>
      <c r="AO8" s="11">
        <f>CHOOSE(Inputs!$F$32,Inputs!AO212,Inputs!AO213,Inputs!AO214)</f>
        <v/>
      </c>
      <c r="AP8" s="11">
        <f>CHOOSE(Inputs!$F$32,Inputs!AP212,Inputs!AP213,Inputs!AP214)</f>
        <v/>
      </c>
      <c r="AQ8" s="11">
        <f>CHOOSE(Inputs!$F$32,Inputs!AQ212,Inputs!AQ213,Inputs!AQ214)</f>
        <v/>
      </c>
      <c r="AR8" s="11">
        <f>CHOOSE(Inputs!$F$32,Inputs!AR212,Inputs!AR213,Inputs!AR214)</f>
        <v/>
      </c>
      <c r="AS8" s="11">
        <f>CHOOSE(Inputs!$F$32,Inputs!AS212,Inputs!AS213,Inputs!AS214)</f>
        <v/>
      </c>
      <c r="AT8" s="11">
        <f>CHOOSE(Inputs!$F$32,Inputs!AT212,Inputs!AT213,Inputs!AT214)</f>
        <v/>
      </c>
      <c r="AU8" s="11">
        <f>CHOOSE(Inputs!$F$32,Inputs!AU212,Inputs!AU213,Inputs!AU214)</f>
        <v/>
      </c>
      <c r="AV8" s="11">
        <f>CHOOSE(Inputs!$F$32,Inputs!AV212,Inputs!AV213,Inputs!AV214)</f>
        <v/>
      </c>
      <c r="AW8" s="11">
        <f>CHOOSE(Inputs!$F$32,Inputs!AW212,Inputs!AW213,Inputs!AW214)</f>
        <v/>
      </c>
      <c r="AX8" s="11">
        <f>CHOOSE(Inputs!$F$32,Inputs!AX212,Inputs!AX213,Inputs!AX214)</f>
        <v/>
      </c>
      <c r="AY8" s="11">
        <f>CHOOSE(Inputs!$F$32,Inputs!AY212,Inputs!AY213,Inputs!AY214)</f>
        <v/>
      </c>
      <c r="AZ8" s="11">
        <f>CHOOSE(Inputs!$F$32,Inputs!AZ212,Inputs!AZ213,Inputs!AZ214)</f>
        <v/>
      </c>
      <c r="BA8" s="11">
        <f>CHOOSE(Inputs!$F$32,Inputs!BA212,Inputs!BA213,Inputs!BA214)</f>
        <v/>
      </c>
      <c r="BB8" s="11">
        <f>CHOOSE(Inputs!$F$32,Inputs!BB212,Inputs!BB213,Inputs!BB214)</f>
        <v/>
      </c>
      <c r="BC8" s="11">
        <f>CHOOSE(Inputs!$F$32,Inputs!BC212,Inputs!BC213,Inputs!BC214)</f>
        <v/>
      </c>
      <c r="BD8" s="11">
        <f>CHOOSE(Inputs!$F$32,Inputs!BD212,Inputs!BD213,Inputs!BD214)</f>
        <v/>
      </c>
      <c r="BE8" s="11">
        <f>CHOOSE(Inputs!$F$32,Inputs!BE212,Inputs!BE213,Inputs!BE214)</f>
        <v/>
      </c>
      <c r="BF8" s="11">
        <f>CHOOSE(Inputs!$F$32,Inputs!BF212,Inputs!BF213,Inputs!BF214)</f>
        <v/>
      </c>
      <c r="BG8" s="11">
        <f>CHOOSE(Inputs!$F$32,Inputs!BG212,Inputs!BG213,Inputs!BG214)</f>
        <v/>
      </c>
      <c r="BH8" s="11">
        <f>CHOOSE(Inputs!$F$32,Inputs!BH212,Inputs!BH213,Inputs!BH214)</f>
        <v/>
      </c>
      <c r="BI8" s="11">
        <f>CHOOSE(Inputs!$F$32,Inputs!BI212,Inputs!BI213,Inputs!BI214)</f>
        <v/>
      </c>
      <c r="BJ8" s="11">
        <f>CHOOSE(Inputs!$F$32,Inputs!BJ212,Inputs!BJ213,Inputs!BJ214)</f>
        <v/>
      </c>
      <c r="BK8" s="11">
        <f>CHOOSE(Inputs!$F$32,Inputs!BK212,Inputs!BK213,Inputs!BK214)</f>
        <v/>
      </c>
      <c r="BL8" s="11">
        <f>CHOOSE(Inputs!$F$32,Inputs!BL212,Inputs!BL213,Inputs!BL214)</f>
        <v/>
      </c>
      <c r="BM8" s="11">
        <f>CHOOSE(Inputs!$F$32,Inputs!BM212,Inputs!BM213,Inputs!BM214)</f>
        <v/>
      </c>
      <c r="BN8" s="11">
        <f>CHOOSE(Inputs!$F$32,Inputs!BN212,Inputs!BN213,Inputs!BN214)</f>
        <v/>
      </c>
    </row>
    <row r="9">
      <c r="D9" t="inlineStr">
        <is>
          <t>Base rate (6M LIBOR / Term SOFR + CAS)</t>
        </is>
      </c>
      <c r="E9" t="inlineStr">
        <is>
          <t>%</t>
        </is>
      </c>
      <c r="J9" s="11">
        <f>J8+Inputs!$F$41*Time!J34</f>
        <v/>
      </c>
      <c r="K9" s="11">
        <f>K8+Inputs!$F$41*Time!K34</f>
        <v/>
      </c>
      <c r="L9" s="11">
        <f>L8+Inputs!$F$41*Time!L34</f>
        <v/>
      </c>
      <c r="M9" s="11">
        <f>M8+Inputs!$F$41*Time!M34</f>
        <v/>
      </c>
      <c r="N9" s="11">
        <f>N8+Inputs!$F$41*Time!N34</f>
        <v/>
      </c>
      <c r="O9" s="11">
        <f>O8+Inputs!$F$41*Time!O34</f>
        <v/>
      </c>
      <c r="P9" s="11">
        <f>P8+Inputs!$F$41*Time!P34</f>
        <v/>
      </c>
      <c r="Q9" s="11">
        <f>Q8+Inputs!$F$41*Time!Q34</f>
        <v/>
      </c>
      <c r="R9" s="11">
        <f>R8+Inputs!$F$41*Time!R34</f>
        <v/>
      </c>
      <c r="S9" s="11">
        <f>S8+Inputs!$F$41*Time!S34</f>
        <v/>
      </c>
      <c r="T9" s="11">
        <f>T8+Inputs!$F$41*Time!T34</f>
        <v/>
      </c>
      <c r="U9" s="11">
        <f>U8+Inputs!$F$41*Time!U34</f>
        <v/>
      </c>
      <c r="V9" s="11">
        <f>V8+Inputs!$F$41*Time!V34</f>
        <v/>
      </c>
      <c r="W9" s="11">
        <f>W8+Inputs!$F$41*Time!W34</f>
        <v/>
      </c>
      <c r="X9" s="11">
        <f>X8+Inputs!$F$41*Time!X34</f>
        <v/>
      </c>
      <c r="Y9" s="11">
        <f>Y8+Inputs!$F$41*Time!Y34</f>
        <v/>
      </c>
      <c r="Z9" s="11">
        <f>Z8+Inputs!$F$41*Time!Z34</f>
        <v/>
      </c>
      <c r="AA9" s="11">
        <f>AA8+Inputs!$F$41*Time!AA34</f>
        <v/>
      </c>
      <c r="AB9" s="11">
        <f>AB8+Inputs!$F$41*Time!AB34</f>
        <v/>
      </c>
      <c r="AC9" s="11">
        <f>AC8+Inputs!$F$41*Time!AC34</f>
        <v/>
      </c>
      <c r="AD9" s="11">
        <f>AD8+Inputs!$F$41*Time!AD34</f>
        <v/>
      </c>
      <c r="AE9" s="11">
        <f>AE8+Inputs!$F$41*Time!AE34</f>
        <v/>
      </c>
      <c r="AF9" s="11">
        <f>AF8+Inputs!$F$41*Time!AF34</f>
        <v/>
      </c>
      <c r="AG9" s="11">
        <f>AG8+Inputs!$F$41*Time!AG34</f>
        <v/>
      </c>
      <c r="AH9" s="11">
        <f>AH8+Inputs!$F$41*Time!AH34</f>
        <v/>
      </c>
      <c r="AI9" s="11">
        <f>AI8+Inputs!$F$41*Time!AI34</f>
        <v/>
      </c>
      <c r="AJ9" s="11">
        <f>AJ8+Inputs!$F$41*Time!AJ34</f>
        <v/>
      </c>
      <c r="AK9" s="11">
        <f>AK8+Inputs!$F$41*Time!AK34</f>
        <v/>
      </c>
      <c r="AL9" s="11">
        <f>AL8+Inputs!$F$41*Time!AL34</f>
        <v/>
      </c>
      <c r="AM9" s="11">
        <f>AM8+Inputs!$F$41*Time!AM34</f>
        <v/>
      </c>
      <c r="AN9" s="11">
        <f>AN8+Inputs!$F$41*Time!AN34</f>
        <v/>
      </c>
      <c r="AO9" s="11">
        <f>AO8+Inputs!$F$41*Time!AO34</f>
        <v/>
      </c>
      <c r="AP9" s="11">
        <f>AP8+Inputs!$F$41*Time!AP34</f>
        <v/>
      </c>
      <c r="AQ9" s="11">
        <f>AQ8+Inputs!$F$41*Time!AQ34</f>
        <v/>
      </c>
      <c r="AR9" s="11">
        <f>AR8+Inputs!$F$41*Time!AR34</f>
        <v/>
      </c>
      <c r="AS9" s="11">
        <f>AS8+Inputs!$F$41*Time!AS34</f>
        <v/>
      </c>
      <c r="AT9" s="11">
        <f>AT8+Inputs!$F$41*Time!AT34</f>
        <v/>
      </c>
      <c r="AU9" s="11">
        <f>AU8+Inputs!$F$41*Time!AU34</f>
        <v/>
      </c>
      <c r="AV9" s="11">
        <f>AV8+Inputs!$F$41*Time!AV34</f>
        <v/>
      </c>
      <c r="AW9" s="11">
        <f>AW8+Inputs!$F$41*Time!AW34</f>
        <v/>
      </c>
      <c r="AX9" s="11">
        <f>AX8+Inputs!$F$41*Time!AX34</f>
        <v/>
      </c>
      <c r="AY9" s="11">
        <f>AY8+Inputs!$F$41*Time!AY34</f>
        <v/>
      </c>
      <c r="AZ9" s="11">
        <f>AZ8+Inputs!$F$41*Time!AZ34</f>
        <v/>
      </c>
      <c r="BA9" s="11">
        <f>BA8+Inputs!$F$41*Time!BA34</f>
        <v/>
      </c>
      <c r="BB9" s="11">
        <f>BB8+Inputs!$F$41*Time!BB34</f>
        <v/>
      </c>
      <c r="BC9" s="11">
        <f>BC8+Inputs!$F$41*Time!BC34</f>
        <v/>
      </c>
      <c r="BD9" s="11">
        <f>BD8+Inputs!$F$41*Time!BD34</f>
        <v/>
      </c>
      <c r="BE9" s="11">
        <f>BE8+Inputs!$F$41*Time!BE34</f>
        <v/>
      </c>
      <c r="BF9" s="11">
        <f>BF8+Inputs!$F$41*Time!BF34</f>
        <v/>
      </c>
      <c r="BG9" s="11">
        <f>BG8+Inputs!$F$41*Time!BG34</f>
        <v/>
      </c>
      <c r="BH9" s="11">
        <f>BH8+Inputs!$F$41*Time!BH34</f>
        <v/>
      </c>
      <c r="BI9" s="11">
        <f>BI8+Inputs!$F$41*Time!BI34</f>
        <v/>
      </c>
      <c r="BJ9" s="11">
        <f>BJ8+Inputs!$F$41*Time!BJ34</f>
        <v/>
      </c>
      <c r="BK9" s="11">
        <f>BK8+Inputs!$F$41*Time!BK34</f>
        <v/>
      </c>
      <c r="BL9" s="11">
        <f>BL8+Inputs!$F$41*Time!BL34</f>
        <v/>
      </c>
      <c r="BM9" s="11">
        <f>BM8+Inputs!$F$41*Time!BM34</f>
        <v/>
      </c>
      <c r="BN9" s="11">
        <f>BN8+Inputs!$F$41*Time!BN34</f>
        <v/>
      </c>
    </row>
    <row r="10">
      <c r="D10" t="inlineStr">
        <is>
          <t>KCR per USD before devaluation sensitivity</t>
        </is>
      </c>
      <c r="E10" t="inlineStr">
        <is>
          <t>KCR/USD</t>
        </is>
      </c>
      <c r="J10" s="11">
        <f>CHOOSE(Inputs!$F$32,Inputs!$F$58*Time!$F$15^((Time!J17-0.5)/2),Inputs!J215,Inputs!J215)</f>
        <v/>
      </c>
      <c r="K10" s="11">
        <f>CHOOSE(Inputs!$F$32,Inputs!$F$58*Time!$F$15^((Time!K17-0.5)/2),Inputs!K215,Inputs!K215)</f>
        <v/>
      </c>
      <c r="L10" s="11">
        <f>CHOOSE(Inputs!$F$32,Inputs!$F$58*Time!$F$15^((Time!L17-0.5)/2),Inputs!L215,Inputs!L215)</f>
        <v/>
      </c>
      <c r="M10" s="11">
        <f>CHOOSE(Inputs!$F$32,Inputs!$F$58*Time!$F$15^((Time!M17-0.5)/2),Inputs!M215,Inputs!M215)</f>
        <v/>
      </c>
      <c r="N10" s="11">
        <f>CHOOSE(Inputs!$F$32,Inputs!$F$58*Time!$F$15^((Time!N17-0.5)/2),Inputs!N215,Inputs!N215)</f>
        <v/>
      </c>
      <c r="O10" s="11">
        <f>CHOOSE(Inputs!$F$32,Inputs!$F$58*Time!$F$15^((Time!O17-0.5)/2),Inputs!O215,Inputs!O215)</f>
        <v/>
      </c>
      <c r="P10" s="11">
        <f>CHOOSE(Inputs!$F$32,Inputs!$F$58*Time!$F$15^((Time!P17-0.5)/2),Inputs!P215,Inputs!P215)</f>
        <v/>
      </c>
      <c r="Q10" s="11">
        <f>CHOOSE(Inputs!$F$32,Inputs!$F$58*Time!$F$15^((Time!Q17-0.5)/2),Inputs!Q215,P10*Time!$F$15^0.5)</f>
        <v/>
      </c>
      <c r="R10" s="11">
        <f>CHOOSE(Inputs!$F$32,Inputs!$F$58*Time!$F$15^((Time!R17-0.5)/2),Inputs!R215,Q10*Time!$F$15^0.5)</f>
        <v/>
      </c>
      <c r="S10" s="11">
        <f>CHOOSE(Inputs!$F$32,Inputs!$F$58*Time!$F$15^((Time!S17-0.5)/2),Inputs!S215,R10*Time!$F$15^0.5)</f>
        <v/>
      </c>
      <c r="T10" s="11">
        <f>CHOOSE(Inputs!$F$32,Inputs!$F$58*Time!$F$15^((Time!T17-0.5)/2),Inputs!T215,S10*Time!$F$15^0.5)</f>
        <v/>
      </c>
      <c r="U10" s="11">
        <f>CHOOSE(Inputs!$F$32,Inputs!$F$58*Time!$F$15^((Time!U17-0.5)/2),Inputs!U215,T10*Time!$F$15^0.5)</f>
        <v/>
      </c>
      <c r="V10" s="11">
        <f>CHOOSE(Inputs!$F$32,Inputs!$F$58*Time!$F$15^((Time!V17-0.5)/2),Inputs!V215,U10*Time!$F$15^0.5)</f>
        <v/>
      </c>
      <c r="W10" s="11">
        <f>CHOOSE(Inputs!$F$32,Inputs!$F$58*Time!$F$15^((Time!W17-0.5)/2),Inputs!W215,V10*Time!$F$15^0.5)</f>
        <v/>
      </c>
      <c r="X10" s="11">
        <f>CHOOSE(Inputs!$F$32,Inputs!$F$58*Time!$F$15^((Time!X17-0.5)/2),Inputs!X215,W10*Time!$F$15^0.5)</f>
        <v/>
      </c>
      <c r="Y10" s="11">
        <f>CHOOSE(Inputs!$F$32,Inputs!$F$58*Time!$F$15^((Time!Y17-0.5)/2),Inputs!Y215,X10*Time!$F$15^0.5)</f>
        <v/>
      </c>
      <c r="Z10" s="11">
        <f>CHOOSE(Inputs!$F$32,Inputs!$F$58*Time!$F$15^((Time!Z17-0.5)/2),Inputs!Z215,Y10*Time!$F$15^0.5)</f>
        <v/>
      </c>
      <c r="AA10" s="11">
        <f>CHOOSE(Inputs!$F$32,Inputs!$F$58*Time!$F$15^((Time!AA17-0.5)/2),Z10*((1+AA13/100)/(1+AA12/100))^0.5,Z10*Time!$F$15^0.5)</f>
        <v/>
      </c>
      <c r="AB10" s="11">
        <f>CHOOSE(Inputs!$F$32,Inputs!$F$58*Time!$F$15^((Time!AB17-0.5)/2),AA10*((1+AB13/100)/(1+AB12/100))^0.5,AA10*Time!$F$15^0.5)</f>
        <v/>
      </c>
      <c r="AC10" s="11">
        <f>CHOOSE(Inputs!$F$32,Inputs!$F$58*Time!$F$15^((Time!AC17-0.5)/2),AB10*((1+AC13/100)/(1+AC12/100))^0.5,AB10*Time!$F$15^0.5)</f>
        <v/>
      </c>
      <c r="AD10" s="11">
        <f>CHOOSE(Inputs!$F$32,Inputs!$F$58*Time!$F$15^((Time!AD17-0.5)/2),AC10*((1+AD13/100)/(1+AD12/100))^0.5,AC10*Time!$F$15^0.5)</f>
        <v/>
      </c>
      <c r="AE10" s="11">
        <f>CHOOSE(Inputs!$F$32,Inputs!$F$58*Time!$F$15^((Time!AE17-0.5)/2),AD10*((1+AE13/100)/(1+AE12/100))^0.5,AD10*Time!$F$15^0.5)</f>
        <v/>
      </c>
      <c r="AF10" s="11">
        <f>CHOOSE(Inputs!$F$32,Inputs!$F$58*Time!$F$15^((Time!AF17-0.5)/2),AE10*((1+AF13/100)/(1+AF12/100))^0.5,AE10*Time!$F$15^0.5)</f>
        <v/>
      </c>
      <c r="AG10" s="11">
        <f>CHOOSE(Inputs!$F$32,Inputs!$F$58*Time!$F$15^((Time!AG17-0.5)/2),AF10*((1+AG13/100)/(1+AG12/100))^0.5,AF10*Time!$F$15^0.5)</f>
        <v/>
      </c>
      <c r="AH10" s="11">
        <f>CHOOSE(Inputs!$F$32,Inputs!$F$58*Time!$F$15^((Time!AH17-0.5)/2),AG10*((1+AH13/100)/(1+AH12/100))^0.5,AG10*Time!$F$15^0.5)</f>
        <v/>
      </c>
      <c r="AI10" s="11">
        <f>CHOOSE(Inputs!$F$32,Inputs!$F$58*Time!$F$15^((Time!AI17-0.5)/2),AH10*((1+AI13/100)/(1+AI12/100))^0.5,AH10*Time!$F$15^0.5)</f>
        <v/>
      </c>
      <c r="AJ10" s="11">
        <f>CHOOSE(Inputs!$F$32,Inputs!$F$58*Time!$F$15^((Time!AJ17-0.5)/2),AI10*((1+AJ13/100)/(1+AJ12/100))^0.5,AI10*Time!$F$15^0.5)</f>
        <v/>
      </c>
      <c r="AK10" s="11">
        <f>CHOOSE(Inputs!$F$32,Inputs!$F$58*Time!$F$15^((Time!AK17-0.5)/2),AJ10*((1+AK13/100)/(1+AK12/100))^0.5,AJ10*Time!$F$15^0.5)</f>
        <v/>
      </c>
      <c r="AL10" s="11">
        <f>CHOOSE(Inputs!$F$32,Inputs!$F$58*Time!$F$15^((Time!AL17-0.5)/2),AK10*((1+AL13/100)/(1+AL12/100))^0.5,AK10*Time!$F$15^0.5)</f>
        <v/>
      </c>
      <c r="AM10" s="11">
        <f>CHOOSE(Inputs!$F$32,Inputs!$F$58*Time!$F$15^((Time!AM17-0.5)/2),AL10*((1+AM13/100)/(1+AM12/100))^0.5,AL10*Time!$F$15^0.5)</f>
        <v/>
      </c>
      <c r="AN10" s="11">
        <f>CHOOSE(Inputs!$F$32,Inputs!$F$58*Time!$F$15^((Time!AN17-0.5)/2),AM10*((1+AN13/100)/(1+AN12/100))^0.5,AM10*Time!$F$15^0.5)</f>
        <v/>
      </c>
      <c r="AO10" s="11">
        <f>CHOOSE(Inputs!$F$32,Inputs!$F$58*Time!$F$15^((Time!AO17-0.5)/2),AN10*((1+AO13/100)/(1+AO12/100))^0.5,AN10*Time!$F$15^0.5)</f>
        <v/>
      </c>
      <c r="AP10" s="11">
        <f>CHOOSE(Inputs!$F$32,Inputs!$F$58*Time!$F$15^((Time!AP17-0.5)/2),AO10*((1+AP13/100)/(1+AP12/100))^0.5,AO10*Time!$F$15^0.5)</f>
        <v/>
      </c>
      <c r="AQ10" s="11">
        <f>CHOOSE(Inputs!$F$32,Inputs!$F$58*Time!$F$15^((Time!AQ17-0.5)/2),AP10*((1+AQ13/100)/(1+AQ12/100))^0.5,AP10*Time!$F$15^0.5)</f>
        <v/>
      </c>
      <c r="AR10" s="11">
        <f>CHOOSE(Inputs!$F$32,Inputs!$F$58*Time!$F$15^((Time!AR17-0.5)/2),AQ10*((1+AR13/100)/(1+AR12/100))^0.5,AQ10*Time!$F$15^0.5)</f>
        <v/>
      </c>
      <c r="AS10" s="11">
        <f>CHOOSE(Inputs!$F$32,Inputs!$F$58*Time!$F$15^((Time!AS17-0.5)/2),AR10*((1+AS13/100)/(1+AS12/100))^0.5,AR10*Time!$F$15^0.5)</f>
        <v/>
      </c>
      <c r="AT10" s="11">
        <f>CHOOSE(Inputs!$F$32,Inputs!$F$58*Time!$F$15^((Time!AT17-0.5)/2),AS10*((1+AT13/100)/(1+AT12/100))^0.5,AS10*Time!$F$15^0.5)</f>
        <v/>
      </c>
      <c r="AU10" s="11">
        <f>CHOOSE(Inputs!$F$32,Inputs!$F$58*Time!$F$15^((Time!AU17-0.5)/2),AT10*((1+AU13/100)/(1+AU12/100))^0.5,AT10*Time!$F$15^0.5)</f>
        <v/>
      </c>
      <c r="AV10" s="11">
        <f>CHOOSE(Inputs!$F$32,Inputs!$F$58*Time!$F$15^((Time!AV17-0.5)/2),AU10*((1+AV13/100)/(1+AV12/100))^0.5,AU10*Time!$F$15^0.5)</f>
        <v/>
      </c>
      <c r="AW10" s="11">
        <f>CHOOSE(Inputs!$F$32,Inputs!$F$58*Time!$F$15^((Time!AW17-0.5)/2),AV10*((1+AW13/100)/(1+AW12/100))^0.5,AV10*Time!$F$15^0.5)</f>
        <v/>
      </c>
      <c r="AX10" s="11">
        <f>CHOOSE(Inputs!$F$32,Inputs!$F$58*Time!$F$15^((Time!AX17-0.5)/2),AW10*((1+AX13/100)/(1+AX12/100))^0.5,AW10*Time!$F$15^0.5)</f>
        <v/>
      </c>
      <c r="AY10" s="11">
        <f>CHOOSE(Inputs!$F$32,Inputs!$F$58*Time!$F$15^((Time!AY17-0.5)/2),AX10*((1+AY13/100)/(1+AY12/100))^0.5,AX10*Time!$F$15^0.5)</f>
        <v/>
      </c>
      <c r="AZ10" s="11">
        <f>CHOOSE(Inputs!$F$32,Inputs!$F$58*Time!$F$15^((Time!AZ17-0.5)/2),AY10*((1+AZ13/100)/(1+AZ12/100))^0.5,AY10*Time!$F$15^0.5)</f>
        <v/>
      </c>
      <c r="BA10" s="11">
        <f>CHOOSE(Inputs!$F$32,Inputs!$F$58*Time!$F$15^((Time!BA17-0.5)/2),AZ10*((1+BA13/100)/(1+BA12/100))^0.5,AZ10*Time!$F$15^0.5)</f>
        <v/>
      </c>
      <c r="BB10" s="11">
        <f>CHOOSE(Inputs!$F$32,Inputs!$F$58*Time!$F$15^((Time!BB17-0.5)/2),BA10*((1+BB13/100)/(1+BB12/100))^0.5,BA10*Time!$F$15^0.5)</f>
        <v/>
      </c>
      <c r="BC10" s="11">
        <f>CHOOSE(Inputs!$F$32,Inputs!$F$58*Time!$F$15^((Time!BC17-0.5)/2),BB10*((1+BC13/100)/(1+BC12/100))^0.5,BB10*Time!$F$15^0.5)</f>
        <v/>
      </c>
      <c r="BD10" s="11">
        <f>CHOOSE(Inputs!$F$32,Inputs!$F$58*Time!$F$15^((Time!BD17-0.5)/2),BC10*((1+BD13/100)/(1+BD12/100))^0.5,BC10*Time!$F$15^0.5)</f>
        <v/>
      </c>
      <c r="BE10" s="11">
        <f>CHOOSE(Inputs!$F$32,Inputs!$F$58*Time!$F$15^((Time!BE17-0.5)/2),BD10*((1+BE13/100)/(1+BE12/100))^0.5,BD10*Time!$F$15^0.5)</f>
        <v/>
      </c>
      <c r="BF10" s="11">
        <f>CHOOSE(Inputs!$F$32,Inputs!$F$58*Time!$F$15^((Time!BF17-0.5)/2),BE10*((1+BF13/100)/(1+BF12/100))^0.5,BE10*Time!$F$15^0.5)</f>
        <v/>
      </c>
      <c r="BG10" s="11">
        <f>CHOOSE(Inputs!$F$32,Inputs!$F$58*Time!$F$15^((Time!BG17-0.5)/2),BF10*((1+BG13/100)/(1+BG12/100))^0.5,BF10*Time!$F$15^0.5)</f>
        <v/>
      </c>
      <c r="BH10" s="11">
        <f>CHOOSE(Inputs!$F$32,Inputs!$F$58*Time!$F$15^((Time!BH17-0.5)/2),BG10*((1+BH13/100)/(1+BH12/100))^0.5,BG10*Time!$F$15^0.5)</f>
        <v/>
      </c>
      <c r="BI10" s="11">
        <f>CHOOSE(Inputs!$F$32,Inputs!$F$58*Time!$F$15^((Time!BI17-0.5)/2),BH10*((1+BI13/100)/(1+BI12/100))^0.5,BH10*Time!$F$15^0.5)</f>
        <v/>
      </c>
      <c r="BJ10" s="11">
        <f>CHOOSE(Inputs!$F$32,Inputs!$F$58*Time!$F$15^((Time!BJ17-0.5)/2),BI10*((1+BJ13/100)/(1+BJ12/100))^0.5,BI10*Time!$F$15^0.5)</f>
        <v/>
      </c>
      <c r="BK10" s="11">
        <f>CHOOSE(Inputs!$F$32,Inputs!$F$58*Time!$F$15^((Time!BK17-0.5)/2),BJ10*((1+BK13/100)/(1+BK12/100))^0.5,BJ10*Time!$F$15^0.5)</f>
        <v/>
      </c>
      <c r="BL10" s="11">
        <f>CHOOSE(Inputs!$F$32,Inputs!$F$58*Time!$F$15^((Time!BL17-0.5)/2),BK10*((1+BL13/100)/(1+BL12/100))^0.5,BK10*Time!$F$15^0.5)</f>
        <v/>
      </c>
      <c r="BM10" s="11">
        <f>CHOOSE(Inputs!$F$32,Inputs!$F$58*Time!$F$15^((Time!BM17-0.5)/2),BL10*((1+BM13/100)/(1+BM12/100))^0.5,BL10*Time!$F$15^0.5)</f>
        <v/>
      </c>
      <c r="BN10" s="11">
        <f>CHOOSE(Inputs!$F$32,Inputs!$F$58*Time!$F$15^((Time!BN17-0.5)/2),BM10*((1+BN13/100)/(1+BN12/100))^0.5,BM10*Time!$F$15^0.5)</f>
        <v/>
      </c>
    </row>
    <row r="11">
      <c r="D11" t="inlineStr">
        <is>
          <t>KCR per USD, period average</t>
        </is>
      </c>
      <c r="E11" t="inlineStr">
        <is>
          <t>KCR/USD</t>
        </is>
      </c>
      <c r="J11" s="11">
        <f>J10/(1-Inputs!$F$42*Time!J34)</f>
        <v/>
      </c>
      <c r="K11" s="11">
        <f>K10/(1-Inputs!$F$42*Time!K34)</f>
        <v/>
      </c>
      <c r="L11" s="11">
        <f>L10/(1-Inputs!$F$42*Time!L34)</f>
        <v/>
      </c>
      <c r="M11" s="11">
        <f>M10/(1-Inputs!$F$42*Time!M34)</f>
        <v/>
      </c>
      <c r="N11" s="11">
        <f>N10/(1-Inputs!$F$42*Time!N34)</f>
        <v/>
      </c>
      <c r="O11" s="11">
        <f>O10/(1-Inputs!$F$42*Time!O34)</f>
        <v/>
      </c>
      <c r="P11" s="11">
        <f>P10/(1-Inputs!$F$42*Time!P34)</f>
        <v/>
      </c>
      <c r="Q11" s="11">
        <f>Q10/(1-Inputs!$F$42*Time!Q34)</f>
        <v/>
      </c>
      <c r="R11" s="11">
        <f>R10/(1-Inputs!$F$42*Time!R34)</f>
        <v/>
      </c>
      <c r="S11" s="11">
        <f>S10/(1-Inputs!$F$42*Time!S34)</f>
        <v/>
      </c>
      <c r="T11" s="11">
        <f>T10/(1-Inputs!$F$42*Time!T34)</f>
        <v/>
      </c>
      <c r="U11" s="11">
        <f>U10/(1-Inputs!$F$42*Time!U34)</f>
        <v/>
      </c>
      <c r="V11" s="11">
        <f>V10/(1-Inputs!$F$42*Time!V34)</f>
        <v/>
      </c>
      <c r="W11" s="11">
        <f>W10/(1-Inputs!$F$42*Time!W34)</f>
        <v/>
      </c>
      <c r="X11" s="11">
        <f>X10/(1-Inputs!$F$42*Time!X34)</f>
        <v/>
      </c>
      <c r="Y11" s="11">
        <f>Y10/(1-Inputs!$F$42*Time!Y34)</f>
        <v/>
      </c>
      <c r="Z11" s="11">
        <f>Z10/(1-Inputs!$F$42*Time!Z34)</f>
        <v/>
      </c>
      <c r="AA11" s="11">
        <f>AA10/(1-Inputs!$F$42*Time!AA34)</f>
        <v/>
      </c>
      <c r="AB11" s="11">
        <f>AB10/(1-Inputs!$F$42*Time!AB34)</f>
        <v/>
      </c>
      <c r="AC11" s="11">
        <f>AC10/(1-Inputs!$F$42*Time!AC34)</f>
        <v/>
      </c>
      <c r="AD11" s="11">
        <f>AD10/(1-Inputs!$F$42*Time!AD34)</f>
        <v/>
      </c>
      <c r="AE11" s="11">
        <f>AE10/(1-Inputs!$F$42*Time!AE34)</f>
        <v/>
      </c>
      <c r="AF11" s="11">
        <f>AF10/(1-Inputs!$F$42*Time!AF34)</f>
        <v/>
      </c>
      <c r="AG11" s="11">
        <f>AG10/(1-Inputs!$F$42*Time!AG34)</f>
        <v/>
      </c>
      <c r="AH11" s="11">
        <f>AH10/(1-Inputs!$F$42*Time!AH34)</f>
        <v/>
      </c>
      <c r="AI11" s="11">
        <f>AI10/(1-Inputs!$F$42*Time!AI34)</f>
        <v/>
      </c>
      <c r="AJ11" s="11">
        <f>AJ10/(1-Inputs!$F$42*Time!AJ34)</f>
        <v/>
      </c>
      <c r="AK11" s="11">
        <f>AK10/(1-Inputs!$F$42*Time!AK34)</f>
        <v/>
      </c>
      <c r="AL11" s="11">
        <f>AL10/(1-Inputs!$F$42*Time!AL34)</f>
        <v/>
      </c>
      <c r="AM11" s="11">
        <f>AM10/(1-Inputs!$F$42*Time!AM34)</f>
        <v/>
      </c>
      <c r="AN11" s="11">
        <f>AN10/(1-Inputs!$F$42*Time!AN34)</f>
        <v/>
      </c>
      <c r="AO11" s="11">
        <f>AO10/(1-Inputs!$F$42*Time!AO34)</f>
        <v/>
      </c>
      <c r="AP11" s="11">
        <f>AP10/(1-Inputs!$F$42*Time!AP34)</f>
        <v/>
      </c>
      <c r="AQ11" s="11">
        <f>AQ10/(1-Inputs!$F$42*Time!AQ34)</f>
        <v/>
      </c>
      <c r="AR11" s="11">
        <f>AR10/(1-Inputs!$F$42*Time!AR34)</f>
        <v/>
      </c>
      <c r="AS11" s="11">
        <f>AS10/(1-Inputs!$F$42*Time!AS34)</f>
        <v/>
      </c>
      <c r="AT11" s="11">
        <f>AT10/(1-Inputs!$F$42*Time!AT34)</f>
        <v/>
      </c>
      <c r="AU11" s="11">
        <f>AU10/(1-Inputs!$F$42*Time!AU34)</f>
        <v/>
      </c>
      <c r="AV11" s="11">
        <f>AV10/(1-Inputs!$F$42*Time!AV34)</f>
        <v/>
      </c>
      <c r="AW11" s="11">
        <f>AW10/(1-Inputs!$F$42*Time!AW34)</f>
        <v/>
      </c>
      <c r="AX11" s="11">
        <f>AX10/(1-Inputs!$F$42*Time!AX34)</f>
        <v/>
      </c>
      <c r="AY11" s="11">
        <f>AY10/(1-Inputs!$F$42*Time!AY34)</f>
        <v/>
      </c>
      <c r="AZ11" s="11">
        <f>AZ10/(1-Inputs!$F$42*Time!AZ34)</f>
        <v/>
      </c>
      <c r="BA11" s="11">
        <f>BA10/(1-Inputs!$F$42*Time!BA34)</f>
        <v/>
      </c>
      <c r="BB11" s="11">
        <f>BB10/(1-Inputs!$F$42*Time!BB34)</f>
        <v/>
      </c>
      <c r="BC11" s="11">
        <f>BC10/(1-Inputs!$F$42*Time!BC34)</f>
        <v/>
      </c>
      <c r="BD11" s="11">
        <f>BD10/(1-Inputs!$F$42*Time!BD34)</f>
        <v/>
      </c>
      <c r="BE11" s="11">
        <f>BE10/(1-Inputs!$F$42*Time!BE34)</f>
        <v/>
      </c>
      <c r="BF11" s="11">
        <f>BF10/(1-Inputs!$F$42*Time!BF34)</f>
        <v/>
      </c>
      <c r="BG11" s="11">
        <f>BG10/(1-Inputs!$F$42*Time!BG34)</f>
        <v/>
      </c>
      <c r="BH11" s="11">
        <f>BH10/(1-Inputs!$F$42*Time!BH34)</f>
        <v/>
      </c>
      <c r="BI11" s="11">
        <f>BI10/(1-Inputs!$F$42*Time!BI34)</f>
        <v/>
      </c>
      <c r="BJ11" s="11">
        <f>BJ10/(1-Inputs!$F$42*Time!BJ34)</f>
        <v/>
      </c>
      <c r="BK11" s="11">
        <f>BK10/(1-Inputs!$F$42*Time!BK34)</f>
        <v/>
      </c>
      <c r="BL11" s="11">
        <f>BL10/(1-Inputs!$F$42*Time!BL34)</f>
        <v/>
      </c>
      <c r="BM11" s="11">
        <f>BM10/(1-Inputs!$F$42*Time!BM34)</f>
        <v/>
      </c>
      <c r="BN11" s="11">
        <f>BN10/(1-Inputs!$F$42*Time!BN34)</f>
        <v/>
      </c>
    </row>
    <row r="12">
      <c r="D12" t="inlineStr">
        <is>
          <t>US CPI change, current year</t>
        </is>
      </c>
      <c r="E12" t="inlineStr">
        <is>
          <t>%</t>
        </is>
      </c>
      <c r="J12" s="11">
        <f>CHOOSE(Inputs!$F$32,INDEX(Inputs!$J$204:$AR$204,1,(Time!J21-0)-2014),INDEX(Inputs!$J$206:$AR$206,1,(Time!J21-0)-2014),INDEX(Inputs!$J$208:$AR$208,1,(Time!J21-0)-2014))</f>
        <v/>
      </c>
      <c r="K12" s="11">
        <f>CHOOSE(Inputs!$F$32,INDEX(Inputs!$J$204:$AR$204,1,(Time!K21-0)-2014),INDEX(Inputs!$J$206:$AR$206,1,(Time!K21-0)-2014),INDEX(Inputs!$J$208:$AR$208,1,(Time!K21-0)-2014))</f>
        <v/>
      </c>
      <c r="L12" s="11">
        <f>CHOOSE(Inputs!$F$32,INDEX(Inputs!$J$204:$AR$204,1,(Time!L21-0)-2014),INDEX(Inputs!$J$206:$AR$206,1,(Time!L21-0)-2014),INDEX(Inputs!$J$208:$AR$208,1,(Time!L21-0)-2014))</f>
        <v/>
      </c>
      <c r="M12" s="11">
        <f>CHOOSE(Inputs!$F$32,INDEX(Inputs!$J$204:$AR$204,1,(Time!M21-0)-2014),INDEX(Inputs!$J$206:$AR$206,1,(Time!M21-0)-2014),INDEX(Inputs!$J$208:$AR$208,1,(Time!M21-0)-2014))</f>
        <v/>
      </c>
      <c r="N12" s="11">
        <f>CHOOSE(Inputs!$F$32,INDEX(Inputs!$J$204:$AR$204,1,(Time!N21-0)-2014),INDEX(Inputs!$J$206:$AR$206,1,(Time!N21-0)-2014),INDEX(Inputs!$J$208:$AR$208,1,(Time!N21-0)-2014))</f>
        <v/>
      </c>
      <c r="O12" s="11">
        <f>CHOOSE(Inputs!$F$32,INDEX(Inputs!$J$204:$AR$204,1,(Time!O21-0)-2014),INDEX(Inputs!$J$206:$AR$206,1,(Time!O21-0)-2014),INDEX(Inputs!$J$208:$AR$208,1,(Time!O21-0)-2014))</f>
        <v/>
      </c>
      <c r="P12" s="11">
        <f>CHOOSE(Inputs!$F$32,INDEX(Inputs!$J$204:$AR$204,1,(Time!P21-0)-2014),INDEX(Inputs!$J$206:$AR$206,1,(Time!P21-0)-2014),INDEX(Inputs!$J$208:$AR$208,1,(Time!P21-0)-2014))</f>
        <v/>
      </c>
      <c r="Q12" s="11">
        <f>CHOOSE(Inputs!$F$32,INDEX(Inputs!$J$204:$AR$204,1,(Time!Q21-0)-2014),INDEX(Inputs!$J$206:$AR$206,1,(Time!Q21-0)-2014),INDEX(Inputs!$J$208:$AR$208,1,(Time!Q21-0)-2014))</f>
        <v/>
      </c>
      <c r="R12" s="11">
        <f>CHOOSE(Inputs!$F$32,INDEX(Inputs!$J$204:$AR$204,1,(Time!R21-0)-2014),INDEX(Inputs!$J$206:$AR$206,1,(Time!R21-0)-2014),INDEX(Inputs!$J$208:$AR$208,1,(Time!R21-0)-2014))</f>
        <v/>
      </c>
      <c r="S12" s="11">
        <f>CHOOSE(Inputs!$F$32,INDEX(Inputs!$J$204:$AR$204,1,(Time!S21-0)-2014),INDEX(Inputs!$J$206:$AR$206,1,(Time!S21-0)-2014),INDEX(Inputs!$J$208:$AR$208,1,(Time!S21-0)-2014))</f>
        <v/>
      </c>
      <c r="T12" s="11">
        <f>CHOOSE(Inputs!$F$32,INDEX(Inputs!$J$204:$AR$204,1,(Time!T21-0)-2014),INDEX(Inputs!$J$206:$AR$206,1,(Time!T21-0)-2014),INDEX(Inputs!$J$208:$AR$208,1,(Time!T21-0)-2014))</f>
        <v/>
      </c>
      <c r="U12" s="11">
        <f>CHOOSE(Inputs!$F$32,INDEX(Inputs!$J$204:$AR$204,1,(Time!U21-0)-2014),INDEX(Inputs!$J$206:$AR$206,1,(Time!U21-0)-2014),INDEX(Inputs!$J$208:$AR$208,1,(Time!U21-0)-2014))</f>
        <v/>
      </c>
      <c r="V12" s="11">
        <f>CHOOSE(Inputs!$F$32,INDEX(Inputs!$J$204:$AR$204,1,(Time!V21-0)-2014),INDEX(Inputs!$J$206:$AR$206,1,(Time!V21-0)-2014),INDEX(Inputs!$J$208:$AR$208,1,(Time!V21-0)-2014))</f>
        <v/>
      </c>
      <c r="W12" s="11">
        <f>CHOOSE(Inputs!$F$32,INDEX(Inputs!$J$204:$AR$204,1,(Time!W21-0)-2014),INDEX(Inputs!$J$206:$AR$206,1,(Time!W21-0)-2014),INDEX(Inputs!$J$208:$AR$208,1,(Time!W21-0)-2014))</f>
        <v/>
      </c>
      <c r="X12" s="11">
        <f>CHOOSE(Inputs!$F$32,INDEX(Inputs!$J$204:$AR$204,1,(Time!X21-0)-2014),INDEX(Inputs!$J$206:$AR$206,1,(Time!X21-0)-2014),INDEX(Inputs!$J$208:$AR$208,1,(Time!X21-0)-2014))</f>
        <v/>
      </c>
      <c r="Y12" s="11">
        <f>CHOOSE(Inputs!$F$32,INDEX(Inputs!$J$204:$AR$204,1,(Time!Y21-0)-2014),INDEX(Inputs!$J$206:$AR$206,1,(Time!Y21-0)-2014),INDEX(Inputs!$J$208:$AR$208,1,(Time!Y21-0)-2014))</f>
        <v/>
      </c>
      <c r="Z12" s="11">
        <f>CHOOSE(Inputs!$F$32,INDEX(Inputs!$J$204:$AR$204,1,(Time!Z21-0)-2014),INDEX(Inputs!$J$206:$AR$206,1,(Time!Z21-0)-2014),INDEX(Inputs!$J$208:$AR$208,1,(Time!Z21-0)-2014))</f>
        <v/>
      </c>
      <c r="AA12" s="11">
        <f>CHOOSE(Inputs!$F$32,INDEX(Inputs!$J$204:$AR$204,1,(Time!AA21-0)-2014),INDEX(Inputs!$J$206:$AR$206,1,(Time!AA21-0)-2014),INDEX(Inputs!$J$208:$AR$208,1,(Time!AA21-0)-2014))</f>
        <v/>
      </c>
      <c r="AB12" s="11">
        <f>CHOOSE(Inputs!$F$32,INDEX(Inputs!$J$204:$AR$204,1,(Time!AB21-0)-2014),INDEX(Inputs!$J$206:$AR$206,1,(Time!AB21-0)-2014),INDEX(Inputs!$J$208:$AR$208,1,(Time!AB21-0)-2014))</f>
        <v/>
      </c>
      <c r="AC12" s="11">
        <f>CHOOSE(Inputs!$F$32,INDEX(Inputs!$J$204:$AR$204,1,(Time!AC21-0)-2014),INDEX(Inputs!$J$206:$AR$206,1,(Time!AC21-0)-2014),INDEX(Inputs!$J$208:$AR$208,1,(Time!AC21-0)-2014))</f>
        <v/>
      </c>
      <c r="AD12" s="11">
        <f>CHOOSE(Inputs!$F$32,INDEX(Inputs!$J$204:$AR$204,1,(Time!AD21-0)-2014),INDEX(Inputs!$J$206:$AR$206,1,(Time!AD21-0)-2014),INDEX(Inputs!$J$208:$AR$208,1,(Time!AD21-0)-2014))</f>
        <v/>
      </c>
      <c r="AE12" s="11">
        <f>CHOOSE(Inputs!$F$32,INDEX(Inputs!$J$204:$AR$204,1,(Time!AE21-0)-2014),INDEX(Inputs!$J$206:$AR$206,1,(Time!AE21-0)-2014),INDEX(Inputs!$J$208:$AR$208,1,(Time!AE21-0)-2014))</f>
        <v/>
      </c>
      <c r="AF12" s="11">
        <f>CHOOSE(Inputs!$F$32,INDEX(Inputs!$J$204:$AR$204,1,(Time!AF21-0)-2014),INDEX(Inputs!$J$206:$AR$206,1,(Time!AF21-0)-2014),INDEX(Inputs!$J$208:$AR$208,1,(Time!AF21-0)-2014))</f>
        <v/>
      </c>
      <c r="AG12" s="11">
        <f>CHOOSE(Inputs!$F$32,INDEX(Inputs!$J$204:$AR$204,1,(Time!AG21-0)-2014),INDEX(Inputs!$J$206:$AR$206,1,(Time!AG21-0)-2014),INDEX(Inputs!$J$208:$AR$208,1,(Time!AG21-0)-2014))</f>
        <v/>
      </c>
      <c r="AH12" s="11">
        <f>CHOOSE(Inputs!$F$32,INDEX(Inputs!$J$204:$AR$204,1,(Time!AH21-0)-2014),INDEX(Inputs!$J$206:$AR$206,1,(Time!AH21-0)-2014),INDEX(Inputs!$J$208:$AR$208,1,(Time!AH21-0)-2014))</f>
        <v/>
      </c>
      <c r="AI12" s="11">
        <f>CHOOSE(Inputs!$F$32,INDEX(Inputs!$J$204:$AR$204,1,(Time!AI21-0)-2014),INDEX(Inputs!$J$206:$AR$206,1,(Time!AI21-0)-2014),INDEX(Inputs!$J$208:$AR$208,1,(Time!AI21-0)-2014))</f>
        <v/>
      </c>
      <c r="AJ12" s="11">
        <f>CHOOSE(Inputs!$F$32,INDEX(Inputs!$J$204:$AR$204,1,(Time!AJ21-0)-2014),INDEX(Inputs!$J$206:$AR$206,1,(Time!AJ21-0)-2014),INDEX(Inputs!$J$208:$AR$208,1,(Time!AJ21-0)-2014))</f>
        <v/>
      </c>
      <c r="AK12" s="11">
        <f>CHOOSE(Inputs!$F$32,INDEX(Inputs!$J$204:$AR$204,1,(Time!AK21-0)-2014),INDEX(Inputs!$J$206:$AR$206,1,(Time!AK21-0)-2014),INDEX(Inputs!$J$208:$AR$208,1,(Time!AK21-0)-2014))</f>
        <v/>
      </c>
      <c r="AL12" s="11">
        <f>CHOOSE(Inputs!$F$32,INDEX(Inputs!$J$204:$AR$204,1,(Time!AL21-0)-2014),INDEX(Inputs!$J$206:$AR$206,1,(Time!AL21-0)-2014),INDEX(Inputs!$J$208:$AR$208,1,(Time!AL21-0)-2014))</f>
        <v/>
      </c>
      <c r="AM12" s="11">
        <f>CHOOSE(Inputs!$F$32,INDEX(Inputs!$J$204:$AR$204,1,(Time!AM21-0)-2014),INDEX(Inputs!$J$206:$AR$206,1,(Time!AM21-0)-2014),INDEX(Inputs!$J$208:$AR$208,1,(Time!AM21-0)-2014))</f>
        <v/>
      </c>
      <c r="AN12" s="11">
        <f>CHOOSE(Inputs!$F$32,INDEX(Inputs!$J$204:$AR$204,1,(Time!AN21-0)-2014),INDEX(Inputs!$J$206:$AR$206,1,(Time!AN21-0)-2014),INDEX(Inputs!$J$208:$AR$208,1,(Time!AN21-0)-2014))</f>
        <v/>
      </c>
      <c r="AO12" s="11">
        <f>CHOOSE(Inputs!$F$32,INDEX(Inputs!$J$204:$AR$204,1,(Time!AO21-0)-2014),INDEX(Inputs!$J$206:$AR$206,1,(Time!AO21-0)-2014),INDEX(Inputs!$J$208:$AR$208,1,(Time!AO21-0)-2014))</f>
        <v/>
      </c>
      <c r="AP12" s="11">
        <f>CHOOSE(Inputs!$F$32,INDEX(Inputs!$J$204:$AR$204,1,(Time!AP21-0)-2014),INDEX(Inputs!$J$206:$AR$206,1,(Time!AP21-0)-2014),INDEX(Inputs!$J$208:$AR$208,1,(Time!AP21-0)-2014))</f>
        <v/>
      </c>
      <c r="AQ12" s="11">
        <f>CHOOSE(Inputs!$F$32,INDEX(Inputs!$J$204:$AR$204,1,(Time!AQ21-0)-2014),INDEX(Inputs!$J$206:$AR$206,1,(Time!AQ21-0)-2014),INDEX(Inputs!$J$208:$AR$208,1,(Time!AQ21-0)-2014))</f>
        <v/>
      </c>
      <c r="AR12" s="11">
        <f>CHOOSE(Inputs!$F$32,INDEX(Inputs!$J$204:$AR$204,1,(Time!AR21-0)-2014),INDEX(Inputs!$J$206:$AR$206,1,(Time!AR21-0)-2014),INDEX(Inputs!$J$208:$AR$208,1,(Time!AR21-0)-2014))</f>
        <v/>
      </c>
      <c r="AS12" s="11">
        <f>CHOOSE(Inputs!$F$32,INDEX(Inputs!$J$204:$AR$204,1,(Time!AS21-0)-2014),INDEX(Inputs!$J$206:$AR$206,1,(Time!AS21-0)-2014),INDEX(Inputs!$J$208:$AR$208,1,(Time!AS21-0)-2014))</f>
        <v/>
      </c>
      <c r="AT12" s="11">
        <f>CHOOSE(Inputs!$F$32,INDEX(Inputs!$J$204:$AR$204,1,(Time!AT21-0)-2014),INDEX(Inputs!$J$206:$AR$206,1,(Time!AT21-0)-2014),INDEX(Inputs!$J$208:$AR$208,1,(Time!AT21-0)-2014))</f>
        <v/>
      </c>
      <c r="AU12" s="11">
        <f>CHOOSE(Inputs!$F$32,INDEX(Inputs!$J$204:$AR$204,1,(Time!AU21-0)-2014),INDEX(Inputs!$J$206:$AR$206,1,(Time!AU21-0)-2014),INDEX(Inputs!$J$208:$AR$208,1,(Time!AU21-0)-2014))</f>
        <v/>
      </c>
      <c r="AV12" s="11">
        <f>CHOOSE(Inputs!$F$32,INDEX(Inputs!$J$204:$AR$204,1,(Time!AV21-0)-2014),INDEX(Inputs!$J$206:$AR$206,1,(Time!AV21-0)-2014),INDEX(Inputs!$J$208:$AR$208,1,(Time!AV21-0)-2014))</f>
        <v/>
      </c>
      <c r="AW12" s="11">
        <f>CHOOSE(Inputs!$F$32,INDEX(Inputs!$J$204:$AR$204,1,(Time!AW21-0)-2014),INDEX(Inputs!$J$206:$AR$206,1,(Time!AW21-0)-2014),INDEX(Inputs!$J$208:$AR$208,1,(Time!AW21-0)-2014))</f>
        <v/>
      </c>
      <c r="AX12" s="11">
        <f>CHOOSE(Inputs!$F$32,INDEX(Inputs!$J$204:$AR$204,1,(Time!AX21-0)-2014),INDEX(Inputs!$J$206:$AR$206,1,(Time!AX21-0)-2014),INDEX(Inputs!$J$208:$AR$208,1,(Time!AX21-0)-2014))</f>
        <v/>
      </c>
      <c r="AY12" s="11">
        <f>CHOOSE(Inputs!$F$32,INDEX(Inputs!$J$204:$AR$204,1,(Time!AY21-0)-2014),INDEX(Inputs!$J$206:$AR$206,1,(Time!AY21-0)-2014),INDEX(Inputs!$J$208:$AR$208,1,(Time!AY21-0)-2014))</f>
        <v/>
      </c>
      <c r="AZ12" s="11">
        <f>CHOOSE(Inputs!$F$32,INDEX(Inputs!$J$204:$AR$204,1,(Time!AZ21-0)-2014),INDEX(Inputs!$J$206:$AR$206,1,(Time!AZ21-0)-2014),INDEX(Inputs!$J$208:$AR$208,1,(Time!AZ21-0)-2014))</f>
        <v/>
      </c>
      <c r="BA12" s="11">
        <f>CHOOSE(Inputs!$F$32,INDEX(Inputs!$J$204:$AR$204,1,(Time!BA21-0)-2014),INDEX(Inputs!$J$206:$AR$206,1,(Time!BA21-0)-2014),INDEX(Inputs!$J$208:$AR$208,1,(Time!BA21-0)-2014))</f>
        <v/>
      </c>
      <c r="BB12" s="11">
        <f>CHOOSE(Inputs!$F$32,INDEX(Inputs!$J$204:$AR$204,1,(Time!BB21-0)-2014),INDEX(Inputs!$J$206:$AR$206,1,(Time!BB21-0)-2014),INDEX(Inputs!$J$208:$AR$208,1,(Time!BB21-0)-2014))</f>
        <v/>
      </c>
      <c r="BC12" s="11">
        <f>CHOOSE(Inputs!$F$32,INDEX(Inputs!$J$204:$AR$204,1,(Time!BC21-0)-2014),INDEX(Inputs!$J$206:$AR$206,1,(Time!BC21-0)-2014),INDEX(Inputs!$J$208:$AR$208,1,(Time!BC21-0)-2014))</f>
        <v/>
      </c>
      <c r="BD12" s="11">
        <f>CHOOSE(Inputs!$F$32,INDEX(Inputs!$J$204:$AR$204,1,(Time!BD21-0)-2014),INDEX(Inputs!$J$206:$AR$206,1,(Time!BD21-0)-2014),INDEX(Inputs!$J$208:$AR$208,1,(Time!BD21-0)-2014))</f>
        <v/>
      </c>
      <c r="BE12" s="11">
        <f>CHOOSE(Inputs!$F$32,INDEX(Inputs!$J$204:$AR$204,1,(Time!BE21-0)-2014),INDEX(Inputs!$J$206:$AR$206,1,(Time!BE21-0)-2014),INDEX(Inputs!$J$208:$AR$208,1,(Time!BE21-0)-2014))</f>
        <v/>
      </c>
      <c r="BF12" s="11">
        <f>CHOOSE(Inputs!$F$32,INDEX(Inputs!$J$204:$AR$204,1,(Time!BF21-0)-2014),INDEX(Inputs!$J$206:$AR$206,1,(Time!BF21-0)-2014),INDEX(Inputs!$J$208:$AR$208,1,(Time!BF21-0)-2014))</f>
        <v/>
      </c>
      <c r="BG12" s="11">
        <f>CHOOSE(Inputs!$F$32,INDEX(Inputs!$J$204:$AR$204,1,(Time!BG21-0)-2014),INDEX(Inputs!$J$206:$AR$206,1,(Time!BG21-0)-2014),INDEX(Inputs!$J$208:$AR$208,1,(Time!BG21-0)-2014))</f>
        <v/>
      </c>
      <c r="BH12" s="11">
        <f>CHOOSE(Inputs!$F$32,INDEX(Inputs!$J$204:$AR$204,1,(Time!BH21-0)-2014),INDEX(Inputs!$J$206:$AR$206,1,(Time!BH21-0)-2014),INDEX(Inputs!$J$208:$AR$208,1,(Time!BH21-0)-2014))</f>
        <v/>
      </c>
      <c r="BI12" s="11">
        <f>CHOOSE(Inputs!$F$32,INDEX(Inputs!$J$204:$AR$204,1,(Time!BI21-0)-2014),INDEX(Inputs!$J$206:$AR$206,1,(Time!BI21-0)-2014),INDEX(Inputs!$J$208:$AR$208,1,(Time!BI21-0)-2014))</f>
        <v/>
      </c>
      <c r="BJ12" s="11">
        <f>CHOOSE(Inputs!$F$32,INDEX(Inputs!$J$204:$AR$204,1,(Time!BJ21-0)-2014),INDEX(Inputs!$J$206:$AR$206,1,(Time!BJ21-0)-2014),INDEX(Inputs!$J$208:$AR$208,1,(Time!BJ21-0)-2014))</f>
        <v/>
      </c>
      <c r="BK12" s="11">
        <f>CHOOSE(Inputs!$F$32,INDEX(Inputs!$J$204:$AR$204,1,(Time!BK21-0)-2014),INDEX(Inputs!$J$206:$AR$206,1,(Time!BK21-0)-2014),INDEX(Inputs!$J$208:$AR$208,1,(Time!BK21-0)-2014))</f>
        <v/>
      </c>
      <c r="BL12" s="11">
        <f>CHOOSE(Inputs!$F$32,INDEX(Inputs!$J$204:$AR$204,1,(Time!BL21-0)-2014),INDEX(Inputs!$J$206:$AR$206,1,(Time!BL21-0)-2014),INDEX(Inputs!$J$208:$AR$208,1,(Time!BL21-0)-2014))</f>
        <v/>
      </c>
      <c r="BM12" s="11">
        <f>CHOOSE(Inputs!$F$32,INDEX(Inputs!$J$204:$AR$204,1,(Time!BM21-0)-2014),INDEX(Inputs!$J$206:$AR$206,1,(Time!BM21-0)-2014),INDEX(Inputs!$J$208:$AR$208,1,(Time!BM21-0)-2014))</f>
        <v/>
      </c>
      <c r="BN12" s="11">
        <f>CHOOSE(Inputs!$F$32,INDEX(Inputs!$J$204:$AR$204,1,(Time!BN21-0)-2014),INDEX(Inputs!$J$206:$AR$206,1,(Time!BN21-0)-2014),INDEX(Inputs!$J$208:$AR$208,1,(Time!BN21-0)-2014))</f>
        <v/>
      </c>
    </row>
    <row r="13">
      <c r="D13" t="inlineStr">
        <is>
          <t>Kessara CPI change, current year</t>
        </is>
      </c>
      <c r="E13" t="inlineStr">
        <is>
          <t>%</t>
        </is>
      </c>
      <c r="J13" s="11">
        <f>CHOOSE(Inputs!$F$32,INDEX(Inputs!$J$205:$AR$205,1,(Time!J21-0)-2014),INDEX(Inputs!$J$207:$AR$207,1,(Time!J21-0)-2014),INDEX(Inputs!$J$209:$AR$209,1,(Time!J21-0)-2014))</f>
        <v/>
      </c>
      <c r="K13" s="11">
        <f>CHOOSE(Inputs!$F$32,INDEX(Inputs!$J$205:$AR$205,1,(Time!K21-0)-2014),INDEX(Inputs!$J$207:$AR$207,1,(Time!K21-0)-2014),INDEX(Inputs!$J$209:$AR$209,1,(Time!K21-0)-2014))</f>
        <v/>
      </c>
      <c r="L13" s="11">
        <f>CHOOSE(Inputs!$F$32,INDEX(Inputs!$J$205:$AR$205,1,(Time!L21-0)-2014),INDEX(Inputs!$J$207:$AR$207,1,(Time!L21-0)-2014),INDEX(Inputs!$J$209:$AR$209,1,(Time!L21-0)-2014))</f>
        <v/>
      </c>
      <c r="M13" s="11">
        <f>CHOOSE(Inputs!$F$32,INDEX(Inputs!$J$205:$AR$205,1,(Time!M21-0)-2014),INDEX(Inputs!$J$207:$AR$207,1,(Time!M21-0)-2014),INDEX(Inputs!$J$209:$AR$209,1,(Time!M21-0)-2014))</f>
        <v/>
      </c>
      <c r="N13" s="11">
        <f>CHOOSE(Inputs!$F$32,INDEX(Inputs!$J$205:$AR$205,1,(Time!N21-0)-2014),INDEX(Inputs!$J$207:$AR$207,1,(Time!N21-0)-2014),INDEX(Inputs!$J$209:$AR$209,1,(Time!N21-0)-2014))</f>
        <v/>
      </c>
      <c r="O13" s="11">
        <f>CHOOSE(Inputs!$F$32,INDEX(Inputs!$J$205:$AR$205,1,(Time!O21-0)-2014),INDEX(Inputs!$J$207:$AR$207,1,(Time!O21-0)-2014),INDEX(Inputs!$J$209:$AR$209,1,(Time!O21-0)-2014))</f>
        <v/>
      </c>
      <c r="P13" s="11">
        <f>CHOOSE(Inputs!$F$32,INDEX(Inputs!$J$205:$AR$205,1,(Time!P21-0)-2014),INDEX(Inputs!$J$207:$AR$207,1,(Time!P21-0)-2014),INDEX(Inputs!$J$209:$AR$209,1,(Time!P21-0)-2014))</f>
        <v/>
      </c>
      <c r="Q13" s="11">
        <f>CHOOSE(Inputs!$F$32,INDEX(Inputs!$J$205:$AR$205,1,(Time!Q21-0)-2014),INDEX(Inputs!$J$207:$AR$207,1,(Time!Q21-0)-2014),INDEX(Inputs!$J$209:$AR$209,1,(Time!Q21-0)-2014))</f>
        <v/>
      </c>
      <c r="R13" s="11">
        <f>CHOOSE(Inputs!$F$32,INDEX(Inputs!$J$205:$AR$205,1,(Time!R21-0)-2014),INDEX(Inputs!$J$207:$AR$207,1,(Time!R21-0)-2014),INDEX(Inputs!$J$209:$AR$209,1,(Time!R21-0)-2014))</f>
        <v/>
      </c>
      <c r="S13" s="11">
        <f>CHOOSE(Inputs!$F$32,INDEX(Inputs!$J$205:$AR$205,1,(Time!S21-0)-2014),INDEX(Inputs!$J$207:$AR$207,1,(Time!S21-0)-2014),INDEX(Inputs!$J$209:$AR$209,1,(Time!S21-0)-2014))</f>
        <v/>
      </c>
      <c r="T13" s="11">
        <f>CHOOSE(Inputs!$F$32,INDEX(Inputs!$J$205:$AR$205,1,(Time!T21-0)-2014),INDEX(Inputs!$J$207:$AR$207,1,(Time!T21-0)-2014),INDEX(Inputs!$J$209:$AR$209,1,(Time!T21-0)-2014))</f>
        <v/>
      </c>
      <c r="U13" s="11">
        <f>CHOOSE(Inputs!$F$32,INDEX(Inputs!$J$205:$AR$205,1,(Time!U21-0)-2014),INDEX(Inputs!$J$207:$AR$207,1,(Time!U21-0)-2014),INDEX(Inputs!$J$209:$AR$209,1,(Time!U21-0)-2014))</f>
        <v/>
      </c>
      <c r="V13" s="11">
        <f>CHOOSE(Inputs!$F$32,INDEX(Inputs!$J$205:$AR$205,1,(Time!V21-0)-2014),INDEX(Inputs!$J$207:$AR$207,1,(Time!V21-0)-2014),INDEX(Inputs!$J$209:$AR$209,1,(Time!V21-0)-2014))</f>
        <v/>
      </c>
      <c r="W13" s="11">
        <f>CHOOSE(Inputs!$F$32,INDEX(Inputs!$J$205:$AR$205,1,(Time!W21-0)-2014),INDEX(Inputs!$J$207:$AR$207,1,(Time!W21-0)-2014),INDEX(Inputs!$J$209:$AR$209,1,(Time!W21-0)-2014))</f>
        <v/>
      </c>
      <c r="X13" s="11">
        <f>CHOOSE(Inputs!$F$32,INDEX(Inputs!$J$205:$AR$205,1,(Time!X21-0)-2014),INDEX(Inputs!$J$207:$AR$207,1,(Time!X21-0)-2014),INDEX(Inputs!$J$209:$AR$209,1,(Time!X21-0)-2014))</f>
        <v/>
      </c>
      <c r="Y13" s="11">
        <f>CHOOSE(Inputs!$F$32,INDEX(Inputs!$J$205:$AR$205,1,(Time!Y21-0)-2014),INDEX(Inputs!$J$207:$AR$207,1,(Time!Y21-0)-2014),INDEX(Inputs!$J$209:$AR$209,1,(Time!Y21-0)-2014))</f>
        <v/>
      </c>
      <c r="Z13" s="11">
        <f>CHOOSE(Inputs!$F$32,INDEX(Inputs!$J$205:$AR$205,1,(Time!Z21-0)-2014),INDEX(Inputs!$J$207:$AR$207,1,(Time!Z21-0)-2014),INDEX(Inputs!$J$209:$AR$209,1,(Time!Z21-0)-2014))</f>
        <v/>
      </c>
      <c r="AA13" s="11">
        <f>CHOOSE(Inputs!$F$32,INDEX(Inputs!$J$205:$AR$205,1,(Time!AA21-0)-2014),INDEX(Inputs!$J$207:$AR$207,1,(Time!AA21-0)-2014),INDEX(Inputs!$J$209:$AR$209,1,(Time!AA21-0)-2014))</f>
        <v/>
      </c>
      <c r="AB13" s="11">
        <f>CHOOSE(Inputs!$F$32,INDEX(Inputs!$J$205:$AR$205,1,(Time!AB21-0)-2014),INDEX(Inputs!$J$207:$AR$207,1,(Time!AB21-0)-2014),INDEX(Inputs!$J$209:$AR$209,1,(Time!AB21-0)-2014))</f>
        <v/>
      </c>
      <c r="AC13" s="11">
        <f>CHOOSE(Inputs!$F$32,INDEX(Inputs!$J$205:$AR$205,1,(Time!AC21-0)-2014),INDEX(Inputs!$J$207:$AR$207,1,(Time!AC21-0)-2014),INDEX(Inputs!$J$209:$AR$209,1,(Time!AC21-0)-2014))</f>
        <v/>
      </c>
      <c r="AD13" s="11">
        <f>CHOOSE(Inputs!$F$32,INDEX(Inputs!$J$205:$AR$205,1,(Time!AD21-0)-2014),INDEX(Inputs!$J$207:$AR$207,1,(Time!AD21-0)-2014),INDEX(Inputs!$J$209:$AR$209,1,(Time!AD21-0)-2014))</f>
        <v/>
      </c>
      <c r="AE13" s="11">
        <f>CHOOSE(Inputs!$F$32,INDEX(Inputs!$J$205:$AR$205,1,(Time!AE21-0)-2014),INDEX(Inputs!$J$207:$AR$207,1,(Time!AE21-0)-2014),INDEX(Inputs!$J$209:$AR$209,1,(Time!AE21-0)-2014))</f>
        <v/>
      </c>
      <c r="AF13" s="11">
        <f>CHOOSE(Inputs!$F$32,INDEX(Inputs!$J$205:$AR$205,1,(Time!AF21-0)-2014),INDEX(Inputs!$J$207:$AR$207,1,(Time!AF21-0)-2014),INDEX(Inputs!$J$209:$AR$209,1,(Time!AF21-0)-2014))</f>
        <v/>
      </c>
      <c r="AG13" s="11">
        <f>CHOOSE(Inputs!$F$32,INDEX(Inputs!$J$205:$AR$205,1,(Time!AG21-0)-2014),INDEX(Inputs!$J$207:$AR$207,1,(Time!AG21-0)-2014),INDEX(Inputs!$J$209:$AR$209,1,(Time!AG21-0)-2014))</f>
        <v/>
      </c>
      <c r="AH13" s="11">
        <f>CHOOSE(Inputs!$F$32,INDEX(Inputs!$J$205:$AR$205,1,(Time!AH21-0)-2014),INDEX(Inputs!$J$207:$AR$207,1,(Time!AH21-0)-2014),INDEX(Inputs!$J$209:$AR$209,1,(Time!AH21-0)-2014))</f>
        <v/>
      </c>
      <c r="AI13" s="11">
        <f>CHOOSE(Inputs!$F$32,INDEX(Inputs!$J$205:$AR$205,1,(Time!AI21-0)-2014),INDEX(Inputs!$J$207:$AR$207,1,(Time!AI21-0)-2014),INDEX(Inputs!$J$209:$AR$209,1,(Time!AI21-0)-2014))</f>
        <v/>
      </c>
      <c r="AJ13" s="11">
        <f>CHOOSE(Inputs!$F$32,INDEX(Inputs!$J$205:$AR$205,1,(Time!AJ21-0)-2014),INDEX(Inputs!$J$207:$AR$207,1,(Time!AJ21-0)-2014),INDEX(Inputs!$J$209:$AR$209,1,(Time!AJ21-0)-2014))</f>
        <v/>
      </c>
      <c r="AK13" s="11">
        <f>CHOOSE(Inputs!$F$32,INDEX(Inputs!$J$205:$AR$205,1,(Time!AK21-0)-2014),INDEX(Inputs!$J$207:$AR$207,1,(Time!AK21-0)-2014),INDEX(Inputs!$J$209:$AR$209,1,(Time!AK21-0)-2014))</f>
        <v/>
      </c>
      <c r="AL13" s="11">
        <f>CHOOSE(Inputs!$F$32,INDEX(Inputs!$J$205:$AR$205,1,(Time!AL21-0)-2014),INDEX(Inputs!$J$207:$AR$207,1,(Time!AL21-0)-2014),INDEX(Inputs!$J$209:$AR$209,1,(Time!AL21-0)-2014))</f>
        <v/>
      </c>
      <c r="AM13" s="11">
        <f>CHOOSE(Inputs!$F$32,INDEX(Inputs!$J$205:$AR$205,1,(Time!AM21-0)-2014),INDEX(Inputs!$J$207:$AR$207,1,(Time!AM21-0)-2014),INDEX(Inputs!$J$209:$AR$209,1,(Time!AM21-0)-2014))</f>
        <v/>
      </c>
      <c r="AN13" s="11">
        <f>CHOOSE(Inputs!$F$32,INDEX(Inputs!$J$205:$AR$205,1,(Time!AN21-0)-2014),INDEX(Inputs!$J$207:$AR$207,1,(Time!AN21-0)-2014),INDEX(Inputs!$J$209:$AR$209,1,(Time!AN21-0)-2014))</f>
        <v/>
      </c>
      <c r="AO13" s="11">
        <f>CHOOSE(Inputs!$F$32,INDEX(Inputs!$J$205:$AR$205,1,(Time!AO21-0)-2014),INDEX(Inputs!$J$207:$AR$207,1,(Time!AO21-0)-2014),INDEX(Inputs!$J$209:$AR$209,1,(Time!AO21-0)-2014))</f>
        <v/>
      </c>
      <c r="AP13" s="11">
        <f>CHOOSE(Inputs!$F$32,INDEX(Inputs!$J$205:$AR$205,1,(Time!AP21-0)-2014),INDEX(Inputs!$J$207:$AR$207,1,(Time!AP21-0)-2014),INDEX(Inputs!$J$209:$AR$209,1,(Time!AP21-0)-2014))</f>
        <v/>
      </c>
      <c r="AQ13" s="11">
        <f>CHOOSE(Inputs!$F$32,INDEX(Inputs!$J$205:$AR$205,1,(Time!AQ21-0)-2014),INDEX(Inputs!$J$207:$AR$207,1,(Time!AQ21-0)-2014),INDEX(Inputs!$J$209:$AR$209,1,(Time!AQ21-0)-2014))</f>
        <v/>
      </c>
      <c r="AR13" s="11">
        <f>CHOOSE(Inputs!$F$32,INDEX(Inputs!$J$205:$AR$205,1,(Time!AR21-0)-2014),INDEX(Inputs!$J$207:$AR$207,1,(Time!AR21-0)-2014),INDEX(Inputs!$J$209:$AR$209,1,(Time!AR21-0)-2014))</f>
        <v/>
      </c>
      <c r="AS13" s="11">
        <f>CHOOSE(Inputs!$F$32,INDEX(Inputs!$J$205:$AR$205,1,(Time!AS21-0)-2014),INDEX(Inputs!$J$207:$AR$207,1,(Time!AS21-0)-2014),INDEX(Inputs!$J$209:$AR$209,1,(Time!AS21-0)-2014))</f>
        <v/>
      </c>
      <c r="AT13" s="11">
        <f>CHOOSE(Inputs!$F$32,INDEX(Inputs!$J$205:$AR$205,1,(Time!AT21-0)-2014),INDEX(Inputs!$J$207:$AR$207,1,(Time!AT21-0)-2014),INDEX(Inputs!$J$209:$AR$209,1,(Time!AT21-0)-2014))</f>
        <v/>
      </c>
      <c r="AU13" s="11">
        <f>CHOOSE(Inputs!$F$32,INDEX(Inputs!$J$205:$AR$205,1,(Time!AU21-0)-2014),INDEX(Inputs!$J$207:$AR$207,1,(Time!AU21-0)-2014),INDEX(Inputs!$J$209:$AR$209,1,(Time!AU21-0)-2014))</f>
        <v/>
      </c>
      <c r="AV13" s="11">
        <f>CHOOSE(Inputs!$F$32,INDEX(Inputs!$J$205:$AR$205,1,(Time!AV21-0)-2014),INDEX(Inputs!$J$207:$AR$207,1,(Time!AV21-0)-2014),INDEX(Inputs!$J$209:$AR$209,1,(Time!AV21-0)-2014))</f>
        <v/>
      </c>
      <c r="AW13" s="11">
        <f>CHOOSE(Inputs!$F$32,INDEX(Inputs!$J$205:$AR$205,1,(Time!AW21-0)-2014),INDEX(Inputs!$J$207:$AR$207,1,(Time!AW21-0)-2014),INDEX(Inputs!$J$209:$AR$209,1,(Time!AW21-0)-2014))</f>
        <v/>
      </c>
      <c r="AX13" s="11">
        <f>CHOOSE(Inputs!$F$32,INDEX(Inputs!$J$205:$AR$205,1,(Time!AX21-0)-2014),INDEX(Inputs!$J$207:$AR$207,1,(Time!AX21-0)-2014),INDEX(Inputs!$J$209:$AR$209,1,(Time!AX21-0)-2014))</f>
        <v/>
      </c>
      <c r="AY13" s="11">
        <f>CHOOSE(Inputs!$F$32,INDEX(Inputs!$J$205:$AR$205,1,(Time!AY21-0)-2014),INDEX(Inputs!$J$207:$AR$207,1,(Time!AY21-0)-2014),INDEX(Inputs!$J$209:$AR$209,1,(Time!AY21-0)-2014))</f>
        <v/>
      </c>
      <c r="AZ13" s="11">
        <f>CHOOSE(Inputs!$F$32,INDEX(Inputs!$J$205:$AR$205,1,(Time!AZ21-0)-2014),INDEX(Inputs!$J$207:$AR$207,1,(Time!AZ21-0)-2014),INDEX(Inputs!$J$209:$AR$209,1,(Time!AZ21-0)-2014))</f>
        <v/>
      </c>
      <c r="BA13" s="11">
        <f>CHOOSE(Inputs!$F$32,INDEX(Inputs!$J$205:$AR$205,1,(Time!BA21-0)-2014),INDEX(Inputs!$J$207:$AR$207,1,(Time!BA21-0)-2014),INDEX(Inputs!$J$209:$AR$209,1,(Time!BA21-0)-2014))</f>
        <v/>
      </c>
      <c r="BB13" s="11">
        <f>CHOOSE(Inputs!$F$32,INDEX(Inputs!$J$205:$AR$205,1,(Time!BB21-0)-2014),INDEX(Inputs!$J$207:$AR$207,1,(Time!BB21-0)-2014),INDEX(Inputs!$J$209:$AR$209,1,(Time!BB21-0)-2014))</f>
        <v/>
      </c>
      <c r="BC13" s="11">
        <f>CHOOSE(Inputs!$F$32,INDEX(Inputs!$J$205:$AR$205,1,(Time!BC21-0)-2014),INDEX(Inputs!$J$207:$AR$207,1,(Time!BC21-0)-2014),INDEX(Inputs!$J$209:$AR$209,1,(Time!BC21-0)-2014))</f>
        <v/>
      </c>
      <c r="BD13" s="11">
        <f>CHOOSE(Inputs!$F$32,INDEX(Inputs!$J$205:$AR$205,1,(Time!BD21-0)-2014),INDEX(Inputs!$J$207:$AR$207,1,(Time!BD21-0)-2014),INDEX(Inputs!$J$209:$AR$209,1,(Time!BD21-0)-2014))</f>
        <v/>
      </c>
      <c r="BE13" s="11">
        <f>CHOOSE(Inputs!$F$32,INDEX(Inputs!$J$205:$AR$205,1,(Time!BE21-0)-2014),INDEX(Inputs!$J$207:$AR$207,1,(Time!BE21-0)-2014),INDEX(Inputs!$J$209:$AR$209,1,(Time!BE21-0)-2014))</f>
        <v/>
      </c>
      <c r="BF13" s="11">
        <f>CHOOSE(Inputs!$F$32,INDEX(Inputs!$J$205:$AR$205,1,(Time!BF21-0)-2014),INDEX(Inputs!$J$207:$AR$207,1,(Time!BF21-0)-2014),INDEX(Inputs!$J$209:$AR$209,1,(Time!BF21-0)-2014))</f>
        <v/>
      </c>
      <c r="BG13" s="11">
        <f>CHOOSE(Inputs!$F$32,INDEX(Inputs!$J$205:$AR$205,1,(Time!BG21-0)-2014),INDEX(Inputs!$J$207:$AR$207,1,(Time!BG21-0)-2014),INDEX(Inputs!$J$209:$AR$209,1,(Time!BG21-0)-2014))</f>
        <v/>
      </c>
      <c r="BH13" s="11">
        <f>CHOOSE(Inputs!$F$32,INDEX(Inputs!$J$205:$AR$205,1,(Time!BH21-0)-2014),INDEX(Inputs!$J$207:$AR$207,1,(Time!BH21-0)-2014),INDEX(Inputs!$J$209:$AR$209,1,(Time!BH21-0)-2014))</f>
        <v/>
      </c>
      <c r="BI13" s="11">
        <f>CHOOSE(Inputs!$F$32,INDEX(Inputs!$J$205:$AR$205,1,(Time!BI21-0)-2014),INDEX(Inputs!$J$207:$AR$207,1,(Time!BI21-0)-2014),INDEX(Inputs!$J$209:$AR$209,1,(Time!BI21-0)-2014))</f>
        <v/>
      </c>
      <c r="BJ13" s="11">
        <f>CHOOSE(Inputs!$F$32,INDEX(Inputs!$J$205:$AR$205,1,(Time!BJ21-0)-2014),INDEX(Inputs!$J$207:$AR$207,1,(Time!BJ21-0)-2014),INDEX(Inputs!$J$209:$AR$209,1,(Time!BJ21-0)-2014))</f>
        <v/>
      </c>
      <c r="BK13" s="11">
        <f>CHOOSE(Inputs!$F$32,INDEX(Inputs!$J$205:$AR$205,1,(Time!BK21-0)-2014),INDEX(Inputs!$J$207:$AR$207,1,(Time!BK21-0)-2014),INDEX(Inputs!$J$209:$AR$209,1,(Time!BK21-0)-2014))</f>
        <v/>
      </c>
      <c r="BL13" s="11">
        <f>CHOOSE(Inputs!$F$32,INDEX(Inputs!$J$205:$AR$205,1,(Time!BL21-0)-2014),INDEX(Inputs!$J$207:$AR$207,1,(Time!BL21-0)-2014),INDEX(Inputs!$J$209:$AR$209,1,(Time!BL21-0)-2014))</f>
        <v/>
      </c>
      <c r="BM13" s="11">
        <f>CHOOSE(Inputs!$F$32,INDEX(Inputs!$J$205:$AR$205,1,(Time!BM21-0)-2014),INDEX(Inputs!$J$207:$AR$207,1,(Time!BM21-0)-2014),INDEX(Inputs!$J$209:$AR$209,1,(Time!BM21-0)-2014))</f>
        <v/>
      </c>
      <c r="BN13" s="11">
        <f>CHOOSE(Inputs!$F$32,INDEX(Inputs!$J$205:$AR$205,1,(Time!BN21-0)-2014),INDEX(Inputs!$J$207:$AR$207,1,(Time!BN21-0)-2014),INDEX(Inputs!$J$209:$AR$209,1,(Time!BN21-0)-2014))</f>
        <v/>
      </c>
    </row>
    <row r="14">
      <c r="D14" t="inlineStr">
        <is>
          <t>US CPI change, prior year</t>
        </is>
      </c>
      <c r="E14" t="inlineStr">
        <is>
          <t>%</t>
        </is>
      </c>
      <c r="J14" s="11">
        <f>CHOOSE(Inputs!$F$32,INDEX(Inputs!$J$204:$AR$204,1,(Time!J21-1)-2014),INDEX(Inputs!$J$206:$AR$206,1,(Time!J21-1)-2014),INDEX(Inputs!$J$208:$AR$208,1,(Time!J21-1)-2014))</f>
        <v/>
      </c>
      <c r="K14" s="11">
        <f>CHOOSE(Inputs!$F$32,INDEX(Inputs!$J$204:$AR$204,1,(Time!K21-1)-2014),INDEX(Inputs!$J$206:$AR$206,1,(Time!K21-1)-2014),INDEX(Inputs!$J$208:$AR$208,1,(Time!K21-1)-2014))</f>
        <v/>
      </c>
      <c r="L14" s="11">
        <f>CHOOSE(Inputs!$F$32,INDEX(Inputs!$J$204:$AR$204,1,(Time!L21-1)-2014),INDEX(Inputs!$J$206:$AR$206,1,(Time!L21-1)-2014),INDEX(Inputs!$J$208:$AR$208,1,(Time!L21-1)-2014))</f>
        <v/>
      </c>
      <c r="M14" s="11">
        <f>CHOOSE(Inputs!$F$32,INDEX(Inputs!$J$204:$AR$204,1,(Time!M21-1)-2014),INDEX(Inputs!$J$206:$AR$206,1,(Time!M21-1)-2014),INDEX(Inputs!$J$208:$AR$208,1,(Time!M21-1)-2014))</f>
        <v/>
      </c>
      <c r="N14" s="11">
        <f>CHOOSE(Inputs!$F$32,INDEX(Inputs!$J$204:$AR$204,1,(Time!N21-1)-2014),INDEX(Inputs!$J$206:$AR$206,1,(Time!N21-1)-2014),INDEX(Inputs!$J$208:$AR$208,1,(Time!N21-1)-2014))</f>
        <v/>
      </c>
      <c r="O14" s="11">
        <f>CHOOSE(Inputs!$F$32,INDEX(Inputs!$J$204:$AR$204,1,(Time!O21-1)-2014),INDEX(Inputs!$J$206:$AR$206,1,(Time!O21-1)-2014),INDEX(Inputs!$J$208:$AR$208,1,(Time!O21-1)-2014))</f>
        <v/>
      </c>
      <c r="P14" s="11">
        <f>CHOOSE(Inputs!$F$32,INDEX(Inputs!$J$204:$AR$204,1,(Time!P21-1)-2014),INDEX(Inputs!$J$206:$AR$206,1,(Time!P21-1)-2014),INDEX(Inputs!$J$208:$AR$208,1,(Time!P21-1)-2014))</f>
        <v/>
      </c>
      <c r="Q14" s="11">
        <f>CHOOSE(Inputs!$F$32,INDEX(Inputs!$J$204:$AR$204,1,(Time!Q21-1)-2014),INDEX(Inputs!$J$206:$AR$206,1,(Time!Q21-1)-2014),INDEX(Inputs!$J$208:$AR$208,1,(Time!Q21-1)-2014))</f>
        <v/>
      </c>
      <c r="R14" s="11">
        <f>CHOOSE(Inputs!$F$32,INDEX(Inputs!$J$204:$AR$204,1,(Time!R21-1)-2014),INDEX(Inputs!$J$206:$AR$206,1,(Time!R21-1)-2014),INDEX(Inputs!$J$208:$AR$208,1,(Time!R21-1)-2014))</f>
        <v/>
      </c>
      <c r="S14" s="11">
        <f>CHOOSE(Inputs!$F$32,INDEX(Inputs!$J$204:$AR$204,1,(Time!S21-1)-2014),INDEX(Inputs!$J$206:$AR$206,1,(Time!S21-1)-2014),INDEX(Inputs!$J$208:$AR$208,1,(Time!S21-1)-2014))</f>
        <v/>
      </c>
      <c r="T14" s="11">
        <f>CHOOSE(Inputs!$F$32,INDEX(Inputs!$J$204:$AR$204,1,(Time!T21-1)-2014),INDEX(Inputs!$J$206:$AR$206,1,(Time!T21-1)-2014),INDEX(Inputs!$J$208:$AR$208,1,(Time!T21-1)-2014))</f>
        <v/>
      </c>
      <c r="U14" s="11">
        <f>CHOOSE(Inputs!$F$32,INDEX(Inputs!$J$204:$AR$204,1,(Time!U21-1)-2014),INDEX(Inputs!$J$206:$AR$206,1,(Time!U21-1)-2014),INDEX(Inputs!$J$208:$AR$208,1,(Time!U21-1)-2014))</f>
        <v/>
      </c>
      <c r="V14" s="11">
        <f>CHOOSE(Inputs!$F$32,INDEX(Inputs!$J$204:$AR$204,1,(Time!V21-1)-2014),INDEX(Inputs!$J$206:$AR$206,1,(Time!V21-1)-2014),INDEX(Inputs!$J$208:$AR$208,1,(Time!V21-1)-2014))</f>
        <v/>
      </c>
      <c r="W14" s="11">
        <f>CHOOSE(Inputs!$F$32,INDEX(Inputs!$J$204:$AR$204,1,(Time!W21-1)-2014),INDEX(Inputs!$J$206:$AR$206,1,(Time!W21-1)-2014),INDEX(Inputs!$J$208:$AR$208,1,(Time!W21-1)-2014))</f>
        <v/>
      </c>
      <c r="X14" s="11">
        <f>CHOOSE(Inputs!$F$32,INDEX(Inputs!$J$204:$AR$204,1,(Time!X21-1)-2014),INDEX(Inputs!$J$206:$AR$206,1,(Time!X21-1)-2014),INDEX(Inputs!$J$208:$AR$208,1,(Time!X21-1)-2014))</f>
        <v/>
      </c>
      <c r="Y14" s="11">
        <f>CHOOSE(Inputs!$F$32,INDEX(Inputs!$J$204:$AR$204,1,(Time!Y21-1)-2014),INDEX(Inputs!$J$206:$AR$206,1,(Time!Y21-1)-2014),INDEX(Inputs!$J$208:$AR$208,1,(Time!Y21-1)-2014))</f>
        <v/>
      </c>
      <c r="Z14" s="11">
        <f>CHOOSE(Inputs!$F$32,INDEX(Inputs!$J$204:$AR$204,1,(Time!Z21-1)-2014),INDEX(Inputs!$J$206:$AR$206,1,(Time!Z21-1)-2014),INDEX(Inputs!$J$208:$AR$208,1,(Time!Z21-1)-2014))</f>
        <v/>
      </c>
      <c r="AA14" s="11">
        <f>CHOOSE(Inputs!$F$32,INDEX(Inputs!$J$204:$AR$204,1,(Time!AA21-1)-2014),INDEX(Inputs!$J$206:$AR$206,1,(Time!AA21-1)-2014),INDEX(Inputs!$J$208:$AR$208,1,(Time!AA21-1)-2014))</f>
        <v/>
      </c>
      <c r="AB14" s="11">
        <f>CHOOSE(Inputs!$F$32,INDEX(Inputs!$J$204:$AR$204,1,(Time!AB21-1)-2014),INDEX(Inputs!$J$206:$AR$206,1,(Time!AB21-1)-2014),INDEX(Inputs!$J$208:$AR$208,1,(Time!AB21-1)-2014))</f>
        <v/>
      </c>
      <c r="AC14" s="11">
        <f>CHOOSE(Inputs!$F$32,INDEX(Inputs!$J$204:$AR$204,1,(Time!AC21-1)-2014),INDEX(Inputs!$J$206:$AR$206,1,(Time!AC21-1)-2014),INDEX(Inputs!$J$208:$AR$208,1,(Time!AC21-1)-2014))</f>
        <v/>
      </c>
      <c r="AD14" s="11">
        <f>CHOOSE(Inputs!$F$32,INDEX(Inputs!$J$204:$AR$204,1,(Time!AD21-1)-2014),INDEX(Inputs!$J$206:$AR$206,1,(Time!AD21-1)-2014),INDEX(Inputs!$J$208:$AR$208,1,(Time!AD21-1)-2014))</f>
        <v/>
      </c>
      <c r="AE14" s="11">
        <f>CHOOSE(Inputs!$F$32,INDEX(Inputs!$J$204:$AR$204,1,(Time!AE21-1)-2014),INDEX(Inputs!$J$206:$AR$206,1,(Time!AE21-1)-2014),INDEX(Inputs!$J$208:$AR$208,1,(Time!AE21-1)-2014))</f>
        <v/>
      </c>
      <c r="AF14" s="11">
        <f>CHOOSE(Inputs!$F$32,INDEX(Inputs!$J$204:$AR$204,1,(Time!AF21-1)-2014),INDEX(Inputs!$J$206:$AR$206,1,(Time!AF21-1)-2014),INDEX(Inputs!$J$208:$AR$208,1,(Time!AF21-1)-2014))</f>
        <v/>
      </c>
      <c r="AG14" s="11">
        <f>CHOOSE(Inputs!$F$32,INDEX(Inputs!$J$204:$AR$204,1,(Time!AG21-1)-2014),INDEX(Inputs!$J$206:$AR$206,1,(Time!AG21-1)-2014),INDEX(Inputs!$J$208:$AR$208,1,(Time!AG21-1)-2014))</f>
        <v/>
      </c>
      <c r="AH14" s="11">
        <f>CHOOSE(Inputs!$F$32,INDEX(Inputs!$J$204:$AR$204,1,(Time!AH21-1)-2014),INDEX(Inputs!$J$206:$AR$206,1,(Time!AH21-1)-2014),INDEX(Inputs!$J$208:$AR$208,1,(Time!AH21-1)-2014))</f>
        <v/>
      </c>
      <c r="AI14" s="11">
        <f>CHOOSE(Inputs!$F$32,INDEX(Inputs!$J$204:$AR$204,1,(Time!AI21-1)-2014),INDEX(Inputs!$J$206:$AR$206,1,(Time!AI21-1)-2014),INDEX(Inputs!$J$208:$AR$208,1,(Time!AI21-1)-2014))</f>
        <v/>
      </c>
      <c r="AJ14" s="11">
        <f>CHOOSE(Inputs!$F$32,INDEX(Inputs!$J$204:$AR$204,1,(Time!AJ21-1)-2014),INDEX(Inputs!$J$206:$AR$206,1,(Time!AJ21-1)-2014),INDEX(Inputs!$J$208:$AR$208,1,(Time!AJ21-1)-2014))</f>
        <v/>
      </c>
      <c r="AK14" s="11">
        <f>CHOOSE(Inputs!$F$32,INDEX(Inputs!$J$204:$AR$204,1,(Time!AK21-1)-2014),INDEX(Inputs!$J$206:$AR$206,1,(Time!AK21-1)-2014),INDEX(Inputs!$J$208:$AR$208,1,(Time!AK21-1)-2014))</f>
        <v/>
      </c>
      <c r="AL14" s="11">
        <f>CHOOSE(Inputs!$F$32,INDEX(Inputs!$J$204:$AR$204,1,(Time!AL21-1)-2014),INDEX(Inputs!$J$206:$AR$206,1,(Time!AL21-1)-2014),INDEX(Inputs!$J$208:$AR$208,1,(Time!AL21-1)-2014))</f>
        <v/>
      </c>
      <c r="AM14" s="11">
        <f>CHOOSE(Inputs!$F$32,INDEX(Inputs!$J$204:$AR$204,1,(Time!AM21-1)-2014),INDEX(Inputs!$J$206:$AR$206,1,(Time!AM21-1)-2014),INDEX(Inputs!$J$208:$AR$208,1,(Time!AM21-1)-2014))</f>
        <v/>
      </c>
      <c r="AN14" s="11">
        <f>CHOOSE(Inputs!$F$32,INDEX(Inputs!$J$204:$AR$204,1,(Time!AN21-1)-2014),INDEX(Inputs!$J$206:$AR$206,1,(Time!AN21-1)-2014),INDEX(Inputs!$J$208:$AR$208,1,(Time!AN21-1)-2014))</f>
        <v/>
      </c>
      <c r="AO14" s="11">
        <f>CHOOSE(Inputs!$F$32,INDEX(Inputs!$J$204:$AR$204,1,(Time!AO21-1)-2014),INDEX(Inputs!$J$206:$AR$206,1,(Time!AO21-1)-2014),INDEX(Inputs!$J$208:$AR$208,1,(Time!AO21-1)-2014))</f>
        <v/>
      </c>
      <c r="AP14" s="11">
        <f>CHOOSE(Inputs!$F$32,INDEX(Inputs!$J$204:$AR$204,1,(Time!AP21-1)-2014),INDEX(Inputs!$J$206:$AR$206,1,(Time!AP21-1)-2014),INDEX(Inputs!$J$208:$AR$208,1,(Time!AP21-1)-2014))</f>
        <v/>
      </c>
      <c r="AQ14" s="11">
        <f>CHOOSE(Inputs!$F$32,INDEX(Inputs!$J$204:$AR$204,1,(Time!AQ21-1)-2014),INDEX(Inputs!$J$206:$AR$206,1,(Time!AQ21-1)-2014),INDEX(Inputs!$J$208:$AR$208,1,(Time!AQ21-1)-2014))</f>
        <v/>
      </c>
      <c r="AR14" s="11">
        <f>CHOOSE(Inputs!$F$32,INDEX(Inputs!$J$204:$AR$204,1,(Time!AR21-1)-2014),INDEX(Inputs!$J$206:$AR$206,1,(Time!AR21-1)-2014),INDEX(Inputs!$J$208:$AR$208,1,(Time!AR21-1)-2014))</f>
        <v/>
      </c>
      <c r="AS14" s="11">
        <f>CHOOSE(Inputs!$F$32,INDEX(Inputs!$J$204:$AR$204,1,(Time!AS21-1)-2014),INDEX(Inputs!$J$206:$AR$206,1,(Time!AS21-1)-2014),INDEX(Inputs!$J$208:$AR$208,1,(Time!AS21-1)-2014))</f>
        <v/>
      </c>
      <c r="AT14" s="11">
        <f>CHOOSE(Inputs!$F$32,INDEX(Inputs!$J$204:$AR$204,1,(Time!AT21-1)-2014),INDEX(Inputs!$J$206:$AR$206,1,(Time!AT21-1)-2014),INDEX(Inputs!$J$208:$AR$208,1,(Time!AT21-1)-2014))</f>
        <v/>
      </c>
      <c r="AU14" s="11">
        <f>CHOOSE(Inputs!$F$32,INDEX(Inputs!$J$204:$AR$204,1,(Time!AU21-1)-2014),INDEX(Inputs!$J$206:$AR$206,1,(Time!AU21-1)-2014),INDEX(Inputs!$J$208:$AR$208,1,(Time!AU21-1)-2014))</f>
        <v/>
      </c>
      <c r="AV14" s="11">
        <f>CHOOSE(Inputs!$F$32,INDEX(Inputs!$J$204:$AR$204,1,(Time!AV21-1)-2014),INDEX(Inputs!$J$206:$AR$206,1,(Time!AV21-1)-2014),INDEX(Inputs!$J$208:$AR$208,1,(Time!AV21-1)-2014))</f>
        <v/>
      </c>
      <c r="AW14" s="11">
        <f>CHOOSE(Inputs!$F$32,INDEX(Inputs!$J$204:$AR$204,1,(Time!AW21-1)-2014),INDEX(Inputs!$J$206:$AR$206,1,(Time!AW21-1)-2014),INDEX(Inputs!$J$208:$AR$208,1,(Time!AW21-1)-2014))</f>
        <v/>
      </c>
      <c r="AX14" s="11">
        <f>CHOOSE(Inputs!$F$32,INDEX(Inputs!$J$204:$AR$204,1,(Time!AX21-1)-2014),INDEX(Inputs!$J$206:$AR$206,1,(Time!AX21-1)-2014),INDEX(Inputs!$J$208:$AR$208,1,(Time!AX21-1)-2014))</f>
        <v/>
      </c>
      <c r="AY14" s="11">
        <f>CHOOSE(Inputs!$F$32,INDEX(Inputs!$J$204:$AR$204,1,(Time!AY21-1)-2014),INDEX(Inputs!$J$206:$AR$206,1,(Time!AY21-1)-2014),INDEX(Inputs!$J$208:$AR$208,1,(Time!AY21-1)-2014))</f>
        <v/>
      </c>
      <c r="AZ14" s="11">
        <f>CHOOSE(Inputs!$F$32,INDEX(Inputs!$J$204:$AR$204,1,(Time!AZ21-1)-2014),INDEX(Inputs!$J$206:$AR$206,1,(Time!AZ21-1)-2014),INDEX(Inputs!$J$208:$AR$208,1,(Time!AZ21-1)-2014))</f>
        <v/>
      </c>
      <c r="BA14" s="11">
        <f>CHOOSE(Inputs!$F$32,INDEX(Inputs!$J$204:$AR$204,1,(Time!BA21-1)-2014),INDEX(Inputs!$J$206:$AR$206,1,(Time!BA21-1)-2014),INDEX(Inputs!$J$208:$AR$208,1,(Time!BA21-1)-2014))</f>
        <v/>
      </c>
      <c r="BB14" s="11">
        <f>CHOOSE(Inputs!$F$32,INDEX(Inputs!$J$204:$AR$204,1,(Time!BB21-1)-2014),INDEX(Inputs!$J$206:$AR$206,1,(Time!BB21-1)-2014),INDEX(Inputs!$J$208:$AR$208,1,(Time!BB21-1)-2014))</f>
        <v/>
      </c>
      <c r="BC14" s="11">
        <f>CHOOSE(Inputs!$F$32,INDEX(Inputs!$J$204:$AR$204,1,(Time!BC21-1)-2014),INDEX(Inputs!$J$206:$AR$206,1,(Time!BC21-1)-2014),INDEX(Inputs!$J$208:$AR$208,1,(Time!BC21-1)-2014))</f>
        <v/>
      </c>
      <c r="BD14" s="11">
        <f>CHOOSE(Inputs!$F$32,INDEX(Inputs!$J$204:$AR$204,1,(Time!BD21-1)-2014),INDEX(Inputs!$J$206:$AR$206,1,(Time!BD21-1)-2014),INDEX(Inputs!$J$208:$AR$208,1,(Time!BD21-1)-2014))</f>
        <v/>
      </c>
      <c r="BE14" s="11">
        <f>CHOOSE(Inputs!$F$32,INDEX(Inputs!$J$204:$AR$204,1,(Time!BE21-1)-2014),INDEX(Inputs!$J$206:$AR$206,1,(Time!BE21-1)-2014),INDEX(Inputs!$J$208:$AR$208,1,(Time!BE21-1)-2014))</f>
        <v/>
      </c>
      <c r="BF14" s="11">
        <f>CHOOSE(Inputs!$F$32,INDEX(Inputs!$J$204:$AR$204,1,(Time!BF21-1)-2014),INDEX(Inputs!$J$206:$AR$206,1,(Time!BF21-1)-2014),INDEX(Inputs!$J$208:$AR$208,1,(Time!BF21-1)-2014))</f>
        <v/>
      </c>
      <c r="BG14" s="11">
        <f>CHOOSE(Inputs!$F$32,INDEX(Inputs!$J$204:$AR$204,1,(Time!BG21-1)-2014),INDEX(Inputs!$J$206:$AR$206,1,(Time!BG21-1)-2014),INDEX(Inputs!$J$208:$AR$208,1,(Time!BG21-1)-2014))</f>
        <v/>
      </c>
      <c r="BH14" s="11">
        <f>CHOOSE(Inputs!$F$32,INDEX(Inputs!$J$204:$AR$204,1,(Time!BH21-1)-2014),INDEX(Inputs!$J$206:$AR$206,1,(Time!BH21-1)-2014),INDEX(Inputs!$J$208:$AR$208,1,(Time!BH21-1)-2014))</f>
        <v/>
      </c>
      <c r="BI14" s="11">
        <f>CHOOSE(Inputs!$F$32,INDEX(Inputs!$J$204:$AR$204,1,(Time!BI21-1)-2014),INDEX(Inputs!$J$206:$AR$206,1,(Time!BI21-1)-2014),INDEX(Inputs!$J$208:$AR$208,1,(Time!BI21-1)-2014))</f>
        <v/>
      </c>
      <c r="BJ14" s="11">
        <f>CHOOSE(Inputs!$F$32,INDEX(Inputs!$J$204:$AR$204,1,(Time!BJ21-1)-2014),INDEX(Inputs!$J$206:$AR$206,1,(Time!BJ21-1)-2014),INDEX(Inputs!$J$208:$AR$208,1,(Time!BJ21-1)-2014))</f>
        <v/>
      </c>
      <c r="BK14" s="11">
        <f>CHOOSE(Inputs!$F$32,INDEX(Inputs!$J$204:$AR$204,1,(Time!BK21-1)-2014),INDEX(Inputs!$J$206:$AR$206,1,(Time!BK21-1)-2014),INDEX(Inputs!$J$208:$AR$208,1,(Time!BK21-1)-2014))</f>
        <v/>
      </c>
      <c r="BL14" s="11">
        <f>CHOOSE(Inputs!$F$32,INDEX(Inputs!$J$204:$AR$204,1,(Time!BL21-1)-2014),INDEX(Inputs!$J$206:$AR$206,1,(Time!BL21-1)-2014),INDEX(Inputs!$J$208:$AR$208,1,(Time!BL21-1)-2014))</f>
        <v/>
      </c>
      <c r="BM14" s="11">
        <f>CHOOSE(Inputs!$F$32,INDEX(Inputs!$J$204:$AR$204,1,(Time!BM21-1)-2014),INDEX(Inputs!$J$206:$AR$206,1,(Time!BM21-1)-2014),INDEX(Inputs!$J$208:$AR$208,1,(Time!BM21-1)-2014))</f>
        <v/>
      </c>
      <c r="BN14" s="11">
        <f>CHOOSE(Inputs!$F$32,INDEX(Inputs!$J$204:$AR$204,1,(Time!BN21-1)-2014),INDEX(Inputs!$J$206:$AR$206,1,(Time!BN21-1)-2014),INDEX(Inputs!$J$208:$AR$208,1,(Time!BN21-1)-2014))</f>
        <v/>
      </c>
    </row>
    <row r="15">
      <c r="D15" t="inlineStr">
        <is>
          <t>Kessara CPI change, prior year</t>
        </is>
      </c>
      <c r="E15" t="inlineStr">
        <is>
          <t>%</t>
        </is>
      </c>
      <c r="J15" s="11">
        <f>CHOOSE(Inputs!$F$32,INDEX(Inputs!$J$205:$AR$205,1,(Time!J21-1)-2014),INDEX(Inputs!$J$207:$AR$207,1,(Time!J21-1)-2014),INDEX(Inputs!$J$209:$AR$209,1,(Time!J21-1)-2014))</f>
        <v/>
      </c>
      <c r="K15" s="11">
        <f>CHOOSE(Inputs!$F$32,INDEX(Inputs!$J$205:$AR$205,1,(Time!K21-1)-2014),INDEX(Inputs!$J$207:$AR$207,1,(Time!K21-1)-2014),INDEX(Inputs!$J$209:$AR$209,1,(Time!K21-1)-2014))</f>
        <v/>
      </c>
      <c r="L15" s="11">
        <f>CHOOSE(Inputs!$F$32,INDEX(Inputs!$J$205:$AR$205,1,(Time!L21-1)-2014),INDEX(Inputs!$J$207:$AR$207,1,(Time!L21-1)-2014),INDEX(Inputs!$J$209:$AR$209,1,(Time!L21-1)-2014))</f>
        <v/>
      </c>
      <c r="M15" s="11">
        <f>CHOOSE(Inputs!$F$32,INDEX(Inputs!$J$205:$AR$205,1,(Time!M21-1)-2014),INDEX(Inputs!$J$207:$AR$207,1,(Time!M21-1)-2014),INDEX(Inputs!$J$209:$AR$209,1,(Time!M21-1)-2014))</f>
        <v/>
      </c>
      <c r="N15" s="11">
        <f>CHOOSE(Inputs!$F$32,INDEX(Inputs!$J$205:$AR$205,1,(Time!N21-1)-2014),INDEX(Inputs!$J$207:$AR$207,1,(Time!N21-1)-2014),INDEX(Inputs!$J$209:$AR$209,1,(Time!N21-1)-2014))</f>
        <v/>
      </c>
      <c r="O15" s="11">
        <f>CHOOSE(Inputs!$F$32,INDEX(Inputs!$J$205:$AR$205,1,(Time!O21-1)-2014),INDEX(Inputs!$J$207:$AR$207,1,(Time!O21-1)-2014),INDEX(Inputs!$J$209:$AR$209,1,(Time!O21-1)-2014))</f>
        <v/>
      </c>
      <c r="P15" s="11">
        <f>CHOOSE(Inputs!$F$32,INDEX(Inputs!$J$205:$AR$205,1,(Time!P21-1)-2014),INDEX(Inputs!$J$207:$AR$207,1,(Time!P21-1)-2014),INDEX(Inputs!$J$209:$AR$209,1,(Time!P21-1)-2014))</f>
        <v/>
      </c>
      <c r="Q15" s="11">
        <f>CHOOSE(Inputs!$F$32,INDEX(Inputs!$J$205:$AR$205,1,(Time!Q21-1)-2014),INDEX(Inputs!$J$207:$AR$207,1,(Time!Q21-1)-2014),INDEX(Inputs!$J$209:$AR$209,1,(Time!Q21-1)-2014))</f>
        <v/>
      </c>
      <c r="R15" s="11">
        <f>CHOOSE(Inputs!$F$32,INDEX(Inputs!$J$205:$AR$205,1,(Time!R21-1)-2014),INDEX(Inputs!$J$207:$AR$207,1,(Time!R21-1)-2014),INDEX(Inputs!$J$209:$AR$209,1,(Time!R21-1)-2014))</f>
        <v/>
      </c>
      <c r="S15" s="11">
        <f>CHOOSE(Inputs!$F$32,INDEX(Inputs!$J$205:$AR$205,1,(Time!S21-1)-2014),INDEX(Inputs!$J$207:$AR$207,1,(Time!S21-1)-2014),INDEX(Inputs!$J$209:$AR$209,1,(Time!S21-1)-2014))</f>
        <v/>
      </c>
      <c r="T15" s="11">
        <f>CHOOSE(Inputs!$F$32,INDEX(Inputs!$J$205:$AR$205,1,(Time!T21-1)-2014),INDEX(Inputs!$J$207:$AR$207,1,(Time!T21-1)-2014),INDEX(Inputs!$J$209:$AR$209,1,(Time!T21-1)-2014))</f>
        <v/>
      </c>
      <c r="U15" s="11">
        <f>CHOOSE(Inputs!$F$32,INDEX(Inputs!$J$205:$AR$205,1,(Time!U21-1)-2014),INDEX(Inputs!$J$207:$AR$207,1,(Time!U21-1)-2014),INDEX(Inputs!$J$209:$AR$209,1,(Time!U21-1)-2014))</f>
        <v/>
      </c>
      <c r="V15" s="11">
        <f>CHOOSE(Inputs!$F$32,INDEX(Inputs!$J$205:$AR$205,1,(Time!V21-1)-2014),INDEX(Inputs!$J$207:$AR$207,1,(Time!V21-1)-2014),INDEX(Inputs!$J$209:$AR$209,1,(Time!V21-1)-2014))</f>
        <v/>
      </c>
      <c r="W15" s="11">
        <f>CHOOSE(Inputs!$F$32,INDEX(Inputs!$J$205:$AR$205,1,(Time!W21-1)-2014),INDEX(Inputs!$J$207:$AR$207,1,(Time!W21-1)-2014),INDEX(Inputs!$J$209:$AR$209,1,(Time!W21-1)-2014))</f>
        <v/>
      </c>
      <c r="X15" s="11">
        <f>CHOOSE(Inputs!$F$32,INDEX(Inputs!$J$205:$AR$205,1,(Time!X21-1)-2014),INDEX(Inputs!$J$207:$AR$207,1,(Time!X21-1)-2014),INDEX(Inputs!$J$209:$AR$209,1,(Time!X21-1)-2014))</f>
        <v/>
      </c>
      <c r="Y15" s="11">
        <f>CHOOSE(Inputs!$F$32,INDEX(Inputs!$J$205:$AR$205,1,(Time!Y21-1)-2014),INDEX(Inputs!$J$207:$AR$207,1,(Time!Y21-1)-2014),INDEX(Inputs!$J$209:$AR$209,1,(Time!Y21-1)-2014))</f>
        <v/>
      </c>
      <c r="Z15" s="11">
        <f>CHOOSE(Inputs!$F$32,INDEX(Inputs!$J$205:$AR$205,1,(Time!Z21-1)-2014),INDEX(Inputs!$J$207:$AR$207,1,(Time!Z21-1)-2014),INDEX(Inputs!$J$209:$AR$209,1,(Time!Z21-1)-2014))</f>
        <v/>
      </c>
      <c r="AA15" s="11">
        <f>CHOOSE(Inputs!$F$32,INDEX(Inputs!$J$205:$AR$205,1,(Time!AA21-1)-2014),INDEX(Inputs!$J$207:$AR$207,1,(Time!AA21-1)-2014),INDEX(Inputs!$J$209:$AR$209,1,(Time!AA21-1)-2014))</f>
        <v/>
      </c>
      <c r="AB15" s="11">
        <f>CHOOSE(Inputs!$F$32,INDEX(Inputs!$J$205:$AR$205,1,(Time!AB21-1)-2014),INDEX(Inputs!$J$207:$AR$207,1,(Time!AB21-1)-2014),INDEX(Inputs!$J$209:$AR$209,1,(Time!AB21-1)-2014))</f>
        <v/>
      </c>
      <c r="AC15" s="11">
        <f>CHOOSE(Inputs!$F$32,INDEX(Inputs!$J$205:$AR$205,1,(Time!AC21-1)-2014),INDEX(Inputs!$J$207:$AR$207,1,(Time!AC21-1)-2014),INDEX(Inputs!$J$209:$AR$209,1,(Time!AC21-1)-2014))</f>
        <v/>
      </c>
      <c r="AD15" s="11">
        <f>CHOOSE(Inputs!$F$32,INDEX(Inputs!$J$205:$AR$205,1,(Time!AD21-1)-2014),INDEX(Inputs!$J$207:$AR$207,1,(Time!AD21-1)-2014),INDEX(Inputs!$J$209:$AR$209,1,(Time!AD21-1)-2014))</f>
        <v/>
      </c>
      <c r="AE15" s="11">
        <f>CHOOSE(Inputs!$F$32,INDEX(Inputs!$J$205:$AR$205,1,(Time!AE21-1)-2014),INDEX(Inputs!$J$207:$AR$207,1,(Time!AE21-1)-2014),INDEX(Inputs!$J$209:$AR$209,1,(Time!AE21-1)-2014))</f>
        <v/>
      </c>
      <c r="AF15" s="11">
        <f>CHOOSE(Inputs!$F$32,INDEX(Inputs!$J$205:$AR$205,1,(Time!AF21-1)-2014),INDEX(Inputs!$J$207:$AR$207,1,(Time!AF21-1)-2014),INDEX(Inputs!$J$209:$AR$209,1,(Time!AF21-1)-2014))</f>
        <v/>
      </c>
      <c r="AG15" s="11">
        <f>CHOOSE(Inputs!$F$32,INDEX(Inputs!$J$205:$AR$205,1,(Time!AG21-1)-2014),INDEX(Inputs!$J$207:$AR$207,1,(Time!AG21-1)-2014),INDEX(Inputs!$J$209:$AR$209,1,(Time!AG21-1)-2014))</f>
        <v/>
      </c>
      <c r="AH15" s="11">
        <f>CHOOSE(Inputs!$F$32,INDEX(Inputs!$J$205:$AR$205,1,(Time!AH21-1)-2014),INDEX(Inputs!$J$207:$AR$207,1,(Time!AH21-1)-2014),INDEX(Inputs!$J$209:$AR$209,1,(Time!AH21-1)-2014))</f>
        <v/>
      </c>
      <c r="AI15" s="11">
        <f>CHOOSE(Inputs!$F$32,INDEX(Inputs!$J$205:$AR$205,1,(Time!AI21-1)-2014),INDEX(Inputs!$J$207:$AR$207,1,(Time!AI21-1)-2014),INDEX(Inputs!$J$209:$AR$209,1,(Time!AI21-1)-2014))</f>
        <v/>
      </c>
      <c r="AJ15" s="11">
        <f>CHOOSE(Inputs!$F$32,INDEX(Inputs!$J$205:$AR$205,1,(Time!AJ21-1)-2014),INDEX(Inputs!$J$207:$AR$207,1,(Time!AJ21-1)-2014),INDEX(Inputs!$J$209:$AR$209,1,(Time!AJ21-1)-2014))</f>
        <v/>
      </c>
      <c r="AK15" s="11">
        <f>CHOOSE(Inputs!$F$32,INDEX(Inputs!$J$205:$AR$205,1,(Time!AK21-1)-2014),INDEX(Inputs!$J$207:$AR$207,1,(Time!AK21-1)-2014),INDEX(Inputs!$J$209:$AR$209,1,(Time!AK21-1)-2014))</f>
        <v/>
      </c>
      <c r="AL15" s="11">
        <f>CHOOSE(Inputs!$F$32,INDEX(Inputs!$J$205:$AR$205,1,(Time!AL21-1)-2014),INDEX(Inputs!$J$207:$AR$207,1,(Time!AL21-1)-2014),INDEX(Inputs!$J$209:$AR$209,1,(Time!AL21-1)-2014))</f>
        <v/>
      </c>
      <c r="AM15" s="11">
        <f>CHOOSE(Inputs!$F$32,INDEX(Inputs!$J$205:$AR$205,1,(Time!AM21-1)-2014),INDEX(Inputs!$J$207:$AR$207,1,(Time!AM21-1)-2014),INDEX(Inputs!$J$209:$AR$209,1,(Time!AM21-1)-2014))</f>
        <v/>
      </c>
      <c r="AN15" s="11">
        <f>CHOOSE(Inputs!$F$32,INDEX(Inputs!$J$205:$AR$205,1,(Time!AN21-1)-2014),INDEX(Inputs!$J$207:$AR$207,1,(Time!AN21-1)-2014),INDEX(Inputs!$J$209:$AR$209,1,(Time!AN21-1)-2014))</f>
        <v/>
      </c>
      <c r="AO15" s="11">
        <f>CHOOSE(Inputs!$F$32,INDEX(Inputs!$J$205:$AR$205,1,(Time!AO21-1)-2014),INDEX(Inputs!$J$207:$AR$207,1,(Time!AO21-1)-2014),INDEX(Inputs!$J$209:$AR$209,1,(Time!AO21-1)-2014))</f>
        <v/>
      </c>
      <c r="AP15" s="11">
        <f>CHOOSE(Inputs!$F$32,INDEX(Inputs!$J$205:$AR$205,1,(Time!AP21-1)-2014),INDEX(Inputs!$J$207:$AR$207,1,(Time!AP21-1)-2014),INDEX(Inputs!$J$209:$AR$209,1,(Time!AP21-1)-2014))</f>
        <v/>
      </c>
      <c r="AQ15" s="11">
        <f>CHOOSE(Inputs!$F$32,INDEX(Inputs!$J$205:$AR$205,1,(Time!AQ21-1)-2014),INDEX(Inputs!$J$207:$AR$207,1,(Time!AQ21-1)-2014),INDEX(Inputs!$J$209:$AR$209,1,(Time!AQ21-1)-2014))</f>
        <v/>
      </c>
      <c r="AR15" s="11">
        <f>CHOOSE(Inputs!$F$32,INDEX(Inputs!$J$205:$AR$205,1,(Time!AR21-1)-2014),INDEX(Inputs!$J$207:$AR$207,1,(Time!AR21-1)-2014),INDEX(Inputs!$J$209:$AR$209,1,(Time!AR21-1)-2014))</f>
        <v/>
      </c>
      <c r="AS15" s="11">
        <f>CHOOSE(Inputs!$F$32,INDEX(Inputs!$J$205:$AR$205,1,(Time!AS21-1)-2014),INDEX(Inputs!$J$207:$AR$207,1,(Time!AS21-1)-2014),INDEX(Inputs!$J$209:$AR$209,1,(Time!AS21-1)-2014))</f>
        <v/>
      </c>
      <c r="AT15" s="11">
        <f>CHOOSE(Inputs!$F$32,INDEX(Inputs!$J$205:$AR$205,1,(Time!AT21-1)-2014),INDEX(Inputs!$J$207:$AR$207,1,(Time!AT21-1)-2014),INDEX(Inputs!$J$209:$AR$209,1,(Time!AT21-1)-2014))</f>
        <v/>
      </c>
      <c r="AU15" s="11">
        <f>CHOOSE(Inputs!$F$32,INDEX(Inputs!$J$205:$AR$205,1,(Time!AU21-1)-2014),INDEX(Inputs!$J$207:$AR$207,1,(Time!AU21-1)-2014),INDEX(Inputs!$J$209:$AR$209,1,(Time!AU21-1)-2014))</f>
        <v/>
      </c>
      <c r="AV15" s="11">
        <f>CHOOSE(Inputs!$F$32,INDEX(Inputs!$J$205:$AR$205,1,(Time!AV21-1)-2014),INDEX(Inputs!$J$207:$AR$207,1,(Time!AV21-1)-2014),INDEX(Inputs!$J$209:$AR$209,1,(Time!AV21-1)-2014))</f>
        <v/>
      </c>
      <c r="AW15" s="11">
        <f>CHOOSE(Inputs!$F$32,INDEX(Inputs!$J$205:$AR$205,1,(Time!AW21-1)-2014),INDEX(Inputs!$J$207:$AR$207,1,(Time!AW21-1)-2014),INDEX(Inputs!$J$209:$AR$209,1,(Time!AW21-1)-2014))</f>
        <v/>
      </c>
      <c r="AX15" s="11">
        <f>CHOOSE(Inputs!$F$32,INDEX(Inputs!$J$205:$AR$205,1,(Time!AX21-1)-2014),INDEX(Inputs!$J$207:$AR$207,1,(Time!AX21-1)-2014),INDEX(Inputs!$J$209:$AR$209,1,(Time!AX21-1)-2014))</f>
        <v/>
      </c>
      <c r="AY15" s="11">
        <f>CHOOSE(Inputs!$F$32,INDEX(Inputs!$J$205:$AR$205,1,(Time!AY21-1)-2014),INDEX(Inputs!$J$207:$AR$207,1,(Time!AY21-1)-2014),INDEX(Inputs!$J$209:$AR$209,1,(Time!AY21-1)-2014))</f>
        <v/>
      </c>
      <c r="AZ15" s="11">
        <f>CHOOSE(Inputs!$F$32,INDEX(Inputs!$J$205:$AR$205,1,(Time!AZ21-1)-2014),INDEX(Inputs!$J$207:$AR$207,1,(Time!AZ21-1)-2014),INDEX(Inputs!$J$209:$AR$209,1,(Time!AZ21-1)-2014))</f>
        <v/>
      </c>
      <c r="BA15" s="11">
        <f>CHOOSE(Inputs!$F$32,INDEX(Inputs!$J$205:$AR$205,1,(Time!BA21-1)-2014),INDEX(Inputs!$J$207:$AR$207,1,(Time!BA21-1)-2014),INDEX(Inputs!$J$209:$AR$209,1,(Time!BA21-1)-2014))</f>
        <v/>
      </c>
      <c r="BB15" s="11">
        <f>CHOOSE(Inputs!$F$32,INDEX(Inputs!$J$205:$AR$205,1,(Time!BB21-1)-2014),INDEX(Inputs!$J$207:$AR$207,1,(Time!BB21-1)-2014),INDEX(Inputs!$J$209:$AR$209,1,(Time!BB21-1)-2014))</f>
        <v/>
      </c>
      <c r="BC15" s="11">
        <f>CHOOSE(Inputs!$F$32,INDEX(Inputs!$J$205:$AR$205,1,(Time!BC21-1)-2014),INDEX(Inputs!$J$207:$AR$207,1,(Time!BC21-1)-2014),INDEX(Inputs!$J$209:$AR$209,1,(Time!BC21-1)-2014))</f>
        <v/>
      </c>
      <c r="BD15" s="11">
        <f>CHOOSE(Inputs!$F$32,INDEX(Inputs!$J$205:$AR$205,1,(Time!BD21-1)-2014),INDEX(Inputs!$J$207:$AR$207,1,(Time!BD21-1)-2014),INDEX(Inputs!$J$209:$AR$209,1,(Time!BD21-1)-2014))</f>
        <v/>
      </c>
      <c r="BE15" s="11">
        <f>CHOOSE(Inputs!$F$32,INDEX(Inputs!$J$205:$AR$205,1,(Time!BE21-1)-2014),INDEX(Inputs!$J$207:$AR$207,1,(Time!BE21-1)-2014),INDEX(Inputs!$J$209:$AR$209,1,(Time!BE21-1)-2014))</f>
        <v/>
      </c>
      <c r="BF15" s="11">
        <f>CHOOSE(Inputs!$F$32,INDEX(Inputs!$J$205:$AR$205,1,(Time!BF21-1)-2014),INDEX(Inputs!$J$207:$AR$207,1,(Time!BF21-1)-2014),INDEX(Inputs!$J$209:$AR$209,1,(Time!BF21-1)-2014))</f>
        <v/>
      </c>
      <c r="BG15" s="11">
        <f>CHOOSE(Inputs!$F$32,INDEX(Inputs!$J$205:$AR$205,1,(Time!BG21-1)-2014),INDEX(Inputs!$J$207:$AR$207,1,(Time!BG21-1)-2014),INDEX(Inputs!$J$209:$AR$209,1,(Time!BG21-1)-2014))</f>
        <v/>
      </c>
      <c r="BH15" s="11">
        <f>CHOOSE(Inputs!$F$32,INDEX(Inputs!$J$205:$AR$205,1,(Time!BH21-1)-2014),INDEX(Inputs!$J$207:$AR$207,1,(Time!BH21-1)-2014),INDEX(Inputs!$J$209:$AR$209,1,(Time!BH21-1)-2014))</f>
        <v/>
      </c>
      <c r="BI15" s="11">
        <f>CHOOSE(Inputs!$F$32,INDEX(Inputs!$J$205:$AR$205,1,(Time!BI21-1)-2014),INDEX(Inputs!$J$207:$AR$207,1,(Time!BI21-1)-2014),INDEX(Inputs!$J$209:$AR$209,1,(Time!BI21-1)-2014))</f>
        <v/>
      </c>
      <c r="BJ15" s="11">
        <f>CHOOSE(Inputs!$F$32,INDEX(Inputs!$J$205:$AR$205,1,(Time!BJ21-1)-2014),INDEX(Inputs!$J$207:$AR$207,1,(Time!BJ21-1)-2014),INDEX(Inputs!$J$209:$AR$209,1,(Time!BJ21-1)-2014))</f>
        <v/>
      </c>
      <c r="BK15" s="11">
        <f>CHOOSE(Inputs!$F$32,INDEX(Inputs!$J$205:$AR$205,1,(Time!BK21-1)-2014),INDEX(Inputs!$J$207:$AR$207,1,(Time!BK21-1)-2014),INDEX(Inputs!$J$209:$AR$209,1,(Time!BK21-1)-2014))</f>
        <v/>
      </c>
      <c r="BL15" s="11">
        <f>CHOOSE(Inputs!$F$32,INDEX(Inputs!$J$205:$AR$205,1,(Time!BL21-1)-2014),INDEX(Inputs!$J$207:$AR$207,1,(Time!BL21-1)-2014),INDEX(Inputs!$J$209:$AR$209,1,(Time!BL21-1)-2014))</f>
        <v/>
      </c>
      <c r="BM15" s="11">
        <f>CHOOSE(Inputs!$F$32,INDEX(Inputs!$J$205:$AR$205,1,(Time!BM21-1)-2014),INDEX(Inputs!$J$207:$AR$207,1,(Time!BM21-1)-2014),INDEX(Inputs!$J$209:$AR$209,1,(Time!BM21-1)-2014))</f>
        <v/>
      </c>
      <c r="BN15" s="11">
        <f>CHOOSE(Inputs!$F$32,INDEX(Inputs!$J$205:$AR$205,1,(Time!BN21-1)-2014),INDEX(Inputs!$J$207:$AR$207,1,(Time!BN21-1)-2014),INDEX(Inputs!$J$209:$AR$209,1,(Time!BN21-1)-2014))</f>
        <v/>
      </c>
    </row>
    <row r="16">
      <c r="D16" t="inlineStr">
        <is>
          <t>US index, June 2018 (2018 price base)</t>
        </is>
      </c>
      <c r="E16" t="inlineStr">
        <is>
          <t>index</t>
        </is>
      </c>
      <c r="F16" s="6">
        <f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(6/12)</f>
        <v/>
      </c>
    </row>
    <row r="17">
      <c r="D17" t="inlineStr">
        <is>
          <t>US CPI index, cost reading (Mar/Sep), Nov 2016 = 100</t>
        </is>
      </c>
      <c r="E17" t="inlineStr">
        <is>
          <t>index</t>
        </is>
      </c>
      <c r="J17" s="11">
        <f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(9/12)</f>
        <v/>
      </c>
      <c r="K17" s="11">
        <f>J17*IF(Time!K22=1,(1+K14/100)^0.25*(1+K12/100)^0.25,(1+K12/100)^0.5)</f>
        <v/>
      </c>
      <c r="L17" s="11">
        <f>K17*IF(Time!L22=1,(1+L14/100)^0.25*(1+L12/100)^0.25,(1+L12/100)^0.5)</f>
        <v/>
      </c>
      <c r="M17" s="11">
        <f>L17*IF(Time!M22=1,(1+M14/100)^0.25*(1+M12/100)^0.25,(1+M12/100)^0.5)</f>
        <v/>
      </c>
      <c r="N17" s="11">
        <f>M17*IF(Time!N22=1,(1+N14/100)^0.25*(1+N12/100)^0.25,(1+N12/100)^0.5)</f>
        <v/>
      </c>
      <c r="O17" s="11">
        <f>N17*IF(Time!O22=1,(1+O14/100)^0.25*(1+O12/100)^0.25,(1+O12/100)^0.5)</f>
        <v/>
      </c>
      <c r="P17" s="11">
        <f>O17*IF(Time!P22=1,(1+P14/100)^0.25*(1+P12/100)^0.25,(1+P12/100)^0.5)</f>
        <v/>
      </c>
      <c r="Q17" s="11">
        <f>P17*IF(Time!Q22=1,(1+Q14/100)^0.25*(1+Q12/100)^0.25,(1+Q12/100)^0.5)</f>
        <v/>
      </c>
      <c r="R17" s="11">
        <f>Q17*IF(Time!R22=1,(1+R14/100)^0.25*(1+R12/100)^0.25,(1+R12/100)^0.5)</f>
        <v/>
      </c>
      <c r="S17" s="11">
        <f>R17*IF(Time!S22=1,(1+S14/100)^0.25*(1+S12/100)^0.25,(1+S12/100)^0.5)</f>
        <v/>
      </c>
      <c r="T17" s="11">
        <f>S17*IF(Time!T22=1,(1+T14/100)^0.25*(1+T12/100)^0.25,(1+T12/100)^0.5)</f>
        <v/>
      </c>
      <c r="U17" s="11">
        <f>T17*IF(Time!U22=1,(1+U14/100)^0.25*(1+U12/100)^0.25,(1+U12/100)^0.5)</f>
        <v/>
      </c>
      <c r="V17" s="11">
        <f>U17*IF(Time!V22=1,(1+V14/100)^0.25*(1+V12/100)^0.25,(1+V12/100)^0.5)</f>
        <v/>
      </c>
      <c r="W17" s="11">
        <f>V17*IF(Time!W22=1,(1+W14/100)^0.25*(1+W12/100)^0.25,(1+W12/100)^0.5)</f>
        <v/>
      </c>
      <c r="X17" s="11">
        <f>W17*IF(Time!X22=1,(1+X14/100)^0.25*(1+X12/100)^0.25,(1+X12/100)^0.5)</f>
        <v/>
      </c>
      <c r="Y17" s="11">
        <f>X17*IF(Time!Y22=1,(1+Y14/100)^0.25*(1+Y12/100)^0.25,(1+Y12/100)^0.5)</f>
        <v/>
      </c>
      <c r="Z17" s="11">
        <f>Y17*IF(Time!Z22=1,(1+Z14/100)^0.25*(1+Z12/100)^0.25,(1+Z12/100)^0.5)</f>
        <v/>
      </c>
      <c r="AA17" s="11">
        <f>Z17*IF(Time!AA22=1,(1+AA14/100)^0.25*(1+AA12/100)^0.25,(1+AA12/100)^0.5)</f>
        <v/>
      </c>
      <c r="AB17" s="11">
        <f>AA17*IF(Time!AB22=1,(1+AB14/100)^0.25*(1+AB12/100)^0.25,(1+AB12/100)^0.5)</f>
        <v/>
      </c>
      <c r="AC17" s="11">
        <f>AB17*IF(Time!AC22=1,(1+AC14/100)^0.25*(1+AC12/100)^0.25,(1+AC12/100)^0.5)</f>
        <v/>
      </c>
      <c r="AD17" s="11">
        <f>AC17*IF(Time!AD22=1,(1+AD14/100)^0.25*(1+AD12/100)^0.25,(1+AD12/100)^0.5)</f>
        <v/>
      </c>
      <c r="AE17" s="11">
        <f>AD17*IF(Time!AE22=1,(1+AE14/100)^0.25*(1+AE12/100)^0.25,(1+AE12/100)^0.5)</f>
        <v/>
      </c>
      <c r="AF17" s="11">
        <f>AE17*IF(Time!AF22=1,(1+AF14/100)^0.25*(1+AF12/100)^0.25,(1+AF12/100)^0.5)</f>
        <v/>
      </c>
      <c r="AG17" s="11">
        <f>AF17*IF(Time!AG22=1,(1+AG14/100)^0.25*(1+AG12/100)^0.25,(1+AG12/100)^0.5)</f>
        <v/>
      </c>
      <c r="AH17" s="11">
        <f>AG17*IF(Time!AH22=1,(1+AH14/100)^0.25*(1+AH12/100)^0.25,(1+AH12/100)^0.5)</f>
        <v/>
      </c>
      <c r="AI17" s="11">
        <f>AH17*IF(Time!AI22=1,(1+AI14/100)^0.25*(1+AI12/100)^0.25,(1+AI12/100)^0.5)</f>
        <v/>
      </c>
      <c r="AJ17" s="11">
        <f>AI17*IF(Time!AJ22=1,(1+AJ14/100)^0.25*(1+AJ12/100)^0.25,(1+AJ12/100)^0.5)</f>
        <v/>
      </c>
      <c r="AK17" s="11">
        <f>AJ17*IF(Time!AK22=1,(1+AK14/100)^0.25*(1+AK12/100)^0.25,(1+AK12/100)^0.5)</f>
        <v/>
      </c>
      <c r="AL17" s="11">
        <f>AK17*IF(Time!AL22=1,(1+AL14/100)^0.25*(1+AL12/100)^0.25,(1+AL12/100)^0.5)</f>
        <v/>
      </c>
      <c r="AM17" s="11">
        <f>AL17*IF(Time!AM22=1,(1+AM14/100)^0.25*(1+AM12/100)^0.25,(1+AM12/100)^0.5)</f>
        <v/>
      </c>
      <c r="AN17" s="11">
        <f>AM17*IF(Time!AN22=1,(1+AN14/100)^0.25*(1+AN12/100)^0.25,(1+AN12/100)^0.5)</f>
        <v/>
      </c>
      <c r="AO17" s="11">
        <f>AN17*IF(Time!AO22=1,(1+AO14/100)^0.25*(1+AO12/100)^0.25,(1+AO12/100)^0.5)</f>
        <v/>
      </c>
      <c r="AP17" s="11">
        <f>AO17*IF(Time!AP22=1,(1+AP14/100)^0.25*(1+AP12/100)^0.25,(1+AP12/100)^0.5)</f>
        <v/>
      </c>
      <c r="AQ17" s="11">
        <f>AP17*IF(Time!AQ22=1,(1+AQ14/100)^0.25*(1+AQ12/100)^0.25,(1+AQ12/100)^0.5)</f>
        <v/>
      </c>
      <c r="AR17" s="11">
        <f>AQ17*IF(Time!AR22=1,(1+AR14/100)^0.25*(1+AR12/100)^0.25,(1+AR12/100)^0.5)</f>
        <v/>
      </c>
      <c r="AS17" s="11">
        <f>AR17*IF(Time!AS22=1,(1+AS14/100)^0.25*(1+AS12/100)^0.25,(1+AS12/100)^0.5)</f>
        <v/>
      </c>
      <c r="AT17" s="11">
        <f>AS17*IF(Time!AT22=1,(1+AT14/100)^0.25*(1+AT12/100)^0.25,(1+AT12/100)^0.5)</f>
        <v/>
      </c>
      <c r="AU17" s="11">
        <f>AT17*IF(Time!AU22=1,(1+AU14/100)^0.25*(1+AU12/100)^0.25,(1+AU12/100)^0.5)</f>
        <v/>
      </c>
      <c r="AV17" s="11">
        <f>AU17*IF(Time!AV22=1,(1+AV14/100)^0.25*(1+AV12/100)^0.25,(1+AV12/100)^0.5)</f>
        <v/>
      </c>
      <c r="AW17" s="11">
        <f>AV17*IF(Time!AW22=1,(1+AW14/100)^0.25*(1+AW12/100)^0.25,(1+AW12/100)^0.5)</f>
        <v/>
      </c>
      <c r="AX17" s="11">
        <f>AW17*IF(Time!AX22=1,(1+AX14/100)^0.25*(1+AX12/100)^0.25,(1+AX12/100)^0.5)</f>
        <v/>
      </c>
      <c r="AY17" s="11">
        <f>AX17*IF(Time!AY22=1,(1+AY14/100)^0.25*(1+AY12/100)^0.25,(1+AY12/100)^0.5)</f>
        <v/>
      </c>
      <c r="AZ17" s="11">
        <f>AY17*IF(Time!AZ22=1,(1+AZ14/100)^0.25*(1+AZ12/100)^0.25,(1+AZ12/100)^0.5)</f>
        <v/>
      </c>
      <c r="BA17" s="11">
        <f>AZ17*IF(Time!BA22=1,(1+BA14/100)^0.25*(1+BA12/100)^0.25,(1+BA12/100)^0.5)</f>
        <v/>
      </c>
      <c r="BB17" s="11">
        <f>BA17*IF(Time!BB22=1,(1+BB14/100)^0.25*(1+BB12/100)^0.25,(1+BB12/100)^0.5)</f>
        <v/>
      </c>
      <c r="BC17" s="11">
        <f>BB17*IF(Time!BC22=1,(1+BC14/100)^0.25*(1+BC12/100)^0.25,(1+BC12/100)^0.5)</f>
        <v/>
      </c>
      <c r="BD17" s="11">
        <f>BC17*IF(Time!BD22=1,(1+BD14/100)^0.25*(1+BD12/100)^0.25,(1+BD12/100)^0.5)</f>
        <v/>
      </c>
      <c r="BE17" s="11">
        <f>BD17*IF(Time!BE22=1,(1+BE14/100)^0.25*(1+BE12/100)^0.25,(1+BE12/100)^0.5)</f>
        <v/>
      </c>
      <c r="BF17" s="11">
        <f>BE17*IF(Time!BF22=1,(1+BF14/100)^0.25*(1+BF12/100)^0.25,(1+BF12/100)^0.5)</f>
        <v/>
      </c>
      <c r="BG17" s="11">
        <f>BF17*IF(Time!BG22=1,(1+BG14/100)^0.25*(1+BG12/100)^0.25,(1+BG12/100)^0.5)</f>
        <v/>
      </c>
      <c r="BH17" s="11">
        <f>BG17*IF(Time!BH22=1,(1+BH14/100)^0.25*(1+BH12/100)^0.25,(1+BH12/100)^0.5)</f>
        <v/>
      </c>
      <c r="BI17" s="11">
        <f>BH17*IF(Time!BI22=1,(1+BI14/100)^0.25*(1+BI12/100)^0.25,(1+BI12/100)^0.5)</f>
        <v/>
      </c>
      <c r="BJ17" s="11">
        <f>BI17*IF(Time!BJ22=1,(1+BJ14/100)^0.25*(1+BJ12/100)^0.25,(1+BJ12/100)^0.5)</f>
        <v/>
      </c>
      <c r="BK17" s="11">
        <f>BJ17*IF(Time!BK22=1,(1+BK14/100)^0.25*(1+BK12/100)^0.25,(1+BK12/100)^0.5)</f>
        <v/>
      </c>
      <c r="BL17" s="11">
        <f>BK17*IF(Time!BL22=1,(1+BL14/100)^0.25*(1+BL12/100)^0.25,(1+BL12/100)^0.5)</f>
        <v/>
      </c>
      <c r="BM17" s="11">
        <f>BL17*IF(Time!BM22=1,(1+BM14/100)^0.25*(1+BM12/100)^0.25,(1+BM12/100)^0.5)</f>
        <v/>
      </c>
      <c r="BN17" s="11">
        <f>BM17*IF(Time!BN22=1,(1+BN14/100)^0.25*(1+BN12/100)^0.25,(1+BN12/100)^0.5)</f>
        <v/>
      </c>
    </row>
    <row r="18">
      <c r="D18" t="inlineStr">
        <is>
          <t>US CPI index, tariff reading (3-month lag)</t>
        </is>
      </c>
      <c r="E18" t="inlineStr">
        <is>
          <t>index</t>
        </is>
      </c>
      <c r="J18" s="11">
        <f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(3/12)</f>
        <v/>
      </c>
      <c r="K18" s="11">
        <f>J17</f>
        <v/>
      </c>
      <c r="L18" s="11">
        <f>K17</f>
        <v/>
      </c>
      <c r="M18" s="11">
        <f>L17</f>
        <v/>
      </c>
      <c r="N18" s="11">
        <f>M17</f>
        <v/>
      </c>
      <c r="O18" s="11">
        <f>N17</f>
        <v/>
      </c>
      <c r="P18" s="11">
        <f>O17</f>
        <v/>
      </c>
      <c r="Q18" s="11">
        <f>P17</f>
        <v/>
      </c>
      <c r="R18" s="11">
        <f>Q17</f>
        <v/>
      </c>
      <c r="S18" s="11">
        <f>R17</f>
        <v/>
      </c>
      <c r="T18" s="11">
        <f>S17</f>
        <v/>
      </c>
      <c r="U18" s="11">
        <f>T17</f>
        <v/>
      </c>
      <c r="V18" s="11">
        <f>U17</f>
        <v/>
      </c>
      <c r="W18" s="11">
        <f>V17</f>
        <v/>
      </c>
      <c r="X18" s="11">
        <f>W17</f>
        <v/>
      </c>
      <c r="Y18" s="11">
        <f>X17</f>
        <v/>
      </c>
      <c r="Z18" s="11">
        <f>Y17</f>
        <v/>
      </c>
      <c r="AA18" s="11">
        <f>Z17</f>
        <v/>
      </c>
      <c r="AB18" s="11">
        <f>AA17</f>
        <v/>
      </c>
      <c r="AC18" s="11">
        <f>AB17</f>
        <v/>
      </c>
      <c r="AD18" s="11">
        <f>AC17</f>
        <v/>
      </c>
      <c r="AE18" s="11">
        <f>AD17</f>
        <v/>
      </c>
      <c r="AF18" s="11">
        <f>AE17</f>
        <v/>
      </c>
      <c r="AG18" s="11">
        <f>AF17</f>
        <v/>
      </c>
      <c r="AH18" s="11">
        <f>AG17</f>
        <v/>
      </c>
      <c r="AI18" s="11">
        <f>AH17</f>
        <v/>
      </c>
      <c r="AJ18" s="11">
        <f>AI17</f>
        <v/>
      </c>
      <c r="AK18" s="11">
        <f>AJ17</f>
        <v/>
      </c>
      <c r="AL18" s="11">
        <f>AK17</f>
        <v/>
      </c>
      <c r="AM18" s="11">
        <f>AL17</f>
        <v/>
      </c>
      <c r="AN18" s="11">
        <f>AM17</f>
        <v/>
      </c>
      <c r="AO18" s="11">
        <f>AN17</f>
        <v/>
      </c>
      <c r="AP18" s="11">
        <f>AO17</f>
        <v/>
      </c>
      <c r="AQ18" s="11">
        <f>AP17</f>
        <v/>
      </c>
      <c r="AR18" s="11">
        <f>AQ17</f>
        <v/>
      </c>
      <c r="AS18" s="11">
        <f>AR17</f>
        <v/>
      </c>
      <c r="AT18" s="11">
        <f>AS17</f>
        <v/>
      </c>
      <c r="AU18" s="11">
        <f>AT17</f>
        <v/>
      </c>
      <c r="AV18" s="11">
        <f>AU17</f>
        <v/>
      </c>
      <c r="AW18" s="11">
        <f>AV17</f>
        <v/>
      </c>
      <c r="AX18" s="11">
        <f>AW17</f>
        <v/>
      </c>
      <c r="AY18" s="11">
        <f>AX17</f>
        <v/>
      </c>
      <c r="AZ18" s="11">
        <f>AY17</f>
        <v/>
      </c>
      <c r="BA18" s="11">
        <f>AZ17</f>
        <v/>
      </c>
      <c r="BB18" s="11">
        <f>BA17</f>
        <v/>
      </c>
      <c r="BC18" s="11">
        <f>BB17</f>
        <v/>
      </c>
      <c r="BD18" s="11">
        <f>BC17</f>
        <v/>
      </c>
      <c r="BE18" s="11">
        <f>BD17</f>
        <v/>
      </c>
      <c r="BF18" s="11">
        <f>BE17</f>
        <v/>
      </c>
      <c r="BG18" s="11">
        <f>BF17</f>
        <v/>
      </c>
      <c r="BH18" s="11">
        <f>BG17</f>
        <v/>
      </c>
      <c r="BI18" s="11">
        <f>BH17</f>
        <v/>
      </c>
      <c r="BJ18" s="11">
        <f>BI17</f>
        <v/>
      </c>
      <c r="BK18" s="11">
        <f>BJ17</f>
        <v/>
      </c>
      <c r="BL18" s="11">
        <f>BK17</f>
        <v/>
      </c>
      <c r="BM18" s="11">
        <f>BL17</f>
        <v/>
      </c>
      <c r="BN18" s="11">
        <f>BM17</f>
        <v/>
      </c>
    </row>
    <row r="19">
      <c r="D19" t="inlineStr">
        <is>
          <t>US cost indexation factor vs 2018 prices</t>
        </is>
      </c>
      <c r="E19" t="inlineStr">
        <is>
          <t>factor</t>
        </is>
      </c>
      <c r="J19" s="11">
        <f>J17/$F$16</f>
        <v/>
      </c>
      <c r="K19" s="11">
        <f>K17/$F$16</f>
        <v/>
      </c>
      <c r="L19" s="11">
        <f>L17/$F$16</f>
        <v/>
      </c>
      <c r="M19" s="11">
        <f>M17/$F$16</f>
        <v/>
      </c>
      <c r="N19" s="11">
        <f>N17/$F$16</f>
        <v/>
      </c>
      <c r="O19" s="11">
        <f>O17/$F$16</f>
        <v/>
      </c>
      <c r="P19" s="11">
        <f>P17/$F$16</f>
        <v/>
      </c>
      <c r="Q19" s="11">
        <f>Q17/$F$16</f>
        <v/>
      </c>
      <c r="R19" s="11">
        <f>R17/$F$16</f>
        <v/>
      </c>
      <c r="S19" s="11">
        <f>S17/$F$16</f>
        <v/>
      </c>
      <c r="T19" s="11">
        <f>T17/$F$16</f>
        <v/>
      </c>
      <c r="U19" s="11">
        <f>U17/$F$16</f>
        <v/>
      </c>
      <c r="V19" s="11">
        <f>V17/$F$16</f>
        <v/>
      </c>
      <c r="W19" s="11">
        <f>W17/$F$16</f>
        <v/>
      </c>
      <c r="X19" s="11">
        <f>X17/$F$16</f>
        <v/>
      </c>
      <c r="Y19" s="11">
        <f>Y17/$F$16</f>
        <v/>
      </c>
      <c r="Z19" s="11">
        <f>Z17/$F$16</f>
        <v/>
      </c>
      <c r="AA19" s="11">
        <f>AA17/$F$16</f>
        <v/>
      </c>
      <c r="AB19" s="11">
        <f>AB17/$F$16</f>
        <v/>
      </c>
      <c r="AC19" s="11">
        <f>AC17/$F$16</f>
        <v/>
      </c>
      <c r="AD19" s="11">
        <f>AD17/$F$16</f>
        <v/>
      </c>
      <c r="AE19" s="11">
        <f>AE17/$F$16</f>
        <v/>
      </c>
      <c r="AF19" s="11">
        <f>AF17/$F$16</f>
        <v/>
      </c>
      <c r="AG19" s="11">
        <f>AG17/$F$16</f>
        <v/>
      </c>
      <c r="AH19" s="11">
        <f>AH17/$F$16</f>
        <v/>
      </c>
      <c r="AI19" s="11">
        <f>AI17/$F$16</f>
        <v/>
      </c>
      <c r="AJ19" s="11">
        <f>AJ17/$F$16</f>
        <v/>
      </c>
      <c r="AK19" s="11">
        <f>AK17/$F$16</f>
        <v/>
      </c>
      <c r="AL19" s="11">
        <f>AL17/$F$16</f>
        <v/>
      </c>
      <c r="AM19" s="11">
        <f>AM17/$F$16</f>
        <v/>
      </c>
      <c r="AN19" s="11">
        <f>AN17/$F$16</f>
        <v/>
      </c>
      <c r="AO19" s="11">
        <f>AO17/$F$16</f>
        <v/>
      </c>
      <c r="AP19" s="11">
        <f>AP17/$F$16</f>
        <v/>
      </c>
      <c r="AQ19" s="11">
        <f>AQ17/$F$16</f>
        <v/>
      </c>
      <c r="AR19" s="11">
        <f>AR17/$F$16</f>
        <v/>
      </c>
      <c r="AS19" s="11">
        <f>AS17/$F$16</f>
        <v/>
      </c>
      <c r="AT19" s="11">
        <f>AT17/$F$16</f>
        <v/>
      </c>
      <c r="AU19" s="11">
        <f>AU17/$F$16</f>
        <v/>
      </c>
      <c r="AV19" s="11">
        <f>AV17/$F$16</f>
        <v/>
      </c>
      <c r="AW19" s="11">
        <f>AW17/$F$16</f>
        <v/>
      </c>
      <c r="AX19" s="11">
        <f>AX17/$F$16</f>
        <v/>
      </c>
      <c r="AY19" s="11">
        <f>AY17/$F$16</f>
        <v/>
      </c>
      <c r="AZ19" s="11">
        <f>AZ17/$F$16</f>
        <v/>
      </c>
      <c r="BA19" s="11">
        <f>BA17/$F$16</f>
        <v/>
      </c>
      <c r="BB19" s="11">
        <f>BB17/$F$16</f>
        <v/>
      </c>
      <c r="BC19" s="11">
        <f>BC17/$F$16</f>
        <v/>
      </c>
      <c r="BD19" s="11">
        <f>BD17/$F$16</f>
        <v/>
      </c>
      <c r="BE19" s="11">
        <f>BE17/$F$16</f>
        <v/>
      </c>
      <c r="BF19" s="11">
        <f>BF17/$F$16</f>
        <v/>
      </c>
      <c r="BG19" s="11">
        <f>BG17/$F$16</f>
        <v/>
      </c>
      <c r="BH19" s="11">
        <f>BH17/$F$16</f>
        <v/>
      </c>
      <c r="BI19" s="11">
        <f>BI17/$F$16</f>
        <v/>
      </c>
      <c r="BJ19" s="11">
        <f>BJ17/$F$16</f>
        <v/>
      </c>
      <c r="BK19" s="11">
        <f>BK17/$F$16</f>
        <v/>
      </c>
      <c r="BL19" s="11">
        <f>BL17/$F$16</f>
        <v/>
      </c>
      <c r="BM19" s="11">
        <f>BM17/$F$16</f>
        <v/>
      </c>
      <c r="BN19" s="11">
        <f>BN17/$F$16</f>
        <v/>
      </c>
    </row>
    <row r="20">
      <c r="D20" t="inlineStr">
        <is>
          <t>KC index, June 2018 (2018 price base)</t>
        </is>
      </c>
      <c r="E20" t="inlineStr">
        <is>
          <t>index</t>
        </is>
      </c>
      <c r="F20" s="6">
        <f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(6/12)</f>
        <v/>
      </c>
    </row>
    <row r="21">
      <c r="D21" t="inlineStr">
        <is>
          <t>Kessara CPI index, cost reading (Mar/Sep), Nov 2016 = 100</t>
        </is>
      </c>
      <c r="E21" t="inlineStr">
        <is>
          <t>index</t>
        </is>
      </c>
      <c r="J21" s="11">
        <f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(9/12)</f>
        <v/>
      </c>
      <c r="K21" s="11">
        <f>J21*IF(Time!K22=1,(1+K15/100)^0.25*(1+K13/100)^0.25,(1+K13/100)^0.5)</f>
        <v/>
      </c>
      <c r="L21" s="11">
        <f>K21*IF(Time!L22=1,(1+L15/100)^0.25*(1+L13/100)^0.25,(1+L13/100)^0.5)</f>
        <v/>
      </c>
      <c r="M21" s="11">
        <f>L21*IF(Time!M22=1,(1+M15/100)^0.25*(1+M13/100)^0.25,(1+M13/100)^0.5)</f>
        <v/>
      </c>
      <c r="N21" s="11">
        <f>M21*IF(Time!N22=1,(1+N15/100)^0.25*(1+N13/100)^0.25,(1+N13/100)^0.5)</f>
        <v/>
      </c>
      <c r="O21" s="11">
        <f>N21*IF(Time!O22=1,(1+O15/100)^0.25*(1+O13/100)^0.25,(1+O13/100)^0.5)</f>
        <v/>
      </c>
      <c r="P21" s="11">
        <f>O21*IF(Time!P22=1,(1+P15/100)^0.25*(1+P13/100)^0.25,(1+P13/100)^0.5)</f>
        <v/>
      </c>
      <c r="Q21" s="11">
        <f>P21*IF(Time!Q22=1,(1+Q15/100)^0.25*(1+Q13/100)^0.25,(1+Q13/100)^0.5)</f>
        <v/>
      </c>
      <c r="R21" s="11">
        <f>Q21*IF(Time!R22=1,(1+R15/100)^0.25*(1+R13/100)^0.25,(1+R13/100)^0.5)</f>
        <v/>
      </c>
      <c r="S21" s="11">
        <f>R21*IF(Time!S22=1,(1+S15/100)^0.25*(1+S13/100)^0.25,(1+S13/100)^0.5)</f>
        <v/>
      </c>
      <c r="T21" s="11">
        <f>S21*IF(Time!T22=1,(1+T15/100)^0.25*(1+T13/100)^0.25,(1+T13/100)^0.5)</f>
        <v/>
      </c>
      <c r="U21" s="11">
        <f>T21*IF(Time!U22=1,(1+U15/100)^0.25*(1+U13/100)^0.25,(1+U13/100)^0.5)</f>
        <v/>
      </c>
      <c r="V21" s="11">
        <f>U21*IF(Time!V22=1,(1+V15/100)^0.25*(1+V13/100)^0.25,(1+V13/100)^0.5)</f>
        <v/>
      </c>
      <c r="W21" s="11">
        <f>V21*IF(Time!W22=1,(1+W15/100)^0.25*(1+W13/100)^0.25,(1+W13/100)^0.5)</f>
        <v/>
      </c>
      <c r="X21" s="11">
        <f>W21*IF(Time!X22=1,(1+X15/100)^0.25*(1+X13/100)^0.25,(1+X13/100)^0.5)</f>
        <v/>
      </c>
      <c r="Y21" s="11">
        <f>X21*IF(Time!Y22=1,(1+Y15/100)^0.25*(1+Y13/100)^0.25,(1+Y13/100)^0.5)</f>
        <v/>
      </c>
      <c r="Z21" s="11">
        <f>Y21*IF(Time!Z22=1,(1+Z15/100)^0.25*(1+Z13/100)^0.25,(1+Z13/100)^0.5)</f>
        <v/>
      </c>
      <c r="AA21" s="11">
        <f>Z21*IF(Time!AA22=1,(1+AA15/100)^0.25*(1+AA13/100)^0.25,(1+AA13/100)^0.5)</f>
        <v/>
      </c>
      <c r="AB21" s="11">
        <f>AA21*IF(Time!AB22=1,(1+AB15/100)^0.25*(1+AB13/100)^0.25,(1+AB13/100)^0.5)</f>
        <v/>
      </c>
      <c r="AC21" s="11">
        <f>AB21*IF(Time!AC22=1,(1+AC15/100)^0.25*(1+AC13/100)^0.25,(1+AC13/100)^0.5)</f>
        <v/>
      </c>
      <c r="AD21" s="11">
        <f>AC21*IF(Time!AD22=1,(1+AD15/100)^0.25*(1+AD13/100)^0.25,(1+AD13/100)^0.5)</f>
        <v/>
      </c>
      <c r="AE21" s="11">
        <f>AD21*IF(Time!AE22=1,(1+AE15/100)^0.25*(1+AE13/100)^0.25,(1+AE13/100)^0.5)</f>
        <v/>
      </c>
      <c r="AF21" s="11">
        <f>AE21*IF(Time!AF22=1,(1+AF15/100)^0.25*(1+AF13/100)^0.25,(1+AF13/100)^0.5)</f>
        <v/>
      </c>
      <c r="AG21" s="11">
        <f>AF21*IF(Time!AG22=1,(1+AG15/100)^0.25*(1+AG13/100)^0.25,(1+AG13/100)^0.5)</f>
        <v/>
      </c>
      <c r="AH21" s="11">
        <f>AG21*IF(Time!AH22=1,(1+AH15/100)^0.25*(1+AH13/100)^0.25,(1+AH13/100)^0.5)</f>
        <v/>
      </c>
      <c r="AI21" s="11">
        <f>AH21*IF(Time!AI22=1,(1+AI15/100)^0.25*(1+AI13/100)^0.25,(1+AI13/100)^0.5)</f>
        <v/>
      </c>
      <c r="AJ21" s="11">
        <f>AI21*IF(Time!AJ22=1,(1+AJ15/100)^0.25*(1+AJ13/100)^0.25,(1+AJ13/100)^0.5)</f>
        <v/>
      </c>
      <c r="AK21" s="11">
        <f>AJ21*IF(Time!AK22=1,(1+AK15/100)^0.25*(1+AK13/100)^0.25,(1+AK13/100)^0.5)</f>
        <v/>
      </c>
      <c r="AL21" s="11">
        <f>AK21*IF(Time!AL22=1,(1+AL15/100)^0.25*(1+AL13/100)^0.25,(1+AL13/100)^0.5)</f>
        <v/>
      </c>
      <c r="AM21" s="11">
        <f>AL21*IF(Time!AM22=1,(1+AM15/100)^0.25*(1+AM13/100)^0.25,(1+AM13/100)^0.5)</f>
        <v/>
      </c>
      <c r="AN21" s="11">
        <f>AM21*IF(Time!AN22=1,(1+AN15/100)^0.25*(1+AN13/100)^0.25,(1+AN13/100)^0.5)</f>
        <v/>
      </c>
      <c r="AO21" s="11">
        <f>AN21*IF(Time!AO22=1,(1+AO15/100)^0.25*(1+AO13/100)^0.25,(1+AO13/100)^0.5)</f>
        <v/>
      </c>
      <c r="AP21" s="11">
        <f>AO21*IF(Time!AP22=1,(1+AP15/100)^0.25*(1+AP13/100)^0.25,(1+AP13/100)^0.5)</f>
        <v/>
      </c>
      <c r="AQ21" s="11">
        <f>AP21*IF(Time!AQ22=1,(1+AQ15/100)^0.25*(1+AQ13/100)^0.25,(1+AQ13/100)^0.5)</f>
        <v/>
      </c>
      <c r="AR21" s="11">
        <f>AQ21*IF(Time!AR22=1,(1+AR15/100)^0.25*(1+AR13/100)^0.25,(1+AR13/100)^0.5)</f>
        <v/>
      </c>
      <c r="AS21" s="11">
        <f>AR21*IF(Time!AS22=1,(1+AS15/100)^0.25*(1+AS13/100)^0.25,(1+AS13/100)^0.5)</f>
        <v/>
      </c>
      <c r="AT21" s="11">
        <f>AS21*IF(Time!AT22=1,(1+AT15/100)^0.25*(1+AT13/100)^0.25,(1+AT13/100)^0.5)</f>
        <v/>
      </c>
      <c r="AU21" s="11">
        <f>AT21*IF(Time!AU22=1,(1+AU15/100)^0.25*(1+AU13/100)^0.25,(1+AU13/100)^0.5)</f>
        <v/>
      </c>
      <c r="AV21" s="11">
        <f>AU21*IF(Time!AV22=1,(1+AV15/100)^0.25*(1+AV13/100)^0.25,(1+AV13/100)^0.5)</f>
        <v/>
      </c>
      <c r="AW21" s="11">
        <f>AV21*IF(Time!AW22=1,(1+AW15/100)^0.25*(1+AW13/100)^0.25,(1+AW13/100)^0.5)</f>
        <v/>
      </c>
      <c r="AX21" s="11">
        <f>AW21*IF(Time!AX22=1,(1+AX15/100)^0.25*(1+AX13/100)^0.25,(1+AX13/100)^0.5)</f>
        <v/>
      </c>
      <c r="AY21" s="11">
        <f>AX21*IF(Time!AY22=1,(1+AY15/100)^0.25*(1+AY13/100)^0.25,(1+AY13/100)^0.5)</f>
        <v/>
      </c>
      <c r="AZ21" s="11">
        <f>AY21*IF(Time!AZ22=1,(1+AZ15/100)^0.25*(1+AZ13/100)^0.25,(1+AZ13/100)^0.5)</f>
        <v/>
      </c>
      <c r="BA21" s="11">
        <f>AZ21*IF(Time!BA22=1,(1+BA15/100)^0.25*(1+BA13/100)^0.25,(1+BA13/100)^0.5)</f>
        <v/>
      </c>
      <c r="BB21" s="11">
        <f>BA21*IF(Time!BB22=1,(1+BB15/100)^0.25*(1+BB13/100)^0.25,(1+BB13/100)^0.5)</f>
        <v/>
      </c>
      <c r="BC21" s="11">
        <f>BB21*IF(Time!BC22=1,(1+BC15/100)^0.25*(1+BC13/100)^0.25,(1+BC13/100)^0.5)</f>
        <v/>
      </c>
      <c r="BD21" s="11">
        <f>BC21*IF(Time!BD22=1,(1+BD15/100)^0.25*(1+BD13/100)^0.25,(1+BD13/100)^0.5)</f>
        <v/>
      </c>
      <c r="BE21" s="11">
        <f>BD21*IF(Time!BE22=1,(1+BE15/100)^0.25*(1+BE13/100)^0.25,(1+BE13/100)^0.5)</f>
        <v/>
      </c>
      <c r="BF21" s="11">
        <f>BE21*IF(Time!BF22=1,(1+BF15/100)^0.25*(1+BF13/100)^0.25,(1+BF13/100)^0.5)</f>
        <v/>
      </c>
      <c r="BG21" s="11">
        <f>BF21*IF(Time!BG22=1,(1+BG15/100)^0.25*(1+BG13/100)^0.25,(1+BG13/100)^0.5)</f>
        <v/>
      </c>
      <c r="BH21" s="11">
        <f>BG21*IF(Time!BH22=1,(1+BH15/100)^0.25*(1+BH13/100)^0.25,(1+BH13/100)^0.5)</f>
        <v/>
      </c>
      <c r="BI21" s="11">
        <f>BH21*IF(Time!BI22=1,(1+BI15/100)^0.25*(1+BI13/100)^0.25,(1+BI13/100)^0.5)</f>
        <v/>
      </c>
      <c r="BJ21" s="11">
        <f>BI21*IF(Time!BJ22=1,(1+BJ15/100)^0.25*(1+BJ13/100)^0.25,(1+BJ13/100)^0.5)</f>
        <v/>
      </c>
      <c r="BK21" s="11">
        <f>BJ21*IF(Time!BK22=1,(1+BK15/100)^0.25*(1+BK13/100)^0.25,(1+BK13/100)^0.5)</f>
        <v/>
      </c>
      <c r="BL21" s="11">
        <f>BK21*IF(Time!BL22=1,(1+BL15/100)^0.25*(1+BL13/100)^0.25,(1+BL13/100)^0.5)</f>
        <v/>
      </c>
      <c r="BM21" s="11">
        <f>BL21*IF(Time!BM22=1,(1+BM15/100)^0.25*(1+BM13/100)^0.25,(1+BM13/100)^0.5)</f>
        <v/>
      </c>
      <c r="BN21" s="11">
        <f>BM21*IF(Time!BN22=1,(1+BN15/100)^0.25*(1+BN13/100)^0.25,(1+BN13/100)^0.5)</f>
        <v/>
      </c>
    </row>
    <row r="22">
      <c r="D22" t="inlineStr">
        <is>
          <t>Kessara CPI index, tariff reading (3-month lag)</t>
        </is>
      </c>
      <c r="E22" t="inlineStr">
        <is>
          <t>index</t>
        </is>
      </c>
      <c r="J22" s="11">
        <f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(3/12)</f>
        <v/>
      </c>
      <c r="K22" s="11">
        <f>J21</f>
        <v/>
      </c>
      <c r="L22" s="11">
        <f>K21</f>
        <v/>
      </c>
      <c r="M22" s="11">
        <f>L21</f>
        <v/>
      </c>
      <c r="N22" s="11">
        <f>M21</f>
        <v/>
      </c>
      <c r="O22" s="11">
        <f>N21</f>
        <v/>
      </c>
      <c r="P22" s="11">
        <f>O21</f>
        <v/>
      </c>
      <c r="Q22" s="11">
        <f>P21</f>
        <v/>
      </c>
      <c r="R22" s="11">
        <f>Q21</f>
        <v/>
      </c>
      <c r="S22" s="11">
        <f>R21</f>
        <v/>
      </c>
      <c r="T22" s="11">
        <f>S21</f>
        <v/>
      </c>
      <c r="U22" s="11">
        <f>T21</f>
        <v/>
      </c>
      <c r="V22" s="11">
        <f>U21</f>
        <v/>
      </c>
      <c r="W22" s="11">
        <f>V21</f>
        <v/>
      </c>
      <c r="X22" s="11">
        <f>W21</f>
        <v/>
      </c>
      <c r="Y22" s="11">
        <f>X21</f>
        <v/>
      </c>
      <c r="Z22" s="11">
        <f>Y21</f>
        <v/>
      </c>
      <c r="AA22" s="11">
        <f>Z21</f>
        <v/>
      </c>
      <c r="AB22" s="11">
        <f>AA21</f>
        <v/>
      </c>
      <c r="AC22" s="11">
        <f>AB21</f>
        <v/>
      </c>
      <c r="AD22" s="11">
        <f>AC21</f>
        <v/>
      </c>
      <c r="AE22" s="11">
        <f>AD21</f>
        <v/>
      </c>
      <c r="AF22" s="11">
        <f>AE21</f>
        <v/>
      </c>
      <c r="AG22" s="11">
        <f>AF21</f>
        <v/>
      </c>
      <c r="AH22" s="11">
        <f>AG21</f>
        <v/>
      </c>
      <c r="AI22" s="11">
        <f>AH21</f>
        <v/>
      </c>
      <c r="AJ22" s="11">
        <f>AI21</f>
        <v/>
      </c>
      <c r="AK22" s="11">
        <f>AJ21</f>
        <v/>
      </c>
      <c r="AL22" s="11">
        <f>AK21</f>
        <v/>
      </c>
      <c r="AM22" s="11">
        <f>AL21</f>
        <v/>
      </c>
      <c r="AN22" s="11">
        <f>AM21</f>
        <v/>
      </c>
      <c r="AO22" s="11">
        <f>AN21</f>
        <v/>
      </c>
      <c r="AP22" s="11">
        <f>AO21</f>
        <v/>
      </c>
      <c r="AQ22" s="11">
        <f>AP21</f>
        <v/>
      </c>
      <c r="AR22" s="11">
        <f>AQ21</f>
        <v/>
      </c>
      <c r="AS22" s="11">
        <f>AR21</f>
        <v/>
      </c>
      <c r="AT22" s="11">
        <f>AS21</f>
        <v/>
      </c>
      <c r="AU22" s="11">
        <f>AT21</f>
        <v/>
      </c>
      <c r="AV22" s="11">
        <f>AU21</f>
        <v/>
      </c>
      <c r="AW22" s="11">
        <f>AV21</f>
        <v/>
      </c>
      <c r="AX22" s="11">
        <f>AW21</f>
        <v/>
      </c>
      <c r="AY22" s="11">
        <f>AX21</f>
        <v/>
      </c>
      <c r="AZ22" s="11">
        <f>AY21</f>
        <v/>
      </c>
      <c r="BA22" s="11">
        <f>AZ21</f>
        <v/>
      </c>
      <c r="BB22" s="11">
        <f>BA21</f>
        <v/>
      </c>
      <c r="BC22" s="11">
        <f>BB21</f>
        <v/>
      </c>
      <c r="BD22" s="11">
        <f>BC21</f>
        <v/>
      </c>
      <c r="BE22" s="11">
        <f>BD21</f>
        <v/>
      </c>
      <c r="BF22" s="11">
        <f>BE21</f>
        <v/>
      </c>
      <c r="BG22" s="11">
        <f>BF21</f>
        <v/>
      </c>
      <c r="BH22" s="11">
        <f>BG21</f>
        <v/>
      </c>
      <c r="BI22" s="11">
        <f>BH21</f>
        <v/>
      </c>
      <c r="BJ22" s="11">
        <f>BI21</f>
        <v/>
      </c>
      <c r="BK22" s="11">
        <f>BJ21</f>
        <v/>
      </c>
      <c r="BL22" s="11">
        <f>BK21</f>
        <v/>
      </c>
      <c r="BM22" s="11">
        <f>BL21</f>
        <v/>
      </c>
      <c r="BN22" s="11">
        <f>BM21</f>
        <v/>
      </c>
    </row>
    <row r="23">
      <c r="D23" t="inlineStr">
        <is>
          <t>Kessara cost indexation factor vs 2018 prices</t>
        </is>
      </c>
      <c r="E23" t="inlineStr">
        <is>
          <t>factor</t>
        </is>
      </c>
      <c r="J23" s="11">
        <f>J21/$F$20</f>
        <v/>
      </c>
      <c r="K23" s="11">
        <f>K21/$F$20</f>
        <v/>
      </c>
      <c r="L23" s="11">
        <f>L21/$F$20</f>
        <v/>
      </c>
      <c r="M23" s="11">
        <f>M21/$F$20</f>
        <v/>
      </c>
      <c r="N23" s="11">
        <f>N21/$F$20</f>
        <v/>
      </c>
      <c r="O23" s="11">
        <f>O21/$F$20</f>
        <v/>
      </c>
      <c r="P23" s="11">
        <f>P21/$F$20</f>
        <v/>
      </c>
      <c r="Q23" s="11">
        <f>Q21/$F$20</f>
        <v/>
      </c>
      <c r="R23" s="11">
        <f>R21/$F$20</f>
        <v/>
      </c>
      <c r="S23" s="11">
        <f>S21/$F$20</f>
        <v/>
      </c>
      <c r="T23" s="11">
        <f>T21/$F$20</f>
        <v/>
      </c>
      <c r="U23" s="11">
        <f>U21/$F$20</f>
        <v/>
      </c>
      <c r="V23" s="11">
        <f>V21/$F$20</f>
        <v/>
      </c>
      <c r="W23" s="11">
        <f>W21/$F$20</f>
        <v/>
      </c>
      <c r="X23" s="11">
        <f>X21/$F$20</f>
        <v/>
      </c>
      <c r="Y23" s="11">
        <f>Y21/$F$20</f>
        <v/>
      </c>
      <c r="Z23" s="11">
        <f>Z21/$F$20</f>
        <v/>
      </c>
      <c r="AA23" s="11">
        <f>AA21/$F$20</f>
        <v/>
      </c>
      <c r="AB23" s="11">
        <f>AB21/$F$20</f>
        <v/>
      </c>
      <c r="AC23" s="11">
        <f>AC21/$F$20</f>
        <v/>
      </c>
      <c r="AD23" s="11">
        <f>AD21/$F$20</f>
        <v/>
      </c>
      <c r="AE23" s="11">
        <f>AE21/$F$20</f>
        <v/>
      </c>
      <c r="AF23" s="11">
        <f>AF21/$F$20</f>
        <v/>
      </c>
      <c r="AG23" s="11">
        <f>AG21/$F$20</f>
        <v/>
      </c>
      <c r="AH23" s="11">
        <f>AH21/$F$20</f>
        <v/>
      </c>
      <c r="AI23" s="11">
        <f>AI21/$F$20</f>
        <v/>
      </c>
      <c r="AJ23" s="11">
        <f>AJ21/$F$20</f>
        <v/>
      </c>
      <c r="AK23" s="11">
        <f>AK21/$F$20</f>
        <v/>
      </c>
      <c r="AL23" s="11">
        <f>AL21/$F$20</f>
        <v/>
      </c>
      <c r="AM23" s="11">
        <f>AM21/$F$20</f>
        <v/>
      </c>
      <c r="AN23" s="11">
        <f>AN21/$F$20</f>
        <v/>
      </c>
      <c r="AO23" s="11">
        <f>AO21/$F$20</f>
        <v/>
      </c>
      <c r="AP23" s="11">
        <f>AP21/$F$20</f>
        <v/>
      </c>
      <c r="AQ23" s="11">
        <f>AQ21/$F$20</f>
        <v/>
      </c>
      <c r="AR23" s="11">
        <f>AR21/$F$20</f>
        <v/>
      </c>
      <c r="AS23" s="11">
        <f>AS21/$F$20</f>
        <v/>
      </c>
      <c r="AT23" s="11">
        <f>AT21/$F$20</f>
        <v/>
      </c>
      <c r="AU23" s="11">
        <f>AU21/$F$20</f>
        <v/>
      </c>
      <c r="AV23" s="11">
        <f>AV21/$F$20</f>
        <v/>
      </c>
      <c r="AW23" s="11">
        <f>AW21/$F$20</f>
        <v/>
      </c>
      <c r="AX23" s="11">
        <f>AX21/$F$20</f>
        <v/>
      </c>
      <c r="AY23" s="11">
        <f>AY21/$F$20</f>
        <v/>
      </c>
      <c r="AZ23" s="11">
        <f>AZ21/$F$20</f>
        <v/>
      </c>
      <c r="BA23" s="11">
        <f>BA21/$F$20</f>
        <v/>
      </c>
      <c r="BB23" s="11">
        <f>BB21/$F$20</f>
        <v/>
      </c>
      <c r="BC23" s="11">
        <f>BC21/$F$20</f>
        <v/>
      </c>
      <c r="BD23" s="11">
        <f>BD21/$F$20</f>
        <v/>
      </c>
      <c r="BE23" s="11">
        <f>BE21/$F$20</f>
        <v/>
      </c>
      <c r="BF23" s="11">
        <f>BF21/$F$20</f>
        <v/>
      </c>
      <c r="BG23" s="11">
        <f>BG21/$F$20</f>
        <v/>
      </c>
      <c r="BH23" s="11">
        <f>BH21/$F$20</f>
        <v/>
      </c>
      <c r="BI23" s="11">
        <f>BI21/$F$20</f>
        <v/>
      </c>
      <c r="BJ23" s="11">
        <f>BJ21/$F$20</f>
        <v/>
      </c>
      <c r="BK23" s="11">
        <f>BK21/$F$20</f>
        <v/>
      </c>
      <c r="BL23" s="11">
        <f>BL21/$F$20</f>
        <v/>
      </c>
      <c r="BM23" s="11">
        <f>BM21/$F$20</f>
        <v/>
      </c>
      <c r="BN23" s="11">
        <f>BN21/$F$20</f>
        <v/>
      </c>
    </row>
    <row r="24">
      <c r="B24" s="2" t="inlineStr">
        <is>
          <t>Plant</t>
        </is>
      </c>
    </row>
    <row r="25">
      <c r="D25" t="inlineStr">
        <is>
          <t>Operating year at period start</t>
        </is>
      </c>
      <c r="E25" t="inlineStr">
        <is>
          <t>OY</t>
        </is>
      </c>
      <c r="J25" s="9">
        <f>INT(Time!J27/12)+1</f>
        <v/>
      </c>
      <c r="K25" s="9">
        <f>INT(Time!K27/12)+1</f>
        <v/>
      </c>
      <c r="L25" s="9">
        <f>INT(Time!L27/12)+1</f>
        <v/>
      </c>
      <c r="M25" s="9">
        <f>INT(Time!M27/12)+1</f>
        <v/>
      </c>
      <c r="N25" s="9">
        <f>INT(Time!N27/12)+1</f>
        <v/>
      </c>
      <c r="O25" s="9">
        <f>INT(Time!O27/12)+1</f>
        <v/>
      </c>
      <c r="P25" s="9">
        <f>INT(Time!P27/12)+1</f>
        <v/>
      </c>
      <c r="Q25" s="9">
        <f>INT(Time!Q27/12)+1</f>
        <v/>
      </c>
      <c r="R25" s="9">
        <f>INT(Time!R27/12)+1</f>
        <v/>
      </c>
      <c r="S25" s="9">
        <f>INT(Time!S27/12)+1</f>
        <v/>
      </c>
      <c r="T25" s="9">
        <f>INT(Time!T27/12)+1</f>
        <v/>
      </c>
      <c r="U25" s="9">
        <f>INT(Time!U27/12)+1</f>
        <v/>
      </c>
      <c r="V25" s="9">
        <f>INT(Time!V27/12)+1</f>
        <v/>
      </c>
      <c r="W25" s="9">
        <f>INT(Time!W27/12)+1</f>
        <v/>
      </c>
      <c r="X25" s="9">
        <f>INT(Time!X27/12)+1</f>
        <v/>
      </c>
      <c r="Y25" s="9">
        <f>INT(Time!Y27/12)+1</f>
        <v/>
      </c>
      <c r="Z25" s="9">
        <f>INT(Time!Z27/12)+1</f>
        <v/>
      </c>
      <c r="AA25" s="9">
        <f>INT(Time!AA27/12)+1</f>
        <v/>
      </c>
      <c r="AB25" s="9">
        <f>INT(Time!AB27/12)+1</f>
        <v/>
      </c>
      <c r="AC25" s="9">
        <f>INT(Time!AC27/12)+1</f>
        <v/>
      </c>
      <c r="AD25" s="9">
        <f>INT(Time!AD27/12)+1</f>
        <v/>
      </c>
      <c r="AE25" s="9">
        <f>INT(Time!AE27/12)+1</f>
        <v/>
      </c>
      <c r="AF25" s="9">
        <f>INT(Time!AF27/12)+1</f>
        <v/>
      </c>
      <c r="AG25" s="9">
        <f>INT(Time!AG27/12)+1</f>
        <v/>
      </c>
      <c r="AH25" s="9">
        <f>INT(Time!AH27/12)+1</f>
        <v/>
      </c>
      <c r="AI25" s="9">
        <f>INT(Time!AI27/12)+1</f>
        <v/>
      </c>
      <c r="AJ25" s="9">
        <f>INT(Time!AJ27/12)+1</f>
        <v/>
      </c>
      <c r="AK25" s="9">
        <f>INT(Time!AK27/12)+1</f>
        <v/>
      </c>
      <c r="AL25" s="9">
        <f>INT(Time!AL27/12)+1</f>
        <v/>
      </c>
      <c r="AM25" s="9">
        <f>INT(Time!AM27/12)+1</f>
        <v/>
      </c>
      <c r="AN25" s="9">
        <f>INT(Time!AN27/12)+1</f>
        <v/>
      </c>
      <c r="AO25" s="9">
        <f>INT(Time!AO27/12)+1</f>
        <v/>
      </c>
      <c r="AP25" s="9">
        <f>INT(Time!AP27/12)+1</f>
        <v/>
      </c>
      <c r="AQ25" s="9">
        <f>INT(Time!AQ27/12)+1</f>
        <v/>
      </c>
      <c r="AR25" s="9">
        <f>INT(Time!AR27/12)+1</f>
        <v/>
      </c>
      <c r="AS25" s="9">
        <f>INT(Time!AS27/12)+1</f>
        <v/>
      </c>
      <c r="AT25" s="9">
        <f>INT(Time!AT27/12)+1</f>
        <v/>
      </c>
      <c r="AU25" s="9">
        <f>INT(Time!AU27/12)+1</f>
        <v/>
      </c>
      <c r="AV25" s="9">
        <f>INT(Time!AV27/12)+1</f>
        <v/>
      </c>
      <c r="AW25" s="9">
        <f>INT(Time!AW27/12)+1</f>
        <v/>
      </c>
      <c r="AX25" s="9">
        <f>INT(Time!AX27/12)+1</f>
        <v/>
      </c>
      <c r="AY25" s="9">
        <f>INT(Time!AY27/12)+1</f>
        <v/>
      </c>
      <c r="AZ25" s="9">
        <f>INT(Time!AZ27/12)+1</f>
        <v/>
      </c>
      <c r="BA25" s="9">
        <f>INT(Time!BA27/12)+1</f>
        <v/>
      </c>
      <c r="BB25" s="9">
        <f>INT(Time!BB27/12)+1</f>
        <v/>
      </c>
      <c r="BC25" s="9">
        <f>INT(Time!BC27/12)+1</f>
        <v/>
      </c>
      <c r="BD25" s="9">
        <f>INT(Time!BD27/12)+1</f>
        <v/>
      </c>
      <c r="BE25" s="9">
        <f>INT(Time!BE27/12)+1</f>
        <v/>
      </c>
      <c r="BF25" s="9">
        <f>INT(Time!BF27/12)+1</f>
        <v/>
      </c>
      <c r="BG25" s="9">
        <f>INT(Time!BG27/12)+1</f>
        <v/>
      </c>
      <c r="BH25" s="9">
        <f>INT(Time!BH27/12)+1</f>
        <v/>
      </c>
      <c r="BI25" s="9">
        <f>INT(Time!BI27/12)+1</f>
        <v/>
      </c>
      <c r="BJ25" s="9">
        <f>INT(Time!BJ27/12)+1</f>
        <v/>
      </c>
      <c r="BK25" s="9">
        <f>INT(Time!BK27/12)+1</f>
        <v/>
      </c>
      <c r="BL25" s="9">
        <f>INT(Time!BL27/12)+1</f>
        <v/>
      </c>
      <c r="BM25" s="9">
        <f>INT(Time!BM27/12)+1</f>
        <v/>
      </c>
      <c r="BN25" s="9">
        <f>INT(Time!BN27/12)+1</f>
        <v/>
      </c>
    </row>
    <row r="26">
      <c r="D26" t="inlineStr">
        <is>
          <t>Months in that operating year</t>
        </is>
      </c>
      <c r="E26" t="inlineStr">
        <is>
          <t>months</t>
        </is>
      </c>
      <c r="J26" s="9">
        <f>MIN(Time!J28,J25*12)-Time!J27</f>
        <v/>
      </c>
      <c r="K26" s="9">
        <f>MIN(Time!K28,K25*12)-Time!K27</f>
        <v/>
      </c>
      <c r="L26" s="9">
        <f>MIN(Time!L28,L25*12)-Time!L27</f>
        <v/>
      </c>
      <c r="M26" s="9">
        <f>MIN(Time!M28,M25*12)-Time!M27</f>
        <v/>
      </c>
      <c r="N26" s="9">
        <f>MIN(Time!N28,N25*12)-Time!N27</f>
        <v/>
      </c>
      <c r="O26" s="9">
        <f>MIN(Time!O28,O25*12)-Time!O27</f>
        <v/>
      </c>
      <c r="P26" s="9">
        <f>MIN(Time!P28,P25*12)-Time!P27</f>
        <v/>
      </c>
      <c r="Q26" s="9">
        <f>MIN(Time!Q28,Q25*12)-Time!Q27</f>
        <v/>
      </c>
      <c r="R26" s="9">
        <f>MIN(Time!R28,R25*12)-Time!R27</f>
        <v/>
      </c>
      <c r="S26" s="9">
        <f>MIN(Time!S28,S25*12)-Time!S27</f>
        <v/>
      </c>
      <c r="T26" s="9">
        <f>MIN(Time!T28,T25*12)-Time!T27</f>
        <v/>
      </c>
      <c r="U26" s="9">
        <f>MIN(Time!U28,U25*12)-Time!U27</f>
        <v/>
      </c>
      <c r="V26" s="9">
        <f>MIN(Time!V28,V25*12)-Time!V27</f>
        <v/>
      </c>
      <c r="W26" s="9">
        <f>MIN(Time!W28,W25*12)-Time!W27</f>
        <v/>
      </c>
      <c r="X26" s="9">
        <f>MIN(Time!X28,X25*12)-Time!X27</f>
        <v/>
      </c>
      <c r="Y26" s="9">
        <f>MIN(Time!Y28,Y25*12)-Time!Y27</f>
        <v/>
      </c>
      <c r="Z26" s="9">
        <f>MIN(Time!Z28,Z25*12)-Time!Z27</f>
        <v/>
      </c>
      <c r="AA26" s="9">
        <f>MIN(Time!AA28,AA25*12)-Time!AA27</f>
        <v/>
      </c>
      <c r="AB26" s="9">
        <f>MIN(Time!AB28,AB25*12)-Time!AB27</f>
        <v/>
      </c>
      <c r="AC26" s="9">
        <f>MIN(Time!AC28,AC25*12)-Time!AC27</f>
        <v/>
      </c>
      <c r="AD26" s="9">
        <f>MIN(Time!AD28,AD25*12)-Time!AD27</f>
        <v/>
      </c>
      <c r="AE26" s="9">
        <f>MIN(Time!AE28,AE25*12)-Time!AE27</f>
        <v/>
      </c>
      <c r="AF26" s="9">
        <f>MIN(Time!AF28,AF25*12)-Time!AF27</f>
        <v/>
      </c>
      <c r="AG26" s="9">
        <f>MIN(Time!AG28,AG25*12)-Time!AG27</f>
        <v/>
      </c>
      <c r="AH26" s="9">
        <f>MIN(Time!AH28,AH25*12)-Time!AH27</f>
        <v/>
      </c>
      <c r="AI26" s="9">
        <f>MIN(Time!AI28,AI25*12)-Time!AI27</f>
        <v/>
      </c>
      <c r="AJ26" s="9">
        <f>MIN(Time!AJ28,AJ25*12)-Time!AJ27</f>
        <v/>
      </c>
      <c r="AK26" s="9">
        <f>MIN(Time!AK28,AK25*12)-Time!AK27</f>
        <v/>
      </c>
      <c r="AL26" s="9">
        <f>MIN(Time!AL28,AL25*12)-Time!AL27</f>
        <v/>
      </c>
      <c r="AM26" s="9">
        <f>MIN(Time!AM28,AM25*12)-Time!AM27</f>
        <v/>
      </c>
      <c r="AN26" s="9">
        <f>MIN(Time!AN28,AN25*12)-Time!AN27</f>
        <v/>
      </c>
      <c r="AO26" s="9">
        <f>MIN(Time!AO28,AO25*12)-Time!AO27</f>
        <v/>
      </c>
      <c r="AP26" s="9">
        <f>MIN(Time!AP28,AP25*12)-Time!AP27</f>
        <v/>
      </c>
      <c r="AQ26" s="9">
        <f>MIN(Time!AQ28,AQ25*12)-Time!AQ27</f>
        <v/>
      </c>
      <c r="AR26" s="9">
        <f>MIN(Time!AR28,AR25*12)-Time!AR27</f>
        <v/>
      </c>
      <c r="AS26" s="9">
        <f>MIN(Time!AS28,AS25*12)-Time!AS27</f>
        <v/>
      </c>
      <c r="AT26" s="9">
        <f>MIN(Time!AT28,AT25*12)-Time!AT27</f>
        <v/>
      </c>
      <c r="AU26" s="9">
        <f>MIN(Time!AU28,AU25*12)-Time!AU27</f>
        <v/>
      </c>
      <c r="AV26" s="9">
        <f>MIN(Time!AV28,AV25*12)-Time!AV27</f>
        <v/>
      </c>
      <c r="AW26" s="9">
        <f>MIN(Time!AW28,AW25*12)-Time!AW27</f>
        <v/>
      </c>
      <c r="AX26" s="9">
        <f>MIN(Time!AX28,AX25*12)-Time!AX27</f>
        <v/>
      </c>
      <c r="AY26" s="9">
        <f>MIN(Time!AY28,AY25*12)-Time!AY27</f>
        <v/>
      </c>
      <c r="AZ26" s="9">
        <f>MIN(Time!AZ28,AZ25*12)-Time!AZ27</f>
        <v/>
      </c>
      <c r="BA26" s="9">
        <f>MIN(Time!BA28,BA25*12)-Time!BA27</f>
        <v/>
      </c>
      <c r="BB26" s="9">
        <f>MIN(Time!BB28,BB25*12)-Time!BB27</f>
        <v/>
      </c>
      <c r="BC26" s="9">
        <f>MIN(Time!BC28,BC25*12)-Time!BC27</f>
        <v/>
      </c>
      <c r="BD26" s="9">
        <f>MIN(Time!BD28,BD25*12)-Time!BD27</f>
        <v/>
      </c>
      <c r="BE26" s="9">
        <f>MIN(Time!BE28,BE25*12)-Time!BE27</f>
        <v/>
      </c>
      <c r="BF26" s="9">
        <f>MIN(Time!BF28,BF25*12)-Time!BF27</f>
        <v/>
      </c>
      <c r="BG26" s="9">
        <f>MIN(Time!BG28,BG25*12)-Time!BG27</f>
        <v/>
      </c>
      <c r="BH26" s="9">
        <f>MIN(Time!BH28,BH25*12)-Time!BH27</f>
        <v/>
      </c>
      <c r="BI26" s="9">
        <f>MIN(Time!BI28,BI25*12)-Time!BI27</f>
        <v/>
      </c>
      <c r="BJ26" s="9">
        <f>MIN(Time!BJ28,BJ25*12)-Time!BJ27</f>
        <v/>
      </c>
      <c r="BK26" s="9">
        <f>MIN(Time!BK28,BK25*12)-Time!BK27</f>
        <v/>
      </c>
      <c r="BL26" s="9">
        <f>MIN(Time!BL28,BL25*12)-Time!BL27</f>
        <v/>
      </c>
      <c r="BM26" s="9">
        <f>MIN(Time!BM28,BM25*12)-Time!BM27</f>
        <v/>
      </c>
      <c r="BN26" s="9">
        <f>MIN(Time!BN28,BN25*12)-Time!BN27</f>
        <v/>
      </c>
    </row>
    <row r="27">
      <c r="D27" t="inlineStr">
        <is>
          <t>Availability, profile (month-weighted)</t>
        </is>
      </c>
      <c r="E27" t="inlineStr">
        <is>
          <t>%</t>
        </is>
      </c>
      <c r="J27" s="11">
        <f>IF(Time!J25&gt;0,(J26*INDEX(Inputs!$J$223:$Q$223,1,MOD(J25-1,8)+1)+(Time!J25-J26)*INDEX(Inputs!$J$223:$Q$223,1,MOD(J25,8)+1))/Time!J25,0)</f>
        <v/>
      </c>
      <c r="K27" s="11">
        <f>IF(Time!K25&gt;0,(K26*INDEX(Inputs!$J$223:$Q$223,1,MOD(K25-1,8)+1)+(Time!K25-K26)*INDEX(Inputs!$J$223:$Q$223,1,MOD(K25,8)+1))/Time!K25,0)</f>
        <v/>
      </c>
      <c r="L27" s="11">
        <f>IF(Time!L25&gt;0,(L26*INDEX(Inputs!$J$223:$Q$223,1,MOD(L25-1,8)+1)+(Time!L25-L26)*INDEX(Inputs!$J$223:$Q$223,1,MOD(L25,8)+1))/Time!L25,0)</f>
        <v/>
      </c>
      <c r="M27" s="11">
        <f>IF(Time!M25&gt;0,(M26*INDEX(Inputs!$J$223:$Q$223,1,MOD(M25-1,8)+1)+(Time!M25-M26)*INDEX(Inputs!$J$223:$Q$223,1,MOD(M25,8)+1))/Time!M25,0)</f>
        <v/>
      </c>
      <c r="N27" s="11">
        <f>IF(Time!N25&gt;0,(N26*INDEX(Inputs!$J$223:$Q$223,1,MOD(N25-1,8)+1)+(Time!N25-N26)*INDEX(Inputs!$J$223:$Q$223,1,MOD(N25,8)+1))/Time!N25,0)</f>
        <v/>
      </c>
      <c r="O27" s="11">
        <f>IF(Time!O25&gt;0,(O26*INDEX(Inputs!$J$223:$Q$223,1,MOD(O25-1,8)+1)+(Time!O25-O26)*INDEX(Inputs!$J$223:$Q$223,1,MOD(O25,8)+1))/Time!O25,0)</f>
        <v/>
      </c>
      <c r="P27" s="11">
        <f>IF(Time!P25&gt;0,(P26*INDEX(Inputs!$J$223:$Q$223,1,MOD(P25-1,8)+1)+(Time!P25-P26)*INDEX(Inputs!$J$223:$Q$223,1,MOD(P25,8)+1))/Time!P25,0)</f>
        <v/>
      </c>
      <c r="Q27" s="11">
        <f>IF(Time!Q25&gt;0,(Q26*INDEX(Inputs!$J$223:$Q$223,1,MOD(Q25-1,8)+1)+(Time!Q25-Q26)*INDEX(Inputs!$J$223:$Q$223,1,MOD(Q25,8)+1))/Time!Q25,0)</f>
        <v/>
      </c>
      <c r="R27" s="11">
        <f>IF(Time!R25&gt;0,(R26*INDEX(Inputs!$J$223:$Q$223,1,MOD(R25-1,8)+1)+(Time!R25-R26)*INDEX(Inputs!$J$223:$Q$223,1,MOD(R25,8)+1))/Time!R25,0)</f>
        <v/>
      </c>
      <c r="S27" s="11">
        <f>IF(Time!S25&gt;0,(S26*INDEX(Inputs!$J$223:$Q$223,1,MOD(S25-1,8)+1)+(Time!S25-S26)*INDEX(Inputs!$J$223:$Q$223,1,MOD(S25,8)+1))/Time!S25,0)</f>
        <v/>
      </c>
      <c r="T27" s="11">
        <f>IF(Time!T25&gt;0,(T26*INDEX(Inputs!$J$223:$Q$223,1,MOD(T25-1,8)+1)+(Time!T25-T26)*INDEX(Inputs!$J$223:$Q$223,1,MOD(T25,8)+1))/Time!T25,0)</f>
        <v/>
      </c>
      <c r="U27" s="11">
        <f>IF(Time!U25&gt;0,(U26*INDEX(Inputs!$J$223:$Q$223,1,MOD(U25-1,8)+1)+(Time!U25-U26)*INDEX(Inputs!$J$223:$Q$223,1,MOD(U25,8)+1))/Time!U25,0)</f>
        <v/>
      </c>
      <c r="V27" s="11">
        <f>IF(Time!V25&gt;0,(V26*INDEX(Inputs!$J$223:$Q$223,1,MOD(V25-1,8)+1)+(Time!V25-V26)*INDEX(Inputs!$J$223:$Q$223,1,MOD(V25,8)+1))/Time!V25,0)</f>
        <v/>
      </c>
      <c r="W27" s="11">
        <f>IF(Time!W25&gt;0,(W26*INDEX(Inputs!$J$223:$Q$223,1,MOD(W25-1,8)+1)+(Time!W25-W26)*INDEX(Inputs!$J$223:$Q$223,1,MOD(W25,8)+1))/Time!W25,0)</f>
        <v/>
      </c>
      <c r="X27" s="11">
        <f>IF(Time!X25&gt;0,(X26*INDEX(Inputs!$J$223:$Q$223,1,MOD(X25-1,8)+1)+(Time!X25-X26)*INDEX(Inputs!$J$223:$Q$223,1,MOD(X25,8)+1))/Time!X25,0)</f>
        <v/>
      </c>
      <c r="Y27" s="11">
        <f>IF(Time!Y25&gt;0,(Y26*INDEX(Inputs!$J$223:$Q$223,1,MOD(Y25-1,8)+1)+(Time!Y25-Y26)*INDEX(Inputs!$J$223:$Q$223,1,MOD(Y25,8)+1))/Time!Y25,0)</f>
        <v/>
      </c>
      <c r="Z27" s="11">
        <f>IF(Time!Z25&gt;0,(Z26*INDEX(Inputs!$J$223:$Q$223,1,MOD(Z25-1,8)+1)+(Time!Z25-Z26)*INDEX(Inputs!$J$223:$Q$223,1,MOD(Z25,8)+1))/Time!Z25,0)</f>
        <v/>
      </c>
      <c r="AA27" s="11">
        <f>IF(Time!AA25&gt;0,(AA26*INDEX(Inputs!$J$223:$Q$223,1,MOD(AA25-1,8)+1)+(Time!AA25-AA26)*INDEX(Inputs!$J$223:$Q$223,1,MOD(AA25,8)+1))/Time!AA25,0)</f>
        <v/>
      </c>
      <c r="AB27" s="11">
        <f>IF(Time!AB25&gt;0,(AB26*INDEX(Inputs!$J$223:$Q$223,1,MOD(AB25-1,8)+1)+(Time!AB25-AB26)*INDEX(Inputs!$J$223:$Q$223,1,MOD(AB25,8)+1))/Time!AB25,0)</f>
        <v/>
      </c>
      <c r="AC27" s="11">
        <f>IF(Time!AC25&gt;0,(AC26*INDEX(Inputs!$J$223:$Q$223,1,MOD(AC25-1,8)+1)+(Time!AC25-AC26)*INDEX(Inputs!$J$223:$Q$223,1,MOD(AC25,8)+1))/Time!AC25,0)</f>
        <v/>
      </c>
      <c r="AD27" s="11">
        <f>IF(Time!AD25&gt;0,(AD26*INDEX(Inputs!$J$223:$Q$223,1,MOD(AD25-1,8)+1)+(Time!AD25-AD26)*INDEX(Inputs!$J$223:$Q$223,1,MOD(AD25,8)+1))/Time!AD25,0)</f>
        <v/>
      </c>
      <c r="AE27" s="11">
        <f>IF(Time!AE25&gt;0,(AE26*INDEX(Inputs!$J$223:$Q$223,1,MOD(AE25-1,8)+1)+(Time!AE25-AE26)*INDEX(Inputs!$J$223:$Q$223,1,MOD(AE25,8)+1))/Time!AE25,0)</f>
        <v/>
      </c>
      <c r="AF27" s="11">
        <f>IF(Time!AF25&gt;0,(AF26*INDEX(Inputs!$J$223:$Q$223,1,MOD(AF25-1,8)+1)+(Time!AF25-AF26)*INDEX(Inputs!$J$223:$Q$223,1,MOD(AF25,8)+1))/Time!AF25,0)</f>
        <v/>
      </c>
      <c r="AG27" s="11">
        <f>IF(Time!AG25&gt;0,(AG26*INDEX(Inputs!$J$223:$Q$223,1,MOD(AG25-1,8)+1)+(Time!AG25-AG26)*INDEX(Inputs!$J$223:$Q$223,1,MOD(AG25,8)+1))/Time!AG25,0)</f>
        <v/>
      </c>
      <c r="AH27" s="11">
        <f>IF(Time!AH25&gt;0,(AH26*INDEX(Inputs!$J$223:$Q$223,1,MOD(AH25-1,8)+1)+(Time!AH25-AH26)*INDEX(Inputs!$J$223:$Q$223,1,MOD(AH25,8)+1))/Time!AH25,0)</f>
        <v/>
      </c>
      <c r="AI27" s="11">
        <f>IF(Time!AI25&gt;0,(AI26*INDEX(Inputs!$J$223:$Q$223,1,MOD(AI25-1,8)+1)+(Time!AI25-AI26)*INDEX(Inputs!$J$223:$Q$223,1,MOD(AI25,8)+1))/Time!AI25,0)</f>
        <v/>
      </c>
      <c r="AJ27" s="11">
        <f>IF(Time!AJ25&gt;0,(AJ26*INDEX(Inputs!$J$223:$Q$223,1,MOD(AJ25-1,8)+1)+(Time!AJ25-AJ26)*INDEX(Inputs!$J$223:$Q$223,1,MOD(AJ25,8)+1))/Time!AJ25,0)</f>
        <v/>
      </c>
      <c r="AK27" s="11">
        <f>IF(Time!AK25&gt;0,(AK26*INDEX(Inputs!$J$223:$Q$223,1,MOD(AK25-1,8)+1)+(Time!AK25-AK26)*INDEX(Inputs!$J$223:$Q$223,1,MOD(AK25,8)+1))/Time!AK25,0)</f>
        <v/>
      </c>
      <c r="AL27" s="11">
        <f>IF(Time!AL25&gt;0,(AL26*INDEX(Inputs!$J$223:$Q$223,1,MOD(AL25-1,8)+1)+(Time!AL25-AL26)*INDEX(Inputs!$J$223:$Q$223,1,MOD(AL25,8)+1))/Time!AL25,0)</f>
        <v/>
      </c>
      <c r="AM27" s="11">
        <f>IF(Time!AM25&gt;0,(AM26*INDEX(Inputs!$J$223:$Q$223,1,MOD(AM25-1,8)+1)+(Time!AM25-AM26)*INDEX(Inputs!$J$223:$Q$223,1,MOD(AM25,8)+1))/Time!AM25,0)</f>
        <v/>
      </c>
      <c r="AN27" s="11">
        <f>IF(Time!AN25&gt;0,(AN26*INDEX(Inputs!$J$223:$Q$223,1,MOD(AN25-1,8)+1)+(Time!AN25-AN26)*INDEX(Inputs!$J$223:$Q$223,1,MOD(AN25,8)+1))/Time!AN25,0)</f>
        <v/>
      </c>
      <c r="AO27" s="11">
        <f>IF(Time!AO25&gt;0,(AO26*INDEX(Inputs!$J$223:$Q$223,1,MOD(AO25-1,8)+1)+(Time!AO25-AO26)*INDEX(Inputs!$J$223:$Q$223,1,MOD(AO25,8)+1))/Time!AO25,0)</f>
        <v/>
      </c>
      <c r="AP27" s="11">
        <f>IF(Time!AP25&gt;0,(AP26*INDEX(Inputs!$J$223:$Q$223,1,MOD(AP25-1,8)+1)+(Time!AP25-AP26)*INDEX(Inputs!$J$223:$Q$223,1,MOD(AP25,8)+1))/Time!AP25,0)</f>
        <v/>
      </c>
      <c r="AQ27" s="11">
        <f>IF(Time!AQ25&gt;0,(AQ26*INDEX(Inputs!$J$223:$Q$223,1,MOD(AQ25-1,8)+1)+(Time!AQ25-AQ26)*INDEX(Inputs!$J$223:$Q$223,1,MOD(AQ25,8)+1))/Time!AQ25,0)</f>
        <v/>
      </c>
      <c r="AR27" s="11">
        <f>IF(Time!AR25&gt;0,(AR26*INDEX(Inputs!$J$223:$Q$223,1,MOD(AR25-1,8)+1)+(Time!AR25-AR26)*INDEX(Inputs!$J$223:$Q$223,1,MOD(AR25,8)+1))/Time!AR25,0)</f>
        <v/>
      </c>
      <c r="AS27" s="11">
        <f>IF(Time!AS25&gt;0,(AS26*INDEX(Inputs!$J$223:$Q$223,1,MOD(AS25-1,8)+1)+(Time!AS25-AS26)*INDEX(Inputs!$J$223:$Q$223,1,MOD(AS25,8)+1))/Time!AS25,0)</f>
        <v/>
      </c>
      <c r="AT27" s="11">
        <f>IF(Time!AT25&gt;0,(AT26*INDEX(Inputs!$J$223:$Q$223,1,MOD(AT25-1,8)+1)+(Time!AT25-AT26)*INDEX(Inputs!$J$223:$Q$223,1,MOD(AT25,8)+1))/Time!AT25,0)</f>
        <v/>
      </c>
      <c r="AU27" s="11">
        <f>IF(Time!AU25&gt;0,(AU26*INDEX(Inputs!$J$223:$Q$223,1,MOD(AU25-1,8)+1)+(Time!AU25-AU26)*INDEX(Inputs!$J$223:$Q$223,1,MOD(AU25,8)+1))/Time!AU25,0)</f>
        <v/>
      </c>
      <c r="AV27" s="11">
        <f>IF(Time!AV25&gt;0,(AV26*INDEX(Inputs!$J$223:$Q$223,1,MOD(AV25-1,8)+1)+(Time!AV25-AV26)*INDEX(Inputs!$J$223:$Q$223,1,MOD(AV25,8)+1))/Time!AV25,0)</f>
        <v/>
      </c>
      <c r="AW27" s="11">
        <f>IF(Time!AW25&gt;0,(AW26*INDEX(Inputs!$J$223:$Q$223,1,MOD(AW25-1,8)+1)+(Time!AW25-AW26)*INDEX(Inputs!$J$223:$Q$223,1,MOD(AW25,8)+1))/Time!AW25,0)</f>
        <v/>
      </c>
      <c r="AX27" s="11">
        <f>IF(Time!AX25&gt;0,(AX26*INDEX(Inputs!$J$223:$Q$223,1,MOD(AX25-1,8)+1)+(Time!AX25-AX26)*INDEX(Inputs!$J$223:$Q$223,1,MOD(AX25,8)+1))/Time!AX25,0)</f>
        <v/>
      </c>
      <c r="AY27" s="11">
        <f>IF(Time!AY25&gt;0,(AY26*INDEX(Inputs!$J$223:$Q$223,1,MOD(AY25-1,8)+1)+(Time!AY25-AY26)*INDEX(Inputs!$J$223:$Q$223,1,MOD(AY25,8)+1))/Time!AY25,0)</f>
        <v/>
      </c>
      <c r="AZ27" s="11">
        <f>IF(Time!AZ25&gt;0,(AZ26*INDEX(Inputs!$J$223:$Q$223,1,MOD(AZ25-1,8)+1)+(Time!AZ25-AZ26)*INDEX(Inputs!$J$223:$Q$223,1,MOD(AZ25,8)+1))/Time!AZ25,0)</f>
        <v/>
      </c>
      <c r="BA27" s="11">
        <f>IF(Time!BA25&gt;0,(BA26*INDEX(Inputs!$J$223:$Q$223,1,MOD(BA25-1,8)+1)+(Time!BA25-BA26)*INDEX(Inputs!$J$223:$Q$223,1,MOD(BA25,8)+1))/Time!BA25,0)</f>
        <v/>
      </c>
      <c r="BB27" s="11">
        <f>IF(Time!BB25&gt;0,(BB26*INDEX(Inputs!$J$223:$Q$223,1,MOD(BB25-1,8)+1)+(Time!BB25-BB26)*INDEX(Inputs!$J$223:$Q$223,1,MOD(BB25,8)+1))/Time!BB25,0)</f>
        <v/>
      </c>
      <c r="BC27" s="11">
        <f>IF(Time!BC25&gt;0,(BC26*INDEX(Inputs!$J$223:$Q$223,1,MOD(BC25-1,8)+1)+(Time!BC25-BC26)*INDEX(Inputs!$J$223:$Q$223,1,MOD(BC25,8)+1))/Time!BC25,0)</f>
        <v/>
      </c>
      <c r="BD27" s="11">
        <f>IF(Time!BD25&gt;0,(BD26*INDEX(Inputs!$J$223:$Q$223,1,MOD(BD25-1,8)+1)+(Time!BD25-BD26)*INDEX(Inputs!$J$223:$Q$223,1,MOD(BD25,8)+1))/Time!BD25,0)</f>
        <v/>
      </c>
      <c r="BE27" s="11">
        <f>IF(Time!BE25&gt;0,(BE26*INDEX(Inputs!$J$223:$Q$223,1,MOD(BE25-1,8)+1)+(Time!BE25-BE26)*INDEX(Inputs!$J$223:$Q$223,1,MOD(BE25,8)+1))/Time!BE25,0)</f>
        <v/>
      </c>
      <c r="BF27" s="11">
        <f>IF(Time!BF25&gt;0,(BF26*INDEX(Inputs!$J$223:$Q$223,1,MOD(BF25-1,8)+1)+(Time!BF25-BF26)*INDEX(Inputs!$J$223:$Q$223,1,MOD(BF25,8)+1))/Time!BF25,0)</f>
        <v/>
      </c>
      <c r="BG27" s="11">
        <f>IF(Time!BG25&gt;0,(BG26*INDEX(Inputs!$J$223:$Q$223,1,MOD(BG25-1,8)+1)+(Time!BG25-BG26)*INDEX(Inputs!$J$223:$Q$223,1,MOD(BG25,8)+1))/Time!BG25,0)</f>
        <v/>
      </c>
      <c r="BH27" s="11">
        <f>IF(Time!BH25&gt;0,(BH26*INDEX(Inputs!$J$223:$Q$223,1,MOD(BH25-1,8)+1)+(Time!BH25-BH26)*INDEX(Inputs!$J$223:$Q$223,1,MOD(BH25,8)+1))/Time!BH25,0)</f>
        <v/>
      </c>
      <c r="BI27" s="11">
        <f>IF(Time!BI25&gt;0,(BI26*INDEX(Inputs!$J$223:$Q$223,1,MOD(BI25-1,8)+1)+(Time!BI25-BI26)*INDEX(Inputs!$J$223:$Q$223,1,MOD(BI25,8)+1))/Time!BI25,0)</f>
        <v/>
      </c>
      <c r="BJ27" s="11">
        <f>IF(Time!BJ25&gt;0,(BJ26*INDEX(Inputs!$J$223:$Q$223,1,MOD(BJ25-1,8)+1)+(Time!BJ25-BJ26)*INDEX(Inputs!$J$223:$Q$223,1,MOD(BJ25,8)+1))/Time!BJ25,0)</f>
        <v/>
      </c>
      <c r="BK27" s="11">
        <f>IF(Time!BK25&gt;0,(BK26*INDEX(Inputs!$J$223:$Q$223,1,MOD(BK25-1,8)+1)+(Time!BK25-BK26)*INDEX(Inputs!$J$223:$Q$223,1,MOD(BK25,8)+1))/Time!BK25,0)</f>
        <v/>
      </c>
      <c r="BL27" s="11">
        <f>IF(Time!BL25&gt;0,(BL26*INDEX(Inputs!$J$223:$Q$223,1,MOD(BL25-1,8)+1)+(Time!BL25-BL26)*INDEX(Inputs!$J$223:$Q$223,1,MOD(BL25,8)+1))/Time!BL25,0)</f>
        <v/>
      </c>
      <c r="BM27" s="11">
        <f>IF(Time!BM25&gt;0,(BM26*INDEX(Inputs!$J$223:$Q$223,1,MOD(BM25-1,8)+1)+(Time!BM25-BM26)*INDEX(Inputs!$J$223:$Q$223,1,MOD(BM25,8)+1))/Time!BM25,0)</f>
        <v/>
      </c>
      <c r="BN27" s="11">
        <f>IF(Time!BN25&gt;0,(BN26*INDEX(Inputs!$J$223:$Q$223,1,MOD(BN25-1,8)+1)+(Time!BN25-BN26)*INDEX(Inputs!$J$223:$Q$223,1,MOD(BN25,8)+1))/Time!BN25,0)</f>
        <v/>
      </c>
    </row>
    <row r="28">
      <c r="D28" t="inlineStr">
        <is>
          <t>Availability</t>
        </is>
      </c>
      <c r="E28" t="inlineStr">
        <is>
          <t>%</t>
        </is>
      </c>
      <c r="J28" s="11">
        <f>IF(Time!J25&gt;0,J27+Inputs!$F$36,0)</f>
        <v/>
      </c>
      <c r="K28" s="11">
        <f>IF(Time!K25&gt;0,K27+Inputs!$F$36,0)</f>
        <v/>
      </c>
      <c r="L28" s="11">
        <f>IF(Time!L25&gt;0,L27+Inputs!$F$36,0)</f>
        <v/>
      </c>
      <c r="M28" s="11">
        <f>IF(Time!M25&gt;0,M27+Inputs!$F$36,0)</f>
        <v/>
      </c>
      <c r="N28" s="11">
        <f>IF(Time!N25&gt;0,N27+Inputs!$F$36,0)</f>
        <v/>
      </c>
      <c r="O28" s="11">
        <f>IF(Time!O25&gt;0,O27+Inputs!$F$36,0)</f>
        <v/>
      </c>
      <c r="P28" s="11">
        <f>IF(Time!P25&gt;0,P27+Inputs!$F$36,0)</f>
        <v/>
      </c>
      <c r="Q28" s="11">
        <f>IF(Time!Q25&gt;0,Q27+Inputs!$F$36,0)</f>
        <v/>
      </c>
      <c r="R28" s="11">
        <f>IF(Time!R25&gt;0,R27+Inputs!$F$36,0)</f>
        <v/>
      </c>
      <c r="S28" s="11">
        <f>IF(Time!S25&gt;0,S27+Inputs!$F$36,0)</f>
        <v/>
      </c>
      <c r="T28" s="11">
        <f>IF(Time!T25&gt;0,T27+Inputs!$F$36,0)</f>
        <v/>
      </c>
      <c r="U28" s="11">
        <f>IF(Time!U25&gt;0,U27+Inputs!$F$36,0)</f>
        <v/>
      </c>
      <c r="V28" s="11">
        <f>IF(Time!V25&gt;0,V27+Inputs!$F$36,0)</f>
        <v/>
      </c>
      <c r="W28" s="11">
        <f>IF(Time!W25&gt;0,W27+Inputs!$F$36,0)</f>
        <v/>
      </c>
      <c r="X28" s="11">
        <f>IF(Time!X25&gt;0,X27+Inputs!$F$36,0)</f>
        <v/>
      </c>
      <c r="Y28" s="11">
        <f>IF(Time!Y25&gt;0,Y27+Inputs!$F$36,0)</f>
        <v/>
      </c>
      <c r="Z28" s="11">
        <f>IF(Time!Z25&gt;0,Z27+Inputs!$F$36,0)</f>
        <v/>
      </c>
      <c r="AA28" s="11">
        <f>IF(Time!AA25&gt;0,AA27+Inputs!$F$36,0)</f>
        <v/>
      </c>
      <c r="AB28" s="11">
        <f>IF(Time!AB25&gt;0,AB27+Inputs!$F$36,0)</f>
        <v/>
      </c>
      <c r="AC28" s="11">
        <f>IF(Time!AC25&gt;0,AC27+Inputs!$F$36,0)</f>
        <v/>
      </c>
      <c r="AD28" s="11">
        <f>IF(Time!AD25&gt;0,AD27+Inputs!$F$36,0)</f>
        <v/>
      </c>
      <c r="AE28" s="11">
        <f>IF(Time!AE25&gt;0,AE27+Inputs!$F$36,0)</f>
        <v/>
      </c>
      <c r="AF28" s="11">
        <f>IF(Time!AF25&gt;0,AF27+Inputs!$F$36,0)</f>
        <v/>
      </c>
      <c r="AG28" s="11">
        <f>IF(Time!AG25&gt;0,AG27+Inputs!$F$36,0)</f>
        <v/>
      </c>
      <c r="AH28" s="11">
        <f>IF(Time!AH25&gt;0,AH27+Inputs!$F$36,0)</f>
        <v/>
      </c>
      <c r="AI28" s="11">
        <f>IF(Time!AI25&gt;0,AI27+Inputs!$F$36,0)</f>
        <v/>
      </c>
      <c r="AJ28" s="11">
        <f>IF(Time!AJ25&gt;0,AJ27+Inputs!$F$36,0)</f>
        <v/>
      </c>
      <c r="AK28" s="11">
        <f>IF(Time!AK25&gt;0,AK27+Inputs!$F$36,0)</f>
        <v/>
      </c>
      <c r="AL28" s="11">
        <f>IF(Time!AL25&gt;0,AL27+Inputs!$F$36,0)</f>
        <v/>
      </c>
      <c r="AM28" s="11">
        <f>IF(Time!AM25&gt;0,AM27+Inputs!$F$36,0)</f>
        <v/>
      </c>
      <c r="AN28" s="11">
        <f>IF(Time!AN25&gt;0,AN27+Inputs!$F$36,0)</f>
        <v/>
      </c>
      <c r="AO28" s="11">
        <f>IF(Time!AO25&gt;0,AO27+Inputs!$F$36,0)</f>
        <v/>
      </c>
      <c r="AP28" s="11">
        <f>IF(Time!AP25&gt;0,AP27+Inputs!$F$36,0)</f>
        <v/>
      </c>
      <c r="AQ28" s="11">
        <f>IF(Time!AQ25&gt;0,AQ27+Inputs!$F$36,0)</f>
        <v/>
      </c>
      <c r="AR28" s="11">
        <f>IF(Time!AR25&gt;0,AR27+Inputs!$F$36,0)</f>
        <v/>
      </c>
      <c r="AS28" s="11">
        <f>IF(Time!AS25&gt;0,AS27+Inputs!$F$36,0)</f>
        <v/>
      </c>
      <c r="AT28" s="11">
        <f>IF(Time!AT25&gt;0,AT27+Inputs!$F$36,0)</f>
        <v/>
      </c>
      <c r="AU28" s="11">
        <f>IF(Time!AU25&gt;0,AU27+Inputs!$F$36,0)</f>
        <v/>
      </c>
      <c r="AV28" s="11">
        <f>IF(Time!AV25&gt;0,AV27+Inputs!$F$36,0)</f>
        <v/>
      </c>
      <c r="AW28" s="11">
        <f>IF(Time!AW25&gt;0,AW27+Inputs!$F$36,0)</f>
        <v/>
      </c>
      <c r="AX28" s="11">
        <f>IF(Time!AX25&gt;0,AX27+Inputs!$F$36,0)</f>
        <v/>
      </c>
      <c r="AY28" s="11">
        <f>IF(Time!AY25&gt;0,AY27+Inputs!$F$36,0)</f>
        <v/>
      </c>
      <c r="AZ28" s="11">
        <f>IF(Time!AZ25&gt;0,AZ27+Inputs!$F$36,0)</f>
        <v/>
      </c>
      <c r="BA28" s="11">
        <f>IF(Time!BA25&gt;0,BA27+Inputs!$F$36,0)</f>
        <v/>
      </c>
      <c r="BB28" s="11">
        <f>IF(Time!BB25&gt;0,BB27+Inputs!$F$36,0)</f>
        <v/>
      </c>
      <c r="BC28" s="11">
        <f>IF(Time!BC25&gt;0,BC27+Inputs!$F$36,0)</f>
        <v/>
      </c>
      <c r="BD28" s="11">
        <f>IF(Time!BD25&gt;0,BD27+Inputs!$F$36,0)</f>
        <v/>
      </c>
      <c r="BE28" s="11">
        <f>IF(Time!BE25&gt;0,BE27+Inputs!$F$36,0)</f>
        <v/>
      </c>
      <c r="BF28" s="11">
        <f>IF(Time!BF25&gt;0,BF27+Inputs!$F$36,0)</f>
        <v/>
      </c>
      <c r="BG28" s="11">
        <f>IF(Time!BG25&gt;0,BG27+Inputs!$F$36,0)</f>
        <v/>
      </c>
      <c r="BH28" s="11">
        <f>IF(Time!BH25&gt;0,BH27+Inputs!$F$36,0)</f>
        <v/>
      </c>
      <c r="BI28" s="11">
        <f>IF(Time!BI25&gt;0,BI27+Inputs!$F$36,0)</f>
        <v/>
      </c>
      <c r="BJ28" s="11">
        <f>IF(Time!BJ25&gt;0,BJ27+Inputs!$F$36,0)</f>
        <v/>
      </c>
      <c r="BK28" s="11">
        <f>IF(Time!BK25&gt;0,BK27+Inputs!$F$36,0)</f>
        <v/>
      </c>
      <c r="BL28" s="11">
        <f>IF(Time!BL25&gt;0,BL27+Inputs!$F$36,0)</f>
        <v/>
      </c>
      <c r="BM28" s="11">
        <f>IF(Time!BM25&gt;0,BM27+Inputs!$F$36,0)</f>
        <v/>
      </c>
      <c r="BN28" s="11">
        <f>IF(Time!BN25&gt;0,BN27+Inputs!$F$36,0)</f>
        <v/>
      </c>
    </row>
    <row r="29">
      <c r="D29" t="inlineStr">
        <is>
          <t>Years since COD (period mid-point)</t>
        </is>
      </c>
      <c r="E29" t="inlineStr">
        <is>
          <t>years</t>
        </is>
      </c>
      <c r="J29" s="11">
        <f>IF(Time!J25&gt;0,(Time!J27+Time!J28)/24,0)</f>
        <v/>
      </c>
      <c r="K29" s="11">
        <f>IF(Time!K25&gt;0,(Time!K27+Time!K28)/24,0)</f>
        <v/>
      </c>
      <c r="L29" s="11">
        <f>IF(Time!L25&gt;0,(Time!L27+Time!L28)/24,0)</f>
        <v/>
      </c>
      <c r="M29" s="11">
        <f>IF(Time!M25&gt;0,(Time!M27+Time!M28)/24,0)</f>
        <v/>
      </c>
      <c r="N29" s="11">
        <f>IF(Time!N25&gt;0,(Time!N27+Time!N28)/24,0)</f>
        <v/>
      </c>
      <c r="O29" s="11">
        <f>IF(Time!O25&gt;0,(Time!O27+Time!O28)/24,0)</f>
        <v/>
      </c>
      <c r="P29" s="11">
        <f>IF(Time!P25&gt;0,(Time!P27+Time!P28)/24,0)</f>
        <v/>
      </c>
      <c r="Q29" s="11">
        <f>IF(Time!Q25&gt;0,(Time!Q27+Time!Q28)/24,0)</f>
        <v/>
      </c>
      <c r="R29" s="11">
        <f>IF(Time!R25&gt;0,(Time!R27+Time!R28)/24,0)</f>
        <v/>
      </c>
      <c r="S29" s="11">
        <f>IF(Time!S25&gt;0,(Time!S27+Time!S28)/24,0)</f>
        <v/>
      </c>
      <c r="T29" s="11">
        <f>IF(Time!T25&gt;0,(Time!T27+Time!T28)/24,0)</f>
        <v/>
      </c>
      <c r="U29" s="11">
        <f>IF(Time!U25&gt;0,(Time!U27+Time!U28)/24,0)</f>
        <v/>
      </c>
      <c r="V29" s="11">
        <f>IF(Time!V25&gt;0,(Time!V27+Time!V28)/24,0)</f>
        <v/>
      </c>
      <c r="W29" s="11">
        <f>IF(Time!W25&gt;0,(Time!W27+Time!W28)/24,0)</f>
        <v/>
      </c>
      <c r="X29" s="11">
        <f>IF(Time!X25&gt;0,(Time!X27+Time!X28)/24,0)</f>
        <v/>
      </c>
      <c r="Y29" s="11">
        <f>IF(Time!Y25&gt;0,(Time!Y27+Time!Y28)/24,0)</f>
        <v/>
      </c>
      <c r="Z29" s="11">
        <f>IF(Time!Z25&gt;0,(Time!Z27+Time!Z28)/24,0)</f>
        <v/>
      </c>
      <c r="AA29" s="11">
        <f>IF(Time!AA25&gt;0,(Time!AA27+Time!AA28)/24,0)</f>
        <v/>
      </c>
      <c r="AB29" s="11">
        <f>IF(Time!AB25&gt;0,(Time!AB27+Time!AB28)/24,0)</f>
        <v/>
      </c>
      <c r="AC29" s="11">
        <f>IF(Time!AC25&gt;0,(Time!AC27+Time!AC28)/24,0)</f>
        <v/>
      </c>
      <c r="AD29" s="11">
        <f>IF(Time!AD25&gt;0,(Time!AD27+Time!AD28)/24,0)</f>
        <v/>
      </c>
      <c r="AE29" s="11">
        <f>IF(Time!AE25&gt;0,(Time!AE27+Time!AE28)/24,0)</f>
        <v/>
      </c>
      <c r="AF29" s="11">
        <f>IF(Time!AF25&gt;0,(Time!AF27+Time!AF28)/24,0)</f>
        <v/>
      </c>
      <c r="AG29" s="11">
        <f>IF(Time!AG25&gt;0,(Time!AG27+Time!AG28)/24,0)</f>
        <v/>
      </c>
      <c r="AH29" s="11">
        <f>IF(Time!AH25&gt;0,(Time!AH27+Time!AH28)/24,0)</f>
        <v/>
      </c>
      <c r="AI29" s="11">
        <f>IF(Time!AI25&gt;0,(Time!AI27+Time!AI28)/24,0)</f>
        <v/>
      </c>
      <c r="AJ29" s="11">
        <f>IF(Time!AJ25&gt;0,(Time!AJ27+Time!AJ28)/24,0)</f>
        <v/>
      </c>
      <c r="AK29" s="11">
        <f>IF(Time!AK25&gt;0,(Time!AK27+Time!AK28)/24,0)</f>
        <v/>
      </c>
      <c r="AL29" s="11">
        <f>IF(Time!AL25&gt;0,(Time!AL27+Time!AL28)/24,0)</f>
        <v/>
      </c>
      <c r="AM29" s="11">
        <f>IF(Time!AM25&gt;0,(Time!AM27+Time!AM28)/24,0)</f>
        <v/>
      </c>
      <c r="AN29" s="11">
        <f>IF(Time!AN25&gt;0,(Time!AN27+Time!AN28)/24,0)</f>
        <v/>
      </c>
      <c r="AO29" s="11">
        <f>IF(Time!AO25&gt;0,(Time!AO27+Time!AO28)/24,0)</f>
        <v/>
      </c>
      <c r="AP29" s="11">
        <f>IF(Time!AP25&gt;0,(Time!AP27+Time!AP28)/24,0)</f>
        <v/>
      </c>
      <c r="AQ29" s="11">
        <f>IF(Time!AQ25&gt;0,(Time!AQ27+Time!AQ28)/24,0)</f>
        <v/>
      </c>
      <c r="AR29" s="11">
        <f>IF(Time!AR25&gt;0,(Time!AR27+Time!AR28)/24,0)</f>
        <v/>
      </c>
      <c r="AS29" s="11">
        <f>IF(Time!AS25&gt;0,(Time!AS27+Time!AS28)/24,0)</f>
        <v/>
      </c>
      <c r="AT29" s="11">
        <f>IF(Time!AT25&gt;0,(Time!AT27+Time!AT28)/24,0)</f>
        <v/>
      </c>
      <c r="AU29" s="11">
        <f>IF(Time!AU25&gt;0,(Time!AU27+Time!AU28)/24,0)</f>
        <v/>
      </c>
      <c r="AV29" s="11">
        <f>IF(Time!AV25&gt;0,(Time!AV27+Time!AV28)/24,0)</f>
        <v/>
      </c>
      <c r="AW29" s="11">
        <f>IF(Time!AW25&gt;0,(Time!AW27+Time!AW28)/24,0)</f>
        <v/>
      </c>
      <c r="AX29" s="11">
        <f>IF(Time!AX25&gt;0,(Time!AX27+Time!AX28)/24,0)</f>
        <v/>
      </c>
      <c r="AY29" s="11">
        <f>IF(Time!AY25&gt;0,(Time!AY27+Time!AY28)/24,0)</f>
        <v/>
      </c>
      <c r="AZ29" s="11">
        <f>IF(Time!AZ25&gt;0,(Time!AZ27+Time!AZ28)/24,0)</f>
        <v/>
      </c>
      <c r="BA29" s="11">
        <f>IF(Time!BA25&gt;0,(Time!BA27+Time!BA28)/24,0)</f>
        <v/>
      </c>
      <c r="BB29" s="11">
        <f>IF(Time!BB25&gt;0,(Time!BB27+Time!BB28)/24,0)</f>
        <v/>
      </c>
      <c r="BC29" s="11">
        <f>IF(Time!BC25&gt;0,(Time!BC27+Time!BC28)/24,0)</f>
        <v/>
      </c>
      <c r="BD29" s="11">
        <f>IF(Time!BD25&gt;0,(Time!BD27+Time!BD28)/24,0)</f>
        <v/>
      </c>
      <c r="BE29" s="11">
        <f>IF(Time!BE25&gt;0,(Time!BE27+Time!BE28)/24,0)</f>
        <v/>
      </c>
      <c r="BF29" s="11">
        <f>IF(Time!BF25&gt;0,(Time!BF27+Time!BF28)/24,0)</f>
        <v/>
      </c>
      <c r="BG29" s="11">
        <f>IF(Time!BG25&gt;0,(Time!BG27+Time!BG28)/24,0)</f>
        <v/>
      </c>
      <c r="BH29" s="11">
        <f>IF(Time!BH25&gt;0,(Time!BH27+Time!BH28)/24,0)</f>
        <v/>
      </c>
      <c r="BI29" s="11">
        <f>IF(Time!BI25&gt;0,(Time!BI27+Time!BI28)/24,0)</f>
        <v/>
      </c>
      <c r="BJ29" s="11">
        <f>IF(Time!BJ25&gt;0,(Time!BJ27+Time!BJ28)/24,0)</f>
        <v/>
      </c>
      <c r="BK29" s="11">
        <f>IF(Time!BK25&gt;0,(Time!BK27+Time!BK28)/24,0)</f>
        <v/>
      </c>
      <c r="BL29" s="11">
        <f>IF(Time!BL25&gt;0,(Time!BL27+Time!BL28)/24,0)</f>
        <v/>
      </c>
      <c r="BM29" s="11">
        <f>IF(Time!BM25&gt;0,(Time!BM27+Time!BM28)/24,0)</f>
        <v/>
      </c>
      <c r="BN29" s="11">
        <f>IF(Time!BN25&gt;0,(Time!BN27+Time!BN28)/24,0)</f>
        <v/>
      </c>
    </row>
    <row r="30">
      <c r="D30" t="inlineStr">
        <is>
          <t>Contracted capacity</t>
        </is>
      </c>
      <c r="E30" t="inlineStr">
        <is>
          <t>MW</t>
        </is>
      </c>
      <c r="F30" s="12">
        <f>IF(Inputs!$F$33=2,Inputs!$F$115,Inputs!$F$114)</f>
        <v/>
      </c>
    </row>
    <row r="31">
      <c r="D31" t="inlineStr">
        <is>
          <t>Plant net heat rate, new and clean</t>
        </is>
      </c>
      <c r="E31" t="inlineStr">
        <is>
          <t>kJ/kWh</t>
        </is>
      </c>
      <c r="F31" s="9">
        <f>IF(Inputs!$F$33=2,Inputs!$F$117,Inputs!$F$116)</f>
        <v/>
      </c>
    </row>
    <row r="32">
      <c r="D32" t="inlineStr">
        <is>
          <t>Output degradation factor</t>
        </is>
      </c>
      <c r="E32" t="inlineStr">
        <is>
          <t>factor</t>
        </is>
      </c>
      <c r="J32" s="11">
        <f>(1-Inputs!$F$123/100*J29)*(1-Inputs!$F$124/100)</f>
        <v/>
      </c>
      <c r="K32" s="11">
        <f>(1-Inputs!$F$123/100*K29)*(1-Inputs!$F$124/100)</f>
        <v/>
      </c>
      <c r="L32" s="11">
        <f>(1-Inputs!$F$123/100*L29)*(1-Inputs!$F$124/100)</f>
        <v/>
      </c>
      <c r="M32" s="11">
        <f>(1-Inputs!$F$123/100*M29)*(1-Inputs!$F$124/100)</f>
        <v/>
      </c>
      <c r="N32" s="11">
        <f>(1-Inputs!$F$123/100*N29)*(1-Inputs!$F$124/100)</f>
        <v/>
      </c>
      <c r="O32" s="11">
        <f>(1-Inputs!$F$123/100*O29)*(1-Inputs!$F$124/100)</f>
        <v/>
      </c>
      <c r="P32" s="11">
        <f>(1-Inputs!$F$123/100*P29)*(1-Inputs!$F$124/100)</f>
        <v/>
      </c>
      <c r="Q32" s="11">
        <f>(1-Inputs!$F$123/100*Q29)*(1-Inputs!$F$124/100)</f>
        <v/>
      </c>
      <c r="R32" s="11">
        <f>(1-Inputs!$F$123/100*R29)*(1-Inputs!$F$124/100)</f>
        <v/>
      </c>
      <c r="S32" s="11">
        <f>(1-Inputs!$F$123/100*S29)*(1-Inputs!$F$124/100)</f>
        <v/>
      </c>
      <c r="T32" s="11">
        <f>(1-Inputs!$F$123/100*T29)*(1-Inputs!$F$124/100)</f>
        <v/>
      </c>
      <c r="U32" s="11">
        <f>(1-Inputs!$F$123/100*U29)*(1-Inputs!$F$124/100)</f>
        <v/>
      </c>
      <c r="V32" s="11">
        <f>(1-Inputs!$F$123/100*V29)*(1-Inputs!$F$124/100)</f>
        <v/>
      </c>
      <c r="W32" s="11">
        <f>(1-Inputs!$F$123/100*W29)*(1-Inputs!$F$124/100)</f>
        <v/>
      </c>
      <c r="X32" s="11">
        <f>(1-Inputs!$F$123/100*X29)*(1-Inputs!$F$124/100)</f>
        <v/>
      </c>
      <c r="Y32" s="11">
        <f>(1-Inputs!$F$123/100*Y29)*(1-Inputs!$F$124/100)</f>
        <v/>
      </c>
      <c r="Z32" s="11">
        <f>(1-Inputs!$F$123/100*Z29)*(1-Inputs!$F$124/100)</f>
        <v/>
      </c>
      <c r="AA32" s="11">
        <f>(1-Inputs!$F$123/100*AA29)*(1-Inputs!$F$124/100)</f>
        <v/>
      </c>
      <c r="AB32" s="11">
        <f>(1-Inputs!$F$123/100*AB29)*(1-Inputs!$F$124/100)</f>
        <v/>
      </c>
      <c r="AC32" s="11">
        <f>(1-Inputs!$F$123/100*AC29)*(1-Inputs!$F$124/100)</f>
        <v/>
      </c>
      <c r="AD32" s="11">
        <f>(1-Inputs!$F$123/100*AD29)*(1-Inputs!$F$124/100)</f>
        <v/>
      </c>
      <c r="AE32" s="11">
        <f>(1-Inputs!$F$123/100*AE29)*(1-Inputs!$F$124/100)</f>
        <v/>
      </c>
      <c r="AF32" s="11">
        <f>(1-Inputs!$F$123/100*AF29)*(1-Inputs!$F$124/100)</f>
        <v/>
      </c>
      <c r="AG32" s="11">
        <f>(1-Inputs!$F$123/100*AG29)*(1-Inputs!$F$124/100)</f>
        <v/>
      </c>
      <c r="AH32" s="11">
        <f>(1-Inputs!$F$123/100*AH29)*(1-Inputs!$F$124/100)</f>
        <v/>
      </c>
      <c r="AI32" s="11">
        <f>(1-Inputs!$F$123/100*AI29)*(1-Inputs!$F$124/100)</f>
        <v/>
      </c>
      <c r="AJ32" s="11">
        <f>(1-Inputs!$F$123/100*AJ29)*(1-Inputs!$F$124/100)</f>
        <v/>
      </c>
      <c r="AK32" s="11">
        <f>(1-Inputs!$F$123/100*AK29)*(1-Inputs!$F$124/100)</f>
        <v/>
      </c>
      <c r="AL32" s="11">
        <f>(1-Inputs!$F$123/100*AL29)*(1-Inputs!$F$124/100)</f>
        <v/>
      </c>
      <c r="AM32" s="11">
        <f>(1-Inputs!$F$123/100*AM29)*(1-Inputs!$F$124/100)</f>
        <v/>
      </c>
      <c r="AN32" s="11">
        <f>(1-Inputs!$F$123/100*AN29)*(1-Inputs!$F$124/100)</f>
        <v/>
      </c>
      <c r="AO32" s="11">
        <f>(1-Inputs!$F$123/100*AO29)*(1-Inputs!$F$124/100)</f>
        <v/>
      </c>
      <c r="AP32" s="11">
        <f>(1-Inputs!$F$123/100*AP29)*(1-Inputs!$F$124/100)</f>
        <v/>
      </c>
      <c r="AQ32" s="11">
        <f>(1-Inputs!$F$123/100*AQ29)*(1-Inputs!$F$124/100)</f>
        <v/>
      </c>
      <c r="AR32" s="11">
        <f>(1-Inputs!$F$123/100*AR29)*(1-Inputs!$F$124/100)</f>
        <v/>
      </c>
      <c r="AS32" s="11">
        <f>(1-Inputs!$F$123/100*AS29)*(1-Inputs!$F$124/100)</f>
        <v/>
      </c>
      <c r="AT32" s="11">
        <f>(1-Inputs!$F$123/100*AT29)*(1-Inputs!$F$124/100)</f>
        <v/>
      </c>
      <c r="AU32" s="11">
        <f>(1-Inputs!$F$123/100*AU29)*(1-Inputs!$F$124/100)</f>
        <v/>
      </c>
      <c r="AV32" s="11">
        <f>(1-Inputs!$F$123/100*AV29)*(1-Inputs!$F$124/100)</f>
        <v/>
      </c>
      <c r="AW32" s="11">
        <f>(1-Inputs!$F$123/100*AW29)*(1-Inputs!$F$124/100)</f>
        <v/>
      </c>
      <c r="AX32" s="11">
        <f>(1-Inputs!$F$123/100*AX29)*(1-Inputs!$F$124/100)</f>
        <v/>
      </c>
      <c r="AY32" s="11">
        <f>(1-Inputs!$F$123/100*AY29)*(1-Inputs!$F$124/100)</f>
        <v/>
      </c>
      <c r="AZ32" s="11">
        <f>(1-Inputs!$F$123/100*AZ29)*(1-Inputs!$F$124/100)</f>
        <v/>
      </c>
      <c r="BA32" s="11">
        <f>(1-Inputs!$F$123/100*BA29)*(1-Inputs!$F$124/100)</f>
        <v/>
      </c>
      <c r="BB32" s="11">
        <f>(1-Inputs!$F$123/100*BB29)*(1-Inputs!$F$124/100)</f>
        <v/>
      </c>
      <c r="BC32" s="11">
        <f>(1-Inputs!$F$123/100*BC29)*(1-Inputs!$F$124/100)</f>
        <v/>
      </c>
      <c r="BD32" s="11">
        <f>(1-Inputs!$F$123/100*BD29)*(1-Inputs!$F$124/100)</f>
        <v/>
      </c>
      <c r="BE32" s="11">
        <f>(1-Inputs!$F$123/100*BE29)*(1-Inputs!$F$124/100)</f>
        <v/>
      </c>
      <c r="BF32" s="11">
        <f>(1-Inputs!$F$123/100*BF29)*(1-Inputs!$F$124/100)</f>
        <v/>
      </c>
      <c r="BG32" s="11">
        <f>(1-Inputs!$F$123/100*BG29)*(1-Inputs!$F$124/100)</f>
        <v/>
      </c>
      <c r="BH32" s="11">
        <f>(1-Inputs!$F$123/100*BH29)*(1-Inputs!$F$124/100)</f>
        <v/>
      </c>
      <c r="BI32" s="11">
        <f>(1-Inputs!$F$123/100*BI29)*(1-Inputs!$F$124/100)</f>
        <v/>
      </c>
      <c r="BJ32" s="11">
        <f>(1-Inputs!$F$123/100*BJ29)*(1-Inputs!$F$124/100)</f>
        <v/>
      </c>
      <c r="BK32" s="11">
        <f>(1-Inputs!$F$123/100*BK29)*(1-Inputs!$F$124/100)</f>
        <v/>
      </c>
      <c r="BL32" s="11">
        <f>(1-Inputs!$F$123/100*BL29)*(1-Inputs!$F$124/100)</f>
        <v/>
      </c>
      <c r="BM32" s="11">
        <f>(1-Inputs!$F$123/100*BM29)*(1-Inputs!$F$124/100)</f>
        <v/>
      </c>
      <c r="BN32" s="11">
        <f>(1-Inputs!$F$123/100*BN29)*(1-Inputs!$F$124/100)</f>
        <v/>
      </c>
    </row>
    <row r="33">
      <c r="D33" t="inlineStr">
        <is>
          <t>Net energy delivered</t>
        </is>
      </c>
      <c r="E33" t="inlineStr">
        <is>
          <t>MWh</t>
        </is>
      </c>
      <c r="J33" s="13">
        <f>$F$30*730*Time!J25*J28/100*Inputs!$F$37/100*J32</f>
        <v/>
      </c>
      <c r="K33" s="13">
        <f>$F$30*730*Time!K25*K28/100*Inputs!$F$37/100*K32</f>
        <v/>
      </c>
      <c r="L33" s="13">
        <f>$F$30*730*Time!L25*L28/100*Inputs!$F$37/100*L32</f>
        <v/>
      </c>
      <c r="M33" s="13">
        <f>$F$30*730*Time!M25*M28/100*Inputs!$F$37/100*M32</f>
        <v/>
      </c>
      <c r="N33" s="13">
        <f>$F$30*730*Time!N25*N28/100*Inputs!$F$37/100*N32</f>
        <v/>
      </c>
      <c r="O33" s="13">
        <f>$F$30*730*Time!O25*O28/100*Inputs!$F$37/100*O32</f>
        <v/>
      </c>
      <c r="P33" s="13">
        <f>$F$30*730*Time!P25*P28/100*Inputs!$F$37/100*P32</f>
        <v/>
      </c>
      <c r="Q33" s="13">
        <f>$F$30*730*Time!Q25*Q28/100*Inputs!$F$37/100*Q32</f>
        <v/>
      </c>
      <c r="R33" s="13">
        <f>$F$30*730*Time!R25*R28/100*Inputs!$F$37/100*R32</f>
        <v/>
      </c>
      <c r="S33" s="13">
        <f>$F$30*730*Time!S25*S28/100*Inputs!$F$37/100*S32</f>
        <v/>
      </c>
      <c r="T33" s="13">
        <f>$F$30*730*Time!T25*T28/100*Inputs!$F$37/100*T32</f>
        <v/>
      </c>
      <c r="U33" s="13">
        <f>$F$30*730*Time!U25*U28/100*Inputs!$F$37/100*U32</f>
        <v/>
      </c>
      <c r="V33" s="13">
        <f>$F$30*730*Time!V25*V28/100*Inputs!$F$37/100*V32</f>
        <v/>
      </c>
      <c r="W33" s="13">
        <f>$F$30*730*Time!W25*W28/100*Inputs!$F$37/100*W32</f>
        <v/>
      </c>
      <c r="X33" s="13">
        <f>$F$30*730*Time!X25*X28/100*Inputs!$F$37/100*X32</f>
        <v/>
      </c>
      <c r="Y33" s="13">
        <f>$F$30*730*Time!Y25*Y28/100*Inputs!$F$37/100*Y32</f>
        <v/>
      </c>
      <c r="Z33" s="13">
        <f>$F$30*730*Time!Z25*Z28/100*Inputs!$F$37/100*Z32</f>
        <v/>
      </c>
      <c r="AA33" s="13">
        <f>$F$30*730*Time!AA25*AA28/100*Inputs!$F$37/100*AA32</f>
        <v/>
      </c>
      <c r="AB33" s="13">
        <f>$F$30*730*Time!AB25*AB28/100*Inputs!$F$37/100*AB32</f>
        <v/>
      </c>
      <c r="AC33" s="13">
        <f>$F$30*730*Time!AC25*AC28/100*Inputs!$F$37/100*AC32</f>
        <v/>
      </c>
      <c r="AD33" s="13">
        <f>$F$30*730*Time!AD25*AD28/100*Inputs!$F$37/100*AD32</f>
        <v/>
      </c>
      <c r="AE33" s="13">
        <f>$F$30*730*Time!AE25*AE28/100*Inputs!$F$37/100*AE32</f>
        <v/>
      </c>
      <c r="AF33" s="13">
        <f>$F$30*730*Time!AF25*AF28/100*Inputs!$F$37/100*AF32</f>
        <v/>
      </c>
      <c r="AG33" s="13">
        <f>$F$30*730*Time!AG25*AG28/100*Inputs!$F$37/100*AG32</f>
        <v/>
      </c>
      <c r="AH33" s="13">
        <f>$F$30*730*Time!AH25*AH28/100*Inputs!$F$37/100*AH32</f>
        <v/>
      </c>
      <c r="AI33" s="13">
        <f>$F$30*730*Time!AI25*AI28/100*Inputs!$F$37/100*AI32</f>
        <v/>
      </c>
      <c r="AJ33" s="13">
        <f>$F$30*730*Time!AJ25*AJ28/100*Inputs!$F$37/100*AJ32</f>
        <v/>
      </c>
      <c r="AK33" s="13">
        <f>$F$30*730*Time!AK25*AK28/100*Inputs!$F$37/100*AK32</f>
        <v/>
      </c>
      <c r="AL33" s="13">
        <f>$F$30*730*Time!AL25*AL28/100*Inputs!$F$37/100*AL32</f>
        <v/>
      </c>
      <c r="AM33" s="13">
        <f>$F$30*730*Time!AM25*AM28/100*Inputs!$F$37/100*AM32</f>
        <v/>
      </c>
      <c r="AN33" s="13">
        <f>$F$30*730*Time!AN25*AN28/100*Inputs!$F$37/100*AN32</f>
        <v/>
      </c>
      <c r="AO33" s="13">
        <f>$F$30*730*Time!AO25*AO28/100*Inputs!$F$37/100*AO32</f>
        <v/>
      </c>
      <c r="AP33" s="13">
        <f>$F$30*730*Time!AP25*AP28/100*Inputs!$F$37/100*AP32</f>
        <v/>
      </c>
      <c r="AQ33" s="13">
        <f>$F$30*730*Time!AQ25*AQ28/100*Inputs!$F$37/100*AQ32</f>
        <v/>
      </c>
      <c r="AR33" s="13">
        <f>$F$30*730*Time!AR25*AR28/100*Inputs!$F$37/100*AR32</f>
        <v/>
      </c>
      <c r="AS33" s="13">
        <f>$F$30*730*Time!AS25*AS28/100*Inputs!$F$37/100*AS32</f>
        <v/>
      </c>
      <c r="AT33" s="13">
        <f>$F$30*730*Time!AT25*AT28/100*Inputs!$F$37/100*AT32</f>
        <v/>
      </c>
      <c r="AU33" s="13">
        <f>$F$30*730*Time!AU25*AU28/100*Inputs!$F$37/100*AU32</f>
        <v/>
      </c>
      <c r="AV33" s="13">
        <f>$F$30*730*Time!AV25*AV28/100*Inputs!$F$37/100*AV32</f>
        <v/>
      </c>
      <c r="AW33" s="13">
        <f>$F$30*730*Time!AW25*AW28/100*Inputs!$F$37/100*AW32</f>
        <v/>
      </c>
      <c r="AX33" s="13">
        <f>$F$30*730*Time!AX25*AX28/100*Inputs!$F$37/100*AX32</f>
        <v/>
      </c>
      <c r="AY33" s="13">
        <f>$F$30*730*Time!AY25*AY28/100*Inputs!$F$37/100*AY32</f>
        <v/>
      </c>
      <c r="AZ33" s="13">
        <f>$F$30*730*Time!AZ25*AZ28/100*Inputs!$F$37/100*AZ32</f>
        <v/>
      </c>
      <c r="BA33" s="13">
        <f>$F$30*730*Time!BA25*BA28/100*Inputs!$F$37/100*BA32</f>
        <v/>
      </c>
      <c r="BB33" s="13">
        <f>$F$30*730*Time!BB25*BB28/100*Inputs!$F$37/100*BB32</f>
        <v/>
      </c>
      <c r="BC33" s="13">
        <f>$F$30*730*Time!BC25*BC28/100*Inputs!$F$37/100*BC32</f>
        <v/>
      </c>
      <c r="BD33" s="13">
        <f>$F$30*730*Time!BD25*BD28/100*Inputs!$F$37/100*BD32</f>
        <v/>
      </c>
      <c r="BE33" s="13">
        <f>$F$30*730*Time!BE25*BE28/100*Inputs!$F$37/100*BE32</f>
        <v/>
      </c>
      <c r="BF33" s="13">
        <f>$F$30*730*Time!BF25*BF28/100*Inputs!$F$37/100*BF32</f>
        <v/>
      </c>
      <c r="BG33" s="13">
        <f>$F$30*730*Time!BG25*BG28/100*Inputs!$F$37/100*BG32</f>
        <v/>
      </c>
      <c r="BH33" s="13">
        <f>$F$30*730*Time!BH25*BH28/100*Inputs!$F$37/100*BH32</f>
        <v/>
      </c>
      <c r="BI33" s="13">
        <f>$F$30*730*Time!BI25*BI28/100*Inputs!$F$37/100*BI32</f>
        <v/>
      </c>
      <c r="BJ33" s="13">
        <f>$F$30*730*Time!BJ25*BJ28/100*Inputs!$F$37/100*BJ32</f>
        <v/>
      </c>
      <c r="BK33" s="13">
        <f>$F$30*730*Time!BK25*BK28/100*Inputs!$F$37/100*BK32</f>
        <v/>
      </c>
      <c r="BL33" s="13">
        <f>$F$30*730*Time!BL25*BL28/100*Inputs!$F$37/100*BL32</f>
        <v/>
      </c>
      <c r="BM33" s="13">
        <f>$F$30*730*Time!BM25*BM28/100*Inputs!$F$37/100*BM32</f>
        <v/>
      </c>
      <c r="BN33" s="13">
        <f>$F$30*730*Time!BN25*BN28/100*Inputs!$F$37/100*BN32</f>
        <v/>
      </c>
    </row>
    <row r="34">
      <c r="D34" t="inlineStr">
        <is>
          <t>Plant net heat rate</t>
        </is>
      </c>
      <c r="E34" t="inlineStr">
        <is>
          <t>kJ/kWh</t>
        </is>
      </c>
      <c r="J34" s="11">
        <f>$F$31*(1+Inputs!$F$125/100*J29)*(1+Inputs!$F$126/100)*(1+Inputs!$F$120/100)*Inputs!$F$38</f>
        <v/>
      </c>
      <c r="K34" s="11">
        <f>$F$31*(1+Inputs!$F$125/100*K29)*(1+Inputs!$F$126/100)*(1+Inputs!$F$120/100)*Inputs!$F$38</f>
        <v/>
      </c>
      <c r="L34" s="11">
        <f>$F$31*(1+Inputs!$F$125/100*L29)*(1+Inputs!$F$126/100)*(1+Inputs!$F$120/100)*Inputs!$F$38</f>
        <v/>
      </c>
      <c r="M34" s="11">
        <f>$F$31*(1+Inputs!$F$125/100*M29)*(1+Inputs!$F$126/100)*(1+Inputs!$F$120/100)*Inputs!$F$38</f>
        <v/>
      </c>
      <c r="N34" s="11">
        <f>$F$31*(1+Inputs!$F$125/100*N29)*(1+Inputs!$F$126/100)*(1+Inputs!$F$120/100)*Inputs!$F$38</f>
        <v/>
      </c>
      <c r="O34" s="11">
        <f>$F$31*(1+Inputs!$F$125/100*O29)*(1+Inputs!$F$126/100)*(1+Inputs!$F$120/100)*Inputs!$F$38</f>
        <v/>
      </c>
      <c r="P34" s="11">
        <f>$F$31*(1+Inputs!$F$125/100*P29)*(1+Inputs!$F$126/100)*(1+Inputs!$F$120/100)*Inputs!$F$38</f>
        <v/>
      </c>
      <c r="Q34" s="11">
        <f>$F$31*(1+Inputs!$F$125/100*Q29)*(1+Inputs!$F$126/100)*(1+Inputs!$F$120/100)*Inputs!$F$38</f>
        <v/>
      </c>
      <c r="R34" s="11">
        <f>$F$31*(1+Inputs!$F$125/100*R29)*(1+Inputs!$F$126/100)*(1+Inputs!$F$120/100)*Inputs!$F$38</f>
        <v/>
      </c>
      <c r="S34" s="11">
        <f>$F$31*(1+Inputs!$F$125/100*S29)*(1+Inputs!$F$126/100)*(1+Inputs!$F$120/100)*Inputs!$F$38</f>
        <v/>
      </c>
      <c r="T34" s="11">
        <f>$F$31*(1+Inputs!$F$125/100*T29)*(1+Inputs!$F$126/100)*(1+Inputs!$F$120/100)*Inputs!$F$38</f>
        <v/>
      </c>
      <c r="U34" s="11">
        <f>$F$31*(1+Inputs!$F$125/100*U29)*(1+Inputs!$F$126/100)*(1+Inputs!$F$120/100)*Inputs!$F$38</f>
        <v/>
      </c>
      <c r="V34" s="11">
        <f>$F$31*(1+Inputs!$F$125/100*V29)*(1+Inputs!$F$126/100)*(1+Inputs!$F$120/100)*Inputs!$F$38</f>
        <v/>
      </c>
      <c r="W34" s="11">
        <f>$F$31*(1+Inputs!$F$125/100*W29)*(1+Inputs!$F$126/100)*(1+Inputs!$F$120/100)*Inputs!$F$38</f>
        <v/>
      </c>
      <c r="X34" s="11">
        <f>$F$31*(1+Inputs!$F$125/100*X29)*(1+Inputs!$F$126/100)*(1+Inputs!$F$120/100)*Inputs!$F$38</f>
        <v/>
      </c>
      <c r="Y34" s="11">
        <f>$F$31*(1+Inputs!$F$125/100*Y29)*(1+Inputs!$F$126/100)*(1+Inputs!$F$120/100)*Inputs!$F$38</f>
        <v/>
      </c>
      <c r="Z34" s="11">
        <f>$F$31*(1+Inputs!$F$125/100*Z29)*(1+Inputs!$F$126/100)*(1+Inputs!$F$120/100)*Inputs!$F$38</f>
        <v/>
      </c>
      <c r="AA34" s="11">
        <f>$F$31*(1+Inputs!$F$125/100*AA29)*(1+Inputs!$F$126/100)*(1+Inputs!$F$120/100)*Inputs!$F$38</f>
        <v/>
      </c>
      <c r="AB34" s="11">
        <f>$F$31*(1+Inputs!$F$125/100*AB29)*(1+Inputs!$F$126/100)*(1+Inputs!$F$120/100)*Inputs!$F$38</f>
        <v/>
      </c>
      <c r="AC34" s="11">
        <f>$F$31*(1+Inputs!$F$125/100*AC29)*(1+Inputs!$F$126/100)*(1+Inputs!$F$120/100)*Inputs!$F$38</f>
        <v/>
      </c>
      <c r="AD34" s="11">
        <f>$F$31*(1+Inputs!$F$125/100*AD29)*(1+Inputs!$F$126/100)*(1+Inputs!$F$120/100)*Inputs!$F$38</f>
        <v/>
      </c>
      <c r="AE34" s="11">
        <f>$F$31*(1+Inputs!$F$125/100*AE29)*(1+Inputs!$F$126/100)*(1+Inputs!$F$120/100)*Inputs!$F$38</f>
        <v/>
      </c>
      <c r="AF34" s="11">
        <f>$F$31*(1+Inputs!$F$125/100*AF29)*(1+Inputs!$F$126/100)*(1+Inputs!$F$120/100)*Inputs!$F$38</f>
        <v/>
      </c>
      <c r="AG34" s="11">
        <f>$F$31*(1+Inputs!$F$125/100*AG29)*(1+Inputs!$F$126/100)*(1+Inputs!$F$120/100)*Inputs!$F$38</f>
        <v/>
      </c>
      <c r="AH34" s="11">
        <f>$F$31*(1+Inputs!$F$125/100*AH29)*(1+Inputs!$F$126/100)*(1+Inputs!$F$120/100)*Inputs!$F$38</f>
        <v/>
      </c>
      <c r="AI34" s="11">
        <f>$F$31*(1+Inputs!$F$125/100*AI29)*(1+Inputs!$F$126/100)*(1+Inputs!$F$120/100)*Inputs!$F$38</f>
        <v/>
      </c>
      <c r="AJ34" s="11">
        <f>$F$31*(1+Inputs!$F$125/100*AJ29)*(1+Inputs!$F$126/100)*(1+Inputs!$F$120/100)*Inputs!$F$38</f>
        <v/>
      </c>
      <c r="AK34" s="11">
        <f>$F$31*(1+Inputs!$F$125/100*AK29)*(1+Inputs!$F$126/100)*(1+Inputs!$F$120/100)*Inputs!$F$38</f>
        <v/>
      </c>
      <c r="AL34" s="11">
        <f>$F$31*(1+Inputs!$F$125/100*AL29)*(1+Inputs!$F$126/100)*(1+Inputs!$F$120/100)*Inputs!$F$38</f>
        <v/>
      </c>
      <c r="AM34" s="11">
        <f>$F$31*(1+Inputs!$F$125/100*AM29)*(1+Inputs!$F$126/100)*(1+Inputs!$F$120/100)*Inputs!$F$38</f>
        <v/>
      </c>
      <c r="AN34" s="11">
        <f>$F$31*(1+Inputs!$F$125/100*AN29)*(1+Inputs!$F$126/100)*(1+Inputs!$F$120/100)*Inputs!$F$38</f>
        <v/>
      </c>
      <c r="AO34" s="11">
        <f>$F$31*(1+Inputs!$F$125/100*AO29)*(1+Inputs!$F$126/100)*(1+Inputs!$F$120/100)*Inputs!$F$38</f>
        <v/>
      </c>
      <c r="AP34" s="11">
        <f>$F$31*(1+Inputs!$F$125/100*AP29)*(1+Inputs!$F$126/100)*(1+Inputs!$F$120/100)*Inputs!$F$38</f>
        <v/>
      </c>
      <c r="AQ34" s="11">
        <f>$F$31*(1+Inputs!$F$125/100*AQ29)*(1+Inputs!$F$126/100)*(1+Inputs!$F$120/100)*Inputs!$F$38</f>
        <v/>
      </c>
      <c r="AR34" s="11">
        <f>$F$31*(1+Inputs!$F$125/100*AR29)*(1+Inputs!$F$126/100)*(1+Inputs!$F$120/100)*Inputs!$F$38</f>
        <v/>
      </c>
      <c r="AS34" s="11">
        <f>$F$31*(1+Inputs!$F$125/100*AS29)*(1+Inputs!$F$126/100)*(1+Inputs!$F$120/100)*Inputs!$F$38</f>
        <v/>
      </c>
      <c r="AT34" s="11">
        <f>$F$31*(1+Inputs!$F$125/100*AT29)*(1+Inputs!$F$126/100)*(1+Inputs!$F$120/100)*Inputs!$F$38</f>
        <v/>
      </c>
      <c r="AU34" s="11">
        <f>$F$31*(1+Inputs!$F$125/100*AU29)*(1+Inputs!$F$126/100)*(1+Inputs!$F$120/100)*Inputs!$F$38</f>
        <v/>
      </c>
      <c r="AV34" s="11">
        <f>$F$31*(1+Inputs!$F$125/100*AV29)*(1+Inputs!$F$126/100)*(1+Inputs!$F$120/100)*Inputs!$F$38</f>
        <v/>
      </c>
      <c r="AW34" s="11">
        <f>$F$31*(1+Inputs!$F$125/100*AW29)*(1+Inputs!$F$126/100)*(1+Inputs!$F$120/100)*Inputs!$F$38</f>
        <v/>
      </c>
      <c r="AX34" s="11">
        <f>$F$31*(1+Inputs!$F$125/100*AX29)*(1+Inputs!$F$126/100)*(1+Inputs!$F$120/100)*Inputs!$F$38</f>
        <v/>
      </c>
      <c r="AY34" s="11">
        <f>$F$31*(1+Inputs!$F$125/100*AY29)*(1+Inputs!$F$126/100)*(1+Inputs!$F$120/100)*Inputs!$F$38</f>
        <v/>
      </c>
      <c r="AZ34" s="11">
        <f>$F$31*(1+Inputs!$F$125/100*AZ29)*(1+Inputs!$F$126/100)*(1+Inputs!$F$120/100)*Inputs!$F$38</f>
        <v/>
      </c>
      <c r="BA34" s="11">
        <f>$F$31*(1+Inputs!$F$125/100*BA29)*(1+Inputs!$F$126/100)*(1+Inputs!$F$120/100)*Inputs!$F$38</f>
        <v/>
      </c>
      <c r="BB34" s="11">
        <f>$F$31*(1+Inputs!$F$125/100*BB29)*(1+Inputs!$F$126/100)*(1+Inputs!$F$120/100)*Inputs!$F$38</f>
        <v/>
      </c>
      <c r="BC34" s="11">
        <f>$F$31*(1+Inputs!$F$125/100*BC29)*(1+Inputs!$F$126/100)*(1+Inputs!$F$120/100)*Inputs!$F$38</f>
        <v/>
      </c>
      <c r="BD34" s="11">
        <f>$F$31*(1+Inputs!$F$125/100*BD29)*(1+Inputs!$F$126/100)*(1+Inputs!$F$120/100)*Inputs!$F$38</f>
        <v/>
      </c>
      <c r="BE34" s="11">
        <f>$F$31*(1+Inputs!$F$125/100*BE29)*(1+Inputs!$F$126/100)*(1+Inputs!$F$120/100)*Inputs!$F$38</f>
        <v/>
      </c>
      <c r="BF34" s="11">
        <f>$F$31*(1+Inputs!$F$125/100*BF29)*(1+Inputs!$F$126/100)*(1+Inputs!$F$120/100)*Inputs!$F$38</f>
        <v/>
      </c>
      <c r="BG34" s="11">
        <f>$F$31*(1+Inputs!$F$125/100*BG29)*(1+Inputs!$F$126/100)*(1+Inputs!$F$120/100)*Inputs!$F$38</f>
        <v/>
      </c>
      <c r="BH34" s="11">
        <f>$F$31*(1+Inputs!$F$125/100*BH29)*(1+Inputs!$F$126/100)*(1+Inputs!$F$120/100)*Inputs!$F$38</f>
        <v/>
      </c>
      <c r="BI34" s="11">
        <f>$F$31*(1+Inputs!$F$125/100*BI29)*(1+Inputs!$F$126/100)*(1+Inputs!$F$120/100)*Inputs!$F$38</f>
        <v/>
      </c>
      <c r="BJ34" s="11">
        <f>$F$31*(1+Inputs!$F$125/100*BJ29)*(1+Inputs!$F$126/100)*(1+Inputs!$F$120/100)*Inputs!$F$38</f>
        <v/>
      </c>
      <c r="BK34" s="11">
        <f>$F$31*(1+Inputs!$F$125/100*BK29)*(1+Inputs!$F$126/100)*(1+Inputs!$F$120/100)*Inputs!$F$38</f>
        <v/>
      </c>
      <c r="BL34" s="11">
        <f>$F$31*(1+Inputs!$F$125/100*BL29)*(1+Inputs!$F$126/100)*(1+Inputs!$F$120/100)*Inputs!$F$38</f>
        <v/>
      </c>
      <c r="BM34" s="11">
        <f>$F$31*(1+Inputs!$F$125/100*BM29)*(1+Inputs!$F$126/100)*(1+Inputs!$F$120/100)*Inputs!$F$38</f>
        <v/>
      </c>
      <c r="BN34" s="11">
        <f>$F$31*(1+Inputs!$F$125/100*BN29)*(1+Inputs!$F$126/100)*(1+Inputs!$F$120/100)*Inputs!$F$38</f>
        <v/>
      </c>
    </row>
    <row r="35">
      <c r="D35" t="inlineStr">
        <is>
          <t>Contracted heat rate at dispatched load</t>
        </is>
      </c>
      <c r="E35" t="inlineStr">
        <is>
          <t>kJ/kWh</t>
        </is>
      </c>
      <c r="J35" s="11">
        <f>Inputs!$F$118*(1+Inputs!$F$119/100*J29)*(1+Inputs!$F$120/100)</f>
        <v/>
      </c>
      <c r="K35" s="11">
        <f>Inputs!$F$118*(1+Inputs!$F$119/100*K29)*(1+Inputs!$F$120/100)</f>
        <v/>
      </c>
      <c r="L35" s="11">
        <f>Inputs!$F$118*(1+Inputs!$F$119/100*L29)*(1+Inputs!$F$120/100)</f>
        <v/>
      </c>
      <c r="M35" s="11">
        <f>Inputs!$F$118*(1+Inputs!$F$119/100*M29)*(1+Inputs!$F$120/100)</f>
        <v/>
      </c>
      <c r="N35" s="11">
        <f>Inputs!$F$118*(1+Inputs!$F$119/100*N29)*(1+Inputs!$F$120/100)</f>
        <v/>
      </c>
      <c r="O35" s="11">
        <f>Inputs!$F$118*(1+Inputs!$F$119/100*O29)*(1+Inputs!$F$120/100)</f>
        <v/>
      </c>
      <c r="P35" s="11">
        <f>Inputs!$F$118*(1+Inputs!$F$119/100*P29)*(1+Inputs!$F$120/100)</f>
        <v/>
      </c>
      <c r="Q35" s="11">
        <f>Inputs!$F$118*(1+Inputs!$F$119/100*Q29)*(1+Inputs!$F$120/100)</f>
        <v/>
      </c>
      <c r="R35" s="11">
        <f>Inputs!$F$118*(1+Inputs!$F$119/100*R29)*(1+Inputs!$F$120/100)</f>
        <v/>
      </c>
      <c r="S35" s="11">
        <f>Inputs!$F$118*(1+Inputs!$F$119/100*S29)*(1+Inputs!$F$120/100)</f>
        <v/>
      </c>
      <c r="T35" s="11">
        <f>Inputs!$F$118*(1+Inputs!$F$119/100*T29)*(1+Inputs!$F$120/100)</f>
        <v/>
      </c>
      <c r="U35" s="11">
        <f>Inputs!$F$118*(1+Inputs!$F$119/100*U29)*(1+Inputs!$F$120/100)</f>
        <v/>
      </c>
      <c r="V35" s="11">
        <f>Inputs!$F$118*(1+Inputs!$F$119/100*V29)*(1+Inputs!$F$120/100)</f>
        <v/>
      </c>
      <c r="W35" s="11">
        <f>Inputs!$F$118*(1+Inputs!$F$119/100*W29)*(1+Inputs!$F$120/100)</f>
        <v/>
      </c>
      <c r="X35" s="11">
        <f>Inputs!$F$118*(1+Inputs!$F$119/100*X29)*(1+Inputs!$F$120/100)</f>
        <v/>
      </c>
      <c r="Y35" s="11">
        <f>Inputs!$F$118*(1+Inputs!$F$119/100*Y29)*(1+Inputs!$F$120/100)</f>
        <v/>
      </c>
      <c r="Z35" s="11">
        <f>Inputs!$F$118*(1+Inputs!$F$119/100*Z29)*(1+Inputs!$F$120/100)</f>
        <v/>
      </c>
      <c r="AA35" s="11">
        <f>Inputs!$F$118*(1+Inputs!$F$119/100*AA29)*(1+Inputs!$F$120/100)</f>
        <v/>
      </c>
      <c r="AB35" s="11">
        <f>Inputs!$F$118*(1+Inputs!$F$119/100*AB29)*(1+Inputs!$F$120/100)</f>
        <v/>
      </c>
      <c r="AC35" s="11">
        <f>Inputs!$F$118*(1+Inputs!$F$119/100*AC29)*(1+Inputs!$F$120/100)</f>
        <v/>
      </c>
      <c r="AD35" s="11">
        <f>Inputs!$F$118*(1+Inputs!$F$119/100*AD29)*(1+Inputs!$F$120/100)</f>
        <v/>
      </c>
      <c r="AE35" s="11">
        <f>Inputs!$F$118*(1+Inputs!$F$119/100*AE29)*(1+Inputs!$F$120/100)</f>
        <v/>
      </c>
      <c r="AF35" s="11">
        <f>Inputs!$F$118*(1+Inputs!$F$119/100*AF29)*(1+Inputs!$F$120/100)</f>
        <v/>
      </c>
      <c r="AG35" s="11">
        <f>Inputs!$F$118*(1+Inputs!$F$119/100*AG29)*(1+Inputs!$F$120/100)</f>
        <v/>
      </c>
      <c r="AH35" s="11">
        <f>Inputs!$F$118*(1+Inputs!$F$119/100*AH29)*(1+Inputs!$F$120/100)</f>
        <v/>
      </c>
      <c r="AI35" s="11">
        <f>Inputs!$F$118*(1+Inputs!$F$119/100*AI29)*(1+Inputs!$F$120/100)</f>
        <v/>
      </c>
      <c r="AJ35" s="11">
        <f>Inputs!$F$118*(1+Inputs!$F$119/100*AJ29)*(1+Inputs!$F$120/100)</f>
        <v/>
      </c>
      <c r="AK35" s="11">
        <f>Inputs!$F$118*(1+Inputs!$F$119/100*AK29)*(1+Inputs!$F$120/100)</f>
        <v/>
      </c>
      <c r="AL35" s="11">
        <f>Inputs!$F$118*(1+Inputs!$F$119/100*AL29)*(1+Inputs!$F$120/100)</f>
        <v/>
      </c>
      <c r="AM35" s="11">
        <f>Inputs!$F$118*(1+Inputs!$F$119/100*AM29)*(1+Inputs!$F$120/100)</f>
        <v/>
      </c>
      <c r="AN35" s="11">
        <f>Inputs!$F$118*(1+Inputs!$F$119/100*AN29)*(1+Inputs!$F$120/100)</f>
        <v/>
      </c>
      <c r="AO35" s="11">
        <f>Inputs!$F$118*(1+Inputs!$F$119/100*AO29)*(1+Inputs!$F$120/100)</f>
        <v/>
      </c>
      <c r="AP35" s="11">
        <f>Inputs!$F$118*(1+Inputs!$F$119/100*AP29)*(1+Inputs!$F$120/100)</f>
        <v/>
      </c>
      <c r="AQ35" s="11">
        <f>Inputs!$F$118*(1+Inputs!$F$119/100*AQ29)*(1+Inputs!$F$120/100)</f>
        <v/>
      </c>
      <c r="AR35" s="11">
        <f>Inputs!$F$118*(1+Inputs!$F$119/100*AR29)*(1+Inputs!$F$120/100)</f>
        <v/>
      </c>
      <c r="AS35" s="11">
        <f>Inputs!$F$118*(1+Inputs!$F$119/100*AS29)*(1+Inputs!$F$120/100)</f>
        <v/>
      </c>
      <c r="AT35" s="11">
        <f>Inputs!$F$118*(1+Inputs!$F$119/100*AT29)*(1+Inputs!$F$120/100)</f>
        <v/>
      </c>
      <c r="AU35" s="11">
        <f>Inputs!$F$118*(1+Inputs!$F$119/100*AU29)*(1+Inputs!$F$120/100)</f>
        <v/>
      </c>
      <c r="AV35" s="11">
        <f>Inputs!$F$118*(1+Inputs!$F$119/100*AV29)*(1+Inputs!$F$120/100)</f>
        <v/>
      </c>
      <c r="AW35" s="11">
        <f>Inputs!$F$118*(1+Inputs!$F$119/100*AW29)*(1+Inputs!$F$120/100)</f>
        <v/>
      </c>
      <c r="AX35" s="11">
        <f>Inputs!$F$118*(1+Inputs!$F$119/100*AX29)*(1+Inputs!$F$120/100)</f>
        <v/>
      </c>
      <c r="AY35" s="11">
        <f>Inputs!$F$118*(1+Inputs!$F$119/100*AY29)*(1+Inputs!$F$120/100)</f>
        <v/>
      </c>
      <c r="AZ35" s="11">
        <f>Inputs!$F$118*(1+Inputs!$F$119/100*AZ29)*(1+Inputs!$F$120/100)</f>
        <v/>
      </c>
      <c r="BA35" s="11">
        <f>Inputs!$F$118*(1+Inputs!$F$119/100*BA29)*(1+Inputs!$F$120/100)</f>
        <v/>
      </c>
      <c r="BB35" s="11">
        <f>Inputs!$F$118*(1+Inputs!$F$119/100*BB29)*(1+Inputs!$F$120/100)</f>
        <v/>
      </c>
      <c r="BC35" s="11">
        <f>Inputs!$F$118*(1+Inputs!$F$119/100*BC29)*(1+Inputs!$F$120/100)</f>
        <v/>
      </c>
      <c r="BD35" s="11">
        <f>Inputs!$F$118*(1+Inputs!$F$119/100*BD29)*(1+Inputs!$F$120/100)</f>
        <v/>
      </c>
      <c r="BE35" s="11">
        <f>Inputs!$F$118*(1+Inputs!$F$119/100*BE29)*(1+Inputs!$F$120/100)</f>
        <v/>
      </c>
      <c r="BF35" s="11">
        <f>Inputs!$F$118*(1+Inputs!$F$119/100*BF29)*(1+Inputs!$F$120/100)</f>
        <v/>
      </c>
      <c r="BG35" s="11">
        <f>Inputs!$F$118*(1+Inputs!$F$119/100*BG29)*(1+Inputs!$F$120/100)</f>
        <v/>
      </c>
      <c r="BH35" s="11">
        <f>Inputs!$F$118*(1+Inputs!$F$119/100*BH29)*(1+Inputs!$F$120/100)</f>
        <v/>
      </c>
      <c r="BI35" s="11">
        <f>Inputs!$F$118*(1+Inputs!$F$119/100*BI29)*(1+Inputs!$F$120/100)</f>
        <v/>
      </c>
      <c r="BJ35" s="11">
        <f>Inputs!$F$118*(1+Inputs!$F$119/100*BJ29)*(1+Inputs!$F$120/100)</f>
        <v/>
      </c>
      <c r="BK35" s="11">
        <f>Inputs!$F$118*(1+Inputs!$F$119/100*BK29)*(1+Inputs!$F$120/100)</f>
        <v/>
      </c>
      <c r="BL35" s="11">
        <f>Inputs!$F$118*(1+Inputs!$F$119/100*BL29)*(1+Inputs!$F$120/100)</f>
        <v/>
      </c>
      <c r="BM35" s="11">
        <f>Inputs!$F$118*(1+Inputs!$F$119/100*BM29)*(1+Inputs!$F$120/100)</f>
        <v/>
      </c>
      <c r="BN35" s="11">
        <f>Inputs!$F$118*(1+Inputs!$F$119/100*BN29)*(1+Inputs!$F$120/100)</f>
        <v/>
      </c>
    </row>
    <row r="36">
      <c r="D36" t="inlineStr">
        <is>
          <t>Gas price (GCV)</t>
        </is>
      </c>
      <c r="E36" t="inlineStr">
        <is>
          <t>USD/MMBtu</t>
        </is>
      </c>
      <c r="J36" s="11">
        <f>Inputs!$F$139*(1+Inputs!$F$140/100)^(Time!J21-2018)*Inputs!$F$40</f>
        <v/>
      </c>
      <c r="K36" s="11">
        <f>Inputs!$F$139*(1+Inputs!$F$140/100)^(Time!K21-2018)*Inputs!$F$40</f>
        <v/>
      </c>
      <c r="L36" s="11">
        <f>Inputs!$F$139*(1+Inputs!$F$140/100)^(Time!L21-2018)*Inputs!$F$40</f>
        <v/>
      </c>
      <c r="M36" s="11">
        <f>Inputs!$F$139*(1+Inputs!$F$140/100)^(Time!M21-2018)*Inputs!$F$40</f>
        <v/>
      </c>
      <c r="N36" s="11">
        <f>Inputs!$F$139*(1+Inputs!$F$140/100)^(Time!N21-2018)*Inputs!$F$40</f>
        <v/>
      </c>
      <c r="O36" s="11">
        <f>Inputs!$F$139*(1+Inputs!$F$140/100)^(Time!O21-2018)*Inputs!$F$40</f>
        <v/>
      </c>
      <c r="P36" s="11">
        <f>Inputs!$F$139*(1+Inputs!$F$140/100)^(Time!P21-2018)*Inputs!$F$40</f>
        <v/>
      </c>
      <c r="Q36" s="11">
        <f>Inputs!$F$139*(1+Inputs!$F$140/100)^(Time!Q21-2018)*Inputs!$F$40</f>
        <v/>
      </c>
      <c r="R36" s="11">
        <f>Inputs!$F$139*(1+Inputs!$F$140/100)^(Time!R21-2018)*Inputs!$F$40</f>
        <v/>
      </c>
      <c r="S36" s="11">
        <f>Inputs!$F$139*(1+Inputs!$F$140/100)^(Time!S21-2018)*Inputs!$F$40</f>
        <v/>
      </c>
      <c r="T36" s="11">
        <f>Inputs!$F$139*(1+Inputs!$F$140/100)^(Time!T21-2018)*Inputs!$F$40</f>
        <v/>
      </c>
      <c r="U36" s="11">
        <f>Inputs!$F$139*(1+Inputs!$F$140/100)^(Time!U21-2018)*Inputs!$F$40</f>
        <v/>
      </c>
      <c r="V36" s="11">
        <f>Inputs!$F$139*(1+Inputs!$F$140/100)^(Time!V21-2018)*Inputs!$F$40</f>
        <v/>
      </c>
      <c r="W36" s="11">
        <f>Inputs!$F$139*(1+Inputs!$F$140/100)^(Time!W21-2018)*Inputs!$F$40</f>
        <v/>
      </c>
      <c r="X36" s="11">
        <f>Inputs!$F$139*(1+Inputs!$F$140/100)^(Time!X21-2018)*Inputs!$F$40</f>
        <v/>
      </c>
      <c r="Y36" s="11">
        <f>Inputs!$F$139*(1+Inputs!$F$140/100)^(Time!Y21-2018)*Inputs!$F$40</f>
        <v/>
      </c>
      <c r="Z36" s="11">
        <f>Inputs!$F$139*(1+Inputs!$F$140/100)^(Time!Z21-2018)*Inputs!$F$40</f>
        <v/>
      </c>
      <c r="AA36" s="11">
        <f>Inputs!$F$139*(1+Inputs!$F$140/100)^(Time!AA21-2018)*Inputs!$F$40</f>
        <v/>
      </c>
      <c r="AB36" s="11">
        <f>Inputs!$F$139*(1+Inputs!$F$140/100)^(Time!AB21-2018)*Inputs!$F$40</f>
        <v/>
      </c>
      <c r="AC36" s="11">
        <f>Inputs!$F$139*(1+Inputs!$F$140/100)^(Time!AC21-2018)*Inputs!$F$40</f>
        <v/>
      </c>
      <c r="AD36" s="11">
        <f>Inputs!$F$139*(1+Inputs!$F$140/100)^(Time!AD21-2018)*Inputs!$F$40</f>
        <v/>
      </c>
      <c r="AE36" s="11">
        <f>Inputs!$F$139*(1+Inputs!$F$140/100)^(Time!AE21-2018)*Inputs!$F$40</f>
        <v/>
      </c>
      <c r="AF36" s="11">
        <f>Inputs!$F$139*(1+Inputs!$F$140/100)^(Time!AF21-2018)*Inputs!$F$40</f>
        <v/>
      </c>
      <c r="AG36" s="11">
        <f>Inputs!$F$139*(1+Inputs!$F$140/100)^(Time!AG21-2018)*Inputs!$F$40</f>
        <v/>
      </c>
      <c r="AH36" s="11">
        <f>Inputs!$F$139*(1+Inputs!$F$140/100)^(Time!AH21-2018)*Inputs!$F$40</f>
        <v/>
      </c>
      <c r="AI36" s="11">
        <f>Inputs!$F$139*(1+Inputs!$F$140/100)^(Time!AI21-2018)*Inputs!$F$40</f>
        <v/>
      </c>
      <c r="AJ36" s="11">
        <f>Inputs!$F$139*(1+Inputs!$F$140/100)^(Time!AJ21-2018)*Inputs!$F$40</f>
        <v/>
      </c>
      <c r="AK36" s="11">
        <f>Inputs!$F$139*(1+Inputs!$F$140/100)^(Time!AK21-2018)*Inputs!$F$40</f>
        <v/>
      </c>
      <c r="AL36" s="11">
        <f>Inputs!$F$139*(1+Inputs!$F$140/100)^(Time!AL21-2018)*Inputs!$F$40</f>
        <v/>
      </c>
      <c r="AM36" s="11">
        <f>Inputs!$F$139*(1+Inputs!$F$140/100)^(Time!AM21-2018)*Inputs!$F$40</f>
        <v/>
      </c>
      <c r="AN36" s="11">
        <f>Inputs!$F$139*(1+Inputs!$F$140/100)^(Time!AN21-2018)*Inputs!$F$40</f>
        <v/>
      </c>
      <c r="AO36" s="11">
        <f>Inputs!$F$139*(1+Inputs!$F$140/100)^(Time!AO21-2018)*Inputs!$F$40</f>
        <v/>
      </c>
      <c r="AP36" s="11">
        <f>Inputs!$F$139*(1+Inputs!$F$140/100)^(Time!AP21-2018)*Inputs!$F$40</f>
        <v/>
      </c>
      <c r="AQ36" s="11">
        <f>Inputs!$F$139*(1+Inputs!$F$140/100)^(Time!AQ21-2018)*Inputs!$F$40</f>
        <v/>
      </c>
      <c r="AR36" s="11">
        <f>Inputs!$F$139*(1+Inputs!$F$140/100)^(Time!AR21-2018)*Inputs!$F$40</f>
        <v/>
      </c>
      <c r="AS36" s="11">
        <f>Inputs!$F$139*(1+Inputs!$F$140/100)^(Time!AS21-2018)*Inputs!$F$40</f>
        <v/>
      </c>
      <c r="AT36" s="11">
        <f>Inputs!$F$139*(1+Inputs!$F$140/100)^(Time!AT21-2018)*Inputs!$F$40</f>
        <v/>
      </c>
      <c r="AU36" s="11">
        <f>Inputs!$F$139*(1+Inputs!$F$140/100)^(Time!AU21-2018)*Inputs!$F$40</f>
        <v/>
      </c>
      <c r="AV36" s="11">
        <f>Inputs!$F$139*(1+Inputs!$F$140/100)^(Time!AV21-2018)*Inputs!$F$40</f>
        <v/>
      </c>
      <c r="AW36" s="11">
        <f>Inputs!$F$139*(1+Inputs!$F$140/100)^(Time!AW21-2018)*Inputs!$F$40</f>
        <v/>
      </c>
      <c r="AX36" s="11">
        <f>Inputs!$F$139*(1+Inputs!$F$140/100)^(Time!AX21-2018)*Inputs!$F$40</f>
        <v/>
      </c>
      <c r="AY36" s="11">
        <f>Inputs!$F$139*(1+Inputs!$F$140/100)^(Time!AY21-2018)*Inputs!$F$40</f>
        <v/>
      </c>
      <c r="AZ36" s="11">
        <f>Inputs!$F$139*(1+Inputs!$F$140/100)^(Time!AZ21-2018)*Inputs!$F$40</f>
        <v/>
      </c>
      <c r="BA36" s="11">
        <f>Inputs!$F$139*(1+Inputs!$F$140/100)^(Time!BA21-2018)*Inputs!$F$40</f>
        <v/>
      </c>
      <c r="BB36" s="11">
        <f>Inputs!$F$139*(1+Inputs!$F$140/100)^(Time!BB21-2018)*Inputs!$F$40</f>
        <v/>
      </c>
      <c r="BC36" s="11">
        <f>Inputs!$F$139*(1+Inputs!$F$140/100)^(Time!BC21-2018)*Inputs!$F$40</f>
        <v/>
      </c>
      <c r="BD36" s="11">
        <f>Inputs!$F$139*(1+Inputs!$F$140/100)^(Time!BD21-2018)*Inputs!$F$40</f>
        <v/>
      </c>
      <c r="BE36" s="11">
        <f>Inputs!$F$139*(1+Inputs!$F$140/100)^(Time!BE21-2018)*Inputs!$F$40</f>
        <v/>
      </c>
      <c r="BF36" s="11">
        <f>Inputs!$F$139*(1+Inputs!$F$140/100)^(Time!BF21-2018)*Inputs!$F$40</f>
        <v/>
      </c>
      <c r="BG36" s="11">
        <f>Inputs!$F$139*(1+Inputs!$F$140/100)^(Time!BG21-2018)*Inputs!$F$40</f>
        <v/>
      </c>
      <c r="BH36" s="11">
        <f>Inputs!$F$139*(1+Inputs!$F$140/100)^(Time!BH21-2018)*Inputs!$F$40</f>
        <v/>
      </c>
      <c r="BI36" s="11">
        <f>Inputs!$F$139*(1+Inputs!$F$140/100)^(Time!BI21-2018)*Inputs!$F$40</f>
        <v/>
      </c>
      <c r="BJ36" s="11">
        <f>Inputs!$F$139*(1+Inputs!$F$140/100)^(Time!BJ21-2018)*Inputs!$F$40</f>
        <v/>
      </c>
      <c r="BK36" s="11">
        <f>Inputs!$F$139*(1+Inputs!$F$140/100)^(Time!BK21-2018)*Inputs!$F$40</f>
        <v/>
      </c>
      <c r="BL36" s="11">
        <f>Inputs!$F$139*(1+Inputs!$F$140/100)^(Time!BL21-2018)*Inputs!$F$40</f>
        <v/>
      </c>
      <c r="BM36" s="11">
        <f>Inputs!$F$139*(1+Inputs!$F$140/100)^(Time!BM21-2018)*Inputs!$F$40</f>
        <v/>
      </c>
      <c r="BN36" s="11">
        <f>Inputs!$F$139*(1+Inputs!$F$140/100)^(Time!BN21-2018)*Inputs!$F$40</f>
        <v/>
      </c>
    </row>
    <row r="37">
      <c r="D37" t="inlineStr">
        <is>
          <t>Gas burned</t>
        </is>
      </c>
      <c r="E37" t="inlineStr">
        <is>
          <t>MMBtu</t>
        </is>
      </c>
      <c r="J37" s="13">
        <f>J33*J34*(1000*Inputs!$F$121/Inputs!$F$122)</f>
        <v/>
      </c>
      <c r="K37" s="13">
        <f>K33*K34*(1000*Inputs!$F$121/Inputs!$F$122)</f>
        <v/>
      </c>
      <c r="L37" s="13">
        <f>L33*L34*(1000*Inputs!$F$121/Inputs!$F$122)</f>
        <v/>
      </c>
      <c r="M37" s="13">
        <f>M33*M34*(1000*Inputs!$F$121/Inputs!$F$122)</f>
        <v/>
      </c>
      <c r="N37" s="13">
        <f>N33*N34*(1000*Inputs!$F$121/Inputs!$F$122)</f>
        <v/>
      </c>
      <c r="O37" s="13">
        <f>O33*O34*(1000*Inputs!$F$121/Inputs!$F$122)</f>
        <v/>
      </c>
      <c r="P37" s="13">
        <f>P33*P34*(1000*Inputs!$F$121/Inputs!$F$122)</f>
        <v/>
      </c>
      <c r="Q37" s="13">
        <f>Q33*Q34*(1000*Inputs!$F$121/Inputs!$F$122)</f>
        <v/>
      </c>
      <c r="R37" s="13">
        <f>R33*R34*(1000*Inputs!$F$121/Inputs!$F$122)</f>
        <v/>
      </c>
      <c r="S37" s="13">
        <f>S33*S34*(1000*Inputs!$F$121/Inputs!$F$122)</f>
        <v/>
      </c>
      <c r="T37" s="13">
        <f>T33*T34*(1000*Inputs!$F$121/Inputs!$F$122)</f>
        <v/>
      </c>
      <c r="U37" s="13">
        <f>U33*U34*(1000*Inputs!$F$121/Inputs!$F$122)</f>
        <v/>
      </c>
      <c r="V37" s="13">
        <f>V33*V34*(1000*Inputs!$F$121/Inputs!$F$122)</f>
        <v/>
      </c>
      <c r="W37" s="13">
        <f>W33*W34*(1000*Inputs!$F$121/Inputs!$F$122)</f>
        <v/>
      </c>
      <c r="X37" s="13">
        <f>X33*X34*(1000*Inputs!$F$121/Inputs!$F$122)</f>
        <v/>
      </c>
      <c r="Y37" s="13">
        <f>Y33*Y34*(1000*Inputs!$F$121/Inputs!$F$122)</f>
        <v/>
      </c>
      <c r="Z37" s="13">
        <f>Z33*Z34*(1000*Inputs!$F$121/Inputs!$F$122)</f>
        <v/>
      </c>
      <c r="AA37" s="13">
        <f>AA33*AA34*(1000*Inputs!$F$121/Inputs!$F$122)</f>
        <v/>
      </c>
      <c r="AB37" s="13">
        <f>AB33*AB34*(1000*Inputs!$F$121/Inputs!$F$122)</f>
        <v/>
      </c>
      <c r="AC37" s="13">
        <f>AC33*AC34*(1000*Inputs!$F$121/Inputs!$F$122)</f>
        <v/>
      </c>
      <c r="AD37" s="13">
        <f>AD33*AD34*(1000*Inputs!$F$121/Inputs!$F$122)</f>
        <v/>
      </c>
      <c r="AE37" s="13">
        <f>AE33*AE34*(1000*Inputs!$F$121/Inputs!$F$122)</f>
        <v/>
      </c>
      <c r="AF37" s="13">
        <f>AF33*AF34*(1000*Inputs!$F$121/Inputs!$F$122)</f>
        <v/>
      </c>
      <c r="AG37" s="13">
        <f>AG33*AG34*(1000*Inputs!$F$121/Inputs!$F$122)</f>
        <v/>
      </c>
      <c r="AH37" s="13">
        <f>AH33*AH34*(1000*Inputs!$F$121/Inputs!$F$122)</f>
        <v/>
      </c>
      <c r="AI37" s="13">
        <f>AI33*AI34*(1000*Inputs!$F$121/Inputs!$F$122)</f>
        <v/>
      </c>
      <c r="AJ37" s="13">
        <f>AJ33*AJ34*(1000*Inputs!$F$121/Inputs!$F$122)</f>
        <v/>
      </c>
      <c r="AK37" s="13">
        <f>AK33*AK34*(1000*Inputs!$F$121/Inputs!$F$122)</f>
        <v/>
      </c>
      <c r="AL37" s="13">
        <f>AL33*AL34*(1000*Inputs!$F$121/Inputs!$F$122)</f>
        <v/>
      </c>
      <c r="AM37" s="13">
        <f>AM33*AM34*(1000*Inputs!$F$121/Inputs!$F$122)</f>
        <v/>
      </c>
      <c r="AN37" s="13">
        <f>AN33*AN34*(1000*Inputs!$F$121/Inputs!$F$122)</f>
        <v/>
      </c>
      <c r="AO37" s="13">
        <f>AO33*AO34*(1000*Inputs!$F$121/Inputs!$F$122)</f>
        <v/>
      </c>
      <c r="AP37" s="13">
        <f>AP33*AP34*(1000*Inputs!$F$121/Inputs!$F$122)</f>
        <v/>
      </c>
      <c r="AQ37" s="13">
        <f>AQ33*AQ34*(1000*Inputs!$F$121/Inputs!$F$122)</f>
        <v/>
      </c>
      <c r="AR37" s="13">
        <f>AR33*AR34*(1000*Inputs!$F$121/Inputs!$F$122)</f>
        <v/>
      </c>
      <c r="AS37" s="13">
        <f>AS33*AS34*(1000*Inputs!$F$121/Inputs!$F$122)</f>
        <v/>
      </c>
      <c r="AT37" s="13">
        <f>AT33*AT34*(1000*Inputs!$F$121/Inputs!$F$122)</f>
        <v/>
      </c>
      <c r="AU37" s="13">
        <f>AU33*AU34*(1000*Inputs!$F$121/Inputs!$F$122)</f>
        <v/>
      </c>
      <c r="AV37" s="13">
        <f>AV33*AV34*(1000*Inputs!$F$121/Inputs!$F$122)</f>
        <v/>
      </c>
      <c r="AW37" s="13">
        <f>AW33*AW34*(1000*Inputs!$F$121/Inputs!$F$122)</f>
        <v/>
      </c>
      <c r="AX37" s="13">
        <f>AX33*AX34*(1000*Inputs!$F$121/Inputs!$F$122)</f>
        <v/>
      </c>
      <c r="AY37" s="13">
        <f>AY33*AY34*(1000*Inputs!$F$121/Inputs!$F$122)</f>
        <v/>
      </c>
      <c r="AZ37" s="13">
        <f>AZ33*AZ34*(1000*Inputs!$F$121/Inputs!$F$122)</f>
        <v/>
      </c>
      <c r="BA37" s="13">
        <f>BA33*BA34*(1000*Inputs!$F$121/Inputs!$F$122)</f>
        <v/>
      </c>
      <c r="BB37" s="13">
        <f>BB33*BB34*(1000*Inputs!$F$121/Inputs!$F$122)</f>
        <v/>
      </c>
      <c r="BC37" s="13">
        <f>BC33*BC34*(1000*Inputs!$F$121/Inputs!$F$122)</f>
        <v/>
      </c>
      <c r="BD37" s="13">
        <f>BD33*BD34*(1000*Inputs!$F$121/Inputs!$F$122)</f>
        <v/>
      </c>
      <c r="BE37" s="13">
        <f>BE33*BE34*(1000*Inputs!$F$121/Inputs!$F$122)</f>
        <v/>
      </c>
      <c r="BF37" s="13">
        <f>BF33*BF34*(1000*Inputs!$F$121/Inputs!$F$122)</f>
        <v/>
      </c>
      <c r="BG37" s="13">
        <f>BG33*BG34*(1000*Inputs!$F$121/Inputs!$F$122)</f>
        <v/>
      </c>
      <c r="BH37" s="13">
        <f>BH33*BH34*(1000*Inputs!$F$121/Inputs!$F$122)</f>
        <v/>
      </c>
      <c r="BI37" s="13">
        <f>BI33*BI34*(1000*Inputs!$F$121/Inputs!$F$122)</f>
        <v/>
      </c>
      <c r="BJ37" s="13">
        <f>BJ33*BJ34*(1000*Inputs!$F$121/Inputs!$F$122)</f>
        <v/>
      </c>
      <c r="BK37" s="13">
        <f>BK33*BK34*(1000*Inputs!$F$121/Inputs!$F$122)</f>
        <v/>
      </c>
      <c r="BL37" s="13">
        <f>BL33*BL34*(1000*Inputs!$F$121/Inputs!$F$122)</f>
        <v/>
      </c>
      <c r="BM37" s="13">
        <f>BM33*BM34*(1000*Inputs!$F$121/Inputs!$F$122)</f>
        <v/>
      </c>
      <c r="BN37" s="13">
        <f>BN33*BN34*(1000*Inputs!$F$121/Inputs!$F$122)</f>
        <v/>
      </c>
    </row>
    <row r="38">
      <c r="D38" t="inlineStr">
        <is>
          <t>Take-or-pay quantity</t>
        </is>
      </c>
      <c r="E38" t="inlineStr">
        <is>
          <t>MMBtu</t>
        </is>
      </c>
      <c r="J38" s="13">
        <f>Inputs!$F$142*Inputs!$F$141*Time!J26</f>
        <v/>
      </c>
      <c r="K38" s="13">
        <f>Inputs!$F$142*Inputs!$F$141*Time!K26</f>
        <v/>
      </c>
      <c r="L38" s="13">
        <f>Inputs!$F$142*Inputs!$F$141*Time!L26</f>
        <v/>
      </c>
      <c r="M38" s="13">
        <f>Inputs!$F$142*Inputs!$F$141*Time!M26</f>
        <v/>
      </c>
      <c r="N38" s="13">
        <f>Inputs!$F$142*Inputs!$F$141*Time!N26</f>
        <v/>
      </c>
      <c r="O38" s="13">
        <f>Inputs!$F$142*Inputs!$F$141*Time!O26</f>
        <v/>
      </c>
      <c r="P38" s="13">
        <f>Inputs!$F$142*Inputs!$F$141*Time!P26</f>
        <v/>
      </c>
      <c r="Q38" s="13">
        <f>Inputs!$F$142*Inputs!$F$141*Time!Q26</f>
        <v/>
      </c>
      <c r="R38" s="13">
        <f>Inputs!$F$142*Inputs!$F$141*Time!R26</f>
        <v/>
      </c>
      <c r="S38" s="13">
        <f>Inputs!$F$142*Inputs!$F$141*Time!S26</f>
        <v/>
      </c>
      <c r="T38" s="13">
        <f>Inputs!$F$142*Inputs!$F$141*Time!T26</f>
        <v/>
      </c>
      <c r="U38" s="13">
        <f>Inputs!$F$142*Inputs!$F$141*Time!U26</f>
        <v/>
      </c>
      <c r="V38" s="13">
        <f>Inputs!$F$142*Inputs!$F$141*Time!V26</f>
        <v/>
      </c>
      <c r="W38" s="13">
        <f>Inputs!$F$142*Inputs!$F$141*Time!W26</f>
        <v/>
      </c>
      <c r="X38" s="13">
        <f>Inputs!$F$142*Inputs!$F$141*Time!X26</f>
        <v/>
      </c>
      <c r="Y38" s="13">
        <f>Inputs!$F$142*Inputs!$F$141*Time!Y26</f>
        <v/>
      </c>
      <c r="Z38" s="13">
        <f>Inputs!$F$142*Inputs!$F$141*Time!Z26</f>
        <v/>
      </c>
      <c r="AA38" s="13">
        <f>Inputs!$F$142*Inputs!$F$141*Time!AA26</f>
        <v/>
      </c>
      <c r="AB38" s="13">
        <f>Inputs!$F$142*Inputs!$F$141*Time!AB26</f>
        <v/>
      </c>
      <c r="AC38" s="13">
        <f>Inputs!$F$142*Inputs!$F$141*Time!AC26</f>
        <v/>
      </c>
      <c r="AD38" s="13">
        <f>Inputs!$F$142*Inputs!$F$141*Time!AD26</f>
        <v/>
      </c>
      <c r="AE38" s="13">
        <f>Inputs!$F$142*Inputs!$F$141*Time!AE26</f>
        <v/>
      </c>
      <c r="AF38" s="13">
        <f>Inputs!$F$142*Inputs!$F$141*Time!AF26</f>
        <v/>
      </c>
      <c r="AG38" s="13">
        <f>Inputs!$F$142*Inputs!$F$141*Time!AG26</f>
        <v/>
      </c>
      <c r="AH38" s="13">
        <f>Inputs!$F$142*Inputs!$F$141*Time!AH26</f>
        <v/>
      </c>
      <c r="AI38" s="13">
        <f>Inputs!$F$142*Inputs!$F$141*Time!AI26</f>
        <v/>
      </c>
      <c r="AJ38" s="13">
        <f>Inputs!$F$142*Inputs!$F$141*Time!AJ26</f>
        <v/>
      </c>
      <c r="AK38" s="13">
        <f>Inputs!$F$142*Inputs!$F$141*Time!AK26</f>
        <v/>
      </c>
      <c r="AL38" s="13">
        <f>Inputs!$F$142*Inputs!$F$141*Time!AL26</f>
        <v/>
      </c>
      <c r="AM38" s="13">
        <f>Inputs!$F$142*Inputs!$F$141*Time!AM26</f>
        <v/>
      </c>
      <c r="AN38" s="13">
        <f>Inputs!$F$142*Inputs!$F$141*Time!AN26</f>
        <v/>
      </c>
      <c r="AO38" s="13">
        <f>Inputs!$F$142*Inputs!$F$141*Time!AO26</f>
        <v/>
      </c>
      <c r="AP38" s="13">
        <f>Inputs!$F$142*Inputs!$F$141*Time!AP26</f>
        <v/>
      </c>
      <c r="AQ38" s="13">
        <f>Inputs!$F$142*Inputs!$F$141*Time!AQ26</f>
        <v/>
      </c>
      <c r="AR38" s="13">
        <f>Inputs!$F$142*Inputs!$F$141*Time!AR26</f>
        <v/>
      </c>
      <c r="AS38" s="13">
        <f>Inputs!$F$142*Inputs!$F$141*Time!AS26</f>
        <v/>
      </c>
      <c r="AT38" s="13">
        <f>Inputs!$F$142*Inputs!$F$141*Time!AT26</f>
        <v/>
      </c>
      <c r="AU38" s="13">
        <f>Inputs!$F$142*Inputs!$F$141*Time!AU26</f>
        <v/>
      </c>
      <c r="AV38" s="13">
        <f>Inputs!$F$142*Inputs!$F$141*Time!AV26</f>
        <v/>
      </c>
      <c r="AW38" s="13">
        <f>Inputs!$F$142*Inputs!$F$141*Time!AW26</f>
        <v/>
      </c>
      <c r="AX38" s="13">
        <f>Inputs!$F$142*Inputs!$F$141*Time!AX26</f>
        <v/>
      </c>
      <c r="AY38" s="13">
        <f>Inputs!$F$142*Inputs!$F$141*Time!AY26</f>
        <v/>
      </c>
      <c r="AZ38" s="13">
        <f>Inputs!$F$142*Inputs!$F$141*Time!AZ26</f>
        <v/>
      </c>
      <c r="BA38" s="13">
        <f>Inputs!$F$142*Inputs!$F$141*Time!BA26</f>
        <v/>
      </c>
      <c r="BB38" s="13">
        <f>Inputs!$F$142*Inputs!$F$141*Time!BB26</f>
        <v/>
      </c>
      <c r="BC38" s="13">
        <f>Inputs!$F$142*Inputs!$F$141*Time!BC26</f>
        <v/>
      </c>
      <c r="BD38" s="13">
        <f>Inputs!$F$142*Inputs!$F$141*Time!BD26</f>
        <v/>
      </c>
      <c r="BE38" s="13">
        <f>Inputs!$F$142*Inputs!$F$141*Time!BE26</f>
        <v/>
      </c>
      <c r="BF38" s="13">
        <f>Inputs!$F$142*Inputs!$F$141*Time!BF26</f>
        <v/>
      </c>
      <c r="BG38" s="13">
        <f>Inputs!$F$142*Inputs!$F$141*Time!BG26</f>
        <v/>
      </c>
      <c r="BH38" s="13">
        <f>Inputs!$F$142*Inputs!$F$141*Time!BH26</f>
        <v/>
      </c>
      <c r="BI38" s="13">
        <f>Inputs!$F$142*Inputs!$F$141*Time!BI26</f>
        <v/>
      </c>
      <c r="BJ38" s="13">
        <f>Inputs!$F$142*Inputs!$F$141*Time!BJ26</f>
        <v/>
      </c>
      <c r="BK38" s="13">
        <f>Inputs!$F$142*Inputs!$F$141*Time!BK26</f>
        <v/>
      </c>
      <c r="BL38" s="13">
        <f>Inputs!$F$142*Inputs!$F$141*Time!BL26</f>
        <v/>
      </c>
      <c r="BM38" s="13">
        <f>Inputs!$F$142*Inputs!$F$141*Time!BM26</f>
        <v/>
      </c>
      <c r="BN38" s="13">
        <f>Inputs!$F$142*Inputs!$F$141*Time!BN26</f>
        <v/>
      </c>
    </row>
    <row r="39">
      <c r="B39" s="2" t="inlineStr">
        <is>
          <t>Revenue (USD m)</t>
        </is>
      </c>
    </row>
    <row r="40">
      <c r="D40" t="inlineStr">
        <is>
          <t>Capital charge, indexed</t>
        </is>
      </c>
      <c r="E40" t="inlineStr">
        <is>
          <t>USD/kW-month</t>
        </is>
      </c>
      <c r="J40" s="11">
        <f>Inputs!$F$131*Inputs!$F$53*(1-Inputs!$F$132+Inputs!$F$132*J18/100)</f>
        <v/>
      </c>
      <c r="K40" s="11">
        <f>Inputs!$F$131*Inputs!$F$53*(1-Inputs!$F$132+Inputs!$F$132*K18/100)</f>
        <v/>
      </c>
      <c r="L40" s="11">
        <f>Inputs!$F$131*Inputs!$F$53*(1-Inputs!$F$132+Inputs!$F$132*L18/100)</f>
        <v/>
      </c>
      <c r="M40" s="11">
        <f>Inputs!$F$131*Inputs!$F$53*(1-Inputs!$F$132+Inputs!$F$132*M18/100)</f>
        <v/>
      </c>
      <c r="N40" s="11">
        <f>Inputs!$F$131*Inputs!$F$53*(1-Inputs!$F$132+Inputs!$F$132*N18/100)</f>
        <v/>
      </c>
      <c r="O40" s="11">
        <f>Inputs!$F$131*Inputs!$F$53*(1-Inputs!$F$132+Inputs!$F$132*O18/100)</f>
        <v/>
      </c>
      <c r="P40" s="11">
        <f>Inputs!$F$131*Inputs!$F$53*(1-Inputs!$F$132+Inputs!$F$132*P18/100)</f>
        <v/>
      </c>
      <c r="Q40" s="11">
        <f>Inputs!$F$131*Inputs!$F$53*(1-Inputs!$F$132+Inputs!$F$132*Q18/100)</f>
        <v/>
      </c>
      <c r="R40" s="11">
        <f>Inputs!$F$131*Inputs!$F$53*(1-Inputs!$F$132+Inputs!$F$132*R18/100)</f>
        <v/>
      </c>
      <c r="S40" s="11">
        <f>Inputs!$F$131*Inputs!$F$53*(1-Inputs!$F$132+Inputs!$F$132*S18/100)</f>
        <v/>
      </c>
      <c r="T40" s="11">
        <f>Inputs!$F$131*Inputs!$F$53*(1-Inputs!$F$132+Inputs!$F$132*T18/100)</f>
        <v/>
      </c>
      <c r="U40" s="11">
        <f>Inputs!$F$131*Inputs!$F$53*(1-Inputs!$F$132+Inputs!$F$132*U18/100)</f>
        <v/>
      </c>
      <c r="V40" s="11">
        <f>Inputs!$F$131*Inputs!$F$53*(1-Inputs!$F$132+Inputs!$F$132*V18/100)</f>
        <v/>
      </c>
      <c r="W40" s="11">
        <f>Inputs!$F$131*Inputs!$F$53*(1-Inputs!$F$132+Inputs!$F$132*W18/100)</f>
        <v/>
      </c>
      <c r="X40" s="11">
        <f>Inputs!$F$131*Inputs!$F$53*(1-Inputs!$F$132+Inputs!$F$132*X18/100)</f>
        <v/>
      </c>
      <c r="Y40" s="11">
        <f>Inputs!$F$131*Inputs!$F$53*(1-Inputs!$F$132+Inputs!$F$132*Y18/100)</f>
        <v/>
      </c>
      <c r="Z40" s="11">
        <f>Inputs!$F$131*Inputs!$F$53*(1-Inputs!$F$132+Inputs!$F$132*Z18/100)</f>
        <v/>
      </c>
      <c r="AA40" s="11">
        <f>Inputs!$F$131*Inputs!$F$53*(1-Inputs!$F$132+Inputs!$F$132*AA18/100)</f>
        <v/>
      </c>
      <c r="AB40" s="11">
        <f>Inputs!$F$131*Inputs!$F$53*(1-Inputs!$F$132+Inputs!$F$132*AB18/100)</f>
        <v/>
      </c>
      <c r="AC40" s="11">
        <f>Inputs!$F$131*Inputs!$F$53*(1-Inputs!$F$132+Inputs!$F$132*AC18/100)</f>
        <v/>
      </c>
      <c r="AD40" s="11">
        <f>Inputs!$F$131*Inputs!$F$53*(1-Inputs!$F$132+Inputs!$F$132*AD18/100)</f>
        <v/>
      </c>
      <c r="AE40" s="11">
        <f>Inputs!$F$131*Inputs!$F$53*(1-Inputs!$F$132+Inputs!$F$132*AE18/100)</f>
        <v/>
      </c>
      <c r="AF40" s="11">
        <f>Inputs!$F$131*Inputs!$F$53*(1-Inputs!$F$132+Inputs!$F$132*AF18/100)</f>
        <v/>
      </c>
      <c r="AG40" s="11">
        <f>Inputs!$F$131*Inputs!$F$53*(1-Inputs!$F$132+Inputs!$F$132*AG18/100)</f>
        <v/>
      </c>
      <c r="AH40" s="11">
        <f>Inputs!$F$131*Inputs!$F$53*(1-Inputs!$F$132+Inputs!$F$132*AH18/100)</f>
        <v/>
      </c>
      <c r="AI40" s="11">
        <f>Inputs!$F$131*Inputs!$F$53*(1-Inputs!$F$132+Inputs!$F$132*AI18/100)</f>
        <v/>
      </c>
      <c r="AJ40" s="11">
        <f>Inputs!$F$131*Inputs!$F$53*(1-Inputs!$F$132+Inputs!$F$132*AJ18/100)</f>
        <v/>
      </c>
      <c r="AK40" s="11">
        <f>Inputs!$F$131*Inputs!$F$53*(1-Inputs!$F$132+Inputs!$F$132*AK18/100)</f>
        <v/>
      </c>
      <c r="AL40" s="11">
        <f>Inputs!$F$131*Inputs!$F$53*(1-Inputs!$F$132+Inputs!$F$132*AL18/100)</f>
        <v/>
      </c>
      <c r="AM40" s="11">
        <f>Inputs!$F$131*Inputs!$F$53*(1-Inputs!$F$132+Inputs!$F$132*AM18/100)</f>
        <v/>
      </c>
      <c r="AN40" s="11">
        <f>Inputs!$F$131*Inputs!$F$53*(1-Inputs!$F$132+Inputs!$F$132*AN18/100)</f>
        <v/>
      </c>
      <c r="AO40" s="11">
        <f>Inputs!$F$131*Inputs!$F$53*(1-Inputs!$F$132+Inputs!$F$132*AO18/100)</f>
        <v/>
      </c>
      <c r="AP40" s="11">
        <f>Inputs!$F$131*Inputs!$F$53*(1-Inputs!$F$132+Inputs!$F$132*AP18/100)</f>
        <v/>
      </c>
      <c r="AQ40" s="11">
        <f>Inputs!$F$131*Inputs!$F$53*(1-Inputs!$F$132+Inputs!$F$132*AQ18/100)</f>
        <v/>
      </c>
      <c r="AR40" s="11">
        <f>Inputs!$F$131*Inputs!$F$53*(1-Inputs!$F$132+Inputs!$F$132*AR18/100)</f>
        <v/>
      </c>
      <c r="AS40" s="11">
        <f>Inputs!$F$131*Inputs!$F$53*(1-Inputs!$F$132+Inputs!$F$132*AS18/100)</f>
        <v/>
      </c>
      <c r="AT40" s="11">
        <f>Inputs!$F$131*Inputs!$F$53*(1-Inputs!$F$132+Inputs!$F$132*AT18/100)</f>
        <v/>
      </c>
      <c r="AU40" s="11">
        <f>Inputs!$F$131*Inputs!$F$53*(1-Inputs!$F$132+Inputs!$F$132*AU18/100)</f>
        <v/>
      </c>
      <c r="AV40" s="11">
        <f>Inputs!$F$131*Inputs!$F$53*(1-Inputs!$F$132+Inputs!$F$132*AV18/100)</f>
        <v/>
      </c>
      <c r="AW40" s="11">
        <f>Inputs!$F$131*Inputs!$F$53*(1-Inputs!$F$132+Inputs!$F$132*AW18/100)</f>
        <v/>
      </c>
      <c r="AX40" s="11">
        <f>Inputs!$F$131*Inputs!$F$53*(1-Inputs!$F$132+Inputs!$F$132*AX18/100)</f>
        <v/>
      </c>
      <c r="AY40" s="11">
        <f>Inputs!$F$131*Inputs!$F$53*(1-Inputs!$F$132+Inputs!$F$132*AY18/100)</f>
        <v/>
      </c>
      <c r="AZ40" s="11">
        <f>Inputs!$F$131*Inputs!$F$53*(1-Inputs!$F$132+Inputs!$F$132*AZ18/100)</f>
        <v/>
      </c>
      <c r="BA40" s="11">
        <f>Inputs!$F$131*Inputs!$F$53*(1-Inputs!$F$132+Inputs!$F$132*BA18/100)</f>
        <v/>
      </c>
      <c r="BB40" s="11">
        <f>Inputs!$F$131*Inputs!$F$53*(1-Inputs!$F$132+Inputs!$F$132*BB18/100)</f>
        <v/>
      </c>
      <c r="BC40" s="11">
        <f>Inputs!$F$131*Inputs!$F$53*(1-Inputs!$F$132+Inputs!$F$132*BC18/100)</f>
        <v/>
      </c>
      <c r="BD40" s="11">
        <f>Inputs!$F$131*Inputs!$F$53*(1-Inputs!$F$132+Inputs!$F$132*BD18/100)</f>
        <v/>
      </c>
      <c r="BE40" s="11">
        <f>Inputs!$F$131*Inputs!$F$53*(1-Inputs!$F$132+Inputs!$F$132*BE18/100)</f>
        <v/>
      </c>
      <c r="BF40" s="11">
        <f>Inputs!$F$131*Inputs!$F$53*(1-Inputs!$F$132+Inputs!$F$132*BF18/100)</f>
        <v/>
      </c>
      <c r="BG40" s="11">
        <f>Inputs!$F$131*Inputs!$F$53*(1-Inputs!$F$132+Inputs!$F$132*BG18/100)</f>
        <v/>
      </c>
      <c r="BH40" s="11">
        <f>Inputs!$F$131*Inputs!$F$53*(1-Inputs!$F$132+Inputs!$F$132*BH18/100)</f>
        <v/>
      </c>
      <c r="BI40" s="11">
        <f>Inputs!$F$131*Inputs!$F$53*(1-Inputs!$F$132+Inputs!$F$132*BI18/100)</f>
        <v/>
      </c>
      <c r="BJ40" s="11">
        <f>Inputs!$F$131*Inputs!$F$53*(1-Inputs!$F$132+Inputs!$F$132*BJ18/100)</f>
        <v/>
      </c>
      <c r="BK40" s="11">
        <f>Inputs!$F$131*Inputs!$F$53*(1-Inputs!$F$132+Inputs!$F$132*BK18/100)</f>
        <v/>
      </c>
      <c r="BL40" s="11">
        <f>Inputs!$F$131*Inputs!$F$53*(1-Inputs!$F$132+Inputs!$F$132*BL18/100)</f>
        <v/>
      </c>
      <c r="BM40" s="11">
        <f>Inputs!$F$131*Inputs!$F$53*(1-Inputs!$F$132+Inputs!$F$132*BM18/100)</f>
        <v/>
      </c>
      <c r="BN40" s="11">
        <f>Inputs!$F$131*Inputs!$F$53*(1-Inputs!$F$132+Inputs!$F$132*BN18/100)</f>
        <v/>
      </c>
    </row>
    <row r="41">
      <c r="D41" t="inlineStr">
        <is>
          <t>Fixed O&amp;M charge, indexed</t>
        </is>
      </c>
      <c r="E41" t="inlineStr">
        <is>
          <t>USD/kW-month</t>
        </is>
      </c>
      <c r="J41" s="11">
        <f>Inputs!$F$133*(Inputs!$F$134*J18/100+(1-Inputs!$F$134)*J22/100*Inputs!$F$135/J11)</f>
        <v/>
      </c>
      <c r="K41" s="11">
        <f>Inputs!$F$133*(Inputs!$F$134*K18/100+(1-Inputs!$F$134)*K22/100*Inputs!$F$135/K11)</f>
        <v/>
      </c>
      <c r="L41" s="11">
        <f>Inputs!$F$133*(Inputs!$F$134*L18/100+(1-Inputs!$F$134)*L22/100*Inputs!$F$135/L11)</f>
        <v/>
      </c>
      <c r="M41" s="11">
        <f>Inputs!$F$133*(Inputs!$F$134*M18/100+(1-Inputs!$F$134)*M22/100*Inputs!$F$135/M11)</f>
        <v/>
      </c>
      <c r="N41" s="11">
        <f>Inputs!$F$133*(Inputs!$F$134*N18/100+(1-Inputs!$F$134)*N22/100*Inputs!$F$135/N11)</f>
        <v/>
      </c>
      <c r="O41" s="11">
        <f>Inputs!$F$133*(Inputs!$F$134*O18/100+(1-Inputs!$F$134)*O22/100*Inputs!$F$135/O11)</f>
        <v/>
      </c>
      <c r="P41" s="11">
        <f>Inputs!$F$133*(Inputs!$F$134*P18/100+(1-Inputs!$F$134)*P22/100*Inputs!$F$135/P11)</f>
        <v/>
      </c>
      <c r="Q41" s="11">
        <f>Inputs!$F$133*(Inputs!$F$134*Q18/100+(1-Inputs!$F$134)*Q22/100*Inputs!$F$135/Q11)</f>
        <v/>
      </c>
      <c r="R41" s="11">
        <f>Inputs!$F$133*(Inputs!$F$134*R18/100+(1-Inputs!$F$134)*R22/100*Inputs!$F$135/R11)</f>
        <v/>
      </c>
      <c r="S41" s="11">
        <f>Inputs!$F$133*(Inputs!$F$134*S18/100+(1-Inputs!$F$134)*S22/100*Inputs!$F$135/S11)</f>
        <v/>
      </c>
      <c r="T41" s="11">
        <f>Inputs!$F$133*(Inputs!$F$134*T18/100+(1-Inputs!$F$134)*T22/100*Inputs!$F$135/T11)</f>
        <v/>
      </c>
      <c r="U41" s="11">
        <f>Inputs!$F$133*(Inputs!$F$134*U18/100+(1-Inputs!$F$134)*U22/100*Inputs!$F$135/U11)</f>
        <v/>
      </c>
      <c r="V41" s="11">
        <f>Inputs!$F$133*(Inputs!$F$134*V18/100+(1-Inputs!$F$134)*V22/100*Inputs!$F$135/V11)</f>
        <v/>
      </c>
      <c r="W41" s="11">
        <f>Inputs!$F$133*(Inputs!$F$134*W18/100+(1-Inputs!$F$134)*W22/100*Inputs!$F$135/W11)</f>
        <v/>
      </c>
      <c r="X41" s="11">
        <f>Inputs!$F$133*(Inputs!$F$134*X18/100+(1-Inputs!$F$134)*X22/100*Inputs!$F$135/X11)</f>
        <v/>
      </c>
      <c r="Y41" s="11">
        <f>Inputs!$F$133*(Inputs!$F$134*Y18/100+(1-Inputs!$F$134)*Y22/100*Inputs!$F$135/Y11)</f>
        <v/>
      </c>
      <c r="Z41" s="11">
        <f>Inputs!$F$133*(Inputs!$F$134*Z18/100+(1-Inputs!$F$134)*Z22/100*Inputs!$F$135/Z11)</f>
        <v/>
      </c>
      <c r="AA41" s="11">
        <f>Inputs!$F$133*(Inputs!$F$134*AA18/100+(1-Inputs!$F$134)*AA22/100*Inputs!$F$135/AA11)</f>
        <v/>
      </c>
      <c r="AB41" s="11">
        <f>Inputs!$F$133*(Inputs!$F$134*AB18/100+(1-Inputs!$F$134)*AB22/100*Inputs!$F$135/AB11)</f>
        <v/>
      </c>
      <c r="AC41" s="11">
        <f>Inputs!$F$133*(Inputs!$F$134*AC18/100+(1-Inputs!$F$134)*AC22/100*Inputs!$F$135/AC11)</f>
        <v/>
      </c>
      <c r="AD41" s="11">
        <f>Inputs!$F$133*(Inputs!$F$134*AD18/100+(1-Inputs!$F$134)*AD22/100*Inputs!$F$135/AD11)</f>
        <v/>
      </c>
      <c r="AE41" s="11">
        <f>Inputs!$F$133*(Inputs!$F$134*AE18/100+(1-Inputs!$F$134)*AE22/100*Inputs!$F$135/AE11)</f>
        <v/>
      </c>
      <c r="AF41" s="11">
        <f>Inputs!$F$133*(Inputs!$F$134*AF18/100+(1-Inputs!$F$134)*AF22/100*Inputs!$F$135/AF11)</f>
        <v/>
      </c>
      <c r="AG41" s="11">
        <f>Inputs!$F$133*(Inputs!$F$134*AG18/100+(1-Inputs!$F$134)*AG22/100*Inputs!$F$135/AG11)</f>
        <v/>
      </c>
      <c r="AH41" s="11">
        <f>Inputs!$F$133*(Inputs!$F$134*AH18/100+(1-Inputs!$F$134)*AH22/100*Inputs!$F$135/AH11)</f>
        <v/>
      </c>
      <c r="AI41" s="11">
        <f>Inputs!$F$133*(Inputs!$F$134*AI18/100+(1-Inputs!$F$134)*AI22/100*Inputs!$F$135/AI11)</f>
        <v/>
      </c>
      <c r="AJ41" s="11">
        <f>Inputs!$F$133*(Inputs!$F$134*AJ18/100+(1-Inputs!$F$134)*AJ22/100*Inputs!$F$135/AJ11)</f>
        <v/>
      </c>
      <c r="AK41" s="11">
        <f>Inputs!$F$133*(Inputs!$F$134*AK18/100+(1-Inputs!$F$134)*AK22/100*Inputs!$F$135/AK11)</f>
        <v/>
      </c>
      <c r="AL41" s="11">
        <f>Inputs!$F$133*(Inputs!$F$134*AL18/100+(1-Inputs!$F$134)*AL22/100*Inputs!$F$135/AL11)</f>
        <v/>
      </c>
      <c r="AM41" s="11">
        <f>Inputs!$F$133*(Inputs!$F$134*AM18/100+(1-Inputs!$F$134)*AM22/100*Inputs!$F$135/AM11)</f>
        <v/>
      </c>
      <c r="AN41" s="11">
        <f>Inputs!$F$133*(Inputs!$F$134*AN18/100+(1-Inputs!$F$134)*AN22/100*Inputs!$F$135/AN11)</f>
        <v/>
      </c>
      <c r="AO41" s="11">
        <f>Inputs!$F$133*(Inputs!$F$134*AO18/100+(1-Inputs!$F$134)*AO22/100*Inputs!$F$135/AO11)</f>
        <v/>
      </c>
      <c r="AP41" s="11">
        <f>Inputs!$F$133*(Inputs!$F$134*AP18/100+(1-Inputs!$F$134)*AP22/100*Inputs!$F$135/AP11)</f>
        <v/>
      </c>
      <c r="AQ41" s="11">
        <f>Inputs!$F$133*(Inputs!$F$134*AQ18/100+(1-Inputs!$F$134)*AQ22/100*Inputs!$F$135/AQ11)</f>
        <v/>
      </c>
      <c r="AR41" s="11">
        <f>Inputs!$F$133*(Inputs!$F$134*AR18/100+(1-Inputs!$F$134)*AR22/100*Inputs!$F$135/AR11)</f>
        <v/>
      </c>
      <c r="AS41" s="11">
        <f>Inputs!$F$133*(Inputs!$F$134*AS18/100+(1-Inputs!$F$134)*AS22/100*Inputs!$F$135/AS11)</f>
        <v/>
      </c>
      <c r="AT41" s="11">
        <f>Inputs!$F$133*(Inputs!$F$134*AT18/100+(1-Inputs!$F$134)*AT22/100*Inputs!$F$135/AT11)</f>
        <v/>
      </c>
      <c r="AU41" s="11">
        <f>Inputs!$F$133*(Inputs!$F$134*AU18/100+(1-Inputs!$F$134)*AU22/100*Inputs!$F$135/AU11)</f>
        <v/>
      </c>
      <c r="AV41" s="11">
        <f>Inputs!$F$133*(Inputs!$F$134*AV18/100+(1-Inputs!$F$134)*AV22/100*Inputs!$F$135/AV11)</f>
        <v/>
      </c>
      <c r="AW41" s="11">
        <f>Inputs!$F$133*(Inputs!$F$134*AW18/100+(1-Inputs!$F$134)*AW22/100*Inputs!$F$135/AW11)</f>
        <v/>
      </c>
      <c r="AX41" s="11">
        <f>Inputs!$F$133*(Inputs!$F$134*AX18/100+(1-Inputs!$F$134)*AX22/100*Inputs!$F$135/AX11)</f>
        <v/>
      </c>
      <c r="AY41" s="11">
        <f>Inputs!$F$133*(Inputs!$F$134*AY18/100+(1-Inputs!$F$134)*AY22/100*Inputs!$F$135/AY11)</f>
        <v/>
      </c>
      <c r="AZ41" s="11">
        <f>Inputs!$F$133*(Inputs!$F$134*AZ18/100+(1-Inputs!$F$134)*AZ22/100*Inputs!$F$135/AZ11)</f>
        <v/>
      </c>
      <c r="BA41" s="11">
        <f>Inputs!$F$133*(Inputs!$F$134*BA18/100+(1-Inputs!$F$134)*BA22/100*Inputs!$F$135/BA11)</f>
        <v/>
      </c>
      <c r="BB41" s="11">
        <f>Inputs!$F$133*(Inputs!$F$134*BB18/100+(1-Inputs!$F$134)*BB22/100*Inputs!$F$135/BB11)</f>
        <v/>
      </c>
      <c r="BC41" s="11">
        <f>Inputs!$F$133*(Inputs!$F$134*BC18/100+(1-Inputs!$F$134)*BC22/100*Inputs!$F$135/BC11)</f>
        <v/>
      </c>
      <c r="BD41" s="11">
        <f>Inputs!$F$133*(Inputs!$F$134*BD18/100+(1-Inputs!$F$134)*BD22/100*Inputs!$F$135/BD11)</f>
        <v/>
      </c>
      <c r="BE41" s="11">
        <f>Inputs!$F$133*(Inputs!$F$134*BE18/100+(1-Inputs!$F$134)*BE22/100*Inputs!$F$135/BE11)</f>
        <v/>
      </c>
      <c r="BF41" s="11">
        <f>Inputs!$F$133*(Inputs!$F$134*BF18/100+(1-Inputs!$F$134)*BF22/100*Inputs!$F$135/BF11)</f>
        <v/>
      </c>
      <c r="BG41" s="11">
        <f>Inputs!$F$133*(Inputs!$F$134*BG18/100+(1-Inputs!$F$134)*BG22/100*Inputs!$F$135/BG11)</f>
        <v/>
      </c>
      <c r="BH41" s="11">
        <f>Inputs!$F$133*(Inputs!$F$134*BH18/100+(1-Inputs!$F$134)*BH22/100*Inputs!$F$135/BH11)</f>
        <v/>
      </c>
      <c r="BI41" s="11">
        <f>Inputs!$F$133*(Inputs!$F$134*BI18/100+(1-Inputs!$F$134)*BI22/100*Inputs!$F$135/BI11)</f>
        <v/>
      </c>
      <c r="BJ41" s="11">
        <f>Inputs!$F$133*(Inputs!$F$134*BJ18/100+(1-Inputs!$F$134)*BJ22/100*Inputs!$F$135/BJ11)</f>
        <v/>
      </c>
      <c r="BK41" s="11">
        <f>Inputs!$F$133*(Inputs!$F$134*BK18/100+(1-Inputs!$F$134)*BK22/100*Inputs!$F$135/BK11)</f>
        <v/>
      </c>
      <c r="BL41" s="11">
        <f>Inputs!$F$133*(Inputs!$F$134*BL18/100+(1-Inputs!$F$134)*BL22/100*Inputs!$F$135/BL11)</f>
        <v/>
      </c>
      <c r="BM41" s="11">
        <f>Inputs!$F$133*(Inputs!$F$134*BM18/100+(1-Inputs!$F$134)*BM22/100*Inputs!$F$135/BM11)</f>
        <v/>
      </c>
      <c r="BN41" s="11">
        <f>Inputs!$F$133*(Inputs!$F$134*BN18/100+(1-Inputs!$F$134)*BN22/100*Inputs!$F$135/BN11)</f>
        <v/>
      </c>
    </row>
    <row r="42">
      <c r="D42" t="inlineStr">
        <is>
          <t>Availability factor min(1, A/90%)</t>
        </is>
      </c>
      <c r="E42" t="inlineStr">
        <is>
          <t>factor</t>
        </is>
      </c>
      <c r="J42" s="11">
        <f>MIN(1,J28/Inputs!$F$130)</f>
        <v/>
      </c>
      <c r="K42" s="11">
        <f>MIN(1,K28/Inputs!$F$130)</f>
        <v/>
      </c>
      <c r="L42" s="11">
        <f>MIN(1,L28/Inputs!$F$130)</f>
        <v/>
      </c>
      <c r="M42" s="11">
        <f>MIN(1,M28/Inputs!$F$130)</f>
        <v/>
      </c>
      <c r="N42" s="11">
        <f>MIN(1,N28/Inputs!$F$130)</f>
        <v/>
      </c>
      <c r="O42" s="11">
        <f>MIN(1,O28/Inputs!$F$130)</f>
        <v/>
      </c>
      <c r="P42" s="11">
        <f>MIN(1,P28/Inputs!$F$130)</f>
        <v/>
      </c>
      <c r="Q42" s="11">
        <f>MIN(1,Q28/Inputs!$F$130)</f>
        <v/>
      </c>
      <c r="R42" s="11">
        <f>MIN(1,R28/Inputs!$F$130)</f>
        <v/>
      </c>
      <c r="S42" s="11">
        <f>MIN(1,S28/Inputs!$F$130)</f>
        <v/>
      </c>
      <c r="T42" s="11">
        <f>MIN(1,T28/Inputs!$F$130)</f>
        <v/>
      </c>
      <c r="U42" s="11">
        <f>MIN(1,U28/Inputs!$F$130)</f>
        <v/>
      </c>
      <c r="V42" s="11">
        <f>MIN(1,V28/Inputs!$F$130)</f>
        <v/>
      </c>
      <c r="W42" s="11">
        <f>MIN(1,W28/Inputs!$F$130)</f>
        <v/>
      </c>
      <c r="X42" s="11">
        <f>MIN(1,X28/Inputs!$F$130)</f>
        <v/>
      </c>
      <c r="Y42" s="11">
        <f>MIN(1,Y28/Inputs!$F$130)</f>
        <v/>
      </c>
      <c r="Z42" s="11">
        <f>MIN(1,Z28/Inputs!$F$130)</f>
        <v/>
      </c>
      <c r="AA42" s="11">
        <f>MIN(1,AA28/Inputs!$F$130)</f>
        <v/>
      </c>
      <c r="AB42" s="11">
        <f>MIN(1,AB28/Inputs!$F$130)</f>
        <v/>
      </c>
      <c r="AC42" s="11">
        <f>MIN(1,AC28/Inputs!$F$130)</f>
        <v/>
      </c>
      <c r="AD42" s="11">
        <f>MIN(1,AD28/Inputs!$F$130)</f>
        <v/>
      </c>
      <c r="AE42" s="11">
        <f>MIN(1,AE28/Inputs!$F$130)</f>
        <v/>
      </c>
      <c r="AF42" s="11">
        <f>MIN(1,AF28/Inputs!$F$130)</f>
        <v/>
      </c>
      <c r="AG42" s="11">
        <f>MIN(1,AG28/Inputs!$F$130)</f>
        <v/>
      </c>
      <c r="AH42" s="11">
        <f>MIN(1,AH28/Inputs!$F$130)</f>
        <v/>
      </c>
      <c r="AI42" s="11">
        <f>MIN(1,AI28/Inputs!$F$130)</f>
        <v/>
      </c>
      <c r="AJ42" s="11">
        <f>MIN(1,AJ28/Inputs!$F$130)</f>
        <v/>
      </c>
      <c r="AK42" s="11">
        <f>MIN(1,AK28/Inputs!$F$130)</f>
        <v/>
      </c>
      <c r="AL42" s="11">
        <f>MIN(1,AL28/Inputs!$F$130)</f>
        <v/>
      </c>
      <c r="AM42" s="11">
        <f>MIN(1,AM28/Inputs!$F$130)</f>
        <v/>
      </c>
      <c r="AN42" s="11">
        <f>MIN(1,AN28/Inputs!$F$130)</f>
        <v/>
      </c>
      <c r="AO42" s="11">
        <f>MIN(1,AO28/Inputs!$F$130)</f>
        <v/>
      </c>
      <c r="AP42" s="11">
        <f>MIN(1,AP28/Inputs!$F$130)</f>
        <v/>
      </c>
      <c r="AQ42" s="11">
        <f>MIN(1,AQ28/Inputs!$F$130)</f>
        <v/>
      </c>
      <c r="AR42" s="11">
        <f>MIN(1,AR28/Inputs!$F$130)</f>
        <v/>
      </c>
      <c r="AS42" s="11">
        <f>MIN(1,AS28/Inputs!$F$130)</f>
        <v/>
      </c>
      <c r="AT42" s="11">
        <f>MIN(1,AT28/Inputs!$F$130)</f>
        <v/>
      </c>
      <c r="AU42" s="11">
        <f>MIN(1,AU28/Inputs!$F$130)</f>
        <v/>
      </c>
      <c r="AV42" s="11">
        <f>MIN(1,AV28/Inputs!$F$130)</f>
        <v/>
      </c>
      <c r="AW42" s="11">
        <f>MIN(1,AW28/Inputs!$F$130)</f>
        <v/>
      </c>
      <c r="AX42" s="11">
        <f>MIN(1,AX28/Inputs!$F$130)</f>
        <v/>
      </c>
      <c r="AY42" s="11">
        <f>MIN(1,AY28/Inputs!$F$130)</f>
        <v/>
      </c>
      <c r="AZ42" s="11">
        <f>MIN(1,AZ28/Inputs!$F$130)</f>
        <v/>
      </c>
      <c r="BA42" s="11">
        <f>MIN(1,BA28/Inputs!$F$130)</f>
        <v/>
      </c>
      <c r="BB42" s="11">
        <f>MIN(1,BB28/Inputs!$F$130)</f>
        <v/>
      </c>
      <c r="BC42" s="11">
        <f>MIN(1,BC28/Inputs!$F$130)</f>
        <v/>
      </c>
      <c r="BD42" s="11">
        <f>MIN(1,BD28/Inputs!$F$130)</f>
        <v/>
      </c>
      <c r="BE42" s="11">
        <f>MIN(1,BE28/Inputs!$F$130)</f>
        <v/>
      </c>
      <c r="BF42" s="11">
        <f>MIN(1,BF28/Inputs!$F$130)</f>
        <v/>
      </c>
      <c r="BG42" s="11">
        <f>MIN(1,BG28/Inputs!$F$130)</f>
        <v/>
      </c>
      <c r="BH42" s="11">
        <f>MIN(1,BH28/Inputs!$F$130)</f>
        <v/>
      </c>
      <c r="BI42" s="11">
        <f>MIN(1,BI28/Inputs!$F$130)</f>
        <v/>
      </c>
      <c r="BJ42" s="11">
        <f>MIN(1,BJ28/Inputs!$F$130)</f>
        <v/>
      </c>
      <c r="BK42" s="11">
        <f>MIN(1,BK28/Inputs!$F$130)</f>
        <v/>
      </c>
      <c r="BL42" s="11">
        <f>MIN(1,BL28/Inputs!$F$130)</f>
        <v/>
      </c>
      <c r="BM42" s="11">
        <f>MIN(1,BM28/Inputs!$F$130)</f>
        <v/>
      </c>
      <c r="BN42" s="11">
        <f>MIN(1,BN28/Inputs!$F$130)</f>
        <v/>
      </c>
    </row>
    <row r="43">
      <c r="D43" t="inlineStr">
        <is>
          <t>Capacity payment</t>
        </is>
      </c>
      <c r="E43" t="inlineStr">
        <is>
          <t>USD m</t>
        </is>
      </c>
      <c r="G43" s="11">
        <f>SUM(J43:BN43)</f>
        <v/>
      </c>
      <c r="J43" s="11">
        <f>$F$30*1000*Time!J25*(J40+J41)*J42/1000000</f>
        <v/>
      </c>
      <c r="K43" s="11">
        <f>$F$30*1000*Time!K25*(K40+K41)*K42/1000000</f>
        <v/>
      </c>
      <c r="L43" s="11">
        <f>$F$30*1000*Time!L25*(L40+L41)*L42/1000000</f>
        <v/>
      </c>
      <c r="M43" s="11">
        <f>$F$30*1000*Time!M25*(M40+M41)*M42/1000000</f>
        <v/>
      </c>
      <c r="N43" s="11">
        <f>$F$30*1000*Time!N25*(N40+N41)*N42/1000000</f>
        <v/>
      </c>
      <c r="O43" s="11">
        <f>$F$30*1000*Time!O25*(O40+O41)*O42/1000000</f>
        <v/>
      </c>
      <c r="P43" s="11">
        <f>$F$30*1000*Time!P25*(P40+P41)*P42/1000000</f>
        <v/>
      </c>
      <c r="Q43" s="11">
        <f>$F$30*1000*Time!Q25*(Q40+Q41)*Q42/1000000</f>
        <v/>
      </c>
      <c r="R43" s="11">
        <f>$F$30*1000*Time!R25*(R40+R41)*R42/1000000</f>
        <v/>
      </c>
      <c r="S43" s="11">
        <f>$F$30*1000*Time!S25*(S40+S41)*S42/1000000</f>
        <v/>
      </c>
      <c r="T43" s="11">
        <f>$F$30*1000*Time!T25*(T40+T41)*T42/1000000</f>
        <v/>
      </c>
      <c r="U43" s="11">
        <f>$F$30*1000*Time!U25*(U40+U41)*U42/1000000</f>
        <v/>
      </c>
      <c r="V43" s="11">
        <f>$F$30*1000*Time!V25*(V40+V41)*V42/1000000</f>
        <v/>
      </c>
      <c r="W43" s="11">
        <f>$F$30*1000*Time!W25*(W40+W41)*W42/1000000</f>
        <v/>
      </c>
      <c r="X43" s="11">
        <f>$F$30*1000*Time!X25*(X40+X41)*X42/1000000</f>
        <v/>
      </c>
      <c r="Y43" s="11">
        <f>$F$30*1000*Time!Y25*(Y40+Y41)*Y42/1000000</f>
        <v/>
      </c>
      <c r="Z43" s="11">
        <f>$F$30*1000*Time!Z25*(Z40+Z41)*Z42/1000000</f>
        <v/>
      </c>
      <c r="AA43" s="11">
        <f>$F$30*1000*Time!AA25*(AA40+AA41)*AA42/1000000</f>
        <v/>
      </c>
      <c r="AB43" s="11">
        <f>$F$30*1000*Time!AB25*(AB40+AB41)*AB42/1000000</f>
        <v/>
      </c>
      <c r="AC43" s="11">
        <f>$F$30*1000*Time!AC25*(AC40+AC41)*AC42/1000000</f>
        <v/>
      </c>
      <c r="AD43" s="11">
        <f>$F$30*1000*Time!AD25*(AD40+AD41)*AD42/1000000</f>
        <v/>
      </c>
      <c r="AE43" s="11">
        <f>$F$30*1000*Time!AE25*(AE40+AE41)*AE42/1000000</f>
        <v/>
      </c>
      <c r="AF43" s="11">
        <f>$F$30*1000*Time!AF25*(AF40+AF41)*AF42/1000000</f>
        <v/>
      </c>
      <c r="AG43" s="11">
        <f>$F$30*1000*Time!AG25*(AG40+AG41)*AG42/1000000</f>
        <v/>
      </c>
      <c r="AH43" s="11">
        <f>$F$30*1000*Time!AH25*(AH40+AH41)*AH42/1000000</f>
        <v/>
      </c>
      <c r="AI43" s="11">
        <f>$F$30*1000*Time!AI25*(AI40+AI41)*AI42/1000000</f>
        <v/>
      </c>
      <c r="AJ43" s="11">
        <f>$F$30*1000*Time!AJ25*(AJ40+AJ41)*AJ42/1000000</f>
        <v/>
      </c>
      <c r="AK43" s="11">
        <f>$F$30*1000*Time!AK25*(AK40+AK41)*AK42/1000000</f>
        <v/>
      </c>
      <c r="AL43" s="11">
        <f>$F$30*1000*Time!AL25*(AL40+AL41)*AL42/1000000</f>
        <v/>
      </c>
      <c r="AM43" s="11">
        <f>$F$30*1000*Time!AM25*(AM40+AM41)*AM42/1000000</f>
        <v/>
      </c>
      <c r="AN43" s="11">
        <f>$F$30*1000*Time!AN25*(AN40+AN41)*AN42/1000000</f>
        <v/>
      </c>
      <c r="AO43" s="11">
        <f>$F$30*1000*Time!AO25*(AO40+AO41)*AO42/1000000</f>
        <v/>
      </c>
      <c r="AP43" s="11">
        <f>$F$30*1000*Time!AP25*(AP40+AP41)*AP42/1000000</f>
        <v/>
      </c>
      <c r="AQ43" s="11">
        <f>$F$30*1000*Time!AQ25*(AQ40+AQ41)*AQ42/1000000</f>
        <v/>
      </c>
      <c r="AR43" s="11">
        <f>$F$30*1000*Time!AR25*(AR40+AR41)*AR42/1000000</f>
        <v/>
      </c>
      <c r="AS43" s="11">
        <f>$F$30*1000*Time!AS25*(AS40+AS41)*AS42/1000000</f>
        <v/>
      </c>
      <c r="AT43" s="11">
        <f>$F$30*1000*Time!AT25*(AT40+AT41)*AT42/1000000</f>
        <v/>
      </c>
      <c r="AU43" s="11">
        <f>$F$30*1000*Time!AU25*(AU40+AU41)*AU42/1000000</f>
        <v/>
      </c>
      <c r="AV43" s="11">
        <f>$F$30*1000*Time!AV25*(AV40+AV41)*AV42/1000000</f>
        <v/>
      </c>
      <c r="AW43" s="11">
        <f>$F$30*1000*Time!AW25*(AW40+AW41)*AW42/1000000</f>
        <v/>
      </c>
      <c r="AX43" s="11">
        <f>$F$30*1000*Time!AX25*(AX40+AX41)*AX42/1000000</f>
        <v/>
      </c>
      <c r="AY43" s="11">
        <f>$F$30*1000*Time!AY25*(AY40+AY41)*AY42/1000000</f>
        <v/>
      </c>
      <c r="AZ43" s="11">
        <f>$F$30*1000*Time!AZ25*(AZ40+AZ41)*AZ42/1000000</f>
        <v/>
      </c>
      <c r="BA43" s="11">
        <f>$F$30*1000*Time!BA25*(BA40+BA41)*BA42/1000000</f>
        <v/>
      </c>
      <c r="BB43" s="11">
        <f>$F$30*1000*Time!BB25*(BB40+BB41)*BB42/1000000</f>
        <v/>
      </c>
      <c r="BC43" s="11">
        <f>$F$30*1000*Time!BC25*(BC40+BC41)*BC42/1000000</f>
        <v/>
      </c>
      <c r="BD43" s="11">
        <f>$F$30*1000*Time!BD25*(BD40+BD41)*BD42/1000000</f>
        <v/>
      </c>
      <c r="BE43" s="11">
        <f>$F$30*1000*Time!BE25*(BE40+BE41)*BE42/1000000</f>
        <v/>
      </c>
      <c r="BF43" s="11">
        <f>$F$30*1000*Time!BF25*(BF40+BF41)*BF42/1000000</f>
        <v/>
      </c>
      <c r="BG43" s="11">
        <f>$F$30*1000*Time!BG25*(BG40+BG41)*BG42/1000000</f>
        <v/>
      </c>
      <c r="BH43" s="11">
        <f>$F$30*1000*Time!BH25*(BH40+BH41)*BH42/1000000</f>
        <v/>
      </c>
      <c r="BI43" s="11">
        <f>$F$30*1000*Time!BI25*(BI40+BI41)*BI42/1000000</f>
        <v/>
      </c>
      <c r="BJ43" s="11">
        <f>$F$30*1000*Time!BJ25*(BJ40+BJ41)*BJ42/1000000</f>
        <v/>
      </c>
      <c r="BK43" s="11">
        <f>$F$30*1000*Time!BK25*(BK40+BK41)*BK42/1000000</f>
        <v/>
      </c>
      <c r="BL43" s="11">
        <f>$F$30*1000*Time!BL25*(BL40+BL41)*BL42/1000000</f>
        <v/>
      </c>
      <c r="BM43" s="11">
        <f>$F$30*1000*Time!BM25*(BM40+BM41)*BM42/1000000</f>
        <v/>
      </c>
      <c r="BN43" s="11">
        <f>$F$30*1000*Time!BN25*(BN40+BN41)*BN42/1000000</f>
        <v/>
      </c>
    </row>
    <row r="44">
      <c r="D44" t="inlineStr">
        <is>
          <t>VOM charge, indexed</t>
        </is>
      </c>
      <c r="E44" t="inlineStr">
        <is>
          <t>USD/MWh</t>
        </is>
      </c>
      <c r="J44" s="11">
        <f>Inputs!$F$136*(Inputs!$F$137*J18/100+(1-Inputs!$F$137)*J22/100*Inputs!$F$135/J11)</f>
        <v/>
      </c>
      <c r="K44" s="11">
        <f>Inputs!$F$136*(Inputs!$F$137*K18/100+(1-Inputs!$F$137)*K22/100*Inputs!$F$135/K11)</f>
        <v/>
      </c>
      <c r="L44" s="11">
        <f>Inputs!$F$136*(Inputs!$F$137*L18/100+(1-Inputs!$F$137)*L22/100*Inputs!$F$135/L11)</f>
        <v/>
      </c>
      <c r="M44" s="11">
        <f>Inputs!$F$136*(Inputs!$F$137*M18/100+(1-Inputs!$F$137)*M22/100*Inputs!$F$135/M11)</f>
        <v/>
      </c>
      <c r="N44" s="11">
        <f>Inputs!$F$136*(Inputs!$F$137*N18/100+(1-Inputs!$F$137)*N22/100*Inputs!$F$135/N11)</f>
        <v/>
      </c>
      <c r="O44" s="11">
        <f>Inputs!$F$136*(Inputs!$F$137*O18/100+(1-Inputs!$F$137)*O22/100*Inputs!$F$135/O11)</f>
        <v/>
      </c>
      <c r="P44" s="11">
        <f>Inputs!$F$136*(Inputs!$F$137*P18/100+(1-Inputs!$F$137)*P22/100*Inputs!$F$135/P11)</f>
        <v/>
      </c>
      <c r="Q44" s="11">
        <f>Inputs!$F$136*(Inputs!$F$137*Q18/100+(1-Inputs!$F$137)*Q22/100*Inputs!$F$135/Q11)</f>
        <v/>
      </c>
      <c r="R44" s="11">
        <f>Inputs!$F$136*(Inputs!$F$137*R18/100+(1-Inputs!$F$137)*R22/100*Inputs!$F$135/R11)</f>
        <v/>
      </c>
      <c r="S44" s="11">
        <f>Inputs!$F$136*(Inputs!$F$137*S18/100+(1-Inputs!$F$137)*S22/100*Inputs!$F$135/S11)</f>
        <v/>
      </c>
      <c r="T44" s="11">
        <f>Inputs!$F$136*(Inputs!$F$137*T18/100+(1-Inputs!$F$137)*T22/100*Inputs!$F$135/T11)</f>
        <v/>
      </c>
      <c r="U44" s="11">
        <f>Inputs!$F$136*(Inputs!$F$137*U18/100+(1-Inputs!$F$137)*U22/100*Inputs!$F$135/U11)</f>
        <v/>
      </c>
      <c r="V44" s="11">
        <f>Inputs!$F$136*(Inputs!$F$137*V18/100+(1-Inputs!$F$137)*V22/100*Inputs!$F$135/V11)</f>
        <v/>
      </c>
      <c r="W44" s="11">
        <f>Inputs!$F$136*(Inputs!$F$137*W18/100+(1-Inputs!$F$137)*W22/100*Inputs!$F$135/W11)</f>
        <v/>
      </c>
      <c r="X44" s="11">
        <f>Inputs!$F$136*(Inputs!$F$137*X18/100+(1-Inputs!$F$137)*X22/100*Inputs!$F$135/X11)</f>
        <v/>
      </c>
      <c r="Y44" s="11">
        <f>Inputs!$F$136*(Inputs!$F$137*Y18/100+(1-Inputs!$F$137)*Y22/100*Inputs!$F$135/Y11)</f>
        <v/>
      </c>
      <c r="Z44" s="11">
        <f>Inputs!$F$136*(Inputs!$F$137*Z18/100+(1-Inputs!$F$137)*Z22/100*Inputs!$F$135/Z11)</f>
        <v/>
      </c>
      <c r="AA44" s="11">
        <f>Inputs!$F$136*(Inputs!$F$137*AA18/100+(1-Inputs!$F$137)*AA22/100*Inputs!$F$135/AA11)</f>
        <v/>
      </c>
      <c r="AB44" s="11">
        <f>Inputs!$F$136*(Inputs!$F$137*AB18/100+(1-Inputs!$F$137)*AB22/100*Inputs!$F$135/AB11)</f>
        <v/>
      </c>
      <c r="AC44" s="11">
        <f>Inputs!$F$136*(Inputs!$F$137*AC18/100+(1-Inputs!$F$137)*AC22/100*Inputs!$F$135/AC11)</f>
        <v/>
      </c>
      <c r="AD44" s="11">
        <f>Inputs!$F$136*(Inputs!$F$137*AD18/100+(1-Inputs!$F$137)*AD22/100*Inputs!$F$135/AD11)</f>
        <v/>
      </c>
      <c r="AE44" s="11">
        <f>Inputs!$F$136*(Inputs!$F$137*AE18/100+(1-Inputs!$F$137)*AE22/100*Inputs!$F$135/AE11)</f>
        <v/>
      </c>
      <c r="AF44" s="11">
        <f>Inputs!$F$136*(Inputs!$F$137*AF18/100+(1-Inputs!$F$137)*AF22/100*Inputs!$F$135/AF11)</f>
        <v/>
      </c>
      <c r="AG44" s="11">
        <f>Inputs!$F$136*(Inputs!$F$137*AG18/100+(1-Inputs!$F$137)*AG22/100*Inputs!$F$135/AG11)</f>
        <v/>
      </c>
      <c r="AH44" s="11">
        <f>Inputs!$F$136*(Inputs!$F$137*AH18/100+(1-Inputs!$F$137)*AH22/100*Inputs!$F$135/AH11)</f>
        <v/>
      </c>
      <c r="AI44" s="11">
        <f>Inputs!$F$136*(Inputs!$F$137*AI18/100+(1-Inputs!$F$137)*AI22/100*Inputs!$F$135/AI11)</f>
        <v/>
      </c>
      <c r="AJ44" s="11">
        <f>Inputs!$F$136*(Inputs!$F$137*AJ18/100+(1-Inputs!$F$137)*AJ22/100*Inputs!$F$135/AJ11)</f>
        <v/>
      </c>
      <c r="AK44" s="11">
        <f>Inputs!$F$136*(Inputs!$F$137*AK18/100+(1-Inputs!$F$137)*AK22/100*Inputs!$F$135/AK11)</f>
        <v/>
      </c>
      <c r="AL44" s="11">
        <f>Inputs!$F$136*(Inputs!$F$137*AL18/100+(1-Inputs!$F$137)*AL22/100*Inputs!$F$135/AL11)</f>
        <v/>
      </c>
      <c r="AM44" s="11">
        <f>Inputs!$F$136*(Inputs!$F$137*AM18/100+(1-Inputs!$F$137)*AM22/100*Inputs!$F$135/AM11)</f>
        <v/>
      </c>
      <c r="AN44" s="11">
        <f>Inputs!$F$136*(Inputs!$F$137*AN18/100+(1-Inputs!$F$137)*AN22/100*Inputs!$F$135/AN11)</f>
        <v/>
      </c>
      <c r="AO44" s="11">
        <f>Inputs!$F$136*(Inputs!$F$137*AO18/100+(1-Inputs!$F$137)*AO22/100*Inputs!$F$135/AO11)</f>
        <v/>
      </c>
      <c r="AP44" s="11">
        <f>Inputs!$F$136*(Inputs!$F$137*AP18/100+(1-Inputs!$F$137)*AP22/100*Inputs!$F$135/AP11)</f>
        <v/>
      </c>
      <c r="AQ44" s="11">
        <f>Inputs!$F$136*(Inputs!$F$137*AQ18/100+(1-Inputs!$F$137)*AQ22/100*Inputs!$F$135/AQ11)</f>
        <v/>
      </c>
      <c r="AR44" s="11">
        <f>Inputs!$F$136*(Inputs!$F$137*AR18/100+(1-Inputs!$F$137)*AR22/100*Inputs!$F$135/AR11)</f>
        <v/>
      </c>
      <c r="AS44" s="11">
        <f>Inputs!$F$136*(Inputs!$F$137*AS18/100+(1-Inputs!$F$137)*AS22/100*Inputs!$F$135/AS11)</f>
        <v/>
      </c>
      <c r="AT44" s="11">
        <f>Inputs!$F$136*(Inputs!$F$137*AT18/100+(1-Inputs!$F$137)*AT22/100*Inputs!$F$135/AT11)</f>
        <v/>
      </c>
      <c r="AU44" s="11">
        <f>Inputs!$F$136*(Inputs!$F$137*AU18/100+(1-Inputs!$F$137)*AU22/100*Inputs!$F$135/AU11)</f>
        <v/>
      </c>
      <c r="AV44" s="11">
        <f>Inputs!$F$136*(Inputs!$F$137*AV18/100+(1-Inputs!$F$137)*AV22/100*Inputs!$F$135/AV11)</f>
        <v/>
      </c>
      <c r="AW44" s="11">
        <f>Inputs!$F$136*(Inputs!$F$137*AW18/100+(1-Inputs!$F$137)*AW22/100*Inputs!$F$135/AW11)</f>
        <v/>
      </c>
      <c r="AX44" s="11">
        <f>Inputs!$F$136*(Inputs!$F$137*AX18/100+(1-Inputs!$F$137)*AX22/100*Inputs!$F$135/AX11)</f>
        <v/>
      </c>
      <c r="AY44" s="11">
        <f>Inputs!$F$136*(Inputs!$F$137*AY18/100+(1-Inputs!$F$137)*AY22/100*Inputs!$F$135/AY11)</f>
        <v/>
      </c>
      <c r="AZ44" s="11">
        <f>Inputs!$F$136*(Inputs!$F$137*AZ18/100+(1-Inputs!$F$137)*AZ22/100*Inputs!$F$135/AZ11)</f>
        <v/>
      </c>
      <c r="BA44" s="11">
        <f>Inputs!$F$136*(Inputs!$F$137*BA18/100+(1-Inputs!$F$137)*BA22/100*Inputs!$F$135/BA11)</f>
        <v/>
      </c>
      <c r="BB44" s="11">
        <f>Inputs!$F$136*(Inputs!$F$137*BB18/100+(1-Inputs!$F$137)*BB22/100*Inputs!$F$135/BB11)</f>
        <v/>
      </c>
      <c r="BC44" s="11">
        <f>Inputs!$F$136*(Inputs!$F$137*BC18/100+(1-Inputs!$F$137)*BC22/100*Inputs!$F$135/BC11)</f>
        <v/>
      </c>
      <c r="BD44" s="11">
        <f>Inputs!$F$136*(Inputs!$F$137*BD18/100+(1-Inputs!$F$137)*BD22/100*Inputs!$F$135/BD11)</f>
        <v/>
      </c>
      <c r="BE44" s="11">
        <f>Inputs!$F$136*(Inputs!$F$137*BE18/100+(1-Inputs!$F$137)*BE22/100*Inputs!$F$135/BE11)</f>
        <v/>
      </c>
      <c r="BF44" s="11">
        <f>Inputs!$F$136*(Inputs!$F$137*BF18/100+(1-Inputs!$F$137)*BF22/100*Inputs!$F$135/BF11)</f>
        <v/>
      </c>
      <c r="BG44" s="11">
        <f>Inputs!$F$136*(Inputs!$F$137*BG18/100+(1-Inputs!$F$137)*BG22/100*Inputs!$F$135/BG11)</f>
        <v/>
      </c>
      <c r="BH44" s="11">
        <f>Inputs!$F$136*(Inputs!$F$137*BH18/100+(1-Inputs!$F$137)*BH22/100*Inputs!$F$135/BH11)</f>
        <v/>
      </c>
      <c r="BI44" s="11">
        <f>Inputs!$F$136*(Inputs!$F$137*BI18/100+(1-Inputs!$F$137)*BI22/100*Inputs!$F$135/BI11)</f>
        <v/>
      </c>
      <c r="BJ44" s="11">
        <f>Inputs!$F$136*(Inputs!$F$137*BJ18/100+(1-Inputs!$F$137)*BJ22/100*Inputs!$F$135/BJ11)</f>
        <v/>
      </c>
      <c r="BK44" s="11">
        <f>Inputs!$F$136*(Inputs!$F$137*BK18/100+(1-Inputs!$F$137)*BK22/100*Inputs!$F$135/BK11)</f>
        <v/>
      </c>
      <c r="BL44" s="11">
        <f>Inputs!$F$136*(Inputs!$F$137*BL18/100+(1-Inputs!$F$137)*BL22/100*Inputs!$F$135/BL11)</f>
        <v/>
      </c>
      <c r="BM44" s="11">
        <f>Inputs!$F$136*(Inputs!$F$137*BM18/100+(1-Inputs!$F$137)*BM22/100*Inputs!$F$135/BM11)</f>
        <v/>
      </c>
      <c r="BN44" s="11">
        <f>Inputs!$F$136*(Inputs!$F$137*BN18/100+(1-Inputs!$F$137)*BN22/100*Inputs!$F$135/BN11)</f>
        <v/>
      </c>
    </row>
    <row r="45">
      <c r="D45" t="inlineStr">
        <is>
          <t>Variable O&amp;M payment</t>
        </is>
      </c>
      <c r="E45" t="inlineStr">
        <is>
          <t>USD m</t>
        </is>
      </c>
      <c r="G45" s="11">
        <f>SUM(J45:BN45)</f>
        <v/>
      </c>
      <c r="J45" s="11">
        <f>J33*J44/1000000</f>
        <v/>
      </c>
      <c r="K45" s="11">
        <f>K33*K44/1000000</f>
        <v/>
      </c>
      <c r="L45" s="11">
        <f>L33*L44/1000000</f>
        <v/>
      </c>
      <c r="M45" s="11">
        <f>M33*M44/1000000</f>
        <v/>
      </c>
      <c r="N45" s="11">
        <f>N33*N44/1000000</f>
        <v/>
      </c>
      <c r="O45" s="11">
        <f>O33*O44/1000000</f>
        <v/>
      </c>
      <c r="P45" s="11">
        <f>P33*P44/1000000</f>
        <v/>
      </c>
      <c r="Q45" s="11">
        <f>Q33*Q44/1000000</f>
        <v/>
      </c>
      <c r="R45" s="11">
        <f>R33*R44/1000000</f>
        <v/>
      </c>
      <c r="S45" s="11">
        <f>S33*S44/1000000</f>
        <v/>
      </c>
      <c r="T45" s="11">
        <f>T33*T44/1000000</f>
        <v/>
      </c>
      <c r="U45" s="11">
        <f>U33*U44/1000000</f>
        <v/>
      </c>
      <c r="V45" s="11">
        <f>V33*V44/1000000</f>
        <v/>
      </c>
      <c r="W45" s="11">
        <f>W33*W44/1000000</f>
        <v/>
      </c>
      <c r="X45" s="11">
        <f>X33*X44/1000000</f>
        <v/>
      </c>
      <c r="Y45" s="11">
        <f>Y33*Y44/1000000</f>
        <v/>
      </c>
      <c r="Z45" s="11">
        <f>Z33*Z44/1000000</f>
        <v/>
      </c>
      <c r="AA45" s="11">
        <f>AA33*AA44/1000000</f>
        <v/>
      </c>
      <c r="AB45" s="11">
        <f>AB33*AB44/1000000</f>
        <v/>
      </c>
      <c r="AC45" s="11">
        <f>AC33*AC44/1000000</f>
        <v/>
      </c>
      <c r="AD45" s="11">
        <f>AD33*AD44/1000000</f>
        <v/>
      </c>
      <c r="AE45" s="11">
        <f>AE33*AE44/1000000</f>
        <v/>
      </c>
      <c r="AF45" s="11">
        <f>AF33*AF44/1000000</f>
        <v/>
      </c>
      <c r="AG45" s="11">
        <f>AG33*AG44/1000000</f>
        <v/>
      </c>
      <c r="AH45" s="11">
        <f>AH33*AH44/1000000</f>
        <v/>
      </c>
      <c r="AI45" s="11">
        <f>AI33*AI44/1000000</f>
        <v/>
      </c>
      <c r="AJ45" s="11">
        <f>AJ33*AJ44/1000000</f>
        <v/>
      </c>
      <c r="AK45" s="11">
        <f>AK33*AK44/1000000</f>
        <v/>
      </c>
      <c r="AL45" s="11">
        <f>AL33*AL44/1000000</f>
        <v/>
      </c>
      <c r="AM45" s="11">
        <f>AM33*AM44/1000000</f>
        <v/>
      </c>
      <c r="AN45" s="11">
        <f>AN33*AN44/1000000</f>
        <v/>
      </c>
      <c r="AO45" s="11">
        <f>AO33*AO44/1000000</f>
        <v/>
      </c>
      <c r="AP45" s="11">
        <f>AP33*AP44/1000000</f>
        <v/>
      </c>
      <c r="AQ45" s="11">
        <f>AQ33*AQ44/1000000</f>
        <v/>
      </c>
      <c r="AR45" s="11">
        <f>AR33*AR44/1000000</f>
        <v/>
      </c>
      <c r="AS45" s="11">
        <f>AS33*AS44/1000000</f>
        <v/>
      </c>
      <c r="AT45" s="11">
        <f>AT33*AT44/1000000</f>
        <v/>
      </c>
      <c r="AU45" s="11">
        <f>AU33*AU44/1000000</f>
        <v/>
      </c>
      <c r="AV45" s="11">
        <f>AV33*AV44/1000000</f>
        <v/>
      </c>
      <c r="AW45" s="11">
        <f>AW33*AW44/1000000</f>
        <v/>
      </c>
      <c r="AX45" s="11">
        <f>AX33*AX44/1000000</f>
        <v/>
      </c>
      <c r="AY45" s="11">
        <f>AY33*AY44/1000000</f>
        <v/>
      </c>
      <c r="AZ45" s="11">
        <f>AZ33*AZ44/1000000</f>
        <v/>
      </c>
      <c r="BA45" s="11">
        <f>BA33*BA44/1000000</f>
        <v/>
      </c>
      <c r="BB45" s="11">
        <f>BB33*BB44/1000000</f>
        <v/>
      </c>
      <c r="BC45" s="11">
        <f>BC33*BC44/1000000</f>
        <v/>
      </c>
      <c r="BD45" s="11">
        <f>BD33*BD44/1000000</f>
        <v/>
      </c>
      <c r="BE45" s="11">
        <f>BE33*BE44/1000000</f>
        <v/>
      </c>
      <c r="BF45" s="11">
        <f>BF33*BF44/1000000</f>
        <v/>
      </c>
      <c r="BG45" s="11">
        <f>BG33*BG44/1000000</f>
        <v/>
      </c>
      <c r="BH45" s="11">
        <f>BH33*BH44/1000000</f>
        <v/>
      </c>
      <c r="BI45" s="11">
        <f>BI33*BI44/1000000</f>
        <v/>
      </c>
      <c r="BJ45" s="11">
        <f>BJ33*BJ44/1000000</f>
        <v/>
      </c>
      <c r="BK45" s="11">
        <f>BK33*BK44/1000000</f>
        <v/>
      </c>
      <c r="BL45" s="11">
        <f>BL33*BL44/1000000</f>
        <v/>
      </c>
      <c r="BM45" s="11">
        <f>BM33*BM44/1000000</f>
        <v/>
      </c>
      <c r="BN45" s="11">
        <f>BN33*BN44/1000000</f>
        <v/>
      </c>
    </row>
    <row r="46">
      <c r="D46" t="inlineStr">
        <is>
          <t>Fuel charge (pass-through)</t>
        </is>
      </c>
      <c r="E46" t="inlineStr">
        <is>
          <t>USD m</t>
        </is>
      </c>
      <c r="G46" s="11">
        <f>SUM(J46:BN46)</f>
        <v/>
      </c>
      <c r="J46" s="11">
        <f>J33*J35*(1000*Inputs!$F$121/Inputs!$F$122)*J36/1000000</f>
        <v/>
      </c>
      <c r="K46" s="11">
        <f>K33*K35*(1000*Inputs!$F$121/Inputs!$F$122)*K36/1000000</f>
        <v/>
      </c>
      <c r="L46" s="11">
        <f>L33*L35*(1000*Inputs!$F$121/Inputs!$F$122)*L36/1000000</f>
        <v/>
      </c>
      <c r="M46" s="11">
        <f>M33*M35*(1000*Inputs!$F$121/Inputs!$F$122)*M36/1000000</f>
        <v/>
      </c>
      <c r="N46" s="11">
        <f>N33*N35*(1000*Inputs!$F$121/Inputs!$F$122)*N36/1000000</f>
        <v/>
      </c>
      <c r="O46" s="11">
        <f>O33*O35*(1000*Inputs!$F$121/Inputs!$F$122)*O36/1000000</f>
        <v/>
      </c>
      <c r="P46" s="11">
        <f>P33*P35*(1000*Inputs!$F$121/Inputs!$F$122)*P36/1000000</f>
        <v/>
      </c>
      <c r="Q46" s="11">
        <f>Q33*Q35*(1000*Inputs!$F$121/Inputs!$F$122)*Q36/1000000</f>
        <v/>
      </c>
      <c r="R46" s="11">
        <f>R33*R35*(1000*Inputs!$F$121/Inputs!$F$122)*R36/1000000</f>
        <v/>
      </c>
      <c r="S46" s="11">
        <f>S33*S35*(1000*Inputs!$F$121/Inputs!$F$122)*S36/1000000</f>
        <v/>
      </c>
      <c r="T46" s="11">
        <f>T33*T35*(1000*Inputs!$F$121/Inputs!$F$122)*T36/1000000</f>
        <v/>
      </c>
      <c r="U46" s="11">
        <f>U33*U35*(1000*Inputs!$F$121/Inputs!$F$122)*U36/1000000</f>
        <v/>
      </c>
      <c r="V46" s="11">
        <f>V33*V35*(1000*Inputs!$F$121/Inputs!$F$122)*V36/1000000</f>
        <v/>
      </c>
      <c r="W46" s="11">
        <f>W33*W35*(1000*Inputs!$F$121/Inputs!$F$122)*W36/1000000</f>
        <v/>
      </c>
      <c r="X46" s="11">
        <f>X33*X35*(1000*Inputs!$F$121/Inputs!$F$122)*X36/1000000</f>
        <v/>
      </c>
      <c r="Y46" s="11">
        <f>Y33*Y35*(1000*Inputs!$F$121/Inputs!$F$122)*Y36/1000000</f>
        <v/>
      </c>
      <c r="Z46" s="11">
        <f>Z33*Z35*(1000*Inputs!$F$121/Inputs!$F$122)*Z36/1000000</f>
        <v/>
      </c>
      <c r="AA46" s="11">
        <f>AA33*AA35*(1000*Inputs!$F$121/Inputs!$F$122)*AA36/1000000</f>
        <v/>
      </c>
      <c r="AB46" s="11">
        <f>AB33*AB35*(1000*Inputs!$F$121/Inputs!$F$122)*AB36/1000000</f>
        <v/>
      </c>
      <c r="AC46" s="11">
        <f>AC33*AC35*(1000*Inputs!$F$121/Inputs!$F$122)*AC36/1000000</f>
        <v/>
      </c>
      <c r="AD46" s="11">
        <f>AD33*AD35*(1000*Inputs!$F$121/Inputs!$F$122)*AD36/1000000</f>
        <v/>
      </c>
      <c r="AE46" s="11">
        <f>AE33*AE35*(1000*Inputs!$F$121/Inputs!$F$122)*AE36/1000000</f>
        <v/>
      </c>
      <c r="AF46" s="11">
        <f>AF33*AF35*(1000*Inputs!$F$121/Inputs!$F$122)*AF36/1000000</f>
        <v/>
      </c>
      <c r="AG46" s="11">
        <f>AG33*AG35*(1000*Inputs!$F$121/Inputs!$F$122)*AG36/1000000</f>
        <v/>
      </c>
      <c r="AH46" s="11">
        <f>AH33*AH35*(1000*Inputs!$F$121/Inputs!$F$122)*AH36/1000000</f>
        <v/>
      </c>
      <c r="AI46" s="11">
        <f>AI33*AI35*(1000*Inputs!$F$121/Inputs!$F$122)*AI36/1000000</f>
        <v/>
      </c>
      <c r="AJ46" s="11">
        <f>AJ33*AJ35*(1000*Inputs!$F$121/Inputs!$F$122)*AJ36/1000000</f>
        <v/>
      </c>
      <c r="AK46" s="11">
        <f>AK33*AK35*(1000*Inputs!$F$121/Inputs!$F$122)*AK36/1000000</f>
        <v/>
      </c>
      <c r="AL46" s="11">
        <f>AL33*AL35*(1000*Inputs!$F$121/Inputs!$F$122)*AL36/1000000</f>
        <v/>
      </c>
      <c r="AM46" s="11">
        <f>AM33*AM35*(1000*Inputs!$F$121/Inputs!$F$122)*AM36/1000000</f>
        <v/>
      </c>
      <c r="AN46" s="11">
        <f>AN33*AN35*(1000*Inputs!$F$121/Inputs!$F$122)*AN36/1000000</f>
        <v/>
      </c>
      <c r="AO46" s="11">
        <f>AO33*AO35*(1000*Inputs!$F$121/Inputs!$F$122)*AO36/1000000</f>
        <v/>
      </c>
      <c r="AP46" s="11">
        <f>AP33*AP35*(1000*Inputs!$F$121/Inputs!$F$122)*AP36/1000000</f>
        <v/>
      </c>
      <c r="AQ46" s="11">
        <f>AQ33*AQ35*(1000*Inputs!$F$121/Inputs!$F$122)*AQ36/1000000</f>
        <v/>
      </c>
      <c r="AR46" s="11">
        <f>AR33*AR35*(1000*Inputs!$F$121/Inputs!$F$122)*AR36/1000000</f>
        <v/>
      </c>
      <c r="AS46" s="11">
        <f>AS33*AS35*(1000*Inputs!$F$121/Inputs!$F$122)*AS36/1000000</f>
        <v/>
      </c>
      <c r="AT46" s="11">
        <f>AT33*AT35*(1000*Inputs!$F$121/Inputs!$F$122)*AT36/1000000</f>
        <v/>
      </c>
      <c r="AU46" s="11">
        <f>AU33*AU35*(1000*Inputs!$F$121/Inputs!$F$122)*AU36/1000000</f>
        <v/>
      </c>
      <c r="AV46" s="11">
        <f>AV33*AV35*(1000*Inputs!$F$121/Inputs!$F$122)*AV36/1000000</f>
        <v/>
      </c>
      <c r="AW46" s="11">
        <f>AW33*AW35*(1000*Inputs!$F$121/Inputs!$F$122)*AW36/1000000</f>
        <v/>
      </c>
      <c r="AX46" s="11">
        <f>AX33*AX35*(1000*Inputs!$F$121/Inputs!$F$122)*AX36/1000000</f>
        <v/>
      </c>
      <c r="AY46" s="11">
        <f>AY33*AY35*(1000*Inputs!$F$121/Inputs!$F$122)*AY36/1000000</f>
        <v/>
      </c>
      <c r="AZ46" s="11">
        <f>AZ33*AZ35*(1000*Inputs!$F$121/Inputs!$F$122)*AZ36/1000000</f>
        <v/>
      </c>
      <c r="BA46" s="11">
        <f>BA33*BA35*(1000*Inputs!$F$121/Inputs!$F$122)*BA36/1000000</f>
        <v/>
      </c>
      <c r="BB46" s="11">
        <f>BB33*BB35*(1000*Inputs!$F$121/Inputs!$F$122)*BB36/1000000</f>
        <v/>
      </c>
      <c r="BC46" s="11">
        <f>BC33*BC35*(1000*Inputs!$F$121/Inputs!$F$122)*BC36/1000000</f>
        <v/>
      </c>
      <c r="BD46" s="11">
        <f>BD33*BD35*(1000*Inputs!$F$121/Inputs!$F$122)*BD36/1000000</f>
        <v/>
      </c>
      <c r="BE46" s="11">
        <f>BE33*BE35*(1000*Inputs!$F$121/Inputs!$F$122)*BE36/1000000</f>
        <v/>
      </c>
      <c r="BF46" s="11">
        <f>BF33*BF35*(1000*Inputs!$F$121/Inputs!$F$122)*BF36/1000000</f>
        <v/>
      </c>
      <c r="BG46" s="11">
        <f>BG33*BG35*(1000*Inputs!$F$121/Inputs!$F$122)*BG36/1000000</f>
        <v/>
      </c>
      <c r="BH46" s="11">
        <f>BH33*BH35*(1000*Inputs!$F$121/Inputs!$F$122)*BH36/1000000</f>
        <v/>
      </c>
      <c r="BI46" s="11">
        <f>BI33*BI35*(1000*Inputs!$F$121/Inputs!$F$122)*BI36/1000000</f>
        <v/>
      </c>
      <c r="BJ46" s="11">
        <f>BJ33*BJ35*(1000*Inputs!$F$121/Inputs!$F$122)*BJ36/1000000</f>
        <v/>
      </c>
      <c r="BK46" s="11">
        <f>BK33*BK35*(1000*Inputs!$F$121/Inputs!$F$122)*BK36/1000000</f>
        <v/>
      </c>
      <c r="BL46" s="11">
        <f>BL33*BL35*(1000*Inputs!$F$121/Inputs!$F$122)*BL36/1000000</f>
        <v/>
      </c>
      <c r="BM46" s="11">
        <f>BM33*BM35*(1000*Inputs!$F$121/Inputs!$F$122)*BM36/1000000</f>
        <v/>
      </c>
      <c r="BN46" s="11">
        <f>BN33*BN35*(1000*Inputs!$F$121/Inputs!$F$122)*BN36/1000000</f>
        <v/>
      </c>
    </row>
    <row r="47">
      <c r="D47" t="inlineStr">
        <is>
          <t>GTA reservation charge (pass-through)</t>
        </is>
      </c>
      <c r="E47" t="inlineStr">
        <is>
          <t>USD m</t>
        </is>
      </c>
      <c r="G47" s="11">
        <f>SUM(J47:BN47)</f>
        <v/>
      </c>
      <c r="J47" s="11">
        <f>Inputs!$F$143*Time!J26*Inputs!$F$144*(1+Inputs!$F$146/100)^(Time!J21-2018)/1000000</f>
        <v/>
      </c>
      <c r="K47" s="11">
        <f>Inputs!$F$143*Time!K26*Inputs!$F$144*(1+Inputs!$F$146/100)^(Time!K21-2018)/1000000</f>
        <v/>
      </c>
      <c r="L47" s="11">
        <f>Inputs!$F$143*Time!L26*Inputs!$F$144*(1+Inputs!$F$146/100)^(Time!L21-2018)/1000000</f>
        <v/>
      </c>
      <c r="M47" s="11">
        <f>Inputs!$F$143*Time!M26*Inputs!$F$144*(1+Inputs!$F$146/100)^(Time!M21-2018)/1000000</f>
        <v/>
      </c>
      <c r="N47" s="11">
        <f>Inputs!$F$143*Time!N26*Inputs!$F$144*(1+Inputs!$F$146/100)^(Time!N21-2018)/1000000</f>
        <v/>
      </c>
      <c r="O47" s="11">
        <f>Inputs!$F$143*Time!O26*Inputs!$F$144*(1+Inputs!$F$146/100)^(Time!O21-2018)/1000000</f>
        <v/>
      </c>
      <c r="P47" s="11">
        <f>Inputs!$F$143*Time!P26*Inputs!$F$144*(1+Inputs!$F$146/100)^(Time!P21-2018)/1000000</f>
        <v/>
      </c>
      <c r="Q47" s="11">
        <f>Inputs!$F$143*Time!Q26*Inputs!$F$144*(1+Inputs!$F$146/100)^(Time!Q21-2018)/1000000</f>
        <v/>
      </c>
      <c r="R47" s="11">
        <f>Inputs!$F$143*Time!R26*Inputs!$F$144*(1+Inputs!$F$146/100)^(Time!R21-2018)/1000000</f>
        <v/>
      </c>
      <c r="S47" s="11">
        <f>Inputs!$F$143*Time!S26*Inputs!$F$144*(1+Inputs!$F$146/100)^(Time!S21-2018)/1000000</f>
        <v/>
      </c>
      <c r="T47" s="11">
        <f>Inputs!$F$143*Time!T26*Inputs!$F$144*(1+Inputs!$F$146/100)^(Time!T21-2018)/1000000</f>
        <v/>
      </c>
      <c r="U47" s="11">
        <f>Inputs!$F$143*Time!U26*Inputs!$F$144*(1+Inputs!$F$146/100)^(Time!U21-2018)/1000000</f>
        <v/>
      </c>
      <c r="V47" s="11">
        <f>Inputs!$F$143*Time!V26*Inputs!$F$144*(1+Inputs!$F$146/100)^(Time!V21-2018)/1000000</f>
        <v/>
      </c>
      <c r="W47" s="11">
        <f>Inputs!$F$143*Time!W26*Inputs!$F$144*(1+Inputs!$F$146/100)^(Time!W21-2018)/1000000</f>
        <v/>
      </c>
      <c r="X47" s="11">
        <f>Inputs!$F$143*Time!X26*Inputs!$F$144*(1+Inputs!$F$146/100)^(Time!X21-2018)/1000000</f>
        <v/>
      </c>
      <c r="Y47" s="11">
        <f>Inputs!$F$143*Time!Y26*Inputs!$F$144*(1+Inputs!$F$146/100)^(Time!Y21-2018)/1000000</f>
        <v/>
      </c>
      <c r="Z47" s="11">
        <f>Inputs!$F$143*Time!Z26*Inputs!$F$144*(1+Inputs!$F$146/100)^(Time!Z21-2018)/1000000</f>
        <v/>
      </c>
      <c r="AA47" s="11">
        <f>Inputs!$F$143*Time!AA26*Inputs!$F$144*(1+Inputs!$F$146/100)^(Time!AA21-2018)/1000000</f>
        <v/>
      </c>
      <c r="AB47" s="11">
        <f>Inputs!$F$143*Time!AB26*Inputs!$F$144*(1+Inputs!$F$146/100)^(Time!AB21-2018)/1000000</f>
        <v/>
      </c>
      <c r="AC47" s="11">
        <f>Inputs!$F$143*Time!AC26*Inputs!$F$144*(1+Inputs!$F$146/100)^(Time!AC21-2018)/1000000</f>
        <v/>
      </c>
      <c r="AD47" s="11">
        <f>Inputs!$F$143*Time!AD26*Inputs!$F$144*(1+Inputs!$F$146/100)^(Time!AD21-2018)/1000000</f>
        <v/>
      </c>
      <c r="AE47" s="11">
        <f>Inputs!$F$143*Time!AE26*Inputs!$F$144*(1+Inputs!$F$146/100)^(Time!AE21-2018)/1000000</f>
        <v/>
      </c>
      <c r="AF47" s="11">
        <f>Inputs!$F$143*Time!AF26*Inputs!$F$144*(1+Inputs!$F$146/100)^(Time!AF21-2018)/1000000</f>
        <v/>
      </c>
      <c r="AG47" s="11">
        <f>Inputs!$F$143*Time!AG26*Inputs!$F$144*(1+Inputs!$F$146/100)^(Time!AG21-2018)/1000000</f>
        <v/>
      </c>
      <c r="AH47" s="11">
        <f>Inputs!$F$143*Time!AH26*Inputs!$F$144*(1+Inputs!$F$146/100)^(Time!AH21-2018)/1000000</f>
        <v/>
      </c>
      <c r="AI47" s="11">
        <f>Inputs!$F$143*Time!AI26*Inputs!$F$144*(1+Inputs!$F$146/100)^(Time!AI21-2018)/1000000</f>
        <v/>
      </c>
      <c r="AJ47" s="11">
        <f>Inputs!$F$143*Time!AJ26*Inputs!$F$144*(1+Inputs!$F$146/100)^(Time!AJ21-2018)/1000000</f>
        <v/>
      </c>
      <c r="AK47" s="11">
        <f>Inputs!$F$143*Time!AK26*Inputs!$F$144*(1+Inputs!$F$146/100)^(Time!AK21-2018)/1000000</f>
        <v/>
      </c>
      <c r="AL47" s="11">
        <f>Inputs!$F$143*Time!AL26*Inputs!$F$144*(1+Inputs!$F$146/100)^(Time!AL21-2018)/1000000</f>
        <v/>
      </c>
      <c r="AM47" s="11">
        <f>Inputs!$F$143*Time!AM26*Inputs!$F$144*(1+Inputs!$F$146/100)^(Time!AM21-2018)/1000000</f>
        <v/>
      </c>
      <c r="AN47" s="11">
        <f>Inputs!$F$143*Time!AN26*Inputs!$F$144*(1+Inputs!$F$146/100)^(Time!AN21-2018)/1000000</f>
        <v/>
      </c>
      <c r="AO47" s="11">
        <f>Inputs!$F$143*Time!AO26*Inputs!$F$144*(1+Inputs!$F$146/100)^(Time!AO21-2018)/1000000</f>
        <v/>
      </c>
      <c r="AP47" s="11">
        <f>Inputs!$F$143*Time!AP26*Inputs!$F$144*(1+Inputs!$F$146/100)^(Time!AP21-2018)/1000000</f>
        <v/>
      </c>
      <c r="AQ47" s="11">
        <f>Inputs!$F$143*Time!AQ26*Inputs!$F$144*(1+Inputs!$F$146/100)^(Time!AQ21-2018)/1000000</f>
        <v/>
      </c>
      <c r="AR47" s="11">
        <f>Inputs!$F$143*Time!AR26*Inputs!$F$144*(1+Inputs!$F$146/100)^(Time!AR21-2018)/1000000</f>
        <v/>
      </c>
      <c r="AS47" s="11">
        <f>Inputs!$F$143*Time!AS26*Inputs!$F$144*(1+Inputs!$F$146/100)^(Time!AS21-2018)/1000000</f>
        <v/>
      </c>
      <c r="AT47" s="11">
        <f>Inputs!$F$143*Time!AT26*Inputs!$F$144*(1+Inputs!$F$146/100)^(Time!AT21-2018)/1000000</f>
        <v/>
      </c>
      <c r="AU47" s="11">
        <f>Inputs!$F$143*Time!AU26*Inputs!$F$144*(1+Inputs!$F$146/100)^(Time!AU21-2018)/1000000</f>
        <v/>
      </c>
      <c r="AV47" s="11">
        <f>Inputs!$F$143*Time!AV26*Inputs!$F$144*(1+Inputs!$F$146/100)^(Time!AV21-2018)/1000000</f>
        <v/>
      </c>
      <c r="AW47" s="11">
        <f>Inputs!$F$143*Time!AW26*Inputs!$F$144*(1+Inputs!$F$146/100)^(Time!AW21-2018)/1000000</f>
        <v/>
      </c>
      <c r="AX47" s="11">
        <f>Inputs!$F$143*Time!AX26*Inputs!$F$144*(1+Inputs!$F$146/100)^(Time!AX21-2018)/1000000</f>
        <v/>
      </c>
      <c r="AY47" s="11">
        <f>Inputs!$F$143*Time!AY26*Inputs!$F$144*(1+Inputs!$F$146/100)^(Time!AY21-2018)/1000000</f>
        <v/>
      </c>
      <c r="AZ47" s="11">
        <f>Inputs!$F$143*Time!AZ26*Inputs!$F$144*(1+Inputs!$F$146/100)^(Time!AZ21-2018)/1000000</f>
        <v/>
      </c>
      <c r="BA47" s="11">
        <f>Inputs!$F$143*Time!BA26*Inputs!$F$144*(1+Inputs!$F$146/100)^(Time!BA21-2018)/1000000</f>
        <v/>
      </c>
      <c r="BB47" s="11">
        <f>Inputs!$F$143*Time!BB26*Inputs!$F$144*(1+Inputs!$F$146/100)^(Time!BB21-2018)/1000000</f>
        <v/>
      </c>
      <c r="BC47" s="11">
        <f>Inputs!$F$143*Time!BC26*Inputs!$F$144*(1+Inputs!$F$146/100)^(Time!BC21-2018)/1000000</f>
        <v/>
      </c>
      <c r="BD47" s="11">
        <f>Inputs!$F$143*Time!BD26*Inputs!$F$144*(1+Inputs!$F$146/100)^(Time!BD21-2018)/1000000</f>
        <v/>
      </c>
      <c r="BE47" s="11">
        <f>Inputs!$F$143*Time!BE26*Inputs!$F$144*(1+Inputs!$F$146/100)^(Time!BE21-2018)/1000000</f>
        <v/>
      </c>
      <c r="BF47" s="11">
        <f>Inputs!$F$143*Time!BF26*Inputs!$F$144*(1+Inputs!$F$146/100)^(Time!BF21-2018)/1000000</f>
        <v/>
      </c>
      <c r="BG47" s="11">
        <f>Inputs!$F$143*Time!BG26*Inputs!$F$144*(1+Inputs!$F$146/100)^(Time!BG21-2018)/1000000</f>
        <v/>
      </c>
      <c r="BH47" s="11">
        <f>Inputs!$F$143*Time!BH26*Inputs!$F$144*(1+Inputs!$F$146/100)^(Time!BH21-2018)/1000000</f>
        <v/>
      </c>
      <c r="BI47" s="11">
        <f>Inputs!$F$143*Time!BI26*Inputs!$F$144*(1+Inputs!$F$146/100)^(Time!BI21-2018)/1000000</f>
        <v/>
      </c>
      <c r="BJ47" s="11">
        <f>Inputs!$F$143*Time!BJ26*Inputs!$F$144*(1+Inputs!$F$146/100)^(Time!BJ21-2018)/1000000</f>
        <v/>
      </c>
      <c r="BK47" s="11">
        <f>Inputs!$F$143*Time!BK26*Inputs!$F$144*(1+Inputs!$F$146/100)^(Time!BK21-2018)/1000000</f>
        <v/>
      </c>
      <c r="BL47" s="11">
        <f>Inputs!$F$143*Time!BL26*Inputs!$F$144*(1+Inputs!$F$146/100)^(Time!BL21-2018)/1000000</f>
        <v/>
      </c>
      <c r="BM47" s="11">
        <f>Inputs!$F$143*Time!BM26*Inputs!$F$144*(1+Inputs!$F$146/100)^(Time!BM21-2018)/1000000</f>
        <v/>
      </c>
      <c r="BN47" s="11">
        <f>Inputs!$F$143*Time!BN26*Inputs!$F$144*(1+Inputs!$F$146/100)^(Time!BN21-2018)/1000000</f>
        <v/>
      </c>
    </row>
    <row r="48">
      <c r="D48" t="inlineStr">
        <is>
          <t>GTA commodity charge (pass-through)</t>
        </is>
      </c>
      <c r="E48" t="inlineStr">
        <is>
          <t>USD m</t>
        </is>
      </c>
      <c r="G48" s="11">
        <f>SUM(J48:BN48)</f>
        <v/>
      </c>
      <c r="J48" s="11">
        <f>J37*Inputs!$F$145*(1+Inputs!$F$146/100)^(Time!J21-2018)/1000000</f>
        <v/>
      </c>
      <c r="K48" s="11">
        <f>K37*Inputs!$F$145*(1+Inputs!$F$146/100)^(Time!K21-2018)/1000000</f>
        <v/>
      </c>
      <c r="L48" s="11">
        <f>L37*Inputs!$F$145*(1+Inputs!$F$146/100)^(Time!L21-2018)/1000000</f>
        <v/>
      </c>
      <c r="M48" s="11">
        <f>M37*Inputs!$F$145*(1+Inputs!$F$146/100)^(Time!M21-2018)/1000000</f>
        <v/>
      </c>
      <c r="N48" s="11">
        <f>N37*Inputs!$F$145*(1+Inputs!$F$146/100)^(Time!N21-2018)/1000000</f>
        <v/>
      </c>
      <c r="O48" s="11">
        <f>O37*Inputs!$F$145*(1+Inputs!$F$146/100)^(Time!O21-2018)/1000000</f>
        <v/>
      </c>
      <c r="P48" s="11">
        <f>P37*Inputs!$F$145*(1+Inputs!$F$146/100)^(Time!P21-2018)/1000000</f>
        <v/>
      </c>
      <c r="Q48" s="11">
        <f>Q37*Inputs!$F$145*(1+Inputs!$F$146/100)^(Time!Q21-2018)/1000000</f>
        <v/>
      </c>
      <c r="R48" s="11">
        <f>R37*Inputs!$F$145*(1+Inputs!$F$146/100)^(Time!R21-2018)/1000000</f>
        <v/>
      </c>
      <c r="S48" s="11">
        <f>S37*Inputs!$F$145*(1+Inputs!$F$146/100)^(Time!S21-2018)/1000000</f>
        <v/>
      </c>
      <c r="T48" s="11">
        <f>T37*Inputs!$F$145*(1+Inputs!$F$146/100)^(Time!T21-2018)/1000000</f>
        <v/>
      </c>
      <c r="U48" s="11">
        <f>U37*Inputs!$F$145*(1+Inputs!$F$146/100)^(Time!U21-2018)/1000000</f>
        <v/>
      </c>
      <c r="V48" s="11">
        <f>V37*Inputs!$F$145*(1+Inputs!$F$146/100)^(Time!V21-2018)/1000000</f>
        <v/>
      </c>
      <c r="W48" s="11">
        <f>W37*Inputs!$F$145*(1+Inputs!$F$146/100)^(Time!W21-2018)/1000000</f>
        <v/>
      </c>
      <c r="X48" s="11">
        <f>X37*Inputs!$F$145*(1+Inputs!$F$146/100)^(Time!X21-2018)/1000000</f>
        <v/>
      </c>
      <c r="Y48" s="11">
        <f>Y37*Inputs!$F$145*(1+Inputs!$F$146/100)^(Time!Y21-2018)/1000000</f>
        <v/>
      </c>
      <c r="Z48" s="11">
        <f>Z37*Inputs!$F$145*(1+Inputs!$F$146/100)^(Time!Z21-2018)/1000000</f>
        <v/>
      </c>
      <c r="AA48" s="11">
        <f>AA37*Inputs!$F$145*(1+Inputs!$F$146/100)^(Time!AA21-2018)/1000000</f>
        <v/>
      </c>
      <c r="AB48" s="11">
        <f>AB37*Inputs!$F$145*(1+Inputs!$F$146/100)^(Time!AB21-2018)/1000000</f>
        <v/>
      </c>
      <c r="AC48" s="11">
        <f>AC37*Inputs!$F$145*(1+Inputs!$F$146/100)^(Time!AC21-2018)/1000000</f>
        <v/>
      </c>
      <c r="AD48" s="11">
        <f>AD37*Inputs!$F$145*(1+Inputs!$F$146/100)^(Time!AD21-2018)/1000000</f>
        <v/>
      </c>
      <c r="AE48" s="11">
        <f>AE37*Inputs!$F$145*(1+Inputs!$F$146/100)^(Time!AE21-2018)/1000000</f>
        <v/>
      </c>
      <c r="AF48" s="11">
        <f>AF37*Inputs!$F$145*(1+Inputs!$F$146/100)^(Time!AF21-2018)/1000000</f>
        <v/>
      </c>
      <c r="AG48" s="11">
        <f>AG37*Inputs!$F$145*(1+Inputs!$F$146/100)^(Time!AG21-2018)/1000000</f>
        <v/>
      </c>
      <c r="AH48" s="11">
        <f>AH37*Inputs!$F$145*(1+Inputs!$F$146/100)^(Time!AH21-2018)/1000000</f>
        <v/>
      </c>
      <c r="AI48" s="11">
        <f>AI37*Inputs!$F$145*(1+Inputs!$F$146/100)^(Time!AI21-2018)/1000000</f>
        <v/>
      </c>
      <c r="AJ48" s="11">
        <f>AJ37*Inputs!$F$145*(1+Inputs!$F$146/100)^(Time!AJ21-2018)/1000000</f>
        <v/>
      </c>
      <c r="AK48" s="11">
        <f>AK37*Inputs!$F$145*(1+Inputs!$F$146/100)^(Time!AK21-2018)/1000000</f>
        <v/>
      </c>
      <c r="AL48" s="11">
        <f>AL37*Inputs!$F$145*(1+Inputs!$F$146/100)^(Time!AL21-2018)/1000000</f>
        <v/>
      </c>
      <c r="AM48" s="11">
        <f>AM37*Inputs!$F$145*(1+Inputs!$F$146/100)^(Time!AM21-2018)/1000000</f>
        <v/>
      </c>
      <c r="AN48" s="11">
        <f>AN37*Inputs!$F$145*(1+Inputs!$F$146/100)^(Time!AN21-2018)/1000000</f>
        <v/>
      </c>
      <c r="AO48" s="11">
        <f>AO37*Inputs!$F$145*(1+Inputs!$F$146/100)^(Time!AO21-2018)/1000000</f>
        <v/>
      </c>
      <c r="AP48" s="11">
        <f>AP37*Inputs!$F$145*(1+Inputs!$F$146/100)^(Time!AP21-2018)/1000000</f>
        <v/>
      </c>
      <c r="AQ48" s="11">
        <f>AQ37*Inputs!$F$145*(1+Inputs!$F$146/100)^(Time!AQ21-2018)/1000000</f>
        <v/>
      </c>
      <c r="AR48" s="11">
        <f>AR37*Inputs!$F$145*(1+Inputs!$F$146/100)^(Time!AR21-2018)/1000000</f>
        <v/>
      </c>
      <c r="AS48" s="11">
        <f>AS37*Inputs!$F$145*(1+Inputs!$F$146/100)^(Time!AS21-2018)/1000000</f>
        <v/>
      </c>
      <c r="AT48" s="11">
        <f>AT37*Inputs!$F$145*(1+Inputs!$F$146/100)^(Time!AT21-2018)/1000000</f>
        <v/>
      </c>
      <c r="AU48" s="11">
        <f>AU37*Inputs!$F$145*(1+Inputs!$F$146/100)^(Time!AU21-2018)/1000000</f>
        <v/>
      </c>
      <c r="AV48" s="11">
        <f>AV37*Inputs!$F$145*(1+Inputs!$F$146/100)^(Time!AV21-2018)/1000000</f>
        <v/>
      </c>
      <c r="AW48" s="11">
        <f>AW37*Inputs!$F$145*(1+Inputs!$F$146/100)^(Time!AW21-2018)/1000000</f>
        <v/>
      </c>
      <c r="AX48" s="11">
        <f>AX37*Inputs!$F$145*(1+Inputs!$F$146/100)^(Time!AX21-2018)/1000000</f>
        <v/>
      </c>
      <c r="AY48" s="11">
        <f>AY37*Inputs!$F$145*(1+Inputs!$F$146/100)^(Time!AY21-2018)/1000000</f>
        <v/>
      </c>
      <c r="AZ48" s="11">
        <f>AZ37*Inputs!$F$145*(1+Inputs!$F$146/100)^(Time!AZ21-2018)/1000000</f>
        <v/>
      </c>
      <c r="BA48" s="11">
        <f>BA37*Inputs!$F$145*(1+Inputs!$F$146/100)^(Time!BA21-2018)/1000000</f>
        <v/>
      </c>
      <c r="BB48" s="11">
        <f>BB37*Inputs!$F$145*(1+Inputs!$F$146/100)^(Time!BB21-2018)/1000000</f>
        <v/>
      </c>
      <c r="BC48" s="11">
        <f>BC37*Inputs!$F$145*(1+Inputs!$F$146/100)^(Time!BC21-2018)/1000000</f>
        <v/>
      </c>
      <c r="BD48" s="11">
        <f>BD37*Inputs!$F$145*(1+Inputs!$F$146/100)^(Time!BD21-2018)/1000000</f>
        <v/>
      </c>
      <c r="BE48" s="11">
        <f>BE37*Inputs!$F$145*(1+Inputs!$F$146/100)^(Time!BE21-2018)/1000000</f>
        <v/>
      </c>
      <c r="BF48" s="11">
        <f>BF37*Inputs!$F$145*(1+Inputs!$F$146/100)^(Time!BF21-2018)/1000000</f>
        <v/>
      </c>
      <c r="BG48" s="11">
        <f>BG37*Inputs!$F$145*(1+Inputs!$F$146/100)^(Time!BG21-2018)/1000000</f>
        <v/>
      </c>
      <c r="BH48" s="11">
        <f>BH37*Inputs!$F$145*(1+Inputs!$F$146/100)^(Time!BH21-2018)/1000000</f>
        <v/>
      </c>
      <c r="BI48" s="11">
        <f>BI37*Inputs!$F$145*(1+Inputs!$F$146/100)^(Time!BI21-2018)/1000000</f>
        <v/>
      </c>
      <c r="BJ48" s="11">
        <f>BJ37*Inputs!$F$145*(1+Inputs!$F$146/100)^(Time!BJ21-2018)/1000000</f>
        <v/>
      </c>
      <c r="BK48" s="11">
        <f>BK37*Inputs!$F$145*(1+Inputs!$F$146/100)^(Time!BK21-2018)/1000000</f>
        <v/>
      </c>
      <c r="BL48" s="11">
        <f>BL37*Inputs!$F$145*(1+Inputs!$F$146/100)^(Time!BL21-2018)/1000000</f>
        <v/>
      </c>
      <c r="BM48" s="11">
        <f>BM37*Inputs!$F$145*(1+Inputs!$F$146/100)^(Time!BM21-2018)/1000000</f>
        <v/>
      </c>
      <c r="BN48" s="11">
        <f>BN37*Inputs!$F$145*(1+Inputs!$F$146/100)^(Time!BN21-2018)/1000000</f>
        <v/>
      </c>
    </row>
    <row r="49">
      <c r="D49" t="inlineStr">
        <is>
          <t>Take-or-pay payment (pass-through)</t>
        </is>
      </c>
      <c r="E49" t="inlineStr">
        <is>
          <t>USD m</t>
        </is>
      </c>
      <c r="G49" s="11">
        <f>SUM(J49:BN49)</f>
        <v/>
      </c>
      <c r="J49" s="11">
        <f>MAX(0,J38-J37)*J36/1000000</f>
        <v/>
      </c>
      <c r="K49" s="11">
        <f>MAX(0,K38-K37)*K36/1000000</f>
        <v/>
      </c>
      <c r="L49" s="11">
        <f>MAX(0,L38-L37)*L36/1000000</f>
        <v/>
      </c>
      <c r="M49" s="11">
        <f>MAX(0,M38-M37)*M36/1000000</f>
        <v/>
      </c>
      <c r="N49" s="11">
        <f>MAX(0,N38-N37)*N36/1000000</f>
        <v/>
      </c>
      <c r="O49" s="11">
        <f>MAX(0,O38-O37)*O36/1000000</f>
        <v/>
      </c>
      <c r="P49" s="11">
        <f>MAX(0,P38-P37)*P36/1000000</f>
        <v/>
      </c>
      <c r="Q49" s="11">
        <f>MAX(0,Q38-Q37)*Q36/1000000</f>
        <v/>
      </c>
      <c r="R49" s="11">
        <f>MAX(0,R38-R37)*R36/1000000</f>
        <v/>
      </c>
      <c r="S49" s="11">
        <f>MAX(0,S38-S37)*S36/1000000</f>
        <v/>
      </c>
      <c r="T49" s="11">
        <f>MAX(0,T38-T37)*T36/1000000</f>
        <v/>
      </c>
      <c r="U49" s="11">
        <f>MAX(0,U38-U37)*U36/1000000</f>
        <v/>
      </c>
      <c r="V49" s="11">
        <f>MAX(0,V38-V37)*V36/1000000</f>
        <v/>
      </c>
      <c r="W49" s="11">
        <f>MAX(0,W38-W37)*W36/1000000</f>
        <v/>
      </c>
      <c r="X49" s="11">
        <f>MAX(0,X38-X37)*X36/1000000</f>
        <v/>
      </c>
      <c r="Y49" s="11">
        <f>MAX(0,Y38-Y37)*Y36/1000000</f>
        <v/>
      </c>
      <c r="Z49" s="11">
        <f>MAX(0,Z38-Z37)*Z36/1000000</f>
        <v/>
      </c>
      <c r="AA49" s="11">
        <f>MAX(0,AA38-AA37)*AA36/1000000</f>
        <v/>
      </c>
      <c r="AB49" s="11">
        <f>MAX(0,AB38-AB37)*AB36/1000000</f>
        <v/>
      </c>
      <c r="AC49" s="11">
        <f>MAX(0,AC38-AC37)*AC36/1000000</f>
        <v/>
      </c>
      <c r="AD49" s="11">
        <f>MAX(0,AD38-AD37)*AD36/1000000</f>
        <v/>
      </c>
      <c r="AE49" s="11">
        <f>MAX(0,AE38-AE37)*AE36/1000000</f>
        <v/>
      </c>
      <c r="AF49" s="11">
        <f>MAX(0,AF38-AF37)*AF36/1000000</f>
        <v/>
      </c>
      <c r="AG49" s="11">
        <f>MAX(0,AG38-AG37)*AG36/1000000</f>
        <v/>
      </c>
      <c r="AH49" s="11">
        <f>MAX(0,AH38-AH37)*AH36/1000000</f>
        <v/>
      </c>
      <c r="AI49" s="11">
        <f>MAX(0,AI38-AI37)*AI36/1000000</f>
        <v/>
      </c>
      <c r="AJ49" s="11">
        <f>MAX(0,AJ38-AJ37)*AJ36/1000000</f>
        <v/>
      </c>
      <c r="AK49" s="11">
        <f>MAX(0,AK38-AK37)*AK36/1000000</f>
        <v/>
      </c>
      <c r="AL49" s="11">
        <f>MAX(0,AL38-AL37)*AL36/1000000</f>
        <v/>
      </c>
      <c r="AM49" s="11">
        <f>MAX(0,AM38-AM37)*AM36/1000000</f>
        <v/>
      </c>
      <c r="AN49" s="11">
        <f>MAX(0,AN38-AN37)*AN36/1000000</f>
        <v/>
      </c>
      <c r="AO49" s="11">
        <f>MAX(0,AO38-AO37)*AO36/1000000</f>
        <v/>
      </c>
      <c r="AP49" s="11">
        <f>MAX(0,AP38-AP37)*AP36/1000000</f>
        <v/>
      </c>
      <c r="AQ49" s="11">
        <f>MAX(0,AQ38-AQ37)*AQ36/1000000</f>
        <v/>
      </c>
      <c r="AR49" s="11">
        <f>MAX(0,AR38-AR37)*AR36/1000000</f>
        <v/>
      </c>
      <c r="AS49" s="11">
        <f>MAX(0,AS38-AS37)*AS36/1000000</f>
        <v/>
      </c>
      <c r="AT49" s="11">
        <f>MAX(0,AT38-AT37)*AT36/1000000</f>
        <v/>
      </c>
      <c r="AU49" s="11">
        <f>MAX(0,AU38-AU37)*AU36/1000000</f>
        <v/>
      </c>
      <c r="AV49" s="11">
        <f>MAX(0,AV38-AV37)*AV36/1000000</f>
        <v/>
      </c>
      <c r="AW49" s="11">
        <f>MAX(0,AW38-AW37)*AW36/1000000</f>
        <v/>
      </c>
      <c r="AX49" s="11">
        <f>MAX(0,AX38-AX37)*AX36/1000000</f>
        <v/>
      </c>
      <c r="AY49" s="11">
        <f>MAX(0,AY38-AY37)*AY36/1000000</f>
        <v/>
      </c>
      <c r="AZ49" s="11">
        <f>MAX(0,AZ38-AZ37)*AZ36/1000000</f>
        <v/>
      </c>
      <c r="BA49" s="11">
        <f>MAX(0,BA38-BA37)*BA36/1000000</f>
        <v/>
      </c>
      <c r="BB49" s="11">
        <f>MAX(0,BB38-BB37)*BB36/1000000</f>
        <v/>
      </c>
      <c r="BC49" s="11">
        <f>MAX(0,BC38-BC37)*BC36/1000000</f>
        <v/>
      </c>
      <c r="BD49" s="11">
        <f>MAX(0,BD38-BD37)*BD36/1000000</f>
        <v/>
      </c>
      <c r="BE49" s="11">
        <f>MAX(0,BE38-BE37)*BE36/1000000</f>
        <v/>
      </c>
      <c r="BF49" s="11">
        <f>MAX(0,BF38-BF37)*BF36/1000000</f>
        <v/>
      </c>
      <c r="BG49" s="11">
        <f>MAX(0,BG38-BG37)*BG36/1000000</f>
        <v/>
      </c>
      <c r="BH49" s="11">
        <f>MAX(0,BH38-BH37)*BH36/1000000</f>
        <v/>
      </c>
      <c r="BI49" s="11">
        <f>MAX(0,BI38-BI37)*BI36/1000000</f>
        <v/>
      </c>
      <c r="BJ49" s="11">
        <f>MAX(0,BJ38-BJ37)*BJ36/1000000</f>
        <v/>
      </c>
      <c r="BK49" s="11">
        <f>MAX(0,BK38-BK37)*BK36/1000000</f>
        <v/>
      </c>
      <c r="BL49" s="11">
        <f>MAX(0,BL38-BL37)*BL36/1000000</f>
        <v/>
      </c>
      <c r="BM49" s="11">
        <f>MAX(0,BM38-BM37)*BM36/1000000</f>
        <v/>
      </c>
      <c r="BN49" s="11">
        <f>MAX(0,BN38-BN37)*BN36/1000000</f>
        <v/>
      </c>
    </row>
    <row r="50">
      <c r="D50" t="inlineStr">
        <is>
          <t>Non-fuel revenue</t>
        </is>
      </c>
      <c r="E50" t="inlineStr">
        <is>
          <t>USD m</t>
        </is>
      </c>
      <c r="G50" s="11">
        <f>SUM(J50:BN50)</f>
        <v/>
      </c>
      <c r="J50" s="11">
        <f>J43+J45</f>
        <v/>
      </c>
      <c r="K50" s="11">
        <f>K43+K45</f>
        <v/>
      </c>
      <c r="L50" s="11">
        <f>L43+L45</f>
        <v/>
      </c>
      <c r="M50" s="11">
        <f>M43+M45</f>
        <v/>
      </c>
      <c r="N50" s="11">
        <f>N43+N45</f>
        <v/>
      </c>
      <c r="O50" s="11">
        <f>O43+O45</f>
        <v/>
      </c>
      <c r="P50" s="11">
        <f>P43+P45</f>
        <v/>
      </c>
      <c r="Q50" s="11">
        <f>Q43+Q45</f>
        <v/>
      </c>
      <c r="R50" s="11">
        <f>R43+R45</f>
        <v/>
      </c>
      <c r="S50" s="11">
        <f>S43+S45</f>
        <v/>
      </c>
      <c r="T50" s="11">
        <f>T43+T45</f>
        <v/>
      </c>
      <c r="U50" s="11">
        <f>U43+U45</f>
        <v/>
      </c>
      <c r="V50" s="11">
        <f>V43+V45</f>
        <v/>
      </c>
      <c r="W50" s="11">
        <f>W43+W45</f>
        <v/>
      </c>
      <c r="X50" s="11">
        <f>X43+X45</f>
        <v/>
      </c>
      <c r="Y50" s="11">
        <f>Y43+Y45</f>
        <v/>
      </c>
      <c r="Z50" s="11">
        <f>Z43+Z45</f>
        <v/>
      </c>
      <c r="AA50" s="11">
        <f>AA43+AA45</f>
        <v/>
      </c>
      <c r="AB50" s="11">
        <f>AB43+AB45</f>
        <v/>
      </c>
      <c r="AC50" s="11">
        <f>AC43+AC45</f>
        <v/>
      </c>
      <c r="AD50" s="11">
        <f>AD43+AD45</f>
        <v/>
      </c>
      <c r="AE50" s="11">
        <f>AE43+AE45</f>
        <v/>
      </c>
      <c r="AF50" s="11">
        <f>AF43+AF45</f>
        <v/>
      </c>
      <c r="AG50" s="11">
        <f>AG43+AG45</f>
        <v/>
      </c>
      <c r="AH50" s="11">
        <f>AH43+AH45</f>
        <v/>
      </c>
      <c r="AI50" s="11">
        <f>AI43+AI45</f>
        <v/>
      </c>
      <c r="AJ50" s="11">
        <f>AJ43+AJ45</f>
        <v/>
      </c>
      <c r="AK50" s="11">
        <f>AK43+AK45</f>
        <v/>
      </c>
      <c r="AL50" s="11">
        <f>AL43+AL45</f>
        <v/>
      </c>
      <c r="AM50" s="11">
        <f>AM43+AM45</f>
        <v/>
      </c>
      <c r="AN50" s="11">
        <f>AN43+AN45</f>
        <v/>
      </c>
      <c r="AO50" s="11">
        <f>AO43+AO45</f>
        <v/>
      </c>
      <c r="AP50" s="11">
        <f>AP43+AP45</f>
        <v/>
      </c>
      <c r="AQ50" s="11">
        <f>AQ43+AQ45</f>
        <v/>
      </c>
      <c r="AR50" s="11">
        <f>AR43+AR45</f>
        <v/>
      </c>
      <c r="AS50" s="11">
        <f>AS43+AS45</f>
        <v/>
      </c>
      <c r="AT50" s="11">
        <f>AT43+AT45</f>
        <v/>
      </c>
      <c r="AU50" s="11">
        <f>AU43+AU45</f>
        <v/>
      </c>
      <c r="AV50" s="11">
        <f>AV43+AV45</f>
        <v/>
      </c>
      <c r="AW50" s="11">
        <f>AW43+AW45</f>
        <v/>
      </c>
      <c r="AX50" s="11">
        <f>AX43+AX45</f>
        <v/>
      </c>
      <c r="AY50" s="11">
        <f>AY43+AY45</f>
        <v/>
      </c>
      <c r="AZ50" s="11">
        <f>AZ43+AZ45</f>
        <v/>
      </c>
      <c r="BA50" s="11">
        <f>BA43+BA45</f>
        <v/>
      </c>
      <c r="BB50" s="11">
        <f>BB43+BB45</f>
        <v/>
      </c>
      <c r="BC50" s="11">
        <f>BC43+BC45</f>
        <v/>
      </c>
      <c r="BD50" s="11">
        <f>BD43+BD45</f>
        <v/>
      </c>
      <c r="BE50" s="11">
        <f>BE43+BE45</f>
        <v/>
      </c>
      <c r="BF50" s="11">
        <f>BF43+BF45</f>
        <v/>
      </c>
      <c r="BG50" s="11">
        <f>BG43+BG45</f>
        <v/>
      </c>
      <c r="BH50" s="11">
        <f>BH43+BH45</f>
        <v/>
      </c>
      <c r="BI50" s="11">
        <f>BI43+BI45</f>
        <v/>
      </c>
      <c r="BJ50" s="11">
        <f>BJ43+BJ45</f>
        <v/>
      </c>
      <c r="BK50" s="11">
        <f>BK43+BK45</f>
        <v/>
      </c>
      <c r="BL50" s="11">
        <f>BL43+BL45</f>
        <v/>
      </c>
      <c r="BM50" s="11">
        <f>BM43+BM45</f>
        <v/>
      </c>
      <c r="BN50" s="11">
        <f>BN43+BN45</f>
        <v/>
      </c>
    </row>
    <row r="51">
      <c r="D51" t="inlineStr">
        <is>
          <t>Total revenue</t>
        </is>
      </c>
      <c r="E51" t="inlineStr">
        <is>
          <t>USD m</t>
        </is>
      </c>
      <c r="G51" s="11">
        <f>SUM(J51:BN51)</f>
        <v/>
      </c>
      <c r="J51" s="11">
        <f>J50+J46+J47+J48+J49</f>
        <v/>
      </c>
      <c r="K51" s="11">
        <f>K50+K46+K47+K48+K49</f>
        <v/>
      </c>
      <c r="L51" s="11">
        <f>L50+L46+L47+L48+L49</f>
        <v/>
      </c>
      <c r="M51" s="11">
        <f>M50+M46+M47+M48+M49</f>
        <v/>
      </c>
      <c r="N51" s="11">
        <f>N50+N46+N47+N48+N49</f>
        <v/>
      </c>
      <c r="O51" s="11">
        <f>O50+O46+O47+O48+O49</f>
        <v/>
      </c>
      <c r="P51" s="11">
        <f>P50+P46+P47+P48+P49</f>
        <v/>
      </c>
      <c r="Q51" s="11">
        <f>Q50+Q46+Q47+Q48+Q49</f>
        <v/>
      </c>
      <c r="R51" s="11">
        <f>R50+R46+R47+R48+R49</f>
        <v/>
      </c>
      <c r="S51" s="11">
        <f>S50+S46+S47+S48+S49</f>
        <v/>
      </c>
      <c r="T51" s="11">
        <f>T50+T46+T47+T48+T49</f>
        <v/>
      </c>
      <c r="U51" s="11">
        <f>U50+U46+U47+U48+U49</f>
        <v/>
      </c>
      <c r="V51" s="11">
        <f>V50+V46+V47+V48+V49</f>
        <v/>
      </c>
      <c r="W51" s="11">
        <f>W50+W46+W47+W48+W49</f>
        <v/>
      </c>
      <c r="X51" s="11">
        <f>X50+X46+X47+X48+X49</f>
        <v/>
      </c>
      <c r="Y51" s="11">
        <f>Y50+Y46+Y47+Y48+Y49</f>
        <v/>
      </c>
      <c r="Z51" s="11">
        <f>Z50+Z46+Z47+Z48+Z49</f>
        <v/>
      </c>
      <c r="AA51" s="11">
        <f>AA50+AA46+AA47+AA48+AA49</f>
        <v/>
      </c>
      <c r="AB51" s="11">
        <f>AB50+AB46+AB47+AB48+AB49</f>
        <v/>
      </c>
      <c r="AC51" s="11">
        <f>AC50+AC46+AC47+AC48+AC49</f>
        <v/>
      </c>
      <c r="AD51" s="11">
        <f>AD50+AD46+AD47+AD48+AD49</f>
        <v/>
      </c>
      <c r="AE51" s="11">
        <f>AE50+AE46+AE47+AE48+AE49</f>
        <v/>
      </c>
      <c r="AF51" s="11">
        <f>AF50+AF46+AF47+AF48+AF49</f>
        <v/>
      </c>
      <c r="AG51" s="11">
        <f>AG50+AG46+AG47+AG48+AG49</f>
        <v/>
      </c>
      <c r="AH51" s="11">
        <f>AH50+AH46+AH47+AH48+AH49</f>
        <v/>
      </c>
      <c r="AI51" s="11">
        <f>AI50+AI46+AI47+AI48+AI49</f>
        <v/>
      </c>
      <c r="AJ51" s="11">
        <f>AJ50+AJ46+AJ47+AJ48+AJ49</f>
        <v/>
      </c>
      <c r="AK51" s="11">
        <f>AK50+AK46+AK47+AK48+AK49</f>
        <v/>
      </c>
      <c r="AL51" s="11">
        <f>AL50+AL46+AL47+AL48+AL49</f>
        <v/>
      </c>
      <c r="AM51" s="11">
        <f>AM50+AM46+AM47+AM48+AM49</f>
        <v/>
      </c>
      <c r="AN51" s="11">
        <f>AN50+AN46+AN47+AN48+AN49</f>
        <v/>
      </c>
      <c r="AO51" s="11">
        <f>AO50+AO46+AO47+AO48+AO49</f>
        <v/>
      </c>
      <c r="AP51" s="11">
        <f>AP50+AP46+AP47+AP48+AP49</f>
        <v/>
      </c>
      <c r="AQ51" s="11">
        <f>AQ50+AQ46+AQ47+AQ48+AQ49</f>
        <v/>
      </c>
      <c r="AR51" s="11">
        <f>AR50+AR46+AR47+AR48+AR49</f>
        <v/>
      </c>
      <c r="AS51" s="11">
        <f>AS50+AS46+AS47+AS48+AS49</f>
        <v/>
      </c>
      <c r="AT51" s="11">
        <f>AT50+AT46+AT47+AT48+AT49</f>
        <v/>
      </c>
      <c r="AU51" s="11">
        <f>AU50+AU46+AU47+AU48+AU49</f>
        <v/>
      </c>
      <c r="AV51" s="11">
        <f>AV50+AV46+AV47+AV48+AV49</f>
        <v/>
      </c>
      <c r="AW51" s="11">
        <f>AW50+AW46+AW47+AW48+AW49</f>
        <v/>
      </c>
      <c r="AX51" s="11">
        <f>AX50+AX46+AX47+AX48+AX49</f>
        <v/>
      </c>
      <c r="AY51" s="11">
        <f>AY50+AY46+AY47+AY48+AY49</f>
        <v/>
      </c>
      <c r="AZ51" s="11">
        <f>AZ50+AZ46+AZ47+AZ48+AZ49</f>
        <v/>
      </c>
      <c r="BA51" s="11">
        <f>BA50+BA46+BA47+BA48+BA49</f>
        <v/>
      </c>
      <c r="BB51" s="11">
        <f>BB50+BB46+BB47+BB48+BB49</f>
        <v/>
      </c>
      <c r="BC51" s="11">
        <f>BC50+BC46+BC47+BC48+BC49</f>
        <v/>
      </c>
      <c r="BD51" s="11">
        <f>BD50+BD46+BD47+BD48+BD49</f>
        <v/>
      </c>
      <c r="BE51" s="11">
        <f>BE50+BE46+BE47+BE48+BE49</f>
        <v/>
      </c>
      <c r="BF51" s="11">
        <f>BF50+BF46+BF47+BF48+BF49</f>
        <v/>
      </c>
      <c r="BG51" s="11">
        <f>BG50+BG46+BG47+BG48+BG49</f>
        <v/>
      </c>
      <c r="BH51" s="11">
        <f>BH50+BH46+BH47+BH48+BH49</f>
        <v/>
      </c>
      <c r="BI51" s="11">
        <f>BI50+BI46+BI47+BI48+BI49</f>
        <v/>
      </c>
      <c r="BJ51" s="11">
        <f>BJ50+BJ46+BJ47+BJ48+BJ49</f>
        <v/>
      </c>
      <c r="BK51" s="11">
        <f>BK50+BK46+BK47+BK48+BK49</f>
        <v/>
      </c>
      <c r="BL51" s="11">
        <f>BL50+BL46+BL47+BL48+BL49</f>
        <v/>
      </c>
      <c r="BM51" s="11">
        <f>BM50+BM46+BM47+BM48+BM49</f>
        <v/>
      </c>
      <c r="BN51" s="11">
        <f>BN50+BN46+BN47+BN48+BN49</f>
        <v/>
      </c>
    </row>
    <row r="52">
      <c r="D52" t="inlineStr">
        <is>
          <t>Late payment interest accrued (to settlement 2024-03-21)</t>
        </is>
      </c>
      <c r="E52" t="inlineStr">
        <is>
          <t>USD m</t>
        </is>
      </c>
      <c r="G52" s="11">
        <f>SUM(J52:BN52)</f>
        <v/>
      </c>
      <c r="J52" s="11">
        <f>IF(Inputs!$F$44=1,(0+J84)/2*(J9-IF(Time!J17&gt;=10,Inputs!$F$96,0)+Inputs!$F$184)/100*MAX(0,MIN(Time!J20,DATE(2024,3,21)-Time!J18))/360,0)</f>
        <v/>
      </c>
      <c r="K52" s="11">
        <f>IF(Inputs!$F$44=1,(J84+K84)/2*(K9-IF(Time!K17&gt;=10,Inputs!$F$96,0)+Inputs!$F$184)/100*MAX(0,MIN(Time!K20,DATE(2024,3,21)-Time!K18))/360,0)</f>
        <v/>
      </c>
      <c r="L52" s="11">
        <f>IF(Inputs!$F$44=1,(K84+L84)/2*(L9-IF(Time!L17&gt;=10,Inputs!$F$96,0)+Inputs!$F$184)/100*MAX(0,MIN(Time!L20,DATE(2024,3,21)-Time!L18))/360,0)</f>
        <v/>
      </c>
      <c r="M52" s="11">
        <f>IF(Inputs!$F$44=1,(L84+M84)/2*(M9-IF(Time!M17&gt;=10,Inputs!$F$96,0)+Inputs!$F$184)/100*MAX(0,MIN(Time!M20,DATE(2024,3,21)-Time!M18))/360,0)</f>
        <v/>
      </c>
      <c r="N52" s="11">
        <f>IF(Inputs!$F$44=1,(M84+N84)/2*(N9-IF(Time!N17&gt;=10,Inputs!$F$96,0)+Inputs!$F$184)/100*MAX(0,MIN(Time!N20,DATE(2024,3,21)-Time!N18))/360,0)</f>
        <v/>
      </c>
      <c r="O52" s="11">
        <f>IF(Inputs!$F$44=1,(N84+O84)/2*(O9-IF(Time!O17&gt;=10,Inputs!$F$96,0)+Inputs!$F$184)/100*MAX(0,MIN(Time!O20,DATE(2024,3,21)-Time!O18))/360,0)</f>
        <v/>
      </c>
      <c r="P52" s="11">
        <f>IF(Inputs!$F$44=1,(O84+P84)/2*(P9-IF(Time!P17&gt;=10,Inputs!$F$96,0)+Inputs!$F$184)/100*MAX(0,MIN(Time!P20,DATE(2024,3,21)-Time!P18))/360,0)</f>
        <v/>
      </c>
      <c r="Q52" s="11">
        <f>IF(Inputs!$F$44=1,(P84+Q84)/2*(Q9-IF(Time!Q17&gt;=10,Inputs!$F$96,0)+Inputs!$F$184)/100*MAX(0,MIN(Time!Q20,DATE(2024,3,21)-Time!Q18))/360,0)</f>
        <v/>
      </c>
      <c r="R52" s="11">
        <f>IF(Inputs!$F$44=1,(Q84+R84)/2*(R9-IF(Time!R17&gt;=10,Inputs!$F$96,0)+Inputs!$F$184)/100*MAX(0,MIN(Time!R20,DATE(2024,3,21)-Time!R18))/360,0)</f>
        <v/>
      </c>
      <c r="S52" s="11">
        <f>IF(Inputs!$F$44=1,(R84+S84)/2*(S9-IF(Time!S17&gt;=10,Inputs!$F$96,0)+Inputs!$F$184)/100*MAX(0,MIN(Time!S20,DATE(2024,3,21)-Time!S18))/360,0)</f>
        <v/>
      </c>
      <c r="T52" s="11">
        <f>IF(Inputs!$F$44=1,(S84+T84)/2*(T9-IF(Time!T17&gt;=10,Inputs!$F$96,0)+Inputs!$F$184)/100*MAX(0,MIN(Time!T20,DATE(2024,3,21)-Time!T18))/360,0)</f>
        <v/>
      </c>
      <c r="U52" s="11">
        <f>IF(Inputs!$F$44=1,(T84+U84)/2*(U9-IF(Time!U17&gt;=10,Inputs!$F$96,0)+Inputs!$F$184)/100*MAX(0,MIN(Time!U20,DATE(2024,3,21)-Time!U18))/360,0)</f>
        <v/>
      </c>
      <c r="V52" s="11">
        <f>IF(Inputs!$F$44=1,(U84+V84)/2*(V9-IF(Time!V17&gt;=10,Inputs!$F$96,0)+Inputs!$F$184)/100*MAX(0,MIN(Time!V20,DATE(2024,3,21)-Time!V18))/360,0)</f>
        <v/>
      </c>
      <c r="W52" s="11">
        <f>IF(Inputs!$F$44=1,(V84+W84)/2*(W9-IF(Time!W17&gt;=10,Inputs!$F$96,0)+Inputs!$F$184)/100*MAX(0,MIN(Time!W20,DATE(2024,3,21)-Time!W18))/360,0)</f>
        <v/>
      </c>
      <c r="X52" s="11">
        <f>IF(Inputs!$F$44=1,(W84+X84)/2*(X9-IF(Time!X17&gt;=10,Inputs!$F$96,0)+Inputs!$F$184)/100*MAX(0,MIN(Time!X20,DATE(2024,3,21)-Time!X18))/360,0)</f>
        <v/>
      </c>
      <c r="Y52" s="11">
        <f>IF(Inputs!$F$44=1,(X84+Y84)/2*(Y9-IF(Time!Y17&gt;=10,Inputs!$F$96,0)+Inputs!$F$184)/100*MAX(0,MIN(Time!Y20,DATE(2024,3,21)-Time!Y18))/360,0)</f>
        <v/>
      </c>
      <c r="Z52" s="11">
        <f>IF(Inputs!$F$44=1,(Y84+Z84)/2*(Z9-IF(Time!Z17&gt;=10,Inputs!$F$96,0)+Inputs!$F$184)/100*MAX(0,MIN(Time!Z20,DATE(2024,3,21)-Time!Z18))/360,0)</f>
        <v/>
      </c>
      <c r="AA52" s="11">
        <f>IF(Inputs!$F$44=1,(Z84+AA84)/2*(AA9-IF(Time!AA17&gt;=10,Inputs!$F$96,0)+Inputs!$F$184)/100*MAX(0,MIN(Time!AA20,DATE(2024,3,21)-Time!AA18))/360,0)</f>
        <v/>
      </c>
      <c r="AB52" s="11">
        <f>IF(Inputs!$F$44=1,(AA84+AB84)/2*(AB9-IF(Time!AB17&gt;=10,Inputs!$F$96,0)+Inputs!$F$184)/100*MAX(0,MIN(Time!AB20,DATE(2024,3,21)-Time!AB18))/360,0)</f>
        <v/>
      </c>
      <c r="AC52" s="11">
        <f>IF(Inputs!$F$44=1,(AB84+AC84)/2*(AC9-IF(Time!AC17&gt;=10,Inputs!$F$96,0)+Inputs!$F$184)/100*MAX(0,MIN(Time!AC20,DATE(2024,3,21)-Time!AC18))/360,0)</f>
        <v/>
      </c>
      <c r="AD52" s="11">
        <f>IF(Inputs!$F$44=1,(AC84+AD84)/2*(AD9-IF(Time!AD17&gt;=10,Inputs!$F$96,0)+Inputs!$F$184)/100*MAX(0,MIN(Time!AD20,DATE(2024,3,21)-Time!AD18))/360,0)</f>
        <v/>
      </c>
      <c r="AE52" s="11">
        <f>IF(Inputs!$F$44=1,(AD84+AE84)/2*(AE9-IF(Time!AE17&gt;=10,Inputs!$F$96,0)+Inputs!$F$184)/100*MAX(0,MIN(Time!AE20,DATE(2024,3,21)-Time!AE18))/360,0)</f>
        <v/>
      </c>
      <c r="AF52" s="11">
        <f>IF(Inputs!$F$44=1,(AE84+AF84)/2*(AF9-IF(Time!AF17&gt;=10,Inputs!$F$96,0)+Inputs!$F$184)/100*MAX(0,MIN(Time!AF20,DATE(2024,3,21)-Time!AF18))/360,0)</f>
        <v/>
      </c>
      <c r="AG52" s="11">
        <f>IF(Inputs!$F$44=1,(AF84+AG84)/2*(AG9-IF(Time!AG17&gt;=10,Inputs!$F$96,0)+Inputs!$F$184)/100*MAX(0,MIN(Time!AG20,DATE(2024,3,21)-Time!AG18))/360,0)</f>
        <v/>
      </c>
      <c r="AH52" s="11">
        <f>IF(Inputs!$F$44=1,(AG84+AH84)/2*(AH9-IF(Time!AH17&gt;=10,Inputs!$F$96,0)+Inputs!$F$184)/100*MAX(0,MIN(Time!AH20,DATE(2024,3,21)-Time!AH18))/360,0)</f>
        <v/>
      </c>
      <c r="AI52" s="11">
        <f>IF(Inputs!$F$44=1,(AH84+AI84)/2*(AI9-IF(Time!AI17&gt;=10,Inputs!$F$96,0)+Inputs!$F$184)/100*MAX(0,MIN(Time!AI20,DATE(2024,3,21)-Time!AI18))/360,0)</f>
        <v/>
      </c>
      <c r="AJ52" s="11">
        <f>IF(Inputs!$F$44=1,(AI84+AJ84)/2*(AJ9-IF(Time!AJ17&gt;=10,Inputs!$F$96,0)+Inputs!$F$184)/100*MAX(0,MIN(Time!AJ20,DATE(2024,3,21)-Time!AJ18))/360,0)</f>
        <v/>
      </c>
      <c r="AK52" s="11">
        <f>IF(Inputs!$F$44=1,(AJ84+AK84)/2*(AK9-IF(Time!AK17&gt;=10,Inputs!$F$96,0)+Inputs!$F$184)/100*MAX(0,MIN(Time!AK20,DATE(2024,3,21)-Time!AK18))/360,0)</f>
        <v/>
      </c>
      <c r="AL52" s="11">
        <f>IF(Inputs!$F$44=1,(AK84+AL84)/2*(AL9-IF(Time!AL17&gt;=10,Inputs!$F$96,0)+Inputs!$F$184)/100*MAX(0,MIN(Time!AL20,DATE(2024,3,21)-Time!AL18))/360,0)</f>
        <v/>
      </c>
      <c r="AM52" s="11">
        <f>IF(Inputs!$F$44=1,(AL84+AM84)/2*(AM9-IF(Time!AM17&gt;=10,Inputs!$F$96,0)+Inputs!$F$184)/100*MAX(0,MIN(Time!AM20,DATE(2024,3,21)-Time!AM18))/360,0)</f>
        <v/>
      </c>
      <c r="AN52" s="11">
        <f>IF(Inputs!$F$44=1,(AM84+AN84)/2*(AN9-IF(Time!AN17&gt;=10,Inputs!$F$96,0)+Inputs!$F$184)/100*MAX(0,MIN(Time!AN20,DATE(2024,3,21)-Time!AN18))/360,0)</f>
        <v/>
      </c>
      <c r="AO52" s="11">
        <f>IF(Inputs!$F$44=1,(AN84+AO84)/2*(AO9-IF(Time!AO17&gt;=10,Inputs!$F$96,0)+Inputs!$F$184)/100*MAX(0,MIN(Time!AO20,DATE(2024,3,21)-Time!AO18))/360,0)</f>
        <v/>
      </c>
      <c r="AP52" s="11">
        <f>IF(Inputs!$F$44=1,(AO84+AP84)/2*(AP9-IF(Time!AP17&gt;=10,Inputs!$F$96,0)+Inputs!$F$184)/100*MAX(0,MIN(Time!AP20,DATE(2024,3,21)-Time!AP18))/360,0)</f>
        <v/>
      </c>
      <c r="AQ52" s="11">
        <f>IF(Inputs!$F$44=1,(AP84+AQ84)/2*(AQ9-IF(Time!AQ17&gt;=10,Inputs!$F$96,0)+Inputs!$F$184)/100*MAX(0,MIN(Time!AQ20,DATE(2024,3,21)-Time!AQ18))/360,0)</f>
        <v/>
      </c>
      <c r="AR52" s="11">
        <f>IF(Inputs!$F$44=1,(AQ84+AR84)/2*(AR9-IF(Time!AR17&gt;=10,Inputs!$F$96,0)+Inputs!$F$184)/100*MAX(0,MIN(Time!AR20,DATE(2024,3,21)-Time!AR18))/360,0)</f>
        <v/>
      </c>
      <c r="AS52" s="11">
        <f>IF(Inputs!$F$44=1,(AR84+AS84)/2*(AS9-IF(Time!AS17&gt;=10,Inputs!$F$96,0)+Inputs!$F$184)/100*MAX(0,MIN(Time!AS20,DATE(2024,3,21)-Time!AS18))/360,0)</f>
        <v/>
      </c>
      <c r="AT52" s="11">
        <f>IF(Inputs!$F$44=1,(AS84+AT84)/2*(AT9-IF(Time!AT17&gt;=10,Inputs!$F$96,0)+Inputs!$F$184)/100*MAX(0,MIN(Time!AT20,DATE(2024,3,21)-Time!AT18))/360,0)</f>
        <v/>
      </c>
      <c r="AU52" s="11">
        <f>IF(Inputs!$F$44=1,(AT84+AU84)/2*(AU9-IF(Time!AU17&gt;=10,Inputs!$F$96,0)+Inputs!$F$184)/100*MAX(0,MIN(Time!AU20,DATE(2024,3,21)-Time!AU18))/360,0)</f>
        <v/>
      </c>
      <c r="AV52" s="11">
        <f>IF(Inputs!$F$44=1,(AU84+AV84)/2*(AV9-IF(Time!AV17&gt;=10,Inputs!$F$96,0)+Inputs!$F$184)/100*MAX(0,MIN(Time!AV20,DATE(2024,3,21)-Time!AV18))/360,0)</f>
        <v/>
      </c>
      <c r="AW52" s="11">
        <f>IF(Inputs!$F$44=1,(AV84+AW84)/2*(AW9-IF(Time!AW17&gt;=10,Inputs!$F$96,0)+Inputs!$F$184)/100*MAX(0,MIN(Time!AW20,DATE(2024,3,21)-Time!AW18))/360,0)</f>
        <v/>
      </c>
      <c r="AX52" s="11">
        <f>IF(Inputs!$F$44=1,(AW84+AX84)/2*(AX9-IF(Time!AX17&gt;=10,Inputs!$F$96,0)+Inputs!$F$184)/100*MAX(0,MIN(Time!AX20,DATE(2024,3,21)-Time!AX18))/360,0)</f>
        <v/>
      </c>
      <c r="AY52" s="11">
        <f>IF(Inputs!$F$44=1,(AX84+AY84)/2*(AY9-IF(Time!AY17&gt;=10,Inputs!$F$96,0)+Inputs!$F$184)/100*MAX(0,MIN(Time!AY20,DATE(2024,3,21)-Time!AY18))/360,0)</f>
        <v/>
      </c>
      <c r="AZ52" s="11">
        <f>IF(Inputs!$F$44=1,(AY84+AZ84)/2*(AZ9-IF(Time!AZ17&gt;=10,Inputs!$F$96,0)+Inputs!$F$184)/100*MAX(0,MIN(Time!AZ20,DATE(2024,3,21)-Time!AZ18))/360,0)</f>
        <v/>
      </c>
      <c r="BA52" s="11">
        <f>IF(Inputs!$F$44=1,(AZ84+BA84)/2*(BA9-IF(Time!BA17&gt;=10,Inputs!$F$96,0)+Inputs!$F$184)/100*MAX(0,MIN(Time!BA20,DATE(2024,3,21)-Time!BA18))/360,0)</f>
        <v/>
      </c>
      <c r="BB52" s="11">
        <f>IF(Inputs!$F$44=1,(BA84+BB84)/2*(BB9-IF(Time!BB17&gt;=10,Inputs!$F$96,0)+Inputs!$F$184)/100*MAX(0,MIN(Time!BB20,DATE(2024,3,21)-Time!BB18))/360,0)</f>
        <v/>
      </c>
      <c r="BC52" s="11">
        <f>IF(Inputs!$F$44=1,(BB84+BC84)/2*(BC9-IF(Time!BC17&gt;=10,Inputs!$F$96,0)+Inputs!$F$184)/100*MAX(0,MIN(Time!BC20,DATE(2024,3,21)-Time!BC18))/360,0)</f>
        <v/>
      </c>
      <c r="BD52" s="11">
        <f>IF(Inputs!$F$44=1,(BC84+BD84)/2*(BD9-IF(Time!BD17&gt;=10,Inputs!$F$96,0)+Inputs!$F$184)/100*MAX(0,MIN(Time!BD20,DATE(2024,3,21)-Time!BD18))/360,0)</f>
        <v/>
      </c>
      <c r="BE52" s="11">
        <f>IF(Inputs!$F$44=1,(BD84+BE84)/2*(BE9-IF(Time!BE17&gt;=10,Inputs!$F$96,0)+Inputs!$F$184)/100*MAX(0,MIN(Time!BE20,DATE(2024,3,21)-Time!BE18))/360,0)</f>
        <v/>
      </c>
      <c r="BF52" s="11">
        <f>IF(Inputs!$F$44=1,(BE84+BF84)/2*(BF9-IF(Time!BF17&gt;=10,Inputs!$F$96,0)+Inputs!$F$184)/100*MAX(0,MIN(Time!BF20,DATE(2024,3,21)-Time!BF18))/360,0)</f>
        <v/>
      </c>
      <c r="BG52" s="11">
        <f>IF(Inputs!$F$44=1,(BF84+BG84)/2*(BG9-IF(Time!BG17&gt;=10,Inputs!$F$96,0)+Inputs!$F$184)/100*MAX(0,MIN(Time!BG20,DATE(2024,3,21)-Time!BG18))/360,0)</f>
        <v/>
      </c>
      <c r="BH52" s="11">
        <f>IF(Inputs!$F$44=1,(BG84+BH84)/2*(BH9-IF(Time!BH17&gt;=10,Inputs!$F$96,0)+Inputs!$F$184)/100*MAX(0,MIN(Time!BH20,DATE(2024,3,21)-Time!BH18))/360,0)</f>
        <v/>
      </c>
      <c r="BI52" s="11">
        <f>IF(Inputs!$F$44=1,(BH84+BI84)/2*(BI9-IF(Time!BI17&gt;=10,Inputs!$F$96,0)+Inputs!$F$184)/100*MAX(0,MIN(Time!BI20,DATE(2024,3,21)-Time!BI18))/360,0)</f>
        <v/>
      </c>
      <c r="BJ52" s="11">
        <f>IF(Inputs!$F$44=1,(BI84+BJ84)/2*(BJ9-IF(Time!BJ17&gt;=10,Inputs!$F$96,0)+Inputs!$F$184)/100*MAX(0,MIN(Time!BJ20,DATE(2024,3,21)-Time!BJ18))/360,0)</f>
        <v/>
      </c>
      <c r="BK52" s="11">
        <f>IF(Inputs!$F$44=1,(BJ84+BK84)/2*(BK9-IF(Time!BK17&gt;=10,Inputs!$F$96,0)+Inputs!$F$184)/100*MAX(0,MIN(Time!BK20,DATE(2024,3,21)-Time!BK18))/360,0)</f>
        <v/>
      </c>
      <c r="BL52" s="11">
        <f>IF(Inputs!$F$44=1,(BK84+BL84)/2*(BL9-IF(Time!BL17&gt;=10,Inputs!$F$96,0)+Inputs!$F$184)/100*MAX(0,MIN(Time!BL20,DATE(2024,3,21)-Time!BL18))/360,0)</f>
        <v/>
      </c>
      <c r="BM52" s="11">
        <f>IF(Inputs!$F$44=1,(BL84+BM84)/2*(BM9-IF(Time!BM17&gt;=10,Inputs!$F$96,0)+Inputs!$F$184)/100*MAX(0,MIN(Time!BM20,DATE(2024,3,21)-Time!BM18))/360,0)</f>
        <v/>
      </c>
      <c r="BN52" s="11">
        <f>IF(Inputs!$F$44=1,(BM84+BN84)/2*(BN9-IF(Time!BN17&gt;=10,Inputs!$F$96,0)+Inputs!$F$184)/100*MAX(0,MIN(Time!BN20,DATE(2024,3,21)-Time!BN18))/360,0)</f>
        <v/>
      </c>
    </row>
    <row r="53">
      <c r="D53" t="inlineStr">
        <is>
          <t>Late payment interest received (60%, with settlement installments)</t>
        </is>
      </c>
      <c r="E53" t="inlineStr">
        <is>
          <t>USD m</t>
        </is>
      </c>
      <c r="G53" s="11">
        <f>SUM(J53:BN53)</f>
        <v/>
      </c>
      <c r="J53" s="11">
        <f>Inputs!$F$185*SUM($J$52:$BN$52)*Inputs!J218</f>
        <v/>
      </c>
      <c r="K53" s="11">
        <f>Inputs!$F$185*SUM($J$52:$BN$52)*Inputs!K218</f>
        <v/>
      </c>
      <c r="L53" s="11">
        <f>Inputs!$F$185*SUM($J$52:$BN$52)*Inputs!L218</f>
        <v/>
      </c>
      <c r="M53" s="11">
        <f>Inputs!$F$185*SUM($J$52:$BN$52)*Inputs!M218</f>
        <v/>
      </c>
      <c r="N53" s="11">
        <f>Inputs!$F$185*SUM($J$52:$BN$52)*Inputs!N218</f>
        <v/>
      </c>
      <c r="O53" s="11">
        <f>Inputs!$F$185*SUM($J$52:$BN$52)*Inputs!O218</f>
        <v/>
      </c>
      <c r="P53" s="11">
        <f>Inputs!$F$185*SUM($J$52:$BN$52)*Inputs!P218</f>
        <v/>
      </c>
      <c r="Q53" s="11">
        <f>Inputs!$F$185*SUM($J$52:$BN$52)*Inputs!Q218</f>
        <v/>
      </c>
      <c r="R53" s="11">
        <f>Inputs!$F$185*SUM($J$52:$BN$52)*Inputs!R218</f>
        <v/>
      </c>
      <c r="S53" s="11">
        <f>Inputs!$F$185*SUM($J$52:$BN$52)*Inputs!S218</f>
        <v/>
      </c>
      <c r="T53" s="11">
        <f>Inputs!$F$185*SUM($J$52:$BN$52)*Inputs!T218</f>
        <v/>
      </c>
      <c r="U53" s="11">
        <f>Inputs!$F$185*SUM($J$52:$BN$52)*Inputs!U218</f>
        <v/>
      </c>
      <c r="V53" s="11">
        <f>Inputs!$F$185*SUM($J$52:$BN$52)*Inputs!V218</f>
        <v/>
      </c>
      <c r="W53" s="11">
        <f>Inputs!$F$185*SUM($J$52:$BN$52)*Inputs!W218</f>
        <v/>
      </c>
      <c r="X53" s="11">
        <f>Inputs!$F$185*SUM($J$52:$BN$52)*Inputs!X218</f>
        <v/>
      </c>
      <c r="Y53" s="11">
        <f>Inputs!$F$185*SUM($J$52:$BN$52)*Inputs!Y218</f>
        <v/>
      </c>
      <c r="Z53" s="11">
        <f>Inputs!$F$185*SUM($J$52:$BN$52)*Inputs!Z218</f>
        <v/>
      </c>
      <c r="AA53" s="11">
        <f>Inputs!$F$185*SUM($J$52:$BN$52)*Inputs!AA218</f>
        <v/>
      </c>
      <c r="AB53" s="11">
        <f>Inputs!$F$185*SUM($J$52:$BN$52)*Inputs!AB218</f>
        <v/>
      </c>
      <c r="AC53" s="11">
        <f>Inputs!$F$185*SUM($J$52:$BN$52)*Inputs!AC218</f>
        <v/>
      </c>
      <c r="AD53" s="11">
        <f>Inputs!$F$185*SUM($J$52:$BN$52)*Inputs!AD218</f>
        <v/>
      </c>
      <c r="AE53" s="11">
        <f>Inputs!$F$185*SUM($J$52:$BN$52)*Inputs!AE218</f>
        <v/>
      </c>
      <c r="AF53" s="11">
        <f>Inputs!$F$185*SUM($J$52:$BN$52)*Inputs!AF218</f>
        <v/>
      </c>
      <c r="AG53" s="11">
        <f>Inputs!$F$185*SUM($J$52:$BN$52)*Inputs!AG218</f>
        <v/>
      </c>
      <c r="AH53" s="11">
        <f>Inputs!$F$185*SUM($J$52:$BN$52)*Inputs!AH218</f>
        <v/>
      </c>
      <c r="AI53" s="11">
        <f>Inputs!$F$185*SUM($J$52:$BN$52)*Inputs!AI218</f>
        <v/>
      </c>
      <c r="AJ53" s="11">
        <f>Inputs!$F$185*SUM($J$52:$BN$52)*Inputs!AJ218</f>
        <v/>
      </c>
      <c r="AK53" s="11">
        <f>Inputs!$F$185*SUM($J$52:$BN$52)*Inputs!AK218</f>
        <v/>
      </c>
      <c r="AL53" s="11">
        <f>Inputs!$F$185*SUM($J$52:$BN$52)*Inputs!AL218</f>
        <v/>
      </c>
      <c r="AM53" s="11">
        <f>Inputs!$F$185*SUM($J$52:$BN$52)*Inputs!AM218</f>
        <v/>
      </c>
      <c r="AN53" s="11">
        <f>Inputs!$F$185*SUM($J$52:$BN$52)*Inputs!AN218</f>
        <v/>
      </c>
      <c r="AO53" s="11">
        <f>Inputs!$F$185*SUM($J$52:$BN$52)*Inputs!AO218</f>
        <v/>
      </c>
      <c r="AP53" s="11">
        <f>Inputs!$F$185*SUM($J$52:$BN$52)*Inputs!AP218</f>
        <v/>
      </c>
      <c r="AQ53" s="11">
        <f>Inputs!$F$185*SUM($J$52:$BN$52)*Inputs!AQ218</f>
        <v/>
      </c>
      <c r="AR53" s="11">
        <f>Inputs!$F$185*SUM($J$52:$BN$52)*Inputs!AR218</f>
        <v/>
      </c>
      <c r="AS53" s="11">
        <f>Inputs!$F$185*SUM($J$52:$BN$52)*Inputs!AS218</f>
        <v/>
      </c>
      <c r="AT53" s="11">
        <f>Inputs!$F$185*SUM($J$52:$BN$52)*Inputs!AT218</f>
        <v/>
      </c>
      <c r="AU53" s="11">
        <f>Inputs!$F$185*SUM($J$52:$BN$52)*Inputs!AU218</f>
        <v/>
      </c>
      <c r="AV53" s="11">
        <f>Inputs!$F$185*SUM($J$52:$BN$52)*Inputs!AV218</f>
        <v/>
      </c>
      <c r="AW53" s="11">
        <f>Inputs!$F$185*SUM($J$52:$BN$52)*Inputs!AW218</f>
        <v/>
      </c>
      <c r="AX53" s="11">
        <f>Inputs!$F$185*SUM($J$52:$BN$52)*Inputs!AX218</f>
        <v/>
      </c>
      <c r="AY53" s="11">
        <f>Inputs!$F$185*SUM($J$52:$BN$52)*Inputs!AY218</f>
        <v/>
      </c>
      <c r="AZ53" s="11">
        <f>Inputs!$F$185*SUM($J$52:$BN$52)*Inputs!AZ218</f>
        <v/>
      </c>
      <c r="BA53" s="11">
        <f>Inputs!$F$185*SUM($J$52:$BN$52)*Inputs!BA218</f>
        <v/>
      </c>
      <c r="BB53" s="11">
        <f>Inputs!$F$185*SUM($J$52:$BN$52)*Inputs!BB218</f>
        <v/>
      </c>
      <c r="BC53" s="11">
        <f>Inputs!$F$185*SUM($J$52:$BN$52)*Inputs!BC218</f>
        <v/>
      </c>
      <c r="BD53" s="11">
        <f>Inputs!$F$185*SUM($J$52:$BN$52)*Inputs!BD218</f>
        <v/>
      </c>
      <c r="BE53" s="11">
        <f>Inputs!$F$185*SUM($J$52:$BN$52)*Inputs!BE218</f>
        <v/>
      </c>
      <c r="BF53" s="11">
        <f>Inputs!$F$185*SUM($J$52:$BN$52)*Inputs!BF218</f>
        <v/>
      </c>
      <c r="BG53" s="11">
        <f>Inputs!$F$185*SUM($J$52:$BN$52)*Inputs!BG218</f>
        <v/>
      </c>
      <c r="BH53" s="11">
        <f>Inputs!$F$185*SUM($J$52:$BN$52)*Inputs!BH218</f>
        <v/>
      </c>
      <c r="BI53" s="11">
        <f>Inputs!$F$185*SUM($J$52:$BN$52)*Inputs!BI218</f>
        <v/>
      </c>
      <c r="BJ53" s="11">
        <f>Inputs!$F$185*SUM($J$52:$BN$52)*Inputs!BJ218</f>
        <v/>
      </c>
      <c r="BK53" s="11">
        <f>Inputs!$F$185*SUM($J$52:$BN$52)*Inputs!BK218</f>
        <v/>
      </c>
      <c r="BL53" s="11">
        <f>Inputs!$F$185*SUM($J$52:$BN$52)*Inputs!BL218</f>
        <v/>
      </c>
      <c r="BM53" s="11">
        <f>Inputs!$F$185*SUM($J$52:$BN$52)*Inputs!BM218</f>
        <v/>
      </c>
      <c r="BN53" s="11">
        <f>Inputs!$F$185*SUM($J$52:$BN$52)*Inputs!BN218</f>
        <v/>
      </c>
    </row>
    <row r="54">
      <c r="B54" s="2" t="inlineStr">
        <is>
          <t>Operating costs (USD m)</t>
        </is>
      </c>
    </row>
    <row r="55">
      <c r="D55" t="inlineStr">
        <is>
          <t>O&amp;M fixed fee</t>
        </is>
      </c>
      <c r="E55" t="inlineStr">
        <is>
          <t>USD m</t>
        </is>
      </c>
      <c r="G55" s="11">
        <f>SUM(J55:BN55)</f>
        <v/>
      </c>
      <c r="J55" s="11">
        <f>Inputs!$F$148*(Inputs!$F$149*J19+(1-Inputs!$F$149)*J23*Inputs!$F$150/J11)*Time!J25/12*Inputs!$F$39</f>
        <v/>
      </c>
      <c r="K55" s="11">
        <f>Inputs!$F$148*(Inputs!$F$149*K19+(1-Inputs!$F$149)*K23*Inputs!$F$150/K11)*Time!K25/12*Inputs!$F$39</f>
        <v/>
      </c>
      <c r="L55" s="11">
        <f>Inputs!$F$148*(Inputs!$F$149*L19+(1-Inputs!$F$149)*L23*Inputs!$F$150/L11)*Time!L25/12*Inputs!$F$39</f>
        <v/>
      </c>
      <c r="M55" s="11">
        <f>Inputs!$F$148*(Inputs!$F$149*M19+(1-Inputs!$F$149)*M23*Inputs!$F$150/M11)*Time!M25/12*Inputs!$F$39</f>
        <v/>
      </c>
      <c r="N55" s="11">
        <f>Inputs!$F$148*(Inputs!$F$149*N19+(1-Inputs!$F$149)*N23*Inputs!$F$150/N11)*Time!N25/12*Inputs!$F$39</f>
        <v/>
      </c>
      <c r="O55" s="11">
        <f>Inputs!$F$148*(Inputs!$F$149*O19+(1-Inputs!$F$149)*O23*Inputs!$F$150/O11)*Time!O25/12*Inputs!$F$39</f>
        <v/>
      </c>
      <c r="P55" s="11">
        <f>Inputs!$F$148*(Inputs!$F$149*P19+(1-Inputs!$F$149)*P23*Inputs!$F$150/P11)*Time!P25/12*Inputs!$F$39</f>
        <v/>
      </c>
      <c r="Q55" s="11">
        <f>Inputs!$F$148*(Inputs!$F$149*Q19+(1-Inputs!$F$149)*Q23*Inputs!$F$150/Q11)*Time!Q25/12*Inputs!$F$39</f>
        <v/>
      </c>
      <c r="R55" s="11">
        <f>Inputs!$F$148*(Inputs!$F$149*R19+(1-Inputs!$F$149)*R23*Inputs!$F$150/R11)*Time!R25/12*Inputs!$F$39</f>
        <v/>
      </c>
      <c r="S55" s="11">
        <f>Inputs!$F$148*(Inputs!$F$149*S19+(1-Inputs!$F$149)*S23*Inputs!$F$150/S11)*Time!S25/12*Inputs!$F$39</f>
        <v/>
      </c>
      <c r="T55" s="11">
        <f>Inputs!$F$148*(Inputs!$F$149*T19+(1-Inputs!$F$149)*T23*Inputs!$F$150/T11)*Time!T25/12*Inputs!$F$39</f>
        <v/>
      </c>
      <c r="U55" s="11">
        <f>Inputs!$F$148*(Inputs!$F$149*U19+(1-Inputs!$F$149)*U23*Inputs!$F$150/U11)*Time!U25/12*Inputs!$F$39</f>
        <v/>
      </c>
      <c r="V55" s="11">
        <f>Inputs!$F$148*(Inputs!$F$149*V19+(1-Inputs!$F$149)*V23*Inputs!$F$150/V11)*Time!V25/12*Inputs!$F$39</f>
        <v/>
      </c>
      <c r="W55" s="11">
        <f>Inputs!$F$148*(Inputs!$F$149*W19+(1-Inputs!$F$149)*W23*Inputs!$F$150/W11)*Time!W25/12*Inputs!$F$39</f>
        <v/>
      </c>
      <c r="X55" s="11">
        <f>Inputs!$F$148*(Inputs!$F$149*X19+(1-Inputs!$F$149)*X23*Inputs!$F$150/X11)*Time!X25/12*Inputs!$F$39</f>
        <v/>
      </c>
      <c r="Y55" s="11">
        <f>Inputs!$F$148*(Inputs!$F$149*Y19+(1-Inputs!$F$149)*Y23*Inputs!$F$150/Y11)*Time!Y25/12*Inputs!$F$39</f>
        <v/>
      </c>
      <c r="Z55" s="11">
        <f>Inputs!$F$148*(Inputs!$F$149*Z19+(1-Inputs!$F$149)*Z23*Inputs!$F$150/Z11)*Time!Z25/12*Inputs!$F$39</f>
        <v/>
      </c>
      <c r="AA55" s="11">
        <f>Inputs!$F$148*(Inputs!$F$149*AA19+(1-Inputs!$F$149)*AA23*Inputs!$F$150/AA11)*Time!AA25/12*Inputs!$F$39</f>
        <v/>
      </c>
      <c r="AB55" s="11">
        <f>Inputs!$F$148*(Inputs!$F$149*AB19+(1-Inputs!$F$149)*AB23*Inputs!$F$150/AB11)*Time!AB25/12*Inputs!$F$39</f>
        <v/>
      </c>
      <c r="AC55" s="11">
        <f>Inputs!$F$148*(Inputs!$F$149*AC19+(1-Inputs!$F$149)*AC23*Inputs!$F$150/AC11)*Time!AC25/12*Inputs!$F$39</f>
        <v/>
      </c>
      <c r="AD55" s="11">
        <f>Inputs!$F$148*(Inputs!$F$149*AD19+(1-Inputs!$F$149)*AD23*Inputs!$F$150/AD11)*Time!AD25/12*Inputs!$F$39</f>
        <v/>
      </c>
      <c r="AE55" s="11">
        <f>Inputs!$F$148*(Inputs!$F$149*AE19+(1-Inputs!$F$149)*AE23*Inputs!$F$150/AE11)*Time!AE25/12*Inputs!$F$39</f>
        <v/>
      </c>
      <c r="AF55" s="11">
        <f>Inputs!$F$148*(Inputs!$F$149*AF19+(1-Inputs!$F$149)*AF23*Inputs!$F$150/AF11)*Time!AF25/12*Inputs!$F$39</f>
        <v/>
      </c>
      <c r="AG55" s="11">
        <f>Inputs!$F$148*(Inputs!$F$149*AG19+(1-Inputs!$F$149)*AG23*Inputs!$F$150/AG11)*Time!AG25/12*Inputs!$F$39</f>
        <v/>
      </c>
      <c r="AH55" s="11">
        <f>Inputs!$F$148*(Inputs!$F$149*AH19+(1-Inputs!$F$149)*AH23*Inputs!$F$150/AH11)*Time!AH25/12*Inputs!$F$39</f>
        <v/>
      </c>
      <c r="AI55" s="11">
        <f>Inputs!$F$148*(Inputs!$F$149*AI19+(1-Inputs!$F$149)*AI23*Inputs!$F$150/AI11)*Time!AI25/12*Inputs!$F$39</f>
        <v/>
      </c>
      <c r="AJ55" s="11">
        <f>Inputs!$F$148*(Inputs!$F$149*AJ19+(1-Inputs!$F$149)*AJ23*Inputs!$F$150/AJ11)*Time!AJ25/12*Inputs!$F$39</f>
        <v/>
      </c>
      <c r="AK55" s="11">
        <f>Inputs!$F$148*(Inputs!$F$149*AK19+(1-Inputs!$F$149)*AK23*Inputs!$F$150/AK11)*Time!AK25/12*Inputs!$F$39</f>
        <v/>
      </c>
      <c r="AL55" s="11">
        <f>Inputs!$F$148*(Inputs!$F$149*AL19+(1-Inputs!$F$149)*AL23*Inputs!$F$150/AL11)*Time!AL25/12*Inputs!$F$39</f>
        <v/>
      </c>
      <c r="AM55" s="11">
        <f>Inputs!$F$148*(Inputs!$F$149*AM19+(1-Inputs!$F$149)*AM23*Inputs!$F$150/AM11)*Time!AM25/12*Inputs!$F$39</f>
        <v/>
      </c>
      <c r="AN55" s="11">
        <f>Inputs!$F$148*(Inputs!$F$149*AN19+(1-Inputs!$F$149)*AN23*Inputs!$F$150/AN11)*Time!AN25/12*Inputs!$F$39</f>
        <v/>
      </c>
      <c r="AO55" s="11">
        <f>Inputs!$F$148*(Inputs!$F$149*AO19+(1-Inputs!$F$149)*AO23*Inputs!$F$150/AO11)*Time!AO25/12*Inputs!$F$39</f>
        <v/>
      </c>
      <c r="AP55" s="11">
        <f>Inputs!$F$148*(Inputs!$F$149*AP19+(1-Inputs!$F$149)*AP23*Inputs!$F$150/AP11)*Time!AP25/12*Inputs!$F$39</f>
        <v/>
      </c>
      <c r="AQ55" s="11">
        <f>Inputs!$F$148*(Inputs!$F$149*AQ19+(1-Inputs!$F$149)*AQ23*Inputs!$F$150/AQ11)*Time!AQ25/12*Inputs!$F$39</f>
        <v/>
      </c>
      <c r="AR55" s="11">
        <f>Inputs!$F$148*(Inputs!$F$149*AR19+(1-Inputs!$F$149)*AR23*Inputs!$F$150/AR11)*Time!AR25/12*Inputs!$F$39</f>
        <v/>
      </c>
      <c r="AS55" s="11">
        <f>Inputs!$F$148*(Inputs!$F$149*AS19+(1-Inputs!$F$149)*AS23*Inputs!$F$150/AS11)*Time!AS25/12*Inputs!$F$39</f>
        <v/>
      </c>
      <c r="AT55" s="11">
        <f>Inputs!$F$148*(Inputs!$F$149*AT19+(1-Inputs!$F$149)*AT23*Inputs!$F$150/AT11)*Time!AT25/12*Inputs!$F$39</f>
        <v/>
      </c>
      <c r="AU55" s="11">
        <f>Inputs!$F$148*(Inputs!$F$149*AU19+(1-Inputs!$F$149)*AU23*Inputs!$F$150/AU11)*Time!AU25/12*Inputs!$F$39</f>
        <v/>
      </c>
      <c r="AV55" s="11">
        <f>Inputs!$F$148*(Inputs!$F$149*AV19+(1-Inputs!$F$149)*AV23*Inputs!$F$150/AV11)*Time!AV25/12*Inputs!$F$39</f>
        <v/>
      </c>
      <c r="AW55" s="11">
        <f>Inputs!$F$148*(Inputs!$F$149*AW19+(1-Inputs!$F$149)*AW23*Inputs!$F$150/AW11)*Time!AW25/12*Inputs!$F$39</f>
        <v/>
      </c>
      <c r="AX55" s="11">
        <f>Inputs!$F$148*(Inputs!$F$149*AX19+(1-Inputs!$F$149)*AX23*Inputs!$F$150/AX11)*Time!AX25/12*Inputs!$F$39</f>
        <v/>
      </c>
      <c r="AY55" s="11">
        <f>Inputs!$F$148*(Inputs!$F$149*AY19+(1-Inputs!$F$149)*AY23*Inputs!$F$150/AY11)*Time!AY25/12*Inputs!$F$39</f>
        <v/>
      </c>
      <c r="AZ55" s="11">
        <f>Inputs!$F$148*(Inputs!$F$149*AZ19+(1-Inputs!$F$149)*AZ23*Inputs!$F$150/AZ11)*Time!AZ25/12*Inputs!$F$39</f>
        <v/>
      </c>
      <c r="BA55" s="11">
        <f>Inputs!$F$148*(Inputs!$F$149*BA19+(1-Inputs!$F$149)*BA23*Inputs!$F$150/BA11)*Time!BA25/12*Inputs!$F$39</f>
        <v/>
      </c>
      <c r="BB55" s="11">
        <f>Inputs!$F$148*(Inputs!$F$149*BB19+(1-Inputs!$F$149)*BB23*Inputs!$F$150/BB11)*Time!BB25/12*Inputs!$F$39</f>
        <v/>
      </c>
      <c r="BC55" s="11">
        <f>Inputs!$F$148*(Inputs!$F$149*BC19+(1-Inputs!$F$149)*BC23*Inputs!$F$150/BC11)*Time!BC25/12*Inputs!$F$39</f>
        <v/>
      </c>
      <c r="BD55" s="11">
        <f>Inputs!$F$148*(Inputs!$F$149*BD19+(1-Inputs!$F$149)*BD23*Inputs!$F$150/BD11)*Time!BD25/12*Inputs!$F$39</f>
        <v/>
      </c>
      <c r="BE55" s="11">
        <f>Inputs!$F$148*(Inputs!$F$149*BE19+(1-Inputs!$F$149)*BE23*Inputs!$F$150/BE11)*Time!BE25/12*Inputs!$F$39</f>
        <v/>
      </c>
      <c r="BF55" s="11">
        <f>Inputs!$F$148*(Inputs!$F$149*BF19+(1-Inputs!$F$149)*BF23*Inputs!$F$150/BF11)*Time!BF25/12*Inputs!$F$39</f>
        <v/>
      </c>
      <c r="BG55" s="11">
        <f>Inputs!$F$148*(Inputs!$F$149*BG19+(1-Inputs!$F$149)*BG23*Inputs!$F$150/BG11)*Time!BG25/12*Inputs!$F$39</f>
        <v/>
      </c>
      <c r="BH55" s="11">
        <f>Inputs!$F$148*(Inputs!$F$149*BH19+(1-Inputs!$F$149)*BH23*Inputs!$F$150/BH11)*Time!BH25/12*Inputs!$F$39</f>
        <v/>
      </c>
      <c r="BI55" s="11">
        <f>Inputs!$F$148*(Inputs!$F$149*BI19+(1-Inputs!$F$149)*BI23*Inputs!$F$150/BI11)*Time!BI25/12*Inputs!$F$39</f>
        <v/>
      </c>
      <c r="BJ55" s="11">
        <f>Inputs!$F$148*(Inputs!$F$149*BJ19+(1-Inputs!$F$149)*BJ23*Inputs!$F$150/BJ11)*Time!BJ25/12*Inputs!$F$39</f>
        <v/>
      </c>
      <c r="BK55" s="11">
        <f>Inputs!$F$148*(Inputs!$F$149*BK19+(1-Inputs!$F$149)*BK23*Inputs!$F$150/BK11)*Time!BK25/12*Inputs!$F$39</f>
        <v/>
      </c>
      <c r="BL55" s="11">
        <f>Inputs!$F$148*(Inputs!$F$149*BL19+(1-Inputs!$F$149)*BL23*Inputs!$F$150/BL11)*Time!BL25/12*Inputs!$F$39</f>
        <v/>
      </c>
      <c r="BM55" s="11">
        <f>Inputs!$F$148*(Inputs!$F$149*BM19+(1-Inputs!$F$149)*BM23*Inputs!$F$150/BM11)*Time!BM25/12*Inputs!$F$39</f>
        <v/>
      </c>
      <c r="BN55" s="11">
        <f>Inputs!$F$148*(Inputs!$F$149*BN19+(1-Inputs!$F$149)*BN23*Inputs!$F$150/BN11)*Time!BN25/12*Inputs!$F$39</f>
        <v/>
      </c>
    </row>
    <row r="56">
      <c r="D56" t="inlineStr">
        <is>
          <t>O&amp;M availability incentive</t>
        </is>
      </c>
      <c r="E56" t="inlineStr">
        <is>
          <t>USD m</t>
        </is>
      </c>
      <c r="G56" s="11">
        <f>SUM(J56:BN56)</f>
        <v/>
      </c>
      <c r="J56" s="11">
        <f>IF(Time!J25&gt;0,Inputs!$F$151*MAX(-1,MIN(1,(J28-92)/3))*J19*Time!J25/12,0)</f>
        <v/>
      </c>
      <c r="K56" s="11">
        <f>IF(Time!K25&gt;0,Inputs!$F$151*MAX(-1,MIN(1,(K28-92)/3))*K19*Time!K25/12,0)</f>
        <v/>
      </c>
      <c r="L56" s="11">
        <f>IF(Time!L25&gt;0,Inputs!$F$151*MAX(-1,MIN(1,(L28-92)/3))*L19*Time!L25/12,0)</f>
        <v/>
      </c>
      <c r="M56" s="11">
        <f>IF(Time!M25&gt;0,Inputs!$F$151*MAX(-1,MIN(1,(M28-92)/3))*M19*Time!M25/12,0)</f>
        <v/>
      </c>
      <c r="N56" s="11">
        <f>IF(Time!N25&gt;0,Inputs!$F$151*MAX(-1,MIN(1,(N28-92)/3))*N19*Time!N25/12,0)</f>
        <v/>
      </c>
      <c r="O56" s="11">
        <f>IF(Time!O25&gt;0,Inputs!$F$151*MAX(-1,MIN(1,(O28-92)/3))*O19*Time!O25/12,0)</f>
        <v/>
      </c>
      <c r="P56" s="11">
        <f>IF(Time!P25&gt;0,Inputs!$F$151*MAX(-1,MIN(1,(P28-92)/3))*P19*Time!P25/12,0)</f>
        <v/>
      </c>
      <c r="Q56" s="11">
        <f>IF(Time!Q25&gt;0,Inputs!$F$151*MAX(-1,MIN(1,(Q28-92)/3))*Q19*Time!Q25/12,0)</f>
        <v/>
      </c>
      <c r="R56" s="11">
        <f>IF(Time!R25&gt;0,Inputs!$F$151*MAX(-1,MIN(1,(R28-92)/3))*R19*Time!R25/12,0)</f>
        <v/>
      </c>
      <c r="S56" s="11">
        <f>IF(Time!S25&gt;0,Inputs!$F$151*MAX(-1,MIN(1,(S28-92)/3))*S19*Time!S25/12,0)</f>
        <v/>
      </c>
      <c r="T56" s="11">
        <f>IF(Time!T25&gt;0,Inputs!$F$151*MAX(-1,MIN(1,(T28-92)/3))*T19*Time!T25/12,0)</f>
        <v/>
      </c>
      <c r="U56" s="11">
        <f>IF(Time!U25&gt;0,Inputs!$F$151*MAX(-1,MIN(1,(U28-92)/3))*U19*Time!U25/12,0)</f>
        <v/>
      </c>
      <c r="V56" s="11">
        <f>IF(Time!V25&gt;0,Inputs!$F$151*MAX(-1,MIN(1,(V28-92)/3))*V19*Time!V25/12,0)</f>
        <v/>
      </c>
      <c r="W56" s="11">
        <f>IF(Time!W25&gt;0,Inputs!$F$151*MAX(-1,MIN(1,(W28-92)/3))*W19*Time!W25/12,0)</f>
        <v/>
      </c>
      <c r="X56" s="11">
        <f>IF(Time!X25&gt;0,Inputs!$F$151*MAX(-1,MIN(1,(X28-92)/3))*X19*Time!X25/12,0)</f>
        <v/>
      </c>
      <c r="Y56" s="11">
        <f>IF(Time!Y25&gt;0,Inputs!$F$151*MAX(-1,MIN(1,(Y28-92)/3))*Y19*Time!Y25/12,0)</f>
        <v/>
      </c>
      <c r="Z56" s="11">
        <f>IF(Time!Z25&gt;0,Inputs!$F$151*MAX(-1,MIN(1,(Z28-92)/3))*Z19*Time!Z25/12,0)</f>
        <v/>
      </c>
      <c r="AA56" s="11">
        <f>IF(Time!AA25&gt;0,Inputs!$F$151*MAX(-1,MIN(1,(AA28-92)/3))*AA19*Time!AA25/12,0)</f>
        <v/>
      </c>
      <c r="AB56" s="11">
        <f>IF(Time!AB25&gt;0,Inputs!$F$151*MAX(-1,MIN(1,(AB28-92)/3))*AB19*Time!AB25/12,0)</f>
        <v/>
      </c>
      <c r="AC56" s="11">
        <f>IF(Time!AC25&gt;0,Inputs!$F$151*MAX(-1,MIN(1,(AC28-92)/3))*AC19*Time!AC25/12,0)</f>
        <v/>
      </c>
      <c r="AD56" s="11">
        <f>IF(Time!AD25&gt;0,Inputs!$F$151*MAX(-1,MIN(1,(AD28-92)/3))*AD19*Time!AD25/12,0)</f>
        <v/>
      </c>
      <c r="AE56" s="11">
        <f>IF(Time!AE25&gt;0,Inputs!$F$151*MAX(-1,MIN(1,(AE28-92)/3))*AE19*Time!AE25/12,0)</f>
        <v/>
      </c>
      <c r="AF56" s="11">
        <f>IF(Time!AF25&gt;0,Inputs!$F$151*MAX(-1,MIN(1,(AF28-92)/3))*AF19*Time!AF25/12,0)</f>
        <v/>
      </c>
      <c r="AG56" s="11">
        <f>IF(Time!AG25&gt;0,Inputs!$F$151*MAX(-1,MIN(1,(AG28-92)/3))*AG19*Time!AG25/12,0)</f>
        <v/>
      </c>
      <c r="AH56" s="11">
        <f>IF(Time!AH25&gt;0,Inputs!$F$151*MAX(-1,MIN(1,(AH28-92)/3))*AH19*Time!AH25/12,0)</f>
        <v/>
      </c>
      <c r="AI56" s="11">
        <f>IF(Time!AI25&gt;0,Inputs!$F$151*MAX(-1,MIN(1,(AI28-92)/3))*AI19*Time!AI25/12,0)</f>
        <v/>
      </c>
      <c r="AJ56" s="11">
        <f>IF(Time!AJ25&gt;0,Inputs!$F$151*MAX(-1,MIN(1,(AJ28-92)/3))*AJ19*Time!AJ25/12,0)</f>
        <v/>
      </c>
      <c r="AK56" s="11">
        <f>IF(Time!AK25&gt;0,Inputs!$F$151*MAX(-1,MIN(1,(AK28-92)/3))*AK19*Time!AK25/12,0)</f>
        <v/>
      </c>
      <c r="AL56" s="11">
        <f>IF(Time!AL25&gt;0,Inputs!$F$151*MAX(-1,MIN(1,(AL28-92)/3))*AL19*Time!AL25/12,0)</f>
        <v/>
      </c>
      <c r="AM56" s="11">
        <f>IF(Time!AM25&gt;0,Inputs!$F$151*MAX(-1,MIN(1,(AM28-92)/3))*AM19*Time!AM25/12,0)</f>
        <v/>
      </c>
      <c r="AN56" s="11">
        <f>IF(Time!AN25&gt;0,Inputs!$F$151*MAX(-1,MIN(1,(AN28-92)/3))*AN19*Time!AN25/12,0)</f>
        <v/>
      </c>
      <c r="AO56" s="11">
        <f>IF(Time!AO25&gt;0,Inputs!$F$151*MAX(-1,MIN(1,(AO28-92)/3))*AO19*Time!AO25/12,0)</f>
        <v/>
      </c>
      <c r="AP56" s="11">
        <f>IF(Time!AP25&gt;0,Inputs!$F$151*MAX(-1,MIN(1,(AP28-92)/3))*AP19*Time!AP25/12,0)</f>
        <v/>
      </c>
      <c r="AQ56" s="11">
        <f>IF(Time!AQ25&gt;0,Inputs!$F$151*MAX(-1,MIN(1,(AQ28-92)/3))*AQ19*Time!AQ25/12,0)</f>
        <v/>
      </c>
      <c r="AR56" s="11">
        <f>IF(Time!AR25&gt;0,Inputs!$F$151*MAX(-1,MIN(1,(AR28-92)/3))*AR19*Time!AR25/12,0)</f>
        <v/>
      </c>
      <c r="AS56" s="11">
        <f>IF(Time!AS25&gt;0,Inputs!$F$151*MAX(-1,MIN(1,(AS28-92)/3))*AS19*Time!AS25/12,0)</f>
        <v/>
      </c>
      <c r="AT56" s="11">
        <f>IF(Time!AT25&gt;0,Inputs!$F$151*MAX(-1,MIN(1,(AT28-92)/3))*AT19*Time!AT25/12,0)</f>
        <v/>
      </c>
      <c r="AU56" s="11">
        <f>IF(Time!AU25&gt;0,Inputs!$F$151*MAX(-1,MIN(1,(AU28-92)/3))*AU19*Time!AU25/12,0)</f>
        <v/>
      </c>
      <c r="AV56" s="11">
        <f>IF(Time!AV25&gt;0,Inputs!$F$151*MAX(-1,MIN(1,(AV28-92)/3))*AV19*Time!AV25/12,0)</f>
        <v/>
      </c>
      <c r="AW56" s="11">
        <f>IF(Time!AW25&gt;0,Inputs!$F$151*MAX(-1,MIN(1,(AW28-92)/3))*AW19*Time!AW25/12,0)</f>
        <v/>
      </c>
      <c r="AX56" s="11">
        <f>IF(Time!AX25&gt;0,Inputs!$F$151*MAX(-1,MIN(1,(AX28-92)/3))*AX19*Time!AX25/12,0)</f>
        <v/>
      </c>
      <c r="AY56" s="11">
        <f>IF(Time!AY25&gt;0,Inputs!$F$151*MAX(-1,MIN(1,(AY28-92)/3))*AY19*Time!AY25/12,0)</f>
        <v/>
      </c>
      <c r="AZ56" s="11">
        <f>IF(Time!AZ25&gt;0,Inputs!$F$151*MAX(-1,MIN(1,(AZ28-92)/3))*AZ19*Time!AZ25/12,0)</f>
        <v/>
      </c>
      <c r="BA56" s="11">
        <f>IF(Time!BA25&gt;0,Inputs!$F$151*MAX(-1,MIN(1,(BA28-92)/3))*BA19*Time!BA25/12,0)</f>
        <v/>
      </c>
      <c r="BB56" s="11">
        <f>IF(Time!BB25&gt;0,Inputs!$F$151*MAX(-1,MIN(1,(BB28-92)/3))*BB19*Time!BB25/12,0)</f>
        <v/>
      </c>
      <c r="BC56" s="11">
        <f>IF(Time!BC25&gt;0,Inputs!$F$151*MAX(-1,MIN(1,(BC28-92)/3))*BC19*Time!BC25/12,0)</f>
        <v/>
      </c>
      <c r="BD56" s="11">
        <f>IF(Time!BD25&gt;0,Inputs!$F$151*MAX(-1,MIN(1,(BD28-92)/3))*BD19*Time!BD25/12,0)</f>
        <v/>
      </c>
      <c r="BE56" s="11">
        <f>IF(Time!BE25&gt;0,Inputs!$F$151*MAX(-1,MIN(1,(BE28-92)/3))*BE19*Time!BE25/12,0)</f>
        <v/>
      </c>
      <c r="BF56" s="11">
        <f>IF(Time!BF25&gt;0,Inputs!$F$151*MAX(-1,MIN(1,(BF28-92)/3))*BF19*Time!BF25/12,0)</f>
        <v/>
      </c>
      <c r="BG56" s="11">
        <f>IF(Time!BG25&gt;0,Inputs!$F$151*MAX(-1,MIN(1,(BG28-92)/3))*BG19*Time!BG25/12,0)</f>
        <v/>
      </c>
      <c r="BH56" s="11">
        <f>IF(Time!BH25&gt;0,Inputs!$F$151*MAX(-1,MIN(1,(BH28-92)/3))*BH19*Time!BH25/12,0)</f>
        <v/>
      </c>
      <c r="BI56" s="11">
        <f>IF(Time!BI25&gt;0,Inputs!$F$151*MAX(-1,MIN(1,(BI28-92)/3))*BI19*Time!BI25/12,0)</f>
        <v/>
      </c>
      <c r="BJ56" s="11">
        <f>IF(Time!BJ25&gt;0,Inputs!$F$151*MAX(-1,MIN(1,(BJ28-92)/3))*BJ19*Time!BJ25/12,0)</f>
        <v/>
      </c>
      <c r="BK56" s="11">
        <f>IF(Time!BK25&gt;0,Inputs!$F$151*MAX(-1,MIN(1,(BK28-92)/3))*BK19*Time!BK25/12,0)</f>
        <v/>
      </c>
      <c r="BL56" s="11">
        <f>IF(Time!BL25&gt;0,Inputs!$F$151*MAX(-1,MIN(1,(BL28-92)/3))*BL19*Time!BL25/12,0)</f>
        <v/>
      </c>
      <c r="BM56" s="11">
        <f>IF(Time!BM25&gt;0,Inputs!$F$151*MAX(-1,MIN(1,(BM28-92)/3))*BM19*Time!BM25/12,0)</f>
        <v/>
      </c>
      <c r="BN56" s="11">
        <f>IF(Time!BN25&gt;0,Inputs!$F$151*MAX(-1,MIN(1,(BN28-92)/3))*BN19*Time!BN25/12,0)</f>
        <v/>
      </c>
    </row>
    <row r="57">
      <c r="D57" t="inlineStr">
        <is>
          <t>LTSA fixed fee</t>
        </is>
      </c>
      <c r="E57" t="inlineStr">
        <is>
          <t>USD m</t>
        </is>
      </c>
      <c r="G57" s="11">
        <f>SUM(J57:BN57)</f>
        <v/>
      </c>
      <c r="J57" s="11">
        <f>Inputs!$F$152*J19*Time!J25/12*Inputs!$F$39</f>
        <v/>
      </c>
      <c r="K57" s="11">
        <f>Inputs!$F$152*K19*Time!K25/12*Inputs!$F$39</f>
        <v/>
      </c>
      <c r="L57" s="11">
        <f>Inputs!$F$152*L19*Time!L25/12*Inputs!$F$39</f>
        <v/>
      </c>
      <c r="M57" s="11">
        <f>Inputs!$F$152*M19*Time!M25/12*Inputs!$F$39</f>
        <v/>
      </c>
      <c r="N57" s="11">
        <f>Inputs!$F$152*N19*Time!N25/12*Inputs!$F$39</f>
        <v/>
      </c>
      <c r="O57" s="11">
        <f>Inputs!$F$152*O19*Time!O25/12*Inputs!$F$39</f>
        <v/>
      </c>
      <c r="P57" s="11">
        <f>Inputs!$F$152*P19*Time!P25/12*Inputs!$F$39</f>
        <v/>
      </c>
      <c r="Q57" s="11">
        <f>Inputs!$F$152*Q19*Time!Q25/12*Inputs!$F$39</f>
        <v/>
      </c>
      <c r="R57" s="11">
        <f>Inputs!$F$152*R19*Time!R25/12*Inputs!$F$39</f>
        <v/>
      </c>
      <c r="S57" s="11">
        <f>Inputs!$F$152*S19*Time!S25/12*Inputs!$F$39</f>
        <v/>
      </c>
      <c r="T57" s="11">
        <f>Inputs!$F$152*T19*Time!T25/12*Inputs!$F$39</f>
        <v/>
      </c>
      <c r="U57" s="11">
        <f>Inputs!$F$152*U19*Time!U25/12*Inputs!$F$39</f>
        <v/>
      </c>
      <c r="V57" s="11">
        <f>Inputs!$F$152*V19*Time!V25/12*Inputs!$F$39</f>
        <v/>
      </c>
      <c r="W57" s="11">
        <f>Inputs!$F$152*W19*Time!W25/12*Inputs!$F$39</f>
        <v/>
      </c>
      <c r="X57" s="11">
        <f>Inputs!$F$152*X19*Time!X25/12*Inputs!$F$39</f>
        <v/>
      </c>
      <c r="Y57" s="11">
        <f>Inputs!$F$152*Y19*Time!Y25/12*Inputs!$F$39</f>
        <v/>
      </c>
      <c r="Z57" s="11">
        <f>Inputs!$F$152*Z19*Time!Z25/12*Inputs!$F$39</f>
        <v/>
      </c>
      <c r="AA57" s="11">
        <f>Inputs!$F$152*AA19*Time!AA25/12*Inputs!$F$39</f>
        <v/>
      </c>
      <c r="AB57" s="11">
        <f>Inputs!$F$152*AB19*Time!AB25/12*Inputs!$F$39</f>
        <v/>
      </c>
      <c r="AC57" s="11">
        <f>Inputs!$F$152*AC19*Time!AC25/12*Inputs!$F$39</f>
        <v/>
      </c>
      <c r="AD57" s="11">
        <f>Inputs!$F$152*AD19*Time!AD25/12*Inputs!$F$39</f>
        <v/>
      </c>
      <c r="AE57" s="11">
        <f>Inputs!$F$152*AE19*Time!AE25/12*Inputs!$F$39</f>
        <v/>
      </c>
      <c r="AF57" s="11">
        <f>Inputs!$F$152*AF19*Time!AF25/12*Inputs!$F$39</f>
        <v/>
      </c>
      <c r="AG57" s="11">
        <f>Inputs!$F$152*AG19*Time!AG25/12*Inputs!$F$39</f>
        <v/>
      </c>
      <c r="AH57" s="11">
        <f>Inputs!$F$152*AH19*Time!AH25/12*Inputs!$F$39</f>
        <v/>
      </c>
      <c r="AI57" s="11">
        <f>Inputs!$F$152*AI19*Time!AI25/12*Inputs!$F$39</f>
        <v/>
      </c>
      <c r="AJ57" s="11">
        <f>Inputs!$F$152*AJ19*Time!AJ25/12*Inputs!$F$39</f>
        <v/>
      </c>
      <c r="AK57" s="11">
        <f>Inputs!$F$152*AK19*Time!AK25/12*Inputs!$F$39</f>
        <v/>
      </c>
      <c r="AL57" s="11">
        <f>Inputs!$F$152*AL19*Time!AL25/12*Inputs!$F$39</f>
        <v/>
      </c>
      <c r="AM57" s="11">
        <f>Inputs!$F$152*AM19*Time!AM25/12*Inputs!$F$39</f>
        <v/>
      </c>
      <c r="AN57" s="11">
        <f>Inputs!$F$152*AN19*Time!AN25/12*Inputs!$F$39</f>
        <v/>
      </c>
      <c r="AO57" s="11">
        <f>Inputs!$F$152*AO19*Time!AO25/12*Inputs!$F$39</f>
        <v/>
      </c>
      <c r="AP57" s="11">
        <f>Inputs!$F$152*AP19*Time!AP25/12*Inputs!$F$39</f>
        <v/>
      </c>
      <c r="AQ57" s="11">
        <f>Inputs!$F$152*AQ19*Time!AQ25/12*Inputs!$F$39</f>
        <v/>
      </c>
      <c r="AR57" s="11">
        <f>Inputs!$F$152*AR19*Time!AR25/12*Inputs!$F$39</f>
        <v/>
      </c>
      <c r="AS57" s="11">
        <f>Inputs!$F$152*AS19*Time!AS25/12*Inputs!$F$39</f>
        <v/>
      </c>
      <c r="AT57" s="11">
        <f>Inputs!$F$152*AT19*Time!AT25/12*Inputs!$F$39</f>
        <v/>
      </c>
      <c r="AU57" s="11">
        <f>Inputs!$F$152*AU19*Time!AU25/12*Inputs!$F$39</f>
        <v/>
      </c>
      <c r="AV57" s="11">
        <f>Inputs!$F$152*AV19*Time!AV25/12*Inputs!$F$39</f>
        <v/>
      </c>
      <c r="AW57" s="11">
        <f>Inputs!$F$152*AW19*Time!AW25/12*Inputs!$F$39</f>
        <v/>
      </c>
      <c r="AX57" s="11">
        <f>Inputs!$F$152*AX19*Time!AX25/12*Inputs!$F$39</f>
        <v/>
      </c>
      <c r="AY57" s="11">
        <f>Inputs!$F$152*AY19*Time!AY25/12*Inputs!$F$39</f>
        <v/>
      </c>
      <c r="AZ57" s="11">
        <f>Inputs!$F$152*AZ19*Time!AZ25/12*Inputs!$F$39</f>
        <v/>
      </c>
      <c r="BA57" s="11">
        <f>Inputs!$F$152*BA19*Time!BA25/12*Inputs!$F$39</f>
        <v/>
      </c>
      <c r="BB57" s="11">
        <f>Inputs!$F$152*BB19*Time!BB25/12*Inputs!$F$39</f>
        <v/>
      </c>
      <c r="BC57" s="11">
        <f>Inputs!$F$152*BC19*Time!BC25/12*Inputs!$F$39</f>
        <v/>
      </c>
      <c r="BD57" s="11">
        <f>Inputs!$F$152*BD19*Time!BD25/12*Inputs!$F$39</f>
        <v/>
      </c>
      <c r="BE57" s="11">
        <f>Inputs!$F$152*BE19*Time!BE25/12*Inputs!$F$39</f>
        <v/>
      </c>
      <c r="BF57" s="11">
        <f>Inputs!$F$152*BF19*Time!BF25/12*Inputs!$F$39</f>
        <v/>
      </c>
      <c r="BG57" s="11">
        <f>Inputs!$F$152*BG19*Time!BG25/12*Inputs!$F$39</f>
        <v/>
      </c>
      <c r="BH57" s="11">
        <f>Inputs!$F$152*BH19*Time!BH25/12*Inputs!$F$39</f>
        <v/>
      </c>
      <c r="BI57" s="11">
        <f>Inputs!$F$152*BI19*Time!BI25/12*Inputs!$F$39</f>
        <v/>
      </c>
      <c r="BJ57" s="11">
        <f>Inputs!$F$152*BJ19*Time!BJ25/12*Inputs!$F$39</f>
        <v/>
      </c>
      <c r="BK57" s="11">
        <f>Inputs!$F$152*BK19*Time!BK25/12*Inputs!$F$39</f>
        <v/>
      </c>
      <c r="BL57" s="11">
        <f>Inputs!$F$152*BL19*Time!BL25/12*Inputs!$F$39</f>
        <v/>
      </c>
      <c r="BM57" s="11">
        <f>Inputs!$F$152*BM19*Time!BM25/12*Inputs!$F$39</f>
        <v/>
      </c>
      <c r="BN57" s="11">
        <f>Inputs!$F$152*BN19*Time!BN25/12*Inputs!$F$39</f>
        <v/>
      </c>
    </row>
    <row r="58">
      <c r="D58" t="inlineStr">
        <is>
          <t>Equivalent operating hours (2 GTs)</t>
        </is>
      </c>
      <c r="E58" t="inlineStr">
        <is>
          <t>EOH</t>
        </is>
      </c>
      <c r="J58" s="13">
        <f>IF(J27&gt;0,2*(Inputs!$F$127*J28/J27+Inputs!$F$128*Inputs!$F$129)*Time!J25/12,0)</f>
        <v/>
      </c>
      <c r="K58" s="13">
        <f>IF(K27&gt;0,2*(Inputs!$F$127*K28/K27+Inputs!$F$128*Inputs!$F$129)*Time!K25/12,0)</f>
        <v/>
      </c>
      <c r="L58" s="13">
        <f>IF(L27&gt;0,2*(Inputs!$F$127*L28/L27+Inputs!$F$128*Inputs!$F$129)*Time!L25/12,0)</f>
        <v/>
      </c>
      <c r="M58" s="13">
        <f>IF(M27&gt;0,2*(Inputs!$F$127*M28/M27+Inputs!$F$128*Inputs!$F$129)*Time!M25/12,0)</f>
        <v/>
      </c>
      <c r="N58" s="13">
        <f>IF(N27&gt;0,2*(Inputs!$F$127*N28/N27+Inputs!$F$128*Inputs!$F$129)*Time!N25/12,0)</f>
        <v/>
      </c>
      <c r="O58" s="13">
        <f>IF(O27&gt;0,2*(Inputs!$F$127*O28/O27+Inputs!$F$128*Inputs!$F$129)*Time!O25/12,0)</f>
        <v/>
      </c>
      <c r="P58" s="13">
        <f>IF(P27&gt;0,2*(Inputs!$F$127*P28/P27+Inputs!$F$128*Inputs!$F$129)*Time!P25/12,0)</f>
        <v/>
      </c>
      <c r="Q58" s="13">
        <f>IF(Q27&gt;0,2*(Inputs!$F$127*Q28/Q27+Inputs!$F$128*Inputs!$F$129)*Time!Q25/12,0)</f>
        <v/>
      </c>
      <c r="R58" s="13">
        <f>IF(R27&gt;0,2*(Inputs!$F$127*R28/R27+Inputs!$F$128*Inputs!$F$129)*Time!R25/12,0)</f>
        <v/>
      </c>
      <c r="S58" s="13">
        <f>IF(S27&gt;0,2*(Inputs!$F$127*S28/S27+Inputs!$F$128*Inputs!$F$129)*Time!S25/12,0)</f>
        <v/>
      </c>
      <c r="T58" s="13">
        <f>IF(T27&gt;0,2*(Inputs!$F$127*T28/T27+Inputs!$F$128*Inputs!$F$129)*Time!T25/12,0)</f>
        <v/>
      </c>
      <c r="U58" s="13">
        <f>IF(U27&gt;0,2*(Inputs!$F$127*U28/U27+Inputs!$F$128*Inputs!$F$129)*Time!U25/12,0)</f>
        <v/>
      </c>
      <c r="V58" s="13">
        <f>IF(V27&gt;0,2*(Inputs!$F$127*V28/V27+Inputs!$F$128*Inputs!$F$129)*Time!V25/12,0)</f>
        <v/>
      </c>
      <c r="W58" s="13">
        <f>IF(W27&gt;0,2*(Inputs!$F$127*W28/W27+Inputs!$F$128*Inputs!$F$129)*Time!W25/12,0)</f>
        <v/>
      </c>
      <c r="X58" s="13">
        <f>IF(X27&gt;0,2*(Inputs!$F$127*X28/X27+Inputs!$F$128*Inputs!$F$129)*Time!X25/12,0)</f>
        <v/>
      </c>
      <c r="Y58" s="13">
        <f>IF(Y27&gt;0,2*(Inputs!$F$127*Y28/Y27+Inputs!$F$128*Inputs!$F$129)*Time!Y25/12,0)</f>
        <v/>
      </c>
      <c r="Z58" s="13">
        <f>IF(Z27&gt;0,2*(Inputs!$F$127*Z28/Z27+Inputs!$F$128*Inputs!$F$129)*Time!Z25/12,0)</f>
        <v/>
      </c>
      <c r="AA58" s="13">
        <f>IF(AA27&gt;0,2*(Inputs!$F$127*AA28/AA27+Inputs!$F$128*Inputs!$F$129)*Time!AA25/12,0)</f>
        <v/>
      </c>
      <c r="AB58" s="13">
        <f>IF(AB27&gt;0,2*(Inputs!$F$127*AB28/AB27+Inputs!$F$128*Inputs!$F$129)*Time!AB25/12,0)</f>
        <v/>
      </c>
      <c r="AC58" s="13">
        <f>IF(AC27&gt;0,2*(Inputs!$F$127*AC28/AC27+Inputs!$F$128*Inputs!$F$129)*Time!AC25/12,0)</f>
        <v/>
      </c>
      <c r="AD58" s="13">
        <f>IF(AD27&gt;0,2*(Inputs!$F$127*AD28/AD27+Inputs!$F$128*Inputs!$F$129)*Time!AD25/12,0)</f>
        <v/>
      </c>
      <c r="AE58" s="13">
        <f>IF(AE27&gt;0,2*(Inputs!$F$127*AE28/AE27+Inputs!$F$128*Inputs!$F$129)*Time!AE25/12,0)</f>
        <v/>
      </c>
      <c r="AF58" s="13">
        <f>IF(AF27&gt;0,2*(Inputs!$F$127*AF28/AF27+Inputs!$F$128*Inputs!$F$129)*Time!AF25/12,0)</f>
        <v/>
      </c>
      <c r="AG58" s="13">
        <f>IF(AG27&gt;0,2*(Inputs!$F$127*AG28/AG27+Inputs!$F$128*Inputs!$F$129)*Time!AG25/12,0)</f>
        <v/>
      </c>
      <c r="AH58" s="13">
        <f>IF(AH27&gt;0,2*(Inputs!$F$127*AH28/AH27+Inputs!$F$128*Inputs!$F$129)*Time!AH25/12,0)</f>
        <v/>
      </c>
      <c r="AI58" s="13">
        <f>IF(AI27&gt;0,2*(Inputs!$F$127*AI28/AI27+Inputs!$F$128*Inputs!$F$129)*Time!AI25/12,0)</f>
        <v/>
      </c>
      <c r="AJ58" s="13">
        <f>IF(AJ27&gt;0,2*(Inputs!$F$127*AJ28/AJ27+Inputs!$F$128*Inputs!$F$129)*Time!AJ25/12,0)</f>
        <v/>
      </c>
      <c r="AK58" s="13">
        <f>IF(AK27&gt;0,2*(Inputs!$F$127*AK28/AK27+Inputs!$F$128*Inputs!$F$129)*Time!AK25/12,0)</f>
        <v/>
      </c>
      <c r="AL58" s="13">
        <f>IF(AL27&gt;0,2*(Inputs!$F$127*AL28/AL27+Inputs!$F$128*Inputs!$F$129)*Time!AL25/12,0)</f>
        <v/>
      </c>
      <c r="AM58" s="13">
        <f>IF(AM27&gt;0,2*(Inputs!$F$127*AM28/AM27+Inputs!$F$128*Inputs!$F$129)*Time!AM25/12,0)</f>
        <v/>
      </c>
      <c r="AN58" s="13">
        <f>IF(AN27&gt;0,2*(Inputs!$F$127*AN28/AN27+Inputs!$F$128*Inputs!$F$129)*Time!AN25/12,0)</f>
        <v/>
      </c>
      <c r="AO58" s="13">
        <f>IF(AO27&gt;0,2*(Inputs!$F$127*AO28/AO27+Inputs!$F$128*Inputs!$F$129)*Time!AO25/12,0)</f>
        <v/>
      </c>
      <c r="AP58" s="13">
        <f>IF(AP27&gt;0,2*(Inputs!$F$127*AP28/AP27+Inputs!$F$128*Inputs!$F$129)*Time!AP25/12,0)</f>
        <v/>
      </c>
      <c r="AQ58" s="13">
        <f>IF(AQ27&gt;0,2*(Inputs!$F$127*AQ28/AQ27+Inputs!$F$128*Inputs!$F$129)*Time!AQ25/12,0)</f>
        <v/>
      </c>
      <c r="AR58" s="13">
        <f>IF(AR27&gt;0,2*(Inputs!$F$127*AR28/AR27+Inputs!$F$128*Inputs!$F$129)*Time!AR25/12,0)</f>
        <v/>
      </c>
      <c r="AS58" s="13">
        <f>IF(AS27&gt;0,2*(Inputs!$F$127*AS28/AS27+Inputs!$F$128*Inputs!$F$129)*Time!AS25/12,0)</f>
        <v/>
      </c>
      <c r="AT58" s="13">
        <f>IF(AT27&gt;0,2*(Inputs!$F$127*AT28/AT27+Inputs!$F$128*Inputs!$F$129)*Time!AT25/12,0)</f>
        <v/>
      </c>
      <c r="AU58" s="13">
        <f>IF(AU27&gt;0,2*(Inputs!$F$127*AU28/AU27+Inputs!$F$128*Inputs!$F$129)*Time!AU25/12,0)</f>
        <v/>
      </c>
      <c r="AV58" s="13">
        <f>IF(AV27&gt;0,2*(Inputs!$F$127*AV28/AV27+Inputs!$F$128*Inputs!$F$129)*Time!AV25/12,0)</f>
        <v/>
      </c>
      <c r="AW58" s="13">
        <f>IF(AW27&gt;0,2*(Inputs!$F$127*AW28/AW27+Inputs!$F$128*Inputs!$F$129)*Time!AW25/12,0)</f>
        <v/>
      </c>
      <c r="AX58" s="13">
        <f>IF(AX27&gt;0,2*(Inputs!$F$127*AX28/AX27+Inputs!$F$128*Inputs!$F$129)*Time!AX25/12,0)</f>
        <v/>
      </c>
      <c r="AY58" s="13">
        <f>IF(AY27&gt;0,2*(Inputs!$F$127*AY28/AY27+Inputs!$F$128*Inputs!$F$129)*Time!AY25/12,0)</f>
        <v/>
      </c>
      <c r="AZ58" s="13">
        <f>IF(AZ27&gt;0,2*(Inputs!$F$127*AZ28/AZ27+Inputs!$F$128*Inputs!$F$129)*Time!AZ25/12,0)</f>
        <v/>
      </c>
      <c r="BA58" s="13">
        <f>IF(BA27&gt;0,2*(Inputs!$F$127*BA28/BA27+Inputs!$F$128*Inputs!$F$129)*Time!BA25/12,0)</f>
        <v/>
      </c>
      <c r="BB58" s="13">
        <f>IF(BB27&gt;0,2*(Inputs!$F$127*BB28/BB27+Inputs!$F$128*Inputs!$F$129)*Time!BB25/12,0)</f>
        <v/>
      </c>
      <c r="BC58" s="13">
        <f>IF(BC27&gt;0,2*(Inputs!$F$127*BC28/BC27+Inputs!$F$128*Inputs!$F$129)*Time!BC25/12,0)</f>
        <v/>
      </c>
      <c r="BD58" s="13">
        <f>IF(BD27&gt;0,2*(Inputs!$F$127*BD28/BD27+Inputs!$F$128*Inputs!$F$129)*Time!BD25/12,0)</f>
        <v/>
      </c>
      <c r="BE58" s="13">
        <f>IF(BE27&gt;0,2*(Inputs!$F$127*BE28/BE27+Inputs!$F$128*Inputs!$F$129)*Time!BE25/12,0)</f>
        <v/>
      </c>
      <c r="BF58" s="13">
        <f>IF(BF27&gt;0,2*(Inputs!$F$127*BF28/BF27+Inputs!$F$128*Inputs!$F$129)*Time!BF25/12,0)</f>
        <v/>
      </c>
      <c r="BG58" s="13">
        <f>IF(BG27&gt;0,2*(Inputs!$F$127*BG28/BG27+Inputs!$F$128*Inputs!$F$129)*Time!BG25/12,0)</f>
        <v/>
      </c>
      <c r="BH58" s="13">
        <f>IF(BH27&gt;0,2*(Inputs!$F$127*BH28/BH27+Inputs!$F$128*Inputs!$F$129)*Time!BH25/12,0)</f>
        <v/>
      </c>
      <c r="BI58" s="13">
        <f>IF(BI27&gt;0,2*(Inputs!$F$127*BI28/BI27+Inputs!$F$128*Inputs!$F$129)*Time!BI25/12,0)</f>
        <v/>
      </c>
      <c r="BJ58" s="13">
        <f>IF(BJ27&gt;0,2*(Inputs!$F$127*BJ28/BJ27+Inputs!$F$128*Inputs!$F$129)*Time!BJ25/12,0)</f>
        <v/>
      </c>
      <c r="BK58" s="13">
        <f>IF(BK27&gt;0,2*(Inputs!$F$127*BK28/BK27+Inputs!$F$128*Inputs!$F$129)*Time!BK25/12,0)</f>
        <v/>
      </c>
      <c r="BL58" s="13">
        <f>IF(BL27&gt;0,2*(Inputs!$F$127*BL28/BL27+Inputs!$F$128*Inputs!$F$129)*Time!BL25/12,0)</f>
        <v/>
      </c>
      <c r="BM58" s="13">
        <f>IF(BM27&gt;0,2*(Inputs!$F$127*BM28/BM27+Inputs!$F$128*Inputs!$F$129)*Time!BM25/12,0)</f>
        <v/>
      </c>
      <c r="BN58" s="13">
        <f>IF(BN27&gt;0,2*(Inputs!$F$127*BN28/BN27+Inputs!$F$128*Inputs!$F$129)*Time!BN25/12,0)</f>
        <v/>
      </c>
    </row>
    <row r="59">
      <c r="D59" t="inlineStr">
        <is>
          <t>LTSA variable fee</t>
        </is>
      </c>
      <c r="E59" t="inlineStr">
        <is>
          <t>USD m</t>
        </is>
      </c>
      <c r="G59" s="11">
        <f>SUM(J59:BN59)</f>
        <v/>
      </c>
      <c r="J59" s="11">
        <f>J58*Inputs!$F$153*J19/1000000</f>
        <v/>
      </c>
      <c r="K59" s="11">
        <f>K58*Inputs!$F$153*K19/1000000</f>
        <v/>
      </c>
      <c r="L59" s="11">
        <f>L58*Inputs!$F$153*L19/1000000</f>
        <v/>
      </c>
      <c r="M59" s="11">
        <f>M58*Inputs!$F$153*M19/1000000</f>
        <v/>
      </c>
      <c r="N59" s="11">
        <f>N58*Inputs!$F$153*N19/1000000</f>
        <v/>
      </c>
      <c r="O59" s="11">
        <f>O58*Inputs!$F$153*O19/1000000</f>
        <v/>
      </c>
      <c r="P59" s="11">
        <f>P58*Inputs!$F$153*P19/1000000</f>
        <v/>
      </c>
      <c r="Q59" s="11">
        <f>Q58*Inputs!$F$153*Q19/1000000</f>
        <v/>
      </c>
      <c r="R59" s="11">
        <f>R58*Inputs!$F$153*R19/1000000</f>
        <v/>
      </c>
      <c r="S59" s="11">
        <f>S58*Inputs!$F$153*S19/1000000</f>
        <v/>
      </c>
      <c r="T59" s="11">
        <f>T58*Inputs!$F$153*T19/1000000</f>
        <v/>
      </c>
      <c r="U59" s="11">
        <f>U58*Inputs!$F$153*U19/1000000</f>
        <v/>
      </c>
      <c r="V59" s="11">
        <f>V58*Inputs!$F$153*V19/1000000</f>
        <v/>
      </c>
      <c r="W59" s="11">
        <f>W58*Inputs!$F$153*W19/1000000</f>
        <v/>
      </c>
      <c r="X59" s="11">
        <f>X58*Inputs!$F$153*X19/1000000</f>
        <v/>
      </c>
      <c r="Y59" s="11">
        <f>Y58*Inputs!$F$153*Y19/1000000</f>
        <v/>
      </c>
      <c r="Z59" s="11">
        <f>Z58*Inputs!$F$153*Z19/1000000</f>
        <v/>
      </c>
      <c r="AA59" s="11">
        <f>AA58*Inputs!$F$153*AA19/1000000</f>
        <v/>
      </c>
      <c r="AB59" s="11">
        <f>AB58*Inputs!$F$153*AB19/1000000</f>
        <v/>
      </c>
      <c r="AC59" s="11">
        <f>AC58*Inputs!$F$153*AC19/1000000</f>
        <v/>
      </c>
      <c r="AD59" s="11">
        <f>AD58*Inputs!$F$153*AD19/1000000</f>
        <v/>
      </c>
      <c r="AE59" s="11">
        <f>AE58*Inputs!$F$153*AE19/1000000</f>
        <v/>
      </c>
      <c r="AF59" s="11">
        <f>AF58*Inputs!$F$153*AF19/1000000</f>
        <v/>
      </c>
      <c r="AG59" s="11">
        <f>AG58*Inputs!$F$153*AG19/1000000</f>
        <v/>
      </c>
      <c r="AH59" s="11">
        <f>AH58*Inputs!$F$153*AH19/1000000</f>
        <v/>
      </c>
      <c r="AI59" s="11">
        <f>AI58*Inputs!$F$153*AI19/1000000</f>
        <v/>
      </c>
      <c r="AJ59" s="11">
        <f>AJ58*Inputs!$F$153*AJ19/1000000</f>
        <v/>
      </c>
      <c r="AK59" s="11">
        <f>AK58*Inputs!$F$153*AK19/1000000</f>
        <v/>
      </c>
      <c r="AL59" s="11">
        <f>AL58*Inputs!$F$153*AL19/1000000</f>
        <v/>
      </c>
      <c r="AM59" s="11">
        <f>AM58*Inputs!$F$153*AM19/1000000</f>
        <v/>
      </c>
      <c r="AN59" s="11">
        <f>AN58*Inputs!$F$153*AN19/1000000</f>
        <v/>
      </c>
      <c r="AO59" s="11">
        <f>AO58*Inputs!$F$153*AO19/1000000</f>
        <v/>
      </c>
      <c r="AP59" s="11">
        <f>AP58*Inputs!$F$153*AP19/1000000</f>
        <v/>
      </c>
      <c r="AQ59" s="11">
        <f>AQ58*Inputs!$F$153*AQ19/1000000</f>
        <v/>
      </c>
      <c r="AR59" s="11">
        <f>AR58*Inputs!$F$153*AR19/1000000</f>
        <v/>
      </c>
      <c r="AS59" s="11">
        <f>AS58*Inputs!$F$153*AS19/1000000</f>
        <v/>
      </c>
      <c r="AT59" s="11">
        <f>AT58*Inputs!$F$153*AT19/1000000</f>
        <v/>
      </c>
      <c r="AU59" s="11">
        <f>AU58*Inputs!$F$153*AU19/1000000</f>
        <v/>
      </c>
      <c r="AV59" s="11">
        <f>AV58*Inputs!$F$153*AV19/1000000</f>
        <v/>
      </c>
      <c r="AW59" s="11">
        <f>AW58*Inputs!$F$153*AW19/1000000</f>
        <v/>
      </c>
      <c r="AX59" s="11">
        <f>AX58*Inputs!$F$153*AX19/1000000</f>
        <v/>
      </c>
      <c r="AY59" s="11">
        <f>AY58*Inputs!$F$153*AY19/1000000</f>
        <v/>
      </c>
      <c r="AZ59" s="11">
        <f>AZ58*Inputs!$F$153*AZ19/1000000</f>
        <v/>
      </c>
      <c r="BA59" s="11">
        <f>BA58*Inputs!$F$153*BA19/1000000</f>
        <v/>
      </c>
      <c r="BB59" s="11">
        <f>BB58*Inputs!$F$153*BB19/1000000</f>
        <v/>
      </c>
      <c r="BC59" s="11">
        <f>BC58*Inputs!$F$153*BC19/1000000</f>
        <v/>
      </c>
      <c r="BD59" s="11">
        <f>BD58*Inputs!$F$153*BD19/1000000</f>
        <v/>
      </c>
      <c r="BE59" s="11">
        <f>BE58*Inputs!$F$153*BE19/1000000</f>
        <v/>
      </c>
      <c r="BF59" s="11">
        <f>BF58*Inputs!$F$153*BF19/1000000</f>
        <v/>
      </c>
      <c r="BG59" s="11">
        <f>BG58*Inputs!$F$153*BG19/1000000</f>
        <v/>
      </c>
      <c r="BH59" s="11">
        <f>BH58*Inputs!$F$153*BH19/1000000</f>
        <v/>
      </c>
      <c r="BI59" s="11">
        <f>BI58*Inputs!$F$153*BI19/1000000</f>
        <v/>
      </c>
      <c r="BJ59" s="11">
        <f>BJ58*Inputs!$F$153*BJ19/1000000</f>
        <v/>
      </c>
      <c r="BK59" s="11">
        <f>BK58*Inputs!$F$153*BK19/1000000</f>
        <v/>
      </c>
      <c r="BL59" s="11">
        <f>BL58*Inputs!$F$153*BL19/1000000</f>
        <v/>
      </c>
      <c r="BM59" s="11">
        <f>BM58*Inputs!$F$153*BM19/1000000</f>
        <v/>
      </c>
      <c r="BN59" s="11">
        <f>BN58*Inputs!$F$153*BN19/1000000</f>
        <v/>
      </c>
    </row>
    <row r="60">
      <c r="D60" t="inlineStr">
        <is>
          <t>Operational insurance</t>
        </is>
      </c>
      <c r="E60" t="inlineStr">
        <is>
          <t>USD m</t>
        </is>
      </c>
      <c r="G60" s="11">
        <f>SUM(J60:BN60)</f>
        <v/>
      </c>
      <c r="J60" s="11">
        <f>Inputs!$F$154*J19*Time!J25/12*(1+Inputs!$F$155*Inputs!$F$45*IF(Time!J17&gt;=9,1,0))*Inputs!$F$39</f>
        <v/>
      </c>
      <c r="K60" s="11">
        <f>Inputs!$F$154*K19*Time!K25/12*(1+Inputs!$F$155*Inputs!$F$45*IF(Time!K17&gt;=9,1,0))*Inputs!$F$39</f>
        <v/>
      </c>
      <c r="L60" s="11">
        <f>Inputs!$F$154*L19*Time!L25/12*(1+Inputs!$F$155*Inputs!$F$45*IF(Time!L17&gt;=9,1,0))*Inputs!$F$39</f>
        <v/>
      </c>
      <c r="M60" s="11">
        <f>Inputs!$F$154*M19*Time!M25/12*(1+Inputs!$F$155*Inputs!$F$45*IF(Time!M17&gt;=9,1,0))*Inputs!$F$39</f>
        <v/>
      </c>
      <c r="N60" s="11">
        <f>Inputs!$F$154*N19*Time!N25/12*(1+Inputs!$F$155*Inputs!$F$45*IF(Time!N17&gt;=9,1,0))*Inputs!$F$39</f>
        <v/>
      </c>
      <c r="O60" s="11">
        <f>Inputs!$F$154*O19*Time!O25/12*(1+Inputs!$F$155*Inputs!$F$45*IF(Time!O17&gt;=9,1,0))*Inputs!$F$39</f>
        <v/>
      </c>
      <c r="P60" s="11">
        <f>Inputs!$F$154*P19*Time!P25/12*(1+Inputs!$F$155*Inputs!$F$45*IF(Time!P17&gt;=9,1,0))*Inputs!$F$39</f>
        <v/>
      </c>
      <c r="Q60" s="11">
        <f>Inputs!$F$154*Q19*Time!Q25/12*(1+Inputs!$F$155*Inputs!$F$45*IF(Time!Q17&gt;=9,1,0))*Inputs!$F$39</f>
        <v/>
      </c>
      <c r="R60" s="11">
        <f>Inputs!$F$154*R19*Time!R25/12*(1+Inputs!$F$155*Inputs!$F$45*IF(Time!R17&gt;=9,1,0))*Inputs!$F$39</f>
        <v/>
      </c>
      <c r="S60" s="11">
        <f>Inputs!$F$154*S19*Time!S25/12*(1+Inputs!$F$155*Inputs!$F$45*IF(Time!S17&gt;=9,1,0))*Inputs!$F$39</f>
        <v/>
      </c>
      <c r="T60" s="11">
        <f>Inputs!$F$154*T19*Time!T25/12*(1+Inputs!$F$155*Inputs!$F$45*IF(Time!T17&gt;=9,1,0))*Inputs!$F$39</f>
        <v/>
      </c>
      <c r="U60" s="11">
        <f>Inputs!$F$154*U19*Time!U25/12*(1+Inputs!$F$155*Inputs!$F$45*IF(Time!U17&gt;=9,1,0))*Inputs!$F$39</f>
        <v/>
      </c>
      <c r="V60" s="11">
        <f>Inputs!$F$154*V19*Time!V25/12*(1+Inputs!$F$155*Inputs!$F$45*IF(Time!V17&gt;=9,1,0))*Inputs!$F$39</f>
        <v/>
      </c>
      <c r="W60" s="11">
        <f>Inputs!$F$154*W19*Time!W25/12*(1+Inputs!$F$155*Inputs!$F$45*IF(Time!W17&gt;=9,1,0))*Inputs!$F$39</f>
        <v/>
      </c>
      <c r="X60" s="11">
        <f>Inputs!$F$154*X19*Time!X25/12*(1+Inputs!$F$155*Inputs!$F$45*IF(Time!X17&gt;=9,1,0))*Inputs!$F$39</f>
        <v/>
      </c>
      <c r="Y60" s="11">
        <f>Inputs!$F$154*Y19*Time!Y25/12*(1+Inputs!$F$155*Inputs!$F$45*IF(Time!Y17&gt;=9,1,0))*Inputs!$F$39</f>
        <v/>
      </c>
      <c r="Z60" s="11">
        <f>Inputs!$F$154*Z19*Time!Z25/12*(1+Inputs!$F$155*Inputs!$F$45*IF(Time!Z17&gt;=9,1,0))*Inputs!$F$39</f>
        <v/>
      </c>
      <c r="AA60" s="11">
        <f>Inputs!$F$154*AA19*Time!AA25/12*(1+Inputs!$F$155*Inputs!$F$45*IF(Time!AA17&gt;=9,1,0))*Inputs!$F$39</f>
        <v/>
      </c>
      <c r="AB60" s="11">
        <f>Inputs!$F$154*AB19*Time!AB25/12*(1+Inputs!$F$155*Inputs!$F$45*IF(Time!AB17&gt;=9,1,0))*Inputs!$F$39</f>
        <v/>
      </c>
      <c r="AC60" s="11">
        <f>Inputs!$F$154*AC19*Time!AC25/12*(1+Inputs!$F$155*Inputs!$F$45*IF(Time!AC17&gt;=9,1,0))*Inputs!$F$39</f>
        <v/>
      </c>
      <c r="AD60" s="11">
        <f>Inputs!$F$154*AD19*Time!AD25/12*(1+Inputs!$F$155*Inputs!$F$45*IF(Time!AD17&gt;=9,1,0))*Inputs!$F$39</f>
        <v/>
      </c>
      <c r="AE60" s="11">
        <f>Inputs!$F$154*AE19*Time!AE25/12*(1+Inputs!$F$155*Inputs!$F$45*IF(Time!AE17&gt;=9,1,0))*Inputs!$F$39</f>
        <v/>
      </c>
      <c r="AF60" s="11">
        <f>Inputs!$F$154*AF19*Time!AF25/12*(1+Inputs!$F$155*Inputs!$F$45*IF(Time!AF17&gt;=9,1,0))*Inputs!$F$39</f>
        <v/>
      </c>
      <c r="AG60" s="11">
        <f>Inputs!$F$154*AG19*Time!AG25/12*(1+Inputs!$F$155*Inputs!$F$45*IF(Time!AG17&gt;=9,1,0))*Inputs!$F$39</f>
        <v/>
      </c>
      <c r="AH60" s="11">
        <f>Inputs!$F$154*AH19*Time!AH25/12*(1+Inputs!$F$155*Inputs!$F$45*IF(Time!AH17&gt;=9,1,0))*Inputs!$F$39</f>
        <v/>
      </c>
      <c r="AI60" s="11">
        <f>Inputs!$F$154*AI19*Time!AI25/12*(1+Inputs!$F$155*Inputs!$F$45*IF(Time!AI17&gt;=9,1,0))*Inputs!$F$39</f>
        <v/>
      </c>
      <c r="AJ60" s="11">
        <f>Inputs!$F$154*AJ19*Time!AJ25/12*(1+Inputs!$F$155*Inputs!$F$45*IF(Time!AJ17&gt;=9,1,0))*Inputs!$F$39</f>
        <v/>
      </c>
      <c r="AK60" s="11">
        <f>Inputs!$F$154*AK19*Time!AK25/12*(1+Inputs!$F$155*Inputs!$F$45*IF(Time!AK17&gt;=9,1,0))*Inputs!$F$39</f>
        <v/>
      </c>
      <c r="AL60" s="11">
        <f>Inputs!$F$154*AL19*Time!AL25/12*(1+Inputs!$F$155*Inputs!$F$45*IF(Time!AL17&gt;=9,1,0))*Inputs!$F$39</f>
        <v/>
      </c>
      <c r="AM60" s="11">
        <f>Inputs!$F$154*AM19*Time!AM25/12*(1+Inputs!$F$155*Inputs!$F$45*IF(Time!AM17&gt;=9,1,0))*Inputs!$F$39</f>
        <v/>
      </c>
      <c r="AN60" s="11">
        <f>Inputs!$F$154*AN19*Time!AN25/12*(1+Inputs!$F$155*Inputs!$F$45*IF(Time!AN17&gt;=9,1,0))*Inputs!$F$39</f>
        <v/>
      </c>
      <c r="AO60" s="11">
        <f>Inputs!$F$154*AO19*Time!AO25/12*(1+Inputs!$F$155*Inputs!$F$45*IF(Time!AO17&gt;=9,1,0))*Inputs!$F$39</f>
        <v/>
      </c>
      <c r="AP60" s="11">
        <f>Inputs!$F$154*AP19*Time!AP25/12*(1+Inputs!$F$155*Inputs!$F$45*IF(Time!AP17&gt;=9,1,0))*Inputs!$F$39</f>
        <v/>
      </c>
      <c r="AQ60" s="11">
        <f>Inputs!$F$154*AQ19*Time!AQ25/12*(1+Inputs!$F$155*Inputs!$F$45*IF(Time!AQ17&gt;=9,1,0))*Inputs!$F$39</f>
        <v/>
      </c>
      <c r="AR60" s="11">
        <f>Inputs!$F$154*AR19*Time!AR25/12*(1+Inputs!$F$155*Inputs!$F$45*IF(Time!AR17&gt;=9,1,0))*Inputs!$F$39</f>
        <v/>
      </c>
      <c r="AS60" s="11">
        <f>Inputs!$F$154*AS19*Time!AS25/12*(1+Inputs!$F$155*Inputs!$F$45*IF(Time!AS17&gt;=9,1,0))*Inputs!$F$39</f>
        <v/>
      </c>
      <c r="AT60" s="11">
        <f>Inputs!$F$154*AT19*Time!AT25/12*(1+Inputs!$F$155*Inputs!$F$45*IF(Time!AT17&gt;=9,1,0))*Inputs!$F$39</f>
        <v/>
      </c>
      <c r="AU60" s="11">
        <f>Inputs!$F$154*AU19*Time!AU25/12*(1+Inputs!$F$155*Inputs!$F$45*IF(Time!AU17&gt;=9,1,0))*Inputs!$F$39</f>
        <v/>
      </c>
      <c r="AV60" s="11">
        <f>Inputs!$F$154*AV19*Time!AV25/12*(1+Inputs!$F$155*Inputs!$F$45*IF(Time!AV17&gt;=9,1,0))*Inputs!$F$39</f>
        <v/>
      </c>
      <c r="AW60" s="11">
        <f>Inputs!$F$154*AW19*Time!AW25/12*(1+Inputs!$F$155*Inputs!$F$45*IF(Time!AW17&gt;=9,1,0))*Inputs!$F$39</f>
        <v/>
      </c>
      <c r="AX60" s="11">
        <f>Inputs!$F$154*AX19*Time!AX25/12*(1+Inputs!$F$155*Inputs!$F$45*IF(Time!AX17&gt;=9,1,0))*Inputs!$F$39</f>
        <v/>
      </c>
      <c r="AY60" s="11">
        <f>Inputs!$F$154*AY19*Time!AY25/12*(1+Inputs!$F$155*Inputs!$F$45*IF(Time!AY17&gt;=9,1,0))*Inputs!$F$39</f>
        <v/>
      </c>
      <c r="AZ60" s="11">
        <f>Inputs!$F$154*AZ19*Time!AZ25/12*(1+Inputs!$F$155*Inputs!$F$45*IF(Time!AZ17&gt;=9,1,0))*Inputs!$F$39</f>
        <v/>
      </c>
      <c r="BA60" s="11">
        <f>Inputs!$F$154*BA19*Time!BA25/12*(1+Inputs!$F$155*Inputs!$F$45*IF(Time!BA17&gt;=9,1,0))*Inputs!$F$39</f>
        <v/>
      </c>
      <c r="BB60" s="11">
        <f>Inputs!$F$154*BB19*Time!BB25/12*(1+Inputs!$F$155*Inputs!$F$45*IF(Time!BB17&gt;=9,1,0))*Inputs!$F$39</f>
        <v/>
      </c>
      <c r="BC60" s="11">
        <f>Inputs!$F$154*BC19*Time!BC25/12*(1+Inputs!$F$155*Inputs!$F$45*IF(Time!BC17&gt;=9,1,0))*Inputs!$F$39</f>
        <v/>
      </c>
      <c r="BD60" s="11">
        <f>Inputs!$F$154*BD19*Time!BD25/12*(1+Inputs!$F$155*Inputs!$F$45*IF(Time!BD17&gt;=9,1,0))*Inputs!$F$39</f>
        <v/>
      </c>
      <c r="BE60" s="11">
        <f>Inputs!$F$154*BE19*Time!BE25/12*(1+Inputs!$F$155*Inputs!$F$45*IF(Time!BE17&gt;=9,1,0))*Inputs!$F$39</f>
        <v/>
      </c>
      <c r="BF60" s="11">
        <f>Inputs!$F$154*BF19*Time!BF25/12*(1+Inputs!$F$155*Inputs!$F$45*IF(Time!BF17&gt;=9,1,0))*Inputs!$F$39</f>
        <v/>
      </c>
      <c r="BG60" s="11">
        <f>Inputs!$F$154*BG19*Time!BG25/12*(1+Inputs!$F$155*Inputs!$F$45*IF(Time!BG17&gt;=9,1,0))*Inputs!$F$39</f>
        <v/>
      </c>
      <c r="BH60" s="11">
        <f>Inputs!$F$154*BH19*Time!BH25/12*(1+Inputs!$F$155*Inputs!$F$45*IF(Time!BH17&gt;=9,1,0))*Inputs!$F$39</f>
        <v/>
      </c>
      <c r="BI60" s="11">
        <f>Inputs!$F$154*BI19*Time!BI25/12*(1+Inputs!$F$155*Inputs!$F$45*IF(Time!BI17&gt;=9,1,0))*Inputs!$F$39</f>
        <v/>
      </c>
      <c r="BJ60" s="11">
        <f>Inputs!$F$154*BJ19*Time!BJ25/12*(1+Inputs!$F$155*Inputs!$F$45*IF(Time!BJ17&gt;=9,1,0))*Inputs!$F$39</f>
        <v/>
      </c>
      <c r="BK60" s="11">
        <f>Inputs!$F$154*BK19*Time!BK25/12*(1+Inputs!$F$155*Inputs!$F$45*IF(Time!BK17&gt;=9,1,0))*Inputs!$F$39</f>
        <v/>
      </c>
      <c r="BL60" s="11">
        <f>Inputs!$F$154*BL19*Time!BL25/12*(1+Inputs!$F$155*Inputs!$F$45*IF(Time!BL17&gt;=9,1,0))*Inputs!$F$39</f>
        <v/>
      </c>
      <c r="BM60" s="11">
        <f>Inputs!$F$154*BM19*Time!BM25/12*(1+Inputs!$F$155*Inputs!$F$45*IF(Time!BM17&gt;=9,1,0))*Inputs!$F$39</f>
        <v/>
      </c>
      <c r="BN60" s="11">
        <f>Inputs!$F$154*BN19*Time!BN25/12*(1+Inputs!$F$155*Inputs!$F$45*IF(Time!BN17&gt;=9,1,0))*Inputs!$F$39</f>
        <v/>
      </c>
    </row>
    <row r="61">
      <c r="D61" t="inlineStr">
        <is>
          <t>G&amp;A</t>
        </is>
      </c>
      <c r="E61" t="inlineStr">
        <is>
          <t>USD m</t>
        </is>
      </c>
      <c r="G61" s="11">
        <f>SUM(J61:BN61)</f>
        <v/>
      </c>
      <c r="J61" s="11">
        <f>Inputs!$F$156*(0.5*J19+0.5*J23*Inputs!$F$150/J11)*Time!J25/12*Inputs!$F$39</f>
        <v/>
      </c>
      <c r="K61" s="11">
        <f>Inputs!$F$156*(0.5*K19+0.5*K23*Inputs!$F$150/K11)*Time!K25/12*Inputs!$F$39</f>
        <v/>
      </c>
      <c r="L61" s="11">
        <f>Inputs!$F$156*(0.5*L19+0.5*L23*Inputs!$F$150/L11)*Time!L25/12*Inputs!$F$39</f>
        <v/>
      </c>
      <c r="M61" s="11">
        <f>Inputs!$F$156*(0.5*M19+0.5*M23*Inputs!$F$150/M11)*Time!M25/12*Inputs!$F$39</f>
        <v/>
      </c>
      <c r="N61" s="11">
        <f>Inputs!$F$156*(0.5*N19+0.5*N23*Inputs!$F$150/N11)*Time!N25/12*Inputs!$F$39</f>
        <v/>
      </c>
      <c r="O61" s="11">
        <f>Inputs!$F$156*(0.5*O19+0.5*O23*Inputs!$F$150/O11)*Time!O25/12*Inputs!$F$39</f>
        <v/>
      </c>
      <c r="P61" s="11">
        <f>Inputs!$F$156*(0.5*P19+0.5*P23*Inputs!$F$150/P11)*Time!P25/12*Inputs!$F$39</f>
        <v/>
      </c>
      <c r="Q61" s="11">
        <f>Inputs!$F$156*(0.5*Q19+0.5*Q23*Inputs!$F$150/Q11)*Time!Q25/12*Inputs!$F$39</f>
        <v/>
      </c>
      <c r="R61" s="11">
        <f>Inputs!$F$156*(0.5*R19+0.5*R23*Inputs!$F$150/R11)*Time!R25/12*Inputs!$F$39</f>
        <v/>
      </c>
      <c r="S61" s="11">
        <f>Inputs!$F$156*(0.5*S19+0.5*S23*Inputs!$F$150/S11)*Time!S25/12*Inputs!$F$39</f>
        <v/>
      </c>
      <c r="T61" s="11">
        <f>Inputs!$F$156*(0.5*T19+0.5*T23*Inputs!$F$150/T11)*Time!T25/12*Inputs!$F$39</f>
        <v/>
      </c>
      <c r="U61" s="11">
        <f>Inputs!$F$156*(0.5*U19+0.5*U23*Inputs!$F$150/U11)*Time!U25/12*Inputs!$F$39</f>
        <v/>
      </c>
      <c r="V61" s="11">
        <f>Inputs!$F$156*(0.5*V19+0.5*V23*Inputs!$F$150/V11)*Time!V25/12*Inputs!$F$39</f>
        <v/>
      </c>
      <c r="W61" s="11">
        <f>Inputs!$F$156*(0.5*W19+0.5*W23*Inputs!$F$150/W11)*Time!W25/12*Inputs!$F$39</f>
        <v/>
      </c>
      <c r="X61" s="11">
        <f>Inputs!$F$156*(0.5*X19+0.5*X23*Inputs!$F$150/X11)*Time!X25/12*Inputs!$F$39</f>
        <v/>
      </c>
      <c r="Y61" s="11">
        <f>Inputs!$F$156*(0.5*Y19+0.5*Y23*Inputs!$F$150/Y11)*Time!Y25/12*Inputs!$F$39</f>
        <v/>
      </c>
      <c r="Z61" s="11">
        <f>Inputs!$F$156*(0.5*Z19+0.5*Z23*Inputs!$F$150/Z11)*Time!Z25/12*Inputs!$F$39</f>
        <v/>
      </c>
      <c r="AA61" s="11">
        <f>Inputs!$F$156*(0.5*AA19+0.5*AA23*Inputs!$F$150/AA11)*Time!AA25/12*Inputs!$F$39</f>
        <v/>
      </c>
      <c r="AB61" s="11">
        <f>Inputs!$F$156*(0.5*AB19+0.5*AB23*Inputs!$F$150/AB11)*Time!AB25/12*Inputs!$F$39</f>
        <v/>
      </c>
      <c r="AC61" s="11">
        <f>Inputs!$F$156*(0.5*AC19+0.5*AC23*Inputs!$F$150/AC11)*Time!AC25/12*Inputs!$F$39</f>
        <v/>
      </c>
      <c r="AD61" s="11">
        <f>Inputs!$F$156*(0.5*AD19+0.5*AD23*Inputs!$F$150/AD11)*Time!AD25/12*Inputs!$F$39</f>
        <v/>
      </c>
      <c r="AE61" s="11">
        <f>Inputs!$F$156*(0.5*AE19+0.5*AE23*Inputs!$F$150/AE11)*Time!AE25/12*Inputs!$F$39</f>
        <v/>
      </c>
      <c r="AF61" s="11">
        <f>Inputs!$F$156*(0.5*AF19+0.5*AF23*Inputs!$F$150/AF11)*Time!AF25/12*Inputs!$F$39</f>
        <v/>
      </c>
      <c r="AG61" s="11">
        <f>Inputs!$F$156*(0.5*AG19+0.5*AG23*Inputs!$F$150/AG11)*Time!AG25/12*Inputs!$F$39</f>
        <v/>
      </c>
      <c r="AH61" s="11">
        <f>Inputs!$F$156*(0.5*AH19+0.5*AH23*Inputs!$F$150/AH11)*Time!AH25/12*Inputs!$F$39</f>
        <v/>
      </c>
      <c r="AI61" s="11">
        <f>Inputs!$F$156*(0.5*AI19+0.5*AI23*Inputs!$F$150/AI11)*Time!AI25/12*Inputs!$F$39</f>
        <v/>
      </c>
      <c r="AJ61" s="11">
        <f>Inputs!$F$156*(0.5*AJ19+0.5*AJ23*Inputs!$F$150/AJ11)*Time!AJ25/12*Inputs!$F$39</f>
        <v/>
      </c>
      <c r="AK61" s="11">
        <f>Inputs!$F$156*(0.5*AK19+0.5*AK23*Inputs!$F$150/AK11)*Time!AK25/12*Inputs!$F$39</f>
        <v/>
      </c>
      <c r="AL61" s="11">
        <f>Inputs!$F$156*(0.5*AL19+0.5*AL23*Inputs!$F$150/AL11)*Time!AL25/12*Inputs!$F$39</f>
        <v/>
      </c>
      <c r="AM61" s="11">
        <f>Inputs!$F$156*(0.5*AM19+0.5*AM23*Inputs!$F$150/AM11)*Time!AM25/12*Inputs!$F$39</f>
        <v/>
      </c>
      <c r="AN61" s="11">
        <f>Inputs!$F$156*(0.5*AN19+0.5*AN23*Inputs!$F$150/AN11)*Time!AN25/12*Inputs!$F$39</f>
        <v/>
      </c>
      <c r="AO61" s="11">
        <f>Inputs!$F$156*(0.5*AO19+0.5*AO23*Inputs!$F$150/AO11)*Time!AO25/12*Inputs!$F$39</f>
        <v/>
      </c>
      <c r="AP61" s="11">
        <f>Inputs!$F$156*(0.5*AP19+0.5*AP23*Inputs!$F$150/AP11)*Time!AP25/12*Inputs!$F$39</f>
        <v/>
      </c>
      <c r="AQ61" s="11">
        <f>Inputs!$F$156*(0.5*AQ19+0.5*AQ23*Inputs!$F$150/AQ11)*Time!AQ25/12*Inputs!$F$39</f>
        <v/>
      </c>
      <c r="AR61" s="11">
        <f>Inputs!$F$156*(0.5*AR19+0.5*AR23*Inputs!$F$150/AR11)*Time!AR25/12*Inputs!$F$39</f>
        <v/>
      </c>
      <c r="AS61" s="11">
        <f>Inputs!$F$156*(0.5*AS19+0.5*AS23*Inputs!$F$150/AS11)*Time!AS25/12*Inputs!$F$39</f>
        <v/>
      </c>
      <c r="AT61" s="11">
        <f>Inputs!$F$156*(0.5*AT19+0.5*AT23*Inputs!$F$150/AT11)*Time!AT25/12*Inputs!$F$39</f>
        <v/>
      </c>
      <c r="AU61" s="11">
        <f>Inputs!$F$156*(0.5*AU19+0.5*AU23*Inputs!$F$150/AU11)*Time!AU25/12*Inputs!$F$39</f>
        <v/>
      </c>
      <c r="AV61" s="11">
        <f>Inputs!$F$156*(0.5*AV19+0.5*AV23*Inputs!$F$150/AV11)*Time!AV25/12*Inputs!$F$39</f>
        <v/>
      </c>
      <c r="AW61" s="11">
        <f>Inputs!$F$156*(0.5*AW19+0.5*AW23*Inputs!$F$150/AW11)*Time!AW25/12*Inputs!$F$39</f>
        <v/>
      </c>
      <c r="AX61" s="11">
        <f>Inputs!$F$156*(0.5*AX19+0.5*AX23*Inputs!$F$150/AX11)*Time!AX25/12*Inputs!$F$39</f>
        <v/>
      </c>
      <c r="AY61" s="11">
        <f>Inputs!$F$156*(0.5*AY19+0.5*AY23*Inputs!$F$150/AY11)*Time!AY25/12*Inputs!$F$39</f>
        <v/>
      </c>
      <c r="AZ61" s="11">
        <f>Inputs!$F$156*(0.5*AZ19+0.5*AZ23*Inputs!$F$150/AZ11)*Time!AZ25/12*Inputs!$F$39</f>
        <v/>
      </c>
      <c r="BA61" s="11">
        <f>Inputs!$F$156*(0.5*BA19+0.5*BA23*Inputs!$F$150/BA11)*Time!BA25/12*Inputs!$F$39</f>
        <v/>
      </c>
      <c r="BB61" s="11">
        <f>Inputs!$F$156*(0.5*BB19+0.5*BB23*Inputs!$F$150/BB11)*Time!BB25/12*Inputs!$F$39</f>
        <v/>
      </c>
      <c r="BC61" s="11">
        <f>Inputs!$F$156*(0.5*BC19+0.5*BC23*Inputs!$F$150/BC11)*Time!BC25/12*Inputs!$F$39</f>
        <v/>
      </c>
      <c r="BD61" s="11">
        <f>Inputs!$F$156*(0.5*BD19+0.5*BD23*Inputs!$F$150/BD11)*Time!BD25/12*Inputs!$F$39</f>
        <v/>
      </c>
      <c r="BE61" s="11">
        <f>Inputs!$F$156*(0.5*BE19+0.5*BE23*Inputs!$F$150/BE11)*Time!BE25/12*Inputs!$F$39</f>
        <v/>
      </c>
      <c r="BF61" s="11">
        <f>Inputs!$F$156*(0.5*BF19+0.5*BF23*Inputs!$F$150/BF11)*Time!BF25/12*Inputs!$F$39</f>
        <v/>
      </c>
      <c r="BG61" s="11">
        <f>Inputs!$F$156*(0.5*BG19+0.5*BG23*Inputs!$F$150/BG11)*Time!BG25/12*Inputs!$F$39</f>
        <v/>
      </c>
      <c r="BH61" s="11">
        <f>Inputs!$F$156*(0.5*BH19+0.5*BH23*Inputs!$F$150/BH11)*Time!BH25/12*Inputs!$F$39</f>
        <v/>
      </c>
      <c r="BI61" s="11">
        <f>Inputs!$F$156*(0.5*BI19+0.5*BI23*Inputs!$F$150/BI11)*Time!BI25/12*Inputs!$F$39</f>
        <v/>
      </c>
      <c r="BJ61" s="11">
        <f>Inputs!$F$156*(0.5*BJ19+0.5*BJ23*Inputs!$F$150/BJ11)*Time!BJ25/12*Inputs!$F$39</f>
        <v/>
      </c>
      <c r="BK61" s="11">
        <f>Inputs!$F$156*(0.5*BK19+0.5*BK23*Inputs!$F$150/BK11)*Time!BK25/12*Inputs!$F$39</f>
        <v/>
      </c>
      <c r="BL61" s="11">
        <f>Inputs!$F$156*(0.5*BL19+0.5*BL23*Inputs!$F$150/BL11)*Time!BL25/12*Inputs!$F$39</f>
        <v/>
      </c>
      <c r="BM61" s="11">
        <f>Inputs!$F$156*(0.5*BM19+0.5*BM23*Inputs!$F$150/BM11)*Time!BM25/12*Inputs!$F$39</f>
        <v/>
      </c>
      <c r="BN61" s="11">
        <f>Inputs!$F$156*(0.5*BN19+0.5*BN23*Inputs!$F$150/BN11)*Time!BN25/12*Inputs!$F$39</f>
        <v/>
      </c>
    </row>
    <row r="62">
      <c r="D62" t="inlineStr">
        <is>
          <t>Land lease and permits</t>
        </is>
      </c>
      <c r="E62" t="inlineStr">
        <is>
          <t>USD m</t>
        </is>
      </c>
      <c r="G62" s="11">
        <f>SUM(J62:BN62)</f>
        <v/>
      </c>
      <c r="J62" s="11">
        <f>Inputs!$F$157*J23/J11*Time!J25/12*Inputs!$F$39</f>
        <v/>
      </c>
      <c r="K62" s="11">
        <f>Inputs!$F$157*K23/K11*Time!K25/12*Inputs!$F$39</f>
        <v/>
      </c>
      <c r="L62" s="11">
        <f>Inputs!$F$157*L23/L11*Time!L25/12*Inputs!$F$39</f>
        <v/>
      </c>
      <c r="M62" s="11">
        <f>Inputs!$F$157*M23/M11*Time!M25/12*Inputs!$F$39</f>
        <v/>
      </c>
      <c r="N62" s="11">
        <f>Inputs!$F$157*N23/N11*Time!N25/12*Inputs!$F$39</f>
        <v/>
      </c>
      <c r="O62" s="11">
        <f>Inputs!$F$157*O23/O11*Time!O25/12*Inputs!$F$39</f>
        <v/>
      </c>
      <c r="P62" s="11">
        <f>Inputs!$F$157*P23/P11*Time!P25/12*Inputs!$F$39</f>
        <v/>
      </c>
      <c r="Q62" s="11">
        <f>Inputs!$F$157*Q23/Q11*Time!Q25/12*Inputs!$F$39</f>
        <v/>
      </c>
      <c r="R62" s="11">
        <f>Inputs!$F$157*R23/R11*Time!R25/12*Inputs!$F$39</f>
        <v/>
      </c>
      <c r="S62" s="11">
        <f>Inputs!$F$157*S23/S11*Time!S25/12*Inputs!$F$39</f>
        <v/>
      </c>
      <c r="T62" s="11">
        <f>Inputs!$F$157*T23/T11*Time!T25/12*Inputs!$F$39</f>
        <v/>
      </c>
      <c r="U62" s="11">
        <f>Inputs!$F$157*U23/U11*Time!U25/12*Inputs!$F$39</f>
        <v/>
      </c>
      <c r="V62" s="11">
        <f>Inputs!$F$157*V23/V11*Time!V25/12*Inputs!$F$39</f>
        <v/>
      </c>
      <c r="W62" s="11">
        <f>Inputs!$F$157*W23/W11*Time!W25/12*Inputs!$F$39</f>
        <v/>
      </c>
      <c r="X62" s="11">
        <f>Inputs!$F$157*X23/X11*Time!X25/12*Inputs!$F$39</f>
        <v/>
      </c>
      <c r="Y62" s="11">
        <f>Inputs!$F$157*Y23/Y11*Time!Y25/12*Inputs!$F$39</f>
        <v/>
      </c>
      <c r="Z62" s="11">
        <f>Inputs!$F$157*Z23/Z11*Time!Z25/12*Inputs!$F$39</f>
        <v/>
      </c>
      <c r="AA62" s="11">
        <f>Inputs!$F$157*AA23/AA11*Time!AA25/12*Inputs!$F$39</f>
        <v/>
      </c>
      <c r="AB62" s="11">
        <f>Inputs!$F$157*AB23/AB11*Time!AB25/12*Inputs!$F$39</f>
        <v/>
      </c>
      <c r="AC62" s="11">
        <f>Inputs!$F$157*AC23/AC11*Time!AC25/12*Inputs!$F$39</f>
        <v/>
      </c>
      <c r="AD62" s="11">
        <f>Inputs!$F$157*AD23/AD11*Time!AD25/12*Inputs!$F$39</f>
        <v/>
      </c>
      <c r="AE62" s="11">
        <f>Inputs!$F$157*AE23/AE11*Time!AE25/12*Inputs!$F$39</f>
        <v/>
      </c>
      <c r="AF62" s="11">
        <f>Inputs!$F$157*AF23/AF11*Time!AF25/12*Inputs!$F$39</f>
        <v/>
      </c>
      <c r="AG62" s="11">
        <f>Inputs!$F$157*AG23/AG11*Time!AG25/12*Inputs!$F$39</f>
        <v/>
      </c>
      <c r="AH62" s="11">
        <f>Inputs!$F$157*AH23/AH11*Time!AH25/12*Inputs!$F$39</f>
        <v/>
      </c>
      <c r="AI62" s="11">
        <f>Inputs!$F$157*AI23/AI11*Time!AI25/12*Inputs!$F$39</f>
        <v/>
      </c>
      <c r="AJ62" s="11">
        <f>Inputs!$F$157*AJ23/AJ11*Time!AJ25/12*Inputs!$F$39</f>
        <v/>
      </c>
      <c r="AK62" s="11">
        <f>Inputs!$F$157*AK23/AK11*Time!AK25/12*Inputs!$F$39</f>
        <v/>
      </c>
      <c r="AL62" s="11">
        <f>Inputs!$F$157*AL23/AL11*Time!AL25/12*Inputs!$F$39</f>
        <v/>
      </c>
      <c r="AM62" s="11">
        <f>Inputs!$F$157*AM23/AM11*Time!AM25/12*Inputs!$F$39</f>
        <v/>
      </c>
      <c r="AN62" s="11">
        <f>Inputs!$F$157*AN23/AN11*Time!AN25/12*Inputs!$F$39</f>
        <v/>
      </c>
      <c r="AO62" s="11">
        <f>Inputs!$F$157*AO23/AO11*Time!AO25/12*Inputs!$F$39</f>
        <v/>
      </c>
      <c r="AP62" s="11">
        <f>Inputs!$F$157*AP23/AP11*Time!AP25/12*Inputs!$F$39</f>
        <v/>
      </c>
      <c r="AQ62" s="11">
        <f>Inputs!$F$157*AQ23/AQ11*Time!AQ25/12*Inputs!$F$39</f>
        <v/>
      </c>
      <c r="AR62" s="11">
        <f>Inputs!$F$157*AR23/AR11*Time!AR25/12*Inputs!$F$39</f>
        <v/>
      </c>
      <c r="AS62" s="11">
        <f>Inputs!$F$157*AS23/AS11*Time!AS25/12*Inputs!$F$39</f>
        <v/>
      </c>
      <c r="AT62" s="11">
        <f>Inputs!$F$157*AT23/AT11*Time!AT25/12*Inputs!$F$39</f>
        <v/>
      </c>
      <c r="AU62" s="11">
        <f>Inputs!$F$157*AU23/AU11*Time!AU25/12*Inputs!$F$39</f>
        <v/>
      </c>
      <c r="AV62" s="11">
        <f>Inputs!$F$157*AV23/AV11*Time!AV25/12*Inputs!$F$39</f>
        <v/>
      </c>
      <c r="AW62" s="11">
        <f>Inputs!$F$157*AW23/AW11*Time!AW25/12*Inputs!$F$39</f>
        <v/>
      </c>
      <c r="AX62" s="11">
        <f>Inputs!$F$157*AX23/AX11*Time!AX25/12*Inputs!$F$39</f>
        <v/>
      </c>
      <c r="AY62" s="11">
        <f>Inputs!$F$157*AY23/AY11*Time!AY25/12*Inputs!$F$39</f>
        <v/>
      </c>
      <c r="AZ62" s="11">
        <f>Inputs!$F$157*AZ23/AZ11*Time!AZ25/12*Inputs!$F$39</f>
        <v/>
      </c>
      <c r="BA62" s="11">
        <f>Inputs!$F$157*BA23/BA11*Time!BA25/12*Inputs!$F$39</f>
        <v/>
      </c>
      <c r="BB62" s="11">
        <f>Inputs!$F$157*BB23/BB11*Time!BB25/12*Inputs!$F$39</f>
        <v/>
      </c>
      <c r="BC62" s="11">
        <f>Inputs!$F$157*BC23/BC11*Time!BC25/12*Inputs!$F$39</f>
        <v/>
      </c>
      <c r="BD62" s="11">
        <f>Inputs!$F$157*BD23/BD11*Time!BD25/12*Inputs!$F$39</f>
        <v/>
      </c>
      <c r="BE62" s="11">
        <f>Inputs!$F$157*BE23/BE11*Time!BE25/12*Inputs!$F$39</f>
        <v/>
      </c>
      <c r="BF62" s="11">
        <f>Inputs!$F$157*BF23/BF11*Time!BF25/12*Inputs!$F$39</f>
        <v/>
      </c>
      <c r="BG62" s="11">
        <f>Inputs!$F$157*BG23/BG11*Time!BG25/12*Inputs!$F$39</f>
        <v/>
      </c>
      <c r="BH62" s="11">
        <f>Inputs!$F$157*BH23/BH11*Time!BH25/12*Inputs!$F$39</f>
        <v/>
      </c>
      <c r="BI62" s="11">
        <f>Inputs!$F$157*BI23/BI11*Time!BI25/12*Inputs!$F$39</f>
        <v/>
      </c>
      <c r="BJ62" s="11">
        <f>Inputs!$F$157*BJ23/BJ11*Time!BJ25/12*Inputs!$F$39</f>
        <v/>
      </c>
      <c r="BK62" s="11">
        <f>Inputs!$F$157*BK23/BK11*Time!BK25/12*Inputs!$F$39</f>
        <v/>
      </c>
      <c r="BL62" s="11">
        <f>Inputs!$F$157*BL23/BL11*Time!BL25/12*Inputs!$F$39</f>
        <v/>
      </c>
      <c r="BM62" s="11">
        <f>Inputs!$F$157*BM23/BM11*Time!BM25/12*Inputs!$F$39</f>
        <v/>
      </c>
      <c r="BN62" s="11">
        <f>Inputs!$F$157*BN23/BN11*Time!BN25/12*Inputs!$F$39</f>
        <v/>
      </c>
    </row>
    <row r="63">
      <c r="D63" t="inlineStr">
        <is>
          <t>Community fund and OREK levy</t>
        </is>
      </c>
      <c r="E63" t="inlineStr">
        <is>
          <t>USD m</t>
        </is>
      </c>
      <c r="G63" s="11">
        <f>SUM(J63:BN63)</f>
        <v/>
      </c>
      <c r="J63" s="11">
        <f>Inputs!$F$158/100*J50</f>
        <v/>
      </c>
      <c r="K63" s="11">
        <f>Inputs!$F$158/100*K50</f>
        <v/>
      </c>
      <c r="L63" s="11">
        <f>Inputs!$F$158/100*L50</f>
        <v/>
      </c>
      <c r="M63" s="11">
        <f>Inputs!$F$158/100*M50</f>
        <v/>
      </c>
      <c r="N63" s="11">
        <f>Inputs!$F$158/100*N50</f>
        <v/>
      </c>
      <c r="O63" s="11">
        <f>Inputs!$F$158/100*O50</f>
        <v/>
      </c>
      <c r="P63" s="11">
        <f>Inputs!$F$158/100*P50</f>
        <v/>
      </c>
      <c r="Q63" s="11">
        <f>Inputs!$F$158/100*Q50</f>
        <v/>
      </c>
      <c r="R63" s="11">
        <f>Inputs!$F$158/100*R50</f>
        <v/>
      </c>
      <c r="S63" s="11">
        <f>Inputs!$F$158/100*S50</f>
        <v/>
      </c>
      <c r="T63" s="11">
        <f>Inputs!$F$158/100*T50</f>
        <v/>
      </c>
      <c r="U63" s="11">
        <f>Inputs!$F$158/100*U50</f>
        <v/>
      </c>
      <c r="V63" s="11">
        <f>Inputs!$F$158/100*V50</f>
        <v/>
      </c>
      <c r="W63" s="11">
        <f>Inputs!$F$158/100*W50</f>
        <v/>
      </c>
      <c r="X63" s="11">
        <f>Inputs!$F$158/100*X50</f>
        <v/>
      </c>
      <c r="Y63" s="11">
        <f>Inputs!$F$158/100*Y50</f>
        <v/>
      </c>
      <c r="Z63" s="11">
        <f>Inputs!$F$158/100*Z50</f>
        <v/>
      </c>
      <c r="AA63" s="11">
        <f>Inputs!$F$158/100*AA50</f>
        <v/>
      </c>
      <c r="AB63" s="11">
        <f>Inputs!$F$158/100*AB50</f>
        <v/>
      </c>
      <c r="AC63" s="11">
        <f>Inputs!$F$158/100*AC50</f>
        <v/>
      </c>
      <c r="AD63" s="11">
        <f>Inputs!$F$158/100*AD50</f>
        <v/>
      </c>
      <c r="AE63" s="11">
        <f>Inputs!$F$158/100*AE50</f>
        <v/>
      </c>
      <c r="AF63" s="11">
        <f>Inputs!$F$158/100*AF50</f>
        <v/>
      </c>
      <c r="AG63" s="11">
        <f>Inputs!$F$158/100*AG50</f>
        <v/>
      </c>
      <c r="AH63" s="11">
        <f>Inputs!$F$158/100*AH50</f>
        <v/>
      </c>
      <c r="AI63" s="11">
        <f>Inputs!$F$158/100*AI50</f>
        <v/>
      </c>
      <c r="AJ63" s="11">
        <f>Inputs!$F$158/100*AJ50</f>
        <v/>
      </c>
      <c r="AK63" s="11">
        <f>Inputs!$F$158/100*AK50</f>
        <v/>
      </c>
      <c r="AL63" s="11">
        <f>Inputs!$F$158/100*AL50</f>
        <v/>
      </c>
      <c r="AM63" s="11">
        <f>Inputs!$F$158/100*AM50</f>
        <v/>
      </c>
      <c r="AN63" s="11">
        <f>Inputs!$F$158/100*AN50</f>
        <v/>
      </c>
      <c r="AO63" s="11">
        <f>Inputs!$F$158/100*AO50</f>
        <v/>
      </c>
      <c r="AP63" s="11">
        <f>Inputs!$F$158/100*AP50</f>
        <v/>
      </c>
      <c r="AQ63" s="11">
        <f>Inputs!$F$158/100*AQ50</f>
        <v/>
      </c>
      <c r="AR63" s="11">
        <f>Inputs!$F$158/100*AR50</f>
        <v/>
      </c>
      <c r="AS63" s="11">
        <f>Inputs!$F$158/100*AS50</f>
        <v/>
      </c>
      <c r="AT63" s="11">
        <f>Inputs!$F$158/100*AT50</f>
        <v/>
      </c>
      <c r="AU63" s="11">
        <f>Inputs!$F$158/100*AU50</f>
        <v/>
      </c>
      <c r="AV63" s="11">
        <f>Inputs!$F$158/100*AV50</f>
        <v/>
      </c>
      <c r="AW63" s="11">
        <f>Inputs!$F$158/100*AW50</f>
        <v/>
      </c>
      <c r="AX63" s="11">
        <f>Inputs!$F$158/100*AX50</f>
        <v/>
      </c>
      <c r="AY63" s="11">
        <f>Inputs!$F$158/100*AY50</f>
        <v/>
      </c>
      <c r="AZ63" s="11">
        <f>Inputs!$F$158/100*AZ50</f>
        <v/>
      </c>
      <c r="BA63" s="11">
        <f>Inputs!$F$158/100*BA50</f>
        <v/>
      </c>
      <c r="BB63" s="11">
        <f>Inputs!$F$158/100*BB50</f>
        <v/>
      </c>
      <c r="BC63" s="11">
        <f>Inputs!$F$158/100*BC50</f>
        <v/>
      </c>
      <c r="BD63" s="11">
        <f>Inputs!$F$158/100*BD50</f>
        <v/>
      </c>
      <c r="BE63" s="11">
        <f>Inputs!$F$158/100*BE50</f>
        <v/>
      </c>
      <c r="BF63" s="11">
        <f>Inputs!$F$158/100*BF50</f>
        <v/>
      </c>
      <c r="BG63" s="11">
        <f>Inputs!$F$158/100*BG50</f>
        <v/>
      </c>
      <c r="BH63" s="11">
        <f>Inputs!$F$158/100*BH50</f>
        <v/>
      </c>
      <c r="BI63" s="11">
        <f>Inputs!$F$158/100*BI50</f>
        <v/>
      </c>
      <c r="BJ63" s="11">
        <f>Inputs!$F$158/100*BJ50</f>
        <v/>
      </c>
      <c r="BK63" s="11">
        <f>Inputs!$F$158/100*BK50</f>
        <v/>
      </c>
      <c r="BL63" s="11">
        <f>Inputs!$F$158/100*BL50</f>
        <v/>
      </c>
      <c r="BM63" s="11">
        <f>Inputs!$F$158/100*BM50</f>
        <v/>
      </c>
      <c r="BN63" s="11">
        <f>Inputs!$F$158/100*BN50</f>
        <v/>
      </c>
    </row>
    <row r="64">
      <c r="D64" t="inlineStr">
        <is>
          <t>Variable consumables</t>
        </is>
      </c>
      <c r="E64" t="inlineStr">
        <is>
          <t>USD m</t>
        </is>
      </c>
      <c r="G64" s="11">
        <f>SUM(J64:BN64)</f>
        <v/>
      </c>
      <c r="J64" s="11">
        <f>Inputs!$F$159*(0.7*J19+0.3*J23*Inputs!$F$150/J11)*J33/1000000</f>
        <v/>
      </c>
      <c r="K64" s="11">
        <f>Inputs!$F$159*(0.7*K19+0.3*K23*Inputs!$F$150/K11)*K33/1000000</f>
        <v/>
      </c>
      <c r="L64" s="11">
        <f>Inputs!$F$159*(0.7*L19+0.3*L23*Inputs!$F$150/L11)*L33/1000000</f>
        <v/>
      </c>
      <c r="M64" s="11">
        <f>Inputs!$F$159*(0.7*M19+0.3*M23*Inputs!$F$150/M11)*M33/1000000</f>
        <v/>
      </c>
      <c r="N64" s="11">
        <f>Inputs!$F$159*(0.7*N19+0.3*N23*Inputs!$F$150/N11)*N33/1000000</f>
        <v/>
      </c>
      <c r="O64" s="11">
        <f>Inputs!$F$159*(0.7*O19+0.3*O23*Inputs!$F$150/O11)*O33/1000000</f>
        <v/>
      </c>
      <c r="P64" s="11">
        <f>Inputs!$F$159*(0.7*P19+0.3*P23*Inputs!$F$150/P11)*P33/1000000</f>
        <v/>
      </c>
      <c r="Q64" s="11">
        <f>Inputs!$F$159*(0.7*Q19+0.3*Q23*Inputs!$F$150/Q11)*Q33/1000000</f>
        <v/>
      </c>
      <c r="R64" s="11">
        <f>Inputs!$F$159*(0.7*R19+0.3*R23*Inputs!$F$150/R11)*R33/1000000</f>
        <v/>
      </c>
      <c r="S64" s="11">
        <f>Inputs!$F$159*(0.7*S19+0.3*S23*Inputs!$F$150/S11)*S33/1000000</f>
        <v/>
      </c>
      <c r="T64" s="11">
        <f>Inputs!$F$159*(0.7*T19+0.3*T23*Inputs!$F$150/T11)*T33/1000000</f>
        <v/>
      </c>
      <c r="U64" s="11">
        <f>Inputs!$F$159*(0.7*U19+0.3*U23*Inputs!$F$150/U11)*U33/1000000</f>
        <v/>
      </c>
      <c r="V64" s="11">
        <f>Inputs!$F$159*(0.7*V19+0.3*V23*Inputs!$F$150/V11)*V33/1000000</f>
        <v/>
      </c>
      <c r="W64" s="11">
        <f>Inputs!$F$159*(0.7*W19+0.3*W23*Inputs!$F$150/W11)*W33/1000000</f>
        <v/>
      </c>
      <c r="X64" s="11">
        <f>Inputs!$F$159*(0.7*X19+0.3*X23*Inputs!$F$150/X11)*X33/1000000</f>
        <v/>
      </c>
      <c r="Y64" s="11">
        <f>Inputs!$F$159*(0.7*Y19+0.3*Y23*Inputs!$F$150/Y11)*Y33/1000000</f>
        <v/>
      </c>
      <c r="Z64" s="11">
        <f>Inputs!$F$159*(0.7*Z19+0.3*Z23*Inputs!$F$150/Z11)*Z33/1000000</f>
        <v/>
      </c>
      <c r="AA64" s="11">
        <f>Inputs!$F$159*(0.7*AA19+0.3*AA23*Inputs!$F$150/AA11)*AA33/1000000</f>
        <v/>
      </c>
      <c r="AB64" s="11">
        <f>Inputs!$F$159*(0.7*AB19+0.3*AB23*Inputs!$F$150/AB11)*AB33/1000000</f>
        <v/>
      </c>
      <c r="AC64" s="11">
        <f>Inputs!$F$159*(0.7*AC19+0.3*AC23*Inputs!$F$150/AC11)*AC33/1000000</f>
        <v/>
      </c>
      <c r="AD64" s="11">
        <f>Inputs!$F$159*(0.7*AD19+0.3*AD23*Inputs!$F$150/AD11)*AD33/1000000</f>
        <v/>
      </c>
      <c r="AE64" s="11">
        <f>Inputs!$F$159*(0.7*AE19+0.3*AE23*Inputs!$F$150/AE11)*AE33/1000000</f>
        <v/>
      </c>
      <c r="AF64" s="11">
        <f>Inputs!$F$159*(0.7*AF19+0.3*AF23*Inputs!$F$150/AF11)*AF33/1000000</f>
        <v/>
      </c>
      <c r="AG64" s="11">
        <f>Inputs!$F$159*(0.7*AG19+0.3*AG23*Inputs!$F$150/AG11)*AG33/1000000</f>
        <v/>
      </c>
      <c r="AH64" s="11">
        <f>Inputs!$F$159*(0.7*AH19+0.3*AH23*Inputs!$F$150/AH11)*AH33/1000000</f>
        <v/>
      </c>
      <c r="AI64" s="11">
        <f>Inputs!$F$159*(0.7*AI19+0.3*AI23*Inputs!$F$150/AI11)*AI33/1000000</f>
        <v/>
      </c>
      <c r="AJ64" s="11">
        <f>Inputs!$F$159*(0.7*AJ19+0.3*AJ23*Inputs!$F$150/AJ11)*AJ33/1000000</f>
        <v/>
      </c>
      <c r="AK64" s="11">
        <f>Inputs!$F$159*(0.7*AK19+0.3*AK23*Inputs!$F$150/AK11)*AK33/1000000</f>
        <v/>
      </c>
      <c r="AL64" s="11">
        <f>Inputs!$F$159*(0.7*AL19+0.3*AL23*Inputs!$F$150/AL11)*AL33/1000000</f>
        <v/>
      </c>
      <c r="AM64" s="11">
        <f>Inputs!$F$159*(0.7*AM19+0.3*AM23*Inputs!$F$150/AM11)*AM33/1000000</f>
        <v/>
      </c>
      <c r="AN64" s="11">
        <f>Inputs!$F$159*(0.7*AN19+0.3*AN23*Inputs!$F$150/AN11)*AN33/1000000</f>
        <v/>
      </c>
      <c r="AO64" s="11">
        <f>Inputs!$F$159*(0.7*AO19+0.3*AO23*Inputs!$F$150/AO11)*AO33/1000000</f>
        <v/>
      </c>
      <c r="AP64" s="11">
        <f>Inputs!$F$159*(0.7*AP19+0.3*AP23*Inputs!$F$150/AP11)*AP33/1000000</f>
        <v/>
      </c>
      <c r="AQ64" s="11">
        <f>Inputs!$F$159*(0.7*AQ19+0.3*AQ23*Inputs!$F$150/AQ11)*AQ33/1000000</f>
        <v/>
      </c>
      <c r="AR64" s="11">
        <f>Inputs!$F$159*(0.7*AR19+0.3*AR23*Inputs!$F$150/AR11)*AR33/1000000</f>
        <v/>
      </c>
      <c r="AS64" s="11">
        <f>Inputs!$F$159*(0.7*AS19+0.3*AS23*Inputs!$F$150/AS11)*AS33/1000000</f>
        <v/>
      </c>
      <c r="AT64" s="11">
        <f>Inputs!$F$159*(0.7*AT19+0.3*AT23*Inputs!$F$150/AT11)*AT33/1000000</f>
        <v/>
      </c>
      <c r="AU64" s="11">
        <f>Inputs!$F$159*(0.7*AU19+0.3*AU23*Inputs!$F$150/AU11)*AU33/1000000</f>
        <v/>
      </c>
      <c r="AV64" s="11">
        <f>Inputs!$F$159*(0.7*AV19+0.3*AV23*Inputs!$F$150/AV11)*AV33/1000000</f>
        <v/>
      </c>
      <c r="AW64" s="11">
        <f>Inputs!$F$159*(0.7*AW19+0.3*AW23*Inputs!$F$150/AW11)*AW33/1000000</f>
        <v/>
      </c>
      <c r="AX64" s="11">
        <f>Inputs!$F$159*(0.7*AX19+0.3*AX23*Inputs!$F$150/AX11)*AX33/1000000</f>
        <v/>
      </c>
      <c r="AY64" s="11">
        <f>Inputs!$F$159*(0.7*AY19+0.3*AY23*Inputs!$F$150/AY11)*AY33/1000000</f>
        <v/>
      </c>
      <c r="AZ64" s="11">
        <f>Inputs!$F$159*(0.7*AZ19+0.3*AZ23*Inputs!$F$150/AZ11)*AZ33/1000000</f>
        <v/>
      </c>
      <c r="BA64" s="11">
        <f>Inputs!$F$159*(0.7*BA19+0.3*BA23*Inputs!$F$150/BA11)*BA33/1000000</f>
        <v/>
      </c>
      <c r="BB64" s="11">
        <f>Inputs!$F$159*(0.7*BB19+0.3*BB23*Inputs!$F$150/BB11)*BB33/1000000</f>
        <v/>
      </c>
      <c r="BC64" s="11">
        <f>Inputs!$F$159*(0.7*BC19+0.3*BC23*Inputs!$F$150/BC11)*BC33/1000000</f>
        <v/>
      </c>
      <c r="BD64" s="11">
        <f>Inputs!$F$159*(0.7*BD19+0.3*BD23*Inputs!$F$150/BD11)*BD33/1000000</f>
        <v/>
      </c>
      <c r="BE64" s="11">
        <f>Inputs!$F$159*(0.7*BE19+0.3*BE23*Inputs!$F$150/BE11)*BE33/1000000</f>
        <v/>
      </c>
      <c r="BF64" s="11">
        <f>Inputs!$F$159*(0.7*BF19+0.3*BF23*Inputs!$F$150/BF11)*BF33/1000000</f>
        <v/>
      </c>
      <c r="BG64" s="11">
        <f>Inputs!$F$159*(0.7*BG19+0.3*BG23*Inputs!$F$150/BG11)*BG33/1000000</f>
        <v/>
      </c>
      <c r="BH64" s="11">
        <f>Inputs!$F$159*(0.7*BH19+0.3*BH23*Inputs!$F$150/BH11)*BH33/1000000</f>
        <v/>
      </c>
      <c r="BI64" s="11">
        <f>Inputs!$F$159*(0.7*BI19+0.3*BI23*Inputs!$F$150/BI11)*BI33/1000000</f>
        <v/>
      </c>
      <c r="BJ64" s="11">
        <f>Inputs!$F$159*(0.7*BJ19+0.3*BJ23*Inputs!$F$150/BJ11)*BJ33/1000000</f>
        <v/>
      </c>
      <c r="BK64" s="11">
        <f>Inputs!$F$159*(0.7*BK19+0.3*BK23*Inputs!$F$150/BK11)*BK33/1000000</f>
        <v/>
      </c>
      <c r="BL64" s="11">
        <f>Inputs!$F$159*(0.7*BL19+0.3*BL23*Inputs!$F$150/BL11)*BL33/1000000</f>
        <v/>
      </c>
      <c r="BM64" s="11">
        <f>Inputs!$F$159*(0.7*BM19+0.3*BM23*Inputs!$F$150/BM11)*BM33/1000000</f>
        <v/>
      </c>
      <c r="BN64" s="11">
        <f>Inputs!$F$159*(0.7*BN19+0.3*BN23*Inputs!$F$150/BN11)*BN33/1000000</f>
        <v/>
      </c>
    </row>
    <row r="65">
      <c r="D65" t="inlineStr">
        <is>
          <t>Agency and account fees</t>
        </is>
      </c>
      <c r="E65" t="inlineStr">
        <is>
          <t>USD m</t>
        </is>
      </c>
      <c r="G65" s="11">
        <f>SUM(J65:BN65)</f>
        <v/>
      </c>
      <c r="J65" s="11">
        <f>Inputs!$F$105*Time!J25/12</f>
        <v/>
      </c>
      <c r="K65" s="11">
        <f>Inputs!$F$105*Time!K25/12</f>
        <v/>
      </c>
      <c r="L65" s="11">
        <f>Inputs!$F$105*Time!L25/12</f>
        <v/>
      </c>
      <c r="M65" s="11">
        <f>Inputs!$F$105*Time!M25/12</f>
        <v/>
      </c>
      <c r="N65" s="11">
        <f>Inputs!$F$105*Time!N25/12</f>
        <v/>
      </c>
      <c r="O65" s="11">
        <f>Inputs!$F$105*Time!O25/12</f>
        <v/>
      </c>
      <c r="P65" s="11">
        <f>Inputs!$F$105*Time!P25/12</f>
        <v/>
      </c>
      <c r="Q65" s="11">
        <f>Inputs!$F$105*Time!Q25/12</f>
        <v/>
      </c>
      <c r="R65" s="11">
        <f>Inputs!$F$105*Time!R25/12</f>
        <v/>
      </c>
      <c r="S65" s="11">
        <f>Inputs!$F$105*Time!S25/12</f>
        <v/>
      </c>
      <c r="T65" s="11">
        <f>Inputs!$F$105*Time!T25/12</f>
        <v/>
      </c>
      <c r="U65" s="11">
        <f>Inputs!$F$105*Time!U25/12</f>
        <v/>
      </c>
      <c r="V65" s="11">
        <f>Inputs!$F$105*Time!V25/12</f>
        <v/>
      </c>
      <c r="W65" s="11">
        <f>Inputs!$F$105*Time!W25/12</f>
        <v/>
      </c>
      <c r="X65" s="11">
        <f>Inputs!$F$105*Time!X25/12</f>
        <v/>
      </c>
      <c r="Y65" s="11">
        <f>Inputs!$F$105*Time!Y25/12</f>
        <v/>
      </c>
      <c r="Z65" s="11">
        <f>Inputs!$F$105*Time!Z25/12</f>
        <v/>
      </c>
      <c r="AA65" s="11">
        <f>Inputs!$F$105*Time!AA25/12</f>
        <v/>
      </c>
      <c r="AB65" s="11">
        <f>Inputs!$F$105*Time!AB25/12</f>
        <v/>
      </c>
      <c r="AC65" s="11">
        <f>Inputs!$F$105*Time!AC25/12</f>
        <v/>
      </c>
      <c r="AD65" s="11">
        <f>Inputs!$F$105*Time!AD25/12</f>
        <v/>
      </c>
      <c r="AE65" s="11">
        <f>Inputs!$F$105*Time!AE25/12</f>
        <v/>
      </c>
      <c r="AF65" s="11">
        <f>Inputs!$F$105*Time!AF25/12</f>
        <v/>
      </c>
      <c r="AG65" s="11">
        <f>Inputs!$F$105*Time!AG25/12</f>
        <v/>
      </c>
      <c r="AH65" s="11">
        <f>Inputs!$F$105*Time!AH25/12</f>
        <v/>
      </c>
      <c r="AI65" s="11">
        <f>Inputs!$F$105*Time!AI25/12</f>
        <v/>
      </c>
      <c r="AJ65" s="11">
        <f>Inputs!$F$105*Time!AJ25/12</f>
        <v/>
      </c>
      <c r="AK65" s="11">
        <f>Inputs!$F$105*Time!AK25/12</f>
        <v/>
      </c>
      <c r="AL65" s="11">
        <f>Inputs!$F$105*Time!AL25/12</f>
        <v/>
      </c>
      <c r="AM65" s="11">
        <f>Inputs!$F$105*Time!AM25/12</f>
        <v/>
      </c>
      <c r="AN65" s="11">
        <f>Inputs!$F$105*Time!AN25/12</f>
        <v/>
      </c>
      <c r="AO65" s="11">
        <f>Inputs!$F$105*Time!AO25/12</f>
        <v/>
      </c>
      <c r="AP65" s="11">
        <f>Inputs!$F$105*Time!AP25/12</f>
        <v/>
      </c>
      <c r="AQ65" s="11">
        <f>Inputs!$F$105*Time!AQ25/12</f>
        <v/>
      </c>
      <c r="AR65" s="11">
        <f>Inputs!$F$105*Time!AR25/12</f>
        <v/>
      </c>
      <c r="AS65" s="11">
        <f>Inputs!$F$105*Time!AS25/12</f>
        <v/>
      </c>
      <c r="AT65" s="11">
        <f>Inputs!$F$105*Time!AT25/12</f>
        <v/>
      </c>
      <c r="AU65" s="11">
        <f>Inputs!$F$105*Time!AU25/12</f>
        <v/>
      </c>
      <c r="AV65" s="11">
        <f>Inputs!$F$105*Time!AV25/12</f>
        <v/>
      </c>
      <c r="AW65" s="11">
        <f>Inputs!$F$105*Time!AW25/12</f>
        <v/>
      </c>
      <c r="AX65" s="11">
        <f>Inputs!$F$105*Time!AX25/12</f>
        <v/>
      </c>
      <c r="AY65" s="11">
        <f>Inputs!$F$105*Time!AY25/12</f>
        <v/>
      </c>
      <c r="AZ65" s="11">
        <f>Inputs!$F$105*Time!AZ25/12</f>
        <v/>
      </c>
      <c r="BA65" s="11">
        <f>Inputs!$F$105*Time!BA25/12</f>
        <v/>
      </c>
      <c r="BB65" s="11">
        <f>Inputs!$F$105*Time!BB25/12</f>
        <v/>
      </c>
      <c r="BC65" s="11">
        <f>Inputs!$F$105*Time!BC25/12</f>
        <v/>
      </c>
      <c r="BD65" s="11">
        <f>Inputs!$F$105*Time!BD25/12</f>
        <v/>
      </c>
      <c r="BE65" s="11">
        <f>Inputs!$F$105*Time!BE25/12</f>
        <v/>
      </c>
      <c r="BF65" s="11">
        <f>Inputs!$F$105*Time!BF25/12</f>
        <v/>
      </c>
      <c r="BG65" s="11">
        <f>Inputs!$F$105*Time!BG25/12</f>
        <v/>
      </c>
      <c r="BH65" s="11">
        <f>Inputs!$F$105*Time!BH25/12</f>
        <v/>
      </c>
      <c r="BI65" s="11">
        <f>Inputs!$F$105*Time!BI25/12</f>
        <v/>
      </c>
      <c r="BJ65" s="11">
        <f>Inputs!$F$105*Time!BJ25/12</f>
        <v/>
      </c>
      <c r="BK65" s="11">
        <f>Inputs!$F$105*Time!BK25/12</f>
        <v/>
      </c>
      <c r="BL65" s="11">
        <f>Inputs!$F$105*Time!BL25/12</f>
        <v/>
      </c>
      <c r="BM65" s="11">
        <f>Inputs!$F$105*Time!BM25/12</f>
        <v/>
      </c>
      <c r="BN65" s="11">
        <f>Inputs!$F$105*Time!BN25/12</f>
        <v/>
      </c>
    </row>
    <row r="66">
      <c r="D66" t="inlineStr">
        <is>
          <t>ABDB PRG fee</t>
        </is>
      </c>
      <c r="E66" t="inlineStr">
        <is>
          <t>USD m</t>
        </is>
      </c>
      <c r="G66" s="11">
        <f>SUM(J66:BN66)</f>
        <v/>
      </c>
      <c r="J66" s="11">
        <f>Inputs!$F$160*Time!J25/12</f>
        <v/>
      </c>
      <c r="K66" s="11">
        <f>Inputs!$F$160*Time!K25/12</f>
        <v/>
      </c>
      <c r="L66" s="11">
        <f>Inputs!$F$160*Time!L25/12</f>
        <v/>
      </c>
      <c r="M66" s="11">
        <f>Inputs!$F$160*Time!M25/12</f>
        <v/>
      </c>
      <c r="N66" s="11">
        <f>Inputs!$F$160*Time!N25/12</f>
        <v/>
      </c>
      <c r="O66" s="11">
        <f>Inputs!$F$160*Time!O25/12</f>
        <v/>
      </c>
      <c r="P66" s="11">
        <f>Inputs!$F$160*Time!P25/12</f>
        <v/>
      </c>
      <c r="Q66" s="11">
        <f>Inputs!$F$160*Time!Q25/12</f>
        <v/>
      </c>
      <c r="R66" s="11">
        <f>Inputs!$F$160*Time!R25/12</f>
        <v/>
      </c>
      <c r="S66" s="11">
        <f>Inputs!$F$160*Time!S25/12</f>
        <v/>
      </c>
      <c r="T66" s="11">
        <f>Inputs!$F$160*Time!T25/12</f>
        <v/>
      </c>
      <c r="U66" s="11">
        <f>Inputs!$F$160*Time!U25/12</f>
        <v/>
      </c>
      <c r="V66" s="11">
        <f>Inputs!$F$160*Time!V25/12</f>
        <v/>
      </c>
      <c r="W66" s="11">
        <f>Inputs!$F$160*Time!W25/12</f>
        <v/>
      </c>
      <c r="X66" s="11">
        <f>Inputs!$F$160*Time!X25/12</f>
        <v/>
      </c>
      <c r="Y66" s="11">
        <f>Inputs!$F$160*Time!Y25/12</f>
        <v/>
      </c>
      <c r="Z66" s="11">
        <f>Inputs!$F$160*Time!Z25/12</f>
        <v/>
      </c>
      <c r="AA66" s="11">
        <f>Inputs!$F$160*Time!AA25/12</f>
        <v/>
      </c>
      <c r="AB66" s="11">
        <f>Inputs!$F$160*Time!AB25/12</f>
        <v/>
      </c>
      <c r="AC66" s="11">
        <f>Inputs!$F$160*Time!AC25/12</f>
        <v/>
      </c>
      <c r="AD66" s="11">
        <f>Inputs!$F$160*Time!AD25/12</f>
        <v/>
      </c>
      <c r="AE66" s="11">
        <f>Inputs!$F$160*Time!AE25/12</f>
        <v/>
      </c>
      <c r="AF66" s="11">
        <f>Inputs!$F$160*Time!AF25/12</f>
        <v/>
      </c>
      <c r="AG66" s="11">
        <f>Inputs!$F$160*Time!AG25/12</f>
        <v/>
      </c>
      <c r="AH66" s="11">
        <f>Inputs!$F$160*Time!AH25/12</f>
        <v/>
      </c>
      <c r="AI66" s="11">
        <f>Inputs!$F$160*Time!AI25/12</f>
        <v/>
      </c>
      <c r="AJ66" s="11">
        <f>Inputs!$F$160*Time!AJ25/12</f>
        <v/>
      </c>
      <c r="AK66" s="11">
        <f>Inputs!$F$160*Time!AK25/12</f>
        <v/>
      </c>
      <c r="AL66" s="11">
        <f>Inputs!$F$160*Time!AL25/12</f>
        <v/>
      </c>
      <c r="AM66" s="11">
        <f>Inputs!$F$160*Time!AM25/12</f>
        <v/>
      </c>
      <c r="AN66" s="11">
        <f>Inputs!$F$160*Time!AN25/12</f>
        <v/>
      </c>
      <c r="AO66" s="11">
        <f>Inputs!$F$160*Time!AO25/12</f>
        <v/>
      </c>
      <c r="AP66" s="11">
        <f>Inputs!$F$160*Time!AP25/12</f>
        <v/>
      </c>
      <c r="AQ66" s="11">
        <f>Inputs!$F$160*Time!AQ25/12</f>
        <v/>
      </c>
      <c r="AR66" s="11">
        <f>Inputs!$F$160*Time!AR25/12</f>
        <v/>
      </c>
      <c r="AS66" s="11">
        <f>Inputs!$F$160*Time!AS25/12</f>
        <v/>
      </c>
      <c r="AT66" s="11">
        <f>Inputs!$F$160*Time!AT25/12</f>
        <v/>
      </c>
      <c r="AU66" s="11">
        <f>Inputs!$F$160*Time!AU25/12</f>
        <v/>
      </c>
      <c r="AV66" s="11">
        <f>Inputs!$F$160*Time!AV25/12</f>
        <v/>
      </c>
      <c r="AW66" s="11">
        <f>Inputs!$F$160*Time!AW25/12</f>
        <v/>
      </c>
      <c r="AX66" s="11">
        <f>Inputs!$F$160*Time!AX25/12</f>
        <v/>
      </c>
      <c r="AY66" s="11">
        <f>Inputs!$F$160*Time!AY25/12</f>
        <v/>
      </c>
      <c r="AZ66" s="11">
        <f>Inputs!$F$160*Time!AZ25/12</f>
        <v/>
      </c>
      <c r="BA66" s="11">
        <f>Inputs!$F$160*Time!BA25/12</f>
        <v/>
      </c>
      <c r="BB66" s="11">
        <f>Inputs!$F$160*Time!BB25/12</f>
        <v/>
      </c>
      <c r="BC66" s="11">
        <f>Inputs!$F$160*Time!BC25/12</f>
        <v/>
      </c>
      <c r="BD66" s="11">
        <f>Inputs!$F$160*Time!BD25/12</f>
        <v/>
      </c>
      <c r="BE66" s="11">
        <f>Inputs!$F$160*Time!BE25/12</f>
        <v/>
      </c>
      <c r="BF66" s="11">
        <f>Inputs!$F$160*Time!BF25/12</f>
        <v/>
      </c>
      <c r="BG66" s="11">
        <f>Inputs!$F$160*Time!BG25/12</f>
        <v/>
      </c>
      <c r="BH66" s="11">
        <f>Inputs!$F$160*Time!BH25/12</f>
        <v/>
      </c>
      <c r="BI66" s="11">
        <f>Inputs!$F$160*Time!BI25/12</f>
        <v/>
      </c>
      <c r="BJ66" s="11">
        <f>Inputs!$F$160*Time!BJ25/12</f>
        <v/>
      </c>
      <c r="BK66" s="11">
        <f>Inputs!$F$160*Time!BK25/12</f>
        <v/>
      </c>
      <c r="BL66" s="11">
        <f>Inputs!$F$160*Time!BL25/12</f>
        <v/>
      </c>
      <c r="BM66" s="11">
        <f>Inputs!$F$160*Time!BM25/12</f>
        <v/>
      </c>
      <c r="BN66" s="11">
        <f>Inputs!$F$160*Time!BN25/12</f>
        <v/>
      </c>
    </row>
    <row r="67">
      <c r="D67" t="inlineStr">
        <is>
          <t>Operating costs before pass-through items</t>
        </is>
      </c>
      <c r="E67" t="inlineStr">
        <is>
          <t>USD m</t>
        </is>
      </c>
      <c r="G67" s="11">
        <f>SUM(J67:BN67)</f>
        <v/>
      </c>
      <c r="J67" s="11">
        <f>J55+J56+J57+J59+J60+J61+J62+J63+J64+J65+J66</f>
        <v/>
      </c>
      <c r="K67" s="11">
        <f>K55+K56+K57+K59+K60+K61+K62+K63+K64+K65+K66</f>
        <v/>
      </c>
      <c r="L67" s="11">
        <f>L55+L56+L57+L59+L60+L61+L62+L63+L64+L65+L66</f>
        <v/>
      </c>
      <c r="M67" s="11">
        <f>M55+M56+M57+M59+M60+M61+M62+M63+M64+M65+M66</f>
        <v/>
      </c>
      <c r="N67" s="11">
        <f>N55+N56+N57+N59+N60+N61+N62+N63+N64+N65+N66</f>
        <v/>
      </c>
      <c r="O67" s="11">
        <f>O55+O56+O57+O59+O60+O61+O62+O63+O64+O65+O66</f>
        <v/>
      </c>
      <c r="P67" s="11">
        <f>P55+P56+P57+P59+P60+P61+P62+P63+P64+P65+P66</f>
        <v/>
      </c>
      <c r="Q67" s="11">
        <f>Q55+Q56+Q57+Q59+Q60+Q61+Q62+Q63+Q64+Q65+Q66</f>
        <v/>
      </c>
      <c r="R67" s="11">
        <f>R55+R56+R57+R59+R60+R61+R62+R63+R64+R65+R66</f>
        <v/>
      </c>
      <c r="S67" s="11">
        <f>S55+S56+S57+S59+S60+S61+S62+S63+S64+S65+S66</f>
        <v/>
      </c>
      <c r="T67" s="11">
        <f>T55+T56+T57+T59+T60+T61+T62+T63+T64+T65+T66</f>
        <v/>
      </c>
      <c r="U67" s="11">
        <f>U55+U56+U57+U59+U60+U61+U62+U63+U64+U65+U66</f>
        <v/>
      </c>
      <c r="V67" s="11">
        <f>V55+V56+V57+V59+V60+V61+V62+V63+V64+V65+V66</f>
        <v/>
      </c>
      <c r="W67" s="11">
        <f>W55+W56+W57+W59+W60+W61+W62+W63+W64+W65+W66</f>
        <v/>
      </c>
      <c r="X67" s="11">
        <f>X55+X56+X57+X59+X60+X61+X62+X63+X64+X65+X66</f>
        <v/>
      </c>
      <c r="Y67" s="11">
        <f>Y55+Y56+Y57+Y59+Y60+Y61+Y62+Y63+Y64+Y65+Y66</f>
        <v/>
      </c>
      <c r="Z67" s="11">
        <f>Z55+Z56+Z57+Z59+Z60+Z61+Z62+Z63+Z64+Z65+Z66</f>
        <v/>
      </c>
      <c r="AA67" s="11">
        <f>AA55+AA56+AA57+AA59+AA60+AA61+AA62+AA63+AA64+AA65+AA66</f>
        <v/>
      </c>
      <c r="AB67" s="11">
        <f>AB55+AB56+AB57+AB59+AB60+AB61+AB62+AB63+AB64+AB65+AB66</f>
        <v/>
      </c>
      <c r="AC67" s="11">
        <f>AC55+AC56+AC57+AC59+AC60+AC61+AC62+AC63+AC64+AC65+AC66</f>
        <v/>
      </c>
      <c r="AD67" s="11">
        <f>AD55+AD56+AD57+AD59+AD60+AD61+AD62+AD63+AD64+AD65+AD66</f>
        <v/>
      </c>
      <c r="AE67" s="11">
        <f>AE55+AE56+AE57+AE59+AE60+AE61+AE62+AE63+AE64+AE65+AE66</f>
        <v/>
      </c>
      <c r="AF67" s="11">
        <f>AF55+AF56+AF57+AF59+AF60+AF61+AF62+AF63+AF64+AF65+AF66</f>
        <v/>
      </c>
      <c r="AG67" s="11">
        <f>AG55+AG56+AG57+AG59+AG60+AG61+AG62+AG63+AG64+AG65+AG66</f>
        <v/>
      </c>
      <c r="AH67" s="11">
        <f>AH55+AH56+AH57+AH59+AH60+AH61+AH62+AH63+AH64+AH65+AH66</f>
        <v/>
      </c>
      <c r="AI67" s="11">
        <f>AI55+AI56+AI57+AI59+AI60+AI61+AI62+AI63+AI64+AI65+AI66</f>
        <v/>
      </c>
      <c r="AJ67" s="11">
        <f>AJ55+AJ56+AJ57+AJ59+AJ60+AJ61+AJ62+AJ63+AJ64+AJ65+AJ66</f>
        <v/>
      </c>
      <c r="AK67" s="11">
        <f>AK55+AK56+AK57+AK59+AK60+AK61+AK62+AK63+AK64+AK65+AK66</f>
        <v/>
      </c>
      <c r="AL67" s="11">
        <f>AL55+AL56+AL57+AL59+AL60+AL61+AL62+AL63+AL64+AL65+AL66</f>
        <v/>
      </c>
      <c r="AM67" s="11">
        <f>AM55+AM56+AM57+AM59+AM60+AM61+AM62+AM63+AM64+AM65+AM66</f>
        <v/>
      </c>
      <c r="AN67" s="11">
        <f>AN55+AN56+AN57+AN59+AN60+AN61+AN62+AN63+AN64+AN65+AN66</f>
        <v/>
      </c>
      <c r="AO67" s="11">
        <f>AO55+AO56+AO57+AO59+AO60+AO61+AO62+AO63+AO64+AO65+AO66</f>
        <v/>
      </c>
      <c r="AP67" s="11">
        <f>AP55+AP56+AP57+AP59+AP60+AP61+AP62+AP63+AP64+AP65+AP66</f>
        <v/>
      </c>
      <c r="AQ67" s="11">
        <f>AQ55+AQ56+AQ57+AQ59+AQ60+AQ61+AQ62+AQ63+AQ64+AQ65+AQ66</f>
        <v/>
      </c>
      <c r="AR67" s="11">
        <f>AR55+AR56+AR57+AR59+AR60+AR61+AR62+AR63+AR64+AR65+AR66</f>
        <v/>
      </c>
      <c r="AS67" s="11">
        <f>AS55+AS56+AS57+AS59+AS60+AS61+AS62+AS63+AS64+AS65+AS66</f>
        <v/>
      </c>
      <c r="AT67" s="11">
        <f>AT55+AT56+AT57+AT59+AT60+AT61+AT62+AT63+AT64+AT65+AT66</f>
        <v/>
      </c>
      <c r="AU67" s="11">
        <f>AU55+AU56+AU57+AU59+AU60+AU61+AU62+AU63+AU64+AU65+AU66</f>
        <v/>
      </c>
      <c r="AV67" s="11">
        <f>AV55+AV56+AV57+AV59+AV60+AV61+AV62+AV63+AV64+AV65+AV66</f>
        <v/>
      </c>
      <c r="AW67" s="11">
        <f>AW55+AW56+AW57+AW59+AW60+AW61+AW62+AW63+AW64+AW65+AW66</f>
        <v/>
      </c>
      <c r="AX67" s="11">
        <f>AX55+AX56+AX57+AX59+AX60+AX61+AX62+AX63+AX64+AX65+AX66</f>
        <v/>
      </c>
      <c r="AY67" s="11">
        <f>AY55+AY56+AY57+AY59+AY60+AY61+AY62+AY63+AY64+AY65+AY66</f>
        <v/>
      </c>
      <c r="AZ67" s="11">
        <f>AZ55+AZ56+AZ57+AZ59+AZ60+AZ61+AZ62+AZ63+AZ64+AZ65+AZ66</f>
        <v/>
      </c>
      <c r="BA67" s="11">
        <f>BA55+BA56+BA57+BA59+BA60+BA61+BA62+BA63+BA64+BA65+BA66</f>
        <v/>
      </c>
      <c r="BB67" s="11">
        <f>BB55+BB56+BB57+BB59+BB60+BB61+BB62+BB63+BB64+BB65+BB66</f>
        <v/>
      </c>
      <c r="BC67" s="11">
        <f>BC55+BC56+BC57+BC59+BC60+BC61+BC62+BC63+BC64+BC65+BC66</f>
        <v/>
      </c>
      <c r="BD67" s="11">
        <f>BD55+BD56+BD57+BD59+BD60+BD61+BD62+BD63+BD64+BD65+BD66</f>
        <v/>
      </c>
      <c r="BE67" s="11">
        <f>BE55+BE56+BE57+BE59+BE60+BE61+BE62+BE63+BE64+BE65+BE66</f>
        <v/>
      </c>
      <c r="BF67" s="11">
        <f>BF55+BF56+BF57+BF59+BF60+BF61+BF62+BF63+BF64+BF65+BF66</f>
        <v/>
      </c>
      <c r="BG67" s="11">
        <f>BG55+BG56+BG57+BG59+BG60+BG61+BG62+BG63+BG64+BG65+BG66</f>
        <v/>
      </c>
      <c r="BH67" s="11">
        <f>BH55+BH56+BH57+BH59+BH60+BH61+BH62+BH63+BH64+BH65+BH66</f>
        <v/>
      </c>
      <c r="BI67" s="11">
        <f>BI55+BI56+BI57+BI59+BI60+BI61+BI62+BI63+BI64+BI65+BI66</f>
        <v/>
      </c>
      <c r="BJ67" s="11">
        <f>BJ55+BJ56+BJ57+BJ59+BJ60+BJ61+BJ62+BJ63+BJ64+BJ65+BJ66</f>
        <v/>
      </c>
      <c r="BK67" s="11">
        <f>BK55+BK56+BK57+BK59+BK60+BK61+BK62+BK63+BK64+BK65+BK66</f>
        <v/>
      </c>
      <c r="BL67" s="11">
        <f>BL55+BL56+BL57+BL59+BL60+BL61+BL62+BL63+BL64+BL65+BL66</f>
        <v/>
      </c>
      <c r="BM67" s="11">
        <f>BM55+BM56+BM57+BM59+BM60+BM61+BM62+BM63+BM64+BM65+BM66</f>
        <v/>
      </c>
      <c r="BN67" s="11">
        <f>BN55+BN56+BN57+BN59+BN60+BN61+BN62+BN63+BN64+BN65+BN66</f>
        <v/>
      </c>
    </row>
    <row r="68">
      <c r="D68" t="inlineStr">
        <is>
          <t>Gas purchases</t>
        </is>
      </c>
      <c r="E68" t="inlineStr">
        <is>
          <t>USD m</t>
        </is>
      </c>
      <c r="G68" s="11">
        <f>SUM(J68:BN68)</f>
        <v/>
      </c>
      <c r="J68" s="11">
        <f>J37*J36/1000000</f>
        <v/>
      </c>
      <c r="K68" s="11">
        <f>K37*K36/1000000</f>
        <v/>
      </c>
      <c r="L68" s="11">
        <f>L37*L36/1000000</f>
        <v/>
      </c>
      <c r="M68" s="11">
        <f>M37*M36/1000000</f>
        <v/>
      </c>
      <c r="N68" s="11">
        <f>N37*N36/1000000</f>
        <v/>
      </c>
      <c r="O68" s="11">
        <f>O37*O36/1000000</f>
        <v/>
      </c>
      <c r="P68" s="11">
        <f>P37*P36/1000000</f>
        <v/>
      </c>
      <c r="Q68" s="11">
        <f>Q37*Q36/1000000</f>
        <v/>
      </c>
      <c r="R68" s="11">
        <f>R37*R36/1000000</f>
        <v/>
      </c>
      <c r="S68" s="11">
        <f>S37*S36/1000000</f>
        <v/>
      </c>
      <c r="T68" s="11">
        <f>T37*T36/1000000</f>
        <v/>
      </c>
      <c r="U68" s="11">
        <f>U37*U36/1000000</f>
        <v/>
      </c>
      <c r="V68" s="11">
        <f>V37*V36/1000000</f>
        <v/>
      </c>
      <c r="W68" s="11">
        <f>W37*W36/1000000</f>
        <v/>
      </c>
      <c r="X68" s="11">
        <f>X37*X36/1000000</f>
        <v/>
      </c>
      <c r="Y68" s="11">
        <f>Y37*Y36/1000000</f>
        <v/>
      </c>
      <c r="Z68" s="11">
        <f>Z37*Z36/1000000</f>
        <v/>
      </c>
      <c r="AA68" s="11">
        <f>AA37*AA36/1000000</f>
        <v/>
      </c>
      <c r="AB68" s="11">
        <f>AB37*AB36/1000000</f>
        <v/>
      </c>
      <c r="AC68" s="11">
        <f>AC37*AC36/1000000</f>
        <v/>
      </c>
      <c r="AD68" s="11">
        <f>AD37*AD36/1000000</f>
        <v/>
      </c>
      <c r="AE68" s="11">
        <f>AE37*AE36/1000000</f>
        <v/>
      </c>
      <c r="AF68" s="11">
        <f>AF37*AF36/1000000</f>
        <v/>
      </c>
      <c r="AG68" s="11">
        <f>AG37*AG36/1000000</f>
        <v/>
      </c>
      <c r="AH68" s="11">
        <f>AH37*AH36/1000000</f>
        <v/>
      </c>
      <c r="AI68" s="11">
        <f>AI37*AI36/1000000</f>
        <v/>
      </c>
      <c r="AJ68" s="11">
        <f>AJ37*AJ36/1000000</f>
        <v/>
      </c>
      <c r="AK68" s="11">
        <f>AK37*AK36/1000000</f>
        <v/>
      </c>
      <c r="AL68" s="11">
        <f>AL37*AL36/1000000</f>
        <v/>
      </c>
      <c r="AM68" s="11">
        <f>AM37*AM36/1000000</f>
        <v/>
      </c>
      <c r="AN68" s="11">
        <f>AN37*AN36/1000000</f>
        <v/>
      </c>
      <c r="AO68" s="11">
        <f>AO37*AO36/1000000</f>
        <v/>
      </c>
      <c r="AP68" s="11">
        <f>AP37*AP36/1000000</f>
        <v/>
      </c>
      <c r="AQ68" s="11">
        <f>AQ37*AQ36/1000000</f>
        <v/>
      </c>
      <c r="AR68" s="11">
        <f>AR37*AR36/1000000</f>
        <v/>
      </c>
      <c r="AS68" s="11">
        <f>AS37*AS36/1000000</f>
        <v/>
      </c>
      <c r="AT68" s="11">
        <f>AT37*AT36/1000000</f>
        <v/>
      </c>
      <c r="AU68" s="11">
        <f>AU37*AU36/1000000</f>
        <v/>
      </c>
      <c r="AV68" s="11">
        <f>AV37*AV36/1000000</f>
        <v/>
      </c>
      <c r="AW68" s="11">
        <f>AW37*AW36/1000000</f>
        <v/>
      </c>
      <c r="AX68" s="11">
        <f>AX37*AX36/1000000</f>
        <v/>
      </c>
      <c r="AY68" s="11">
        <f>AY37*AY36/1000000</f>
        <v/>
      </c>
      <c r="AZ68" s="11">
        <f>AZ37*AZ36/1000000</f>
        <v/>
      </c>
      <c r="BA68" s="11">
        <f>BA37*BA36/1000000</f>
        <v/>
      </c>
      <c r="BB68" s="11">
        <f>BB37*BB36/1000000</f>
        <v/>
      </c>
      <c r="BC68" s="11">
        <f>BC37*BC36/1000000</f>
        <v/>
      </c>
      <c r="BD68" s="11">
        <f>BD37*BD36/1000000</f>
        <v/>
      </c>
      <c r="BE68" s="11">
        <f>BE37*BE36/1000000</f>
        <v/>
      </c>
      <c r="BF68" s="11">
        <f>BF37*BF36/1000000</f>
        <v/>
      </c>
      <c r="BG68" s="11">
        <f>BG37*BG36/1000000</f>
        <v/>
      </c>
      <c r="BH68" s="11">
        <f>BH37*BH36/1000000</f>
        <v/>
      </c>
      <c r="BI68" s="11">
        <f>BI37*BI36/1000000</f>
        <v/>
      </c>
      <c r="BJ68" s="11">
        <f>BJ37*BJ36/1000000</f>
        <v/>
      </c>
      <c r="BK68" s="11">
        <f>BK37*BK36/1000000</f>
        <v/>
      </c>
      <c r="BL68" s="11">
        <f>BL37*BL36/1000000</f>
        <v/>
      </c>
      <c r="BM68" s="11">
        <f>BM37*BM36/1000000</f>
        <v/>
      </c>
      <c r="BN68" s="11">
        <f>BN37*BN36/1000000</f>
        <v/>
      </c>
    </row>
    <row r="69">
      <c r="D69" t="inlineStr">
        <is>
          <t>Pass-through costs (gas, GTA, take-or-pay)</t>
        </is>
      </c>
      <c r="E69" t="inlineStr">
        <is>
          <t>USD m</t>
        </is>
      </c>
      <c r="G69" s="11">
        <f>SUM(J69:BN69)</f>
        <v/>
      </c>
      <c r="J69" s="11">
        <f>J68+J47+J48+J49</f>
        <v/>
      </c>
      <c r="K69" s="11">
        <f>K68+K47+K48+K49</f>
        <v/>
      </c>
      <c r="L69" s="11">
        <f>L68+L47+L48+L49</f>
        <v/>
      </c>
      <c r="M69" s="11">
        <f>M68+M47+M48+M49</f>
        <v/>
      </c>
      <c r="N69" s="11">
        <f>N68+N47+N48+N49</f>
        <v/>
      </c>
      <c r="O69" s="11">
        <f>O68+O47+O48+O49</f>
        <v/>
      </c>
      <c r="P69" s="11">
        <f>P68+P47+P48+P49</f>
        <v/>
      </c>
      <c r="Q69" s="11">
        <f>Q68+Q47+Q48+Q49</f>
        <v/>
      </c>
      <c r="R69" s="11">
        <f>R68+R47+R48+R49</f>
        <v/>
      </c>
      <c r="S69" s="11">
        <f>S68+S47+S48+S49</f>
        <v/>
      </c>
      <c r="T69" s="11">
        <f>T68+T47+T48+T49</f>
        <v/>
      </c>
      <c r="U69" s="11">
        <f>U68+U47+U48+U49</f>
        <v/>
      </c>
      <c r="V69" s="11">
        <f>V68+V47+V48+V49</f>
        <v/>
      </c>
      <c r="W69" s="11">
        <f>W68+W47+W48+W49</f>
        <v/>
      </c>
      <c r="X69" s="11">
        <f>X68+X47+X48+X49</f>
        <v/>
      </c>
      <c r="Y69" s="11">
        <f>Y68+Y47+Y48+Y49</f>
        <v/>
      </c>
      <c r="Z69" s="11">
        <f>Z68+Z47+Z48+Z49</f>
        <v/>
      </c>
      <c r="AA69" s="11">
        <f>AA68+AA47+AA48+AA49</f>
        <v/>
      </c>
      <c r="AB69" s="11">
        <f>AB68+AB47+AB48+AB49</f>
        <v/>
      </c>
      <c r="AC69" s="11">
        <f>AC68+AC47+AC48+AC49</f>
        <v/>
      </c>
      <c r="AD69" s="11">
        <f>AD68+AD47+AD48+AD49</f>
        <v/>
      </c>
      <c r="AE69" s="11">
        <f>AE68+AE47+AE48+AE49</f>
        <v/>
      </c>
      <c r="AF69" s="11">
        <f>AF68+AF47+AF48+AF49</f>
        <v/>
      </c>
      <c r="AG69" s="11">
        <f>AG68+AG47+AG48+AG49</f>
        <v/>
      </c>
      <c r="AH69" s="11">
        <f>AH68+AH47+AH48+AH49</f>
        <v/>
      </c>
      <c r="AI69" s="11">
        <f>AI68+AI47+AI48+AI49</f>
        <v/>
      </c>
      <c r="AJ69" s="11">
        <f>AJ68+AJ47+AJ48+AJ49</f>
        <v/>
      </c>
      <c r="AK69" s="11">
        <f>AK68+AK47+AK48+AK49</f>
        <v/>
      </c>
      <c r="AL69" s="11">
        <f>AL68+AL47+AL48+AL49</f>
        <v/>
      </c>
      <c r="AM69" s="11">
        <f>AM68+AM47+AM48+AM49</f>
        <v/>
      </c>
      <c r="AN69" s="11">
        <f>AN68+AN47+AN48+AN49</f>
        <v/>
      </c>
      <c r="AO69" s="11">
        <f>AO68+AO47+AO48+AO49</f>
        <v/>
      </c>
      <c r="AP69" s="11">
        <f>AP68+AP47+AP48+AP49</f>
        <v/>
      </c>
      <c r="AQ69" s="11">
        <f>AQ68+AQ47+AQ48+AQ49</f>
        <v/>
      </c>
      <c r="AR69" s="11">
        <f>AR68+AR47+AR48+AR49</f>
        <v/>
      </c>
      <c r="AS69" s="11">
        <f>AS68+AS47+AS48+AS49</f>
        <v/>
      </c>
      <c r="AT69" s="11">
        <f>AT68+AT47+AT48+AT49</f>
        <v/>
      </c>
      <c r="AU69" s="11">
        <f>AU68+AU47+AU48+AU49</f>
        <v/>
      </c>
      <c r="AV69" s="11">
        <f>AV68+AV47+AV48+AV49</f>
        <v/>
      </c>
      <c r="AW69" s="11">
        <f>AW68+AW47+AW48+AW49</f>
        <v/>
      </c>
      <c r="AX69" s="11">
        <f>AX68+AX47+AX48+AX49</f>
        <v/>
      </c>
      <c r="AY69" s="11">
        <f>AY68+AY47+AY48+AY49</f>
        <v/>
      </c>
      <c r="AZ69" s="11">
        <f>AZ68+AZ47+AZ48+AZ49</f>
        <v/>
      </c>
      <c r="BA69" s="11">
        <f>BA68+BA47+BA48+BA49</f>
        <v/>
      </c>
      <c r="BB69" s="11">
        <f>BB68+BB47+BB48+BB49</f>
        <v/>
      </c>
      <c r="BC69" s="11">
        <f>BC68+BC47+BC48+BC49</f>
        <v/>
      </c>
      <c r="BD69" s="11">
        <f>BD68+BD47+BD48+BD49</f>
        <v/>
      </c>
      <c r="BE69" s="11">
        <f>BE68+BE47+BE48+BE49</f>
        <v/>
      </c>
      <c r="BF69" s="11">
        <f>BF68+BF47+BF48+BF49</f>
        <v/>
      </c>
      <c r="BG69" s="11">
        <f>BG68+BG47+BG48+BG49</f>
        <v/>
      </c>
      <c r="BH69" s="11">
        <f>BH68+BH47+BH48+BH49</f>
        <v/>
      </c>
      <c r="BI69" s="11">
        <f>BI68+BI47+BI48+BI49</f>
        <v/>
      </c>
      <c r="BJ69" s="11">
        <f>BJ68+BJ47+BJ48+BJ49</f>
        <v/>
      </c>
      <c r="BK69" s="11">
        <f>BK68+BK47+BK48+BK49</f>
        <v/>
      </c>
      <c r="BL69" s="11">
        <f>BL68+BL47+BL48+BL49</f>
        <v/>
      </c>
      <c r="BM69" s="11">
        <f>BM68+BM47+BM48+BM49</f>
        <v/>
      </c>
      <c r="BN69" s="11">
        <f>BN68+BN47+BN48+BN49</f>
        <v/>
      </c>
    </row>
    <row r="70">
      <c r="D70" t="inlineStr">
        <is>
          <t>VAT facility interest after the funding period</t>
        </is>
      </c>
      <c r="E70" t="inlineStr">
        <is>
          <t>USD m</t>
        </is>
      </c>
      <c r="G70" s="11">
        <f>SUM(J70:BN70)</f>
        <v/>
      </c>
      <c r="J70" s="11">
        <f>SUMIFS(Construction!$J$36:$BJ$36,Construction!$J$12:$BJ$12,Time!J17,Construction!$J$8:$BJ$8,"&gt;"&amp;Time!$F$13)</f>
        <v/>
      </c>
      <c r="K70" s="11">
        <f>SUMIFS(Construction!$J$36:$BJ$36,Construction!$J$12:$BJ$12,Time!K17,Construction!$J$8:$BJ$8,"&gt;"&amp;Time!$F$13)</f>
        <v/>
      </c>
      <c r="L70" s="11">
        <f>SUMIFS(Construction!$J$36:$BJ$36,Construction!$J$12:$BJ$12,Time!L17,Construction!$J$8:$BJ$8,"&gt;"&amp;Time!$F$13)</f>
        <v/>
      </c>
      <c r="M70" s="11">
        <f>SUMIFS(Construction!$J$36:$BJ$36,Construction!$J$12:$BJ$12,Time!M17,Construction!$J$8:$BJ$8,"&gt;"&amp;Time!$F$13)</f>
        <v/>
      </c>
      <c r="N70" s="11">
        <f>SUMIFS(Construction!$J$36:$BJ$36,Construction!$J$12:$BJ$12,Time!N17,Construction!$J$8:$BJ$8,"&gt;"&amp;Time!$F$13)</f>
        <v/>
      </c>
      <c r="O70" s="11">
        <f>SUMIFS(Construction!$J$36:$BJ$36,Construction!$J$12:$BJ$12,Time!O17,Construction!$J$8:$BJ$8,"&gt;"&amp;Time!$F$13)</f>
        <v/>
      </c>
      <c r="P70" s="11">
        <f>SUMIFS(Construction!$J$36:$BJ$36,Construction!$J$12:$BJ$12,Time!P17,Construction!$J$8:$BJ$8,"&gt;"&amp;Time!$F$13)</f>
        <v/>
      </c>
      <c r="Q70" s="11">
        <f>SUMIFS(Construction!$J$36:$BJ$36,Construction!$J$12:$BJ$12,Time!Q17,Construction!$J$8:$BJ$8,"&gt;"&amp;Time!$F$13)</f>
        <v/>
      </c>
      <c r="R70" s="11">
        <f>SUMIFS(Construction!$J$36:$BJ$36,Construction!$J$12:$BJ$12,Time!R17,Construction!$J$8:$BJ$8,"&gt;"&amp;Time!$F$13)</f>
        <v/>
      </c>
      <c r="S70" s="11">
        <f>SUMIFS(Construction!$J$36:$BJ$36,Construction!$J$12:$BJ$12,Time!S17,Construction!$J$8:$BJ$8,"&gt;"&amp;Time!$F$13)</f>
        <v/>
      </c>
      <c r="T70" s="11">
        <f>SUMIFS(Construction!$J$36:$BJ$36,Construction!$J$12:$BJ$12,Time!T17,Construction!$J$8:$BJ$8,"&gt;"&amp;Time!$F$13)</f>
        <v/>
      </c>
      <c r="U70" s="11">
        <f>SUMIFS(Construction!$J$36:$BJ$36,Construction!$J$12:$BJ$12,Time!U17,Construction!$J$8:$BJ$8,"&gt;"&amp;Time!$F$13)</f>
        <v/>
      </c>
      <c r="V70" s="11">
        <f>SUMIFS(Construction!$J$36:$BJ$36,Construction!$J$12:$BJ$12,Time!V17,Construction!$J$8:$BJ$8,"&gt;"&amp;Time!$F$13)</f>
        <v/>
      </c>
      <c r="W70" s="11">
        <f>SUMIFS(Construction!$J$36:$BJ$36,Construction!$J$12:$BJ$12,Time!W17,Construction!$J$8:$BJ$8,"&gt;"&amp;Time!$F$13)</f>
        <v/>
      </c>
      <c r="X70" s="11">
        <f>SUMIFS(Construction!$J$36:$BJ$36,Construction!$J$12:$BJ$12,Time!X17,Construction!$J$8:$BJ$8,"&gt;"&amp;Time!$F$13)</f>
        <v/>
      </c>
      <c r="Y70" s="11">
        <f>SUMIFS(Construction!$J$36:$BJ$36,Construction!$J$12:$BJ$12,Time!Y17,Construction!$J$8:$BJ$8,"&gt;"&amp;Time!$F$13)</f>
        <v/>
      </c>
      <c r="Z70" s="11">
        <f>SUMIFS(Construction!$J$36:$BJ$36,Construction!$J$12:$BJ$12,Time!Z17,Construction!$J$8:$BJ$8,"&gt;"&amp;Time!$F$13)</f>
        <v/>
      </c>
      <c r="AA70" s="11">
        <f>SUMIFS(Construction!$J$36:$BJ$36,Construction!$J$12:$BJ$12,Time!AA17,Construction!$J$8:$BJ$8,"&gt;"&amp;Time!$F$13)</f>
        <v/>
      </c>
      <c r="AB70" s="11">
        <f>SUMIFS(Construction!$J$36:$BJ$36,Construction!$J$12:$BJ$12,Time!AB17,Construction!$J$8:$BJ$8,"&gt;"&amp;Time!$F$13)</f>
        <v/>
      </c>
      <c r="AC70" s="11">
        <f>SUMIFS(Construction!$J$36:$BJ$36,Construction!$J$12:$BJ$12,Time!AC17,Construction!$J$8:$BJ$8,"&gt;"&amp;Time!$F$13)</f>
        <v/>
      </c>
      <c r="AD70" s="11">
        <f>SUMIFS(Construction!$J$36:$BJ$36,Construction!$J$12:$BJ$12,Time!AD17,Construction!$J$8:$BJ$8,"&gt;"&amp;Time!$F$13)</f>
        <v/>
      </c>
      <c r="AE70" s="11">
        <f>SUMIFS(Construction!$J$36:$BJ$36,Construction!$J$12:$BJ$12,Time!AE17,Construction!$J$8:$BJ$8,"&gt;"&amp;Time!$F$13)</f>
        <v/>
      </c>
      <c r="AF70" s="11">
        <f>SUMIFS(Construction!$J$36:$BJ$36,Construction!$J$12:$BJ$12,Time!AF17,Construction!$J$8:$BJ$8,"&gt;"&amp;Time!$F$13)</f>
        <v/>
      </c>
      <c r="AG70" s="11">
        <f>SUMIFS(Construction!$J$36:$BJ$36,Construction!$J$12:$BJ$12,Time!AG17,Construction!$J$8:$BJ$8,"&gt;"&amp;Time!$F$13)</f>
        <v/>
      </c>
      <c r="AH70" s="11">
        <f>SUMIFS(Construction!$J$36:$BJ$36,Construction!$J$12:$BJ$12,Time!AH17,Construction!$J$8:$BJ$8,"&gt;"&amp;Time!$F$13)</f>
        <v/>
      </c>
      <c r="AI70" s="11">
        <f>SUMIFS(Construction!$J$36:$BJ$36,Construction!$J$12:$BJ$12,Time!AI17,Construction!$J$8:$BJ$8,"&gt;"&amp;Time!$F$13)</f>
        <v/>
      </c>
      <c r="AJ70" s="11">
        <f>SUMIFS(Construction!$J$36:$BJ$36,Construction!$J$12:$BJ$12,Time!AJ17,Construction!$J$8:$BJ$8,"&gt;"&amp;Time!$F$13)</f>
        <v/>
      </c>
      <c r="AK70" s="11">
        <f>SUMIFS(Construction!$J$36:$BJ$36,Construction!$J$12:$BJ$12,Time!AK17,Construction!$J$8:$BJ$8,"&gt;"&amp;Time!$F$13)</f>
        <v/>
      </c>
      <c r="AL70" s="11">
        <f>SUMIFS(Construction!$J$36:$BJ$36,Construction!$J$12:$BJ$12,Time!AL17,Construction!$J$8:$BJ$8,"&gt;"&amp;Time!$F$13)</f>
        <v/>
      </c>
      <c r="AM70" s="11">
        <f>SUMIFS(Construction!$J$36:$BJ$36,Construction!$J$12:$BJ$12,Time!AM17,Construction!$J$8:$BJ$8,"&gt;"&amp;Time!$F$13)</f>
        <v/>
      </c>
      <c r="AN70" s="11">
        <f>SUMIFS(Construction!$J$36:$BJ$36,Construction!$J$12:$BJ$12,Time!AN17,Construction!$J$8:$BJ$8,"&gt;"&amp;Time!$F$13)</f>
        <v/>
      </c>
      <c r="AO70" s="11">
        <f>SUMIFS(Construction!$J$36:$BJ$36,Construction!$J$12:$BJ$12,Time!AO17,Construction!$J$8:$BJ$8,"&gt;"&amp;Time!$F$13)</f>
        <v/>
      </c>
      <c r="AP70" s="11">
        <f>SUMIFS(Construction!$J$36:$BJ$36,Construction!$J$12:$BJ$12,Time!AP17,Construction!$J$8:$BJ$8,"&gt;"&amp;Time!$F$13)</f>
        <v/>
      </c>
      <c r="AQ70" s="11">
        <f>SUMIFS(Construction!$J$36:$BJ$36,Construction!$J$12:$BJ$12,Time!AQ17,Construction!$J$8:$BJ$8,"&gt;"&amp;Time!$F$13)</f>
        <v/>
      </c>
      <c r="AR70" s="11">
        <f>SUMIFS(Construction!$J$36:$BJ$36,Construction!$J$12:$BJ$12,Time!AR17,Construction!$J$8:$BJ$8,"&gt;"&amp;Time!$F$13)</f>
        <v/>
      </c>
      <c r="AS70" s="11">
        <f>SUMIFS(Construction!$J$36:$BJ$36,Construction!$J$12:$BJ$12,Time!AS17,Construction!$J$8:$BJ$8,"&gt;"&amp;Time!$F$13)</f>
        <v/>
      </c>
      <c r="AT70" s="11">
        <f>SUMIFS(Construction!$J$36:$BJ$36,Construction!$J$12:$BJ$12,Time!AT17,Construction!$J$8:$BJ$8,"&gt;"&amp;Time!$F$13)</f>
        <v/>
      </c>
      <c r="AU70" s="11">
        <f>SUMIFS(Construction!$J$36:$BJ$36,Construction!$J$12:$BJ$12,Time!AU17,Construction!$J$8:$BJ$8,"&gt;"&amp;Time!$F$13)</f>
        <v/>
      </c>
      <c r="AV70" s="11">
        <f>SUMIFS(Construction!$J$36:$BJ$36,Construction!$J$12:$BJ$12,Time!AV17,Construction!$J$8:$BJ$8,"&gt;"&amp;Time!$F$13)</f>
        <v/>
      </c>
      <c r="AW70" s="11">
        <f>SUMIFS(Construction!$J$36:$BJ$36,Construction!$J$12:$BJ$12,Time!AW17,Construction!$J$8:$BJ$8,"&gt;"&amp;Time!$F$13)</f>
        <v/>
      </c>
      <c r="AX70" s="11">
        <f>SUMIFS(Construction!$J$36:$BJ$36,Construction!$J$12:$BJ$12,Time!AX17,Construction!$J$8:$BJ$8,"&gt;"&amp;Time!$F$13)</f>
        <v/>
      </c>
      <c r="AY70" s="11">
        <f>SUMIFS(Construction!$J$36:$BJ$36,Construction!$J$12:$BJ$12,Time!AY17,Construction!$J$8:$BJ$8,"&gt;"&amp;Time!$F$13)</f>
        <v/>
      </c>
      <c r="AZ70" s="11">
        <f>SUMIFS(Construction!$J$36:$BJ$36,Construction!$J$12:$BJ$12,Time!AZ17,Construction!$J$8:$BJ$8,"&gt;"&amp;Time!$F$13)</f>
        <v/>
      </c>
      <c r="BA70" s="11">
        <f>SUMIFS(Construction!$J$36:$BJ$36,Construction!$J$12:$BJ$12,Time!BA17,Construction!$J$8:$BJ$8,"&gt;"&amp;Time!$F$13)</f>
        <v/>
      </c>
      <c r="BB70" s="11">
        <f>SUMIFS(Construction!$J$36:$BJ$36,Construction!$J$12:$BJ$12,Time!BB17,Construction!$J$8:$BJ$8,"&gt;"&amp;Time!$F$13)</f>
        <v/>
      </c>
      <c r="BC70" s="11">
        <f>SUMIFS(Construction!$J$36:$BJ$36,Construction!$J$12:$BJ$12,Time!BC17,Construction!$J$8:$BJ$8,"&gt;"&amp;Time!$F$13)</f>
        <v/>
      </c>
      <c r="BD70" s="11">
        <f>SUMIFS(Construction!$J$36:$BJ$36,Construction!$J$12:$BJ$12,Time!BD17,Construction!$J$8:$BJ$8,"&gt;"&amp;Time!$F$13)</f>
        <v/>
      </c>
      <c r="BE70" s="11">
        <f>SUMIFS(Construction!$J$36:$BJ$36,Construction!$J$12:$BJ$12,Time!BE17,Construction!$J$8:$BJ$8,"&gt;"&amp;Time!$F$13)</f>
        <v/>
      </c>
      <c r="BF70" s="11">
        <f>SUMIFS(Construction!$J$36:$BJ$36,Construction!$J$12:$BJ$12,Time!BF17,Construction!$J$8:$BJ$8,"&gt;"&amp;Time!$F$13)</f>
        <v/>
      </c>
      <c r="BG70" s="11">
        <f>SUMIFS(Construction!$J$36:$BJ$36,Construction!$J$12:$BJ$12,Time!BG17,Construction!$J$8:$BJ$8,"&gt;"&amp;Time!$F$13)</f>
        <v/>
      </c>
      <c r="BH70" s="11">
        <f>SUMIFS(Construction!$J$36:$BJ$36,Construction!$J$12:$BJ$12,Time!BH17,Construction!$J$8:$BJ$8,"&gt;"&amp;Time!$F$13)</f>
        <v/>
      </c>
      <c r="BI70" s="11">
        <f>SUMIFS(Construction!$J$36:$BJ$36,Construction!$J$12:$BJ$12,Time!BI17,Construction!$J$8:$BJ$8,"&gt;"&amp;Time!$F$13)</f>
        <v/>
      </c>
      <c r="BJ70" s="11">
        <f>SUMIFS(Construction!$J$36:$BJ$36,Construction!$J$12:$BJ$12,Time!BJ17,Construction!$J$8:$BJ$8,"&gt;"&amp;Time!$F$13)</f>
        <v/>
      </c>
      <c r="BK70" s="11">
        <f>SUMIFS(Construction!$J$36:$BJ$36,Construction!$J$12:$BJ$12,Time!BK17,Construction!$J$8:$BJ$8,"&gt;"&amp;Time!$F$13)</f>
        <v/>
      </c>
      <c r="BL70" s="11">
        <f>SUMIFS(Construction!$J$36:$BJ$36,Construction!$J$12:$BJ$12,Time!BL17,Construction!$J$8:$BJ$8,"&gt;"&amp;Time!$F$13)</f>
        <v/>
      </c>
      <c r="BM70" s="11">
        <f>SUMIFS(Construction!$J$36:$BJ$36,Construction!$J$12:$BJ$12,Time!BM17,Construction!$J$8:$BJ$8,"&gt;"&amp;Time!$F$13)</f>
        <v/>
      </c>
      <c r="BN70" s="11">
        <f>SUMIFS(Construction!$J$36:$BJ$36,Construction!$J$12:$BJ$12,Time!BN17,Construction!$J$8:$BJ$8,"&gt;"&amp;Time!$F$13)</f>
        <v/>
      </c>
    </row>
    <row r="71">
      <c r="D71" t="inlineStr">
        <is>
          <t>FX conversion losses</t>
        </is>
      </c>
      <c r="E71" t="inlineStr">
        <is>
          <t>USD m</t>
        </is>
      </c>
      <c r="G71" s="11">
        <f>SUM(J71:BN71)</f>
        <v/>
      </c>
      <c r="J71" s="11">
        <f>Inputs!$F$44*Inputs!J217</f>
        <v/>
      </c>
      <c r="K71" s="11">
        <f>Inputs!$F$44*Inputs!K217</f>
        <v/>
      </c>
      <c r="L71" s="11">
        <f>Inputs!$F$44*Inputs!L217</f>
        <v/>
      </c>
      <c r="M71" s="11">
        <f>Inputs!$F$44*Inputs!M217</f>
        <v/>
      </c>
      <c r="N71" s="11">
        <f>Inputs!$F$44*Inputs!N217</f>
        <v/>
      </c>
      <c r="O71" s="11">
        <f>Inputs!$F$44*Inputs!O217</f>
        <v/>
      </c>
      <c r="P71" s="11">
        <f>Inputs!$F$44*Inputs!P217</f>
        <v/>
      </c>
      <c r="Q71" s="11">
        <f>Inputs!$F$44*Inputs!Q217</f>
        <v/>
      </c>
      <c r="R71" s="11">
        <f>Inputs!$F$44*Inputs!R217</f>
        <v/>
      </c>
      <c r="S71" s="11">
        <f>Inputs!$F$44*Inputs!S217</f>
        <v/>
      </c>
      <c r="T71" s="11">
        <f>Inputs!$F$44*Inputs!T217</f>
        <v/>
      </c>
      <c r="U71" s="11">
        <f>Inputs!$F$44*Inputs!U217</f>
        <v/>
      </c>
      <c r="V71" s="11">
        <f>Inputs!$F$44*Inputs!V217</f>
        <v/>
      </c>
      <c r="W71" s="11">
        <f>Inputs!$F$44*Inputs!W217</f>
        <v/>
      </c>
      <c r="X71" s="11">
        <f>Inputs!$F$44*Inputs!X217</f>
        <v/>
      </c>
      <c r="Y71" s="11">
        <f>Inputs!$F$44*Inputs!Y217</f>
        <v/>
      </c>
      <c r="Z71" s="11">
        <f>Inputs!$F$44*Inputs!Z217</f>
        <v/>
      </c>
      <c r="AA71" s="11">
        <f>Inputs!$F$44*Inputs!AA217</f>
        <v/>
      </c>
      <c r="AB71" s="11">
        <f>Inputs!$F$44*Inputs!AB217</f>
        <v/>
      </c>
      <c r="AC71" s="11">
        <f>Inputs!$F$44*Inputs!AC217</f>
        <v/>
      </c>
      <c r="AD71" s="11">
        <f>Inputs!$F$44*Inputs!AD217</f>
        <v/>
      </c>
      <c r="AE71" s="11">
        <f>Inputs!$F$44*Inputs!AE217</f>
        <v/>
      </c>
      <c r="AF71" s="11">
        <f>Inputs!$F$44*Inputs!AF217</f>
        <v/>
      </c>
      <c r="AG71" s="11">
        <f>Inputs!$F$44*Inputs!AG217</f>
        <v/>
      </c>
      <c r="AH71" s="11">
        <f>Inputs!$F$44*Inputs!AH217</f>
        <v/>
      </c>
      <c r="AI71" s="11">
        <f>Inputs!$F$44*Inputs!AI217</f>
        <v/>
      </c>
      <c r="AJ71" s="11">
        <f>Inputs!$F$44*Inputs!AJ217</f>
        <v/>
      </c>
      <c r="AK71" s="11">
        <f>Inputs!$F$44*Inputs!AK217</f>
        <v/>
      </c>
      <c r="AL71" s="11">
        <f>Inputs!$F$44*Inputs!AL217</f>
        <v/>
      </c>
      <c r="AM71" s="11">
        <f>Inputs!$F$44*Inputs!AM217</f>
        <v/>
      </c>
      <c r="AN71" s="11">
        <f>Inputs!$F$44*Inputs!AN217</f>
        <v/>
      </c>
      <c r="AO71" s="11">
        <f>Inputs!$F$44*Inputs!AO217</f>
        <v/>
      </c>
      <c r="AP71" s="11">
        <f>Inputs!$F$44*Inputs!AP217</f>
        <v/>
      </c>
      <c r="AQ71" s="11">
        <f>Inputs!$F$44*Inputs!AQ217</f>
        <v/>
      </c>
      <c r="AR71" s="11">
        <f>Inputs!$F$44*Inputs!AR217</f>
        <v/>
      </c>
      <c r="AS71" s="11">
        <f>Inputs!$F$44*Inputs!AS217</f>
        <v/>
      </c>
      <c r="AT71" s="11">
        <f>Inputs!$F$44*Inputs!AT217</f>
        <v/>
      </c>
      <c r="AU71" s="11">
        <f>Inputs!$F$44*Inputs!AU217</f>
        <v/>
      </c>
      <c r="AV71" s="11">
        <f>Inputs!$F$44*Inputs!AV217</f>
        <v/>
      </c>
      <c r="AW71" s="11">
        <f>Inputs!$F$44*Inputs!AW217</f>
        <v/>
      </c>
      <c r="AX71" s="11">
        <f>Inputs!$F$44*Inputs!AX217</f>
        <v/>
      </c>
      <c r="AY71" s="11">
        <f>Inputs!$F$44*Inputs!AY217</f>
        <v/>
      </c>
      <c r="AZ71" s="11">
        <f>Inputs!$F$44*Inputs!AZ217</f>
        <v/>
      </c>
      <c r="BA71" s="11">
        <f>Inputs!$F$44*Inputs!BA217</f>
        <v/>
      </c>
      <c r="BB71" s="11">
        <f>Inputs!$F$44*Inputs!BB217</f>
        <v/>
      </c>
      <c r="BC71" s="11">
        <f>Inputs!$F$44*Inputs!BC217</f>
        <v/>
      </c>
      <c r="BD71" s="11">
        <f>Inputs!$F$44*Inputs!BD217</f>
        <v/>
      </c>
      <c r="BE71" s="11">
        <f>Inputs!$F$44*Inputs!BE217</f>
        <v/>
      </c>
      <c r="BF71" s="11">
        <f>Inputs!$F$44*Inputs!BF217</f>
        <v/>
      </c>
      <c r="BG71" s="11">
        <f>Inputs!$F$44*Inputs!BG217</f>
        <v/>
      </c>
      <c r="BH71" s="11">
        <f>Inputs!$F$44*Inputs!BH217</f>
        <v/>
      </c>
      <c r="BI71" s="11">
        <f>Inputs!$F$44*Inputs!BI217</f>
        <v/>
      </c>
      <c r="BJ71" s="11">
        <f>Inputs!$F$44*Inputs!BJ217</f>
        <v/>
      </c>
      <c r="BK71" s="11">
        <f>Inputs!$F$44*Inputs!BK217</f>
        <v/>
      </c>
      <c r="BL71" s="11">
        <f>Inputs!$F$44*Inputs!BL217</f>
        <v/>
      </c>
      <c r="BM71" s="11">
        <f>Inputs!$F$44*Inputs!BM217</f>
        <v/>
      </c>
      <c r="BN71" s="11">
        <f>Inputs!$F$44*Inputs!BN217</f>
        <v/>
      </c>
    </row>
    <row r="72">
      <c r="D72" t="inlineStr">
        <is>
          <t>OY whose month 7 could fall in the period</t>
        </is>
      </c>
      <c r="E72" t="inlineStr">
        <is>
          <t>OY</t>
        </is>
      </c>
      <c r="J72" s="9">
        <f>INT((Time!J28-7)/12)+1</f>
        <v/>
      </c>
      <c r="K72" s="9">
        <f>INT((Time!K28-7)/12)+1</f>
        <v/>
      </c>
      <c r="L72" s="9">
        <f>INT((Time!L28-7)/12)+1</f>
        <v/>
      </c>
      <c r="M72" s="9">
        <f>INT((Time!M28-7)/12)+1</f>
        <v/>
      </c>
      <c r="N72" s="9">
        <f>INT((Time!N28-7)/12)+1</f>
        <v/>
      </c>
      <c r="O72" s="9">
        <f>INT((Time!O28-7)/12)+1</f>
        <v/>
      </c>
      <c r="P72" s="9">
        <f>INT((Time!P28-7)/12)+1</f>
        <v/>
      </c>
      <c r="Q72" s="9">
        <f>INT((Time!Q28-7)/12)+1</f>
        <v/>
      </c>
      <c r="R72" s="9">
        <f>INT((Time!R28-7)/12)+1</f>
        <v/>
      </c>
      <c r="S72" s="9">
        <f>INT((Time!S28-7)/12)+1</f>
        <v/>
      </c>
      <c r="T72" s="9">
        <f>INT((Time!T28-7)/12)+1</f>
        <v/>
      </c>
      <c r="U72" s="9">
        <f>INT((Time!U28-7)/12)+1</f>
        <v/>
      </c>
      <c r="V72" s="9">
        <f>INT((Time!V28-7)/12)+1</f>
        <v/>
      </c>
      <c r="W72" s="9">
        <f>INT((Time!W28-7)/12)+1</f>
        <v/>
      </c>
      <c r="X72" s="9">
        <f>INT((Time!X28-7)/12)+1</f>
        <v/>
      </c>
      <c r="Y72" s="9">
        <f>INT((Time!Y28-7)/12)+1</f>
        <v/>
      </c>
      <c r="Z72" s="9">
        <f>INT((Time!Z28-7)/12)+1</f>
        <v/>
      </c>
      <c r="AA72" s="9">
        <f>INT((Time!AA28-7)/12)+1</f>
        <v/>
      </c>
      <c r="AB72" s="9">
        <f>INT((Time!AB28-7)/12)+1</f>
        <v/>
      </c>
      <c r="AC72" s="9">
        <f>INT((Time!AC28-7)/12)+1</f>
        <v/>
      </c>
      <c r="AD72" s="9">
        <f>INT((Time!AD28-7)/12)+1</f>
        <v/>
      </c>
      <c r="AE72" s="9">
        <f>INT((Time!AE28-7)/12)+1</f>
        <v/>
      </c>
      <c r="AF72" s="9">
        <f>INT((Time!AF28-7)/12)+1</f>
        <v/>
      </c>
      <c r="AG72" s="9">
        <f>INT((Time!AG28-7)/12)+1</f>
        <v/>
      </c>
      <c r="AH72" s="9">
        <f>INT((Time!AH28-7)/12)+1</f>
        <v/>
      </c>
      <c r="AI72" s="9">
        <f>INT((Time!AI28-7)/12)+1</f>
        <v/>
      </c>
      <c r="AJ72" s="9">
        <f>INT((Time!AJ28-7)/12)+1</f>
        <v/>
      </c>
      <c r="AK72" s="9">
        <f>INT((Time!AK28-7)/12)+1</f>
        <v/>
      </c>
      <c r="AL72" s="9">
        <f>INT((Time!AL28-7)/12)+1</f>
        <v/>
      </c>
      <c r="AM72" s="9">
        <f>INT((Time!AM28-7)/12)+1</f>
        <v/>
      </c>
      <c r="AN72" s="9">
        <f>INT((Time!AN28-7)/12)+1</f>
        <v/>
      </c>
      <c r="AO72" s="9">
        <f>INT((Time!AO28-7)/12)+1</f>
        <v/>
      </c>
      <c r="AP72" s="9">
        <f>INT((Time!AP28-7)/12)+1</f>
        <v/>
      </c>
      <c r="AQ72" s="9">
        <f>INT((Time!AQ28-7)/12)+1</f>
        <v/>
      </c>
      <c r="AR72" s="9">
        <f>INT((Time!AR28-7)/12)+1</f>
        <v/>
      </c>
      <c r="AS72" s="9">
        <f>INT((Time!AS28-7)/12)+1</f>
        <v/>
      </c>
      <c r="AT72" s="9">
        <f>INT((Time!AT28-7)/12)+1</f>
        <v/>
      </c>
      <c r="AU72" s="9">
        <f>INT((Time!AU28-7)/12)+1</f>
        <v/>
      </c>
      <c r="AV72" s="9">
        <f>INT((Time!AV28-7)/12)+1</f>
        <v/>
      </c>
      <c r="AW72" s="9">
        <f>INT((Time!AW28-7)/12)+1</f>
        <v/>
      </c>
      <c r="AX72" s="9">
        <f>INT((Time!AX28-7)/12)+1</f>
        <v/>
      </c>
      <c r="AY72" s="9">
        <f>INT((Time!AY28-7)/12)+1</f>
        <v/>
      </c>
      <c r="AZ72" s="9">
        <f>INT((Time!AZ28-7)/12)+1</f>
        <v/>
      </c>
      <c r="BA72" s="9">
        <f>INT((Time!BA28-7)/12)+1</f>
        <v/>
      </c>
      <c r="BB72" s="9">
        <f>INT((Time!BB28-7)/12)+1</f>
        <v/>
      </c>
      <c r="BC72" s="9">
        <f>INT((Time!BC28-7)/12)+1</f>
        <v/>
      </c>
      <c r="BD72" s="9">
        <f>INT((Time!BD28-7)/12)+1</f>
        <v/>
      </c>
      <c r="BE72" s="9">
        <f>INT((Time!BE28-7)/12)+1</f>
        <v/>
      </c>
      <c r="BF72" s="9">
        <f>INT((Time!BF28-7)/12)+1</f>
        <v/>
      </c>
      <c r="BG72" s="9">
        <f>INT((Time!BG28-7)/12)+1</f>
        <v/>
      </c>
      <c r="BH72" s="9">
        <f>INT((Time!BH28-7)/12)+1</f>
        <v/>
      </c>
      <c r="BI72" s="9">
        <f>INT((Time!BI28-7)/12)+1</f>
        <v/>
      </c>
      <c r="BJ72" s="9">
        <f>INT((Time!BJ28-7)/12)+1</f>
        <v/>
      </c>
      <c r="BK72" s="9">
        <f>INT((Time!BK28-7)/12)+1</f>
        <v/>
      </c>
      <c r="BL72" s="9">
        <f>INT((Time!BL28-7)/12)+1</f>
        <v/>
      </c>
      <c r="BM72" s="9">
        <f>INT((Time!BM28-7)/12)+1</f>
        <v/>
      </c>
      <c r="BN72" s="9">
        <f>INT((Time!BN28-7)/12)+1</f>
        <v/>
      </c>
    </row>
    <row r="73">
      <c r="D73" t="inlineStr">
        <is>
          <t>Major maintenance outside LTSA (2018 prices)</t>
        </is>
      </c>
      <c r="E73" t="inlineStr">
        <is>
          <t>USD m</t>
        </is>
      </c>
      <c r="J73" s="11">
        <f>IF(AND(Time!J25&gt;0,J72&gt;=1,J72&lt;=24,Time!J27&lt;(J72-1)*12+7,(J72-1)*12+7&lt;=Time!J28),IF(MOD(J72,8)=0,Inputs!$F$161,IF(MOD(J72,4)=0,Inputs!$F$162,0)),0)</f>
        <v/>
      </c>
      <c r="K73" s="11">
        <f>IF(AND(Time!K25&gt;0,K72&gt;=1,K72&lt;=24,Time!K27&lt;(K72-1)*12+7,(K72-1)*12+7&lt;=Time!K28),IF(MOD(K72,8)=0,Inputs!$F$161,IF(MOD(K72,4)=0,Inputs!$F$162,0)),0)</f>
        <v/>
      </c>
      <c r="L73" s="11">
        <f>IF(AND(Time!L25&gt;0,L72&gt;=1,L72&lt;=24,Time!L27&lt;(L72-1)*12+7,(L72-1)*12+7&lt;=Time!L28),IF(MOD(L72,8)=0,Inputs!$F$161,IF(MOD(L72,4)=0,Inputs!$F$162,0)),0)</f>
        <v/>
      </c>
      <c r="M73" s="11">
        <f>IF(AND(Time!M25&gt;0,M72&gt;=1,M72&lt;=24,Time!M27&lt;(M72-1)*12+7,(M72-1)*12+7&lt;=Time!M28),IF(MOD(M72,8)=0,Inputs!$F$161,IF(MOD(M72,4)=0,Inputs!$F$162,0)),0)</f>
        <v/>
      </c>
      <c r="N73" s="11">
        <f>IF(AND(Time!N25&gt;0,N72&gt;=1,N72&lt;=24,Time!N27&lt;(N72-1)*12+7,(N72-1)*12+7&lt;=Time!N28),IF(MOD(N72,8)=0,Inputs!$F$161,IF(MOD(N72,4)=0,Inputs!$F$162,0)),0)</f>
        <v/>
      </c>
      <c r="O73" s="11">
        <f>IF(AND(Time!O25&gt;0,O72&gt;=1,O72&lt;=24,Time!O27&lt;(O72-1)*12+7,(O72-1)*12+7&lt;=Time!O28),IF(MOD(O72,8)=0,Inputs!$F$161,IF(MOD(O72,4)=0,Inputs!$F$162,0)),0)</f>
        <v/>
      </c>
      <c r="P73" s="11">
        <f>IF(AND(Time!P25&gt;0,P72&gt;=1,P72&lt;=24,Time!P27&lt;(P72-1)*12+7,(P72-1)*12+7&lt;=Time!P28),IF(MOD(P72,8)=0,Inputs!$F$161,IF(MOD(P72,4)=0,Inputs!$F$162,0)),0)</f>
        <v/>
      </c>
      <c r="Q73" s="11">
        <f>IF(AND(Time!Q25&gt;0,Q72&gt;=1,Q72&lt;=24,Time!Q27&lt;(Q72-1)*12+7,(Q72-1)*12+7&lt;=Time!Q28),IF(MOD(Q72,8)=0,Inputs!$F$161,IF(MOD(Q72,4)=0,Inputs!$F$162,0)),0)</f>
        <v/>
      </c>
      <c r="R73" s="11">
        <f>IF(AND(Time!R25&gt;0,R72&gt;=1,R72&lt;=24,Time!R27&lt;(R72-1)*12+7,(R72-1)*12+7&lt;=Time!R28),IF(MOD(R72,8)=0,Inputs!$F$161,IF(MOD(R72,4)=0,Inputs!$F$162,0)),0)</f>
        <v/>
      </c>
      <c r="S73" s="11">
        <f>IF(AND(Time!S25&gt;0,S72&gt;=1,S72&lt;=24,Time!S27&lt;(S72-1)*12+7,(S72-1)*12+7&lt;=Time!S28),IF(MOD(S72,8)=0,Inputs!$F$161,IF(MOD(S72,4)=0,Inputs!$F$162,0)),0)</f>
        <v/>
      </c>
      <c r="T73" s="11">
        <f>IF(AND(Time!T25&gt;0,T72&gt;=1,T72&lt;=24,Time!T27&lt;(T72-1)*12+7,(T72-1)*12+7&lt;=Time!T28),IF(MOD(T72,8)=0,Inputs!$F$161,IF(MOD(T72,4)=0,Inputs!$F$162,0)),0)</f>
        <v/>
      </c>
      <c r="U73" s="11">
        <f>IF(AND(Time!U25&gt;0,U72&gt;=1,U72&lt;=24,Time!U27&lt;(U72-1)*12+7,(U72-1)*12+7&lt;=Time!U28),IF(MOD(U72,8)=0,Inputs!$F$161,IF(MOD(U72,4)=0,Inputs!$F$162,0)),0)</f>
        <v/>
      </c>
      <c r="V73" s="11">
        <f>IF(AND(Time!V25&gt;0,V72&gt;=1,V72&lt;=24,Time!V27&lt;(V72-1)*12+7,(V72-1)*12+7&lt;=Time!V28),IF(MOD(V72,8)=0,Inputs!$F$161,IF(MOD(V72,4)=0,Inputs!$F$162,0)),0)</f>
        <v/>
      </c>
      <c r="W73" s="11">
        <f>IF(AND(Time!W25&gt;0,W72&gt;=1,W72&lt;=24,Time!W27&lt;(W72-1)*12+7,(W72-1)*12+7&lt;=Time!W28),IF(MOD(W72,8)=0,Inputs!$F$161,IF(MOD(W72,4)=0,Inputs!$F$162,0)),0)</f>
        <v/>
      </c>
      <c r="X73" s="11">
        <f>IF(AND(Time!X25&gt;0,X72&gt;=1,X72&lt;=24,Time!X27&lt;(X72-1)*12+7,(X72-1)*12+7&lt;=Time!X28),IF(MOD(X72,8)=0,Inputs!$F$161,IF(MOD(X72,4)=0,Inputs!$F$162,0)),0)</f>
        <v/>
      </c>
      <c r="Y73" s="11">
        <f>IF(AND(Time!Y25&gt;0,Y72&gt;=1,Y72&lt;=24,Time!Y27&lt;(Y72-1)*12+7,(Y72-1)*12+7&lt;=Time!Y28),IF(MOD(Y72,8)=0,Inputs!$F$161,IF(MOD(Y72,4)=0,Inputs!$F$162,0)),0)</f>
        <v/>
      </c>
      <c r="Z73" s="11">
        <f>IF(AND(Time!Z25&gt;0,Z72&gt;=1,Z72&lt;=24,Time!Z27&lt;(Z72-1)*12+7,(Z72-1)*12+7&lt;=Time!Z28),IF(MOD(Z72,8)=0,Inputs!$F$161,IF(MOD(Z72,4)=0,Inputs!$F$162,0)),0)</f>
        <v/>
      </c>
      <c r="AA73" s="11">
        <f>IF(AND(Time!AA25&gt;0,AA72&gt;=1,AA72&lt;=24,Time!AA27&lt;(AA72-1)*12+7,(AA72-1)*12+7&lt;=Time!AA28),IF(MOD(AA72,8)=0,Inputs!$F$161,IF(MOD(AA72,4)=0,Inputs!$F$162,0)),0)</f>
        <v/>
      </c>
      <c r="AB73" s="11">
        <f>IF(AND(Time!AB25&gt;0,AB72&gt;=1,AB72&lt;=24,Time!AB27&lt;(AB72-1)*12+7,(AB72-1)*12+7&lt;=Time!AB28),IF(MOD(AB72,8)=0,Inputs!$F$161,IF(MOD(AB72,4)=0,Inputs!$F$162,0)),0)</f>
        <v/>
      </c>
      <c r="AC73" s="11">
        <f>IF(AND(Time!AC25&gt;0,AC72&gt;=1,AC72&lt;=24,Time!AC27&lt;(AC72-1)*12+7,(AC72-1)*12+7&lt;=Time!AC28),IF(MOD(AC72,8)=0,Inputs!$F$161,IF(MOD(AC72,4)=0,Inputs!$F$162,0)),0)</f>
        <v/>
      </c>
      <c r="AD73" s="11">
        <f>IF(AND(Time!AD25&gt;0,AD72&gt;=1,AD72&lt;=24,Time!AD27&lt;(AD72-1)*12+7,(AD72-1)*12+7&lt;=Time!AD28),IF(MOD(AD72,8)=0,Inputs!$F$161,IF(MOD(AD72,4)=0,Inputs!$F$162,0)),0)</f>
        <v/>
      </c>
      <c r="AE73" s="11">
        <f>IF(AND(Time!AE25&gt;0,AE72&gt;=1,AE72&lt;=24,Time!AE27&lt;(AE72-1)*12+7,(AE72-1)*12+7&lt;=Time!AE28),IF(MOD(AE72,8)=0,Inputs!$F$161,IF(MOD(AE72,4)=0,Inputs!$F$162,0)),0)</f>
        <v/>
      </c>
      <c r="AF73" s="11">
        <f>IF(AND(Time!AF25&gt;0,AF72&gt;=1,AF72&lt;=24,Time!AF27&lt;(AF72-1)*12+7,(AF72-1)*12+7&lt;=Time!AF28),IF(MOD(AF72,8)=0,Inputs!$F$161,IF(MOD(AF72,4)=0,Inputs!$F$162,0)),0)</f>
        <v/>
      </c>
      <c r="AG73" s="11">
        <f>IF(AND(Time!AG25&gt;0,AG72&gt;=1,AG72&lt;=24,Time!AG27&lt;(AG72-1)*12+7,(AG72-1)*12+7&lt;=Time!AG28),IF(MOD(AG72,8)=0,Inputs!$F$161,IF(MOD(AG72,4)=0,Inputs!$F$162,0)),0)</f>
        <v/>
      </c>
      <c r="AH73" s="11">
        <f>IF(AND(Time!AH25&gt;0,AH72&gt;=1,AH72&lt;=24,Time!AH27&lt;(AH72-1)*12+7,(AH72-1)*12+7&lt;=Time!AH28),IF(MOD(AH72,8)=0,Inputs!$F$161,IF(MOD(AH72,4)=0,Inputs!$F$162,0)),0)</f>
        <v/>
      </c>
      <c r="AI73" s="11">
        <f>IF(AND(Time!AI25&gt;0,AI72&gt;=1,AI72&lt;=24,Time!AI27&lt;(AI72-1)*12+7,(AI72-1)*12+7&lt;=Time!AI28),IF(MOD(AI72,8)=0,Inputs!$F$161,IF(MOD(AI72,4)=0,Inputs!$F$162,0)),0)</f>
        <v/>
      </c>
      <c r="AJ73" s="11">
        <f>IF(AND(Time!AJ25&gt;0,AJ72&gt;=1,AJ72&lt;=24,Time!AJ27&lt;(AJ72-1)*12+7,(AJ72-1)*12+7&lt;=Time!AJ28),IF(MOD(AJ72,8)=0,Inputs!$F$161,IF(MOD(AJ72,4)=0,Inputs!$F$162,0)),0)</f>
        <v/>
      </c>
      <c r="AK73" s="11">
        <f>IF(AND(Time!AK25&gt;0,AK72&gt;=1,AK72&lt;=24,Time!AK27&lt;(AK72-1)*12+7,(AK72-1)*12+7&lt;=Time!AK28),IF(MOD(AK72,8)=0,Inputs!$F$161,IF(MOD(AK72,4)=0,Inputs!$F$162,0)),0)</f>
        <v/>
      </c>
      <c r="AL73" s="11">
        <f>IF(AND(Time!AL25&gt;0,AL72&gt;=1,AL72&lt;=24,Time!AL27&lt;(AL72-1)*12+7,(AL72-1)*12+7&lt;=Time!AL28),IF(MOD(AL72,8)=0,Inputs!$F$161,IF(MOD(AL72,4)=0,Inputs!$F$162,0)),0)</f>
        <v/>
      </c>
      <c r="AM73" s="11">
        <f>IF(AND(Time!AM25&gt;0,AM72&gt;=1,AM72&lt;=24,Time!AM27&lt;(AM72-1)*12+7,(AM72-1)*12+7&lt;=Time!AM28),IF(MOD(AM72,8)=0,Inputs!$F$161,IF(MOD(AM72,4)=0,Inputs!$F$162,0)),0)</f>
        <v/>
      </c>
      <c r="AN73" s="11">
        <f>IF(AND(Time!AN25&gt;0,AN72&gt;=1,AN72&lt;=24,Time!AN27&lt;(AN72-1)*12+7,(AN72-1)*12+7&lt;=Time!AN28),IF(MOD(AN72,8)=0,Inputs!$F$161,IF(MOD(AN72,4)=0,Inputs!$F$162,0)),0)</f>
        <v/>
      </c>
      <c r="AO73" s="11">
        <f>IF(AND(Time!AO25&gt;0,AO72&gt;=1,AO72&lt;=24,Time!AO27&lt;(AO72-1)*12+7,(AO72-1)*12+7&lt;=Time!AO28),IF(MOD(AO72,8)=0,Inputs!$F$161,IF(MOD(AO72,4)=0,Inputs!$F$162,0)),0)</f>
        <v/>
      </c>
      <c r="AP73" s="11">
        <f>IF(AND(Time!AP25&gt;0,AP72&gt;=1,AP72&lt;=24,Time!AP27&lt;(AP72-1)*12+7,(AP72-1)*12+7&lt;=Time!AP28),IF(MOD(AP72,8)=0,Inputs!$F$161,IF(MOD(AP72,4)=0,Inputs!$F$162,0)),0)</f>
        <v/>
      </c>
      <c r="AQ73" s="11">
        <f>IF(AND(Time!AQ25&gt;0,AQ72&gt;=1,AQ72&lt;=24,Time!AQ27&lt;(AQ72-1)*12+7,(AQ72-1)*12+7&lt;=Time!AQ28),IF(MOD(AQ72,8)=0,Inputs!$F$161,IF(MOD(AQ72,4)=0,Inputs!$F$162,0)),0)</f>
        <v/>
      </c>
      <c r="AR73" s="11">
        <f>IF(AND(Time!AR25&gt;0,AR72&gt;=1,AR72&lt;=24,Time!AR27&lt;(AR72-1)*12+7,(AR72-1)*12+7&lt;=Time!AR28),IF(MOD(AR72,8)=0,Inputs!$F$161,IF(MOD(AR72,4)=0,Inputs!$F$162,0)),0)</f>
        <v/>
      </c>
      <c r="AS73" s="11">
        <f>IF(AND(Time!AS25&gt;0,AS72&gt;=1,AS72&lt;=24,Time!AS27&lt;(AS72-1)*12+7,(AS72-1)*12+7&lt;=Time!AS28),IF(MOD(AS72,8)=0,Inputs!$F$161,IF(MOD(AS72,4)=0,Inputs!$F$162,0)),0)</f>
        <v/>
      </c>
      <c r="AT73" s="11">
        <f>IF(AND(Time!AT25&gt;0,AT72&gt;=1,AT72&lt;=24,Time!AT27&lt;(AT72-1)*12+7,(AT72-1)*12+7&lt;=Time!AT28),IF(MOD(AT72,8)=0,Inputs!$F$161,IF(MOD(AT72,4)=0,Inputs!$F$162,0)),0)</f>
        <v/>
      </c>
      <c r="AU73" s="11">
        <f>IF(AND(Time!AU25&gt;0,AU72&gt;=1,AU72&lt;=24,Time!AU27&lt;(AU72-1)*12+7,(AU72-1)*12+7&lt;=Time!AU28),IF(MOD(AU72,8)=0,Inputs!$F$161,IF(MOD(AU72,4)=0,Inputs!$F$162,0)),0)</f>
        <v/>
      </c>
      <c r="AV73" s="11">
        <f>IF(AND(Time!AV25&gt;0,AV72&gt;=1,AV72&lt;=24,Time!AV27&lt;(AV72-1)*12+7,(AV72-1)*12+7&lt;=Time!AV28),IF(MOD(AV72,8)=0,Inputs!$F$161,IF(MOD(AV72,4)=0,Inputs!$F$162,0)),0)</f>
        <v/>
      </c>
      <c r="AW73" s="11">
        <f>IF(AND(Time!AW25&gt;0,AW72&gt;=1,AW72&lt;=24,Time!AW27&lt;(AW72-1)*12+7,(AW72-1)*12+7&lt;=Time!AW28),IF(MOD(AW72,8)=0,Inputs!$F$161,IF(MOD(AW72,4)=0,Inputs!$F$162,0)),0)</f>
        <v/>
      </c>
      <c r="AX73" s="11">
        <f>IF(AND(Time!AX25&gt;0,AX72&gt;=1,AX72&lt;=24,Time!AX27&lt;(AX72-1)*12+7,(AX72-1)*12+7&lt;=Time!AX28),IF(MOD(AX72,8)=0,Inputs!$F$161,IF(MOD(AX72,4)=0,Inputs!$F$162,0)),0)</f>
        <v/>
      </c>
      <c r="AY73" s="11">
        <f>IF(AND(Time!AY25&gt;0,AY72&gt;=1,AY72&lt;=24,Time!AY27&lt;(AY72-1)*12+7,(AY72-1)*12+7&lt;=Time!AY28),IF(MOD(AY72,8)=0,Inputs!$F$161,IF(MOD(AY72,4)=0,Inputs!$F$162,0)),0)</f>
        <v/>
      </c>
      <c r="AZ73" s="11">
        <f>IF(AND(Time!AZ25&gt;0,AZ72&gt;=1,AZ72&lt;=24,Time!AZ27&lt;(AZ72-1)*12+7,(AZ72-1)*12+7&lt;=Time!AZ28),IF(MOD(AZ72,8)=0,Inputs!$F$161,IF(MOD(AZ72,4)=0,Inputs!$F$162,0)),0)</f>
        <v/>
      </c>
      <c r="BA73" s="11">
        <f>IF(AND(Time!BA25&gt;0,BA72&gt;=1,BA72&lt;=24,Time!BA27&lt;(BA72-1)*12+7,(BA72-1)*12+7&lt;=Time!BA28),IF(MOD(BA72,8)=0,Inputs!$F$161,IF(MOD(BA72,4)=0,Inputs!$F$162,0)),0)</f>
        <v/>
      </c>
      <c r="BB73" s="11">
        <f>IF(AND(Time!BB25&gt;0,BB72&gt;=1,BB72&lt;=24,Time!BB27&lt;(BB72-1)*12+7,(BB72-1)*12+7&lt;=Time!BB28),IF(MOD(BB72,8)=0,Inputs!$F$161,IF(MOD(BB72,4)=0,Inputs!$F$162,0)),0)</f>
        <v/>
      </c>
      <c r="BC73" s="11">
        <f>IF(AND(Time!BC25&gt;0,BC72&gt;=1,BC72&lt;=24,Time!BC27&lt;(BC72-1)*12+7,(BC72-1)*12+7&lt;=Time!BC28),IF(MOD(BC72,8)=0,Inputs!$F$161,IF(MOD(BC72,4)=0,Inputs!$F$162,0)),0)</f>
        <v/>
      </c>
      <c r="BD73" s="11">
        <f>IF(AND(Time!BD25&gt;0,BD72&gt;=1,BD72&lt;=24,Time!BD27&lt;(BD72-1)*12+7,(BD72-1)*12+7&lt;=Time!BD28),IF(MOD(BD72,8)=0,Inputs!$F$161,IF(MOD(BD72,4)=0,Inputs!$F$162,0)),0)</f>
        <v/>
      </c>
      <c r="BE73" s="11">
        <f>IF(AND(Time!BE25&gt;0,BE72&gt;=1,BE72&lt;=24,Time!BE27&lt;(BE72-1)*12+7,(BE72-1)*12+7&lt;=Time!BE28),IF(MOD(BE72,8)=0,Inputs!$F$161,IF(MOD(BE72,4)=0,Inputs!$F$162,0)),0)</f>
        <v/>
      </c>
      <c r="BF73" s="11">
        <f>IF(AND(Time!BF25&gt;0,BF72&gt;=1,BF72&lt;=24,Time!BF27&lt;(BF72-1)*12+7,(BF72-1)*12+7&lt;=Time!BF28),IF(MOD(BF72,8)=0,Inputs!$F$161,IF(MOD(BF72,4)=0,Inputs!$F$162,0)),0)</f>
        <v/>
      </c>
      <c r="BG73" s="11">
        <f>IF(AND(Time!BG25&gt;0,BG72&gt;=1,BG72&lt;=24,Time!BG27&lt;(BG72-1)*12+7,(BG72-1)*12+7&lt;=Time!BG28),IF(MOD(BG72,8)=0,Inputs!$F$161,IF(MOD(BG72,4)=0,Inputs!$F$162,0)),0)</f>
        <v/>
      </c>
      <c r="BH73" s="11">
        <f>IF(AND(Time!BH25&gt;0,BH72&gt;=1,BH72&lt;=24,Time!BH27&lt;(BH72-1)*12+7,(BH72-1)*12+7&lt;=Time!BH28),IF(MOD(BH72,8)=0,Inputs!$F$161,IF(MOD(BH72,4)=0,Inputs!$F$162,0)),0)</f>
        <v/>
      </c>
      <c r="BI73" s="11">
        <f>IF(AND(Time!BI25&gt;0,BI72&gt;=1,BI72&lt;=24,Time!BI27&lt;(BI72-1)*12+7,(BI72-1)*12+7&lt;=Time!BI28),IF(MOD(BI72,8)=0,Inputs!$F$161,IF(MOD(BI72,4)=0,Inputs!$F$162,0)),0)</f>
        <v/>
      </c>
      <c r="BJ73" s="11">
        <f>IF(AND(Time!BJ25&gt;0,BJ72&gt;=1,BJ72&lt;=24,Time!BJ27&lt;(BJ72-1)*12+7,(BJ72-1)*12+7&lt;=Time!BJ28),IF(MOD(BJ72,8)=0,Inputs!$F$161,IF(MOD(BJ72,4)=0,Inputs!$F$162,0)),0)</f>
        <v/>
      </c>
      <c r="BK73" s="11">
        <f>IF(AND(Time!BK25&gt;0,BK72&gt;=1,BK72&lt;=24,Time!BK27&lt;(BK72-1)*12+7,(BK72-1)*12+7&lt;=Time!BK28),IF(MOD(BK72,8)=0,Inputs!$F$161,IF(MOD(BK72,4)=0,Inputs!$F$162,0)),0)</f>
        <v/>
      </c>
      <c r="BL73" s="11">
        <f>IF(AND(Time!BL25&gt;0,BL72&gt;=1,BL72&lt;=24,Time!BL27&lt;(BL72-1)*12+7,(BL72-1)*12+7&lt;=Time!BL28),IF(MOD(BL72,8)=0,Inputs!$F$161,IF(MOD(BL72,4)=0,Inputs!$F$162,0)),0)</f>
        <v/>
      </c>
      <c r="BM73" s="11">
        <f>IF(AND(Time!BM25&gt;0,BM72&gt;=1,BM72&lt;=24,Time!BM27&lt;(BM72-1)*12+7,(BM72-1)*12+7&lt;=Time!BM28),IF(MOD(BM72,8)=0,Inputs!$F$161,IF(MOD(BM72,4)=0,Inputs!$F$162,0)),0)</f>
        <v/>
      </c>
      <c r="BN73" s="11">
        <f>IF(AND(Time!BN25&gt;0,BN72&gt;=1,BN72&lt;=24,Time!BN27&lt;(BN72-1)*12+7,(BN72-1)*12+7&lt;=Time!BN28),IF(MOD(BN72,8)=0,Inputs!$F$161,IF(MOD(BN72,4)=0,Inputs!$F$162,0)),0)</f>
        <v/>
      </c>
    </row>
    <row r="74">
      <c r="D74" t="inlineStr">
        <is>
          <t>Major maintenance spend</t>
        </is>
      </c>
      <c r="E74" t="inlineStr">
        <is>
          <t>USD m</t>
        </is>
      </c>
      <c r="G74" s="11">
        <f>SUM(J74:BN74)</f>
        <v/>
      </c>
      <c r="J74" s="11">
        <f>J73*J19</f>
        <v/>
      </c>
      <c r="K74" s="11">
        <f>K73*K19</f>
        <v/>
      </c>
      <c r="L74" s="11">
        <f>L73*L19</f>
        <v/>
      </c>
      <c r="M74" s="11">
        <f>M73*M19</f>
        <v/>
      </c>
      <c r="N74" s="11">
        <f>N73*N19</f>
        <v/>
      </c>
      <c r="O74" s="11">
        <f>O73*O19</f>
        <v/>
      </c>
      <c r="P74" s="11">
        <f>P73*P19</f>
        <v/>
      </c>
      <c r="Q74" s="11">
        <f>Q73*Q19</f>
        <v/>
      </c>
      <c r="R74" s="11">
        <f>R73*R19</f>
        <v/>
      </c>
      <c r="S74" s="11">
        <f>S73*S19</f>
        <v/>
      </c>
      <c r="T74" s="11">
        <f>T73*T19</f>
        <v/>
      </c>
      <c r="U74" s="11">
        <f>U73*U19</f>
        <v/>
      </c>
      <c r="V74" s="11">
        <f>V73*V19</f>
        <v/>
      </c>
      <c r="W74" s="11">
        <f>W73*W19</f>
        <v/>
      </c>
      <c r="X74" s="11">
        <f>X73*X19</f>
        <v/>
      </c>
      <c r="Y74" s="11">
        <f>Y73*Y19</f>
        <v/>
      </c>
      <c r="Z74" s="11">
        <f>Z73*Z19</f>
        <v/>
      </c>
      <c r="AA74" s="11">
        <f>AA73*AA19</f>
        <v/>
      </c>
      <c r="AB74" s="11">
        <f>AB73*AB19</f>
        <v/>
      </c>
      <c r="AC74" s="11">
        <f>AC73*AC19</f>
        <v/>
      </c>
      <c r="AD74" s="11">
        <f>AD73*AD19</f>
        <v/>
      </c>
      <c r="AE74" s="11">
        <f>AE73*AE19</f>
        <v/>
      </c>
      <c r="AF74" s="11">
        <f>AF73*AF19</f>
        <v/>
      </c>
      <c r="AG74" s="11">
        <f>AG73*AG19</f>
        <v/>
      </c>
      <c r="AH74" s="11">
        <f>AH73*AH19</f>
        <v/>
      </c>
      <c r="AI74" s="11">
        <f>AI73*AI19</f>
        <v/>
      </c>
      <c r="AJ74" s="11">
        <f>AJ73*AJ19</f>
        <v/>
      </c>
      <c r="AK74" s="11">
        <f>AK73*AK19</f>
        <v/>
      </c>
      <c r="AL74" s="11">
        <f>AL73*AL19</f>
        <v/>
      </c>
      <c r="AM74" s="11">
        <f>AM73*AM19</f>
        <v/>
      </c>
      <c r="AN74" s="11">
        <f>AN73*AN19</f>
        <v/>
      </c>
      <c r="AO74" s="11">
        <f>AO73*AO19</f>
        <v/>
      </c>
      <c r="AP74" s="11">
        <f>AP73*AP19</f>
        <v/>
      </c>
      <c r="AQ74" s="11">
        <f>AQ73*AQ19</f>
        <v/>
      </c>
      <c r="AR74" s="11">
        <f>AR73*AR19</f>
        <v/>
      </c>
      <c r="AS74" s="11">
        <f>AS73*AS19</f>
        <v/>
      </c>
      <c r="AT74" s="11">
        <f>AT73*AT19</f>
        <v/>
      </c>
      <c r="AU74" s="11">
        <f>AU73*AU19</f>
        <v/>
      </c>
      <c r="AV74" s="11">
        <f>AV73*AV19</f>
        <v/>
      </c>
      <c r="AW74" s="11">
        <f>AW73*AW19</f>
        <v/>
      </c>
      <c r="AX74" s="11">
        <f>AX73*AX19</f>
        <v/>
      </c>
      <c r="AY74" s="11">
        <f>AY73*AY19</f>
        <v/>
      </c>
      <c r="AZ74" s="11">
        <f>AZ73*AZ19</f>
        <v/>
      </c>
      <c r="BA74" s="11">
        <f>BA73*BA19</f>
        <v/>
      </c>
      <c r="BB74" s="11">
        <f>BB73*BB19</f>
        <v/>
      </c>
      <c r="BC74" s="11">
        <f>BC73*BC19</f>
        <v/>
      </c>
      <c r="BD74" s="11">
        <f>BD73*BD19</f>
        <v/>
      </c>
      <c r="BE74" s="11">
        <f>BE73*BE19</f>
        <v/>
      </c>
      <c r="BF74" s="11">
        <f>BF73*BF19</f>
        <v/>
      </c>
      <c r="BG74" s="11">
        <f>BG73*BG19</f>
        <v/>
      </c>
      <c r="BH74" s="11">
        <f>BH73*BH19</f>
        <v/>
      </c>
      <c r="BI74" s="11">
        <f>BI73*BI19</f>
        <v/>
      </c>
      <c r="BJ74" s="11">
        <f>BJ73*BJ19</f>
        <v/>
      </c>
      <c r="BK74" s="11">
        <f>BK73*BK19</f>
        <v/>
      </c>
      <c r="BL74" s="11">
        <f>BL73*BL19</f>
        <v/>
      </c>
      <c r="BM74" s="11">
        <f>BM73*BM19</f>
        <v/>
      </c>
      <c r="BN74" s="11">
        <f>BN73*BN19</f>
        <v/>
      </c>
    </row>
    <row r="75">
      <c r="D75" t="inlineStr">
        <is>
          <t>Months in period from OY20</t>
        </is>
      </c>
      <c r="E75" t="inlineStr">
        <is>
          <t>months</t>
        </is>
      </c>
      <c r="J75" s="9">
        <f>MAX(0,MIN(Time!J28,300)-MAX(Time!J27,228))</f>
        <v/>
      </c>
      <c r="K75" s="9">
        <f>MAX(0,MIN(Time!K28,300)-MAX(Time!K27,228))</f>
        <v/>
      </c>
      <c r="L75" s="9">
        <f>MAX(0,MIN(Time!L28,300)-MAX(Time!L27,228))</f>
        <v/>
      </c>
      <c r="M75" s="9">
        <f>MAX(0,MIN(Time!M28,300)-MAX(Time!M27,228))</f>
        <v/>
      </c>
      <c r="N75" s="9">
        <f>MAX(0,MIN(Time!N28,300)-MAX(Time!N27,228))</f>
        <v/>
      </c>
      <c r="O75" s="9">
        <f>MAX(0,MIN(Time!O28,300)-MAX(Time!O27,228))</f>
        <v/>
      </c>
      <c r="P75" s="9">
        <f>MAX(0,MIN(Time!P28,300)-MAX(Time!P27,228))</f>
        <v/>
      </c>
      <c r="Q75" s="9">
        <f>MAX(0,MIN(Time!Q28,300)-MAX(Time!Q27,228))</f>
        <v/>
      </c>
      <c r="R75" s="9">
        <f>MAX(0,MIN(Time!R28,300)-MAX(Time!R27,228))</f>
        <v/>
      </c>
      <c r="S75" s="9">
        <f>MAX(0,MIN(Time!S28,300)-MAX(Time!S27,228))</f>
        <v/>
      </c>
      <c r="T75" s="9">
        <f>MAX(0,MIN(Time!T28,300)-MAX(Time!T27,228))</f>
        <v/>
      </c>
      <c r="U75" s="9">
        <f>MAX(0,MIN(Time!U28,300)-MAX(Time!U27,228))</f>
        <v/>
      </c>
      <c r="V75" s="9">
        <f>MAX(0,MIN(Time!V28,300)-MAX(Time!V27,228))</f>
        <v/>
      </c>
      <c r="W75" s="9">
        <f>MAX(0,MIN(Time!W28,300)-MAX(Time!W27,228))</f>
        <v/>
      </c>
      <c r="X75" s="9">
        <f>MAX(0,MIN(Time!X28,300)-MAX(Time!X27,228))</f>
        <v/>
      </c>
      <c r="Y75" s="9">
        <f>MAX(0,MIN(Time!Y28,300)-MAX(Time!Y27,228))</f>
        <v/>
      </c>
      <c r="Z75" s="9">
        <f>MAX(0,MIN(Time!Z28,300)-MAX(Time!Z27,228))</f>
        <v/>
      </c>
      <c r="AA75" s="9">
        <f>MAX(0,MIN(Time!AA28,300)-MAX(Time!AA27,228))</f>
        <v/>
      </c>
      <c r="AB75" s="9">
        <f>MAX(0,MIN(Time!AB28,300)-MAX(Time!AB27,228))</f>
        <v/>
      </c>
      <c r="AC75" s="9">
        <f>MAX(0,MIN(Time!AC28,300)-MAX(Time!AC27,228))</f>
        <v/>
      </c>
      <c r="AD75" s="9">
        <f>MAX(0,MIN(Time!AD28,300)-MAX(Time!AD27,228))</f>
        <v/>
      </c>
      <c r="AE75" s="9">
        <f>MAX(0,MIN(Time!AE28,300)-MAX(Time!AE27,228))</f>
        <v/>
      </c>
      <c r="AF75" s="9">
        <f>MAX(0,MIN(Time!AF28,300)-MAX(Time!AF27,228))</f>
        <v/>
      </c>
      <c r="AG75" s="9">
        <f>MAX(0,MIN(Time!AG28,300)-MAX(Time!AG27,228))</f>
        <v/>
      </c>
      <c r="AH75" s="9">
        <f>MAX(0,MIN(Time!AH28,300)-MAX(Time!AH27,228))</f>
        <v/>
      </c>
      <c r="AI75" s="9">
        <f>MAX(0,MIN(Time!AI28,300)-MAX(Time!AI27,228))</f>
        <v/>
      </c>
      <c r="AJ75" s="9">
        <f>MAX(0,MIN(Time!AJ28,300)-MAX(Time!AJ27,228))</f>
        <v/>
      </c>
      <c r="AK75" s="9">
        <f>MAX(0,MIN(Time!AK28,300)-MAX(Time!AK27,228))</f>
        <v/>
      </c>
      <c r="AL75" s="9">
        <f>MAX(0,MIN(Time!AL28,300)-MAX(Time!AL27,228))</f>
        <v/>
      </c>
      <c r="AM75" s="9">
        <f>MAX(0,MIN(Time!AM28,300)-MAX(Time!AM27,228))</f>
        <v/>
      </c>
      <c r="AN75" s="9">
        <f>MAX(0,MIN(Time!AN28,300)-MAX(Time!AN27,228))</f>
        <v/>
      </c>
      <c r="AO75" s="9">
        <f>MAX(0,MIN(Time!AO28,300)-MAX(Time!AO27,228))</f>
        <v/>
      </c>
      <c r="AP75" s="9">
        <f>MAX(0,MIN(Time!AP28,300)-MAX(Time!AP27,228))</f>
        <v/>
      </c>
      <c r="AQ75" s="9">
        <f>MAX(0,MIN(Time!AQ28,300)-MAX(Time!AQ27,228))</f>
        <v/>
      </c>
      <c r="AR75" s="9">
        <f>MAX(0,MIN(Time!AR28,300)-MAX(Time!AR27,228))</f>
        <v/>
      </c>
      <c r="AS75" s="9">
        <f>MAX(0,MIN(Time!AS28,300)-MAX(Time!AS27,228))</f>
        <v/>
      </c>
      <c r="AT75" s="9">
        <f>MAX(0,MIN(Time!AT28,300)-MAX(Time!AT27,228))</f>
        <v/>
      </c>
      <c r="AU75" s="9">
        <f>MAX(0,MIN(Time!AU28,300)-MAX(Time!AU27,228))</f>
        <v/>
      </c>
      <c r="AV75" s="9">
        <f>MAX(0,MIN(Time!AV28,300)-MAX(Time!AV27,228))</f>
        <v/>
      </c>
      <c r="AW75" s="9">
        <f>MAX(0,MIN(Time!AW28,300)-MAX(Time!AW27,228))</f>
        <v/>
      </c>
      <c r="AX75" s="9">
        <f>MAX(0,MIN(Time!AX28,300)-MAX(Time!AX27,228))</f>
        <v/>
      </c>
      <c r="AY75" s="9">
        <f>MAX(0,MIN(Time!AY28,300)-MAX(Time!AY27,228))</f>
        <v/>
      </c>
      <c r="AZ75" s="9">
        <f>MAX(0,MIN(Time!AZ28,300)-MAX(Time!AZ27,228))</f>
        <v/>
      </c>
      <c r="BA75" s="9">
        <f>MAX(0,MIN(Time!BA28,300)-MAX(Time!BA27,228))</f>
        <v/>
      </c>
      <c r="BB75" s="9">
        <f>MAX(0,MIN(Time!BB28,300)-MAX(Time!BB27,228))</f>
        <v/>
      </c>
      <c r="BC75" s="9">
        <f>MAX(0,MIN(Time!BC28,300)-MAX(Time!BC27,228))</f>
        <v/>
      </c>
      <c r="BD75" s="9">
        <f>MAX(0,MIN(Time!BD28,300)-MAX(Time!BD27,228))</f>
        <v/>
      </c>
      <c r="BE75" s="9">
        <f>MAX(0,MIN(Time!BE28,300)-MAX(Time!BE27,228))</f>
        <v/>
      </c>
      <c r="BF75" s="9">
        <f>MAX(0,MIN(Time!BF28,300)-MAX(Time!BF27,228))</f>
        <v/>
      </c>
      <c r="BG75" s="9">
        <f>MAX(0,MIN(Time!BG28,300)-MAX(Time!BG27,228))</f>
        <v/>
      </c>
      <c r="BH75" s="9">
        <f>MAX(0,MIN(Time!BH28,300)-MAX(Time!BH27,228))</f>
        <v/>
      </c>
      <c r="BI75" s="9">
        <f>MAX(0,MIN(Time!BI28,300)-MAX(Time!BI27,228))</f>
        <v/>
      </c>
      <c r="BJ75" s="9">
        <f>MAX(0,MIN(Time!BJ28,300)-MAX(Time!BJ27,228))</f>
        <v/>
      </c>
      <c r="BK75" s="9">
        <f>MAX(0,MIN(Time!BK28,300)-MAX(Time!BK27,228))</f>
        <v/>
      </c>
      <c r="BL75" s="9">
        <f>MAX(0,MIN(Time!BL28,300)-MAX(Time!BL27,228))</f>
        <v/>
      </c>
      <c r="BM75" s="9">
        <f>MAX(0,MIN(Time!BM28,300)-MAX(Time!BM27,228))</f>
        <v/>
      </c>
      <c r="BN75" s="9">
        <f>MAX(0,MIN(Time!BN28,300)-MAX(Time!BN27,228))</f>
        <v/>
      </c>
    </row>
    <row r="76">
      <c r="D76" t="inlineStr">
        <is>
          <t>Handback reserve contribution required</t>
        </is>
      </c>
      <c r="E76" t="inlineStr">
        <is>
          <t>USD m</t>
        </is>
      </c>
      <c r="G76" s="11">
        <f>SUM(J76:BN76)</f>
        <v/>
      </c>
      <c r="J76" s="11">
        <f>Inputs!$F$163*J19*J75/12</f>
        <v/>
      </c>
      <c r="K76" s="11">
        <f>Inputs!$F$163*K19*K75/12</f>
        <v/>
      </c>
      <c r="L76" s="11">
        <f>Inputs!$F$163*L19*L75/12</f>
        <v/>
      </c>
      <c r="M76" s="11">
        <f>Inputs!$F$163*M19*M75/12</f>
        <v/>
      </c>
      <c r="N76" s="11">
        <f>Inputs!$F$163*N19*N75/12</f>
        <v/>
      </c>
      <c r="O76" s="11">
        <f>Inputs!$F$163*O19*O75/12</f>
        <v/>
      </c>
      <c r="P76" s="11">
        <f>Inputs!$F$163*P19*P75/12</f>
        <v/>
      </c>
      <c r="Q76" s="11">
        <f>Inputs!$F$163*Q19*Q75/12</f>
        <v/>
      </c>
      <c r="R76" s="11">
        <f>Inputs!$F$163*R19*R75/12</f>
        <v/>
      </c>
      <c r="S76" s="11">
        <f>Inputs!$F$163*S19*S75/12</f>
        <v/>
      </c>
      <c r="T76" s="11">
        <f>Inputs!$F$163*T19*T75/12</f>
        <v/>
      </c>
      <c r="U76" s="11">
        <f>Inputs!$F$163*U19*U75/12</f>
        <v/>
      </c>
      <c r="V76" s="11">
        <f>Inputs!$F$163*V19*V75/12</f>
        <v/>
      </c>
      <c r="W76" s="11">
        <f>Inputs!$F$163*W19*W75/12</f>
        <v/>
      </c>
      <c r="X76" s="11">
        <f>Inputs!$F$163*X19*X75/12</f>
        <v/>
      </c>
      <c r="Y76" s="11">
        <f>Inputs!$F$163*Y19*Y75/12</f>
        <v/>
      </c>
      <c r="Z76" s="11">
        <f>Inputs!$F$163*Z19*Z75/12</f>
        <v/>
      </c>
      <c r="AA76" s="11">
        <f>Inputs!$F$163*AA19*AA75/12</f>
        <v/>
      </c>
      <c r="AB76" s="11">
        <f>Inputs!$F$163*AB19*AB75/12</f>
        <v/>
      </c>
      <c r="AC76" s="11">
        <f>Inputs!$F$163*AC19*AC75/12</f>
        <v/>
      </c>
      <c r="AD76" s="11">
        <f>Inputs!$F$163*AD19*AD75/12</f>
        <v/>
      </c>
      <c r="AE76" s="11">
        <f>Inputs!$F$163*AE19*AE75/12</f>
        <v/>
      </c>
      <c r="AF76" s="11">
        <f>Inputs!$F$163*AF19*AF75/12</f>
        <v/>
      </c>
      <c r="AG76" s="11">
        <f>Inputs!$F$163*AG19*AG75/12</f>
        <v/>
      </c>
      <c r="AH76" s="11">
        <f>Inputs!$F$163*AH19*AH75/12</f>
        <v/>
      </c>
      <c r="AI76" s="11">
        <f>Inputs!$F$163*AI19*AI75/12</f>
        <v/>
      </c>
      <c r="AJ76" s="11">
        <f>Inputs!$F$163*AJ19*AJ75/12</f>
        <v/>
      </c>
      <c r="AK76" s="11">
        <f>Inputs!$F$163*AK19*AK75/12</f>
        <v/>
      </c>
      <c r="AL76" s="11">
        <f>Inputs!$F$163*AL19*AL75/12</f>
        <v/>
      </c>
      <c r="AM76" s="11">
        <f>Inputs!$F$163*AM19*AM75/12</f>
        <v/>
      </c>
      <c r="AN76" s="11">
        <f>Inputs!$F$163*AN19*AN75/12</f>
        <v/>
      </c>
      <c r="AO76" s="11">
        <f>Inputs!$F$163*AO19*AO75/12</f>
        <v/>
      </c>
      <c r="AP76" s="11">
        <f>Inputs!$F$163*AP19*AP75/12</f>
        <v/>
      </c>
      <c r="AQ76" s="11">
        <f>Inputs!$F$163*AQ19*AQ75/12</f>
        <v/>
      </c>
      <c r="AR76" s="11">
        <f>Inputs!$F$163*AR19*AR75/12</f>
        <v/>
      </c>
      <c r="AS76" s="11">
        <f>Inputs!$F$163*AS19*AS75/12</f>
        <v/>
      </c>
      <c r="AT76" s="11">
        <f>Inputs!$F$163*AT19*AT75/12</f>
        <v/>
      </c>
      <c r="AU76" s="11">
        <f>Inputs!$F$163*AU19*AU75/12</f>
        <v/>
      </c>
      <c r="AV76" s="11">
        <f>Inputs!$F$163*AV19*AV75/12</f>
        <v/>
      </c>
      <c r="AW76" s="11">
        <f>Inputs!$F$163*AW19*AW75/12</f>
        <v/>
      </c>
      <c r="AX76" s="11">
        <f>Inputs!$F$163*AX19*AX75/12</f>
        <v/>
      </c>
      <c r="AY76" s="11">
        <f>Inputs!$F$163*AY19*AY75/12</f>
        <v/>
      </c>
      <c r="AZ76" s="11">
        <f>Inputs!$F$163*AZ19*AZ75/12</f>
        <v/>
      </c>
      <c r="BA76" s="11">
        <f>Inputs!$F$163*BA19*BA75/12</f>
        <v/>
      </c>
      <c r="BB76" s="11">
        <f>Inputs!$F$163*BB19*BB75/12</f>
        <v/>
      </c>
      <c r="BC76" s="11">
        <f>Inputs!$F$163*BC19*BC75/12</f>
        <v/>
      </c>
      <c r="BD76" s="11">
        <f>Inputs!$F$163*BD19*BD75/12</f>
        <v/>
      </c>
      <c r="BE76" s="11">
        <f>Inputs!$F$163*BE19*BE75/12</f>
        <v/>
      </c>
      <c r="BF76" s="11">
        <f>Inputs!$F$163*BF19*BF75/12</f>
        <v/>
      </c>
      <c r="BG76" s="11">
        <f>Inputs!$F$163*BG19*BG75/12</f>
        <v/>
      </c>
      <c r="BH76" s="11">
        <f>Inputs!$F$163*BH19*BH75/12</f>
        <v/>
      </c>
      <c r="BI76" s="11">
        <f>Inputs!$F$163*BI19*BI75/12</f>
        <v/>
      </c>
      <c r="BJ76" s="11">
        <f>Inputs!$F$163*BJ19*BJ75/12</f>
        <v/>
      </c>
      <c r="BK76" s="11">
        <f>Inputs!$F$163*BK19*BK75/12</f>
        <v/>
      </c>
      <c r="BL76" s="11">
        <f>Inputs!$F$163*BL19*BL75/12</f>
        <v/>
      </c>
      <c r="BM76" s="11">
        <f>Inputs!$F$163*BM19*BM75/12</f>
        <v/>
      </c>
      <c r="BN76" s="11">
        <f>Inputs!$F$163*BN19*BN75/12</f>
        <v/>
      </c>
    </row>
    <row r="77">
      <c r="D77" t="inlineStr">
        <is>
          <t>Handback works at PPA expiry</t>
        </is>
      </c>
      <c r="E77" t="inlineStr">
        <is>
          <t>USD m</t>
        </is>
      </c>
      <c r="G77" s="11">
        <f>SUM(J77:BN77)</f>
        <v/>
      </c>
      <c r="J77" s="11">
        <f>Time!J32*SUM($J$76:$BN$76)</f>
        <v/>
      </c>
      <c r="K77" s="11">
        <f>Time!K32*SUM($J$76:$BN$76)</f>
        <v/>
      </c>
      <c r="L77" s="11">
        <f>Time!L32*SUM($J$76:$BN$76)</f>
        <v/>
      </c>
      <c r="M77" s="11">
        <f>Time!M32*SUM($J$76:$BN$76)</f>
        <v/>
      </c>
      <c r="N77" s="11">
        <f>Time!N32*SUM($J$76:$BN$76)</f>
        <v/>
      </c>
      <c r="O77" s="11">
        <f>Time!O32*SUM($J$76:$BN$76)</f>
        <v/>
      </c>
      <c r="P77" s="11">
        <f>Time!P32*SUM($J$76:$BN$76)</f>
        <v/>
      </c>
      <c r="Q77" s="11">
        <f>Time!Q32*SUM($J$76:$BN$76)</f>
        <v/>
      </c>
      <c r="R77" s="11">
        <f>Time!R32*SUM($J$76:$BN$76)</f>
        <v/>
      </c>
      <c r="S77" s="11">
        <f>Time!S32*SUM($J$76:$BN$76)</f>
        <v/>
      </c>
      <c r="T77" s="11">
        <f>Time!T32*SUM($J$76:$BN$76)</f>
        <v/>
      </c>
      <c r="U77" s="11">
        <f>Time!U32*SUM($J$76:$BN$76)</f>
        <v/>
      </c>
      <c r="V77" s="11">
        <f>Time!V32*SUM($J$76:$BN$76)</f>
        <v/>
      </c>
      <c r="W77" s="11">
        <f>Time!W32*SUM($J$76:$BN$76)</f>
        <v/>
      </c>
      <c r="X77" s="11">
        <f>Time!X32*SUM($J$76:$BN$76)</f>
        <v/>
      </c>
      <c r="Y77" s="11">
        <f>Time!Y32*SUM($J$76:$BN$76)</f>
        <v/>
      </c>
      <c r="Z77" s="11">
        <f>Time!Z32*SUM($J$76:$BN$76)</f>
        <v/>
      </c>
      <c r="AA77" s="11">
        <f>Time!AA32*SUM($J$76:$BN$76)</f>
        <v/>
      </c>
      <c r="AB77" s="11">
        <f>Time!AB32*SUM($J$76:$BN$76)</f>
        <v/>
      </c>
      <c r="AC77" s="11">
        <f>Time!AC32*SUM($J$76:$BN$76)</f>
        <v/>
      </c>
      <c r="AD77" s="11">
        <f>Time!AD32*SUM($J$76:$BN$76)</f>
        <v/>
      </c>
      <c r="AE77" s="11">
        <f>Time!AE32*SUM($J$76:$BN$76)</f>
        <v/>
      </c>
      <c r="AF77" s="11">
        <f>Time!AF32*SUM($J$76:$BN$76)</f>
        <v/>
      </c>
      <c r="AG77" s="11">
        <f>Time!AG32*SUM($J$76:$BN$76)</f>
        <v/>
      </c>
      <c r="AH77" s="11">
        <f>Time!AH32*SUM($J$76:$BN$76)</f>
        <v/>
      </c>
      <c r="AI77" s="11">
        <f>Time!AI32*SUM($J$76:$BN$76)</f>
        <v/>
      </c>
      <c r="AJ77" s="11">
        <f>Time!AJ32*SUM($J$76:$BN$76)</f>
        <v/>
      </c>
      <c r="AK77" s="11">
        <f>Time!AK32*SUM($J$76:$BN$76)</f>
        <v/>
      </c>
      <c r="AL77" s="11">
        <f>Time!AL32*SUM($J$76:$BN$76)</f>
        <v/>
      </c>
      <c r="AM77" s="11">
        <f>Time!AM32*SUM($J$76:$BN$76)</f>
        <v/>
      </c>
      <c r="AN77" s="11">
        <f>Time!AN32*SUM($J$76:$BN$76)</f>
        <v/>
      </c>
      <c r="AO77" s="11">
        <f>Time!AO32*SUM($J$76:$BN$76)</f>
        <v/>
      </c>
      <c r="AP77" s="11">
        <f>Time!AP32*SUM($J$76:$BN$76)</f>
        <v/>
      </c>
      <c r="AQ77" s="11">
        <f>Time!AQ32*SUM($J$76:$BN$76)</f>
        <v/>
      </c>
      <c r="AR77" s="11">
        <f>Time!AR32*SUM($J$76:$BN$76)</f>
        <v/>
      </c>
      <c r="AS77" s="11">
        <f>Time!AS32*SUM($J$76:$BN$76)</f>
        <v/>
      </c>
      <c r="AT77" s="11">
        <f>Time!AT32*SUM($J$76:$BN$76)</f>
        <v/>
      </c>
      <c r="AU77" s="11">
        <f>Time!AU32*SUM($J$76:$BN$76)</f>
        <v/>
      </c>
      <c r="AV77" s="11">
        <f>Time!AV32*SUM($J$76:$BN$76)</f>
        <v/>
      </c>
      <c r="AW77" s="11">
        <f>Time!AW32*SUM($J$76:$BN$76)</f>
        <v/>
      </c>
      <c r="AX77" s="11">
        <f>Time!AX32*SUM($J$76:$BN$76)</f>
        <v/>
      </c>
      <c r="AY77" s="11">
        <f>Time!AY32*SUM($J$76:$BN$76)</f>
        <v/>
      </c>
      <c r="AZ77" s="11">
        <f>Time!AZ32*SUM($J$76:$BN$76)</f>
        <v/>
      </c>
      <c r="BA77" s="11">
        <f>Time!BA32*SUM($J$76:$BN$76)</f>
        <v/>
      </c>
      <c r="BB77" s="11">
        <f>Time!BB32*SUM($J$76:$BN$76)</f>
        <v/>
      </c>
      <c r="BC77" s="11">
        <f>Time!BC32*SUM($J$76:$BN$76)</f>
        <v/>
      </c>
      <c r="BD77" s="11">
        <f>Time!BD32*SUM($J$76:$BN$76)</f>
        <v/>
      </c>
      <c r="BE77" s="11">
        <f>Time!BE32*SUM($J$76:$BN$76)</f>
        <v/>
      </c>
      <c r="BF77" s="11">
        <f>Time!BF32*SUM($J$76:$BN$76)</f>
        <v/>
      </c>
      <c r="BG77" s="11">
        <f>Time!BG32*SUM($J$76:$BN$76)</f>
        <v/>
      </c>
      <c r="BH77" s="11">
        <f>Time!BH32*SUM($J$76:$BN$76)</f>
        <v/>
      </c>
      <c r="BI77" s="11">
        <f>Time!BI32*SUM($J$76:$BN$76)</f>
        <v/>
      </c>
      <c r="BJ77" s="11">
        <f>Time!BJ32*SUM($J$76:$BN$76)</f>
        <v/>
      </c>
      <c r="BK77" s="11">
        <f>Time!BK32*SUM($J$76:$BN$76)</f>
        <v/>
      </c>
      <c r="BL77" s="11">
        <f>Time!BL32*SUM($J$76:$BN$76)</f>
        <v/>
      </c>
      <c r="BM77" s="11">
        <f>Time!BM32*SUM($J$76:$BN$76)</f>
        <v/>
      </c>
      <c r="BN77" s="11">
        <f>Time!BN32*SUM($J$76:$BN$76)</f>
        <v/>
      </c>
    </row>
    <row r="78">
      <c r="D78" t="inlineStr">
        <is>
          <t>Total operating costs</t>
        </is>
      </c>
      <c r="E78" t="inlineStr">
        <is>
          <t>USD m</t>
        </is>
      </c>
      <c r="G78" s="11">
        <f>SUM(J78:BN78)</f>
        <v/>
      </c>
      <c r="J78" s="11">
        <f>J67+J69+J70+J71+J74+J77</f>
        <v/>
      </c>
      <c r="K78" s="11">
        <f>K67+K69+K70+K71+K74+K77</f>
        <v/>
      </c>
      <c r="L78" s="11">
        <f>L67+L69+L70+L71+L74+L77</f>
        <v/>
      </c>
      <c r="M78" s="11">
        <f>M67+M69+M70+M71+M74+M77</f>
        <v/>
      </c>
      <c r="N78" s="11">
        <f>N67+N69+N70+N71+N74+N77</f>
        <v/>
      </c>
      <c r="O78" s="11">
        <f>O67+O69+O70+O71+O74+O77</f>
        <v/>
      </c>
      <c r="P78" s="11">
        <f>P67+P69+P70+P71+P74+P77</f>
        <v/>
      </c>
      <c r="Q78" s="11">
        <f>Q67+Q69+Q70+Q71+Q74+Q77</f>
        <v/>
      </c>
      <c r="R78" s="11">
        <f>R67+R69+R70+R71+R74+R77</f>
        <v/>
      </c>
      <c r="S78" s="11">
        <f>S67+S69+S70+S71+S74+S77</f>
        <v/>
      </c>
      <c r="T78" s="11">
        <f>T67+T69+T70+T71+T74+T77</f>
        <v/>
      </c>
      <c r="U78" s="11">
        <f>U67+U69+U70+U71+U74+U77</f>
        <v/>
      </c>
      <c r="V78" s="11">
        <f>V67+V69+V70+V71+V74+V77</f>
        <v/>
      </c>
      <c r="W78" s="11">
        <f>W67+W69+W70+W71+W74+W77</f>
        <v/>
      </c>
      <c r="X78" s="11">
        <f>X67+X69+X70+X71+X74+X77</f>
        <v/>
      </c>
      <c r="Y78" s="11">
        <f>Y67+Y69+Y70+Y71+Y74+Y77</f>
        <v/>
      </c>
      <c r="Z78" s="11">
        <f>Z67+Z69+Z70+Z71+Z74+Z77</f>
        <v/>
      </c>
      <c r="AA78" s="11">
        <f>AA67+AA69+AA70+AA71+AA74+AA77</f>
        <v/>
      </c>
      <c r="AB78" s="11">
        <f>AB67+AB69+AB70+AB71+AB74+AB77</f>
        <v/>
      </c>
      <c r="AC78" s="11">
        <f>AC67+AC69+AC70+AC71+AC74+AC77</f>
        <v/>
      </c>
      <c r="AD78" s="11">
        <f>AD67+AD69+AD70+AD71+AD74+AD77</f>
        <v/>
      </c>
      <c r="AE78" s="11">
        <f>AE67+AE69+AE70+AE71+AE74+AE77</f>
        <v/>
      </c>
      <c r="AF78" s="11">
        <f>AF67+AF69+AF70+AF71+AF74+AF77</f>
        <v/>
      </c>
      <c r="AG78" s="11">
        <f>AG67+AG69+AG70+AG71+AG74+AG77</f>
        <v/>
      </c>
      <c r="AH78" s="11">
        <f>AH67+AH69+AH70+AH71+AH74+AH77</f>
        <v/>
      </c>
      <c r="AI78" s="11">
        <f>AI67+AI69+AI70+AI71+AI74+AI77</f>
        <v/>
      </c>
      <c r="AJ78" s="11">
        <f>AJ67+AJ69+AJ70+AJ71+AJ74+AJ77</f>
        <v/>
      </c>
      <c r="AK78" s="11">
        <f>AK67+AK69+AK70+AK71+AK74+AK77</f>
        <v/>
      </c>
      <c r="AL78" s="11">
        <f>AL67+AL69+AL70+AL71+AL74+AL77</f>
        <v/>
      </c>
      <c r="AM78" s="11">
        <f>AM67+AM69+AM70+AM71+AM74+AM77</f>
        <v/>
      </c>
      <c r="AN78" s="11">
        <f>AN67+AN69+AN70+AN71+AN74+AN77</f>
        <v/>
      </c>
      <c r="AO78" s="11">
        <f>AO67+AO69+AO70+AO71+AO74+AO77</f>
        <v/>
      </c>
      <c r="AP78" s="11">
        <f>AP67+AP69+AP70+AP71+AP74+AP77</f>
        <v/>
      </c>
      <c r="AQ78" s="11">
        <f>AQ67+AQ69+AQ70+AQ71+AQ74+AQ77</f>
        <v/>
      </c>
      <c r="AR78" s="11">
        <f>AR67+AR69+AR70+AR71+AR74+AR77</f>
        <v/>
      </c>
      <c r="AS78" s="11">
        <f>AS67+AS69+AS70+AS71+AS74+AS77</f>
        <v/>
      </c>
      <c r="AT78" s="11">
        <f>AT67+AT69+AT70+AT71+AT74+AT77</f>
        <v/>
      </c>
      <c r="AU78" s="11">
        <f>AU67+AU69+AU70+AU71+AU74+AU77</f>
        <v/>
      </c>
      <c r="AV78" s="11">
        <f>AV67+AV69+AV70+AV71+AV74+AV77</f>
        <v/>
      </c>
      <c r="AW78" s="11">
        <f>AW67+AW69+AW70+AW71+AW74+AW77</f>
        <v/>
      </c>
      <c r="AX78" s="11">
        <f>AX67+AX69+AX70+AX71+AX74+AX77</f>
        <v/>
      </c>
      <c r="AY78" s="11">
        <f>AY67+AY69+AY70+AY71+AY74+AY77</f>
        <v/>
      </c>
      <c r="AZ78" s="11">
        <f>AZ67+AZ69+AZ70+AZ71+AZ74+AZ77</f>
        <v/>
      </c>
      <c r="BA78" s="11">
        <f>BA67+BA69+BA70+BA71+BA74+BA77</f>
        <v/>
      </c>
      <c r="BB78" s="11">
        <f>BB67+BB69+BB70+BB71+BB74+BB77</f>
        <v/>
      </c>
      <c r="BC78" s="11">
        <f>BC67+BC69+BC70+BC71+BC74+BC77</f>
        <v/>
      </c>
      <c r="BD78" s="11">
        <f>BD67+BD69+BD70+BD71+BD74+BD77</f>
        <v/>
      </c>
      <c r="BE78" s="11">
        <f>BE67+BE69+BE70+BE71+BE74+BE77</f>
        <v/>
      </c>
      <c r="BF78" s="11">
        <f>BF67+BF69+BF70+BF71+BF74+BF77</f>
        <v/>
      </c>
      <c r="BG78" s="11">
        <f>BG67+BG69+BG70+BG71+BG74+BG77</f>
        <v/>
      </c>
      <c r="BH78" s="11">
        <f>BH67+BH69+BH70+BH71+BH74+BH77</f>
        <v/>
      </c>
      <c r="BI78" s="11">
        <f>BI67+BI69+BI70+BI71+BI74+BI77</f>
        <v/>
      </c>
      <c r="BJ78" s="11">
        <f>BJ67+BJ69+BJ70+BJ71+BJ74+BJ77</f>
        <v/>
      </c>
      <c r="BK78" s="11">
        <f>BK67+BK69+BK70+BK71+BK74+BK77</f>
        <v/>
      </c>
      <c r="BL78" s="11">
        <f>BL67+BL69+BL70+BL71+BL74+BL77</f>
        <v/>
      </c>
      <c r="BM78" s="11">
        <f>BM67+BM69+BM70+BM71+BM74+BM77</f>
        <v/>
      </c>
      <c r="BN78" s="11">
        <f>BN67+BN69+BN70+BN71+BN74+BN77</f>
        <v/>
      </c>
    </row>
    <row r="79">
      <c r="D79" t="inlineStr">
        <is>
          <t>EBITDA</t>
        </is>
      </c>
      <c r="E79" t="inlineStr">
        <is>
          <t>USD m</t>
        </is>
      </c>
      <c r="G79" s="11">
        <f>SUM(J79:BN79)</f>
        <v/>
      </c>
      <c r="J79" s="11">
        <f>J51-J78+J53</f>
        <v/>
      </c>
      <c r="K79" s="11">
        <f>K51-K78+K53</f>
        <v/>
      </c>
      <c r="L79" s="11">
        <f>L51-L78+L53</f>
        <v/>
      </c>
      <c r="M79" s="11">
        <f>M51-M78+M53</f>
        <v/>
      </c>
      <c r="N79" s="11">
        <f>N51-N78+N53</f>
        <v/>
      </c>
      <c r="O79" s="11">
        <f>O51-O78+O53</f>
        <v/>
      </c>
      <c r="P79" s="11">
        <f>P51-P78+P53</f>
        <v/>
      </c>
      <c r="Q79" s="11">
        <f>Q51-Q78+Q53</f>
        <v/>
      </c>
      <c r="R79" s="11">
        <f>R51-R78+R53</f>
        <v/>
      </c>
      <c r="S79" s="11">
        <f>S51-S78+S53</f>
        <v/>
      </c>
      <c r="T79" s="11">
        <f>T51-T78+T53</f>
        <v/>
      </c>
      <c r="U79" s="11">
        <f>U51-U78+U53</f>
        <v/>
      </c>
      <c r="V79" s="11">
        <f>V51-V78+V53</f>
        <v/>
      </c>
      <c r="W79" s="11">
        <f>W51-W78+W53</f>
        <v/>
      </c>
      <c r="X79" s="11">
        <f>X51-X78+X53</f>
        <v/>
      </c>
      <c r="Y79" s="11">
        <f>Y51-Y78+Y53</f>
        <v/>
      </c>
      <c r="Z79" s="11">
        <f>Z51-Z78+Z53</f>
        <v/>
      </c>
      <c r="AA79" s="11">
        <f>AA51-AA78+AA53</f>
        <v/>
      </c>
      <c r="AB79" s="11">
        <f>AB51-AB78+AB53</f>
        <v/>
      </c>
      <c r="AC79" s="11">
        <f>AC51-AC78+AC53</f>
        <v/>
      </c>
      <c r="AD79" s="11">
        <f>AD51-AD78+AD53</f>
        <v/>
      </c>
      <c r="AE79" s="11">
        <f>AE51-AE78+AE53</f>
        <v/>
      </c>
      <c r="AF79" s="11">
        <f>AF51-AF78+AF53</f>
        <v/>
      </c>
      <c r="AG79" s="11">
        <f>AG51-AG78+AG53</f>
        <v/>
      </c>
      <c r="AH79" s="11">
        <f>AH51-AH78+AH53</f>
        <v/>
      </c>
      <c r="AI79" s="11">
        <f>AI51-AI78+AI53</f>
        <v/>
      </c>
      <c r="AJ79" s="11">
        <f>AJ51-AJ78+AJ53</f>
        <v/>
      </c>
      <c r="AK79" s="11">
        <f>AK51-AK78+AK53</f>
        <v/>
      </c>
      <c r="AL79" s="11">
        <f>AL51-AL78+AL53</f>
        <v/>
      </c>
      <c r="AM79" s="11">
        <f>AM51-AM78+AM53</f>
        <v/>
      </c>
      <c r="AN79" s="11">
        <f>AN51-AN78+AN53</f>
        <v/>
      </c>
      <c r="AO79" s="11">
        <f>AO51-AO78+AO53</f>
        <v/>
      </c>
      <c r="AP79" s="11">
        <f>AP51-AP78+AP53</f>
        <v/>
      </c>
      <c r="AQ79" s="11">
        <f>AQ51-AQ78+AQ53</f>
        <v/>
      </c>
      <c r="AR79" s="11">
        <f>AR51-AR78+AR53</f>
        <v/>
      </c>
      <c r="AS79" s="11">
        <f>AS51-AS78+AS53</f>
        <v/>
      </c>
      <c r="AT79" s="11">
        <f>AT51-AT78+AT53</f>
        <v/>
      </c>
      <c r="AU79" s="11">
        <f>AU51-AU78+AU53</f>
        <v/>
      </c>
      <c r="AV79" s="11">
        <f>AV51-AV78+AV53</f>
        <v/>
      </c>
      <c r="AW79" s="11">
        <f>AW51-AW78+AW53</f>
        <v/>
      </c>
      <c r="AX79" s="11">
        <f>AX51-AX78+AX53</f>
        <v/>
      </c>
      <c r="AY79" s="11">
        <f>AY51-AY78+AY53</f>
        <v/>
      </c>
      <c r="AZ79" s="11">
        <f>AZ51-AZ78+AZ53</f>
        <v/>
      </c>
      <c r="BA79" s="11">
        <f>BA51-BA78+BA53</f>
        <v/>
      </c>
      <c r="BB79" s="11">
        <f>BB51-BB78+BB53</f>
        <v/>
      </c>
      <c r="BC79" s="11">
        <f>BC51-BC78+BC53</f>
        <v/>
      </c>
      <c r="BD79" s="11">
        <f>BD51-BD78+BD53</f>
        <v/>
      </c>
      <c r="BE79" s="11">
        <f>BE51-BE78+BE53</f>
        <v/>
      </c>
      <c r="BF79" s="11">
        <f>BF51-BF78+BF53</f>
        <v/>
      </c>
      <c r="BG79" s="11">
        <f>BG51-BG78+BG53</f>
        <v/>
      </c>
      <c r="BH79" s="11">
        <f>BH51-BH78+BH53</f>
        <v/>
      </c>
      <c r="BI79" s="11">
        <f>BI51-BI78+BI53</f>
        <v/>
      </c>
      <c r="BJ79" s="11">
        <f>BJ51-BJ78+BJ53</f>
        <v/>
      </c>
      <c r="BK79" s="11">
        <f>BK51-BK78+BK53</f>
        <v/>
      </c>
      <c r="BL79" s="11">
        <f>BL51-BL78+BL53</f>
        <v/>
      </c>
      <c r="BM79" s="11">
        <f>BM51-BM78+BM53</f>
        <v/>
      </c>
      <c r="BN79" s="11">
        <f>BN51-BN78+BN53</f>
        <v/>
      </c>
    </row>
    <row r="80">
      <c r="B80" s="2" t="inlineStr">
        <is>
          <t>Working capital (USD m, period-end balances)</t>
        </is>
      </c>
    </row>
    <row r="81">
      <c r="D81" t="inlineStr">
        <is>
          <t>Flag: final operating period or later (working capital unwinds)</t>
        </is>
      </c>
      <c r="E81" t="inlineStr">
        <is>
          <t>flag</t>
        </is>
      </c>
      <c r="J81" s="9">
        <f>IF(Time!J17&gt;=Time!$F$14,1,0)</f>
        <v/>
      </c>
      <c r="K81" s="9">
        <f>IF(Time!K17&gt;=Time!$F$14,1,0)</f>
        <v/>
      </c>
      <c r="L81" s="9">
        <f>IF(Time!L17&gt;=Time!$F$14,1,0)</f>
        <v/>
      </c>
      <c r="M81" s="9">
        <f>IF(Time!M17&gt;=Time!$F$14,1,0)</f>
        <v/>
      </c>
      <c r="N81" s="9">
        <f>IF(Time!N17&gt;=Time!$F$14,1,0)</f>
        <v/>
      </c>
      <c r="O81" s="9">
        <f>IF(Time!O17&gt;=Time!$F$14,1,0)</f>
        <v/>
      </c>
      <c r="P81" s="9">
        <f>IF(Time!P17&gt;=Time!$F$14,1,0)</f>
        <v/>
      </c>
      <c r="Q81" s="9">
        <f>IF(Time!Q17&gt;=Time!$F$14,1,0)</f>
        <v/>
      </c>
      <c r="R81" s="9">
        <f>IF(Time!R17&gt;=Time!$F$14,1,0)</f>
        <v/>
      </c>
      <c r="S81" s="9">
        <f>IF(Time!S17&gt;=Time!$F$14,1,0)</f>
        <v/>
      </c>
      <c r="T81" s="9">
        <f>IF(Time!T17&gt;=Time!$F$14,1,0)</f>
        <v/>
      </c>
      <c r="U81" s="9">
        <f>IF(Time!U17&gt;=Time!$F$14,1,0)</f>
        <v/>
      </c>
      <c r="V81" s="9">
        <f>IF(Time!V17&gt;=Time!$F$14,1,0)</f>
        <v/>
      </c>
      <c r="W81" s="9">
        <f>IF(Time!W17&gt;=Time!$F$14,1,0)</f>
        <v/>
      </c>
      <c r="X81" s="9">
        <f>IF(Time!X17&gt;=Time!$F$14,1,0)</f>
        <v/>
      </c>
      <c r="Y81" s="9">
        <f>IF(Time!Y17&gt;=Time!$F$14,1,0)</f>
        <v/>
      </c>
      <c r="Z81" s="9">
        <f>IF(Time!Z17&gt;=Time!$F$14,1,0)</f>
        <v/>
      </c>
      <c r="AA81" s="9">
        <f>IF(Time!AA17&gt;=Time!$F$14,1,0)</f>
        <v/>
      </c>
      <c r="AB81" s="9">
        <f>IF(Time!AB17&gt;=Time!$F$14,1,0)</f>
        <v/>
      </c>
      <c r="AC81" s="9">
        <f>IF(Time!AC17&gt;=Time!$F$14,1,0)</f>
        <v/>
      </c>
      <c r="AD81" s="9">
        <f>IF(Time!AD17&gt;=Time!$F$14,1,0)</f>
        <v/>
      </c>
      <c r="AE81" s="9">
        <f>IF(Time!AE17&gt;=Time!$F$14,1,0)</f>
        <v/>
      </c>
      <c r="AF81" s="9">
        <f>IF(Time!AF17&gt;=Time!$F$14,1,0)</f>
        <v/>
      </c>
      <c r="AG81" s="9">
        <f>IF(Time!AG17&gt;=Time!$F$14,1,0)</f>
        <v/>
      </c>
      <c r="AH81" s="9">
        <f>IF(Time!AH17&gt;=Time!$F$14,1,0)</f>
        <v/>
      </c>
      <c r="AI81" s="9">
        <f>IF(Time!AI17&gt;=Time!$F$14,1,0)</f>
        <v/>
      </c>
      <c r="AJ81" s="9">
        <f>IF(Time!AJ17&gt;=Time!$F$14,1,0)</f>
        <v/>
      </c>
      <c r="AK81" s="9">
        <f>IF(Time!AK17&gt;=Time!$F$14,1,0)</f>
        <v/>
      </c>
      <c r="AL81" s="9">
        <f>IF(Time!AL17&gt;=Time!$F$14,1,0)</f>
        <v/>
      </c>
      <c r="AM81" s="9">
        <f>IF(Time!AM17&gt;=Time!$F$14,1,0)</f>
        <v/>
      </c>
      <c r="AN81" s="9">
        <f>IF(Time!AN17&gt;=Time!$F$14,1,0)</f>
        <v/>
      </c>
      <c r="AO81" s="9">
        <f>IF(Time!AO17&gt;=Time!$F$14,1,0)</f>
        <v/>
      </c>
      <c r="AP81" s="9">
        <f>IF(Time!AP17&gt;=Time!$F$14,1,0)</f>
        <v/>
      </c>
      <c r="AQ81" s="9">
        <f>IF(Time!AQ17&gt;=Time!$F$14,1,0)</f>
        <v/>
      </c>
      <c r="AR81" s="9">
        <f>IF(Time!AR17&gt;=Time!$F$14,1,0)</f>
        <v/>
      </c>
      <c r="AS81" s="9">
        <f>IF(Time!AS17&gt;=Time!$F$14,1,0)</f>
        <v/>
      </c>
      <c r="AT81" s="9">
        <f>IF(Time!AT17&gt;=Time!$F$14,1,0)</f>
        <v/>
      </c>
      <c r="AU81" s="9">
        <f>IF(Time!AU17&gt;=Time!$F$14,1,0)</f>
        <v/>
      </c>
      <c r="AV81" s="9">
        <f>IF(Time!AV17&gt;=Time!$F$14,1,0)</f>
        <v/>
      </c>
      <c r="AW81" s="9">
        <f>IF(Time!AW17&gt;=Time!$F$14,1,0)</f>
        <v/>
      </c>
      <c r="AX81" s="9">
        <f>IF(Time!AX17&gt;=Time!$F$14,1,0)</f>
        <v/>
      </c>
      <c r="AY81" s="9">
        <f>IF(Time!AY17&gt;=Time!$F$14,1,0)</f>
        <v/>
      </c>
      <c r="AZ81" s="9">
        <f>IF(Time!AZ17&gt;=Time!$F$14,1,0)</f>
        <v/>
      </c>
      <c r="BA81" s="9">
        <f>IF(Time!BA17&gt;=Time!$F$14,1,0)</f>
        <v/>
      </c>
      <c r="BB81" s="9">
        <f>IF(Time!BB17&gt;=Time!$F$14,1,0)</f>
        <v/>
      </c>
      <c r="BC81" s="9">
        <f>IF(Time!BC17&gt;=Time!$F$14,1,0)</f>
        <v/>
      </c>
      <c r="BD81" s="9">
        <f>IF(Time!BD17&gt;=Time!$F$14,1,0)</f>
        <v/>
      </c>
      <c r="BE81" s="9">
        <f>IF(Time!BE17&gt;=Time!$F$14,1,0)</f>
        <v/>
      </c>
      <c r="BF81" s="9">
        <f>IF(Time!BF17&gt;=Time!$F$14,1,0)</f>
        <v/>
      </c>
      <c r="BG81" s="9">
        <f>IF(Time!BG17&gt;=Time!$F$14,1,0)</f>
        <v/>
      </c>
      <c r="BH81" s="9">
        <f>IF(Time!BH17&gt;=Time!$F$14,1,0)</f>
        <v/>
      </c>
      <c r="BI81" s="9">
        <f>IF(Time!BI17&gt;=Time!$F$14,1,0)</f>
        <v/>
      </c>
      <c r="BJ81" s="9">
        <f>IF(Time!BJ17&gt;=Time!$F$14,1,0)</f>
        <v/>
      </c>
      <c r="BK81" s="9">
        <f>IF(Time!BK17&gt;=Time!$F$14,1,0)</f>
        <v/>
      </c>
      <c r="BL81" s="9">
        <f>IF(Time!BL17&gt;=Time!$F$14,1,0)</f>
        <v/>
      </c>
      <c r="BM81" s="9">
        <f>IF(Time!BM17&gt;=Time!$F$14,1,0)</f>
        <v/>
      </c>
      <c r="BN81" s="9">
        <f>IF(Time!BN17&gt;=Time!$F$14,1,0)</f>
        <v/>
      </c>
    </row>
    <row r="82">
      <c r="D82" t="inlineStr">
        <is>
          <t>Extra receivable days on capacity and VOM (sensitivities)</t>
        </is>
      </c>
      <c r="E82" t="inlineStr">
        <is>
          <t>days</t>
        </is>
      </c>
      <c r="J82" s="9">
        <f>Inputs!$F$43*Time!J33</f>
        <v/>
      </c>
      <c r="K82" s="9">
        <f>Inputs!$F$43*Time!K33</f>
        <v/>
      </c>
      <c r="L82" s="9">
        <f>Inputs!$F$43*Time!L33</f>
        <v/>
      </c>
      <c r="M82" s="9">
        <f>Inputs!$F$43*Time!M33</f>
        <v/>
      </c>
      <c r="N82" s="9">
        <f>Inputs!$F$43*Time!N33</f>
        <v/>
      </c>
      <c r="O82" s="9">
        <f>Inputs!$F$43*Time!O33</f>
        <v/>
      </c>
      <c r="P82" s="9">
        <f>Inputs!$F$43*Time!P33</f>
        <v/>
      </c>
      <c r="Q82" s="9">
        <f>Inputs!$F$43*Time!Q33</f>
        <v/>
      </c>
      <c r="R82" s="9">
        <f>Inputs!$F$43*Time!R33</f>
        <v/>
      </c>
      <c r="S82" s="9">
        <f>Inputs!$F$43*Time!S33</f>
        <v/>
      </c>
      <c r="T82" s="9">
        <f>Inputs!$F$43*Time!T33</f>
        <v/>
      </c>
      <c r="U82" s="9">
        <f>Inputs!$F$43*Time!U33</f>
        <v/>
      </c>
      <c r="V82" s="9">
        <f>Inputs!$F$43*Time!V33</f>
        <v/>
      </c>
      <c r="W82" s="9">
        <f>Inputs!$F$43*Time!W33</f>
        <v/>
      </c>
      <c r="X82" s="9">
        <f>Inputs!$F$43*Time!X33</f>
        <v/>
      </c>
      <c r="Y82" s="9">
        <f>Inputs!$F$43*Time!Y33</f>
        <v/>
      </c>
      <c r="Z82" s="9">
        <f>Inputs!$F$43*Time!Z33</f>
        <v/>
      </c>
      <c r="AA82" s="9">
        <f>Inputs!$F$43*Time!AA33</f>
        <v/>
      </c>
      <c r="AB82" s="9">
        <f>Inputs!$F$43*Time!AB33</f>
        <v/>
      </c>
      <c r="AC82" s="9">
        <f>Inputs!$F$43*Time!AC33</f>
        <v/>
      </c>
      <c r="AD82" s="9">
        <f>Inputs!$F$43*Time!AD33</f>
        <v/>
      </c>
      <c r="AE82" s="9">
        <f>Inputs!$F$43*Time!AE33</f>
        <v/>
      </c>
      <c r="AF82" s="9">
        <f>Inputs!$F$43*Time!AF33</f>
        <v/>
      </c>
      <c r="AG82" s="9">
        <f>Inputs!$F$43*Time!AG33</f>
        <v/>
      </c>
      <c r="AH82" s="9">
        <f>Inputs!$F$43*Time!AH33</f>
        <v/>
      </c>
      <c r="AI82" s="9">
        <f>Inputs!$F$43*Time!AI33</f>
        <v/>
      </c>
      <c r="AJ82" s="9">
        <f>Inputs!$F$43*Time!AJ33</f>
        <v/>
      </c>
      <c r="AK82" s="9">
        <f>Inputs!$F$43*Time!AK33</f>
        <v/>
      </c>
      <c r="AL82" s="9">
        <f>Inputs!$F$43*Time!AL33</f>
        <v/>
      </c>
      <c r="AM82" s="9">
        <f>Inputs!$F$43*Time!AM33</f>
        <v/>
      </c>
      <c r="AN82" s="9">
        <f>Inputs!$F$43*Time!AN33</f>
        <v/>
      </c>
      <c r="AO82" s="9">
        <f>Inputs!$F$43*Time!AO33</f>
        <v/>
      </c>
      <c r="AP82" s="9">
        <f>Inputs!$F$43*Time!AP33</f>
        <v/>
      </c>
      <c r="AQ82" s="9">
        <f>Inputs!$F$43*Time!AQ33</f>
        <v/>
      </c>
      <c r="AR82" s="9">
        <f>Inputs!$F$43*Time!AR33</f>
        <v/>
      </c>
      <c r="AS82" s="9">
        <f>Inputs!$F$43*Time!AS33</f>
        <v/>
      </c>
      <c r="AT82" s="9">
        <f>Inputs!$F$43*Time!AT33</f>
        <v/>
      </c>
      <c r="AU82" s="9">
        <f>Inputs!$F$43*Time!AU33</f>
        <v/>
      </c>
      <c r="AV82" s="9">
        <f>Inputs!$F$43*Time!AV33</f>
        <v/>
      </c>
      <c r="AW82" s="9">
        <f>Inputs!$F$43*Time!AW33</f>
        <v/>
      </c>
      <c r="AX82" s="9">
        <f>Inputs!$F$43*Time!AX33</f>
        <v/>
      </c>
      <c r="AY82" s="9">
        <f>Inputs!$F$43*Time!AY33</f>
        <v/>
      </c>
      <c r="AZ82" s="9">
        <f>Inputs!$F$43*Time!AZ33</f>
        <v/>
      </c>
      <c r="BA82" s="9">
        <f>Inputs!$F$43*Time!BA33</f>
        <v/>
      </c>
      <c r="BB82" s="9">
        <f>Inputs!$F$43*Time!BB33</f>
        <v/>
      </c>
      <c r="BC82" s="9">
        <f>Inputs!$F$43*Time!BC33</f>
        <v/>
      </c>
      <c r="BD82" s="9">
        <f>Inputs!$F$43*Time!BD33</f>
        <v/>
      </c>
      <c r="BE82" s="9">
        <f>Inputs!$F$43*Time!BE33</f>
        <v/>
      </c>
      <c r="BF82" s="9">
        <f>Inputs!$F$43*Time!BF33</f>
        <v/>
      </c>
      <c r="BG82" s="9">
        <f>Inputs!$F$43*Time!BG33</f>
        <v/>
      </c>
      <c r="BH82" s="9">
        <f>Inputs!$F$43*Time!BH33</f>
        <v/>
      </c>
      <c r="BI82" s="9">
        <f>Inputs!$F$43*Time!BI33</f>
        <v/>
      </c>
      <c r="BJ82" s="9">
        <f>Inputs!$F$43*Time!BJ33</f>
        <v/>
      </c>
      <c r="BK82" s="9">
        <f>Inputs!$F$43*Time!BK33</f>
        <v/>
      </c>
      <c r="BL82" s="9">
        <f>Inputs!$F$43*Time!BL33</f>
        <v/>
      </c>
      <c r="BM82" s="9">
        <f>Inputs!$F$43*Time!BM33</f>
        <v/>
      </c>
      <c r="BN82" s="9">
        <f>Inputs!$F$43*Time!BN33</f>
        <v/>
      </c>
    </row>
    <row r="83">
      <c r="D83" t="inlineStr">
        <is>
          <t>Trade receivables (normal terms)</t>
        </is>
      </c>
      <c r="E83" t="inlineStr">
        <is>
          <t>USD m</t>
        </is>
      </c>
      <c r="J83" s="11">
        <f>(1-J81)*(J51/MAX(Time!J26,1)*Inputs!$F$165+J50/MAX(Time!J26,1)*J82)</f>
        <v/>
      </c>
      <c r="K83" s="11">
        <f>(1-K81)*(K51/MAX(Time!K26,1)*Inputs!$F$165+K50/MAX(Time!K26,1)*K82)</f>
        <v/>
      </c>
      <c r="L83" s="11">
        <f>(1-L81)*(L51/MAX(Time!L26,1)*Inputs!$F$165+L50/MAX(Time!L26,1)*L82)</f>
        <v/>
      </c>
      <c r="M83" s="11">
        <f>(1-M81)*(M51/MAX(Time!M26,1)*Inputs!$F$165+M50/MAX(Time!M26,1)*M82)</f>
        <v/>
      </c>
      <c r="N83" s="11">
        <f>(1-N81)*(N51/MAX(Time!N26,1)*Inputs!$F$165+N50/MAX(Time!N26,1)*N82)</f>
        <v/>
      </c>
      <c r="O83" s="11">
        <f>(1-O81)*(O51/MAX(Time!O26,1)*Inputs!$F$165+O50/MAX(Time!O26,1)*O82)</f>
        <v/>
      </c>
      <c r="P83" s="11">
        <f>(1-P81)*(P51/MAX(Time!P26,1)*Inputs!$F$165+P50/MAX(Time!P26,1)*P82)</f>
        <v/>
      </c>
      <c r="Q83" s="11">
        <f>(1-Q81)*(Q51/MAX(Time!Q26,1)*Inputs!$F$165+Q50/MAX(Time!Q26,1)*Q82)</f>
        <v/>
      </c>
      <c r="R83" s="11">
        <f>(1-R81)*(R51/MAX(Time!R26,1)*Inputs!$F$165+R50/MAX(Time!R26,1)*R82)</f>
        <v/>
      </c>
      <c r="S83" s="11">
        <f>(1-S81)*(S51/MAX(Time!S26,1)*Inputs!$F$165+S50/MAX(Time!S26,1)*S82)</f>
        <v/>
      </c>
      <c r="T83" s="11">
        <f>(1-T81)*(T51/MAX(Time!T26,1)*Inputs!$F$165+T50/MAX(Time!T26,1)*T82)</f>
        <v/>
      </c>
      <c r="U83" s="11">
        <f>(1-U81)*(U51/MAX(Time!U26,1)*Inputs!$F$165+U50/MAX(Time!U26,1)*U82)</f>
        <v/>
      </c>
      <c r="V83" s="11">
        <f>(1-V81)*(V51/MAX(Time!V26,1)*Inputs!$F$165+V50/MAX(Time!V26,1)*V82)</f>
        <v/>
      </c>
      <c r="W83" s="11">
        <f>(1-W81)*(W51/MAX(Time!W26,1)*Inputs!$F$165+W50/MAX(Time!W26,1)*W82)</f>
        <v/>
      </c>
      <c r="X83" s="11">
        <f>(1-X81)*(X51/MAX(Time!X26,1)*Inputs!$F$165+X50/MAX(Time!X26,1)*X82)</f>
        <v/>
      </c>
      <c r="Y83" s="11">
        <f>(1-Y81)*(Y51/MAX(Time!Y26,1)*Inputs!$F$165+Y50/MAX(Time!Y26,1)*Y82)</f>
        <v/>
      </c>
      <c r="Z83" s="11">
        <f>(1-Z81)*(Z51/MAX(Time!Z26,1)*Inputs!$F$165+Z50/MAX(Time!Z26,1)*Z82)</f>
        <v/>
      </c>
      <c r="AA83" s="11">
        <f>(1-AA81)*(AA51/MAX(Time!AA26,1)*Inputs!$F$165+AA50/MAX(Time!AA26,1)*AA82)</f>
        <v/>
      </c>
      <c r="AB83" s="11">
        <f>(1-AB81)*(AB51/MAX(Time!AB26,1)*Inputs!$F$165+AB50/MAX(Time!AB26,1)*AB82)</f>
        <v/>
      </c>
      <c r="AC83" s="11">
        <f>(1-AC81)*(AC51/MAX(Time!AC26,1)*Inputs!$F$165+AC50/MAX(Time!AC26,1)*AC82)</f>
        <v/>
      </c>
      <c r="AD83" s="11">
        <f>(1-AD81)*(AD51/MAX(Time!AD26,1)*Inputs!$F$165+AD50/MAX(Time!AD26,1)*AD82)</f>
        <v/>
      </c>
      <c r="AE83" s="11">
        <f>(1-AE81)*(AE51/MAX(Time!AE26,1)*Inputs!$F$165+AE50/MAX(Time!AE26,1)*AE82)</f>
        <v/>
      </c>
      <c r="AF83" s="11">
        <f>(1-AF81)*(AF51/MAX(Time!AF26,1)*Inputs!$F$165+AF50/MAX(Time!AF26,1)*AF82)</f>
        <v/>
      </c>
      <c r="AG83" s="11">
        <f>(1-AG81)*(AG51/MAX(Time!AG26,1)*Inputs!$F$165+AG50/MAX(Time!AG26,1)*AG82)</f>
        <v/>
      </c>
      <c r="AH83" s="11">
        <f>(1-AH81)*(AH51/MAX(Time!AH26,1)*Inputs!$F$165+AH50/MAX(Time!AH26,1)*AH82)</f>
        <v/>
      </c>
      <c r="AI83" s="11">
        <f>(1-AI81)*(AI51/MAX(Time!AI26,1)*Inputs!$F$165+AI50/MAX(Time!AI26,1)*AI82)</f>
        <v/>
      </c>
      <c r="AJ83" s="11">
        <f>(1-AJ81)*(AJ51/MAX(Time!AJ26,1)*Inputs!$F$165+AJ50/MAX(Time!AJ26,1)*AJ82)</f>
        <v/>
      </c>
      <c r="AK83" s="11">
        <f>(1-AK81)*(AK51/MAX(Time!AK26,1)*Inputs!$F$165+AK50/MAX(Time!AK26,1)*AK82)</f>
        <v/>
      </c>
      <c r="AL83" s="11">
        <f>(1-AL81)*(AL51/MAX(Time!AL26,1)*Inputs!$F$165+AL50/MAX(Time!AL26,1)*AL82)</f>
        <v/>
      </c>
      <c r="AM83" s="11">
        <f>(1-AM81)*(AM51/MAX(Time!AM26,1)*Inputs!$F$165+AM50/MAX(Time!AM26,1)*AM82)</f>
        <v/>
      </c>
      <c r="AN83" s="11">
        <f>(1-AN81)*(AN51/MAX(Time!AN26,1)*Inputs!$F$165+AN50/MAX(Time!AN26,1)*AN82)</f>
        <v/>
      </c>
      <c r="AO83" s="11">
        <f>(1-AO81)*(AO51/MAX(Time!AO26,1)*Inputs!$F$165+AO50/MAX(Time!AO26,1)*AO82)</f>
        <v/>
      </c>
      <c r="AP83" s="11">
        <f>(1-AP81)*(AP51/MAX(Time!AP26,1)*Inputs!$F$165+AP50/MAX(Time!AP26,1)*AP82)</f>
        <v/>
      </c>
      <c r="AQ83" s="11">
        <f>(1-AQ81)*(AQ51/MAX(Time!AQ26,1)*Inputs!$F$165+AQ50/MAX(Time!AQ26,1)*AQ82)</f>
        <v/>
      </c>
      <c r="AR83" s="11">
        <f>(1-AR81)*(AR51/MAX(Time!AR26,1)*Inputs!$F$165+AR50/MAX(Time!AR26,1)*AR82)</f>
        <v/>
      </c>
      <c r="AS83" s="11">
        <f>(1-AS81)*(AS51/MAX(Time!AS26,1)*Inputs!$F$165+AS50/MAX(Time!AS26,1)*AS82)</f>
        <v/>
      </c>
      <c r="AT83" s="11">
        <f>(1-AT81)*(AT51/MAX(Time!AT26,1)*Inputs!$F$165+AT50/MAX(Time!AT26,1)*AT82)</f>
        <v/>
      </c>
      <c r="AU83" s="11">
        <f>(1-AU81)*(AU51/MAX(Time!AU26,1)*Inputs!$F$165+AU50/MAX(Time!AU26,1)*AU82)</f>
        <v/>
      </c>
      <c r="AV83" s="11">
        <f>(1-AV81)*(AV51/MAX(Time!AV26,1)*Inputs!$F$165+AV50/MAX(Time!AV26,1)*AV82)</f>
        <v/>
      </c>
      <c r="AW83" s="11">
        <f>(1-AW81)*(AW51/MAX(Time!AW26,1)*Inputs!$F$165+AW50/MAX(Time!AW26,1)*AW82)</f>
        <v/>
      </c>
      <c r="AX83" s="11">
        <f>(1-AX81)*(AX51/MAX(Time!AX26,1)*Inputs!$F$165+AX50/MAX(Time!AX26,1)*AX82)</f>
        <v/>
      </c>
      <c r="AY83" s="11">
        <f>(1-AY81)*(AY51/MAX(Time!AY26,1)*Inputs!$F$165+AY50/MAX(Time!AY26,1)*AY82)</f>
        <v/>
      </c>
      <c r="AZ83" s="11">
        <f>(1-AZ81)*(AZ51/MAX(Time!AZ26,1)*Inputs!$F$165+AZ50/MAX(Time!AZ26,1)*AZ82)</f>
        <v/>
      </c>
      <c r="BA83" s="11">
        <f>(1-BA81)*(BA51/MAX(Time!BA26,1)*Inputs!$F$165+BA50/MAX(Time!BA26,1)*BA82)</f>
        <v/>
      </c>
      <c r="BB83" s="11">
        <f>(1-BB81)*(BB51/MAX(Time!BB26,1)*Inputs!$F$165+BB50/MAX(Time!BB26,1)*BB82)</f>
        <v/>
      </c>
      <c r="BC83" s="11">
        <f>(1-BC81)*(BC51/MAX(Time!BC26,1)*Inputs!$F$165+BC50/MAX(Time!BC26,1)*BC82)</f>
        <v/>
      </c>
      <c r="BD83" s="11">
        <f>(1-BD81)*(BD51/MAX(Time!BD26,1)*Inputs!$F$165+BD50/MAX(Time!BD26,1)*BD82)</f>
        <v/>
      </c>
      <c r="BE83" s="11">
        <f>(1-BE81)*(BE51/MAX(Time!BE26,1)*Inputs!$F$165+BE50/MAX(Time!BE26,1)*BE82)</f>
        <v/>
      </c>
      <c r="BF83" s="11">
        <f>(1-BF81)*(BF51/MAX(Time!BF26,1)*Inputs!$F$165+BF50/MAX(Time!BF26,1)*BF82)</f>
        <v/>
      </c>
      <c r="BG83" s="11">
        <f>(1-BG81)*(BG51/MAX(Time!BG26,1)*Inputs!$F$165+BG50/MAX(Time!BG26,1)*BG82)</f>
        <v/>
      </c>
      <c r="BH83" s="11">
        <f>(1-BH81)*(BH51/MAX(Time!BH26,1)*Inputs!$F$165+BH50/MAX(Time!BH26,1)*BH82)</f>
        <v/>
      </c>
      <c r="BI83" s="11">
        <f>(1-BI81)*(BI51/MAX(Time!BI26,1)*Inputs!$F$165+BI50/MAX(Time!BI26,1)*BI82)</f>
        <v/>
      </c>
      <c r="BJ83" s="11">
        <f>(1-BJ81)*(BJ51/MAX(Time!BJ26,1)*Inputs!$F$165+BJ50/MAX(Time!BJ26,1)*BJ82)</f>
        <v/>
      </c>
      <c r="BK83" s="11">
        <f>(1-BK81)*(BK51/MAX(Time!BK26,1)*Inputs!$F$165+BK50/MAX(Time!BK26,1)*BK82)</f>
        <v/>
      </c>
      <c r="BL83" s="11">
        <f>(1-BL81)*(BL51/MAX(Time!BL26,1)*Inputs!$F$165+BL50/MAX(Time!BL26,1)*BL82)</f>
        <v/>
      </c>
      <c r="BM83" s="11">
        <f>(1-BM81)*(BM51/MAX(Time!BM26,1)*Inputs!$F$165+BM50/MAX(Time!BM26,1)*BM82)</f>
        <v/>
      </c>
      <c r="BN83" s="11">
        <f>(1-BN81)*(BN51/MAX(Time!BN26,1)*Inputs!$F$165+BN50/MAX(Time!BN26,1)*BN82)</f>
        <v/>
      </c>
    </row>
    <row r="84">
      <c r="D84" t="inlineStr">
        <is>
          <t>SEKA overdue receivables</t>
        </is>
      </c>
      <c r="E84" t="inlineStr">
        <is>
          <t>USD m</t>
        </is>
      </c>
      <c r="J84" s="11">
        <f>Inputs!$F$44*Inputs!J216</f>
        <v/>
      </c>
      <c r="K84" s="11">
        <f>Inputs!$F$44*Inputs!K216</f>
        <v/>
      </c>
      <c r="L84" s="11">
        <f>Inputs!$F$44*Inputs!L216</f>
        <v/>
      </c>
      <c r="M84" s="11">
        <f>Inputs!$F$44*Inputs!M216</f>
        <v/>
      </c>
      <c r="N84" s="11">
        <f>Inputs!$F$44*Inputs!N216</f>
        <v/>
      </c>
      <c r="O84" s="11">
        <f>Inputs!$F$44*Inputs!O216</f>
        <v/>
      </c>
      <c r="P84" s="11">
        <f>Inputs!$F$44*Inputs!P216</f>
        <v/>
      </c>
      <c r="Q84" s="11">
        <f>Inputs!$F$44*Inputs!Q216</f>
        <v/>
      </c>
      <c r="R84" s="11">
        <f>Inputs!$F$44*Inputs!R216</f>
        <v/>
      </c>
      <c r="S84" s="11">
        <f>Inputs!$F$44*Inputs!S216</f>
        <v/>
      </c>
      <c r="T84" s="11">
        <f>Inputs!$F$44*Inputs!T216</f>
        <v/>
      </c>
      <c r="U84" s="11">
        <f>Inputs!$F$44*Inputs!U216</f>
        <v/>
      </c>
      <c r="V84" s="11">
        <f>Inputs!$F$44*Inputs!V216</f>
        <v/>
      </c>
      <c r="W84" s="11">
        <f>Inputs!$F$44*Inputs!W216</f>
        <v/>
      </c>
      <c r="X84" s="11">
        <f>Inputs!$F$44*Inputs!X216</f>
        <v/>
      </c>
      <c r="Y84" s="11">
        <f>Inputs!$F$44*Inputs!Y216</f>
        <v/>
      </c>
      <c r="Z84" s="11">
        <f>Inputs!$F$44*Inputs!Z216</f>
        <v/>
      </c>
      <c r="AA84" s="11">
        <f>Inputs!$F$44*Inputs!AA216</f>
        <v/>
      </c>
      <c r="AB84" s="11">
        <f>Inputs!$F$44*Inputs!AB216</f>
        <v/>
      </c>
      <c r="AC84" s="11">
        <f>Inputs!$F$44*Inputs!AC216</f>
        <v/>
      </c>
      <c r="AD84" s="11">
        <f>Inputs!$F$44*Inputs!AD216</f>
        <v/>
      </c>
      <c r="AE84" s="11">
        <f>Inputs!$F$44*Inputs!AE216</f>
        <v/>
      </c>
      <c r="AF84" s="11">
        <f>Inputs!$F$44*Inputs!AF216</f>
        <v/>
      </c>
      <c r="AG84" s="11">
        <f>Inputs!$F$44*Inputs!AG216</f>
        <v/>
      </c>
      <c r="AH84" s="11">
        <f>Inputs!$F$44*Inputs!AH216</f>
        <v/>
      </c>
      <c r="AI84" s="11">
        <f>Inputs!$F$44*Inputs!AI216</f>
        <v/>
      </c>
      <c r="AJ84" s="11">
        <f>Inputs!$F$44*Inputs!AJ216</f>
        <v/>
      </c>
      <c r="AK84" s="11">
        <f>Inputs!$F$44*Inputs!AK216</f>
        <v/>
      </c>
      <c r="AL84" s="11">
        <f>Inputs!$F$44*Inputs!AL216</f>
        <v/>
      </c>
      <c r="AM84" s="11">
        <f>Inputs!$F$44*Inputs!AM216</f>
        <v/>
      </c>
      <c r="AN84" s="11">
        <f>Inputs!$F$44*Inputs!AN216</f>
        <v/>
      </c>
      <c r="AO84" s="11">
        <f>Inputs!$F$44*Inputs!AO216</f>
        <v/>
      </c>
      <c r="AP84" s="11">
        <f>Inputs!$F$44*Inputs!AP216</f>
        <v/>
      </c>
      <c r="AQ84" s="11">
        <f>Inputs!$F$44*Inputs!AQ216</f>
        <v/>
      </c>
      <c r="AR84" s="11">
        <f>Inputs!$F$44*Inputs!AR216</f>
        <v/>
      </c>
      <c r="AS84" s="11">
        <f>Inputs!$F$44*Inputs!AS216</f>
        <v/>
      </c>
      <c r="AT84" s="11">
        <f>Inputs!$F$44*Inputs!AT216</f>
        <v/>
      </c>
      <c r="AU84" s="11">
        <f>Inputs!$F$44*Inputs!AU216</f>
        <v/>
      </c>
      <c r="AV84" s="11">
        <f>Inputs!$F$44*Inputs!AV216</f>
        <v/>
      </c>
      <c r="AW84" s="11">
        <f>Inputs!$F$44*Inputs!AW216</f>
        <v/>
      </c>
      <c r="AX84" s="11">
        <f>Inputs!$F$44*Inputs!AX216</f>
        <v/>
      </c>
      <c r="AY84" s="11">
        <f>Inputs!$F$44*Inputs!AY216</f>
        <v/>
      </c>
      <c r="AZ84" s="11">
        <f>Inputs!$F$44*Inputs!AZ216</f>
        <v/>
      </c>
      <c r="BA84" s="11">
        <f>Inputs!$F$44*Inputs!BA216</f>
        <v/>
      </c>
      <c r="BB84" s="11">
        <f>Inputs!$F$44*Inputs!BB216</f>
        <v/>
      </c>
      <c r="BC84" s="11">
        <f>Inputs!$F$44*Inputs!BC216</f>
        <v/>
      </c>
      <c r="BD84" s="11">
        <f>Inputs!$F$44*Inputs!BD216</f>
        <v/>
      </c>
      <c r="BE84" s="11">
        <f>Inputs!$F$44*Inputs!BE216</f>
        <v/>
      </c>
      <c r="BF84" s="11">
        <f>Inputs!$F$44*Inputs!BF216</f>
        <v/>
      </c>
      <c r="BG84" s="11">
        <f>Inputs!$F$44*Inputs!BG216</f>
        <v/>
      </c>
      <c r="BH84" s="11">
        <f>Inputs!$F$44*Inputs!BH216</f>
        <v/>
      </c>
      <c r="BI84" s="11">
        <f>Inputs!$F$44*Inputs!BI216</f>
        <v/>
      </c>
      <c r="BJ84" s="11">
        <f>Inputs!$F$44*Inputs!BJ216</f>
        <v/>
      </c>
      <c r="BK84" s="11">
        <f>Inputs!$F$44*Inputs!BK216</f>
        <v/>
      </c>
      <c r="BL84" s="11">
        <f>Inputs!$F$44*Inputs!BL216</f>
        <v/>
      </c>
      <c r="BM84" s="11">
        <f>Inputs!$F$44*Inputs!BM216</f>
        <v/>
      </c>
      <c r="BN84" s="11">
        <f>Inputs!$F$44*Inputs!BN216</f>
        <v/>
      </c>
    </row>
    <row r="85">
      <c r="D85" t="inlineStr">
        <is>
          <t>Gas payables</t>
        </is>
      </c>
      <c r="E85" t="inlineStr">
        <is>
          <t>USD m</t>
        </is>
      </c>
      <c r="J85" s="11">
        <f>(1-J81)*(J68+J49)/MAX(Time!J26,1)*Inputs!$F$166</f>
        <v/>
      </c>
      <c r="K85" s="11">
        <f>(1-K81)*(K68+K49)/MAX(Time!K26,1)*Inputs!$F$166</f>
        <v/>
      </c>
      <c r="L85" s="11">
        <f>(1-L81)*(L68+L49)/MAX(Time!L26,1)*Inputs!$F$166</f>
        <v/>
      </c>
      <c r="M85" s="11">
        <f>(1-M81)*(M68+M49)/MAX(Time!M26,1)*Inputs!$F$166</f>
        <v/>
      </c>
      <c r="N85" s="11">
        <f>(1-N81)*(N68+N49)/MAX(Time!N26,1)*Inputs!$F$166</f>
        <v/>
      </c>
      <c r="O85" s="11">
        <f>(1-O81)*(O68+O49)/MAX(Time!O26,1)*Inputs!$F$166</f>
        <v/>
      </c>
      <c r="P85" s="11">
        <f>(1-P81)*(P68+P49)/MAX(Time!P26,1)*Inputs!$F$166</f>
        <v/>
      </c>
      <c r="Q85" s="11">
        <f>(1-Q81)*(Q68+Q49)/MAX(Time!Q26,1)*Inputs!$F$166</f>
        <v/>
      </c>
      <c r="R85" s="11">
        <f>(1-R81)*(R68+R49)/MAX(Time!R26,1)*Inputs!$F$166</f>
        <v/>
      </c>
      <c r="S85" s="11">
        <f>(1-S81)*(S68+S49)/MAX(Time!S26,1)*Inputs!$F$166</f>
        <v/>
      </c>
      <c r="T85" s="11">
        <f>(1-T81)*(T68+T49)/MAX(Time!T26,1)*Inputs!$F$166</f>
        <v/>
      </c>
      <c r="U85" s="11">
        <f>(1-U81)*(U68+U49)/MAX(Time!U26,1)*Inputs!$F$166</f>
        <v/>
      </c>
      <c r="V85" s="11">
        <f>(1-V81)*(V68+V49)/MAX(Time!V26,1)*Inputs!$F$166</f>
        <v/>
      </c>
      <c r="W85" s="11">
        <f>(1-W81)*(W68+W49)/MAX(Time!W26,1)*Inputs!$F$166</f>
        <v/>
      </c>
      <c r="X85" s="11">
        <f>(1-X81)*(X68+X49)/MAX(Time!X26,1)*Inputs!$F$166</f>
        <v/>
      </c>
      <c r="Y85" s="11">
        <f>(1-Y81)*(Y68+Y49)/MAX(Time!Y26,1)*Inputs!$F$166</f>
        <v/>
      </c>
      <c r="Z85" s="11">
        <f>(1-Z81)*(Z68+Z49)/MAX(Time!Z26,1)*Inputs!$F$166</f>
        <v/>
      </c>
      <c r="AA85" s="11">
        <f>(1-AA81)*(AA68+AA49)/MAX(Time!AA26,1)*Inputs!$F$166</f>
        <v/>
      </c>
      <c r="AB85" s="11">
        <f>(1-AB81)*(AB68+AB49)/MAX(Time!AB26,1)*Inputs!$F$166</f>
        <v/>
      </c>
      <c r="AC85" s="11">
        <f>(1-AC81)*(AC68+AC49)/MAX(Time!AC26,1)*Inputs!$F$166</f>
        <v/>
      </c>
      <c r="AD85" s="11">
        <f>(1-AD81)*(AD68+AD49)/MAX(Time!AD26,1)*Inputs!$F$166</f>
        <v/>
      </c>
      <c r="AE85" s="11">
        <f>(1-AE81)*(AE68+AE49)/MAX(Time!AE26,1)*Inputs!$F$166</f>
        <v/>
      </c>
      <c r="AF85" s="11">
        <f>(1-AF81)*(AF68+AF49)/MAX(Time!AF26,1)*Inputs!$F$166</f>
        <v/>
      </c>
      <c r="AG85" s="11">
        <f>(1-AG81)*(AG68+AG49)/MAX(Time!AG26,1)*Inputs!$F$166</f>
        <v/>
      </c>
      <c r="AH85" s="11">
        <f>(1-AH81)*(AH68+AH49)/MAX(Time!AH26,1)*Inputs!$F$166</f>
        <v/>
      </c>
      <c r="AI85" s="11">
        <f>(1-AI81)*(AI68+AI49)/MAX(Time!AI26,1)*Inputs!$F$166</f>
        <v/>
      </c>
      <c r="AJ85" s="11">
        <f>(1-AJ81)*(AJ68+AJ49)/MAX(Time!AJ26,1)*Inputs!$F$166</f>
        <v/>
      </c>
      <c r="AK85" s="11">
        <f>(1-AK81)*(AK68+AK49)/MAX(Time!AK26,1)*Inputs!$F$166</f>
        <v/>
      </c>
      <c r="AL85" s="11">
        <f>(1-AL81)*(AL68+AL49)/MAX(Time!AL26,1)*Inputs!$F$166</f>
        <v/>
      </c>
      <c r="AM85" s="11">
        <f>(1-AM81)*(AM68+AM49)/MAX(Time!AM26,1)*Inputs!$F$166</f>
        <v/>
      </c>
      <c r="AN85" s="11">
        <f>(1-AN81)*(AN68+AN49)/MAX(Time!AN26,1)*Inputs!$F$166</f>
        <v/>
      </c>
      <c r="AO85" s="11">
        <f>(1-AO81)*(AO68+AO49)/MAX(Time!AO26,1)*Inputs!$F$166</f>
        <v/>
      </c>
      <c r="AP85" s="11">
        <f>(1-AP81)*(AP68+AP49)/MAX(Time!AP26,1)*Inputs!$F$166</f>
        <v/>
      </c>
      <c r="AQ85" s="11">
        <f>(1-AQ81)*(AQ68+AQ49)/MAX(Time!AQ26,1)*Inputs!$F$166</f>
        <v/>
      </c>
      <c r="AR85" s="11">
        <f>(1-AR81)*(AR68+AR49)/MAX(Time!AR26,1)*Inputs!$F$166</f>
        <v/>
      </c>
      <c r="AS85" s="11">
        <f>(1-AS81)*(AS68+AS49)/MAX(Time!AS26,1)*Inputs!$F$166</f>
        <v/>
      </c>
      <c r="AT85" s="11">
        <f>(1-AT81)*(AT68+AT49)/MAX(Time!AT26,1)*Inputs!$F$166</f>
        <v/>
      </c>
      <c r="AU85" s="11">
        <f>(1-AU81)*(AU68+AU49)/MAX(Time!AU26,1)*Inputs!$F$166</f>
        <v/>
      </c>
      <c r="AV85" s="11">
        <f>(1-AV81)*(AV68+AV49)/MAX(Time!AV26,1)*Inputs!$F$166</f>
        <v/>
      </c>
      <c r="AW85" s="11">
        <f>(1-AW81)*(AW68+AW49)/MAX(Time!AW26,1)*Inputs!$F$166</f>
        <v/>
      </c>
      <c r="AX85" s="11">
        <f>(1-AX81)*(AX68+AX49)/MAX(Time!AX26,1)*Inputs!$F$166</f>
        <v/>
      </c>
      <c r="AY85" s="11">
        <f>(1-AY81)*(AY68+AY49)/MAX(Time!AY26,1)*Inputs!$F$166</f>
        <v/>
      </c>
      <c r="AZ85" s="11">
        <f>(1-AZ81)*(AZ68+AZ49)/MAX(Time!AZ26,1)*Inputs!$F$166</f>
        <v/>
      </c>
      <c r="BA85" s="11">
        <f>(1-BA81)*(BA68+BA49)/MAX(Time!BA26,1)*Inputs!$F$166</f>
        <v/>
      </c>
      <c r="BB85" s="11">
        <f>(1-BB81)*(BB68+BB49)/MAX(Time!BB26,1)*Inputs!$F$166</f>
        <v/>
      </c>
      <c r="BC85" s="11">
        <f>(1-BC81)*(BC68+BC49)/MAX(Time!BC26,1)*Inputs!$F$166</f>
        <v/>
      </c>
      <c r="BD85" s="11">
        <f>(1-BD81)*(BD68+BD49)/MAX(Time!BD26,1)*Inputs!$F$166</f>
        <v/>
      </c>
      <c r="BE85" s="11">
        <f>(1-BE81)*(BE68+BE49)/MAX(Time!BE26,1)*Inputs!$F$166</f>
        <v/>
      </c>
      <c r="BF85" s="11">
        <f>(1-BF81)*(BF68+BF49)/MAX(Time!BF26,1)*Inputs!$F$166</f>
        <v/>
      </c>
      <c r="BG85" s="11">
        <f>(1-BG81)*(BG68+BG49)/MAX(Time!BG26,1)*Inputs!$F$166</f>
        <v/>
      </c>
      <c r="BH85" s="11">
        <f>(1-BH81)*(BH68+BH49)/MAX(Time!BH26,1)*Inputs!$F$166</f>
        <v/>
      </c>
      <c r="BI85" s="11">
        <f>(1-BI81)*(BI68+BI49)/MAX(Time!BI26,1)*Inputs!$F$166</f>
        <v/>
      </c>
      <c r="BJ85" s="11">
        <f>(1-BJ81)*(BJ68+BJ49)/MAX(Time!BJ26,1)*Inputs!$F$166</f>
        <v/>
      </c>
      <c r="BK85" s="11">
        <f>(1-BK81)*(BK68+BK49)/MAX(Time!BK26,1)*Inputs!$F$166</f>
        <v/>
      </c>
      <c r="BL85" s="11">
        <f>(1-BL81)*(BL68+BL49)/MAX(Time!BL26,1)*Inputs!$F$166</f>
        <v/>
      </c>
      <c r="BM85" s="11">
        <f>(1-BM81)*(BM68+BM49)/MAX(Time!BM26,1)*Inputs!$F$166</f>
        <v/>
      </c>
      <c r="BN85" s="11">
        <f>(1-BN81)*(BN68+BN49)/MAX(Time!BN26,1)*Inputs!$F$166</f>
        <v/>
      </c>
    </row>
    <row r="86">
      <c r="D86" t="inlineStr">
        <is>
          <t>GTA payables</t>
        </is>
      </c>
      <c r="E86" t="inlineStr">
        <is>
          <t>USD m</t>
        </is>
      </c>
      <c r="J86" s="11">
        <f>(1-J81)*(J47+J48)/MAX(Time!J26,1)*Inputs!$F$167</f>
        <v/>
      </c>
      <c r="K86" s="11">
        <f>(1-K81)*(K47+K48)/MAX(Time!K26,1)*Inputs!$F$167</f>
        <v/>
      </c>
      <c r="L86" s="11">
        <f>(1-L81)*(L47+L48)/MAX(Time!L26,1)*Inputs!$F$167</f>
        <v/>
      </c>
      <c r="M86" s="11">
        <f>(1-M81)*(M47+M48)/MAX(Time!M26,1)*Inputs!$F$167</f>
        <v/>
      </c>
      <c r="N86" s="11">
        <f>(1-N81)*(N47+N48)/MAX(Time!N26,1)*Inputs!$F$167</f>
        <v/>
      </c>
      <c r="O86" s="11">
        <f>(1-O81)*(O47+O48)/MAX(Time!O26,1)*Inputs!$F$167</f>
        <v/>
      </c>
      <c r="P86" s="11">
        <f>(1-P81)*(P47+P48)/MAX(Time!P26,1)*Inputs!$F$167</f>
        <v/>
      </c>
      <c r="Q86" s="11">
        <f>(1-Q81)*(Q47+Q48)/MAX(Time!Q26,1)*Inputs!$F$167</f>
        <v/>
      </c>
      <c r="R86" s="11">
        <f>(1-R81)*(R47+R48)/MAX(Time!R26,1)*Inputs!$F$167</f>
        <v/>
      </c>
      <c r="S86" s="11">
        <f>(1-S81)*(S47+S48)/MAX(Time!S26,1)*Inputs!$F$167</f>
        <v/>
      </c>
      <c r="T86" s="11">
        <f>(1-T81)*(T47+T48)/MAX(Time!T26,1)*Inputs!$F$167</f>
        <v/>
      </c>
      <c r="U86" s="11">
        <f>(1-U81)*(U47+U48)/MAX(Time!U26,1)*Inputs!$F$167</f>
        <v/>
      </c>
      <c r="V86" s="11">
        <f>(1-V81)*(V47+V48)/MAX(Time!V26,1)*Inputs!$F$167</f>
        <v/>
      </c>
      <c r="W86" s="11">
        <f>(1-W81)*(W47+W48)/MAX(Time!W26,1)*Inputs!$F$167</f>
        <v/>
      </c>
      <c r="X86" s="11">
        <f>(1-X81)*(X47+X48)/MAX(Time!X26,1)*Inputs!$F$167</f>
        <v/>
      </c>
      <c r="Y86" s="11">
        <f>(1-Y81)*(Y47+Y48)/MAX(Time!Y26,1)*Inputs!$F$167</f>
        <v/>
      </c>
      <c r="Z86" s="11">
        <f>(1-Z81)*(Z47+Z48)/MAX(Time!Z26,1)*Inputs!$F$167</f>
        <v/>
      </c>
      <c r="AA86" s="11">
        <f>(1-AA81)*(AA47+AA48)/MAX(Time!AA26,1)*Inputs!$F$167</f>
        <v/>
      </c>
      <c r="AB86" s="11">
        <f>(1-AB81)*(AB47+AB48)/MAX(Time!AB26,1)*Inputs!$F$167</f>
        <v/>
      </c>
      <c r="AC86" s="11">
        <f>(1-AC81)*(AC47+AC48)/MAX(Time!AC26,1)*Inputs!$F$167</f>
        <v/>
      </c>
      <c r="AD86" s="11">
        <f>(1-AD81)*(AD47+AD48)/MAX(Time!AD26,1)*Inputs!$F$167</f>
        <v/>
      </c>
      <c r="AE86" s="11">
        <f>(1-AE81)*(AE47+AE48)/MAX(Time!AE26,1)*Inputs!$F$167</f>
        <v/>
      </c>
      <c r="AF86" s="11">
        <f>(1-AF81)*(AF47+AF48)/MAX(Time!AF26,1)*Inputs!$F$167</f>
        <v/>
      </c>
      <c r="AG86" s="11">
        <f>(1-AG81)*(AG47+AG48)/MAX(Time!AG26,1)*Inputs!$F$167</f>
        <v/>
      </c>
      <c r="AH86" s="11">
        <f>(1-AH81)*(AH47+AH48)/MAX(Time!AH26,1)*Inputs!$F$167</f>
        <v/>
      </c>
      <c r="AI86" s="11">
        <f>(1-AI81)*(AI47+AI48)/MAX(Time!AI26,1)*Inputs!$F$167</f>
        <v/>
      </c>
      <c r="AJ86" s="11">
        <f>(1-AJ81)*(AJ47+AJ48)/MAX(Time!AJ26,1)*Inputs!$F$167</f>
        <v/>
      </c>
      <c r="AK86" s="11">
        <f>(1-AK81)*(AK47+AK48)/MAX(Time!AK26,1)*Inputs!$F$167</f>
        <v/>
      </c>
      <c r="AL86" s="11">
        <f>(1-AL81)*(AL47+AL48)/MAX(Time!AL26,1)*Inputs!$F$167</f>
        <v/>
      </c>
      <c r="AM86" s="11">
        <f>(1-AM81)*(AM47+AM48)/MAX(Time!AM26,1)*Inputs!$F$167</f>
        <v/>
      </c>
      <c r="AN86" s="11">
        <f>(1-AN81)*(AN47+AN48)/MAX(Time!AN26,1)*Inputs!$F$167</f>
        <v/>
      </c>
      <c r="AO86" s="11">
        <f>(1-AO81)*(AO47+AO48)/MAX(Time!AO26,1)*Inputs!$F$167</f>
        <v/>
      </c>
      <c r="AP86" s="11">
        <f>(1-AP81)*(AP47+AP48)/MAX(Time!AP26,1)*Inputs!$F$167</f>
        <v/>
      </c>
      <c r="AQ86" s="11">
        <f>(1-AQ81)*(AQ47+AQ48)/MAX(Time!AQ26,1)*Inputs!$F$167</f>
        <v/>
      </c>
      <c r="AR86" s="11">
        <f>(1-AR81)*(AR47+AR48)/MAX(Time!AR26,1)*Inputs!$F$167</f>
        <v/>
      </c>
      <c r="AS86" s="11">
        <f>(1-AS81)*(AS47+AS48)/MAX(Time!AS26,1)*Inputs!$F$167</f>
        <v/>
      </c>
      <c r="AT86" s="11">
        <f>(1-AT81)*(AT47+AT48)/MAX(Time!AT26,1)*Inputs!$F$167</f>
        <v/>
      </c>
      <c r="AU86" s="11">
        <f>(1-AU81)*(AU47+AU48)/MAX(Time!AU26,1)*Inputs!$F$167</f>
        <v/>
      </c>
      <c r="AV86" s="11">
        <f>(1-AV81)*(AV47+AV48)/MAX(Time!AV26,1)*Inputs!$F$167</f>
        <v/>
      </c>
      <c r="AW86" s="11">
        <f>(1-AW81)*(AW47+AW48)/MAX(Time!AW26,1)*Inputs!$F$167</f>
        <v/>
      </c>
      <c r="AX86" s="11">
        <f>(1-AX81)*(AX47+AX48)/MAX(Time!AX26,1)*Inputs!$F$167</f>
        <v/>
      </c>
      <c r="AY86" s="11">
        <f>(1-AY81)*(AY47+AY48)/MAX(Time!AY26,1)*Inputs!$F$167</f>
        <v/>
      </c>
      <c r="AZ86" s="11">
        <f>(1-AZ81)*(AZ47+AZ48)/MAX(Time!AZ26,1)*Inputs!$F$167</f>
        <v/>
      </c>
      <c r="BA86" s="11">
        <f>(1-BA81)*(BA47+BA48)/MAX(Time!BA26,1)*Inputs!$F$167</f>
        <v/>
      </c>
      <c r="BB86" s="11">
        <f>(1-BB81)*(BB47+BB48)/MAX(Time!BB26,1)*Inputs!$F$167</f>
        <v/>
      </c>
      <c r="BC86" s="11">
        <f>(1-BC81)*(BC47+BC48)/MAX(Time!BC26,1)*Inputs!$F$167</f>
        <v/>
      </c>
      <c r="BD86" s="11">
        <f>(1-BD81)*(BD47+BD48)/MAX(Time!BD26,1)*Inputs!$F$167</f>
        <v/>
      </c>
      <c r="BE86" s="11">
        <f>(1-BE81)*(BE47+BE48)/MAX(Time!BE26,1)*Inputs!$F$167</f>
        <v/>
      </c>
      <c r="BF86" s="11">
        <f>(1-BF81)*(BF47+BF48)/MAX(Time!BF26,1)*Inputs!$F$167</f>
        <v/>
      </c>
      <c r="BG86" s="11">
        <f>(1-BG81)*(BG47+BG48)/MAX(Time!BG26,1)*Inputs!$F$167</f>
        <v/>
      </c>
      <c r="BH86" s="11">
        <f>(1-BH81)*(BH47+BH48)/MAX(Time!BH26,1)*Inputs!$F$167</f>
        <v/>
      </c>
      <c r="BI86" s="11">
        <f>(1-BI81)*(BI47+BI48)/MAX(Time!BI26,1)*Inputs!$F$167</f>
        <v/>
      </c>
      <c r="BJ86" s="11">
        <f>(1-BJ81)*(BJ47+BJ48)/MAX(Time!BJ26,1)*Inputs!$F$167</f>
        <v/>
      </c>
      <c r="BK86" s="11">
        <f>(1-BK81)*(BK47+BK48)/MAX(Time!BK26,1)*Inputs!$F$167</f>
        <v/>
      </c>
      <c r="BL86" s="11">
        <f>(1-BL81)*(BL47+BL48)/MAX(Time!BL26,1)*Inputs!$F$167</f>
        <v/>
      </c>
      <c r="BM86" s="11">
        <f>(1-BM81)*(BM47+BM48)/MAX(Time!BM26,1)*Inputs!$F$167</f>
        <v/>
      </c>
      <c r="BN86" s="11">
        <f>(1-BN81)*(BN47+BN48)/MAX(Time!BN26,1)*Inputs!$F$167</f>
        <v/>
      </c>
    </row>
    <row r="87">
      <c r="D87" t="inlineStr">
        <is>
          <t>O&amp;M and LTSA payables</t>
        </is>
      </c>
      <c r="E87" t="inlineStr">
        <is>
          <t>USD m</t>
        </is>
      </c>
      <c r="J87" s="11">
        <f>(1-J81)*(J55+J56+J57+J59)/MAX(Time!J26,1)*Inputs!$F$168</f>
        <v/>
      </c>
      <c r="K87" s="11">
        <f>(1-K81)*(K55+K56+K57+K59)/MAX(Time!K26,1)*Inputs!$F$168</f>
        <v/>
      </c>
      <c r="L87" s="11">
        <f>(1-L81)*(L55+L56+L57+L59)/MAX(Time!L26,1)*Inputs!$F$168</f>
        <v/>
      </c>
      <c r="M87" s="11">
        <f>(1-M81)*(M55+M56+M57+M59)/MAX(Time!M26,1)*Inputs!$F$168</f>
        <v/>
      </c>
      <c r="N87" s="11">
        <f>(1-N81)*(N55+N56+N57+N59)/MAX(Time!N26,1)*Inputs!$F$168</f>
        <v/>
      </c>
      <c r="O87" s="11">
        <f>(1-O81)*(O55+O56+O57+O59)/MAX(Time!O26,1)*Inputs!$F$168</f>
        <v/>
      </c>
      <c r="P87" s="11">
        <f>(1-P81)*(P55+P56+P57+P59)/MAX(Time!P26,1)*Inputs!$F$168</f>
        <v/>
      </c>
      <c r="Q87" s="11">
        <f>(1-Q81)*(Q55+Q56+Q57+Q59)/MAX(Time!Q26,1)*Inputs!$F$168</f>
        <v/>
      </c>
      <c r="R87" s="11">
        <f>(1-R81)*(R55+R56+R57+R59)/MAX(Time!R26,1)*Inputs!$F$168</f>
        <v/>
      </c>
      <c r="S87" s="11">
        <f>(1-S81)*(S55+S56+S57+S59)/MAX(Time!S26,1)*Inputs!$F$168</f>
        <v/>
      </c>
      <c r="T87" s="11">
        <f>(1-T81)*(T55+T56+T57+T59)/MAX(Time!T26,1)*Inputs!$F$168</f>
        <v/>
      </c>
      <c r="U87" s="11">
        <f>(1-U81)*(U55+U56+U57+U59)/MAX(Time!U26,1)*Inputs!$F$168</f>
        <v/>
      </c>
      <c r="V87" s="11">
        <f>(1-V81)*(V55+V56+V57+V59)/MAX(Time!V26,1)*Inputs!$F$168</f>
        <v/>
      </c>
      <c r="W87" s="11">
        <f>(1-W81)*(W55+W56+W57+W59)/MAX(Time!W26,1)*Inputs!$F$168</f>
        <v/>
      </c>
      <c r="X87" s="11">
        <f>(1-X81)*(X55+X56+X57+X59)/MAX(Time!X26,1)*Inputs!$F$168</f>
        <v/>
      </c>
      <c r="Y87" s="11">
        <f>(1-Y81)*(Y55+Y56+Y57+Y59)/MAX(Time!Y26,1)*Inputs!$F$168</f>
        <v/>
      </c>
      <c r="Z87" s="11">
        <f>(1-Z81)*(Z55+Z56+Z57+Z59)/MAX(Time!Z26,1)*Inputs!$F$168</f>
        <v/>
      </c>
      <c r="AA87" s="11">
        <f>(1-AA81)*(AA55+AA56+AA57+AA59)/MAX(Time!AA26,1)*Inputs!$F$168</f>
        <v/>
      </c>
      <c r="AB87" s="11">
        <f>(1-AB81)*(AB55+AB56+AB57+AB59)/MAX(Time!AB26,1)*Inputs!$F$168</f>
        <v/>
      </c>
      <c r="AC87" s="11">
        <f>(1-AC81)*(AC55+AC56+AC57+AC59)/MAX(Time!AC26,1)*Inputs!$F$168</f>
        <v/>
      </c>
      <c r="AD87" s="11">
        <f>(1-AD81)*(AD55+AD56+AD57+AD59)/MAX(Time!AD26,1)*Inputs!$F$168</f>
        <v/>
      </c>
      <c r="AE87" s="11">
        <f>(1-AE81)*(AE55+AE56+AE57+AE59)/MAX(Time!AE26,1)*Inputs!$F$168</f>
        <v/>
      </c>
      <c r="AF87" s="11">
        <f>(1-AF81)*(AF55+AF56+AF57+AF59)/MAX(Time!AF26,1)*Inputs!$F$168</f>
        <v/>
      </c>
      <c r="AG87" s="11">
        <f>(1-AG81)*(AG55+AG56+AG57+AG59)/MAX(Time!AG26,1)*Inputs!$F$168</f>
        <v/>
      </c>
      <c r="AH87" s="11">
        <f>(1-AH81)*(AH55+AH56+AH57+AH59)/MAX(Time!AH26,1)*Inputs!$F$168</f>
        <v/>
      </c>
      <c r="AI87" s="11">
        <f>(1-AI81)*(AI55+AI56+AI57+AI59)/MAX(Time!AI26,1)*Inputs!$F$168</f>
        <v/>
      </c>
      <c r="AJ87" s="11">
        <f>(1-AJ81)*(AJ55+AJ56+AJ57+AJ59)/MAX(Time!AJ26,1)*Inputs!$F$168</f>
        <v/>
      </c>
      <c r="AK87" s="11">
        <f>(1-AK81)*(AK55+AK56+AK57+AK59)/MAX(Time!AK26,1)*Inputs!$F$168</f>
        <v/>
      </c>
      <c r="AL87" s="11">
        <f>(1-AL81)*(AL55+AL56+AL57+AL59)/MAX(Time!AL26,1)*Inputs!$F$168</f>
        <v/>
      </c>
      <c r="AM87" s="11">
        <f>(1-AM81)*(AM55+AM56+AM57+AM59)/MAX(Time!AM26,1)*Inputs!$F$168</f>
        <v/>
      </c>
      <c r="AN87" s="11">
        <f>(1-AN81)*(AN55+AN56+AN57+AN59)/MAX(Time!AN26,1)*Inputs!$F$168</f>
        <v/>
      </c>
      <c r="AO87" s="11">
        <f>(1-AO81)*(AO55+AO56+AO57+AO59)/MAX(Time!AO26,1)*Inputs!$F$168</f>
        <v/>
      </c>
      <c r="AP87" s="11">
        <f>(1-AP81)*(AP55+AP56+AP57+AP59)/MAX(Time!AP26,1)*Inputs!$F$168</f>
        <v/>
      </c>
      <c r="AQ87" s="11">
        <f>(1-AQ81)*(AQ55+AQ56+AQ57+AQ59)/MAX(Time!AQ26,1)*Inputs!$F$168</f>
        <v/>
      </c>
      <c r="AR87" s="11">
        <f>(1-AR81)*(AR55+AR56+AR57+AR59)/MAX(Time!AR26,1)*Inputs!$F$168</f>
        <v/>
      </c>
      <c r="AS87" s="11">
        <f>(1-AS81)*(AS55+AS56+AS57+AS59)/MAX(Time!AS26,1)*Inputs!$F$168</f>
        <v/>
      </c>
      <c r="AT87" s="11">
        <f>(1-AT81)*(AT55+AT56+AT57+AT59)/MAX(Time!AT26,1)*Inputs!$F$168</f>
        <v/>
      </c>
      <c r="AU87" s="11">
        <f>(1-AU81)*(AU55+AU56+AU57+AU59)/MAX(Time!AU26,1)*Inputs!$F$168</f>
        <v/>
      </c>
      <c r="AV87" s="11">
        <f>(1-AV81)*(AV55+AV56+AV57+AV59)/MAX(Time!AV26,1)*Inputs!$F$168</f>
        <v/>
      </c>
      <c r="AW87" s="11">
        <f>(1-AW81)*(AW55+AW56+AW57+AW59)/MAX(Time!AW26,1)*Inputs!$F$168</f>
        <v/>
      </c>
      <c r="AX87" s="11">
        <f>(1-AX81)*(AX55+AX56+AX57+AX59)/MAX(Time!AX26,1)*Inputs!$F$168</f>
        <v/>
      </c>
      <c r="AY87" s="11">
        <f>(1-AY81)*(AY55+AY56+AY57+AY59)/MAX(Time!AY26,1)*Inputs!$F$168</f>
        <v/>
      </c>
      <c r="AZ87" s="11">
        <f>(1-AZ81)*(AZ55+AZ56+AZ57+AZ59)/MAX(Time!AZ26,1)*Inputs!$F$168</f>
        <v/>
      </c>
      <c r="BA87" s="11">
        <f>(1-BA81)*(BA55+BA56+BA57+BA59)/MAX(Time!BA26,1)*Inputs!$F$168</f>
        <v/>
      </c>
      <c r="BB87" s="11">
        <f>(1-BB81)*(BB55+BB56+BB57+BB59)/MAX(Time!BB26,1)*Inputs!$F$168</f>
        <v/>
      </c>
      <c r="BC87" s="11">
        <f>(1-BC81)*(BC55+BC56+BC57+BC59)/MAX(Time!BC26,1)*Inputs!$F$168</f>
        <v/>
      </c>
      <c r="BD87" s="11">
        <f>(1-BD81)*(BD55+BD56+BD57+BD59)/MAX(Time!BD26,1)*Inputs!$F$168</f>
        <v/>
      </c>
      <c r="BE87" s="11">
        <f>(1-BE81)*(BE55+BE56+BE57+BE59)/MAX(Time!BE26,1)*Inputs!$F$168</f>
        <v/>
      </c>
      <c r="BF87" s="11">
        <f>(1-BF81)*(BF55+BF56+BF57+BF59)/MAX(Time!BF26,1)*Inputs!$F$168</f>
        <v/>
      </c>
      <c r="BG87" s="11">
        <f>(1-BG81)*(BG55+BG56+BG57+BG59)/MAX(Time!BG26,1)*Inputs!$F$168</f>
        <v/>
      </c>
      <c r="BH87" s="11">
        <f>(1-BH81)*(BH55+BH56+BH57+BH59)/MAX(Time!BH26,1)*Inputs!$F$168</f>
        <v/>
      </c>
      <c r="BI87" s="11">
        <f>(1-BI81)*(BI55+BI56+BI57+BI59)/MAX(Time!BI26,1)*Inputs!$F$168</f>
        <v/>
      </c>
      <c r="BJ87" s="11">
        <f>(1-BJ81)*(BJ55+BJ56+BJ57+BJ59)/MAX(Time!BJ26,1)*Inputs!$F$168</f>
        <v/>
      </c>
      <c r="BK87" s="11">
        <f>(1-BK81)*(BK55+BK56+BK57+BK59)/MAX(Time!BK26,1)*Inputs!$F$168</f>
        <v/>
      </c>
      <c r="BL87" s="11">
        <f>(1-BL81)*(BL55+BL56+BL57+BL59)/MAX(Time!BL26,1)*Inputs!$F$168</f>
        <v/>
      </c>
      <c r="BM87" s="11">
        <f>(1-BM81)*(BM55+BM56+BM57+BM59)/MAX(Time!BM26,1)*Inputs!$F$168</f>
        <v/>
      </c>
      <c r="BN87" s="11">
        <f>(1-BN81)*(BN55+BN56+BN57+BN59)/MAX(Time!BN26,1)*Inputs!$F$168</f>
        <v/>
      </c>
    </row>
    <row r="88">
      <c r="D88" t="inlineStr">
        <is>
          <t>Other payables</t>
        </is>
      </c>
      <c r="E88" t="inlineStr">
        <is>
          <t>USD m</t>
        </is>
      </c>
      <c r="J88" s="11">
        <f>(1-J81)*(J60+J61+J62+J63+J64+J65+J66)/MAX(Time!J26,1)*Inputs!$F$169</f>
        <v/>
      </c>
      <c r="K88" s="11">
        <f>(1-K81)*(K60+K61+K62+K63+K64+K65+K66)/MAX(Time!K26,1)*Inputs!$F$169</f>
        <v/>
      </c>
      <c r="L88" s="11">
        <f>(1-L81)*(L60+L61+L62+L63+L64+L65+L66)/MAX(Time!L26,1)*Inputs!$F$169</f>
        <v/>
      </c>
      <c r="M88" s="11">
        <f>(1-M81)*(M60+M61+M62+M63+M64+M65+M66)/MAX(Time!M26,1)*Inputs!$F$169</f>
        <v/>
      </c>
      <c r="N88" s="11">
        <f>(1-N81)*(N60+N61+N62+N63+N64+N65+N66)/MAX(Time!N26,1)*Inputs!$F$169</f>
        <v/>
      </c>
      <c r="O88" s="11">
        <f>(1-O81)*(O60+O61+O62+O63+O64+O65+O66)/MAX(Time!O26,1)*Inputs!$F$169</f>
        <v/>
      </c>
      <c r="P88" s="11">
        <f>(1-P81)*(P60+P61+P62+P63+P64+P65+P66)/MAX(Time!P26,1)*Inputs!$F$169</f>
        <v/>
      </c>
      <c r="Q88" s="11">
        <f>(1-Q81)*(Q60+Q61+Q62+Q63+Q64+Q65+Q66)/MAX(Time!Q26,1)*Inputs!$F$169</f>
        <v/>
      </c>
      <c r="R88" s="11">
        <f>(1-R81)*(R60+R61+R62+R63+R64+R65+R66)/MAX(Time!R26,1)*Inputs!$F$169</f>
        <v/>
      </c>
      <c r="S88" s="11">
        <f>(1-S81)*(S60+S61+S62+S63+S64+S65+S66)/MAX(Time!S26,1)*Inputs!$F$169</f>
        <v/>
      </c>
      <c r="T88" s="11">
        <f>(1-T81)*(T60+T61+T62+T63+T64+T65+T66)/MAX(Time!T26,1)*Inputs!$F$169</f>
        <v/>
      </c>
      <c r="U88" s="11">
        <f>(1-U81)*(U60+U61+U62+U63+U64+U65+U66)/MAX(Time!U26,1)*Inputs!$F$169</f>
        <v/>
      </c>
      <c r="V88" s="11">
        <f>(1-V81)*(V60+V61+V62+V63+V64+V65+V66)/MAX(Time!V26,1)*Inputs!$F$169</f>
        <v/>
      </c>
      <c r="W88" s="11">
        <f>(1-W81)*(W60+W61+W62+W63+W64+W65+W66)/MAX(Time!W26,1)*Inputs!$F$169</f>
        <v/>
      </c>
      <c r="X88" s="11">
        <f>(1-X81)*(X60+X61+X62+X63+X64+X65+X66)/MAX(Time!X26,1)*Inputs!$F$169</f>
        <v/>
      </c>
      <c r="Y88" s="11">
        <f>(1-Y81)*(Y60+Y61+Y62+Y63+Y64+Y65+Y66)/MAX(Time!Y26,1)*Inputs!$F$169</f>
        <v/>
      </c>
      <c r="Z88" s="11">
        <f>(1-Z81)*(Z60+Z61+Z62+Z63+Z64+Z65+Z66)/MAX(Time!Z26,1)*Inputs!$F$169</f>
        <v/>
      </c>
      <c r="AA88" s="11">
        <f>(1-AA81)*(AA60+AA61+AA62+AA63+AA64+AA65+AA66)/MAX(Time!AA26,1)*Inputs!$F$169</f>
        <v/>
      </c>
      <c r="AB88" s="11">
        <f>(1-AB81)*(AB60+AB61+AB62+AB63+AB64+AB65+AB66)/MAX(Time!AB26,1)*Inputs!$F$169</f>
        <v/>
      </c>
      <c r="AC88" s="11">
        <f>(1-AC81)*(AC60+AC61+AC62+AC63+AC64+AC65+AC66)/MAX(Time!AC26,1)*Inputs!$F$169</f>
        <v/>
      </c>
      <c r="AD88" s="11">
        <f>(1-AD81)*(AD60+AD61+AD62+AD63+AD64+AD65+AD66)/MAX(Time!AD26,1)*Inputs!$F$169</f>
        <v/>
      </c>
      <c r="AE88" s="11">
        <f>(1-AE81)*(AE60+AE61+AE62+AE63+AE64+AE65+AE66)/MAX(Time!AE26,1)*Inputs!$F$169</f>
        <v/>
      </c>
      <c r="AF88" s="11">
        <f>(1-AF81)*(AF60+AF61+AF62+AF63+AF64+AF65+AF66)/MAX(Time!AF26,1)*Inputs!$F$169</f>
        <v/>
      </c>
      <c r="AG88" s="11">
        <f>(1-AG81)*(AG60+AG61+AG62+AG63+AG64+AG65+AG66)/MAX(Time!AG26,1)*Inputs!$F$169</f>
        <v/>
      </c>
      <c r="AH88" s="11">
        <f>(1-AH81)*(AH60+AH61+AH62+AH63+AH64+AH65+AH66)/MAX(Time!AH26,1)*Inputs!$F$169</f>
        <v/>
      </c>
      <c r="AI88" s="11">
        <f>(1-AI81)*(AI60+AI61+AI62+AI63+AI64+AI65+AI66)/MAX(Time!AI26,1)*Inputs!$F$169</f>
        <v/>
      </c>
      <c r="AJ88" s="11">
        <f>(1-AJ81)*(AJ60+AJ61+AJ62+AJ63+AJ64+AJ65+AJ66)/MAX(Time!AJ26,1)*Inputs!$F$169</f>
        <v/>
      </c>
      <c r="AK88" s="11">
        <f>(1-AK81)*(AK60+AK61+AK62+AK63+AK64+AK65+AK66)/MAX(Time!AK26,1)*Inputs!$F$169</f>
        <v/>
      </c>
      <c r="AL88" s="11">
        <f>(1-AL81)*(AL60+AL61+AL62+AL63+AL64+AL65+AL66)/MAX(Time!AL26,1)*Inputs!$F$169</f>
        <v/>
      </c>
      <c r="AM88" s="11">
        <f>(1-AM81)*(AM60+AM61+AM62+AM63+AM64+AM65+AM66)/MAX(Time!AM26,1)*Inputs!$F$169</f>
        <v/>
      </c>
      <c r="AN88" s="11">
        <f>(1-AN81)*(AN60+AN61+AN62+AN63+AN64+AN65+AN66)/MAX(Time!AN26,1)*Inputs!$F$169</f>
        <v/>
      </c>
      <c r="AO88" s="11">
        <f>(1-AO81)*(AO60+AO61+AO62+AO63+AO64+AO65+AO66)/MAX(Time!AO26,1)*Inputs!$F$169</f>
        <v/>
      </c>
      <c r="AP88" s="11">
        <f>(1-AP81)*(AP60+AP61+AP62+AP63+AP64+AP65+AP66)/MAX(Time!AP26,1)*Inputs!$F$169</f>
        <v/>
      </c>
      <c r="AQ88" s="11">
        <f>(1-AQ81)*(AQ60+AQ61+AQ62+AQ63+AQ64+AQ65+AQ66)/MAX(Time!AQ26,1)*Inputs!$F$169</f>
        <v/>
      </c>
      <c r="AR88" s="11">
        <f>(1-AR81)*(AR60+AR61+AR62+AR63+AR64+AR65+AR66)/MAX(Time!AR26,1)*Inputs!$F$169</f>
        <v/>
      </c>
      <c r="AS88" s="11">
        <f>(1-AS81)*(AS60+AS61+AS62+AS63+AS64+AS65+AS66)/MAX(Time!AS26,1)*Inputs!$F$169</f>
        <v/>
      </c>
      <c r="AT88" s="11">
        <f>(1-AT81)*(AT60+AT61+AT62+AT63+AT64+AT65+AT66)/MAX(Time!AT26,1)*Inputs!$F$169</f>
        <v/>
      </c>
      <c r="AU88" s="11">
        <f>(1-AU81)*(AU60+AU61+AU62+AU63+AU64+AU65+AU66)/MAX(Time!AU26,1)*Inputs!$F$169</f>
        <v/>
      </c>
      <c r="AV88" s="11">
        <f>(1-AV81)*(AV60+AV61+AV62+AV63+AV64+AV65+AV66)/MAX(Time!AV26,1)*Inputs!$F$169</f>
        <v/>
      </c>
      <c r="AW88" s="11">
        <f>(1-AW81)*(AW60+AW61+AW62+AW63+AW64+AW65+AW66)/MAX(Time!AW26,1)*Inputs!$F$169</f>
        <v/>
      </c>
      <c r="AX88" s="11">
        <f>(1-AX81)*(AX60+AX61+AX62+AX63+AX64+AX65+AX66)/MAX(Time!AX26,1)*Inputs!$F$169</f>
        <v/>
      </c>
      <c r="AY88" s="11">
        <f>(1-AY81)*(AY60+AY61+AY62+AY63+AY64+AY65+AY66)/MAX(Time!AY26,1)*Inputs!$F$169</f>
        <v/>
      </c>
      <c r="AZ88" s="11">
        <f>(1-AZ81)*(AZ60+AZ61+AZ62+AZ63+AZ64+AZ65+AZ66)/MAX(Time!AZ26,1)*Inputs!$F$169</f>
        <v/>
      </c>
      <c r="BA88" s="11">
        <f>(1-BA81)*(BA60+BA61+BA62+BA63+BA64+BA65+BA66)/MAX(Time!BA26,1)*Inputs!$F$169</f>
        <v/>
      </c>
      <c r="BB88" s="11">
        <f>(1-BB81)*(BB60+BB61+BB62+BB63+BB64+BB65+BB66)/MAX(Time!BB26,1)*Inputs!$F$169</f>
        <v/>
      </c>
      <c r="BC88" s="11">
        <f>(1-BC81)*(BC60+BC61+BC62+BC63+BC64+BC65+BC66)/MAX(Time!BC26,1)*Inputs!$F$169</f>
        <v/>
      </c>
      <c r="BD88" s="11">
        <f>(1-BD81)*(BD60+BD61+BD62+BD63+BD64+BD65+BD66)/MAX(Time!BD26,1)*Inputs!$F$169</f>
        <v/>
      </c>
      <c r="BE88" s="11">
        <f>(1-BE81)*(BE60+BE61+BE62+BE63+BE64+BE65+BE66)/MAX(Time!BE26,1)*Inputs!$F$169</f>
        <v/>
      </c>
      <c r="BF88" s="11">
        <f>(1-BF81)*(BF60+BF61+BF62+BF63+BF64+BF65+BF66)/MAX(Time!BF26,1)*Inputs!$F$169</f>
        <v/>
      </c>
      <c r="BG88" s="11">
        <f>(1-BG81)*(BG60+BG61+BG62+BG63+BG64+BG65+BG66)/MAX(Time!BG26,1)*Inputs!$F$169</f>
        <v/>
      </c>
      <c r="BH88" s="11">
        <f>(1-BH81)*(BH60+BH61+BH62+BH63+BH64+BH65+BH66)/MAX(Time!BH26,1)*Inputs!$F$169</f>
        <v/>
      </c>
      <c r="BI88" s="11">
        <f>(1-BI81)*(BI60+BI61+BI62+BI63+BI64+BI65+BI66)/MAX(Time!BI26,1)*Inputs!$F$169</f>
        <v/>
      </c>
      <c r="BJ88" s="11">
        <f>(1-BJ81)*(BJ60+BJ61+BJ62+BJ63+BJ64+BJ65+BJ66)/MAX(Time!BJ26,1)*Inputs!$F$169</f>
        <v/>
      </c>
      <c r="BK88" s="11">
        <f>(1-BK81)*(BK60+BK61+BK62+BK63+BK64+BK65+BK66)/MAX(Time!BK26,1)*Inputs!$F$169</f>
        <v/>
      </c>
      <c r="BL88" s="11">
        <f>(1-BL81)*(BL60+BL61+BL62+BL63+BL64+BL65+BL66)/MAX(Time!BL26,1)*Inputs!$F$169</f>
        <v/>
      </c>
      <c r="BM88" s="11">
        <f>(1-BM81)*(BM60+BM61+BM62+BM63+BM64+BM65+BM66)/MAX(Time!BM26,1)*Inputs!$F$169</f>
        <v/>
      </c>
      <c r="BN88" s="11">
        <f>(1-BN81)*(BN60+BN61+BN62+BN63+BN64+BN65+BN66)/MAX(Time!BN26,1)*Inputs!$F$169</f>
        <v/>
      </c>
    </row>
    <row r="89">
      <c r="D89" t="inlineStr">
        <is>
          <t>Deferred SNHK/GCK payables matching SEKA energy-charge arrears</t>
        </is>
      </c>
      <c r="E89" t="inlineStr">
        <is>
          <t>USD m</t>
        </is>
      </c>
      <c r="J89" s="11">
        <f>Inputs!$F$183*J84</f>
        <v/>
      </c>
      <c r="K89" s="11">
        <f>Inputs!$F$183*K84</f>
        <v/>
      </c>
      <c r="L89" s="11">
        <f>Inputs!$F$183*L84</f>
        <v/>
      </c>
      <c r="M89" s="11">
        <f>Inputs!$F$183*M84</f>
        <v/>
      </c>
      <c r="N89" s="11">
        <f>Inputs!$F$183*N84</f>
        <v/>
      </c>
      <c r="O89" s="11">
        <f>Inputs!$F$183*O84</f>
        <v/>
      </c>
      <c r="P89" s="11">
        <f>Inputs!$F$183*P84</f>
        <v/>
      </c>
      <c r="Q89" s="11">
        <f>Inputs!$F$183*Q84</f>
        <v/>
      </c>
      <c r="R89" s="11">
        <f>Inputs!$F$183*R84</f>
        <v/>
      </c>
      <c r="S89" s="11">
        <f>Inputs!$F$183*S84</f>
        <v/>
      </c>
      <c r="T89" s="11">
        <f>Inputs!$F$183*T84</f>
        <v/>
      </c>
      <c r="U89" s="11">
        <f>Inputs!$F$183*U84</f>
        <v/>
      </c>
      <c r="V89" s="11">
        <f>Inputs!$F$183*V84</f>
        <v/>
      </c>
      <c r="W89" s="11">
        <f>Inputs!$F$183*W84</f>
        <v/>
      </c>
      <c r="X89" s="11">
        <f>Inputs!$F$183*X84</f>
        <v/>
      </c>
      <c r="Y89" s="11">
        <f>Inputs!$F$183*Y84</f>
        <v/>
      </c>
      <c r="Z89" s="11">
        <f>Inputs!$F$183*Z84</f>
        <v/>
      </c>
      <c r="AA89" s="11">
        <f>Inputs!$F$183*AA84</f>
        <v/>
      </c>
      <c r="AB89" s="11">
        <f>Inputs!$F$183*AB84</f>
        <v/>
      </c>
      <c r="AC89" s="11">
        <f>Inputs!$F$183*AC84</f>
        <v/>
      </c>
      <c r="AD89" s="11">
        <f>Inputs!$F$183*AD84</f>
        <v/>
      </c>
      <c r="AE89" s="11">
        <f>Inputs!$F$183*AE84</f>
        <v/>
      </c>
      <c r="AF89" s="11">
        <f>Inputs!$F$183*AF84</f>
        <v/>
      </c>
      <c r="AG89" s="11">
        <f>Inputs!$F$183*AG84</f>
        <v/>
      </c>
      <c r="AH89" s="11">
        <f>Inputs!$F$183*AH84</f>
        <v/>
      </c>
      <c r="AI89" s="11">
        <f>Inputs!$F$183*AI84</f>
        <v/>
      </c>
      <c r="AJ89" s="11">
        <f>Inputs!$F$183*AJ84</f>
        <v/>
      </c>
      <c r="AK89" s="11">
        <f>Inputs!$F$183*AK84</f>
        <v/>
      </c>
      <c r="AL89" s="11">
        <f>Inputs!$F$183*AL84</f>
        <v/>
      </c>
      <c r="AM89" s="11">
        <f>Inputs!$F$183*AM84</f>
        <v/>
      </c>
      <c r="AN89" s="11">
        <f>Inputs!$F$183*AN84</f>
        <v/>
      </c>
      <c r="AO89" s="11">
        <f>Inputs!$F$183*AO84</f>
        <v/>
      </c>
      <c r="AP89" s="11">
        <f>Inputs!$F$183*AP84</f>
        <v/>
      </c>
      <c r="AQ89" s="11">
        <f>Inputs!$F$183*AQ84</f>
        <v/>
      </c>
      <c r="AR89" s="11">
        <f>Inputs!$F$183*AR84</f>
        <v/>
      </c>
      <c r="AS89" s="11">
        <f>Inputs!$F$183*AS84</f>
        <v/>
      </c>
      <c r="AT89" s="11">
        <f>Inputs!$F$183*AT84</f>
        <v/>
      </c>
      <c r="AU89" s="11">
        <f>Inputs!$F$183*AU84</f>
        <v/>
      </c>
      <c r="AV89" s="11">
        <f>Inputs!$F$183*AV84</f>
        <v/>
      </c>
      <c r="AW89" s="11">
        <f>Inputs!$F$183*AW84</f>
        <v/>
      </c>
      <c r="AX89" s="11">
        <f>Inputs!$F$183*AX84</f>
        <v/>
      </c>
      <c r="AY89" s="11">
        <f>Inputs!$F$183*AY84</f>
        <v/>
      </c>
      <c r="AZ89" s="11">
        <f>Inputs!$F$183*AZ84</f>
        <v/>
      </c>
      <c r="BA89" s="11">
        <f>Inputs!$F$183*BA84</f>
        <v/>
      </c>
      <c r="BB89" s="11">
        <f>Inputs!$F$183*BB84</f>
        <v/>
      </c>
      <c r="BC89" s="11">
        <f>Inputs!$F$183*BC84</f>
        <v/>
      </c>
      <c r="BD89" s="11">
        <f>Inputs!$F$183*BD84</f>
        <v/>
      </c>
      <c r="BE89" s="11">
        <f>Inputs!$F$183*BE84</f>
        <v/>
      </c>
      <c r="BF89" s="11">
        <f>Inputs!$F$183*BF84</f>
        <v/>
      </c>
      <c r="BG89" s="11">
        <f>Inputs!$F$183*BG84</f>
        <v/>
      </c>
      <c r="BH89" s="11">
        <f>Inputs!$F$183*BH84</f>
        <v/>
      </c>
      <c r="BI89" s="11">
        <f>Inputs!$F$183*BI84</f>
        <v/>
      </c>
      <c r="BJ89" s="11">
        <f>Inputs!$F$183*BJ84</f>
        <v/>
      </c>
      <c r="BK89" s="11">
        <f>Inputs!$F$183*BK84</f>
        <v/>
      </c>
      <c r="BL89" s="11">
        <f>Inputs!$F$183*BL84</f>
        <v/>
      </c>
      <c r="BM89" s="11">
        <f>Inputs!$F$183*BM84</f>
        <v/>
      </c>
      <c r="BN89" s="11">
        <f>Inputs!$F$183*BN84</f>
        <v/>
      </c>
    </row>
    <row r="90">
      <c r="D90" t="inlineStr">
        <is>
          <t>Net working capital (excl. spares inventory)</t>
        </is>
      </c>
      <c r="E90" t="inlineStr">
        <is>
          <t>USD m</t>
        </is>
      </c>
      <c r="J90" s="11">
        <f>J83+J84-J85-J86-J87-J88-J89</f>
        <v/>
      </c>
      <c r="K90" s="11">
        <f>K83+K84-K85-K86-K87-K88-K89</f>
        <v/>
      </c>
      <c r="L90" s="11">
        <f>L83+L84-L85-L86-L87-L88-L89</f>
        <v/>
      </c>
      <c r="M90" s="11">
        <f>M83+M84-M85-M86-M87-M88-M89</f>
        <v/>
      </c>
      <c r="N90" s="11">
        <f>N83+N84-N85-N86-N87-N88-N89</f>
        <v/>
      </c>
      <c r="O90" s="11">
        <f>O83+O84-O85-O86-O87-O88-O89</f>
        <v/>
      </c>
      <c r="P90" s="11">
        <f>P83+P84-P85-P86-P87-P88-P89</f>
        <v/>
      </c>
      <c r="Q90" s="11">
        <f>Q83+Q84-Q85-Q86-Q87-Q88-Q89</f>
        <v/>
      </c>
      <c r="R90" s="11">
        <f>R83+R84-R85-R86-R87-R88-R89</f>
        <v/>
      </c>
      <c r="S90" s="11">
        <f>S83+S84-S85-S86-S87-S88-S89</f>
        <v/>
      </c>
      <c r="T90" s="11">
        <f>T83+T84-T85-T86-T87-T88-T89</f>
        <v/>
      </c>
      <c r="U90" s="11">
        <f>U83+U84-U85-U86-U87-U88-U89</f>
        <v/>
      </c>
      <c r="V90" s="11">
        <f>V83+V84-V85-V86-V87-V88-V89</f>
        <v/>
      </c>
      <c r="W90" s="11">
        <f>W83+W84-W85-W86-W87-W88-W89</f>
        <v/>
      </c>
      <c r="X90" s="11">
        <f>X83+X84-X85-X86-X87-X88-X89</f>
        <v/>
      </c>
      <c r="Y90" s="11">
        <f>Y83+Y84-Y85-Y86-Y87-Y88-Y89</f>
        <v/>
      </c>
      <c r="Z90" s="11">
        <f>Z83+Z84-Z85-Z86-Z87-Z88-Z89</f>
        <v/>
      </c>
      <c r="AA90" s="11">
        <f>AA83+AA84-AA85-AA86-AA87-AA88-AA89</f>
        <v/>
      </c>
      <c r="AB90" s="11">
        <f>AB83+AB84-AB85-AB86-AB87-AB88-AB89</f>
        <v/>
      </c>
      <c r="AC90" s="11">
        <f>AC83+AC84-AC85-AC86-AC87-AC88-AC89</f>
        <v/>
      </c>
      <c r="AD90" s="11">
        <f>AD83+AD84-AD85-AD86-AD87-AD88-AD89</f>
        <v/>
      </c>
      <c r="AE90" s="11">
        <f>AE83+AE84-AE85-AE86-AE87-AE88-AE89</f>
        <v/>
      </c>
      <c r="AF90" s="11">
        <f>AF83+AF84-AF85-AF86-AF87-AF88-AF89</f>
        <v/>
      </c>
      <c r="AG90" s="11">
        <f>AG83+AG84-AG85-AG86-AG87-AG88-AG89</f>
        <v/>
      </c>
      <c r="AH90" s="11">
        <f>AH83+AH84-AH85-AH86-AH87-AH88-AH89</f>
        <v/>
      </c>
      <c r="AI90" s="11">
        <f>AI83+AI84-AI85-AI86-AI87-AI88-AI89</f>
        <v/>
      </c>
      <c r="AJ90" s="11">
        <f>AJ83+AJ84-AJ85-AJ86-AJ87-AJ88-AJ89</f>
        <v/>
      </c>
      <c r="AK90" s="11">
        <f>AK83+AK84-AK85-AK86-AK87-AK88-AK89</f>
        <v/>
      </c>
      <c r="AL90" s="11">
        <f>AL83+AL84-AL85-AL86-AL87-AL88-AL89</f>
        <v/>
      </c>
      <c r="AM90" s="11">
        <f>AM83+AM84-AM85-AM86-AM87-AM88-AM89</f>
        <v/>
      </c>
      <c r="AN90" s="11">
        <f>AN83+AN84-AN85-AN86-AN87-AN88-AN89</f>
        <v/>
      </c>
      <c r="AO90" s="11">
        <f>AO83+AO84-AO85-AO86-AO87-AO88-AO89</f>
        <v/>
      </c>
      <c r="AP90" s="11">
        <f>AP83+AP84-AP85-AP86-AP87-AP88-AP89</f>
        <v/>
      </c>
      <c r="AQ90" s="11">
        <f>AQ83+AQ84-AQ85-AQ86-AQ87-AQ88-AQ89</f>
        <v/>
      </c>
      <c r="AR90" s="11">
        <f>AR83+AR84-AR85-AR86-AR87-AR88-AR89</f>
        <v/>
      </c>
      <c r="AS90" s="11">
        <f>AS83+AS84-AS85-AS86-AS87-AS88-AS89</f>
        <v/>
      </c>
      <c r="AT90" s="11">
        <f>AT83+AT84-AT85-AT86-AT87-AT88-AT89</f>
        <v/>
      </c>
      <c r="AU90" s="11">
        <f>AU83+AU84-AU85-AU86-AU87-AU88-AU89</f>
        <v/>
      </c>
      <c r="AV90" s="11">
        <f>AV83+AV84-AV85-AV86-AV87-AV88-AV89</f>
        <v/>
      </c>
      <c r="AW90" s="11">
        <f>AW83+AW84-AW85-AW86-AW87-AW88-AW89</f>
        <v/>
      </c>
      <c r="AX90" s="11">
        <f>AX83+AX84-AX85-AX86-AX87-AX88-AX89</f>
        <v/>
      </c>
      <c r="AY90" s="11">
        <f>AY83+AY84-AY85-AY86-AY87-AY88-AY89</f>
        <v/>
      </c>
      <c r="AZ90" s="11">
        <f>AZ83+AZ84-AZ85-AZ86-AZ87-AZ88-AZ89</f>
        <v/>
      </c>
      <c r="BA90" s="11">
        <f>BA83+BA84-BA85-BA86-BA87-BA88-BA89</f>
        <v/>
      </c>
      <c r="BB90" s="11">
        <f>BB83+BB84-BB85-BB86-BB87-BB88-BB89</f>
        <v/>
      </c>
      <c r="BC90" s="11">
        <f>BC83+BC84-BC85-BC86-BC87-BC88-BC89</f>
        <v/>
      </c>
      <c r="BD90" s="11">
        <f>BD83+BD84-BD85-BD86-BD87-BD88-BD89</f>
        <v/>
      </c>
      <c r="BE90" s="11">
        <f>BE83+BE84-BE85-BE86-BE87-BE88-BE89</f>
        <v/>
      </c>
      <c r="BF90" s="11">
        <f>BF83+BF84-BF85-BF86-BF87-BF88-BF89</f>
        <v/>
      </c>
      <c r="BG90" s="11">
        <f>BG83+BG84-BG85-BG86-BG87-BG88-BG89</f>
        <v/>
      </c>
      <c r="BH90" s="11">
        <f>BH83+BH84-BH85-BH86-BH87-BH88-BH89</f>
        <v/>
      </c>
      <c r="BI90" s="11">
        <f>BI83+BI84-BI85-BI86-BI87-BI88-BI89</f>
        <v/>
      </c>
      <c r="BJ90" s="11">
        <f>BJ83+BJ84-BJ85-BJ86-BJ87-BJ88-BJ89</f>
        <v/>
      </c>
      <c r="BK90" s="11">
        <f>BK83+BK84-BK85-BK86-BK87-BK88-BK89</f>
        <v/>
      </c>
      <c r="BL90" s="11">
        <f>BL83+BL84-BL85-BL86-BL87-BL88-BL89</f>
        <v/>
      </c>
      <c r="BM90" s="11">
        <f>BM83+BM84-BM85-BM86-BM87-BM88-BM89</f>
        <v/>
      </c>
      <c r="BN90" s="11">
        <f>BN83+BN84-BN85-BN86-BN87-BN88-BN89</f>
        <v/>
      </c>
    </row>
    <row r="91">
      <c r="D91" t="inlineStr">
        <is>
          <t>Increase in net working capital</t>
        </is>
      </c>
      <c r="E91" t="inlineStr">
        <is>
          <t>USD m</t>
        </is>
      </c>
      <c r="G91" s="11">
        <f>SUM(J91:BN91)</f>
        <v/>
      </c>
      <c r="J91" s="11">
        <f>J90-0</f>
        <v/>
      </c>
      <c r="K91" s="11">
        <f>K90-J90</f>
        <v/>
      </c>
      <c r="L91" s="11">
        <f>L90-K90</f>
        <v/>
      </c>
      <c r="M91" s="11">
        <f>M90-L90</f>
        <v/>
      </c>
      <c r="N91" s="11">
        <f>N90-M90</f>
        <v/>
      </c>
      <c r="O91" s="11">
        <f>O90-N90</f>
        <v/>
      </c>
      <c r="P91" s="11">
        <f>P90-O90</f>
        <v/>
      </c>
      <c r="Q91" s="11">
        <f>Q90-P90</f>
        <v/>
      </c>
      <c r="R91" s="11">
        <f>R90-Q90</f>
        <v/>
      </c>
      <c r="S91" s="11">
        <f>S90-R90</f>
        <v/>
      </c>
      <c r="T91" s="11">
        <f>T90-S90</f>
        <v/>
      </c>
      <c r="U91" s="11">
        <f>U90-T90</f>
        <v/>
      </c>
      <c r="V91" s="11">
        <f>V90-U90</f>
        <v/>
      </c>
      <c r="W91" s="11">
        <f>W90-V90</f>
        <v/>
      </c>
      <c r="X91" s="11">
        <f>X90-W90</f>
        <v/>
      </c>
      <c r="Y91" s="11">
        <f>Y90-X90</f>
        <v/>
      </c>
      <c r="Z91" s="11">
        <f>Z90-Y90</f>
        <v/>
      </c>
      <c r="AA91" s="11">
        <f>AA90-Z90</f>
        <v/>
      </c>
      <c r="AB91" s="11">
        <f>AB90-AA90</f>
        <v/>
      </c>
      <c r="AC91" s="11">
        <f>AC90-AB90</f>
        <v/>
      </c>
      <c r="AD91" s="11">
        <f>AD90-AC90</f>
        <v/>
      </c>
      <c r="AE91" s="11">
        <f>AE90-AD90</f>
        <v/>
      </c>
      <c r="AF91" s="11">
        <f>AF90-AE90</f>
        <v/>
      </c>
      <c r="AG91" s="11">
        <f>AG90-AF90</f>
        <v/>
      </c>
      <c r="AH91" s="11">
        <f>AH90-AG90</f>
        <v/>
      </c>
      <c r="AI91" s="11">
        <f>AI90-AH90</f>
        <v/>
      </c>
      <c r="AJ91" s="11">
        <f>AJ90-AI90</f>
        <v/>
      </c>
      <c r="AK91" s="11">
        <f>AK90-AJ90</f>
        <v/>
      </c>
      <c r="AL91" s="11">
        <f>AL90-AK90</f>
        <v/>
      </c>
      <c r="AM91" s="11">
        <f>AM90-AL90</f>
        <v/>
      </c>
      <c r="AN91" s="11">
        <f>AN90-AM90</f>
        <v/>
      </c>
      <c r="AO91" s="11">
        <f>AO90-AN90</f>
        <v/>
      </c>
      <c r="AP91" s="11">
        <f>AP90-AO90</f>
        <v/>
      </c>
      <c r="AQ91" s="11">
        <f>AQ90-AP90</f>
        <v/>
      </c>
      <c r="AR91" s="11">
        <f>AR90-AQ90</f>
        <v/>
      </c>
      <c r="AS91" s="11">
        <f>AS90-AR90</f>
        <v/>
      </c>
      <c r="AT91" s="11">
        <f>AT90-AS90</f>
        <v/>
      </c>
      <c r="AU91" s="11">
        <f>AU90-AT90</f>
        <v/>
      </c>
      <c r="AV91" s="11">
        <f>AV90-AU90</f>
        <v/>
      </c>
      <c r="AW91" s="11">
        <f>AW90-AV90</f>
        <v/>
      </c>
      <c r="AX91" s="11">
        <f>AX90-AW90</f>
        <v/>
      </c>
      <c r="AY91" s="11">
        <f>AY90-AX90</f>
        <v/>
      </c>
      <c r="AZ91" s="11">
        <f>AZ90-AY90</f>
        <v/>
      </c>
      <c r="BA91" s="11">
        <f>BA90-AZ90</f>
        <v/>
      </c>
      <c r="BB91" s="11">
        <f>BB90-BA90</f>
        <v/>
      </c>
      <c r="BC91" s="11">
        <f>BC90-BB90</f>
        <v/>
      </c>
      <c r="BD91" s="11">
        <f>BD90-BC90</f>
        <v/>
      </c>
      <c r="BE91" s="11">
        <f>BE90-BD90</f>
        <v/>
      </c>
      <c r="BF91" s="11">
        <f>BF90-BE90</f>
        <v/>
      </c>
      <c r="BG91" s="11">
        <f>BG90-BF90</f>
        <v/>
      </c>
      <c r="BH91" s="11">
        <f>BH90-BG90</f>
        <v/>
      </c>
      <c r="BI91" s="11">
        <f>BI90-BH90</f>
        <v/>
      </c>
      <c r="BJ91" s="11">
        <f>BJ90-BI90</f>
        <v/>
      </c>
      <c r="BK91" s="11">
        <f>BK90-BJ90</f>
        <v/>
      </c>
      <c r="BL91" s="11">
        <f>BL90-BK90</f>
        <v/>
      </c>
      <c r="BM91" s="11">
        <f>BM90-BL90</f>
        <v/>
      </c>
      <c r="BN91" s="11">
        <f>BN90-BM90</f>
        <v/>
      </c>
    </row>
    <row r="92">
      <c r="D92" t="inlineStr">
        <is>
          <t>Release of spares inventory at expiry</t>
        </is>
      </c>
      <c r="E92" t="inlineStr">
        <is>
          <t>USD m</t>
        </is>
      </c>
      <c r="G92" s="11">
        <f>SUM(J92:BN92)</f>
        <v/>
      </c>
      <c r="J92" s="11">
        <f>Time!J32*Inputs!$F$65*Inputs!$F$35</f>
        <v/>
      </c>
      <c r="K92" s="11">
        <f>Time!K32*Inputs!$F$65*Inputs!$F$35</f>
        <v/>
      </c>
      <c r="L92" s="11">
        <f>Time!L32*Inputs!$F$65*Inputs!$F$35</f>
        <v/>
      </c>
      <c r="M92" s="11">
        <f>Time!M32*Inputs!$F$65*Inputs!$F$35</f>
        <v/>
      </c>
      <c r="N92" s="11">
        <f>Time!N32*Inputs!$F$65*Inputs!$F$35</f>
        <v/>
      </c>
      <c r="O92" s="11">
        <f>Time!O32*Inputs!$F$65*Inputs!$F$35</f>
        <v/>
      </c>
      <c r="P92" s="11">
        <f>Time!P32*Inputs!$F$65*Inputs!$F$35</f>
        <v/>
      </c>
      <c r="Q92" s="11">
        <f>Time!Q32*Inputs!$F$65*Inputs!$F$35</f>
        <v/>
      </c>
      <c r="R92" s="11">
        <f>Time!R32*Inputs!$F$65*Inputs!$F$35</f>
        <v/>
      </c>
      <c r="S92" s="11">
        <f>Time!S32*Inputs!$F$65*Inputs!$F$35</f>
        <v/>
      </c>
      <c r="T92" s="11">
        <f>Time!T32*Inputs!$F$65*Inputs!$F$35</f>
        <v/>
      </c>
      <c r="U92" s="11">
        <f>Time!U32*Inputs!$F$65*Inputs!$F$35</f>
        <v/>
      </c>
      <c r="V92" s="11">
        <f>Time!V32*Inputs!$F$65*Inputs!$F$35</f>
        <v/>
      </c>
      <c r="W92" s="11">
        <f>Time!W32*Inputs!$F$65*Inputs!$F$35</f>
        <v/>
      </c>
      <c r="X92" s="11">
        <f>Time!X32*Inputs!$F$65*Inputs!$F$35</f>
        <v/>
      </c>
      <c r="Y92" s="11">
        <f>Time!Y32*Inputs!$F$65*Inputs!$F$35</f>
        <v/>
      </c>
      <c r="Z92" s="11">
        <f>Time!Z32*Inputs!$F$65*Inputs!$F$35</f>
        <v/>
      </c>
      <c r="AA92" s="11">
        <f>Time!AA32*Inputs!$F$65*Inputs!$F$35</f>
        <v/>
      </c>
      <c r="AB92" s="11">
        <f>Time!AB32*Inputs!$F$65*Inputs!$F$35</f>
        <v/>
      </c>
      <c r="AC92" s="11">
        <f>Time!AC32*Inputs!$F$65*Inputs!$F$35</f>
        <v/>
      </c>
      <c r="AD92" s="11">
        <f>Time!AD32*Inputs!$F$65*Inputs!$F$35</f>
        <v/>
      </c>
      <c r="AE92" s="11">
        <f>Time!AE32*Inputs!$F$65*Inputs!$F$35</f>
        <v/>
      </c>
      <c r="AF92" s="11">
        <f>Time!AF32*Inputs!$F$65*Inputs!$F$35</f>
        <v/>
      </c>
      <c r="AG92" s="11">
        <f>Time!AG32*Inputs!$F$65*Inputs!$F$35</f>
        <v/>
      </c>
      <c r="AH92" s="11">
        <f>Time!AH32*Inputs!$F$65*Inputs!$F$35</f>
        <v/>
      </c>
      <c r="AI92" s="11">
        <f>Time!AI32*Inputs!$F$65*Inputs!$F$35</f>
        <v/>
      </c>
      <c r="AJ92" s="11">
        <f>Time!AJ32*Inputs!$F$65*Inputs!$F$35</f>
        <v/>
      </c>
      <c r="AK92" s="11">
        <f>Time!AK32*Inputs!$F$65*Inputs!$F$35</f>
        <v/>
      </c>
      <c r="AL92" s="11">
        <f>Time!AL32*Inputs!$F$65*Inputs!$F$35</f>
        <v/>
      </c>
      <c r="AM92" s="11">
        <f>Time!AM32*Inputs!$F$65*Inputs!$F$35</f>
        <v/>
      </c>
      <c r="AN92" s="11">
        <f>Time!AN32*Inputs!$F$65*Inputs!$F$35</f>
        <v/>
      </c>
      <c r="AO92" s="11">
        <f>Time!AO32*Inputs!$F$65*Inputs!$F$35</f>
        <v/>
      </c>
      <c r="AP92" s="11">
        <f>Time!AP32*Inputs!$F$65*Inputs!$F$35</f>
        <v/>
      </c>
      <c r="AQ92" s="11">
        <f>Time!AQ32*Inputs!$F$65*Inputs!$F$35</f>
        <v/>
      </c>
      <c r="AR92" s="11">
        <f>Time!AR32*Inputs!$F$65*Inputs!$F$35</f>
        <v/>
      </c>
      <c r="AS92" s="11">
        <f>Time!AS32*Inputs!$F$65*Inputs!$F$35</f>
        <v/>
      </c>
      <c r="AT92" s="11">
        <f>Time!AT32*Inputs!$F$65*Inputs!$F$35</f>
        <v/>
      </c>
      <c r="AU92" s="11">
        <f>Time!AU32*Inputs!$F$65*Inputs!$F$35</f>
        <v/>
      </c>
      <c r="AV92" s="11">
        <f>Time!AV32*Inputs!$F$65*Inputs!$F$35</f>
        <v/>
      </c>
      <c r="AW92" s="11">
        <f>Time!AW32*Inputs!$F$65*Inputs!$F$35</f>
        <v/>
      </c>
      <c r="AX92" s="11">
        <f>Time!AX32*Inputs!$F$65*Inputs!$F$35</f>
        <v/>
      </c>
      <c r="AY92" s="11">
        <f>Time!AY32*Inputs!$F$65*Inputs!$F$35</f>
        <v/>
      </c>
      <c r="AZ92" s="11">
        <f>Time!AZ32*Inputs!$F$65*Inputs!$F$35</f>
        <v/>
      </c>
      <c r="BA92" s="11">
        <f>Time!BA32*Inputs!$F$65*Inputs!$F$35</f>
        <v/>
      </c>
      <c r="BB92" s="11">
        <f>Time!BB32*Inputs!$F$65*Inputs!$F$35</f>
        <v/>
      </c>
      <c r="BC92" s="11">
        <f>Time!BC32*Inputs!$F$65*Inputs!$F$35</f>
        <v/>
      </c>
      <c r="BD92" s="11">
        <f>Time!BD32*Inputs!$F$65*Inputs!$F$35</f>
        <v/>
      </c>
      <c r="BE92" s="11">
        <f>Time!BE32*Inputs!$F$65*Inputs!$F$35</f>
        <v/>
      </c>
      <c r="BF92" s="11">
        <f>Time!BF32*Inputs!$F$65*Inputs!$F$35</f>
        <v/>
      </c>
      <c r="BG92" s="11">
        <f>Time!BG32*Inputs!$F$65*Inputs!$F$35</f>
        <v/>
      </c>
      <c r="BH92" s="11">
        <f>Time!BH32*Inputs!$F$65*Inputs!$F$35</f>
        <v/>
      </c>
      <c r="BI92" s="11">
        <f>Time!BI32*Inputs!$F$65*Inputs!$F$35</f>
        <v/>
      </c>
      <c r="BJ92" s="11">
        <f>Time!BJ32*Inputs!$F$65*Inputs!$F$35</f>
        <v/>
      </c>
      <c r="BK92" s="11">
        <f>Time!BK32*Inputs!$F$65*Inputs!$F$35</f>
        <v/>
      </c>
      <c r="BL92" s="11">
        <f>Time!BL32*Inputs!$F$65*Inputs!$F$35</f>
        <v/>
      </c>
      <c r="BM92" s="11">
        <f>Time!BM32*Inputs!$F$65*Inputs!$F$35</f>
        <v/>
      </c>
      <c r="BN92" s="11">
        <f>Time!BN32*Inputs!$F$65*Inputs!$F$35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N28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Tax: holiday, deferred depreciation, thin capitalization, minimum turnover tax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Holiday months (OY1-OY5)</t>
        </is>
      </c>
      <c r="E7" t="inlineStr">
        <is>
          <t>months</t>
        </is>
      </c>
      <c r="J7" s="9">
        <f>MAX(0,MIN(Time!J28,60)-MIN(Time!J27,60))</f>
        <v/>
      </c>
      <c r="K7" s="9">
        <f>MAX(0,MIN(Time!K28,60)-MIN(Time!K27,60))</f>
        <v/>
      </c>
      <c r="L7" s="9">
        <f>MAX(0,MIN(Time!L28,60)-MIN(Time!L27,60))</f>
        <v/>
      </c>
      <c r="M7" s="9">
        <f>MAX(0,MIN(Time!M28,60)-MIN(Time!M27,60))</f>
        <v/>
      </c>
      <c r="N7" s="9">
        <f>MAX(0,MIN(Time!N28,60)-MIN(Time!N27,60))</f>
        <v/>
      </c>
      <c r="O7" s="9">
        <f>MAX(0,MIN(Time!O28,60)-MIN(Time!O27,60))</f>
        <v/>
      </c>
      <c r="P7" s="9">
        <f>MAX(0,MIN(Time!P28,60)-MIN(Time!P27,60))</f>
        <v/>
      </c>
      <c r="Q7" s="9">
        <f>MAX(0,MIN(Time!Q28,60)-MIN(Time!Q27,60))</f>
        <v/>
      </c>
      <c r="R7" s="9">
        <f>MAX(0,MIN(Time!R28,60)-MIN(Time!R27,60))</f>
        <v/>
      </c>
      <c r="S7" s="9">
        <f>MAX(0,MIN(Time!S28,60)-MIN(Time!S27,60))</f>
        <v/>
      </c>
      <c r="T7" s="9">
        <f>MAX(0,MIN(Time!T28,60)-MIN(Time!T27,60))</f>
        <v/>
      </c>
      <c r="U7" s="9">
        <f>MAX(0,MIN(Time!U28,60)-MIN(Time!U27,60))</f>
        <v/>
      </c>
      <c r="V7" s="9">
        <f>MAX(0,MIN(Time!V28,60)-MIN(Time!V27,60))</f>
        <v/>
      </c>
      <c r="W7" s="9">
        <f>MAX(0,MIN(Time!W28,60)-MIN(Time!W27,60))</f>
        <v/>
      </c>
      <c r="X7" s="9">
        <f>MAX(0,MIN(Time!X28,60)-MIN(Time!X27,60))</f>
        <v/>
      </c>
      <c r="Y7" s="9">
        <f>MAX(0,MIN(Time!Y28,60)-MIN(Time!Y27,60))</f>
        <v/>
      </c>
      <c r="Z7" s="9">
        <f>MAX(0,MIN(Time!Z28,60)-MIN(Time!Z27,60))</f>
        <v/>
      </c>
      <c r="AA7" s="9">
        <f>MAX(0,MIN(Time!AA28,60)-MIN(Time!AA27,60))</f>
        <v/>
      </c>
      <c r="AB7" s="9">
        <f>MAX(0,MIN(Time!AB28,60)-MIN(Time!AB27,60))</f>
        <v/>
      </c>
      <c r="AC7" s="9">
        <f>MAX(0,MIN(Time!AC28,60)-MIN(Time!AC27,60))</f>
        <v/>
      </c>
      <c r="AD7" s="9">
        <f>MAX(0,MIN(Time!AD28,60)-MIN(Time!AD27,60))</f>
        <v/>
      </c>
      <c r="AE7" s="9">
        <f>MAX(0,MIN(Time!AE28,60)-MIN(Time!AE27,60))</f>
        <v/>
      </c>
      <c r="AF7" s="9">
        <f>MAX(0,MIN(Time!AF28,60)-MIN(Time!AF27,60))</f>
        <v/>
      </c>
      <c r="AG7" s="9">
        <f>MAX(0,MIN(Time!AG28,60)-MIN(Time!AG27,60))</f>
        <v/>
      </c>
      <c r="AH7" s="9">
        <f>MAX(0,MIN(Time!AH28,60)-MIN(Time!AH27,60))</f>
        <v/>
      </c>
      <c r="AI7" s="9">
        <f>MAX(0,MIN(Time!AI28,60)-MIN(Time!AI27,60))</f>
        <v/>
      </c>
      <c r="AJ7" s="9">
        <f>MAX(0,MIN(Time!AJ28,60)-MIN(Time!AJ27,60))</f>
        <v/>
      </c>
      <c r="AK7" s="9">
        <f>MAX(0,MIN(Time!AK28,60)-MIN(Time!AK27,60))</f>
        <v/>
      </c>
      <c r="AL7" s="9">
        <f>MAX(0,MIN(Time!AL28,60)-MIN(Time!AL27,60))</f>
        <v/>
      </c>
      <c r="AM7" s="9">
        <f>MAX(0,MIN(Time!AM28,60)-MIN(Time!AM27,60))</f>
        <v/>
      </c>
      <c r="AN7" s="9">
        <f>MAX(0,MIN(Time!AN28,60)-MIN(Time!AN27,60))</f>
        <v/>
      </c>
      <c r="AO7" s="9">
        <f>MAX(0,MIN(Time!AO28,60)-MIN(Time!AO27,60))</f>
        <v/>
      </c>
      <c r="AP7" s="9">
        <f>MAX(0,MIN(Time!AP28,60)-MIN(Time!AP27,60))</f>
        <v/>
      </c>
      <c r="AQ7" s="9">
        <f>MAX(0,MIN(Time!AQ28,60)-MIN(Time!AQ27,60))</f>
        <v/>
      </c>
      <c r="AR7" s="9">
        <f>MAX(0,MIN(Time!AR28,60)-MIN(Time!AR27,60))</f>
        <v/>
      </c>
      <c r="AS7" s="9">
        <f>MAX(0,MIN(Time!AS28,60)-MIN(Time!AS27,60))</f>
        <v/>
      </c>
      <c r="AT7" s="9">
        <f>MAX(0,MIN(Time!AT28,60)-MIN(Time!AT27,60))</f>
        <v/>
      </c>
      <c r="AU7" s="9">
        <f>MAX(0,MIN(Time!AU28,60)-MIN(Time!AU27,60))</f>
        <v/>
      </c>
      <c r="AV7" s="9">
        <f>MAX(0,MIN(Time!AV28,60)-MIN(Time!AV27,60))</f>
        <v/>
      </c>
      <c r="AW7" s="9">
        <f>MAX(0,MIN(Time!AW28,60)-MIN(Time!AW27,60))</f>
        <v/>
      </c>
      <c r="AX7" s="9">
        <f>MAX(0,MIN(Time!AX28,60)-MIN(Time!AX27,60))</f>
        <v/>
      </c>
      <c r="AY7" s="9">
        <f>MAX(0,MIN(Time!AY28,60)-MIN(Time!AY27,60))</f>
        <v/>
      </c>
      <c r="AZ7" s="9">
        <f>MAX(0,MIN(Time!AZ28,60)-MIN(Time!AZ27,60))</f>
        <v/>
      </c>
      <c r="BA7" s="9">
        <f>MAX(0,MIN(Time!BA28,60)-MIN(Time!BA27,60))</f>
        <v/>
      </c>
      <c r="BB7" s="9">
        <f>MAX(0,MIN(Time!BB28,60)-MIN(Time!BB27,60))</f>
        <v/>
      </c>
      <c r="BC7" s="9">
        <f>MAX(0,MIN(Time!BC28,60)-MIN(Time!BC27,60))</f>
        <v/>
      </c>
      <c r="BD7" s="9">
        <f>MAX(0,MIN(Time!BD28,60)-MIN(Time!BD27,60))</f>
        <v/>
      </c>
      <c r="BE7" s="9">
        <f>MAX(0,MIN(Time!BE28,60)-MIN(Time!BE27,60))</f>
        <v/>
      </c>
      <c r="BF7" s="9">
        <f>MAX(0,MIN(Time!BF28,60)-MIN(Time!BF27,60))</f>
        <v/>
      </c>
      <c r="BG7" s="9">
        <f>MAX(0,MIN(Time!BG28,60)-MIN(Time!BG27,60))</f>
        <v/>
      </c>
      <c r="BH7" s="9">
        <f>MAX(0,MIN(Time!BH28,60)-MIN(Time!BH27,60))</f>
        <v/>
      </c>
      <c r="BI7" s="9">
        <f>MAX(0,MIN(Time!BI28,60)-MIN(Time!BI27,60))</f>
        <v/>
      </c>
      <c r="BJ7" s="9">
        <f>MAX(0,MIN(Time!BJ28,60)-MIN(Time!BJ27,60))</f>
        <v/>
      </c>
      <c r="BK7" s="9">
        <f>MAX(0,MIN(Time!BK28,60)-MIN(Time!BK27,60))</f>
        <v/>
      </c>
      <c r="BL7" s="9">
        <f>MAX(0,MIN(Time!BL28,60)-MIN(Time!BL27,60))</f>
        <v/>
      </c>
      <c r="BM7" s="9">
        <f>MAX(0,MIN(Time!BM28,60)-MIN(Time!BM27,60))</f>
        <v/>
      </c>
      <c r="BN7" s="9">
        <f>MAX(0,MIN(Time!BN28,60)-MIN(Time!BN27,60))</f>
        <v/>
      </c>
    </row>
    <row r="8">
      <c r="D8" t="inlineStr">
        <is>
          <t>Reduced-rate months (OY6-OY8)</t>
        </is>
      </c>
      <c r="E8" t="inlineStr">
        <is>
          <t>months</t>
        </is>
      </c>
      <c r="J8" s="9">
        <f>MAX(0,MIN(Time!J28,96)-MIN(MAX(Time!J27,60),96))</f>
        <v/>
      </c>
      <c r="K8" s="9">
        <f>MAX(0,MIN(Time!K28,96)-MIN(MAX(Time!K27,60),96))</f>
        <v/>
      </c>
      <c r="L8" s="9">
        <f>MAX(0,MIN(Time!L28,96)-MIN(MAX(Time!L27,60),96))</f>
        <v/>
      </c>
      <c r="M8" s="9">
        <f>MAX(0,MIN(Time!M28,96)-MIN(MAX(Time!M27,60),96))</f>
        <v/>
      </c>
      <c r="N8" s="9">
        <f>MAX(0,MIN(Time!N28,96)-MIN(MAX(Time!N27,60),96))</f>
        <v/>
      </c>
      <c r="O8" s="9">
        <f>MAX(0,MIN(Time!O28,96)-MIN(MAX(Time!O27,60),96))</f>
        <v/>
      </c>
      <c r="P8" s="9">
        <f>MAX(0,MIN(Time!P28,96)-MIN(MAX(Time!P27,60),96))</f>
        <v/>
      </c>
      <c r="Q8" s="9">
        <f>MAX(0,MIN(Time!Q28,96)-MIN(MAX(Time!Q27,60),96))</f>
        <v/>
      </c>
      <c r="R8" s="9">
        <f>MAX(0,MIN(Time!R28,96)-MIN(MAX(Time!R27,60),96))</f>
        <v/>
      </c>
      <c r="S8" s="9">
        <f>MAX(0,MIN(Time!S28,96)-MIN(MAX(Time!S27,60),96))</f>
        <v/>
      </c>
      <c r="T8" s="9">
        <f>MAX(0,MIN(Time!T28,96)-MIN(MAX(Time!T27,60),96))</f>
        <v/>
      </c>
      <c r="U8" s="9">
        <f>MAX(0,MIN(Time!U28,96)-MIN(MAX(Time!U27,60),96))</f>
        <v/>
      </c>
      <c r="V8" s="9">
        <f>MAX(0,MIN(Time!V28,96)-MIN(MAX(Time!V27,60),96))</f>
        <v/>
      </c>
      <c r="W8" s="9">
        <f>MAX(0,MIN(Time!W28,96)-MIN(MAX(Time!W27,60),96))</f>
        <v/>
      </c>
      <c r="X8" s="9">
        <f>MAX(0,MIN(Time!X28,96)-MIN(MAX(Time!X27,60),96))</f>
        <v/>
      </c>
      <c r="Y8" s="9">
        <f>MAX(0,MIN(Time!Y28,96)-MIN(MAX(Time!Y27,60),96))</f>
        <v/>
      </c>
      <c r="Z8" s="9">
        <f>MAX(0,MIN(Time!Z28,96)-MIN(MAX(Time!Z27,60),96))</f>
        <v/>
      </c>
      <c r="AA8" s="9">
        <f>MAX(0,MIN(Time!AA28,96)-MIN(MAX(Time!AA27,60),96))</f>
        <v/>
      </c>
      <c r="AB8" s="9">
        <f>MAX(0,MIN(Time!AB28,96)-MIN(MAX(Time!AB27,60),96))</f>
        <v/>
      </c>
      <c r="AC8" s="9">
        <f>MAX(0,MIN(Time!AC28,96)-MIN(MAX(Time!AC27,60),96))</f>
        <v/>
      </c>
      <c r="AD8" s="9">
        <f>MAX(0,MIN(Time!AD28,96)-MIN(MAX(Time!AD27,60),96))</f>
        <v/>
      </c>
      <c r="AE8" s="9">
        <f>MAX(0,MIN(Time!AE28,96)-MIN(MAX(Time!AE27,60),96))</f>
        <v/>
      </c>
      <c r="AF8" s="9">
        <f>MAX(0,MIN(Time!AF28,96)-MIN(MAX(Time!AF27,60),96))</f>
        <v/>
      </c>
      <c r="AG8" s="9">
        <f>MAX(0,MIN(Time!AG28,96)-MIN(MAX(Time!AG27,60),96))</f>
        <v/>
      </c>
      <c r="AH8" s="9">
        <f>MAX(0,MIN(Time!AH28,96)-MIN(MAX(Time!AH27,60),96))</f>
        <v/>
      </c>
      <c r="AI8" s="9">
        <f>MAX(0,MIN(Time!AI28,96)-MIN(MAX(Time!AI27,60),96))</f>
        <v/>
      </c>
      <c r="AJ8" s="9">
        <f>MAX(0,MIN(Time!AJ28,96)-MIN(MAX(Time!AJ27,60),96))</f>
        <v/>
      </c>
      <c r="AK8" s="9">
        <f>MAX(0,MIN(Time!AK28,96)-MIN(MAX(Time!AK27,60),96))</f>
        <v/>
      </c>
      <c r="AL8" s="9">
        <f>MAX(0,MIN(Time!AL28,96)-MIN(MAX(Time!AL27,60),96))</f>
        <v/>
      </c>
      <c r="AM8" s="9">
        <f>MAX(0,MIN(Time!AM28,96)-MIN(MAX(Time!AM27,60),96))</f>
        <v/>
      </c>
      <c r="AN8" s="9">
        <f>MAX(0,MIN(Time!AN28,96)-MIN(MAX(Time!AN27,60),96))</f>
        <v/>
      </c>
      <c r="AO8" s="9">
        <f>MAX(0,MIN(Time!AO28,96)-MIN(MAX(Time!AO27,60),96))</f>
        <v/>
      </c>
      <c r="AP8" s="9">
        <f>MAX(0,MIN(Time!AP28,96)-MIN(MAX(Time!AP27,60),96))</f>
        <v/>
      </c>
      <c r="AQ8" s="9">
        <f>MAX(0,MIN(Time!AQ28,96)-MIN(MAX(Time!AQ27,60),96))</f>
        <v/>
      </c>
      <c r="AR8" s="9">
        <f>MAX(0,MIN(Time!AR28,96)-MIN(MAX(Time!AR27,60),96))</f>
        <v/>
      </c>
      <c r="AS8" s="9">
        <f>MAX(0,MIN(Time!AS28,96)-MIN(MAX(Time!AS27,60),96))</f>
        <v/>
      </c>
      <c r="AT8" s="9">
        <f>MAX(0,MIN(Time!AT28,96)-MIN(MAX(Time!AT27,60),96))</f>
        <v/>
      </c>
      <c r="AU8" s="9">
        <f>MAX(0,MIN(Time!AU28,96)-MIN(MAX(Time!AU27,60),96))</f>
        <v/>
      </c>
      <c r="AV8" s="9">
        <f>MAX(0,MIN(Time!AV28,96)-MIN(MAX(Time!AV27,60),96))</f>
        <v/>
      </c>
      <c r="AW8" s="9">
        <f>MAX(0,MIN(Time!AW28,96)-MIN(MAX(Time!AW27,60),96))</f>
        <v/>
      </c>
      <c r="AX8" s="9">
        <f>MAX(0,MIN(Time!AX28,96)-MIN(MAX(Time!AX27,60),96))</f>
        <v/>
      </c>
      <c r="AY8" s="9">
        <f>MAX(0,MIN(Time!AY28,96)-MIN(MAX(Time!AY27,60),96))</f>
        <v/>
      </c>
      <c r="AZ8" s="9">
        <f>MAX(0,MIN(Time!AZ28,96)-MIN(MAX(Time!AZ27,60),96))</f>
        <v/>
      </c>
      <c r="BA8" s="9">
        <f>MAX(0,MIN(Time!BA28,96)-MIN(MAX(Time!BA27,60),96))</f>
        <v/>
      </c>
      <c r="BB8" s="9">
        <f>MAX(0,MIN(Time!BB28,96)-MIN(MAX(Time!BB27,60),96))</f>
        <v/>
      </c>
      <c r="BC8" s="9">
        <f>MAX(0,MIN(Time!BC28,96)-MIN(MAX(Time!BC27,60),96))</f>
        <v/>
      </c>
      <c r="BD8" s="9">
        <f>MAX(0,MIN(Time!BD28,96)-MIN(MAX(Time!BD27,60),96))</f>
        <v/>
      </c>
      <c r="BE8" s="9">
        <f>MAX(0,MIN(Time!BE28,96)-MIN(MAX(Time!BE27,60),96))</f>
        <v/>
      </c>
      <c r="BF8" s="9">
        <f>MAX(0,MIN(Time!BF28,96)-MIN(MAX(Time!BF27,60),96))</f>
        <v/>
      </c>
      <c r="BG8" s="9">
        <f>MAX(0,MIN(Time!BG28,96)-MIN(MAX(Time!BG27,60),96))</f>
        <v/>
      </c>
      <c r="BH8" s="9">
        <f>MAX(0,MIN(Time!BH28,96)-MIN(MAX(Time!BH27,60),96))</f>
        <v/>
      </c>
      <c r="BI8" s="9">
        <f>MAX(0,MIN(Time!BI28,96)-MIN(MAX(Time!BI27,60),96))</f>
        <v/>
      </c>
      <c r="BJ8" s="9">
        <f>MAX(0,MIN(Time!BJ28,96)-MIN(MAX(Time!BJ27,60),96))</f>
        <v/>
      </c>
      <c r="BK8" s="9">
        <f>MAX(0,MIN(Time!BK28,96)-MIN(MAX(Time!BK27,60),96))</f>
        <v/>
      </c>
      <c r="BL8" s="9">
        <f>MAX(0,MIN(Time!BL28,96)-MIN(MAX(Time!BL27,60),96))</f>
        <v/>
      </c>
      <c r="BM8" s="9">
        <f>MAX(0,MIN(Time!BM28,96)-MIN(MAX(Time!BM27,60),96))</f>
        <v/>
      </c>
      <c r="BN8" s="9">
        <f>MAX(0,MIN(Time!BN28,96)-MIN(MAX(Time!BN27,60),96))</f>
        <v/>
      </c>
    </row>
    <row r="9">
      <c r="D9" t="inlineStr">
        <is>
          <t>Full-rate months (OY9+)</t>
        </is>
      </c>
      <c r="E9" t="inlineStr">
        <is>
          <t>months</t>
        </is>
      </c>
      <c r="J9" s="9">
        <f>Time!J25-J7-J8</f>
        <v/>
      </c>
      <c r="K9" s="9">
        <f>Time!K25-K7-K8</f>
        <v/>
      </c>
      <c r="L9" s="9">
        <f>Time!L25-L7-L8</f>
        <v/>
      </c>
      <c r="M9" s="9">
        <f>Time!M25-M7-M8</f>
        <v/>
      </c>
      <c r="N9" s="9">
        <f>Time!N25-N7-N8</f>
        <v/>
      </c>
      <c r="O9" s="9">
        <f>Time!O25-O7-O8</f>
        <v/>
      </c>
      <c r="P9" s="9">
        <f>Time!P25-P7-P8</f>
        <v/>
      </c>
      <c r="Q9" s="9">
        <f>Time!Q25-Q7-Q8</f>
        <v/>
      </c>
      <c r="R9" s="9">
        <f>Time!R25-R7-R8</f>
        <v/>
      </c>
      <c r="S9" s="9">
        <f>Time!S25-S7-S8</f>
        <v/>
      </c>
      <c r="T9" s="9">
        <f>Time!T25-T7-T8</f>
        <v/>
      </c>
      <c r="U9" s="9">
        <f>Time!U25-U7-U8</f>
        <v/>
      </c>
      <c r="V9" s="9">
        <f>Time!V25-V7-V8</f>
        <v/>
      </c>
      <c r="W9" s="9">
        <f>Time!W25-W7-W8</f>
        <v/>
      </c>
      <c r="X9" s="9">
        <f>Time!X25-X7-X8</f>
        <v/>
      </c>
      <c r="Y9" s="9">
        <f>Time!Y25-Y7-Y8</f>
        <v/>
      </c>
      <c r="Z9" s="9">
        <f>Time!Z25-Z7-Z8</f>
        <v/>
      </c>
      <c r="AA9" s="9">
        <f>Time!AA25-AA7-AA8</f>
        <v/>
      </c>
      <c r="AB9" s="9">
        <f>Time!AB25-AB7-AB8</f>
        <v/>
      </c>
      <c r="AC9" s="9">
        <f>Time!AC25-AC7-AC8</f>
        <v/>
      </c>
      <c r="AD9" s="9">
        <f>Time!AD25-AD7-AD8</f>
        <v/>
      </c>
      <c r="AE9" s="9">
        <f>Time!AE25-AE7-AE8</f>
        <v/>
      </c>
      <c r="AF9" s="9">
        <f>Time!AF25-AF7-AF8</f>
        <v/>
      </c>
      <c r="AG9" s="9">
        <f>Time!AG25-AG7-AG8</f>
        <v/>
      </c>
      <c r="AH9" s="9">
        <f>Time!AH25-AH7-AH8</f>
        <v/>
      </c>
      <c r="AI9" s="9">
        <f>Time!AI25-AI7-AI8</f>
        <v/>
      </c>
      <c r="AJ9" s="9">
        <f>Time!AJ25-AJ7-AJ8</f>
        <v/>
      </c>
      <c r="AK9" s="9">
        <f>Time!AK25-AK7-AK8</f>
        <v/>
      </c>
      <c r="AL9" s="9">
        <f>Time!AL25-AL7-AL8</f>
        <v/>
      </c>
      <c r="AM9" s="9">
        <f>Time!AM25-AM7-AM8</f>
        <v/>
      </c>
      <c r="AN9" s="9">
        <f>Time!AN25-AN7-AN8</f>
        <v/>
      </c>
      <c r="AO9" s="9">
        <f>Time!AO25-AO7-AO8</f>
        <v/>
      </c>
      <c r="AP9" s="9">
        <f>Time!AP25-AP7-AP8</f>
        <v/>
      </c>
      <c r="AQ9" s="9">
        <f>Time!AQ25-AQ7-AQ8</f>
        <v/>
      </c>
      <c r="AR9" s="9">
        <f>Time!AR25-AR7-AR8</f>
        <v/>
      </c>
      <c r="AS9" s="9">
        <f>Time!AS25-AS7-AS8</f>
        <v/>
      </c>
      <c r="AT9" s="9">
        <f>Time!AT25-AT7-AT8</f>
        <v/>
      </c>
      <c r="AU9" s="9">
        <f>Time!AU25-AU7-AU8</f>
        <v/>
      </c>
      <c r="AV9" s="9">
        <f>Time!AV25-AV7-AV8</f>
        <v/>
      </c>
      <c r="AW9" s="9">
        <f>Time!AW25-AW7-AW8</f>
        <v/>
      </c>
      <c r="AX9" s="9">
        <f>Time!AX25-AX7-AX8</f>
        <v/>
      </c>
      <c r="AY9" s="9">
        <f>Time!AY25-AY7-AY8</f>
        <v/>
      </c>
      <c r="AZ9" s="9">
        <f>Time!AZ25-AZ7-AZ8</f>
        <v/>
      </c>
      <c r="BA9" s="9">
        <f>Time!BA25-BA7-BA8</f>
        <v/>
      </c>
      <c r="BB9" s="9">
        <f>Time!BB25-BB7-BB8</f>
        <v/>
      </c>
      <c r="BC9" s="9">
        <f>Time!BC25-BC7-BC8</f>
        <v/>
      </c>
      <c r="BD9" s="9">
        <f>Time!BD25-BD7-BD8</f>
        <v/>
      </c>
      <c r="BE9" s="9">
        <f>Time!BE25-BE7-BE8</f>
        <v/>
      </c>
      <c r="BF9" s="9">
        <f>Time!BF25-BF7-BF8</f>
        <v/>
      </c>
      <c r="BG9" s="9">
        <f>Time!BG25-BG7-BG8</f>
        <v/>
      </c>
      <c r="BH9" s="9">
        <f>Time!BH25-BH7-BH8</f>
        <v/>
      </c>
      <c r="BI9" s="9">
        <f>Time!BI25-BI7-BI8</f>
        <v/>
      </c>
      <c r="BJ9" s="9">
        <f>Time!BJ25-BJ7-BJ8</f>
        <v/>
      </c>
      <c r="BK9" s="9">
        <f>Time!BK25-BK7-BK8</f>
        <v/>
      </c>
      <c r="BL9" s="9">
        <f>Time!BL25-BL7-BL8</f>
        <v/>
      </c>
      <c r="BM9" s="9">
        <f>Time!BM25-BM7-BM8</f>
        <v/>
      </c>
      <c r="BN9" s="9">
        <f>Time!BN25-BN7-BN8</f>
        <v/>
      </c>
    </row>
    <row r="10">
      <c r="D10" t="inlineStr">
        <is>
          <t>Tax depreciation (straight line from COD)</t>
        </is>
      </c>
      <c r="E10" t="inlineStr">
        <is>
          <t>USD m</t>
        </is>
      </c>
      <c r="G10" s="11">
        <f>SUM(J10:BN10)</f>
        <v/>
      </c>
      <c r="J10" s="11">
        <f>Inputs!$F$174*Funding!$F$76/Inputs!$F$175*MAX(0,MIN(Time!J28,Inputs!$F$175)-MIN(Time!J27,Inputs!$F$175))+Inputs!$F$176*Funding!$F$76/Inputs!$F$177*MAX(0,MIN(Time!J28,Inputs!$F$177)-MIN(Time!J27,Inputs!$F$177))+Inputs!$F$178*Funding!$F$76/Inputs!$F$179*MAX(0,MIN(Time!J28,Inputs!$F$179)-MIN(Time!J27,Inputs!$F$179))</f>
        <v/>
      </c>
      <c r="K10" s="11">
        <f>Inputs!$F$174*Funding!$F$76/Inputs!$F$175*MAX(0,MIN(Time!K28,Inputs!$F$175)-MIN(Time!K27,Inputs!$F$175))+Inputs!$F$176*Funding!$F$76/Inputs!$F$177*MAX(0,MIN(Time!K28,Inputs!$F$177)-MIN(Time!K27,Inputs!$F$177))+Inputs!$F$178*Funding!$F$76/Inputs!$F$179*MAX(0,MIN(Time!K28,Inputs!$F$179)-MIN(Time!K27,Inputs!$F$179))</f>
        <v/>
      </c>
      <c r="L10" s="11">
        <f>Inputs!$F$174*Funding!$F$76/Inputs!$F$175*MAX(0,MIN(Time!L28,Inputs!$F$175)-MIN(Time!L27,Inputs!$F$175))+Inputs!$F$176*Funding!$F$76/Inputs!$F$177*MAX(0,MIN(Time!L28,Inputs!$F$177)-MIN(Time!L27,Inputs!$F$177))+Inputs!$F$178*Funding!$F$76/Inputs!$F$179*MAX(0,MIN(Time!L28,Inputs!$F$179)-MIN(Time!L27,Inputs!$F$179))</f>
        <v/>
      </c>
      <c r="M10" s="11">
        <f>Inputs!$F$174*Funding!$F$76/Inputs!$F$175*MAX(0,MIN(Time!M28,Inputs!$F$175)-MIN(Time!M27,Inputs!$F$175))+Inputs!$F$176*Funding!$F$76/Inputs!$F$177*MAX(0,MIN(Time!M28,Inputs!$F$177)-MIN(Time!M27,Inputs!$F$177))+Inputs!$F$178*Funding!$F$76/Inputs!$F$179*MAX(0,MIN(Time!M28,Inputs!$F$179)-MIN(Time!M27,Inputs!$F$179))</f>
        <v/>
      </c>
      <c r="N10" s="11">
        <f>Inputs!$F$174*Funding!$F$76/Inputs!$F$175*MAX(0,MIN(Time!N28,Inputs!$F$175)-MIN(Time!N27,Inputs!$F$175))+Inputs!$F$176*Funding!$F$76/Inputs!$F$177*MAX(0,MIN(Time!N28,Inputs!$F$177)-MIN(Time!N27,Inputs!$F$177))+Inputs!$F$178*Funding!$F$76/Inputs!$F$179*MAX(0,MIN(Time!N28,Inputs!$F$179)-MIN(Time!N27,Inputs!$F$179))</f>
        <v/>
      </c>
      <c r="O10" s="11">
        <f>Inputs!$F$174*Funding!$F$76/Inputs!$F$175*MAX(0,MIN(Time!O28,Inputs!$F$175)-MIN(Time!O27,Inputs!$F$175))+Inputs!$F$176*Funding!$F$76/Inputs!$F$177*MAX(0,MIN(Time!O28,Inputs!$F$177)-MIN(Time!O27,Inputs!$F$177))+Inputs!$F$178*Funding!$F$76/Inputs!$F$179*MAX(0,MIN(Time!O28,Inputs!$F$179)-MIN(Time!O27,Inputs!$F$179))</f>
        <v/>
      </c>
      <c r="P10" s="11">
        <f>Inputs!$F$174*Funding!$F$76/Inputs!$F$175*MAX(0,MIN(Time!P28,Inputs!$F$175)-MIN(Time!P27,Inputs!$F$175))+Inputs!$F$176*Funding!$F$76/Inputs!$F$177*MAX(0,MIN(Time!P28,Inputs!$F$177)-MIN(Time!P27,Inputs!$F$177))+Inputs!$F$178*Funding!$F$76/Inputs!$F$179*MAX(0,MIN(Time!P28,Inputs!$F$179)-MIN(Time!P27,Inputs!$F$179))</f>
        <v/>
      </c>
      <c r="Q10" s="11">
        <f>Inputs!$F$174*Funding!$F$76/Inputs!$F$175*MAX(0,MIN(Time!Q28,Inputs!$F$175)-MIN(Time!Q27,Inputs!$F$175))+Inputs!$F$176*Funding!$F$76/Inputs!$F$177*MAX(0,MIN(Time!Q28,Inputs!$F$177)-MIN(Time!Q27,Inputs!$F$177))+Inputs!$F$178*Funding!$F$76/Inputs!$F$179*MAX(0,MIN(Time!Q28,Inputs!$F$179)-MIN(Time!Q27,Inputs!$F$179))</f>
        <v/>
      </c>
      <c r="R10" s="11">
        <f>Inputs!$F$174*Funding!$F$76/Inputs!$F$175*MAX(0,MIN(Time!R28,Inputs!$F$175)-MIN(Time!R27,Inputs!$F$175))+Inputs!$F$176*Funding!$F$76/Inputs!$F$177*MAX(0,MIN(Time!R28,Inputs!$F$177)-MIN(Time!R27,Inputs!$F$177))+Inputs!$F$178*Funding!$F$76/Inputs!$F$179*MAX(0,MIN(Time!R28,Inputs!$F$179)-MIN(Time!R27,Inputs!$F$179))</f>
        <v/>
      </c>
      <c r="S10" s="11">
        <f>Inputs!$F$174*Funding!$F$76/Inputs!$F$175*MAX(0,MIN(Time!S28,Inputs!$F$175)-MIN(Time!S27,Inputs!$F$175))+Inputs!$F$176*Funding!$F$76/Inputs!$F$177*MAX(0,MIN(Time!S28,Inputs!$F$177)-MIN(Time!S27,Inputs!$F$177))+Inputs!$F$178*Funding!$F$76/Inputs!$F$179*MAX(0,MIN(Time!S28,Inputs!$F$179)-MIN(Time!S27,Inputs!$F$179))</f>
        <v/>
      </c>
      <c r="T10" s="11">
        <f>Inputs!$F$174*Funding!$F$76/Inputs!$F$175*MAX(0,MIN(Time!T28,Inputs!$F$175)-MIN(Time!T27,Inputs!$F$175))+Inputs!$F$176*Funding!$F$76/Inputs!$F$177*MAX(0,MIN(Time!T28,Inputs!$F$177)-MIN(Time!T27,Inputs!$F$177))+Inputs!$F$178*Funding!$F$76/Inputs!$F$179*MAX(0,MIN(Time!T28,Inputs!$F$179)-MIN(Time!T27,Inputs!$F$179))</f>
        <v/>
      </c>
      <c r="U10" s="11">
        <f>Inputs!$F$174*Funding!$F$76/Inputs!$F$175*MAX(0,MIN(Time!U28,Inputs!$F$175)-MIN(Time!U27,Inputs!$F$175))+Inputs!$F$176*Funding!$F$76/Inputs!$F$177*MAX(0,MIN(Time!U28,Inputs!$F$177)-MIN(Time!U27,Inputs!$F$177))+Inputs!$F$178*Funding!$F$76/Inputs!$F$179*MAX(0,MIN(Time!U28,Inputs!$F$179)-MIN(Time!U27,Inputs!$F$179))</f>
        <v/>
      </c>
      <c r="V10" s="11">
        <f>Inputs!$F$174*Funding!$F$76/Inputs!$F$175*MAX(0,MIN(Time!V28,Inputs!$F$175)-MIN(Time!V27,Inputs!$F$175))+Inputs!$F$176*Funding!$F$76/Inputs!$F$177*MAX(0,MIN(Time!V28,Inputs!$F$177)-MIN(Time!V27,Inputs!$F$177))+Inputs!$F$178*Funding!$F$76/Inputs!$F$179*MAX(0,MIN(Time!V28,Inputs!$F$179)-MIN(Time!V27,Inputs!$F$179))</f>
        <v/>
      </c>
      <c r="W10" s="11">
        <f>Inputs!$F$174*Funding!$F$76/Inputs!$F$175*MAX(0,MIN(Time!W28,Inputs!$F$175)-MIN(Time!W27,Inputs!$F$175))+Inputs!$F$176*Funding!$F$76/Inputs!$F$177*MAX(0,MIN(Time!W28,Inputs!$F$177)-MIN(Time!W27,Inputs!$F$177))+Inputs!$F$178*Funding!$F$76/Inputs!$F$179*MAX(0,MIN(Time!W28,Inputs!$F$179)-MIN(Time!W27,Inputs!$F$179))</f>
        <v/>
      </c>
      <c r="X10" s="11">
        <f>Inputs!$F$174*Funding!$F$76/Inputs!$F$175*MAX(0,MIN(Time!X28,Inputs!$F$175)-MIN(Time!X27,Inputs!$F$175))+Inputs!$F$176*Funding!$F$76/Inputs!$F$177*MAX(0,MIN(Time!X28,Inputs!$F$177)-MIN(Time!X27,Inputs!$F$177))+Inputs!$F$178*Funding!$F$76/Inputs!$F$179*MAX(0,MIN(Time!X28,Inputs!$F$179)-MIN(Time!X27,Inputs!$F$179))</f>
        <v/>
      </c>
      <c r="Y10" s="11">
        <f>Inputs!$F$174*Funding!$F$76/Inputs!$F$175*MAX(0,MIN(Time!Y28,Inputs!$F$175)-MIN(Time!Y27,Inputs!$F$175))+Inputs!$F$176*Funding!$F$76/Inputs!$F$177*MAX(0,MIN(Time!Y28,Inputs!$F$177)-MIN(Time!Y27,Inputs!$F$177))+Inputs!$F$178*Funding!$F$76/Inputs!$F$179*MAX(0,MIN(Time!Y28,Inputs!$F$179)-MIN(Time!Y27,Inputs!$F$179))</f>
        <v/>
      </c>
      <c r="Z10" s="11">
        <f>Inputs!$F$174*Funding!$F$76/Inputs!$F$175*MAX(0,MIN(Time!Z28,Inputs!$F$175)-MIN(Time!Z27,Inputs!$F$175))+Inputs!$F$176*Funding!$F$76/Inputs!$F$177*MAX(0,MIN(Time!Z28,Inputs!$F$177)-MIN(Time!Z27,Inputs!$F$177))+Inputs!$F$178*Funding!$F$76/Inputs!$F$179*MAX(0,MIN(Time!Z28,Inputs!$F$179)-MIN(Time!Z27,Inputs!$F$179))</f>
        <v/>
      </c>
      <c r="AA10" s="11">
        <f>Inputs!$F$174*Funding!$F$76/Inputs!$F$175*MAX(0,MIN(Time!AA28,Inputs!$F$175)-MIN(Time!AA27,Inputs!$F$175))+Inputs!$F$176*Funding!$F$76/Inputs!$F$177*MAX(0,MIN(Time!AA28,Inputs!$F$177)-MIN(Time!AA27,Inputs!$F$177))+Inputs!$F$178*Funding!$F$76/Inputs!$F$179*MAX(0,MIN(Time!AA28,Inputs!$F$179)-MIN(Time!AA27,Inputs!$F$179))</f>
        <v/>
      </c>
      <c r="AB10" s="11">
        <f>Inputs!$F$174*Funding!$F$76/Inputs!$F$175*MAX(0,MIN(Time!AB28,Inputs!$F$175)-MIN(Time!AB27,Inputs!$F$175))+Inputs!$F$176*Funding!$F$76/Inputs!$F$177*MAX(0,MIN(Time!AB28,Inputs!$F$177)-MIN(Time!AB27,Inputs!$F$177))+Inputs!$F$178*Funding!$F$76/Inputs!$F$179*MAX(0,MIN(Time!AB28,Inputs!$F$179)-MIN(Time!AB27,Inputs!$F$179))</f>
        <v/>
      </c>
      <c r="AC10" s="11">
        <f>Inputs!$F$174*Funding!$F$76/Inputs!$F$175*MAX(0,MIN(Time!AC28,Inputs!$F$175)-MIN(Time!AC27,Inputs!$F$175))+Inputs!$F$176*Funding!$F$76/Inputs!$F$177*MAX(0,MIN(Time!AC28,Inputs!$F$177)-MIN(Time!AC27,Inputs!$F$177))+Inputs!$F$178*Funding!$F$76/Inputs!$F$179*MAX(0,MIN(Time!AC28,Inputs!$F$179)-MIN(Time!AC27,Inputs!$F$179))</f>
        <v/>
      </c>
      <c r="AD10" s="11">
        <f>Inputs!$F$174*Funding!$F$76/Inputs!$F$175*MAX(0,MIN(Time!AD28,Inputs!$F$175)-MIN(Time!AD27,Inputs!$F$175))+Inputs!$F$176*Funding!$F$76/Inputs!$F$177*MAX(0,MIN(Time!AD28,Inputs!$F$177)-MIN(Time!AD27,Inputs!$F$177))+Inputs!$F$178*Funding!$F$76/Inputs!$F$179*MAX(0,MIN(Time!AD28,Inputs!$F$179)-MIN(Time!AD27,Inputs!$F$179))</f>
        <v/>
      </c>
      <c r="AE10" s="11">
        <f>Inputs!$F$174*Funding!$F$76/Inputs!$F$175*MAX(0,MIN(Time!AE28,Inputs!$F$175)-MIN(Time!AE27,Inputs!$F$175))+Inputs!$F$176*Funding!$F$76/Inputs!$F$177*MAX(0,MIN(Time!AE28,Inputs!$F$177)-MIN(Time!AE27,Inputs!$F$177))+Inputs!$F$178*Funding!$F$76/Inputs!$F$179*MAX(0,MIN(Time!AE28,Inputs!$F$179)-MIN(Time!AE27,Inputs!$F$179))</f>
        <v/>
      </c>
      <c r="AF10" s="11">
        <f>Inputs!$F$174*Funding!$F$76/Inputs!$F$175*MAX(0,MIN(Time!AF28,Inputs!$F$175)-MIN(Time!AF27,Inputs!$F$175))+Inputs!$F$176*Funding!$F$76/Inputs!$F$177*MAX(0,MIN(Time!AF28,Inputs!$F$177)-MIN(Time!AF27,Inputs!$F$177))+Inputs!$F$178*Funding!$F$76/Inputs!$F$179*MAX(0,MIN(Time!AF28,Inputs!$F$179)-MIN(Time!AF27,Inputs!$F$179))</f>
        <v/>
      </c>
      <c r="AG10" s="11">
        <f>Inputs!$F$174*Funding!$F$76/Inputs!$F$175*MAX(0,MIN(Time!AG28,Inputs!$F$175)-MIN(Time!AG27,Inputs!$F$175))+Inputs!$F$176*Funding!$F$76/Inputs!$F$177*MAX(0,MIN(Time!AG28,Inputs!$F$177)-MIN(Time!AG27,Inputs!$F$177))+Inputs!$F$178*Funding!$F$76/Inputs!$F$179*MAX(0,MIN(Time!AG28,Inputs!$F$179)-MIN(Time!AG27,Inputs!$F$179))</f>
        <v/>
      </c>
      <c r="AH10" s="11">
        <f>Inputs!$F$174*Funding!$F$76/Inputs!$F$175*MAX(0,MIN(Time!AH28,Inputs!$F$175)-MIN(Time!AH27,Inputs!$F$175))+Inputs!$F$176*Funding!$F$76/Inputs!$F$177*MAX(0,MIN(Time!AH28,Inputs!$F$177)-MIN(Time!AH27,Inputs!$F$177))+Inputs!$F$178*Funding!$F$76/Inputs!$F$179*MAX(0,MIN(Time!AH28,Inputs!$F$179)-MIN(Time!AH27,Inputs!$F$179))</f>
        <v/>
      </c>
      <c r="AI10" s="11">
        <f>Inputs!$F$174*Funding!$F$76/Inputs!$F$175*MAX(0,MIN(Time!AI28,Inputs!$F$175)-MIN(Time!AI27,Inputs!$F$175))+Inputs!$F$176*Funding!$F$76/Inputs!$F$177*MAX(0,MIN(Time!AI28,Inputs!$F$177)-MIN(Time!AI27,Inputs!$F$177))+Inputs!$F$178*Funding!$F$76/Inputs!$F$179*MAX(0,MIN(Time!AI28,Inputs!$F$179)-MIN(Time!AI27,Inputs!$F$179))</f>
        <v/>
      </c>
      <c r="AJ10" s="11">
        <f>Inputs!$F$174*Funding!$F$76/Inputs!$F$175*MAX(0,MIN(Time!AJ28,Inputs!$F$175)-MIN(Time!AJ27,Inputs!$F$175))+Inputs!$F$176*Funding!$F$76/Inputs!$F$177*MAX(0,MIN(Time!AJ28,Inputs!$F$177)-MIN(Time!AJ27,Inputs!$F$177))+Inputs!$F$178*Funding!$F$76/Inputs!$F$179*MAX(0,MIN(Time!AJ28,Inputs!$F$179)-MIN(Time!AJ27,Inputs!$F$179))</f>
        <v/>
      </c>
      <c r="AK10" s="11">
        <f>Inputs!$F$174*Funding!$F$76/Inputs!$F$175*MAX(0,MIN(Time!AK28,Inputs!$F$175)-MIN(Time!AK27,Inputs!$F$175))+Inputs!$F$176*Funding!$F$76/Inputs!$F$177*MAX(0,MIN(Time!AK28,Inputs!$F$177)-MIN(Time!AK27,Inputs!$F$177))+Inputs!$F$178*Funding!$F$76/Inputs!$F$179*MAX(0,MIN(Time!AK28,Inputs!$F$179)-MIN(Time!AK27,Inputs!$F$179))</f>
        <v/>
      </c>
      <c r="AL10" s="11">
        <f>Inputs!$F$174*Funding!$F$76/Inputs!$F$175*MAX(0,MIN(Time!AL28,Inputs!$F$175)-MIN(Time!AL27,Inputs!$F$175))+Inputs!$F$176*Funding!$F$76/Inputs!$F$177*MAX(0,MIN(Time!AL28,Inputs!$F$177)-MIN(Time!AL27,Inputs!$F$177))+Inputs!$F$178*Funding!$F$76/Inputs!$F$179*MAX(0,MIN(Time!AL28,Inputs!$F$179)-MIN(Time!AL27,Inputs!$F$179))</f>
        <v/>
      </c>
      <c r="AM10" s="11">
        <f>Inputs!$F$174*Funding!$F$76/Inputs!$F$175*MAX(0,MIN(Time!AM28,Inputs!$F$175)-MIN(Time!AM27,Inputs!$F$175))+Inputs!$F$176*Funding!$F$76/Inputs!$F$177*MAX(0,MIN(Time!AM28,Inputs!$F$177)-MIN(Time!AM27,Inputs!$F$177))+Inputs!$F$178*Funding!$F$76/Inputs!$F$179*MAX(0,MIN(Time!AM28,Inputs!$F$179)-MIN(Time!AM27,Inputs!$F$179))</f>
        <v/>
      </c>
      <c r="AN10" s="11">
        <f>Inputs!$F$174*Funding!$F$76/Inputs!$F$175*MAX(0,MIN(Time!AN28,Inputs!$F$175)-MIN(Time!AN27,Inputs!$F$175))+Inputs!$F$176*Funding!$F$76/Inputs!$F$177*MAX(0,MIN(Time!AN28,Inputs!$F$177)-MIN(Time!AN27,Inputs!$F$177))+Inputs!$F$178*Funding!$F$76/Inputs!$F$179*MAX(0,MIN(Time!AN28,Inputs!$F$179)-MIN(Time!AN27,Inputs!$F$179))</f>
        <v/>
      </c>
      <c r="AO10" s="11">
        <f>Inputs!$F$174*Funding!$F$76/Inputs!$F$175*MAX(0,MIN(Time!AO28,Inputs!$F$175)-MIN(Time!AO27,Inputs!$F$175))+Inputs!$F$176*Funding!$F$76/Inputs!$F$177*MAX(0,MIN(Time!AO28,Inputs!$F$177)-MIN(Time!AO27,Inputs!$F$177))+Inputs!$F$178*Funding!$F$76/Inputs!$F$179*MAX(0,MIN(Time!AO28,Inputs!$F$179)-MIN(Time!AO27,Inputs!$F$179))</f>
        <v/>
      </c>
      <c r="AP10" s="11">
        <f>Inputs!$F$174*Funding!$F$76/Inputs!$F$175*MAX(0,MIN(Time!AP28,Inputs!$F$175)-MIN(Time!AP27,Inputs!$F$175))+Inputs!$F$176*Funding!$F$76/Inputs!$F$177*MAX(0,MIN(Time!AP28,Inputs!$F$177)-MIN(Time!AP27,Inputs!$F$177))+Inputs!$F$178*Funding!$F$76/Inputs!$F$179*MAX(0,MIN(Time!AP28,Inputs!$F$179)-MIN(Time!AP27,Inputs!$F$179))</f>
        <v/>
      </c>
      <c r="AQ10" s="11">
        <f>Inputs!$F$174*Funding!$F$76/Inputs!$F$175*MAX(0,MIN(Time!AQ28,Inputs!$F$175)-MIN(Time!AQ27,Inputs!$F$175))+Inputs!$F$176*Funding!$F$76/Inputs!$F$177*MAX(0,MIN(Time!AQ28,Inputs!$F$177)-MIN(Time!AQ27,Inputs!$F$177))+Inputs!$F$178*Funding!$F$76/Inputs!$F$179*MAX(0,MIN(Time!AQ28,Inputs!$F$179)-MIN(Time!AQ27,Inputs!$F$179))</f>
        <v/>
      </c>
      <c r="AR10" s="11">
        <f>Inputs!$F$174*Funding!$F$76/Inputs!$F$175*MAX(0,MIN(Time!AR28,Inputs!$F$175)-MIN(Time!AR27,Inputs!$F$175))+Inputs!$F$176*Funding!$F$76/Inputs!$F$177*MAX(0,MIN(Time!AR28,Inputs!$F$177)-MIN(Time!AR27,Inputs!$F$177))+Inputs!$F$178*Funding!$F$76/Inputs!$F$179*MAX(0,MIN(Time!AR28,Inputs!$F$179)-MIN(Time!AR27,Inputs!$F$179))</f>
        <v/>
      </c>
      <c r="AS10" s="11">
        <f>Inputs!$F$174*Funding!$F$76/Inputs!$F$175*MAX(0,MIN(Time!AS28,Inputs!$F$175)-MIN(Time!AS27,Inputs!$F$175))+Inputs!$F$176*Funding!$F$76/Inputs!$F$177*MAX(0,MIN(Time!AS28,Inputs!$F$177)-MIN(Time!AS27,Inputs!$F$177))+Inputs!$F$178*Funding!$F$76/Inputs!$F$179*MAX(0,MIN(Time!AS28,Inputs!$F$179)-MIN(Time!AS27,Inputs!$F$179))</f>
        <v/>
      </c>
      <c r="AT10" s="11">
        <f>Inputs!$F$174*Funding!$F$76/Inputs!$F$175*MAX(0,MIN(Time!AT28,Inputs!$F$175)-MIN(Time!AT27,Inputs!$F$175))+Inputs!$F$176*Funding!$F$76/Inputs!$F$177*MAX(0,MIN(Time!AT28,Inputs!$F$177)-MIN(Time!AT27,Inputs!$F$177))+Inputs!$F$178*Funding!$F$76/Inputs!$F$179*MAX(0,MIN(Time!AT28,Inputs!$F$179)-MIN(Time!AT27,Inputs!$F$179))</f>
        <v/>
      </c>
      <c r="AU10" s="11">
        <f>Inputs!$F$174*Funding!$F$76/Inputs!$F$175*MAX(0,MIN(Time!AU28,Inputs!$F$175)-MIN(Time!AU27,Inputs!$F$175))+Inputs!$F$176*Funding!$F$76/Inputs!$F$177*MAX(0,MIN(Time!AU28,Inputs!$F$177)-MIN(Time!AU27,Inputs!$F$177))+Inputs!$F$178*Funding!$F$76/Inputs!$F$179*MAX(0,MIN(Time!AU28,Inputs!$F$179)-MIN(Time!AU27,Inputs!$F$179))</f>
        <v/>
      </c>
      <c r="AV10" s="11">
        <f>Inputs!$F$174*Funding!$F$76/Inputs!$F$175*MAX(0,MIN(Time!AV28,Inputs!$F$175)-MIN(Time!AV27,Inputs!$F$175))+Inputs!$F$176*Funding!$F$76/Inputs!$F$177*MAX(0,MIN(Time!AV28,Inputs!$F$177)-MIN(Time!AV27,Inputs!$F$177))+Inputs!$F$178*Funding!$F$76/Inputs!$F$179*MAX(0,MIN(Time!AV28,Inputs!$F$179)-MIN(Time!AV27,Inputs!$F$179))</f>
        <v/>
      </c>
      <c r="AW10" s="11">
        <f>Inputs!$F$174*Funding!$F$76/Inputs!$F$175*MAX(0,MIN(Time!AW28,Inputs!$F$175)-MIN(Time!AW27,Inputs!$F$175))+Inputs!$F$176*Funding!$F$76/Inputs!$F$177*MAX(0,MIN(Time!AW28,Inputs!$F$177)-MIN(Time!AW27,Inputs!$F$177))+Inputs!$F$178*Funding!$F$76/Inputs!$F$179*MAX(0,MIN(Time!AW28,Inputs!$F$179)-MIN(Time!AW27,Inputs!$F$179))</f>
        <v/>
      </c>
      <c r="AX10" s="11">
        <f>Inputs!$F$174*Funding!$F$76/Inputs!$F$175*MAX(0,MIN(Time!AX28,Inputs!$F$175)-MIN(Time!AX27,Inputs!$F$175))+Inputs!$F$176*Funding!$F$76/Inputs!$F$177*MAX(0,MIN(Time!AX28,Inputs!$F$177)-MIN(Time!AX27,Inputs!$F$177))+Inputs!$F$178*Funding!$F$76/Inputs!$F$179*MAX(0,MIN(Time!AX28,Inputs!$F$179)-MIN(Time!AX27,Inputs!$F$179))</f>
        <v/>
      </c>
      <c r="AY10" s="11">
        <f>Inputs!$F$174*Funding!$F$76/Inputs!$F$175*MAX(0,MIN(Time!AY28,Inputs!$F$175)-MIN(Time!AY27,Inputs!$F$175))+Inputs!$F$176*Funding!$F$76/Inputs!$F$177*MAX(0,MIN(Time!AY28,Inputs!$F$177)-MIN(Time!AY27,Inputs!$F$177))+Inputs!$F$178*Funding!$F$76/Inputs!$F$179*MAX(0,MIN(Time!AY28,Inputs!$F$179)-MIN(Time!AY27,Inputs!$F$179))</f>
        <v/>
      </c>
      <c r="AZ10" s="11">
        <f>Inputs!$F$174*Funding!$F$76/Inputs!$F$175*MAX(0,MIN(Time!AZ28,Inputs!$F$175)-MIN(Time!AZ27,Inputs!$F$175))+Inputs!$F$176*Funding!$F$76/Inputs!$F$177*MAX(0,MIN(Time!AZ28,Inputs!$F$177)-MIN(Time!AZ27,Inputs!$F$177))+Inputs!$F$178*Funding!$F$76/Inputs!$F$179*MAX(0,MIN(Time!AZ28,Inputs!$F$179)-MIN(Time!AZ27,Inputs!$F$179))</f>
        <v/>
      </c>
      <c r="BA10" s="11">
        <f>Inputs!$F$174*Funding!$F$76/Inputs!$F$175*MAX(0,MIN(Time!BA28,Inputs!$F$175)-MIN(Time!BA27,Inputs!$F$175))+Inputs!$F$176*Funding!$F$76/Inputs!$F$177*MAX(0,MIN(Time!BA28,Inputs!$F$177)-MIN(Time!BA27,Inputs!$F$177))+Inputs!$F$178*Funding!$F$76/Inputs!$F$179*MAX(0,MIN(Time!BA28,Inputs!$F$179)-MIN(Time!BA27,Inputs!$F$179))</f>
        <v/>
      </c>
      <c r="BB10" s="11">
        <f>Inputs!$F$174*Funding!$F$76/Inputs!$F$175*MAX(0,MIN(Time!BB28,Inputs!$F$175)-MIN(Time!BB27,Inputs!$F$175))+Inputs!$F$176*Funding!$F$76/Inputs!$F$177*MAX(0,MIN(Time!BB28,Inputs!$F$177)-MIN(Time!BB27,Inputs!$F$177))+Inputs!$F$178*Funding!$F$76/Inputs!$F$179*MAX(0,MIN(Time!BB28,Inputs!$F$179)-MIN(Time!BB27,Inputs!$F$179))</f>
        <v/>
      </c>
      <c r="BC10" s="11">
        <f>Inputs!$F$174*Funding!$F$76/Inputs!$F$175*MAX(0,MIN(Time!BC28,Inputs!$F$175)-MIN(Time!BC27,Inputs!$F$175))+Inputs!$F$176*Funding!$F$76/Inputs!$F$177*MAX(0,MIN(Time!BC28,Inputs!$F$177)-MIN(Time!BC27,Inputs!$F$177))+Inputs!$F$178*Funding!$F$76/Inputs!$F$179*MAX(0,MIN(Time!BC28,Inputs!$F$179)-MIN(Time!BC27,Inputs!$F$179))</f>
        <v/>
      </c>
      <c r="BD10" s="11">
        <f>Inputs!$F$174*Funding!$F$76/Inputs!$F$175*MAX(0,MIN(Time!BD28,Inputs!$F$175)-MIN(Time!BD27,Inputs!$F$175))+Inputs!$F$176*Funding!$F$76/Inputs!$F$177*MAX(0,MIN(Time!BD28,Inputs!$F$177)-MIN(Time!BD27,Inputs!$F$177))+Inputs!$F$178*Funding!$F$76/Inputs!$F$179*MAX(0,MIN(Time!BD28,Inputs!$F$179)-MIN(Time!BD27,Inputs!$F$179))</f>
        <v/>
      </c>
      <c r="BE10" s="11">
        <f>Inputs!$F$174*Funding!$F$76/Inputs!$F$175*MAX(0,MIN(Time!BE28,Inputs!$F$175)-MIN(Time!BE27,Inputs!$F$175))+Inputs!$F$176*Funding!$F$76/Inputs!$F$177*MAX(0,MIN(Time!BE28,Inputs!$F$177)-MIN(Time!BE27,Inputs!$F$177))+Inputs!$F$178*Funding!$F$76/Inputs!$F$179*MAX(0,MIN(Time!BE28,Inputs!$F$179)-MIN(Time!BE27,Inputs!$F$179))</f>
        <v/>
      </c>
      <c r="BF10" s="11">
        <f>Inputs!$F$174*Funding!$F$76/Inputs!$F$175*MAX(0,MIN(Time!BF28,Inputs!$F$175)-MIN(Time!BF27,Inputs!$F$175))+Inputs!$F$176*Funding!$F$76/Inputs!$F$177*MAX(0,MIN(Time!BF28,Inputs!$F$177)-MIN(Time!BF27,Inputs!$F$177))+Inputs!$F$178*Funding!$F$76/Inputs!$F$179*MAX(0,MIN(Time!BF28,Inputs!$F$179)-MIN(Time!BF27,Inputs!$F$179))</f>
        <v/>
      </c>
      <c r="BG10" s="11">
        <f>Inputs!$F$174*Funding!$F$76/Inputs!$F$175*MAX(0,MIN(Time!BG28,Inputs!$F$175)-MIN(Time!BG27,Inputs!$F$175))+Inputs!$F$176*Funding!$F$76/Inputs!$F$177*MAX(0,MIN(Time!BG28,Inputs!$F$177)-MIN(Time!BG27,Inputs!$F$177))+Inputs!$F$178*Funding!$F$76/Inputs!$F$179*MAX(0,MIN(Time!BG28,Inputs!$F$179)-MIN(Time!BG27,Inputs!$F$179))</f>
        <v/>
      </c>
      <c r="BH10" s="11">
        <f>Inputs!$F$174*Funding!$F$76/Inputs!$F$175*MAX(0,MIN(Time!BH28,Inputs!$F$175)-MIN(Time!BH27,Inputs!$F$175))+Inputs!$F$176*Funding!$F$76/Inputs!$F$177*MAX(0,MIN(Time!BH28,Inputs!$F$177)-MIN(Time!BH27,Inputs!$F$177))+Inputs!$F$178*Funding!$F$76/Inputs!$F$179*MAX(0,MIN(Time!BH28,Inputs!$F$179)-MIN(Time!BH27,Inputs!$F$179))</f>
        <v/>
      </c>
      <c r="BI10" s="11">
        <f>Inputs!$F$174*Funding!$F$76/Inputs!$F$175*MAX(0,MIN(Time!BI28,Inputs!$F$175)-MIN(Time!BI27,Inputs!$F$175))+Inputs!$F$176*Funding!$F$76/Inputs!$F$177*MAX(0,MIN(Time!BI28,Inputs!$F$177)-MIN(Time!BI27,Inputs!$F$177))+Inputs!$F$178*Funding!$F$76/Inputs!$F$179*MAX(0,MIN(Time!BI28,Inputs!$F$179)-MIN(Time!BI27,Inputs!$F$179))</f>
        <v/>
      </c>
      <c r="BJ10" s="11">
        <f>Inputs!$F$174*Funding!$F$76/Inputs!$F$175*MAX(0,MIN(Time!BJ28,Inputs!$F$175)-MIN(Time!BJ27,Inputs!$F$175))+Inputs!$F$176*Funding!$F$76/Inputs!$F$177*MAX(0,MIN(Time!BJ28,Inputs!$F$177)-MIN(Time!BJ27,Inputs!$F$177))+Inputs!$F$178*Funding!$F$76/Inputs!$F$179*MAX(0,MIN(Time!BJ28,Inputs!$F$179)-MIN(Time!BJ27,Inputs!$F$179))</f>
        <v/>
      </c>
      <c r="BK10" s="11">
        <f>Inputs!$F$174*Funding!$F$76/Inputs!$F$175*MAX(0,MIN(Time!BK28,Inputs!$F$175)-MIN(Time!BK27,Inputs!$F$175))+Inputs!$F$176*Funding!$F$76/Inputs!$F$177*MAX(0,MIN(Time!BK28,Inputs!$F$177)-MIN(Time!BK27,Inputs!$F$177))+Inputs!$F$178*Funding!$F$76/Inputs!$F$179*MAX(0,MIN(Time!BK28,Inputs!$F$179)-MIN(Time!BK27,Inputs!$F$179))</f>
        <v/>
      </c>
      <c r="BL10" s="11">
        <f>Inputs!$F$174*Funding!$F$76/Inputs!$F$175*MAX(0,MIN(Time!BL28,Inputs!$F$175)-MIN(Time!BL27,Inputs!$F$175))+Inputs!$F$176*Funding!$F$76/Inputs!$F$177*MAX(0,MIN(Time!BL28,Inputs!$F$177)-MIN(Time!BL27,Inputs!$F$177))+Inputs!$F$178*Funding!$F$76/Inputs!$F$179*MAX(0,MIN(Time!BL28,Inputs!$F$179)-MIN(Time!BL27,Inputs!$F$179))</f>
        <v/>
      </c>
      <c r="BM10" s="11">
        <f>Inputs!$F$174*Funding!$F$76/Inputs!$F$175*MAX(0,MIN(Time!BM28,Inputs!$F$175)-MIN(Time!BM27,Inputs!$F$175))+Inputs!$F$176*Funding!$F$76/Inputs!$F$177*MAX(0,MIN(Time!BM28,Inputs!$F$177)-MIN(Time!BM27,Inputs!$F$177))+Inputs!$F$178*Funding!$F$76/Inputs!$F$179*MAX(0,MIN(Time!BM28,Inputs!$F$179)-MIN(Time!BM27,Inputs!$F$179))</f>
        <v/>
      </c>
      <c r="BN10" s="11">
        <f>Inputs!$F$174*Funding!$F$76/Inputs!$F$175*MAX(0,MIN(Time!BN28,Inputs!$F$175)-MIN(Time!BN27,Inputs!$F$175))+Inputs!$F$176*Funding!$F$76/Inputs!$F$177*MAX(0,MIN(Time!BN28,Inputs!$F$177)-MIN(Time!BN27,Inputs!$F$177))+Inputs!$F$178*Funding!$F$76/Inputs!$F$179*MAX(0,MIN(Time!BN28,Inputs!$F$179)-MIN(Time!BN27,Inputs!$F$179))</f>
        <v/>
      </c>
    </row>
    <row r="11">
      <c r="D11" t="inlineStr">
        <is>
          <t>Depreciation of holiday months (deemed deferred)</t>
        </is>
      </c>
      <c r="E11" t="inlineStr">
        <is>
          <t>USD m</t>
        </is>
      </c>
      <c r="G11" s="11">
        <f>SUM(J11:BN11)</f>
        <v/>
      </c>
      <c r="J11" s="11">
        <f>(Inputs!$F$174*Funding!$F$76/Inputs!$F$175+Inputs!$F$176*Funding!$F$76/Inputs!$F$177)*J7+Inputs!$F$178*Funding!$F$76/Inputs!$F$179*MAX(0,MIN(Time!J28,60)-MIN(Time!J27,60))</f>
        <v/>
      </c>
      <c r="K11" s="11">
        <f>(Inputs!$F$174*Funding!$F$76/Inputs!$F$175+Inputs!$F$176*Funding!$F$76/Inputs!$F$177)*K7+Inputs!$F$178*Funding!$F$76/Inputs!$F$179*MAX(0,MIN(Time!K28,60)-MIN(Time!K27,60))</f>
        <v/>
      </c>
      <c r="L11" s="11">
        <f>(Inputs!$F$174*Funding!$F$76/Inputs!$F$175+Inputs!$F$176*Funding!$F$76/Inputs!$F$177)*L7+Inputs!$F$178*Funding!$F$76/Inputs!$F$179*MAX(0,MIN(Time!L28,60)-MIN(Time!L27,60))</f>
        <v/>
      </c>
      <c r="M11" s="11">
        <f>(Inputs!$F$174*Funding!$F$76/Inputs!$F$175+Inputs!$F$176*Funding!$F$76/Inputs!$F$177)*M7+Inputs!$F$178*Funding!$F$76/Inputs!$F$179*MAX(0,MIN(Time!M28,60)-MIN(Time!M27,60))</f>
        <v/>
      </c>
      <c r="N11" s="11">
        <f>(Inputs!$F$174*Funding!$F$76/Inputs!$F$175+Inputs!$F$176*Funding!$F$76/Inputs!$F$177)*N7+Inputs!$F$178*Funding!$F$76/Inputs!$F$179*MAX(0,MIN(Time!N28,60)-MIN(Time!N27,60))</f>
        <v/>
      </c>
      <c r="O11" s="11">
        <f>(Inputs!$F$174*Funding!$F$76/Inputs!$F$175+Inputs!$F$176*Funding!$F$76/Inputs!$F$177)*O7+Inputs!$F$178*Funding!$F$76/Inputs!$F$179*MAX(0,MIN(Time!O28,60)-MIN(Time!O27,60))</f>
        <v/>
      </c>
      <c r="P11" s="11">
        <f>(Inputs!$F$174*Funding!$F$76/Inputs!$F$175+Inputs!$F$176*Funding!$F$76/Inputs!$F$177)*P7+Inputs!$F$178*Funding!$F$76/Inputs!$F$179*MAX(0,MIN(Time!P28,60)-MIN(Time!P27,60))</f>
        <v/>
      </c>
      <c r="Q11" s="11">
        <f>(Inputs!$F$174*Funding!$F$76/Inputs!$F$175+Inputs!$F$176*Funding!$F$76/Inputs!$F$177)*Q7+Inputs!$F$178*Funding!$F$76/Inputs!$F$179*MAX(0,MIN(Time!Q28,60)-MIN(Time!Q27,60))</f>
        <v/>
      </c>
      <c r="R11" s="11">
        <f>(Inputs!$F$174*Funding!$F$76/Inputs!$F$175+Inputs!$F$176*Funding!$F$76/Inputs!$F$177)*R7+Inputs!$F$178*Funding!$F$76/Inputs!$F$179*MAX(0,MIN(Time!R28,60)-MIN(Time!R27,60))</f>
        <v/>
      </c>
      <c r="S11" s="11">
        <f>(Inputs!$F$174*Funding!$F$76/Inputs!$F$175+Inputs!$F$176*Funding!$F$76/Inputs!$F$177)*S7+Inputs!$F$178*Funding!$F$76/Inputs!$F$179*MAX(0,MIN(Time!S28,60)-MIN(Time!S27,60))</f>
        <v/>
      </c>
      <c r="T11" s="11">
        <f>(Inputs!$F$174*Funding!$F$76/Inputs!$F$175+Inputs!$F$176*Funding!$F$76/Inputs!$F$177)*T7+Inputs!$F$178*Funding!$F$76/Inputs!$F$179*MAX(0,MIN(Time!T28,60)-MIN(Time!T27,60))</f>
        <v/>
      </c>
      <c r="U11" s="11">
        <f>(Inputs!$F$174*Funding!$F$76/Inputs!$F$175+Inputs!$F$176*Funding!$F$76/Inputs!$F$177)*U7+Inputs!$F$178*Funding!$F$76/Inputs!$F$179*MAX(0,MIN(Time!U28,60)-MIN(Time!U27,60))</f>
        <v/>
      </c>
      <c r="V11" s="11">
        <f>(Inputs!$F$174*Funding!$F$76/Inputs!$F$175+Inputs!$F$176*Funding!$F$76/Inputs!$F$177)*V7+Inputs!$F$178*Funding!$F$76/Inputs!$F$179*MAX(0,MIN(Time!V28,60)-MIN(Time!V27,60))</f>
        <v/>
      </c>
      <c r="W11" s="11">
        <f>(Inputs!$F$174*Funding!$F$76/Inputs!$F$175+Inputs!$F$176*Funding!$F$76/Inputs!$F$177)*W7+Inputs!$F$178*Funding!$F$76/Inputs!$F$179*MAX(0,MIN(Time!W28,60)-MIN(Time!W27,60))</f>
        <v/>
      </c>
      <c r="X11" s="11">
        <f>(Inputs!$F$174*Funding!$F$76/Inputs!$F$175+Inputs!$F$176*Funding!$F$76/Inputs!$F$177)*X7+Inputs!$F$178*Funding!$F$76/Inputs!$F$179*MAX(0,MIN(Time!X28,60)-MIN(Time!X27,60))</f>
        <v/>
      </c>
      <c r="Y11" s="11">
        <f>(Inputs!$F$174*Funding!$F$76/Inputs!$F$175+Inputs!$F$176*Funding!$F$76/Inputs!$F$177)*Y7+Inputs!$F$178*Funding!$F$76/Inputs!$F$179*MAX(0,MIN(Time!Y28,60)-MIN(Time!Y27,60))</f>
        <v/>
      </c>
      <c r="Z11" s="11">
        <f>(Inputs!$F$174*Funding!$F$76/Inputs!$F$175+Inputs!$F$176*Funding!$F$76/Inputs!$F$177)*Z7+Inputs!$F$178*Funding!$F$76/Inputs!$F$179*MAX(0,MIN(Time!Z28,60)-MIN(Time!Z27,60))</f>
        <v/>
      </c>
      <c r="AA11" s="11">
        <f>(Inputs!$F$174*Funding!$F$76/Inputs!$F$175+Inputs!$F$176*Funding!$F$76/Inputs!$F$177)*AA7+Inputs!$F$178*Funding!$F$76/Inputs!$F$179*MAX(0,MIN(Time!AA28,60)-MIN(Time!AA27,60))</f>
        <v/>
      </c>
      <c r="AB11" s="11">
        <f>(Inputs!$F$174*Funding!$F$76/Inputs!$F$175+Inputs!$F$176*Funding!$F$76/Inputs!$F$177)*AB7+Inputs!$F$178*Funding!$F$76/Inputs!$F$179*MAX(0,MIN(Time!AB28,60)-MIN(Time!AB27,60))</f>
        <v/>
      </c>
      <c r="AC11" s="11">
        <f>(Inputs!$F$174*Funding!$F$76/Inputs!$F$175+Inputs!$F$176*Funding!$F$76/Inputs!$F$177)*AC7+Inputs!$F$178*Funding!$F$76/Inputs!$F$179*MAX(0,MIN(Time!AC28,60)-MIN(Time!AC27,60))</f>
        <v/>
      </c>
      <c r="AD11" s="11">
        <f>(Inputs!$F$174*Funding!$F$76/Inputs!$F$175+Inputs!$F$176*Funding!$F$76/Inputs!$F$177)*AD7+Inputs!$F$178*Funding!$F$76/Inputs!$F$179*MAX(0,MIN(Time!AD28,60)-MIN(Time!AD27,60))</f>
        <v/>
      </c>
      <c r="AE11" s="11">
        <f>(Inputs!$F$174*Funding!$F$76/Inputs!$F$175+Inputs!$F$176*Funding!$F$76/Inputs!$F$177)*AE7+Inputs!$F$178*Funding!$F$76/Inputs!$F$179*MAX(0,MIN(Time!AE28,60)-MIN(Time!AE27,60))</f>
        <v/>
      </c>
      <c r="AF11" s="11">
        <f>(Inputs!$F$174*Funding!$F$76/Inputs!$F$175+Inputs!$F$176*Funding!$F$76/Inputs!$F$177)*AF7+Inputs!$F$178*Funding!$F$76/Inputs!$F$179*MAX(0,MIN(Time!AF28,60)-MIN(Time!AF27,60))</f>
        <v/>
      </c>
      <c r="AG11" s="11">
        <f>(Inputs!$F$174*Funding!$F$76/Inputs!$F$175+Inputs!$F$176*Funding!$F$76/Inputs!$F$177)*AG7+Inputs!$F$178*Funding!$F$76/Inputs!$F$179*MAX(0,MIN(Time!AG28,60)-MIN(Time!AG27,60))</f>
        <v/>
      </c>
      <c r="AH11" s="11">
        <f>(Inputs!$F$174*Funding!$F$76/Inputs!$F$175+Inputs!$F$176*Funding!$F$76/Inputs!$F$177)*AH7+Inputs!$F$178*Funding!$F$76/Inputs!$F$179*MAX(0,MIN(Time!AH28,60)-MIN(Time!AH27,60))</f>
        <v/>
      </c>
      <c r="AI11" s="11">
        <f>(Inputs!$F$174*Funding!$F$76/Inputs!$F$175+Inputs!$F$176*Funding!$F$76/Inputs!$F$177)*AI7+Inputs!$F$178*Funding!$F$76/Inputs!$F$179*MAX(0,MIN(Time!AI28,60)-MIN(Time!AI27,60))</f>
        <v/>
      </c>
      <c r="AJ11" s="11">
        <f>(Inputs!$F$174*Funding!$F$76/Inputs!$F$175+Inputs!$F$176*Funding!$F$76/Inputs!$F$177)*AJ7+Inputs!$F$178*Funding!$F$76/Inputs!$F$179*MAX(0,MIN(Time!AJ28,60)-MIN(Time!AJ27,60))</f>
        <v/>
      </c>
      <c r="AK11" s="11">
        <f>(Inputs!$F$174*Funding!$F$76/Inputs!$F$175+Inputs!$F$176*Funding!$F$76/Inputs!$F$177)*AK7+Inputs!$F$178*Funding!$F$76/Inputs!$F$179*MAX(0,MIN(Time!AK28,60)-MIN(Time!AK27,60))</f>
        <v/>
      </c>
      <c r="AL11" s="11">
        <f>(Inputs!$F$174*Funding!$F$76/Inputs!$F$175+Inputs!$F$176*Funding!$F$76/Inputs!$F$177)*AL7+Inputs!$F$178*Funding!$F$76/Inputs!$F$179*MAX(0,MIN(Time!AL28,60)-MIN(Time!AL27,60))</f>
        <v/>
      </c>
      <c r="AM11" s="11">
        <f>(Inputs!$F$174*Funding!$F$76/Inputs!$F$175+Inputs!$F$176*Funding!$F$76/Inputs!$F$177)*AM7+Inputs!$F$178*Funding!$F$76/Inputs!$F$179*MAX(0,MIN(Time!AM28,60)-MIN(Time!AM27,60))</f>
        <v/>
      </c>
      <c r="AN11" s="11">
        <f>(Inputs!$F$174*Funding!$F$76/Inputs!$F$175+Inputs!$F$176*Funding!$F$76/Inputs!$F$177)*AN7+Inputs!$F$178*Funding!$F$76/Inputs!$F$179*MAX(0,MIN(Time!AN28,60)-MIN(Time!AN27,60))</f>
        <v/>
      </c>
      <c r="AO11" s="11">
        <f>(Inputs!$F$174*Funding!$F$76/Inputs!$F$175+Inputs!$F$176*Funding!$F$76/Inputs!$F$177)*AO7+Inputs!$F$178*Funding!$F$76/Inputs!$F$179*MAX(0,MIN(Time!AO28,60)-MIN(Time!AO27,60))</f>
        <v/>
      </c>
      <c r="AP11" s="11">
        <f>(Inputs!$F$174*Funding!$F$76/Inputs!$F$175+Inputs!$F$176*Funding!$F$76/Inputs!$F$177)*AP7+Inputs!$F$178*Funding!$F$76/Inputs!$F$179*MAX(0,MIN(Time!AP28,60)-MIN(Time!AP27,60))</f>
        <v/>
      </c>
      <c r="AQ11" s="11">
        <f>(Inputs!$F$174*Funding!$F$76/Inputs!$F$175+Inputs!$F$176*Funding!$F$76/Inputs!$F$177)*AQ7+Inputs!$F$178*Funding!$F$76/Inputs!$F$179*MAX(0,MIN(Time!AQ28,60)-MIN(Time!AQ27,60))</f>
        <v/>
      </c>
      <c r="AR11" s="11">
        <f>(Inputs!$F$174*Funding!$F$76/Inputs!$F$175+Inputs!$F$176*Funding!$F$76/Inputs!$F$177)*AR7+Inputs!$F$178*Funding!$F$76/Inputs!$F$179*MAX(0,MIN(Time!AR28,60)-MIN(Time!AR27,60))</f>
        <v/>
      </c>
      <c r="AS11" s="11">
        <f>(Inputs!$F$174*Funding!$F$76/Inputs!$F$175+Inputs!$F$176*Funding!$F$76/Inputs!$F$177)*AS7+Inputs!$F$178*Funding!$F$76/Inputs!$F$179*MAX(0,MIN(Time!AS28,60)-MIN(Time!AS27,60))</f>
        <v/>
      </c>
      <c r="AT11" s="11">
        <f>(Inputs!$F$174*Funding!$F$76/Inputs!$F$175+Inputs!$F$176*Funding!$F$76/Inputs!$F$177)*AT7+Inputs!$F$178*Funding!$F$76/Inputs!$F$179*MAX(0,MIN(Time!AT28,60)-MIN(Time!AT27,60))</f>
        <v/>
      </c>
      <c r="AU11" s="11">
        <f>(Inputs!$F$174*Funding!$F$76/Inputs!$F$175+Inputs!$F$176*Funding!$F$76/Inputs!$F$177)*AU7+Inputs!$F$178*Funding!$F$76/Inputs!$F$179*MAX(0,MIN(Time!AU28,60)-MIN(Time!AU27,60))</f>
        <v/>
      </c>
      <c r="AV11" s="11">
        <f>(Inputs!$F$174*Funding!$F$76/Inputs!$F$175+Inputs!$F$176*Funding!$F$76/Inputs!$F$177)*AV7+Inputs!$F$178*Funding!$F$76/Inputs!$F$179*MAX(0,MIN(Time!AV28,60)-MIN(Time!AV27,60))</f>
        <v/>
      </c>
      <c r="AW11" s="11">
        <f>(Inputs!$F$174*Funding!$F$76/Inputs!$F$175+Inputs!$F$176*Funding!$F$76/Inputs!$F$177)*AW7+Inputs!$F$178*Funding!$F$76/Inputs!$F$179*MAX(0,MIN(Time!AW28,60)-MIN(Time!AW27,60))</f>
        <v/>
      </c>
      <c r="AX11" s="11">
        <f>(Inputs!$F$174*Funding!$F$76/Inputs!$F$175+Inputs!$F$176*Funding!$F$76/Inputs!$F$177)*AX7+Inputs!$F$178*Funding!$F$76/Inputs!$F$179*MAX(0,MIN(Time!AX28,60)-MIN(Time!AX27,60))</f>
        <v/>
      </c>
      <c r="AY11" s="11">
        <f>(Inputs!$F$174*Funding!$F$76/Inputs!$F$175+Inputs!$F$176*Funding!$F$76/Inputs!$F$177)*AY7+Inputs!$F$178*Funding!$F$76/Inputs!$F$179*MAX(0,MIN(Time!AY28,60)-MIN(Time!AY27,60))</f>
        <v/>
      </c>
      <c r="AZ11" s="11">
        <f>(Inputs!$F$174*Funding!$F$76/Inputs!$F$175+Inputs!$F$176*Funding!$F$76/Inputs!$F$177)*AZ7+Inputs!$F$178*Funding!$F$76/Inputs!$F$179*MAX(0,MIN(Time!AZ28,60)-MIN(Time!AZ27,60))</f>
        <v/>
      </c>
      <c r="BA11" s="11">
        <f>(Inputs!$F$174*Funding!$F$76/Inputs!$F$175+Inputs!$F$176*Funding!$F$76/Inputs!$F$177)*BA7+Inputs!$F$178*Funding!$F$76/Inputs!$F$179*MAX(0,MIN(Time!BA28,60)-MIN(Time!BA27,60))</f>
        <v/>
      </c>
      <c r="BB11" s="11">
        <f>(Inputs!$F$174*Funding!$F$76/Inputs!$F$175+Inputs!$F$176*Funding!$F$76/Inputs!$F$177)*BB7+Inputs!$F$178*Funding!$F$76/Inputs!$F$179*MAX(0,MIN(Time!BB28,60)-MIN(Time!BB27,60))</f>
        <v/>
      </c>
      <c r="BC11" s="11">
        <f>(Inputs!$F$174*Funding!$F$76/Inputs!$F$175+Inputs!$F$176*Funding!$F$76/Inputs!$F$177)*BC7+Inputs!$F$178*Funding!$F$76/Inputs!$F$179*MAX(0,MIN(Time!BC28,60)-MIN(Time!BC27,60))</f>
        <v/>
      </c>
      <c r="BD11" s="11">
        <f>(Inputs!$F$174*Funding!$F$76/Inputs!$F$175+Inputs!$F$176*Funding!$F$76/Inputs!$F$177)*BD7+Inputs!$F$178*Funding!$F$76/Inputs!$F$179*MAX(0,MIN(Time!BD28,60)-MIN(Time!BD27,60))</f>
        <v/>
      </c>
      <c r="BE11" s="11">
        <f>(Inputs!$F$174*Funding!$F$76/Inputs!$F$175+Inputs!$F$176*Funding!$F$76/Inputs!$F$177)*BE7+Inputs!$F$178*Funding!$F$76/Inputs!$F$179*MAX(0,MIN(Time!BE28,60)-MIN(Time!BE27,60))</f>
        <v/>
      </c>
      <c r="BF11" s="11">
        <f>(Inputs!$F$174*Funding!$F$76/Inputs!$F$175+Inputs!$F$176*Funding!$F$76/Inputs!$F$177)*BF7+Inputs!$F$178*Funding!$F$76/Inputs!$F$179*MAX(0,MIN(Time!BF28,60)-MIN(Time!BF27,60))</f>
        <v/>
      </c>
      <c r="BG11" s="11">
        <f>(Inputs!$F$174*Funding!$F$76/Inputs!$F$175+Inputs!$F$176*Funding!$F$76/Inputs!$F$177)*BG7+Inputs!$F$178*Funding!$F$76/Inputs!$F$179*MAX(0,MIN(Time!BG28,60)-MIN(Time!BG27,60))</f>
        <v/>
      </c>
      <c r="BH11" s="11">
        <f>(Inputs!$F$174*Funding!$F$76/Inputs!$F$175+Inputs!$F$176*Funding!$F$76/Inputs!$F$177)*BH7+Inputs!$F$178*Funding!$F$76/Inputs!$F$179*MAX(0,MIN(Time!BH28,60)-MIN(Time!BH27,60))</f>
        <v/>
      </c>
      <c r="BI11" s="11">
        <f>(Inputs!$F$174*Funding!$F$76/Inputs!$F$175+Inputs!$F$176*Funding!$F$76/Inputs!$F$177)*BI7+Inputs!$F$178*Funding!$F$76/Inputs!$F$179*MAX(0,MIN(Time!BI28,60)-MIN(Time!BI27,60))</f>
        <v/>
      </c>
      <c r="BJ11" s="11">
        <f>(Inputs!$F$174*Funding!$F$76/Inputs!$F$175+Inputs!$F$176*Funding!$F$76/Inputs!$F$177)*BJ7+Inputs!$F$178*Funding!$F$76/Inputs!$F$179*MAX(0,MIN(Time!BJ28,60)-MIN(Time!BJ27,60))</f>
        <v/>
      </c>
      <c r="BK11" s="11">
        <f>(Inputs!$F$174*Funding!$F$76/Inputs!$F$175+Inputs!$F$176*Funding!$F$76/Inputs!$F$177)*BK7+Inputs!$F$178*Funding!$F$76/Inputs!$F$179*MAX(0,MIN(Time!BK28,60)-MIN(Time!BK27,60))</f>
        <v/>
      </c>
      <c r="BL11" s="11">
        <f>(Inputs!$F$174*Funding!$F$76/Inputs!$F$175+Inputs!$F$176*Funding!$F$76/Inputs!$F$177)*BL7+Inputs!$F$178*Funding!$F$76/Inputs!$F$179*MAX(0,MIN(Time!BL28,60)-MIN(Time!BL27,60))</f>
        <v/>
      </c>
      <c r="BM11" s="11">
        <f>(Inputs!$F$174*Funding!$F$76/Inputs!$F$175+Inputs!$F$176*Funding!$F$76/Inputs!$F$177)*BM7+Inputs!$F$178*Funding!$F$76/Inputs!$F$179*MAX(0,MIN(Time!BM28,60)-MIN(Time!BM27,60))</f>
        <v/>
      </c>
      <c r="BN11" s="11">
        <f>(Inputs!$F$174*Funding!$F$76/Inputs!$F$175+Inputs!$F$176*Funding!$F$76/Inputs!$F$177)*BN7+Inputs!$F$178*Funding!$F$76/Inputs!$F$179*MAX(0,MIN(Time!BN28,60)-MIN(Time!BN27,60))</f>
        <v/>
      </c>
    </row>
    <row r="12">
      <c r="D12" t="inlineStr">
        <is>
          <t>Depreciation deducted currently</t>
        </is>
      </c>
      <c r="E12" t="inlineStr">
        <is>
          <t>USD m</t>
        </is>
      </c>
      <c r="G12" s="11">
        <f>SUM(J12:BN12)</f>
        <v/>
      </c>
      <c r="J12" s="11">
        <f>J10-J11</f>
        <v/>
      </c>
      <c r="K12" s="11">
        <f>K10-K11</f>
        <v/>
      </c>
      <c r="L12" s="11">
        <f>L10-L11</f>
        <v/>
      </c>
      <c r="M12" s="11">
        <f>M10-M11</f>
        <v/>
      </c>
      <c r="N12" s="11">
        <f>N10-N11</f>
        <v/>
      </c>
      <c r="O12" s="11">
        <f>O10-O11</f>
        <v/>
      </c>
      <c r="P12" s="11">
        <f>P10-P11</f>
        <v/>
      </c>
      <c r="Q12" s="11">
        <f>Q10-Q11</f>
        <v/>
      </c>
      <c r="R12" s="11">
        <f>R10-R11</f>
        <v/>
      </c>
      <c r="S12" s="11">
        <f>S10-S11</f>
        <v/>
      </c>
      <c r="T12" s="11">
        <f>T10-T11</f>
        <v/>
      </c>
      <c r="U12" s="11">
        <f>U10-U11</f>
        <v/>
      </c>
      <c r="V12" s="11">
        <f>V10-V11</f>
        <v/>
      </c>
      <c r="W12" s="11">
        <f>W10-W11</f>
        <v/>
      </c>
      <c r="X12" s="11">
        <f>X10-X11</f>
        <v/>
      </c>
      <c r="Y12" s="11">
        <f>Y10-Y11</f>
        <v/>
      </c>
      <c r="Z12" s="11">
        <f>Z10-Z11</f>
        <v/>
      </c>
      <c r="AA12" s="11">
        <f>AA10-AA11</f>
        <v/>
      </c>
      <c r="AB12" s="11">
        <f>AB10-AB11</f>
        <v/>
      </c>
      <c r="AC12" s="11">
        <f>AC10-AC11</f>
        <v/>
      </c>
      <c r="AD12" s="11">
        <f>AD10-AD11</f>
        <v/>
      </c>
      <c r="AE12" s="11">
        <f>AE10-AE11</f>
        <v/>
      </c>
      <c r="AF12" s="11">
        <f>AF10-AF11</f>
        <v/>
      </c>
      <c r="AG12" s="11">
        <f>AG10-AG11</f>
        <v/>
      </c>
      <c r="AH12" s="11">
        <f>AH10-AH11</f>
        <v/>
      </c>
      <c r="AI12" s="11">
        <f>AI10-AI11</f>
        <v/>
      </c>
      <c r="AJ12" s="11">
        <f>AJ10-AJ11</f>
        <v/>
      </c>
      <c r="AK12" s="11">
        <f>AK10-AK11</f>
        <v/>
      </c>
      <c r="AL12" s="11">
        <f>AL10-AL11</f>
        <v/>
      </c>
      <c r="AM12" s="11">
        <f>AM10-AM11</f>
        <v/>
      </c>
      <c r="AN12" s="11">
        <f>AN10-AN11</f>
        <v/>
      </c>
      <c r="AO12" s="11">
        <f>AO10-AO11</f>
        <v/>
      </c>
      <c r="AP12" s="11">
        <f>AP10-AP11</f>
        <v/>
      </c>
      <c r="AQ12" s="11">
        <f>AQ10-AQ11</f>
        <v/>
      </c>
      <c r="AR12" s="11">
        <f>AR10-AR11</f>
        <v/>
      </c>
      <c r="AS12" s="11">
        <f>AS10-AS11</f>
        <v/>
      </c>
      <c r="AT12" s="11">
        <f>AT10-AT11</f>
        <v/>
      </c>
      <c r="AU12" s="11">
        <f>AU10-AU11</f>
        <v/>
      </c>
      <c r="AV12" s="11">
        <f>AV10-AV11</f>
        <v/>
      </c>
      <c r="AW12" s="11">
        <f>AW10-AW11</f>
        <v/>
      </c>
      <c r="AX12" s="11">
        <f>AX10-AX11</f>
        <v/>
      </c>
      <c r="AY12" s="11">
        <f>AY10-AY11</f>
        <v/>
      </c>
      <c r="AZ12" s="11">
        <f>AZ10-AZ11</f>
        <v/>
      </c>
      <c r="BA12" s="11">
        <f>BA10-BA11</f>
        <v/>
      </c>
      <c r="BB12" s="11">
        <f>BB10-BB11</f>
        <v/>
      </c>
      <c r="BC12" s="11">
        <f>BC10-BC11</f>
        <v/>
      </c>
      <c r="BD12" s="11">
        <f>BD10-BD11</f>
        <v/>
      </c>
      <c r="BE12" s="11">
        <f>BE10-BE11</f>
        <v/>
      </c>
      <c r="BF12" s="11">
        <f>BF10-BF11</f>
        <v/>
      </c>
      <c r="BG12" s="11">
        <f>BG10-BG11</f>
        <v/>
      </c>
      <c r="BH12" s="11">
        <f>BH10-BH11</f>
        <v/>
      </c>
      <c r="BI12" s="11">
        <f>BI10-BI11</f>
        <v/>
      </c>
      <c r="BJ12" s="11">
        <f>BJ10-BJ11</f>
        <v/>
      </c>
      <c r="BK12" s="11">
        <f>BK10-BK11</f>
        <v/>
      </c>
      <c r="BL12" s="11">
        <f>BL10-BL11</f>
        <v/>
      </c>
      <c r="BM12" s="11">
        <f>BM10-BM11</f>
        <v/>
      </c>
      <c r="BN12" s="11">
        <f>BN10-BN11</f>
        <v/>
      </c>
    </row>
    <row r="13">
      <c r="D13" t="inlineStr">
        <is>
          <t>Shareholder loan interest accrued</t>
        </is>
      </c>
      <c r="E13" t="inlineStr">
        <is>
          <t>USD m</t>
        </is>
      </c>
      <c r="G13" s="11">
        <f>SUM(J13:BN13)</f>
        <v/>
      </c>
      <c r="J13" s="11">
        <f>IF(Time!J17&gt;=Time!$F$11,Waterfall!J33*Inputs!$F$102/100*Time!J26/365,0)</f>
        <v/>
      </c>
      <c r="K13" s="11">
        <f>IF(Time!K17&gt;=Time!$F$11,Waterfall!K33*Inputs!$F$102/100*Time!K26/365,0)</f>
        <v/>
      </c>
      <c r="L13" s="11">
        <f>IF(Time!L17&gt;=Time!$F$11,Waterfall!L33*Inputs!$F$102/100*Time!L26/365,0)</f>
        <v/>
      </c>
      <c r="M13" s="11">
        <f>IF(Time!M17&gt;=Time!$F$11,Waterfall!M33*Inputs!$F$102/100*Time!M26/365,0)</f>
        <v/>
      </c>
      <c r="N13" s="11">
        <f>IF(Time!N17&gt;=Time!$F$11,Waterfall!N33*Inputs!$F$102/100*Time!N26/365,0)</f>
        <v/>
      </c>
      <c r="O13" s="11">
        <f>IF(Time!O17&gt;=Time!$F$11,Waterfall!O33*Inputs!$F$102/100*Time!O26/365,0)</f>
        <v/>
      </c>
      <c r="P13" s="11">
        <f>IF(Time!P17&gt;=Time!$F$11,Waterfall!P33*Inputs!$F$102/100*Time!P26/365,0)</f>
        <v/>
      </c>
      <c r="Q13" s="11">
        <f>IF(Time!Q17&gt;=Time!$F$11,Waterfall!Q33*Inputs!$F$102/100*Time!Q26/365,0)</f>
        <v/>
      </c>
      <c r="R13" s="11">
        <f>IF(Time!R17&gt;=Time!$F$11,Waterfall!R33*Inputs!$F$102/100*Time!R26/365,0)</f>
        <v/>
      </c>
      <c r="S13" s="11">
        <f>IF(Time!S17&gt;=Time!$F$11,Waterfall!S33*Inputs!$F$102/100*Time!S26/365,0)</f>
        <v/>
      </c>
      <c r="T13" s="11">
        <f>IF(Time!T17&gt;=Time!$F$11,Waterfall!T33*Inputs!$F$102/100*Time!T26/365,0)</f>
        <v/>
      </c>
      <c r="U13" s="11">
        <f>IF(Time!U17&gt;=Time!$F$11,Waterfall!U33*Inputs!$F$102/100*Time!U26/365,0)</f>
        <v/>
      </c>
      <c r="V13" s="11">
        <f>IF(Time!V17&gt;=Time!$F$11,Waterfall!V33*Inputs!$F$102/100*Time!V26/365,0)</f>
        <v/>
      </c>
      <c r="W13" s="11">
        <f>IF(Time!W17&gt;=Time!$F$11,Waterfall!W33*Inputs!$F$102/100*Time!W26/365,0)</f>
        <v/>
      </c>
      <c r="X13" s="11">
        <f>IF(Time!X17&gt;=Time!$F$11,Waterfall!X33*Inputs!$F$102/100*Time!X26/365,0)</f>
        <v/>
      </c>
      <c r="Y13" s="11">
        <f>IF(Time!Y17&gt;=Time!$F$11,Waterfall!Y33*Inputs!$F$102/100*Time!Y26/365,0)</f>
        <v/>
      </c>
      <c r="Z13" s="11">
        <f>IF(Time!Z17&gt;=Time!$F$11,Waterfall!Z33*Inputs!$F$102/100*Time!Z26/365,0)</f>
        <v/>
      </c>
      <c r="AA13" s="11">
        <f>IF(Time!AA17&gt;=Time!$F$11,Waterfall!AA33*Inputs!$F$102/100*Time!AA26/365,0)</f>
        <v/>
      </c>
      <c r="AB13" s="11">
        <f>IF(Time!AB17&gt;=Time!$F$11,Waterfall!AB33*Inputs!$F$102/100*Time!AB26/365,0)</f>
        <v/>
      </c>
      <c r="AC13" s="11">
        <f>IF(Time!AC17&gt;=Time!$F$11,Waterfall!AC33*Inputs!$F$102/100*Time!AC26/365,0)</f>
        <v/>
      </c>
      <c r="AD13" s="11">
        <f>IF(Time!AD17&gt;=Time!$F$11,Waterfall!AD33*Inputs!$F$102/100*Time!AD26/365,0)</f>
        <v/>
      </c>
      <c r="AE13" s="11">
        <f>IF(Time!AE17&gt;=Time!$F$11,Waterfall!AE33*Inputs!$F$102/100*Time!AE26/365,0)</f>
        <v/>
      </c>
      <c r="AF13" s="11">
        <f>IF(Time!AF17&gt;=Time!$F$11,Waterfall!AF33*Inputs!$F$102/100*Time!AF26/365,0)</f>
        <v/>
      </c>
      <c r="AG13" s="11">
        <f>IF(Time!AG17&gt;=Time!$F$11,Waterfall!AG33*Inputs!$F$102/100*Time!AG26/365,0)</f>
        <v/>
      </c>
      <c r="AH13" s="11">
        <f>IF(Time!AH17&gt;=Time!$F$11,Waterfall!AH33*Inputs!$F$102/100*Time!AH26/365,0)</f>
        <v/>
      </c>
      <c r="AI13" s="11">
        <f>IF(Time!AI17&gt;=Time!$F$11,Waterfall!AI33*Inputs!$F$102/100*Time!AI26/365,0)</f>
        <v/>
      </c>
      <c r="AJ13" s="11">
        <f>IF(Time!AJ17&gt;=Time!$F$11,Waterfall!AJ33*Inputs!$F$102/100*Time!AJ26/365,0)</f>
        <v/>
      </c>
      <c r="AK13" s="11">
        <f>IF(Time!AK17&gt;=Time!$F$11,Waterfall!AK33*Inputs!$F$102/100*Time!AK26/365,0)</f>
        <v/>
      </c>
      <c r="AL13" s="11">
        <f>IF(Time!AL17&gt;=Time!$F$11,Waterfall!AL33*Inputs!$F$102/100*Time!AL26/365,0)</f>
        <v/>
      </c>
      <c r="AM13" s="11">
        <f>IF(Time!AM17&gt;=Time!$F$11,Waterfall!AM33*Inputs!$F$102/100*Time!AM26/365,0)</f>
        <v/>
      </c>
      <c r="AN13" s="11">
        <f>IF(Time!AN17&gt;=Time!$F$11,Waterfall!AN33*Inputs!$F$102/100*Time!AN26/365,0)</f>
        <v/>
      </c>
      <c r="AO13" s="11">
        <f>IF(Time!AO17&gt;=Time!$F$11,Waterfall!AO33*Inputs!$F$102/100*Time!AO26/365,0)</f>
        <v/>
      </c>
      <c r="AP13" s="11">
        <f>IF(Time!AP17&gt;=Time!$F$11,Waterfall!AP33*Inputs!$F$102/100*Time!AP26/365,0)</f>
        <v/>
      </c>
      <c r="AQ13" s="11">
        <f>IF(Time!AQ17&gt;=Time!$F$11,Waterfall!AQ33*Inputs!$F$102/100*Time!AQ26/365,0)</f>
        <v/>
      </c>
      <c r="AR13" s="11">
        <f>IF(Time!AR17&gt;=Time!$F$11,Waterfall!AR33*Inputs!$F$102/100*Time!AR26/365,0)</f>
        <v/>
      </c>
      <c r="AS13" s="11">
        <f>IF(Time!AS17&gt;=Time!$F$11,Waterfall!AS33*Inputs!$F$102/100*Time!AS26/365,0)</f>
        <v/>
      </c>
      <c r="AT13" s="11">
        <f>IF(Time!AT17&gt;=Time!$F$11,Waterfall!AT33*Inputs!$F$102/100*Time!AT26/365,0)</f>
        <v/>
      </c>
      <c r="AU13" s="11">
        <f>IF(Time!AU17&gt;=Time!$F$11,Waterfall!AU33*Inputs!$F$102/100*Time!AU26/365,0)</f>
        <v/>
      </c>
      <c r="AV13" s="11">
        <f>IF(Time!AV17&gt;=Time!$F$11,Waterfall!AV33*Inputs!$F$102/100*Time!AV26/365,0)</f>
        <v/>
      </c>
      <c r="AW13" s="11">
        <f>IF(Time!AW17&gt;=Time!$F$11,Waterfall!AW33*Inputs!$F$102/100*Time!AW26/365,0)</f>
        <v/>
      </c>
      <c r="AX13" s="11">
        <f>IF(Time!AX17&gt;=Time!$F$11,Waterfall!AX33*Inputs!$F$102/100*Time!AX26/365,0)</f>
        <v/>
      </c>
      <c r="AY13" s="11">
        <f>IF(Time!AY17&gt;=Time!$F$11,Waterfall!AY33*Inputs!$F$102/100*Time!AY26/365,0)</f>
        <v/>
      </c>
      <c r="AZ13" s="11">
        <f>IF(Time!AZ17&gt;=Time!$F$11,Waterfall!AZ33*Inputs!$F$102/100*Time!AZ26/365,0)</f>
        <v/>
      </c>
      <c r="BA13" s="11">
        <f>IF(Time!BA17&gt;=Time!$F$11,Waterfall!BA33*Inputs!$F$102/100*Time!BA26/365,0)</f>
        <v/>
      </c>
      <c r="BB13" s="11">
        <f>IF(Time!BB17&gt;=Time!$F$11,Waterfall!BB33*Inputs!$F$102/100*Time!BB26/365,0)</f>
        <v/>
      </c>
      <c r="BC13" s="11">
        <f>IF(Time!BC17&gt;=Time!$F$11,Waterfall!BC33*Inputs!$F$102/100*Time!BC26/365,0)</f>
        <v/>
      </c>
      <c r="BD13" s="11">
        <f>IF(Time!BD17&gt;=Time!$F$11,Waterfall!BD33*Inputs!$F$102/100*Time!BD26/365,0)</f>
        <v/>
      </c>
      <c r="BE13" s="11">
        <f>IF(Time!BE17&gt;=Time!$F$11,Waterfall!BE33*Inputs!$F$102/100*Time!BE26/365,0)</f>
        <v/>
      </c>
      <c r="BF13" s="11">
        <f>IF(Time!BF17&gt;=Time!$F$11,Waterfall!BF33*Inputs!$F$102/100*Time!BF26/365,0)</f>
        <v/>
      </c>
      <c r="BG13" s="11">
        <f>IF(Time!BG17&gt;=Time!$F$11,Waterfall!BG33*Inputs!$F$102/100*Time!BG26/365,0)</f>
        <v/>
      </c>
      <c r="BH13" s="11">
        <f>IF(Time!BH17&gt;=Time!$F$11,Waterfall!BH33*Inputs!$F$102/100*Time!BH26/365,0)</f>
        <v/>
      </c>
      <c r="BI13" s="11">
        <f>IF(Time!BI17&gt;=Time!$F$11,Waterfall!BI33*Inputs!$F$102/100*Time!BI26/365,0)</f>
        <v/>
      </c>
      <c r="BJ13" s="11">
        <f>IF(Time!BJ17&gt;=Time!$F$11,Waterfall!BJ33*Inputs!$F$102/100*Time!BJ26/365,0)</f>
        <v/>
      </c>
      <c r="BK13" s="11">
        <f>IF(Time!BK17&gt;=Time!$F$11,Waterfall!BK33*Inputs!$F$102/100*Time!BK26/365,0)</f>
        <v/>
      </c>
      <c r="BL13" s="11">
        <f>IF(Time!BL17&gt;=Time!$F$11,Waterfall!BL33*Inputs!$F$102/100*Time!BL26/365,0)</f>
        <v/>
      </c>
      <c r="BM13" s="11">
        <f>IF(Time!BM17&gt;=Time!$F$11,Waterfall!BM33*Inputs!$F$102/100*Time!BM26/365,0)</f>
        <v/>
      </c>
      <c r="BN13" s="11">
        <f>IF(Time!BN17&gt;=Time!$F$11,Waterfall!BN33*Inputs!$F$102/100*Time!BN26/365,0)</f>
        <v/>
      </c>
    </row>
    <row r="14">
      <c r="D14" t="inlineStr">
        <is>
          <t>Thin cap: deductible share = min(1, 3 x equity / SHL)</t>
        </is>
      </c>
      <c r="E14" t="inlineStr">
        <is>
          <t>fraction</t>
        </is>
      </c>
      <c r="J14" s="6">
        <f>IF(Waterfall!J33&gt;0,MIN(1,Inputs!$F$180*(Waterfall!$F$32+MAX(0,0))/Waterfall!J33),1)</f>
        <v/>
      </c>
      <c r="K14" s="6">
        <f>IF(Waterfall!K33&gt;0,MIN(1,Inputs!$F$180*(Waterfall!$F$32+MAX(0,Waterfall!J43))/Waterfall!K33),1)</f>
        <v/>
      </c>
      <c r="L14" s="6">
        <f>IF(Waterfall!L33&gt;0,MIN(1,Inputs!$F$180*(Waterfall!$F$32+MAX(0,Waterfall!K43))/Waterfall!L33),1)</f>
        <v/>
      </c>
      <c r="M14" s="6">
        <f>IF(Waterfall!M33&gt;0,MIN(1,Inputs!$F$180*(Waterfall!$F$32+MAX(0,Waterfall!L43))/Waterfall!M33),1)</f>
        <v/>
      </c>
      <c r="N14" s="6">
        <f>IF(Waterfall!N33&gt;0,MIN(1,Inputs!$F$180*(Waterfall!$F$32+MAX(0,Waterfall!M43))/Waterfall!N33),1)</f>
        <v/>
      </c>
      <c r="O14" s="6">
        <f>IF(Waterfall!O33&gt;0,MIN(1,Inputs!$F$180*(Waterfall!$F$32+MAX(0,Waterfall!N43))/Waterfall!O33),1)</f>
        <v/>
      </c>
      <c r="P14" s="6">
        <f>IF(Waterfall!P33&gt;0,MIN(1,Inputs!$F$180*(Waterfall!$F$32+MAX(0,Waterfall!O43))/Waterfall!P33),1)</f>
        <v/>
      </c>
      <c r="Q14" s="6">
        <f>IF(Waterfall!Q33&gt;0,MIN(1,Inputs!$F$180*(Waterfall!$F$32+MAX(0,Waterfall!P43))/Waterfall!Q33),1)</f>
        <v/>
      </c>
      <c r="R14" s="6">
        <f>IF(Waterfall!R33&gt;0,MIN(1,Inputs!$F$180*(Waterfall!$F$32+MAX(0,Waterfall!Q43))/Waterfall!R33),1)</f>
        <v/>
      </c>
      <c r="S14" s="6">
        <f>IF(Waterfall!S33&gt;0,MIN(1,Inputs!$F$180*(Waterfall!$F$32+MAX(0,Waterfall!R43))/Waterfall!S33),1)</f>
        <v/>
      </c>
      <c r="T14" s="6">
        <f>IF(Waterfall!T33&gt;0,MIN(1,Inputs!$F$180*(Waterfall!$F$32+MAX(0,Waterfall!S43))/Waterfall!T33),1)</f>
        <v/>
      </c>
      <c r="U14" s="6">
        <f>IF(Waterfall!U33&gt;0,MIN(1,Inputs!$F$180*(Waterfall!$F$32+MAX(0,Waterfall!T43))/Waterfall!U33),1)</f>
        <v/>
      </c>
      <c r="V14" s="6">
        <f>IF(Waterfall!V33&gt;0,MIN(1,Inputs!$F$180*(Waterfall!$F$32+MAX(0,Waterfall!U43))/Waterfall!V33),1)</f>
        <v/>
      </c>
      <c r="W14" s="6">
        <f>IF(Waterfall!W33&gt;0,MIN(1,Inputs!$F$180*(Waterfall!$F$32+MAX(0,Waterfall!V43))/Waterfall!W33),1)</f>
        <v/>
      </c>
      <c r="X14" s="6">
        <f>IF(Waterfall!X33&gt;0,MIN(1,Inputs!$F$180*(Waterfall!$F$32+MAX(0,Waterfall!W43))/Waterfall!X33),1)</f>
        <v/>
      </c>
      <c r="Y14" s="6">
        <f>IF(Waterfall!Y33&gt;0,MIN(1,Inputs!$F$180*(Waterfall!$F$32+MAX(0,Waterfall!X43))/Waterfall!Y33),1)</f>
        <v/>
      </c>
      <c r="Z14" s="6">
        <f>IF(Waterfall!Z33&gt;0,MIN(1,Inputs!$F$180*(Waterfall!$F$32+MAX(0,Waterfall!Y43))/Waterfall!Z33),1)</f>
        <v/>
      </c>
      <c r="AA14" s="6">
        <f>IF(Waterfall!AA33&gt;0,MIN(1,Inputs!$F$180*(Waterfall!$F$32+MAX(0,Waterfall!Z43))/Waterfall!AA33),1)</f>
        <v/>
      </c>
      <c r="AB14" s="6">
        <f>IF(Waterfall!AB33&gt;0,MIN(1,Inputs!$F$180*(Waterfall!$F$32+MAX(0,Waterfall!AA43))/Waterfall!AB33),1)</f>
        <v/>
      </c>
      <c r="AC14" s="6">
        <f>IF(Waterfall!AC33&gt;0,MIN(1,Inputs!$F$180*(Waterfall!$F$32+MAX(0,Waterfall!AB43))/Waterfall!AC33),1)</f>
        <v/>
      </c>
      <c r="AD14" s="6">
        <f>IF(Waterfall!AD33&gt;0,MIN(1,Inputs!$F$180*(Waterfall!$F$32+MAX(0,Waterfall!AC43))/Waterfall!AD33),1)</f>
        <v/>
      </c>
      <c r="AE14" s="6">
        <f>IF(Waterfall!AE33&gt;0,MIN(1,Inputs!$F$180*(Waterfall!$F$32+MAX(0,Waterfall!AD43))/Waterfall!AE33),1)</f>
        <v/>
      </c>
      <c r="AF14" s="6">
        <f>IF(Waterfall!AF33&gt;0,MIN(1,Inputs!$F$180*(Waterfall!$F$32+MAX(0,Waterfall!AE43))/Waterfall!AF33),1)</f>
        <v/>
      </c>
      <c r="AG14" s="6">
        <f>IF(Waterfall!AG33&gt;0,MIN(1,Inputs!$F$180*(Waterfall!$F$32+MAX(0,Waterfall!AF43))/Waterfall!AG33),1)</f>
        <v/>
      </c>
      <c r="AH14" s="6">
        <f>IF(Waterfall!AH33&gt;0,MIN(1,Inputs!$F$180*(Waterfall!$F$32+MAX(0,Waterfall!AG43))/Waterfall!AH33),1)</f>
        <v/>
      </c>
      <c r="AI14" s="6">
        <f>IF(Waterfall!AI33&gt;0,MIN(1,Inputs!$F$180*(Waterfall!$F$32+MAX(0,Waterfall!AH43))/Waterfall!AI33),1)</f>
        <v/>
      </c>
      <c r="AJ14" s="6">
        <f>IF(Waterfall!AJ33&gt;0,MIN(1,Inputs!$F$180*(Waterfall!$F$32+MAX(0,Waterfall!AI43))/Waterfall!AJ33),1)</f>
        <v/>
      </c>
      <c r="AK14" s="6">
        <f>IF(Waterfall!AK33&gt;0,MIN(1,Inputs!$F$180*(Waterfall!$F$32+MAX(0,Waterfall!AJ43))/Waterfall!AK33),1)</f>
        <v/>
      </c>
      <c r="AL14" s="6">
        <f>IF(Waterfall!AL33&gt;0,MIN(1,Inputs!$F$180*(Waterfall!$F$32+MAX(0,Waterfall!AK43))/Waterfall!AL33),1)</f>
        <v/>
      </c>
      <c r="AM14" s="6">
        <f>IF(Waterfall!AM33&gt;0,MIN(1,Inputs!$F$180*(Waterfall!$F$32+MAX(0,Waterfall!AL43))/Waterfall!AM33),1)</f>
        <v/>
      </c>
      <c r="AN14" s="6">
        <f>IF(Waterfall!AN33&gt;0,MIN(1,Inputs!$F$180*(Waterfall!$F$32+MAX(0,Waterfall!AM43))/Waterfall!AN33),1)</f>
        <v/>
      </c>
      <c r="AO14" s="6">
        <f>IF(Waterfall!AO33&gt;0,MIN(1,Inputs!$F$180*(Waterfall!$F$32+MAX(0,Waterfall!AN43))/Waterfall!AO33),1)</f>
        <v/>
      </c>
      <c r="AP14" s="6">
        <f>IF(Waterfall!AP33&gt;0,MIN(1,Inputs!$F$180*(Waterfall!$F$32+MAX(0,Waterfall!AO43))/Waterfall!AP33),1)</f>
        <v/>
      </c>
      <c r="AQ14" s="6">
        <f>IF(Waterfall!AQ33&gt;0,MIN(1,Inputs!$F$180*(Waterfall!$F$32+MAX(0,Waterfall!AP43))/Waterfall!AQ33),1)</f>
        <v/>
      </c>
      <c r="AR14" s="6">
        <f>IF(Waterfall!AR33&gt;0,MIN(1,Inputs!$F$180*(Waterfall!$F$32+MAX(0,Waterfall!AQ43))/Waterfall!AR33),1)</f>
        <v/>
      </c>
      <c r="AS14" s="6">
        <f>IF(Waterfall!AS33&gt;0,MIN(1,Inputs!$F$180*(Waterfall!$F$32+MAX(0,Waterfall!AR43))/Waterfall!AS33),1)</f>
        <v/>
      </c>
      <c r="AT14" s="6">
        <f>IF(Waterfall!AT33&gt;0,MIN(1,Inputs!$F$180*(Waterfall!$F$32+MAX(0,Waterfall!AS43))/Waterfall!AT33),1)</f>
        <v/>
      </c>
      <c r="AU14" s="6">
        <f>IF(Waterfall!AU33&gt;0,MIN(1,Inputs!$F$180*(Waterfall!$F$32+MAX(0,Waterfall!AT43))/Waterfall!AU33),1)</f>
        <v/>
      </c>
      <c r="AV14" s="6">
        <f>IF(Waterfall!AV33&gt;0,MIN(1,Inputs!$F$180*(Waterfall!$F$32+MAX(0,Waterfall!AU43))/Waterfall!AV33),1)</f>
        <v/>
      </c>
      <c r="AW14" s="6">
        <f>IF(Waterfall!AW33&gt;0,MIN(1,Inputs!$F$180*(Waterfall!$F$32+MAX(0,Waterfall!AV43))/Waterfall!AW33),1)</f>
        <v/>
      </c>
      <c r="AX14" s="6">
        <f>IF(Waterfall!AX33&gt;0,MIN(1,Inputs!$F$180*(Waterfall!$F$32+MAX(0,Waterfall!AW43))/Waterfall!AX33),1)</f>
        <v/>
      </c>
      <c r="AY14" s="6">
        <f>IF(Waterfall!AY33&gt;0,MIN(1,Inputs!$F$180*(Waterfall!$F$32+MAX(0,Waterfall!AX43))/Waterfall!AY33),1)</f>
        <v/>
      </c>
      <c r="AZ14" s="6">
        <f>IF(Waterfall!AZ33&gt;0,MIN(1,Inputs!$F$180*(Waterfall!$F$32+MAX(0,Waterfall!AY43))/Waterfall!AZ33),1)</f>
        <v/>
      </c>
      <c r="BA14" s="6">
        <f>IF(Waterfall!BA33&gt;0,MIN(1,Inputs!$F$180*(Waterfall!$F$32+MAX(0,Waterfall!AZ43))/Waterfall!BA33),1)</f>
        <v/>
      </c>
      <c r="BB14" s="6">
        <f>IF(Waterfall!BB33&gt;0,MIN(1,Inputs!$F$180*(Waterfall!$F$32+MAX(0,Waterfall!BA43))/Waterfall!BB33),1)</f>
        <v/>
      </c>
      <c r="BC14" s="6">
        <f>IF(Waterfall!BC33&gt;0,MIN(1,Inputs!$F$180*(Waterfall!$F$32+MAX(0,Waterfall!BB43))/Waterfall!BC33),1)</f>
        <v/>
      </c>
      <c r="BD14" s="6">
        <f>IF(Waterfall!BD33&gt;0,MIN(1,Inputs!$F$180*(Waterfall!$F$32+MAX(0,Waterfall!BC43))/Waterfall!BD33),1)</f>
        <v/>
      </c>
      <c r="BE14" s="6">
        <f>IF(Waterfall!BE33&gt;0,MIN(1,Inputs!$F$180*(Waterfall!$F$32+MAX(0,Waterfall!BD43))/Waterfall!BE33),1)</f>
        <v/>
      </c>
      <c r="BF14" s="6">
        <f>IF(Waterfall!BF33&gt;0,MIN(1,Inputs!$F$180*(Waterfall!$F$32+MAX(0,Waterfall!BE43))/Waterfall!BF33),1)</f>
        <v/>
      </c>
      <c r="BG14" s="6">
        <f>IF(Waterfall!BG33&gt;0,MIN(1,Inputs!$F$180*(Waterfall!$F$32+MAX(0,Waterfall!BF43))/Waterfall!BG33),1)</f>
        <v/>
      </c>
      <c r="BH14" s="6">
        <f>IF(Waterfall!BH33&gt;0,MIN(1,Inputs!$F$180*(Waterfall!$F$32+MAX(0,Waterfall!BG43))/Waterfall!BH33),1)</f>
        <v/>
      </c>
      <c r="BI14" s="6">
        <f>IF(Waterfall!BI33&gt;0,MIN(1,Inputs!$F$180*(Waterfall!$F$32+MAX(0,Waterfall!BH43))/Waterfall!BI33),1)</f>
        <v/>
      </c>
      <c r="BJ14" s="6">
        <f>IF(Waterfall!BJ33&gt;0,MIN(1,Inputs!$F$180*(Waterfall!$F$32+MAX(0,Waterfall!BI43))/Waterfall!BJ33),1)</f>
        <v/>
      </c>
      <c r="BK14" s="6">
        <f>IF(Waterfall!BK33&gt;0,MIN(1,Inputs!$F$180*(Waterfall!$F$32+MAX(0,Waterfall!BJ43))/Waterfall!BK33),1)</f>
        <v/>
      </c>
      <c r="BL14" s="6">
        <f>IF(Waterfall!BL33&gt;0,MIN(1,Inputs!$F$180*(Waterfall!$F$32+MAX(0,Waterfall!BK43))/Waterfall!BL33),1)</f>
        <v/>
      </c>
      <c r="BM14" s="6">
        <f>IF(Waterfall!BM33&gt;0,MIN(1,Inputs!$F$180*(Waterfall!$F$32+MAX(0,Waterfall!BL43))/Waterfall!BM33),1)</f>
        <v/>
      </c>
      <c r="BN14" s="6">
        <f>IF(Waterfall!BN33&gt;0,MIN(1,Inputs!$F$180*(Waterfall!$F$32+MAX(0,Waterfall!BM43))/Waterfall!BN33),1)</f>
        <v/>
      </c>
    </row>
    <row r="15">
      <c r="D15" t="inlineStr">
        <is>
          <t>Shareholder loan interest deductible</t>
        </is>
      </c>
      <c r="E15" t="inlineStr">
        <is>
          <t>USD m</t>
        </is>
      </c>
      <c r="G15" s="11">
        <f>SUM(J15:BN15)</f>
        <v/>
      </c>
      <c r="J15" s="11">
        <f>J13*J14</f>
        <v/>
      </c>
      <c r="K15" s="11">
        <f>K13*K14</f>
        <v/>
      </c>
      <c r="L15" s="11">
        <f>L13*L14</f>
        <v/>
      </c>
      <c r="M15" s="11">
        <f>M13*M14</f>
        <v/>
      </c>
      <c r="N15" s="11">
        <f>N13*N14</f>
        <v/>
      </c>
      <c r="O15" s="11">
        <f>O13*O14</f>
        <v/>
      </c>
      <c r="P15" s="11">
        <f>P13*P14</f>
        <v/>
      </c>
      <c r="Q15" s="11">
        <f>Q13*Q14</f>
        <v/>
      </c>
      <c r="R15" s="11">
        <f>R13*R14</f>
        <v/>
      </c>
      <c r="S15" s="11">
        <f>S13*S14</f>
        <v/>
      </c>
      <c r="T15" s="11">
        <f>T13*T14</f>
        <v/>
      </c>
      <c r="U15" s="11">
        <f>U13*U14</f>
        <v/>
      </c>
      <c r="V15" s="11">
        <f>V13*V14</f>
        <v/>
      </c>
      <c r="W15" s="11">
        <f>W13*W14</f>
        <v/>
      </c>
      <c r="X15" s="11">
        <f>X13*X14</f>
        <v/>
      </c>
      <c r="Y15" s="11">
        <f>Y13*Y14</f>
        <v/>
      </c>
      <c r="Z15" s="11">
        <f>Z13*Z14</f>
        <v/>
      </c>
      <c r="AA15" s="11">
        <f>AA13*AA14</f>
        <v/>
      </c>
      <c r="AB15" s="11">
        <f>AB13*AB14</f>
        <v/>
      </c>
      <c r="AC15" s="11">
        <f>AC13*AC14</f>
        <v/>
      </c>
      <c r="AD15" s="11">
        <f>AD13*AD14</f>
        <v/>
      </c>
      <c r="AE15" s="11">
        <f>AE13*AE14</f>
        <v/>
      </c>
      <c r="AF15" s="11">
        <f>AF13*AF14</f>
        <v/>
      </c>
      <c r="AG15" s="11">
        <f>AG13*AG14</f>
        <v/>
      </c>
      <c r="AH15" s="11">
        <f>AH13*AH14</f>
        <v/>
      </c>
      <c r="AI15" s="11">
        <f>AI13*AI14</f>
        <v/>
      </c>
      <c r="AJ15" s="11">
        <f>AJ13*AJ14</f>
        <v/>
      </c>
      <c r="AK15" s="11">
        <f>AK13*AK14</f>
        <v/>
      </c>
      <c r="AL15" s="11">
        <f>AL13*AL14</f>
        <v/>
      </c>
      <c r="AM15" s="11">
        <f>AM13*AM14</f>
        <v/>
      </c>
      <c r="AN15" s="11">
        <f>AN13*AN14</f>
        <v/>
      </c>
      <c r="AO15" s="11">
        <f>AO13*AO14</f>
        <v/>
      </c>
      <c r="AP15" s="11">
        <f>AP13*AP14</f>
        <v/>
      </c>
      <c r="AQ15" s="11">
        <f>AQ13*AQ14</f>
        <v/>
      </c>
      <c r="AR15" s="11">
        <f>AR13*AR14</f>
        <v/>
      </c>
      <c r="AS15" s="11">
        <f>AS13*AS14</f>
        <v/>
      </c>
      <c r="AT15" s="11">
        <f>AT13*AT14</f>
        <v/>
      </c>
      <c r="AU15" s="11">
        <f>AU13*AU14</f>
        <v/>
      </c>
      <c r="AV15" s="11">
        <f>AV13*AV14</f>
        <v/>
      </c>
      <c r="AW15" s="11">
        <f>AW13*AW14</f>
        <v/>
      </c>
      <c r="AX15" s="11">
        <f>AX13*AX14</f>
        <v/>
      </c>
      <c r="AY15" s="11">
        <f>AY13*AY14</f>
        <v/>
      </c>
      <c r="AZ15" s="11">
        <f>AZ13*AZ14</f>
        <v/>
      </c>
      <c r="BA15" s="11">
        <f>BA13*BA14</f>
        <v/>
      </c>
      <c r="BB15" s="11">
        <f>BB13*BB14</f>
        <v/>
      </c>
      <c r="BC15" s="11">
        <f>BC13*BC14</f>
        <v/>
      </c>
      <c r="BD15" s="11">
        <f>BD13*BD14</f>
        <v/>
      </c>
      <c r="BE15" s="11">
        <f>BE13*BE14</f>
        <v/>
      </c>
      <c r="BF15" s="11">
        <f>BF13*BF14</f>
        <v/>
      </c>
      <c r="BG15" s="11">
        <f>BG13*BG14</f>
        <v/>
      </c>
      <c r="BH15" s="11">
        <f>BH13*BH14</f>
        <v/>
      </c>
      <c r="BI15" s="11">
        <f>BI13*BI14</f>
        <v/>
      </c>
      <c r="BJ15" s="11">
        <f>BJ13*BJ14</f>
        <v/>
      </c>
      <c r="BK15" s="11">
        <f>BK13*BK14</f>
        <v/>
      </c>
      <c r="BL15" s="11">
        <f>BL13*BL14</f>
        <v/>
      </c>
      <c r="BM15" s="11">
        <f>BM13*BM14</f>
        <v/>
      </c>
      <c r="BN15" s="11">
        <f>BN13*BN14</f>
        <v/>
      </c>
    </row>
    <row r="16">
      <c r="D16" t="inlineStr">
        <is>
          <t>Senior financing costs deductible (all grandfathered)</t>
        </is>
      </c>
      <c r="E16" t="inlineStr">
        <is>
          <t>USD m</t>
        </is>
      </c>
      <c r="G16" s="11">
        <f>SUM(J16:BN16)</f>
        <v/>
      </c>
      <c r="J16" s="11">
        <f>Debt!J119+Debt!J117+Debt!J111-Debt!J110</f>
        <v/>
      </c>
      <c r="K16" s="11">
        <f>Debt!K119+Debt!K117+Debt!K111-Debt!K110</f>
        <v/>
      </c>
      <c r="L16" s="11">
        <f>Debt!L119+Debt!L117+Debt!L111-Debt!L110</f>
        <v/>
      </c>
      <c r="M16" s="11">
        <f>Debt!M119+Debt!M117+Debt!M111-Debt!M110</f>
        <v/>
      </c>
      <c r="N16" s="11">
        <f>Debt!N119+Debt!N117+Debt!N111-Debt!N110</f>
        <v/>
      </c>
      <c r="O16" s="11">
        <f>Debt!O119+Debt!O117+Debt!O111-Debt!O110</f>
        <v/>
      </c>
      <c r="P16" s="11">
        <f>Debt!P119+Debt!P117+Debt!P111-Debt!P110</f>
        <v/>
      </c>
      <c r="Q16" s="11">
        <f>Debt!Q119+Debt!Q117+Debt!Q111-Debt!Q110</f>
        <v/>
      </c>
      <c r="R16" s="11">
        <f>Debt!R119+Debt!R117+Debt!R111-Debt!R110</f>
        <v/>
      </c>
      <c r="S16" s="11">
        <f>Debt!S119+Debt!S117+Debt!S111-Debt!S110</f>
        <v/>
      </c>
      <c r="T16" s="11">
        <f>Debt!T119+Debt!T117+Debt!T111-Debt!T110</f>
        <v/>
      </c>
      <c r="U16" s="11">
        <f>Debt!U119+Debt!U117+Debt!U111-Debt!U110</f>
        <v/>
      </c>
      <c r="V16" s="11">
        <f>Debt!V119+Debt!V117+Debt!V111-Debt!V110</f>
        <v/>
      </c>
      <c r="W16" s="11">
        <f>Debt!W119+Debt!W117+Debt!W111-Debt!W110</f>
        <v/>
      </c>
      <c r="X16" s="11">
        <f>Debt!X119+Debt!X117+Debt!X111-Debt!X110</f>
        <v/>
      </c>
      <c r="Y16" s="11">
        <f>Debt!Y119+Debt!Y117+Debt!Y111-Debt!Y110</f>
        <v/>
      </c>
      <c r="Z16" s="11">
        <f>Debt!Z119+Debt!Z117+Debt!Z111-Debt!Z110</f>
        <v/>
      </c>
      <c r="AA16" s="11">
        <f>Debt!AA119+Debt!AA117+Debt!AA111-Debt!AA110</f>
        <v/>
      </c>
      <c r="AB16" s="11">
        <f>Debt!AB119+Debt!AB117+Debt!AB111-Debt!AB110</f>
        <v/>
      </c>
      <c r="AC16" s="11">
        <f>Debt!AC119+Debt!AC117+Debt!AC111-Debt!AC110</f>
        <v/>
      </c>
      <c r="AD16" s="11">
        <f>Debt!AD119+Debt!AD117+Debt!AD111-Debt!AD110</f>
        <v/>
      </c>
      <c r="AE16" s="11">
        <f>Debt!AE119+Debt!AE117+Debt!AE111-Debt!AE110</f>
        <v/>
      </c>
      <c r="AF16" s="11">
        <f>Debt!AF119+Debt!AF117+Debt!AF111-Debt!AF110</f>
        <v/>
      </c>
      <c r="AG16" s="11">
        <f>Debt!AG119+Debt!AG117+Debt!AG111-Debt!AG110</f>
        <v/>
      </c>
      <c r="AH16" s="11">
        <f>Debt!AH119+Debt!AH117+Debt!AH111-Debt!AH110</f>
        <v/>
      </c>
      <c r="AI16" s="11">
        <f>Debt!AI119+Debt!AI117+Debt!AI111-Debt!AI110</f>
        <v/>
      </c>
      <c r="AJ16" s="11">
        <f>Debt!AJ119+Debt!AJ117+Debt!AJ111-Debt!AJ110</f>
        <v/>
      </c>
      <c r="AK16" s="11">
        <f>Debt!AK119+Debt!AK117+Debt!AK111-Debt!AK110</f>
        <v/>
      </c>
      <c r="AL16" s="11">
        <f>Debt!AL119+Debt!AL117+Debt!AL111-Debt!AL110</f>
        <v/>
      </c>
      <c r="AM16" s="11">
        <f>Debt!AM119+Debt!AM117+Debt!AM111-Debt!AM110</f>
        <v/>
      </c>
      <c r="AN16" s="11">
        <f>Debt!AN119+Debt!AN117+Debt!AN111-Debt!AN110</f>
        <v/>
      </c>
      <c r="AO16" s="11">
        <f>Debt!AO119+Debt!AO117+Debt!AO111-Debt!AO110</f>
        <v/>
      </c>
      <c r="AP16" s="11">
        <f>Debt!AP119+Debt!AP117+Debt!AP111-Debt!AP110</f>
        <v/>
      </c>
      <c r="AQ16" s="11">
        <f>Debt!AQ119+Debt!AQ117+Debt!AQ111-Debt!AQ110</f>
        <v/>
      </c>
      <c r="AR16" s="11">
        <f>Debt!AR119+Debt!AR117+Debt!AR111-Debt!AR110</f>
        <v/>
      </c>
      <c r="AS16" s="11">
        <f>Debt!AS119+Debt!AS117+Debt!AS111-Debt!AS110</f>
        <v/>
      </c>
      <c r="AT16" s="11">
        <f>Debt!AT119+Debt!AT117+Debt!AT111-Debt!AT110</f>
        <v/>
      </c>
      <c r="AU16" s="11">
        <f>Debt!AU119+Debt!AU117+Debt!AU111-Debt!AU110</f>
        <v/>
      </c>
      <c r="AV16" s="11">
        <f>Debt!AV119+Debt!AV117+Debt!AV111-Debt!AV110</f>
        <v/>
      </c>
      <c r="AW16" s="11">
        <f>Debt!AW119+Debt!AW117+Debt!AW111-Debt!AW110</f>
        <v/>
      </c>
      <c r="AX16" s="11">
        <f>Debt!AX119+Debt!AX117+Debt!AX111-Debt!AX110</f>
        <v/>
      </c>
      <c r="AY16" s="11">
        <f>Debt!AY119+Debt!AY117+Debt!AY111-Debt!AY110</f>
        <v/>
      </c>
      <c r="AZ16" s="11">
        <f>Debt!AZ119+Debt!AZ117+Debt!AZ111-Debt!AZ110</f>
        <v/>
      </c>
      <c r="BA16" s="11">
        <f>Debt!BA119+Debt!BA117+Debt!BA111-Debt!BA110</f>
        <v/>
      </c>
      <c r="BB16" s="11">
        <f>Debt!BB119+Debt!BB117+Debt!BB111-Debt!BB110</f>
        <v/>
      </c>
      <c r="BC16" s="11">
        <f>Debt!BC119+Debt!BC117+Debt!BC111-Debt!BC110</f>
        <v/>
      </c>
      <c r="BD16" s="11">
        <f>Debt!BD119+Debt!BD117+Debt!BD111-Debt!BD110</f>
        <v/>
      </c>
      <c r="BE16" s="11">
        <f>Debt!BE119+Debt!BE117+Debt!BE111-Debt!BE110</f>
        <v/>
      </c>
      <c r="BF16" s="11">
        <f>Debt!BF119+Debt!BF117+Debt!BF111-Debt!BF110</f>
        <v/>
      </c>
      <c r="BG16" s="11">
        <f>Debt!BG119+Debt!BG117+Debt!BG111-Debt!BG110</f>
        <v/>
      </c>
      <c r="BH16" s="11">
        <f>Debt!BH119+Debt!BH117+Debt!BH111-Debt!BH110</f>
        <v/>
      </c>
      <c r="BI16" s="11">
        <f>Debt!BI119+Debt!BI117+Debt!BI111-Debt!BI110</f>
        <v/>
      </c>
      <c r="BJ16" s="11">
        <f>Debt!BJ119+Debt!BJ117+Debt!BJ111-Debt!BJ110</f>
        <v/>
      </c>
      <c r="BK16" s="11">
        <f>Debt!BK119+Debt!BK117+Debt!BK111-Debt!BK110</f>
        <v/>
      </c>
      <c r="BL16" s="11">
        <f>Debt!BL119+Debt!BL117+Debt!BL111-Debt!BL110</f>
        <v/>
      </c>
      <c r="BM16" s="11">
        <f>Debt!BM119+Debt!BM117+Debt!BM111-Debt!BM110</f>
        <v/>
      </c>
      <c r="BN16" s="11">
        <f>Debt!BN119+Debt!BN117+Debt!BN111-Debt!BN110</f>
        <v/>
      </c>
    </row>
    <row r="17">
      <c r="D17" t="inlineStr">
        <is>
          <t>Non-holiday share of operating months</t>
        </is>
      </c>
      <c r="E17" t="inlineStr">
        <is>
          <t>fraction</t>
        </is>
      </c>
      <c r="J17" s="11">
        <f>IF(Time!J25&gt;0,(Time!J25-J7)/Time!J25,0)</f>
        <v/>
      </c>
      <c r="K17" s="11">
        <f>IF(Time!K25&gt;0,(Time!K25-K7)/Time!K25,0)</f>
        <v/>
      </c>
      <c r="L17" s="11">
        <f>IF(Time!L25&gt;0,(Time!L25-L7)/Time!L25,0)</f>
        <v/>
      </c>
      <c r="M17" s="11">
        <f>IF(Time!M25&gt;0,(Time!M25-M7)/Time!M25,0)</f>
        <v/>
      </c>
      <c r="N17" s="11">
        <f>IF(Time!N25&gt;0,(Time!N25-N7)/Time!N25,0)</f>
        <v/>
      </c>
      <c r="O17" s="11">
        <f>IF(Time!O25&gt;0,(Time!O25-O7)/Time!O25,0)</f>
        <v/>
      </c>
      <c r="P17" s="11">
        <f>IF(Time!P25&gt;0,(Time!P25-P7)/Time!P25,0)</f>
        <v/>
      </c>
      <c r="Q17" s="11">
        <f>IF(Time!Q25&gt;0,(Time!Q25-Q7)/Time!Q25,0)</f>
        <v/>
      </c>
      <c r="R17" s="11">
        <f>IF(Time!R25&gt;0,(Time!R25-R7)/Time!R25,0)</f>
        <v/>
      </c>
      <c r="S17" s="11">
        <f>IF(Time!S25&gt;0,(Time!S25-S7)/Time!S25,0)</f>
        <v/>
      </c>
      <c r="T17" s="11">
        <f>IF(Time!T25&gt;0,(Time!T25-T7)/Time!T25,0)</f>
        <v/>
      </c>
      <c r="U17" s="11">
        <f>IF(Time!U25&gt;0,(Time!U25-U7)/Time!U25,0)</f>
        <v/>
      </c>
      <c r="V17" s="11">
        <f>IF(Time!V25&gt;0,(Time!V25-V7)/Time!V25,0)</f>
        <v/>
      </c>
      <c r="W17" s="11">
        <f>IF(Time!W25&gt;0,(Time!W25-W7)/Time!W25,0)</f>
        <v/>
      </c>
      <c r="X17" s="11">
        <f>IF(Time!X25&gt;0,(Time!X25-X7)/Time!X25,0)</f>
        <v/>
      </c>
      <c r="Y17" s="11">
        <f>IF(Time!Y25&gt;0,(Time!Y25-Y7)/Time!Y25,0)</f>
        <v/>
      </c>
      <c r="Z17" s="11">
        <f>IF(Time!Z25&gt;0,(Time!Z25-Z7)/Time!Z25,0)</f>
        <v/>
      </c>
      <c r="AA17" s="11">
        <f>IF(Time!AA25&gt;0,(Time!AA25-AA7)/Time!AA25,0)</f>
        <v/>
      </c>
      <c r="AB17" s="11">
        <f>IF(Time!AB25&gt;0,(Time!AB25-AB7)/Time!AB25,0)</f>
        <v/>
      </c>
      <c r="AC17" s="11">
        <f>IF(Time!AC25&gt;0,(Time!AC25-AC7)/Time!AC25,0)</f>
        <v/>
      </c>
      <c r="AD17" s="11">
        <f>IF(Time!AD25&gt;0,(Time!AD25-AD7)/Time!AD25,0)</f>
        <v/>
      </c>
      <c r="AE17" s="11">
        <f>IF(Time!AE25&gt;0,(Time!AE25-AE7)/Time!AE25,0)</f>
        <v/>
      </c>
      <c r="AF17" s="11">
        <f>IF(Time!AF25&gt;0,(Time!AF25-AF7)/Time!AF25,0)</f>
        <v/>
      </c>
      <c r="AG17" s="11">
        <f>IF(Time!AG25&gt;0,(Time!AG25-AG7)/Time!AG25,0)</f>
        <v/>
      </c>
      <c r="AH17" s="11">
        <f>IF(Time!AH25&gt;0,(Time!AH25-AH7)/Time!AH25,0)</f>
        <v/>
      </c>
      <c r="AI17" s="11">
        <f>IF(Time!AI25&gt;0,(Time!AI25-AI7)/Time!AI25,0)</f>
        <v/>
      </c>
      <c r="AJ17" s="11">
        <f>IF(Time!AJ25&gt;0,(Time!AJ25-AJ7)/Time!AJ25,0)</f>
        <v/>
      </c>
      <c r="AK17" s="11">
        <f>IF(Time!AK25&gt;0,(Time!AK25-AK7)/Time!AK25,0)</f>
        <v/>
      </c>
      <c r="AL17" s="11">
        <f>IF(Time!AL25&gt;0,(Time!AL25-AL7)/Time!AL25,0)</f>
        <v/>
      </c>
      <c r="AM17" s="11">
        <f>IF(Time!AM25&gt;0,(Time!AM25-AM7)/Time!AM25,0)</f>
        <v/>
      </c>
      <c r="AN17" s="11">
        <f>IF(Time!AN25&gt;0,(Time!AN25-AN7)/Time!AN25,0)</f>
        <v/>
      </c>
      <c r="AO17" s="11">
        <f>IF(Time!AO25&gt;0,(Time!AO25-AO7)/Time!AO25,0)</f>
        <v/>
      </c>
      <c r="AP17" s="11">
        <f>IF(Time!AP25&gt;0,(Time!AP25-AP7)/Time!AP25,0)</f>
        <v/>
      </c>
      <c r="AQ17" s="11">
        <f>IF(Time!AQ25&gt;0,(Time!AQ25-AQ7)/Time!AQ25,0)</f>
        <v/>
      </c>
      <c r="AR17" s="11">
        <f>IF(Time!AR25&gt;0,(Time!AR25-AR7)/Time!AR25,0)</f>
        <v/>
      </c>
      <c r="AS17" s="11">
        <f>IF(Time!AS25&gt;0,(Time!AS25-AS7)/Time!AS25,0)</f>
        <v/>
      </c>
      <c r="AT17" s="11">
        <f>IF(Time!AT25&gt;0,(Time!AT25-AT7)/Time!AT25,0)</f>
        <v/>
      </c>
      <c r="AU17" s="11">
        <f>IF(Time!AU25&gt;0,(Time!AU25-AU7)/Time!AU25,0)</f>
        <v/>
      </c>
      <c r="AV17" s="11">
        <f>IF(Time!AV25&gt;0,(Time!AV25-AV7)/Time!AV25,0)</f>
        <v/>
      </c>
      <c r="AW17" s="11">
        <f>IF(Time!AW25&gt;0,(Time!AW25-AW7)/Time!AW25,0)</f>
        <v/>
      </c>
      <c r="AX17" s="11">
        <f>IF(Time!AX25&gt;0,(Time!AX25-AX7)/Time!AX25,0)</f>
        <v/>
      </c>
      <c r="AY17" s="11">
        <f>IF(Time!AY25&gt;0,(Time!AY25-AY7)/Time!AY25,0)</f>
        <v/>
      </c>
      <c r="AZ17" s="11">
        <f>IF(Time!AZ25&gt;0,(Time!AZ25-AZ7)/Time!AZ25,0)</f>
        <v/>
      </c>
      <c r="BA17" s="11">
        <f>IF(Time!BA25&gt;0,(Time!BA25-BA7)/Time!BA25,0)</f>
        <v/>
      </c>
      <c r="BB17" s="11">
        <f>IF(Time!BB25&gt;0,(Time!BB25-BB7)/Time!BB25,0)</f>
        <v/>
      </c>
      <c r="BC17" s="11">
        <f>IF(Time!BC25&gt;0,(Time!BC25-BC7)/Time!BC25,0)</f>
        <v/>
      </c>
      <c r="BD17" s="11">
        <f>IF(Time!BD25&gt;0,(Time!BD25-BD7)/Time!BD25,0)</f>
        <v/>
      </c>
      <c r="BE17" s="11">
        <f>IF(Time!BE25&gt;0,(Time!BE25-BE7)/Time!BE25,0)</f>
        <v/>
      </c>
      <c r="BF17" s="11">
        <f>IF(Time!BF25&gt;0,(Time!BF25-BF7)/Time!BF25,0)</f>
        <v/>
      </c>
      <c r="BG17" s="11">
        <f>IF(Time!BG25&gt;0,(Time!BG25-BG7)/Time!BG25,0)</f>
        <v/>
      </c>
      <c r="BH17" s="11">
        <f>IF(Time!BH25&gt;0,(Time!BH25-BH7)/Time!BH25,0)</f>
        <v/>
      </c>
      <c r="BI17" s="11">
        <f>IF(Time!BI25&gt;0,(Time!BI25-BI7)/Time!BI25,0)</f>
        <v/>
      </c>
      <c r="BJ17" s="11">
        <f>IF(Time!BJ25&gt;0,(Time!BJ25-BJ7)/Time!BJ25,0)</f>
        <v/>
      </c>
      <c r="BK17" s="11">
        <f>IF(Time!BK25&gt;0,(Time!BK25-BK7)/Time!BK25,0)</f>
        <v/>
      </c>
      <c r="BL17" s="11">
        <f>IF(Time!BL25&gt;0,(Time!BL25-BL7)/Time!BL25,0)</f>
        <v/>
      </c>
      <c r="BM17" s="11">
        <f>IF(Time!BM25&gt;0,(Time!BM25-BM7)/Time!BM25,0)</f>
        <v/>
      </c>
      <c r="BN17" s="11">
        <f>IF(Time!BN25&gt;0,(Time!BN25-BN7)/Time!BN25,0)</f>
        <v/>
      </c>
    </row>
    <row r="18">
      <c r="D18" t="inlineStr">
        <is>
          <t>Taxable income before losses and deferred depreciation</t>
        </is>
      </c>
      <c r="E18" t="inlineStr">
        <is>
          <t>USD m</t>
        </is>
      </c>
      <c r="G18" s="11">
        <f>SUM(J18:BN18)</f>
        <v/>
      </c>
      <c r="J18" s="11">
        <f>(Operations!J79-J16-J15)*J17-J12</f>
        <v/>
      </c>
      <c r="K18" s="11">
        <f>(Operations!K79-K16-K15)*K17-K12</f>
        <v/>
      </c>
      <c r="L18" s="11">
        <f>(Operations!L79-L16-L15)*L17-L12</f>
        <v/>
      </c>
      <c r="M18" s="11">
        <f>(Operations!M79-M16-M15)*M17-M12</f>
        <v/>
      </c>
      <c r="N18" s="11">
        <f>(Operations!N79-N16-N15)*N17-N12</f>
        <v/>
      </c>
      <c r="O18" s="11">
        <f>(Operations!O79-O16-O15)*O17-O12</f>
        <v/>
      </c>
      <c r="P18" s="11">
        <f>(Operations!P79-P16-P15)*P17-P12</f>
        <v/>
      </c>
      <c r="Q18" s="11">
        <f>(Operations!Q79-Q16-Q15)*Q17-Q12</f>
        <v/>
      </c>
      <c r="R18" s="11">
        <f>(Operations!R79-R16-R15)*R17-R12</f>
        <v/>
      </c>
      <c r="S18" s="11">
        <f>(Operations!S79-S16-S15)*S17-S12</f>
        <v/>
      </c>
      <c r="T18" s="11">
        <f>(Operations!T79-T16-T15)*T17-T12</f>
        <v/>
      </c>
      <c r="U18" s="11">
        <f>(Operations!U79-U16-U15)*U17-U12</f>
        <v/>
      </c>
      <c r="V18" s="11">
        <f>(Operations!V79-V16-V15)*V17-V12</f>
        <v/>
      </c>
      <c r="W18" s="11">
        <f>(Operations!W79-W16-W15)*W17-W12</f>
        <v/>
      </c>
      <c r="X18" s="11">
        <f>(Operations!X79-X16-X15)*X17-X12</f>
        <v/>
      </c>
      <c r="Y18" s="11">
        <f>(Operations!Y79-Y16-Y15)*Y17-Y12</f>
        <v/>
      </c>
      <c r="Z18" s="11">
        <f>(Operations!Z79-Z16-Z15)*Z17-Z12</f>
        <v/>
      </c>
      <c r="AA18" s="11">
        <f>(Operations!AA79-AA16-AA15)*AA17-AA12</f>
        <v/>
      </c>
      <c r="AB18" s="11">
        <f>(Operations!AB79-AB16-AB15)*AB17-AB12</f>
        <v/>
      </c>
      <c r="AC18" s="11">
        <f>(Operations!AC79-AC16-AC15)*AC17-AC12</f>
        <v/>
      </c>
      <c r="AD18" s="11">
        <f>(Operations!AD79-AD16-AD15)*AD17-AD12</f>
        <v/>
      </c>
      <c r="AE18" s="11">
        <f>(Operations!AE79-AE16-AE15)*AE17-AE12</f>
        <v/>
      </c>
      <c r="AF18" s="11">
        <f>(Operations!AF79-AF16-AF15)*AF17-AF12</f>
        <v/>
      </c>
      <c r="AG18" s="11">
        <f>(Operations!AG79-AG16-AG15)*AG17-AG12</f>
        <v/>
      </c>
      <c r="AH18" s="11">
        <f>(Operations!AH79-AH16-AH15)*AH17-AH12</f>
        <v/>
      </c>
      <c r="AI18" s="11">
        <f>(Operations!AI79-AI16-AI15)*AI17-AI12</f>
        <v/>
      </c>
      <c r="AJ18" s="11">
        <f>(Operations!AJ79-AJ16-AJ15)*AJ17-AJ12</f>
        <v/>
      </c>
      <c r="AK18" s="11">
        <f>(Operations!AK79-AK16-AK15)*AK17-AK12</f>
        <v/>
      </c>
      <c r="AL18" s="11">
        <f>(Operations!AL79-AL16-AL15)*AL17-AL12</f>
        <v/>
      </c>
      <c r="AM18" s="11">
        <f>(Operations!AM79-AM16-AM15)*AM17-AM12</f>
        <v/>
      </c>
      <c r="AN18" s="11">
        <f>(Operations!AN79-AN16-AN15)*AN17-AN12</f>
        <v/>
      </c>
      <c r="AO18" s="11">
        <f>(Operations!AO79-AO16-AO15)*AO17-AO12</f>
        <v/>
      </c>
      <c r="AP18" s="11">
        <f>(Operations!AP79-AP16-AP15)*AP17-AP12</f>
        <v/>
      </c>
      <c r="AQ18" s="11">
        <f>(Operations!AQ79-AQ16-AQ15)*AQ17-AQ12</f>
        <v/>
      </c>
      <c r="AR18" s="11">
        <f>(Operations!AR79-AR16-AR15)*AR17-AR12</f>
        <v/>
      </c>
      <c r="AS18" s="11">
        <f>(Operations!AS79-AS16-AS15)*AS17-AS12</f>
        <v/>
      </c>
      <c r="AT18" s="11">
        <f>(Operations!AT79-AT16-AT15)*AT17-AT12</f>
        <v/>
      </c>
      <c r="AU18" s="11">
        <f>(Operations!AU79-AU16-AU15)*AU17-AU12</f>
        <v/>
      </c>
      <c r="AV18" s="11">
        <f>(Operations!AV79-AV16-AV15)*AV17-AV12</f>
        <v/>
      </c>
      <c r="AW18" s="11">
        <f>(Operations!AW79-AW16-AW15)*AW17-AW12</f>
        <v/>
      </c>
      <c r="AX18" s="11">
        <f>(Operations!AX79-AX16-AX15)*AX17-AX12</f>
        <v/>
      </c>
      <c r="AY18" s="11">
        <f>(Operations!AY79-AY16-AY15)*AY17-AY12</f>
        <v/>
      </c>
      <c r="AZ18" s="11">
        <f>(Operations!AZ79-AZ16-AZ15)*AZ17-AZ12</f>
        <v/>
      </c>
      <c r="BA18" s="11">
        <f>(Operations!BA79-BA16-BA15)*BA17-BA12</f>
        <v/>
      </c>
      <c r="BB18" s="11">
        <f>(Operations!BB79-BB16-BB15)*BB17-BB12</f>
        <v/>
      </c>
      <c r="BC18" s="11">
        <f>(Operations!BC79-BC16-BC15)*BC17-BC12</f>
        <v/>
      </c>
      <c r="BD18" s="11">
        <f>(Operations!BD79-BD16-BD15)*BD17-BD12</f>
        <v/>
      </c>
      <c r="BE18" s="11">
        <f>(Operations!BE79-BE16-BE15)*BE17-BE12</f>
        <v/>
      </c>
      <c r="BF18" s="11">
        <f>(Operations!BF79-BF16-BF15)*BF17-BF12</f>
        <v/>
      </c>
      <c r="BG18" s="11">
        <f>(Operations!BG79-BG16-BG15)*BG17-BG12</f>
        <v/>
      </c>
      <c r="BH18" s="11">
        <f>(Operations!BH79-BH16-BH15)*BH17-BH12</f>
        <v/>
      </c>
      <c r="BI18" s="11">
        <f>(Operations!BI79-BI16-BI15)*BI17-BI12</f>
        <v/>
      </c>
      <c r="BJ18" s="11">
        <f>(Operations!BJ79-BJ16-BJ15)*BJ17-BJ12</f>
        <v/>
      </c>
      <c r="BK18" s="11">
        <f>(Operations!BK79-BK16-BK15)*BK17-BK12</f>
        <v/>
      </c>
      <c r="BL18" s="11">
        <f>(Operations!BL79-BL16-BL15)*BL17-BL12</f>
        <v/>
      </c>
      <c r="BM18" s="11">
        <f>(Operations!BM79-BM16-BM15)*BM17-BM12</f>
        <v/>
      </c>
      <c r="BN18" s="11">
        <f>(Operations!BN79-BN16-BN15)*BN17-BN12</f>
        <v/>
      </c>
    </row>
    <row r="19">
      <c r="D19" t="inlineStr">
        <is>
          <t>Tax losses used</t>
        </is>
      </c>
      <c r="E19" t="inlineStr">
        <is>
          <t>USD m</t>
        </is>
      </c>
      <c r="G19" s="11">
        <f>SUM(J19:BN19)</f>
        <v/>
      </c>
      <c r="J19" s="11">
        <f>MIN(0,MAX(0,J18))</f>
        <v/>
      </c>
      <c r="K19" s="11">
        <f>MIN(J22,MAX(0,K18))</f>
        <v/>
      </c>
      <c r="L19" s="11">
        <f>MIN(K22,MAX(0,L18))</f>
        <v/>
      </c>
      <c r="M19" s="11">
        <f>MIN(L22,MAX(0,M18))</f>
        <v/>
      </c>
      <c r="N19" s="11">
        <f>MIN(M22,MAX(0,N18))</f>
        <v/>
      </c>
      <c r="O19" s="11">
        <f>MIN(N22,MAX(0,O18))</f>
        <v/>
      </c>
      <c r="P19" s="11">
        <f>MIN(O22,MAX(0,P18))</f>
        <v/>
      </c>
      <c r="Q19" s="11">
        <f>MIN(P22,MAX(0,Q18))</f>
        <v/>
      </c>
      <c r="R19" s="11">
        <f>MIN(Q22,MAX(0,R18))</f>
        <v/>
      </c>
      <c r="S19" s="11">
        <f>MIN(R22,MAX(0,S18))</f>
        <v/>
      </c>
      <c r="T19" s="11">
        <f>MIN(S22,MAX(0,T18))</f>
        <v/>
      </c>
      <c r="U19" s="11">
        <f>MIN(T22,MAX(0,U18))</f>
        <v/>
      </c>
      <c r="V19" s="11">
        <f>MIN(U22,MAX(0,V18))</f>
        <v/>
      </c>
      <c r="W19" s="11">
        <f>MIN(V22,MAX(0,W18))</f>
        <v/>
      </c>
      <c r="X19" s="11">
        <f>MIN(W22,MAX(0,X18))</f>
        <v/>
      </c>
      <c r="Y19" s="11">
        <f>MIN(X22,MAX(0,Y18))</f>
        <v/>
      </c>
      <c r="Z19" s="11">
        <f>MIN(Y22,MAX(0,Z18))</f>
        <v/>
      </c>
      <c r="AA19" s="11">
        <f>MIN(Z22,MAX(0,AA18))</f>
        <v/>
      </c>
      <c r="AB19" s="11">
        <f>MIN(AA22,MAX(0,AB18))</f>
        <v/>
      </c>
      <c r="AC19" s="11">
        <f>MIN(AB22,MAX(0,AC18))</f>
        <v/>
      </c>
      <c r="AD19" s="11">
        <f>MIN(AC22,MAX(0,AD18))</f>
        <v/>
      </c>
      <c r="AE19" s="11">
        <f>MIN(AD22,MAX(0,AE18))</f>
        <v/>
      </c>
      <c r="AF19" s="11">
        <f>MIN(AE22,MAX(0,AF18))</f>
        <v/>
      </c>
      <c r="AG19" s="11">
        <f>MIN(AF22,MAX(0,AG18))</f>
        <v/>
      </c>
      <c r="AH19" s="11">
        <f>MIN(AG22,MAX(0,AH18))</f>
        <v/>
      </c>
      <c r="AI19" s="11">
        <f>MIN(AH22,MAX(0,AI18))</f>
        <v/>
      </c>
      <c r="AJ19" s="11">
        <f>MIN(AI22,MAX(0,AJ18))</f>
        <v/>
      </c>
      <c r="AK19" s="11">
        <f>MIN(AJ22,MAX(0,AK18))</f>
        <v/>
      </c>
      <c r="AL19" s="11">
        <f>MIN(AK22,MAX(0,AL18))</f>
        <v/>
      </c>
      <c r="AM19" s="11">
        <f>MIN(AL22,MAX(0,AM18))</f>
        <v/>
      </c>
      <c r="AN19" s="11">
        <f>MIN(AM22,MAX(0,AN18))</f>
        <v/>
      </c>
      <c r="AO19" s="11">
        <f>MIN(AN22,MAX(0,AO18))</f>
        <v/>
      </c>
      <c r="AP19" s="11">
        <f>MIN(AO22,MAX(0,AP18))</f>
        <v/>
      </c>
      <c r="AQ19" s="11">
        <f>MIN(AP22,MAX(0,AQ18))</f>
        <v/>
      </c>
      <c r="AR19" s="11">
        <f>MIN(AQ22,MAX(0,AR18))</f>
        <v/>
      </c>
      <c r="AS19" s="11">
        <f>MIN(AR22,MAX(0,AS18))</f>
        <v/>
      </c>
      <c r="AT19" s="11">
        <f>MIN(AS22,MAX(0,AT18))</f>
        <v/>
      </c>
      <c r="AU19" s="11">
        <f>MIN(AT22,MAX(0,AU18))</f>
        <v/>
      </c>
      <c r="AV19" s="11">
        <f>MIN(AU22,MAX(0,AV18))</f>
        <v/>
      </c>
      <c r="AW19" s="11">
        <f>MIN(AV22,MAX(0,AW18))</f>
        <v/>
      </c>
      <c r="AX19" s="11">
        <f>MIN(AW22,MAX(0,AX18))</f>
        <v/>
      </c>
      <c r="AY19" s="11">
        <f>MIN(AX22,MAX(0,AY18))</f>
        <v/>
      </c>
      <c r="AZ19" s="11">
        <f>MIN(AY22,MAX(0,AZ18))</f>
        <v/>
      </c>
      <c r="BA19" s="11">
        <f>MIN(AZ22,MAX(0,BA18))</f>
        <v/>
      </c>
      <c r="BB19" s="11">
        <f>MIN(BA22,MAX(0,BB18))</f>
        <v/>
      </c>
      <c r="BC19" s="11">
        <f>MIN(BB22,MAX(0,BC18))</f>
        <v/>
      </c>
      <c r="BD19" s="11">
        <f>MIN(BC22,MAX(0,BD18))</f>
        <v/>
      </c>
      <c r="BE19" s="11">
        <f>MIN(BD22,MAX(0,BE18))</f>
        <v/>
      </c>
      <c r="BF19" s="11">
        <f>MIN(BE22,MAX(0,BF18))</f>
        <v/>
      </c>
      <c r="BG19" s="11">
        <f>MIN(BF22,MAX(0,BG18))</f>
        <v/>
      </c>
      <c r="BH19" s="11">
        <f>MIN(BG22,MAX(0,BH18))</f>
        <v/>
      </c>
      <c r="BI19" s="11">
        <f>MIN(BH22,MAX(0,BI18))</f>
        <v/>
      </c>
      <c r="BJ19" s="11">
        <f>MIN(BI22,MAX(0,BJ18))</f>
        <v/>
      </c>
      <c r="BK19" s="11">
        <f>MIN(BJ22,MAX(0,BK18))</f>
        <v/>
      </c>
      <c r="BL19" s="11">
        <f>MIN(BK22,MAX(0,BL18))</f>
        <v/>
      </c>
      <c r="BM19" s="11">
        <f>MIN(BL22,MAX(0,BM18))</f>
        <v/>
      </c>
      <c r="BN19" s="11">
        <f>MIN(BM22,MAX(0,BN18))</f>
        <v/>
      </c>
    </row>
    <row r="20">
      <c r="D20" t="inlineStr">
        <is>
          <t>Deferred depreciation used</t>
        </is>
      </c>
      <c r="E20" t="inlineStr">
        <is>
          <t>USD m</t>
        </is>
      </c>
      <c r="G20" s="11">
        <f>SUM(J20:BN20)</f>
        <v/>
      </c>
      <c r="J20" s="11">
        <f>MIN(0,MAX(0,J18-J19))</f>
        <v/>
      </c>
      <c r="K20" s="11">
        <f>MIN(J21,MAX(0,K18-K19))</f>
        <v/>
      </c>
      <c r="L20" s="11">
        <f>MIN(K21,MAX(0,L18-L19))</f>
        <v/>
      </c>
      <c r="M20" s="11">
        <f>MIN(L21,MAX(0,M18-M19))</f>
        <v/>
      </c>
      <c r="N20" s="11">
        <f>MIN(M21,MAX(0,N18-N19))</f>
        <v/>
      </c>
      <c r="O20" s="11">
        <f>MIN(N21,MAX(0,O18-O19))</f>
        <v/>
      </c>
      <c r="P20" s="11">
        <f>MIN(O21,MAX(0,P18-P19))</f>
        <v/>
      </c>
      <c r="Q20" s="11">
        <f>MIN(P21,MAX(0,Q18-Q19))</f>
        <v/>
      </c>
      <c r="R20" s="11">
        <f>MIN(Q21,MAX(0,R18-R19))</f>
        <v/>
      </c>
      <c r="S20" s="11">
        <f>MIN(R21,MAX(0,S18-S19))</f>
        <v/>
      </c>
      <c r="T20" s="11">
        <f>MIN(S21,MAX(0,T18-T19))</f>
        <v/>
      </c>
      <c r="U20" s="11">
        <f>MIN(T21,MAX(0,U18-U19))</f>
        <v/>
      </c>
      <c r="V20" s="11">
        <f>MIN(U21,MAX(0,V18-V19))</f>
        <v/>
      </c>
      <c r="W20" s="11">
        <f>MIN(V21,MAX(0,W18-W19))</f>
        <v/>
      </c>
      <c r="X20" s="11">
        <f>MIN(W21,MAX(0,X18-X19))</f>
        <v/>
      </c>
      <c r="Y20" s="11">
        <f>MIN(X21,MAX(0,Y18-Y19))</f>
        <v/>
      </c>
      <c r="Z20" s="11">
        <f>MIN(Y21,MAX(0,Z18-Z19))</f>
        <v/>
      </c>
      <c r="AA20" s="11">
        <f>MIN(Z21,MAX(0,AA18-AA19))</f>
        <v/>
      </c>
      <c r="AB20" s="11">
        <f>MIN(AA21,MAX(0,AB18-AB19))</f>
        <v/>
      </c>
      <c r="AC20" s="11">
        <f>MIN(AB21,MAX(0,AC18-AC19))</f>
        <v/>
      </c>
      <c r="AD20" s="11">
        <f>MIN(AC21,MAX(0,AD18-AD19))</f>
        <v/>
      </c>
      <c r="AE20" s="11">
        <f>MIN(AD21,MAX(0,AE18-AE19))</f>
        <v/>
      </c>
      <c r="AF20" s="11">
        <f>MIN(AE21,MAX(0,AF18-AF19))</f>
        <v/>
      </c>
      <c r="AG20" s="11">
        <f>MIN(AF21,MAX(0,AG18-AG19))</f>
        <v/>
      </c>
      <c r="AH20" s="11">
        <f>MIN(AG21,MAX(0,AH18-AH19))</f>
        <v/>
      </c>
      <c r="AI20" s="11">
        <f>MIN(AH21,MAX(0,AI18-AI19))</f>
        <v/>
      </c>
      <c r="AJ20" s="11">
        <f>MIN(AI21,MAX(0,AJ18-AJ19))</f>
        <v/>
      </c>
      <c r="AK20" s="11">
        <f>MIN(AJ21,MAX(0,AK18-AK19))</f>
        <v/>
      </c>
      <c r="AL20" s="11">
        <f>MIN(AK21,MAX(0,AL18-AL19))</f>
        <v/>
      </c>
      <c r="AM20" s="11">
        <f>MIN(AL21,MAX(0,AM18-AM19))</f>
        <v/>
      </c>
      <c r="AN20" s="11">
        <f>MIN(AM21,MAX(0,AN18-AN19))</f>
        <v/>
      </c>
      <c r="AO20" s="11">
        <f>MIN(AN21,MAX(0,AO18-AO19))</f>
        <v/>
      </c>
      <c r="AP20" s="11">
        <f>MIN(AO21,MAX(0,AP18-AP19))</f>
        <v/>
      </c>
      <c r="AQ20" s="11">
        <f>MIN(AP21,MAX(0,AQ18-AQ19))</f>
        <v/>
      </c>
      <c r="AR20" s="11">
        <f>MIN(AQ21,MAX(0,AR18-AR19))</f>
        <v/>
      </c>
      <c r="AS20" s="11">
        <f>MIN(AR21,MAX(0,AS18-AS19))</f>
        <v/>
      </c>
      <c r="AT20" s="11">
        <f>MIN(AS21,MAX(0,AT18-AT19))</f>
        <v/>
      </c>
      <c r="AU20" s="11">
        <f>MIN(AT21,MAX(0,AU18-AU19))</f>
        <v/>
      </c>
      <c r="AV20" s="11">
        <f>MIN(AU21,MAX(0,AV18-AV19))</f>
        <v/>
      </c>
      <c r="AW20" s="11">
        <f>MIN(AV21,MAX(0,AW18-AW19))</f>
        <v/>
      </c>
      <c r="AX20" s="11">
        <f>MIN(AW21,MAX(0,AX18-AX19))</f>
        <v/>
      </c>
      <c r="AY20" s="11">
        <f>MIN(AX21,MAX(0,AY18-AY19))</f>
        <v/>
      </c>
      <c r="AZ20" s="11">
        <f>MIN(AY21,MAX(0,AZ18-AZ19))</f>
        <v/>
      </c>
      <c r="BA20" s="11">
        <f>MIN(AZ21,MAX(0,BA18-BA19))</f>
        <v/>
      </c>
      <c r="BB20" s="11">
        <f>MIN(BA21,MAX(0,BB18-BB19))</f>
        <v/>
      </c>
      <c r="BC20" s="11">
        <f>MIN(BB21,MAX(0,BC18-BC19))</f>
        <v/>
      </c>
      <c r="BD20" s="11">
        <f>MIN(BC21,MAX(0,BD18-BD19))</f>
        <v/>
      </c>
      <c r="BE20" s="11">
        <f>MIN(BD21,MAX(0,BE18-BE19))</f>
        <v/>
      </c>
      <c r="BF20" s="11">
        <f>MIN(BE21,MAX(0,BF18-BF19))</f>
        <v/>
      </c>
      <c r="BG20" s="11">
        <f>MIN(BF21,MAX(0,BG18-BG19))</f>
        <v/>
      </c>
      <c r="BH20" s="11">
        <f>MIN(BG21,MAX(0,BH18-BH19))</f>
        <v/>
      </c>
      <c r="BI20" s="11">
        <f>MIN(BH21,MAX(0,BI18-BI19))</f>
        <v/>
      </c>
      <c r="BJ20" s="11">
        <f>MIN(BI21,MAX(0,BJ18-BJ19))</f>
        <v/>
      </c>
      <c r="BK20" s="11">
        <f>MIN(BJ21,MAX(0,BK18-BK19))</f>
        <v/>
      </c>
      <c r="BL20" s="11">
        <f>MIN(BK21,MAX(0,BL18-BL19))</f>
        <v/>
      </c>
      <c r="BM20" s="11">
        <f>MIN(BL21,MAX(0,BM18-BM19))</f>
        <v/>
      </c>
      <c r="BN20" s="11">
        <f>MIN(BM21,MAX(0,BN18-BN19))</f>
        <v/>
      </c>
    </row>
    <row r="21">
      <c r="D21" t="inlineStr">
        <is>
          <t>Deferred depreciation pool, closing</t>
        </is>
      </c>
      <c r="E21" t="inlineStr">
        <is>
          <t>USD m</t>
        </is>
      </c>
      <c r="J21" s="11">
        <f>0+J11-J20</f>
        <v/>
      </c>
      <c r="K21" s="11">
        <f>J21+K11-K20</f>
        <v/>
      </c>
      <c r="L21" s="11">
        <f>K21+L11-L20</f>
        <v/>
      </c>
      <c r="M21" s="11">
        <f>L21+M11-M20</f>
        <v/>
      </c>
      <c r="N21" s="11">
        <f>M21+N11-N20</f>
        <v/>
      </c>
      <c r="O21" s="11">
        <f>N21+O11-O20</f>
        <v/>
      </c>
      <c r="P21" s="11">
        <f>O21+P11-P20</f>
        <v/>
      </c>
      <c r="Q21" s="11">
        <f>P21+Q11-Q20</f>
        <v/>
      </c>
      <c r="R21" s="11">
        <f>Q21+R11-R20</f>
        <v/>
      </c>
      <c r="S21" s="11">
        <f>R21+S11-S20</f>
        <v/>
      </c>
      <c r="T21" s="11">
        <f>S21+T11-T20</f>
        <v/>
      </c>
      <c r="U21" s="11">
        <f>T21+U11-U20</f>
        <v/>
      </c>
      <c r="V21" s="11">
        <f>U21+V11-V20</f>
        <v/>
      </c>
      <c r="W21" s="11">
        <f>V21+W11-W20</f>
        <v/>
      </c>
      <c r="X21" s="11">
        <f>W21+X11-X20</f>
        <v/>
      </c>
      <c r="Y21" s="11">
        <f>X21+Y11-Y20</f>
        <v/>
      </c>
      <c r="Z21" s="11">
        <f>Y21+Z11-Z20</f>
        <v/>
      </c>
      <c r="AA21" s="11">
        <f>Z21+AA11-AA20</f>
        <v/>
      </c>
      <c r="AB21" s="11">
        <f>AA21+AB11-AB20</f>
        <v/>
      </c>
      <c r="AC21" s="11">
        <f>AB21+AC11-AC20</f>
        <v/>
      </c>
      <c r="AD21" s="11">
        <f>AC21+AD11-AD20</f>
        <v/>
      </c>
      <c r="AE21" s="11">
        <f>AD21+AE11-AE20</f>
        <v/>
      </c>
      <c r="AF21" s="11">
        <f>AE21+AF11-AF20</f>
        <v/>
      </c>
      <c r="AG21" s="11">
        <f>AF21+AG11-AG20</f>
        <v/>
      </c>
      <c r="AH21" s="11">
        <f>AG21+AH11-AH20</f>
        <v/>
      </c>
      <c r="AI21" s="11">
        <f>AH21+AI11-AI20</f>
        <v/>
      </c>
      <c r="AJ21" s="11">
        <f>AI21+AJ11-AJ20</f>
        <v/>
      </c>
      <c r="AK21" s="11">
        <f>AJ21+AK11-AK20</f>
        <v/>
      </c>
      <c r="AL21" s="11">
        <f>AK21+AL11-AL20</f>
        <v/>
      </c>
      <c r="AM21" s="11">
        <f>AL21+AM11-AM20</f>
        <v/>
      </c>
      <c r="AN21" s="11">
        <f>AM21+AN11-AN20</f>
        <v/>
      </c>
      <c r="AO21" s="11">
        <f>AN21+AO11-AO20</f>
        <v/>
      </c>
      <c r="AP21" s="11">
        <f>AO21+AP11-AP20</f>
        <v/>
      </c>
      <c r="AQ21" s="11">
        <f>AP21+AQ11-AQ20</f>
        <v/>
      </c>
      <c r="AR21" s="11">
        <f>AQ21+AR11-AR20</f>
        <v/>
      </c>
      <c r="AS21" s="11">
        <f>AR21+AS11-AS20</f>
        <v/>
      </c>
      <c r="AT21" s="11">
        <f>AS21+AT11-AT20</f>
        <v/>
      </c>
      <c r="AU21" s="11">
        <f>AT21+AU11-AU20</f>
        <v/>
      </c>
      <c r="AV21" s="11">
        <f>AU21+AV11-AV20</f>
        <v/>
      </c>
      <c r="AW21" s="11">
        <f>AV21+AW11-AW20</f>
        <v/>
      </c>
      <c r="AX21" s="11">
        <f>AW21+AX11-AX20</f>
        <v/>
      </c>
      <c r="AY21" s="11">
        <f>AX21+AY11-AY20</f>
        <v/>
      </c>
      <c r="AZ21" s="11">
        <f>AY21+AZ11-AZ20</f>
        <v/>
      </c>
      <c r="BA21" s="11">
        <f>AZ21+BA11-BA20</f>
        <v/>
      </c>
      <c r="BB21" s="11">
        <f>BA21+BB11-BB20</f>
        <v/>
      </c>
      <c r="BC21" s="11">
        <f>BB21+BC11-BC20</f>
        <v/>
      </c>
      <c r="BD21" s="11">
        <f>BC21+BD11-BD20</f>
        <v/>
      </c>
      <c r="BE21" s="11">
        <f>BD21+BE11-BE20</f>
        <v/>
      </c>
      <c r="BF21" s="11">
        <f>BE21+BF11-BF20</f>
        <v/>
      </c>
      <c r="BG21" s="11">
        <f>BF21+BG11-BG20</f>
        <v/>
      </c>
      <c r="BH21" s="11">
        <f>BG21+BH11-BH20</f>
        <v/>
      </c>
      <c r="BI21" s="11">
        <f>BH21+BI11-BI20</f>
        <v/>
      </c>
      <c r="BJ21" s="11">
        <f>BI21+BJ11-BJ20</f>
        <v/>
      </c>
      <c r="BK21" s="11">
        <f>BJ21+BK11-BK20</f>
        <v/>
      </c>
      <c r="BL21" s="11">
        <f>BK21+BL11-BL20</f>
        <v/>
      </c>
      <c r="BM21" s="11">
        <f>BL21+BM11-BM20</f>
        <v/>
      </c>
      <c r="BN21" s="11">
        <f>BM21+BN11-BN20</f>
        <v/>
      </c>
    </row>
    <row r="22">
      <c r="D22" t="inlineStr">
        <is>
          <t>Tax losses carried forward, closing</t>
        </is>
      </c>
      <c r="E22" t="inlineStr">
        <is>
          <t>USD m</t>
        </is>
      </c>
      <c r="J22" s="11">
        <f>0-J19+MAX(0,-J18)</f>
        <v/>
      </c>
      <c r="K22" s="11">
        <f>J22-K19+MAX(0,-K18)</f>
        <v/>
      </c>
      <c r="L22" s="11">
        <f>K22-L19+MAX(0,-L18)</f>
        <v/>
      </c>
      <c r="M22" s="11">
        <f>L22-M19+MAX(0,-M18)</f>
        <v/>
      </c>
      <c r="N22" s="11">
        <f>M22-N19+MAX(0,-N18)</f>
        <v/>
      </c>
      <c r="O22" s="11">
        <f>N22-O19+MAX(0,-O18)</f>
        <v/>
      </c>
      <c r="P22" s="11">
        <f>O22-P19+MAX(0,-P18)</f>
        <v/>
      </c>
      <c r="Q22" s="11">
        <f>P22-Q19+MAX(0,-Q18)</f>
        <v/>
      </c>
      <c r="R22" s="11">
        <f>Q22-R19+MAX(0,-R18)</f>
        <v/>
      </c>
      <c r="S22" s="11">
        <f>R22-S19+MAX(0,-S18)</f>
        <v/>
      </c>
      <c r="T22" s="11">
        <f>S22-T19+MAX(0,-T18)</f>
        <v/>
      </c>
      <c r="U22" s="11">
        <f>T22-U19+MAX(0,-U18)</f>
        <v/>
      </c>
      <c r="V22" s="11">
        <f>U22-V19+MAX(0,-V18)</f>
        <v/>
      </c>
      <c r="W22" s="11">
        <f>V22-W19+MAX(0,-W18)</f>
        <v/>
      </c>
      <c r="X22" s="11">
        <f>W22-X19+MAX(0,-X18)</f>
        <v/>
      </c>
      <c r="Y22" s="11">
        <f>X22-Y19+MAX(0,-Y18)</f>
        <v/>
      </c>
      <c r="Z22" s="11">
        <f>Y22-Z19+MAX(0,-Z18)</f>
        <v/>
      </c>
      <c r="AA22" s="11">
        <f>Z22-AA19+MAX(0,-AA18)</f>
        <v/>
      </c>
      <c r="AB22" s="11">
        <f>AA22-AB19+MAX(0,-AB18)</f>
        <v/>
      </c>
      <c r="AC22" s="11">
        <f>AB22-AC19+MAX(0,-AC18)</f>
        <v/>
      </c>
      <c r="AD22" s="11">
        <f>AC22-AD19+MAX(0,-AD18)</f>
        <v/>
      </c>
      <c r="AE22" s="11">
        <f>AD22-AE19+MAX(0,-AE18)</f>
        <v/>
      </c>
      <c r="AF22" s="11">
        <f>AE22-AF19+MAX(0,-AF18)</f>
        <v/>
      </c>
      <c r="AG22" s="11">
        <f>AF22-AG19+MAX(0,-AG18)</f>
        <v/>
      </c>
      <c r="AH22" s="11">
        <f>AG22-AH19+MAX(0,-AH18)</f>
        <v/>
      </c>
      <c r="AI22" s="11">
        <f>AH22-AI19+MAX(0,-AI18)</f>
        <v/>
      </c>
      <c r="AJ22" s="11">
        <f>AI22-AJ19+MAX(0,-AJ18)</f>
        <v/>
      </c>
      <c r="AK22" s="11">
        <f>AJ22-AK19+MAX(0,-AK18)</f>
        <v/>
      </c>
      <c r="AL22" s="11">
        <f>AK22-AL19+MAX(0,-AL18)</f>
        <v/>
      </c>
      <c r="AM22" s="11">
        <f>AL22-AM19+MAX(0,-AM18)</f>
        <v/>
      </c>
      <c r="AN22" s="11">
        <f>AM22-AN19+MAX(0,-AN18)</f>
        <v/>
      </c>
      <c r="AO22" s="11">
        <f>AN22-AO19+MAX(0,-AO18)</f>
        <v/>
      </c>
      <c r="AP22" s="11">
        <f>AO22-AP19+MAX(0,-AP18)</f>
        <v/>
      </c>
      <c r="AQ22" s="11">
        <f>AP22-AQ19+MAX(0,-AQ18)</f>
        <v/>
      </c>
      <c r="AR22" s="11">
        <f>AQ22-AR19+MAX(0,-AR18)</f>
        <v/>
      </c>
      <c r="AS22" s="11">
        <f>AR22-AS19+MAX(0,-AS18)</f>
        <v/>
      </c>
      <c r="AT22" s="11">
        <f>AS22-AT19+MAX(0,-AT18)</f>
        <v/>
      </c>
      <c r="AU22" s="11">
        <f>AT22-AU19+MAX(0,-AU18)</f>
        <v/>
      </c>
      <c r="AV22" s="11">
        <f>AU22-AV19+MAX(0,-AV18)</f>
        <v/>
      </c>
      <c r="AW22" s="11">
        <f>AV22-AW19+MAX(0,-AW18)</f>
        <v/>
      </c>
      <c r="AX22" s="11">
        <f>AW22-AX19+MAX(0,-AX18)</f>
        <v/>
      </c>
      <c r="AY22" s="11">
        <f>AX22-AY19+MAX(0,-AY18)</f>
        <v/>
      </c>
      <c r="AZ22" s="11">
        <f>AY22-AZ19+MAX(0,-AZ18)</f>
        <v/>
      </c>
      <c r="BA22" s="11">
        <f>AZ22-BA19+MAX(0,-BA18)</f>
        <v/>
      </c>
      <c r="BB22" s="11">
        <f>BA22-BB19+MAX(0,-BB18)</f>
        <v/>
      </c>
      <c r="BC22" s="11">
        <f>BB22-BC19+MAX(0,-BC18)</f>
        <v/>
      </c>
      <c r="BD22" s="11">
        <f>BC22-BD19+MAX(0,-BD18)</f>
        <v/>
      </c>
      <c r="BE22" s="11">
        <f>BD22-BE19+MAX(0,-BE18)</f>
        <v/>
      </c>
      <c r="BF22" s="11">
        <f>BE22-BF19+MAX(0,-BF18)</f>
        <v/>
      </c>
      <c r="BG22" s="11">
        <f>BF22-BG19+MAX(0,-BG18)</f>
        <v/>
      </c>
      <c r="BH22" s="11">
        <f>BG22-BH19+MAX(0,-BH18)</f>
        <v/>
      </c>
      <c r="BI22" s="11">
        <f>BH22-BI19+MAX(0,-BI18)</f>
        <v/>
      </c>
      <c r="BJ22" s="11">
        <f>BI22-BJ19+MAX(0,-BJ18)</f>
        <v/>
      </c>
      <c r="BK22" s="11">
        <f>BJ22-BK19+MAX(0,-BK18)</f>
        <v/>
      </c>
      <c r="BL22" s="11">
        <f>BK22-BL19+MAX(0,-BL18)</f>
        <v/>
      </c>
      <c r="BM22" s="11">
        <f>BL22-BM19+MAX(0,-BM18)</f>
        <v/>
      </c>
      <c r="BN22" s="11">
        <f>BM22-BN19+MAX(0,-BN18)</f>
        <v/>
      </c>
    </row>
    <row r="23">
      <c r="D23" t="inlineStr">
        <is>
          <t>Taxable income</t>
        </is>
      </c>
      <c r="E23" t="inlineStr">
        <is>
          <t>USD m</t>
        </is>
      </c>
      <c r="G23" s="11">
        <f>SUM(J23:BN23)</f>
        <v/>
      </c>
      <c r="J23" s="11">
        <f>MAX(0,J18-J19-J20)</f>
        <v/>
      </c>
      <c r="K23" s="11">
        <f>MAX(0,K18-K19-K20)</f>
        <v/>
      </c>
      <c r="L23" s="11">
        <f>MAX(0,L18-L19-L20)</f>
        <v/>
      </c>
      <c r="M23" s="11">
        <f>MAX(0,M18-M19-M20)</f>
        <v/>
      </c>
      <c r="N23" s="11">
        <f>MAX(0,N18-N19-N20)</f>
        <v/>
      </c>
      <c r="O23" s="11">
        <f>MAX(0,O18-O19-O20)</f>
        <v/>
      </c>
      <c r="P23" s="11">
        <f>MAX(0,P18-P19-P20)</f>
        <v/>
      </c>
      <c r="Q23" s="11">
        <f>MAX(0,Q18-Q19-Q20)</f>
        <v/>
      </c>
      <c r="R23" s="11">
        <f>MAX(0,R18-R19-R20)</f>
        <v/>
      </c>
      <c r="S23" s="11">
        <f>MAX(0,S18-S19-S20)</f>
        <v/>
      </c>
      <c r="T23" s="11">
        <f>MAX(0,T18-T19-T20)</f>
        <v/>
      </c>
      <c r="U23" s="11">
        <f>MAX(0,U18-U19-U20)</f>
        <v/>
      </c>
      <c r="V23" s="11">
        <f>MAX(0,V18-V19-V20)</f>
        <v/>
      </c>
      <c r="W23" s="11">
        <f>MAX(0,W18-W19-W20)</f>
        <v/>
      </c>
      <c r="X23" s="11">
        <f>MAX(0,X18-X19-X20)</f>
        <v/>
      </c>
      <c r="Y23" s="11">
        <f>MAX(0,Y18-Y19-Y20)</f>
        <v/>
      </c>
      <c r="Z23" s="11">
        <f>MAX(0,Z18-Z19-Z20)</f>
        <v/>
      </c>
      <c r="AA23" s="11">
        <f>MAX(0,AA18-AA19-AA20)</f>
        <v/>
      </c>
      <c r="AB23" s="11">
        <f>MAX(0,AB18-AB19-AB20)</f>
        <v/>
      </c>
      <c r="AC23" s="11">
        <f>MAX(0,AC18-AC19-AC20)</f>
        <v/>
      </c>
      <c r="AD23" s="11">
        <f>MAX(0,AD18-AD19-AD20)</f>
        <v/>
      </c>
      <c r="AE23" s="11">
        <f>MAX(0,AE18-AE19-AE20)</f>
        <v/>
      </c>
      <c r="AF23" s="11">
        <f>MAX(0,AF18-AF19-AF20)</f>
        <v/>
      </c>
      <c r="AG23" s="11">
        <f>MAX(0,AG18-AG19-AG20)</f>
        <v/>
      </c>
      <c r="AH23" s="11">
        <f>MAX(0,AH18-AH19-AH20)</f>
        <v/>
      </c>
      <c r="AI23" s="11">
        <f>MAX(0,AI18-AI19-AI20)</f>
        <v/>
      </c>
      <c r="AJ23" s="11">
        <f>MAX(0,AJ18-AJ19-AJ20)</f>
        <v/>
      </c>
      <c r="AK23" s="11">
        <f>MAX(0,AK18-AK19-AK20)</f>
        <v/>
      </c>
      <c r="AL23" s="11">
        <f>MAX(0,AL18-AL19-AL20)</f>
        <v/>
      </c>
      <c r="AM23" s="11">
        <f>MAX(0,AM18-AM19-AM20)</f>
        <v/>
      </c>
      <c r="AN23" s="11">
        <f>MAX(0,AN18-AN19-AN20)</f>
        <v/>
      </c>
      <c r="AO23" s="11">
        <f>MAX(0,AO18-AO19-AO20)</f>
        <v/>
      </c>
      <c r="AP23" s="11">
        <f>MAX(0,AP18-AP19-AP20)</f>
        <v/>
      </c>
      <c r="AQ23" s="11">
        <f>MAX(0,AQ18-AQ19-AQ20)</f>
        <v/>
      </c>
      <c r="AR23" s="11">
        <f>MAX(0,AR18-AR19-AR20)</f>
        <v/>
      </c>
      <c r="AS23" s="11">
        <f>MAX(0,AS18-AS19-AS20)</f>
        <v/>
      </c>
      <c r="AT23" s="11">
        <f>MAX(0,AT18-AT19-AT20)</f>
        <v/>
      </c>
      <c r="AU23" s="11">
        <f>MAX(0,AU18-AU19-AU20)</f>
        <v/>
      </c>
      <c r="AV23" s="11">
        <f>MAX(0,AV18-AV19-AV20)</f>
        <v/>
      </c>
      <c r="AW23" s="11">
        <f>MAX(0,AW18-AW19-AW20)</f>
        <v/>
      </c>
      <c r="AX23" s="11">
        <f>MAX(0,AX18-AX19-AX20)</f>
        <v/>
      </c>
      <c r="AY23" s="11">
        <f>MAX(0,AY18-AY19-AY20)</f>
        <v/>
      </c>
      <c r="AZ23" s="11">
        <f>MAX(0,AZ18-AZ19-AZ20)</f>
        <v/>
      </c>
      <c r="BA23" s="11">
        <f>MAX(0,BA18-BA19-BA20)</f>
        <v/>
      </c>
      <c r="BB23" s="11">
        <f>MAX(0,BB18-BB19-BB20)</f>
        <v/>
      </c>
      <c r="BC23" s="11">
        <f>MAX(0,BC18-BC19-BC20)</f>
        <v/>
      </c>
      <c r="BD23" s="11">
        <f>MAX(0,BD18-BD19-BD20)</f>
        <v/>
      </c>
      <c r="BE23" s="11">
        <f>MAX(0,BE18-BE19-BE20)</f>
        <v/>
      </c>
      <c r="BF23" s="11">
        <f>MAX(0,BF18-BF19-BF20)</f>
        <v/>
      </c>
      <c r="BG23" s="11">
        <f>MAX(0,BG18-BG19-BG20)</f>
        <v/>
      </c>
      <c r="BH23" s="11">
        <f>MAX(0,BH18-BH19-BH20)</f>
        <v/>
      </c>
      <c r="BI23" s="11">
        <f>MAX(0,BI18-BI19-BI20)</f>
        <v/>
      </c>
      <c r="BJ23" s="11">
        <f>MAX(0,BJ18-BJ19-BJ20)</f>
        <v/>
      </c>
      <c r="BK23" s="11">
        <f>MAX(0,BK18-BK19-BK20)</f>
        <v/>
      </c>
      <c r="BL23" s="11">
        <f>MAX(0,BL18-BL19-BL20)</f>
        <v/>
      </c>
      <c r="BM23" s="11">
        <f>MAX(0,BM18-BM19-BM20)</f>
        <v/>
      </c>
      <c r="BN23" s="11">
        <f>MAX(0,BN18-BN19-BN20)</f>
        <v/>
      </c>
    </row>
    <row r="24">
      <c r="D24" t="inlineStr">
        <is>
          <t>Applicable CIT rate (month-weighted)</t>
        </is>
      </c>
      <c r="E24" t="inlineStr">
        <is>
          <t>%</t>
        </is>
      </c>
      <c r="J24" s="6">
        <f>IF(J8+J9&gt;0,(J8*Inputs!$F$172+J9*Inputs!$F$171)/(J8+J9)/100,0)</f>
        <v/>
      </c>
      <c r="K24" s="6">
        <f>IF(K8+K9&gt;0,(K8*Inputs!$F$172+K9*Inputs!$F$171)/(K8+K9)/100,0)</f>
        <v/>
      </c>
      <c r="L24" s="6">
        <f>IF(L8+L9&gt;0,(L8*Inputs!$F$172+L9*Inputs!$F$171)/(L8+L9)/100,0)</f>
        <v/>
      </c>
      <c r="M24" s="6">
        <f>IF(M8+M9&gt;0,(M8*Inputs!$F$172+M9*Inputs!$F$171)/(M8+M9)/100,0)</f>
        <v/>
      </c>
      <c r="N24" s="6">
        <f>IF(N8+N9&gt;0,(N8*Inputs!$F$172+N9*Inputs!$F$171)/(N8+N9)/100,0)</f>
        <v/>
      </c>
      <c r="O24" s="6">
        <f>IF(O8+O9&gt;0,(O8*Inputs!$F$172+O9*Inputs!$F$171)/(O8+O9)/100,0)</f>
        <v/>
      </c>
      <c r="P24" s="6">
        <f>IF(P8+P9&gt;0,(P8*Inputs!$F$172+P9*Inputs!$F$171)/(P8+P9)/100,0)</f>
        <v/>
      </c>
      <c r="Q24" s="6">
        <f>IF(Q8+Q9&gt;0,(Q8*Inputs!$F$172+Q9*Inputs!$F$171)/(Q8+Q9)/100,0)</f>
        <v/>
      </c>
      <c r="R24" s="6">
        <f>IF(R8+R9&gt;0,(R8*Inputs!$F$172+R9*Inputs!$F$171)/(R8+R9)/100,0)</f>
        <v/>
      </c>
      <c r="S24" s="6">
        <f>IF(S8+S9&gt;0,(S8*Inputs!$F$172+S9*Inputs!$F$171)/(S8+S9)/100,0)</f>
        <v/>
      </c>
      <c r="T24" s="6">
        <f>IF(T8+T9&gt;0,(T8*Inputs!$F$172+T9*Inputs!$F$171)/(T8+T9)/100,0)</f>
        <v/>
      </c>
      <c r="U24" s="6">
        <f>IF(U8+U9&gt;0,(U8*Inputs!$F$172+U9*Inputs!$F$171)/(U8+U9)/100,0)</f>
        <v/>
      </c>
      <c r="V24" s="6">
        <f>IF(V8+V9&gt;0,(V8*Inputs!$F$172+V9*Inputs!$F$171)/(V8+V9)/100,0)</f>
        <v/>
      </c>
      <c r="W24" s="6">
        <f>IF(W8+W9&gt;0,(W8*Inputs!$F$172+W9*Inputs!$F$171)/(W8+W9)/100,0)</f>
        <v/>
      </c>
      <c r="X24" s="6">
        <f>IF(X8+X9&gt;0,(X8*Inputs!$F$172+X9*Inputs!$F$171)/(X8+X9)/100,0)</f>
        <v/>
      </c>
      <c r="Y24" s="6">
        <f>IF(Y8+Y9&gt;0,(Y8*Inputs!$F$172+Y9*Inputs!$F$171)/(Y8+Y9)/100,0)</f>
        <v/>
      </c>
      <c r="Z24" s="6">
        <f>IF(Z8+Z9&gt;0,(Z8*Inputs!$F$172+Z9*Inputs!$F$171)/(Z8+Z9)/100,0)</f>
        <v/>
      </c>
      <c r="AA24" s="6">
        <f>IF(AA8+AA9&gt;0,(AA8*Inputs!$F$172+AA9*Inputs!$F$171)/(AA8+AA9)/100,0)</f>
        <v/>
      </c>
      <c r="AB24" s="6">
        <f>IF(AB8+AB9&gt;0,(AB8*Inputs!$F$172+AB9*Inputs!$F$171)/(AB8+AB9)/100,0)</f>
        <v/>
      </c>
      <c r="AC24" s="6">
        <f>IF(AC8+AC9&gt;0,(AC8*Inputs!$F$172+AC9*Inputs!$F$171)/(AC8+AC9)/100,0)</f>
        <v/>
      </c>
      <c r="AD24" s="6">
        <f>IF(AD8+AD9&gt;0,(AD8*Inputs!$F$172+AD9*Inputs!$F$171)/(AD8+AD9)/100,0)</f>
        <v/>
      </c>
      <c r="AE24" s="6">
        <f>IF(AE8+AE9&gt;0,(AE8*Inputs!$F$172+AE9*Inputs!$F$171)/(AE8+AE9)/100,0)</f>
        <v/>
      </c>
      <c r="AF24" s="6">
        <f>IF(AF8+AF9&gt;0,(AF8*Inputs!$F$172+AF9*Inputs!$F$171)/(AF8+AF9)/100,0)</f>
        <v/>
      </c>
      <c r="AG24" s="6">
        <f>IF(AG8+AG9&gt;0,(AG8*Inputs!$F$172+AG9*Inputs!$F$171)/(AG8+AG9)/100,0)</f>
        <v/>
      </c>
      <c r="AH24" s="6">
        <f>IF(AH8+AH9&gt;0,(AH8*Inputs!$F$172+AH9*Inputs!$F$171)/(AH8+AH9)/100,0)</f>
        <v/>
      </c>
      <c r="AI24" s="6">
        <f>IF(AI8+AI9&gt;0,(AI8*Inputs!$F$172+AI9*Inputs!$F$171)/(AI8+AI9)/100,0)</f>
        <v/>
      </c>
      <c r="AJ24" s="6">
        <f>IF(AJ8+AJ9&gt;0,(AJ8*Inputs!$F$172+AJ9*Inputs!$F$171)/(AJ8+AJ9)/100,0)</f>
        <v/>
      </c>
      <c r="AK24" s="6">
        <f>IF(AK8+AK9&gt;0,(AK8*Inputs!$F$172+AK9*Inputs!$F$171)/(AK8+AK9)/100,0)</f>
        <v/>
      </c>
      <c r="AL24" s="6">
        <f>IF(AL8+AL9&gt;0,(AL8*Inputs!$F$172+AL9*Inputs!$F$171)/(AL8+AL9)/100,0)</f>
        <v/>
      </c>
      <c r="AM24" s="6">
        <f>IF(AM8+AM9&gt;0,(AM8*Inputs!$F$172+AM9*Inputs!$F$171)/(AM8+AM9)/100,0)</f>
        <v/>
      </c>
      <c r="AN24" s="6">
        <f>IF(AN8+AN9&gt;0,(AN8*Inputs!$F$172+AN9*Inputs!$F$171)/(AN8+AN9)/100,0)</f>
        <v/>
      </c>
      <c r="AO24" s="6">
        <f>IF(AO8+AO9&gt;0,(AO8*Inputs!$F$172+AO9*Inputs!$F$171)/(AO8+AO9)/100,0)</f>
        <v/>
      </c>
      <c r="AP24" s="6">
        <f>IF(AP8+AP9&gt;0,(AP8*Inputs!$F$172+AP9*Inputs!$F$171)/(AP8+AP9)/100,0)</f>
        <v/>
      </c>
      <c r="AQ24" s="6">
        <f>IF(AQ8+AQ9&gt;0,(AQ8*Inputs!$F$172+AQ9*Inputs!$F$171)/(AQ8+AQ9)/100,0)</f>
        <v/>
      </c>
      <c r="AR24" s="6">
        <f>IF(AR8+AR9&gt;0,(AR8*Inputs!$F$172+AR9*Inputs!$F$171)/(AR8+AR9)/100,0)</f>
        <v/>
      </c>
      <c r="AS24" s="6">
        <f>IF(AS8+AS9&gt;0,(AS8*Inputs!$F$172+AS9*Inputs!$F$171)/(AS8+AS9)/100,0)</f>
        <v/>
      </c>
      <c r="AT24" s="6">
        <f>IF(AT8+AT9&gt;0,(AT8*Inputs!$F$172+AT9*Inputs!$F$171)/(AT8+AT9)/100,0)</f>
        <v/>
      </c>
      <c r="AU24" s="6">
        <f>IF(AU8+AU9&gt;0,(AU8*Inputs!$F$172+AU9*Inputs!$F$171)/(AU8+AU9)/100,0)</f>
        <v/>
      </c>
      <c r="AV24" s="6">
        <f>IF(AV8+AV9&gt;0,(AV8*Inputs!$F$172+AV9*Inputs!$F$171)/(AV8+AV9)/100,0)</f>
        <v/>
      </c>
      <c r="AW24" s="6">
        <f>IF(AW8+AW9&gt;0,(AW8*Inputs!$F$172+AW9*Inputs!$F$171)/(AW8+AW9)/100,0)</f>
        <v/>
      </c>
      <c r="AX24" s="6">
        <f>IF(AX8+AX9&gt;0,(AX8*Inputs!$F$172+AX9*Inputs!$F$171)/(AX8+AX9)/100,0)</f>
        <v/>
      </c>
      <c r="AY24" s="6">
        <f>IF(AY8+AY9&gt;0,(AY8*Inputs!$F$172+AY9*Inputs!$F$171)/(AY8+AY9)/100,0)</f>
        <v/>
      </c>
      <c r="AZ24" s="6">
        <f>IF(AZ8+AZ9&gt;0,(AZ8*Inputs!$F$172+AZ9*Inputs!$F$171)/(AZ8+AZ9)/100,0)</f>
        <v/>
      </c>
      <c r="BA24" s="6">
        <f>IF(BA8+BA9&gt;0,(BA8*Inputs!$F$172+BA9*Inputs!$F$171)/(BA8+BA9)/100,0)</f>
        <v/>
      </c>
      <c r="BB24" s="6">
        <f>IF(BB8+BB9&gt;0,(BB8*Inputs!$F$172+BB9*Inputs!$F$171)/(BB8+BB9)/100,0)</f>
        <v/>
      </c>
      <c r="BC24" s="6">
        <f>IF(BC8+BC9&gt;0,(BC8*Inputs!$F$172+BC9*Inputs!$F$171)/(BC8+BC9)/100,0)</f>
        <v/>
      </c>
      <c r="BD24" s="6">
        <f>IF(BD8+BD9&gt;0,(BD8*Inputs!$F$172+BD9*Inputs!$F$171)/(BD8+BD9)/100,0)</f>
        <v/>
      </c>
      <c r="BE24" s="6">
        <f>IF(BE8+BE9&gt;0,(BE8*Inputs!$F$172+BE9*Inputs!$F$171)/(BE8+BE9)/100,0)</f>
        <v/>
      </c>
      <c r="BF24" s="6">
        <f>IF(BF8+BF9&gt;0,(BF8*Inputs!$F$172+BF9*Inputs!$F$171)/(BF8+BF9)/100,0)</f>
        <v/>
      </c>
      <c r="BG24" s="6">
        <f>IF(BG8+BG9&gt;0,(BG8*Inputs!$F$172+BG9*Inputs!$F$171)/(BG8+BG9)/100,0)</f>
        <v/>
      </c>
      <c r="BH24" s="6">
        <f>IF(BH8+BH9&gt;0,(BH8*Inputs!$F$172+BH9*Inputs!$F$171)/(BH8+BH9)/100,0)</f>
        <v/>
      </c>
      <c r="BI24" s="6">
        <f>IF(BI8+BI9&gt;0,(BI8*Inputs!$F$172+BI9*Inputs!$F$171)/(BI8+BI9)/100,0)</f>
        <v/>
      </c>
      <c r="BJ24" s="6">
        <f>IF(BJ8+BJ9&gt;0,(BJ8*Inputs!$F$172+BJ9*Inputs!$F$171)/(BJ8+BJ9)/100,0)</f>
        <v/>
      </c>
      <c r="BK24" s="6">
        <f>IF(BK8+BK9&gt;0,(BK8*Inputs!$F$172+BK9*Inputs!$F$171)/(BK8+BK9)/100,0)</f>
        <v/>
      </c>
      <c r="BL24" s="6">
        <f>IF(BL8+BL9&gt;0,(BL8*Inputs!$F$172+BL9*Inputs!$F$171)/(BL8+BL9)/100,0)</f>
        <v/>
      </c>
      <c r="BM24" s="6">
        <f>IF(BM8+BM9&gt;0,(BM8*Inputs!$F$172+BM9*Inputs!$F$171)/(BM8+BM9)/100,0)</f>
        <v/>
      </c>
      <c r="BN24" s="6">
        <f>IF(BN8+BN9&gt;0,(BN8*Inputs!$F$172+BN9*Inputs!$F$171)/(BN8+BN9)/100,0)</f>
        <v/>
      </c>
    </row>
    <row r="25">
      <c r="D25" t="inlineStr">
        <is>
          <t>Corporate income tax</t>
        </is>
      </c>
      <c r="E25" t="inlineStr">
        <is>
          <t>USD m</t>
        </is>
      </c>
      <c r="G25" s="11">
        <f>SUM(J25:BN25)</f>
        <v/>
      </c>
      <c r="J25" s="11">
        <f>J23*J24</f>
        <v/>
      </c>
      <c r="K25" s="11">
        <f>K23*K24</f>
        <v/>
      </c>
      <c r="L25" s="11">
        <f>L23*L24</f>
        <v/>
      </c>
      <c r="M25" s="11">
        <f>M23*M24</f>
        <v/>
      </c>
      <c r="N25" s="11">
        <f>N23*N24</f>
        <v/>
      </c>
      <c r="O25" s="11">
        <f>O23*O24</f>
        <v/>
      </c>
      <c r="P25" s="11">
        <f>P23*P24</f>
        <v/>
      </c>
      <c r="Q25" s="11">
        <f>Q23*Q24</f>
        <v/>
      </c>
      <c r="R25" s="11">
        <f>R23*R24</f>
        <v/>
      </c>
      <c r="S25" s="11">
        <f>S23*S24</f>
        <v/>
      </c>
      <c r="T25" s="11">
        <f>T23*T24</f>
        <v/>
      </c>
      <c r="U25" s="11">
        <f>U23*U24</f>
        <v/>
      </c>
      <c r="V25" s="11">
        <f>V23*V24</f>
        <v/>
      </c>
      <c r="W25" s="11">
        <f>W23*W24</f>
        <v/>
      </c>
      <c r="X25" s="11">
        <f>X23*X24</f>
        <v/>
      </c>
      <c r="Y25" s="11">
        <f>Y23*Y24</f>
        <v/>
      </c>
      <c r="Z25" s="11">
        <f>Z23*Z24</f>
        <v/>
      </c>
      <c r="AA25" s="11">
        <f>AA23*AA24</f>
        <v/>
      </c>
      <c r="AB25" s="11">
        <f>AB23*AB24</f>
        <v/>
      </c>
      <c r="AC25" s="11">
        <f>AC23*AC24</f>
        <v/>
      </c>
      <c r="AD25" s="11">
        <f>AD23*AD24</f>
        <v/>
      </c>
      <c r="AE25" s="11">
        <f>AE23*AE24</f>
        <v/>
      </c>
      <c r="AF25" s="11">
        <f>AF23*AF24</f>
        <v/>
      </c>
      <c r="AG25" s="11">
        <f>AG23*AG24</f>
        <v/>
      </c>
      <c r="AH25" s="11">
        <f>AH23*AH24</f>
        <v/>
      </c>
      <c r="AI25" s="11">
        <f>AI23*AI24</f>
        <v/>
      </c>
      <c r="AJ25" s="11">
        <f>AJ23*AJ24</f>
        <v/>
      </c>
      <c r="AK25" s="11">
        <f>AK23*AK24</f>
        <v/>
      </c>
      <c r="AL25" s="11">
        <f>AL23*AL24</f>
        <v/>
      </c>
      <c r="AM25" s="11">
        <f>AM23*AM24</f>
        <v/>
      </c>
      <c r="AN25" s="11">
        <f>AN23*AN24</f>
        <v/>
      </c>
      <c r="AO25" s="11">
        <f>AO23*AO24</f>
        <v/>
      </c>
      <c r="AP25" s="11">
        <f>AP23*AP24</f>
        <v/>
      </c>
      <c r="AQ25" s="11">
        <f>AQ23*AQ24</f>
        <v/>
      </c>
      <c r="AR25" s="11">
        <f>AR23*AR24</f>
        <v/>
      </c>
      <c r="AS25" s="11">
        <f>AS23*AS24</f>
        <v/>
      </c>
      <c r="AT25" s="11">
        <f>AT23*AT24</f>
        <v/>
      </c>
      <c r="AU25" s="11">
        <f>AU23*AU24</f>
        <v/>
      </c>
      <c r="AV25" s="11">
        <f>AV23*AV24</f>
        <v/>
      </c>
      <c r="AW25" s="11">
        <f>AW23*AW24</f>
        <v/>
      </c>
      <c r="AX25" s="11">
        <f>AX23*AX24</f>
        <v/>
      </c>
      <c r="AY25" s="11">
        <f>AY23*AY24</f>
        <v/>
      </c>
      <c r="AZ25" s="11">
        <f>AZ23*AZ24</f>
        <v/>
      </c>
      <c r="BA25" s="11">
        <f>BA23*BA24</f>
        <v/>
      </c>
      <c r="BB25" s="11">
        <f>BB23*BB24</f>
        <v/>
      </c>
      <c r="BC25" s="11">
        <f>BC23*BC24</f>
        <v/>
      </c>
      <c r="BD25" s="11">
        <f>BD23*BD24</f>
        <v/>
      </c>
      <c r="BE25" s="11">
        <f>BE23*BE24</f>
        <v/>
      </c>
      <c r="BF25" s="11">
        <f>BF23*BF24</f>
        <v/>
      </c>
      <c r="BG25" s="11">
        <f>BG23*BG24</f>
        <v/>
      </c>
      <c r="BH25" s="11">
        <f>BH23*BH24</f>
        <v/>
      </c>
      <c r="BI25" s="11">
        <f>BI23*BI24</f>
        <v/>
      </c>
      <c r="BJ25" s="11">
        <f>BJ23*BJ24</f>
        <v/>
      </c>
      <c r="BK25" s="11">
        <f>BK23*BK24</f>
        <v/>
      </c>
      <c r="BL25" s="11">
        <f>BL23*BL24</f>
        <v/>
      </c>
      <c r="BM25" s="11">
        <f>BM23*BM24</f>
        <v/>
      </c>
      <c r="BN25" s="11">
        <f>BN23*BN24</f>
        <v/>
      </c>
    </row>
    <row r="26">
      <c r="D26" t="inlineStr">
        <is>
          <t>Minimum turnover tax</t>
        </is>
      </c>
      <c r="E26" t="inlineStr">
        <is>
          <t>USD m</t>
        </is>
      </c>
      <c r="G26" s="11">
        <f>SUM(J26:BN26)</f>
        <v/>
      </c>
      <c r="J26" s="11">
        <f>IF(Time!J25&gt;0,Inputs!$F$173/100*Operations!J50*(J8+J9)/Time!J25,0)</f>
        <v/>
      </c>
      <c r="K26" s="11">
        <f>IF(Time!K25&gt;0,Inputs!$F$173/100*Operations!K50*(K8+K9)/Time!K25,0)</f>
        <v/>
      </c>
      <c r="L26" s="11">
        <f>IF(Time!L25&gt;0,Inputs!$F$173/100*Operations!L50*(L8+L9)/Time!L25,0)</f>
        <v/>
      </c>
      <c r="M26" s="11">
        <f>IF(Time!M25&gt;0,Inputs!$F$173/100*Operations!M50*(M8+M9)/Time!M25,0)</f>
        <v/>
      </c>
      <c r="N26" s="11">
        <f>IF(Time!N25&gt;0,Inputs!$F$173/100*Operations!N50*(N8+N9)/Time!N25,0)</f>
        <v/>
      </c>
      <c r="O26" s="11">
        <f>IF(Time!O25&gt;0,Inputs!$F$173/100*Operations!O50*(O8+O9)/Time!O25,0)</f>
        <v/>
      </c>
      <c r="P26" s="11">
        <f>IF(Time!P25&gt;0,Inputs!$F$173/100*Operations!P50*(P8+P9)/Time!P25,0)</f>
        <v/>
      </c>
      <c r="Q26" s="11">
        <f>IF(Time!Q25&gt;0,Inputs!$F$173/100*Operations!Q50*(Q8+Q9)/Time!Q25,0)</f>
        <v/>
      </c>
      <c r="R26" s="11">
        <f>IF(Time!R25&gt;0,Inputs!$F$173/100*Operations!R50*(R8+R9)/Time!R25,0)</f>
        <v/>
      </c>
      <c r="S26" s="11">
        <f>IF(Time!S25&gt;0,Inputs!$F$173/100*Operations!S50*(S8+S9)/Time!S25,0)</f>
        <v/>
      </c>
      <c r="T26" s="11">
        <f>IF(Time!T25&gt;0,Inputs!$F$173/100*Operations!T50*(T8+T9)/Time!T25,0)</f>
        <v/>
      </c>
      <c r="U26" s="11">
        <f>IF(Time!U25&gt;0,Inputs!$F$173/100*Operations!U50*(U8+U9)/Time!U25,0)</f>
        <v/>
      </c>
      <c r="V26" s="11">
        <f>IF(Time!V25&gt;0,Inputs!$F$173/100*Operations!V50*(V8+V9)/Time!V25,0)</f>
        <v/>
      </c>
      <c r="W26" s="11">
        <f>IF(Time!W25&gt;0,Inputs!$F$173/100*Operations!W50*(W8+W9)/Time!W25,0)</f>
        <v/>
      </c>
      <c r="X26" s="11">
        <f>IF(Time!X25&gt;0,Inputs!$F$173/100*Operations!X50*(X8+X9)/Time!X25,0)</f>
        <v/>
      </c>
      <c r="Y26" s="11">
        <f>IF(Time!Y25&gt;0,Inputs!$F$173/100*Operations!Y50*(Y8+Y9)/Time!Y25,0)</f>
        <v/>
      </c>
      <c r="Z26" s="11">
        <f>IF(Time!Z25&gt;0,Inputs!$F$173/100*Operations!Z50*(Z8+Z9)/Time!Z25,0)</f>
        <v/>
      </c>
      <c r="AA26" s="11">
        <f>IF(Time!AA25&gt;0,Inputs!$F$173/100*Operations!AA50*(AA8+AA9)/Time!AA25,0)</f>
        <v/>
      </c>
      <c r="AB26" s="11">
        <f>IF(Time!AB25&gt;0,Inputs!$F$173/100*Operations!AB50*(AB8+AB9)/Time!AB25,0)</f>
        <v/>
      </c>
      <c r="AC26" s="11">
        <f>IF(Time!AC25&gt;0,Inputs!$F$173/100*Operations!AC50*(AC8+AC9)/Time!AC25,0)</f>
        <v/>
      </c>
      <c r="AD26" s="11">
        <f>IF(Time!AD25&gt;0,Inputs!$F$173/100*Operations!AD50*(AD8+AD9)/Time!AD25,0)</f>
        <v/>
      </c>
      <c r="AE26" s="11">
        <f>IF(Time!AE25&gt;0,Inputs!$F$173/100*Operations!AE50*(AE8+AE9)/Time!AE25,0)</f>
        <v/>
      </c>
      <c r="AF26" s="11">
        <f>IF(Time!AF25&gt;0,Inputs!$F$173/100*Operations!AF50*(AF8+AF9)/Time!AF25,0)</f>
        <v/>
      </c>
      <c r="AG26" s="11">
        <f>IF(Time!AG25&gt;0,Inputs!$F$173/100*Operations!AG50*(AG8+AG9)/Time!AG25,0)</f>
        <v/>
      </c>
      <c r="AH26" s="11">
        <f>IF(Time!AH25&gt;0,Inputs!$F$173/100*Operations!AH50*(AH8+AH9)/Time!AH25,0)</f>
        <v/>
      </c>
      <c r="AI26" s="11">
        <f>IF(Time!AI25&gt;0,Inputs!$F$173/100*Operations!AI50*(AI8+AI9)/Time!AI25,0)</f>
        <v/>
      </c>
      <c r="AJ26" s="11">
        <f>IF(Time!AJ25&gt;0,Inputs!$F$173/100*Operations!AJ50*(AJ8+AJ9)/Time!AJ25,0)</f>
        <v/>
      </c>
      <c r="AK26" s="11">
        <f>IF(Time!AK25&gt;0,Inputs!$F$173/100*Operations!AK50*(AK8+AK9)/Time!AK25,0)</f>
        <v/>
      </c>
      <c r="AL26" s="11">
        <f>IF(Time!AL25&gt;0,Inputs!$F$173/100*Operations!AL50*(AL8+AL9)/Time!AL25,0)</f>
        <v/>
      </c>
      <c r="AM26" s="11">
        <f>IF(Time!AM25&gt;0,Inputs!$F$173/100*Operations!AM50*(AM8+AM9)/Time!AM25,0)</f>
        <v/>
      </c>
      <c r="AN26" s="11">
        <f>IF(Time!AN25&gt;0,Inputs!$F$173/100*Operations!AN50*(AN8+AN9)/Time!AN25,0)</f>
        <v/>
      </c>
      <c r="AO26" s="11">
        <f>IF(Time!AO25&gt;0,Inputs!$F$173/100*Operations!AO50*(AO8+AO9)/Time!AO25,0)</f>
        <v/>
      </c>
      <c r="AP26" s="11">
        <f>IF(Time!AP25&gt;0,Inputs!$F$173/100*Operations!AP50*(AP8+AP9)/Time!AP25,0)</f>
        <v/>
      </c>
      <c r="AQ26" s="11">
        <f>IF(Time!AQ25&gt;0,Inputs!$F$173/100*Operations!AQ50*(AQ8+AQ9)/Time!AQ25,0)</f>
        <v/>
      </c>
      <c r="AR26" s="11">
        <f>IF(Time!AR25&gt;0,Inputs!$F$173/100*Operations!AR50*(AR8+AR9)/Time!AR25,0)</f>
        <v/>
      </c>
      <c r="AS26" s="11">
        <f>IF(Time!AS25&gt;0,Inputs!$F$173/100*Operations!AS50*(AS8+AS9)/Time!AS25,0)</f>
        <v/>
      </c>
      <c r="AT26" s="11">
        <f>IF(Time!AT25&gt;0,Inputs!$F$173/100*Operations!AT50*(AT8+AT9)/Time!AT25,0)</f>
        <v/>
      </c>
      <c r="AU26" s="11">
        <f>IF(Time!AU25&gt;0,Inputs!$F$173/100*Operations!AU50*(AU8+AU9)/Time!AU25,0)</f>
        <v/>
      </c>
      <c r="AV26" s="11">
        <f>IF(Time!AV25&gt;0,Inputs!$F$173/100*Operations!AV50*(AV8+AV9)/Time!AV25,0)</f>
        <v/>
      </c>
      <c r="AW26" s="11">
        <f>IF(Time!AW25&gt;0,Inputs!$F$173/100*Operations!AW50*(AW8+AW9)/Time!AW25,0)</f>
        <v/>
      </c>
      <c r="AX26" s="11">
        <f>IF(Time!AX25&gt;0,Inputs!$F$173/100*Operations!AX50*(AX8+AX9)/Time!AX25,0)</f>
        <v/>
      </c>
      <c r="AY26" s="11">
        <f>IF(Time!AY25&gt;0,Inputs!$F$173/100*Operations!AY50*(AY8+AY9)/Time!AY25,0)</f>
        <v/>
      </c>
      <c r="AZ26" s="11">
        <f>IF(Time!AZ25&gt;0,Inputs!$F$173/100*Operations!AZ50*(AZ8+AZ9)/Time!AZ25,0)</f>
        <v/>
      </c>
      <c r="BA26" s="11">
        <f>IF(Time!BA25&gt;0,Inputs!$F$173/100*Operations!BA50*(BA8+BA9)/Time!BA25,0)</f>
        <v/>
      </c>
      <c r="BB26" s="11">
        <f>IF(Time!BB25&gt;0,Inputs!$F$173/100*Operations!BB50*(BB8+BB9)/Time!BB25,0)</f>
        <v/>
      </c>
      <c r="BC26" s="11">
        <f>IF(Time!BC25&gt;0,Inputs!$F$173/100*Operations!BC50*(BC8+BC9)/Time!BC25,0)</f>
        <v/>
      </c>
      <c r="BD26" s="11">
        <f>IF(Time!BD25&gt;0,Inputs!$F$173/100*Operations!BD50*(BD8+BD9)/Time!BD25,0)</f>
        <v/>
      </c>
      <c r="BE26" s="11">
        <f>IF(Time!BE25&gt;0,Inputs!$F$173/100*Operations!BE50*(BE8+BE9)/Time!BE25,0)</f>
        <v/>
      </c>
      <c r="BF26" s="11">
        <f>IF(Time!BF25&gt;0,Inputs!$F$173/100*Operations!BF50*(BF8+BF9)/Time!BF25,0)</f>
        <v/>
      </c>
      <c r="BG26" s="11">
        <f>IF(Time!BG25&gt;0,Inputs!$F$173/100*Operations!BG50*(BG8+BG9)/Time!BG25,0)</f>
        <v/>
      </c>
      <c r="BH26" s="11">
        <f>IF(Time!BH25&gt;0,Inputs!$F$173/100*Operations!BH50*(BH8+BH9)/Time!BH25,0)</f>
        <v/>
      </c>
      <c r="BI26" s="11">
        <f>IF(Time!BI25&gt;0,Inputs!$F$173/100*Operations!BI50*(BI8+BI9)/Time!BI25,0)</f>
        <v/>
      </c>
      <c r="BJ26" s="11">
        <f>IF(Time!BJ25&gt;0,Inputs!$F$173/100*Operations!BJ50*(BJ8+BJ9)/Time!BJ25,0)</f>
        <v/>
      </c>
      <c r="BK26" s="11">
        <f>IF(Time!BK25&gt;0,Inputs!$F$173/100*Operations!BK50*(BK8+BK9)/Time!BK25,0)</f>
        <v/>
      </c>
      <c r="BL26" s="11">
        <f>IF(Time!BL25&gt;0,Inputs!$F$173/100*Operations!BL50*(BL8+BL9)/Time!BL25,0)</f>
        <v/>
      </c>
      <c r="BM26" s="11">
        <f>IF(Time!BM25&gt;0,Inputs!$F$173/100*Operations!BM50*(BM8+BM9)/Time!BM25,0)</f>
        <v/>
      </c>
      <c r="BN26" s="11">
        <f>IF(Time!BN25&gt;0,Inputs!$F$173/100*Operations!BN50*(BN8+BN9)/Time!BN25,0)</f>
        <v/>
      </c>
    </row>
    <row r="27">
      <c r="D27" t="inlineStr">
        <is>
          <t>Tax paid = max(CIT, MTT)</t>
        </is>
      </c>
      <c r="E27" t="inlineStr">
        <is>
          <t>USD m</t>
        </is>
      </c>
      <c r="G27" s="11">
        <f>SUM(J27:BN27)</f>
        <v/>
      </c>
      <c r="J27" s="11">
        <f>MAX(J25,J26)</f>
        <v/>
      </c>
      <c r="K27" s="11">
        <f>MAX(K25,K26)</f>
        <v/>
      </c>
      <c r="L27" s="11">
        <f>MAX(L25,L26)</f>
        <v/>
      </c>
      <c r="M27" s="11">
        <f>MAX(M25,M26)</f>
        <v/>
      </c>
      <c r="N27" s="11">
        <f>MAX(N25,N26)</f>
        <v/>
      </c>
      <c r="O27" s="11">
        <f>MAX(O25,O26)</f>
        <v/>
      </c>
      <c r="P27" s="11">
        <f>MAX(P25,P26)</f>
        <v/>
      </c>
      <c r="Q27" s="11">
        <f>MAX(Q25,Q26)</f>
        <v/>
      </c>
      <c r="R27" s="11">
        <f>MAX(R25,R26)</f>
        <v/>
      </c>
      <c r="S27" s="11">
        <f>MAX(S25,S26)</f>
        <v/>
      </c>
      <c r="T27" s="11">
        <f>MAX(T25,T26)</f>
        <v/>
      </c>
      <c r="U27" s="11">
        <f>MAX(U25,U26)</f>
        <v/>
      </c>
      <c r="V27" s="11">
        <f>MAX(V25,V26)</f>
        <v/>
      </c>
      <c r="W27" s="11">
        <f>MAX(W25,W26)</f>
        <v/>
      </c>
      <c r="X27" s="11">
        <f>MAX(X25,X26)</f>
        <v/>
      </c>
      <c r="Y27" s="11">
        <f>MAX(Y25,Y26)</f>
        <v/>
      </c>
      <c r="Z27" s="11">
        <f>MAX(Z25,Z26)</f>
        <v/>
      </c>
      <c r="AA27" s="11">
        <f>MAX(AA25,AA26)</f>
        <v/>
      </c>
      <c r="AB27" s="11">
        <f>MAX(AB25,AB26)</f>
        <v/>
      </c>
      <c r="AC27" s="11">
        <f>MAX(AC25,AC26)</f>
        <v/>
      </c>
      <c r="AD27" s="11">
        <f>MAX(AD25,AD26)</f>
        <v/>
      </c>
      <c r="AE27" s="11">
        <f>MAX(AE25,AE26)</f>
        <v/>
      </c>
      <c r="AF27" s="11">
        <f>MAX(AF25,AF26)</f>
        <v/>
      </c>
      <c r="AG27" s="11">
        <f>MAX(AG25,AG26)</f>
        <v/>
      </c>
      <c r="AH27" s="11">
        <f>MAX(AH25,AH26)</f>
        <v/>
      </c>
      <c r="AI27" s="11">
        <f>MAX(AI25,AI26)</f>
        <v/>
      </c>
      <c r="AJ27" s="11">
        <f>MAX(AJ25,AJ26)</f>
        <v/>
      </c>
      <c r="AK27" s="11">
        <f>MAX(AK25,AK26)</f>
        <v/>
      </c>
      <c r="AL27" s="11">
        <f>MAX(AL25,AL26)</f>
        <v/>
      </c>
      <c r="AM27" s="11">
        <f>MAX(AM25,AM26)</f>
        <v/>
      </c>
      <c r="AN27" s="11">
        <f>MAX(AN25,AN26)</f>
        <v/>
      </c>
      <c r="AO27" s="11">
        <f>MAX(AO25,AO26)</f>
        <v/>
      </c>
      <c r="AP27" s="11">
        <f>MAX(AP25,AP26)</f>
        <v/>
      </c>
      <c r="AQ27" s="11">
        <f>MAX(AQ25,AQ26)</f>
        <v/>
      </c>
      <c r="AR27" s="11">
        <f>MAX(AR25,AR26)</f>
        <v/>
      </c>
      <c r="AS27" s="11">
        <f>MAX(AS25,AS26)</f>
        <v/>
      </c>
      <c r="AT27" s="11">
        <f>MAX(AT25,AT26)</f>
        <v/>
      </c>
      <c r="AU27" s="11">
        <f>MAX(AU25,AU26)</f>
        <v/>
      </c>
      <c r="AV27" s="11">
        <f>MAX(AV25,AV26)</f>
        <v/>
      </c>
      <c r="AW27" s="11">
        <f>MAX(AW25,AW26)</f>
        <v/>
      </c>
      <c r="AX27" s="11">
        <f>MAX(AX25,AX26)</f>
        <v/>
      </c>
      <c r="AY27" s="11">
        <f>MAX(AY25,AY26)</f>
        <v/>
      </c>
      <c r="AZ27" s="11">
        <f>MAX(AZ25,AZ26)</f>
        <v/>
      </c>
      <c r="BA27" s="11">
        <f>MAX(BA25,BA26)</f>
        <v/>
      </c>
      <c r="BB27" s="11">
        <f>MAX(BB25,BB26)</f>
        <v/>
      </c>
      <c r="BC27" s="11">
        <f>MAX(BC25,BC26)</f>
        <v/>
      </c>
      <c r="BD27" s="11">
        <f>MAX(BD25,BD26)</f>
        <v/>
      </c>
      <c r="BE27" s="11">
        <f>MAX(BE25,BE26)</f>
        <v/>
      </c>
      <c r="BF27" s="11">
        <f>MAX(BF25,BF26)</f>
        <v/>
      </c>
      <c r="BG27" s="11">
        <f>MAX(BG25,BG26)</f>
        <v/>
      </c>
      <c r="BH27" s="11">
        <f>MAX(BH25,BH26)</f>
        <v/>
      </c>
      <c r="BI27" s="11">
        <f>MAX(BI25,BI26)</f>
        <v/>
      </c>
      <c r="BJ27" s="11">
        <f>MAX(BJ25,BJ26)</f>
        <v/>
      </c>
      <c r="BK27" s="11">
        <f>MAX(BK25,BK26)</f>
        <v/>
      </c>
      <c r="BL27" s="11">
        <f>MAX(BL25,BL26)</f>
        <v/>
      </c>
      <c r="BM27" s="11">
        <f>MAX(BM25,BM26)</f>
        <v/>
      </c>
      <c r="BN27" s="11">
        <f>MAX(BN25,BN26)</f>
        <v/>
      </c>
    </row>
    <row r="28">
      <c r="D28" t="inlineStr">
        <is>
          <t>Thin-cap disallowance</t>
        </is>
      </c>
      <c r="E28" t="inlineStr">
        <is>
          <t>USD m</t>
        </is>
      </c>
      <c r="G28" s="11">
        <f>SUM(J28:BN28)</f>
        <v/>
      </c>
      <c r="J28" s="11">
        <f>J13-J15</f>
        <v/>
      </c>
      <c r="K28" s="11">
        <f>K13-K15</f>
        <v/>
      </c>
      <c r="L28" s="11">
        <f>L13-L15</f>
        <v/>
      </c>
      <c r="M28" s="11">
        <f>M13-M15</f>
        <v/>
      </c>
      <c r="N28" s="11">
        <f>N13-N15</f>
        <v/>
      </c>
      <c r="O28" s="11">
        <f>O13-O15</f>
        <v/>
      </c>
      <c r="P28" s="11">
        <f>P13-P15</f>
        <v/>
      </c>
      <c r="Q28" s="11">
        <f>Q13-Q15</f>
        <v/>
      </c>
      <c r="R28" s="11">
        <f>R13-R15</f>
        <v/>
      </c>
      <c r="S28" s="11">
        <f>S13-S15</f>
        <v/>
      </c>
      <c r="T28" s="11">
        <f>T13-T15</f>
        <v/>
      </c>
      <c r="U28" s="11">
        <f>U13-U15</f>
        <v/>
      </c>
      <c r="V28" s="11">
        <f>V13-V15</f>
        <v/>
      </c>
      <c r="W28" s="11">
        <f>W13-W15</f>
        <v/>
      </c>
      <c r="X28" s="11">
        <f>X13-X15</f>
        <v/>
      </c>
      <c r="Y28" s="11">
        <f>Y13-Y15</f>
        <v/>
      </c>
      <c r="Z28" s="11">
        <f>Z13-Z15</f>
        <v/>
      </c>
      <c r="AA28" s="11">
        <f>AA13-AA15</f>
        <v/>
      </c>
      <c r="AB28" s="11">
        <f>AB13-AB15</f>
        <v/>
      </c>
      <c r="AC28" s="11">
        <f>AC13-AC15</f>
        <v/>
      </c>
      <c r="AD28" s="11">
        <f>AD13-AD15</f>
        <v/>
      </c>
      <c r="AE28" s="11">
        <f>AE13-AE15</f>
        <v/>
      </c>
      <c r="AF28" s="11">
        <f>AF13-AF15</f>
        <v/>
      </c>
      <c r="AG28" s="11">
        <f>AG13-AG15</f>
        <v/>
      </c>
      <c r="AH28" s="11">
        <f>AH13-AH15</f>
        <v/>
      </c>
      <c r="AI28" s="11">
        <f>AI13-AI15</f>
        <v/>
      </c>
      <c r="AJ28" s="11">
        <f>AJ13-AJ15</f>
        <v/>
      </c>
      <c r="AK28" s="11">
        <f>AK13-AK15</f>
        <v/>
      </c>
      <c r="AL28" s="11">
        <f>AL13-AL15</f>
        <v/>
      </c>
      <c r="AM28" s="11">
        <f>AM13-AM15</f>
        <v/>
      </c>
      <c r="AN28" s="11">
        <f>AN13-AN15</f>
        <v/>
      </c>
      <c r="AO28" s="11">
        <f>AO13-AO15</f>
        <v/>
      </c>
      <c r="AP28" s="11">
        <f>AP13-AP15</f>
        <v/>
      </c>
      <c r="AQ28" s="11">
        <f>AQ13-AQ15</f>
        <v/>
      </c>
      <c r="AR28" s="11">
        <f>AR13-AR15</f>
        <v/>
      </c>
      <c r="AS28" s="11">
        <f>AS13-AS15</f>
        <v/>
      </c>
      <c r="AT28" s="11">
        <f>AT13-AT15</f>
        <v/>
      </c>
      <c r="AU28" s="11">
        <f>AU13-AU15</f>
        <v/>
      </c>
      <c r="AV28" s="11">
        <f>AV13-AV15</f>
        <v/>
      </c>
      <c r="AW28" s="11">
        <f>AW13-AW15</f>
        <v/>
      </c>
      <c r="AX28" s="11">
        <f>AX13-AX15</f>
        <v/>
      </c>
      <c r="AY28" s="11">
        <f>AY13-AY15</f>
        <v/>
      </c>
      <c r="AZ28" s="11">
        <f>AZ13-AZ15</f>
        <v/>
      </c>
      <c r="BA28" s="11">
        <f>BA13-BA15</f>
        <v/>
      </c>
      <c r="BB28" s="11">
        <f>BB13-BB15</f>
        <v/>
      </c>
      <c r="BC28" s="11">
        <f>BC13-BC15</f>
        <v/>
      </c>
      <c r="BD28" s="11">
        <f>BD13-BD15</f>
        <v/>
      </c>
      <c r="BE28" s="11">
        <f>BE13-BE15</f>
        <v/>
      </c>
      <c r="BF28" s="11">
        <f>BF13-BF15</f>
        <v/>
      </c>
      <c r="BG28" s="11">
        <f>BG13-BG15</f>
        <v/>
      </c>
      <c r="BH28" s="11">
        <f>BH13-BH15</f>
        <v/>
      </c>
      <c r="BI28" s="11">
        <f>BI13-BI15</f>
        <v/>
      </c>
      <c r="BJ28" s="11">
        <f>BJ13-BJ15</f>
        <v/>
      </c>
      <c r="BK28" s="11">
        <f>BK13-BK15</f>
        <v/>
      </c>
      <c r="BL28" s="11">
        <f>BL13-BL15</f>
        <v/>
      </c>
      <c r="BM28" s="11">
        <f>BM13-BM15</f>
        <v/>
      </c>
      <c r="BN28" s="11">
        <f>BN13-BN15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J76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Funding: closed-form gross-up, drawdowns by tranche, IDC, fees, equity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3" t="inlineStr">
        <is>
          <t>2018-08</t>
        </is>
      </c>
      <c r="K5" s="3" t="inlineStr">
        <is>
          <t>2018-09</t>
        </is>
      </c>
      <c r="L5" s="3" t="inlineStr">
        <is>
          <t>2018-10</t>
        </is>
      </c>
      <c r="M5" s="3" t="inlineStr">
        <is>
          <t>2018-11</t>
        </is>
      </c>
      <c r="N5" s="3" t="inlineStr">
        <is>
          <t>2018-12</t>
        </is>
      </c>
      <c r="O5" s="3" t="inlineStr">
        <is>
          <t>2019-01</t>
        </is>
      </c>
      <c r="P5" s="3" t="inlineStr">
        <is>
          <t>2019-02</t>
        </is>
      </c>
      <c r="Q5" s="3" t="inlineStr">
        <is>
          <t>2019-03</t>
        </is>
      </c>
      <c r="R5" s="3" t="inlineStr">
        <is>
          <t>2019-04</t>
        </is>
      </c>
      <c r="S5" s="3" t="inlineStr">
        <is>
          <t>2019-05</t>
        </is>
      </c>
      <c r="T5" s="3" t="inlineStr">
        <is>
          <t>2019-06</t>
        </is>
      </c>
      <c r="U5" s="3" t="inlineStr">
        <is>
          <t>2019-07</t>
        </is>
      </c>
      <c r="V5" s="3" t="inlineStr">
        <is>
          <t>2019-08</t>
        </is>
      </c>
      <c r="W5" s="3" t="inlineStr">
        <is>
          <t>2019-09</t>
        </is>
      </c>
      <c r="X5" s="3" t="inlineStr">
        <is>
          <t>2019-10</t>
        </is>
      </c>
      <c r="Y5" s="3" t="inlineStr">
        <is>
          <t>2019-11</t>
        </is>
      </c>
      <c r="Z5" s="3" t="inlineStr">
        <is>
          <t>2019-12</t>
        </is>
      </c>
      <c r="AA5" s="3" t="inlineStr">
        <is>
          <t>2020-01</t>
        </is>
      </c>
      <c r="AB5" s="3" t="inlineStr">
        <is>
          <t>2020-02</t>
        </is>
      </c>
      <c r="AC5" s="3" t="inlineStr">
        <is>
          <t>2020-03</t>
        </is>
      </c>
      <c r="AD5" s="3" t="inlineStr">
        <is>
          <t>2020-04</t>
        </is>
      </c>
      <c r="AE5" s="3" t="inlineStr">
        <is>
          <t>2020-05</t>
        </is>
      </c>
      <c r="AF5" s="3" t="inlineStr">
        <is>
          <t>2020-06</t>
        </is>
      </c>
      <c r="AG5" s="3" t="inlineStr">
        <is>
          <t>2020-07</t>
        </is>
      </c>
      <c r="AH5" s="3" t="inlineStr">
        <is>
          <t>2020-08</t>
        </is>
      </c>
      <c r="AI5" s="3" t="inlineStr">
        <is>
          <t>2020-09</t>
        </is>
      </c>
      <c r="AJ5" s="3" t="inlineStr">
        <is>
          <t>2020-10</t>
        </is>
      </c>
      <c r="AK5" s="3" t="inlineStr">
        <is>
          <t>2020-11</t>
        </is>
      </c>
      <c r="AL5" s="3" t="inlineStr">
        <is>
          <t>2020-12</t>
        </is>
      </c>
      <c r="AM5" s="3" t="inlineStr">
        <is>
          <t>2021-01</t>
        </is>
      </c>
      <c r="AN5" s="3" t="inlineStr">
        <is>
          <t>2021-02</t>
        </is>
      </c>
      <c r="AO5" s="3" t="inlineStr">
        <is>
          <t>2021-03</t>
        </is>
      </c>
      <c r="AP5" s="3" t="inlineStr">
        <is>
          <t>2021-04</t>
        </is>
      </c>
      <c r="AQ5" s="3" t="inlineStr">
        <is>
          <t>2021-05</t>
        </is>
      </c>
      <c r="AR5" s="3" t="inlineStr">
        <is>
          <t>2021-06</t>
        </is>
      </c>
      <c r="AS5" s="3" t="inlineStr">
        <is>
          <t>2021-07</t>
        </is>
      </c>
      <c r="AT5" s="3" t="inlineStr">
        <is>
          <t>2021-08</t>
        </is>
      </c>
      <c r="AU5" s="3" t="inlineStr">
        <is>
          <t>2021-09</t>
        </is>
      </c>
      <c r="AV5" s="3" t="inlineStr">
        <is>
          <t>2021-10</t>
        </is>
      </c>
      <c r="AW5" s="3" t="inlineStr">
        <is>
          <t>2021-11</t>
        </is>
      </c>
      <c r="AX5" s="3" t="inlineStr">
        <is>
          <t>2021-12</t>
        </is>
      </c>
      <c r="AY5" s="3" t="inlineStr">
        <is>
          <t>2022-01</t>
        </is>
      </c>
      <c r="AZ5" s="3" t="inlineStr">
        <is>
          <t>2022-02</t>
        </is>
      </c>
      <c r="BA5" s="3" t="inlineStr">
        <is>
          <t>2022-03</t>
        </is>
      </c>
      <c r="BB5" s="3" t="inlineStr">
        <is>
          <t>2022-04</t>
        </is>
      </c>
      <c r="BC5" s="3" t="inlineStr">
        <is>
          <t>2022-05</t>
        </is>
      </c>
      <c r="BD5" s="3" t="inlineStr">
        <is>
          <t>2022-06</t>
        </is>
      </c>
      <c r="BE5" s="3" t="inlineStr">
        <is>
          <t>2022-07</t>
        </is>
      </c>
      <c r="BF5" s="3" t="inlineStr">
        <is>
          <t>2022-08</t>
        </is>
      </c>
      <c r="BG5" s="3" t="inlineStr">
        <is>
          <t>2022-09</t>
        </is>
      </c>
      <c r="BH5" s="3" t="inlineStr">
        <is>
          <t>2022-10</t>
        </is>
      </c>
      <c r="BI5" s="3" t="inlineStr">
        <is>
          <t>2022-11</t>
        </is>
      </c>
      <c r="BJ5" s="3" t="inlineStr">
        <is>
          <t>2022-12</t>
        </is>
      </c>
    </row>
    <row r="7">
      <c r="B7" s="2" t="inlineStr">
        <is>
          <t>Constants</t>
        </is>
      </c>
    </row>
    <row r="8">
      <c r="D8" t="inlineStr">
        <is>
          <t>Contract debt share of funding g = D/(D+E)</t>
        </is>
      </c>
      <c r="E8" t="inlineStr">
        <is>
          <t>fraction</t>
        </is>
      </c>
      <c r="F8" s="10">
        <f>Inputs!$F$111/(Inputs!$F$111+Inputs!$F$112)</f>
        <v/>
      </c>
    </row>
    <row r="9">
      <c r="D9" t="inlineStr">
        <is>
          <t>Gearing used in the closed-form gross-up</t>
        </is>
      </c>
      <c r="E9" t="inlineStr">
        <is>
          <t>fraction</t>
        </is>
      </c>
      <c r="F9" s="10">
        <f>IF(Inputs!$F$50=2,Funding!$F$8,Inputs!$F$103)</f>
        <v/>
      </c>
    </row>
    <row r="10">
      <c r="D10" t="inlineStr">
        <is>
          <t>ECA premium gross-up denominator 1 - prem x share x g</t>
        </is>
      </c>
      <c r="E10" t="inlineStr">
        <is>
          <t>factor</t>
        </is>
      </c>
      <c r="F10" s="10">
        <f>1-Inputs!$F$92/100*Inputs!$F$73*Funding!$F$9</f>
        <v/>
      </c>
    </row>
    <row r="11">
      <c r="D11" t="inlineStr">
        <is>
          <t>First installment share of remaining profile</t>
        </is>
      </c>
      <c r="E11" t="inlineStr">
        <is>
          <t>fraction</t>
        </is>
      </c>
      <c r="F11" s="10">
        <f>INDEX(Debt!$J$17:$BN$17,1,Time!$F$12)/INDEX(Debt!$J$18:$BN$18,1,Time!$F$12)</f>
        <v/>
      </c>
    </row>
    <row r="12">
      <c r="D12" t="inlineStr">
        <is>
          <t>DSRA coefficient per USD of E balance</t>
        </is>
      </c>
      <c r="E12" t="inlineStr">
        <is>
          <t>factor</t>
        </is>
      </c>
      <c r="F12" s="10">
        <f>$F$11+(INDEX(Operations!$J$9:$BN$9,1,Time!$F$12)+Inputs!$F$77)/100*INDEX(Time!$J$20:$BN$20,1,Time!$F$12)/360*1</f>
        <v/>
      </c>
    </row>
    <row r="13">
      <c r="D13" t="inlineStr">
        <is>
          <t>DSRA coefficient per USD of A balance</t>
        </is>
      </c>
      <c r="E13" t="inlineStr">
        <is>
          <t>factor</t>
        </is>
      </c>
      <c r="F13" s="10">
        <f>$F$11+(INDEX(Operations!$J$9:$BN$9,1,Time!$F$12)+Inputs!$F$78)/100*INDEX(Time!$J$20:$BN$20,1,Time!$F$12)/360*1</f>
        <v/>
      </c>
    </row>
    <row r="14">
      <c r="D14" t="inlineStr">
        <is>
          <t>DSRA coefficient per USD of B balance</t>
        </is>
      </c>
      <c r="E14" t="inlineStr">
        <is>
          <t>factor</t>
        </is>
      </c>
      <c r="F14" s="10">
        <f>$F$11+(INDEX(Operations!$J$9:$BN$9,1,Time!$F$12)+Inputs!$F$79)/100*INDEX(Time!$J$20:$BN$20,1,Time!$F$12)/360*1</f>
        <v/>
      </c>
    </row>
    <row r="15">
      <c r="D15" t="inlineStr">
        <is>
          <t>DSRA coefficient per USD of C balance</t>
        </is>
      </c>
      <c r="E15" t="inlineStr">
        <is>
          <t>factor</t>
        </is>
      </c>
      <c r="F15" s="10">
        <f>$F$11+(INDEX(Operations!$J$9:$BN$9,1,Time!$F$12)+INDEX(Debt!$J$8:$BN$8,1,Time!$F$12))/100*INDEX(Time!$J$20:$BN$20,1,Time!$F$12)/360*(1/(1-Inputs!$F$91/100))+(Inputs!$F$93/100*Inputs!$F$94/100)*INDEX(Time!$J$20:$BN$20,1,Time!$F$12)/365</f>
        <v/>
      </c>
    </row>
    <row r="16">
      <c r="D16" t="inlineStr">
        <is>
          <t>DSRA coefficient per USD of standby balance</t>
        </is>
      </c>
      <c r="E16" t="inlineStr">
        <is>
          <t>factor</t>
        </is>
      </c>
      <c r="F16" s="10">
        <f>$F$11+INDEX(Debt!$J$14:$BN$14,1,Time!$F$12)</f>
        <v/>
      </c>
    </row>
    <row r="17">
      <c r="D17" t="inlineStr">
        <is>
          <t>DSRA constant (swap net payment)</t>
        </is>
      </c>
      <c r="E17" t="inlineStr">
        <is>
          <t>USD m</t>
        </is>
      </c>
      <c r="F17" s="10">
        <f>INDEX(Inputs!$J$222:$BN$222,1,Time!$F$12)*(Inputs!$F$95/100*0.5-INDEX(Operations!$J$9:$BN$9,1,Time!$F$12)/100*INDEX(Time!$J$20:$BN$20,1,Time!$F$12)/360)</f>
        <v/>
      </c>
    </row>
    <row r="18">
      <c r="B18" s="2" t="inlineStr">
        <is>
          <t>Closed-form gross-up: debt balance = alpha + beta x T (FC-type cases)</t>
        </is>
      </c>
    </row>
    <row r="19">
      <c r="D19" t="inlineStr">
        <is>
          <t>Blended loan rate per month (rho)</t>
        </is>
      </c>
      <c r="E19" t="inlineStr">
        <is>
          <t>factor</t>
        </is>
      </c>
      <c r="J19" s="14">
        <f>Inputs!$F$73*(Construction!J17+Inputs!$F$77)/100*Construction!J11/360*1+Inputs!$F$74*(Construction!J17+Inputs!$F$78)/100*Construction!J11/360*1+Inputs!$F$75*(Construction!J17+Inputs!$F$79)/100*Construction!J11/360*1+Inputs!$F$76*(Construction!J17+Inputs!$F$80)/100*Construction!J11/360*(1/(1-Inputs!$F$91/100))+Inputs!$F$76*(Inputs!$F$93/100*Inputs!$F$94/100)*Construction!J11/365</f>
        <v/>
      </c>
      <c r="K19" s="14">
        <f>Inputs!$F$73*(Construction!K17+Inputs!$F$77)/100*Construction!K11/360*1+Inputs!$F$74*(Construction!K17+Inputs!$F$78)/100*Construction!K11/360*1+Inputs!$F$75*(Construction!K17+Inputs!$F$79)/100*Construction!K11/360*1+Inputs!$F$76*(Construction!K17+Inputs!$F$80)/100*Construction!K11/360*(1/(1-Inputs!$F$91/100))+Inputs!$F$76*(Inputs!$F$93/100*Inputs!$F$94/100)*Construction!K11/365</f>
        <v/>
      </c>
      <c r="L19" s="14">
        <f>Inputs!$F$73*(Construction!L17+Inputs!$F$77)/100*Construction!L11/360*1+Inputs!$F$74*(Construction!L17+Inputs!$F$78)/100*Construction!L11/360*1+Inputs!$F$75*(Construction!L17+Inputs!$F$79)/100*Construction!L11/360*1+Inputs!$F$76*(Construction!L17+Inputs!$F$80)/100*Construction!L11/360*(1/(1-Inputs!$F$91/100))+Inputs!$F$76*(Inputs!$F$93/100*Inputs!$F$94/100)*Construction!L11/365</f>
        <v/>
      </c>
      <c r="M19" s="14">
        <f>Inputs!$F$73*(Construction!M17+Inputs!$F$77)/100*Construction!M11/360*1+Inputs!$F$74*(Construction!M17+Inputs!$F$78)/100*Construction!M11/360*1+Inputs!$F$75*(Construction!M17+Inputs!$F$79)/100*Construction!M11/360*1+Inputs!$F$76*(Construction!M17+Inputs!$F$80)/100*Construction!M11/360*(1/(1-Inputs!$F$91/100))+Inputs!$F$76*(Inputs!$F$93/100*Inputs!$F$94/100)*Construction!M11/365</f>
        <v/>
      </c>
      <c r="N19" s="14">
        <f>Inputs!$F$73*(Construction!N17+Inputs!$F$77)/100*Construction!N11/360*1+Inputs!$F$74*(Construction!N17+Inputs!$F$78)/100*Construction!N11/360*1+Inputs!$F$75*(Construction!N17+Inputs!$F$79)/100*Construction!N11/360*1+Inputs!$F$76*(Construction!N17+Inputs!$F$80)/100*Construction!N11/360*(1/(1-Inputs!$F$91/100))+Inputs!$F$76*(Inputs!$F$93/100*Inputs!$F$94/100)*Construction!N11/365</f>
        <v/>
      </c>
      <c r="O19" s="14">
        <f>Inputs!$F$73*(Construction!O17+Inputs!$F$77)/100*Construction!O11/360*1+Inputs!$F$74*(Construction!O17+Inputs!$F$78)/100*Construction!O11/360*1+Inputs!$F$75*(Construction!O17+Inputs!$F$79)/100*Construction!O11/360*1+Inputs!$F$76*(Construction!O17+Inputs!$F$80)/100*Construction!O11/360*(1/(1-Inputs!$F$91/100))+Inputs!$F$76*(Inputs!$F$93/100*Inputs!$F$94/100)*Construction!O11/365</f>
        <v/>
      </c>
      <c r="P19" s="14">
        <f>Inputs!$F$73*(Construction!P17+Inputs!$F$77)/100*Construction!P11/360*1+Inputs!$F$74*(Construction!P17+Inputs!$F$78)/100*Construction!P11/360*1+Inputs!$F$75*(Construction!P17+Inputs!$F$79)/100*Construction!P11/360*1+Inputs!$F$76*(Construction!P17+Inputs!$F$80)/100*Construction!P11/360*(1/(1-Inputs!$F$91/100))+Inputs!$F$76*(Inputs!$F$93/100*Inputs!$F$94/100)*Construction!P11/365</f>
        <v/>
      </c>
      <c r="Q19" s="14">
        <f>Inputs!$F$73*(Construction!Q17+Inputs!$F$77)/100*Construction!Q11/360*1+Inputs!$F$74*(Construction!Q17+Inputs!$F$78)/100*Construction!Q11/360*1+Inputs!$F$75*(Construction!Q17+Inputs!$F$79)/100*Construction!Q11/360*1+Inputs!$F$76*(Construction!Q17+Inputs!$F$80)/100*Construction!Q11/360*(1/(1-Inputs!$F$91/100))+Inputs!$F$76*(Inputs!$F$93/100*Inputs!$F$94/100)*Construction!Q11/365</f>
        <v/>
      </c>
      <c r="R19" s="14">
        <f>Inputs!$F$73*(Construction!R17+Inputs!$F$77)/100*Construction!R11/360*1+Inputs!$F$74*(Construction!R17+Inputs!$F$78)/100*Construction!R11/360*1+Inputs!$F$75*(Construction!R17+Inputs!$F$79)/100*Construction!R11/360*1+Inputs!$F$76*(Construction!R17+Inputs!$F$80)/100*Construction!R11/360*(1/(1-Inputs!$F$91/100))+Inputs!$F$76*(Inputs!$F$93/100*Inputs!$F$94/100)*Construction!R11/365</f>
        <v/>
      </c>
      <c r="S19" s="14">
        <f>Inputs!$F$73*(Construction!S17+Inputs!$F$77)/100*Construction!S11/360*1+Inputs!$F$74*(Construction!S17+Inputs!$F$78)/100*Construction!S11/360*1+Inputs!$F$75*(Construction!S17+Inputs!$F$79)/100*Construction!S11/360*1+Inputs!$F$76*(Construction!S17+Inputs!$F$80)/100*Construction!S11/360*(1/(1-Inputs!$F$91/100))+Inputs!$F$76*(Inputs!$F$93/100*Inputs!$F$94/100)*Construction!S11/365</f>
        <v/>
      </c>
      <c r="T19" s="14">
        <f>Inputs!$F$73*(Construction!T17+Inputs!$F$77)/100*Construction!T11/360*1+Inputs!$F$74*(Construction!T17+Inputs!$F$78)/100*Construction!T11/360*1+Inputs!$F$75*(Construction!T17+Inputs!$F$79)/100*Construction!T11/360*1+Inputs!$F$76*(Construction!T17+Inputs!$F$80)/100*Construction!T11/360*(1/(1-Inputs!$F$91/100))+Inputs!$F$76*(Inputs!$F$93/100*Inputs!$F$94/100)*Construction!T11/365</f>
        <v/>
      </c>
      <c r="U19" s="14">
        <f>Inputs!$F$73*(Construction!U17+Inputs!$F$77)/100*Construction!U11/360*1+Inputs!$F$74*(Construction!U17+Inputs!$F$78)/100*Construction!U11/360*1+Inputs!$F$75*(Construction!U17+Inputs!$F$79)/100*Construction!U11/360*1+Inputs!$F$76*(Construction!U17+Inputs!$F$80)/100*Construction!U11/360*(1/(1-Inputs!$F$91/100))+Inputs!$F$76*(Inputs!$F$93/100*Inputs!$F$94/100)*Construction!U11/365</f>
        <v/>
      </c>
      <c r="V19" s="14">
        <f>Inputs!$F$73*(Construction!V17+Inputs!$F$77)/100*Construction!V11/360*1+Inputs!$F$74*(Construction!V17+Inputs!$F$78)/100*Construction!V11/360*1+Inputs!$F$75*(Construction!V17+Inputs!$F$79)/100*Construction!V11/360*1+Inputs!$F$76*(Construction!V17+Inputs!$F$80)/100*Construction!V11/360*(1/(1-Inputs!$F$91/100))+Inputs!$F$76*(Inputs!$F$93/100*Inputs!$F$94/100)*Construction!V11/365</f>
        <v/>
      </c>
      <c r="W19" s="14">
        <f>Inputs!$F$73*(Construction!W17+Inputs!$F$77)/100*Construction!W11/360*1+Inputs!$F$74*(Construction!W17+Inputs!$F$78)/100*Construction!W11/360*1+Inputs!$F$75*(Construction!W17+Inputs!$F$79)/100*Construction!W11/360*1+Inputs!$F$76*(Construction!W17+Inputs!$F$80)/100*Construction!W11/360*(1/(1-Inputs!$F$91/100))+Inputs!$F$76*(Inputs!$F$93/100*Inputs!$F$94/100)*Construction!W11/365</f>
        <v/>
      </c>
      <c r="X19" s="14">
        <f>Inputs!$F$73*(Construction!X17+Inputs!$F$77)/100*Construction!X11/360*1+Inputs!$F$74*(Construction!X17+Inputs!$F$78)/100*Construction!X11/360*1+Inputs!$F$75*(Construction!X17+Inputs!$F$79)/100*Construction!X11/360*1+Inputs!$F$76*(Construction!X17+Inputs!$F$80)/100*Construction!X11/360*(1/(1-Inputs!$F$91/100))+Inputs!$F$76*(Inputs!$F$93/100*Inputs!$F$94/100)*Construction!X11/365</f>
        <v/>
      </c>
      <c r="Y19" s="14">
        <f>Inputs!$F$73*(Construction!Y17+Inputs!$F$77)/100*Construction!Y11/360*1+Inputs!$F$74*(Construction!Y17+Inputs!$F$78)/100*Construction!Y11/360*1+Inputs!$F$75*(Construction!Y17+Inputs!$F$79)/100*Construction!Y11/360*1+Inputs!$F$76*(Construction!Y17+Inputs!$F$80)/100*Construction!Y11/360*(1/(1-Inputs!$F$91/100))+Inputs!$F$76*(Inputs!$F$93/100*Inputs!$F$94/100)*Construction!Y11/365</f>
        <v/>
      </c>
      <c r="Z19" s="14">
        <f>Inputs!$F$73*(Construction!Z17+Inputs!$F$77)/100*Construction!Z11/360*1+Inputs!$F$74*(Construction!Z17+Inputs!$F$78)/100*Construction!Z11/360*1+Inputs!$F$75*(Construction!Z17+Inputs!$F$79)/100*Construction!Z11/360*1+Inputs!$F$76*(Construction!Z17+Inputs!$F$80)/100*Construction!Z11/360*(1/(1-Inputs!$F$91/100))+Inputs!$F$76*(Inputs!$F$93/100*Inputs!$F$94/100)*Construction!Z11/365</f>
        <v/>
      </c>
      <c r="AA19" s="14">
        <f>Inputs!$F$73*(Construction!AA17+Inputs!$F$77)/100*Construction!AA11/360*1+Inputs!$F$74*(Construction!AA17+Inputs!$F$78)/100*Construction!AA11/360*1+Inputs!$F$75*(Construction!AA17+Inputs!$F$79)/100*Construction!AA11/360*1+Inputs!$F$76*(Construction!AA17+Inputs!$F$80)/100*Construction!AA11/360*(1/(1-Inputs!$F$91/100))+Inputs!$F$76*(Inputs!$F$93/100*Inputs!$F$94/100)*Construction!AA11/365</f>
        <v/>
      </c>
      <c r="AB19" s="14">
        <f>Inputs!$F$73*(Construction!AB17+Inputs!$F$77)/100*Construction!AB11/360*1+Inputs!$F$74*(Construction!AB17+Inputs!$F$78)/100*Construction!AB11/360*1+Inputs!$F$75*(Construction!AB17+Inputs!$F$79)/100*Construction!AB11/360*1+Inputs!$F$76*(Construction!AB17+Inputs!$F$80)/100*Construction!AB11/360*(1/(1-Inputs!$F$91/100))+Inputs!$F$76*(Inputs!$F$93/100*Inputs!$F$94/100)*Construction!AB11/365</f>
        <v/>
      </c>
      <c r="AC19" s="14">
        <f>Inputs!$F$73*(Construction!AC17+Inputs!$F$77)/100*Construction!AC11/360*1+Inputs!$F$74*(Construction!AC17+Inputs!$F$78)/100*Construction!AC11/360*1+Inputs!$F$75*(Construction!AC17+Inputs!$F$79)/100*Construction!AC11/360*1+Inputs!$F$76*(Construction!AC17+Inputs!$F$80)/100*Construction!AC11/360*(1/(1-Inputs!$F$91/100))+Inputs!$F$76*(Inputs!$F$93/100*Inputs!$F$94/100)*Construction!AC11/365</f>
        <v/>
      </c>
      <c r="AD19" s="14">
        <f>Inputs!$F$73*(Construction!AD17+Inputs!$F$77)/100*Construction!AD11/360*1+Inputs!$F$74*(Construction!AD17+Inputs!$F$78)/100*Construction!AD11/360*1+Inputs!$F$75*(Construction!AD17+Inputs!$F$79)/100*Construction!AD11/360*1+Inputs!$F$76*(Construction!AD17+Inputs!$F$80)/100*Construction!AD11/360*(1/(1-Inputs!$F$91/100))+Inputs!$F$76*(Inputs!$F$93/100*Inputs!$F$94/100)*Construction!AD11/365</f>
        <v/>
      </c>
      <c r="AE19" s="14">
        <f>Inputs!$F$73*(Construction!AE17+Inputs!$F$77)/100*Construction!AE11/360*1+Inputs!$F$74*(Construction!AE17+Inputs!$F$78)/100*Construction!AE11/360*1+Inputs!$F$75*(Construction!AE17+Inputs!$F$79)/100*Construction!AE11/360*1+Inputs!$F$76*(Construction!AE17+Inputs!$F$80)/100*Construction!AE11/360*(1/(1-Inputs!$F$91/100))+Inputs!$F$76*(Inputs!$F$93/100*Inputs!$F$94/100)*Construction!AE11/365</f>
        <v/>
      </c>
      <c r="AF19" s="14">
        <f>Inputs!$F$73*(Construction!AF17+Inputs!$F$77)/100*Construction!AF11/360*1+Inputs!$F$74*(Construction!AF17+Inputs!$F$78)/100*Construction!AF11/360*1+Inputs!$F$75*(Construction!AF17+Inputs!$F$79)/100*Construction!AF11/360*1+Inputs!$F$76*(Construction!AF17+Inputs!$F$80)/100*Construction!AF11/360*(1/(1-Inputs!$F$91/100))+Inputs!$F$76*(Inputs!$F$93/100*Inputs!$F$94/100)*Construction!AF11/365</f>
        <v/>
      </c>
      <c r="AG19" s="14">
        <f>Inputs!$F$73*(Construction!AG17+Inputs!$F$77)/100*Construction!AG11/360*1+Inputs!$F$74*(Construction!AG17+Inputs!$F$78)/100*Construction!AG11/360*1+Inputs!$F$75*(Construction!AG17+Inputs!$F$79)/100*Construction!AG11/360*1+Inputs!$F$76*(Construction!AG17+Inputs!$F$80)/100*Construction!AG11/360*(1/(1-Inputs!$F$91/100))+Inputs!$F$76*(Inputs!$F$93/100*Inputs!$F$94/100)*Construction!AG11/365</f>
        <v/>
      </c>
      <c r="AH19" s="14">
        <f>Inputs!$F$73*(Construction!AH17+Inputs!$F$77)/100*Construction!AH11/360*1+Inputs!$F$74*(Construction!AH17+Inputs!$F$78)/100*Construction!AH11/360*1+Inputs!$F$75*(Construction!AH17+Inputs!$F$79)/100*Construction!AH11/360*1+Inputs!$F$76*(Construction!AH17+Inputs!$F$80)/100*Construction!AH11/360*(1/(1-Inputs!$F$91/100))+Inputs!$F$76*(Inputs!$F$93/100*Inputs!$F$94/100)*Construction!AH11/365</f>
        <v/>
      </c>
      <c r="AI19" s="14">
        <f>Inputs!$F$73*(Construction!AI17+Inputs!$F$77)/100*Construction!AI11/360*1+Inputs!$F$74*(Construction!AI17+Inputs!$F$78)/100*Construction!AI11/360*1+Inputs!$F$75*(Construction!AI17+Inputs!$F$79)/100*Construction!AI11/360*1+Inputs!$F$76*(Construction!AI17+Inputs!$F$80)/100*Construction!AI11/360*(1/(1-Inputs!$F$91/100))+Inputs!$F$76*(Inputs!$F$93/100*Inputs!$F$94/100)*Construction!AI11/365</f>
        <v/>
      </c>
      <c r="AJ19" s="14">
        <f>Inputs!$F$73*(Construction!AJ17+Inputs!$F$77)/100*Construction!AJ11/360*1+Inputs!$F$74*(Construction!AJ17+Inputs!$F$78)/100*Construction!AJ11/360*1+Inputs!$F$75*(Construction!AJ17+Inputs!$F$79)/100*Construction!AJ11/360*1+Inputs!$F$76*(Construction!AJ17+Inputs!$F$80)/100*Construction!AJ11/360*(1/(1-Inputs!$F$91/100))+Inputs!$F$76*(Inputs!$F$93/100*Inputs!$F$94/100)*Construction!AJ11/365</f>
        <v/>
      </c>
      <c r="AK19" s="14">
        <f>Inputs!$F$73*(Construction!AK17+Inputs!$F$77)/100*Construction!AK11/360*1+Inputs!$F$74*(Construction!AK17+Inputs!$F$78)/100*Construction!AK11/360*1+Inputs!$F$75*(Construction!AK17+Inputs!$F$79)/100*Construction!AK11/360*1+Inputs!$F$76*(Construction!AK17+Inputs!$F$80)/100*Construction!AK11/360*(1/(1-Inputs!$F$91/100))+Inputs!$F$76*(Inputs!$F$93/100*Inputs!$F$94/100)*Construction!AK11/365</f>
        <v/>
      </c>
      <c r="AL19" s="14">
        <f>Inputs!$F$73*(Construction!AL17+Inputs!$F$77)/100*Construction!AL11/360*1+Inputs!$F$74*(Construction!AL17+Inputs!$F$78)/100*Construction!AL11/360*1+Inputs!$F$75*(Construction!AL17+Inputs!$F$79)/100*Construction!AL11/360*1+Inputs!$F$76*(Construction!AL17+Inputs!$F$80)/100*Construction!AL11/360*(1/(1-Inputs!$F$91/100))+Inputs!$F$76*(Inputs!$F$93/100*Inputs!$F$94/100)*Construction!AL11/365</f>
        <v/>
      </c>
      <c r="AM19" s="14">
        <f>Inputs!$F$73*(Construction!AM17+Inputs!$F$77)/100*Construction!AM11/360*1+Inputs!$F$74*(Construction!AM17+Inputs!$F$78)/100*Construction!AM11/360*1+Inputs!$F$75*(Construction!AM17+Inputs!$F$79)/100*Construction!AM11/360*1+Inputs!$F$76*(Construction!AM17+Inputs!$F$80)/100*Construction!AM11/360*(1/(1-Inputs!$F$91/100))+Inputs!$F$76*(Inputs!$F$93/100*Inputs!$F$94/100)*Construction!AM11/365</f>
        <v/>
      </c>
      <c r="AN19" s="14">
        <f>Inputs!$F$73*(Construction!AN17+Inputs!$F$77)/100*Construction!AN11/360*1+Inputs!$F$74*(Construction!AN17+Inputs!$F$78)/100*Construction!AN11/360*1+Inputs!$F$75*(Construction!AN17+Inputs!$F$79)/100*Construction!AN11/360*1+Inputs!$F$76*(Construction!AN17+Inputs!$F$80)/100*Construction!AN11/360*(1/(1-Inputs!$F$91/100))+Inputs!$F$76*(Inputs!$F$93/100*Inputs!$F$94/100)*Construction!AN11/365</f>
        <v/>
      </c>
      <c r="AO19" s="14">
        <f>Inputs!$F$73*(Construction!AO17+Inputs!$F$77)/100*Construction!AO11/360*1+Inputs!$F$74*(Construction!AO17+Inputs!$F$78)/100*Construction!AO11/360*1+Inputs!$F$75*(Construction!AO17+Inputs!$F$79)/100*Construction!AO11/360*1+Inputs!$F$76*(Construction!AO17+Inputs!$F$80)/100*Construction!AO11/360*(1/(1-Inputs!$F$91/100))+Inputs!$F$76*(Inputs!$F$93/100*Inputs!$F$94/100)*Construction!AO11/365</f>
        <v/>
      </c>
      <c r="AP19" s="14">
        <f>Inputs!$F$73*(Construction!AP17+Inputs!$F$77)/100*Construction!AP11/360*1+Inputs!$F$74*(Construction!AP17+Inputs!$F$78)/100*Construction!AP11/360*1+Inputs!$F$75*(Construction!AP17+Inputs!$F$79)/100*Construction!AP11/360*1+Inputs!$F$76*(Construction!AP17+Inputs!$F$80)/100*Construction!AP11/360*(1/(1-Inputs!$F$91/100))+Inputs!$F$76*(Inputs!$F$93/100*Inputs!$F$94/100)*Construction!AP11/365</f>
        <v/>
      </c>
      <c r="AQ19" s="14">
        <f>Inputs!$F$73*(Construction!AQ17+Inputs!$F$77)/100*Construction!AQ11/360*1+Inputs!$F$74*(Construction!AQ17+Inputs!$F$78)/100*Construction!AQ11/360*1+Inputs!$F$75*(Construction!AQ17+Inputs!$F$79)/100*Construction!AQ11/360*1+Inputs!$F$76*(Construction!AQ17+Inputs!$F$80)/100*Construction!AQ11/360*(1/(1-Inputs!$F$91/100))+Inputs!$F$76*(Inputs!$F$93/100*Inputs!$F$94/100)*Construction!AQ11/365</f>
        <v/>
      </c>
      <c r="AR19" s="14">
        <f>Inputs!$F$73*(Construction!AR17+Inputs!$F$77)/100*Construction!AR11/360*1+Inputs!$F$74*(Construction!AR17+Inputs!$F$78)/100*Construction!AR11/360*1+Inputs!$F$75*(Construction!AR17+Inputs!$F$79)/100*Construction!AR11/360*1+Inputs!$F$76*(Construction!AR17+Inputs!$F$80)/100*Construction!AR11/360*(1/(1-Inputs!$F$91/100))+Inputs!$F$76*(Inputs!$F$93/100*Inputs!$F$94/100)*Construction!AR11/365</f>
        <v/>
      </c>
      <c r="AS19" s="14">
        <f>Inputs!$F$73*(Construction!AS17+Inputs!$F$77)/100*Construction!AS11/360*1+Inputs!$F$74*(Construction!AS17+Inputs!$F$78)/100*Construction!AS11/360*1+Inputs!$F$75*(Construction!AS17+Inputs!$F$79)/100*Construction!AS11/360*1+Inputs!$F$76*(Construction!AS17+Inputs!$F$80)/100*Construction!AS11/360*(1/(1-Inputs!$F$91/100))+Inputs!$F$76*(Inputs!$F$93/100*Inputs!$F$94/100)*Construction!AS11/365</f>
        <v/>
      </c>
      <c r="AT19" s="14">
        <f>Inputs!$F$73*(Construction!AT17+Inputs!$F$77)/100*Construction!AT11/360*1+Inputs!$F$74*(Construction!AT17+Inputs!$F$78)/100*Construction!AT11/360*1+Inputs!$F$75*(Construction!AT17+Inputs!$F$79)/100*Construction!AT11/360*1+Inputs!$F$76*(Construction!AT17+Inputs!$F$80)/100*Construction!AT11/360*(1/(1-Inputs!$F$91/100))+Inputs!$F$76*(Inputs!$F$93/100*Inputs!$F$94/100)*Construction!AT11/365</f>
        <v/>
      </c>
      <c r="AU19" s="14">
        <f>Inputs!$F$73*(Construction!AU17+Inputs!$F$77)/100*Construction!AU11/360*1+Inputs!$F$74*(Construction!AU17+Inputs!$F$78)/100*Construction!AU11/360*1+Inputs!$F$75*(Construction!AU17+Inputs!$F$79)/100*Construction!AU11/360*1+Inputs!$F$76*(Construction!AU17+Inputs!$F$80)/100*Construction!AU11/360*(1/(1-Inputs!$F$91/100))+Inputs!$F$76*(Inputs!$F$93/100*Inputs!$F$94/100)*Construction!AU11/365</f>
        <v/>
      </c>
      <c r="AV19" s="14">
        <f>Inputs!$F$73*(Construction!AV17+Inputs!$F$77)/100*Construction!AV11/360*1+Inputs!$F$74*(Construction!AV17+Inputs!$F$78)/100*Construction!AV11/360*1+Inputs!$F$75*(Construction!AV17+Inputs!$F$79)/100*Construction!AV11/360*1+Inputs!$F$76*(Construction!AV17+Inputs!$F$80)/100*Construction!AV11/360*(1/(1-Inputs!$F$91/100))+Inputs!$F$76*(Inputs!$F$93/100*Inputs!$F$94/100)*Construction!AV11/365</f>
        <v/>
      </c>
      <c r="AW19" s="14">
        <f>Inputs!$F$73*(Construction!AW17+Inputs!$F$77)/100*Construction!AW11/360*1+Inputs!$F$74*(Construction!AW17+Inputs!$F$78)/100*Construction!AW11/360*1+Inputs!$F$75*(Construction!AW17+Inputs!$F$79)/100*Construction!AW11/360*1+Inputs!$F$76*(Construction!AW17+Inputs!$F$80)/100*Construction!AW11/360*(1/(1-Inputs!$F$91/100))+Inputs!$F$76*(Inputs!$F$93/100*Inputs!$F$94/100)*Construction!AW11/365</f>
        <v/>
      </c>
      <c r="AX19" s="14">
        <f>Inputs!$F$73*(Construction!AX17+Inputs!$F$77)/100*Construction!AX11/360*1+Inputs!$F$74*(Construction!AX17+Inputs!$F$78)/100*Construction!AX11/360*1+Inputs!$F$75*(Construction!AX17+Inputs!$F$79)/100*Construction!AX11/360*1+Inputs!$F$76*(Construction!AX17+Inputs!$F$80)/100*Construction!AX11/360*(1/(1-Inputs!$F$91/100))+Inputs!$F$76*(Inputs!$F$93/100*Inputs!$F$94/100)*Construction!AX11/365</f>
        <v/>
      </c>
      <c r="AY19" s="14">
        <f>Inputs!$F$73*(Construction!AY17+Inputs!$F$77)/100*Construction!AY11/360*1+Inputs!$F$74*(Construction!AY17+Inputs!$F$78)/100*Construction!AY11/360*1+Inputs!$F$75*(Construction!AY17+Inputs!$F$79)/100*Construction!AY11/360*1+Inputs!$F$76*(Construction!AY17+Inputs!$F$80)/100*Construction!AY11/360*(1/(1-Inputs!$F$91/100))+Inputs!$F$76*(Inputs!$F$93/100*Inputs!$F$94/100)*Construction!AY11/365</f>
        <v/>
      </c>
      <c r="AZ19" s="14">
        <f>Inputs!$F$73*(Construction!AZ17+Inputs!$F$77)/100*Construction!AZ11/360*1+Inputs!$F$74*(Construction!AZ17+Inputs!$F$78)/100*Construction!AZ11/360*1+Inputs!$F$75*(Construction!AZ17+Inputs!$F$79)/100*Construction!AZ11/360*1+Inputs!$F$76*(Construction!AZ17+Inputs!$F$80)/100*Construction!AZ11/360*(1/(1-Inputs!$F$91/100))+Inputs!$F$76*(Inputs!$F$93/100*Inputs!$F$94/100)*Construction!AZ11/365</f>
        <v/>
      </c>
      <c r="BA19" s="14">
        <f>Inputs!$F$73*(Construction!BA17+Inputs!$F$77)/100*Construction!BA11/360*1+Inputs!$F$74*(Construction!BA17+Inputs!$F$78)/100*Construction!BA11/360*1+Inputs!$F$75*(Construction!BA17+Inputs!$F$79)/100*Construction!BA11/360*1+Inputs!$F$76*(Construction!BA17+Inputs!$F$80)/100*Construction!BA11/360*(1/(1-Inputs!$F$91/100))+Inputs!$F$76*(Inputs!$F$93/100*Inputs!$F$94/100)*Construction!BA11/365</f>
        <v/>
      </c>
      <c r="BB19" s="14">
        <f>Inputs!$F$73*(Construction!BB17+Inputs!$F$77)/100*Construction!BB11/360*1+Inputs!$F$74*(Construction!BB17+Inputs!$F$78)/100*Construction!BB11/360*1+Inputs!$F$75*(Construction!BB17+Inputs!$F$79)/100*Construction!BB11/360*1+Inputs!$F$76*(Construction!BB17+Inputs!$F$80)/100*Construction!BB11/360*(1/(1-Inputs!$F$91/100))+Inputs!$F$76*(Inputs!$F$93/100*Inputs!$F$94/100)*Construction!BB11/365</f>
        <v/>
      </c>
      <c r="BC19" s="14">
        <f>Inputs!$F$73*(Construction!BC17+Inputs!$F$77)/100*Construction!BC11/360*1+Inputs!$F$74*(Construction!BC17+Inputs!$F$78)/100*Construction!BC11/360*1+Inputs!$F$75*(Construction!BC17+Inputs!$F$79)/100*Construction!BC11/360*1+Inputs!$F$76*(Construction!BC17+Inputs!$F$80)/100*Construction!BC11/360*(1/(1-Inputs!$F$91/100))+Inputs!$F$76*(Inputs!$F$93/100*Inputs!$F$94/100)*Construction!BC11/365</f>
        <v/>
      </c>
      <c r="BD19" s="14">
        <f>Inputs!$F$73*(Construction!BD17+Inputs!$F$77)/100*Construction!BD11/360*1+Inputs!$F$74*(Construction!BD17+Inputs!$F$78)/100*Construction!BD11/360*1+Inputs!$F$75*(Construction!BD17+Inputs!$F$79)/100*Construction!BD11/360*1+Inputs!$F$76*(Construction!BD17+Inputs!$F$80)/100*Construction!BD11/360*(1/(1-Inputs!$F$91/100))+Inputs!$F$76*(Inputs!$F$93/100*Inputs!$F$94/100)*Construction!BD11/365</f>
        <v/>
      </c>
      <c r="BE19" s="14">
        <f>Inputs!$F$73*(Construction!BE17+Inputs!$F$77)/100*Construction!BE11/360*1+Inputs!$F$74*(Construction!BE17+Inputs!$F$78)/100*Construction!BE11/360*1+Inputs!$F$75*(Construction!BE17+Inputs!$F$79)/100*Construction!BE11/360*1+Inputs!$F$76*(Construction!BE17+Inputs!$F$80)/100*Construction!BE11/360*(1/(1-Inputs!$F$91/100))+Inputs!$F$76*(Inputs!$F$93/100*Inputs!$F$94/100)*Construction!BE11/365</f>
        <v/>
      </c>
      <c r="BF19" s="14">
        <f>Inputs!$F$73*(Construction!BF17+Inputs!$F$77)/100*Construction!BF11/360*1+Inputs!$F$74*(Construction!BF17+Inputs!$F$78)/100*Construction!BF11/360*1+Inputs!$F$75*(Construction!BF17+Inputs!$F$79)/100*Construction!BF11/360*1+Inputs!$F$76*(Construction!BF17+Inputs!$F$80)/100*Construction!BF11/360*(1/(1-Inputs!$F$91/100))+Inputs!$F$76*(Inputs!$F$93/100*Inputs!$F$94/100)*Construction!BF11/365</f>
        <v/>
      </c>
      <c r="BG19" s="14">
        <f>Inputs!$F$73*(Construction!BG17+Inputs!$F$77)/100*Construction!BG11/360*1+Inputs!$F$74*(Construction!BG17+Inputs!$F$78)/100*Construction!BG11/360*1+Inputs!$F$75*(Construction!BG17+Inputs!$F$79)/100*Construction!BG11/360*1+Inputs!$F$76*(Construction!BG17+Inputs!$F$80)/100*Construction!BG11/360*(1/(1-Inputs!$F$91/100))+Inputs!$F$76*(Inputs!$F$93/100*Inputs!$F$94/100)*Construction!BG11/365</f>
        <v/>
      </c>
      <c r="BH19" s="14">
        <f>Inputs!$F$73*(Construction!BH17+Inputs!$F$77)/100*Construction!BH11/360*1+Inputs!$F$74*(Construction!BH17+Inputs!$F$78)/100*Construction!BH11/360*1+Inputs!$F$75*(Construction!BH17+Inputs!$F$79)/100*Construction!BH11/360*1+Inputs!$F$76*(Construction!BH17+Inputs!$F$80)/100*Construction!BH11/360*(1/(1-Inputs!$F$91/100))+Inputs!$F$76*(Inputs!$F$93/100*Inputs!$F$94/100)*Construction!BH11/365</f>
        <v/>
      </c>
      <c r="BI19" s="14">
        <f>Inputs!$F$73*(Construction!BI17+Inputs!$F$77)/100*Construction!BI11/360*1+Inputs!$F$74*(Construction!BI17+Inputs!$F$78)/100*Construction!BI11/360*1+Inputs!$F$75*(Construction!BI17+Inputs!$F$79)/100*Construction!BI11/360*1+Inputs!$F$76*(Construction!BI17+Inputs!$F$80)/100*Construction!BI11/360*(1/(1-Inputs!$F$91/100))+Inputs!$F$76*(Inputs!$F$93/100*Inputs!$F$94/100)*Construction!BI11/365</f>
        <v/>
      </c>
      <c r="BJ19" s="14">
        <f>Inputs!$F$73*(Construction!BJ17+Inputs!$F$77)/100*Construction!BJ11/360*1+Inputs!$F$74*(Construction!BJ17+Inputs!$F$78)/100*Construction!BJ11/360*1+Inputs!$F$75*(Construction!BJ17+Inputs!$F$79)/100*Construction!BJ11/360*1+Inputs!$F$76*(Construction!BJ17+Inputs!$F$80)/100*Construction!BJ11/360*(1/(1-Inputs!$F$91/100))+Inputs!$F$76*(Inputs!$F$93/100*Inputs!$F$94/100)*Construction!BJ11/365</f>
        <v/>
      </c>
    </row>
    <row r="20">
      <c r="D20" t="inlineStr">
        <is>
          <t>Blended commitment fee per month (kappa)</t>
        </is>
      </c>
      <c r="E20" t="inlineStr">
        <is>
          <t>factor</t>
        </is>
      </c>
      <c r="J20" s="14">
        <f>Inputs!$F$73*Inputs!$F$83/100*Construction!J11/360+Inputs!$F$74*Inputs!$F$84/100*Construction!J11/360+Inputs!$F$75*Inputs!$F$85/100*Construction!J11/360+Inputs!$F$76*(Inputs!$F$86/100*Inputs!$F$80)/100*Construction!J11/360</f>
        <v/>
      </c>
      <c r="K20" s="14">
        <f>Inputs!$F$73*Inputs!$F$83/100*Construction!K11/360+Inputs!$F$74*Inputs!$F$84/100*Construction!K11/360+Inputs!$F$75*Inputs!$F$85/100*Construction!K11/360+Inputs!$F$76*(Inputs!$F$86/100*Inputs!$F$80)/100*Construction!K11/360</f>
        <v/>
      </c>
      <c r="L20" s="14">
        <f>Inputs!$F$73*Inputs!$F$83/100*Construction!L11/360+Inputs!$F$74*Inputs!$F$84/100*Construction!L11/360+Inputs!$F$75*Inputs!$F$85/100*Construction!L11/360+Inputs!$F$76*(Inputs!$F$86/100*Inputs!$F$80)/100*Construction!L11/360</f>
        <v/>
      </c>
      <c r="M20" s="14">
        <f>Inputs!$F$73*Inputs!$F$83/100*Construction!M11/360+Inputs!$F$74*Inputs!$F$84/100*Construction!M11/360+Inputs!$F$75*Inputs!$F$85/100*Construction!M11/360+Inputs!$F$76*(Inputs!$F$86/100*Inputs!$F$80)/100*Construction!M11/360</f>
        <v/>
      </c>
      <c r="N20" s="14">
        <f>Inputs!$F$73*Inputs!$F$83/100*Construction!N11/360+Inputs!$F$74*Inputs!$F$84/100*Construction!N11/360+Inputs!$F$75*Inputs!$F$85/100*Construction!N11/360+Inputs!$F$76*(Inputs!$F$86/100*Inputs!$F$80)/100*Construction!N11/360</f>
        <v/>
      </c>
      <c r="O20" s="14">
        <f>Inputs!$F$73*Inputs!$F$83/100*Construction!O11/360+Inputs!$F$74*Inputs!$F$84/100*Construction!O11/360+Inputs!$F$75*Inputs!$F$85/100*Construction!O11/360+Inputs!$F$76*(Inputs!$F$86/100*Inputs!$F$80)/100*Construction!O11/360</f>
        <v/>
      </c>
      <c r="P20" s="14">
        <f>Inputs!$F$73*Inputs!$F$83/100*Construction!P11/360+Inputs!$F$74*Inputs!$F$84/100*Construction!P11/360+Inputs!$F$75*Inputs!$F$85/100*Construction!P11/360+Inputs!$F$76*(Inputs!$F$86/100*Inputs!$F$80)/100*Construction!P11/360</f>
        <v/>
      </c>
      <c r="Q20" s="14">
        <f>Inputs!$F$73*Inputs!$F$83/100*Construction!Q11/360+Inputs!$F$74*Inputs!$F$84/100*Construction!Q11/360+Inputs!$F$75*Inputs!$F$85/100*Construction!Q11/360+Inputs!$F$76*(Inputs!$F$86/100*Inputs!$F$80)/100*Construction!Q11/360</f>
        <v/>
      </c>
      <c r="R20" s="14">
        <f>Inputs!$F$73*Inputs!$F$83/100*Construction!R11/360+Inputs!$F$74*Inputs!$F$84/100*Construction!R11/360+Inputs!$F$75*Inputs!$F$85/100*Construction!R11/360+Inputs!$F$76*(Inputs!$F$86/100*Inputs!$F$80)/100*Construction!R11/360</f>
        <v/>
      </c>
      <c r="S20" s="14">
        <f>Inputs!$F$73*Inputs!$F$83/100*Construction!S11/360+Inputs!$F$74*Inputs!$F$84/100*Construction!S11/360+Inputs!$F$75*Inputs!$F$85/100*Construction!S11/360+Inputs!$F$76*(Inputs!$F$86/100*Inputs!$F$80)/100*Construction!S11/360</f>
        <v/>
      </c>
      <c r="T20" s="14">
        <f>Inputs!$F$73*Inputs!$F$83/100*Construction!T11/360+Inputs!$F$74*Inputs!$F$84/100*Construction!T11/360+Inputs!$F$75*Inputs!$F$85/100*Construction!T11/360+Inputs!$F$76*(Inputs!$F$86/100*Inputs!$F$80)/100*Construction!T11/360</f>
        <v/>
      </c>
      <c r="U20" s="14">
        <f>Inputs!$F$73*Inputs!$F$83/100*Construction!U11/360+Inputs!$F$74*Inputs!$F$84/100*Construction!U11/360+Inputs!$F$75*Inputs!$F$85/100*Construction!U11/360+Inputs!$F$76*(Inputs!$F$86/100*Inputs!$F$80)/100*Construction!U11/360</f>
        <v/>
      </c>
      <c r="V20" s="14">
        <f>Inputs!$F$73*Inputs!$F$83/100*Construction!V11/360+Inputs!$F$74*Inputs!$F$84/100*Construction!V11/360+Inputs!$F$75*Inputs!$F$85/100*Construction!V11/360+Inputs!$F$76*(Inputs!$F$86/100*Inputs!$F$80)/100*Construction!V11/360</f>
        <v/>
      </c>
      <c r="W20" s="14">
        <f>Inputs!$F$73*Inputs!$F$83/100*Construction!W11/360+Inputs!$F$74*Inputs!$F$84/100*Construction!W11/360+Inputs!$F$75*Inputs!$F$85/100*Construction!W11/360+Inputs!$F$76*(Inputs!$F$86/100*Inputs!$F$80)/100*Construction!W11/360</f>
        <v/>
      </c>
      <c r="X20" s="14">
        <f>Inputs!$F$73*Inputs!$F$83/100*Construction!X11/360+Inputs!$F$74*Inputs!$F$84/100*Construction!X11/360+Inputs!$F$75*Inputs!$F$85/100*Construction!X11/360+Inputs!$F$76*(Inputs!$F$86/100*Inputs!$F$80)/100*Construction!X11/360</f>
        <v/>
      </c>
      <c r="Y20" s="14">
        <f>Inputs!$F$73*Inputs!$F$83/100*Construction!Y11/360+Inputs!$F$74*Inputs!$F$84/100*Construction!Y11/360+Inputs!$F$75*Inputs!$F$85/100*Construction!Y11/360+Inputs!$F$76*(Inputs!$F$86/100*Inputs!$F$80)/100*Construction!Y11/360</f>
        <v/>
      </c>
      <c r="Z20" s="14">
        <f>Inputs!$F$73*Inputs!$F$83/100*Construction!Z11/360+Inputs!$F$74*Inputs!$F$84/100*Construction!Z11/360+Inputs!$F$75*Inputs!$F$85/100*Construction!Z11/360+Inputs!$F$76*(Inputs!$F$86/100*Inputs!$F$80)/100*Construction!Z11/360</f>
        <v/>
      </c>
      <c r="AA20" s="14">
        <f>Inputs!$F$73*Inputs!$F$83/100*Construction!AA11/360+Inputs!$F$74*Inputs!$F$84/100*Construction!AA11/360+Inputs!$F$75*Inputs!$F$85/100*Construction!AA11/360+Inputs!$F$76*(Inputs!$F$86/100*Inputs!$F$80)/100*Construction!AA11/360</f>
        <v/>
      </c>
      <c r="AB20" s="14">
        <f>Inputs!$F$73*Inputs!$F$83/100*Construction!AB11/360+Inputs!$F$74*Inputs!$F$84/100*Construction!AB11/360+Inputs!$F$75*Inputs!$F$85/100*Construction!AB11/360+Inputs!$F$76*(Inputs!$F$86/100*Inputs!$F$80)/100*Construction!AB11/360</f>
        <v/>
      </c>
      <c r="AC20" s="14">
        <f>Inputs!$F$73*Inputs!$F$83/100*Construction!AC11/360+Inputs!$F$74*Inputs!$F$84/100*Construction!AC11/360+Inputs!$F$75*Inputs!$F$85/100*Construction!AC11/360+Inputs!$F$76*(Inputs!$F$86/100*Inputs!$F$80)/100*Construction!AC11/360</f>
        <v/>
      </c>
      <c r="AD20" s="14">
        <f>Inputs!$F$73*Inputs!$F$83/100*Construction!AD11/360+Inputs!$F$74*Inputs!$F$84/100*Construction!AD11/360+Inputs!$F$75*Inputs!$F$85/100*Construction!AD11/360+Inputs!$F$76*(Inputs!$F$86/100*Inputs!$F$80)/100*Construction!AD11/360</f>
        <v/>
      </c>
      <c r="AE20" s="14">
        <f>Inputs!$F$73*Inputs!$F$83/100*Construction!AE11/360+Inputs!$F$74*Inputs!$F$84/100*Construction!AE11/360+Inputs!$F$75*Inputs!$F$85/100*Construction!AE11/360+Inputs!$F$76*(Inputs!$F$86/100*Inputs!$F$80)/100*Construction!AE11/360</f>
        <v/>
      </c>
      <c r="AF20" s="14">
        <f>Inputs!$F$73*Inputs!$F$83/100*Construction!AF11/360+Inputs!$F$74*Inputs!$F$84/100*Construction!AF11/360+Inputs!$F$75*Inputs!$F$85/100*Construction!AF11/360+Inputs!$F$76*(Inputs!$F$86/100*Inputs!$F$80)/100*Construction!AF11/360</f>
        <v/>
      </c>
      <c r="AG20" s="14">
        <f>Inputs!$F$73*Inputs!$F$83/100*Construction!AG11/360+Inputs!$F$74*Inputs!$F$84/100*Construction!AG11/360+Inputs!$F$75*Inputs!$F$85/100*Construction!AG11/360+Inputs!$F$76*(Inputs!$F$86/100*Inputs!$F$80)/100*Construction!AG11/360</f>
        <v/>
      </c>
      <c r="AH20" s="14">
        <f>Inputs!$F$73*Inputs!$F$83/100*Construction!AH11/360+Inputs!$F$74*Inputs!$F$84/100*Construction!AH11/360+Inputs!$F$75*Inputs!$F$85/100*Construction!AH11/360+Inputs!$F$76*(Inputs!$F$86/100*Inputs!$F$80)/100*Construction!AH11/360</f>
        <v/>
      </c>
      <c r="AI20" s="14">
        <f>Inputs!$F$73*Inputs!$F$83/100*Construction!AI11/360+Inputs!$F$74*Inputs!$F$84/100*Construction!AI11/360+Inputs!$F$75*Inputs!$F$85/100*Construction!AI11/360+Inputs!$F$76*(Inputs!$F$86/100*Inputs!$F$80)/100*Construction!AI11/360</f>
        <v/>
      </c>
      <c r="AJ20" s="14">
        <f>Inputs!$F$73*Inputs!$F$83/100*Construction!AJ11/360+Inputs!$F$74*Inputs!$F$84/100*Construction!AJ11/360+Inputs!$F$75*Inputs!$F$85/100*Construction!AJ11/360+Inputs!$F$76*(Inputs!$F$86/100*Inputs!$F$80)/100*Construction!AJ11/360</f>
        <v/>
      </c>
      <c r="AK20" s="14">
        <f>Inputs!$F$73*Inputs!$F$83/100*Construction!AK11/360+Inputs!$F$74*Inputs!$F$84/100*Construction!AK11/360+Inputs!$F$75*Inputs!$F$85/100*Construction!AK11/360+Inputs!$F$76*(Inputs!$F$86/100*Inputs!$F$80)/100*Construction!AK11/360</f>
        <v/>
      </c>
      <c r="AL20" s="14">
        <f>Inputs!$F$73*Inputs!$F$83/100*Construction!AL11/360+Inputs!$F$74*Inputs!$F$84/100*Construction!AL11/360+Inputs!$F$75*Inputs!$F$85/100*Construction!AL11/360+Inputs!$F$76*(Inputs!$F$86/100*Inputs!$F$80)/100*Construction!AL11/360</f>
        <v/>
      </c>
      <c r="AM20" s="14">
        <f>Inputs!$F$73*Inputs!$F$83/100*Construction!AM11/360+Inputs!$F$74*Inputs!$F$84/100*Construction!AM11/360+Inputs!$F$75*Inputs!$F$85/100*Construction!AM11/360+Inputs!$F$76*(Inputs!$F$86/100*Inputs!$F$80)/100*Construction!AM11/360</f>
        <v/>
      </c>
      <c r="AN20" s="14">
        <f>Inputs!$F$73*Inputs!$F$83/100*Construction!AN11/360+Inputs!$F$74*Inputs!$F$84/100*Construction!AN11/360+Inputs!$F$75*Inputs!$F$85/100*Construction!AN11/360+Inputs!$F$76*(Inputs!$F$86/100*Inputs!$F$80)/100*Construction!AN11/360</f>
        <v/>
      </c>
      <c r="AO20" s="14">
        <f>Inputs!$F$73*Inputs!$F$83/100*Construction!AO11/360+Inputs!$F$74*Inputs!$F$84/100*Construction!AO11/360+Inputs!$F$75*Inputs!$F$85/100*Construction!AO11/360+Inputs!$F$76*(Inputs!$F$86/100*Inputs!$F$80)/100*Construction!AO11/360</f>
        <v/>
      </c>
      <c r="AP20" s="14">
        <f>Inputs!$F$73*Inputs!$F$83/100*Construction!AP11/360+Inputs!$F$74*Inputs!$F$84/100*Construction!AP11/360+Inputs!$F$75*Inputs!$F$85/100*Construction!AP11/360+Inputs!$F$76*(Inputs!$F$86/100*Inputs!$F$80)/100*Construction!AP11/360</f>
        <v/>
      </c>
      <c r="AQ20" s="14">
        <f>Inputs!$F$73*Inputs!$F$83/100*Construction!AQ11/360+Inputs!$F$74*Inputs!$F$84/100*Construction!AQ11/360+Inputs!$F$75*Inputs!$F$85/100*Construction!AQ11/360+Inputs!$F$76*(Inputs!$F$86/100*Inputs!$F$80)/100*Construction!AQ11/360</f>
        <v/>
      </c>
      <c r="AR20" s="14">
        <f>Inputs!$F$73*Inputs!$F$83/100*Construction!AR11/360+Inputs!$F$74*Inputs!$F$84/100*Construction!AR11/360+Inputs!$F$75*Inputs!$F$85/100*Construction!AR11/360+Inputs!$F$76*(Inputs!$F$86/100*Inputs!$F$80)/100*Construction!AR11/360</f>
        <v/>
      </c>
      <c r="AS20" s="14">
        <f>Inputs!$F$73*Inputs!$F$83/100*Construction!AS11/360+Inputs!$F$74*Inputs!$F$84/100*Construction!AS11/360+Inputs!$F$75*Inputs!$F$85/100*Construction!AS11/360+Inputs!$F$76*(Inputs!$F$86/100*Inputs!$F$80)/100*Construction!AS11/360</f>
        <v/>
      </c>
      <c r="AT20" s="14">
        <f>Inputs!$F$73*Inputs!$F$83/100*Construction!AT11/360+Inputs!$F$74*Inputs!$F$84/100*Construction!AT11/360+Inputs!$F$75*Inputs!$F$85/100*Construction!AT11/360+Inputs!$F$76*(Inputs!$F$86/100*Inputs!$F$80)/100*Construction!AT11/360</f>
        <v/>
      </c>
      <c r="AU20" s="14">
        <f>Inputs!$F$73*Inputs!$F$83/100*Construction!AU11/360+Inputs!$F$74*Inputs!$F$84/100*Construction!AU11/360+Inputs!$F$75*Inputs!$F$85/100*Construction!AU11/360+Inputs!$F$76*(Inputs!$F$86/100*Inputs!$F$80)/100*Construction!AU11/360</f>
        <v/>
      </c>
      <c r="AV20" s="14">
        <f>Inputs!$F$73*Inputs!$F$83/100*Construction!AV11/360+Inputs!$F$74*Inputs!$F$84/100*Construction!AV11/360+Inputs!$F$75*Inputs!$F$85/100*Construction!AV11/360+Inputs!$F$76*(Inputs!$F$86/100*Inputs!$F$80)/100*Construction!AV11/360</f>
        <v/>
      </c>
      <c r="AW20" s="14">
        <f>Inputs!$F$73*Inputs!$F$83/100*Construction!AW11/360+Inputs!$F$74*Inputs!$F$84/100*Construction!AW11/360+Inputs!$F$75*Inputs!$F$85/100*Construction!AW11/360+Inputs!$F$76*(Inputs!$F$86/100*Inputs!$F$80)/100*Construction!AW11/360</f>
        <v/>
      </c>
      <c r="AX20" s="14">
        <f>Inputs!$F$73*Inputs!$F$83/100*Construction!AX11/360+Inputs!$F$74*Inputs!$F$84/100*Construction!AX11/360+Inputs!$F$75*Inputs!$F$85/100*Construction!AX11/360+Inputs!$F$76*(Inputs!$F$86/100*Inputs!$F$80)/100*Construction!AX11/360</f>
        <v/>
      </c>
      <c r="AY20" s="14">
        <f>Inputs!$F$73*Inputs!$F$83/100*Construction!AY11/360+Inputs!$F$74*Inputs!$F$84/100*Construction!AY11/360+Inputs!$F$75*Inputs!$F$85/100*Construction!AY11/360+Inputs!$F$76*(Inputs!$F$86/100*Inputs!$F$80)/100*Construction!AY11/360</f>
        <v/>
      </c>
      <c r="AZ20" s="14">
        <f>Inputs!$F$73*Inputs!$F$83/100*Construction!AZ11/360+Inputs!$F$74*Inputs!$F$84/100*Construction!AZ11/360+Inputs!$F$75*Inputs!$F$85/100*Construction!AZ11/360+Inputs!$F$76*(Inputs!$F$86/100*Inputs!$F$80)/100*Construction!AZ11/360</f>
        <v/>
      </c>
      <c r="BA20" s="14">
        <f>Inputs!$F$73*Inputs!$F$83/100*Construction!BA11/360+Inputs!$F$74*Inputs!$F$84/100*Construction!BA11/360+Inputs!$F$75*Inputs!$F$85/100*Construction!BA11/360+Inputs!$F$76*(Inputs!$F$86/100*Inputs!$F$80)/100*Construction!BA11/360</f>
        <v/>
      </c>
      <c r="BB20" s="14">
        <f>Inputs!$F$73*Inputs!$F$83/100*Construction!BB11/360+Inputs!$F$74*Inputs!$F$84/100*Construction!BB11/360+Inputs!$F$75*Inputs!$F$85/100*Construction!BB11/360+Inputs!$F$76*(Inputs!$F$86/100*Inputs!$F$80)/100*Construction!BB11/360</f>
        <v/>
      </c>
      <c r="BC20" s="14">
        <f>Inputs!$F$73*Inputs!$F$83/100*Construction!BC11/360+Inputs!$F$74*Inputs!$F$84/100*Construction!BC11/360+Inputs!$F$75*Inputs!$F$85/100*Construction!BC11/360+Inputs!$F$76*(Inputs!$F$86/100*Inputs!$F$80)/100*Construction!BC11/360</f>
        <v/>
      </c>
      <c r="BD20" s="14">
        <f>Inputs!$F$73*Inputs!$F$83/100*Construction!BD11/360+Inputs!$F$74*Inputs!$F$84/100*Construction!BD11/360+Inputs!$F$75*Inputs!$F$85/100*Construction!BD11/360+Inputs!$F$76*(Inputs!$F$86/100*Inputs!$F$80)/100*Construction!BD11/360</f>
        <v/>
      </c>
      <c r="BE20" s="14">
        <f>Inputs!$F$73*Inputs!$F$83/100*Construction!BE11/360+Inputs!$F$74*Inputs!$F$84/100*Construction!BE11/360+Inputs!$F$75*Inputs!$F$85/100*Construction!BE11/360+Inputs!$F$76*(Inputs!$F$86/100*Inputs!$F$80)/100*Construction!BE11/360</f>
        <v/>
      </c>
      <c r="BF20" s="14">
        <f>Inputs!$F$73*Inputs!$F$83/100*Construction!BF11/360+Inputs!$F$74*Inputs!$F$84/100*Construction!BF11/360+Inputs!$F$75*Inputs!$F$85/100*Construction!BF11/360+Inputs!$F$76*(Inputs!$F$86/100*Inputs!$F$80)/100*Construction!BF11/360</f>
        <v/>
      </c>
      <c r="BG20" s="14">
        <f>Inputs!$F$73*Inputs!$F$83/100*Construction!BG11/360+Inputs!$F$74*Inputs!$F$84/100*Construction!BG11/360+Inputs!$F$75*Inputs!$F$85/100*Construction!BG11/360+Inputs!$F$76*(Inputs!$F$86/100*Inputs!$F$80)/100*Construction!BG11/360</f>
        <v/>
      </c>
      <c r="BH20" s="14">
        <f>Inputs!$F$73*Inputs!$F$83/100*Construction!BH11/360+Inputs!$F$74*Inputs!$F$84/100*Construction!BH11/360+Inputs!$F$75*Inputs!$F$85/100*Construction!BH11/360+Inputs!$F$76*(Inputs!$F$86/100*Inputs!$F$80)/100*Construction!BH11/360</f>
        <v/>
      </c>
      <c r="BI20" s="14">
        <f>Inputs!$F$73*Inputs!$F$83/100*Construction!BI11/360+Inputs!$F$74*Inputs!$F$84/100*Construction!BI11/360+Inputs!$F$75*Inputs!$F$85/100*Construction!BI11/360+Inputs!$F$76*(Inputs!$F$86/100*Inputs!$F$80)/100*Construction!BI11/360</f>
        <v/>
      </c>
      <c r="BJ20" s="14">
        <f>Inputs!$F$73*Inputs!$F$83/100*Construction!BJ11/360+Inputs!$F$74*Inputs!$F$84/100*Construction!BJ11/360+Inputs!$F$75*Inputs!$F$85/100*Construction!BJ11/360+Inputs!$F$76*(Inputs!$F$86/100*Inputs!$F$80)/100*Construction!BJ11/360</f>
        <v/>
      </c>
    </row>
    <row r="21">
      <c r="D21" t="inlineStr">
        <is>
          <t>Costs independent of facility size</t>
        </is>
      </c>
      <c r="E21" t="inlineStr">
        <is>
          <t>USD m</t>
        </is>
      </c>
      <c r="J21" s="11">
        <f>Construction!J14*(Construction!J30+Construction!J36+Inputs!$F$105/12+Inputs!J229*(Inputs!$F$95/100/12-Construction!J17/100*Construction!J11/360)+Inputs!$F$97*Inputs!$F$98/100*Construction!J11/360+Construction!J15*$F$17)</f>
        <v/>
      </c>
      <c r="K21" s="11">
        <f>Construction!K14*(Construction!K30+Construction!K36+Inputs!$F$105/12+Inputs!K229*(Inputs!$F$95/100/12-Construction!K17/100*Construction!K11/360)+Inputs!$F$97*Inputs!$F$98/100*Construction!K11/360+Construction!K15*$F$17)</f>
        <v/>
      </c>
      <c r="L21" s="11">
        <f>Construction!L14*(Construction!L30+Construction!L36+Inputs!$F$105/12+Inputs!L229*(Inputs!$F$95/100/12-Construction!L17/100*Construction!L11/360)+Inputs!$F$97*Inputs!$F$98/100*Construction!L11/360+Construction!L15*$F$17)</f>
        <v/>
      </c>
      <c r="M21" s="11">
        <f>Construction!M14*(Construction!M30+Construction!M36+Inputs!$F$105/12+Inputs!M229*(Inputs!$F$95/100/12-Construction!M17/100*Construction!M11/360)+Inputs!$F$97*Inputs!$F$98/100*Construction!M11/360+Construction!M15*$F$17)</f>
        <v/>
      </c>
      <c r="N21" s="11">
        <f>Construction!N14*(Construction!N30+Construction!N36+Inputs!$F$105/12+Inputs!N229*(Inputs!$F$95/100/12-Construction!N17/100*Construction!N11/360)+Inputs!$F$97*Inputs!$F$98/100*Construction!N11/360+Construction!N15*$F$17)</f>
        <v/>
      </c>
      <c r="O21" s="11">
        <f>Construction!O14*(Construction!O30+Construction!O36+Inputs!$F$105/12+Inputs!O229*(Inputs!$F$95/100/12-Construction!O17/100*Construction!O11/360)+Inputs!$F$97*Inputs!$F$98/100*Construction!O11/360+Construction!O15*$F$17)</f>
        <v/>
      </c>
      <c r="P21" s="11">
        <f>Construction!P14*(Construction!P30+Construction!P36+Inputs!$F$105/12+Inputs!P229*(Inputs!$F$95/100/12-Construction!P17/100*Construction!P11/360)+Inputs!$F$97*Inputs!$F$98/100*Construction!P11/360+Construction!P15*$F$17)</f>
        <v/>
      </c>
      <c r="Q21" s="11">
        <f>Construction!Q14*(Construction!Q30+Construction!Q36+Inputs!$F$105/12+Inputs!Q229*(Inputs!$F$95/100/12-Construction!Q17/100*Construction!Q11/360)+Inputs!$F$97*Inputs!$F$98/100*Construction!Q11/360+Construction!Q15*$F$17)</f>
        <v/>
      </c>
      <c r="R21" s="11">
        <f>Construction!R14*(Construction!R30+Construction!R36+Inputs!$F$105/12+Inputs!R229*(Inputs!$F$95/100/12-Construction!R17/100*Construction!R11/360)+Inputs!$F$97*Inputs!$F$98/100*Construction!R11/360+Construction!R15*$F$17)</f>
        <v/>
      </c>
      <c r="S21" s="11">
        <f>Construction!S14*(Construction!S30+Construction!S36+Inputs!$F$105/12+Inputs!S229*(Inputs!$F$95/100/12-Construction!S17/100*Construction!S11/360)+Inputs!$F$97*Inputs!$F$98/100*Construction!S11/360+Construction!S15*$F$17)</f>
        <v/>
      </c>
      <c r="T21" s="11">
        <f>Construction!T14*(Construction!T30+Construction!T36+Inputs!$F$105/12+Inputs!T229*(Inputs!$F$95/100/12-Construction!T17/100*Construction!T11/360)+Inputs!$F$97*Inputs!$F$98/100*Construction!T11/360+Construction!T15*$F$17)</f>
        <v/>
      </c>
      <c r="U21" s="11">
        <f>Construction!U14*(Construction!U30+Construction!U36+Inputs!$F$105/12+Inputs!U229*(Inputs!$F$95/100/12-Construction!U17/100*Construction!U11/360)+Inputs!$F$97*Inputs!$F$98/100*Construction!U11/360+Construction!U15*$F$17)</f>
        <v/>
      </c>
      <c r="V21" s="11">
        <f>Construction!V14*(Construction!V30+Construction!V36+Inputs!$F$105/12+Inputs!V229*(Inputs!$F$95/100/12-Construction!V17/100*Construction!V11/360)+Inputs!$F$97*Inputs!$F$98/100*Construction!V11/360+Construction!V15*$F$17)</f>
        <v/>
      </c>
      <c r="W21" s="11">
        <f>Construction!W14*(Construction!W30+Construction!W36+Inputs!$F$105/12+Inputs!W229*(Inputs!$F$95/100/12-Construction!W17/100*Construction!W11/360)+Inputs!$F$97*Inputs!$F$98/100*Construction!W11/360+Construction!W15*$F$17)</f>
        <v/>
      </c>
      <c r="X21" s="11">
        <f>Construction!X14*(Construction!X30+Construction!X36+Inputs!$F$105/12+Inputs!X229*(Inputs!$F$95/100/12-Construction!X17/100*Construction!X11/360)+Inputs!$F$97*Inputs!$F$98/100*Construction!X11/360+Construction!X15*$F$17)</f>
        <v/>
      </c>
      <c r="Y21" s="11">
        <f>Construction!Y14*(Construction!Y30+Construction!Y36+Inputs!$F$105/12+Inputs!Y229*(Inputs!$F$95/100/12-Construction!Y17/100*Construction!Y11/360)+Inputs!$F$97*Inputs!$F$98/100*Construction!Y11/360+Construction!Y15*$F$17)</f>
        <v/>
      </c>
      <c r="Z21" s="11">
        <f>Construction!Z14*(Construction!Z30+Construction!Z36+Inputs!$F$105/12+Inputs!Z229*(Inputs!$F$95/100/12-Construction!Z17/100*Construction!Z11/360)+Inputs!$F$97*Inputs!$F$98/100*Construction!Z11/360+Construction!Z15*$F$17)</f>
        <v/>
      </c>
      <c r="AA21" s="11">
        <f>Construction!AA14*(Construction!AA30+Construction!AA36+Inputs!$F$105/12+Inputs!AA229*(Inputs!$F$95/100/12-Construction!AA17/100*Construction!AA11/360)+Inputs!$F$97*Inputs!$F$98/100*Construction!AA11/360+Construction!AA15*$F$17)</f>
        <v/>
      </c>
      <c r="AB21" s="11">
        <f>Construction!AB14*(Construction!AB30+Construction!AB36+Inputs!$F$105/12+Inputs!AB229*(Inputs!$F$95/100/12-Construction!AB17/100*Construction!AB11/360)+Inputs!$F$97*Inputs!$F$98/100*Construction!AB11/360+Construction!AB15*$F$17)</f>
        <v/>
      </c>
      <c r="AC21" s="11">
        <f>Construction!AC14*(Construction!AC30+Construction!AC36+Inputs!$F$105/12+Inputs!AC229*(Inputs!$F$95/100/12-Construction!AC17/100*Construction!AC11/360)+Inputs!$F$97*Inputs!$F$98/100*Construction!AC11/360+Construction!AC15*$F$17)</f>
        <v/>
      </c>
      <c r="AD21" s="11">
        <f>Construction!AD14*(Construction!AD30+Construction!AD36+Inputs!$F$105/12+Inputs!AD229*(Inputs!$F$95/100/12-Construction!AD17/100*Construction!AD11/360)+Inputs!$F$97*Inputs!$F$98/100*Construction!AD11/360+Construction!AD15*$F$17)</f>
        <v/>
      </c>
      <c r="AE21" s="11">
        <f>Construction!AE14*(Construction!AE30+Construction!AE36+Inputs!$F$105/12+Inputs!AE229*(Inputs!$F$95/100/12-Construction!AE17/100*Construction!AE11/360)+Inputs!$F$97*Inputs!$F$98/100*Construction!AE11/360+Construction!AE15*$F$17)</f>
        <v/>
      </c>
      <c r="AF21" s="11">
        <f>Construction!AF14*(Construction!AF30+Construction!AF36+Inputs!$F$105/12+Inputs!AF229*(Inputs!$F$95/100/12-Construction!AF17/100*Construction!AF11/360)+Inputs!$F$97*Inputs!$F$98/100*Construction!AF11/360+Construction!AF15*$F$17)</f>
        <v/>
      </c>
      <c r="AG21" s="11">
        <f>Construction!AG14*(Construction!AG30+Construction!AG36+Inputs!$F$105/12+Inputs!AG229*(Inputs!$F$95/100/12-Construction!AG17/100*Construction!AG11/360)+Inputs!$F$97*Inputs!$F$98/100*Construction!AG11/360+Construction!AG15*$F$17)</f>
        <v/>
      </c>
      <c r="AH21" s="11">
        <f>Construction!AH14*(Construction!AH30+Construction!AH36+Inputs!$F$105/12+Inputs!AH229*(Inputs!$F$95/100/12-Construction!AH17/100*Construction!AH11/360)+Inputs!$F$97*Inputs!$F$98/100*Construction!AH11/360+Construction!AH15*$F$17)</f>
        <v/>
      </c>
      <c r="AI21" s="11">
        <f>Construction!AI14*(Construction!AI30+Construction!AI36+Inputs!$F$105/12+Inputs!AI229*(Inputs!$F$95/100/12-Construction!AI17/100*Construction!AI11/360)+Inputs!$F$97*Inputs!$F$98/100*Construction!AI11/360+Construction!AI15*$F$17)</f>
        <v/>
      </c>
      <c r="AJ21" s="11">
        <f>Construction!AJ14*(Construction!AJ30+Construction!AJ36+Inputs!$F$105/12+Inputs!AJ229*(Inputs!$F$95/100/12-Construction!AJ17/100*Construction!AJ11/360)+Inputs!$F$97*Inputs!$F$98/100*Construction!AJ11/360+Construction!AJ15*$F$17)</f>
        <v/>
      </c>
      <c r="AK21" s="11">
        <f>Construction!AK14*(Construction!AK30+Construction!AK36+Inputs!$F$105/12+Inputs!AK229*(Inputs!$F$95/100/12-Construction!AK17/100*Construction!AK11/360)+Inputs!$F$97*Inputs!$F$98/100*Construction!AK11/360+Construction!AK15*$F$17)</f>
        <v/>
      </c>
      <c r="AL21" s="11">
        <f>Construction!AL14*(Construction!AL30+Construction!AL36+Inputs!$F$105/12+Inputs!AL229*(Inputs!$F$95/100/12-Construction!AL17/100*Construction!AL11/360)+Inputs!$F$97*Inputs!$F$98/100*Construction!AL11/360+Construction!AL15*$F$17)</f>
        <v/>
      </c>
      <c r="AM21" s="11">
        <f>Construction!AM14*(Construction!AM30+Construction!AM36+Inputs!$F$105/12+Inputs!AM229*(Inputs!$F$95/100/12-Construction!AM17/100*Construction!AM11/360)+Inputs!$F$97*Inputs!$F$98/100*Construction!AM11/360+Construction!AM15*$F$17)</f>
        <v/>
      </c>
      <c r="AN21" s="11">
        <f>Construction!AN14*(Construction!AN30+Construction!AN36+Inputs!$F$105/12+Inputs!AN229*(Inputs!$F$95/100/12-Construction!AN17/100*Construction!AN11/360)+Inputs!$F$97*Inputs!$F$98/100*Construction!AN11/360+Construction!AN15*$F$17)</f>
        <v/>
      </c>
      <c r="AO21" s="11">
        <f>Construction!AO14*(Construction!AO30+Construction!AO36+Inputs!$F$105/12+Inputs!AO229*(Inputs!$F$95/100/12-Construction!AO17/100*Construction!AO11/360)+Inputs!$F$97*Inputs!$F$98/100*Construction!AO11/360+Construction!AO15*$F$17)</f>
        <v/>
      </c>
      <c r="AP21" s="11">
        <f>Construction!AP14*(Construction!AP30+Construction!AP36+Inputs!$F$105/12+Inputs!AP229*(Inputs!$F$95/100/12-Construction!AP17/100*Construction!AP11/360)+Inputs!$F$97*Inputs!$F$98/100*Construction!AP11/360+Construction!AP15*$F$17)</f>
        <v/>
      </c>
      <c r="AQ21" s="11">
        <f>Construction!AQ14*(Construction!AQ30+Construction!AQ36+Inputs!$F$105/12+Inputs!AQ229*(Inputs!$F$95/100/12-Construction!AQ17/100*Construction!AQ11/360)+Inputs!$F$97*Inputs!$F$98/100*Construction!AQ11/360+Construction!AQ15*$F$17)</f>
        <v/>
      </c>
      <c r="AR21" s="11">
        <f>Construction!AR14*(Construction!AR30+Construction!AR36+Inputs!$F$105/12+Inputs!AR229*(Inputs!$F$95/100/12-Construction!AR17/100*Construction!AR11/360)+Inputs!$F$97*Inputs!$F$98/100*Construction!AR11/360+Construction!AR15*$F$17)</f>
        <v/>
      </c>
      <c r="AS21" s="11">
        <f>Construction!AS14*(Construction!AS30+Construction!AS36+Inputs!$F$105/12+Inputs!AS229*(Inputs!$F$95/100/12-Construction!AS17/100*Construction!AS11/360)+Inputs!$F$97*Inputs!$F$98/100*Construction!AS11/360+Construction!AS15*$F$17)</f>
        <v/>
      </c>
      <c r="AT21" s="11">
        <f>Construction!AT14*(Construction!AT30+Construction!AT36+Inputs!$F$105/12+Inputs!AT229*(Inputs!$F$95/100/12-Construction!AT17/100*Construction!AT11/360)+Inputs!$F$97*Inputs!$F$98/100*Construction!AT11/360+Construction!AT15*$F$17)</f>
        <v/>
      </c>
      <c r="AU21" s="11">
        <f>Construction!AU14*(Construction!AU30+Construction!AU36+Inputs!$F$105/12+Inputs!AU229*(Inputs!$F$95/100/12-Construction!AU17/100*Construction!AU11/360)+Inputs!$F$97*Inputs!$F$98/100*Construction!AU11/360+Construction!AU15*$F$17)</f>
        <v/>
      </c>
      <c r="AV21" s="11">
        <f>Construction!AV14*(Construction!AV30+Construction!AV36+Inputs!$F$105/12+Inputs!AV229*(Inputs!$F$95/100/12-Construction!AV17/100*Construction!AV11/360)+Inputs!$F$97*Inputs!$F$98/100*Construction!AV11/360+Construction!AV15*$F$17)</f>
        <v/>
      </c>
      <c r="AW21" s="11">
        <f>Construction!AW14*(Construction!AW30+Construction!AW36+Inputs!$F$105/12+Inputs!AW229*(Inputs!$F$95/100/12-Construction!AW17/100*Construction!AW11/360)+Inputs!$F$97*Inputs!$F$98/100*Construction!AW11/360+Construction!AW15*$F$17)</f>
        <v/>
      </c>
      <c r="AX21" s="11">
        <f>Construction!AX14*(Construction!AX30+Construction!AX36+Inputs!$F$105/12+Inputs!AX229*(Inputs!$F$95/100/12-Construction!AX17/100*Construction!AX11/360)+Inputs!$F$97*Inputs!$F$98/100*Construction!AX11/360+Construction!AX15*$F$17)</f>
        <v/>
      </c>
      <c r="AY21" s="11">
        <f>Construction!AY14*(Construction!AY30+Construction!AY36+Inputs!$F$105/12+Inputs!AY229*(Inputs!$F$95/100/12-Construction!AY17/100*Construction!AY11/360)+Inputs!$F$97*Inputs!$F$98/100*Construction!AY11/360+Construction!AY15*$F$17)</f>
        <v/>
      </c>
      <c r="AZ21" s="11">
        <f>Construction!AZ14*(Construction!AZ30+Construction!AZ36+Inputs!$F$105/12+Inputs!AZ229*(Inputs!$F$95/100/12-Construction!AZ17/100*Construction!AZ11/360)+Inputs!$F$97*Inputs!$F$98/100*Construction!AZ11/360+Construction!AZ15*$F$17)</f>
        <v/>
      </c>
      <c r="BA21" s="11">
        <f>Construction!BA14*(Construction!BA30+Construction!BA36+Inputs!$F$105/12+Inputs!BA229*(Inputs!$F$95/100/12-Construction!BA17/100*Construction!BA11/360)+Inputs!$F$97*Inputs!$F$98/100*Construction!BA11/360+Construction!BA15*$F$17)</f>
        <v/>
      </c>
      <c r="BB21" s="11">
        <f>Construction!BB14*(Construction!BB30+Construction!BB36+Inputs!$F$105/12+Inputs!BB229*(Inputs!$F$95/100/12-Construction!BB17/100*Construction!BB11/360)+Inputs!$F$97*Inputs!$F$98/100*Construction!BB11/360+Construction!BB15*$F$17)</f>
        <v/>
      </c>
      <c r="BC21" s="11">
        <f>Construction!BC14*(Construction!BC30+Construction!BC36+Inputs!$F$105/12+Inputs!BC229*(Inputs!$F$95/100/12-Construction!BC17/100*Construction!BC11/360)+Inputs!$F$97*Inputs!$F$98/100*Construction!BC11/360+Construction!BC15*$F$17)</f>
        <v/>
      </c>
      <c r="BD21" s="11">
        <f>Construction!BD14*(Construction!BD30+Construction!BD36+Inputs!$F$105/12+Inputs!BD229*(Inputs!$F$95/100/12-Construction!BD17/100*Construction!BD11/360)+Inputs!$F$97*Inputs!$F$98/100*Construction!BD11/360+Construction!BD15*$F$17)</f>
        <v/>
      </c>
      <c r="BE21" s="11">
        <f>Construction!BE14*(Construction!BE30+Construction!BE36+Inputs!$F$105/12+Inputs!BE229*(Inputs!$F$95/100/12-Construction!BE17/100*Construction!BE11/360)+Inputs!$F$97*Inputs!$F$98/100*Construction!BE11/360+Construction!BE15*$F$17)</f>
        <v/>
      </c>
      <c r="BF21" s="11">
        <f>Construction!BF14*(Construction!BF30+Construction!BF36+Inputs!$F$105/12+Inputs!BF229*(Inputs!$F$95/100/12-Construction!BF17/100*Construction!BF11/360)+Inputs!$F$97*Inputs!$F$98/100*Construction!BF11/360+Construction!BF15*$F$17)</f>
        <v/>
      </c>
      <c r="BG21" s="11">
        <f>Construction!BG14*(Construction!BG30+Construction!BG36+Inputs!$F$105/12+Inputs!BG229*(Inputs!$F$95/100/12-Construction!BG17/100*Construction!BG11/360)+Inputs!$F$97*Inputs!$F$98/100*Construction!BG11/360+Construction!BG15*$F$17)</f>
        <v/>
      </c>
      <c r="BH21" s="11">
        <f>Construction!BH14*(Construction!BH30+Construction!BH36+Inputs!$F$105/12+Inputs!BH229*(Inputs!$F$95/100/12-Construction!BH17/100*Construction!BH11/360)+Inputs!$F$97*Inputs!$F$98/100*Construction!BH11/360+Construction!BH15*$F$17)</f>
        <v/>
      </c>
      <c r="BI21" s="11">
        <f>Construction!BI14*(Construction!BI30+Construction!BI36+Inputs!$F$105/12+Inputs!BI229*(Inputs!$F$95/100/12-Construction!BI17/100*Construction!BI11/360)+Inputs!$F$97*Inputs!$F$98/100*Construction!BI11/360+Construction!BI15*$F$17)</f>
        <v/>
      </c>
      <c r="BJ21" s="11">
        <f>Construction!BJ14*(Construction!BJ30+Construction!BJ36+Inputs!$F$105/12+Inputs!BJ229*(Inputs!$F$95/100/12-Construction!BJ17/100*Construction!BJ11/360)+Inputs!$F$97*Inputs!$F$98/100*Construction!BJ11/360+Construction!BJ15*$F$17)</f>
        <v/>
      </c>
    </row>
    <row r="22">
      <c r="D22" t="inlineStr">
        <is>
          <t>Balance, constant part (alpha)</t>
        </is>
      </c>
      <c r="E22" t="inlineStr">
        <is>
          <t>USD m</t>
        </is>
      </c>
      <c r="J22" s="11">
        <f>0+Construction!J14*$F$9/$F$10*(J21+(J19-J20)*0)</f>
        <v/>
      </c>
      <c r="K22" s="11">
        <f>J22+Construction!K14*$F$9/$F$10*(K21+(K19-K20)*J22)</f>
        <v/>
      </c>
      <c r="L22" s="11">
        <f>K22+Construction!L14*$F$9/$F$10*(L21+(L19-L20)*K22)</f>
        <v/>
      </c>
      <c r="M22" s="11">
        <f>L22+Construction!M14*$F$9/$F$10*(M21+(M19-M20)*L22)</f>
        <v/>
      </c>
      <c r="N22" s="11">
        <f>M22+Construction!N14*$F$9/$F$10*(N21+(N19-N20)*M22)</f>
        <v/>
      </c>
      <c r="O22" s="11">
        <f>N22+Construction!O14*$F$9/$F$10*(O21+(O19-O20)*N22)</f>
        <v/>
      </c>
      <c r="P22" s="11">
        <f>O22+Construction!P14*$F$9/$F$10*(P21+(P19-P20)*O22)</f>
        <v/>
      </c>
      <c r="Q22" s="11">
        <f>P22+Construction!Q14*$F$9/$F$10*(Q21+(Q19-Q20)*P22)</f>
        <v/>
      </c>
      <c r="R22" s="11">
        <f>Q22+Construction!R14*$F$9/$F$10*(R21+(R19-R20)*Q22)</f>
        <v/>
      </c>
      <c r="S22" s="11">
        <f>R22+Construction!S14*$F$9/$F$10*(S21+(S19-S20)*R22)</f>
        <v/>
      </c>
      <c r="T22" s="11">
        <f>S22+Construction!T14*$F$9/$F$10*(T21+(T19-T20)*S22)</f>
        <v/>
      </c>
      <c r="U22" s="11">
        <f>T22+Construction!U14*$F$9/$F$10*(U21+(U19-U20)*T22)</f>
        <v/>
      </c>
      <c r="V22" s="11">
        <f>U22+Construction!V14*$F$9/$F$10*(V21+(V19-V20)*U22)</f>
        <v/>
      </c>
      <c r="W22" s="11">
        <f>V22+Construction!W14*$F$9/$F$10*(W21+(W19-W20)*V22)</f>
        <v/>
      </c>
      <c r="X22" s="11">
        <f>W22+Construction!X14*$F$9/$F$10*(X21+(X19-X20)*W22)</f>
        <v/>
      </c>
      <c r="Y22" s="11">
        <f>X22+Construction!Y14*$F$9/$F$10*(Y21+(Y19-Y20)*X22)</f>
        <v/>
      </c>
      <c r="Z22" s="11">
        <f>Y22+Construction!Z14*$F$9/$F$10*(Z21+(Z19-Z20)*Y22)</f>
        <v/>
      </c>
      <c r="AA22" s="11">
        <f>Z22+Construction!AA14*$F$9/$F$10*(AA21+(AA19-AA20)*Z22)</f>
        <v/>
      </c>
      <c r="AB22" s="11">
        <f>AA22+Construction!AB14*$F$9/$F$10*(AB21+(AB19-AB20)*AA22)</f>
        <v/>
      </c>
      <c r="AC22" s="11">
        <f>AB22+Construction!AC14*$F$9/$F$10*(AC21+(AC19-AC20)*AB22)</f>
        <v/>
      </c>
      <c r="AD22" s="11">
        <f>AC22+Construction!AD14*$F$9/$F$10*(AD21+(AD19-AD20)*AC22)</f>
        <v/>
      </c>
      <c r="AE22" s="11">
        <f>AD22+Construction!AE14*$F$9/$F$10*(AE21+(AE19-AE20)*AD22)</f>
        <v/>
      </c>
      <c r="AF22" s="11">
        <f>AE22+Construction!AF14*$F$9/$F$10*(AF21+(AF19-AF20)*AE22)</f>
        <v/>
      </c>
      <c r="AG22" s="11">
        <f>AF22+Construction!AG14*$F$9/$F$10*(AG21+(AG19-AG20)*AF22)</f>
        <v/>
      </c>
      <c r="AH22" s="11">
        <f>AG22+Construction!AH14*$F$9/$F$10*(AH21+(AH19-AH20)*AG22)</f>
        <v/>
      </c>
      <c r="AI22" s="11">
        <f>AH22+Construction!AI14*$F$9/$F$10*(AI21+(AI19-AI20)*AH22)</f>
        <v/>
      </c>
      <c r="AJ22" s="11">
        <f>AI22+Construction!AJ14*$F$9/$F$10*(AJ21+(AJ19-AJ20)*AI22)</f>
        <v/>
      </c>
      <c r="AK22" s="11">
        <f>AJ22+Construction!AK14*$F$9/$F$10*(AK21+(AK19-AK20)*AJ22)</f>
        <v/>
      </c>
      <c r="AL22" s="11">
        <f>AK22+Construction!AL14*$F$9/$F$10*(AL21+(AL19-AL20)*AK22)</f>
        <v/>
      </c>
      <c r="AM22" s="11">
        <f>AL22+Construction!AM14*$F$9/$F$10*(AM21+(AM19-AM20)*AL22)</f>
        <v/>
      </c>
      <c r="AN22" s="11">
        <f>AM22+Construction!AN14*$F$9/$F$10*(AN21+(AN19-AN20)*AM22)</f>
        <v/>
      </c>
      <c r="AO22" s="11">
        <f>AN22+Construction!AO14*$F$9/$F$10*(AO21+(AO19-AO20)*AN22)</f>
        <v/>
      </c>
      <c r="AP22" s="11">
        <f>AO22+Construction!AP14*$F$9/$F$10*(AP21+(AP19-AP20)*AO22)</f>
        <v/>
      </c>
      <c r="AQ22" s="11">
        <f>AP22+Construction!AQ14*$F$9/$F$10*(AQ21+(AQ19-AQ20)*AP22)</f>
        <v/>
      </c>
      <c r="AR22" s="11">
        <f>AQ22+Construction!AR14*$F$9/$F$10*(AR21+(AR19-AR20)*AQ22)</f>
        <v/>
      </c>
      <c r="AS22" s="11">
        <f>AR22+Construction!AS14*$F$9/$F$10*(AS21+(AS19-AS20)*AR22)</f>
        <v/>
      </c>
      <c r="AT22" s="11">
        <f>AS22+Construction!AT14*$F$9/$F$10*(AT21+(AT19-AT20)*AS22)</f>
        <v/>
      </c>
      <c r="AU22" s="11">
        <f>AT22+Construction!AU14*$F$9/$F$10*(AU21+(AU19-AU20)*AT22)</f>
        <v/>
      </c>
      <c r="AV22" s="11">
        <f>AU22+Construction!AV14*$F$9/$F$10*(AV21+(AV19-AV20)*AU22)</f>
        <v/>
      </c>
      <c r="AW22" s="11">
        <f>AV22+Construction!AW14*$F$9/$F$10*(AW21+(AW19-AW20)*AV22)</f>
        <v/>
      </c>
      <c r="AX22" s="11">
        <f>AW22+Construction!AX14*$F$9/$F$10*(AX21+(AX19-AX20)*AW22)</f>
        <v/>
      </c>
      <c r="AY22" s="11">
        <f>AX22+Construction!AY14*$F$9/$F$10*(AY21+(AY19-AY20)*AX22)</f>
        <v/>
      </c>
      <c r="AZ22" s="11">
        <f>AY22+Construction!AZ14*$F$9/$F$10*(AZ21+(AZ19-AZ20)*AY22)</f>
        <v/>
      </c>
      <c r="BA22" s="11">
        <f>AZ22+Construction!BA14*$F$9/$F$10*(BA21+(BA19-BA20)*AZ22)</f>
        <v/>
      </c>
      <c r="BB22" s="11">
        <f>BA22+Construction!BB14*$F$9/$F$10*(BB21+(BB19-BB20)*BA22)</f>
        <v/>
      </c>
      <c r="BC22" s="11">
        <f>BB22+Construction!BC14*$F$9/$F$10*(BC21+(BC19-BC20)*BB22)</f>
        <v/>
      </c>
      <c r="BD22" s="11">
        <f>BC22+Construction!BD14*$F$9/$F$10*(BD21+(BD19-BD20)*BC22)</f>
        <v/>
      </c>
      <c r="BE22" s="11">
        <f>BD22+Construction!BE14*$F$9/$F$10*(BE21+(BE19-BE20)*BD22)</f>
        <v/>
      </c>
      <c r="BF22" s="11">
        <f>BE22+Construction!BF14*$F$9/$F$10*(BF21+(BF19-BF20)*BE22)</f>
        <v/>
      </c>
      <c r="BG22" s="11">
        <f>BF22+Construction!BG14*$F$9/$F$10*(BG21+(BG19-BG20)*BF22)</f>
        <v/>
      </c>
      <c r="BH22" s="11">
        <f>BG22+Construction!BH14*$F$9/$F$10*(BH21+(BH19-BH20)*BG22)</f>
        <v/>
      </c>
      <c r="BI22" s="11">
        <f>BH22+Construction!BI14*$F$9/$F$10*(BI21+(BI19-BI20)*BH22)</f>
        <v/>
      </c>
      <c r="BJ22" s="11">
        <f>BI22+Construction!BJ14*$F$9/$F$10*(BJ21+(BJ19-BJ20)*BI22)</f>
        <v/>
      </c>
    </row>
    <row r="23">
      <c r="D23" t="inlineStr">
        <is>
          <t>Balance per USD of total funding (beta)</t>
        </is>
      </c>
      <c r="E23" t="inlineStr">
        <is>
          <t>factor</t>
        </is>
      </c>
      <c r="J23" s="14">
        <f>0+Construction!J14*$F$9/$F$10*(J19*0+J20*($F$9-0)+IF(Construction!J8=1,$F$9*(Inputs!$F$73*Inputs!$F$87/100+Inputs!$F$74*Inputs!$F$88/100+Inputs!$F$75*Inputs!$F$89/100+Inputs!$F$76*Inputs!$F$90/100),0)+Construction!J15*$F$9*(Inputs!$F$73*$F$12+Inputs!$F$74*$F$13+Inputs!$F$75*$F$14+Inputs!$F$76*$F$15))</f>
        <v/>
      </c>
      <c r="K23" s="14">
        <f>J23+Construction!K14*$F$9/$F$10*(K19*J23+K20*($F$9-J23)+IF(Construction!K8=1,$F$9*(Inputs!$F$73*Inputs!$F$87/100+Inputs!$F$74*Inputs!$F$88/100+Inputs!$F$75*Inputs!$F$89/100+Inputs!$F$76*Inputs!$F$90/100),0)+Construction!K15*$F$9*(Inputs!$F$73*$F$12+Inputs!$F$74*$F$13+Inputs!$F$75*$F$14+Inputs!$F$76*$F$15))</f>
        <v/>
      </c>
      <c r="L23" s="14">
        <f>K23+Construction!L14*$F$9/$F$10*(L19*K23+L20*($F$9-K23)+IF(Construction!L8=1,$F$9*(Inputs!$F$73*Inputs!$F$87/100+Inputs!$F$74*Inputs!$F$88/100+Inputs!$F$75*Inputs!$F$89/100+Inputs!$F$76*Inputs!$F$90/100),0)+Construction!L15*$F$9*(Inputs!$F$73*$F$12+Inputs!$F$74*$F$13+Inputs!$F$75*$F$14+Inputs!$F$76*$F$15))</f>
        <v/>
      </c>
      <c r="M23" s="14">
        <f>L23+Construction!M14*$F$9/$F$10*(M19*L23+M20*($F$9-L23)+IF(Construction!M8=1,$F$9*(Inputs!$F$73*Inputs!$F$87/100+Inputs!$F$74*Inputs!$F$88/100+Inputs!$F$75*Inputs!$F$89/100+Inputs!$F$76*Inputs!$F$90/100),0)+Construction!M15*$F$9*(Inputs!$F$73*$F$12+Inputs!$F$74*$F$13+Inputs!$F$75*$F$14+Inputs!$F$76*$F$15))</f>
        <v/>
      </c>
      <c r="N23" s="14">
        <f>M23+Construction!N14*$F$9/$F$10*(N19*M23+N20*($F$9-M23)+IF(Construction!N8=1,$F$9*(Inputs!$F$73*Inputs!$F$87/100+Inputs!$F$74*Inputs!$F$88/100+Inputs!$F$75*Inputs!$F$89/100+Inputs!$F$76*Inputs!$F$90/100),0)+Construction!N15*$F$9*(Inputs!$F$73*$F$12+Inputs!$F$74*$F$13+Inputs!$F$75*$F$14+Inputs!$F$76*$F$15))</f>
        <v/>
      </c>
      <c r="O23" s="14">
        <f>N23+Construction!O14*$F$9/$F$10*(O19*N23+O20*($F$9-N23)+IF(Construction!O8=1,$F$9*(Inputs!$F$73*Inputs!$F$87/100+Inputs!$F$74*Inputs!$F$88/100+Inputs!$F$75*Inputs!$F$89/100+Inputs!$F$76*Inputs!$F$90/100),0)+Construction!O15*$F$9*(Inputs!$F$73*$F$12+Inputs!$F$74*$F$13+Inputs!$F$75*$F$14+Inputs!$F$76*$F$15))</f>
        <v/>
      </c>
      <c r="P23" s="14">
        <f>O23+Construction!P14*$F$9/$F$10*(P19*O23+P20*($F$9-O23)+IF(Construction!P8=1,$F$9*(Inputs!$F$73*Inputs!$F$87/100+Inputs!$F$74*Inputs!$F$88/100+Inputs!$F$75*Inputs!$F$89/100+Inputs!$F$76*Inputs!$F$90/100),0)+Construction!P15*$F$9*(Inputs!$F$73*$F$12+Inputs!$F$74*$F$13+Inputs!$F$75*$F$14+Inputs!$F$76*$F$15))</f>
        <v/>
      </c>
      <c r="Q23" s="14">
        <f>P23+Construction!Q14*$F$9/$F$10*(Q19*P23+Q20*($F$9-P23)+IF(Construction!Q8=1,$F$9*(Inputs!$F$73*Inputs!$F$87/100+Inputs!$F$74*Inputs!$F$88/100+Inputs!$F$75*Inputs!$F$89/100+Inputs!$F$76*Inputs!$F$90/100),0)+Construction!Q15*$F$9*(Inputs!$F$73*$F$12+Inputs!$F$74*$F$13+Inputs!$F$75*$F$14+Inputs!$F$76*$F$15))</f>
        <v/>
      </c>
      <c r="R23" s="14">
        <f>Q23+Construction!R14*$F$9/$F$10*(R19*Q23+R20*($F$9-Q23)+IF(Construction!R8=1,$F$9*(Inputs!$F$73*Inputs!$F$87/100+Inputs!$F$74*Inputs!$F$88/100+Inputs!$F$75*Inputs!$F$89/100+Inputs!$F$76*Inputs!$F$90/100),0)+Construction!R15*$F$9*(Inputs!$F$73*$F$12+Inputs!$F$74*$F$13+Inputs!$F$75*$F$14+Inputs!$F$76*$F$15))</f>
        <v/>
      </c>
      <c r="S23" s="14">
        <f>R23+Construction!S14*$F$9/$F$10*(S19*R23+S20*($F$9-R23)+IF(Construction!S8=1,$F$9*(Inputs!$F$73*Inputs!$F$87/100+Inputs!$F$74*Inputs!$F$88/100+Inputs!$F$75*Inputs!$F$89/100+Inputs!$F$76*Inputs!$F$90/100),0)+Construction!S15*$F$9*(Inputs!$F$73*$F$12+Inputs!$F$74*$F$13+Inputs!$F$75*$F$14+Inputs!$F$76*$F$15))</f>
        <v/>
      </c>
      <c r="T23" s="14">
        <f>S23+Construction!T14*$F$9/$F$10*(T19*S23+T20*($F$9-S23)+IF(Construction!T8=1,$F$9*(Inputs!$F$73*Inputs!$F$87/100+Inputs!$F$74*Inputs!$F$88/100+Inputs!$F$75*Inputs!$F$89/100+Inputs!$F$76*Inputs!$F$90/100),0)+Construction!T15*$F$9*(Inputs!$F$73*$F$12+Inputs!$F$74*$F$13+Inputs!$F$75*$F$14+Inputs!$F$76*$F$15))</f>
        <v/>
      </c>
      <c r="U23" s="14">
        <f>T23+Construction!U14*$F$9/$F$10*(U19*T23+U20*($F$9-T23)+IF(Construction!U8=1,$F$9*(Inputs!$F$73*Inputs!$F$87/100+Inputs!$F$74*Inputs!$F$88/100+Inputs!$F$75*Inputs!$F$89/100+Inputs!$F$76*Inputs!$F$90/100),0)+Construction!U15*$F$9*(Inputs!$F$73*$F$12+Inputs!$F$74*$F$13+Inputs!$F$75*$F$14+Inputs!$F$76*$F$15))</f>
        <v/>
      </c>
      <c r="V23" s="14">
        <f>U23+Construction!V14*$F$9/$F$10*(V19*U23+V20*($F$9-U23)+IF(Construction!V8=1,$F$9*(Inputs!$F$73*Inputs!$F$87/100+Inputs!$F$74*Inputs!$F$88/100+Inputs!$F$75*Inputs!$F$89/100+Inputs!$F$76*Inputs!$F$90/100),0)+Construction!V15*$F$9*(Inputs!$F$73*$F$12+Inputs!$F$74*$F$13+Inputs!$F$75*$F$14+Inputs!$F$76*$F$15))</f>
        <v/>
      </c>
      <c r="W23" s="14">
        <f>V23+Construction!W14*$F$9/$F$10*(W19*V23+W20*($F$9-V23)+IF(Construction!W8=1,$F$9*(Inputs!$F$73*Inputs!$F$87/100+Inputs!$F$74*Inputs!$F$88/100+Inputs!$F$75*Inputs!$F$89/100+Inputs!$F$76*Inputs!$F$90/100),0)+Construction!W15*$F$9*(Inputs!$F$73*$F$12+Inputs!$F$74*$F$13+Inputs!$F$75*$F$14+Inputs!$F$76*$F$15))</f>
        <v/>
      </c>
      <c r="X23" s="14">
        <f>W23+Construction!X14*$F$9/$F$10*(X19*W23+X20*($F$9-W23)+IF(Construction!X8=1,$F$9*(Inputs!$F$73*Inputs!$F$87/100+Inputs!$F$74*Inputs!$F$88/100+Inputs!$F$75*Inputs!$F$89/100+Inputs!$F$76*Inputs!$F$90/100),0)+Construction!X15*$F$9*(Inputs!$F$73*$F$12+Inputs!$F$74*$F$13+Inputs!$F$75*$F$14+Inputs!$F$76*$F$15))</f>
        <v/>
      </c>
      <c r="Y23" s="14">
        <f>X23+Construction!Y14*$F$9/$F$10*(Y19*X23+Y20*($F$9-X23)+IF(Construction!Y8=1,$F$9*(Inputs!$F$73*Inputs!$F$87/100+Inputs!$F$74*Inputs!$F$88/100+Inputs!$F$75*Inputs!$F$89/100+Inputs!$F$76*Inputs!$F$90/100),0)+Construction!Y15*$F$9*(Inputs!$F$73*$F$12+Inputs!$F$74*$F$13+Inputs!$F$75*$F$14+Inputs!$F$76*$F$15))</f>
        <v/>
      </c>
      <c r="Z23" s="14">
        <f>Y23+Construction!Z14*$F$9/$F$10*(Z19*Y23+Z20*($F$9-Y23)+IF(Construction!Z8=1,$F$9*(Inputs!$F$73*Inputs!$F$87/100+Inputs!$F$74*Inputs!$F$88/100+Inputs!$F$75*Inputs!$F$89/100+Inputs!$F$76*Inputs!$F$90/100),0)+Construction!Z15*$F$9*(Inputs!$F$73*$F$12+Inputs!$F$74*$F$13+Inputs!$F$75*$F$14+Inputs!$F$76*$F$15))</f>
        <v/>
      </c>
      <c r="AA23" s="14">
        <f>Z23+Construction!AA14*$F$9/$F$10*(AA19*Z23+AA20*($F$9-Z23)+IF(Construction!AA8=1,$F$9*(Inputs!$F$73*Inputs!$F$87/100+Inputs!$F$74*Inputs!$F$88/100+Inputs!$F$75*Inputs!$F$89/100+Inputs!$F$76*Inputs!$F$90/100),0)+Construction!AA15*$F$9*(Inputs!$F$73*$F$12+Inputs!$F$74*$F$13+Inputs!$F$75*$F$14+Inputs!$F$76*$F$15))</f>
        <v/>
      </c>
      <c r="AB23" s="14">
        <f>AA23+Construction!AB14*$F$9/$F$10*(AB19*AA23+AB20*($F$9-AA23)+IF(Construction!AB8=1,$F$9*(Inputs!$F$73*Inputs!$F$87/100+Inputs!$F$74*Inputs!$F$88/100+Inputs!$F$75*Inputs!$F$89/100+Inputs!$F$76*Inputs!$F$90/100),0)+Construction!AB15*$F$9*(Inputs!$F$73*$F$12+Inputs!$F$74*$F$13+Inputs!$F$75*$F$14+Inputs!$F$76*$F$15))</f>
        <v/>
      </c>
      <c r="AC23" s="14">
        <f>AB23+Construction!AC14*$F$9/$F$10*(AC19*AB23+AC20*($F$9-AB23)+IF(Construction!AC8=1,$F$9*(Inputs!$F$73*Inputs!$F$87/100+Inputs!$F$74*Inputs!$F$88/100+Inputs!$F$75*Inputs!$F$89/100+Inputs!$F$76*Inputs!$F$90/100),0)+Construction!AC15*$F$9*(Inputs!$F$73*$F$12+Inputs!$F$74*$F$13+Inputs!$F$75*$F$14+Inputs!$F$76*$F$15))</f>
        <v/>
      </c>
      <c r="AD23" s="14">
        <f>AC23+Construction!AD14*$F$9/$F$10*(AD19*AC23+AD20*($F$9-AC23)+IF(Construction!AD8=1,$F$9*(Inputs!$F$73*Inputs!$F$87/100+Inputs!$F$74*Inputs!$F$88/100+Inputs!$F$75*Inputs!$F$89/100+Inputs!$F$76*Inputs!$F$90/100),0)+Construction!AD15*$F$9*(Inputs!$F$73*$F$12+Inputs!$F$74*$F$13+Inputs!$F$75*$F$14+Inputs!$F$76*$F$15))</f>
        <v/>
      </c>
      <c r="AE23" s="14">
        <f>AD23+Construction!AE14*$F$9/$F$10*(AE19*AD23+AE20*($F$9-AD23)+IF(Construction!AE8=1,$F$9*(Inputs!$F$73*Inputs!$F$87/100+Inputs!$F$74*Inputs!$F$88/100+Inputs!$F$75*Inputs!$F$89/100+Inputs!$F$76*Inputs!$F$90/100),0)+Construction!AE15*$F$9*(Inputs!$F$73*$F$12+Inputs!$F$74*$F$13+Inputs!$F$75*$F$14+Inputs!$F$76*$F$15))</f>
        <v/>
      </c>
      <c r="AF23" s="14">
        <f>AE23+Construction!AF14*$F$9/$F$10*(AF19*AE23+AF20*($F$9-AE23)+IF(Construction!AF8=1,$F$9*(Inputs!$F$73*Inputs!$F$87/100+Inputs!$F$74*Inputs!$F$88/100+Inputs!$F$75*Inputs!$F$89/100+Inputs!$F$76*Inputs!$F$90/100),0)+Construction!AF15*$F$9*(Inputs!$F$73*$F$12+Inputs!$F$74*$F$13+Inputs!$F$75*$F$14+Inputs!$F$76*$F$15))</f>
        <v/>
      </c>
      <c r="AG23" s="14">
        <f>AF23+Construction!AG14*$F$9/$F$10*(AG19*AF23+AG20*($F$9-AF23)+IF(Construction!AG8=1,$F$9*(Inputs!$F$73*Inputs!$F$87/100+Inputs!$F$74*Inputs!$F$88/100+Inputs!$F$75*Inputs!$F$89/100+Inputs!$F$76*Inputs!$F$90/100),0)+Construction!AG15*$F$9*(Inputs!$F$73*$F$12+Inputs!$F$74*$F$13+Inputs!$F$75*$F$14+Inputs!$F$76*$F$15))</f>
        <v/>
      </c>
      <c r="AH23" s="14">
        <f>AG23+Construction!AH14*$F$9/$F$10*(AH19*AG23+AH20*($F$9-AG23)+IF(Construction!AH8=1,$F$9*(Inputs!$F$73*Inputs!$F$87/100+Inputs!$F$74*Inputs!$F$88/100+Inputs!$F$75*Inputs!$F$89/100+Inputs!$F$76*Inputs!$F$90/100),0)+Construction!AH15*$F$9*(Inputs!$F$73*$F$12+Inputs!$F$74*$F$13+Inputs!$F$75*$F$14+Inputs!$F$76*$F$15))</f>
        <v/>
      </c>
      <c r="AI23" s="14">
        <f>AH23+Construction!AI14*$F$9/$F$10*(AI19*AH23+AI20*($F$9-AH23)+IF(Construction!AI8=1,$F$9*(Inputs!$F$73*Inputs!$F$87/100+Inputs!$F$74*Inputs!$F$88/100+Inputs!$F$75*Inputs!$F$89/100+Inputs!$F$76*Inputs!$F$90/100),0)+Construction!AI15*$F$9*(Inputs!$F$73*$F$12+Inputs!$F$74*$F$13+Inputs!$F$75*$F$14+Inputs!$F$76*$F$15))</f>
        <v/>
      </c>
      <c r="AJ23" s="14">
        <f>AI23+Construction!AJ14*$F$9/$F$10*(AJ19*AI23+AJ20*($F$9-AI23)+IF(Construction!AJ8=1,$F$9*(Inputs!$F$73*Inputs!$F$87/100+Inputs!$F$74*Inputs!$F$88/100+Inputs!$F$75*Inputs!$F$89/100+Inputs!$F$76*Inputs!$F$90/100),0)+Construction!AJ15*$F$9*(Inputs!$F$73*$F$12+Inputs!$F$74*$F$13+Inputs!$F$75*$F$14+Inputs!$F$76*$F$15))</f>
        <v/>
      </c>
      <c r="AK23" s="14">
        <f>AJ23+Construction!AK14*$F$9/$F$10*(AK19*AJ23+AK20*($F$9-AJ23)+IF(Construction!AK8=1,$F$9*(Inputs!$F$73*Inputs!$F$87/100+Inputs!$F$74*Inputs!$F$88/100+Inputs!$F$75*Inputs!$F$89/100+Inputs!$F$76*Inputs!$F$90/100),0)+Construction!AK15*$F$9*(Inputs!$F$73*$F$12+Inputs!$F$74*$F$13+Inputs!$F$75*$F$14+Inputs!$F$76*$F$15))</f>
        <v/>
      </c>
      <c r="AL23" s="14">
        <f>AK23+Construction!AL14*$F$9/$F$10*(AL19*AK23+AL20*($F$9-AK23)+IF(Construction!AL8=1,$F$9*(Inputs!$F$73*Inputs!$F$87/100+Inputs!$F$74*Inputs!$F$88/100+Inputs!$F$75*Inputs!$F$89/100+Inputs!$F$76*Inputs!$F$90/100),0)+Construction!AL15*$F$9*(Inputs!$F$73*$F$12+Inputs!$F$74*$F$13+Inputs!$F$75*$F$14+Inputs!$F$76*$F$15))</f>
        <v/>
      </c>
      <c r="AM23" s="14">
        <f>AL23+Construction!AM14*$F$9/$F$10*(AM19*AL23+AM20*($F$9-AL23)+IF(Construction!AM8=1,$F$9*(Inputs!$F$73*Inputs!$F$87/100+Inputs!$F$74*Inputs!$F$88/100+Inputs!$F$75*Inputs!$F$89/100+Inputs!$F$76*Inputs!$F$90/100),0)+Construction!AM15*$F$9*(Inputs!$F$73*$F$12+Inputs!$F$74*$F$13+Inputs!$F$75*$F$14+Inputs!$F$76*$F$15))</f>
        <v/>
      </c>
      <c r="AN23" s="14">
        <f>AM23+Construction!AN14*$F$9/$F$10*(AN19*AM23+AN20*($F$9-AM23)+IF(Construction!AN8=1,$F$9*(Inputs!$F$73*Inputs!$F$87/100+Inputs!$F$74*Inputs!$F$88/100+Inputs!$F$75*Inputs!$F$89/100+Inputs!$F$76*Inputs!$F$90/100),0)+Construction!AN15*$F$9*(Inputs!$F$73*$F$12+Inputs!$F$74*$F$13+Inputs!$F$75*$F$14+Inputs!$F$76*$F$15))</f>
        <v/>
      </c>
      <c r="AO23" s="14">
        <f>AN23+Construction!AO14*$F$9/$F$10*(AO19*AN23+AO20*($F$9-AN23)+IF(Construction!AO8=1,$F$9*(Inputs!$F$73*Inputs!$F$87/100+Inputs!$F$74*Inputs!$F$88/100+Inputs!$F$75*Inputs!$F$89/100+Inputs!$F$76*Inputs!$F$90/100),0)+Construction!AO15*$F$9*(Inputs!$F$73*$F$12+Inputs!$F$74*$F$13+Inputs!$F$75*$F$14+Inputs!$F$76*$F$15))</f>
        <v/>
      </c>
      <c r="AP23" s="14">
        <f>AO23+Construction!AP14*$F$9/$F$10*(AP19*AO23+AP20*($F$9-AO23)+IF(Construction!AP8=1,$F$9*(Inputs!$F$73*Inputs!$F$87/100+Inputs!$F$74*Inputs!$F$88/100+Inputs!$F$75*Inputs!$F$89/100+Inputs!$F$76*Inputs!$F$90/100),0)+Construction!AP15*$F$9*(Inputs!$F$73*$F$12+Inputs!$F$74*$F$13+Inputs!$F$75*$F$14+Inputs!$F$76*$F$15))</f>
        <v/>
      </c>
      <c r="AQ23" s="14">
        <f>AP23+Construction!AQ14*$F$9/$F$10*(AQ19*AP23+AQ20*($F$9-AP23)+IF(Construction!AQ8=1,$F$9*(Inputs!$F$73*Inputs!$F$87/100+Inputs!$F$74*Inputs!$F$88/100+Inputs!$F$75*Inputs!$F$89/100+Inputs!$F$76*Inputs!$F$90/100),0)+Construction!AQ15*$F$9*(Inputs!$F$73*$F$12+Inputs!$F$74*$F$13+Inputs!$F$75*$F$14+Inputs!$F$76*$F$15))</f>
        <v/>
      </c>
      <c r="AR23" s="14">
        <f>AQ23+Construction!AR14*$F$9/$F$10*(AR19*AQ23+AR20*($F$9-AQ23)+IF(Construction!AR8=1,$F$9*(Inputs!$F$73*Inputs!$F$87/100+Inputs!$F$74*Inputs!$F$88/100+Inputs!$F$75*Inputs!$F$89/100+Inputs!$F$76*Inputs!$F$90/100),0)+Construction!AR15*$F$9*(Inputs!$F$73*$F$12+Inputs!$F$74*$F$13+Inputs!$F$75*$F$14+Inputs!$F$76*$F$15))</f>
        <v/>
      </c>
      <c r="AS23" s="14">
        <f>AR23+Construction!AS14*$F$9/$F$10*(AS19*AR23+AS20*($F$9-AR23)+IF(Construction!AS8=1,$F$9*(Inputs!$F$73*Inputs!$F$87/100+Inputs!$F$74*Inputs!$F$88/100+Inputs!$F$75*Inputs!$F$89/100+Inputs!$F$76*Inputs!$F$90/100),0)+Construction!AS15*$F$9*(Inputs!$F$73*$F$12+Inputs!$F$74*$F$13+Inputs!$F$75*$F$14+Inputs!$F$76*$F$15))</f>
        <v/>
      </c>
      <c r="AT23" s="14">
        <f>AS23+Construction!AT14*$F$9/$F$10*(AT19*AS23+AT20*($F$9-AS23)+IF(Construction!AT8=1,$F$9*(Inputs!$F$73*Inputs!$F$87/100+Inputs!$F$74*Inputs!$F$88/100+Inputs!$F$75*Inputs!$F$89/100+Inputs!$F$76*Inputs!$F$90/100),0)+Construction!AT15*$F$9*(Inputs!$F$73*$F$12+Inputs!$F$74*$F$13+Inputs!$F$75*$F$14+Inputs!$F$76*$F$15))</f>
        <v/>
      </c>
      <c r="AU23" s="14">
        <f>AT23+Construction!AU14*$F$9/$F$10*(AU19*AT23+AU20*($F$9-AT23)+IF(Construction!AU8=1,$F$9*(Inputs!$F$73*Inputs!$F$87/100+Inputs!$F$74*Inputs!$F$88/100+Inputs!$F$75*Inputs!$F$89/100+Inputs!$F$76*Inputs!$F$90/100),0)+Construction!AU15*$F$9*(Inputs!$F$73*$F$12+Inputs!$F$74*$F$13+Inputs!$F$75*$F$14+Inputs!$F$76*$F$15))</f>
        <v/>
      </c>
      <c r="AV23" s="14">
        <f>AU23+Construction!AV14*$F$9/$F$10*(AV19*AU23+AV20*($F$9-AU23)+IF(Construction!AV8=1,$F$9*(Inputs!$F$73*Inputs!$F$87/100+Inputs!$F$74*Inputs!$F$88/100+Inputs!$F$75*Inputs!$F$89/100+Inputs!$F$76*Inputs!$F$90/100),0)+Construction!AV15*$F$9*(Inputs!$F$73*$F$12+Inputs!$F$74*$F$13+Inputs!$F$75*$F$14+Inputs!$F$76*$F$15))</f>
        <v/>
      </c>
      <c r="AW23" s="14">
        <f>AV23+Construction!AW14*$F$9/$F$10*(AW19*AV23+AW20*($F$9-AV23)+IF(Construction!AW8=1,$F$9*(Inputs!$F$73*Inputs!$F$87/100+Inputs!$F$74*Inputs!$F$88/100+Inputs!$F$75*Inputs!$F$89/100+Inputs!$F$76*Inputs!$F$90/100),0)+Construction!AW15*$F$9*(Inputs!$F$73*$F$12+Inputs!$F$74*$F$13+Inputs!$F$75*$F$14+Inputs!$F$76*$F$15))</f>
        <v/>
      </c>
      <c r="AX23" s="14">
        <f>AW23+Construction!AX14*$F$9/$F$10*(AX19*AW23+AX20*($F$9-AW23)+IF(Construction!AX8=1,$F$9*(Inputs!$F$73*Inputs!$F$87/100+Inputs!$F$74*Inputs!$F$88/100+Inputs!$F$75*Inputs!$F$89/100+Inputs!$F$76*Inputs!$F$90/100),0)+Construction!AX15*$F$9*(Inputs!$F$73*$F$12+Inputs!$F$74*$F$13+Inputs!$F$75*$F$14+Inputs!$F$76*$F$15))</f>
        <v/>
      </c>
      <c r="AY23" s="14">
        <f>AX23+Construction!AY14*$F$9/$F$10*(AY19*AX23+AY20*($F$9-AX23)+IF(Construction!AY8=1,$F$9*(Inputs!$F$73*Inputs!$F$87/100+Inputs!$F$74*Inputs!$F$88/100+Inputs!$F$75*Inputs!$F$89/100+Inputs!$F$76*Inputs!$F$90/100),0)+Construction!AY15*$F$9*(Inputs!$F$73*$F$12+Inputs!$F$74*$F$13+Inputs!$F$75*$F$14+Inputs!$F$76*$F$15))</f>
        <v/>
      </c>
      <c r="AZ23" s="14">
        <f>AY23+Construction!AZ14*$F$9/$F$10*(AZ19*AY23+AZ20*($F$9-AY23)+IF(Construction!AZ8=1,$F$9*(Inputs!$F$73*Inputs!$F$87/100+Inputs!$F$74*Inputs!$F$88/100+Inputs!$F$75*Inputs!$F$89/100+Inputs!$F$76*Inputs!$F$90/100),0)+Construction!AZ15*$F$9*(Inputs!$F$73*$F$12+Inputs!$F$74*$F$13+Inputs!$F$75*$F$14+Inputs!$F$76*$F$15))</f>
        <v/>
      </c>
      <c r="BA23" s="14">
        <f>AZ23+Construction!BA14*$F$9/$F$10*(BA19*AZ23+BA20*($F$9-AZ23)+IF(Construction!BA8=1,$F$9*(Inputs!$F$73*Inputs!$F$87/100+Inputs!$F$74*Inputs!$F$88/100+Inputs!$F$75*Inputs!$F$89/100+Inputs!$F$76*Inputs!$F$90/100),0)+Construction!BA15*$F$9*(Inputs!$F$73*$F$12+Inputs!$F$74*$F$13+Inputs!$F$75*$F$14+Inputs!$F$76*$F$15))</f>
        <v/>
      </c>
      <c r="BB23" s="14">
        <f>BA23+Construction!BB14*$F$9/$F$10*(BB19*BA23+BB20*($F$9-BA23)+IF(Construction!BB8=1,$F$9*(Inputs!$F$73*Inputs!$F$87/100+Inputs!$F$74*Inputs!$F$88/100+Inputs!$F$75*Inputs!$F$89/100+Inputs!$F$76*Inputs!$F$90/100),0)+Construction!BB15*$F$9*(Inputs!$F$73*$F$12+Inputs!$F$74*$F$13+Inputs!$F$75*$F$14+Inputs!$F$76*$F$15))</f>
        <v/>
      </c>
      <c r="BC23" s="14">
        <f>BB23+Construction!BC14*$F$9/$F$10*(BC19*BB23+BC20*($F$9-BB23)+IF(Construction!BC8=1,$F$9*(Inputs!$F$73*Inputs!$F$87/100+Inputs!$F$74*Inputs!$F$88/100+Inputs!$F$75*Inputs!$F$89/100+Inputs!$F$76*Inputs!$F$90/100),0)+Construction!BC15*$F$9*(Inputs!$F$73*$F$12+Inputs!$F$74*$F$13+Inputs!$F$75*$F$14+Inputs!$F$76*$F$15))</f>
        <v/>
      </c>
      <c r="BD23" s="14">
        <f>BC23+Construction!BD14*$F$9/$F$10*(BD19*BC23+BD20*($F$9-BC23)+IF(Construction!BD8=1,$F$9*(Inputs!$F$73*Inputs!$F$87/100+Inputs!$F$74*Inputs!$F$88/100+Inputs!$F$75*Inputs!$F$89/100+Inputs!$F$76*Inputs!$F$90/100),0)+Construction!BD15*$F$9*(Inputs!$F$73*$F$12+Inputs!$F$74*$F$13+Inputs!$F$75*$F$14+Inputs!$F$76*$F$15))</f>
        <v/>
      </c>
      <c r="BE23" s="14">
        <f>BD23+Construction!BE14*$F$9/$F$10*(BE19*BD23+BE20*($F$9-BD23)+IF(Construction!BE8=1,$F$9*(Inputs!$F$73*Inputs!$F$87/100+Inputs!$F$74*Inputs!$F$88/100+Inputs!$F$75*Inputs!$F$89/100+Inputs!$F$76*Inputs!$F$90/100),0)+Construction!BE15*$F$9*(Inputs!$F$73*$F$12+Inputs!$F$74*$F$13+Inputs!$F$75*$F$14+Inputs!$F$76*$F$15))</f>
        <v/>
      </c>
      <c r="BF23" s="14">
        <f>BE23+Construction!BF14*$F$9/$F$10*(BF19*BE23+BF20*($F$9-BE23)+IF(Construction!BF8=1,$F$9*(Inputs!$F$73*Inputs!$F$87/100+Inputs!$F$74*Inputs!$F$88/100+Inputs!$F$75*Inputs!$F$89/100+Inputs!$F$76*Inputs!$F$90/100),0)+Construction!BF15*$F$9*(Inputs!$F$73*$F$12+Inputs!$F$74*$F$13+Inputs!$F$75*$F$14+Inputs!$F$76*$F$15))</f>
        <v/>
      </c>
      <c r="BG23" s="14">
        <f>BF23+Construction!BG14*$F$9/$F$10*(BG19*BF23+BG20*($F$9-BF23)+IF(Construction!BG8=1,$F$9*(Inputs!$F$73*Inputs!$F$87/100+Inputs!$F$74*Inputs!$F$88/100+Inputs!$F$75*Inputs!$F$89/100+Inputs!$F$76*Inputs!$F$90/100),0)+Construction!BG15*$F$9*(Inputs!$F$73*$F$12+Inputs!$F$74*$F$13+Inputs!$F$75*$F$14+Inputs!$F$76*$F$15))</f>
        <v/>
      </c>
      <c r="BH23" s="14">
        <f>BG23+Construction!BH14*$F$9/$F$10*(BH19*BG23+BH20*($F$9-BG23)+IF(Construction!BH8=1,$F$9*(Inputs!$F$73*Inputs!$F$87/100+Inputs!$F$74*Inputs!$F$88/100+Inputs!$F$75*Inputs!$F$89/100+Inputs!$F$76*Inputs!$F$90/100),0)+Construction!BH15*$F$9*(Inputs!$F$73*$F$12+Inputs!$F$74*$F$13+Inputs!$F$75*$F$14+Inputs!$F$76*$F$15))</f>
        <v/>
      </c>
      <c r="BI23" s="14">
        <f>BH23+Construction!BI14*$F$9/$F$10*(BI19*BH23+BI20*($F$9-BH23)+IF(Construction!BI8=1,$F$9*(Inputs!$F$73*Inputs!$F$87/100+Inputs!$F$74*Inputs!$F$88/100+Inputs!$F$75*Inputs!$F$89/100+Inputs!$F$76*Inputs!$F$90/100),0)+Construction!BI15*$F$9*(Inputs!$F$73*$F$12+Inputs!$F$74*$F$13+Inputs!$F$75*$F$14+Inputs!$F$76*$F$15))</f>
        <v/>
      </c>
      <c r="BJ23" s="14">
        <f>BI23+Construction!BJ14*$F$9/$F$10*(BJ19*BI23+BJ20*($F$9-BI23)+IF(Construction!BJ8=1,$F$9*(Inputs!$F$73*Inputs!$F$87/100+Inputs!$F$74*Inputs!$F$88/100+Inputs!$F$75*Inputs!$F$89/100+Inputs!$F$76*Inputs!$F$90/100),0)+Construction!BJ15*$F$9*(Inputs!$F$73*$F$12+Inputs!$F$74*$F$13+Inputs!$F$75*$F$14+Inputs!$F$76*$F$15))</f>
        <v/>
      </c>
    </row>
    <row r="24">
      <c r="D24" t="inlineStr">
        <is>
          <t>Total funding requirement at this gearing, closed form T = alpha/(g - beta)</t>
        </is>
      </c>
      <c r="E24" t="inlineStr">
        <is>
          <t>USD m</t>
        </is>
      </c>
      <c r="F24" s="15">
        <f>INDEX(Funding!$J$22:$BJ$22,1,Time!$F$13)/(Funding!$F$9-INDEX(Funding!$J$23:$BJ$23,1,Time!$F$13))</f>
        <v/>
      </c>
    </row>
    <row r="25">
      <c r="D25" t="inlineStr">
        <is>
          <t>Senior debt (committed tranches)</t>
        </is>
      </c>
      <c r="E25" t="inlineStr">
        <is>
          <t>USD m</t>
        </is>
      </c>
      <c r="F25" s="15">
        <f>IF(Inputs!$F$50=2,Funding!$F$8*Funding!$F$24,Inputs!$F$111)</f>
        <v/>
      </c>
    </row>
    <row r="26">
      <c r="D26" t="inlineStr">
        <is>
          <t>Debt share of monthly funding</t>
        </is>
      </c>
      <c r="E26" t="inlineStr">
        <is>
          <t>fraction</t>
        </is>
      </c>
      <c r="F26" s="10">
        <f>$F$8</f>
        <v/>
      </c>
    </row>
    <row r="27">
      <c r="B27" s="2" t="inlineStr">
        <is>
          <t>Monthly funding schedule (USD m)</t>
        </is>
      </c>
    </row>
    <row r="28">
      <c r="D28" t="inlineStr">
        <is>
          <t>ECA-covered tranche: opening balance</t>
        </is>
      </c>
      <c r="E28" t="inlineStr">
        <is>
          <t>USD m</t>
        </is>
      </c>
      <c r="J28" s="11">
        <f>0</f>
        <v/>
      </c>
      <c r="K28" s="11">
        <f>J61</f>
        <v/>
      </c>
      <c r="L28" s="11">
        <f>K61</f>
        <v/>
      </c>
      <c r="M28" s="11">
        <f>L61</f>
        <v/>
      </c>
      <c r="N28" s="11">
        <f>M61</f>
        <v/>
      </c>
      <c r="O28" s="11">
        <f>N61</f>
        <v/>
      </c>
      <c r="P28" s="11">
        <f>O61</f>
        <v/>
      </c>
      <c r="Q28" s="11">
        <f>P61</f>
        <v/>
      </c>
      <c r="R28" s="11">
        <f>Q61</f>
        <v/>
      </c>
      <c r="S28" s="11">
        <f>R61</f>
        <v/>
      </c>
      <c r="T28" s="11">
        <f>S61</f>
        <v/>
      </c>
      <c r="U28" s="11">
        <f>T61</f>
        <v/>
      </c>
      <c r="V28" s="11">
        <f>U61</f>
        <v/>
      </c>
      <c r="W28" s="11">
        <f>V61</f>
        <v/>
      </c>
      <c r="X28" s="11">
        <f>W61</f>
        <v/>
      </c>
      <c r="Y28" s="11">
        <f>X61</f>
        <v/>
      </c>
      <c r="Z28" s="11">
        <f>Y61</f>
        <v/>
      </c>
      <c r="AA28" s="11">
        <f>Z61</f>
        <v/>
      </c>
      <c r="AB28" s="11">
        <f>AA61</f>
        <v/>
      </c>
      <c r="AC28" s="11">
        <f>AB61</f>
        <v/>
      </c>
      <c r="AD28" s="11">
        <f>AC61</f>
        <v/>
      </c>
      <c r="AE28" s="11">
        <f>AD61</f>
        <v/>
      </c>
      <c r="AF28" s="11">
        <f>AE61</f>
        <v/>
      </c>
      <c r="AG28" s="11">
        <f>AF61</f>
        <v/>
      </c>
      <c r="AH28" s="11">
        <f>AG61</f>
        <v/>
      </c>
      <c r="AI28" s="11">
        <f>AH61</f>
        <v/>
      </c>
      <c r="AJ28" s="11">
        <f>AI61</f>
        <v/>
      </c>
      <c r="AK28" s="11">
        <f>AJ61</f>
        <v/>
      </c>
      <c r="AL28" s="11">
        <f>AK61</f>
        <v/>
      </c>
      <c r="AM28" s="11">
        <f>AL61</f>
        <v/>
      </c>
      <c r="AN28" s="11">
        <f>AM61</f>
        <v/>
      </c>
      <c r="AO28" s="11">
        <f>AN61</f>
        <v/>
      </c>
      <c r="AP28" s="11">
        <f>AO61</f>
        <v/>
      </c>
      <c r="AQ28" s="11">
        <f>AP61</f>
        <v/>
      </c>
      <c r="AR28" s="11">
        <f>AQ61</f>
        <v/>
      </c>
      <c r="AS28" s="11">
        <f>AR61</f>
        <v/>
      </c>
      <c r="AT28" s="11">
        <f>AS61</f>
        <v/>
      </c>
      <c r="AU28" s="11">
        <f>AT61</f>
        <v/>
      </c>
      <c r="AV28" s="11">
        <f>AU61</f>
        <v/>
      </c>
      <c r="AW28" s="11">
        <f>AV61</f>
        <v/>
      </c>
      <c r="AX28" s="11">
        <f>AW61</f>
        <v/>
      </c>
      <c r="AY28" s="11">
        <f>AX61</f>
        <v/>
      </c>
      <c r="AZ28" s="11">
        <f>AY61</f>
        <v/>
      </c>
      <c r="BA28" s="11">
        <f>AZ61</f>
        <v/>
      </c>
      <c r="BB28" s="11">
        <f>BA61</f>
        <v/>
      </c>
      <c r="BC28" s="11">
        <f>BB61</f>
        <v/>
      </c>
      <c r="BD28" s="11">
        <f>BC61</f>
        <v/>
      </c>
      <c r="BE28" s="11">
        <f>BD61</f>
        <v/>
      </c>
      <c r="BF28" s="11">
        <f>BE61</f>
        <v/>
      </c>
      <c r="BG28" s="11">
        <f>BF61</f>
        <v/>
      </c>
      <c r="BH28" s="11">
        <f>BG61</f>
        <v/>
      </c>
      <c r="BI28" s="11">
        <f>BH61</f>
        <v/>
      </c>
      <c r="BJ28" s="11">
        <f>BI61</f>
        <v/>
      </c>
    </row>
    <row r="29">
      <c r="D29" t="inlineStr">
        <is>
          <t>ABDB A-loan: opening balance</t>
        </is>
      </c>
      <c r="E29" t="inlineStr">
        <is>
          <t>USD m</t>
        </is>
      </c>
      <c r="J29" s="11">
        <f>0</f>
        <v/>
      </c>
      <c r="K29" s="11">
        <f>J62</f>
        <v/>
      </c>
      <c r="L29" s="11">
        <f>K62</f>
        <v/>
      </c>
      <c r="M29" s="11">
        <f>L62</f>
        <v/>
      </c>
      <c r="N29" s="11">
        <f>M62</f>
        <v/>
      </c>
      <c r="O29" s="11">
        <f>N62</f>
        <v/>
      </c>
      <c r="P29" s="11">
        <f>O62</f>
        <v/>
      </c>
      <c r="Q29" s="11">
        <f>P62</f>
        <v/>
      </c>
      <c r="R29" s="11">
        <f>Q62</f>
        <v/>
      </c>
      <c r="S29" s="11">
        <f>R62</f>
        <v/>
      </c>
      <c r="T29" s="11">
        <f>S62</f>
        <v/>
      </c>
      <c r="U29" s="11">
        <f>T62</f>
        <v/>
      </c>
      <c r="V29" s="11">
        <f>U62</f>
        <v/>
      </c>
      <c r="W29" s="11">
        <f>V62</f>
        <v/>
      </c>
      <c r="X29" s="11">
        <f>W62</f>
        <v/>
      </c>
      <c r="Y29" s="11">
        <f>X62</f>
        <v/>
      </c>
      <c r="Z29" s="11">
        <f>Y62</f>
        <v/>
      </c>
      <c r="AA29" s="11">
        <f>Z62</f>
        <v/>
      </c>
      <c r="AB29" s="11">
        <f>AA62</f>
        <v/>
      </c>
      <c r="AC29" s="11">
        <f>AB62</f>
        <v/>
      </c>
      <c r="AD29" s="11">
        <f>AC62</f>
        <v/>
      </c>
      <c r="AE29" s="11">
        <f>AD62</f>
        <v/>
      </c>
      <c r="AF29" s="11">
        <f>AE62</f>
        <v/>
      </c>
      <c r="AG29" s="11">
        <f>AF62</f>
        <v/>
      </c>
      <c r="AH29" s="11">
        <f>AG62</f>
        <v/>
      </c>
      <c r="AI29" s="11">
        <f>AH62</f>
        <v/>
      </c>
      <c r="AJ29" s="11">
        <f>AI62</f>
        <v/>
      </c>
      <c r="AK29" s="11">
        <f>AJ62</f>
        <v/>
      </c>
      <c r="AL29" s="11">
        <f>AK62</f>
        <v/>
      </c>
      <c r="AM29" s="11">
        <f>AL62</f>
        <v/>
      </c>
      <c r="AN29" s="11">
        <f>AM62</f>
        <v/>
      </c>
      <c r="AO29" s="11">
        <f>AN62</f>
        <v/>
      </c>
      <c r="AP29" s="11">
        <f>AO62</f>
        <v/>
      </c>
      <c r="AQ29" s="11">
        <f>AP62</f>
        <v/>
      </c>
      <c r="AR29" s="11">
        <f>AQ62</f>
        <v/>
      </c>
      <c r="AS29" s="11">
        <f>AR62</f>
        <v/>
      </c>
      <c r="AT29" s="11">
        <f>AS62</f>
        <v/>
      </c>
      <c r="AU29" s="11">
        <f>AT62</f>
        <v/>
      </c>
      <c r="AV29" s="11">
        <f>AU62</f>
        <v/>
      </c>
      <c r="AW29" s="11">
        <f>AV62</f>
        <v/>
      </c>
      <c r="AX29" s="11">
        <f>AW62</f>
        <v/>
      </c>
      <c r="AY29" s="11">
        <f>AX62</f>
        <v/>
      </c>
      <c r="AZ29" s="11">
        <f>AY62</f>
        <v/>
      </c>
      <c r="BA29" s="11">
        <f>AZ62</f>
        <v/>
      </c>
      <c r="BB29" s="11">
        <f>BA62</f>
        <v/>
      </c>
      <c r="BC29" s="11">
        <f>BB62</f>
        <v/>
      </c>
      <c r="BD29" s="11">
        <f>BC62</f>
        <v/>
      </c>
      <c r="BE29" s="11">
        <f>BD62</f>
        <v/>
      </c>
      <c r="BF29" s="11">
        <f>BE62</f>
        <v/>
      </c>
      <c r="BG29" s="11">
        <f>BF62</f>
        <v/>
      </c>
      <c r="BH29" s="11">
        <f>BG62</f>
        <v/>
      </c>
      <c r="BI29" s="11">
        <f>BH62</f>
        <v/>
      </c>
      <c r="BJ29" s="11">
        <f>BI62</f>
        <v/>
      </c>
    </row>
    <row r="30">
      <c r="D30" t="inlineStr">
        <is>
          <t>ABDB B-loan: opening balance</t>
        </is>
      </c>
      <c r="E30" t="inlineStr">
        <is>
          <t>USD m</t>
        </is>
      </c>
      <c r="J30" s="11">
        <f>0</f>
        <v/>
      </c>
      <c r="K30" s="11">
        <f>J63</f>
        <v/>
      </c>
      <c r="L30" s="11">
        <f>K63</f>
        <v/>
      </c>
      <c r="M30" s="11">
        <f>L63</f>
        <v/>
      </c>
      <c r="N30" s="11">
        <f>M63</f>
        <v/>
      </c>
      <c r="O30" s="11">
        <f>N63</f>
        <v/>
      </c>
      <c r="P30" s="11">
        <f>O63</f>
        <v/>
      </c>
      <c r="Q30" s="11">
        <f>P63</f>
        <v/>
      </c>
      <c r="R30" s="11">
        <f>Q63</f>
        <v/>
      </c>
      <c r="S30" s="11">
        <f>R63</f>
        <v/>
      </c>
      <c r="T30" s="11">
        <f>S63</f>
        <v/>
      </c>
      <c r="U30" s="11">
        <f>T63</f>
        <v/>
      </c>
      <c r="V30" s="11">
        <f>U63</f>
        <v/>
      </c>
      <c r="W30" s="11">
        <f>V63</f>
        <v/>
      </c>
      <c r="X30" s="11">
        <f>W63</f>
        <v/>
      </c>
      <c r="Y30" s="11">
        <f>X63</f>
        <v/>
      </c>
      <c r="Z30" s="11">
        <f>Y63</f>
        <v/>
      </c>
      <c r="AA30" s="11">
        <f>Z63</f>
        <v/>
      </c>
      <c r="AB30" s="11">
        <f>AA63</f>
        <v/>
      </c>
      <c r="AC30" s="11">
        <f>AB63</f>
        <v/>
      </c>
      <c r="AD30" s="11">
        <f>AC63</f>
        <v/>
      </c>
      <c r="AE30" s="11">
        <f>AD63</f>
        <v/>
      </c>
      <c r="AF30" s="11">
        <f>AE63</f>
        <v/>
      </c>
      <c r="AG30" s="11">
        <f>AF63</f>
        <v/>
      </c>
      <c r="AH30" s="11">
        <f>AG63</f>
        <v/>
      </c>
      <c r="AI30" s="11">
        <f>AH63</f>
        <v/>
      </c>
      <c r="AJ30" s="11">
        <f>AI63</f>
        <v/>
      </c>
      <c r="AK30" s="11">
        <f>AJ63</f>
        <v/>
      </c>
      <c r="AL30" s="11">
        <f>AK63</f>
        <v/>
      </c>
      <c r="AM30" s="11">
        <f>AL63</f>
        <v/>
      </c>
      <c r="AN30" s="11">
        <f>AM63</f>
        <v/>
      </c>
      <c r="AO30" s="11">
        <f>AN63</f>
        <v/>
      </c>
      <c r="AP30" s="11">
        <f>AO63</f>
        <v/>
      </c>
      <c r="AQ30" s="11">
        <f>AP63</f>
        <v/>
      </c>
      <c r="AR30" s="11">
        <f>AQ63</f>
        <v/>
      </c>
      <c r="AS30" s="11">
        <f>AR63</f>
        <v/>
      </c>
      <c r="AT30" s="11">
        <f>AS63</f>
        <v/>
      </c>
      <c r="AU30" s="11">
        <f>AT63</f>
        <v/>
      </c>
      <c r="AV30" s="11">
        <f>AU63</f>
        <v/>
      </c>
      <c r="AW30" s="11">
        <f>AV63</f>
        <v/>
      </c>
      <c r="AX30" s="11">
        <f>AW63</f>
        <v/>
      </c>
      <c r="AY30" s="11">
        <f>AX63</f>
        <v/>
      </c>
      <c r="AZ30" s="11">
        <f>AY63</f>
        <v/>
      </c>
      <c r="BA30" s="11">
        <f>AZ63</f>
        <v/>
      </c>
      <c r="BB30" s="11">
        <f>BA63</f>
        <v/>
      </c>
      <c r="BC30" s="11">
        <f>BB63</f>
        <v/>
      </c>
      <c r="BD30" s="11">
        <f>BC63</f>
        <v/>
      </c>
      <c r="BE30" s="11">
        <f>BD63</f>
        <v/>
      </c>
      <c r="BF30" s="11">
        <f>BE63</f>
        <v/>
      </c>
      <c r="BG30" s="11">
        <f>BF63</f>
        <v/>
      </c>
      <c r="BH30" s="11">
        <f>BG63</f>
        <v/>
      </c>
      <c r="BI30" s="11">
        <f>BH63</f>
        <v/>
      </c>
      <c r="BJ30" s="11">
        <f>BI63</f>
        <v/>
      </c>
    </row>
    <row r="31">
      <c r="D31" t="inlineStr">
        <is>
          <t>Commercial tranche: opening balance</t>
        </is>
      </c>
      <c r="E31" t="inlineStr">
        <is>
          <t>USD m</t>
        </is>
      </c>
      <c r="J31" s="11">
        <f>0</f>
        <v/>
      </c>
      <c r="K31" s="11">
        <f>J64</f>
        <v/>
      </c>
      <c r="L31" s="11">
        <f>K64</f>
        <v/>
      </c>
      <c r="M31" s="11">
        <f>L64</f>
        <v/>
      </c>
      <c r="N31" s="11">
        <f>M64</f>
        <v/>
      </c>
      <c r="O31" s="11">
        <f>N64</f>
        <v/>
      </c>
      <c r="P31" s="11">
        <f>O64</f>
        <v/>
      </c>
      <c r="Q31" s="11">
        <f>P64</f>
        <v/>
      </c>
      <c r="R31" s="11">
        <f>Q64</f>
        <v/>
      </c>
      <c r="S31" s="11">
        <f>R64</f>
        <v/>
      </c>
      <c r="T31" s="11">
        <f>S64</f>
        <v/>
      </c>
      <c r="U31" s="11">
        <f>T64</f>
        <v/>
      </c>
      <c r="V31" s="11">
        <f>U64</f>
        <v/>
      </c>
      <c r="W31" s="11">
        <f>V64</f>
        <v/>
      </c>
      <c r="X31" s="11">
        <f>W64</f>
        <v/>
      </c>
      <c r="Y31" s="11">
        <f>X64</f>
        <v/>
      </c>
      <c r="Z31" s="11">
        <f>Y64</f>
        <v/>
      </c>
      <c r="AA31" s="11">
        <f>Z64</f>
        <v/>
      </c>
      <c r="AB31" s="11">
        <f>AA64</f>
        <v/>
      </c>
      <c r="AC31" s="11">
        <f>AB64</f>
        <v/>
      </c>
      <c r="AD31" s="11">
        <f>AC64</f>
        <v/>
      </c>
      <c r="AE31" s="11">
        <f>AD64</f>
        <v/>
      </c>
      <c r="AF31" s="11">
        <f>AE64</f>
        <v/>
      </c>
      <c r="AG31" s="11">
        <f>AF64</f>
        <v/>
      </c>
      <c r="AH31" s="11">
        <f>AG64</f>
        <v/>
      </c>
      <c r="AI31" s="11">
        <f>AH64</f>
        <v/>
      </c>
      <c r="AJ31" s="11">
        <f>AI64</f>
        <v/>
      </c>
      <c r="AK31" s="11">
        <f>AJ64</f>
        <v/>
      </c>
      <c r="AL31" s="11">
        <f>AK64</f>
        <v/>
      </c>
      <c r="AM31" s="11">
        <f>AL64</f>
        <v/>
      </c>
      <c r="AN31" s="11">
        <f>AM64</f>
        <v/>
      </c>
      <c r="AO31" s="11">
        <f>AN64</f>
        <v/>
      </c>
      <c r="AP31" s="11">
        <f>AO64</f>
        <v/>
      </c>
      <c r="AQ31" s="11">
        <f>AP64</f>
        <v/>
      </c>
      <c r="AR31" s="11">
        <f>AQ64</f>
        <v/>
      </c>
      <c r="AS31" s="11">
        <f>AR64</f>
        <v/>
      </c>
      <c r="AT31" s="11">
        <f>AS64</f>
        <v/>
      </c>
      <c r="AU31" s="11">
        <f>AT64</f>
        <v/>
      </c>
      <c r="AV31" s="11">
        <f>AU64</f>
        <v/>
      </c>
      <c r="AW31" s="11">
        <f>AV64</f>
        <v/>
      </c>
      <c r="AX31" s="11">
        <f>AW64</f>
        <v/>
      </c>
      <c r="AY31" s="11">
        <f>AX64</f>
        <v/>
      </c>
      <c r="AZ31" s="11">
        <f>AY64</f>
        <v/>
      </c>
      <c r="BA31" s="11">
        <f>AZ64</f>
        <v/>
      </c>
      <c r="BB31" s="11">
        <f>BA64</f>
        <v/>
      </c>
      <c r="BC31" s="11">
        <f>BB64</f>
        <v/>
      </c>
      <c r="BD31" s="11">
        <f>BC64</f>
        <v/>
      </c>
      <c r="BE31" s="11">
        <f>BD64</f>
        <v/>
      </c>
      <c r="BF31" s="11">
        <f>BE64</f>
        <v/>
      </c>
      <c r="BG31" s="11">
        <f>BF64</f>
        <v/>
      </c>
      <c r="BH31" s="11">
        <f>BG64</f>
        <v/>
      </c>
      <c r="BI31" s="11">
        <f>BH64</f>
        <v/>
      </c>
      <c r="BJ31" s="11">
        <f>BI64</f>
        <v/>
      </c>
    </row>
    <row r="32">
      <c r="D32" t="inlineStr">
        <is>
          <t>Standby facility: opening balance</t>
        </is>
      </c>
      <c r="E32" t="inlineStr">
        <is>
          <t>USD m</t>
        </is>
      </c>
      <c r="J32" s="11">
        <f>0</f>
        <v/>
      </c>
      <c r="K32" s="11">
        <f>J65</f>
        <v/>
      </c>
      <c r="L32" s="11">
        <f>K65</f>
        <v/>
      </c>
      <c r="M32" s="11">
        <f>L65</f>
        <v/>
      </c>
      <c r="N32" s="11">
        <f>M65</f>
        <v/>
      </c>
      <c r="O32" s="11">
        <f>N65</f>
        <v/>
      </c>
      <c r="P32" s="11">
        <f>O65</f>
        <v/>
      </c>
      <c r="Q32" s="11">
        <f>P65</f>
        <v/>
      </c>
      <c r="R32" s="11">
        <f>Q65</f>
        <v/>
      </c>
      <c r="S32" s="11">
        <f>R65</f>
        <v/>
      </c>
      <c r="T32" s="11">
        <f>S65</f>
        <v/>
      </c>
      <c r="U32" s="11">
        <f>T65</f>
        <v/>
      </c>
      <c r="V32" s="11">
        <f>U65</f>
        <v/>
      </c>
      <c r="W32" s="11">
        <f>V65</f>
        <v/>
      </c>
      <c r="X32" s="11">
        <f>W65</f>
        <v/>
      </c>
      <c r="Y32" s="11">
        <f>X65</f>
        <v/>
      </c>
      <c r="Z32" s="11">
        <f>Y65</f>
        <v/>
      </c>
      <c r="AA32" s="11">
        <f>Z65</f>
        <v/>
      </c>
      <c r="AB32" s="11">
        <f>AA65</f>
        <v/>
      </c>
      <c r="AC32" s="11">
        <f>AB65</f>
        <v/>
      </c>
      <c r="AD32" s="11">
        <f>AC65</f>
        <v/>
      </c>
      <c r="AE32" s="11">
        <f>AD65</f>
        <v/>
      </c>
      <c r="AF32" s="11">
        <f>AE65</f>
        <v/>
      </c>
      <c r="AG32" s="11">
        <f>AF65</f>
        <v/>
      </c>
      <c r="AH32" s="11">
        <f>AG65</f>
        <v/>
      </c>
      <c r="AI32" s="11">
        <f>AH65</f>
        <v/>
      </c>
      <c r="AJ32" s="11">
        <f>AI65</f>
        <v/>
      </c>
      <c r="AK32" s="11">
        <f>AJ65</f>
        <v/>
      </c>
      <c r="AL32" s="11">
        <f>AK65</f>
        <v/>
      </c>
      <c r="AM32" s="11">
        <f>AL65</f>
        <v/>
      </c>
      <c r="AN32" s="11">
        <f>AM65</f>
        <v/>
      </c>
      <c r="AO32" s="11">
        <f>AN65</f>
        <v/>
      </c>
      <c r="AP32" s="11">
        <f>AO65</f>
        <v/>
      </c>
      <c r="AQ32" s="11">
        <f>AP65</f>
        <v/>
      </c>
      <c r="AR32" s="11">
        <f>AQ65</f>
        <v/>
      </c>
      <c r="AS32" s="11">
        <f>AR65</f>
        <v/>
      </c>
      <c r="AT32" s="11">
        <f>AS65</f>
        <v/>
      </c>
      <c r="AU32" s="11">
        <f>AT65</f>
        <v/>
      </c>
      <c r="AV32" s="11">
        <f>AU65</f>
        <v/>
      </c>
      <c r="AW32" s="11">
        <f>AV65</f>
        <v/>
      </c>
      <c r="AX32" s="11">
        <f>AW65</f>
        <v/>
      </c>
      <c r="AY32" s="11">
        <f>AX65</f>
        <v/>
      </c>
      <c r="AZ32" s="11">
        <f>AY65</f>
        <v/>
      </c>
      <c r="BA32" s="11">
        <f>AZ65</f>
        <v/>
      </c>
      <c r="BB32" s="11">
        <f>BA65</f>
        <v/>
      </c>
      <c r="BC32" s="11">
        <f>BB65</f>
        <v/>
      </c>
      <c r="BD32" s="11">
        <f>BC65</f>
        <v/>
      </c>
      <c r="BE32" s="11">
        <f>BD65</f>
        <v/>
      </c>
      <c r="BF32" s="11">
        <f>BE65</f>
        <v/>
      </c>
      <c r="BG32" s="11">
        <f>BF65</f>
        <v/>
      </c>
      <c r="BH32" s="11">
        <f>BG65</f>
        <v/>
      </c>
      <c r="BI32" s="11">
        <f>BH65</f>
        <v/>
      </c>
      <c r="BJ32" s="11">
        <f>BI65</f>
        <v/>
      </c>
    </row>
    <row r="33">
      <c r="D33" t="inlineStr">
        <is>
          <t>ECA-covered tranche: interest</t>
        </is>
      </c>
      <c r="E33" t="inlineStr">
        <is>
          <t>USD m</t>
        </is>
      </c>
      <c r="G33" s="11">
        <f>SUM(J33:BJ33)</f>
        <v/>
      </c>
      <c r="J33" s="11">
        <f>Construction!J14*J28*(Construction!J17+Inputs!$F$77)/100*Construction!J11/360*1</f>
        <v/>
      </c>
      <c r="K33" s="11">
        <f>Construction!K14*K28*(Construction!K17+Inputs!$F$77)/100*Construction!K11/360*1</f>
        <v/>
      </c>
      <c r="L33" s="11">
        <f>Construction!L14*L28*(Construction!L17+Inputs!$F$77)/100*Construction!L11/360*1</f>
        <v/>
      </c>
      <c r="M33" s="11">
        <f>Construction!M14*M28*(Construction!M17+Inputs!$F$77)/100*Construction!M11/360*1</f>
        <v/>
      </c>
      <c r="N33" s="11">
        <f>Construction!N14*N28*(Construction!N17+Inputs!$F$77)/100*Construction!N11/360*1</f>
        <v/>
      </c>
      <c r="O33" s="11">
        <f>Construction!O14*O28*(Construction!O17+Inputs!$F$77)/100*Construction!O11/360*1</f>
        <v/>
      </c>
      <c r="P33" s="11">
        <f>Construction!P14*P28*(Construction!P17+Inputs!$F$77)/100*Construction!P11/360*1</f>
        <v/>
      </c>
      <c r="Q33" s="11">
        <f>Construction!Q14*Q28*(Construction!Q17+Inputs!$F$77)/100*Construction!Q11/360*1</f>
        <v/>
      </c>
      <c r="R33" s="11">
        <f>Construction!R14*R28*(Construction!R17+Inputs!$F$77)/100*Construction!R11/360*1</f>
        <v/>
      </c>
      <c r="S33" s="11">
        <f>Construction!S14*S28*(Construction!S17+Inputs!$F$77)/100*Construction!S11/360*1</f>
        <v/>
      </c>
      <c r="T33" s="11">
        <f>Construction!T14*T28*(Construction!T17+Inputs!$F$77)/100*Construction!T11/360*1</f>
        <v/>
      </c>
      <c r="U33" s="11">
        <f>Construction!U14*U28*(Construction!U17+Inputs!$F$77)/100*Construction!U11/360*1</f>
        <v/>
      </c>
      <c r="V33" s="11">
        <f>Construction!V14*V28*(Construction!V17+Inputs!$F$77)/100*Construction!V11/360*1</f>
        <v/>
      </c>
      <c r="W33" s="11">
        <f>Construction!W14*W28*(Construction!W17+Inputs!$F$77)/100*Construction!W11/360*1</f>
        <v/>
      </c>
      <c r="X33" s="11">
        <f>Construction!X14*X28*(Construction!X17+Inputs!$F$77)/100*Construction!X11/360*1</f>
        <v/>
      </c>
      <c r="Y33" s="11">
        <f>Construction!Y14*Y28*(Construction!Y17+Inputs!$F$77)/100*Construction!Y11/360*1</f>
        <v/>
      </c>
      <c r="Z33" s="11">
        <f>Construction!Z14*Z28*(Construction!Z17+Inputs!$F$77)/100*Construction!Z11/360*1</f>
        <v/>
      </c>
      <c r="AA33" s="11">
        <f>Construction!AA14*AA28*(Construction!AA17+Inputs!$F$77)/100*Construction!AA11/360*1</f>
        <v/>
      </c>
      <c r="AB33" s="11">
        <f>Construction!AB14*AB28*(Construction!AB17+Inputs!$F$77)/100*Construction!AB11/360*1</f>
        <v/>
      </c>
      <c r="AC33" s="11">
        <f>Construction!AC14*AC28*(Construction!AC17+Inputs!$F$77)/100*Construction!AC11/360*1</f>
        <v/>
      </c>
      <c r="AD33" s="11">
        <f>Construction!AD14*AD28*(Construction!AD17+Inputs!$F$77)/100*Construction!AD11/360*1</f>
        <v/>
      </c>
      <c r="AE33" s="11">
        <f>Construction!AE14*AE28*(Construction!AE17+Inputs!$F$77)/100*Construction!AE11/360*1</f>
        <v/>
      </c>
      <c r="AF33" s="11">
        <f>Construction!AF14*AF28*(Construction!AF17+Inputs!$F$77)/100*Construction!AF11/360*1</f>
        <v/>
      </c>
      <c r="AG33" s="11">
        <f>Construction!AG14*AG28*(Construction!AG17+Inputs!$F$77)/100*Construction!AG11/360*1</f>
        <v/>
      </c>
      <c r="AH33" s="11">
        <f>Construction!AH14*AH28*(Construction!AH17+Inputs!$F$77)/100*Construction!AH11/360*1</f>
        <v/>
      </c>
      <c r="AI33" s="11">
        <f>Construction!AI14*AI28*(Construction!AI17+Inputs!$F$77)/100*Construction!AI11/360*1</f>
        <v/>
      </c>
      <c r="AJ33" s="11">
        <f>Construction!AJ14*AJ28*(Construction!AJ17+Inputs!$F$77)/100*Construction!AJ11/360*1</f>
        <v/>
      </c>
      <c r="AK33" s="11">
        <f>Construction!AK14*AK28*(Construction!AK17+Inputs!$F$77)/100*Construction!AK11/360*1</f>
        <v/>
      </c>
      <c r="AL33" s="11">
        <f>Construction!AL14*AL28*(Construction!AL17+Inputs!$F$77)/100*Construction!AL11/360*1</f>
        <v/>
      </c>
      <c r="AM33" s="11">
        <f>Construction!AM14*AM28*(Construction!AM17+Inputs!$F$77)/100*Construction!AM11/360*1</f>
        <v/>
      </c>
      <c r="AN33" s="11">
        <f>Construction!AN14*AN28*(Construction!AN17+Inputs!$F$77)/100*Construction!AN11/360*1</f>
        <v/>
      </c>
      <c r="AO33" s="11">
        <f>Construction!AO14*AO28*(Construction!AO17+Inputs!$F$77)/100*Construction!AO11/360*1</f>
        <v/>
      </c>
      <c r="AP33" s="11">
        <f>Construction!AP14*AP28*(Construction!AP17+Inputs!$F$77)/100*Construction!AP11/360*1</f>
        <v/>
      </c>
      <c r="AQ33" s="11">
        <f>Construction!AQ14*AQ28*(Construction!AQ17+Inputs!$F$77)/100*Construction!AQ11/360*1</f>
        <v/>
      </c>
      <c r="AR33" s="11">
        <f>Construction!AR14*AR28*(Construction!AR17+Inputs!$F$77)/100*Construction!AR11/360*1</f>
        <v/>
      </c>
      <c r="AS33" s="11">
        <f>Construction!AS14*AS28*(Construction!AS17+Inputs!$F$77)/100*Construction!AS11/360*1</f>
        <v/>
      </c>
      <c r="AT33" s="11">
        <f>Construction!AT14*AT28*(Construction!AT17+Inputs!$F$77)/100*Construction!AT11/360*1</f>
        <v/>
      </c>
      <c r="AU33" s="11">
        <f>Construction!AU14*AU28*(Construction!AU17+Inputs!$F$77)/100*Construction!AU11/360*1</f>
        <v/>
      </c>
      <c r="AV33" s="11">
        <f>Construction!AV14*AV28*(Construction!AV17+Inputs!$F$77)/100*Construction!AV11/360*1</f>
        <v/>
      </c>
      <c r="AW33" s="11">
        <f>Construction!AW14*AW28*(Construction!AW17+Inputs!$F$77)/100*Construction!AW11/360*1</f>
        <v/>
      </c>
      <c r="AX33" s="11">
        <f>Construction!AX14*AX28*(Construction!AX17+Inputs!$F$77)/100*Construction!AX11/360*1</f>
        <v/>
      </c>
      <c r="AY33" s="11">
        <f>Construction!AY14*AY28*(Construction!AY17+Inputs!$F$77)/100*Construction!AY11/360*1</f>
        <v/>
      </c>
      <c r="AZ33" s="11">
        <f>Construction!AZ14*AZ28*(Construction!AZ17+Inputs!$F$77)/100*Construction!AZ11/360*1</f>
        <v/>
      </c>
      <c r="BA33" s="11">
        <f>Construction!BA14*BA28*(Construction!BA17+Inputs!$F$77)/100*Construction!BA11/360*1</f>
        <v/>
      </c>
      <c r="BB33" s="11">
        <f>Construction!BB14*BB28*(Construction!BB17+Inputs!$F$77)/100*Construction!BB11/360*1</f>
        <v/>
      </c>
      <c r="BC33" s="11">
        <f>Construction!BC14*BC28*(Construction!BC17+Inputs!$F$77)/100*Construction!BC11/360*1</f>
        <v/>
      </c>
      <c r="BD33" s="11">
        <f>Construction!BD14*BD28*(Construction!BD17+Inputs!$F$77)/100*Construction!BD11/360*1</f>
        <v/>
      </c>
      <c r="BE33" s="11">
        <f>Construction!BE14*BE28*(Construction!BE17+Inputs!$F$77)/100*Construction!BE11/360*1</f>
        <v/>
      </c>
      <c r="BF33" s="11">
        <f>Construction!BF14*BF28*(Construction!BF17+Inputs!$F$77)/100*Construction!BF11/360*1</f>
        <v/>
      </c>
      <c r="BG33" s="11">
        <f>Construction!BG14*BG28*(Construction!BG17+Inputs!$F$77)/100*Construction!BG11/360*1</f>
        <v/>
      </c>
      <c r="BH33" s="11">
        <f>Construction!BH14*BH28*(Construction!BH17+Inputs!$F$77)/100*Construction!BH11/360*1</f>
        <v/>
      </c>
      <c r="BI33" s="11">
        <f>Construction!BI14*BI28*(Construction!BI17+Inputs!$F$77)/100*Construction!BI11/360*1</f>
        <v/>
      </c>
      <c r="BJ33" s="11">
        <f>Construction!BJ14*BJ28*(Construction!BJ17+Inputs!$F$77)/100*Construction!BJ11/360*1</f>
        <v/>
      </c>
    </row>
    <row r="34">
      <c r="D34" t="inlineStr">
        <is>
          <t>ABDB A-loan: interest</t>
        </is>
      </c>
      <c r="E34" t="inlineStr">
        <is>
          <t>USD m</t>
        </is>
      </c>
      <c r="G34" s="11">
        <f>SUM(J34:BJ34)</f>
        <v/>
      </c>
      <c r="J34" s="11">
        <f>Construction!J14*J29*(Construction!J17+Inputs!$F$78)/100*Construction!J11/360*1</f>
        <v/>
      </c>
      <c r="K34" s="11">
        <f>Construction!K14*K29*(Construction!K17+Inputs!$F$78)/100*Construction!K11/360*1</f>
        <v/>
      </c>
      <c r="L34" s="11">
        <f>Construction!L14*L29*(Construction!L17+Inputs!$F$78)/100*Construction!L11/360*1</f>
        <v/>
      </c>
      <c r="M34" s="11">
        <f>Construction!M14*M29*(Construction!M17+Inputs!$F$78)/100*Construction!M11/360*1</f>
        <v/>
      </c>
      <c r="N34" s="11">
        <f>Construction!N14*N29*(Construction!N17+Inputs!$F$78)/100*Construction!N11/360*1</f>
        <v/>
      </c>
      <c r="O34" s="11">
        <f>Construction!O14*O29*(Construction!O17+Inputs!$F$78)/100*Construction!O11/360*1</f>
        <v/>
      </c>
      <c r="P34" s="11">
        <f>Construction!P14*P29*(Construction!P17+Inputs!$F$78)/100*Construction!P11/360*1</f>
        <v/>
      </c>
      <c r="Q34" s="11">
        <f>Construction!Q14*Q29*(Construction!Q17+Inputs!$F$78)/100*Construction!Q11/360*1</f>
        <v/>
      </c>
      <c r="R34" s="11">
        <f>Construction!R14*R29*(Construction!R17+Inputs!$F$78)/100*Construction!R11/360*1</f>
        <v/>
      </c>
      <c r="S34" s="11">
        <f>Construction!S14*S29*(Construction!S17+Inputs!$F$78)/100*Construction!S11/360*1</f>
        <v/>
      </c>
      <c r="T34" s="11">
        <f>Construction!T14*T29*(Construction!T17+Inputs!$F$78)/100*Construction!T11/360*1</f>
        <v/>
      </c>
      <c r="U34" s="11">
        <f>Construction!U14*U29*(Construction!U17+Inputs!$F$78)/100*Construction!U11/360*1</f>
        <v/>
      </c>
      <c r="V34" s="11">
        <f>Construction!V14*V29*(Construction!V17+Inputs!$F$78)/100*Construction!V11/360*1</f>
        <v/>
      </c>
      <c r="W34" s="11">
        <f>Construction!W14*W29*(Construction!W17+Inputs!$F$78)/100*Construction!W11/360*1</f>
        <v/>
      </c>
      <c r="X34" s="11">
        <f>Construction!X14*X29*(Construction!X17+Inputs!$F$78)/100*Construction!X11/360*1</f>
        <v/>
      </c>
      <c r="Y34" s="11">
        <f>Construction!Y14*Y29*(Construction!Y17+Inputs!$F$78)/100*Construction!Y11/360*1</f>
        <v/>
      </c>
      <c r="Z34" s="11">
        <f>Construction!Z14*Z29*(Construction!Z17+Inputs!$F$78)/100*Construction!Z11/360*1</f>
        <v/>
      </c>
      <c r="AA34" s="11">
        <f>Construction!AA14*AA29*(Construction!AA17+Inputs!$F$78)/100*Construction!AA11/360*1</f>
        <v/>
      </c>
      <c r="AB34" s="11">
        <f>Construction!AB14*AB29*(Construction!AB17+Inputs!$F$78)/100*Construction!AB11/360*1</f>
        <v/>
      </c>
      <c r="AC34" s="11">
        <f>Construction!AC14*AC29*(Construction!AC17+Inputs!$F$78)/100*Construction!AC11/360*1</f>
        <v/>
      </c>
      <c r="AD34" s="11">
        <f>Construction!AD14*AD29*(Construction!AD17+Inputs!$F$78)/100*Construction!AD11/360*1</f>
        <v/>
      </c>
      <c r="AE34" s="11">
        <f>Construction!AE14*AE29*(Construction!AE17+Inputs!$F$78)/100*Construction!AE11/360*1</f>
        <v/>
      </c>
      <c r="AF34" s="11">
        <f>Construction!AF14*AF29*(Construction!AF17+Inputs!$F$78)/100*Construction!AF11/360*1</f>
        <v/>
      </c>
      <c r="AG34" s="11">
        <f>Construction!AG14*AG29*(Construction!AG17+Inputs!$F$78)/100*Construction!AG11/360*1</f>
        <v/>
      </c>
      <c r="AH34" s="11">
        <f>Construction!AH14*AH29*(Construction!AH17+Inputs!$F$78)/100*Construction!AH11/360*1</f>
        <v/>
      </c>
      <c r="AI34" s="11">
        <f>Construction!AI14*AI29*(Construction!AI17+Inputs!$F$78)/100*Construction!AI11/360*1</f>
        <v/>
      </c>
      <c r="AJ34" s="11">
        <f>Construction!AJ14*AJ29*(Construction!AJ17+Inputs!$F$78)/100*Construction!AJ11/360*1</f>
        <v/>
      </c>
      <c r="AK34" s="11">
        <f>Construction!AK14*AK29*(Construction!AK17+Inputs!$F$78)/100*Construction!AK11/360*1</f>
        <v/>
      </c>
      <c r="AL34" s="11">
        <f>Construction!AL14*AL29*(Construction!AL17+Inputs!$F$78)/100*Construction!AL11/360*1</f>
        <v/>
      </c>
      <c r="AM34" s="11">
        <f>Construction!AM14*AM29*(Construction!AM17+Inputs!$F$78)/100*Construction!AM11/360*1</f>
        <v/>
      </c>
      <c r="AN34" s="11">
        <f>Construction!AN14*AN29*(Construction!AN17+Inputs!$F$78)/100*Construction!AN11/360*1</f>
        <v/>
      </c>
      <c r="AO34" s="11">
        <f>Construction!AO14*AO29*(Construction!AO17+Inputs!$F$78)/100*Construction!AO11/360*1</f>
        <v/>
      </c>
      <c r="AP34" s="11">
        <f>Construction!AP14*AP29*(Construction!AP17+Inputs!$F$78)/100*Construction!AP11/360*1</f>
        <v/>
      </c>
      <c r="AQ34" s="11">
        <f>Construction!AQ14*AQ29*(Construction!AQ17+Inputs!$F$78)/100*Construction!AQ11/360*1</f>
        <v/>
      </c>
      <c r="AR34" s="11">
        <f>Construction!AR14*AR29*(Construction!AR17+Inputs!$F$78)/100*Construction!AR11/360*1</f>
        <v/>
      </c>
      <c r="AS34" s="11">
        <f>Construction!AS14*AS29*(Construction!AS17+Inputs!$F$78)/100*Construction!AS11/360*1</f>
        <v/>
      </c>
      <c r="AT34" s="11">
        <f>Construction!AT14*AT29*(Construction!AT17+Inputs!$F$78)/100*Construction!AT11/360*1</f>
        <v/>
      </c>
      <c r="AU34" s="11">
        <f>Construction!AU14*AU29*(Construction!AU17+Inputs!$F$78)/100*Construction!AU11/360*1</f>
        <v/>
      </c>
      <c r="AV34" s="11">
        <f>Construction!AV14*AV29*(Construction!AV17+Inputs!$F$78)/100*Construction!AV11/360*1</f>
        <v/>
      </c>
      <c r="AW34" s="11">
        <f>Construction!AW14*AW29*(Construction!AW17+Inputs!$F$78)/100*Construction!AW11/360*1</f>
        <v/>
      </c>
      <c r="AX34" s="11">
        <f>Construction!AX14*AX29*(Construction!AX17+Inputs!$F$78)/100*Construction!AX11/360*1</f>
        <v/>
      </c>
      <c r="AY34" s="11">
        <f>Construction!AY14*AY29*(Construction!AY17+Inputs!$F$78)/100*Construction!AY11/360*1</f>
        <v/>
      </c>
      <c r="AZ34" s="11">
        <f>Construction!AZ14*AZ29*(Construction!AZ17+Inputs!$F$78)/100*Construction!AZ11/360*1</f>
        <v/>
      </c>
      <c r="BA34" s="11">
        <f>Construction!BA14*BA29*(Construction!BA17+Inputs!$F$78)/100*Construction!BA11/360*1</f>
        <v/>
      </c>
      <c r="BB34" s="11">
        <f>Construction!BB14*BB29*(Construction!BB17+Inputs!$F$78)/100*Construction!BB11/360*1</f>
        <v/>
      </c>
      <c r="BC34" s="11">
        <f>Construction!BC14*BC29*(Construction!BC17+Inputs!$F$78)/100*Construction!BC11/360*1</f>
        <v/>
      </c>
      <c r="BD34" s="11">
        <f>Construction!BD14*BD29*(Construction!BD17+Inputs!$F$78)/100*Construction!BD11/360*1</f>
        <v/>
      </c>
      <c r="BE34" s="11">
        <f>Construction!BE14*BE29*(Construction!BE17+Inputs!$F$78)/100*Construction!BE11/360*1</f>
        <v/>
      </c>
      <c r="BF34" s="11">
        <f>Construction!BF14*BF29*(Construction!BF17+Inputs!$F$78)/100*Construction!BF11/360*1</f>
        <v/>
      </c>
      <c r="BG34" s="11">
        <f>Construction!BG14*BG29*(Construction!BG17+Inputs!$F$78)/100*Construction!BG11/360*1</f>
        <v/>
      </c>
      <c r="BH34" s="11">
        <f>Construction!BH14*BH29*(Construction!BH17+Inputs!$F$78)/100*Construction!BH11/360*1</f>
        <v/>
      </c>
      <c r="BI34" s="11">
        <f>Construction!BI14*BI29*(Construction!BI17+Inputs!$F$78)/100*Construction!BI11/360*1</f>
        <v/>
      </c>
      <c r="BJ34" s="11">
        <f>Construction!BJ14*BJ29*(Construction!BJ17+Inputs!$F$78)/100*Construction!BJ11/360*1</f>
        <v/>
      </c>
    </row>
    <row r="35">
      <c r="D35" t="inlineStr">
        <is>
          <t>ABDB B-loan: interest</t>
        </is>
      </c>
      <c r="E35" t="inlineStr">
        <is>
          <t>USD m</t>
        </is>
      </c>
      <c r="G35" s="11">
        <f>SUM(J35:BJ35)</f>
        <v/>
      </c>
      <c r="J35" s="11">
        <f>Construction!J14*J30*(Construction!J17+Inputs!$F$79)/100*Construction!J11/360*1</f>
        <v/>
      </c>
      <c r="K35" s="11">
        <f>Construction!K14*K30*(Construction!K17+Inputs!$F$79)/100*Construction!K11/360*1</f>
        <v/>
      </c>
      <c r="L35" s="11">
        <f>Construction!L14*L30*(Construction!L17+Inputs!$F$79)/100*Construction!L11/360*1</f>
        <v/>
      </c>
      <c r="M35" s="11">
        <f>Construction!M14*M30*(Construction!M17+Inputs!$F$79)/100*Construction!M11/360*1</f>
        <v/>
      </c>
      <c r="N35" s="11">
        <f>Construction!N14*N30*(Construction!N17+Inputs!$F$79)/100*Construction!N11/360*1</f>
        <v/>
      </c>
      <c r="O35" s="11">
        <f>Construction!O14*O30*(Construction!O17+Inputs!$F$79)/100*Construction!O11/360*1</f>
        <v/>
      </c>
      <c r="P35" s="11">
        <f>Construction!P14*P30*(Construction!P17+Inputs!$F$79)/100*Construction!P11/360*1</f>
        <v/>
      </c>
      <c r="Q35" s="11">
        <f>Construction!Q14*Q30*(Construction!Q17+Inputs!$F$79)/100*Construction!Q11/360*1</f>
        <v/>
      </c>
      <c r="R35" s="11">
        <f>Construction!R14*R30*(Construction!R17+Inputs!$F$79)/100*Construction!R11/360*1</f>
        <v/>
      </c>
      <c r="S35" s="11">
        <f>Construction!S14*S30*(Construction!S17+Inputs!$F$79)/100*Construction!S11/360*1</f>
        <v/>
      </c>
      <c r="T35" s="11">
        <f>Construction!T14*T30*(Construction!T17+Inputs!$F$79)/100*Construction!T11/360*1</f>
        <v/>
      </c>
      <c r="U35" s="11">
        <f>Construction!U14*U30*(Construction!U17+Inputs!$F$79)/100*Construction!U11/360*1</f>
        <v/>
      </c>
      <c r="V35" s="11">
        <f>Construction!V14*V30*(Construction!V17+Inputs!$F$79)/100*Construction!V11/360*1</f>
        <v/>
      </c>
      <c r="W35" s="11">
        <f>Construction!W14*W30*(Construction!W17+Inputs!$F$79)/100*Construction!W11/360*1</f>
        <v/>
      </c>
      <c r="X35" s="11">
        <f>Construction!X14*X30*(Construction!X17+Inputs!$F$79)/100*Construction!X11/360*1</f>
        <v/>
      </c>
      <c r="Y35" s="11">
        <f>Construction!Y14*Y30*(Construction!Y17+Inputs!$F$79)/100*Construction!Y11/360*1</f>
        <v/>
      </c>
      <c r="Z35" s="11">
        <f>Construction!Z14*Z30*(Construction!Z17+Inputs!$F$79)/100*Construction!Z11/360*1</f>
        <v/>
      </c>
      <c r="AA35" s="11">
        <f>Construction!AA14*AA30*(Construction!AA17+Inputs!$F$79)/100*Construction!AA11/360*1</f>
        <v/>
      </c>
      <c r="AB35" s="11">
        <f>Construction!AB14*AB30*(Construction!AB17+Inputs!$F$79)/100*Construction!AB11/360*1</f>
        <v/>
      </c>
      <c r="AC35" s="11">
        <f>Construction!AC14*AC30*(Construction!AC17+Inputs!$F$79)/100*Construction!AC11/360*1</f>
        <v/>
      </c>
      <c r="AD35" s="11">
        <f>Construction!AD14*AD30*(Construction!AD17+Inputs!$F$79)/100*Construction!AD11/360*1</f>
        <v/>
      </c>
      <c r="AE35" s="11">
        <f>Construction!AE14*AE30*(Construction!AE17+Inputs!$F$79)/100*Construction!AE11/360*1</f>
        <v/>
      </c>
      <c r="AF35" s="11">
        <f>Construction!AF14*AF30*(Construction!AF17+Inputs!$F$79)/100*Construction!AF11/360*1</f>
        <v/>
      </c>
      <c r="AG35" s="11">
        <f>Construction!AG14*AG30*(Construction!AG17+Inputs!$F$79)/100*Construction!AG11/360*1</f>
        <v/>
      </c>
      <c r="AH35" s="11">
        <f>Construction!AH14*AH30*(Construction!AH17+Inputs!$F$79)/100*Construction!AH11/360*1</f>
        <v/>
      </c>
      <c r="AI35" s="11">
        <f>Construction!AI14*AI30*(Construction!AI17+Inputs!$F$79)/100*Construction!AI11/360*1</f>
        <v/>
      </c>
      <c r="AJ35" s="11">
        <f>Construction!AJ14*AJ30*(Construction!AJ17+Inputs!$F$79)/100*Construction!AJ11/360*1</f>
        <v/>
      </c>
      <c r="AK35" s="11">
        <f>Construction!AK14*AK30*(Construction!AK17+Inputs!$F$79)/100*Construction!AK11/360*1</f>
        <v/>
      </c>
      <c r="AL35" s="11">
        <f>Construction!AL14*AL30*(Construction!AL17+Inputs!$F$79)/100*Construction!AL11/360*1</f>
        <v/>
      </c>
      <c r="AM35" s="11">
        <f>Construction!AM14*AM30*(Construction!AM17+Inputs!$F$79)/100*Construction!AM11/360*1</f>
        <v/>
      </c>
      <c r="AN35" s="11">
        <f>Construction!AN14*AN30*(Construction!AN17+Inputs!$F$79)/100*Construction!AN11/360*1</f>
        <v/>
      </c>
      <c r="AO35" s="11">
        <f>Construction!AO14*AO30*(Construction!AO17+Inputs!$F$79)/100*Construction!AO11/360*1</f>
        <v/>
      </c>
      <c r="AP35" s="11">
        <f>Construction!AP14*AP30*(Construction!AP17+Inputs!$F$79)/100*Construction!AP11/360*1</f>
        <v/>
      </c>
      <c r="AQ35" s="11">
        <f>Construction!AQ14*AQ30*(Construction!AQ17+Inputs!$F$79)/100*Construction!AQ11/360*1</f>
        <v/>
      </c>
      <c r="AR35" s="11">
        <f>Construction!AR14*AR30*(Construction!AR17+Inputs!$F$79)/100*Construction!AR11/360*1</f>
        <v/>
      </c>
      <c r="AS35" s="11">
        <f>Construction!AS14*AS30*(Construction!AS17+Inputs!$F$79)/100*Construction!AS11/360*1</f>
        <v/>
      </c>
      <c r="AT35" s="11">
        <f>Construction!AT14*AT30*(Construction!AT17+Inputs!$F$79)/100*Construction!AT11/360*1</f>
        <v/>
      </c>
      <c r="AU35" s="11">
        <f>Construction!AU14*AU30*(Construction!AU17+Inputs!$F$79)/100*Construction!AU11/360*1</f>
        <v/>
      </c>
      <c r="AV35" s="11">
        <f>Construction!AV14*AV30*(Construction!AV17+Inputs!$F$79)/100*Construction!AV11/360*1</f>
        <v/>
      </c>
      <c r="AW35" s="11">
        <f>Construction!AW14*AW30*(Construction!AW17+Inputs!$F$79)/100*Construction!AW11/360*1</f>
        <v/>
      </c>
      <c r="AX35" s="11">
        <f>Construction!AX14*AX30*(Construction!AX17+Inputs!$F$79)/100*Construction!AX11/360*1</f>
        <v/>
      </c>
      <c r="AY35" s="11">
        <f>Construction!AY14*AY30*(Construction!AY17+Inputs!$F$79)/100*Construction!AY11/360*1</f>
        <v/>
      </c>
      <c r="AZ35" s="11">
        <f>Construction!AZ14*AZ30*(Construction!AZ17+Inputs!$F$79)/100*Construction!AZ11/360*1</f>
        <v/>
      </c>
      <c r="BA35" s="11">
        <f>Construction!BA14*BA30*(Construction!BA17+Inputs!$F$79)/100*Construction!BA11/360*1</f>
        <v/>
      </c>
      <c r="BB35" s="11">
        <f>Construction!BB14*BB30*(Construction!BB17+Inputs!$F$79)/100*Construction!BB11/360*1</f>
        <v/>
      </c>
      <c r="BC35" s="11">
        <f>Construction!BC14*BC30*(Construction!BC17+Inputs!$F$79)/100*Construction!BC11/360*1</f>
        <v/>
      </c>
      <c r="BD35" s="11">
        <f>Construction!BD14*BD30*(Construction!BD17+Inputs!$F$79)/100*Construction!BD11/360*1</f>
        <v/>
      </c>
      <c r="BE35" s="11">
        <f>Construction!BE14*BE30*(Construction!BE17+Inputs!$F$79)/100*Construction!BE11/360*1</f>
        <v/>
      </c>
      <c r="BF35" s="11">
        <f>Construction!BF14*BF30*(Construction!BF17+Inputs!$F$79)/100*Construction!BF11/360*1</f>
        <v/>
      </c>
      <c r="BG35" s="11">
        <f>Construction!BG14*BG30*(Construction!BG17+Inputs!$F$79)/100*Construction!BG11/360*1</f>
        <v/>
      </c>
      <c r="BH35" s="11">
        <f>Construction!BH14*BH30*(Construction!BH17+Inputs!$F$79)/100*Construction!BH11/360*1</f>
        <v/>
      </c>
      <c r="BI35" s="11">
        <f>Construction!BI14*BI30*(Construction!BI17+Inputs!$F$79)/100*Construction!BI11/360*1</f>
        <v/>
      </c>
      <c r="BJ35" s="11">
        <f>Construction!BJ14*BJ30*(Construction!BJ17+Inputs!$F$79)/100*Construction!BJ11/360*1</f>
        <v/>
      </c>
    </row>
    <row r="36">
      <c r="D36" t="inlineStr">
        <is>
          <t>Commercial tranche: interest</t>
        </is>
      </c>
      <c r="E36" t="inlineStr">
        <is>
          <t>USD m</t>
        </is>
      </c>
      <c r="G36" s="11">
        <f>SUM(J36:BJ36)</f>
        <v/>
      </c>
      <c r="J36" s="11">
        <f>Construction!J14*J31*(Construction!J17+Inputs!$F$80)/100*Construction!J11/360*(1/(1-Inputs!$F$91/100))</f>
        <v/>
      </c>
      <c r="K36" s="11">
        <f>Construction!K14*K31*(Construction!K17+Inputs!$F$80)/100*Construction!K11/360*(1/(1-Inputs!$F$91/100))</f>
        <v/>
      </c>
      <c r="L36" s="11">
        <f>Construction!L14*L31*(Construction!L17+Inputs!$F$80)/100*Construction!L11/360*(1/(1-Inputs!$F$91/100))</f>
        <v/>
      </c>
      <c r="M36" s="11">
        <f>Construction!M14*M31*(Construction!M17+Inputs!$F$80)/100*Construction!M11/360*(1/(1-Inputs!$F$91/100))</f>
        <v/>
      </c>
      <c r="N36" s="11">
        <f>Construction!N14*N31*(Construction!N17+Inputs!$F$80)/100*Construction!N11/360*(1/(1-Inputs!$F$91/100))</f>
        <v/>
      </c>
      <c r="O36" s="11">
        <f>Construction!O14*O31*(Construction!O17+Inputs!$F$80)/100*Construction!O11/360*(1/(1-Inputs!$F$91/100))</f>
        <v/>
      </c>
      <c r="P36" s="11">
        <f>Construction!P14*P31*(Construction!P17+Inputs!$F$80)/100*Construction!P11/360*(1/(1-Inputs!$F$91/100))</f>
        <v/>
      </c>
      <c r="Q36" s="11">
        <f>Construction!Q14*Q31*(Construction!Q17+Inputs!$F$80)/100*Construction!Q11/360*(1/(1-Inputs!$F$91/100))</f>
        <v/>
      </c>
      <c r="R36" s="11">
        <f>Construction!R14*R31*(Construction!R17+Inputs!$F$80)/100*Construction!R11/360*(1/(1-Inputs!$F$91/100))</f>
        <v/>
      </c>
      <c r="S36" s="11">
        <f>Construction!S14*S31*(Construction!S17+Inputs!$F$80)/100*Construction!S11/360*(1/(1-Inputs!$F$91/100))</f>
        <v/>
      </c>
      <c r="T36" s="11">
        <f>Construction!T14*T31*(Construction!T17+Inputs!$F$80)/100*Construction!T11/360*(1/(1-Inputs!$F$91/100))</f>
        <v/>
      </c>
      <c r="U36" s="11">
        <f>Construction!U14*U31*(Construction!U17+Inputs!$F$80)/100*Construction!U11/360*(1/(1-Inputs!$F$91/100))</f>
        <v/>
      </c>
      <c r="V36" s="11">
        <f>Construction!V14*V31*(Construction!V17+Inputs!$F$80)/100*Construction!V11/360*(1/(1-Inputs!$F$91/100))</f>
        <v/>
      </c>
      <c r="W36" s="11">
        <f>Construction!W14*W31*(Construction!W17+Inputs!$F$80)/100*Construction!W11/360*(1/(1-Inputs!$F$91/100))</f>
        <v/>
      </c>
      <c r="X36" s="11">
        <f>Construction!X14*X31*(Construction!X17+Inputs!$F$80)/100*Construction!X11/360*(1/(1-Inputs!$F$91/100))</f>
        <v/>
      </c>
      <c r="Y36" s="11">
        <f>Construction!Y14*Y31*(Construction!Y17+Inputs!$F$80)/100*Construction!Y11/360*(1/(1-Inputs!$F$91/100))</f>
        <v/>
      </c>
      <c r="Z36" s="11">
        <f>Construction!Z14*Z31*(Construction!Z17+Inputs!$F$80)/100*Construction!Z11/360*(1/(1-Inputs!$F$91/100))</f>
        <v/>
      </c>
      <c r="AA36" s="11">
        <f>Construction!AA14*AA31*(Construction!AA17+Inputs!$F$80)/100*Construction!AA11/360*(1/(1-Inputs!$F$91/100))</f>
        <v/>
      </c>
      <c r="AB36" s="11">
        <f>Construction!AB14*AB31*(Construction!AB17+Inputs!$F$80)/100*Construction!AB11/360*(1/(1-Inputs!$F$91/100))</f>
        <v/>
      </c>
      <c r="AC36" s="11">
        <f>Construction!AC14*AC31*(Construction!AC17+Inputs!$F$80)/100*Construction!AC11/360*(1/(1-Inputs!$F$91/100))</f>
        <v/>
      </c>
      <c r="AD36" s="11">
        <f>Construction!AD14*AD31*(Construction!AD17+Inputs!$F$80)/100*Construction!AD11/360*(1/(1-Inputs!$F$91/100))</f>
        <v/>
      </c>
      <c r="AE36" s="11">
        <f>Construction!AE14*AE31*(Construction!AE17+Inputs!$F$80)/100*Construction!AE11/360*(1/(1-Inputs!$F$91/100))</f>
        <v/>
      </c>
      <c r="AF36" s="11">
        <f>Construction!AF14*AF31*(Construction!AF17+Inputs!$F$80)/100*Construction!AF11/360*(1/(1-Inputs!$F$91/100))</f>
        <v/>
      </c>
      <c r="AG36" s="11">
        <f>Construction!AG14*AG31*(Construction!AG17+Inputs!$F$80)/100*Construction!AG11/360*(1/(1-Inputs!$F$91/100))</f>
        <v/>
      </c>
      <c r="AH36" s="11">
        <f>Construction!AH14*AH31*(Construction!AH17+Inputs!$F$80)/100*Construction!AH11/360*(1/(1-Inputs!$F$91/100))</f>
        <v/>
      </c>
      <c r="AI36" s="11">
        <f>Construction!AI14*AI31*(Construction!AI17+Inputs!$F$80)/100*Construction!AI11/360*(1/(1-Inputs!$F$91/100))</f>
        <v/>
      </c>
      <c r="AJ36" s="11">
        <f>Construction!AJ14*AJ31*(Construction!AJ17+Inputs!$F$80)/100*Construction!AJ11/360*(1/(1-Inputs!$F$91/100))</f>
        <v/>
      </c>
      <c r="AK36" s="11">
        <f>Construction!AK14*AK31*(Construction!AK17+Inputs!$F$80)/100*Construction!AK11/360*(1/(1-Inputs!$F$91/100))</f>
        <v/>
      </c>
      <c r="AL36" s="11">
        <f>Construction!AL14*AL31*(Construction!AL17+Inputs!$F$80)/100*Construction!AL11/360*(1/(1-Inputs!$F$91/100))</f>
        <v/>
      </c>
      <c r="AM36" s="11">
        <f>Construction!AM14*AM31*(Construction!AM17+Inputs!$F$80)/100*Construction!AM11/360*(1/(1-Inputs!$F$91/100))</f>
        <v/>
      </c>
      <c r="AN36" s="11">
        <f>Construction!AN14*AN31*(Construction!AN17+Inputs!$F$80)/100*Construction!AN11/360*(1/(1-Inputs!$F$91/100))</f>
        <v/>
      </c>
      <c r="AO36" s="11">
        <f>Construction!AO14*AO31*(Construction!AO17+Inputs!$F$80)/100*Construction!AO11/360*(1/(1-Inputs!$F$91/100))</f>
        <v/>
      </c>
      <c r="AP36" s="11">
        <f>Construction!AP14*AP31*(Construction!AP17+Inputs!$F$80)/100*Construction!AP11/360*(1/(1-Inputs!$F$91/100))</f>
        <v/>
      </c>
      <c r="AQ36" s="11">
        <f>Construction!AQ14*AQ31*(Construction!AQ17+Inputs!$F$80)/100*Construction!AQ11/360*(1/(1-Inputs!$F$91/100))</f>
        <v/>
      </c>
      <c r="AR36" s="11">
        <f>Construction!AR14*AR31*(Construction!AR17+Inputs!$F$80)/100*Construction!AR11/360*(1/(1-Inputs!$F$91/100))</f>
        <v/>
      </c>
      <c r="AS36" s="11">
        <f>Construction!AS14*AS31*(Construction!AS17+Inputs!$F$80)/100*Construction!AS11/360*(1/(1-Inputs!$F$91/100))</f>
        <v/>
      </c>
      <c r="AT36" s="11">
        <f>Construction!AT14*AT31*(Construction!AT17+Inputs!$F$80)/100*Construction!AT11/360*(1/(1-Inputs!$F$91/100))</f>
        <v/>
      </c>
      <c r="AU36" s="11">
        <f>Construction!AU14*AU31*(Construction!AU17+Inputs!$F$80)/100*Construction!AU11/360*(1/(1-Inputs!$F$91/100))</f>
        <v/>
      </c>
      <c r="AV36" s="11">
        <f>Construction!AV14*AV31*(Construction!AV17+Inputs!$F$80)/100*Construction!AV11/360*(1/(1-Inputs!$F$91/100))</f>
        <v/>
      </c>
      <c r="AW36" s="11">
        <f>Construction!AW14*AW31*(Construction!AW17+Inputs!$F$80)/100*Construction!AW11/360*(1/(1-Inputs!$F$91/100))</f>
        <v/>
      </c>
      <c r="AX36" s="11">
        <f>Construction!AX14*AX31*(Construction!AX17+Inputs!$F$80)/100*Construction!AX11/360*(1/(1-Inputs!$F$91/100))</f>
        <v/>
      </c>
      <c r="AY36" s="11">
        <f>Construction!AY14*AY31*(Construction!AY17+Inputs!$F$80)/100*Construction!AY11/360*(1/(1-Inputs!$F$91/100))</f>
        <v/>
      </c>
      <c r="AZ36" s="11">
        <f>Construction!AZ14*AZ31*(Construction!AZ17+Inputs!$F$80)/100*Construction!AZ11/360*(1/(1-Inputs!$F$91/100))</f>
        <v/>
      </c>
      <c r="BA36" s="11">
        <f>Construction!BA14*BA31*(Construction!BA17+Inputs!$F$80)/100*Construction!BA11/360*(1/(1-Inputs!$F$91/100))</f>
        <v/>
      </c>
      <c r="BB36" s="11">
        <f>Construction!BB14*BB31*(Construction!BB17+Inputs!$F$80)/100*Construction!BB11/360*(1/(1-Inputs!$F$91/100))</f>
        <v/>
      </c>
      <c r="BC36" s="11">
        <f>Construction!BC14*BC31*(Construction!BC17+Inputs!$F$80)/100*Construction!BC11/360*(1/(1-Inputs!$F$91/100))</f>
        <v/>
      </c>
      <c r="BD36" s="11">
        <f>Construction!BD14*BD31*(Construction!BD17+Inputs!$F$80)/100*Construction!BD11/360*(1/(1-Inputs!$F$91/100))</f>
        <v/>
      </c>
      <c r="BE36" s="11">
        <f>Construction!BE14*BE31*(Construction!BE17+Inputs!$F$80)/100*Construction!BE11/360*(1/(1-Inputs!$F$91/100))</f>
        <v/>
      </c>
      <c r="BF36" s="11">
        <f>Construction!BF14*BF31*(Construction!BF17+Inputs!$F$80)/100*Construction!BF11/360*(1/(1-Inputs!$F$91/100))</f>
        <v/>
      </c>
      <c r="BG36" s="11">
        <f>Construction!BG14*BG31*(Construction!BG17+Inputs!$F$80)/100*Construction!BG11/360*(1/(1-Inputs!$F$91/100))</f>
        <v/>
      </c>
      <c r="BH36" s="11">
        <f>Construction!BH14*BH31*(Construction!BH17+Inputs!$F$80)/100*Construction!BH11/360*(1/(1-Inputs!$F$91/100))</f>
        <v/>
      </c>
      <c r="BI36" s="11">
        <f>Construction!BI14*BI31*(Construction!BI17+Inputs!$F$80)/100*Construction!BI11/360*(1/(1-Inputs!$F$91/100))</f>
        <v/>
      </c>
      <c r="BJ36" s="11">
        <f>Construction!BJ14*BJ31*(Construction!BJ17+Inputs!$F$80)/100*Construction!BJ11/360*(1/(1-Inputs!$F$91/100))</f>
        <v/>
      </c>
    </row>
    <row r="37">
      <c r="D37" t="inlineStr">
        <is>
          <t>Standby facility: interest</t>
        </is>
      </c>
      <c r="E37" t="inlineStr">
        <is>
          <t>USD m</t>
        </is>
      </c>
      <c r="G37" s="11">
        <f>SUM(J37:BJ37)</f>
        <v/>
      </c>
      <c r="J37" s="11">
        <f>Construction!J14*J32*(Inputs!$F$100*(Construction!J17+Inputs!$F$80+Inputs!$F$99)/(1-Inputs!$F$91/100)+(1-Inputs!$F$100)*(Construction!J17+Inputs!$F$78+Inputs!$F$99))/100*Construction!J11/360</f>
        <v/>
      </c>
      <c r="K37" s="11">
        <f>Construction!K14*K32*(Inputs!$F$100*(Construction!K17+Inputs!$F$80+Inputs!$F$99)/(1-Inputs!$F$91/100)+(1-Inputs!$F$100)*(Construction!K17+Inputs!$F$78+Inputs!$F$99))/100*Construction!K11/360</f>
        <v/>
      </c>
      <c r="L37" s="11">
        <f>Construction!L14*L32*(Inputs!$F$100*(Construction!L17+Inputs!$F$80+Inputs!$F$99)/(1-Inputs!$F$91/100)+(1-Inputs!$F$100)*(Construction!L17+Inputs!$F$78+Inputs!$F$99))/100*Construction!L11/360</f>
        <v/>
      </c>
      <c r="M37" s="11">
        <f>Construction!M14*M32*(Inputs!$F$100*(Construction!M17+Inputs!$F$80+Inputs!$F$99)/(1-Inputs!$F$91/100)+(1-Inputs!$F$100)*(Construction!M17+Inputs!$F$78+Inputs!$F$99))/100*Construction!M11/360</f>
        <v/>
      </c>
      <c r="N37" s="11">
        <f>Construction!N14*N32*(Inputs!$F$100*(Construction!N17+Inputs!$F$80+Inputs!$F$99)/(1-Inputs!$F$91/100)+(1-Inputs!$F$100)*(Construction!N17+Inputs!$F$78+Inputs!$F$99))/100*Construction!N11/360</f>
        <v/>
      </c>
      <c r="O37" s="11">
        <f>Construction!O14*O32*(Inputs!$F$100*(Construction!O17+Inputs!$F$80+Inputs!$F$99)/(1-Inputs!$F$91/100)+(1-Inputs!$F$100)*(Construction!O17+Inputs!$F$78+Inputs!$F$99))/100*Construction!O11/360</f>
        <v/>
      </c>
      <c r="P37" s="11">
        <f>Construction!P14*P32*(Inputs!$F$100*(Construction!P17+Inputs!$F$80+Inputs!$F$99)/(1-Inputs!$F$91/100)+(1-Inputs!$F$100)*(Construction!P17+Inputs!$F$78+Inputs!$F$99))/100*Construction!P11/360</f>
        <v/>
      </c>
      <c r="Q37" s="11">
        <f>Construction!Q14*Q32*(Inputs!$F$100*(Construction!Q17+Inputs!$F$80+Inputs!$F$99)/(1-Inputs!$F$91/100)+(1-Inputs!$F$100)*(Construction!Q17+Inputs!$F$78+Inputs!$F$99))/100*Construction!Q11/360</f>
        <v/>
      </c>
      <c r="R37" s="11">
        <f>Construction!R14*R32*(Inputs!$F$100*(Construction!R17+Inputs!$F$80+Inputs!$F$99)/(1-Inputs!$F$91/100)+(1-Inputs!$F$100)*(Construction!R17+Inputs!$F$78+Inputs!$F$99))/100*Construction!R11/360</f>
        <v/>
      </c>
      <c r="S37" s="11">
        <f>Construction!S14*S32*(Inputs!$F$100*(Construction!S17+Inputs!$F$80+Inputs!$F$99)/(1-Inputs!$F$91/100)+(1-Inputs!$F$100)*(Construction!S17+Inputs!$F$78+Inputs!$F$99))/100*Construction!S11/360</f>
        <v/>
      </c>
      <c r="T37" s="11">
        <f>Construction!T14*T32*(Inputs!$F$100*(Construction!T17+Inputs!$F$80+Inputs!$F$99)/(1-Inputs!$F$91/100)+(1-Inputs!$F$100)*(Construction!T17+Inputs!$F$78+Inputs!$F$99))/100*Construction!T11/360</f>
        <v/>
      </c>
      <c r="U37" s="11">
        <f>Construction!U14*U32*(Inputs!$F$100*(Construction!U17+Inputs!$F$80+Inputs!$F$99)/(1-Inputs!$F$91/100)+(1-Inputs!$F$100)*(Construction!U17+Inputs!$F$78+Inputs!$F$99))/100*Construction!U11/360</f>
        <v/>
      </c>
      <c r="V37" s="11">
        <f>Construction!V14*V32*(Inputs!$F$100*(Construction!V17+Inputs!$F$80+Inputs!$F$99)/(1-Inputs!$F$91/100)+(1-Inputs!$F$100)*(Construction!V17+Inputs!$F$78+Inputs!$F$99))/100*Construction!V11/360</f>
        <v/>
      </c>
      <c r="W37" s="11">
        <f>Construction!W14*W32*(Inputs!$F$100*(Construction!W17+Inputs!$F$80+Inputs!$F$99)/(1-Inputs!$F$91/100)+(1-Inputs!$F$100)*(Construction!W17+Inputs!$F$78+Inputs!$F$99))/100*Construction!W11/360</f>
        <v/>
      </c>
      <c r="X37" s="11">
        <f>Construction!X14*X32*(Inputs!$F$100*(Construction!X17+Inputs!$F$80+Inputs!$F$99)/(1-Inputs!$F$91/100)+(1-Inputs!$F$100)*(Construction!X17+Inputs!$F$78+Inputs!$F$99))/100*Construction!X11/360</f>
        <v/>
      </c>
      <c r="Y37" s="11">
        <f>Construction!Y14*Y32*(Inputs!$F$100*(Construction!Y17+Inputs!$F$80+Inputs!$F$99)/(1-Inputs!$F$91/100)+(1-Inputs!$F$100)*(Construction!Y17+Inputs!$F$78+Inputs!$F$99))/100*Construction!Y11/360</f>
        <v/>
      </c>
      <c r="Z37" s="11">
        <f>Construction!Z14*Z32*(Inputs!$F$100*(Construction!Z17+Inputs!$F$80+Inputs!$F$99)/(1-Inputs!$F$91/100)+(1-Inputs!$F$100)*(Construction!Z17+Inputs!$F$78+Inputs!$F$99))/100*Construction!Z11/360</f>
        <v/>
      </c>
      <c r="AA37" s="11">
        <f>Construction!AA14*AA32*(Inputs!$F$100*(Construction!AA17+Inputs!$F$80+Inputs!$F$99)/(1-Inputs!$F$91/100)+(1-Inputs!$F$100)*(Construction!AA17+Inputs!$F$78+Inputs!$F$99))/100*Construction!AA11/360</f>
        <v/>
      </c>
      <c r="AB37" s="11">
        <f>Construction!AB14*AB32*(Inputs!$F$100*(Construction!AB17+Inputs!$F$80+Inputs!$F$99)/(1-Inputs!$F$91/100)+(1-Inputs!$F$100)*(Construction!AB17+Inputs!$F$78+Inputs!$F$99))/100*Construction!AB11/360</f>
        <v/>
      </c>
      <c r="AC37" s="11">
        <f>Construction!AC14*AC32*(Inputs!$F$100*(Construction!AC17+Inputs!$F$80+Inputs!$F$99)/(1-Inputs!$F$91/100)+(1-Inputs!$F$100)*(Construction!AC17+Inputs!$F$78+Inputs!$F$99))/100*Construction!AC11/360</f>
        <v/>
      </c>
      <c r="AD37" s="11">
        <f>Construction!AD14*AD32*(Inputs!$F$100*(Construction!AD17+Inputs!$F$80+Inputs!$F$99)/(1-Inputs!$F$91/100)+(1-Inputs!$F$100)*(Construction!AD17+Inputs!$F$78+Inputs!$F$99))/100*Construction!AD11/360</f>
        <v/>
      </c>
      <c r="AE37" s="11">
        <f>Construction!AE14*AE32*(Inputs!$F$100*(Construction!AE17+Inputs!$F$80+Inputs!$F$99)/(1-Inputs!$F$91/100)+(1-Inputs!$F$100)*(Construction!AE17+Inputs!$F$78+Inputs!$F$99))/100*Construction!AE11/360</f>
        <v/>
      </c>
      <c r="AF37" s="11">
        <f>Construction!AF14*AF32*(Inputs!$F$100*(Construction!AF17+Inputs!$F$80+Inputs!$F$99)/(1-Inputs!$F$91/100)+(1-Inputs!$F$100)*(Construction!AF17+Inputs!$F$78+Inputs!$F$99))/100*Construction!AF11/360</f>
        <v/>
      </c>
      <c r="AG37" s="11">
        <f>Construction!AG14*AG32*(Inputs!$F$100*(Construction!AG17+Inputs!$F$80+Inputs!$F$99)/(1-Inputs!$F$91/100)+(1-Inputs!$F$100)*(Construction!AG17+Inputs!$F$78+Inputs!$F$99))/100*Construction!AG11/360</f>
        <v/>
      </c>
      <c r="AH37" s="11">
        <f>Construction!AH14*AH32*(Inputs!$F$100*(Construction!AH17+Inputs!$F$80+Inputs!$F$99)/(1-Inputs!$F$91/100)+(1-Inputs!$F$100)*(Construction!AH17+Inputs!$F$78+Inputs!$F$99))/100*Construction!AH11/360</f>
        <v/>
      </c>
      <c r="AI37" s="11">
        <f>Construction!AI14*AI32*(Inputs!$F$100*(Construction!AI17+Inputs!$F$80+Inputs!$F$99)/(1-Inputs!$F$91/100)+(1-Inputs!$F$100)*(Construction!AI17+Inputs!$F$78+Inputs!$F$99))/100*Construction!AI11/360</f>
        <v/>
      </c>
      <c r="AJ37" s="11">
        <f>Construction!AJ14*AJ32*(Inputs!$F$100*(Construction!AJ17+Inputs!$F$80+Inputs!$F$99)/(1-Inputs!$F$91/100)+(1-Inputs!$F$100)*(Construction!AJ17+Inputs!$F$78+Inputs!$F$99))/100*Construction!AJ11/360</f>
        <v/>
      </c>
      <c r="AK37" s="11">
        <f>Construction!AK14*AK32*(Inputs!$F$100*(Construction!AK17+Inputs!$F$80+Inputs!$F$99)/(1-Inputs!$F$91/100)+(1-Inputs!$F$100)*(Construction!AK17+Inputs!$F$78+Inputs!$F$99))/100*Construction!AK11/360</f>
        <v/>
      </c>
      <c r="AL37" s="11">
        <f>Construction!AL14*AL32*(Inputs!$F$100*(Construction!AL17+Inputs!$F$80+Inputs!$F$99)/(1-Inputs!$F$91/100)+(1-Inputs!$F$100)*(Construction!AL17+Inputs!$F$78+Inputs!$F$99))/100*Construction!AL11/360</f>
        <v/>
      </c>
      <c r="AM37" s="11">
        <f>Construction!AM14*AM32*(Inputs!$F$100*(Construction!AM17+Inputs!$F$80+Inputs!$F$99)/(1-Inputs!$F$91/100)+(1-Inputs!$F$100)*(Construction!AM17+Inputs!$F$78+Inputs!$F$99))/100*Construction!AM11/360</f>
        <v/>
      </c>
      <c r="AN37" s="11">
        <f>Construction!AN14*AN32*(Inputs!$F$100*(Construction!AN17+Inputs!$F$80+Inputs!$F$99)/(1-Inputs!$F$91/100)+(1-Inputs!$F$100)*(Construction!AN17+Inputs!$F$78+Inputs!$F$99))/100*Construction!AN11/360</f>
        <v/>
      </c>
      <c r="AO37" s="11">
        <f>Construction!AO14*AO32*(Inputs!$F$100*(Construction!AO17+Inputs!$F$80+Inputs!$F$99)/(1-Inputs!$F$91/100)+(1-Inputs!$F$100)*(Construction!AO17+Inputs!$F$78+Inputs!$F$99))/100*Construction!AO11/360</f>
        <v/>
      </c>
      <c r="AP37" s="11">
        <f>Construction!AP14*AP32*(Inputs!$F$100*(Construction!AP17+Inputs!$F$80+Inputs!$F$99)/(1-Inputs!$F$91/100)+(1-Inputs!$F$100)*(Construction!AP17+Inputs!$F$78+Inputs!$F$99))/100*Construction!AP11/360</f>
        <v/>
      </c>
      <c r="AQ37" s="11">
        <f>Construction!AQ14*AQ32*(Inputs!$F$100*(Construction!AQ17+Inputs!$F$80+Inputs!$F$99)/(1-Inputs!$F$91/100)+(1-Inputs!$F$100)*(Construction!AQ17+Inputs!$F$78+Inputs!$F$99))/100*Construction!AQ11/360</f>
        <v/>
      </c>
      <c r="AR37" s="11">
        <f>Construction!AR14*AR32*(Inputs!$F$100*(Construction!AR17+Inputs!$F$80+Inputs!$F$99)/(1-Inputs!$F$91/100)+(1-Inputs!$F$100)*(Construction!AR17+Inputs!$F$78+Inputs!$F$99))/100*Construction!AR11/360</f>
        <v/>
      </c>
      <c r="AS37" s="11">
        <f>Construction!AS14*AS32*(Inputs!$F$100*(Construction!AS17+Inputs!$F$80+Inputs!$F$99)/(1-Inputs!$F$91/100)+(1-Inputs!$F$100)*(Construction!AS17+Inputs!$F$78+Inputs!$F$99))/100*Construction!AS11/360</f>
        <v/>
      </c>
      <c r="AT37" s="11">
        <f>Construction!AT14*AT32*(Inputs!$F$100*(Construction!AT17+Inputs!$F$80+Inputs!$F$99)/(1-Inputs!$F$91/100)+(1-Inputs!$F$100)*(Construction!AT17+Inputs!$F$78+Inputs!$F$99))/100*Construction!AT11/360</f>
        <v/>
      </c>
      <c r="AU37" s="11">
        <f>Construction!AU14*AU32*(Inputs!$F$100*(Construction!AU17+Inputs!$F$80+Inputs!$F$99)/(1-Inputs!$F$91/100)+(1-Inputs!$F$100)*(Construction!AU17+Inputs!$F$78+Inputs!$F$99))/100*Construction!AU11/360</f>
        <v/>
      </c>
      <c r="AV37" s="11">
        <f>Construction!AV14*AV32*(Inputs!$F$100*(Construction!AV17+Inputs!$F$80+Inputs!$F$99)/(1-Inputs!$F$91/100)+(1-Inputs!$F$100)*(Construction!AV17+Inputs!$F$78+Inputs!$F$99))/100*Construction!AV11/360</f>
        <v/>
      </c>
      <c r="AW37" s="11">
        <f>Construction!AW14*AW32*(Inputs!$F$100*(Construction!AW17+Inputs!$F$80+Inputs!$F$99)/(1-Inputs!$F$91/100)+(1-Inputs!$F$100)*(Construction!AW17+Inputs!$F$78+Inputs!$F$99))/100*Construction!AW11/360</f>
        <v/>
      </c>
      <c r="AX37" s="11">
        <f>Construction!AX14*AX32*(Inputs!$F$100*(Construction!AX17+Inputs!$F$80+Inputs!$F$99)/(1-Inputs!$F$91/100)+(1-Inputs!$F$100)*(Construction!AX17+Inputs!$F$78+Inputs!$F$99))/100*Construction!AX11/360</f>
        <v/>
      </c>
      <c r="AY37" s="11">
        <f>Construction!AY14*AY32*(Inputs!$F$100*(Construction!AY17+Inputs!$F$80+Inputs!$F$99)/(1-Inputs!$F$91/100)+(1-Inputs!$F$100)*(Construction!AY17+Inputs!$F$78+Inputs!$F$99))/100*Construction!AY11/360</f>
        <v/>
      </c>
      <c r="AZ37" s="11">
        <f>Construction!AZ14*AZ32*(Inputs!$F$100*(Construction!AZ17+Inputs!$F$80+Inputs!$F$99)/(1-Inputs!$F$91/100)+(1-Inputs!$F$100)*(Construction!AZ17+Inputs!$F$78+Inputs!$F$99))/100*Construction!AZ11/360</f>
        <v/>
      </c>
      <c r="BA37" s="11">
        <f>Construction!BA14*BA32*(Inputs!$F$100*(Construction!BA17+Inputs!$F$80+Inputs!$F$99)/(1-Inputs!$F$91/100)+(1-Inputs!$F$100)*(Construction!BA17+Inputs!$F$78+Inputs!$F$99))/100*Construction!BA11/360</f>
        <v/>
      </c>
      <c r="BB37" s="11">
        <f>Construction!BB14*BB32*(Inputs!$F$100*(Construction!BB17+Inputs!$F$80+Inputs!$F$99)/(1-Inputs!$F$91/100)+(1-Inputs!$F$100)*(Construction!BB17+Inputs!$F$78+Inputs!$F$99))/100*Construction!BB11/360</f>
        <v/>
      </c>
      <c r="BC37" s="11">
        <f>Construction!BC14*BC32*(Inputs!$F$100*(Construction!BC17+Inputs!$F$80+Inputs!$F$99)/(1-Inputs!$F$91/100)+(1-Inputs!$F$100)*(Construction!BC17+Inputs!$F$78+Inputs!$F$99))/100*Construction!BC11/360</f>
        <v/>
      </c>
      <c r="BD37" s="11">
        <f>Construction!BD14*BD32*(Inputs!$F$100*(Construction!BD17+Inputs!$F$80+Inputs!$F$99)/(1-Inputs!$F$91/100)+(1-Inputs!$F$100)*(Construction!BD17+Inputs!$F$78+Inputs!$F$99))/100*Construction!BD11/360</f>
        <v/>
      </c>
      <c r="BE37" s="11">
        <f>Construction!BE14*BE32*(Inputs!$F$100*(Construction!BE17+Inputs!$F$80+Inputs!$F$99)/(1-Inputs!$F$91/100)+(1-Inputs!$F$100)*(Construction!BE17+Inputs!$F$78+Inputs!$F$99))/100*Construction!BE11/360</f>
        <v/>
      </c>
      <c r="BF37" s="11">
        <f>Construction!BF14*BF32*(Inputs!$F$100*(Construction!BF17+Inputs!$F$80+Inputs!$F$99)/(1-Inputs!$F$91/100)+(1-Inputs!$F$100)*(Construction!BF17+Inputs!$F$78+Inputs!$F$99))/100*Construction!BF11/360</f>
        <v/>
      </c>
      <c r="BG37" s="11">
        <f>Construction!BG14*BG32*(Inputs!$F$100*(Construction!BG17+Inputs!$F$80+Inputs!$F$99)/(1-Inputs!$F$91/100)+(1-Inputs!$F$100)*(Construction!BG17+Inputs!$F$78+Inputs!$F$99))/100*Construction!BG11/360</f>
        <v/>
      </c>
      <c r="BH37" s="11">
        <f>Construction!BH14*BH32*(Inputs!$F$100*(Construction!BH17+Inputs!$F$80+Inputs!$F$99)/(1-Inputs!$F$91/100)+(1-Inputs!$F$100)*(Construction!BH17+Inputs!$F$78+Inputs!$F$99))/100*Construction!BH11/360</f>
        <v/>
      </c>
      <c r="BI37" s="11">
        <f>Construction!BI14*BI32*(Inputs!$F$100*(Construction!BI17+Inputs!$F$80+Inputs!$F$99)/(1-Inputs!$F$91/100)+(1-Inputs!$F$100)*(Construction!BI17+Inputs!$F$78+Inputs!$F$99))/100*Construction!BI11/360</f>
        <v/>
      </c>
      <c r="BJ37" s="11">
        <f>Construction!BJ14*BJ32*(Inputs!$F$100*(Construction!BJ17+Inputs!$F$80+Inputs!$F$99)/(1-Inputs!$F$91/100)+(1-Inputs!$F$100)*(Construction!BJ17+Inputs!$F$78+Inputs!$F$99))/100*Construction!BJ11/360</f>
        <v/>
      </c>
    </row>
    <row r="38">
      <c r="D38" t="inlineStr">
        <is>
          <t>PRI premium on commercial tranche</t>
        </is>
      </c>
      <c r="E38" t="inlineStr">
        <is>
          <t>USD m</t>
        </is>
      </c>
      <c r="G38" s="11">
        <f>SUM(J38:BJ38)</f>
        <v/>
      </c>
      <c r="J38" s="11">
        <f>Construction!J14*(Inputs!$F$93/100*Inputs!$F$94/100)*J31*Construction!J11/365</f>
        <v/>
      </c>
      <c r="K38" s="11">
        <f>Construction!K14*(Inputs!$F$93/100*Inputs!$F$94/100)*K31*Construction!K11/365</f>
        <v/>
      </c>
      <c r="L38" s="11">
        <f>Construction!L14*(Inputs!$F$93/100*Inputs!$F$94/100)*L31*Construction!L11/365</f>
        <v/>
      </c>
      <c r="M38" s="11">
        <f>Construction!M14*(Inputs!$F$93/100*Inputs!$F$94/100)*M31*Construction!M11/365</f>
        <v/>
      </c>
      <c r="N38" s="11">
        <f>Construction!N14*(Inputs!$F$93/100*Inputs!$F$94/100)*N31*Construction!N11/365</f>
        <v/>
      </c>
      <c r="O38" s="11">
        <f>Construction!O14*(Inputs!$F$93/100*Inputs!$F$94/100)*O31*Construction!O11/365</f>
        <v/>
      </c>
      <c r="P38" s="11">
        <f>Construction!P14*(Inputs!$F$93/100*Inputs!$F$94/100)*P31*Construction!P11/365</f>
        <v/>
      </c>
      <c r="Q38" s="11">
        <f>Construction!Q14*(Inputs!$F$93/100*Inputs!$F$94/100)*Q31*Construction!Q11/365</f>
        <v/>
      </c>
      <c r="R38" s="11">
        <f>Construction!R14*(Inputs!$F$93/100*Inputs!$F$94/100)*R31*Construction!R11/365</f>
        <v/>
      </c>
      <c r="S38" s="11">
        <f>Construction!S14*(Inputs!$F$93/100*Inputs!$F$94/100)*S31*Construction!S11/365</f>
        <v/>
      </c>
      <c r="T38" s="11">
        <f>Construction!T14*(Inputs!$F$93/100*Inputs!$F$94/100)*T31*Construction!T11/365</f>
        <v/>
      </c>
      <c r="U38" s="11">
        <f>Construction!U14*(Inputs!$F$93/100*Inputs!$F$94/100)*U31*Construction!U11/365</f>
        <v/>
      </c>
      <c r="V38" s="11">
        <f>Construction!V14*(Inputs!$F$93/100*Inputs!$F$94/100)*V31*Construction!V11/365</f>
        <v/>
      </c>
      <c r="W38" s="11">
        <f>Construction!W14*(Inputs!$F$93/100*Inputs!$F$94/100)*W31*Construction!W11/365</f>
        <v/>
      </c>
      <c r="X38" s="11">
        <f>Construction!X14*(Inputs!$F$93/100*Inputs!$F$94/100)*X31*Construction!X11/365</f>
        <v/>
      </c>
      <c r="Y38" s="11">
        <f>Construction!Y14*(Inputs!$F$93/100*Inputs!$F$94/100)*Y31*Construction!Y11/365</f>
        <v/>
      </c>
      <c r="Z38" s="11">
        <f>Construction!Z14*(Inputs!$F$93/100*Inputs!$F$94/100)*Z31*Construction!Z11/365</f>
        <v/>
      </c>
      <c r="AA38" s="11">
        <f>Construction!AA14*(Inputs!$F$93/100*Inputs!$F$94/100)*AA31*Construction!AA11/365</f>
        <v/>
      </c>
      <c r="AB38" s="11">
        <f>Construction!AB14*(Inputs!$F$93/100*Inputs!$F$94/100)*AB31*Construction!AB11/365</f>
        <v/>
      </c>
      <c r="AC38" s="11">
        <f>Construction!AC14*(Inputs!$F$93/100*Inputs!$F$94/100)*AC31*Construction!AC11/365</f>
        <v/>
      </c>
      <c r="AD38" s="11">
        <f>Construction!AD14*(Inputs!$F$93/100*Inputs!$F$94/100)*AD31*Construction!AD11/365</f>
        <v/>
      </c>
      <c r="AE38" s="11">
        <f>Construction!AE14*(Inputs!$F$93/100*Inputs!$F$94/100)*AE31*Construction!AE11/365</f>
        <v/>
      </c>
      <c r="AF38" s="11">
        <f>Construction!AF14*(Inputs!$F$93/100*Inputs!$F$94/100)*AF31*Construction!AF11/365</f>
        <v/>
      </c>
      <c r="AG38" s="11">
        <f>Construction!AG14*(Inputs!$F$93/100*Inputs!$F$94/100)*AG31*Construction!AG11/365</f>
        <v/>
      </c>
      <c r="AH38" s="11">
        <f>Construction!AH14*(Inputs!$F$93/100*Inputs!$F$94/100)*AH31*Construction!AH11/365</f>
        <v/>
      </c>
      <c r="AI38" s="11">
        <f>Construction!AI14*(Inputs!$F$93/100*Inputs!$F$94/100)*AI31*Construction!AI11/365</f>
        <v/>
      </c>
      <c r="AJ38" s="11">
        <f>Construction!AJ14*(Inputs!$F$93/100*Inputs!$F$94/100)*AJ31*Construction!AJ11/365</f>
        <v/>
      </c>
      <c r="AK38" s="11">
        <f>Construction!AK14*(Inputs!$F$93/100*Inputs!$F$94/100)*AK31*Construction!AK11/365</f>
        <v/>
      </c>
      <c r="AL38" s="11">
        <f>Construction!AL14*(Inputs!$F$93/100*Inputs!$F$94/100)*AL31*Construction!AL11/365</f>
        <v/>
      </c>
      <c r="AM38" s="11">
        <f>Construction!AM14*(Inputs!$F$93/100*Inputs!$F$94/100)*AM31*Construction!AM11/365</f>
        <v/>
      </c>
      <c r="AN38" s="11">
        <f>Construction!AN14*(Inputs!$F$93/100*Inputs!$F$94/100)*AN31*Construction!AN11/365</f>
        <v/>
      </c>
      <c r="AO38" s="11">
        <f>Construction!AO14*(Inputs!$F$93/100*Inputs!$F$94/100)*AO31*Construction!AO11/365</f>
        <v/>
      </c>
      <c r="AP38" s="11">
        <f>Construction!AP14*(Inputs!$F$93/100*Inputs!$F$94/100)*AP31*Construction!AP11/365</f>
        <v/>
      </c>
      <c r="AQ38" s="11">
        <f>Construction!AQ14*(Inputs!$F$93/100*Inputs!$F$94/100)*AQ31*Construction!AQ11/365</f>
        <v/>
      </c>
      <c r="AR38" s="11">
        <f>Construction!AR14*(Inputs!$F$93/100*Inputs!$F$94/100)*AR31*Construction!AR11/365</f>
        <v/>
      </c>
      <c r="AS38" s="11">
        <f>Construction!AS14*(Inputs!$F$93/100*Inputs!$F$94/100)*AS31*Construction!AS11/365</f>
        <v/>
      </c>
      <c r="AT38" s="11">
        <f>Construction!AT14*(Inputs!$F$93/100*Inputs!$F$94/100)*AT31*Construction!AT11/365</f>
        <v/>
      </c>
      <c r="AU38" s="11">
        <f>Construction!AU14*(Inputs!$F$93/100*Inputs!$F$94/100)*AU31*Construction!AU11/365</f>
        <v/>
      </c>
      <c r="AV38" s="11">
        <f>Construction!AV14*(Inputs!$F$93/100*Inputs!$F$94/100)*AV31*Construction!AV11/365</f>
        <v/>
      </c>
      <c r="AW38" s="11">
        <f>Construction!AW14*(Inputs!$F$93/100*Inputs!$F$94/100)*AW31*Construction!AW11/365</f>
        <v/>
      </c>
      <c r="AX38" s="11">
        <f>Construction!AX14*(Inputs!$F$93/100*Inputs!$F$94/100)*AX31*Construction!AX11/365</f>
        <v/>
      </c>
      <c r="AY38" s="11">
        <f>Construction!AY14*(Inputs!$F$93/100*Inputs!$F$94/100)*AY31*Construction!AY11/365</f>
        <v/>
      </c>
      <c r="AZ38" s="11">
        <f>Construction!AZ14*(Inputs!$F$93/100*Inputs!$F$94/100)*AZ31*Construction!AZ11/365</f>
        <v/>
      </c>
      <c r="BA38" s="11">
        <f>Construction!BA14*(Inputs!$F$93/100*Inputs!$F$94/100)*BA31*Construction!BA11/365</f>
        <v/>
      </c>
      <c r="BB38" s="11">
        <f>Construction!BB14*(Inputs!$F$93/100*Inputs!$F$94/100)*BB31*Construction!BB11/365</f>
        <v/>
      </c>
      <c r="BC38" s="11">
        <f>Construction!BC14*(Inputs!$F$93/100*Inputs!$F$94/100)*BC31*Construction!BC11/365</f>
        <v/>
      </c>
      <c r="BD38" s="11">
        <f>Construction!BD14*(Inputs!$F$93/100*Inputs!$F$94/100)*BD31*Construction!BD11/365</f>
        <v/>
      </c>
      <c r="BE38" s="11">
        <f>Construction!BE14*(Inputs!$F$93/100*Inputs!$F$94/100)*BE31*Construction!BE11/365</f>
        <v/>
      </c>
      <c r="BF38" s="11">
        <f>Construction!BF14*(Inputs!$F$93/100*Inputs!$F$94/100)*BF31*Construction!BF11/365</f>
        <v/>
      </c>
      <c r="BG38" s="11">
        <f>Construction!BG14*(Inputs!$F$93/100*Inputs!$F$94/100)*BG31*Construction!BG11/365</f>
        <v/>
      </c>
      <c r="BH38" s="11">
        <f>Construction!BH14*(Inputs!$F$93/100*Inputs!$F$94/100)*BH31*Construction!BH11/365</f>
        <v/>
      </c>
      <c r="BI38" s="11">
        <f>Construction!BI14*(Inputs!$F$93/100*Inputs!$F$94/100)*BI31*Construction!BI11/365</f>
        <v/>
      </c>
      <c r="BJ38" s="11">
        <f>Construction!BJ14*(Inputs!$F$93/100*Inputs!$F$94/100)*BJ31*Construction!BJ11/365</f>
        <v/>
      </c>
    </row>
    <row r="39">
      <c r="D39" t="inlineStr">
        <is>
          <t>Swap net payment</t>
        </is>
      </c>
      <c r="E39" t="inlineStr">
        <is>
          <t>USD m</t>
        </is>
      </c>
      <c r="G39" s="11">
        <f>SUM(J39:BJ39)</f>
        <v/>
      </c>
      <c r="J39" s="11">
        <f>Construction!J14*Inputs!J229*(Inputs!$F$95/100/12-Construction!J17/100*Construction!J11/360)</f>
        <v/>
      </c>
      <c r="K39" s="11">
        <f>Construction!K14*Inputs!K229*(Inputs!$F$95/100/12-Construction!K17/100*Construction!K11/360)</f>
        <v/>
      </c>
      <c r="L39" s="11">
        <f>Construction!L14*Inputs!L229*(Inputs!$F$95/100/12-Construction!L17/100*Construction!L11/360)</f>
        <v/>
      </c>
      <c r="M39" s="11">
        <f>Construction!M14*Inputs!M229*(Inputs!$F$95/100/12-Construction!M17/100*Construction!M11/360)</f>
        <v/>
      </c>
      <c r="N39" s="11">
        <f>Construction!N14*Inputs!N229*(Inputs!$F$95/100/12-Construction!N17/100*Construction!N11/360)</f>
        <v/>
      </c>
      <c r="O39" s="11">
        <f>Construction!O14*Inputs!O229*(Inputs!$F$95/100/12-Construction!O17/100*Construction!O11/360)</f>
        <v/>
      </c>
      <c r="P39" s="11">
        <f>Construction!P14*Inputs!P229*(Inputs!$F$95/100/12-Construction!P17/100*Construction!P11/360)</f>
        <v/>
      </c>
      <c r="Q39" s="11">
        <f>Construction!Q14*Inputs!Q229*(Inputs!$F$95/100/12-Construction!Q17/100*Construction!Q11/360)</f>
        <v/>
      </c>
      <c r="R39" s="11">
        <f>Construction!R14*Inputs!R229*(Inputs!$F$95/100/12-Construction!R17/100*Construction!R11/360)</f>
        <v/>
      </c>
      <c r="S39" s="11">
        <f>Construction!S14*Inputs!S229*(Inputs!$F$95/100/12-Construction!S17/100*Construction!S11/360)</f>
        <v/>
      </c>
      <c r="T39" s="11">
        <f>Construction!T14*Inputs!T229*(Inputs!$F$95/100/12-Construction!T17/100*Construction!T11/360)</f>
        <v/>
      </c>
      <c r="U39" s="11">
        <f>Construction!U14*Inputs!U229*(Inputs!$F$95/100/12-Construction!U17/100*Construction!U11/360)</f>
        <v/>
      </c>
      <c r="V39" s="11">
        <f>Construction!V14*Inputs!V229*(Inputs!$F$95/100/12-Construction!V17/100*Construction!V11/360)</f>
        <v/>
      </c>
      <c r="W39" s="11">
        <f>Construction!W14*Inputs!W229*(Inputs!$F$95/100/12-Construction!W17/100*Construction!W11/360)</f>
        <v/>
      </c>
      <c r="X39" s="11">
        <f>Construction!X14*Inputs!X229*(Inputs!$F$95/100/12-Construction!X17/100*Construction!X11/360)</f>
        <v/>
      </c>
      <c r="Y39" s="11">
        <f>Construction!Y14*Inputs!Y229*(Inputs!$F$95/100/12-Construction!Y17/100*Construction!Y11/360)</f>
        <v/>
      </c>
      <c r="Z39" s="11">
        <f>Construction!Z14*Inputs!Z229*(Inputs!$F$95/100/12-Construction!Z17/100*Construction!Z11/360)</f>
        <v/>
      </c>
      <c r="AA39" s="11">
        <f>Construction!AA14*Inputs!AA229*(Inputs!$F$95/100/12-Construction!AA17/100*Construction!AA11/360)</f>
        <v/>
      </c>
      <c r="AB39" s="11">
        <f>Construction!AB14*Inputs!AB229*(Inputs!$F$95/100/12-Construction!AB17/100*Construction!AB11/360)</f>
        <v/>
      </c>
      <c r="AC39" s="11">
        <f>Construction!AC14*Inputs!AC229*(Inputs!$F$95/100/12-Construction!AC17/100*Construction!AC11/360)</f>
        <v/>
      </c>
      <c r="AD39" s="11">
        <f>Construction!AD14*Inputs!AD229*(Inputs!$F$95/100/12-Construction!AD17/100*Construction!AD11/360)</f>
        <v/>
      </c>
      <c r="AE39" s="11">
        <f>Construction!AE14*Inputs!AE229*(Inputs!$F$95/100/12-Construction!AE17/100*Construction!AE11/360)</f>
        <v/>
      </c>
      <c r="AF39" s="11">
        <f>Construction!AF14*Inputs!AF229*(Inputs!$F$95/100/12-Construction!AF17/100*Construction!AF11/360)</f>
        <v/>
      </c>
      <c r="AG39" s="11">
        <f>Construction!AG14*Inputs!AG229*(Inputs!$F$95/100/12-Construction!AG17/100*Construction!AG11/360)</f>
        <v/>
      </c>
      <c r="AH39" s="11">
        <f>Construction!AH14*Inputs!AH229*(Inputs!$F$95/100/12-Construction!AH17/100*Construction!AH11/360)</f>
        <v/>
      </c>
      <c r="AI39" s="11">
        <f>Construction!AI14*Inputs!AI229*(Inputs!$F$95/100/12-Construction!AI17/100*Construction!AI11/360)</f>
        <v/>
      </c>
      <c r="AJ39" s="11">
        <f>Construction!AJ14*Inputs!AJ229*(Inputs!$F$95/100/12-Construction!AJ17/100*Construction!AJ11/360)</f>
        <v/>
      </c>
      <c r="AK39" s="11">
        <f>Construction!AK14*Inputs!AK229*(Inputs!$F$95/100/12-Construction!AK17/100*Construction!AK11/360)</f>
        <v/>
      </c>
      <c r="AL39" s="11">
        <f>Construction!AL14*Inputs!AL229*(Inputs!$F$95/100/12-Construction!AL17/100*Construction!AL11/360)</f>
        <v/>
      </c>
      <c r="AM39" s="11">
        <f>Construction!AM14*Inputs!AM229*(Inputs!$F$95/100/12-Construction!AM17/100*Construction!AM11/360)</f>
        <v/>
      </c>
      <c r="AN39" s="11">
        <f>Construction!AN14*Inputs!AN229*(Inputs!$F$95/100/12-Construction!AN17/100*Construction!AN11/360)</f>
        <v/>
      </c>
      <c r="AO39" s="11">
        <f>Construction!AO14*Inputs!AO229*(Inputs!$F$95/100/12-Construction!AO17/100*Construction!AO11/360)</f>
        <v/>
      </c>
      <c r="AP39" s="11">
        <f>Construction!AP14*Inputs!AP229*(Inputs!$F$95/100/12-Construction!AP17/100*Construction!AP11/360)</f>
        <v/>
      </c>
      <c r="AQ39" s="11">
        <f>Construction!AQ14*Inputs!AQ229*(Inputs!$F$95/100/12-Construction!AQ17/100*Construction!AQ11/360)</f>
        <v/>
      </c>
      <c r="AR39" s="11">
        <f>Construction!AR14*Inputs!AR229*(Inputs!$F$95/100/12-Construction!AR17/100*Construction!AR11/360)</f>
        <v/>
      </c>
      <c r="AS39" s="11">
        <f>Construction!AS14*Inputs!AS229*(Inputs!$F$95/100/12-Construction!AS17/100*Construction!AS11/360)</f>
        <v/>
      </c>
      <c r="AT39" s="11">
        <f>Construction!AT14*Inputs!AT229*(Inputs!$F$95/100/12-Construction!AT17/100*Construction!AT11/360)</f>
        <v/>
      </c>
      <c r="AU39" s="11">
        <f>Construction!AU14*Inputs!AU229*(Inputs!$F$95/100/12-Construction!AU17/100*Construction!AU11/360)</f>
        <v/>
      </c>
      <c r="AV39" s="11">
        <f>Construction!AV14*Inputs!AV229*(Inputs!$F$95/100/12-Construction!AV17/100*Construction!AV11/360)</f>
        <v/>
      </c>
      <c r="AW39" s="11">
        <f>Construction!AW14*Inputs!AW229*(Inputs!$F$95/100/12-Construction!AW17/100*Construction!AW11/360)</f>
        <v/>
      </c>
      <c r="AX39" s="11">
        <f>Construction!AX14*Inputs!AX229*(Inputs!$F$95/100/12-Construction!AX17/100*Construction!AX11/360)</f>
        <v/>
      </c>
      <c r="AY39" s="11">
        <f>Construction!AY14*Inputs!AY229*(Inputs!$F$95/100/12-Construction!AY17/100*Construction!AY11/360)</f>
        <v/>
      </c>
      <c r="AZ39" s="11">
        <f>Construction!AZ14*Inputs!AZ229*(Inputs!$F$95/100/12-Construction!AZ17/100*Construction!AZ11/360)</f>
        <v/>
      </c>
      <c r="BA39" s="11">
        <f>Construction!BA14*Inputs!BA229*(Inputs!$F$95/100/12-Construction!BA17/100*Construction!BA11/360)</f>
        <v/>
      </c>
      <c r="BB39" s="11">
        <f>Construction!BB14*Inputs!BB229*(Inputs!$F$95/100/12-Construction!BB17/100*Construction!BB11/360)</f>
        <v/>
      </c>
      <c r="BC39" s="11">
        <f>Construction!BC14*Inputs!BC229*(Inputs!$F$95/100/12-Construction!BC17/100*Construction!BC11/360)</f>
        <v/>
      </c>
      <c r="BD39" s="11">
        <f>Construction!BD14*Inputs!BD229*(Inputs!$F$95/100/12-Construction!BD17/100*Construction!BD11/360)</f>
        <v/>
      </c>
      <c r="BE39" s="11">
        <f>Construction!BE14*Inputs!BE229*(Inputs!$F$95/100/12-Construction!BE17/100*Construction!BE11/360)</f>
        <v/>
      </c>
      <c r="BF39" s="11">
        <f>Construction!BF14*Inputs!BF229*(Inputs!$F$95/100/12-Construction!BF17/100*Construction!BF11/360)</f>
        <v/>
      </c>
      <c r="BG39" s="11">
        <f>Construction!BG14*Inputs!BG229*(Inputs!$F$95/100/12-Construction!BG17/100*Construction!BG11/360)</f>
        <v/>
      </c>
      <c r="BH39" s="11">
        <f>Construction!BH14*Inputs!BH229*(Inputs!$F$95/100/12-Construction!BH17/100*Construction!BH11/360)</f>
        <v/>
      </c>
      <c r="BI39" s="11">
        <f>Construction!BI14*Inputs!BI229*(Inputs!$F$95/100/12-Construction!BI17/100*Construction!BI11/360)</f>
        <v/>
      </c>
      <c r="BJ39" s="11">
        <f>Construction!BJ14*Inputs!BJ229*(Inputs!$F$95/100/12-Construction!BJ17/100*Construction!BJ11/360)</f>
        <v/>
      </c>
    </row>
    <row r="40">
      <c r="D40" t="inlineStr">
        <is>
          <t>Commitment fees, senior tranches</t>
        </is>
      </c>
      <c r="E40" t="inlineStr">
        <is>
          <t>USD m</t>
        </is>
      </c>
      <c r="G40" s="11">
        <f>SUM(J40:BJ40)</f>
        <v/>
      </c>
      <c r="J40" s="11">
        <f>Construction!J14*((Inputs!$F$73*$F$25-J28)*Inputs!$F$83/100+(Inputs!$F$74*$F$25-J29)*Inputs!$F$84/100+(Inputs!$F$75*$F$25-J30)*Inputs!$F$85/100+(Inputs!$F$76*$F$25-J31)*(Inputs!$F$86/100*Inputs!$F$80)/100)*Construction!J11/360</f>
        <v/>
      </c>
      <c r="K40" s="11">
        <f>Construction!K14*((Inputs!$F$73*$F$25-K28)*Inputs!$F$83/100+(Inputs!$F$74*$F$25-K29)*Inputs!$F$84/100+(Inputs!$F$75*$F$25-K30)*Inputs!$F$85/100+(Inputs!$F$76*$F$25-K31)*(Inputs!$F$86/100*Inputs!$F$80)/100)*Construction!K11/360</f>
        <v/>
      </c>
      <c r="L40" s="11">
        <f>Construction!L14*((Inputs!$F$73*$F$25-L28)*Inputs!$F$83/100+(Inputs!$F$74*$F$25-L29)*Inputs!$F$84/100+(Inputs!$F$75*$F$25-L30)*Inputs!$F$85/100+(Inputs!$F$76*$F$25-L31)*(Inputs!$F$86/100*Inputs!$F$80)/100)*Construction!L11/360</f>
        <v/>
      </c>
      <c r="M40" s="11">
        <f>Construction!M14*((Inputs!$F$73*$F$25-M28)*Inputs!$F$83/100+(Inputs!$F$74*$F$25-M29)*Inputs!$F$84/100+(Inputs!$F$75*$F$25-M30)*Inputs!$F$85/100+(Inputs!$F$76*$F$25-M31)*(Inputs!$F$86/100*Inputs!$F$80)/100)*Construction!M11/360</f>
        <v/>
      </c>
      <c r="N40" s="11">
        <f>Construction!N14*((Inputs!$F$73*$F$25-N28)*Inputs!$F$83/100+(Inputs!$F$74*$F$25-N29)*Inputs!$F$84/100+(Inputs!$F$75*$F$25-N30)*Inputs!$F$85/100+(Inputs!$F$76*$F$25-N31)*(Inputs!$F$86/100*Inputs!$F$80)/100)*Construction!N11/360</f>
        <v/>
      </c>
      <c r="O40" s="11">
        <f>Construction!O14*((Inputs!$F$73*$F$25-O28)*Inputs!$F$83/100+(Inputs!$F$74*$F$25-O29)*Inputs!$F$84/100+(Inputs!$F$75*$F$25-O30)*Inputs!$F$85/100+(Inputs!$F$76*$F$25-O31)*(Inputs!$F$86/100*Inputs!$F$80)/100)*Construction!O11/360</f>
        <v/>
      </c>
      <c r="P40" s="11">
        <f>Construction!P14*((Inputs!$F$73*$F$25-P28)*Inputs!$F$83/100+(Inputs!$F$74*$F$25-P29)*Inputs!$F$84/100+(Inputs!$F$75*$F$25-P30)*Inputs!$F$85/100+(Inputs!$F$76*$F$25-P31)*(Inputs!$F$86/100*Inputs!$F$80)/100)*Construction!P11/360</f>
        <v/>
      </c>
      <c r="Q40" s="11">
        <f>Construction!Q14*((Inputs!$F$73*$F$25-Q28)*Inputs!$F$83/100+(Inputs!$F$74*$F$25-Q29)*Inputs!$F$84/100+(Inputs!$F$75*$F$25-Q30)*Inputs!$F$85/100+(Inputs!$F$76*$F$25-Q31)*(Inputs!$F$86/100*Inputs!$F$80)/100)*Construction!Q11/360</f>
        <v/>
      </c>
      <c r="R40" s="11">
        <f>Construction!R14*((Inputs!$F$73*$F$25-R28)*Inputs!$F$83/100+(Inputs!$F$74*$F$25-R29)*Inputs!$F$84/100+(Inputs!$F$75*$F$25-R30)*Inputs!$F$85/100+(Inputs!$F$76*$F$25-R31)*(Inputs!$F$86/100*Inputs!$F$80)/100)*Construction!R11/360</f>
        <v/>
      </c>
      <c r="S40" s="11">
        <f>Construction!S14*((Inputs!$F$73*$F$25-S28)*Inputs!$F$83/100+(Inputs!$F$74*$F$25-S29)*Inputs!$F$84/100+(Inputs!$F$75*$F$25-S30)*Inputs!$F$85/100+(Inputs!$F$76*$F$25-S31)*(Inputs!$F$86/100*Inputs!$F$80)/100)*Construction!S11/360</f>
        <v/>
      </c>
      <c r="T40" s="11">
        <f>Construction!T14*((Inputs!$F$73*$F$25-T28)*Inputs!$F$83/100+(Inputs!$F$74*$F$25-T29)*Inputs!$F$84/100+(Inputs!$F$75*$F$25-T30)*Inputs!$F$85/100+(Inputs!$F$76*$F$25-T31)*(Inputs!$F$86/100*Inputs!$F$80)/100)*Construction!T11/360</f>
        <v/>
      </c>
      <c r="U40" s="11">
        <f>Construction!U14*((Inputs!$F$73*$F$25-U28)*Inputs!$F$83/100+(Inputs!$F$74*$F$25-U29)*Inputs!$F$84/100+(Inputs!$F$75*$F$25-U30)*Inputs!$F$85/100+(Inputs!$F$76*$F$25-U31)*(Inputs!$F$86/100*Inputs!$F$80)/100)*Construction!U11/360</f>
        <v/>
      </c>
      <c r="V40" s="11">
        <f>Construction!V14*((Inputs!$F$73*$F$25-V28)*Inputs!$F$83/100+(Inputs!$F$74*$F$25-V29)*Inputs!$F$84/100+(Inputs!$F$75*$F$25-V30)*Inputs!$F$85/100+(Inputs!$F$76*$F$25-V31)*(Inputs!$F$86/100*Inputs!$F$80)/100)*Construction!V11/360</f>
        <v/>
      </c>
      <c r="W40" s="11">
        <f>Construction!W14*((Inputs!$F$73*$F$25-W28)*Inputs!$F$83/100+(Inputs!$F$74*$F$25-W29)*Inputs!$F$84/100+(Inputs!$F$75*$F$25-W30)*Inputs!$F$85/100+(Inputs!$F$76*$F$25-W31)*(Inputs!$F$86/100*Inputs!$F$80)/100)*Construction!W11/360</f>
        <v/>
      </c>
      <c r="X40" s="11">
        <f>Construction!X14*((Inputs!$F$73*$F$25-X28)*Inputs!$F$83/100+(Inputs!$F$74*$F$25-X29)*Inputs!$F$84/100+(Inputs!$F$75*$F$25-X30)*Inputs!$F$85/100+(Inputs!$F$76*$F$25-X31)*(Inputs!$F$86/100*Inputs!$F$80)/100)*Construction!X11/360</f>
        <v/>
      </c>
      <c r="Y40" s="11">
        <f>Construction!Y14*((Inputs!$F$73*$F$25-Y28)*Inputs!$F$83/100+(Inputs!$F$74*$F$25-Y29)*Inputs!$F$84/100+(Inputs!$F$75*$F$25-Y30)*Inputs!$F$85/100+(Inputs!$F$76*$F$25-Y31)*(Inputs!$F$86/100*Inputs!$F$80)/100)*Construction!Y11/360</f>
        <v/>
      </c>
      <c r="Z40" s="11">
        <f>Construction!Z14*((Inputs!$F$73*$F$25-Z28)*Inputs!$F$83/100+(Inputs!$F$74*$F$25-Z29)*Inputs!$F$84/100+(Inputs!$F$75*$F$25-Z30)*Inputs!$F$85/100+(Inputs!$F$76*$F$25-Z31)*(Inputs!$F$86/100*Inputs!$F$80)/100)*Construction!Z11/360</f>
        <v/>
      </c>
      <c r="AA40" s="11">
        <f>Construction!AA14*((Inputs!$F$73*$F$25-AA28)*Inputs!$F$83/100+(Inputs!$F$74*$F$25-AA29)*Inputs!$F$84/100+(Inputs!$F$75*$F$25-AA30)*Inputs!$F$85/100+(Inputs!$F$76*$F$25-AA31)*(Inputs!$F$86/100*Inputs!$F$80)/100)*Construction!AA11/360</f>
        <v/>
      </c>
      <c r="AB40" s="11">
        <f>Construction!AB14*((Inputs!$F$73*$F$25-AB28)*Inputs!$F$83/100+(Inputs!$F$74*$F$25-AB29)*Inputs!$F$84/100+(Inputs!$F$75*$F$25-AB30)*Inputs!$F$85/100+(Inputs!$F$76*$F$25-AB31)*(Inputs!$F$86/100*Inputs!$F$80)/100)*Construction!AB11/360</f>
        <v/>
      </c>
      <c r="AC40" s="11">
        <f>Construction!AC14*((Inputs!$F$73*$F$25-AC28)*Inputs!$F$83/100+(Inputs!$F$74*$F$25-AC29)*Inputs!$F$84/100+(Inputs!$F$75*$F$25-AC30)*Inputs!$F$85/100+(Inputs!$F$76*$F$25-AC31)*(Inputs!$F$86/100*Inputs!$F$80)/100)*Construction!AC11/360</f>
        <v/>
      </c>
      <c r="AD40" s="11">
        <f>Construction!AD14*((Inputs!$F$73*$F$25-AD28)*Inputs!$F$83/100+(Inputs!$F$74*$F$25-AD29)*Inputs!$F$84/100+(Inputs!$F$75*$F$25-AD30)*Inputs!$F$85/100+(Inputs!$F$76*$F$25-AD31)*(Inputs!$F$86/100*Inputs!$F$80)/100)*Construction!AD11/360</f>
        <v/>
      </c>
      <c r="AE40" s="11">
        <f>Construction!AE14*((Inputs!$F$73*$F$25-AE28)*Inputs!$F$83/100+(Inputs!$F$74*$F$25-AE29)*Inputs!$F$84/100+(Inputs!$F$75*$F$25-AE30)*Inputs!$F$85/100+(Inputs!$F$76*$F$25-AE31)*(Inputs!$F$86/100*Inputs!$F$80)/100)*Construction!AE11/360</f>
        <v/>
      </c>
      <c r="AF40" s="11">
        <f>Construction!AF14*((Inputs!$F$73*$F$25-AF28)*Inputs!$F$83/100+(Inputs!$F$74*$F$25-AF29)*Inputs!$F$84/100+(Inputs!$F$75*$F$25-AF30)*Inputs!$F$85/100+(Inputs!$F$76*$F$25-AF31)*(Inputs!$F$86/100*Inputs!$F$80)/100)*Construction!AF11/360</f>
        <v/>
      </c>
      <c r="AG40" s="11">
        <f>Construction!AG14*((Inputs!$F$73*$F$25-AG28)*Inputs!$F$83/100+(Inputs!$F$74*$F$25-AG29)*Inputs!$F$84/100+(Inputs!$F$75*$F$25-AG30)*Inputs!$F$85/100+(Inputs!$F$76*$F$25-AG31)*(Inputs!$F$86/100*Inputs!$F$80)/100)*Construction!AG11/360</f>
        <v/>
      </c>
      <c r="AH40" s="11">
        <f>Construction!AH14*((Inputs!$F$73*$F$25-AH28)*Inputs!$F$83/100+(Inputs!$F$74*$F$25-AH29)*Inputs!$F$84/100+(Inputs!$F$75*$F$25-AH30)*Inputs!$F$85/100+(Inputs!$F$76*$F$25-AH31)*(Inputs!$F$86/100*Inputs!$F$80)/100)*Construction!AH11/360</f>
        <v/>
      </c>
      <c r="AI40" s="11">
        <f>Construction!AI14*((Inputs!$F$73*$F$25-AI28)*Inputs!$F$83/100+(Inputs!$F$74*$F$25-AI29)*Inputs!$F$84/100+(Inputs!$F$75*$F$25-AI30)*Inputs!$F$85/100+(Inputs!$F$76*$F$25-AI31)*(Inputs!$F$86/100*Inputs!$F$80)/100)*Construction!AI11/360</f>
        <v/>
      </c>
      <c r="AJ40" s="11">
        <f>Construction!AJ14*((Inputs!$F$73*$F$25-AJ28)*Inputs!$F$83/100+(Inputs!$F$74*$F$25-AJ29)*Inputs!$F$84/100+(Inputs!$F$75*$F$25-AJ30)*Inputs!$F$85/100+(Inputs!$F$76*$F$25-AJ31)*(Inputs!$F$86/100*Inputs!$F$80)/100)*Construction!AJ11/360</f>
        <v/>
      </c>
      <c r="AK40" s="11">
        <f>Construction!AK14*((Inputs!$F$73*$F$25-AK28)*Inputs!$F$83/100+(Inputs!$F$74*$F$25-AK29)*Inputs!$F$84/100+(Inputs!$F$75*$F$25-AK30)*Inputs!$F$85/100+(Inputs!$F$76*$F$25-AK31)*(Inputs!$F$86/100*Inputs!$F$80)/100)*Construction!AK11/360</f>
        <v/>
      </c>
      <c r="AL40" s="11">
        <f>Construction!AL14*((Inputs!$F$73*$F$25-AL28)*Inputs!$F$83/100+(Inputs!$F$74*$F$25-AL29)*Inputs!$F$84/100+(Inputs!$F$75*$F$25-AL30)*Inputs!$F$85/100+(Inputs!$F$76*$F$25-AL31)*(Inputs!$F$86/100*Inputs!$F$80)/100)*Construction!AL11/360</f>
        <v/>
      </c>
      <c r="AM40" s="11">
        <f>Construction!AM14*((Inputs!$F$73*$F$25-AM28)*Inputs!$F$83/100+(Inputs!$F$74*$F$25-AM29)*Inputs!$F$84/100+(Inputs!$F$75*$F$25-AM30)*Inputs!$F$85/100+(Inputs!$F$76*$F$25-AM31)*(Inputs!$F$86/100*Inputs!$F$80)/100)*Construction!AM11/360</f>
        <v/>
      </c>
      <c r="AN40" s="11">
        <f>Construction!AN14*((Inputs!$F$73*$F$25-AN28)*Inputs!$F$83/100+(Inputs!$F$74*$F$25-AN29)*Inputs!$F$84/100+(Inputs!$F$75*$F$25-AN30)*Inputs!$F$85/100+(Inputs!$F$76*$F$25-AN31)*(Inputs!$F$86/100*Inputs!$F$80)/100)*Construction!AN11/360</f>
        <v/>
      </c>
      <c r="AO40" s="11">
        <f>Construction!AO14*((Inputs!$F$73*$F$25-AO28)*Inputs!$F$83/100+(Inputs!$F$74*$F$25-AO29)*Inputs!$F$84/100+(Inputs!$F$75*$F$25-AO30)*Inputs!$F$85/100+(Inputs!$F$76*$F$25-AO31)*(Inputs!$F$86/100*Inputs!$F$80)/100)*Construction!AO11/360</f>
        <v/>
      </c>
      <c r="AP40" s="11">
        <f>Construction!AP14*((Inputs!$F$73*$F$25-AP28)*Inputs!$F$83/100+(Inputs!$F$74*$F$25-AP29)*Inputs!$F$84/100+(Inputs!$F$75*$F$25-AP30)*Inputs!$F$85/100+(Inputs!$F$76*$F$25-AP31)*(Inputs!$F$86/100*Inputs!$F$80)/100)*Construction!AP11/360</f>
        <v/>
      </c>
      <c r="AQ40" s="11">
        <f>Construction!AQ14*((Inputs!$F$73*$F$25-AQ28)*Inputs!$F$83/100+(Inputs!$F$74*$F$25-AQ29)*Inputs!$F$84/100+(Inputs!$F$75*$F$25-AQ30)*Inputs!$F$85/100+(Inputs!$F$76*$F$25-AQ31)*(Inputs!$F$86/100*Inputs!$F$80)/100)*Construction!AQ11/360</f>
        <v/>
      </c>
      <c r="AR40" s="11">
        <f>Construction!AR14*((Inputs!$F$73*$F$25-AR28)*Inputs!$F$83/100+(Inputs!$F$74*$F$25-AR29)*Inputs!$F$84/100+(Inputs!$F$75*$F$25-AR30)*Inputs!$F$85/100+(Inputs!$F$76*$F$25-AR31)*(Inputs!$F$86/100*Inputs!$F$80)/100)*Construction!AR11/360</f>
        <v/>
      </c>
      <c r="AS40" s="11">
        <f>Construction!AS14*((Inputs!$F$73*$F$25-AS28)*Inputs!$F$83/100+(Inputs!$F$74*$F$25-AS29)*Inputs!$F$84/100+(Inputs!$F$75*$F$25-AS30)*Inputs!$F$85/100+(Inputs!$F$76*$F$25-AS31)*(Inputs!$F$86/100*Inputs!$F$80)/100)*Construction!AS11/360</f>
        <v/>
      </c>
      <c r="AT40" s="11">
        <f>Construction!AT14*((Inputs!$F$73*$F$25-AT28)*Inputs!$F$83/100+(Inputs!$F$74*$F$25-AT29)*Inputs!$F$84/100+(Inputs!$F$75*$F$25-AT30)*Inputs!$F$85/100+(Inputs!$F$76*$F$25-AT31)*(Inputs!$F$86/100*Inputs!$F$80)/100)*Construction!AT11/360</f>
        <v/>
      </c>
      <c r="AU40" s="11">
        <f>Construction!AU14*((Inputs!$F$73*$F$25-AU28)*Inputs!$F$83/100+(Inputs!$F$74*$F$25-AU29)*Inputs!$F$84/100+(Inputs!$F$75*$F$25-AU30)*Inputs!$F$85/100+(Inputs!$F$76*$F$25-AU31)*(Inputs!$F$86/100*Inputs!$F$80)/100)*Construction!AU11/360</f>
        <v/>
      </c>
      <c r="AV40" s="11">
        <f>Construction!AV14*((Inputs!$F$73*$F$25-AV28)*Inputs!$F$83/100+(Inputs!$F$74*$F$25-AV29)*Inputs!$F$84/100+(Inputs!$F$75*$F$25-AV30)*Inputs!$F$85/100+(Inputs!$F$76*$F$25-AV31)*(Inputs!$F$86/100*Inputs!$F$80)/100)*Construction!AV11/360</f>
        <v/>
      </c>
      <c r="AW40" s="11">
        <f>Construction!AW14*((Inputs!$F$73*$F$25-AW28)*Inputs!$F$83/100+(Inputs!$F$74*$F$25-AW29)*Inputs!$F$84/100+(Inputs!$F$75*$F$25-AW30)*Inputs!$F$85/100+(Inputs!$F$76*$F$25-AW31)*(Inputs!$F$86/100*Inputs!$F$80)/100)*Construction!AW11/360</f>
        <v/>
      </c>
      <c r="AX40" s="11">
        <f>Construction!AX14*((Inputs!$F$73*$F$25-AX28)*Inputs!$F$83/100+(Inputs!$F$74*$F$25-AX29)*Inputs!$F$84/100+(Inputs!$F$75*$F$25-AX30)*Inputs!$F$85/100+(Inputs!$F$76*$F$25-AX31)*(Inputs!$F$86/100*Inputs!$F$80)/100)*Construction!AX11/360</f>
        <v/>
      </c>
      <c r="AY40" s="11">
        <f>Construction!AY14*((Inputs!$F$73*$F$25-AY28)*Inputs!$F$83/100+(Inputs!$F$74*$F$25-AY29)*Inputs!$F$84/100+(Inputs!$F$75*$F$25-AY30)*Inputs!$F$85/100+(Inputs!$F$76*$F$25-AY31)*(Inputs!$F$86/100*Inputs!$F$80)/100)*Construction!AY11/360</f>
        <v/>
      </c>
      <c r="AZ40" s="11">
        <f>Construction!AZ14*((Inputs!$F$73*$F$25-AZ28)*Inputs!$F$83/100+(Inputs!$F$74*$F$25-AZ29)*Inputs!$F$84/100+(Inputs!$F$75*$F$25-AZ30)*Inputs!$F$85/100+(Inputs!$F$76*$F$25-AZ31)*(Inputs!$F$86/100*Inputs!$F$80)/100)*Construction!AZ11/360</f>
        <v/>
      </c>
      <c r="BA40" s="11">
        <f>Construction!BA14*((Inputs!$F$73*$F$25-BA28)*Inputs!$F$83/100+(Inputs!$F$74*$F$25-BA29)*Inputs!$F$84/100+(Inputs!$F$75*$F$25-BA30)*Inputs!$F$85/100+(Inputs!$F$76*$F$25-BA31)*(Inputs!$F$86/100*Inputs!$F$80)/100)*Construction!BA11/360</f>
        <v/>
      </c>
      <c r="BB40" s="11">
        <f>Construction!BB14*((Inputs!$F$73*$F$25-BB28)*Inputs!$F$83/100+(Inputs!$F$74*$F$25-BB29)*Inputs!$F$84/100+(Inputs!$F$75*$F$25-BB30)*Inputs!$F$85/100+(Inputs!$F$76*$F$25-BB31)*(Inputs!$F$86/100*Inputs!$F$80)/100)*Construction!BB11/360</f>
        <v/>
      </c>
      <c r="BC40" s="11">
        <f>Construction!BC14*((Inputs!$F$73*$F$25-BC28)*Inputs!$F$83/100+(Inputs!$F$74*$F$25-BC29)*Inputs!$F$84/100+(Inputs!$F$75*$F$25-BC30)*Inputs!$F$85/100+(Inputs!$F$76*$F$25-BC31)*(Inputs!$F$86/100*Inputs!$F$80)/100)*Construction!BC11/360</f>
        <v/>
      </c>
      <c r="BD40" s="11">
        <f>Construction!BD14*((Inputs!$F$73*$F$25-BD28)*Inputs!$F$83/100+(Inputs!$F$74*$F$25-BD29)*Inputs!$F$84/100+(Inputs!$F$75*$F$25-BD30)*Inputs!$F$85/100+(Inputs!$F$76*$F$25-BD31)*(Inputs!$F$86/100*Inputs!$F$80)/100)*Construction!BD11/360</f>
        <v/>
      </c>
      <c r="BE40" s="11">
        <f>Construction!BE14*((Inputs!$F$73*$F$25-BE28)*Inputs!$F$83/100+(Inputs!$F$74*$F$25-BE29)*Inputs!$F$84/100+(Inputs!$F$75*$F$25-BE30)*Inputs!$F$85/100+(Inputs!$F$76*$F$25-BE31)*(Inputs!$F$86/100*Inputs!$F$80)/100)*Construction!BE11/360</f>
        <v/>
      </c>
      <c r="BF40" s="11">
        <f>Construction!BF14*((Inputs!$F$73*$F$25-BF28)*Inputs!$F$83/100+(Inputs!$F$74*$F$25-BF29)*Inputs!$F$84/100+(Inputs!$F$75*$F$25-BF30)*Inputs!$F$85/100+(Inputs!$F$76*$F$25-BF31)*(Inputs!$F$86/100*Inputs!$F$80)/100)*Construction!BF11/360</f>
        <v/>
      </c>
      <c r="BG40" s="11">
        <f>Construction!BG14*((Inputs!$F$73*$F$25-BG28)*Inputs!$F$83/100+(Inputs!$F$74*$F$25-BG29)*Inputs!$F$84/100+(Inputs!$F$75*$F$25-BG30)*Inputs!$F$85/100+(Inputs!$F$76*$F$25-BG31)*(Inputs!$F$86/100*Inputs!$F$80)/100)*Construction!BG11/360</f>
        <v/>
      </c>
      <c r="BH40" s="11">
        <f>Construction!BH14*((Inputs!$F$73*$F$25-BH28)*Inputs!$F$83/100+(Inputs!$F$74*$F$25-BH29)*Inputs!$F$84/100+(Inputs!$F$75*$F$25-BH30)*Inputs!$F$85/100+(Inputs!$F$76*$F$25-BH31)*(Inputs!$F$86/100*Inputs!$F$80)/100)*Construction!BH11/360</f>
        <v/>
      </c>
      <c r="BI40" s="11">
        <f>Construction!BI14*((Inputs!$F$73*$F$25-BI28)*Inputs!$F$83/100+(Inputs!$F$74*$F$25-BI29)*Inputs!$F$84/100+(Inputs!$F$75*$F$25-BI30)*Inputs!$F$85/100+(Inputs!$F$76*$F$25-BI31)*(Inputs!$F$86/100*Inputs!$F$80)/100)*Construction!BI11/360</f>
        <v/>
      </c>
      <c r="BJ40" s="11">
        <f>Construction!BJ14*((Inputs!$F$73*$F$25-BJ28)*Inputs!$F$83/100+(Inputs!$F$74*$F$25-BJ29)*Inputs!$F$84/100+(Inputs!$F$75*$F$25-BJ30)*Inputs!$F$85/100+(Inputs!$F$76*$F$25-BJ31)*(Inputs!$F$86/100*Inputs!$F$80)/100)*Construction!BJ11/360</f>
        <v/>
      </c>
    </row>
    <row r="41">
      <c r="D41" t="inlineStr">
        <is>
          <t>Commitment fee, standby facility</t>
        </is>
      </c>
      <c r="E41" t="inlineStr">
        <is>
          <t>USD m</t>
        </is>
      </c>
      <c r="G41" s="11">
        <f>SUM(J41:BJ41)</f>
        <v/>
      </c>
      <c r="J41" s="11">
        <f>Construction!J14*(Inputs!$F$97-J32)*Inputs!$F$98/100*Construction!J11/360</f>
        <v/>
      </c>
      <c r="K41" s="11">
        <f>Construction!K14*(Inputs!$F$97-K32)*Inputs!$F$98/100*Construction!K11/360</f>
        <v/>
      </c>
      <c r="L41" s="11">
        <f>Construction!L14*(Inputs!$F$97-L32)*Inputs!$F$98/100*Construction!L11/360</f>
        <v/>
      </c>
      <c r="M41" s="11">
        <f>Construction!M14*(Inputs!$F$97-M32)*Inputs!$F$98/100*Construction!M11/360</f>
        <v/>
      </c>
      <c r="N41" s="11">
        <f>Construction!N14*(Inputs!$F$97-N32)*Inputs!$F$98/100*Construction!N11/360</f>
        <v/>
      </c>
      <c r="O41" s="11">
        <f>Construction!O14*(Inputs!$F$97-O32)*Inputs!$F$98/100*Construction!O11/360</f>
        <v/>
      </c>
      <c r="P41" s="11">
        <f>Construction!P14*(Inputs!$F$97-P32)*Inputs!$F$98/100*Construction!P11/360</f>
        <v/>
      </c>
      <c r="Q41" s="11">
        <f>Construction!Q14*(Inputs!$F$97-Q32)*Inputs!$F$98/100*Construction!Q11/360</f>
        <v/>
      </c>
      <c r="R41" s="11">
        <f>Construction!R14*(Inputs!$F$97-R32)*Inputs!$F$98/100*Construction!R11/360</f>
        <v/>
      </c>
      <c r="S41" s="11">
        <f>Construction!S14*(Inputs!$F$97-S32)*Inputs!$F$98/100*Construction!S11/360</f>
        <v/>
      </c>
      <c r="T41" s="11">
        <f>Construction!T14*(Inputs!$F$97-T32)*Inputs!$F$98/100*Construction!T11/360</f>
        <v/>
      </c>
      <c r="U41" s="11">
        <f>Construction!U14*(Inputs!$F$97-U32)*Inputs!$F$98/100*Construction!U11/360</f>
        <v/>
      </c>
      <c r="V41" s="11">
        <f>Construction!V14*(Inputs!$F$97-V32)*Inputs!$F$98/100*Construction!V11/360</f>
        <v/>
      </c>
      <c r="W41" s="11">
        <f>Construction!W14*(Inputs!$F$97-W32)*Inputs!$F$98/100*Construction!W11/360</f>
        <v/>
      </c>
      <c r="X41" s="11">
        <f>Construction!X14*(Inputs!$F$97-X32)*Inputs!$F$98/100*Construction!X11/360</f>
        <v/>
      </c>
      <c r="Y41" s="11">
        <f>Construction!Y14*(Inputs!$F$97-Y32)*Inputs!$F$98/100*Construction!Y11/360</f>
        <v/>
      </c>
      <c r="Z41" s="11">
        <f>Construction!Z14*(Inputs!$F$97-Z32)*Inputs!$F$98/100*Construction!Z11/360</f>
        <v/>
      </c>
      <c r="AA41" s="11">
        <f>Construction!AA14*(Inputs!$F$97-AA32)*Inputs!$F$98/100*Construction!AA11/360</f>
        <v/>
      </c>
      <c r="AB41" s="11">
        <f>Construction!AB14*(Inputs!$F$97-AB32)*Inputs!$F$98/100*Construction!AB11/360</f>
        <v/>
      </c>
      <c r="AC41" s="11">
        <f>Construction!AC14*(Inputs!$F$97-AC32)*Inputs!$F$98/100*Construction!AC11/360</f>
        <v/>
      </c>
      <c r="AD41" s="11">
        <f>Construction!AD14*(Inputs!$F$97-AD32)*Inputs!$F$98/100*Construction!AD11/360</f>
        <v/>
      </c>
      <c r="AE41" s="11">
        <f>Construction!AE14*(Inputs!$F$97-AE32)*Inputs!$F$98/100*Construction!AE11/360</f>
        <v/>
      </c>
      <c r="AF41" s="11">
        <f>Construction!AF14*(Inputs!$F$97-AF32)*Inputs!$F$98/100*Construction!AF11/360</f>
        <v/>
      </c>
      <c r="AG41" s="11">
        <f>Construction!AG14*(Inputs!$F$97-AG32)*Inputs!$F$98/100*Construction!AG11/360</f>
        <v/>
      </c>
      <c r="AH41" s="11">
        <f>Construction!AH14*(Inputs!$F$97-AH32)*Inputs!$F$98/100*Construction!AH11/360</f>
        <v/>
      </c>
      <c r="AI41" s="11">
        <f>Construction!AI14*(Inputs!$F$97-AI32)*Inputs!$F$98/100*Construction!AI11/360</f>
        <v/>
      </c>
      <c r="AJ41" s="11">
        <f>Construction!AJ14*(Inputs!$F$97-AJ32)*Inputs!$F$98/100*Construction!AJ11/360</f>
        <v/>
      </c>
      <c r="AK41" s="11">
        <f>Construction!AK14*(Inputs!$F$97-AK32)*Inputs!$F$98/100*Construction!AK11/360</f>
        <v/>
      </c>
      <c r="AL41" s="11">
        <f>Construction!AL14*(Inputs!$F$97-AL32)*Inputs!$F$98/100*Construction!AL11/360</f>
        <v/>
      </c>
      <c r="AM41" s="11">
        <f>Construction!AM14*(Inputs!$F$97-AM32)*Inputs!$F$98/100*Construction!AM11/360</f>
        <v/>
      </c>
      <c r="AN41" s="11">
        <f>Construction!AN14*(Inputs!$F$97-AN32)*Inputs!$F$98/100*Construction!AN11/360</f>
        <v/>
      </c>
      <c r="AO41" s="11">
        <f>Construction!AO14*(Inputs!$F$97-AO32)*Inputs!$F$98/100*Construction!AO11/360</f>
        <v/>
      </c>
      <c r="AP41" s="11">
        <f>Construction!AP14*(Inputs!$F$97-AP32)*Inputs!$F$98/100*Construction!AP11/360</f>
        <v/>
      </c>
      <c r="AQ41" s="11">
        <f>Construction!AQ14*(Inputs!$F$97-AQ32)*Inputs!$F$98/100*Construction!AQ11/360</f>
        <v/>
      </c>
      <c r="AR41" s="11">
        <f>Construction!AR14*(Inputs!$F$97-AR32)*Inputs!$F$98/100*Construction!AR11/360</f>
        <v/>
      </c>
      <c r="AS41" s="11">
        <f>Construction!AS14*(Inputs!$F$97-AS32)*Inputs!$F$98/100*Construction!AS11/360</f>
        <v/>
      </c>
      <c r="AT41" s="11">
        <f>Construction!AT14*(Inputs!$F$97-AT32)*Inputs!$F$98/100*Construction!AT11/360</f>
        <v/>
      </c>
      <c r="AU41" s="11">
        <f>Construction!AU14*(Inputs!$F$97-AU32)*Inputs!$F$98/100*Construction!AU11/360</f>
        <v/>
      </c>
      <c r="AV41" s="11">
        <f>Construction!AV14*(Inputs!$F$97-AV32)*Inputs!$F$98/100*Construction!AV11/360</f>
        <v/>
      </c>
      <c r="AW41" s="11">
        <f>Construction!AW14*(Inputs!$F$97-AW32)*Inputs!$F$98/100*Construction!AW11/360</f>
        <v/>
      </c>
      <c r="AX41" s="11">
        <f>Construction!AX14*(Inputs!$F$97-AX32)*Inputs!$F$98/100*Construction!AX11/360</f>
        <v/>
      </c>
      <c r="AY41" s="11">
        <f>Construction!AY14*(Inputs!$F$97-AY32)*Inputs!$F$98/100*Construction!AY11/360</f>
        <v/>
      </c>
      <c r="AZ41" s="11">
        <f>Construction!AZ14*(Inputs!$F$97-AZ32)*Inputs!$F$98/100*Construction!AZ11/360</f>
        <v/>
      </c>
      <c r="BA41" s="11">
        <f>Construction!BA14*(Inputs!$F$97-BA32)*Inputs!$F$98/100*Construction!BA11/360</f>
        <v/>
      </c>
      <c r="BB41" s="11">
        <f>Construction!BB14*(Inputs!$F$97-BB32)*Inputs!$F$98/100*Construction!BB11/360</f>
        <v/>
      </c>
      <c r="BC41" s="11">
        <f>Construction!BC14*(Inputs!$F$97-BC32)*Inputs!$F$98/100*Construction!BC11/360</f>
        <v/>
      </c>
      <c r="BD41" s="11">
        <f>Construction!BD14*(Inputs!$F$97-BD32)*Inputs!$F$98/100*Construction!BD11/360</f>
        <v/>
      </c>
      <c r="BE41" s="11">
        <f>Construction!BE14*(Inputs!$F$97-BE32)*Inputs!$F$98/100*Construction!BE11/360</f>
        <v/>
      </c>
      <c r="BF41" s="11">
        <f>Construction!BF14*(Inputs!$F$97-BF32)*Inputs!$F$98/100*Construction!BF11/360</f>
        <v/>
      </c>
      <c r="BG41" s="11">
        <f>Construction!BG14*(Inputs!$F$97-BG32)*Inputs!$F$98/100*Construction!BG11/360</f>
        <v/>
      </c>
      <c r="BH41" s="11">
        <f>Construction!BH14*(Inputs!$F$97-BH32)*Inputs!$F$98/100*Construction!BH11/360</f>
        <v/>
      </c>
      <c r="BI41" s="11">
        <f>Construction!BI14*(Inputs!$F$97-BI32)*Inputs!$F$98/100*Construction!BI11/360</f>
        <v/>
      </c>
      <c r="BJ41" s="11">
        <f>Construction!BJ14*(Inputs!$F$97-BJ32)*Inputs!$F$98/100*Construction!BJ11/360</f>
        <v/>
      </c>
    </row>
    <row r="42">
      <c r="D42" t="inlineStr">
        <is>
          <t>Upfront and arrangement fees</t>
        </is>
      </c>
      <c r="E42" t="inlineStr">
        <is>
          <t>USD m</t>
        </is>
      </c>
      <c r="G42" s="11">
        <f>SUM(J42:BJ42)</f>
        <v/>
      </c>
      <c r="J42" s="11">
        <f>IF(Construction!J8=1,Inputs!$F$73*$F$25*Inputs!$F$87/100+Inputs!$F$74*$F$25*Inputs!$F$88/100+Inputs!$F$75*$F$25*Inputs!$F$89/100+Inputs!$F$76*$F$25*Inputs!$F$90/100,0)</f>
        <v/>
      </c>
      <c r="K42" s="11">
        <f>IF(Construction!K8=1,Inputs!$F$73*$F$25*Inputs!$F$87/100+Inputs!$F$74*$F$25*Inputs!$F$88/100+Inputs!$F$75*$F$25*Inputs!$F$89/100+Inputs!$F$76*$F$25*Inputs!$F$90/100,0)</f>
        <v/>
      </c>
      <c r="L42" s="11">
        <f>IF(Construction!L8=1,Inputs!$F$73*$F$25*Inputs!$F$87/100+Inputs!$F$74*$F$25*Inputs!$F$88/100+Inputs!$F$75*$F$25*Inputs!$F$89/100+Inputs!$F$76*$F$25*Inputs!$F$90/100,0)</f>
        <v/>
      </c>
      <c r="M42" s="11">
        <f>IF(Construction!M8=1,Inputs!$F$73*$F$25*Inputs!$F$87/100+Inputs!$F$74*$F$25*Inputs!$F$88/100+Inputs!$F$75*$F$25*Inputs!$F$89/100+Inputs!$F$76*$F$25*Inputs!$F$90/100,0)</f>
        <v/>
      </c>
      <c r="N42" s="11">
        <f>IF(Construction!N8=1,Inputs!$F$73*$F$25*Inputs!$F$87/100+Inputs!$F$74*$F$25*Inputs!$F$88/100+Inputs!$F$75*$F$25*Inputs!$F$89/100+Inputs!$F$76*$F$25*Inputs!$F$90/100,0)</f>
        <v/>
      </c>
      <c r="O42" s="11">
        <f>IF(Construction!O8=1,Inputs!$F$73*$F$25*Inputs!$F$87/100+Inputs!$F$74*$F$25*Inputs!$F$88/100+Inputs!$F$75*$F$25*Inputs!$F$89/100+Inputs!$F$76*$F$25*Inputs!$F$90/100,0)</f>
        <v/>
      </c>
      <c r="P42" s="11">
        <f>IF(Construction!P8=1,Inputs!$F$73*$F$25*Inputs!$F$87/100+Inputs!$F$74*$F$25*Inputs!$F$88/100+Inputs!$F$75*$F$25*Inputs!$F$89/100+Inputs!$F$76*$F$25*Inputs!$F$90/100,0)</f>
        <v/>
      </c>
      <c r="Q42" s="11">
        <f>IF(Construction!Q8=1,Inputs!$F$73*$F$25*Inputs!$F$87/100+Inputs!$F$74*$F$25*Inputs!$F$88/100+Inputs!$F$75*$F$25*Inputs!$F$89/100+Inputs!$F$76*$F$25*Inputs!$F$90/100,0)</f>
        <v/>
      </c>
      <c r="R42" s="11">
        <f>IF(Construction!R8=1,Inputs!$F$73*$F$25*Inputs!$F$87/100+Inputs!$F$74*$F$25*Inputs!$F$88/100+Inputs!$F$75*$F$25*Inputs!$F$89/100+Inputs!$F$76*$F$25*Inputs!$F$90/100,0)</f>
        <v/>
      </c>
      <c r="S42" s="11">
        <f>IF(Construction!S8=1,Inputs!$F$73*$F$25*Inputs!$F$87/100+Inputs!$F$74*$F$25*Inputs!$F$88/100+Inputs!$F$75*$F$25*Inputs!$F$89/100+Inputs!$F$76*$F$25*Inputs!$F$90/100,0)</f>
        <v/>
      </c>
      <c r="T42" s="11">
        <f>IF(Construction!T8=1,Inputs!$F$73*$F$25*Inputs!$F$87/100+Inputs!$F$74*$F$25*Inputs!$F$88/100+Inputs!$F$75*$F$25*Inputs!$F$89/100+Inputs!$F$76*$F$25*Inputs!$F$90/100,0)</f>
        <v/>
      </c>
      <c r="U42" s="11">
        <f>IF(Construction!U8=1,Inputs!$F$73*$F$25*Inputs!$F$87/100+Inputs!$F$74*$F$25*Inputs!$F$88/100+Inputs!$F$75*$F$25*Inputs!$F$89/100+Inputs!$F$76*$F$25*Inputs!$F$90/100,0)</f>
        <v/>
      </c>
      <c r="V42" s="11">
        <f>IF(Construction!V8=1,Inputs!$F$73*$F$25*Inputs!$F$87/100+Inputs!$F$74*$F$25*Inputs!$F$88/100+Inputs!$F$75*$F$25*Inputs!$F$89/100+Inputs!$F$76*$F$25*Inputs!$F$90/100,0)</f>
        <v/>
      </c>
      <c r="W42" s="11">
        <f>IF(Construction!W8=1,Inputs!$F$73*$F$25*Inputs!$F$87/100+Inputs!$F$74*$F$25*Inputs!$F$88/100+Inputs!$F$75*$F$25*Inputs!$F$89/100+Inputs!$F$76*$F$25*Inputs!$F$90/100,0)</f>
        <v/>
      </c>
      <c r="X42" s="11">
        <f>IF(Construction!X8=1,Inputs!$F$73*$F$25*Inputs!$F$87/100+Inputs!$F$74*$F$25*Inputs!$F$88/100+Inputs!$F$75*$F$25*Inputs!$F$89/100+Inputs!$F$76*$F$25*Inputs!$F$90/100,0)</f>
        <v/>
      </c>
      <c r="Y42" s="11">
        <f>IF(Construction!Y8=1,Inputs!$F$73*$F$25*Inputs!$F$87/100+Inputs!$F$74*$F$25*Inputs!$F$88/100+Inputs!$F$75*$F$25*Inputs!$F$89/100+Inputs!$F$76*$F$25*Inputs!$F$90/100,0)</f>
        <v/>
      </c>
      <c r="Z42" s="11">
        <f>IF(Construction!Z8=1,Inputs!$F$73*$F$25*Inputs!$F$87/100+Inputs!$F$74*$F$25*Inputs!$F$88/100+Inputs!$F$75*$F$25*Inputs!$F$89/100+Inputs!$F$76*$F$25*Inputs!$F$90/100,0)</f>
        <v/>
      </c>
      <c r="AA42" s="11">
        <f>IF(Construction!AA8=1,Inputs!$F$73*$F$25*Inputs!$F$87/100+Inputs!$F$74*$F$25*Inputs!$F$88/100+Inputs!$F$75*$F$25*Inputs!$F$89/100+Inputs!$F$76*$F$25*Inputs!$F$90/100,0)</f>
        <v/>
      </c>
      <c r="AB42" s="11">
        <f>IF(Construction!AB8=1,Inputs!$F$73*$F$25*Inputs!$F$87/100+Inputs!$F$74*$F$25*Inputs!$F$88/100+Inputs!$F$75*$F$25*Inputs!$F$89/100+Inputs!$F$76*$F$25*Inputs!$F$90/100,0)</f>
        <v/>
      </c>
      <c r="AC42" s="11">
        <f>IF(Construction!AC8=1,Inputs!$F$73*$F$25*Inputs!$F$87/100+Inputs!$F$74*$F$25*Inputs!$F$88/100+Inputs!$F$75*$F$25*Inputs!$F$89/100+Inputs!$F$76*$F$25*Inputs!$F$90/100,0)</f>
        <v/>
      </c>
      <c r="AD42" s="11">
        <f>IF(Construction!AD8=1,Inputs!$F$73*$F$25*Inputs!$F$87/100+Inputs!$F$74*$F$25*Inputs!$F$88/100+Inputs!$F$75*$F$25*Inputs!$F$89/100+Inputs!$F$76*$F$25*Inputs!$F$90/100,0)</f>
        <v/>
      </c>
      <c r="AE42" s="11">
        <f>IF(Construction!AE8=1,Inputs!$F$73*$F$25*Inputs!$F$87/100+Inputs!$F$74*$F$25*Inputs!$F$88/100+Inputs!$F$75*$F$25*Inputs!$F$89/100+Inputs!$F$76*$F$25*Inputs!$F$90/100,0)</f>
        <v/>
      </c>
      <c r="AF42" s="11">
        <f>IF(Construction!AF8=1,Inputs!$F$73*$F$25*Inputs!$F$87/100+Inputs!$F$74*$F$25*Inputs!$F$88/100+Inputs!$F$75*$F$25*Inputs!$F$89/100+Inputs!$F$76*$F$25*Inputs!$F$90/100,0)</f>
        <v/>
      </c>
      <c r="AG42" s="11">
        <f>IF(Construction!AG8=1,Inputs!$F$73*$F$25*Inputs!$F$87/100+Inputs!$F$74*$F$25*Inputs!$F$88/100+Inputs!$F$75*$F$25*Inputs!$F$89/100+Inputs!$F$76*$F$25*Inputs!$F$90/100,0)</f>
        <v/>
      </c>
      <c r="AH42" s="11">
        <f>IF(Construction!AH8=1,Inputs!$F$73*$F$25*Inputs!$F$87/100+Inputs!$F$74*$F$25*Inputs!$F$88/100+Inputs!$F$75*$F$25*Inputs!$F$89/100+Inputs!$F$76*$F$25*Inputs!$F$90/100,0)</f>
        <v/>
      </c>
      <c r="AI42" s="11">
        <f>IF(Construction!AI8=1,Inputs!$F$73*$F$25*Inputs!$F$87/100+Inputs!$F$74*$F$25*Inputs!$F$88/100+Inputs!$F$75*$F$25*Inputs!$F$89/100+Inputs!$F$76*$F$25*Inputs!$F$90/100,0)</f>
        <v/>
      </c>
      <c r="AJ42" s="11">
        <f>IF(Construction!AJ8=1,Inputs!$F$73*$F$25*Inputs!$F$87/100+Inputs!$F$74*$F$25*Inputs!$F$88/100+Inputs!$F$75*$F$25*Inputs!$F$89/100+Inputs!$F$76*$F$25*Inputs!$F$90/100,0)</f>
        <v/>
      </c>
      <c r="AK42" s="11">
        <f>IF(Construction!AK8=1,Inputs!$F$73*$F$25*Inputs!$F$87/100+Inputs!$F$74*$F$25*Inputs!$F$88/100+Inputs!$F$75*$F$25*Inputs!$F$89/100+Inputs!$F$76*$F$25*Inputs!$F$90/100,0)</f>
        <v/>
      </c>
      <c r="AL42" s="11">
        <f>IF(Construction!AL8=1,Inputs!$F$73*$F$25*Inputs!$F$87/100+Inputs!$F$74*$F$25*Inputs!$F$88/100+Inputs!$F$75*$F$25*Inputs!$F$89/100+Inputs!$F$76*$F$25*Inputs!$F$90/100,0)</f>
        <v/>
      </c>
      <c r="AM42" s="11">
        <f>IF(Construction!AM8=1,Inputs!$F$73*$F$25*Inputs!$F$87/100+Inputs!$F$74*$F$25*Inputs!$F$88/100+Inputs!$F$75*$F$25*Inputs!$F$89/100+Inputs!$F$76*$F$25*Inputs!$F$90/100,0)</f>
        <v/>
      </c>
      <c r="AN42" s="11">
        <f>IF(Construction!AN8=1,Inputs!$F$73*$F$25*Inputs!$F$87/100+Inputs!$F$74*$F$25*Inputs!$F$88/100+Inputs!$F$75*$F$25*Inputs!$F$89/100+Inputs!$F$76*$F$25*Inputs!$F$90/100,0)</f>
        <v/>
      </c>
      <c r="AO42" s="11">
        <f>IF(Construction!AO8=1,Inputs!$F$73*$F$25*Inputs!$F$87/100+Inputs!$F$74*$F$25*Inputs!$F$88/100+Inputs!$F$75*$F$25*Inputs!$F$89/100+Inputs!$F$76*$F$25*Inputs!$F$90/100,0)</f>
        <v/>
      </c>
      <c r="AP42" s="11">
        <f>IF(Construction!AP8=1,Inputs!$F$73*$F$25*Inputs!$F$87/100+Inputs!$F$74*$F$25*Inputs!$F$88/100+Inputs!$F$75*$F$25*Inputs!$F$89/100+Inputs!$F$76*$F$25*Inputs!$F$90/100,0)</f>
        <v/>
      </c>
      <c r="AQ42" s="11">
        <f>IF(Construction!AQ8=1,Inputs!$F$73*$F$25*Inputs!$F$87/100+Inputs!$F$74*$F$25*Inputs!$F$88/100+Inputs!$F$75*$F$25*Inputs!$F$89/100+Inputs!$F$76*$F$25*Inputs!$F$90/100,0)</f>
        <v/>
      </c>
      <c r="AR42" s="11">
        <f>IF(Construction!AR8=1,Inputs!$F$73*$F$25*Inputs!$F$87/100+Inputs!$F$74*$F$25*Inputs!$F$88/100+Inputs!$F$75*$F$25*Inputs!$F$89/100+Inputs!$F$76*$F$25*Inputs!$F$90/100,0)</f>
        <v/>
      </c>
      <c r="AS42" s="11">
        <f>IF(Construction!AS8=1,Inputs!$F$73*$F$25*Inputs!$F$87/100+Inputs!$F$74*$F$25*Inputs!$F$88/100+Inputs!$F$75*$F$25*Inputs!$F$89/100+Inputs!$F$76*$F$25*Inputs!$F$90/100,0)</f>
        <v/>
      </c>
      <c r="AT42" s="11">
        <f>IF(Construction!AT8=1,Inputs!$F$73*$F$25*Inputs!$F$87/100+Inputs!$F$74*$F$25*Inputs!$F$88/100+Inputs!$F$75*$F$25*Inputs!$F$89/100+Inputs!$F$76*$F$25*Inputs!$F$90/100,0)</f>
        <v/>
      </c>
      <c r="AU42" s="11">
        <f>IF(Construction!AU8=1,Inputs!$F$73*$F$25*Inputs!$F$87/100+Inputs!$F$74*$F$25*Inputs!$F$88/100+Inputs!$F$75*$F$25*Inputs!$F$89/100+Inputs!$F$76*$F$25*Inputs!$F$90/100,0)</f>
        <v/>
      </c>
      <c r="AV42" s="11">
        <f>IF(Construction!AV8=1,Inputs!$F$73*$F$25*Inputs!$F$87/100+Inputs!$F$74*$F$25*Inputs!$F$88/100+Inputs!$F$75*$F$25*Inputs!$F$89/100+Inputs!$F$76*$F$25*Inputs!$F$90/100,0)</f>
        <v/>
      </c>
      <c r="AW42" s="11">
        <f>IF(Construction!AW8=1,Inputs!$F$73*$F$25*Inputs!$F$87/100+Inputs!$F$74*$F$25*Inputs!$F$88/100+Inputs!$F$75*$F$25*Inputs!$F$89/100+Inputs!$F$76*$F$25*Inputs!$F$90/100,0)</f>
        <v/>
      </c>
      <c r="AX42" s="11">
        <f>IF(Construction!AX8=1,Inputs!$F$73*$F$25*Inputs!$F$87/100+Inputs!$F$74*$F$25*Inputs!$F$88/100+Inputs!$F$75*$F$25*Inputs!$F$89/100+Inputs!$F$76*$F$25*Inputs!$F$90/100,0)</f>
        <v/>
      </c>
      <c r="AY42" s="11">
        <f>IF(Construction!AY8=1,Inputs!$F$73*$F$25*Inputs!$F$87/100+Inputs!$F$74*$F$25*Inputs!$F$88/100+Inputs!$F$75*$F$25*Inputs!$F$89/100+Inputs!$F$76*$F$25*Inputs!$F$90/100,0)</f>
        <v/>
      </c>
      <c r="AZ42" s="11">
        <f>IF(Construction!AZ8=1,Inputs!$F$73*$F$25*Inputs!$F$87/100+Inputs!$F$74*$F$25*Inputs!$F$88/100+Inputs!$F$75*$F$25*Inputs!$F$89/100+Inputs!$F$76*$F$25*Inputs!$F$90/100,0)</f>
        <v/>
      </c>
      <c r="BA42" s="11">
        <f>IF(Construction!BA8=1,Inputs!$F$73*$F$25*Inputs!$F$87/100+Inputs!$F$74*$F$25*Inputs!$F$88/100+Inputs!$F$75*$F$25*Inputs!$F$89/100+Inputs!$F$76*$F$25*Inputs!$F$90/100,0)</f>
        <v/>
      </c>
      <c r="BB42" s="11">
        <f>IF(Construction!BB8=1,Inputs!$F$73*$F$25*Inputs!$F$87/100+Inputs!$F$74*$F$25*Inputs!$F$88/100+Inputs!$F$75*$F$25*Inputs!$F$89/100+Inputs!$F$76*$F$25*Inputs!$F$90/100,0)</f>
        <v/>
      </c>
      <c r="BC42" s="11">
        <f>IF(Construction!BC8=1,Inputs!$F$73*$F$25*Inputs!$F$87/100+Inputs!$F$74*$F$25*Inputs!$F$88/100+Inputs!$F$75*$F$25*Inputs!$F$89/100+Inputs!$F$76*$F$25*Inputs!$F$90/100,0)</f>
        <v/>
      </c>
      <c r="BD42" s="11">
        <f>IF(Construction!BD8=1,Inputs!$F$73*$F$25*Inputs!$F$87/100+Inputs!$F$74*$F$25*Inputs!$F$88/100+Inputs!$F$75*$F$25*Inputs!$F$89/100+Inputs!$F$76*$F$25*Inputs!$F$90/100,0)</f>
        <v/>
      </c>
      <c r="BE42" s="11">
        <f>IF(Construction!BE8=1,Inputs!$F$73*$F$25*Inputs!$F$87/100+Inputs!$F$74*$F$25*Inputs!$F$88/100+Inputs!$F$75*$F$25*Inputs!$F$89/100+Inputs!$F$76*$F$25*Inputs!$F$90/100,0)</f>
        <v/>
      </c>
      <c r="BF42" s="11">
        <f>IF(Construction!BF8=1,Inputs!$F$73*$F$25*Inputs!$F$87/100+Inputs!$F$74*$F$25*Inputs!$F$88/100+Inputs!$F$75*$F$25*Inputs!$F$89/100+Inputs!$F$76*$F$25*Inputs!$F$90/100,0)</f>
        <v/>
      </c>
      <c r="BG42" s="11">
        <f>IF(Construction!BG8=1,Inputs!$F$73*$F$25*Inputs!$F$87/100+Inputs!$F$74*$F$25*Inputs!$F$88/100+Inputs!$F$75*$F$25*Inputs!$F$89/100+Inputs!$F$76*$F$25*Inputs!$F$90/100,0)</f>
        <v/>
      </c>
      <c r="BH42" s="11">
        <f>IF(Construction!BH8=1,Inputs!$F$73*$F$25*Inputs!$F$87/100+Inputs!$F$74*$F$25*Inputs!$F$88/100+Inputs!$F$75*$F$25*Inputs!$F$89/100+Inputs!$F$76*$F$25*Inputs!$F$90/100,0)</f>
        <v/>
      </c>
      <c r="BI42" s="11">
        <f>IF(Construction!BI8=1,Inputs!$F$73*$F$25*Inputs!$F$87/100+Inputs!$F$74*$F$25*Inputs!$F$88/100+Inputs!$F$75*$F$25*Inputs!$F$89/100+Inputs!$F$76*$F$25*Inputs!$F$90/100,0)</f>
        <v/>
      </c>
      <c r="BJ42" s="11">
        <f>IF(Construction!BJ8=1,Inputs!$F$73*$F$25*Inputs!$F$87/100+Inputs!$F$74*$F$25*Inputs!$F$88/100+Inputs!$F$75*$F$25*Inputs!$F$89/100+Inputs!$F$76*$F$25*Inputs!$F$90/100,0)</f>
        <v/>
      </c>
    </row>
    <row r="43">
      <c r="D43" t="inlineStr">
        <is>
          <t>Agency fees during construction</t>
        </is>
      </c>
      <c r="E43" t="inlineStr">
        <is>
          <t>USD m</t>
        </is>
      </c>
      <c r="G43" s="11">
        <f>SUM(J43:BJ43)</f>
        <v/>
      </c>
      <c r="J43" s="11">
        <f>Construction!J14*Inputs!$F$105/12</f>
        <v/>
      </c>
      <c r="K43" s="11">
        <f>Construction!K14*Inputs!$F$105/12</f>
        <v/>
      </c>
      <c r="L43" s="11">
        <f>Construction!L14*Inputs!$F$105/12</f>
        <v/>
      </c>
      <c r="M43" s="11">
        <f>Construction!M14*Inputs!$F$105/12</f>
        <v/>
      </c>
      <c r="N43" s="11">
        <f>Construction!N14*Inputs!$F$105/12</f>
        <v/>
      </c>
      <c r="O43" s="11">
        <f>Construction!O14*Inputs!$F$105/12</f>
        <v/>
      </c>
      <c r="P43" s="11">
        <f>Construction!P14*Inputs!$F$105/12</f>
        <v/>
      </c>
      <c r="Q43" s="11">
        <f>Construction!Q14*Inputs!$F$105/12</f>
        <v/>
      </c>
      <c r="R43" s="11">
        <f>Construction!R14*Inputs!$F$105/12</f>
        <v/>
      </c>
      <c r="S43" s="11">
        <f>Construction!S14*Inputs!$F$105/12</f>
        <v/>
      </c>
      <c r="T43" s="11">
        <f>Construction!T14*Inputs!$F$105/12</f>
        <v/>
      </c>
      <c r="U43" s="11">
        <f>Construction!U14*Inputs!$F$105/12</f>
        <v/>
      </c>
      <c r="V43" s="11">
        <f>Construction!V14*Inputs!$F$105/12</f>
        <v/>
      </c>
      <c r="W43" s="11">
        <f>Construction!W14*Inputs!$F$105/12</f>
        <v/>
      </c>
      <c r="X43" s="11">
        <f>Construction!X14*Inputs!$F$105/12</f>
        <v/>
      </c>
      <c r="Y43" s="11">
        <f>Construction!Y14*Inputs!$F$105/12</f>
        <v/>
      </c>
      <c r="Z43" s="11">
        <f>Construction!Z14*Inputs!$F$105/12</f>
        <v/>
      </c>
      <c r="AA43" s="11">
        <f>Construction!AA14*Inputs!$F$105/12</f>
        <v/>
      </c>
      <c r="AB43" s="11">
        <f>Construction!AB14*Inputs!$F$105/12</f>
        <v/>
      </c>
      <c r="AC43" s="11">
        <f>Construction!AC14*Inputs!$F$105/12</f>
        <v/>
      </c>
      <c r="AD43" s="11">
        <f>Construction!AD14*Inputs!$F$105/12</f>
        <v/>
      </c>
      <c r="AE43" s="11">
        <f>Construction!AE14*Inputs!$F$105/12</f>
        <v/>
      </c>
      <c r="AF43" s="11">
        <f>Construction!AF14*Inputs!$F$105/12</f>
        <v/>
      </c>
      <c r="AG43" s="11">
        <f>Construction!AG14*Inputs!$F$105/12</f>
        <v/>
      </c>
      <c r="AH43" s="11">
        <f>Construction!AH14*Inputs!$F$105/12</f>
        <v/>
      </c>
      <c r="AI43" s="11">
        <f>Construction!AI14*Inputs!$F$105/12</f>
        <v/>
      </c>
      <c r="AJ43" s="11">
        <f>Construction!AJ14*Inputs!$F$105/12</f>
        <v/>
      </c>
      <c r="AK43" s="11">
        <f>Construction!AK14*Inputs!$F$105/12</f>
        <v/>
      </c>
      <c r="AL43" s="11">
        <f>Construction!AL14*Inputs!$F$105/12</f>
        <v/>
      </c>
      <c r="AM43" s="11">
        <f>Construction!AM14*Inputs!$F$105/12</f>
        <v/>
      </c>
      <c r="AN43" s="11">
        <f>Construction!AN14*Inputs!$F$105/12</f>
        <v/>
      </c>
      <c r="AO43" s="11">
        <f>Construction!AO14*Inputs!$F$105/12</f>
        <v/>
      </c>
      <c r="AP43" s="11">
        <f>Construction!AP14*Inputs!$F$105/12</f>
        <v/>
      </c>
      <c r="AQ43" s="11">
        <f>Construction!AQ14*Inputs!$F$105/12</f>
        <v/>
      </c>
      <c r="AR43" s="11">
        <f>Construction!AR14*Inputs!$F$105/12</f>
        <v/>
      </c>
      <c r="AS43" s="11">
        <f>Construction!AS14*Inputs!$F$105/12</f>
        <v/>
      </c>
      <c r="AT43" s="11">
        <f>Construction!AT14*Inputs!$F$105/12</f>
        <v/>
      </c>
      <c r="AU43" s="11">
        <f>Construction!AU14*Inputs!$F$105/12</f>
        <v/>
      </c>
      <c r="AV43" s="11">
        <f>Construction!AV14*Inputs!$F$105/12</f>
        <v/>
      </c>
      <c r="AW43" s="11">
        <f>Construction!AW14*Inputs!$F$105/12</f>
        <v/>
      </c>
      <c r="AX43" s="11">
        <f>Construction!AX14*Inputs!$F$105/12</f>
        <v/>
      </c>
      <c r="AY43" s="11">
        <f>Construction!AY14*Inputs!$F$105/12</f>
        <v/>
      </c>
      <c r="AZ43" s="11">
        <f>Construction!AZ14*Inputs!$F$105/12</f>
        <v/>
      </c>
      <c r="BA43" s="11">
        <f>Construction!BA14*Inputs!$F$105/12</f>
        <v/>
      </c>
      <c r="BB43" s="11">
        <f>Construction!BB14*Inputs!$F$105/12</f>
        <v/>
      </c>
      <c r="BC43" s="11">
        <f>Construction!BC14*Inputs!$F$105/12</f>
        <v/>
      </c>
      <c r="BD43" s="11">
        <f>Construction!BD14*Inputs!$F$105/12</f>
        <v/>
      </c>
      <c r="BE43" s="11">
        <f>Construction!BE14*Inputs!$F$105/12</f>
        <v/>
      </c>
      <c r="BF43" s="11">
        <f>Construction!BF14*Inputs!$F$105/12</f>
        <v/>
      </c>
      <c r="BG43" s="11">
        <f>Construction!BG14*Inputs!$F$105/12</f>
        <v/>
      </c>
      <c r="BH43" s="11">
        <f>Construction!BH14*Inputs!$F$105/12</f>
        <v/>
      </c>
      <c r="BI43" s="11">
        <f>Construction!BI14*Inputs!$F$105/12</f>
        <v/>
      </c>
      <c r="BJ43" s="11">
        <f>Construction!BJ14*Inputs!$F$105/12</f>
        <v/>
      </c>
    </row>
    <row r="44">
      <c r="D44" t="inlineStr">
        <is>
          <t>DSRA initial funding (COD month)</t>
        </is>
      </c>
      <c r="E44" t="inlineStr">
        <is>
          <t>USD m</t>
        </is>
      </c>
      <c r="G44" s="11">
        <f>SUM(J44:BJ44)</f>
        <v/>
      </c>
      <c r="J44" s="11">
        <f>Construction!J15*IF(Inputs!$F$33=1,$F$12*Inputs!$F$73*$F$25+$F$13*Inputs!$F$74*$F$25+$F$14*Inputs!$F$75*$F$25+$F$15*Inputs!$F$76*$F$25+$F$17,$F$12*J28+$F$13*J29+$F$14*J30+$F$15*J31+$F$16*J32+$F$17)</f>
        <v/>
      </c>
      <c r="K44" s="11">
        <f>Construction!K15*IF(Inputs!$F$33=1,$F$12*Inputs!$F$73*$F$25+$F$13*Inputs!$F$74*$F$25+$F$14*Inputs!$F$75*$F$25+$F$15*Inputs!$F$76*$F$25+$F$17,$F$12*K28+$F$13*K29+$F$14*K30+$F$15*K31+$F$16*K32+$F$17)</f>
        <v/>
      </c>
      <c r="L44" s="11">
        <f>Construction!L15*IF(Inputs!$F$33=1,$F$12*Inputs!$F$73*$F$25+$F$13*Inputs!$F$74*$F$25+$F$14*Inputs!$F$75*$F$25+$F$15*Inputs!$F$76*$F$25+$F$17,$F$12*L28+$F$13*L29+$F$14*L30+$F$15*L31+$F$16*L32+$F$17)</f>
        <v/>
      </c>
      <c r="M44" s="11">
        <f>Construction!M15*IF(Inputs!$F$33=1,$F$12*Inputs!$F$73*$F$25+$F$13*Inputs!$F$74*$F$25+$F$14*Inputs!$F$75*$F$25+$F$15*Inputs!$F$76*$F$25+$F$17,$F$12*M28+$F$13*M29+$F$14*M30+$F$15*M31+$F$16*M32+$F$17)</f>
        <v/>
      </c>
      <c r="N44" s="11">
        <f>Construction!N15*IF(Inputs!$F$33=1,$F$12*Inputs!$F$73*$F$25+$F$13*Inputs!$F$74*$F$25+$F$14*Inputs!$F$75*$F$25+$F$15*Inputs!$F$76*$F$25+$F$17,$F$12*N28+$F$13*N29+$F$14*N30+$F$15*N31+$F$16*N32+$F$17)</f>
        <v/>
      </c>
      <c r="O44" s="11">
        <f>Construction!O15*IF(Inputs!$F$33=1,$F$12*Inputs!$F$73*$F$25+$F$13*Inputs!$F$74*$F$25+$F$14*Inputs!$F$75*$F$25+$F$15*Inputs!$F$76*$F$25+$F$17,$F$12*O28+$F$13*O29+$F$14*O30+$F$15*O31+$F$16*O32+$F$17)</f>
        <v/>
      </c>
      <c r="P44" s="11">
        <f>Construction!P15*IF(Inputs!$F$33=1,$F$12*Inputs!$F$73*$F$25+$F$13*Inputs!$F$74*$F$25+$F$14*Inputs!$F$75*$F$25+$F$15*Inputs!$F$76*$F$25+$F$17,$F$12*P28+$F$13*P29+$F$14*P30+$F$15*P31+$F$16*P32+$F$17)</f>
        <v/>
      </c>
      <c r="Q44" s="11">
        <f>Construction!Q15*IF(Inputs!$F$33=1,$F$12*Inputs!$F$73*$F$25+$F$13*Inputs!$F$74*$F$25+$F$14*Inputs!$F$75*$F$25+$F$15*Inputs!$F$76*$F$25+$F$17,$F$12*Q28+$F$13*Q29+$F$14*Q30+$F$15*Q31+$F$16*Q32+$F$17)</f>
        <v/>
      </c>
      <c r="R44" s="11">
        <f>Construction!R15*IF(Inputs!$F$33=1,$F$12*Inputs!$F$73*$F$25+$F$13*Inputs!$F$74*$F$25+$F$14*Inputs!$F$75*$F$25+$F$15*Inputs!$F$76*$F$25+$F$17,$F$12*R28+$F$13*R29+$F$14*R30+$F$15*R31+$F$16*R32+$F$17)</f>
        <v/>
      </c>
      <c r="S44" s="11">
        <f>Construction!S15*IF(Inputs!$F$33=1,$F$12*Inputs!$F$73*$F$25+$F$13*Inputs!$F$74*$F$25+$F$14*Inputs!$F$75*$F$25+$F$15*Inputs!$F$76*$F$25+$F$17,$F$12*S28+$F$13*S29+$F$14*S30+$F$15*S31+$F$16*S32+$F$17)</f>
        <v/>
      </c>
      <c r="T44" s="11">
        <f>Construction!T15*IF(Inputs!$F$33=1,$F$12*Inputs!$F$73*$F$25+$F$13*Inputs!$F$74*$F$25+$F$14*Inputs!$F$75*$F$25+$F$15*Inputs!$F$76*$F$25+$F$17,$F$12*T28+$F$13*T29+$F$14*T30+$F$15*T31+$F$16*T32+$F$17)</f>
        <v/>
      </c>
      <c r="U44" s="11">
        <f>Construction!U15*IF(Inputs!$F$33=1,$F$12*Inputs!$F$73*$F$25+$F$13*Inputs!$F$74*$F$25+$F$14*Inputs!$F$75*$F$25+$F$15*Inputs!$F$76*$F$25+$F$17,$F$12*U28+$F$13*U29+$F$14*U30+$F$15*U31+$F$16*U32+$F$17)</f>
        <v/>
      </c>
      <c r="V44" s="11">
        <f>Construction!V15*IF(Inputs!$F$33=1,$F$12*Inputs!$F$73*$F$25+$F$13*Inputs!$F$74*$F$25+$F$14*Inputs!$F$75*$F$25+$F$15*Inputs!$F$76*$F$25+$F$17,$F$12*V28+$F$13*V29+$F$14*V30+$F$15*V31+$F$16*V32+$F$17)</f>
        <v/>
      </c>
      <c r="W44" s="11">
        <f>Construction!W15*IF(Inputs!$F$33=1,$F$12*Inputs!$F$73*$F$25+$F$13*Inputs!$F$74*$F$25+$F$14*Inputs!$F$75*$F$25+$F$15*Inputs!$F$76*$F$25+$F$17,$F$12*W28+$F$13*W29+$F$14*W30+$F$15*W31+$F$16*W32+$F$17)</f>
        <v/>
      </c>
      <c r="X44" s="11">
        <f>Construction!X15*IF(Inputs!$F$33=1,$F$12*Inputs!$F$73*$F$25+$F$13*Inputs!$F$74*$F$25+$F$14*Inputs!$F$75*$F$25+$F$15*Inputs!$F$76*$F$25+$F$17,$F$12*X28+$F$13*X29+$F$14*X30+$F$15*X31+$F$16*X32+$F$17)</f>
        <v/>
      </c>
      <c r="Y44" s="11">
        <f>Construction!Y15*IF(Inputs!$F$33=1,$F$12*Inputs!$F$73*$F$25+$F$13*Inputs!$F$74*$F$25+$F$14*Inputs!$F$75*$F$25+$F$15*Inputs!$F$76*$F$25+$F$17,$F$12*Y28+$F$13*Y29+$F$14*Y30+$F$15*Y31+$F$16*Y32+$F$17)</f>
        <v/>
      </c>
      <c r="Z44" s="11">
        <f>Construction!Z15*IF(Inputs!$F$33=1,$F$12*Inputs!$F$73*$F$25+$F$13*Inputs!$F$74*$F$25+$F$14*Inputs!$F$75*$F$25+$F$15*Inputs!$F$76*$F$25+$F$17,$F$12*Z28+$F$13*Z29+$F$14*Z30+$F$15*Z31+$F$16*Z32+$F$17)</f>
        <v/>
      </c>
      <c r="AA44" s="11">
        <f>Construction!AA15*IF(Inputs!$F$33=1,$F$12*Inputs!$F$73*$F$25+$F$13*Inputs!$F$74*$F$25+$F$14*Inputs!$F$75*$F$25+$F$15*Inputs!$F$76*$F$25+$F$17,$F$12*AA28+$F$13*AA29+$F$14*AA30+$F$15*AA31+$F$16*AA32+$F$17)</f>
        <v/>
      </c>
      <c r="AB44" s="11">
        <f>Construction!AB15*IF(Inputs!$F$33=1,$F$12*Inputs!$F$73*$F$25+$F$13*Inputs!$F$74*$F$25+$F$14*Inputs!$F$75*$F$25+$F$15*Inputs!$F$76*$F$25+$F$17,$F$12*AB28+$F$13*AB29+$F$14*AB30+$F$15*AB31+$F$16*AB32+$F$17)</f>
        <v/>
      </c>
      <c r="AC44" s="11">
        <f>Construction!AC15*IF(Inputs!$F$33=1,$F$12*Inputs!$F$73*$F$25+$F$13*Inputs!$F$74*$F$25+$F$14*Inputs!$F$75*$F$25+$F$15*Inputs!$F$76*$F$25+$F$17,$F$12*AC28+$F$13*AC29+$F$14*AC30+$F$15*AC31+$F$16*AC32+$F$17)</f>
        <v/>
      </c>
      <c r="AD44" s="11">
        <f>Construction!AD15*IF(Inputs!$F$33=1,$F$12*Inputs!$F$73*$F$25+$F$13*Inputs!$F$74*$F$25+$F$14*Inputs!$F$75*$F$25+$F$15*Inputs!$F$76*$F$25+$F$17,$F$12*AD28+$F$13*AD29+$F$14*AD30+$F$15*AD31+$F$16*AD32+$F$17)</f>
        <v/>
      </c>
      <c r="AE44" s="11">
        <f>Construction!AE15*IF(Inputs!$F$33=1,$F$12*Inputs!$F$73*$F$25+$F$13*Inputs!$F$74*$F$25+$F$14*Inputs!$F$75*$F$25+$F$15*Inputs!$F$76*$F$25+$F$17,$F$12*AE28+$F$13*AE29+$F$14*AE30+$F$15*AE31+$F$16*AE32+$F$17)</f>
        <v/>
      </c>
      <c r="AF44" s="11">
        <f>Construction!AF15*IF(Inputs!$F$33=1,$F$12*Inputs!$F$73*$F$25+$F$13*Inputs!$F$74*$F$25+$F$14*Inputs!$F$75*$F$25+$F$15*Inputs!$F$76*$F$25+$F$17,$F$12*AF28+$F$13*AF29+$F$14*AF30+$F$15*AF31+$F$16*AF32+$F$17)</f>
        <v/>
      </c>
      <c r="AG44" s="11">
        <f>Construction!AG15*IF(Inputs!$F$33=1,$F$12*Inputs!$F$73*$F$25+$F$13*Inputs!$F$74*$F$25+$F$14*Inputs!$F$75*$F$25+$F$15*Inputs!$F$76*$F$25+$F$17,$F$12*AG28+$F$13*AG29+$F$14*AG30+$F$15*AG31+$F$16*AG32+$F$17)</f>
        <v/>
      </c>
      <c r="AH44" s="11">
        <f>Construction!AH15*IF(Inputs!$F$33=1,$F$12*Inputs!$F$73*$F$25+$F$13*Inputs!$F$74*$F$25+$F$14*Inputs!$F$75*$F$25+$F$15*Inputs!$F$76*$F$25+$F$17,$F$12*AH28+$F$13*AH29+$F$14*AH30+$F$15*AH31+$F$16*AH32+$F$17)</f>
        <v/>
      </c>
      <c r="AI44" s="11">
        <f>Construction!AI15*IF(Inputs!$F$33=1,$F$12*Inputs!$F$73*$F$25+$F$13*Inputs!$F$74*$F$25+$F$14*Inputs!$F$75*$F$25+$F$15*Inputs!$F$76*$F$25+$F$17,$F$12*AI28+$F$13*AI29+$F$14*AI30+$F$15*AI31+$F$16*AI32+$F$17)</f>
        <v/>
      </c>
      <c r="AJ44" s="11">
        <f>Construction!AJ15*IF(Inputs!$F$33=1,$F$12*Inputs!$F$73*$F$25+$F$13*Inputs!$F$74*$F$25+$F$14*Inputs!$F$75*$F$25+$F$15*Inputs!$F$76*$F$25+$F$17,$F$12*AJ28+$F$13*AJ29+$F$14*AJ30+$F$15*AJ31+$F$16*AJ32+$F$17)</f>
        <v/>
      </c>
      <c r="AK44" s="11">
        <f>Construction!AK15*IF(Inputs!$F$33=1,$F$12*Inputs!$F$73*$F$25+$F$13*Inputs!$F$74*$F$25+$F$14*Inputs!$F$75*$F$25+$F$15*Inputs!$F$76*$F$25+$F$17,$F$12*AK28+$F$13*AK29+$F$14*AK30+$F$15*AK31+$F$16*AK32+$F$17)</f>
        <v/>
      </c>
      <c r="AL44" s="11">
        <f>Construction!AL15*IF(Inputs!$F$33=1,$F$12*Inputs!$F$73*$F$25+$F$13*Inputs!$F$74*$F$25+$F$14*Inputs!$F$75*$F$25+$F$15*Inputs!$F$76*$F$25+$F$17,$F$12*AL28+$F$13*AL29+$F$14*AL30+$F$15*AL31+$F$16*AL32+$F$17)</f>
        <v/>
      </c>
      <c r="AM44" s="11">
        <f>Construction!AM15*IF(Inputs!$F$33=1,$F$12*Inputs!$F$73*$F$25+$F$13*Inputs!$F$74*$F$25+$F$14*Inputs!$F$75*$F$25+$F$15*Inputs!$F$76*$F$25+$F$17,$F$12*AM28+$F$13*AM29+$F$14*AM30+$F$15*AM31+$F$16*AM32+$F$17)</f>
        <v/>
      </c>
      <c r="AN44" s="11">
        <f>Construction!AN15*IF(Inputs!$F$33=1,$F$12*Inputs!$F$73*$F$25+$F$13*Inputs!$F$74*$F$25+$F$14*Inputs!$F$75*$F$25+$F$15*Inputs!$F$76*$F$25+$F$17,$F$12*AN28+$F$13*AN29+$F$14*AN30+$F$15*AN31+$F$16*AN32+$F$17)</f>
        <v/>
      </c>
      <c r="AO44" s="11">
        <f>Construction!AO15*IF(Inputs!$F$33=1,$F$12*Inputs!$F$73*$F$25+$F$13*Inputs!$F$74*$F$25+$F$14*Inputs!$F$75*$F$25+$F$15*Inputs!$F$76*$F$25+$F$17,$F$12*AO28+$F$13*AO29+$F$14*AO30+$F$15*AO31+$F$16*AO32+$F$17)</f>
        <v/>
      </c>
      <c r="AP44" s="11">
        <f>Construction!AP15*IF(Inputs!$F$33=1,$F$12*Inputs!$F$73*$F$25+$F$13*Inputs!$F$74*$F$25+$F$14*Inputs!$F$75*$F$25+$F$15*Inputs!$F$76*$F$25+$F$17,$F$12*AP28+$F$13*AP29+$F$14*AP30+$F$15*AP31+$F$16*AP32+$F$17)</f>
        <v/>
      </c>
      <c r="AQ44" s="11">
        <f>Construction!AQ15*IF(Inputs!$F$33=1,$F$12*Inputs!$F$73*$F$25+$F$13*Inputs!$F$74*$F$25+$F$14*Inputs!$F$75*$F$25+$F$15*Inputs!$F$76*$F$25+$F$17,$F$12*AQ28+$F$13*AQ29+$F$14*AQ30+$F$15*AQ31+$F$16*AQ32+$F$17)</f>
        <v/>
      </c>
      <c r="AR44" s="11">
        <f>Construction!AR15*IF(Inputs!$F$33=1,$F$12*Inputs!$F$73*$F$25+$F$13*Inputs!$F$74*$F$25+$F$14*Inputs!$F$75*$F$25+$F$15*Inputs!$F$76*$F$25+$F$17,$F$12*AR28+$F$13*AR29+$F$14*AR30+$F$15*AR31+$F$16*AR32+$F$17)</f>
        <v/>
      </c>
      <c r="AS44" s="11">
        <f>Construction!AS15*IF(Inputs!$F$33=1,$F$12*Inputs!$F$73*$F$25+$F$13*Inputs!$F$74*$F$25+$F$14*Inputs!$F$75*$F$25+$F$15*Inputs!$F$76*$F$25+$F$17,$F$12*AS28+$F$13*AS29+$F$14*AS30+$F$15*AS31+$F$16*AS32+$F$17)</f>
        <v/>
      </c>
      <c r="AT44" s="11">
        <f>Construction!AT15*IF(Inputs!$F$33=1,$F$12*Inputs!$F$73*$F$25+$F$13*Inputs!$F$74*$F$25+$F$14*Inputs!$F$75*$F$25+$F$15*Inputs!$F$76*$F$25+$F$17,$F$12*AT28+$F$13*AT29+$F$14*AT30+$F$15*AT31+$F$16*AT32+$F$17)</f>
        <v/>
      </c>
      <c r="AU44" s="11">
        <f>Construction!AU15*IF(Inputs!$F$33=1,$F$12*Inputs!$F$73*$F$25+$F$13*Inputs!$F$74*$F$25+$F$14*Inputs!$F$75*$F$25+$F$15*Inputs!$F$76*$F$25+$F$17,$F$12*AU28+$F$13*AU29+$F$14*AU30+$F$15*AU31+$F$16*AU32+$F$17)</f>
        <v/>
      </c>
      <c r="AV44" s="11">
        <f>Construction!AV15*IF(Inputs!$F$33=1,$F$12*Inputs!$F$73*$F$25+$F$13*Inputs!$F$74*$F$25+$F$14*Inputs!$F$75*$F$25+$F$15*Inputs!$F$76*$F$25+$F$17,$F$12*AV28+$F$13*AV29+$F$14*AV30+$F$15*AV31+$F$16*AV32+$F$17)</f>
        <v/>
      </c>
      <c r="AW44" s="11">
        <f>Construction!AW15*IF(Inputs!$F$33=1,$F$12*Inputs!$F$73*$F$25+$F$13*Inputs!$F$74*$F$25+$F$14*Inputs!$F$75*$F$25+$F$15*Inputs!$F$76*$F$25+$F$17,$F$12*AW28+$F$13*AW29+$F$14*AW30+$F$15*AW31+$F$16*AW32+$F$17)</f>
        <v/>
      </c>
      <c r="AX44" s="11">
        <f>Construction!AX15*IF(Inputs!$F$33=1,$F$12*Inputs!$F$73*$F$25+$F$13*Inputs!$F$74*$F$25+$F$14*Inputs!$F$75*$F$25+$F$15*Inputs!$F$76*$F$25+$F$17,$F$12*AX28+$F$13*AX29+$F$14*AX30+$F$15*AX31+$F$16*AX32+$F$17)</f>
        <v/>
      </c>
      <c r="AY44" s="11">
        <f>Construction!AY15*IF(Inputs!$F$33=1,$F$12*Inputs!$F$73*$F$25+$F$13*Inputs!$F$74*$F$25+$F$14*Inputs!$F$75*$F$25+$F$15*Inputs!$F$76*$F$25+$F$17,$F$12*AY28+$F$13*AY29+$F$14*AY30+$F$15*AY31+$F$16*AY32+$F$17)</f>
        <v/>
      </c>
      <c r="AZ44" s="11">
        <f>Construction!AZ15*IF(Inputs!$F$33=1,$F$12*Inputs!$F$73*$F$25+$F$13*Inputs!$F$74*$F$25+$F$14*Inputs!$F$75*$F$25+$F$15*Inputs!$F$76*$F$25+$F$17,$F$12*AZ28+$F$13*AZ29+$F$14*AZ30+$F$15*AZ31+$F$16*AZ32+$F$17)</f>
        <v/>
      </c>
      <c r="BA44" s="11">
        <f>Construction!BA15*IF(Inputs!$F$33=1,$F$12*Inputs!$F$73*$F$25+$F$13*Inputs!$F$74*$F$25+$F$14*Inputs!$F$75*$F$25+$F$15*Inputs!$F$76*$F$25+$F$17,$F$12*BA28+$F$13*BA29+$F$14*BA30+$F$15*BA31+$F$16*BA32+$F$17)</f>
        <v/>
      </c>
      <c r="BB44" s="11">
        <f>Construction!BB15*IF(Inputs!$F$33=1,$F$12*Inputs!$F$73*$F$25+$F$13*Inputs!$F$74*$F$25+$F$14*Inputs!$F$75*$F$25+$F$15*Inputs!$F$76*$F$25+$F$17,$F$12*BB28+$F$13*BB29+$F$14*BB30+$F$15*BB31+$F$16*BB32+$F$17)</f>
        <v/>
      </c>
      <c r="BC44" s="11">
        <f>Construction!BC15*IF(Inputs!$F$33=1,$F$12*Inputs!$F$73*$F$25+$F$13*Inputs!$F$74*$F$25+$F$14*Inputs!$F$75*$F$25+$F$15*Inputs!$F$76*$F$25+$F$17,$F$12*BC28+$F$13*BC29+$F$14*BC30+$F$15*BC31+$F$16*BC32+$F$17)</f>
        <v/>
      </c>
      <c r="BD44" s="11">
        <f>Construction!BD15*IF(Inputs!$F$33=1,$F$12*Inputs!$F$73*$F$25+$F$13*Inputs!$F$74*$F$25+$F$14*Inputs!$F$75*$F$25+$F$15*Inputs!$F$76*$F$25+$F$17,$F$12*BD28+$F$13*BD29+$F$14*BD30+$F$15*BD31+$F$16*BD32+$F$17)</f>
        <v/>
      </c>
      <c r="BE44" s="11">
        <f>Construction!BE15*IF(Inputs!$F$33=1,$F$12*Inputs!$F$73*$F$25+$F$13*Inputs!$F$74*$F$25+$F$14*Inputs!$F$75*$F$25+$F$15*Inputs!$F$76*$F$25+$F$17,$F$12*BE28+$F$13*BE29+$F$14*BE30+$F$15*BE31+$F$16*BE32+$F$17)</f>
        <v/>
      </c>
      <c r="BF44" s="11">
        <f>Construction!BF15*IF(Inputs!$F$33=1,$F$12*Inputs!$F$73*$F$25+$F$13*Inputs!$F$74*$F$25+$F$14*Inputs!$F$75*$F$25+$F$15*Inputs!$F$76*$F$25+$F$17,$F$12*BF28+$F$13*BF29+$F$14*BF30+$F$15*BF31+$F$16*BF32+$F$17)</f>
        <v/>
      </c>
      <c r="BG44" s="11">
        <f>Construction!BG15*IF(Inputs!$F$33=1,$F$12*Inputs!$F$73*$F$25+$F$13*Inputs!$F$74*$F$25+$F$14*Inputs!$F$75*$F$25+$F$15*Inputs!$F$76*$F$25+$F$17,$F$12*BG28+$F$13*BG29+$F$14*BG30+$F$15*BG31+$F$16*BG32+$F$17)</f>
        <v/>
      </c>
      <c r="BH44" s="11">
        <f>Construction!BH15*IF(Inputs!$F$33=1,$F$12*Inputs!$F$73*$F$25+$F$13*Inputs!$F$74*$F$25+$F$14*Inputs!$F$75*$F$25+$F$15*Inputs!$F$76*$F$25+$F$17,$F$12*BH28+$F$13*BH29+$F$14*BH30+$F$15*BH31+$F$16*BH32+$F$17)</f>
        <v/>
      </c>
      <c r="BI44" s="11">
        <f>Construction!BI15*IF(Inputs!$F$33=1,$F$12*Inputs!$F$73*$F$25+$F$13*Inputs!$F$74*$F$25+$F$14*Inputs!$F$75*$F$25+$F$15*Inputs!$F$76*$F$25+$F$17,$F$12*BI28+$F$13*BI29+$F$14*BI30+$F$15*BI31+$F$16*BI32+$F$17)</f>
        <v/>
      </c>
      <c r="BJ44" s="11">
        <f>Construction!BJ15*IF(Inputs!$F$33=1,$F$12*Inputs!$F$73*$F$25+$F$13*Inputs!$F$74*$F$25+$F$14*Inputs!$F$75*$F$25+$F$15*Inputs!$F$76*$F$25+$F$17,$F$12*BJ28+$F$13*BJ29+$F$14*BJ30+$F$15*BJ31+$F$16*BJ32+$F$17)</f>
        <v/>
      </c>
    </row>
    <row r="45">
      <c r="D45" t="inlineStr">
        <is>
          <t>Uses before ECA premium</t>
        </is>
      </c>
      <c r="E45" t="inlineStr">
        <is>
          <t>USD m</t>
        </is>
      </c>
      <c r="J45" s="11">
        <f>Construction!J14*(Construction!J30+Construction!J36)+J33+J34+J35+J36+J37+J38+J39+J40+J41+J42+J43+J44</f>
        <v/>
      </c>
      <c r="K45" s="11">
        <f>Construction!K14*(Construction!K30+Construction!K36)+K33+K34+K35+K36+K37+K38+K39+K40+K41+K42+K43+K44</f>
        <v/>
      </c>
      <c r="L45" s="11">
        <f>Construction!L14*(Construction!L30+Construction!L36)+L33+L34+L35+L36+L37+L38+L39+L40+L41+L42+L43+L44</f>
        <v/>
      </c>
      <c r="M45" s="11">
        <f>Construction!M14*(Construction!M30+Construction!M36)+M33+M34+M35+M36+M37+M38+M39+M40+M41+M42+M43+M44</f>
        <v/>
      </c>
      <c r="N45" s="11">
        <f>Construction!N14*(Construction!N30+Construction!N36)+N33+N34+N35+N36+N37+N38+N39+N40+N41+N42+N43+N44</f>
        <v/>
      </c>
      <c r="O45" s="11">
        <f>Construction!O14*(Construction!O30+Construction!O36)+O33+O34+O35+O36+O37+O38+O39+O40+O41+O42+O43+O44</f>
        <v/>
      </c>
      <c r="P45" s="11">
        <f>Construction!P14*(Construction!P30+Construction!P36)+P33+P34+P35+P36+P37+P38+P39+P40+P41+P42+P43+P44</f>
        <v/>
      </c>
      <c r="Q45" s="11">
        <f>Construction!Q14*(Construction!Q30+Construction!Q36)+Q33+Q34+Q35+Q36+Q37+Q38+Q39+Q40+Q41+Q42+Q43+Q44</f>
        <v/>
      </c>
      <c r="R45" s="11">
        <f>Construction!R14*(Construction!R30+Construction!R36)+R33+R34+R35+R36+R37+R38+R39+R40+R41+R42+R43+R44</f>
        <v/>
      </c>
      <c r="S45" s="11">
        <f>Construction!S14*(Construction!S30+Construction!S36)+S33+S34+S35+S36+S37+S38+S39+S40+S41+S42+S43+S44</f>
        <v/>
      </c>
      <c r="T45" s="11">
        <f>Construction!T14*(Construction!T30+Construction!T36)+T33+T34+T35+T36+T37+T38+T39+T40+T41+T42+T43+T44</f>
        <v/>
      </c>
      <c r="U45" s="11">
        <f>Construction!U14*(Construction!U30+Construction!U36)+U33+U34+U35+U36+U37+U38+U39+U40+U41+U42+U43+U44</f>
        <v/>
      </c>
      <c r="V45" s="11">
        <f>Construction!V14*(Construction!V30+Construction!V36)+V33+V34+V35+V36+V37+V38+V39+V40+V41+V42+V43+V44</f>
        <v/>
      </c>
      <c r="W45" s="11">
        <f>Construction!W14*(Construction!W30+Construction!W36)+W33+W34+W35+W36+W37+W38+W39+W40+W41+W42+W43+W44</f>
        <v/>
      </c>
      <c r="X45" s="11">
        <f>Construction!X14*(Construction!X30+Construction!X36)+X33+X34+X35+X36+X37+X38+X39+X40+X41+X42+X43+X44</f>
        <v/>
      </c>
      <c r="Y45" s="11">
        <f>Construction!Y14*(Construction!Y30+Construction!Y36)+Y33+Y34+Y35+Y36+Y37+Y38+Y39+Y40+Y41+Y42+Y43+Y44</f>
        <v/>
      </c>
      <c r="Z45" s="11">
        <f>Construction!Z14*(Construction!Z30+Construction!Z36)+Z33+Z34+Z35+Z36+Z37+Z38+Z39+Z40+Z41+Z42+Z43+Z44</f>
        <v/>
      </c>
      <c r="AA45" s="11">
        <f>Construction!AA14*(Construction!AA30+Construction!AA36)+AA33+AA34+AA35+AA36+AA37+AA38+AA39+AA40+AA41+AA42+AA43+AA44</f>
        <v/>
      </c>
      <c r="AB45" s="11">
        <f>Construction!AB14*(Construction!AB30+Construction!AB36)+AB33+AB34+AB35+AB36+AB37+AB38+AB39+AB40+AB41+AB42+AB43+AB44</f>
        <v/>
      </c>
      <c r="AC45" s="11">
        <f>Construction!AC14*(Construction!AC30+Construction!AC36)+AC33+AC34+AC35+AC36+AC37+AC38+AC39+AC40+AC41+AC42+AC43+AC44</f>
        <v/>
      </c>
      <c r="AD45" s="11">
        <f>Construction!AD14*(Construction!AD30+Construction!AD36)+AD33+AD34+AD35+AD36+AD37+AD38+AD39+AD40+AD41+AD42+AD43+AD44</f>
        <v/>
      </c>
      <c r="AE45" s="11">
        <f>Construction!AE14*(Construction!AE30+Construction!AE36)+AE33+AE34+AE35+AE36+AE37+AE38+AE39+AE40+AE41+AE42+AE43+AE44</f>
        <v/>
      </c>
      <c r="AF45" s="11">
        <f>Construction!AF14*(Construction!AF30+Construction!AF36)+AF33+AF34+AF35+AF36+AF37+AF38+AF39+AF40+AF41+AF42+AF43+AF44</f>
        <v/>
      </c>
      <c r="AG45" s="11">
        <f>Construction!AG14*(Construction!AG30+Construction!AG36)+AG33+AG34+AG35+AG36+AG37+AG38+AG39+AG40+AG41+AG42+AG43+AG44</f>
        <v/>
      </c>
      <c r="AH45" s="11">
        <f>Construction!AH14*(Construction!AH30+Construction!AH36)+AH33+AH34+AH35+AH36+AH37+AH38+AH39+AH40+AH41+AH42+AH43+AH44</f>
        <v/>
      </c>
      <c r="AI45" s="11">
        <f>Construction!AI14*(Construction!AI30+Construction!AI36)+AI33+AI34+AI35+AI36+AI37+AI38+AI39+AI40+AI41+AI42+AI43+AI44</f>
        <v/>
      </c>
      <c r="AJ45" s="11">
        <f>Construction!AJ14*(Construction!AJ30+Construction!AJ36)+AJ33+AJ34+AJ35+AJ36+AJ37+AJ38+AJ39+AJ40+AJ41+AJ42+AJ43+AJ44</f>
        <v/>
      </c>
      <c r="AK45" s="11">
        <f>Construction!AK14*(Construction!AK30+Construction!AK36)+AK33+AK34+AK35+AK36+AK37+AK38+AK39+AK40+AK41+AK42+AK43+AK44</f>
        <v/>
      </c>
      <c r="AL45" s="11">
        <f>Construction!AL14*(Construction!AL30+Construction!AL36)+AL33+AL34+AL35+AL36+AL37+AL38+AL39+AL40+AL41+AL42+AL43+AL44</f>
        <v/>
      </c>
      <c r="AM45" s="11">
        <f>Construction!AM14*(Construction!AM30+Construction!AM36)+AM33+AM34+AM35+AM36+AM37+AM38+AM39+AM40+AM41+AM42+AM43+AM44</f>
        <v/>
      </c>
      <c r="AN45" s="11">
        <f>Construction!AN14*(Construction!AN30+Construction!AN36)+AN33+AN34+AN35+AN36+AN37+AN38+AN39+AN40+AN41+AN42+AN43+AN44</f>
        <v/>
      </c>
      <c r="AO45" s="11">
        <f>Construction!AO14*(Construction!AO30+Construction!AO36)+AO33+AO34+AO35+AO36+AO37+AO38+AO39+AO40+AO41+AO42+AO43+AO44</f>
        <v/>
      </c>
      <c r="AP45" s="11">
        <f>Construction!AP14*(Construction!AP30+Construction!AP36)+AP33+AP34+AP35+AP36+AP37+AP38+AP39+AP40+AP41+AP42+AP43+AP44</f>
        <v/>
      </c>
      <c r="AQ45" s="11">
        <f>Construction!AQ14*(Construction!AQ30+Construction!AQ36)+AQ33+AQ34+AQ35+AQ36+AQ37+AQ38+AQ39+AQ40+AQ41+AQ42+AQ43+AQ44</f>
        <v/>
      </c>
      <c r="AR45" s="11">
        <f>Construction!AR14*(Construction!AR30+Construction!AR36)+AR33+AR34+AR35+AR36+AR37+AR38+AR39+AR40+AR41+AR42+AR43+AR44</f>
        <v/>
      </c>
      <c r="AS45" s="11">
        <f>Construction!AS14*(Construction!AS30+Construction!AS36)+AS33+AS34+AS35+AS36+AS37+AS38+AS39+AS40+AS41+AS42+AS43+AS44</f>
        <v/>
      </c>
      <c r="AT45" s="11">
        <f>Construction!AT14*(Construction!AT30+Construction!AT36)+AT33+AT34+AT35+AT36+AT37+AT38+AT39+AT40+AT41+AT42+AT43+AT44</f>
        <v/>
      </c>
      <c r="AU45" s="11">
        <f>Construction!AU14*(Construction!AU30+Construction!AU36)+AU33+AU34+AU35+AU36+AU37+AU38+AU39+AU40+AU41+AU42+AU43+AU44</f>
        <v/>
      </c>
      <c r="AV45" s="11">
        <f>Construction!AV14*(Construction!AV30+Construction!AV36)+AV33+AV34+AV35+AV36+AV37+AV38+AV39+AV40+AV41+AV42+AV43+AV44</f>
        <v/>
      </c>
      <c r="AW45" s="11">
        <f>Construction!AW14*(Construction!AW30+Construction!AW36)+AW33+AW34+AW35+AW36+AW37+AW38+AW39+AW40+AW41+AW42+AW43+AW44</f>
        <v/>
      </c>
      <c r="AX45" s="11">
        <f>Construction!AX14*(Construction!AX30+Construction!AX36)+AX33+AX34+AX35+AX36+AX37+AX38+AX39+AX40+AX41+AX42+AX43+AX44</f>
        <v/>
      </c>
      <c r="AY45" s="11">
        <f>Construction!AY14*(Construction!AY30+Construction!AY36)+AY33+AY34+AY35+AY36+AY37+AY38+AY39+AY40+AY41+AY42+AY43+AY44</f>
        <v/>
      </c>
      <c r="AZ45" s="11">
        <f>Construction!AZ14*(Construction!AZ30+Construction!AZ36)+AZ33+AZ34+AZ35+AZ36+AZ37+AZ38+AZ39+AZ40+AZ41+AZ42+AZ43+AZ44</f>
        <v/>
      </c>
      <c r="BA45" s="11">
        <f>Construction!BA14*(Construction!BA30+Construction!BA36)+BA33+BA34+BA35+BA36+BA37+BA38+BA39+BA40+BA41+BA42+BA43+BA44</f>
        <v/>
      </c>
      <c r="BB45" s="11">
        <f>Construction!BB14*(Construction!BB30+Construction!BB36)+BB33+BB34+BB35+BB36+BB37+BB38+BB39+BB40+BB41+BB42+BB43+BB44</f>
        <v/>
      </c>
      <c r="BC45" s="11">
        <f>Construction!BC14*(Construction!BC30+Construction!BC36)+BC33+BC34+BC35+BC36+BC37+BC38+BC39+BC40+BC41+BC42+BC43+BC44</f>
        <v/>
      </c>
      <c r="BD45" s="11">
        <f>Construction!BD14*(Construction!BD30+Construction!BD36)+BD33+BD34+BD35+BD36+BD37+BD38+BD39+BD40+BD41+BD42+BD43+BD44</f>
        <v/>
      </c>
      <c r="BE45" s="11">
        <f>Construction!BE14*(Construction!BE30+Construction!BE36)+BE33+BE34+BE35+BE36+BE37+BE38+BE39+BE40+BE41+BE42+BE43+BE44</f>
        <v/>
      </c>
      <c r="BF45" s="11">
        <f>Construction!BF14*(Construction!BF30+Construction!BF36)+BF33+BF34+BF35+BF36+BF37+BF38+BF39+BF40+BF41+BF42+BF43+BF44</f>
        <v/>
      </c>
      <c r="BG45" s="11">
        <f>Construction!BG14*(Construction!BG30+Construction!BG36)+BG33+BG34+BG35+BG36+BG37+BG38+BG39+BG40+BG41+BG42+BG43+BG44</f>
        <v/>
      </c>
      <c r="BH45" s="11">
        <f>Construction!BH14*(Construction!BH30+Construction!BH36)+BH33+BH34+BH35+BH36+BH37+BH38+BH39+BH40+BH41+BH42+BH43+BH44</f>
        <v/>
      </c>
      <c r="BI45" s="11">
        <f>Construction!BI14*(Construction!BI30+Construction!BI36)+BI33+BI34+BI35+BI36+BI37+BI38+BI39+BI40+BI41+BI42+BI43+BI44</f>
        <v/>
      </c>
      <c r="BJ45" s="11">
        <f>Construction!BJ14*(Construction!BJ30+Construction!BJ36)+BJ33+BJ34+BJ35+BJ36+BJ37+BJ38+BJ39+BJ40+BJ41+BJ42+BJ43+BJ44</f>
        <v/>
      </c>
    </row>
    <row r="46">
      <c r="D46" t="inlineStr">
        <is>
          <t>Headroom on committed senior tranches</t>
        </is>
      </c>
      <c r="E46" t="inlineStr">
        <is>
          <t>USD m</t>
        </is>
      </c>
      <c r="J46" s="11">
        <f>$F$25-J28-J29-J30-J31</f>
        <v/>
      </c>
      <c r="K46" s="11">
        <f>$F$25-K28-K29-K30-K31</f>
        <v/>
      </c>
      <c r="L46" s="11">
        <f>$F$25-L28-L29-L30-L31</f>
        <v/>
      </c>
      <c r="M46" s="11">
        <f>$F$25-M28-M29-M30-M31</f>
        <v/>
      </c>
      <c r="N46" s="11">
        <f>$F$25-N28-N29-N30-N31</f>
        <v/>
      </c>
      <c r="O46" s="11">
        <f>$F$25-O28-O29-O30-O31</f>
        <v/>
      </c>
      <c r="P46" s="11">
        <f>$F$25-P28-P29-P30-P31</f>
        <v/>
      </c>
      <c r="Q46" s="11">
        <f>$F$25-Q28-Q29-Q30-Q31</f>
        <v/>
      </c>
      <c r="R46" s="11">
        <f>$F$25-R28-R29-R30-R31</f>
        <v/>
      </c>
      <c r="S46" s="11">
        <f>$F$25-S28-S29-S30-S31</f>
        <v/>
      </c>
      <c r="T46" s="11">
        <f>$F$25-T28-T29-T30-T31</f>
        <v/>
      </c>
      <c r="U46" s="11">
        <f>$F$25-U28-U29-U30-U31</f>
        <v/>
      </c>
      <c r="V46" s="11">
        <f>$F$25-V28-V29-V30-V31</f>
        <v/>
      </c>
      <c r="W46" s="11">
        <f>$F$25-W28-W29-W30-W31</f>
        <v/>
      </c>
      <c r="X46" s="11">
        <f>$F$25-X28-X29-X30-X31</f>
        <v/>
      </c>
      <c r="Y46" s="11">
        <f>$F$25-Y28-Y29-Y30-Y31</f>
        <v/>
      </c>
      <c r="Z46" s="11">
        <f>$F$25-Z28-Z29-Z30-Z31</f>
        <v/>
      </c>
      <c r="AA46" s="11">
        <f>$F$25-AA28-AA29-AA30-AA31</f>
        <v/>
      </c>
      <c r="AB46" s="11">
        <f>$F$25-AB28-AB29-AB30-AB31</f>
        <v/>
      </c>
      <c r="AC46" s="11">
        <f>$F$25-AC28-AC29-AC30-AC31</f>
        <v/>
      </c>
      <c r="AD46" s="11">
        <f>$F$25-AD28-AD29-AD30-AD31</f>
        <v/>
      </c>
      <c r="AE46" s="11">
        <f>$F$25-AE28-AE29-AE30-AE31</f>
        <v/>
      </c>
      <c r="AF46" s="11">
        <f>$F$25-AF28-AF29-AF30-AF31</f>
        <v/>
      </c>
      <c r="AG46" s="11">
        <f>$F$25-AG28-AG29-AG30-AG31</f>
        <v/>
      </c>
      <c r="AH46" s="11">
        <f>$F$25-AH28-AH29-AH30-AH31</f>
        <v/>
      </c>
      <c r="AI46" s="11">
        <f>$F$25-AI28-AI29-AI30-AI31</f>
        <v/>
      </c>
      <c r="AJ46" s="11">
        <f>$F$25-AJ28-AJ29-AJ30-AJ31</f>
        <v/>
      </c>
      <c r="AK46" s="11">
        <f>$F$25-AK28-AK29-AK30-AK31</f>
        <v/>
      </c>
      <c r="AL46" s="11">
        <f>$F$25-AL28-AL29-AL30-AL31</f>
        <v/>
      </c>
      <c r="AM46" s="11">
        <f>$F$25-AM28-AM29-AM30-AM31</f>
        <v/>
      </c>
      <c r="AN46" s="11">
        <f>$F$25-AN28-AN29-AN30-AN31</f>
        <v/>
      </c>
      <c r="AO46" s="11">
        <f>$F$25-AO28-AO29-AO30-AO31</f>
        <v/>
      </c>
      <c r="AP46" s="11">
        <f>$F$25-AP28-AP29-AP30-AP31</f>
        <v/>
      </c>
      <c r="AQ46" s="11">
        <f>$F$25-AQ28-AQ29-AQ30-AQ31</f>
        <v/>
      </c>
      <c r="AR46" s="11">
        <f>$F$25-AR28-AR29-AR30-AR31</f>
        <v/>
      </c>
      <c r="AS46" s="11">
        <f>$F$25-AS28-AS29-AS30-AS31</f>
        <v/>
      </c>
      <c r="AT46" s="11">
        <f>$F$25-AT28-AT29-AT30-AT31</f>
        <v/>
      </c>
      <c r="AU46" s="11">
        <f>$F$25-AU28-AU29-AU30-AU31</f>
        <v/>
      </c>
      <c r="AV46" s="11">
        <f>$F$25-AV28-AV29-AV30-AV31</f>
        <v/>
      </c>
      <c r="AW46" s="11">
        <f>$F$25-AW28-AW29-AW30-AW31</f>
        <v/>
      </c>
      <c r="AX46" s="11">
        <f>$F$25-AX28-AX29-AX30-AX31</f>
        <v/>
      </c>
      <c r="AY46" s="11">
        <f>$F$25-AY28-AY29-AY30-AY31</f>
        <v/>
      </c>
      <c r="AZ46" s="11">
        <f>$F$25-AZ28-AZ29-AZ30-AZ31</f>
        <v/>
      </c>
      <c r="BA46" s="11">
        <f>$F$25-BA28-BA29-BA30-BA31</f>
        <v/>
      </c>
      <c r="BB46" s="11">
        <f>$F$25-BB28-BB29-BB30-BB31</f>
        <v/>
      </c>
      <c r="BC46" s="11">
        <f>$F$25-BC28-BC29-BC30-BC31</f>
        <v/>
      </c>
      <c r="BD46" s="11">
        <f>$F$25-BD28-BD29-BD30-BD31</f>
        <v/>
      </c>
      <c r="BE46" s="11">
        <f>$F$25-BE28-BE29-BE30-BE31</f>
        <v/>
      </c>
      <c r="BF46" s="11">
        <f>$F$25-BF28-BF29-BF30-BF31</f>
        <v/>
      </c>
      <c r="BG46" s="11">
        <f>$F$25-BG28-BG29-BG30-BG31</f>
        <v/>
      </c>
      <c r="BH46" s="11">
        <f>$F$25-BH28-BH29-BH30-BH31</f>
        <v/>
      </c>
      <c r="BI46" s="11">
        <f>$F$25-BI28-BI29-BI30-BI31</f>
        <v/>
      </c>
      <c r="BJ46" s="11">
        <f>$F$25-BJ28-BJ29-BJ30-BJ31</f>
        <v/>
      </c>
    </row>
    <row r="47">
      <c r="D47" t="inlineStr">
        <is>
          <t>Senior tranche drawdown (pro rata)</t>
        </is>
      </c>
      <c r="E47" t="inlineStr">
        <is>
          <t>USD m</t>
        </is>
      </c>
      <c r="G47" s="11">
        <f>SUM(J47:BJ47)</f>
        <v/>
      </c>
      <c r="J47" s="11">
        <f>MIN($F$26*J45/(1-Inputs!$F$92/100*Inputs!$F$73*$F$26),J46)</f>
        <v/>
      </c>
      <c r="K47" s="11">
        <f>MIN($F$26*K45/(1-Inputs!$F$92/100*Inputs!$F$73*$F$26),K46)</f>
        <v/>
      </c>
      <c r="L47" s="11">
        <f>MIN($F$26*L45/(1-Inputs!$F$92/100*Inputs!$F$73*$F$26),L46)</f>
        <v/>
      </c>
      <c r="M47" s="11">
        <f>MIN($F$26*M45/(1-Inputs!$F$92/100*Inputs!$F$73*$F$26),M46)</f>
        <v/>
      </c>
      <c r="N47" s="11">
        <f>MIN($F$26*N45/(1-Inputs!$F$92/100*Inputs!$F$73*$F$26),N46)</f>
        <v/>
      </c>
      <c r="O47" s="11">
        <f>MIN($F$26*O45/(1-Inputs!$F$92/100*Inputs!$F$73*$F$26),O46)</f>
        <v/>
      </c>
      <c r="P47" s="11">
        <f>MIN($F$26*P45/(1-Inputs!$F$92/100*Inputs!$F$73*$F$26),P46)</f>
        <v/>
      </c>
      <c r="Q47" s="11">
        <f>MIN($F$26*Q45/(1-Inputs!$F$92/100*Inputs!$F$73*$F$26),Q46)</f>
        <v/>
      </c>
      <c r="R47" s="11">
        <f>MIN($F$26*R45/(1-Inputs!$F$92/100*Inputs!$F$73*$F$26),R46)</f>
        <v/>
      </c>
      <c r="S47" s="11">
        <f>MIN($F$26*S45/(1-Inputs!$F$92/100*Inputs!$F$73*$F$26),S46)</f>
        <v/>
      </c>
      <c r="T47" s="11">
        <f>MIN($F$26*T45/(1-Inputs!$F$92/100*Inputs!$F$73*$F$26),T46)</f>
        <v/>
      </c>
      <c r="U47" s="11">
        <f>MIN($F$26*U45/(1-Inputs!$F$92/100*Inputs!$F$73*$F$26),U46)</f>
        <v/>
      </c>
      <c r="V47" s="11">
        <f>MIN($F$26*V45/(1-Inputs!$F$92/100*Inputs!$F$73*$F$26),V46)</f>
        <v/>
      </c>
      <c r="W47" s="11">
        <f>MIN($F$26*W45/(1-Inputs!$F$92/100*Inputs!$F$73*$F$26),W46)</f>
        <v/>
      </c>
      <c r="X47" s="11">
        <f>MIN($F$26*X45/(1-Inputs!$F$92/100*Inputs!$F$73*$F$26),X46)</f>
        <v/>
      </c>
      <c r="Y47" s="11">
        <f>MIN($F$26*Y45/(1-Inputs!$F$92/100*Inputs!$F$73*$F$26),Y46)</f>
        <v/>
      </c>
      <c r="Z47" s="11">
        <f>MIN($F$26*Z45/(1-Inputs!$F$92/100*Inputs!$F$73*$F$26),Z46)</f>
        <v/>
      </c>
      <c r="AA47" s="11">
        <f>MIN($F$26*AA45/(1-Inputs!$F$92/100*Inputs!$F$73*$F$26),AA46)</f>
        <v/>
      </c>
      <c r="AB47" s="11">
        <f>MIN($F$26*AB45/(1-Inputs!$F$92/100*Inputs!$F$73*$F$26),AB46)</f>
        <v/>
      </c>
      <c r="AC47" s="11">
        <f>MIN($F$26*AC45/(1-Inputs!$F$92/100*Inputs!$F$73*$F$26),AC46)</f>
        <v/>
      </c>
      <c r="AD47" s="11">
        <f>MIN($F$26*AD45/(1-Inputs!$F$92/100*Inputs!$F$73*$F$26),AD46)</f>
        <v/>
      </c>
      <c r="AE47" s="11">
        <f>MIN($F$26*AE45/(1-Inputs!$F$92/100*Inputs!$F$73*$F$26),AE46)</f>
        <v/>
      </c>
      <c r="AF47" s="11">
        <f>MIN($F$26*AF45/(1-Inputs!$F$92/100*Inputs!$F$73*$F$26),AF46)</f>
        <v/>
      </c>
      <c r="AG47" s="11">
        <f>MIN($F$26*AG45/(1-Inputs!$F$92/100*Inputs!$F$73*$F$26),AG46)</f>
        <v/>
      </c>
      <c r="AH47" s="11">
        <f>MIN($F$26*AH45/(1-Inputs!$F$92/100*Inputs!$F$73*$F$26),AH46)</f>
        <v/>
      </c>
      <c r="AI47" s="11">
        <f>MIN($F$26*AI45/(1-Inputs!$F$92/100*Inputs!$F$73*$F$26),AI46)</f>
        <v/>
      </c>
      <c r="AJ47" s="11">
        <f>MIN($F$26*AJ45/(1-Inputs!$F$92/100*Inputs!$F$73*$F$26),AJ46)</f>
        <v/>
      </c>
      <c r="AK47" s="11">
        <f>MIN($F$26*AK45/(1-Inputs!$F$92/100*Inputs!$F$73*$F$26),AK46)</f>
        <v/>
      </c>
      <c r="AL47" s="11">
        <f>MIN($F$26*AL45/(1-Inputs!$F$92/100*Inputs!$F$73*$F$26),AL46)</f>
        <v/>
      </c>
      <c r="AM47" s="11">
        <f>MIN($F$26*AM45/(1-Inputs!$F$92/100*Inputs!$F$73*$F$26),AM46)</f>
        <v/>
      </c>
      <c r="AN47" s="11">
        <f>MIN($F$26*AN45/(1-Inputs!$F$92/100*Inputs!$F$73*$F$26),AN46)</f>
        <v/>
      </c>
      <c r="AO47" s="11">
        <f>MIN($F$26*AO45/(1-Inputs!$F$92/100*Inputs!$F$73*$F$26),AO46)</f>
        <v/>
      </c>
      <c r="AP47" s="11">
        <f>MIN($F$26*AP45/(1-Inputs!$F$92/100*Inputs!$F$73*$F$26),AP46)</f>
        <v/>
      </c>
      <c r="AQ47" s="11">
        <f>MIN($F$26*AQ45/(1-Inputs!$F$92/100*Inputs!$F$73*$F$26),AQ46)</f>
        <v/>
      </c>
      <c r="AR47" s="11">
        <f>MIN($F$26*AR45/(1-Inputs!$F$92/100*Inputs!$F$73*$F$26),AR46)</f>
        <v/>
      </c>
      <c r="AS47" s="11">
        <f>MIN($F$26*AS45/(1-Inputs!$F$92/100*Inputs!$F$73*$F$26),AS46)</f>
        <v/>
      </c>
      <c r="AT47" s="11">
        <f>MIN($F$26*AT45/(1-Inputs!$F$92/100*Inputs!$F$73*$F$26),AT46)</f>
        <v/>
      </c>
      <c r="AU47" s="11">
        <f>MIN($F$26*AU45/(1-Inputs!$F$92/100*Inputs!$F$73*$F$26),AU46)</f>
        <v/>
      </c>
      <c r="AV47" s="11">
        <f>MIN($F$26*AV45/(1-Inputs!$F$92/100*Inputs!$F$73*$F$26),AV46)</f>
        <v/>
      </c>
      <c r="AW47" s="11">
        <f>MIN($F$26*AW45/(1-Inputs!$F$92/100*Inputs!$F$73*$F$26),AW46)</f>
        <v/>
      </c>
      <c r="AX47" s="11">
        <f>MIN($F$26*AX45/(1-Inputs!$F$92/100*Inputs!$F$73*$F$26),AX46)</f>
        <v/>
      </c>
      <c r="AY47" s="11">
        <f>MIN($F$26*AY45/(1-Inputs!$F$92/100*Inputs!$F$73*$F$26),AY46)</f>
        <v/>
      </c>
      <c r="AZ47" s="11">
        <f>MIN($F$26*AZ45/(1-Inputs!$F$92/100*Inputs!$F$73*$F$26),AZ46)</f>
        <v/>
      </c>
      <c r="BA47" s="11">
        <f>MIN($F$26*BA45/(1-Inputs!$F$92/100*Inputs!$F$73*$F$26),BA46)</f>
        <v/>
      </c>
      <c r="BB47" s="11">
        <f>MIN($F$26*BB45/(1-Inputs!$F$92/100*Inputs!$F$73*$F$26),BB46)</f>
        <v/>
      </c>
      <c r="BC47" s="11">
        <f>MIN($F$26*BC45/(1-Inputs!$F$92/100*Inputs!$F$73*$F$26),BC46)</f>
        <v/>
      </c>
      <c r="BD47" s="11">
        <f>MIN($F$26*BD45/(1-Inputs!$F$92/100*Inputs!$F$73*$F$26),BD46)</f>
        <v/>
      </c>
      <c r="BE47" s="11">
        <f>MIN($F$26*BE45/(1-Inputs!$F$92/100*Inputs!$F$73*$F$26),BE46)</f>
        <v/>
      </c>
      <c r="BF47" s="11">
        <f>MIN($F$26*BF45/(1-Inputs!$F$92/100*Inputs!$F$73*$F$26),BF46)</f>
        <v/>
      </c>
      <c r="BG47" s="11">
        <f>MIN($F$26*BG45/(1-Inputs!$F$92/100*Inputs!$F$73*$F$26),BG46)</f>
        <v/>
      </c>
      <c r="BH47" s="11">
        <f>MIN($F$26*BH45/(1-Inputs!$F$92/100*Inputs!$F$73*$F$26),BH46)</f>
        <v/>
      </c>
      <c r="BI47" s="11">
        <f>MIN($F$26*BI45/(1-Inputs!$F$92/100*Inputs!$F$73*$F$26),BI46)</f>
        <v/>
      </c>
      <c r="BJ47" s="11">
        <f>MIN($F$26*BJ45/(1-Inputs!$F$92/100*Inputs!$F$73*$F$26),BJ46)</f>
        <v/>
      </c>
    </row>
    <row r="48">
      <c r="D48" t="inlineStr">
        <is>
          <t>ECA premium (financed)</t>
        </is>
      </c>
      <c r="E48" t="inlineStr">
        <is>
          <t>USD m</t>
        </is>
      </c>
      <c r="G48" s="11">
        <f>SUM(J48:BJ48)</f>
        <v/>
      </c>
      <c r="J48" s="11">
        <f>Inputs!$F$92/100*Inputs!$F$73*J47</f>
        <v/>
      </c>
      <c r="K48" s="11">
        <f>Inputs!$F$92/100*Inputs!$F$73*K47</f>
        <v/>
      </c>
      <c r="L48" s="11">
        <f>Inputs!$F$92/100*Inputs!$F$73*L47</f>
        <v/>
      </c>
      <c r="M48" s="11">
        <f>Inputs!$F$92/100*Inputs!$F$73*M47</f>
        <v/>
      </c>
      <c r="N48" s="11">
        <f>Inputs!$F$92/100*Inputs!$F$73*N47</f>
        <v/>
      </c>
      <c r="O48" s="11">
        <f>Inputs!$F$92/100*Inputs!$F$73*O47</f>
        <v/>
      </c>
      <c r="P48" s="11">
        <f>Inputs!$F$92/100*Inputs!$F$73*P47</f>
        <v/>
      </c>
      <c r="Q48" s="11">
        <f>Inputs!$F$92/100*Inputs!$F$73*Q47</f>
        <v/>
      </c>
      <c r="R48" s="11">
        <f>Inputs!$F$92/100*Inputs!$F$73*R47</f>
        <v/>
      </c>
      <c r="S48" s="11">
        <f>Inputs!$F$92/100*Inputs!$F$73*S47</f>
        <v/>
      </c>
      <c r="T48" s="11">
        <f>Inputs!$F$92/100*Inputs!$F$73*T47</f>
        <v/>
      </c>
      <c r="U48" s="11">
        <f>Inputs!$F$92/100*Inputs!$F$73*U47</f>
        <v/>
      </c>
      <c r="V48" s="11">
        <f>Inputs!$F$92/100*Inputs!$F$73*V47</f>
        <v/>
      </c>
      <c r="W48" s="11">
        <f>Inputs!$F$92/100*Inputs!$F$73*W47</f>
        <v/>
      </c>
      <c r="X48" s="11">
        <f>Inputs!$F$92/100*Inputs!$F$73*X47</f>
        <v/>
      </c>
      <c r="Y48" s="11">
        <f>Inputs!$F$92/100*Inputs!$F$73*Y47</f>
        <v/>
      </c>
      <c r="Z48" s="11">
        <f>Inputs!$F$92/100*Inputs!$F$73*Z47</f>
        <v/>
      </c>
      <c r="AA48" s="11">
        <f>Inputs!$F$92/100*Inputs!$F$73*AA47</f>
        <v/>
      </c>
      <c r="AB48" s="11">
        <f>Inputs!$F$92/100*Inputs!$F$73*AB47</f>
        <v/>
      </c>
      <c r="AC48" s="11">
        <f>Inputs!$F$92/100*Inputs!$F$73*AC47</f>
        <v/>
      </c>
      <c r="AD48" s="11">
        <f>Inputs!$F$92/100*Inputs!$F$73*AD47</f>
        <v/>
      </c>
      <c r="AE48" s="11">
        <f>Inputs!$F$92/100*Inputs!$F$73*AE47</f>
        <v/>
      </c>
      <c r="AF48" s="11">
        <f>Inputs!$F$92/100*Inputs!$F$73*AF47</f>
        <v/>
      </c>
      <c r="AG48" s="11">
        <f>Inputs!$F$92/100*Inputs!$F$73*AG47</f>
        <v/>
      </c>
      <c r="AH48" s="11">
        <f>Inputs!$F$92/100*Inputs!$F$73*AH47</f>
        <v/>
      </c>
      <c r="AI48" s="11">
        <f>Inputs!$F$92/100*Inputs!$F$73*AI47</f>
        <v/>
      </c>
      <c r="AJ48" s="11">
        <f>Inputs!$F$92/100*Inputs!$F$73*AJ47</f>
        <v/>
      </c>
      <c r="AK48" s="11">
        <f>Inputs!$F$92/100*Inputs!$F$73*AK47</f>
        <v/>
      </c>
      <c r="AL48" s="11">
        <f>Inputs!$F$92/100*Inputs!$F$73*AL47</f>
        <v/>
      </c>
      <c r="AM48" s="11">
        <f>Inputs!$F$92/100*Inputs!$F$73*AM47</f>
        <v/>
      </c>
      <c r="AN48" s="11">
        <f>Inputs!$F$92/100*Inputs!$F$73*AN47</f>
        <v/>
      </c>
      <c r="AO48" s="11">
        <f>Inputs!$F$92/100*Inputs!$F$73*AO47</f>
        <v/>
      </c>
      <c r="AP48" s="11">
        <f>Inputs!$F$92/100*Inputs!$F$73*AP47</f>
        <v/>
      </c>
      <c r="AQ48" s="11">
        <f>Inputs!$F$92/100*Inputs!$F$73*AQ47</f>
        <v/>
      </c>
      <c r="AR48" s="11">
        <f>Inputs!$F$92/100*Inputs!$F$73*AR47</f>
        <v/>
      </c>
      <c r="AS48" s="11">
        <f>Inputs!$F$92/100*Inputs!$F$73*AS47</f>
        <v/>
      </c>
      <c r="AT48" s="11">
        <f>Inputs!$F$92/100*Inputs!$F$73*AT47</f>
        <v/>
      </c>
      <c r="AU48" s="11">
        <f>Inputs!$F$92/100*Inputs!$F$73*AU47</f>
        <v/>
      </c>
      <c r="AV48" s="11">
        <f>Inputs!$F$92/100*Inputs!$F$73*AV47</f>
        <v/>
      </c>
      <c r="AW48" s="11">
        <f>Inputs!$F$92/100*Inputs!$F$73*AW47</f>
        <v/>
      </c>
      <c r="AX48" s="11">
        <f>Inputs!$F$92/100*Inputs!$F$73*AX47</f>
        <v/>
      </c>
      <c r="AY48" s="11">
        <f>Inputs!$F$92/100*Inputs!$F$73*AY47</f>
        <v/>
      </c>
      <c r="AZ48" s="11">
        <f>Inputs!$F$92/100*Inputs!$F$73*AZ47</f>
        <v/>
      </c>
      <c r="BA48" s="11">
        <f>Inputs!$F$92/100*Inputs!$F$73*BA47</f>
        <v/>
      </c>
      <c r="BB48" s="11">
        <f>Inputs!$F$92/100*Inputs!$F$73*BB47</f>
        <v/>
      </c>
      <c r="BC48" s="11">
        <f>Inputs!$F$92/100*Inputs!$F$73*BC47</f>
        <v/>
      </c>
      <c r="BD48" s="11">
        <f>Inputs!$F$92/100*Inputs!$F$73*BD47</f>
        <v/>
      </c>
      <c r="BE48" s="11">
        <f>Inputs!$F$92/100*Inputs!$F$73*BE47</f>
        <v/>
      </c>
      <c r="BF48" s="11">
        <f>Inputs!$F$92/100*Inputs!$F$73*BF47</f>
        <v/>
      </c>
      <c r="BG48" s="11">
        <f>Inputs!$F$92/100*Inputs!$F$73*BG47</f>
        <v/>
      </c>
      <c r="BH48" s="11">
        <f>Inputs!$F$92/100*Inputs!$F$73*BH47</f>
        <v/>
      </c>
      <c r="BI48" s="11">
        <f>Inputs!$F$92/100*Inputs!$F$73*BI47</f>
        <v/>
      </c>
      <c r="BJ48" s="11">
        <f>Inputs!$F$92/100*Inputs!$F$73*BJ47</f>
        <v/>
      </c>
    </row>
    <row r="49">
      <c r="D49" t="inlineStr">
        <is>
          <t>Total uses of funds</t>
        </is>
      </c>
      <c r="E49" t="inlineStr">
        <is>
          <t>USD m</t>
        </is>
      </c>
      <c r="G49" s="11">
        <f>SUM(J49:BJ49)</f>
        <v/>
      </c>
      <c r="J49" s="11">
        <f>J45+J48</f>
        <v/>
      </c>
      <c r="K49" s="11">
        <f>K45+K48</f>
        <v/>
      </c>
      <c r="L49" s="11">
        <f>L45+L48</f>
        <v/>
      </c>
      <c r="M49" s="11">
        <f>M45+M48</f>
        <v/>
      </c>
      <c r="N49" s="11">
        <f>N45+N48</f>
        <v/>
      </c>
      <c r="O49" s="11">
        <f>O45+O48</f>
        <v/>
      </c>
      <c r="P49" s="11">
        <f>P45+P48</f>
        <v/>
      </c>
      <c r="Q49" s="11">
        <f>Q45+Q48</f>
        <v/>
      </c>
      <c r="R49" s="11">
        <f>R45+R48</f>
        <v/>
      </c>
      <c r="S49" s="11">
        <f>S45+S48</f>
        <v/>
      </c>
      <c r="T49" s="11">
        <f>T45+T48</f>
        <v/>
      </c>
      <c r="U49" s="11">
        <f>U45+U48</f>
        <v/>
      </c>
      <c r="V49" s="11">
        <f>V45+V48</f>
        <v/>
      </c>
      <c r="W49" s="11">
        <f>W45+W48</f>
        <v/>
      </c>
      <c r="X49" s="11">
        <f>X45+X48</f>
        <v/>
      </c>
      <c r="Y49" s="11">
        <f>Y45+Y48</f>
        <v/>
      </c>
      <c r="Z49" s="11">
        <f>Z45+Z48</f>
        <v/>
      </c>
      <c r="AA49" s="11">
        <f>AA45+AA48</f>
        <v/>
      </c>
      <c r="AB49" s="11">
        <f>AB45+AB48</f>
        <v/>
      </c>
      <c r="AC49" s="11">
        <f>AC45+AC48</f>
        <v/>
      </c>
      <c r="AD49" s="11">
        <f>AD45+AD48</f>
        <v/>
      </c>
      <c r="AE49" s="11">
        <f>AE45+AE48</f>
        <v/>
      </c>
      <c r="AF49" s="11">
        <f>AF45+AF48</f>
        <v/>
      </c>
      <c r="AG49" s="11">
        <f>AG45+AG48</f>
        <v/>
      </c>
      <c r="AH49" s="11">
        <f>AH45+AH48</f>
        <v/>
      </c>
      <c r="AI49" s="11">
        <f>AI45+AI48</f>
        <v/>
      </c>
      <c r="AJ49" s="11">
        <f>AJ45+AJ48</f>
        <v/>
      </c>
      <c r="AK49" s="11">
        <f>AK45+AK48</f>
        <v/>
      </c>
      <c r="AL49" s="11">
        <f>AL45+AL48</f>
        <v/>
      </c>
      <c r="AM49" s="11">
        <f>AM45+AM48</f>
        <v/>
      </c>
      <c r="AN49" s="11">
        <f>AN45+AN48</f>
        <v/>
      </c>
      <c r="AO49" s="11">
        <f>AO45+AO48</f>
        <v/>
      </c>
      <c r="AP49" s="11">
        <f>AP45+AP48</f>
        <v/>
      </c>
      <c r="AQ49" s="11">
        <f>AQ45+AQ48</f>
        <v/>
      </c>
      <c r="AR49" s="11">
        <f>AR45+AR48</f>
        <v/>
      </c>
      <c r="AS49" s="11">
        <f>AS45+AS48</f>
        <v/>
      </c>
      <c r="AT49" s="11">
        <f>AT45+AT48</f>
        <v/>
      </c>
      <c r="AU49" s="11">
        <f>AU45+AU48</f>
        <v/>
      </c>
      <c r="AV49" s="11">
        <f>AV45+AV48</f>
        <v/>
      </c>
      <c r="AW49" s="11">
        <f>AW45+AW48</f>
        <v/>
      </c>
      <c r="AX49" s="11">
        <f>AX45+AX48</f>
        <v/>
      </c>
      <c r="AY49" s="11">
        <f>AY45+AY48</f>
        <v/>
      </c>
      <c r="AZ49" s="11">
        <f>AZ45+AZ48</f>
        <v/>
      </c>
      <c r="BA49" s="11">
        <f>BA45+BA48</f>
        <v/>
      </c>
      <c r="BB49" s="11">
        <f>BB45+BB48</f>
        <v/>
      </c>
      <c r="BC49" s="11">
        <f>BC45+BC48</f>
        <v/>
      </c>
      <c r="BD49" s="11">
        <f>BD45+BD48</f>
        <v/>
      </c>
      <c r="BE49" s="11">
        <f>BE45+BE48</f>
        <v/>
      </c>
      <c r="BF49" s="11">
        <f>BF45+BF48</f>
        <v/>
      </c>
      <c r="BG49" s="11">
        <f>BG45+BG48</f>
        <v/>
      </c>
      <c r="BH49" s="11">
        <f>BH45+BH48</f>
        <v/>
      </c>
      <c r="BI49" s="11">
        <f>BI45+BI48</f>
        <v/>
      </c>
      <c r="BJ49" s="11">
        <f>BJ45+BJ48</f>
        <v/>
      </c>
    </row>
    <row r="50">
      <c r="D50" t="inlineStr">
        <is>
          <t>Funded pro rata from committed debt and equity</t>
        </is>
      </c>
      <c r="E50" t="inlineStr">
        <is>
          <t>USD m</t>
        </is>
      </c>
      <c r="G50" s="11">
        <f>SUM(J50:BJ50)</f>
        <v/>
      </c>
      <c r="J50" s="11">
        <f>J47/$F$26</f>
        <v/>
      </c>
      <c r="K50" s="11">
        <f>K47/$F$26</f>
        <v/>
      </c>
      <c r="L50" s="11">
        <f>L47/$F$26</f>
        <v/>
      </c>
      <c r="M50" s="11">
        <f>M47/$F$26</f>
        <v/>
      </c>
      <c r="N50" s="11">
        <f>N47/$F$26</f>
        <v/>
      </c>
      <c r="O50" s="11">
        <f>O47/$F$26</f>
        <v/>
      </c>
      <c r="P50" s="11">
        <f>P47/$F$26</f>
        <v/>
      </c>
      <c r="Q50" s="11">
        <f>Q47/$F$26</f>
        <v/>
      </c>
      <c r="R50" s="11">
        <f>R47/$F$26</f>
        <v/>
      </c>
      <c r="S50" s="11">
        <f>S47/$F$26</f>
        <v/>
      </c>
      <c r="T50" s="11">
        <f>T47/$F$26</f>
        <v/>
      </c>
      <c r="U50" s="11">
        <f>U47/$F$26</f>
        <v/>
      </c>
      <c r="V50" s="11">
        <f>V47/$F$26</f>
        <v/>
      </c>
      <c r="W50" s="11">
        <f>W47/$F$26</f>
        <v/>
      </c>
      <c r="X50" s="11">
        <f>X47/$F$26</f>
        <v/>
      </c>
      <c r="Y50" s="11">
        <f>Y47/$F$26</f>
        <v/>
      </c>
      <c r="Z50" s="11">
        <f>Z47/$F$26</f>
        <v/>
      </c>
      <c r="AA50" s="11">
        <f>AA47/$F$26</f>
        <v/>
      </c>
      <c r="AB50" s="11">
        <f>AB47/$F$26</f>
        <v/>
      </c>
      <c r="AC50" s="11">
        <f>AC47/$F$26</f>
        <v/>
      </c>
      <c r="AD50" s="11">
        <f>AD47/$F$26</f>
        <v/>
      </c>
      <c r="AE50" s="11">
        <f>AE47/$F$26</f>
        <v/>
      </c>
      <c r="AF50" s="11">
        <f>AF47/$F$26</f>
        <v/>
      </c>
      <c r="AG50" s="11">
        <f>AG47/$F$26</f>
        <v/>
      </c>
      <c r="AH50" s="11">
        <f>AH47/$F$26</f>
        <v/>
      </c>
      <c r="AI50" s="11">
        <f>AI47/$F$26</f>
        <v/>
      </c>
      <c r="AJ50" s="11">
        <f>AJ47/$F$26</f>
        <v/>
      </c>
      <c r="AK50" s="11">
        <f>AK47/$F$26</f>
        <v/>
      </c>
      <c r="AL50" s="11">
        <f>AL47/$F$26</f>
        <v/>
      </c>
      <c r="AM50" s="11">
        <f>AM47/$F$26</f>
        <v/>
      </c>
      <c r="AN50" s="11">
        <f>AN47/$F$26</f>
        <v/>
      </c>
      <c r="AO50" s="11">
        <f>AO47/$F$26</f>
        <v/>
      </c>
      <c r="AP50" s="11">
        <f>AP47/$F$26</f>
        <v/>
      </c>
      <c r="AQ50" s="11">
        <f>AQ47/$F$26</f>
        <v/>
      </c>
      <c r="AR50" s="11">
        <f>AR47/$F$26</f>
        <v/>
      </c>
      <c r="AS50" s="11">
        <f>AS47/$F$26</f>
        <v/>
      </c>
      <c r="AT50" s="11">
        <f>AT47/$F$26</f>
        <v/>
      </c>
      <c r="AU50" s="11">
        <f>AU47/$F$26</f>
        <v/>
      </c>
      <c r="AV50" s="11">
        <f>AV47/$F$26</f>
        <v/>
      </c>
      <c r="AW50" s="11">
        <f>AW47/$F$26</f>
        <v/>
      </c>
      <c r="AX50" s="11">
        <f>AX47/$F$26</f>
        <v/>
      </c>
      <c r="AY50" s="11">
        <f>AY47/$F$26</f>
        <v/>
      </c>
      <c r="AZ50" s="11">
        <f>AZ47/$F$26</f>
        <v/>
      </c>
      <c r="BA50" s="11">
        <f>BA47/$F$26</f>
        <v/>
      </c>
      <c r="BB50" s="11">
        <f>BB47/$F$26</f>
        <v/>
      </c>
      <c r="BC50" s="11">
        <f>BC47/$F$26</f>
        <v/>
      </c>
      <c r="BD50" s="11">
        <f>BD47/$F$26</f>
        <v/>
      </c>
      <c r="BE50" s="11">
        <f>BE47/$F$26</f>
        <v/>
      </c>
      <c r="BF50" s="11">
        <f>BF47/$F$26</f>
        <v/>
      </c>
      <c r="BG50" s="11">
        <f>BG47/$F$26</f>
        <v/>
      </c>
      <c r="BH50" s="11">
        <f>BH47/$F$26</f>
        <v/>
      </c>
      <c r="BI50" s="11">
        <f>BI47/$F$26</f>
        <v/>
      </c>
      <c r="BJ50" s="11">
        <f>BJ47/$F$26</f>
        <v/>
      </c>
    </row>
    <row r="51">
      <c r="D51" t="inlineStr">
        <is>
          <t>Remaining uses after committed facilities</t>
        </is>
      </c>
      <c r="E51" t="inlineStr">
        <is>
          <t>USD m</t>
        </is>
      </c>
      <c r="J51" s="11">
        <f>J49-J50</f>
        <v/>
      </c>
      <c r="K51" s="11">
        <f>K49-K50</f>
        <v/>
      </c>
      <c r="L51" s="11">
        <f>L49-L50</f>
        <v/>
      </c>
      <c r="M51" s="11">
        <f>M49-M50</f>
        <v/>
      </c>
      <c r="N51" s="11">
        <f>N49-N50</f>
        <v/>
      </c>
      <c r="O51" s="11">
        <f>O49-O50</f>
        <v/>
      </c>
      <c r="P51" s="11">
        <f>P49-P50</f>
        <v/>
      </c>
      <c r="Q51" s="11">
        <f>Q49-Q50</f>
        <v/>
      </c>
      <c r="R51" s="11">
        <f>R49-R50</f>
        <v/>
      </c>
      <c r="S51" s="11">
        <f>S49-S50</f>
        <v/>
      </c>
      <c r="T51" s="11">
        <f>T49-T50</f>
        <v/>
      </c>
      <c r="U51" s="11">
        <f>U49-U50</f>
        <v/>
      </c>
      <c r="V51" s="11">
        <f>V49-V50</f>
        <v/>
      </c>
      <c r="W51" s="11">
        <f>W49-W50</f>
        <v/>
      </c>
      <c r="X51" s="11">
        <f>X49-X50</f>
        <v/>
      </c>
      <c r="Y51" s="11">
        <f>Y49-Y50</f>
        <v/>
      </c>
      <c r="Z51" s="11">
        <f>Z49-Z50</f>
        <v/>
      </c>
      <c r="AA51" s="11">
        <f>AA49-AA50</f>
        <v/>
      </c>
      <c r="AB51" s="11">
        <f>AB49-AB50</f>
        <v/>
      </c>
      <c r="AC51" s="11">
        <f>AC49-AC50</f>
        <v/>
      </c>
      <c r="AD51" s="11">
        <f>AD49-AD50</f>
        <v/>
      </c>
      <c r="AE51" s="11">
        <f>AE49-AE50</f>
        <v/>
      </c>
      <c r="AF51" s="11">
        <f>AF49-AF50</f>
        <v/>
      </c>
      <c r="AG51" s="11">
        <f>AG49-AG50</f>
        <v/>
      </c>
      <c r="AH51" s="11">
        <f>AH49-AH50</f>
        <v/>
      </c>
      <c r="AI51" s="11">
        <f>AI49-AI50</f>
        <v/>
      </c>
      <c r="AJ51" s="11">
        <f>AJ49-AJ50</f>
        <v/>
      </c>
      <c r="AK51" s="11">
        <f>AK49-AK50</f>
        <v/>
      </c>
      <c r="AL51" s="11">
        <f>AL49-AL50</f>
        <v/>
      </c>
      <c r="AM51" s="11">
        <f>AM49-AM50</f>
        <v/>
      </c>
      <c r="AN51" s="11">
        <f>AN49-AN50</f>
        <v/>
      </c>
      <c r="AO51" s="11">
        <f>AO49-AO50</f>
        <v/>
      </c>
      <c r="AP51" s="11">
        <f>AP49-AP50</f>
        <v/>
      </c>
      <c r="AQ51" s="11">
        <f>AQ49-AQ50</f>
        <v/>
      </c>
      <c r="AR51" s="11">
        <f>AR49-AR50</f>
        <v/>
      </c>
      <c r="AS51" s="11">
        <f>AS49-AS50</f>
        <v/>
      </c>
      <c r="AT51" s="11">
        <f>AT49-AT50</f>
        <v/>
      </c>
      <c r="AU51" s="11">
        <f>AU49-AU50</f>
        <v/>
      </c>
      <c r="AV51" s="11">
        <f>AV49-AV50</f>
        <v/>
      </c>
      <c r="AW51" s="11">
        <f>AW49-AW50</f>
        <v/>
      </c>
      <c r="AX51" s="11">
        <f>AX49-AX50</f>
        <v/>
      </c>
      <c r="AY51" s="11">
        <f>AY49-AY50</f>
        <v/>
      </c>
      <c r="AZ51" s="11">
        <f>AZ49-AZ50</f>
        <v/>
      </c>
      <c r="BA51" s="11">
        <f>BA49-BA50</f>
        <v/>
      </c>
      <c r="BB51" s="11">
        <f>BB49-BB50</f>
        <v/>
      </c>
      <c r="BC51" s="11">
        <f>BC49-BC50</f>
        <v/>
      </c>
      <c r="BD51" s="11">
        <f>BD49-BD50</f>
        <v/>
      </c>
      <c r="BE51" s="11">
        <f>BE49-BE50</f>
        <v/>
      </c>
      <c r="BF51" s="11">
        <f>BF49-BF50</f>
        <v/>
      </c>
      <c r="BG51" s="11">
        <f>BG49-BG50</f>
        <v/>
      </c>
      <c r="BH51" s="11">
        <f>BH49-BH50</f>
        <v/>
      </c>
      <c r="BI51" s="11">
        <f>BI49-BI50</f>
        <v/>
      </c>
      <c r="BJ51" s="11">
        <f>BJ49-BJ50</f>
        <v/>
      </c>
    </row>
    <row r="52">
      <c r="D52" t="inlineStr">
        <is>
          <t>Delay LDs and DSU proceeds received</t>
        </is>
      </c>
      <c r="E52" t="inlineStr">
        <is>
          <t>USD m</t>
        </is>
      </c>
      <c r="G52" s="11">
        <f>SUM(J52:BJ52)</f>
        <v/>
      </c>
      <c r="J52" s="11">
        <f>IF(AND(Inputs!$F$33=2,Construction!J8=40),Inputs!$F$186+Inputs!$F$187,0)</f>
        <v/>
      </c>
      <c r="K52" s="11">
        <f>IF(AND(Inputs!$F$33=2,Construction!K8=40),Inputs!$F$186+Inputs!$F$187,0)</f>
        <v/>
      </c>
      <c r="L52" s="11">
        <f>IF(AND(Inputs!$F$33=2,Construction!L8=40),Inputs!$F$186+Inputs!$F$187,0)</f>
        <v/>
      </c>
      <c r="M52" s="11">
        <f>IF(AND(Inputs!$F$33=2,Construction!M8=40),Inputs!$F$186+Inputs!$F$187,0)</f>
        <v/>
      </c>
      <c r="N52" s="11">
        <f>IF(AND(Inputs!$F$33=2,Construction!N8=40),Inputs!$F$186+Inputs!$F$187,0)</f>
        <v/>
      </c>
      <c r="O52" s="11">
        <f>IF(AND(Inputs!$F$33=2,Construction!O8=40),Inputs!$F$186+Inputs!$F$187,0)</f>
        <v/>
      </c>
      <c r="P52" s="11">
        <f>IF(AND(Inputs!$F$33=2,Construction!P8=40),Inputs!$F$186+Inputs!$F$187,0)</f>
        <v/>
      </c>
      <c r="Q52" s="11">
        <f>IF(AND(Inputs!$F$33=2,Construction!Q8=40),Inputs!$F$186+Inputs!$F$187,0)</f>
        <v/>
      </c>
      <c r="R52" s="11">
        <f>IF(AND(Inputs!$F$33=2,Construction!R8=40),Inputs!$F$186+Inputs!$F$187,0)</f>
        <v/>
      </c>
      <c r="S52" s="11">
        <f>IF(AND(Inputs!$F$33=2,Construction!S8=40),Inputs!$F$186+Inputs!$F$187,0)</f>
        <v/>
      </c>
      <c r="T52" s="11">
        <f>IF(AND(Inputs!$F$33=2,Construction!T8=40),Inputs!$F$186+Inputs!$F$187,0)</f>
        <v/>
      </c>
      <c r="U52" s="11">
        <f>IF(AND(Inputs!$F$33=2,Construction!U8=40),Inputs!$F$186+Inputs!$F$187,0)</f>
        <v/>
      </c>
      <c r="V52" s="11">
        <f>IF(AND(Inputs!$F$33=2,Construction!V8=40),Inputs!$F$186+Inputs!$F$187,0)</f>
        <v/>
      </c>
      <c r="W52" s="11">
        <f>IF(AND(Inputs!$F$33=2,Construction!W8=40),Inputs!$F$186+Inputs!$F$187,0)</f>
        <v/>
      </c>
      <c r="X52" s="11">
        <f>IF(AND(Inputs!$F$33=2,Construction!X8=40),Inputs!$F$186+Inputs!$F$187,0)</f>
        <v/>
      </c>
      <c r="Y52" s="11">
        <f>IF(AND(Inputs!$F$33=2,Construction!Y8=40),Inputs!$F$186+Inputs!$F$187,0)</f>
        <v/>
      </c>
      <c r="Z52" s="11">
        <f>IF(AND(Inputs!$F$33=2,Construction!Z8=40),Inputs!$F$186+Inputs!$F$187,0)</f>
        <v/>
      </c>
      <c r="AA52" s="11">
        <f>IF(AND(Inputs!$F$33=2,Construction!AA8=40),Inputs!$F$186+Inputs!$F$187,0)</f>
        <v/>
      </c>
      <c r="AB52" s="11">
        <f>IF(AND(Inputs!$F$33=2,Construction!AB8=40),Inputs!$F$186+Inputs!$F$187,0)</f>
        <v/>
      </c>
      <c r="AC52" s="11">
        <f>IF(AND(Inputs!$F$33=2,Construction!AC8=40),Inputs!$F$186+Inputs!$F$187,0)</f>
        <v/>
      </c>
      <c r="AD52" s="11">
        <f>IF(AND(Inputs!$F$33=2,Construction!AD8=40),Inputs!$F$186+Inputs!$F$187,0)</f>
        <v/>
      </c>
      <c r="AE52" s="11">
        <f>IF(AND(Inputs!$F$33=2,Construction!AE8=40),Inputs!$F$186+Inputs!$F$187,0)</f>
        <v/>
      </c>
      <c r="AF52" s="11">
        <f>IF(AND(Inputs!$F$33=2,Construction!AF8=40),Inputs!$F$186+Inputs!$F$187,0)</f>
        <v/>
      </c>
      <c r="AG52" s="11">
        <f>IF(AND(Inputs!$F$33=2,Construction!AG8=40),Inputs!$F$186+Inputs!$F$187,0)</f>
        <v/>
      </c>
      <c r="AH52" s="11">
        <f>IF(AND(Inputs!$F$33=2,Construction!AH8=40),Inputs!$F$186+Inputs!$F$187,0)</f>
        <v/>
      </c>
      <c r="AI52" s="11">
        <f>IF(AND(Inputs!$F$33=2,Construction!AI8=40),Inputs!$F$186+Inputs!$F$187,0)</f>
        <v/>
      </c>
      <c r="AJ52" s="11">
        <f>IF(AND(Inputs!$F$33=2,Construction!AJ8=40),Inputs!$F$186+Inputs!$F$187,0)</f>
        <v/>
      </c>
      <c r="AK52" s="11">
        <f>IF(AND(Inputs!$F$33=2,Construction!AK8=40),Inputs!$F$186+Inputs!$F$187,0)</f>
        <v/>
      </c>
      <c r="AL52" s="11">
        <f>IF(AND(Inputs!$F$33=2,Construction!AL8=40),Inputs!$F$186+Inputs!$F$187,0)</f>
        <v/>
      </c>
      <c r="AM52" s="11">
        <f>IF(AND(Inputs!$F$33=2,Construction!AM8=40),Inputs!$F$186+Inputs!$F$187,0)</f>
        <v/>
      </c>
      <c r="AN52" s="11">
        <f>IF(AND(Inputs!$F$33=2,Construction!AN8=40),Inputs!$F$186+Inputs!$F$187,0)</f>
        <v/>
      </c>
      <c r="AO52" s="11">
        <f>IF(AND(Inputs!$F$33=2,Construction!AO8=40),Inputs!$F$186+Inputs!$F$187,0)</f>
        <v/>
      </c>
      <c r="AP52" s="11">
        <f>IF(AND(Inputs!$F$33=2,Construction!AP8=40),Inputs!$F$186+Inputs!$F$187,0)</f>
        <v/>
      </c>
      <c r="AQ52" s="11">
        <f>IF(AND(Inputs!$F$33=2,Construction!AQ8=40),Inputs!$F$186+Inputs!$F$187,0)</f>
        <v/>
      </c>
      <c r="AR52" s="11">
        <f>IF(AND(Inputs!$F$33=2,Construction!AR8=40),Inputs!$F$186+Inputs!$F$187,0)</f>
        <v/>
      </c>
      <c r="AS52" s="11">
        <f>IF(AND(Inputs!$F$33=2,Construction!AS8=40),Inputs!$F$186+Inputs!$F$187,0)</f>
        <v/>
      </c>
      <c r="AT52" s="11">
        <f>IF(AND(Inputs!$F$33=2,Construction!AT8=40),Inputs!$F$186+Inputs!$F$187,0)</f>
        <v/>
      </c>
      <c r="AU52" s="11">
        <f>IF(AND(Inputs!$F$33=2,Construction!AU8=40),Inputs!$F$186+Inputs!$F$187,0)</f>
        <v/>
      </c>
      <c r="AV52" s="11">
        <f>IF(AND(Inputs!$F$33=2,Construction!AV8=40),Inputs!$F$186+Inputs!$F$187,0)</f>
        <v/>
      </c>
      <c r="AW52" s="11">
        <f>IF(AND(Inputs!$F$33=2,Construction!AW8=40),Inputs!$F$186+Inputs!$F$187,0)</f>
        <v/>
      </c>
      <c r="AX52" s="11">
        <f>IF(AND(Inputs!$F$33=2,Construction!AX8=40),Inputs!$F$186+Inputs!$F$187,0)</f>
        <v/>
      </c>
      <c r="AY52" s="11">
        <f>IF(AND(Inputs!$F$33=2,Construction!AY8=40),Inputs!$F$186+Inputs!$F$187,0)</f>
        <v/>
      </c>
      <c r="AZ52" s="11">
        <f>IF(AND(Inputs!$F$33=2,Construction!AZ8=40),Inputs!$F$186+Inputs!$F$187,0)</f>
        <v/>
      </c>
      <c r="BA52" s="11">
        <f>IF(AND(Inputs!$F$33=2,Construction!BA8=40),Inputs!$F$186+Inputs!$F$187,0)</f>
        <v/>
      </c>
      <c r="BB52" s="11">
        <f>IF(AND(Inputs!$F$33=2,Construction!BB8=40),Inputs!$F$186+Inputs!$F$187,0)</f>
        <v/>
      </c>
      <c r="BC52" s="11">
        <f>IF(AND(Inputs!$F$33=2,Construction!BC8=40),Inputs!$F$186+Inputs!$F$187,0)</f>
        <v/>
      </c>
      <c r="BD52" s="11">
        <f>IF(AND(Inputs!$F$33=2,Construction!BD8=40),Inputs!$F$186+Inputs!$F$187,0)</f>
        <v/>
      </c>
      <c r="BE52" s="11">
        <f>IF(AND(Inputs!$F$33=2,Construction!BE8=40),Inputs!$F$186+Inputs!$F$187,0)</f>
        <v/>
      </c>
      <c r="BF52" s="11">
        <f>IF(AND(Inputs!$F$33=2,Construction!BF8=40),Inputs!$F$186+Inputs!$F$187,0)</f>
        <v/>
      </c>
      <c r="BG52" s="11">
        <f>IF(AND(Inputs!$F$33=2,Construction!BG8=40),Inputs!$F$186+Inputs!$F$187,0)</f>
        <v/>
      </c>
      <c r="BH52" s="11">
        <f>IF(AND(Inputs!$F$33=2,Construction!BH8=40),Inputs!$F$186+Inputs!$F$187,0)</f>
        <v/>
      </c>
      <c r="BI52" s="11">
        <f>IF(AND(Inputs!$F$33=2,Construction!BI8=40),Inputs!$F$186+Inputs!$F$187,0)</f>
        <v/>
      </c>
      <c r="BJ52" s="11">
        <f>IF(AND(Inputs!$F$33=2,Construction!BJ8=40),Inputs!$F$186+Inputs!$F$187,0)</f>
        <v/>
      </c>
    </row>
    <row r="53">
      <c r="D53" t="inlineStr">
        <is>
          <t>LD and DSU proceeds applied</t>
        </is>
      </c>
      <c r="E53" t="inlineStr">
        <is>
          <t>USD m</t>
        </is>
      </c>
      <c r="G53" s="11">
        <f>SUM(J53:BJ53)</f>
        <v/>
      </c>
      <c r="J53" s="11">
        <f>MIN(J51,0+J52)</f>
        <v/>
      </c>
      <c r="K53" s="11">
        <f>MIN(K51,J54+K52)</f>
        <v/>
      </c>
      <c r="L53" s="11">
        <f>MIN(L51,K54+L52)</f>
        <v/>
      </c>
      <c r="M53" s="11">
        <f>MIN(M51,L54+M52)</f>
        <v/>
      </c>
      <c r="N53" s="11">
        <f>MIN(N51,M54+N52)</f>
        <v/>
      </c>
      <c r="O53" s="11">
        <f>MIN(O51,N54+O52)</f>
        <v/>
      </c>
      <c r="P53" s="11">
        <f>MIN(P51,O54+P52)</f>
        <v/>
      </c>
      <c r="Q53" s="11">
        <f>MIN(Q51,P54+Q52)</f>
        <v/>
      </c>
      <c r="R53" s="11">
        <f>MIN(R51,Q54+R52)</f>
        <v/>
      </c>
      <c r="S53" s="11">
        <f>MIN(S51,R54+S52)</f>
        <v/>
      </c>
      <c r="T53" s="11">
        <f>MIN(T51,S54+T52)</f>
        <v/>
      </c>
      <c r="U53" s="11">
        <f>MIN(U51,T54+U52)</f>
        <v/>
      </c>
      <c r="V53" s="11">
        <f>MIN(V51,U54+V52)</f>
        <v/>
      </c>
      <c r="W53" s="11">
        <f>MIN(W51,V54+W52)</f>
        <v/>
      </c>
      <c r="X53" s="11">
        <f>MIN(X51,W54+X52)</f>
        <v/>
      </c>
      <c r="Y53" s="11">
        <f>MIN(Y51,X54+Y52)</f>
        <v/>
      </c>
      <c r="Z53" s="11">
        <f>MIN(Z51,Y54+Z52)</f>
        <v/>
      </c>
      <c r="AA53" s="11">
        <f>MIN(AA51,Z54+AA52)</f>
        <v/>
      </c>
      <c r="AB53" s="11">
        <f>MIN(AB51,AA54+AB52)</f>
        <v/>
      </c>
      <c r="AC53" s="11">
        <f>MIN(AC51,AB54+AC52)</f>
        <v/>
      </c>
      <c r="AD53" s="11">
        <f>MIN(AD51,AC54+AD52)</f>
        <v/>
      </c>
      <c r="AE53" s="11">
        <f>MIN(AE51,AD54+AE52)</f>
        <v/>
      </c>
      <c r="AF53" s="11">
        <f>MIN(AF51,AE54+AF52)</f>
        <v/>
      </c>
      <c r="AG53" s="11">
        <f>MIN(AG51,AF54+AG52)</f>
        <v/>
      </c>
      <c r="AH53" s="11">
        <f>MIN(AH51,AG54+AH52)</f>
        <v/>
      </c>
      <c r="AI53" s="11">
        <f>MIN(AI51,AH54+AI52)</f>
        <v/>
      </c>
      <c r="AJ53" s="11">
        <f>MIN(AJ51,AI54+AJ52)</f>
        <v/>
      </c>
      <c r="AK53" s="11">
        <f>MIN(AK51,AJ54+AK52)</f>
        <v/>
      </c>
      <c r="AL53" s="11">
        <f>MIN(AL51,AK54+AL52)</f>
        <v/>
      </c>
      <c r="AM53" s="11">
        <f>MIN(AM51,AL54+AM52)</f>
        <v/>
      </c>
      <c r="AN53" s="11">
        <f>MIN(AN51,AM54+AN52)</f>
        <v/>
      </c>
      <c r="AO53" s="11">
        <f>MIN(AO51,AN54+AO52)</f>
        <v/>
      </c>
      <c r="AP53" s="11">
        <f>MIN(AP51,AO54+AP52)</f>
        <v/>
      </c>
      <c r="AQ53" s="11">
        <f>MIN(AQ51,AP54+AQ52)</f>
        <v/>
      </c>
      <c r="AR53" s="11">
        <f>MIN(AR51,AQ54+AR52)</f>
        <v/>
      </c>
      <c r="AS53" s="11">
        <f>MIN(AS51,AR54+AS52)</f>
        <v/>
      </c>
      <c r="AT53" s="11">
        <f>MIN(AT51,AS54+AT52)</f>
        <v/>
      </c>
      <c r="AU53" s="11">
        <f>MIN(AU51,AT54+AU52)</f>
        <v/>
      </c>
      <c r="AV53" s="11">
        <f>MIN(AV51,AU54+AV52)</f>
        <v/>
      </c>
      <c r="AW53" s="11">
        <f>MIN(AW51,AV54+AW52)</f>
        <v/>
      </c>
      <c r="AX53" s="11">
        <f>MIN(AX51,AW54+AX52)</f>
        <v/>
      </c>
      <c r="AY53" s="11">
        <f>MIN(AY51,AX54+AY52)</f>
        <v/>
      </c>
      <c r="AZ53" s="11">
        <f>MIN(AZ51,AY54+AZ52)</f>
        <v/>
      </c>
      <c r="BA53" s="11">
        <f>MIN(BA51,AZ54+BA52)</f>
        <v/>
      </c>
      <c r="BB53" s="11">
        <f>MIN(BB51,BA54+BB52)</f>
        <v/>
      </c>
      <c r="BC53" s="11">
        <f>MIN(BC51,BB54+BC52)</f>
        <v/>
      </c>
      <c r="BD53" s="11">
        <f>MIN(BD51,BC54+BD52)</f>
        <v/>
      </c>
      <c r="BE53" s="11">
        <f>MIN(BE51,BD54+BE52)</f>
        <v/>
      </c>
      <c r="BF53" s="11">
        <f>MIN(BF51,BE54+BF52)</f>
        <v/>
      </c>
      <c r="BG53" s="11">
        <f>MIN(BG51,BF54+BG52)</f>
        <v/>
      </c>
      <c r="BH53" s="11">
        <f>MIN(BH51,BG54+BH52)</f>
        <v/>
      </c>
      <c r="BI53" s="11">
        <f>MIN(BI51,BH54+BI52)</f>
        <v/>
      </c>
      <c r="BJ53" s="11">
        <f>MIN(BJ51,BI54+BJ52)</f>
        <v/>
      </c>
    </row>
    <row r="54">
      <c r="D54" t="inlineStr">
        <is>
          <t>LD and DSU proceeds held (Proceeds Account)</t>
        </is>
      </c>
      <c r="E54" t="inlineStr">
        <is>
          <t>USD m</t>
        </is>
      </c>
      <c r="J54" s="11">
        <f>0+J52-J53</f>
        <v/>
      </c>
      <c r="K54" s="11">
        <f>J54+K52-K53</f>
        <v/>
      </c>
      <c r="L54" s="11">
        <f>K54+L52-L53</f>
        <v/>
      </c>
      <c r="M54" s="11">
        <f>L54+M52-M53</f>
        <v/>
      </c>
      <c r="N54" s="11">
        <f>M54+N52-N53</f>
        <v/>
      </c>
      <c r="O54" s="11">
        <f>N54+O52-O53</f>
        <v/>
      </c>
      <c r="P54" s="11">
        <f>O54+P52-P53</f>
        <v/>
      </c>
      <c r="Q54" s="11">
        <f>P54+Q52-Q53</f>
        <v/>
      </c>
      <c r="R54" s="11">
        <f>Q54+R52-R53</f>
        <v/>
      </c>
      <c r="S54" s="11">
        <f>R54+S52-S53</f>
        <v/>
      </c>
      <c r="T54" s="11">
        <f>S54+T52-T53</f>
        <v/>
      </c>
      <c r="U54" s="11">
        <f>T54+U52-U53</f>
        <v/>
      </c>
      <c r="V54" s="11">
        <f>U54+V52-V53</f>
        <v/>
      </c>
      <c r="W54" s="11">
        <f>V54+W52-W53</f>
        <v/>
      </c>
      <c r="X54" s="11">
        <f>W54+X52-X53</f>
        <v/>
      </c>
      <c r="Y54" s="11">
        <f>X54+Y52-Y53</f>
        <v/>
      </c>
      <c r="Z54" s="11">
        <f>Y54+Z52-Z53</f>
        <v/>
      </c>
      <c r="AA54" s="11">
        <f>Z54+AA52-AA53</f>
        <v/>
      </c>
      <c r="AB54" s="11">
        <f>AA54+AB52-AB53</f>
        <v/>
      </c>
      <c r="AC54" s="11">
        <f>AB54+AC52-AC53</f>
        <v/>
      </c>
      <c r="AD54" s="11">
        <f>AC54+AD52-AD53</f>
        <v/>
      </c>
      <c r="AE54" s="11">
        <f>AD54+AE52-AE53</f>
        <v/>
      </c>
      <c r="AF54" s="11">
        <f>AE54+AF52-AF53</f>
        <v/>
      </c>
      <c r="AG54" s="11">
        <f>AF54+AG52-AG53</f>
        <v/>
      </c>
      <c r="AH54" s="11">
        <f>AG54+AH52-AH53</f>
        <v/>
      </c>
      <c r="AI54" s="11">
        <f>AH54+AI52-AI53</f>
        <v/>
      </c>
      <c r="AJ54" s="11">
        <f>AI54+AJ52-AJ53</f>
        <v/>
      </c>
      <c r="AK54" s="11">
        <f>AJ54+AK52-AK53</f>
        <v/>
      </c>
      <c r="AL54" s="11">
        <f>AK54+AL52-AL53</f>
        <v/>
      </c>
      <c r="AM54" s="11">
        <f>AL54+AM52-AM53</f>
        <v/>
      </c>
      <c r="AN54" s="11">
        <f>AM54+AN52-AN53</f>
        <v/>
      </c>
      <c r="AO54" s="11">
        <f>AN54+AO52-AO53</f>
        <v/>
      </c>
      <c r="AP54" s="11">
        <f>AO54+AP52-AP53</f>
        <v/>
      </c>
      <c r="AQ54" s="11">
        <f>AP54+AQ52-AQ53</f>
        <v/>
      </c>
      <c r="AR54" s="11">
        <f>AQ54+AR52-AR53</f>
        <v/>
      </c>
      <c r="AS54" s="11">
        <f>AR54+AS52-AS53</f>
        <v/>
      </c>
      <c r="AT54" s="11">
        <f>AS54+AT52-AT53</f>
        <v/>
      </c>
      <c r="AU54" s="11">
        <f>AT54+AU52-AU53</f>
        <v/>
      </c>
      <c r="AV54" s="11">
        <f>AU54+AV52-AV53</f>
        <v/>
      </c>
      <c r="AW54" s="11">
        <f>AV54+AW52-AW53</f>
        <v/>
      </c>
      <c r="AX54" s="11">
        <f>AW54+AX52-AX53</f>
        <v/>
      </c>
      <c r="AY54" s="11">
        <f>AX54+AY52-AY53</f>
        <v/>
      </c>
      <c r="AZ54" s="11">
        <f>AY54+AZ52-AZ53</f>
        <v/>
      </c>
      <c r="BA54" s="11">
        <f>AZ54+BA52-BA53</f>
        <v/>
      </c>
      <c r="BB54" s="11">
        <f>BA54+BB52-BB53</f>
        <v/>
      </c>
      <c r="BC54" s="11">
        <f>BB54+BC52-BC53</f>
        <v/>
      </c>
      <c r="BD54" s="11">
        <f>BC54+BD52-BD53</f>
        <v/>
      </c>
      <c r="BE54" s="11">
        <f>BD54+BE52-BE53</f>
        <v/>
      </c>
      <c r="BF54" s="11">
        <f>BE54+BF52-BF53</f>
        <v/>
      </c>
      <c r="BG54" s="11">
        <f>BF54+BG52-BG53</f>
        <v/>
      </c>
      <c r="BH54" s="11">
        <f>BG54+BH52-BH53</f>
        <v/>
      </c>
      <c r="BI54" s="11">
        <f>BH54+BI52-BI53</f>
        <v/>
      </c>
      <c r="BJ54" s="11">
        <f>BI54+BJ52-BJ53</f>
        <v/>
      </c>
    </row>
    <row r="55">
      <c r="D55" t="inlineStr">
        <is>
          <t>Standby facility drawdown (75%)</t>
        </is>
      </c>
      <c r="E55" t="inlineStr">
        <is>
          <t>USD m</t>
        </is>
      </c>
      <c r="G55" s="11">
        <f>SUM(J55:BJ55)</f>
        <v/>
      </c>
      <c r="J55" s="11">
        <f>0.75*(J51-J53)</f>
        <v/>
      </c>
      <c r="K55" s="11">
        <f>0.75*(K51-K53)</f>
        <v/>
      </c>
      <c r="L55" s="11">
        <f>0.75*(L51-L53)</f>
        <v/>
      </c>
      <c r="M55" s="11">
        <f>0.75*(M51-M53)</f>
        <v/>
      </c>
      <c r="N55" s="11">
        <f>0.75*(N51-N53)</f>
        <v/>
      </c>
      <c r="O55" s="11">
        <f>0.75*(O51-O53)</f>
        <v/>
      </c>
      <c r="P55" s="11">
        <f>0.75*(P51-P53)</f>
        <v/>
      </c>
      <c r="Q55" s="11">
        <f>0.75*(Q51-Q53)</f>
        <v/>
      </c>
      <c r="R55" s="11">
        <f>0.75*(R51-R53)</f>
        <v/>
      </c>
      <c r="S55" s="11">
        <f>0.75*(S51-S53)</f>
        <v/>
      </c>
      <c r="T55" s="11">
        <f>0.75*(T51-T53)</f>
        <v/>
      </c>
      <c r="U55" s="11">
        <f>0.75*(U51-U53)</f>
        <v/>
      </c>
      <c r="V55" s="11">
        <f>0.75*(V51-V53)</f>
        <v/>
      </c>
      <c r="W55" s="11">
        <f>0.75*(W51-W53)</f>
        <v/>
      </c>
      <c r="X55" s="11">
        <f>0.75*(X51-X53)</f>
        <v/>
      </c>
      <c r="Y55" s="11">
        <f>0.75*(Y51-Y53)</f>
        <v/>
      </c>
      <c r="Z55" s="11">
        <f>0.75*(Z51-Z53)</f>
        <v/>
      </c>
      <c r="AA55" s="11">
        <f>0.75*(AA51-AA53)</f>
        <v/>
      </c>
      <c r="AB55" s="11">
        <f>0.75*(AB51-AB53)</f>
        <v/>
      </c>
      <c r="AC55" s="11">
        <f>0.75*(AC51-AC53)</f>
        <v/>
      </c>
      <c r="AD55" s="11">
        <f>0.75*(AD51-AD53)</f>
        <v/>
      </c>
      <c r="AE55" s="11">
        <f>0.75*(AE51-AE53)</f>
        <v/>
      </c>
      <c r="AF55" s="11">
        <f>0.75*(AF51-AF53)</f>
        <v/>
      </c>
      <c r="AG55" s="11">
        <f>0.75*(AG51-AG53)</f>
        <v/>
      </c>
      <c r="AH55" s="11">
        <f>0.75*(AH51-AH53)</f>
        <v/>
      </c>
      <c r="AI55" s="11">
        <f>0.75*(AI51-AI53)</f>
        <v/>
      </c>
      <c r="AJ55" s="11">
        <f>0.75*(AJ51-AJ53)</f>
        <v/>
      </c>
      <c r="AK55" s="11">
        <f>0.75*(AK51-AK53)</f>
        <v/>
      </c>
      <c r="AL55" s="11">
        <f>0.75*(AL51-AL53)</f>
        <v/>
      </c>
      <c r="AM55" s="11">
        <f>0.75*(AM51-AM53)</f>
        <v/>
      </c>
      <c r="AN55" s="11">
        <f>0.75*(AN51-AN53)</f>
        <v/>
      </c>
      <c r="AO55" s="11">
        <f>0.75*(AO51-AO53)</f>
        <v/>
      </c>
      <c r="AP55" s="11">
        <f>0.75*(AP51-AP53)</f>
        <v/>
      </c>
      <c r="AQ55" s="11">
        <f>0.75*(AQ51-AQ53)</f>
        <v/>
      </c>
      <c r="AR55" s="11">
        <f>0.75*(AR51-AR53)</f>
        <v/>
      </c>
      <c r="AS55" s="11">
        <f>0.75*(AS51-AS53)</f>
        <v/>
      </c>
      <c r="AT55" s="11">
        <f>0.75*(AT51-AT53)</f>
        <v/>
      </c>
      <c r="AU55" s="11">
        <f>0.75*(AU51-AU53)</f>
        <v/>
      </c>
      <c r="AV55" s="11">
        <f>0.75*(AV51-AV53)</f>
        <v/>
      </c>
      <c r="AW55" s="11">
        <f>0.75*(AW51-AW53)</f>
        <v/>
      </c>
      <c r="AX55" s="11">
        <f>0.75*(AX51-AX53)</f>
        <v/>
      </c>
      <c r="AY55" s="11">
        <f>0.75*(AY51-AY53)</f>
        <v/>
      </c>
      <c r="AZ55" s="11">
        <f>0.75*(AZ51-AZ53)</f>
        <v/>
      </c>
      <c r="BA55" s="11">
        <f>0.75*(BA51-BA53)</f>
        <v/>
      </c>
      <c r="BB55" s="11">
        <f>0.75*(BB51-BB53)</f>
        <v/>
      </c>
      <c r="BC55" s="11">
        <f>0.75*(BC51-BC53)</f>
        <v/>
      </c>
      <c r="BD55" s="11">
        <f>0.75*(BD51-BD53)</f>
        <v/>
      </c>
      <c r="BE55" s="11">
        <f>0.75*(BE51-BE53)</f>
        <v/>
      </c>
      <c r="BF55" s="11">
        <f>0.75*(BF51-BF53)</f>
        <v/>
      </c>
      <c r="BG55" s="11">
        <f>0.75*(BG51-BG53)</f>
        <v/>
      </c>
      <c r="BH55" s="11">
        <f>0.75*(BH51-BH53)</f>
        <v/>
      </c>
      <c r="BI55" s="11">
        <f>0.75*(BI51-BI53)</f>
        <v/>
      </c>
      <c r="BJ55" s="11">
        <f>0.75*(BJ51-BJ53)</f>
        <v/>
      </c>
    </row>
    <row r="56">
      <c r="D56" t="inlineStr">
        <is>
          <t>Contingent equity (25%)</t>
        </is>
      </c>
      <c r="E56" t="inlineStr">
        <is>
          <t>USD m</t>
        </is>
      </c>
      <c r="G56" s="11">
        <f>SUM(J56:BJ56)</f>
        <v/>
      </c>
      <c r="J56" s="11">
        <f>0.25*(J51-J53)</f>
        <v/>
      </c>
      <c r="K56" s="11">
        <f>0.25*(K51-K53)</f>
        <v/>
      </c>
      <c r="L56" s="11">
        <f>0.25*(L51-L53)</f>
        <v/>
      </c>
      <c r="M56" s="11">
        <f>0.25*(M51-M53)</f>
        <v/>
      </c>
      <c r="N56" s="11">
        <f>0.25*(N51-N53)</f>
        <v/>
      </c>
      <c r="O56" s="11">
        <f>0.25*(O51-O53)</f>
        <v/>
      </c>
      <c r="P56" s="11">
        <f>0.25*(P51-P53)</f>
        <v/>
      </c>
      <c r="Q56" s="11">
        <f>0.25*(Q51-Q53)</f>
        <v/>
      </c>
      <c r="R56" s="11">
        <f>0.25*(R51-R53)</f>
        <v/>
      </c>
      <c r="S56" s="11">
        <f>0.25*(S51-S53)</f>
        <v/>
      </c>
      <c r="T56" s="11">
        <f>0.25*(T51-T53)</f>
        <v/>
      </c>
      <c r="U56" s="11">
        <f>0.25*(U51-U53)</f>
        <v/>
      </c>
      <c r="V56" s="11">
        <f>0.25*(V51-V53)</f>
        <v/>
      </c>
      <c r="W56" s="11">
        <f>0.25*(W51-W53)</f>
        <v/>
      </c>
      <c r="X56" s="11">
        <f>0.25*(X51-X53)</f>
        <v/>
      </c>
      <c r="Y56" s="11">
        <f>0.25*(Y51-Y53)</f>
        <v/>
      </c>
      <c r="Z56" s="11">
        <f>0.25*(Z51-Z53)</f>
        <v/>
      </c>
      <c r="AA56" s="11">
        <f>0.25*(AA51-AA53)</f>
        <v/>
      </c>
      <c r="AB56" s="11">
        <f>0.25*(AB51-AB53)</f>
        <v/>
      </c>
      <c r="AC56" s="11">
        <f>0.25*(AC51-AC53)</f>
        <v/>
      </c>
      <c r="AD56" s="11">
        <f>0.25*(AD51-AD53)</f>
        <v/>
      </c>
      <c r="AE56" s="11">
        <f>0.25*(AE51-AE53)</f>
        <v/>
      </c>
      <c r="AF56" s="11">
        <f>0.25*(AF51-AF53)</f>
        <v/>
      </c>
      <c r="AG56" s="11">
        <f>0.25*(AG51-AG53)</f>
        <v/>
      </c>
      <c r="AH56" s="11">
        <f>0.25*(AH51-AH53)</f>
        <v/>
      </c>
      <c r="AI56" s="11">
        <f>0.25*(AI51-AI53)</f>
        <v/>
      </c>
      <c r="AJ56" s="11">
        <f>0.25*(AJ51-AJ53)</f>
        <v/>
      </c>
      <c r="AK56" s="11">
        <f>0.25*(AK51-AK53)</f>
        <v/>
      </c>
      <c r="AL56" s="11">
        <f>0.25*(AL51-AL53)</f>
        <v/>
      </c>
      <c r="AM56" s="11">
        <f>0.25*(AM51-AM53)</f>
        <v/>
      </c>
      <c r="AN56" s="11">
        <f>0.25*(AN51-AN53)</f>
        <v/>
      </c>
      <c r="AO56" s="11">
        <f>0.25*(AO51-AO53)</f>
        <v/>
      </c>
      <c r="AP56" s="11">
        <f>0.25*(AP51-AP53)</f>
        <v/>
      </c>
      <c r="AQ56" s="11">
        <f>0.25*(AQ51-AQ53)</f>
        <v/>
      </c>
      <c r="AR56" s="11">
        <f>0.25*(AR51-AR53)</f>
        <v/>
      </c>
      <c r="AS56" s="11">
        <f>0.25*(AS51-AS53)</f>
        <v/>
      </c>
      <c r="AT56" s="11">
        <f>0.25*(AT51-AT53)</f>
        <v/>
      </c>
      <c r="AU56" s="11">
        <f>0.25*(AU51-AU53)</f>
        <v/>
      </c>
      <c r="AV56" s="11">
        <f>0.25*(AV51-AV53)</f>
        <v/>
      </c>
      <c r="AW56" s="11">
        <f>0.25*(AW51-AW53)</f>
        <v/>
      </c>
      <c r="AX56" s="11">
        <f>0.25*(AX51-AX53)</f>
        <v/>
      </c>
      <c r="AY56" s="11">
        <f>0.25*(AY51-AY53)</f>
        <v/>
      </c>
      <c r="AZ56" s="11">
        <f>0.25*(AZ51-AZ53)</f>
        <v/>
      </c>
      <c r="BA56" s="11">
        <f>0.25*(BA51-BA53)</f>
        <v/>
      </c>
      <c r="BB56" s="11">
        <f>0.25*(BB51-BB53)</f>
        <v/>
      </c>
      <c r="BC56" s="11">
        <f>0.25*(BC51-BC53)</f>
        <v/>
      </c>
      <c r="BD56" s="11">
        <f>0.25*(BD51-BD53)</f>
        <v/>
      </c>
      <c r="BE56" s="11">
        <f>0.25*(BE51-BE53)</f>
        <v/>
      </c>
      <c r="BF56" s="11">
        <f>0.25*(BF51-BF53)</f>
        <v/>
      </c>
      <c r="BG56" s="11">
        <f>0.25*(BG51-BG53)</f>
        <v/>
      </c>
      <c r="BH56" s="11">
        <f>0.25*(BH51-BH53)</f>
        <v/>
      </c>
      <c r="BI56" s="11">
        <f>0.25*(BI51-BI53)</f>
        <v/>
      </c>
      <c r="BJ56" s="11">
        <f>0.25*(BJ51-BJ53)</f>
        <v/>
      </c>
    </row>
    <row r="57">
      <c r="D57" t="inlineStr">
        <is>
          <t>ECA-covered tranche: drawdown</t>
        </is>
      </c>
      <c r="E57" t="inlineStr">
        <is>
          <t>USD m</t>
        </is>
      </c>
      <c r="G57" s="11">
        <f>SUM(J57:BJ57)</f>
        <v/>
      </c>
      <c r="J57" s="11">
        <f>Inputs!$F$73*J47</f>
        <v/>
      </c>
      <c r="K57" s="11">
        <f>Inputs!$F$73*K47</f>
        <v/>
      </c>
      <c r="L57" s="11">
        <f>Inputs!$F$73*L47</f>
        <v/>
      </c>
      <c r="M57" s="11">
        <f>Inputs!$F$73*M47</f>
        <v/>
      </c>
      <c r="N57" s="11">
        <f>Inputs!$F$73*N47</f>
        <v/>
      </c>
      <c r="O57" s="11">
        <f>Inputs!$F$73*O47</f>
        <v/>
      </c>
      <c r="P57" s="11">
        <f>Inputs!$F$73*P47</f>
        <v/>
      </c>
      <c r="Q57" s="11">
        <f>Inputs!$F$73*Q47</f>
        <v/>
      </c>
      <c r="R57" s="11">
        <f>Inputs!$F$73*R47</f>
        <v/>
      </c>
      <c r="S57" s="11">
        <f>Inputs!$F$73*S47</f>
        <v/>
      </c>
      <c r="T57" s="11">
        <f>Inputs!$F$73*T47</f>
        <v/>
      </c>
      <c r="U57" s="11">
        <f>Inputs!$F$73*U47</f>
        <v/>
      </c>
      <c r="V57" s="11">
        <f>Inputs!$F$73*V47</f>
        <v/>
      </c>
      <c r="W57" s="11">
        <f>Inputs!$F$73*W47</f>
        <v/>
      </c>
      <c r="X57" s="11">
        <f>Inputs!$F$73*X47</f>
        <v/>
      </c>
      <c r="Y57" s="11">
        <f>Inputs!$F$73*Y47</f>
        <v/>
      </c>
      <c r="Z57" s="11">
        <f>Inputs!$F$73*Z47</f>
        <v/>
      </c>
      <c r="AA57" s="11">
        <f>Inputs!$F$73*AA47</f>
        <v/>
      </c>
      <c r="AB57" s="11">
        <f>Inputs!$F$73*AB47</f>
        <v/>
      </c>
      <c r="AC57" s="11">
        <f>Inputs!$F$73*AC47</f>
        <v/>
      </c>
      <c r="AD57" s="11">
        <f>Inputs!$F$73*AD47</f>
        <v/>
      </c>
      <c r="AE57" s="11">
        <f>Inputs!$F$73*AE47</f>
        <v/>
      </c>
      <c r="AF57" s="11">
        <f>Inputs!$F$73*AF47</f>
        <v/>
      </c>
      <c r="AG57" s="11">
        <f>Inputs!$F$73*AG47</f>
        <v/>
      </c>
      <c r="AH57" s="11">
        <f>Inputs!$F$73*AH47</f>
        <v/>
      </c>
      <c r="AI57" s="11">
        <f>Inputs!$F$73*AI47</f>
        <v/>
      </c>
      <c r="AJ57" s="11">
        <f>Inputs!$F$73*AJ47</f>
        <v/>
      </c>
      <c r="AK57" s="11">
        <f>Inputs!$F$73*AK47</f>
        <v/>
      </c>
      <c r="AL57" s="11">
        <f>Inputs!$F$73*AL47</f>
        <v/>
      </c>
      <c r="AM57" s="11">
        <f>Inputs!$F$73*AM47</f>
        <v/>
      </c>
      <c r="AN57" s="11">
        <f>Inputs!$F$73*AN47</f>
        <v/>
      </c>
      <c r="AO57" s="11">
        <f>Inputs!$F$73*AO47</f>
        <v/>
      </c>
      <c r="AP57" s="11">
        <f>Inputs!$F$73*AP47</f>
        <v/>
      </c>
      <c r="AQ57" s="11">
        <f>Inputs!$F$73*AQ47</f>
        <v/>
      </c>
      <c r="AR57" s="11">
        <f>Inputs!$F$73*AR47</f>
        <v/>
      </c>
      <c r="AS57" s="11">
        <f>Inputs!$F$73*AS47</f>
        <v/>
      </c>
      <c r="AT57" s="11">
        <f>Inputs!$F$73*AT47</f>
        <v/>
      </c>
      <c r="AU57" s="11">
        <f>Inputs!$F$73*AU47</f>
        <v/>
      </c>
      <c r="AV57" s="11">
        <f>Inputs!$F$73*AV47</f>
        <v/>
      </c>
      <c r="AW57" s="11">
        <f>Inputs!$F$73*AW47</f>
        <v/>
      </c>
      <c r="AX57" s="11">
        <f>Inputs!$F$73*AX47</f>
        <v/>
      </c>
      <c r="AY57" s="11">
        <f>Inputs!$F$73*AY47</f>
        <v/>
      </c>
      <c r="AZ57" s="11">
        <f>Inputs!$F$73*AZ47</f>
        <v/>
      </c>
      <c r="BA57" s="11">
        <f>Inputs!$F$73*BA47</f>
        <v/>
      </c>
      <c r="BB57" s="11">
        <f>Inputs!$F$73*BB47</f>
        <v/>
      </c>
      <c r="BC57" s="11">
        <f>Inputs!$F$73*BC47</f>
        <v/>
      </c>
      <c r="BD57" s="11">
        <f>Inputs!$F$73*BD47</f>
        <v/>
      </c>
      <c r="BE57" s="11">
        <f>Inputs!$F$73*BE47</f>
        <v/>
      </c>
      <c r="BF57" s="11">
        <f>Inputs!$F$73*BF47</f>
        <v/>
      </c>
      <c r="BG57" s="11">
        <f>Inputs!$F$73*BG47</f>
        <v/>
      </c>
      <c r="BH57" s="11">
        <f>Inputs!$F$73*BH47</f>
        <v/>
      </c>
      <c r="BI57" s="11">
        <f>Inputs!$F$73*BI47</f>
        <v/>
      </c>
      <c r="BJ57" s="11">
        <f>Inputs!$F$73*BJ47</f>
        <v/>
      </c>
    </row>
    <row r="58">
      <c r="D58" t="inlineStr">
        <is>
          <t>ABDB A-loan: drawdown</t>
        </is>
      </c>
      <c r="E58" t="inlineStr">
        <is>
          <t>USD m</t>
        </is>
      </c>
      <c r="G58" s="11">
        <f>SUM(J58:BJ58)</f>
        <v/>
      </c>
      <c r="J58" s="11">
        <f>Inputs!$F$74*J47</f>
        <v/>
      </c>
      <c r="K58" s="11">
        <f>Inputs!$F$74*K47</f>
        <v/>
      </c>
      <c r="L58" s="11">
        <f>Inputs!$F$74*L47</f>
        <v/>
      </c>
      <c r="M58" s="11">
        <f>Inputs!$F$74*M47</f>
        <v/>
      </c>
      <c r="N58" s="11">
        <f>Inputs!$F$74*N47</f>
        <v/>
      </c>
      <c r="O58" s="11">
        <f>Inputs!$F$74*O47</f>
        <v/>
      </c>
      <c r="P58" s="11">
        <f>Inputs!$F$74*P47</f>
        <v/>
      </c>
      <c r="Q58" s="11">
        <f>Inputs!$F$74*Q47</f>
        <v/>
      </c>
      <c r="R58" s="11">
        <f>Inputs!$F$74*R47</f>
        <v/>
      </c>
      <c r="S58" s="11">
        <f>Inputs!$F$74*S47</f>
        <v/>
      </c>
      <c r="T58" s="11">
        <f>Inputs!$F$74*T47</f>
        <v/>
      </c>
      <c r="U58" s="11">
        <f>Inputs!$F$74*U47</f>
        <v/>
      </c>
      <c r="V58" s="11">
        <f>Inputs!$F$74*V47</f>
        <v/>
      </c>
      <c r="W58" s="11">
        <f>Inputs!$F$74*W47</f>
        <v/>
      </c>
      <c r="X58" s="11">
        <f>Inputs!$F$74*X47</f>
        <v/>
      </c>
      <c r="Y58" s="11">
        <f>Inputs!$F$74*Y47</f>
        <v/>
      </c>
      <c r="Z58" s="11">
        <f>Inputs!$F$74*Z47</f>
        <v/>
      </c>
      <c r="AA58" s="11">
        <f>Inputs!$F$74*AA47</f>
        <v/>
      </c>
      <c r="AB58" s="11">
        <f>Inputs!$F$74*AB47</f>
        <v/>
      </c>
      <c r="AC58" s="11">
        <f>Inputs!$F$74*AC47</f>
        <v/>
      </c>
      <c r="AD58" s="11">
        <f>Inputs!$F$74*AD47</f>
        <v/>
      </c>
      <c r="AE58" s="11">
        <f>Inputs!$F$74*AE47</f>
        <v/>
      </c>
      <c r="AF58" s="11">
        <f>Inputs!$F$74*AF47</f>
        <v/>
      </c>
      <c r="AG58" s="11">
        <f>Inputs!$F$74*AG47</f>
        <v/>
      </c>
      <c r="AH58" s="11">
        <f>Inputs!$F$74*AH47</f>
        <v/>
      </c>
      <c r="AI58" s="11">
        <f>Inputs!$F$74*AI47</f>
        <v/>
      </c>
      <c r="AJ58" s="11">
        <f>Inputs!$F$74*AJ47</f>
        <v/>
      </c>
      <c r="AK58" s="11">
        <f>Inputs!$F$74*AK47</f>
        <v/>
      </c>
      <c r="AL58" s="11">
        <f>Inputs!$F$74*AL47</f>
        <v/>
      </c>
      <c r="AM58" s="11">
        <f>Inputs!$F$74*AM47</f>
        <v/>
      </c>
      <c r="AN58" s="11">
        <f>Inputs!$F$74*AN47</f>
        <v/>
      </c>
      <c r="AO58" s="11">
        <f>Inputs!$F$74*AO47</f>
        <v/>
      </c>
      <c r="AP58" s="11">
        <f>Inputs!$F$74*AP47</f>
        <v/>
      </c>
      <c r="AQ58" s="11">
        <f>Inputs!$F$74*AQ47</f>
        <v/>
      </c>
      <c r="AR58" s="11">
        <f>Inputs!$F$74*AR47</f>
        <v/>
      </c>
      <c r="AS58" s="11">
        <f>Inputs!$F$74*AS47</f>
        <v/>
      </c>
      <c r="AT58" s="11">
        <f>Inputs!$F$74*AT47</f>
        <v/>
      </c>
      <c r="AU58" s="11">
        <f>Inputs!$F$74*AU47</f>
        <v/>
      </c>
      <c r="AV58" s="11">
        <f>Inputs!$F$74*AV47</f>
        <v/>
      </c>
      <c r="AW58" s="11">
        <f>Inputs!$F$74*AW47</f>
        <v/>
      </c>
      <c r="AX58" s="11">
        <f>Inputs!$F$74*AX47</f>
        <v/>
      </c>
      <c r="AY58" s="11">
        <f>Inputs!$F$74*AY47</f>
        <v/>
      </c>
      <c r="AZ58" s="11">
        <f>Inputs!$F$74*AZ47</f>
        <v/>
      </c>
      <c r="BA58" s="11">
        <f>Inputs!$F$74*BA47</f>
        <v/>
      </c>
      <c r="BB58" s="11">
        <f>Inputs!$F$74*BB47</f>
        <v/>
      </c>
      <c r="BC58" s="11">
        <f>Inputs!$F$74*BC47</f>
        <v/>
      </c>
      <c r="BD58" s="11">
        <f>Inputs!$F$74*BD47</f>
        <v/>
      </c>
      <c r="BE58" s="11">
        <f>Inputs!$F$74*BE47</f>
        <v/>
      </c>
      <c r="BF58" s="11">
        <f>Inputs!$F$74*BF47</f>
        <v/>
      </c>
      <c r="BG58" s="11">
        <f>Inputs!$F$74*BG47</f>
        <v/>
      </c>
      <c r="BH58" s="11">
        <f>Inputs!$F$74*BH47</f>
        <v/>
      </c>
      <c r="BI58" s="11">
        <f>Inputs!$F$74*BI47</f>
        <v/>
      </c>
      <c r="BJ58" s="11">
        <f>Inputs!$F$74*BJ47</f>
        <v/>
      </c>
    </row>
    <row r="59">
      <c r="D59" t="inlineStr">
        <is>
          <t>ABDB B-loan: drawdown</t>
        </is>
      </c>
      <c r="E59" t="inlineStr">
        <is>
          <t>USD m</t>
        </is>
      </c>
      <c r="G59" s="11">
        <f>SUM(J59:BJ59)</f>
        <v/>
      </c>
      <c r="J59" s="11">
        <f>Inputs!$F$75*J47</f>
        <v/>
      </c>
      <c r="K59" s="11">
        <f>Inputs!$F$75*K47</f>
        <v/>
      </c>
      <c r="L59" s="11">
        <f>Inputs!$F$75*L47</f>
        <v/>
      </c>
      <c r="M59" s="11">
        <f>Inputs!$F$75*M47</f>
        <v/>
      </c>
      <c r="N59" s="11">
        <f>Inputs!$F$75*N47</f>
        <v/>
      </c>
      <c r="O59" s="11">
        <f>Inputs!$F$75*O47</f>
        <v/>
      </c>
      <c r="P59" s="11">
        <f>Inputs!$F$75*P47</f>
        <v/>
      </c>
      <c r="Q59" s="11">
        <f>Inputs!$F$75*Q47</f>
        <v/>
      </c>
      <c r="R59" s="11">
        <f>Inputs!$F$75*R47</f>
        <v/>
      </c>
      <c r="S59" s="11">
        <f>Inputs!$F$75*S47</f>
        <v/>
      </c>
      <c r="T59" s="11">
        <f>Inputs!$F$75*T47</f>
        <v/>
      </c>
      <c r="U59" s="11">
        <f>Inputs!$F$75*U47</f>
        <v/>
      </c>
      <c r="V59" s="11">
        <f>Inputs!$F$75*V47</f>
        <v/>
      </c>
      <c r="W59" s="11">
        <f>Inputs!$F$75*W47</f>
        <v/>
      </c>
      <c r="X59" s="11">
        <f>Inputs!$F$75*X47</f>
        <v/>
      </c>
      <c r="Y59" s="11">
        <f>Inputs!$F$75*Y47</f>
        <v/>
      </c>
      <c r="Z59" s="11">
        <f>Inputs!$F$75*Z47</f>
        <v/>
      </c>
      <c r="AA59" s="11">
        <f>Inputs!$F$75*AA47</f>
        <v/>
      </c>
      <c r="AB59" s="11">
        <f>Inputs!$F$75*AB47</f>
        <v/>
      </c>
      <c r="AC59" s="11">
        <f>Inputs!$F$75*AC47</f>
        <v/>
      </c>
      <c r="AD59" s="11">
        <f>Inputs!$F$75*AD47</f>
        <v/>
      </c>
      <c r="AE59" s="11">
        <f>Inputs!$F$75*AE47</f>
        <v/>
      </c>
      <c r="AF59" s="11">
        <f>Inputs!$F$75*AF47</f>
        <v/>
      </c>
      <c r="AG59" s="11">
        <f>Inputs!$F$75*AG47</f>
        <v/>
      </c>
      <c r="AH59" s="11">
        <f>Inputs!$F$75*AH47</f>
        <v/>
      </c>
      <c r="AI59" s="11">
        <f>Inputs!$F$75*AI47</f>
        <v/>
      </c>
      <c r="AJ59" s="11">
        <f>Inputs!$F$75*AJ47</f>
        <v/>
      </c>
      <c r="AK59" s="11">
        <f>Inputs!$F$75*AK47</f>
        <v/>
      </c>
      <c r="AL59" s="11">
        <f>Inputs!$F$75*AL47</f>
        <v/>
      </c>
      <c r="AM59" s="11">
        <f>Inputs!$F$75*AM47</f>
        <v/>
      </c>
      <c r="AN59" s="11">
        <f>Inputs!$F$75*AN47</f>
        <v/>
      </c>
      <c r="AO59" s="11">
        <f>Inputs!$F$75*AO47</f>
        <v/>
      </c>
      <c r="AP59" s="11">
        <f>Inputs!$F$75*AP47</f>
        <v/>
      </c>
      <c r="AQ59" s="11">
        <f>Inputs!$F$75*AQ47</f>
        <v/>
      </c>
      <c r="AR59" s="11">
        <f>Inputs!$F$75*AR47</f>
        <v/>
      </c>
      <c r="AS59" s="11">
        <f>Inputs!$F$75*AS47</f>
        <v/>
      </c>
      <c r="AT59" s="11">
        <f>Inputs!$F$75*AT47</f>
        <v/>
      </c>
      <c r="AU59" s="11">
        <f>Inputs!$F$75*AU47</f>
        <v/>
      </c>
      <c r="AV59" s="11">
        <f>Inputs!$F$75*AV47</f>
        <v/>
      </c>
      <c r="AW59" s="11">
        <f>Inputs!$F$75*AW47</f>
        <v/>
      </c>
      <c r="AX59" s="11">
        <f>Inputs!$F$75*AX47</f>
        <v/>
      </c>
      <c r="AY59" s="11">
        <f>Inputs!$F$75*AY47</f>
        <v/>
      </c>
      <c r="AZ59" s="11">
        <f>Inputs!$F$75*AZ47</f>
        <v/>
      </c>
      <c r="BA59" s="11">
        <f>Inputs!$F$75*BA47</f>
        <v/>
      </c>
      <c r="BB59" s="11">
        <f>Inputs!$F$75*BB47</f>
        <v/>
      </c>
      <c r="BC59" s="11">
        <f>Inputs!$F$75*BC47</f>
        <v/>
      </c>
      <c r="BD59" s="11">
        <f>Inputs!$F$75*BD47</f>
        <v/>
      </c>
      <c r="BE59" s="11">
        <f>Inputs!$F$75*BE47</f>
        <v/>
      </c>
      <c r="BF59" s="11">
        <f>Inputs!$F$75*BF47</f>
        <v/>
      </c>
      <c r="BG59" s="11">
        <f>Inputs!$F$75*BG47</f>
        <v/>
      </c>
      <c r="BH59" s="11">
        <f>Inputs!$F$75*BH47</f>
        <v/>
      </c>
      <c r="BI59" s="11">
        <f>Inputs!$F$75*BI47</f>
        <v/>
      </c>
      <c r="BJ59" s="11">
        <f>Inputs!$F$75*BJ47</f>
        <v/>
      </c>
    </row>
    <row r="60">
      <c r="D60" t="inlineStr">
        <is>
          <t>Commercial tranche: drawdown</t>
        </is>
      </c>
      <c r="E60" t="inlineStr">
        <is>
          <t>USD m</t>
        </is>
      </c>
      <c r="G60" s="11">
        <f>SUM(J60:BJ60)</f>
        <v/>
      </c>
      <c r="J60" s="11">
        <f>Inputs!$F$76*J47</f>
        <v/>
      </c>
      <c r="K60" s="11">
        <f>Inputs!$F$76*K47</f>
        <v/>
      </c>
      <c r="L60" s="11">
        <f>Inputs!$F$76*L47</f>
        <v/>
      </c>
      <c r="M60" s="11">
        <f>Inputs!$F$76*M47</f>
        <v/>
      </c>
      <c r="N60" s="11">
        <f>Inputs!$F$76*N47</f>
        <v/>
      </c>
      <c r="O60" s="11">
        <f>Inputs!$F$76*O47</f>
        <v/>
      </c>
      <c r="P60" s="11">
        <f>Inputs!$F$76*P47</f>
        <v/>
      </c>
      <c r="Q60" s="11">
        <f>Inputs!$F$76*Q47</f>
        <v/>
      </c>
      <c r="R60" s="11">
        <f>Inputs!$F$76*R47</f>
        <v/>
      </c>
      <c r="S60" s="11">
        <f>Inputs!$F$76*S47</f>
        <v/>
      </c>
      <c r="T60" s="11">
        <f>Inputs!$F$76*T47</f>
        <v/>
      </c>
      <c r="U60" s="11">
        <f>Inputs!$F$76*U47</f>
        <v/>
      </c>
      <c r="V60" s="11">
        <f>Inputs!$F$76*V47</f>
        <v/>
      </c>
      <c r="W60" s="11">
        <f>Inputs!$F$76*W47</f>
        <v/>
      </c>
      <c r="X60" s="11">
        <f>Inputs!$F$76*X47</f>
        <v/>
      </c>
      <c r="Y60" s="11">
        <f>Inputs!$F$76*Y47</f>
        <v/>
      </c>
      <c r="Z60" s="11">
        <f>Inputs!$F$76*Z47</f>
        <v/>
      </c>
      <c r="AA60" s="11">
        <f>Inputs!$F$76*AA47</f>
        <v/>
      </c>
      <c r="AB60" s="11">
        <f>Inputs!$F$76*AB47</f>
        <v/>
      </c>
      <c r="AC60" s="11">
        <f>Inputs!$F$76*AC47</f>
        <v/>
      </c>
      <c r="AD60" s="11">
        <f>Inputs!$F$76*AD47</f>
        <v/>
      </c>
      <c r="AE60" s="11">
        <f>Inputs!$F$76*AE47</f>
        <v/>
      </c>
      <c r="AF60" s="11">
        <f>Inputs!$F$76*AF47</f>
        <v/>
      </c>
      <c r="AG60" s="11">
        <f>Inputs!$F$76*AG47</f>
        <v/>
      </c>
      <c r="AH60" s="11">
        <f>Inputs!$F$76*AH47</f>
        <v/>
      </c>
      <c r="AI60" s="11">
        <f>Inputs!$F$76*AI47</f>
        <v/>
      </c>
      <c r="AJ60" s="11">
        <f>Inputs!$F$76*AJ47</f>
        <v/>
      </c>
      <c r="AK60" s="11">
        <f>Inputs!$F$76*AK47</f>
        <v/>
      </c>
      <c r="AL60" s="11">
        <f>Inputs!$F$76*AL47</f>
        <v/>
      </c>
      <c r="AM60" s="11">
        <f>Inputs!$F$76*AM47</f>
        <v/>
      </c>
      <c r="AN60" s="11">
        <f>Inputs!$F$76*AN47</f>
        <v/>
      </c>
      <c r="AO60" s="11">
        <f>Inputs!$F$76*AO47</f>
        <v/>
      </c>
      <c r="AP60" s="11">
        <f>Inputs!$F$76*AP47</f>
        <v/>
      </c>
      <c r="AQ60" s="11">
        <f>Inputs!$F$76*AQ47</f>
        <v/>
      </c>
      <c r="AR60" s="11">
        <f>Inputs!$F$76*AR47</f>
        <v/>
      </c>
      <c r="AS60" s="11">
        <f>Inputs!$F$76*AS47</f>
        <v/>
      </c>
      <c r="AT60" s="11">
        <f>Inputs!$F$76*AT47</f>
        <v/>
      </c>
      <c r="AU60" s="11">
        <f>Inputs!$F$76*AU47</f>
        <v/>
      </c>
      <c r="AV60" s="11">
        <f>Inputs!$F$76*AV47</f>
        <v/>
      </c>
      <c r="AW60" s="11">
        <f>Inputs!$F$76*AW47</f>
        <v/>
      </c>
      <c r="AX60" s="11">
        <f>Inputs!$F$76*AX47</f>
        <v/>
      </c>
      <c r="AY60" s="11">
        <f>Inputs!$F$76*AY47</f>
        <v/>
      </c>
      <c r="AZ60" s="11">
        <f>Inputs!$F$76*AZ47</f>
        <v/>
      </c>
      <c r="BA60" s="11">
        <f>Inputs!$F$76*BA47</f>
        <v/>
      </c>
      <c r="BB60" s="11">
        <f>Inputs!$F$76*BB47</f>
        <v/>
      </c>
      <c r="BC60" s="11">
        <f>Inputs!$F$76*BC47</f>
        <v/>
      </c>
      <c r="BD60" s="11">
        <f>Inputs!$F$76*BD47</f>
        <v/>
      </c>
      <c r="BE60" s="11">
        <f>Inputs!$F$76*BE47</f>
        <v/>
      </c>
      <c r="BF60" s="11">
        <f>Inputs!$F$76*BF47</f>
        <v/>
      </c>
      <c r="BG60" s="11">
        <f>Inputs!$F$76*BG47</f>
        <v/>
      </c>
      <c r="BH60" s="11">
        <f>Inputs!$F$76*BH47</f>
        <v/>
      </c>
      <c r="BI60" s="11">
        <f>Inputs!$F$76*BI47</f>
        <v/>
      </c>
      <c r="BJ60" s="11">
        <f>Inputs!$F$76*BJ47</f>
        <v/>
      </c>
    </row>
    <row r="61">
      <c r="D61" t="inlineStr">
        <is>
          <t>ECA-covered tranche: closing balance</t>
        </is>
      </c>
      <c r="E61" t="inlineStr">
        <is>
          <t>USD m</t>
        </is>
      </c>
      <c r="J61" s="11">
        <f>J28+J57</f>
        <v/>
      </c>
      <c r="K61" s="11">
        <f>K28+K57</f>
        <v/>
      </c>
      <c r="L61" s="11">
        <f>L28+L57</f>
        <v/>
      </c>
      <c r="M61" s="11">
        <f>M28+M57</f>
        <v/>
      </c>
      <c r="N61" s="11">
        <f>N28+N57</f>
        <v/>
      </c>
      <c r="O61" s="11">
        <f>O28+O57</f>
        <v/>
      </c>
      <c r="P61" s="11">
        <f>P28+P57</f>
        <v/>
      </c>
      <c r="Q61" s="11">
        <f>Q28+Q57</f>
        <v/>
      </c>
      <c r="R61" s="11">
        <f>R28+R57</f>
        <v/>
      </c>
      <c r="S61" s="11">
        <f>S28+S57</f>
        <v/>
      </c>
      <c r="T61" s="11">
        <f>T28+T57</f>
        <v/>
      </c>
      <c r="U61" s="11">
        <f>U28+U57</f>
        <v/>
      </c>
      <c r="V61" s="11">
        <f>V28+V57</f>
        <v/>
      </c>
      <c r="W61" s="11">
        <f>W28+W57</f>
        <v/>
      </c>
      <c r="X61" s="11">
        <f>X28+X57</f>
        <v/>
      </c>
      <c r="Y61" s="11">
        <f>Y28+Y57</f>
        <v/>
      </c>
      <c r="Z61" s="11">
        <f>Z28+Z57</f>
        <v/>
      </c>
      <c r="AA61" s="11">
        <f>AA28+AA57</f>
        <v/>
      </c>
      <c r="AB61" s="11">
        <f>AB28+AB57</f>
        <v/>
      </c>
      <c r="AC61" s="11">
        <f>AC28+AC57</f>
        <v/>
      </c>
      <c r="AD61" s="11">
        <f>AD28+AD57</f>
        <v/>
      </c>
      <c r="AE61" s="11">
        <f>AE28+AE57</f>
        <v/>
      </c>
      <c r="AF61" s="11">
        <f>AF28+AF57</f>
        <v/>
      </c>
      <c r="AG61" s="11">
        <f>AG28+AG57</f>
        <v/>
      </c>
      <c r="AH61" s="11">
        <f>AH28+AH57</f>
        <v/>
      </c>
      <c r="AI61" s="11">
        <f>AI28+AI57</f>
        <v/>
      </c>
      <c r="AJ61" s="11">
        <f>AJ28+AJ57</f>
        <v/>
      </c>
      <c r="AK61" s="11">
        <f>AK28+AK57</f>
        <v/>
      </c>
      <c r="AL61" s="11">
        <f>AL28+AL57</f>
        <v/>
      </c>
      <c r="AM61" s="11">
        <f>AM28+AM57</f>
        <v/>
      </c>
      <c r="AN61" s="11">
        <f>AN28+AN57</f>
        <v/>
      </c>
      <c r="AO61" s="11">
        <f>AO28+AO57</f>
        <v/>
      </c>
      <c r="AP61" s="11">
        <f>AP28+AP57</f>
        <v/>
      </c>
      <c r="AQ61" s="11">
        <f>AQ28+AQ57</f>
        <v/>
      </c>
      <c r="AR61" s="11">
        <f>AR28+AR57</f>
        <v/>
      </c>
      <c r="AS61" s="11">
        <f>AS28+AS57</f>
        <v/>
      </c>
      <c r="AT61" s="11">
        <f>AT28+AT57</f>
        <v/>
      </c>
      <c r="AU61" s="11">
        <f>AU28+AU57</f>
        <v/>
      </c>
      <c r="AV61" s="11">
        <f>AV28+AV57</f>
        <v/>
      </c>
      <c r="AW61" s="11">
        <f>AW28+AW57</f>
        <v/>
      </c>
      <c r="AX61" s="11">
        <f>AX28+AX57</f>
        <v/>
      </c>
      <c r="AY61" s="11">
        <f>AY28+AY57</f>
        <v/>
      </c>
      <c r="AZ61" s="11">
        <f>AZ28+AZ57</f>
        <v/>
      </c>
      <c r="BA61" s="11">
        <f>BA28+BA57</f>
        <v/>
      </c>
      <c r="BB61" s="11">
        <f>BB28+BB57</f>
        <v/>
      </c>
      <c r="BC61" s="11">
        <f>BC28+BC57</f>
        <v/>
      </c>
      <c r="BD61" s="11">
        <f>BD28+BD57</f>
        <v/>
      </c>
      <c r="BE61" s="11">
        <f>BE28+BE57</f>
        <v/>
      </c>
      <c r="BF61" s="11">
        <f>BF28+BF57</f>
        <v/>
      </c>
      <c r="BG61" s="11">
        <f>BG28+BG57</f>
        <v/>
      </c>
      <c r="BH61" s="11">
        <f>BH28+BH57</f>
        <v/>
      </c>
      <c r="BI61" s="11">
        <f>BI28+BI57</f>
        <v/>
      </c>
      <c r="BJ61" s="11">
        <f>BJ28+BJ57</f>
        <v/>
      </c>
    </row>
    <row r="62">
      <c r="D62" t="inlineStr">
        <is>
          <t>ABDB A-loan: closing balance</t>
        </is>
      </c>
      <c r="E62" t="inlineStr">
        <is>
          <t>USD m</t>
        </is>
      </c>
      <c r="J62" s="11">
        <f>J29+J58</f>
        <v/>
      </c>
      <c r="K62" s="11">
        <f>K29+K58</f>
        <v/>
      </c>
      <c r="L62" s="11">
        <f>L29+L58</f>
        <v/>
      </c>
      <c r="M62" s="11">
        <f>M29+M58</f>
        <v/>
      </c>
      <c r="N62" s="11">
        <f>N29+N58</f>
        <v/>
      </c>
      <c r="O62" s="11">
        <f>O29+O58</f>
        <v/>
      </c>
      <c r="P62" s="11">
        <f>P29+P58</f>
        <v/>
      </c>
      <c r="Q62" s="11">
        <f>Q29+Q58</f>
        <v/>
      </c>
      <c r="R62" s="11">
        <f>R29+R58</f>
        <v/>
      </c>
      <c r="S62" s="11">
        <f>S29+S58</f>
        <v/>
      </c>
      <c r="T62" s="11">
        <f>T29+T58</f>
        <v/>
      </c>
      <c r="U62" s="11">
        <f>U29+U58</f>
        <v/>
      </c>
      <c r="V62" s="11">
        <f>V29+V58</f>
        <v/>
      </c>
      <c r="W62" s="11">
        <f>W29+W58</f>
        <v/>
      </c>
      <c r="X62" s="11">
        <f>X29+X58</f>
        <v/>
      </c>
      <c r="Y62" s="11">
        <f>Y29+Y58</f>
        <v/>
      </c>
      <c r="Z62" s="11">
        <f>Z29+Z58</f>
        <v/>
      </c>
      <c r="AA62" s="11">
        <f>AA29+AA58</f>
        <v/>
      </c>
      <c r="AB62" s="11">
        <f>AB29+AB58</f>
        <v/>
      </c>
      <c r="AC62" s="11">
        <f>AC29+AC58</f>
        <v/>
      </c>
      <c r="AD62" s="11">
        <f>AD29+AD58</f>
        <v/>
      </c>
      <c r="AE62" s="11">
        <f>AE29+AE58</f>
        <v/>
      </c>
      <c r="AF62" s="11">
        <f>AF29+AF58</f>
        <v/>
      </c>
      <c r="AG62" s="11">
        <f>AG29+AG58</f>
        <v/>
      </c>
      <c r="AH62" s="11">
        <f>AH29+AH58</f>
        <v/>
      </c>
      <c r="AI62" s="11">
        <f>AI29+AI58</f>
        <v/>
      </c>
      <c r="AJ62" s="11">
        <f>AJ29+AJ58</f>
        <v/>
      </c>
      <c r="AK62" s="11">
        <f>AK29+AK58</f>
        <v/>
      </c>
      <c r="AL62" s="11">
        <f>AL29+AL58</f>
        <v/>
      </c>
      <c r="AM62" s="11">
        <f>AM29+AM58</f>
        <v/>
      </c>
      <c r="AN62" s="11">
        <f>AN29+AN58</f>
        <v/>
      </c>
      <c r="AO62" s="11">
        <f>AO29+AO58</f>
        <v/>
      </c>
      <c r="AP62" s="11">
        <f>AP29+AP58</f>
        <v/>
      </c>
      <c r="AQ62" s="11">
        <f>AQ29+AQ58</f>
        <v/>
      </c>
      <c r="AR62" s="11">
        <f>AR29+AR58</f>
        <v/>
      </c>
      <c r="AS62" s="11">
        <f>AS29+AS58</f>
        <v/>
      </c>
      <c r="AT62" s="11">
        <f>AT29+AT58</f>
        <v/>
      </c>
      <c r="AU62" s="11">
        <f>AU29+AU58</f>
        <v/>
      </c>
      <c r="AV62" s="11">
        <f>AV29+AV58</f>
        <v/>
      </c>
      <c r="AW62" s="11">
        <f>AW29+AW58</f>
        <v/>
      </c>
      <c r="AX62" s="11">
        <f>AX29+AX58</f>
        <v/>
      </c>
      <c r="AY62" s="11">
        <f>AY29+AY58</f>
        <v/>
      </c>
      <c r="AZ62" s="11">
        <f>AZ29+AZ58</f>
        <v/>
      </c>
      <c r="BA62" s="11">
        <f>BA29+BA58</f>
        <v/>
      </c>
      <c r="BB62" s="11">
        <f>BB29+BB58</f>
        <v/>
      </c>
      <c r="BC62" s="11">
        <f>BC29+BC58</f>
        <v/>
      </c>
      <c r="BD62" s="11">
        <f>BD29+BD58</f>
        <v/>
      </c>
      <c r="BE62" s="11">
        <f>BE29+BE58</f>
        <v/>
      </c>
      <c r="BF62" s="11">
        <f>BF29+BF58</f>
        <v/>
      </c>
      <c r="BG62" s="11">
        <f>BG29+BG58</f>
        <v/>
      </c>
      <c r="BH62" s="11">
        <f>BH29+BH58</f>
        <v/>
      </c>
      <c r="BI62" s="11">
        <f>BI29+BI58</f>
        <v/>
      </c>
      <c r="BJ62" s="11">
        <f>BJ29+BJ58</f>
        <v/>
      </c>
    </row>
    <row r="63">
      <c r="D63" t="inlineStr">
        <is>
          <t>ABDB B-loan: closing balance</t>
        </is>
      </c>
      <c r="E63" t="inlineStr">
        <is>
          <t>USD m</t>
        </is>
      </c>
      <c r="J63" s="11">
        <f>J30+J59</f>
        <v/>
      </c>
      <c r="K63" s="11">
        <f>K30+K59</f>
        <v/>
      </c>
      <c r="L63" s="11">
        <f>L30+L59</f>
        <v/>
      </c>
      <c r="M63" s="11">
        <f>M30+M59</f>
        <v/>
      </c>
      <c r="N63" s="11">
        <f>N30+N59</f>
        <v/>
      </c>
      <c r="O63" s="11">
        <f>O30+O59</f>
        <v/>
      </c>
      <c r="P63" s="11">
        <f>P30+P59</f>
        <v/>
      </c>
      <c r="Q63" s="11">
        <f>Q30+Q59</f>
        <v/>
      </c>
      <c r="R63" s="11">
        <f>R30+R59</f>
        <v/>
      </c>
      <c r="S63" s="11">
        <f>S30+S59</f>
        <v/>
      </c>
      <c r="T63" s="11">
        <f>T30+T59</f>
        <v/>
      </c>
      <c r="U63" s="11">
        <f>U30+U59</f>
        <v/>
      </c>
      <c r="V63" s="11">
        <f>V30+V59</f>
        <v/>
      </c>
      <c r="W63" s="11">
        <f>W30+W59</f>
        <v/>
      </c>
      <c r="X63" s="11">
        <f>X30+X59</f>
        <v/>
      </c>
      <c r="Y63" s="11">
        <f>Y30+Y59</f>
        <v/>
      </c>
      <c r="Z63" s="11">
        <f>Z30+Z59</f>
        <v/>
      </c>
      <c r="AA63" s="11">
        <f>AA30+AA59</f>
        <v/>
      </c>
      <c r="AB63" s="11">
        <f>AB30+AB59</f>
        <v/>
      </c>
      <c r="AC63" s="11">
        <f>AC30+AC59</f>
        <v/>
      </c>
      <c r="AD63" s="11">
        <f>AD30+AD59</f>
        <v/>
      </c>
      <c r="AE63" s="11">
        <f>AE30+AE59</f>
        <v/>
      </c>
      <c r="AF63" s="11">
        <f>AF30+AF59</f>
        <v/>
      </c>
      <c r="AG63" s="11">
        <f>AG30+AG59</f>
        <v/>
      </c>
      <c r="AH63" s="11">
        <f>AH30+AH59</f>
        <v/>
      </c>
      <c r="AI63" s="11">
        <f>AI30+AI59</f>
        <v/>
      </c>
      <c r="AJ63" s="11">
        <f>AJ30+AJ59</f>
        <v/>
      </c>
      <c r="AK63" s="11">
        <f>AK30+AK59</f>
        <v/>
      </c>
      <c r="AL63" s="11">
        <f>AL30+AL59</f>
        <v/>
      </c>
      <c r="AM63" s="11">
        <f>AM30+AM59</f>
        <v/>
      </c>
      <c r="AN63" s="11">
        <f>AN30+AN59</f>
        <v/>
      </c>
      <c r="AO63" s="11">
        <f>AO30+AO59</f>
        <v/>
      </c>
      <c r="AP63" s="11">
        <f>AP30+AP59</f>
        <v/>
      </c>
      <c r="AQ63" s="11">
        <f>AQ30+AQ59</f>
        <v/>
      </c>
      <c r="AR63" s="11">
        <f>AR30+AR59</f>
        <v/>
      </c>
      <c r="AS63" s="11">
        <f>AS30+AS59</f>
        <v/>
      </c>
      <c r="AT63" s="11">
        <f>AT30+AT59</f>
        <v/>
      </c>
      <c r="AU63" s="11">
        <f>AU30+AU59</f>
        <v/>
      </c>
      <c r="AV63" s="11">
        <f>AV30+AV59</f>
        <v/>
      </c>
      <c r="AW63" s="11">
        <f>AW30+AW59</f>
        <v/>
      </c>
      <c r="AX63" s="11">
        <f>AX30+AX59</f>
        <v/>
      </c>
      <c r="AY63" s="11">
        <f>AY30+AY59</f>
        <v/>
      </c>
      <c r="AZ63" s="11">
        <f>AZ30+AZ59</f>
        <v/>
      </c>
      <c r="BA63" s="11">
        <f>BA30+BA59</f>
        <v/>
      </c>
      <c r="BB63" s="11">
        <f>BB30+BB59</f>
        <v/>
      </c>
      <c r="BC63" s="11">
        <f>BC30+BC59</f>
        <v/>
      </c>
      <c r="BD63" s="11">
        <f>BD30+BD59</f>
        <v/>
      </c>
      <c r="BE63" s="11">
        <f>BE30+BE59</f>
        <v/>
      </c>
      <c r="BF63" s="11">
        <f>BF30+BF59</f>
        <v/>
      </c>
      <c r="BG63" s="11">
        <f>BG30+BG59</f>
        <v/>
      </c>
      <c r="BH63" s="11">
        <f>BH30+BH59</f>
        <v/>
      </c>
      <c r="BI63" s="11">
        <f>BI30+BI59</f>
        <v/>
      </c>
      <c r="BJ63" s="11">
        <f>BJ30+BJ59</f>
        <v/>
      </c>
    </row>
    <row r="64">
      <c r="D64" t="inlineStr">
        <is>
          <t>Commercial tranche: closing balance</t>
        </is>
      </c>
      <c r="E64" t="inlineStr">
        <is>
          <t>USD m</t>
        </is>
      </c>
      <c r="J64" s="11">
        <f>J31+J60</f>
        <v/>
      </c>
      <c r="K64" s="11">
        <f>K31+K60</f>
        <v/>
      </c>
      <c r="L64" s="11">
        <f>L31+L60</f>
        <v/>
      </c>
      <c r="M64" s="11">
        <f>M31+M60</f>
        <v/>
      </c>
      <c r="N64" s="11">
        <f>N31+N60</f>
        <v/>
      </c>
      <c r="O64" s="11">
        <f>O31+O60</f>
        <v/>
      </c>
      <c r="P64" s="11">
        <f>P31+P60</f>
        <v/>
      </c>
      <c r="Q64" s="11">
        <f>Q31+Q60</f>
        <v/>
      </c>
      <c r="R64" s="11">
        <f>R31+R60</f>
        <v/>
      </c>
      <c r="S64" s="11">
        <f>S31+S60</f>
        <v/>
      </c>
      <c r="T64" s="11">
        <f>T31+T60</f>
        <v/>
      </c>
      <c r="U64" s="11">
        <f>U31+U60</f>
        <v/>
      </c>
      <c r="V64" s="11">
        <f>V31+V60</f>
        <v/>
      </c>
      <c r="W64" s="11">
        <f>W31+W60</f>
        <v/>
      </c>
      <c r="X64" s="11">
        <f>X31+X60</f>
        <v/>
      </c>
      <c r="Y64" s="11">
        <f>Y31+Y60</f>
        <v/>
      </c>
      <c r="Z64" s="11">
        <f>Z31+Z60</f>
        <v/>
      </c>
      <c r="AA64" s="11">
        <f>AA31+AA60</f>
        <v/>
      </c>
      <c r="AB64" s="11">
        <f>AB31+AB60</f>
        <v/>
      </c>
      <c r="AC64" s="11">
        <f>AC31+AC60</f>
        <v/>
      </c>
      <c r="AD64" s="11">
        <f>AD31+AD60</f>
        <v/>
      </c>
      <c r="AE64" s="11">
        <f>AE31+AE60</f>
        <v/>
      </c>
      <c r="AF64" s="11">
        <f>AF31+AF60</f>
        <v/>
      </c>
      <c r="AG64" s="11">
        <f>AG31+AG60</f>
        <v/>
      </c>
      <c r="AH64" s="11">
        <f>AH31+AH60</f>
        <v/>
      </c>
      <c r="AI64" s="11">
        <f>AI31+AI60</f>
        <v/>
      </c>
      <c r="AJ64" s="11">
        <f>AJ31+AJ60</f>
        <v/>
      </c>
      <c r="AK64" s="11">
        <f>AK31+AK60</f>
        <v/>
      </c>
      <c r="AL64" s="11">
        <f>AL31+AL60</f>
        <v/>
      </c>
      <c r="AM64" s="11">
        <f>AM31+AM60</f>
        <v/>
      </c>
      <c r="AN64" s="11">
        <f>AN31+AN60</f>
        <v/>
      </c>
      <c r="AO64" s="11">
        <f>AO31+AO60</f>
        <v/>
      </c>
      <c r="AP64" s="11">
        <f>AP31+AP60</f>
        <v/>
      </c>
      <c r="AQ64" s="11">
        <f>AQ31+AQ60</f>
        <v/>
      </c>
      <c r="AR64" s="11">
        <f>AR31+AR60</f>
        <v/>
      </c>
      <c r="AS64" s="11">
        <f>AS31+AS60</f>
        <v/>
      </c>
      <c r="AT64" s="11">
        <f>AT31+AT60</f>
        <v/>
      </c>
      <c r="AU64" s="11">
        <f>AU31+AU60</f>
        <v/>
      </c>
      <c r="AV64" s="11">
        <f>AV31+AV60</f>
        <v/>
      </c>
      <c r="AW64" s="11">
        <f>AW31+AW60</f>
        <v/>
      </c>
      <c r="AX64" s="11">
        <f>AX31+AX60</f>
        <v/>
      </c>
      <c r="AY64" s="11">
        <f>AY31+AY60</f>
        <v/>
      </c>
      <c r="AZ64" s="11">
        <f>AZ31+AZ60</f>
        <v/>
      </c>
      <c r="BA64" s="11">
        <f>BA31+BA60</f>
        <v/>
      </c>
      <c r="BB64" s="11">
        <f>BB31+BB60</f>
        <v/>
      </c>
      <c r="BC64" s="11">
        <f>BC31+BC60</f>
        <v/>
      </c>
      <c r="BD64" s="11">
        <f>BD31+BD60</f>
        <v/>
      </c>
      <c r="BE64" s="11">
        <f>BE31+BE60</f>
        <v/>
      </c>
      <c r="BF64" s="11">
        <f>BF31+BF60</f>
        <v/>
      </c>
      <c r="BG64" s="11">
        <f>BG31+BG60</f>
        <v/>
      </c>
      <c r="BH64" s="11">
        <f>BH31+BH60</f>
        <v/>
      </c>
      <c r="BI64" s="11">
        <f>BI31+BI60</f>
        <v/>
      </c>
      <c r="BJ64" s="11">
        <f>BJ31+BJ60</f>
        <v/>
      </c>
    </row>
    <row r="65">
      <c r="D65" t="inlineStr">
        <is>
          <t>Standby facility: closing balance</t>
        </is>
      </c>
      <c r="E65" t="inlineStr">
        <is>
          <t>USD m</t>
        </is>
      </c>
      <c r="J65" s="11">
        <f>J32+J55</f>
        <v/>
      </c>
      <c r="K65" s="11">
        <f>K32+K55</f>
        <v/>
      </c>
      <c r="L65" s="11">
        <f>L32+L55</f>
        <v/>
      </c>
      <c r="M65" s="11">
        <f>M32+M55</f>
        <v/>
      </c>
      <c r="N65" s="11">
        <f>N32+N55</f>
        <v/>
      </c>
      <c r="O65" s="11">
        <f>O32+O55</f>
        <v/>
      </c>
      <c r="P65" s="11">
        <f>P32+P55</f>
        <v/>
      </c>
      <c r="Q65" s="11">
        <f>Q32+Q55</f>
        <v/>
      </c>
      <c r="R65" s="11">
        <f>R32+R55</f>
        <v/>
      </c>
      <c r="S65" s="11">
        <f>S32+S55</f>
        <v/>
      </c>
      <c r="T65" s="11">
        <f>T32+T55</f>
        <v/>
      </c>
      <c r="U65" s="11">
        <f>U32+U55</f>
        <v/>
      </c>
      <c r="V65" s="11">
        <f>V32+V55</f>
        <v/>
      </c>
      <c r="W65" s="11">
        <f>W32+W55</f>
        <v/>
      </c>
      <c r="X65" s="11">
        <f>X32+X55</f>
        <v/>
      </c>
      <c r="Y65" s="11">
        <f>Y32+Y55</f>
        <v/>
      </c>
      <c r="Z65" s="11">
        <f>Z32+Z55</f>
        <v/>
      </c>
      <c r="AA65" s="11">
        <f>AA32+AA55</f>
        <v/>
      </c>
      <c r="AB65" s="11">
        <f>AB32+AB55</f>
        <v/>
      </c>
      <c r="AC65" s="11">
        <f>AC32+AC55</f>
        <v/>
      </c>
      <c r="AD65" s="11">
        <f>AD32+AD55</f>
        <v/>
      </c>
      <c r="AE65" s="11">
        <f>AE32+AE55</f>
        <v/>
      </c>
      <c r="AF65" s="11">
        <f>AF32+AF55</f>
        <v/>
      </c>
      <c r="AG65" s="11">
        <f>AG32+AG55</f>
        <v/>
      </c>
      <c r="AH65" s="11">
        <f>AH32+AH55</f>
        <v/>
      </c>
      <c r="AI65" s="11">
        <f>AI32+AI55</f>
        <v/>
      </c>
      <c r="AJ65" s="11">
        <f>AJ32+AJ55</f>
        <v/>
      </c>
      <c r="AK65" s="11">
        <f>AK32+AK55</f>
        <v/>
      </c>
      <c r="AL65" s="11">
        <f>AL32+AL55</f>
        <v/>
      </c>
      <c r="AM65" s="11">
        <f>AM32+AM55</f>
        <v/>
      </c>
      <c r="AN65" s="11">
        <f>AN32+AN55</f>
        <v/>
      </c>
      <c r="AO65" s="11">
        <f>AO32+AO55</f>
        <v/>
      </c>
      <c r="AP65" s="11">
        <f>AP32+AP55</f>
        <v/>
      </c>
      <c r="AQ65" s="11">
        <f>AQ32+AQ55</f>
        <v/>
      </c>
      <c r="AR65" s="11">
        <f>AR32+AR55</f>
        <v/>
      </c>
      <c r="AS65" s="11">
        <f>AS32+AS55</f>
        <v/>
      </c>
      <c r="AT65" s="11">
        <f>AT32+AT55</f>
        <v/>
      </c>
      <c r="AU65" s="11">
        <f>AU32+AU55</f>
        <v/>
      </c>
      <c r="AV65" s="11">
        <f>AV32+AV55</f>
        <v/>
      </c>
      <c r="AW65" s="11">
        <f>AW32+AW55</f>
        <v/>
      </c>
      <c r="AX65" s="11">
        <f>AX32+AX55</f>
        <v/>
      </c>
      <c r="AY65" s="11">
        <f>AY32+AY55</f>
        <v/>
      </c>
      <c r="AZ65" s="11">
        <f>AZ32+AZ55</f>
        <v/>
      </c>
      <c r="BA65" s="11">
        <f>BA32+BA55</f>
        <v/>
      </c>
      <c r="BB65" s="11">
        <f>BB32+BB55</f>
        <v/>
      </c>
      <c r="BC65" s="11">
        <f>BC32+BC55</f>
        <v/>
      </c>
      <c r="BD65" s="11">
        <f>BD32+BD55</f>
        <v/>
      </c>
      <c r="BE65" s="11">
        <f>BE32+BE55</f>
        <v/>
      </c>
      <c r="BF65" s="11">
        <f>BF32+BF55</f>
        <v/>
      </c>
      <c r="BG65" s="11">
        <f>BG32+BG55</f>
        <v/>
      </c>
      <c r="BH65" s="11">
        <f>BH32+BH55</f>
        <v/>
      </c>
      <c r="BI65" s="11">
        <f>BI32+BI55</f>
        <v/>
      </c>
      <c r="BJ65" s="11">
        <f>BJ32+BJ55</f>
        <v/>
      </c>
    </row>
    <row r="66">
      <c r="B66" s="2" t="inlineStr">
        <is>
          <t>Equity (USD m)</t>
        </is>
      </c>
    </row>
    <row r="67">
      <c r="D67" t="inlineStr">
        <is>
          <t>Equity contributions (incl. LNTP credit in month 1)</t>
        </is>
      </c>
      <c r="E67" t="inlineStr">
        <is>
          <t>USD m</t>
        </is>
      </c>
      <c r="G67" s="11">
        <f>SUM(J67:BJ67)</f>
        <v/>
      </c>
      <c r="J67" s="11">
        <f>J50-J47+J56</f>
        <v/>
      </c>
      <c r="K67" s="11">
        <f>K50-K47+K56</f>
        <v/>
      </c>
      <c r="L67" s="11">
        <f>L50-L47+L56</f>
        <v/>
      </c>
      <c r="M67" s="11">
        <f>M50-M47+M56</f>
        <v/>
      </c>
      <c r="N67" s="11">
        <f>N50-N47+N56</f>
        <v/>
      </c>
      <c r="O67" s="11">
        <f>O50-O47+O56</f>
        <v/>
      </c>
      <c r="P67" s="11">
        <f>P50-P47+P56</f>
        <v/>
      </c>
      <c r="Q67" s="11">
        <f>Q50-Q47+Q56</f>
        <v/>
      </c>
      <c r="R67" s="11">
        <f>R50-R47+R56</f>
        <v/>
      </c>
      <c r="S67" s="11">
        <f>S50-S47+S56</f>
        <v/>
      </c>
      <c r="T67" s="11">
        <f>T50-T47+T56</f>
        <v/>
      </c>
      <c r="U67" s="11">
        <f>U50-U47+U56</f>
        <v/>
      </c>
      <c r="V67" s="11">
        <f>V50-V47+V56</f>
        <v/>
      </c>
      <c r="W67" s="11">
        <f>W50-W47+W56</f>
        <v/>
      </c>
      <c r="X67" s="11">
        <f>X50-X47+X56</f>
        <v/>
      </c>
      <c r="Y67" s="11">
        <f>Y50-Y47+Y56</f>
        <v/>
      </c>
      <c r="Z67" s="11">
        <f>Z50-Z47+Z56</f>
        <v/>
      </c>
      <c r="AA67" s="11">
        <f>AA50-AA47+AA56</f>
        <v/>
      </c>
      <c r="AB67" s="11">
        <f>AB50-AB47+AB56</f>
        <v/>
      </c>
      <c r="AC67" s="11">
        <f>AC50-AC47+AC56</f>
        <v/>
      </c>
      <c r="AD67" s="11">
        <f>AD50-AD47+AD56</f>
        <v/>
      </c>
      <c r="AE67" s="11">
        <f>AE50-AE47+AE56</f>
        <v/>
      </c>
      <c r="AF67" s="11">
        <f>AF50-AF47+AF56</f>
        <v/>
      </c>
      <c r="AG67" s="11">
        <f>AG50-AG47+AG56</f>
        <v/>
      </c>
      <c r="AH67" s="11">
        <f>AH50-AH47+AH56</f>
        <v/>
      </c>
      <c r="AI67" s="11">
        <f>AI50-AI47+AI56</f>
        <v/>
      </c>
      <c r="AJ67" s="11">
        <f>AJ50-AJ47+AJ56</f>
        <v/>
      </c>
      <c r="AK67" s="11">
        <f>AK50-AK47+AK56</f>
        <v/>
      </c>
      <c r="AL67" s="11">
        <f>AL50-AL47+AL56</f>
        <v/>
      </c>
      <c r="AM67" s="11">
        <f>AM50-AM47+AM56</f>
        <v/>
      </c>
      <c r="AN67" s="11">
        <f>AN50-AN47+AN56</f>
        <v/>
      </c>
      <c r="AO67" s="11">
        <f>AO50-AO47+AO56</f>
        <v/>
      </c>
      <c r="AP67" s="11">
        <f>AP50-AP47+AP56</f>
        <v/>
      </c>
      <c r="AQ67" s="11">
        <f>AQ50-AQ47+AQ56</f>
        <v/>
      </c>
      <c r="AR67" s="11">
        <f>AR50-AR47+AR56</f>
        <v/>
      </c>
      <c r="AS67" s="11">
        <f>AS50-AS47+AS56</f>
        <v/>
      </c>
      <c r="AT67" s="11">
        <f>AT50-AT47+AT56</f>
        <v/>
      </c>
      <c r="AU67" s="11">
        <f>AU50-AU47+AU56</f>
        <v/>
      </c>
      <c r="AV67" s="11">
        <f>AV50-AV47+AV56</f>
        <v/>
      </c>
      <c r="AW67" s="11">
        <f>AW50-AW47+AW56</f>
        <v/>
      </c>
      <c r="AX67" s="11">
        <f>AX50-AX47+AX56</f>
        <v/>
      </c>
      <c r="AY67" s="11">
        <f>AY50-AY47+AY56</f>
        <v/>
      </c>
      <c r="AZ67" s="11">
        <f>AZ50-AZ47+AZ56</f>
        <v/>
      </c>
      <c r="BA67" s="11">
        <f>BA50-BA47+BA56</f>
        <v/>
      </c>
      <c r="BB67" s="11">
        <f>BB50-BB47+BB56</f>
        <v/>
      </c>
      <c r="BC67" s="11">
        <f>BC50-BC47+BC56</f>
        <v/>
      </c>
      <c r="BD67" s="11">
        <f>BD50-BD47+BD56</f>
        <v/>
      </c>
      <c r="BE67" s="11">
        <f>BE50-BE47+BE56</f>
        <v/>
      </c>
      <c r="BF67" s="11">
        <f>BF50-BF47+BF56</f>
        <v/>
      </c>
      <c r="BG67" s="11">
        <f>BG50-BG47+BG56</f>
        <v/>
      </c>
      <c r="BH67" s="11">
        <f>BH50-BH47+BH56</f>
        <v/>
      </c>
      <c r="BI67" s="11">
        <f>BI50-BI47+BI56</f>
        <v/>
      </c>
      <c r="BJ67" s="11">
        <f>BJ50-BJ47+BJ56</f>
        <v/>
      </c>
    </row>
    <row r="68">
      <c r="D68" t="inlineStr">
        <is>
          <t>Equity contributed in cash</t>
        </is>
      </c>
      <c r="E68" t="inlineStr">
        <is>
          <t>USD m</t>
        </is>
      </c>
      <c r="G68" s="11">
        <f>SUM(J68:BJ68)</f>
        <v/>
      </c>
      <c r="J68" s="11">
        <f>J67-IF(Construction!J8=1,Inputs!$F$66,0)</f>
        <v/>
      </c>
      <c r="K68" s="11">
        <f>K67-IF(Construction!K8=1,Inputs!$F$66,0)</f>
        <v/>
      </c>
      <c r="L68" s="11">
        <f>L67-IF(Construction!L8=1,Inputs!$F$66,0)</f>
        <v/>
      </c>
      <c r="M68" s="11">
        <f>M67-IF(Construction!M8=1,Inputs!$F$66,0)</f>
        <v/>
      </c>
      <c r="N68" s="11">
        <f>N67-IF(Construction!N8=1,Inputs!$F$66,0)</f>
        <v/>
      </c>
      <c r="O68" s="11">
        <f>O67-IF(Construction!O8=1,Inputs!$F$66,0)</f>
        <v/>
      </c>
      <c r="P68" s="11">
        <f>P67-IF(Construction!P8=1,Inputs!$F$66,0)</f>
        <v/>
      </c>
      <c r="Q68" s="11">
        <f>Q67-IF(Construction!Q8=1,Inputs!$F$66,0)</f>
        <v/>
      </c>
      <c r="R68" s="11">
        <f>R67-IF(Construction!R8=1,Inputs!$F$66,0)</f>
        <v/>
      </c>
      <c r="S68" s="11">
        <f>S67-IF(Construction!S8=1,Inputs!$F$66,0)</f>
        <v/>
      </c>
      <c r="T68" s="11">
        <f>T67-IF(Construction!T8=1,Inputs!$F$66,0)</f>
        <v/>
      </c>
      <c r="U68" s="11">
        <f>U67-IF(Construction!U8=1,Inputs!$F$66,0)</f>
        <v/>
      </c>
      <c r="V68" s="11">
        <f>V67-IF(Construction!V8=1,Inputs!$F$66,0)</f>
        <v/>
      </c>
      <c r="W68" s="11">
        <f>W67-IF(Construction!W8=1,Inputs!$F$66,0)</f>
        <v/>
      </c>
      <c r="X68" s="11">
        <f>X67-IF(Construction!X8=1,Inputs!$F$66,0)</f>
        <v/>
      </c>
      <c r="Y68" s="11">
        <f>Y67-IF(Construction!Y8=1,Inputs!$F$66,0)</f>
        <v/>
      </c>
      <c r="Z68" s="11">
        <f>Z67-IF(Construction!Z8=1,Inputs!$F$66,0)</f>
        <v/>
      </c>
      <c r="AA68" s="11">
        <f>AA67-IF(Construction!AA8=1,Inputs!$F$66,0)</f>
        <v/>
      </c>
      <c r="AB68" s="11">
        <f>AB67-IF(Construction!AB8=1,Inputs!$F$66,0)</f>
        <v/>
      </c>
      <c r="AC68" s="11">
        <f>AC67-IF(Construction!AC8=1,Inputs!$F$66,0)</f>
        <v/>
      </c>
      <c r="AD68" s="11">
        <f>AD67-IF(Construction!AD8=1,Inputs!$F$66,0)</f>
        <v/>
      </c>
      <c r="AE68" s="11">
        <f>AE67-IF(Construction!AE8=1,Inputs!$F$66,0)</f>
        <v/>
      </c>
      <c r="AF68" s="11">
        <f>AF67-IF(Construction!AF8=1,Inputs!$F$66,0)</f>
        <v/>
      </c>
      <c r="AG68" s="11">
        <f>AG67-IF(Construction!AG8=1,Inputs!$F$66,0)</f>
        <v/>
      </c>
      <c r="AH68" s="11">
        <f>AH67-IF(Construction!AH8=1,Inputs!$F$66,0)</f>
        <v/>
      </c>
      <c r="AI68" s="11">
        <f>AI67-IF(Construction!AI8=1,Inputs!$F$66,0)</f>
        <v/>
      </c>
      <c r="AJ68" s="11">
        <f>AJ67-IF(Construction!AJ8=1,Inputs!$F$66,0)</f>
        <v/>
      </c>
      <c r="AK68" s="11">
        <f>AK67-IF(Construction!AK8=1,Inputs!$F$66,0)</f>
        <v/>
      </c>
      <c r="AL68" s="11">
        <f>AL67-IF(Construction!AL8=1,Inputs!$F$66,0)</f>
        <v/>
      </c>
      <c r="AM68" s="11">
        <f>AM67-IF(Construction!AM8=1,Inputs!$F$66,0)</f>
        <v/>
      </c>
      <c r="AN68" s="11">
        <f>AN67-IF(Construction!AN8=1,Inputs!$F$66,0)</f>
        <v/>
      </c>
      <c r="AO68" s="11">
        <f>AO67-IF(Construction!AO8=1,Inputs!$F$66,0)</f>
        <v/>
      </c>
      <c r="AP68" s="11">
        <f>AP67-IF(Construction!AP8=1,Inputs!$F$66,0)</f>
        <v/>
      </c>
      <c r="AQ68" s="11">
        <f>AQ67-IF(Construction!AQ8=1,Inputs!$F$66,0)</f>
        <v/>
      </c>
      <c r="AR68" s="11">
        <f>AR67-IF(Construction!AR8=1,Inputs!$F$66,0)</f>
        <v/>
      </c>
      <c r="AS68" s="11">
        <f>AS67-IF(Construction!AS8=1,Inputs!$F$66,0)</f>
        <v/>
      </c>
      <c r="AT68" s="11">
        <f>AT67-IF(Construction!AT8=1,Inputs!$F$66,0)</f>
        <v/>
      </c>
      <c r="AU68" s="11">
        <f>AU67-IF(Construction!AU8=1,Inputs!$F$66,0)</f>
        <v/>
      </c>
      <c r="AV68" s="11">
        <f>AV67-IF(Construction!AV8=1,Inputs!$F$66,0)</f>
        <v/>
      </c>
      <c r="AW68" s="11">
        <f>AW67-IF(Construction!AW8=1,Inputs!$F$66,0)</f>
        <v/>
      </c>
      <c r="AX68" s="11">
        <f>AX67-IF(Construction!AX8=1,Inputs!$F$66,0)</f>
        <v/>
      </c>
      <c r="AY68" s="11">
        <f>AY67-IF(Construction!AY8=1,Inputs!$F$66,0)</f>
        <v/>
      </c>
      <c r="AZ68" s="11">
        <f>AZ67-IF(Construction!AZ8=1,Inputs!$F$66,0)</f>
        <v/>
      </c>
      <c r="BA68" s="11">
        <f>BA67-IF(Construction!BA8=1,Inputs!$F$66,0)</f>
        <v/>
      </c>
      <c r="BB68" s="11">
        <f>BB67-IF(Construction!BB8=1,Inputs!$F$66,0)</f>
        <v/>
      </c>
      <c r="BC68" s="11">
        <f>BC67-IF(Construction!BC8=1,Inputs!$F$66,0)</f>
        <v/>
      </c>
      <c r="BD68" s="11">
        <f>BD67-IF(Construction!BD8=1,Inputs!$F$66,0)</f>
        <v/>
      </c>
      <c r="BE68" s="11">
        <f>BE67-IF(Construction!BE8=1,Inputs!$F$66,0)</f>
        <v/>
      </c>
      <c r="BF68" s="11">
        <f>BF67-IF(Construction!BF8=1,Inputs!$F$66,0)</f>
        <v/>
      </c>
      <c r="BG68" s="11">
        <f>BG67-IF(Construction!BG8=1,Inputs!$F$66,0)</f>
        <v/>
      </c>
      <c r="BH68" s="11">
        <f>BH67-IF(Construction!BH8=1,Inputs!$F$66,0)</f>
        <v/>
      </c>
      <c r="BI68" s="11">
        <f>BI67-IF(Construction!BI8=1,Inputs!$F$66,0)</f>
        <v/>
      </c>
      <c r="BJ68" s="11">
        <f>BJ67-IF(Construction!BJ8=1,Inputs!$F$66,0)</f>
        <v/>
      </c>
    </row>
    <row r="69">
      <c r="D69" t="inlineStr">
        <is>
          <t>Share capital</t>
        </is>
      </c>
      <c r="E69" t="inlineStr">
        <is>
          <t>USD m</t>
        </is>
      </c>
      <c r="G69" s="11">
        <f>SUM(J69:BJ69)</f>
        <v/>
      </c>
      <c r="J69" s="11">
        <f>(1-Inputs!$F$52)*J67</f>
        <v/>
      </c>
      <c r="K69" s="11">
        <f>(1-Inputs!$F$52)*K67</f>
        <v/>
      </c>
      <c r="L69" s="11">
        <f>(1-Inputs!$F$52)*L67</f>
        <v/>
      </c>
      <c r="M69" s="11">
        <f>(1-Inputs!$F$52)*M67</f>
        <v/>
      </c>
      <c r="N69" s="11">
        <f>(1-Inputs!$F$52)*N67</f>
        <v/>
      </c>
      <c r="O69" s="11">
        <f>(1-Inputs!$F$52)*O67</f>
        <v/>
      </c>
      <c r="P69" s="11">
        <f>(1-Inputs!$F$52)*P67</f>
        <v/>
      </c>
      <c r="Q69" s="11">
        <f>(1-Inputs!$F$52)*Q67</f>
        <v/>
      </c>
      <c r="R69" s="11">
        <f>(1-Inputs!$F$52)*R67</f>
        <v/>
      </c>
      <c r="S69" s="11">
        <f>(1-Inputs!$F$52)*S67</f>
        <v/>
      </c>
      <c r="T69" s="11">
        <f>(1-Inputs!$F$52)*T67</f>
        <v/>
      </c>
      <c r="U69" s="11">
        <f>(1-Inputs!$F$52)*U67</f>
        <v/>
      </c>
      <c r="V69" s="11">
        <f>(1-Inputs!$F$52)*V67</f>
        <v/>
      </c>
      <c r="W69" s="11">
        <f>(1-Inputs!$F$52)*W67</f>
        <v/>
      </c>
      <c r="X69" s="11">
        <f>(1-Inputs!$F$52)*X67</f>
        <v/>
      </c>
      <c r="Y69" s="11">
        <f>(1-Inputs!$F$52)*Y67</f>
        <v/>
      </c>
      <c r="Z69" s="11">
        <f>(1-Inputs!$F$52)*Z67</f>
        <v/>
      </c>
      <c r="AA69" s="11">
        <f>(1-Inputs!$F$52)*AA67</f>
        <v/>
      </c>
      <c r="AB69" s="11">
        <f>(1-Inputs!$F$52)*AB67</f>
        <v/>
      </c>
      <c r="AC69" s="11">
        <f>(1-Inputs!$F$52)*AC67</f>
        <v/>
      </c>
      <c r="AD69" s="11">
        <f>(1-Inputs!$F$52)*AD67</f>
        <v/>
      </c>
      <c r="AE69" s="11">
        <f>(1-Inputs!$F$52)*AE67</f>
        <v/>
      </c>
      <c r="AF69" s="11">
        <f>(1-Inputs!$F$52)*AF67</f>
        <v/>
      </c>
      <c r="AG69" s="11">
        <f>(1-Inputs!$F$52)*AG67</f>
        <v/>
      </c>
      <c r="AH69" s="11">
        <f>(1-Inputs!$F$52)*AH67</f>
        <v/>
      </c>
      <c r="AI69" s="11">
        <f>(1-Inputs!$F$52)*AI67</f>
        <v/>
      </c>
      <c r="AJ69" s="11">
        <f>(1-Inputs!$F$52)*AJ67</f>
        <v/>
      </c>
      <c r="AK69" s="11">
        <f>(1-Inputs!$F$52)*AK67</f>
        <v/>
      </c>
      <c r="AL69" s="11">
        <f>(1-Inputs!$F$52)*AL67</f>
        <v/>
      </c>
      <c r="AM69" s="11">
        <f>(1-Inputs!$F$52)*AM67</f>
        <v/>
      </c>
      <c r="AN69" s="11">
        <f>(1-Inputs!$F$52)*AN67</f>
        <v/>
      </c>
      <c r="AO69" s="11">
        <f>(1-Inputs!$F$52)*AO67</f>
        <v/>
      </c>
      <c r="AP69" s="11">
        <f>(1-Inputs!$F$52)*AP67</f>
        <v/>
      </c>
      <c r="AQ69" s="11">
        <f>(1-Inputs!$F$52)*AQ67</f>
        <v/>
      </c>
      <c r="AR69" s="11">
        <f>(1-Inputs!$F$52)*AR67</f>
        <v/>
      </c>
      <c r="AS69" s="11">
        <f>(1-Inputs!$F$52)*AS67</f>
        <v/>
      </c>
      <c r="AT69" s="11">
        <f>(1-Inputs!$F$52)*AT67</f>
        <v/>
      </c>
      <c r="AU69" s="11">
        <f>(1-Inputs!$F$52)*AU67</f>
        <v/>
      </c>
      <c r="AV69" s="11">
        <f>(1-Inputs!$F$52)*AV67</f>
        <v/>
      </c>
      <c r="AW69" s="11">
        <f>(1-Inputs!$F$52)*AW67</f>
        <v/>
      </c>
      <c r="AX69" s="11">
        <f>(1-Inputs!$F$52)*AX67</f>
        <v/>
      </c>
      <c r="AY69" s="11">
        <f>(1-Inputs!$F$52)*AY67</f>
        <v/>
      </c>
      <c r="AZ69" s="11">
        <f>(1-Inputs!$F$52)*AZ67</f>
        <v/>
      </c>
      <c r="BA69" s="11">
        <f>(1-Inputs!$F$52)*BA67</f>
        <v/>
      </c>
      <c r="BB69" s="11">
        <f>(1-Inputs!$F$52)*BB67</f>
        <v/>
      </c>
      <c r="BC69" s="11">
        <f>(1-Inputs!$F$52)*BC67</f>
        <v/>
      </c>
      <c r="BD69" s="11">
        <f>(1-Inputs!$F$52)*BD67</f>
        <v/>
      </c>
      <c r="BE69" s="11">
        <f>(1-Inputs!$F$52)*BE67</f>
        <v/>
      </c>
      <c r="BF69" s="11">
        <f>(1-Inputs!$F$52)*BF67</f>
        <v/>
      </c>
      <c r="BG69" s="11">
        <f>(1-Inputs!$F$52)*BG67</f>
        <v/>
      </c>
      <c r="BH69" s="11">
        <f>(1-Inputs!$F$52)*BH67</f>
        <v/>
      </c>
      <c r="BI69" s="11">
        <f>(1-Inputs!$F$52)*BI67</f>
        <v/>
      </c>
      <c r="BJ69" s="11">
        <f>(1-Inputs!$F$52)*BJ67</f>
        <v/>
      </c>
    </row>
    <row r="70">
      <c r="D70" t="inlineStr">
        <is>
          <t>Shareholder loans advanced</t>
        </is>
      </c>
      <c r="E70" t="inlineStr">
        <is>
          <t>USD m</t>
        </is>
      </c>
      <c r="G70" s="11">
        <f>SUM(J70:BJ70)</f>
        <v/>
      </c>
      <c r="J70" s="11">
        <f>Inputs!$F$52*J67</f>
        <v/>
      </c>
      <c r="K70" s="11">
        <f>Inputs!$F$52*K67</f>
        <v/>
      </c>
      <c r="L70" s="11">
        <f>Inputs!$F$52*L67</f>
        <v/>
      </c>
      <c r="M70" s="11">
        <f>Inputs!$F$52*M67</f>
        <v/>
      </c>
      <c r="N70" s="11">
        <f>Inputs!$F$52*N67</f>
        <v/>
      </c>
      <c r="O70" s="11">
        <f>Inputs!$F$52*O67</f>
        <v/>
      </c>
      <c r="P70" s="11">
        <f>Inputs!$F$52*P67</f>
        <v/>
      </c>
      <c r="Q70" s="11">
        <f>Inputs!$F$52*Q67</f>
        <v/>
      </c>
      <c r="R70" s="11">
        <f>Inputs!$F$52*R67</f>
        <v/>
      </c>
      <c r="S70" s="11">
        <f>Inputs!$F$52*S67</f>
        <v/>
      </c>
      <c r="T70" s="11">
        <f>Inputs!$F$52*T67</f>
        <v/>
      </c>
      <c r="U70" s="11">
        <f>Inputs!$F$52*U67</f>
        <v/>
      </c>
      <c r="V70" s="11">
        <f>Inputs!$F$52*V67</f>
        <v/>
      </c>
      <c r="W70" s="11">
        <f>Inputs!$F$52*W67</f>
        <v/>
      </c>
      <c r="X70" s="11">
        <f>Inputs!$F$52*X67</f>
        <v/>
      </c>
      <c r="Y70" s="11">
        <f>Inputs!$F$52*Y67</f>
        <v/>
      </c>
      <c r="Z70" s="11">
        <f>Inputs!$F$52*Z67</f>
        <v/>
      </c>
      <c r="AA70" s="11">
        <f>Inputs!$F$52*AA67</f>
        <v/>
      </c>
      <c r="AB70" s="11">
        <f>Inputs!$F$52*AB67</f>
        <v/>
      </c>
      <c r="AC70" s="11">
        <f>Inputs!$F$52*AC67</f>
        <v/>
      </c>
      <c r="AD70" s="11">
        <f>Inputs!$F$52*AD67</f>
        <v/>
      </c>
      <c r="AE70" s="11">
        <f>Inputs!$F$52*AE67</f>
        <v/>
      </c>
      <c r="AF70" s="11">
        <f>Inputs!$F$52*AF67</f>
        <v/>
      </c>
      <c r="AG70" s="11">
        <f>Inputs!$F$52*AG67</f>
        <v/>
      </c>
      <c r="AH70" s="11">
        <f>Inputs!$F$52*AH67</f>
        <v/>
      </c>
      <c r="AI70" s="11">
        <f>Inputs!$F$52*AI67</f>
        <v/>
      </c>
      <c r="AJ70" s="11">
        <f>Inputs!$F$52*AJ67</f>
        <v/>
      </c>
      <c r="AK70" s="11">
        <f>Inputs!$F$52*AK67</f>
        <v/>
      </c>
      <c r="AL70" s="11">
        <f>Inputs!$F$52*AL67</f>
        <v/>
      </c>
      <c r="AM70" s="11">
        <f>Inputs!$F$52*AM67</f>
        <v/>
      </c>
      <c r="AN70" s="11">
        <f>Inputs!$F$52*AN67</f>
        <v/>
      </c>
      <c r="AO70" s="11">
        <f>Inputs!$F$52*AO67</f>
        <v/>
      </c>
      <c r="AP70" s="11">
        <f>Inputs!$F$52*AP67</f>
        <v/>
      </c>
      <c r="AQ70" s="11">
        <f>Inputs!$F$52*AQ67</f>
        <v/>
      </c>
      <c r="AR70" s="11">
        <f>Inputs!$F$52*AR67</f>
        <v/>
      </c>
      <c r="AS70" s="11">
        <f>Inputs!$F$52*AS67</f>
        <v/>
      </c>
      <c r="AT70" s="11">
        <f>Inputs!$F$52*AT67</f>
        <v/>
      </c>
      <c r="AU70" s="11">
        <f>Inputs!$F$52*AU67</f>
        <v/>
      </c>
      <c r="AV70" s="11">
        <f>Inputs!$F$52*AV67</f>
        <v/>
      </c>
      <c r="AW70" s="11">
        <f>Inputs!$F$52*AW67</f>
        <v/>
      </c>
      <c r="AX70" s="11">
        <f>Inputs!$F$52*AX67</f>
        <v/>
      </c>
      <c r="AY70" s="11">
        <f>Inputs!$F$52*AY67</f>
        <v/>
      </c>
      <c r="AZ70" s="11">
        <f>Inputs!$F$52*AZ67</f>
        <v/>
      </c>
      <c r="BA70" s="11">
        <f>Inputs!$F$52*BA67</f>
        <v/>
      </c>
      <c r="BB70" s="11">
        <f>Inputs!$F$52*BB67</f>
        <v/>
      </c>
      <c r="BC70" s="11">
        <f>Inputs!$F$52*BC67</f>
        <v/>
      </c>
      <c r="BD70" s="11">
        <f>Inputs!$F$52*BD67</f>
        <v/>
      </c>
      <c r="BE70" s="11">
        <f>Inputs!$F$52*BE67</f>
        <v/>
      </c>
      <c r="BF70" s="11">
        <f>Inputs!$F$52*BF67</f>
        <v/>
      </c>
      <c r="BG70" s="11">
        <f>Inputs!$F$52*BG67</f>
        <v/>
      </c>
      <c r="BH70" s="11">
        <f>Inputs!$F$52*BH67</f>
        <v/>
      </c>
      <c r="BI70" s="11">
        <f>Inputs!$F$52*BI67</f>
        <v/>
      </c>
      <c r="BJ70" s="11">
        <f>Inputs!$F$52*BJ67</f>
        <v/>
      </c>
    </row>
    <row r="71">
      <c r="D71" t="inlineStr">
        <is>
          <t>Shareholder loan interest capitalized (to COD)</t>
        </is>
      </c>
      <c r="E71" t="inlineStr">
        <is>
          <t>USD m</t>
        </is>
      </c>
      <c r="G71" s="11">
        <f>SUM(J71:BJ71)</f>
        <v/>
      </c>
      <c r="J71" s="11">
        <f>IF(Construction!J8&lt;=Time!$F$10,0*Inputs!$F$102/100*Construction!J11/365,0)</f>
        <v/>
      </c>
      <c r="K71" s="11">
        <f>IF(Construction!K8&lt;=Time!$F$10,J72*Inputs!$F$102/100*Construction!K11/365,0)</f>
        <v/>
      </c>
      <c r="L71" s="11">
        <f>IF(Construction!L8&lt;=Time!$F$10,K72*Inputs!$F$102/100*Construction!L11/365,0)</f>
        <v/>
      </c>
      <c r="M71" s="11">
        <f>IF(Construction!M8&lt;=Time!$F$10,L72*Inputs!$F$102/100*Construction!M11/365,0)</f>
        <v/>
      </c>
      <c r="N71" s="11">
        <f>IF(Construction!N8&lt;=Time!$F$10,M72*Inputs!$F$102/100*Construction!N11/365,0)</f>
        <v/>
      </c>
      <c r="O71" s="11">
        <f>IF(Construction!O8&lt;=Time!$F$10,N72*Inputs!$F$102/100*Construction!O11/365,0)</f>
        <v/>
      </c>
      <c r="P71" s="11">
        <f>IF(Construction!P8&lt;=Time!$F$10,O72*Inputs!$F$102/100*Construction!P11/365,0)</f>
        <v/>
      </c>
      <c r="Q71" s="11">
        <f>IF(Construction!Q8&lt;=Time!$F$10,P72*Inputs!$F$102/100*Construction!Q11/365,0)</f>
        <v/>
      </c>
      <c r="R71" s="11">
        <f>IF(Construction!R8&lt;=Time!$F$10,Q72*Inputs!$F$102/100*Construction!R11/365,0)</f>
        <v/>
      </c>
      <c r="S71" s="11">
        <f>IF(Construction!S8&lt;=Time!$F$10,R72*Inputs!$F$102/100*Construction!S11/365,0)</f>
        <v/>
      </c>
      <c r="T71" s="11">
        <f>IF(Construction!T8&lt;=Time!$F$10,S72*Inputs!$F$102/100*Construction!T11/365,0)</f>
        <v/>
      </c>
      <c r="U71" s="11">
        <f>IF(Construction!U8&lt;=Time!$F$10,T72*Inputs!$F$102/100*Construction!U11/365,0)</f>
        <v/>
      </c>
      <c r="V71" s="11">
        <f>IF(Construction!V8&lt;=Time!$F$10,U72*Inputs!$F$102/100*Construction!V11/365,0)</f>
        <v/>
      </c>
      <c r="W71" s="11">
        <f>IF(Construction!W8&lt;=Time!$F$10,V72*Inputs!$F$102/100*Construction!W11/365,0)</f>
        <v/>
      </c>
      <c r="X71" s="11">
        <f>IF(Construction!X8&lt;=Time!$F$10,W72*Inputs!$F$102/100*Construction!X11/365,0)</f>
        <v/>
      </c>
      <c r="Y71" s="11">
        <f>IF(Construction!Y8&lt;=Time!$F$10,X72*Inputs!$F$102/100*Construction!Y11/365,0)</f>
        <v/>
      </c>
      <c r="Z71" s="11">
        <f>IF(Construction!Z8&lt;=Time!$F$10,Y72*Inputs!$F$102/100*Construction!Z11/365,0)</f>
        <v/>
      </c>
      <c r="AA71" s="11">
        <f>IF(Construction!AA8&lt;=Time!$F$10,Z72*Inputs!$F$102/100*Construction!AA11/365,0)</f>
        <v/>
      </c>
      <c r="AB71" s="11">
        <f>IF(Construction!AB8&lt;=Time!$F$10,AA72*Inputs!$F$102/100*Construction!AB11/365,0)</f>
        <v/>
      </c>
      <c r="AC71" s="11">
        <f>IF(Construction!AC8&lt;=Time!$F$10,AB72*Inputs!$F$102/100*Construction!AC11/365,0)</f>
        <v/>
      </c>
      <c r="AD71" s="11">
        <f>IF(Construction!AD8&lt;=Time!$F$10,AC72*Inputs!$F$102/100*Construction!AD11/365,0)</f>
        <v/>
      </c>
      <c r="AE71" s="11">
        <f>IF(Construction!AE8&lt;=Time!$F$10,AD72*Inputs!$F$102/100*Construction!AE11/365,0)</f>
        <v/>
      </c>
      <c r="AF71" s="11">
        <f>IF(Construction!AF8&lt;=Time!$F$10,AE72*Inputs!$F$102/100*Construction!AF11/365,0)</f>
        <v/>
      </c>
      <c r="AG71" s="11">
        <f>IF(Construction!AG8&lt;=Time!$F$10,AF72*Inputs!$F$102/100*Construction!AG11/365,0)</f>
        <v/>
      </c>
      <c r="AH71" s="11">
        <f>IF(Construction!AH8&lt;=Time!$F$10,AG72*Inputs!$F$102/100*Construction!AH11/365,0)</f>
        <v/>
      </c>
      <c r="AI71" s="11">
        <f>IF(Construction!AI8&lt;=Time!$F$10,AH72*Inputs!$F$102/100*Construction!AI11/365,0)</f>
        <v/>
      </c>
      <c r="AJ71" s="11">
        <f>IF(Construction!AJ8&lt;=Time!$F$10,AI72*Inputs!$F$102/100*Construction!AJ11/365,0)</f>
        <v/>
      </c>
      <c r="AK71" s="11">
        <f>IF(Construction!AK8&lt;=Time!$F$10,AJ72*Inputs!$F$102/100*Construction!AK11/365,0)</f>
        <v/>
      </c>
      <c r="AL71" s="11">
        <f>IF(Construction!AL8&lt;=Time!$F$10,AK72*Inputs!$F$102/100*Construction!AL11/365,0)</f>
        <v/>
      </c>
      <c r="AM71" s="11">
        <f>IF(Construction!AM8&lt;=Time!$F$10,AL72*Inputs!$F$102/100*Construction!AM11/365,0)</f>
        <v/>
      </c>
      <c r="AN71" s="11">
        <f>IF(Construction!AN8&lt;=Time!$F$10,AM72*Inputs!$F$102/100*Construction!AN11/365,0)</f>
        <v/>
      </c>
      <c r="AO71" s="11">
        <f>IF(Construction!AO8&lt;=Time!$F$10,AN72*Inputs!$F$102/100*Construction!AO11/365,0)</f>
        <v/>
      </c>
      <c r="AP71" s="11">
        <f>IF(Construction!AP8&lt;=Time!$F$10,AO72*Inputs!$F$102/100*Construction!AP11/365,0)</f>
        <v/>
      </c>
      <c r="AQ71" s="11">
        <f>IF(Construction!AQ8&lt;=Time!$F$10,AP72*Inputs!$F$102/100*Construction!AQ11/365,0)</f>
        <v/>
      </c>
      <c r="AR71" s="11">
        <f>IF(Construction!AR8&lt;=Time!$F$10,AQ72*Inputs!$F$102/100*Construction!AR11/365,0)</f>
        <v/>
      </c>
      <c r="AS71" s="11">
        <f>IF(Construction!AS8&lt;=Time!$F$10,AR72*Inputs!$F$102/100*Construction!AS11/365,0)</f>
        <v/>
      </c>
      <c r="AT71" s="11">
        <f>IF(Construction!AT8&lt;=Time!$F$10,AS72*Inputs!$F$102/100*Construction!AT11/365,0)</f>
        <v/>
      </c>
      <c r="AU71" s="11">
        <f>IF(Construction!AU8&lt;=Time!$F$10,AT72*Inputs!$F$102/100*Construction!AU11/365,0)</f>
        <v/>
      </c>
      <c r="AV71" s="11">
        <f>IF(Construction!AV8&lt;=Time!$F$10,AU72*Inputs!$F$102/100*Construction!AV11/365,0)</f>
        <v/>
      </c>
      <c r="AW71" s="11">
        <f>IF(Construction!AW8&lt;=Time!$F$10,AV72*Inputs!$F$102/100*Construction!AW11/365,0)</f>
        <v/>
      </c>
      <c r="AX71" s="11">
        <f>IF(Construction!AX8&lt;=Time!$F$10,AW72*Inputs!$F$102/100*Construction!AX11/365,0)</f>
        <v/>
      </c>
      <c r="AY71" s="11">
        <f>IF(Construction!AY8&lt;=Time!$F$10,AX72*Inputs!$F$102/100*Construction!AY11/365,0)</f>
        <v/>
      </c>
      <c r="AZ71" s="11">
        <f>IF(Construction!AZ8&lt;=Time!$F$10,AY72*Inputs!$F$102/100*Construction!AZ11/365,0)</f>
        <v/>
      </c>
      <c r="BA71" s="11">
        <f>IF(Construction!BA8&lt;=Time!$F$10,AZ72*Inputs!$F$102/100*Construction!BA11/365,0)</f>
        <v/>
      </c>
      <c r="BB71" s="11">
        <f>IF(Construction!BB8&lt;=Time!$F$10,BA72*Inputs!$F$102/100*Construction!BB11/365,0)</f>
        <v/>
      </c>
      <c r="BC71" s="11">
        <f>IF(Construction!BC8&lt;=Time!$F$10,BB72*Inputs!$F$102/100*Construction!BC11/365,0)</f>
        <v/>
      </c>
      <c r="BD71" s="11">
        <f>IF(Construction!BD8&lt;=Time!$F$10,BC72*Inputs!$F$102/100*Construction!BD11/365,0)</f>
        <v/>
      </c>
      <c r="BE71" s="11">
        <f>IF(Construction!BE8&lt;=Time!$F$10,BD72*Inputs!$F$102/100*Construction!BE11/365,0)</f>
        <v/>
      </c>
      <c r="BF71" s="11">
        <f>IF(Construction!BF8&lt;=Time!$F$10,BE72*Inputs!$F$102/100*Construction!BF11/365,0)</f>
        <v/>
      </c>
      <c r="BG71" s="11">
        <f>IF(Construction!BG8&lt;=Time!$F$10,BF72*Inputs!$F$102/100*Construction!BG11/365,0)</f>
        <v/>
      </c>
      <c r="BH71" s="11">
        <f>IF(Construction!BH8&lt;=Time!$F$10,BG72*Inputs!$F$102/100*Construction!BH11/365,0)</f>
        <v/>
      </c>
      <c r="BI71" s="11">
        <f>IF(Construction!BI8&lt;=Time!$F$10,BH72*Inputs!$F$102/100*Construction!BI11/365,0)</f>
        <v/>
      </c>
      <c r="BJ71" s="11">
        <f>IF(Construction!BJ8&lt;=Time!$F$10,BI72*Inputs!$F$102/100*Construction!BJ11/365,0)</f>
        <v/>
      </c>
    </row>
    <row r="72">
      <c r="D72" t="inlineStr">
        <is>
          <t>Shareholder loan balance</t>
        </is>
      </c>
      <c r="E72" t="inlineStr">
        <is>
          <t>USD m</t>
        </is>
      </c>
      <c r="J72" s="11">
        <f>0+J71+J70</f>
        <v/>
      </c>
      <c r="K72" s="11">
        <f>J72+K71+K70</f>
        <v/>
      </c>
      <c r="L72" s="11">
        <f>K72+L71+L70</f>
        <v/>
      </c>
      <c r="M72" s="11">
        <f>L72+M71+M70</f>
        <v/>
      </c>
      <c r="N72" s="11">
        <f>M72+N71+N70</f>
        <v/>
      </c>
      <c r="O72" s="11">
        <f>N72+O71+O70</f>
        <v/>
      </c>
      <c r="P72" s="11">
        <f>O72+P71+P70</f>
        <v/>
      </c>
      <c r="Q72" s="11">
        <f>P72+Q71+Q70</f>
        <v/>
      </c>
      <c r="R72" s="11">
        <f>Q72+R71+R70</f>
        <v/>
      </c>
      <c r="S72" s="11">
        <f>R72+S71+S70</f>
        <v/>
      </c>
      <c r="T72" s="11">
        <f>S72+T71+T70</f>
        <v/>
      </c>
      <c r="U72" s="11">
        <f>T72+U71+U70</f>
        <v/>
      </c>
      <c r="V72" s="11">
        <f>U72+V71+V70</f>
        <v/>
      </c>
      <c r="W72" s="11">
        <f>V72+W71+W70</f>
        <v/>
      </c>
      <c r="X72" s="11">
        <f>W72+X71+X70</f>
        <v/>
      </c>
      <c r="Y72" s="11">
        <f>X72+Y71+Y70</f>
        <v/>
      </c>
      <c r="Z72" s="11">
        <f>Y72+Z71+Z70</f>
        <v/>
      </c>
      <c r="AA72" s="11">
        <f>Z72+AA71+AA70</f>
        <v/>
      </c>
      <c r="AB72" s="11">
        <f>AA72+AB71+AB70</f>
        <v/>
      </c>
      <c r="AC72" s="11">
        <f>AB72+AC71+AC70</f>
        <v/>
      </c>
      <c r="AD72" s="11">
        <f>AC72+AD71+AD70</f>
        <v/>
      </c>
      <c r="AE72" s="11">
        <f>AD72+AE71+AE70</f>
        <v/>
      </c>
      <c r="AF72" s="11">
        <f>AE72+AF71+AF70</f>
        <v/>
      </c>
      <c r="AG72" s="11">
        <f>AF72+AG71+AG70</f>
        <v/>
      </c>
      <c r="AH72" s="11">
        <f>AG72+AH71+AH70</f>
        <v/>
      </c>
      <c r="AI72" s="11">
        <f>AH72+AI71+AI70</f>
        <v/>
      </c>
      <c r="AJ72" s="11">
        <f>AI72+AJ71+AJ70</f>
        <v/>
      </c>
      <c r="AK72" s="11">
        <f>AJ72+AK71+AK70</f>
        <v/>
      </c>
      <c r="AL72" s="11">
        <f>AK72+AL71+AL70</f>
        <v/>
      </c>
      <c r="AM72" s="11">
        <f>AL72+AM71+AM70</f>
        <v/>
      </c>
      <c r="AN72" s="11">
        <f>AM72+AN71+AN70</f>
        <v/>
      </c>
      <c r="AO72" s="11">
        <f>AN72+AO71+AO70</f>
        <v/>
      </c>
      <c r="AP72" s="11">
        <f>AO72+AP71+AP70</f>
        <v/>
      </c>
      <c r="AQ72" s="11">
        <f>AP72+AQ71+AQ70</f>
        <v/>
      </c>
      <c r="AR72" s="11">
        <f>AQ72+AR71+AR70</f>
        <v/>
      </c>
      <c r="AS72" s="11">
        <f>AR72+AS71+AS70</f>
        <v/>
      </c>
      <c r="AT72" s="11">
        <f>AS72+AT71+AT70</f>
        <v/>
      </c>
      <c r="AU72" s="11">
        <f>AT72+AU71+AU70</f>
        <v/>
      </c>
      <c r="AV72" s="11">
        <f>AU72+AV71+AV70</f>
        <v/>
      </c>
      <c r="AW72" s="11">
        <f>AV72+AW71+AW70</f>
        <v/>
      </c>
      <c r="AX72" s="11">
        <f>AW72+AX71+AX70</f>
        <v/>
      </c>
      <c r="AY72" s="11">
        <f>AX72+AY71+AY70</f>
        <v/>
      </c>
      <c r="AZ72" s="11">
        <f>AY72+AZ71+AZ70</f>
        <v/>
      </c>
      <c r="BA72" s="11">
        <f>AZ72+BA71+BA70</f>
        <v/>
      </c>
      <c r="BB72" s="11">
        <f>BA72+BB71+BB70</f>
        <v/>
      </c>
      <c r="BC72" s="11">
        <f>BB72+BC71+BC70</f>
        <v/>
      </c>
      <c r="BD72" s="11">
        <f>BC72+BD71+BD70</f>
        <v/>
      </c>
      <c r="BE72" s="11">
        <f>BD72+BE71+BE70</f>
        <v/>
      </c>
      <c r="BF72" s="11">
        <f>BE72+BF71+BF70</f>
        <v/>
      </c>
      <c r="BG72" s="11">
        <f>BF72+BG71+BG70</f>
        <v/>
      </c>
      <c r="BH72" s="11">
        <f>BG72+BH71+BH70</f>
        <v/>
      </c>
      <c r="BI72" s="11">
        <f>BH72+BI71+BI70</f>
        <v/>
      </c>
      <c r="BJ72" s="11">
        <f>BI72+BJ71+BJ70</f>
        <v/>
      </c>
    </row>
    <row r="73">
      <c r="D73" t="inlineStr">
        <is>
          <t>Total debt drawdowns (incl. standby)</t>
        </is>
      </c>
      <c r="E73" t="inlineStr">
        <is>
          <t>USD m</t>
        </is>
      </c>
      <c r="G73" s="11">
        <f>SUM(J73:BJ73)</f>
        <v/>
      </c>
      <c r="J73" s="11">
        <f>J47+J55</f>
        <v/>
      </c>
      <c r="K73" s="11">
        <f>K47+K55</f>
        <v/>
      </c>
      <c r="L73" s="11">
        <f>L47+L55</f>
        <v/>
      </c>
      <c r="M73" s="11">
        <f>M47+M55</f>
        <v/>
      </c>
      <c r="N73" s="11">
        <f>N47+N55</f>
        <v/>
      </c>
      <c r="O73" s="11">
        <f>O47+O55</f>
        <v/>
      </c>
      <c r="P73" s="11">
        <f>P47+P55</f>
        <v/>
      </c>
      <c r="Q73" s="11">
        <f>Q47+Q55</f>
        <v/>
      </c>
      <c r="R73" s="11">
        <f>R47+R55</f>
        <v/>
      </c>
      <c r="S73" s="11">
        <f>S47+S55</f>
        <v/>
      </c>
      <c r="T73" s="11">
        <f>T47+T55</f>
        <v/>
      </c>
      <c r="U73" s="11">
        <f>U47+U55</f>
        <v/>
      </c>
      <c r="V73" s="11">
        <f>V47+V55</f>
        <v/>
      </c>
      <c r="W73" s="11">
        <f>W47+W55</f>
        <v/>
      </c>
      <c r="X73" s="11">
        <f>X47+X55</f>
        <v/>
      </c>
      <c r="Y73" s="11">
        <f>Y47+Y55</f>
        <v/>
      </c>
      <c r="Z73" s="11">
        <f>Z47+Z55</f>
        <v/>
      </c>
      <c r="AA73" s="11">
        <f>AA47+AA55</f>
        <v/>
      </c>
      <c r="AB73" s="11">
        <f>AB47+AB55</f>
        <v/>
      </c>
      <c r="AC73" s="11">
        <f>AC47+AC55</f>
        <v/>
      </c>
      <c r="AD73" s="11">
        <f>AD47+AD55</f>
        <v/>
      </c>
      <c r="AE73" s="11">
        <f>AE47+AE55</f>
        <v/>
      </c>
      <c r="AF73" s="11">
        <f>AF47+AF55</f>
        <v/>
      </c>
      <c r="AG73" s="11">
        <f>AG47+AG55</f>
        <v/>
      </c>
      <c r="AH73" s="11">
        <f>AH47+AH55</f>
        <v/>
      </c>
      <c r="AI73" s="11">
        <f>AI47+AI55</f>
        <v/>
      </c>
      <c r="AJ73" s="11">
        <f>AJ47+AJ55</f>
        <v/>
      </c>
      <c r="AK73" s="11">
        <f>AK47+AK55</f>
        <v/>
      </c>
      <c r="AL73" s="11">
        <f>AL47+AL55</f>
        <v/>
      </c>
      <c r="AM73" s="11">
        <f>AM47+AM55</f>
        <v/>
      </c>
      <c r="AN73" s="11">
        <f>AN47+AN55</f>
        <v/>
      </c>
      <c r="AO73" s="11">
        <f>AO47+AO55</f>
        <v/>
      </c>
      <c r="AP73" s="11">
        <f>AP47+AP55</f>
        <v/>
      </c>
      <c r="AQ73" s="11">
        <f>AQ47+AQ55</f>
        <v/>
      </c>
      <c r="AR73" s="11">
        <f>AR47+AR55</f>
        <v/>
      </c>
      <c r="AS73" s="11">
        <f>AS47+AS55</f>
        <v/>
      </c>
      <c r="AT73" s="11">
        <f>AT47+AT55</f>
        <v/>
      </c>
      <c r="AU73" s="11">
        <f>AU47+AU55</f>
        <v/>
      </c>
      <c r="AV73" s="11">
        <f>AV47+AV55</f>
        <v/>
      </c>
      <c r="AW73" s="11">
        <f>AW47+AW55</f>
        <v/>
      </c>
      <c r="AX73" s="11">
        <f>AX47+AX55</f>
        <v/>
      </c>
      <c r="AY73" s="11">
        <f>AY47+AY55</f>
        <v/>
      </c>
      <c r="AZ73" s="11">
        <f>AZ47+AZ55</f>
        <v/>
      </c>
      <c r="BA73" s="11">
        <f>BA47+BA55</f>
        <v/>
      </c>
      <c r="BB73" s="11">
        <f>BB47+BB55</f>
        <v/>
      </c>
      <c r="BC73" s="11">
        <f>BC47+BC55</f>
        <v/>
      </c>
      <c r="BD73" s="11">
        <f>BD47+BD55</f>
        <v/>
      </c>
      <c r="BE73" s="11">
        <f>BE47+BE55</f>
        <v/>
      </c>
      <c r="BF73" s="11">
        <f>BF47+BF55</f>
        <v/>
      </c>
      <c r="BG73" s="11">
        <f>BG47+BG55</f>
        <v/>
      </c>
      <c r="BH73" s="11">
        <f>BH47+BH55</f>
        <v/>
      </c>
      <c r="BI73" s="11">
        <f>BI47+BI55</f>
        <v/>
      </c>
      <c r="BJ73" s="11">
        <f>BJ47+BJ55</f>
        <v/>
      </c>
    </row>
    <row r="74">
      <c r="D74" t="inlineStr">
        <is>
          <t>Financing costs (IDC, fees, premium, VAT interest)</t>
        </is>
      </c>
      <c r="E74" t="inlineStr">
        <is>
          <t>USD m</t>
        </is>
      </c>
      <c r="G74" s="11">
        <f>SUM(J74:BJ74)</f>
        <v/>
      </c>
      <c r="J74" s="11">
        <f>J33+J34+J35+J36+J37+J38+J39+J40+J41+J42+J43+J48+Construction!J14*Construction!J36</f>
        <v/>
      </c>
      <c r="K74" s="11">
        <f>K33+K34+K35+K36+K37+K38+K39+K40+K41+K42+K43+K48+Construction!K14*Construction!K36</f>
        <v/>
      </c>
      <c r="L74" s="11">
        <f>L33+L34+L35+L36+L37+L38+L39+L40+L41+L42+L43+L48+Construction!L14*Construction!L36</f>
        <v/>
      </c>
      <c r="M74" s="11">
        <f>M33+M34+M35+M36+M37+M38+M39+M40+M41+M42+M43+M48+Construction!M14*Construction!M36</f>
        <v/>
      </c>
      <c r="N74" s="11">
        <f>N33+N34+N35+N36+N37+N38+N39+N40+N41+N42+N43+N48+Construction!N14*Construction!N36</f>
        <v/>
      </c>
      <c r="O74" s="11">
        <f>O33+O34+O35+O36+O37+O38+O39+O40+O41+O42+O43+O48+Construction!O14*Construction!O36</f>
        <v/>
      </c>
      <c r="P74" s="11">
        <f>P33+P34+P35+P36+P37+P38+P39+P40+P41+P42+P43+P48+Construction!P14*Construction!P36</f>
        <v/>
      </c>
      <c r="Q74" s="11">
        <f>Q33+Q34+Q35+Q36+Q37+Q38+Q39+Q40+Q41+Q42+Q43+Q48+Construction!Q14*Construction!Q36</f>
        <v/>
      </c>
      <c r="R74" s="11">
        <f>R33+R34+R35+R36+R37+R38+R39+R40+R41+R42+R43+R48+Construction!R14*Construction!R36</f>
        <v/>
      </c>
      <c r="S74" s="11">
        <f>S33+S34+S35+S36+S37+S38+S39+S40+S41+S42+S43+S48+Construction!S14*Construction!S36</f>
        <v/>
      </c>
      <c r="T74" s="11">
        <f>T33+T34+T35+T36+T37+T38+T39+T40+T41+T42+T43+T48+Construction!T14*Construction!T36</f>
        <v/>
      </c>
      <c r="U74" s="11">
        <f>U33+U34+U35+U36+U37+U38+U39+U40+U41+U42+U43+U48+Construction!U14*Construction!U36</f>
        <v/>
      </c>
      <c r="V74" s="11">
        <f>V33+V34+V35+V36+V37+V38+V39+V40+V41+V42+V43+V48+Construction!V14*Construction!V36</f>
        <v/>
      </c>
      <c r="W74" s="11">
        <f>W33+W34+W35+W36+W37+W38+W39+W40+W41+W42+W43+W48+Construction!W14*Construction!W36</f>
        <v/>
      </c>
      <c r="X74" s="11">
        <f>X33+X34+X35+X36+X37+X38+X39+X40+X41+X42+X43+X48+Construction!X14*Construction!X36</f>
        <v/>
      </c>
      <c r="Y74" s="11">
        <f>Y33+Y34+Y35+Y36+Y37+Y38+Y39+Y40+Y41+Y42+Y43+Y48+Construction!Y14*Construction!Y36</f>
        <v/>
      </c>
      <c r="Z74" s="11">
        <f>Z33+Z34+Z35+Z36+Z37+Z38+Z39+Z40+Z41+Z42+Z43+Z48+Construction!Z14*Construction!Z36</f>
        <v/>
      </c>
      <c r="AA74" s="11">
        <f>AA33+AA34+AA35+AA36+AA37+AA38+AA39+AA40+AA41+AA42+AA43+AA48+Construction!AA14*Construction!AA36</f>
        <v/>
      </c>
      <c r="AB74" s="11">
        <f>AB33+AB34+AB35+AB36+AB37+AB38+AB39+AB40+AB41+AB42+AB43+AB48+Construction!AB14*Construction!AB36</f>
        <v/>
      </c>
      <c r="AC74" s="11">
        <f>AC33+AC34+AC35+AC36+AC37+AC38+AC39+AC40+AC41+AC42+AC43+AC48+Construction!AC14*Construction!AC36</f>
        <v/>
      </c>
      <c r="AD74" s="11">
        <f>AD33+AD34+AD35+AD36+AD37+AD38+AD39+AD40+AD41+AD42+AD43+AD48+Construction!AD14*Construction!AD36</f>
        <v/>
      </c>
      <c r="AE74" s="11">
        <f>AE33+AE34+AE35+AE36+AE37+AE38+AE39+AE40+AE41+AE42+AE43+AE48+Construction!AE14*Construction!AE36</f>
        <v/>
      </c>
      <c r="AF74" s="11">
        <f>AF33+AF34+AF35+AF36+AF37+AF38+AF39+AF40+AF41+AF42+AF43+AF48+Construction!AF14*Construction!AF36</f>
        <v/>
      </c>
      <c r="AG74" s="11">
        <f>AG33+AG34+AG35+AG36+AG37+AG38+AG39+AG40+AG41+AG42+AG43+AG48+Construction!AG14*Construction!AG36</f>
        <v/>
      </c>
      <c r="AH74" s="11">
        <f>AH33+AH34+AH35+AH36+AH37+AH38+AH39+AH40+AH41+AH42+AH43+AH48+Construction!AH14*Construction!AH36</f>
        <v/>
      </c>
      <c r="AI74" s="11">
        <f>AI33+AI34+AI35+AI36+AI37+AI38+AI39+AI40+AI41+AI42+AI43+AI48+Construction!AI14*Construction!AI36</f>
        <v/>
      </c>
      <c r="AJ74" s="11">
        <f>AJ33+AJ34+AJ35+AJ36+AJ37+AJ38+AJ39+AJ40+AJ41+AJ42+AJ43+AJ48+Construction!AJ14*Construction!AJ36</f>
        <v/>
      </c>
      <c r="AK74" s="11">
        <f>AK33+AK34+AK35+AK36+AK37+AK38+AK39+AK40+AK41+AK42+AK43+AK48+Construction!AK14*Construction!AK36</f>
        <v/>
      </c>
      <c r="AL74" s="11">
        <f>AL33+AL34+AL35+AL36+AL37+AL38+AL39+AL40+AL41+AL42+AL43+AL48+Construction!AL14*Construction!AL36</f>
        <v/>
      </c>
      <c r="AM74" s="11">
        <f>AM33+AM34+AM35+AM36+AM37+AM38+AM39+AM40+AM41+AM42+AM43+AM48+Construction!AM14*Construction!AM36</f>
        <v/>
      </c>
      <c r="AN74" s="11">
        <f>AN33+AN34+AN35+AN36+AN37+AN38+AN39+AN40+AN41+AN42+AN43+AN48+Construction!AN14*Construction!AN36</f>
        <v/>
      </c>
      <c r="AO74" s="11">
        <f>AO33+AO34+AO35+AO36+AO37+AO38+AO39+AO40+AO41+AO42+AO43+AO48+Construction!AO14*Construction!AO36</f>
        <v/>
      </c>
      <c r="AP74" s="11">
        <f>AP33+AP34+AP35+AP36+AP37+AP38+AP39+AP40+AP41+AP42+AP43+AP48+Construction!AP14*Construction!AP36</f>
        <v/>
      </c>
      <c r="AQ74" s="11">
        <f>AQ33+AQ34+AQ35+AQ36+AQ37+AQ38+AQ39+AQ40+AQ41+AQ42+AQ43+AQ48+Construction!AQ14*Construction!AQ36</f>
        <v/>
      </c>
      <c r="AR74" s="11">
        <f>AR33+AR34+AR35+AR36+AR37+AR38+AR39+AR40+AR41+AR42+AR43+AR48+Construction!AR14*Construction!AR36</f>
        <v/>
      </c>
      <c r="AS74" s="11">
        <f>AS33+AS34+AS35+AS36+AS37+AS38+AS39+AS40+AS41+AS42+AS43+AS48+Construction!AS14*Construction!AS36</f>
        <v/>
      </c>
      <c r="AT74" s="11">
        <f>AT33+AT34+AT35+AT36+AT37+AT38+AT39+AT40+AT41+AT42+AT43+AT48+Construction!AT14*Construction!AT36</f>
        <v/>
      </c>
      <c r="AU74" s="11">
        <f>AU33+AU34+AU35+AU36+AU37+AU38+AU39+AU40+AU41+AU42+AU43+AU48+Construction!AU14*Construction!AU36</f>
        <v/>
      </c>
      <c r="AV74" s="11">
        <f>AV33+AV34+AV35+AV36+AV37+AV38+AV39+AV40+AV41+AV42+AV43+AV48+Construction!AV14*Construction!AV36</f>
        <v/>
      </c>
      <c r="AW74" s="11">
        <f>AW33+AW34+AW35+AW36+AW37+AW38+AW39+AW40+AW41+AW42+AW43+AW48+Construction!AW14*Construction!AW36</f>
        <v/>
      </c>
      <c r="AX74" s="11">
        <f>AX33+AX34+AX35+AX36+AX37+AX38+AX39+AX40+AX41+AX42+AX43+AX48+Construction!AX14*Construction!AX36</f>
        <v/>
      </c>
      <c r="AY74" s="11">
        <f>AY33+AY34+AY35+AY36+AY37+AY38+AY39+AY40+AY41+AY42+AY43+AY48+Construction!AY14*Construction!AY36</f>
        <v/>
      </c>
      <c r="AZ74" s="11">
        <f>AZ33+AZ34+AZ35+AZ36+AZ37+AZ38+AZ39+AZ40+AZ41+AZ42+AZ43+AZ48+Construction!AZ14*Construction!AZ36</f>
        <v/>
      </c>
      <c r="BA74" s="11">
        <f>BA33+BA34+BA35+BA36+BA37+BA38+BA39+BA40+BA41+BA42+BA43+BA48+Construction!BA14*Construction!BA36</f>
        <v/>
      </c>
      <c r="BB74" s="11">
        <f>BB33+BB34+BB35+BB36+BB37+BB38+BB39+BB40+BB41+BB42+BB43+BB48+Construction!BB14*Construction!BB36</f>
        <v/>
      </c>
      <c r="BC74" s="11">
        <f>BC33+BC34+BC35+BC36+BC37+BC38+BC39+BC40+BC41+BC42+BC43+BC48+Construction!BC14*Construction!BC36</f>
        <v/>
      </c>
      <c r="BD74" s="11">
        <f>BD33+BD34+BD35+BD36+BD37+BD38+BD39+BD40+BD41+BD42+BD43+BD48+Construction!BD14*Construction!BD36</f>
        <v/>
      </c>
      <c r="BE74" s="11">
        <f>BE33+BE34+BE35+BE36+BE37+BE38+BE39+BE40+BE41+BE42+BE43+BE48+Construction!BE14*Construction!BE36</f>
        <v/>
      </c>
      <c r="BF74" s="11">
        <f>BF33+BF34+BF35+BF36+BF37+BF38+BF39+BF40+BF41+BF42+BF43+BF48+Construction!BF14*Construction!BF36</f>
        <v/>
      </c>
      <c r="BG74" s="11">
        <f>BG33+BG34+BG35+BG36+BG37+BG38+BG39+BG40+BG41+BG42+BG43+BG48+Construction!BG14*Construction!BG36</f>
        <v/>
      </c>
      <c r="BH74" s="11">
        <f>BH33+BH34+BH35+BH36+BH37+BH38+BH39+BH40+BH41+BH42+BH43+BH48+Construction!BH14*Construction!BH36</f>
        <v/>
      </c>
      <c r="BI74" s="11">
        <f>BI33+BI34+BI35+BI36+BI37+BI38+BI39+BI40+BI41+BI42+BI43+BI48+Construction!BI14*Construction!BI36</f>
        <v/>
      </c>
      <c r="BJ74" s="11">
        <f>BJ33+BJ34+BJ35+BJ36+BJ37+BJ38+BJ39+BJ40+BJ41+BJ42+BJ43+BJ48+Construction!BJ14*Construction!BJ36</f>
        <v/>
      </c>
    </row>
    <row r="75">
      <c r="D75" t="inlineStr">
        <is>
          <t>Total funding requirement (sum of uses)</t>
        </is>
      </c>
      <c r="E75" t="inlineStr">
        <is>
          <t>USD m</t>
        </is>
      </c>
      <c r="F75" s="15">
        <f>SUM(Funding!$J$49:$BJ$49)</f>
        <v/>
      </c>
    </row>
    <row r="76">
      <c r="D76" t="inlineStr">
        <is>
          <t>Capitalized cost (book and tax)</t>
        </is>
      </c>
      <c r="E76" t="inlineStr">
        <is>
          <t>USD m</t>
        </is>
      </c>
      <c r="F76" s="15">
        <f>SUM(Funding!$J$49:$BJ$49)-SUM(Funding!$J$44:$BJ$44)-SUM(Construction!$J$28:$BJ$28)+SUM(Funding!$J$71:$BJ$71)-SUM(Funding!$J$52:$BJ$52)-Inputs!$F$47*Inputs!$F$188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N143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Debt: tranches, scheduled repayment, waiver, refinancing, swap, sculpting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Rates</t>
        </is>
      </c>
    </row>
    <row r="8">
      <c r="D8" t="inlineStr">
        <is>
          <t>Commercial margin (step-ups)</t>
        </is>
      </c>
      <c r="E8" t="inlineStr">
        <is>
          <t>%</t>
        </is>
      </c>
      <c r="J8" s="11">
        <f>IF(Time!J21&lt;=2025,Inputs!$F$80,IF(Time!J21&lt;=2029,Inputs!$F$81,Inputs!$F$82))</f>
        <v/>
      </c>
      <c r="K8" s="11">
        <f>IF(Time!K21&lt;=2025,Inputs!$F$80,IF(Time!K21&lt;=2029,Inputs!$F$81,Inputs!$F$82))</f>
        <v/>
      </c>
      <c r="L8" s="11">
        <f>IF(Time!L21&lt;=2025,Inputs!$F$80,IF(Time!L21&lt;=2029,Inputs!$F$81,Inputs!$F$82))</f>
        <v/>
      </c>
      <c r="M8" s="11">
        <f>IF(Time!M21&lt;=2025,Inputs!$F$80,IF(Time!M21&lt;=2029,Inputs!$F$81,Inputs!$F$82))</f>
        <v/>
      </c>
      <c r="N8" s="11">
        <f>IF(Time!N21&lt;=2025,Inputs!$F$80,IF(Time!N21&lt;=2029,Inputs!$F$81,Inputs!$F$82))</f>
        <v/>
      </c>
      <c r="O8" s="11">
        <f>IF(Time!O21&lt;=2025,Inputs!$F$80,IF(Time!O21&lt;=2029,Inputs!$F$81,Inputs!$F$82))</f>
        <v/>
      </c>
      <c r="P8" s="11">
        <f>IF(Time!P21&lt;=2025,Inputs!$F$80,IF(Time!P21&lt;=2029,Inputs!$F$81,Inputs!$F$82))</f>
        <v/>
      </c>
      <c r="Q8" s="11">
        <f>IF(Time!Q21&lt;=2025,Inputs!$F$80,IF(Time!Q21&lt;=2029,Inputs!$F$81,Inputs!$F$82))</f>
        <v/>
      </c>
      <c r="R8" s="11">
        <f>IF(Time!R21&lt;=2025,Inputs!$F$80,IF(Time!R21&lt;=2029,Inputs!$F$81,Inputs!$F$82))</f>
        <v/>
      </c>
      <c r="S8" s="11">
        <f>IF(Time!S21&lt;=2025,Inputs!$F$80,IF(Time!S21&lt;=2029,Inputs!$F$81,Inputs!$F$82))</f>
        <v/>
      </c>
      <c r="T8" s="11">
        <f>IF(Time!T21&lt;=2025,Inputs!$F$80,IF(Time!T21&lt;=2029,Inputs!$F$81,Inputs!$F$82))</f>
        <v/>
      </c>
      <c r="U8" s="11">
        <f>IF(Time!U21&lt;=2025,Inputs!$F$80,IF(Time!U21&lt;=2029,Inputs!$F$81,Inputs!$F$82))</f>
        <v/>
      </c>
      <c r="V8" s="11">
        <f>IF(Time!V21&lt;=2025,Inputs!$F$80,IF(Time!V21&lt;=2029,Inputs!$F$81,Inputs!$F$82))</f>
        <v/>
      </c>
      <c r="W8" s="11">
        <f>IF(Time!W21&lt;=2025,Inputs!$F$80,IF(Time!W21&lt;=2029,Inputs!$F$81,Inputs!$F$82))</f>
        <v/>
      </c>
      <c r="X8" s="11">
        <f>IF(Time!X21&lt;=2025,Inputs!$F$80,IF(Time!X21&lt;=2029,Inputs!$F$81,Inputs!$F$82))</f>
        <v/>
      </c>
      <c r="Y8" s="11">
        <f>IF(Time!Y21&lt;=2025,Inputs!$F$80,IF(Time!Y21&lt;=2029,Inputs!$F$81,Inputs!$F$82))</f>
        <v/>
      </c>
      <c r="Z8" s="11">
        <f>IF(Time!Z21&lt;=2025,Inputs!$F$80,IF(Time!Z21&lt;=2029,Inputs!$F$81,Inputs!$F$82))</f>
        <v/>
      </c>
      <c r="AA8" s="11">
        <f>IF(Time!AA21&lt;=2025,Inputs!$F$80,IF(Time!AA21&lt;=2029,Inputs!$F$81,Inputs!$F$82))</f>
        <v/>
      </c>
      <c r="AB8" s="11">
        <f>IF(Time!AB21&lt;=2025,Inputs!$F$80,IF(Time!AB21&lt;=2029,Inputs!$F$81,Inputs!$F$82))</f>
        <v/>
      </c>
      <c r="AC8" s="11">
        <f>IF(Time!AC21&lt;=2025,Inputs!$F$80,IF(Time!AC21&lt;=2029,Inputs!$F$81,Inputs!$F$82))</f>
        <v/>
      </c>
      <c r="AD8" s="11">
        <f>IF(Time!AD21&lt;=2025,Inputs!$F$80,IF(Time!AD21&lt;=2029,Inputs!$F$81,Inputs!$F$82))</f>
        <v/>
      </c>
      <c r="AE8" s="11">
        <f>IF(Time!AE21&lt;=2025,Inputs!$F$80,IF(Time!AE21&lt;=2029,Inputs!$F$81,Inputs!$F$82))</f>
        <v/>
      </c>
      <c r="AF8" s="11">
        <f>IF(Time!AF21&lt;=2025,Inputs!$F$80,IF(Time!AF21&lt;=2029,Inputs!$F$81,Inputs!$F$82))</f>
        <v/>
      </c>
      <c r="AG8" s="11">
        <f>IF(Time!AG21&lt;=2025,Inputs!$F$80,IF(Time!AG21&lt;=2029,Inputs!$F$81,Inputs!$F$82))</f>
        <v/>
      </c>
      <c r="AH8" s="11">
        <f>IF(Time!AH21&lt;=2025,Inputs!$F$80,IF(Time!AH21&lt;=2029,Inputs!$F$81,Inputs!$F$82))</f>
        <v/>
      </c>
      <c r="AI8" s="11">
        <f>IF(Time!AI21&lt;=2025,Inputs!$F$80,IF(Time!AI21&lt;=2029,Inputs!$F$81,Inputs!$F$82))</f>
        <v/>
      </c>
      <c r="AJ8" s="11">
        <f>IF(Time!AJ21&lt;=2025,Inputs!$F$80,IF(Time!AJ21&lt;=2029,Inputs!$F$81,Inputs!$F$82))</f>
        <v/>
      </c>
      <c r="AK8" s="11">
        <f>IF(Time!AK21&lt;=2025,Inputs!$F$80,IF(Time!AK21&lt;=2029,Inputs!$F$81,Inputs!$F$82))</f>
        <v/>
      </c>
      <c r="AL8" s="11">
        <f>IF(Time!AL21&lt;=2025,Inputs!$F$80,IF(Time!AL21&lt;=2029,Inputs!$F$81,Inputs!$F$82))</f>
        <v/>
      </c>
      <c r="AM8" s="11">
        <f>IF(Time!AM21&lt;=2025,Inputs!$F$80,IF(Time!AM21&lt;=2029,Inputs!$F$81,Inputs!$F$82))</f>
        <v/>
      </c>
      <c r="AN8" s="11">
        <f>IF(Time!AN21&lt;=2025,Inputs!$F$80,IF(Time!AN21&lt;=2029,Inputs!$F$81,Inputs!$F$82))</f>
        <v/>
      </c>
      <c r="AO8" s="11">
        <f>IF(Time!AO21&lt;=2025,Inputs!$F$80,IF(Time!AO21&lt;=2029,Inputs!$F$81,Inputs!$F$82))</f>
        <v/>
      </c>
      <c r="AP8" s="11">
        <f>IF(Time!AP21&lt;=2025,Inputs!$F$80,IF(Time!AP21&lt;=2029,Inputs!$F$81,Inputs!$F$82))</f>
        <v/>
      </c>
      <c r="AQ8" s="11">
        <f>IF(Time!AQ21&lt;=2025,Inputs!$F$80,IF(Time!AQ21&lt;=2029,Inputs!$F$81,Inputs!$F$82))</f>
        <v/>
      </c>
      <c r="AR8" s="11">
        <f>IF(Time!AR21&lt;=2025,Inputs!$F$80,IF(Time!AR21&lt;=2029,Inputs!$F$81,Inputs!$F$82))</f>
        <v/>
      </c>
      <c r="AS8" s="11">
        <f>IF(Time!AS21&lt;=2025,Inputs!$F$80,IF(Time!AS21&lt;=2029,Inputs!$F$81,Inputs!$F$82))</f>
        <v/>
      </c>
      <c r="AT8" s="11">
        <f>IF(Time!AT21&lt;=2025,Inputs!$F$80,IF(Time!AT21&lt;=2029,Inputs!$F$81,Inputs!$F$82))</f>
        <v/>
      </c>
      <c r="AU8" s="11">
        <f>IF(Time!AU21&lt;=2025,Inputs!$F$80,IF(Time!AU21&lt;=2029,Inputs!$F$81,Inputs!$F$82))</f>
        <v/>
      </c>
      <c r="AV8" s="11">
        <f>IF(Time!AV21&lt;=2025,Inputs!$F$80,IF(Time!AV21&lt;=2029,Inputs!$F$81,Inputs!$F$82))</f>
        <v/>
      </c>
      <c r="AW8" s="11">
        <f>IF(Time!AW21&lt;=2025,Inputs!$F$80,IF(Time!AW21&lt;=2029,Inputs!$F$81,Inputs!$F$82))</f>
        <v/>
      </c>
      <c r="AX8" s="11">
        <f>IF(Time!AX21&lt;=2025,Inputs!$F$80,IF(Time!AX21&lt;=2029,Inputs!$F$81,Inputs!$F$82))</f>
        <v/>
      </c>
      <c r="AY8" s="11">
        <f>IF(Time!AY21&lt;=2025,Inputs!$F$80,IF(Time!AY21&lt;=2029,Inputs!$F$81,Inputs!$F$82))</f>
        <v/>
      </c>
      <c r="AZ8" s="11">
        <f>IF(Time!AZ21&lt;=2025,Inputs!$F$80,IF(Time!AZ21&lt;=2029,Inputs!$F$81,Inputs!$F$82))</f>
        <v/>
      </c>
      <c r="BA8" s="11">
        <f>IF(Time!BA21&lt;=2025,Inputs!$F$80,IF(Time!BA21&lt;=2029,Inputs!$F$81,Inputs!$F$82))</f>
        <v/>
      </c>
      <c r="BB8" s="11">
        <f>IF(Time!BB21&lt;=2025,Inputs!$F$80,IF(Time!BB21&lt;=2029,Inputs!$F$81,Inputs!$F$82))</f>
        <v/>
      </c>
      <c r="BC8" s="11">
        <f>IF(Time!BC21&lt;=2025,Inputs!$F$80,IF(Time!BC21&lt;=2029,Inputs!$F$81,Inputs!$F$82))</f>
        <v/>
      </c>
      <c r="BD8" s="11">
        <f>IF(Time!BD21&lt;=2025,Inputs!$F$80,IF(Time!BD21&lt;=2029,Inputs!$F$81,Inputs!$F$82))</f>
        <v/>
      </c>
      <c r="BE8" s="11">
        <f>IF(Time!BE21&lt;=2025,Inputs!$F$80,IF(Time!BE21&lt;=2029,Inputs!$F$81,Inputs!$F$82))</f>
        <v/>
      </c>
      <c r="BF8" s="11">
        <f>IF(Time!BF21&lt;=2025,Inputs!$F$80,IF(Time!BF21&lt;=2029,Inputs!$F$81,Inputs!$F$82))</f>
        <v/>
      </c>
      <c r="BG8" s="11">
        <f>IF(Time!BG21&lt;=2025,Inputs!$F$80,IF(Time!BG21&lt;=2029,Inputs!$F$81,Inputs!$F$82))</f>
        <v/>
      </c>
      <c r="BH8" s="11">
        <f>IF(Time!BH21&lt;=2025,Inputs!$F$80,IF(Time!BH21&lt;=2029,Inputs!$F$81,Inputs!$F$82))</f>
        <v/>
      </c>
      <c r="BI8" s="11">
        <f>IF(Time!BI21&lt;=2025,Inputs!$F$80,IF(Time!BI21&lt;=2029,Inputs!$F$81,Inputs!$F$82))</f>
        <v/>
      </c>
      <c r="BJ8" s="11">
        <f>IF(Time!BJ21&lt;=2025,Inputs!$F$80,IF(Time!BJ21&lt;=2029,Inputs!$F$81,Inputs!$F$82))</f>
        <v/>
      </c>
      <c r="BK8" s="11">
        <f>IF(Time!BK21&lt;=2025,Inputs!$F$80,IF(Time!BK21&lt;=2029,Inputs!$F$81,Inputs!$F$82))</f>
        <v/>
      </c>
      <c r="BL8" s="11">
        <f>IF(Time!BL21&lt;=2025,Inputs!$F$80,IF(Time!BL21&lt;=2029,Inputs!$F$81,Inputs!$F$82))</f>
        <v/>
      </c>
      <c r="BM8" s="11">
        <f>IF(Time!BM21&lt;=2025,Inputs!$F$80,IF(Time!BM21&lt;=2029,Inputs!$F$81,Inputs!$F$82))</f>
        <v/>
      </c>
      <c r="BN8" s="11">
        <f>IF(Time!BN21&lt;=2025,Inputs!$F$80,IF(Time!BN21&lt;=2029,Inputs!$F$81,Inputs!$F$82))</f>
        <v/>
      </c>
    </row>
    <row r="9">
      <c r="D9" t="inlineStr">
        <is>
          <t>Waiver margin uplift</t>
        </is>
      </c>
      <c r="E9" t="inlineStr">
        <is>
          <t>%</t>
        </is>
      </c>
      <c r="J9" s="11">
        <f>Inputs!$F$48*IF(AND(Time!J17&gt;=11,Time!J17&lt;=13),Inputs!$F$190,0)</f>
        <v/>
      </c>
      <c r="K9" s="11">
        <f>Inputs!$F$48*IF(AND(Time!K17&gt;=11,Time!K17&lt;=13),Inputs!$F$190,0)</f>
        <v/>
      </c>
      <c r="L9" s="11">
        <f>Inputs!$F$48*IF(AND(Time!L17&gt;=11,Time!L17&lt;=13),Inputs!$F$190,0)</f>
        <v/>
      </c>
      <c r="M9" s="11">
        <f>Inputs!$F$48*IF(AND(Time!M17&gt;=11,Time!M17&lt;=13),Inputs!$F$190,0)</f>
        <v/>
      </c>
      <c r="N9" s="11">
        <f>Inputs!$F$48*IF(AND(Time!N17&gt;=11,Time!N17&lt;=13),Inputs!$F$190,0)</f>
        <v/>
      </c>
      <c r="O9" s="11">
        <f>Inputs!$F$48*IF(AND(Time!O17&gt;=11,Time!O17&lt;=13),Inputs!$F$190,0)</f>
        <v/>
      </c>
      <c r="P9" s="11">
        <f>Inputs!$F$48*IF(AND(Time!P17&gt;=11,Time!P17&lt;=13),Inputs!$F$190,0)</f>
        <v/>
      </c>
      <c r="Q9" s="11">
        <f>Inputs!$F$48*IF(AND(Time!Q17&gt;=11,Time!Q17&lt;=13),Inputs!$F$190,0)</f>
        <v/>
      </c>
      <c r="R9" s="11">
        <f>Inputs!$F$48*IF(AND(Time!R17&gt;=11,Time!R17&lt;=13),Inputs!$F$190,0)</f>
        <v/>
      </c>
      <c r="S9" s="11">
        <f>Inputs!$F$48*IF(AND(Time!S17&gt;=11,Time!S17&lt;=13),Inputs!$F$190,0)</f>
        <v/>
      </c>
      <c r="T9" s="11">
        <f>Inputs!$F$48*IF(AND(Time!T17&gt;=11,Time!T17&lt;=13),Inputs!$F$190,0)</f>
        <v/>
      </c>
      <c r="U9" s="11">
        <f>Inputs!$F$48*IF(AND(Time!U17&gt;=11,Time!U17&lt;=13),Inputs!$F$190,0)</f>
        <v/>
      </c>
      <c r="V9" s="11">
        <f>Inputs!$F$48*IF(AND(Time!V17&gt;=11,Time!V17&lt;=13),Inputs!$F$190,0)</f>
        <v/>
      </c>
      <c r="W9" s="11">
        <f>Inputs!$F$48*IF(AND(Time!W17&gt;=11,Time!W17&lt;=13),Inputs!$F$190,0)</f>
        <v/>
      </c>
      <c r="X9" s="11">
        <f>Inputs!$F$48*IF(AND(Time!X17&gt;=11,Time!X17&lt;=13),Inputs!$F$190,0)</f>
        <v/>
      </c>
      <c r="Y9" s="11">
        <f>Inputs!$F$48*IF(AND(Time!Y17&gt;=11,Time!Y17&lt;=13),Inputs!$F$190,0)</f>
        <v/>
      </c>
      <c r="Z9" s="11">
        <f>Inputs!$F$48*IF(AND(Time!Z17&gt;=11,Time!Z17&lt;=13),Inputs!$F$190,0)</f>
        <v/>
      </c>
      <c r="AA9" s="11">
        <f>Inputs!$F$48*IF(AND(Time!AA17&gt;=11,Time!AA17&lt;=13),Inputs!$F$190,0)</f>
        <v/>
      </c>
      <c r="AB9" s="11">
        <f>Inputs!$F$48*IF(AND(Time!AB17&gt;=11,Time!AB17&lt;=13),Inputs!$F$190,0)</f>
        <v/>
      </c>
      <c r="AC9" s="11">
        <f>Inputs!$F$48*IF(AND(Time!AC17&gt;=11,Time!AC17&lt;=13),Inputs!$F$190,0)</f>
        <v/>
      </c>
      <c r="AD9" s="11">
        <f>Inputs!$F$48*IF(AND(Time!AD17&gt;=11,Time!AD17&lt;=13),Inputs!$F$190,0)</f>
        <v/>
      </c>
      <c r="AE9" s="11">
        <f>Inputs!$F$48*IF(AND(Time!AE17&gt;=11,Time!AE17&lt;=13),Inputs!$F$190,0)</f>
        <v/>
      </c>
      <c r="AF9" s="11">
        <f>Inputs!$F$48*IF(AND(Time!AF17&gt;=11,Time!AF17&lt;=13),Inputs!$F$190,0)</f>
        <v/>
      </c>
      <c r="AG9" s="11">
        <f>Inputs!$F$48*IF(AND(Time!AG17&gt;=11,Time!AG17&lt;=13),Inputs!$F$190,0)</f>
        <v/>
      </c>
      <c r="AH9" s="11">
        <f>Inputs!$F$48*IF(AND(Time!AH17&gt;=11,Time!AH17&lt;=13),Inputs!$F$190,0)</f>
        <v/>
      </c>
      <c r="AI9" s="11">
        <f>Inputs!$F$48*IF(AND(Time!AI17&gt;=11,Time!AI17&lt;=13),Inputs!$F$190,0)</f>
        <v/>
      </c>
      <c r="AJ9" s="11">
        <f>Inputs!$F$48*IF(AND(Time!AJ17&gt;=11,Time!AJ17&lt;=13),Inputs!$F$190,0)</f>
        <v/>
      </c>
      <c r="AK9" s="11">
        <f>Inputs!$F$48*IF(AND(Time!AK17&gt;=11,Time!AK17&lt;=13),Inputs!$F$190,0)</f>
        <v/>
      </c>
      <c r="AL9" s="11">
        <f>Inputs!$F$48*IF(AND(Time!AL17&gt;=11,Time!AL17&lt;=13),Inputs!$F$190,0)</f>
        <v/>
      </c>
      <c r="AM9" s="11">
        <f>Inputs!$F$48*IF(AND(Time!AM17&gt;=11,Time!AM17&lt;=13),Inputs!$F$190,0)</f>
        <v/>
      </c>
      <c r="AN9" s="11">
        <f>Inputs!$F$48*IF(AND(Time!AN17&gt;=11,Time!AN17&lt;=13),Inputs!$F$190,0)</f>
        <v/>
      </c>
      <c r="AO9" s="11">
        <f>Inputs!$F$48*IF(AND(Time!AO17&gt;=11,Time!AO17&lt;=13),Inputs!$F$190,0)</f>
        <v/>
      </c>
      <c r="AP9" s="11">
        <f>Inputs!$F$48*IF(AND(Time!AP17&gt;=11,Time!AP17&lt;=13),Inputs!$F$190,0)</f>
        <v/>
      </c>
      <c r="AQ9" s="11">
        <f>Inputs!$F$48*IF(AND(Time!AQ17&gt;=11,Time!AQ17&lt;=13),Inputs!$F$190,0)</f>
        <v/>
      </c>
      <c r="AR9" s="11">
        <f>Inputs!$F$48*IF(AND(Time!AR17&gt;=11,Time!AR17&lt;=13),Inputs!$F$190,0)</f>
        <v/>
      </c>
      <c r="AS9" s="11">
        <f>Inputs!$F$48*IF(AND(Time!AS17&gt;=11,Time!AS17&lt;=13),Inputs!$F$190,0)</f>
        <v/>
      </c>
      <c r="AT9" s="11">
        <f>Inputs!$F$48*IF(AND(Time!AT17&gt;=11,Time!AT17&lt;=13),Inputs!$F$190,0)</f>
        <v/>
      </c>
      <c r="AU9" s="11">
        <f>Inputs!$F$48*IF(AND(Time!AU17&gt;=11,Time!AU17&lt;=13),Inputs!$F$190,0)</f>
        <v/>
      </c>
      <c r="AV9" s="11">
        <f>Inputs!$F$48*IF(AND(Time!AV17&gt;=11,Time!AV17&lt;=13),Inputs!$F$190,0)</f>
        <v/>
      </c>
      <c r="AW9" s="11">
        <f>Inputs!$F$48*IF(AND(Time!AW17&gt;=11,Time!AW17&lt;=13),Inputs!$F$190,0)</f>
        <v/>
      </c>
      <c r="AX9" s="11">
        <f>Inputs!$F$48*IF(AND(Time!AX17&gt;=11,Time!AX17&lt;=13),Inputs!$F$190,0)</f>
        <v/>
      </c>
      <c r="AY9" s="11">
        <f>Inputs!$F$48*IF(AND(Time!AY17&gt;=11,Time!AY17&lt;=13),Inputs!$F$190,0)</f>
        <v/>
      </c>
      <c r="AZ9" s="11">
        <f>Inputs!$F$48*IF(AND(Time!AZ17&gt;=11,Time!AZ17&lt;=13),Inputs!$F$190,0)</f>
        <v/>
      </c>
      <c r="BA9" s="11">
        <f>Inputs!$F$48*IF(AND(Time!BA17&gt;=11,Time!BA17&lt;=13),Inputs!$F$190,0)</f>
        <v/>
      </c>
      <c r="BB9" s="11">
        <f>Inputs!$F$48*IF(AND(Time!BB17&gt;=11,Time!BB17&lt;=13),Inputs!$F$190,0)</f>
        <v/>
      </c>
      <c r="BC9" s="11">
        <f>Inputs!$F$48*IF(AND(Time!BC17&gt;=11,Time!BC17&lt;=13),Inputs!$F$190,0)</f>
        <v/>
      </c>
      <c r="BD9" s="11">
        <f>Inputs!$F$48*IF(AND(Time!BD17&gt;=11,Time!BD17&lt;=13),Inputs!$F$190,0)</f>
        <v/>
      </c>
      <c r="BE9" s="11">
        <f>Inputs!$F$48*IF(AND(Time!BE17&gt;=11,Time!BE17&lt;=13),Inputs!$F$190,0)</f>
        <v/>
      </c>
      <c r="BF9" s="11">
        <f>Inputs!$F$48*IF(AND(Time!BF17&gt;=11,Time!BF17&lt;=13),Inputs!$F$190,0)</f>
        <v/>
      </c>
      <c r="BG9" s="11">
        <f>Inputs!$F$48*IF(AND(Time!BG17&gt;=11,Time!BG17&lt;=13),Inputs!$F$190,0)</f>
        <v/>
      </c>
      <c r="BH9" s="11">
        <f>Inputs!$F$48*IF(AND(Time!BH17&gt;=11,Time!BH17&lt;=13),Inputs!$F$190,0)</f>
        <v/>
      </c>
      <c r="BI9" s="11">
        <f>Inputs!$F$48*IF(AND(Time!BI17&gt;=11,Time!BI17&lt;=13),Inputs!$F$190,0)</f>
        <v/>
      </c>
      <c r="BJ9" s="11">
        <f>Inputs!$F$48*IF(AND(Time!BJ17&gt;=11,Time!BJ17&lt;=13),Inputs!$F$190,0)</f>
        <v/>
      </c>
      <c r="BK9" s="11">
        <f>Inputs!$F$48*IF(AND(Time!BK17&gt;=11,Time!BK17&lt;=13),Inputs!$F$190,0)</f>
        <v/>
      </c>
      <c r="BL9" s="11">
        <f>Inputs!$F$48*IF(AND(Time!BL17&gt;=11,Time!BL17&lt;=13),Inputs!$F$190,0)</f>
        <v/>
      </c>
      <c r="BM9" s="11">
        <f>Inputs!$F$48*IF(AND(Time!BM17&gt;=11,Time!BM17&lt;=13),Inputs!$F$190,0)</f>
        <v/>
      </c>
      <c r="BN9" s="11">
        <f>Inputs!$F$48*IF(AND(Time!BN17&gt;=11,Time!BN17&lt;=13),Inputs!$F$190,0)</f>
        <v/>
      </c>
    </row>
    <row r="10">
      <c r="D10" t="inlineStr">
        <is>
          <t>ECA-covered tranche: rate per period</t>
        </is>
      </c>
      <c r="E10" t="inlineStr">
        <is>
          <t>factor</t>
        </is>
      </c>
      <c r="J10" s="14">
        <f>(Operations!J9+Inputs!$F$77+J9)/100*Time!J20/360</f>
        <v/>
      </c>
      <c r="K10" s="14">
        <f>(Operations!K9+Inputs!$F$77+K9)/100*Time!K20/360</f>
        <v/>
      </c>
      <c r="L10" s="14">
        <f>(Operations!L9+Inputs!$F$77+L9)/100*Time!L20/360</f>
        <v/>
      </c>
      <c r="M10" s="14">
        <f>(Operations!M9+Inputs!$F$77+M9)/100*Time!M20/360</f>
        <v/>
      </c>
      <c r="N10" s="14">
        <f>(Operations!N9+Inputs!$F$77+N9)/100*Time!N20/360</f>
        <v/>
      </c>
      <c r="O10" s="14">
        <f>(Operations!O9+Inputs!$F$77+O9)/100*Time!O20/360</f>
        <v/>
      </c>
      <c r="P10" s="14">
        <f>(Operations!P9+Inputs!$F$77+P9)/100*Time!P20/360</f>
        <v/>
      </c>
      <c r="Q10" s="14">
        <f>(Operations!Q9+Inputs!$F$77+Q9)/100*Time!Q20/360</f>
        <v/>
      </c>
      <c r="R10" s="14">
        <f>(Operations!R9+Inputs!$F$77+R9)/100*Time!R20/360</f>
        <v/>
      </c>
      <c r="S10" s="14">
        <f>(Operations!S9+Inputs!$F$77+S9)/100*Time!S20/360</f>
        <v/>
      </c>
      <c r="T10" s="14">
        <f>(Operations!T9+Inputs!$F$77+T9)/100*Time!T20/360</f>
        <v/>
      </c>
      <c r="U10" s="14">
        <f>(Operations!U9+Inputs!$F$77+U9)/100*Time!U20/360</f>
        <v/>
      </c>
      <c r="V10" s="14">
        <f>(Operations!V9+Inputs!$F$77+V9)/100*Time!V20/360</f>
        <v/>
      </c>
      <c r="W10" s="14">
        <f>(Operations!W9+Inputs!$F$77+W9)/100*Time!W20/360</f>
        <v/>
      </c>
      <c r="X10" s="14">
        <f>(Operations!X9+Inputs!$F$77+X9)/100*Time!X20/360</f>
        <v/>
      </c>
      <c r="Y10" s="14">
        <f>(Operations!Y9+Inputs!$F$77+Y9)/100*Time!Y20/360</f>
        <v/>
      </c>
      <c r="Z10" s="14">
        <f>(Operations!Z9+Inputs!$F$77+Z9)/100*Time!Z20/360</f>
        <v/>
      </c>
      <c r="AA10" s="14">
        <f>(Operations!AA9+Inputs!$F$77+AA9)/100*Time!AA20/360</f>
        <v/>
      </c>
      <c r="AB10" s="14">
        <f>(Operations!AB9+Inputs!$F$77+AB9)/100*Time!AB20/360</f>
        <v/>
      </c>
      <c r="AC10" s="14">
        <f>(Operations!AC9+Inputs!$F$77+AC9)/100*Time!AC20/360</f>
        <v/>
      </c>
      <c r="AD10" s="14">
        <f>(Operations!AD9+Inputs!$F$77+AD9)/100*Time!AD20/360</f>
        <v/>
      </c>
      <c r="AE10" s="14">
        <f>(Operations!AE9+Inputs!$F$77+AE9)/100*Time!AE20/360</f>
        <v/>
      </c>
      <c r="AF10" s="14">
        <f>(Operations!AF9+Inputs!$F$77+AF9)/100*Time!AF20/360</f>
        <v/>
      </c>
      <c r="AG10" s="14">
        <f>(Operations!AG9+Inputs!$F$77+AG9)/100*Time!AG20/360</f>
        <v/>
      </c>
      <c r="AH10" s="14">
        <f>(Operations!AH9+Inputs!$F$77+AH9)/100*Time!AH20/360</f>
        <v/>
      </c>
      <c r="AI10" s="14">
        <f>(Operations!AI9+Inputs!$F$77+AI9)/100*Time!AI20/360</f>
        <v/>
      </c>
      <c r="AJ10" s="14">
        <f>(Operations!AJ9+Inputs!$F$77+AJ9)/100*Time!AJ20/360</f>
        <v/>
      </c>
      <c r="AK10" s="14">
        <f>(Operations!AK9+Inputs!$F$77+AK9)/100*Time!AK20/360</f>
        <v/>
      </c>
      <c r="AL10" s="14">
        <f>(Operations!AL9+Inputs!$F$77+AL9)/100*Time!AL20/360</f>
        <v/>
      </c>
      <c r="AM10" s="14">
        <f>(Operations!AM9+Inputs!$F$77+AM9)/100*Time!AM20/360</f>
        <v/>
      </c>
      <c r="AN10" s="14">
        <f>(Operations!AN9+Inputs!$F$77+AN9)/100*Time!AN20/360</f>
        <v/>
      </c>
      <c r="AO10" s="14">
        <f>(Operations!AO9+Inputs!$F$77+AO9)/100*Time!AO20/360</f>
        <v/>
      </c>
      <c r="AP10" s="14">
        <f>(Operations!AP9+Inputs!$F$77+AP9)/100*Time!AP20/360</f>
        <v/>
      </c>
      <c r="AQ10" s="14">
        <f>(Operations!AQ9+Inputs!$F$77+AQ9)/100*Time!AQ20/360</f>
        <v/>
      </c>
      <c r="AR10" s="14">
        <f>(Operations!AR9+Inputs!$F$77+AR9)/100*Time!AR20/360</f>
        <v/>
      </c>
      <c r="AS10" s="14">
        <f>(Operations!AS9+Inputs!$F$77+AS9)/100*Time!AS20/360</f>
        <v/>
      </c>
      <c r="AT10" s="14">
        <f>(Operations!AT9+Inputs!$F$77+AT9)/100*Time!AT20/360</f>
        <v/>
      </c>
      <c r="AU10" s="14">
        <f>(Operations!AU9+Inputs!$F$77+AU9)/100*Time!AU20/360</f>
        <v/>
      </c>
      <c r="AV10" s="14">
        <f>(Operations!AV9+Inputs!$F$77+AV9)/100*Time!AV20/360</f>
        <v/>
      </c>
      <c r="AW10" s="14">
        <f>(Operations!AW9+Inputs!$F$77+AW9)/100*Time!AW20/360</f>
        <v/>
      </c>
      <c r="AX10" s="14">
        <f>(Operations!AX9+Inputs!$F$77+AX9)/100*Time!AX20/360</f>
        <v/>
      </c>
      <c r="AY10" s="14">
        <f>(Operations!AY9+Inputs!$F$77+AY9)/100*Time!AY20/360</f>
        <v/>
      </c>
      <c r="AZ10" s="14">
        <f>(Operations!AZ9+Inputs!$F$77+AZ9)/100*Time!AZ20/360</f>
        <v/>
      </c>
      <c r="BA10" s="14">
        <f>(Operations!BA9+Inputs!$F$77+BA9)/100*Time!BA20/360</f>
        <v/>
      </c>
      <c r="BB10" s="14">
        <f>(Operations!BB9+Inputs!$F$77+BB9)/100*Time!BB20/360</f>
        <v/>
      </c>
      <c r="BC10" s="14">
        <f>(Operations!BC9+Inputs!$F$77+BC9)/100*Time!BC20/360</f>
        <v/>
      </c>
      <c r="BD10" s="14">
        <f>(Operations!BD9+Inputs!$F$77+BD9)/100*Time!BD20/360</f>
        <v/>
      </c>
      <c r="BE10" s="14">
        <f>(Operations!BE9+Inputs!$F$77+BE9)/100*Time!BE20/360</f>
        <v/>
      </c>
      <c r="BF10" s="14">
        <f>(Operations!BF9+Inputs!$F$77+BF9)/100*Time!BF20/360</f>
        <v/>
      </c>
      <c r="BG10" s="14">
        <f>(Operations!BG9+Inputs!$F$77+BG9)/100*Time!BG20/360</f>
        <v/>
      </c>
      <c r="BH10" s="14">
        <f>(Operations!BH9+Inputs!$F$77+BH9)/100*Time!BH20/360</f>
        <v/>
      </c>
      <c r="BI10" s="14">
        <f>(Operations!BI9+Inputs!$F$77+BI9)/100*Time!BI20/360</f>
        <v/>
      </c>
      <c r="BJ10" s="14">
        <f>(Operations!BJ9+Inputs!$F$77+BJ9)/100*Time!BJ20/360</f>
        <v/>
      </c>
      <c r="BK10" s="14">
        <f>(Operations!BK9+Inputs!$F$77+BK9)/100*Time!BK20/360</f>
        <v/>
      </c>
      <c r="BL10" s="14">
        <f>(Operations!BL9+Inputs!$F$77+BL9)/100*Time!BL20/360</f>
        <v/>
      </c>
      <c r="BM10" s="14">
        <f>(Operations!BM9+Inputs!$F$77+BM9)/100*Time!BM20/360</f>
        <v/>
      </c>
      <c r="BN10" s="14">
        <f>(Operations!BN9+Inputs!$F$77+BN9)/100*Time!BN20/360</f>
        <v/>
      </c>
    </row>
    <row r="11">
      <c r="D11" t="inlineStr">
        <is>
          <t>ABDB A-loan: rate per period</t>
        </is>
      </c>
      <c r="E11" t="inlineStr">
        <is>
          <t>factor</t>
        </is>
      </c>
      <c r="J11" s="14">
        <f>(Operations!J9+Inputs!$F$78+J9)/100*Time!J20/360</f>
        <v/>
      </c>
      <c r="K11" s="14">
        <f>(Operations!K9+Inputs!$F$78+K9)/100*Time!K20/360</f>
        <v/>
      </c>
      <c r="L11" s="14">
        <f>(Operations!L9+Inputs!$F$78+L9)/100*Time!L20/360</f>
        <v/>
      </c>
      <c r="M11" s="14">
        <f>(Operations!M9+Inputs!$F$78+M9)/100*Time!M20/360</f>
        <v/>
      </c>
      <c r="N11" s="14">
        <f>(Operations!N9+Inputs!$F$78+N9)/100*Time!N20/360</f>
        <v/>
      </c>
      <c r="O11" s="14">
        <f>(Operations!O9+Inputs!$F$78+O9)/100*Time!O20/360</f>
        <v/>
      </c>
      <c r="P11" s="14">
        <f>(Operations!P9+Inputs!$F$78+P9)/100*Time!P20/360</f>
        <v/>
      </c>
      <c r="Q11" s="14">
        <f>(Operations!Q9+Inputs!$F$78+Q9)/100*Time!Q20/360</f>
        <v/>
      </c>
      <c r="R11" s="14">
        <f>(Operations!R9+Inputs!$F$78+R9)/100*Time!R20/360</f>
        <v/>
      </c>
      <c r="S11" s="14">
        <f>(Operations!S9+Inputs!$F$78+S9)/100*Time!S20/360</f>
        <v/>
      </c>
      <c r="T11" s="14">
        <f>(Operations!T9+Inputs!$F$78+T9)/100*Time!T20/360</f>
        <v/>
      </c>
      <c r="U11" s="14">
        <f>(Operations!U9+Inputs!$F$78+U9)/100*Time!U20/360</f>
        <v/>
      </c>
      <c r="V11" s="14">
        <f>(Operations!V9+Inputs!$F$78+V9)/100*Time!V20/360</f>
        <v/>
      </c>
      <c r="W11" s="14">
        <f>(Operations!W9+Inputs!$F$78+W9)/100*Time!W20/360</f>
        <v/>
      </c>
      <c r="X11" s="14">
        <f>(Operations!X9+Inputs!$F$78+X9)/100*Time!X20/360</f>
        <v/>
      </c>
      <c r="Y11" s="14">
        <f>(Operations!Y9+Inputs!$F$78+Y9)/100*Time!Y20/360</f>
        <v/>
      </c>
      <c r="Z11" s="14">
        <f>(Operations!Z9+Inputs!$F$78+Z9)/100*Time!Z20/360</f>
        <v/>
      </c>
      <c r="AA11" s="14">
        <f>(Operations!AA9+Inputs!$F$78+AA9)/100*Time!AA20/360</f>
        <v/>
      </c>
      <c r="AB11" s="14">
        <f>(Operations!AB9+Inputs!$F$78+AB9)/100*Time!AB20/360</f>
        <v/>
      </c>
      <c r="AC11" s="14">
        <f>(Operations!AC9+Inputs!$F$78+AC9)/100*Time!AC20/360</f>
        <v/>
      </c>
      <c r="AD11" s="14">
        <f>(Operations!AD9+Inputs!$F$78+AD9)/100*Time!AD20/360</f>
        <v/>
      </c>
      <c r="AE11" s="14">
        <f>(Operations!AE9+Inputs!$F$78+AE9)/100*Time!AE20/360</f>
        <v/>
      </c>
      <c r="AF11" s="14">
        <f>(Operations!AF9+Inputs!$F$78+AF9)/100*Time!AF20/360</f>
        <v/>
      </c>
      <c r="AG11" s="14">
        <f>(Operations!AG9+Inputs!$F$78+AG9)/100*Time!AG20/360</f>
        <v/>
      </c>
      <c r="AH11" s="14">
        <f>(Operations!AH9+Inputs!$F$78+AH9)/100*Time!AH20/360</f>
        <v/>
      </c>
      <c r="AI11" s="14">
        <f>(Operations!AI9+Inputs!$F$78+AI9)/100*Time!AI20/360</f>
        <v/>
      </c>
      <c r="AJ11" s="14">
        <f>(Operations!AJ9+Inputs!$F$78+AJ9)/100*Time!AJ20/360</f>
        <v/>
      </c>
      <c r="AK11" s="14">
        <f>(Operations!AK9+Inputs!$F$78+AK9)/100*Time!AK20/360</f>
        <v/>
      </c>
      <c r="AL11" s="14">
        <f>(Operations!AL9+Inputs!$F$78+AL9)/100*Time!AL20/360</f>
        <v/>
      </c>
      <c r="AM11" s="14">
        <f>(Operations!AM9+Inputs!$F$78+AM9)/100*Time!AM20/360</f>
        <v/>
      </c>
      <c r="AN11" s="14">
        <f>(Operations!AN9+Inputs!$F$78+AN9)/100*Time!AN20/360</f>
        <v/>
      </c>
      <c r="AO11" s="14">
        <f>(Operations!AO9+Inputs!$F$78+AO9)/100*Time!AO20/360</f>
        <v/>
      </c>
      <c r="AP11" s="14">
        <f>(Operations!AP9+Inputs!$F$78+AP9)/100*Time!AP20/360</f>
        <v/>
      </c>
      <c r="AQ11" s="14">
        <f>(Operations!AQ9+Inputs!$F$78+AQ9)/100*Time!AQ20/360</f>
        <v/>
      </c>
      <c r="AR11" s="14">
        <f>(Operations!AR9+Inputs!$F$78+AR9)/100*Time!AR20/360</f>
        <v/>
      </c>
      <c r="AS11" s="14">
        <f>(Operations!AS9+Inputs!$F$78+AS9)/100*Time!AS20/360</f>
        <v/>
      </c>
      <c r="AT11" s="14">
        <f>(Operations!AT9+Inputs!$F$78+AT9)/100*Time!AT20/360</f>
        <v/>
      </c>
      <c r="AU11" s="14">
        <f>(Operations!AU9+Inputs!$F$78+AU9)/100*Time!AU20/360</f>
        <v/>
      </c>
      <c r="AV11" s="14">
        <f>(Operations!AV9+Inputs!$F$78+AV9)/100*Time!AV20/360</f>
        <v/>
      </c>
      <c r="AW11" s="14">
        <f>(Operations!AW9+Inputs!$F$78+AW9)/100*Time!AW20/360</f>
        <v/>
      </c>
      <c r="AX11" s="14">
        <f>(Operations!AX9+Inputs!$F$78+AX9)/100*Time!AX20/360</f>
        <v/>
      </c>
      <c r="AY11" s="14">
        <f>(Operations!AY9+Inputs!$F$78+AY9)/100*Time!AY20/360</f>
        <v/>
      </c>
      <c r="AZ11" s="14">
        <f>(Operations!AZ9+Inputs!$F$78+AZ9)/100*Time!AZ20/360</f>
        <v/>
      </c>
      <c r="BA11" s="14">
        <f>(Operations!BA9+Inputs!$F$78+BA9)/100*Time!BA20/360</f>
        <v/>
      </c>
      <c r="BB11" s="14">
        <f>(Operations!BB9+Inputs!$F$78+BB9)/100*Time!BB20/360</f>
        <v/>
      </c>
      <c r="BC11" s="14">
        <f>(Operations!BC9+Inputs!$F$78+BC9)/100*Time!BC20/360</f>
        <v/>
      </c>
      <c r="BD11" s="14">
        <f>(Operations!BD9+Inputs!$F$78+BD9)/100*Time!BD20/360</f>
        <v/>
      </c>
      <c r="BE11" s="14">
        <f>(Operations!BE9+Inputs!$F$78+BE9)/100*Time!BE20/360</f>
        <v/>
      </c>
      <c r="BF11" s="14">
        <f>(Operations!BF9+Inputs!$F$78+BF9)/100*Time!BF20/360</f>
        <v/>
      </c>
      <c r="BG11" s="14">
        <f>(Operations!BG9+Inputs!$F$78+BG9)/100*Time!BG20/360</f>
        <v/>
      </c>
      <c r="BH11" s="14">
        <f>(Operations!BH9+Inputs!$F$78+BH9)/100*Time!BH20/360</f>
        <v/>
      </c>
      <c r="BI11" s="14">
        <f>(Operations!BI9+Inputs!$F$78+BI9)/100*Time!BI20/360</f>
        <v/>
      </c>
      <c r="BJ11" s="14">
        <f>(Operations!BJ9+Inputs!$F$78+BJ9)/100*Time!BJ20/360</f>
        <v/>
      </c>
      <c r="BK11" s="14">
        <f>(Operations!BK9+Inputs!$F$78+BK9)/100*Time!BK20/360</f>
        <v/>
      </c>
      <c r="BL11" s="14">
        <f>(Operations!BL9+Inputs!$F$78+BL9)/100*Time!BL20/360</f>
        <v/>
      </c>
      <c r="BM11" s="14">
        <f>(Operations!BM9+Inputs!$F$78+BM9)/100*Time!BM20/360</f>
        <v/>
      </c>
      <c r="BN11" s="14">
        <f>(Operations!BN9+Inputs!$F$78+BN9)/100*Time!BN20/360</f>
        <v/>
      </c>
    </row>
    <row r="12">
      <c r="D12" t="inlineStr">
        <is>
          <t>ABDB B-loan: rate per period</t>
        </is>
      </c>
      <c r="E12" t="inlineStr">
        <is>
          <t>factor</t>
        </is>
      </c>
      <c r="J12" s="14">
        <f>(Operations!J9+Inputs!$F$79+J9)/100*Time!J20/360</f>
        <v/>
      </c>
      <c r="K12" s="14">
        <f>(Operations!K9+Inputs!$F$79+K9)/100*Time!K20/360</f>
        <v/>
      </c>
      <c r="L12" s="14">
        <f>(Operations!L9+Inputs!$F$79+L9)/100*Time!L20/360</f>
        <v/>
      </c>
      <c r="M12" s="14">
        <f>(Operations!M9+Inputs!$F$79+M9)/100*Time!M20/360</f>
        <v/>
      </c>
      <c r="N12" s="14">
        <f>(Operations!N9+Inputs!$F$79+N9)/100*Time!N20/360</f>
        <v/>
      </c>
      <c r="O12" s="14">
        <f>(Operations!O9+Inputs!$F$79+O9)/100*Time!O20/360</f>
        <v/>
      </c>
      <c r="P12" s="14">
        <f>(Operations!P9+Inputs!$F$79+P9)/100*Time!P20/360</f>
        <v/>
      </c>
      <c r="Q12" s="14">
        <f>(Operations!Q9+Inputs!$F$79+Q9)/100*Time!Q20/360</f>
        <v/>
      </c>
      <c r="R12" s="14">
        <f>(Operations!R9+Inputs!$F$79+R9)/100*Time!R20/360</f>
        <v/>
      </c>
      <c r="S12" s="14">
        <f>(Operations!S9+Inputs!$F$79+S9)/100*Time!S20/360</f>
        <v/>
      </c>
      <c r="T12" s="14">
        <f>(Operations!T9+Inputs!$F$79+T9)/100*Time!T20/360</f>
        <v/>
      </c>
      <c r="U12" s="14">
        <f>(Operations!U9+Inputs!$F$79+U9)/100*Time!U20/360</f>
        <v/>
      </c>
      <c r="V12" s="14">
        <f>(Operations!V9+Inputs!$F$79+V9)/100*Time!V20/360</f>
        <v/>
      </c>
      <c r="W12" s="14">
        <f>(Operations!W9+Inputs!$F$79+W9)/100*Time!W20/360</f>
        <v/>
      </c>
      <c r="X12" s="14">
        <f>(Operations!X9+Inputs!$F$79+X9)/100*Time!X20/360</f>
        <v/>
      </c>
      <c r="Y12" s="14">
        <f>(Operations!Y9+Inputs!$F$79+Y9)/100*Time!Y20/360</f>
        <v/>
      </c>
      <c r="Z12" s="14">
        <f>(Operations!Z9+Inputs!$F$79+Z9)/100*Time!Z20/360</f>
        <v/>
      </c>
      <c r="AA12" s="14">
        <f>(Operations!AA9+Inputs!$F$79+AA9)/100*Time!AA20/360</f>
        <v/>
      </c>
      <c r="AB12" s="14">
        <f>(Operations!AB9+Inputs!$F$79+AB9)/100*Time!AB20/360</f>
        <v/>
      </c>
      <c r="AC12" s="14">
        <f>(Operations!AC9+Inputs!$F$79+AC9)/100*Time!AC20/360</f>
        <v/>
      </c>
      <c r="AD12" s="14">
        <f>(Operations!AD9+Inputs!$F$79+AD9)/100*Time!AD20/360</f>
        <v/>
      </c>
      <c r="AE12" s="14">
        <f>(Operations!AE9+Inputs!$F$79+AE9)/100*Time!AE20/360</f>
        <v/>
      </c>
      <c r="AF12" s="14">
        <f>(Operations!AF9+Inputs!$F$79+AF9)/100*Time!AF20/360</f>
        <v/>
      </c>
      <c r="AG12" s="14">
        <f>(Operations!AG9+Inputs!$F$79+AG9)/100*Time!AG20/360</f>
        <v/>
      </c>
      <c r="AH12" s="14">
        <f>(Operations!AH9+Inputs!$F$79+AH9)/100*Time!AH20/360</f>
        <v/>
      </c>
      <c r="AI12" s="14">
        <f>(Operations!AI9+Inputs!$F$79+AI9)/100*Time!AI20/360</f>
        <v/>
      </c>
      <c r="AJ12" s="14">
        <f>(Operations!AJ9+Inputs!$F$79+AJ9)/100*Time!AJ20/360</f>
        <v/>
      </c>
      <c r="AK12" s="14">
        <f>(Operations!AK9+Inputs!$F$79+AK9)/100*Time!AK20/360</f>
        <v/>
      </c>
      <c r="AL12" s="14">
        <f>(Operations!AL9+Inputs!$F$79+AL9)/100*Time!AL20/360</f>
        <v/>
      </c>
      <c r="AM12" s="14">
        <f>(Operations!AM9+Inputs!$F$79+AM9)/100*Time!AM20/360</f>
        <v/>
      </c>
      <c r="AN12" s="14">
        <f>(Operations!AN9+Inputs!$F$79+AN9)/100*Time!AN20/360</f>
        <v/>
      </c>
      <c r="AO12" s="14">
        <f>(Operations!AO9+Inputs!$F$79+AO9)/100*Time!AO20/360</f>
        <v/>
      </c>
      <c r="AP12" s="14">
        <f>(Operations!AP9+Inputs!$F$79+AP9)/100*Time!AP20/360</f>
        <v/>
      </c>
      <c r="AQ12" s="14">
        <f>(Operations!AQ9+Inputs!$F$79+AQ9)/100*Time!AQ20/360</f>
        <v/>
      </c>
      <c r="AR12" s="14">
        <f>(Operations!AR9+Inputs!$F$79+AR9)/100*Time!AR20/360</f>
        <v/>
      </c>
      <c r="AS12" s="14">
        <f>(Operations!AS9+Inputs!$F$79+AS9)/100*Time!AS20/360</f>
        <v/>
      </c>
      <c r="AT12" s="14">
        <f>(Operations!AT9+Inputs!$F$79+AT9)/100*Time!AT20/360</f>
        <v/>
      </c>
      <c r="AU12" s="14">
        <f>(Operations!AU9+Inputs!$F$79+AU9)/100*Time!AU20/360</f>
        <v/>
      </c>
      <c r="AV12" s="14">
        <f>(Operations!AV9+Inputs!$F$79+AV9)/100*Time!AV20/360</f>
        <v/>
      </c>
      <c r="AW12" s="14">
        <f>(Operations!AW9+Inputs!$F$79+AW9)/100*Time!AW20/360</f>
        <v/>
      </c>
      <c r="AX12" s="14">
        <f>(Operations!AX9+Inputs!$F$79+AX9)/100*Time!AX20/360</f>
        <v/>
      </c>
      <c r="AY12" s="14">
        <f>(Operations!AY9+Inputs!$F$79+AY9)/100*Time!AY20/360</f>
        <v/>
      </c>
      <c r="AZ12" s="14">
        <f>(Operations!AZ9+Inputs!$F$79+AZ9)/100*Time!AZ20/360</f>
        <v/>
      </c>
      <c r="BA12" s="14">
        <f>(Operations!BA9+Inputs!$F$79+BA9)/100*Time!BA20/360</f>
        <v/>
      </c>
      <c r="BB12" s="14">
        <f>(Operations!BB9+Inputs!$F$79+BB9)/100*Time!BB20/360</f>
        <v/>
      </c>
      <c r="BC12" s="14">
        <f>(Operations!BC9+Inputs!$F$79+BC9)/100*Time!BC20/360</f>
        <v/>
      </c>
      <c r="BD12" s="14">
        <f>(Operations!BD9+Inputs!$F$79+BD9)/100*Time!BD20/360</f>
        <v/>
      </c>
      <c r="BE12" s="14">
        <f>(Operations!BE9+Inputs!$F$79+BE9)/100*Time!BE20/360</f>
        <v/>
      </c>
      <c r="BF12" s="14">
        <f>(Operations!BF9+Inputs!$F$79+BF9)/100*Time!BF20/360</f>
        <v/>
      </c>
      <c r="BG12" s="14">
        <f>(Operations!BG9+Inputs!$F$79+BG9)/100*Time!BG20/360</f>
        <v/>
      </c>
      <c r="BH12" s="14">
        <f>(Operations!BH9+Inputs!$F$79+BH9)/100*Time!BH20/360</f>
        <v/>
      </c>
      <c r="BI12" s="14">
        <f>(Operations!BI9+Inputs!$F$79+BI9)/100*Time!BI20/360</f>
        <v/>
      </c>
      <c r="BJ12" s="14">
        <f>(Operations!BJ9+Inputs!$F$79+BJ9)/100*Time!BJ20/360</f>
        <v/>
      </c>
      <c r="BK12" s="14">
        <f>(Operations!BK9+Inputs!$F$79+BK9)/100*Time!BK20/360</f>
        <v/>
      </c>
      <c r="BL12" s="14">
        <f>(Operations!BL9+Inputs!$F$79+BL9)/100*Time!BL20/360</f>
        <v/>
      </c>
      <c r="BM12" s="14">
        <f>(Operations!BM9+Inputs!$F$79+BM9)/100*Time!BM20/360</f>
        <v/>
      </c>
      <c r="BN12" s="14">
        <f>(Operations!BN9+Inputs!$F$79+BN9)/100*Time!BN20/360</f>
        <v/>
      </c>
    </row>
    <row r="13">
      <c r="D13" t="inlineStr">
        <is>
          <t>Commercial tranche: rate per period</t>
        </is>
      </c>
      <c r="E13" t="inlineStr">
        <is>
          <t>factor</t>
        </is>
      </c>
      <c r="J13" s="14">
        <f>(Operations!J9+J8+J9)/100*Time!J20/360/(1-Inputs!$F$91/100)</f>
        <v/>
      </c>
      <c r="K13" s="14">
        <f>(Operations!K9+K8+K9)/100*Time!K20/360/(1-Inputs!$F$91/100)</f>
        <v/>
      </c>
      <c r="L13" s="14">
        <f>(Operations!L9+L8+L9)/100*Time!L20/360/(1-Inputs!$F$91/100)</f>
        <v/>
      </c>
      <c r="M13" s="14">
        <f>(Operations!M9+M8+M9)/100*Time!M20/360/(1-Inputs!$F$91/100)</f>
        <v/>
      </c>
      <c r="N13" s="14">
        <f>(Operations!N9+N8+N9)/100*Time!N20/360/(1-Inputs!$F$91/100)</f>
        <v/>
      </c>
      <c r="O13" s="14">
        <f>(Operations!O9+O8+O9)/100*Time!O20/360/(1-Inputs!$F$91/100)</f>
        <v/>
      </c>
      <c r="P13" s="14">
        <f>(Operations!P9+P8+P9)/100*Time!P20/360/(1-Inputs!$F$91/100)</f>
        <v/>
      </c>
      <c r="Q13" s="14">
        <f>(Operations!Q9+Q8+Q9)/100*Time!Q20/360/(1-Inputs!$F$91/100)</f>
        <v/>
      </c>
      <c r="R13" s="14">
        <f>(Operations!R9+R8+R9)/100*Time!R20/360/(1-Inputs!$F$91/100)</f>
        <v/>
      </c>
      <c r="S13" s="14">
        <f>(Operations!S9+S8+S9)/100*Time!S20/360/(1-Inputs!$F$91/100)</f>
        <v/>
      </c>
      <c r="T13" s="14">
        <f>(Operations!T9+T8+T9)/100*Time!T20/360/(1-Inputs!$F$91/100)</f>
        <v/>
      </c>
      <c r="U13" s="14">
        <f>(Operations!U9+U8+U9)/100*Time!U20/360/(1-Inputs!$F$91/100)</f>
        <v/>
      </c>
      <c r="V13" s="14">
        <f>(Operations!V9+V8+V9)/100*Time!V20/360/(1-Inputs!$F$91/100)</f>
        <v/>
      </c>
      <c r="W13" s="14">
        <f>(Operations!W9+W8+W9)/100*Time!W20/360/(1-Inputs!$F$91/100)</f>
        <v/>
      </c>
      <c r="X13" s="14">
        <f>(Operations!X9+X8+X9)/100*Time!X20/360/(1-Inputs!$F$91/100)</f>
        <v/>
      </c>
      <c r="Y13" s="14">
        <f>(Operations!Y9+Y8+Y9)/100*Time!Y20/360/(1-Inputs!$F$91/100)</f>
        <v/>
      </c>
      <c r="Z13" s="14">
        <f>(Operations!Z9+Z8+Z9)/100*Time!Z20/360/(1-Inputs!$F$91/100)</f>
        <v/>
      </c>
      <c r="AA13" s="14">
        <f>(Operations!AA9+AA8+AA9)/100*Time!AA20/360/(1-Inputs!$F$91/100)</f>
        <v/>
      </c>
      <c r="AB13" s="14">
        <f>(Operations!AB9+AB8+AB9)/100*Time!AB20/360/(1-Inputs!$F$91/100)</f>
        <v/>
      </c>
      <c r="AC13" s="14">
        <f>(Operations!AC9+AC8+AC9)/100*Time!AC20/360/(1-Inputs!$F$91/100)</f>
        <v/>
      </c>
      <c r="AD13" s="14">
        <f>(Operations!AD9+AD8+AD9)/100*Time!AD20/360/(1-Inputs!$F$91/100)</f>
        <v/>
      </c>
      <c r="AE13" s="14">
        <f>(Operations!AE9+AE8+AE9)/100*Time!AE20/360/(1-Inputs!$F$91/100)</f>
        <v/>
      </c>
      <c r="AF13" s="14">
        <f>(Operations!AF9+AF8+AF9)/100*Time!AF20/360/(1-Inputs!$F$91/100)</f>
        <v/>
      </c>
      <c r="AG13" s="14">
        <f>(Operations!AG9+AG8+AG9)/100*Time!AG20/360/(1-Inputs!$F$91/100)</f>
        <v/>
      </c>
      <c r="AH13" s="14">
        <f>(Operations!AH9+AH8+AH9)/100*Time!AH20/360/(1-Inputs!$F$91/100)</f>
        <v/>
      </c>
      <c r="AI13" s="14">
        <f>(Operations!AI9+AI8+AI9)/100*Time!AI20/360/(1-Inputs!$F$91/100)</f>
        <v/>
      </c>
      <c r="AJ13" s="14">
        <f>(Operations!AJ9+AJ8+AJ9)/100*Time!AJ20/360/(1-Inputs!$F$91/100)</f>
        <v/>
      </c>
      <c r="AK13" s="14">
        <f>(Operations!AK9+AK8+AK9)/100*Time!AK20/360/(1-Inputs!$F$91/100)</f>
        <v/>
      </c>
      <c r="AL13" s="14">
        <f>(Operations!AL9+AL8+AL9)/100*Time!AL20/360/(1-Inputs!$F$91/100)</f>
        <v/>
      </c>
      <c r="AM13" s="14">
        <f>(Operations!AM9+AM8+AM9)/100*Time!AM20/360/(1-Inputs!$F$91/100)</f>
        <v/>
      </c>
      <c r="AN13" s="14">
        <f>(Operations!AN9+AN8+AN9)/100*Time!AN20/360/(1-Inputs!$F$91/100)</f>
        <v/>
      </c>
      <c r="AO13" s="14">
        <f>(Operations!AO9+AO8+AO9)/100*Time!AO20/360/(1-Inputs!$F$91/100)</f>
        <v/>
      </c>
      <c r="AP13" s="14">
        <f>(Operations!AP9+AP8+AP9)/100*Time!AP20/360/(1-Inputs!$F$91/100)</f>
        <v/>
      </c>
      <c r="AQ13" s="14">
        <f>(Operations!AQ9+AQ8+AQ9)/100*Time!AQ20/360/(1-Inputs!$F$91/100)</f>
        <v/>
      </c>
      <c r="AR13" s="14">
        <f>(Operations!AR9+AR8+AR9)/100*Time!AR20/360/(1-Inputs!$F$91/100)</f>
        <v/>
      </c>
      <c r="AS13" s="14">
        <f>(Operations!AS9+AS8+AS9)/100*Time!AS20/360/(1-Inputs!$F$91/100)</f>
        <v/>
      </c>
      <c r="AT13" s="14">
        <f>(Operations!AT9+AT8+AT9)/100*Time!AT20/360/(1-Inputs!$F$91/100)</f>
        <v/>
      </c>
      <c r="AU13" s="14">
        <f>(Operations!AU9+AU8+AU9)/100*Time!AU20/360/(1-Inputs!$F$91/100)</f>
        <v/>
      </c>
      <c r="AV13" s="14">
        <f>(Operations!AV9+AV8+AV9)/100*Time!AV20/360/(1-Inputs!$F$91/100)</f>
        <v/>
      </c>
      <c r="AW13" s="14">
        <f>(Operations!AW9+AW8+AW9)/100*Time!AW20/360/(1-Inputs!$F$91/100)</f>
        <v/>
      </c>
      <c r="AX13" s="14">
        <f>(Operations!AX9+AX8+AX9)/100*Time!AX20/360/(1-Inputs!$F$91/100)</f>
        <v/>
      </c>
      <c r="AY13" s="14">
        <f>(Operations!AY9+AY8+AY9)/100*Time!AY20/360/(1-Inputs!$F$91/100)</f>
        <v/>
      </c>
      <c r="AZ13" s="14">
        <f>(Operations!AZ9+AZ8+AZ9)/100*Time!AZ20/360/(1-Inputs!$F$91/100)</f>
        <v/>
      </c>
      <c r="BA13" s="14">
        <f>(Operations!BA9+BA8+BA9)/100*Time!BA20/360/(1-Inputs!$F$91/100)</f>
        <v/>
      </c>
      <c r="BB13" s="14">
        <f>(Operations!BB9+BB8+BB9)/100*Time!BB20/360/(1-Inputs!$F$91/100)</f>
        <v/>
      </c>
      <c r="BC13" s="14">
        <f>(Operations!BC9+BC8+BC9)/100*Time!BC20/360/(1-Inputs!$F$91/100)</f>
        <v/>
      </c>
      <c r="BD13" s="14">
        <f>(Operations!BD9+BD8+BD9)/100*Time!BD20/360/(1-Inputs!$F$91/100)</f>
        <v/>
      </c>
      <c r="BE13" s="14">
        <f>(Operations!BE9+BE8+BE9)/100*Time!BE20/360/(1-Inputs!$F$91/100)</f>
        <v/>
      </c>
      <c r="BF13" s="14">
        <f>(Operations!BF9+BF8+BF9)/100*Time!BF20/360/(1-Inputs!$F$91/100)</f>
        <v/>
      </c>
      <c r="BG13" s="14">
        <f>(Operations!BG9+BG8+BG9)/100*Time!BG20/360/(1-Inputs!$F$91/100)</f>
        <v/>
      </c>
      <c r="BH13" s="14">
        <f>(Operations!BH9+BH8+BH9)/100*Time!BH20/360/(1-Inputs!$F$91/100)</f>
        <v/>
      </c>
      <c r="BI13" s="14">
        <f>(Operations!BI9+BI8+BI9)/100*Time!BI20/360/(1-Inputs!$F$91/100)</f>
        <v/>
      </c>
      <c r="BJ13" s="14">
        <f>(Operations!BJ9+BJ8+BJ9)/100*Time!BJ20/360/(1-Inputs!$F$91/100)</f>
        <v/>
      </c>
      <c r="BK13" s="14">
        <f>(Operations!BK9+BK8+BK9)/100*Time!BK20/360/(1-Inputs!$F$91/100)</f>
        <v/>
      </c>
      <c r="BL13" s="14">
        <f>(Operations!BL9+BL8+BL9)/100*Time!BL20/360/(1-Inputs!$F$91/100)</f>
        <v/>
      </c>
      <c r="BM13" s="14">
        <f>(Operations!BM9+BM8+BM9)/100*Time!BM20/360/(1-Inputs!$F$91/100)</f>
        <v/>
      </c>
      <c r="BN13" s="14">
        <f>(Operations!BN9+BN8+BN9)/100*Time!BN20/360/(1-Inputs!$F$91/100)</f>
        <v/>
      </c>
    </row>
    <row r="14">
      <c r="D14" t="inlineStr">
        <is>
          <t>Standby facility: rate per period</t>
        </is>
      </c>
      <c r="E14" t="inlineStr">
        <is>
          <t>factor</t>
        </is>
      </c>
      <c r="J14" s="14">
        <f>(Inputs!$F$100*(Operations!J9+J8+Inputs!$F$99+J9)/(1-Inputs!$F$91/100)+(1-Inputs!$F$100)*(Operations!J9+Inputs!$F$78+Inputs!$F$99+J9))/100*Time!J20/360</f>
        <v/>
      </c>
      <c r="K14" s="14">
        <f>(Inputs!$F$100*(Operations!K9+K8+Inputs!$F$99+K9)/(1-Inputs!$F$91/100)+(1-Inputs!$F$100)*(Operations!K9+Inputs!$F$78+Inputs!$F$99+K9))/100*Time!K20/360</f>
        <v/>
      </c>
      <c r="L14" s="14">
        <f>(Inputs!$F$100*(Operations!L9+L8+Inputs!$F$99+L9)/(1-Inputs!$F$91/100)+(1-Inputs!$F$100)*(Operations!L9+Inputs!$F$78+Inputs!$F$99+L9))/100*Time!L20/360</f>
        <v/>
      </c>
      <c r="M14" s="14">
        <f>(Inputs!$F$100*(Operations!M9+M8+Inputs!$F$99+M9)/(1-Inputs!$F$91/100)+(1-Inputs!$F$100)*(Operations!M9+Inputs!$F$78+Inputs!$F$99+M9))/100*Time!M20/360</f>
        <v/>
      </c>
      <c r="N14" s="14">
        <f>(Inputs!$F$100*(Operations!N9+N8+Inputs!$F$99+N9)/(1-Inputs!$F$91/100)+(1-Inputs!$F$100)*(Operations!N9+Inputs!$F$78+Inputs!$F$99+N9))/100*Time!N20/360</f>
        <v/>
      </c>
      <c r="O14" s="14">
        <f>(Inputs!$F$100*(Operations!O9+O8+Inputs!$F$99+O9)/(1-Inputs!$F$91/100)+(1-Inputs!$F$100)*(Operations!O9+Inputs!$F$78+Inputs!$F$99+O9))/100*Time!O20/360</f>
        <v/>
      </c>
      <c r="P14" s="14">
        <f>(Inputs!$F$100*(Operations!P9+P8+Inputs!$F$99+P9)/(1-Inputs!$F$91/100)+(1-Inputs!$F$100)*(Operations!P9+Inputs!$F$78+Inputs!$F$99+P9))/100*Time!P20/360</f>
        <v/>
      </c>
      <c r="Q14" s="14">
        <f>(Inputs!$F$100*(Operations!Q9+Q8+Inputs!$F$99+Q9)/(1-Inputs!$F$91/100)+(1-Inputs!$F$100)*(Operations!Q9+Inputs!$F$78+Inputs!$F$99+Q9))/100*Time!Q20/360</f>
        <v/>
      </c>
      <c r="R14" s="14">
        <f>(Inputs!$F$100*(Operations!R9+R8+Inputs!$F$99+R9)/(1-Inputs!$F$91/100)+(1-Inputs!$F$100)*(Operations!R9+Inputs!$F$78+Inputs!$F$99+R9))/100*Time!R20/360</f>
        <v/>
      </c>
      <c r="S14" s="14">
        <f>(Inputs!$F$100*(Operations!S9+S8+Inputs!$F$99+S9)/(1-Inputs!$F$91/100)+(1-Inputs!$F$100)*(Operations!S9+Inputs!$F$78+Inputs!$F$99+S9))/100*Time!S20/360</f>
        <v/>
      </c>
      <c r="T14" s="14">
        <f>(Inputs!$F$100*(Operations!T9+T8+Inputs!$F$99+T9)/(1-Inputs!$F$91/100)+(1-Inputs!$F$100)*(Operations!T9+Inputs!$F$78+Inputs!$F$99+T9))/100*Time!T20/360</f>
        <v/>
      </c>
      <c r="U14" s="14">
        <f>(Inputs!$F$100*(Operations!U9+U8+Inputs!$F$99+U9)/(1-Inputs!$F$91/100)+(1-Inputs!$F$100)*(Operations!U9+Inputs!$F$78+Inputs!$F$99+U9))/100*Time!U20/360</f>
        <v/>
      </c>
      <c r="V14" s="14">
        <f>(Inputs!$F$100*(Operations!V9+V8+Inputs!$F$99+V9)/(1-Inputs!$F$91/100)+(1-Inputs!$F$100)*(Operations!V9+Inputs!$F$78+Inputs!$F$99+V9))/100*Time!V20/360</f>
        <v/>
      </c>
      <c r="W14" s="14">
        <f>(Inputs!$F$100*(Operations!W9+W8+Inputs!$F$99+W9)/(1-Inputs!$F$91/100)+(1-Inputs!$F$100)*(Operations!W9+Inputs!$F$78+Inputs!$F$99+W9))/100*Time!W20/360</f>
        <v/>
      </c>
      <c r="X14" s="14">
        <f>(Inputs!$F$100*(Operations!X9+X8+Inputs!$F$99+X9)/(1-Inputs!$F$91/100)+(1-Inputs!$F$100)*(Operations!X9+Inputs!$F$78+Inputs!$F$99+X9))/100*Time!X20/360</f>
        <v/>
      </c>
      <c r="Y14" s="14">
        <f>(Inputs!$F$100*(Operations!Y9+Y8+Inputs!$F$99+Y9)/(1-Inputs!$F$91/100)+(1-Inputs!$F$100)*(Operations!Y9+Inputs!$F$78+Inputs!$F$99+Y9))/100*Time!Y20/360</f>
        <v/>
      </c>
      <c r="Z14" s="14">
        <f>(Inputs!$F$100*(Operations!Z9+Z8+Inputs!$F$99+Z9)/(1-Inputs!$F$91/100)+(1-Inputs!$F$100)*(Operations!Z9+Inputs!$F$78+Inputs!$F$99+Z9))/100*Time!Z20/360</f>
        <v/>
      </c>
      <c r="AA14" s="14">
        <f>(Inputs!$F$100*(Operations!AA9+AA8+Inputs!$F$99+AA9)/(1-Inputs!$F$91/100)+(1-Inputs!$F$100)*(Operations!AA9+Inputs!$F$78+Inputs!$F$99+AA9))/100*Time!AA20/360</f>
        <v/>
      </c>
      <c r="AB14" s="14">
        <f>(Inputs!$F$100*(Operations!AB9+AB8+Inputs!$F$99+AB9)/(1-Inputs!$F$91/100)+(1-Inputs!$F$100)*(Operations!AB9+Inputs!$F$78+Inputs!$F$99+AB9))/100*Time!AB20/360</f>
        <v/>
      </c>
      <c r="AC14" s="14">
        <f>(Inputs!$F$100*(Operations!AC9+AC8+Inputs!$F$99+AC9)/(1-Inputs!$F$91/100)+(1-Inputs!$F$100)*(Operations!AC9+Inputs!$F$78+Inputs!$F$99+AC9))/100*Time!AC20/360</f>
        <v/>
      </c>
      <c r="AD14" s="14">
        <f>(Inputs!$F$100*(Operations!AD9+AD8+Inputs!$F$99+AD9)/(1-Inputs!$F$91/100)+(1-Inputs!$F$100)*(Operations!AD9+Inputs!$F$78+Inputs!$F$99+AD9))/100*Time!AD20/360</f>
        <v/>
      </c>
      <c r="AE14" s="14">
        <f>(Inputs!$F$100*(Operations!AE9+AE8+Inputs!$F$99+AE9)/(1-Inputs!$F$91/100)+(1-Inputs!$F$100)*(Operations!AE9+Inputs!$F$78+Inputs!$F$99+AE9))/100*Time!AE20/360</f>
        <v/>
      </c>
      <c r="AF14" s="14">
        <f>(Inputs!$F$100*(Operations!AF9+AF8+Inputs!$F$99+AF9)/(1-Inputs!$F$91/100)+(1-Inputs!$F$100)*(Operations!AF9+Inputs!$F$78+Inputs!$F$99+AF9))/100*Time!AF20/360</f>
        <v/>
      </c>
      <c r="AG14" s="14">
        <f>(Inputs!$F$100*(Operations!AG9+AG8+Inputs!$F$99+AG9)/(1-Inputs!$F$91/100)+(1-Inputs!$F$100)*(Operations!AG9+Inputs!$F$78+Inputs!$F$99+AG9))/100*Time!AG20/360</f>
        <v/>
      </c>
      <c r="AH14" s="14">
        <f>(Inputs!$F$100*(Operations!AH9+AH8+Inputs!$F$99+AH9)/(1-Inputs!$F$91/100)+(1-Inputs!$F$100)*(Operations!AH9+Inputs!$F$78+Inputs!$F$99+AH9))/100*Time!AH20/360</f>
        <v/>
      </c>
      <c r="AI14" s="14">
        <f>(Inputs!$F$100*(Operations!AI9+AI8+Inputs!$F$99+AI9)/(1-Inputs!$F$91/100)+(1-Inputs!$F$100)*(Operations!AI9+Inputs!$F$78+Inputs!$F$99+AI9))/100*Time!AI20/360</f>
        <v/>
      </c>
      <c r="AJ14" s="14">
        <f>(Inputs!$F$100*(Operations!AJ9+AJ8+Inputs!$F$99+AJ9)/(1-Inputs!$F$91/100)+(1-Inputs!$F$100)*(Operations!AJ9+Inputs!$F$78+Inputs!$F$99+AJ9))/100*Time!AJ20/360</f>
        <v/>
      </c>
      <c r="AK14" s="14">
        <f>(Inputs!$F$100*(Operations!AK9+AK8+Inputs!$F$99+AK9)/(1-Inputs!$F$91/100)+(1-Inputs!$F$100)*(Operations!AK9+Inputs!$F$78+Inputs!$F$99+AK9))/100*Time!AK20/360</f>
        <v/>
      </c>
      <c r="AL14" s="14">
        <f>(Inputs!$F$100*(Operations!AL9+AL8+Inputs!$F$99+AL9)/(1-Inputs!$F$91/100)+(1-Inputs!$F$100)*(Operations!AL9+Inputs!$F$78+Inputs!$F$99+AL9))/100*Time!AL20/360</f>
        <v/>
      </c>
      <c r="AM14" s="14">
        <f>(Inputs!$F$100*(Operations!AM9+AM8+Inputs!$F$99+AM9)/(1-Inputs!$F$91/100)+(1-Inputs!$F$100)*(Operations!AM9+Inputs!$F$78+Inputs!$F$99+AM9))/100*Time!AM20/360</f>
        <v/>
      </c>
      <c r="AN14" s="14">
        <f>(Inputs!$F$100*(Operations!AN9+AN8+Inputs!$F$99+AN9)/(1-Inputs!$F$91/100)+(1-Inputs!$F$100)*(Operations!AN9+Inputs!$F$78+Inputs!$F$99+AN9))/100*Time!AN20/360</f>
        <v/>
      </c>
      <c r="AO14" s="14">
        <f>(Inputs!$F$100*(Operations!AO9+AO8+Inputs!$F$99+AO9)/(1-Inputs!$F$91/100)+(1-Inputs!$F$100)*(Operations!AO9+Inputs!$F$78+Inputs!$F$99+AO9))/100*Time!AO20/360</f>
        <v/>
      </c>
      <c r="AP14" s="14">
        <f>(Inputs!$F$100*(Operations!AP9+AP8+Inputs!$F$99+AP9)/(1-Inputs!$F$91/100)+(1-Inputs!$F$100)*(Operations!AP9+Inputs!$F$78+Inputs!$F$99+AP9))/100*Time!AP20/360</f>
        <v/>
      </c>
      <c r="AQ14" s="14">
        <f>(Inputs!$F$100*(Operations!AQ9+AQ8+Inputs!$F$99+AQ9)/(1-Inputs!$F$91/100)+(1-Inputs!$F$100)*(Operations!AQ9+Inputs!$F$78+Inputs!$F$99+AQ9))/100*Time!AQ20/360</f>
        <v/>
      </c>
      <c r="AR14" s="14">
        <f>(Inputs!$F$100*(Operations!AR9+AR8+Inputs!$F$99+AR9)/(1-Inputs!$F$91/100)+(1-Inputs!$F$100)*(Operations!AR9+Inputs!$F$78+Inputs!$F$99+AR9))/100*Time!AR20/360</f>
        <v/>
      </c>
      <c r="AS14" s="14">
        <f>(Inputs!$F$100*(Operations!AS9+AS8+Inputs!$F$99+AS9)/(1-Inputs!$F$91/100)+(1-Inputs!$F$100)*(Operations!AS9+Inputs!$F$78+Inputs!$F$99+AS9))/100*Time!AS20/360</f>
        <v/>
      </c>
      <c r="AT14" s="14">
        <f>(Inputs!$F$100*(Operations!AT9+AT8+Inputs!$F$99+AT9)/(1-Inputs!$F$91/100)+(1-Inputs!$F$100)*(Operations!AT9+Inputs!$F$78+Inputs!$F$99+AT9))/100*Time!AT20/360</f>
        <v/>
      </c>
      <c r="AU14" s="14">
        <f>(Inputs!$F$100*(Operations!AU9+AU8+Inputs!$F$99+AU9)/(1-Inputs!$F$91/100)+(1-Inputs!$F$100)*(Operations!AU9+Inputs!$F$78+Inputs!$F$99+AU9))/100*Time!AU20/360</f>
        <v/>
      </c>
      <c r="AV14" s="14">
        <f>(Inputs!$F$100*(Operations!AV9+AV8+Inputs!$F$99+AV9)/(1-Inputs!$F$91/100)+(1-Inputs!$F$100)*(Operations!AV9+Inputs!$F$78+Inputs!$F$99+AV9))/100*Time!AV20/360</f>
        <v/>
      </c>
      <c r="AW14" s="14">
        <f>(Inputs!$F$100*(Operations!AW9+AW8+Inputs!$F$99+AW9)/(1-Inputs!$F$91/100)+(1-Inputs!$F$100)*(Operations!AW9+Inputs!$F$78+Inputs!$F$99+AW9))/100*Time!AW20/360</f>
        <v/>
      </c>
      <c r="AX14" s="14">
        <f>(Inputs!$F$100*(Operations!AX9+AX8+Inputs!$F$99+AX9)/(1-Inputs!$F$91/100)+(1-Inputs!$F$100)*(Operations!AX9+Inputs!$F$78+Inputs!$F$99+AX9))/100*Time!AX20/360</f>
        <v/>
      </c>
      <c r="AY14" s="14">
        <f>(Inputs!$F$100*(Operations!AY9+AY8+Inputs!$F$99+AY9)/(1-Inputs!$F$91/100)+(1-Inputs!$F$100)*(Operations!AY9+Inputs!$F$78+Inputs!$F$99+AY9))/100*Time!AY20/360</f>
        <v/>
      </c>
      <c r="AZ14" s="14">
        <f>(Inputs!$F$100*(Operations!AZ9+AZ8+Inputs!$F$99+AZ9)/(1-Inputs!$F$91/100)+(1-Inputs!$F$100)*(Operations!AZ9+Inputs!$F$78+Inputs!$F$99+AZ9))/100*Time!AZ20/360</f>
        <v/>
      </c>
      <c r="BA14" s="14">
        <f>(Inputs!$F$100*(Operations!BA9+BA8+Inputs!$F$99+BA9)/(1-Inputs!$F$91/100)+(1-Inputs!$F$100)*(Operations!BA9+Inputs!$F$78+Inputs!$F$99+BA9))/100*Time!BA20/360</f>
        <v/>
      </c>
      <c r="BB14" s="14">
        <f>(Inputs!$F$100*(Operations!BB9+BB8+Inputs!$F$99+BB9)/(1-Inputs!$F$91/100)+(1-Inputs!$F$100)*(Operations!BB9+Inputs!$F$78+Inputs!$F$99+BB9))/100*Time!BB20/360</f>
        <v/>
      </c>
      <c r="BC14" s="14">
        <f>(Inputs!$F$100*(Operations!BC9+BC8+Inputs!$F$99+BC9)/(1-Inputs!$F$91/100)+(1-Inputs!$F$100)*(Operations!BC9+Inputs!$F$78+Inputs!$F$99+BC9))/100*Time!BC20/360</f>
        <v/>
      </c>
      <c r="BD14" s="14">
        <f>(Inputs!$F$100*(Operations!BD9+BD8+Inputs!$F$99+BD9)/(1-Inputs!$F$91/100)+(1-Inputs!$F$100)*(Operations!BD9+Inputs!$F$78+Inputs!$F$99+BD9))/100*Time!BD20/360</f>
        <v/>
      </c>
      <c r="BE14" s="14">
        <f>(Inputs!$F$100*(Operations!BE9+BE8+Inputs!$F$99+BE9)/(1-Inputs!$F$91/100)+(1-Inputs!$F$100)*(Operations!BE9+Inputs!$F$78+Inputs!$F$99+BE9))/100*Time!BE20/360</f>
        <v/>
      </c>
      <c r="BF14" s="14">
        <f>(Inputs!$F$100*(Operations!BF9+BF8+Inputs!$F$99+BF9)/(1-Inputs!$F$91/100)+(1-Inputs!$F$100)*(Operations!BF9+Inputs!$F$78+Inputs!$F$99+BF9))/100*Time!BF20/360</f>
        <v/>
      </c>
      <c r="BG14" s="14">
        <f>(Inputs!$F$100*(Operations!BG9+BG8+Inputs!$F$99+BG9)/(1-Inputs!$F$91/100)+(1-Inputs!$F$100)*(Operations!BG9+Inputs!$F$78+Inputs!$F$99+BG9))/100*Time!BG20/360</f>
        <v/>
      </c>
      <c r="BH14" s="14">
        <f>(Inputs!$F$100*(Operations!BH9+BH8+Inputs!$F$99+BH9)/(1-Inputs!$F$91/100)+(1-Inputs!$F$100)*(Operations!BH9+Inputs!$F$78+Inputs!$F$99+BH9))/100*Time!BH20/360</f>
        <v/>
      </c>
      <c r="BI14" s="14">
        <f>(Inputs!$F$100*(Operations!BI9+BI8+Inputs!$F$99+BI9)/(1-Inputs!$F$91/100)+(1-Inputs!$F$100)*(Operations!BI9+Inputs!$F$78+Inputs!$F$99+BI9))/100*Time!BI20/360</f>
        <v/>
      </c>
      <c r="BJ14" s="14">
        <f>(Inputs!$F$100*(Operations!BJ9+BJ8+Inputs!$F$99+BJ9)/(1-Inputs!$F$91/100)+(1-Inputs!$F$100)*(Operations!BJ9+Inputs!$F$78+Inputs!$F$99+BJ9))/100*Time!BJ20/360</f>
        <v/>
      </c>
      <c r="BK14" s="14">
        <f>(Inputs!$F$100*(Operations!BK9+BK8+Inputs!$F$99+BK9)/(1-Inputs!$F$91/100)+(1-Inputs!$F$100)*(Operations!BK9+Inputs!$F$78+Inputs!$F$99+BK9))/100*Time!BK20/360</f>
        <v/>
      </c>
      <c r="BL14" s="14">
        <f>(Inputs!$F$100*(Operations!BL9+BL8+Inputs!$F$99+BL9)/(1-Inputs!$F$91/100)+(1-Inputs!$F$100)*(Operations!BL9+Inputs!$F$78+Inputs!$F$99+BL9))/100*Time!BL20/360</f>
        <v/>
      </c>
      <c r="BM14" s="14">
        <f>(Inputs!$F$100*(Operations!BM9+BM8+Inputs!$F$99+BM9)/(1-Inputs!$F$91/100)+(1-Inputs!$F$100)*(Operations!BM9+Inputs!$F$78+Inputs!$F$99+BM9))/100*Time!BM20/360</f>
        <v/>
      </c>
      <c r="BN14" s="14">
        <f>(Inputs!$F$100*(Operations!BN9+BN8+Inputs!$F$99+BN9)/(1-Inputs!$F$91/100)+(1-Inputs!$F$100)*(Operations!BN9+Inputs!$F$78+Inputs!$F$99+BN9))/100*Time!BN20/360</f>
        <v/>
      </c>
    </row>
    <row r="15">
      <c r="D15" t="inlineStr">
        <is>
          <t>2025 project bond: rate per period</t>
        </is>
      </c>
      <c r="E15" t="inlineStr">
        <is>
          <t>factor</t>
        </is>
      </c>
      <c r="J15" s="14">
        <f>Inputs!$F$192/100*0.5</f>
        <v/>
      </c>
      <c r="K15" s="14">
        <f>Inputs!$F$192/100*0.5</f>
        <v/>
      </c>
      <c r="L15" s="14">
        <f>Inputs!$F$192/100*0.5</f>
        <v/>
      </c>
      <c r="M15" s="14">
        <f>Inputs!$F$192/100*0.5</f>
        <v/>
      </c>
      <c r="N15" s="14">
        <f>Inputs!$F$192/100*0.5</f>
        <v/>
      </c>
      <c r="O15" s="14">
        <f>Inputs!$F$192/100*0.5</f>
        <v/>
      </c>
      <c r="P15" s="14">
        <f>Inputs!$F$192/100*0.5</f>
        <v/>
      </c>
      <c r="Q15" s="14">
        <f>Inputs!$F$192/100*0.5</f>
        <v/>
      </c>
      <c r="R15" s="14">
        <f>Inputs!$F$192/100*0.5</f>
        <v/>
      </c>
      <c r="S15" s="14">
        <f>Inputs!$F$192/100*0.5</f>
        <v/>
      </c>
      <c r="T15" s="14">
        <f>Inputs!$F$192/100*0.5</f>
        <v/>
      </c>
      <c r="U15" s="14">
        <f>Inputs!$F$192/100*0.5</f>
        <v/>
      </c>
      <c r="V15" s="14">
        <f>Inputs!$F$192/100*0.5</f>
        <v/>
      </c>
      <c r="W15" s="14">
        <f>Inputs!$F$192/100*0.5</f>
        <v/>
      </c>
      <c r="X15" s="14">
        <f>Inputs!$F$192/100*0.5</f>
        <v/>
      </c>
      <c r="Y15" s="14">
        <f>Inputs!$F$192/100*0.5</f>
        <v/>
      </c>
      <c r="Z15" s="14">
        <f>Inputs!$F$192/100*0.5</f>
        <v/>
      </c>
      <c r="AA15" s="14">
        <f>Inputs!$F$192/100*0.5</f>
        <v/>
      </c>
      <c r="AB15" s="14">
        <f>Inputs!$F$192/100*0.5</f>
        <v/>
      </c>
      <c r="AC15" s="14">
        <f>Inputs!$F$192/100*0.5</f>
        <v/>
      </c>
      <c r="AD15" s="14">
        <f>Inputs!$F$192/100*0.5</f>
        <v/>
      </c>
      <c r="AE15" s="14">
        <f>Inputs!$F$192/100*0.5</f>
        <v/>
      </c>
      <c r="AF15" s="14">
        <f>Inputs!$F$192/100*0.5</f>
        <v/>
      </c>
      <c r="AG15" s="14">
        <f>Inputs!$F$192/100*0.5</f>
        <v/>
      </c>
      <c r="AH15" s="14">
        <f>Inputs!$F$192/100*0.5</f>
        <v/>
      </c>
      <c r="AI15" s="14">
        <f>Inputs!$F$192/100*0.5</f>
        <v/>
      </c>
      <c r="AJ15" s="14">
        <f>Inputs!$F$192/100*0.5</f>
        <v/>
      </c>
      <c r="AK15" s="14">
        <f>Inputs!$F$192/100*0.5</f>
        <v/>
      </c>
      <c r="AL15" s="14">
        <f>Inputs!$F$192/100*0.5</f>
        <v/>
      </c>
      <c r="AM15" s="14">
        <f>Inputs!$F$192/100*0.5</f>
        <v/>
      </c>
      <c r="AN15" s="14">
        <f>Inputs!$F$192/100*0.5</f>
        <v/>
      </c>
      <c r="AO15" s="14">
        <f>Inputs!$F$192/100*0.5</f>
        <v/>
      </c>
      <c r="AP15" s="14">
        <f>Inputs!$F$192/100*0.5</f>
        <v/>
      </c>
      <c r="AQ15" s="14">
        <f>Inputs!$F$192/100*0.5</f>
        <v/>
      </c>
      <c r="AR15" s="14">
        <f>Inputs!$F$192/100*0.5</f>
        <v/>
      </c>
      <c r="AS15" s="14">
        <f>Inputs!$F$192/100*0.5</f>
        <v/>
      </c>
      <c r="AT15" s="14">
        <f>Inputs!$F$192/100*0.5</f>
        <v/>
      </c>
      <c r="AU15" s="14">
        <f>Inputs!$F$192/100*0.5</f>
        <v/>
      </c>
      <c r="AV15" s="14">
        <f>Inputs!$F$192/100*0.5</f>
        <v/>
      </c>
      <c r="AW15" s="14">
        <f>Inputs!$F$192/100*0.5</f>
        <v/>
      </c>
      <c r="AX15" s="14">
        <f>Inputs!$F$192/100*0.5</f>
        <v/>
      </c>
      <c r="AY15" s="14">
        <f>Inputs!$F$192/100*0.5</f>
        <v/>
      </c>
      <c r="AZ15" s="14">
        <f>Inputs!$F$192/100*0.5</f>
        <v/>
      </c>
      <c r="BA15" s="14">
        <f>Inputs!$F$192/100*0.5</f>
        <v/>
      </c>
      <c r="BB15" s="14">
        <f>Inputs!$F$192/100*0.5</f>
        <v/>
      </c>
      <c r="BC15" s="14">
        <f>Inputs!$F$192/100*0.5</f>
        <v/>
      </c>
      <c r="BD15" s="14">
        <f>Inputs!$F$192/100*0.5</f>
        <v/>
      </c>
      <c r="BE15" s="14">
        <f>Inputs!$F$192/100*0.5</f>
        <v/>
      </c>
      <c r="BF15" s="14">
        <f>Inputs!$F$192/100*0.5</f>
        <v/>
      </c>
      <c r="BG15" s="14">
        <f>Inputs!$F$192/100*0.5</f>
        <v/>
      </c>
      <c r="BH15" s="14">
        <f>Inputs!$F$192/100*0.5</f>
        <v/>
      </c>
      <c r="BI15" s="14">
        <f>Inputs!$F$192/100*0.5</f>
        <v/>
      </c>
      <c r="BJ15" s="14">
        <f>Inputs!$F$192/100*0.5</f>
        <v/>
      </c>
      <c r="BK15" s="14">
        <f>Inputs!$F$192/100*0.5</f>
        <v/>
      </c>
      <c r="BL15" s="14">
        <f>Inputs!$F$192/100*0.5</f>
        <v/>
      </c>
      <c r="BM15" s="14">
        <f>Inputs!$F$192/100*0.5</f>
        <v/>
      </c>
      <c r="BN15" s="14">
        <f>Inputs!$F$192/100*0.5</f>
        <v/>
      </c>
    </row>
    <row r="16">
      <c r="B16" s="2" t="inlineStr">
        <is>
          <t>Contract repayment profile</t>
        </is>
      </c>
    </row>
    <row r="17">
      <c r="D17" t="inlineStr">
        <is>
          <t>Repayment profile, selected</t>
        </is>
      </c>
      <c r="E17" t="inlineStr">
        <is>
          <t>fraction</t>
        </is>
      </c>
      <c r="J17" s="10">
        <f>IF(Inputs!$F$46=1,Inputs!J219,Inputs!J220)</f>
        <v/>
      </c>
      <c r="K17" s="10">
        <f>IF(Inputs!$F$46=1,Inputs!K219,Inputs!K220)</f>
        <v/>
      </c>
      <c r="L17" s="10">
        <f>IF(Inputs!$F$46=1,Inputs!L219,Inputs!L220)</f>
        <v/>
      </c>
      <c r="M17" s="10">
        <f>IF(Inputs!$F$46=1,Inputs!M219,Inputs!M220)</f>
        <v/>
      </c>
      <c r="N17" s="10">
        <f>IF(Inputs!$F$46=1,Inputs!N219,Inputs!N220)</f>
        <v/>
      </c>
      <c r="O17" s="10">
        <f>IF(Inputs!$F$46=1,Inputs!O219,Inputs!O220)</f>
        <v/>
      </c>
      <c r="P17" s="10">
        <f>IF(Inputs!$F$46=1,Inputs!P219,Inputs!P220)</f>
        <v/>
      </c>
      <c r="Q17" s="10">
        <f>IF(Inputs!$F$46=1,Inputs!Q219,Inputs!Q220)</f>
        <v/>
      </c>
      <c r="R17" s="10">
        <f>IF(Inputs!$F$46=1,Inputs!R219,Inputs!R220)</f>
        <v/>
      </c>
      <c r="S17" s="10">
        <f>IF(Inputs!$F$46=1,Inputs!S219,Inputs!S220)</f>
        <v/>
      </c>
      <c r="T17" s="10">
        <f>IF(Inputs!$F$46=1,Inputs!T219,Inputs!T220)</f>
        <v/>
      </c>
      <c r="U17" s="10">
        <f>IF(Inputs!$F$46=1,Inputs!U219,Inputs!U220)</f>
        <v/>
      </c>
      <c r="V17" s="10">
        <f>IF(Inputs!$F$46=1,Inputs!V219,Inputs!V220)</f>
        <v/>
      </c>
      <c r="W17" s="10">
        <f>IF(Inputs!$F$46=1,Inputs!W219,Inputs!W220)</f>
        <v/>
      </c>
      <c r="X17" s="10">
        <f>IF(Inputs!$F$46=1,Inputs!X219,Inputs!X220)</f>
        <v/>
      </c>
      <c r="Y17" s="10">
        <f>IF(Inputs!$F$46=1,Inputs!Y219,Inputs!Y220)</f>
        <v/>
      </c>
      <c r="Z17" s="10">
        <f>IF(Inputs!$F$46=1,Inputs!Z219,Inputs!Z220)</f>
        <v/>
      </c>
      <c r="AA17" s="10">
        <f>IF(Inputs!$F$46=1,Inputs!AA219,Inputs!AA220)</f>
        <v/>
      </c>
      <c r="AB17" s="10">
        <f>IF(Inputs!$F$46=1,Inputs!AB219,Inputs!AB220)</f>
        <v/>
      </c>
      <c r="AC17" s="10">
        <f>IF(Inputs!$F$46=1,Inputs!AC219,Inputs!AC220)</f>
        <v/>
      </c>
      <c r="AD17" s="10">
        <f>IF(Inputs!$F$46=1,Inputs!AD219,Inputs!AD220)</f>
        <v/>
      </c>
      <c r="AE17" s="10">
        <f>IF(Inputs!$F$46=1,Inputs!AE219,Inputs!AE220)</f>
        <v/>
      </c>
      <c r="AF17" s="10">
        <f>IF(Inputs!$F$46=1,Inputs!AF219,Inputs!AF220)</f>
        <v/>
      </c>
      <c r="AG17" s="10">
        <f>IF(Inputs!$F$46=1,Inputs!AG219,Inputs!AG220)</f>
        <v/>
      </c>
      <c r="AH17" s="10">
        <f>IF(Inputs!$F$46=1,Inputs!AH219,Inputs!AH220)</f>
        <v/>
      </c>
      <c r="AI17" s="10">
        <f>IF(Inputs!$F$46=1,Inputs!AI219,Inputs!AI220)</f>
        <v/>
      </c>
      <c r="AJ17" s="10">
        <f>IF(Inputs!$F$46=1,Inputs!AJ219,Inputs!AJ220)</f>
        <v/>
      </c>
      <c r="AK17" s="10">
        <f>IF(Inputs!$F$46=1,Inputs!AK219,Inputs!AK220)</f>
        <v/>
      </c>
      <c r="AL17" s="10">
        <f>IF(Inputs!$F$46=1,Inputs!AL219,Inputs!AL220)</f>
        <v/>
      </c>
      <c r="AM17" s="10">
        <f>IF(Inputs!$F$46=1,Inputs!AM219,Inputs!AM220)</f>
        <v/>
      </c>
      <c r="AN17" s="10">
        <f>IF(Inputs!$F$46=1,Inputs!AN219,Inputs!AN220)</f>
        <v/>
      </c>
      <c r="AO17" s="10">
        <f>IF(Inputs!$F$46=1,Inputs!AO219,Inputs!AO220)</f>
        <v/>
      </c>
      <c r="AP17" s="10">
        <f>IF(Inputs!$F$46=1,Inputs!AP219,Inputs!AP220)</f>
        <v/>
      </c>
      <c r="AQ17" s="10">
        <f>IF(Inputs!$F$46=1,Inputs!AQ219,Inputs!AQ220)</f>
        <v/>
      </c>
      <c r="AR17" s="10">
        <f>IF(Inputs!$F$46=1,Inputs!AR219,Inputs!AR220)</f>
        <v/>
      </c>
      <c r="AS17" s="10">
        <f>IF(Inputs!$F$46=1,Inputs!AS219,Inputs!AS220)</f>
        <v/>
      </c>
      <c r="AT17" s="10">
        <f>IF(Inputs!$F$46=1,Inputs!AT219,Inputs!AT220)</f>
        <v/>
      </c>
      <c r="AU17" s="10">
        <f>IF(Inputs!$F$46=1,Inputs!AU219,Inputs!AU220)</f>
        <v/>
      </c>
      <c r="AV17" s="10">
        <f>IF(Inputs!$F$46=1,Inputs!AV219,Inputs!AV220)</f>
        <v/>
      </c>
      <c r="AW17" s="10">
        <f>IF(Inputs!$F$46=1,Inputs!AW219,Inputs!AW220)</f>
        <v/>
      </c>
      <c r="AX17" s="10">
        <f>IF(Inputs!$F$46=1,Inputs!AX219,Inputs!AX220)</f>
        <v/>
      </c>
      <c r="AY17" s="10">
        <f>IF(Inputs!$F$46=1,Inputs!AY219,Inputs!AY220)</f>
        <v/>
      </c>
      <c r="AZ17" s="10">
        <f>IF(Inputs!$F$46=1,Inputs!AZ219,Inputs!AZ220)</f>
        <v/>
      </c>
      <c r="BA17" s="10">
        <f>IF(Inputs!$F$46=1,Inputs!BA219,Inputs!BA220)</f>
        <v/>
      </c>
      <c r="BB17" s="10">
        <f>IF(Inputs!$F$46=1,Inputs!BB219,Inputs!BB220)</f>
        <v/>
      </c>
      <c r="BC17" s="10">
        <f>IF(Inputs!$F$46=1,Inputs!BC219,Inputs!BC220)</f>
        <v/>
      </c>
      <c r="BD17" s="10">
        <f>IF(Inputs!$F$46=1,Inputs!BD219,Inputs!BD220)</f>
        <v/>
      </c>
      <c r="BE17" s="10">
        <f>IF(Inputs!$F$46=1,Inputs!BE219,Inputs!BE220)</f>
        <v/>
      </c>
      <c r="BF17" s="10">
        <f>IF(Inputs!$F$46=1,Inputs!BF219,Inputs!BF220)</f>
        <v/>
      </c>
      <c r="BG17" s="10">
        <f>IF(Inputs!$F$46=1,Inputs!BG219,Inputs!BG220)</f>
        <v/>
      </c>
      <c r="BH17" s="10">
        <f>IF(Inputs!$F$46=1,Inputs!BH219,Inputs!BH220)</f>
        <v/>
      </c>
      <c r="BI17" s="10">
        <f>IF(Inputs!$F$46=1,Inputs!BI219,Inputs!BI220)</f>
        <v/>
      </c>
      <c r="BJ17" s="10">
        <f>IF(Inputs!$F$46=1,Inputs!BJ219,Inputs!BJ220)</f>
        <v/>
      </c>
      <c r="BK17" s="10">
        <f>IF(Inputs!$F$46=1,Inputs!BK219,Inputs!BK220)</f>
        <v/>
      </c>
      <c r="BL17" s="10">
        <f>IF(Inputs!$F$46=1,Inputs!BL219,Inputs!BL220)</f>
        <v/>
      </c>
      <c r="BM17" s="10">
        <f>IF(Inputs!$F$46=1,Inputs!BM219,Inputs!BM220)</f>
        <v/>
      </c>
      <c r="BN17" s="10">
        <f>IF(Inputs!$F$46=1,Inputs!BN219,Inputs!BN220)</f>
        <v/>
      </c>
    </row>
    <row r="18">
      <c r="D18" t="inlineStr">
        <is>
          <t>Remaining profile (this and later installments)</t>
        </is>
      </c>
      <c r="E18" t="inlineStr">
        <is>
          <t>fraction</t>
        </is>
      </c>
      <c r="J18" s="10">
        <f>SUM(J17:BN17)</f>
        <v/>
      </c>
      <c r="K18" s="10">
        <f>SUM(K17:BN17)</f>
        <v/>
      </c>
      <c r="L18" s="10">
        <f>SUM(L17:BN17)</f>
        <v/>
      </c>
      <c r="M18" s="10">
        <f>SUM(M17:BN17)</f>
        <v/>
      </c>
      <c r="N18" s="10">
        <f>SUM(N17:BN17)</f>
        <v/>
      </c>
      <c r="O18" s="10">
        <f>SUM(O17:BN17)</f>
        <v/>
      </c>
      <c r="P18" s="10">
        <f>SUM(P17:BN17)</f>
        <v/>
      </c>
      <c r="Q18" s="10">
        <f>SUM(Q17:BN17)</f>
        <v/>
      </c>
      <c r="R18" s="10">
        <f>SUM(R17:BN17)</f>
        <v/>
      </c>
      <c r="S18" s="10">
        <f>SUM(S17:BN17)</f>
        <v/>
      </c>
      <c r="T18" s="10">
        <f>SUM(T17:BN17)</f>
        <v/>
      </c>
      <c r="U18" s="10">
        <f>SUM(U17:BN17)</f>
        <v/>
      </c>
      <c r="V18" s="10">
        <f>SUM(V17:BN17)</f>
        <v/>
      </c>
      <c r="W18" s="10">
        <f>SUM(W17:BN17)</f>
        <v/>
      </c>
      <c r="X18" s="10">
        <f>SUM(X17:BN17)</f>
        <v/>
      </c>
      <c r="Y18" s="10">
        <f>SUM(Y17:BN17)</f>
        <v/>
      </c>
      <c r="Z18" s="10">
        <f>SUM(Z17:BN17)</f>
        <v/>
      </c>
      <c r="AA18" s="10">
        <f>SUM(AA17:BN17)</f>
        <v/>
      </c>
      <c r="AB18" s="10">
        <f>SUM(AB17:BN17)</f>
        <v/>
      </c>
      <c r="AC18" s="10">
        <f>SUM(AC17:BN17)</f>
        <v/>
      </c>
      <c r="AD18" s="10">
        <f>SUM(AD17:BN17)</f>
        <v/>
      </c>
      <c r="AE18" s="10">
        <f>SUM(AE17:BN17)</f>
        <v/>
      </c>
      <c r="AF18" s="10">
        <f>SUM(AF17:BN17)</f>
        <v/>
      </c>
      <c r="AG18" s="10">
        <f>SUM(AG17:BN17)</f>
        <v/>
      </c>
      <c r="AH18" s="10">
        <f>SUM(AH17:BN17)</f>
        <v/>
      </c>
      <c r="AI18" s="10">
        <f>SUM(AI17:BN17)</f>
        <v/>
      </c>
      <c r="AJ18" s="10">
        <f>SUM(AJ17:BN17)</f>
        <v/>
      </c>
      <c r="AK18" s="10">
        <f>SUM(AK17:BN17)</f>
        <v/>
      </c>
      <c r="AL18" s="10">
        <f>SUM(AL17:BN17)</f>
        <v/>
      </c>
      <c r="AM18" s="10">
        <f>SUM(AM17:BN17)</f>
        <v/>
      </c>
      <c r="AN18" s="10">
        <f>SUM(AN17:BN17)</f>
        <v/>
      </c>
      <c r="AO18" s="10">
        <f>SUM(AO17:BN17)</f>
        <v/>
      </c>
      <c r="AP18" s="10">
        <f>SUM(AP17:BN17)</f>
        <v/>
      </c>
      <c r="AQ18" s="10">
        <f>SUM(AQ17:BN17)</f>
        <v/>
      </c>
      <c r="AR18" s="10">
        <f>SUM(AR17:BN17)</f>
        <v/>
      </c>
      <c r="AS18" s="10">
        <f>SUM(AS17:BN17)</f>
        <v/>
      </c>
      <c r="AT18" s="10">
        <f>SUM(AT17:BN17)</f>
        <v/>
      </c>
      <c r="AU18" s="10">
        <f>SUM(AU17:BN17)</f>
        <v/>
      </c>
      <c r="AV18" s="10">
        <f>SUM(AV17:BN17)</f>
        <v/>
      </c>
      <c r="AW18" s="10">
        <f>SUM(AW17:BN17)</f>
        <v/>
      </c>
      <c r="AX18" s="10">
        <f>SUM(AX17:BN17)</f>
        <v/>
      </c>
      <c r="AY18" s="10">
        <f>SUM(AY17:BN17)</f>
        <v/>
      </c>
      <c r="AZ18" s="10">
        <f>SUM(AZ17:BN17)</f>
        <v/>
      </c>
      <c r="BA18" s="10">
        <f>SUM(BA17:BN17)</f>
        <v/>
      </c>
      <c r="BB18" s="10">
        <f>SUM(BB17:BN17)</f>
        <v/>
      </c>
      <c r="BC18" s="10">
        <f>SUM(BC17:BN17)</f>
        <v/>
      </c>
      <c r="BD18" s="10">
        <f>SUM(BD17:BN17)</f>
        <v/>
      </c>
      <c r="BE18" s="10">
        <f>SUM(BE17:BN17)</f>
        <v/>
      </c>
      <c r="BF18" s="10">
        <f>SUM(BF17:BN17)</f>
        <v/>
      </c>
      <c r="BG18" s="10">
        <f>SUM(BG17:BN17)</f>
        <v/>
      </c>
      <c r="BH18" s="10">
        <f>SUM(BH17:BN17)</f>
        <v/>
      </c>
      <c r="BI18" s="10">
        <f>SUM(BI17:BN17)</f>
        <v/>
      </c>
      <c r="BJ18" s="10">
        <f>SUM(BJ17:BN17)</f>
        <v/>
      </c>
      <c r="BK18" s="10">
        <f>SUM(BK17:BN17)</f>
        <v/>
      </c>
      <c r="BL18" s="10">
        <f>SUM(BL17:BN17)</f>
        <v/>
      </c>
      <c r="BM18" s="10">
        <f>SUM(BM17:BN17)</f>
        <v/>
      </c>
      <c r="BN18" s="10">
        <f>SUM(BN17:BN17)</f>
        <v/>
      </c>
    </row>
    <row r="19">
      <c r="D19" t="inlineStr">
        <is>
          <t>Installment share of remaining balance</t>
        </is>
      </c>
      <c r="E19" t="inlineStr">
        <is>
          <t>fraction</t>
        </is>
      </c>
      <c r="J19" s="10">
        <f>IF(J18&gt;0.000000000001,J17/J18,0)</f>
        <v/>
      </c>
      <c r="K19" s="10">
        <f>IF(K18&gt;0.000000000001,K17/K18,0)</f>
        <v/>
      </c>
      <c r="L19" s="10">
        <f>IF(L18&gt;0.000000000001,L17/L18,0)</f>
        <v/>
      </c>
      <c r="M19" s="10">
        <f>IF(M18&gt;0.000000000001,M17/M18,0)</f>
        <v/>
      </c>
      <c r="N19" s="10">
        <f>IF(N18&gt;0.000000000001,N17/N18,0)</f>
        <v/>
      </c>
      <c r="O19" s="10">
        <f>IF(O18&gt;0.000000000001,O17/O18,0)</f>
        <v/>
      </c>
      <c r="P19" s="10">
        <f>IF(P18&gt;0.000000000001,P17/P18,0)</f>
        <v/>
      </c>
      <c r="Q19" s="10">
        <f>IF(Q18&gt;0.000000000001,Q17/Q18,0)</f>
        <v/>
      </c>
      <c r="R19" s="10">
        <f>IF(R18&gt;0.000000000001,R17/R18,0)</f>
        <v/>
      </c>
      <c r="S19" s="10">
        <f>IF(S18&gt;0.000000000001,S17/S18,0)</f>
        <v/>
      </c>
      <c r="T19" s="10">
        <f>IF(T18&gt;0.000000000001,T17/T18,0)</f>
        <v/>
      </c>
      <c r="U19" s="10">
        <f>IF(U18&gt;0.000000000001,U17/U18,0)</f>
        <v/>
      </c>
      <c r="V19" s="10">
        <f>IF(V18&gt;0.000000000001,V17/V18,0)</f>
        <v/>
      </c>
      <c r="W19" s="10">
        <f>IF(W18&gt;0.000000000001,W17/W18,0)</f>
        <v/>
      </c>
      <c r="X19" s="10">
        <f>IF(X18&gt;0.000000000001,X17/X18,0)</f>
        <v/>
      </c>
      <c r="Y19" s="10">
        <f>IF(Y18&gt;0.000000000001,Y17/Y18,0)</f>
        <v/>
      </c>
      <c r="Z19" s="10">
        <f>IF(Z18&gt;0.000000000001,Z17/Z18,0)</f>
        <v/>
      </c>
      <c r="AA19" s="10">
        <f>IF(AA18&gt;0.000000000001,AA17/AA18,0)</f>
        <v/>
      </c>
      <c r="AB19" s="10">
        <f>IF(AB18&gt;0.000000000001,AB17/AB18,0)</f>
        <v/>
      </c>
      <c r="AC19" s="10">
        <f>IF(AC18&gt;0.000000000001,AC17/AC18,0)</f>
        <v/>
      </c>
      <c r="AD19" s="10">
        <f>IF(AD18&gt;0.000000000001,AD17/AD18,0)</f>
        <v/>
      </c>
      <c r="AE19" s="10">
        <f>IF(AE18&gt;0.000000000001,AE17/AE18,0)</f>
        <v/>
      </c>
      <c r="AF19" s="10">
        <f>IF(AF18&gt;0.000000000001,AF17/AF18,0)</f>
        <v/>
      </c>
      <c r="AG19" s="10">
        <f>IF(AG18&gt;0.000000000001,AG17/AG18,0)</f>
        <v/>
      </c>
      <c r="AH19" s="10">
        <f>IF(AH18&gt;0.000000000001,AH17/AH18,0)</f>
        <v/>
      </c>
      <c r="AI19" s="10">
        <f>IF(AI18&gt;0.000000000001,AI17/AI18,0)</f>
        <v/>
      </c>
      <c r="AJ19" s="10">
        <f>IF(AJ18&gt;0.000000000001,AJ17/AJ18,0)</f>
        <v/>
      </c>
      <c r="AK19" s="10">
        <f>IF(AK18&gt;0.000000000001,AK17/AK18,0)</f>
        <v/>
      </c>
      <c r="AL19" s="10">
        <f>IF(AL18&gt;0.000000000001,AL17/AL18,0)</f>
        <v/>
      </c>
      <c r="AM19" s="10">
        <f>IF(AM18&gt;0.000000000001,AM17/AM18,0)</f>
        <v/>
      </c>
      <c r="AN19" s="10">
        <f>IF(AN18&gt;0.000000000001,AN17/AN18,0)</f>
        <v/>
      </c>
      <c r="AO19" s="10">
        <f>IF(AO18&gt;0.000000000001,AO17/AO18,0)</f>
        <v/>
      </c>
      <c r="AP19" s="10">
        <f>IF(AP18&gt;0.000000000001,AP17/AP18,0)</f>
        <v/>
      </c>
      <c r="AQ19" s="10">
        <f>IF(AQ18&gt;0.000000000001,AQ17/AQ18,0)</f>
        <v/>
      </c>
      <c r="AR19" s="10">
        <f>IF(AR18&gt;0.000000000001,AR17/AR18,0)</f>
        <v/>
      </c>
      <c r="AS19" s="10">
        <f>IF(AS18&gt;0.000000000001,AS17/AS18,0)</f>
        <v/>
      </c>
      <c r="AT19" s="10">
        <f>IF(AT18&gt;0.000000000001,AT17/AT18,0)</f>
        <v/>
      </c>
      <c r="AU19" s="10">
        <f>IF(AU18&gt;0.000000000001,AU17/AU18,0)</f>
        <v/>
      </c>
      <c r="AV19" s="10">
        <f>IF(AV18&gt;0.000000000001,AV17/AV18,0)</f>
        <v/>
      </c>
      <c r="AW19" s="10">
        <f>IF(AW18&gt;0.000000000001,AW17/AW18,0)</f>
        <v/>
      </c>
      <c r="AX19" s="10">
        <f>IF(AX18&gt;0.000000000001,AX17/AX18,0)</f>
        <v/>
      </c>
      <c r="AY19" s="10">
        <f>IF(AY18&gt;0.000000000001,AY17/AY18,0)</f>
        <v/>
      </c>
      <c r="AZ19" s="10">
        <f>IF(AZ18&gt;0.000000000001,AZ17/AZ18,0)</f>
        <v/>
      </c>
      <c r="BA19" s="10">
        <f>IF(BA18&gt;0.000000000001,BA17/BA18,0)</f>
        <v/>
      </c>
      <c r="BB19" s="10">
        <f>IF(BB18&gt;0.000000000001,BB17/BB18,0)</f>
        <v/>
      </c>
      <c r="BC19" s="10">
        <f>IF(BC18&gt;0.000000000001,BC17/BC18,0)</f>
        <v/>
      </c>
      <c r="BD19" s="10">
        <f>IF(BD18&gt;0.000000000001,BD17/BD18,0)</f>
        <v/>
      </c>
      <c r="BE19" s="10">
        <f>IF(BE18&gt;0.000000000001,BE17/BE18,0)</f>
        <v/>
      </c>
      <c r="BF19" s="10">
        <f>IF(BF18&gt;0.000000000001,BF17/BF18,0)</f>
        <v/>
      </c>
      <c r="BG19" s="10">
        <f>IF(BG18&gt;0.000000000001,BG17/BG18,0)</f>
        <v/>
      </c>
      <c r="BH19" s="10">
        <f>IF(BH18&gt;0.000000000001,BH17/BH18,0)</f>
        <v/>
      </c>
      <c r="BI19" s="10">
        <f>IF(BI18&gt;0.000000000001,BI17/BI18,0)</f>
        <v/>
      </c>
      <c r="BJ19" s="10">
        <f>IF(BJ18&gt;0.000000000001,BJ17/BJ18,0)</f>
        <v/>
      </c>
      <c r="BK19" s="10">
        <f>IF(BK18&gt;0.000000000001,BK17/BK18,0)</f>
        <v/>
      </c>
      <c r="BL19" s="10">
        <f>IF(BL18&gt;0.000000000001,BL17/BL18,0)</f>
        <v/>
      </c>
      <c r="BM19" s="10">
        <f>IF(BM18&gt;0.000000000001,BM17/BM18,0)</f>
        <v/>
      </c>
      <c r="BN19" s="10">
        <f>IF(BN18&gt;0.000000000001,BN17/BN18,0)</f>
        <v/>
      </c>
    </row>
    <row r="20">
      <c r="D20" t="inlineStr">
        <is>
          <t>Flag_Refinancing (2025H1)</t>
        </is>
      </c>
      <c r="E20" t="inlineStr">
        <is>
          <t>flag</t>
        </is>
      </c>
      <c r="J20" s="9">
        <f>Inputs!$F$49*IF(Time!J17=14,1,0)</f>
        <v/>
      </c>
      <c r="K20" s="9">
        <f>Inputs!$F$49*IF(Time!K17=14,1,0)</f>
        <v/>
      </c>
      <c r="L20" s="9">
        <f>Inputs!$F$49*IF(Time!L17=14,1,0)</f>
        <v/>
      </c>
      <c r="M20" s="9">
        <f>Inputs!$F$49*IF(Time!M17=14,1,0)</f>
        <v/>
      </c>
      <c r="N20" s="9">
        <f>Inputs!$F$49*IF(Time!N17=14,1,0)</f>
        <v/>
      </c>
      <c r="O20" s="9">
        <f>Inputs!$F$49*IF(Time!O17=14,1,0)</f>
        <v/>
      </c>
      <c r="P20" s="9">
        <f>Inputs!$F$49*IF(Time!P17=14,1,0)</f>
        <v/>
      </c>
      <c r="Q20" s="9">
        <f>Inputs!$F$49*IF(Time!Q17=14,1,0)</f>
        <v/>
      </c>
      <c r="R20" s="9">
        <f>Inputs!$F$49*IF(Time!R17=14,1,0)</f>
        <v/>
      </c>
      <c r="S20" s="9">
        <f>Inputs!$F$49*IF(Time!S17=14,1,0)</f>
        <v/>
      </c>
      <c r="T20" s="9">
        <f>Inputs!$F$49*IF(Time!T17=14,1,0)</f>
        <v/>
      </c>
      <c r="U20" s="9">
        <f>Inputs!$F$49*IF(Time!U17=14,1,0)</f>
        <v/>
      </c>
      <c r="V20" s="9">
        <f>Inputs!$F$49*IF(Time!V17=14,1,0)</f>
        <v/>
      </c>
      <c r="W20" s="9">
        <f>Inputs!$F$49*IF(Time!W17=14,1,0)</f>
        <v/>
      </c>
      <c r="X20" s="9">
        <f>Inputs!$F$49*IF(Time!X17=14,1,0)</f>
        <v/>
      </c>
      <c r="Y20" s="9">
        <f>Inputs!$F$49*IF(Time!Y17=14,1,0)</f>
        <v/>
      </c>
      <c r="Z20" s="9">
        <f>Inputs!$F$49*IF(Time!Z17=14,1,0)</f>
        <v/>
      </c>
      <c r="AA20" s="9">
        <f>Inputs!$F$49*IF(Time!AA17=14,1,0)</f>
        <v/>
      </c>
      <c r="AB20" s="9">
        <f>Inputs!$F$49*IF(Time!AB17=14,1,0)</f>
        <v/>
      </c>
      <c r="AC20" s="9">
        <f>Inputs!$F$49*IF(Time!AC17=14,1,0)</f>
        <v/>
      </c>
      <c r="AD20" s="9">
        <f>Inputs!$F$49*IF(Time!AD17=14,1,0)</f>
        <v/>
      </c>
      <c r="AE20" s="9">
        <f>Inputs!$F$49*IF(Time!AE17=14,1,0)</f>
        <v/>
      </c>
      <c r="AF20" s="9">
        <f>Inputs!$F$49*IF(Time!AF17=14,1,0)</f>
        <v/>
      </c>
      <c r="AG20" s="9">
        <f>Inputs!$F$49*IF(Time!AG17=14,1,0)</f>
        <v/>
      </c>
      <c r="AH20" s="9">
        <f>Inputs!$F$49*IF(Time!AH17=14,1,0)</f>
        <v/>
      </c>
      <c r="AI20" s="9">
        <f>Inputs!$F$49*IF(Time!AI17=14,1,0)</f>
        <v/>
      </c>
      <c r="AJ20" s="9">
        <f>Inputs!$F$49*IF(Time!AJ17=14,1,0)</f>
        <v/>
      </c>
      <c r="AK20" s="9">
        <f>Inputs!$F$49*IF(Time!AK17=14,1,0)</f>
        <v/>
      </c>
      <c r="AL20" s="9">
        <f>Inputs!$F$49*IF(Time!AL17=14,1,0)</f>
        <v/>
      </c>
      <c r="AM20" s="9">
        <f>Inputs!$F$49*IF(Time!AM17=14,1,0)</f>
        <v/>
      </c>
      <c r="AN20" s="9">
        <f>Inputs!$F$49*IF(Time!AN17=14,1,0)</f>
        <v/>
      </c>
      <c r="AO20" s="9">
        <f>Inputs!$F$49*IF(Time!AO17=14,1,0)</f>
        <v/>
      </c>
      <c r="AP20" s="9">
        <f>Inputs!$F$49*IF(Time!AP17=14,1,0)</f>
        <v/>
      </c>
      <c r="AQ20" s="9">
        <f>Inputs!$F$49*IF(Time!AQ17=14,1,0)</f>
        <v/>
      </c>
      <c r="AR20" s="9">
        <f>Inputs!$F$49*IF(Time!AR17=14,1,0)</f>
        <v/>
      </c>
      <c r="AS20" s="9">
        <f>Inputs!$F$49*IF(Time!AS17=14,1,0)</f>
        <v/>
      </c>
      <c r="AT20" s="9">
        <f>Inputs!$F$49*IF(Time!AT17=14,1,0)</f>
        <v/>
      </c>
      <c r="AU20" s="9">
        <f>Inputs!$F$49*IF(Time!AU17=14,1,0)</f>
        <v/>
      </c>
      <c r="AV20" s="9">
        <f>Inputs!$F$49*IF(Time!AV17=14,1,0)</f>
        <v/>
      </c>
      <c r="AW20" s="9">
        <f>Inputs!$F$49*IF(Time!AW17=14,1,0)</f>
        <v/>
      </c>
      <c r="AX20" s="9">
        <f>Inputs!$F$49*IF(Time!AX17=14,1,0)</f>
        <v/>
      </c>
      <c r="AY20" s="9">
        <f>Inputs!$F$49*IF(Time!AY17=14,1,0)</f>
        <v/>
      </c>
      <c r="AZ20" s="9">
        <f>Inputs!$F$49*IF(Time!AZ17=14,1,0)</f>
        <v/>
      </c>
      <c r="BA20" s="9">
        <f>Inputs!$F$49*IF(Time!BA17=14,1,0)</f>
        <v/>
      </c>
      <c r="BB20" s="9">
        <f>Inputs!$F$49*IF(Time!BB17=14,1,0)</f>
        <v/>
      </c>
      <c r="BC20" s="9">
        <f>Inputs!$F$49*IF(Time!BC17=14,1,0)</f>
        <v/>
      </c>
      <c r="BD20" s="9">
        <f>Inputs!$F$49*IF(Time!BD17=14,1,0)</f>
        <v/>
      </c>
      <c r="BE20" s="9">
        <f>Inputs!$F$49*IF(Time!BE17=14,1,0)</f>
        <v/>
      </c>
      <c r="BF20" s="9">
        <f>Inputs!$F$49*IF(Time!BF17=14,1,0)</f>
        <v/>
      </c>
      <c r="BG20" s="9">
        <f>Inputs!$F$49*IF(Time!BG17=14,1,0)</f>
        <v/>
      </c>
      <c r="BH20" s="9">
        <f>Inputs!$F$49*IF(Time!BH17=14,1,0)</f>
        <v/>
      </c>
      <c r="BI20" s="9">
        <f>Inputs!$F$49*IF(Time!BI17=14,1,0)</f>
        <v/>
      </c>
      <c r="BJ20" s="9">
        <f>Inputs!$F$49*IF(Time!BJ17=14,1,0)</f>
        <v/>
      </c>
      <c r="BK20" s="9">
        <f>Inputs!$F$49*IF(Time!BK17=14,1,0)</f>
        <v/>
      </c>
      <c r="BL20" s="9">
        <f>Inputs!$F$49*IF(Time!BL17=14,1,0)</f>
        <v/>
      </c>
      <c r="BM20" s="9">
        <f>Inputs!$F$49*IF(Time!BM17=14,1,0)</f>
        <v/>
      </c>
      <c r="BN20" s="9">
        <f>Inputs!$F$49*IF(Time!BN17=14,1,0)</f>
        <v/>
      </c>
    </row>
    <row r="21">
      <c r="D21" t="inlineStr">
        <is>
          <t>Flag_Waiver deferral (2023H2)</t>
        </is>
      </c>
      <c r="E21" t="inlineStr">
        <is>
          <t>flag</t>
        </is>
      </c>
      <c r="J21" s="9">
        <f>Inputs!$F$48*IF(Time!J17=11,1,0)</f>
        <v/>
      </c>
      <c r="K21" s="9">
        <f>Inputs!$F$48*IF(Time!K17=11,1,0)</f>
        <v/>
      </c>
      <c r="L21" s="9">
        <f>Inputs!$F$48*IF(Time!L17=11,1,0)</f>
        <v/>
      </c>
      <c r="M21" s="9">
        <f>Inputs!$F$48*IF(Time!M17=11,1,0)</f>
        <v/>
      </c>
      <c r="N21" s="9">
        <f>Inputs!$F$48*IF(Time!N17=11,1,0)</f>
        <v/>
      </c>
      <c r="O21" s="9">
        <f>Inputs!$F$48*IF(Time!O17=11,1,0)</f>
        <v/>
      </c>
      <c r="P21" s="9">
        <f>Inputs!$F$48*IF(Time!P17=11,1,0)</f>
        <v/>
      </c>
      <c r="Q21" s="9">
        <f>Inputs!$F$48*IF(Time!Q17=11,1,0)</f>
        <v/>
      </c>
      <c r="R21" s="9">
        <f>Inputs!$F$48*IF(Time!R17=11,1,0)</f>
        <v/>
      </c>
      <c r="S21" s="9">
        <f>Inputs!$F$48*IF(Time!S17=11,1,0)</f>
        <v/>
      </c>
      <c r="T21" s="9">
        <f>Inputs!$F$48*IF(Time!T17=11,1,0)</f>
        <v/>
      </c>
      <c r="U21" s="9">
        <f>Inputs!$F$48*IF(Time!U17=11,1,0)</f>
        <v/>
      </c>
      <c r="V21" s="9">
        <f>Inputs!$F$48*IF(Time!V17=11,1,0)</f>
        <v/>
      </c>
      <c r="W21" s="9">
        <f>Inputs!$F$48*IF(Time!W17=11,1,0)</f>
        <v/>
      </c>
      <c r="X21" s="9">
        <f>Inputs!$F$48*IF(Time!X17=11,1,0)</f>
        <v/>
      </c>
      <c r="Y21" s="9">
        <f>Inputs!$F$48*IF(Time!Y17=11,1,0)</f>
        <v/>
      </c>
      <c r="Z21" s="9">
        <f>Inputs!$F$48*IF(Time!Z17=11,1,0)</f>
        <v/>
      </c>
      <c r="AA21" s="9">
        <f>Inputs!$F$48*IF(Time!AA17=11,1,0)</f>
        <v/>
      </c>
      <c r="AB21" s="9">
        <f>Inputs!$F$48*IF(Time!AB17=11,1,0)</f>
        <v/>
      </c>
      <c r="AC21" s="9">
        <f>Inputs!$F$48*IF(Time!AC17=11,1,0)</f>
        <v/>
      </c>
      <c r="AD21" s="9">
        <f>Inputs!$F$48*IF(Time!AD17=11,1,0)</f>
        <v/>
      </c>
      <c r="AE21" s="9">
        <f>Inputs!$F$48*IF(Time!AE17=11,1,0)</f>
        <v/>
      </c>
      <c r="AF21" s="9">
        <f>Inputs!$F$48*IF(Time!AF17=11,1,0)</f>
        <v/>
      </c>
      <c r="AG21" s="9">
        <f>Inputs!$F$48*IF(Time!AG17=11,1,0)</f>
        <v/>
      </c>
      <c r="AH21" s="9">
        <f>Inputs!$F$48*IF(Time!AH17=11,1,0)</f>
        <v/>
      </c>
      <c r="AI21" s="9">
        <f>Inputs!$F$48*IF(Time!AI17=11,1,0)</f>
        <v/>
      </c>
      <c r="AJ21" s="9">
        <f>Inputs!$F$48*IF(Time!AJ17=11,1,0)</f>
        <v/>
      </c>
      <c r="AK21" s="9">
        <f>Inputs!$F$48*IF(Time!AK17=11,1,0)</f>
        <v/>
      </c>
      <c r="AL21" s="9">
        <f>Inputs!$F$48*IF(Time!AL17=11,1,0)</f>
        <v/>
      </c>
      <c r="AM21" s="9">
        <f>Inputs!$F$48*IF(Time!AM17=11,1,0)</f>
        <v/>
      </c>
      <c r="AN21" s="9">
        <f>Inputs!$F$48*IF(Time!AN17=11,1,0)</f>
        <v/>
      </c>
      <c r="AO21" s="9">
        <f>Inputs!$F$48*IF(Time!AO17=11,1,0)</f>
        <v/>
      </c>
      <c r="AP21" s="9">
        <f>Inputs!$F$48*IF(Time!AP17=11,1,0)</f>
        <v/>
      </c>
      <c r="AQ21" s="9">
        <f>Inputs!$F$48*IF(Time!AQ17=11,1,0)</f>
        <v/>
      </c>
      <c r="AR21" s="9">
        <f>Inputs!$F$48*IF(Time!AR17=11,1,0)</f>
        <v/>
      </c>
      <c r="AS21" s="9">
        <f>Inputs!$F$48*IF(Time!AS17=11,1,0)</f>
        <v/>
      </c>
      <c r="AT21" s="9">
        <f>Inputs!$F$48*IF(Time!AT17=11,1,0)</f>
        <v/>
      </c>
      <c r="AU21" s="9">
        <f>Inputs!$F$48*IF(Time!AU17=11,1,0)</f>
        <v/>
      </c>
      <c r="AV21" s="9">
        <f>Inputs!$F$48*IF(Time!AV17=11,1,0)</f>
        <v/>
      </c>
      <c r="AW21" s="9">
        <f>Inputs!$F$48*IF(Time!AW17=11,1,0)</f>
        <v/>
      </c>
      <c r="AX21" s="9">
        <f>Inputs!$F$48*IF(Time!AX17=11,1,0)</f>
        <v/>
      </c>
      <c r="AY21" s="9">
        <f>Inputs!$F$48*IF(Time!AY17=11,1,0)</f>
        <v/>
      </c>
      <c r="AZ21" s="9">
        <f>Inputs!$F$48*IF(Time!AZ17=11,1,0)</f>
        <v/>
      </c>
      <c r="BA21" s="9">
        <f>Inputs!$F$48*IF(Time!BA17=11,1,0)</f>
        <v/>
      </c>
      <c r="BB21" s="9">
        <f>Inputs!$F$48*IF(Time!BB17=11,1,0)</f>
        <v/>
      </c>
      <c r="BC21" s="9">
        <f>Inputs!$F$48*IF(Time!BC17=11,1,0)</f>
        <v/>
      </c>
      <c r="BD21" s="9">
        <f>Inputs!$F$48*IF(Time!BD17=11,1,0)</f>
        <v/>
      </c>
      <c r="BE21" s="9">
        <f>Inputs!$F$48*IF(Time!BE17=11,1,0)</f>
        <v/>
      </c>
      <c r="BF21" s="9">
        <f>Inputs!$F$48*IF(Time!BF17=11,1,0)</f>
        <v/>
      </c>
      <c r="BG21" s="9">
        <f>Inputs!$F$48*IF(Time!BG17=11,1,0)</f>
        <v/>
      </c>
      <c r="BH21" s="9">
        <f>Inputs!$F$48*IF(Time!BH17=11,1,0)</f>
        <v/>
      </c>
      <c r="BI21" s="9">
        <f>Inputs!$F$48*IF(Time!BI17=11,1,0)</f>
        <v/>
      </c>
      <c r="BJ21" s="9">
        <f>Inputs!$F$48*IF(Time!BJ17=11,1,0)</f>
        <v/>
      </c>
      <c r="BK21" s="9">
        <f>Inputs!$F$48*IF(Time!BK17=11,1,0)</f>
        <v/>
      </c>
      <c r="BL21" s="9">
        <f>Inputs!$F$48*IF(Time!BL17=11,1,0)</f>
        <v/>
      </c>
      <c r="BM21" s="9">
        <f>Inputs!$F$48*IF(Time!BM17=11,1,0)</f>
        <v/>
      </c>
      <c r="BN21" s="9">
        <f>Inputs!$F$48*IF(Time!BN17=11,1,0)</f>
        <v/>
      </c>
    </row>
    <row r="22">
      <c r="D22" t="inlineStr">
        <is>
          <t>Flag_Deferred repayment (2024H1-2025H2)</t>
        </is>
      </c>
      <c r="E22" t="inlineStr">
        <is>
          <t>flag</t>
        </is>
      </c>
      <c r="J22" s="9">
        <f>Inputs!$F$48*IF(AND(Time!J17&gt;=12,Time!J17&lt;=15),1,0)</f>
        <v/>
      </c>
      <c r="K22" s="9">
        <f>Inputs!$F$48*IF(AND(Time!K17&gt;=12,Time!K17&lt;=15),1,0)</f>
        <v/>
      </c>
      <c r="L22" s="9">
        <f>Inputs!$F$48*IF(AND(Time!L17&gt;=12,Time!L17&lt;=15),1,0)</f>
        <v/>
      </c>
      <c r="M22" s="9">
        <f>Inputs!$F$48*IF(AND(Time!M17&gt;=12,Time!M17&lt;=15),1,0)</f>
        <v/>
      </c>
      <c r="N22" s="9">
        <f>Inputs!$F$48*IF(AND(Time!N17&gt;=12,Time!N17&lt;=15),1,0)</f>
        <v/>
      </c>
      <c r="O22" s="9">
        <f>Inputs!$F$48*IF(AND(Time!O17&gt;=12,Time!O17&lt;=15),1,0)</f>
        <v/>
      </c>
      <c r="P22" s="9">
        <f>Inputs!$F$48*IF(AND(Time!P17&gt;=12,Time!P17&lt;=15),1,0)</f>
        <v/>
      </c>
      <c r="Q22" s="9">
        <f>Inputs!$F$48*IF(AND(Time!Q17&gt;=12,Time!Q17&lt;=15),1,0)</f>
        <v/>
      </c>
      <c r="R22" s="9">
        <f>Inputs!$F$48*IF(AND(Time!R17&gt;=12,Time!R17&lt;=15),1,0)</f>
        <v/>
      </c>
      <c r="S22" s="9">
        <f>Inputs!$F$48*IF(AND(Time!S17&gt;=12,Time!S17&lt;=15),1,0)</f>
        <v/>
      </c>
      <c r="T22" s="9">
        <f>Inputs!$F$48*IF(AND(Time!T17&gt;=12,Time!T17&lt;=15),1,0)</f>
        <v/>
      </c>
      <c r="U22" s="9">
        <f>Inputs!$F$48*IF(AND(Time!U17&gt;=12,Time!U17&lt;=15),1,0)</f>
        <v/>
      </c>
      <c r="V22" s="9">
        <f>Inputs!$F$48*IF(AND(Time!V17&gt;=12,Time!V17&lt;=15),1,0)</f>
        <v/>
      </c>
      <c r="W22" s="9">
        <f>Inputs!$F$48*IF(AND(Time!W17&gt;=12,Time!W17&lt;=15),1,0)</f>
        <v/>
      </c>
      <c r="X22" s="9">
        <f>Inputs!$F$48*IF(AND(Time!X17&gt;=12,Time!X17&lt;=15),1,0)</f>
        <v/>
      </c>
      <c r="Y22" s="9">
        <f>Inputs!$F$48*IF(AND(Time!Y17&gt;=12,Time!Y17&lt;=15),1,0)</f>
        <v/>
      </c>
      <c r="Z22" s="9">
        <f>Inputs!$F$48*IF(AND(Time!Z17&gt;=12,Time!Z17&lt;=15),1,0)</f>
        <v/>
      </c>
      <c r="AA22" s="9">
        <f>Inputs!$F$48*IF(AND(Time!AA17&gt;=12,Time!AA17&lt;=15),1,0)</f>
        <v/>
      </c>
      <c r="AB22" s="9">
        <f>Inputs!$F$48*IF(AND(Time!AB17&gt;=12,Time!AB17&lt;=15),1,0)</f>
        <v/>
      </c>
      <c r="AC22" s="9">
        <f>Inputs!$F$48*IF(AND(Time!AC17&gt;=12,Time!AC17&lt;=15),1,0)</f>
        <v/>
      </c>
      <c r="AD22" s="9">
        <f>Inputs!$F$48*IF(AND(Time!AD17&gt;=12,Time!AD17&lt;=15),1,0)</f>
        <v/>
      </c>
      <c r="AE22" s="9">
        <f>Inputs!$F$48*IF(AND(Time!AE17&gt;=12,Time!AE17&lt;=15),1,0)</f>
        <v/>
      </c>
      <c r="AF22" s="9">
        <f>Inputs!$F$48*IF(AND(Time!AF17&gt;=12,Time!AF17&lt;=15),1,0)</f>
        <v/>
      </c>
      <c r="AG22" s="9">
        <f>Inputs!$F$48*IF(AND(Time!AG17&gt;=12,Time!AG17&lt;=15),1,0)</f>
        <v/>
      </c>
      <c r="AH22" s="9">
        <f>Inputs!$F$48*IF(AND(Time!AH17&gt;=12,Time!AH17&lt;=15),1,0)</f>
        <v/>
      </c>
      <c r="AI22" s="9">
        <f>Inputs!$F$48*IF(AND(Time!AI17&gt;=12,Time!AI17&lt;=15),1,0)</f>
        <v/>
      </c>
      <c r="AJ22" s="9">
        <f>Inputs!$F$48*IF(AND(Time!AJ17&gt;=12,Time!AJ17&lt;=15),1,0)</f>
        <v/>
      </c>
      <c r="AK22" s="9">
        <f>Inputs!$F$48*IF(AND(Time!AK17&gt;=12,Time!AK17&lt;=15),1,0)</f>
        <v/>
      </c>
      <c r="AL22" s="9">
        <f>Inputs!$F$48*IF(AND(Time!AL17&gt;=12,Time!AL17&lt;=15),1,0)</f>
        <v/>
      </c>
      <c r="AM22" s="9">
        <f>Inputs!$F$48*IF(AND(Time!AM17&gt;=12,Time!AM17&lt;=15),1,0)</f>
        <v/>
      </c>
      <c r="AN22" s="9">
        <f>Inputs!$F$48*IF(AND(Time!AN17&gt;=12,Time!AN17&lt;=15),1,0)</f>
        <v/>
      </c>
      <c r="AO22" s="9">
        <f>Inputs!$F$48*IF(AND(Time!AO17&gt;=12,Time!AO17&lt;=15),1,0)</f>
        <v/>
      </c>
      <c r="AP22" s="9">
        <f>Inputs!$F$48*IF(AND(Time!AP17&gt;=12,Time!AP17&lt;=15),1,0)</f>
        <v/>
      </c>
      <c r="AQ22" s="9">
        <f>Inputs!$F$48*IF(AND(Time!AQ17&gt;=12,Time!AQ17&lt;=15),1,0)</f>
        <v/>
      </c>
      <c r="AR22" s="9">
        <f>Inputs!$F$48*IF(AND(Time!AR17&gt;=12,Time!AR17&lt;=15),1,0)</f>
        <v/>
      </c>
      <c r="AS22" s="9">
        <f>Inputs!$F$48*IF(AND(Time!AS17&gt;=12,Time!AS17&lt;=15),1,0)</f>
        <v/>
      </c>
      <c r="AT22" s="9">
        <f>Inputs!$F$48*IF(AND(Time!AT17&gt;=12,Time!AT17&lt;=15),1,0)</f>
        <v/>
      </c>
      <c r="AU22" s="9">
        <f>Inputs!$F$48*IF(AND(Time!AU17&gt;=12,Time!AU17&lt;=15),1,0)</f>
        <v/>
      </c>
      <c r="AV22" s="9">
        <f>Inputs!$F$48*IF(AND(Time!AV17&gt;=12,Time!AV17&lt;=15),1,0)</f>
        <v/>
      </c>
      <c r="AW22" s="9">
        <f>Inputs!$F$48*IF(AND(Time!AW17&gt;=12,Time!AW17&lt;=15),1,0)</f>
        <v/>
      </c>
      <c r="AX22" s="9">
        <f>Inputs!$F$48*IF(AND(Time!AX17&gt;=12,Time!AX17&lt;=15),1,0)</f>
        <v/>
      </c>
      <c r="AY22" s="9">
        <f>Inputs!$F$48*IF(AND(Time!AY17&gt;=12,Time!AY17&lt;=15),1,0)</f>
        <v/>
      </c>
      <c r="AZ22" s="9">
        <f>Inputs!$F$48*IF(AND(Time!AZ17&gt;=12,Time!AZ17&lt;=15),1,0)</f>
        <v/>
      </c>
      <c r="BA22" s="9">
        <f>Inputs!$F$48*IF(AND(Time!BA17&gt;=12,Time!BA17&lt;=15),1,0)</f>
        <v/>
      </c>
      <c r="BB22" s="9">
        <f>Inputs!$F$48*IF(AND(Time!BB17&gt;=12,Time!BB17&lt;=15),1,0)</f>
        <v/>
      </c>
      <c r="BC22" s="9">
        <f>Inputs!$F$48*IF(AND(Time!BC17&gt;=12,Time!BC17&lt;=15),1,0)</f>
        <v/>
      </c>
      <c r="BD22" s="9">
        <f>Inputs!$F$48*IF(AND(Time!BD17&gt;=12,Time!BD17&lt;=15),1,0)</f>
        <v/>
      </c>
      <c r="BE22" s="9">
        <f>Inputs!$F$48*IF(AND(Time!BE17&gt;=12,Time!BE17&lt;=15),1,0)</f>
        <v/>
      </c>
      <c r="BF22" s="9">
        <f>Inputs!$F$48*IF(AND(Time!BF17&gt;=12,Time!BF17&lt;=15),1,0)</f>
        <v/>
      </c>
      <c r="BG22" s="9">
        <f>Inputs!$F$48*IF(AND(Time!BG17&gt;=12,Time!BG17&lt;=15),1,0)</f>
        <v/>
      </c>
      <c r="BH22" s="9">
        <f>Inputs!$F$48*IF(AND(Time!BH17&gt;=12,Time!BH17&lt;=15),1,0)</f>
        <v/>
      </c>
      <c r="BI22" s="9">
        <f>Inputs!$F$48*IF(AND(Time!BI17&gt;=12,Time!BI17&lt;=15),1,0)</f>
        <v/>
      </c>
      <c r="BJ22" s="9">
        <f>Inputs!$F$48*IF(AND(Time!BJ17&gt;=12,Time!BJ17&lt;=15),1,0)</f>
        <v/>
      </c>
      <c r="BK22" s="9">
        <f>Inputs!$F$48*IF(AND(Time!BK17&gt;=12,Time!BK17&lt;=15),1,0)</f>
        <v/>
      </c>
      <c r="BL22" s="9">
        <f>Inputs!$F$48*IF(AND(Time!BL17&gt;=12,Time!BL17&lt;=15),1,0)</f>
        <v/>
      </c>
      <c r="BM22" s="9">
        <f>Inputs!$F$48*IF(AND(Time!BM17&gt;=12,Time!BM17&lt;=15),1,0)</f>
        <v/>
      </c>
      <c r="BN22" s="9">
        <f>Inputs!$F$48*IF(AND(Time!BN17&gt;=12,Time!BN17&lt;=15),1,0)</f>
        <v/>
      </c>
    </row>
    <row r="23">
      <c r="D23" t="inlineStr">
        <is>
          <t>Flag_LD prepayment (2022H1)</t>
        </is>
      </c>
      <c r="E23" t="inlineStr">
        <is>
          <t>flag</t>
        </is>
      </c>
      <c r="J23" s="9">
        <f>Inputs!$F$47*IF(Time!J17=8,1,0)</f>
        <v/>
      </c>
      <c r="K23" s="9">
        <f>Inputs!$F$47*IF(Time!K17=8,1,0)</f>
        <v/>
      </c>
      <c r="L23" s="9">
        <f>Inputs!$F$47*IF(Time!L17=8,1,0)</f>
        <v/>
      </c>
      <c r="M23" s="9">
        <f>Inputs!$F$47*IF(Time!M17=8,1,0)</f>
        <v/>
      </c>
      <c r="N23" s="9">
        <f>Inputs!$F$47*IF(Time!N17=8,1,0)</f>
        <v/>
      </c>
      <c r="O23" s="9">
        <f>Inputs!$F$47*IF(Time!O17=8,1,0)</f>
        <v/>
      </c>
      <c r="P23" s="9">
        <f>Inputs!$F$47*IF(Time!P17=8,1,0)</f>
        <v/>
      </c>
      <c r="Q23" s="9">
        <f>Inputs!$F$47*IF(Time!Q17=8,1,0)</f>
        <v/>
      </c>
      <c r="R23" s="9">
        <f>Inputs!$F$47*IF(Time!R17=8,1,0)</f>
        <v/>
      </c>
      <c r="S23" s="9">
        <f>Inputs!$F$47*IF(Time!S17=8,1,0)</f>
        <v/>
      </c>
      <c r="T23" s="9">
        <f>Inputs!$F$47*IF(Time!T17=8,1,0)</f>
        <v/>
      </c>
      <c r="U23" s="9">
        <f>Inputs!$F$47*IF(Time!U17=8,1,0)</f>
        <v/>
      </c>
      <c r="V23" s="9">
        <f>Inputs!$F$47*IF(Time!V17=8,1,0)</f>
        <v/>
      </c>
      <c r="W23" s="9">
        <f>Inputs!$F$47*IF(Time!W17=8,1,0)</f>
        <v/>
      </c>
      <c r="X23" s="9">
        <f>Inputs!$F$47*IF(Time!X17=8,1,0)</f>
        <v/>
      </c>
      <c r="Y23" s="9">
        <f>Inputs!$F$47*IF(Time!Y17=8,1,0)</f>
        <v/>
      </c>
      <c r="Z23" s="9">
        <f>Inputs!$F$47*IF(Time!Z17=8,1,0)</f>
        <v/>
      </c>
      <c r="AA23" s="9">
        <f>Inputs!$F$47*IF(Time!AA17=8,1,0)</f>
        <v/>
      </c>
      <c r="AB23" s="9">
        <f>Inputs!$F$47*IF(Time!AB17=8,1,0)</f>
        <v/>
      </c>
      <c r="AC23" s="9">
        <f>Inputs!$F$47*IF(Time!AC17=8,1,0)</f>
        <v/>
      </c>
      <c r="AD23" s="9">
        <f>Inputs!$F$47*IF(Time!AD17=8,1,0)</f>
        <v/>
      </c>
      <c r="AE23" s="9">
        <f>Inputs!$F$47*IF(Time!AE17=8,1,0)</f>
        <v/>
      </c>
      <c r="AF23" s="9">
        <f>Inputs!$F$47*IF(Time!AF17=8,1,0)</f>
        <v/>
      </c>
      <c r="AG23" s="9">
        <f>Inputs!$F$47*IF(Time!AG17=8,1,0)</f>
        <v/>
      </c>
      <c r="AH23" s="9">
        <f>Inputs!$F$47*IF(Time!AH17=8,1,0)</f>
        <v/>
      </c>
      <c r="AI23" s="9">
        <f>Inputs!$F$47*IF(Time!AI17=8,1,0)</f>
        <v/>
      </c>
      <c r="AJ23" s="9">
        <f>Inputs!$F$47*IF(Time!AJ17=8,1,0)</f>
        <v/>
      </c>
      <c r="AK23" s="9">
        <f>Inputs!$F$47*IF(Time!AK17=8,1,0)</f>
        <v/>
      </c>
      <c r="AL23" s="9">
        <f>Inputs!$F$47*IF(Time!AL17=8,1,0)</f>
        <v/>
      </c>
      <c r="AM23" s="9">
        <f>Inputs!$F$47*IF(Time!AM17=8,1,0)</f>
        <v/>
      </c>
      <c r="AN23" s="9">
        <f>Inputs!$F$47*IF(Time!AN17=8,1,0)</f>
        <v/>
      </c>
      <c r="AO23" s="9">
        <f>Inputs!$F$47*IF(Time!AO17=8,1,0)</f>
        <v/>
      </c>
      <c r="AP23" s="9">
        <f>Inputs!$F$47*IF(Time!AP17=8,1,0)</f>
        <v/>
      </c>
      <c r="AQ23" s="9">
        <f>Inputs!$F$47*IF(Time!AQ17=8,1,0)</f>
        <v/>
      </c>
      <c r="AR23" s="9">
        <f>Inputs!$F$47*IF(Time!AR17=8,1,0)</f>
        <v/>
      </c>
      <c r="AS23" s="9">
        <f>Inputs!$F$47*IF(Time!AS17=8,1,0)</f>
        <v/>
      </c>
      <c r="AT23" s="9">
        <f>Inputs!$F$47*IF(Time!AT17=8,1,0)</f>
        <v/>
      </c>
      <c r="AU23" s="9">
        <f>Inputs!$F$47*IF(Time!AU17=8,1,0)</f>
        <v/>
      </c>
      <c r="AV23" s="9">
        <f>Inputs!$F$47*IF(Time!AV17=8,1,0)</f>
        <v/>
      </c>
      <c r="AW23" s="9">
        <f>Inputs!$F$47*IF(Time!AW17=8,1,0)</f>
        <v/>
      </c>
      <c r="AX23" s="9">
        <f>Inputs!$F$47*IF(Time!AX17=8,1,0)</f>
        <v/>
      </c>
      <c r="AY23" s="9">
        <f>Inputs!$F$47*IF(Time!AY17=8,1,0)</f>
        <v/>
      </c>
      <c r="AZ23" s="9">
        <f>Inputs!$F$47*IF(Time!AZ17=8,1,0)</f>
        <v/>
      </c>
      <c r="BA23" s="9">
        <f>Inputs!$F$47*IF(Time!BA17=8,1,0)</f>
        <v/>
      </c>
      <c r="BB23" s="9">
        <f>Inputs!$F$47*IF(Time!BB17=8,1,0)</f>
        <v/>
      </c>
      <c r="BC23" s="9">
        <f>Inputs!$F$47*IF(Time!BC17=8,1,0)</f>
        <v/>
      </c>
      <c r="BD23" s="9">
        <f>Inputs!$F$47*IF(Time!BD17=8,1,0)</f>
        <v/>
      </c>
      <c r="BE23" s="9">
        <f>Inputs!$F$47*IF(Time!BE17=8,1,0)</f>
        <v/>
      </c>
      <c r="BF23" s="9">
        <f>Inputs!$F$47*IF(Time!BF17=8,1,0)</f>
        <v/>
      </c>
      <c r="BG23" s="9">
        <f>Inputs!$F$47*IF(Time!BG17=8,1,0)</f>
        <v/>
      </c>
      <c r="BH23" s="9">
        <f>Inputs!$F$47*IF(Time!BH17=8,1,0)</f>
        <v/>
      </c>
      <c r="BI23" s="9">
        <f>Inputs!$F$47*IF(Time!BI17=8,1,0)</f>
        <v/>
      </c>
      <c r="BJ23" s="9">
        <f>Inputs!$F$47*IF(Time!BJ17=8,1,0)</f>
        <v/>
      </c>
      <c r="BK23" s="9">
        <f>Inputs!$F$47*IF(Time!BK17=8,1,0)</f>
        <v/>
      </c>
      <c r="BL23" s="9">
        <f>Inputs!$F$47*IF(Time!BL17=8,1,0)</f>
        <v/>
      </c>
      <c r="BM23" s="9">
        <f>Inputs!$F$47*IF(Time!BM17=8,1,0)</f>
        <v/>
      </c>
      <c r="BN23" s="9">
        <f>Inputs!$F$47*IF(Time!BN17=8,1,0)</f>
        <v/>
      </c>
    </row>
    <row r="24">
      <c r="B24" s="2" t="inlineStr">
        <is>
          <t>ECA-covered tranche</t>
        </is>
      </c>
    </row>
    <row r="25">
      <c r="D25" t="inlineStr">
        <is>
          <t>Opening balance</t>
        </is>
      </c>
      <c r="E25" t="inlineStr">
        <is>
          <t>USD m</t>
        </is>
      </c>
      <c r="J25" s="11">
        <f>Time!J30*0</f>
        <v/>
      </c>
      <c r="K25" s="11">
        <f>Time!K30*J38</f>
        <v/>
      </c>
      <c r="L25" s="11">
        <f>Time!L30*K38</f>
        <v/>
      </c>
      <c r="M25" s="11">
        <f>Time!M30*L38</f>
        <v/>
      </c>
      <c r="N25" s="11">
        <f>Time!N30*M38</f>
        <v/>
      </c>
      <c r="O25" s="11">
        <f>Time!O30*N38</f>
        <v/>
      </c>
      <c r="P25" s="11">
        <f>Time!P30*O38</f>
        <v/>
      </c>
      <c r="Q25" s="11">
        <f>Time!Q30*P38</f>
        <v/>
      </c>
      <c r="R25" s="11">
        <f>Time!R30*Q38</f>
        <v/>
      </c>
      <c r="S25" s="11">
        <f>Time!S30*R38</f>
        <v/>
      </c>
      <c r="T25" s="11">
        <f>Time!T30*S38</f>
        <v/>
      </c>
      <c r="U25" s="11">
        <f>Time!U30*T38</f>
        <v/>
      </c>
      <c r="V25" s="11">
        <f>Time!V30*U38</f>
        <v/>
      </c>
      <c r="W25" s="11">
        <f>Time!W30*V38</f>
        <v/>
      </c>
      <c r="X25" s="11">
        <f>Time!X30*W38</f>
        <v/>
      </c>
      <c r="Y25" s="11">
        <f>Time!Y30*X38</f>
        <v/>
      </c>
      <c r="Z25" s="11">
        <f>Time!Z30*Y38</f>
        <v/>
      </c>
      <c r="AA25" s="11">
        <f>Time!AA30*Z38</f>
        <v/>
      </c>
      <c r="AB25" s="11">
        <f>Time!AB30*AA38</f>
        <v/>
      </c>
      <c r="AC25" s="11">
        <f>Time!AC30*AB38</f>
        <v/>
      </c>
      <c r="AD25" s="11">
        <f>Time!AD30*AC38</f>
        <v/>
      </c>
      <c r="AE25" s="11">
        <f>Time!AE30*AD38</f>
        <v/>
      </c>
      <c r="AF25" s="11">
        <f>Time!AF30*AE38</f>
        <v/>
      </c>
      <c r="AG25" s="11">
        <f>Time!AG30*AF38</f>
        <v/>
      </c>
      <c r="AH25" s="11">
        <f>Time!AH30*AG38</f>
        <v/>
      </c>
      <c r="AI25" s="11">
        <f>Time!AI30*AH38</f>
        <v/>
      </c>
      <c r="AJ25" s="11">
        <f>Time!AJ30*AI38</f>
        <v/>
      </c>
      <c r="AK25" s="11">
        <f>Time!AK30*AJ38</f>
        <v/>
      </c>
      <c r="AL25" s="11">
        <f>Time!AL30*AK38</f>
        <v/>
      </c>
      <c r="AM25" s="11">
        <f>Time!AM30*AL38</f>
        <v/>
      </c>
      <c r="AN25" s="11">
        <f>Time!AN30*AM38</f>
        <v/>
      </c>
      <c r="AO25" s="11">
        <f>Time!AO30*AN38</f>
        <v/>
      </c>
      <c r="AP25" s="11">
        <f>Time!AP30*AO38</f>
        <v/>
      </c>
      <c r="AQ25" s="11">
        <f>Time!AQ30*AP38</f>
        <v/>
      </c>
      <c r="AR25" s="11">
        <f>Time!AR30*AQ38</f>
        <v/>
      </c>
      <c r="AS25" s="11">
        <f>Time!AS30*AR38</f>
        <v/>
      </c>
      <c r="AT25" s="11">
        <f>Time!AT30*AS38</f>
        <v/>
      </c>
      <c r="AU25" s="11">
        <f>Time!AU30*AT38</f>
        <v/>
      </c>
      <c r="AV25" s="11">
        <f>Time!AV30*AU38</f>
        <v/>
      </c>
      <c r="AW25" s="11">
        <f>Time!AW30*AV38</f>
        <v/>
      </c>
      <c r="AX25" s="11">
        <f>Time!AX30*AW38</f>
        <v/>
      </c>
      <c r="AY25" s="11">
        <f>Time!AY30*AX38</f>
        <v/>
      </c>
      <c r="AZ25" s="11">
        <f>Time!AZ30*AY38</f>
        <v/>
      </c>
      <c r="BA25" s="11">
        <f>Time!BA30*AZ38</f>
        <v/>
      </c>
      <c r="BB25" s="11">
        <f>Time!BB30*BA38</f>
        <v/>
      </c>
      <c r="BC25" s="11">
        <f>Time!BC30*BB38</f>
        <v/>
      </c>
      <c r="BD25" s="11">
        <f>Time!BD30*BC38</f>
        <v/>
      </c>
      <c r="BE25" s="11">
        <f>Time!BE30*BD38</f>
        <v/>
      </c>
      <c r="BF25" s="11">
        <f>Time!BF30*BE38</f>
        <v/>
      </c>
      <c r="BG25" s="11">
        <f>Time!BG30*BF38</f>
        <v/>
      </c>
      <c r="BH25" s="11">
        <f>Time!BH30*BG38</f>
        <v/>
      </c>
      <c r="BI25" s="11">
        <f>Time!BI30*BH38</f>
        <v/>
      </c>
      <c r="BJ25" s="11">
        <f>Time!BJ30*BI38</f>
        <v/>
      </c>
      <c r="BK25" s="11">
        <f>Time!BK30*BJ38</f>
        <v/>
      </c>
      <c r="BL25" s="11">
        <f>Time!BL30*BK38</f>
        <v/>
      </c>
      <c r="BM25" s="11">
        <f>Time!BM30*BL38</f>
        <v/>
      </c>
      <c r="BN25" s="11">
        <f>Time!BN30*BM38</f>
        <v/>
      </c>
    </row>
    <row r="26">
      <c r="D26" t="inlineStr">
        <is>
          <t>Deferred principal, opening</t>
        </is>
      </c>
      <c r="E26" t="inlineStr">
        <is>
          <t>USD m</t>
        </is>
      </c>
      <c r="J26" s="11">
        <f>0</f>
        <v/>
      </c>
      <c r="K26" s="11">
        <f>J35</f>
        <v/>
      </c>
      <c r="L26" s="11">
        <f>K35</f>
        <v/>
      </c>
      <c r="M26" s="11">
        <f>L35</f>
        <v/>
      </c>
      <c r="N26" s="11">
        <f>M35</f>
        <v/>
      </c>
      <c r="O26" s="11">
        <f>N35</f>
        <v/>
      </c>
      <c r="P26" s="11">
        <f>O35</f>
        <v/>
      </c>
      <c r="Q26" s="11">
        <f>P35</f>
        <v/>
      </c>
      <c r="R26" s="11">
        <f>Q35</f>
        <v/>
      </c>
      <c r="S26" s="11">
        <f>R35</f>
        <v/>
      </c>
      <c r="T26" s="11">
        <f>S35</f>
        <v/>
      </c>
      <c r="U26" s="11">
        <f>T35</f>
        <v/>
      </c>
      <c r="V26" s="11">
        <f>U35</f>
        <v/>
      </c>
      <c r="W26" s="11">
        <f>V35</f>
        <v/>
      </c>
      <c r="X26" s="11">
        <f>W35</f>
        <v/>
      </c>
      <c r="Y26" s="11">
        <f>X35</f>
        <v/>
      </c>
      <c r="Z26" s="11">
        <f>Y35</f>
        <v/>
      </c>
      <c r="AA26" s="11">
        <f>Z35</f>
        <v/>
      </c>
      <c r="AB26" s="11">
        <f>AA35</f>
        <v/>
      </c>
      <c r="AC26" s="11">
        <f>AB35</f>
        <v/>
      </c>
      <c r="AD26" s="11">
        <f>AC35</f>
        <v/>
      </c>
      <c r="AE26" s="11">
        <f>AD35</f>
        <v/>
      </c>
      <c r="AF26" s="11">
        <f>AE35</f>
        <v/>
      </c>
      <c r="AG26" s="11">
        <f>AF35</f>
        <v/>
      </c>
      <c r="AH26" s="11">
        <f>AG35</f>
        <v/>
      </c>
      <c r="AI26" s="11">
        <f>AH35</f>
        <v/>
      </c>
      <c r="AJ26" s="11">
        <f>AI35</f>
        <v/>
      </c>
      <c r="AK26" s="11">
        <f>AJ35</f>
        <v/>
      </c>
      <c r="AL26" s="11">
        <f>AK35</f>
        <v/>
      </c>
      <c r="AM26" s="11">
        <f>AL35</f>
        <v/>
      </c>
      <c r="AN26" s="11">
        <f>AM35</f>
        <v/>
      </c>
      <c r="AO26" s="11">
        <f>AN35</f>
        <v/>
      </c>
      <c r="AP26" s="11">
        <f>AO35</f>
        <v/>
      </c>
      <c r="AQ26" s="11">
        <f>AP35</f>
        <v/>
      </c>
      <c r="AR26" s="11">
        <f>AQ35</f>
        <v/>
      </c>
      <c r="AS26" s="11">
        <f>AR35</f>
        <v/>
      </c>
      <c r="AT26" s="11">
        <f>AS35</f>
        <v/>
      </c>
      <c r="AU26" s="11">
        <f>AT35</f>
        <v/>
      </c>
      <c r="AV26" s="11">
        <f>AU35</f>
        <v/>
      </c>
      <c r="AW26" s="11">
        <f>AV35</f>
        <v/>
      </c>
      <c r="AX26" s="11">
        <f>AW35</f>
        <v/>
      </c>
      <c r="AY26" s="11">
        <f>AX35</f>
        <v/>
      </c>
      <c r="AZ26" s="11">
        <f>AY35</f>
        <v/>
      </c>
      <c r="BA26" s="11">
        <f>AZ35</f>
        <v/>
      </c>
      <c r="BB26" s="11">
        <f>BA35</f>
        <v/>
      </c>
      <c r="BC26" s="11">
        <f>BB35</f>
        <v/>
      </c>
      <c r="BD26" s="11">
        <f>BC35</f>
        <v/>
      </c>
      <c r="BE26" s="11">
        <f>BD35</f>
        <v/>
      </c>
      <c r="BF26" s="11">
        <f>BE35</f>
        <v/>
      </c>
      <c r="BG26" s="11">
        <f>BF35</f>
        <v/>
      </c>
      <c r="BH26" s="11">
        <f>BG35</f>
        <v/>
      </c>
      <c r="BI26" s="11">
        <f>BH35</f>
        <v/>
      </c>
      <c r="BJ26" s="11">
        <f>BI35</f>
        <v/>
      </c>
      <c r="BK26" s="11">
        <f>BJ35</f>
        <v/>
      </c>
      <c r="BL26" s="11">
        <f>BK35</f>
        <v/>
      </c>
      <c r="BM26" s="11">
        <f>BL35</f>
        <v/>
      </c>
      <c r="BN26" s="11">
        <f>BM35</f>
        <v/>
      </c>
    </row>
    <row r="27">
      <c r="D27" t="inlineStr">
        <is>
          <t>Interest (incl. WHT gross-up where applicable)</t>
        </is>
      </c>
      <c r="E27" t="inlineStr">
        <is>
          <t>USD m</t>
        </is>
      </c>
      <c r="G27" s="11">
        <f>SUM(J27:BN27)</f>
        <v/>
      </c>
      <c r="J27" s="11">
        <f>J25*J10</f>
        <v/>
      </c>
      <c r="K27" s="11">
        <f>K25*K10</f>
        <v/>
      </c>
      <c r="L27" s="11">
        <f>L25*L10</f>
        <v/>
      </c>
      <c r="M27" s="11">
        <f>M25*M10</f>
        <v/>
      </c>
      <c r="N27" s="11">
        <f>N25*N10</f>
        <v/>
      </c>
      <c r="O27" s="11">
        <f>O25*O10</f>
        <v/>
      </c>
      <c r="P27" s="11">
        <f>P25*P10</f>
        <v/>
      </c>
      <c r="Q27" s="11">
        <f>Q25*Q10</f>
        <v/>
      </c>
      <c r="R27" s="11">
        <f>R25*R10</f>
        <v/>
      </c>
      <c r="S27" s="11">
        <f>S25*S10</f>
        <v/>
      </c>
      <c r="T27" s="11">
        <f>T25*T10</f>
        <v/>
      </c>
      <c r="U27" s="11">
        <f>U25*U10</f>
        <v/>
      </c>
      <c r="V27" s="11">
        <f>V25*V10</f>
        <v/>
      </c>
      <c r="W27" s="11">
        <f>W25*W10</f>
        <v/>
      </c>
      <c r="X27" s="11">
        <f>X25*X10</f>
        <v/>
      </c>
      <c r="Y27" s="11">
        <f>Y25*Y10</f>
        <v/>
      </c>
      <c r="Z27" s="11">
        <f>Z25*Z10</f>
        <v/>
      </c>
      <c r="AA27" s="11">
        <f>AA25*AA10</f>
        <v/>
      </c>
      <c r="AB27" s="11">
        <f>AB25*AB10</f>
        <v/>
      </c>
      <c r="AC27" s="11">
        <f>AC25*AC10</f>
        <v/>
      </c>
      <c r="AD27" s="11">
        <f>AD25*AD10</f>
        <v/>
      </c>
      <c r="AE27" s="11">
        <f>AE25*AE10</f>
        <v/>
      </c>
      <c r="AF27" s="11">
        <f>AF25*AF10</f>
        <v/>
      </c>
      <c r="AG27" s="11">
        <f>AG25*AG10</f>
        <v/>
      </c>
      <c r="AH27" s="11">
        <f>AH25*AH10</f>
        <v/>
      </c>
      <c r="AI27" s="11">
        <f>AI25*AI10</f>
        <v/>
      </c>
      <c r="AJ27" s="11">
        <f>AJ25*AJ10</f>
        <v/>
      </c>
      <c r="AK27" s="11">
        <f>AK25*AK10</f>
        <v/>
      </c>
      <c r="AL27" s="11">
        <f>AL25*AL10</f>
        <v/>
      </c>
      <c r="AM27" s="11">
        <f>AM25*AM10</f>
        <v/>
      </c>
      <c r="AN27" s="11">
        <f>AN25*AN10</f>
        <v/>
      </c>
      <c r="AO27" s="11">
        <f>AO25*AO10</f>
        <v/>
      </c>
      <c r="AP27" s="11">
        <f>AP25*AP10</f>
        <v/>
      </c>
      <c r="AQ27" s="11">
        <f>AQ25*AQ10</f>
        <v/>
      </c>
      <c r="AR27" s="11">
        <f>AR25*AR10</f>
        <v/>
      </c>
      <c r="AS27" s="11">
        <f>AS25*AS10</f>
        <v/>
      </c>
      <c r="AT27" s="11">
        <f>AT25*AT10</f>
        <v/>
      </c>
      <c r="AU27" s="11">
        <f>AU25*AU10</f>
        <v/>
      </c>
      <c r="AV27" s="11">
        <f>AV25*AV10</f>
        <v/>
      </c>
      <c r="AW27" s="11">
        <f>AW25*AW10</f>
        <v/>
      </c>
      <c r="AX27" s="11">
        <f>AX25*AX10</f>
        <v/>
      </c>
      <c r="AY27" s="11">
        <f>AY25*AY10</f>
        <v/>
      </c>
      <c r="AZ27" s="11">
        <f>AZ25*AZ10</f>
        <v/>
      </c>
      <c r="BA27" s="11">
        <f>BA25*BA10</f>
        <v/>
      </c>
      <c r="BB27" s="11">
        <f>BB25*BB10</f>
        <v/>
      </c>
      <c r="BC27" s="11">
        <f>BC25*BC10</f>
        <v/>
      </c>
      <c r="BD27" s="11">
        <f>BD25*BD10</f>
        <v/>
      </c>
      <c r="BE27" s="11">
        <f>BE25*BE10</f>
        <v/>
      </c>
      <c r="BF27" s="11">
        <f>BF25*BF10</f>
        <v/>
      </c>
      <c r="BG27" s="11">
        <f>BG25*BG10</f>
        <v/>
      </c>
      <c r="BH27" s="11">
        <f>BH25*BH10</f>
        <v/>
      </c>
      <c r="BI27" s="11">
        <f>BI25*BI10</f>
        <v/>
      </c>
      <c r="BJ27" s="11">
        <f>BJ25*BJ10</f>
        <v/>
      </c>
      <c r="BK27" s="11">
        <f>BK25*BK10</f>
        <v/>
      </c>
      <c r="BL27" s="11">
        <f>BL25*BL10</f>
        <v/>
      </c>
      <c r="BM27" s="11">
        <f>BM25*BM10</f>
        <v/>
      </c>
      <c r="BN27" s="11">
        <f>BN25*BN10</f>
        <v/>
      </c>
    </row>
    <row r="28">
      <c r="D28" t="inlineStr">
        <is>
          <t>Scheduled principal per profile</t>
        </is>
      </c>
      <c r="E28" t="inlineStr">
        <is>
          <t>USD m</t>
        </is>
      </c>
      <c r="G28" s="11">
        <f>SUM(J28:BN28)</f>
        <v/>
      </c>
      <c r="J28" s="11">
        <f>Time!J30*(J25-J26)*J19</f>
        <v/>
      </c>
      <c r="K28" s="11">
        <f>Time!K30*(K25-K26)*K19</f>
        <v/>
      </c>
      <c r="L28" s="11">
        <f>Time!L30*(L25-L26)*L19</f>
        <v/>
      </c>
      <c r="M28" s="11">
        <f>Time!M30*(M25-M26)*M19</f>
        <v/>
      </c>
      <c r="N28" s="11">
        <f>Time!N30*(N25-N26)*N19</f>
        <v/>
      </c>
      <c r="O28" s="11">
        <f>Time!O30*(O25-O26)*O19</f>
        <v/>
      </c>
      <c r="P28" s="11">
        <f>Time!P30*(P25-P26)*P19</f>
        <v/>
      </c>
      <c r="Q28" s="11">
        <f>Time!Q30*(Q25-Q26)*Q19</f>
        <v/>
      </c>
      <c r="R28" s="11">
        <f>Time!R30*(R25-R26)*R19</f>
        <v/>
      </c>
      <c r="S28" s="11">
        <f>Time!S30*(S25-S26)*S19</f>
        <v/>
      </c>
      <c r="T28" s="11">
        <f>Time!T30*(T25-T26)*T19</f>
        <v/>
      </c>
      <c r="U28" s="11">
        <f>Time!U30*(U25-U26)*U19</f>
        <v/>
      </c>
      <c r="V28" s="11">
        <f>Time!V30*(V25-V26)*V19</f>
        <v/>
      </c>
      <c r="W28" s="11">
        <f>Time!W30*(W25-W26)*W19</f>
        <v/>
      </c>
      <c r="X28" s="11">
        <f>Time!X30*(X25-X26)*X19</f>
        <v/>
      </c>
      <c r="Y28" s="11">
        <f>Time!Y30*(Y25-Y26)*Y19</f>
        <v/>
      </c>
      <c r="Z28" s="11">
        <f>Time!Z30*(Z25-Z26)*Z19</f>
        <v/>
      </c>
      <c r="AA28" s="11">
        <f>Time!AA30*(AA25-AA26)*AA19</f>
        <v/>
      </c>
      <c r="AB28" s="11">
        <f>Time!AB30*(AB25-AB26)*AB19</f>
        <v/>
      </c>
      <c r="AC28" s="11">
        <f>Time!AC30*(AC25-AC26)*AC19</f>
        <v/>
      </c>
      <c r="AD28" s="11">
        <f>Time!AD30*(AD25-AD26)*AD19</f>
        <v/>
      </c>
      <c r="AE28" s="11">
        <f>Time!AE30*(AE25-AE26)*AE19</f>
        <v/>
      </c>
      <c r="AF28" s="11">
        <f>Time!AF30*(AF25-AF26)*AF19</f>
        <v/>
      </c>
      <c r="AG28" s="11">
        <f>Time!AG30*(AG25-AG26)*AG19</f>
        <v/>
      </c>
      <c r="AH28" s="11">
        <f>Time!AH30*(AH25-AH26)*AH19</f>
        <v/>
      </c>
      <c r="AI28" s="11">
        <f>Time!AI30*(AI25-AI26)*AI19</f>
        <v/>
      </c>
      <c r="AJ28" s="11">
        <f>Time!AJ30*(AJ25-AJ26)*AJ19</f>
        <v/>
      </c>
      <c r="AK28" s="11">
        <f>Time!AK30*(AK25-AK26)*AK19</f>
        <v/>
      </c>
      <c r="AL28" s="11">
        <f>Time!AL30*(AL25-AL26)*AL19</f>
        <v/>
      </c>
      <c r="AM28" s="11">
        <f>Time!AM30*(AM25-AM26)*AM19</f>
        <v/>
      </c>
      <c r="AN28" s="11">
        <f>Time!AN30*(AN25-AN26)*AN19</f>
        <v/>
      </c>
      <c r="AO28" s="11">
        <f>Time!AO30*(AO25-AO26)*AO19</f>
        <v/>
      </c>
      <c r="AP28" s="11">
        <f>Time!AP30*(AP25-AP26)*AP19</f>
        <v/>
      </c>
      <c r="AQ28" s="11">
        <f>Time!AQ30*(AQ25-AQ26)*AQ19</f>
        <v/>
      </c>
      <c r="AR28" s="11">
        <f>Time!AR30*(AR25-AR26)*AR19</f>
        <v/>
      </c>
      <c r="AS28" s="11">
        <f>Time!AS30*(AS25-AS26)*AS19</f>
        <v/>
      </c>
      <c r="AT28" s="11">
        <f>Time!AT30*(AT25-AT26)*AT19</f>
        <v/>
      </c>
      <c r="AU28" s="11">
        <f>Time!AU30*(AU25-AU26)*AU19</f>
        <v/>
      </c>
      <c r="AV28" s="11">
        <f>Time!AV30*(AV25-AV26)*AV19</f>
        <v/>
      </c>
      <c r="AW28" s="11">
        <f>Time!AW30*(AW25-AW26)*AW19</f>
        <v/>
      </c>
      <c r="AX28" s="11">
        <f>Time!AX30*(AX25-AX26)*AX19</f>
        <v/>
      </c>
      <c r="AY28" s="11">
        <f>Time!AY30*(AY25-AY26)*AY19</f>
        <v/>
      </c>
      <c r="AZ28" s="11">
        <f>Time!AZ30*(AZ25-AZ26)*AZ19</f>
        <v/>
      </c>
      <c r="BA28" s="11">
        <f>Time!BA30*(BA25-BA26)*BA19</f>
        <v/>
      </c>
      <c r="BB28" s="11">
        <f>Time!BB30*(BB25-BB26)*BB19</f>
        <v/>
      </c>
      <c r="BC28" s="11">
        <f>Time!BC30*(BC25-BC26)*BC19</f>
        <v/>
      </c>
      <c r="BD28" s="11">
        <f>Time!BD30*(BD25-BD26)*BD19</f>
        <v/>
      </c>
      <c r="BE28" s="11">
        <f>Time!BE30*(BE25-BE26)*BE19</f>
        <v/>
      </c>
      <c r="BF28" s="11">
        <f>Time!BF30*(BF25-BF26)*BF19</f>
        <v/>
      </c>
      <c r="BG28" s="11">
        <f>Time!BG30*(BG25-BG26)*BG19</f>
        <v/>
      </c>
      <c r="BH28" s="11">
        <f>Time!BH30*(BH25-BH26)*BH19</f>
        <v/>
      </c>
      <c r="BI28" s="11">
        <f>Time!BI30*(BI25-BI26)*BI19</f>
        <v/>
      </c>
      <c r="BJ28" s="11">
        <f>Time!BJ30*(BJ25-BJ26)*BJ19</f>
        <v/>
      </c>
      <c r="BK28" s="11">
        <f>Time!BK30*(BK25-BK26)*BK19</f>
        <v/>
      </c>
      <c r="BL28" s="11">
        <f>Time!BL30*(BL25-BL26)*BL19</f>
        <v/>
      </c>
      <c r="BM28" s="11">
        <f>Time!BM30*(BM25-BM26)*BM19</f>
        <v/>
      </c>
      <c r="BN28" s="11">
        <f>Time!BN30*(BN25-BN26)*BN19</f>
        <v/>
      </c>
    </row>
    <row r="29">
      <c r="D29" t="inlineStr">
        <is>
          <t>Principal deferred under the waiver</t>
        </is>
      </c>
      <c r="E29" t="inlineStr">
        <is>
          <t>USD m</t>
        </is>
      </c>
      <c r="G29" s="11">
        <f>SUM(J29:BN29)</f>
        <v/>
      </c>
      <c r="J29" s="11">
        <f>J21*Inputs!$F$191*J28</f>
        <v/>
      </c>
      <c r="K29" s="11">
        <f>K21*Inputs!$F$191*K28</f>
        <v/>
      </c>
      <c r="L29" s="11">
        <f>L21*Inputs!$F$191*L28</f>
        <v/>
      </c>
      <c r="M29" s="11">
        <f>M21*Inputs!$F$191*M28</f>
        <v/>
      </c>
      <c r="N29" s="11">
        <f>N21*Inputs!$F$191*N28</f>
        <v/>
      </c>
      <c r="O29" s="11">
        <f>O21*Inputs!$F$191*O28</f>
        <v/>
      </c>
      <c r="P29" s="11">
        <f>P21*Inputs!$F$191*P28</f>
        <v/>
      </c>
      <c r="Q29" s="11">
        <f>Q21*Inputs!$F$191*Q28</f>
        <v/>
      </c>
      <c r="R29" s="11">
        <f>R21*Inputs!$F$191*R28</f>
        <v/>
      </c>
      <c r="S29" s="11">
        <f>S21*Inputs!$F$191*S28</f>
        <v/>
      </c>
      <c r="T29" s="11">
        <f>T21*Inputs!$F$191*T28</f>
        <v/>
      </c>
      <c r="U29" s="11">
        <f>U21*Inputs!$F$191*U28</f>
        <v/>
      </c>
      <c r="V29" s="11">
        <f>V21*Inputs!$F$191*V28</f>
        <v/>
      </c>
      <c r="W29" s="11">
        <f>W21*Inputs!$F$191*W28</f>
        <v/>
      </c>
      <c r="X29" s="11">
        <f>X21*Inputs!$F$191*X28</f>
        <v/>
      </c>
      <c r="Y29" s="11">
        <f>Y21*Inputs!$F$191*Y28</f>
        <v/>
      </c>
      <c r="Z29" s="11">
        <f>Z21*Inputs!$F$191*Z28</f>
        <v/>
      </c>
      <c r="AA29" s="11">
        <f>AA21*Inputs!$F$191*AA28</f>
        <v/>
      </c>
      <c r="AB29" s="11">
        <f>AB21*Inputs!$F$191*AB28</f>
        <v/>
      </c>
      <c r="AC29" s="11">
        <f>AC21*Inputs!$F$191*AC28</f>
        <v/>
      </c>
      <c r="AD29" s="11">
        <f>AD21*Inputs!$F$191*AD28</f>
        <v/>
      </c>
      <c r="AE29" s="11">
        <f>AE21*Inputs!$F$191*AE28</f>
        <v/>
      </c>
      <c r="AF29" s="11">
        <f>AF21*Inputs!$F$191*AF28</f>
        <v/>
      </c>
      <c r="AG29" s="11">
        <f>AG21*Inputs!$F$191*AG28</f>
        <v/>
      </c>
      <c r="AH29" s="11">
        <f>AH21*Inputs!$F$191*AH28</f>
        <v/>
      </c>
      <c r="AI29" s="11">
        <f>AI21*Inputs!$F$191*AI28</f>
        <v/>
      </c>
      <c r="AJ29" s="11">
        <f>AJ21*Inputs!$F$191*AJ28</f>
        <v/>
      </c>
      <c r="AK29" s="11">
        <f>AK21*Inputs!$F$191*AK28</f>
        <v/>
      </c>
      <c r="AL29" s="11">
        <f>AL21*Inputs!$F$191*AL28</f>
        <v/>
      </c>
      <c r="AM29" s="11">
        <f>AM21*Inputs!$F$191*AM28</f>
        <v/>
      </c>
      <c r="AN29" s="11">
        <f>AN21*Inputs!$F$191*AN28</f>
        <v/>
      </c>
      <c r="AO29" s="11">
        <f>AO21*Inputs!$F$191*AO28</f>
        <v/>
      </c>
      <c r="AP29" s="11">
        <f>AP21*Inputs!$F$191*AP28</f>
        <v/>
      </c>
      <c r="AQ29" s="11">
        <f>AQ21*Inputs!$F$191*AQ28</f>
        <v/>
      </c>
      <c r="AR29" s="11">
        <f>AR21*Inputs!$F$191*AR28</f>
        <v/>
      </c>
      <c r="AS29" s="11">
        <f>AS21*Inputs!$F$191*AS28</f>
        <v/>
      </c>
      <c r="AT29" s="11">
        <f>AT21*Inputs!$F$191*AT28</f>
        <v/>
      </c>
      <c r="AU29" s="11">
        <f>AU21*Inputs!$F$191*AU28</f>
        <v/>
      </c>
      <c r="AV29" s="11">
        <f>AV21*Inputs!$F$191*AV28</f>
        <v/>
      </c>
      <c r="AW29" s="11">
        <f>AW21*Inputs!$F$191*AW28</f>
        <v/>
      </c>
      <c r="AX29" s="11">
        <f>AX21*Inputs!$F$191*AX28</f>
        <v/>
      </c>
      <c r="AY29" s="11">
        <f>AY21*Inputs!$F$191*AY28</f>
        <v/>
      </c>
      <c r="AZ29" s="11">
        <f>AZ21*Inputs!$F$191*AZ28</f>
        <v/>
      </c>
      <c r="BA29" s="11">
        <f>BA21*Inputs!$F$191*BA28</f>
        <v/>
      </c>
      <c r="BB29" s="11">
        <f>BB21*Inputs!$F$191*BB28</f>
        <v/>
      </c>
      <c r="BC29" s="11">
        <f>BC21*Inputs!$F$191*BC28</f>
        <v/>
      </c>
      <c r="BD29" s="11">
        <f>BD21*Inputs!$F$191*BD28</f>
        <v/>
      </c>
      <c r="BE29" s="11">
        <f>BE21*Inputs!$F$191*BE28</f>
        <v/>
      </c>
      <c r="BF29" s="11">
        <f>BF21*Inputs!$F$191*BF28</f>
        <v/>
      </c>
      <c r="BG29" s="11">
        <f>BG21*Inputs!$F$191*BG28</f>
        <v/>
      </c>
      <c r="BH29" s="11">
        <f>BH21*Inputs!$F$191*BH28</f>
        <v/>
      </c>
      <c r="BI29" s="11">
        <f>BI21*Inputs!$F$191*BI28</f>
        <v/>
      </c>
      <c r="BJ29" s="11">
        <f>BJ21*Inputs!$F$191*BJ28</f>
        <v/>
      </c>
      <c r="BK29" s="11">
        <f>BK21*Inputs!$F$191*BK28</f>
        <v/>
      </c>
      <c r="BL29" s="11">
        <f>BL21*Inputs!$F$191*BL28</f>
        <v/>
      </c>
      <c r="BM29" s="11">
        <f>BM21*Inputs!$F$191*BM28</f>
        <v/>
      </c>
      <c r="BN29" s="11">
        <f>BN21*Inputs!$F$191*BN28</f>
        <v/>
      </c>
    </row>
    <row r="30">
      <c r="D30" t="inlineStr">
        <is>
          <t>Deferred amount at 2023-12-31</t>
        </is>
      </c>
      <c r="E30" t="inlineStr">
        <is>
          <t>USD m</t>
        </is>
      </c>
      <c r="F30" s="15">
        <f>$T$29</f>
        <v/>
      </c>
    </row>
    <row r="31">
      <c r="D31" t="inlineStr">
        <is>
          <t>Deferred principal repaid</t>
        </is>
      </c>
      <c r="E31" t="inlineStr">
        <is>
          <t>USD m</t>
        </is>
      </c>
      <c r="G31" s="11">
        <f>SUM(J31:BN31)</f>
        <v/>
      </c>
      <c r="J31" s="11">
        <f>0</f>
        <v/>
      </c>
      <c r="K31" s="11">
        <f>0</f>
        <v/>
      </c>
      <c r="L31" s="11">
        <f>0</f>
        <v/>
      </c>
      <c r="M31" s="11">
        <f>0</f>
        <v/>
      </c>
      <c r="N31" s="11">
        <f>0</f>
        <v/>
      </c>
      <c r="O31" s="11">
        <f>0</f>
        <v/>
      </c>
      <c r="P31" s="11">
        <f>0</f>
        <v/>
      </c>
      <c r="Q31" s="11">
        <f>0</f>
        <v/>
      </c>
      <c r="R31" s="11">
        <f>0</f>
        <v/>
      </c>
      <c r="S31" s="11">
        <f>0</f>
        <v/>
      </c>
      <c r="T31" s="11">
        <f>0</f>
        <v/>
      </c>
      <c r="U31" s="11">
        <f>U22*MIN($F$30/4,U26)</f>
        <v/>
      </c>
      <c r="V31" s="11">
        <f>V22*MIN($F$30/4,V26)</f>
        <v/>
      </c>
      <c r="W31" s="11">
        <f>W22*MIN($F$30/4,W26)</f>
        <v/>
      </c>
      <c r="X31" s="11">
        <f>X22*MIN($F$30/4,X26)</f>
        <v/>
      </c>
      <c r="Y31" s="11">
        <f>0</f>
        <v/>
      </c>
      <c r="Z31" s="11">
        <f>0</f>
        <v/>
      </c>
      <c r="AA31" s="11">
        <f>0</f>
        <v/>
      </c>
      <c r="AB31" s="11">
        <f>0</f>
        <v/>
      </c>
      <c r="AC31" s="11">
        <f>0</f>
        <v/>
      </c>
      <c r="AD31" s="11">
        <f>0</f>
        <v/>
      </c>
      <c r="AE31" s="11">
        <f>0</f>
        <v/>
      </c>
      <c r="AF31" s="11">
        <f>0</f>
        <v/>
      </c>
      <c r="AG31" s="11">
        <f>0</f>
        <v/>
      </c>
      <c r="AH31" s="11">
        <f>0</f>
        <v/>
      </c>
      <c r="AI31" s="11">
        <f>0</f>
        <v/>
      </c>
      <c r="AJ31" s="11">
        <f>0</f>
        <v/>
      </c>
      <c r="AK31" s="11">
        <f>0</f>
        <v/>
      </c>
      <c r="AL31" s="11">
        <f>0</f>
        <v/>
      </c>
      <c r="AM31" s="11">
        <f>0</f>
        <v/>
      </c>
      <c r="AN31" s="11">
        <f>0</f>
        <v/>
      </c>
      <c r="AO31" s="11">
        <f>0</f>
        <v/>
      </c>
      <c r="AP31" s="11">
        <f>0</f>
        <v/>
      </c>
      <c r="AQ31" s="11">
        <f>0</f>
        <v/>
      </c>
      <c r="AR31" s="11">
        <f>0</f>
        <v/>
      </c>
      <c r="AS31" s="11">
        <f>0</f>
        <v/>
      </c>
      <c r="AT31" s="11">
        <f>0</f>
        <v/>
      </c>
      <c r="AU31" s="11">
        <f>0</f>
        <v/>
      </c>
      <c r="AV31" s="11">
        <f>0</f>
        <v/>
      </c>
      <c r="AW31" s="11">
        <f>0</f>
        <v/>
      </c>
      <c r="AX31" s="11">
        <f>0</f>
        <v/>
      </c>
      <c r="AY31" s="11">
        <f>0</f>
        <v/>
      </c>
      <c r="AZ31" s="11">
        <f>0</f>
        <v/>
      </c>
      <c r="BA31" s="11">
        <f>0</f>
        <v/>
      </c>
      <c r="BB31" s="11">
        <f>0</f>
        <v/>
      </c>
      <c r="BC31" s="11">
        <f>0</f>
        <v/>
      </c>
      <c r="BD31" s="11">
        <f>0</f>
        <v/>
      </c>
      <c r="BE31" s="11">
        <f>0</f>
        <v/>
      </c>
      <c r="BF31" s="11">
        <f>0</f>
        <v/>
      </c>
      <c r="BG31" s="11">
        <f>0</f>
        <v/>
      </c>
      <c r="BH31" s="11">
        <f>0</f>
        <v/>
      </c>
      <c r="BI31" s="11">
        <f>0</f>
        <v/>
      </c>
      <c r="BJ31" s="11">
        <f>0</f>
        <v/>
      </c>
      <c r="BK31" s="11">
        <f>0</f>
        <v/>
      </c>
      <c r="BL31" s="11">
        <f>0</f>
        <v/>
      </c>
      <c r="BM31" s="11">
        <f>0</f>
        <v/>
      </c>
      <c r="BN31" s="11">
        <f>0</f>
        <v/>
      </c>
    </row>
    <row r="32">
      <c r="D32" t="inlineStr">
        <is>
          <t>Principal paid</t>
        </is>
      </c>
      <c r="E32" t="inlineStr">
        <is>
          <t>USD m</t>
        </is>
      </c>
      <c r="G32" s="11">
        <f>SUM(J32:BN32)</f>
        <v/>
      </c>
      <c r="J32" s="11">
        <f>J28-J29+J31</f>
        <v/>
      </c>
      <c r="K32" s="11">
        <f>K28-K29+K31</f>
        <v/>
      </c>
      <c r="L32" s="11">
        <f>L28-L29+L31</f>
        <v/>
      </c>
      <c r="M32" s="11">
        <f>M28-M29+M31</f>
        <v/>
      </c>
      <c r="N32" s="11">
        <f>N28-N29+N31</f>
        <v/>
      </c>
      <c r="O32" s="11">
        <f>O28-O29+O31</f>
        <v/>
      </c>
      <c r="P32" s="11">
        <f>P28-P29+P31</f>
        <v/>
      </c>
      <c r="Q32" s="11">
        <f>Q28-Q29+Q31</f>
        <v/>
      </c>
      <c r="R32" s="11">
        <f>R28-R29+R31</f>
        <v/>
      </c>
      <c r="S32" s="11">
        <f>S28-S29+S31</f>
        <v/>
      </c>
      <c r="T32" s="11">
        <f>T28-T29+T31</f>
        <v/>
      </c>
      <c r="U32" s="11">
        <f>U28-U29+U31</f>
        <v/>
      </c>
      <c r="V32" s="11">
        <f>V28-V29+V31</f>
        <v/>
      </c>
      <c r="W32" s="11">
        <f>W28-W29+W31</f>
        <v/>
      </c>
      <c r="X32" s="11">
        <f>X28-X29+X31</f>
        <v/>
      </c>
      <c r="Y32" s="11">
        <f>Y28-Y29+Y31</f>
        <v/>
      </c>
      <c r="Z32" s="11">
        <f>Z28-Z29+Z31</f>
        <v/>
      </c>
      <c r="AA32" s="11">
        <f>AA28-AA29+AA31</f>
        <v/>
      </c>
      <c r="AB32" s="11">
        <f>AB28-AB29+AB31</f>
        <v/>
      </c>
      <c r="AC32" s="11">
        <f>AC28-AC29+AC31</f>
        <v/>
      </c>
      <c r="AD32" s="11">
        <f>AD28-AD29+AD31</f>
        <v/>
      </c>
      <c r="AE32" s="11">
        <f>AE28-AE29+AE31</f>
        <v/>
      </c>
      <c r="AF32" s="11">
        <f>AF28-AF29+AF31</f>
        <v/>
      </c>
      <c r="AG32" s="11">
        <f>AG28-AG29+AG31</f>
        <v/>
      </c>
      <c r="AH32" s="11">
        <f>AH28-AH29+AH31</f>
        <v/>
      </c>
      <c r="AI32" s="11">
        <f>AI28-AI29+AI31</f>
        <v/>
      </c>
      <c r="AJ32" s="11">
        <f>AJ28-AJ29+AJ31</f>
        <v/>
      </c>
      <c r="AK32" s="11">
        <f>AK28-AK29+AK31</f>
        <v/>
      </c>
      <c r="AL32" s="11">
        <f>AL28-AL29+AL31</f>
        <v/>
      </c>
      <c r="AM32" s="11">
        <f>AM28-AM29+AM31</f>
        <v/>
      </c>
      <c r="AN32" s="11">
        <f>AN28-AN29+AN31</f>
        <v/>
      </c>
      <c r="AO32" s="11">
        <f>AO28-AO29+AO31</f>
        <v/>
      </c>
      <c r="AP32" s="11">
        <f>AP28-AP29+AP31</f>
        <v/>
      </c>
      <c r="AQ32" s="11">
        <f>AQ28-AQ29+AQ31</f>
        <v/>
      </c>
      <c r="AR32" s="11">
        <f>AR28-AR29+AR31</f>
        <v/>
      </c>
      <c r="AS32" s="11">
        <f>AS28-AS29+AS31</f>
        <v/>
      </c>
      <c r="AT32" s="11">
        <f>AT28-AT29+AT31</f>
        <v/>
      </c>
      <c r="AU32" s="11">
        <f>AU28-AU29+AU31</f>
        <v/>
      </c>
      <c r="AV32" s="11">
        <f>AV28-AV29+AV31</f>
        <v/>
      </c>
      <c r="AW32" s="11">
        <f>AW28-AW29+AW31</f>
        <v/>
      </c>
      <c r="AX32" s="11">
        <f>AX28-AX29+AX31</f>
        <v/>
      </c>
      <c r="AY32" s="11">
        <f>AY28-AY29+AY31</f>
        <v/>
      </c>
      <c r="AZ32" s="11">
        <f>AZ28-AZ29+AZ31</f>
        <v/>
      </c>
      <c r="BA32" s="11">
        <f>BA28-BA29+BA31</f>
        <v/>
      </c>
      <c r="BB32" s="11">
        <f>BB28-BB29+BB31</f>
        <v/>
      </c>
      <c r="BC32" s="11">
        <f>BC28-BC29+BC31</f>
        <v/>
      </c>
      <c r="BD32" s="11">
        <f>BD28-BD29+BD31</f>
        <v/>
      </c>
      <c r="BE32" s="11">
        <f>BE28-BE29+BE31</f>
        <v/>
      </c>
      <c r="BF32" s="11">
        <f>BF28-BF29+BF31</f>
        <v/>
      </c>
      <c r="BG32" s="11">
        <f>BG28-BG29+BG31</f>
        <v/>
      </c>
      <c r="BH32" s="11">
        <f>BH28-BH29+BH31</f>
        <v/>
      </c>
      <c r="BI32" s="11">
        <f>BI28-BI29+BI31</f>
        <v/>
      </c>
      <c r="BJ32" s="11">
        <f>BJ28-BJ29+BJ31</f>
        <v/>
      </c>
      <c r="BK32" s="11">
        <f>BK28-BK29+BK31</f>
        <v/>
      </c>
      <c r="BL32" s="11">
        <f>BL28-BL29+BL31</f>
        <v/>
      </c>
      <c r="BM32" s="11">
        <f>BM28-BM29+BM31</f>
        <v/>
      </c>
      <c r="BN32" s="11">
        <f>BN28-BN29+BN31</f>
        <v/>
      </c>
    </row>
    <row r="33">
      <c r="D33" t="inlineStr">
        <is>
          <t>Performance LD prepayment</t>
        </is>
      </c>
      <c r="E33" t="inlineStr">
        <is>
          <t>USD m</t>
        </is>
      </c>
      <c r="G33" s="11">
        <f>SUM(J33:BN33)</f>
        <v/>
      </c>
      <c r="J33" s="11">
        <f>J23*Inputs!$F$188*(J25-J32)/(J25-J32+J40-J47+J55-J62+J70-J77+J85-J92+0.000000001)</f>
        <v/>
      </c>
      <c r="K33" s="11">
        <f>K23*Inputs!$F$188*(K25-K32)/(K25-K32+K40-K47+K55-K62+K70-K77+K85-K92+0.000000001)</f>
        <v/>
      </c>
      <c r="L33" s="11">
        <f>L23*Inputs!$F$188*(L25-L32)/(L25-L32+L40-L47+L55-L62+L70-L77+L85-L92+0.000000001)</f>
        <v/>
      </c>
      <c r="M33" s="11">
        <f>M23*Inputs!$F$188*(M25-M32)/(M25-M32+M40-M47+M55-M62+M70-M77+M85-M92+0.000000001)</f>
        <v/>
      </c>
      <c r="N33" s="11">
        <f>N23*Inputs!$F$188*(N25-N32)/(N25-N32+N40-N47+N55-N62+N70-N77+N85-N92+0.000000001)</f>
        <v/>
      </c>
      <c r="O33" s="11">
        <f>O23*Inputs!$F$188*(O25-O32)/(O25-O32+O40-O47+O55-O62+O70-O77+O85-O92+0.000000001)</f>
        <v/>
      </c>
      <c r="P33" s="11">
        <f>P23*Inputs!$F$188*(P25-P32)/(P25-P32+P40-P47+P55-P62+P70-P77+P85-P92+0.000000001)</f>
        <v/>
      </c>
      <c r="Q33" s="11">
        <f>Q23*Inputs!$F$188*(Q25-Q32)/(Q25-Q32+Q40-Q47+Q55-Q62+Q70-Q77+Q85-Q92+0.000000001)</f>
        <v/>
      </c>
      <c r="R33" s="11">
        <f>R23*Inputs!$F$188*(R25-R32)/(R25-R32+R40-R47+R55-R62+R70-R77+R85-R92+0.000000001)</f>
        <v/>
      </c>
      <c r="S33" s="11">
        <f>S23*Inputs!$F$188*(S25-S32)/(S25-S32+S40-S47+S55-S62+S70-S77+S85-S92+0.000000001)</f>
        <v/>
      </c>
      <c r="T33" s="11">
        <f>T23*Inputs!$F$188*(T25-T32)/(T25-T32+T40-T47+T55-T62+T70-T77+T85-T92+0.000000001)</f>
        <v/>
      </c>
      <c r="U33" s="11">
        <f>U23*Inputs!$F$188*(U25-U32)/(U25-U32+U40-U47+U55-U62+U70-U77+U85-U92+0.000000001)</f>
        <v/>
      </c>
      <c r="V33" s="11">
        <f>V23*Inputs!$F$188*(V25-V32)/(V25-V32+V40-V47+V55-V62+V70-V77+V85-V92+0.000000001)</f>
        <v/>
      </c>
      <c r="W33" s="11">
        <f>W23*Inputs!$F$188*(W25-W32)/(W25-W32+W40-W47+W55-W62+W70-W77+W85-W92+0.000000001)</f>
        <v/>
      </c>
      <c r="X33" s="11">
        <f>X23*Inputs!$F$188*(X25-X32)/(X25-X32+X40-X47+X55-X62+X70-X77+X85-X92+0.000000001)</f>
        <v/>
      </c>
      <c r="Y33" s="11">
        <f>Y23*Inputs!$F$188*(Y25-Y32)/(Y25-Y32+Y40-Y47+Y55-Y62+Y70-Y77+Y85-Y92+0.000000001)</f>
        <v/>
      </c>
      <c r="Z33" s="11">
        <f>Z23*Inputs!$F$188*(Z25-Z32)/(Z25-Z32+Z40-Z47+Z55-Z62+Z70-Z77+Z85-Z92+0.000000001)</f>
        <v/>
      </c>
      <c r="AA33" s="11">
        <f>AA23*Inputs!$F$188*(AA25-AA32)/(AA25-AA32+AA40-AA47+AA55-AA62+AA70-AA77+AA85-AA92+0.000000001)</f>
        <v/>
      </c>
      <c r="AB33" s="11">
        <f>AB23*Inputs!$F$188*(AB25-AB32)/(AB25-AB32+AB40-AB47+AB55-AB62+AB70-AB77+AB85-AB92+0.000000001)</f>
        <v/>
      </c>
      <c r="AC33" s="11">
        <f>AC23*Inputs!$F$188*(AC25-AC32)/(AC25-AC32+AC40-AC47+AC55-AC62+AC70-AC77+AC85-AC92+0.000000001)</f>
        <v/>
      </c>
      <c r="AD33" s="11">
        <f>AD23*Inputs!$F$188*(AD25-AD32)/(AD25-AD32+AD40-AD47+AD55-AD62+AD70-AD77+AD85-AD92+0.000000001)</f>
        <v/>
      </c>
      <c r="AE33" s="11">
        <f>AE23*Inputs!$F$188*(AE25-AE32)/(AE25-AE32+AE40-AE47+AE55-AE62+AE70-AE77+AE85-AE92+0.000000001)</f>
        <v/>
      </c>
      <c r="AF33" s="11">
        <f>AF23*Inputs!$F$188*(AF25-AF32)/(AF25-AF32+AF40-AF47+AF55-AF62+AF70-AF77+AF85-AF92+0.000000001)</f>
        <v/>
      </c>
      <c r="AG33" s="11">
        <f>AG23*Inputs!$F$188*(AG25-AG32)/(AG25-AG32+AG40-AG47+AG55-AG62+AG70-AG77+AG85-AG92+0.000000001)</f>
        <v/>
      </c>
      <c r="AH33" s="11">
        <f>AH23*Inputs!$F$188*(AH25-AH32)/(AH25-AH32+AH40-AH47+AH55-AH62+AH70-AH77+AH85-AH92+0.000000001)</f>
        <v/>
      </c>
      <c r="AI33" s="11">
        <f>AI23*Inputs!$F$188*(AI25-AI32)/(AI25-AI32+AI40-AI47+AI55-AI62+AI70-AI77+AI85-AI92+0.000000001)</f>
        <v/>
      </c>
      <c r="AJ33" s="11">
        <f>AJ23*Inputs!$F$188*(AJ25-AJ32)/(AJ25-AJ32+AJ40-AJ47+AJ55-AJ62+AJ70-AJ77+AJ85-AJ92+0.000000001)</f>
        <v/>
      </c>
      <c r="AK33" s="11">
        <f>AK23*Inputs!$F$188*(AK25-AK32)/(AK25-AK32+AK40-AK47+AK55-AK62+AK70-AK77+AK85-AK92+0.000000001)</f>
        <v/>
      </c>
      <c r="AL33" s="11">
        <f>AL23*Inputs!$F$188*(AL25-AL32)/(AL25-AL32+AL40-AL47+AL55-AL62+AL70-AL77+AL85-AL92+0.000000001)</f>
        <v/>
      </c>
      <c r="AM33" s="11">
        <f>AM23*Inputs!$F$188*(AM25-AM32)/(AM25-AM32+AM40-AM47+AM55-AM62+AM70-AM77+AM85-AM92+0.000000001)</f>
        <v/>
      </c>
      <c r="AN33" s="11">
        <f>AN23*Inputs!$F$188*(AN25-AN32)/(AN25-AN32+AN40-AN47+AN55-AN62+AN70-AN77+AN85-AN92+0.000000001)</f>
        <v/>
      </c>
      <c r="AO33" s="11">
        <f>AO23*Inputs!$F$188*(AO25-AO32)/(AO25-AO32+AO40-AO47+AO55-AO62+AO70-AO77+AO85-AO92+0.000000001)</f>
        <v/>
      </c>
      <c r="AP33" s="11">
        <f>AP23*Inputs!$F$188*(AP25-AP32)/(AP25-AP32+AP40-AP47+AP55-AP62+AP70-AP77+AP85-AP92+0.000000001)</f>
        <v/>
      </c>
      <c r="AQ33" s="11">
        <f>AQ23*Inputs!$F$188*(AQ25-AQ32)/(AQ25-AQ32+AQ40-AQ47+AQ55-AQ62+AQ70-AQ77+AQ85-AQ92+0.000000001)</f>
        <v/>
      </c>
      <c r="AR33" s="11">
        <f>AR23*Inputs!$F$188*(AR25-AR32)/(AR25-AR32+AR40-AR47+AR55-AR62+AR70-AR77+AR85-AR92+0.000000001)</f>
        <v/>
      </c>
      <c r="AS33" s="11">
        <f>AS23*Inputs!$F$188*(AS25-AS32)/(AS25-AS32+AS40-AS47+AS55-AS62+AS70-AS77+AS85-AS92+0.000000001)</f>
        <v/>
      </c>
      <c r="AT33" s="11">
        <f>AT23*Inputs!$F$188*(AT25-AT32)/(AT25-AT32+AT40-AT47+AT55-AT62+AT70-AT77+AT85-AT92+0.000000001)</f>
        <v/>
      </c>
      <c r="AU33" s="11">
        <f>AU23*Inputs!$F$188*(AU25-AU32)/(AU25-AU32+AU40-AU47+AU55-AU62+AU70-AU77+AU85-AU92+0.000000001)</f>
        <v/>
      </c>
      <c r="AV33" s="11">
        <f>AV23*Inputs!$F$188*(AV25-AV32)/(AV25-AV32+AV40-AV47+AV55-AV62+AV70-AV77+AV85-AV92+0.000000001)</f>
        <v/>
      </c>
      <c r="AW33" s="11">
        <f>AW23*Inputs!$F$188*(AW25-AW32)/(AW25-AW32+AW40-AW47+AW55-AW62+AW70-AW77+AW85-AW92+0.000000001)</f>
        <v/>
      </c>
      <c r="AX33" s="11">
        <f>AX23*Inputs!$F$188*(AX25-AX32)/(AX25-AX32+AX40-AX47+AX55-AX62+AX70-AX77+AX85-AX92+0.000000001)</f>
        <v/>
      </c>
      <c r="AY33" s="11">
        <f>AY23*Inputs!$F$188*(AY25-AY32)/(AY25-AY32+AY40-AY47+AY55-AY62+AY70-AY77+AY85-AY92+0.000000001)</f>
        <v/>
      </c>
      <c r="AZ33" s="11">
        <f>AZ23*Inputs!$F$188*(AZ25-AZ32)/(AZ25-AZ32+AZ40-AZ47+AZ55-AZ62+AZ70-AZ77+AZ85-AZ92+0.000000001)</f>
        <v/>
      </c>
      <c r="BA33" s="11">
        <f>BA23*Inputs!$F$188*(BA25-BA32)/(BA25-BA32+BA40-BA47+BA55-BA62+BA70-BA77+BA85-BA92+0.000000001)</f>
        <v/>
      </c>
      <c r="BB33" s="11">
        <f>BB23*Inputs!$F$188*(BB25-BB32)/(BB25-BB32+BB40-BB47+BB55-BB62+BB70-BB77+BB85-BB92+0.000000001)</f>
        <v/>
      </c>
      <c r="BC33" s="11">
        <f>BC23*Inputs!$F$188*(BC25-BC32)/(BC25-BC32+BC40-BC47+BC55-BC62+BC70-BC77+BC85-BC92+0.000000001)</f>
        <v/>
      </c>
      <c r="BD33" s="11">
        <f>BD23*Inputs!$F$188*(BD25-BD32)/(BD25-BD32+BD40-BD47+BD55-BD62+BD70-BD77+BD85-BD92+0.000000001)</f>
        <v/>
      </c>
      <c r="BE33" s="11">
        <f>BE23*Inputs!$F$188*(BE25-BE32)/(BE25-BE32+BE40-BE47+BE55-BE62+BE70-BE77+BE85-BE92+0.000000001)</f>
        <v/>
      </c>
      <c r="BF33" s="11">
        <f>BF23*Inputs!$F$188*(BF25-BF32)/(BF25-BF32+BF40-BF47+BF55-BF62+BF70-BF77+BF85-BF92+0.000000001)</f>
        <v/>
      </c>
      <c r="BG33" s="11">
        <f>BG23*Inputs!$F$188*(BG25-BG32)/(BG25-BG32+BG40-BG47+BG55-BG62+BG70-BG77+BG85-BG92+0.000000001)</f>
        <v/>
      </c>
      <c r="BH33" s="11">
        <f>BH23*Inputs!$F$188*(BH25-BH32)/(BH25-BH32+BH40-BH47+BH55-BH62+BH70-BH77+BH85-BH92+0.000000001)</f>
        <v/>
      </c>
      <c r="BI33" s="11">
        <f>BI23*Inputs!$F$188*(BI25-BI32)/(BI25-BI32+BI40-BI47+BI55-BI62+BI70-BI77+BI85-BI92+0.000000001)</f>
        <v/>
      </c>
      <c r="BJ33" s="11">
        <f>BJ23*Inputs!$F$188*(BJ25-BJ32)/(BJ25-BJ32+BJ40-BJ47+BJ55-BJ62+BJ70-BJ77+BJ85-BJ92+0.000000001)</f>
        <v/>
      </c>
      <c r="BK33" s="11">
        <f>BK23*Inputs!$F$188*(BK25-BK32)/(BK25-BK32+BK40-BK47+BK55-BK62+BK70-BK77+BK85-BK92+0.000000001)</f>
        <v/>
      </c>
      <c r="BL33" s="11">
        <f>BL23*Inputs!$F$188*(BL25-BL32)/(BL25-BL32+BL40-BL47+BL55-BL62+BL70-BL77+BL85-BL92+0.000000001)</f>
        <v/>
      </c>
      <c r="BM33" s="11">
        <f>BM23*Inputs!$F$188*(BM25-BM32)/(BM25-BM32+BM40-BM47+BM55-BM62+BM70-BM77+BM85-BM92+0.000000001)</f>
        <v/>
      </c>
      <c r="BN33" s="11">
        <f>BN23*Inputs!$F$188*(BN25-BN32)/(BN25-BN32+BN40-BN47+BN55-BN62+BN70-BN77+BN85-BN92+0.000000001)</f>
        <v/>
      </c>
    </row>
    <row r="34">
      <c r="D34" t="inlineStr">
        <is>
          <t>Refinanced (prepaid from bond proceeds)</t>
        </is>
      </c>
      <c r="E34" t="inlineStr">
        <is>
          <t>USD m</t>
        </is>
      </c>
      <c r="G34" s="11">
        <f>SUM(J34:BN34)</f>
        <v/>
      </c>
      <c r="J34" s="11">
        <f>0</f>
        <v/>
      </c>
      <c r="K34" s="11">
        <f>0</f>
        <v/>
      </c>
      <c r="L34" s="11">
        <f>0</f>
        <v/>
      </c>
      <c r="M34" s="11">
        <f>0</f>
        <v/>
      </c>
      <c r="N34" s="11">
        <f>0</f>
        <v/>
      </c>
      <c r="O34" s="11">
        <f>0</f>
        <v/>
      </c>
      <c r="P34" s="11">
        <f>0</f>
        <v/>
      </c>
      <c r="Q34" s="11">
        <f>0</f>
        <v/>
      </c>
      <c r="R34" s="11">
        <f>0</f>
        <v/>
      </c>
      <c r="S34" s="11">
        <f>0</f>
        <v/>
      </c>
      <c r="T34" s="11">
        <f>0</f>
        <v/>
      </c>
      <c r="U34" s="11">
        <f>0</f>
        <v/>
      </c>
      <c r="V34" s="11">
        <f>0</f>
        <v/>
      </c>
      <c r="W34" s="11">
        <f>0</f>
        <v/>
      </c>
      <c r="X34" s="11">
        <f>0</f>
        <v/>
      </c>
      <c r="Y34" s="11">
        <f>0</f>
        <v/>
      </c>
      <c r="Z34" s="11">
        <f>0</f>
        <v/>
      </c>
      <c r="AA34" s="11">
        <f>0</f>
        <v/>
      </c>
      <c r="AB34" s="11">
        <f>0</f>
        <v/>
      </c>
      <c r="AC34" s="11">
        <f>0</f>
        <v/>
      </c>
      <c r="AD34" s="11">
        <f>0</f>
        <v/>
      </c>
      <c r="AE34" s="11">
        <f>0</f>
        <v/>
      </c>
      <c r="AF34" s="11">
        <f>0</f>
        <v/>
      </c>
      <c r="AG34" s="11">
        <f>0</f>
        <v/>
      </c>
      <c r="AH34" s="11">
        <f>0</f>
        <v/>
      </c>
      <c r="AI34" s="11">
        <f>0</f>
        <v/>
      </c>
      <c r="AJ34" s="11">
        <f>0</f>
        <v/>
      </c>
      <c r="AK34" s="11">
        <f>0</f>
        <v/>
      </c>
      <c r="AL34" s="11">
        <f>0</f>
        <v/>
      </c>
      <c r="AM34" s="11">
        <f>0</f>
        <v/>
      </c>
      <c r="AN34" s="11">
        <f>0</f>
        <v/>
      </c>
      <c r="AO34" s="11">
        <f>0</f>
        <v/>
      </c>
      <c r="AP34" s="11">
        <f>0</f>
        <v/>
      </c>
      <c r="AQ34" s="11">
        <f>0</f>
        <v/>
      </c>
      <c r="AR34" s="11">
        <f>0</f>
        <v/>
      </c>
      <c r="AS34" s="11">
        <f>0</f>
        <v/>
      </c>
      <c r="AT34" s="11">
        <f>0</f>
        <v/>
      </c>
      <c r="AU34" s="11">
        <f>0</f>
        <v/>
      </c>
      <c r="AV34" s="11">
        <f>0</f>
        <v/>
      </c>
      <c r="AW34" s="11">
        <f>0</f>
        <v/>
      </c>
      <c r="AX34" s="11">
        <f>0</f>
        <v/>
      </c>
      <c r="AY34" s="11">
        <f>0</f>
        <v/>
      </c>
      <c r="AZ34" s="11">
        <f>0</f>
        <v/>
      </c>
      <c r="BA34" s="11">
        <f>0</f>
        <v/>
      </c>
      <c r="BB34" s="11">
        <f>0</f>
        <v/>
      </c>
      <c r="BC34" s="11">
        <f>0</f>
        <v/>
      </c>
      <c r="BD34" s="11">
        <f>0</f>
        <v/>
      </c>
      <c r="BE34" s="11">
        <f>0</f>
        <v/>
      </c>
      <c r="BF34" s="11">
        <f>0</f>
        <v/>
      </c>
      <c r="BG34" s="11">
        <f>0</f>
        <v/>
      </c>
      <c r="BH34" s="11">
        <f>0</f>
        <v/>
      </c>
      <c r="BI34" s="11">
        <f>0</f>
        <v/>
      </c>
      <c r="BJ34" s="11">
        <f>0</f>
        <v/>
      </c>
      <c r="BK34" s="11">
        <f>0</f>
        <v/>
      </c>
      <c r="BL34" s="11">
        <f>0</f>
        <v/>
      </c>
      <c r="BM34" s="11">
        <f>0</f>
        <v/>
      </c>
      <c r="BN34" s="11">
        <f>0</f>
        <v/>
      </c>
    </row>
    <row r="35">
      <c r="D35" t="inlineStr">
        <is>
          <t>Deferred principal, closing</t>
        </is>
      </c>
      <c r="E35" t="inlineStr">
        <is>
          <t>USD m</t>
        </is>
      </c>
      <c r="J35" s="11">
        <f>J26+J29-J31</f>
        <v/>
      </c>
      <c r="K35" s="11">
        <f>K26+K29-K31</f>
        <v/>
      </c>
      <c r="L35" s="11">
        <f>L26+L29-L31</f>
        <v/>
      </c>
      <c r="M35" s="11">
        <f>M26+M29-M31</f>
        <v/>
      </c>
      <c r="N35" s="11">
        <f>N26+N29-N31</f>
        <v/>
      </c>
      <c r="O35" s="11">
        <f>O26+O29-O31</f>
        <v/>
      </c>
      <c r="P35" s="11">
        <f>P26+P29-P31</f>
        <v/>
      </c>
      <c r="Q35" s="11">
        <f>Q26+Q29-Q31</f>
        <v/>
      </c>
      <c r="R35" s="11">
        <f>R26+R29-R31</f>
        <v/>
      </c>
      <c r="S35" s="11">
        <f>S26+S29-S31</f>
        <v/>
      </c>
      <c r="T35" s="11">
        <f>T26+T29-T31</f>
        <v/>
      </c>
      <c r="U35" s="11">
        <f>U26+U29-U31</f>
        <v/>
      </c>
      <c r="V35" s="11">
        <f>V26+V29-V31</f>
        <v/>
      </c>
      <c r="W35" s="11">
        <f>W26+W29-W31</f>
        <v/>
      </c>
      <c r="X35" s="11">
        <f>X26+X29-X31</f>
        <v/>
      </c>
      <c r="Y35" s="11">
        <f>Y26+Y29-Y31</f>
        <v/>
      </c>
      <c r="Z35" s="11">
        <f>Z26+Z29-Z31</f>
        <v/>
      </c>
      <c r="AA35" s="11">
        <f>AA26+AA29-AA31</f>
        <v/>
      </c>
      <c r="AB35" s="11">
        <f>AB26+AB29-AB31</f>
        <v/>
      </c>
      <c r="AC35" s="11">
        <f>AC26+AC29-AC31</f>
        <v/>
      </c>
      <c r="AD35" s="11">
        <f>AD26+AD29-AD31</f>
        <v/>
      </c>
      <c r="AE35" s="11">
        <f>AE26+AE29-AE31</f>
        <v/>
      </c>
      <c r="AF35" s="11">
        <f>AF26+AF29-AF31</f>
        <v/>
      </c>
      <c r="AG35" s="11">
        <f>AG26+AG29-AG31</f>
        <v/>
      </c>
      <c r="AH35" s="11">
        <f>AH26+AH29-AH31</f>
        <v/>
      </c>
      <c r="AI35" s="11">
        <f>AI26+AI29-AI31</f>
        <v/>
      </c>
      <c r="AJ35" s="11">
        <f>AJ26+AJ29-AJ31</f>
        <v/>
      </c>
      <c r="AK35" s="11">
        <f>AK26+AK29-AK31</f>
        <v/>
      </c>
      <c r="AL35" s="11">
        <f>AL26+AL29-AL31</f>
        <v/>
      </c>
      <c r="AM35" s="11">
        <f>AM26+AM29-AM31</f>
        <v/>
      </c>
      <c r="AN35" s="11">
        <f>AN26+AN29-AN31</f>
        <v/>
      </c>
      <c r="AO35" s="11">
        <f>AO26+AO29-AO31</f>
        <v/>
      </c>
      <c r="AP35" s="11">
        <f>AP26+AP29-AP31</f>
        <v/>
      </c>
      <c r="AQ35" s="11">
        <f>AQ26+AQ29-AQ31</f>
        <v/>
      </c>
      <c r="AR35" s="11">
        <f>AR26+AR29-AR31</f>
        <v/>
      </c>
      <c r="AS35" s="11">
        <f>AS26+AS29-AS31</f>
        <v/>
      </c>
      <c r="AT35" s="11">
        <f>AT26+AT29-AT31</f>
        <v/>
      </c>
      <c r="AU35" s="11">
        <f>AU26+AU29-AU31</f>
        <v/>
      </c>
      <c r="AV35" s="11">
        <f>AV26+AV29-AV31</f>
        <v/>
      </c>
      <c r="AW35" s="11">
        <f>AW26+AW29-AW31</f>
        <v/>
      </c>
      <c r="AX35" s="11">
        <f>AX26+AX29-AX31</f>
        <v/>
      </c>
      <c r="AY35" s="11">
        <f>AY26+AY29-AY31</f>
        <v/>
      </c>
      <c r="AZ35" s="11">
        <f>AZ26+AZ29-AZ31</f>
        <v/>
      </c>
      <c r="BA35" s="11">
        <f>BA26+BA29-BA31</f>
        <v/>
      </c>
      <c r="BB35" s="11">
        <f>BB26+BB29-BB31</f>
        <v/>
      </c>
      <c r="BC35" s="11">
        <f>BC26+BC29-BC31</f>
        <v/>
      </c>
      <c r="BD35" s="11">
        <f>BD26+BD29-BD31</f>
        <v/>
      </c>
      <c r="BE35" s="11">
        <f>BE26+BE29-BE31</f>
        <v/>
      </c>
      <c r="BF35" s="11">
        <f>BF26+BF29-BF31</f>
        <v/>
      </c>
      <c r="BG35" s="11">
        <f>BG26+BG29-BG31</f>
        <v/>
      </c>
      <c r="BH35" s="11">
        <f>BH26+BH29-BH31</f>
        <v/>
      </c>
      <c r="BI35" s="11">
        <f>BI26+BI29-BI31</f>
        <v/>
      </c>
      <c r="BJ35" s="11">
        <f>BJ26+BJ29-BJ31</f>
        <v/>
      </c>
      <c r="BK35" s="11">
        <f>BK26+BK29-BK31</f>
        <v/>
      </c>
      <c r="BL35" s="11">
        <f>BL26+BL29-BL31</f>
        <v/>
      </c>
      <c r="BM35" s="11">
        <f>BM26+BM29-BM31</f>
        <v/>
      </c>
      <c r="BN35" s="11">
        <f>BN26+BN29-BN31</f>
        <v/>
      </c>
    </row>
    <row r="36">
      <c r="D36" t="inlineStr">
        <is>
          <t>Balance after scheduled payment, LDs and refinancing</t>
        </is>
      </c>
      <c r="E36" t="inlineStr">
        <is>
          <t>USD m</t>
        </is>
      </c>
      <c r="J36" s="11">
        <f>J25-J32-J33-J34</f>
        <v/>
      </c>
      <c r="K36" s="11">
        <f>K25-K32-K33-K34</f>
        <v/>
      </c>
      <c r="L36" s="11">
        <f>L25-L32-L33-L34</f>
        <v/>
      </c>
      <c r="M36" s="11">
        <f>M25-M32-M33-M34</f>
        <v/>
      </c>
      <c r="N36" s="11">
        <f>N25-N32-N33-N34</f>
        <v/>
      </c>
      <c r="O36" s="11">
        <f>O25-O32-O33-O34</f>
        <v/>
      </c>
      <c r="P36" s="11">
        <f>P25-P32-P33-P34</f>
        <v/>
      </c>
      <c r="Q36" s="11">
        <f>Q25-Q32-Q33-Q34</f>
        <v/>
      </c>
      <c r="R36" s="11">
        <f>R25-R32-R33-R34</f>
        <v/>
      </c>
      <c r="S36" s="11">
        <f>S25-S32-S33-S34</f>
        <v/>
      </c>
      <c r="T36" s="11">
        <f>T25-T32-T33-T34</f>
        <v/>
      </c>
      <c r="U36" s="11">
        <f>U25-U32-U33-U34</f>
        <v/>
      </c>
      <c r="V36" s="11">
        <f>V25-V32-V33-V34</f>
        <v/>
      </c>
      <c r="W36" s="11">
        <f>W25-W32-W33-W34</f>
        <v/>
      </c>
      <c r="X36" s="11">
        <f>X25-X32-X33-X34</f>
        <v/>
      </c>
      <c r="Y36" s="11">
        <f>Y25-Y32-Y33-Y34</f>
        <v/>
      </c>
      <c r="Z36" s="11">
        <f>Z25-Z32-Z33-Z34</f>
        <v/>
      </c>
      <c r="AA36" s="11">
        <f>AA25-AA32-AA33-AA34</f>
        <v/>
      </c>
      <c r="AB36" s="11">
        <f>AB25-AB32-AB33-AB34</f>
        <v/>
      </c>
      <c r="AC36" s="11">
        <f>AC25-AC32-AC33-AC34</f>
        <v/>
      </c>
      <c r="AD36" s="11">
        <f>AD25-AD32-AD33-AD34</f>
        <v/>
      </c>
      <c r="AE36" s="11">
        <f>AE25-AE32-AE33-AE34</f>
        <v/>
      </c>
      <c r="AF36" s="11">
        <f>AF25-AF32-AF33-AF34</f>
        <v/>
      </c>
      <c r="AG36" s="11">
        <f>AG25-AG32-AG33-AG34</f>
        <v/>
      </c>
      <c r="AH36" s="11">
        <f>AH25-AH32-AH33-AH34</f>
        <v/>
      </c>
      <c r="AI36" s="11">
        <f>AI25-AI32-AI33-AI34</f>
        <v/>
      </c>
      <c r="AJ36" s="11">
        <f>AJ25-AJ32-AJ33-AJ34</f>
        <v/>
      </c>
      <c r="AK36" s="11">
        <f>AK25-AK32-AK33-AK34</f>
        <v/>
      </c>
      <c r="AL36" s="11">
        <f>AL25-AL32-AL33-AL34</f>
        <v/>
      </c>
      <c r="AM36" s="11">
        <f>AM25-AM32-AM33-AM34</f>
        <v/>
      </c>
      <c r="AN36" s="11">
        <f>AN25-AN32-AN33-AN34</f>
        <v/>
      </c>
      <c r="AO36" s="11">
        <f>AO25-AO32-AO33-AO34</f>
        <v/>
      </c>
      <c r="AP36" s="11">
        <f>AP25-AP32-AP33-AP34</f>
        <v/>
      </c>
      <c r="AQ36" s="11">
        <f>AQ25-AQ32-AQ33-AQ34</f>
        <v/>
      </c>
      <c r="AR36" s="11">
        <f>AR25-AR32-AR33-AR34</f>
        <v/>
      </c>
      <c r="AS36" s="11">
        <f>AS25-AS32-AS33-AS34</f>
        <v/>
      </c>
      <c r="AT36" s="11">
        <f>AT25-AT32-AT33-AT34</f>
        <v/>
      </c>
      <c r="AU36" s="11">
        <f>AU25-AU32-AU33-AU34</f>
        <v/>
      </c>
      <c r="AV36" s="11">
        <f>AV25-AV32-AV33-AV34</f>
        <v/>
      </c>
      <c r="AW36" s="11">
        <f>AW25-AW32-AW33-AW34</f>
        <v/>
      </c>
      <c r="AX36" s="11">
        <f>AX25-AX32-AX33-AX34</f>
        <v/>
      </c>
      <c r="AY36" s="11">
        <f>AY25-AY32-AY33-AY34</f>
        <v/>
      </c>
      <c r="AZ36" s="11">
        <f>AZ25-AZ32-AZ33-AZ34</f>
        <v/>
      </c>
      <c r="BA36" s="11">
        <f>BA25-BA32-BA33-BA34</f>
        <v/>
      </c>
      <c r="BB36" s="11">
        <f>BB25-BB32-BB33-BB34</f>
        <v/>
      </c>
      <c r="BC36" s="11">
        <f>BC25-BC32-BC33-BC34</f>
        <v/>
      </c>
      <c r="BD36" s="11">
        <f>BD25-BD32-BD33-BD34</f>
        <v/>
      </c>
      <c r="BE36" s="11">
        <f>BE25-BE32-BE33-BE34</f>
        <v/>
      </c>
      <c r="BF36" s="11">
        <f>BF25-BF32-BF33-BF34</f>
        <v/>
      </c>
      <c r="BG36" s="11">
        <f>BG25-BG32-BG33-BG34</f>
        <v/>
      </c>
      <c r="BH36" s="11">
        <f>BH25-BH32-BH33-BH34</f>
        <v/>
      </c>
      <c r="BI36" s="11">
        <f>BI25-BI32-BI33-BI34</f>
        <v/>
      </c>
      <c r="BJ36" s="11">
        <f>BJ25-BJ32-BJ33-BJ34</f>
        <v/>
      </c>
      <c r="BK36" s="11">
        <f>BK25-BK32-BK33-BK34</f>
        <v/>
      </c>
      <c r="BL36" s="11">
        <f>BL25-BL32-BL33-BL34</f>
        <v/>
      </c>
      <c r="BM36" s="11">
        <f>BM25-BM32-BM33-BM34</f>
        <v/>
      </c>
      <c r="BN36" s="11">
        <f>BN25-BN32-BN33-BN34</f>
        <v/>
      </c>
    </row>
    <row r="37">
      <c r="D37" t="inlineStr">
        <is>
          <t>Cash sweep prepayment</t>
        </is>
      </c>
      <c r="E37" t="inlineStr">
        <is>
          <t>USD m</t>
        </is>
      </c>
      <c r="G37" s="11">
        <f>SUM(J37:BN37)</f>
        <v/>
      </c>
      <c r="J37" s="11">
        <f>Waterfall!J28*J36/(J36+J51+J66+J81+J96+0.000000001)</f>
        <v/>
      </c>
      <c r="K37" s="11">
        <f>Waterfall!K28*K36/(K36+K51+K66+K81+K96+0.000000001)</f>
        <v/>
      </c>
      <c r="L37" s="11">
        <f>Waterfall!L28*L36/(L36+L51+L66+L81+L96+0.000000001)</f>
        <v/>
      </c>
      <c r="M37" s="11">
        <f>Waterfall!M28*M36/(M36+M51+M66+M81+M96+0.000000001)</f>
        <v/>
      </c>
      <c r="N37" s="11">
        <f>Waterfall!N28*N36/(N36+N51+N66+N81+N96+0.000000001)</f>
        <v/>
      </c>
      <c r="O37" s="11">
        <f>Waterfall!O28*O36/(O36+O51+O66+O81+O96+0.000000001)</f>
        <v/>
      </c>
      <c r="P37" s="11">
        <f>Waterfall!P28*P36/(P36+P51+P66+P81+P96+0.000000001)</f>
        <v/>
      </c>
      <c r="Q37" s="11">
        <f>Waterfall!Q28*Q36/(Q36+Q51+Q66+Q81+Q96+0.000000001)</f>
        <v/>
      </c>
      <c r="R37" s="11">
        <f>Waterfall!R28*R36/(R36+R51+R66+R81+R96+0.000000001)</f>
        <v/>
      </c>
      <c r="S37" s="11">
        <f>Waterfall!S28*S36/(S36+S51+S66+S81+S96+0.000000001)</f>
        <v/>
      </c>
      <c r="T37" s="11">
        <f>Waterfall!T28*T36/(T36+T51+T66+T81+T96+0.000000001)</f>
        <v/>
      </c>
      <c r="U37" s="11">
        <f>Waterfall!U28*U36/(U36+U51+U66+U81+U96+0.000000001)</f>
        <v/>
      </c>
      <c r="V37" s="11">
        <f>Waterfall!V28*V36/(V36+V51+V66+V81+V96+0.000000001)</f>
        <v/>
      </c>
      <c r="W37" s="11">
        <f>Waterfall!W28*W36/(W36+W51+W66+W81+W96+0.000000001)</f>
        <v/>
      </c>
      <c r="X37" s="11">
        <f>Waterfall!X28*X36/(X36+X51+X66+X81+X96+0.000000001)</f>
        <v/>
      </c>
      <c r="Y37" s="11">
        <f>Waterfall!Y28*Y36/(Y36+Y51+Y66+Y81+Y96+0.000000001)</f>
        <v/>
      </c>
      <c r="Z37" s="11">
        <f>Waterfall!Z28*Z36/(Z36+Z51+Z66+Z81+Z96+0.000000001)</f>
        <v/>
      </c>
      <c r="AA37" s="11">
        <f>Waterfall!AA28*AA36/(AA36+AA51+AA66+AA81+AA96+0.000000001)</f>
        <v/>
      </c>
      <c r="AB37" s="11">
        <f>Waterfall!AB28*AB36/(AB36+AB51+AB66+AB81+AB96+0.000000001)</f>
        <v/>
      </c>
      <c r="AC37" s="11">
        <f>Waterfall!AC28*AC36/(AC36+AC51+AC66+AC81+AC96+0.000000001)</f>
        <v/>
      </c>
      <c r="AD37" s="11">
        <f>Waterfall!AD28*AD36/(AD36+AD51+AD66+AD81+AD96+0.000000001)</f>
        <v/>
      </c>
      <c r="AE37" s="11">
        <f>Waterfall!AE28*AE36/(AE36+AE51+AE66+AE81+AE96+0.000000001)</f>
        <v/>
      </c>
      <c r="AF37" s="11">
        <f>Waterfall!AF28*AF36/(AF36+AF51+AF66+AF81+AF96+0.000000001)</f>
        <v/>
      </c>
      <c r="AG37" s="11">
        <f>Waterfall!AG28*AG36/(AG36+AG51+AG66+AG81+AG96+0.000000001)</f>
        <v/>
      </c>
      <c r="AH37" s="11">
        <f>Waterfall!AH28*AH36/(AH36+AH51+AH66+AH81+AH96+0.000000001)</f>
        <v/>
      </c>
      <c r="AI37" s="11">
        <f>Waterfall!AI28*AI36/(AI36+AI51+AI66+AI81+AI96+0.000000001)</f>
        <v/>
      </c>
      <c r="AJ37" s="11">
        <f>Waterfall!AJ28*AJ36/(AJ36+AJ51+AJ66+AJ81+AJ96+0.000000001)</f>
        <v/>
      </c>
      <c r="AK37" s="11">
        <f>Waterfall!AK28*AK36/(AK36+AK51+AK66+AK81+AK96+0.000000001)</f>
        <v/>
      </c>
      <c r="AL37" s="11">
        <f>Waterfall!AL28*AL36/(AL36+AL51+AL66+AL81+AL96+0.000000001)</f>
        <v/>
      </c>
      <c r="AM37" s="11">
        <f>Waterfall!AM28*AM36/(AM36+AM51+AM66+AM81+AM96+0.000000001)</f>
        <v/>
      </c>
      <c r="AN37" s="11">
        <f>Waterfall!AN28*AN36/(AN36+AN51+AN66+AN81+AN96+0.000000001)</f>
        <v/>
      </c>
      <c r="AO37" s="11">
        <f>Waterfall!AO28*AO36/(AO36+AO51+AO66+AO81+AO96+0.000000001)</f>
        <v/>
      </c>
      <c r="AP37" s="11">
        <f>Waterfall!AP28*AP36/(AP36+AP51+AP66+AP81+AP96+0.000000001)</f>
        <v/>
      </c>
      <c r="AQ37" s="11">
        <f>Waterfall!AQ28*AQ36/(AQ36+AQ51+AQ66+AQ81+AQ96+0.000000001)</f>
        <v/>
      </c>
      <c r="AR37" s="11">
        <f>Waterfall!AR28*AR36/(AR36+AR51+AR66+AR81+AR96+0.000000001)</f>
        <v/>
      </c>
      <c r="AS37" s="11">
        <f>Waterfall!AS28*AS36/(AS36+AS51+AS66+AS81+AS96+0.000000001)</f>
        <v/>
      </c>
      <c r="AT37" s="11">
        <f>Waterfall!AT28*AT36/(AT36+AT51+AT66+AT81+AT96+0.000000001)</f>
        <v/>
      </c>
      <c r="AU37" s="11">
        <f>Waterfall!AU28*AU36/(AU36+AU51+AU66+AU81+AU96+0.000000001)</f>
        <v/>
      </c>
      <c r="AV37" s="11">
        <f>Waterfall!AV28*AV36/(AV36+AV51+AV66+AV81+AV96+0.000000001)</f>
        <v/>
      </c>
      <c r="AW37" s="11">
        <f>Waterfall!AW28*AW36/(AW36+AW51+AW66+AW81+AW96+0.000000001)</f>
        <v/>
      </c>
      <c r="AX37" s="11">
        <f>Waterfall!AX28*AX36/(AX36+AX51+AX66+AX81+AX96+0.000000001)</f>
        <v/>
      </c>
      <c r="AY37" s="11">
        <f>Waterfall!AY28*AY36/(AY36+AY51+AY66+AY81+AY96+0.000000001)</f>
        <v/>
      </c>
      <c r="AZ37" s="11">
        <f>Waterfall!AZ28*AZ36/(AZ36+AZ51+AZ66+AZ81+AZ96+0.000000001)</f>
        <v/>
      </c>
      <c r="BA37" s="11">
        <f>Waterfall!BA28*BA36/(BA36+BA51+BA66+BA81+BA96+0.000000001)</f>
        <v/>
      </c>
      <c r="BB37" s="11">
        <f>Waterfall!BB28*BB36/(BB36+BB51+BB66+BB81+BB96+0.000000001)</f>
        <v/>
      </c>
      <c r="BC37" s="11">
        <f>Waterfall!BC28*BC36/(BC36+BC51+BC66+BC81+BC96+0.000000001)</f>
        <v/>
      </c>
      <c r="BD37" s="11">
        <f>Waterfall!BD28*BD36/(BD36+BD51+BD66+BD81+BD96+0.000000001)</f>
        <v/>
      </c>
      <c r="BE37" s="11">
        <f>Waterfall!BE28*BE36/(BE36+BE51+BE66+BE81+BE96+0.000000001)</f>
        <v/>
      </c>
      <c r="BF37" s="11">
        <f>Waterfall!BF28*BF36/(BF36+BF51+BF66+BF81+BF96+0.000000001)</f>
        <v/>
      </c>
      <c r="BG37" s="11">
        <f>Waterfall!BG28*BG36/(BG36+BG51+BG66+BG81+BG96+0.000000001)</f>
        <v/>
      </c>
      <c r="BH37" s="11">
        <f>Waterfall!BH28*BH36/(BH36+BH51+BH66+BH81+BH96+0.000000001)</f>
        <v/>
      </c>
      <c r="BI37" s="11">
        <f>Waterfall!BI28*BI36/(BI36+BI51+BI66+BI81+BI96+0.000000001)</f>
        <v/>
      </c>
      <c r="BJ37" s="11">
        <f>Waterfall!BJ28*BJ36/(BJ36+BJ51+BJ66+BJ81+BJ96+0.000000001)</f>
        <v/>
      </c>
      <c r="BK37" s="11">
        <f>Waterfall!BK28*BK36/(BK36+BK51+BK66+BK81+BK96+0.000000001)</f>
        <v/>
      </c>
      <c r="BL37" s="11">
        <f>Waterfall!BL28*BL36/(BL36+BL51+BL66+BL81+BL96+0.000000001)</f>
        <v/>
      </c>
      <c r="BM37" s="11">
        <f>Waterfall!BM28*BM36/(BM36+BM51+BM66+BM81+BM96+0.000000001)</f>
        <v/>
      </c>
      <c r="BN37" s="11">
        <f>Waterfall!BN28*BN36/(BN36+BN51+BN66+BN81+BN96+0.000000001)</f>
        <v/>
      </c>
    </row>
    <row r="38">
      <c r="D38" t="inlineStr">
        <is>
          <t>Closing balance</t>
        </is>
      </c>
      <c r="E38" t="inlineStr">
        <is>
          <t>USD m</t>
        </is>
      </c>
      <c r="J38" s="11">
        <f>IF(Time!J29=1,INDEX(Funding!$J$61:$BJ$61,1,Time!$F$13),Time!J30*(J36-J37))</f>
        <v/>
      </c>
      <c r="K38" s="11">
        <f>IF(Time!K29=1,INDEX(Funding!$J$61:$BJ$61,1,Time!$F$13),Time!K30*(K36-K37))</f>
        <v/>
      </c>
      <c r="L38" s="11">
        <f>IF(Time!L29=1,INDEX(Funding!$J$61:$BJ$61,1,Time!$F$13),Time!L30*(L36-L37))</f>
        <v/>
      </c>
      <c r="M38" s="11">
        <f>IF(Time!M29=1,INDEX(Funding!$J$61:$BJ$61,1,Time!$F$13),Time!M30*(M36-M37))</f>
        <v/>
      </c>
      <c r="N38" s="11">
        <f>IF(Time!N29=1,INDEX(Funding!$J$61:$BJ$61,1,Time!$F$13),Time!N30*(N36-N37))</f>
        <v/>
      </c>
      <c r="O38" s="11">
        <f>IF(Time!O29=1,INDEX(Funding!$J$61:$BJ$61,1,Time!$F$13),Time!O30*(O36-O37))</f>
        <v/>
      </c>
      <c r="P38" s="11">
        <f>IF(Time!P29=1,INDEX(Funding!$J$61:$BJ$61,1,Time!$F$13),Time!P30*(P36-P37))</f>
        <v/>
      </c>
      <c r="Q38" s="11">
        <f>IF(Time!Q29=1,INDEX(Funding!$J$61:$BJ$61,1,Time!$F$13),Time!Q30*(Q36-Q37))</f>
        <v/>
      </c>
      <c r="R38" s="11">
        <f>IF(Time!R29=1,INDEX(Funding!$J$61:$BJ$61,1,Time!$F$13),Time!R30*(R36-R37))</f>
        <v/>
      </c>
      <c r="S38" s="11">
        <f>IF(Time!S29=1,INDEX(Funding!$J$61:$BJ$61,1,Time!$F$13),Time!S30*(S36-S37))</f>
        <v/>
      </c>
      <c r="T38" s="11">
        <f>IF(Time!T29=1,INDEX(Funding!$J$61:$BJ$61,1,Time!$F$13),Time!T30*(T36-T37))</f>
        <v/>
      </c>
      <c r="U38" s="11">
        <f>IF(Time!U29=1,INDEX(Funding!$J$61:$BJ$61,1,Time!$F$13),Time!U30*(U36-U37))</f>
        <v/>
      </c>
      <c r="V38" s="11">
        <f>IF(Time!V29=1,INDEX(Funding!$J$61:$BJ$61,1,Time!$F$13),Time!V30*(V36-V37))</f>
        <v/>
      </c>
      <c r="W38" s="11">
        <f>IF(Time!W29=1,INDEX(Funding!$J$61:$BJ$61,1,Time!$F$13),Time!W30*(W36-W37))</f>
        <v/>
      </c>
      <c r="X38" s="11">
        <f>IF(Time!X29=1,INDEX(Funding!$J$61:$BJ$61,1,Time!$F$13),Time!X30*(X36-X37))</f>
        <v/>
      </c>
      <c r="Y38" s="11">
        <f>IF(Time!Y29=1,INDEX(Funding!$J$61:$BJ$61,1,Time!$F$13),Time!Y30*(Y36-Y37))</f>
        <v/>
      </c>
      <c r="Z38" s="11">
        <f>IF(Time!Z29=1,INDEX(Funding!$J$61:$BJ$61,1,Time!$F$13),Time!Z30*(Z36-Z37))</f>
        <v/>
      </c>
      <c r="AA38" s="11">
        <f>IF(Time!AA29=1,INDEX(Funding!$J$61:$BJ$61,1,Time!$F$13),Time!AA30*(AA36-AA37))</f>
        <v/>
      </c>
      <c r="AB38" s="11">
        <f>IF(Time!AB29=1,INDEX(Funding!$J$61:$BJ$61,1,Time!$F$13),Time!AB30*(AB36-AB37))</f>
        <v/>
      </c>
      <c r="AC38" s="11">
        <f>IF(Time!AC29=1,INDEX(Funding!$J$61:$BJ$61,1,Time!$F$13),Time!AC30*(AC36-AC37))</f>
        <v/>
      </c>
      <c r="AD38" s="11">
        <f>IF(Time!AD29=1,INDEX(Funding!$J$61:$BJ$61,1,Time!$F$13),Time!AD30*(AD36-AD37))</f>
        <v/>
      </c>
      <c r="AE38" s="11">
        <f>IF(Time!AE29=1,INDEX(Funding!$J$61:$BJ$61,1,Time!$F$13),Time!AE30*(AE36-AE37))</f>
        <v/>
      </c>
      <c r="AF38" s="11">
        <f>IF(Time!AF29=1,INDEX(Funding!$J$61:$BJ$61,1,Time!$F$13),Time!AF30*(AF36-AF37))</f>
        <v/>
      </c>
      <c r="AG38" s="11">
        <f>IF(Time!AG29=1,INDEX(Funding!$J$61:$BJ$61,1,Time!$F$13),Time!AG30*(AG36-AG37))</f>
        <v/>
      </c>
      <c r="AH38" s="11">
        <f>IF(Time!AH29=1,INDEX(Funding!$J$61:$BJ$61,1,Time!$F$13),Time!AH30*(AH36-AH37))</f>
        <v/>
      </c>
      <c r="AI38" s="11">
        <f>IF(Time!AI29=1,INDEX(Funding!$J$61:$BJ$61,1,Time!$F$13),Time!AI30*(AI36-AI37))</f>
        <v/>
      </c>
      <c r="AJ38" s="11">
        <f>IF(Time!AJ29=1,INDEX(Funding!$J$61:$BJ$61,1,Time!$F$13),Time!AJ30*(AJ36-AJ37))</f>
        <v/>
      </c>
      <c r="AK38" s="11">
        <f>IF(Time!AK29=1,INDEX(Funding!$J$61:$BJ$61,1,Time!$F$13),Time!AK30*(AK36-AK37))</f>
        <v/>
      </c>
      <c r="AL38" s="11">
        <f>IF(Time!AL29=1,INDEX(Funding!$J$61:$BJ$61,1,Time!$F$13),Time!AL30*(AL36-AL37))</f>
        <v/>
      </c>
      <c r="AM38" s="11">
        <f>IF(Time!AM29=1,INDEX(Funding!$J$61:$BJ$61,1,Time!$F$13),Time!AM30*(AM36-AM37))</f>
        <v/>
      </c>
      <c r="AN38" s="11">
        <f>IF(Time!AN29=1,INDEX(Funding!$J$61:$BJ$61,1,Time!$F$13),Time!AN30*(AN36-AN37))</f>
        <v/>
      </c>
      <c r="AO38" s="11">
        <f>IF(Time!AO29=1,INDEX(Funding!$J$61:$BJ$61,1,Time!$F$13),Time!AO30*(AO36-AO37))</f>
        <v/>
      </c>
      <c r="AP38" s="11">
        <f>IF(Time!AP29=1,INDEX(Funding!$J$61:$BJ$61,1,Time!$F$13),Time!AP30*(AP36-AP37))</f>
        <v/>
      </c>
      <c r="AQ38" s="11">
        <f>IF(Time!AQ29=1,INDEX(Funding!$J$61:$BJ$61,1,Time!$F$13),Time!AQ30*(AQ36-AQ37))</f>
        <v/>
      </c>
      <c r="AR38" s="11">
        <f>IF(Time!AR29=1,INDEX(Funding!$J$61:$BJ$61,1,Time!$F$13),Time!AR30*(AR36-AR37))</f>
        <v/>
      </c>
      <c r="AS38" s="11">
        <f>IF(Time!AS29=1,INDEX(Funding!$J$61:$BJ$61,1,Time!$F$13),Time!AS30*(AS36-AS37))</f>
        <v/>
      </c>
      <c r="AT38" s="11">
        <f>IF(Time!AT29=1,INDEX(Funding!$J$61:$BJ$61,1,Time!$F$13),Time!AT30*(AT36-AT37))</f>
        <v/>
      </c>
      <c r="AU38" s="11">
        <f>IF(Time!AU29=1,INDEX(Funding!$J$61:$BJ$61,1,Time!$F$13),Time!AU30*(AU36-AU37))</f>
        <v/>
      </c>
      <c r="AV38" s="11">
        <f>IF(Time!AV29=1,INDEX(Funding!$J$61:$BJ$61,1,Time!$F$13),Time!AV30*(AV36-AV37))</f>
        <v/>
      </c>
      <c r="AW38" s="11">
        <f>IF(Time!AW29=1,INDEX(Funding!$J$61:$BJ$61,1,Time!$F$13),Time!AW30*(AW36-AW37))</f>
        <v/>
      </c>
      <c r="AX38" s="11">
        <f>IF(Time!AX29=1,INDEX(Funding!$J$61:$BJ$61,1,Time!$F$13),Time!AX30*(AX36-AX37))</f>
        <v/>
      </c>
      <c r="AY38" s="11">
        <f>IF(Time!AY29=1,INDEX(Funding!$J$61:$BJ$61,1,Time!$F$13),Time!AY30*(AY36-AY37))</f>
        <v/>
      </c>
      <c r="AZ38" s="11">
        <f>IF(Time!AZ29=1,INDEX(Funding!$J$61:$BJ$61,1,Time!$F$13),Time!AZ30*(AZ36-AZ37))</f>
        <v/>
      </c>
      <c r="BA38" s="11">
        <f>IF(Time!BA29=1,INDEX(Funding!$J$61:$BJ$61,1,Time!$F$13),Time!BA30*(BA36-BA37))</f>
        <v/>
      </c>
      <c r="BB38" s="11">
        <f>IF(Time!BB29=1,INDEX(Funding!$J$61:$BJ$61,1,Time!$F$13),Time!BB30*(BB36-BB37))</f>
        <v/>
      </c>
      <c r="BC38" s="11">
        <f>IF(Time!BC29=1,INDEX(Funding!$J$61:$BJ$61,1,Time!$F$13),Time!BC30*(BC36-BC37))</f>
        <v/>
      </c>
      <c r="BD38" s="11">
        <f>IF(Time!BD29=1,INDEX(Funding!$J$61:$BJ$61,1,Time!$F$13),Time!BD30*(BD36-BD37))</f>
        <v/>
      </c>
      <c r="BE38" s="11">
        <f>IF(Time!BE29=1,INDEX(Funding!$J$61:$BJ$61,1,Time!$F$13),Time!BE30*(BE36-BE37))</f>
        <v/>
      </c>
      <c r="BF38" s="11">
        <f>IF(Time!BF29=1,INDEX(Funding!$J$61:$BJ$61,1,Time!$F$13),Time!BF30*(BF36-BF37))</f>
        <v/>
      </c>
      <c r="BG38" s="11">
        <f>IF(Time!BG29=1,INDEX(Funding!$J$61:$BJ$61,1,Time!$F$13),Time!BG30*(BG36-BG37))</f>
        <v/>
      </c>
      <c r="BH38" s="11">
        <f>IF(Time!BH29=1,INDEX(Funding!$J$61:$BJ$61,1,Time!$F$13),Time!BH30*(BH36-BH37))</f>
        <v/>
      </c>
      <c r="BI38" s="11">
        <f>IF(Time!BI29=1,INDEX(Funding!$J$61:$BJ$61,1,Time!$F$13),Time!BI30*(BI36-BI37))</f>
        <v/>
      </c>
      <c r="BJ38" s="11">
        <f>IF(Time!BJ29=1,INDEX(Funding!$J$61:$BJ$61,1,Time!$F$13),Time!BJ30*(BJ36-BJ37))</f>
        <v/>
      </c>
      <c r="BK38" s="11">
        <f>IF(Time!BK29=1,INDEX(Funding!$J$61:$BJ$61,1,Time!$F$13),Time!BK30*(BK36-BK37))</f>
        <v/>
      </c>
      <c r="BL38" s="11">
        <f>IF(Time!BL29=1,INDEX(Funding!$J$61:$BJ$61,1,Time!$F$13),Time!BL30*(BL36-BL37))</f>
        <v/>
      </c>
      <c r="BM38" s="11">
        <f>IF(Time!BM29=1,INDEX(Funding!$J$61:$BJ$61,1,Time!$F$13),Time!BM30*(BM36-BM37))</f>
        <v/>
      </c>
      <c r="BN38" s="11">
        <f>IF(Time!BN29=1,INDEX(Funding!$J$61:$BJ$61,1,Time!$F$13),Time!BN30*(BN36-BN37))</f>
        <v/>
      </c>
    </row>
    <row r="39">
      <c r="B39" s="2" t="inlineStr">
        <is>
          <t>ABDB A-loan</t>
        </is>
      </c>
    </row>
    <row r="40">
      <c r="D40" t="inlineStr">
        <is>
          <t>Opening balance</t>
        </is>
      </c>
      <c r="E40" t="inlineStr">
        <is>
          <t>USD m</t>
        </is>
      </c>
      <c r="J40" s="11">
        <f>Time!J30*0</f>
        <v/>
      </c>
      <c r="K40" s="11">
        <f>Time!K30*J53</f>
        <v/>
      </c>
      <c r="L40" s="11">
        <f>Time!L30*K53</f>
        <v/>
      </c>
      <c r="M40" s="11">
        <f>Time!M30*L53</f>
        <v/>
      </c>
      <c r="N40" s="11">
        <f>Time!N30*M53</f>
        <v/>
      </c>
      <c r="O40" s="11">
        <f>Time!O30*N53</f>
        <v/>
      </c>
      <c r="P40" s="11">
        <f>Time!P30*O53</f>
        <v/>
      </c>
      <c r="Q40" s="11">
        <f>Time!Q30*P53</f>
        <v/>
      </c>
      <c r="R40" s="11">
        <f>Time!R30*Q53</f>
        <v/>
      </c>
      <c r="S40" s="11">
        <f>Time!S30*R53</f>
        <v/>
      </c>
      <c r="T40" s="11">
        <f>Time!T30*S53</f>
        <v/>
      </c>
      <c r="U40" s="11">
        <f>Time!U30*T53</f>
        <v/>
      </c>
      <c r="V40" s="11">
        <f>Time!V30*U53</f>
        <v/>
      </c>
      <c r="W40" s="11">
        <f>Time!W30*V53</f>
        <v/>
      </c>
      <c r="X40" s="11">
        <f>Time!X30*W53</f>
        <v/>
      </c>
      <c r="Y40" s="11">
        <f>Time!Y30*X53</f>
        <v/>
      </c>
      <c r="Z40" s="11">
        <f>Time!Z30*Y53</f>
        <v/>
      </c>
      <c r="AA40" s="11">
        <f>Time!AA30*Z53</f>
        <v/>
      </c>
      <c r="AB40" s="11">
        <f>Time!AB30*AA53</f>
        <v/>
      </c>
      <c r="AC40" s="11">
        <f>Time!AC30*AB53</f>
        <v/>
      </c>
      <c r="AD40" s="11">
        <f>Time!AD30*AC53</f>
        <v/>
      </c>
      <c r="AE40" s="11">
        <f>Time!AE30*AD53</f>
        <v/>
      </c>
      <c r="AF40" s="11">
        <f>Time!AF30*AE53</f>
        <v/>
      </c>
      <c r="AG40" s="11">
        <f>Time!AG30*AF53</f>
        <v/>
      </c>
      <c r="AH40" s="11">
        <f>Time!AH30*AG53</f>
        <v/>
      </c>
      <c r="AI40" s="11">
        <f>Time!AI30*AH53</f>
        <v/>
      </c>
      <c r="AJ40" s="11">
        <f>Time!AJ30*AI53</f>
        <v/>
      </c>
      <c r="AK40" s="11">
        <f>Time!AK30*AJ53</f>
        <v/>
      </c>
      <c r="AL40" s="11">
        <f>Time!AL30*AK53</f>
        <v/>
      </c>
      <c r="AM40" s="11">
        <f>Time!AM30*AL53</f>
        <v/>
      </c>
      <c r="AN40" s="11">
        <f>Time!AN30*AM53</f>
        <v/>
      </c>
      <c r="AO40" s="11">
        <f>Time!AO30*AN53</f>
        <v/>
      </c>
      <c r="AP40" s="11">
        <f>Time!AP30*AO53</f>
        <v/>
      </c>
      <c r="AQ40" s="11">
        <f>Time!AQ30*AP53</f>
        <v/>
      </c>
      <c r="AR40" s="11">
        <f>Time!AR30*AQ53</f>
        <v/>
      </c>
      <c r="AS40" s="11">
        <f>Time!AS30*AR53</f>
        <v/>
      </c>
      <c r="AT40" s="11">
        <f>Time!AT30*AS53</f>
        <v/>
      </c>
      <c r="AU40" s="11">
        <f>Time!AU30*AT53</f>
        <v/>
      </c>
      <c r="AV40" s="11">
        <f>Time!AV30*AU53</f>
        <v/>
      </c>
      <c r="AW40" s="11">
        <f>Time!AW30*AV53</f>
        <v/>
      </c>
      <c r="AX40" s="11">
        <f>Time!AX30*AW53</f>
        <v/>
      </c>
      <c r="AY40" s="11">
        <f>Time!AY30*AX53</f>
        <v/>
      </c>
      <c r="AZ40" s="11">
        <f>Time!AZ30*AY53</f>
        <v/>
      </c>
      <c r="BA40" s="11">
        <f>Time!BA30*AZ53</f>
        <v/>
      </c>
      <c r="BB40" s="11">
        <f>Time!BB30*BA53</f>
        <v/>
      </c>
      <c r="BC40" s="11">
        <f>Time!BC30*BB53</f>
        <v/>
      </c>
      <c r="BD40" s="11">
        <f>Time!BD30*BC53</f>
        <v/>
      </c>
      <c r="BE40" s="11">
        <f>Time!BE30*BD53</f>
        <v/>
      </c>
      <c r="BF40" s="11">
        <f>Time!BF30*BE53</f>
        <v/>
      </c>
      <c r="BG40" s="11">
        <f>Time!BG30*BF53</f>
        <v/>
      </c>
      <c r="BH40" s="11">
        <f>Time!BH30*BG53</f>
        <v/>
      </c>
      <c r="BI40" s="11">
        <f>Time!BI30*BH53</f>
        <v/>
      </c>
      <c r="BJ40" s="11">
        <f>Time!BJ30*BI53</f>
        <v/>
      </c>
      <c r="BK40" s="11">
        <f>Time!BK30*BJ53</f>
        <v/>
      </c>
      <c r="BL40" s="11">
        <f>Time!BL30*BK53</f>
        <v/>
      </c>
      <c r="BM40" s="11">
        <f>Time!BM30*BL53</f>
        <v/>
      </c>
      <c r="BN40" s="11">
        <f>Time!BN30*BM53</f>
        <v/>
      </c>
    </row>
    <row r="41">
      <c r="D41" t="inlineStr">
        <is>
          <t>Deferred principal, opening</t>
        </is>
      </c>
      <c r="E41" t="inlineStr">
        <is>
          <t>USD m</t>
        </is>
      </c>
      <c r="J41" s="11">
        <f>0</f>
        <v/>
      </c>
      <c r="K41" s="11">
        <f>J50</f>
        <v/>
      </c>
      <c r="L41" s="11">
        <f>K50</f>
        <v/>
      </c>
      <c r="M41" s="11">
        <f>L50</f>
        <v/>
      </c>
      <c r="N41" s="11">
        <f>M50</f>
        <v/>
      </c>
      <c r="O41" s="11">
        <f>N50</f>
        <v/>
      </c>
      <c r="P41" s="11">
        <f>O50</f>
        <v/>
      </c>
      <c r="Q41" s="11">
        <f>P50</f>
        <v/>
      </c>
      <c r="R41" s="11">
        <f>Q50</f>
        <v/>
      </c>
      <c r="S41" s="11">
        <f>R50</f>
        <v/>
      </c>
      <c r="T41" s="11">
        <f>S50</f>
        <v/>
      </c>
      <c r="U41" s="11">
        <f>T50</f>
        <v/>
      </c>
      <c r="V41" s="11">
        <f>U50</f>
        <v/>
      </c>
      <c r="W41" s="11">
        <f>V50</f>
        <v/>
      </c>
      <c r="X41" s="11">
        <f>W50</f>
        <v/>
      </c>
      <c r="Y41" s="11">
        <f>X50</f>
        <v/>
      </c>
      <c r="Z41" s="11">
        <f>Y50</f>
        <v/>
      </c>
      <c r="AA41" s="11">
        <f>Z50</f>
        <v/>
      </c>
      <c r="AB41" s="11">
        <f>AA50</f>
        <v/>
      </c>
      <c r="AC41" s="11">
        <f>AB50</f>
        <v/>
      </c>
      <c r="AD41" s="11">
        <f>AC50</f>
        <v/>
      </c>
      <c r="AE41" s="11">
        <f>AD50</f>
        <v/>
      </c>
      <c r="AF41" s="11">
        <f>AE50</f>
        <v/>
      </c>
      <c r="AG41" s="11">
        <f>AF50</f>
        <v/>
      </c>
      <c r="AH41" s="11">
        <f>AG50</f>
        <v/>
      </c>
      <c r="AI41" s="11">
        <f>AH50</f>
        <v/>
      </c>
      <c r="AJ41" s="11">
        <f>AI50</f>
        <v/>
      </c>
      <c r="AK41" s="11">
        <f>AJ50</f>
        <v/>
      </c>
      <c r="AL41" s="11">
        <f>AK50</f>
        <v/>
      </c>
      <c r="AM41" s="11">
        <f>AL50</f>
        <v/>
      </c>
      <c r="AN41" s="11">
        <f>AM50</f>
        <v/>
      </c>
      <c r="AO41" s="11">
        <f>AN50</f>
        <v/>
      </c>
      <c r="AP41" s="11">
        <f>AO50</f>
        <v/>
      </c>
      <c r="AQ41" s="11">
        <f>AP50</f>
        <v/>
      </c>
      <c r="AR41" s="11">
        <f>AQ50</f>
        <v/>
      </c>
      <c r="AS41" s="11">
        <f>AR50</f>
        <v/>
      </c>
      <c r="AT41" s="11">
        <f>AS50</f>
        <v/>
      </c>
      <c r="AU41" s="11">
        <f>AT50</f>
        <v/>
      </c>
      <c r="AV41" s="11">
        <f>AU50</f>
        <v/>
      </c>
      <c r="AW41" s="11">
        <f>AV50</f>
        <v/>
      </c>
      <c r="AX41" s="11">
        <f>AW50</f>
        <v/>
      </c>
      <c r="AY41" s="11">
        <f>AX50</f>
        <v/>
      </c>
      <c r="AZ41" s="11">
        <f>AY50</f>
        <v/>
      </c>
      <c r="BA41" s="11">
        <f>AZ50</f>
        <v/>
      </c>
      <c r="BB41" s="11">
        <f>BA50</f>
        <v/>
      </c>
      <c r="BC41" s="11">
        <f>BB50</f>
        <v/>
      </c>
      <c r="BD41" s="11">
        <f>BC50</f>
        <v/>
      </c>
      <c r="BE41" s="11">
        <f>BD50</f>
        <v/>
      </c>
      <c r="BF41" s="11">
        <f>BE50</f>
        <v/>
      </c>
      <c r="BG41" s="11">
        <f>BF50</f>
        <v/>
      </c>
      <c r="BH41" s="11">
        <f>BG50</f>
        <v/>
      </c>
      <c r="BI41" s="11">
        <f>BH50</f>
        <v/>
      </c>
      <c r="BJ41" s="11">
        <f>BI50</f>
        <v/>
      </c>
      <c r="BK41" s="11">
        <f>BJ50</f>
        <v/>
      </c>
      <c r="BL41" s="11">
        <f>BK50</f>
        <v/>
      </c>
      <c r="BM41" s="11">
        <f>BL50</f>
        <v/>
      </c>
      <c r="BN41" s="11">
        <f>BM50</f>
        <v/>
      </c>
    </row>
    <row r="42">
      <c r="D42" t="inlineStr">
        <is>
          <t>Interest (incl. WHT gross-up where applicable)</t>
        </is>
      </c>
      <c r="E42" t="inlineStr">
        <is>
          <t>USD m</t>
        </is>
      </c>
      <c r="G42" s="11">
        <f>SUM(J42:BN42)</f>
        <v/>
      </c>
      <c r="J42" s="11">
        <f>J40*J11</f>
        <v/>
      </c>
      <c r="K42" s="11">
        <f>K40*K11</f>
        <v/>
      </c>
      <c r="L42" s="11">
        <f>L40*L11</f>
        <v/>
      </c>
      <c r="M42" s="11">
        <f>M40*M11</f>
        <v/>
      </c>
      <c r="N42" s="11">
        <f>N40*N11</f>
        <v/>
      </c>
      <c r="O42" s="11">
        <f>O40*O11</f>
        <v/>
      </c>
      <c r="P42" s="11">
        <f>P40*P11</f>
        <v/>
      </c>
      <c r="Q42" s="11">
        <f>Q40*Q11</f>
        <v/>
      </c>
      <c r="R42" s="11">
        <f>R40*R11</f>
        <v/>
      </c>
      <c r="S42" s="11">
        <f>S40*S11</f>
        <v/>
      </c>
      <c r="T42" s="11">
        <f>T40*T11</f>
        <v/>
      </c>
      <c r="U42" s="11">
        <f>U40*U11</f>
        <v/>
      </c>
      <c r="V42" s="11">
        <f>V40*V11</f>
        <v/>
      </c>
      <c r="W42" s="11">
        <f>W40*W11</f>
        <v/>
      </c>
      <c r="X42" s="11">
        <f>X40*X11</f>
        <v/>
      </c>
      <c r="Y42" s="11">
        <f>Y40*Y11</f>
        <v/>
      </c>
      <c r="Z42" s="11">
        <f>Z40*Z11</f>
        <v/>
      </c>
      <c r="AA42" s="11">
        <f>AA40*AA11</f>
        <v/>
      </c>
      <c r="AB42" s="11">
        <f>AB40*AB11</f>
        <v/>
      </c>
      <c r="AC42" s="11">
        <f>AC40*AC11</f>
        <v/>
      </c>
      <c r="AD42" s="11">
        <f>AD40*AD11</f>
        <v/>
      </c>
      <c r="AE42" s="11">
        <f>AE40*AE11</f>
        <v/>
      </c>
      <c r="AF42" s="11">
        <f>AF40*AF11</f>
        <v/>
      </c>
      <c r="AG42" s="11">
        <f>AG40*AG11</f>
        <v/>
      </c>
      <c r="AH42" s="11">
        <f>AH40*AH11</f>
        <v/>
      </c>
      <c r="AI42" s="11">
        <f>AI40*AI11</f>
        <v/>
      </c>
      <c r="AJ42" s="11">
        <f>AJ40*AJ11</f>
        <v/>
      </c>
      <c r="AK42" s="11">
        <f>AK40*AK11</f>
        <v/>
      </c>
      <c r="AL42" s="11">
        <f>AL40*AL11</f>
        <v/>
      </c>
      <c r="AM42" s="11">
        <f>AM40*AM11</f>
        <v/>
      </c>
      <c r="AN42" s="11">
        <f>AN40*AN11</f>
        <v/>
      </c>
      <c r="AO42" s="11">
        <f>AO40*AO11</f>
        <v/>
      </c>
      <c r="AP42" s="11">
        <f>AP40*AP11</f>
        <v/>
      </c>
      <c r="AQ42" s="11">
        <f>AQ40*AQ11</f>
        <v/>
      </c>
      <c r="AR42" s="11">
        <f>AR40*AR11</f>
        <v/>
      </c>
      <c r="AS42" s="11">
        <f>AS40*AS11</f>
        <v/>
      </c>
      <c r="AT42" s="11">
        <f>AT40*AT11</f>
        <v/>
      </c>
      <c r="AU42" s="11">
        <f>AU40*AU11</f>
        <v/>
      </c>
      <c r="AV42" s="11">
        <f>AV40*AV11</f>
        <v/>
      </c>
      <c r="AW42" s="11">
        <f>AW40*AW11</f>
        <v/>
      </c>
      <c r="AX42" s="11">
        <f>AX40*AX11</f>
        <v/>
      </c>
      <c r="AY42" s="11">
        <f>AY40*AY11</f>
        <v/>
      </c>
      <c r="AZ42" s="11">
        <f>AZ40*AZ11</f>
        <v/>
      </c>
      <c r="BA42" s="11">
        <f>BA40*BA11</f>
        <v/>
      </c>
      <c r="BB42" s="11">
        <f>BB40*BB11</f>
        <v/>
      </c>
      <c r="BC42" s="11">
        <f>BC40*BC11</f>
        <v/>
      </c>
      <c r="BD42" s="11">
        <f>BD40*BD11</f>
        <v/>
      </c>
      <c r="BE42" s="11">
        <f>BE40*BE11</f>
        <v/>
      </c>
      <c r="BF42" s="11">
        <f>BF40*BF11</f>
        <v/>
      </c>
      <c r="BG42" s="11">
        <f>BG40*BG11</f>
        <v/>
      </c>
      <c r="BH42" s="11">
        <f>BH40*BH11</f>
        <v/>
      </c>
      <c r="BI42" s="11">
        <f>BI40*BI11</f>
        <v/>
      </c>
      <c r="BJ42" s="11">
        <f>BJ40*BJ11</f>
        <v/>
      </c>
      <c r="BK42" s="11">
        <f>BK40*BK11</f>
        <v/>
      </c>
      <c r="BL42" s="11">
        <f>BL40*BL11</f>
        <v/>
      </c>
      <c r="BM42" s="11">
        <f>BM40*BM11</f>
        <v/>
      </c>
      <c r="BN42" s="11">
        <f>BN40*BN11</f>
        <v/>
      </c>
    </row>
    <row r="43">
      <c r="D43" t="inlineStr">
        <is>
          <t>Scheduled principal per profile</t>
        </is>
      </c>
      <c r="E43" t="inlineStr">
        <is>
          <t>USD m</t>
        </is>
      </c>
      <c r="G43" s="11">
        <f>SUM(J43:BN43)</f>
        <v/>
      </c>
      <c r="J43" s="11">
        <f>Time!J30*(J40-J41)*J19</f>
        <v/>
      </c>
      <c r="K43" s="11">
        <f>Time!K30*(K40-K41)*K19</f>
        <v/>
      </c>
      <c r="L43" s="11">
        <f>Time!L30*(L40-L41)*L19</f>
        <v/>
      </c>
      <c r="M43" s="11">
        <f>Time!M30*(M40-M41)*M19</f>
        <v/>
      </c>
      <c r="N43" s="11">
        <f>Time!N30*(N40-N41)*N19</f>
        <v/>
      </c>
      <c r="O43" s="11">
        <f>Time!O30*(O40-O41)*O19</f>
        <v/>
      </c>
      <c r="P43" s="11">
        <f>Time!P30*(P40-P41)*P19</f>
        <v/>
      </c>
      <c r="Q43" s="11">
        <f>Time!Q30*(Q40-Q41)*Q19</f>
        <v/>
      </c>
      <c r="R43" s="11">
        <f>Time!R30*(R40-R41)*R19</f>
        <v/>
      </c>
      <c r="S43" s="11">
        <f>Time!S30*(S40-S41)*S19</f>
        <v/>
      </c>
      <c r="T43" s="11">
        <f>Time!T30*(T40-T41)*T19</f>
        <v/>
      </c>
      <c r="U43" s="11">
        <f>Time!U30*(U40-U41)*U19</f>
        <v/>
      </c>
      <c r="V43" s="11">
        <f>Time!V30*(V40-V41)*V19</f>
        <v/>
      </c>
      <c r="W43" s="11">
        <f>Time!W30*(W40-W41)*W19</f>
        <v/>
      </c>
      <c r="X43" s="11">
        <f>Time!X30*(X40-X41)*X19</f>
        <v/>
      </c>
      <c r="Y43" s="11">
        <f>Time!Y30*(Y40-Y41)*Y19</f>
        <v/>
      </c>
      <c r="Z43" s="11">
        <f>Time!Z30*(Z40-Z41)*Z19</f>
        <v/>
      </c>
      <c r="AA43" s="11">
        <f>Time!AA30*(AA40-AA41)*AA19</f>
        <v/>
      </c>
      <c r="AB43" s="11">
        <f>Time!AB30*(AB40-AB41)*AB19</f>
        <v/>
      </c>
      <c r="AC43" s="11">
        <f>Time!AC30*(AC40-AC41)*AC19</f>
        <v/>
      </c>
      <c r="AD43" s="11">
        <f>Time!AD30*(AD40-AD41)*AD19</f>
        <v/>
      </c>
      <c r="AE43" s="11">
        <f>Time!AE30*(AE40-AE41)*AE19</f>
        <v/>
      </c>
      <c r="AF43" s="11">
        <f>Time!AF30*(AF40-AF41)*AF19</f>
        <v/>
      </c>
      <c r="AG43" s="11">
        <f>Time!AG30*(AG40-AG41)*AG19</f>
        <v/>
      </c>
      <c r="AH43" s="11">
        <f>Time!AH30*(AH40-AH41)*AH19</f>
        <v/>
      </c>
      <c r="AI43" s="11">
        <f>Time!AI30*(AI40-AI41)*AI19</f>
        <v/>
      </c>
      <c r="AJ43" s="11">
        <f>Time!AJ30*(AJ40-AJ41)*AJ19</f>
        <v/>
      </c>
      <c r="AK43" s="11">
        <f>Time!AK30*(AK40-AK41)*AK19</f>
        <v/>
      </c>
      <c r="AL43" s="11">
        <f>Time!AL30*(AL40-AL41)*AL19</f>
        <v/>
      </c>
      <c r="AM43" s="11">
        <f>Time!AM30*(AM40-AM41)*AM19</f>
        <v/>
      </c>
      <c r="AN43" s="11">
        <f>Time!AN30*(AN40-AN41)*AN19</f>
        <v/>
      </c>
      <c r="AO43" s="11">
        <f>Time!AO30*(AO40-AO41)*AO19</f>
        <v/>
      </c>
      <c r="AP43" s="11">
        <f>Time!AP30*(AP40-AP41)*AP19</f>
        <v/>
      </c>
      <c r="AQ43" s="11">
        <f>Time!AQ30*(AQ40-AQ41)*AQ19</f>
        <v/>
      </c>
      <c r="AR43" s="11">
        <f>Time!AR30*(AR40-AR41)*AR19</f>
        <v/>
      </c>
      <c r="AS43" s="11">
        <f>Time!AS30*(AS40-AS41)*AS19</f>
        <v/>
      </c>
      <c r="AT43" s="11">
        <f>Time!AT30*(AT40-AT41)*AT19</f>
        <v/>
      </c>
      <c r="AU43" s="11">
        <f>Time!AU30*(AU40-AU41)*AU19</f>
        <v/>
      </c>
      <c r="AV43" s="11">
        <f>Time!AV30*(AV40-AV41)*AV19</f>
        <v/>
      </c>
      <c r="AW43" s="11">
        <f>Time!AW30*(AW40-AW41)*AW19</f>
        <v/>
      </c>
      <c r="AX43" s="11">
        <f>Time!AX30*(AX40-AX41)*AX19</f>
        <v/>
      </c>
      <c r="AY43" s="11">
        <f>Time!AY30*(AY40-AY41)*AY19</f>
        <v/>
      </c>
      <c r="AZ43" s="11">
        <f>Time!AZ30*(AZ40-AZ41)*AZ19</f>
        <v/>
      </c>
      <c r="BA43" s="11">
        <f>Time!BA30*(BA40-BA41)*BA19</f>
        <v/>
      </c>
      <c r="BB43" s="11">
        <f>Time!BB30*(BB40-BB41)*BB19</f>
        <v/>
      </c>
      <c r="BC43" s="11">
        <f>Time!BC30*(BC40-BC41)*BC19</f>
        <v/>
      </c>
      <c r="BD43" s="11">
        <f>Time!BD30*(BD40-BD41)*BD19</f>
        <v/>
      </c>
      <c r="BE43" s="11">
        <f>Time!BE30*(BE40-BE41)*BE19</f>
        <v/>
      </c>
      <c r="BF43" s="11">
        <f>Time!BF30*(BF40-BF41)*BF19</f>
        <v/>
      </c>
      <c r="BG43" s="11">
        <f>Time!BG30*(BG40-BG41)*BG19</f>
        <v/>
      </c>
      <c r="BH43" s="11">
        <f>Time!BH30*(BH40-BH41)*BH19</f>
        <v/>
      </c>
      <c r="BI43" s="11">
        <f>Time!BI30*(BI40-BI41)*BI19</f>
        <v/>
      </c>
      <c r="BJ43" s="11">
        <f>Time!BJ30*(BJ40-BJ41)*BJ19</f>
        <v/>
      </c>
      <c r="BK43" s="11">
        <f>Time!BK30*(BK40-BK41)*BK19</f>
        <v/>
      </c>
      <c r="BL43" s="11">
        <f>Time!BL30*(BL40-BL41)*BL19</f>
        <v/>
      </c>
      <c r="BM43" s="11">
        <f>Time!BM30*(BM40-BM41)*BM19</f>
        <v/>
      </c>
      <c r="BN43" s="11">
        <f>Time!BN30*(BN40-BN41)*BN19</f>
        <v/>
      </c>
    </row>
    <row r="44">
      <c r="D44" t="inlineStr">
        <is>
          <t>Principal deferred under the waiver</t>
        </is>
      </c>
      <c r="E44" t="inlineStr">
        <is>
          <t>USD m</t>
        </is>
      </c>
      <c r="G44" s="11">
        <f>SUM(J44:BN44)</f>
        <v/>
      </c>
      <c r="J44" s="11">
        <f>J21*Inputs!$F$191*J43</f>
        <v/>
      </c>
      <c r="K44" s="11">
        <f>K21*Inputs!$F$191*K43</f>
        <v/>
      </c>
      <c r="L44" s="11">
        <f>L21*Inputs!$F$191*L43</f>
        <v/>
      </c>
      <c r="M44" s="11">
        <f>M21*Inputs!$F$191*M43</f>
        <v/>
      </c>
      <c r="N44" s="11">
        <f>N21*Inputs!$F$191*N43</f>
        <v/>
      </c>
      <c r="O44" s="11">
        <f>O21*Inputs!$F$191*O43</f>
        <v/>
      </c>
      <c r="P44" s="11">
        <f>P21*Inputs!$F$191*P43</f>
        <v/>
      </c>
      <c r="Q44" s="11">
        <f>Q21*Inputs!$F$191*Q43</f>
        <v/>
      </c>
      <c r="R44" s="11">
        <f>R21*Inputs!$F$191*R43</f>
        <v/>
      </c>
      <c r="S44" s="11">
        <f>S21*Inputs!$F$191*S43</f>
        <v/>
      </c>
      <c r="T44" s="11">
        <f>T21*Inputs!$F$191*T43</f>
        <v/>
      </c>
      <c r="U44" s="11">
        <f>U21*Inputs!$F$191*U43</f>
        <v/>
      </c>
      <c r="V44" s="11">
        <f>V21*Inputs!$F$191*V43</f>
        <v/>
      </c>
      <c r="W44" s="11">
        <f>W21*Inputs!$F$191*W43</f>
        <v/>
      </c>
      <c r="X44" s="11">
        <f>X21*Inputs!$F$191*X43</f>
        <v/>
      </c>
      <c r="Y44" s="11">
        <f>Y21*Inputs!$F$191*Y43</f>
        <v/>
      </c>
      <c r="Z44" s="11">
        <f>Z21*Inputs!$F$191*Z43</f>
        <v/>
      </c>
      <c r="AA44" s="11">
        <f>AA21*Inputs!$F$191*AA43</f>
        <v/>
      </c>
      <c r="AB44" s="11">
        <f>AB21*Inputs!$F$191*AB43</f>
        <v/>
      </c>
      <c r="AC44" s="11">
        <f>AC21*Inputs!$F$191*AC43</f>
        <v/>
      </c>
      <c r="AD44" s="11">
        <f>AD21*Inputs!$F$191*AD43</f>
        <v/>
      </c>
      <c r="AE44" s="11">
        <f>AE21*Inputs!$F$191*AE43</f>
        <v/>
      </c>
      <c r="AF44" s="11">
        <f>AF21*Inputs!$F$191*AF43</f>
        <v/>
      </c>
      <c r="AG44" s="11">
        <f>AG21*Inputs!$F$191*AG43</f>
        <v/>
      </c>
      <c r="AH44" s="11">
        <f>AH21*Inputs!$F$191*AH43</f>
        <v/>
      </c>
      <c r="AI44" s="11">
        <f>AI21*Inputs!$F$191*AI43</f>
        <v/>
      </c>
      <c r="AJ44" s="11">
        <f>AJ21*Inputs!$F$191*AJ43</f>
        <v/>
      </c>
      <c r="AK44" s="11">
        <f>AK21*Inputs!$F$191*AK43</f>
        <v/>
      </c>
      <c r="AL44" s="11">
        <f>AL21*Inputs!$F$191*AL43</f>
        <v/>
      </c>
      <c r="AM44" s="11">
        <f>AM21*Inputs!$F$191*AM43</f>
        <v/>
      </c>
      <c r="AN44" s="11">
        <f>AN21*Inputs!$F$191*AN43</f>
        <v/>
      </c>
      <c r="AO44" s="11">
        <f>AO21*Inputs!$F$191*AO43</f>
        <v/>
      </c>
      <c r="AP44" s="11">
        <f>AP21*Inputs!$F$191*AP43</f>
        <v/>
      </c>
      <c r="AQ44" s="11">
        <f>AQ21*Inputs!$F$191*AQ43</f>
        <v/>
      </c>
      <c r="AR44" s="11">
        <f>AR21*Inputs!$F$191*AR43</f>
        <v/>
      </c>
      <c r="AS44" s="11">
        <f>AS21*Inputs!$F$191*AS43</f>
        <v/>
      </c>
      <c r="AT44" s="11">
        <f>AT21*Inputs!$F$191*AT43</f>
        <v/>
      </c>
      <c r="AU44" s="11">
        <f>AU21*Inputs!$F$191*AU43</f>
        <v/>
      </c>
      <c r="AV44" s="11">
        <f>AV21*Inputs!$F$191*AV43</f>
        <v/>
      </c>
      <c r="AW44" s="11">
        <f>AW21*Inputs!$F$191*AW43</f>
        <v/>
      </c>
      <c r="AX44" s="11">
        <f>AX21*Inputs!$F$191*AX43</f>
        <v/>
      </c>
      <c r="AY44" s="11">
        <f>AY21*Inputs!$F$191*AY43</f>
        <v/>
      </c>
      <c r="AZ44" s="11">
        <f>AZ21*Inputs!$F$191*AZ43</f>
        <v/>
      </c>
      <c r="BA44" s="11">
        <f>BA21*Inputs!$F$191*BA43</f>
        <v/>
      </c>
      <c r="BB44" s="11">
        <f>BB21*Inputs!$F$191*BB43</f>
        <v/>
      </c>
      <c r="BC44" s="11">
        <f>BC21*Inputs!$F$191*BC43</f>
        <v/>
      </c>
      <c r="BD44" s="11">
        <f>BD21*Inputs!$F$191*BD43</f>
        <v/>
      </c>
      <c r="BE44" s="11">
        <f>BE21*Inputs!$F$191*BE43</f>
        <v/>
      </c>
      <c r="BF44" s="11">
        <f>BF21*Inputs!$F$191*BF43</f>
        <v/>
      </c>
      <c r="BG44" s="11">
        <f>BG21*Inputs!$F$191*BG43</f>
        <v/>
      </c>
      <c r="BH44" s="11">
        <f>BH21*Inputs!$F$191*BH43</f>
        <v/>
      </c>
      <c r="BI44" s="11">
        <f>BI21*Inputs!$F$191*BI43</f>
        <v/>
      </c>
      <c r="BJ44" s="11">
        <f>BJ21*Inputs!$F$191*BJ43</f>
        <v/>
      </c>
      <c r="BK44" s="11">
        <f>BK21*Inputs!$F$191*BK43</f>
        <v/>
      </c>
      <c r="BL44" s="11">
        <f>BL21*Inputs!$F$191*BL43</f>
        <v/>
      </c>
      <c r="BM44" s="11">
        <f>BM21*Inputs!$F$191*BM43</f>
        <v/>
      </c>
      <c r="BN44" s="11">
        <f>BN21*Inputs!$F$191*BN43</f>
        <v/>
      </c>
    </row>
    <row r="45">
      <c r="D45" t="inlineStr">
        <is>
          <t>Deferred amount at 2023-12-31</t>
        </is>
      </c>
      <c r="E45" t="inlineStr">
        <is>
          <t>USD m</t>
        </is>
      </c>
      <c r="F45" s="15">
        <f>$T$44</f>
        <v/>
      </c>
    </row>
    <row r="46">
      <c r="D46" t="inlineStr">
        <is>
          <t>Deferred principal repaid</t>
        </is>
      </c>
      <c r="E46" t="inlineStr">
        <is>
          <t>USD m</t>
        </is>
      </c>
      <c r="G46" s="11">
        <f>SUM(J46:BN46)</f>
        <v/>
      </c>
      <c r="J46" s="11">
        <f>0</f>
        <v/>
      </c>
      <c r="K46" s="11">
        <f>0</f>
        <v/>
      </c>
      <c r="L46" s="11">
        <f>0</f>
        <v/>
      </c>
      <c r="M46" s="11">
        <f>0</f>
        <v/>
      </c>
      <c r="N46" s="11">
        <f>0</f>
        <v/>
      </c>
      <c r="O46" s="11">
        <f>0</f>
        <v/>
      </c>
      <c r="P46" s="11">
        <f>0</f>
        <v/>
      </c>
      <c r="Q46" s="11">
        <f>0</f>
        <v/>
      </c>
      <c r="R46" s="11">
        <f>0</f>
        <v/>
      </c>
      <c r="S46" s="11">
        <f>0</f>
        <v/>
      </c>
      <c r="T46" s="11">
        <f>0</f>
        <v/>
      </c>
      <c r="U46" s="11">
        <f>U22*MIN($F$45/4,U41)</f>
        <v/>
      </c>
      <c r="V46" s="11">
        <f>V22*MIN($F$45/4,V41)</f>
        <v/>
      </c>
      <c r="W46" s="11">
        <f>W22*MIN($F$45/4,W41)</f>
        <v/>
      </c>
      <c r="X46" s="11">
        <f>X22*MIN($F$45/4,X41)</f>
        <v/>
      </c>
      <c r="Y46" s="11">
        <f>0</f>
        <v/>
      </c>
      <c r="Z46" s="11">
        <f>0</f>
        <v/>
      </c>
      <c r="AA46" s="11">
        <f>0</f>
        <v/>
      </c>
      <c r="AB46" s="11">
        <f>0</f>
        <v/>
      </c>
      <c r="AC46" s="11">
        <f>0</f>
        <v/>
      </c>
      <c r="AD46" s="11">
        <f>0</f>
        <v/>
      </c>
      <c r="AE46" s="11">
        <f>0</f>
        <v/>
      </c>
      <c r="AF46" s="11">
        <f>0</f>
        <v/>
      </c>
      <c r="AG46" s="11">
        <f>0</f>
        <v/>
      </c>
      <c r="AH46" s="11">
        <f>0</f>
        <v/>
      </c>
      <c r="AI46" s="11">
        <f>0</f>
        <v/>
      </c>
      <c r="AJ46" s="11">
        <f>0</f>
        <v/>
      </c>
      <c r="AK46" s="11">
        <f>0</f>
        <v/>
      </c>
      <c r="AL46" s="11">
        <f>0</f>
        <v/>
      </c>
      <c r="AM46" s="11">
        <f>0</f>
        <v/>
      </c>
      <c r="AN46" s="11">
        <f>0</f>
        <v/>
      </c>
      <c r="AO46" s="11">
        <f>0</f>
        <v/>
      </c>
      <c r="AP46" s="11">
        <f>0</f>
        <v/>
      </c>
      <c r="AQ46" s="11">
        <f>0</f>
        <v/>
      </c>
      <c r="AR46" s="11">
        <f>0</f>
        <v/>
      </c>
      <c r="AS46" s="11">
        <f>0</f>
        <v/>
      </c>
      <c r="AT46" s="11">
        <f>0</f>
        <v/>
      </c>
      <c r="AU46" s="11">
        <f>0</f>
        <v/>
      </c>
      <c r="AV46" s="11">
        <f>0</f>
        <v/>
      </c>
      <c r="AW46" s="11">
        <f>0</f>
        <v/>
      </c>
      <c r="AX46" s="11">
        <f>0</f>
        <v/>
      </c>
      <c r="AY46" s="11">
        <f>0</f>
        <v/>
      </c>
      <c r="AZ46" s="11">
        <f>0</f>
        <v/>
      </c>
      <c r="BA46" s="11">
        <f>0</f>
        <v/>
      </c>
      <c r="BB46" s="11">
        <f>0</f>
        <v/>
      </c>
      <c r="BC46" s="11">
        <f>0</f>
        <v/>
      </c>
      <c r="BD46" s="11">
        <f>0</f>
        <v/>
      </c>
      <c r="BE46" s="11">
        <f>0</f>
        <v/>
      </c>
      <c r="BF46" s="11">
        <f>0</f>
        <v/>
      </c>
      <c r="BG46" s="11">
        <f>0</f>
        <v/>
      </c>
      <c r="BH46" s="11">
        <f>0</f>
        <v/>
      </c>
      <c r="BI46" s="11">
        <f>0</f>
        <v/>
      </c>
      <c r="BJ46" s="11">
        <f>0</f>
        <v/>
      </c>
      <c r="BK46" s="11">
        <f>0</f>
        <v/>
      </c>
      <c r="BL46" s="11">
        <f>0</f>
        <v/>
      </c>
      <c r="BM46" s="11">
        <f>0</f>
        <v/>
      </c>
      <c r="BN46" s="11">
        <f>0</f>
        <v/>
      </c>
    </row>
    <row r="47">
      <c r="D47" t="inlineStr">
        <is>
          <t>Principal paid</t>
        </is>
      </c>
      <c r="E47" t="inlineStr">
        <is>
          <t>USD m</t>
        </is>
      </c>
      <c r="G47" s="11">
        <f>SUM(J47:BN47)</f>
        <v/>
      </c>
      <c r="J47" s="11">
        <f>J43-J44+J46</f>
        <v/>
      </c>
      <c r="K47" s="11">
        <f>K43-K44+K46</f>
        <v/>
      </c>
      <c r="L47" s="11">
        <f>L43-L44+L46</f>
        <v/>
      </c>
      <c r="M47" s="11">
        <f>M43-M44+M46</f>
        <v/>
      </c>
      <c r="N47" s="11">
        <f>N43-N44+N46</f>
        <v/>
      </c>
      <c r="O47" s="11">
        <f>O43-O44+O46</f>
        <v/>
      </c>
      <c r="P47" s="11">
        <f>P43-P44+P46</f>
        <v/>
      </c>
      <c r="Q47" s="11">
        <f>Q43-Q44+Q46</f>
        <v/>
      </c>
      <c r="R47" s="11">
        <f>R43-R44+R46</f>
        <v/>
      </c>
      <c r="S47" s="11">
        <f>S43-S44+S46</f>
        <v/>
      </c>
      <c r="T47" s="11">
        <f>T43-T44+T46</f>
        <v/>
      </c>
      <c r="U47" s="11">
        <f>U43-U44+U46</f>
        <v/>
      </c>
      <c r="V47" s="11">
        <f>V43-V44+V46</f>
        <v/>
      </c>
      <c r="W47" s="11">
        <f>W43-W44+W46</f>
        <v/>
      </c>
      <c r="X47" s="11">
        <f>X43-X44+X46</f>
        <v/>
      </c>
      <c r="Y47" s="11">
        <f>Y43-Y44+Y46</f>
        <v/>
      </c>
      <c r="Z47" s="11">
        <f>Z43-Z44+Z46</f>
        <v/>
      </c>
      <c r="AA47" s="11">
        <f>AA43-AA44+AA46</f>
        <v/>
      </c>
      <c r="AB47" s="11">
        <f>AB43-AB44+AB46</f>
        <v/>
      </c>
      <c r="AC47" s="11">
        <f>AC43-AC44+AC46</f>
        <v/>
      </c>
      <c r="AD47" s="11">
        <f>AD43-AD44+AD46</f>
        <v/>
      </c>
      <c r="AE47" s="11">
        <f>AE43-AE44+AE46</f>
        <v/>
      </c>
      <c r="AF47" s="11">
        <f>AF43-AF44+AF46</f>
        <v/>
      </c>
      <c r="AG47" s="11">
        <f>AG43-AG44+AG46</f>
        <v/>
      </c>
      <c r="AH47" s="11">
        <f>AH43-AH44+AH46</f>
        <v/>
      </c>
      <c r="AI47" s="11">
        <f>AI43-AI44+AI46</f>
        <v/>
      </c>
      <c r="AJ47" s="11">
        <f>AJ43-AJ44+AJ46</f>
        <v/>
      </c>
      <c r="AK47" s="11">
        <f>AK43-AK44+AK46</f>
        <v/>
      </c>
      <c r="AL47" s="11">
        <f>AL43-AL44+AL46</f>
        <v/>
      </c>
      <c r="AM47" s="11">
        <f>AM43-AM44+AM46</f>
        <v/>
      </c>
      <c r="AN47" s="11">
        <f>AN43-AN44+AN46</f>
        <v/>
      </c>
      <c r="AO47" s="11">
        <f>AO43-AO44+AO46</f>
        <v/>
      </c>
      <c r="AP47" s="11">
        <f>AP43-AP44+AP46</f>
        <v/>
      </c>
      <c r="AQ47" s="11">
        <f>AQ43-AQ44+AQ46</f>
        <v/>
      </c>
      <c r="AR47" s="11">
        <f>AR43-AR44+AR46</f>
        <v/>
      </c>
      <c r="AS47" s="11">
        <f>AS43-AS44+AS46</f>
        <v/>
      </c>
      <c r="AT47" s="11">
        <f>AT43-AT44+AT46</f>
        <v/>
      </c>
      <c r="AU47" s="11">
        <f>AU43-AU44+AU46</f>
        <v/>
      </c>
      <c r="AV47" s="11">
        <f>AV43-AV44+AV46</f>
        <v/>
      </c>
      <c r="AW47" s="11">
        <f>AW43-AW44+AW46</f>
        <v/>
      </c>
      <c r="AX47" s="11">
        <f>AX43-AX44+AX46</f>
        <v/>
      </c>
      <c r="AY47" s="11">
        <f>AY43-AY44+AY46</f>
        <v/>
      </c>
      <c r="AZ47" s="11">
        <f>AZ43-AZ44+AZ46</f>
        <v/>
      </c>
      <c r="BA47" s="11">
        <f>BA43-BA44+BA46</f>
        <v/>
      </c>
      <c r="BB47" s="11">
        <f>BB43-BB44+BB46</f>
        <v/>
      </c>
      <c r="BC47" s="11">
        <f>BC43-BC44+BC46</f>
        <v/>
      </c>
      <c r="BD47" s="11">
        <f>BD43-BD44+BD46</f>
        <v/>
      </c>
      <c r="BE47" s="11">
        <f>BE43-BE44+BE46</f>
        <v/>
      </c>
      <c r="BF47" s="11">
        <f>BF43-BF44+BF46</f>
        <v/>
      </c>
      <c r="BG47" s="11">
        <f>BG43-BG44+BG46</f>
        <v/>
      </c>
      <c r="BH47" s="11">
        <f>BH43-BH44+BH46</f>
        <v/>
      </c>
      <c r="BI47" s="11">
        <f>BI43-BI44+BI46</f>
        <v/>
      </c>
      <c r="BJ47" s="11">
        <f>BJ43-BJ44+BJ46</f>
        <v/>
      </c>
      <c r="BK47" s="11">
        <f>BK43-BK44+BK46</f>
        <v/>
      </c>
      <c r="BL47" s="11">
        <f>BL43-BL44+BL46</f>
        <v/>
      </c>
      <c r="BM47" s="11">
        <f>BM43-BM44+BM46</f>
        <v/>
      </c>
      <c r="BN47" s="11">
        <f>BN43-BN44+BN46</f>
        <v/>
      </c>
    </row>
    <row r="48">
      <c r="D48" t="inlineStr">
        <is>
          <t>Performance LD prepayment</t>
        </is>
      </c>
      <c r="E48" t="inlineStr">
        <is>
          <t>USD m</t>
        </is>
      </c>
      <c r="G48" s="11">
        <f>SUM(J48:BN48)</f>
        <v/>
      </c>
      <c r="J48" s="11">
        <f>J23*Inputs!$F$188*(J40-J47)/(J25-J32+J40-J47+J55-J62+J70-J77+J85-J92+0.000000001)</f>
        <v/>
      </c>
      <c r="K48" s="11">
        <f>K23*Inputs!$F$188*(K40-K47)/(K25-K32+K40-K47+K55-K62+K70-K77+K85-K92+0.000000001)</f>
        <v/>
      </c>
      <c r="L48" s="11">
        <f>L23*Inputs!$F$188*(L40-L47)/(L25-L32+L40-L47+L55-L62+L70-L77+L85-L92+0.000000001)</f>
        <v/>
      </c>
      <c r="M48" s="11">
        <f>M23*Inputs!$F$188*(M40-M47)/(M25-M32+M40-M47+M55-M62+M70-M77+M85-M92+0.000000001)</f>
        <v/>
      </c>
      <c r="N48" s="11">
        <f>N23*Inputs!$F$188*(N40-N47)/(N25-N32+N40-N47+N55-N62+N70-N77+N85-N92+0.000000001)</f>
        <v/>
      </c>
      <c r="O48" s="11">
        <f>O23*Inputs!$F$188*(O40-O47)/(O25-O32+O40-O47+O55-O62+O70-O77+O85-O92+0.000000001)</f>
        <v/>
      </c>
      <c r="P48" s="11">
        <f>P23*Inputs!$F$188*(P40-P47)/(P25-P32+P40-P47+P55-P62+P70-P77+P85-P92+0.000000001)</f>
        <v/>
      </c>
      <c r="Q48" s="11">
        <f>Q23*Inputs!$F$188*(Q40-Q47)/(Q25-Q32+Q40-Q47+Q55-Q62+Q70-Q77+Q85-Q92+0.000000001)</f>
        <v/>
      </c>
      <c r="R48" s="11">
        <f>R23*Inputs!$F$188*(R40-R47)/(R25-R32+R40-R47+R55-R62+R70-R77+R85-R92+0.000000001)</f>
        <v/>
      </c>
      <c r="S48" s="11">
        <f>S23*Inputs!$F$188*(S40-S47)/(S25-S32+S40-S47+S55-S62+S70-S77+S85-S92+0.000000001)</f>
        <v/>
      </c>
      <c r="T48" s="11">
        <f>T23*Inputs!$F$188*(T40-T47)/(T25-T32+T40-T47+T55-T62+T70-T77+T85-T92+0.000000001)</f>
        <v/>
      </c>
      <c r="U48" s="11">
        <f>U23*Inputs!$F$188*(U40-U47)/(U25-U32+U40-U47+U55-U62+U70-U77+U85-U92+0.000000001)</f>
        <v/>
      </c>
      <c r="V48" s="11">
        <f>V23*Inputs!$F$188*(V40-V47)/(V25-V32+V40-V47+V55-V62+V70-V77+V85-V92+0.000000001)</f>
        <v/>
      </c>
      <c r="W48" s="11">
        <f>W23*Inputs!$F$188*(W40-W47)/(W25-W32+W40-W47+W55-W62+W70-W77+W85-W92+0.000000001)</f>
        <v/>
      </c>
      <c r="X48" s="11">
        <f>X23*Inputs!$F$188*(X40-X47)/(X25-X32+X40-X47+X55-X62+X70-X77+X85-X92+0.000000001)</f>
        <v/>
      </c>
      <c r="Y48" s="11">
        <f>Y23*Inputs!$F$188*(Y40-Y47)/(Y25-Y32+Y40-Y47+Y55-Y62+Y70-Y77+Y85-Y92+0.000000001)</f>
        <v/>
      </c>
      <c r="Z48" s="11">
        <f>Z23*Inputs!$F$188*(Z40-Z47)/(Z25-Z32+Z40-Z47+Z55-Z62+Z70-Z77+Z85-Z92+0.000000001)</f>
        <v/>
      </c>
      <c r="AA48" s="11">
        <f>AA23*Inputs!$F$188*(AA40-AA47)/(AA25-AA32+AA40-AA47+AA55-AA62+AA70-AA77+AA85-AA92+0.000000001)</f>
        <v/>
      </c>
      <c r="AB48" s="11">
        <f>AB23*Inputs!$F$188*(AB40-AB47)/(AB25-AB32+AB40-AB47+AB55-AB62+AB70-AB77+AB85-AB92+0.000000001)</f>
        <v/>
      </c>
      <c r="AC48" s="11">
        <f>AC23*Inputs!$F$188*(AC40-AC47)/(AC25-AC32+AC40-AC47+AC55-AC62+AC70-AC77+AC85-AC92+0.000000001)</f>
        <v/>
      </c>
      <c r="AD48" s="11">
        <f>AD23*Inputs!$F$188*(AD40-AD47)/(AD25-AD32+AD40-AD47+AD55-AD62+AD70-AD77+AD85-AD92+0.000000001)</f>
        <v/>
      </c>
      <c r="AE48" s="11">
        <f>AE23*Inputs!$F$188*(AE40-AE47)/(AE25-AE32+AE40-AE47+AE55-AE62+AE70-AE77+AE85-AE92+0.000000001)</f>
        <v/>
      </c>
      <c r="AF48" s="11">
        <f>AF23*Inputs!$F$188*(AF40-AF47)/(AF25-AF32+AF40-AF47+AF55-AF62+AF70-AF77+AF85-AF92+0.000000001)</f>
        <v/>
      </c>
      <c r="AG48" s="11">
        <f>AG23*Inputs!$F$188*(AG40-AG47)/(AG25-AG32+AG40-AG47+AG55-AG62+AG70-AG77+AG85-AG92+0.000000001)</f>
        <v/>
      </c>
      <c r="AH48" s="11">
        <f>AH23*Inputs!$F$188*(AH40-AH47)/(AH25-AH32+AH40-AH47+AH55-AH62+AH70-AH77+AH85-AH92+0.000000001)</f>
        <v/>
      </c>
      <c r="AI48" s="11">
        <f>AI23*Inputs!$F$188*(AI40-AI47)/(AI25-AI32+AI40-AI47+AI55-AI62+AI70-AI77+AI85-AI92+0.000000001)</f>
        <v/>
      </c>
      <c r="AJ48" s="11">
        <f>AJ23*Inputs!$F$188*(AJ40-AJ47)/(AJ25-AJ32+AJ40-AJ47+AJ55-AJ62+AJ70-AJ77+AJ85-AJ92+0.000000001)</f>
        <v/>
      </c>
      <c r="AK48" s="11">
        <f>AK23*Inputs!$F$188*(AK40-AK47)/(AK25-AK32+AK40-AK47+AK55-AK62+AK70-AK77+AK85-AK92+0.000000001)</f>
        <v/>
      </c>
      <c r="AL48" s="11">
        <f>AL23*Inputs!$F$188*(AL40-AL47)/(AL25-AL32+AL40-AL47+AL55-AL62+AL70-AL77+AL85-AL92+0.000000001)</f>
        <v/>
      </c>
      <c r="AM48" s="11">
        <f>AM23*Inputs!$F$188*(AM40-AM47)/(AM25-AM32+AM40-AM47+AM55-AM62+AM70-AM77+AM85-AM92+0.000000001)</f>
        <v/>
      </c>
      <c r="AN48" s="11">
        <f>AN23*Inputs!$F$188*(AN40-AN47)/(AN25-AN32+AN40-AN47+AN55-AN62+AN70-AN77+AN85-AN92+0.000000001)</f>
        <v/>
      </c>
      <c r="AO48" s="11">
        <f>AO23*Inputs!$F$188*(AO40-AO47)/(AO25-AO32+AO40-AO47+AO55-AO62+AO70-AO77+AO85-AO92+0.000000001)</f>
        <v/>
      </c>
      <c r="AP48" s="11">
        <f>AP23*Inputs!$F$188*(AP40-AP47)/(AP25-AP32+AP40-AP47+AP55-AP62+AP70-AP77+AP85-AP92+0.000000001)</f>
        <v/>
      </c>
      <c r="AQ48" s="11">
        <f>AQ23*Inputs!$F$188*(AQ40-AQ47)/(AQ25-AQ32+AQ40-AQ47+AQ55-AQ62+AQ70-AQ77+AQ85-AQ92+0.000000001)</f>
        <v/>
      </c>
      <c r="AR48" s="11">
        <f>AR23*Inputs!$F$188*(AR40-AR47)/(AR25-AR32+AR40-AR47+AR55-AR62+AR70-AR77+AR85-AR92+0.000000001)</f>
        <v/>
      </c>
      <c r="AS48" s="11">
        <f>AS23*Inputs!$F$188*(AS40-AS47)/(AS25-AS32+AS40-AS47+AS55-AS62+AS70-AS77+AS85-AS92+0.000000001)</f>
        <v/>
      </c>
      <c r="AT48" s="11">
        <f>AT23*Inputs!$F$188*(AT40-AT47)/(AT25-AT32+AT40-AT47+AT55-AT62+AT70-AT77+AT85-AT92+0.000000001)</f>
        <v/>
      </c>
      <c r="AU48" s="11">
        <f>AU23*Inputs!$F$188*(AU40-AU47)/(AU25-AU32+AU40-AU47+AU55-AU62+AU70-AU77+AU85-AU92+0.000000001)</f>
        <v/>
      </c>
      <c r="AV48" s="11">
        <f>AV23*Inputs!$F$188*(AV40-AV47)/(AV25-AV32+AV40-AV47+AV55-AV62+AV70-AV77+AV85-AV92+0.000000001)</f>
        <v/>
      </c>
      <c r="AW48" s="11">
        <f>AW23*Inputs!$F$188*(AW40-AW47)/(AW25-AW32+AW40-AW47+AW55-AW62+AW70-AW77+AW85-AW92+0.000000001)</f>
        <v/>
      </c>
      <c r="AX48" s="11">
        <f>AX23*Inputs!$F$188*(AX40-AX47)/(AX25-AX32+AX40-AX47+AX55-AX62+AX70-AX77+AX85-AX92+0.000000001)</f>
        <v/>
      </c>
      <c r="AY48" s="11">
        <f>AY23*Inputs!$F$188*(AY40-AY47)/(AY25-AY32+AY40-AY47+AY55-AY62+AY70-AY77+AY85-AY92+0.000000001)</f>
        <v/>
      </c>
      <c r="AZ48" s="11">
        <f>AZ23*Inputs!$F$188*(AZ40-AZ47)/(AZ25-AZ32+AZ40-AZ47+AZ55-AZ62+AZ70-AZ77+AZ85-AZ92+0.000000001)</f>
        <v/>
      </c>
      <c r="BA48" s="11">
        <f>BA23*Inputs!$F$188*(BA40-BA47)/(BA25-BA32+BA40-BA47+BA55-BA62+BA70-BA77+BA85-BA92+0.000000001)</f>
        <v/>
      </c>
      <c r="BB48" s="11">
        <f>BB23*Inputs!$F$188*(BB40-BB47)/(BB25-BB32+BB40-BB47+BB55-BB62+BB70-BB77+BB85-BB92+0.000000001)</f>
        <v/>
      </c>
      <c r="BC48" s="11">
        <f>BC23*Inputs!$F$188*(BC40-BC47)/(BC25-BC32+BC40-BC47+BC55-BC62+BC70-BC77+BC85-BC92+0.000000001)</f>
        <v/>
      </c>
      <c r="BD48" s="11">
        <f>BD23*Inputs!$F$188*(BD40-BD47)/(BD25-BD32+BD40-BD47+BD55-BD62+BD70-BD77+BD85-BD92+0.000000001)</f>
        <v/>
      </c>
      <c r="BE48" s="11">
        <f>BE23*Inputs!$F$188*(BE40-BE47)/(BE25-BE32+BE40-BE47+BE55-BE62+BE70-BE77+BE85-BE92+0.000000001)</f>
        <v/>
      </c>
      <c r="BF48" s="11">
        <f>BF23*Inputs!$F$188*(BF40-BF47)/(BF25-BF32+BF40-BF47+BF55-BF62+BF70-BF77+BF85-BF92+0.000000001)</f>
        <v/>
      </c>
      <c r="BG48" s="11">
        <f>BG23*Inputs!$F$188*(BG40-BG47)/(BG25-BG32+BG40-BG47+BG55-BG62+BG70-BG77+BG85-BG92+0.000000001)</f>
        <v/>
      </c>
      <c r="BH48" s="11">
        <f>BH23*Inputs!$F$188*(BH40-BH47)/(BH25-BH32+BH40-BH47+BH55-BH62+BH70-BH77+BH85-BH92+0.000000001)</f>
        <v/>
      </c>
      <c r="BI48" s="11">
        <f>BI23*Inputs!$F$188*(BI40-BI47)/(BI25-BI32+BI40-BI47+BI55-BI62+BI70-BI77+BI85-BI92+0.000000001)</f>
        <v/>
      </c>
      <c r="BJ48" s="11">
        <f>BJ23*Inputs!$F$188*(BJ40-BJ47)/(BJ25-BJ32+BJ40-BJ47+BJ55-BJ62+BJ70-BJ77+BJ85-BJ92+0.000000001)</f>
        <v/>
      </c>
      <c r="BK48" s="11">
        <f>BK23*Inputs!$F$188*(BK40-BK47)/(BK25-BK32+BK40-BK47+BK55-BK62+BK70-BK77+BK85-BK92+0.000000001)</f>
        <v/>
      </c>
      <c r="BL48" s="11">
        <f>BL23*Inputs!$F$188*(BL40-BL47)/(BL25-BL32+BL40-BL47+BL55-BL62+BL70-BL77+BL85-BL92+0.000000001)</f>
        <v/>
      </c>
      <c r="BM48" s="11">
        <f>BM23*Inputs!$F$188*(BM40-BM47)/(BM25-BM32+BM40-BM47+BM55-BM62+BM70-BM77+BM85-BM92+0.000000001)</f>
        <v/>
      </c>
      <c r="BN48" s="11">
        <f>BN23*Inputs!$F$188*(BN40-BN47)/(BN25-BN32+BN40-BN47+BN55-BN62+BN70-BN77+BN85-BN92+0.000000001)</f>
        <v/>
      </c>
    </row>
    <row r="49">
      <c r="D49" t="inlineStr">
        <is>
          <t>Refinanced (prepaid from bond proceeds)</t>
        </is>
      </c>
      <c r="E49" t="inlineStr">
        <is>
          <t>USD m</t>
        </is>
      </c>
      <c r="G49" s="11">
        <f>SUM(J49:BN49)</f>
        <v/>
      </c>
      <c r="J49" s="11">
        <f>0</f>
        <v/>
      </c>
      <c r="K49" s="11">
        <f>0</f>
        <v/>
      </c>
      <c r="L49" s="11">
        <f>0</f>
        <v/>
      </c>
      <c r="M49" s="11">
        <f>0</f>
        <v/>
      </c>
      <c r="N49" s="11">
        <f>0</f>
        <v/>
      </c>
      <c r="O49" s="11">
        <f>0</f>
        <v/>
      </c>
      <c r="P49" s="11">
        <f>0</f>
        <v/>
      </c>
      <c r="Q49" s="11">
        <f>0</f>
        <v/>
      </c>
      <c r="R49" s="11">
        <f>0</f>
        <v/>
      </c>
      <c r="S49" s="11">
        <f>0</f>
        <v/>
      </c>
      <c r="T49" s="11">
        <f>0</f>
        <v/>
      </c>
      <c r="U49" s="11">
        <f>0</f>
        <v/>
      </c>
      <c r="V49" s="11">
        <f>0</f>
        <v/>
      </c>
      <c r="W49" s="11">
        <f>0</f>
        <v/>
      </c>
      <c r="X49" s="11">
        <f>0</f>
        <v/>
      </c>
      <c r="Y49" s="11">
        <f>0</f>
        <v/>
      </c>
      <c r="Z49" s="11">
        <f>0</f>
        <v/>
      </c>
      <c r="AA49" s="11">
        <f>0</f>
        <v/>
      </c>
      <c r="AB49" s="11">
        <f>0</f>
        <v/>
      </c>
      <c r="AC49" s="11">
        <f>0</f>
        <v/>
      </c>
      <c r="AD49" s="11">
        <f>0</f>
        <v/>
      </c>
      <c r="AE49" s="11">
        <f>0</f>
        <v/>
      </c>
      <c r="AF49" s="11">
        <f>0</f>
        <v/>
      </c>
      <c r="AG49" s="11">
        <f>0</f>
        <v/>
      </c>
      <c r="AH49" s="11">
        <f>0</f>
        <v/>
      </c>
      <c r="AI49" s="11">
        <f>0</f>
        <v/>
      </c>
      <c r="AJ49" s="11">
        <f>0</f>
        <v/>
      </c>
      <c r="AK49" s="11">
        <f>0</f>
        <v/>
      </c>
      <c r="AL49" s="11">
        <f>0</f>
        <v/>
      </c>
      <c r="AM49" s="11">
        <f>0</f>
        <v/>
      </c>
      <c r="AN49" s="11">
        <f>0</f>
        <v/>
      </c>
      <c r="AO49" s="11">
        <f>0</f>
        <v/>
      </c>
      <c r="AP49" s="11">
        <f>0</f>
        <v/>
      </c>
      <c r="AQ49" s="11">
        <f>0</f>
        <v/>
      </c>
      <c r="AR49" s="11">
        <f>0</f>
        <v/>
      </c>
      <c r="AS49" s="11">
        <f>0</f>
        <v/>
      </c>
      <c r="AT49" s="11">
        <f>0</f>
        <v/>
      </c>
      <c r="AU49" s="11">
        <f>0</f>
        <v/>
      </c>
      <c r="AV49" s="11">
        <f>0</f>
        <v/>
      </c>
      <c r="AW49" s="11">
        <f>0</f>
        <v/>
      </c>
      <c r="AX49" s="11">
        <f>0</f>
        <v/>
      </c>
      <c r="AY49" s="11">
        <f>0</f>
        <v/>
      </c>
      <c r="AZ49" s="11">
        <f>0</f>
        <v/>
      </c>
      <c r="BA49" s="11">
        <f>0</f>
        <v/>
      </c>
      <c r="BB49" s="11">
        <f>0</f>
        <v/>
      </c>
      <c r="BC49" s="11">
        <f>0</f>
        <v/>
      </c>
      <c r="BD49" s="11">
        <f>0</f>
        <v/>
      </c>
      <c r="BE49" s="11">
        <f>0</f>
        <v/>
      </c>
      <c r="BF49" s="11">
        <f>0</f>
        <v/>
      </c>
      <c r="BG49" s="11">
        <f>0</f>
        <v/>
      </c>
      <c r="BH49" s="11">
        <f>0</f>
        <v/>
      </c>
      <c r="BI49" s="11">
        <f>0</f>
        <v/>
      </c>
      <c r="BJ49" s="11">
        <f>0</f>
        <v/>
      </c>
      <c r="BK49" s="11">
        <f>0</f>
        <v/>
      </c>
      <c r="BL49" s="11">
        <f>0</f>
        <v/>
      </c>
      <c r="BM49" s="11">
        <f>0</f>
        <v/>
      </c>
      <c r="BN49" s="11">
        <f>0</f>
        <v/>
      </c>
    </row>
    <row r="50">
      <c r="D50" t="inlineStr">
        <is>
          <t>Deferred principal, closing</t>
        </is>
      </c>
      <c r="E50" t="inlineStr">
        <is>
          <t>USD m</t>
        </is>
      </c>
      <c r="J50" s="11">
        <f>J41+J44-J46</f>
        <v/>
      </c>
      <c r="K50" s="11">
        <f>K41+K44-K46</f>
        <v/>
      </c>
      <c r="L50" s="11">
        <f>L41+L44-L46</f>
        <v/>
      </c>
      <c r="M50" s="11">
        <f>M41+M44-M46</f>
        <v/>
      </c>
      <c r="N50" s="11">
        <f>N41+N44-N46</f>
        <v/>
      </c>
      <c r="O50" s="11">
        <f>O41+O44-O46</f>
        <v/>
      </c>
      <c r="P50" s="11">
        <f>P41+P44-P46</f>
        <v/>
      </c>
      <c r="Q50" s="11">
        <f>Q41+Q44-Q46</f>
        <v/>
      </c>
      <c r="R50" s="11">
        <f>R41+R44-R46</f>
        <v/>
      </c>
      <c r="S50" s="11">
        <f>S41+S44-S46</f>
        <v/>
      </c>
      <c r="T50" s="11">
        <f>T41+T44-T46</f>
        <v/>
      </c>
      <c r="U50" s="11">
        <f>U41+U44-U46</f>
        <v/>
      </c>
      <c r="V50" s="11">
        <f>V41+V44-V46</f>
        <v/>
      </c>
      <c r="W50" s="11">
        <f>W41+W44-W46</f>
        <v/>
      </c>
      <c r="X50" s="11">
        <f>X41+X44-X46</f>
        <v/>
      </c>
      <c r="Y50" s="11">
        <f>Y41+Y44-Y46</f>
        <v/>
      </c>
      <c r="Z50" s="11">
        <f>Z41+Z44-Z46</f>
        <v/>
      </c>
      <c r="AA50" s="11">
        <f>AA41+AA44-AA46</f>
        <v/>
      </c>
      <c r="AB50" s="11">
        <f>AB41+AB44-AB46</f>
        <v/>
      </c>
      <c r="AC50" s="11">
        <f>AC41+AC44-AC46</f>
        <v/>
      </c>
      <c r="AD50" s="11">
        <f>AD41+AD44-AD46</f>
        <v/>
      </c>
      <c r="AE50" s="11">
        <f>AE41+AE44-AE46</f>
        <v/>
      </c>
      <c r="AF50" s="11">
        <f>AF41+AF44-AF46</f>
        <v/>
      </c>
      <c r="AG50" s="11">
        <f>AG41+AG44-AG46</f>
        <v/>
      </c>
      <c r="AH50" s="11">
        <f>AH41+AH44-AH46</f>
        <v/>
      </c>
      <c r="AI50" s="11">
        <f>AI41+AI44-AI46</f>
        <v/>
      </c>
      <c r="AJ50" s="11">
        <f>AJ41+AJ44-AJ46</f>
        <v/>
      </c>
      <c r="AK50" s="11">
        <f>AK41+AK44-AK46</f>
        <v/>
      </c>
      <c r="AL50" s="11">
        <f>AL41+AL44-AL46</f>
        <v/>
      </c>
      <c r="AM50" s="11">
        <f>AM41+AM44-AM46</f>
        <v/>
      </c>
      <c r="AN50" s="11">
        <f>AN41+AN44-AN46</f>
        <v/>
      </c>
      <c r="AO50" s="11">
        <f>AO41+AO44-AO46</f>
        <v/>
      </c>
      <c r="AP50" s="11">
        <f>AP41+AP44-AP46</f>
        <v/>
      </c>
      <c r="AQ50" s="11">
        <f>AQ41+AQ44-AQ46</f>
        <v/>
      </c>
      <c r="AR50" s="11">
        <f>AR41+AR44-AR46</f>
        <v/>
      </c>
      <c r="AS50" s="11">
        <f>AS41+AS44-AS46</f>
        <v/>
      </c>
      <c r="AT50" s="11">
        <f>AT41+AT44-AT46</f>
        <v/>
      </c>
      <c r="AU50" s="11">
        <f>AU41+AU44-AU46</f>
        <v/>
      </c>
      <c r="AV50" s="11">
        <f>AV41+AV44-AV46</f>
        <v/>
      </c>
      <c r="AW50" s="11">
        <f>AW41+AW44-AW46</f>
        <v/>
      </c>
      <c r="AX50" s="11">
        <f>AX41+AX44-AX46</f>
        <v/>
      </c>
      <c r="AY50" s="11">
        <f>AY41+AY44-AY46</f>
        <v/>
      </c>
      <c r="AZ50" s="11">
        <f>AZ41+AZ44-AZ46</f>
        <v/>
      </c>
      <c r="BA50" s="11">
        <f>BA41+BA44-BA46</f>
        <v/>
      </c>
      <c r="BB50" s="11">
        <f>BB41+BB44-BB46</f>
        <v/>
      </c>
      <c r="BC50" s="11">
        <f>BC41+BC44-BC46</f>
        <v/>
      </c>
      <c r="BD50" s="11">
        <f>BD41+BD44-BD46</f>
        <v/>
      </c>
      <c r="BE50" s="11">
        <f>BE41+BE44-BE46</f>
        <v/>
      </c>
      <c r="BF50" s="11">
        <f>BF41+BF44-BF46</f>
        <v/>
      </c>
      <c r="BG50" s="11">
        <f>BG41+BG44-BG46</f>
        <v/>
      </c>
      <c r="BH50" s="11">
        <f>BH41+BH44-BH46</f>
        <v/>
      </c>
      <c r="BI50" s="11">
        <f>BI41+BI44-BI46</f>
        <v/>
      </c>
      <c r="BJ50" s="11">
        <f>BJ41+BJ44-BJ46</f>
        <v/>
      </c>
      <c r="BK50" s="11">
        <f>BK41+BK44-BK46</f>
        <v/>
      </c>
      <c r="BL50" s="11">
        <f>BL41+BL44-BL46</f>
        <v/>
      </c>
      <c r="BM50" s="11">
        <f>BM41+BM44-BM46</f>
        <v/>
      </c>
      <c r="BN50" s="11">
        <f>BN41+BN44-BN46</f>
        <v/>
      </c>
    </row>
    <row r="51">
      <c r="D51" t="inlineStr">
        <is>
          <t>Balance after scheduled payment, LDs and refinancing</t>
        </is>
      </c>
      <c r="E51" t="inlineStr">
        <is>
          <t>USD m</t>
        </is>
      </c>
      <c r="J51" s="11">
        <f>J40-J47-J48-J49</f>
        <v/>
      </c>
      <c r="K51" s="11">
        <f>K40-K47-K48-K49</f>
        <v/>
      </c>
      <c r="L51" s="11">
        <f>L40-L47-L48-L49</f>
        <v/>
      </c>
      <c r="M51" s="11">
        <f>M40-M47-M48-M49</f>
        <v/>
      </c>
      <c r="N51" s="11">
        <f>N40-N47-N48-N49</f>
        <v/>
      </c>
      <c r="O51" s="11">
        <f>O40-O47-O48-O49</f>
        <v/>
      </c>
      <c r="P51" s="11">
        <f>P40-P47-P48-P49</f>
        <v/>
      </c>
      <c r="Q51" s="11">
        <f>Q40-Q47-Q48-Q49</f>
        <v/>
      </c>
      <c r="R51" s="11">
        <f>R40-R47-R48-R49</f>
        <v/>
      </c>
      <c r="S51" s="11">
        <f>S40-S47-S48-S49</f>
        <v/>
      </c>
      <c r="T51" s="11">
        <f>T40-T47-T48-T49</f>
        <v/>
      </c>
      <c r="U51" s="11">
        <f>U40-U47-U48-U49</f>
        <v/>
      </c>
      <c r="V51" s="11">
        <f>V40-V47-V48-V49</f>
        <v/>
      </c>
      <c r="W51" s="11">
        <f>W40-W47-W48-W49</f>
        <v/>
      </c>
      <c r="X51" s="11">
        <f>X40-X47-X48-X49</f>
        <v/>
      </c>
      <c r="Y51" s="11">
        <f>Y40-Y47-Y48-Y49</f>
        <v/>
      </c>
      <c r="Z51" s="11">
        <f>Z40-Z47-Z48-Z49</f>
        <v/>
      </c>
      <c r="AA51" s="11">
        <f>AA40-AA47-AA48-AA49</f>
        <v/>
      </c>
      <c r="AB51" s="11">
        <f>AB40-AB47-AB48-AB49</f>
        <v/>
      </c>
      <c r="AC51" s="11">
        <f>AC40-AC47-AC48-AC49</f>
        <v/>
      </c>
      <c r="AD51" s="11">
        <f>AD40-AD47-AD48-AD49</f>
        <v/>
      </c>
      <c r="AE51" s="11">
        <f>AE40-AE47-AE48-AE49</f>
        <v/>
      </c>
      <c r="AF51" s="11">
        <f>AF40-AF47-AF48-AF49</f>
        <v/>
      </c>
      <c r="AG51" s="11">
        <f>AG40-AG47-AG48-AG49</f>
        <v/>
      </c>
      <c r="AH51" s="11">
        <f>AH40-AH47-AH48-AH49</f>
        <v/>
      </c>
      <c r="AI51" s="11">
        <f>AI40-AI47-AI48-AI49</f>
        <v/>
      </c>
      <c r="AJ51" s="11">
        <f>AJ40-AJ47-AJ48-AJ49</f>
        <v/>
      </c>
      <c r="AK51" s="11">
        <f>AK40-AK47-AK48-AK49</f>
        <v/>
      </c>
      <c r="AL51" s="11">
        <f>AL40-AL47-AL48-AL49</f>
        <v/>
      </c>
      <c r="AM51" s="11">
        <f>AM40-AM47-AM48-AM49</f>
        <v/>
      </c>
      <c r="AN51" s="11">
        <f>AN40-AN47-AN48-AN49</f>
        <v/>
      </c>
      <c r="AO51" s="11">
        <f>AO40-AO47-AO48-AO49</f>
        <v/>
      </c>
      <c r="AP51" s="11">
        <f>AP40-AP47-AP48-AP49</f>
        <v/>
      </c>
      <c r="AQ51" s="11">
        <f>AQ40-AQ47-AQ48-AQ49</f>
        <v/>
      </c>
      <c r="AR51" s="11">
        <f>AR40-AR47-AR48-AR49</f>
        <v/>
      </c>
      <c r="AS51" s="11">
        <f>AS40-AS47-AS48-AS49</f>
        <v/>
      </c>
      <c r="AT51" s="11">
        <f>AT40-AT47-AT48-AT49</f>
        <v/>
      </c>
      <c r="AU51" s="11">
        <f>AU40-AU47-AU48-AU49</f>
        <v/>
      </c>
      <c r="AV51" s="11">
        <f>AV40-AV47-AV48-AV49</f>
        <v/>
      </c>
      <c r="AW51" s="11">
        <f>AW40-AW47-AW48-AW49</f>
        <v/>
      </c>
      <c r="AX51" s="11">
        <f>AX40-AX47-AX48-AX49</f>
        <v/>
      </c>
      <c r="AY51" s="11">
        <f>AY40-AY47-AY48-AY49</f>
        <v/>
      </c>
      <c r="AZ51" s="11">
        <f>AZ40-AZ47-AZ48-AZ49</f>
        <v/>
      </c>
      <c r="BA51" s="11">
        <f>BA40-BA47-BA48-BA49</f>
        <v/>
      </c>
      <c r="BB51" s="11">
        <f>BB40-BB47-BB48-BB49</f>
        <v/>
      </c>
      <c r="BC51" s="11">
        <f>BC40-BC47-BC48-BC49</f>
        <v/>
      </c>
      <c r="BD51" s="11">
        <f>BD40-BD47-BD48-BD49</f>
        <v/>
      </c>
      <c r="BE51" s="11">
        <f>BE40-BE47-BE48-BE49</f>
        <v/>
      </c>
      <c r="BF51" s="11">
        <f>BF40-BF47-BF48-BF49</f>
        <v/>
      </c>
      <c r="BG51" s="11">
        <f>BG40-BG47-BG48-BG49</f>
        <v/>
      </c>
      <c r="BH51" s="11">
        <f>BH40-BH47-BH48-BH49</f>
        <v/>
      </c>
      <c r="BI51" s="11">
        <f>BI40-BI47-BI48-BI49</f>
        <v/>
      </c>
      <c r="BJ51" s="11">
        <f>BJ40-BJ47-BJ48-BJ49</f>
        <v/>
      </c>
      <c r="BK51" s="11">
        <f>BK40-BK47-BK48-BK49</f>
        <v/>
      </c>
      <c r="BL51" s="11">
        <f>BL40-BL47-BL48-BL49</f>
        <v/>
      </c>
      <c r="BM51" s="11">
        <f>BM40-BM47-BM48-BM49</f>
        <v/>
      </c>
      <c r="BN51" s="11">
        <f>BN40-BN47-BN48-BN49</f>
        <v/>
      </c>
    </row>
    <row r="52">
      <c r="D52" t="inlineStr">
        <is>
          <t>Cash sweep prepayment</t>
        </is>
      </c>
      <c r="E52" t="inlineStr">
        <is>
          <t>USD m</t>
        </is>
      </c>
      <c r="G52" s="11">
        <f>SUM(J52:BN52)</f>
        <v/>
      </c>
      <c r="J52" s="11">
        <f>Waterfall!J28*J51/(J36+J51+J66+J81+J96+0.000000001)</f>
        <v/>
      </c>
      <c r="K52" s="11">
        <f>Waterfall!K28*K51/(K36+K51+K66+K81+K96+0.000000001)</f>
        <v/>
      </c>
      <c r="L52" s="11">
        <f>Waterfall!L28*L51/(L36+L51+L66+L81+L96+0.000000001)</f>
        <v/>
      </c>
      <c r="M52" s="11">
        <f>Waterfall!M28*M51/(M36+M51+M66+M81+M96+0.000000001)</f>
        <v/>
      </c>
      <c r="N52" s="11">
        <f>Waterfall!N28*N51/(N36+N51+N66+N81+N96+0.000000001)</f>
        <v/>
      </c>
      <c r="O52" s="11">
        <f>Waterfall!O28*O51/(O36+O51+O66+O81+O96+0.000000001)</f>
        <v/>
      </c>
      <c r="P52" s="11">
        <f>Waterfall!P28*P51/(P36+P51+P66+P81+P96+0.000000001)</f>
        <v/>
      </c>
      <c r="Q52" s="11">
        <f>Waterfall!Q28*Q51/(Q36+Q51+Q66+Q81+Q96+0.000000001)</f>
        <v/>
      </c>
      <c r="R52" s="11">
        <f>Waterfall!R28*R51/(R36+R51+R66+R81+R96+0.000000001)</f>
        <v/>
      </c>
      <c r="S52" s="11">
        <f>Waterfall!S28*S51/(S36+S51+S66+S81+S96+0.000000001)</f>
        <v/>
      </c>
      <c r="T52" s="11">
        <f>Waterfall!T28*T51/(T36+T51+T66+T81+T96+0.000000001)</f>
        <v/>
      </c>
      <c r="U52" s="11">
        <f>Waterfall!U28*U51/(U36+U51+U66+U81+U96+0.000000001)</f>
        <v/>
      </c>
      <c r="V52" s="11">
        <f>Waterfall!V28*V51/(V36+V51+V66+V81+V96+0.000000001)</f>
        <v/>
      </c>
      <c r="W52" s="11">
        <f>Waterfall!W28*W51/(W36+W51+W66+W81+W96+0.000000001)</f>
        <v/>
      </c>
      <c r="X52" s="11">
        <f>Waterfall!X28*X51/(X36+X51+X66+X81+X96+0.000000001)</f>
        <v/>
      </c>
      <c r="Y52" s="11">
        <f>Waterfall!Y28*Y51/(Y36+Y51+Y66+Y81+Y96+0.000000001)</f>
        <v/>
      </c>
      <c r="Z52" s="11">
        <f>Waterfall!Z28*Z51/(Z36+Z51+Z66+Z81+Z96+0.000000001)</f>
        <v/>
      </c>
      <c r="AA52" s="11">
        <f>Waterfall!AA28*AA51/(AA36+AA51+AA66+AA81+AA96+0.000000001)</f>
        <v/>
      </c>
      <c r="AB52" s="11">
        <f>Waterfall!AB28*AB51/(AB36+AB51+AB66+AB81+AB96+0.000000001)</f>
        <v/>
      </c>
      <c r="AC52" s="11">
        <f>Waterfall!AC28*AC51/(AC36+AC51+AC66+AC81+AC96+0.000000001)</f>
        <v/>
      </c>
      <c r="AD52" s="11">
        <f>Waterfall!AD28*AD51/(AD36+AD51+AD66+AD81+AD96+0.000000001)</f>
        <v/>
      </c>
      <c r="AE52" s="11">
        <f>Waterfall!AE28*AE51/(AE36+AE51+AE66+AE81+AE96+0.000000001)</f>
        <v/>
      </c>
      <c r="AF52" s="11">
        <f>Waterfall!AF28*AF51/(AF36+AF51+AF66+AF81+AF96+0.000000001)</f>
        <v/>
      </c>
      <c r="AG52" s="11">
        <f>Waterfall!AG28*AG51/(AG36+AG51+AG66+AG81+AG96+0.000000001)</f>
        <v/>
      </c>
      <c r="AH52" s="11">
        <f>Waterfall!AH28*AH51/(AH36+AH51+AH66+AH81+AH96+0.000000001)</f>
        <v/>
      </c>
      <c r="AI52" s="11">
        <f>Waterfall!AI28*AI51/(AI36+AI51+AI66+AI81+AI96+0.000000001)</f>
        <v/>
      </c>
      <c r="AJ52" s="11">
        <f>Waterfall!AJ28*AJ51/(AJ36+AJ51+AJ66+AJ81+AJ96+0.000000001)</f>
        <v/>
      </c>
      <c r="AK52" s="11">
        <f>Waterfall!AK28*AK51/(AK36+AK51+AK66+AK81+AK96+0.000000001)</f>
        <v/>
      </c>
      <c r="AL52" s="11">
        <f>Waterfall!AL28*AL51/(AL36+AL51+AL66+AL81+AL96+0.000000001)</f>
        <v/>
      </c>
      <c r="AM52" s="11">
        <f>Waterfall!AM28*AM51/(AM36+AM51+AM66+AM81+AM96+0.000000001)</f>
        <v/>
      </c>
      <c r="AN52" s="11">
        <f>Waterfall!AN28*AN51/(AN36+AN51+AN66+AN81+AN96+0.000000001)</f>
        <v/>
      </c>
      <c r="AO52" s="11">
        <f>Waterfall!AO28*AO51/(AO36+AO51+AO66+AO81+AO96+0.000000001)</f>
        <v/>
      </c>
      <c r="AP52" s="11">
        <f>Waterfall!AP28*AP51/(AP36+AP51+AP66+AP81+AP96+0.000000001)</f>
        <v/>
      </c>
      <c r="AQ52" s="11">
        <f>Waterfall!AQ28*AQ51/(AQ36+AQ51+AQ66+AQ81+AQ96+0.000000001)</f>
        <v/>
      </c>
      <c r="AR52" s="11">
        <f>Waterfall!AR28*AR51/(AR36+AR51+AR66+AR81+AR96+0.000000001)</f>
        <v/>
      </c>
      <c r="AS52" s="11">
        <f>Waterfall!AS28*AS51/(AS36+AS51+AS66+AS81+AS96+0.000000001)</f>
        <v/>
      </c>
      <c r="AT52" s="11">
        <f>Waterfall!AT28*AT51/(AT36+AT51+AT66+AT81+AT96+0.000000001)</f>
        <v/>
      </c>
      <c r="AU52" s="11">
        <f>Waterfall!AU28*AU51/(AU36+AU51+AU66+AU81+AU96+0.000000001)</f>
        <v/>
      </c>
      <c r="AV52" s="11">
        <f>Waterfall!AV28*AV51/(AV36+AV51+AV66+AV81+AV96+0.000000001)</f>
        <v/>
      </c>
      <c r="AW52" s="11">
        <f>Waterfall!AW28*AW51/(AW36+AW51+AW66+AW81+AW96+0.000000001)</f>
        <v/>
      </c>
      <c r="AX52" s="11">
        <f>Waterfall!AX28*AX51/(AX36+AX51+AX66+AX81+AX96+0.000000001)</f>
        <v/>
      </c>
      <c r="AY52" s="11">
        <f>Waterfall!AY28*AY51/(AY36+AY51+AY66+AY81+AY96+0.000000001)</f>
        <v/>
      </c>
      <c r="AZ52" s="11">
        <f>Waterfall!AZ28*AZ51/(AZ36+AZ51+AZ66+AZ81+AZ96+0.000000001)</f>
        <v/>
      </c>
      <c r="BA52" s="11">
        <f>Waterfall!BA28*BA51/(BA36+BA51+BA66+BA81+BA96+0.000000001)</f>
        <v/>
      </c>
      <c r="BB52" s="11">
        <f>Waterfall!BB28*BB51/(BB36+BB51+BB66+BB81+BB96+0.000000001)</f>
        <v/>
      </c>
      <c r="BC52" s="11">
        <f>Waterfall!BC28*BC51/(BC36+BC51+BC66+BC81+BC96+0.000000001)</f>
        <v/>
      </c>
      <c r="BD52" s="11">
        <f>Waterfall!BD28*BD51/(BD36+BD51+BD66+BD81+BD96+0.000000001)</f>
        <v/>
      </c>
      <c r="BE52" s="11">
        <f>Waterfall!BE28*BE51/(BE36+BE51+BE66+BE81+BE96+0.000000001)</f>
        <v/>
      </c>
      <c r="BF52" s="11">
        <f>Waterfall!BF28*BF51/(BF36+BF51+BF66+BF81+BF96+0.000000001)</f>
        <v/>
      </c>
      <c r="BG52" s="11">
        <f>Waterfall!BG28*BG51/(BG36+BG51+BG66+BG81+BG96+0.000000001)</f>
        <v/>
      </c>
      <c r="BH52" s="11">
        <f>Waterfall!BH28*BH51/(BH36+BH51+BH66+BH81+BH96+0.000000001)</f>
        <v/>
      </c>
      <c r="BI52" s="11">
        <f>Waterfall!BI28*BI51/(BI36+BI51+BI66+BI81+BI96+0.000000001)</f>
        <v/>
      </c>
      <c r="BJ52" s="11">
        <f>Waterfall!BJ28*BJ51/(BJ36+BJ51+BJ66+BJ81+BJ96+0.000000001)</f>
        <v/>
      </c>
      <c r="BK52" s="11">
        <f>Waterfall!BK28*BK51/(BK36+BK51+BK66+BK81+BK96+0.000000001)</f>
        <v/>
      </c>
      <c r="BL52" s="11">
        <f>Waterfall!BL28*BL51/(BL36+BL51+BL66+BL81+BL96+0.000000001)</f>
        <v/>
      </c>
      <c r="BM52" s="11">
        <f>Waterfall!BM28*BM51/(BM36+BM51+BM66+BM81+BM96+0.000000001)</f>
        <v/>
      </c>
      <c r="BN52" s="11">
        <f>Waterfall!BN28*BN51/(BN36+BN51+BN66+BN81+BN96+0.000000001)</f>
        <v/>
      </c>
    </row>
    <row r="53">
      <c r="D53" t="inlineStr">
        <is>
          <t>Closing balance</t>
        </is>
      </c>
      <c r="E53" t="inlineStr">
        <is>
          <t>USD m</t>
        </is>
      </c>
      <c r="J53" s="11">
        <f>IF(Time!J29=1,INDEX(Funding!$J$62:$BJ$62,1,Time!$F$13),Time!J30*(J51-J52))</f>
        <v/>
      </c>
      <c r="K53" s="11">
        <f>IF(Time!K29=1,INDEX(Funding!$J$62:$BJ$62,1,Time!$F$13),Time!K30*(K51-K52))</f>
        <v/>
      </c>
      <c r="L53" s="11">
        <f>IF(Time!L29=1,INDEX(Funding!$J$62:$BJ$62,1,Time!$F$13),Time!L30*(L51-L52))</f>
        <v/>
      </c>
      <c r="M53" s="11">
        <f>IF(Time!M29=1,INDEX(Funding!$J$62:$BJ$62,1,Time!$F$13),Time!M30*(M51-M52))</f>
        <v/>
      </c>
      <c r="N53" s="11">
        <f>IF(Time!N29=1,INDEX(Funding!$J$62:$BJ$62,1,Time!$F$13),Time!N30*(N51-N52))</f>
        <v/>
      </c>
      <c r="O53" s="11">
        <f>IF(Time!O29=1,INDEX(Funding!$J$62:$BJ$62,1,Time!$F$13),Time!O30*(O51-O52))</f>
        <v/>
      </c>
      <c r="P53" s="11">
        <f>IF(Time!P29=1,INDEX(Funding!$J$62:$BJ$62,1,Time!$F$13),Time!P30*(P51-P52))</f>
        <v/>
      </c>
      <c r="Q53" s="11">
        <f>IF(Time!Q29=1,INDEX(Funding!$J$62:$BJ$62,1,Time!$F$13),Time!Q30*(Q51-Q52))</f>
        <v/>
      </c>
      <c r="R53" s="11">
        <f>IF(Time!R29=1,INDEX(Funding!$J$62:$BJ$62,1,Time!$F$13),Time!R30*(R51-R52))</f>
        <v/>
      </c>
      <c r="S53" s="11">
        <f>IF(Time!S29=1,INDEX(Funding!$J$62:$BJ$62,1,Time!$F$13),Time!S30*(S51-S52))</f>
        <v/>
      </c>
      <c r="T53" s="11">
        <f>IF(Time!T29=1,INDEX(Funding!$J$62:$BJ$62,1,Time!$F$13),Time!T30*(T51-T52))</f>
        <v/>
      </c>
      <c r="U53" s="11">
        <f>IF(Time!U29=1,INDEX(Funding!$J$62:$BJ$62,1,Time!$F$13),Time!U30*(U51-U52))</f>
        <v/>
      </c>
      <c r="V53" s="11">
        <f>IF(Time!V29=1,INDEX(Funding!$J$62:$BJ$62,1,Time!$F$13),Time!V30*(V51-V52))</f>
        <v/>
      </c>
      <c r="W53" s="11">
        <f>IF(Time!W29=1,INDEX(Funding!$J$62:$BJ$62,1,Time!$F$13),Time!W30*(W51-W52))</f>
        <v/>
      </c>
      <c r="X53" s="11">
        <f>IF(Time!X29=1,INDEX(Funding!$J$62:$BJ$62,1,Time!$F$13),Time!X30*(X51-X52))</f>
        <v/>
      </c>
      <c r="Y53" s="11">
        <f>IF(Time!Y29=1,INDEX(Funding!$J$62:$BJ$62,1,Time!$F$13),Time!Y30*(Y51-Y52))</f>
        <v/>
      </c>
      <c r="Z53" s="11">
        <f>IF(Time!Z29=1,INDEX(Funding!$J$62:$BJ$62,1,Time!$F$13),Time!Z30*(Z51-Z52))</f>
        <v/>
      </c>
      <c r="AA53" s="11">
        <f>IF(Time!AA29=1,INDEX(Funding!$J$62:$BJ$62,1,Time!$F$13),Time!AA30*(AA51-AA52))</f>
        <v/>
      </c>
      <c r="AB53" s="11">
        <f>IF(Time!AB29=1,INDEX(Funding!$J$62:$BJ$62,1,Time!$F$13),Time!AB30*(AB51-AB52))</f>
        <v/>
      </c>
      <c r="AC53" s="11">
        <f>IF(Time!AC29=1,INDEX(Funding!$J$62:$BJ$62,1,Time!$F$13),Time!AC30*(AC51-AC52))</f>
        <v/>
      </c>
      <c r="AD53" s="11">
        <f>IF(Time!AD29=1,INDEX(Funding!$J$62:$BJ$62,1,Time!$F$13),Time!AD30*(AD51-AD52))</f>
        <v/>
      </c>
      <c r="AE53" s="11">
        <f>IF(Time!AE29=1,INDEX(Funding!$J$62:$BJ$62,1,Time!$F$13),Time!AE30*(AE51-AE52))</f>
        <v/>
      </c>
      <c r="AF53" s="11">
        <f>IF(Time!AF29=1,INDEX(Funding!$J$62:$BJ$62,1,Time!$F$13),Time!AF30*(AF51-AF52))</f>
        <v/>
      </c>
      <c r="AG53" s="11">
        <f>IF(Time!AG29=1,INDEX(Funding!$J$62:$BJ$62,1,Time!$F$13),Time!AG30*(AG51-AG52))</f>
        <v/>
      </c>
      <c r="AH53" s="11">
        <f>IF(Time!AH29=1,INDEX(Funding!$J$62:$BJ$62,1,Time!$F$13),Time!AH30*(AH51-AH52))</f>
        <v/>
      </c>
      <c r="AI53" s="11">
        <f>IF(Time!AI29=1,INDEX(Funding!$J$62:$BJ$62,1,Time!$F$13),Time!AI30*(AI51-AI52))</f>
        <v/>
      </c>
      <c r="AJ53" s="11">
        <f>IF(Time!AJ29=1,INDEX(Funding!$J$62:$BJ$62,1,Time!$F$13),Time!AJ30*(AJ51-AJ52))</f>
        <v/>
      </c>
      <c r="AK53" s="11">
        <f>IF(Time!AK29=1,INDEX(Funding!$J$62:$BJ$62,1,Time!$F$13),Time!AK30*(AK51-AK52))</f>
        <v/>
      </c>
      <c r="AL53" s="11">
        <f>IF(Time!AL29=1,INDEX(Funding!$J$62:$BJ$62,1,Time!$F$13),Time!AL30*(AL51-AL52))</f>
        <v/>
      </c>
      <c r="AM53" s="11">
        <f>IF(Time!AM29=1,INDEX(Funding!$J$62:$BJ$62,1,Time!$F$13),Time!AM30*(AM51-AM52))</f>
        <v/>
      </c>
      <c r="AN53" s="11">
        <f>IF(Time!AN29=1,INDEX(Funding!$J$62:$BJ$62,1,Time!$F$13),Time!AN30*(AN51-AN52))</f>
        <v/>
      </c>
      <c r="AO53" s="11">
        <f>IF(Time!AO29=1,INDEX(Funding!$J$62:$BJ$62,1,Time!$F$13),Time!AO30*(AO51-AO52))</f>
        <v/>
      </c>
      <c r="AP53" s="11">
        <f>IF(Time!AP29=1,INDEX(Funding!$J$62:$BJ$62,1,Time!$F$13),Time!AP30*(AP51-AP52))</f>
        <v/>
      </c>
      <c r="AQ53" s="11">
        <f>IF(Time!AQ29=1,INDEX(Funding!$J$62:$BJ$62,1,Time!$F$13),Time!AQ30*(AQ51-AQ52))</f>
        <v/>
      </c>
      <c r="AR53" s="11">
        <f>IF(Time!AR29=1,INDEX(Funding!$J$62:$BJ$62,1,Time!$F$13),Time!AR30*(AR51-AR52))</f>
        <v/>
      </c>
      <c r="AS53" s="11">
        <f>IF(Time!AS29=1,INDEX(Funding!$J$62:$BJ$62,1,Time!$F$13),Time!AS30*(AS51-AS52))</f>
        <v/>
      </c>
      <c r="AT53" s="11">
        <f>IF(Time!AT29=1,INDEX(Funding!$J$62:$BJ$62,1,Time!$F$13),Time!AT30*(AT51-AT52))</f>
        <v/>
      </c>
      <c r="AU53" s="11">
        <f>IF(Time!AU29=1,INDEX(Funding!$J$62:$BJ$62,1,Time!$F$13),Time!AU30*(AU51-AU52))</f>
        <v/>
      </c>
      <c r="AV53" s="11">
        <f>IF(Time!AV29=1,INDEX(Funding!$J$62:$BJ$62,1,Time!$F$13),Time!AV30*(AV51-AV52))</f>
        <v/>
      </c>
      <c r="AW53" s="11">
        <f>IF(Time!AW29=1,INDEX(Funding!$J$62:$BJ$62,1,Time!$F$13),Time!AW30*(AW51-AW52))</f>
        <v/>
      </c>
      <c r="AX53" s="11">
        <f>IF(Time!AX29=1,INDEX(Funding!$J$62:$BJ$62,1,Time!$F$13),Time!AX30*(AX51-AX52))</f>
        <v/>
      </c>
      <c r="AY53" s="11">
        <f>IF(Time!AY29=1,INDEX(Funding!$J$62:$BJ$62,1,Time!$F$13),Time!AY30*(AY51-AY52))</f>
        <v/>
      </c>
      <c r="AZ53" s="11">
        <f>IF(Time!AZ29=1,INDEX(Funding!$J$62:$BJ$62,1,Time!$F$13),Time!AZ30*(AZ51-AZ52))</f>
        <v/>
      </c>
      <c r="BA53" s="11">
        <f>IF(Time!BA29=1,INDEX(Funding!$J$62:$BJ$62,1,Time!$F$13),Time!BA30*(BA51-BA52))</f>
        <v/>
      </c>
      <c r="BB53" s="11">
        <f>IF(Time!BB29=1,INDEX(Funding!$J$62:$BJ$62,1,Time!$F$13),Time!BB30*(BB51-BB52))</f>
        <v/>
      </c>
      <c r="BC53" s="11">
        <f>IF(Time!BC29=1,INDEX(Funding!$J$62:$BJ$62,1,Time!$F$13),Time!BC30*(BC51-BC52))</f>
        <v/>
      </c>
      <c r="BD53" s="11">
        <f>IF(Time!BD29=1,INDEX(Funding!$J$62:$BJ$62,1,Time!$F$13),Time!BD30*(BD51-BD52))</f>
        <v/>
      </c>
      <c r="BE53" s="11">
        <f>IF(Time!BE29=1,INDEX(Funding!$J$62:$BJ$62,1,Time!$F$13),Time!BE30*(BE51-BE52))</f>
        <v/>
      </c>
      <c r="BF53" s="11">
        <f>IF(Time!BF29=1,INDEX(Funding!$J$62:$BJ$62,1,Time!$F$13),Time!BF30*(BF51-BF52))</f>
        <v/>
      </c>
      <c r="BG53" s="11">
        <f>IF(Time!BG29=1,INDEX(Funding!$J$62:$BJ$62,1,Time!$F$13),Time!BG30*(BG51-BG52))</f>
        <v/>
      </c>
      <c r="BH53" s="11">
        <f>IF(Time!BH29=1,INDEX(Funding!$J$62:$BJ$62,1,Time!$F$13),Time!BH30*(BH51-BH52))</f>
        <v/>
      </c>
      <c r="BI53" s="11">
        <f>IF(Time!BI29=1,INDEX(Funding!$J$62:$BJ$62,1,Time!$F$13),Time!BI30*(BI51-BI52))</f>
        <v/>
      </c>
      <c r="BJ53" s="11">
        <f>IF(Time!BJ29=1,INDEX(Funding!$J$62:$BJ$62,1,Time!$F$13),Time!BJ30*(BJ51-BJ52))</f>
        <v/>
      </c>
      <c r="BK53" s="11">
        <f>IF(Time!BK29=1,INDEX(Funding!$J$62:$BJ$62,1,Time!$F$13),Time!BK30*(BK51-BK52))</f>
        <v/>
      </c>
      <c r="BL53" s="11">
        <f>IF(Time!BL29=1,INDEX(Funding!$J$62:$BJ$62,1,Time!$F$13),Time!BL30*(BL51-BL52))</f>
        <v/>
      </c>
      <c r="BM53" s="11">
        <f>IF(Time!BM29=1,INDEX(Funding!$J$62:$BJ$62,1,Time!$F$13),Time!BM30*(BM51-BM52))</f>
        <v/>
      </c>
      <c r="BN53" s="11">
        <f>IF(Time!BN29=1,INDEX(Funding!$J$62:$BJ$62,1,Time!$F$13),Time!BN30*(BN51-BN52))</f>
        <v/>
      </c>
    </row>
    <row r="54">
      <c r="B54" s="2" t="inlineStr">
        <is>
          <t>ABDB B-loan</t>
        </is>
      </c>
    </row>
    <row r="55">
      <c r="D55" t="inlineStr">
        <is>
          <t>Opening balance</t>
        </is>
      </c>
      <c r="E55" t="inlineStr">
        <is>
          <t>USD m</t>
        </is>
      </c>
      <c r="J55" s="11">
        <f>Time!J30*0</f>
        <v/>
      </c>
      <c r="K55" s="11">
        <f>Time!K30*J68</f>
        <v/>
      </c>
      <c r="L55" s="11">
        <f>Time!L30*K68</f>
        <v/>
      </c>
      <c r="M55" s="11">
        <f>Time!M30*L68</f>
        <v/>
      </c>
      <c r="N55" s="11">
        <f>Time!N30*M68</f>
        <v/>
      </c>
      <c r="O55" s="11">
        <f>Time!O30*N68</f>
        <v/>
      </c>
      <c r="P55" s="11">
        <f>Time!P30*O68</f>
        <v/>
      </c>
      <c r="Q55" s="11">
        <f>Time!Q30*P68</f>
        <v/>
      </c>
      <c r="R55" s="11">
        <f>Time!R30*Q68</f>
        <v/>
      </c>
      <c r="S55" s="11">
        <f>Time!S30*R68</f>
        <v/>
      </c>
      <c r="T55" s="11">
        <f>Time!T30*S68</f>
        <v/>
      </c>
      <c r="U55" s="11">
        <f>Time!U30*T68</f>
        <v/>
      </c>
      <c r="V55" s="11">
        <f>Time!V30*U68</f>
        <v/>
      </c>
      <c r="W55" s="11">
        <f>Time!W30*V68</f>
        <v/>
      </c>
      <c r="X55" s="11">
        <f>Time!X30*W68</f>
        <v/>
      </c>
      <c r="Y55" s="11">
        <f>Time!Y30*X68</f>
        <v/>
      </c>
      <c r="Z55" s="11">
        <f>Time!Z30*Y68</f>
        <v/>
      </c>
      <c r="AA55" s="11">
        <f>Time!AA30*Z68</f>
        <v/>
      </c>
      <c r="AB55" s="11">
        <f>Time!AB30*AA68</f>
        <v/>
      </c>
      <c r="AC55" s="11">
        <f>Time!AC30*AB68</f>
        <v/>
      </c>
      <c r="AD55" s="11">
        <f>Time!AD30*AC68</f>
        <v/>
      </c>
      <c r="AE55" s="11">
        <f>Time!AE30*AD68</f>
        <v/>
      </c>
      <c r="AF55" s="11">
        <f>Time!AF30*AE68</f>
        <v/>
      </c>
      <c r="AG55" s="11">
        <f>Time!AG30*AF68</f>
        <v/>
      </c>
      <c r="AH55" s="11">
        <f>Time!AH30*AG68</f>
        <v/>
      </c>
      <c r="AI55" s="11">
        <f>Time!AI30*AH68</f>
        <v/>
      </c>
      <c r="AJ55" s="11">
        <f>Time!AJ30*AI68</f>
        <v/>
      </c>
      <c r="AK55" s="11">
        <f>Time!AK30*AJ68</f>
        <v/>
      </c>
      <c r="AL55" s="11">
        <f>Time!AL30*AK68</f>
        <v/>
      </c>
      <c r="AM55" s="11">
        <f>Time!AM30*AL68</f>
        <v/>
      </c>
      <c r="AN55" s="11">
        <f>Time!AN30*AM68</f>
        <v/>
      </c>
      <c r="AO55" s="11">
        <f>Time!AO30*AN68</f>
        <v/>
      </c>
      <c r="AP55" s="11">
        <f>Time!AP30*AO68</f>
        <v/>
      </c>
      <c r="AQ55" s="11">
        <f>Time!AQ30*AP68</f>
        <v/>
      </c>
      <c r="AR55" s="11">
        <f>Time!AR30*AQ68</f>
        <v/>
      </c>
      <c r="AS55" s="11">
        <f>Time!AS30*AR68</f>
        <v/>
      </c>
      <c r="AT55" s="11">
        <f>Time!AT30*AS68</f>
        <v/>
      </c>
      <c r="AU55" s="11">
        <f>Time!AU30*AT68</f>
        <v/>
      </c>
      <c r="AV55" s="11">
        <f>Time!AV30*AU68</f>
        <v/>
      </c>
      <c r="AW55" s="11">
        <f>Time!AW30*AV68</f>
        <v/>
      </c>
      <c r="AX55" s="11">
        <f>Time!AX30*AW68</f>
        <v/>
      </c>
      <c r="AY55" s="11">
        <f>Time!AY30*AX68</f>
        <v/>
      </c>
      <c r="AZ55" s="11">
        <f>Time!AZ30*AY68</f>
        <v/>
      </c>
      <c r="BA55" s="11">
        <f>Time!BA30*AZ68</f>
        <v/>
      </c>
      <c r="BB55" s="11">
        <f>Time!BB30*BA68</f>
        <v/>
      </c>
      <c r="BC55" s="11">
        <f>Time!BC30*BB68</f>
        <v/>
      </c>
      <c r="BD55" s="11">
        <f>Time!BD30*BC68</f>
        <v/>
      </c>
      <c r="BE55" s="11">
        <f>Time!BE30*BD68</f>
        <v/>
      </c>
      <c r="BF55" s="11">
        <f>Time!BF30*BE68</f>
        <v/>
      </c>
      <c r="BG55" s="11">
        <f>Time!BG30*BF68</f>
        <v/>
      </c>
      <c r="BH55" s="11">
        <f>Time!BH30*BG68</f>
        <v/>
      </c>
      <c r="BI55" s="11">
        <f>Time!BI30*BH68</f>
        <v/>
      </c>
      <c r="BJ55" s="11">
        <f>Time!BJ30*BI68</f>
        <v/>
      </c>
      <c r="BK55" s="11">
        <f>Time!BK30*BJ68</f>
        <v/>
      </c>
      <c r="BL55" s="11">
        <f>Time!BL30*BK68</f>
        <v/>
      </c>
      <c r="BM55" s="11">
        <f>Time!BM30*BL68</f>
        <v/>
      </c>
      <c r="BN55" s="11">
        <f>Time!BN30*BM68</f>
        <v/>
      </c>
    </row>
    <row r="56">
      <c r="D56" t="inlineStr">
        <is>
          <t>Deferred principal, opening</t>
        </is>
      </c>
      <c r="E56" t="inlineStr">
        <is>
          <t>USD m</t>
        </is>
      </c>
      <c r="J56" s="11">
        <f>0</f>
        <v/>
      </c>
      <c r="K56" s="11">
        <f>J65</f>
        <v/>
      </c>
      <c r="L56" s="11">
        <f>K65</f>
        <v/>
      </c>
      <c r="M56" s="11">
        <f>L65</f>
        <v/>
      </c>
      <c r="N56" s="11">
        <f>M65</f>
        <v/>
      </c>
      <c r="O56" s="11">
        <f>N65</f>
        <v/>
      </c>
      <c r="P56" s="11">
        <f>O65</f>
        <v/>
      </c>
      <c r="Q56" s="11">
        <f>P65</f>
        <v/>
      </c>
      <c r="R56" s="11">
        <f>Q65</f>
        <v/>
      </c>
      <c r="S56" s="11">
        <f>R65</f>
        <v/>
      </c>
      <c r="T56" s="11">
        <f>S65</f>
        <v/>
      </c>
      <c r="U56" s="11">
        <f>T65</f>
        <v/>
      </c>
      <c r="V56" s="11">
        <f>U65</f>
        <v/>
      </c>
      <c r="W56" s="11">
        <f>V65</f>
        <v/>
      </c>
      <c r="X56" s="11">
        <f>W65</f>
        <v/>
      </c>
      <c r="Y56" s="11">
        <f>X65</f>
        <v/>
      </c>
      <c r="Z56" s="11">
        <f>Y65</f>
        <v/>
      </c>
      <c r="AA56" s="11">
        <f>Z65</f>
        <v/>
      </c>
      <c r="AB56" s="11">
        <f>AA65</f>
        <v/>
      </c>
      <c r="AC56" s="11">
        <f>AB65</f>
        <v/>
      </c>
      <c r="AD56" s="11">
        <f>AC65</f>
        <v/>
      </c>
      <c r="AE56" s="11">
        <f>AD65</f>
        <v/>
      </c>
      <c r="AF56" s="11">
        <f>AE65</f>
        <v/>
      </c>
      <c r="AG56" s="11">
        <f>AF65</f>
        <v/>
      </c>
      <c r="AH56" s="11">
        <f>AG65</f>
        <v/>
      </c>
      <c r="AI56" s="11">
        <f>AH65</f>
        <v/>
      </c>
      <c r="AJ56" s="11">
        <f>AI65</f>
        <v/>
      </c>
      <c r="AK56" s="11">
        <f>AJ65</f>
        <v/>
      </c>
      <c r="AL56" s="11">
        <f>AK65</f>
        <v/>
      </c>
      <c r="AM56" s="11">
        <f>AL65</f>
        <v/>
      </c>
      <c r="AN56" s="11">
        <f>AM65</f>
        <v/>
      </c>
      <c r="AO56" s="11">
        <f>AN65</f>
        <v/>
      </c>
      <c r="AP56" s="11">
        <f>AO65</f>
        <v/>
      </c>
      <c r="AQ56" s="11">
        <f>AP65</f>
        <v/>
      </c>
      <c r="AR56" s="11">
        <f>AQ65</f>
        <v/>
      </c>
      <c r="AS56" s="11">
        <f>AR65</f>
        <v/>
      </c>
      <c r="AT56" s="11">
        <f>AS65</f>
        <v/>
      </c>
      <c r="AU56" s="11">
        <f>AT65</f>
        <v/>
      </c>
      <c r="AV56" s="11">
        <f>AU65</f>
        <v/>
      </c>
      <c r="AW56" s="11">
        <f>AV65</f>
        <v/>
      </c>
      <c r="AX56" s="11">
        <f>AW65</f>
        <v/>
      </c>
      <c r="AY56" s="11">
        <f>AX65</f>
        <v/>
      </c>
      <c r="AZ56" s="11">
        <f>AY65</f>
        <v/>
      </c>
      <c r="BA56" s="11">
        <f>AZ65</f>
        <v/>
      </c>
      <c r="BB56" s="11">
        <f>BA65</f>
        <v/>
      </c>
      <c r="BC56" s="11">
        <f>BB65</f>
        <v/>
      </c>
      <c r="BD56" s="11">
        <f>BC65</f>
        <v/>
      </c>
      <c r="BE56" s="11">
        <f>BD65</f>
        <v/>
      </c>
      <c r="BF56" s="11">
        <f>BE65</f>
        <v/>
      </c>
      <c r="BG56" s="11">
        <f>BF65</f>
        <v/>
      </c>
      <c r="BH56" s="11">
        <f>BG65</f>
        <v/>
      </c>
      <c r="BI56" s="11">
        <f>BH65</f>
        <v/>
      </c>
      <c r="BJ56" s="11">
        <f>BI65</f>
        <v/>
      </c>
      <c r="BK56" s="11">
        <f>BJ65</f>
        <v/>
      </c>
      <c r="BL56" s="11">
        <f>BK65</f>
        <v/>
      </c>
      <c r="BM56" s="11">
        <f>BL65</f>
        <v/>
      </c>
      <c r="BN56" s="11">
        <f>BM65</f>
        <v/>
      </c>
    </row>
    <row r="57">
      <c r="D57" t="inlineStr">
        <is>
          <t>Interest (incl. WHT gross-up where applicable)</t>
        </is>
      </c>
      <c r="E57" t="inlineStr">
        <is>
          <t>USD m</t>
        </is>
      </c>
      <c r="G57" s="11">
        <f>SUM(J57:BN57)</f>
        <v/>
      </c>
      <c r="J57" s="11">
        <f>J55*J12</f>
        <v/>
      </c>
      <c r="K57" s="11">
        <f>K55*K12</f>
        <v/>
      </c>
      <c r="L57" s="11">
        <f>L55*L12</f>
        <v/>
      </c>
      <c r="M57" s="11">
        <f>M55*M12</f>
        <v/>
      </c>
      <c r="N57" s="11">
        <f>N55*N12</f>
        <v/>
      </c>
      <c r="O57" s="11">
        <f>O55*O12</f>
        <v/>
      </c>
      <c r="P57" s="11">
        <f>P55*P12</f>
        <v/>
      </c>
      <c r="Q57" s="11">
        <f>Q55*Q12</f>
        <v/>
      </c>
      <c r="R57" s="11">
        <f>R55*R12</f>
        <v/>
      </c>
      <c r="S57" s="11">
        <f>S55*S12</f>
        <v/>
      </c>
      <c r="T57" s="11">
        <f>T55*T12</f>
        <v/>
      </c>
      <c r="U57" s="11">
        <f>U55*U12</f>
        <v/>
      </c>
      <c r="V57" s="11">
        <f>V55*V12</f>
        <v/>
      </c>
      <c r="W57" s="11">
        <f>W55*W12</f>
        <v/>
      </c>
      <c r="X57" s="11">
        <f>X55*X12</f>
        <v/>
      </c>
      <c r="Y57" s="11">
        <f>Y55*Y12</f>
        <v/>
      </c>
      <c r="Z57" s="11">
        <f>Z55*Z12</f>
        <v/>
      </c>
      <c r="AA57" s="11">
        <f>AA55*AA12</f>
        <v/>
      </c>
      <c r="AB57" s="11">
        <f>AB55*AB12</f>
        <v/>
      </c>
      <c r="AC57" s="11">
        <f>AC55*AC12</f>
        <v/>
      </c>
      <c r="AD57" s="11">
        <f>AD55*AD12</f>
        <v/>
      </c>
      <c r="AE57" s="11">
        <f>AE55*AE12</f>
        <v/>
      </c>
      <c r="AF57" s="11">
        <f>AF55*AF12</f>
        <v/>
      </c>
      <c r="AG57" s="11">
        <f>AG55*AG12</f>
        <v/>
      </c>
      <c r="AH57" s="11">
        <f>AH55*AH12</f>
        <v/>
      </c>
      <c r="AI57" s="11">
        <f>AI55*AI12</f>
        <v/>
      </c>
      <c r="AJ57" s="11">
        <f>AJ55*AJ12</f>
        <v/>
      </c>
      <c r="AK57" s="11">
        <f>AK55*AK12</f>
        <v/>
      </c>
      <c r="AL57" s="11">
        <f>AL55*AL12</f>
        <v/>
      </c>
      <c r="AM57" s="11">
        <f>AM55*AM12</f>
        <v/>
      </c>
      <c r="AN57" s="11">
        <f>AN55*AN12</f>
        <v/>
      </c>
      <c r="AO57" s="11">
        <f>AO55*AO12</f>
        <v/>
      </c>
      <c r="AP57" s="11">
        <f>AP55*AP12</f>
        <v/>
      </c>
      <c r="AQ57" s="11">
        <f>AQ55*AQ12</f>
        <v/>
      </c>
      <c r="AR57" s="11">
        <f>AR55*AR12</f>
        <v/>
      </c>
      <c r="AS57" s="11">
        <f>AS55*AS12</f>
        <v/>
      </c>
      <c r="AT57" s="11">
        <f>AT55*AT12</f>
        <v/>
      </c>
      <c r="AU57" s="11">
        <f>AU55*AU12</f>
        <v/>
      </c>
      <c r="AV57" s="11">
        <f>AV55*AV12</f>
        <v/>
      </c>
      <c r="AW57" s="11">
        <f>AW55*AW12</f>
        <v/>
      </c>
      <c r="AX57" s="11">
        <f>AX55*AX12</f>
        <v/>
      </c>
      <c r="AY57" s="11">
        <f>AY55*AY12</f>
        <v/>
      </c>
      <c r="AZ57" s="11">
        <f>AZ55*AZ12</f>
        <v/>
      </c>
      <c r="BA57" s="11">
        <f>BA55*BA12</f>
        <v/>
      </c>
      <c r="BB57" s="11">
        <f>BB55*BB12</f>
        <v/>
      </c>
      <c r="BC57" s="11">
        <f>BC55*BC12</f>
        <v/>
      </c>
      <c r="BD57" s="11">
        <f>BD55*BD12</f>
        <v/>
      </c>
      <c r="BE57" s="11">
        <f>BE55*BE12</f>
        <v/>
      </c>
      <c r="BF57" s="11">
        <f>BF55*BF12</f>
        <v/>
      </c>
      <c r="BG57" s="11">
        <f>BG55*BG12</f>
        <v/>
      </c>
      <c r="BH57" s="11">
        <f>BH55*BH12</f>
        <v/>
      </c>
      <c r="BI57" s="11">
        <f>BI55*BI12</f>
        <v/>
      </c>
      <c r="BJ57" s="11">
        <f>BJ55*BJ12</f>
        <v/>
      </c>
      <c r="BK57" s="11">
        <f>BK55*BK12</f>
        <v/>
      </c>
      <c r="BL57" s="11">
        <f>BL55*BL12</f>
        <v/>
      </c>
      <c r="BM57" s="11">
        <f>BM55*BM12</f>
        <v/>
      </c>
      <c r="BN57" s="11">
        <f>BN55*BN12</f>
        <v/>
      </c>
    </row>
    <row r="58">
      <c r="D58" t="inlineStr">
        <is>
          <t>Scheduled principal per profile</t>
        </is>
      </c>
      <c r="E58" t="inlineStr">
        <is>
          <t>USD m</t>
        </is>
      </c>
      <c r="G58" s="11">
        <f>SUM(J58:BN58)</f>
        <v/>
      </c>
      <c r="J58" s="11">
        <f>Time!J30*(J55-J56)*J19</f>
        <v/>
      </c>
      <c r="K58" s="11">
        <f>Time!K30*(K55-K56)*K19</f>
        <v/>
      </c>
      <c r="L58" s="11">
        <f>Time!L30*(L55-L56)*L19</f>
        <v/>
      </c>
      <c r="M58" s="11">
        <f>Time!M30*(M55-M56)*M19</f>
        <v/>
      </c>
      <c r="N58" s="11">
        <f>Time!N30*(N55-N56)*N19</f>
        <v/>
      </c>
      <c r="O58" s="11">
        <f>Time!O30*(O55-O56)*O19</f>
        <v/>
      </c>
      <c r="P58" s="11">
        <f>Time!P30*(P55-P56)*P19</f>
        <v/>
      </c>
      <c r="Q58" s="11">
        <f>Time!Q30*(Q55-Q56)*Q19</f>
        <v/>
      </c>
      <c r="R58" s="11">
        <f>Time!R30*(R55-R56)*R19</f>
        <v/>
      </c>
      <c r="S58" s="11">
        <f>Time!S30*(S55-S56)*S19</f>
        <v/>
      </c>
      <c r="T58" s="11">
        <f>Time!T30*(T55-T56)*T19</f>
        <v/>
      </c>
      <c r="U58" s="11">
        <f>Time!U30*(U55-U56)*U19</f>
        <v/>
      </c>
      <c r="V58" s="11">
        <f>Time!V30*(V55-V56)*V19</f>
        <v/>
      </c>
      <c r="W58" s="11">
        <f>Time!W30*(W55-W56)*W19</f>
        <v/>
      </c>
      <c r="X58" s="11">
        <f>Time!X30*(X55-X56)*X19</f>
        <v/>
      </c>
      <c r="Y58" s="11">
        <f>Time!Y30*(Y55-Y56)*Y19</f>
        <v/>
      </c>
      <c r="Z58" s="11">
        <f>Time!Z30*(Z55-Z56)*Z19</f>
        <v/>
      </c>
      <c r="AA58" s="11">
        <f>Time!AA30*(AA55-AA56)*AA19</f>
        <v/>
      </c>
      <c r="AB58" s="11">
        <f>Time!AB30*(AB55-AB56)*AB19</f>
        <v/>
      </c>
      <c r="AC58" s="11">
        <f>Time!AC30*(AC55-AC56)*AC19</f>
        <v/>
      </c>
      <c r="AD58" s="11">
        <f>Time!AD30*(AD55-AD56)*AD19</f>
        <v/>
      </c>
      <c r="AE58" s="11">
        <f>Time!AE30*(AE55-AE56)*AE19</f>
        <v/>
      </c>
      <c r="AF58" s="11">
        <f>Time!AF30*(AF55-AF56)*AF19</f>
        <v/>
      </c>
      <c r="AG58" s="11">
        <f>Time!AG30*(AG55-AG56)*AG19</f>
        <v/>
      </c>
      <c r="AH58" s="11">
        <f>Time!AH30*(AH55-AH56)*AH19</f>
        <v/>
      </c>
      <c r="AI58" s="11">
        <f>Time!AI30*(AI55-AI56)*AI19</f>
        <v/>
      </c>
      <c r="AJ58" s="11">
        <f>Time!AJ30*(AJ55-AJ56)*AJ19</f>
        <v/>
      </c>
      <c r="AK58" s="11">
        <f>Time!AK30*(AK55-AK56)*AK19</f>
        <v/>
      </c>
      <c r="AL58" s="11">
        <f>Time!AL30*(AL55-AL56)*AL19</f>
        <v/>
      </c>
      <c r="AM58" s="11">
        <f>Time!AM30*(AM55-AM56)*AM19</f>
        <v/>
      </c>
      <c r="AN58" s="11">
        <f>Time!AN30*(AN55-AN56)*AN19</f>
        <v/>
      </c>
      <c r="AO58" s="11">
        <f>Time!AO30*(AO55-AO56)*AO19</f>
        <v/>
      </c>
      <c r="AP58" s="11">
        <f>Time!AP30*(AP55-AP56)*AP19</f>
        <v/>
      </c>
      <c r="AQ58" s="11">
        <f>Time!AQ30*(AQ55-AQ56)*AQ19</f>
        <v/>
      </c>
      <c r="AR58" s="11">
        <f>Time!AR30*(AR55-AR56)*AR19</f>
        <v/>
      </c>
      <c r="AS58" s="11">
        <f>Time!AS30*(AS55-AS56)*AS19</f>
        <v/>
      </c>
      <c r="AT58" s="11">
        <f>Time!AT30*(AT55-AT56)*AT19</f>
        <v/>
      </c>
      <c r="AU58" s="11">
        <f>Time!AU30*(AU55-AU56)*AU19</f>
        <v/>
      </c>
      <c r="AV58" s="11">
        <f>Time!AV30*(AV55-AV56)*AV19</f>
        <v/>
      </c>
      <c r="AW58" s="11">
        <f>Time!AW30*(AW55-AW56)*AW19</f>
        <v/>
      </c>
      <c r="AX58" s="11">
        <f>Time!AX30*(AX55-AX56)*AX19</f>
        <v/>
      </c>
      <c r="AY58" s="11">
        <f>Time!AY30*(AY55-AY56)*AY19</f>
        <v/>
      </c>
      <c r="AZ58" s="11">
        <f>Time!AZ30*(AZ55-AZ56)*AZ19</f>
        <v/>
      </c>
      <c r="BA58" s="11">
        <f>Time!BA30*(BA55-BA56)*BA19</f>
        <v/>
      </c>
      <c r="BB58" s="11">
        <f>Time!BB30*(BB55-BB56)*BB19</f>
        <v/>
      </c>
      <c r="BC58" s="11">
        <f>Time!BC30*(BC55-BC56)*BC19</f>
        <v/>
      </c>
      <c r="BD58" s="11">
        <f>Time!BD30*(BD55-BD56)*BD19</f>
        <v/>
      </c>
      <c r="BE58" s="11">
        <f>Time!BE30*(BE55-BE56)*BE19</f>
        <v/>
      </c>
      <c r="BF58" s="11">
        <f>Time!BF30*(BF55-BF56)*BF19</f>
        <v/>
      </c>
      <c r="BG58" s="11">
        <f>Time!BG30*(BG55-BG56)*BG19</f>
        <v/>
      </c>
      <c r="BH58" s="11">
        <f>Time!BH30*(BH55-BH56)*BH19</f>
        <v/>
      </c>
      <c r="BI58" s="11">
        <f>Time!BI30*(BI55-BI56)*BI19</f>
        <v/>
      </c>
      <c r="BJ58" s="11">
        <f>Time!BJ30*(BJ55-BJ56)*BJ19</f>
        <v/>
      </c>
      <c r="BK58" s="11">
        <f>Time!BK30*(BK55-BK56)*BK19</f>
        <v/>
      </c>
      <c r="BL58" s="11">
        <f>Time!BL30*(BL55-BL56)*BL19</f>
        <v/>
      </c>
      <c r="BM58" s="11">
        <f>Time!BM30*(BM55-BM56)*BM19</f>
        <v/>
      </c>
      <c r="BN58" s="11">
        <f>Time!BN30*(BN55-BN56)*BN19</f>
        <v/>
      </c>
    </row>
    <row r="59">
      <c r="D59" t="inlineStr">
        <is>
          <t>Principal deferred under the waiver</t>
        </is>
      </c>
      <c r="E59" t="inlineStr">
        <is>
          <t>USD m</t>
        </is>
      </c>
      <c r="G59" s="11">
        <f>SUM(J59:BN59)</f>
        <v/>
      </c>
      <c r="J59" s="11">
        <f>J21*Inputs!$F$191*J58</f>
        <v/>
      </c>
      <c r="K59" s="11">
        <f>K21*Inputs!$F$191*K58</f>
        <v/>
      </c>
      <c r="L59" s="11">
        <f>L21*Inputs!$F$191*L58</f>
        <v/>
      </c>
      <c r="M59" s="11">
        <f>M21*Inputs!$F$191*M58</f>
        <v/>
      </c>
      <c r="N59" s="11">
        <f>N21*Inputs!$F$191*N58</f>
        <v/>
      </c>
      <c r="O59" s="11">
        <f>O21*Inputs!$F$191*O58</f>
        <v/>
      </c>
      <c r="P59" s="11">
        <f>P21*Inputs!$F$191*P58</f>
        <v/>
      </c>
      <c r="Q59" s="11">
        <f>Q21*Inputs!$F$191*Q58</f>
        <v/>
      </c>
      <c r="R59" s="11">
        <f>R21*Inputs!$F$191*R58</f>
        <v/>
      </c>
      <c r="S59" s="11">
        <f>S21*Inputs!$F$191*S58</f>
        <v/>
      </c>
      <c r="T59" s="11">
        <f>T21*Inputs!$F$191*T58</f>
        <v/>
      </c>
      <c r="U59" s="11">
        <f>U21*Inputs!$F$191*U58</f>
        <v/>
      </c>
      <c r="V59" s="11">
        <f>V21*Inputs!$F$191*V58</f>
        <v/>
      </c>
      <c r="W59" s="11">
        <f>W21*Inputs!$F$191*W58</f>
        <v/>
      </c>
      <c r="X59" s="11">
        <f>X21*Inputs!$F$191*X58</f>
        <v/>
      </c>
      <c r="Y59" s="11">
        <f>Y21*Inputs!$F$191*Y58</f>
        <v/>
      </c>
      <c r="Z59" s="11">
        <f>Z21*Inputs!$F$191*Z58</f>
        <v/>
      </c>
      <c r="AA59" s="11">
        <f>AA21*Inputs!$F$191*AA58</f>
        <v/>
      </c>
      <c r="AB59" s="11">
        <f>AB21*Inputs!$F$191*AB58</f>
        <v/>
      </c>
      <c r="AC59" s="11">
        <f>AC21*Inputs!$F$191*AC58</f>
        <v/>
      </c>
      <c r="AD59" s="11">
        <f>AD21*Inputs!$F$191*AD58</f>
        <v/>
      </c>
      <c r="AE59" s="11">
        <f>AE21*Inputs!$F$191*AE58</f>
        <v/>
      </c>
      <c r="AF59" s="11">
        <f>AF21*Inputs!$F$191*AF58</f>
        <v/>
      </c>
      <c r="AG59" s="11">
        <f>AG21*Inputs!$F$191*AG58</f>
        <v/>
      </c>
      <c r="AH59" s="11">
        <f>AH21*Inputs!$F$191*AH58</f>
        <v/>
      </c>
      <c r="AI59" s="11">
        <f>AI21*Inputs!$F$191*AI58</f>
        <v/>
      </c>
      <c r="AJ59" s="11">
        <f>AJ21*Inputs!$F$191*AJ58</f>
        <v/>
      </c>
      <c r="AK59" s="11">
        <f>AK21*Inputs!$F$191*AK58</f>
        <v/>
      </c>
      <c r="AL59" s="11">
        <f>AL21*Inputs!$F$191*AL58</f>
        <v/>
      </c>
      <c r="AM59" s="11">
        <f>AM21*Inputs!$F$191*AM58</f>
        <v/>
      </c>
      <c r="AN59" s="11">
        <f>AN21*Inputs!$F$191*AN58</f>
        <v/>
      </c>
      <c r="AO59" s="11">
        <f>AO21*Inputs!$F$191*AO58</f>
        <v/>
      </c>
      <c r="AP59" s="11">
        <f>AP21*Inputs!$F$191*AP58</f>
        <v/>
      </c>
      <c r="AQ59" s="11">
        <f>AQ21*Inputs!$F$191*AQ58</f>
        <v/>
      </c>
      <c r="AR59" s="11">
        <f>AR21*Inputs!$F$191*AR58</f>
        <v/>
      </c>
      <c r="AS59" s="11">
        <f>AS21*Inputs!$F$191*AS58</f>
        <v/>
      </c>
      <c r="AT59" s="11">
        <f>AT21*Inputs!$F$191*AT58</f>
        <v/>
      </c>
      <c r="AU59" s="11">
        <f>AU21*Inputs!$F$191*AU58</f>
        <v/>
      </c>
      <c r="AV59" s="11">
        <f>AV21*Inputs!$F$191*AV58</f>
        <v/>
      </c>
      <c r="AW59" s="11">
        <f>AW21*Inputs!$F$191*AW58</f>
        <v/>
      </c>
      <c r="AX59" s="11">
        <f>AX21*Inputs!$F$191*AX58</f>
        <v/>
      </c>
      <c r="AY59" s="11">
        <f>AY21*Inputs!$F$191*AY58</f>
        <v/>
      </c>
      <c r="AZ59" s="11">
        <f>AZ21*Inputs!$F$191*AZ58</f>
        <v/>
      </c>
      <c r="BA59" s="11">
        <f>BA21*Inputs!$F$191*BA58</f>
        <v/>
      </c>
      <c r="BB59" s="11">
        <f>BB21*Inputs!$F$191*BB58</f>
        <v/>
      </c>
      <c r="BC59" s="11">
        <f>BC21*Inputs!$F$191*BC58</f>
        <v/>
      </c>
      <c r="BD59" s="11">
        <f>BD21*Inputs!$F$191*BD58</f>
        <v/>
      </c>
      <c r="BE59" s="11">
        <f>BE21*Inputs!$F$191*BE58</f>
        <v/>
      </c>
      <c r="BF59" s="11">
        <f>BF21*Inputs!$F$191*BF58</f>
        <v/>
      </c>
      <c r="BG59" s="11">
        <f>BG21*Inputs!$F$191*BG58</f>
        <v/>
      </c>
      <c r="BH59" s="11">
        <f>BH21*Inputs!$F$191*BH58</f>
        <v/>
      </c>
      <c r="BI59" s="11">
        <f>BI21*Inputs!$F$191*BI58</f>
        <v/>
      </c>
      <c r="BJ59" s="11">
        <f>BJ21*Inputs!$F$191*BJ58</f>
        <v/>
      </c>
      <c r="BK59" s="11">
        <f>BK21*Inputs!$F$191*BK58</f>
        <v/>
      </c>
      <c r="BL59" s="11">
        <f>BL21*Inputs!$F$191*BL58</f>
        <v/>
      </c>
      <c r="BM59" s="11">
        <f>BM21*Inputs!$F$191*BM58</f>
        <v/>
      </c>
      <c r="BN59" s="11">
        <f>BN21*Inputs!$F$191*BN58</f>
        <v/>
      </c>
    </row>
    <row r="60">
      <c r="D60" t="inlineStr">
        <is>
          <t>Deferred amount at 2023-12-31</t>
        </is>
      </c>
      <c r="E60" t="inlineStr">
        <is>
          <t>USD m</t>
        </is>
      </c>
      <c r="F60" s="15">
        <f>$T$59</f>
        <v/>
      </c>
    </row>
    <row r="61">
      <c r="D61" t="inlineStr">
        <is>
          <t>Deferred principal repaid</t>
        </is>
      </c>
      <c r="E61" t="inlineStr">
        <is>
          <t>USD m</t>
        </is>
      </c>
      <c r="G61" s="11">
        <f>SUM(J61:BN61)</f>
        <v/>
      </c>
      <c r="J61" s="11">
        <f>0</f>
        <v/>
      </c>
      <c r="K61" s="11">
        <f>0</f>
        <v/>
      </c>
      <c r="L61" s="11">
        <f>0</f>
        <v/>
      </c>
      <c r="M61" s="11">
        <f>0</f>
        <v/>
      </c>
      <c r="N61" s="11">
        <f>0</f>
        <v/>
      </c>
      <c r="O61" s="11">
        <f>0</f>
        <v/>
      </c>
      <c r="P61" s="11">
        <f>0</f>
        <v/>
      </c>
      <c r="Q61" s="11">
        <f>0</f>
        <v/>
      </c>
      <c r="R61" s="11">
        <f>0</f>
        <v/>
      </c>
      <c r="S61" s="11">
        <f>0</f>
        <v/>
      </c>
      <c r="T61" s="11">
        <f>0</f>
        <v/>
      </c>
      <c r="U61" s="11">
        <f>U22*MIN($F$60/4,U56)</f>
        <v/>
      </c>
      <c r="V61" s="11">
        <f>V22*MIN($F$60/4,V56)</f>
        <v/>
      </c>
      <c r="W61" s="11">
        <f>W22*MIN($F$60/4,W56)</f>
        <v/>
      </c>
      <c r="X61" s="11">
        <f>X22*MIN($F$60/4,X56)</f>
        <v/>
      </c>
      <c r="Y61" s="11">
        <f>0</f>
        <v/>
      </c>
      <c r="Z61" s="11">
        <f>0</f>
        <v/>
      </c>
      <c r="AA61" s="11">
        <f>0</f>
        <v/>
      </c>
      <c r="AB61" s="11">
        <f>0</f>
        <v/>
      </c>
      <c r="AC61" s="11">
        <f>0</f>
        <v/>
      </c>
      <c r="AD61" s="11">
        <f>0</f>
        <v/>
      </c>
      <c r="AE61" s="11">
        <f>0</f>
        <v/>
      </c>
      <c r="AF61" s="11">
        <f>0</f>
        <v/>
      </c>
      <c r="AG61" s="11">
        <f>0</f>
        <v/>
      </c>
      <c r="AH61" s="11">
        <f>0</f>
        <v/>
      </c>
      <c r="AI61" s="11">
        <f>0</f>
        <v/>
      </c>
      <c r="AJ61" s="11">
        <f>0</f>
        <v/>
      </c>
      <c r="AK61" s="11">
        <f>0</f>
        <v/>
      </c>
      <c r="AL61" s="11">
        <f>0</f>
        <v/>
      </c>
      <c r="AM61" s="11">
        <f>0</f>
        <v/>
      </c>
      <c r="AN61" s="11">
        <f>0</f>
        <v/>
      </c>
      <c r="AO61" s="11">
        <f>0</f>
        <v/>
      </c>
      <c r="AP61" s="11">
        <f>0</f>
        <v/>
      </c>
      <c r="AQ61" s="11">
        <f>0</f>
        <v/>
      </c>
      <c r="AR61" s="11">
        <f>0</f>
        <v/>
      </c>
      <c r="AS61" s="11">
        <f>0</f>
        <v/>
      </c>
      <c r="AT61" s="11">
        <f>0</f>
        <v/>
      </c>
      <c r="AU61" s="11">
        <f>0</f>
        <v/>
      </c>
      <c r="AV61" s="11">
        <f>0</f>
        <v/>
      </c>
      <c r="AW61" s="11">
        <f>0</f>
        <v/>
      </c>
      <c r="AX61" s="11">
        <f>0</f>
        <v/>
      </c>
      <c r="AY61" s="11">
        <f>0</f>
        <v/>
      </c>
      <c r="AZ61" s="11">
        <f>0</f>
        <v/>
      </c>
      <c r="BA61" s="11">
        <f>0</f>
        <v/>
      </c>
      <c r="BB61" s="11">
        <f>0</f>
        <v/>
      </c>
      <c r="BC61" s="11">
        <f>0</f>
        <v/>
      </c>
      <c r="BD61" s="11">
        <f>0</f>
        <v/>
      </c>
      <c r="BE61" s="11">
        <f>0</f>
        <v/>
      </c>
      <c r="BF61" s="11">
        <f>0</f>
        <v/>
      </c>
      <c r="BG61" s="11">
        <f>0</f>
        <v/>
      </c>
      <c r="BH61" s="11">
        <f>0</f>
        <v/>
      </c>
      <c r="BI61" s="11">
        <f>0</f>
        <v/>
      </c>
      <c r="BJ61" s="11">
        <f>0</f>
        <v/>
      </c>
      <c r="BK61" s="11">
        <f>0</f>
        <v/>
      </c>
      <c r="BL61" s="11">
        <f>0</f>
        <v/>
      </c>
      <c r="BM61" s="11">
        <f>0</f>
        <v/>
      </c>
      <c r="BN61" s="11">
        <f>0</f>
        <v/>
      </c>
    </row>
    <row r="62">
      <c r="D62" t="inlineStr">
        <is>
          <t>Principal paid</t>
        </is>
      </c>
      <c r="E62" t="inlineStr">
        <is>
          <t>USD m</t>
        </is>
      </c>
      <c r="G62" s="11">
        <f>SUM(J62:BN62)</f>
        <v/>
      </c>
      <c r="J62" s="11">
        <f>J58-J59+J61</f>
        <v/>
      </c>
      <c r="K62" s="11">
        <f>K58-K59+K61</f>
        <v/>
      </c>
      <c r="L62" s="11">
        <f>L58-L59+L61</f>
        <v/>
      </c>
      <c r="M62" s="11">
        <f>M58-M59+M61</f>
        <v/>
      </c>
      <c r="N62" s="11">
        <f>N58-N59+N61</f>
        <v/>
      </c>
      <c r="O62" s="11">
        <f>O58-O59+O61</f>
        <v/>
      </c>
      <c r="P62" s="11">
        <f>P58-P59+P61</f>
        <v/>
      </c>
      <c r="Q62" s="11">
        <f>Q58-Q59+Q61</f>
        <v/>
      </c>
      <c r="R62" s="11">
        <f>R58-R59+R61</f>
        <v/>
      </c>
      <c r="S62" s="11">
        <f>S58-S59+S61</f>
        <v/>
      </c>
      <c r="T62" s="11">
        <f>T58-T59+T61</f>
        <v/>
      </c>
      <c r="U62" s="11">
        <f>U58-U59+U61</f>
        <v/>
      </c>
      <c r="V62" s="11">
        <f>V58-V59+V61</f>
        <v/>
      </c>
      <c r="W62" s="11">
        <f>W58-W59+W61</f>
        <v/>
      </c>
      <c r="X62" s="11">
        <f>X58-X59+X61</f>
        <v/>
      </c>
      <c r="Y62" s="11">
        <f>Y58-Y59+Y61</f>
        <v/>
      </c>
      <c r="Z62" s="11">
        <f>Z58-Z59+Z61</f>
        <v/>
      </c>
      <c r="AA62" s="11">
        <f>AA58-AA59+AA61</f>
        <v/>
      </c>
      <c r="AB62" s="11">
        <f>AB58-AB59+AB61</f>
        <v/>
      </c>
      <c r="AC62" s="11">
        <f>AC58-AC59+AC61</f>
        <v/>
      </c>
      <c r="AD62" s="11">
        <f>AD58-AD59+AD61</f>
        <v/>
      </c>
      <c r="AE62" s="11">
        <f>AE58-AE59+AE61</f>
        <v/>
      </c>
      <c r="AF62" s="11">
        <f>AF58-AF59+AF61</f>
        <v/>
      </c>
      <c r="AG62" s="11">
        <f>AG58-AG59+AG61</f>
        <v/>
      </c>
      <c r="AH62" s="11">
        <f>AH58-AH59+AH61</f>
        <v/>
      </c>
      <c r="AI62" s="11">
        <f>AI58-AI59+AI61</f>
        <v/>
      </c>
      <c r="AJ62" s="11">
        <f>AJ58-AJ59+AJ61</f>
        <v/>
      </c>
      <c r="AK62" s="11">
        <f>AK58-AK59+AK61</f>
        <v/>
      </c>
      <c r="AL62" s="11">
        <f>AL58-AL59+AL61</f>
        <v/>
      </c>
      <c r="AM62" s="11">
        <f>AM58-AM59+AM61</f>
        <v/>
      </c>
      <c r="AN62" s="11">
        <f>AN58-AN59+AN61</f>
        <v/>
      </c>
      <c r="AO62" s="11">
        <f>AO58-AO59+AO61</f>
        <v/>
      </c>
      <c r="AP62" s="11">
        <f>AP58-AP59+AP61</f>
        <v/>
      </c>
      <c r="AQ62" s="11">
        <f>AQ58-AQ59+AQ61</f>
        <v/>
      </c>
      <c r="AR62" s="11">
        <f>AR58-AR59+AR61</f>
        <v/>
      </c>
      <c r="AS62" s="11">
        <f>AS58-AS59+AS61</f>
        <v/>
      </c>
      <c r="AT62" s="11">
        <f>AT58-AT59+AT61</f>
        <v/>
      </c>
      <c r="AU62" s="11">
        <f>AU58-AU59+AU61</f>
        <v/>
      </c>
      <c r="AV62" s="11">
        <f>AV58-AV59+AV61</f>
        <v/>
      </c>
      <c r="AW62" s="11">
        <f>AW58-AW59+AW61</f>
        <v/>
      </c>
      <c r="AX62" s="11">
        <f>AX58-AX59+AX61</f>
        <v/>
      </c>
      <c r="AY62" s="11">
        <f>AY58-AY59+AY61</f>
        <v/>
      </c>
      <c r="AZ62" s="11">
        <f>AZ58-AZ59+AZ61</f>
        <v/>
      </c>
      <c r="BA62" s="11">
        <f>BA58-BA59+BA61</f>
        <v/>
      </c>
      <c r="BB62" s="11">
        <f>BB58-BB59+BB61</f>
        <v/>
      </c>
      <c r="BC62" s="11">
        <f>BC58-BC59+BC61</f>
        <v/>
      </c>
      <c r="BD62" s="11">
        <f>BD58-BD59+BD61</f>
        <v/>
      </c>
      <c r="BE62" s="11">
        <f>BE58-BE59+BE61</f>
        <v/>
      </c>
      <c r="BF62" s="11">
        <f>BF58-BF59+BF61</f>
        <v/>
      </c>
      <c r="BG62" s="11">
        <f>BG58-BG59+BG61</f>
        <v/>
      </c>
      <c r="BH62" s="11">
        <f>BH58-BH59+BH61</f>
        <v/>
      </c>
      <c r="BI62" s="11">
        <f>BI58-BI59+BI61</f>
        <v/>
      </c>
      <c r="BJ62" s="11">
        <f>BJ58-BJ59+BJ61</f>
        <v/>
      </c>
      <c r="BK62" s="11">
        <f>BK58-BK59+BK61</f>
        <v/>
      </c>
      <c r="BL62" s="11">
        <f>BL58-BL59+BL61</f>
        <v/>
      </c>
      <c r="BM62" s="11">
        <f>BM58-BM59+BM61</f>
        <v/>
      </c>
      <c r="BN62" s="11">
        <f>BN58-BN59+BN61</f>
        <v/>
      </c>
    </row>
    <row r="63">
      <c r="D63" t="inlineStr">
        <is>
          <t>Performance LD prepayment</t>
        </is>
      </c>
      <c r="E63" t="inlineStr">
        <is>
          <t>USD m</t>
        </is>
      </c>
      <c r="G63" s="11">
        <f>SUM(J63:BN63)</f>
        <v/>
      </c>
      <c r="J63" s="11">
        <f>J23*Inputs!$F$188*(J55-J62)/(J25-J32+J40-J47+J55-J62+J70-J77+J85-J92+0.000000001)</f>
        <v/>
      </c>
      <c r="K63" s="11">
        <f>K23*Inputs!$F$188*(K55-K62)/(K25-K32+K40-K47+K55-K62+K70-K77+K85-K92+0.000000001)</f>
        <v/>
      </c>
      <c r="L63" s="11">
        <f>L23*Inputs!$F$188*(L55-L62)/(L25-L32+L40-L47+L55-L62+L70-L77+L85-L92+0.000000001)</f>
        <v/>
      </c>
      <c r="M63" s="11">
        <f>M23*Inputs!$F$188*(M55-M62)/(M25-M32+M40-M47+M55-M62+M70-M77+M85-M92+0.000000001)</f>
        <v/>
      </c>
      <c r="N63" s="11">
        <f>N23*Inputs!$F$188*(N55-N62)/(N25-N32+N40-N47+N55-N62+N70-N77+N85-N92+0.000000001)</f>
        <v/>
      </c>
      <c r="O63" s="11">
        <f>O23*Inputs!$F$188*(O55-O62)/(O25-O32+O40-O47+O55-O62+O70-O77+O85-O92+0.000000001)</f>
        <v/>
      </c>
      <c r="P63" s="11">
        <f>P23*Inputs!$F$188*(P55-P62)/(P25-P32+P40-P47+P55-P62+P70-P77+P85-P92+0.000000001)</f>
        <v/>
      </c>
      <c r="Q63" s="11">
        <f>Q23*Inputs!$F$188*(Q55-Q62)/(Q25-Q32+Q40-Q47+Q55-Q62+Q70-Q77+Q85-Q92+0.000000001)</f>
        <v/>
      </c>
      <c r="R63" s="11">
        <f>R23*Inputs!$F$188*(R55-R62)/(R25-R32+R40-R47+R55-R62+R70-R77+R85-R92+0.000000001)</f>
        <v/>
      </c>
      <c r="S63" s="11">
        <f>S23*Inputs!$F$188*(S55-S62)/(S25-S32+S40-S47+S55-S62+S70-S77+S85-S92+0.000000001)</f>
        <v/>
      </c>
      <c r="T63" s="11">
        <f>T23*Inputs!$F$188*(T55-T62)/(T25-T32+T40-T47+T55-T62+T70-T77+T85-T92+0.000000001)</f>
        <v/>
      </c>
      <c r="U63" s="11">
        <f>U23*Inputs!$F$188*(U55-U62)/(U25-U32+U40-U47+U55-U62+U70-U77+U85-U92+0.000000001)</f>
        <v/>
      </c>
      <c r="V63" s="11">
        <f>V23*Inputs!$F$188*(V55-V62)/(V25-V32+V40-V47+V55-V62+V70-V77+V85-V92+0.000000001)</f>
        <v/>
      </c>
      <c r="W63" s="11">
        <f>W23*Inputs!$F$188*(W55-W62)/(W25-W32+W40-W47+W55-W62+W70-W77+W85-W92+0.000000001)</f>
        <v/>
      </c>
      <c r="X63" s="11">
        <f>X23*Inputs!$F$188*(X55-X62)/(X25-X32+X40-X47+X55-X62+X70-X77+X85-X92+0.000000001)</f>
        <v/>
      </c>
      <c r="Y63" s="11">
        <f>Y23*Inputs!$F$188*(Y55-Y62)/(Y25-Y32+Y40-Y47+Y55-Y62+Y70-Y77+Y85-Y92+0.000000001)</f>
        <v/>
      </c>
      <c r="Z63" s="11">
        <f>Z23*Inputs!$F$188*(Z55-Z62)/(Z25-Z32+Z40-Z47+Z55-Z62+Z70-Z77+Z85-Z92+0.000000001)</f>
        <v/>
      </c>
      <c r="AA63" s="11">
        <f>AA23*Inputs!$F$188*(AA55-AA62)/(AA25-AA32+AA40-AA47+AA55-AA62+AA70-AA77+AA85-AA92+0.000000001)</f>
        <v/>
      </c>
      <c r="AB63" s="11">
        <f>AB23*Inputs!$F$188*(AB55-AB62)/(AB25-AB32+AB40-AB47+AB55-AB62+AB70-AB77+AB85-AB92+0.000000001)</f>
        <v/>
      </c>
      <c r="AC63" s="11">
        <f>AC23*Inputs!$F$188*(AC55-AC62)/(AC25-AC32+AC40-AC47+AC55-AC62+AC70-AC77+AC85-AC92+0.000000001)</f>
        <v/>
      </c>
      <c r="AD63" s="11">
        <f>AD23*Inputs!$F$188*(AD55-AD62)/(AD25-AD32+AD40-AD47+AD55-AD62+AD70-AD77+AD85-AD92+0.000000001)</f>
        <v/>
      </c>
      <c r="AE63" s="11">
        <f>AE23*Inputs!$F$188*(AE55-AE62)/(AE25-AE32+AE40-AE47+AE55-AE62+AE70-AE77+AE85-AE92+0.000000001)</f>
        <v/>
      </c>
      <c r="AF63" s="11">
        <f>AF23*Inputs!$F$188*(AF55-AF62)/(AF25-AF32+AF40-AF47+AF55-AF62+AF70-AF77+AF85-AF92+0.000000001)</f>
        <v/>
      </c>
      <c r="AG63" s="11">
        <f>AG23*Inputs!$F$188*(AG55-AG62)/(AG25-AG32+AG40-AG47+AG55-AG62+AG70-AG77+AG85-AG92+0.000000001)</f>
        <v/>
      </c>
      <c r="AH63" s="11">
        <f>AH23*Inputs!$F$188*(AH55-AH62)/(AH25-AH32+AH40-AH47+AH55-AH62+AH70-AH77+AH85-AH92+0.000000001)</f>
        <v/>
      </c>
      <c r="AI63" s="11">
        <f>AI23*Inputs!$F$188*(AI55-AI62)/(AI25-AI32+AI40-AI47+AI55-AI62+AI70-AI77+AI85-AI92+0.000000001)</f>
        <v/>
      </c>
      <c r="AJ63" s="11">
        <f>AJ23*Inputs!$F$188*(AJ55-AJ62)/(AJ25-AJ32+AJ40-AJ47+AJ55-AJ62+AJ70-AJ77+AJ85-AJ92+0.000000001)</f>
        <v/>
      </c>
      <c r="AK63" s="11">
        <f>AK23*Inputs!$F$188*(AK55-AK62)/(AK25-AK32+AK40-AK47+AK55-AK62+AK70-AK77+AK85-AK92+0.000000001)</f>
        <v/>
      </c>
      <c r="AL63" s="11">
        <f>AL23*Inputs!$F$188*(AL55-AL62)/(AL25-AL32+AL40-AL47+AL55-AL62+AL70-AL77+AL85-AL92+0.000000001)</f>
        <v/>
      </c>
      <c r="AM63" s="11">
        <f>AM23*Inputs!$F$188*(AM55-AM62)/(AM25-AM32+AM40-AM47+AM55-AM62+AM70-AM77+AM85-AM92+0.000000001)</f>
        <v/>
      </c>
      <c r="AN63" s="11">
        <f>AN23*Inputs!$F$188*(AN55-AN62)/(AN25-AN32+AN40-AN47+AN55-AN62+AN70-AN77+AN85-AN92+0.000000001)</f>
        <v/>
      </c>
      <c r="AO63" s="11">
        <f>AO23*Inputs!$F$188*(AO55-AO62)/(AO25-AO32+AO40-AO47+AO55-AO62+AO70-AO77+AO85-AO92+0.000000001)</f>
        <v/>
      </c>
      <c r="AP63" s="11">
        <f>AP23*Inputs!$F$188*(AP55-AP62)/(AP25-AP32+AP40-AP47+AP55-AP62+AP70-AP77+AP85-AP92+0.000000001)</f>
        <v/>
      </c>
      <c r="AQ63" s="11">
        <f>AQ23*Inputs!$F$188*(AQ55-AQ62)/(AQ25-AQ32+AQ40-AQ47+AQ55-AQ62+AQ70-AQ77+AQ85-AQ92+0.000000001)</f>
        <v/>
      </c>
      <c r="AR63" s="11">
        <f>AR23*Inputs!$F$188*(AR55-AR62)/(AR25-AR32+AR40-AR47+AR55-AR62+AR70-AR77+AR85-AR92+0.000000001)</f>
        <v/>
      </c>
      <c r="AS63" s="11">
        <f>AS23*Inputs!$F$188*(AS55-AS62)/(AS25-AS32+AS40-AS47+AS55-AS62+AS70-AS77+AS85-AS92+0.000000001)</f>
        <v/>
      </c>
      <c r="AT63" s="11">
        <f>AT23*Inputs!$F$188*(AT55-AT62)/(AT25-AT32+AT40-AT47+AT55-AT62+AT70-AT77+AT85-AT92+0.000000001)</f>
        <v/>
      </c>
      <c r="AU63" s="11">
        <f>AU23*Inputs!$F$188*(AU55-AU62)/(AU25-AU32+AU40-AU47+AU55-AU62+AU70-AU77+AU85-AU92+0.000000001)</f>
        <v/>
      </c>
      <c r="AV63" s="11">
        <f>AV23*Inputs!$F$188*(AV55-AV62)/(AV25-AV32+AV40-AV47+AV55-AV62+AV70-AV77+AV85-AV92+0.000000001)</f>
        <v/>
      </c>
      <c r="AW63" s="11">
        <f>AW23*Inputs!$F$188*(AW55-AW62)/(AW25-AW32+AW40-AW47+AW55-AW62+AW70-AW77+AW85-AW92+0.000000001)</f>
        <v/>
      </c>
      <c r="AX63" s="11">
        <f>AX23*Inputs!$F$188*(AX55-AX62)/(AX25-AX32+AX40-AX47+AX55-AX62+AX70-AX77+AX85-AX92+0.000000001)</f>
        <v/>
      </c>
      <c r="AY63" s="11">
        <f>AY23*Inputs!$F$188*(AY55-AY62)/(AY25-AY32+AY40-AY47+AY55-AY62+AY70-AY77+AY85-AY92+0.000000001)</f>
        <v/>
      </c>
      <c r="AZ63" s="11">
        <f>AZ23*Inputs!$F$188*(AZ55-AZ62)/(AZ25-AZ32+AZ40-AZ47+AZ55-AZ62+AZ70-AZ77+AZ85-AZ92+0.000000001)</f>
        <v/>
      </c>
      <c r="BA63" s="11">
        <f>BA23*Inputs!$F$188*(BA55-BA62)/(BA25-BA32+BA40-BA47+BA55-BA62+BA70-BA77+BA85-BA92+0.000000001)</f>
        <v/>
      </c>
      <c r="BB63" s="11">
        <f>BB23*Inputs!$F$188*(BB55-BB62)/(BB25-BB32+BB40-BB47+BB55-BB62+BB70-BB77+BB85-BB92+0.000000001)</f>
        <v/>
      </c>
      <c r="BC63" s="11">
        <f>BC23*Inputs!$F$188*(BC55-BC62)/(BC25-BC32+BC40-BC47+BC55-BC62+BC70-BC77+BC85-BC92+0.000000001)</f>
        <v/>
      </c>
      <c r="BD63" s="11">
        <f>BD23*Inputs!$F$188*(BD55-BD62)/(BD25-BD32+BD40-BD47+BD55-BD62+BD70-BD77+BD85-BD92+0.000000001)</f>
        <v/>
      </c>
      <c r="BE63" s="11">
        <f>BE23*Inputs!$F$188*(BE55-BE62)/(BE25-BE32+BE40-BE47+BE55-BE62+BE70-BE77+BE85-BE92+0.000000001)</f>
        <v/>
      </c>
      <c r="BF63" s="11">
        <f>BF23*Inputs!$F$188*(BF55-BF62)/(BF25-BF32+BF40-BF47+BF55-BF62+BF70-BF77+BF85-BF92+0.000000001)</f>
        <v/>
      </c>
      <c r="BG63" s="11">
        <f>BG23*Inputs!$F$188*(BG55-BG62)/(BG25-BG32+BG40-BG47+BG55-BG62+BG70-BG77+BG85-BG92+0.000000001)</f>
        <v/>
      </c>
      <c r="BH63" s="11">
        <f>BH23*Inputs!$F$188*(BH55-BH62)/(BH25-BH32+BH40-BH47+BH55-BH62+BH70-BH77+BH85-BH92+0.000000001)</f>
        <v/>
      </c>
      <c r="BI63" s="11">
        <f>BI23*Inputs!$F$188*(BI55-BI62)/(BI25-BI32+BI40-BI47+BI55-BI62+BI70-BI77+BI85-BI92+0.000000001)</f>
        <v/>
      </c>
      <c r="BJ63" s="11">
        <f>BJ23*Inputs!$F$188*(BJ55-BJ62)/(BJ25-BJ32+BJ40-BJ47+BJ55-BJ62+BJ70-BJ77+BJ85-BJ92+0.000000001)</f>
        <v/>
      </c>
      <c r="BK63" s="11">
        <f>BK23*Inputs!$F$188*(BK55-BK62)/(BK25-BK32+BK40-BK47+BK55-BK62+BK70-BK77+BK85-BK92+0.000000001)</f>
        <v/>
      </c>
      <c r="BL63" s="11">
        <f>BL23*Inputs!$F$188*(BL55-BL62)/(BL25-BL32+BL40-BL47+BL55-BL62+BL70-BL77+BL85-BL92+0.000000001)</f>
        <v/>
      </c>
      <c r="BM63" s="11">
        <f>BM23*Inputs!$F$188*(BM55-BM62)/(BM25-BM32+BM40-BM47+BM55-BM62+BM70-BM77+BM85-BM92+0.000000001)</f>
        <v/>
      </c>
      <c r="BN63" s="11">
        <f>BN23*Inputs!$F$188*(BN55-BN62)/(BN25-BN32+BN40-BN47+BN55-BN62+BN70-BN77+BN85-BN92+0.000000001)</f>
        <v/>
      </c>
    </row>
    <row r="64">
      <c r="D64" t="inlineStr">
        <is>
          <t>Refinanced (prepaid from bond proceeds)</t>
        </is>
      </c>
      <c r="E64" t="inlineStr">
        <is>
          <t>USD m</t>
        </is>
      </c>
      <c r="G64" s="11">
        <f>SUM(J64:BN64)</f>
        <v/>
      </c>
      <c r="J64" s="11">
        <f>J20*(J55-J62-J63)</f>
        <v/>
      </c>
      <c r="K64" s="11">
        <f>K20*(K55-K62-K63)</f>
        <v/>
      </c>
      <c r="L64" s="11">
        <f>L20*(L55-L62-L63)</f>
        <v/>
      </c>
      <c r="M64" s="11">
        <f>M20*(M55-M62-M63)</f>
        <v/>
      </c>
      <c r="N64" s="11">
        <f>N20*(N55-N62-N63)</f>
        <v/>
      </c>
      <c r="O64" s="11">
        <f>O20*(O55-O62-O63)</f>
        <v/>
      </c>
      <c r="P64" s="11">
        <f>P20*(P55-P62-P63)</f>
        <v/>
      </c>
      <c r="Q64" s="11">
        <f>Q20*(Q55-Q62-Q63)</f>
        <v/>
      </c>
      <c r="R64" s="11">
        <f>R20*(R55-R62-R63)</f>
        <v/>
      </c>
      <c r="S64" s="11">
        <f>S20*(S55-S62-S63)</f>
        <v/>
      </c>
      <c r="T64" s="11">
        <f>T20*(T55-T62-T63)</f>
        <v/>
      </c>
      <c r="U64" s="11">
        <f>U20*(U55-U62-U63)</f>
        <v/>
      </c>
      <c r="V64" s="11">
        <f>V20*(V55-V62-V63)</f>
        <v/>
      </c>
      <c r="W64" s="11">
        <f>W20*(W55-W62-W63)</f>
        <v/>
      </c>
      <c r="X64" s="11">
        <f>X20*(X55-X62-X63)</f>
        <v/>
      </c>
      <c r="Y64" s="11">
        <f>Y20*(Y55-Y62-Y63)</f>
        <v/>
      </c>
      <c r="Z64" s="11">
        <f>Z20*(Z55-Z62-Z63)</f>
        <v/>
      </c>
      <c r="AA64" s="11">
        <f>AA20*(AA55-AA62-AA63)</f>
        <v/>
      </c>
      <c r="AB64" s="11">
        <f>AB20*(AB55-AB62-AB63)</f>
        <v/>
      </c>
      <c r="AC64" s="11">
        <f>AC20*(AC55-AC62-AC63)</f>
        <v/>
      </c>
      <c r="AD64" s="11">
        <f>AD20*(AD55-AD62-AD63)</f>
        <v/>
      </c>
      <c r="AE64" s="11">
        <f>AE20*(AE55-AE62-AE63)</f>
        <v/>
      </c>
      <c r="AF64" s="11">
        <f>AF20*(AF55-AF62-AF63)</f>
        <v/>
      </c>
      <c r="AG64" s="11">
        <f>AG20*(AG55-AG62-AG63)</f>
        <v/>
      </c>
      <c r="AH64" s="11">
        <f>AH20*(AH55-AH62-AH63)</f>
        <v/>
      </c>
      <c r="AI64" s="11">
        <f>AI20*(AI55-AI62-AI63)</f>
        <v/>
      </c>
      <c r="AJ64" s="11">
        <f>AJ20*(AJ55-AJ62-AJ63)</f>
        <v/>
      </c>
      <c r="AK64" s="11">
        <f>AK20*(AK55-AK62-AK63)</f>
        <v/>
      </c>
      <c r="AL64" s="11">
        <f>AL20*(AL55-AL62-AL63)</f>
        <v/>
      </c>
      <c r="AM64" s="11">
        <f>AM20*(AM55-AM62-AM63)</f>
        <v/>
      </c>
      <c r="AN64" s="11">
        <f>AN20*(AN55-AN62-AN63)</f>
        <v/>
      </c>
      <c r="AO64" s="11">
        <f>AO20*(AO55-AO62-AO63)</f>
        <v/>
      </c>
      <c r="AP64" s="11">
        <f>AP20*(AP55-AP62-AP63)</f>
        <v/>
      </c>
      <c r="AQ64" s="11">
        <f>AQ20*(AQ55-AQ62-AQ63)</f>
        <v/>
      </c>
      <c r="AR64" s="11">
        <f>AR20*(AR55-AR62-AR63)</f>
        <v/>
      </c>
      <c r="AS64" s="11">
        <f>AS20*(AS55-AS62-AS63)</f>
        <v/>
      </c>
      <c r="AT64" s="11">
        <f>AT20*(AT55-AT62-AT63)</f>
        <v/>
      </c>
      <c r="AU64" s="11">
        <f>AU20*(AU55-AU62-AU63)</f>
        <v/>
      </c>
      <c r="AV64" s="11">
        <f>AV20*(AV55-AV62-AV63)</f>
        <v/>
      </c>
      <c r="AW64" s="11">
        <f>AW20*(AW55-AW62-AW63)</f>
        <v/>
      </c>
      <c r="AX64" s="11">
        <f>AX20*(AX55-AX62-AX63)</f>
        <v/>
      </c>
      <c r="AY64" s="11">
        <f>AY20*(AY55-AY62-AY63)</f>
        <v/>
      </c>
      <c r="AZ64" s="11">
        <f>AZ20*(AZ55-AZ62-AZ63)</f>
        <v/>
      </c>
      <c r="BA64" s="11">
        <f>BA20*(BA55-BA62-BA63)</f>
        <v/>
      </c>
      <c r="BB64" s="11">
        <f>BB20*(BB55-BB62-BB63)</f>
        <v/>
      </c>
      <c r="BC64" s="11">
        <f>BC20*(BC55-BC62-BC63)</f>
        <v/>
      </c>
      <c r="BD64" s="11">
        <f>BD20*(BD55-BD62-BD63)</f>
        <v/>
      </c>
      <c r="BE64" s="11">
        <f>BE20*(BE55-BE62-BE63)</f>
        <v/>
      </c>
      <c r="BF64" s="11">
        <f>BF20*(BF55-BF62-BF63)</f>
        <v/>
      </c>
      <c r="BG64" s="11">
        <f>BG20*(BG55-BG62-BG63)</f>
        <v/>
      </c>
      <c r="BH64" s="11">
        <f>BH20*(BH55-BH62-BH63)</f>
        <v/>
      </c>
      <c r="BI64" s="11">
        <f>BI20*(BI55-BI62-BI63)</f>
        <v/>
      </c>
      <c r="BJ64" s="11">
        <f>BJ20*(BJ55-BJ62-BJ63)</f>
        <v/>
      </c>
      <c r="BK64" s="11">
        <f>BK20*(BK55-BK62-BK63)</f>
        <v/>
      </c>
      <c r="BL64" s="11">
        <f>BL20*(BL55-BL62-BL63)</f>
        <v/>
      </c>
      <c r="BM64" s="11">
        <f>BM20*(BM55-BM62-BM63)</f>
        <v/>
      </c>
      <c r="BN64" s="11">
        <f>BN20*(BN55-BN62-BN63)</f>
        <v/>
      </c>
    </row>
    <row r="65">
      <c r="D65" t="inlineStr">
        <is>
          <t>Deferred principal, closing</t>
        </is>
      </c>
      <c r="E65" t="inlineStr">
        <is>
          <t>USD m</t>
        </is>
      </c>
      <c r="J65" s="11">
        <f>IF(J20=1,0,1)*(J56+J59-J61)</f>
        <v/>
      </c>
      <c r="K65" s="11">
        <f>IF(K20=1,0,1)*(K56+K59-K61)</f>
        <v/>
      </c>
      <c r="L65" s="11">
        <f>IF(L20=1,0,1)*(L56+L59-L61)</f>
        <v/>
      </c>
      <c r="M65" s="11">
        <f>IF(M20=1,0,1)*(M56+M59-M61)</f>
        <v/>
      </c>
      <c r="N65" s="11">
        <f>IF(N20=1,0,1)*(N56+N59-N61)</f>
        <v/>
      </c>
      <c r="O65" s="11">
        <f>IF(O20=1,0,1)*(O56+O59-O61)</f>
        <v/>
      </c>
      <c r="P65" s="11">
        <f>IF(P20=1,0,1)*(P56+P59-P61)</f>
        <v/>
      </c>
      <c r="Q65" s="11">
        <f>IF(Q20=1,0,1)*(Q56+Q59-Q61)</f>
        <v/>
      </c>
      <c r="R65" s="11">
        <f>IF(R20=1,0,1)*(R56+R59-R61)</f>
        <v/>
      </c>
      <c r="S65" s="11">
        <f>IF(S20=1,0,1)*(S56+S59-S61)</f>
        <v/>
      </c>
      <c r="T65" s="11">
        <f>IF(T20=1,0,1)*(T56+T59-T61)</f>
        <v/>
      </c>
      <c r="U65" s="11">
        <f>IF(U20=1,0,1)*(U56+U59-U61)</f>
        <v/>
      </c>
      <c r="V65" s="11">
        <f>IF(V20=1,0,1)*(V56+V59-V61)</f>
        <v/>
      </c>
      <c r="W65" s="11">
        <f>IF(W20=1,0,1)*(W56+W59-W61)</f>
        <v/>
      </c>
      <c r="X65" s="11">
        <f>IF(X20=1,0,1)*(X56+X59-X61)</f>
        <v/>
      </c>
      <c r="Y65" s="11">
        <f>IF(Y20=1,0,1)*(Y56+Y59-Y61)</f>
        <v/>
      </c>
      <c r="Z65" s="11">
        <f>IF(Z20=1,0,1)*(Z56+Z59-Z61)</f>
        <v/>
      </c>
      <c r="AA65" s="11">
        <f>IF(AA20=1,0,1)*(AA56+AA59-AA61)</f>
        <v/>
      </c>
      <c r="AB65" s="11">
        <f>IF(AB20=1,0,1)*(AB56+AB59-AB61)</f>
        <v/>
      </c>
      <c r="AC65" s="11">
        <f>IF(AC20=1,0,1)*(AC56+AC59-AC61)</f>
        <v/>
      </c>
      <c r="AD65" s="11">
        <f>IF(AD20=1,0,1)*(AD56+AD59-AD61)</f>
        <v/>
      </c>
      <c r="AE65" s="11">
        <f>IF(AE20=1,0,1)*(AE56+AE59-AE61)</f>
        <v/>
      </c>
      <c r="AF65" s="11">
        <f>IF(AF20=1,0,1)*(AF56+AF59-AF61)</f>
        <v/>
      </c>
      <c r="AG65" s="11">
        <f>IF(AG20=1,0,1)*(AG56+AG59-AG61)</f>
        <v/>
      </c>
      <c r="AH65" s="11">
        <f>IF(AH20=1,0,1)*(AH56+AH59-AH61)</f>
        <v/>
      </c>
      <c r="AI65" s="11">
        <f>IF(AI20=1,0,1)*(AI56+AI59-AI61)</f>
        <v/>
      </c>
      <c r="AJ65" s="11">
        <f>IF(AJ20=1,0,1)*(AJ56+AJ59-AJ61)</f>
        <v/>
      </c>
      <c r="AK65" s="11">
        <f>IF(AK20=1,0,1)*(AK56+AK59-AK61)</f>
        <v/>
      </c>
      <c r="AL65" s="11">
        <f>IF(AL20=1,0,1)*(AL56+AL59-AL61)</f>
        <v/>
      </c>
      <c r="AM65" s="11">
        <f>IF(AM20=1,0,1)*(AM56+AM59-AM61)</f>
        <v/>
      </c>
      <c r="AN65" s="11">
        <f>IF(AN20=1,0,1)*(AN56+AN59-AN61)</f>
        <v/>
      </c>
      <c r="AO65" s="11">
        <f>IF(AO20=1,0,1)*(AO56+AO59-AO61)</f>
        <v/>
      </c>
      <c r="AP65" s="11">
        <f>IF(AP20=1,0,1)*(AP56+AP59-AP61)</f>
        <v/>
      </c>
      <c r="AQ65" s="11">
        <f>IF(AQ20=1,0,1)*(AQ56+AQ59-AQ61)</f>
        <v/>
      </c>
      <c r="AR65" s="11">
        <f>IF(AR20=1,0,1)*(AR56+AR59-AR61)</f>
        <v/>
      </c>
      <c r="AS65" s="11">
        <f>IF(AS20=1,0,1)*(AS56+AS59-AS61)</f>
        <v/>
      </c>
      <c r="AT65" s="11">
        <f>IF(AT20=1,0,1)*(AT56+AT59-AT61)</f>
        <v/>
      </c>
      <c r="AU65" s="11">
        <f>IF(AU20=1,0,1)*(AU56+AU59-AU61)</f>
        <v/>
      </c>
      <c r="AV65" s="11">
        <f>IF(AV20=1,0,1)*(AV56+AV59-AV61)</f>
        <v/>
      </c>
      <c r="AW65" s="11">
        <f>IF(AW20=1,0,1)*(AW56+AW59-AW61)</f>
        <v/>
      </c>
      <c r="AX65" s="11">
        <f>IF(AX20=1,0,1)*(AX56+AX59-AX61)</f>
        <v/>
      </c>
      <c r="AY65" s="11">
        <f>IF(AY20=1,0,1)*(AY56+AY59-AY61)</f>
        <v/>
      </c>
      <c r="AZ65" s="11">
        <f>IF(AZ20=1,0,1)*(AZ56+AZ59-AZ61)</f>
        <v/>
      </c>
      <c r="BA65" s="11">
        <f>IF(BA20=1,0,1)*(BA56+BA59-BA61)</f>
        <v/>
      </c>
      <c r="BB65" s="11">
        <f>IF(BB20=1,0,1)*(BB56+BB59-BB61)</f>
        <v/>
      </c>
      <c r="BC65" s="11">
        <f>IF(BC20=1,0,1)*(BC56+BC59-BC61)</f>
        <v/>
      </c>
      <c r="BD65" s="11">
        <f>IF(BD20=1,0,1)*(BD56+BD59-BD61)</f>
        <v/>
      </c>
      <c r="BE65" s="11">
        <f>IF(BE20=1,0,1)*(BE56+BE59-BE61)</f>
        <v/>
      </c>
      <c r="BF65" s="11">
        <f>IF(BF20=1,0,1)*(BF56+BF59-BF61)</f>
        <v/>
      </c>
      <c r="BG65" s="11">
        <f>IF(BG20=1,0,1)*(BG56+BG59-BG61)</f>
        <v/>
      </c>
      <c r="BH65" s="11">
        <f>IF(BH20=1,0,1)*(BH56+BH59-BH61)</f>
        <v/>
      </c>
      <c r="BI65" s="11">
        <f>IF(BI20=1,0,1)*(BI56+BI59-BI61)</f>
        <v/>
      </c>
      <c r="BJ65" s="11">
        <f>IF(BJ20=1,0,1)*(BJ56+BJ59-BJ61)</f>
        <v/>
      </c>
      <c r="BK65" s="11">
        <f>IF(BK20=1,0,1)*(BK56+BK59-BK61)</f>
        <v/>
      </c>
      <c r="BL65" s="11">
        <f>IF(BL20=1,0,1)*(BL56+BL59-BL61)</f>
        <v/>
      </c>
      <c r="BM65" s="11">
        <f>IF(BM20=1,0,1)*(BM56+BM59-BM61)</f>
        <v/>
      </c>
      <c r="BN65" s="11">
        <f>IF(BN20=1,0,1)*(BN56+BN59-BN61)</f>
        <v/>
      </c>
    </row>
    <row r="66">
      <c r="D66" t="inlineStr">
        <is>
          <t>Balance after scheduled payment, LDs and refinancing</t>
        </is>
      </c>
      <c r="E66" t="inlineStr">
        <is>
          <t>USD m</t>
        </is>
      </c>
      <c r="J66" s="11">
        <f>J55-J62-J63-J64</f>
        <v/>
      </c>
      <c r="K66" s="11">
        <f>K55-K62-K63-K64</f>
        <v/>
      </c>
      <c r="L66" s="11">
        <f>L55-L62-L63-L64</f>
        <v/>
      </c>
      <c r="M66" s="11">
        <f>M55-M62-M63-M64</f>
        <v/>
      </c>
      <c r="N66" s="11">
        <f>N55-N62-N63-N64</f>
        <v/>
      </c>
      <c r="O66" s="11">
        <f>O55-O62-O63-O64</f>
        <v/>
      </c>
      <c r="P66" s="11">
        <f>P55-P62-P63-P64</f>
        <v/>
      </c>
      <c r="Q66" s="11">
        <f>Q55-Q62-Q63-Q64</f>
        <v/>
      </c>
      <c r="R66" s="11">
        <f>R55-R62-R63-R64</f>
        <v/>
      </c>
      <c r="S66" s="11">
        <f>S55-S62-S63-S64</f>
        <v/>
      </c>
      <c r="T66" s="11">
        <f>T55-T62-T63-T64</f>
        <v/>
      </c>
      <c r="U66" s="11">
        <f>U55-U62-U63-U64</f>
        <v/>
      </c>
      <c r="V66" s="11">
        <f>V55-V62-V63-V64</f>
        <v/>
      </c>
      <c r="W66" s="11">
        <f>W55-W62-W63-W64</f>
        <v/>
      </c>
      <c r="X66" s="11">
        <f>X55-X62-X63-X64</f>
        <v/>
      </c>
      <c r="Y66" s="11">
        <f>Y55-Y62-Y63-Y64</f>
        <v/>
      </c>
      <c r="Z66" s="11">
        <f>Z55-Z62-Z63-Z64</f>
        <v/>
      </c>
      <c r="AA66" s="11">
        <f>AA55-AA62-AA63-AA64</f>
        <v/>
      </c>
      <c r="AB66" s="11">
        <f>AB55-AB62-AB63-AB64</f>
        <v/>
      </c>
      <c r="AC66" s="11">
        <f>AC55-AC62-AC63-AC64</f>
        <v/>
      </c>
      <c r="AD66" s="11">
        <f>AD55-AD62-AD63-AD64</f>
        <v/>
      </c>
      <c r="AE66" s="11">
        <f>AE55-AE62-AE63-AE64</f>
        <v/>
      </c>
      <c r="AF66" s="11">
        <f>AF55-AF62-AF63-AF64</f>
        <v/>
      </c>
      <c r="AG66" s="11">
        <f>AG55-AG62-AG63-AG64</f>
        <v/>
      </c>
      <c r="AH66" s="11">
        <f>AH55-AH62-AH63-AH64</f>
        <v/>
      </c>
      <c r="AI66" s="11">
        <f>AI55-AI62-AI63-AI64</f>
        <v/>
      </c>
      <c r="AJ66" s="11">
        <f>AJ55-AJ62-AJ63-AJ64</f>
        <v/>
      </c>
      <c r="AK66" s="11">
        <f>AK55-AK62-AK63-AK64</f>
        <v/>
      </c>
      <c r="AL66" s="11">
        <f>AL55-AL62-AL63-AL64</f>
        <v/>
      </c>
      <c r="AM66" s="11">
        <f>AM55-AM62-AM63-AM64</f>
        <v/>
      </c>
      <c r="AN66" s="11">
        <f>AN55-AN62-AN63-AN64</f>
        <v/>
      </c>
      <c r="AO66" s="11">
        <f>AO55-AO62-AO63-AO64</f>
        <v/>
      </c>
      <c r="AP66" s="11">
        <f>AP55-AP62-AP63-AP64</f>
        <v/>
      </c>
      <c r="AQ66" s="11">
        <f>AQ55-AQ62-AQ63-AQ64</f>
        <v/>
      </c>
      <c r="AR66" s="11">
        <f>AR55-AR62-AR63-AR64</f>
        <v/>
      </c>
      <c r="AS66" s="11">
        <f>AS55-AS62-AS63-AS64</f>
        <v/>
      </c>
      <c r="AT66" s="11">
        <f>AT55-AT62-AT63-AT64</f>
        <v/>
      </c>
      <c r="AU66" s="11">
        <f>AU55-AU62-AU63-AU64</f>
        <v/>
      </c>
      <c r="AV66" s="11">
        <f>AV55-AV62-AV63-AV64</f>
        <v/>
      </c>
      <c r="AW66" s="11">
        <f>AW55-AW62-AW63-AW64</f>
        <v/>
      </c>
      <c r="AX66" s="11">
        <f>AX55-AX62-AX63-AX64</f>
        <v/>
      </c>
      <c r="AY66" s="11">
        <f>AY55-AY62-AY63-AY64</f>
        <v/>
      </c>
      <c r="AZ66" s="11">
        <f>AZ55-AZ62-AZ63-AZ64</f>
        <v/>
      </c>
      <c r="BA66" s="11">
        <f>BA55-BA62-BA63-BA64</f>
        <v/>
      </c>
      <c r="BB66" s="11">
        <f>BB55-BB62-BB63-BB64</f>
        <v/>
      </c>
      <c r="BC66" s="11">
        <f>BC55-BC62-BC63-BC64</f>
        <v/>
      </c>
      <c r="BD66" s="11">
        <f>BD55-BD62-BD63-BD64</f>
        <v/>
      </c>
      <c r="BE66" s="11">
        <f>BE55-BE62-BE63-BE64</f>
        <v/>
      </c>
      <c r="BF66" s="11">
        <f>BF55-BF62-BF63-BF64</f>
        <v/>
      </c>
      <c r="BG66" s="11">
        <f>BG55-BG62-BG63-BG64</f>
        <v/>
      </c>
      <c r="BH66" s="11">
        <f>BH55-BH62-BH63-BH64</f>
        <v/>
      </c>
      <c r="BI66" s="11">
        <f>BI55-BI62-BI63-BI64</f>
        <v/>
      </c>
      <c r="BJ66" s="11">
        <f>BJ55-BJ62-BJ63-BJ64</f>
        <v/>
      </c>
      <c r="BK66" s="11">
        <f>BK55-BK62-BK63-BK64</f>
        <v/>
      </c>
      <c r="BL66" s="11">
        <f>BL55-BL62-BL63-BL64</f>
        <v/>
      </c>
      <c r="BM66" s="11">
        <f>BM55-BM62-BM63-BM64</f>
        <v/>
      </c>
      <c r="BN66" s="11">
        <f>BN55-BN62-BN63-BN64</f>
        <v/>
      </c>
    </row>
    <row r="67">
      <c r="D67" t="inlineStr">
        <is>
          <t>Cash sweep prepayment</t>
        </is>
      </c>
      <c r="E67" t="inlineStr">
        <is>
          <t>USD m</t>
        </is>
      </c>
      <c r="G67" s="11">
        <f>SUM(J67:BN67)</f>
        <v/>
      </c>
      <c r="J67" s="11">
        <f>Waterfall!J28*J66/(J36+J51+J66+J81+J96+0.000000001)</f>
        <v/>
      </c>
      <c r="K67" s="11">
        <f>Waterfall!K28*K66/(K36+K51+K66+K81+K96+0.000000001)</f>
        <v/>
      </c>
      <c r="L67" s="11">
        <f>Waterfall!L28*L66/(L36+L51+L66+L81+L96+0.000000001)</f>
        <v/>
      </c>
      <c r="M67" s="11">
        <f>Waterfall!M28*M66/(M36+M51+M66+M81+M96+0.000000001)</f>
        <v/>
      </c>
      <c r="N67" s="11">
        <f>Waterfall!N28*N66/(N36+N51+N66+N81+N96+0.000000001)</f>
        <v/>
      </c>
      <c r="O67" s="11">
        <f>Waterfall!O28*O66/(O36+O51+O66+O81+O96+0.000000001)</f>
        <v/>
      </c>
      <c r="P67" s="11">
        <f>Waterfall!P28*P66/(P36+P51+P66+P81+P96+0.000000001)</f>
        <v/>
      </c>
      <c r="Q67" s="11">
        <f>Waterfall!Q28*Q66/(Q36+Q51+Q66+Q81+Q96+0.000000001)</f>
        <v/>
      </c>
      <c r="R67" s="11">
        <f>Waterfall!R28*R66/(R36+R51+R66+R81+R96+0.000000001)</f>
        <v/>
      </c>
      <c r="S67" s="11">
        <f>Waterfall!S28*S66/(S36+S51+S66+S81+S96+0.000000001)</f>
        <v/>
      </c>
      <c r="T67" s="11">
        <f>Waterfall!T28*T66/(T36+T51+T66+T81+T96+0.000000001)</f>
        <v/>
      </c>
      <c r="U67" s="11">
        <f>Waterfall!U28*U66/(U36+U51+U66+U81+U96+0.000000001)</f>
        <v/>
      </c>
      <c r="V67" s="11">
        <f>Waterfall!V28*V66/(V36+V51+V66+V81+V96+0.000000001)</f>
        <v/>
      </c>
      <c r="W67" s="11">
        <f>Waterfall!W28*W66/(W36+W51+W66+W81+W96+0.000000001)</f>
        <v/>
      </c>
      <c r="X67" s="11">
        <f>Waterfall!X28*X66/(X36+X51+X66+X81+X96+0.000000001)</f>
        <v/>
      </c>
      <c r="Y67" s="11">
        <f>Waterfall!Y28*Y66/(Y36+Y51+Y66+Y81+Y96+0.000000001)</f>
        <v/>
      </c>
      <c r="Z67" s="11">
        <f>Waterfall!Z28*Z66/(Z36+Z51+Z66+Z81+Z96+0.000000001)</f>
        <v/>
      </c>
      <c r="AA67" s="11">
        <f>Waterfall!AA28*AA66/(AA36+AA51+AA66+AA81+AA96+0.000000001)</f>
        <v/>
      </c>
      <c r="AB67" s="11">
        <f>Waterfall!AB28*AB66/(AB36+AB51+AB66+AB81+AB96+0.000000001)</f>
        <v/>
      </c>
      <c r="AC67" s="11">
        <f>Waterfall!AC28*AC66/(AC36+AC51+AC66+AC81+AC96+0.000000001)</f>
        <v/>
      </c>
      <c r="AD67" s="11">
        <f>Waterfall!AD28*AD66/(AD36+AD51+AD66+AD81+AD96+0.000000001)</f>
        <v/>
      </c>
      <c r="AE67" s="11">
        <f>Waterfall!AE28*AE66/(AE36+AE51+AE66+AE81+AE96+0.000000001)</f>
        <v/>
      </c>
      <c r="AF67" s="11">
        <f>Waterfall!AF28*AF66/(AF36+AF51+AF66+AF81+AF96+0.000000001)</f>
        <v/>
      </c>
      <c r="AG67" s="11">
        <f>Waterfall!AG28*AG66/(AG36+AG51+AG66+AG81+AG96+0.000000001)</f>
        <v/>
      </c>
      <c r="AH67" s="11">
        <f>Waterfall!AH28*AH66/(AH36+AH51+AH66+AH81+AH96+0.000000001)</f>
        <v/>
      </c>
      <c r="AI67" s="11">
        <f>Waterfall!AI28*AI66/(AI36+AI51+AI66+AI81+AI96+0.000000001)</f>
        <v/>
      </c>
      <c r="AJ67" s="11">
        <f>Waterfall!AJ28*AJ66/(AJ36+AJ51+AJ66+AJ81+AJ96+0.000000001)</f>
        <v/>
      </c>
      <c r="AK67" s="11">
        <f>Waterfall!AK28*AK66/(AK36+AK51+AK66+AK81+AK96+0.000000001)</f>
        <v/>
      </c>
      <c r="AL67" s="11">
        <f>Waterfall!AL28*AL66/(AL36+AL51+AL66+AL81+AL96+0.000000001)</f>
        <v/>
      </c>
      <c r="AM67" s="11">
        <f>Waterfall!AM28*AM66/(AM36+AM51+AM66+AM81+AM96+0.000000001)</f>
        <v/>
      </c>
      <c r="AN67" s="11">
        <f>Waterfall!AN28*AN66/(AN36+AN51+AN66+AN81+AN96+0.000000001)</f>
        <v/>
      </c>
      <c r="AO67" s="11">
        <f>Waterfall!AO28*AO66/(AO36+AO51+AO66+AO81+AO96+0.000000001)</f>
        <v/>
      </c>
      <c r="AP67" s="11">
        <f>Waterfall!AP28*AP66/(AP36+AP51+AP66+AP81+AP96+0.000000001)</f>
        <v/>
      </c>
      <c r="AQ67" s="11">
        <f>Waterfall!AQ28*AQ66/(AQ36+AQ51+AQ66+AQ81+AQ96+0.000000001)</f>
        <v/>
      </c>
      <c r="AR67" s="11">
        <f>Waterfall!AR28*AR66/(AR36+AR51+AR66+AR81+AR96+0.000000001)</f>
        <v/>
      </c>
      <c r="AS67" s="11">
        <f>Waterfall!AS28*AS66/(AS36+AS51+AS66+AS81+AS96+0.000000001)</f>
        <v/>
      </c>
      <c r="AT67" s="11">
        <f>Waterfall!AT28*AT66/(AT36+AT51+AT66+AT81+AT96+0.000000001)</f>
        <v/>
      </c>
      <c r="AU67" s="11">
        <f>Waterfall!AU28*AU66/(AU36+AU51+AU66+AU81+AU96+0.000000001)</f>
        <v/>
      </c>
      <c r="AV67" s="11">
        <f>Waterfall!AV28*AV66/(AV36+AV51+AV66+AV81+AV96+0.000000001)</f>
        <v/>
      </c>
      <c r="AW67" s="11">
        <f>Waterfall!AW28*AW66/(AW36+AW51+AW66+AW81+AW96+0.000000001)</f>
        <v/>
      </c>
      <c r="AX67" s="11">
        <f>Waterfall!AX28*AX66/(AX36+AX51+AX66+AX81+AX96+0.000000001)</f>
        <v/>
      </c>
      <c r="AY67" s="11">
        <f>Waterfall!AY28*AY66/(AY36+AY51+AY66+AY81+AY96+0.000000001)</f>
        <v/>
      </c>
      <c r="AZ67" s="11">
        <f>Waterfall!AZ28*AZ66/(AZ36+AZ51+AZ66+AZ81+AZ96+0.000000001)</f>
        <v/>
      </c>
      <c r="BA67" s="11">
        <f>Waterfall!BA28*BA66/(BA36+BA51+BA66+BA81+BA96+0.000000001)</f>
        <v/>
      </c>
      <c r="BB67" s="11">
        <f>Waterfall!BB28*BB66/(BB36+BB51+BB66+BB81+BB96+0.000000001)</f>
        <v/>
      </c>
      <c r="BC67" s="11">
        <f>Waterfall!BC28*BC66/(BC36+BC51+BC66+BC81+BC96+0.000000001)</f>
        <v/>
      </c>
      <c r="BD67" s="11">
        <f>Waterfall!BD28*BD66/(BD36+BD51+BD66+BD81+BD96+0.000000001)</f>
        <v/>
      </c>
      <c r="BE67" s="11">
        <f>Waterfall!BE28*BE66/(BE36+BE51+BE66+BE81+BE96+0.000000001)</f>
        <v/>
      </c>
      <c r="BF67" s="11">
        <f>Waterfall!BF28*BF66/(BF36+BF51+BF66+BF81+BF96+0.000000001)</f>
        <v/>
      </c>
      <c r="BG67" s="11">
        <f>Waterfall!BG28*BG66/(BG36+BG51+BG66+BG81+BG96+0.000000001)</f>
        <v/>
      </c>
      <c r="BH67" s="11">
        <f>Waterfall!BH28*BH66/(BH36+BH51+BH66+BH81+BH96+0.000000001)</f>
        <v/>
      </c>
      <c r="BI67" s="11">
        <f>Waterfall!BI28*BI66/(BI36+BI51+BI66+BI81+BI96+0.000000001)</f>
        <v/>
      </c>
      <c r="BJ67" s="11">
        <f>Waterfall!BJ28*BJ66/(BJ36+BJ51+BJ66+BJ81+BJ96+0.000000001)</f>
        <v/>
      </c>
      <c r="BK67" s="11">
        <f>Waterfall!BK28*BK66/(BK36+BK51+BK66+BK81+BK96+0.000000001)</f>
        <v/>
      </c>
      <c r="BL67" s="11">
        <f>Waterfall!BL28*BL66/(BL36+BL51+BL66+BL81+BL96+0.000000001)</f>
        <v/>
      </c>
      <c r="BM67" s="11">
        <f>Waterfall!BM28*BM66/(BM36+BM51+BM66+BM81+BM96+0.000000001)</f>
        <v/>
      </c>
      <c r="BN67" s="11">
        <f>Waterfall!BN28*BN66/(BN36+BN51+BN66+BN81+BN96+0.000000001)</f>
        <v/>
      </c>
    </row>
    <row r="68">
      <c r="D68" t="inlineStr">
        <is>
          <t>Closing balance</t>
        </is>
      </c>
      <c r="E68" t="inlineStr">
        <is>
          <t>USD m</t>
        </is>
      </c>
      <c r="J68" s="11">
        <f>IF(Time!J29=1,INDEX(Funding!$J$63:$BJ$63,1,Time!$F$13),Time!J30*(J66-J67))</f>
        <v/>
      </c>
      <c r="K68" s="11">
        <f>IF(Time!K29=1,INDEX(Funding!$J$63:$BJ$63,1,Time!$F$13),Time!K30*(K66-K67))</f>
        <v/>
      </c>
      <c r="L68" s="11">
        <f>IF(Time!L29=1,INDEX(Funding!$J$63:$BJ$63,1,Time!$F$13),Time!L30*(L66-L67))</f>
        <v/>
      </c>
      <c r="M68" s="11">
        <f>IF(Time!M29=1,INDEX(Funding!$J$63:$BJ$63,1,Time!$F$13),Time!M30*(M66-M67))</f>
        <v/>
      </c>
      <c r="N68" s="11">
        <f>IF(Time!N29=1,INDEX(Funding!$J$63:$BJ$63,1,Time!$F$13),Time!N30*(N66-N67))</f>
        <v/>
      </c>
      <c r="O68" s="11">
        <f>IF(Time!O29=1,INDEX(Funding!$J$63:$BJ$63,1,Time!$F$13),Time!O30*(O66-O67))</f>
        <v/>
      </c>
      <c r="P68" s="11">
        <f>IF(Time!P29=1,INDEX(Funding!$J$63:$BJ$63,1,Time!$F$13),Time!P30*(P66-P67))</f>
        <v/>
      </c>
      <c r="Q68" s="11">
        <f>IF(Time!Q29=1,INDEX(Funding!$J$63:$BJ$63,1,Time!$F$13),Time!Q30*(Q66-Q67))</f>
        <v/>
      </c>
      <c r="R68" s="11">
        <f>IF(Time!R29=1,INDEX(Funding!$J$63:$BJ$63,1,Time!$F$13),Time!R30*(R66-R67))</f>
        <v/>
      </c>
      <c r="S68" s="11">
        <f>IF(Time!S29=1,INDEX(Funding!$J$63:$BJ$63,1,Time!$F$13),Time!S30*(S66-S67))</f>
        <v/>
      </c>
      <c r="T68" s="11">
        <f>IF(Time!T29=1,INDEX(Funding!$J$63:$BJ$63,1,Time!$F$13),Time!T30*(T66-T67))</f>
        <v/>
      </c>
      <c r="U68" s="11">
        <f>IF(Time!U29=1,INDEX(Funding!$J$63:$BJ$63,1,Time!$F$13),Time!U30*(U66-U67))</f>
        <v/>
      </c>
      <c r="V68" s="11">
        <f>IF(Time!V29=1,INDEX(Funding!$J$63:$BJ$63,1,Time!$F$13),Time!V30*(V66-V67))</f>
        <v/>
      </c>
      <c r="W68" s="11">
        <f>IF(Time!W29=1,INDEX(Funding!$J$63:$BJ$63,1,Time!$F$13),Time!W30*(W66-W67))</f>
        <v/>
      </c>
      <c r="X68" s="11">
        <f>IF(Time!X29=1,INDEX(Funding!$J$63:$BJ$63,1,Time!$F$13),Time!X30*(X66-X67))</f>
        <v/>
      </c>
      <c r="Y68" s="11">
        <f>IF(Time!Y29=1,INDEX(Funding!$J$63:$BJ$63,1,Time!$F$13),Time!Y30*(Y66-Y67))</f>
        <v/>
      </c>
      <c r="Z68" s="11">
        <f>IF(Time!Z29=1,INDEX(Funding!$J$63:$BJ$63,1,Time!$F$13),Time!Z30*(Z66-Z67))</f>
        <v/>
      </c>
      <c r="AA68" s="11">
        <f>IF(Time!AA29=1,INDEX(Funding!$J$63:$BJ$63,1,Time!$F$13),Time!AA30*(AA66-AA67))</f>
        <v/>
      </c>
      <c r="AB68" s="11">
        <f>IF(Time!AB29=1,INDEX(Funding!$J$63:$BJ$63,1,Time!$F$13),Time!AB30*(AB66-AB67))</f>
        <v/>
      </c>
      <c r="AC68" s="11">
        <f>IF(Time!AC29=1,INDEX(Funding!$J$63:$BJ$63,1,Time!$F$13),Time!AC30*(AC66-AC67))</f>
        <v/>
      </c>
      <c r="AD68" s="11">
        <f>IF(Time!AD29=1,INDEX(Funding!$J$63:$BJ$63,1,Time!$F$13),Time!AD30*(AD66-AD67))</f>
        <v/>
      </c>
      <c r="AE68" s="11">
        <f>IF(Time!AE29=1,INDEX(Funding!$J$63:$BJ$63,1,Time!$F$13),Time!AE30*(AE66-AE67))</f>
        <v/>
      </c>
      <c r="AF68" s="11">
        <f>IF(Time!AF29=1,INDEX(Funding!$J$63:$BJ$63,1,Time!$F$13),Time!AF30*(AF66-AF67))</f>
        <v/>
      </c>
      <c r="AG68" s="11">
        <f>IF(Time!AG29=1,INDEX(Funding!$J$63:$BJ$63,1,Time!$F$13),Time!AG30*(AG66-AG67))</f>
        <v/>
      </c>
      <c r="AH68" s="11">
        <f>IF(Time!AH29=1,INDEX(Funding!$J$63:$BJ$63,1,Time!$F$13),Time!AH30*(AH66-AH67))</f>
        <v/>
      </c>
      <c r="AI68" s="11">
        <f>IF(Time!AI29=1,INDEX(Funding!$J$63:$BJ$63,1,Time!$F$13),Time!AI30*(AI66-AI67))</f>
        <v/>
      </c>
      <c r="AJ68" s="11">
        <f>IF(Time!AJ29=1,INDEX(Funding!$J$63:$BJ$63,1,Time!$F$13),Time!AJ30*(AJ66-AJ67))</f>
        <v/>
      </c>
      <c r="AK68" s="11">
        <f>IF(Time!AK29=1,INDEX(Funding!$J$63:$BJ$63,1,Time!$F$13),Time!AK30*(AK66-AK67))</f>
        <v/>
      </c>
      <c r="AL68" s="11">
        <f>IF(Time!AL29=1,INDEX(Funding!$J$63:$BJ$63,1,Time!$F$13),Time!AL30*(AL66-AL67))</f>
        <v/>
      </c>
      <c r="AM68" s="11">
        <f>IF(Time!AM29=1,INDEX(Funding!$J$63:$BJ$63,1,Time!$F$13),Time!AM30*(AM66-AM67))</f>
        <v/>
      </c>
      <c r="AN68" s="11">
        <f>IF(Time!AN29=1,INDEX(Funding!$J$63:$BJ$63,1,Time!$F$13),Time!AN30*(AN66-AN67))</f>
        <v/>
      </c>
      <c r="AO68" s="11">
        <f>IF(Time!AO29=1,INDEX(Funding!$J$63:$BJ$63,1,Time!$F$13),Time!AO30*(AO66-AO67))</f>
        <v/>
      </c>
      <c r="AP68" s="11">
        <f>IF(Time!AP29=1,INDEX(Funding!$J$63:$BJ$63,1,Time!$F$13),Time!AP30*(AP66-AP67))</f>
        <v/>
      </c>
      <c r="AQ68" s="11">
        <f>IF(Time!AQ29=1,INDEX(Funding!$J$63:$BJ$63,1,Time!$F$13),Time!AQ30*(AQ66-AQ67))</f>
        <v/>
      </c>
      <c r="AR68" s="11">
        <f>IF(Time!AR29=1,INDEX(Funding!$J$63:$BJ$63,1,Time!$F$13),Time!AR30*(AR66-AR67))</f>
        <v/>
      </c>
      <c r="AS68" s="11">
        <f>IF(Time!AS29=1,INDEX(Funding!$J$63:$BJ$63,1,Time!$F$13),Time!AS30*(AS66-AS67))</f>
        <v/>
      </c>
      <c r="AT68" s="11">
        <f>IF(Time!AT29=1,INDEX(Funding!$J$63:$BJ$63,1,Time!$F$13),Time!AT30*(AT66-AT67))</f>
        <v/>
      </c>
      <c r="AU68" s="11">
        <f>IF(Time!AU29=1,INDEX(Funding!$J$63:$BJ$63,1,Time!$F$13),Time!AU30*(AU66-AU67))</f>
        <v/>
      </c>
      <c r="AV68" s="11">
        <f>IF(Time!AV29=1,INDEX(Funding!$J$63:$BJ$63,1,Time!$F$13),Time!AV30*(AV66-AV67))</f>
        <v/>
      </c>
      <c r="AW68" s="11">
        <f>IF(Time!AW29=1,INDEX(Funding!$J$63:$BJ$63,1,Time!$F$13),Time!AW30*(AW66-AW67))</f>
        <v/>
      </c>
      <c r="AX68" s="11">
        <f>IF(Time!AX29=1,INDEX(Funding!$J$63:$BJ$63,1,Time!$F$13),Time!AX30*(AX66-AX67))</f>
        <v/>
      </c>
      <c r="AY68" s="11">
        <f>IF(Time!AY29=1,INDEX(Funding!$J$63:$BJ$63,1,Time!$F$13),Time!AY30*(AY66-AY67))</f>
        <v/>
      </c>
      <c r="AZ68" s="11">
        <f>IF(Time!AZ29=1,INDEX(Funding!$J$63:$BJ$63,1,Time!$F$13),Time!AZ30*(AZ66-AZ67))</f>
        <v/>
      </c>
      <c r="BA68" s="11">
        <f>IF(Time!BA29=1,INDEX(Funding!$J$63:$BJ$63,1,Time!$F$13),Time!BA30*(BA66-BA67))</f>
        <v/>
      </c>
      <c r="BB68" s="11">
        <f>IF(Time!BB29=1,INDEX(Funding!$J$63:$BJ$63,1,Time!$F$13),Time!BB30*(BB66-BB67))</f>
        <v/>
      </c>
      <c r="BC68" s="11">
        <f>IF(Time!BC29=1,INDEX(Funding!$J$63:$BJ$63,1,Time!$F$13),Time!BC30*(BC66-BC67))</f>
        <v/>
      </c>
      <c r="BD68" s="11">
        <f>IF(Time!BD29=1,INDEX(Funding!$J$63:$BJ$63,1,Time!$F$13),Time!BD30*(BD66-BD67))</f>
        <v/>
      </c>
      <c r="BE68" s="11">
        <f>IF(Time!BE29=1,INDEX(Funding!$J$63:$BJ$63,1,Time!$F$13),Time!BE30*(BE66-BE67))</f>
        <v/>
      </c>
      <c r="BF68" s="11">
        <f>IF(Time!BF29=1,INDEX(Funding!$J$63:$BJ$63,1,Time!$F$13),Time!BF30*(BF66-BF67))</f>
        <v/>
      </c>
      <c r="BG68" s="11">
        <f>IF(Time!BG29=1,INDEX(Funding!$J$63:$BJ$63,1,Time!$F$13),Time!BG30*(BG66-BG67))</f>
        <v/>
      </c>
      <c r="BH68" s="11">
        <f>IF(Time!BH29=1,INDEX(Funding!$J$63:$BJ$63,1,Time!$F$13),Time!BH30*(BH66-BH67))</f>
        <v/>
      </c>
      <c r="BI68" s="11">
        <f>IF(Time!BI29=1,INDEX(Funding!$J$63:$BJ$63,1,Time!$F$13),Time!BI30*(BI66-BI67))</f>
        <v/>
      </c>
      <c r="BJ68" s="11">
        <f>IF(Time!BJ29=1,INDEX(Funding!$J$63:$BJ$63,1,Time!$F$13),Time!BJ30*(BJ66-BJ67))</f>
        <v/>
      </c>
      <c r="BK68" s="11">
        <f>IF(Time!BK29=1,INDEX(Funding!$J$63:$BJ$63,1,Time!$F$13),Time!BK30*(BK66-BK67))</f>
        <v/>
      </c>
      <c r="BL68" s="11">
        <f>IF(Time!BL29=1,INDEX(Funding!$J$63:$BJ$63,1,Time!$F$13),Time!BL30*(BL66-BL67))</f>
        <v/>
      </c>
      <c r="BM68" s="11">
        <f>IF(Time!BM29=1,INDEX(Funding!$J$63:$BJ$63,1,Time!$F$13),Time!BM30*(BM66-BM67))</f>
        <v/>
      </c>
      <c r="BN68" s="11">
        <f>IF(Time!BN29=1,INDEX(Funding!$J$63:$BJ$63,1,Time!$F$13),Time!BN30*(BN66-BN67))</f>
        <v/>
      </c>
    </row>
    <row r="69">
      <c r="B69" s="2" t="inlineStr">
        <is>
          <t>Commercial tranche</t>
        </is>
      </c>
    </row>
    <row r="70">
      <c r="D70" t="inlineStr">
        <is>
          <t>Opening balance</t>
        </is>
      </c>
      <c r="E70" t="inlineStr">
        <is>
          <t>USD m</t>
        </is>
      </c>
      <c r="J70" s="11">
        <f>Time!J30*0</f>
        <v/>
      </c>
      <c r="K70" s="11">
        <f>Time!K30*J83</f>
        <v/>
      </c>
      <c r="L70" s="11">
        <f>Time!L30*K83</f>
        <v/>
      </c>
      <c r="M70" s="11">
        <f>Time!M30*L83</f>
        <v/>
      </c>
      <c r="N70" s="11">
        <f>Time!N30*M83</f>
        <v/>
      </c>
      <c r="O70" s="11">
        <f>Time!O30*N83</f>
        <v/>
      </c>
      <c r="P70" s="11">
        <f>Time!P30*O83</f>
        <v/>
      </c>
      <c r="Q70" s="11">
        <f>Time!Q30*P83</f>
        <v/>
      </c>
      <c r="R70" s="11">
        <f>Time!R30*Q83</f>
        <v/>
      </c>
      <c r="S70" s="11">
        <f>Time!S30*R83</f>
        <v/>
      </c>
      <c r="T70" s="11">
        <f>Time!T30*S83</f>
        <v/>
      </c>
      <c r="U70" s="11">
        <f>Time!U30*T83</f>
        <v/>
      </c>
      <c r="V70" s="11">
        <f>Time!V30*U83</f>
        <v/>
      </c>
      <c r="W70" s="11">
        <f>Time!W30*V83</f>
        <v/>
      </c>
      <c r="X70" s="11">
        <f>Time!X30*W83</f>
        <v/>
      </c>
      <c r="Y70" s="11">
        <f>Time!Y30*X83</f>
        <v/>
      </c>
      <c r="Z70" s="11">
        <f>Time!Z30*Y83</f>
        <v/>
      </c>
      <c r="AA70" s="11">
        <f>Time!AA30*Z83</f>
        <v/>
      </c>
      <c r="AB70" s="11">
        <f>Time!AB30*AA83</f>
        <v/>
      </c>
      <c r="AC70" s="11">
        <f>Time!AC30*AB83</f>
        <v/>
      </c>
      <c r="AD70" s="11">
        <f>Time!AD30*AC83</f>
        <v/>
      </c>
      <c r="AE70" s="11">
        <f>Time!AE30*AD83</f>
        <v/>
      </c>
      <c r="AF70" s="11">
        <f>Time!AF30*AE83</f>
        <v/>
      </c>
      <c r="AG70" s="11">
        <f>Time!AG30*AF83</f>
        <v/>
      </c>
      <c r="AH70" s="11">
        <f>Time!AH30*AG83</f>
        <v/>
      </c>
      <c r="AI70" s="11">
        <f>Time!AI30*AH83</f>
        <v/>
      </c>
      <c r="AJ70" s="11">
        <f>Time!AJ30*AI83</f>
        <v/>
      </c>
      <c r="AK70" s="11">
        <f>Time!AK30*AJ83</f>
        <v/>
      </c>
      <c r="AL70" s="11">
        <f>Time!AL30*AK83</f>
        <v/>
      </c>
      <c r="AM70" s="11">
        <f>Time!AM30*AL83</f>
        <v/>
      </c>
      <c r="AN70" s="11">
        <f>Time!AN30*AM83</f>
        <v/>
      </c>
      <c r="AO70" s="11">
        <f>Time!AO30*AN83</f>
        <v/>
      </c>
      <c r="AP70" s="11">
        <f>Time!AP30*AO83</f>
        <v/>
      </c>
      <c r="AQ70" s="11">
        <f>Time!AQ30*AP83</f>
        <v/>
      </c>
      <c r="AR70" s="11">
        <f>Time!AR30*AQ83</f>
        <v/>
      </c>
      <c r="AS70" s="11">
        <f>Time!AS30*AR83</f>
        <v/>
      </c>
      <c r="AT70" s="11">
        <f>Time!AT30*AS83</f>
        <v/>
      </c>
      <c r="AU70" s="11">
        <f>Time!AU30*AT83</f>
        <v/>
      </c>
      <c r="AV70" s="11">
        <f>Time!AV30*AU83</f>
        <v/>
      </c>
      <c r="AW70" s="11">
        <f>Time!AW30*AV83</f>
        <v/>
      </c>
      <c r="AX70" s="11">
        <f>Time!AX30*AW83</f>
        <v/>
      </c>
      <c r="AY70" s="11">
        <f>Time!AY30*AX83</f>
        <v/>
      </c>
      <c r="AZ70" s="11">
        <f>Time!AZ30*AY83</f>
        <v/>
      </c>
      <c r="BA70" s="11">
        <f>Time!BA30*AZ83</f>
        <v/>
      </c>
      <c r="BB70" s="11">
        <f>Time!BB30*BA83</f>
        <v/>
      </c>
      <c r="BC70" s="11">
        <f>Time!BC30*BB83</f>
        <v/>
      </c>
      <c r="BD70" s="11">
        <f>Time!BD30*BC83</f>
        <v/>
      </c>
      <c r="BE70" s="11">
        <f>Time!BE30*BD83</f>
        <v/>
      </c>
      <c r="BF70" s="11">
        <f>Time!BF30*BE83</f>
        <v/>
      </c>
      <c r="BG70" s="11">
        <f>Time!BG30*BF83</f>
        <v/>
      </c>
      <c r="BH70" s="11">
        <f>Time!BH30*BG83</f>
        <v/>
      </c>
      <c r="BI70" s="11">
        <f>Time!BI30*BH83</f>
        <v/>
      </c>
      <c r="BJ70" s="11">
        <f>Time!BJ30*BI83</f>
        <v/>
      </c>
      <c r="BK70" s="11">
        <f>Time!BK30*BJ83</f>
        <v/>
      </c>
      <c r="BL70" s="11">
        <f>Time!BL30*BK83</f>
        <v/>
      </c>
      <c r="BM70" s="11">
        <f>Time!BM30*BL83</f>
        <v/>
      </c>
      <c r="BN70" s="11">
        <f>Time!BN30*BM83</f>
        <v/>
      </c>
    </row>
    <row r="71">
      <c r="D71" t="inlineStr">
        <is>
          <t>Deferred principal, opening</t>
        </is>
      </c>
      <c r="E71" t="inlineStr">
        <is>
          <t>USD m</t>
        </is>
      </c>
      <c r="J71" s="11">
        <f>0</f>
        <v/>
      </c>
      <c r="K71" s="11">
        <f>J80</f>
        <v/>
      </c>
      <c r="L71" s="11">
        <f>K80</f>
        <v/>
      </c>
      <c r="M71" s="11">
        <f>L80</f>
        <v/>
      </c>
      <c r="N71" s="11">
        <f>M80</f>
        <v/>
      </c>
      <c r="O71" s="11">
        <f>N80</f>
        <v/>
      </c>
      <c r="P71" s="11">
        <f>O80</f>
        <v/>
      </c>
      <c r="Q71" s="11">
        <f>P80</f>
        <v/>
      </c>
      <c r="R71" s="11">
        <f>Q80</f>
        <v/>
      </c>
      <c r="S71" s="11">
        <f>R80</f>
        <v/>
      </c>
      <c r="T71" s="11">
        <f>S80</f>
        <v/>
      </c>
      <c r="U71" s="11">
        <f>T80</f>
        <v/>
      </c>
      <c r="V71" s="11">
        <f>U80</f>
        <v/>
      </c>
      <c r="W71" s="11">
        <f>V80</f>
        <v/>
      </c>
      <c r="X71" s="11">
        <f>W80</f>
        <v/>
      </c>
      <c r="Y71" s="11">
        <f>X80</f>
        <v/>
      </c>
      <c r="Z71" s="11">
        <f>Y80</f>
        <v/>
      </c>
      <c r="AA71" s="11">
        <f>Z80</f>
        <v/>
      </c>
      <c r="AB71" s="11">
        <f>AA80</f>
        <v/>
      </c>
      <c r="AC71" s="11">
        <f>AB80</f>
        <v/>
      </c>
      <c r="AD71" s="11">
        <f>AC80</f>
        <v/>
      </c>
      <c r="AE71" s="11">
        <f>AD80</f>
        <v/>
      </c>
      <c r="AF71" s="11">
        <f>AE80</f>
        <v/>
      </c>
      <c r="AG71" s="11">
        <f>AF80</f>
        <v/>
      </c>
      <c r="AH71" s="11">
        <f>AG80</f>
        <v/>
      </c>
      <c r="AI71" s="11">
        <f>AH80</f>
        <v/>
      </c>
      <c r="AJ71" s="11">
        <f>AI80</f>
        <v/>
      </c>
      <c r="AK71" s="11">
        <f>AJ80</f>
        <v/>
      </c>
      <c r="AL71" s="11">
        <f>AK80</f>
        <v/>
      </c>
      <c r="AM71" s="11">
        <f>AL80</f>
        <v/>
      </c>
      <c r="AN71" s="11">
        <f>AM80</f>
        <v/>
      </c>
      <c r="AO71" s="11">
        <f>AN80</f>
        <v/>
      </c>
      <c r="AP71" s="11">
        <f>AO80</f>
        <v/>
      </c>
      <c r="AQ71" s="11">
        <f>AP80</f>
        <v/>
      </c>
      <c r="AR71" s="11">
        <f>AQ80</f>
        <v/>
      </c>
      <c r="AS71" s="11">
        <f>AR80</f>
        <v/>
      </c>
      <c r="AT71" s="11">
        <f>AS80</f>
        <v/>
      </c>
      <c r="AU71" s="11">
        <f>AT80</f>
        <v/>
      </c>
      <c r="AV71" s="11">
        <f>AU80</f>
        <v/>
      </c>
      <c r="AW71" s="11">
        <f>AV80</f>
        <v/>
      </c>
      <c r="AX71" s="11">
        <f>AW80</f>
        <v/>
      </c>
      <c r="AY71" s="11">
        <f>AX80</f>
        <v/>
      </c>
      <c r="AZ71" s="11">
        <f>AY80</f>
        <v/>
      </c>
      <c r="BA71" s="11">
        <f>AZ80</f>
        <v/>
      </c>
      <c r="BB71" s="11">
        <f>BA80</f>
        <v/>
      </c>
      <c r="BC71" s="11">
        <f>BB80</f>
        <v/>
      </c>
      <c r="BD71" s="11">
        <f>BC80</f>
        <v/>
      </c>
      <c r="BE71" s="11">
        <f>BD80</f>
        <v/>
      </c>
      <c r="BF71" s="11">
        <f>BE80</f>
        <v/>
      </c>
      <c r="BG71" s="11">
        <f>BF80</f>
        <v/>
      </c>
      <c r="BH71" s="11">
        <f>BG80</f>
        <v/>
      </c>
      <c r="BI71" s="11">
        <f>BH80</f>
        <v/>
      </c>
      <c r="BJ71" s="11">
        <f>BI80</f>
        <v/>
      </c>
      <c r="BK71" s="11">
        <f>BJ80</f>
        <v/>
      </c>
      <c r="BL71" s="11">
        <f>BK80</f>
        <v/>
      </c>
      <c r="BM71" s="11">
        <f>BL80</f>
        <v/>
      </c>
      <c r="BN71" s="11">
        <f>BM80</f>
        <v/>
      </c>
    </row>
    <row r="72">
      <c r="D72" t="inlineStr">
        <is>
          <t>Interest (incl. WHT gross-up where applicable)</t>
        </is>
      </c>
      <c r="E72" t="inlineStr">
        <is>
          <t>USD m</t>
        </is>
      </c>
      <c r="G72" s="11">
        <f>SUM(J72:BN72)</f>
        <v/>
      </c>
      <c r="J72" s="11">
        <f>J70*J13</f>
        <v/>
      </c>
      <c r="K72" s="11">
        <f>K70*K13</f>
        <v/>
      </c>
      <c r="L72" s="11">
        <f>L70*L13</f>
        <v/>
      </c>
      <c r="M72" s="11">
        <f>M70*M13</f>
        <v/>
      </c>
      <c r="N72" s="11">
        <f>N70*N13</f>
        <v/>
      </c>
      <c r="O72" s="11">
        <f>O70*O13</f>
        <v/>
      </c>
      <c r="P72" s="11">
        <f>P70*P13</f>
        <v/>
      </c>
      <c r="Q72" s="11">
        <f>Q70*Q13</f>
        <v/>
      </c>
      <c r="R72" s="11">
        <f>R70*R13</f>
        <v/>
      </c>
      <c r="S72" s="11">
        <f>S70*S13</f>
        <v/>
      </c>
      <c r="T72" s="11">
        <f>T70*T13</f>
        <v/>
      </c>
      <c r="U72" s="11">
        <f>U70*U13</f>
        <v/>
      </c>
      <c r="V72" s="11">
        <f>V70*V13</f>
        <v/>
      </c>
      <c r="W72" s="11">
        <f>W70*W13</f>
        <v/>
      </c>
      <c r="X72" s="11">
        <f>X70*X13</f>
        <v/>
      </c>
      <c r="Y72" s="11">
        <f>Y70*Y13</f>
        <v/>
      </c>
      <c r="Z72" s="11">
        <f>Z70*Z13</f>
        <v/>
      </c>
      <c r="AA72" s="11">
        <f>AA70*AA13</f>
        <v/>
      </c>
      <c r="AB72" s="11">
        <f>AB70*AB13</f>
        <v/>
      </c>
      <c r="AC72" s="11">
        <f>AC70*AC13</f>
        <v/>
      </c>
      <c r="AD72" s="11">
        <f>AD70*AD13</f>
        <v/>
      </c>
      <c r="AE72" s="11">
        <f>AE70*AE13</f>
        <v/>
      </c>
      <c r="AF72" s="11">
        <f>AF70*AF13</f>
        <v/>
      </c>
      <c r="AG72" s="11">
        <f>AG70*AG13</f>
        <v/>
      </c>
      <c r="AH72" s="11">
        <f>AH70*AH13</f>
        <v/>
      </c>
      <c r="AI72" s="11">
        <f>AI70*AI13</f>
        <v/>
      </c>
      <c r="AJ72" s="11">
        <f>AJ70*AJ13</f>
        <v/>
      </c>
      <c r="AK72" s="11">
        <f>AK70*AK13</f>
        <v/>
      </c>
      <c r="AL72" s="11">
        <f>AL70*AL13</f>
        <v/>
      </c>
      <c r="AM72" s="11">
        <f>AM70*AM13</f>
        <v/>
      </c>
      <c r="AN72" s="11">
        <f>AN70*AN13</f>
        <v/>
      </c>
      <c r="AO72" s="11">
        <f>AO70*AO13</f>
        <v/>
      </c>
      <c r="AP72" s="11">
        <f>AP70*AP13</f>
        <v/>
      </c>
      <c r="AQ72" s="11">
        <f>AQ70*AQ13</f>
        <v/>
      </c>
      <c r="AR72" s="11">
        <f>AR70*AR13</f>
        <v/>
      </c>
      <c r="AS72" s="11">
        <f>AS70*AS13</f>
        <v/>
      </c>
      <c r="AT72" s="11">
        <f>AT70*AT13</f>
        <v/>
      </c>
      <c r="AU72" s="11">
        <f>AU70*AU13</f>
        <v/>
      </c>
      <c r="AV72" s="11">
        <f>AV70*AV13</f>
        <v/>
      </c>
      <c r="AW72" s="11">
        <f>AW70*AW13</f>
        <v/>
      </c>
      <c r="AX72" s="11">
        <f>AX70*AX13</f>
        <v/>
      </c>
      <c r="AY72" s="11">
        <f>AY70*AY13</f>
        <v/>
      </c>
      <c r="AZ72" s="11">
        <f>AZ70*AZ13</f>
        <v/>
      </c>
      <c r="BA72" s="11">
        <f>BA70*BA13</f>
        <v/>
      </c>
      <c r="BB72" s="11">
        <f>BB70*BB13</f>
        <v/>
      </c>
      <c r="BC72" s="11">
        <f>BC70*BC13</f>
        <v/>
      </c>
      <c r="BD72" s="11">
        <f>BD70*BD13</f>
        <v/>
      </c>
      <c r="BE72" s="11">
        <f>BE70*BE13</f>
        <v/>
      </c>
      <c r="BF72" s="11">
        <f>BF70*BF13</f>
        <v/>
      </c>
      <c r="BG72" s="11">
        <f>BG70*BG13</f>
        <v/>
      </c>
      <c r="BH72" s="11">
        <f>BH70*BH13</f>
        <v/>
      </c>
      <c r="BI72" s="11">
        <f>BI70*BI13</f>
        <v/>
      </c>
      <c r="BJ72" s="11">
        <f>BJ70*BJ13</f>
        <v/>
      </c>
      <c r="BK72" s="11">
        <f>BK70*BK13</f>
        <v/>
      </c>
      <c r="BL72" s="11">
        <f>BL70*BL13</f>
        <v/>
      </c>
      <c r="BM72" s="11">
        <f>BM70*BM13</f>
        <v/>
      </c>
      <c r="BN72" s="11">
        <f>BN70*BN13</f>
        <v/>
      </c>
    </row>
    <row r="73">
      <c r="D73" t="inlineStr">
        <is>
          <t>Scheduled principal per profile</t>
        </is>
      </c>
      <c r="E73" t="inlineStr">
        <is>
          <t>USD m</t>
        </is>
      </c>
      <c r="G73" s="11">
        <f>SUM(J73:BN73)</f>
        <v/>
      </c>
      <c r="J73" s="11">
        <f>Time!J30*(J70-J71)*J19</f>
        <v/>
      </c>
      <c r="K73" s="11">
        <f>Time!K30*(K70-K71)*K19</f>
        <v/>
      </c>
      <c r="L73" s="11">
        <f>Time!L30*(L70-L71)*L19</f>
        <v/>
      </c>
      <c r="M73" s="11">
        <f>Time!M30*(M70-M71)*M19</f>
        <v/>
      </c>
      <c r="N73" s="11">
        <f>Time!N30*(N70-N71)*N19</f>
        <v/>
      </c>
      <c r="O73" s="11">
        <f>Time!O30*(O70-O71)*O19</f>
        <v/>
      </c>
      <c r="P73" s="11">
        <f>Time!P30*(P70-P71)*P19</f>
        <v/>
      </c>
      <c r="Q73" s="11">
        <f>Time!Q30*(Q70-Q71)*Q19</f>
        <v/>
      </c>
      <c r="R73" s="11">
        <f>Time!R30*(R70-R71)*R19</f>
        <v/>
      </c>
      <c r="S73" s="11">
        <f>Time!S30*(S70-S71)*S19</f>
        <v/>
      </c>
      <c r="T73" s="11">
        <f>Time!T30*(T70-T71)*T19</f>
        <v/>
      </c>
      <c r="U73" s="11">
        <f>Time!U30*(U70-U71)*U19</f>
        <v/>
      </c>
      <c r="V73" s="11">
        <f>Time!V30*(V70-V71)*V19</f>
        <v/>
      </c>
      <c r="W73" s="11">
        <f>Time!W30*(W70-W71)*W19</f>
        <v/>
      </c>
      <c r="X73" s="11">
        <f>Time!X30*(X70-X71)*X19</f>
        <v/>
      </c>
      <c r="Y73" s="11">
        <f>Time!Y30*(Y70-Y71)*Y19</f>
        <v/>
      </c>
      <c r="Z73" s="11">
        <f>Time!Z30*(Z70-Z71)*Z19</f>
        <v/>
      </c>
      <c r="AA73" s="11">
        <f>Time!AA30*(AA70-AA71)*AA19</f>
        <v/>
      </c>
      <c r="AB73" s="11">
        <f>Time!AB30*(AB70-AB71)*AB19</f>
        <v/>
      </c>
      <c r="AC73" s="11">
        <f>Time!AC30*(AC70-AC71)*AC19</f>
        <v/>
      </c>
      <c r="AD73" s="11">
        <f>Time!AD30*(AD70-AD71)*AD19</f>
        <v/>
      </c>
      <c r="AE73" s="11">
        <f>Time!AE30*(AE70-AE71)*AE19</f>
        <v/>
      </c>
      <c r="AF73" s="11">
        <f>Time!AF30*(AF70-AF71)*AF19</f>
        <v/>
      </c>
      <c r="AG73" s="11">
        <f>Time!AG30*(AG70-AG71)*AG19</f>
        <v/>
      </c>
      <c r="AH73" s="11">
        <f>Time!AH30*(AH70-AH71)*AH19</f>
        <v/>
      </c>
      <c r="AI73" s="11">
        <f>Time!AI30*(AI70-AI71)*AI19</f>
        <v/>
      </c>
      <c r="AJ73" s="11">
        <f>Time!AJ30*(AJ70-AJ71)*AJ19</f>
        <v/>
      </c>
      <c r="AK73" s="11">
        <f>Time!AK30*(AK70-AK71)*AK19</f>
        <v/>
      </c>
      <c r="AL73" s="11">
        <f>Time!AL30*(AL70-AL71)*AL19</f>
        <v/>
      </c>
      <c r="AM73" s="11">
        <f>Time!AM30*(AM70-AM71)*AM19</f>
        <v/>
      </c>
      <c r="AN73" s="11">
        <f>Time!AN30*(AN70-AN71)*AN19</f>
        <v/>
      </c>
      <c r="AO73" s="11">
        <f>Time!AO30*(AO70-AO71)*AO19</f>
        <v/>
      </c>
      <c r="AP73" s="11">
        <f>Time!AP30*(AP70-AP71)*AP19</f>
        <v/>
      </c>
      <c r="AQ73" s="11">
        <f>Time!AQ30*(AQ70-AQ71)*AQ19</f>
        <v/>
      </c>
      <c r="AR73" s="11">
        <f>Time!AR30*(AR70-AR71)*AR19</f>
        <v/>
      </c>
      <c r="AS73" s="11">
        <f>Time!AS30*(AS70-AS71)*AS19</f>
        <v/>
      </c>
      <c r="AT73" s="11">
        <f>Time!AT30*(AT70-AT71)*AT19</f>
        <v/>
      </c>
      <c r="AU73" s="11">
        <f>Time!AU30*(AU70-AU71)*AU19</f>
        <v/>
      </c>
      <c r="AV73" s="11">
        <f>Time!AV30*(AV70-AV71)*AV19</f>
        <v/>
      </c>
      <c r="AW73" s="11">
        <f>Time!AW30*(AW70-AW71)*AW19</f>
        <v/>
      </c>
      <c r="AX73" s="11">
        <f>Time!AX30*(AX70-AX71)*AX19</f>
        <v/>
      </c>
      <c r="AY73" s="11">
        <f>Time!AY30*(AY70-AY71)*AY19</f>
        <v/>
      </c>
      <c r="AZ73" s="11">
        <f>Time!AZ30*(AZ70-AZ71)*AZ19</f>
        <v/>
      </c>
      <c r="BA73" s="11">
        <f>Time!BA30*(BA70-BA71)*BA19</f>
        <v/>
      </c>
      <c r="BB73" s="11">
        <f>Time!BB30*(BB70-BB71)*BB19</f>
        <v/>
      </c>
      <c r="BC73" s="11">
        <f>Time!BC30*(BC70-BC71)*BC19</f>
        <v/>
      </c>
      <c r="BD73" s="11">
        <f>Time!BD30*(BD70-BD71)*BD19</f>
        <v/>
      </c>
      <c r="BE73" s="11">
        <f>Time!BE30*(BE70-BE71)*BE19</f>
        <v/>
      </c>
      <c r="BF73" s="11">
        <f>Time!BF30*(BF70-BF71)*BF19</f>
        <v/>
      </c>
      <c r="BG73" s="11">
        <f>Time!BG30*(BG70-BG71)*BG19</f>
        <v/>
      </c>
      <c r="BH73" s="11">
        <f>Time!BH30*(BH70-BH71)*BH19</f>
        <v/>
      </c>
      <c r="BI73" s="11">
        <f>Time!BI30*(BI70-BI71)*BI19</f>
        <v/>
      </c>
      <c r="BJ73" s="11">
        <f>Time!BJ30*(BJ70-BJ71)*BJ19</f>
        <v/>
      </c>
      <c r="BK73" s="11">
        <f>Time!BK30*(BK70-BK71)*BK19</f>
        <v/>
      </c>
      <c r="BL73" s="11">
        <f>Time!BL30*(BL70-BL71)*BL19</f>
        <v/>
      </c>
      <c r="BM73" s="11">
        <f>Time!BM30*(BM70-BM71)*BM19</f>
        <v/>
      </c>
      <c r="BN73" s="11">
        <f>Time!BN30*(BN70-BN71)*BN19</f>
        <v/>
      </c>
    </row>
    <row r="74">
      <c r="D74" t="inlineStr">
        <is>
          <t>Principal deferred under the waiver</t>
        </is>
      </c>
      <c r="E74" t="inlineStr">
        <is>
          <t>USD m</t>
        </is>
      </c>
      <c r="G74" s="11">
        <f>SUM(J74:BN74)</f>
        <v/>
      </c>
      <c r="J74" s="11">
        <f>J21*Inputs!$F$191*J73</f>
        <v/>
      </c>
      <c r="K74" s="11">
        <f>K21*Inputs!$F$191*K73</f>
        <v/>
      </c>
      <c r="L74" s="11">
        <f>L21*Inputs!$F$191*L73</f>
        <v/>
      </c>
      <c r="M74" s="11">
        <f>M21*Inputs!$F$191*M73</f>
        <v/>
      </c>
      <c r="N74" s="11">
        <f>N21*Inputs!$F$191*N73</f>
        <v/>
      </c>
      <c r="O74" s="11">
        <f>O21*Inputs!$F$191*O73</f>
        <v/>
      </c>
      <c r="P74" s="11">
        <f>P21*Inputs!$F$191*P73</f>
        <v/>
      </c>
      <c r="Q74" s="11">
        <f>Q21*Inputs!$F$191*Q73</f>
        <v/>
      </c>
      <c r="R74" s="11">
        <f>R21*Inputs!$F$191*R73</f>
        <v/>
      </c>
      <c r="S74" s="11">
        <f>S21*Inputs!$F$191*S73</f>
        <v/>
      </c>
      <c r="T74" s="11">
        <f>T21*Inputs!$F$191*T73</f>
        <v/>
      </c>
      <c r="U74" s="11">
        <f>U21*Inputs!$F$191*U73</f>
        <v/>
      </c>
      <c r="V74" s="11">
        <f>V21*Inputs!$F$191*V73</f>
        <v/>
      </c>
      <c r="W74" s="11">
        <f>W21*Inputs!$F$191*W73</f>
        <v/>
      </c>
      <c r="X74" s="11">
        <f>X21*Inputs!$F$191*X73</f>
        <v/>
      </c>
      <c r="Y74" s="11">
        <f>Y21*Inputs!$F$191*Y73</f>
        <v/>
      </c>
      <c r="Z74" s="11">
        <f>Z21*Inputs!$F$191*Z73</f>
        <v/>
      </c>
      <c r="AA74" s="11">
        <f>AA21*Inputs!$F$191*AA73</f>
        <v/>
      </c>
      <c r="AB74" s="11">
        <f>AB21*Inputs!$F$191*AB73</f>
        <v/>
      </c>
      <c r="AC74" s="11">
        <f>AC21*Inputs!$F$191*AC73</f>
        <v/>
      </c>
      <c r="AD74" s="11">
        <f>AD21*Inputs!$F$191*AD73</f>
        <v/>
      </c>
      <c r="AE74" s="11">
        <f>AE21*Inputs!$F$191*AE73</f>
        <v/>
      </c>
      <c r="AF74" s="11">
        <f>AF21*Inputs!$F$191*AF73</f>
        <v/>
      </c>
      <c r="AG74" s="11">
        <f>AG21*Inputs!$F$191*AG73</f>
        <v/>
      </c>
      <c r="AH74" s="11">
        <f>AH21*Inputs!$F$191*AH73</f>
        <v/>
      </c>
      <c r="AI74" s="11">
        <f>AI21*Inputs!$F$191*AI73</f>
        <v/>
      </c>
      <c r="AJ74" s="11">
        <f>AJ21*Inputs!$F$191*AJ73</f>
        <v/>
      </c>
      <c r="AK74" s="11">
        <f>AK21*Inputs!$F$191*AK73</f>
        <v/>
      </c>
      <c r="AL74" s="11">
        <f>AL21*Inputs!$F$191*AL73</f>
        <v/>
      </c>
      <c r="AM74" s="11">
        <f>AM21*Inputs!$F$191*AM73</f>
        <v/>
      </c>
      <c r="AN74" s="11">
        <f>AN21*Inputs!$F$191*AN73</f>
        <v/>
      </c>
      <c r="AO74" s="11">
        <f>AO21*Inputs!$F$191*AO73</f>
        <v/>
      </c>
      <c r="AP74" s="11">
        <f>AP21*Inputs!$F$191*AP73</f>
        <v/>
      </c>
      <c r="AQ74" s="11">
        <f>AQ21*Inputs!$F$191*AQ73</f>
        <v/>
      </c>
      <c r="AR74" s="11">
        <f>AR21*Inputs!$F$191*AR73</f>
        <v/>
      </c>
      <c r="AS74" s="11">
        <f>AS21*Inputs!$F$191*AS73</f>
        <v/>
      </c>
      <c r="AT74" s="11">
        <f>AT21*Inputs!$F$191*AT73</f>
        <v/>
      </c>
      <c r="AU74" s="11">
        <f>AU21*Inputs!$F$191*AU73</f>
        <v/>
      </c>
      <c r="AV74" s="11">
        <f>AV21*Inputs!$F$191*AV73</f>
        <v/>
      </c>
      <c r="AW74" s="11">
        <f>AW21*Inputs!$F$191*AW73</f>
        <v/>
      </c>
      <c r="AX74" s="11">
        <f>AX21*Inputs!$F$191*AX73</f>
        <v/>
      </c>
      <c r="AY74" s="11">
        <f>AY21*Inputs!$F$191*AY73</f>
        <v/>
      </c>
      <c r="AZ74" s="11">
        <f>AZ21*Inputs!$F$191*AZ73</f>
        <v/>
      </c>
      <c r="BA74" s="11">
        <f>BA21*Inputs!$F$191*BA73</f>
        <v/>
      </c>
      <c r="BB74" s="11">
        <f>BB21*Inputs!$F$191*BB73</f>
        <v/>
      </c>
      <c r="BC74" s="11">
        <f>BC21*Inputs!$F$191*BC73</f>
        <v/>
      </c>
      <c r="BD74" s="11">
        <f>BD21*Inputs!$F$191*BD73</f>
        <v/>
      </c>
      <c r="BE74" s="11">
        <f>BE21*Inputs!$F$191*BE73</f>
        <v/>
      </c>
      <c r="BF74" s="11">
        <f>BF21*Inputs!$F$191*BF73</f>
        <v/>
      </c>
      <c r="BG74" s="11">
        <f>BG21*Inputs!$F$191*BG73</f>
        <v/>
      </c>
      <c r="BH74" s="11">
        <f>BH21*Inputs!$F$191*BH73</f>
        <v/>
      </c>
      <c r="BI74" s="11">
        <f>BI21*Inputs!$F$191*BI73</f>
        <v/>
      </c>
      <c r="BJ74" s="11">
        <f>BJ21*Inputs!$F$191*BJ73</f>
        <v/>
      </c>
      <c r="BK74" s="11">
        <f>BK21*Inputs!$F$191*BK73</f>
        <v/>
      </c>
      <c r="BL74" s="11">
        <f>BL21*Inputs!$F$191*BL73</f>
        <v/>
      </c>
      <c r="BM74" s="11">
        <f>BM21*Inputs!$F$191*BM73</f>
        <v/>
      </c>
      <c r="BN74" s="11">
        <f>BN21*Inputs!$F$191*BN73</f>
        <v/>
      </c>
    </row>
    <row r="75">
      <c r="D75" t="inlineStr">
        <is>
          <t>Deferred amount at 2023-12-31</t>
        </is>
      </c>
      <c r="E75" t="inlineStr">
        <is>
          <t>USD m</t>
        </is>
      </c>
      <c r="F75" s="15">
        <f>$T$74</f>
        <v/>
      </c>
    </row>
    <row r="76">
      <c r="D76" t="inlineStr">
        <is>
          <t>Deferred principal repaid</t>
        </is>
      </c>
      <c r="E76" t="inlineStr">
        <is>
          <t>USD m</t>
        </is>
      </c>
      <c r="G76" s="11">
        <f>SUM(J76:BN76)</f>
        <v/>
      </c>
      <c r="J76" s="11">
        <f>0</f>
        <v/>
      </c>
      <c r="K76" s="11">
        <f>0</f>
        <v/>
      </c>
      <c r="L76" s="11">
        <f>0</f>
        <v/>
      </c>
      <c r="M76" s="11">
        <f>0</f>
        <v/>
      </c>
      <c r="N76" s="11">
        <f>0</f>
        <v/>
      </c>
      <c r="O76" s="11">
        <f>0</f>
        <v/>
      </c>
      <c r="P76" s="11">
        <f>0</f>
        <v/>
      </c>
      <c r="Q76" s="11">
        <f>0</f>
        <v/>
      </c>
      <c r="R76" s="11">
        <f>0</f>
        <v/>
      </c>
      <c r="S76" s="11">
        <f>0</f>
        <v/>
      </c>
      <c r="T76" s="11">
        <f>0</f>
        <v/>
      </c>
      <c r="U76" s="11">
        <f>U22*MIN($F$75/4,U71)</f>
        <v/>
      </c>
      <c r="V76" s="11">
        <f>V22*MIN($F$75/4,V71)</f>
        <v/>
      </c>
      <c r="W76" s="11">
        <f>W22*MIN($F$75/4,W71)</f>
        <v/>
      </c>
      <c r="X76" s="11">
        <f>X22*MIN($F$75/4,X71)</f>
        <v/>
      </c>
      <c r="Y76" s="11">
        <f>0</f>
        <v/>
      </c>
      <c r="Z76" s="11">
        <f>0</f>
        <v/>
      </c>
      <c r="AA76" s="11">
        <f>0</f>
        <v/>
      </c>
      <c r="AB76" s="11">
        <f>0</f>
        <v/>
      </c>
      <c r="AC76" s="11">
        <f>0</f>
        <v/>
      </c>
      <c r="AD76" s="11">
        <f>0</f>
        <v/>
      </c>
      <c r="AE76" s="11">
        <f>0</f>
        <v/>
      </c>
      <c r="AF76" s="11">
        <f>0</f>
        <v/>
      </c>
      <c r="AG76" s="11">
        <f>0</f>
        <v/>
      </c>
      <c r="AH76" s="11">
        <f>0</f>
        <v/>
      </c>
      <c r="AI76" s="11">
        <f>0</f>
        <v/>
      </c>
      <c r="AJ76" s="11">
        <f>0</f>
        <v/>
      </c>
      <c r="AK76" s="11">
        <f>0</f>
        <v/>
      </c>
      <c r="AL76" s="11">
        <f>0</f>
        <v/>
      </c>
      <c r="AM76" s="11">
        <f>0</f>
        <v/>
      </c>
      <c r="AN76" s="11">
        <f>0</f>
        <v/>
      </c>
      <c r="AO76" s="11">
        <f>0</f>
        <v/>
      </c>
      <c r="AP76" s="11">
        <f>0</f>
        <v/>
      </c>
      <c r="AQ76" s="11">
        <f>0</f>
        <v/>
      </c>
      <c r="AR76" s="11">
        <f>0</f>
        <v/>
      </c>
      <c r="AS76" s="11">
        <f>0</f>
        <v/>
      </c>
      <c r="AT76" s="11">
        <f>0</f>
        <v/>
      </c>
      <c r="AU76" s="11">
        <f>0</f>
        <v/>
      </c>
      <c r="AV76" s="11">
        <f>0</f>
        <v/>
      </c>
      <c r="AW76" s="11">
        <f>0</f>
        <v/>
      </c>
      <c r="AX76" s="11">
        <f>0</f>
        <v/>
      </c>
      <c r="AY76" s="11">
        <f>0</f>
        <v/>
      </c>
      <c r="AZ76" s="11">
        <f>0</f>
        <v/>
      </c>
      <c r="BA76" s="11">
        <f>0</f>
        <v/>
      </c>
      <c r="BB76" s="11">
        <f>0</f>
        <v/>
      </c>
      <c r="BC76" s="11">
        <f>0</f>
        <v/>
      </c>
      <c r="BD76" s="11">
        <f>0</f>
        <v/>
      </c>
      <c r="BE76" s="11">
        <f>0</f>
        <v/>
      </c>
      <c r="BF76" s="11">
        <f>0</f>
        <v/>
      </c>
      <c r="BG76" s="11">
        <f>0</f>
        <v/>
      </c>
      <c r="BH76" s="11">
        <f>0</f>
        <v/>
      </c>
      <c r="BI76" s="11">
        <f>0</f>
        <v/>
      </c>
      <c r="BJ76" s="11">
        <f>0</f>
        <v/>
      </c>
      <c r="BK76" s="11">
        <f>0</f>
        <v/>
      </c>
      <c r="BL76" s="11">
        <f>0</f>
        <v/>
      </c>
      <c r="BM76" s="11">
        <f>0</f>
        <v/>
      </c>
      <c r="BN76" s="11">
        <f>0</f>
        <v/>
      </c>
    </row>
    <row r="77">
      <c r="D77" t="inlineStr">
        <is>
          <t>Principal paid</t>
        </is>
      </c>
      <c r="E77" t="inlineStr">
        <is>
          <t>USD m</t>
        </is>
      </c>
      <c r="G77" s="11">
        <f>SUM(J77:BN77)</f>
        <v/>
      </c>
      <c r="J77" s="11">
        <f>J73-J74+J76</f>
        <v/>
      </c>
      <c r="K77" s="11">
        <f>K73-K74+K76</f>
        <v/>
      </c>
      <c r="L77" s="11">
        <f>L73-L74+L76</f>
        <v/>
      </c>
      <c r="M77" s="11">
        <f>M73-M74+M76</f>
        <v/>
      </c>
      <c r="N77" s="11">
        <f>N73-N74+N76</f>
        <v/>
      </c>
      <c r="O77" s="11">
        <f>O73-O74+O76</f>
        <v/>
      </c>
      <c r="P77" s="11">
        <f>P73-P74+P76</f>
        <v/>
      </c>
      <c r="Q77" s="11">
        <f>Q73-Q74+Q76</f>
        <v/>
      </c>
      <c r="R77" s="11">
        <f>R73-R74+R76</f>
        <v/>
      </c>
      <c r="S77" s="11">
        <f>S73-S74+S76</f>
        <v/>
      </c>
      <c r="T77" s="11">
        <f>T73-T74+T76</f>
        <v/>
      </c>
      <c r="U77" s="11">
        <f>U73-U74+U76</f>
        <v/>
      </c>
      <c r="V77" s="11">
        <f>V73-V74+V76</f>
        <v/>
      </c>
      <c r="W77" s="11">
        <f>W73-W74+W76</f>
        <v/>
      </c>
      <c r="X77" s="11">
        <f>X73-X74+X76</f>
        <v/>
      </c>
      <c r="Y77" s="11">
        <f>Y73-Y74+Y76</f>
        <v/>
      </c>
      <c r="Z77" s="11">
        <f>Z73-Z74+Z76</f>
        <v/>
      </c>
      <c r="AA77" s="11">
        <f>AA73-AA74+AA76</f>
        <v/>
      </c>
      <c r="AB77" s="11">
        <f>AB73-AB74+AB76</f>
        <v/>
      </c>
      <c r="AC77" s="11">
        <f>AC73-AC74+AC76</f>
        <v/>
      </c>
      <c r="AD77" s="11">
        <f>AD73-AD74+AD76</f>
        <v/>
      </c>
      <c r="AE77" s="11">
        <f>AE73-AE74+AE76</f>
        <v/>
      </c>
      <c r="AF77" s="11">
        <f>AF73-AF74+AF76</f>
        <v/>
      </c>
      <c r="AG77" s="11">
        <f>AG73-AG74+AG76</f>
        <v/>
      </c>
      <c r="AH77" s="11">
        <f>AH73-AH74+AH76</f>
        <v/>
      </c>
      <c r="AI77" s="11">
        <f>AI73-AI74+AI76</f>
        <v/>
      </c>
      <c r="AJ77" s="11">
        <f>AJ73-AJ74+AJ76</f>
        <v/>
      </c>
      <c r="AK77" s="11">
        <f>AK73-AK74+AK76</f>
        <v/>
      </c>
      <c r="AL77" s="11">
        <f>AL73-AL74+AL76</f>
        <v/>
      </c>
      <c r="AM77" s="11">
        <f>AM73-AM74+AM76</f>
        <v/>
      </c>
      <c r="AN77" s="11">
        <f>AN73-AN74+AN76</f>
        <v/>
      </c>
      <c r="AO77" s="11">
        <f>AO73-AO74+AO76</f>
        <v/>
      </c>
      <c r="AP77" s="11">
        <f>AP73-AP74+AP76</f>
        <v/>
      </c>
      <c r="AQ77" s="11">
        <f>AQ73-AQ74+AQ76</f>
        <v/>
      </c>
      <c r="AR77" s="11">
        <f>AR73-AR74+AR76</f>
        <v/>
      </c>
      <c r="AS77" s="11">
        <f>AS73-AS74+AS76</f>
        <v/>
      </c>
      <c r="AT77" s="11">
        <f>AT73-AT74+AT76</f>
        <v/>
      </c>
      <c r="AU77" s="11">
        <f>AU73-AU74+AU76</f>
        <v/>
      </c>
      <c r="AV77" s="11">
        <f>AV73-AV74+AV76</f>
        <v/>
      </c>
      <c r="AW77" s="11">
        <f>AW73-AW74+AW76</f>
        <v/>
      </c>
      <c r="AX77" s="11">
        <f>AX73-AX74+AX76</f>
        <v/>
      </c>
      <c r="AY77" s="11">
        <f>AY73-AY74+AY76</f>
        <v/>
      </c>
      <c r="AZ77" s="11">
        <f>AZ73-AZ74+AZ76</f>
        <v/>
      </c>
      <c r="BA77" s="11">
        <f>BA73-BA74+BA76</f>
        <v/>
      </c>
      <c r="BB77" s="11">
        <f>BB73-BB74+BB76</f>
        <v/>
      </c>
      <c r="BC77" s="11">
        <f>BC73-BC74+BC76</f>
        <v/>
      </c>
      <c r="BD77" s="11">
        <f>BD73-BD74+BD76</f>
        <v/>
      </c>
      <c r="BE77" s="11">
        <f>BE73-BE74+BE76</f>
        <v/>
      </c>
      <c r="BF77" s="11">
        <f>BF73-BF74+BF76</f>
        <v/>
      </c>
      <c r="BG77" s="11">
        <f>BG73-BG74+BG76</f>
        <v/>
      </c>
      <c r="BH77" s="11">
        <f>BH73-BH74+BH76</f>
        <v/>
      </c>
      <c r="BI77" s="11">
        <f>BI73-BI74+BI76</f>
        <v/>
      </c>
      <c r="BJ77" s="11">
        <f>BJ73-BJ74+BJ76</f>
        <v/>
      </c>
      <c r="BK77" s="11">
        <f>BK73-BK74+BK76</f>
        <v/>
      </c>
      <c r="BL77" s="11">
        <f>BL73-BL74+BL76</f>
        <v/>
      </c>
      <c r="BM77" s="11">
        <f>BM73-BM74+BM76</f>
        <v/>
      </c>
      <c r="BN77" s="11">
        <f>BN73-BN74+BN76</f>
        <v/>
      </c>
    </row>
    <row r="78">
      <c r="D78" t="inlineStr">
        <is>
          <t>Performance LD prepayment</t>
        </is>
      </c>
      <c r="E78" t="inlineStr">
        <is>
          <t>USD m</t>
        </is>
      </c>
      <c r="G78" s="11">
        <f>SUM(J78:BN78)</f>
        <v/>
      </c>
      <c r="J78" s="11">
        <f>J23*Inputs!$F$188*(J70-J77)/(J25-J32+J40-J47+J55-J62+J70-J77+J85-J92+0.000000001)</f>
        <v/>
      </c>
      <c r="K78" s="11">
        <f>K23*Inputs!$F$188*(K70-K77)/(K25-K32+K40-K47+K55-K62+K70-K77+K85-K92+0.000000001)</f>
        <v/>
      </c>
      <c r="L78" s="11">
        <f>L23*Inputs!$F$188*(L70-L77)/(L25-L32+L40-L47+L55-L62+L70-L77+L85-L92+0.000000001)</f>
        <v/>
      </c>
      <c r="M78" s="11">
        <f>M23*Inputs!$F$188*(M70-M77)/(M25-M32+M40-M47+M55-M62+M70-M77+M85-M92+0.000000001)</f>
        <v/>
      </c>
      <c r="N78" s="11">
        <f>N23*Inputs!$F$188*(N70-N77)/(N25-N32+N40-N47+N55-N62+N70-N77+N85-N92+0.000000001)</f>
        <v/>
      </c>
      <c r="O78" s="11">
        <f>O23*Inputs!$F$188*(O70-O77)/(O25-O32+O40-O47+O55-O62+O70-O77+O85-O92+0.000000001)</f>
        <v/>
      </c>
      <c r="P78" s="11">
        <f>P23*Inputs!$F$188*(P70-P77)/(P25-P32+P40-P47+P55-P62+P70-P77+P85-P92+0.000000001)</f>
        <v/>
      </c>
      <c r="Q78" s="11">
        <f>Q23*Inputs!$F$188*(Q70-Q77)/(Q25-Q32+Q40-Q47+Q55-Q62+Q70-Q77+Q85-Q92+0.000000001)</f>
        <v/>
      </c>
      <c r="R78" s="11">
        <f>R23*Inputs!$F$188*(R70-R77)/(R25-R32+R40-R47+R55-R62+R70-R77+R85-R92+0.000000001)</f>
        <v/>
      </c>
      <c r="S78" s="11">
        <f>S23*Inputs!$F$188*(S70-S77)/(S25-S32+S40-S47+S55-S62+S70-S77+S85-S92+0.000000001)</f>
        <v/>
      </c>
      <c r="T78" s="11">
        <f>T23*Inputs!$F$188*(T70-T77)/(T25-T32+T40-T47+T55-T62+T70-T77+T85-T92+0.000000001)</f>
        <v/>
      </c>
      <c r="U78" s="11">
        <f>U23*Inputs!$F$188*(U70-U77)/(U25-U32+U40-U47+U55-U62+U70-U77+U85-U92+0.000000001)</f>
        <v/>
      </c>
      <c r="V78" s="11">
        <f>V23*Inputs!$F$188*(V70-V77)/(V25-V32+V40-V47+V55-V62+V70-V77+V85-V92+0.000000001)</f>
        <v/>
      </c>
      <c r="W78" s="11">
        <f>W23*Inputs!$F$188*(W70-W77)/(W25-W32+W40-W47+W55-W62+W70-W77+W85-W92+0.000000001)</f>
        <v/>
      </c>
      <c r="X78" s="11">
        <f>X23*Inputs!$F$188*(X70-X77)/(X25-X32+X40-X47+X55-X62+X70-X77+X85-X92+0.000000001)</f>
        <v/>
      </c>
      <c r="Y78" s="11">
        <f>Y23*Inputs!$F$188*(Y70-Y77)/(Y25-Y32+Y40-Y47+Y55-Y62+Y70-Y77+Y85-Y92+0.000000001)</f>
        <v/>
      </c>
      <c r="Z78" s="11">
        <f>Z23*Inputs!$F$188*(Z70-Z77)/(Z25-Z32+Z40-Z47+Z55-Z62+Z70-Z77+Z85-Z92+0.000000001)</f>
        <v/>
      </c>
      <c r="AA78" s="11">
        <f>AA23*Inputs!$F$188*(AA70-AA77)/(AA25-AA32+AA40-AA47+AA55-AA62+AA70-AA77+AA85-AA92+0.000000001)</f>
        <v/>
      </c>
      <c r="AB78" s="11">
        <f>AB23*Inputs!$F$188*(AB70-AB77)/(AB25-AB32+AB40-AB47+AB55-AB62+AB70-AB77+AB85-AB92+0.000000001)</f>
        <v/>
      </c>
      <c r="AC78" s="11">
        <f>AC23*Inputs!$F$188*(AC70-AC77)/(AC25-AC32+AC40-AC47+AC55-AC62+AC70-AC77+AC85-AC92+0.000000001)</f>
        <v/>
      </c>
      <c r="AD78" s="11">
        <f>AD23*Inputs!$F$188*(AD70-AD77)/(AD25-AD32+AD40-AD47+AD55-AD62+AD70-AD77+AD85-AD92+0.000000001)</f>
        <v/>
      </c>
      <c r="AE78" s="11">
        <f>AE23*Inputs!$F$188*(AE70-AE77)/(AE25-AE32+AE40-AE47+AE55-AE62+AE70-AE77+AE85-AE92+0.000000001)</f>
        <v/>
      </c>
      <c r="AF78" s="11">
        <f>AF23*Inputs!$F$188*(AF70-AF77)/(AF25-AF32+AF40-AF47+AF55-AF62+AF70-AF77+AF85-AF92+0.000000001)</f>
        <v/>
      </c>
      <c r="AG78" s="11">
        <f>AG23*Inputs!$F$188*(AG70-AG77)/(AG25-AG32+AG40-AG47+AG55-AG62+AG70-AG77+AG85-AG92+0.000000001)</f>
        <v/>
      </c>
      <c r="AH78" s="11">
        <f>AH23*Inputs!$F$188*(AH70-AH77)/(AH25-AH32+AH40-AH47+AH55-AH62+AH70-AH77+AH85-AH92+0.000000001)</f>
        <v/>
      </c>
      <c r="AI78" s="11">
        <f>AI23*Inputs!$F$188*(AI70-AI77)/(AI25-AI32+AI40-AI47+AI55-AI62+AI70-AI77+AI85-AI92+0.000000001)</f>
        <v/>
      </c>
      <c r="AJ78" s="11">
        <f>AJ23*Inputs!$F$188*(AJ70-AJ77)/(AJ25-AJ32+AJ40-AJ47+AJ55-AJ62+AJ70-AJ77+AJ85-AJ92+0.000000001)</f>
        <v/>
      </c>
      <c r="AK78" s="11">
        <f>AK23*Inputs!$F$188*(AK70-AK77)/(AK25-AK32+AK40-AK47+AK55-AK62+AK70-AK77+AK85-AK92+0.000000001)</f>
        <v/>
      </c>
      <c r="AL78" s="11">
        <f>AL23*Inputs!$F$188*(AL70-AL77)/(AL25-AL32+AL40-AL47+AL55-AL62+AL70-AL77+AL85-AL92+0.000000001)</f>
        <v/>
      </c>
      <c r="AM78" s="11">
        <f>AM23*Inputs!$F$188*(AM70-AM77)/(AM25-AM32+AM40-AM47+AM55-AM62+AM70-AM77+AM85-AM92+0.000000001)</f>
        <v/>
      </c>
      <c r="AN78" s="11">
        <f>AN23*Inputs!$F$188*(AN70-AN77)/(AN25-AN32+AN40-AN47+AN55-AN62+AN70-AN77+AN85-AN92+0.000000001)</f>
        <v/>
      </c>
      <c r="AO78" s="11">
        <f>AO23*Inputs!$F$188*(AO70-AO77)/(AO25-AO32+AO40-AO47+AO55-AO62+AO70-AO77+AO85-AO92+0.000000001)</f>
        <v/>
      </c>
      <c r="AP78" s="11">
        <f>AP23*Inputs!$F$188*(AP70-AP77)/(AP25-AP32+AP40-AP47+AP55-AP62+AP70-AP77+AP85-AP92+0.000000001)</f>
        <v/>
      </c>
      <c r="AQ78" s="11">
        <f>AQ23*Inputs!$F$188*(AQ70-AQ77)/(AQ25-AQ32+AQ40-AQ47+AQ55-AQ62+AQ70-AQ77+AQ85-AQ92+0.000000001)</f>
        <v/>
      </c>
      <c r="AR78" s="11">
        <f>AR23*Inputs!$F$188*(AR70-AR77)/(AR25-AR32+AR40-AR47+AR55-AR62+AR70-AR77+AR85-AR92+0.000000001)</f>
        <v/>
      </c>
      <c r="AS78" s="11">
        <f>AS23*Inputs!$F$188*(AS70-AS77)/(AS25-AS32+AS40-AS47+AS55-AS62+AS70-AS77+AS85-AS92+0.000000001)</f>
        <v/>
      </c>
      <c r="AT78" s="11">
        <f>AT23*Inputs!$F$188*(AT70-AT77)/(AT25-AT32+AT40-AT47+AT55-AT62+AT70-AT77+AT85-AT92+0.000000001)</f>
        <v/>
      </c>
      <c r="AU78" s="11">
        <f>AU23*Inputs!$F$188*(AU70-AU77)/(AU25-AU32+AU40-AU47+AU55-AU62+AU70-AU77+AU85-AU92+0.000000001)</f>
        <v/>
      </c>
      <c r="AV78" s="11">
        <f>AV23*Inputs!$F$188*(AV70-AV77)/(AV25-AV32+AV40-AV47+AV55-AV62+AV70-AV77+AV85-AV92+0.000000001)</f>
        <v/>
      </c>
      <c r="AW78" s="11">
        <f>AW23*Inputs!$F$188*(AW70-AW77)/(AW25-AW32+AW40-AW47+AW55-AW62+AW70-AW77+AW85-AW92+0.000000001)</f>
        <v/>
      </c>
      <c r="AX78" s="11">
        <f>AX23*Inputs!$F$188*(AX70-AX77)/(AX25-AX32+AX40-AX47+AX55-AX62+AX70-AX77+AX85-AX92+0.000000001)</f>
        <v/>
      </c>
      <c r="AY78" s="11">
        <f>AY23*Inputs!$F$188*(AY70-AY77)/(AY25-AY32+AY40-AY47+AY55-AY62+AY70-AY77+AY85-AY92+0.000000001)</f>
        <v/>
      </c>
      <c r="AZ78" s="11">
        <f>AZ23*Inputs!$F$188*(AZ70-AZ77)/(AZ25-AZ32+AZ40-AZ47+AZ55-AZ62+AZ70-AZ77+AZ85-AZ92+0.000000001)</f>
        <v/>
      </c>
      <c r="BA78" s="11">
        <f>BA23*Inputs!$F$188*(BA70-BA77)/(BA25-BA32+BA40-BA47+BA55-BA62+BA70-BA77+BA85-BA92+0.000000001)</f>
        <v/>
      </c>
      <c r="BB78" s="11">
        <f>BB23*Inputs!$F$188*(BB70-BB77)/(BB25-BB32+BB40-BB47+BB55-BB62+BB70-BB77+BB85-BB92+0.000000001)</f>
        <v/>
      </c>
      <c r="BC78" s="11">
        <f>BC23*Inputs!$F$188*(BC70-BC77)/(BC25-BC32+BC40-BC47+BC55-BC62+BC70-BC77+BC85-BC92+0.000000001)</f>
        <v/>
      </c>
      <c r="BD78" s="11">
        <f>BD23*Inputs!$F$188*(BD70-BD77)/(BD25-BD32+BD40-BD47+BD55-BD62+BD70-BD77+BD85-BD92+0.000000001)</f>
        <v/>
      </c>
      <c r="BE78" s="11">
        <f>BE23*Inputs!$F$188*(BE70-BE77)/(BE25-BE32+BE40-BE47+BE55-BE62+BE70-BE77+BE85-BE92+0.000000001)</f>
        <v/>
      </c>
      <c r="BF78" s="11">
        <f>BF23*Inputs!$F$188*(BF70-BF77)/(BF25-BF32+BF40-BF47+BF55-BF62+BF70-BF77+BF85-BF92+0.000000001)</f>
        <v/>
      </c>
      <c r="BG78" s="11">
        <f>BG23*Inputs!$F$188*(BG70-BG77)/(BG25-BG32+BG40-BG47+BG55-BG62+BG70-BG77+BG85-BG92+0.000000001)</f>
        <v/>
      </c>
      <c r="BH78" s="11">
        <f>BH23*Inputs!$F$188*(BH70-BH77)/(BH25-BH32+BH40-BH47+BH55-BH62+BH70-BH77+BH85-BH92+0.000000001)</f>
        <v/>
      </c>
      <c r="BI78" s="11">
        <f>BI23*Inputs!$F$188*(BI70-BI77)/(BI25-BI32+BI40-BI47+BI55-BI62+BI70-BI77+BI85-BI92+0.000000001)</f>
        <v/>
      </c>
      <c r="BJ78" s="11">
        <f>BJ23*Inputs!$F$188*(BJ70-BJ77)/(BJ25-BJ32+BJ40-BJ47+BJ55-BJ62+BJ70-BJ77+BJ85-BJ92+0.000000001)</f>
        <v/>
      </c>
      <c r="BK78" s="11">
        <f>BK23*Inputs!$F$188*(BK70-BK77)/(BK25-BK32+BK40-BK47+BK55-BK62+BK70-BK77+BK85-BK92+0.000000001)</f>
        <v/>
      </c>
      <c r="BL78" s="11">
        <f>BL23*Inputs!$F$188*(BL70-BL77)/(BL25-BL32+BL40-BL47+BL55-BL62+BL70-BL77+BL85-BL92+0.000000001)</f>
        <v/>
      </c>
      <c r="BM78" s="11">
        <f>BM23*Inputs!$F$188*(BM70-BM77)/(BM25-BM32+BM40-BM47+BM55-BM62+BM70-BM77+BM85-BM92+0.000000001)</f>
        <v/>
      </c>
      <c r="BN78" s="11">
        <f>BN23*Inputs!$F$188*(BN70-BN77)/(BN25-BN32+BN40-BN47+BN55-BN62+BN70-BN77+BN85-BN92+0.000000001)</f>
        <v/>
      </c>
    </row>
    <row r="79">
      <c r="D79" t="inlineStr">
        <is>
          <t>Refinanced (prepaid from bond proceeds)</t>
        </is>
      </c>
      <c r="E79" t="inlineStr">
        <is>
          <t>USD m</t>
        </is>
      </c>
      <c r="G79" s="11">
        <f>SUM(J79:BN79)</f>
        <v/>
      </c>
      <c r="J79" s="11">
        <f>J20*(J70-J77-J78)</f>
        <v/>
      </c>
      <c r="K79" s="11">
        <f>K20*(K70-K77-K78)</f>
        <v/>
      </c>
      <c r="L79" s="11">
        <f>L20*(L70-L77-L78)</f>
        <v/>
      </c>
      <c r="M79" s="11">
        <f>M20*(M70-M77-M78)</f>
        <v/>
      </c>
      <c r="N79" s="11">
        <f>N20*(N70-N77-N78)</f>
        <v/>
      </c>
      <c r="O79" s="11">
        <f>O20*(O70-O77-O78)</f>
        <v/>
      </c>
      <c r="P79" s="11">
        <f>P20*(P70-P77-P78)</f>
        <v/>
      </c>
      <c r="Q79" s="11">
        <f>Q20*(Q70-Q77-Q78)</f>
        <v/>
      </c>
      <c r="R79" s="11">
        <f>R20*(R70-R77-R78)</f>
        <v/>
      </c>
      <c r="S79" s="11">
        <f>S20*(S70-S77-S78)</f>
        <v/>
      </c>
      <c r="T79" s="11">
        <f>T20*(T70-T77-T78)</f>
        <v/>
      </c>
      <c r="U79" s="11">
        <f>U20*(U70-U77-U78)</f>
        <v/>
      </c>
      <c r="V79" s="11">
        <f>V20*(V70-V77-V78)</f>
        <v/>
      </c>
      <c r="W79" s="11">
        <f>W20*(W70-W77-W78)</f>
        <v/>
      </c>
      <c r="X79" s="11">
        <f>X20*(X70-X77-X78)</f>
        <v/>
      </c>
      <c r="Y79" s="11">
        <f>Y20*(Y70-Y77-Y78)</f>
        <v/>
      </c>
      <c r="Z79" s="11">
        <f>Z20*(Z70-Z77-Z78)</f>
        <v/>
      </c>
      <c r="AA79" s="11">
        <f>AA20*(AA70-AA77-AA78)</f>
        <v/>
      </c>
      <c r="AB79" s="11">
        <f>AB20*(AB70-AB77-AB78)</f>
        <v/>
      </c>
      <c r="AC79" s="11">
        <f>AC20*(AC70-AC77-AC78)</f>
        <v/>
      </c>
      <c r="AD79" s="11">
        <f>AD20*(AD70-AD77-AD78)</f>
        <v/>
      </c>
      <c r="AE79" s="11">
        <f>AE20*(AE70-AE77-AE78)</f>
        <v/>
      </c>
      <c r="AF79" s="11">
        <f>AF20*(AF70-AF77-AF78)</f>
        <v/>
      </c>
      <c r="AG79" s="11">
        <f>AG20*(AG70-AG77-AG78)</f>
        <v/>
      </c>
      <c r="AH79" s="11">
        <f>AH20*(AH70-AH77-AH78)</f>
        <v/>
      </c>
      <c r="AI79" s="11">
        <f>AI20*(AI70-AI77-AI78)</f>
        <v/>
      </c>
      <c r="AJ79" s="11">
        <f>AJ20*(AJ70-AJ77-AJ78)</f>
        <v/>
      </c>
      <c r="AK79" s="11">
        <f>AK20*(AK70-AK77-AK78)</f>
        <v/>
      </c>
      <c r="AL79" s="11">
        <f>AL20*(AL70-AL77-AL78)</f>
        <v/>
      </c>
      <c r="AM79" s="11">
        <f>AM20*(AM70-AM77-AM78)</f>
        <v/>
      </c>
      <c r="AN79" s="11">
        <f>AN20*(AN70-AN77-AN78)</f>
        <v/>
      </c>
      <c r="AO79" s="11">
        <f>AO20*(AO70-AO77-AO78)</f>
        <v/>
      </c>
      <c r="AP79" s="11">
        <f>AP20*(AP70-AP77-AP78)</f>
        <v/>
      </c>
      <c r="AQ79" s="11">
        <f>AQ20*(AQ70-AQ77-AQ78)</f>
        <v/>
      </c>
      <c r="AR79" s="11">
        <f>AR20*(AR70-AR77-AR78)</f>
        <v/>
      </c>
      <c r="AS79" s="11">
        <f>AS20*(AS70-AS77-AS78)</f>
        <v/>
      </c>
      <c r="AT79" s="11">
        <f>AT20*(AT70-AT77-AT78)</f>
        <v/>
      </c>
      <c r="AU79" s="11">
        <f>AU20*(AU70-AU77-AU78)</f>
        <v/>
      </c>
      <c r="AV79" s="11">
        <f>AV20*(AV70-AV77-AV78)</f>
        <v/>
      </c>
      <c r="AW79" s="11">
        <f>AW20*(AW70-AW77-AW78)</f>
        <v/>
      </c>
      <c r="AX79" s="11">
        <f>AX20*(AX70-AX77-AX78)</f>
        <v/>
      </c>
      <c r="AY79" s="11">
        <f>AY20*(AY70-AY77-AY78)</f>
        <v/>
      </c>
      <c r="AZ79" s="11">
        <f>AZ20*(AZ70-AZ77-AZ78)</f>
        <v/>
      </c>
      <c r="BA79" s="11">
        <f>BA20*(BA70-BA77-BA78)</f>
        <v/>
      </c>
      <c r="BB79" s="11">
        <f>BB20*(BB70-BB77-BB78)</f>
        <v/>
      </c>
      <c r="BC79" s="11">
        <f>BC20*(BC70-BC77-BC78)</f>
        <v/>
      </c>
      <c r="BD79" s="11">
        <f>BD20*(BD70-BD77-BD78)</f>
        <v/>
      </c>
      <c r="BE79" s="11">
        <f>BE20*(BE70-BE77-BE78)</f>
        <v/>
      </c>
      <c r="BF79" s="11">
        <f>BF20*(BF70-BF77-BF78)</f>
        <v/>
      </c>
      <c r="BG79" s="11">
        <f>BG20*(BG70-BG77-BG78)</f>
        <v/>
      </c>
      <c r="BH79" s="11">
        <f>BH20*(BH70-BH77-BH78)</f>
        <v/>
      </c>
      <c r="BI79" s="11">
        <f>BI20*(BI70-BI77-BI78)</f>
        <v/>
      </c>
      <c r="BJ79" s="11">
        <f>BJ20*(BJ70-BJ77-BJ78)</f>
        <v/>
      </c>
      <c r="BK79" s="11">
        <f>BK20*(BK70-BK77-BK78)</f>
        <v/>
      </c>
      <c r="BL79" s="11">
        <f>BL20*(BL70-BL77-BL78)</f>
        <v/>
      </c>
      <c r="BM79" s="11">
        <f>BM20*(BM70-BM77-BM78)</f>
        <v/>
      </c>
      <c r="BN79" s="11">
        <f>BN20*(BN70-BN77-BN78)</f>
        <v/>
      </c>
    </row>
    <row r="80">
      <c r="D80" t="inlineStr">
        <is>
          <t>Deferred principal, closing</t>
        </is>
      </c>
      <c r="E80" t="inlineStr">
        <is>
          <t>USD m</t>
        </is>
      </c>
      <c r="J80" s="11">
        <f>IF(J20=1,0,1)*(J71+J74-J76)</f>
        <v/>
      </c>
      <c r="K80" s="11">
        <f>IF(K20=1,0,1)*(K71+K74-K76)</f>
        <v/>
      </c>
      <c r="L80" s="11">
        <f>IF(L20=1,0,1)*(L71+L74-L76)</f>
        <v/>
      </c>
      <c r="M80" s="11">
        <f>IF(M20=1,0,1)*(M71+M74-M76)</f>
        <v/>
      </c>
      <c r="N80" s="11">
        <f>IF(N20=1,0,1)*(N71+N74-N76)</f>
        <v/>
      </c>
      <c r="O80" s="11">
        <f>IF(O20=1,0,1)*(O71+O74-O76)</f>
        <v/>
      </c>
      <c r="P80" s="11">
        <f>IF(P20=1,0,1)*(P71+P74-P76)</f>
        <v/>
      </c>
      <c r="Q80" s="11">
        <f>IF(Q20=1,0,1)*(Q71+Q74-Q76)</f>
        <v/>
      </c>
      <c r="R80" s="11">
        <f>IF(R20=1,0,1)*(R71+R74-R76)</f>
        <v/>
      </c>
      <c r="S80" s="11">
        <f>IF(S20=1,0,1)*(S71+S74-S76)</f>
        <v/>
      </c>
      <c r="T80" s="11">
        <f>IF(T20=1,0,1)*(T71+T74-T76)</f>
        <v/>
      </c>
      <c r="U80" s="11">
        <f>IF(U20=1,0,1)*(U71+U74-U76)</f>
        <v/>
      </c>
      <c r="V80" s="11">
        <f>IF(V20=1,0,1)*(V71+V74-V76)</f>
        <v/>
      </c>
      <c r="W80" s="11">
        <f>IF(W20=1,0,1)*(W71+W74-W76)</f>
        <v/>
      </c>
      <c r="X80" s="11">
        <f>IF(X20=1,0,1)*(X71+X74-X76)</f>
        <v/>
      </c>
      <c r="Y80" s="11">
        <f>IF(Y20=1,0,1)*(Y71+Y74-Y76)</f>
        <v/>
      </c>
      <c r="Z80" s="11">
        <f>IF(Z20=1,0,1)*(Z71+Z74-Z76)</f>
        <v/>
      </c>
      <c r="AA80" s="11">
        <f>IF(AA20=1,0,1)*(AA71+AA74-AA76)</f>
        <v/>
      </c>
      <c r="AB80" s="11">
        <f>IF(AB20=1,0,1)*(AB71+AB74-AB76)</f>
        <v/>
      </c>
      <c r="AC80" s="11">
        <f>IF(AC20=1,0,1)*(AC71+AC74-AC76)</f>
        <v/>
      </c>
      <c r="AD80" s="11">
        <f>IF(AD20=1,0,1)*(AD71+AD74-AD76)</f>
        <v/>
      </c>
      <c r="AE80" s="11">
        <f>IF(AE20=1,0,1)*(AE71+AE74-AE76)</f>
        <v/>
      </c>
      <c r="AF80" s="11">
        <f>IF(AF20=1,0,1)*(AF71+AF74-AF76)</f>
        <v/>
      </c>
      <c r="AG80" s="11">
        <f>IF(AG20=1,0,1)*(AG71+AG74-AG76)</f>
        <v/>
      </c>
      <c r="AH80" s="11">
        <f>IF(AH20=1,0,1)*(AH71+AH74-AH76)</f>
        <v/>
      </c>
      <c r="AI80" s="11">
        <f>IF(AI20=1,0,1)*(AI71+AI74-AI76)</f>
        <v/>
      </c>
      <c r="AJ80" s="11">
        <f>IF(AJ20=1,0,1)*(AJ71+AJ74-AJ76)</f>
        <v/>
      </c>
      <c r="AK80" s="11">
        <f>IF(AK20=1,0,1)*(AK71+AK74-AK76)</f>
        <v/>
      </c>
      <c r="AL80" s="11">
        <f>IF(AL20=1,0,1)*(AL71+AL74-AL76)</f>
        <v/>
      </c>
      <c r="AM80" s="11">
        <f>IF(AM20=1,0,1)*(AM71+AM74-AM76)</f>
        <v/>
      </c>
      <c r="AN80" s="11">
        <f>IF(AN20=1,0,1)*(AN71+AN74-AN76)</f>
        <v/>
      </c>
      <c r="AO80" s="11">
        <f>IF(AO20=1,0,1)*(AO71+AO74-AO76)</f>
        <v/>
      </c>
      <c r="AP80" s="11">
        <f>IF(AP20=1,0,1)*(AP71+AP74-AP76)</f>
        <v/>
      </c>
      <c r="AQ80" s="11">
        <f>IF(AQ20=1,0,1)*(AQ71+AQ74-AQ76)</f>
        <v/>
      </c>
      <c r="AR80" s="11">
        <f>IF(AR20=1,0,1)*(AR71+AR74-AR76)</f>
        <v/>
      </c>
      <c r="AS80" s="11">
        <f>IF(AS20=1,0,1)*(AS71+AS74-AS76)</f>
        <v/>
      </c>
      <c r="AT80" s="11">
        <f>IF(AT20=1,0,1)*(AT71+AT74-AT76)</f>
        <v/>
      </c>
      <c r="AU80" s="11">
        <f>IF(AU20=1,0,1)*(AU71+AU74-AU76)</f>
        <v/>
      </c>
      <c r="AV80" s="11">
        <f>IF(AV20=1,0,1)*(AV71+AV74-AV76)</f>
        <v/>
      </c>
      <c r="AW80" s="11">
        <f>IF(AW20=1,0,1)*(AW71+AW74-AW76)</f>
        <v/>
      </c>
      <c r="AX80" s="11">
        <f>IF(AX20=1,0,1)*(AX71+AX74-AX76)</f>
        <v/>
      </c>
      <c r="AY80" s="11">
        <f>IF(AY20=1,0,1)*(AY71+AY74-AY76)</f>
        <v/>
      </c>
      <c r="AZ80" s="11">
        <f>IF(AZ20=1,0,1)*(AZ71+AZ74-AZ76)</f>
        <v/>
      </c>
      <c r="BA80" s="11">
        <f>IF(BA20=1,0,1)*(BA71+BA74-BA76)</f>
        <v/>
      </c>
      <c r="BB80" s="11">
        <f>IF(BB20=1,0,1)*(BB71+BB74-BB76)</f>
        <v/>
      </c>
      <c r="BC80" s="11">
        <f>IF(BC20=1,0,1)*(BC71+BC74-BC76)</f>
        <v/>
      </c>
      <c r="BD80" s="11">
        <f>IF(BD20=1,0,1)*(BD71+BD74-BD76)</f>
        <v/>
      </c>
      <c r="BE80" s="11">
        <f>IF(BE20=1,0,1)*(BE71+BE74-BE76)</f>
        <v/>
      </c>
      <c r="BF80" s="11">
        <f>IF(BF20=1,0,1)*(BF71+BF74-BF76)</f>
        <v/>
      </c>
      <c r="BG80" s="11">
        <f>IF(BG20=1,0,1)*(BG71+BG74-BG76)</f>
        <v/>
      </c>
      <c r="BH80" s="11">
        <f>IF(BH20=1,0,1)*(BH71+BH74-BH76)</f>
        <v/>
      </c>
      <c r="BI80" s="11">
        <f>IF(BI20=1,0,1)*(BI71+BI74-BI76)</f>
        <v/>
      </c>
      <c r="BJ80" s="11">
        <f>IF(BJ20=1,0,1)*(BJ71+BJ74-BJ76)</f>
        <v/>
      </c>
      <c r="BK80" s="11">
        <f>IF(BK20=1,0,1)*(BK71+BK74-BK76)</f>
        <v/>
      </c>
      <c r="BL80" s="11">
        <f>IF(BL20=1,0,1)*(BL71+BL74-BL76)</f>
        <v/>
      </c>
      <c r="BM80" s="11">
        <f>IF(BM20=1,0,1)*(BM71+BM74-BM76)</f>
        <v/>
      </c>
      <c r="BN80" s="11">
        <f>IF(BN20=1,0,1)*(BN71+BN74-BN76)</f>
        <v/>
      </c>
    </row>
    <row r="81">
      <c r="D81" t="inlineStr">
        <is>
          <t>Balance after scheduled payment, LDs and refinancing</t>
        </is>
      </c>
      <c r="E81" t="inlineStr">
        <is>
          <t>USD m</t>
        </is>
      </c>
      <c r="J81" s="11">
        <f>J70-J77-J78-J79</f>
        <v/>
      </c>
      <c r="K81" s="11">
        <f>K70-K77-K78-K79</f>
        <v/>
      </c>
      <c r="L81" s="11">
        <f>L70-L77-L78-L79</f>
        <v/>
      </c>
      <c r="M81" s="11">
        <f>M70-M77-M78-M79</f>
        <v/>
      </c>
      <c r="N81" s="11">
        <f>N70-N77-N78-N79</f>
        <v/>
      </c>
      <c r="O81" s="11">
        <f>O70-O77-O78-O79</f>
        <v/>
      </c>
      <c r="P81" s="11">
        <f>P70-P77-P78-P79</f>
        <v/>
      </c>
      <c r="Q81" s="11">
        <f>Q70-Q77-Q78-Q79</f>
        <v/>
      </c>
      <c r="R81" s="11">
        <f>R70-R77-R78-R79</f>
        <v/>
      </c>
      <c r="S81" s="11">
        <f>S70-S77-S78-S79</f>
        <v/>
      </c>
      <c r="T81" s="11">
        <f>T70-T77-T78-T79</f>
        <v/>
      </c>
      <c r="U81" s="11">
        <f>U70-U77-U78-U79</f>
        <v/>
      </c>
      <c r="V81" s="11">
        <f>V70-V77-V78-V79</f>
        <v/>
      </c>
      <c r="W81" s="11">
        <f>W70-W77-W78-W79</f>
        <v/>
      </c>
      <c r="X81" s="11">
        <f>X70-X77-X78-X79</f>
        <v/>
      </c>
      <c r="Y81" s="11">
        <f>Y70-Y77-Y78-Y79</f>
        <v/>
      </c>
      <c r="Z81" s="11">
        <f>Z70-Z77-Z78-Z79</f>
        <v/>
      </c>
      <c r="AA81" s="11">
        <f>AA70-AA77-AA78-AA79</f>
        <v/>
      </c>
      <c r="AB81" s="11">
        <f>AB70-AB77-AB78-AB79</f>
        <v/>
      </c>
      <c r="AC81" s="11">
        <f>AC70-AC77-AC78-AC79</f>
        <v/>
      </c>
      <c r="AD81" s="11">
        <f>AD70-AD77-AD78-AD79</f>
        <v/>
      </c>
      <c r="AE81" s="11">
        <f>AE70-AE77-AE78-AE79</f>
        <v/>
      </c>
      <c r="AF81" s="11">
        <f>AF70-AF77-AF78-AF79</f>
        <v/>
      </c>
      <c r="AG81" s="11">
        <f>AG70-AG77-AG78-AG79</f>
        <v/>
      </c>
      <c r="AH81" s="11">
        <f>AH70-AH77-AH78-AH79</f>
        <v/>
      </c>
      <c r="AI81" s="11">
        <f>AI70-AI77-AI78-AI79</f>
        <v/>
      </c>
      <c r="AJ81" s="11">
        <f>AJ70-AJ77-AJ78-AJ79</f>
        <v/>
      </c>
      <c r="AK81" s="11">
        <f>AK70-AK77-AK78-AK79</f>
        <v/>
      </c>
      <c r="AL81" s="11">
        <f>AL70-AL77-AL78-AL79</f>
        <v/>
      </c>
      <c r="AM81" s="11">
        <f>AM70-AM77-AM78-AM79</f>
        <v/>
      </c>
      <c r="AN81" s="11">
        <f>AN70-AN77-AN78-AN79</f>
        <v/>
      </c>
      <c r="AO81" s="11">
        <f>AO70-AO77-AO78-AO79</f>
        <v/>
      </c>
      <c r="AP81" s="11">
        <f>AP70-AP77-AP78-AP79</f>
        <v/>
      </c>
      <c r="AQ81" s="11">
        <f>AQ70-AQ77-AQ78-AQ79</f>
        <v/>
      </c>
      <c r="AR81" s="11">
        <f>AR70-AR77-AR78-AR79</f>
        <v/>
      </c>
      <c r="AS81" s="11">
        <f>AS70-AS77-AS78-AS79</f>
        <v/>
      </c>
      <c r="AT81" s="11">
        <f>AT70-AT77-AT78-AT79</f>
        <v/>
      </c>
      <c r="AU81" s="11">
        <f>AU70-AU77-AU78-AU79</f>
        <v/>
      </c>
      <c r="AV81" s="11">
        <f>AV70-AV77-AV78-AV79</f>
        <v/>
      </c>
      <c r="AW81" s="11">
        <f>AW70-AW77-AW78-AW79</f>
        <v/>
      </c>
      <c r="AX81" s="11">
        <f>AX70-AX77-AX78-AX79</f>
        <v/>
      </c>
      <c r="AY81" s="11">
        <f>AY70-AY77-AY78-AY79</f>
        <v/>
      </c>
      <c r="AZ81" s="11">
        <f>AZ70-AZ77-AZ78-AZ79</f>
        <v/>
      </c>
      <c r="BA81" s="11">
        <f>BA70-BA77-BA78-BA79</f>
        <v/>
      </c>
      <c r="BB81" s="11">
        <f>BB70-BB77-BB78-BB79</f>
        <v/>
      </c>
      <c r="BC81" s="11">
        <f>BC70-BC77-BC78-BC79</f>
        <v/>
      </c>
      <c r="BD81" s="11">
        <f>BD70-BD77-BD78-BD79</f>
        <v/>
      </c>
      <c r="BE81" s="11">
        <f>BE70-BE77-BE78-BE79</f>
        <v/>
      </c>
      <c r="BF81" s="11">
        <f>BF70-BF77-BF78-BF79</f>
        <v/>
      </c>
      <c r="BG81" s="11">
        <f>BG70-BG77-BG78-BG79</f>
        <v/>
      </c>
      <c r="BH81" s="11">
        <f>BH70-BH77-BH78-BH79</f>
        <v/>
      </c>
      <c r="BI81" s="11">
        <f>BI70-BI77-BI78-BI79</f>
        <v/>
      </c>
      <c r="BJ81" s="11">
        <f>BJ70-BJ77-BJ78-BJ79</f>
        <v/>
      </c>
      <c r="BK81" s="11">
        <f>BK70-BK77-BK78-BK79</f>
        <v/>
      </c>
      <c r="BL81" s="11">
        <f>BL70-BL77-BL78-BL79</f>
        <v/>
      </c>
      <c r="BM81" s="11">
        <f>BM70-BM77-BM78-BM79</f>
        <v/>
      </c>
      <c r="BN81" s="11">
        <f>BN70-BN77-BN78-BN79</f>
        <v/>
      </c>
    </row>
    <row r="82">
      <c r="D82" t="inlineStr">
        <is>
          <t>Cash sweep prepayment</t>
        </is>
      </c>
      <c r="E82" t="inlineStr">
        <is>
          <t>USD m</t>
        </is>
      </c>
      <c r="G82" s="11">
        <f>SUM(J82:BN82)</f>
        <v/>
      </c>
      <c r="J82" s="11">
        <f>Waterfall!J28*J81/(J36+J51+J66+J81+J96+0.000000001)+Waterfall!J29</f>
        <v/>
      </c>
      <c r="K82" s="11">
        <f>Waterfall!K28*K81/(K36+K51+K66+K81+K96+0.000000001)+Waterfall!K29</f>
        <v/>
      </c>
      <c r="L82" s="11">
        <f>Waterfall!L28*L81/(L36+L51+L66+L81+L96+0.000000001)+Waterfall!L29</f>
        <v/>
      </c>
      <c r="M82" s="11">
        <f>Waterfall!M28*M81/(M36+M51+M66+M81+M96+0.000000001)+Waterfall!M29</f>
        <v/>
      </c>
      <c r="N82" s="11">
        <f>Waterfall!N28*N81/(N36+N51+N66+N81+N96+0.000000001)+Waterfall!N29</f>
        <v/>
      </c>
      <c r="O82" s="11">
        <f>Waterfall!O28*O81/(O36+O51+O66+O81+O96+0.000000001)+Waterfall!O29</f>
        <v/>
      </c>
      <c r="P82" s="11">
        <f>Waterfall!P28*P81/(P36+P51+P66+P81+P96+0.000000001)+Waterfall!P29</f>
        <v/>
      </c>
      <c r="Q82" s="11">
        <f>Waterfall!Q28*Q81/(Q36+Q51+Q66+Q81+Q96+0.000000001)+Waterfall!Q29</f>
        <v/>
      </c>
      <c r="R82" s="11">
        <f>Waterfall!R28*R81/(R36+R51+R66+R81+R96+0.000000001)+Waterfall!R29</f>
        <v/>
      </c>
      <c r="S82" s="11">
        <f>Waterfall!S28*S81/(S36+S51+S66+S81+S96+0.000000001)+Waterfall!S29</f>
        <v/>
      </c>
      <c r="T82" s="11">
        <f>Waterfall!T28*T81/(T36+T51+T66+T81+T96+0.000000001)+Waterfall!T29</f>
        <v/>
      </c>
      <c r="U82" s="11">
        <f>Waterfall!U28*U81/(U36+U51+U66+U81+U96+0.000000001)+Waterfall!U29</f>
        <v/>
      </c>
      <c r="V82" s="11">
        <f>Waterfall!V28*V81/(V36+V51+V66+V81+V96+0.000000001)+Waterfall!V29</f>
        <v/>
      </c>
      <c r="W82" s="11">
        <f>Waterfall!W28*W81/(W36+W51+W66+W81+W96+0.000000001)+Waterfall!W29</f>
        <v/>
      </c>
      <c r="X82" s="11">
        <f>Waterfall!X28*X81/(X36+X51+X66+X81+X96+0.000000001)+Waterfall!X29</f>
        <v/>
      </c>
      <c r="Y82" s="11">
        <f>Waterfall!Y28*Y81/(Y36+Y51+Y66+Y81+Y96+0.000000001)+Waterfall!Y29</f>
        <v/>
      </c>
      <c r="Z82" s="11">
        <f>Waterfall!Z28*Z81/(Z36+Z51+Z66+Z81+Z96+0.000000001)+Waterfall!Z29</f>
        <v/>
      </c>
      <c r="AA82" s="11">
        <f>Waterfall!AA28*AA81/(AA36+AA51+AA66+AA81+AA96+0.000000001)+Waterfall!AA29</f>
        <v/>
      </c>
      <c r="AB82" s="11">
        <f>Waterfall!AB28*AB81/(AB36+AB51+AB66+AB81+AB96+0.000000001)+Waterfall!AB29</f>
        <v/>
      </c>
      <c r="AC82" s="11">
        <f>Waterfall!AC28*AC81/(AC36+AC51+AC66+AC81+AC96+0.000000001)+Waterfall!AC29</f>
        <v/>
      </c>
      <c r="AD82" s="11">
        <f>Waterfall!AD28*AD81/(AD36+AD51+AD66+AD81+AD96+0.000000001)+Waterfall!AD29</f>
        <v/>
      </c>
      <c r="AE82" s="11">
        <f>Waterfall!AE28*AE81/(AE36+AE51+AE66+AE81+AE96+0.000000001)+Waterfall!AE29</f>
        <v/>
      </c>
      <c r="AF82" s="11">
        <f>Waterfall!AF28*AF81/(AF36+AF51+AF66+AF81+AF96+0.000000001)+Waterfall!AF29</f>
        <v/>
      </c>
      <c r="AG82" s="11">
        <f>Waterfall!AG28*AG81/(AG36+AG51+AG66+AG81+AG96+0.000000001)+Waterfall!AG29</f>
        <v/>
      </c>
      <c r="AH82" s="11">
        <f>Waterfall!AH28*AH81/(AH36+AH51+AH66+AH81+AH96+0.000000001)+Waterfall!AH29</f>
        <v/>
      </c>
      <c r="AI82" s="11">
        <f>Waterfall!AI28*AI81/(AI36+AI51+AI66+AI81+AI96+0.000000001)+Waterfall!AI29</f>
        <v/>
      </c>
      <c r="AJ82" s="11">
        <f>Waterfall!AJ28*AJ81/(AJ36+AJ51+AJ66+AJ81+AJ96+0.000000001)+Waterfall!AJ29</f>
        <v/>
      </c>
      <c r="AK82" s="11">
        <f>Waterfall!AK28*AK81/(AK36+AK51+AK66+AK81+AK96+0.000000001)+Waterfall!AK29</f>
        <v/>
      </c>
      <c r="AL82" s="11">
        <f>Waterfall!AL28*AL81/(AL36+AL51+AL66+AL81+AL96+0.000000001)+Waterfall!AL29</f>
        <v/>
      </c>
      <c r="AM82" s="11">
        <f>Waterfall!AM28*AM81/(AM36+AM51+AM66+AM81+AM96+0.000000001)+Waterfall!AM29</f>
        <v/>
      </c>
      <c r="AN82" s="11">
        <f>Waterfall!AN28*AN81/(AN36+AN51+AN66+AN81+AN96+0.000000001)+Waterfall!AN29</f>
        <v/>
      </c>
      <c r="AO82" s="11">
        <f>Waterfall!AO28*AO81/(AO36+AO51+AO66+AO81+AO96+0.000000001)+Waterfall!AO29</f>
        <v/>
      </c>
      <c r="AP82" s="11">
        <f>Waterfall!AP28*AP81/(AP36+AP51+AP66+AP81+AP96+0.000000001)+Waterfall!AP29</f>
        <v/>
      </c>
      <c r="AQ82" s="11">
        <f>Waterfall!AQ28*AQ81/(AQ36+AQ51+AQ66+AQ81+AQ96+0.000000001)+Waterfall!AQ29</f>
        <v/>
      </c>
      <c r="AR82" s="11">
        <f>Waterfall!AR28*AR81/(AR36+AR51+AR66+AR81+AR96+0.000000001)+Waterfall!AR29</f>
        <v/>
      </c>
      <c r="AS82" s="11">
        <f>Waterfall!AS28*AS81/(AS36+AS51+AS66+AS81+AS96+0.000000001)+Waterfall!AS29</f>
        <v/>
      </c>
      <c r="AT82" s="11">
        <f>Waterfall!AT28*AT81/(AT36+AT51+AT66+AT81+AT96+0.000000001)+Waterfall!AT29</f>
        <v/>
      </c>
      <c r="AU82" s="11">
        <f>Waterfall!AU28*AU81/(AU36+AU51+AU66+AU81+AU96+0.000000001)+Waterfall!AU29</f>
        <v/>
      </c>
      <c r="AV82" s="11">
        <f>Waterfall!AV28*AV81/(AV36+AV51+AV66+AV81+AV96+0.000000001)+Waterfall!AV29</f>
        <v/>
      </c>
      <c r="AW82" s="11">
        <f>Waterfall!AW28*AW81/(AW36+AW51+AW66+AW81+AW96+0.000000001)+Waterfall!AW29</f>
        <v/>
      </c>
      <c r="AX82" s="11">
        <f>Waterfall!AX28*AX81/(AX36+AX51+AX66+AX81+AX96+0.000000001)+Waterfall!AX29</f>
        <v/>
      </c>
      <c r="AY82" s="11">
        <f>Waterfall!AY28*AY81/(AY36+AY51+AY66+AY81+AY96+0.000000001)+Waterfall!AY29</f>
        <v/>
      </c>
      <c r="AZ82" s="11">
        <f>Waterfall!AZ28*AZ81/(AZ36+AZ51+AZ66+AZ81+AZ96+0.000000001)+Waterfall!AZ29</f>
        <v/>
      </c>
      <c r="BA82" s="11">
        <f>Waterfall!BA28*BA81/(BA36+BA51+BA66+BA81+BA96+0.000000001)+Waterfall!BA29</f>
        <v/>
      </c>
      <c r="BB82" s="11">
        <f>Waterfall!BB28*BB81/(BB36+BB51+BB66+BB81+BB96+0.000000001)+Waterfall!BB29</f>
        <v/>
      </c>
      <c r="BC82" s="11">
        <f>Waterfall!BC28*BC81/(BC36+BC51+BC66+BC81+BC96+0.000000001)+Waterfall!BC29</f>
        <v/>
      </c>
      <c r="BD82" s="11">
        <f>Waterfall!BD28*BD81/(BD36+BD51+BD66+BD81+BD96+0.000000001)+Waterfall!BD29</f>
        <v/>
      </c>
      <c r="BE82" s="11">
        <f>Waterfall!BE28*BE81/(BE36+BE51+BE66+BE81+BE96+0.000000001)+Waterfall!BE29</f>
        <v/>
      </c>
      <c r="BF82" s="11">
        <f>Waterfall!BF28*BF81/(BF36+BF51+BF66+BF81+BF96+0.000000001)+Waterfall!BF29</f>
        <v/>
      </c>
      <c r="BG82" s="11">
        <f>Waterfall!BG28*BG81/(BG36+BG51+BG66+BG81+BG96+0.000000001)+Waterfall!BG29</f>
        <v/>
      </c>
      <c r="BH82" s="11">
        <f>Waterfall!BH28*BH81/(BH36+BH51+BH66+BH81+BH96+0.000000001)+Waterfall!BH29</f>
        <v/>
      </c>
      <c r="BI82" s="11">
        <f>Waterfall!BI28*BI81/(BI36+BI51+BI66+BI81+BI96+0.000000001)+Waterfall!BI29</f>
        <v/>
      </c>
      <c r="BJ82" s="11">
        <f>Waterfall!BJ28*BJ81/(BJ36+BJ51+BJ66+BJ81+BJ96+0.000000001)+Waterfall!BJ29</f>
        <v/>
      </c>
      <c r="BK82" s="11">
        <f>Waterfall!BK28*BK81/(BK36+BK51+BK66+BK81+BK96+0.000000001)+Waterfall!BK29</f>
        <v/>
      </c>
      <c r="BL82" s="11">
        <f>Waterfall!BL28*BL81/(BL36+BL51+BL66+BL81+BL96+0.000000001)+Waterfall!BL29</f>
        <v/>
      </c>
      <c r="BM82" s="11">
        <f>Waterfall!BM28*BM81/(BM36+BM51+BM66+BM81+BM96+0.000000001)+Waterfall!BM29</f>
        <v/>
      </c>
      <c r="BN82" s="11">
        <f>Waterfall!BN28*BN81/(BN36+BN51+BN66+BN81+BN96+0.000000001)+Waterfall!BN29</f>
        <v/>
      </c>
    </row>
    <row r="83">
      <c r="D83" t="inlineStr">
        <is>
          <t>Closing balance</t>
        </is>
      </c>
      <c r="E83" t="inlineStr">
        <is>
          <t>USD m</t>
        </is>
      </c>
      <c r="J83" s="11">
        <f>IF(Time!J29=1,INDEX(Funding!$J$64:$BJ$64,1,Time!$F$13),Time!J30*(J81-J82))</f>
        <v/>
      </c>
      <c r="K83" s="11">
        <f>IF(Time!K29=1,INDEX(Funding!$J$64:$BJ$64,1,Time!$F$13),Time!K30*(K81-K82))</f>
        <v/>
      </c>
      <c r="L83" s="11">
        <f>IF(Time!L29=1,INDEX(Funding!$J$64:$BJ$64,1,Time!$F$13),Time!L30*(L81-L82))</f>
        <v/>
      </c>
      <c r="M83" s="11">
        <f>IF(Time!M29=1,INDEX(Funding!$J$64:$BJ$64,1,Time!$F$13),Time!M30*(M81-M82))</f>
        <v/>
      </c>
      <c r="N83" s="11">
        <f>IF(Time!N29=1,INDEX(Funding!$J$64:$BJ$64,1,Time!$F$13),Time!N30*(N81-N82))</f>
        <v/>
      </c>
      <c r="O83" s="11">
        <f>IF(Time!O29=1,INDEX(Funding!$J$64:$BJ$64,1,Time!$F$13),Time!O30*(O81-O82))</f>
        <v/>
      </c>
      <c r="P83" s="11">
        <f>IF(Time!P29=1,INDEX(Funding!$J$64:$BJ$64,1,Time!$F$13),Time!P30*(P81-P82))</f>
        <v/>
      </c>
      <c r="Q83" s="11">
        <f>IF(Time!Q29=1,INDEX(Funding!$J$64:$BJ$64,1,Time!$F$13),Time!Q30*(Q81-Q82))</f>
        <v/>
      </c>
      <c r="R83" s="11">
        <f>IF(Time!R29=1,INDEX(Funding!$J$64:$BJ$64,1,Time!$F$13),Time!R30*(R81-R82))</f>
        <v/>
      </c>
      <c r="S83" s="11">
        <f>IF(Time!S29=1,INDEX(Funding!$J$64:$BJ$64,1,Time!$F$13),Time!S30*(S81-S82))</f>
        <v/>
      </c>
      <c r="T83" s="11">
        <f>IF(Time!T29=1,INDEX(Funding!$J$64:$BJ$64,1,Time!$F$13),Time!T30*(T81-T82))</f>
        <v/>
      </c>
      <c r="U83" s="11">
        <f>IF(Time!U29=1,INDEX(Funding!$J$64:$BJ$64,1,Time!$F$13),Time!U30*(U81-U82))</f>
        <v/>
      </c>
      <c r="V83" s="11">
        <f>IF(Time!V29=1,INDEX(Funding!$J$64:$BJ$64,1,Time!$F$13),Time!V30*(V81-V82))</f>
        <v/>
      </c>
      <c r="W83" s="11">
        <f>IF(Time!W29=1,INDEX(Funding!$J$64:$BJ$64,1,Time!$F$13),Time!W30*(W81-W82))</f>
        <v/>
      </c>
      <c r="X83" s="11">
        <f>IF(Time!X29=1,INDEX(Funding!$J$64:$BJ$64,1,Time!$F$13),Time!X30*(X81-X82))</f>
        <v/>
      </c>
      <c r="Y83" s="11">
        <f>IF(Time!Y29=1,INDEX(Funding!$J$64:$BJ$64,1,Time!$F$13),Time!Y30*(Y81-Y82))</f>
        <v/>
      </c>
      <c r="Z83" s="11">
        <f>IF(Time!Z29=1,INDEX(Funding!$J$64:$BJ$64,1,Time!$F$13),Time!Z30*(Z81-Z82))</f>
        <v/>
      </c>
      <c r="AA83" s="11">
        <f>IF(Time!AA29=1,INDEX(Funding!$J$64:$BJ$64,1,Time!$F$13),Time!AA30*(AA81-AA82))</f>
        <v/>
      </c>
      <c r="AB83" s="11">
        <f>IF(Time!AB29=1,INDEX(Funding!$J$64:$BJ$64,1,Time!$F$13),Time!AB30*(AB81-AB82))</f>
        <v/>
      </c>
      <c r="AC83" s="11">
        <f>IF(Time!AC29=1,INDEX(Funding!$J$64:$BJ$64,1,Time!$F$13),Time!AC30*(AC81-AC82))</f>
        <v/>
      </c>
      <c r="AD83" s="11">
        <f>IF(Time!AD29=1,INDEX(Funding!$J$64:$BJ$64,1,Time!$F$13),Time!AD30*(AD81-AD82))</f>
        <v/>
      </c>
      <c r="AE83" s="11">
        <f>IF(Time!AE29=1,INDEX(Funding!$J$64:$BJ$64,1,Time!$F$13),Time!AE30*(AE81-AE82))</f>
        <v/>
      </c>
      <c r="AF83" s="11">
        <f>IF(Time!AF29=1,INDEX(Funding!$J$64:$BJ$64,1,Time!$F$13),Time!AF30*(AF81-AF82))</f>
        <v/>
      </c>
      <c r="AG83" s="11">
        <f>IF(Time!AG29=1,INDEX(Funding!$J$64:$BJ$64,1,Time!$F$13),Time!AG30*(AG81-AG82))</f>
        <v/>
      </c>
      <c r="AH83" s="11">
        <f>IF(Time!AH29=1,INDEX(Funding!$J$64:$BJ$64,1,Time!$F$13),Time!AH30*(AH81-AH82))</f>
        <v/>
      </c>
      <c r="AI83" s="11">
        <f>IF(Time!AI29=1,INDEX(Funding!$J$64:$BJ$64,1,Time!$F$13),Time!AI30*(AI81-AI82))</f>
        <v/>
      </c>
      <c r="AJ83" s="11">
        <f>IF(Time!AJ29=1,INDEX(Funding!$J$64:$BJ$64,1,Time!$F$13),Time!AJ30*(AJ81-AJ82))</f>
        <v/>
      </c>
      <c r="AK83" s="11">
        <f>IF(Time!AK29=1,INDEX(Funding!$J$64:$BJ$64,1,Time!$F$13),Time!AK30*(AK81-AK82))</f>
        <v/>
      </c>
      <c r="AL83" s="11">
        <f>IF(Time!AL29=1,INDEX(Funding!$J$64:$BJ$64,1,Time!$F$13),Time!AL30*(AL81-AL82))</f>
        <v/>
      </c>
      <c r="AM83" s="11">
        <f>IF(Time!AM29=1,INDEX(Funding!$J$64:$BJ$64,1,Time!$F$13),Time!AM30*(AM81-AM82))</f>
        <v/>
      </c>
      <c r="AN83" s="11">
        <f>IF(Time!AN29=1,INDEX(Funding!$J$64:$BJ$64,1,Time!$F$13),Time!AN30*(AN81-AN82))</f>
        <v/>
      </c>
      <c r="AO83" s="11">
        <f>IF(Time!AO29=1,INDEX(Funding!$J$64:$BJ$64,1,Time!$F$13),Time!AO30*(AO81-AO82))</f>
        <v/>
      </c>
      <c r="AP83" s="11">
        <f>IF(Time!AP29=1,INDEX(Funding!$J$64:$BJ$64,1,Time!$F$13),Time!AP30*(AP81-AP82))</f>
        <v/>
      </c>
      <c r="AQ83" s="11">
        <f>IF(Time!AQ29=1,INDEX(Funding!$J$64:$BJ$64,1,Time!$F$13),Time!AQ30*(AQ81-AQ82))</f>
        <v/>
      </c>
      <c r="AR83" s="11">
        <f>IF(Time!AR29=1,INDEX(Funding!$J$64:$BJ$64,1,Time!$F$13),Time!AR30*(AR81-AR82))</f>
        <v/>
      </c>
      <c r="AS83" s="11">
        <f>IF(Time!AS29=1,INDEX(Funding!$J$64:$BJ$64,1,Time!$F$13),Time!AS30*(AS81-AS82))</f>
        <v/>
      </c>
      <c r="AT83" s="11">
        <f>IF(Time!AT29=1,INDEX(Funding!$J$64:$BJ$64,1,Time!$F$13),Time!AT30*(AT81-AT82))</f>
        <v/>
      </c>
      <c r="AU83" s="11">
        <f>IF(Time!AU29=1,INDEX(Funding!$J$64:$BJ$64,1,Time!$F$13),Time!AU30*(AU81-AU82))</f>
        <v/>
      </c>
      <c r="AV83" s="11">
        <f>IF(Time!AV29=1,INDEX(Funding!$J$64:$BJ$64,1,Time!$F$13),Time!AV30*(AV81-AV82))</f>
        <v/>
      </c>
      <c r="AW83" s="11">
        <f>IF(Time!AW29=1,INDEX(Funding!$J$64:$BJ$64,1,Time!$F$13),Time!AW30*(AW81-AW82))</f>
        <v/>
      </c>
      <c r="AX83" s="11">
        <f>IF(Time!AX29=1,INDEX(Funding!$J$64:$BJ$64,1,Time!$F$13),Time!AX30*(AX81-AX82))</f>
        <v/>
      </c>
      <c r="AY83" s="11">
        <f>IF(Time!AY29=1,INDEX(Funding!$J$64:$BJ$64,1,Time!$F$13),Time!AY30*(AY81-AY82))</f>
        <v/>
      </c>
      <c r="AZ83" s="11">
        <f>IF(Time!AZ29=1,INDEX(Funding!$J$64:$BJ$64,1,Time!$F$13),Time!AZ30*(AZ81-AZ82))</f>
        <v/>
      </c>
      <c r="BA83" s="11">
        <f>IF(Time!BA29=1,INDEX(Funding!$J$64:$BJ$64,1,Time!$F$13),Time!BA30*(BA81-BA82))</f>
        <v/>
      </c>
      <c r="BB83" s="11">
        <f>IF(Time!BB29=1,INDEX(Funding!$J$64:$BJ$64,1,Time!$F$13),Time!BB30*(BB81-BB82))</f>
        <v/>
      </c>
      <c r="BC83" s="11">
        <f>IF(Time!BC29=1,INDEX(Funding!$J$64:$BJ$64,1,Time!$F$13),Time!BC30*(BC81-BC82))</f>
        <v/>
      </c>
      <c r="BD83" s="11">
        <f>IF(Time!BD29=1,INDEX(Funding!$J$64:$BJ$64,1,Time!$F$13),Time!BD30*(BD81-BD82))</f>
        <v/>
      </c>
      <c r="BE83" s="11">
        <f>IF(Time!BE29=1,INDEX(Funding!$J$64:$BJ$64,1,Time!$F$13),Time!BE30*(BE81-BE82))</f>
        <v/>
      </c>
      <c r="BF83" s="11">
        <f>IF(Time!BF29=1,INDEX(Funding!$J$64:$BJ$64,1,Time!$F$13),Time!BF30*(BF81-BF82))</f>
        <v/>
      </c>
      <c r="BG83" s="11">
        <f>IF(Time!BG29=1,INDEX(Funding!$J$64:$BJ$64,1,Time!$F$13),Time!BG30*(BG81-BG82))</f>
        <v/>
      </c>
      <c r="BH83" s="11">
        <f>IF(Time!BH29=1,INDEX(Funding!$J$64:$BJ$64,1,Time!$F$13),Time!BH30*(BH81-BH82))</f>
        <v/>
      </c>
      <c r="BI83" s="11">
        <f>IF(Time!BI29=1,INDEX(Funding!$J$64:$BJ$64,1,Time!$F$13),Time!BI30*(BI81-BI82))</f>
        <v/>
      </c>
      <c r="BJ83" s="11">
        <f>IF(Time!BJ29=1,INDEX(Funding!$J$64:$BJ$64,1,Time!$F$13),Time!BJ30*(BJ81-BJ82))</f>
        <v/>
      </c>
      <c r="BK83" s="11">
        <f>IF(Time!BK29=1,INDEX(Funding!$J$64:$BJ$64,1,Time!$F$13),Time!BK30*(BK81-BK82))</f>
        <v/>
      </c>
      <c r="BL83" s="11">
        <f>IF(Time!BL29=1,INDEX(Funding!$J$64:$BJ$64,1,Time!$F$13),Time!BL30*(BL81-BL82))</f>
        <v/>
      </c>
      <c r="BM83" s="11">
        <f>IF(Time!BM29=1,INDEX(Funding!$J$64:$BJ$64,1,Time!$F$13),Time!BM30*(BM81-BM82))</f>
        <v/>
      </c>
      <c r="BN83" s="11">
        <f>IF(Time!BN29=1,INDEX(Funding!$J$64:$BJ$64,1,Time!$F$13),Time!BN30*(BN81-BN82))</f>
        <v/>
      </c>
    </row>
    <row r="84">
      <c r="B84" s="2" t="inlineStr">
        <is>
          <t>Standby facility</t>
        </is>
      </c>
    </row>
    <row r="85">
      <c r="D85" t="inlineStr">
        <is>
          <t>Opening balance</t>
        </is>
      </c>
      <c r="E85" t="inlineStr">
        <is>
          <t>USD m</t>
        </is>
      </c>
      <c r="J85" s="11">
        <f>Time!J30*0</f>
        <v/>
      </c>
      <c r="K85" s="11">
        <f>Time!K30*J98</f>
        <v/>
      </c>
      <c r="L85" s="11">
        <f>Time!L30*K98</f>
        <v/>
      </c>
      <c r="M85" s="11">
        <f>Time!M30*L98</f>
        <v/>
      </c>
      <c r="N85" s="11">
        <f>Time!N30*M98</f>
        <v/>
      </c>
      <c r="O85" s="11">
        <f>Time!O30*N98</f>
        <v/>
      </c>
      <c r="P85" s="11">
        <f>Time!P30*O98</f>
        <v/>
      </c>
      <c r="Q85" s="11">
        <f>Time!Q30*P98</f>
        <v/>
      </c>
      <c r="R85" s="11">
        <f>Time!R30*Q98</f>
        <v/>
      </c>
      <c r="S85" s="11">
        <f>Time!S30*R98</f>
        <v/>
      </c>
      <c r="T85" s="11">
        <f>Time!T30*S98</f>
        <v/>
      </c>
      <c r="U85" s="11">
        <f>Time!U30*T98</f>
        <v/>
      </c>
      <c r="V85" s="11">
        <f>Time!V30*U98</f>
        <v/>
      </c>
      <c r="W85" s="11">
        <f>Time!W30*V98</f>
        <v/>
      </c>
      <c r="X85" s="11">
        <f>Time!X30*W98</f>
        <v/>
      </c>
      <c r="Y85" s="11">
        <f>Time!Y30*X98</f>
        <v/>
      </c>
      <c r="Z85" s="11">
        <f>Time!Z30*Y98</f>
        <v/>
      </c>
      <c r="AA85" s="11">
        <f>Time!AA30*Z98</f>
        <v/>
      </c>
      <c r="AB85" s="11">
        <f>Time!AB30*AA98</f>
        <v/>
      </c>
      <c r="AC85" s="11">
        <f>Time!AC30*AB98</f>
        <v/>
      </c>
      <c r="AD85" s="11">
        <f>Time!AD30*AC98</f>
        <v/>
      </c>
      <c r="AE85" s="11">
        <f>Time!AE30*AD98</f>
        <v/>
      </c>
      <c r="AF85" s="11">
        <f>Time!AF30*AE98</f>
        <v/>
      </c>
      <c r="AG85" s="11">
        <f>Time!AG30*AF98</f>
        <v/>
      </c>
      <c r="AH85" s="11">
        <f>Time!AH30*AG98</f>
        <v/>
      </c>
      <c r="AI85" s="11">
        <f>Time!AI30*AH98</f>
        <v/>
      </c>
      <c r="AJ85" s="11">
        <f>Time!AJ30*AI98</f>
        <v/>
      </c>
      <c r="AK85" s="11">
        <f>Time!AK30*AJ98</f>
        <v/>
      </c>
      <c r="AL85" s="11">
        <f>Time!AL30*AK98</f>
        <v/>
      </c>
      <c r="AM85" s="11">
        <f>Time!AM30*AL98</f>
        <v/>
      </c>
      <c r="AN85" s="11">
        <f>Time!AN30*AM98</f>
        <v/>
      </c>
      <c r="AO85" s="11">
        <f>Time!AO30*AN98</f>
        <v/>
      </c>
      <c r="AP85" s="11">
        <f>Time!AP30*AO98</f>
        <v/>
      </c>
      <c r="AQ85" s="11">
        <f>Time!AQ30*AP98</f>
        <v/>
      </c>
      <c r="AR85" s="11">
        <f>Time!AR30*AQ98</f>
        <v/>
      </c>
      <c r="AS85" s="11">
        <f>Time!AS30*AR98</f>
        <v/>
      </c>
      <c r="AT85" s="11">
        <f>Time!AT30*AS98</f>
        <v/>
      </c>
      <c r="AU85" s="11">
        <f>Time!AU30*AT98</f>
        <v/>
      </c>
      <c r="AV85" s="11">
        <f>Time!AV30*AU98</f>
        <v/>
      </c>
      <c r="AW85" s="11">
        <f>Time!AW30*AV98</f>
        <v/>
      </c>
      <c r="AX85" s="11">
        <f>Time!AX30*AW98</f>
        <v/>
      </c>
      <c r="AY85" s="11">
        <f>Time!AY30*AX98</f>
        <v/>
      </c>
      <c r="AZ85" s="11">
        <f>Time!AZ30*AY98</f>
        <v/>
      </c>
      <c r="BA85" s="11">
        <f>Time!BA30*AZ98</f>
        <v/>
      </c>
      <c r="BB85" s="11">
        <f>Time!BB30*BA98</f>
        <v/>
      </c>
      <c r="BC85" s="11">
        <f>Time!BC30*BB98</f>
        <v/>
      </c>
      <c r="BD85" s="11">
        <f>Time!BD30*BC98</f>
        <v/>
      </c>
      <c r="BE85" s="11">
        <f>Time!BE30*BD98</f>
        <v/>
      </c>
      <c r="BF85" s="11">
        <f>Time!BF30*BE98</f>
        <v/>
      </c>
      <c r="BG85" s="11">
        <f>Time!BG30*BF98</f>
        <v/>
      </c>
      <c r="BH85" s="11">
        <f>Time!BH30*BG98</f>
        <v/>
      </c>
      <c r="BI85" s="11">
        <f>Time!BI30*BH98</f>
        <v/>
      </c>
      <c r="BJ85" s="11">
        <f>Time!BJ30*BI98</f>
        <v/>
      </c>
      <c r="BK85" s="11">
        <f>Time!BK30*BJ98</f>
        <v/>
      </c>
      <c r="BL85" s="11">
        <f>Time!BL30*BK98</f>
        <v/>
      </c>
      <c r="BM85" s="11">
        <f>Time!BM30*BL98</f>
        <v/>
      </c>
      <c r="BN85" s="11">
        <f>Time!BN30*BM98</f>
        <v/>
      </c>
    </row>
    <row r="86">
      <c r="D86" t="inlineStr">
        <is>
          <t>Deferred principal, opening</t>
        </is>
      </c>
      <c r="E86" t="inlineStr">
        <is>
          <t>USD m</t>
        </is>
      </c>
      <c r="J86" s="11">
        <f>0</f>
        <v/>
      </c>
      <c r="K86" s="11">
        <f>J95</f>
        <v/>
      </c>
      <c r="L86" s="11">
        <f>K95</f>
        <v/>
      </c>
      <c r="M86" s="11">
        <f>L95</f>
        <v/>
      </c>
      <c r="N86" s="11">
        <f>M95</f>
        <v/>
      </c>
      <c r="O86" s="11">
        <f>N95</f>
        <v/>
      </c>
      <c r="P86" s="11">
        <f>O95</f>
        <v/>
      </c>
      <c r="Q86" s="11">
        <f>P95</f>
        <v/>
      </c>
      <c r="R86" s="11">
        <f>Q95</f>
        <v/>
      </c>
      <c r="S86" s="11">
        <f>R95</f>
        <v/>
      </c>
      <c r="T86" s="11">
        <f>S95</f>
        <v/>
      </c>
      <c r="U86" s="11">
        <f>T95</f>
        <v/>
      </c>
      <c r="V86" s="11">
        <f>U95</f>
        <v/>
      </c>
      <c r="W86" s="11">
        <f>V95</f>
        <v/>
      </c>
      <c r="X86" s="11">
        <f>W95</f>
        <v/>
      </c>
      <c r="Y86" s="11">
        <f>X95</f>
        <v/>
      </c>
      <c r="Z86" s="11">
        <f>Y95</f>
        <v/>
      </c>
      <c r="AA86" s="11">
        <f>Z95</f>
        <v/>
      </c>
      <c r="AB86" s="11">
        <f>AA95</f>
        <v/>
      </c>
      <c r="AC86" s="11">
        <f>AB95</f>
        <v/>
      </c>
      <c r="AD86" s="11">
        <f>AC95</f>
        <v/>
      </c>
      <c r="AE86" s="11">
        <f>AD95</f>
        <v/>
      </c>
      <c r="AF86" s="11">
        <f>AE95</f>
        <v/>
      </c>
      <c r="AG86" s="11">
        <f>AF95</f>
        <v/>
      </c>
      <c r="AH86" s="11">
        <f>AG95</f>
        <v/>
      </c>
      <c r="AI86" s="11">
        <f>AH95</f>
        <v/>
      </c>
      <c r="AJ86" s="11">
        <f>AI95</f>
        <v/>
      </c>
      <c r="AK86" s="11">
        <f>AJ95</f>
        <v/>
      </c>
      <c r="AL86" s="11">
        <f>AK95</f>
        <v/>
      </c>
      <c r="AM86" s="11">
        <f>AL95</f>
        <v/>
      </c>
      <c r="AN86" s="11">
        <f>AM95</f>
        <v/>
      </c>
      <c r="AO86" s="11">
        <f>AN95</f>
        <v/>
      </c>
      <c r="AP86" s="11">
        <f>AO95</f>
        <v/>
      </c>
      <c r="AQ86" s="11">
        <f>AP95</f>
        <v/>
      </c>
      <c r="AR86" s="11">
        <f>AQ95</f>
        <v/>
      </c>
      <c r="AS86" s="11">
        <f>AR95</f>
        <v/>
      </c>
      <c r="AT86" s="11">
        <f>AS95</f>
        <v/>
      </c>
      <c r="AU86" s="11">
        <f>AT95</f>
        <v/>
      </c>
      <c r="AV86" s="11">
        <f>AU95</f>
        <v/>
      </c>
      <c r="AW86" s="11">
        <f>AV95</f>
        <v/>
      </c>
      <c r="AX86" s="11">
        <f>AW95</f>
        <v/>
      </c>
      <c r="AY86" s="11">
        <f>AX95</f>
        <v/>
      </c>
      <c r="AZ86" s="11">
        <f>AY95</f>
        <v/>
      </c>
      <c r="BA86" s="11">
        <f>AZ95</f>
        <v/>
      </c>
      <c r="BB86" s="11">
        <f>BA95</f>
        <v/>
      </c>
      <c r="BC86" s="11">
        <f>BB95</f>
        <v/>
      </c>
      <c r="BD86" s="11">
        <f>BC95</f>
        <v/>
      </c>
      <c r="BE86" s="11">
        <f>BD95</f>
        <v/>
      </c>
      <c r="BF86" s="11">
        <f>BE95</f>
        <v/>
      </c>
      <c r="BG86" s="11">
        <f>BF95</f>
        <v/>
      </c>
      <c r="BH86" s="11">
        <f>BG95</f>
        <v/>
      </c>
      <c r="BI86" s="11">
        <f>BH95</f>
        <v/>
      </c>
      <c r="BJ86" s="11">
        <f>BI95</f>
        <v/>
      </c>
      <c r="BK86" s="11">
        <f>BJ95</f>
        <v/>
      </c>
      <c r="BL86" s="11">
        <f>BK95</f>
        <v/>
      </c>
      <c r="BM86" s="11">
        <f>BL95</f>
        <v/>
      </c>
      <c r="BN86" s="11">
        <f>BM95</f>
        <v/>
      </c>
    </row>
    <row r="87">
      <c r="D87" t="inlineStr">
        <is>
          <t>Interest (incl. WHT gross-up where applicable)</t>
        </is>
      </c>
      <c r="E87" t="inlineStr">
        <is>
          <t>USD m</t>
        </is>
      </c>
      <c r="G87" s="11">
        <f>SUM(J87:BN87)</f>
        <v/>
      </c>
      <c r="J87" s="11">
        <f>J85*J14</f>
        <v/>
      </c>
      <c r="K87" s="11">
        <f>K85*K14</f>
        <v/>
      </c>
      <c r="L87" s="11">
        <f>L85*L14</f>
        <v/>
      </c>
      <c r="M87" s="11">
        <f>M85*M14</f>
        <v/>
      </c>
      <c r="N87" s="11">
        <f>N85*N14</f>
        <v/>
      </c>
      <c r="O87" s="11">
        <f>O85*O14</f>
        <v/>
      </c>
      <c r="P87" s="11">
        <f>P85*P14</f>
        <v/>
      </c>
      <c r="Q87" s="11">
        <f>Q85*Q14</f>
        <v/>
      </c>
      <c r="R87" s="11">
        <f>R85*R14</f>
        <v/>
      </c>
      <c r="S87" s="11">
        <f>S85*S14</f>
        <v/>
      </c>
      <c r="T87" s="11">
        <f>T85*T14</f>
        <v/>
      </c>
      <c r="U87" s="11">
        <f>U85*U14</f>
        <v/>
      </c>
      <c r="V87" s="11">
        <f>V85*V14</f>
        <v/>
      </c>
      <c r="W87" s="11">
        <f>W85*W14</f>
        <v/>
      </c>
      <c r="X87" s="11">
        <f>X85*X14</f>
        <v/>
      </c>
      <c r="Y87" s="11">
        <f>Y85*Y14</f>
        <v/>
      </c>
      <c r="Z87" s="11">
        <f>Z85*Z14</f>
        <v/>
      </c>
      <c r="AA87" s="11">
        <f>AA85*AA14</f>
        <v/>
      </c>
      <c r="AB87" s="11">
        <f>AB85*AB14</f>
        <v/>
      </c>
      <c r="AC87" s="11">
        <f>AC85*AC14</f>
        <v/>
      </c>
      <c r="AD87" s="11">
        <f>AD85*AD14</f>
        <v/>
      </c>
      <c r="AE87" s="11">
        <f>AE85*AE14</f>
        <v/>
      </c>
      <c r="AF87" s="11">
        <f>AF85*AF14</f>
        <v/>
      </c>
      <c r="AG87" s="11">
        <f>AG85*AG14</f>
        <v/>
      </c>
      <c r="AH87" s="11">
        <f>AH85*AH14</f>
        <v/>
      </c>
      <c r="AI87" s="11">
        <f>AI85*AI14</f>
        <v/>
      </c>
      <c r="AJ87" s="11">
        <f>AJ85*AJ14</f>
        <v/>
      </c>
      <c r="AK87" s="11">
        <f>AK85*AK14</f>
        <v/>
      </c>
      <c r="AL87" s="11">
        <f>AL85*AL14</f>
        <v/>
      </c>
      <c r="AM87" s="11">
        <f>AM85*AM14</f>
        <v/>
      </c>
      <c r="AN87" s="11">
        <f>AN85*AN14</f>
        <v/>
      </c>
      <c r="AO87" s="11">
        <f>AO85*AO14</f>
        <v/>
      </c>
      <c r="AP87" s="11">
        <f>AP85*AP14</f>
        <v/>
      </c>
      <c r="AQ87" s="11">
        <f>AQ85*AQ14</f>
        <v/>
      </c>
      <c r="AR87" s="11">
        <f>AR85*AR14</f>
        <v/>
      </c>
      <c r="AS87" s="11">
        <f>AS85*AS14</f>
        <v/>
      </c>
      <c r="AT87" s="11">
        <f>AT85*AT14</f>
        <v/>
      </c>
      <c r="AU87" s="11">
        <f>AU85*AU14</f>
        <v/>
      </c>
      <c r="AV87" s="11">
        <f>AV85*AV14</f>
        <v/>
      </c>
      <c r="AW87" s="11">
        <f>AW85*AW14</f>
        <v/>
      </c>
      <c r="AX87" s="11">
        <f>AX85*AX14</f>
        <v/>
      </c>
      <c r="AY87" s="11">
        <f>AY85*AY14</f>
        <v/>
      </c>
      <c r="AZ87" s="11">
        <f>AZ85*AZ14</f>
        <v/>
      </c>
      <c r="BA87" s="11">
        <f>BA85*BA14</f>
        <v/>
      </c>
      <c r="BB87" s="11">
        <f>BB85*BB14</f>
        <v/>
      </c>
      <c r="BC87" s="11">
        <f>BC85*BC14</f>
        <v/>
      </c>
      <c r="BD87" s="11">
        <f>BD85*BD14</f>
        <v/>
      </c>
      <c r="BE87" s="11">
        <f>BE85*BE14</f>
        <v/>
      </c>
      <c r="BF87" s="11">
        <f>BF85*BF14</f>
        <v/>
      </c>
      <c r="BG87" s="11">
        <f>BG85*BG14</f>
        <v/>
      </c>
      <c r="BH87" s="11">
        <f>BH85*BH14</f>
        <v/>
      </c>
      <c r="BI87" s="11">
        <f>BI85*BI14</f>
        <v/>
      </c>
      <c r="BJ87" s="11">
        <f>BJ85*BJ14</f>
        <v/>
      </c>
      <c r="BK87" s="11">
        <f>BK85*BK14</f>
        <v/>
      </c>
      <c r="BL87" s="11">
        <f>BL85*BL14</f>
        <v/>
      </c>
      <c r="BM87" s="11">
        <f>BM85*BM14</f>
        <v/>
      </c>
      <c r="BN87" s="11">
        <f>BN85*BN14</f>
        <v/>
      </c>
    </row>
    <row r="88">
      <c r="D88" t="inlineStr">
        <is>
          <t>Scheduled principal per profile</t>
        </is>
      </c>
      <c r="E88" t="inlineStr">
        <is>
          <t>USD m</t>
        </is>
      </c>
      <c r="G88" s="11">
        <f>SUM(J88:BN88)</f>
        <v/>
      </c>
      <c r="J88" s="11">
        <f>Time!J30*(J85-J86)*J19</f>
        <v/>
      </c>
      <c r="K88" s="11">
        <f>Time!K30*(K85-K86)*K19</f>
        <v/>
      </c>
      <c r="L88" s="11">
        <f>Time!L30*(L85-L86)*L19</f>
        <v/>
      </c>
      <c r="M88" s="11">
        <f>Time!M30*(M85-M86)*M19</f>
        <v/>
      </c>
      <c r="N88" s="11">
        <f>Time!N30*(N85-N86)*N19</f>
        <v/>
      </c>
      <c r="O88" s="11">
        <f>Time!O30*(O85-O86)*O19</f>
        <v/>
      </c>
      <c r="P88" s="11">
        <f>Time!P30*(P85-P86)*P19</f>
        <v/>
      </c>
      <c r="Q88" s="11">
        <f>Time!Q30*(Q85-Q86)*Q19</f>
        <v/>
      </c>
      <c r="R88" s="11">
        <f>Time!R30*(R85-R86)*R19</f>
        <v/>
      </c>
      <c r="S88" s="11">
        <f>Time!S30*(S85-S86)*S19</f>
        <v/>
      </c>
      <c r="T88" s="11">
        <f>Time!T30*(T85-T86)*T19</f>
        <v/>
      </c>
      <c r="U88" s="11">
        <f>Time!U30*(U85-U86)*U19</f>
        <v/>
      </c>
      <c r="V88" s="11">
        <f>Time!V30*(V85-V86)*V19</f>
        <v/>
      </c>
      <c r="W88" s="11">
        <f>Time!W30*(W85-W86)*W19</f>
        <v/>
      </c>
      <c r="X88" s="11">
        <f>Time!X30*(X85-X86)*X19</f>
        <v/>
      </c>
      <c r="Y88" s="11">
        <f>Time!Y30*(Y85-Y86)*Y19</f>
        <v/>
      </c>
      <c r="Z88" s="11">
        <f>Time!Z30*(Z85-Z86)*Z19</f>
        <v/>
      </c>
      <c r="AA88" s="11">
        <f>Time!AA30*(AA85-AA86)*AA19</f>
        <v/>
      </c>
      <c r="AB88" s="11">
        <f>Time!AB30*(AB85-AB86)*AB19</f>
        <v/>
      </c>
      <c r="AC88" s="11">
        <f>Time!AC30*(AC85-AC86)*AC19</f>
        <v/>
      </c>
      <c r="AD88" s="11">
        <f>Time!AD30*(AD85-AD86)*AD19</f>
        <v/>
      </c>
      <c r="AE88" s="11">
        <f>Time!AE30*(AE85-AE86)*AE19</f>
        <v/>
      </c>
      <c r="AF88" s="11">
        <f>Time!AF30*(AF85-AF86)*AF19</f>
        <v/>
      </c>
      <c r="AG88" s="11">
        <f>Time!AG30*(AG85-AG86)*AG19</f>
        <v/>
      </c>
      <c r="AH88" s="11">
        <f>Time!AH30*(AH85-AH86)*AH19</f>
        <v/>
      </c>
      <c r="AI88" s="11">
        <f>Time!AI30*(AI85-AI86)*AI19</f>
        <v/>
      </c>
      <c r="AJ88" s="11">
        <f>Time!AJ30*(AJ85-AJ86)*AJ19</f>
        <v/>
      </c>
      <c r="AK88" s="11">
        <f>Time!AK30*(AK85-AK86)*AK19</f>
        <v/>
      </c>
      <c r="AL88" s="11">
        <f>Time!AL30*(AL85-AL86)*AL19</f>
        <v/>
      </c>
      <c r="AM88" s="11">
        <f>Time!AM30*(AM85-AM86)*AM19</f>
        <v/>
      </c>
      <c r="AN88" s="11">
        <f>Time!AN30*(AN85-AN86)*AN19</f>
        <v/>
      </c>
      <c r="AO88" s="11">
        <f>Time!AO30*(AO85-AO86)*AO19</f>
        <v/>
      </c>
      <c r="AP88" s="11">
        <f>Time!AP30*(AP85-AP86)*AP19</f>
        <v/>
      </c>
      <c r="AQ88" s="11">
        <f>Time!AQ30*(AQ85-AQ86)*AQ19</f>
        <v/>
      </c>
      <c r="AR88" s="11">
        <f>Time!AR30*(AR85-AR86)*AR19</f>
        <v/>
      </c>
      <c r="AS88" s="11">
        <f>Time!AS30*(AS85-AS86)*AS19</f>
        <v/>
      </c>
      <c r="AT88" s="11">
        <f>Time!AT30*(AT85-AT86)*AT19</f>
        <v/>
      </c>
      <c r="AU88" s="11">
        <f>Time!AU30*(AU85-AU86)*AU19</f>
        <v/>
      </c>
      <c r="AV88" s="11">
        <f>Time!AV30*(AV85-AV86)*AV19</f>
        <v/>
      </c>
      <c r="AW88" s="11">
        <f>Time!AW30*(AW85-AW86)*AW19</f>
        <v/>
      </c>
      <c r="AX88" s="11">
        <f>Time!AX30*(AX85-AX86)*AX19</f>
        <v/>
      </c>
      <c r="AY88" s="11">
        <f>Time!AY30*(AY85-AY86)*AY19</f>
        <v/>
      </c>
      <c r="AZ88" s="11">
        <f>Time!AZ30*(AZ85-AZ86)*AZ19</f>
        <v/>
      </c>
      <c r="BA88" s="11">
        <f>Time!BA30*(BA85-BA86)*BA19</f>
        <v/>
      </c>
      <c r="BB88" s="11">
        <f>Time!BB30*(BB85-BB86)*BB19</f>
        <v/>
      </c>
      <c r="BC88" s="11">
        <f>Time!BC30*(BC85-BC86)*BC19</f>
        <v/>
      </c>
      <c r="BD88" s="11">
        <f>Time!BD30*(BD85-BD86)*BD19</f>
        <v/>
      </c>
      <c r="BE88" s="11">
        <f>Time!BE30*(BE85-BE86)*BE19</f>
        <v/>
      </c>
      <c r="BF88" s="11">
        <f>Time!BF30*(BF85-BF86)*BF19</f>
        <v/>
      </c>
      <c r="BG88" s="11">
        <f>Time!BG30*(BG85-BG86)*BG19</f>
        <v/>
      </c>
      <c r="BH88" s="11">
        <f>Time!BH30*(BH85-BH86)*BH19</f>
        <v/>
      </c>
      <c r="BI88" s="11">
        <f>Time!BI30*(BI85-BI86)*BI19</f>
        <v/>
      </c>
      <c r="BJ88" s="11">
        <f>Time!BJ30*(BJ85-BJ86)*BJ19</f>
        <v/>
      </c>
      <c r="BK88" s="11">
        <f>Time!BK30*(BK85-BK86)*BK19</f>
        <v/>
      </c>
      <c r="BL88" s="11">
        <f>Time!BL30*(BL85-BL86)*BL19</f>
        <v/>
      </c>
      <c r="BM88" s="11">
        <f>Time!BM30*(BM85-BM86)*BM19</f>
        <v/>
      </c>
      <c r="BN88" s="11">
        <f>Time!BN30*(BN85-BN86)*BN19</f>
        <v/>
      </c>
    </row>
    <row r="89">
      <c r="D89" t="inlineStr">
        <is>
          <t>Principal deferred under the waiver</t>
        </is>
      </c>
      <c r="E89" t="inlineStr">
        <is>
          <t>USD m</t>
        </is>
      </c>
      <c r="G89" s="11">
        <f>SUM(J89:BN89)</f>
        <v/>
      </c>
      <c r="J89" s="11">
        <f>J21*Inputs!$F$191*J88</f>
        <v/>
      </c>
      <c r="K89" s="11">
        <f>K21*Inputs!$F$191*K88</f>
        <v/>
      </c>
      <c r="L89" s="11">
        <f>L21*Inputs!$F$191*L88</f>
        <v/>
      </c>
      <c r="M89" s="11">
        <f>M21*Inputs!$F$191*M88</f>
        <v/>
      </c>
      <c r="N89" s="11">
        <f>N21*Inputs!$F$191*N88</f>
        <v/>
      </c>
      <c r="O89" s="11">
        <f>O21*Inputs!$F$191*O88</f>
        <v/>
      </c>
      <c r="P89" s="11">
        <f>P21*Inputs!$F$191*P88</f>
        <v/>
      </c>
      <c r="Q89" s="11">
        <f>Q21*Inputs!$F$191*Q88</f>
        <v/>
      </c>
      <c r="R89" s="11">
        <f>R21*Inputs!$F$191*R88</f>
        <v/>
      </c>
      <c r="S89" s="11">
        <f>S21*Inputs!$F$191*S88</f>
        <v/>
      </c>
      <c r="T89" s="11">
        <f>T21*Inputs!$F$191*T88</f>
        <v/>
      </c>
      <c r="U89" s="11">
        <f>U21*Inputs!$F$191*U88</f>
        <v/>
      </c>
      <c r="V89" s="11">
        <f>V21*Inputs!$F$191*V88</f>
        <v/>
      </c>
      <c r="W89" s="11">
        <f>W21*Inputs!$F$191*W88</f>
        <v/>
      </c>
      <c r="X89" s="11">
        <f>X21*Inputs!$F$191*X88</f>
        <v/>
      </c>
      <c r="Y89" s="11">
        <f>Y21*Inputs!$F$191*Y88</f>
        <v/>
      </c>
      <c r="Z89" s="11">
        <f>Z21*Inputs!$F$191*Z88</f>
        <v/>
      </c>
      <c r="AA89" s="11">
        <f>AA21*Inputs!$F$191*AA88</f>
        <v/>
      </c>
      <c r="AB89" s="11">
        <f>AB21*Inputs!$F$191*AB88</f>
        <v/>
      </c>
      <c r="AC89" s="11">
        <f>AC21*Inputs!$F$191*AC88</f>
        <v/>
      </c>
      <c r="AD89" s="11">
        <f>AD21*Inputs!$F$191*AD88</f>
        <v/>
      </c>
      <c r="AE89" s="11">
        <f>AE21*Inputs!$F$191*AE88</f>
        <v/>
      </c>
      <c r="AF89" s="11">
        <f>AF21*Inputs!$F$191*AF88</f>
        <v/>
      </c>
      <c r="AG89" s="11">
        <f>AG21*Inputs!$F$191*AG88</f>
        <v/>
      </c>
      <c r="AH89" s="11">
        <f>AH21*Inputs!$F$191*AH88</f>
        <v/>
      </c>
      <c r="AI89" s="11">
        <f>AI21*Inputs!$F$191*AI88</f>
        <v/>
      </c>
      <c r="AJ89" s="11">
        <f>AJ21*Inputs!$F$191*AJ88</f>
        <v/>
      </c>
      <c r="AK89" s="11">
        <f>AK21*Inputs!$F$191*AK88</f>
        <v/>
      </c>
      <c r="AL89" s="11">
        <f>AL21*Inputs!$F$191*AL88</f>
        <v/>
      </c>
      <c r="AM89" s="11">
        <f>AM21*Inputs!$F$191*AM88</f>
        <v/>
      </c>
      <c r="AN89" s="11">
        <f>AN21*Inputs!$F$191*AN88</f>
        <v/>
      </c>
      <c r="AO89" s="11">
        <f>AO21*Inputs!$F$191*AO88</f>
        <v/>
      </c>
      <c r="AP89" s="11">
        <f>AP21*Inputs!$F$191*AP88</f>
        <v/>
      </c>
      <c r="AQ89" s="11">
        <f>AQ21*Inputs!$F$191*AQ88</f>
        <v/>
      </c>
      <c r="AR89" s="11">
        <f>AR21*Inputs!$F$191*AR88</f>
        <v/>
      </c>
      <c r="AS89" s="11">
        <f>AS21*Inputs!$F$191*AS88</f>
        <v/>
      </c>
      <c r="AT89" s="11">
        <f>AT21*Inputs!$F$191*AT88</f>
        <v/>
      </c>
      <c r="AU89" s="11">
        <f>AU21*Inputs!$F$191*AU88</f>
        <v/>
      </c>
      <c r="AV89" s="11">
        <f>AV21*Inputs!$F$191*AV88</f>
        <v/>
      </c>
      <c r="AW89" s="11">
        <f>AW21*Inputs!$F$191*AW88</f>
        <v/>
      </c>
      <c r="AX89" s="11">
        <f>AX21*Inputs!$F$191*AX88</f>
        <v/>
      </c>
      <c r="AY89" s="11">
        <f>AY21*Inputs!$F$191*AY88</f>
        <v/>
      </c>
      <c r="AZ89" s="11">
        <f>AZ21*Inputs!$F$191*AZ88</f>
        <v/>
      </c>
      <c r="BA89" s="11">
        <f>BA21*Inputs!$F$191*BA88</f>
        <v/>
      </c>
      <c r="BB89" s="11">
        <f>BB21*Inputs!$F$191*BB88</f>
        <v/>
      </c>
      <c r="BC89" s="11">
        <f>BC21*Inputs!$F$191*BC88</f>
        <v/>
      </c>
      <c r="BD89" s="11">
        <f>BD21*Inputs!$F$191*BD88</f>
        <v/>
      </c>
      <c r="BE89" s="11">
        <f>BE21*Inputs!$F$191*BE88</f>
        <v/>
      </c>
      <c r="BF89" s="11">
        <f>BF21*Inputs!$F$191*BF88</f>
        <v/>
      </c>
      <c r="BG89" s="11">
        <f>BG21*Inputs!$F$191*BG88</f>
        <v/>
      </c>
      <c r="BH89" s="11">
        <f>BH21*Inputs!$F$191*BH88</f>
        <v/>
      </c>
      <c r="BI89" s="11">
        <f>BI21*Inputs!$F$191*BI88</f>
        <v/>
      </c>
      <c r="BJ89" s="11">
        <f>BJ21*Inputs!$F$191*BJ88</f>
        <v/>
      </c>
      <c r="BK89" s="11">
        <f>BK21*Inputs!$F$191*BK88</f>
        <v/>
      </c>
      <c r="BL89" s="11">
        <f>BL21*Inputs!$F$191*BL88</f>
        <v/>
      </c>
      <c r="BM89" s="11">
        <f>BM21*Inputs!$F$191*BM88</f>
        <v/>
      </c>
      <c r="BN89" s="11">
        <f>BN21*Inputs!$F$191*BN88</f>
        <v/>
      </c>
    </row>
    <row r="90">
      <c r="D90" t="inlineStr">
        <is>
          <t>Deferred amount at 2023-12-31</t>
        </is>
      </c>
      <c r="E90" t="inlineStr">
        <is>
          <t>USD m</t>
        </is>
      </c>
      <c r="F90" s="15">
        <f>$T$89</f>
        <v/>
      </c>
    </row>
    <row r="91">
      <c r="D91" t="inlineStr">
        <is>
          <t>Deferred principal repaid</t>
        </is>
      </c>
      <c r="E91" t="inlineStr">
        <is>
          <t>USD m</t>
        </is>
      </c>
      <c r="G91" s="11">
        <f>SUM(J91:BN91)</f>
        <v/>
      </c>
      <c r="J91" s="11">
        <f>0</f>
        <v/>
      </c>
      <c r="K91" s="11">
        <f>0</f>
        <v/>
      </c>
      <c r="L91" s="11">
        <f>0</f>
        <v/>
      </c>
      <c r="M91" s="11">
        <f>0</f>
        <v/>
      </c>
      <c r="N91" s="11">
        <f>0</f>
        <v/>
      </c>
      <c r="O91" s="11">
        <f>0</f>
        <v/>
      </c>
      <c r="P91" s="11">
        <f>0</f>
        <v/>
      </c>
      <c r="Q91" s="11">
        <f>0</f>
        <v/>
      </c>
      <c r="R91" s="11">
        <f>0</f>
        <v/>
      </c>
      <c r="S91" s="11">
        <f>0</f>
        <v/>
      </c>
      <c r="T91" s="11">
        <f>0</f>
        <v/>
      </c>
      <c r="U91" s="11">
        <f>U22*MIN($F$90/4,U86)</f>
        <v/>
      </c>
      <c r="V91" s="11">
        <f>V22*MIN($F$90/4,V86)</f>
        <v/>
      </c>
      <c r="W91" s="11">
        <f>W22*MIN($F$90/4,W86)</f>
        <v/>
      </c>
      <c r="X91" s="11">
        <f>X22*MIN($F$90/4,X86)</f>
        <v/>
      </c>
      <c r="Y91" s="11">
        <f>0</f>
        <v/>
      </c>
      <c r="Z91" s="11">
        <f>0</f>
        <v/>
      </c>
      <c r="AA91" s="11">
        <f>0</f>
        <v/>
      </c>
      <c r="AB91" s="11">
        <f>0</f>
        <v/>
      </c>
      <c r="AC91" s="11">
        <f>0</f>
        <v/>
      </c>
      <c r="AD91" s="11">
        <f>0</f>
        <v/>
      </c>
      <c r="AE91" s="11">
        <f>0</f>
        <v/>
      </c>
      <c r="AF91" s="11">
        <f>0</f>
        <v/>
      </c>
      <c r="AG91" s="11">
        <f>0</f>
        <v/>
      </c>
      <c r="AH91" s="11">
        <f>0</f>
        <v/>
      </c>
      <c r="AI91" s="11">
        <f>0</f>
        <v/>
      </c>
      <c r="AJ91" s="11">
        <f>0</f>
        <v/>
      </c>
      <c r="AK91" s="11">
        <f>0</f>
        <v/>
      </c>
      <c r="AL91" s="11">
        <f>0</f>
        <v/>
      </c>
      <c r="AM91" s="11">
        <f>0</f>
        <v/>
      </c>
      <c r="AN91" s="11">
        <f>0</f>
        <v/>
      </c>
      <c r="AO91" s="11">
        <f>0</f>
        <v/>
      </c>
      <c r="AP91" s="11">
        <f>0</f>
        <v/>
      </c>
      <c r="AQ91" s="11">
        <f>0</f>
        <v/>
      </c>
      <c r="AR91" s="11">
        <f>0</f>
        <v/>
      </c>
      <c r="AS91" s="11">
        <f>0</f>
        <v/>
      </c>
      <c r="AT91" s="11">
        <f>0</f>
        <v/>
      </c>
      <c r="AU91" s="11">
        <f>0</f>
        <v/>
      </c>
      <c r="AV91" s="11">
        <f>0</f>
        <v/>
      </c>
      <c r="AW91" s="11">
        <f>0</f>
        <v/>
      </c>
      <c r="AX91" s="11">
        <f>0</f>
        <v/>
      </c>
      <c r="AY91" s="11">
        <f>0</f>
        <v/>
      </c>
      <c r="AZ91" s="11">
        <f>0</f>
        <v/>
      </c>
      <c r="BA91" s="11">
        <f>0</f>
        <v/>
      </c>
      <c r="BB91" s="11">
        <f>0</f>
        <v/>
      </c>
      <c r="BC91" s="11">
        <f>0</f>
        <v/>
      </c>
      <c r="BD91" s="11">
        <f>0</f>
        <v/>
      </c>
      <c r="BE91" s="11">
        <f>0</f>
        <v/>
      </c>
      <c r="BF91" s="11">
        <f>0</f>
        <v/>
      </c>
      <c r="BG91" s="11">
        <f>0</f>
        <v/>
      </c>
      <c r="BH91" s="11">
        <f>0</f>
        <v/>
      </c>
      <c r="BI91" s="11">
        <f>0</f>
        <v/>
      </c>
      <c r="BJ91" s="11">
        <f>0</f>
        <v/>
      </c>
      <c r="BK91" s="11">
        <f>0</f>
        <v/>
      </c>
      <c r="BL91" s="11">
        <f>0</f>
        <v/>
      </c>
      <c r="BM91" s="11">
        <f>0</f>
        <v/>
      </c>
      <c r="BN91" s="11">
        <f>0</f>
        <v/>
      </c>
    </row>
    <row r="92">
      <c r="D92" t="inlineStr">
        <is>
          <t>Principal paid</t>
        </is>
      </c>
      <c r="E92" t="inlineStr">
        <is>
          <t>USD m</t>
        </is>
      </c>
      <c r="G92" s="11">
        <f>SUM(J92:BN92)</f>
        <v/>
      </c>
      <c r="J92" s="11">
        <f>J88-J89+J91</f>
        <v/>
      </c>
      <c r="K92" s="11">
        <f>K88-K89+K91</f>
        <v/>
      </c>
      <c r="L92" s="11">
        <f>L88-L89+L91</f>
        <v/>
      </c>
      <c r="M92" s="11">
        <f>M88-M89+M91</f>
        <v/>
      </c>
      <c r="N92" s="11">
        <f>N88-N89+N91</f>
        <v/>
      </c>
      <c r="O92" s="11">
        <f>O88-O89+O91</f>
        <v/>
      </c>
      <c r="P92" s="11">
        <f>P88-P89+P91</f>
        <v/>
      </c>
      <c r="Q92" s="11">
        <f>Q88-Q89+Q91</f>
        <v/>
      </c>
      <c r="R92" s="11">
        <f>R88-R89+R91</f>
        <v/>
      </c>
      <c r="S92" s="11">
        <f>S88-S89+S91</f>
        <v/>
      </c>
      <c r="T92" s="11">
        <f>T88-T89+T91</f>
        <v/>
      </c>
      <c r="U92" s="11">
        <f>U88-U89+U91</f>
        <v/>
      </c>
      <c r="V92" s="11">
        <f>V88-V89+V91</f>
        <v/>
      </c>
      <c r="W92" s="11">
        <f>W88-W89+W91</f>
        <v/>
      </c>
      <c r="X92" s="11">
        <f>X88-X89+X91</f>
        <v/>
      </c>
      <c r="Y92" s="11">
        <f>Y88-Y89+Y91</f>
        <v/>
      </c>
      <c r="Z92" s="11">
        <f>Z88-Z89+Z91</f>
        <v/>
      </c>
      <c r="AA92" s="11">
        <f>AA88-AA89+AA91</f>
        <v/>
      </c>
      <c r="AB92" s="11">
        <f>AB88-AB89+AB91</f>
        <v/>
      </c>
      <c r="AC92" s="11">
        <f>AC88-AC89+AC91</f>
        <v/>
      </c>
      <c r="AD92" s="11">
        <f>AD88-AD89+AD91</f>
        <v/>
      </c>
      <c r="AE92" s="11">
        <f>AE88-AE89+AE91</f>
        <v/>
      </c>
      <c r="AF92" s="11">
        <f>AF88-AF89+AF91</f>
        <v/>
      </c>
      <c r="AG92" s="11">
        <f>AG88-AG89+AG91</f>
        <v/>
      </c>
      <c r="AH92" s="11">
        <f>AH88-AH89+AH91</f>
        <v/>
      </c>
      <c r="AI92" s="11">
        <f>AI88-AI89+AI91</f>
        <v/>
      </c>
      <c r="AJ92" s="11">
        <f>AJ88-AJ89+AJ91</f>
        <v/>
      </c>
      <c r="AK92" s="11">
        <f>AK88-AK89+AK91</f>
        <v/>
      </c>
      <c r="AL92" s="11">
        <f>AL88-AL89+AL91</f>
        <v/>
      </c>
      <c r="AM92" s="11">
        <f>AM88-AM89+AM91</f>
        <v/>
      </c>
      <c r="AN92" s="11">
        <f>AN88-AN89+AN91</f>
        <v/>
      </c>
      <c r="AO92" s="11">
        <f>AO88-AO89+AO91</f>
        <v/>
      </c>
      <c r="AP92" s="11">
        <f>AP88-AP89+AP91</f>
        <v/>
      </c>
      <c r="AQ92" s="11">
        <f>AQ88-AQ89+AQ91</f>
        <v/>
      </c>
      <c r="AR92" s="11">
        <f>AR88-AR89+AR91</f>
        <v/>
      </c>
      <c r="AS92" s="11">
        <f>AS88-AS89+AS91</f>
        <v/>
      </c>
      <c r="AT92" s="11">
        <f>AT88-AT89+AT91</f>
        <v/>
      </c>
      <c r="AU92" s="11">
        <f>AU88-AU89+AU91</f>
        <v/>
      </c>
      <c r="AV92" s="11">
        <f>AV88-AV89+AV91</f>
        <v/>
      </c>
      <c r="AW92" s="11">
        <f>AW88-AW89+AW91</f>
        <v/>
      </c>
      <c r="AX92" s="11">
        <f>AX88-AX89+AX91</f>
        <v/>
      </c>
      <c r="AY92" s="11">
        <f>AY88-AY89+AY91</f>
        <v/>
      </c>
      <c r="AZ92" s="11">
        <f>AZ88-AZ89+AZ91</f>
        <v/>
      </c>
      <c r="BA92" s="11">
        <f>BA88-BA89+BA91</f>
        <v/>
      </c>
      <c r="BB92" s="11">
        <f>BB88-BB89+BB91</f>
        <v/>
      </c>
      <c r="BC92" s="11">
        <f>BC88-BC89+BC91</f>
        <v/>
      </c>
      <c r="BD92" s="11">
        <f>BD88-BD89+BD91</f>
        <v/>
      </c>
      <c r="BE92" s="11">
        <f>BE88-BE89+BE91</f>
        <v/>
      </c>
      <c r="BF92" s="11">
        <f>BF88-BF89+BF91</f>
        <v/>
      </c>
      <c r="BG92" s="11">
        <f>BG88-BG89+BG91</f>
        <v/>
      </c>
      <c r="BH92" s="11">
        <f>BH88-BH89+BH91</f>
        <v/>
      </c>
      <c r="BI92" s="11">
        <f>BI88-BI89+BI91</f>
        <v/>
      </c>
      <c r="BJ92" s="11">
        <f>BJ88-BJ89+BJ91</f>
        <v/>
      </c>
      <c r="BK92" s="11">
        <f>BK88-BK89+BK91</f>
        <v/>
      </c>
      <c r="BL92" s="11">
        <f>BL88-BL89+BL91</f>
        <v/>
      </c>
      <c r="BM92" s="11">
        <f>BM88-BM89+BM91</f>
        <v/>
      </c>
      <c r="BN92" s="11">
        <f>BN88-BN89+BN91</f>
        <v/>
      </c>
    </row>
    <row r="93">
      <c r="D93" t="inlineStr">
        <is>
          <t>Performance LD prepayment</t>
        </is>
      </c>
      <c r="E93" t="inlineStr">
        <is>
          <t>USD m</t>
        </is>
      </c>
      <c r="G93" s="11">
        <f>SUM(J93:BN93)</f>
        <v/>
      </c>
      <c r="J93" s="11">
        <f>J23*Inputs!$F$188*(J85-J92)/(J25-J32+J40-J47+J55-J62+J70-J77+J85-J92+0.000000001)</f>
        <v/>
      </c>
      <c r="K93" s="11">
        <f>K23*Inputs!$F$188*(K85-K92)/(K25-K32+K40-K47+K55-K62+K70-K77+K85-K92+0.000000001)</f>
        <v/>
      </c>
      <c r="L93" s="11">
        <f>L23*Inputs!$F$188*(L85-L92)/(L25-L32+L40-L47+L55-L62+L70-L77+L85-L92+0.000000001)</f>
        <v/>
      </c>
      <c r="M93" s="11">
        <f>M23*Inputs!$F$188*(M85-M92)/(M25-M32+M40-M47+M55-M62+M70-M77+M85-M92+0.000000001)</f>
        <v/>
      </c>
      <c r="N93" s="11">
        <f>N23*Inputs!$F$188*(N85-N92)/(N25-N32+N40-N47+N55-N62+N70-N77+N85-N92+0.000000001)</f>
        <v/>
      </c>
      <c r="O93" s="11">
        <f>O23*Inputs!$F$188*(O85-O92)/(O25-O32+O40-O47+O55-O62+O70-O77+O85-O92+0.000000001)</f>
        <v/>
      </c>
      <c r="P93" s="11">
        <f>P23*Inputs!$F$188*(P85-P92)/(P25-P32+P40-P47+P55-P62+P70-P77+P85-P92+0.000000001)</f>
        <v/>
      </c>
      <c r="Q93" s="11">
        <f>Q23*Inputs!$F$188*(Q85-Q92)/(Q25-Q32+Q40-Q47+Q55-Q62+Q70-Q77+Q85-Q92+0.000000001)</f>
        <v/>
      </c>
      <c r="R93" s="11">
        <f>R23*Inputs!$F$188*(R85-R92)/(R25-R32+R40-R47+R55-R62+R70-R77+R85-R92+0.000000001)</f>
        <v/>
      </c>
      <c r="S93" s="11">
        <f>S23*Inputs!$F$188*(S85-S92)/(S25-S32+S40-S47+S55-S62+S70-S77+S85-S92+0.000000001)</f>
        <v/>
      </c>
      <c r="T93" s="11">
        <f>T23*Inputs!$F$188*(T85-T92)/(T25-T32+T40-T47+T55-T62+T70-T77+T85-T92+0.000000001)</f>
        <v/>
      </c>
      <c r="U93" s="11">
        <f>U23*Inputs!$F$188*(U85-U92)/(U25-U32+U40-U47+U55-U62+U70-U77+U85-U92+0.000000001)</f>
        <v/>
      </c>
      <c r="V93" s="11">
        <f>V23*Inputs!$F$188*(V85-V92)/(V25-V32+V40-V47+V55-V62+V70-V77+V85-V92+0.000000001)</f>
        <v/>
      </c>
      <c r="W93" s="11">
        <f>W23*Inputs!$F$188*(W85-W92)/(W25-W32+W40-W47+W55-W62+W70-W77+W85-W92+0.000000001)</f>
        <v/>
      </c>
      <c r="X93" s="11">
        <f>X23*Inputs!$F$188*(X85-X92)/(X25-X32+X40-X47+X55-X62+X70-X77+X85-X92+0.000000001)</f>
        <v/>
      </c>
      <c r="Y93" s="11">
        <f>Y23*Inputs!$F$188*(Y85-Y92)/(Y25-Y32+Y40-Y47+Y55-Y62+Y70-Y77+Y85-Y92+0.000000001)</f>
        <v/>
      </c>
      <c r="Z93" s="11">
        <f>Z23*Inputs!$F$188*(Z85-Z92)/(Z25-Z32+Z40-Z47+Z55-Z62+Z70-Z77+Z85-Z92+0.000000001)</f>
        <v/>
      </c>
      <c r="AA93" s="11">
        <f>AA23*Inputs!$F$188*(AA85-AA92)/(AA25-AA32+AA40-AA47+AA55-AA62+AA70-AA77+AA85-AA92+0.000000001)</f>
        <v/>
      </c>
      <c r="AB93" s="11">
        <f>AB23*Inputs!$F$188*(AB85-AB92)/(AB25-AB32+AB40-AB47+AB55-AB62+AB70-AB77+AB85-AB92+0.000000001)</f>
        <v/>
      </c>
      <c r="AC93" s="11">
        <f>AC23*Inputs!$F$188*(AC85-AC92)/(AC25-AC32+AC40-AC47+AC55-AC62+AC70-AC77+AC85-AC92+0.000000001)</f>
        <v/>
      </c>
      <c r="AD93" s="11">
        <f>AD23*Inputs!$F$188*(AD85-AD92)/(AD25-AD32+AD40-AD47+AD55-AD62+AD70-AD77+AD85-AD92+0.000000001)</f>
        <v/>
      </c>
      <c r="AE93" s="11">
        <f>AE23*Inputs!$F$188*(AE85-AE92)/(AE25-AE32+AE40-AE47+AE55-AE62+AE70-AE77+AE85-AE92+0.000000001)</f>
        <v/>
      </c>
      <c r="AF93" s="11">
        <f>AF23*Inputs!$F$188*(AF85-AF92)/(AF25-AF32+AF40-AF47+AF55-AF62+AF70-AF77+AF85-AF92+0.000000001)</f>
        <v/>
      </c>
      <c r="AG93" s="11">
        <f>AG23*Inputs!$F$188*(AG85-AG92)/(AG25-AG32+AG40-AG47+AG55-AG62+AG70-AG77+AG85-AG92+0.000000001)</f>
        <v/>
      </c>
      <c r="AH93" s="11">
        <f>AH23*Inputs!$F$188*(AH85-AH92)/(AH25-AH32+AH40-AH47+AH55-AH62+AH70-AH77+AH85-AH92+0.000000001)</f>
        <v/>
      </c>
      <c r="AI93" s="11">
        <f>AI23*Inputs!$F$188*(AI85-AI92)/(AI25-AI32+AI40-AI47+AI55-AI62+AI70-AI77+AI85-AI92+0.000000001)</f>
        <v/>
      </c>
      <c r="AJ93" s="11">
        <f>AJ23*Inputs!$F$188*(AJ85-AJ92)/(AJ25-AJ32+AJ40-AJ47+AJ55-AJ62+AJ70-AJ77+AJ85-AJ92+0.000000001)</f>
        <v/>
      </c>
      <c r="AK93" s="11">
        <f>AK23*Inputs!$F$188*(AK85-AK92)/(AK25-AK32+AK40-AK47+AK55-AK62+AK70-AK77+AK85-AK92+0.000000001)</f>
        <v/>
      </c>
      <c r="AL93" s="11">
        <f>AL23*Inputs!$F$188*(AL85-AL92)/(AL25-AL32+AL40-AL47+AL55-AL62+AL70-AL77+AL85-AL92+0.000000001)</f>
        <v/>
      </c>
      <c r="AM93" s="11">
        <f>AM23*Inputs!$F$188*(AM85-AM92)/(AM25-AM32+AM40-AM47+AM55-AM62+AM70-AM77+AM85-AM92+0.000000001)</f>
        <v/>
      </c>
      <c r="AN93" s="11">
        <f>AN23*Inputs!$F$188*(AN85-AN92)/(AN25-AN32+AN40-AN47+AN55-AN62+AN70-AN77+AN85-AN92+0.000000001)</f>
        <v/>
      </c>
      <c r="AO93" s="11">
        <f>AO23*Inputs!$F$188*(AO85-AO92)/(AO25-AO32+AO40-AO47+AO55-AO62+AO70-AO77+AO85-AO92+0.000000001)</f>
        <v/>
      </c>
      <c r="AP93" s="11">
        <f>AP23*Inputs!$F$188*(AP85-AP92)/(AP25-AP32+AP40-AP47+AP55-AP62+AP70-AP77+AP85-AP92+0.000000001)</f>
        <v/>
      </c>
      <c r="AQ93" s="11">
        <f>AQ23*Inputs!$F$188*(AQ85-AQ92)/(AQ25-AQ32+AQ40-AQ47+AQ55-AQ62+AQ70-AQ77+AQ85-AQ92+0.000000001)</f>
        <v/>
      </c>
      <c r="AR93" s="11">
        <f>AR23*Inputs!$F$188*(AR85-AR92)/(AR25-AR32+AR40-AR47+AR55-AR62+AR70-AR77+AR85-AR92+0.000000001)</f>
        <v/>
      </c>
      <c r="AS93" s="11">
        <f>AS23*Inputs!$F$188*(AS85-AS92)/(AS25-AS32+AS40-AS47+AS55-AS62+AS70-AS77+AS85-AS92+0.000000001)</f>
        <v/>
      </c>
      <c r="AT93" s="11">
        <f>AT23*Inputs!$F$188*(AT85-AT92)/(AT25-AT32+AT40-AT47+AT55-AT62+AT70-AT77+AT85-AT92+0.000000001)</f>
        <v/>
      </c>
      <c r="AU93" s="11">
        <f>AU23*Inputs!$F$188*(AU85-AU92)/(AU25-AU32+AU40-AU47+AU55-AU62+AU70-AU77+AU85-AU92+0.000000001)</f>
        <v/>
      </c>
      <c r="AV93" s="11">
        <f>AV23*Inputs!$F$188*(AV85-AV92)/(AV25-AV32+AV40-AV47+AV55-AV62+AV70-AV77+AV85-AV92+0.000000001)</f>
        <v/>
      </c>
      <c r="AW93" s="11">
        <f>AW23*Inputs!$F$188*(AW85-AW92)/(AW25-AW32+AW40-AW47+AW55-AW62+AW70-AW77+AW85-AW92+0.000000001)</f>
        <v/>
      </c>
      <c r="AX93" s="11">
        <f>AX23*Inputs!$F$188*(AX85-AX92)/(AX25-AX32+AX40-AX47+AX55-AX62+AX70-AX77+AX85-AX92+0.000000001)</f>
        <v/>
      </c>
      <c r="AY93" s="11">
        <f>AY23*Inputs!$F$188*(AY85-AY92)/(AY25-AY32+AY40-AY47+AY55-AY62+AY70-AY77+AY85-AY92+0.000000001)</f>
        <v/>
      </c>
      <c r="AZ93" s="11">
        <f>AZ23*Inputs!$F$188*(AZ85-AZ92)/(AZ25-AZ32+AZ40-AZ47+AZ55-AZ62+AZ70-AZ77+AZ85-AZ92+0.000000001)</f>
        <v/>
      </c>
      <c r="BA93" s="11">
        <f>BA23*Inputs!$F$188*(BA85-BA92)/(BA25-BA32+BA40-BA47+BA55-BA62+BA70-BA77+BA85-BA92+0.000000001)</f>
        <v/>
      </c>
      <c r="BB93" s="11">
        <f>BB23*Inputs!$F$188*(BB85-BB92)/(BB25-BB32+BB40-BB47+BB55-BB62+BB70-BB77+BB85-BB92+0.000000001)</f>
        <v/>
      </c>
      <c r="BC93" s="11">
        <f>BC23*Inputs!$F$188*(BC85-BC92)/(BC25-BC32+BC40-BC47+BC55-BC62+BC70-BC77+BC85-BC92+0.000000001)</f>
        <v/>
      </c>
      <c r="BD93" s="11">
        <f>BD23*Inputs!$F$188*(BD85-BD92)/(BD25-BD32+BD40-BD47+BD55-BD62+BD70-BD77+BD85-BD92+0.000000001)</f>
        <v/>
      </c>
      <c r="BE93" s="11">
        <f>BE23*Inputs!$F$188*(BE85-BE92)/(BE25-BE32+BE40-BE47+BE55-BE62+BE70-BE77+BE85-BE92+0.000000001)</f>
        <v/>
      </c>
      <c r="BF93" s="11">
        <f>BF23*Inputs!$F$188*(BF85-BF92)/(BF25-BF32+BF40-BF47+BF55-BF62+BF70-BF77+BF85-BF92+0.000000001)</f>
        <v/>
      </c>
      <c r="BG93" s="11">
        <f>BG23*Inputs!$F$188*(BG85-BG92)/(BG25-BG32+BG40-BG47+BG55-BG62+BG70-BG77+BG85-BG92+0.000000001)</f>
        <v/>
      </c>
      <c r="BH93" s="11">
        <f>BH23*Inputs!$F$188*(BH85-BH92)/(BH25-BH32+BH40-BH47+BH55-BH62+BH70-BH77+BH85-BH92+0.000000001)</f>
        <v/>
      </c>
      <c r="BI93" s="11">
        <f>BI23*Inputs!$F$188*(BI85-BI92)/(BI25-BI32+BI40-BI47+BI55-BI62+BI70-BI77+BI85-BI92+0.000000001)</f>
        <v/>
      </c>
      <c r="BJ93" s="11">
        <f>BJ23*Inputs!$F$188*(BJ85-BJ92)/(BJ25-BJ32+BJ40-BJ47+BJ55-BJ62+BJ70-BJ77+BJ85-BJ92+0.000000001)</f>
        <v/>
      </c>
      <c r="BK93" s="11">
        <f>BK23*Inputs!$F$188*(BK85-BK92)/(BK25-BK32+BK40-BK47+BK55-BK62+BK70-BK77+BK85-BK92+0.000000001)</f>
        <v/>
      </c>
      <c r="BL93" s="11">
        <f>BL23*Inputs!$F$188*(BL85-BL92)/(BL25-BL32+BL40-BL47+BL55-BL62+BL70-BL77+BL85-BL92+0.000000001)</f>
        <v/>
      </c>
      <c r="BM93" s="11">
        <f>BM23*Inputs!$F$188*(BM85-BM92)/(BM25-BM32+BM40-BM47+BM55-BM62+BM70-BM77+BM85-BM92+0.000000001)</f>
        <v/>
      </c>
      <c r="BN93" s="11">
        <f>BN23*Inputs!$F$188*(BN85-BN92)/(BN25-BN32+BN40-BN47+BN55-BN62+BN70-BN77+BN85-BN92+0.000000001)</f>
        <v/>
      </c>
    </row>
    <row r="94">
      <c r="D94" t="inlineStr">
        <is>
          <t>Refinanced (prepaid from bond proceeds)</t>
        </is>
      </c>
      <c r="E94" t="inlineStr">
        <is>
          <t>USD m</t>
        </is>
      </c>
      <c r="G94" s="11">
        <f>SUM(J94:BN94)</f>
        <v/>
      </c>
      <c r="J94" s="11">
        <f>J20*(J85-J92-J93)</f>
        <v/>
      </c>
      <c r="K94" s="11">
        <f>K20*(K85-K92-K93)</f>
        <v/>
      </c>
      <c r="L94" s="11">
        <f>L20*(L85-L92-L93)</f>
        <v/>
      </c>
      <c r="M94" s="11">
        <f>M20*(M85-M92-M93)</f>
        <v/>
      </c>
      <c r="N94" s="11">
        <f>N20*(N85-N92-N93)</f>
        <v/>
      </c>
      <c r="O94" s="11">
        <f>O20*(O85-O92-O93)</f>
        <v/>
      </c>
      <c r="P94" s="11">
        <f>P20*(P85-P92-P93)</f>
        <v/>
      </c>
      <c r="Q94" s="11">
        <f>Q20*(Q85-Q92-Q93)</f>
        <v/>
      </c>
      <c r="R94" s="11">
        <f>R20*(R85-R92-R93)</f>
        <v/>
      </c>
      <c r="S94" s="11">
        <f>S20*(S85-S92-S93)</f>
        <v/>
      </c>
      <c r="T94" s="11">
        <f>T20*(T85-T92-T93)</f>
        <v/>
      </c>
      <c r="U94" s="11">
        <f>U20*(U85-U92-U93)</f>
        <v/>
      </c>
      <c r="V94" s="11">
        <f>V20*(V85-V92-V93)</f>
        <v/>
      </c>
      <c r="W94" s="11">
        <f>W20*(W85-W92-W93)</f>
        <v/>
      </c>
      <c r="X94" s="11">
        <f>X20*(X85-X92-X93)</f>
        <v/>
      </c>
      <c r="Y94" s="11">
        <f>Y20*(Y85-Y92-Y93)</f>
        <v/>
      </c>
      <c r="Z94" s="11">
        <f>Z20*(Z85-Z92-Z93)</f>
        <v/>
      </c>
      <c r="AA94" s="11">
        <f>AA20*(AA85-AA92-AA93)</f>
        <v/>
      </c>
      <c r="AB94" s="11">
        <f>AB20*(AB85-AB92-AB93)</f>
        <v/>
      </c>
      <c r="AC94" s="11">
        <f>AC20*(AC85-AC92-AC93)</f>
        <v/>
      </c>
      <c r="AD94" s="11">
        <f>AD20*(AD85-AD92-AD93)</f>
        <v/>
      </c>
      <c r="AE94" s="11">
        <f>AE20*(AE85-AE92-AE93)</f>
        <v/>
      </c>
      <c r="AF94" s="11">
        <f>AF20*(AF85-AF92-AF93)</f>
        <v/>
      </c>
      <c r="AG94" s="11">
        <f>AG20*(AG85-AG92-AG93)</f>
        <v/>
      </c>
      <c r="AH94" s="11">
        <f>AH20*(AH85-AH92-AH93)</f>
        <v/>
      </c>
      <c r="AI94" s="11">
        <f>AI20*(AI85-AI92-AI93)</f>
        <v/>
      </c>
      <c r="AJ94" s="11">
        <f>AJ20*(AJ85-AJ92-AJ93)</f>
        <v/>
      </c>
      <c r="AK94" s="11">
        <f>AK20*(AK85-AK92-AK93)</f>
        <v/>
      </c>
      <c r="AL94" s="11">
        <f>AL20*(AL85-AL92-AL93)</f>
        <v/>
      </c>
      <c r="AM94" s="11">
        <f>AM20*(AM85-AM92-AM93)</f>
        <v/>
      </c>
      <c r="AN94" s="11">
        <f>AN20*(AN85-AN92-AN93)</f>
        <v/>
      </c>
      <c r="AO94" s="11">
        <f>AO20*(AO85-AO92-AO93)</f>
        <v/>
      </c>
      <c r="AP94" s="11">
        <f>AP20*(AP85-AP92-AP93)</f>
        <v/>
      </c>
      <c r="AQ94" s="11">
        <f>AQ20*(AQ85-AQ92-AQ93)</f>
        <v/>
      </c>
      <c r="AR94" s="11">
        <f>AR20*(AR85-AR92-AR93)</f>
        <v/>
      </c>
      <c r="AS94" s="11">
        <f>AS20*(AS85-AS92-AS93)</f>
        <v/>
      </c>
      <c r="AT94" s="11">
        <f>AT20*(AT85-AT92-AT93)</f>
        <v/>
      </c>
      <c r="AU94" s="11">
        <f>AU20*(AU85-AU92-AU93)</f>
        <v/>
      </c>
      <c r="AV94" s="11">
        <f>AV20*(AV85-AV92-AV93)</f>
        <v/>
      </c>
      <c r="AW94" s="11">
        <f>AW20*(AW85-AW92-AW93)</f>
        <v/>
      </c>
      <c r="AX94" s="11">
        <f>AX20*(AX85-AX92-AX93)</f>
        <v/>
      </c>
      <c r="AY94" s="11">
        <f>AY20*(AY85-AY92-AY93)</f>
        <v/>
      </c>
      <c r="AZ94" s="11">
        <f>AZ20*(AZ85-AZ92-AZ93)</f>
        <v/>
      </c>
      <c r="BA94" s="11">
        <f>BA20*(BA85-BA92-BA93)</f>
        <v/>
      </c>
      <c r="BB94" s="11">
        <f>BB20*(BB85-BB92-BB93)</f>
        <v/>
      </c>
      <c r="BC94" s="11">
        <f>BC20*(BC85-BC92-BC93)</f>
        <v/>
      </c>
      <c r="BD94" s="11">
        <f>BD20*(BD85-BD92-BD93)</f>
        <v/>
      </c>
      <c r="BE94" s="11">
        <f>BE20*(BE85-BE92-BE93)</f>
        <v/>
      </c>
      <c r="BF94" s="11">
        <f>BF20*(BF85-BF92-BF93)</f>
        <v/>
      </c>
      <c r="BG94" s="11">
        <f>BG20*(BG85-BG92-BG93)</f>
        <v/>
      </c>
      <c r="BH94" s="11">
        <f>BH20*(BH85-BH92-BH93)</f>
        <v/>
      </c>
      <c r="BI94" s="11">
        <f>BI20*(BI85-BI92-BI93)</f>
        <v/>
      </c>
      <c r="BJ94" s="11">
        <f>BJ20*(BJ85-BJ92-BJ93)</f>
        <v/>
      </c>
      <c r="BK94" s="11">
        <f>BK20*(BK85-BK92-BK93)</f>
        <v/>
      </c>
      <c r="BL94" s="11">
        <f>BL20*(BL85-BL92-BL93)</f>
        <v/>
      </c>
      <c r="BM94" s="11">
        <f>BM20*(BM85-BM92-BM93)</f>
        <v/>
      </c>
      <c r="BN94" s="11">
        <f>BN20*(BN85-BN92-BN93)</f>
        <v/>
      </c>
    </row>
    <row r="95">
      <c r="D95" t="inlineStr">
        <is>
          <t>Deferred principal, closing</t>
        </is>
      </c>
      <c r="E95" t="inlineStr">
        <is>
          <t>USD m</t>
        </is>
      </c>
      <c r="J95" s="11">
        <f>IF(J20=1,0,1)*(J86+J89-J91)</f>
        <v/>
      </c>
      <c r="K95" s="11">
        <f>IF(K20=1,0,1)*(K86+K89-K91)</f>
        <v/>
      </c>
      <c r="L95" s="11">
        <f>IF(L20=1,0,1)*(L86+L89-L91)</f>
        <v/>
      </c>
      <c r="M95" s="11">
        <f>IF(M20=1,0,1)*(M86+M89-M91)</f>
        <v/>
      </c>
      <c r="N95" s="11">
        <f>IF(N20=1,0,1)*(N86+N89-N91)</f>
        <v/>
      </c>
      <c r="O95" s="11">
        <f>IF(O20=1,0,1)*(O86+O89-O91)</f>
        <v/>
      </c>
      <c r="P95" s="11">
        <f>IF(P20=1,0,1)*(P86+P89-P91)</f>
        <v/>
      </c>
      <c r="Q95" s="11">
        <f>IF(Q20=1,0,1)*(Q86+Q89-Q91)</f>
        <v/>
      </c>
      <c r="R95" s="11">
        <f>IF(R20=1,0,1)*(R86+R89-R91)</f>
        <v/>
      </c>
      <c r="S95" s="11">
        <f>IF(S20=1,0,1)*(S86+S89-S91)</f>
        <v/>
      </c>
      <c r="T95" s="11">
        <f>IF(T20=1,0,1)*(T86+T89-T91)</f>
        <v/>
      </c>
      <c r="U95" s="11">
        <f>IF(U20=1,0,1)*(U86+U89-U91)</f>
        <v/>
      </c>
      <c r="V95" s="11">
        <f>IF(V20=1,0,1)*(V86+V89-V91)</f>
        <v/>
      </c>
      <c r="W95" s="11">
        <f>IF(W20=1,0,1)*(W86+W89-W91)</f>
        <v/>
      </c>
      <c r="X95" s="11">
        <f>IF(X20=1,0,1)*(X86+X89-X91)</f>
        <v/>
      </c>
      <c r="Y95" s="11">
        <f>IF(Y20=1,0,1)*(Y86+Y89-Y91)</f>
        <v/>
      </c>
      <c r="Z95" s="11">
        <f>IF(Z20=1,0,1)*(Z86+Z89-Z91)</f>
        <v/>
      </c>
      <c r="AA95" s="11">
        <f>IF(AA20=1,0,1)*(AA86+AA89-AA91)</f>
        <v/>
      </c>
      <c r="AB95" s="11">
        <f>IF(AB20=1,0,1)*(AB86+AB89-AB91)</f>
        <v/>
      </c>
      <c r="AC95" s="11">
        <f>IF(AC20=1,0,1)*(AC86+AC89-AC91)</f>
        <v/>
      </c>
      <c r="AD95" s="11">
        <f>IF(AD20=1,0,1)*(AD86+AD89-AD91)</f>
        <v/>
      </c>
      <c r="AE95" s="11">
        <f>IF(AE20=1,0,1)*(AE86+AE89-AE91)</f>
        <v/>
      </c>
      <c r="AF95" s="11">
        <f>IF(AF20=1,0,1)*(AF86+AF89-AF91)</f>
        <v/>
      </c>
      <c r="AG95" s="11">
        <f>IF(AG20=1,0,1)*(AG86+AG89-AG91)</f>
        <v/>
      </c>
      <c r="AH95" s="11">
        <f>IF(AH20=1,0,1)*(AH86+AH89-AH91)</f>
        <v/>
      </c>
      <c r="AI95" s="11">
        <f>IF(AI20=1,0,1)*(AI86+AI89-AI91)</f>
        <v/>
      </c>
      <c r="AJ95" s="11">
        <f>IF(AJ20=1,0,1)*(AJ86+AJ89-AJ91)</f>
        <v/>
      </c>
      <c r="AK95" s="11">
        <f>IF(AK20=1,0,1)*(AK86+AK89-AK91)</f>
        <v/>
      </c>
      <c r="AL95" s="11">
        <f>IF(AL20=1,0,1)*(AL86+AL89-AL91)</f>
        <v/>
      </c>
      <c r="AM95" s="11">
        <f>IF(AM20=1,0,1)*(AM86+AM89-AM91)</f>
        <v/>
      </c>
      <c r="AN95" s="11">
        <f>IF(AN20=1,0,1)*(AN86+AN89-AN91)</f>
        <v/>
      </c>
      <c r="AO95" s="11">
        <f>IF(AO20=1,0,1)*(AO86+AO89-AO91)</f>
        <v/>
      </c>
      <c r="AP95" s="11">
        <f>IF(AP20=1,0,1)*(AP86+AP89-AP91)</f>
        <v/>
      </c>
      <c r="AQ95" s="11">
        <f>IF(AQ20=1,0,1)*(AQ86+AQ89-AQ91)</f>
        <v/>
      </c>
      <c r="AR95" s="11">
        <f>IF(AR20=1,0,1)*(AR86+AR89-AR91)</f>
        <v/>
      </c>
      <c r="AS95" s="11">
        <f>IF(AS20=1,0,1)*(AS86+AS89-AS91)</f>
        <v/>
      </c>
      <c r="AT95" s="11">
        <f>IF(AT20=1,0,1)*(AT86+AT89-AT91)</f>
        <v/>
      </c>
      <c r="AU95" s="11">
        <f>IF(AU20=1,0,1)*(AU86+AU89-AU91)</f>
        <v/>
      </c>
      <c r="AV95" s="11">
        <f>IF(AV20=1,0,1)*(AV86+AV89-AV91)</f>
        <v/>
      </c>
      <c r="AW95" s="11">
        <f>IF(AW20=1,0,1)*(AW86+AW89-AW91)</f>
        <v/>
      </c>
      <c r="AX95" s="11">
        <f>IF(AX20=1,0,1)*(AX86+AX89-AX91)</f>
        <v/>
      </c>
      <c r="AY95" s="11">
        <f>IF(AY20=1,0,1)*(AY86+AY89-AY91)</f>
        <v/>
      </c>
      <c r="AZ95" s="11">
        <f>IF(AZ20=1,0,1)*(AZ86+AZ89-AZ91)</f>
        <v/>
      </c>
      <c r="BA95" s="11">
        <f>IF(BA20=1,0,1)*(BA86+BA89-BA91)</f>
        <v/>
      </c>
      <c r="BB95" s="11">
        <f>IF(BB20=1,0,1)*(BB86+BB89-BB91)</f>
        <v/>
      </c>
      <c r="BC95" s="11">
        <f>IF(BC20=1,0,1)*(BC86+BC89-BC91)</f>
        <v/>
      </c>
      <c r="BD95" s="11">
        <f>IF(BD20=1,0,1)*(BD86+BD89-BD91)</f>
        <v/>
      </c>
      <c r="BE95" s="11">
        <f>IF(BE20=1,0,1)*(BE86+BE89-BE91)</f>
        <v/>
      </c>
      <c r="BF95" s="11">
        <f>IF(BF20=1,0,1)*(BF86+BF89-BF91)</f>
        <v/>
      </c>
      <c r="BG95" s="11">
        <f>IF(BG20=1,0,1)*(BG86+BG89-BG91)</f>
        <v/>
      </c>
      <c r="BH95" s="11">
        <f>IF(BH20=1,0,1)*(BH86+BH89-BH91)</f>
        <v/>
      </c>
      <c r="BI95" s="11">
        <f>IF(BI20=1,0,1)*(BI86+BI89-BI91)</f>
        <v/>
      </c>
      <c r="BJ95" s="11">
        <f>IF(BJ20=1,0,1)*(BJ86+BJ89-BJ91)</f>
        <v/>
      </c>
      <c r="BK95" s="11">
        <f>IF(BK20=1,0,1)*(BK86+BK89-BK91)</f>
        <v/>
      </c>
      <c r="BL95" s="11">
        <f>IF(BL20=1,0,1)*(BL86+BL89-BL91)</f>
        <v/>
      </c>
      <c r="BM95" s="11">
        <f>IF(BM20=1,0,1)*(BM86+BM89-BM91)</f>
        <v/>
      </c>
      <c r="BN95" s="11">
        <f>IF(BN20=1,0,1)*(BN86+BN89-BN91)</f>
        <v/>
      </c>
    </row>
    <row r="96">
      <c r="D96" t="inlineStr">
        <is>
          <t>Balance after scheduled payment, LDs and refinancing</t>
        </is>
      </c>
      <c r="E96" t="inlineStr">
        <is>
          <t>USD m</t>
        </is>
      </c>
      <c r="J96" s="11">
        <f>J85-J92-J93-J94</f>
        <v/>
      </c>
      <c r="K96" s="11">
        <f>K85-K92-K93-K94</f>
        <v/>
      </c>
      <c r="L96" s="11">
        <f>L85-L92-L93-L94</f>
        <v/>
      </c>
      <c r="M96" s="11">
        <f>M85-M92-M93-M94</f>
        <v/>
      </c>
      <c r="N96" s="11">
        <f>N85-N92-N93-N94</f>
        <v/>
      </c>
      <c r="O96" s="11">
        <f>O85-O92-O93-O94</f>
        <v/>
      </c>
      <c r="P96" s="11">
        <f>P85-P92-P93-P94</f>
        <v/>
      </c>
      <c r="Q96" s="11">
        <f>Q85-Q92-Q93-Q94</f>
        <v/>
      </c>
      <c r="R96" s="11">
        <f>R85-R92-R93-R94</f>
        <v/>
      </c>
      <c r="S96" s="11">
        <f>S85-S92-S93-S94</f>
        <v/>
      </c>
      <c r="T96" s="11">
        <f>T85-T92-T93-T94</f>
        <v/>
      </c>
      <c r="U96" s="11">
        <f>U85-U92-U93-U94</f>
        <v/>
      </c>
      <c r="V96" s="11">
        <f>V85-V92-V93-V94</f>
        <v/>
      </c>
      <c r="W96" s="11">
        <f>W85-W92-W93-W94</f>
        <v/>
      </c>
      <c r="X96" s="11">
        <f>X85-X92-X93-X94</f>
        <v/>
      </c>
      <c r="Y96" s="11">
        <f>Y85-Y92-Y93-Y94</f>
        <v/>
      </c>
      <c r="Z96" s="11">
        <f>Z85-Z92-Z93-Z94</f>
        <v/>
      </c>
      <c r="AA96" s="11">
        <f>AA85-AA92-AA93-AA94</f>
        <v/>
      </c>
      <c r="AB96" s="11">
        <f>AB85-AB92-AB93-AB94</f>
        <v/>
      </c>
      <c r="AC96" s="11">
        <f>AC85-AC92-AC93-AC94</f>
        <v/>
      </c>
      <c r="AD96" s="11">
        <f>AD85-AD92-AD93-AD94</f>
        <v/>
      </c>
      <c r="AE96" s="11">
        <f>AE85-AE92-AE93-AE94</f>
        <v/>
      </c>
      <c r="AF96" s="11">
        <f>AF85-AF92-AF93-AF94</f>
        <v/>
      </c>
      <c r="AG96" s="11">
        <f>AG85-AG92-AG93-AG94</f>
        <v/>
      </c>
      <c r="AH96" s="11">
        <f>AH85-AH92-AH93-AH94</f>
        <v/>
      </c>
      <c r="AI96" s="11">
        <f>AI85-AI92-AI93-AI94</f>
        <v/>
      </c>
      <c r="AJ96" s="11">
        <f>AJ85-AJ92-AJ93-AJ94</f>
        <v/>
      </c>
      <c r="AK96" s="11">
        <f>AK85-AK92-AK93-AK94</f>
        <v/>
      </c>
      <c r="AL96" s="11">
        <f>AL85-AL92-AL93-AL94</f>
        <v/>
      </c>
      <c r="AM96" s="11">
        <f>AM85-AM92-AM93-AM94</f>
        <v/>
      </c>
      <c r="AN96" s="11">
        <f>AN85-AN92-AN93-AN94</f>
        <v/>
      </c>
      <c r="AO96" s="11">
        <f>AO85-AO92-AO93-AO94</f>
        <v/>
      </c>
      <c r="AP96" s="11">
        <f>AP85-AP92-AP93-AP94</f>
        <v/>
      </c>
      <c r="AQ96" s="11">
        <f>AQ85-AQ92-AQ93-AQ94</f>
        <v/>
      </c>
      <c r="AR96" s="11">
        <f>AR85-AR92-AR93-AR94</f>
        <v/>
      </c>
      <c r="AS96" s="11">
        <f>AS85-AS92-AS93-AS94</f>
        <v/>
      </c>
      <c r="AT96" s="11">
        <f>AT85-AT92-AT93-AT94</f>
        <v/>
      </c>
      <c r="AU96" s="11">
        <f>AU85-AU92-AU93-AU94</f>
        <v/>
      </c>
      <c r="AV96" s="11">
        <f>AV85-AV92-AV93-AV94</f>
        <v/>
      </c>
      <c r="AW96" s="11">
        <f>AW85-AW92-AW93-AW94</f>
        <v/>
      </c>
      <c r="AX96" s="11">
        <f>AX85-AX92-AX93-AX94</f>
        <v/>
      </c>
      <c r="AY96" s="11">
        <f>AY85-AY92-AY93-AY94</f>
        <v/>
      </c>
      <c r="AZ96" s="11">
        <f>AZ85-AZ92-AZ93-AZ94</f>
        <v/>
      </c>
      <c r="BA96" s="11">
        <f>BA85-BA92-BA93-BA94</f>
        <v/>
      </c>
      <c r="BB96" s="11">
        <f>BB85-BB92-BB93-BB94</f>
        <v/>
      </c>
      <c r="BC96" s="11">
        <f>BC85-BC92-BC93-BC94</f>
        <v/>
      </c>
      <c r="BD96" s="11">
        <f>BD85-BD92-BD93-BD94</f>
        <v/>
      </c>
      <c r="BE96" s="11">
        <f>BE85-BE92-BE93-BE94</f>
        <v/>
      </c>
      <c r="BF96" s="11">
        <f>BF85-BF92-BF93-BF94</f>
        <v/>
      </c>
      <c r="BG96" s="11">
        <f>BG85-BG92-BG93-BG94</f>
        <v/>
      </c>
      <c r="BH96" s="11">
        <f>BH85-BH92-BH93-BH94</f>
        <v/>
      </c>
      <c r="BI96" s="11">
        <f>BI85-BI92-BI93-BI94</f>
        <v/>
      </c>
      <c r="BJ96" s="11">
        <f>BJ85-BJ92-BJ93-BJ94</f>
        <v/>
      </c>
      <c r="BK96" s="11">
        <f>BK85-BK92-BK93-BK94</f>
        <v/>
      </c>
      <c r="BL96" s="11">
        <f>BL85-BL92-BL93-BL94</f>
        <v/>
      </c>
      <c r="BM96" s="11">
        <f>BM85-BM92-BM93-BM94</f>
        <v/>
      </c>
      <c r="BN96" s="11">
        <f>BN85-BN92-BN93-BN94</f>
        <v/>
      </c>
    </row>
    <row r="97">
      <c r="D97" t="inlineStr">
        <is>
          <t>Cash sweep prepayment</t>
        </is>
      </c>
      <c r="E97" t="inlineStr">
        <is>
          <t>USD m</t>
        </is>
      </c>
      <c r="G97" s="11">
        <f>SUM(J97:BN97)</f>
        <v/>
      </c>
      <c r="J97" s="11">
        <f>Waterfall!J28*J96/(J36+J51+J66+J81+J96+0.000000001)</f>
        <v/>
      </c>
      <c r="K97" s="11">
        <f>Waterfall!K28*K96/(K36+K51+K66+K81+K96+0.000000001)</f>
        <v/>
      </c>
      <c r="L97" s="11">
        <f>Waterfall!L28*L96/(L36+L51+L66+L81+L96+0.000000001)</f>
        <v/>
      </c>
      <c r="M97" s="11">
        <f>Waterfall!M28*M96/(M36+M51+M66+M81+M96+0.000000001)</f>
        <v/>
      </c>
      <c r="N97" s="11">
        <f>Waterfall!N28*N96/(N36+N51+N66+N81+N96+0.000000001)</f>
        <v/>
      </c>
      <c r="O97" s="11">
        <f>Waterfall!O28*O96/(O36+O51+O66+O81+O96+0.000000001)</f>
        <v/>
      </c>
      <c r="P97" s="11">
        <f>Waterfall!P28*P96/(P36+P51+P66+P81+P96+0.000000001)</f>
        <v/>
      </c>
      <c r="Q97" s="11">
        <f>Waterfall!Q28*Q96/(Q36+Q51+Q66+Q81+Q96+0.000000001)</f>
        <v/>
      </c>
      <c r="R97" s="11">
        <f>Waterfall!R28*R96/(R36+R51+R66+R81+R96+0.000000001)</f>
        <v/>
      </c>
      <c r="S97" s="11">
        <f>Waterfall!S28*S96/(S36+S51+S66+S81+S96+0.000000001)</f>
        <v/>
      </c>
      <c r="T97" s="11">
        <f>Waterfall!T28*T96/(T36+T51+T66+T81+T96+0.000000001)</f>
        <v/>
      </c>
      <c r="U97" s="11">
        <f>Waterfall!U28*U96/(U36+U51+U66+U81+U96+0.000000001)</f>
        <v/>
      </c>
      <c r="V97" s="11">
        <f>Waterfall!V28*V96/(V36+V51+V66+V81+V96+0.000000001)</f>
        <v/>
      </c>
      <c r="W97" s="11">
        <f>Waterfall!W28*W96/(W36+W51+W66+W81+W96+0.000000001)</f>
        <v/>
      </c>
      <c r="X97" s="11">
        <f>Waterfall!X28*X96/(X36+X51+X66+X81+X96+0.000000001)</f>
        <v/>
      </c>
      <c r="Y97" s="11">
        <f>Waterfall!Y28*Y96/(Y36+Y51+Y66+Y81+Y96+0.000000001)</f>
        <v/>
      </c>
      <c r="Z97" s="11">
        <f>Waterfall!Z28*Z96/(Z36+Z51+Z66+Z81+Z96+0.000000001)</f>
        <v/>
      </c>
      <c r="AA97" s="11">
        <f>Waterfall!AA28*AA96/(AA36+AA51+AA66+AA81+AA96+0.000000001)</f>
        <v/>
      </c>
      <c r="AB97" s="11">
        <f>Waterfall!AB28*AB96/(AB36+AB51+AB66+AB81+AB96+0.000000001)</f>
        <v/>
      </c>
      <c r="AC97" s="11">
        <f>Waterfall!AC28*AC96/(AC36+AC51+AC66+AC81+AC96+0.000000001)</f>
        <v/>
      </c>
      <c r="AD97" s="11">
        <f>Waterfall!AD28*AD96/(AD36+AD51+AD66+AD81+AD96+0.000000001)</f>
        <v/>
      </c>
      <c r="AE97" s="11">
        <f>Waterfall!AE28*AE96/(AE36+AE51+AE66+AE81+AE96+0.000000001)</f>
        <v/>
      </c>
      <c r="AF97" s="11">
        <f>Waterfall!AF28*AF96/(AF36+AF51+AF66+AF81+AF96+0.000000001)</f>
        <v/>
      </c>
      <c r="AG97" s="11">
        <f>Waterfall!AG28*AG96/(AG36+AG51+AG66+AG81+AG96+0.000000001)</f>
        <v/>
      </c>
      <c r="AH97" s="11">
        <f>Waterfall!AH28*AH96/(AH36+AH51+AH66+AH81+AH96+0.000000001)</f>
        <v/>
      </c>
      <c r="AI97" s="11">
        <f>Waterfall!AI28*AI96/(AI36+AI51+AI66+AI81+AI96+0.000000001)</f>
        <v/>
      </c>
      <c r="AJ97" s="11">
        <f>Waterfall!AJ28*AJ96/(AJ36+AJ51+AJ66+AJ81+AJ96+0.000000001)</f>
        <v/>
      </c>
      <c r="AK97" s="11">
        <f>Waterfall!AK28*AK96/(AK36+AK51+AK66+AK81+AK96+0.000000001)</f>
        <v/>
      </c>
      <c r="AL97" s="11">
        <f>Waterfall!AL28*AL96/(AL36+AL51+AL66+AL81+AL96+0.000000001)</f>
        <v/>
      </c>
      <c r="AM97" s="11">
        <f>Waterfall!AM28*AM96/(AM36+AM51+AM66+AM81+AM96+0.000000001)</f>
        <v/>
      </c>
      <c r="AN97" s="11">
        <f>Waterfall!AN28*AN96/(AN36+AN51+AN66+AN81+AN96+0.000000001)</f>
        <v/>
      </c>
      <c r="AO97" s="11">
        <f>Waterfall!AO28*AO96/(AO36+AO51+AO66+AO81+AO96+0.000000001)</f>
        <v/>
      </c>
      <c r="AP97" s="11">
        <f>Waterfall!AP28*AP96/(AP36+AP51+AP66+AP81+AP96+0.000000001)</f>
        <v/>
      </c>
      <c r="AQ97" s="11">
        <f>Waterfall!AQ28*AQ96/(AQ36+AQ51+AQ66+AQ81+AQ96+0.000000001)</f>
        <v/>
      </c>
      <c r="AR97" s="11">
        <f>Waterfall!AR28*AR96/(AR36+AR51+AR66+AR81+AR96+0.000000001)</f>
        <v/>
      </c>
      <c r="AS97" s="11">
        <f>Waterfall!AS28*AS96/(AS36+AS51+AS66+AS81+AS96+0.000000001)</f>
        <v/>
      </c>
      <c r="AT97" s="11">
        <f>Waterfall!AT28*AT96/(AT36+AT51+AT66+AT81+AT96+0.000000001)</f>
        <v/>
      </c>
      <c r="AU97" s="11">
        <f>Waterfall!AU28*AU96/(AU36+AU51+AU66+AU81+AU96+0.000000001)</f>
        <v/>
      </c>
      <c r="AV97" s="11">
        <f>Waterfall!AV28*AV96/(AV36+AV51+AV66+AV81+AV96+0.000000001)</f>
        <v/>
      </c>
      <c r="AW97" s="11">
        <f>Waterfall!AW28*AW96/(AW36+AW51+AW66+AW81+AW96+0.000000001)</f>
        <v/>
      </c>
      <c r="AX97" s="11">
        <f>Waterfall!AX28*AX96/(AX36+AX51+AX66+AX81+AX96+0.000000001)</f>
        <v/>
      </c>
      <c r="AY97" s="11">
        <f>Waterfall!AY28*AY96/(AY36+AY51+AY66+AY81+AY96+0.000000001)</f>
        <v/>
      </c>
      <c r="AZ97" s="11">
        <f>Waterfall!AZ28*AZ96/(AZ36+AZ51+AZ66+AZ81+AZ96+0.000000001)</f>
        <v/>
      </c>
      <c r="BA97" s="11">
        <f>Waterfall!BA28*BA96/(BA36+BA51+BA66+BA81+BA96+0.000000001)</f>
        <v/>
      </c>
      <c r="BB97" s="11">
        <f>Waterfall!BB28*BB96/(BB36+BB51+BB66+BB81+BB96+0.000000001)</f>
        <v/>
      </c>
      <c r="BC97" s="11">
        <f>Waterfall!BC28*BC96/(BC36+BC51+BC66+BC81+BC96+0.000000001)</f>
        <v/>
      </c>
      <c r="BD97" s="11">
        <f>Waterfall!BD28*BD96/(BD36+BD51+BD66+BD81+BD96+0.000000001)</f>
        <v/>
      </c>
      <c r="BE97" s="11">
        <f>Waterfall!BE28*BE96/(BE36+BE51+BE66+BE81+BE96+0.000000001)</f>
        <v/>
      </c>
      <c r="BF97" s="11">
        <f>Waterfall!BF28*BF96/(BF36+BF51+BF66+BF81+BF96+0.000000001)</f>
        <v/>
      </c>
      <c r="BG97" s="11">
        <f>Waterfall!BG28*BG96/(BG36+BG51+BG66+BG81+BG96+0.000000001)</f>
        <v/>
      </c>
      <c r="BH97" s="11">
        <f>Waterfall!BH28*BH96/(BH36+BH51+BH66+BH81+BH96+0.000000001)</f>
        <v/>
      </c>
      <c r="BI97" s="11">
        <f>Waterfall!BI28*BI96/(BI36+BI51+BI66+BI81+BI96+0.000000001)</f>
        <v/>
      </c>
      <c r="BJ97" s="11">
        <f>Waterfall!BJ28*BJ96/(BJ36+BJ51+BJ66+BJ81+BJ96+0.000000001)</f>
        <v/>
      </c>
      <c r="BK97" s="11">
        <f>Waterfall!BK28*BK96/(BK36+BK51+BK66+BK81+BK96+0.000000001)</f>
        <v/>
      </c>
      <c r="BL97" s="11">
        <f>Waterfall!BL28*BL96/(BL36+BL51+BL66+BL81+BL96+0.000000001)</f>
        <v/>
      </c>
      <c r="BM97" s="11">
        <f>Waterfall!BM28*BM96/(BM36+BM51+BM66+BM81+BM96+0.000000001)</f>
        <v/>
      </c>
      <c r="BN97" s="11">
        <f>Waterfall!BN28*BN96/(BN36+BN51+BN66+BN81+BN96+0.000000001)</f>
        <v/>
      </c>
    </row>
    <row r="98">
      <c r="D98" t="inlineStr">
        <is>
          <t>Closing balance</t>
        </is>
      </c>
      <c r="E98" t="inlineStr">
        <is>
          <t>USD m</t>
        </is>
      </c>
      <c r="J98" s="11">
        <f>IF(Time!J29=1,INDEX(Funding!$J$65:$BJ$65,1,Time!$F$13),Time!J30*(J96-J97))</f>
        <v/>
      </c>
      <c r="K98" s="11">
        <f>IF(Time!K29=1,INDEX(Funding!$J$65:$BJ$65,1,Time!$F$13),Time!K30*(K96-K97))</f>
        <v/>
      </c>
      <c r="L98" s="11">
        <f>IF(Time!L29=1,INDEX(Funding!$J$65:$BJ$65,1,Time!$F$13),Time!L30*(L96-L97))</f>
        <v/>
      </c>
      <c r="M98" s="11">
        <f>IF(Time!M29=1,INDEX(Funding!$J$65:$BJ$65,1,Time!$F$13),Time!M30*(M96-M97))</f>
        <v/>
      </c>
      <c r="N98" s="11">
        <f>IF(Time!N29=1,INDEX(Funding!$J$65:$BJ$65,1,Time!$F$13),Time!N30*(N96-N97))</f>
        <v/>
      </c>
      <c r="O98" s="11">
        <f>IF(Time!O29=1,INDEX(Funding!$J$65:$BJ$65,1,Time!$F$13),Time!O30*(O96-O97))</f>
        <v/>
      </c>
      <c r="P98" s="11">
        <f>IF(Time!P29=1,INDEX(Funding!$J$65:$BJ$65,1,Time!$F$13),Time!P30*(P96-P97))</f>
        <v/>
      </c>
      <c r="Q98" s="11">
        <f>IF(Time!Q29=1,INDEX(Funding!$J$65:$BJ$65,1,Time!$F$13),Time!Q30*(Q96-Q97))</f>
        <v/>
      </c>
      <c r="R98" s="11">
        <f>IF(Time!R29=1,INDEX(Funding!$J$65:$BJ$65,1,Time!$F$13),Time!R30*(R96-R97))</f>
        <v/>
      </c>
      <c r="S98" s="11">
        <f>IF(Time!S29=1,INDEX(Funding!$J$65:$BJ$65,1,Time!$F$13),Time!S30*(S96-S97))</f>
        <v/>
      </c>
      <c r="T98" s="11">
        <f>IF(Time!T29=1,INDEX(Funding!$J$65:$BJ$65,1,Time!$F$13),Time!T30*(T96-T97))</f>
        <v/>
      </c>
      <c r="U98" s="11">
        <f>IF(Time!U29=1,INDEX(Funding!$J$65:$BJ$65,1,Time!$F$13),Time!U30*(U96-U97))</f>
        <v/>
      </c>
      <c r="V98" s="11">
        <f>IF(Time!V29=1,INDEX(Funding!$J$65:$BJ$65,1,Time!$F$13),Time!V30*(V96-V97))</f>
        <v/>
      </c>
      <c r="W98" s="11">
        <f>IF(Time!W29=1,INDEX(Funding!$J$65:$BJ$65,1,Time!$F$13),Time!W30*(W96-W97))</f>
        <v/>
      </c>
      <c r="X98" s="11">
        <f>IF(Time!X29=1,INDEX(Funding!$J$65:$BJ$65,1,Time!$F$13),Time!X30*(X96-X97))</f>
        <v/>
      </c>
      <c r="Y98" s="11">
        <f>IF(Time!Y29=1,INDEX(Funding!$J$65:$BJ$65,1,Time!$F$13),Time!Y30*(Y96-Y97))</f>
        <v/>
      </c>
      <c r="Z98" s="11">
        <f>IF(Time!Z29=1,INDEX(Funding!$J$65:$BJ$65,1,Time!$F$13),Time!Z30*(Z96-Z97))</f>
        <v/>
      </c>
      <c r="AA98" s="11">
        <f>IF(Time!AA29=1,INDEX(Funding!$J$65:$BJ$65,1,Time!$F$13),Time!AA30*(AA96-AA97))</f>
        <v/>
      </c>
      <c r="AB98" s="11">
        <f>IF(Time!AB29=1,INDEX(Funding!$J$65:$BJ$65,1,Time!$F$13),Time!AB30*(AB96-AB97))</f>
        <v/>
      </c>
      <c r="AC98" s="11">
        <f>IF(Time!AC29=1,INDEX(Funding!$J$65:$BJ$65,1,Time!$F$13),Time!AC30*(AC96-AC97))</f>
        <v/>
      </c>
      <c r="AD98" s="11">
        <f>IF(Time!AD29=1,INDEX(Funding!$J$65:$BJ$65,1,Time!$F$13),Time!AD30*(AD96-AD97))</f>
        <v/>
      </c>
      <c r="AE98" s="11">
        <f>IF(Time!AE29=1,INDEX(Funding!$J$65:$BJ$65,1,Time!$F$13),Time!AE30*(AE96-AE97))</f>
        <v/>
      </c>
      <c r="AF98" s="11">
        <f>IF(Time!AF29=1,INDEX(Funding!$J$65:$BJ$65,1,Time!$F$13),Time!AF30*(AF96-AF97))</f>
        <v/>
      </c>
      <c r="AG98" s="11">
        <f>IF(Time!AG29=1,INDEX(Funding!$J$65:$BJ$65,1,Time!$F$13),Time!AG30*(AG96-AG97))</f>
        <v/>
      </c>
      <c r="AH98" s="11">
        <f>IF(Time!AH29=1,INDEX(Funding!$J$65:$BJ$65,1,Time!$F$13),Time!AH30*(AH96-AH97))</f>
        <v/>
      </c>
      <c r="AI98" s="11">
        <f>IF(Time!AI29=1,INDEX(Funding!$J$65:$BJ$65,1,Time!$F$13),Time!AI30*(AI96-AI97))</f>
        <v/>
      </c>
      <c r="AJ98" s="11">
        <f>IF(Time!AJ29=1,INDEX(Funding!$J$65:$BJ$65,1,Time!$F$13),Time!AJ30*(AJ96-AJ97))</f>
        <v/>
      </c>
      <c r="AK98" s="11">
        <f>IF(Time!AK29=1,INDEX(Funding!$J$65:$BJ$65,1,Time!$F$13),Time!AK30*(AK96-AK97))</f>
        <v/>
      </c>
      <c r="AL98" s="11">
        <f>IF(Time!AL29=1,INDEX(Funding!$J$65:$BJ$65,1,Time!$F$13),Time!AL30*(AL96-AL97))</f>
        <v/>
      </c>
      <c r="AM98" s="11">
        <f>IF(Time!AM29=1,INDEX(Funding!$J$65:$BJ$65,1,Time!$F$13),Time!AM30*(AM96-AM97))</f>
        <v/>
      </c>
      <c r="AN98" s="11">
        <f>IF(Time!AN29=1,INDEX(Funding!$J$65:$BJ$65,1,Time!$F$13),Time!AN30*(AN96-AN97))</f>
        <v/>
      </c>
      <c r="AO98" s="11">
        <f>IF(Time!AO29=1,INDEX(Funding!$J$65:$BJ$65,1,Time!$F$13),Time!AO30*(AO96-AO97))</f>
        <v/>
      </c>
      <c r="AP98" s="11">
        <f>IF(Time!AP29=1,INDEX(Funding!$J$65:$BJ$65,1,Time!$F$13),Time!AP30*(AP96-AP97))</f>
        <v/>
      </c>
      <c r="AQ98" s="11">
        <f>IF(Time!AQ29=1,INDEX(Funding!$J$65:$BJ$65,1,Time!$F$13),Time!AQ30*(AQ96-AQ97))</f>
        <v/>
      </c>
      <c r="AR98" s="11">
        <f>IF(Time!AR29=1,INDEX(Funding!$J$65:$BJ$65,1,Time!$F$13),Time!AR30*(AR96-AR97))</f>
        <v/>
      </c>
      <c r="AS98" s="11">
        <f>IF(Time!AS29=1,INDEX(Funding!$J$65:$BJ$65,1,Time!$F$13),Time!AS30*(AS96-AS97))</f>
        <v/>
      </c>
      <c r="AT98" s="11">
        <f>IF(Time!AT29=1,INDEX(Funding!$J$65:$BJ$65,1,Time!$F$13),Time!AT30*(AT96-AT97))</f>
        <v/>
      </c>
      <c r="AU98" s="11">
        <f>IF(Time!AU29=1,INDEX(Funding!$J$65:$BJ$65,1,Time!$F$13),Time!AU30*(AU96-AU97))</f>
        <v/>
      </c>
      <c r="AV98" s="11">
        <f>IF(Time!AV29=1,INDEX(Funding!$J$65:$BJ$65,1,Time!$F$13),Time!AV30*(AV96-AV97))</f>
        <v/>
      </c>
      <c r="AW98" s="11">
        <f>IF(Time!AW29=1,INDEX(Funding!$J$65:$BJ$65,1,Time!$F$13),Time!AW30*(AW96-AW97))</f>
        <v/>
      </c>
      <c r="AX98" s="11">
        <f>IF(Time!AX29=1,INDEX(Funding!$J$65:$BJ$65,1,Time!$F$13),Time!AX30*(AX96-AX97))</f>
        <v/>
      </c>
      <c r="AY98" s="11">
        <f>IF(Time!AY29=1,INDEX(Funding!$J$65:$BJ$65,1,Time!$F$13),Time!AY30*(AY96-AY97))</f>
        <v/>
      </c>
      <c r="AZ98" s="11">
        <f>IF(Time!AZ29=1,INDEX(Funding!$J$65:$BJ$65,1,Time!$F$13),Time!AZ30*(AZ96-AZ97))</f>
        <v/>
      </c>
      <c r="BA98" s="11">
        <f>IF(Time!BA29=1,INDEX(Funding!$J$65:$BJ$65,1,Time!$F$13),Time!BA30*(BA96-BA97))</f>
        <v/>
      </c>
      <c r="BB98" s="11">
        <f>IF(Time!BB29=1,INDEX(Funding!$J$65:$BJ$65,1,Time!$F$13),Time!BB30*(BB96-BB97))</f>
        <v/>
      </c>
      <c r="BC98" s="11">
        <f>IF(Time!BC29=1,INDEX(Funding!$J$65:$BJ$65,1,Time!$F$13),Time!BC30*(BC96-BC97))</f>
        <v/>
      </c>
      <c r="BD98" s="11">
        <f>IF(Time!BD29=1,INDEX(Funding!$J$65:$BJ$65,1,Time!$F$13),Time!BD30*(BD96-BD97))</f>
        <v/>
      </c>
      <c r="BE98" s="11">
        <f>IF(Time!BE29=1,INDEX(Funding!$J$65:$BJ$65,1,Time!$F$13),Time!BE30*(BE96-BE97))</f>
        <v/>
      </c>
      <c r="BF98" s="11">
        <f>IF(Time!BF29=1,INDEX(Funding!$J$65:$BJ$65,1,Time!$F$13),Time!BF30*(BF96-BF97))</f>
        <v/>
      </c>
      <c r="BG98" s="11">
        <f>IF(Time!BG29=1,INDEX(Funding!$J$65:$BJ$65,1,Time!$F$13),Time!BG30*(BG96-BG97))</f>
        <v/>
      </c>
      <c r="BH98" s="11">
        <f>IF(Time!BH29=1,INDEX(Funding!$J$65:$BJ$65,1,Time!$F$13),Time!BH30*(BH96-BH97))</f>
        <v/>
      </c>
      <c r="BI98" s="11">
        <f>IF(Time!BI29=1,INDEX(Funding!$J$65:$BJ$65,1,Time!$F$13),Time!BI30*(BI96-BI97))</f>
        <v/>
      </c>
      <c r="BJ98" s="11">
        <f>IF(Time!BJ29=1,INDEX(Funding!$J$65:$BJ$65,1,Time!$F$13),Time!BJ30*(BJ96-BJ97))</f>
        <v/>
      </c>
      <c r="BK98" s="11">
        <f>IF(Time!BK29=1,INDEX(Funding!$J$65:$BJ$65,1,Time!$F$13),Time!BK30*(BK96-BK97))</f>
        <v/>
      </c>
      <c r="BL98" s="11">
        <f>IF(Time!BL29=1,INDEX(Funding!$J$65:$BJ$65,1,Time!$F$13),Time!BL30*(BL96-BL97))</f>
        <v/>
      </c>
      <c r="BM98" s="11">
        <f>IF(Time!BM29=1,INDEX(Funding!$J$65:$BJ$65,1,Time!$F$13),Time!BM30*(BM96-BM97))</f>
        <v/>
      </c>
      <c r="BN98" s="11">
        <f>IF(Time!BN29=1,INDEX(Funding!$J$65:$BJ$65,1,Time!$F$13),Time!BN30*(BN96-BN97))</f>
        <v/>
      </c>
    </row>
    <row r="99">
      <c r="B99" s="2" t="inlineStr">
        <is>
          <t>2025 project bond</t>
        </is>
      </c>
    </row>
    <row r="100">
      <c r="D100" t="inlineStr">
        <is>
          <t>Opening balance</t>
        </is>
      </c>
      <c r="E100" t="inlineStr">
        <is>
          <t>USD m</t>
        </is>
      </c>
      <c r="J100" s="11">
        <f>Time!J30*0</f>
        <v/>
      </c>
      <c r="K100" s="11">
        <f>Time!K30*J104</f>
        <v/>
      </c>
      <c r="L100" s="11">
        <f>Time!L30*K104</f>
        <v/>
      </c>
      <c r="M100" s="11">
        <f>Time!M30*L104</f>
        <v/>
      </c>
      <c r="N100" s="11">
        <f>Time!N30*M104</f>
        <v/>
      </c>
      <c r="O100" s="11">
        <f>Time!O30*N104</f>
        <v/>
      </c>
      <c r="P100" s="11">
        <f>Time!P30*O104</f>
        <v/>
      </c>
      <c r="Q100" s="11">
        <f>Time!Q30*P104</f>
        <v/>
      </c>
      <c r="R100" s="11">
        <f>Time!R30*Q104</f>
        <v/>
      </c>
      <c r="S100" s="11">
        <f>Time!S30*R104</f>
        <v/>
      </c>
      <c r="T100" s="11">
        <f>Time!T30*S104</f>
        <v/>
      </c>
      <c r="U100" s="11">
        <f>Time!U30*T104</f>
        <v/>
      </c>
      <c r="V100" s="11">
        <f>Time!V30*U104</f>
        <v/>
      </c>
      <c r="W100" s="11">
        <f>Time!W30*V104</f>
        <v/>
      </c>
      <c r="X100" s="11">
        <f>Time!X30*W104</f>
        <v/>
      </c>
      <c r="Y100" s="11">
        <f>Time!Y30*X104</f>
        <v/>
      </c>
      <c r="Z100" s="11">
        <f>Time!Z30*Y104</f>
        <v/>
      </c>
      <c r="AA100" s="11">
        <f>Time!AA30*Z104</f>
        <v/>
      </c>
      <c r="AB100" s="11">
        <f>Time!AB30*AA104</f>
        <v/>
      </c>
      <c r="AC100" s="11">
        <f>Time!AC30*AB104</f>
        <v/>
      </c>
      <c r="AD100" s="11">
        <f>Time!AD30*AC104</f>
        <v/>
      </c>
      <c r="AE100" s="11">
        <f>Time!AE30*AD104</f>
        <v/>
      </c>
      <c r="AF100" s="11">
        <f>Time!AF30*AE104</f>
        <v/>
      </c>
      <c r="AG100" s="11">
        <f>Time!AG30*AF104</f>
        <v/>
      </c>
      <c r="AH100" s="11">
        <f>Time!AH30*AG104</f>
        <v/>
      </c>
      <c r="AI100" s="11">
        <f>Time!AI30*AH104</f>
        <v/>
      </c>
      <c r="AJ100" s="11">
        <f>Time!AJ30*AI104</f>
        <v/>
      </c>
      <c r="AK100" s="11">
        <f>Time!AK30*AJ104</f>
        <v/>
      </c>
      <c r="AL100" s="11">
        <f>Time!AL30*AK104</f>
        <v/>
      </c>
      <c r="AM100" s="11">
        <f>Time!AM30*AL104</f>
        <v/>
      </c>
      <c r="AN100" s="11">
        <f>Time!AN30*AM104</f>
        <v/>
      </c>
      <c r="AO100" s="11">
        <f>Time!AO30*AN104</f>
        <v/>
      </c>
      <c r="AP100" s="11">
        <f>Time!AP30*AO104</f>
        <v/>
      </c>
      <c r="AQ100" s="11">
        <f>Time!AQ30*AP104</f>
        <v/>
      </c>
      <c r="AR100" s="11">
        <f>Time!AR30*AQ104</f>
        <v/>
      </c>
      <c r="AS100" s="11">
        <f>Time!AS30*AR104</f>
        <v/>
      </c>
      <c r="AT100" s="11">
        <f>Time!AT30*AS104</f>
        <v/>
      </c>
      <c r="AU100" s="11">
        <f>Time!AU30*AT104</f>
        <v/>
      </c>
      <c r="AV100" s="11">
        <f>Time!AV30*AU104</f>
        <v/>
      </c>
      <c r="AW100" s="11">
        <f>Time!AW30*AV104</f>
        <v/>
      </c>
      <c r="AX100" s="11">
        <f>Time!AX30*AW104</f>
        <v/>
      </c>
      <c r="AY100" s="11">
        <f>Time!AY30*AX104</f>
        <v/>
      </c>
      <c r="AZ100" s="11">
        <f>Time!AZ30*AY104</f>
        <v/>
      </c>
      <c r="BA100" s="11">
        <f>Time!BA30*AZ104</f>
        <v/>
      </c>
      <c r="BB100" s="11">
        <f>Time!BB30*BA104</f>
        <v/>
      </c>
      <c r="BC100" s="11">
        <f>Time!BC30*BB104</f>
        <v/>
      </c>
      <c r="BD100" s="11">
        <f>Time!BD30*BC104</f>
        <v/>
      </c>
      <c r="BE100" s="11">
        <f>Time!BE30*BD104</f>
        <v/>
      </c>
      <c r="BF100" s="11">
        <f>Time!BF30*BE104</f>
        <v/>
      </c>
      <c r="BG100" s="11">
        <f>Time!BG30*BF104</f>
        <v/>
      </c>
      <c r="BH100" s="11">
        <f>Time!BH30*BG104</f>
        <v/>
      </c>
      <c r="BI100" s="11">
        <f>Time!BI30*BH104</f>
        <v/>
      </c>
      <c r="BJ100" s="11">
        <f>Time!BJ30*BI104</f>
        <v/>
      </c>
      <c r="BK100" s="11">
        <f>Time!BK30*BJ104</f>
        <v/>
      </c>
      <c r="BL100" s="11">
        <f>Time!BL30*BK104</f>
        <v/>
      </c>
      <c r="BM100" s="11">
        <f>Time!BM30*BL104</f>
        <v/>
      </c>
      <c r="BN100" s="11">
        <f>Time!BN30*BM104</f>
        <v/>
      </c>
    </row>
    <row r="101">
      <c r="D101" t="inlineStr">
        <is>
          <t>Interest (incl. WHT gross-up where applicable)</t>
        </is>
      </c>
      <c r="E101" t="inlineStr">
        <is>
          <t>USD m</t>
        </is>
      </c>
      <c r="G101" s="11">
        <f>SUM(J101:BN101)</f>
        <v/>
      </c>
      <c r="J101" s="11">
        <f>J100*J15</f>
        <v/>
      </c>
      <c r="K101" s="11">
        <f>K100*K15</f>
        <v/>
      </c>
      <c r="L101" s="11">
        <f>L100*L15</f>
        <v/>
      </c>
      <c r="M101" s="11">
        <f>M100*M15</f>
        <v/>
      </c>
      <c r="N101" s="11">
        <f>N100*N15</f>
        <v/>
      </c>
      <c r="O101" s="11">
        <f>O100*O15</f>
        <v/>
      </c>
      <c r="P101" s="11">
        <f>P100*P15</f>
        <v/>
      </c>
      <c r="Q101" s="11">
        <f>Q100*Q15</f>
        <v/>
      </c>
      <c r="R101" s="11">
        <f>R100*R15</f>
        <v/>
      </c>
      <c r="S101" s="11">
        <f>S100*S15</f>
        <v/>
      </c>
      <c r="T101" s="11">
        <f>T100*T15</f>
        <v/>
      </c>
      <c r="U101" s="11">
        <f>U100*U15</f>
        <v/>
      </c>
      <c r="V101" s="11">
        <f>V100*V15</f>
        <v/>
      </c>
      <c r="W101" s="11">
        <f>W100*W15</f>
        <v/>
      </c>
      <c r="X101" s="11">
        <f>X100*X15</f>
        <v/>
      </c>
      <c r="Y101" s="11">
        <f>Y100*Y15</f>
        <v/>
      </c>
      <c r="Z101" s="11">
        <f>Z100*Z15</f>
        <v/>
      </c>
      <c r="AA101" s="11">
        <f>AA100*AA15</f>
        <v/>
      </c>
      <c r="AB101" s="11">
        <f>AB100*AB15</f>
        <v/>
      </c>
      <c r="AC101" s="11">
        <f>AC100*AC15</f>
        <v/>
      </c>
      <c r="AD101" s="11">
        <f>AD100*AD15</f>
        <v/>
      </c>
      <c r="AE101" s="11">
        <f>AE100*AE15</f>
        <v/>
      </c>
      <c r="AF101" s="11">
        <f>AF100*AF15</f>
        <v/>
      </c>
      <c r="AG101" s="11">
        <f>AG100*AG15</f>
        <v/>
      </c>
      <c r="AH101" s="11">
        <f>AH100*AH15</f>
        <v/>
      </c>
      <c r="AI101" s="11">
        <f>AI100*AI15</f>
        <v/>
      </c>
      <c r="AJ101" s="11">
        <f>AJ100*AJ15</f>
        <v/>
      </c>
      <c r="AK101" s="11">
        <f>AK100*AK15</f>
        <v/>
      </c>
      <c r="AL101" s="11">
        <f>AL100*AL15</f>
        <v/>
      </c>
      <c r="AM101" s="11">
        <f>AM100*AM15</f>
        <v/>
      </c>
      <c r="AN101" s="11">
        <f>AN100*AN15</f>
        <v/>
      </c>
      <c r="AO101" s="11">
        <f>AO100*AO15</f>
        <v/>
      </c>
      <c r="AP101" s="11">
        <f>AP100*AP15</f>
        <v/>
      </c>
      <c r="AQ101" s="11">
        <f>AQ100*AQ15</f>
        <v/>
      </c>
      <c r="AR101" s="11">
        <f>AR100*AR15</f>
        <v/>
      </c>
      <c r="AS101" s="11">
        <f>AS100*AS15</f>
        <v/>
      </c>
      <c r="AT101" s="11">
        <f>AT100*AT15</f>
        <v/>
      </c>
      <c r="AU101" s="11">
        <f>AU100*AU15</f>
        <v/>
      </c>
      <c r="AV101" s="11">
        <f>AV100*AV15</f>
        <v/>
      </c>
      <c r="AW101" s="11">
        <f>AW100*AW15</f>
        <v/>
      </c>
      <c r="AX101" s="11">
        <f>AX100*AX15</f>
        <v/>
      </c>
      <c r="AY101" s="11">
        <f>AY100*AY15</f>
        <v/>
      </c>
      <c r="AZ101" s="11">
        <f>AZ100*AZ15</f>
        <v/>
      </c>
      <c r="BA101" s="11">
        <f>BA100*BA15</f>
        <v/>
      </c>
      <c r="BB101" s="11">
        <f>BB100*BB15</f>
        <v/>
      </c>
      <c r="BC101" s="11">
        <f>BC100*BC15</f>
        <v/>
      </c>
      <c r="BD101" s="11">
        <f>BD100*BD15</f>
        <v/>
      </c>
      <c r="BE101" s="11">
        <f>BE100*BE15</f>
        <v/>
      </c>
      <c r="BF101" s="11">
        <f>BF100*BF15</f>
        <v/>
      </c>
      <c r="BG101" s="11">
        <f>BG100*BG15</f>
        <v/>
      </c>
      <c r="BH101" s="11">
        <f>BH100*BH15</f>
        <v/>
      </c>
      <c r="BI101" s="11">
        <f>BI100*BI15</f>
        <v/>
      </c>
      <c r="BJ101" s="11">
        <f>BJ100*BJ15</f>
        <v/>
      </c>
      <c r="BK101" s="11">
        <f>BK100*BK15</f>
        <v/>
      </c>
      <c r="BL101" s="11">
        <f>BL100*BL15</f>
        <v/>
      </c>
      <c r="BM101" s="11">
        <f>BM100*BM15</f>
        <v/>
      </c>
      <c r="BN101" s="11">
        <f>BN100*BN15</f>
        <v/>
      </c>
    </row>
    <row r="102">
      <c r="D102" t="inlineStr">
        <is>
          <t>Principal paid</t>
        </is>
      </c>
      <c r="E102" t="inlineStr">
        <is>
          <t>USD m</t>
        </is>
      </c>
      <c r="G102" s="11">
        <f>SUM(J102:BN102)</f>
        <v/>
      </c>
      <c r="J102" s="11">
        <f>0</f>
        <v/>
      </c>
      <c r="K102" s="11">
        <f>0</f>
        <v/>
      </c>
      <c r="L102" s="11">
        <f>0</f>
        <v/>
      </c>
      <c r="M102" s="11">
        <f>0</f>
        <v/>
      </c>
      <c r="N102" s="11">
        <f>0</f>
        <v/>
      </c>
      <c r="O102" s="11">
        <f>0</f>
        <v/>
      </c>
      <c r="P102" s="11">
        <f>0</f>
        <v/>
      </c>
      <c r="Q102" s="11">
        <f>0</f>
        <v/>
      </c>
      <c r="R102" s="11">
        <f>0</f>
        <v/>
      </c>
      <c r="S102" s="11">
        <f>0</f>
        <v/>
      </c>
      <c r="T102" s="11">
        <f>0</f>
        <v/>
      </c>
      <c r="U102" s="11">
        <f>0</f>
        <v/>
      </c>
      <c r="V102" s="11">
        <f>0</f>
        <v/>
      </c>
      <c r="W102" s="11">
        <f>IF(W100&gt;0,MIN($F$109*Inputs!W221,W100),0)</f>
        <v/>
      </c>
      <c r="X102" s="11">
        <f>IF(X100&gt;0,MIN($F$109*Inputs!X221,X100),0)</f>
        <v/>
      </c>
      <c r="Y102" s="11">
        <f>IF(Y100&gt;0,MIN($F$109*Inputs!Y221,Y100),0)</f>
        <v/>
      </c>
      <c r="Z102" s="11">
        <f>IF(Z100&gt;0,MIN($F$109*Inputs!Z221,Z100),0)</f>
        <v/>
      </c>
      <c r="AA102" s="11">
        <f>IF(AA100&gt;0,MIN($F$109*Inputs!AA221,AA100),0)</f>
        <v/>
      </c>
      <c r="AB102" s="11">
        <f>IF(AB100&gt;0,MIN($F$109*Inputs!AB221,AB100),0)</f>
        <v/>
      </c>
      <c r="AC102" s="11">
        <f>IF(AC100&gt;0,MIN($F$109*Inputs!AC221,AC100),0)</f>
        <v/>
      </c>
      <c r="AD102" s="11">
        <f>IF(AD100&gt;0,MIN($F$109*Inputs!AD221,AD100),0)</f>
        <v/>
      </c>
      <c r="AE102" s="11">
        <f>IF(AE100&gt;0,MIN($F$109*Inputs!AE221,AE100),0)</f>
        <v/>
      </c>
      <c r="AF102" s="11">
        <f>IF(AF100&gt;0,MIN($F$109*Inputs!AF221,AF100),0)</f>
        <v/>
      </c>
      <c r="AG102" s="11">
        <f>IF(AG100&gt;0,MIN($F$109*Inputs!AG221,AG100),0)</f>
        <v/>
      </c>
      <c r="AH102" s="11">
        <f>IF(AH100&gt;0,MIN($F$109*Inputs!AH221,AH100),0)</f>
        <v/>
      </c>
      <c r="AI102" s="11">
        <f>IF(AI100&gt;0,MIN($F$109*Inputs!AI221,AI100),0)</f>
        <v/>
      </c>
      <c r="AJ102" s="11">
        <f>IF(AJ100&gt;0,MIN($F$109*Inputs!AJ221,AJ100),0)</f>
        <v/>
      </c>
      <c r="AK102" s="11">
        <f>IF(AK100&gt;0,MIN($F$109*Inputs!AK221,AK100),0)</f>
        <v/>
      </c>
      <c r="AL102" s="11">
        <f>IF(AL100&gt;0,MIN($F$109*Inputs!AL221,AL100),0)</f>
        <v/>
      </c>
      <c r="AM102" s="11">
        <f>IF(AM100&gt;0,MIN($F$109*Inputs!AM221,AM100),0)</f>
        <v/>
      </c>
      <c r="AN102" s="11">
        <f>IF(AN100&gt;0,MIN($F$109*Inputs!AN221,AN100),0)</f>
        <v/>
      </c>
      <c r="AO102" s="11">
        <f>IF(AO100&gt;0,MIN($F$109*Inputs!AO221,AO100),0)</f>
        <v/>
      </c>
      <c r="AP102" s="11">
        <f>IF(AP100&gt;0,MIN($F$109*Inputs!AP221,AP100),0)</f>
        <v/>
      </c>
      <c r="AQ102" s="11">
        <f>IF(AQ100&gt;0,MIN($F$109*Inputs!AQ221,AQ100),0)</f>
        <v/>
      </c>
      <c r="AR102" s="11">
        <f>IF(AR100&gt;0,MIN($F$109*Inputs!AR221,AR100),0)</f>
        <v/>
      </c>
      <c r="AS102" s="11">
        <f>IF(AS100&gt;0,MIN($F$109*Inputs!AS221,AS100),0)</f>
        <v/>
      </c>
      <c r="AT102" s="11">
        <f>IF(AT100&gt;0,MIN($F$109*Inputs!AT221,AT100),0)</f>
        <v/>
      </c>
      <c r="AU102" s="11">
        <f>IF(AU100&gt;0,MIN($F$109*Inputs!AU221,AU100),0)</f>
        <v/>
      </c>
      <c r="AV102" s="11">
        <f>IF(AV100&gt;0,MIN($F$109*Inputs!AV221,AV100),0)</f>
        <v/>
      </c>
      <c r="AW102" s="11">
        <f>IF(AW100&gt;0,MIN($F$109*Inputs!AW221,AW100),0)</f>
        <v/>
      </c>
      <c r="AX102" s="11">
        <f>IF(AX100&gt;0,MIN($F$109*Inputs!AX221,AX100),0)</f>
        <v/>
      </c>
      <c r="AY102" s="11">
        <f>IF(AY100&gt;0,MIN($F$109*Inputs!AY221,AY100),0)</f>
        <v/>
      </c>
      <c r="AZ102" s="11">
        <f>IF(AZ100&gt;0,MIN($F$109*Inputs!AZ221,AZ100),0)</f>
        <v/>
      </c>
      <c r="BA102" s="11">
        <f>IF(BA100&gt;0,MIN($F$109*Inputs!BA221,BA100),0)</f>
        <v/>
      </c>
      <c r="BB102" s="11">
        <f>IF(BB100&gt;0,MIN($F$109*Inputs!BB221,BB100),0)</f>
        <v/>
      </c>
      <c r="BC102" s="11">
        <f>IF(BC100&gt;0,MIN($F$109*Inputs!BC221,BC100),0)</f>
        <v/>
      </c>
      <c r="BD102" s="11">
        <f>IF(BD100&gt;0,MIN($F$109*Inputs!BD221,BD100),0)</f>
        <v/>
      </c>
      <c r="BE102" s="11">
        <f>IF(BE100&gt;0,MIN($F$109*Inputs!BE221,BE100),0)</f>
        <v/>
      </c>
      <c r="BF102" s="11">
        <f>IF(BF100&gt;0,MIN($F$109*Inputs!BF221,BF100),0)</f>
        <v/>
      </c>
      <c r="BG102" s="11">
        <f>IF(BG100&gt;0,MIN($F$109*Inputs!BG221,BG100),0)</f>
        <v/>
      </c>
      <c r="BH102" s="11">
        <f>IF(BH100&gt;0,MIN($F$109*Inputs!BH221,BH100),0)</f>
        <v/>
      </c>
      <c r="BI102" s="11">
        <f>IF(BI100&gt;0,MIN($F$109*Inputs!BI221,BI100),0)</f>
        <v/>
      </c>
      <c r="BJ102" s="11">
        <f>IF(BJ100&gt;0,MIN($F$109*Inputs!BJ221,BJ100),0)</f>
        <v/>
      </c>
      <c r="BK102" s="11">
        <f>IF(BK100&gt;0,MIN($F$109*Inputs!BK221,BK100),0)</f>
        <v/>
      </c>
      <c r="BL102" s="11">
        <f>IF(BL100&gt;0,MIN($F$109*Inputs!BL221,BL100),0)</f>
        <v/>
      </c>
      <c r="BM102" s="11">
        <f>IF(BM100&gt;0,MIN($F$109*Inputs!BM221,BM100),0)</f>
        <v/>
      </c>
      <c r="BN102" s="11">
        <f>IF(BN100&gt;0,MIN($F$109*Inputs!BN221,BN100),0)</f>
        <v/>
      </c>
    </row>
    <row r="103">
      <c r="D103" t="inlineStr">
        <is>
          <t>Balance after scheduled payment</t>
        </is>
      </c>
      <c r="E103" t="inlineStr">
        <is>
          <t>USD m</t>
        </is>
      </c>
      <c r="J103" s="11">
        <f>J100-J102</f>
        <v/>
      </c>
      <c r="K103" s="11">
        <f>K100-K102</f>
        <v/>
      </c>
      <c r="L103" s="11">
        <f>L100-L102</f>
        <v/>
      </c>
      <c r="M103" s="11">
        <f>M100-M102</f>
        <v/>
      </c>
      <c r="N103" s="11">
        <f>N100-N102</f>
        <v/>
      </c>
      <c r="O103" s="11">
        <f>O100-O102</f>
        <v/>
      </c>
      <c r="P103" s="11">
        <f>P100-P102</f>
        <v/>
      </c>
      <c r="Q103" s="11">
        <f>Q100-Q102</f>
        <v/>
      </c>
      <c r="R103" s="11">
        <f>R100-R102</f>
        <v/>
      </c>
      <c r="S103" s="11">
        <f>S100-S102</f>
        <v/>
      </c>
      <c r="T103" s="11">
        <f>T100-T102</f>
        <v/>
      </c>
      <c r="U103" s="11">
        <f>U100-U102</f>
        <v/>
      </c>
      <c r="V103" s="11">
        <f>V100-V102</f>
        <v/>
      </c>
      <c r="W103" s="11">
        <f>W100-W102</f>
        <v/>
      </c>
      <c r="X103" s="11">
        <f>X100-X102</f>
        <v/>
      </c>
      <c r="Y103" s="11">
        <f>Y100-Y102</f>
        <v/>
      </c>
      <c r="Z103" s="11">
        <f>Z100-Z102</f>
        <v/>
      </c>
      <c r="AA103" s="11">
        <f>AA100-AA102</f>
        <v/>
      </c>
      <c r="AB103" s="11">
        <f>AB100-AB102</f>
        <v/>
      </c>
      <c r="AC103" s="11">
        <f>AC100-AC102</f>
        <v/>
      </c>
      <c r="AD103" s="11">
        <f>AD100-AD102</f>
        <v/>
      </c>
      <c r="AE103" s="11">
        <f>AE100-AE102</f>
        <v/>
      </c>
      <c r="AF103" s="11">
        <f>AF100-AF102</f>
        <v/>
      </c>
      <c r="AG103" s="11">
        <f>AG100-AG102</f>
        <v/>
      </c>
      <c r="AH103" s="11">
        <f>AH100-AH102</f>
        <v/>
      </c>
      <c r="AI103" s="11">
        <f>AI100-AI102</f>
        <v/>
      </c>
      <c r="AJ103" s="11">
        <f>AJ100-AJ102</f>
        <v/>
      </c>
      <c r="AK103" s="11">
        <f>AK100-AK102</f>
        <v/>
      </c>
      <c r="AL103" s="11">
        <f>AL100-AL102</f>
        <v/>
      </c>
      <c r="AM103" s="11">
        <f>AM100-AM102</f>
        <v/>
      </c>
      <c r="AN103" s="11">
        <f>AN100-AN102</f>
        <v/>
      </c>
      <c r="AO103" s="11">
        <f>AO100-AO102</f>
        <v/>
      </c>
      <c r="AP103" s="11">
        <f>AP100-AP102</f>
        <v/>
      </c>
      <c r="AQ103" s="11">
        <f>AQ100-AQ102</f>
        <v/>
      </c>
      <c r="AR103" s="11">
        <f>AR100-AR102</f>
        <v/>
      </c>
      <c r="AS103" s="11">
        <f>AS100-AS102</f>
        <v/>
      </c>
      <c r="AT103" s="11">
        <f>AT100-AT102</f>
        <v/>
      </c>
      <c r="AU103" s="11">
        <f>AU100-AU102</f>
        <v/>
      </c>
      <c r="AV103" s="11">
        <f>AV100-AV102</f>
        <v/>
      </c>
      <c r="AW103" s="11">
        <f>AW100-AW102</f>
        <v/>
      </c>
      <c r="AX103" s="11">
        <f>AX100-AX102</f>
        <v/>
      </c>
      <c r="AY103" s="11">
        <f>AY100-AY102</f>
        <v/>
      </c>
      <c r="AZ103" s="11">
        <f>AZ100-AZ102</f>
        <v/>
      </c>
      <c r="BA103" s="11">
        <f>BA100-BA102</f>
        <v/>
      </c>
      <c r="BB103" s="11">
        <f>BB100-BB102</f>
        <v/>
      </c>
      <c r="BC103" s="11">
        <f>BC100-BC102</f>
        <v/>
      </c>
      <c r="BD103" s="11">
        <f>BD100-BD102</f>
        <v/>
      </c>
      <c r="BE103" s="11">
        <f>BE100-BE102</f>
        <v/>
      </c>
      <c r="BF103" s="11">
        <f>BF100-BF102</f>
        <v/>
      </c>
      <c r="BG103" s="11">
        <f>BG100-BG102</f>
        <v/>
      </c>
      <c r="BH103" s="11">
        <f>BH100-BH102</f>
        <v/>
      </c>
      <c r="BI103" s="11">
        <f>BI100-BI102</f>
        <v/>
      </c>
      <c r="BJ103" s="11">
        <f>BJ100-BJ102</f>
        <v/>
      </c>
      <c r="BK103" s="11">
        <f>BK100-BK102</f>
        <v/>
      </c>
      <c r="BL103" s="11">
        <f>BL100-BL102</f>
        <v/>
      </c>
      <c r="BM103" s="11">
        <f>BM100-BM102</f>
        <v/>
      </c>
      <c r="BN103" s="11">
        <f>BN100-BN102</f>
        <v/>
      </c>
    </row>
    <row r="104">
      <c r="D104" t="inlineStr">
        <is>
          <t>Closing balance</t>
        </is>
      </c>
      <c r="E104" t="inlineStr">
        <is>
          <t>USD m</t>
        </is>
      </c>
      <c r="J104" s="11">
        <f>J103</f>
        <v/>
      </c>
      <c r="K104" s="11">
        <f>K103</f>
        <v/>
      </c>
      <c r="L104" s="11">
        <f>L103</f>
        <v/>
      </c>
      <c r="M104" s="11">
        <f>M103</f>
        <v/>
      </c>
      <c r="N104" s="11">
        <f>N103</f>
        <v/>
      </c>
      <c r="O104" s="11">
        <f>O103</f>
        <v/>
      </c>
      <c r="P104" s="11">
        <f>P103</f>
        <v/>
      </c>
      <c r="Q104" s="11">
        <f>Q103</f>
        <v/>
      </c>
      <c r="R104" s="11">
        <f>R103</f>
        <v/>
      </c>
      <c r="S104" s="11">
        <f>S103</f>
        <v/>
      </c>
      <c r="T104" s="11">
        <f>T103</f>
        <v/>
      </c>
      <c r="U104" s="11">
        <f>U103</f>
        <v/>
      </c>
      <c r="V104" s="11">
        <f>V103</f>
        <v/>
      </c>
      <c r="W104" s="11">
        <f>W103+W20*$F$109</f>
        <v/>
      </c>
      <c r="X104" s="11">
        <f>X103+X20*$F$109</f>
        <v/>
      </c>
      <c r="Y104" s="11">
        <f>Y103+Y20*$F$109</f>
        <v/>
      </c>
      <c r="Z104" s="11">
        <f>Z103+Z20*$F$109</f>
        <v/>
      </c>
      <c r="AA104" s="11">
        <f>AA103+AA20*$F$109</f>
        <v/>
      </c>
      <c r="AB104" s="11">
        <f>AB103+AB20*$F$109</f>
        <v/>
      </c>
      <c r="AC104" s="11">
        <f>AC103+AC20*$F$109</f>
        <v/>
      </c>
      <c r="AD104" s="11">
        <f>AD103+AD20*$F$109</f>
        <v/>
      </c>
      <c r="AE104" s="11">
        <f>AE103+AE20*$F$109</f>
        <v/>
      </c>
      <c r="AF104" s="11">
        <f>AF103+AF20*$F$109</f>
        <v/>
      </c>
      <c r="AG104" s="11">
        <f>AG103+AG20*$F$109</f>
        <v/>
      </c>
      <c r="AH104" s="11">
        <f>AH103+AH20*$F$109</f>
        <v/>
      </c>
      <c r="AI104" s="11">
        <f>AI103+AI20*$F$109</f>
        <v/>
      </c>
      <c r="AJ104" s="11">
        <f>AJ103+AJ20*$F$109</f>
        <v/>
      </c>
      <c r="AK104" s="11">
        <f>AK103+AK20*$F$109</f>
        <v/>
      </c>
      <c r="AL104" s="11">
        <f>AL103+AL20*$F$109</f>
        <v/>
      </c>
      <c r="AM104" s="11">
        <f>AM103+AM20*$F$109</f>
        <v/>
      </c>
      <c r="AN104" s="11">
        <f>AN103+AN20*$F$109</f>
        <v/>
      </c>
      <c r="AO104" s="11">
        <f>AO103+AO20*$F$109</f>
        <v/>
      </c>
      <c r="AP104" s="11">
        <f>AP103+AP20*$F$109</f>
        <v/>
      </c>
      <c r="AQ104" s="11">
        <f>AQ103+AQ20*$F$109</f>
        <v/>
      </c>
      <c r="AR104" s="11">
        <f>AR103+AR20*$F$109</f>
        <v/>
      </c>
      <c r="AS104" s="11">
        <f>AS103+AS20*$F$109</f>
        <v/>
      </c>
      <c r="AT104" s="11">
        <f>AT103+AT20*$F$109</f>
        <v/>
      </c>
      <c r="AU104" s="11">
        <f>AU103+AU20*$F$109</f>
        <v/>
      </c>
      <c r="AV104" s="11">
        <f>AV103+AV20*$F$109</f>
        <v/>
      </c>
      <c r="AW104" s="11">
        <f>AW103+AW20*$F$109</f>
        <v/>
      </c>
      <c r="AX104" s="11">
        <f>AX103+AX20*$F$109</f>
        <v/>
      </c>
      <c r="AY104" s="11">
        <f>AY103+AY20*$F$109</f>
        <v/>
      </c>
      <c r="AZ104" s="11">
        <f>AZ103+AZ20*$F$109</f>
        <v/>
      </c>
      <c r="BA104" s="11">
        <f>BA103+BA20*$F$109</f>
        <v/>
      </c>
      <c r="BB104" s="11">
        <f>BB103+BB20*$F$109</f>
        <v/>
      </c>
      <c r="BC104" s="11">
        <f>BC103+BC20*$F$109</f>
        <v/>
      </c>
      <c r="BD104" s="11">
        <f>BD103+BD20*$F$109</f>
        <v/>
      </c>
      <c r="BE104" s="11">
        <f>BE103+BE20*$F$109</f>
        <v/>
      </c>
      <c r="BF104" s="11">
        <f>BF103+BF20*$F$109</f>
        <v/>
      </c>
      <c r="BG104" s="11">
        <f>BG103+BG20*$F$109</f>
        <v/>
      </c>
      <c r="BH104" s="11">
        <f>BH103+BH20*$F$109</f>
        <v/>
      </c>
      <c r="BI104" s="11">
        <f>BI103+BI20*$F$109</f>
        <v/>
      </c>
      <c r="BJ104" s="11">
        <f>BJ103+BJ20*$F$109</f>
        <v/>
      </c>
      <c r="BK104" s="11">
        <f>BK103+BK20*$F$109</f>
        <v/>
      </c>
      <c r="BL104" s="11">
        <f>BL103+BL20*$F$109</f>
        <v/>
      </c>
      <c r="BM104" s="11">
        <f>BM103+BM20*$F$109</f>
        <v/>
      </c>
      <c r="BN104" s="11">
        <f>BN103+BN20*$F$109</f>
        <v/>
      </c>
    </row>
    <row r="105">
      <c r="B105" s="2" t="inlineStr">
        <is>
          <t>Refinancing 2025 (USD m)</t>
        </is>
      </c>
    </row>
    <row r="106">
      <c r="D106" t="inlineStr">
        <is>
          <t>Swap unwind discount factor at 3.68%</t>
        </is>
      </c>
      <c r="E106" t="inlineStr">
        <is>
          <t>factor</t>
        </is>
      </c>
      <c r="J106" s="10">
        <f>IF(Time!J17&gt;14,(1+Inputs!$F$199/200)^-(Time!J17-14),0)</f>
        <v/>
      </c>
      <c r="K106" s="10">
        <f>IF(Time!K17&gt;14,(1+Inputs!$F$199/200)^-(Time!K17-14),0)</f>
        <v/>
      </c>
      <c r="L106" s="10">
        <f>IF(Time!L17&gt;14,(1+Inputs!$F$199/200)^-(Time!L17-14),0)</f>
        <v/>
      </c>
      <c r="M106" s="10">
        <f>IF(Time!M17&gt;14,(1+Inputs!$F$199/200)^-(Time!M17-14),0)</f>
        <v/>
      </c>
      <c r="N106" s="10">
        <f>IF(Time!N17&gt;14,(1+Inputs!$F$199/200)^-(Time!N17-14),0)</f>
        <v/>
      </c>
      <c r="O106" s="10">
        <f>IF(Time!O17&gt;14,(1+Inputs!$F$199/200)^-(Time!O17-14),0)</f>
        <v/>
      </c>
      <c r="P106" s="10">
        <f>IF(Time!P17&gt;14,(1+Inputs!$F$199/200)^-(Time!P17-14),0)</f>
        <v/>
      </c>
      <c r="Q106" s="10">
        <f>IF(Time!Q17&gt;14,(1+Inputs!$F$199/200)^-(Time!Q17-14),0)</f>
        <v/>
      </c>
      <c r="R106" s="10">
        <f>IF(Time!R17&gt;14,(1+Inputs!$F$199/200)^-(Time!R17-14),0)</f>
        <v/>
      </c>
      <c r="S106" s="10">
        <f>IF(Time!S17&gt;14,(1+Inputs!$F$199/200)^-(Time!S17-14),0)</f>
        <v/>
      </c>
      <c r="T106" s="10">
        <f>IF(Time!T17&gt;14,(1+Inputs!$F$199/200)^-(Time!T17-14),0)</f>
        <v/>
      </c>
      <c r="U106" s="10">
        <f>IF(Time!U17&gt;14,(1+Inputs!$F$199/200)^-(Time!U17-14),0)</f>
        <v/>
      </c>
      <c r="V106" s="10">
        <f>IF(Time!V17&gt;14,(1+Inputs!$F$199/200)^-(Time!V17-14),0)</f>
        <v/>
      </c>
      <c r="W106" s="10">
        <f>IF(Time!W17&gt;14,(1+Inputs!$F$199/200)^-(Time!W17-14),0)</f>
        <v/>
      </c>
      <c r="X106" s="10">
        <f>IF(Time!X17&gt;14,(1+Inputs!$F$199/200)^-(Time!X17-14),0)</f>
        <v/>
      </c>
      <c r="Y106" s="10">
        <f>IF(Time!Y17&gt;14,(1+Inputs!$F$199/200)^-(Time!Y17-14),0)</f>
        <v/>
      </c>
      <c r="Z106" s="10">
        <f>IF(Time!Z17&gt;14,(1+Inputs!$F$199/200)^-(Time!Z17-14),0)</f>
        <v/>
      </c>
      <c r="AA106" s="10">
        <f>IF(Time!AA17&gt;14,(1+Inputs!$F$199/200)^-(Time!AA17-14),0)</f>
        <v/>
      </c>
      <c r="AB106" s="10">
        <f>IF(Time!AB17&gt;14,(1+Inputs!$F$199/200)^-(Time!AB17-14),0)</f>
        <v/>
      </c>
      <c r="AC106" s="10">
        <f>IF(Time!AC17&gt;14,(1+Inputs!$F$199/200)^-(Time!AC17-14),0)</f>
        <v/>
      </c>
      <c r="AD106" s="10">
        <f>IF(Time!AD17&gt;14,(1+Inputs!$F$199/200)^-(Time!AD17-14),0)</f>
        <v/>
      </c>
      <c r="AE106" s="10">
        <f>IF(Time!AE17&gt;14,(1+Inputs!$F$199/200)^-(Time!AE17-14),0)</f>
        <v/>
      </c>
      <c r="AF106" s="10">
        <f>IF(Time!AF17&gt;14,(1+Inputs!$F$199/200)^-(Time!AF17-14),0)</f>
        <v/>
      </c>
      <c r="AG106" s="10">
        <f>IF(Time!AG17&gt;14,(1+Inputs!$F$199/200)^-(Time!AG17-14),0)</f>
        <v/>
      </c>
      <c r="AH106" s="10">
        <f>IF(Time!AH17&gt;14,(1+Inputs!$F$199/200)^-(Time!AH17-14),0)</f>
        <v/>
      </c>
      <c r="AI106" s="10">
        <f>IF(Time!AI17&gt;14,(1+Inputs!$F$199/200)^-(Time!AI17-14),0)</f>
        <v/>
      </c>
      <c r="AJ106" s="10">
        <f>IF(Time!AJ17&gt;14,(1+Inputs!$F$199/200)^-(Time!AJ17-14),0)</f>
        <v/>
      </c>
      <c r="AK106" s="10">
        <f>IF(Time!AK17&gt;14,(1+Inputs!$F$199/200)^-(Time!AK17-14),0)</f>
        <v/>
      </c>
      <c r="AL106" s="10">
        <f>IF(Time!AL17&gt;14,(1+Inputs!$F$199/200)^-(Time!AL17-14),0)</f>
        <v/>
      </c>
      <c r="AM106" s="10">
        <f>IF(Time!AM17&gt;14,(1+Inputs!$F$199/200)^-(Time!AM17-14),0)</f>
        <v/>
      </c>
      <c r="AN106" s="10">
        <f>IF(Time!AN17&gt;14,(1+Inputs!$F$199/200)^-(Time!AN17-14),0)</f>
        <v/>
      </c>
      <c r="AO106" s="10">
        <f>IF(Time!AO17&gt;14,(1+Inputs!$F$199/200)^-(Time!AO17-14),0)</f>
        <v/>
      </c>
      <c r="AP106" s="10">
        <f>IF(Time!AP17&gt;14,(1+Inputs!$F$199/200)^-(Time!AP17-14),0)</f>
        <v/>
      </c>
      <c r="AQ106" s="10">
        <f>IF(Time!AQ17&gt;14,(1+Inputs!$F$199/200)^-(Time!AQ17-14),0)</f>
        <v/>
      </c>
      <c r="AR106" s="10">
        <f>IF(Time!AR17&gt;14,(1+Inputs!$F$199/200)^-(Time!AR17-14),0)</f>
        <v/>
      </c>
      <c r="AS106" s="10">
        <f>IF(Time!AS17&gt;14,(1+Inputs!$F$199/200)^-(Time!AS17-14),0)</f>
        <v/>
      </c>
      <c r="AT106" s="10">
        <f>IF(Time!AT17&gt;14,(1+Inputs!$F$199/200)^-(Time!AT17-14),0)</f>
        <v/>
      </c>
      <c r="AU106" s="10">
        <f>IF(Time!AU17&gt;14,(1+Inputs!$F$199/200)^-(Time!AU17-14),0)</f>
        <v/>
      </c>
      <c r="AV106" s="10">
        <f>IF(Time!AV17&gt;14,(1+Inputs!$F$199/200)^-(Time!AV17-14),0)</f>
        <v/>
      </c>
      <c r="AW106" s="10">
        <f>IF(Time!AW17&gt;14,(1+Inputs!$F$199/200)^-(Time!AW17-14),0)</f>
        <v/>
      </c>
      <c r="AX106" s="10">
        <f>IF(Time!AX17&gt;14,(1+Inputs!$F$199/200)^-(Time!AX17-14),0)</f>
        <v/>
      </c>
      <c r="AY106" s="10">
        <f>IF(Time!AY17&gt;14,(1+Inputs!$F$199/200)^-(Time!AY17-14),0)</f>
        <v/>
      </c>
      <c r="AZ106" s="10">
        <f>IF(Time!AZ17&gt;14,(1+Inputs!$F$199/200)^-(Time!AZ17-14),0)</f>
        <v/>
      </c>
      <c r="BA106" s="10">
        <f>IF(Time!BA17&gt;14,(1+Inputs!$F$199/200)^-(Time!BA17-14),0)</f>
        <v/>
      </c>
      <c r="BB106" s="10">
        <f>IF(Time!BB17&gt;14,(1+Inputs!$F$199/200)^-(Time!BB17-14),0)</f>
        <v/>
      </c>
      <c r="BC106" s="10">
        <f>IF(Time!BC17&gt;14,(1+Inputs!$F$199/200)^-(Time!BC17-14),0)</f>
        <v/>
      </c>
      <c r="BD106" s="10">
        <f>IF(Time!BD17&gt;14,(1+Inputs!$F$199/200)^-(Time!BD17-14),0)</f>
        <v/>
      </c>
      <c r="BE106" s="10">
        <f>IF(Time!BE17&gt;14,(1+Inputs!$F$199/200)^-(Time!BE17-14),0)</f>
        <v/>
      </c>
      <c r="BF106" s="10">
        <f>IF(Time!BF17&gt;14,(1+Inputs!$F$199/200)^-(Time!BF17-14),0)</f>
        <v/>
      </c>
      <c r="BG106" s="10">
        <f>IF(Time!BG17&gt;14,(1+Inputs!$F$199/200)^-(Time!BG17-14),0)</f>
        <v/>
      </c>
      <c r="BH106" s="10">
        <f>IF(Time!BH17&gt;14,(1+Inputs!$F$199/200)^-(Time!BH17-14),0)</f>
        <v/>
      </c>
      <c r="BI106" s="10">
        <f>IF(Time!BI17&gt;14,(1+Inputs!$F$199/200)^-(Time!BI17-14),0)</f>
        <v/>
      </c>
      <c r="BJ106" s="10">
        <f>IF(Time!BJ17&gt;14,(1+Inputs!$F$199/200)^-(Time!BJ17-14),0)</f>
        <v/>
      </c>
      <c r="BK106" s="10">
        <f>IF(Time!BK17&gt;14,(1+Inputs!$F$199/200)^-(Time!BK17-14),0)</f>
        <v/>
      </c>
      <c r="BL106" s="10">
        <f>IF(Time!BL17&gt;14,(1+Inputs!$F$199/200)^-(Time!BL17-14),0)</f>
        <v/>
      </c>
      <c r="BM106" s="10">
        <f>IF(Time!BM17&gt;14,(1+Inputs!$F$199/200)^-(Time!BM17-14),0)</f>
        <v/>
      </c>
      <c r="BN106" s="10">
        <f>IF(Time!BN17&gt;14,(1+Inputs!$F$199/200)^-(Time!BN17-14),0)</f>
        <v/>
      </c>
    </row>
    <row r="107">
      <c r="D107" t="inlineStr">
        <is>
          <t>Swap unwind receipt (terminated share, MTM at 3.68% flat)</t>
        </is>
      </c>
      <c r="E107" t="inlineStr">
        <is>
          <t>USD m</t>
        </is>
      </c>
      <c r="F107" s="15">
        <f>Inputs!$F$49*Inputs!$F$200*(Inputs!$F$199-Inputs!$F$95)/100*0.5*SUMPRODUCT(Inputs!$J$222:$BN$222,Debt!$J$106:$BN$106)</f>
        <v/>
      </c>
    </row>
    <row r="108">
      <c r="D108" t="inlineStr">
        <is>
          <t>Principal prepaid (B-loan, commercial, standby)</t>
        </is>
      </c>
      <c r="E108" t="inlineStr">
        <is>
          <t>USD m</t>
        </is>
      </c>
      <c r="F108" s="15">
        <f>$W$64+$W$79+$W$94</f>
        <v/>
      </c>
    </row>
    <row r="109">
      <c r="D109" t="inlineStr">
        <is>
          <t>Bond face amount</t>
        </is>
      </c>
      <c r="E109" t="inlineStr">
        <is>
          <t>USD m</t>
        </is>
      </c>
      <c r="F109" s="15">
        <f>Inputs!$F$49*(Debt!$F$108+Inputs!$F$195+Inputs!$F$198/100*Inputs!$F$196-Debt!$F$107)/(Inputs!$F$193-Inputs!$F$194)</f>
        <v/>
      </c>
    </row>
    <row r="110">
      <c r="D110" t="inlineStr">
        <is>
          <t>Swap unwind receipt</t>
        </is>
      </c>
      <c r="E110" t="inlineStr">
        <is>
          <t>USD m</t>
        </is>
      </c>
      <c r="G110" s="11">
        <f>SUM(J110:BN110)</f>
        <v/>
      </c>
      <c r="J110" s="11">
        <f>J20*$F$107</f>
        <v/>
      </c>
      <c r="K110" s="11">
        <f>K20*$F$107</f>
        <v/>
      </c>
      <c r="L110" s="11">
        <f>L20*$F$107</f>
        <v/>
      </c>
      <c r="M110" s="11">
        <f>M20*$F$107</f>
        <v/>
      </c>
      <c r="N110" s="11">
        <f>N20*$F$107</f>
        <v/>
      </c>
      <c r="O110" s="11">
        <f>O20*$F$107</f>
        <v/>
      </c>
      <c r="P110" s="11">
        <f>P20*$F$107</f>
        <v/>
      </c>
      <c r="Q110" s="11">
        <f>Q20*$F$107</f>
        <v/>
      </c>
      <c r="R110" s="11">
        <f>R20*$F$107</f>
        <v/>
      </c>
      <c r="S110" s="11">
        <f>S20*$F$107</f>
        <v/>
      </c>
      <c r="T110" s="11">
        <f>T20*$F$107</f>
        <v/>
      </c>
      <c r="U110" s="11">
        <f>U20*$F$107</f>
        <v/>
      </c>
      <c r="V110" s="11">
        <f>V20*$F$107</f>
        <v/>
      </c>
      <c r="W110" s="11">
        <f>W20*$F$107</f>
        <v/>
      </c>
      <c r="X110" s="11">
        <f>X20*$F$107</f>
        <v/>
      </c>
      <c r="Y110" s="11">
        <f>Y20*$F$107</f>
        <v/>
      </c>
      <c r="Z110" s="11">
        <f>Z20*$F$107</f>
        <v/>
      </c>
      <c r="AA110" s="11">
        <f>AA20*$F$107</f>
        <v/>
      </c>
      <c r="AB110" s="11">
        <f>AB20*$F$107</f>
        <v/>
      </c>
      <c r="AC110" s="11">
        <f>AC20*$F$107</f>
        <v/>
      </c>
      <c r="AD110" s="11">
        <f>AD20*$F$107</f>
        <v/>
      </c>
      <c r="AE110" s="11">
        <f>AE20*$F$107</f>
        <v/>
      </c>
      <c r="AF110" s="11">
        <f>AF20*$F$107</f>
        <v/>
      </c>
      <c r="AG110" s="11">
        <f>AG20*$F$107</f>
        <v/>
      </c>
      <c r="AH110" s="11">
        <f>AH20*$F$107</f>
        <v/>
      </c>
      <c r="AI110" s="11">
        <f>AI20*$F$107</f>
        <v/>
      </c>
      <c r="AJ110" s="11">
        <f>AJ20*$F$107</f>
        <v/>
      </c>
      <c r="AK110" s="11">
        <f>AK20*$F$107</f>
        <v/>
      </c>
      <c r="AL110" s="11">
        <f>AL20*$F$107</f>
        <v/>
      </c>
      <c r="AM110" s="11">
        <f>AM20*$F$107</f>
        <v/>
      </c>
      <c r="AN110" s="11">
        <f>AN20*$F$107</f>
        <v/>
      </c>
      <c r="AO110" s="11">
        <f>AO20*$F$107</f>
        <v/>
      </c>
      <c r="AP110" s="11">
        <f>AP20*$F$107</f>
        <v/>
      </c>
      <c r="AQ110" s="11">
        <f>AQ20*$F$107</f>
        <v/>
      </c>
      <c r="AR110" s="11">
        <f>AR20*$F$107</f>
        <v/>
      </c>
      <c r="AS110" s="11">
        <f>AS20*$F$107</f>
        <v/>
      </c>
      <c r="AT110" s="11">
        <f>AT20*$F$107</f>
        <v/>
      </c>
      <c r="AU110" s="11">
        <f>AU20*$F$107</f>
        <v/>
      </c>
      <c r="AV110" s="11">
        <f>AV20*$F$107</f>
        <v/>
      </c>
      <c r="AW110" s="11">
        <f>AW20*$F$107</f>
        <v/>
      </c>
      <c r="AX110" s="11">
        <f>AX20*$F$107</f>
        <v/>
      </c>
      <c r="AY110" s="11">
        <f>AY20*$F$107</f>
        <v/>
      </c>
      <c r="AZ110" s="11">
        <f>AZ20*$F$107</f>
        <v/>
      </c>
      <c r="BA110" s="11">
        <f>BA20*$F$107</f>
        <v/>
      </c>
      <c r="BB110" s="11">
        <f>BB20*$F$107</f>
        <v/>
      </c>
      <c r="BC110" s="11">
        <f>BC20*$F$107</f>
        <v/>
      </c>
      <c r="BD110" s="11">
        <f>BD20*$F$107</f>
        <v/>
      </c>
      <c r="BE110" s="11">
        <f>BE20*$F$107</f>
        <v/>
      </c>
      <c r="BF110" s="11">
        <f>BF20*$F$107</f>
        <v/>
      </c>
      <c r="BG110" s="11">
        <f>BG20*$F$107</f>
        <v/>
      </c>
      <c r="BH110" s="11">
        <f>BH20*$F$107</f>
        <v/>
      </c>
      <c r="BI110" s="11">
        <f>BI20*$F$107</f>
        <v/>
      </c>
      <c r="BJ110" s="11">
        <f>BJ20*$F$107</f>
        <v/>
      </c>
      <c r="BK110" s="11">
        <f>BK20*$F$107</f>
        <v/>
      </c>
      <c r="BL110" s="11">
        <f>BL20*$F$107</f>
        <v/>
      </c>
      <c r="BM110" s="11">
        <f>BM20*$F$107</f>
        <v/>
      </c>
      <c r="BN110" s="11">
        <f>BN20*$F$107</f>
        <v/>
      </c>
    </row>
    <row r="111">
      <c r="D111" t="inlineStr">
        <is>
          <t>Refinancing costs (OID, underwriting, other, PCG upfront)</t>
        </is>
      </c>
      <c r="E111" t="inlineStr">
        <is>
          <t>USD m</t>
        </is>
      </c>
      <c r="G111" s="11">
        <f>SUM(J111:BN111)</f>
        <v/>
      </c>
      <c r="J111" s="11">
        <f>0</f>
        <v/>
      </c>
      <c r="K111" s="11">
        <f>0</f>
        <v/>
      </c>
      <c r="L111" s="11">
        <f>0</f>
        <v/>
      </c>
      <c r="M111" s="11">
        <f>0</f>
        <v/>
      </c>
      <c r="N111" s="11">
        <f>0</f>
        <v/>
      </c>
      <c r="O111" s="11">
        <f>0</f>
        <v/>
      </c>
      <c r="P111" s="11">
        <f>0</f>
        <v/>
      </c>
      <c r="Q111" s="11">
        <f>0</f>
        <v/>
      </c>
      <c r="R111" s="11">
        <f>0</f>
        <v/>
      </c>
      <c r="S111" s="11">
        <f>0</f>
        <v/>
      </c>
      <c r="T111" s="11">
        <f>0</f>
        <v/>
      </c>
      <c r="U111" s="11">
        <f>0</f>
        <v/>
      </c>
      <c r="V111" s="11">
        <f>0</f>
        <v/>
      </c>
      <c r="W111" s="11">
        <f>W20*($F$109*(1-Inputs!$F$193)+Inputs!$F$194*$F$109+Inputs!$F$195+Inputs!$F$198/100*Inputs!$F$196)</f>
        <v/>
      </c>
      <c r="X111" s="11">
        <f>X20*($F$109*(1-Inputs!$F$193)+Inputs!$F$194*$F$109+Inputs!$F$195+Inputs!$F$198/100*Inputs!$F$196)</f>
        <v/>
      </c>
      <c r="Y111" s="11">
        <f>Y20*($F$109*(1-Inputs!$F$193)+Inputs!$F$194*$F$109+Inputs!$F$195+Inputs!$F$198/100*Inputs!$F$196)</f>
        <v/>
      </c>
      <c r="Z111" s="11">
        <f>Z20*($F$109*(1-Inputs!$F$193)+Inputs!$F$194*$F$109+Inputs!$F$195+Inputs!$F$198/100*Inputs!$F$196)</f>
        <v/>
      </c>
      <c r="AA111" s="11">
        <f>AA20*($F$109*(1-Inputs!$F$193)+Inputs!$F$194*$F$109+Inputs!$F$195+Inputs!$F$198/100*Inputs!$F$196)</f>
        <v/>
      </c>
      <c r="AB111" s="11">
        <f>AB20*($F$109*(1-Inputs!$F$193)+Inputs!$F$194*$F$109+Inputs!$F$195+Inputs!$F$198/100*Inputs!$F$196)</f>
        <v/>
      </c>
      <c r="AC111" s="11">
        <f>AC20*($F$109*(1-Inputs!$F$193)+Inputs!$F$194*$F$109+Inputs!$F$195+Inputs!$F$198/100*Inputs!$F$196)</f>
        <v/>
      </c>
      <c r="AD111" s="11">
        <f>AD20*($F$109*(1-Inputs!$F$193)+Inputs!$F$194*$F$109+Inputs!$F$195+Inputs!$F$198/100*Inputs!$F$196)</f>
        <v/>
      </c>
      <c r="AE111" s="11">
        <f>AE20*($F$109*(1-Inputs!$F$193)+Inputs!$F$194*$F$109+Inputs!$F$195+Inputs!$F$198/100*Inputs!$F$196)</f>
        <v/>
      </c>
      <c r="AF111" s="11">
        <f>AF20*($F$109*(1-Inputs!$F$193)+Inputs!$F$194*$F$109+Inputs!$F$195+Inputs!$F$198/100*Inputs!$F$196)</f>
        <v/>
      </c>
      <c r="AG111" s="11">
        <f>AG20*($F$109*(1-Inputs!$F$193)+Inputs!$F$194*$F$109+Inputs!$F$195+Inputs!$F$198/100*Inputs!$F$196)</f>
        <v/>
      </c>
      <c r="AH111" s="11">
        <f>AH20*($F$109*(1-Inputs!$F$193)+Inputs!$F$194*$F$109+Inputs!$F$195+Inputs!$F$198/100*Inputs!$F$196)</f>
        <v/>
      </c>
      <c r="AI111" s="11">
        <f>AI20*($F$109*(1-Inputs!$F$193)+Inputs!$F$194*$F$109+Inputs!$F$195+Inputs!$F$198/100*Inputs!$F$196)</f>
        <v/>
      </c>
      <c r="AJ111" s="11">
        <f>AJ20*($F$109*(1-Inputs!$F$193)+Inputs!$F$194*$F$109+Inputs!$F$195+Inputs!$F$198/100*Inputs!$F$196)</f>
        <v/>
      </c>
      <c r="AK111" s="11">
        <f>AK20*($F$109*(1-Inputs!$F$193)+Inputs!$F$194*$F$109+Inputs!$F$195+Inputs!$F$198/100*Inputs!$F$196)</f>
        <v/>
      </c>
      <c r="AL111" s="11">
        <f>AL20*($F$109*(1-Inputs!$F$193)+Inputs!$F$194*$F$109+Inputs!$F$195+Inputs!$F$198/100*Inputs!$F$196)</f>
        <v/>
      </c>
      <c r="AM111" s="11">
        <f>AM20*($F$109*(1-Inputs!$F$193)+Inputs!$F$194*$F$109+Inputs!$F$195+Inputs!$F$198/100*Inputs!$F$196)</f>
        <v/>
      </c>
      <c r="AN111" s="11">
        <f>AN20*($F$109*(1-Inputs!$F$193)+Inputs!$F$194*$F$109+Inputs!$F$195+Inputs!$F$198/100*Inputs!$F$196)</f>
        <v/>
      </c>
      <c r="AO111" s="11">
        <f>AO20*($F$109*(1-Inputs!$F$193)+Inputs!$F$194*$F$109+Inputs!$F$195+Inputs!$F$198/100*Inputs!$F$196)</f>
        <v/>
      </c>
      <c r="AP111" s="11">
        <f>AP20*($F$109*(1-Inputs!$F$193)+Inputs!$F$194*$F$109+Inputs!$F$195+Inputs!$F$198/100*Inputs!$F$196)</f>
        <v/>
      </c>
      <c r="AQ111" s="11">
        <f>AQ20*($F$109*(1-Inputs!$F$193)+Inputs!$F$194*$F$109+Inputs!$F$195+Inputs!$F$198/100*Inputs!$F$196)</f>
        <v/>
      </c>
      <c r="AR111" s="11">
        <f>AR20*($F$109*(1-Inputs!$F$193)+Inputs!$F$194*$F$109+Inputs!$F$195+Inputs!$F$198/100*Inputs!$F$196)</f>
        <v/>
      </c>
      <c r="AS111" s="11">
        <f>AS20*($F$109*(1-Inputs!$F$193)+Inputs!$F$194*$F$109+Inputs!$F$195+Inputs!$F$198/100*Inputs!$F$196)</f>
        <v/>
      </c>
      <c r="AT111" s="11">
        <f>AT20*($F$109*(1-Inputs!$F$193)+Inputs!$F$194*$F$109+Inputs!$F$195+Inputs!$F$198/100*Inputs!$F$196)</f>
        <v/>
      </c>
      <c r="AU111" s="11">
        <f>AU20*($F$109*(1-Inputs!$F$193)+Inputs!$F$194*$F$109+Inputs!$F$195+Inputs!$F$198/100*Inputs!$F$196)</f>
        <v/>
      </c>
      <c r="AV111" s="11">
        <f>AV20*($F$109*(1-Inputs!$F$193)+Inputs!$F$194*$F$109+Inputs!$F$195+Inputs!$F$198/100*Inputs!$F$196)</f>
        <v/>
      </c>
      <c r="AW111" s="11">
        <f>AW20*($F$109*(1-Inputs!$F$193)+Inputs!$F$194*$F$109+Inputs!$F$195+Inputs!$F$198/100*Inputs!$F$196)</f>
        <v/>
      </c>
      <c r="AX111" s="11">
        <f>AX20*($F$109*(1-Inputs!$F$193)+Inputs!$F$194*$F$109+Inputs!$F$195+Inputs!$F$198/100*Inputs!$F$196)</f>
        <v/>
      </c>
      <c r="AY111" s="11">
        <f>AY20*($F$109*(1-Inputs!$F$193)+Inputs!$F$194*$F$109+Inputs!$F$195+Inputs!$F$198/100*Inputs!$F$196)</f>
        <v/>
      </c>
      <c r="AZ111" s="11">
        <f>AZ20*($F$109*(1-Inputs!$F$193)+Inputs!$F$194*$F$109+Inputs!$F$195+Inputs!$F$198/100*Inputs!$F$196)</f>
        <v/>
      </c>
      <c r="BA111" s="11">
        <f>BA20*($F$109*(1-Inputs!$F$193)+Inputs!$F$194*$F$109+Inputs!$F$195+Inputs!$F$198/100*Inputs!$F$196)</f>
        <v/>
      </c>
      <c r="BB111" s="11">
        <f>BB20*($F$109*(1-Inputs!$F$193)+Inputs!$F$194*$F$109+Inputs!$F$195+Inputs!$F$198/100*Inputs!$F$196)</f>
        <v/>
      </c>
      <c r="BC111" s="11">
        <f>BC20*($F$109*(1-Inputs!$F$193)+Inputs!$F$194*$F$109+Inputs!$F$195+Inputs!$F$198/100*Inputs!$F$196)</f>
        <v/>
      </c>
      <c r="BD111" s="11">
        <f>BD20*($F$109*(1-Inputs!$F$193)+Inputs!$F$194*$F$109+Inputs!$F$195+Inputs!$F$198/100*Inputs!$F$196)</f>
        <v/>
      </c>
      <c r="BE111" s="11">
        <f>BE20*($F$109*(1-Inputs!$F$193)+Inputs!$F$194*$F$109+Inputs!$F$195+Inputs!$F$198/100*Inputs!$F$196)</f>
        <v/>
      </c>
      <c r="BF111" s="11">
        <f>BF20*($F$109*(1-Inputs!$F$193)+Inputs!$F$194*$F$109+Inputs!$F$195+Inputs!$F$198/100*Inputs!$F$196)</f>
        <v/>
      </c>
      <c r="BG111" s="11">
        <f>BG20*($F$109*(1-Inputs!$F$193)+Inputs!$F$194*$F$109+Inputs!$F$195+Inputs!$F$198/100*Inputs!$F$196)</f>
        <v/>
      </c>
      <c r="BH111" s="11">
        <f>BH20*($F$109*(1-Inputs!$F$193)+Inputs!$F$194*$F$109+Inputs!$F$195+Inputs!$F$198/100*Inputs!$F$196)</f>
        <v/>
      </c>
      <c r="BI111" s="11">
        <f>BI20*($F$109*(1-Inputs!$F$193)+Inputs!$F$194*$F$109+Inputs!$F$195+Inputs!$F$198/100*Inputs!$F$196)</f>
        <v/>
      </c>
      <c r="BJ111" s="11">
        <f>BJ20*($F$109*(1-Inputs!$F$193)+Inputs!$F$194*$F$109+Inputs!$F$195+Inputs!$F$198/100*Inputs!$F$196)</f>
        <v/>
      </c>
      <c r="BK111" s="11">
        <f>BK20*($F$109*(1-Inputs!$F$193)+Inputs!$F$194*$F$109+Inputs!$F$195+Inputs!$F$198/100*Inputs!$F$196)</f>
        <v/>
      </c>
      <c r="BL111" s="11">
        <f>BL20*($F$109*(1-Inputs!$F$193)+Inputs!$F$194*$F$109+Inputs!$F$195+Inputs!$F$198/100*Inputs!$F$196)</f>
        <v/>
      </c>
      <c r="BM111" s="11">
        <f>BM20*($F$109*(1-Inputs!$F$193)+Inputs!$F$194*$F$109+Inputs!$F$195+Inputs!$F$198/100*Inputs!$F$196)</f>
        <v/>
      </c>
      <c r="BN111" s="11">
        <f>BN20*($F$109*(1-Inputs!$F$193)+Inputs!$F$194*$F$109+Inputs!$F$195+Inputs!$F$198/100*Inputs!$F$196)</f>
        <v/>
      </c>
    </row>
    <row r="112">
      <c r="B112" s="2" t="inlineStr">
        <is>
          <t>Swap, premiums and fees (USD m)</t>
        </is>
      </c>
    </row>
    <row r="113">
      <c r="D113" t="inlineStr">
        <is>
          <t>Swap share outstanding</t>
        </is>
      </c>
      <c r="E113" t="inlineStr">
        <is>
          <t>fraction</t>
        </is>
      </c>
      <c r="J113" s="11">
        <f>IF(AND(Inputs!$F$49=1,Time!J17&gt;14),Inputs!$F$201,1)</f>
        <v/>
      </c>
      <c r="K113" s="11">
        <f>IF(AND(Inputs!$F$49=1,Time!K17&gt;14),Inputs!$F$201,1)</f>
        <v/>
      </c>
      <c r="L113" s="11">
        <f>IF(AND(Inputs!$F$49=1,Time!L17&gt;14),Inputs!$F$201,1)</f>
        <v/>
      </c>
      <c r="M113" s="11">
        <f>IF(AND(Inputs!$F$49=1,Time!M17&gt;14),Inputs!$F$201,1)</f>
        <v/>
      </c>
      <c r="N113" s="11">
        <f>IF(AND(Inputs!$F$49=1,Time!N17&gt;14),Inputs!$F$201,1)</f>
        <v/>
      </c>
      <c r="O113" s="11">
        <f>IF(AND(Inputs!$F$49=1,Time!O17&gt;14),Inputs!$F$201,1)</f>
        <v/>
      </c>
      <c r="P113" s="11">
        <f>IF(AND(Inputs!$F$49=1,Time!P17&gt;14),Inputs!$F$201,1)</f>
        <v/>
      </c>
      <c r="Q113" s="11">
        <f>IF(AND(Inputs!$F$49=1,Time!Q17&gt;14),Inputs!$F$201,1)</f>
        <v/>
      </c>
      <c r="R113" s="11">
        <f>IF(AND(Inputs!$F$49=1,Time!R17&gt;14),Inputs!$F$201,1)</f>
        <v/>
      </c>
      <c r="S113" s="11">
        <f>IF(AND(Inputs!$F$49=1,Time!S17&gt;14),Inputs!$F$201,1)</f>
        <v/>
      </c>
      <c r="T113" s="11">
        <f>IF(AND(Inputs!$F$49=1,Time!T17&gt;14),Inputs!$F$201,1)</f>
        <v/>
      </c>
      <c r="U113" s="11">
        <f>IF(AND(Inputs!$F$49=1,Time!U17&gt;14),Inputs!$F$201,1)</f>
        <v/>
      </c>
      <c r="V113" s="11">
        <f>IF(AND(Inputs!$F$49=1,Time!V17&gt;14),Inputs!$F$201,1)</f>
        <v/>
      </c>
      <c r="W113" s="11">
        <f>IF(AND(Inputs!$F$49=1,Time!W17&gt;14),Inputs!$F$201,1)</f>
        <v/>
      </c>
      <c r="X113" s="11">
        <f>IF(AND(Inputs!$F$49=1,Time!X17&gt;14),Inputs!$F$201,1)</f>
        <v/>
      </c>
      <c r="Y113" s="11">
        <f>IF(AND(Inputs!$F$49=1,Time!Y17&gt;14),Inputs!$F$201,1)</f>
        <v/>
      </c>
      <c r="Z113" s="11">
        <f>IF(AND(Inputs!$F$49=1,Time!Z17&gt;14),Inputs!$F$201,1)</f>
        <v/>
      </c>
      <c r="AA113" s="11">
        <f>IF(AND(Inputs!$F$49=1,Time!AA17&gt;14),Inputs!$F$201,1)</f>
        <v/>
      </c>
      <c r="AB113" s="11">
        <f>IF(AND(Inputs!$F$49=1,Time!AB17&gt;14),Inputs!$F$201,1)</f>
        <v/>
      </c>
      <c r="AC113" s="11">
        <f>IF(AND(Inputs!$F$49=1,Time!AC17&gt;14),Inputs!$F$201,1)</f>
        <v/>
      </c>
      <c r="AD113" s="11">
        <f>IF(AND(Inputs!$F$49=1,Time!AD17&gt;14),Inputs!$F$201,1)</f>
        <v/>
      </c>
      <c r="AE113" s="11">
        <f>IF(AND(Inputs!$F$49=1,Time!AE17&gt;14),Inputs!$F$201,1)</f>
        <v/>
      </c>
      <c r="AF113" s="11">
        <f>IF(AND(Inputs!$F$49=1,Time!AF17&gt;14),Inputs!$F$201,1)</f>
        <v/>
      </c>
      <c r="AG113" s="11">
        <f>IF(AND(Inputs!$F$49=1,Time!AG17&gt;14),Inputs!$F$201,1)</f>
        <v/>
      </c>
      <c r="AH113" s="11">
        <f>IF(AND(Inputs!$F$49=1,Time!AH17&gt;14),Inputs!$F$201,1)</f>
        <v/>
      </c>
      <c r="AI113" s="11">
        <f>IF(AND(Inputs!$F$49=1,Time!AI17&gt;14),Inputs!$F$201,1)</f>
        <v/>
      </c>
      <c r="AJ113" s="11">
        <f>IF(AND(Inputs!$F$49=1,Time!AJ17&gt;14),Inputs!$F$201,1)</f>
        <v/>
      </c>
      <c r="AK113" s="11">
        <f>IF(AND(Inputs!$F$49=1,Time!AK17&gt;14),Inputs!$F$201,1)</f>
        <v/>
      </c>
      <c r="AL113" s="11">
        <f>IF(AND(Inputs!$F$49=1,Time!AL17&gt;14),Inputs!$F$201,1)</f>
        <v/>
      </c>
      <c r="AM113" s="11">
        <f>IF(AND(Inputs!$F$49=1,Time!AM17&gt;14),Inputs!$F$201,1)</f>
        <v/>
      </c>
      <c r="AN113" s="11">
        <f>IF(AND(Inputs!$F$49=1,Time!AN17&gt;14),Inputs!$F$201,1)</f>
        <v/>
      </c>
      <c r="AO113" s="11">
        <f>IF(AND(Inputs!$F$49=1,Time!AO17&gt;14),Inputs!$F$201,1)</f>
        <v/>
      </c>
      <c r="AP113" s="11">
        <f>IF(AND(Inputs!$F$49=1,Time!AP17&gt;14),Inputs!$F$201,1)</f>
        <v/>
      </c>
      <c r="AQ113" s="11">
        <f>IF(AND(Inputs!$F$49=1,Time!AQ17&gt;14),Inputs!$F$201,1)</f>
        <v/>
      </c>
      <c r="AR113" s="11">
        <f>IF(AND(Inputs!$F$49=1,Time!AR17&gt;14),Inputs!$F$201,1)</f>
        <v/>
      </c>
      <c r="AS113" s="11">
        <f>IF(AND(Inputs!$F$49=1,Time!AS17&gt;14),Inputs!$F$201,1)</f>
        <v/>
      </c>
      <c r="AT113" s="11">
        <f>IF(AND(Inputs!$F$49=1,Time!AT17&gt;14),Inputs!$F$201,1)</f>
        <v/>
      </c>
      <c r="AU113" s="11">
        <f>IF(AND(Inputs!$F$49=1,Time!AU17&gt;14),Inputs!$F$201,1)</f>
        <v/>
      </c>
      <c r="AV113" s="11">
        <f>IF(AND(Inputs!$F$49=1,Time!AV17&gt;14),Inputs!$F$201,1)</f>
        <v/>
      </c>
      <c r="AW113" s="11">
        <f>IF(AND(Inputs!$F$49=1,Time!AW17&gt;14),Inputs!$F$201,1)</f>
        <v/>
      </c>
      <c r="AX113" s="11">
        <f>IF(AND(Inputs!$F$49=1,Time!AX17&gt;14),Inputs!$F$201,1)</f>
        <v/>
      </c>
      <c r="AY113" s="11">
        <f>IF(AND(Inputs!$F$49=1,Time!AY17&gt;14),Inputs!$F$201,1)</f>
        <v/>
      </c>
      <c r="AZ113" s="11">
        <f>IF(AND(Inputs!$F$49=1,Time!AZ17&gt;14),Inputs!$F$201,1)</f>
        <v/>
      </c>
      <c r="BA113" s="11">
        <f>IF(AND(Inputs!$F$49=1,Time!BA17&gt;14),Inputs!$F$201,1)</f>
        <v/>
      </c>
      <c r="BB113" s="11">
        <f>IF(AND(Inputs!$F$49=1,Time!BB17&gt;14),Inputs!$F$201,1)</f>
        <v/>
      </c>
      <c r="BC113" s="11">
        <f>IF(AND(Inputs!$F$49=1,Time!BC17&gt;14),Inputs!$F$201,1)</f>
        <v/>
      </c>
      <c r="BD113" s="11">
        <f>IF(AND(Inputs!$F$49=1,Time!BD17&gt;14),Inputs!$F$201,1)</f>
        <v/>
      </c>
      <c r="BE113" s="11">
        <f>IF(AND(Inputs!$F$49=1,Time!BE17&gt;14),Inputs!$F$201,1)</f>
        <v/>
      </c>
      <c r="BF113" s="11">
        <f>IF(AND(Inputs!$F$49=1,Time!BF17&gt;14),Inputs!$F$201,1)</f>
        <v/>
      </c>
      <c r="BG113" s="11">
        <f>IF(AND(Inputs!$F$49=1,Time!BG17&gt;14),Inputs!$F$201,1)</f>
        <v/>
      </c>
      <c r="BH113" s="11">
        <f>IF(AND(Inputs!$F$49=1,Time!BH17&gt;14),Inputs!$F$201,1)</f>
        <v/>
      </c>
      <c r="BI113" s="11">
        <f>IF(AND(Inputs!$F$49=1,Time!BI17&gt;14),Inputs!$F$201,1)</f>
        <v/>
      </c>
      <c r="BJ113" s="11">
        <f>IF(AND(Inputs!$F$49=1,Time!BJ17&gt;14),Inputs!$F$201,1)</f>
        <v/>
      </c>
      <c r="BK113" s="11">
        <f>IF(AND(Inputs!$F$49=1,Time!BK17&gt;14),Inputs!$F$201,1)</f>
        <v/>
      </c>
      <c r="BL113" s="11">
        <f>IF(AND(Inputs!$F$49=1,Time!BL17&gt;14),Inputs!$F$201,1)</f>
        <v/>
      </c>
      <c r="BM113" s="11">
        <f>IF(AND(Inputs!$F$49=1,Time!BM17&gt;14),Inputs!$F$201,1)</f>
        <v/>
      </c>
      <c r="BN113" s="11">
        <f>IF(AND(Inputs!$F$49=1,Time!BN17&gt;14),Inputs!$F$201,1)</f>
        <v/>
      </c>
    </row>
    <row r="114">
      <c r="D114" t="inlineStr">
        <is>
          <t>Swap net payment (fixed 30/360 less floating ACT/360)</t>
        </is>
      </c>
      <c r="E114" t="inlineStr">
        <is>
          <t>USD m</t>
        </is>
      </c>
      <c r="G114" s="11">
        <f>SUM(J114:BN114)</f>
        <v/>
      </c>
      <c r="J114" s="11">
        <f>Time!J30*Inputs!J222*J113*(Inputs!$F$95/100*0.5-Operations!J9/100*Time!J20/360)</f>
        <v/>
      </c>
      <c r="K114" s="11">
        <f>Time!K30*Inputs!K222*K113*(Inputs!$F$95/100*0.5-Operations!K9/100*Time!K20/360)</f>
        <v/>
      </c>
      <c r="L114" s="11">
        <f>Time!L30*Inputs!L222*L113*(Inputs!$F$95/100*0.5-Operations!L9/100*Time!L20/360)</f>
        <v/>
      </c>
      <c r="M114" s="11">
        <f>Time!M30*Inputs!M222*M113*(Inputs!$F$95/100*0.5-Operations!M9/100*Time!M20/360)</f>
        <v/>
      </c>
      <c r="N114" s="11">
        <f>Time!N30*Inputs!N222*N113*(Inputs!$F$95/100*0.5-Operations!N9/100*Time!N20/360)</f>
        <v/>
      </c>
      <c r="O114" s="11">
        <f>Time!O30*Inputs!O222*O113*(Inputs!$F$95/100*0.5-Operations!O9/100*Time!O20/360)</f>
        <v/>
      </c>
      <c r="P114" s="11">
        <f>Time!P30*Inputs!P222*P113*(Inputs!$F$95/100*0.5-Operations!P9/100*Time!P20/360)</f>
        <v/>
      </c>
      <c r="Q114" s="11">
        <f>Time!Q30*Inputs!Q222*Q113*(Inputs!$F$95/100*0.5-Operations!Q9/100*Time!Q20/360)</f>
        <v/>
      </c>
      <c r="R114" s="11">
        <f>Time!R30*Inputs!R222*R113*(Inputs!$F$95/100*0.5-Operations!R9/100*Time!R20/360)</f>
        <v/>
      </c>
      <c r="S114" s="11">
        <f>Time!S30*Inputs!S222*S113*(Inputs!$F$95/100*0.5-Operations!S9/100*Time!S20/360)</f>
        <v/>
      </c>
      <c r="T114" s="11">
        <f>Time!T30*Inputs!T222*T113*(Inputs!$F$95/100*0.5-Operations!T9/100*Time!T20/360)</f>
        <v/>
      </c>
      <c r="U114" s="11">
        <f>Time!U30*Inputs!U222*U113*(Inputs!$F$95/100*0.5-Operations!U9/100*Time!U20/360)</f>
        <v/>
      </c>
      <c r="V114" s="11">
        <f>Time!V30*Inputs!V222*V113*(Inputs!$F$95/100*0.5-Operations!V9/100*Time!V20/360)</f>
        <v/>
      </c>
      <c r="W114" s="11">
        <f>Time!W30*Inputs!W222*W113*(Inputs!$F$95/100*0.5-Operations!W9/100*Time!W20/360)</f>
        <v/>
      </c>
      <c r="X114" s="11">
        <f>Time!X30*Inputs!X222*X113*(Inputs!$F$95/100*0.5-Operations!X9/100*Time!X20/360)</f>
        <v/>
      </c>
      <c r="Y114" s="11">
        <f>Time!Y30*Inputs!Y222*Y113*(Inputs!$F$95/100*0.5-Operations!Y9/100*Time!Y20/360)</f>
        <v/>
      </c>
      <c r="Z114" s="11">
        <f>Time!Z30*Inputs!Z222*Z113*(Inputs!$F$95/100*0.5-Operations!Z9/100*Time!Z20/360)</f>
        <v/>
      </c>
      <c r="AA114" s="11">
        <f>Time!AA30*Inputs!AA222*AA113*(Inputs!$F$95/100*0.5-Operations!AA9/100*Time!AA20/360)</f>
        <v/>
      </c>
      <c r="AB114" s="11">
        <f>Time!AB30*Inputs!AB222*AB113*(Inputs!$F$95/100*0.5-Operations!AB9/100*Time!AB20/360)</f>
        <v/>
      </c>
      <c r="AC114" s="11">
        <f>Time!AC30*Inputs!AC222*AC113*(Inputs!$F$95/100*0.5-Operations!AC9/100*Time!AC20/360)</f>
        <v/>
      </c>
      <c r="AD114" s="11">
        <f>Time!AD30*Inputs!AD222*AD113*(Inputs!$F$95/100*0.5-Operations!AD9/100*Time!AD20/360)</f>
        <v/>
      </c>
      <c r="AE114" s="11">
        <f>Time!AE30*Inputs!AE222*AE113*(Inputs!$F$95/100*0.5-Operations!AE9/100*Time!AE20/360)</f>
        <v/>
      </c>
      <c r="AF114" s="11">
        <f>Time!AF30*Inputs!AF222*AF113*(Inputs!$F$95/100*0.5-Operations!AF9/100*Time!AF20/360)</f>
        <v/>
      </c>
      <c r="AG114" s="11">
        <f>Time!AG30*Inputs!AG222*AG113*(Inputs!$F$95/100*0.5-Operations!AG9/100*Time!AG20/360)</f>
        <v/>
      </c>
      <c r="AH114" s="11">
        <f>Time!AH30*Inputs!AH222*AH113*(Inputs!$F$95/100*0.5-Operations!AH9/100*Time!AH20/360)</f>
        <v/>
      </c>
      <c r="AI114" s="11">
        <f>Time!AI30*Inputs!AI222*AI113*(Inputs!$F$95/100*0.5-Operations!AI9/100*Time!AI20/360)</f>
        <v/>
      </c>
      <c r="AJ114" s="11">
        <f>Time!AJ30*Inputs!AJ222*AJ113*(Inputs!$F$95/100*0.5-Operations!AJ9/100*Time!AJ20/360)</f>
        <v/>
      </c>
      <c r="AK114" s="11">
        <f>Time!AK30*Inputs!AK222*AK113*(Inputs!$F$95/100*0.5-Operations!AK9/100*Time!AK20/360)</f>
        <v/>
      </c>
      <c r="AL114" s="11">
        <f>Time!AL30*Inputs!AL222*AL113*(Inputs!$F$95/100*0.5-Operations!AL9/100*Time!AL20/360)</f>
        <v/>
      </c>
      <c r="AM114" s="11">
        <f>Time!AM30*Inputs!AM222*AM113*(Inputs!$F$95/100*0.5-Operations!AM9/100*Time!AM20/360)</f>
        <v/>
      </c>
      <c r="AN114" s="11">
        <f>Time!AN30*Inputs!AN222*AN113*(Inputs!$F$95/100*0.5-Operations!AN9/100*Time!AN20/360)</f>
        <v/>
      </c>
      <c r="AO114" s="11">
        <f>Time!AO30*Inputs!AO222*AO113*(Inputs!$F$95/100*0.5-Operations!AO9/100*Time!AO20/360)</f>
        <v/>
      </c>
      <c r="AP114" s="11">
        <f>Time!AP30*Inputs!AP222*AP113*(Inputs!$F$95/100*0.5-Operations!AP9/100*Time!AP20/360)</f>
        <v/>
      </c>
      <c r="AQ114" s="11">
        <f>Time!AQ30*Inputs!AQ222*AQ113*(Inputs!$F$95/100*0.5-Operations!AQ9/100*Time!AQ20/360)</f>
        <v/>
      </c>
      <c r="AR114" s="11">
        <f>Time!AR30*Inputs!AR222*AR113*(Inputs!$F$95/100*0.5-Operations!AR9/100*Time!AR20/360)</f>
        <v/>
      </c>
      <c r="AS114" s="11">
        <f>Time!AS30*Inputs!AS222*AS113*(Inputs!$F$95/100*0.5-Operations!AS9/100*Time!AS20/360)</f>
        <v/>
      </c>
      <c r="AT114" s="11">
        <f>Time!AT30*Inputs!AT222*AT113*(Inputs!$F$95/100*0.5-Operations!AT9/100*Time!AT20/360)</f>
        <v/>
      </c>
      <c r="AU114" s="11">
        <f>Time!AU30*Inputs!AU222*AU113*(Inputs!$F$95/100*0.5-Operations!AU9/100*Time!AU20/360)</f>
        <v/>
      </c>
      <c r="AV114" s="11">
        <f>Time!AV30*Inputs!AV222*AV113*(Inputs!$F$95/100*0.5-Operations!AV9/100*Time!AV20/360)</f>
        <v/>
      </c>
      <c r="AW114" s="11">
        <f>Time!AW30*Inputs!AW222*AW113*(Inputs!$F$95/100*0.5-Operations!AW9/100*Time!AW20/360)</f>
        <v/>
      </c>
      <c r="AX114" s="11">
        <f>Time!AX30*Inputs!AX222*AX113*(Inputs!$F$95/100*0.5-Operations!AX9/100*Time!AX20/360)</f>
        <v/>
      </c>
      <c r="AY114" s="11">
        <f>Time!AY30*Inputs!AY222*AY113*(Inputs!$F$95/100*0.5-Operations!AY9/100*Time!AY20/360)</f>
        <v/>
      </c>
      <c r="AZ114" s="11">
        <f>Time!AZ30*Inputs!AZ222*AZ113*(Inputs!$F$95/100*0.5-Operations!AZ9/100*Time!AZ20/360)</f>
        <v/>
      </c>
      <c r="BA114" s="11">
        <f>Time!BA30*Inputs!BA222*BA113*(Inputs!$F$95/100*0.5-Operations!BA9/100*Time!BA20/360)</f>
        <v/>
      </c>
      <c r="BB114" s="11">
        <f>Time!BB30*Inputs!BB222*BB113*(Inputs!$F$95/100*0.5-Operations!BB9/100*Time!BB20/360)</f>
        <v/>
      </c>
      <c r="BC114" s="11">
        <f>Time!BC30*Inputs!BC222*BC113*(Inputs!$F$95/100*0.5-Operations!BC9/100*Time!BC20/360)</f>
        <v/>
      </c>
      <c r="BD114" s="11">
        <f>Time!BD30*Inputs!BD222*BD113*(Inputs!$F$95/100*0.5-Operations!BD9/100*Time!BD20/360)</f>
        <v/>
      </c>
      <c r="BE114" s="11">
        <f>Time!BE30*Inputs!BE222*BE113*(Inputs!$F$95/100*0.5-Operations!BE9/100*Time!BE20/360)</f>
        <v/>
      </c>
      <c r="BF114" s="11">
        <f>Time!BF30*Inputs!BF222*BF113*(Inputs!$F$95/100*0.5-Operations!BF9/100*Time!BF20/360)</f>
        <v/>
      </c>
      <c r="BG114" s="11">
        <f>Time!BG30*Inputs!BG222*BG113*(Inputs!$F$95/100*0.5-Operations!BG9/100*Time!BG20/360)</f>
        <v/>
      </c>
      <c r="BH114" s="11">
        <f>Time!BH30*Inputs!BH222*BH113*(Inputs!$F$95/100*0.5-Operations!BH9/100*Time!BH20/360)</f>
        <v/>
      </c>
      <c r="BI114" s="11">
        <f>Time!BI30*Inputs!BI222*BI113*(Inputs!$F$95/100*0.5-Operations!BI9/100*Time!BI20/360)</f>
        <v/>
      </c>
      <c r="BJ114" s="11">
        <f>Time!BJ30*Inputs!BJ222*BJ113*(Inputs!$F$95/100*0.5-Operations!BJ9/100*Time!BJ20/360)</f>
        <v/>
      </c>
      <c r="BK114" s="11">
        <f>Time!BK30*Inputs!BK222*BK113*(Inputs!$F$95/100*0.5-Operations!BK9/100*Time!BK20/360)</f>
        <v/>
      </c>
      <c r="BL114" s="11">
        <f>Time!BL30*Inputs!BL222*BL113*(Inputs!$F$95/100*0.5-Operations!BL9/100*Time!BL20/360)</f>
        <v/>
      </c>
      <c r="BM114" s="11">
        <f>Time!BM30*Inputs!BM222*BM113*(Inputs!$F$95/100*0.5-Operations!BM9/100*Time!BM20/360)</f>
        <v/>
      </c>
      <c r="BN114" s="11">
        <f>Time!BN30*Inputs!BN222*BN113*(Inputs!$F$95/100*0.5-Operations!BN9/100*Time!BN20/360)</f>
        <v/>
      </c>
    </row>
    <row r="115">
      <c r="D115" t="inlineStr">
        <is>
          <t>PRI premium (commercial tranche)</t>
        </is>
      </c>
      <c r="E115" t="inlineStr">
        <is>
          <t>USD m</t>
        </is>
      </c>
      <c r="G115" s="11">
        <f>SUM(J115:BN115)</f>
        <v/>
      </c>
      <c r="J115" s="11">
        <f>(Inputs!$F$93/100*Inputs!$F$94/100)*J70*Time!J20/365</f>
        <v/>
      </c>
      <c r="K115" s="11">
        <f>(Inputs!$F$93/100*Inputs!$F$94/100)*K70*Time!K20/365</f>
        <v/>
      </c>
      <c r="L115" s="11">
        <f>(Inputs!$F$93/100*Inputs!$F$94/100)*L70*Time!L20/365</f>
        <v/>
      </c>
      <c r="M115" s="11">
        <f>(Inputs!$F$93/100*Inputs!$F$94/100)*M70*Time!M20/365</f>
        <v/>
      </c>
      <c r="N115" s="11">
        <f>(Inputs!$F$93/100*Inputs!$F$94/100)*N70*Time!N20/365</f>
        <v/>
      </c>
      <c r="O115" s="11">
        <f>(Inputs!$F$93/100*Inputs!$F$94/100)*O70*Time!O20/365</f>
        <v/>
      </c>
      <c r="P115" s="11">
        <f>(Inputs!$F$93/100*Inputs!$F$94/100)*P70*Time!P20/365</f>
        <v/>
      </c>
      <c r="Q115" s="11">
        <f>(Inputs!$F$93/100*Inputs!$F$94/100)*Q70*Time!Q20/365</f>
        <v/>
      </c>
      <c r="R115" s="11">
        <f>(Inputs!$F$93/100*Inputs!$F$94/100)*R70*Time!R20/365</f>
        <v/>
      </c>
      <c r="S115" s="11">
        <f>(Inputs!$F$93/100*Inputs!$F$94/100)*S70*Time!S20/365</f>
        <v/>
      </c>
      <c r="T115" s="11">
        <f>(Inputs!$F$93/100*Inputs!$F$94/100)*T70*Time!T20/365</f>
        <v/>
      </c>
      <c r="U115" s="11">
        <f>(Inputs!$F$93/100*Inputs!$F$94/100)*U70*Time!U20/365</f>
        <v/>
      </c>
      <c r="V115" s="11">
        <f>(Inputs!$F$93/100*Inputs!$F$94/100)*V70*Time!V20/365</f>
        <v/>
      </c>
      <c r="W115" s="11">
        <f>(Inputs!$F$93/100*Inputs!$F$94/100)*W70*Time!W20/365</f>
        <v/>
      </c>
      <c r="X115" s="11">
        <f>(Inputs!$F$93/100*Inputs!$F$94/100)*X70*Time!X20/365</f>
        <v/>
      </c>
      <c r="Y115" s="11">
        <f>(Inputs!$F$93/100*Inputs!$F$94/100)*Y70*Time!Y20/365</f>
        <v/>
      </c>
      <c r="Z115" s="11">
        <f>(Inputs!$F$93/100*Inputs!$F$94/100)*Z70*Time!Z20/365</f>
        <v/>
      </c>
      <c r="AA115" s="11">
        <f>(Inputs!$F$93/100*Inputs!$F$94/100)*AA70*Time!AA20/365</f>
        <v/>
      </c>
      <c r="AB115" s="11">
        <f>(Inputs!$F$93/100*Inputs!$F$94/100)*AB70*Time!AB20/365</f>
        <v/>
      </c>
      <c r="AC115" s="11">
        <f>(Inputs!$F$93/100*Inputs!$F$94/100)*AC70*Time!AC20/365</f>
        <v/>
      </c>
      <c r="AD115" s="11">
        <f>(Inputs!$F$93/100*Inputs!$F$94/100)*AD70*Time!AD20/365</f>
        <v/>
      </c>
      <c r="AE115" s="11">
        <f>(Inputs!$F$93/100*Inputs!$F$94/100)*AE70*Time!AE20/365</f>
        <v/>
      </c>
      <c r="AF115" s="11">
        <f>(Inputs!$F$93/100*Inputs!$F$94/100)*AF70*Time!AF20/365</f>
        <v/>
      </c>
      <c r="AG115" s="11">
        <f>(Inputs!$F$93/100*Inputs!$F$94/100)*AG70*Time!AG20/365</f>
        <v/>
      </c>
      <c r="AH115" s="11">
        <f>(Inputs!$F$93/100*Inputs!$F$94/100)*AH70*Time!AH20/365</f>
        <v/>
      </c>
      <c r="AI115" s="11">
        <f>(Inputs!$F$93/100*Inputs!$F$94/100)*AI70*Time!AI20/365</f>
        <v/>
      </c>
      <c r="AJ115" s="11">
        <f>(Inputs!$F$93/100*Inputs!$F$94/100)*AJ70*Time!AJ20/365</f>
        <v/>
      </c>
      <c r="AK115" s="11">
        <f>(Inputs!$F$93/100*Inputs!$F$94/100)*AK70*Time!AK20/365</f>
        <v/>
      </c>
      <c r="AL115" s="11">
        <f>(Inputs!$F$93/100*Inputs!$F$94/100)*AL70*Time!AL20/365</f>
        <v/>
      </c>
      <c r="AM115" s="11">
        <f>(Inputs!$F$93/100*Inputs!$F$94/100)*AM70*Time!AM20/365</f>
        <v/>
      </c>
      <c r="AN115" s="11">
        <f>(Inputs!$F$93/100*Inputs!$F$94/100)*AN70*Time!AN20/365</f>
        <v/>
      </c>
      <c r="AO115" s="11">
        <f>(Inputs!$F$93/100*Inputs!$F$94/100)*AO70*Time!AO20/365</f>
        <v/>
      </c>
      <c r="AP115" s="11">
        <f>(Inputs!$F$93/100*Inputs!$F$94/100)*AP70*Time!AP20/365</f>
        <v/>
      </c>
      <c r="AQ115" s="11">
        <f>(Inputs!$F$93/100*Inputs!$F$94/100)*AQ70*Time!AQ20/365</f>
        <v/>
      </c>
      <c r="AR115" s="11">
        <f>(Inputs!$F$93/100*Inputs!$F$94/100)*AR70*Time!AR20/365</f>
        <v/>
      </c>
      <c r="AS115" s="11">
        <f>(Inputs!$F$93/100*Inputs!$F$94/100)*AS70*Time!AS20/365</f>
        <v/>
      </c>
      <c r="AT115" s="11">
        <f>(Inputs!$F$93/100*Inputs!$F$94/100)*AT70*Time!AT20/365</f>
        <v/>
      </c>
      <c r="AU115" s="11">
        <f>(Inputs!$F$93/100*Inputs!$F$94/100)*AU70*Time!AU20/365</f>
        <v/>
      </c>
      <c r="AV115" s="11">
        <f>(Inputs!$F$93/100*Inputs!$F$94/100)*AV70*Time!AV20/365</f>
        <v/>
      </c>
      <c r="AW115" s="11">
        <f>(Inputs!$F$93/100*Inputs!$F$94/100)*AW70*Time!AW20/365</f>
        <v/>
      </c>
      <c r="AX115" s="11">
        <f>(Inputs!$F$93/100*Inputs!$F$94/100)*AX70*Time!AX20/365</f>
        <v/>
      </c>
      <c r="AY115" s="11">
        <f>(Inputs!$F$93/100*Inputs!$F$94/100)*AY70*Time!AY20/365</f>
        <v/>
      </c>
      <c r="AZ115" s="11">
        <f>(Inputs!$F$93/100*Inputs!$F$94/100)*AZ70*Time!AZ20/365</f>
        <v/>
      </c>
      <c r="BA115" s="11">
        <f>(Inputs!$F$93/100*Inputs!$F$94/100)*BA70*Time!BA20/365</f>
        <v/>
      </c>
      <c r="BB115" s="11">
        <f>(Inputs!$F$93/100*Inputs!$F$94/100)*BB70*Time!BB20/365</f>
        <v/>
      </c>
      <c r="BC115" s="11">
        <f>(Inputs!$F$93/100*Inputs!$F$94/100)*BC70*Time!BC20/365</f>
        <v/>
      </c>
      <c r="BD115" s="11">
        <f>(Inputs!$F$93/100*Inputs!$F$94/100)*BD70*Time!BD20/365</f>
        <v/>
      </c>
      <c r="BE115" s="11">
        <f>(Inputs!$F$93/100*Inputs!$F$94/100)*BE70*Time!BE20/365</f>
        <v/>
      </c>
      <c r="BF115" s="11">
        <f>(Inputs!$F$93/100*Inputs!$F$94/100)*BF70*Time!BF20/365</f>
        <v/>
      </c>
      <c r="BG115" s="11">
        <f>(Inputs!$F$93/100*Inputs!$F$94/100)*BG70*Time!BG20/365</f>
        <v/>
      </c>
      <c r="BH115" s="11">
        <f>(Inputs!$F$93/100*Inputs!$F$94/100)*BH70*Time!BH20/365</f>
        <v/>
      </c>
      <c r="BI115" s="11">
        <f>(Inputs!$F$93/100*Inputs!$F$94/100)*BI70*Time!BI20/365</f>
        <v/>
      </c>
      <c r="BJ115" s="11">
        <f>(Inputs!$F$93/100*Inputs!$F$94/100)*BJ70*Time!BJ20/365</f>
        <v/>
      </c>
      <c r="BK115" s="11">
        <f>(Inputs!$F$93/100*Inputs!$F$94/100)*BK70*Time!BK20/365</f>
        <v/>
      </c>
      <c r="BL115" s="11">
        <f>(Inputs!$F$93/100*Inputs!$F$94/100)*BL70*Time!BL20/365</f>
        <v/>
      </c>
      <c r="BM115" s="11">
        <f>(Inputs!$F$93/100*Inputs!$F$94/100)*BM70*Time!BM20/365</f>
        <v/>
      </c>
      <c r="BN115" s="11">
        <f>(Inputs!$F$93/100*Inputs!$F$94/100)*BN70*Time!BN20/365</f>
        <v/>
      </c>
    </row>
    <row r="116">
      <c r="D116" t="inlineStr">
        <is>
          <t>ABDB PCG fee (bond)</t>
        </is>
      </c>
      <c r="E116" t="inlineStr">
        <is>
          <t>USD m</t>
        </is>
      </c>
      <c r="G116" s="11">
        <f>SUM(J116:BN116)</f>
        <v/>
      </c>
      <c r="J116" s="11">
        <f>0</f>
        <v/>
      </c>
      <c r="K116" s="11">
        <f>0</f>
        <v/>
      </c>
      <c r="L116" s="11">
        <f>0</f>
        <v/>
      </c>
      <c r="M116" s="11">
        <f>0</f>
        <v/>
      </c>
      <c r="N116" s="11">
        <f>0</f>
        <v/>
      </c>
      <c r="O116" s="11">
        <f>0</f>
        <v/>
      </c>
      <c r="P116" s="11">
        <f>0</f>
        <v/>
      </c>
      <c r="Q116" s="11">
        <f>0</f>
        <v/>
      </c>
      <c r="R116" s="11">
        <f>0</f>
        <v/>
      </c>
      <c r="S116" s="11">
        <f>0</f>
        <v/>
      </c>
      <c r="T116" s="11">
        <f>0</f>
        <v/>
      </c>
      <c r="U116" s="11">
        <f>0</f>
        <v/>
      </c>
      <c r="V116" s="11">
        <f>0</f>
        <v/>
      </c>
      <c r="W116" s="11">
        <f>IF($F$109&gt;0,Inputs!$F$197/100*0.5*W100*Inputs!$F$196/$F$109,0)</f>
        <v/>
      </c>
      <c r="X116" s="11">
        <f>IF($F$109&gt;0,Inputs!$F$197/100*0.5*X100*Inputs!$F$196/$F$109,0)</f>
        <v/>
      </c>
      <c r="Y116" s="11">
        <f>IF($F$109&gt;0,Inputs!$F$197/100*0.5*Y100*Inputs!$F$196/$F$109,0)</f>
        <v/>
      </c>
      <c r="Z116" s="11">
        <f>IF($F$109&gt;0,Inputs!$F$197/100*0.5*Z100*Inputs!$F$196/$F$109,0)</f>
        <v/>
      </c>
      <c r="AA116" s="11">
        <f>IF($F$109&gt;0,Inputs!$F$197/100*0.5*AA100*Inputs!$F$196/$F$109,0)</f>
        <v/>
      </c>
      <c r="AB116" s="11">
        <f>IF($F$109&gt;0,Inputs!$F$197/100*0.5*AB100*Inputs!$F$196/$F$109,0)</f>
        <v/>
      </c>
      <c r="AC116" s="11">
        <f>IF($F$109&gt;0,Inputs!$F$197/100*0.5*AC100*Inputs!$F$196/$F$109,0)</f>
        <v/>
      </c>
      <c r="AD116" s="11">
        <f>IF($F$109&gt;0,Inputs!$F$197/100*0.5*AD100*Inputs!$F$196/$F$109,0)</f>
        <v/>
      </c>
      <c r="AE116" s="11">
        <f>IF($F$109&gt;0,Inputs!$F$197/100*0.5*AE100*Inputs!$F$196/$F$109,0)</f>
        <v/>
      </c>
      <c r="AF116" s="11">
        <f>IF($F$109&gt;0,Inputs!$F$197/100*0.5*AF100*Inputs!$F$196/$F$109,0)</f>
        <v/>
      </c>
      <c r="AG116" s="11">
        <f>IF($F$109&gt;0,Inputs!$F$197/100*0.5*AG100*Inputs!$F$196/$F$109,0)</f>
        <v/>
      </c>
      <c r="AH116" s="11">
        <f>IF($F$109&gt;0,Inputs!$F$197/100*0.5*AH100*Inputs!$F$196/$F$109,0)</f>
        <v/>
      </c>
      <c r="AI116" s="11">
        <f>IF($F$109&gt;0,Inputs!$F$197/100*0.5*AI100*Inputs!$F$196/$F$109,0)</f>
        <v/>
      </c>
      <c r="AJ116" s="11">
        <f>IF($F$109&gt;0,Inputs!$F$197/100*0.5*AJ100*Inputs!$F$196/$F$109,0)</f>
        <v/>
      </c>
      <c r="AK116" s="11">
        <f>IF($F$109&gt;0,Inputs!$F$197/100*0.5*AK100*Inputs!$F$196/$F$109,0)</f>
        <v/>
      </c>
      <c r="AL116" s="11">
        <f>IF($F$109&gt;0,Inputs!$F$197/100*0.5*AL100*Inputs!$F$196/$F$109,0)</f>
        <v/>
      </c>
      <c r="AM116" s="11">
        <f>IF($F$109&gt;0,Inputs!$F$197/100*0.5*AM100*Inputs!$F$196/$F$109,0)</f>
        <v/>
      </c>
      <c r="AN116" s="11">
        <f>IF($F$109&gt;0,Inputs!$F$197/100*0.5*AN100*Inputs!$F$196/$F$109,0)</f>
        <v/>
      </c>
      <c r="AO116" s="11">
        <f>IF($F$109&gt;0,Inputs!$F$197/100*0.5*AO100*Inputs!$F$196/$F$109,0)</f>
        <v/>
      </c>
      <c r="AP116" s="11">
        <f>IF($F$109&gt;0,Inputs!$F$197/100*0.5*AP100*Inputs!$F$196/$F$109,0)</f>
        <v/>
      </c>
      <c r="AQ116" s="11">
        <f>IF($F$109&gt;0,Inputs!$F$197/100*0.5*AQ100*Inputs!$F$196/$F$109,0)</f>
        <v/>
      </c>
      <c r="AR116" s="11">
        <f>IF($F$109&gt;0,Inputs!$F$197/100*0.5*AR100*Inputs!$F$196/$F$109,0)</f>
        <v/>
      </c>
      <c r="AS116" s="11">
        <f>IF($F$109&gt;0,Inputs!$F$197/100*0.5*AS100*Inputs!$F$196/$F$109,0)</f>
        <v/>
      </c>
      <c r="AT116" s="11">
        <f>IF($F$109&gt;0,Inputs!$F$197/100*0.5*AT100*Inputs!$F$196/$F$109,0)</f>
        <v/>
      </c>
      <c r="AU116" s="11">
        <f>IF($F$109&gt;0,Inputs!$F$197/100*0.5*AU100*Inputs!$F$196/$F$109,0)</f>
        <v/>
      </c>
      <c r="AV116" s="11">
        <f>IF($F$109&gt;0,Inputs!$F$197/100*0.5*AV100*Inputs!$F$196/$F$109,0)</f>
        <v/>
      </c>
      <c r="AW116" s="11">
        <f>IF($F$109&gt;0,Inputs!$F$197/100*0.5*AW100*Inputs!$F$196/$F$109,0)</f>
        <v/>
      </c>
      <c r="AX116" s="11">
        <f>IF($F$109&gt;0,Inputs!$F$197/100*0.5*AX100*Inputs!$F$196/$F$109,0)</f>
        <v/>
      </c>
      <c r="AY116" s="11">
        <f>IF($F$109&gt;0,Inputs!$F$197/100*0.5*AY100*Inputs!$F$196/$F$109,0)</f>
        <v/>
      </c>
      <c r="AZ116" s="11">
        <f>IF($F$109&gt;0,Inputs!$F$197/100*0.5*AZ100*Inputs!$F$196/$F$109,0)</f>
        <v/>
      </c>
      <c r="BA116" s="11">
        <f>IF($F$109&gt;0,Inputs!$F$197/100*0.5*BA100*Inputs!$F$196/$F$109,0)</f>
        <v/>
      </c>
      <c r="BB116" s="11">
        <f>IF($F$109&gt;0,Inputs!$F$197/100*0.5*BB100*Inputs!$F$196/$F$109,0)</f>
        <v/>
      </c>
      <c r="BC116" s="11">
        <f>IF($F$109&gt;0,Inputs!$F$197/100*0.5*BC100*Inputs!$F$196/$F$109,0)</f>
        <v/>
      </c>
      <c r="BD116" s="11">
        <f>IF($F$109&gt;0,Inputs!$F$197/100*0.5*BD100*Inputs!$F$196/$F$109,0)</f>
        <v/>
      </c>
      <c r="BE116" s="11">
        <f>IF($F$109&gt;0,Inputs!$F$197/100*0.5*BE100*Inputs!$F$196/$F$109,0)</f>
        <v/>
      </c>
      <c r="BF116" s="11">
        <f>IF($F$109&gt;0,Inputs!$F$197/100*0.5*BF100*Inputs!$F$196/$F$109,0)</f>
        <v/>
      </c>
      <c r="BG116" s="11">
        <f>IF($F$109&gt;0,Inputs!$F$197/100*0.5*BG100*Inputs!$F$196/$F$109,0)</f>
        <v/>
      </c>
      <c r="BH116" s="11">
        <f>IF($F$109&gt;0,Inputs!$F$197/100*0.5*BH100*Inputs!$F$196/$F$109,0)</f>
        <v/>
      </c>
      <c r="BI116" s="11">
        <f>IF($F$109&gt;0,Inputs!$F$197/100*0.5*BI100*Inputs!$F$196/$F$109,0)</f>
        <v/>
      </c>
      <c r="BJ116" s="11">
        <f>IF($F$109&gt;0,Inputs!$F$197/100*0.5*BJ100*Inputs!$F$196/$F$109,0)</f>
        <v/>
      </c>
      <c r="BK116" s="11">
        <f>IF($F$109&gt;0,Inputs!$F$197/100*0.5*BK100*Inputs!$F$196/$F$109,0)</f>
        <v/>
      </c>
      <c r="BL116" s="11">
        <f>IF($F$109&gt;0,Inputs!$F$197/100*0.5*BL100*Inputs!$F$196/$F$109,0)</f>
        <v/>
      </c>
      <c r="BM116" s="11">
        <f>IF($F$109&gt;0,Inputs!$F$197/100*0.5*BM100*Inputs!$F$196/$F$109,0)</f>
        <v/>
      </c>
      <c r="BN116" s="11">
        <f>IF($F$109&gt;0,Inputs!$F$197/100*0.5*BN100*Inputs!$F$196/$F$109,0)</f>
        <v/>
      </c>
    </row>
    <row r="117">
      <c r="D117" t="inlineStr">
        <is>
          <t>Waiver fee</t>
        </is>
      </c>
      <c r="E117" t="inlineStr">
        <is>
          <t>USD m</t>
        </is>
      </c>
      <c r="G117" s="11">
        <f>SUM(J117:BN117)</f>
        <v/>
      </c>
      <c r="J117" s="11">
        <f>J21*Inputs!$F$189/100*(J25+J40+J55+J70+J85)</f>
        <v/>
      </c>
      <c r="K117" s="11">
        <f>K21*Inputs!$F$189/100*(K25+K40+K55+K70+K85)</f>
        <v/>
      </c>
      <c r="L117" s="11">
        <f>L21*Inputs!$F$189/100*(L25+L40+L55+L70+L85)</f>
        <v/>
      </c>
      <c r="M117" s="11">
        <f>M21*Inputs!$F$189/100*(M25+M40+M55+M70+M85)</f>
        <v/>
      </c>
      <c r="N117" s="11">
        <f>N21*Inputs!$F$189/100*(N25+N40+N55+N70+N85)</f>
        <v/>
      </c>
      <c r="O117" s="11">
        <f>O21*Inputs!$F$189/100*(O25+O40+O55+O70+O85)</f>
        <v/>
      </c>
      <c r="P117" s="11">
        <f>P21*Inputs!$F$189/100*(P25+P40+P55+P70+P85)</f>
        <v/>
      </c>
      <c r="Q117" s="11">
        <f>Q21*Inputs!$F$189/100*(Q25+Q40+Q55+Q70+Q85)</f>
        <v/>
      </c>
      <c r="R117" s="11">
        <f>R21*Inputs!$F$189/100*(R25+R40+R55+R70+R85)</f>
        <v/>
      </c>
      <c r="S117" s="11">
        <f>S21*Inputs!$F$189/100*(S25+S40+S55+S70+S85)</f>
        <v/>
      </c>
      <c r="T117" s="11">
        <f>T21*Inputs!$F$189/100*(T25+T40+T55+T70+T85)</f>
        <v/>
      </c>
      <c r="U117" s="11">
        <f>U21*Inputs!$F$189/100*(U25+U40+U55+U70+U85)</f>
        <v/>
      </c>
      <c r="V117" s="11">
        <f>V21*Inputs!$F$189/100*(V25+V40+V55+V70+V85)</f>
        <v/>
      </c>
      <c r="W117" s="11">
        <f>W21*Inputs!$F$189/100*(W25+W40+W55+W70+W85)</f>
        <v/>
      </c>
      <c r="X117" s="11">
        <f>X21*Inputs!$F$189/100*(X25+X40+X55+X70+X85)</f>
        <v/>
      </c>
      <c r="Y117" s="11">
        <f>Y21*Inputs!$F$189/100*(Y25+Y40+Y55+Y70+Y85)</f>
        <v/>
      </c>
      <c r="Z117" s="11">
        <f>Z21*Inputs!$F$189/100*(Z25+Z40+Z55+Z70+Z85)</f>
        <v/>
      </c>
      <c r="AA117" s="11">
        <f>AA21*Inputs!$F$189/100*(AA25+AA40+AA55+AA70+AA85)</f>
        <v/>
      </c>
      <c r="AB117" s="11">
        <f>AB21*Inputs!$F$189/100*(AB25+AB40+AB55+AB70+AB85)</f>
        <v/>
      </c>
      <c r="AC117" s="11">
        <f>AC21*Inputs!$F$189/100*(AC25+AC40+AC55+AC70+AC85)</f>
        <v/>
      </c>
      <c r="AD117" s="11">
        <f>AD21*Inputs!$F$189/100*(AD25+AD40+AD55+AD70+AD85)</f>
        <v/>
      </c>
      <c r="AE117" s="11">
        <f>AE21*Inputs!$F$189/100*(AE25+AE40+AE55+AE70+AE85)</f>
        <v/>
      </c>
      <c r="AF117" s="11">
        <f>AF21*Inputs!$F$189/100*(AF25+AF40+AF55+AF70+AF85)</f>
        <v/>
      </c>
      <c r="AG117" s="11">
        <f>AG21*Inputs!$F$189/100*(AG25+AG40+AG55+AG70+AG85)</f>
        <v/>
      </c>
      <c r="AH117" s="11">
        <f>AH21*Inputs!$F$189/100*(AH25+AH40+AH55+AH70+AH85)</f>
        <v/>
      </c>
      <c r="AI117" s="11">
        <f>AI21*Inputs!$F$189/100*(AI25+AI40+AI55+AI70+AI85)</f>
        <v/>
      </c>
      <c r="AJ117" s="11">
        <f>AJ21*Inputs!$F$189/100*(AJ25+AJ40+AJ55+AJ70+AJ85)</f>
        <v/>
      </c>
      <c r="AK117" s="11">
        <f>AK21*Inputs!$F$189/100*(AK25+AK40+AK55+AK70+AK85)</f>
        <v/>
      </c>
      <c r="AL117" s="11">
        <f>AL21*Inputs!$F$189/100*(AL25+AL40+AL55+AL70+AL85)</f>
        <v/>
      </c>
      <c r="AM117" s="11">
        <f>AM21*Inputs!$F$189/100*(AM25+AM40+AM55+AM70+AM85)</f>
        <v/>
      </c>
      <c r="AN117" s="11">
        <f>AN21*Inputs!$F$189/100*(AN25+AN40+AN55+AN70+AN85)</f>
        <v/>
      </c>
      <c r="AO117" s="11">
        <f>AO21*Inputs!$F$189/100*(AO25+AO40+AO55+AO70+AO85)</f>
        <v/>
      </c>
      <c r="AP117" s="11">
        <f>AP21*Inputs!$F$189/100*(AP25+AP40+AP55+AP70+AP85)</f>
        <v/>
      </c>
      <c r="AQ117" s="11">
        <f>AQ21*Inputs!$F$189/100*(AQ25+AQ40+AQ55+AQ70+AQ85)</f>
        <v/>
      </c>
      <c r="AR117" s="11">
        <f>AR21*Inputs!$F$189/100*(AR25+AR40+AR55+AR70+AR85)</f>
        <v/>
      </c>
      <c r="AS117" s="11">
        <f>AS21*Inputs!$F$189/100*(AS25+AS40+AS55+AS70+AS85)</f>
        <v/>
      </c>
      <c r="AT117" s="11">
        <f>AT21*Inputs!$F$189/100*(AT25+AT40+AT55+AT70+AT85)</f>
        <v/>
      </c>
      <c r="AU117" s="11">
        <f>AU21*Inputs!$F$189/100*(AU25+AU40+AU55+AU70+AU85)</f>
        <v/>
      </c>
      <c r="AV117" s="11">
        <f>AV21*Inputs!$F$189/100*(AV25+AV40+AV55+AV70+AV85)</f>
        <v/>
      </c>
      <c r="AW117" s="11">
        <f>AW21*Inputs!$F$189/100*(AW25+AW40+AW55+AW70+AW85)</f>
        <v/>
      </c>
      <c r="AX117" s="11">
        <f>AX21*Inputs!$F$189/100*(AX25+AX40+AX55+AX70+AX85)</f>
        <v/>
      </c>
      <c r="AY117" s="11">
        <f>AY21*Inputs!$F$189/100*(AY25+AY40+AY55+AY70+AY85)</f>
        <v/>
      </c>
      <c r="AZ117" s="11">
        <f>AZ21*Inputs!$F$189/100*(AZ25+AZ40+AZ55+AZ70+AZ85)</f>
        <v/>
      </c>
      <c r="BA117" s="11">
        <f>BA21*Inputs!$F$189/100*(BA25+BA40+BA55+BA70+BA85)</f>
        <v/>
      </c>
      <c r="BB117" s="11">
        <f>BB21*Inputs!$F$189/100*(BB25+BB40+BB55+BB70+BB85)</f>
        <v/>
      </c>
      <c r="BC117" s="11">
        <f>BC21*Inputs!$F$189/100*(BC25+BC40+BC55+BC70+BC85)</f>
        <v/>
      </c>
      <c r="BD117" s="11">
        <f>BD21*Inputs!$F$189/100*(BD25+BD40+BD55+BD70+BD85)</f>
        <v/>
      </c>
      <c r="BE117" s="11">
        <f>BE21*Inputs!$F$189/100*(BE25+BE40+BE55+BE70+BE85)</f>
        <v/>
      </c>
      <c r="BF117" s="11">
        <f>BF21*Inputs!$F$189/100*(BF25+BF40+BF55+BF70+BF85)</f>
        <v/>
      </c>
      <c r="BG117" s="11">
        <f>BG21*Inputs!$F$189/100*(BG25+BG40+BG55+BG70+BG85)</f>
        <v/>
      </c>
      <c r="BH117" s="11">
        <f>BH21*Inputs!$F$189/100*(BH25+BH40+BH55+BH70+BH85)</f>
        <v/>
      </c>
      <c r="BI117" s="11">
        <f>BI21*Inputs!$F$189/100*(BI25+BI40+BI55+BI70+BI85)</f>
        <v/>
      </c>
      <c r="BJ117" s="11">
        <f>BJ21*Inputs!$F$189/100*(BJ25+BJ40+BJ55+BJ70+BJ85)</f>
        <v/>
      </c>
      <c r="BK117" s="11">
        <f>BK21*Inputs!$F$189/100*(BK25+BK40+BK55+BK70+BK85)</f>
        <v/>
      </c>
      <c r="BL117" s="11">
        <f>BL21*Inputs!$F$189/100*(BL25+BL40+BL55+BL70+BL85)</f>
        <v/>
      </c>
      <c r="BM117" s="11">
        <f>BM21*Inputs!$F$189/100*(BM25+BM40+BM55+BM70+BM85)</f>
        <v/>
      </c>
      <c r="BN117" s="11">
        <f>BN21*Inputs!$F$189/100*(BN25+BN40+BN55+BN70+BN85)</f>
        <v/>
      </c>
    </row>
    <row r="118">
      <c r="D118" t="inlineStr">
        <is>
          <t>Interest, all tranches</t>
        </is>
      </c>
      <c r="E118" t="inlineStr">
        <is>
          <t>USD m</t>
        </is>
      </c>
      <c r="G118" s="11">
        <f>SUM(J118:BN118)</f>
        <v/>
      </c>
      <c r="J118" s="11">
        <f>J27+J42+J57+J72+J87+J101</f>
        <v/>
      </c>
      <c r="K118" s="11">
        <f>K27+K42+K57+K72+K87+K101</f>
        <v/>
      </c>
      <c r="L118" s="11">
        <f>L27+L42+L57+L72+L87+L101</f>
        <v/>
      </c>
      <c r="M118" s="11">
        <f>M27+M42+M57+M72+M87+M101</f>
        <v/>
      </c>
      <c r="N118" s="11">
        <f>N27+N42+N57+N72+N87+N101</f>
        <v/>
      </c>
      <c r="O118" s="11">
        <f>O27+O42+O57+O72+O87+O101</f>
        <v/>
      </c>
      <c r="P118" s="11">
        <f>P27+P42+P57+P72+P87+P101</f>
        <v/>
      </c>
      <c r="Q118" s="11">
        <f>Q27+Q42+Q57+Q72+Q87+Q101</f>
        <v/>
      </c>
      <c r="R118" s="11">
        <f>R27+R42+R57+R72+R87+R101</f>
        <v/>
      </c>
      <c r="S118" s="11">
        <f>S27+S42+S57+S72+S87+S101</f>
        <v/>
      </c>
      <c r="T118" s="11">
        <f>T27+T42+T57+T72+T87+T101</f>
        <v/>
      </c>
      <c r="U118" s="11">
        <f>U27+U42+U57+U72+U87+U101</f>
        <v/>
      </c>
      <c r="V118" s="11">
        <f>V27+V42+V57+V72+V87+V101</f>
        <v/>
      </c>
      <c r="W118" s="11">
        <f>W27+W42+W57+W72+W87+W101</f>
        <v/>
      </c>
      <c r="X118" s="11">
        <f>X27+X42+X57+X72+X87+X101</f>
        <v/>
      </c>
      <c r="Y118" s="11">
        <f>Y27+Y42+Y57+Y72+Y87+Y101</f>
        <v/>
      </c>
      <c r="Z118" s="11">
        <f>Z27+Z42+Z57+Z72+Z87+Z101</f>
        <v/>
      </c>
      <c r="AA118" s="11">
        <f>AA27+AA42+AA57+AA72+AA87+AA101</f>
        <v/>
      </c>
      <c r="AB118" s="11">
        <f>AB27+AB42+AB57+AB72+AB87+AB101</f>
        <v/>
      </c>
      <c r="AC118" s="11">
        <f>AC27+AC42+AC57+AC72+AC87+AC101</f>
        <v/>
      </c>
      <c r="AD118" s="11">
        <f>AD27+AD42+AD57+AD72+AD87+AD101</f>
        <v/>
      </c>
      <c r="AE118" s="11">
        <f>AE27+AE42+AE57+AE72+AE87+AE101</f>
        <v/>
      </c>
      <c r="AF118" s="11">
        <f>AF27+AF42+AF57+AF72+AF87+AF101</f>
        <v/>
      </c>
      <c r="AG118" s="11">
        <f>AG27+AG42+AG57+AG72+AG87+AG101</f>
        <v/>
      </c>
      <c r="AH118" s="11">
        <f>AH27+AH42+AH57+AH72+AH87+AH101</f>
        <v/>
      </c>
      <c r="AI118" s="11">
        <f>AI27+AI42+AI57+AI72+AI87+AI101</f>
        <v/>
      </c>
      <c r="AJ118" s="11">
        <f>AJ27+AJ42+AJ57+AJ72+AJ87+AJ101</f>
        <v/>
      </c>
      <c r="AK118" s="11">
        <f>AK27+AK42+AK57+AK72+AK87+AK101</f>
        <v/>
      </c>
      <c r="AL118" s="11">
        <f>AL27+AL42+AL57+AL72+AL87+AL101</f>
        <v/>
      </c>
      <c r="AM118" s="11">
        <f>AM27+AM42+AM57+AM72+AM87+AM101</f>
        <v/>
      </c>
      <c r="AN118" s="11">
        <f>AN27+AN42+AN57+AN72+AN87+AN101</f>
        <v/>
      </c>
      <c r="AO118" s="11">
        <f>AO27+AO42+AO57+AO72+AO87+AO101</f>
        <v/>
      </c>
      <c r="AP118" s="11">
        <f>AP27+AP42+AP57+AP72+AP87+AP101</f>
        <v/>
      </c>
      <c r="AQ118" s="11">
        <f>AQ27+AQ42+AQ57+AQ72+AQ87+AQ101</f>
        <v/>
      </c>
      <c r="AR118" s="11">
        <f>AR27+AR42+AR57+AR72+AR87+AR101</f>
        <v/>
      </c>
      <c r="AS118" s="11">
        <f>AS27+AS42+AS57+AS72+AS87+AS101</f>
        <v/>
      </c>
      <c r="AT118" s="11">
        <f>AT27+AT42+AT57+AT72+AT87+AT101</f>
        <v/>
      </c>
      <c r="AU118" s="11">
        <f>AU27+AU42+AU57+AU72+AU87+AU101</f>
        <v/>
      </c>
      <c r="AV118" s="11">
        <f>AV27+AV42+AV57+AV72+AV87+AV101</f>
        <v/>
      </c>
      <c r="AW118" s="11">
        <f>AW27+AW42+AW57+AW72+AW87+AW101</f>
        <v/>
      </c>
      <c r="AX118" s="11">
        <f>AX27+AX42+AX57+AX72+AX87+AX101</f>
        <v/>
      </c>
      <c r="AY118" s="11">
        <f>AY27+AY42+AY57+AY72+AY87+AY101</f>
        <v/>
      </c>
      <c r="AZ118" s="11">
        <f>AZ27+AZ42+AZ57+AZ72+AZ87+AZ101</f>
        <v/>
      </c>
      <c r="BA118" s="11">
        <f>BA27+BA42+BA57+BA72+BA87+BA101</f>
        <v/>
      </c>
      <c r="BB118" s="11">
        <f>BB27+BB42+BB57+BB72+BB87+BB101</f>
        <v/>
      </c>
      <c r="BC118" s="11">
        <f>BC27+BC42+BC57+BC72+BC87+BC101</f>
        <v/>
      </c>
      <c r="BD118" s="11">
        <f>BD27+BD42+BD57+BD72+BD87+BD101</f>
        <v/>
      </c>
      <c r="BE118" s="11">
        <f>BE27+BE42+BE57+BE72+BE87+BE101</f>
        <v/>
      </c>
      <c r="BF118" s="11">
        <f>BF27+BF42+BF57+BF72+BF87+BF101</f>
        <v/>
      </c>
      <c r="BG118" s="11">
        <f>BG27+BG42+BG57+BG72+BG87+BG101</f>
        <v/>
      </c>
      <c r="BH118" s="11">
        <f>BH27+BH42+BH57+BH72+BH87+BH101</f>
        <v/>
      </c>
      <c r="BI118" s="11">
        <f>BI27+BI42+BI57+BI72+BI87+BI101</f>
        <v/>
      </c>
      <c r="BJ118" s="11">
        <f>BJ27+BJ42+BJ57+BJ72+BJ87+BJ101</f>
        <v/>
      </c>
      <c r="BK118" s="11">
        <f>BK27+BK42+BK57+BK72+BK87+BK101</f>
        <v/>
      </c>
      <c r="BL118" s="11">
        <f>BL27+BL42+BL57+BL72+BL87+BL101</f>
        <v/>
      </c>
      <c r="BM118" s="11">
        <f>BM27+BM42+BM57+BM72+BM87+BM101</f>
        <v/>
      </c>
      <c r="BN118" s="11">
        <f>BN27+BN42+BN57+BN72+BN87+BN101</f>
        <v/>
      </c>
    </row>
    <row r="119">
      <c r="D119" t="inlineStr">
        <is>
          <t>Senior financing costs (interest, swap, PRI, PCG)</t>
        </is>
      </c>
      <c r="E119" t="inlineStr">
        <is>
          <t>USD m</t>
        </is>
      </c>
      <c r="G119" s="11">
        <f>SUM(J119:BN119)</f>
        <v/>
      </c>
      <c r="J119" s="11">
        <f>J118+J114+J115+J116</f>
        <v/>
      </c>
      <c r="K119" s="11">
        <f>K118+K114+K115+K116</f>
        <v/>
      </c>
      <c r="L119" s="11">
        <f>L118+L114+L115+L116</f>
        <v/>
      </c>
      <c r="M119" s="11">
        <f>M118+M114+M115+M116</f>
        <v/>
      </c>
      <c r="N119" s="11">
        <f>N118+N114+N115+N116</f>
        <v/>
      </c>
      <c r="O119" s="11">
        <f>O118+O114+O115+O116</f>
        <v/>
      </c>
      <c r="P119" s="11">
        <f>P118+P114+P115+P116</f>
        <v/>
      </c>
      <c r="Q119" s="11">
        <f>Q118+Q114+Q115+Q116</f>
        <v/>
      </c>
      <c r="R119" s="11">
        <f>R118+R114+R115+R116</f>
        <v/>
      </c>
      <c r="S119" s="11">
        <f>S118+S114+S115+S116</f>
        <v/>
      </c>
      <c r="T119" s="11">
        <f>T118+T114+T115+T116</f>
        <v/>
      </c>
      <c r="U119" s="11">
        <f>U118+U114+U115+U116</f>
        <v/>
      </c>
      <c r="V119" s="11">
        <f>V118+V114+V115+V116</f>
        <v/>
      </c>
      <c r="W119" s="11">
        <f>W118+W114+W115+W116</f>
        <v/>
      </c>
      <c r="X119" s="11">
        <f>X118+X114+X115+X116</f>
        <v/>
      </c>
      <c r="Y119" s="11">
        <f>Y118+Y114+Y115+Y116</f>
        <v/>
      </c>
      <c r="Z119" s="11">
        <f>Z118+Z114+Z115+Z116</f>
        <v/>
      </c>
      <c r="AA119" s="11">
        <f>AA118+AA114+AA115+AA116</f>
        <v/>
      </c>
      <c r="AB119" s="11">
        <f>AB118+AB114+AB115+AB116</f>
        <v/>
      </c>
      <c r="AC119" s="11">
        <f>AC118+AC114+AC115+AC116</f>
        <v/>
      </c>
      <c r="AD119" s="11">
        <f>AD118+AD114+AD115+AD116</f>
        <v/>
      </c>
      <c r="AE119" s="11">
        <f>AE118+AE114+AE115+AE116</f>
        <v/>
      </c>
      <c r="AF119" s="11">
        <f>AF118+AF114+AF115+AF116</f>
        <v/>
      </c>
      <c r="AG119" s="11">
        <f>AG118+AG114+AG115+AG116</f>
        <v/>
      </c>
      <c r="AH119" s="11">
        <f>AH118+AH114+AH115+AH116</f>
        <v/>
      </c>
      <c r="AI119" s="11">
        <f>AI118+AI114+AI115+AI116</f>
        <v/>
      </c>
      <c r="AJ119" s="11">
        <f>AJ118+AJ114+AJ115+AJ116</f>
        <v/>
      </c>
      <c r="AK119" s="11">
        <f>AK118+AK114+AK115+AK116</f>
        <v/>
      </c>
      <c r="AL119" s="11">
        <f>AL118+AL114+AL115+AL116</f>
        <v/>
      </c>
      <c r="AM119" s="11">
        <f>AM118+AM114+AM115+AM116</f>
        <v/>
      </c>
      <c r="AN119" s="11">
        <f>AN118+AN114+AN115+AN116</f>
        <v/>
      </c>
      <c r="AO119" s="11">
        <f>AO118+AO114+AO115+AO116</f>
        <v/>
      </c>
      <c r="AP119" s="11">
        <f>AP118+AP114+AP115+AP116</f>
        <v/>
      </c>
      <c r="AQ119" s="11">
        <f>AQ118+AQ114+AQ115+AQ116</f>
        <v/>
      </c>
      <c r="AR119" s="11">
        <f>AR118+AR114+AR115+AR116</f>
        <v/>
      </c>
      <c r="AS119" s="11">
        <f>AS118+AS114+AS115+AS116</f>
        <v/>
      </c>
      <c r="AT119" s="11">
        <f>AT118+AT114+AT115+AT116</f>
        <v/>
      </c>
      <c r="AU119" s="11">
        <f>AU118+AU114+AU115+AU116</f>
        <v/>
      </c>
      <c r="AV119" s="11">
        <f>AV118+AV114+AV115+AV116</f>
        <v/>
      </c>
      <c r="AW119" s="11">
        <f>AW118+AW114+AW115+AW116</f>
        <v/>
      </c>
      <c r="AX119" s="11">
        <f>AX118+AX114+AX115+AX116</f>
        <v/>
      </c>
      <c r="AY119" s="11">
        <f>AY118+AY114+AY115+AY116</f>
        <v/>
      </c>
      <c r="AZ119" s="11">
        <f>AZ118+AZ114+AZ115+AZ116</f>
        <v/>
      </c>
      <c r="BA119" s="11">
        <f>BA118+BA114+BA115+BA116</f>
        <v/>
      </c>
      <c r="BB119" s="11">
        <f>BB118+BB114+BB115+BB116</f>
        <v/>
      </c>
      <c r="BC119" s="11">
        <f>BC118+BC114+BC115+BC116</f>
        <v/>
      </c>
      <c r="BD119" s="11">
        <f>BD118+BD114+BD115+BD116</f>
        <v/>
      </c>
      <c r="BE119" s="11">
        <f>BE118+BE114+BE115+BE116</f>
        <v/>
      </c>
      <c r="BF119" s="11">
        <f>BF118+BF114+BF115+BF116</f>
        <v/>
      </c>
      <c r="BG119" s="11">
        <f>BG118+BG114+BG115+BG116</f>
        <v/>
      </c>
      <c r="BH119" s="11">
        <f>BH118+BH114+BH115+BH116</f>
        <v/>
      </c>
      <c r="BI119" s="11">
        <f>BI118+BI114+BI115+BI116</f>
        <v/>
      </c>
      <c r="BJ119" s="11">
        <f>BJ118+BJ114+BJ115+BJ116</f>
        <v/>
      </c>
      <c r="BK119" s="11">
        <f>BK118+BK114+BK115+BK116</f>
        <v/>
      </c>
      <c r="BL119" s="11">
        <f>BL118+BL114+BL115+BL116</f>
        <v/>
      </c>
      <c r="BM119" s="11">
        <f>BM118+BM114+BM115+BM116</f>
        <v/>
      </c>
      <c r="BN119" s="11">
        <f>BN118+BN114+BN115+BN116</f>
        <v/>
      </c>
    </row>
    <row r="120">
      <c r="D120" t="inlineStr">
        <is>
          <t>Principal paid, all tranches</t>
        </is>
      </c>
      <c r="E120" t="inlineStr">
        <is>
          <t>USD m</t>
        </is>
      </c>
      <c r="G120" s="11">
        <f>SUM(J120:BN120)</f>
        <v/>
      </c>
      <c r="J120" s="11">
        <f>J32+J47+J62+J77+J92+J102</f>
        <v/>
      </c>
      <c r="K120" s="11">
        <f>K32+K47+K62+K77+K92+K102</f>
        <v/>
      </c>
      <c r="L120" s="11">
        <f>L32+L47+L62+L77+L92+L102</f>
        <v/>
      </c>
      <c r="M120" s="11">
        <f>M32+M47+M62+M77+M92+M102</f>
        <v/>
      </c>
      <c r="N120" s="11">
        <f>N32+N47+N62+N77+N92+N102</f>
        <v/>
      </c>
      <c r="O120" s="11">
        <f>O32+O47+O62+O77+O92+O102</f>
        <v/>
      </c>
      <c r="P120" s="11">
        <f>P32+P47+P62+P77+P92+P102</f>
        <v/>
      </c>
      <c r="Q120" s="11">
        <f>Q32+Q47+Q62+Q77+Q92+Q102</f>
        <v/>
      </c>
      <c r="R120" s="11">
        <f>R32+R47+R62+R77+R92+R102</f>
        <v/>
      </c>
      <c r="S120" s="11">
        <f>S32+S47+S62+S77+S92+S102</f>
        <v/>
      </c>
      <c r="T120" s="11">
        <f>T32+T47+T62+T77+T92+T102</f>
        <v/>
      </c>
      <c r="U120" s="11">
        <f>U32+U47+U62+U77+U92+U102</f>
        <v/>
      </c>
      <c r="V120" s="11">
        <f>V32+V47+V62+V77+V92+V102</f>
        <v/>
      </c>
      <c r="W120" s="11">
        <f>W32+W47+W62+W77+W92+W102</f>
        <v/>
      </c>
      <c r="X120" s="11">
        <f>X32+X47+X62+X77+X92+X102</f>
        <v/>
      </c>
      <c r="Y120" s="11">
        <f>Y32+Y47+Y62+Y77+Y92+Y102</f>
        <v/>
      </c>
      <c r="Z120" s="11">
        <f>Z32+Z47+Z62+Z77+Z92+Z102</f>
        <v/>
      </c>
      <c r="AA120" s="11">
        <f>AA32+AA47+AA62+AA77+AA92+AA102</f>
        <v/>
      </c>
      <c r="AB120" s="11">
        <f>AB32+AB47+AB62+AB77+AB92+AB102</f>
        <v/>
      </c>
      <c r="AC120" s="11">
        <f>AC32+AC47+AC62+AC77+AC92+AC102</f>
        <v/>
      </c>
      <c r="AD120" s="11">
        <f>AD32+AD47+AD62+AD77+AD92+AD102</f>
        <v/>
      </c>
      <c r="AE120" s="11">
        <f>AE32+AE47+AE62+AE77+AE92+AE102</f>
        <v/>
      </c>
      <c r="AF120" s="11">
        <f>AF32+AF47+AF62+AF77+AF92+AF102</f>
        <v/>
      </c>
      <c r="AG120" s="11">
        <f>AG32+AG47+AG62+AG77+AG92+AG102</f>
        <v/>
      </c>
      <c r="AH120" s="11">
        <f>AH32+AH47+AH62+AH77+AH92+AH102</f>
        <v/>
      </c>
      <c r="AI120" s="11">
        <f>AI32+AI47+AI62+AI77+AI92+AI102</f>
        <v/>
      </c>
      <c r="AJ120" s="11">
        <f>AJ32+AJ47+AJ62+AJ77+AJ92+AJ102</f>
        <v/>
      </c>
      <c r="AK120" s="11">
        <f>AK32+AK47+AK62+AK77+AK92+AK102</f>
        <v/>
      </c>
      <c r="AL120" s="11">
        <f>AL32+AL47+AL62+AL77+AL92+AL102</f>
        <v/>
      </c>
      <c r="AM120" s="11">
        <f>AM32+AM47+AM62+AM77+AM92+AM102</f>
        <v/>
      </c>
      <c r="AN120" s="11">
        <f>AN32+AN47+AN62+AN77+AN92+AN102</f>
        <v/>
      </c>
      <c r="AO120" s="11">
        <f>AO32+AO47+AO62+AO77+AO92+AO102</f>
        <v/>
      </c>
      <c r="AP120" s="11">
        <f>AP32+AP47+AP62+AP77+AP92+AP102</f>
        <v/>
      </c>
      <c r="AQ120" s="11">
        <f>AQ32+AQ47+AQ62+AQ77+AQ92+AQ102</f>
        <v/>
      </c>
      <c r="AR120" s="11">
        <f>AR32+AR47+AR62+AR77+AR92+AR102</f>
        <v/>
      </c>
      <c r="AS120" s="11">
        <f>AS32+AS47+AS62+AS77+AS92+AS102</f>
        <v/>
      </c>
      <c r="AT120" s="11">
        <f>AT32+AT47+AT62+AT77+AT92+AT102</f>
        <v/>
      </c>
      <c r="AU120" s="11">
        <f>AU32+AU47+AU62+AU77+AU92+AU102</f>
        <v/>
      </c>
      <c r="AV120" s="11">
        <f>AV32+AV47+AV62+AV77+AV92+AV102</f>
        <v/>
      </c>
      <c r="AW120" s="11">
        <f>AW32+AW47+AW62+AW77+AW92+AW102</f>
        <v/>
      </c>
      <c r="AX120" s="11">
        <f>AX32+AX47+AX62+AX77+AX92+AX102</f>
        <v/>
      </c>
      <c r="AY120" s="11">
        <f>AY32+AY47+AY62+AY77+AY92+AY102</f>
        <v/>
      </c>
      <c r="AZ120" s="11">
        <f>AZ32+AZ47+AZ62+AZ77+AZ92+AZ102</f>
        <v/>
      </c>
      <c r="BA120" s="11">
        <f>BA32+BA47+BA62+BA77+BA92+BA102</f>
        <v/>
      </c>
      <c r="BB120" s="11">
        <f>BB32+BB47+BB62+BB77+BB92+BB102</f>
        <v/>
      </c>
      <c r="BC120" s="11">
        <f>BC32+BC47+BC62+BC77+BC92+BC102</f>
        <v/>
      </c>
      <c r="BD120" s="11">
        <f>BD32+BD47+BD62+BD77+BD92+BD102</f>
        <v/>
      </c>
      <c r="BE120" s="11">
        <f>BE32+BE47+BE62+BE77+BE92+BE102</f>
        <v/>
      </c>
      <c r="BF120" s="11">
        <f>BF32+BF47+BF62+BF77+BF92+BF102</f>
        <v/>
      </c>
      <c r="BG120" s="11">
        <f>BG32+BG47+BG62+BG77+BG92+BG102</f>
        <v/>
      </c>
      <c r="BH120" s="11">
        <f>BH32+BH47+BH62+BH77+BH92+BH102</f>
        <v/>
      </c>
      <c r="BI120" s="11">
        <f>BI32+BI47+BI62+BI77+BI92+BI102</f>
        <v/>
      </c>
      <c r="BJ120" s="11">
        <f>BJ32+BJ47+BJ62+BJ77+BJ92+BJ102</f>
        <v/>
      </c>
      <c r="BK120" s="11">
        <f>BK32+BK47+BK62+BK77+BK92+BK102</f>
        <v/>
      </c>
      <c r="BL120" s="11">
        <f>BL32+BL47+BL62+BL77+BL92+BL102</f>
        <v/>
      </c>
      <c r="BM120" s="11">
        <f>BM32+BM47+BM62+BM77+BM92+BM102</f>
        <v/>
      </c>
      <c r="BN120" s="11">
        <f>BN32+BN47+BN62+BN77+BN92+BN102</f>
        <v/>
      </c>
    </row>
    <row r="121">
      <c r="D121" t="inlineStr">
        <is>
          <t>Senior debt service</t>
        </is>
      </c>
      <c r="E121" t="inlineStr">
        <is>
          <t>USD m</t>
        </is>
      </c>
      <c r="G121" s="11">
        <f>SUM(J121:BN121)</f>
        <v/>
      </c>
      <c r="J121" s="11">
        <f>J119+J120</f>
        <v/>
      </c>
      <c r="K121" s="11">
        <f>K119+K120</f>
        <v/>
      </c>
      <c r="L121" s="11">
        <f>L119+L120</f>
        <v/>
      </c>
      <c r="M121" s="11">
        <f>M119+M120</f>
        <v/>
      </c>
      <c r="N121" s="11">
        <f>N119+N120</f>
        <v/>
      </c>
      <c r="O121" s="11">
        <f>O119+O120</f>
        <v/>
      </c>
      <c r="P121" s="11">
        <f>P119+P120</f>
        <v/>
      </c>
      <c r="Q121" s="11">
        <f>Q119+Q120</f>
        <v/>
      </c>
      <c r="R121" s="11">
        <f>R119+R120</f>
        <v/>
      </c>
      <c r="S121" s="11">
        <f>S119+S120</f>
        <v/>
      </c>
      <c r="T121" s="11">
        <f>T119+T120</f>
        <v/>
      </c>
      <c r="U121" s="11">
        <f>U119+U120</f>
        <v/>
      </c>
      <c r="V121" s="11">
        <f>V119+V120</f>
        <v/>
      </c>
      <c r="W121" s="11">
        <f>W119+W120</f>
        <v/>
      </c>
      <c r="X121" s="11">
        <f>X119+X120</f>
        <v/>
      </c>
      <c r="Y121" s="11">
        <f>Y119+Y120</f>
        <v/>
      </c>
      <c r="Z121" s="11">
        <f>Z119+Z120</f>
        <v/>
      </c>
      <c r="AA121" s="11">
        <f>AA119+AA120</f>
        <v/>
      </c>
      <c r="AB121" s="11">
        <f>AB119+AB120</f>
        <v/>
      </c>
      <c r="AC121" s="11">
        <f>AC119+AC120</f>
        <v/>
      </c>
      <c r="AD121" s="11">
        <f>AD119+AD120</f>
        <v/>
      </c>
      <c r="AE121" s="11">
        <f>AE119+AE120</f>
        <v/>
      </c>
      <c r="AF121" s="11">
        <f>AF119+AF120</f>
        <v/>
      </c>
      <c r="AG121" s="11">
        <f>AG119+AG120</f>
        <v/>
      </c>
      <c r="AH121" s="11">
        <f>AH119+AH120</f>
        <v/>
      </c>
      <c r="AI121" s="11">
        <f>AI119+AI120</f>
        <v/>
      </c>
      <c r="AJ121" s="11">
        <f>AJ119+AJ120</f>
        <v/>
      </c>
      <c r="AK121" s="11">
        <f>AK119+AK120</f>
        <v/>
      </c>
      <c r="AL121" s="11">
        <f>AL119+AL120</f>
        <v/>
      </c>
      <c r="AM121" s="11">
        <f>AM119+AM120</f>
        <v/>
      </c>
      <c r="AN121" s="11">
        <f>AN119+AN120</f>
        <v/>
      </c>
      <c r="AO121" s="11">
        <f>AO119+AO120</f>
        <v/>
      </c>
      <c r="AP121" s="11">
        <f>AP119+AP120</f>
        <v/>
      </c>
      <c r="AQ121" s="11">
        <f>AQ119+AQ120</f>
        <v/>
      </c>
      <c r="AR121" s="11">
        <f>AR119+AR120</f>
        <v/>
      </c>
      <c r="AS121" s="11">
        <f>AS119+AS120</f>
        <v/>
      </c>
      <c r="AT121" s="11">
        <f>AT119+AT120</f>
        <v/>
      </c>
      <c r="AU121" s="11">
        <f>AU119+AU120</f>
        <v/>
      </c>
      <c r="AV121" s="11">
        <f>AV119+AV120</f>
        <v/>
      </c>
      <c r="AW121" s="11">
        <f>AW119+AW120</f>
        <v/>
      </c>
      <c r="AX121" s="11">
        <f>AX119+AX120</f>
        <v/>
      </c>
      <c r="AY121" s="11">
        <f>AY119+AY120</f>
        <v/>
      </c>
      <c r="AZ121" s="11">
        <f>AZ119+AZ120</f>
        <v/>
      </c>
      <c r="BA121" s="11">
        <f>BA119+BA120</f>
        <v/>
      </c>
      <c r="BB121" s="11">
        <f>BB119+BB120</f>
        <v/>
      </c>
      <c r="BC121" s="11">
        <f>BC119+BC120</f>
        <v/>
      </c>
      <c r="BD121" s="11">
        <f>BD119+BD120</f>
        <v/>
      </c>
      <c r="BE121" s="11">
        <f>BE119+BE120</f>
        <v/>
      </c>
      <c r="BF121" s="11">
        <f>BF119+BF120</f>
        <v/>
      </c>
      <c r="BG121" s="11">
        <f>BG119+BG120</f>
        <v/>
      </c>
      <c r="BH121" s="11">
        <f>BH119+BH120</f>
        <v/>
      </c>
      <c r="BI121" s="11">
        <f>BI119+BI120</f>
        <v/>
      </c>
      <c r="BJ121" s="11">
        <f>BJ119+BJ120</f>
        <v/>
      </c>
      <c r="BK121" s="11">
        <f>BK119+BK120</f>
        <v/>
      </c>
      <c r="BL121" s="11">
        <f>BL119+BL120</f>
        <v/>
      </c>
      <c r="BM121" s="11">
        <f>BM119+BM120</f>
        <v/>
      </c>
      <c r="BN121" s="11">
        <f>BN119+BN120</f>
        <v/>
      </c>
    </row>
    <row r="122">
      <c r="D122" t="inlineStr">
        <is>
          <t>Senior debt outstanding, opening</t>
        </is>
      </c>
      <c r="E122" t="inlineStr">
        <is>
          <t>USD m</t>
        </is>
      </c>
      <c r="J122" s="11">
        <f>J25+J40+J55+J70+J85+J100</f>
        <v/>
      </c>
      <c r="K122" s="11">
        <f>K25+K40+K55+K70+K85+K100</f>
        <v/>
      </c>
      <c r="L122" s="11">
        <f>L25+L40+L55+L70+L85+L100</f>
        <v/>
      </c>
      <c r="M122" s="11">
        <f>M25+M40+M55+M70+M85+M100</f>
        <v/>
      </c>
      <c r="N122" s="11">
        <f>N25+N40+N55+N70+N85+N100</f>
        <v/>
      </c>
      <c r="O122" s="11">
        <f>O25+O40+O55+O70+O85+O100</f>
        <v/>
      </c>
      <c r="P122" s="11">
        <f>P25+P40+P55+P70+P85+P100</f>
        <v/>
      </c>
      <c r="Q122" s="11">
        <f>Q25+Q40+Q55+Q70+Q85+Q100</f>
        <v/>
      </c>
      <c r="R122" s="11">
        <f>R25+R40+R55+R70+R85+R100</f>
        <v/>
      </c>
      <c r="S122" s="11">
        <f>S25+S40+S55+S70+S85+S100</f>
        <v/>
      </c>
      <c r="T122" s="11">
        <f>T25+T40+T55+T70+T85+T100</f>
        <v/>
      </c>
      <c r="U122" s="11">
        <f>U25+U40+U55+U70+U85+U100</f>
        <v/>
      </c>
      <c r="V122" s="11">
        <f>V25+V40+V55+V70+V85+V100</f>
        <v/>
      </c>
      <c r="W122" s="11">
        <f>W25+W40+W55+W70+W85+W100</f>
        <v/>
      </c>
      <c r="X122" s="11">
        <f>X25+X40+X55+X70+X85+X100</f>
        <v/>
      </c>
      <c r="Y122" s="11">
        <f>Y25+Y40+Y55+Y70+Y85+Y100</f>
        <v/>
      </c>
      <c r="Z122" s="11">
        <f>Z25+Z40+Z55+Z70+Z85+Z100</f>
        <v/>
      </c>
      <c r="AA122" s="11">
        <f>AA25+AA40+AA55+AA70+AA85+AA100</f>
        <v/>
      </c>
      <c r="AB122" s="11">
        <f>AB25+AB40+AB55+AB70+AB85+AB100</f>
        <v/>
      </c>
      <c r="AC122" s="11">
        <f>AC25+AC40+AC55+AC70+AC85+AC100</f>
        <v/>
      </c>
      <c r="AD122" s="11">
        <f>AD25+AD40+AD55+AD70+AD85+AD100</f>
        <v/>
      </c>
      <c r="AE122" s="11">
        <f>AE25+AE40+AE55+AE70+AE85+AE100</f>
        <v/>
      </c>
      <c r="AF122" s="11">
        <f>AF25+AF40+AF55+AF70+AF85+AF100</f>
        <v/>
      </c>
      <c r="AG122" s="11">
        <f>AG25+AG40+AG55+AG70+AG85+AG100</f>
        <v/>
      </c>
      <c r="AH122" s="11">
        <f>AH25+AH40+AH55+AH70+AH85+AH100</f>
        <v/>
      </c>
      <c r="AI122" s="11">
        <f>AI25+AI40+AI55+AI70+AI85+AI100</f>
        <v/>
      </c>
      <c r="AJ122" s="11">
        <f>AJ25+AJ40+AJ55+AJ70+AJ85+AJ100</f>
        <v/>
      </c>
      <c r="AK122" s="11">
        <f>AK25+AK40+AK55+AK70+AK85+AK100</f>
        <v/>
      </c>
      <c r="AL122" s="11">
        <f>AL25+AL40+AL55+AL70+AL85+AL100</f>
        <v/>
      </c>
      <c r="AM122" s="11">
        <f>AM25+AM40+AM55+AM70+AM85+AM100</f>
        <v/>
      </c>
      <c r="AN122" s="11">
        <f>AN25+AN40+AN55+AN70+AN85+AN100</f>
        <v/>
      </c>
      <c r="AO122" s="11">
        <f>AO25+AO40+AO55+AO70+AO85+AO100</f>
        <v/>
      </c>
      <c r="AP122" s="11">
        <f>AP25+AP40+AP55+AP70+AP85+AP100</f>
        <v/>
      </c>
      <c r="AQ122" s="11">
        <f>AQ25+AQ40+AQ55+AQ70+AQ85+AQ100</f>
        <v/>
      </c>
      <c r="AR122" s="11">
        <f>AR25+AR40+AR55+AR70+AR85+AR100</f>
        <v/>
      </c>
      <c r="AS122" s="11">
        <f>AS25+AS40+AS55+AS70+AS85+AS100</f>
        <v/>
      </c>
      <c r="AT122" s="11">
        <f>AT25+AT40+AT55+AT70+AT85+AT100</f>
        <v/>
      </c>
      <c r="AU122" s="11">
        <f>AU25+AU40+AU55+AU70+AU85+AU100</f>
        <v/>
      </c>
      <c r="AV122" s="11">
        <f>AV25+AV40+AV55+AV70+AV85+AV100</f>
        <v/>
      </c>
      <c r="AW122" s="11">
        <f>AW25+AW40+AW55+AW70+AW85+AW100</f>
        <v/>
      </c>
      <c r="AX122" s="11">
        <f>AX25+AX40+AX55+AX70+AX85+AX100</f>
        <v/>
      </c>
      <c r="AY122" s="11">
        <f>AY25+AY40+AY55+AY70+AY85+AY100</f>
        <v/>
      </c>
      <c r="AZ122" s="11">
        <f>AZ25+AZ40+AZ55+AZ70+AZ85+AZ100</f>
        <v/>
      </c>
      <c r="BA122" s="11">
        <f>BA25+BA40+BA55+BA70+BA85+BA100</f>
        <v/>
      </c>
      <c r="BB122" s="11">
        <f>BB25+BB40+BB55+BB70+BB85+BB100</f>
        <v/>
      </c>
      <c r="BC122" s="11">
        <f>BC25+BC40+BC55+BC70+BC85+BC100</f>
        <v/>
      </c>
      <c r="BD122" s="11">
        <f>BD25+BD40+BD55+BD70+BD85+BD100</f>
        <v/>
      </c>
      <c r="BE122" s="11">
        <f>BE25+BE40+BE55+BE70+BE85+BE100</f>
        <v/>
      </c>
      <c r="BF122" s="11">
        <f>BF25+BF40+BF55+BF70+BF85+BF100</f>
        <v/>
      </c>
      <c r="BG122" s="11">
        <f>BG25+BG40+BG55+BG70+BG85+BG100</f>
        <v/>
      </c>
      <c r="BH122" s="11">
        <f>BH25+BH40+BH55+BH70+BH85+BH100</f>
        <v/>
      </c>
      <c r="BI122" s="11">
        <f>BI25+BI40+BI55+BI70+BI85+BI100</f>
        <v/>
      </c>
      <c r="BJ122" s="11">
        <f>BJ25+BJ40+BJ55+BJ70+BJ85+BJ100</f>
        <v/>
      </c>
      <c r="BK122" s="11">
        <f>BK25+BK40+BK55+BK70+BK85+BK100</f>
        <v/>
      </c>
      <c r="BL122" s="11">
        <f>BL25+BL40+BL55+BL70+BL85+BL100</f>
        <v/>
      </c>
      <c r="BM122" s="11">
        <f>BM25+BM40+BM55+BM70+BM85+BM100</f>
        <v/>
      </c>
      <c r="BN122" s="11">
        <f>BN25+BN40+BN55+BN70+BN85+BN100</f>
        <v/>
      </c>
    </row>
    <row r="123">
      <c r="D123" t="inlineStr">
        <is>
          <t>Senior debt outstanding, closing</t>
        </is>
      </c>
      <c r="E123" t="inlineStr">
        <is>
          <t>USD m</t>
        </is>
      </c>
      <c r="J123" s="11">
        <f>J38+J53+J68+J83+J98+J104</f>
        <v/>
      </c>
      <c r="K123" s="11">
        <f>K38+K53+K68+K83+K98+K104</f>
        <v/>
      </c>
      <c r="L123" s="11">
        <f>L38+L53+L68+L83+L98+L104</f>
        <v/>
      </c>
      <c r="M123" s="11">
        <f>M38+M53+M68+M83+M98+M104</f>
        <v/>
      </c>
      <c r="N123" s="11">
        <f>N38+N53+N68+N83+N98+N104</f>
        <v/>
      </c>
      <c r="O123" s="11">
        <f>O38+O53+O68+O83+O98+O104</f>
        <v/>
      </c>
      <c r="P123" s="11">
        <f>P38+P53+P68+P83+P98+P104</f>
        <v/>
      </c>
      <c r="Q123" s="11">
        <f>Q38+Q53+Q68+Q83+Q98+Q104</f>
        <v/>
      </c>
      <c r="R123" s="11">
        <f>R38+R53+R68+R83+R98+R104</f>
        <v/>
      </c>
      <c r="S123" s="11">
        <f>S38+S53+S68+S83+S98+S104</f>
        <v/>
      </c>
      <c r="T123" s="11">
        <f>T38+T53+T68+T83+T98+T104</f>
        <v/>
      </c>
      <c r="U123" s="11">
        <f>U38+U53+U68+U83+U98+U104</f>
        <v/>
      </c>
      <c r="V123" s="11">
        <f>V38+V53+V68+V83+V98+V104</f>
        <v/>
      </c>
      <c r="W123" s="11">
        <f>W38+W53+W68+W83+W98+W104</f>
        <v/>
      </c>
      <c r="X123" s="11">
        <f>X38+X53+X68+X83+X98+X104</f>
        <v/>
      </c>
      <c r="Y123" s="11">
        <f>Y38+Y53+Y68+Y83+Y98+Y104</f>
        <v/>
      </c>
      <c r="Z123" s="11">
        <f>Z38+Z53+Z68+Z83+Z98+Z104</f>
        <v/>
      </c>
      <c r="AA123" s="11">
        <f>AA38+AA53+AA68+AA83+AA98+AA104</f>
        <v/>
      </c>
      <c r="AB123" s="11">
        <f>AB38+AB53+AB68+AB83+AB98+AB104</f>
        <v/>
      </c>
      <c r="AC123" s="11">
        <f>AC38+AC53+AC68+AC83+AC98+AC104</f>
        <v/>
      </c>
      <c r="AD123" s="11">
        <f>AD38+AD53+AD68+AD83+AD98+AD104</f>
        <v/>
      </c>
      <c r="AE123" s="11">
        <f>AE38+AE53+AE68+AE83+AE98+AE104</f>
        <v/>
      </c>
      <c r="AF123" s="11">
        <f>AF38+AF53+AF68+AF83+AF98+AF104</f>
        <v/>
      </c>
      <c r="AG123" s="11">
        <f>AG38+AG53+AG68+AG83+AG98+AG104</f>
        <v/>
      </c>
      <c r="AH123" s="11">
        <f>AH38+AH53+AH68+AH83+AH98+AH104</f>
        <v/>
      </c>
      <c r="AI123" s="11">
        <f>AI38+AI53+AI68+AI83+AI98+AI104</f>
        <v/>
      </c>
      <c r="AJ123" s="11">
        <f>AJ38+AJ53+AJ68+AJ83+AJ98+AJ104</f>
        <v/>
      </c>
      <c r="AK123" s="11">
        <f>AK38+AK53+AK68+AK83+AK98+AK104</f>
        <v/>
      </c>
      <c r="AL123" s="11">
        <f>AL38+AL53+AL68+AL83+AL98+AL104</f>
        <v/>
      </c>
      <c r="AM123" s="11">
        <f>AM38+AM53+AM68+AM83+AM98+AM104</f>
        <v/>
      </c>
      <c r="AN123" s="11">
        <f>AN38+AN53+AN68+AN83+AN98+AN104</f>
        <v/>
      </c>
      <c r="AO123" s="11">
        <f>AO38+AO53+AO68+AO83+AO98+AO104</f>
        <v/>
      </c>
      <c r="AP123" s="11">
        <f>AP38+AP53+AP68+AP83+AP98+AP104</f>
        <v/>
      </c>
      <c r="AQ123" s="11">
        <f>AQ38+AQ53+AQ68+AQ83+AQ98+AQ104</f>
        <v/>
      </c>
      <c r="AR123" s="11">
        <f>AR38+AR53+AR68+AR83+AR98+AR104</f>
        <v/>
      </c>
      <c r="AS123" s="11">
        <f>AS38+AS53+AS68+AS83+AS98+AS104</f>
        <v/>
      </c>
      <c r="AT123" s="11">
        <f>AT38+AT53+AT68+AT83+AT98+AT104</f>
        <v/>
      </c>
      <c r="AU123" s="11">
        <f>AU38+AU53+AU68+AU83+AU98+AU104</f>
        <v/>
      </c>
      <c r="AV123" s="11">
        <f>AV38+AV53+AV68+AV83+AV98+AV104</f>
        <v/>
      </c>
      <c r="AW123" s="11">
        <f>AW38+AW53+AW68+AW83+AW98+AW104</f>
        <v/>
      </c>
      <c r="AX123" s="11">
        <f>AX38+AX53+AX68+AX83+AX98+AX104</f>
        <v/>
      </c>
      <c r="AY123" s="11">
        <f>AY38+AY53+AY68+AY83+AY98+AY104</f>
        <v/>
      </c>
      <c r="AZ123" s="11">
        <f>AZ38+AZ53+AZ68+AZ83+AZ98+AZ104</f>
        <v/>
      </c>
      <c r="BA123" s="11">
        <f>BA38+BA53+BA68+BA83+BA98+BA104</f>
        <v/>
      </c>
      <c r="BB123" s="11">
        <f>BB38+BB53+BB68+BB83+BB98+BB104</f>
        <v/>
      </c>
      <c r="BC123" s="11">
        <f>BC38+BC53+BC68+BC83+BC98+BC104</f>
        <v/>
      </c>
      <c r="BD123" s="11">
        <f>BD38+BD53+BD68+BD83+BD98+BD104</f>
        <v/>
      </c>
      <c r="BE123" s="11">
        <f>BE38+BE53+BE68+BE83+BE98+BE104</f>
        <v/>
      </c>
      <c r="BF123" s="11">
        <f>BF38+BF53+BF68+BF83+BF98+BF104</f>
        <v/>
      </c>
      <c r="BG123" s="11">
        <f>BG38+BG53+BG68+BG83+BG98+BG104</f>
        <v/>
      </c>
      <c r="BH123" s="11">
        <f>BH38+BH53+BH68+BH83+BH98+BH104</f>
        <v/>
      </c>
      <c r="BI123" s="11">
        <f>BI38+BI53+BI68+BI83+BI98+BI104</f>
        <v/>
      </c>
      <c r="BJ123" s="11">
        <f>BJ38+BJ53+BJ68+BJ83+BJ98+BJ104</f>
        <v/>
      </c>
      <c r="BK123" s="11">
        <f>BK38+BK53+BK68+BK83+BK98+BK104</f>
        <v/>
      </c>
      <c r="BL123" s="11">
        <f>BL38+BL53+BL68+BL83+BL98+BL104</f>
        <v/>
      </c>
      <c r="BM123" s="11">
        <f>BM38+BM53+BM68+BM83+BM98+BM104</f>
        <v/>
      </c>
      <c r="BN123" s="11">
        <f>BN38+BN53+BN68+BN83+BN98+BN104</f>
        <v/>
      </c>
    </row>
    <row r="124">
      <c r="B124" s="2" t="inlineStr">
        <is>
          <t>DSRA target: next period scheduled debt service (USD m)</t>
        </is>
      </c>
    </row>
    <row r="125">
      <c r="D125" t="inlineStr">
        <is>
          <t>Commercial balance carried to next period</t>
        </is>
      </c>
      <c r="E125" t="inlineStr">
        <is>
          <t>USD m</t>
        </is>
      </c>
      <c r="J125" s="11">
        <f>IF(Time!J29=1,J83,J81)</f>
        <v/>
      </c>
      <c r="K125" s="11">
        <f>IF(Time!K29=1,K83,K81)</f>
        <v/>
      </c>
      <c r="L125" s="11">
        <f>IF(Time!L29=1,L83,L81)</f>
        <v/>
      </c>
      <c r="M125" s="11">
        <f>IF(Time!M29=1,M83,M81)</f>
        <v/>
      </c>
      <c r="N125" s="11">
        <f>IF(Time!N29=1,N83,N81)</f>
        <v/>
      </c>
      <c r="O125" s="11">
        <f>IF(Time!O29=1,O83,O81)</f>
        <v/>
      </c>
      <c r="P125" s="11">
        <f>IF(Time!P29=1,P83,P81)</f>
        <v/>
      </c>
      <c r="Q125" s="11">
        <f>IF(Time!Q29=1,Q83,Q81)</f>
        <v/>
      </c>
      <c r="R125" s="11">
        <f>IF(Time!R29=1,R83,R81)</f>
        <v/>
      </c>
      <c r="S125" s="11">
        <f>IF(Time!S29=1,S83,S81)</f>
        <v/>
      </c>
      <c r="T125" s="11">
        <f>IF(Time!T29=1,T83,T81)</f>
        <v/>
      </c>
      <c r="U125" s="11">
        <f>IF(Time!U29=1,U83,U81)</f>
        <v/>
      </c>
      <c r="V125" s="11">
        <f>IF(Time!V29=1,V83,V81)</f>
        <v/>
      </c>
      <c r="W125" s="11">
        <f>IF(Time!W29=1,W83,W81)</f>
        <v/>
      </c>
      <c r="X125" s="11">
        <f>IF(Time!X29=1,X83,X81)</f>
        <v/>
      </c>
      <c r="Y125" s="11">
        <f>IF(Time!Y29=1,Y83,Y81)</f>
        <v/>
      </c>
      <c r="Z125" s="11">
        <f>IF(Time!Z29=1,Z83,Z81)</f>
        <v/>
      </c>
      <c r="AA125" s="11">
        <f>IF(Time!AA29=1,AA83,AA81)</f>
        <v/>
      </c>
      <c r="AB125" s="11">
        <f>IF(Time!AB29=1,AB83,AB81)</f>
        <v/>
      </c>
      <c r="AC125" s="11">
        <f>IF(Time!AC29=1,AC83,AC81)</f>
        <v/>
      </c>
      <c r="AD125" s="11">
        <f>IF(Time!AD29=1,AD83,AD81)</f>
        <v/>
      </c>
      <c r="AE125" s="11">
        <f>IF(Time!AE29=1,AE83,AE81)</f>
        <v/>
      </c>
      <c r="AF125" s="11">
        <f>IF(Time!AF29=1,AF83,AF81)</f>
        <v/>
      </c>
      <c r="AG125" s="11">
        <f>IF(Time!AG29=1,AG83,AG81)</f>
        <v/>
      </c>
      <c r="AH125" s="11">
        <f>IF(Time!AH29=1,AH83,AH81)</f>
        <v/>
      </c>
      <c r="AI125" s="11">
        <f>IF(Time!AI29=1,AI83,AI81)</f>
        <v/>
      </c>
      <c r="AJ125" s="11">
        <f>IF(Time!AJ29=1,AJ83,AJ81)</f>
        <v/>
      </c>
      <c r="AK125" s="11">
        <f>IF(Time!AK29=1,AK83,AK81)</f>
        <v/>
      </c>
      <c r="AL125" s="11">
        <f>IF(Time!AL29=1,AL83,AL81)</f>
        <v/>
      </c>
      <c r="AM125" s="11">
        <f>IF(Time!AM29=1,AM83,AM81)</f>
        <v/>
      </c>
      <c r="AN125" s="11">
        <f>IF(Time!AN29=1,AN83,AN81)</f>
        <v/>
      </c>
      <c r="AO125" s="11">
        <f>IF(Time!AO29=1,AO83,AO81)</f>
        <v/>
      </c>
      <c r="AP125" s="11">
        <f>IF(Time!AP29=1,AP83,AP81)</f>
        <v/>
      </c>
      <c r="AQ125" s="11">
        <f>IF(Time!AQ29=1,AQ83,AQ81)</f>
        <v/>
      </c>
      <c r="AR125" s="11">
        <f>IF(Time!AR29=1,AR83,AR81)</f>
        <v/>
      </c>
      <c r="AS125" s="11">
        <f>IF(Time!AS29=1,AS83,AS81)</f>
        <v/>
      </c>
      <c r="AT125" s="11">
        <f>IF(Time!AT29=1,AT83,AT81)</f>
        <v/>
      </c>
      <c r="AU125" s="11">
        <f>IF(Time!AU29=1,AU83,AU81)</f>
        <v/>
      </c>
      <c r="AV125" s="11">
        <f>IF(Time!AV29=1,AV83,AV81)</f>
        <v/>
      </c>
      <c r="AW125" s="11">
        <f>IF(Time!AW29=1,AW83,AW81)</f>
        <v/>
      </c>
      <c r="AX125" s="11">
        <f>IF(Time!AX29=1,AX83,AX81)</f>
        <v/>
      </c>
      <c r="AY125" s="11">
        <f>IF(Time!AY29=1,AY83,AY81)</f>
        <v/>
      </c>
      <c r="AZ125" s="11">
        <f>IF(Time!AZ29=1,AZ83,AZ81)</f>
        <v/>
      </c>
      <c r="BA125" s="11">
        <f>IF(Time!BA29=1,BA83,BA81)</f>
        <v/>
      </c>
      <c r="BB125" s="11">
        <f>IF(Time!BB29=1,BB83,BB81)</f>
        <v/>
      </c>
      <c r="BC125" s="11">
        <f>IF(Time!BC29=1,BC83,BC81)</f>
        <v/>
      </c>
      <c r="BD125" s="11">
        <f>IF(Time!BD29=1,BD83,BD81)</f>
        <v/>
      </c>
      <c r="BE125" s="11">
        <f>IF(Time!BE29=1,BE83,BE81)</f>
        <v/>
      </c>
      <c r="BF125" s="11">
        <f>IF(Time!BF29=1,BF83,BF81)</f>
        <v/>
      </c>
      <c r="BG125" s="11">
        <f>IF(Time!BG29=1,BG83,BG81)</f>
        <v/>
      </c>
      <c r="BH125" s="11">
        <f>IF(Time!BH29=1,BH83,BH81)</f>
        <v/>
      </c>
      <c r="BI125" s="11">
        <f>IF(Time!BI29=1,BI83,BI81)</f>
        <v/>
      </c>
      <c r="BJ125" s="11">
        <f>IF(Time!BJ29=1,BJ83,BJ81)</f>
        <v/>
      </c>
      <c r="BK125" s="11">
        <f>IF(Time!BK29=1,BK83,BK81)</f>
        <v/>
      </c>
      <c r="BL125" s="11">
        <f>IF(Time!BL29=1,BL83,BL81)</f>
        <v/>
      </c>
      <c r="BM125" s="11">
        <f>IF(Time!BM29=1,BM83,BM81)</f>
        <v/>
      </c>
      <c r="BN125" s="11">
        <f>IF(Time!BN29=1,BN83,BN81)</f>
        <v/>
      </c>
    </row>
    <row r="126">
      <c r="D126" t="inlineStr">
        <is>
          <t>ECA-covered tranche: next period debt service</t>
        </is>
      </c>
      <c r="E126" t="inlineStr">
        <is>
          <t>USD m</t>
        </is>
      </c>
      <c r="J126" s="11">
        <f>IF(AND(Time!J17&gt;=Time!$F$11,Time!J17&lt;57),(IF(Time!J29=1,J38,J36)-J35)*K19+IF(Time!J29=1,J38,J36)*K10,0)</f>
        <v/>
      </c>
      <c r="K126" s="11">
        <f>IF(AND(Time!K17&gt;=Time!$F$11,Time!K17&lt;57),(IF(Time!K29=1,K38,K36)-K35)*L19+IF(Time!K29=1,K38,K36)*L10,0)</f>
        <v/>
      </c>
      <c r="L126" s="11">
        <f>IF(AND(Time!L17&gt;=Time!$F$11,Time!L17&lt;57),(IF(Time!L29=1,L38,L36)-L35)*M19+IF(Time!L29=1,L38,L36)*M10,0)</f>
        <v/>
      </c>
      <c r="M126" s="11">
        <f>IF(AND(Time!M17&gt;=Time!$F$11,Time!M17&lt;57),(IF(Time!M29=1,M38,M36)-M35)*N19+IF(Time!M29=1,M38,M36)*N10,0)</f>
        <v/>
      </c>
      <c r="N126" s="11">
        <f>IF(AND(Time!N17&gt;=Time!$F$11,Time!N17&lt;57),(IF(Time!N29=1,N38,N36)-N35)*O19+IF(Time!N29=1,N38,N36)*O10,0)</f>
        <v/>
      </c>
      <c r="O126" s="11">
        <f>IF(AND(Time!O17&gt;=Time!$F$11,Time!O17&lt;57),(IF(Time!O29=1,O38,O36)-O35)*P19+IF(Time!O29=1,O38,O36)*P10,0)</f>
        <v/>
      </c>
      <c r="P126" s="11">
        <f>IF(AND(Time!P17&gt;=Time!$F$11,Time!P17&lt;57),(IF(Time!P29=1,P38,P36)-P35)*Q19+IF(Time!P29=1,P38,P36)*Q10,0)</f>
        <v/>
      </c>
      <c r="Q126" s="11">
        <f>IF(AND(Time!Q17&gt;=Time!$F$11,Time!Q17&lt;57),(IF(Time!Q29=1,Q38,Q36)-Q35)*R19+IF(Time!Q29=1,Q38,Q36)*R10,0)</f>
        <v/>
      </c>
      <c r="R126" s="11">
        <f>IF(AND(Time!R17&gt;=Time!$F$11,Time!R17&lt;57),(IF(Time!R29=1,R38,R36)-R35)*S19+IF(Time!R29=1,R38,R36)*S10,0)</f>
        <v/>
      </c>
      <c r="S126" s="11">
        <f>IF(AND(Time!S17&gt;=Time!$F$11,Time!S17&lt;57),(IF(Time!S29=1,S38,S36)-S35)*T19+IF(Time!S29=1,S38,S36)*T10,0)</f>
        <v/>
      </c>
      <c r="T126" s="11">
        <f>IF(AND(Time!T17&gt;=Time!$F$11,Time!T17&lt;57),(IF(Time!T29=1,T38,T36)-T35)*U19+U22*MIN($F$30/4,T35)+IF(Time!T29=1,T38,T36)*U10,0)</f>
        <v/>
      </c>
      <c r="U126" s="11">
        <f>IF(AND(Time!U17&gt;=Time!$F$11,Time!U17&lt;57),(IF(Time!U29=1,U38,U36)-U35)*V19+V22*MIN($F$30/4,U35)+IF(Time!U29=1,U38,U36)*V10,0)</f>
        <v/>
      </c>
      <c r="V126" s="11">
        <f>IF(AND(Time!V17&gt;=Time!$F$11,Time!V17&lt;57),(IF(Time!V29=1,V38,V36)-V35)*W19+W22*MIN($F$30/4,V35)+IF(Time!V29=1,V38,V36)*W10,0)</f>
        <v/>
      </c>
      <c r="W126" s="11">
        <f>IF(AND(Time!W17&gt;=Time!$F$11,Time!W17&lt;57),(IF(Time!W29=1,W38,W36)-W35)*X19+X22*MIN($F$30/4,W35)+IF(Time!W29=1,W38,W36)*X10,0)</f>
        <v/>
      </c>
      <c r="X126" s="11">
        <f>IF(AND(Time!X17&gt;=Time!$F$11,Time!X17&lt;57),(IF(Time!X29=1,X38,X36)-X35)*Y19+IF(Time!X29=1,X38,X36)*Y10,0)</f>
        <v/>
      </c>
      <c r="Y126" s="11">
        <f>IF(AND(Time!Y17&gt;=Time!$F$11,Time!Y17&lt;57),(IF(Time!Y29=1,Y38,Y36)-Y35)*Z19+IF(Time!Y29=1,Y38,Y36)*Z10,0)</f>
        <v/>
      </c>
      <c r="Z126" s="11">
        <f>IF(AND(Time!Z17&gt;=Time!$F$11,Time!Z17&lt;57),(IF(Time!Z29=1,Z38,Z36)-Z35)*AA19+IF(Time!Z29=1,Z38,Z36)*AA10,0)</f>
        <v/>
      </c>
      <c r="AA126" s="11">
        <f>IF(AND(Time!AA17&gt;=Time!$F$11,Time!AA17&lt;57),(IF(Time!AA29=1,AA38,AA36)-AA35)*AB19+IF(Time!AA29=1,AA38,AA36)*AB10,0)</f>
        <v/>
      </c>
      <c r="AB126" s="11">
        <f>IF(AND(Time!AB17&gt;=Time!$F$11,Time!AB17&lt;57),(IF(Time!AB29=1,AB38,AB36)-AB35)*AC19+IF(Time!AB29=1,AB38,AB36)*AC10,0)</f>
        <v/>
      </c>
      <c r="AC126" s="11">
        <f>IF(AND(Time!AC17&gt;=Time!$F$11,Time!AC17&lt;57),(IF(Time!AC29=1,AC38,AC36)-AC35)*AD19+IF(Time!AC29=1,AC38,AC36)*AD10,0)</f>
        <v/>
      </c>
      <c r="AD126" s="11">
        <f>IF(AND(Time!AD17&gt;=Time!$F$11,Time!AD17&lt;57),(IF(Time!AD29=1,AD38,AD36)-AD35)*AE19+IF(Time!AD29=1,AD38,AD36)*AE10,0)</f>
        <v/>
      </c>
      <c r="AE126" s="11">
        <f>IF(AND(Time!AE17&gt;=Time!$F$11,Time!AE17&lt;57),(IF(Time!AE29=1,AE38,AE36)-AE35)*AF19+IF(Time!AE29=1,AE38,AE36)*AF10,0)</f>
        <v/>
      </c>
      <c r="AF126" s="11">
        <f>IF(AND(Time!AF17&gt;=Time!$F$11,Time!AF17&lt;57),(IF(Time!AF29=1,AF38,AF36)-AF35)*AG19+IF(Time!AF29=1,AF38,AF36)*AG10,0)</f>
        <v/>
      </c>
      <c r="AG126" s="11">
        <f>IF(AND(Time!AG17&gt;=Time!$F$11,Time!AG17&lt;57),(IF(Time!AG29=1,AG38,AG36)-AG35)*AH19+IF(Time!AG29=1,AG38,AG36)*AH10,0)</f>
        <v/>
      </c>
      <c r="AH126" s="11">
        <f>IF(AND(Time!AH17&gt;=Time!$F$11,Time!AH17&lt;57),(IF(Time!AH29=1,AH38,AH36)-AH35)*AI19+IF(Time!AH29=1,AH38,AH36)*AI10,0)</f>
        <v/>
      </c>
      <c r="AI126" s="11">
        <f>IF(AND(Time!AI17&gt;=Time!$F$11,Time!AI17&lt;57),(IF(Time!AI29=1,AI38,AI36)-AI35)*AJ19+IF(Time!AI29=1,AI38,AI36)*AJ10,0)</f>
        <v/>
      </c>
      <c r="AJ126" s="11">
        <f>IF(AND(Time!AJ17&gt;=Time!$F$11,Time!AJ17&lt;57),(IF(Time!AJ29=1,AJ38,AJ36)-AJ35)*AK19+IF(Time!AJ29=1,AJ38,AJ36)*AK10,0)</f>
        <v/>
      </c>
      <c r="AK126" s="11">
        <f>IF(AND(Time!AK17&gt;=Time!$F$11,Time!AK17&lt;57),(IF(Time!AK29=1,AK38,AK36)-AK35)*AL19+IF(Time!AK29=1,AK38,AK36)*AL10,0)</f>
        <v/>
      </c>
      <c r="AL126" s="11">
        <f>IF(AND(Time!AL17&gt;=Time!$F$11,Time!AL17&lt;57),(IF(Time!AL29=1,AL38,AL36)-AL35)*AM19+IF(Time!AL29=1,AL38,AL36)*AM10,0)</f>
        <v/>
      </c>
      <c r="AM126" s="11">
        <f>IF(AND(Time!AM17&gt;=Time!$F$11,Time!AM17&lt;57),(IF(Time!AM29=1,AM38,AM36)-AM35)*AN19+IF(Time!AM29=1,AM38,AM36)*AN10,0)</f>
        <v/>
      </c>
      <c r="AN126" s="11">
        <f>IF(AND(Time!AN17&gt;=Time!$F$11,Time!AN17&lt;57),(IF(Time!AN29=1,AN38,AN36)-AN35)*AO19+IF(Time!AN29=1,AN38,AN36)*AO10,0)</f>
        <v/>
      </c>
      <c r="AO126" s="11">
        <f>IF(AND(Time!AO17&gt;=Time!$F$11,Time!AO17&lt;57),(IF(Time!AO29=1,AO38,AO36)-AO35)*AP19+IF(Time!AO29=1,AO38,AO36)*AP10,0)</f>
        <v/>
      </c>
      <c r="AP126" s="11">
        <f>IF(AND(Time!AP17&gt;=Time!$F$11,Time!AP17&lt;57),(IF(Time!AP29=1,AP38,AP36)-AP35)*AQ19+IF(Time!AP29=1,AP38,AP36)*AQ10,0)</f>
        <v/>
      </c>
      <c r="AQ126" s="11">
        <f>IF(AND(Time!AQ17&gt;=Time!$F$11,Time!AQ17&lt;57),(IF(Time!AQ29=1,AQ38,AQ36)-AQ35)*AR19+IF(Time!AQ29=1,AQ38,AQ36)*AR10,0)</f>
        <v/>
      </c>
      <c r="AR126" s="11">
        <f>IF(AND(Time!AR17&gt;=Time!$F$11,Time!AR17&lt;57),(IF(Time!AR29=1,AR38,AR36)-AR35)*AS19+IF(Time!AR29=1,AR38,AR36)*AS10,0)</f>
        <v/>
      </c>
      <c r="AS126" s="11">
        <f>IF(AND(Time!AS17&gt;=Time!$F$11,Time!AS17&lt;57),(IF(Time!AS29=1,AS38,AS36)-AS35)*AT19+IF(Time!AS29=1,AS38,AS36)*AT10,0)</f>
        <v/>
      </c>
      <c r="AT126" s="11">
        <f>IF(AND(Time!AT17&gt;=Time!$F$11,Time!AT17&lt;57),(IF(Time!AT29=1,AT38,AT36)-AT35)*AU19+IF(Time!AT29=1,AT38,AT36)*AU10,0)</f>
        <v/>
      </c>
      <c r="AU126" s="11">
        <f>IF(AND(Time!AU17&gt;=Time!$F$11,Time!AU17&lt;57),(IF(Time!AU29=1,AU38,AU36)-AU35)*AV19+IF(Time!AU29=1,AU38,AU36)*AV10,0)</f>
        <v/>
      </c>
      <c r="AV126" s="11">
        <f>IF(AND(Time!AV17&gt;=Time!$F$11,Time!AV17&lt;57),(IF(Time!AV29=1,AV38,AV36)-AV35)*AW19+IF(Time!AV29=1,AV38,AV36)*AW10,0)</f>
        <v/>
      </c>
      <c r="AW126" s="11">
        <f>IF(AND(Time!AW17&gt;=Time!$F$11,Time!AW17&lt;57),(IF(Time!AW29=1,AW38,AW36)-AW35)*AX19+IF(Time!AW29=1,AW38,AW36)*AX10,0)</f>
        <v/>
      </c>
      <c r="AX126" s="11">
        <f>IF(AND(Time!AX17&gt;=Time!$F$11,Time!AX17&lt;57),(IF(Time!AX29=1,AX38,AX36)-AX35)*AY19+IF(Time!AX29=1,AX38,AX36)*AY10,0)</f>
        <v/>
      </c>
      <c r="AY126" s="11">
        <f>IF(AND(Time!AY17&gt;=Time!$F$11,Time!AY17&lt;57),(IF(Time!AY29=1,AY38,AY36)-AY35)*AZ19+IF(Time!AY29=1,AY38,AY36)*AZ10,0)</f>
        <v/>
      </c>
      <c r="AZ126" s="11">
        <f>IF(AND(Time!AZ17&gt;=Time!$F$11,Time!AZ17&lt;57),(IF(Time!AZ29=1,AZ38,AZ36)-AZ35)*BA19+IF(Time!AZ29=1,AZ38,AZ36)*BA10,0)</f>
        <v/>
      </c>
      <c r="BA126" s="11">
        <f>IF(AND(Time!BA17&gt;=Time!$F$11,Time!BA17&lt;57),(IF(Time!BA29=1,BA38,BA36)-BA35)*BB19+IF(Time!BA29=1,BA38,BA36)*BB10,0)</f>
        <v/>
      </c>
      <c r="BB126" s="11">
        <f>IF(AND(Time!BB17&gt;=Time!$F$11,Time!BB17&lt;57),(IF(Time!BB29=1,BB38,BB36)-BB35)*BC19+IF(Time!BB29=1,BB38,BB36)*BC10,0)</f>
        <v/>
      </c>
      <c r="BC126" s="11">
        <f>IF(AND(Time!BC17&gt;=Time!$F$11,Time!BC17&lt;57),(IF(Time!BC29=1,BC38,BC36)-BC35)*BD19+IF(Time!BC29=1,BC38,BC36)*BD10,0)</f>
        <v/>
      </c>
      <c r="BD126" s="11">
        <f>IF(AND(Time!BD17&gt;=Time!$F$11,Time!BD17&lt;57),(IF(Time!BD29=1,BD38,BD36)-BD35)*BE19+IF(Time!BD29=1,BD38,BD36)*BE10,0)</f>
        <v/>
      </c>
      <c r="BE126" s="11">
        <f>IF(AND(Time!BE17&gt;=Time!$F$11,Time!BE17&lt;57),(IF(Time!BE29=1,BE38,BE36)-BE35)*BF19+IF(Time!BE29=1,BE38,BE36)*BF10,0)</f>
        <v/>
      </c>
      <c r="BF126" s="11">
        <f>IF(AND(Time!BF17&gt;=Time!$F$11,Time!BF17&lt;57),(IF(Time!BF29=1,BF38,BF36)-BF35)*BG19+IF(Time!BF29=1,BF38,BF36)*BG10,0)</f>
        <v/>
      </c>
      <c r="BG126" s="11">
        <f>IF(AND(Time!BG17&gt;=Time!$F$11,Time!BG17&lt;57),(IF(Time!BG29=1,BG38,BG36)-BG35)*BH19+IF(Time!BG29=1,BG38,BG36)*BH10,0)</f>
        <v/>
      </c>
      <c r="BH126" s="11">
        <f>IF(AND(Time!BH17&gt;=Time!$F$11,Time!BH17&lt;57),(IF(Time!BH29=1,BH38,BH36)-BH35)*BI19+IF(Time!BH29=1,BH38,BH36)*BI10,0)</f>
        <v/>
      </c>
      <c r="BI126" s="11">
        <f>IF(AND(Time!BI17&gt;=Time!$F$11,Time!BI17&lt;57),(IF(Time!BI29=1,BI38,BI36)-BI35)*BJ19+IF(Time!BI29=1,BI38,BI36)*BJ10,0)</f>
        <v/>
      </c>
      <c r="BJ126" s="11">
        <f>IF(AND(Time!BJ17&gt;=Time!$F$11,Time!BJ17&lt;57),(IF(Time!BJ29=1,BJ38,BJ36)-BJ35)*BK19+IF(Time!BJ29=1,BJ38,BJ36)*BK10,0)</f>
        <v/>
      </c>
      <c r="BK126" s="11">
        <f>IF(AND(Time!BK17&gt;=Time!$F$11,Time!BK17&lt;57),(IF(Time!BK29=1,BK38,BK36)-BK35)*BL19+IF(Time!BK29=1,BK38,BK36)*BL10,0)</f>
        <v/>
      </c>
      <c r="BL126" s="11">
        <f>IF(AND(Time!BL17&gt;=Time!$F$11,Time!BL17&lt;57),(IF(Time!BL29=1,BL38,BL36)-BL35)*BM19+IF(Time!BL29=1,BL38,BL36)*BM10,0)</f>
        <v/>
      </c>
      <c r="BM126" s="11">
        <f>IF(AND(Time!BM17&gt;=Time!$F$11,Time!BM17&lt;57),(IF(Time!BM29=1,BM38,BM36)-BM35)*BN19+IF(Time!BM29=1,BM38,BM36)*BN10,0)</f>
        <v/>
      </c>
      <c r="BN126" s="11">
        <f>IF(AND(Time!BN17&gt;=Time!$F$11,Time!BN17&lt;57),(IF(Time!BN29=1,BN38,BN36)-BN35)*0+IF(Time!BN29=1,BN38,BN36)*0,0)</f>
        <v/>
      </c>
    </row>
    <row r="127">
      <c r="D127" t="inlineStr">
        <is>
          <t>ABDB A-loan: next period debt service</t>
        </is>
      </c>
      <c r="E127" t="inlineStr">
        <is>
          <t>USD m</t>
        </is>
      </c>
      <c r="J127" s="11">
        <f>IF(AND(Time!J17&gt;=Time!$F$11,Time!J17&lt;57),(IF(Time!J29=1,J53,J51)-J50)*K19+IF(Time!J29=1,J53,J51)*K11,0)</f>
        <v/>
      </c>
      <c r="K127" s="11">
        <f>IF(AND(Time!K17&gt;=Time!$F$11,Time!K17&lt;57),(IF(Time!K29=1,K53,K51)-K50)*L19+IF(Time!K29=1,K53,K51)*L11,0)</f>
        <v/>
      </c>
      <c r="L127" s="11">
        <f>IF(AND(Time!L17&gt;=Time!$F$11,Time!L17&lt;57),(IF(Time!L29=1,L53,L51)-L50)*M19+IF(Time!L29=1,L53,L51)*M11,0)</f>
        <v/>
      </c>
      <c r="M127" s="11">
        <f>IF(AND(Time!M17&gt;=Time!$F$11,Time!M17&lt;57),(IF(Time!M29=1,M53,M51)-M50)*N19+IF(Time!M29=1,M53,M51)*N11,0)</f>
        <v/>
      </c>
      <c r="N127" s="11">
        <f>IF(AND(Time!N17&gt;=Time!$F$11,Time!N17&lt;57),(IF(Time!N29=1,N53,N51)-N50)*O19+IF(Time!N29=1,N53,N51)*O11,0)</f>
        <v/>
      </c>
      <c r="O127" s="11">
        <f>IF(AND(Time!O17&gt;=Time!$F$11,Time!O17&lt;57),(IF(Time!O29=1,O53,O51)-O50)*P19+IF(Time!O29=1,O53,O51)*P11,0)</f>
        <v/>
      </c>
      <c r="P127" s="11">
        <f>IF(AND(Time!P17&gt;=Time!$F$11,Time!P17&lt;57),(IF(Time!P29=1,P53,P51)-P50)*Q19+IF(Time!P29=1,P53,P51)*Q11,0)</f>
        <v/>
      </c>
      <c r="Q127" s="11">
        <f>IF(AND(Time!Q17&gt;=Time!$F$11,Time!Q17&lt;57),(IF(Time!Q29=1,Q53,Q51)-Q50)*R19+IF(Time!Q29=1,Q53,Q51)*R11,0)</f>
        <v/>
      </c>
      <c r="R127" s="11">
        <f>IF(AND(Time!R17&gt;=Time!$F$11,Time!R17&lt;57),(IF(Time!R29=1,R53,R51)-R50)*S19+IF(Time!R29=1,R53,R51)*S11,0)</f>
        <v/>
      </c>
      <c r="S127" s="11">
        <f>IF(AND(Time!S17&gt;=Time!$F$11,Time!S17&lt;57),(IF(Time!S29=1,S53,S51)-S50)*T19+IF(Time!S29=1,S53,S51)*T11,0)</f>
        <v/>
      </c>
      <c r="T127" s="11">
        <f>IF(AND(Time!T17&gt;=Time!$F$11,Time!T17&lt;57),(IF(Time!T29=1,T53,T51)-T50)*U19+U22*MIN($F$45/4,T50)+IF(Time!T29=1,T53,T51)*U11,0)</f>
        <v/>
      </c>
      <c r="U127" s="11">
        <f>IF(AND(Time!U17&gt;=Time!$F$11,Time!U17&lt;57),(IF(Time!U29=1,U53,U51)-U50)*V19+V22*MIN($F$45/4,U50)+IF(Time!U29=1,U53,U51)*V11,0)</f>
        <v/>
      </c>
      <c r="V127" s="11">
        <f>IF(AND(Time!V17&gt;=Time!$F$11,Time!V17&lt;57),(IF(Time!V29=1,V53,V51)-V50)*W19+W22*MIN($F$45/4,V50)+IF(Time!V29=1,V53,V51)*W11,0)</f>
        <v/>
      </c>
      <c r="W127" s="11">
        <f>IF(AND(Time!W17&gt;=Time!$F$11,Time!W17&lt;57),(IF(Time!W29=1,W53,W51)-W50)*X19+X22*MIN($F$45/4,W50)+IF(Time!W29=1,W53,W51)*X11,0)</f>
        <v/>
      </c>
      <c r="X127" s="11">
        <f>IF(AND(Time!X17&gt;=Time!$F$11,Time!X17&lt;57),(IF(Time!X29=1,X53,X51)-X50)*Y19+IF(Time!X29=1,X53,X51)*Y11,0)</f>
        <v/>
      </c>
      <c r="Y127" s="11">
        <f>IF(AND(Time!Y17&gt;=Time!$F$11,Time!Y17&lt;57),(IF(Time!Y29=1,Y53,Y51)-Y50)*Z19+IF(Time!Y29=1,Y53,Y51)*Z11,0)</f>
        <v/>
      </c>
      <c r="Z127" s="11">
        <f>IF(AND(Time!Z17&gt;=Time!$F$11,Time!Z17&lt;57),(IF(Time!Z29=1,Z53,Z51)-Z50)*AA19+IF(Time!Z29=1,Z53,Z51)*AA11,0)</f>
        <v/>
      </c>
      <c r="AA127" s="11">
        <f>IF(AND(Time!AA17&gt;=Time!$F$11,Time!AA17&lt;57),(IF(Time!AA29=1,AA53,AA51)-AA50)*AB19+IF(Time!AA29=1,AA53,AA51)*AB11,0)</f>
        <v/>
      </c>
      <c r="AB127" s="11">
        <f>IF(AND(Time!AB17&gt;=Time!$F$11,Time!AB17&lt;57),(IF(Time!AB29=1,AB53,AB51)-AB50)*AC19+IF(Time!AB29=1,AB53,AB51)*AC11,0)</f>
        <v/>
      </c>
      <c r="AC127" s="11">
        <f>IF(AND(Time!AC17&gt;=Time!$F$11,Time!AC17&lt;57),(IF(Time!AC29=1,AC53,AC51)-AC50)*AD19+IF(Time!AC29=1,AC53,AC51)*AD11,0)</f>
        <v/>
      </c>
      <c r="AD127" s="11">
        <f>IF(AND(Time!AD17&gt;=Time!$F$11,Time!AD17&lt;57),(IF(Time!AD29=1,AD53,AD51)-AD50)*AE19+IF(Time!AD29=1,AD53,AD51)*AE11,0)</f>
        <v/>
      </c>
      <c r="AE127" s="11">
        <f>IF(AND(Time!AE17&gt;=Time!$F$11,Time!AE17&lt;57),(IF(Time!AE29=1,AE53,AE51)-AE50)*AF19+IF(Time!AE29=1,AE53,AE51)*AF11,0)</f>
        <v/>
      </c>
      <c r="AF127" s="11">
        <f>IF(AND(Time!AF17&gt;=Time!$F$11,Time!AF17&lt;57),(IF(Time!AF29=1,AF53,AF51)-AF50)*AG19+IF(Time!AF29=1,AF53,AF51)*AG11,0)</f>
        <v/>
      </c>
      <c r="AG127" s="11">
        <f>IF(AND(Time!AG17&gt;=Time!$F$11,Time!AG17&lt;57),(IF(Time!AG29=1,AG53,AG51)-AG50)*AH19+IF(Time!AG29=1,AG53,AG51)*AH11,0)</f>
        <v/>
      </c>
      <c r="AH127" s="11">
        <f>IF(AND(Time!AH17&gt;=Time!$F$11,Time!AH17&lt;57),(IF(Time!AH29=1,AH53,AH51)-AH50)*AI19+IF(Time!AH29=1,AH53,AH51)*AI11,0)</f>
        <v/>
      </c>
      <c r="AI127" s="11">
        <f>IF(AND(Time!AI17&gt;=Time!$F$11,Time!AI17&lt;57),(IF(Time!AI29=1,AI53,AI51)-AI50)*AJ19+IF(Time!AI29=1,AI53,AI51)*AJ11,0)</f>
        <v/>
      </c>
      <c r="AJ127" s="11">
        <f>IF(AND(Time!AJ17&gt;=Time!$F$11,Time!AJ17&lt;57),(IF(Time!AJ29=1,AJ53,AJ51)-AJ50)*AK19+IF(Time!AJ29=1,AJ53,AJ51)*AK11,0)</f>
        <v/>
      </c>
      <c r="AK127" s="11">
        <f>IF(AND(Time!AK17&gt;=Time!$F$11,Time!AK17&lt;57),(IF(Time!AK29=1,AK53,AK51)-AK50)*AL19+IF(Time!AK29=1,AK53,AK51)*AL11,0)</f>
        <v/>
      </c>
      <c r="AL127" s="11">
        <f>IF(AND(Time!AL17&gt;=Time!$F$11,Time!AL17&lt;57),(IF(Time!AL29=1,AL53,AL51)-AL50)*AM19+IF(Time!AL29=1,AL53,AL51)*AM11,0)</f>
        <v/>
      </c>
      <c r="AM127" s="11">
        <f>IF(AND(Time!AM17&gt;=Time!$F$11,Time!AM17&lt;57),(IF(Time!AM29=1,AM53,AM51)-AM50)*AN19+IF(Time!AM29=1,AM53,AM51)*AN11,0)</f>
        <v/>
      </c>
      <c r="AN127" s="11">
        <f>IF(AND(Time!AN17&gt;=Time!$F$11,Time!AN17&lt;57),(IF(Time!AN29=1,AN53,AN51)-AN50)*AO19+IF(Time!AN29=1,AN53,AN51)*AO11,0)</f>
        <v/>
      </c>
      <c r="AO127" s="11">
        <f>IF(AND(Time!AO17&gt;=Time!$F$11,Time!AO17&lt;57),(IF(Time!AO29=1,AO53,AO51)-AO50)*AP19+IF(Time!AO29=1,AO53,AO51)*AP11,0)</f>
        <v/>
      </c>
      <c r="AP127" s="11">
        <f>IF(AND(Time!AP17&gt;=Time!$F$11,Time!AP17&lt;57),(IF(Time!AP29=1,AP53,AP51)-AP50)*AQ19+IF(Time!AP29=1,AP53,AP51)*AQ11,0)</f>
        <v/>
      </c>
      <c r="AQ127" s="11">
        <f>IF(AND(Time!AQ17&gt;=Time!$F$11,Time!AQ17&lt;57),(IF(Time!AQ29=1,AQ53,AQ51)-AQ50)*AR19+IF(Time!AQ29=1,AQ53,AQ51)*AR11,0)</f>
        <v/>
      </c>
      <c r="AR127" s="11">
        <f>IF(AND(Time!AR17&gt;=Time!$F$11,Time!AR17&lt;57),(IF(Time!AR29=1,AR53,AR51)-AR50)*AS19+IF(Time!AR29=1,AR53,AR51)*AS11,0)</f>
        <v/>
      </c>
      <c r="AS127" s="11">
        <f>IF(AND(Time!AS17&gt;=Time!$F$11,Time!AS17&lt;57),(IF(Time!AS29=1,AS53,AS51)-AS50)*AT19+IF(Time!AS29=1,AS53,AS51)*AT11,0)</f>
        <v/>
      </c>
      <c r="AT127" s="11">
        <f>IF(AND(Time!AT17&gt;=Time!$F$11,Time!AT17&lt;57),(IF(Time!AT29=1,AT53,AT51)-AT50)*AU19+IF(Time!AT29=1,AT53,AT51)*AU11,0)</f>
        <v/>
      </c>
      <c r="AU127" s="11">
        <f>IF(AND(Time!AU17&gt;=Time!$F$11,Time!AU17&lt;57),(IF(Time!AU29=1,AU53,AU51)-AU50)*AV19+IF(Time!AU29=1,AU53,AU51)*AV11,0)</f>
        <v/>
      </c>
      <c r="AV127" s="11">
        <f>IF(AND(Time!AV17&gt;=Time!$F$11,Time!AV17&lt;57),(IF(Time!AV29=1,AV53,AV51)-AV50)*AW19+IF(Time!AV29=1,AV53,AV51)*AW11,0)</f>
        <v/>
      </c>
      <c r="AW127" s="11">
        <f>IF(AND(Time!AW17&gt;=Time!$F$11,Time!AW17&lt;57),(IF(Time!AW29=1,AW53,AW51)-AW50)*AX19+IF(Time!AW29=1,AW53,AW51)*AX11,0)</f>
        <v/>
      </c>
      <c r="AX127" s="11">
        <f>IF(AND(Time!AX17&gt;=Time!$F$11,Time!AX17&lt;57),(IF(Time!AX29=1,AX53,AX51)-AX50)*AY19+IF(Time!AX29=1,AX53,AX51)*AY11,0)</f>
        <v/>
      </c>
      <c r="AY127" s="11">
        <f>IF(AND(Time!AY17&gt;=Time!$F$11,Time!AY17&lt;57),(IF(Time!AY29=1,AY53,AY51)-AY50)*AZ19+IF(Time!AY29=1,AY53,AY51)*AZ11,0)</f>
        <v/>
      </c>
      <c r="AZ127" s="11">
        <f>IF(AND(Time!AZ17&gt;=Time!$F$11,Time!AZ17&lt;57),(IF(Time!AZ29=1,AZ53,AZ51)-AZ50)*BA19+IF(Time!AZ29=1,AZ53,AZ51)*BA11,0)</f>
        <v/>
      </c>
      <c r="BA127" s="11">
        <f>IF(AND(Time!BA17&gt;=Time!$F$11,Time!BA17&lt;57),(IF(Time!BA29=1,BA53,BA51)-BA50)*BB19+IF(Time!BA29=1,BA53,BA51)*BB11,0)</f>
        <v/>
      </c>
      <c r="BB127" s="11">
        <f>IF(AND(Time!BB17&gt;=Time!$F$11,Time!BB17&lt;57),(IF(Time!BB29=1,BB53,BB51)-BB50)*BC19+IF(Time!BB29=1,BB53,BB51)*BC11,0)</f>
        <v/>
      </c>
      <c r="BC127" s="11">
        <f>IF(AND(Time!BC17&gt;=Time!$F$11,Time!BC17&lt;57),(IF(Time!BC29=1,BC53,BC51)-BC50)*BD19+IF(Time!BC29=1,BC53,BC51)*BD11,0)</f>
        <v/>
      </c>
      <c r="BD127" s="11">
        <f>IF(AND(Time!BD17&gt;=Time!$F$11,Time!BD17&lt;57),(IF(Time!BD29=1,BD53,BD51)-BD50)*BE19+IF(Time!BD29=1,BD53,BD51)*BE11,0)</f>
        <v/>
      </c>
      <c r="BE127" s="11">
        <f>IF(AND(Time!BE17&gt;=Time!$F$11,Time!BE17&lt;57),(IF(Time!BE29=1,BE53,BE51)-BE50)*BF19+IF(Time!BE29=1,BE53,BE51)*BF11,0)</f>
        <v/>
      </c>
      <c r="BF127" s="11">
        <f>IF(AND(Time!BF17&gt;=Time!$F$11,Time!BF17&lt;57),(IF(Time!BF29=1,BF53,BF51)-BF50)*BG19+IF(Time!BF29=1,BF53,BF51)*BG11,0)</f>
        <v/>
      </c>
      <c r="BG127" s="11">
        <f>IF(AND(Time!BG17&gt;=Time!$F$11,Time!BG17&lt;57),(IF(Time!BG29=1,BG53,BG51)-BG50)*BH19+IF(Time!BG29=1,BG53,BG51)*BH11,0)</f>
        <v/>
      </c>
      <c r="BH127" s="11">
        <f>IF(AND(Time!BH17&gt;=Time!$F$11,Time!BH17&lt;57),(IF(Time!BH29=1,BH53,BH51)-BH50)*BI19+IF(Time!BH29=1,BH53,BH51)*BI11,0)</f>
        <v/>
      </c>
      <c r="BI127" s="11">
        <f>IF(AND(Time!BI17&gt;=Time!$F$11,Time!BI17&lt;57),(IF(Time!BI29=1,BI53,BI51)-BI50)*BJ19+IF(Time!BI29=1,BI53,BI51)*BJ11,0)</f>
        <v/>
      </c>
      <c r="BJ127" s="11">
        <f>IF(AND(Time!BJ17&gt;=Time!$F$11,Time!BJ17&lt;57),(IF(Time!BJ29=1,BJ53,BJ51)-BJ50)*BK19+IF(Time!BJ29=1,BJ53,BJ51)*BK11,0)</f>
        <v/>
      </c>
      <c r="BK127" s="11">
        <f>IF(AND(Time!BK17&gt;=Time!$F$11,Time!BK17&lt;57),(IF(Time!BK29=1,BK53,BK51)-BK50)*BL19+IF(Time!BK29=1,BK53,BK51)*BL11,0)</f>
        <v/>
      </c>
      <c r="BL127" s="11">
        <f>IF(AND(Time!BL17&gt;=Time!$F$11,Time!BL17&lt;57),(IF(Time!BL29=1,BL53,BL51)-BL50)*BM19+IF(Time!BL29=1,BL53,BL51)*BM11,0)</f>
        <v/>
      </c>
      <c r="BM127" s="11">
        <f>IF(AND(Time!BM17&gt;=Time!$F$11,Time!BM17&lt;57),(IF(Time!BM29=1,BM53,BM51)-BM50)*BN19+IF(Time!BM29=1,BM53,BM51)*BN11,0)</f>
        <v/>
      </c>
      <c r="BN127" s="11">
        <f>IF(AND(Time!BN17&gt;=Time!$F$11,Time!BN17&lt;57),(IF(Time!BN29=1,BN53,BN51)-BN50)*0+IF(Time!BN29=1,BN53,BN51)*0,0)</f>
        <v/>
      </c>
    </row>
    <row r="128">
      <c r="D128" t="inlineStr">
        <is>
          <t>ABDB B-loan: next period debt service</t>
        </is>
      </c>
      <c r="E128" t="inlineStr">
        <is>
          <t>USD m</t>
        </is>
      </c>
      <c r="J128" s="11">
        <f>IF(AND(Time!J17&gt;=Time!$F$11,Time!J17&lt;57),(IF(Time!J29=1,J68,J66)-J65)*K19+IF(Time!J29=1,J68,J66)*K12,0)</f>
        <v/>
      </c>
      <c r="K128" s="11">
        <f>IF(AND(Time!K17&gt;=Time!$F$11,Time!K17&lt;57),(IF(Time!K29=1,K68,K66)-K65)*L19+IF(Time!K29=1,K68,K66)*L12,0)</f>
        <v/>
      </c>
      <c r="L128" s="11">
        <f>IF(AND(Time!L17&gt;=Time!$F$11,Time!L17&lt;57),(IF(Time!L29=1,L68,L66)-L65)*M19+IF(Time!L29=1,L68,L66)*M12,0)</f>
        <v/>
      </c>
      <c r="M128" s="11">
        <f>IF(AND(Time!M17&gt;=Time!$F$11,Time!M17&lt;57),(IF(Time!M29=1,M68,M66)-M65)*N19+IF(Time!M29=1,M68,M66)*N12,0)</f>
        <v/>
      </c>
      <c r="N128" s="11">
        <f>IF(AND(Time!N17&gt;=Time!$F$11,Time!N17&lt;57),(IF(Time!N29=1,N68,N66)-N65)*O19+IF(Time!N29=1,N68,N66)*O12,0)</f>
        <v/>
      </c>
      <c r="O128" s="11">
        <f>IF(AND(Time!O17&gt;=Time!$F$11,Time!O17&lt;57),(IF(Time!O29=1,O68,O66)-O65)*P19+IF(Time!O29=1,O68,O66)*P12,0)</f>
        <v/>
      </c>
      <c r="P128" s="11">
        <f>IF(AND(Time!P17&gt;=Time!$F$11,Time!P17&lt;57),(IF(Time!P29=1,P68,P66)-P65)*Q19+IF(Time!P29=1,P68,P66)*Q12,0)</f>
        <v/>
      </c>
      <c r="Q128" s="11">
        <f>IF(AND(Time!Q17&gt;=Time!$F$11,Time!Q17&lt;57),(IF(Time!Q29=1,Q68,Q66)-Q65)*R19+IF(Time!Q29=1,Q68,Q66)*R12,0)</f>
        <v/>
      </c>
      <c r="R128" s="11">
        <f>IF(AND(Time!R17&gt;=Time!$F$11,Time!R17&lt;57),(IF(Time!R29=1,R68,R66)-R65)*S19+IF(Time!R29=1,R68,R66)*S12,0)</f>
        <v/>
      </c>
      <c r="S128" s="11">
        <f>IF(AND(Time!S17&gt;=Time!$F$11,Time!S17&lt;57),(IF(Time!S29=1,S68,S66)-S65)*T19+IF(Time!S29=1,S68,S66)*T12,0)</f>
        <v/>
      </c>
      <c r="T128" s="11">
        <f>IF(AND(Time!T17&gt;=Time!$F$11,Time!T17&lt;57),(IF(Time!T29=1,T68,T66)-T65)*U19+U22*MIN($F$60/4,T65)+IF(Time!T29=1,T68,T66)*U12,0)</f>
        <v/>
      </c>
      <c r="U128" s="11">
        <f>IF(AND(Time!U17&gt;=Time!$F$11,Time!U17&lt;57),(IF(Time!U29=1,U68,U66)-U65)*V19+V22*MIN($F$60/4,U65)+IF(Time!U29=1,U68,U66)*V12,0)</f>
        <v/>
      </c>
      <c r="V128" s="11">
        <f>IF(AND(Time!V17&gt;=Time!$F$11,Time!V17&lt;57),(IF(Time!V29=1,V68,V66)-V65)*W19+W22*MIN($F$60/4,V65)+IF(Time!V29=1,V68,V66)*W12,0)</f>
        <v/>
      </c>
      <c r="W128" s="11">
        <f>IF(AND(Time!W17&gt;=Time!$F$11,Time!W17&lt;57),(IF(Time!W29=1,W68,W66)-W65)*X19+X22*MIN($F$60/4,W65)+IF(Time!W29=1,W68,W66)*X12,0)</f>
        <v/>
      </c>
      <c r="X128" s="11">
        <f>IF(AND(Time!X17&gt;=Time!$F$11,Time!X17&lt;57),(IF(Time!X29=1,X68,X66)-X65)*Y19+IF(Time!X29=1,X68,X66)*Y12,0)</f>
        <v/>
      </c>
      <c r="Y128" s="11">
        <f>IF(AND(Time!Y17&gt;=Time!$F$11,Time!Y17&lt;57),(IF(Time!Y29=1,Y68,Y66)-Y65)*Z19+IF(Time!Y29=1,Y68,Y66)*Z12,0)</f>
        <v/>
      </c>
      <c r="Z128" s="11">
        <f>IF(AND(Time!Z17&gt;=Time!$F$11,Time!Z17&lt;57),(IF(Time!Z29=1,Z68,Z66)-Z65)*AA19+IF(Time!Z29=1,Z68,Z66)*AA12,0)</f>
        <v/>
      </c>
      <c r="AA128" s="11">
        <f>IF(AND(Time!AA17&gt;=Time!$F$11,Time!AA17&lt;57),(IF(Time!AA29=1,AA68,AA66)-AA65)*AB19+IF(Time!AA29=1,AA68,AA66)*AB12,0)</f>
        <v/>
      </c>
      <c r="AB128" s="11">
        <f>IF(AND(Time!AB17&gt;=Time!$F$11,Time!AB17&lt;57),(IF(Time!AB29=1,AB68,AB66)-AB65)*AC19+IF(Time!AB29=1,AB68,AB66)*AC12,0)</f>
        <v/>
      </c>
      <c r="AC128" s="11">
        <f>IF(AND(Time!AC17&gt;=Time!$F$11,Time!AC17&lt;57),(IF(Time!AC29=1,AC68,AC66)-AC65)*AD19+IF(Time!AC29=1,AC68,AC66)*AD12,0)</f>
        <v/>
      </c>
      <c r="AD128" s="11">
        <f>IF(AND(Time!AD17&gt;=Time!$F$11,Time!AD17&lt;57),(IF(Time!AD29=1,AD68,AD66)-AD65)*AE19+IF(Time!AD29=1,AD68,AD66)*AE12,0)</f>
        <v/>
      </c>
      <c r="AE128" s="11">
        <f>IF(AND(Time!AE17&gt;=Time!$F$11,Time!AE17&lt;57),(IF(Time!AE29=1,AE68,AE66)-AE65)*AF19+IF(Time!AE29=1,AE68,AE66)*AF12,0)</f>
        <v/>
      </c>
      <c r="AF128" s="11">
        <f>IF(AND(Time!AF17&gt;=Time!$F$11,Time!AF17&lt;57),(IF(Time!AF29=1,AF68,AF66)-AF65)*AG19+IF(Time!AF29=1,AF68,AF66)*AG12,0)</f>
        <v/>
      </c>
      <c r="AG128" s="11">
        <f>IF(AND(Time!AG17&gt;=Time!$F$11,Time!AG17&lt;57),(IF(Time!AG29=1,AG68,AG66)-AG65)*AH19+IF(Time!AG29=1,AG68,AG66)*AH12,0)</f>
        <v/>
      </c>
      <c r="AH128" s="11">
        <f>IF(AND(Time!AH17&gt;=Time!$F$11,Time!AH17&lt;57),(IF(Time!AH29=1,AH68,AH66)-AH65)*AI19+IF(Time!AH29=1,AH68,AH66)*AI12,0)</f>
        <v/>
      </c>
      <c r="AI128" s="11">
        <f>IF(AND(Time!AI17&gt;=Time!$F$11,Time!AI17&lt;57),(IF(Time!AI29=1,AI68,AI66)-AI65)*AJ19+IF(Time!AI29=1,AI68,AI66)*AJ12,0)</f>
        <v/>
      </c>
      <c r="AJ128" s="11">
        <f>IF(AND(Time!AJ17&gt;=Time!$F$11,Time!AJ17&lt;57),(IF(Time!AJ29=1,AJ68,AJ66)-AJ65)*AK19+IF(Time!AJ29=1,AJ68,AJ66)*AK12,0)</f>
        <v/>
      </c>
      <c r="AK128" s="11">
        <f>IF(AND(Time!AK17&gt;=Time!$F$11,Time!AK17&lt;57),(IF(Time!AK29=1,AK68,AK66)-AK65)*AL19+IF(Time!AK29=1,AK68,AK66)*AL12,0)</f>
        <v/>
      </c>
      <c r="AL128" s="11">
        <f>IF(AND(Time!AL17&gt;=Time!$F$11,Time!AL17&lt;57),(IF(Time!AL29=1,AL68,AL66)-AL65)*AM19+IF(Time!AL29=1,AL68,AL66)*AM12,0)</f>
        <v/>
      </c>
      <c r="AM128" s="11">
        <f>IF(AND(Time!AM17&gt;=Time!$F$11,Time!AM17&lt;57),(IF(Time!AM29=1,AM68,AM66)-AM65)*AN19+IF(Time!AM29=1,AM68,AM66)*AN12,0)</f>
        <v/>
      </c>
      <c r="AN128" s="11">
        <f>IF(AND(Time!AN17&gt;=Time!$F$11,Time!AN17&lt;57),(IF(Time!AN29=1,AN68,AN66)-AN65)*AO19+IF(Time!AN29=1,AN68,AN66)*AO12,0)</f>
        <v/>
      </c>
      <c r="AO128" s="11">
        <f>IF(AND(Time!AO17&gt;=Time!$F$11,Time!AO17&lt;57),(IF(Time!AO29=1,AO68,AO66)-AO65)*AP19+IF(Time!AO29=1,AO68,AO66)*AP12,0)</f>
        <v/>
      </c>
      <c r="AP128" s="11">
        <f>IF(AND(Time!AP17&gt;=Time!$F$11,Time!AP17&lt;57),(IF(Time!AP29=1,AP68,AP66)-AP65)*AQ19+IF(Time!AP29=1,AP68,AP66)*AQ12,0)</f>
        <v/>
      </c>
      <c r="AQ128" s="11">
        <f>IF(AND(Time!AQ17&gt;=Time!$F$11,Time!AQ17&lt;57),(IF(Time!AQ29=1,AQ68,AQ66)-AQ65)*AR19+IF(Time!AQ29=1,AQ68,AQ66)*AR12,0)</f>
        <v/>
      </c>
      <c r="AR128" s="11">
        <f>IF(AND(Time!AR17&gt;=Time!$F$11,Time!AR17&lt;57),(IF(Time!AR29=1,AR68,AR66)-AR65)*AS19+IF(Time!AR29=1,AR68,AR66)*AS12,0)</f>
        <v/>
      </c>
      <c r="AS128" s="11">
        <f>IF(AND(Time!AS17&gt;=Time!$F$11,Time!AS17&lt;57),(IF(Time!AS29=1,AS68,AS66)-AS65)*AT19+IF(Time!AS29=1,AS68,AS66)*AT12,0)</f>
        <v/>
      </c>
      <c r="AT128" s="11">
        <f>IF(AND(Time!AT17&gt;=Time!$F$11,Time!AT17&lt;57),(IF(Time!AT29=1,AT68,AT66)-AT65)*AU19+IF(Time!AT29=1,AT68,AT66)*AU12,0)</f>
        <v/>
      </c>
      <c r="AU128" s="11">
        <f>IF(AND(Time!AU17&gt;=Time!$F$11,Time!AU17&lt;57),(IF(Time!AU29=1,AU68,AU66)-AU65)*AV19+IF(Time!AU29=1,AU68,AU66)*AV12,0)</f>
        <v/>
      </c>
      <c r="AV128" s="11">
        <f>IF(AND(Time!AV17&gt;=Time!$F$11,Time!AV17&lt;57),(IF(Time!AV29=1,AV68,AV66)-AV65)*AW19+IF(Time!AV29=1,AV68,AV66)*AW12,0)</f>
        <v/>
      </c>
      <c r="AW128" s="11">
        <f>IF(AND(Time!AW17&gt;=Time!$F$11,Time!AW17&lt;57),(IF(Time!AW29=1,AW68,AW66)-AW65)*AX19+IF(Time!AW29=1,AW68,AW66)*AX12,0)</f>
        <v/>
      </c>
      <c r="AX128" s="11">
        <f>IF(AND(Time!AX17&gt;=Time!$F$11,Time!AX17&lt;57),(IF(Time!AX29=1,AX68,AX66)-AX65)*AY19+IF(Time!AX29=1,AX68,AX66)*AY12,0)</f>
        <v/>
      </c>
      <c r="AY128" s="11">
        <f>IF(AND(Time!AY17&gt;=Time!$F$11,Time!AY17&lt;57),(IF(Time!AY29=1,AY68,AY66)-AY65)*AZ19+IF(Time!AY29=1,AY68,AY66)*AZ12,0)</f>
        <v/>
      </c>
      <c r="AZ128" s="11">
        <f>IF(AND(Time!AZ17&gt;=Time!$F$11,Time!AZ17&lt;57),(IF(Time!AZ29=1,AZ68,AZ66)-AZ65)*BA19+IF(Time!AZ29=1,AZ68,AZ66)*BA12,0)</f>
        <v/>
      </c>
      <c r="BA128" s="11">
        <f>IF(AND(Time!BA17&gt;=Time!$F$11,Time!BA17&lt;57),(IF(Time!BA29=1,BA68,BA66)-BA65)*BB19+IF(Time!BA29=1,BA68,BA66)*BB12,0)</f>
        <v/>
      </c>
      <c r="BB128" s="11">
        <f>IF(AND(Time!BB17&gt;=Time!$F$11,Time!BB17&lt;57),(IF(Time!BB29=1,BB68,BB66)-BB65)*BC19+IF(Time!BB29=1,BB68,BB66)*BC12,0)</f>
        <v/>
      </c>
      <c r="BC128" s="11">
        <f>IF(AND(Time!BC17&gt;=Time!$F$11,Time!BC17&lt;57),(IF(Time!BC29=1,BC68,BC66)-BC65)*BD19+IF(Time!BC29=1,BC68,BC66)*BD12,0)</f>
        <v/>
      </c>
      <c r="BD128" s="11">
        <f>IF(AND(Time!BD17&gt;=Time!$F$11,Time!BD17&lt;57),(IF(Time!BD29=1,BD68,BD66)-BD65)*BE19+IF(Time!BD29=1,BD68,BD66)*BE12,0)</f>
        <v/>
      </c>
      <c r="BE128" s="11">
        <f>IF(AND(Time!BE17&gt;=Time!$F$11,Time!BE17&lt;57),(IF(Time!BE29=1,BE68,BE66)-BE65)*BF19+IF(Time!BE29=1,BE68,BE66)*BF12,0)</f>
        <v/>
      </c>
      <c r="BF128" s="11">
        <f>IF(AND(Time!BF17&gt;=Time!$F$11,Time!BF17&lt;57),(IF(Time!BF29=1,BF68,BF66)-BF65)*BG19+IF(Time!BF29=1,BF68,BF66)*BG12,0)</f>
        <v/>
      </c>
      <c r="BG128" s="11">
        <f>IF(AND(Time!BG17&gt;=Time!$F$11,Time!BG17&lt;57),(IF(Time!BG29=1,BG68,BG66)-BG65)*BH19+IF(Time!BG29=1,BG68,BG66)*BH12,0)</f>
        <v/>
      </c>
      <c r="BH128" s="11">
        <f>IF(AND(Time!BH17&gt;=Time!$F$11,Time!BH17&lt;57),(IF(Time!BH29=1,BH68,BH66)-BH65)*BI19+IF(Time!BH29=1,BH68,BH66)*BI12,0)</f>
        <v/>
      </c>
      <c r="BI128" s="11">
        <f>IF(AND(Time!BI17&gt;=Time!$F$11,Time!BI17&lt;57),(IF(Time!BI29=1,BI68,BI66)-BI65)*BJ19+IF(Time!BI29=1,BI68,BI66)*BJ12,0)</f>
        <v/>
      </c>
      <c r="BJ128" s="11">
        <f>IF(AND(Time!BJ17&gt;=Time!$F$11,Time!BJ17&lt;57),(IF(Time!BJ29=1,BJ68,BJ66)-BJ65)*BK19+IF(Time!BJ29=1,BJ68,BJ66)*BK12,0)</f>
        <v/>
      </c>
      <c r="BK128" s="11">
        <f>IF(AND(Time!BK17&gt;=Time!$F$11,Time!BK17&lt;57),(IF(Time!BK29=1,BK68,BK66)-BK65)*BL19+IF(Time!BK29=1,BK68,BK66)*BL12,0)</f>
        <v/>
      </c>
      <c r="BL128" s="11">
        <f>IF(AND(Time!BL17&gt;=Time!$F$11,Time!BL17&lt;57),(IF(Time!BL29=1,BL68,BL66)-BL65)*BM19+IF(Time!BL29=1,BL68,BL66)*BM12,0)</f>
        <v/>
      </c>
      <c r="BM128" s="11">
        <f>IF(AND(Time!BM17&gt;=Time!$F$11,Time!BM17&lt;57),(IF(Time!BM29=1,BM68,BM66)-BM65)*BN19+IF(Time!BM29=1,BM68,BM66)*BN12,0)</f>
        <v/>
      </c>
      <c r="BN128" s="11">
        <f>IF(AND(Time!BN17&gt;=Time!$F$11,Time!BN17&lt;57),(IF(Time!BN29=1,BN68,BN66)-BN65)*0+IF(Time!BN29=1,BN68,BN66)*0,0)</f>
        <v/>
      </c>
    </row>
    <row r="129">
      <c r="D129" t="inlineStr">
        <is>
          <t>Commercial tranche: next period debt service</t>
        </is>
      </c>
      <c r="E129" t="inlineStr">
        <is>
          <t>USD m</t>
        </is>
      </c>
      <c r="J129" s="11">
        <f>IF(AND(Time!J17&gt;=Time!$F$11,Time!J17&lt;57),(IF(Time!J29=1,J83,J81)-J80)*K19+IF(Time!J29=1,J83,J81)*K13,0)</f>
        <v/>
      </c>
      <c r="K129" s="11">
        <f>IF(AND(Time!K17&gt;=Time!$F$11,Time!K17&lt;57),(IF(Time!K29=1,K83,K81)-K80)*L19+IF(Time!K29=1,K83,K81)*L13,0)</f>
        <v/>
      </c>
      <c r="L129" s="11">
        <f>IF(AND(Time!L17&gt;=Time!$F$11,Time!L17&lt;57),(IF(Time!L29=1,L83,L81)-L80)*M19+IF(Time!L29=1,L83,L81)*M13,0)</f>
        <v/>
      </c>
      <c r="M129" s="11">
        <f>IF(AND(Time!M17&gt;=Time!$F$11,Time!M17&lt;57),(IF(Time!M29=1,M83,M81)-M80)*N19+IF(Time!M29=1,M83,M81)*N13,0)</f>
        <v/>
      </c>
      <c r="N129" s="11">
        <f>IF(AND(Time!N17&gt;=Time!$F$11,Time!N17&lt;57),(IF(Time!N29=1,N83,N81)-N80)*O19+IF(Time!N29=1,N83,N81)*O13,0)</f>
        <v/>
      </c>
      <c r="O129" s="11">
        <f>IF(AND(Time!O17&gt;=Time!$F$11,Time!O17&lt;57),(IF(Time!O29=1,O83,O81)-O80)*P19+IF(Time!O29=1,O83,O81)*P13,0)</f>
        <v/>
      </c>
      <c r="P129" s="11">
        <f>IF(AND(Time!P17&gt;=Time!$F$11,Time!P17&lt;57),(IF(Time!P29=1,P83,P81)-P80)*Q19+IF(Time!P29=1,P83,P81)*Q13,0)</f>
        <v/>
      </c>
      <c r="Q129" s="11">
        <f>IF(AND(Time!Q17&gt;=Time!$F$11,Time!Q17&lt;57),(IF(Time!Q29=1,Q83,Q81)-Q80)*R19+IF(Time!Q29=1,Q83,Q81)*R13,0)</f>
        <v/>
      </c>
      <c r="R129" s="11">
        <f>IF(AND(Time!R17&gt;=Time!$F$11,Time!R17&lt;57),(IF(Time!R29=1,R83,R81)-R80)*S19+IF(Time!R29=1,R83,R81)*S13,0)</f>
        <v/>
      </c>
      <c r="S129" s="11">
        <f>IF(AND(Time!S17&gt;=Time!$F$11,Time!S17&lt;57),(IF(Time!S29=1,S83,S81)-S80)*T19+IF(Time!S29=1,S83,S81)*T13,0)</f>
        <v/>
      </c>
      <c r="T129" s="11">
        <f>IF(AND(Time!T17&gt;=Time!$F$11,Time!T17&lt;57),(IF(Time!T29=1,T83,T81)-T80)*U19+U22*MIN($F$75/4,T80)+IF(Time!T29=1,T83,T81)*U13,0)</f>
        <v/>
      </c>
      <c r="U129" s="11">
        <f>IF(AND(Time!U17&gt;=Time!$F$11,Time!U17&lt;57),(IF(Time!U29=1,U83,U81)-U80)*V19+V22*MIN($F$75/4,U80)+IF(Time!U29=1,U83,U81)*V13,0)</f>
        <v/>
      </c>
      <c r="V129" s="11">
        <f>IF(AND(Time!V17&gt;=Time!$F$11,Time!V17&lt;57),(IF(Time!V29=1,V83,V81)-V80)*W19+W22*MIN($F$75/4,V80)+IF(Time!V29=1,V83,V81)*W13,0)</f>
        <v/>
      </c>
      <c r="W129" s="11">
        <f>IF(AND(Time!W17&gt;=Time!$F$11,Time!W17&lt;57),(IF(Time!W29=1,W83,W81)-W80)*X19+X22*MIN($F$75/4,W80)+IF(Time!W29=1,W83,W81)*X13,0)</f>
        <v/>
      </c>
      <c r="X129" s="11">
        <f>IF(AND(Time!X17&gt;=Time!$F$11,Time!X17&lt;57),(IF(Time!X29=1,X83,X81)-X80)*Y19+IF(Time!X29=1,X83,X81)*Y13,0)</f>
        <v/>
      </c>
      <c r="Y129" s="11">
        <f>IF(AND(Time!Y17&gt;=Time!$F$11,Time!Y17&lt;57),(IF(Time!Y29=1,Y83,Y81)-Y80)*Z19+IF(Time!Y29=1,Y83,Y81)*Z13,0)</f>
        <v/>
      </c>
      <c r="Z129" s="11">
        <f>IF(AND(Time!Z17&gt;=Time!$F$11,Time!Z17&lt;57),(IF(Time!Z29=1,Z83,Z81)-Z80)*AA19+IF(Time!Z29=1,Z83,Z81)*AA13,0)</f>
        <v/>
      </c>
      <c r="AA129" s="11">
        <f>IF(AND(Time!AA17&gt;=Time!$F$11,Time!AA17&lt;57),(IF(Time!AA29=1,AA83,AA81)-AA80)*AB19+IF(Time!AA29=1,AA83,AA81)*AB13,0)</f>
        <v/>
      </c>
      <c r="AB129" s="11">
        <f>IF(AND(Time!AB17&gt;=Time!$F$11,Time!AB17&lt;57),(IF(Time!AB29=1,AB83,AB81)-AB80)*AC19+IF(Time!AB29=1,AB83,AB81)*AC13,0)</f>
        <v/>
      </c>
      <c r="AC129" s="11">
        <f>IF(AND(Time!AC17&gt;=Time!$F$11,Time!AC17&lt;57),(IF(Time!AC29=1,AC83,AC81)-AC80)*AD19+IF(Time!AC29=1,AC83,AC81)*AD13,0)</f>
        <v/>
      </c>
      <c r="AD129" s="11">
        <f>IF(AND(Time!AD17&gt;=Time!$F$11,Time!AD17&lt;57),(IF(Time!AD29=1,AD83,AD81)-AD80)*AE19+IF(Time!AD29=1,AD83,AD81)*AE13,0)</f>
        <v/>
      </c>
      <c r="AE129" s="11">
        <f>IF(AND(Time!AE17&gt;=Time!$F$11,Time!AE17&lt;57),(IF(Time!AE29=1,AE83,AE81)-AE80)*AF19+IF(Time!AE29=1,AE83,AE81)*AF13,0)</f>
        <v/>
      </c>
      <c r="AF129" s="11">
        <f>IF(AND(Time!AF17&gt;=Time!$F$11,Time!AF17&lt;57),(IF(Time!AF29=1,AF83,AF81)-AF80)*AG19+IF(Time!AF29=1,AF83,AF81)*AG13,0)</f>
        <v/>
      </c>
      <c r="AG129" s="11">
        <f>IF(AND(Time!AG17&gt;=Time!$F$11,Time!AG17&lt;57),(IF(Time!AG29=1,AG83,AG81)-AG80)*AH19+IF(Time!AG29=1,AG83,AG81)*AH13,0)</f>
        <v/>
      </c>
      <c r="AH129" s="11">
        <f>IF(AND(Time!AH17&gt;=Time!$F$11,Time!AH17&lt;57),(IF(Time!AH29=1,AH83,AH81)-AH80)*AI19+IF(Time!AH29=1,AH83,AH81)*AI13,0)</f>
        <v/>
      </c>
      <c r="AI129" s="11">
        <f>IF(AND(Time!AI17&gt;=Time!$F$11,Time!AI17&lt;57),(IF(Time!AI29=1,AI83,AI81)-AI80)*AJ19+IF(Time!AI29=1,AI83,AI81)*AJ13,0)</f>
        <v/>
      </c>
      <c r="AJ129" s="11">
        <f>IF(AND(Time!AJ17&gt;=Time!$F$11,Time!AJ17&lt;57),(IF(Time!AJ29=1,AJ83,AJ81)-AJ80)*AK19+IF(Time!AJ29=1,AJ83,AJ81)*AK13,0)</f>
        <v/>
      </c>
      <c r="AK129" s="11">
        <f>IF(AND(Time!AK17&gt;=Time!$F$11,Time!AK17&lt;57),(IF(Time!AK29=1,AK83,AK81)-AK80)*AL19+IF(Time!AK29=1,AK83,AK81)*AL13,0)</f>
        <v/>
      </c>
      <c r="AL129" s="11">
        <f>IF(AND(Time!AL17&gt;=Time!$F$11,Time!AL17&lt;57),(IF(Time!AL29=1,AL83,AL81)-AL80)*AM19+IF(Time!AL29=1,AL83,AL81)*AM13,0)</f>
        <v/>
      </c>
      <c r="AM129" s="11">
        <f>IF(AND(Time!AM17&gt;=Time!$F$11,Time!AM17&lt;57),(IF(Time!AM29=1,AM83,AM81)-AM80)*AN19+IF(Time!AM29=1,AM83,AM81)*AN13,0)</f>
        <v/>
      </c>
      <c r="AN129" s="11">
        <f>IF(AND(Time!AN17&gt;=Time!$F$11,Time!AN17&lt;57),(IF(Time!AN29=1,AN83,AN81)-AN80)*AO19+IF(Time!AN29=1,AN83,AN81)*AO13,0)</f>
        <v/>
      </c>
      <c r="AO129" s="11">
        <f>IF(AND(Time!AO17&gt;=Time!$F$11,Time!AO17&lt;57),(IF(Time!AO29=1,AO83,AO81)-AO80)*AP19+IF(Time!AO29=1,AO83,AO81)*AP13,0)</f>
        <v/>
      </c>
      <c r="AP129" s="11">
        <f>IF(AND(Time!AP17&gt;=Time!$F$11,Time!AP17&lt;57),(IF(Time!AP29=1,AP83,AP81)-AP80)*AQ19+IF(Time!AP29=1,AP83,AP81)*AQ13,0)</f>
        <v/>
      </c>
      <c r="AQ129" s="11">
        <f>IF(AND(Time!AQ17&gt;=Time!$F$11,Time!AQ17&lt;57),(IF(Time!AQ29=1,AQ83,AQ81)-AQ80)*AR19+IF(Time!AQ29=1,AQ83,AQ81)*AR13,0)</f>
        <v/>
      </c>
      <c r="AR129" s="11">
        <f>IF(AND(Time!AR17&gt;=Time!$F$11,Time!AR17&lt;57),(IF(Time!AR29=1,AR83,AR81)-AR80)*AS19+IF(Time!AR29=1,AR83,AR81)*AS13,0)</f>
        <v/>
      </c>
      <c r="AS129" s="11">
        <f>IF(AND(Time!AS17&gt;=Time!$F$11,Time!AS17&lt;57),(IF(Time!AS29=1,AS83,AS81)-AS80)*AT19+IF(Time!AS29=1,AS83,AS81)*AT13,0)</f>
        <v/>
      </c>
      <c r="AT129" s="11">
        <f>IF(AND(Time!AT17&gt;=Time!$F$11,Time!AT17&lt;57),(IF(Time!AT29=1,AT83,AT81)-AT80)*AU19+IF(Time!AT29=1,AT83,AT81)*AU13,0)</f>
        <v/>
      </c>
      <c r="AU129" s="11">
        <f>IF(AND(Time!AU17&gt;=Time!$F$11,Time!AU17&lt;57),(IF(Time!AU29=1,AU83,AU81)-AU80)*AV19+IF(Time!AU29=1,AU83,AU81)*AV13,0)</f>
        <v/>
      </c>
      <c r="AV129" s="11">
        <f>IF(AND(Time!AV17&gt;=Time!$F$11,Time!AV17&lt;57),(IF(Time!AV29=1,AV83,AV81)-AV80)*AW19+IF(Time!AV29=1,AV83,AV81)*AW13,0)</f>
        <v/>
      </c>
      <c r="AW129" s="11">
        <f>IF(AND(Time!AW17&gt;=Time!$F$11,Time!AW17&lt;57),(IF(Time!AW29=1,AW83,AW81)-AW80)*AX19+IF(Time!AW29=1,AW83,AW81)*AX13,0)</f>
        <v/>
      </c>
      <c r="AX129" s="11">
        <f>IF(AND(Time!AX17&gt;=Time!$F$11,Time!AX17&lt;57),(IF(Time!AX29=1,AX83,AX81)-AX80)*AY19+IF(Time!AX29=1,AX83,AX81)*AY13,0)</f>
        <v/>
      </c>
      <c r="AY129" s="11">
        <f>IF(AND(Time!AY17&gt;=Time!$F$11,Time!AY17&lt;57),(IF(Time!AY29=1,AY83,AY81)-AY80)*AZ19+IF(Time!AY29=1,AY83,AY81)*AZ13,0)</f>
        <v/>
      </c>
      <c r="AZ129" s="11">
        <f>IF(AND(Time!AZ17&gt;=Time!$F$11,Time!AZ17&lt;57),(IF(Time!AZ29=1,AZ83,AZ81)-AZ80)*BA19+IF(Time!AZ29=1,AZ83,AZ81)*BA13,0)</f>
        <v/>
      </c>
      <c r="BA129" s="11">
        <f>IF(AND(Time!BA17&gt;=Time!$F$11,Time!BA17&lt;57),(IF(Time!BA29=1,BA83,BA81)-BA80)*BB19+IF(Time!BA29=1,BA83,BA81)*BB13,0)</f>
        <v/>
      </c>
      <c r="BB129" s="11">
        <f>IF(AND(Time!BB17&gt;=Time!$F$11,Time!BB17&lt;57),(IF(Time!BB29=1,BB83,BB81)-BB80)*BC19+IF(Time!BB29=1,BB83,BB81)*BC13,0)</f>
        <v/>
      </c>
      <c r="BC129" s="11">
        <f>IF(AND(Time!BC17&gt;=Time!$F$11,Time!BC17&lt;57),(IF(Time!BC29=1,BC83,BC81)-BC80)*BD19+IF(Time!BC29=1,BC83,BC81)*BD13,0)</f>
        <v/>
      </c>
      <c r="BD129" s="11">
        <f>IF(AND(Time!BD17&gt;=Time!$F$11,Time!BD17&lt;57),(IF(Time!BD29=1,BD83,BD81)-BD80)*BE19+IF(Time!BD29=1,BD83,BD81)*BE13,0)</f>
        <v/>
      </c>
      <c r="BE129" s="11">
        <f>IF(AND(Time!BE17&gt;=Time!$F$11,Time!BE17&lt;57),(IF(Time!BE29=1,BE83,BE81)-BE80)*BF19+IF(Time!BE29=1,BE83,BE81)*BF13,0)</f>
        <v/>
      </c>
      <c r="BF129" s="11">
        <f>IF(AND(Time!BF17&gt;=Time!$F$11,Time!BF17&lt;57),(IF(Time!BF29=1,BF83,BF81)-BF80)*BG19+IF(Time!BF29=1,BF83,BF81)*BG13,0)</f>
        <v/>
      </c>
      <c r="BG129" s="11">
        <f>IF(AND(Time!BG17&gt;=Time!$F$11,Time!BG17&lt;57),(IF(Time!BG29=1,BG83,BG81)-BG80)*BH19+IF(Time!BG29=1,BG83,BG81)*BH13,0)</f>
        <v/>
      </c>
      <c r="BH129" s="11">
        <f>IF(AND(Time!BH17&gt;=Time!$F$11,Time!BH17&lt;57),(IF(Time!BH29=1,BH83,BH81)-BH80)*BI19+IF(Time!BH29=1,BH83,BH81)*BI13,0)</f>
        <v/>
      </c>
      <c r="BI129" s="11">
        <f>IF(AND(Time!BI17&gt;=Time!$F$11,Time!BI17&lt;57),(IF(Time!BI29=1,BI83,BI81)-BI80)*BJ19+IF(Time!BI29=1,BI83,BI81)*BJ13,0)</f>
        <v/>
      </c>
      <c r="BJ129" s="11">
        <f>IF(AND(Time!BJ17&gt;=Time!$F$11,Time!BJ17&lt;57),(IF(Time!BJ29=1,BJ83,BJ81)-BJ80)*BK19+IF(Time!BJ29=1,BJ83,BJ81)*BK13,0)</f>
        <v/>
      </c>
      <c r="BK129" s="11">
        <f>IF(AND(Time!BK17&gt;=Time!$F$11,Time!BK17&lt;57),(IF(Time!BK29=1,BK83,BK81)-BK80)*BL19+IF(Time!BK29=1,BK83,BK81)*BL13,0)</f>
        <v/>
      </c>
      <c r="BL129" s="11">
        <f>IF(AND(Time!BL17&gt;=Time!$F$11,Time!BL17&lt;57),(IF(Time!BL29=1,BL83,BL81)-BL80)*BM19+IF(Time!BL29=1,BL83,BL81)*BM13,0)</f>
        <v/>
      </c>
      <c r="BM129" s="11">
        <f>IF(AND(Time!BM17&gt;=Time!$F$11,Time!BM17&lt;57),(IF(Time!BM29=1,BM83,BM81)-BM80)*BN19+IF(Time!BM29=1,BM83,BM81)*BN13,0)</f>
        <v/>
      </c>
      <c r="BN129" s="11">
        <f>IF(AND(Time!BN17&gt;=Time!$F$11,Time!BN17&lt;57),(IF(Time!BN29=1,BN83,BN81)-BN80)*0+IF(Time!BN29=1,BN83,BN81)*0,0)</f>
        <v/>
      </c>
    </row>
    <row r="130">
      <c r="D130" t="inlineStr">
        <is>
          <t>Standby facility: next period debt service</t>
        </is>
      </c>
      <c r="E130" t="inlineStr">
        <is>
          <t>USD m</t>
        </is>
      </c>
      <c r="J130" s="11">
        <f>IF(AND(Time!J17&gt;=Time!$F$11,Time!J17&lt;57),(IF(Time!J29=1,J98,J96)-J95)*K19+IF(Time!J29=1,J98,J96)*K14,0)</f>
        <v/>
      </c>
      <c r="K130" s="11">
        <f>IF(AND(Time!K17&gt;=Time!$F$11,Time!K17&lt;57),(IF(Time!K29=1,K98,K96)-K95)*L19+IF(Time!K29=1,K98,K96)*L14,0)</f>
        <v/>
      </c>
      <c r="L130" s="11">
        <f>IF(AND(Time!L17&gt;=Time!$F$11,Time!L17&lt;57),(IF(Time!L29=1,L98,L96)-L95)*M19+IF(Time!L29=1,L98,L96)*M14,0)</f>
        <v/>
      </c>
      <c r="M130" s="11">
        <f>IF(AND(Time!M17&gt;=Time!$F$11,Time!M17&lt;57),(IF(Time!M29=1,M98,M96)-M95)*N19+IF(Time!M29=1,M98,M96)*N14,0)</f>
        <v/>
      </c>
      <c r="N130" s="11">
        <f>IF(AND(Time!N17&gt;=Time!$F$11,Time!N17&lt;57),(IF(Time!N29=1,N98,N96)-N95)*O19+IF(Time!N29=1,N98,N96)*O14,0)</f>
        <v/>
      </c>
      <c r="O130" s="11">
        <f>IF(AND(Time!O17&gt;=Time!$F$11,Time!O17&lt;57),(IF(Time!O29=1,O98,O96)-O95)*P19+IF(Time!O29=1,O98,O96)*P14,0)</f>
        <v/>
      </c>
      <c r="P130" s="11">
        <f>IF(AND(Time!P17&gt;=Time!$F$11,Time!P17&lt;57),(IF(Time!P29=1,P98,P96)-P95)*Q19+IF(Time!P29=1,P98,P96)*Q14,0)</f>
        <v/>
      </c>
      <c r="Q130" s="11">
        <f>IF(AND(Time!Q17&gt;=Time!$F$11,Time!Q17&lt;57),(IF(Time!Q29=1,Q98,Q96)-Q95)*R19+IF(Time!Q29=1,Q98,Q96)*R14,0)</f>
        <v/>
      </c>
      <c r="R130" s="11">
        <f>IF(AND(Time!R17&gt;=Time!$F$11,Time!R17&lt;57),(IF(Time!R29=1,R98,R96)-R95)*S19+IF(Time!R29=1,R98,R96)*S14,0)</f>
        <v/>
      </c>
      <c r="S130" s="11">
        <f>IF(AND(Time!S17&gt;=Time!$F$11,Time!S17&lt;57),(IF(Time!S29=1,S98,S96)-S95)*T19+IF(Time!S29=1,S98,S96)*T14,0)</f>
        <v/>
      </c>
      <c r="T130" s="11">
        <f>IF(AND(Time!T17&gt;=Time!$F$11,Time!T17&lt;57),(IF(Time!T29=1,T98,T96)-T95)*U19+U22*MIN($F$90/4,T95)+IF(Time!T29=1,T98,T96)*U14,0)</f>
        <v/>
      </c>
      <c r="U130" s="11">
        <f>IF(AND(Time!U17&gt;=Time!$F$11,Time!U17&lt;57),(IF(Time!U29=1,U98,U96)-U95)*V19+V22*MIN($F$90/4,U95)+IF(Time!U29=1,U98,U96)*V14,0)</f>
        <v/>
      </c>
      <c r="V130" s="11">
        <f>IF(AND(Time!V17&gt;=Time!$F$11,Time!V17&lt;57),(IF(Time!V29=1,V98,V96)-V95)*W19+W22*MIN($F$90/4,V95)+IF(Time!V29=1,V98,V96)*W14,0)</f>
        <v/>
      </c>
      <c r="W130" s="11">
        <f>IF(AND(Time!W17&gt;=Time!$F$11,Time!W17&lt;57),(IF(Time!W29=1,W98,W96)-W95)*X19+X22*MIN($F$90/4,W95)+IF(Time!W29=1,W98,W96)*X14,0)</f>
        <v/>
      </c>
      <c r="X130" s="11">
        <f>IF(AND(Time!X17&gt;=Time!$F$11,Time!X17&lt;57),(IF(Time!X29=1,X98,X96)-X95)*Y19+IF(Time!X29=1,X98,X96)*Y14,0)</f>
        <v/>
      </c>
      <c r="Y130" s="11">
        <f>IF(AND(Time!Y17&gt;=Time!$F$11,Time!Y17&lt;57),(IF(Time!Y29=1,Y98,Y96)-Y95)*Z19+IF(Time!Y29=1,Y98,Y96)*Z14,0)</f>
        <v/>
      </c>
      <c r="Z130" s="11">
        <f>IF(AND(Time!Z17&gt;=Time!$F$11,Time!Z17&lt;57),(IF(Time!Z29=1,Z98,Z96)-Z95)*AA19+IF(Time!Z29=1,Z98,Z96)*AA14,0)</f>
        <v/>
      </c>
      <c r="AA130" s="11">
        <f>IF(AND(Time!AA17&gt;=Time!$F$11,Time!AA17&lt;57),(IF(Time!AA29=1,AA98,AA96)-AA95)*AB19+IF(Time!AA29=1,AA98,AA96)*AB14,0)</f>
        <v/>
      </c>
      <c r="AB130" s="11">
        <f>IF(AND(Time!AB17&gt;=Time!$F$11,Time!AB17&lt;57),(IF(Time!AB29=1,AB98,AB96)-AB95)*AC19+IF(Time!AB29=1,AB98,AB96)*AC14,0)</f>
        <v/>
      </c>
      <c r="AC130" s="11">
        <f>IF(AND(Time!AC17&gt;=Time!$F$11,Time!AC17&lt;57),(IF(Time!AC29=1,AC98,AC96)-AC95)*AD19+IF(Time!AC29=1,AC98,AC96)*AD14,0)</f>
        <v/>
      </c>
      <c r="AD130" s="11">
        <f>IF(AND(Time!AD17&gt;=Time!$F$11,Time!AD17&lt;57),(IF(Time!AD29=1,AD98,AD96)-AD95)*AE19+IF(Time!AD29=1,AD98,AD96)*AE14,0)</f>
        <v/>
      </c>
      <c r="AE130" s="11">
        <f>IF(AND(Time!AE17&gt;=Time!$F$11,Time!AE17&lt;57),(IF(Time!AE29=1,AE98,AE96)-AE95)*AF19+IF(Time!AE29=1,AE98,AE96)*AF14,0)</f>
        <v/>
      </c>
      <c r="AF130" s="11">
        <f>IF(AND(Time!AF17&gt;=Time!$F$11,Time!AF17&lt;57),(IF(Time!AF29=1,AF98,AF96)-AF95)*AG19+IF(Time!AF29=1,AF98,AF96)*AG14,0)</f>
        <v/>
      </c>
      <c r="AG130" s="11">
        <f>IF(AND(Time!AG17&gt;=Time!$F$11,Time!AG17&lt;57),(IF(Time!AG29=1,AG98,AG96)-AG95)*AH19+IF(Time!AG29=1,AG98,AG96)*AH14,0)</f>
        <v/>
      </c>
      <c r="AH130" s="11">
        <f>IF(AND(Time!AH17&gt;=Time!$F$11,Time!AH17&lt;57),(IF(Time!AH29=1,AH98,AH96)-AH95)*AI19+IF(Time!AH29=1,AH98,AH96)*AI14,0)</f>
        <v/>
      </c>
      <c r="AI130" s="11">
        <f>IF(AND(Time!AI17&gt;=Time!$F$11,Time!AI17&lt;57),(IF(Time!AI29=1,AI98,AI96)-AI95)*AJ19+IF(Time!AI29=1,AI98,AI96)*AJ14,0)</f>
        <v/>
      </c>
      <c r="AJ130" s="11">
        <f>IF(AND(Time!AJ17&gt;=Time!$F$11,Time!AJ17&lt;57),(IF(Time!AJ29=1,AJ98,AJ96)-AJ95)*AK19+IF(Time!AJ29=1,AJ98,AJ96)*AK14,0)</f>
        <v/>
      </c>
      <c r="AK130" s="11">
        <f>IF(AND(Time!AK17&gt;=Time!$F$11,Time!AK17&lt;57),(IF(Time!AK29=1,AK98,AK96)-AK95)*AL19+IF(Time!AK29=1,AK98,AK96)*AL14,0)</f>
        <v/>
      </c>
      <c r="AL130" s="11">
        <f>IF(AND(Time!AL17&gt;=Time!$F$11,Time!AL17&lt;57),(IF(Time!AL29=1,AL98,AL96)-AL95)*AM19+IF(Time!AL29=1,AL98,AL96)*AM14,0)</f>
        <v/>
      </c>
      <c r="AM130" s="11">
        <f>IF(AND(Time!AM17&gt;=Time!$F$11,Time!AM17&lt;57),(IF(Time!AM29=1,AM98,AM96)-AM95)*AN19+IF(Time!AM29=1,AM98,AM96)*AN14,0)</f>
        <v/>
      </c>
      <c r="AN130" s="11">
        <f>IF(AND(Time!AN17&gt;=Time!$F$11,Time!AN17&lt;57),(IF(Time!AN29=1,AN98,AN96)-AN95)*AO19+IF(Time!AN29=1,AN98,AN96)*AO14,0)</f>
        <v/>
      </c>
      <c r="AO130" s="11">
        <f>IF(AND(Time!AO17&gt;=Time!$F$11,Time!AO17&lt;57),(IF(Time!AO29=1,AO98,AO96)-AO95)*AP19+IF(Time!AO29=1,AO98,AO96)*AP14,0)</f>
        <v/>
      </c>
      <c r="AP130" s="11">
        <f>IF(AND(Time!AP17&gt;=Time!$F$11,Time!AP17&lt;57),(IF(Time!AP29=1,AP98,AP96)-AP95)*AQ19+IF(Time!AP29=1,AP98,AP96)*AQ14,0)</f>
        <v/>
      </c>
      <c r="AQ130" s="11">
        <f>IF(AND(Time!AQ17&gt;=Time!$F$11,Time!AQ17&lt;57),(IF(Time!AQ29=1,AQ98,AQ96)-AQ95)*AR19+IF(Time!AQ29=1,AQ98,AQ96)*AR14,0)</f>
        <v/>
      </c>
      <c r="AR130" s="11">
        <f>IF(AND(Time!AR17&gt;=Time!$F$11,Time!AR17&lt;57),(IF(Time!AR29=1,AR98,AR96)-AR95)*AS19+IF(Time!AR29=1,AR98,AR96)*AS14,0)</f>
        <v/>
      </c>
      <c r="AS130" s="11">
        <f>IF(AND(Time!AS17&gt;=Time!$F$11,Time!AS17&lt;57),(IF(Time!AS29=1,AS98,AS96)-AS95)*AT19+IF(Time!AS29=1,AS98,AS96)*AT14,0)</f>
        <v/>
      </c>
      <c r="AT130" s="11">
        <f>IF(AND(Time!AT17&gt;=Time!$F$11,Time!AT17&lt;57),(IF(Time!AT29=1,AT98,AT96)-AT95)*AU19+IF(Time!AT29=1,AT98,AT96)*AU14,0)</f>
        <v/>
      </c>
      <c r="AU130" s="11">
        <f>IF(AND(Time!AU17&gt;=Time!$F$11,Time!AU17&lt;57),(IF(Time!AU29=1,AU98,AU96)-AU95)*AV19+IF(Time!AU29=1,AU98,AU96)*AV14,0)</f>
        <v/>
      </c>
      <c r="AV130" s="11">
        <f>IF(AND(Time!AV17&gt;=Time!$F$11,Time!AV17&lt;57),(IF(Time!AV29=1,AV98,AV96)-AV95)*AW19+IF(Time!AV29=1,AV98,AV96)*AW14,0)</f>
        <v/>
      </c>
      <c r="AW130" s="11">
        <f>IF(AND(Time!AW17&gt;=Time!$F$11,Time!AW17&lt;57),(IF(Time!AW29=1,AW98,AW96)-AW95)*AX19+IF(Time!AW29=1,AW98,AW96)*AX14,0)</f>
        <v/>
      </c>
      <c r="AX130" s="11">
        <f>IF(AND(Time!AX17&gt;=Time!$F$11,Time!AX17&lt;57),(IF(Time!AX29=1,AX98,AX96)-AX95)*AY19+IF(Time!AX29=1,AX98,AX96)*AY14,0)</f>
        <v/>
      </c>
      <c r="AY130" s="11">
        <f>IF(AND(Time!AY17&gt;=Time!$F$11,Time!AY17&lt;57),(IF(Time!AY29=1,AY98,AY96)-AY95)*AZ19+IF(Time!AY29=1,AY98,AY96)*AZ14,0)</f>
        <v/>
      </c>
      <c r="AZ130" s="11">
        <f>IF(AND(Time!AZ17&gt;=Time!$F$11,Time!AZ17&lt;57),(IF(Time!AZ29=1,AZ98,AZ96)-AZ95)*BA19+IF(Time!AZ29=1,AZ98,AZ96)*BA14,0)</f>
        <v/>
      </c>
      <c r="BA130" s="11">
        <f>IF(AND(Time!BA17&gt;=Time!$F$11,Time!BA17&lt;57),(IF(Time!BA29=1,BA98,BA96)-BA95)*BB19+IF(Time!BA29=1,BA98,BA96)*BB14,0)</f>
        <v/>
      </c>
      <c r="BB130" s="11">
        <f>IF(AND(Time!BB17&gt;=Time!$F$11,Time!BB17&lt;57),(IF(Time!BB29=1,BB98,BB96)-BB95)*BC19+IF(Time!BB29=1,BB98,BB96)*BC14,0)</f>
        <v/>
      </c>
      <c r="BC130" s="11">
        <f>IF(AND(Time!BC17&gt;=Time!$F$11,Time!BC17&lt;57),(IF(Time!BC29=1,BC98,BC96)-BC95)*BD19+IF(Time!BC29=1,BC98,BC96)*BD14,0)</f>
        <v/>
      </c>
      <c r="BD130" s="11">
        <f>IF(AND(Time!BD17&gt;=Time!$F$11,Time!BD17&lt;57),(IF(Time!BD29=1,BD98,BD96)-BD95)*BE19+IF(Time!BD29=1,BD98,BD96)*BE14,0)</f>
        <v/>
      </c>
      <c r="BE130" s="11">
        <f>IF(AND(Time!BE17&gt;=Time!$F$11,Time!BE17&lt;57),(IF(Time!BE29=1,BE98,BE96)-BE95)*BF19+IF(Time!BE29=1,BE98,BE96)*BF14,0)</f>
        <v/>
      </c>
      <c r="BF130" s="11">
        <f>IF(AND(Time!BF17&gt;=Time!$F$11,Time!BF17&lt;57),(IF(Time!BF29=1,BF98,BF96)-BF95)*BG19+IF(Time!BF29=1,BF98,BF96)*BG14,0)</f>
        <v/>
      </c>
      <c r="BG130" s="11">
        <f>IF(AND(Time!BG17&gt;=Time!$F$11,Time!BG17&lt;57),(IF(Time!BG29=1,BG98,BG96)-BG95)*BH19+IF(Time!BG29=1,BG98,BG96)*BH14,0)</f>
        <v/>
      </c>
      <c r="BH130" s="11">
        <f>IF(AND(Time!BH17&gt;=Time!$F$11,Time!BH17&lt;57),(IF(Time!BH29=1,BH98,BH96)-BH95)*BI19+IF(Time!BH29=1,BH98,BH96)*BI14,0)</f>
        <v/>
      </c>
      <c r="BI130" s="11">
        <f>IF(AND(Time!BI17&gt;=Time!$F$11,Time!BI17&lt;57),(IF(Time!BI29=1,BI98,BI96)-BI95)*BJ19+IF(Time!BI29=1,BI98,BI96)*BJ14,0)</f>
        <v/>
      </c>
      <c r="BJ130" s="11">
        <f>IF(AND(Time!BJ17&gt;=Time!$F$11,Time!BJ17&lt;57),(IF(Time!BJ29=1,BJ98,BJ96)-BJ95)*BK19+IF(Time!BJ29=1,BJ98,BJ96)*BK14,0)</f>
        <v/>
      </c>
      <c r="BK130" s="11">
        <f>IF(AND(Time!BK17&gt;=Time!$F$11,Time!BK17&lt;57),(IF(Time!BK29=1,BK98,BK96)-BK95)*BL19+IF(Time!BK29=1,BK98,BK96)*BL14,0)</f>
        <v/>
      </c>
      <c r="BL130" s="11">
        <f>IF(AND(Time!BL17&gt;=Time!$F$11,Time!BL17&lt;57),(IF(Time!BL29=1,BL98,BL96)-BL95)*BM19+IF(Time!BL29=1,BL98,BL96)*BM14,0)</f>
        <v/>
      </c>
      <c r="BM130" s="11">
        <f>IF(AND(Time!BM17&gt;=Time!$F$11,Time!BM17&lt;57),(IF(Time!BM29=1,BM98,BM96)-BM95)*BN19+IF(Time!BM29=1,BM98,BM96)*BN14,0)</f>
        <v/>
      </c>
      <c r="BN130" s="11">
        <f>IF(AND(Time!BN17&gt;=Time!$F$11,Time!BN17&lt;57),(IF(Time!BN29=1,BN98,BN96)-BN95)*0+IF(Time!BN29=1,BN98,BN96)*0,0)</f>
        <v/>
      </c>
    </row>
    <row r="131">
      <c r="D131" t="inlineStr">
        <is>
          <t>Bond: next period debt service</t>
        </is>
      </c>
      <c r="E131" t="inlineStr">
        <is>
          <t>USD m</t>
        </is>
      </c>
      <c r="J131" s="11">
        <f>0</f>
        <v/>
      </c>
      <c r="K131" s="11">
        <f>0</f>
        <v/>
      </c>
      <c r="L131" s="11">
        <f>0</f>
        <v/>
      </c>
      <c r="M131" s="11">
        <f>0</f>
        <v/>
      </c>
      <c r="N131" s="11">
        <f>0</f>
        <v/>
      </c>
      <c r="O131" s="11">
        <f>0</f>
        <v/>
      </c>
      <c r="P131" s="11">
        <f>0</f>
        <v/>
      </c>
      <c r="Q131" s="11">
        <f>0</f>
        <v/>
      </c>
      <c r="R131" s="11">
        <f>0</f>
        <v/>
      </c>
      <c r="S131" s="11">
        <f>0</f>
        <v/>
      </c>
      <c r="T131" s="11">
        <f>0</f>
        <v/>
      </c>
      <c r="U131" s="11">
        <f>0</f>
        <v/>
      </c>
      <c r="V131" s="11">
        <f>0</f>
        <v/>
      </c>
      <c r="W131" s="11">
        <f>IF(AND(Time!W17&gt;=Time!$F$11,Time!W17&lt;57,W103+W20*$F$109&gt;0.000000001),MIN($F$109*Inputs!X221,W103+W20*$F$109)+(W103+W20*$F$109)*(X15+Inputs!$F$197/100*0.5*Inputs!$F$196/$F$109),0)</f>
        <v/>
      </c>
      <c r="X131" s="11">
        <f>IF(AND(Time!X17&gt;=Time!$F$11,Time!X17&lt;57,X103+X20*$F$109&gt;0.000000001),MIN($F$109*Inputs!Y221,X103+X20*$F$109)+(X103+X20*$F$109)*(Y15+Inputs!$F$197/100*0.5*Inputs!$F$196/$F$109),0)</f>
        <v/>
      </c>
      <c r="Y131" s="11">
        <f>IF(AND(Time!Y17&gt;=Time!$F$11,Time!Y17&lt;57,Y103+Y20*$F$109&gt;0.000000001),MIN($F$109*Inputs!Z221,Y103+Y20*$F$109)+(Y103+Y20*$F$109)*(Z15+Inputs!$F$197/100*0.5*Inputs!$F$196/$F$109),0)</f>
        <v/>
      </c>
      <c r="Z131" s="11">
        <f>IF(AND(Time!Z17&gt;=Time!$F$11,Time!Z17&lt;57,Z103+Z20*$F$109&gt;0.000000001),MIN($F$109*Inputs!AA221,Z103+Z20*$F$109)+(Z103+Z20*$F$109)*(AA15+Inputs!$F$197/100*0.5*Inputs!$F$196/$F$109),0)</f>
        <v/>
      </c>
      <c r="AA131" s="11">
        <f>IF(AND(Time!AA17&gt;=Time!$F$11,Time!AA17&lt;57,AA103+AA20*$F$109&gt;0.000000001),MIN($F$109*Inputs!AB221,AA103+AA20*$F$109)+(AA103+AA20*$F$109)*(AB15+Inputs!$F$197/100*0.5*Inputs!$F$196/$F$109),0)</f>
        <v/>
      </c>
      <c r="AB131" s="11">
        <f>IF(AND(Time!AB17&gt;=Time!$F$11,Time!AB17&lt;57,AB103+AB20*$F$109&gt;0.000000001),MIN($F$109*Inputs!AC221,AB103+AB20*$F$109)+(AB103+AB20*$F$109)*(AC15+Inputs!$F$197/100*0.5*Inputs!$F$196/$F$109),0)</f>
        <v/>
      </c>
      <c r="AC131" s="11">
        <f>IF(AND(Time!AC17&gt;=Time!$F$11,Time!AC17&lt;57,AC103+AC20*$F$109&gt;0.000000001),MIN($F$109*Inputs!AD221,AC103+AC20*$F$109)+(AC103+AC20*$F$109)*(AD15+Inputs!$F$197/100*0.5*Inputs!$F$196/$F$109),0)</f>
        <v/>
      </c>
      <c r="AD131" s="11">
        <f>IF(AND(Time!AD17&gt;=Time!$F$11,Time!AD17&lt;57,AD103+AD20*$F$109&gt;0.000000001),MIN($F$109*Inputs!AE221,AD103+AD20*$F$109)+(AD103+AD20*$F$109)*(AE15+Inputs!$F$197/100*0.5*Inputs!$F$196/$F$109),0)</f>
        <v/>
      </c>
      <c r="AE131" s="11">
        <f>IF(AND(Time!AE17&gt;=Time!$F$11,Time!AE17&lt;57,AE103+AE20*$F$109&gt;0.000000001),MIN($F$109*Inputs!AF221,AE103+AE20*$F$109)+(AE103+AE20*$F$109)*(AF15+Inputs!$F$197/100*0.5*Inputs!$F$196/$F$109),0)</f>
        <v/>
      </c>
      <c r="AF131" s="11">
        <f>IF(AND(Time!AF17&gt;=Time!$F$11,Time!AF17&lt;57,AF103+AF20*$F$109&gt;0.000000001),MIN($F$109*Inputs!AG221,AF103+AF20*$F$109)+(AF103+AF20*$F$109)*(AG15+Inputs!$F$197/100*0.5*Inputs!$F$196/$F$109),0)</f>
        <v/>
      </c>
      <c r="AG131" s="11">
        <f>IF(AND(Time!AG17&gt;=Time!$F$11,Time!AG17&lt;57,AG103+AG20*$F$109&gt;0.000000001),MIN($F$109*Inputs!AH221,AG103+AG20*$F$109)+(AG103+AG20*$F$109)*(AH15+Inputs!$F$197/100*0.5*Inputs!$F$196/$F$109),0)</f>
        <v/>
      </c>
      <c r="AH131" s="11">
        <f>IF(AND(Time!AH17&gt;=Time!$F$11,Time!AH17&lt;57,AH103+AH20*$F$109&gt;0.000000001),MIN($F$109*Inputs!AI221,AH103+AH20*$F$109)+(AH103+AH20*$F$109)*(AI15+Inputs!$F$197/100*0.5*Inputs!$F$196/$F$109),0)</f>
        <v/>
      </c>
      <c r="AI131" s="11">
        <f>IF(AND(Time!AI17&gt;=Time!$F$11,Time!AI17&lt;57,AI103+AI20*$F$109&gt;0.000000001),MIN($F$109*Inputs!AJ221,AI103+AI20*$F$109)+(AI103+AI20*$F$109)*(AJ15+Inputs!$F$197/100*0.5*Inputs!$F$196/$F$109),0)</f>
        <v/>
      </c>
      <c r="AJ131" s="11">
        <f>IF(AND(Time!AJ17&gt;=Time!$F$11,Time!AJ17&lt;57,AJ103+AJ20*$F$109&gt;0.000000001),MIN($F$109*Inputs!AK221,AJ103+AJ20*$F$109)+(AJ103+AJ20*$F$109)*(AK15+Inputs!$F$197/100*0.5*Inputs!$F$196/$F$109),0)</f>
        <v/>
      </c>
      <c r="AK131" s="11">
        <f>IF(AND(Time!AK17&gt;=Time!$F$11,Time!AK17&lt;57,AK103+AK20*$F$109&gt;0.000000001),MIN($F$109*Inputs!AL221,AK103+AK20*$F$109)+(AK103+AK20*$F$109)*(AL15+Inputs!$F$197/100*0.5*Inputs!$F$196/$F$109),0)</f>
        <v/>
      </c>
      <c r="AL131" s="11">
        <f>IF(AND(Time!AL17&gt;=Time!$F$11,Time!AL17&lt;57,AL103+AL20*$F$109&gt;0.000000001),MIN($F$109*Inputs!AM221,AL103+AL20*$F$109)+(AL103+AL20*$F$109)*(AM15+Inputs!$F$197/100*0.5*Inputs!$F$196/$F$109),0)</f>
        <v/>
      </c>
      <c r="AM131" s="11">
        <f>IF(AND(Time!AM17&gt;=Time!$F$11,Time!AM17&lt;57,AM103+AM20*$F$109&gt;0.000000001),MIN($F$109*Inputs!AN221,AM103+AM20*$F$109)+(AM103+AM20*$F$109)*(AN15+Inputs!$F$197/100*0.5*Inputs!$F$196/$F$109),0)</f>
        <v/>
      </c>
      <c r="AN131" s="11">
        <f>IF(AND(Time!AN17&gt;=Time!$F$11,Time!AN17&lt;57,AN103+AN20*$F$109&gt;0.000000001),MIN($F$109*Inputs!AO221,AN103+AN20*$F$109)+(AN103+AN20*$F$109)*(AO15+Inputs!$F$197/100*0.5*Inputs!$F$196/$F$109),0)</f>
        <v/>
      </c>
      <c r="AO131" s="11">
        <f>IF(AND(Time!AO17&gt;=Time!$F$11,Time!AO17&lt;57,AO103+AO20*$F$109&gt;0.000000001),MIN($F$109*Inputs!AP221,AO103+AO20*$F$109)+(AO103+AO20*$F$109)*(AP15+Inputs!$F$197/100*0.5*Inputs!$F$196/$F$109),0)</f>
        <v/>
      </c>
      <c r="AP131" s="11">
        <f>IF(AND(Time!AP17&gt;=Time!$F$11,Time!AP17&lt;57,AP103+AP20*$F$109&gt;0.000000001),MIN($F$109*Inputs!AQ221,AP103+AP20*$F$109)+(AP103+AP20*$F$109)*(AQ15+Inputs!$F$197/100*0.5*Inputs!$F$196/$F$109),0)</f>
        <v/>
      </c>
      <c r="AQ131" s="11">
        <f>IF(AND(Time!AQ17&gt;=Time!$F$11,Time!AQ17&lt;57,AQ103+AQ20*$F$109&gt;0.000000001),MIN($F$109*Inputs!AR221,AQ103+AQ20*$F$109)+(AQ103+AQ20*$F$109)*(AR15+Inputs!$F$197/100*0.5*Inputs!$F$196/$F$109),0)</f>
        <v/>
      </c>
      <c r="AR131" s="11">
        <f>IF(AND(Time!AR17&gt;=Time!$F$11,Time!AR17&lt;57,AR103+AR20*$F$109&gt;0.000000001),MIN($F$109*Inputs!AS221,AR103+AR20*$F$109)+(AR103+AR20*$F$109)*(AS15+Inputs!$F$197/100*0.5*Inputs!$F$196/$F$109),0)</f>
        <v/>
      </c>
      <c r="AS131" s="11">
        <f>IF(AND(Time!AS17&gt;=Time!$F$11,Time!AS17&lt;57,AS103+AS20*$F$109&gt;0.000000001),MIN($F$109*Inputs!AT221,AS103+AS20*$F$109)+(AS103+AS20*$F$109)*(AT15+Inputs!$F$197/100*0.5*Inputs!$F$196/$F$109),0)</f>
        <v/>
      </c>
      <c r="AT131" s="11">
        <f>IF(AND(Time!AT17&gt;=Time!$F$11,Time!AT17&lt;57,AT103+AT20*$F$109&gt;0.000000001),MIN($F$109*Inputs!AU221,AT103+AT20*$F$109)+(AT103+AT20*$F$109)*(AU15+Inputs!$F$197/100*0.5*Inputs!$F$196/$F$109),0)</f>
        <v/>
      </c>
      <c r="AU131" s="11">
        <f>IF(AND(Time!AU17&gt;=Time!$F$11,Time!AU17&lt;57,AU103+AU20*$F$109&gt;0.000000001),MIN($F$109*Inputs!AV221,AU103+AU20*$F$109)+(AU103+AU20*$F$109)*(AV15+Inputs!$F$197/100*0.5*Inputs!$F$196/$F$109),0)</f>
        <v/>
      </c>
      <c r="AV131" s="11">
        <f>IF(AND(Time!AV17&gt;=Time!$F$11,Time!AV17&lt;57,AV103+AV20*$F$109&gt;0.000000001),MIN($F$109*Inputs!AW221,AV103+AV20*$F$109)+(AV103+AV20*$F$109)*(AW15+Inputs!$F$197/100*0.5*Inputs!$F$196/$F$109),0)</f>
        <v/>
      </c>
      <c r="AW131" s="11">
        <f>IF(AND(Time!AW17&gt;=Time!$F$11,Time!AW17&lt;57,AW103+AW20*$F$109&gt;0.000000001),MIN($F$109*Inputs!AX221,AW103+AW20*$F$109)+(AW103+AW20*$F$109)*(AX15+Inputs!$F$197/100*0.5*Inputs!$F$196/$F$109),0)</f>
        <v/>
      </c>
      <c r="AX131" s="11">
        <f>IF(AND(Time!AX17&gt;=Time!$F$11,Time!AX17&lt;57,AX103+AX20*$F$109&gt;0.000000001),MIN($F$109*Inputs!AY221,AX103+AX20*$F$109)+(AX103+AX20*$F$109)*(AY15+Inputs!$F$197/100*0.5*Inputs!$F$196/$F$109),0)</f>
        <v/>
      </c>
      <c r="AY131" s="11">
        <f>IF(AND(Time!AY17&gt;=Time!$F$11,Time!AY17&lt;57,AY103+AY20*$F$109&gt;0.000000001),MIN($F$109*Inputs!AZ221,AY103+AY20*$F$109)+(AY103+AY20*$F$109)*(AZ15+Inputs!$F$197/100*0.5*Inputs!$F$196/$F$109),0)</f>
        <v/>
      </c>
      <c r="AZ131" s="11">
        <f>IF(AND(Time!AZ17&gt;=Time!$F$11,Time!AZ17&lt;57,AZ103+AZ20*$F$109&gt;0.000000001),MIN($F$109*Inputs!BA221,AZ103+AZ20*$F$109)+(AZ103+AZ20*$F$109)*(BA15+Inputs!$F$197/100*0.5*Inputs!$F$196/$F$109),0)</f>
        <v/>
      </c>
      <c r="BA131" s="11">
        <f>IF(AND(Time!BA17&gt;=Time!$F$11,Time!BA17&lt;57,BA103+BA20*$F$109&gt;0.000000001),MIN($F$109*Inputs!BB221,BA103+BA20*$F$109)+(BA103+BA20*$F$109)*(BB15+Inputs!$F$197/100*0.5*Inputs!$F$196/$F$109),0)</f>
        <v/>
      </c>
      <c r="BB131" s="11">
        <f>IF(AND(Time!BB17&gt;=Time!$F$11,Time!BB17&lt;57,BB103+BB20*$F$109&gt;0.000000001),MIN($F$109*Inputs!BC221,BB103+BB20*$F$109)+(BB103+BB20*$F$109)*(BC15+Inputs!$F$197/100*0.5*Inputs!$F$196/$F$109),0)</f>
        <v/>
      </c>
      <c r="BC131" s="11">
        <f>IF(AND(Time!BC17&gt;=Time!$F$11,Time!BC17&lt;57,BC103+BC20*$F$109&gt;0.000000001),MIN($F$109*Inputs!BD221,BC103+BC20*$F$109)+(BC103+BC20*$F$109)*(BD15+Inputs!$F$197/100*0.5*Inputs!$F$196/$F$109),0)</f>
        <v/>
      </c>
      <c r="BD131" s="11">
        <f>IF(AND(Time!BD17&gt;=Time!$F$11,Time!BD17&lt;57,BD103+BD20*$F$109&gt;0.000000001),MIN($F$109*Inputs!BE221,BD103+BD20*$F$109)+(BD103+BD20*$F$109)*(BE15+Inputs!$F$197/100*0.5*Inputs!$F$196/$F$109),0)</f>
        <v/>
      </c>
      <c r="BE131" s="11">
        <f>IF(AND(Time!BE17&gt;=Time!$F$11,Time!BE17&lt;57,BE103+BE20*$F$109&gt;0.000000001),MIN($F$109*Inputs!BF221,BE103+BE20*$F$109)+(BE103+BE20*$F$109)*(BF15+Inputs!$F$197/100*0.5*Inputs!$F$196/$F$109),0)</f>
        <v/>
      </c>
      <c r="BF131" s="11">
        <f>IF(AND(Time!BF17&gt;=Time!$F$11,Time!BF17&lt;57,BF103+BF20*$F$109&gt;0.000000001),MIN($F$109*Inputs!BG221,BF103+BF20*$F$109)+(BF103+BF20*$F$109)*(BG15+Inputs!$F$197/100*0.5*Inputs!$F$196/$F$109),0)</f>
        <v/>
      </c>
      <c r="BG131" s="11">
        <f>IF(AND(Time!BG17&gt;=Time!$F$11,Time!BG17&lt;57,BG103+BG20*$F$109&gt;0.000000001),MIN($F$109*Inputs!BH221,BG103+BG20*$F$109)+(BG103+BG20*$F$109)*(BH15+Inputs!$F$197/100*0.5*Inputs!$F$196/$F$109),0)</f>
        <v/>
      </c>
      <c r="BH131" s="11">
        <f>IF(AND(Time!BH17&gt;=Time!$F$11,Time!BH17&lt;57,BH103+BH20*$F$109&gt;0.000000001),MIN($F$109*Inputs!BI221,BH103+BH20*$F$109)+(BH103+BH20*$F$109)*(BI15+Inputs!$F$197/100*0.5*Inputs!$F$196/$F$109),0)</f>
        <v/>
      </c>
      <c r="BI131" s="11">
        <f>IF(AND(Time!BI17&gt;=Time!$F$11,Time!BI17&lt;57,BI103+BI20*$F$109&gt;0.000000001),MIN($F$109*Inputs!BJ221,BI103+BI20*$F$109)+(BI103+BI20*$F$109)*(BJ15+Inputs!$F$197/100*0.5*Inputs!$F$196/$F$109),0)</f>
        <v/>
      </c>
      <c r="BJ131" s="11">
        <f>IF(AND(Time!BJ17&gt;=Time!$F$11,Time!BJ17&lt;57,BJ103+BJ20*$F$109&gt;0.000000001),MIN($F$109*Inputs!BK221,BJ103+BJ20*$F$109)+(BJ103+BJ20*$F$109)*(BK15+Inputs!$F$197/100*0.5*Inputs!$F$196/$F$109),0)</f>
        <v/>
      </c>
      <c r="BK131" s="11">
        <f>IF(AND(Time!BK17&gt;=Time!$F$11,Time!BK17&lt;57,BK103+BK20*$F$109&gt;0.000000001),MIN($F$109*Inputs!BL221,BK103+BK20*$F$109)+(BK103+BK20*$F$109)*(BL15+Inputs!$F$197/100*0.5*Inputs!$F$196/$F$109),0)</f>
        <v/>
      </c>
      <c r="BL131" s="11">
        <f>IF(AND(Time!BL17&gt;=Time!$F$11,Time!BL17&lt;57,BL103+BL20*$F$109&gt;0.000000001),MIN($F$109*Inputs!BM221,BL103+BL20*$F$109)+(BL103+BL20*$F$109)*(BM15+Inputs!$F$197/100*0.5*Inputs!$F$196/$F$109),0)</f>
        <v/>
      </c>
      <c r="BM131" s="11">
        <f>IF(AND(Time!BM17&gt;=Time!$F$11,Time!BM17&lt;57,BM103+BM20*$F$109&gt;0.000000001),MIN($F$109*Inputs!BN221,BM103+BM20*$F$109)+(BM103+BM20*$F$109)*(BN15+Inputs!$F$197/100*0.5*Inputs!$F$196/$F$109),0)</f>
        <v/>
      </c>
      <c r="BN131" s="11">
        <f>IF(AND(Time!BN17&gt;=Time!$F$11,Time!BN17&lt;57,BN103+BN20*$F$109&gt;0.000000001),MIN($F$109*0,BN103+BN20*$F$109)+(BN103+BN20*$F$109)*(0+Inputs!$F$197/100*0.5*Inputs!$F$196/$F$109),0)</f>
        <v/>
      </c>
    </row>
    <row r="132">
      <c r="D132" t="inlineStr">
        <is>
          <t>DSRA target (six months of next debt service)</t>
        </is>
      </c>
      <c r="E132" t="inlineStr">
        <is>
          <t>USD m</t>
        </is>
      </c>
      <c r="J132" s="11">
        <f>IF(AND(Time!J17&gt;=Time!$F$11,Time!J17&lt;57),J126+J127+J128+J129+J130+J131+Inputs!K222*K113*(Inputs!$F$95/100*0.5-Operations!K9/100*Time!K20/360)+(Inputs!$F$93/100*Inputs!$F$94/100)*J125*Time!K20/365,0)</f>
        <v/>
      </c>
      <c r="K132" s="11">
        <f>IF(AND(Time!K17&gt;=Time!$F$11,Time!K17&lt;57),K126+K127+K128+K129+K130+K131+Inputs!L222*L113*(Inputs!$F$95/100*0.5-Operations!L9/100*Time!L20/360)+(Inputs!$F$93/100*Inputs!$F$94/100)*K125*Time!L20/365,0)</f>
        <v/>
      </c>
      <c r="L132" s="11">
        <f>IF(AND(Time!L17&gt;=Time!$F$11,Time!L17&lt;57),L126+L127+L128+L129+L130+L131+Inputs!M222*M113*(Inputs!$F$95/100*0.5-Operations!M9/100*Time!M20/360)+(Inputs!$F$93/100*Inputs!$F$94/100)*L125*Time!M20/365,0)</f>
        <v/>
      </c>
      <c r="M132" s="11">
        <f>IF(AND(Time!M17&gt;=Time!$F$11,Time!M17&lt;57),M126+M127+M128+M129+M130+M131+Inputs!N222*N113*(Inputs!$F$95/100*0.5-Operations!N9/100*Time!N20/360)+(Inputs!$F$93/100*Inputs!$F$94/100)*M125*Time!N20/365,0)</f>
        <v/>
      </c>
      <c r="N132" s="11">
        <f>IF(AND(Time!N17&gt;=Time!$F$11,Time!N17&lt;57),N126+N127+N128+N129+N130+N131+Inputs!O222*O113*(Inputs!$F$95/100*0.5-Operations!O9/100*Time!O20/360)+(Inputs!$F$93/100*Inputs!$F$94/100)*N125*Time!O20/365,0)</f>
        <v/>
      </c>
      <c r="O132" s="11">
        <f>IF(AND(Time!O17&gt;=Time!$F$11,Time!O17&lt;57),O126+O127+O128+O129+O130+O131+Inputs!P222*P113*(Inputs!$F$95/100*0.5-Operations!P9/100*Time!P20/360)+(Inputs!$F$93/100*Inputs!$F$94/100)*O125*Time!P20/365,0)</f>
        <v/>
      </c>
      <c r="P132" s="11">
        <f>IF(AND(Time!P17&gt;=Time!$F$11,Time!P17&lt;57),P126+P127+P128+P129+P130+P131+Inputs!Q222*Q113*(Inputs!$F$95/100*0.5-Operations!Q9/100*Time!Q20/360)+(Inputs!$F$93/100*Inputs!$F$94/100)*P125*Time!Q20/365,0)</f>
        <v/>
      </c>
      <c r="Q132" s="11">
        <f>IF(AND(Time!Q17&gt;=Time!$F$11,Time!Q17&lt;57),Q126+Q127+Q128+Q129+Q130+Q131+Inputs!R222*R113*(Inputs!$F$95/100*0.5-Operations!R9/100*Time!R20/360)+(Inputs!$F$93/100*Inputs!$F$94/100)*Q125*Time!R20/365,0)</f>
        <v/>
      </c>
      <c r="R132" s="11">
        <f>IF(AND(Time!R17&gt;=Time!$F$11,Time!R17&lt;57),R126+R127+R128+R129+R130+R131+Inputs!S222*S113*(Inputs!$F$95/100*0.5-Operations!S9/100*Time!S20/360)+(Inputs!$F$93/100*Inputs!$F$94/100)*R125*Time!S20/365,0)</f>
        <v/>
      </c>
      <c r="S132" s="11">
        <f>IF(AND(Time!S17&gt;=Time!$F$11,Time!S17&lt;57),S126+S127+S128+S129+S130+S131+Inputs!T222*T113*(Inputs!$F$95/100*0.5-Operations!T9/100*Time!T20/360)+(Inputs!$F$93/100*Inputs!$F$94/100)*S125*Time!T20/365,0)</f>
        <v/>
      </c>
      <c r="T132" s="11">
        <f>IF(AND(Time!T17&gt;=Time!$F$11,Time!T17&lt;57),T126+T127+T128+T129+T130+T131+Inputs!U222*U113*(Inputs!$F$95/100*0.5-Operations!U9/100*Time!U20/360)+(Inputs!$F$93/100*Inputs!$F$94/100)*T125*Time!U20/365,0)</f>
        <v/>
      </c>
      <c r="U132" s="11">
        <f>IF(AND(Time!U17&gt;=Time!$F$11,Time!U17&lt;57),U126+U127+U128+U129+U130+U131+Inputs!V222*V113*(Inputs!$F$95/100*0.5-Operations!V9/100*Time!V20/360)+(Inputs!$F$93/100*Inputs!$F$94/100)*U125*Time!V20/365,0)</f>
        <v/>
      </c>
      <c r="V132" s="11">
        <f>IF(AND(Time!V17&gt;=Time!$F$11,Time!V17&lt;57),V126+V127+V128+V129+V130+V131+Inputs!W222*W113*(Inputs!$F$95/100*0.5-Operations!W9/100*Time!W20/360)+(Inputs!$F$93/100*Inputs!$F$94/100)*V125*Time!W20/365,0)</f>
        <v/>
      </c>
      <c r="W132" s="11">
        <f>IF(AND(Time!W17&gt;=Time!$F$11,Time!W17&lt;57),W126+W127+W128+W129+W130+W131+Inputs!X222*X113*(Inputs!$F$95/100*0.5-Operations!X9/100*Time!X20/360)+(Inputs!$F$93/100*Inputs!$F$94/100)*W125*Time!X20/365,0)</f>
        <v/>
      </c>
      <c r="X132" s="11">
        <f>IF(AND(Time!X17&gt;=Time!$F$11,Time!X17&lt;57),X126+X127+X128+X129+X130+X131+Inputs!Y222*Y113*(Inputs!$F$95/100*0.5-Operations!Y9/100*Time!Y20/360)+(Inputs!$F$93/100*Inputs!$F$94/100)*X125*Time!Y20/365,0)</f>
        <v/>
      </c>
      <c r="Y132" s="11">
        <f>IF(AND(Time!Y17&gt;=Time!$F$11,Time!Y17&lt;57),Y126+Y127+Y128+Y129+Y130+Y131+Inputs!Z222*Z113*(Inputs!$F$95/100*0.5-Operations!Z9/100*Time!Z20/360)+(Inputs!$F$93/100*Inputs!$F$94/100)*Y125*Time!Z20/365,0)</f>
        <v/>
      </c>
      <c r="Z132" s="11">
        <f>IF(AND(Time!Z17&gt;=Time!$F$11,Time!Z17&lt;57),Z126+Z127+Z128+Z129+Z130+Z131+Inputs!AA222*AA113*(Inputs!$F$95/100*0.5-Operations!AA9/100*Time!AA20/360)+(Inputs!$F$93/100*Inputs!$F$94/100)*Z125*Time!AA20/365,0)</f>
        <v/>
      </c>
      <c r="AA132" s="11">
        <f>IF(AND(Time!AA17&gt;=Time!$F$11,Time!AA17&lt;57),AA126+AA127+AA128+AA129+AA130+AA131+Inputs!AB222*AB113*(Inputs!$F$95/100*0.5-Operations!AB9/100*Time!AB20/360)+(Inputs!$F$93/100*Inputs!$F$94/100)*AA125*Time!AB20/365,0)</f>
        <v/>
      </c>
      <c r="AB132" s="11">
        <f>IF(AND(Time!AB17&gt;=Time!$F$11,Time!AB17&lt;57),AB126+AB127+AB128+AB129+AB130+AB131+Inputs!AC222*AC113*(Inputs!$F$95/100*0.5-Operations!AC9/100*Time!AC20/360)+(Inputs!$F$93/100*Inputs!$F$94/100)*AB125*Time!AC20/365,0)</f>
        <v/>
      </c>
      <c r="AC132" s="11">
        <f>IF(AND(Time!AC17&gt;=Time!$F$11,Time!AC17&lt;57),AC126+AC127+AC128+AC129+AC130+AC131+Inputs!AD222*AD113*(Inputs!$F$95/100*0.5-Operations!AD9/100*Time!AD20/360)+(Inputs!$F$93/100*Inputs!$F$94/100)*AC125*Time!AD20/365,0)</f>
        <v/>
      </c>
      <c r="AD132" s="11">
        <f>IF(AND(Time!AD17&gt;=Time!$F$11,Time!AD17&lt;57),AD126+AD127+AD128+AD129+AD130+AD131+Inputs!AE222*AE113*(Inputs!$F$95/100*0.5-Operations!AE9/100*Time!AE20/360)+(Inputs!$F$93/100*Inputs!$F$94/100)*AD125*Time!AE20/365,0)</f>
        <v/>
      </c>
      <c r="AE132" s="11">
        <f>IF(AND(Time!AE17&gt;=Time!$F$11,Time!AE17&lt;57),AE126+AE127+AE128+AE129+AE130+AE131+Inputs!AF222*AF113*(Inputs!$F$95/100*0.5-Operations!AF9/100*Time!AF20/360)+(Inputs!$F$93/100*Inputs!$F$94/100)*AE125*Time!AF20/365,0)</f>
        <v/>
      </c>
      <c r="AF132" s="11">
        <f>IF(AND(Time!AF17&gt;=Time!$F$11,Time!AF17&lt;57),AF126+AF127+AF128+AF129+AF130+AF131+Inputs!AG222*AG113*(Inputs!$F$95/100*0.5-Operations!AG9/100*Time!AG20/360)+(Inputs!$F$93/100*Inputs!$F$94/100)*AF125*Time!AG20/365,0)</f>
        <v/>
      </c>
      <c r="AG132" s="11">
        <f>IF(AND(Time!AG17&gt;=Time!$F$11,Time!AG17&lt;57),AG126+AG127+AG128+AG129+AG130+AG131+Inputs!AH222*AH113*(Inputs!$F$95/100*0.5-Operations!AH9/100*Time!AH20/360)+(Inputs!$F$93/100*Inputs!$F$94/100)*AG125*Time!AH20/365,0)</f>
        <v/>
      </c>
      <c r="AH132" s="11">
        <f>IF(AND(Time!AH17&gt;=Time!$F$11,Time!AH17&lt;57),AH126+AH127+AH128+AH129+AH130+AH131+Inputs!AI222*AI113*(Inputs!$F$95/100*0.5-Operations!AI9/100*Time!AI20/360)+(Inputs!$F$93/100*Inputs!$F$94/100)*AH125*Time!AI20/365,0)</f>
        <v/>
      </c>
      <c r="AI132" s="11">
        <f>IF(AND(Time!AI17&gt;=Time!$F$11,Time!AI17&lt;57),AI126+AI127+AI128+AI129+AI130+AI131+Inputs!AJ222*AJ113*(Inputs!$F$95/100*0.5-Operations!AJ9/100*Time!AJ20/360)+(Inputs!$F$93/100*Inputs!$F$94/100)*AI125*Time!AJ20/365,0)</f>
        <v/>
      </c>
      <c r="AJ132" s="11">
        <f>IF(AND(Time!AJ17&gt;=Time!$F$11,Time!AJ17&lt;57),AJ126+AJ127+AJ128+AJ129+AJ130+AJ131+Inputs!AK222*AK113*(Inputs!$F$95/100*0.5-Operations!AK9/100*Time!AK20/360)+(Inputs!$F$93/100*Inputs!$F$94/100)*AJ125*Time!AK20/365,0)</f>
        <v/>
      </c>
      <c r="AK132" s="11">
        <f>IF(AND(Time!AK17&gt;=Time!$F$11,Time!AK17&lt;57),AK126+AK127+AK128+AK129+AK130+AK131+Inputs!AL222*AL113*(Inputs!$F$95/100*0.5-Operations!AL9/100*Time!AL20/360)+(Inputs!$F$93/100*Inputs!$F$94/100)*AK125*Time!AL20/365,0)</f>
        <v/>
      </c>
      <c r="AL132" s="11">
        <f>IF(AND(Time!AL17&gt;=Time!$F$11,Time!AL17&lt;57),AL126+AL127+AL128+AL129+AL130+AL131+Inputs!AM222*AM113*(Inputs!$F$95/100*0.5-Operations!AM9/100*Time!AM20/360)+(Inputs!$F$93/100*Inputs!$F$94/100)*AL125*Time!AM20/365,0)</f>
        <v/>
      </c>
      <c r="AM132" s="11">
        <f>IF(AND(Time!AM17&gt;=Time!$F$11,Time!AM17&lt;57),AM126+AM127+AM128+AM129+AM130+AM131+Inputs!AN222*AN113*(Inputs!$F$95/100*0.5-Operations!AN9/100*Time!AN20/360)+(Inputs!$F$93/100*Inputs!$F$94/100)*AM125*Time!AN20/365,0)</f>
        <v/>
      </c>
      <c r="AN132" s="11">
        <f>IF(AND(Time!AN17&gt;=Time!$F$11,Time!AN17&lt;57),AN126+AN127+AN128+AN129+AN130+AN131+Inputs!AO222*AO113*(Inputs!$F$95/100*0.5-Operations!AO9/100*Time!AO20/360)+(Inputs!$F$93/100*Inputs!$F$94/100)*AN125*Time!AO20/365,0)</f>
        <v/>
      </c>
      <c r="AO132" s="11">
        <f>IF(AND(Time!AO17&gt;=Time!$F$11,Time!AO17&lt;57),AO126+AO127+AO128+AO129+AO130+AO131+Inputs!AP222*AP113*(Inputs!$F$95/100*0.5-Operations!AP9/100*Time!AP20/360)+(Inputs!$F$93/100*Inputs!$F$94/100)*AO125*Time!AP20/365,0)</f>
        <v/>
      </c>
      <c r="AP132" s="11">
        <f>IF(AND(Time!AP17&gt;=Time!$F$11,Time!AP17&lt;57),AP126+AP127+AP128+AP129+AP130+AP131+Inputs!AQ222*AQ113*(Inputs!$F$95/100*0.5-Operations!AQ9/100*Time!AQ20/360)+(Inputs!$F$93/100*Inputs!$F$94/100)*AP125*Time!AQ20/365,0)</f>
        <v/>
      </c>
      <c r="AQ132" s="11">
        <f>IF(AND(Time!AQ17&gt;=Time!$F$11,Time!AQ17&lt;57),AQ126+AQ127+AQ128+AQ129+AQ130+AQ131+Inputs!AR222*AR113*(Inputs!$F$95/100*0.5-Operations!AR9/100*Time!AR20/360)+(Inputs!$F$93/100*Inputs!$F$94/100)*AQ125*Time!AR20/365,0)</f>
        <v/>
      </c>
      <c r="AR132" s="11">
        <f>IF(AND(Time!AR17&gt;=Time!$F$11,Time!AR17&lt;57),AR126+AR127+AR128+AR129+AR130+AR131+Inputs!AS222*AS113*(Inputs!$F$95/100*0.5-Operations!AS9/100*Time!AS20/360)+(Inputs!$F$93/100*Inputs!$F$94/100)*AR125*Time!AS20/365,0)</f>
        <v/>
      </c>
      <c r="AS132" s="11">
        <f>IF(AND(Time!AS17&gt;=Time!$F$11,Time!AS17&lt;57),AS126+AS127+AS128+AS129+AS130+AS131+Inputs!AT222*AT113*(Inputs!$F$95/100*0.5-Operations!AT9/100*Time!AT20/360)+(Inputs!$F$93/100*Inputs!$F$94/100)*AS125*Time!AT20/365,0)</f>
        <v/>
      </c>
      <c r="AT132" s="11">
        <f>IF(AND(Time!AT17&gt;=Time!$F$11,Time!AT17&lt;57),AT126+AT127+AT128+AT129+AT130+AT131+Inputs!AU222*AU113*(Inputs!$F$95/100*0.5-Operations!AU9/100*Time!AU20/360)+(Inputs!$F$93/100*Inputs!$F$94/100)*AT125*Time!AU20/365,0)</f>
        <v/>
      </c>
      <c r="AU132" s="11">
        <f>IF(AND(Time!AU17&gt;=Time!$F$11,Time!AU17&lt;57),AU126+AU127+AU128+AU129+AU130+AU131+Inputs!AV222*AV113*(Inputs!$F$95/100*0.5-Operations!AV9/100*Time!AV20/360)+(Inputs!$F$93/100*Inputs!$F$94/100)*AU125*Time!AV20/365,0)</f>
        <v/>
      </c>
      <c r="AV132" s="11">
        <f>IF(AND(Time!AV17&gt;=Time!$F$11,Time!AV17&lt;57),AV126+AV127+AV128+AV129+AV130+AV131+Inputs!AW222*AW113*(Inputs!$F$95/100*0.5-Operations!AW9/100*Time!AW20/360)+(Inputs!$F$93/100*Inputs!$F$94/100)*AV125*Time!AW20/365,0)</f>
        <v/>
      </c>
      <c r="AW132" s="11">
        <f>IF(AND(Time!AW17&gt;=Time!$F$11,Time!AW17&lt;57),AW126+AW127+AW128+AW129+AW130+AW131+Inputs!AX222*AX113*(Inputs!$F$95/100*0.5-Operations!AX9/100*Time!AX20/360)+(Inputs!$F$93/100*Inputs!$F$94/100)*AW125*Time!AX20/365,0)</f>
        <v/>
      </c>
      <c r="AX132" s="11">
        <f>IF(AND(Time!AX17&gt;=Time!$F$11,Time!AX17&lt;57),AX126+AX127+AX128+AX129+AX130+AX131+Inputs!AY222*AY113*(Inputs!$F$95/100*0.5-Operations!AY9/100*Time!AY20/360)+(Inputs!$F$93/100*Inputs!$F$94/100)*AX125*Time!AY20/365,0)</f>
        <v/>
      </c>
      <c r="AY132" s="11">
        <f>IF(AND(Time!AY17&gt;=Time!$F$11,Time!AY17&lt;57),AY126+AY127+AY128+AY129+AY130+AY131+Inputs!AZ222*AZ113*(Inputs!$F$95/100*0.5-Operations!AZ9/100*Time!AZ20/360)+(Inputs!$F$93/100*Inputs!$F$94/100)*AY125*Time!AZ20/365,0)</f>
        <v/>
      </c>
      <c r="AZ132" s="11">
        <f>IF(AND(Time!AZ17&gt;=Time!$F$11,Time!AZ17&lt;57),AZ126+AZ127+AZ128+AZ129+AZ130+AZ131+Inputs!BA222*BA113*(Inputs!$F$95/100*0.5-Operations!BA9/100*Time!BA20/360)+(Inputs!$F$93/100*Inputs!$F$94/100)*AZ125*Time!BA20/365,0)</f>
        <v/>
      </c>
      <c r="BA132" s="11">
        <f>IF(AND(Time!BA17&gt;=Time!$F$11,Time!BA17&lt;57),BA126+BA127+BA128+BA129+BA130+BA131+Inputs!BB222*BB113*(Inputs!$F$95/100*0.5-Operations!BB9/100*Time!BB20/360)+(Inputs!$F$93/100*Inputs!$F$94/100)*BA125*Time!BB20/365,0)</f>
        <v/>
      </c>
      <c r="BB132" s="11">
        <f>IF(AND(Time!BB17&gt;=Time!$F$11,Time!BB17&lt;57),BB126+BB127+BB128+BB129+BB130+BB131+Inputs!BC222*BC113*(Inputs!$F$95/100*0.5-Operations!BC9/100*Time!BC20/360)+(Inputs!$F$93/100*Inputs!$F$94/100)*BB125*Time!BC20/365,0)</f>
        <v/>
      </c>
      <c r="BC132" s="11">
        <f>IF(AND(Time!BC17&gt;=Time!$F$11,Time!BC17&lt;57),BC126+BC127+BC128+BC129+BC130+BC131+Inputs!BD222*BD113*(Inputs!$F$95/100*0.5-Operations!BD9/100*Time!BD20/360)+(Inputs!$F$93/100*Inputs!$F$94/100)*BC125*Time!BD20/365,0)</f>
        <v/>
      </c>
      <c r="BD132" s="11">
        <f>IF(AND(Time!BD17&gt;=Time!$F$11,Time!BD17&lt;57),BD126+BD127+BD128+BD129+BD130+BD131+Inputs!BE222*BE113*(Inputs!$F$95/100*0.5-Operations!BE9/100*Time!BE20/360)+(Inputs!$F$93/100*Inputs!$F$94/100)*BD125*Time!BE20/365,0)</f>
        <v/>
      </c>
      <c r="BE132" s="11">
        <f>IF(AND(Time!BE17&gt;=Time!$F$11,Time!BE17&lt;57),BE126+BE127+BE128+BE129+BE130+BE131+Inputs!BF222*BF113*(Inputs!$F$95/100*0.5-Operations!BF9/100*Time!BF20/360)+(Inputs!$F$93/100*Inputs!$F$94/100)*BE125*Time!BF20/365,0)</f>
        <v/>
      </c>
      <c r="BF132" s="11">
        <f>IF(AND(Time!BF17&gt;=Time!$F$11,Time!BF17&lt;57),BF126+BF127+BF128+BF129+BF130+BF131+Inputs!BG222*BG113*(Inputs!$F$95/100*0.5-Operations!BG9/100*Time!BG20/360)+(Inputs!$F$93/100*Inputs!$F$94/100)*BF125*Time!BG20/365,0)</f>
        <v/>
      </c>
      <c r="BG132" s="11">
        <f>IF(AND(Time!BG17&gt;=Time!$F$11,Time!BG17&lt;57),BG126+BG127+BG128+BG129+BG130+BG131+Inputs!BH222*BH113*(Inputs!$F$95/100*0.5-Operations!BH9/100*Time!BH20/360)+(Inputs!$F$93/100*Inputs!$F$94/100)*BG125*Time!BH20/365,0)</f>
        <v/>
      </c>
      <c r="BH132" s="11">
        <f>IF(AND(Time!BH17&gt;=Time!$F$11,Time!BH17&lt;57),BH126+BH127+BH128+BH129+BH130+BH131+Inputs!BI222*BI113*(Inputs!$F$95/100*0.5-Operations!BI9/100*Time!BI20/360)+(Inputs!$F$93/100*Inputs!$F$94/100)*BH125*Time!BI20/365,0)</f>
        <v/>
      </c>
      <c r="BI132" s="11">
        <f>IF(AND(Time!BI17&gt;=Time!$F$11,Time!BI17&lt;57),BI126+BI127+BI128+BI129+BI130+BI131+Inputs!BJ222*BJ113*(Inputs!$F$95/100*0.5-Operations!BJ9/100*Time!BJ20/360)+(Inputs!$F$93/100*Inputs!$F$94/100)*BI125*Time!BJ20/365,0)</f>
        <v/>
      </c>
      <c r="BJ132" s="11">
        <f>IF(AND(Time!BJ17&gt;=Time!$F$11,Time!BJ17&lt;57),BJ126+BJ127+BJ128+BJ129+BJ130+BJ131+Inputs!BK222*BK113*(Inputs!$F$95/100*0.5-Operations!BK9/100*Time!BK20/360)+(Inputs!$F$93/100*Inputs!$F$94/100)*BJ125*Time!BK20/365,0)</f>
        <v/>
      </c>
      <c r="BK132" s="11">
        <f>IF(AND(Time!BK17&gt;=Time!$F$11,Time!BK17&lt;57),BK126+BK127+BK128+BK129+BK130+BK131+Inputs!BL222*BL113*(Inputs!$F$95/100*0.5-Operations!BL9/100*Time!BL20/360)+(Inputs!$F$93/100*Inputs!$F$94/100)*BK125*Time!BL20/365,0)</f>
        <v/>
      </c>
      <c r="BL132" s="11">
        <f>IF(AND(Time!BL17&gt;=Time!$F$11,Time!BL17&lt;57),BL126+BL127+BL128+BL129+BL130+BL131+Inputs!BM222*BM113*(Inputs!$F$95/100*0.5-Operations!BM9/100*Time!BM20/360)+(Inputs!$F$93/100*Inputs!$F$94/100)*BL125*Time!BM20/365,0)</f>
        <v/>
      </c>
      <c r="BM132" s="11">
        <f>IF(AND(Time!BM17&gt;=Time!$F$11,Time!BM17&lt;57),BM126+BM127+BM128+BM129+BM130+BM131+Inputs!BN222*BN113*(Inputs!$F$95/100*0.5-Operations!BN9/100*Time!BN20/360)+(Inputs!$F$93/100*Inputs!$F$94/100)*BM125*Time!BN20/365,0)</f>
        <v/>
      </c>
      <c r="BN132" s="11">
        <f>IF(AND(Time!BN17&gt;=Time!$F$11,Time!BN17&lt;57),BN126+BN127+BN128+BN129+BN130+BN131+0*0*(Inputs!$F$95/100*0.5-0/100*0/360)+(Inputs!$F$93/100*Inputs!$F$94/100)*BN125*0/365,0)</f>
        <v/>
      </c>
    </row>
    <row r="133">
      <c r="B133" s="2" t="inlineStr">
        <is>
          <t>Live sculpting check (FC base: constant-DSCR profile from CFADS)</t>
        </is>
      </c>
    </row>
    <row r="134">
      <c r="D134" t="inlineStr">
        <is>
          <t>Flag_SculptingPeriod (first repayment to 2034H1)</t>
        </is>
      </c>
      <c r="E134" t="inlineStr">
        <is>
          <t>flag</t>
        </is>
      </c>
      <c r="J134" s="9">
        <f>IF(AND(Time!J17&gt;=Time!$F$12,Time!J17&lt;=32),1,0)</f>
        <v/>
      </c>
      <c r="K134" s="9">
        <f>IF(AND(Time!K17&gt;=Time!$F$12,Time!K17&lt;=32),1,0)</f>
        <v/>
      </c>
      <c r="L134" s="9">
        <f>IF(AND(Time!L17&gt;=Time!$F$12,Time!L17&lt;=32),1,0)</f>
        <v/>
      </c>
      <c r="M134" s="9">
        <f>IF(AND(Time!M17&gt;=Time!$F$12,Time!M17&lt;=32),1,0)</f>
        <v/>
      </c>
      <c r="N134" s="9">
        <f>IF(AND(Time!N17&gt;=Time!$F$12,Time!N17&lt;=32),1,0)</f>
        <v/>
      </c>
      <c r="O134" s="9">
        <f>IF(AND(Time!O17&gt;=Time!$F$12,Time!O17&lt;=32),1,0)</f>
        <v/>
      </c>
      <c r="P134" s="9">
        <f>IF(AND(Time!P17&gt;=Time!$F$12,Time!P17&lt;=32),1,0)</f>
        <v/>
      </c>
      <c r="Q134" s="9">
        <f>IF(AND(Time!Q17&gt;=Time!$F$12,Time!Q17&lt;=32),1,0)</f>
        <v/>
      </c>
      <c r="R134" s="9">
        <f>IF(AND(Time!R17&gt;=Time!$F$12,Time!R17&lt;=32),1,0)</f>
        <v/>
      </c>
      <c r="S134" s="9">
        <f>IF(AND(Time!S17&gt;=Time!$F$12,Time!S17&lt;=32),1,0)</f>
        <v/>
      </c>
      <c r="T134" s="9">
        <f>IF(AND(Time!T17&gt;=Time!$F$12,Time!T17&lt;=32),1,0)</f>
        <v/>
      </c>
      <c r="U134" s="9">
        <f>IF(AND(Time!U17&gt;=Time!$F$12,Time!U17&lt;=32),1,0)</f>
        <v/>
      </c>
      <c r="V134" s="9">
        <f>IF(AND(Time!V17&gt;=Time!$F$12,Time!V17&lt;=32),1,0)</f>
        <v/>
      </c>
      <c r="W134" s="9">
        <f>IF(AND(Time!W17&gt;=Time!$F$12,Time!W17&lt;=32),1,0)</f>
        <v/>
      </c>
      <c r="X134" s="9">
        <f>IF(AND(Time!X17&gt;=Time!$F$12,Time!X17&lt;=32),1,0)</f>
        <v/>
      </c>
      <c r="Y134" s="9">
        <f>IF(AND(Time!Y17&gt;=Time!$F$12,Time!Y17&lt;=32),1,0)</f>
        <v/>
      </c>
      <c r="Z134" s="9">
        <f>IF(AND(Time!Z17&gt;=Time!$F$12,Time!Z17&lt;=32),1,0)</f>
        <v/>
      </c>
      <c r="AA134" s="9">
        <f>IF(AND(Time!AA17&gt;=Time!$F$12,Time!AA17&lt;=32),1,0)</f>
        <v/>
      </c>
      <c r="AB134" s="9">
        <f>IF(AND(Time!AB17&gt;=Time!$F$12,Time!AB17&lt;=32),1,0)</f>
        <v/>
      </c>
      <c r="AC134" s="9">
        <f>IF(AND(Time!AC17&gt;=Time!$F$12,Time!AC17&lt;=32),1,0)</f>
        <v/>
      </c>
      <c r="AD134" s="9">
        <f>IF(AND(Time!AD17&gt;=Time!$F$12,Time!AD17&lt;=32),1,0)</f>
        <v/>
      </c>
      <c r="AE134" s="9">
        <f>IF(AND(Time!AE17&gt;=Time!$F$12,Time!AE17&lt;=32),1,0)</f>
        <v/>
      </c>
      <c r="AF134" s="9">
        <f>IF(AND(Time!AF17&gt;=Time!$F$12,Time!AF17&lt;=32),1,0)</f>
        <v/>
      </c>
      <c r="AG134" s="9">
        <f>IF(AND(Time!AG17&gt;=Time!$F$12,Time!AG17&lt;=32),1,0)</f>
        <v/>
      </c>
      <c r="AH134" s="9">
        <f>IF(AND(Time!AH17&gt;=Time!$F$12,Time!AH17&lt;=32),1,0)</f>
        <v/>
      </c>
      <c r="AI134" s="9">
        <f>IF(AND(Time!AI17&gt;=Time!$F$12,Time!AI17&lt;=32),1,0)</f>
        <v/>
      </c>
      <c r="AJ134" s="9">
        <f>IF(AND(Time!AJ17&gt;=Time!$F$12,Time!AJ17&lt;=32),1,0)</f>
        <v/>
      </c>
      <c r="AK134" s="9">
        <f>IF(AND(Time!AK17&gt;=Time!$F$12,Time!AK17&lt;=32),1,0)</f>
        <v/>
      </c>
      <c r="AL134" s="9">
        <f>IF(AND(Time!AL17&gt;=Time!$F$12,Time!AL17&lt;=32),1,0)</f>
        <v/>
      </c>
      <c r="AM134" s="9">
        <f>IF(AND(Time!AM17&gt;=Time!$F$12,Time!AM17&lt;=32),1,0)</f>
        <v/>
      </c>
      <c r="AN134" s="9">
        <f>IF(AND(Time!AN17&gt;=Time!$F$12,Time!AN17&lt;=32),1,0)</f>
        <v/>
      </c>
      <c r="AO134" s="9">
        <f>IF(AND(Time!AO17&gt;=Time!$F$12,Time!AO17&lt;=32),1,0)</f>
        <v/>
      </c>
      <c r="AP134" s="9">
        <f>IF(AND(Time!AP17&gt;=Time!$F$12,Time!AP17&lt;=32),1,0)</f>
        <v/>
      </c>
      <c r="AQ134" s="9">
        <f>IF(AND(Time!AQ17&gt;=Time!$F$12,Time!AQ17&lt;=32),1,0)</f>
        <v/>
      </c>
      <c r="AR134" s="9">
        <f>IF(AND(Time!AR17&gt;=Time!$F$12,Time!AR17&lt;=32),1,0)</f>
        <v/>
      </c>
      <c r="AS134" s="9">
        <f>IF(AND(Time!AS17&gt;=Time!$F$12,Time!AS17&lt;=32),1,0)</f>
        <v/>
      </c>
      <c r="AT134" s="9">
        <f>IF(AND(Time!AT17&gt;=Time!$F$12,Time!AT17&lt;=32),1,0)</f>
        <v/>
      </c>
      <c r="AU134" s="9">
        <f>IF(AND(Time!AU17&gt;=Time!$F$12,Time!AU17&lt;=32),1,0)</f>
        <v/>
      </c>
      <c r="AV134" s="9">
        <f>IF(AND(Time!AV17&gt;=Time!$F$12,Time!AV17&lt;=32),1,0)</f>
        <v/>
      </c>
      <c r="AW134" s="9">
        <f>IF(AND(Time!AW17&gt;=Time!$F$12,Time!AW17&lt;=32),1,0)</f>
        <v/>
      </c>
      <c r="AX134" s="9">
        <f>IF(AND(Time!AX17&gt;=Time!$F$12,Time!AX17&lt;=32),1,0)</f>
        <v/>
      </c>
      <c r="AY134" s="9">
        <f>IF(AND(Time!AY17&gt;=Time!$F$12,Time!AY17&lt;=32),1,0)</f>
        <v/>
      </c>
      <c r="AZ134" s="9">
        <f>IF(AND(Time!AZ17&gt;=Time!$F$12,Time!AZ17&lt;=32),1,0)</f>
        <v/>
      </c>
      <c r="BA134" s="9">
        <f>IF(AND(Time!BA17&gt;=Time!$F$12,Time!BA17&lt;=32),1,0)</f>
        <v/>
      </c>
      <c r="BB134" s="9">
        <f>IF(AND(Time!BB17&gt;=Time!$F$12,Time!BB17&lt;=32),1,0)</f>
        <v/>
      </c>
      <c r="BC134" s="9">
        <f>IF(AND(Time!BC17&gt;=Time!$F$12,Time!BC17&lt;=32),1,0)</f>
        <v/>
      </c>
      <c r="BD134" s="9">
        <f>IF(AND(Time!BD17&gt;=Time!$F$12,Time!BD17&lt;=32),1,0)</f>
        <v/>
      </c>
      <c r="BE134" s="9">
        <f>IF(AND(Time!BE17&gt;=Time!$F$12,Time!BE17&lt;=32),1,0)</f>
        <v/>
      </c>
      <c r="BF134" s="9">
        <f>IF(AND(Time!BF17&gt;=Time!$F$12,Time!BF17&lt;=32),1,0)</f>
        <v/>
      </c>
      <c r="BG134" s="9">
        <f>IF(AND(Time!BG17&gt;=Time!$F$12,Time!BG17&lt;=32),1,0)</f>
        <v/>
      </c>
      <c r="BH134" s="9">
        <f>IF(AND(Time!BH17&gt;=Time!$F$12,Time!BH17&lt;=32),1,0)</f>
        <v/>
      </c>
      <c r="BI134" s="9">
        <f>IF(AND(Time!BI17&gt;=Time!$F$12,Time!BI17&lt;=32),1,0)</f>
        <v/>
      </c>
      <c r="BJ134" s="9">
        <f>IF(AND(Time!BJ17&gt;=Time!$F$12,Time!BJ17&lt;=32),1,0)</f>
        <v/>
      </c>
      <c r="BK134" s="9">
        <f>IF(AND(Time!BK17&gt;=Time!$F$12,Time!BK17&lt;=32),1,0)</f>
        <v/>
      </c>
      <c r="BL134" s="9">
        <f>IF(AND(Time!BL17&gt;=Time!$F$12,Time!BL17&lt;=32),1,0)</f>
        <v/>
      </c>
      <c r="BM134" s="9">
        <f>IF(AND(Time!BM17&gt;=Time!$F$12,Time!BM17&lt;=32),1,0)</f>
        <v/>
      </c>
      <c r="BN134" s="9">
        <f>IF(AND(Time!BN17&gt;=Time!$F$12,Time!BN17&lt;=32),1,0)</f>
        <v/>
      </c>
    </row>
    <row r="135">
      <c r="D135" t="inlineStr">
        <is>
          <t>Sculpting rate on scheduled balance</t>
        </is>
      </c>
      <c r="E135" t="inlineStr">
        <is>
          <t>factor</t>
        </is>
      </c>
      <c r="J135" s="14">
        <f>IF(J134=1,Inputs!$F$73*J10+Inputs!$F$74*J11+Inputs!$F$75*J12+Inputs!$F$76*(J13+(Inputs!$F$93/100*Inputs!$F$94/100)*Time!J20/365)+Inputs!J222/(Funding!$F$25*J18)*(Inputs!$F$95/100*0.5-Operations!J9/100*Time!J20/360),0)</f>
        <v/>
      </c>
      <c r="K135" s="14">
        <f>IF(K134=1,Inputs!$F$73*K10+Inputs!$F$74*K11+Inputs!$F$75*K12+Inputs!$F$76*(K13+(Inputs!$F$93/100*Inputs!$F$94/100)*Time!K20/365)+Inputs!K222/(Funding!$F$25*K18)*(Inputs!$F$95/100*0.5-Operations!K9/100*Time!K20/360),0)</f>
        <v/>
      </c>
      <c r="L135" s="14">
        <f>IF(L134=1,Inputs!$F$73*L10+Inputs!$F$74*L11+Inputs!$F$75*L12+Inputs!$F$76*(L13+(Inputs!$F$93/100*Inputs!$F$94/100)*Time!L20/365)+Inputs!L222/(Funding!$F$25*L18)*(Inputs!$F$95/100*0.5-Operations!L9/100*Time!L20/360),0)</f>
        <v/>
      </c>
      <c r="M135" s="14">
        <f>IF(M134=1,Inputs!$F$73*M10+Inputs!$F$74*M11+Inputs!$F$75*M12+Inputs!$F$76*(M13+(Inputs!$F$93/100*Inputs!$F$94/100)*Time!M20/365)+Inputs!M222/(Funding!$F$25*M18)*(Inputs!$F$95/100*0.5-Operations!M9/100*Time!M20/360),0)</f>
        <v/>
      </c>
      <c r="N135" s="14">
        <f>IF(N134=1,Inputs!$F$73*N10+Inputs!$F$74*N11+Inputs!$F$75*N12+Inputs!$F$76*(N13+(Inputs!$F$93/100*Inputs!$F$94/100)*Time!N20/365)+Inputs!N222/(Funding!$F$25*N18)*(Inputs!$F$95/100*0.5-Operations!N9/100*Time!N20/360),0)</f>
        <v/>
      </c>
      <c r="O135" s="14">
        <f>IF(O134=1,Inputs!$F$73*O10+Inputs!$F$74*O11+Inputs!$F$75*O12+Inputs!$F$76*(O13+(Inputs!$F$93/100*Inputs!$F$94/100)*Time!O20/365)+Inputs!O222/(Funding!$F$25*O18)*(Inputs!$F$95/100*0.5-Operations!O9/100*Time!O20/360),0)</f>
        <v/>
      </c>
      <c r="P135" s="14">
        <f>IF(P134=1,Inputs!$F$73*P10+Inputs!$F$74*P11+Inputs!$F$75*P12+Inputs!$F$76*(P13+(Inputs!$F$93/100*Inputs!$F$94/100)*Time!P20/365)+Inputs!P222/(Funding!$F$25*P18)*(Inputs!$F$95/100*0.5-Operations!P9/100*Time!P20/360),0)</f>
        <v/>
      </c>
      <c r="Q135" s="14">
        <f>IF(Q134=1,Inputs!$F$73*Q10+Inputs!$F$74*Q11+Inputs!$F$75*Q12+Inputs!$F$76*(Q13+(Inputs!$F$93/100*Inputs!$F$94/100)*Time!Q20/365)+Inputs!Q222/(Funding!$F$25*Q18)*(Inputs!$F$95/100*0.5-Operations!Q9/100*Time!Q20/360),0)</f>
        <v/>
      </c>
      <c r="R135" s="14">
        <f>IF(R134=1,Inputs!$F$73*R10+Inputs!$F$74*R11+Inputs!$F$75*R12+Inputs!$F$76*(R13+(Inputs!$F$93/100*Inputs!$F$94/100)*Time!R20/365)+Inputs!R222/(Funding!$F$25*R18)*(Inputs!$F$95/100*0.5-Operations!R9/100*Time!R20/360),0)</f>
        <v/>
      </c>
      <c r="S135" s="14">
        <f>IF(S134=1,Inputs!$F$73*S10+Inputs!$F$74*S11+Inputs!$F$75*S12+Inputs!$F$76*(S13+(Inputs!$F$93/100*Inputs!$F$94/100)*Time!S20/365)+Inputs!S222/(Funding!$F$25*S18)*(Inputs!$F$95/100*0.5-Operations!S9/100*Time!S20/360),0)</f>
        <v/>
      </c>
      <c r="T135" s="14">
        <f>IF(T134=1,Inputs!$F$73*T10+Inputs!$F$74*T11+Inputs!$F$75*T12+Inputs!$F$76*(T13+(Inputs!$F$93/100*Inputs!$F$94/100)*Time!T20/365)+Inputs!T222/(Funding!$F$25*T18)*(Inputs!$F$95/100*0.5-Operations!T9/100*Time!T20/360),0)</f>
        <v/>
      </c>
      <c r="U135" s="14">
        <f>IF(U134=1,Inputs!$F$73*U10+Inputs!$F$74*U11+Inputs!$F$75*U12+Inputs!$F$76*(U13+(Inputs!$F$93/100*Inputs!$F$94/100)*Time!U20/365)+Inputs!U222/(Funding!$F$25*U18)*(Inputs!$F$95/100*0.5-Operations!U9/100*Time!U20/360),0)</f>
        <v/>
      </c>
      <c r="V135" s="14">
        <f>IF(V134=1,Inputs!$F$73*V10+Inputs!$F$74*V11+Inputs!$F$75*V12+Inputs!$F$76*(V13+(Inputs!$F$93/100*Inputs!$F$94/100)*Time!V20/365)+Inputs!V222/(Funding!$F$25*V18)*(Inputs!$F$95/100*0.5-Operations!V9/100*Time!V20/360),0)</f>
        <v/>
      </c>
      <c r="W135" s="14">
        <f>IF(W134=1,Inputs!$F$73*W10+Inputs!$F$74*W11+Inputs!$F$75*W12+Inputs!$F$76*(W13+(Inputs!$F$93/100*Inputs!$F$94/100)*Time!W20/365)+Inputs!W222/(Funding!$F$25*W18)*(Inputs!$F$95/100*0.5-Operations!W9/100*Time!W20/360),0)</f>
        <v/>
      </c>
      <c r="X135" s="14">
        <f>IF(X134=1,Inputs!$F$73*X10+Inputs!$F$74*X11+Inputs!$F$75*X12+Inputs!$F$76*(X13+(Inputs!$F$93/100*Inputs!$F$94/100)*Time!X20/365)+Inputs!X222/(Funding!$F$25*X18)*(Inputs!$F$95/100*0.5-Operations!X9/100*Time!X20/360),0)</f>
        <v/>
      </c>
      <c r="Y135" s="14">
        <f>IF(Y134=1,Inputs!$F$73*Y10+Inputs!$F$74*Y11+Inputs!$F$75*Y12+Inputs!$F$76*(Y13+(Inputs!$F$93/100*Inputs!$F$94/100)*Time!Y20/365)+Inputs!Y222/(Funding!$F$25*Y18)*(Inputs!$F$95/100*0.5-Operations!Y9/100*Time!Y20/360),0)</f>
        <v/>
      </c>
      <c r="Z135" s="14">
        <f>IF(Z134=1,Inputs!$F$73*Z10+Inputs!$F$74*Z11+Inputs!$F$75*Z12+Inputs!$F$76*(Z13+(Inputs!$F$93/100*Inputs!$F$94/100)*Time!Z20/365)+Inputs!Z222/(Funding!$F$25*Z18)*(Inputs!$F$95/100*0.5-Operations!Z9/100*Time!Z20/360),0)</f>
        <v/>
      </c>
      <c r="AA135" s="14">
        <f>IF(AA134=1,Inputs!$F$73*AA10+Inputs!$F$74*AA11+Inputs!$F$75*AA12+Inputs!$F$76*(AA13+(Inputs!$F$93/100*Inputs!$F$94/100)*Time!AA20/365)+Inputs!AA222/(Funding!$F$25*AA18)*(Inputs!$F$95/100*0.5-Operations!AA9/100*Time!AA20/360),0)</f>
        <v/>
      </c>
      <c r="AB135" s="14">
        <f>IF(AB134=1,Inputs!$F$73*AB10+Inputs!$F$74*AB11+Inputs!$F$75*AB12+Inputs!$F$76*(AB13+(Inputs!$F$93/100*Inputs!$F$94/100)*Time!AB20/365)+Inputs!AB222/(Funding!$F$25*AB18)*(Inputs!$F$95/100*0.5-Operations!AB9/100*Time!AB20/360),0)</f>
        <v/>
      </c>
      <c r="AC135" s="14">
        <f>IF(AC134=1,Inputs!$F$73*AC10+Inputs!$F$74*AC11+Inputs!$F$75*AC12+Inputs!$F$76*(AC13+(Inputs!$F$93/100*Inputs!$F$94/100)*Time!AC20/365)+Inputs!AC222/(Funding!$F$25*AC18)*(Inputs!$F$95/100*0.5-Operations!AC9/100*Time!AC20/360),0)</f>
        <v/>
      </c>
      <c r="AD135" s="14">
        <f>IF(AD134=1,Inputs!$F$73*AD10+Inputs!$F$74*AD11+Inputs!$F$75*AD12+Inputs!$F$76*(AD13+(Inputs!$F$93/100*Inputs!$F$94/100)*Time!AD20/365)+Inputs!AD222/(Funding!$F$25*AD18)*(Inputs!$F$95/100*0.5-Operations!AD9/100*Time!AD20/360),0)</f>
        <v/>
      </c>
      <c r="AE135" s="14">
        <f>IF(AE134=1,Inputs!$F$73*AE10+Inputs!$F$74*AE11+Inputs!$F$75*AE12+Inputs!$F$76*(AE13+(Inputs!$F$93/100*Inputs!$F$94/100)*Time!AE20/365)+Inputs!AE222/(Funding!$F$25*AE18)*(Inputs!$F$95/100*0.5-Operations!AE9/100*Time!AE20/360),0)</f>
        <v/>
      </c>
      <c r="AF135" s="14">
        <f>IF(AF134=1,Inputs!$F$73*AF10+Inputs!$F$74*AF11+Inputs!$F$75*AF12+Inputs!$F$76*(AF13+(Inputs!$F$93/100*Inputs!$F$94/100)*Time!AF20/365)+Inputs!AF222/(Funding!$F$25*AF18)*(Inputs!$F$95/100*0.5-Operations!AF9/100*Time!AF20/360),0)</f>
        <v/>
      </c>
      <c r="AG135" s="14">
        <f>IF(AG134=1,Inputs!$F$73*AG10+Inputs!$F$74*AG11+Inputs!$F$75*AG12+Inputs!$F$76*(AG13+(Inputs!$F$93/100*Inputs!$F$94/100)*Time!AG20/365)+Inputs!AG222/(Funding!$F$25*AG18)*(Inputs!$F$95/100*0.5-Operations!AG9/100*Time!AG20/360),0)</f>
        <v/>
      </c>
      <c r="AH135" s="14">
        <f>IF(AH134=1,Inputs!$F$73*AH10+Inputs!$F$74*AH11+Inputs!$F$75*AH12+Inputs!$F$76*(AH13+(Inputs!$F$93/100*Inputs!$F$94/100)*Time!AH20/365)+Inputs!AH222/(Funding!$F$25*AH18)*(Inputs!$F$95/100*0.5-Operations!AH9/100*Time!AH20/360),0)</f>
        <v/>
      </c>
      <c r="AI135" s="14">
        <f>IF(AI134=1,Inputs!$F$73*AI10+Inputs!$F$74*AI11+Inputs!$F$75*AI12+Inputs!$F$76*(AI13+(Inputs!$F$93/100*Inputs!$F$94/100)*Time!AI20/365)+Inputs!AI222/(Funding!$F$25*AI18)*(Inputs!$F$95/100*0.5-Operations!AI9/100*Time!AI20/360),0)</f>
        <v/>
      </c>
      <c r="AJ135" s="14">
        <f>IF(AJ134=1,Inputs!$F$73*AJ10+Inputs!$F$74*AJ11+Inputs!$F$75*AJ12+Inputs!$F$76*(AJ13+(Inputs!$F$93/100*Inputs!$F$94/100)*Time!AJ20/365)+Inputs!AJ222/(Funding!$F$25*AJ18)*(Inputs!$F$95/100*0.5-Operations!AJ9/100*Time!AJ20/360),0)</f>
        <v/>
      </c>
      <c r="AK135" s="14">
        <f>IF(AK134=1,Inputs!$F$73*AK10+Inputs!$F$74*AK11+Inputs!$F$75*AK12+Inputs!$F$76*(AK13+(Inputs!$F$93/100*Inputs!$F$94/100)*Time!AK20/365)+Inputs!AK222/(Funding!$F$25*AK18)*(Inputs!$F$95/100*0.5-Operations!AK9/100*Time!AK20/360),0)</f>
        <v/>
      </c>
      <c r="AL135" s="14">
        <f>IF(AL134=1,Inputs!$F$73*AL10+Inputs!$F$74*AL11+Inputs!$F$75*AL12+Inputs!$F$76*(AL13+(Inputs!$F$93/100*Inputs!$F$94/100)*Time!AL20/365)+Inputs!AL222/(Funding!$F$25*AL18)*(Inputs!$F$95/100*0.5-Operations!AL9/100*Time!AL20/360),0)</f>
        <v/>
      </c>
      <c r="AM135" s="14">
        <f>IF(AM134=1,Inputs!$F$73*AM10+Inputs!$F$74*AM11+Inputs!$F$75*AM12+Inputs!$F$76*(AM13+(Inputs!$F$93/100*Inputs!$F$94/100)*Time!AM20/365)+Inputs!AM222/(Funding!$F$25*AM18)*(Inputs!$F$95/100*0.5-Operations!AM9/100*Time!AM20/360),0)</f>
        <v/>
      </c>
      <c r="AN135" s="14">
        <f>IF(AN134=1,Inputs!$F$73*AN10+Inputs!$F$74*AN11+Inputs!$F$75*AN12+Inputs!$F$76*(AN13+(Inputs!$F$93/100*Inputs!$F$94/100)*Time!AN20/365)+Inputs!AN222/(Funding!$F$25*AN18)*(Inputs!$F$95/100*0.5-Operations!AN9/100*Time!AN20/360),0)</f>
        <v/>
      </c>
      <c r="AO135" s="14">
        <f>IF(AO134=1,Inputs!$F$73*AO10+Inputs!$F$74*AO11+Inputs!$F$75*AO12+Inputs!$F$76*(AO13+(Inputs!$F$93/100*Inputs!$F$94/100)*Time!AO20/365)+Inputs!AO222/(Funding!$F$25*AO18)*(Inputs!$F$95/100*0.5-Operations!AO9/100*Time!AO20/360),0)</f>
        <v/>
      </c>
      <c r="AP135" s="14">
        <f>IF(AP134=1,Inputs!$F$73*AP10+Inputs!$F$74*AP11+Inputs!$F$75*AP12+Inputs!$F$76*(AP13+(Inputs!$F$93/100*Inputs!$F$94/100)*Time!AP20/365)+Inputs!AP222/(Funding!$F$25*AP18)*(Inputs!$F$95/100*0.5-Operations!AP9/100*Time!AP20/360),0)</f>
        <v/>
      </c>
      <c r="AQ135" s="14">
        <f>IF(AQ134=1,Inputs!$F$73*AQ10+Inputs!$F$74*AQ11+Inputs!$F$75*AQ12+Inputs!$F$76*(AQ13+(Inputs!$F$93/100*Inputs!$F$94/100)*Time!AQ20/365)+Inputs!AQ222/(Funding!$F$25*AQ18)*(Inputs!$F$95/100*0.5-Operations!AQ9/100*Time!AQ20/360),0)</f>
        <v/>
      </c>
      <c r="AR135" s="14">
        <f>IF(AR134=1,Inputs!$F$73*AR10+Inputs!$F$74*AR11+Inputs!$F$75*AR12+Inputs!$F$76*(AR13+(Inputs!$F$93/100*Inputs!$F$94/100)*Time!AR20/365)+Inputs!AR222/(Funding!$F$25*AR18)*(Inputs!$F$95/100*0.5-Operations!AR9/100*Time!AR20/360),0)</f>
        <v/>
      </c>
      <c r="AS135" s="14">
        <f>IF(AS134=1,Inputs!$F$73*AS10+Inputs!$F$74*AS11+Inputs!$F$75*AS12+Inputs!$F$76*(AS13+(Inputs!$F$93/100*Inputs!$F$94/100)*Time!AS20/365)+Inputs!AS222/(Funding!$F$25*AS18)*(Inputs!$F$95/100*0.5-Operations!AS9/100*Time!AS20/360),0)</f>
        <v/>
      </c>
      <c r="AT135" s="14">
        <f>IF(AT134=1,Inputs!$F$73*AT10+Inputs!$F$74*AT11+Inputs!$F$75*AT12+Inputs!$F$76*(AT13+(Inputs!$F$93/100*Inputs!$F$94/100)*Time!AT20/365)+Inputs!AT222/(Funding!$F$25*AT18)*(Inputs!$F$95/100*0.5-Operations!AT9/100*Time!AT20/360),0)</f>
        <v/>
      </c>
      <c r="AU135" s="14">
        <f>IF(AU134=1,Inputs!$F$73*AU10+Inputs!$F$74*AU11+Inputs!$F$75*AU12+Inputs!$F$76*(AU13+(Inputs!$F$93/100*Inputs!$F$94/100)*Time!AU20/365)+Inputs!AU222/(Funding!$F$25*AU18)*(Inputs!$F$95/100*0.5-Operations!AU9/100*Time!AU20/360),0)</f>
        <v/>
      </c>
      <c r="AV135" s="14">
        <f>IF(AV134=1,Inputs!$F$73*AV10+Inputs!$F$74*AV11+Inputs!$F$75*AV12+Inputs!$F$76*(AV13+(Inputs!$F$93/100*Inputs!$F$94/100)*Time!AV20/365)+Inputs!AV222/(Funding!$F$25*AV18)*(Inputs!$F$95/100*0.5-Operations!AV9/100*Time!AV20/360),0)</f>
        <v/>
      </c>
      <c r="AW135" s="14">
        <f>IF(AW134=1,Inputs!$F$73*AW10+Inputs!$F$74*AW11+Inputs!$F$75*AW12+Inputs!$F$76*(AW13+(Inputs!$F$93/100*Inputs!$F$94/100)*Time!AW20/365)+Inputs!AW222/(Funding!$F$25*AW18)*(Inputs!$F$95/100*0.5-Operations!AW9/100*Time!AW20/360),0)</f>
        <v/>
      </c>
      <c r="AX135" s="14">
        <f>IF(AX134=1,Inputs!$F$73*AX10+Inputs!$F$74*AX11+Inputs!$F$75*AX12+Inputs!$F$76*(AX13+(Inputs!$F$93/100*Inputs!$F$94/100)*Time!AX20/365)+Inputs!AX222/(Funding!$F$25*AX18)*(Inputs!$F$95/100*0.5-Operations!AX9/100*Time!AX20/360),0)</f>
        <v/>
      </c>
      <c r="AY135" s="14">
        <f>IF(AY134=1,Inputs!$F$73*AY10+Inputs!$F$74*AY11+Inputs!$F$75*AY12+Inputs!$F$76*(AY13+(Inputs!$F$93/100*Inputs!$F$94/100)*Time!AY20/365)+Inputs!AY222/(Funding!$F$25*AY18)*(Inputs!$F$95/100*0.5-Operations!AY9/100*Time!AY20/360),0)</f>
        <v/>
      </c>
      <c r="AZ135" s="14">
        <f>IF(AZ134=1,Inputs!$F$73*AZ10+Inputs!$F$74*AZ11+Inputs!$F$75*AZ12+Inputs!$F$76*(AZ13+(Inputs!$F$93/100*Inputs!$F$94/100)*Time!AZ20/365)+Inputs!AZ222/(Funding!$F$25*AZ18)*(Inputs!$F$95/100*0.5-Operations!AZ9/100*Time!AZ20/360),0)</f>
        <v/>
      </c>
      <c r="BA135" s="14">
        <f>IF(BA134=1,Inputs!$F$73*BA10+Inputs!$F$74*BA11+Inputs!$F$75*BA12+Inputs!$F$76*(BA13+(Inputs!$F$93/100*Inputs!$F$94/100)*Time!BA20/365)+Inputs!BA222/(Funding!$F$25*BA18)*(Inputs!$F$95/100*0.5-Operations!BA9/100*Time!BA20/360),0)</f>
        <v/>
      </c>
      <c r="BB135" s="14">
        <f>IF(BB134=1,Inputs!$F$73*BB10+Inputs!$F$74*BB11+Inputs!$F$75*BB12+Inputs!$F$76*(BB13+(Inputs!$F$93/100*Inputs!$F$94/100)*Time!BB20/365)+Inputs!BB222/(Funding!$F$25*BB18)*(Inputs!$F$95/100*0.5-Operations!BB9/100*Time!BB20/360),0)</f>
        <v/>
      </c>
      <c r="BC135" s="14">
        <f>IF(BC134=1,Inputs!$F$73*BC10+Inputs!$F$74*BC11+Inputs!$F$75*BC12+Inputs!$F$76*(BC13+(Inputs!$F$93/100*Inputs!$F$94/100)*Time!BC20/365)+Inputs!BC222/(Funding!$F$25*BC18)*(Inputs!$F$95/100*0.5-Operations!BC9/100*Time!BC20/360),0)</f>
        <v/>
      </c>
      <c r="BD135" s="14">
        <f>IF(BD134=1,Inputs!$F$73*BD10+Inputs!$F$74*BD11+Inputs!$F$75*BD12+Inputs!$F$76*(BD13+(Inputs!$F$93/100*Inputs!$F$94/100)*Time!BD20/365)+Inputs!BD222/(Funding!$F$25*BD18)*(Inputs!$F$95/100*0.5-Operations!BD9/100*Time!BD20/360),0)</f>
        <v/>
      </c>
      <c r="BE135" s="14">
        <f>IF(BE134=1,Inputs!$F$73*BE10+Inputs!$F$74*BE11+Inputs!$F$75*BE12+Inputs!$F$76*(BE13+(Inputs!$F$93/100*Inputs!$F$94/100)*Time!BE20/365)+Inputs!BE222/(Funding!$F$25*BE18)*(Inputs!$F$95/100*0.5-Operations!BE9/100*Time!BE20/360),0)</f>
        <v/>
      </c>
      <c r="BF135" s="14">
        <f>IF(BF134=1,Inputs!$F$73*BF10+Inputs!$F$74*BF11+Inputs!$F$75*BF12+Inputs!$F$76*(BF13+(Inputs!$F$93/100*Inputs!$F$94/100)*Time!BF20/365)+Inputs!BF222/(Funding!$F$25*BF18)*(Inputs!$F$95/100*0.5-Operations!BF9/100*Time!BF20/360),0)</f>
        <v/>
      </c>
      <c r="BG135" s="14">
        <f>IF(BG134=1,Inputs!$F$73*BG10+Inputs!$F$74*BG11+Inputs!$F$75*BG12+Inputs!$F$76*(BG13+(Inputs!$F$93/100*Inputs!$F$94/100)*Time!BG20/365)+Inputs!BG222/(Funding!$F$25*BG18)*(Inputs!$F$95/100*0.5-Operations!BG9/100*Time!BG20/360),0)</f>
        <v/>
      </c>
      <c r="BH135" s="14">
        <f>IF(BH134=1,Inputs!$F$73*BH10+Inputs!$F$74*BH11+Inputs!$F$75*BH12+Inputs!$F$76*(BH13+(Inputs!$F$93/100*Inputs!$F$94/100)*Time!BH20/365)+Inputs!BH222/(Funding!$F$25*BH18)*(Inputs!$F$95/100*0.5-Operations!BH9/100*Time!BH20/360),0)</f>
        <v/>
      </c>
      <c r="BI135" s="14">
        <f>IF(BI134=1,Inputs!$F$73*BI10+Inputs!$F$74*BI11+Inputs!$F$75*BI12+Inputs!$F$76*(BI13+(Inputs!$F$93/100*Inputs!$F$94/100)*Time!BI20/365)+Inputs!BI222/(Funding!$F$25*BI18)*(Inputs!$F$95/100*0.5-Operations!BI9/100*Time!BI20/360),0)</f>
        <v/>
      </c>
      <c r="BJ135" s="14">
        <f>IF(BJ134=1,Inputs!$F$73*BJ10+Inputs!$F$74*BJ11+Inputs!$F$75*BJ12+Inputs!$F$76*(BJ13+(Inputs!$F$93/100*Inputs!$F$94/100)*Time!BJ20/365)+Inputs!BJ222/(Funding!$F$25*BJ18)*(Inputs!$F$95/100*0.5-Operations!BJ9/100*Time!BJ20/360),0)</f>
        <v/>
      </c>
      <c r="BK135" s="14">
        <f>IF(BK134=1,Inputs!$F$73*BK10+Inputs!$F$74*BK11+Inputs!$F$75*BK12+Inputs!$F$76*(BK13+(Inputs!$F$93/100*Inputs!$F$94/100)*Time!BK20/365)+Inputs!BK222/(Funding!$F$25*BK18)*(Inputs!$F$95/100*0.5-Operations!BK9/100*Time!BK20/360),0)</f>
        <v/>
      </c>
      <c r="BL135" s="14">
        <f>IF(BL134=1,Inputs!$F$73*BL10+Inputs!$F$74*BL11+Inputs!$F$75*BL12+Inputs!$F$76*(BL13+(Inputs!$F$93/100*Inputs!$F$94/100)*Time!BL20/365)+Inputs!BL222/(Funding!$F$25*BL18)*(Inputs!$F$95/100*0.5-Operations!BL9/100*Time!BL20/360),0)</f>
        <v/>
      </c>
      <c r="BM135" s="14">
        <f>IF(BM134=1,Inputs!$F$73*BM10+Inputs!$F$74*BM11+Inputs!$F$75*BM12+Inputs!$F$76*(BM13+(Inputs!$F$93/100*Inputs!$F$94/100)*Time!BM20/365)+Inputs!BM222/(Funding!$F$25*BM18)*(Inputs!$F$95/100*0.5-Operations!BM9/100*Time!BM20/360),0)</f>
        <v/>
      </c>
      <c r="BN135" s="14">
        <f>IF(BN134=1,Inputs!$F$73*BN10+Inputs!$F$74*BN11+Inputs!$F$75*BN12+Inputs!$F$76*(BN13+(Inputs!$F$93/100*Inputs!$F$94/100)*Time!BN20/365)+Inputs!BN222/(Funding!$F$25*BN18)*(Inputs!$F$95/100*0.5-Operations!BN9/100*Time!BN20/360),0)</f>
        <v/>
      </c>
    </row>
    <row r="136">
      <c r="D136" t="inlineStr">
        <is>
          <t>PV of CFADS to 2034H1 at the sculpting rate</t>
        </is>
      </c>
      <c r="E136" t="inlineStr">
        <is>
          <t>USD m</t>
        </is>
      </c>
      <c r="J136" s="11">
        <f>IF(J134=1,(Waterfall!J7+K136)/(1+J135),0)</f>
        <v/>
      </c>
      <c r="K136" s="11">
        <f>IF(K134=1,(Waterfall!K7+L136)/(1+K135),0)</f>
        <v/>
      </c>
      <c r="L136" s="11">
        <f>IF(L134=1,(Waterfall!L7+M136)/(1+L135),0)</f>
        <v/>
      </c>
      <c r="M136" s="11">
        <f>IF(M134=1,(Waterfall!M7+N136)/(1+M135),0)</f>
        <v/>
      </c>
      <c r="N136" s="11">
        <f>IF(N134=1,(Waterfall!N7+O136)/(1+N135),0)</f>
        <v/>
      </c>
      <c r="O136" s="11">
        <f>IF(O134=1,(Waterfall!O7+P136)/(1+O135),0)</f>
        <v/>
      </c>
      <c r="P136" s="11">
        <f>IF(P134=1,(Waterfall!P7+Q136)/(1+P135),0)</f>
        <v/>
      </c>
      <c r="Q136" s="11">
        <f>IF(Q134=1,(Waterfall!Q7+R136)/(1+Q135),0)</f>
        <v/>
      </c>
      <c r="R136" s="11">
        <f>IF(R134=1,(Waterfall!R7+S136)/(1+R135),0)</f>
        <v/>
      </c>
      <c r="S136" s="11">
        <f>IF(S134=1,(Waterfall!S7+T136)/(1+S135),0)</f>
        <v/>
      </c>
      <c r="T136" s="11">
        <f>IF(T134=1,(Waterfall!T7+U136)/(1+T135),0)</f>
        <v/>
      </c>
      <c r="U136" s="11">
        <f>IF(U134=1,(Waterfall!U7+V136)/(1+U135),0)</f>
        <v/>
      </c>
      <c r="V136" s="11">
        <f>IF(V134=1,(Waterfall!V7+W136)/(1+V135),0)</f>
        <v/>
      </c>
      <c r="W136" s="11">
        <f>IF(W134=1,(Waterfall!W7+X136)/(1+W135),0)</f>
        <v/>
      </c>
      <c r="X136" s="11">
        <f>IF(X134=1,(Waterfall!X7+Y136)/(1+X135),0)</f>
        <v/>
      </c>
      <c r="Y136" s="11">
        <f>IF(Y134=1,(Waterfall!Y7+Z136)/(1+Y135),0)</f>
        <v/>
      </c>
      <c r="Z136" s="11">
        <f>IF(Z134=1,(Waterfall!Z7+AA136)/(1+Z135),0)</f>
        <v/>
      </c>
      <c r="AA136" s="11">
        <f>IF(AA134=1,(Waterfall!AA7+AB136)/(1+AA135),0)</f>
        <v/>
      </c>
      <c r="AB136" s="11">
        <f>IF(AB134=1,(Waterfall!AB7+AC136)/(1+AB135),0)</f>
        <v/>
      </c>
      <c r="AC136" s="11">
        <f>IF(AC134=1,(Waterfall!AC7+AD136)/(1+AC135),0)</f>
        <v/>
      </c>
      <c r="AD136" s="11">
        <f>IF(AD134=1,(Waterfall!AD7+AE136)/(1+AD135),0)</f>
        <v/>
      </c>
      <c r="AE136" s="11">
        <f>IF(AE134=1,(Waterfall!AE7+AF136)/(1+AE135),0)</f>
        <v/>
      </c>
      <c r="AF136" s="11">
        <f>IF(AF134=1,(Waterfall!AF7+AG136)/(1+AF135),0)</f>
        <v/>
      </c>
      <c r="AG136" s="11">
        <f>IF(AG134=1,(Waterfall!AG7+AH136)/(1+AG135),0)</f>
        <v/>
      </c>
      <c r="AH136" s="11">
        <f>IF(AH134=1,(Waterfall!AH7+AI136)/(1+AH135),0)</f>
        <v/>
      </c>
      <c r="AI136" s="11">
        <f>IF(AI134=1,(Waterfall!AI7+AJ136)/(1+AI135),0)</f>
        <v/>
      </c>
      <c r="AJ136" s="11">
        <f>IF(AJ134=1,(Waterfall!AJ7+AK136)/(1+AJ135),0)</f>
        <v/>
      </c>
      <c r="AK136" s="11">
        <f>IF(AK134=1,(Waterfall!AK7+AL136)/(1+AK135),0)</f>
        <v/>
      </c>
      <c r="AL136" s="11">
        <f>IF(AL134=1,(Waterfall!AL7+AM136)/(1+AL135),0)</f>
        <v/>
      </c>
      <c r="AM136" s="11">
        <f>IF(AM134=1,(Waterfall!AM7+AN136)/(1+AM135),0)</f>
        <v/>
      </c>
      <c r="AN136" s="11">
        <f>IF(AN134=1,(Waterfall!AN7+AO136)/(1+AN135),0)</f>
        <v/>
      </c>
      <c r="AO136" s="11">
        <f>IF(AO134=1,(Waterfall!AO7+AP136)/(1+AO135),0)</f>
        <v/>
      </c>
      <c r="AP136" s="11">
        <f>IF(AP134=1,(Waterfall!AP7+AQ136)/(1+AP135),0)</f>
        <v/>
      </c>
      <c r="AQ136" s="11">
        <f>IF(AQ134=1,(Waterfall!AQ7+AR136)/(1+AQ135),0)</f>
        <v/>
      </c>
      <c r="AR136" s="11">
        <f>IF(AR134=1,(Waterfall!AR7+AS136)/(1+AR135),0)</f>
        <v/>
      </c>
      <c r="AS136" s="11">
        <f>IF(AS134=1,(Waterfall!AS7+AT136)/(1+AS135),0)</f>
        <v/>
      </c>
      <c r="AT136" s="11">
        <f>IF(AT134=1,(Waterfall!AT7+AU136)/(1+AT135),0)</f>
        <v/>
      </c>
      <c r="AU136" s="11">
        <f>IF(AU134=1,(Waterfall!AU7+AV136)/(1+AU135),0)</f>
        <v/>
      </c>
      <c r="AV136" s="11">
        <f>IF(AV134=1,(Waterfall!AV7+AW136)/(1+AV135),0)</f>
        <v/>
      </c>
      <c r="AW136" s="11">
        <f>IF(AW134=1,(Waterfall!AW7+AX136)/(1+AW135),0)</f>
        <v/>
      </c>
      <c r="AX136" s="11">
        <f>IF(AX134=1,(Waterfall!AX7+AY136)/(1+AX135),0)</f>
        <v/>
      </c>
      <c r="AY136" s="11">
        <f>IF(AY134=1,(Waterfall!AY7+AZ136)/(1+AY135),0)</f>
        <v/>
      </c>
      <c r="AZ136" s="11">
        <f>IF(AZ134=1,(Waterfall!AZ7+BA136)/(1+AZ135),0)</f>
        <v/>
      </c>
      <c r="BA136" s="11">
        <f>IF(BA134=1,(Waterfall!BA7+BB136)/(1+BA135),0)</f>
        <v/>
      </c>
      <c r="BB136" s="11">
        <f>IF(BB134=1,(Waterfall!BB7+BC136)/(1+BB135),0)</f>
        <v/>
      </c>
      <c r="BC136" s="11">
        <f>IF(BC134=1,(Waterfall!BC7+BD136)/(1+BC135),0)</f>
        <v/>
      </c>
      <c r="BD136" s="11">
        <f>IF(BD134=1,(Waterfall!BD7+BE136)/(1+BD135),0)</f>
        <v/>
      </c>
      <c r="BE136" s="11">
        <f>IF(BE134=1,(Waterfall!BE7+BF136)/(1+BE135),0)</f>
        <v/>
      </c>
      <c r="BF136" s="11">
        <f>IF(BF134=1,(Waterfall!BF7+BG136)/(1+BF135),0)</f>
        <v/>
      </c>
      <c r="BG136" s="11">
        <f>IF(BG134=1,(Waterfall!BG7+BH136)/(1+BG135),0)</f>
        <v/>
      </c>
      <c r="BH136" s="11">
        <f>IF(BH134=1,(Waterfall!BH7+BI136)/(1+BH135),0)</f>
        <v/>
      </c>
      <c r="BI136" s="11">
        <f>IF(BI134=1,(Waterfall!BI7+BJ136)/(1+BI135),0)</f>
        <v/>
      </c>
      <c r="BJ136" s="11">
        <f>IF(BJ134=1,(Waterfall!BJ7+BK136)/(1+BJ135),0)</f>
        <v/>
      </c>
      <c r="BK136" s="11">
        <f>IF(BK134=1,(Waterfall!BK7+BL136)/(1+BK135),0)</f>
        <v/>
      </c>
      <c r="BL136" s="11">
        <f>IF(BL134=1,(Waterfall!BL7+BM136)/(1+BL135),0)</f>
        <v/>
      </c>
      <c r="BM136" s="11">
        <f>IF(BM134=1,(Waterfall!BM7+BN136)/(1+BM135),0)</f>
        <v/>
      </c>
      <c r="BN136" s="11">
        <f>IF(BN134=1,(Waterfall!BN7+0)/(1+BN135),0)</f>
        <v/>
      </c>
    </row>
    <row r="137">
      <c r="D137" t="inlineStr">
        <is>
          <t>Sculpted DSCR = PV(CFADS) / debt</t>
        </is>
      </c>
      <c r="E137" t="inlineStr">
        <is>
          <t>x</t>
        </is>
      </c>
      <c r="F137" s="10">
        <f>INDEX(Debt!$J$136:$BN$136,1,Time!$F$12)/Funding!$F$25</f>
        <v/>
      </c>
    </row>
    <row r="138">
      <c r="D138" t="inlineStr">
        <is>
          <t>Debt capacity at the 1.35x target</t>
        </is>
      </c>
      <c r="E138" t="inlineStr">
        <is>
          <t>USD m</t>
        </is>
      </c>
      <c r="F138" s="15">
        <f>INDEX(Debt!$J$136:$BN$136,1,Time!$F$12)/Inputs!$F$104</f>
        <v/>
      </c>
    </row>
    <row r="139">
      <c r="D139" t="inlineStr">
        <is>
          <t>Debt at the 75% gearing cap (closed form)</t>
        </is>
      </c>
      <c r="E139" t="inlineStr">
        <is>
          <t>USD m</t>
        </is>
      </c>
      <c r="F139" s="15">
        <f>Inputs!$F$103*Funding!$F$24</f>
        <v/>
      </c>
    </row>
    <row r="140">
      <c r="D140" t="inlineStr">
        <is>
          <t>Sculpted debt service</t>
        </is>
      </c>
      <c r="E140" t="inlineStr">
        <is>
          <t>USD m</t>
        </is>
      </c>
      <c r="J140" s="11">
        <f>IF(J134=1,(Waterfall!J7)/$F$137,0)</f>
        <v/>
      </c>
      <c r="K140" s="11">
        <f>IF(K134=1,(Waterfall!K7)/$F$137,0)</f>
        <v/>
      </c>
      <c r="L140" s="11">
        <f>IF(L134=1,(Waterfall!L7)/$F$137,0)</f>
        <v/>
      </c>
      <c r="M140" s="11">
        <f>IF(M134=1,(Waterfall!M7)/$F$137,0)</f>
        <v/>
      </c>
      <c r="N140" s="11">
        <f>IF(N134=1,(Waterfall!N7)/$F$137,0)</f>
        <v/>
      </c>
      <c r="O140" s="11">
        <f>IF(O134=1,(Waterfall!O7)/$F$137,0)</f>
        <v/>
      </c>
      <c r="P140" s="11">
        <f>IF(P134=1,(Waterfall!P7)/$F$137,0)</f>
        <v/>
      </c>
      <c r="Q140" s="11">
        <f>IF(Q134=1,(Waterfall!Q7)/$F$137,0)</f>
        <v/>
      </c>
      <c r="R140" s="11">
        <f>IF(R134=1,(Waterfall!R7)/$F$137,0)</f>
        <v/>
      </c>
      <c r="S140" s="11">
        <f>IF(S134=1,(Waterfall!S7)/$F$137,0)</f>
        <v/>
      </c>
      <c r="T140" s="11">
        <f>IF(T134=1,(Waterfall!T7)/$F$137,0)</f>
        <v/>
      </c>
      <c r="U140" s="11">
        <f>IF(U134=1,(Waterfall!U7)/$F$137,0)</f>
        <v/>
      </c>
      <c r="V140" s="11">
        <f>IF(V134=1,(Waterfall!V7)/$F$137,0)</f>
        <v/>
      </c>
      <c r="W140" s="11">
        <f>IF(W134=1,(Waterfall!W7)/$F$137,0)</f>
        <v/>
      </c>
      <c r="X140" s="11">
        <f>IF(X134=1,(Waterfall!X7)/$F$137,0)</f>
        <v/>
      </c>
      <c r="Y140" s="11">
        <f>IF(Y134=1,(Waterfall!Y7)/$F$137,0)</f>
        <v/>
      </c>
      <c r="Z140" s="11">
        <f>IF(Z134=1,(Waterfall!Z7)/$F$137,0)</f>
        <v/>
      </c>
      <c r="AA140" s="11">
        <f>IF(AA134=1,(Waterfall!AA7)/$F$137,0)</f>
        <v/>
      </c>
      <c r="AB140" s="11">
        <f>IF(AB134=1,(Waterfall!AB7)/$F$137,0)</f>
        <v/>
      </c>
      <c r="AC140" s="11">
        <f>IF(AC134=1,(Waterfall!AC7)/$F$137,0)</f>
        <v/>
      </c>
      <c r="AD140" s="11">
        <f>IF(AD134=1,(Waterfall!AD7)/$F$137,0)</f>
        <v/>
      </c>
      <c r="AE140" s="11">
        <f>IF(AE134=1,(Waterfall!AE7)/$F$137,0)</f>
        <v/>
      </c>
      <c r="AF140" s="11">
        <f>IF(AF134=1,(Waterfall!AF7)/$F$137,0)</f>
        <v/>
      </c>
      <c r="AG140" s="11">
        <f>IF(AG134=1,(Waterfall!AG7)/$F$137,0)</f>
        <v/>
      </c>
      <c r="AH140" s="11">
        <f>IF(AH134=1,(Waterfall!AH7)/$F$137,0)</f>
        <v/>
      </c>
      <c r="AI140" s="11">
        <f>IF(AI134=1,(Waterfall!AI7)/$F$137,0)</f>
        <v/>
      </c>
      <c r="AJ140" s="11">
        <f>IF(AJ134=1,(Waterfall!AJ7)/$F$137,0)</f>
        <v/>
      </c>
      <c r="AK140" s="11">
        <f>IF(AK134=1,(Waterfall!AK7)/$F$137,0)</f>
        <v/>
      </c>
      <c r="AL140" s="11">
        <f>IF(AL134=1,(Waterfall!AL7)/$F$137,0)</f>
        <v/>
      </c>
      <c r="AM140" s="11">
        <f>IF(AM134=1,(Waterfall!AM7)/$F$137,0)</f>
        <v/>
      </c>
      <c r="AN140" s="11">
        <f>IF(AN134=1,(Waterfall!AN7)/$F$137,0)</f>
        <v/>
      </c>
      <c r="AO140" s="11">
        <f>IF(AO134=1,(Waterfall!AO7)/$F$137,0)</f>
        <v/>
      </c>
      <c r="AP140" s="11">
        <f>IF(AP134=1,(Waterfall!AP7)/$F$137,0)</f>
        <v/>
      </c>
      <c r="AQ140" s="11">
        <f>IF(AQ134=1,(Waterfall!AQ7)/$F$137,0)</f>
        <v/>
      </c>
      <c r="AR140" s="11">
        <f>IF(AR134=1,(Waterfall!AR7)/$F$137,0)</f>
        <v/>
      </c>
      <c r="AS140" s="11">
        <f>IF(AS134=1,(Waterfall!AS7)/$F$137,0)</f>
        <v/>
      </c>
      <c r="AT140" s="11">
        <f>IF(AT134=1,(Waterfall!AT7)/$F$137,0)</f>
        <v/>
      </c>
      <c r="AU140" s="11">
        <f>IF(AU134=1,(Waterfall!AU7)/$F$137,0)</f>
        <v/>
      </c>
      <c r="AV140" s="11">
        <f>IF(AV134=1,(Waterfall!AV7)/$F$137,0)</f>
        <v/>
      </c>
      <c r="AW140" s="11">
        <f>IF(AW134=1,(Waterfall!AW7)/$F$137,0)</f>
        <v/>
      </c>
      <c r="AX140" s="11">
        <f>IF(AX134=1,(Waterfall!AX7)/$F$137,0)</f>
        <v/>
      </c>
      <c r="AY140" s="11">
        <f>IF(AY134=1,(Waterfall!AY7)/$F$137,0)</f>
        <v/>
      </c>
      <c r="AZ140" s="11">
        <f>IF(AZ134=1,(Waterfall!AZ7)/$F$137,0)</f>
        <v/>
      </c>
      <c r="BA140" s="11">
        <f>IF(BA134=1,(Waterfall!BA7)/$F$137,0)</f>
        <v/>
      </c>
      <c r="BB140" s="11">
        <f>IF(BB134=1,(Waterfall!BB7)/$F$137,0)</f>
        <v/>
      </c>
      <c r="BC140" s="11">
        <f>IF(BC134=1,(Waterfall!BC7)/$F$137,0)</f>
        <v/>
      </c>
      <c r="BD140" s="11">
        <f>IF(BD134=1,(Waterfall!BD7)/$F$137,0)</f>
        <v/>
      </c>
      <c r="BE140" s="11">
        <f>IF(BE134=1,(Waterfall!BE7)/$F$137,0)</f>
        <v/>
      </c>
      <c r="BF140" s="11">
        <f>IF(BF134=1,(Waterfall!BF7)/$F$137,0)</f>
        <v/>
      </c>
      <c r="BG140" s="11">
        <f>IF(BG134=1,(Waterfall!BG7)/$F$137,0)</f>
        <v/>
      </c>
      <c r="BH140" s="11">
        <f>IF(BH134=1,(Waterfall!BH7)/$F$137,0)</f>
        <v/>
      </c>
      <c r="BI140" s="11">
        <f>IF(BI134=1,(Waterfall!BI7)/$F$137,0)</f>
        <v/>
      </c>
      <c r="BJ140" s="11">
        <f>IF(BJ134=1,(Waterfall!BJ7)/$F$137,0)</f>
        <v/>
      </c>
      <c r="BK140" s="11">
        <f>IF(BK134=1,(Waterfall!BK7)/$F$137,0)</f>
        <v/>
      </c>
      <c r="BL140" s="11">
        <f>IF(BL134=1,(Waterfall!BL7)/$F$137,0)</f>
        <v/>
      </c>
      <c r="BM140" s="11">
        <f>IF(BM134=1,(Waterfall!BM7)/$F$137,0)</f>
        <v/>
      </c>
      <c r="BN140" s="11">
        <f>IF(BN134=1,(Waterfall!BN7)/$F$137,0)</f>
        <v/>
      </c>
    </row>
    <row r="141">
      <c r="D141" t="inlineStr">
        <is>
          <t>Sculpted balance, opening</t>
        </is>
      </c>
      <c r="E141" t="inlineStr">
        <is>
          <t>USD m</t>
        </is>
      </c>
      <c r="J141" s="11">
        <f>IF(J134=1,IF(Time!J17=Time!$F$12,Funding!$F$25,0-0),0)</f>
        <v/>
      </c>
      <c r="K141" s="11">
        <f>IF(K134=1,IF(Time!K17=Time!$F$12,Funding!$F$25,J141-J142),0)</f>
        <v/>
      </c>
      <c r="L141" s="11">
        <f>IF(L134=1,IF(Time!L17=Time!$F$12,Funding!$F$25,K141-K142),0)</f>
        <v/>
      </c>
      <c r="M141" s="11">
        <f>IF(M134=1,IF(Time!M17=Time!$F$12,Funding!$F$25,L141-L142),0)</f>
        <v/>
      </c>
      <c r="N141" s="11">
        <f>IF(N134=1,IF(Time!N17=Time!$F$12,Funding!$F$25,M141-M142),0)</f>
        <v/>
      </c>
      <c r="O141" s="11">
        <f>IF(O134=1,IF(Time!O17=Time!$F$12,Funding!$F$25,N141-N142),0)</f>
        <v/>
      </c>
      <c r="P141" s="11">
        <f>IF(P134=1,IF(Time!P17=Time!$F$12,Funding!$F$25,O141-O142),0)</f>
        <v/>
      </c>
      <c r="Q141" s="11">
        <f>IF(Q134=1,IF(Time!Q17=Time!$F$12,Funding!$F$25,P141-P142),0)</f>
        <v/>
      </c>
      <c r="R141" s="11">
        <f>IF(R134=1,IF(Time!R17=Time!$F$12,Funding!$F$25,Q141-Q142),0)</f>
        <v/>
      </c>
      <c r="S141" s="11">
        <f>IF(S134=1,IF(Time!S17=Time!$F$12,Funding!$F$25,R141-R142),0)</f>
        <v/>
      </c>
      <c r="T141" s="11">
        <f>IF(T134=1,IF(Time!T17=Time!$F$12,Funding!$F$25,S141-S142),0)</f>
        <v/>
      </c>
      <c r="U141" s="11">
        <f>IF(U134=1,IF(Time!U17=Time!$F$12,Funding!$F$25,T141-T142),0)</f>
        <v/>
      </c>
      <c r="V141" s="11">
        <f>IF(V134=1,IF(Time!V17=Time!$F$12,Funding!$F$25,U141-U142),0)</f>
        <v/>
      </c>
      <c r="W141" s="11">
        <f>IF(W134=1,IF(Time!W17=Time!$F$12,Funding!$F$25,V141-V142),0)</f>
        <v/>
      </c>
      <c r="X141" s="11">
        <f>IF(X134=1,IF(Time!X17=Time!$F$12,Funding!$F$25,W141-W142),0)</f>
        <v/>
      </c>
      <c r="Y141" s="11">
        <f>IF(Y134=1,IF(Time!Y17=Time!$F$12,Funding!$F$25,X141-X142),0)</f>
        <v/>
      </c>
      <c r="Z141" s="11">
        <f>IF(Z134=1,IF(Time!Z17=Time!$F$12,Funding!$F$25,Y141-Y142),0)</f>
        <v/>
      </c>
      <c r="AA141" s="11">
        <f>IF(AA134=1,IF(Time!AA17=Time!$F$12,Funding!$F$25,Z141-Z142),0)</f>
        <v/>
      </c>
      <c r="AB141" s="11">
        <f>IF(AB134=1,IF(Time!AB17=Time!$F$12,Funding!$F$25,AA141-AA142),0)</f>
        <v/>
      </c>
      <c r="AC141" s="11">
        <f>IF(AC134=1,IF(Time!AC17=Time!$F$12,Funding!$F$25,AB141-AB142),0)</f>
        <v/>
      </c>
      <c r="AD141" s="11">
        <f>IF(AD134=1,IF(Time!AD17=Time!$F$12,Funding!$F$25,AC141-AC142),0)</f>
        <v/>
      </c>
      <c r="AE141" s="11">
        <f>IF(AE134=1,IF(Time!AE17=Time!$F$12,Funding!$F$25,AD141-AD142),0)</f>
        <v/>
      </c>
      <c r="AF141" s="11">
        <f>IF(AF134=1,IF(Time!AF17=Time!$F$12,Funding!$F$25,AE141-AE142),0)</f>
        <v/>
      </c>
      <c r="AG141" s="11">
        <f>IF(AG134=1,IF(Time!AG17=Time!$F$12,Funding!$F$25,AF141-AF142),0)</f>
        <v/>
      </c>
      <c r="AH141" s="11">
        <f>IF(AH134=1,IF(Time!AH17=Time!$F$12,Funding!$F$25,AG141-AG142),0)</f>
        <v/>
      </c>
      <c r="AI141" s="11">
        <f>IF(AI134=1,IF(Time!AI17=Time!$F$12,Funding!$F$25,AH141-AH142),0)</f>
        <v/>
      </c>
      <c r="AJ141" s="11">
        <f>IF(AJ134=1,IF(Time!AJ17=Time!$F$12,Funding!$F$25,AI141-AI142),0)</f>
        <v/>
      </c>
      <c r="AK141" s="11">
        <f>IF(AK134=1,IF(Time!AK17=Time!$F$12,Funding!$F$25,AJ141-AJ142),0)</f>
        <v/>
      </c>
      <c r="AL141" s="11">
        <f>IF(AL134=1,IF(Time!AL17=Time!$F$12,Funding!$F$25,AK141-AK142),0)</f>
        <v/>
      </c>
      <c r="AM141" s="11">
        <f>IF(AM134=1,IF(Time!AM17=Time!$F$12,Funding!$F$25,AL141-AL142),0)</f>
        <v/>
      </c>
      <c r="AN141" s="11">
        <f>IF(AN134=1,IF(Time!AN17=Time!$F$12,Funding!$F$25,AM141-AM142),0)</f>
        <v/>
      </c>
      <c r="AO141" s="11">
        <f>IF(AO134=1,IF(Time!AO17=Time!$F$12,Funding!$F$25,AN141-AN142),0)</f>
        <v/>
      </c>
      <c r="AP141" s="11">
        <f>IF(AP134=1,IF(Time!AP17=Time!$F$12,Funding!$F$25,AO141-AO142),0)</f>
        <v/>
      </c>
      <c r="AQ141" s="11">
        <f>IF(AQ134=1,IF(Time!AQ17=Time!$F$12,Funding!$F$25,AP141-AP142),0)</f>
        <v/>
      </c>
      <c r="AR141" s="11">
        <f>IF(AR134=1,IF(Time!AR17=Time!$F$12,Funding!$F$25,AQ141-AQ142),0)</f>
        <v/>
      </c>
      <c r="AS141" s="11">
        <f>IF(AS134=1,IF(Time!AS17=Time!$F$12,Funding!$F$25,AR141-AR142),0)</f>
        <v/>
      </c>
      <c r="AT141" s="11">
        <f>IF(AT134=1,IF(Time!AT17=Time!$F$12,Funding!$F$25,AS141-AS142),0)</f>
        <v/>
      </c>
      <c r="AU141" s="11">
        <f>IF(AU134=1,IF(Time!AU17=Time!$F$12,Funding!$F$25,AT141-AT142),0)</f>
        <v/>
      </c>
      <c r="AV141" s="11">
        <f>IF(AV134=1,IF(Time!AV17=Time!$F$12,Funding!$F$25,AU141-AU142),0)</f>
        <v/>
      </c>
      <c r="AW141" s="11">
        <f>IF(AW134=1,IF(Time!AW17=Time!$F$12,Funding!$F$25,AV141-AV142),0)</f>
        <v/>
      </c>
      <c r="AX141" s="11">
        <f>IF(AX134=1,IF(Time!AX17=Time!$F$12,Funding!$F$25,AW141-AW142),0)</f>
        <v/>
      </c>
      <c r="AY141" s="11">
        <f>IF(AY134=1,IF(Time!AY17=Time!$F$12,Funding!$F$25,AX141-AX142),0)</f>
        <v/>
      </c>
      <c r="AZ141" s="11">
        <f>IF(AZ134=1,IF(Time!AZ17=Time!$F$12,Funding!$F$25,AY141-AY142),0)</f>
        <v/>
      </c>
      <c r="BA141" s="11">
        <f>IF(BA134=1,IF(Time!BA17=Time!$F$12,Funding!$F$25,AZ141-AZ142),0)</f>
        <v/>
      </c>
      <c r="BB141" s="11">
        <f>IF(BB134=1,IF(Time!BB17=Time!$F$12,Funding!$F$25,BA141-BA142),0)</f>
        <v/>
      </c>
      <c r="BC141" s="11">
        <f>IF(BC134=1,IF(Time!BC17=Time!$F$12,Funding!$F$25,BB141-BB142),0)</f>
        <v/>
      </c>
      <c r="BD141" s="11">
        <f>IF(BD134=1,IF(Time!BD17=Time!$F$12,Funding!$F$25,BC141-BC142),0)</f>
        <v/>
      </c>
      <c r="BE141" s="11">
        <f>IF(BE134=1,IF(Time!BE17=Time!$F$12,Funding!$F$25,BD141-BD142),0)</f>
        <v/>
      </c>
      <c r="BF141" s="11">
        <f>IF(BF134=1,IF(Time!BF17=Time!$F$12,Funding!$F$25,BE141-BE142),0)</f>
        <v/>
      </c>
      <c r="BG141" s="11">
        <f>IF(BG134=1,IF(Time!BG17=Time!$F$12,Funding!$F$25,BF141-BF142),0)</f>
        <v/>
      </c>
      <c r="BH141" s="11">
        <f>IF(BH134=1,IF(Time!BH17=Time!$F$12,Funding!$F$25,BG141-BG142),0)</f>
        <v/>
      </c>
      <c r="BI141" s="11">
        <f>IF(BI134=1,IF(Time!BI17=Time!$F$12,Funding!$F$25,BH141-BH142),0)</f>
        <v/>
      </c>
      <c r="BJ141" s="11">
        <f>IF(BJ134=1,IF(Time!BJ17=Time!$F$12,Funding!$F$25,BI141-BI142),0)</f>
        <v/>
      </c>
      <c r="BK141" s="11">
        <f>IF(BK134=1,IF(Time!BK17=Time!$F$12,Funding!$F$25,BJ141-BJ142),0)</f>
        <v/>
      </c>
      <c r="BL141" s="11">
        <f>IF(BL134=1,IF(Time!BL17=Time!$F$12,Funding!$F$25,BK141-BK142),0)</f>
        <v/>
      </c>
      <c r="BM141" s="11">
        <f>IF(BM134=1,IF(Time!BM17=Time!$F$12,Funding!$F$25,BL141-BL142),0)</f>
        <v/>
      </c>
      <c r="BN141" s="11">
        <f>IF(BN134=1,IF(Time!BN17=Time!$F$12,Funding!$F$25,BM141-BM142),0)</f>
        <v/>
      </c>
    </row>
    <row r="142">
      <c r="D142" t="inlineStr">
        <is>
          <t>Sculpted principal</t>
        </is>
      </c>
      <c r="E142" t="inlineStr">
        <is>
          <t>USD m</t>
        </is>
      </c>
      <c r="J142" s="11">
        <f>J140-J141*J135</f>
        <v/>
      </c>
      <c r="K142" s="11">
        <f>K140-K141*K135</f>
        <v/>
      </c>
      <c r="L142" s="11">
        <f>L140-L141*L135</f>
        <v/>
      </c>
      <c r="M142" s="11">
        <f>M140-M141*M135</f>
        <v/>
      </c>
      <c r="N142" s="11">
        <f>N140-N141*N135</f>
        <v/>
      </c>
      <c r="O142" s="11">
        <f>O140-O141*O135</f>
        <v/>
      </c>
      <c r="P142" s="11">
        <f>P140-P141*P135</f>
        <v/>
      </c>
      <c r="Q142" s="11">
        <f>Q140-Q141*Q135</f>
        <v/>
      </c>
      <c r="R142" s="11">
        <f>R140-R141*R135</f>
        <v/>
      </c>
      <c r="S142" s="11">
        <f>S140-S141*S135</f>
        <v/>
      </c>
      <c r="T142" s="11">
        <f>T140-T141*T135</f>
        <v/>
      </c>
      <c r="U142" s="11">
        <f>U140-U141*U135</f>
        <v/>
      </c>
      <c r="V142" s="11">
        <f>V140-V141*V135</f>
        <v/>
      </c>
      <c r="W142" s="11">
        <f>W140-W141*W135</f>
        <v/>
      </c>
      <c r="X142" s="11">
        <f>X140-X141*X135</f>
        <v/>
      </c>
      <c r="Y142" s="11">
        <f>Y140-Y141*Y135</f>
        <v/>
      </c>
      <c r="Z142" s="11">
        <f>Z140-Z141*Z135</f>
        <v/>
      </c>
      <c r="AA142" s="11">
        <f>AA140-AA141*AA135</f>
        <v/>
      </c>
      <c r="AB142" s="11">
        <f>AB140-AB141*AB135</f>
        <v/>
      </c>
      <c r="AC142" s="11">
        <f>AC140-AC141*AC135</f>
        <v/>
      </c>
      <c r="AD142" s="11">
        <f>AD140-AD141*AD135</f>
        <v/>
      </c>
      <c r="AE142" s="11">
        <f>AE140-AE141*AE135</f>
        <v/>
      </c>
      <c r="AF142" s="11">
        <f>AF140-AF141*AF135</f>
        <v/>
      </c>
      <c r="AG142" s="11">
        <f>AG140-AG141*AG135</f>
        <v/>
      </c>
      <c r="AH142" s="11">
        <f>AH140-AH141*AH135</f>
        <v/>
      </c>
      <c r="AI142" s="11">
        <f>AI140-AI141*AI135</f>
        <v/>
      </c>
      <c r="AJ142" s="11">
        <f>AJ140-AJ141*AJ135</f>
        <v/>
      </c>
      <c r="AK142" s="11">
        <f>AK140-AK141*AK135</f>
        <v/>
      </c>
      <c r="AL142" s="11">
        <f>AL140-AL141*AL135</f>
        <v/>
      </c>
      <c r="AM142" s="11">
        <f>AM140-AM141*AM135</f>
        <v/>
      </c>
      <c r="AN142" s="11">
        <f>AN140-AN141*AN135</f>
        <v/>
      </c>
      <c r="AO142" s="11">
        <f>AO140-AO141*AO135</f>
        <v/>
      </c>
      <c r="AP142" s="11">
        <f>AP140-AP141*AP135</f>
        <v/>
      </c>
      <c r="AQ142" s="11">
        <f>AQ140-AQ141*AQ135</f>
        <v/>
      </c>
      <c r="AR142" s="11">
        <f>AR140-AR141*AR135</f>
        <v/>
      </c>
      <c r="AS142" s="11">
        <f>AS140-AS141*AS135</f>
        <v/>
      </c>
      <c r="AT142" s="11">
        <f>AT140-AT141*AT135</f>
        <v/>
      </c>
      <c r="AU142" s="11">
        <f>AU140-AU141*AU135</f>
        <v/>
      </c>
      <c r="AV142" s="11">
        <f>AV140-AV141*AV135</f>
        <v/>
      </c>
      <c r="AW142" s="11">
        <f>AW140-AW141*AW135</f>
        <v/>
      </c>
      <c r="AX142" s="11">
        <f>AX140-AX141*AX135</f>
        <v/>
      </c>
      <c r="AY142" s="11">
        <f>AY140-AY141*AY135</f>
        <v/>
      </c>
      <c r="AZ142" s="11">
        <f>AZ140-AZ141*AZ135</f>
        <v/>
      </c>
      <c r="BA142" s="11">
        <f>BA140-BA141*BA135</f>
        <v/>
      </c>
      <c r="BB142" s="11">
        <f>BB140-BB141*BB135</f>
        <v/>
      </c>
      <c r="BC142" s="11">
        <f>BC140-BC141*BC135</f>
        <v/>
      </c>
      <c r="BD142" s="11">
        <f>BD140-BD141*BD135</f>
        <v/>
      </c>
      <c r="BE142" s="11">
        <f>BE140-BE141*BE135</f>
        <v/>
      </c>
      <c r="BF142" s="11">
        <f>BF140-BF141*BF135</f>
        <v/>
      </c>
      <c r="BG142" s="11">
        <f>BG140-BG141*BG135</f>
        <v/>
      </c>
      <c r="BH142" s="11">
        <f>BH140-BH141*BH135</f>
        <v/>
      </c>
      <c r="BI142" s="11">
        <f>BI140-BI141*BI135</f>
        <v/>
      </c>
      <c r="BJ142" s="11">
        <f>BJ140-BJ141*BJ135</f>
        <v/>
      </c>
      <c r="BK142" s="11">
        <f>BK140-BK141*BK135</f>
        <v/>
      </c>
      <c r="BL142" s="11">
        <f>BL140-BL141*BL135</f>
        <v/>
      </c>
      <c r="BM142" s="11">
        <f>BM140-BM141*BM135</f>
        <v/>
      </c>
      <c r="BN142" s="11">
        <f>BN140-BN141*BN135</f>
        <v/>
      </c>
    </row>
    <row r="143">
      <c r="D143" t="inlineStr">
        <is>
          <t>Sculpted principal less contract principal (FC base)</t>
        </is>
      </c>
      <c r="E143" t="inlineStr">
        <is>
          <t>USD m</t>
        </is>
      </c>
      <c r="J143" s="11">
        <f>IF(Inputs!$F$8=1,J142-J134*Inputs!J219*Funding!$F$25,0)</f>
        <v/>
      </c>
      <c r="K143" s="11">
        <f>IF(Inputs!$F$8=1,K142-K134*Inputs!K219*Funding!$F$25,0)</f>
        <v/>
      </c>
      <c r="L143" s="11">
        <f>IF(Inputs!$F$8=1,L142-L134*Inputs!L219*Funding!$F$25,0)</f>
        <v/>
      </c>
      <c r="M143" s="11">
        <f>IF(Inputs!$F$8=1,M142-M134*Inputs!M219*Funding!$F$25,0)</f>
        <v/>
      </c>
      <c r="N143" s="11">
        <f>IF(Inputs!$F$8=1,N142-N134*Inputs!N219*Funding!$F$25,0)</f>
        <v/>
      </c>
      <c r="O143" s="11">
        <f>IF(Inputs!$F$8=1,O142-O134*Inputs!O219*Funding!$F$25,0)</f>
        <v/>
      </c>
      <c r="P143" s="11">
        <f>IF(Inputs!$F$8=1,P142-P134*Inputs!P219*Funding!$F$25,0)</f>
        <v/>
      </c>
      <c r="Q143" s="11">
        <f>IF(Inputs!$F$8=1,Q142-Q134*Inputs!Q219*Funding!$F$25,0)</f>
        <v/>
      </c>
      <c r="R143" s="11">
        <f>IF(Inputs!$F$8=1,R142-R134*Inputs!R219*Funding!$F$25,0)</f>
        <v/>
      </c>
      <c r="S143" s="11">
        <f>IF(Inputs!$F$8=1,S142-S134*Inputs!S219*Funding!$F$25,0)</f>
        <v/>
      </c>
      <c r="T143" s="11">
        <f>IF(Inputs!$F$8=1,T142-T134*Inputs!T219*Funding!$F$25,0)</f>
        <v/>
      </c>
      <c r="U143" s="11">
        <f>IF(Inputs!$F$8=1,U142-U134*Inputs!U219*Funding!$F$25,0)</f>
        <v/>
      </c>
      <c r="V143" s="11">
        <f>IF(Inputs!$F$8=1,V142-V134*Inputs!V219*Funding!$F$25,0)</f>
        <v/>
      </c>
      <c r="W143" s="11">
        <f>IF(Inputs!$F$8=1,W142-W134*Inputs!W219*Funding!$F$25,0)</f>
        <v/>
      </c>
      <c r="X143" s="11">
        <f>IF(Inputs!$F$8=1,X142-X134*Inputs!X219*Funding!$F$25,0)</f>
        <v/>
      </c>
      <c r="Y143" s="11">
        <f>IF(Inputs!$F$8=1,Y142-Y134*Inputs!Y219*Funding!$F$25,0)</f>
        <v/>
      </c>
      <c r="Z143" s="11">
        <f>IF(Inputs!$F$8=1,Z142-Z134*Inputs!Z219*Funding!$F$25,0)</f>
        <v/>
      </c>
      <c r="AA143" s="11">
        <f>IF(Inputs!$F$8=1,AA142-AA134*Inputs!AA219*Funding!$F$25,0)</f>
        <v/>
      </c>
      <c r="AB143" s="11">
        <f>IF(Inputs!$F$8=1,AB142-AB134*Inputs!AB219*Funding!$F$25,0)</f>
        <v/>
      </c>
      <c r="AC143" s="11">
        <f>IF(Inputs!$F$8=1,AC142-AC134*Inputs!AC219*Funding!$F$25,0)</f>
        <v/>
      </c>
      <c r="AD143" s="11">
        <f>IF(Inputs!$F$8=1,AD142-AD134*Inputs!AD219*Funding!$F$25,0)</f>
        <v/>
      </c>
      <c r="AE143" s="11">
        <f>IF(Inputs!$F$8=1,AE142-AE134*Inputs!AE219*Funding!$F$25,0)</f>
        <v/>
      </c>
      <c r="AF143" s="11">
        <f>IF(Inputs!$F$8=1,AF142-AF134*Inputs!AF219*Funding!$F$25,0)</f>
        <v/>
      </c>
      <c r="AG143" s="11">
        <f>IF(Inputs!$F$8=1,AG142-AG134*Inputs!AG219*Funding!$F$25,0)</f>
        <v/>
      </c>
      <c r="AH143" s="11">
        <f>IF(Inputs!$F$8=1,AH142-AH134*Inputs!AH219*Funding!$F$25,0)</f>
        <v/>
      </c>
      <c r="AI143" s="11">
        <f>IF(Inputs!$F$8=1,AI142-AI134*Inputs!AI219*Funding!$F$25,0)</f>
        <v/>
      </c>
      <c r="AJ143" s="11">
        <f>IF(Inputs!$F$8=1,AJ142-AJ134*Inputs!AJ219*Funding!$F$25,0)</f>
        <v/>
      </c>
      <c r="AK143" s="11">
        <f>IF(Inputs!$F$8=1,AK142-AK134*Inputs!AK219*Funding!$F$25,0)</f>
        <v/>
      </c>
      <c r="AL143" s="11">
        <f>IF(Inputs!$F$8=1,AL142-AL134*Inputs!AL219*Funding!$F$25,0)</f>
        <v/>
      </c>
      <c r="AM143" s="11">
        <f>IF(Inputs!$F$8=1,AM142-AM134*Inputs!AM219*Funding!$F$25,0)</f>
        <v/>
      </c>
      <c r="AN143" s="11">
        <f>IF(Inputs!$F$8=1,AN142-AN134*Inputs!AN219*Funding!$F$25,0)</f>
        <v/>
      </c>
      <c r="AO143" s="11">
        <f>IF(Inputs!$F$8=1,AO142-AO134*Inputs!AO219*Funding!$F$25,0)</f>
        <v/>
      </c>
      <c r="AP143" s="11">
        <f>IF(Inputs!$F$8=1,AP142-AP134*Inputs!AP219*Funding!$F$25,0)</f>
        <v/>
      </c>
      <c r="AQ143" s="11">
        <f>IF(Inputs!$F$8=1,AQ142-AQ134*Inputs!AQ219*Funding!$F$25,0)</f>
        <v/>
      </c>
      <c r="AR143" s="11">
        <f>IF(Inputs!$F$8=1,AR142-AR134*Inputs!AR219*Funding!$F$25,0)</f>
        <v/>
      </c>
      <c r="AS143" s="11">
        <f>IF(Inputs!$F$8=1,AS142-AS134*Inputs!AS219*Funding!$F$25,0)</f>
        <v/>
      </c>
      <c r="AT143" s="11">
        <f>IF(Inputs!$F$8=1,AT142-AT134*Inputs!AT219*Funding!$F$25,0)</f>
        <v/>
      </c>
      <c r="AU143" s="11">
        <f>IF(Inputs!$F$8=1,AU142-AU134*Inputs!AU219*Funding!$F$25,0)</f>
        <v/>
      </c>
      <c r="AV143" s="11">
        <f>IF(Inputs!$F$8=1,AV142-AV134*Inputs!AV219*Funding!$F$25,0)</f>
        <v/>
      </c>
      <c r="AW143" s="11">
        <f>IF(Inputs!$F$8=1,AW142-AW134*Inputs!AW219*Funding!$F$25,0)</f>
        <v/>
      </c>
      <c r="AX143" s="11">
        <f>IF(Inputs!$F$8=1,AX142-AX134*Inputs!AX219*Funding!$F$25,0)</f>
        <v/>
      </c>
      <c r="AY143" s="11">
        <f>IF(Inputs!$F$8=1,AY142-AY134*Inputs!AY219*Funding!$F$25,0)</f>
        <v/>
      </c>
      <c r="AZ143" s="11">
        <f>IF(Inputs!$F$8=1,AZ142-AZ134*Inputs!AZ219*Funding!$F$25,0)</f>
        <v/>
      </c>
      <c r="BA143" s="11">
        <f>IF(Inputs!$F$8=1,BA142-BA134*Inputs!BA219*Funding!$F$25,0)</f>
        <v/>
      </c>
      <c r="BB143" s="11">
        <f>IF(Inputs!$F$8=1,BB142-BB134*Inputs!BB219*Funding!$F$25,0)</f>
        <v/>
      </c>
      <c r="BC143" s="11">
        <f>IF(Inputs!$F$8=1,BC142-BC134*Inputs!BC219*Funding!$F$25,0)</f>
        <v/>
      </c>
      <c r="BD143" s="11">
        <f>IF(Inputs!$F$8=1,BD142-BD134*Inputs!BD219*Funding!$F$25,0)</f>
        <v/>
      </c>
      <c r="BE143" s="11">
        <f>IF(Inputs!$F$8=1,BE142-BE134*Inputs!BE219*Funding!$F$25,0)</f>
        <v/>
      </c>
      <c r="BF143" s="11">
        <f>IF(Inputs!$F$8=1,BF142-BF134*Inputs!BF219*Funding!$F$25,0)</f>
        <v/>
      </c>
      <c r="BG143" s="11">
        <f>IF(Inputs!$F$8=1,BG142-BG134*Inputs!BG219*Funding!$F$25,0)</f>
        <v/>
      </c>
      <c r="BH143" s="11">
        <f>IF(Inputs!$F$8=1,BH142-BH134*Inputs!BH219*Funding!$F$25,0)</f>
        <v/>
      </c>
      <c r="BI143" s="11">
        <f>IF(Inputs!$F$8=1,BI142-BI134*Inputs!BI219*Funding!$F$25,0)</f>
        <v/>
      </c>
      <c r="BJ143" s="11">
        <f>IF(Inputs!$F$8=1,BJ142-BJ134*Inputs!BJ219*Funding!$F$25,0)</f>
        <v/>
      </c>
      <c r="BK143" s="11">
        <f>IF(Inputs!$F$8=1,BK142-BK134*Inputs!BK219*Funding!$F$25,0)</f>
        <v/>
      </c>
      <c r="BL143" s="11">
        <f>IF(Inputs!$F$8=1,BL142-BL134*Inputs!BL219*Funding!$F$25,0)</f>
        <v/>
      </c>
      <c r="BM143" s="11">
        <f>IF(Inputs!$F$8=1,BM142-BM134*Inputs!BM219*Funding!$F$25,0)</f>
        <v/>
      </c>
      <c r="BN143" s="11">
        <f>IF(Inputs!$F$8=1,BN142-BN134*Inputs!BN219*Funding!$F$25,0)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N17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Reserves: MMRA, DSRA, handback reserve, Compensation Account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MMRA contribution (1/6 of next outlay)</t>
        </is>
      </c>
      <c r="E7" t="inlineStr">
        <is>
          <t>USD m</t>
        </is>
      </c>
      <c r="G7" s="11">
        <f>SUM(J7:BN7)</f>
        <v/>
      </c>
      <c r="J7" s="11">
        <f>SUM(Operations!K74:P74)/6</f>
        <v/>
      </c>
      <c r="K7" s="11">
        <f>SUM(Operations!L74:Q74)/6</f>
        <v/>
      </c>
      <c r="L7" s="11">
        <f>SUM(Operations!M74:R74)/6</f>
        <v/>
      </c>
      <c r="M7" s="11">
        <f>SUM(Operations!N74:S74)/6</f>
        <v/>
      </c>
      <c r="N7" s="11">
        <f>SUM(Operations!O74:T74)/6</f>
        <v/>
      </c>
      <c r="O7" s="11">
        <f>SUM(Operations!P74:U74)/6</f>
        <v/>
      </c>
      <c r="P7" s="11">
        <f>SUM(Operations!Q74:V74)/6</f>
        <v/>
      </c>
      <c r="Q7" s="11">
        <f>SUM(Operations!R74:W74)/6</f>
        <v/>
      </c>
      <c r="R7" s="11">
        <f>SUM(Operations!S74:X74)/6</f>
        <v/>
      </c>
      <c r="S7" s="11">
        <f>SUM(Operations!T74:Y74)/6</f>
        <v/>
      </c>
      <c r="T7" s="11">
        <f>SUM(Operations!U74:Z74)/6</f>
        <v/>
      </c>
      <c r="U7" s="11">
        <f>SUM(Operations!V74:AA74)/6</f>
        <v/>
      </c>
      <c r="V7" s="11">
        <f>SUM(Operations!W74:AB74)/6</f>
        <v/>
      </c>
      <c r="W7" s="11">
        <f>SUM(Operations!X74:AC74)/6</f>
        <v/>
      </c>
      <c r="X7" s="11">
        <f>SUM(Operations!Y74:AD74)/6</f>
        <v/>
      </c>
      <c r="Y7" s="11">
        <f>SUM(Operations!Z74:AE74)/6</f>
        <v/>
      </c>
      <c r="Z7" s="11">
        <f>SUM(Operations!AA74:AF74)/6</f>
        <v/>
      </c>
      <c r="AA7" s="11">
        <f>SUM(Operations!AB74:AG74)/6</f>
        <v/>
      </c>
      <c r="AB7" s="11">
        <f>SUM(Operations!AC74:AH74)/6</f>
        <v/>
      </c>
      <c r="AC7" s="11">
        <f>SUM(Operations!AD74:AI74)/6</f>
        <v/>
      </c>
      <c r="AD7" s="11">
        <f>SUM(Operations!AE74:AJ74)/6</f>
        <v/>
      </c>
      <c r="AE7" s="11">
        <f>SUM(Operations!AF74:AK74)/6</f>
        <v/>
      </c>
      <c r="AF7" s="11">
        <f>SUM(Operations!AG74:AL74)/6</f>
        <v/>
      </c>
      <c r="AG7" s="11">
        <f>SUM(Operations!AH74:AM74)/6</f>
        <v/>
      </c>
      <c r="AH7" s="11">
        <f>SUM(Operations!AI74:AN74)/6</f>
        <v/>
      </c>
      <c r="AI7" s="11">
        <f>SUM(Operations!AJ74:AO74)/6</f>
        <v/>
      </c>
      <c r="AJ7" s="11">
        <f>SUM(Operations!AK74:AP74)/6</f>
        <v/>
      </c>
      <c r="AK7" s="11">
        <f>SUM(Operations!AL74:AQ74)/6</f>
        <v/>
      </c>
      <c r="AL7" s="11">
        <f>SUM(Operations!AM74:AR74)/6</f>
        <v/>
      </c>
      <c r="AM7" s="11">
        <f>SUM(Operations!AN74:AS74)/6</f>
        <v/>
      </c>
      <c r="AN7" s="11">
        <f>SUM(Operations!AO74:AT74)/6</f>
        <v/>
      </c>
      <c r="AO7" s="11">
        <f>SUM(Operations!AP74:AU74)/6</f>
        <v/>
      </c>
      <c r="AP7" s="11">
        <f>SUM(Operations!AQ74:AV74)/6</f>
        <v/>
      </c>
      <c r="AQ7" s="11">
        <f>SUM(Operations!AR74:AW74)/6</f>
        <v/>
      </c>
      <c r="AR7" s="11">
        <f>SUM(Operations!AS74:AX74)/6</f>
        <v/>
      </c>
      <c r="AS7" s="11">
        <f>SUM(Operations!AT74:AY74)/6</f>
        <v/>
      </c>
      <c r="AT7" s="11">
        <f>SUM(Operations!AU74:AZ74)/6</f>
        <v/>
      </c>
      <c r="AU7" s="11">
        <f>SUM(Operations!AV74:BA74)/6</f>
        <v/>
      </c>
      <c r="AV7" s="11">
        <f>SUM(Operations!AW74:BB74)/6</f>
        <v/>
      </c>
      <c r="AW7" s="11">
        <f>SUM(Operations!AX74:BC74)/6</f>
        <v/>
      </c>
      <c r="AX7" s="11">
        <f>SUM(Operations!AY74:BD74)/6</f>
        <v/>
      </c>
      <c r="AY7" s="11">
        <f>SUM(Operations!AZ74:BE74)/6</f>
        <v/>
      </c>
      <c r="AZ7" s="11">
        <f>SUM(Operations!BA74:BF74)/6</f>
        <v/>
      </c>
      <c r="BA7" s="11">
        <f>SUM(Operations!BB74:BG74)/6</f>
        <v/>
      </c>
      <c r="BB7" s="11">
        <f>SUM(Operations!BC74:BH74)/6</f>
        <v/>
      </c>
      <c r="BC7" s="11">
        <f>SUM(Operations!BD74:BI74)/6</f>
        <v/>
      </c>
      <c r="BD7" s="11">
        <f>SUM(Operations!BE74:BJ74)/6</f>
        <v/>
      </c>
      <c r="BE7" s="11">
        <f>SUM(Operations!BF74:BK74)/6</f>
        <v/>
      </c>
      <c r="BF7" s="11">
        <f>SUM(Operations!BG74:BL74)/6</f>
        <v/>
      </c>
      <c r="BG7" s="11">
        <f>SUM(Operations!BH74:BM74)/6</f>
        <v/>
      </c>
      <c r="BH7" s="11">
        <f>SUM(Operations!BI74:BN74)/6</f>
        <v/>
      </c>
      <c r="BI7" s="11">
        <f>SUM(Operations!BJ74:BN74)/6</f>
        <v/>
      </c>
      <c r="BJ7" s="11">
        <f>SUM(Operations!BK74:BN74)/6</f>
        <v/>
      </c>
      <c r="BK7" s="11">
        <f>SUM(Operations!BL74:BN74)/6</f>
        <v/>
      </c>
      <c r="BL7" s="11">
        <f>SUM(Operations!BM74:BN74)/6</f>
        <v/>
      </c>
      <c r="BM7" s="11">
        <f>SUM(Operations!BN74:BN74)/6</f>
        <v/>
      </c>
      <c r="BN7" s="11">
        <f>0</f>
        <v/>
      </c>
    </row>
    <row r="8">
      <c r="D8" t="inlineStr">
        <is>
          <t>MMRA balance</t>
        </is>
      </c>
      <c r="E8" t="inlineStr">
        <is>
          <t>USD m</t>
        </is>
      </c>
      <c r="J8" s="11">
        <f>0+J7-Operations!J74</f>
        <v/>
      </c>
      <c r="K8" s="11">
        <f>J8+K7-Operations!K74</f>
        <v/>
      </c>
      <c r="L8" s="11">
        <f>K8+L7-Operations!L74</f>
        <v/>
      </c>
      <c r="M8" s="11">
        <f>L8+M7-Operations!M74</f>
        <v/>
      </c>
      <c r="N8" s="11">
        <f>M8+N7-Operations!N74</f>
        <v/>
      </c>
      <c r="O8" s="11">
        <f>N8+O7-Operations!O74</f>
        <v/>
      </c>
      <c r="P8" s="11">
        <f>O8+P7-Operations!P74</f>
        <v/>
      </c>
      <c r="Q8" s="11">
        <f>P8+Q7-Operations!Q74</f>
        <v/>
      </c>
      <c r="R8" s="11">
        <f>Q8+R7-Operations!R74</f>
        <v/>
      </c>
      <c r="S8" s="11">
        <f>R8+S7-Operations!S74</f>
        <v/>
      </c>
      <c r="T8" s="11">
        <f>S8+T7-Operations!T74</f>
        <v/>
      </c>
      <c r="U8" s="11">
        <f>T8+U7-Operations!U74</f>
        <v/>
      </c>
      <c r="V8" s="11">
        <f>U8+V7-Operations!V74</f>
        <v/>
      </c>
      <c r="W8" s="11">
        <f>V8+W7-Operations!W74</f>
        <v/>
      </c>
      <c r="X8" s="11">
        <f>W8+X7-Operations!X74</f>
        <v/>
      </c>
      <c r="Y8" s="11">
        <f>X8+Y7-Operations!Y74</f>
        <v/>
      </c>
      <c r="Z8" s="11">
        <f>Y8+Z7-Operations!Z74</f>
        <v/>
      </c>
      <c r="AA8" s="11">
        <f>Z8+AA7-Operations!AA74</f>
        <v/>
      </c>
      <c r="AB8" s="11">
        <f>AA8+AB7-Operations!AB74</f>
        <v/>
      </c>
      <c r="AC8" s="11">
        <f>AB8+AC7-Operations!AC74</f>
        <v/>
      </c>
      <c r="AD8" s="11">
        <f>AC8+AD7-Operations!AD74</f>
        <v/>
      </c>
      <c r="AE8" s="11">
        <f>AD8+AE7-Operations!AE74</f>
        <v/>
      </c>
      <c r="AF8" s="11">
        <f>AE8+AF7-Operations!AF74</f>
        <v/>
      </c>
      <c r="AG8" s="11">
        <f>AF8+AG7-Operations!AG74</f>
        <v/>
      </c>
      <c r="AH8" s="11">
        <f>AG8+AH7-Operations!AH74</f>
        <v/>
      </c>
      <c r="AI8" s="11">
        <f>AH8+AI7-Operations!AI74</f>
        <v/>
      </c>
      <c r="AJ8" s="11">
        <f>AI8+AJ7-Operations!AJ74</f>
        <v/>
      </c>
      <c r="AK8" s="11">
        <f>AJ8+AK7-Operations!AK74</f>
        <v/>
      </c>
      <c r="AL8" s="11">
        <f>AK8+AL7-Operations!AL74</f>
        <v/>
      </c>
      <c r="AM8" s="11">
        <f>AL8+AM7-Operations!AM74</f>
        <v/>
      </c>
      <c r="AN8" s="11">
        <f>AM8+AN7-Operations!AN74</f>
        <v/>
      </c>
      <c r="AO8" s="11">
        <f>AN8+AO7-Operations!AO74</f>
        <v/>
      </c>
      <c r="AP8" s="11">
        <f>AO8+AP7-Operations!AP74</f>
        <v/>
      </c>
      <c r="AQ8" s="11">
        <f>AP8+AQ7-Operations!AQ74</f>
        <v/>
      </c>
      <c r="AR8" s="11">
        <f>AQ8+AR7-Operations!AR74</f>
        <v/>
      </c>
      <c r="AS8" s="11">
        <f>AR8+AS7-Operations!AS74</f>
        <v/>
      </c>
      <c r="AT8" s="11">
        <f>AS8+AT7-Operations!AT74</f>
        <v/>
      </c>
      <c r="AU8" s="11">
        <f>AT8+AU7-Operations!AU74</f>
        <v/>
      </c>
      <c r="AV8" s="11">
        <f>AU8+AV7-Operations!AV74</f>
        <v/>
      </c>
      <c r="AW8" s="11">
        <f>AV8+AW7-Operations!AW74</f>
        <v/>
      </c>
      <c r="AX8" s="11">
        <f>AW8+AX7-Operations!AX74</f>
        <v/>
      </c>
      <c r="AY8" s="11">
        <f>AX8+AY7-Operations!AY74</f>
        <v/>
      </c>
      <c r="AZ8" s="11">
        <f>AY8+AZ7-Operations!AZ74</f>
        <v/>
      </c>
      <c r="BA8" s="11">
        <f>AZ8+BA7-Operations!BA74</f>
        <v/>
      </c>
      <c r="BB8" s="11">
        <f>BA8+BB7-Operations!BB74</f>
        <v/>
      </c>
      <c r="BC8" s="11">
        <f>BB8+BC7-Operations!BC74</f>
        <v/>
      </c>
      <c r="BD8" s="11">
        <f>BC8+BD7-Operations!BD74</f>
        <v/>
      </c>
      <c r="BE8" s="11">
        <f>BD8+BE7-Operations!BE74</f>
        <v/>
      </c>
      <c r="BF8" s="11">
        <f>BE8+BF7-Operations!BF74</f>
        <v/>
      </c>
      <c r="BG8" s="11">
        <f>BF8+BG7-Operations!BG74</f>
        <v/>
      </c>
      <c r="BH8" s="11">
        <f>BG8+BH7-Operations!BH74</f>
        <v/>
      </c>
      <c r="BI8" s="11">
        <f>BH8+BI7-Operations!BI74</f>
        <v/>
      </c>
      <c r="BJ8" s="11">
        <f>BI8+BJ7-Operations!BJ74</f>
        <v/>
      </c>
      <c r="BK8" s="11">
        <f>BJ8+BK7-Operations!BK74</f>
        <v/>
      </c>
      <c r="BL8" s="11">
        <f>BK8+BL7-Operations!BL74</f>
        <v/>
      </c>
      <c r="BM8" s="11">
        <f>BL8+BM7-Operations!BM74</f>
        <v/>
      </c>
      <c r="BN8" s="11">
        <f>BM8+BN7-Operations!BN74</f>
        <v/>
      </c>
    </row>
    <row r="9">
      <c r="D9" t="inlineStr">
        <is>
          <t>DSRA opening</t>
        </is>
      </c>
      <c r="E9" t="inlineStr">
        <is>
          <t>USD m</t>
        </is>
      </c>
      <c r="J9" s="11">
        <f>IF(Time!J29=1,SUM(Funding!$J$44:$BJ$44),0)</f>
        <v/>
      </c>
      <c r="K9" s="11">
        <f>IF(Time!K29=1,SUM(Funding!$J$44:$BJ$44),J13)</f>
        <v/>
      </c>
      <c r="L9" s="11">
        <f>IF(Time!L29=1,SUM(Funding!$J$44:$BJ$44),K13)</f>
        <v/>
      </c>
      <c r="M9" s="11">
        <f>IF(Time!M29=1,SUM(Funding!$J$44:$BJ$44),L13)</f>
        <v/>
      </c>
      <c r="N9" s="11">
        <f>IF(Time!N29=1,SUM(Funding!$J$44:$BJ$44),M13)</f>
        <v/>
      </c>
      <c r="O9" s="11">
        <f>IF(Time!O29=1,SUM(Funding!$J$44:$BJ$44),N13)</f>
        <v/>
      </c>
      <c r="P9" s="11">
        <f>IF(Time!P29=1,SUM(Funding!$J$44:$BJ$44),O13)</f>
        <v/>
      </c>
      <c r="Q9" s="11">
        <f>IF(Time!Q29=1,SUM(Funding!$J$44:$BJ$44),P13)</f>
        <v/>
      </c>
      <c r="R9" s="11">
        <f>IF(Time!R29=1,SUM(Funding!$J$44:$BJ$44),Q13)</f>
        <v/>
      </c>
      <c r="S9" s="11">
        <f>IF(Time!S29=1,SUM(Funding!$J$44:$BJ$44),R13)</f>
        <v/>
      </c>
      <c r="T9" s="11">
        <f>IF(Time!T29=1,SUM(Funding!$J$44:$BJ$44),S13)</f>
        <v/>
      </c>
      <c r="U9" s="11">
        <f>IF(Time!U29=1,SUM(Funding!$J$44:$BJ$44),T13)</f>
        <v/>
      </c>
      <c r="V9" s="11">
        <f>IF(Time!V29=1,SUM(Funding!$J$44:$BJ$44),U13)</f>
        <v/>
      </c>
      <c r="W9" s="11">
        <f>IF(Time!W29=1,SUM(Funding!$J$44:$BJ$44),V13)</f>
        <v/>
      </c>
      <c r="X9" s="11">
        <f>IF(Time!X29=1,SUM(Funding!$J$44:$BJ$44),W13)</f>
        <v/>
      </c>
      <c r="Y9" s="11">
        <f>IF(Time!Y29=1,SUM(Funding!$J$44:$BJ$44),X13)</f>
        <v/>
      </c>
      <c r="Z9" s="11">
        <f>IF(Time!Z29=1,SUM(Funding!$J$44:$BJ$44),Y13)</f>
        <v/>
      </c>
      <c r="AA9" s="11">
        <f>IF(Time!AA29=1,SUM(Funding!$J$44:$BJ$44),Z13)</f>
        <v/>
      </c>
      <c r="AB9" s="11">
        <f>IF(Time!AB29=1,SUM(Funding!$J$44:$BJ$44),AA13)</f>
        <v/>
      </c>
      <c r="AC9" s="11">
        <f>IF(Time!AC29=1,SUM(Funding!$J$44:$BJ$44),AB13)</f>
        <v/>
      </c>
      <c r="AD9" s="11">
        <f>IF(Time!AD29=1,SUM(Funding!$J$44:$BJ$44),AC13)</f>
        <v/>
      </c>
      <c r="AE9" s="11">
        <f>IF(Time!AE29=1,SUM(Funding!$J$44:$BJ$44),AD13)</f>
        <v/>
      </c>
      <c r="AF9" s="11">
        <f>IF(Time!AF29=1,SUM(Funding!$J$44:$BJ$44),AE13)</f>
        <v/>
      </c>
      <c r="AG9" s="11">
        <f>IF(Time!AG29=1,SUM(Funding!$J$44:$BJ$44),AF13)</f>
        <v/>
      </c>
      <c r="AH9" s="11">
        <f>IF(Time!AH29=1,SUM(Funding!$J$44:$BJ$44),AG13)</f>
        <v/>
      </c>
      <c r="AI9" s="11">
        <f>IF(Time!AI29=1,SUM(Funding!$J$44:$BJ$44),AH13)</f>
        <v/>
      </c>
      <c r="AJ9" s="11">
        <f>IF(Time!AJ29=1,SUM(Funding!$J$44:$BJ$44),AI13)</f>
        <v/>
      </c>
      <c r="AK9" s="11">
        <f>IF(Time!AK29=1,SUM(Funding!$J$44:$BJ$44),AJ13)</f>
        <v/>
      </c>
      <c r="AL9" s="11">
        <f>IF(Time!AL29=1,SUM(Funding!$J$44:$BJ$44),AK13)</f>
        <v/>
      </c>
      <c r="AM9" s="11">
        <f>IF(Time!AM29=1,SUM(Funding!$J$44:$BJ$44),AL13)</f>
        <v/>
      </c>
      <c r="AN9" s="11">
        <f>IF(Time!AN29=1,SUM(Funding!$J$44:$BJ$44),AM13)</f>
        <v/>
      </c>
      <c r="AO9" s="11">
        <f>IF(Time!AO29=1,SUM(Funding!$J$44:$BJ$44),AN13)</f>
        <v/>
      </c>
      <c r="AP9" s="11">
        <f>IF(Time!AP29=1,SUM(Funding!$J$44:$BJ$44),AO13)</f>
        <v/>
      </c>
      <c r="AQ9" s="11">
        <f>IF(Time!AQ29=1,SUM(Funding!$J$44:$BJ$44),AP13)</f>
        <v/>
      </c>
      <c r="AR9" s="11">
        <f>IF(Time!AR29=1,SUM(Funding!$J$44:$BJ$44),AQ13)</f>
        <v/>
      </c>
      <c r="AS9" s="11">
        <f>IF(Time!AS29=1,SUM(Funding!$J$44:$BJ$44),AR13)</f>
        <v/>
      </c>
      <c r="AT9" s="11">
        <f>IF(Time!AT29=1,SUM(Funding!$J$44:$BJ$44),AS13)</f>
        <v/>
      </c>
      <c r="AU9" s="11">
        <f>IF(Time!AU29=1,SUM(Funding!$J$44:$BJ$44),AT13)</f>
        <v/>
      </c>
      <c r="AV9" s="11">
        <f>IF(Time!AV29=1,SUM(Funding!$J$44:$BJ$44),AU13)</f>
        <v/>
      </c>
      <c r="AW9" s="11">
        <f>IF(Time!AW29=1,SUM(Funding!$J$44:$BJ$44),AV13)</f>
        <v/>
      </c>
      <c r="AX9" s="11">
        <f>IF(Time!AX29=1,SUM(Funding!$J$44:$BJ$44),AW13)</f>
        <v/>
      </c>
      <c r="AY9" s="11">
        <f>IF(Time!AY29=1,SUM(Funding!$J$44:$BJ$44),AX13)</f>
        <v/>
      </c>
      <c r="AZ9" s="11">
        <f>IF(Time!AZ29=1,SUM(Funding!$J$44:$BJ$44),AY13)</f>
        <v/>
      </c>
      <c r="BA9" s="11">
        <f>IF(Time!BA29=1,SUM(Funding!$J$44:$BJ$44),AZ13)</f>
        <v/>
      </c>
      <c r="BB9" s="11">
        <f>IF(Time!BB29=1,SUM(Funding!$J$44:$BJ$44),BA13)</f>
        <v/>
      </c>
      <c r="BC9" s="11">
        <f>IF(Time!BC29=1,SUM(Funding!$J$44:$BJ$44),BB13)</f>
        <v/>
      </c>
      <c r="BD9" s="11">
        <f>IF(Time!BD29=1,SUM(Funding!$J$44:$BJ$44),BC13)</f>
        <v/>
      </c>
      <c r="BE9" s="11">
        <f>IF(Time!BE29=1,SUM(Funding!$J$44:$BJ$44),BD13)</f>
        <v/>
      </c>
      <c r="BF9" s="11">
        <f>IF(Time!BF29=1,SUM(Funding!$J$44:$BJ$44),BE13)</f>
        <v/>
      </c>
      <c r="BG9" s="11">
        <f>IF(Time!BG29=1,SUM(Funding!$J$44:$BJ$44),BF13)</f>
        <v/>
      </c>
      <c r="BH9" s="11">
        <f>IF(Time!BH29=1,SUM(Funding!$J$44:$BJ$44),BG13)</f>
        <v/>
      </c>
      <c r="BI9" s="11">
        <f>IF(Time!BI29=1,SUM(Funding!$J$44:$BJ$44),BH13)</f>
        <v/>
      </c>
      <c r="BJ9" s="11">
        <f>IF(Time!BJ29=1,SUM(Funding!$J$44:$BJ$44),BI13)</f>
        <v/>
      </c>
      <c r="BK9" s="11">
        <f>IF(Time!BK29=1,SUM(Funding!$J$44:$BJ$44),BJ13)</f>
        <v/>
      </c>
      <c r="BL9" s="11">
        <f>IF(Time!BL29=1,SUM(Funding!$J$44:$BJ$44),BK13)</f>
        <v/>
      </c>
      <c r="BM9" s="11">
        <f>IF(Time!BM29=1,SUM(Funding!$J$44:$BJ$44),BL13)</f>
        <v/>
      </c>
      <c r="BN9" s="11">
        <f>IF(Time!BN29=1,SUM(Funding!$J$44:$BJ$44),BM13)</f>
        <v/>
      </c>
    </row>
    <row r="10">
      <c r="D10" t="inlineStr">
        <is>
          <t>DSRA drawing</t>
        </is>
      </c>
      <c r="E10" t="inlineStr">
        <is>
          <t>USD m</t>
        </is>
      </c>
      <c r="G10" s="11">
        <f>SUM(J10:BN10)</f>
        <v/>
      </c>
      <c r="J10" s="11">
        <f>MIN(J9,Waterfall!J11)</f>
        <v/>
      </c>
      <c r="K10" s="11">
        <f>MIN(K9,Waterfall!K11)</f>
        <v/>
      </c>
      <c r="L10" s="11">
        <f>MIN(L9,Waterfall!L11)</f>
        <v/>
      </c>
      <c r="M10" s="11">
        <f>MIN(M9,Waterfall!M11)</f>
        <v/>
      </c>
      <c r="N10" s="11">
        <f>MIN(N9,Waterfall!N11)</f>
        <v/>
      </c>
      <c r="O10" s="11">
        <f>MIN(O9,Waterfall!O11)</f>
        <v/>
      </c>
      <c r="P10" s="11">
        <f>MIN(P9,Waterfall!P11)</f>
        <v/>
      </c>
      <c r="Q10" s="11">
        <f>MIN(Q9,Waterfall!Q11)</f>
        <v/>
      </c>
      <c r="R10" s="11">
        <f>MIN(R9,Waterfall!R11)</f>
        <v/>
      </c>
      <c r="S10" s="11">
        <f>MIN(S9,Waterfall!S11)</f>
        <v/>
      </c>
      <c r="T10" s="11">
        <f>MIN(T9,Waterfall!T11)</f>
        <v/>
      </c>
      <c r="U10" s="11">
        <f>MIN(U9,Waterfall!U11)</f>
        <v/>
      </c>
      <c r="V10" s="11">
        <f>MIN(V9,Waterfall!V11)</f>
        <v/>
      </c>
      <c r="W10" s="11">
        <f>MIN(W9,Waterfall!W11)</f>
        <v/>
      </c>
      <c r="X10" s="11">
        <f>MIN(X9,Waterfall!X11)</f>
        <v/>
      </c>
      <c r="Y10" s="11">
        <f>MIN(Y9,Waterfall!Y11)</f>
        <v/>
      </c>
      <c r="Z10" s="11">
        <f>MIN(Z9,Waterfall!Z11)</f>
        <v/>
      </c>
      <c r="AA10" s="11">
        <f>MIN(AA9,Waterfall!AA11)</f>
        <v/>
      </c>
      <c r="AB10" s="11">
        <f>MIN(AB9,Waterfall!AB11)</f>
        <v/>
      </c>
      <c r="AC10" s="11">
        <f>MIN(AC9,Waterfall!AC11)</f>
        <v/>
      </c>
      <c r="AD10" s="11">
        <f>MIN(AD9,Waterfall!AD11)</f>
        <v/>
      </c>
      <c r="AE10" s="11">
        <f>MIN(AE9,Waterfall!AE11)</f>
        <v/>
      </c>
      <c r="AF10" s="11">
        <f>MIN(AF9,Waterfall!AF11)</f>
        <v/>
      </c>
      <c r="AG10" s="11">
        <f>MIN(AG9,Waterfall!AG11)</f>
        <v/>
      </c>
      <c r="AH10" s="11">
        <f>MIN(AH9,Waterfall!AH11)</f>
        <v/>
      </c>
      <c r="AI10" s="11">
        <f>MIN(AI9,Waterfall!AI11)</f>
        <v/>
      </c>
      <c r="AJ10" s="11">
        <f>MIN(AJ9,Waterfall!AJ11)</f>
        <v/>
      </c>
      <c r="AK10" s="11">
        <f>MIN(AK9,Waterfall!AK11)</f>
        <v/>
      </c>
      <c r="AL10" s="11">
        <f>MIN(AL9,Waterfall!AL11)</f>
        <v/>
      </c>
      <c r="AM10" s="11">
        <f>MIN(AM9,Waterfall!AM11)</f>
        <v/>
      </c>
      <c r="AN10" s="11">
        <f>MIN(AN9,Waterfall!AN11)</f>
        <v/>
      </c>
      <c r="AO10" s="11">
        <f>MIN(AO9,Waterfall!AO11)</f>
        <v/>
      </c>
      <c r="AP10" s="11">
        <f>MIN(AP9,Waterfall!AP11)</f>
        <v/>
      </c>
      <c r="AQ10" s="11">
        <f>MIN(AQ9,Waterfall!AQ11)</f>
        <v/>
      </c>
      <c r="AR10" s="11">
        <f>MIN(AR9,Waterfall!AR11)</f>
        <v/>
      </c>
      <c r="AS10" s="11">
        <f>MIN(AS9,Waterfall!AS11)</f>
        <v/>
      </c>
      <c r="AT10" s="11">
        <f>MIN(AT9,Waterfall!AT11)</f>
        <v/>
      </c>
      <c r="AU10" s="11">
        <f>MIN(AU9,Waterfall!AU11)</f>
        <v/>
      </c>
      <c r="AV10" s="11">
        <f>MIN(AV9,Waterfall!AV11)</f>
        <v/>
      </c>
      <c r="AW10" s="11">
        <f>MIN(AW9,Waterfall!AW11)</f>
        <v/>
      </c>
      <c r="AX10" s="11">
        <f>MIN(AX9,Waterfall!AX11)</f>
        <v/>
      </c>
      <c r="AY10" s="11">
        <f>MIN(AY9,Waterfall!AY11)</f>
        <v/>
      </c>
      <c r="AZ10" s="11">
        <f>MIN(AZ9,Waterfall!AZ11)</f>
        <v/>
      </c>
      <c r="BA10" s="11">
        <f>MIN(BA9,Waterfall!BA11)</f>
        <v/>
      </c>
      <c r="BB10" s="11">
        <f>MIN(BB9,Waterfall!BB11)</f>
        <v/>
      </c>
      <c r="BC10" s="11">
        <f>MIN(BC9,Waterfall!BC11)</f>
        <v/>
      </c>
      <c r="BD10" s="11">
        <f>MIN(BD9,Waterfall!BD11)</f>
        <v/>
      </c>
      <c r="BE10" s="11">
        <f>MIN(BE9,Waterfall!BE11)</f>
        <v/>
      </c>
      <c r="BF10" s="11">
        <f>MIN(BF9,Waterfall!BF11)</f>
        <v/>
      </c>
      <c r="BG10" s="11">
        <f>MIN(BG9,Waterfall!BG11)</f>
        <v/>
      </c>
      <c r="BH10" s="11">
        <f>MIN(BH9,Waterfall!BH11)</f>
        <v/>
      </c>
      <c r="BI10" s="11">
        <f>MIN(BI9,Waterfall!BI11)</f>
        <v/>
      </c>
      <c r="BJ10" s="11">
        <f>MIN(BJ9,Waterfall!BJ11)</f>
        <v/>
      </c>
      <c r="BK10" s="11">
        <f>MIN(BK9,Waterfall!BK11)</f>
        <v/>
      </c>
      <c r="BL10" s="11">
        <f>MIN(BL9,Waterfall!BL11)</f>
        <v/>
      </c>
      <c r="BM10" s="11">
        <f>MIN(BM9,Waterfall!BM11)</f>
        <v/>
      </c>
      <c r="BN10" s="11">
        <f>MIN(BN9,Waterfall!BN11)</f>
        <v/>
      </c>
    </row>
    <row r="11">
      <c r="D11" t="inlineStr">
        <is>
          <t>DSRA top-up</t>
        </is>
      </c>
      <c r="E11" t="inlineStr">
        <is>
          <t>USD m</t>
        </is>
      </c>
      <c r="G11" s="11">
        <f>SUM(J11:BN11)</f>
        <v/>
      </c>
      <c r="J11" s="11">
        <f>MIN(Waterfall!J13,MAX(0,Debt!J132-(J9-J10)))</f>
        <v/>
      </c>
      <c r="K11" s="11">
        <f>MIN(Waterfall!K13,MAX(0,Debt!K132-(K9-K10)))</f>
        <v/>
      </c>
      <c r="L11" s="11">
        <f>MIN(Waterfall!L13,MAX(0,Debt!L132-(L9-L10)))</f>
        <v/>
      </c>
      <c r="M11" s="11">
        <f>MIN(Waterfall!M13,MAX(0,Debt!M132-(M9-M10)))</f>
        <v/>
      </c>
      <c r="N11" s="11">
        <f>MIN(Waterfall!N13,MAX(0,Debt!N132-(N9-N10)))</f>
        <v/>
      </c>
      <c r="O11" s="11">
        <f>MIN(Waterfall!O13,MAX(0,Debt!O132-(O9-O10)))</f>
        <v/>
      </c>
      <c r="P11" s="11">
        <f>MIN(Waterfall!P13,MAX(0,Debt!P132-(P9-P10)))</f>
        <v/>
      </c>
      <c r="Q11" s="11">
        <f>MIN(Waterfall!Q13,MAX(0,Debt!Q132-(Q9-Q10)))</f>
        <v/>
      </c>
      <c r="R11" s="11">
        <f>MIN(Waterfall!R13,MAX(0,Debt!R132-(R9-R10)))</f>
        <v/>
      </c>
      <c r="S11" s="11">
        <f>MIN(Waterfall!S13,MAX(0,Debt!S132-(S9-S10)))</f>
        <v/>
      </c>
      <c r="T11" s="11">
        <f>MIN(Waterfall!T13,MAX(0,Debt!T132-(T9-T10)))</f>
        <v/>
      </c>
      <c r="U11" s="11">
        <f>MIN(Waterfall!U13,MAX(0,Debt!U132-(U9-U10)))</f>
        <v/>
      </c>
      <c r="V11" s="11">
        <f>MIN(Waterfall!V13,MAX(0,Debt!V132-(V9-V10)))</f>
        <v/>
      </c>
      <c r="W11" s="11">
        <f>MIN(Waterfall!W13,MAX(0,Debt!W132-(W9-W10)))</f>
        <v/>
      </c>
      <c r="X11" s="11">
        <f>MIN(Waterfall!X13,MAX(0,Debt!X132-(X9-X10)))</f>
        <v/>
      </c>
      <c r="Y11" s="11">
        <f>MIN(Waterfall!Y13,MAX(0,Debt!Y132-(Y9-Y10)))</f>
        <v/>
      </c>
      <c r="Z11" s="11">
        <f>MIN(Waterfall!Z13,MAX(0,Debt!Z132-(Z9-Z10)))</f>
        <v/>
      </c>
      <c r="AA11" s="11">
        <f>MIN(Waterfall!AA13,MAX(0,Debt!AA132-(AA9-AA10)))</f>
        <v/>
      </c>
      <c r="AB11" s="11">
        <f>MIN(Waterfall!AB13,MAX(0,Debt!AB132-(AB9-AB10)))</f>
        <v/>
      </c>
      <c r="AC11" s="11">
        <f>MIN(Waterfall!AC13,MAX(0,Debt!AC132-(AC9-AC10)))</f>
        <v/>
      </c>
      <c r="AD11" s="11">
        <f>MIN(Waterfall!AD13,MAX(0,Debt!AD132-(AD9-AD10)))</f>
        <v/>
      </c>
      <c r="AE11" s="11">
        <f>MIN(Waterfall!AE13,MAX(0,Debt!AE132-(AE9-AE10)))</f>
        <v/>
      </c>
      <c r="AF11" s="11">
        <f>MIN(Waterfall!AF13,MAX(0,Debt!AF132-(AF9-AF10)))</f>
        <v/>
      </c>
      <c r="AG11" s="11">
        <f>MIN(Waterfall!AG13,MAX(0,Debt!AG132-(AG9-AG10)))</f>
        <v/>
      </c>
      <c r="AH11" s="11">
        <f>MIN(Waterfall!AH13,MAX(0,Debt!AH132-(AH9-AH10)))</f>
        <v/>
      </c>
      <c r="AI11" s="11">
        <f>MIN(Waterfall!AI13,MAX(0,Debt!AI132-(AI9-AI10)))</f>
        <v/>
      </c>
      <c r="AJ11" s="11">
        <f>MIN(Waterfall!AJ13,MAX(0,Debt!AJ132-(AJ9-AJ10)))</f>
        <v/>
      </c>
      <c r="AK11" s="11">
        <f>MIN(Waterfall!AK13,MAX(0,Debt!AK132-(AK9-AK10)))</f>
        <v/>
      </c>
      <c r="AL11" s="11">
        <f>MIN(Waterfall!AL13,MAX(0,Debt!AL132-(AL9-AL10)))</f>
        <v/>
      </c>
      <c r="AM11" s="11">
        <f>MIN(Waterfall!AM13,MAX(0,Debt!AM132-(AM9-AM10)))</f>
        <v/>
      </c>
      <c r="AN11" s="11">
        <f>MIN(Waterfall!AN13,MAX(0,Debt!AN132-(AN9-AN10)))</f>
        <v/>
      </c>
      <c r="AO11" s="11">
        <f>MIN(Waterfall!AO13,MAX(0,Debt!AO132-(AO9-AO10)))</f>
        <v/>
      </c>
      <c r="AP11" s="11">
        <f>MIN(Waterfall!AP13,MAX(0,Debt!AP132-(AP9-AP10)))</f>
        <v/>
      </c>
      <c r="AQ11" s="11">
        <f>MIN(Waterfall!AQ13,MAX(0,Debt!AQ132-(AQ9-AQ10)))</f>
        <v/>
      </c>
      <c r="AR11" s="11">
        <f>MIN(Waterfall!AR13,MAX(0,Debt!AR132-(AR9-AR10)))</f>
        <v/>
      </c>
      <c r="AS11" s="11">
        <f>MIN(Waterfall!AS13,MAX(0,Debt!AS132-(AS9-AS10)))</f>
        <v/>
      </c>
      <c r="AT11" s="11">
        <f>MIN(Waterfall!AT13,MAX(0,Debt!AT132-(AT9-AT10)))</f>
        <v/>
      </c>
      <c r="AU11" s="11">
        <f>MIN(Waterfall!AU13,MAX(0,Debt!AU132-(AU9-AU10)))</f>
        <v/>
      </c>
      <c r="AV11" s="11">
        <f>MIN(Waterfall!AV13,MAX(0,Debt!AV132-(AV9-AV10)))</f>
        <v/>
      </c>
      <c r="AW11" s="11">
        <f>MIN(Waterfall!AW13,MAX(0,Debt!AW132-(AW9-AW10)))</f>
        <v/>
      </c>
      <c r="AX11" s="11">
        <f>MIN(Waterfall!AX13,MAX(0,Debt!AX132-(AX9-AX10)))</f>
        <v/>
      </c>
      <c r="AY11" s="11">
        <f>MIN(Waterfall!AY13,MAX(0,Debt!AY132-(AY9-AY10)))</f>
        <v/>
      </c>
      <c r="AZ11" s="11">
        <f>MIN(Waterfall!AZ13,MAX(0,Debt!AZ132-(AZ9-AZ10)))</f>
        <v/>
      </c>
      <c r="BA11" s="11">
        <f>MIN(Waterfall!BA13,MAX(0,Debt!BA132-(BA9-BA10)))</f>
        <v/>
      </c>
      <c r="BB11" s="11">
        <f>MIN(Waterfall!BB13,MAX(0,Debt!BB132-(BB9-BB10)))</f>
        <v/>
      </c>
      <c r="BC11" s="11">
        <f>MIN(Waterfall!BC13,MAX(0,Debt!BC132-(BC9-BC10)))</f>
        <v/>
      </c>
      <c r="BD11" s="11">
        <f>MIN(Waterfall!BD13,MAX(0,Debt!BD132-(BD9-BD10)))</f>
        <v/>
      </c>
      <c r="BE11" s="11">
        <f>MIN(Waterfall!BE13,MAX(0,Debt!BE132-(BE9-BE10)))</f>
        <v/>
      </c>
      <c r="BF11" s="11">
        <f>MIN(Waterfall!BF13,MAX(0,Debt!BF132-(BF9-BF10)))</f>
        <v/>
      </c>
      <c r="BG11" s="11">
        <f>MIN(Waterfall!BG13,MAX(0,Debt!BG132-(BG9-BG10)))</f>
        <v/>
      </c>
      <c r="BH11" s="11">
        <f>MIN(Waterfall!BH13,MAX(0,Debt!BH132-(BH9-BH10)))</f>
        <v/>
      </c>
      <c r="BI11" s="11">
        <f>MIN(Waterfall!BI13,MAX(0,Debt!BI132-(BI9-BI10)))</f>
        <v/>
      </c>
      <c r="BJ11" s="11">
        <f>MIN(Waterfall!BJ13,MAX(0,Debt!BJ132-(BJ9-BJ10)))</f>
        <v/>
      </c>
      <c r="BK11" s="11">
        <f>MIN(Waterfall!BK13,MAX(0,Debt!BK132-(BK9-BK10)))</f>
        <v/>
      </c>
      <c r="BL11" s="11">
        <f>MIN(Waterfall!BL13,MAX(0,Debt!BL132-(BL9-BL10)))</f>
        <v/>
      </c>
      <c r="BM11" s="11">
        <f>MIN(Waterfall!BM13,MAX(0,Debt!BM132-(BM9-BM10)))</f>
        <v/>
      </c>
      <c r="BN11" s="11">
        <f>MIN(Waterfall!BN13,MAX(0,Debt!BN132-(BN9-BN10)))</f>
        <v/>
      </c>
    </row>
    <row r="12">
      <c r="D12" t="inlineStr">
        <is>
          <t>DSRA release of excess</t>
        </is>
      </c>
      <c r="E12" t="inlineStr">
        <is>
          <t>USD m</t>
        </is>
      </c>
      <c r="G12" s="11">
        <f>SUM(J12:BN12)</f>
        <v/>
      </c>
      <c r="J12" s="11">
        <f>MAX(0,J9-J10-Debt!J132)</f>
        <v/>
      </c>
      <c r="K12" s="11">
        <f>MAX(0,K9-K10-Debt!K132)</f>
        <v/>
      </c>
      <c r="L12" s="11">
        <f>MAX(0,L9-L10-Debt!L132)</f>
        <v/>
      </c>
      <c r="M12" s="11">
        <f>MAX(0,M9-M10-Debt!M132)</f>
        <v/>
      </c>
      <c r="N12" s="11">
        <f>MAX(0,N9-N10-Debt!N132)</f>
        <v/>
      </c>
      <c r="O12" s="11">
        <f>MAX(0,O9-O10-Debt!O132)</f>
        <v/>
      </c>
      <c r="P12" s="11">
        <f>MAX(0,P9-P10-Debt!P132)</f>
        <v/>
      </c>
      <c r="Q12" s="11">
        <f>MAX(0,Q9-Q10-Debt!Q132)</f>
        <v/>
      </c>
      <c r="R12" s="11">
        <f>MAX(0,R9-R10-Debt!R132)</f>
        <v/>
      </c>
      <c r="S12" s="11">
        <f>MAX(0,S9-S10-Debt!S132)</f>
        <v/>
      </c>
      <c r="T12" s="11">
        <f>MAX(0,T9-T10-Debt!T132)</f>
        <v/>
      </c>
      <c r="U12" s="11">
        <f>MAX(0,U9-U10-Debt!U132)</f>
        <v/>
      </c>
      <c r="V12" s="11">
        <f>MAX(0,V9-V10-Debt!V132)</f>
        <v/>
      </c>
      <c r="W12" s="11">
        <f>MAX(0,W9-W10-Debt!W132)</f>
        <v/>
      </c>
      <c r="X12" s="11">
        <f>MAX(0,X9-X10-Debt!X132)</f>
        <v/>
      </c>
      <c r="Y12" s="11">
        <f>MAX(0,Y9-Y10-Debt!Y132)</f>
        <v/>
      </c>
      <c r="Z12" s="11">
        <f>MAX(0,Z9-Z10-Debt!Z132)</f>
        <v/>
      </c>
      <c r="AA12" s="11">
        <f>MAX(0,AA9-AA10-Debt!AA132)</f>
        <v/>
      </c>
      <c r="AB12" s="11">
        <f>MAX(0,AB9-AB10-Debt!AB132)</f>
        <v/>
      </c>
      <c r="AC12" s="11">
        <f>MAX(0,AC9-AC10-Debt!AC132)</f>
        <v/>
      </c>
      <c r="AD12" s="11">
        <f>MAX(0,AD9-AD10-Debt!AD132)</f>
        <v/>
      </c>
      <c r="AE12" s="11">
        <f>MAX(0,AE9-AE10-Debt!AE132)</f>
        <v/>
      </c>
      <c r="AF12" s="11">
        <f>MAX(0,AF9-AF10-Debt!AF132)</f>
        <v/>
      </c>
      <c r="AG12" s="11">
        <f>MAX(0,AG9-AG10-Debt!AG132)</f>
        <v/>
      </c>
      <c r="AH12" s="11">
        <f>MAX(0,AH9-AH10-Debt!AH132)</f>
        <v/>
      </c>
      <c r="AI12" s="11">
        <f>MAX(0,AI9-AI10-Debt!AI132)</f>
        <v/>
      </c>
      <c r="AJ12" s="11">
        <f>MAX(0,AJ9-AJ10-Debt!AJ132)</f>
        <v/>
      </c>
      <c r="AK12" s="11">
        <f>MAX(0,AK9-AK10-Debt!AK132)</f>
        <v/>
      </c>
      <c r="AL12" s="11">
        <f>MAX(0,AL9-AL10-Debt!AL132)</f>
        <v/>
      </c>
      <c r="AM12" s="11">
        <f>MAX(0,AM9-AM10-Debt!AM132)</f>
        <v/>
      </c>
      <c r="AN12" s="11">
        <f>MAX(0,AN9-AN10-Debt!AN132)</f>
        <v/>
      </c>
      <c r="AO12" s="11">
        <f>MAX(0,AO9-AO10-Debt!AO132)</f>
        <v/>
      </c>
      <c r="AP12" s="11">
        <f>MAX(0,AP9-AP10-Debt!AP132)</f>
        <v/>
      </c>
      <c r="AQ12" s="11">
        <f>MAX(0,AQ9-AQ10-Debt!AQ132)</f>
        <v/>
      </c>
      <c r="AR12" s="11">
        <f>MAX(0,AR9-AR10-Debt!AR132)</f>
        <v/>
      </c>
      <c r="AS12" s="11">
        <f>MAX(0,AS9-AS10-Debt!AS132)</f>
        <v/>
      </c>
      <c r="AT12" s="11">
        <f>MAX(0,AT9-AT10-Debt!AT132)</f>
        <v/>
      </c>
      <c r="AU12" s="11">
        <f>MAX(0,AU9-AU10-Debt!AU132)</f>
        <v/>
      </c>
      <c r="AV12" s="11">
        <f>MAX(0,AV9-AV10-Debt!AV132)</f>
        <v/>
      </c>
      <c r="AW12" s="11">
        <f>MAX(0,AW9-AW10-Debt!AW132)</f>
        <v/>
      </c>
      <c r="AX12" s="11">
        <f>MAX(0,AX9-AX10-Debt!AX132)</f>
        <v/>
      </c>
      <c r="AY12" s="11">
        <f>MAX(0,AY9-AY10-Debt!AY132)</f>
        <v/>
      </c>
      <c r="AZ12" s="11">
        <f>MAX(0,AZ9-AZ10-Debt!AZ132)</f>
        <v/>
      </c>
      <c r="BA12" s="11">
        <f>MAX(0,BA9-BA10-Debt!BA132)</f>
        <v/>
      </c>
      <c r="BB12" s="11">
        <f>MAX(0,BB9-BB10-Debt!BB132)</f>
        <v/>
      </c>
      <c r="BC12" s="11">
        <f>MAX(0,BC9-BC10-Debt!BC132)</f>
        <v/>
      </c>
      <c r="BD12" s="11">
        <f>MAX(0,BD9-BD10-Debt!BD132)</f>
        <v/>
      </c>
      <c r="BE12" s="11">
        <f>MAX(0,BE9-BE10-Debt!BE132)</f>
        <v/>
      </c>
      <c r="BF12" s="11">
        <f>MAX(0,BF9-BF10-Debt!BF132)</f>
        <v/>
      </c>
      <c r="BG12" s="11">
        <f>MAX(0,BG9-BG10-Debt!BG132)</f>
        <v/>
      </c>
      <c r="BH12" s="11">
        <f>MAX(0,BH9-BH10-Debt!BH132)</f>
        <v/>
      </c>
      <c r="BI12" s="11">
        <f>MAX(0,BI9-BI10-Debt!BI132)</f>
        <v/>
      </c>
      <c r="BJ12" s="11">
        <f>MAX(0,BJ9-BJ10-Debt!BJ132)</f>
        <v/>
      </c>
      <c r="BK12" s="11">
        <f>MAX(0,BK9-BK10-Debt!BK132)</f>
        <v/>
      </c>
      <c r="BL12" s="11">
        <f>MAX(0,BL9-BL10-Debt!BL132)</f>
        <v/>
      </c>
      <c r="BM12" s="11">
        <f>MAX(0,BM9-BM10-Debt!BM132)</f>
        <v/>
      </c>
      <c r="BN12" s="11">
        <f>MAX(0,BN9-BN10-Debt!BN132)</f>
        <v/>
      </c>
    </row>
    <row r="13">
      <c r="D13" t="inlineStr">
        <is>
          <t>DSRA closing</t>
        </is>
      </c>
      <c r="E13" t="inlineStr">
        <is>
          <t>USD m</t>
        </is>
      </c>
      <c r="J13" s="11">
        <f>(1-Time!J32)*(J9-J10+J11-J12)</f>
        <v/>
      </c>
      <c r="K13" s="11">
        <f>(1-Time!K32)*(K9-K10+K11-K12)</f>
        <v/>
      </c>
      <c r="L13" s="11">
        <f>(1-Time!L32)*(L9-L10+L11-L12)</f>
        <v/>
      </c>
      <c r="M13" s="11">
        <f>(1-Time!M32)*(M9-M10+M11-M12)</f>
        <v/>
      </c>
      <c r="N13" s="11">
        <f>(1-Time!N32)*(N9-N10+N11-N12)</f>
        <v/>
      </c>
      <c r="O13" s="11">
        <f>(1-Time!O32)*(O9-O10+O11-O12)</f>
        <v/>
      </c>
      <c r="P13" s="11">
        <f>(1-Time!P32)*(P9-P10+P11-P12)</f>
        <v/>
      </c>
      <c r="Q13" s="11">
        <f>(1-Time!Q32)*(Q9-Q10+Q11-Q12)</f>
        <v/>
      </c>
      <c r="R13" s="11">
        <f>(1-Time!R32)*(R9-R10+R11-R12)</f>
        <v/>
      </c>
      <c r="S13" s="11">
        <f>(1-Time!S32)*(S9-S10+S11-S12)</f>
        <v/>
      </c>
      <c r="T13" s="11">
        <f>(1-Time!T32)*(T9-T10+T11-T12)</f>
        <v/>
      </c>
      <c r="U13" s="11">
        <f>(1-Time!U32)*(U9-U10+U11-U12)</f>
        <v/>
      </c>
      <c r="V13" s="11">
        <f>(1-Time!V32)*(V9-V10+V11-V12)</f>
        <v/>
      </c>
      <c r="W13" s="11">
        <f>(1-Time!W32)*(W9-W10+W11-W12)</f>
        <v/>
      </c>
      <c r="X13" s="11">
        <f>(1-Time!X32)*(X9-X10+X11-X12)</f>
        <v/>
      </c>
      <c r="Y13" s="11">
        <f>(1-Time!Y32)*(Y9-Y10+Y11-Y12)</f>
        <v/>
      </c>
      <c r="Z13" s="11">
        <f>(1-Time!Z32)*(Z9-Z10+Z11-Z12)</f>
        <v/>
      </c>
      <c r="AA13" s="11">
        <f>(1-Time!AA32)*(AA9-AA10+AA11-AA12)</f>
        <v/>
      </c>
      <c r="AB13" s="11">
        <f>(1-Time!AB32)*(AB9-AB10+AB11-AB12)</f>
        <v/>
      </c>
      <c r="AC13" s="11">
        <f>(1-Time!AC32)*(AC9-AC10+AC11-AC12)</f>
        <v/>
      </c>
      <c r="AD13" s="11">
        <f>(1-Time!AD32)*(AD9-AD10+AD11-AD12)</f>
        <v/>
      </c>
      <c r="AE13" s="11">
        <f>(1-Time!AE32)*(AE9-AE10+AE11-AE12)</f>
        <v/>
      </c>
      <c r="AF13" s="11">
        <f>(1-Time!AF32)*(AF9-AF10+AF11-AF12)</f>
        <v/>
      </c>
      <c r="AG13" s="11">
        <f>(1-Time!AG32)*(AG9-AG10+AG11-AG12)</f>
        <v/>
      </c>
      <c r="AH13" s="11">
        <f>(1-Time!AH32)*(AH9-AH10+AH11-AH12)</f>
        <v/>
      </c>
      <c r="AI13" s="11">
        <f>(1-Time!AI32)*(AI9-AI10+AI11-AI12)</f>
        <v/>
      </c>
      <c r="AJ13" s="11">
        <f>(1-Time!AJ32)*(AJ9-AJ10+AJ11-AJ12)</f>
        <v/>
      </c>
      <c r="AK13" s="11">
        <f>(1-Time!AK32)*(AK9-AK10+AK11-AK12)</f>
        <v/>
      </c>
      <c r="AL13" s="11">
        <f>(1-Time!AL32)*(AL9-AL10+AL11-AL12)</f>
        <v/>
      </c>
      <c r="AM13" s="11">
        <f>(1-Time!AM32)*(AM9-AM10+AM11-AM12)</f>
        <v/>
      </c>
      <c r="AN13" s="11">
        <f>(1-Time!AN32)*(AN9-AN10+AN11-AN12)</f>
        <v/>
      </c>
      <c r="AO13" s="11">
        <f>(1-Time!AO32)*(AO9-AO10+AO11-AO12)</f>
        <v/>
      </c>
      <c r="AP13" s="11">
        <f>(1-Time!AP32)*(AP9-AP10+AP11-AP12)</f>
        <v/>
      </c>
      <c r="AQ13" s="11">
        <f>(1-Time!AQ32)*(AQ9-AQ10+AQ11-AQ12)</f>
        <v/>
      </c>
      <c r="AR13" s="11">
        <f>(1-Time!AR32)*(AR9-AR10+AR11-AR12)</f>
        <v/>
      </c>
      <c r="AS13" s="11">
        <f>(1-Time!AS32)*(AS9-AS10+AS11-AS12)</f>
        <v/>
      </c>
      <c r="AT13" s="11">
        <f>(1-Time!AT32)*(AT9-AT10+AT11-AT12)</f>
        <v/>
      </c>
      <c r="AU13" s="11">
        <f>(1-Time!AU32)*(AU9-AU10+AU11-AU12)</f>
        <v/>
      </c>
      <c r="AV13" s="11">
        <f>(1-Time!AV32)*(AV9-AV10+AV11-AV12)</f>
        <v/>
      </c>
      <c r="AW13" s="11">
        <f>(1-Time!AW32)*(AW9-AW10+AW11-AW12)</f>
        <v/>
      </c>
      <c r="AX13" s="11">
        <f>(1-Time!AX32)*(AX9-AX10+AX11-AX12)</f>
        <v/>
      </c>
      <c r="AY13" s="11">
        <f>(1-Time!AY32)*(AY9-AY10+AY11-AY12)</f>
        <v/>
      </c>
      <c r="AZ13" s="11">
        <f>(1-Time!AZ32)*(AZ9-AZ10+AZ11-AZ12)</f>
        <v/>
      </c>
      <c r="BA13" s="11">
        <f>(1-Time!BA32)*(BA9-BA10+BA11-BA12)</f>
        <v/>
      </c>
      <c r="BB13" s="11">
        <f>(1-Time!BB32)*(BB9-BB10+BB11-BB12)</f>
        <v/>
      </c>
      <c r="BC13" s="11">
        <f>(1-Time!BC32)*(BC9-BC10+BC11-BC12)</f>
        <v/>
      </c>
      <c r="BD13" s="11">
        <f>(1-Time!BD32)*(BD9-BD10+BD11-BD12)</f>
        <v/>
      </c>
      <c r="BE13" s="11">
        <f>(1-Time!BE32)*(BE9-BE10+BE11-BE12)</f>
        <v/>
      </c>
      <c r="BF13" s="11">
        <f>(1-Time!BF32)*(BF9-BF10+BF11-BF12)</f>
        <v/>
      </c>
      <c r="BG13" s="11">
        <f>(1-Time!BG32)*(BG9-BG10+BG11-BG12)</f>
        <v/>
      </c>
      <c r="BH13" s="11">
        <f>(1-Time!BH32)*(BH9-BH10+BH11-BH12)</f>
        <v/>
      </c>
      <c r="BI13" s="11">
        <f>(1-Time!BI32)*(BI9-BI10+BI11-BI12)</f>
        <v/>
      </c>
      <c r="BJ13" s="11">
        <f>(1-Time!BJ32)*(BJ9-BJ10+BJ11-BJ12)</f>
        <v/>
      </c>
      <c r="BK13" s="11">
        <f>(1-Time!BK32)*(BK9-BK10+BK11-BK12)</f>
        <v/>
      </c>
      <c r="BL13" s="11">
        <f>(1-Time!BL32)*(BL9-BL10+BL11-BL12)</f>
        <v/>
      </c>
      <c r="BM13" s="11">
        <f>(1-Time!BM32)*(BM9-BM10+BM11-BM12)</f>
        <v/>
      </c>
      <c r="BN13" s="11">
        <f>(1-Time!BN32)*(BN9-BN10+BN11-BN12)</f>
        <v/>
      </c>
    </row>
    <row r="14">
      <c r="D14" t="inlineStr">
        <is>
          <t>Handback reserve contribution</t>
        </is>
      </c>
      <c r="E14" t="inlineStr">
        <is>
          <t>USD m</t>
        </is>
      </c>
      <c r="G14" s="11">
        <f>SUM(J14:BN14)</f>
        <v/>
      </c>
      <c r="J14" s="11">
        <f>MIN(Waterfall!J14,Operations!J76)</f>
        <v/>
      </c>
      <c r="K14" s="11">
        <f>MIN(Waterfall!K14,Operations!K76)</f>
        <v/>
      </c>
      <c r="L14" s="11">
        <f>MIN(Waterfall!L14,Operations!L76)</f>
        <v/>
      </c>
      <c r="M14" s="11">
        <f>MIN(Waterfall!M14,Operations!M76)</f>
        <v/>
      </c>
      <c r="N14" s="11">
        <f>MIN(Waterfall!N14,Operations!N76)</f>
        <v/>
      </c>
      <c r="O14" s="11">
        <f>MIN(Waterfall!O14,Operations!O76)</f>
        <v/>
      </c>
      <c r="P14" s="11">
        <f>MIN(Waterfall!P14,Operations!P76)</f>
        <v/>
      </c>
      <c r="Q14" s="11">
        <f>MIN(Waterfall!Q14,Operations!Q76)</f>
        <v/>
      </c>
      <c r="R14" s="11">
        <f>MIN(Waterfall!R14,Operations!R76)</f>
        <v/>
      </c>
      <c r="S14" s="11">
        <f>MIN(Waterfall!S14,Operations!S76)</f>
        <v/>
      </c>
      <c r="T14" s="11">
        <f>MIN(Waterfall!T14,Operations!T76)</f>
        <v/>
      </c>
      <c r="U14" s="11">
        <f>MIN(Waterfall!U14,Operations!U76)</f>
        <v/>
      </c>
      <c r="V14" s="11">
        <f>MIN(Waterfall!V14,Operations!V76)</f>
        <v/>
      </c>
      <c r="W14" s="11">
        <f>MIN(Waterfall!W14,Operations!W76)</f>
        <v/>
      </c>
      <c r="X14" s="11">
        <f>MIN(Waterfall!X14,Operations!X76)</f>
        <v/>
      </c>
      <c r="Y14" s="11">
        <f>MIN(Waterfall!Y14,Operations!Y76)</f>
        <v/>
      </c>
      <c r="Z14" s="11">
        <f>MIN(Waterfall!Z14,Operations!Z76)</f>
        <v/>
      </c>
      <c r="AA14" s="11">
        <f>MIN(Waterfall!AA14,Operations!AA76)</f>
        <v/>
      </c>
      <c r="AB14" s="11">
        <f>MIN(Waterfall!AB14,Operations!AB76)</f>
        <v/>
      </c>
      <c r="AC14" s="11">
        <f>MIN(Waterfall!AC14,Operations!AC76)</f>
        <v/>
      </c>
      <c r="AD14" s="11">
        <f>MIN(Waterfall!AD14,Operations!AD76)</f>
        <v/>
      </c>
      <c r="AE14" s="11">
        <f>MIN(Waterfall!AE14,Operations!AE76)</f>
        <v/>
      </c>
      <c r="AF14" s="11">
        <f>MIN(Waterfall!AF14,Operations!AF76)</f>
        <v/>
      </c>
      <c r="AG14" s="11">
        <f>MIN(Waterfall!AG14,Operations!AG76)</f>
        <v/>
      </c>
      <c r="AH14" s="11">
        <f>MIN(Waterfall!AH14,Operations!AH76)</f>
        <v/>
      </c>
      <c r="AI14" s="11">
        <f>MIN(Waterfall!AI14,Operations!AI76)</f>
        <v/>
      </c>
      <c r="AJ14" s="11">
        <f>MIN(Waterfall!AJ14,Operations!AJ76)</f>
        <v/>
      </c>
      <c r="AK14" s="11">
        <f>MIN(Waterfall!AK14,Operations!AK76)</f>
        <v/>
      </c>
      <c r="AL14" s="11">
        <f>MIN(Waterfall!AL14,Operations!AL76)</f>
        <v/>
      </c>
      <c r="AM14" s="11">
        <f>MIN(Waterfall!AM14,Operations!AM76)</f>
        <v/>
      </c>
      <c r="AN14" s="11">
        <f>MIN(Waterfall!AN14,Operations!AN76)</f>
        <v/>
      </c>
      <c r="AO14" s="11">
        <f>MIN(Waterfall!AO14,Operations!AO76)</f>
        <v/>
      </c>
      <c r="AP14" s="11">
        <f>MIN(Waterfall!AP14,Operations!AP76)</f>
        <v/>
      </c>
      <c r="AQ14" s="11">
        <f>MIN(Waterfall!AQ14,Operations!AQ76)</f>
        <v/>
      </c>
      <c r="AR14" s="11">
        <f>MIN(Waterfall!AR14,Operations!AR76)</f>
        <v/>
      </c>
      <c r="AS14" s="11">
        <f>MIN(Waterfall!AS14,Operations!AS76)</f>
        <v/>
      </c>
      <c r="AT14" s="11">
        <f>MIN(Waterfall!AT14,Operations!AT76)</f>
        <v/>
      </c>
      <c r="AU14" s="11">
        <f>MIN(Waterfall!AU14,Operations!AU76)</f>
        <v/>
      </c>
      <c r="AV14" s="11">
        <f>MIN(Waterfall!AV14,Operations!AV76)</f>
        <v/>
      </c>
      <c r="AW14" s="11">
        <f>MIN(Waterfall!AW14,Operations!AW76)</f>
        <v/>
      </c>
      <c r="AX14" s="11">
        <f>MIN(Waterfall!AX14,Operations!AX76)</f>
        <v/>
      </c>
      <c r="AY14" s="11">
        <f>MIN(Waterfall!AY14,Operations!AY76)</f>
        <v/>
      </c>
      <c r="AZ14" s="11">
        <f>MIN(Waterfall!AZ14,Operations!AZ76)</f>
        <v/>
      </c>
      <c r="BA14" s="11">
        <f>MIN(Waterfall!BA14,Operations!BA76)</f>
        <v/>
      </c>
      <c r="BB14" s="11">
        <f>MIN(Waterfall!BB14,Operations!BB76)</f>
        <v/>
      </c>
      <c r="BC14" s="11">
        <f>MIN(Waterfall!BC14,Operations!BC76)</f>
        <v/>
      </c>
      <c r="BD14" s="11">
        <f>MIN(Waterfall!BD14,Operations!BD76)</f>
        <v/>
      </c>
      <c r="BE14" s="11">
        <f>MIN(Waterfall!BE14,Operations!BE76)</f>
        <v/>
      </c>
      <c r="BF14" s="11">
        <f>MIN(Waterfall!BF14,Operations!BF76)</f>
        <v/>
      </c>
      <c r="BG14" s="11">
        <f>MIN(Waterfall!BG14,Operations!BG76)</f>
        <v/>
      </c>
      <c r="BH14" s="11">
        <f>MIN(Waterfall!BH14,Operations!BH76)</f>
        <v/>
      </c>
      <c r="BI14" s="11">
        <f>MIN(Waterfall!BI14,Operations!BI76)</f>
        <v/>
      </c>
      <c r="BJ14" s="11">
        <f>MIN(Waterfall!BJ14,Operations!BJ76)</f>
        <v/>
      </c>
      <c r="BK14" s="11">
        <f>MIN(Waterfall!BK14,Operations!BK76)</f>
        <v/>
      </c>
      <c r="BL14" s="11">
        <f>MIN(Waterfall!BL14,Operations!BL76)</f>
        <v/>
      </c>
      <c r="BM14" s="11">
        <f>MIN(Waterfall!BM14,Operations!BM76)</f>
        <v/>
      </c>
      <c r="BN14" s="11">
        <f>MIN(Waterfall!BN14,Operations!BN76)</f>
        <v/>
      </c>
    </row>
    <row r="15">
      <c r="D15" t="inlineStr">
        <is>
          <t>Handback reserve release at expiry</t>
        </is>
      </c>
      <c r="E15" t="inlineStr">
        <is>
          <t>USD m</t>
        </is>
      </c>
      <c r="G15" s="11">
        <f>SUM(J15:BN15)</f>
        <v/>
      </c>
      <c r="J15" s="11">
        <f>Time!J32*(0+J14)</f>
        <v/>
      </c>
      <c r="K15" s="11">
        <f>Time!K32*(J16+K14)</f>
        <v/>
      </c>
      <c r="L15" s="11">
        <f>Time!L32*(K16+L14)</f>
        <v/>
      </c>
      <c r="M15" s="11">
        <f>Time!M32*(L16+M14)</f>
        <v/>
      </c>
      <c r="N15" s="11">
        <f>Time!N32*(M16+N14)</f>
        <v/>
      </c>
      <c r="O15" s="11">
        <f>Time!O32*(N16+O14)</f>
        <v/>
      </c>
      <c r="P15" s="11">
        <f>Time!P32*(O16+P14)</f>
        <v/>
      </c>
      <c r="Q15" s="11">
        <f>Time!Q32*(P16+Q14)</f>
        <v/>
      </c>
      <c r="R15" s="11">
        <f>Time!R32*(Q16+R14)</f>
        <v/>
      </c>
      <c r="S15" s="11">
        <f>Time!S32*(R16+S14)</f>
        <v/>
      </c>
      <c r="T15" s="11">
        <f>Time!T32*(S16+T14)</f>
        <v/>
      </c>
      <c r="U15" s="11">
        <f>Time!U32*(T16+U14)</f>
        <v/>
      </c>
      <c r="V15" s="11">
        <f>Time!V32*(U16+V14)</f>
        <v/>
      </c>
      <c r="W15" s="11">
        <f>Time!W32*(V16+W14)</f>
        <v/>
      </c>
      <c r="X15" s="11">
        <f>Time!X32*(W16+X14)</f>
        <v/>
      </c>
      <c r="Y15" s="11">
        <f>Time!Y32*(X16+Y14)</f>
        <v/>
      </c>
      <c r="Z15" s="11">
        <f>Time!Z32*(Y16+Z14)</f>
        <v/>
      </c>
      <c r="AA15" s="11">
        <f>Time!AA32*(Z16+AA14)</f>
        <v/>
      </c>
      <c r="AB15" s="11">
        <f>Time!AB32*(AA16+AB14)</f>
        <v/>
      </c>
      <c r="AC15" s="11">
        <f>Time!AC32*(AB16+AC14)</f>
        <v/>
      </c>
      <c r="AD15" s="11">
        <f>Time!AD32*(AC16+AD14)</f>
        <v/>
      </c>
      <c r="AE15" s="11">
        <f>Time!AE32*(AD16+AE14)</f>
        <v/>
      </c>
      <c r="AF15" s="11">
        <f>Time!AF32*(AE16+AF14)</f>
        <v/>
      </c>
      <c r="AG15" s="11">
        <f>Time!AG32*(AF16+AG14)</f>
        <v/>
      </c>
      <c r="AH15" s="11">
        <f>Time!AH32*(AG16+AH14)</f>
        <v/>
      </c>
      <c r="AI15" s="11">
        <f>Time!AI32*(AH16+AI14)</f>
        <v/>
      </c>
      <c r="AJ15" s="11">
        <f>Time!AJ32*(AI16+AJ14)</f>
        <v/>
      </c>
      <c r="AK15" s="11">
        <f>Time!AK32*(AJ16+AK14)</f>
        <v/>
      </c>
      <c r="AL15" s="11">
        <f>Time!AL32*(AK16+AL14)</f>
        <v/>
      </c>
      <c r="AM15" s="11">
        <f>Time!AM32*(AL16+AM14)</f>
        <v/>
      </c>
      <c r="AN15" s="11">
        <f>Time!AN32*(AM16+AN14)</f>
        <v/>
      </c>
      <c r="AO15" s="11">
        <f>Time!AO32*(AN16+AO14)</f>
        <v/>
      </c>
      <c r="AP15" s="11">
        <f>Time!AP32*(AO16+AP14)</f>
        <v/>
      </c>
      <c r="AQ15" s="11">
        <f>Time!AQ32*(AP16+AQ14)</f>
        <v/>
      </c>
      <c r="AR15" s="11">
        <f>Time!AR32*(AQ16+AR14)</f>
        <v/>
      </c>
      <c r="AS15" s="11">
        <f>Time!AS32*(AR16+AS14)</f>
        <v/>
      </c>
      <c r="AT15" s="11">
        <f>Time!AT32*(AS16+AT14)</f>
        <v/>
      </c>
      <c r="AU15" s="11">
        <f>Time!AU32*(AT16+AU14)</f>
        <v/>
      </c>
      <c r="AV15" s="11">
        <f>Time!AV32*(AU16+AV14)</f>
        <v/>
      </c>
      <c r="AW15" s="11">
        <f>Time!AW32*(AV16+AW14)</f>
        <v/>
      </c>
      <c r="AX15" s="11">
        <f>Time!AX32*(AW16+AX14)</f>
        <v/>
      </c>
      <c r="AY15" s="11">
        <f>Time!AY32*(AX16+AY14)</f>
        <v/>
      </c>
      <c r="AZ15" s="11">
        <f>Time!AZ32*(AY16+AZ14)</f>
        <v/>
      </c>
      <c r="BA15" s="11">
        <f>Time!BA32*(AZ16+BA14)</f>
        <v/>
      </c>
      <c r="BB15" s="11">
        <f>Time!BB32*(BA16+BB14)</f>
        <v/>
      </c>
      <c r="BC15" s="11">
        <f>Time!BC32*(BB16+BC14)</f>
        <v/>
      </c>
      <c r="BD15" s="11">
        <f>Time!BD32*(BC16+BD14)</f>
        <v/>
      </c>
      <c r="BE15" s="11">
        <f>Time!BE32*(BD16+BE14)</f>
        <v/>
      </c>
      <c r="BF15" s="11">
        <f>Time!BF32*(BE16+BF14)</f>
        <v/>
      </c>
      <c r="BG15" s="11">
        <f>Time!BG32*(BF16+BG14)</f>
        <v/>
      </c>
      <c r="BH15" s="11">
        <f>Time!BH32*(BG16+BH14)</f>
        <v/>
      </c>
      <c r="BI15" s="11">
        <f>Time!BI32*(BH16+BI14)</f>
        <v/>
      </c>
      <c r="BJ15" s="11">
        <f>Time!BJ32*(BI16+BJ14)</f>
        <v/>
      </c>
      <c r="BK15" s="11">
        <f>Time!BK32*(BJ16+BK14)</f>
        <v/>
      </c>
      <c r="BL15" s="11">
        <f>Time!BL32*(BK16+BL14)</f>
        <v/>
      </c>
      <c r="BM15" s="11">
        <f>Time!BM32*(BL16+BM14)</f>
        <v/>
      </c>
      <c r="BN15" s="11">
        <f>Time!BN32*(BM16+BN14)</f>
        <v/>
      </c>
    </row>
    <row r="16">
      <c r="D16" t="inlineStr">
        <is>
          <t>Handback reserve balance</t>
        </is>
      </c>
      <c r="E16" t="inlineStr">
        <is>
          <t>USD m</t>
        </is>
      </c>
      <c r="J16" s="11">
        <f>0+J14-J15</f>
        <v/>
      </c>
      <c r="K16" s="11">
        <f>J16+K14-K15</f>
        <v/>
      </c>
      <c r="L16" s="11">
        <f>K16+L14-L15</f>
        <v/>
      </c>
      <c r="M16" s="11">
        <f>L16+M14-M15</f>
        <v/>
      </c>
      <c r="N16" s="11">
        <f>M16+N14-N15</f>
        <v/>
      </c>
      <c r="O16" s="11">
        <f>N16+O14-O15</f>
        <v/>
      </c>
      <c r="P16" s="11">
        <f>O16+P14-P15</f>
        <v/>
      </c>
      <c r="Q16" s="11">
        <f>P16+Q14-Q15</f>
        <v/>
      </c>
      <c r="R16" s="11">
        <f>Q16+R14-R15</f>
        <v/>
      </c>
      <c r="S16" s="11">
        <f>R16+S14-S15</f>
        <v/>
      </c>
      <c r="T16" s="11">
        <f>S16+T14-T15</f>
        <v/>
      </c>
      <c r="U16" s="11">
        <f>T16+U14-U15</f>
        <v/>
      </c>
      <c r="V16" s="11">
        <f>U16+V14-V15</f>
        <v/>
      </c>
      <c r="W16" s="11">
        <f>V16+W14-W15</f>
        <v/>
      </c>
      <c r="X16" s="11">
        <f>W16+X14-X15</f>
        <v/>
      </c>
      <c r="Y16" s="11">
        <f>X16+Y14-Y15</f>
        <v/>
      </c>
      <c r="Z16" s="11">
        <f>Y16+Z14-Z15</f>
        <v/>
      </c>
      <c r="AA16" s="11">
        <f>Z16+AA14-AA15</f>
        <v/>
      </c>
      <c r="AB16" s="11">
        <f>AA16+AB14-AB15</f>
        <v/>
      </c>
      <c r="AC16" s="11">
        <f>AB16+AC14-AC15</f>
        <v/>
      </c>
      <c r="AD16" s="11">
        <f>AC16+AD14-AD15</f>
        <v/>
      </c>
      <c r="AE16" s="11">
        <f>AD16+AE14-AE15</f>
        <v/>
      </c>
      <c r="AF16" s="11">
        <f>AE16+AF14-AF15</f>
        <v/>
      </c>
      <c r="AG16" s="11">
        <f>AF16+AG14-AG15</f>
        <v/>
      </c>
      <c r="AH16" s="11">
        <f>AG16+AH14-AH15</f>
        <v/>
      </c>
      <c r="AI16" s="11">
        <f>AH16+AI14-AI15</f>
        <v/>
      </c>
      <c r="AJ16" s="11">
        <f>AI16+AJ14-AJ15</f>
        <v/>
      </c>
      <c r="AK16" s="11">
        <f>AJ16+AK14-AK15</f>
        <v/>
      </c>
      <c r="AL16" s="11">
        <f>AK16+AL14-AL15</f>
        <v/>
      </c>
      <c r="AM16" s="11">
        <f>AL16+AM14-AM15</f>
        <v/>
      </c>
      <c r="AN16" s="11">
        <f>AM16+AN14-AN15</f>
        <v/>
      </c>
      <c r="AO16" s="11">
        <f>AN16+AO14-AO15</f>
        <v/>
      </c>
      <c r="AP16" s="11">
        <f>AO16+AP14-AP15</f>
        <v/>
      </c>
      <c r="AQ16" s="11">
        <f>AP16+AQ14-AQ15</f>
        <v/>
      </c>
      <c r="AR16" s="11">
        <f>AQ16+AR14-AR15</f>
        <v/>
      </c>
      <c r="AS16" s="11">
        <f>AR16+AS14-AS15</f>
        <v/>
      </c>
      <c r="AT16" s="11">
        <f>AS16+AT14-AT15</f>
        <v/>
      </c>
      <c r="AU16" s="11">
        <f>AT16+AU14-AU15</f>
        <v/>
      </c>
      <c r="AV16" s="11">
        <f>AU16+AV14-AV15</f>
        <v/>
      </c>
      <c r="AW16" s="11">
        <f>AV16+AW14-AW15</f>
        <v/>
      </c>
      <c r="AX16" s="11">
        <f>AW16+AX14-AX15</f>
        <v/>
      </c>
      <c r="AY16" s="11">
        <f>AX16+AY14-AY15</f>
        <v/>
      </c>
      <c r="AZ16" s="11">
        <f>AY16+AZ14-AZ15</f>
        <v/>
      </c>
      <c r="BA16" s="11">
        <f>AZ16+BA14-BA15</f>
        <v/>
      </c>
      <c r="BB16" s="11">
        <f>BA16+BB14-BB15</f>
        <v/>
      </c>
      <c r="BC16" s="11">
        <f>BB16+BC14-BC15</f>
        <v/>
      </c>
      <c r="BD16" s="11">
        <f>BC16+BD14-BD15</f>
        <v/>
      </c>
      <c r="BE16" s="11">
        <f>BD16+BE14-BE15</f>
        <v/>
      </c>
      <c r="BF16" s="11">
        <f>BE16+BF14-BF15</f>
        <v/>
      </c>
      <c r="BG16" s="11">
        <f>BF16+BG14-BG15</f>
        <v/>
      </c>
      <c r="BH16" s="11">
        <f>BG16+BH14-BH15</f>
        <v/>
      </c>
      <c r="BI16" s="11">
        <f>BH16+BI14-BI15</f>
        <v/>
      </c>
      <c r="BJ16" s="11">
        <f>BI16+BJ14-BJ15</f>
        <v/>
      </c>
      <c r="BK16" s="11">
        <f>BJ16+BK14-BK15</f>
        <v/>
      </c>
      <c r="BL16" s="11">
        <f>BK16+BL14-BL15</f>
        <v/>
      </c>
      <c r="BM16" s="11">
        <f>BL16+BM14-BM15</f>
        <v/>
      </c>
      <c r="BN16" s="11">
        <f>BM16+BN14-BN15</f>
        <v/>
      </c>
    </row>
    <row r="17">
      <c r="D17" t="inlineStr">
        <is>
          <t>Compensation Account (performance LDs held)</t>
        </is>
      </c>
      <c r="E17" t="inlineStr">
        <is>
          <t>USD m</t>
        </is>
      </c>
      <c r="J17" s="11">
        <f>Inputs!$F$47*IF(AND(Time!J17&gt;=Time!$F$11,Time!J17&lt;8),Inputs!$F$188,0)</f>
        <v/>
      </c>
      <c r="K17" s="11">
        <f>Inputs!$F$47*IF(AND(Time!K17&gt;=Time!$F$11,Time!K17&lt;8),Inputs!$F$188,0)</f>
        <v/>
      </c>
      <c r="L17" s="11">
        <f>Inputs!$F$47*IF(AND(Time!L17&gt;=Time!$F$11,Time!L17&lt;8),Inputs!$F$188,0)</f>
        <v/>
      </c>
      <c r="M17" s="11">
        <f>Inputs!$F$47*IF(AND(Time!M17&gt;=Time!$F$11,Time!M17&lt;8),Inputs!$F$188,0)</f>
        <v/>
      </c>
      <c r="N17" s="11">
        <f>Inputs!$F$47*IF(AND(Time!N17&gt;=Time!$F$11,Time!N17&lt;8),Inputs!$F$188,0)</f>
        <v/>
      </c>
      <c r="O17" s="11">
        <f>Inputs!$F$47*IF(AND(Time!O17&gt;=Time!$F$11,Time!O17&lt;8),Inputs!$F$188,0)</f>
        <v/>
      </c>
      <c r="P17" s="11">
        <f>Inputs!$F$47*IF(AND(Time!P17&gt;=Time!$F$11,Time!P17&lt;8),Inputs!$F$188,0)</f>
        <v/>
      </c>
      <c r="Q17" s="11">
        <f>Inputs!$F$47*IF(AND(Time!Q17&gt;=Time!$F$11,Time!Q17&lt;8),Inputs!$F$188,0)</f>
        <v/>
      </c>
      <c r="R17" s="11">
        <f>Inputs!$F$47*IF(AND(Time!R17&gt;=Time!$F$11,Time!R17&lt;8),Inputs!$F$188,0)</f>
        <v/>
      </c>
      <c r="S17" s="11">
        <f>Inputs!$F$47*IF(AND(Time!S17&gt;=Time!$F$11,Time!S17&lt;8),Inputs!$F$188,0)</f>
        <v/>
      </c>
      <c r="T17" s="11">
        <f>Inputs!$F$47*IF(AND(Time!T17&gt;=Time!$F$11,Time!T17&lt;8),Inputs!$F$188,0)</f>
        <v/>
      </c>
      <c r="U17" s="11">
        <f>Inputs!$F$47*IF(AND(Time!U17&gt;=Time!$F$11,Time!U17&lt;8),Inputs!$F$188,0)</f>
        <v/>
      </c>
      <c r="V17" s="11">
        <f>Inputs!$F$47*IF(AND(Time!V17&gt;=Time!$F$11,Time!V17&lt;8),Inputs!$F$188,0)</f>
        <v/>
      </c>
      <c r="W17" s="11">
        <f>Inputs!$F$47*IF(AND(Time!W17&gt;=Time!$F$11,Time!W17&lt;8),Inputs!$F$188,0)</f>
        <v/>
      </c>
      <c r="X17" s="11">
        <f>Inputs!$F$47*IF(AND(Time!X17&gt;=Time!$F$11,Time!X17&lt;8),Inputs!$F$188,0)</f>
        <v/>
      </c>
      <c r="Y17" s="11">
        <f>Inputs!$F$47*IF(AND(Time!Y17&gt;=Time!$F$11,Time!Y17&lt;8),Inputs!$F$188,0)</f>
        <v/>
      </c>
      <c r="Z17" s="11">
        <f>Inputs!$F$47*IF(AND(Time!Z17&gt;=Time!$F$11,Time!Z17&lt;8),Inputs!$F$188,0)</f>
        <v/>
      </c>
      <c r="AA17" s="11">
        <f>Inputs!$F$47*IF(AND(Time!AA17&gt;=Time!$F$11,Time!AA17&lt;8),Inputs!$F$188,0)</f>
        <v/>
      </c>
      <c r="AB17" s="11">
        <f>Inputs!$F$47*IF(AND(Time!AB17&gt;=Time!$F$11,Time!AB17&lt;8),Inputs!$F$188,0)</f>
        <v/>
      </c>
      <c r="AC17" s="11">
        <f>Inputs!$F$47*IF(AND(Time!AC17&gt;=Time!$F$11,Time!AC17&lt;8),Inputs!$F$188,0)</f>
        <v/>
      </c>
      <c r="AD17" s="11">
        <f>Inputs!$F$47*IF(AND(Time!AD17&gt;=Time!$F$11,Time!AD17&lt;8),Inputs!$F$188,0)</f>
        <v/>
      </c>
      <c r="AE17" s="11">
        <f>Inputs!$F$47*IF(AND(Time!AE17&gt;=Time!$F$11,Time!AE17&lt;8),Inputs!$F$188,0)</f>
        <v/>
      </c>
      <c r="AF17" s="11">
        <f>Inputs!$F$47*IF(AND(Time!AF17&gt;=Time!$F$11,Time!AF17&lt;8),Inputs!$F$188,0)</f>
        <v/>
      </c>
      <c r="AG17" s="11">
        <f>Inputs!$F$47*IF(AND(Time!AG17&gt;=Time!$F$11,Time!AG17&lt;8),Inputs!$F$188,0)</f>
        <v/>
      </c>
      <c r="AH17" s="11">
        <f>Inputs!$F$47*IF(AND(Time!AH17&gt;=Time!$F$11,Time!AH17&lt;8),Inputs!$F$188,0)</f>
        <v/>
      </c>
      <c r="AI17" s="11">
        <f>Inputs!$F$47*IF(AND(Time!AI17&gt;=Time!$F$11,Time!AI17&lt;8),Inputs!$F$188,0)</f>
        <v/>
      </c>
      <c r="AJ17" s="11">
        <f>Inputs!$F$47*IF(AND(Time!AJ17&gt;=Time!$F$11,Time!AJ17&lt;8),Inputs!$F$188,0)</f>
        <v/>
      </c>
      <c r="AK17" s="11">
        <f>Inputs!$F$47*IF(AND(Time!AK17&gt;=Time!$F$11,Time!AK17&lt;8),Inputs!$F$188,0)</f>
        <v/>
      </c>
      <c r="AL17" s="11">
        <f>Inputs!$F$47*IF(AND(Time!AL17&gt;=Time!$F$11,Time!AL17&lt;8),Inputs!$F$188,0)</f>
        <v/>
      </c>
      <c r="AM17" s="11">
        <f>Inputs!$F$47*IF(AND(Time!AM17&gt;=Time!$F$11,Time!AM17&lt;8),Inputs!$F$188,0)</f>
        <v/>
      </c>
      <c r="AN17" s="11">
        <f>Inputs!$F$47*IF(AND(Time!AN17&gt;=Time!$F$11,Time!AN17&lt;8),Inputs!$F$188,0)</f>
        <v/>
      </c>
      <c r="AO17" s="11">
        <f>Inputs!$F$47*IF(AND(Time!AO17&gt;=Time!$F$11,Time!AO17&lt;8),Inputs!$F$188,0)</f>
        <v/>
      </c>
      <c r="AP17" s="11">
        <f>Inputs!$F$47*IF(AND(Time!AP17&gt;=Time!$F$11,Time!AP17&lt;8),Inputs!$F$188,0)</f>
        <v/>
      </c>
      <c r="AQ17" s="11">
        <f>Inputs!$F$47*IF(AND(Time!AQ17&gt;=Time!$F$11,Time!AQ17&lt;8),Inputs!$F$188,0)</f>
        <v/>
      </c>
      <c r="AR17" s="11">
        <f>Inputs!$F$47*IF(AND(Time!AR17&gt;=Time!$F$11,Time!AR17&lt;8),Inputs!$F$188,0)</f>
        <v/>
      </c>
      <c r="AS17" s="11">
        <f>Inputs!$F$47*IF(AND(Time!AS17&gt;=Time!$F$11,Time!AS17&lt;8),Inputs!$F$188,0)</f>
        <v/>
      </c>
      <c r="AT17" s="11">
        <f>Inputs!$F$47*IF(AND(Time!AT17&gt;=Time!$F$11,Time!AT17&lt;8),Inputs!$F$188,0)</f>
        <v/>
      </c>
      <c r="AU17" s="11">
        <f>Inputs!$F$47*IF(AND(Time!AU17&gt;=Time!$F$11,Time!AU17&lt;8),Inputs!$F$188,0)</f>
        <v/>
      </c>
      <c r="AV17" s="11">
        <f>Inputs!$F$47*IF(AND(Time!AV17&gt;=Time!$F$11,Time!AV17&lt;8),Inputs!$F$188,0)</f>
        <v/>
      </c>
      <c r="AW17" s="11">
        <f>Inputs!$F$47*IF(AND(Time!AW17&gt;=Time!$F$11,Time!AW17&lt;8),Inputs!$F$188,0)</f>
        <v/>
      </c>
      <c r="AX17" s="11">
        <f>Inputs!$F$47*IF(AND(Time!AX17&gt;=Time!$F$11,Time!AX17&lt;8),Inputs!$F$188,0)</f>
        <v/>
      </c>
      <c r="AY17" s="11">
        <f>Inputs!$F$47*IF(AND(Time!AY17&gt;=Time!$F$11,Time!AY17&lt;8),Inputs!$F$188,0)</f>
        <v/>
      </c>
      <c r="AZ17" s="11">
        <f>Inputs!$F$47*IF(AND(Time!AZ17&gt;=Time!$F$11,Time!AZ17&lt;8),Inputs!$F$188,0)</f>
        <v/>
      </c>
      <c r="BA17" s="11">
        <f>Inputs!$F$47*IF(AND(Time!BA17&gt;=Time!$F$11,Time!BA17&lt;8),Inputs!$F$188,0)</f>
        <v/>
      </c>
      <c r="BB17" s="11">
        <f>Inputs!$F$47*IF(AND(Time!BB17&gt;=Time!$F$11,Time!BB17&lt;8),Inputs!$F$188,0)</f>
        <v/>
      </c>
      <c r="BC17" s="11">
        <f>Inputs!$F$47*IF(AND(Time!BC17&gt;=Time!$F$11,Time!BC17&lt;8),Inputs!$F$188,0)</f>
        <v/>
      </c>
      <c r="BD17" s="11">
        <f>Inputs!$F$47*IF(AND(Time!BD17&gt;=Time!$F$11,Time!BD17&lt;8),Inputs!$F$188,0)</f>
        <v/>
      </c>
      <c r="BE17" s="11">
        <f>Inputs!$F$47*IF(AND(Time!BE17&gt;=Time!$F$11,Time!BE17&lt;8),Inputs!$F$188,0)</f>
        <v/>
      </c>
      <c r="BF17" s="11">
        <f>Inputs!$F$47*IF(AND(Time!BF17&gt;=Time!$F$11,Time!BF17&lt;8),Inputs!$F$188,0)</f>
        <v/>
      </c>
      <c r="BG17" s="11">
        <f>Inputs!$F$47*IF(AND(Time!BG17&gt;=Time!$F$11,Time!BG17&lt;8),Inputs!$F$188,0)</f>
        <v/>
      </c>
      <c r="BH17" s="11">
        <f>Inputs!$F$47*IF(AND(Time!BH17&gt;=Time!$F$11,Time!BH17&lt;8),Inputs!$F$188,0)</f>
        <v/>
      </c>
      <c r="BI17" s="11">
        <f>Inputs!$F$47*IF(AND(Time!BI17&gt;=Time!$F$11,Time!BI17&lt;8),Inputs!$F$188,0)</f>
        <v/>
      </c>
      <c r="BJ17" s="11">
        <f>Inputs!$F$47*IF(AND(Time!BJ17&gt;=Time!$F$11,Time!BJ17&lt;8),Inputs!$F$188,0)</f>
        <v/>
      </c>
      <c r="BK17" s="11">
        <f>Inputs!$F$47*IF(AND(Time!BK17&gt;=Time!$F$11,Time!BK17&lt;8),Inputs!$F$188,0)</f>
        <v/>
      </c>
      <c r="BL17" s="11">
        <f>Inputs!$F$47*IF(AND(Time!BL17&gt;=Time!$F$11,Time!BL17&lt;8),Inputs!$F$188,0)</f>
        <v/>
      </c>
      <c r="BM17" s="11">
        <f>Inputs!$F$47*IF(AND(Time!BM17&gt;=Time!$F$11,Time!BM17&lt;8),Inputs!$F$188,0)</f>
        <v/>
      </c>
      <c r="BN17" s="11">
        <f>Inputs!$F$47*IF(AND(Time!BN17&gt;=Time!$F$11,Time!BN17&lt;8),Inputs!$F$188,0)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N44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Waterfall: CFADS, debt service, reserves, tests, sweeps, distributions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CFADS</t>
        </is>
      </c>
      <c r="E7" t="inlineStr">
        <is>
          <t>USD m</t>
        </is>
      </c>
      <c r="G7" s="11">
        <f>SUM(J7:BN7)</f>
        <v/>
      </c>
      <c r="J7" s="11">
        <f>Operations!J79-Tax!J27-Operations!J91-Reserves!J7+Operations!J74+Operations!J92</f>
        <v/>
      </c>
      <c r="K7" s="11">
        <f>Operations!K79-Tax!K27-Operations!K91-Reserves!K7+Operations!K74+Operations!K92</f>
        <v/>
      </c>
      <c r="L7" s="11">
        <f>Operations!L79-Tax!L27-Operations!L91-Reserves!L7+Operations!L74+Operations!L92</f>
        <v/>
      </c>
      <c r="M7" s="11">
        <f>Operations!M79-Tax!M27-Operations!M91-Reserves!M7+Operations!M74+Operations!M92</f>
        <v/>
      </c>
      <c r="N7" s="11">
        <f>Operations!N79-Tax!N27-Operations!N91-Reserves!N7+Operations!N74+Operations!N92</f>
        <v/>
      </c>
      <c r="O7" s="11">
        <f>Operations!O79-Tax!O27-Operations!O91-Reserves!O7+Operations!O74+Operations!O92</f>
        <v/>
      </c>
      <c r="P7" s="11">
        <f>Operations!P79-Tax!P27-Operations!P91-Reserves!P7+Operations!P74+Operations!P92</f>
        <v/>
      </c>
      <c r="Q7" s="11">
        <f>Operations!Q79-Tax!Q27-Operations!Q91-Reserves!Q7+Operations!Q74+Operations!Q92</f>
        <v/>
      </c>
      <c r="R7" s="11">
        <f>Operations!R79-Tax!R27-Operations!R91-Reserves!R7+Operations!R74+Operations!R92</f>
        <v/>
      </c>
      <c r="S7" s="11">
        <f>Operations!S79-Tax!S27-Operations!S91-Reserves!S7+Operations!S74+Operations!S92</f>
        <v/>
      </c>
      <c r="T7" s="11">
        <f>Operations!T79-Tax!T27-Operations!T91-Reserves!T7+Operations!T74+Operations!T92</f>
        <v/>
      </c>
      <c r="U7" s="11">
        <f>Operations!U79-Tax!U27-Operations!U91-Reserves!U7+Operations!U74+Operations!U92</f>
        <v/>
      </c>
      <c r="V7" s="11">
        <f>Operations!V79-Tax!V27-Operations!V91-Reserves!V7+Operations!V74+Operations!V92</f>
        <v/>
      </c>
      <c r="W7" s="11">
        <f>Operations!W79-Tax!W27-Operations!W91-Reserves!W7+Operations!W74+Operations!W92</f>
        <v/>
      </c>
      <c r="X7" s="11">
        <f>Operations!X79-Tax!X27-Operations!X91-Reserves!X7+Operations!X74+Operations!X92</f>
        <v/>
      </c>
      <c r="Y7" s="11">
        <f>Operations!Y79-Tax!Y27-Operations!Y91-Reserves!Y7+Operations!Y74+Operations!Y92</f>
        <v/>
      </c>
      <c r="Z7" s="11">
        <f>Operations!Z79-Tax!Z27-Operations!Z91-Reserves!Z7+Operations!Z74+Operations!Z92</f>
        <v/>
      </c>
      <c r="AA7" s="11">
        <f>Operations!AA79-Tax!AA27-Operations!AA91-Reserves!AA7+Operations!AA74+Operations!AA92</f>
        <v/>
      </c>
      <c r="AB7" s="11">
        <f>Operations!AB79-Tax!AB27-Operations!AB91-Reserves!AB7+Operations!AB74+Operations!AB92</f>
        <v/>
      </c>
      <c r="AC7" s="11">
        <f>Operations!AC79-Tax!AC27-Operations!AC91-Reserves!AC7+Operations!AC74+Operations!AC92</f>
        <v/>
      </c>
      <c r="AD7" s="11">
        <f>Operations!AD79-Tax!AD27-Operations!AD91-Reserves!AD7+Operations!AD74+Operations!AD92</f>
        <v/>
      </c>
      <c r="AE7" s="11">
        <f>Operations!AE79-Tax!AE27-Operations!AE91-Reserves!AE7+Operations!AE74+Operations!AE92</f>
        <v/>
      </c>
      <c r="AF7" s="11">
        <f>Operations!AF79-Tax!AF27-Operations!AF91-Reserves!AF7+Operations!AF74+Operations!AF92</f>
        <v/>
      </c>
      <c r="AG7" s="11">
        <f>Operations!AG79-Tax!AG27-Operations!AG91-Reserves!AG7+Operations!AG74+Operations!AG92</f>
        <v/>
      </c>
      <c r="AH7" s="11">
        <f>Operations!AH79-Tax!AH27-Operations!AH91-Reserves!AH7+Operations!AH74+Operations!AH92</f>
        <v/>
      </c>
      <c r="AI7" s="11">
        <f>Operations!AI79-Tax!AI27-Operations!AI91-Reserves!AI7+Operations!AI74+Operations!AI92</f>
        <v/>
      </c>
      <c r="AJ7" s="11">
        <f>Operations!AJ79-Tax!AJ27-Operations!AJ91-Reserves!AJ7+Operations!AJ74+Operations!AJ92</f>
        <v/>
      </c>
      <c r="AK7" s="11">
        <f>Operations!AK79-Tax!AK27-Operations!AK91-Reserves!AK7+Operations!AK74+Operations!AK92</f>
        <v/>
      </c>
      <c r="AL7" s="11">
        <f>Operations!AL79-Tax!AL27-Operations!AL91-Reserves!AL7+Operations!AL74+Operations!AL92</f>
        <v/>
      </c>
      <c r="AM7" s="11">
        <f>Operations!AM79-Tax!AM27-Operations!AM91-Reserves!AM7+Operations!AM74+Operations!AM92</f>
        <v/>
      </c>
      <c r="AN7" s="11">
        <f>Operations!AN79-Tax!AN27-Operations!AN91-Reserves!AN7+Operations!AN74+Operations!AN92</f>
        <v/>
      </c>
      <c r="AO7" s="11">
        <f>Operations!AO79-Tax!AO27-Operations!AO91-Reserves!AO7+Operations!AO74+Operations!AO92</f>
        <v/>
      </c>
      <c r="AP7" s="11">
        <f>Operations!AP79-Tax!AP27-Operations!AP91-Reserves!AP7+Operations!AP74+Operations!AP92</f>
        <v/>
      </c>
      <c r="AQ7" s="11">
        <f>Operations!AQ79-Tax!AQ27-Operations!AQ91-Reserves!AQ7+Operations!AQ74+Operations!AQ92</f>
        <v/>
      </c>
      <c r="AR7" s="11">
        <f>Operations!AR79-Tax!AR27-Operations!AR91-Reserves!AR7+Operations!AR74+Operations!AR92</f>
        <v/>
      </c>
      <c r="AS7" s="11">
        <f>Operations!AS79-Tax!AS27-Operations!AS91-Reserves!AS7+Operations!AS74+Operations!AS92</f>
        <v/>
      </c>
      <c r="AT7" s="11">
        <f>Operations!AT79-Tax!AT27-Operations!AT91-Reserves!AT7+Operations!AT74+Operations!AT92</f>
        <v/>
      </c>
      <c r="AU7" s="11">
        <f>Operations!AU79-Tax!AU27-Operations!AU91-Reserves!AU7+Operations!AU74+Operations!AU92</f>
        <v/>
      </c>
      <c r="AV7" s="11">
        <f>Operations!AV79-Tax!AV27-Operations!AV91-Reserves!AV7+Operations!AV74+Operations!AV92</f>
        <v/>
      </c>
      <c r="AW7" s="11">
        <f>Operations!AW79-Tax!AW27-Operations!AW91-Reserves!AW7+Operations!AW74+Operations!AW92</f>
        <v/>
      </c>
      <c r="AX7" s="11">
        <f>Operations!AX79-Tax!AX27-Operations!AX91-Reserves!AX7+Operations!AX74+Operations!AX92</f>
        <v/>
      </c>
      <c r="AY7" s="11">
        <f>Operations!AY79-Tax!AY27-Operations!AY91-Reserves!AY7+Operations!AY74+Operations!AY92</f>
        <v/>
      </c>
      <c r="AZ7" s="11">
        <f>Operations!AZ79-Tax!AZ27-Operations!AZ91-Reserves!AZ7+Operations!AZ74+Operations!AZ92</f>
        <v/>
      </c>
      <c r="BA7" s="11">
        <f>Operations!BA79-Tax!BA27-Operations!BA91-Reserves!BA7+Operations!BA74+Operations!BA92</f>
        <v/>
      </c>
      <c r="BB7" s="11">
        <f>Operations!BB79-Tax!BB27-Operations!BB91-Reserves!BB7+Operations!BB74+Operations!BB92</f>
        <v/>
      </c>
      <c r="BC7" s="11">
        <f>Operations!BC79-Tax!BC27-Operations!BC91-Reserves!BC7+Operations!BC74+Operations!BC92</f>
        <v/>
      </c>
      <c r="BD7" s="11">
        <f>Operations!BD79-Tax!BD27-Operations!BD91-Reserves!BD7+Operations!BD74+Operations!BD92</f>
        <v/>
      </c>
      <c r="BE7" s="11">
        <f>Operations!BE79-Tax!BE27-Operations!BE91-Reserves!BE7+Operations!BE74+Operations!BE92</f>
        <v/>
      </c>
      <c r="BF7" s="11">
        <f>Operations!BF79-Tax!BF27-Operations!BF91-Reserves!BF7+Operations!BF74+Operations!BF92</f>
        <v/>
      </c>
      <c r="BG7" s="11">
        <f>Operations!BG79-Tax!BG27-Operations!BG91-Reserves!BG7+Operations!BG74+Operations!BG92</f>
        <v/>
      </c>
      <c r="BH7" s="11">
        <f>Operations!BH79-Tax!BH27-Operations!BH91-Reserves!BH7+Operations!BH74+Operations!BH92</f>
        <v/>
      </c>
      <c r="BI7" s="11">
        <f>Operations!BI79-Tax!BI27-Operations!BI91-Reserves!BI7+Operations!BI74+Operations!BI92</f>
        <v/>
      </c>
      <c r="BJ7" s="11">
        <f>Operations!BJ79-Tax!BJ27-Operations!BJ91-Reserves!BJ7+Operations!BJ74+Operations!BJ92</f>
        <v/>
      </c>
      <c r="BK7" s="11">
        <f>Operations!BK79-Tax!BK27-Operations!BK91-Reserves!BK7+Operations!BK74+Operations!BK92</f>
        <v/>
      </c>
      <c r="BL7" s="11">
        <f>Operations!BL79-Tax!BL27-Operations!BL91-Reserves!BL7+Operations!BL74+Operations!BL92</f>
        <v/>
      </c>
      <c r="BM7" s="11">
        <f>Operations!BM79-Tax!BM27-Operations!BM91-Reserves!BM7+Operations!BM74+Operations!BM92</f>
        <v/>
      </c>
      <c r="BN7" s="11">
        <f>Operations!BN79-Tax!BN27-Operations!BN91-Reserves!BN7+Operations!BN74+Operations!BN92</f>
        <v/>
      </c>
    </row>
    <row r="8">
      <c r="D8" t="inlineStr">
        <is>
          <t>Cash brought forward (lock-up and trapped cash)</t>
        </is>
      </c>
      <c r="E8" t="inlineStr">
        <is>
          <t>USD m</t>
        </is>
      </c>
      <c r="J8" s="11">
        <f>IF(Time!J29=1,INDEX(Funding!$J$54:$BJ$54,1,Time!$F$13),0)+0+0</f>
        <v/>
      </c>
      <c r="K8" s="11">
        <f>IF(Time!K29=1,INDEX(Funding!$J$54:$BJ$54,1,Time!$F$13),0)+J30+J42</f>
        <v/>
      </c>
      <c r="L8" s="11">
        <f>IF(Time!L29=1,INDEX(Funding!$J$54:$BJ$54,1,Time!$F$13),0)+K30+K42</f>
        <v/>
      </c>
      <c r="M8" s="11">
        <f>IF(Time!M29=1,INDEX(Funding!$J$54:$BJ$54,1,Time!$F$13),0)+L30+L42</f>
        <v/>
      </c>
      <c r="N8" s="11">
        <f>IF(Time!N29=1,INDEX(Funding!$J$54:$BJ$54,1,Time!$F$13),0)+M30+M42</f>
        <v/>
      </c>
      <c r="O8" s="11">
        <f>IF(Time!O29=1,INDEX(Funding!$J$54:$BJ$54,1,Time!$F$13),0)+N30+N42</f>
        <v/>
      </c>
      <c r="P8" s="11">
        <f>IF(Time!P29=1,INDEX(Funding!$J$54:$BJ$54,1,Time!$F$13),0)+O30+O42</f>
        <v/>
      </c>
      <c r="Q8" s="11">
        <f>IF(Time!Q29=1,INDEX(Funding!$J$54:$BJ$54,1,Time!$F$13),0)+P30+P42</f>
        <v/>
      </c>
      <c r="R8" s="11">
        <f>IF(Time!R29=1,INDEX(Funding!$J$54:$BJ$54,1,Time!$F$13),0)+Q30+Q42</f>
        <v/>
      </c>
      <c r="S8" s="11">
        <f>IF(Time!S29=1,INDEX(Funding!$J$54:$BJ$54,1,Time!$F$13),0)+R30+R42</f>
        <v/>
      </c>
      <c r="T8" s="11">
        <f>IF(Time!T29=1,INDEX(Funding!$J$54:$BJ$54,1,Time!$F$13),0)+S30+S42</f>
        <v/>
      </c>
      <c r="U8" s="11">
        <f>IF(Time!U29=1,INDEX(Funding!$J$54:$BJ$54,1,Time!$F$13),0)+T30+T42</f>
        <v/>
      </c>
      <c r="V8" s="11">
        <f>IF(Time!V29=1,INDEX(Funding!$J$54:$BJ$54,1,Time!$F$13),0)+U30+U42</f>
        <v/>
      </c>
      <c r="W8" s="11">
        <f>IF(Time!W29=1,INDEX(Funding!$J$54:$BJ$54,1,Time!$F$13),0)+V30+V42</f>
        <v/>
      </c>
      <c r="X8" s="11">
        <f>IF(Time!X29=1,INDEX(Funding!$J$54:$BJ$54,1,Time!$F$13),0)+W30+W42</f>
        <v/>
      </c>
      <c r="Y8" s="11">
        <f>IF(Time!Y29=1,INDEX(Funding!$J$54:$BJ$54,1,Time!$F$13),0)+X30+X42</f>
        <v/>
      </c>
      <c r="Z8" s="11">
        <f>IF(Time!Z29=1,INDEX(Funding!$J$54:$BJ$54,1,Time!$F$13),0)+Y30+Y42</f>
        <v/>
      </c>
      <c r="AA8" s="11">
        <f>IF(Time!AA29=1,INDEX(Funding!$J$54:$BJ$54,1,Time!$F$13),0)+Z30+Z42</f>
        <v/>
      </c>
      <c r="AB8" s="11">
        <f>IF(Time!AB29=1,INDEX(Funding!$J$54:$BJ$54,1,Time!$F$13),0)+AA30+AA42</f>
        <v/>
      </c>
      <c r="AC8" s="11">
        <f>IF(Time!AC29=1,INDEX(Funding!$J$54:$BJ$54,1,Time!$F$13),0)+AB30+AB42</f>
        <v/>
      </c>
      <c r="AD8" s="11">
        <f>IF(Time!AD29=1,INDEX(Funding!$J$54:$BJ$54,1,Time!$F$13),0)+AC30+AC42</f>
        <v/>
      </c>
      <c r="AE8" s="11">
        <f>IF(Time!AE29=1,INDEX(Funding!$J$54:$BJ$54,1,Time!$F$13),0)+AD30+AD42</f>
        <v/>
      </c>
      <c r="AF8" s="11">
        <f>IF(Time!AF29=1,INDEX(Funding!$J$54:$BJ$54,1,Time!$F$13),0)+AE30+AE42</f>
        <v/>
      </c>
      <c r="AG8" s="11">
        <f>IF(Time!AG29=1,INDEX(Funding!$J$54:$BJ$54,1,Time!$F$13),0)+AF30+AF42</f>
        <v/>
      </c>
      <c r="AH8" s="11">
        <f>IF(Time!AH29=1,INDEX(Funding!$J$54:$BJ$54,1,Time!$F$13),0)+AG30+AG42</f>
        <v/>
      </c>
      <c r="AI8" s="11">
        <f>IF(Time!AI29=1,INDEX(Funding!$J$54:$BJ$54,1,Time!$F$13),0)+AH30+AH42</f>
        <v/>
      </c>
      <c r="AJ8" s="11">
        <f>IF(Time!AJ29=1,INDEX(Funding!$J$54:$BJ$54,1,Time!$F$13),0)+AI30+AI42</f>
        <v/>
      </c>
      <c r="AK8" s="11">
        <f>IF(Time!AK29=1,INDEX(Funding!$J$54:$BJ$54,1,Time!$F$13),0)+AJ30+AJ42</f>
        <v/>
      </c>
      <c r="AL8" s="11">
        <f>IF(Time!AL29=1,INDEX(Funding!$J$54:$BJ$54,1,Time!$F$13),0)+AK30+AK42</f>
        <v/>
      </c>
      <c r="AM8" s="11">
        <f>IF(Time!AM29=1,INDEX(Funding!$J$54:$BJ$54,1,Time!$F$13),0)+AL30+AL42</f>
        <v/>
      </c>
      <c r="AN8" s="11">
        <f>IF(Time!AN29=1,INDEX(Funding!$J$54:$BJ$54,1,Time!$F$13),0)+AM30+AM42</f>
        <v/>
      </c>
      <c r="AO8" s="11">
        <f>IF(Time!AO29=1,INDEX(Funding!$J$54:$BJ$54,1,Time!$F$13),0)+AN30+AN42</f>
        <v/>
      </c>
      <c r="AP8" s="11">
        <f>IF(Time!AP29=1,INDEX(Funding!$J$54:$BJ$54,1,Time!$F$13),0)+AO30+AO42</f>
        <v/>
      </c>
      <c r="AQ8" s="11">
        <f>IF(Time!AQ29=1,INDEX(Funding!$J$54:$BJ$54,1,Time!$F$13),0)+AP30+AP42</f>
        <v/>
      </c>
      <c r="AR8" s="11">
        <f>IF(Time!AR29=1,INDEX(Funding!$J$54:$BJ$54,1,Time!$F$13),0)+AQ30+AQ42</f>
        <v/>
      </c>
      <c r="AS8" s="11">
        <f>IF(Time!AS29=1,INDEX(Funding!$J$54:$BJ$54,1,Time!$F$13),0)+AR30+AR42</f>
        <v/>
      </c>
      <c r="AT8" s="11">
        <f>IF(Time!AT29=1,INDEX(Funding!$J$54:$BJ$54,1,Time!$F$13),0)+AS30+AS42</f>
        <v/>
      </c>
      <c r="AU8" s="11">
        <f>IF(Time!AU29=1,INDEX(Funding!$J$54:$BJ$54,1,Time!$F$13),0)+AT30+AT42</f>
        <v/>
      </c>
      <c r="AV8" s="11">
        <f>IF(Time!AV29=1,INDEX(Funding!$J$54:$BJ$54,1,Time!$F$13),0)+AU30+AU42</f>
        <v/>
      </c>
      <c r="AW8" s="11">
        <f>IF(Time!AW29=1,INDEX(Funding!$J$54:$BJ$54,1,Time!$F$13),0)+AV30+AV42</f>
        <v/>
      </c>
      <c r="AX8" s="11">
        <f>IF(Time!AX29=1,INDEX(Funding!$J$54:$BJ$54,1,Time!$F$13),0)+AW30+AW42</f>
        <v/>
      </c>
      <c r="AY8" s="11">
        <f>IF(Time!AY29=1,INDEX(Funding!$J$54:$BJ$54,1,Time!$F$13),0)+AX30+AX42</f>
        <v/>
      </c>
      <c r="AZ8" s="11">
        <f>IF(Time!AZ29=1,INDEX(Funding!$J$54:$BJ$54,1,Time!$F$13),0)+AY30+AY42</f>
        <v/>
      </c>
      <c r="BA8" s="11">
        <f>IF(Time!BA29=1,INDEX(Funding!$J$54:$BJ$54,1,Time!$F$13),0)+AZ30+AZ42</f>
        <v/>
      </c>
      <c r="BB8" s="11">
        <f>IF(Time!BB29=1,INDEX(Funding!$J$54:$BJ$54,1,Time!$F$13),0)+BA30+BA42</f>
        <v/>
      </c>
      <c r="BC8" s="11">
        <f>IF(Time!BC29=1,INDEX(Funding!$J$54:$BJ$54,1,Time!$F$13),0)+BB30+BB42</f>
        <v/>
      </c>
      <c r="BD8" s="11">
        <f>IF(Time!BD29=1,INDEX(Funding!$J$54:$BJ$54,1,Time!$F$13),0)+BC30+BC42</f>
        <v/>
      </c>
      <c r="BE8" s="11">
        <f>IF(Time!BE29=1,INDEX(Funding!$J$54:$BJ$54,1,Time!$F$13),0)+BD30+BD42</f>
        <v/>
      </c>
      <c r="BF8" s="11">
        <f>IF(Time!BF29=1,INDEX(Funding!$J$54:$BJ$54,1,Time!$F$13),0)+BE30+BE42</f>
        <v/>
      </c>
      <c r="BG8" s="11">
        <f>IF(Time!BG29=1,INDEX(Funding!$J$54:$BJ$54,1,Time!$F$13),0)+BF30+BF42</f>
        <v/>
      </c>
      <c r="BH8" s="11">
        <f>IF(Time!BH29=1,INDEX(Funding!$J$54:$BJ$54,1,Time!$F$13),0)+BG30+BG42</f>
        <v/>
      </c>
      <c r="BI8" s="11">
        <f>IF(Time!BI29=1,INDEX(Funding!$J$54:$BJ$54,1,Time!$F$13),0)+BH30+BH42</f>
        <v/>
      </c>
      <c r="BJ8" s="11">
        <f>IF(Time!BJ29=1,INDEX(Funding!$J$54:$BJ$54,1,Time!$F$13),0)+BI30+BI42</f>
        <v/>
      </c>
      <c r="BK8" s="11">
        <f>IF(Time!BK29=1,INDEX(Funding!$J$54:$BJ$54,1,Time!$F$13),0)+BJ30+BJ42</f>
        <v/>
      </c>
      <c r="BL8" s="11">
        <f>IF(Time!BL29=1,INDEX(Funding!$J$54:$BJ$54,1,Time!$F$13),0)+BK30+BK42</f>
        <v/>
      </c>
      <c r="BM8" s="11">
        <f>IF(Time!BM29=1,INDEX(Funding!$J$54:$BJ$54,1,Time!$F$13),0)+BL30+BL42</f>
        <v/>
      </c>
      <c r="BN8" s="11">
        <f>IF(Time!BN29=1,INDEX(Funding!$J$54:$BJ$54,1,Time!$F$13),0)+BM30+BM42</f>
        <v/>
      </c>
    </row>
    <row r="9">
      <c r="D9" t="inlineStr">
        <is>
          <t>Cash available for debt service</t>
        </is>
      </c>
      <c r="E9" t="inlineStr">
        <is>
          <t>USD m</t>
        </is>
      </c>
      <c r="J9" s="11">
        <f>J7+J8</f>
        <v/>
      </c>
      <c r="K9" s="11">
        <f>K7+K8</f>
        <v/>
      </c>
      <c r="L9" s="11">
        <f>L7+L8</f>
        <v/>
      </c>
      <c r="M9" s="11">
        <f>M7+M8</f>
        <v/>
      </c>
      <c r="N9" s="11">
        <f>N7+N8</f>
        <v/>
      </c>
      <c r="O9" s="11">
        <f>O7+O8</f>
        <v/>
      </c>
      <c r="P9" s="11">
        <f>P7+P8</f>
        <v/>
      </c>
      <c r="Q9" s="11">
        <f>Q7+Q8</f>
        <v/>
      </c>
      <c r="R9" s="11">
        <f>R7+R8</f>
        <v/>
      </c>
      <c r="S9" s="11">
        <f>S7+S8</f>
        <v/>
      </c>
      <c r="T9" s="11">
        <f>T7+T8</f>
        <v/>
      </c>
      <c r="U9" s="11">
        <f>U7+U8</f>
        <v/>
      </c>
      <c r="V9" s="11">
        <f>V7+V8</f>
        <v/>
      </c>
      <c r="W9" s="11">
        <f>W7+W8</f>
        <v/>
      </c>
      <c r="X9" s="11">
        <f>X7+X8</f>
        <v/>
      </c>
      <c r="Y9" s="11">
        <f>Y7+Y8</f>
        <v/>
      </c>
      <c r="Z9" s="11">
        <f>Z7+Z8</f>
        <v/>
      </c>
      <c r="AA9" s="11">
        <f>AA7+AA8</f>
        <v/>
      </c>
      <c r="AB9" s="11">
        <f>AB7+AB8</f>
        <v/>
      </c>
      <c r="AC9" s="11">
        <f>AC7+AC8</f>
        <v/>
      </c>
      <c r="AD9" s="11">
        <f>AD7+AD8</f>
        <v/>
      </c>
      <c r="AE9" s="11">
        <f>AE7+AE8</f>
        <v/>
      </c>
      <c r="AF9" s="11">
        <f>AF7+AF8</f>
        <v/>
      </c>
      <c r="AG9" s="11">
        <f>AG7+AG8</f>
        <v/>
      </c>
      <c r="AH9" s="11">
        <f>AH7+AH8</f>
        <v/>
      </c>
      <c r="AI9" s="11">
        <f>AI7+AI8</f>
        <v/>
      </c>
      <c r="AJ9" s="11">
        <f>AJ7+AJ8</f>
        <v/>
      </c>
      <c r="AK9" s="11">
        <f>AK7+AK8</f>
        <v/>
      </c>
      <c r="AL9" s="11">
        <f>AL7+AL8</f>
        <v/>
      </c>
      <c r="AM9" s="11">
        <f>AM7+AM8</f>
        <v/>
      </c>
      <c r="AN9" s="11">
        <f>AN7+AN8</f>
        <v/>
      </c>
      <c r="AO9" s="11">
        <f>AO7+AO8</f>
        <v/>
      </c>
      <c r="AP9" s="11">
        <f>AP7+AP8</f>
        <v/>
      </c>
      <c r="AQ9" s="11">
        <f>AQ7+AQ8</f>
        <v/>
      </c>
      <c r="AR9" s="11">
        <f>AR7+AR8</f>
        <v/>
      </c>
      <c r="AS9" s="11">
        <f>AS7+AS8</f>
        <v/>
      </c>
      <c r="AT9" s="11">
        <f>AT7+AT8</f>
        <v/>
      </c>
      <c r="AU9" s="11">
        <f>AU7+AU8</f>
        <v/>
      </c>
      <c r="AV9" s="11">
        <f>AV7+AV8</f>
        <v/>
      </c>
      <c r="AW9" s="11">
        <f>AW7+AW8</f>
        <v/>
      </c>
      <c r="AX9" s="11">
        <f>AX7+AX8</f>
        <v/>
      </c>
      <c r="AY9" s="11">
        <f>AY7+AY8</f>
        <v/>
      </c>
      <c r="AZ9" s="11">
        <f>AZ7+AZ8</f>
        <v/>
      </c>
      <c r="BA9" s="11">
        <f>BA7+BA8</f>
        <v/>
      </c>
      <c r="BB9" s="11">
        <f>BB7+BB8</f>
        <v/>
      </c>
      <c r="BC9" s="11">
        <f>BC7+BC8</f>
        <v/>
      </c>
      <c r="BD9" s="11">
        <f>BD7+BD8</f>
        <v/>
      </c>
      <c r="BE9" s="11">
        <f>BE7+BE8</f>
        <v/>
      </c>
      <c r="BF9" s="11">
        <f>BF7+BF8</f>
        <v/>
      </c>
      <c r="BG9" s="11">
        <f>BG7+BG8</f>
        <v/>
      </c>
      <c r="BH9" s="11">
        <f>BH7+BH8</f>
        <v/>
      </c>
      <c r="BI9" s="11">
        <f>BI7+BI8</f>
        <v/>
      </c>
      <c r="BJ9" s="11">
        <f>BJ7+BJ8</f>
        <v/>
      </c>
      <c r="BK9" s="11">
        <f>BK7+BK8</f>
        <v/>
      </c>
      <c r="BL9" s="11">
        <f>BL7+BL8</f>
        <v/>
      </c>
      <c r="BM9" s="11">
        <f>BM7+BM8</f>
        <v/>
      </c>
      <c r="BN9" s="11">
        <f>BN7+BN8</f>
        <v/>
      </c>
    </row>
    <row r="10">
      <c r="D10" t="inlineStr">
        <is>
          <t>Senior debt service and fees due</t>
        </is>
      </c>
      <c r="E10" t="inlineStr">
        <is>
          <t>USD m</t>
        </is>
      </c>
      <c r="G10" s="11">
        <f>SUM(J10:BN10)</f>
        <v/>
      </c>
      <c r="J10" s="11">
        <f>Debt!J121+Debt!J117</f>
        <v/>
      </c>
      <c r="K10" s="11">
        <f>Debt!K121+Debt!K117</f>
        <v/>
      </c>
      <c r="L10" s="11">
        <f>Debt!L121+Debt!L117</f>
        <v/>
      </c>
      <c r="M10" s="11">
        <f>Debt!M121+Debt!M117</f>
        <v/>
      </c>
      <c r="N10" s="11">
        <f>Debt!N121+Debt!N117</f>
        <v/>
      </c>
      <c r="O10" s="11">
        <f>Debt!O121+Debt!O117</f>
        <v/>
      </c>
      <c r="P10" s="11">
        <f>Debt!P121+Debt!P117</f>
        <v/>
      </c>
      <c r="Q10" s="11">
        <f>Debt!Q121+Debt!Q117</f>
        <v/>
      </c>
      <c r="R10" s="11">
        <f>Debt!R121+Debt!R117</f>
        <v/>
      </c>
      <c r="S10" s="11">
        <f>Debt!S121+Debt!S117</f>
        <v/>
      </c>
      <c r="T10" s="11">
        <f>Debt!T121+Debt!T117</f>
        <v/>
      </c>
      <c r="U10" s="11">
        <f>Debt!U121+Debt!U117</f>
        <v/>
      </c>
      <c r="V10" s="11">
        <f>Debt!V121+Debt!V117</f>
        <v/>
      </c>
      <c r="W10" s="11">
        <f>Debt!W121+Debt!W117</f>
        <v/>
      </c>
      <c r="X10" s="11">
        <f>Debt!X121+Debt!X117</f>
        <v/>
      </c>
      <c r="Y10" s="11">
        <f>Debt!Y121+Debt!Y117</f>
        <v/>
      </c>
      <c r="Z10" s="11">
        <f>Debt!Z121+Debt!Z117</f>
        <v/>
      </c>
      <c r="AA10" s="11">
        <f>Debt!AA121+Debt!AA117</f>
        <v/>
      </c>
      <c r="AB10" s="11">
        <f>Debt!AB121+Debt!AB117</f>
        <v/>
      </c>
      <c r="AC10" s="11">
        <f>Debt!AC121+Debt!AC117</f>
        <v/>
      </c>
      <c r="AD10" s="11">
        <f>Debt!AD121+Debt!AD117</f>
        <v/>
      </c>
      <c r="AE10" s="11">
        <f>Debt!AE121+Debt!AE117</f>
        <v/>
      </c>
      <c r="AF10" s="11">
        <f>Debt!AF121+Debt!AF117</f>
        <v/>
      </c>
      <c r="AG10" s="11">
        <f>Debt!AG121+Debt!AG117</f>
        <v/>
      </c>
      <c r="AH10" s="11">
        <f>Debt!AH121+Debt!AH117</f>
        <v/>
      </c>
      <c r="AI10" s="11">
        <f>Debt!AI121+Debt!AI117</f>
        <v/>
      </c>
      <c r="AJ10" s="11">
        <f>Debt!AJ121+Debt!AJ117</f>
        <v/>
      </c>
      <c r="AK10" s="11">
        <f>Debt!AK121+Debt!AK117</f>
        <v/>
      </c>
      <c r="AL10" s="11">
        <f>Debt!AL121+Debt!AL117</f>
        <v/>
      </c>
      <c r="AM10" s="11">
        <f>Debt!AM121+Debt!AM117</f>
        <v/>
      </c>
      <c r="AN10" s="11">
        <f>Debt!AN121+Debt!AN117</f>
        <v/>
      </c>
      <c r="AO10" s="11">
        <f>Debt!AO121+Debt!AO117</f>
        <v/>
      </c>
      <c r="AP10" s="11">
        <f>Debt!AP121+Debt!AP117</f>
        <v/>
      </c>
      <c r="AQ10" s="11">
        <f>Debt!AQ121+Debt!AQ117</f>
        <v/>
      </c>
      <c r="AR10" s="11">
        <f>Debt!AR121+Debt!AR117</f>
        <v/>
      </c>
      <c r="AS10" s="11">
        <f>Debt!AS121+Debt!AS117</f>
        <v/>
      </c>
      <c r="AT10" s="11">
        <f>Debt!AT121+Debt!AT117</f>
        <v/>
      </c>
      <c r="AU10" s="11">
        <f>Debt!AU121+Debt!AU117</f>
        <v/>
      </c>
      <c r="AV10" s="11">
        <f>Debt!AV121+Debt!AV117</f>
        <v/>
      </c>
      <c r="AW10" s="11">
        <f>Debt!AW121+Debt!AW117</f>
        <v/>
      </c>
      <c r="AX10" s="11">
        <f>Debt!AX121+Debt!AX117</f>
        <v/>
      </c>
      <c r="AY10" s="11">
        <f>Debt!AY121+Debt!AY117</f>
        <v/>
      </c>
      <c r="AZ10" s="11">
        <f>Debt!AZ121+Debt!AZ117</f>
        <v/>
      </c>
      <c r="BA10" s="11">
        <f>Debt!BA121+Debt!BA117</f>
        <v/>
      </c>
      <c r="BB10" s="11">
        <f>Debt!BB121+Debt!BB117</f>
        <v/>
      </c>
      <c r="BC10" s="11">
        <f>Debt!BC121+Debt!BC117</f>
        <v/>
      </c>
      <c r="BD10" s="11">
        <f>Debt!BD121+Debt!BD117</f>
        <v/>
      </c>
      <c r="BE10" s="11">
        <f>Debt!BE121+Debt!BE117</f>
        <v/>
      </c>
      <c r="BF10" s="11">
        <f>Debt!BF121+Debt!BF117</f>
        <v/>
      </c>
      <c r="BG10" s="11">
        <f>Debt!BG121+Debt!BG117</f>
        <v/>
      </c>
      <c r="BH10" s="11">
        <f>Debt!BH121+Debt!BH117</f>
        <v/>
      </c>
      <c r="BI10" s="11">
        <f>Debt!BI121+Debt!BI117</f>
        <v/>
      </c>
      <c r="BJ10" s="11">
        <f>Debt!BJ121+Debt!BJ117</f>
        <v/>
      </c>
      <c r="BK10" s="11">
        <f>Debt!BK121+Debt!BK117</f>
        <v/>
      </c>
      <c r="BL10" s="11">
        <f>Debt!BL121+Debt!BL117</f>
        <v/>
      </c>
      <c r="BM10" s="11">
        <f>Debt!BM121+Debt!BM117</f>
        <v/>
      </c>
      <c r="BN10" s="11">
        <f>Debt!BN121+Debt!BN117</f>
        <v/>
      </c>
    </row>
    <row r="11">
      <c r="D11" t="inlineStr">
        <is>
          <t>Shortfall before DSRA</t>
        </is>
      </c>
      <c r="E11" t="inlineStr">
        <is>
          <t>USD m</t>
        </is>
      </c>
      <c r="G11" s="11">
        <f>SUM(J11:BN11)</f>
        <v/>
      </c>
      <c r="J11" s="11">
        <f>MAX(0,J10-J9)</f>
        <v/>
      </c>
      <c r="K11" s="11">
        <f>MAX(0,K10-K9)</f>
        <v/>
      </c>
      <c r="L11" s="11">
        <f>MAX(0,L10-L9)</f>
        <v/>
      </c>
      <c r="M11" s="11">
        <f>MAX(0,M10-M9)</f>
        <v/>
      </c>
      <c r="N11" s="11">
        <f>MAX(0,N10-N9)</f>
        <v/>
      </c>
      <c r="O11" s="11">
        <f>MAX(0,O10-O9)</f>
        <v/>
      </c>
      <c r="P11" s="11">
        <f>MAX(0,P10-P9)</f>
        <v/>
      </c>
      <c r="Q11" s="11">
        <f>MAX(0,Q10-Q9)</f>
        <v/>
      </c>
      <c r="R11" s="11">
        <f>MAX(0,R10-R9)</f>
        <v/>
      </c>
      <c r="S11" s="11">
        <f>MAX(0,S10-S9)</f>
        <v/>
      </c>
      <c r="T11" s="11">
        <f>MAX(0,T10-T9)</f>
        <v/>
      </c>
      <c r="U11" s="11">
        <f>MAX(0,U10-U9)</f>
        <v/>
      </c>
      <c r="V11" s="11">
        <f>MAX(0,V10-V9)</f>
        <v/>
      </c>
      <c r="W11" s="11">
        <f>MAX(0,W10-W9)</f>
        <v/>
      </c>
      <c r="X11" s="11">
        <f>MAX(0,X10-X9)</f>
        <v/>
      </c>
      <c r="Y11" s="11">
        <f>MAX(0,Y10-Y9)</f>
        <v/>
      </c>
      <c r="Z11" s="11">
        <f>MAX(0,Z10-Z9)</f>
        <v/>
      </c>
      <c r="AA11" s="11">
        <f>MAX(0,AA10-AA9)</f>
        <v/>
      </c>
      <c r="AB11" s="11">
        <f>MAX(0,AB10-AB9)</f>
        <v/>
      </c>
      <c r="AC11" s="11">
        <f>MAX(0,AC10-AC9)</f>
        <v/>
      </c>
      <c r="AD11" s="11">
        <f>MAX(0,AD10-AD9)</f>
        <v/>
      </c>
      <c r="AE11" s="11">
        <f>MAX(0,AE10-AE9)</f>
        <v/>
      </c>
      <c r="AF11" s="11">
        <f>MAX(0,AF10-AF9)</f>
        <v/>
      </c>
      <c r="AG11" s="11">
        <f>MAX(0,AG10-AG9)</f>
        <v/>
      </c>
      <c r="AH11" s="11">
        <f>MAX(0,AH10-AH9)</f>
        <v/>
      </c>
      <c r="AI11" s="11">
        <f>MAX(0,AI10-AI9)</f>
        <v/>
      </c>
      <c r="AJ11" s="11">
        <f>MAX(0,AJ10-AJ9)</f>
        <v/>
      </c>
      <c r="AK11" s="11">
        <f>MAX(0,AK10-AK9)</f>
        <v/>
      </c>
      <c r="AL11" s="11">
        <f>MAX(0,AL10-AL9)</f>
        <v/>
      </c>
      <c r="AM11" s="11">
        <f>MAX(0,AM10-AM9)</f>
        <v/>
      </c>
      <c r="AN11" s="11">
        <f>MAX(0,AN10-AN9)</f>
        <v/>
      </c>
      <c r="AO11" s="11">
        <f>MAX(0,AO10-AO9)</f>
        <v/>
      </c>
      <c r="AP11" s="11">
        <f>MAX(0,AP10-AP9)</f>
        <v/>
      </c>
      <c r="AQ11" s="11">
        <f>MAX(0,AQ10-AQ9)</f>
        <v/>
      </c>
      <c r="AR11" s="11">
        <f>MAX(0,AR10-AR9)</f>
        <v/>
      </c>
      <c r="AS11" s="11">
        <f>MAX(0,AS10-AS9)</f>
        <v/>
      </c>
      <c r="AT11" s="11">
        <f>MAX(0,AT10-AT9)</f>
        <v/>
      </c>
      <c r="AU11" s="11">
        <f>MAX(0,AU10-AU9)</f>
        <v/>
      </c>
      <c r="AV11" s="11">
        <f>MAX(0,AV10-AV9)</f>
        <v/>
      </c>
      <c r="AW11" s="11">
        <f>MAX(0,AW10-AW9)</f>
        <v/>
      </c>
      <c r="AX11" s="11">
        <f>MAX(0,AX10-AX9)</f>
        <v/>
      </c>
      <c r="AY11" s="11">
        <f>MAX(0,AY10-AY9)</f>
        <v/>
      </c>
      <c r="AZ11" s="11">
        <f>MAX(0,AZ10-AZ9)</f>
        <v/>
      </c>
      <c r="BA11" s="11">
        <f>MAX(0,BA10-BA9)</f>
        <v/>
      </c>
      <c r="BB11" s="11">
        <f>MAX(0,BB10-BB9)</f>
        <v/>
      </c>
      <c r="BC11" s="11">
        <f>MAX(0,BC10-BC9)</f>
        <v/>
      </c>
      <c r="BD11" s="11">
        <f>MAX(0,BD10-BD9)</f>
        <v/>
      </c>
      <c r="BE11" s="11">
        <f>MAX(0,BE10-BE9)</f>
        <v/>
      </c>
      <c r="BF11" s="11">
        <f>MAX(0,BF10-BF9)</f>
        <v/>
      </c>
      <c r="BG11" s="11">
        <f>MAX(0,BG10-BG9)</f>
        <v/>
      </c>
      <c r="BH11" s="11">
        <f>MAX(0,BH10-BH9)</f>
        <v/>
      </c>
      <c r="BI11" s="11">
        <f>MAX(0,BI10-BI9)</f>
        <v/>
      </c>
      <c r="BJ11" s="11">
        <f>MAX(0,BJ10-BJ9)</f>
        <v/>
      </c>
      <c r="BK11" s="11">
        <f>MAX(0,BK10-BK9)</f>
        <v/>
      </c>
      <c r="BL11" s="11">
        <f>MAX(0,BL10-BL9)</f>
        <v/>
      </c>
      <c r="BM11" s="11">
        <f>MAX(0,BM10-BM9)</f>
        <v/>
      </c>
      <c r="BN11" s="11">
        <f>MAX(0,BN10-BN9)</f>
        <v/>
      </c>
    </row>
    <row r="12">
      <c r="D12" t="inlineStr">
        <is>
          <t>Shortfall after DSRA (must be zero)</t>
        </is>
      </c>
      <c r="E12" t="inlineStr">
        <is>
          <t>USD m</t>
        </is>
      </c>
      <c r="G12" s="11">
        <f>SUM(J12:BN12)</f>
        <v/>
      </c>
      <c r="J12" s="11">
        <f>J11-Reserves!J10</f>
        <v/>
      </c>
      <c r="K12" s="11">
        <f>K11-Reserves!K10</f>
        <v/>
      </c>
      <c r="L12" s="11">
        <f>L11-Reserves!L10</f>
        <v/>
      </c>
      <c r="M12" s="11">
        <f>M11-Reserves!M10</f>
        <v/>
      </c>
      <c r="N12" s="11">
        <f>N11-Reserves!N10</f>
        <v/>
      </c>
      <c r="O12" s="11">
        <f>O11-Reserves!O10</f>
        <v/>
      </c>
      <c r="P12" s="11">
        <f>P11-Reserves!P10</f>
        <v/>
      </c>
      <c r="Q12" s="11">
        <f>Q11-Reserves!Q10</f>
        <v/>
      </c>
      <c r="R12" s="11">
        <f>R11-Reserves!R10</f>
        <v/>
      </c>
      <c r="S12" s="11">
        <f>S11-Reserves!S10</f>
        <v/>
      </c>
      <c r="T12" s="11">
        <f>T11-Reserves!T10</f>
        <v/>
      </c>
      <c r="U12" s="11">
        <f>U11-Reserves!U10</f>
        <v/>
      </c>
      <c r="V12" s="11">
        <f>V11-Reserves!V10</f>
        <v/>
      </c>
      <c r="W12" s="11">
        <f>W11-Reserves!W10</f>
        <v/>
      </c>
      <c r="X12" s="11">
        <f>X11-Reserves!X10</f>
        <v/>
      </c>
      <c r="Y12" s="11">
        <f>Y11-Reserves!Y10</f>
        <v/>
      </c>
      <c r="Z12" s="11">
        <f>Z11-Reserves!Z10</f>
        <v/>
      </c>
      <c r="AA12" s="11">
        <f>AA11-Reserves!AA10</f>
        <v/>
      </c>
      <c r="AB12" s="11">
        <f>AB11-Reserves!AB10</f>
        <v/>
      </c>
      <c r="AC12" s="11">
        <f>AC11-Reserves!AC10</f>
        <v/>
      </c>
      <c r="AD12" s="11">
        <f>AD11-Reserves!AD10</f>
        <v/>
      </c>
      <c r="AE12" s="11">
        <f>AE11-Reserves!AE10</f>
        <v/>
      </c>
      <c r="AF12" s="11">
        <f>AF11-Reserves!AF10</f>
        <v/>
      </c>
      <c r="AG12" s="11">
        <f>AG11-Reserves!AG10</f>
        <v/>
      </c>
      <c r="AH12" s="11">
        <f>AH11-Reserves!AH10</f>
        <v/>
      </c>
      <c r="AI12" s="11">
        <f>AI11-Reserves!AI10</f>
        <v/>
      </c>
      <c r="AJ12" s="11">
        <f>AJ11-Reserves!AJ10</f>
        <v/>
      </c>
      <c r="AK12" s="11">
        <f>AK11-Reserves!AK10</f>
        <v/>
      </c>
      <c r="AL12" s="11">
        <f>AL11-Reserves!AL10</f>
        <v/>
      </c>
      <c r="AM12" s="11">
        <f>AM11-Reserves!AM10</f>
        <v/>
      </c>
      <c r="AN12" s="11">
        <f>AN11-Reserves!AN10</f>
        <v/>
      </c>
      <c r="AO12" s="11">
        <f>AO11-Reserves!AO10</f>
        <v/>
      </c>
      <c r="AP12" s="11">
        <f>AP11-Reserves!AP10</f>
        <v/>
      </c>
      <c r="AQ12" s="11">
        <f>AQ11-Reserves!AQ10</f>
        <v/>
      </c>
      <c r="AR12" s="11">
        <f>AR11-Reserves!AR10</f>
        <v/>
      </c>
      <c r="AS12" s="11">
        <f>AS11-Reserves!AS10</f>
        <v/>
      </c>
      <c r="AT12" s="11">
        <f>AT11-Reserves!AT10</f>
        <v/>
      </c>
      <c r="AU12" s="11">
        <f>AU11-Reserves!AU10</f>
        <v/>
      </c>
      <c r="AV12" s="11">
        <f>AV11-Reserves!AV10</f>
        <v/>
      </c>
      <c r="AW12" s="11">
        <f>AW11-Reserves!AW10</f>
        <v/>
      </c>
      <c r="AX12" s="11">
        <f>AX11-Reserves!AX10</f>
        <v/>
      </c>
      <c r="AY12" s="11">
        <f>AY11-Reserves!AY10</f>
        <v/>
      </c>
      <c r="AZ12" s="11">
        <f>AZ11-Reserves!AZ10</f>
        <v/>
      </c>
      <c r="BA12" s="11">
        <f>BA11-Reserves!BA10</f>
        <v/>
      </c>
      <c r="BB12" s="11">
        <f>BB11-Reserves!BB10</f>
        <v/>
      </c>
      <c r="BC12" s="11">
        <f>BC11-Reserves!BC10</f>
        <v/>
      </c>
      <c r="BD12" s="11">
        <f>BD11-Reserves!BD10</f>
        <v/>
      </c>
      <c r="BE12" s="11">
        <f>BE11-Reserves!BE10</f>
        <v/>
      </c>
      <c r="BF12" s="11">
        <f>BF11-Reserves!BF10</f>
        <v/>
      </c>
      <c r="BG12" s="11">
        <f>BG11-Reserves!BG10</f>
        <v/>
      </c>
      <c r="BH12" s="11">
        <f>BH11-Reserves!BH10</f>
        <v/>
      </c>
      <c r="BI12" s="11">
        <f>BI11-Reserves!BI10</f>
        <v/>
      </c>
      <c r="BJ12" s="11">
        <f>BJ11-Reserves!BJ10</f>
        <v/>
      </c>
      <c r="BK12" s="11">
        <f>BK11-Reserves!BK10</f>
        <v/>
      </c>
      <c r="BL12" s="11">
        <f>BL11-Reserves!BL10</f>
        <v/>
      </c>
      <c r="BM12" s="11">
        <f>BM11-Reserves!BM10</f>
        <v/>
      </c>
      <c r="BN12" s="11">
        <f>BN11-Reserves!BN10</f>
        <v/>
      </c>
    </row>
    <row r="13">
      <c r="D13" t="inlineStr">
        <is>
          <t>Cash after debt service</t>
        </is>
      </c>
      <c r="E13" t="inlineStr">
        <is>
          <t>USD m</t>
        </is>
      </c>
      <c r="J13" s="11">
        <f>MAX(0,J9-J10)</f>
        <v/>
      </c>
      <c r="K13" s="11">
        <f>MAX(0,K9-K10)</f>
        <v/>
      </c>
      <c r="L13" s="11">
        <f>MAX(0,L9-L10)</f>
        <v/>
      </c>
      <c r="M13" s="11">
        <f>MAX(0,M9-M10)</f>
        <v/>
      </c>
      <c r="N13" s="11">
        <f>MAX(0,N9-N10)</f>
        <v/>
      </c>
      <c r="O13" s="11">
        <f>MAX(0,O9-O10)</f>
        <v/>
      </c>
      <c r="P13" s="11">
        <f>MAX(0,P9-P10)</f>
        <v/>
      </c>
      <c r="Q13" s="11">
        <f>MAX(0,Q9-Q10)</f>
        <v/>
      </c>
      <c r="R13" s="11">
        <f>MAX(0,R9-R10)</f>
        <v/>
      </c>
      <c r="S13" s="11">
        <f>MAX(0,S9-S10)</f>
        <v/>
      </c>
      <c r="T13" s="11">
        <f>MAX(0,T9-T10)</f>
        <v/>
      </c>
      <c r="U13" s="11">
        <f>MAX(0,U9-U10)</f>
        <v/>
      </c>
      <c r="V13" s="11">
        <f>MAX(0,V9-V10)</f>
        <v/>
      </c>
      <c r="W13" s="11">
        <f>MAX(0,W9-W10)</f>
        <v/>
      </c>
      <c r="X13" s="11">
        <f>MAX(0,X9-X10)</f>
        <v/>
      </c>
      <c r="Y13" s="11">
        <f>MAX(0,Y9-Y10)</f>
        <v/>
      </c>
      <c r="Z13" s="11">
        <f>MAX(0,Z9-Z10)</f>
        <v/>
      </c>
      <c r="AA13" s="11">
        <f>MAX(0,AA9-AA10)</f>
        <v/>
      </c>
      <c r="AB13" s="11">
        <f>MAX(0,AB9-AB10)</f>
        <v/>
      </c>
      <c r="AC13" s="11">
        <f>MAX(0,AC9-AC10)</f>
        <v/>
      </c>
      <c r="AD13" s="11">
        <f>MAX(0,AD9-AD10)</f>
        <v/>
      </c>
      <c r="AE13" s="11">
        <f>MAX(0,AE9-AE10)</f>
        <v/>
      </c>
      <c r="AF13" s="11">
        <f>MAX(0,AF9-AF10)</f>
        <v/>
      </c>
      <c r="AG13" s="11">
        <f>MAX(0,AG9-AG10)</f>
        <v/>
      </c>
      <c r="AH13" s="11">
        <f>MAX(0,AH9-AH10)</f>
        <v/>
      </c>
      <c r="AI13" s="11">
        <f>MAX(0,AI9-AI10)</f>
        <v/>
      </c>
      <c r="AJ13" s="11">
        <f>MAX(0,AJ9-AJ10)</f>
        <v/>
      </c>
      <c r="AK13" s="11">
        <f>MAX(0,AK9-AK10)</f>
        <v/>
      </c>
      <c r="AL13" s="11">
        <f>MAX(0,AL9-AL10)</f>
        <v/>
      </c>
      <c r="AM13" s="11">
        <f>MAX(0,AM9-AM10)</f>
        <v/>
      </c>
      <c r="AN13" s="11">
        <f>MAX(0,AN9-AN10)</f>
        <v/>
      </c>
      <c r="AO13" s="11">
        <f>MAX(0,AO9-AO10)</f>
        <v/>
      </c>
      <c r="AP13" s="11">
        <f>MAX(0,AP9-AP10)</f>
        <v/>
      </c>
      <c r="AQ13" s="11">
        <f>MAX(0,AQ9-AQ10)</f>
        <v/>
      </c>
      <c r="AR13" s="11">
        <f>MAX(0,AR9-AR10)</f>
        <v/>
      </c>
      <c r="AS13" s="11">
        <f>MAX(0,AS9-AS10)</f>
        <v/>
      </c>
      <c r="AT13" s="11">
        <f>MAX(0,AT9-AT10)</f>
        <v/>
      </c>
      <c r="AU13" s="11">
        <f>MAX(0,AU9-AU10)</f>
        <v/>
      </c>
      <c r="AV13" s="11">
        <f>MAX(0,AV9-AV10)</f>
        <v/>
      </c>
      <c r="AW13" s="11">
        <f>MAX(0,AW9-AW10)</f>
        <v/>
      </c>
      <c r="AX13" s="11">
        <f>MAX(0,AX9-AX10)</f>
        <v/>
      </c>
      <c r="AY13" s="11">
        <f>MAX(0,AY9-AY10)</f>
        <v/>
      </c>
      <c r="AZ13" s="11">
        <f>MAX(0,AZ9-AZ10)</f>
        <v/>
      </c>
      <c r="BA13" s="11">
        <f>MAX(0,BA9-BA10)</f>
        <v/>
      </c>
      <c r="BB13" s="11">
        <f>MAX(0,BB9-BB10)</f>
        <v/>
      </c>
      <c r="BC13" s="11">
        <f>MAX(0,BC9-BC10)</f>
        <v/>
      </c>
      <c r="BD13" s="11">
        <f>MAX(0,BD9-BD10)</f>
        <v/>
      </c>
      <c r="BE13" s="11">
        <f>MAX(0,BE9-BE10)</f>
        <v/>
      </c>
      <c r="BF13" s="11">
        <f>MAX(0,BF9-BF10)</f>
        <v/>
      </c>
      <c r="BG13" s="11">
        <f>MAX(0,BG9-BG10)</f>
        <v/>
      </c>
      <c r="BH13" s="11">
        <f>MAX(0,BH9-BH10)</f>
        <v/>
      </c>
      <c r="BI13" s="11">
        <f>MAX(0,BI9-BI10)</f>
        <v/>
      </c>
      <c r="BJ13" s="11">
        <f>MAX(0,BJ9-BJ10)</f>
        <v/>
      </c>
      <c r="BK13" s="11">
        <f>MAX(0,BK9-BK10)</f>
        <v/>
      </c>
      <c r="BL13" s="11">
        <f>MAX(0,BL9-BL10)</f>
        <v/>
      </c>
      <c r="BM13" s="11">
        <f>MAX(0,BM9-BM10)</f>
        <v/>
      </c>
      <c r="BN13" s="11">
        <f>MAX(0,BN9-BN10)</f>
        <v/>
      </c>
    </row>
    <row r="14">
      <c r="D14" t="inlineStr">
        <is>
          <t>Cash after DSRA movements</t>
        </is>
      </c>
      <c r="E14" t="inlineStr">
        <is>
          <t>USD m</t>
        </is>
      </c>
      <c r="J14" s="11">
        <f>J13-Reserves!J11+Reserves!J12</f>
        <v/>
      </c>
      <c r="K14" s="11">
        <f>K13-Reserves!K11+Reserves!K12</f>
        <v/>
      </c>
      <c r="L14" s="11">
        <f>L13-Reserves!L11+Reserves!L12</f>
        <v/>
      </c>
      <c r="M14" s="11">
        <f>M13-Reserves!M11+Reserves!M12</f>
        <v/>
      </c>
      <c r="N14" s="11">
        <f>N13-Reserves!N11+Reserves!N12</f>
        <v/>
      </c>
      <c r="O14" s="11">
        <f>O13-Reserves!O11+Reserves!O12</f>
        <v/>
      </c>
      <c r="P14" s="11">
        <f>P13-Reserves!P11+Reserves!P12</f>
        <v/>
      </c>
      <c r="Q14" s="11">
        <f>Q13-Reserves!Q11+Reserves!Q12</f>
        <v/>
      </c>
      <c r="R14" s="11">
        <f>R13-Reserves!R11+Reserves!R12</f>
        <v/>
      </c>
      <c r="S14" s="11">
        <f>S13-Reserves!S11+Reserves!S12</f>
        <v/>
      </c>
      <c r="T14" s="11">
        <f>T13-Reserves!T11+Reserves!T12</f>
        <v/>
      </c>
      <c r="U14" s="11">
        <f>U13-Reserves!U11+Reserves!U12</f>
        <v/>
      </c>
      <c r="V14" s="11">
        <f>V13-Reserves!V11+Reserves!V12</f>
        <v/>
      </c>
      <c r="W14" s="11">
        <f>W13-Reserves!W11+Reserves!W12</f>
        <v/>
      </c>
      <c r="X14" s="11">
        <f>X13-Reserves!X11+Reserves!X12</f>
        <v/>
      </c>
      <c r="Y14" s="11">
        <f>Y13-Reserves!Y11+Reserves!Y12</f>
        <v/>
      </c>
      <c r="Z14" s="11">
        <f>Z13-Reserves!Z11+Reserves!Z12</f>
        <v/>
      </c>
      <c r="AA14" s="11">
        <f>AA13-Reserves!AA11+Reserves!AA12</f>
        <v/>
      </c>
      <c r="AB14" s="11">
        <f>AB13-Reserves!AB11+Reserves!AB12</f>
        <v/>
      </c>
      <c r="AC14" s="11">
        <f>AC13-Reserves!AC11+Reserves!AC12</f>
        <v/>
      </c>
      <c r="AD14" s="11">
        <f>AD13-Reserves!AD11+Reserves!AD12</f>
        <v/>
      </c>
      <c r="AE14" s="11">
        <f>AE13-Reserves!AE11+Reserves!AE12</f>
        <v/>
      </c>
      <c r="AF14" s="11">
        <f>AF13-Reserves!AF11+Reserves!AF12</f>
        <v/>
      </c>
      <c r="AG14" s="11">
        <f>AG13-Reserves!AG11+Reserves!AG12</f>
        <v/>
      </c>
      <c r="AH14" s="11">
        <f>AH13-Reserves!AH11+Reserves!AH12</f>
        <v/>
      </c>
      <c r="AI14" s="11">
        <f>AI13-Reserves!AI11+Reserves!AI12</f>
        <v/>
      </c>
      <c r="AJ14" s="11">
        <f>AJ13-Reserves!AJ11+Reserves!AJ12</f>
        <v/>
      </c>
      <c r="AK14" s="11">
        <f>AK13-Reserves!AK11+Reserves!AK12</f>
        <v/>
      </c>
      <c r="AL14" s="11">
        <f>AL13-Reserves!AL11+Reserves!AL12</f>
        <v/>
      </c>
      <c r="AM14" s="11">
        <f>AM13-Reserves!AM11+Reserves!AM12</f>
        <v/>
      </c>
      <c r="AN14" s="11">
        <f>AN13-Reserves!AN11+Reserves!AN12</f>
        <v/>
      </c>
      <c r="AO14" s="11">
        <f>AO13-Reserves!AO11+Reserves!AO12</f>
        <v/>
      </c>
      <c r="AP14" s="11">
        <f>AP13-Reserves!AP11+Reserves!AP12</f>
        <v/>
      </c>
      <c r="AQ14" s="11">
        <f>AQ13-Reserves!AQ11+Reserves!AQ12</f>
        <v/>
      </c>
      <c r="AR14" s="11">
        <f>AR13-Reserves!AR11+Reserves!AR12</f>
        <v/>
      </c>
      <c r="AS14" s="11">
        <f>AS13-Reserves!AS11+Reserves!AS12</f>
        <v/>
      </c>
      <c r="AT14" s="11">
        <f>AT13-Reserves!AT11+Reserves!AT12</f>
        <v/>
      </c>
      <c r="AU14" s="11">
        <f>AU13-Reserves!AU11+Reserves!AU12</f>
        <v/>
      </c>
      <c r="AV14" s="11">
        <f>AV13-Reserves!AV11+Reserves!AV12</f>
        <v/>
      </c>
      <c r="AW14" s="11">
        <f>AW13-Reserves!AW11+Reserves!AW12</f>
        <v/>
      </c>
      <c r="AX14" s="11">
        <f>AX13-Reserves!AX11+Reserves!AX12</f>
        <v/>
      </c>
      <c r="AY14" s="11">
        <f>AY13-Reserves!AY11+Reserves!AY12</f>
        <v/>
      </c>
      <c r="AZ14" s="11">
        <f>AZ13-Reserves!AZ11+Reserves!AZ12</f>
        <v/>
      </c>
      <c r="BA14" s="11">
        <f>BA13-Reserves!BA11+Reserves!BA12</f>
        <v/>
      </c>
      <c r="BB14" s="11">
        <f>BB13-Reserves!BB11+Reserves!BB12</f>
        <v/>
      </c>
      <c r="BC14" s="11">
        <f>BC13-Reserves!BC11+Reserves!BC12</f>
        <v/>
      </c>
      <c r="BD14" s="11">
        <f>BD13-Reserves!BD11+Reserves!BD12</f>
        <v/>
      </c>
      <c r="BE14" s="11">
        <f>BE13-Reserves!BE11+Reserves!BE12</f>
        <v/>
      </c>
      <c r="BF14" s="11">
        <f>BF13-Reserves!BF11+Reserves!BF12</f>
        <v/>
      </c>
      <c r="BG14" s="11">
        <f>BG13-Reserves!BG11+Reserves!BG12</f>
        <v/>
      </c>
      <c r="BH14" s="11">
        <f>BH13-Reserves!BH11+Reserves!BH12</f>
        <v/>
      </c>
      <c r="BI14" s="11">
        <f>BI13-Reserves!BI11+Reserves!BI12</f>
        <v/>
      </c>
      <c r="BJ14" s="11">
        <f>BJ13-Reserves!BJ11+Reserves!BJ12</f>
        <v/>
      </c>
      <c r="BK14" s="11">
        <f>BK13-Reserves!BK11+Reserves!BK12</f>
        <v/>
      </c>
      <c r="BL14" s="11">
        <f>BL13-Reserves!BL11+Reserves!BL12</f>
        <v/>
      </c>
      <c r="BM14" s="11">
        <f>BM13-Reserves!BM11+Reserves!BM12</f>
        <v/>
      </c>
      <c r="BN14" s="11">
        <f>BN13-Reserves!BN11+Reserves!BN12</f>
        <v/>
      </c>
    </row>
    <row r="15">
      <c r="D15" t="inlineStr">
        <is>
          <t>Cash available for distribution tests</t>
        </is>
      </c>
      <c r="E15" t="inlineStr">
        <is>
          <t>USD m</t>
        </is>
      </c>
      <c r="J15" s="11">
        <f>J14-Reserves!J14+Reserves!J15</f>
        <v/>
      </c>
      <c r="K15" s="11">
        <f>K14-Reserves!K14+Reserves!K15</f>
        <v/>
      </c>
      <c r="L15" s="11">
        <f>L14-Reserves!L14+Reserves!L15</f>
        <v/>
      </c>
      <c r="M15" s="11">
        <f>M14-Reserves!M14+Reserves!M15</f>
        <v/>
      </c>
      <c r="N15" s="11">
        <f>N14-Reserves!N14+Reserves!N15</f>
        <v/>
      </c>
      <c r="O15" s="11">
        <f>O14-Reserves!O14+Reserves!O15</f>
        <v/>
      </c>
      <c r="P15" s="11">
        <f>P14-Reserves!P14+Reserves!P15</f>
        <v/>
      </c>
      <c r="Q15" s="11">
        <f>Q14-Reserves!Q14+Reserves!Q15</f>
        <v/>
      </c>
      <c r="R15" s="11">
        <f>R14-Reserves!R14+Reserves!R15</f>
        <v/>
      </c>
      <c r="S15" s="11">
        <f>S14-Reserves!S14+Reserves!S15</f>
        <v/>
      </c>
      <c r="T15" s="11">
        <f>T14-Reserves!T14+Reserves!T15</f>
        <v/>
      </c>
      <c r="U15" s="11">
        <f>U14-Reserves!U14+Reserves!U15</f>
        <v/>
      </c>
      <c r="V15" s="11">
        <f>V14-Reserves!V14+Reserves!V15</f>
        <v/>
      </c>
      <c r="W15" s="11">
        <f>W14-Reserves!W14+Reserves!W15</f>
        <v/>
      </c>
      <c r="X15" s="11">
        <f>X14-Reserves!X14+Reserves!X15</f>
        <v/>
      </c>
      <c r="Y15" s="11">
        <f>Y14-Reserves!Y14+Reserves!Y15</f>
        <v/>
      </c>
      <c r="Z15" s="11">
        <f>Z14-Reserves!Z14+Reserves!Z15</f>
        <v/>
      </c>
      <c r="AA15" s="11">
        <f>AA14-Reserves!AA14+Reserves!AA15</f>
        <v/>
      </c>
      <c r="AB15" s="11">
        <f>AB14-Reserves!AB14+Reserves!AB15</f>
        <v/>
      </c>
      <c r="AC15" s="11">
        <f>AC14-Reserves!AC14+Reserves!AC15</f>
        <v/>
      </c>
      <c r="AD15" s="11">
        <f>AD14-Reserves!AD14+Reserves!AD15</f>
        <v/>
      </c>
      <c r="AE15" s="11">
        <f>AE14-Reserves!AE14+Reserves!AE15</f>
        <v/>
      </c>
      <c r="AF15" s="11">
        <f>AF14-Reserves!AF14+Reserves!AF15</f>
        <v/>
      </c>
      <c r="AG15" s="11">
        <f>AG14-Reserves!AG14+Reserves!AG15</f>
        <v/>
      </c>
      <c r="AH15" s="11">
        <f>AH14-Reserves!AH14+Reserves!AH15</f>
        <v/>
      </c>
      <c r="AI15" s="11">
        <f>AI14-Reserves!AI14+Reserves!AI15</f>
        <v/>
      </c>
      <c r="AJ15" s="11">
        <f>AJ14-Reserves!AJ14+Reserves!AJ15</f>
        <v/>
      </c>
      <c r="AK15" s="11">
        <f>AK14-Reserves!AK14+Reserves!AK15</f>
        <v/>
      </c>
      <c r="AL15" s="11">
        <f>AL14-Reserves!AL14+Reserves!AL15</f>
        <v/>
      </c>
      <c r="AM15" s="11">
        <f>AM14-Reserves!AM14+Reserves!AM15</f>
        <v/>
      </c>
      <c r="AN15" s="11">
        <f>AN14-Reserves!AN14+Reserves!AN15</f>
        <v/>
      </c>
      <c r="AO15" s="11">
        <f>AO14-Reserves!AO14+Reserves!AO15</f>
        <v/>
      </c>
      <c r="AP15" s="11">
        <f>AP14-Reserves!AP14+Reserves!AP15</f>
        <v/>
      </c>
      <c r="AQ15" s="11">
        <f>AQ14-Reserves!AQ14+Reserves!AQ15</f>
        <v/>
      </c>
      <c r="AR15" s="11">
        <f>AR14-Reserves!AR14+Reserves!AR15</f>
        <v/>
      </c>
      <c r="AS15" s="11">
        <f>AS14-Reserves!AS14+Reserves!AS15</f>
        <v/>
      </c>
      <c r="AT15" s="11">
        <f>AT14-Reserves!AT14+Reserves!AT15</f>
        <v/>
      </c>
      <c r="AU15" s="11">
        <f>AU14-Reserves!AU14+Reserves!AU15</f>
        <v/>
      </c>
      <c r="AV15" s="11">
        <f>AV14-Reserves!AV14+Reserves!AV15</f>
        <v/>
      </c>
      <c r="AW15" s="11">
        <f>AW14-Reserves!AW14+Reserves!AW15</f>
        <v/>
      </c>
      <c r="AX15" s="11">
        <f>AX14-Reserves!AX14+Reserves!AX15</f>
        <v/>
      </c>
      <c r="AY15" s="11">
        <f>AY14-Reserves!AY14+Reserves!AY15</f>
        <v/>
      </c>
      <c r="AZ15" s="11">
        <f>AZ14-Reserves!AZ14+Reserves!AZ15</f>
        <v/>
      </c>
      <c r="BA15" s="11">
        <f>BA14-Reserves!BA14+Reserves!BA15</f>
        <v/>
      </c>
      <c r="BB15" s="11">
        <f>BB14-Reserves!BB14+Reserves!BB15</f>
        <v/>
      </c>
      <c r="BC15" s="11">
        <f>BC14-Reserves!BC14+Reserves!BC15</f>
        <v/>
      </c>
      <c r="BD15" s="11">
        <f>BD14-Reserves!BD14+Reserves!BD15</f>
        <v/>
      </c>
      <c r="BE15" s="11">
        <f>BE14-Reserves!BE14+Reserves!BE15</f>
        <v/>
      </c>
      <c r="BF15" s="11">
        <f>BF14-Reserves!BF14+Reserves!BF15</f>
        <v/>
      </c>
      <c r="BG15" s="11">
        <f>BG14-Reserves!BG14+Reserves!BG15</f>
        <v/>
      </c>
      <c r="BH15" s="11">
        <f>BH14-Reserves!BH14+Reserves!BH15</f>
        <v/>
      </c>
      <c r="BI15" s="11">
        <f>BI14-Reserves!BI14+Reserves!BI15</f>
        <v/>
      </c>
      <c r="BJ15" s="11">
        <f>BJ14-Reserves!BJ14+Reserves!BJ15</f>
        <v/>
      </c>
      <c r="BK15" s="11">
        <f>BK14-Reserves!BK14+Reserves!BK15</f>
        <v/>
      </c>
      <c r="BL15" s="11">
        <f>BL14-Reserves!BL14+Reserves!BL15</f>
        <v/>
      </c>
      <c r="BM15" s="11">
        <f>BM14-Reserves!BM14+Reserves!BM15</f>
        <v/>
      </c>
      <c r="BN15" s="11">
        <f>BN14-Reserves!BN14+Reserves!BN15</f>
        <v/>
      </c>
    </row>
    <row r="16">
      <c r="B16" s="2" t="inlineStr">
        <is>
          <t>Ratios and tests</t>
        </is>
      </c>
    </row>
    <row r="17">
      <c r="D17" t="inlineStr">
        <is>
          <t>DSCR, period</t>
        </is>
      </c>
      <c r="E17" t="inlineStr">
        <is>
          <t>x</t>
        </is>
      </c>
      <c r="J17" s="6">
        <f>IF(Debt!J121&gt;0.000000001,J7/Debt!J121,0)</f>
        <v/>
      </c>
      <c r="K17" s="6">
        <f>IF(Debt!K121&gt;0.000000001,K7/Debt!K121,0)</f>
        <v/>
      </c>
      <c r="L17" s="6">
        <f>IF(Debt!L121&gt;0.000000001,L7/Debt!L121,0)</f>
        <v/>
      </c>
      <c r="M17" s="6">
        <f>IF(Debt!M121&gt;0.000000001,M7/Debt!M121,0)</f>
        <v/>
      </c>
      <c r="N17" s="6">
        <f>IF(Debt!N121&gt;0.000000001,N7/Debt!N121,0)</f>
        <v/>
      </c>
      <c r="O17" s="6">
        <f>IF(Debt!O121&gt;0.000000001,O7/Debt!O121,0)</f>
        <v/>
      </c>
      <c r="P17" s="6">
        <f>IF(Debt!P121&gt;0.000000001,P7/Debt!P121,0)</f>
        <v/>
      </c>
      <c r="Q17" s="6">
        <f>IF(Debt!Q121&gt;0.000000001,Q7/Debt!Q121,0)</f>
        <v/>
      </c>
      <c r="R17" s="6">
        <f>IF(Debt!R121&gt;0.000000001,R7/Debt!R121,0)</f>
        <v/>
      </c>
      <c r="S17" s="6">
        <f>IF(Debt!S121&gt;0.000000001,S7/Debt!S121,0)</f>
        <v/>
      </c>
      <c r="T17" s="6">
        <f>IF(Debt!T121&gt;0.000000001,T7/Debt!T121,0)</f>
        <v/>
      </c>
      <c r="U17" s="6">
        <f>IF(Debt!U121&gt;0.000000001,U7/Debt!U121,0)</f>
        <v/>
      </c>
      <c r="V17" s="6">
        <f>IF(Debt!V121&gt;0.000000001,V7/Debt!V121,0)</f>
        <v/>
      </c>
      <c r="W17" s="6">
        <f>IF(Debt!W121&gt;0.000000001,W7/Debt!W121,0)</f>
        <v/>
      </c>
      <c r="X17" s="6">
        <f>IF(Debt!X121&gt;0.000000001,X7/Debt!X121,0)</f>
        <v/>
      </c>
      <c r="Y17" s="6">
        <f>IF(Debt!Y121&gt;0.000000001,Y7/Debt!Y121,0)</f>
        <v/>
      </c>
      <c r="Z17" s="6">
        <f>IF(Debt!Z121&gt;0.000000001,Z7/Debt!Z121,0)</f>
        <v/>
      </c>
      <c r="AA17" s="6">
        <f>IF(Debt!AA121&gt;0.000000001,AA7/Debt!AA121,0)</f>
        <v/>
      </c>
      <c r="AB17" s="6">
        <f>IF(Debt!AB121&gt;0.000000001,AB7/Debt!AB121,0)</f>
        <v/>
      </c>
      <c r="AC17" s="6">
        <f>IF(Debt!AC121&gt;0.000000001,AC7/Debt!AC121,0)</f>
        <v/>
      </c>
      <c r="AD17" s="6">
        <f>IF(Debt!AD121&gt;0.000000001,AD7/Debt!AD121,0)</f>
        <v/>
      </c>
      <c r="AE17" s="6">
        <f>IF(Debt!AE121&gt;0.000000001,AE7/Debt!AE121,0)</f>
        <v/>
      </c>
      <c r="AF17" s="6">
        <f>IF(Debt!AF121&gt;0.000000001,AF7/Debt!AF121,0)</f>
        <v/>
      </c>
      <c r="AG17" s="6">
        <f>IF(Debt!AG121&gt;0.000000001,AG7/Debt!AG121,0)</f>
        <v/>
      </c>
      <c r="AH17" s="6">
        <f>IF(Debt!AH121&gt;0.000000001,AH7/Debt!AH121,0)</f>
        <v/>
      </c>
      <c r="AI17" s="6">
        <f>IF(Debt!AI121&gt;0.000000001,AI7/Debt!AI121,0)</f>
        <v/>
      </c>
      <c r="AJ17" s="6">
        <f>IF(Debt!AJ121&gt;0.000000001,AJ7/Debt!AJ121,0)</f>
        <v/>
      </c>
      <c r="AK17" s="6">
        <f>IF(Debt!AK121&gt;0.000000001,AK7/Debt!AK121,0)</f>
        <v/>
      </c>
      <c r="AL17" s="6">
        <f>IF(Debt!AL121&gt;0.000000001,AL7/Debt!AL121,0)</f>
        <v/>
      </c>
      <c r="AM17" s="6">
        <f>IF(Debt!AM121&gt;0.000000001,AM7/Debt!AM121,0)</f>
        <v/>
      </c>
      <c r="AN17" s="6">
        <f>IF(Debt!AN121&gt;0.000000001,AN7/Debt!AN121,0)</f>
        <v/>
      </c>
      <c r="AO17" s="6">
        <f>IF(Debt!AO121&gt;0.000000001,AO7/Debt!AO121,0)</f>
        <v/>
      </c>
      <c r="AP17" s="6">
        <f>IF(Debt!AP121&gt;0.000000001,AP7/Debt!AP121,0)</f>
        <v/>
      </c>
      <c r="AQ17" s="6">
        <f>IF(Debt!AQ121&gt;0.000000001,AQ7/Debt!AQ121,0)</f>
        <v/>
      </c>
      <c r="AR17" s="6">
        <f>IF(Debt!AR121&gt;0.000000001,AR7/Debt!AR121,0)</f>
        <v/>
      </c>
      <c r="AS17" s="6">
        <f>IF(Debt!AS121&gt;0.000000001,AS7/Debt!AS121,0)</f>
        <v/>
      </c>
      <c r="AT17" s="6">
        <f>IF(Debt!AT121&gt;0.000000001,AT7/Debt!AT121,0)</f>
        <v/>
      </c>
      <c r="AU17" s="6">
        <f>IF(Debt!AU121&gt;0.000000001,AU7/Debt!AU121,0)</f>
        <v/>
      </c>
      <c r="AV17" s="6">
        <f>IF(Debt!AV121&gt;0.000000001,AV7/Debt!AV121,0)</f>
        <v/>
      </c>
      <c r="AW17" s="6">
        <f>IF(Debt!AW121&gt;0.000000001,AW7/Debt!AW121,0)</f>
        <v/>
      </c>
      <c r="AX17" s="6">
        <f>IF(Debt!AX121&gt;0.000000001,AX7/Debt!AX121,0)</f>
        <v/>
      </c>
      <c r="AY17" s="6">
        <f>IF(Debt!AY121&gt;0.000000001,AY7/Debt!AY121,0)</f>
        <v/>
      </c>
      <c r="AZ17" s="6">
        <f>IF(Debt!AZ121&gt;0.000000001,AZ7/Debt!AZ121,0)</f>
        <v/>
      </c>
      <c r="BA17" s="6">
        <f>IF(Debt!BA121&gt;0.000000001,BA7/Debt!BA121,0)</f>
        <v/>
      </c>
      <c r="BB17" s="6">
        <f>IF(Debt!BB121&gt;0.000000001,BB7/Debt!BB121,0)</f>
        <v/>
      </c>
      <c r="BC17" s="6">
        <f>IF(Debt!BC121&gt;0.000000001,BC7/Debt!BC121,0)</f>
        <v/>
      </c>
      <c r="BD17" s="6">
        <f>IF(Debt!BD121&gt;0.000000001,BD7/Debt!BD121,0)</f>
        <v/>
      </c>
      <c r="BE17" s="6">
        <f>IF(Debt!BE121&gt;0.000000001,BE7/Debt!BE121,0)</f>
        <v/>
      </c>
      <c r="BF17" s="6">
        <f>IF(Debt!BF121&gt;0.000000001,BF7/Debt!BF121,0)</f>
        <v/>
      </c>
      <c r="BG17" s="6">
        <f>IF(Debt!BG121&gt;0.000000001,BG7/Debt!BG121,0)</f>
        <v/>
      </c>
      <c r="BH17" s="6">
        <f>IF(Debt!BH121&gt;0.000000001,BH7/Debt!BH121,0)</f>
        <v/>
      </c>
      <c r="BI17" s="6">
        <f>IF(Debt!BI121&gt;0.000000001,BI7/Debt!BI121,0)</f>
        <v/>
      </c>
      <c r="BJ17" s="6">
        <f>IF(Debt!BJ121&gt;0.000000001,BJ7/Debt!BJ121,0)</f>
        <v/>
      </c>
      <c r="BK17" s="6">
        <f>IF(Debt!BK121&gt;0.000000001,BK7/Debt!BK121,0)</f>
        <v/>
      </c>
      <c r="BL17" s="6">
        <f>IF(Debt!BL121&gt;0.000000001,BL7/Debt!BL121,0)</f>
        <v/>
      </c>
      <c r="BM17" s="6">
        <f>IF(Debt!BM121&gt;0.000000001,BM7/Debt!BM121,0)</f>
        <v/>
      </c>
      <c r="BN17" s="6">
        <f>IF(Debt!BN121&gt;0.000000001,BN7/Debt!BN121,0)</f>
        <v/>
      </c>
    </row>
    <row r="18">
      <c r="D18" t="inlineStr">
        <is>
          <t>DSCR, historic 12 months (cash basis)</t>
        </is>
      </c>
      <c r="E18" t="inlineStr">
        <is>
          <t>x</t>
        </is>
      </c>
      <c r="J18" s="6">
        <f>IF(Debt!J121&gt;0.000000001,IF(0&gt;0.000000001,(J7+0)/(Debt!J121+0),J17),0)</f>
        <v/>
      </c>
      <c r="K18" s="6">
        <f>IF(Debt!K121&gt;0.000000001,IF(Debt!J121&gt;0.000000001,(K7+J7)/(Debt!K121+Debt!J121),K17),0)</f>
        <v/>
      </c>
      <c r="L18" s="6">
        <f>IF(Debt!L121&gt;0.000000001,IF(Debt!K121&gt;0.000000001,(L7+K7)/(Debt!L121+Debt!K121),L17),0)</f>
        <v/>
      </c>
      <c r="M18" s="6">
        <f>IF(Debt!M121&gt;0.000000001,IF(Debt!L121&gt;0.000000001,(M7+L7)/(Debt!M121+Debt!L121),M17),0)</f>
        <v/>
      </c>
      <c r="N18" s="6">
        <f>IF(Debt!N121&gt;0.000000001,IF(Debt!M121&gt;0.000000001,(N7+M7)/(Debt!N121+Debt!M121),N17),0)</f>
        <v/>
      </c>
      <c r="O18" s="6">
        <f>IF(Debt!O121&gt;0.000000001,IF(Debt!N121&gt;0.000000001,(O7+N7)/(Debt!O121+Debt!N121),O17),0)</f>
        <v/>
      </c>
      <c r="P18" s="6">
        <f>IF(Debt!P121&gt;0.000000001,IF(Debt!O121&gt;0.000000001,(P7+O7)/(Debt!P121+Debt!O121),P17),0)</f>
        <v/>
      </c>
      <c r="Q18" s="6">
        <f>IF(Debt!Q121&gt;0.000000001,IF(Debt!P121&gt;0.000000001,(Q7+P7)/(Debt!Q121+Debt!P121),Q17),0)</f>
        <v/>
      </c>
      <c r="R18" s="6">
        <f>IF(Debt!R121&gt;0.000000001,IF(Debt!Q121&gt;0.000000001,(R7+Q7)/(Debt!R121+Debt!Q121),R17),0)</f>
        <v/>
      </c>
      <c r="S18" s="6">
        <f>IF(Debt!S121&gt;0.000000001,IF(Debt!R121&gt;0.000000001,(S7+R7)/(Debt!S121+Debt!R121),S17),0)</f>
        <v/>
      </c>
      <c r="T18" s="6">
        <f>IF(Debt!T121&gt;0.000000001,IF(Debt!S121&gt;0.000000001,(T7+S7)/(Debt!T121+Debt!S121),T17),0)</f>
        <v/>
      </c>
      <c r="U18" s="6">
        <f>IF(Debt!U121&gt;0.000000001,IF(Debt!T121&gt;0.000000001,(U7+T7)/(Debt!U121+Debt!T121),U17),0)</f>
        <v/>
      </c>
      <c r="V18" s="6">
        <f>IF(Debt!V121&gt;0.000000001,IF(Debt!U121&gt;0.000000001,(V7+U7)/(Debt!V121+Debt!U121),V17),0)</f>
        <v/>
      </c>
      <c r="W18" s="6">
        <f>IF(Debt!W121&gt;0.000000001,IF(Debt!V121&gt;0.000000001,(W7+V7)/(Debt!W121+Debt!V121),W17),0)</f>
        <v/>
      </c>
      <c r="X18" s="6">
        <f>IF(Debt!X121&gt;0.000000001,IF(Debt!W121&gt;0.000000001,(X7+W7)/(Debt!X121+Debt!W121),X17),0)</f>
        <v/>
      </c>
      <c r="Y18" s="6">
        <f>IF(Debt!Y121&gt;0.000000001,IF(Debt!X121&gt;0.000000001,(Y7+X7)/(Debt!Y121+Debt!X121),Y17),0)</f>
        <v/>
      </c>
      <c r="Z18" s="6">
        <f>IF(Debt!Z121&gt;0.000000001,IF(Debt!Y121&gt;0.000000001,(Z7+Y7)/(Debt!Z121+Debt!Y121),Z17),0)</f>
        <v/>
      </c>
      <c r="AA18" s="6">
        <f>IF(Debt!AA121&gt;0.000000001,IF(Debt!Z121&gt;0.000000001,(AA7+Z7)/(Debt!AA121+Debt!Z121),AA17),0)</f>
        <v/>
      </c>
      <c r="AB18" s="6">
        <f>IF(Debt!AB121&gt;0.000000001,IF(Debt!AA121&gt;0.000000001,(AB7+AA7)/(Debt!AB121+Debt!AA121),AB17),0)</f>
        <v/>
      </c>
      <c r="AC18" s="6">
        <f>IF(Debt!AC121&gt;0.000000001,IF(Debt!AB121&gt;0.000000001,(AC7+AB7)/(Debt!AC121+Debt!AB121),AC17),0)</f>
        <v/>
      </c>
      <c r="AD18" s="6">
        <f>IF(Debt!AD121&gt;0.000000001,IF(Debt!AC121&gt;0.000000001,(AD7+AC7)/(Debt!AD121+Debt!AC121),AD17),0)</f>
        <v/>
      </c>
      <c r="AE18" s="6">
        <f>IF(Debt!AE121&gt;0.000000001,IF(Debt!AD121&gt;0.000000001,(AE7+AD7)/(Debt!AE121+Debt!AD121),AE17),0)</f>
        <v/>
      </c>
      <c r="AF18" s="6">
        <f>IF(Debt!AF121&gt;0.000000001,IF(Debt!AE121&gt;0.000000001,(AF7+AE7)/(Debt!AF121+Debt!AE121),AF17),0)</f>
        <v/>
      </c>
      <c r="AG18" s="6">
        <f>IF(Debt!AG121&gt;0.000000001,IF(Debt!AF121&gt;0.000000001,(AG7+AF7)/(Debt!AG121+Debt!AF121),AG17),0)</f>
        <v/>
      </c>
      <c r="AH18" s="6">
        <f>IF(Debt!AH121&gt;0.000000001,IF(Debt!AG121&gt;0.000000001,(AH7+AG7)/(Debt!AH121+Debt!AG121),AH17),0)</f>
        <v/>
      </c>
      <c r="AI18" s="6">
        <f>IF(Debt!AI121&gt;0.000000001,IF(Debt!AH121&gt;0.000000001,(AI7+AH7)/(Debt!AI121+Debt!AH121),AI17),0)</f>
        <v/>
      </c>
      <c r="AJ18" s="6">
        <f>IF(Debt!AJ121&gt;0.000000001,IF(Debt!AI121&gt;0.000000001,(AJ7+AI7)/(Debt!AJ121+Debt!AI121),AJ17),0)</f>
        <v/>
      </c>
      <c r="AK18" s="6">
        <f>IF(Debt!AK121&gt;0.000000001,IF(Debt!AJ121&gt;0.000000001,(AK7+AJ7)/(Debt!AK121+Debt!AJ121),AK17),0)</f>
        <v/>
      </c>
      <c r="AL18" s="6">
        <f>IF(Debt!AL121&gt;0.000000001,IF(Debt!AK121&gt;0.000000001,(AL7+AK7)/(Debt!AL121+Debt!AK121),AL17),0)</f>
        <v/>
      </c>
      <c r="AM18" s="6">
        <f>IF(Debt!AM121&gt;0.000000001,IF(Debt!AL121&gt;0.000000001,(AM7+AL7)/(Debt!AM121+Debt!AL121),AM17),0)</f>
        <v/>
      </c>
      <c r="AN18" s="6">
        <f>IF(Debt!AN121&gt;0.000000001,IF(Debt!AM121&gt;0.000000001,(AN7+AM7)/(Debt!AN121+Debt!AM121),AN17),0)</f>
        <v/>
      </c>
      <c r="AO18" s="6">
        <f>IF(Debt!AO121&gt;0.000000001,IF(Debt!AN121&gt;0.000000001,(AO7+AN7)/(Debt!AO121+Debt!AN121),AO17),0)</f>
        <v/>
      </c>
      <c r="AP18" s="6">
        <f>IF(Debt!AP121&gt;0.000000001,IF(Debt!AO121&gt;0.000000001,(AP7+AO7)/(Debt!AP121+Debt!AO121),AP17),0)</f>
        <v/>
      </c>
      <c r="AQ18" s="6">
        <f>IF(Debt!AQ121&gt;0.000000001,IF(Debt!AP121&gt;0.000000001,(AQ7+AP7)/(Debt!AQ121+Debt!AP121),AQ17),0)</f>
        <v/>
      </c>
      <c r="AR18" s="6">
        <f>IF(Debt!AR121&gt;0.000000001,IF(Debt!AQ121&gt;0.000000001,(AR7+AQ7)/(Debt!AR121+Debt!AQ121),AR17),0)</f>
        <v/>
      </c>
      <c r="AS18" s="6">
        <f>IF(Debt!AS121&gt;0.000000001,IF(Debt!AR121&gt;0.000000001,(AS7+AR7)/(Debt!AS121+Debt!AR121),AS17),0)</f>
        <v/>
      </c>
      <c r="AT18" s="6">
        <f>IF(Debt!AT121&gt;0.000000001,IF(Debt!AS121&gt;0.000000001,(AT7+AS7)/(Debt!AT121+Debt!AS121),AT17),0)</f>
        <v/>
      </c>
      <c r="AU18" s="6">
        <f>IF(Debt!AU121&gt;0.000000001,IF(Debt!AT121&gt;0.000000001,(AU7+AT7)/(Debt!AU121+Debt!AT121),AU17),0)</f>
        <v/>
      </c>
      <c r="AV18" s="6">
        <f>IF(Debt!AV121&gt;0.000000001,IF(Debt!AU121&gt;0.000000001,(AV7+AU7)/(Debt!AV121+Debt!AU121),AV17),0)</f>
        <v/>
      </c>
      <c r="AW18" s="6">
        <f>IF(Debt!AW121&gt;0.000000001,IF(Debt!AV121&gt;0.000000001,(AW7+AV7)/(Debt!AW121+Debt!AV121),AW17),0)</f>
        <v/>
      </c>
      <c r="AX18" s="6">
        <f>IF(Debt!AX121&gt;0.000000001,IF(Debt!AW121&gt;0.000000001,(AX7+AW7)/(Debt!AX121+Debt!AW121),AX17),0)</f>
        <v/>
      </c>
      <c r="AY18" s="6">
        <f>IF(Debt!AY121&gt;0.000000001,IF(Debt!AX121&gt;0.000000001,(AY7+AX7)/(Debt!AY121+Debt!AX121),AY17),0)</f>
        <v/>
      </c>
      <c r="AZ18" s="6">
        <f>IF(Debt!AZ121&gt;0.000000001,IF(Debt!AY121&gt;0.000000001,(AZ7+AY7)/(Debt!AZ121+Debt!AY121),AZ17),0)</f>
        <v/>
      </c>
      <c r="BA18" s="6">
        <f>IF(Debt!BA121&gt;0.000000001,IF(Debt!AZ121&gt;0.000000001,(BA7+AZ7)/(Debt!BA121+Debt!AZ121),BA17),0)</f>
        <v/>
      </c>
      <c r="BB18" s="6">
        <f>IF(Debt!BB121&gt;0.000000001,IF(Debt!BA121&gt;0.000000001,(BB7+BA7)/(Debt!BB121+Debt!BA121),BB17),0)</f>
        <v/>
      </c>
      <c r="BC18" s="6">
        <f>IF(Debt!BC121&gt;0.000000001,IF(Debt!BB121&gt;0.000000001,(BC7+BB7)/(Debt!BC121+Debt!BB121),BC17),0)</f>
        <v/>
      </c>
      <c r="BD18" s="6">
        <f>IF(Debt!BD121&gt;0.000000001,IF(Debt!BC121&gt;0.000000001,(BD7+BC7)/(Debt!BD121+Debt!BC121),BD17),0)</f>
        <v/>
      </c>
      <c r="BE18" s="6">
        <f>IF(Debt!BE121&gt;0.000000001,IF(Debt!BD121&gt;0.000000001,(BE7+BD7)/(Debt!BE121+Debt!BD121),BE17),0)</f>
        <v/>
      </c>
      <c r="BF18" s="6">
        <f>IF(Debt!BF121&gt;0.000000001,IF(Debt!BE121&gt;0.000000001,(BF7+BE7)/(Debt!BF121+Debt!BE121),BF17),0)</f>
        <v/>
      </c>
      <c r="BG18" s="6">
        <f>IF(Debt!BG121&gt;0.000000001,IF(Debt!BF121&gt;0.000000001,(BG7+BF7)/(Debt!BG121+Debt!BF121),BG17),0)</f>
        <v/>
      </c>
      <c r="BH18" s="6">
        <f>IF(Debt!BH121&gt;0.000000001,IF(Debt!BG121&gt;0.000000001,(BH7+BG7)/(Debt!BH121+Debt!BG121),BH17),0)</f>
        <v/>
      </c>
      <c r="BI18" s="6">
        <f>IF(Debt!BI121&gt;0.000000001,IF(Debt!BH121&gt;0.000000001,(BI7+BH7)/(Debt!BI121+Debt!BH121),BI17),0)</f>
        <v/>
      </c>
      <c r="BJ18" s="6">
        <f>IF(Debt!BJ121&gt;0.000000001,IF(Debt!BI121&gt;0.000000001,(BJ7+BI7)/(Debt!BJ121+Debt!BI121),BJ17),0)</f>
        <v/>
      </c>
      <c r="BK18" s="6">
        <f>IF(Debt!BK121&gt;0.000000001,IF(Debt!BJ121&gt;0.000000001,(BK7+BJ7)/(Debt!BK121+Debt!BJ121),BK17),0)</f>
        <v/>
      </c>
      <c r="BL18" s="6">
        <f>IF(Debt!BL121&gt;0.000000001,IF(Debt!BK121&gt;0.000000001,(BL7+BK7)/(Debt!BL121+Debt!BK121),BL17),0)</f>
        <v/>
      </c>
      <c r="BM18" s="6">
        <f>IF(Debt!BM121&gt;0.000000001,IF(Debt!BL121&gt;0.000000001,(BM7+BL7)/(Debt!BM121+Debt!BL121),BM17),0)</f>
        <v/>
      </c>
      <c r="BN18" s="6">
        <f>IF(Debt!BN121&gt;0.000000001,IF(Debt!BM121&gt;0.000000001,(BN7+BM7)/(Debt!BN121+Debt!BM121),BN17),0)</f>
        <v/>
      </c>
    </row>
    <row r="19">
      <c r="D19" t="inlineStr">
        <is>
          <t>First repayment made</t>
        </is>
      </c>
      <c r="E19" t="inlineStr">
        <is>
          <t>flag</t>
        </is>
      </c>
      <c r="J19" s="9">
        <f>IF(SUM(Debt!J$120:J$120)&gt;0.000000001,1,0)</f>
        <v/>
      </c>
      <c r="K19" s="9">
        <f>IF(SUM(Debt!$J$120:K$120)&gt;0.000000001,1,0)</f>
        <v/>
      </c>
      <c r="L19" s="9">
        <f>IF(SUM(Debt!$J$120:L$120)&gt;0.000000001,1,0)</f>
        <v/>
      </c>
      <c r="M19" s="9">
        <f>IF(SUM(Debt!$J$120:M$120)&gt;0.000000001,1,0)</f>
        <v/>
      </c>
      <c r="N19" s="9">
        <f>IF(SUM(Debt!$J$120:N$120)&gt;0.000000001,1,0)</f>
        <v/>
      </c>
      <c r="O19" s="9">
        <f>IF(SUM(Debt!$J$120:O$120)&gt;0.000000001,1,0)</f>
        <v/>
      </c>
      <c r="P19" s="9">
        <f>IF(SUM(Debt!$J$120:P$120)&gt;0.000000001,1,0)</f>
        <v/>
      </c>
      <c r="Q19" s="9">
        <f>IF(SUM(Debt!$J$120:Q$120)&gt;0.000000001,1,0)</f>
        <v/>
      </c>
      <c r="R19" s="9">
        <f>IF(SUM(Debt!$J$120:R$120)&gt;0.000000001,1,0)</f>
        <v/>
      </c>
      <c r="S19" s="9">
        <f>IF(SUM(Debt!$J$120:S$120)&gt;0.000000001,1,0)</f>
        <v/>
      </c>
      <c r="T19" s="9">
        <f>IF(SUM(Debt!$J$120:T$120)&gt;0.000000001,1,0)</f>
        <v/>
      </c>
      <c r="U19" s="9">
        <f>IF(SUM(Debt!$J$120:U$120)&gt;0.000000001,1,0)</f>
        <v/>
      </c>
      <c r="V19" s="9">
        <f>IF(SUM(Debt!$J$120:V$120)&gt;0.000000001,1,0)</f>
        <v/>
      </c>
      <c r="W19" s="9">
        <f>IF(SUM(Debt!$J$120:W$120)&gt;0.000000001,1,0)</f>
        <v/>
      </c>
      <c r="X19" s="9">
        <f>IF(SUM(Debt!$J$120:X$120)&gt;0.000000001,1,0)</f>
        <v/>
      </c>
      <c r="Y19" s="9">
        <f>IF(SUM(Debt!$J$120:Y$120)&gt;0.000000001,1,0)</f>
        <v/>
      </c>
      <c r="Z19" s="9">
        <f>IF(SUM(Debt!$J$120:Z$120)&gt;0.000000001,1,0)</f>
        <v/>
      </c>
      <c r="AA19" s="9">
        <f>IF(SUM(Debt!$J$120:AA$120)&gt;0.000000001,1,0)</f>
        <v/>
      </c>
      <c r="AB19" s="9">
        <f>IF(SUM(Debt!$J$120:AB$120)&gt;0.000000001,1,0)</f>
        <v/>
      </c>
      <c r="AC19" s="9">
        <f>IF(SUM(Debt!$J$120:AC$120)&gt;0.000000001,1,0)</f>
        <v/>
      </c>
      <c r="AD19" s="9">
        <f>IF(SUM(Debt!$J$120:AD$120)&gt;0.000000001,1,0)</f>
        <v/>
      </c>
      <c r="AE19" s="9">
        <f>IF(SUM(Debt!$J$120:AE$120)&gt;0.000000001,1,0)</f>
        <v/>
      </c>
      <c r="AF19" s="9">
        <f>IF(SUM(Debt!$J$120:AF$120)&gt;0.000000001,1,0)</f>
        <v/>
      </c>
      <c r="AG19" s="9">
        <f>IF(SUM(Debt!$J$120:AG$120)&gt;0.000000001,1,0)</f>
        <v/>
      </c>
      <c r="AH19" s="9">
        <f>IF(SUM(Debt!$J$120:AH$120)&gt;0.000000001,1,0)</f>
        <v/>
      </c>
      <c r="AI19" s="9">
        <f>IF(SUM(Debt!$J$120:AI$120)&gt;0.000000001,1,0)</f>
        <v/>
      </c>
      <c r="AJ19" s="9">
        <f>IF(SUM(Debt!$J$120:AJ$120)&gt;0.000000001,1,0)</f>
        <v/>
      </c>
      <c r="AK19" s="9">
        <f>IF(SUM(Debt!$J$120:AK$120)&gt;0.000000001,1,0)</f>
        <v/>
      </c>
      <c r="AL19" s="9">
        <f>IF(SUM(Debt!$J$120:AL$120)&gt;0.000000001,1,0)</f>
        <v/>
      </c>
      <c r="AM19" s="9">
        <f>IF(SUM(Debt!$J$120:AM$120)&gt;0.000000001,1,0)</f>
        <v/>
      </c>
      <c r="AN19" s="9">
        <f>IF(SUM(Debt!$J$120:AN$120)&gt;0.000000001,1,0)</f>
        <v/>
      </c>
      <c r="AO19" s="9">
        <f>IF(SUM(Debt!$J$120:AO$120)&gt;0.000000001,1,0)</f>
        <v/>
      </c>
      <c r="AP19" s="9">
        <f>IF(SUM(Debt!$J$120:AP$120)&gt;0.000000001,1,0)</f>
        <v/>
      </c>
      <c r="AQ19" s="9">
        <f>IF(SUM(Debt!$J$120:AQ$120)&gt;0.000000001,1,0)</f>
        <v/>
      </c>
      <c r="AR19" s="9">
        <f>IF(SUM(Debt!$J$120:AR$120)&gt;0.000000001,1,0)</f>
        <v/>
      </c>
      <c r="AS19" s="9">
        <f>IF(SUM(Debt!$J$120:AS$120)&gt;0.000000001,1,0)</f>
        <v/>
      </c>
      <c r="AT19" s="9">
        <f>IF(SUM(Debt!$J$120:AT$120)&gt;0.000000001,1,0)</f>
        <v/>
      </c>
      <c r="AU19" s="9">
        <f>IF(SUM(Debt!$J$120:AU$120)&gt;0.000000001,1,0)</f>
        <v/>
      </c>
      <c r="AV19" s="9">
        <f>IF(SUM(Debt!$J$120:AV$120)&gt;0.000000001,1,0)</f>
        <v/>
      </c>
      <c r="AW19" s="9">
        <f>IF(SUM(Debt!$J$120:AW$120)&gt;0.000000001,1,0)</f>
        <v/>
      </c>
      <c r="AX19" s="9">
        <f>IF(SUM(Debt!$J$120:AX$120)&gt;0.000000001,1,0)</f>
        <v/>
      </c>
      <c r="AY19" s="9">
        <f>IF(SUM(Debt!$J$120:AY$120)&gt;0.000000001,1,0)</f>
        <v/>
      </c>
      <c r="AZ19" s="9">
        <f>IF(SUM(Debt!$J$120:AZ$120)&gt;0.000000001,1,0)</f>
        <v/>
      </c>
      <c r="BA19" s="9">
        <f>IF(SUM(Debt!$J$120:BA$120)&gt;0.000000001,1,0)</f>
        <v/>
      </c>
      <c r="BB19" s="9">
        <f>IF(SUM(Debt!$J$120:BB$120)&gt;0.000000001,1,0)</f>
        <v/>
      </c>
      <c r="BC19" s="9">
        <f>IF(SUM(Debt!$J$120:BC$120)&gt;0.000000001,1,0)</f>
        <v/>
      </c>
      <c r="BD19" s="9">
        <f>IF(SUM(Debt!$J$120:BD$120)&gt;0.000000001,1,0)</f>
        <v/>
      </c>
      <c r="BE19" s="9">
        <f>IF(SUM(Debt!$J$120:BE$120)&gt;0.000000001,1,0)</f>
        <v/>
      </c>
      <c r="BF19" s="9">
        <f>IF(SUM(Debt!$J$120:BF$120)&gt;0.000000001,1,0)</f>
        <v/>
      </c>
      <c r="BG19" s="9">
        <f>IF(SUM(Debt!$J$120:BG$120)&gt;0.000000001,1,0)</f>
        <v/>
      </c>
      <c r="BH19" s="9">
        <f>IF(SUM(Debt!$J$120:BH$120)&gt;0.000000001,1,0)</f>
        <v/>
      </c>
      <c r="BI19" s="9">
        <f>IF(SUM(Debt!$J$120:BI$120)&gt;0.000000001,1,0)</f>
        <v/>
      </c>
      <c r="BJ19" s="9">
        <f>IF(SUM(Debt!$J$120:BJ$120)&gt;0.000000001,1,0)</f>
        <v/>
      </c>
      <c r="BK19" s="9">
        <f>IF(SUM(Debt!$J$120:BK$120)&gt;0.000000001,1,0)</f>
        <v/>
      </c>
      <c r="BL19" s="9">
        <f>IF(SUM(Debt!$J$120:BL$120)&gt;0.000000001,1,0)</f>
        <v/>
      </c>
      <c r="BM19" s="9">
        <f>IF(SUM(Debt!$J$120:BM$120)&gt;0.000000001,1,0)</f>
        <v/>
      </c>
      <c r="BN19" s="9">
        <f>IF(SUM(Debt!$J$120:BN$120)&gt;0.000000001,1,0)</f>
        <v/>
      </c>
    </row>
    <row r="20">
      <c r="D20" t="inlineStr">
        <is>
          <t>Event of default (historic DSCR &lt; 1.10x)</t>
        </is>
      </c>
      <c r="E20" t="inlineStr">
        <is>
          <t>flag</t>
        </is>
      </c>
      <c r="J20" s="9">
        <f>IF(AND(Debt!J121&gt;0.000000001,J18&lt;Inputs!$F$107),1,0)</f>
        <v/>
      </c>
      <c r="K20" s="9">
        <f>IF(AND(Debt!K121&gt;0.000000001,K18&lt;Inputs!$F$107),1,0)</f>
        <v/>
      </c>
      <c r="L20" s="9">
        <f>IF(AND(Debt!L121&gt;0.000000001,L18&lt;Inputs!$F$107),1,0)</f>
        <v/>
      </c>
      <c r="M20" s="9">
        <f>IF(AND(Debt!M121&gt;0.000000001,M18&lt;Inputs!$F$107),1,0)</f>
        <v/>
      </c>
      <c r="N20" s="9">
        <f>IF(AND(Debt!N121&gt;0.000000001,N18&lt;Inputs!$F$107),1,0)</f>
        <v/>
      </c>
      <c r="O20" s="9">
        <f>IF(AND(Debt!O121&gt;0.000000001,O18&lt;Inputs!$F$107),1,0)</f>
        <v/>
      </c>
      <c r="P20" s="9">
        <f>IF(AND(Debt!P121&gt;0.000000001,P18&lt;Inputs!$F$107),1,0)</f>
        <v/>
      </c>
      <c r="Q20" s="9">
        <f>IF(AND(Debt!Q121&gt;0.000000001,Q18&lt;Inputs!$F$107),1,0)</f>
        <v/>
      </c>
      <c r="R20" s="9">
        <f>IF(AND(Debt!R121&gt;0.000000001,R18&lt;Inputs!$F$107),1,0)</f>
        <v/>
      </c>
      <c r="S20" s="9">
        <f>IF(AND(Debt!S121&gt;0.000000001,S18&lt;Inputs!$F$107),1,0)</f>
        <v/>
      </c>
      <c r="T20" s="9">
        <f>IF(AND(Debt!T121&gt;0.000000001,T18&lt;Inputs!$F$107),1,0)</f>
        <v/>
      </c>
      <c r="U20" s="9">
        <f>IF(AND(Debt!U121&gt;0.000000001,U18&lt;Inputs!$F$107),1,0)</f>
        <v/>
      </c>
      <c r="V20" s="9">
        <f>IF(AND(Debt!V121&gt;0.000000001,V18&lt;Inputs!$F$107),1,0)</f>
        <v/>
      </c>
      <c r="W20" s="9">
        <f>IF(AND(Debt!W121&gt;0.000000001,W18&lt;Inputs!$F$107),1,0)</f>
        <v/>
      </c>
      <c r="X20" s="9">
        <f>IF(AND(Debt!X121&gt;0.000000001,X18&lt;Inputs!$F$107),1,0)</f>
        <v/>
      </c>
      <c r="Y20" s="9">
        <f>IF(AND(Debt!Y121&gt;0.000000001,Y18&lt;Inputs!$F$107),1,0)</f>
        <v/>
      </c>
      <c r="Z20" s="9">
        <f>IF(AND(Debt!Z121&gt;0.000000001,Z18&lt;Inputs!$F$107),1,0)</f>
        <v/>
      </c>
      <c r="AA20" s="9">
        <f>IF(AND(Debt!AA121&gt;0.000000001,AA18&lt;Inputs!$F$107),1,0)</f>
        <v/>
      </c>
      <c r="AB20" s="9">
        <f>IF(AND(Debt!AB121&gt;0.000000001,AB18&lt;Inputs!$F$107),1,0)</f>
        <v/>
      </c>
      <c r="AC20" s="9">
        <f>IF(AND(Debt!AC121&gt;0.000000001,AC18&lt;Inputs!$F$107),1,0)</f>
        <v/>
      </c>
      <c r="AD20" s="9">
        <f>IF(AND(Debt!AD121&gt;0.000000001,AD18&lt;Inputs!$F$107),1,0)</f>
        <v/>
      </c>
      <c r="AE20" s="9">
        <f>IF(AND(Debt!AE121&gt;0.000000001,AE18&lt;Inputs!$F$107),1,0)</f>
        <v/>
      </c>
      <c r="AF20" s="9">
        <f>IF(AND(Debt!AF121&gt;0.000000001,AF18&lt;Inputs!$F$107),1,0)</f>
        <v/>
      </c>
      <c r="AG20" s="9">
        <f>IF(AND(Debt!AG121&gt;0.000000001,AG18&lt;Inputs!$F$107),1,0)</f>
        <v/>
      </c>
      <c r="AH20" s="9">
        <f>IF(AND(Debt!AH121&gt;0.000000001,AH18&lt;Inputs!$F$107),1,0)</f>
        <v/>
      </c>
      <c r="AI20" s="9">
        <f>IF(AND(Debt!AI121&gt;0.000000001,AI18&lt;Inputs!$F$107),1,0)</f>
        <v/>
      </c>
      <c r="AJ20" s="9">
        <f>IF(AND(Debt!AJ121&gt;0.000000001,AJ18&lt;Inputs!$F$107),1,0)</f>
        <v/>
      </c>
      <c r="AK20" s="9">
        <f>IF(AND(Debt!AK121&gt;0.000000001,AK18&lt;Inputs!$F$107),1,0)</f>
        <v/>
      </c>
      <c r="AL20" s="9">
        <f>IF(AND(Debt!AL121&gt;0.000000001,AL18&lt;Inputs!$F$107),1,0)</f>
        <v/>
      </c>
      <c r="AM20" s="9">
        <f>IF(AND(Debt!AM121&gt;0.000000001,AM18&lt;Inputs!$F$107),1,0)</f>
        <v/>
      </c>
      <c r="AN20" s="9">
        <f>IF(AND(Debt!AN121&gt;0.000000001,AN18&lt;Inputs!$F$107),1,0)</f>
        <v/>
      </c>
      <c r="AO20" s="9">
        <f>IF(AND(Debt!AO121&gt;0.000000001,AO18&lt;Inputs!$F$107),1,0)</f>
        <v/>
      </c>
      <c r="AP20" s="9">
        <f>IF(AND(Debt!AP121&gt;0.000000001,AP18&lt;Inputs!$F$107),1,0)</f>
        <v/>
      </c>
      <c r="AQ20" s="9">
        <f>IF(AND(Debt!AQ121&gt;0.000000001,AQ18&lt;Inputs!$F$107),1,0)</f>
        <v/>
      </c>
      <c r="AR20" s="9">
        <f>IF(AND(Debt!AR121&gt;0.000000001,AR18&lt;Inputs!$F$107),1,0)</f>
        <v/>
      </c>
      <c r="AS20" s="9">
        <f>IF(AND(Debt!AS121&gt;0.000000001,AS18&lt;Inputs!$F$107),1,0)</f>
        <v/>
      </c>
      <c r="AT20" s="9">
        <f>IF(AND(Debt!AT121&gt;0.000000001,AT18&lt;Inputs!$F$107),1,0)</f>
        <v/>
      </c>
      <c r="AU20" s="9">
        <f>IF(AND(Debt!AU121&gt;0.000000001,AU18&lt;Inputs!$F$107),1,0)</f>
        <v/>
      </c>
      <c r="AV20" s="9">
        <f>IF(AND(Debt!AV121&gt;0.000000001,AV18&lt;Inputs!$F$107),1,0)</f>
        <v/>
      </c>
      <c r="AW20" s="9">
        <f>IF(AND(Debt!AW121&gt;0.000000001,AW18&lt;Inputs!$F$107),1,0)</f>
        <v/>
      </c>
      <c r="AX20" s="9">
        <f>IF(AND(Debt!AX121&gt;0.000000001,AX18&lt;Inputs!$F$107),1,0)</f>
        <v/>
      </c>
      <c r="AY20" s="9">
        <f>IF(AND(Debt!AY121&gt;0.000000001,AY18&lt;Inputs!$F$107),1,0)</f>
        <v/>
      </c>
      <c r="AZ20" s="9">
        <f>IF(AND(Debt!AZ121&gt;0.000000001,AZ18&lt;Inputs!$F$107),1,0)</f>
        <v/>
      </c>
      <c r="BA20" s="9">
        <f>IF(AND(Debt!BA121&gt;0.000000001,BA18&lt;Inputs!$F$107),1,0)</f>
        <v/>
      </c>
      <c r="BB20" s="9">
        <f>IF(AND(Debt!BB121&gt;0.000000001,BB18&lt;Inputs!$F$107),1,0)</f>
        <v/>
      </c>
      <c r="BC20" s="9">
        <f>IF(AND(Debt!BC121&gt;0.000000001,BC18&lt;Inputs!$F$107),1,0)</f>
        <v/>
      </c>
      <c r="BD20" s="9">
        <f>IF(AND(Debt!BD121&gt;0.000000001,BD18&lt;Inputs!$F$107),1,0)</f>
        <v/>
      </c>
      <c r="BE20" s="9">
        <f>IF(AND(Debt!BE121&gt;0.000000001,BE18&lt;Inputs!$F$107),1,0)</f>
        <v/>
      </c>
      <c r="BF20" s="9">
        <f>IF(AND(Debt!BF121&gt;0.000000001,BF18&lt;Inputs!$F$107),1,0)</f>
        <v/>
      </c>
      <c r="BG20" s="9">
        <f>IF(AND(Debt!BG121&gt;0.000000001,BG18&lt;Inputs!$F$107),1,0)</f>
        <v/>
      </c>
      <c r="BH20" s="9">
        <f>IF(AND(Debt!BH121&gt;0.000000001,BH18&lt;Inputs!$F$107),1,0)</f>
        <v/>
      </c>
      <c r="BI20" s="9">
        <f>IF(AND(Debt!BI121&gt;0.000000001,BI18&lt;Inputs!$F$107),1,0)</f>
        <v/>
      </c>
      <c r="BJ20" s="9">
        <f>IF(AND(Debt!BJ121&gt;0.000000001,BJ18&lt;Inputs!$F$107),1,0)</f>
        <v/>
      </c>
      <c r="BK20" s="9">
        <f>IF(AND(Debt!BK121&gt;0.000000001,BK18&lt;Inputs!$F$107),1,0)</f>
        <v/>
      </c>
      <c r="BL20" s="9">
        <f>IF(AND(Debt!BL121&gt;0.000000001,BL18&lt;Inputs!$F$107),1,0)</f>
        <v/>
      </c>
      <c r="BM20" s="9">
        <f>IF(AND(Debt!BM121&gt;0.000000001,BM18&lt;Inputs!$F$107),1,0)</f>
        <v/>
      </c>
      <c r="BN20" s="9">
        <f>IF(AND(Debt!BN121&gt;0.000000001,BN18&lt;Inputs!$F$107),1,0)</f>
        <v/>
      </c>
    </row>
    <row r="21">
      <c r="D21" t="inlineStr">
        <is>
          <t>Tests waived (2023H1, 2023H2)</t>
        </is>
      </c>
      <c r="E21" t="inlineStr">
        <is>
          <t>flag</t>
        </is>
      </c>
      <c r="J21" s="9">
        <f>Inputs!$F$48*IF(OR(Time!J17=10,Time!J17=11),1,0)</f>
        <v/>
      </c>
      <c r="K21" s="9">
        <f>Inputs!$F$48*IF(OR(Time!K17=10,Time!K17=11),1,0)</f>
        <v/>
      </c>
      <c r="L21" s="9">
        <f>Inputs!$F$48*IF(OR(Time!L17=10,Time!L17=11),1,0)</f>
        <v/>
      </c>
      <c r="M21" s="9">
        <f>Inputs!$F$48*IF(OR(Time!M17=10,Time!M17=11),1,0)</f>
        <v/>
      </c>
      <c r="N21" s="9">
        <f>Inputs!$F$48*IF(OR(Time!N17=10,Time!N17=11),1,0)</f>
        <v/>
      </c>
      <c r="O21" s="9">
        <f>Inputs!$F$48*IF(OR(Time!O17=10,Time!O17=11),1,0)</f>
        <v/>
      </c>
      <c r="P21" s="9">
        <f>Inputs!$F$48*IF(OR(Time!P17=10,Time!P17=11),1,0)</f>
        <v/>
      </c>
      <c r="Q21" s="9">
        <f>Inputs!$F$48*IF(OR(Time!Q17=10,Time!Q17=11),1,0)</f>
        <v/>
      </c>
      <c r="R21" s="9">
        <f>Inputs!$F$48*IF(OR(Time!R17=10,Time!R17=11),1,0)</f>
        <v/>
      </c>
      <c r="S21" s="9">
        <f>Inputs!$F$48*IF(OR(Time!S17=10,Time!S17=11),1,0)</f>
        <v/>
      </c>
      <c r="T21" s="9">
        <f>Inputs!$F$48*IF(OR(Time!T17=10,Time!T17=11),1,0)</f>
        <v/>
      </c>
      <c r="U21" s="9">
        <f>Inputs!$F$48*IF(OR(Time!U17=10,Time!U17=11),1,0)</f>
        <v/>
      </c>
      <c r="V21" s="9">
        <f>Inputs!$F$48*IF(OR(Time!V17=10,Time!V17=11),1,0)</f>
        <v/>
      </c>
      <c r="W21" s="9">
        <f>Inputs!$F$48*IF(OR(Time!W17=10,Time!W17=11),1,0)</f>
        <v/>
      </c>
      <c r="X21" s="9">
        <f>Inputs!$F$48*IF(OR(Time!X17=10,Time!X17=11),1,0)</f>
        <v/>
      </c>
      <c r="Y21" s="9">
        <f>Inputs!$F$48*IF(OR(Time!Y17=10,Time!Y17=11),1,0)</f>
        <v/>
      </c>
      <c r="Z21" s="9">
        <f>Inputs!$F$48*IF(OR(Time!Z17=10,Time!Z17=11),1,0)</f>
        <v/>
      </c>
      <c r="AA21" s="9">
        <f>Inputs!$F$48*IF(OR(Time!AA17=10,Time!AA17=11),1,0)</f>
        <v/>
      </c>
      <c r="AB21" s="9">
        <f>Inputs!$F$48*IF(OR(Time!AB17=10,Time!AB17=11),1,0)</f>
        <v/>
      </c>
      <c r="AC21" s="9">
        <f>Inputs!$F$48*IF(OR(Time!AC17=10,Time!AC17=11),1,0)</f>
        <v/>
      </c>
      <c r="AD21" s="9">
        <f>Inputs!$F$48*IF(OR(Time!AD17=10,Time!AD17=11),1,0)</f>
        <v/>
      </c>
      <c r="AE21" s="9">
        <f>Inputs!$F$48*IF(OR(Time!AE17=10,Time!AE17=11),1,0)</f>
        <v/>
      </c>
      <c r="AF21" s="9">
        <f>Inputs!$F$48*IF(OR(Time!AF17=10,Time!AF17=11),1,0)</f>
        <v/>
      </c>
      <c r="AG21" s="9">
        <f>Inputs!$F$48*IF(OR(Time!AG17=10,Time!AG17=11),1,0)</f>
        <v/>
      </c>
      <c r="AH21" s="9">
        <f>Inputs!$F$48*IF(OR(Time!AH17=10,Time!AH17=11),1,0)</f>
        <v/>
      </c>
      <c r="AI21" s="9">
        <f>Inputs!$F$48*IF(OR(Time!AI17=10,Time!AI17=11),1,0)</f>
        <v/>
      </c>
      <c r="AJ21" s="9">
        <f>Inputs!$F$48*IF(OR(Time!AJ17=10,Time!AJ17=11),1,0)</f>
        <v/>
      </c>
      <c r="AK21" s="9">
        <f>Inputs!$F$48*IF(OR(Time!AK17=10,Time!AK17=11),1,0)</f>
        <v/>
      </c>
      <c r="AL21" s="9">
        <f>Inputs!$F$48*IF(OR(Time!AL17=10,Time!AL17=11),1,0)</f>
        <v/>
      </c>
      <c r="AM21" s="9">
        <f>Inputs!$F$48*IF(OR(Time!AM17=10,Time!AM17=11),1,0)</f>
        <v/>
      </c>
      <c r="AN21" s="9">
        <f>Inputs!$F$48*IF(OR(Time!AN17=10,Time!AN17=11),1,0)</f>
        <v/>
      </c>
      <c r="AO21" s="9">
        <f>Inputs!$F$48*IF(OR(Time!AO17=10,Time!AO17=11),1,0)</f>
        <v/>
      </c>
      <c r="AP21" s="9">
        <f>Inputs!$F$48*IF(OR(Time!AP17=10,Time!AP17=11),1,0)</f>
        <v/>
      </c>
      <c r="AQ21" s="9">
        <f>Inputs!$F$48*IF(OR(Time!AQ17=10,Time!AQ17=11),1,0)</f>
        <v/>
      </c>
      <c r="AR21" s="9">
        <f>Inputs!$F$48*IF(OR(Time!AR17=10,Time!AR17=11),1,0)</f>
        <v/>
      </c>
      <c r="AS21" s="9">
        <f>Inputs!$F$48*IF(OR(Time!AS17=10,Time!AS17=11),1,0)</f>
        <v/>
      </c>
      <c r="AT21" s="9">
        <f>Inputs!$F$48*IF(OR(Time!AT17=10,Time!AT17=11),1,0)</f>
        <v/>
      </c>
      <c r="AU21" s="9">
        <f>Inputs!$F$48*IF(OR(Time!AU17=10,Time!AU17=11),1,0)</f>
        <v/>
      </c>
      <c r="AV21" s="9">
        <f>Inputs!$F$48*IF(OR(Time!AV17=10,Time!AV17=11),1,0)</f>
        <v/>
      </c>
      <c r="AW21" s="9">
        <f>Inputs!$F$48*IF(OR(Time!AW17=10,Time!AW17=11),1,0)</f>
        <v/>
      </c>
      <c r="AX21" s="9">
        <f>Inputs!$F$48*IF(OR(Time!AX17=10,Time!AX17=11),1,0)</f>
        <v/>
      </c>
      <c r="AY21" s="9">
        <f>Inputs!$F$48*IF(OR(Time!AY17=10,Time!AY17=11),1,0)</f>
        <v/>
      </c>
      <c r="AZ21" s="9">
        <f>Inputs!$F$48*IF(OR(Time!AZ17=10,Time!AZ17=11),1,0)</f>
        <v/>
      </c>
      <c r="BA21" s="9">
        <f>Inputs!$F$48*IF(OR(Time!BA17=10,Time!BA17=11),1,0)</f>
        <v/>
      </c>
      <c r="BB21" s="9">
        <f>Inputs!$F$48*IF(OR(Time!BB17=10,Time!BB17=11),1,0)</f>
        <v/>
      </c>
      <c r="BC21" s="9">
        <f>Inputs!$F$48*IF(OR(Time!BC17=10,Time!BC17=11),1,0)</f>
        <v/>
      </c>
      <c r="BD21" s="9">
        <f>Inputs!$F$48*IF(OR(Time!BD17=10,Time!BD17=11),1,0)</f>
        <v/>
      </c>
      <c r="BE21" s="9">
        <f>Inputs!$F$48*IF(OR(Time!BE17=10,Time!BE17=11),1,0)</f>
        <v/>
      </c>
      <c r="BF21" s="9">
        <f>Inputs!$F$48*IF(OR(Time!BF17=10,Time!BF17=11),1,0)</f>
        <v/>
      </c>
      <c r="BG21" s="9">
        <f>Inputs!$F$48*IF(OR(Time!BG17=10,Time!BG17=11),1,0)</f>
        <v/>
      </c>
      <c r="BH21" s="9">
        <f>Inputs!$F$48*IF(OR(Time!BH17=10,Time!BH17=11),1,0)</f>
        <v/>
      </c>
      <c r="BI21" s="9">
        <f>Inputs!$F$48*IF(OR(Time!BI17=10,Time!BI17=11),1,0)</f>
        <v/>
      </c>
      <c r="BJ21" s="9">
        <f>Inputs!$F$48*IF(OR(Time!BJ17=10,Time!BJ17=11),1,0)</f>
        <v/>
      </c>
      <c r="BK21" s="9">
        <f>Inputs!$F$48*IF(OR(Time!BK17=10,Time!BK17=11),1,0)</f>
        <v/>
      </c>
      <c r="BL21" s="9">
        <f>Inputs!$F$48*IF(OR(Time!BL17=10,Time!BL17=11),1,0)</f>
        <v/>
      </c>
      <c r="BM21" s="9">
        <f>Inputs!$F$48*IF(OR(Time!BM17=10,Time!BM17=11),1,0)</f>
        <v/>
      </c>
      <c r="BN21" s="9">
        <f>Inputs!$F$48*IF(OR(Time!BN17=10,Time!BN17=11),1,0)</f>
        <v/>
      </c>
    </row>
    <row r="22">
      <c r="D22" t="inlineStr">
        <is>
          <t>Waiver regime (from 2023H1)</t>
        </is>
      </c>
      <c r="E22" t="inlineStr">
        <is>
          <t>flag</t>
        </is>
      </c>
      <c r="J22" s="9">
        <f>Inputs!$F$48*IF(Time!J17&gt;=10,1,0)</f>
        <v/>
      </c>
      <c r="K22" s="9">
        <f>Inputs!$F$48*IF(Time!K17&gt;=10,1,0)</f>
        <v/>
      </c>
      <c r="L22" s="9">
        <f>Inputs!$F$48*IF(Time!L17&gt;=10,1,0)</f>
        <v/>
      </c>
      <c r="M22" s="9">
        <f>Inputs!$F$48*IF(Time!M17&gt;=10,1,0)</f>
        <v/>
      </c>
      <c r="N22" s="9">
        <f>Inputs!$F$48*IF(Time!N17&gt;=10,1,0)</f>
        <v/>
      </c>
      <c r="O22" s="9">
        <f>Inputs!$F$48*IF(Time!O17&gt;=10,1,0)</f>
        <v/>
      </c>
      <c r="P22" s="9">
        <f>Inputs!$F$48*IF(Time!P17&gt;=10,1,0)</f>
        <v/>
      </c>
      <c r="Q22" s="9">
        <f>Inputs!$F$48*IF(Time!Q17&gt;=10,1,0)</f>
        <v/>
      </c>
      <c r="R22" s="9">
        <f>Inputs!$F$48*IF(Time!R17&gt;=10,1,0)</f>
        <v/>
      </c>
      <c r="S22" s="9">
        <f>Inputs!$F$48*IF(Time!S17&gt;=10,1,0)</f>
        <v/>
      </c>
      <c r="T22" s="9">
        <f>Inputs!$F$48*IF(Time!T17&gt;=10,1,0)</f>
        <v/>
      </c>
      <c r="U22" s="9">
        <f>Inputs!$F$48*IF(Time!U17&gt;=10,1,0)</f>
        <v/>
      </c>
      <c r="V22" s="9">
        <f>Inputs!$F$48*IF(Time!V17&gt;=10,1,0)</f>
        <v/>
      </c>
      <c r="W22" s="9">
        <f>Inputs!$F$48*IF(Time!W17&gt;=10,1,0)</f>
        <v/>
      </c>
      <c r="X22" s="9">
        <f>Inputs!$F$48*IF(Time!X17&gt;=10,1,0)</f>
        <v/>
      </c>
      <c r="Y22" s="9">
        <f>Inputs!$F$48*IF(Time!Y17&gt;=10,1,0)</f>
        <v/>
      </c>
      <c r="Z22" s="9">
        <f>Inputs!$F$48*IF(Time!Z17&gt;=10,1,0)</f>
        <v/>
      </c>
      <c r="AA22" s="9">
        <f>Inputs!$F$48*IF(Time!AA17&gt;=10,1,0)</f>
        <v/>
      </c>
      <c r="AB22" s="9">
        <f>Inputs!$F$48*IF(Time!AB17&gt;=10,1,0)</f>
        <v/>
      </c>
      <c r="AC22" s="9">
        <f>Inputs!$F$48*IF(Time!AC17&gt;=10,1,0)</f>
        <v/>
      </c>
      <c r="AD22" s="9">
        <f>Inputs!$F$48*IF(Time!AD17&gt;=10,1,0)</f>
        <v/>
      </c>
      <c r="AE22" s="9">
        <f>Inputs!$F$48*IF(Time!AE17&gt;=10,1,0)</f>
        <v/>
      </c>
      <c r="AF22" s="9">
        <f>Inputs!$F$48*IF(Time!AF17&gt;=10,1,0)</f>
        <v/>
      </c>
      <c r="AG22" s="9">
        <f>Inputs!$F$48*IF(Time!AG17&gt;=10,1,0)</f>
        <v/>
      </c>
      <c r="AH22" s="9">
        <f>Inputs!$F$48*IF(Time!AH17&gt;=10,1,0)</f>
        <v/>
      </c>
      <c r="AI22" s="9">
        <f>Inputs!$F$48*IF(Time!AI17&gt;=10,1,0)</f>
        <v/>
      </c>
      <c r="AJ22" s="9">
        <f>Inputs!$F$48*IF(Time!AJ17&gt;=10,1,0)</f>
        <v/>
      </c>
      <c r="AK22" s="9">
        <f>Inputs!$F$48*IF(Time!AK17&gt;=10,1,0)</f>
        <v/>
      </c>
      <c r="AL22" s="9">
        <f>Inputs!$F$48*IF(Time!AL17&gt;=10,1,0)</f>
        <v/>
      </c>
      <c r="AM22" s="9">
        <f>Inputs!$F$48*IF(Time!AM17&gt;=10,1,0)</f>
        <v/>
      </c>
      <c r="AN22" s="9">
        <f>Inputs!$F$48*IF(Time!AN17&gt;=10,1,0)</f>
        <v/>
      </c>
      <c r="AO22" s="9">
        <f>Inputs!$F$48*IF(Time!AO17&gt;=10,1,0)</f>
        <v/>
      </c>
      <c r="AP22" s="9">
        <f>Inputs!$F$48*IF(Time!AP17&gt;=10,1,0)</f>
        <v/>
      </c>
      <c r="AQ22" s="9">
        <f>Inputs!$F$48*IF(Time!AQ17&gt;=10,1,0)</f>
        <v/>
      </c>
      <c r="AR22" s="9">
        <f>Inputs!$F$48*IF(Time!AR17&gt;=10,1,0)</f>
        <v/>
      </c>
      <c r="AS22" s="9">
        <f>Inputs!$F$48*IF(Time!AS17&gt;=10,1,0)</f>
        <v/>
      </c>
      <c r="AT22" s="9">
        <f>Inputs!$F$48*IF(Time!AT17&gt;=10,1,0)</f>
        <v/>
      </c>
      <c r="AU22" s="9">
        <f>Inputs!$F$48*IF(Time!AU17&gt;=10,1,0)</f>
        <v/>
      </c>
      <c r="AV22" s="9">
        <f>Inputs!$F$48*IF(Time!AV17&gt;=10,1,0)</f>
        <v/>
      </c>
      <c r="AW22" s="9">
        <f>Inputs!$F$48*IF(Time!AW17&gt;=10,1,0)</f>
        <v/>
      </c>
      <c r="AX22" s="9">
        <f>Inputs!$F$48*IF(Time!AX17&gt;=10,1,0)</f>
        <v/>
      </c>
      <c r="AY22" s="9">
        <f>Inputs!$F$48*IF(Time!AY17&gt;=10,1,0)</f>
        <v/>
      </c>
      <c r="AZ22" s="9">
        <f>Inputs!$F$48*IF(Time!AZ17&gt;=10,1,0)</f>
        <v/>
      </c>
      <c r="BA22" s="9">
        <f>Inputs!$F$48*IF(Time!BA17&gt;=10,1,0)</f>
        <v/>
      </c>
      <c r="BB22" s="9">
        <f>Inputs!$F$48*IF(Time!BB17&gt;=10,1,0)</f>
        <v/>
      </c>
      <c r="BC22" s="9">
        <f>Inputs!$F$48*IF(Time!BC17&gt;=10,1,0)</f>
        <v/>
      </c>
      <c r="BD22" s="9">
        <f>Inputs!$F$48*IF(Time!BD17&gt;=10,1,0)</f>
        <v/>
      </c>
      <c r="BE22" s="9">
        <f>Inputs!$F$48*IF(Time!BE17&gt;=10,1,0)</f>
        <v/>
      </c>
      <c r="BF22" s="9">
        <f>Inputs!$F$48*IF(Time!BF17&gt;=10,1,0)</f>
        <v/>
      </c>
      <c r="BG22" s="9">
        <f>Inputs!$F$48*IF(Time!BG17&gt;=10,1,0)</f>
        <v/>
      </c>
      <c r="BH22" s="9">
        <f>Inputs!$F$48*IF(Time!BH17&gt;=10,1,0)</f>
        <v/>
      </c>
      <c r="BI22" s="9">
        <f>Inputs!$F$48*IF(Time!BI17&gt;=10,1,0)</f>
        <v/>
      </c>
      <c r="BJ22" s="9">
        <f>Inputs!$F$48*IF(Time!BJ17&gt;=10,1,0)</f>
        <v/>
      </c>
      <c r="BK22" s="9">
        <f>Inputs!$F$48*IF(Time!BK17&gt;=10,1,0)</f>
        <v/>
      </c>
      <c r="BL22" s="9">
        <f>Inputs!$F$48*IF(Time!BL17&gt;=10,1,0)</f>
        <v/>
      </c>
      <c r="BM22" s="9">
        <f>Inputs!$F$48*IF(Time!BM17&gt;=10,1,0)</f>
        <v/>
      </c>
      <c r="BN22" s="9">
        <f>Inputs!$F$48*IF(Time!BN17&gt;=10,1,0)</f>
        <v/>
      </c>
    </row>
    <row r="23">
      <c r="D23" t="inlineStr">
        <is>
          <t>Lock-up released under the waiver</t>
        </is>
      </c>
      <c r="E23" t="inlineStr">
        <is>
          <t>flag</t>
        </is>
      </c>
      <c r="J23" s="9">
        <f>MAX(0,IF(AND(J22=1,Time!J17&gt;11,J18&gt;=Inputs!$F$108,Time!J17-1&gt;11,0&gt;=Inputs!$F$108,Reserves!J13&gt;=Debt!J132-0.000001),1,0))</f>
        <v/>
      </c>
      <c r="K23" s="9">
        <f>MAX(J23,IF(AND(K22=1,Time!K17&gt;11,K18&gt;=Inputs!$F$108,Time!K17-1&gt;11,J18&gt;=Inputs!$F$108,Reserves!K13&gt;=Debt!K132-0.000001),1,0))</f>
        <v/>
      </c>
      <c r="L23" s="9">
        <f>MAX(K23,IF(AND(L22=1,Time!L17&gt;11,L18&gt;=Inputs!$F$108,Time!L17-1&gt;11,K18&gt;=Inputs!$F$108,Reserves!L13&gt;=Debt!L132-0.000001),1,0))</f>
        <v/>
      </c>
      <c r="M23" s="9">
        <f>MAX(L23,IF(AND(M22=1,Time!M17&gt;11,M18&gt;=Inputs!$F$108,Time!M17-1&gt;11,L18&gt;=Inputs!$F$108,Reserves!M13&gt;=Debt!M132-0.000001),1,0))</f>
        <v/>
      </c>
      <c r="N23" s="9">
        <f>MAX(M23,IF(AND(N22=1,Time!N17&gt;11,N18&gt;=Inputs!$F$108,Time!N17-1&gt;11,M18&gt;=Inputs!$F$108,Reserves!N13&gt;=Debt!N132-0.000001),1,0))</f>
        <v/>
      </c>
      <c r="O23" s="9">
        <f>MAX(N23,IF(AND(O22=1,Time!O17&gt;11,O18&gt;=Inputs!$F$108,Time!O17-1&gt;11,N18&gt;=Inputs!$F$108,Reserves!O13&gt;=Debt!O132-0.000001),1,0))</f>
        <v/>
      </c>
      <c r="P23" s="9">
        <f>MAX(O23,IF(AND(P22=1,Time!P17&gt;11,P18&gt;=Inputs!$F$108,Time!P17-1&gt;11,O18&gt;=Inputs!$F$108,Reserves!P13&gt;=Debt!P132-0.000001),1,0))</f>
        <v/>
      </c>
      <c r="Q23" s="9">
        <f>MAX(P23,IF(AND(Q22=1,Time!Q17&gt;11,Q18&gt;=Inputs!$F$108,Time!Q17-1&gt;11,P18&gt;=Inputs!$F$108,Reserves!Q13&gt;=Debt!Q132-0.000001),1,0))</f>
        <v/>
      </c>
      <c r="R23" s="9">
        <f>MAX(Q23,IF(AND(R22=1,Time!R17&gt;11,R18&gt;=Inputs!$F$108,Time!R17-1&gt;11,Q18&gt;=Inputs!$F$108,Reserves!R13&gt;=Debt!R132-0.000001),1,0))</f>
        <v/>
      </c>
      <c r="S23" s="9">
        <f>MAX(R23,IF(AND(S22=1,Time!S17&gt;11,S18&gt;=Inputs!$F$108,Time!S17-1&gt;11,R18&gt;=Inputs!$F$108,Reserves!S13&gt;=Debt!S132-0.000001),1,0))</f>
        <v/>
      </c>
      <c r="T23" s="9">
        <f>MAX(S23,IF(AND(T22=1,Time!T17&gt;11,T18&gt;=Inputs!$F$108,Time!T17-1&gt;11,S18&gt;=Inputs!$F$108,Reserves!T13&gt;=Debt!T132-0.000001),1,0))</f>
        <v/>
      </c>
      <c r="U23" s="9">
        <f>MAX(T23,IF(AND(U22=1,Time!U17&gt;11,U18&gt;=Inputs!$F$108,Time!U17-1&gt;11,T18&gt;=Inputs!$F$108,Reserves!U13&gt;=Debt!U132-0.000001),1,0))</f>
        <v/>
      </c>
      <c r="V23" s="9">
        <f>MAX(U23,IF(AND(V22=1,Time!V17&gt;11,V18&gt;=Inputs!$F$108,Time!V17-1&gt;11,U18&gt;=Inputs!$F$108,Reserves!V13&gt;=Debt!V132-0.000001),1,0))</f>
        <v/>
      </c>
      <c r="W23" s="9">
        <f>MAX(V23,IF(AND(W22=1,Time!W17&gt;11,W18&gt;=Inputs!$F$108,Time!W17-1&gt;11,V18&gt;=Inputs!$F$108,Reserves!W13&gt;=Debt!W132-0.000001),1,0))</f>
        <v/>
      </c>
      <c r="X23" s="9">
        <f>MAX(W23,IF(AND(X22=1,Time!X17&gt;11,X18&gt;=Inputs!$F$108,Time!X17-1&gt;11,W18&gt;=Inputs!$F$108,Reserves!X13&gt;=Debt!X132-0.000001),1,0))</f>
        <v/>
      </c>
      <c r="Y23" s="9">
        <f>MAX(X23,IF(AND(Y22=1,Time!Y17&gt;11,Y18&gt;=Inputs!$F$108,Time!Y17-1&gt;11,X18&gt;=Inputs!$F$108,Reserves!Y13&gt;=Debt!Y132-0.000001),1,0))</f>
        <v/>
      </c>
      <c r="Z23" s="9">
        <f>MAX(Y23,IF(AND(Z22=1,Time!Z17&gt;11,Z18&gt;=Inputs!$F$108,Time!Z17-1&gt;11,Y18&gt;=Inputs!$F$108,Reserves!Z13&gt;=Debt!Z132-0.000001),1,0))</f>
        <v/>
      </c>
      <c r="AA23" s="9">
        <f>MAX(Z23,IF(AND(AA22=1,Time!AA17&gt;11,AA18&gt;=Inputs!$F$108,Time!AA17-1&gt;11,Z18&gt;=Inputs!$F$108,Reserves!AA13&gt;=Debt!AA132-0.000001),1,0))</f>
        <v/>
      </c>
      <c r="AB23" s="9">
        <f>MAX(AA23,IF(AND(AB22=1,Time!AB17&gt;11,AB18&gt;=Inputs!$F$108,Time!AB17-1&gt;11,AA18&gt;=Inputs!$F$108,Reserves!AB13&gt;=Debt!AB132-0.000001),1,0))</f>
        <v/>
      </c>
      <c r="AC23" s="9">
        <f>MAX(AB23,IF(AND(AC22=1,Time!AC17&gt;11,AC18&gt;=Inputs!$F$108,Time!AC17-1&gt;11,AB18&gt;=Inputs!$F$108,Reserves!AC13&gt;=Debt!AC132-0.000001),1,0))</f>
        <v/>
      </c>
      <c r="AD23" s="9">
        <f>MAX(AC23,IF(AND(AD22=1,Time!AD17&gt;11,AD18&gt;=Inputs!$F$108,Time!AD17-1&gt;11,AC18&gt;=Inputs!$F$108,Reserves!AD13&gt;=Debt!AD132-0.000001),1,0))</f>
        <v/>
      </c>
      <c r="AE23" s="9">
        <f>MAX(AD23,IF(AND(AE22=1,Time!AE17&gt;11,AE18&gt;=Inputs!$F$108,Time!AE17-1&gt;11,AD18&gt;=Inputs!$F$108,Reserves!AE13&gt;=Debt!AE132-0.000001),1,0))</f>
        <v/>
      </c>
      <c r="AF23" s="9">
        <f>MAX(AE23,IF(AND(AF22=1,Time!AF17&gt;11,AF18&gt;=Inputs!$F$108,Time!AF17-1&gt;11,AE18&gt;=Inputs!$F$108,Reserves!AF13&gt;=Debt!AF132-0.000001),1,0))</f>
        <v/>
      </c>
      <c r="AG23" s="9">
        <f>MAX(AF23,IF(AND(AG22=1,Time!AG17&gt;11,AG18&gt;=Inputs!$F$108,Time!AG17-1&gt;11,AF18&gt;=Inputs!$F$108,Reserves!AG13&gt;=Debt!AG132-0.000001),1,0))</f>
        <v/>
      </c>
      <c r="AH23" s="9">
        <f>MAX(AG23,IF(AND(AH22=1,Time!AH17&gt;11,AH18&gt;=Inputs!$F$108,Time!AH17-1&gt;11,AG18&gt;=Inputs!$F$108,Reserves!AH13&gt;=Debt!AH132-0.000001),1,0))</f>
        <v/>
      </c>
      <c r="AI23" s="9">
        <f>MAX(AH23,IF(AND(AI22=1,Time!AI17&gt;11,AI18&gt;=Inputs!$F$108,Time!AI17-1&gt;11,AH18&gt;=Inputs!$F$108,Reserves!AI13&gt;=Debt!AI132-0.000001),1,0))</f>
        <v/>
      </c>
      <c r="AJ23" s="9">
        <f>MAX(AI23,IF(AND(AJ22=1,Time!AJ17&gt;11,AJ18&gt;=Inputs!$F$108,Time!AJ17-1&gt;11,AI18&gt;=Inputs!$F$108,Reserves!AJ13&gt;=Debt!AJ132-0.000001),1,0))</f>
        <v/>
      </c>
      <c r="AK23" s="9">
        <f>MAX(AJ23,IF(AND(AK22=1,Time!AK17&gt;11,AK18&gt;=Inputs!$F$108,Time!AK17-1&gt;11,AJ18&gt;=Inputs!$F$108,Reserves!AK13&gt;=Debt!AK132-0.000001),1,0))</f>
        <v/>
      </c>
      <c r="AL23" s="9">
        <f>MAX(AK23,IF(AND(AL22=1,Time!AL17&gt;11,AL18&gt;=Inputs!$F$108,Time!AL17-1&gt;11,AK18&gt;=Inputs!$F$108,Reserves!AL13&gt;=Debt!AL132-0.000001),1,0))</f>
        <v/>
      </c>
      <c r="AM23" s="9">
        <f>MAX(AL23,IF(AND(AM22=1,Time!AM17&gt;11,AM18&gt;=Inputs!$F$108,Time!AM17-1&gt;11,AL18&gt;=Inputs!$F$108,Reserves!AM13&gt;=Debt!AM132-0.000001),1,0))</f>
        <v/>
      </c>
      <c r="AN23" s="9">
        <f>MAX(AM23,IF(AND(AN22=1,Time!AN17&gt;11,AN18&gt;=Inputs!$F$108,Time!AN17-1&gt;11,AM18&gt;=Inputs!$F$108,Reserves!AN13&gt;=Debt!AN132-0.000001),1,0))</f>
        <v/>
      </c>
      <c r="AO23" s="9">
        <f>MAX(AN23,IF(AND(AO22=1,Time!AO17&gt;11,AO18&gt;=Inputs!$F$108,Time!AO17-1&gt;11,AN18&gt;=Inputs!$F$108,Reserves!AO13&gt;=Debt!AO132-0.000001),1,0))</f>
        <v/>
      </c>
      <c r="AP23" s="9">
        <f>MAX(AO23,IF(AND(AP22=1,Time!AP17&gt;11,AP18&gt;=Inputs!$F$108,Time!AP17-1&gt;11,AO18&gt;=Inputs!$F$108,Reserves!AP13&gt;=Debt!AP132-0.000001),1,0))</f>
        <v/>
      </c>
      <c r="AQ23" s="9">
        <f>MAX(AP23,IF(AND(AQ22=1,Time!AQ17&gt;11,AQ18&gt;=Inputs!$F$108,Time!AQ17-1&gt;11,AP18&gt;=Inputs!$F$108,Reserves!AQ13&gt;=Debt!AQ132-0.000001),1,0))</f>
        <v/>
      </c>
      <c r="AR23" s="9">
        <f>MAX(AQ23,IF(AND(AR22=1,Time!AR17&gt;11,AR18&gt;=Inputs!$F$108,Time!AR17-1&gt;11,AQ18&gt;=Inputs!$F$108,Reserves!AR13&gt;=Debt!AR132-0.000001),1,0))</f>
        <v/>
      </c>
      <c r="AS23" s="9">
        <f>MAX(AR23,IF(AND(AS22=1,Time!AS17&gt;11,AS18&gt;=Inputs!$F$108,Time!AS17-1&gt;11,AR18&gt;=Inputs!$F$108,Reserves!AS13&gt;=Debt!AS132-0.000001),1,0))</f>
        <v/>
      </c>
      <c r="AT23" s="9">
        <f>MAX(AS23,IF(AND(AT22=1,Time!AT17&gt;11,AT18&gt;=Inputs!$F$108,Time!AT17-1&gt;11,AS18&gt;=Inputs!$F$108,Reserves!AT13&gt;=Debt!AT132-0.000001),1,0))</f>
        <v/>
      </c>
      <c r="AU23" s="9">
        <f>MAX(AT23,IF(AND(AU22=1,Time!AU17&gt;11,AU18&gt;=Inputs!$F$108,Time!AU17-1&gt;11,AT18&gt;=Inputs!$F$108,Reserves!AU13&gt;=Debt!AU132-0.000001),1,0))</f>
        <v/>
      </c>
      <c r="AV23" s="9">
        <f>MAX(AU23,IF(AND(AV22=1,Time!AV17&gt;11,AV18&gt;=Inputs!$F$108,Time!AV17-1&gt;11,AU18&gt;=Inputs!$F$108,Reserves!AV13&gt;=Debt!AV132-0.000001),1,0))</f>
        <v/>
      </c>
      <c r="AW23" s="9">
        <f>MAX(AV23,IF(AND(AW22=1,Time!AW17&gt;11,AW18&gt;=Inputs!$F$108,Time!AW17-1&gt;11,AV18&gt;=Inputs!$F$108,Reserves!AW13&gt;=Debt!AW132-0.000001),1,0))</f>
        <v/>
      </c>
      <c r="AX23" s="9">
        <f>MAX(AW23,IF(AND(AX22=1,Time!AX17&gt;11,AX18&gt;=Inputs!$F$108,Time!AX17-1&gt;11,AW18&gt;=Inputs!$F$108,Reserves!AX13&gt;=Debt!AX132-0.000001),1,0))</f>
        <v/>
      </c>
      <c r="AY23" s="9">
        <f>MAX(AX23,IF(AND(AY22=1,Time!AY17&gt;11,AY18&gt;=Inputs!$F$108,Time!AY17-1&gt;11,AX18&gt;=Inputs!$F$108,Reserves!AY13&gt;=Debt!AY132-0.000001),1,0))</f>
        <v/>
      </c>
      <c r="AZ23" s="9">
        <f>MAX(AY23,IF(AND(AZ22=1,Time!AZ17&gt;11,AZ18&gt;=Inputs!$F$108,Time!AZ17-1&gt;11,AY18&gt;=Inputs!$F$108,Reserves!AZ13&gt;=Debt!AZ132-0.000001),1,0))</f>
        <v/>
      </c>
      <c r="BA23" s="9">
        <f>MAX(AZ23,IF(AND(BA22=1,Time!BA17&gt;11,BA18&gt;=Inputs!$F$108,Time!BA17-1&gt;11,AZ18&gt;=Inputs!$F$108,Reserves!BA13&gt;=Debt!BA132-0.000001),1,0))</f>
        <v/>
      </c>
      <c r="BB23" s="9">
        <f>MAX(BA23,IF(AND(BB22=1,Time!BB17&gt;11,BB18&gt;=Inputs!$F$108,Time!BB17-1&gt;11,BA18&gt;=Inputs!$F$108,Reserves!BB13&gt;=Debt!BB132-0.000001),1,0))</f>
        <v/>
      </c>
      <c r="BC23" s="9">
        <f>MAX(BB23,IF(AND(BC22=1,Time!BC17&gt;11,BC18&gt;=Inputs!$F$108,Time!BC17-1&gt;11,BB18&gt;=Inputs!$F$108,Reserves!BC13&gt;=Debt!BC132-0.000001),1,0))</f>
        <v/>
      </c>
      <c r="BD23" s="9">
        <f>MAX(BC23,IF(AND(BD22=1,Time!BD17&gt;11,BD18&gt;=Inputs!$F$108,Time!BD17-1&gt;11,BC18&gt;=Inputs!$F$108,Reserves!BD13&gt;=Debt!BD132-0.000001),1,0))</f>
        <v/>
      </c>
      <c r="BE23" s="9">
        <f>MAX(BD23,IF(AND(BE22=1,Time!BE17&gt;11,BE18&gt;=Inputs!$F$108,Time!BE17-1&gt;11,BD18&gt;=Inputs!$F$108,Reserves!BE13&gt;=Debt!BE132-0.000001),1,0))</f>
        <v/>
      </c>
      <c r="BF23" s="9">
        <f>MAX(BE23,IF(AND(BF22=1,Time!BF17&gt;11,BF18&gt;=Inputs!$F$108,Time!BF17-1&gt;11,BE18&gt;=Inputs!$F$108,Reserves!BF13&gt;=Debt!BF132-0.000001),1,0))</f>
        <v/>
      </c>
      <c r="BG23" s="9">
        <f>MAX(BF23,IF(AND(BG22=1,Time!BG17&gt;11,BG18&gt;=Inputs!$F$108,Time!BG17-1&gt;11,BF18&gt;=Inputs!$F$108,Reserves!BG13&gt;=Debt!BG132-0.000001),1,0))</f>
        <v/>
      </c>
      <c r="BH23" s="9">
        <f>MAX(BG23,IF(AND(BH22=1,Time!BH17&gt;11,BH18&gt;=Inputs!$F$108,Time!BH17-1&gt;11,BG18&gt;=Inputs!$F$108,Reserves!BH13&gt;=Debt!BH132-0.000001),1,0))</f>
        <v/>
      </c>
      <c r="BI23" s="9">
        <f>MAX(BH23,IF(AND(BI22=1,Time!BI17&gt;11,BI18&gt;=Inputs!$F$108,Time!BI17-1&gt;11,BH18&gt;=Inputs!$F$108,Reserves!BI13&gt;=Debt!BI132-0.000001),1,0))</f>
        <v/>
      </c>
      <c r="BJ23" s="9">
        <f>MAX(BI23,IF(AND(BJ22=1,Time!BJ17&gt;11,BJ18&gt;=Inputs!$F$108,Time!BJ17-1&gt;11,BI18&gt;=Inputs!$F$108,Reserves!BJ13&gt;=Debt!BJ132-0.000001),1,0))</f>
        <v/>
      </c>
      <c r="BK23" s="9">
        <f>MAX(BJ23,IF(AND(BK22=1,Time!BK17&gt;11,BK18&gt;=Inputs!$F$108,Time!BK17-1&gt;11,BJ18&gt;=Inputs!$F$108,Reserves!BK13&gt;=Debt!BK132-0.000001),1,0))</f>
        <v/>
      </c>
      <c r="BL23" s="9">
        <f>MAX(BK23,IF(AND(BL22=1,Time!BL17&gt;11,BL18&gt;=Inputs!$F$108,Time!BL17-1&gt;11,BK18&gt;=Inputs!$F$108,Reserves!BL13&gt;=Debt!BL132-0.000001),1,0))</f>
        <v/>
      </c>
      <c r="BM23" s="9">
        <f>MAX(BL23,IF(AND(BM22=1,Time!BM17&gt;11,BM18&gt;=Inputs!$F$108,Time!BM17-1&gt;11,BL18&gt;=Inputs!$F$108,Reserves!BM13&gt;=Debt!BM132-0.000001),1,0))</f>
        <v/>
      </c>
      <c r="BN23" s="9">
        <f>MAX(BM23,IF(AND(BN22=1,Time!BN17&gt;11,BN18&gt;=Inputs!$F$108,Time!BN17-1&gt;11,BM18&gt;=Inputs!$F$108,Reserves!BN13&gt;=Debt!BN132-0.000001),1,0))</f>
        <v/>
      </c>
    </row>
    <row r="24">
      <c r="D24" t="inlineStr">
        <is>
          <t>Distributions permitted</t>
        </is>
      </c>
      <c r="E24" t="inlineStr">
        <is>
          <t>flag</t>
        </is>
      </c>
      <c r="J24" s="9">
        <f>IF(OR(AND(J19=1,J18&gt;=Inputs!$F$106,Reserves!J13&gt;=Debt!J132-0.000001,OR(J20=0,J21=1),Debt!J121&gt;0.000000001,OR(J22=0,J23=1)),AND(Time!J32=1,Debt!J121&lt;=0.000000001),AND(Debt!J121&lt;=0.000000001,Time!J30=1,Debt!J122&lt;0.000000001)),1,0)</f>
        <v/>
      </c>
      <c r="K24" s="9">
        <f>IF(OR(AND(K19=1,K18&gt;=Inputs!$F$106,Reserves!K13&gt;=Debt!K132-0.000001,OR(K20=0,K21=1),Debt!K121&gt;0.000000001,OR(K22=0,K23=1)),AND(Time!K32=1,Debt!K121&lt;=0.000000001),AND(Debt!K121&lt;=0.000000001,Time!K30=1,Debt!K122&lt;0.000000001)),1,0)</f>
        <v/>
      </c>
      <c r="L24" s="9">
        <f>IF(OR(AND(L19=1,L18&gt;=Inputs!$F$106,Reserves!L13&gt;=Debt!L132-0.000001,OR(L20=0,L21=1),Debt!L121&gt;0.000000001,OR(L22=0,L23=1)),AND(Time!L32=1,Debt!L121&lt;=0.000000001),AND(Debt!L121&lt;=0.000000001,Time!L30=1,Debt!L122&lt;0.000000001)),1,0)</f>
        <v/>
      </c>
      <c r="M24" s="9">
        <f>IF(OR(AND(M19=1,M18&gt;=Inputs!$F$106,Reserves!M13&gt;=Debt!M132-0.000001,OR(M20=0,M21=1),Debt!M121&gt;0.000000001,OR(M22=0,M23=1)),AND(Time!M32=1,Debt!M121&lt;=0.000000001),AND(Debt!M121&lt;=0.000000001,Time!M30=1,Debt!M122&lt;0.000000001)),1,0)</f>
        <v/>
      </c>
      <c r="N24" s="9">
        <f>IF(OR(AND(N19=1,N18&gt;=Inputs!$F$106,Reserves!N13&gt;=Debt!N132-0.000001,OR(N20=0,N21=1),Debt!N121&gt;0.000000001,OR(N22=0,N23=1)),AND(Time!N32=1,Debt!N121&lt;=0.000000001),AND(Debt!N121&lt;=0.000000001,Time!N30=1,Debt!N122&lt;0.000000001)),1,0)</f>
        <v/>
      </c>
      <c r="O24" s="9">
        <f>IF(OR(AND(O19=1,O18&gt;=Inputs!$F$106,Reserves!O13&gt;=Debt!O132-0.000001,OR(O20=0,O21=1),Debt!O121&gt;0.000000001,OR(O22=0,O23=1)),AND(Time!O32=1,Debt!O121&lt;=0.000000001),AND(Debt!O121&lt;=0.000000001,Time!O30=1,Debt!O122&lt;0.000000001)),1,0)</f>
        <v/>
      </c>
      <c r="P24" s="9">
        <f>IF(OR(AND(P19=1,P18&gt;=Inputs!$F$106,Reserves!P13&gt;=Debt!P132-0.000001,OR(P20=0,P21=1),Debt!P121&gt;0.000000001,OR(P22=0,P23=1)),AND(Time!P32=1,Debt!P121&lt;=0.000000001),AND(Debt!P121&lt;=0.000000001,Time!P30=1,Debt!P122&lt;0.000000001)),1,0)</f>
        <v/>
      </c>
      <c r="Q24" s="9">
        <f>IF(OR(AND(Q19=1,Q18&gt;=Inputs!$F$106,Reserves!Q13&gt;=Debt!Q132-0.000001,OR(Q20=0,Q21=1),Debt!Q121&gt;0.000000001,OR(Q22=0,Q23=1)),AND(Time!Q32=1,Debt!Q121&lt;=0.000000001),AND(Debt!Q121&lt;=0.000000001,Time!Q30=1,Debt!Q122&lt;0.000000001)),1,0)</f>
        <v/>
      </c>
      <c r="R24" s="9">
        <f>IF(OR(AND(R19=1,R18&gt;=Inputs!$F$106,Reserves!R13&gt;=Debt!R132-0.000001,OR(R20=0,R21=1),Debt!R121&gt;0.000000001,OR(R22=0,R23=1)),AND(Time!R32=1,Debt!R121&lt;=0.000000001),AND(Debt!R121&lt;=0.000000001,Time!R30=1,Debt!R122&lt;0.000000001)),1,0)</f>
        <v/>
      </c>
      <c r="S24" s="9">
        <f>IF(OR(AND(S19=1,S18&gt;=Inputs!$F$106,Reserves!S13&gt;=Debt!S132-0.000001,OR(S20=0,S21=1),Debt!S121&gt;0.000000001,OR(S22=0,S23=1)),AND(Time!S32=1,Debt!S121&lt;=0.000000001),AND(Debt!S121&lt;=0.000000001,Time!S30=1,Debt!S122&lt;0.000000001)),1,0)</f>
        <v/>
      </c>
      <c r="T24" s="9">
        <f>IF(OR(AND(T19=1,T18&gt;=Inputs!$F$106,Reserves!T13&gt;=Debt!T132-0.000001,OR(T20=0,T21=1),Debt!T121&gt;0.000000001,OR(T22=0,T23=1)),AND(Time!T32=1,Debt!T121&lt;=0.000000001),AND(Debt!T121&lt;=0.000000001,Time!T30=1,Debt!T122&lt;0.000000001)),1,0)</f>
        <v/>
      </c>
      <c r="U24" s="9">
        <f>IF(OR(AND(U19=1,U18&gt;=Inputs!$F$106,Reserves!U13&gt;=Debt!U132-0.000001,OR(U20=0,U21=1),Debt!U121&gt;0.000000001,OR(U22=0,U23=1)),AND(Time!U32=1,Debt!U121&lt;=0.000000001),AND(Debt!U121&lt;=0.000000001,Time!U30=1,Debt!U122&lt;0.000000001)),1,0)</f>
        <v/>
      </c>
      <c r="V24" s="9">
        <f>IF(OR(AND(V19=1,V18&gt;=Inputs!$F$106,Reserves!V13&gt;=Debt!V132-0.000001,OR(V20=0,V21=1),Debt!V121&gt;0.000000001,OR(V22=0,V23=1)),AND(Time!V32=1,Debt!V121&lt;=0.000000001),AND(Debt!V121&lt;=0.000000001,Time!V30=1,Debt!V122&lt;0.000000001)),1,0)</f>
        <v/>
      </c>
      <c r="W24" s="9">
        <f>IF(OR(AND(W19=1,W18&gt;=Inputs!$F$106,Reserves!W13&gt;=Debt!W132-0.000001,OR(W20=0,W21=1),Debt!W121&gt;0.000000001,OR(W22=0,W23=1)),AND(Time!W32=1,Debt!W121&lt;=0.000000001),AND(Debt!W121&lt;=0.000000001,Time!W30=1,Debt!W122&lt;0.000000001)),1,0)</f>
        <v/>
      </c>
      <c r="X24" s="9">
        <f>IF(OR(AND(X19=1,X18&gt;=Inputs!$F$106,Reserves!X13&gt;=Debt!X132-0.000001,OR(X20=0,X21=1),Debt!X121&gt;0.000000001,OR(X22=0,X23=1)),AND(Time!X32=1,Debt!X121&lt;=0.000000001),AND(Debt!X121&lt;=0.000000001,Time!X30=1,Debt!X122&lt;0.000000001)),1,0)</f>
        <v/>
      </c>
      <c r="Y24" s="9">
        <f>IF(OR(AND(Y19=1,Y18&gt;=Inputs!$F$106,Reserves!Y13&gt;=Debt!Y132-0.000001,OR(Y20=0,Y21=1),Debt!Y121&gt;0.000000001,OR(Y22=0,Y23=1)),AND(Time!Y32=1,Debt!Y121&lt;=0.000000001),AND(Debt!Y121&lt;=0.000000001,Time!Y30=1,Debt!Y122&lt;0.000000001)),1,0)</f>
        <v/>
      </c>
      <c r="Z24" s="9">
        <f>IF(OR(AND(Z19=1,Z18&gt;=Inputs!$F$106,Reserves!Z13&gt;=Debt!Z132-0.000001,OR(Z20=0,Z21=1),Debt!Z121&gt;0.000000001,OR(Z22=0,Z23=1)),AND(Time!Z32=1,Debt!Z121&lt;=0.000000001),AND(Debt!Z121&lt;=0.000000001,Time!Z30=1,Debt!Z122&lt;0.000000001)),1,0)</f>
        <v/>
      </c>
      <c r="AA24" s="9">
        <f>IF(OR(AND(AA19=1,AA18&gt;=Inputs!$F$106,Reserves!AA13&gt;=Debt!AA132-0.000001,OR(AA20=0,AA21=1),Debt!AA121&gt;0.000000001,OR(AA22=0,AA23=1)),AND(Time!AA32=1,Debt!AA121&lt;=0.000000001),AND(Debt!AA121&lt;=0.000000001,Time!AA30=1,Debt!AA122&lt;0.000000001)),1,0)</f>
        <v/>
      </c>
      <c r="AB24" s="9">
        <f>IF(OR(AND(AB19=1,AB18&gt;=Inputs!$F$106,Reserves!AB13&gt;=Debt!AB132-0.000001,OR(AB20=0,AB21=1),Debt!AB121&gt;0.000000001,OR(AB22=0,AB23=1)),AND(Time!AB32=1,Debt!AB121&lt;=0.000000001),AND(Debt!AB121&lt;=0.000000001,Time!AB30=1,Debt!AB122&lt;0.000000001)),1,0)</f>
        <v/>
      </c>
      <c r="AC24" s="9">
        <f>IF(OR(AND(AC19=1,AC18&gt;=Inputs!$F$106,Reserves!AC13&gt;=Debt!AC132-0.000001,OR(AC20=0,AC21=1),Debt!AC121&gt;0.000000001,OR(AC22=0,AC23=1)),AND(Time!AC32=1,Debt!AC121&lt;=0.000000001),AND(Debt!AC121&lt;=0.000000001,Time!AC30=1,Debt!AC122&lt;0.000000001)),1,0)</f>
        <v/>
      </c>
      <c r="AD24" s="9">
        <f>IF(OR(AND(AD19=1,AD18&gt;=Inputs!$F$106,Reserves!AD13&gt;=Debt!AD132-0.000001,OR(AD20=0,AD21=1),Debt!AD121&gt;0.000000001,OR(AD22=0,AD23=1)),AND(Time!AD32=1,Debt!AD121&lt;=0.000000001),AND(Debt!AD121&lt;=0.000000001,Time!AD30=1,Debt!AD122&lt;0.000000001)),1,0)</f>
        <v/>
      </c>
      <c r="AE24" s="9">
        <f>IF(OR(AND(AE19=1,AE18&gt;=Inputs!$F$106,Reserves!AE13&gt;=Debt!AE132-0.000001,OR(AE20=0,AE21=1),Debt!AE121&gt;0.000000001,OR(AE22=0,AE23=1)),AND(Time!AE32=1,Debt!AE121&lt;=0.000000001),AND(Debt!AE121&lt;=0.000000001,Time!AE30=1,Debt!AE122&lt;0.000000001)),1,0)</f>
        <v/>
      </c>
      <c r="AF24" s="9">
        <f>IF(OR(AND(AF19=1,AF18&gt;=Inputs!$F$106,Reserves!AF13&gt;=Debt!AF132-0.000001,OR(AF20=0,AF21=1),Debt!AF121&gt;0.000000001,OR(AF22=0,AF23=1)),AND(Time!AF32=1,Debt!AF121&lt;=0.000000001),AND(Debt!AF121&lt;=0.000000001,Time!AF30=1,Debt!AF122&lt;0.000000001)),1,0)</f>
        <v/>
      </c>
      <c r="AG24" s="9">
        <f>IF(OR(AND(AG19=1,AG18&gt;=Inputs!$F$106,Reserves!AG13&gt;=Debt!AG132-0.000001,OR(AG20=0,AG21=1),Debt!AG121&gt;0.000000001,OR(AG22=0,AG23=1)),AND(Time!AG32=1,Debt!AG121&lt;=0.000000001),AND(Debt!AG121&lt;=0.000000001,Time!AG30=1,Debt!AG122&lt;0.000000001)),1,0)</f>
        <v/>
      </c>
      <c r="AH24" s="9">
        <f>IF(OR(AND(AH19=1,AH18&gt;=Inputs!$F$106,Reserves!AH13&gt;=Debt!AH132-0.000001,OR(AH20=0,AH21=1),Debt!AH121&gt;0.000000001,OR(AH22=0,AH23=1)),AND(Time!AH32=1,Debt!AH121&lt;=0.000000001),AND(Debt!AH121&lt;=0.000000001,Time!AH30=1,Debt!AH122&lt;0.000000001)),1,0)</f>
        <v/>
      </c>
      <c r="AI24" s="9">
        <f>IF(OR(AND(AI19=1,AI18&gt;=Inputs!$F$106,Reserves!AI13&gt;=Debt!AI132-0.000001,OR(AI20=0,AI21=1),Debt!AI121&gt;0.000000001,OR(AI22=0,AI23=1)),AND(Time!AI32=1,Debt!AI121&lt;=0.000000001),AND(Debt!AI121&lt;=0.000000001,Time!AI30=1,Debt!AI122&lt;0.000000001)),1,0)</f>
        <v/>
      </c>
      <c r="AJ24" s="9">
        <f>IF(OR(AND(AJ19=1,AJ18&gt;=Inputs!$F$106,Reserves!AJ13&gt;=Debt!AJ132-0.000001,OR(AJ20=0,AJ21=1),Debt!AJ121&gt;0.000000001,OR(AJ22=0,AJ23=1)),AND(Time!AJ32=1,Debt!AJ121&lt;=0.000000001),AND(Debt!AJ121&lt;=0.000000001,Time!AJ30=1,Debt!AJ122&lt;0.000000001)),1,0)</f>
        <v/>
      </c>
      <c r="AK24" s="9">
        <f>IF(OR(AND(AK19=1,AK18&gt;=Inputs!$F$106,Reserves!AK13&gt;=Debt!AK132-0.000001,OR(AK20=0,AK21=1),Debt!AK121&gt;0.000000001,OR(AK22=0,AK23=1)),AND(Time!AK32=1,Debt!AK121&lt;=0.000000001),AND(Debt!AK121&lt;=0.000000001,Time!AK30=1,Debt!AK122&lt;0.000000001)),1,0)</f>
        <v/>
      </c>
      <c r="AL24" s="9">
        <f>IF(OR(AND(AL19=1,AL18&gt;=Inputs!$F$106,Reserves!AL13&gt;=Debt!AL132-0.000001,OR(AL20=0,AL21=1),Debt!AL121&gt;0.000000001,OR(AL22=0,AL23=1)),AND(Time!AL32=1,Debt!AL121&lt;=0.000000001),AND(Debt!AL121&lt;=0.000000001,Time!AL30=1,Debt!AL122&lt;0.000000001)),1,0)</f>
        <v/>
      </c>
      <c r="AM24" s="9">
        <f>IF(OR(AND(AM19=1,AM18&gt;=Inputs!$F$106,Reserves!AM13&gt;=Debt!AM132-0.000001,OR(AM20=0,AM21=1),Debt!AM121&gt;0.000000001,OR(AM22=0,AM23=1)),AND(Time!AM32=1,Debt!AM121&lt;=0.000000001),AND(Debt!AM121&lt;=0.000000001,Time!AM30=1,Debt!AM122&lt;0.000000001)),1,0)</f>
        <v/>
      </c>
      <c r="AN24" s="9">
        <f>IF(OR(AND(AN19=1,AN18&gt;=Inputs!$F$106,Reserves!AN13&gt;=Debt!AN132-0.000001,OR(AN20=0,AN21=1),Debt!AN121&gt;0.000000001,OR(AN22=0,AN23=1)),AND(Time!AN32=1,Debt!AN121&lt;=0.000000001),AND(Debt!AN121&lt;=0.000000001,Time!AN30=1,Debt!AN122&lt;0.000000001)),1,0)</f>
        <v/>
      </c>
      <c r="AO24" s="9">
        <f>IF(OR(AND(AO19=1,AO18&gt;=Inputs!$F$106,Reserves!AO13&gt;=Debt!AO132-0.000001,OR(AO20=0,AO21=1),Debt!AO121&gt;0.000000001,OR(AO22=0,AO23=1)),AND(Time!AO32=1,Debt!AO121&lt;=0.000000001),AND(Debt!AO121&lt;=0.000000001,Time!AO30=1,Debt!AO122&lt;0.000000001)),1,0)</f>
        <v/>
      </c>
      <c r="AP24" s="9">
        <f>IF(OR(AND(AP19=1,AP18&gt;=Inputs!$F$106,Reserves!AP13&gt;=Debt!AP132-0.000001,OR(AP20=0,AP21=1),Debt!AP121&gt;0.000000001,OR(AP22=0,AP23=1)),AND(Time!AP32=1,Debt!AP121&lt;=0.000000001),AND(Debt!AP121&lt;=0.000000001,Time!AP30=1,Debt!AP122&lt;0.000000001)),1,0)</f>
        <v/>
      </c>
      <c r="AQ24" s="9">
        <f>IF(OR(AND(AQ19=1,AQ18&gt;=Inputs!$F$106,Reserves!AQ13&gt;=Debt!AQ132-0.000001,OR(AQ20=0,AQ21=1),Debt!AQ121&gt;0.000000001,OR(AQ22=0,AQ23=1)),AND(Time!AQ32=1,Debt!AQ121&lt;=0.000000001),AND(Debt!AQ121&lt;=0.000000001,Time!AQ30=1,Debt!AQ122&lt;0.000000001)),1,0)</f>
        <v/>
      </c>
      <c r="AR24" s="9">
        <f>IF(OR(AND(AR19=1,AR18&gt;=Inputs!$F$106,Reserves!AR13&gt;=Debt!AR132-0.000001,OR(AR20=0,AR21=1),Debt!AR121&gt;0.000000001,OR(AR22=0,AR23=1)),AND(Time!AR32=1,Debt!AR121&lt;=0.000000001),AND(Debt!AR121&lt;=0.000000001,Time!AR30=1,Debt!AR122&lt;0.000000001)),1,0)</f>
        <v/>
      </c>
      <c r="AS24" s="9">
        <f>IF(OR(AND(AS19=1,AS18&gt;=Inputs!$F$106,Reserves!AS13&gt;=Debt!AS132-0.000001,OR(AS20=0,AS21=1),Debt!AS121&gt;0.000000001,OR(AS22=0,AS23=1)),AND(Time!AS32=1,Debt!AS121&lt;=0.000000001),AND(Debt!AS121&lt;=0.000000001,Time!AS30=1,Debt!AS122&lt;0.000000001)),1,0)</f>
        <v/>
      </c>
      <c r="AT24" s="9">
        <f>IF(OR(AND(AT19=1,AT18&gt;=Inputs!$F$106,Reserves!AT13&gt;=Debt!AT132-0.000001,OR(AT20=0,AT21=1),Debt!AT121&gt;0.000000001,OR(AT22=0,AT23=1)),AND(Time!AT32=1,Debt!AT121&lt;=0.000000001),AND(Debt!AT121&lt;=0.000000001,Time!AT30=1,Debt!AT122&lt;0.000000001)),1,0)</f>
        <v/>
      </c>
      <c r="AU24" s="9">
        <f>IF(OR(AND(AU19=1,AU18&gt;=Inputs!$F$106,Reserves!AU13&gt;=Debt!AU132-0.000001,OR(AU20=0,AU21=1),Debt!AU121&gt;0.000000001,OR(AU22=0,AU23=1)),AND(Time!AU32=1,Debt!AU121&lt;=0.000000001),AND(Debt!AU121&lt;=0.000000001,Time!AU30=1,Debt!AU122&lt;0.000000001)),1,0)</f>
        <v/>
      </c>
      <c r="AV24" s="9">
        <f>IF(OR(AND(AV19=1,AV18&gt;=Inputs!$F$106,Reserves!AV13&gt;=Debt!AV132-0.000001,OR(AV20=0,AV21=1),Debt!AV121&gt;0.000000001,OR(AV22=0,AV23=1)),AND(Time!AV32=1,Debt!AV121&lt;=0.000000001),AND(Debt!AV121&lt;=0.000000001,Time!AV30=1,Debt!AV122&lt;0.000000001)),1,0)</f>
        <v/>
      </c>
      <c r="AW24" s="9">
        <f>IF(OR(AND(AW19=1,AW18&gt;=Inputs!$F$106,Reserves!AW13&gt;=Debt!AW132-0.000001,OR(AW20=0,AW21=1),Debt!AW121&gt;0.000000001,OR(AW22=0,AW23=1)),AND(Time!AW32=1,Debt!AW121&lt;=0.000000001),AND(Debt!AW121&lt;=0.000000001,Time!AW30=1,Debt!AW122&lt;0.000000001)),1,0)</f>
        <v/>
      </c>
      <c r="AX24" s="9">
        <f>IF(OR(AND(AX19=1,AX18&gt;=Inputs!$F$106,Reserves!AX13&gt;=Debt!AX132-0.000001,OR(AX20=0,AX21=1),Debt!AX121&gt;0.000000001,OR(AX22=0,AX23=1)),AND(Time!AX32=1,Debt!AX121&lt;=0.000000001),AND(Debt!AX121&lt;=0.000000001,Time!AX30=1,Debt!AX122&lt;0.000000001)),1,0)</f>
        <v/>
      </c>
      <c r="AY24" s="9">
        <f>IF(OR(AND(AY19=1,AY18&gt;=Inputs!$F$106,Reserves!AY13&gt;=Debt!AY132-0.000001,OR(AY20=0,AY21=1),Debt!AY121&gt;0.000000001,OR(AY22=0,AY23=1)),AND(Time!AY32=1,Debt!AY121&lt;=0.000000001),AND(Debt!AY121&lt;=0.000000001,Time!AY30=1,Debt!AY122&lt;0.000000001)),1,0)</f>
        <v/>
      </c>
      <c r="AZ24" s="9">
        <f>IF(OR(AND(AZ19=1,AZ18&gt;=Inputs!$F$106,Reserves!AZ13&gt;=Debt!AZ132-0.000001,OR(AZ20=0,AZ21=1),Debt!AZ121&gt;0.000000001,OR(AZ22=0,AZ23=1)),AND(Time!AZ32=1,Debt!AZ121&lt;=0.000000001),AND(Debt!AZ121&lt;=0.000000001,Time!AZ30=1,Debt!AZ122&lt;0.000000001)),1,0)</f>
        <v/>
      </c>
      <c r="BA24" s="9">
        <f>IF(OR(AND(BA19=1,BA18&gt;=Inputs!$F$106,Reserves!BA13&gt;=Debt!BA132-0.000001,OR(BA20=0,BA21=1),Debt!BA121&gt;0.000000001,OR(BA22=0,BA23=1)),AND(Time!BA32=1,Debt!BA121&lt;=0.000000001),AND(Debt!BA121&lt;=0.000000001,Time!BA30=1,Debt!BA122&lt;0.000000001)),1,0)</f>
        <v/>
      </c>
      <c r="BB24" s="9">
        <f>IF(OR(AND(BB19=1,BB18&gt;=Inputs!$F$106,Reserves!BB13&gt;=Debt!BB132-0.000001,OR(BB20=0,BB21=1),Debt!BB121&gt;0.000000001,OR(BB22=0,BB23=1)),AND(Time!BB32=1,Debt!BB121&lt;=0.000000001),AND(Debt!BB121&lt;=0.000000001,Time!BB30=1,Debt!BB122&lt;0.000000001)),1,0)</f>
        <v/>
      </c>
      <c r="BC24" s="9">
        <f>IF(OR(AND(BC19=1,BC18&gt;=Inputs!$F$106,Reserves!BC13&gt;=Debt!BC132-0.000001,OR(BC20=0,BC21=1),Debt!BC121&gt;0.000000001,OR(BC22=0,BC23=1)),AND(Time!BC32=1,Debt!BC121&lt;=0.000000001),AND(Debt!BC121&lt;=0.000000001,Time!BC30=1,Debt!BC122&lt;0.000000001)),1,0)</f>
        <v/>
      </c>
      <c r="BD24" s="9">
        <f>IF(OR(AND(BD19=1,BD18&gt;=Inputs!$F$106,Reserves!BD13&gt;=Debt!BD132-0.000001,OR(BD20=0,BD21=1),Debt!BD121&gt;0.000000001,OR(BD22=0,BD23=1)),AND(Time!BD32=1,Debt!BD121&lt;=0.000000001),AND(Debt!BD121&lt;=0.000000001,Time!BD30=1,Debt!BD122&lt;0.000000001)),1,0)</f>
        <v/>
      </c>
      <c r="BE24" s="9">
        <f>IF(OR(AND(BE19=1,BE18&gt;=Inputs!$F$106,Reserves!BE13&gt;=Debt!BE132-0.000001,OR(BE20=0,BE21=1),Debt!BE121&gt;0.000000001,OR(BE22=0,BE23=1)),AND(Time!BE32=1,Debt!BE121&lt;=0.000000001),AND(Debt!BE121&lt;=0.000000001,Time!BE30=1,Debt!BE122&lt;0.000000001)),1,0)</f>
        <v/>
      </c>
      <c r="BF24" s="9">
        <f>IF(OR(AND(BF19=1,BF18&gt;=Inputs!$F$106,Reserves!BF13&gt;=Debt!BF132-0.000001,OR(BF20=0,BF21=1),Debt!BF121&gt;0.000000001,OR(BF22=0,BF23=1)),AND(Time!BF32=1,Debt!BF121&lt;=0.000000001),AND(Debt!BF121&lt;=0.000000001,Time!BF30=1,Debt!BF122&lt;0.000000001)),1,0)</f>
        <v/>
      </c>
      <c r="BG24" s="9">
        <f>IF(OR(AND(BG19=1,BG18&gt;=Inputs!$F$106,Reserves!BG13&gt;=Debt!BG132-0.000001,OR(BG20=0,BG21=1),Debt!BG121&gt;0.000000001,OR(BG22=0,BG23=1)),AND(Time!BG32=1,Debt!BG121&lt;=0.000000001),AND(Debt!BG121&lt;=0.000000001,Time!BG30=1,Debt!BG122&lt;0.000000001)),1,0)</f>
        <v/>
      </c>
      <c r="BH24" s="9">
        <f>IF(OR(AND(BH19=1,BH18&gt;=Inputs!$F$106,Reserves!BH13&gt;=Debt!BH132-0.000001,OR(BH20=0,BH21=1),Debt!BH121&gt;0.000000001,OR(BH22=0,BH23=1)),AND(Time!BH32=1,Debt!BH121&lt;=0.000000001),AND(Debt!BH121&lt;=0.000000001,Time!BH30=1,Debt!BH122&lt;0.000000001)),1,0)</f>
        <v/>
      </c>
      <c r="BI24" s="9">
        <f>IF(OR(AND(BI19=1,BI18&gt;=Inputs!$F$106,Reserves!BI13&gt;=Debt!BI132-0.000001,OR(BI20=0,BI21=1),Debt!BI121&gt;0.000000001,OR(BI22=0,BI23=1)),AND(Time!BI32=1,Debt!BI121&lt;=0.000000001),AND(Debt!BI121&lt;=0.000000001,Time!BI30=1,Debt!BI122&lt;0.000000001)),1,0)</f>
        <v/>
      </c>
      <c r="BJ24" s="9">
        <f>IF(OR(AND(BJ19=1,BJ18&gt;=Inputs!$F$106,Reserves!BJ13&gt;=Debt!BJ132-0.000001,OR(BJ20=0,BJ21=1),Debt!BJ121&gt;0.000000001,OR(BJ22=0,BJ23=1)),AND(Time!BJ32=1,Debt!BJ121&lt;=0.000000001),AND(Debt!BJ121&lt;=0.000000001,Time!BJ30=1,Debt!BJ122&lt;0.000000001)),1,0)</f>
        <v/>
      </c>
      <c r="BK24" s="9">
        <f>IF(OR(AND(BK19=1,BK18&gt;=Inputs!$F$106,Reserves!BK13&gt;=Debt!BK132-0.000001,OR(BK20=0,BK21=1),Debt!BK121&gt;0.000000001,OR(BK22=0,BK23=1)),AND(Time!BK32=1,Debt!BK121&lt;=0.000000001),AND(Debt!BK121&lt;=0.000000001,Time!BK30=1,Debt!BK122&lt;0.000000001)),1,0)</f>
        <v/>
      </c>
      <c r="BL24" s="9">
        <f>IF(OR(AND(BL19=1,BL18&gt;=Inputs!$F$106,Reserves!BL13&gt;=Debt!BL132-0.000001,OR(BL20=0,BL21=1),Debt!BL121&gt;0.000000001,OR(BL22=0,BL23=1)),AND(Time!BL32=1,Debt!BL121&lt;=0.000000001),AND(Debt!BL121&lt;=0.000000001,Time!BL30=1,Debt!BL122&lt;0.000000001)),1,0)</f>
        <v/>
      </c>
      <c r="BM24" s="9">
        <f>IF(OR(AND(BM19=1,BM18&gt;=Inputs!$F$106,Reserves!BM13&gt;=Debt!BM132-0.000001,OR(BM20=0,BM21=1),Debt!BM121&gt;0.000000001,OR(BM22=0,BM23=1)),AND(Time!BM32=1,Debt!BM121&lt;=0.000000001),AND(Debt!BM121&lt;=0.000000001,Time!BM30=1,Debt!BM122&lt;0.000000001)),1,0)</f>
        <v/>
      </c>
      <c r="BN24" s="9">
        <f>IF(OR(AND(BN19=1,BN18&gt;=Inputs!$F$106,Reserves!BN13&gt;=Debt!BN132-0.000001,OR(BN20=0,BN21=1),Debt!BN121&gt;0.000000001,OR(BN22=0,BN23=1)),AND(Time!BN32=1,Debt!BN121&lt;=0.000000001),AND(Debt!BN121&lt;=0.000000001,Time!BN30=1,Debt!BN122&lt;0.000000001)),1,0)</f>
        <v/>
      </c>
    </row>
    <row r="25">
      <c r="D25" t="inlineStr">
        <is>
          <t>Lock-up</t>
        </is>
      </c>
      <c r="E25" t="inlineStr">
        <is>
          <t>flag</t>
        </is>
      </c>
      <c r="J25" s="9">
        <f>IF(AND(J24=0,J19=1,Debt!J121&gt;0.000000001),1,0)</f>
        <v/>
      </c>
      <c r="K25" s="9">
        <f>IF(AND(K24=0,K19=1,Debt!K121&gt;0.000000001),1,0)</f>
        <v/>
      </c>
      <c r="L25" s="9">
        <f>IF(AND(L24=0,L19=1,Debt!L121&gt;0.000000001),1,0)</f>
        <v/>
      </c>
      <c r="M25" s="9">
        <f>IF(AND(M24=0,M19=1,Debt!M121&gt;0.000000001),1,0)</f>
        <v/>
      </c>
      <c r="N25" s="9">
        <f>IF(AND(N24=0,N19=1,Debt!N121&gt;0.000000001),1,0)</f>
        <v/>
      </c>
      <c r="O25" s="9">
        <f>IF(AND(O24=0,O19=1,Debt!O121&gt;0.000000001),1,0)</f>
        <v/>
      </c>
      <c r="P25" s="9">
        <f>IF(AND(P24=0,P19=1,Debt!P121&gt;0.000000001),1,0)</f>
        <v/>
      </c>
      <c r="Q25" s="9">
        <f>IF(AND(Q24=0,Q19=1,Debt!Q121&gt;0.000000001),1,0)</f>
        <v/>
      </c>
      <c r="R25" s="9">
        <f>IF(AND(R24=0,R19=1,Debt!R121&gt;0.000000001),1,0)</f>
        <v/>
      </c>
      <c r="S25" s="9">
        <f>IF(AND(S24=0,S19=1,Debt!S121&gt;0.000000001),1,0)</f>
        <v/>
      </c>
      <c r="T25" s="9">
        <f>IF(AND(T24=0,T19=1,Debt!T121&gt;0.000000001),1,0)</f>
        <v/>
      </c>
      <c r="U25" s="9">
        <f>IF(AND(U24=0,U19=1,Debt!U121&gt;0.000000001),1,0)</f>
        <v/>
      </c>
      <c r="V25" s="9">
        <f>IF(AND(V24=0,V19=1,Debt!V121&gt;0.000000001),1,0)</f>
        <v/>
      </c>
      <c r="W25" s="9">
        <f>IF(AND(W24=0,W19=1,Debt!W121&gt;0.000000001),1,0)</f>
        <v/>
      </c>
      <c r="X25" s="9">
        <f>IF(AND(X24=0,X19=1,Debt!X121&gt;0.000000001),1,0)</f>
        <v/>
      </c>
      <c r="Y25" s="9">
        <f>IF(AND(Y24=0,Y19=1,Debt!Y121&gt;0.000000001),1,0)</f>
        <v/>
      </c>
      <c r="Z25" s="9">
        <f>IF(AND(Z24=0,Z19=1,Debt!Z121&gt;0.000000001),1,0)</f>
        <v/>
      </c>
      <c r="AA25" s="9">
        <f>IF(AND(AA24=0,AA19=1,Debt!AA121&gt;0.000000001),1,0)</f>
        <v/>
      </c>
      <c r="AB25" s="9">
        <f>IF(AND(AB24=0,AB19=1,Debt!AB121&gt;0.000000001),1,0)</f>
        <v/>
      </c>
      <c r="AC25" s="9">
        <f>IF(AND(AC24=0,AC19=1,Debt!AC121&gt;0.000000001),1,0)</f>
        <v/>
      </c>
      <c r="AD25" s="9">
        <f>IF(AND(AD24=0,AD19=1,Debt!AD121&gt;0.000000001),1,0)</f>
        <v/>
      </c>
      <c r="AE25" s="9">
        <f>IF(AND(AE24=0,AE19=1,Debt!AE121&gt;0.000000001),1,0)</f>
        <v/>
      </c>
      <c r="AF25" s="9">
        <f>IF(AND(AF24=0,AF19=1,Debt!AF121&gt;0.000000001),1,0)</f>
        <v/>
      </c>
      <c r="AG25" s="9">
        <f>IF(AND(AG24=0,AG19=1,Debt!AG121&gt;0.000000001),1,0)</f>
        <v/>
      </c>
      <c r="AH25" s="9">
        <f>IF(AND(AH24=0,AH19=1,Debt!AH121&gt;0.000000001),1,0)</f>
        <v/>
      </c>
      <c r="AI25" s="9">
        <f>IF(AND(AI24=0,AI19=1,Debt!AI121&gt;0.000000001),1,0)</f>
        <v/>
      </c>
      <c r="AJ25" s="9">
        <f>IF(AND(AJ24=0,AJ19=1,Debt!AJ121&gt;0.000000001),1,0)</f>
        <v/>
      </c>
      <c r="AK25" s="9">
        <f>IF(AND(AK24=0,AK19=1,Debt!AK121&gt;0.000000001),1,0)</f>
        <v/>
      </c>
      <c r="AL25" s="9">
        <f>IF(AND(AL24=0,AL19=1,Debt!AL121&gt;0.000000001),1,0)</f>
        <v/>
      </c>
      <c r="AM25" s="9">
        <f>IF(AND(AM24=0,AM19=1,Debt!AM121&gt;0.000000001),1,0)</f>
        <v/>
      </c>
      <c r="AN25" s="9">
        <f>IF(AND(AN24=0,AN19=1,Debt!AN121&gt;0.000000001),1,0)</f>
        <v/>
      </c>
      <c r="AO25" s="9">
        <f>IF(AND(AO24=0,AO19=1,Debt!AO121&gt;0.000000001),1,0)</f>
        <v/>
      </c>
      <c r="AP25" s="9">
        <f>IF(AND(AP24=0,AP19=1,Debt!AP121&gt;0.000000001),1,0)</f>
        <v/>
      </c>
      <c r="AQ25" s="9">
        <f>IF(AND(AQ24=0,AQ19=1,Debt!AQ121&gt;0.000000001),1,0)</f>
        <v/>
      </c>
      <c r="AR25" s="9">
        <f>IF(AND(AR24=0,AR19=1,Debt!AR121&gt;0.000000001),1,0)</f>
        <v/>
      </c>
      <c r="AS25" s="9">
        <f>IF(AND(AS24=0,AS19=1,Debt!AS121&gt;0.000000001),1,0)</f>
        <v/>
      </c>
      <c r="AT25" s="9">
        <f>IF(AND(AT24=0,AT19=1,Debt!AT121&gt;0.000000001),1,0)</f>
        <v/>
      </c>
      <c r="AU25" s="9">
        <f>IF(AND(AU24=0,AU19=1,Debt!AU121&gt;0.000000001),1,0)</f>
        <v/>
      </c>
      <c r="AV25" s="9">
        <f>IF(AND(AV24=0,AV19=1,Debt!AV121&gt;0.000000001),1,0)</f>
        <v/>
      </c>
      <c r="AW25" s="9">
        <f>IF(AND(AW24=0,AW19=1,Debt!AW121&gt;0.000000001),1,0)</f>
        <v/>
      </c>
      <c r="AX25" s="9">
        <f>IF(AND(AX24=0,AX19=1,Debt!AX121&gt;0.000000001),1,0)</f>
        <v/>
      </c>
      <c r="AY25" s="9">
        <f>IF(AND(AY24=0,AY19=1,Debt!AY121&gt;0.000000001),1,0)</f>
        <v/>
      </c>
      <c r="AZ25" s="9">
        <f>IF(AND(AZ24=0,AZ19=1,Debt!AZ121&gt;0.000000001),1,0)</f>
        <v/>
      </c>
      <c r="BA25" s="9">
        <f>IF(AND(BA24=0,BA19=1,Debt!BA121&gt;0.000000001),1,0)</f>
        <v/>
      </c>
      <c r="BB25" s="9">
        <f>IF(AND(BB24=0,BB19=1,Debt!BB121&gt;0.000000001),1,0)</f>
        <v/>
      </c>
      <c r="BC25" s="9">
        <f>IF(AND(BC24=0,BC19=1,Debt!BC121&gt;0.000000001),1,0)</f>
        <v/>
      </c>
      <c r="BD25" s="9">
        <f>IF(AND(BD24=0,BD19=1,Debt!BD121&gt;0.000000001),1,0)</f>
        <v/>
      </c>
      <c r="BE25" s="9">
        <f>IF(AND(BE24=0,BE19=1,Debt!BE121&gt;0.000000001),1,0)</f>
        <v/>
      </c>
      <c r="BF25" s="9">
        <f>IF(AND(BF24=0,BF19=1,Debt!BF121&gt;0.000000001),1,0)</f>
        <v/>
      </c>
      <c r="BG25" s="9">
        <f>IF(AND(BG24=0,BG19=1,Debt!BG121&gt;0.000000001),1,0)</f>
        <v/>
      </c>
      <c r="BH25" s="9">
        <f>IF(AND(BH24=0,BH19=1,Debt!BH121&gt;0.000000001),1,0)</f>
        <v/>
      </c>
      <c r="BI25" s="9">
        <f>IF(AND(BI24=0,BI19=1,Debt!BI121&gt;0.000000001),1,0)</f>
        <v/>
      </c>
      <c r="BJ25" s="9">
        <f>IF(AND(BJ24=0,BJ19=1,Debt!BJ121&gt;0.000000001),1,0)</f>
        <v/>
      </c>
      <c r="BK25" s="9">
        <f>IF(AND(BK24=0,BK19=1,Debt!BK121&gt;0.000000001),1,0)</f>
        <v/>
      </c>
      <c r="BL25" s="9">
        <f>IF(AND(BL24=0,BL19=1,Debt!BL121&gt;0.000000001),1,0)</f>
        <v/>
      </c>
      <c r="BM25" s="9">
        <f>IF(AND(BM24=0,BM19=1,Debt!BM121&gt;0.000000001),1,0)</f>
        <v/>
      </c>
      <c r="BN25" s="9">
        <f>IF(AND(BN24=0,BN19=1,Debt!BN121&gt;0.000000001),1,0)</f>
        <v/>
      </c>
    </row>
    <row r="26">
      <c r="D26" t="inlineStr">
        <is>
          <t>Consecutive lock-ups</t>
        </is>
      </c>
      <c r="E26" t="inlineStr">
        <is>
          <t>count</t>
        </is>
      </c>
      <c r="J26" s="9">
        <f>IF(J25=1,0+1,0)</f>
        <v/>
      </c>
      <c r="K26" s="9">
        <f>IF(K25=1,J26+1,0)</f>
        <v/>
      </c>
      <c r="L26" s="9">
        <f>IF(L25=1,K26+1,0)</f>
        <v/>
      </c>
      <c r="M26" s="9">
        <f>IF(M25=1,L26+1,0)</f>
        <v/>
      </c>
      <c r="N26" s="9">
        <f>IF(N25=1,M26+1,0)</f>
        <v/>
      </c>
      <c r="O26" s="9">
        <f>IF(O25=1,N26+1,0)</f>
        <v/>
      </c>
      <c r="P26" s="9">
        <f>IF(P25=1,O26+1,0)</f>
        <v/>
      </c>
      <c r="Q26" s="9">
        <f>IF(Q25=1,P26+1,0)</f>
        <v/>
      </c>
      <c r="R26" s="9">
        <f>IF(R25=1,Q26+1,0)</f>
        <v/>
      </c>
      <c r="S26" s="9">
        <f>IF(S25=1,R26+1,0)</f>
        <v/>
      </c>
      <c r="T26" s="9">
        <f>IF(T25=1,S26+1,0)</f>
        <v/>
      </c>
      <c r="U26" s="9">
        <f>IF(U25=1,T26+1,0)</f>
        <v/>
      </c>
      <c r="V26" s="9">
        <f>IF(V25=1,U26+1,0)</f>
        <v/>
      </c>
      <c r="W26" s="9">
        <f>IF(W25=1,V26+1,0)</f>
        <v/>
      </c>
      <c r="X26" s="9">
        <f>IF(X25=1,W26+1,0)</f>
        <v/>
      </c>
      <c r="Y26" s="9">
        <f>IF(Y25=1,X26+1,0)</f>
        <v/>
      </c>
      <c r="Z26" s="9">
        <f>IF(Z25=1,Y26+1,0)</f>
        <v/>
      </c>
      <c r="AA26" s="9">
        <f>IF(AA25=1,Z26+1,0)</f>
        <v/>
      </c>
      <c r="AB26" s="9">
        <f>IF(AB25=1,AA26+1,0)</f>
        <v/>
      </c>
      <c r="AC26" s="9">
        <f>IF(AC25=1,AB26+1,0)</f>
        <v/>
      </c>
      <c r="AD26" s="9">
        <f>IF(AD25=1,AC26+1,0)</f>
        <v/>
      </c>
      <c r="AE26" s="9">
        <f>IF(AE25=1,AD26+1,0)</f>
        <v/>
      </c>
      <c r="AF26" s="9">
        <f>IF(AF25=1,AE26+1,0)</f>
        <v/>
      </c>
      <c r="AG26" s="9">
        <f>IF(AG25=1,AF26+1,0)</f>
        <v/>
      </c>
      <c r="AH26" s="9">
        <f>IF(AH25=1,AG26+1,0)</f>
        <v/>
      </c>
      <c r="AI26" s="9">
        <f>IF(AI25=1,AH26+1,0)</f>
        <v/>
      </c>
      <c r="AJ26" s="9">
        <f>IF(AJ25=1,AI26+1,0)</f>
        <v/>
      </c>
      <c r="AK26" s="9">
        <f>IF(AK25=1,AJ26+1,0)</f>
        <v/>
      </c>
      <c r="AL26" s="9">
        <f>IF(AL25=1,AK26+1,0)</f>
        <v/>
      </c>
      <c r="AM26" s="9">
        <f>IF(AM25=1,AL26+1,0)</f>
        <v/>
      </c>
      <c r="AN26" s="9">
        <f>IF(AN25=1,AM26+1,0)</f>
        <v/>
      </c>
      <c r="AO26" s="9">
        <f>IF(AO25=1,AN26+1,0)</f>
        <v/>
      </c>
      <c r="AP26" s="9">
        <f>IF(AP25=1,AO26+1,0)</f>
        <v/>
      </c>
      <c r="AQ26" s="9">
        <f>IF(AQ25=1,AP26+1,0)</f>
        <v/>
      </c>
      <c r="AR26" s="9">
        <f>IF(AR25=1,AQ26+1,0)</f>
        <v/>
      </c>
      <c r="AS26" s="9">
        <f>IF(AS25=1,AR26+1,0)</f>
        <v/>
      </c>
      <c r="AT26" s="9">
        <f>IF(AT25=1,AS26+1,0)</f>
        <v/>
      </c>
      <c r="AU26" s="9">
        <f>IF(AU25=1,AT26+1,0)</f>
        <v/>
      </c>
      <c r="AV26" s="9">
        <f>IF(AV25=1,AU26+1,0)</f>
        <v/>
      </c>
      <c r="AW26" s="9">
        <f>IF(AW25=1,AV26+1,0)</f>
        <v/>
      </c>
      <c r="AX26" s="9">
        <f>IF(AX25=1,AW26+1,0)</f>
        <v/>
      </c>
      <c r="AY26" s="9">
        <f>IF(AY25=1,AX26+1,0)</f>
        <v/>
      </c>
      <c r="AZ26" s="9">
        <f>IF(AZ25=1,AY26+1,0)</f>
        <v/>
      </c>
      <c r="BA26" s="9">
        <f>IF(BA25=1,AZ26+1,0)</f>
        <v/>
      </c>
      <c r="BB26" s="9">
        <f>IF(BB25=1,BA26+1,0)</f>
        <v/>
      </c>
      <c r="BC26" s="9">
        <f>IF(BC25=1,BB26+1,0)</f>
        <v/>
      </c>
      <c r="BD26" s="9">
        <f>IF(BD25=1,BC26+1,0)</f>
        <v/>
      </c>
      <c r="BE26" s="9">
        <f>IF(BE25=1,BD26+1,0)</f>
        <v/>
      </c>
      <c r="BF26" s="9">
        <f>IF(BF25=1,BE26+1,0)</f>
        <v/>
      </c>
      <c r="BG26" s="9">
        <f>IF(BG25=1,BF26+1,0)</f>
        <v/>
      </c>
      <c r="BH26" s="9">
        <f>IF(BH25=1,BG26+1,0)</f>
        <v/>
      </c>
      <c r="BI26" s="9">
        <f>IF(BI25=1,BH26+1,0)</f>
        <v/>
      </c>
      <c r="BJ26" s="9">
        <f>IF(BJ25=1,BI26+1,0)</f>
        <v/>
      </c>
      <c r="BK26" s="9">
        <f>IF(BK25=1,BJ26+1,0)</f>
        <v/>
      </c>
      <c r="BL26" s="9">
        <f>IF(BL25=1,BK26+1,0)</f>
        <v/>
      </c>
      <c r="BM26" s="9">
        <f>IF(BM25=1,BL26+1,0)</f>
        <v/>
      </c>
      <c r="BN26" s="9">
        <f>IF(BN25=1,BM26+1,0)</f>
        <v/>
      </c>
    </row>
    <row r="27">
      <c r="B27" s="2" t="inlineStr">
        <is>
          <t>Sweeps and distributions (USD m)</t>
        </is>
      </c>
    </row>
    <row r="28">
      <c r="D28" t="inlineStr">
        <is>
          <t>Lock-up cash sweep (after two consecutive lock-ups)</t>
        </is>
      </c>
      <c r="E28" t="inlineStr">
        <is>
          <t>USD m</t>
        </is>
      </c>
      <c r="G28" s="11">
        <f>SUM(J28:BN28)</f>
        <v/>
      </c>
      <c r="J28" s="11">
        <f>IF(AND(J24=0,J26&gt;=2,J22=0),MIN(J15,Debt!J36+Debt!J51+Debt!J66+Debt!J81+Debt!J96),0)</f>
        <v/>
      </c>
      <c r="K28" s="11">
        <f>IF(AND(K24=0,K26&gt;=2,K22=0),MIN(K15,Debt!K36+Debt!K51+Debt!K66+Debt!K81+Debt!K96),0)</f>
        <v/>
      </c>
      <c r="L28" s="11">
        <f>IF(AND(L24=0,L26&gt;=2,L22=0),MIN(L15,Debt!L36+Debt!L51+Debt!L66+Debt!L81+Debt!L96),0)</f>
        <v/>
      </c>
      <c r="M28" s="11">
        <f>IF(AND(M24=0,M26&gt;=2,M22=0),MIN(M15,Debt!M36+Debt!M51+Debt!M66+Debt!M81+Debt!M96),0)</f>
        <v/>
      </c>
      <c r="N28" s="11">
        <f>IF(AND(N24=0,N26&gt;=2,N22=0),MIN(N15,Debt!N36+Debt!N51+Debt!N66+Debt!N81+Debt!N96),0)</f>
        <v/>
      </c>
      <c r="O28" s="11">
        <f>IF(AND(O24=0,O26&gt;=2,O22=0),MIN(O15,Debt!O36+Debt!O51+Debt!O66+Debt!O81+Debt!O96),0)</f>
        <v/>
      </c>
      <c r="P28" s="11">
        <f>IF(AND(P24=0,P26&gt;=2,P22=0),MIN(P15,Debt!P36+Debt!P51+Debt!P66+Debt!P81+Debt!P96),0)</f>
        <v/>
      </c>
      <c r="Q28" s="11">
        <f>IF(AND(Q24=0,Q26&gt;=2,Q22=0),MIN(Q15,Debt!Q36+Debt!Q51+Debt!Q66+Debt!Q81+Debt!Q96),0)</f>
        <v/>
      </c>
      <c r="R28" s="11">
        <f>IF(AND(R24=0,R26&gt;=2,R22=0),MIN(R15,Debt!R36+Debt!R51+Debt!R66+Debt!R81+Debt!R96),0)</f>
        <v/>
      </c>
      <c r="S28" s="11">
        <f>IF(AND(S24=0,S26&gt;=2,S22=0),MIN(S15,Debt!S36+Debt!S51+Debt!S66+Debt!S81+Debt!S96),0)</f>
        <v/>
      </c>
      <c r="T28" s="11">
        <f>IF(AND(T24=0,T26&gt;=2,T22=0),MIN(T15,Debt!T36+Debt!T51+Debt!T66+Debt!T81+Debt!T96),0)</f>
        <v/>
      </c>
      <c r="U28" s="11">
        <f>IF(AND(U24=0,U26&gt;=2,U22=0),MIN(U15,Debt!U36+Debt!U51+Debt!U66+Debt!U81+Debt!U96),0)</f>
        <v/>
      </c>
      <c r="V28" s="11">
        <f>IF(AND(V24=0,V26&gt;=2,V22=0),MIN(V15,Debt!V36+Debt!V51+Debt!V66+Debt!V81+Debt!V96),0)</f>
        <v/>
      </c>
      <c r="W28" s="11">
        <f>IF(AND(W24=0,W26&gt;=2,W22=0),MIN(W15,Debt!W36+Debt!W51+Debt!W66+Debt!W81+Debt!W96),0)</f>
        <v/>
      </c>
      <c r="X28" s="11">
        <f>IF(AND(X24=0,X26&gt;=2,X22=0),MIN(X15,Debt!X36+Debt!X51+Debt!X66+Debt!X81+Debt!X96),0)</f>
        <v/>
      </c>
      <c r="Y28" s="11">
        <f>IF(AND(Y24=0,Y26&gt;=2,Y22=0),MIN(Y15,Debt!Y36+Debt!Y51+Debt!Y66+Debt!Y81+Debt!Y96),0)</f>
        <v/>
      </c>
      <c r="Z28" s="11">
        <f>IF(AND(Z24=0,Z26&gt;=2,Z22=0),MIN(Z15,Debt!Z36+Debt!Z51+Debt!Z66+Debt!Z81+Debt!Z96),0)</f>
        <v/>
      </c>
      <c r="AA28" s="11">
        <f>IF(AND(AA24=0,AA26&gt;=2,AA22=0),MIN(AA15,Debt!AA36+Debt!AA51+Debt!AA66+Debt!AA81+Debt!AA96),0)</f>
        <v/>
      </c>
      <c r="AB28" s="11">
        <f>IF(AND(AB24=0,AB26&gt;=2,AB22=0),MIN(AB15,Debt!AB36+Debt!AB51+Debt!AB66+Debt!AB81+Debt!AB96),0)</f>
        <v/>
      </c>
      <c r="AC28" s="11">
        <f>IF(AND(AC24=0,AC26&gt;=2,AC22=0),MIN(AC15,Debt!AC36+Debt!AC51+Debt!AC66+Debt!AC81+Debt!AC96),0)</f>
        <v/>
      </c>
      <c r="AD28" s="11">
        <f>IF(AND(AD24=0,AD26&gt;=2,AD22=0),MIN(AD15,Debt!AD36+Debt!AD51+Debt!AD66+Debt!AD81+Debt!AD96),0)</f>
        <v/>
      </c>
      <c r="AE28" s="11">
        <f>IF(AND(AE24=0,AE26&gt;=2,AE22=0),MIN(AE15,Debt!AE36+Debt!AE51+Debt!AE66+Debt!AE81+Debt!AE96),0)</f>
        <v/>
      </c>
      <c r="AF28" s="11">
        <f>IF(AND(AF24=0,AF26&gt;=2,AF22=0),MIN(AF15,Debt!AF36+Debt!AF51+Debt!AF66+Debt!AF81+Debt!AF96),0)</f>
        <v/>
      </c>
      <c r="AG28" s="11">
        <f>IF(AND(AG24=0,AG26&gt;=2,AG22=0),MIN(AG15,Debt!AG36+Debt!AG51+Debt!AG66+Debt!AG81+Debt!AG96),0)</f>
        <v/>
      </c>
      <c r="AH28" s="11">
        <f>IF(AND(AH24=0,AH26&gt;=2,AH22=0),MIN(AH15,Debt!AH36+Debt!AH51+Debt!AH66+Debt!AH81+Debt!AH96),0)</f>
        <v/>
      </c>
      <c r="AI28" s="11">
        <f>IF(AND(AI24=0,AI26&gt;=2,AI22=0),MIN(AI15,Debt!AI36+Debt!AI51+Debt!AI66+Debt!AI81+Debt!AI96),0)</f>
        <v/>
      </c>
      <c r="AJ28" s="11">
        <f>IF(AND(AJ24=0,AJ26&gt;=2,AJ22=0),MIN(AJ15,Debt!AJ36+Debt!AJ51+Debt!AJ66+Debt!AJ81+Debt!AJ96),0)</f>
        <v/>
      </c>
      <c r="AK28" s="11">
        <f>IF(AND(AK24=0,AK26&gt;=2,AK22=0),MIN(AK15,Debt!AK36+Debt!AK51+Debt!AK66+Debt!AK81+Debt!AK96),0)</f>
        <v/>
      </c>
      <c r="AL28" s="11">
        <f>IF(AND(AL24=0,AL26&gt;=2,AL22=0),MIN(AL15,Debt!AL36+Debt!AL51+Debt!AL66+Debt!AL81+Debt!AL96),0)</f>
        <v/>
      </c>
      <c r="AM28" s="11">
        <f>IF(AND(AM24=0,AM26&gt;=2,AM22=0),MIN(AM15,Debt!AM36+Debt!AM51+Debt!AM66+Debt!AM81+Debt!AM96),0)</f>
        <v/>
      </c>
      <c r="AN28" s="11">
        <f>IF(AND(AN24=0,AN26&gt;=2,AN22=0),MIN(AN15,Debt!AN36+Debt!AN51+Debt!AN66+Debt!AN81+Debt!AN96),0)</f>
        <v/>
      </c>
      <c r="AO28" s="11">
        <f>IF(AND(AO24=0,AO26&gt;=2,AO22=0),MIN(AO15,Debt!AO36+Debt!AO51+Debt!AO66+Debt!AO81+Debt!AO96),0)</f>
        <v/>
      </c>
      <c r="AP28" s="11">
        <f>IF(AND(AP24=0,AP26&gt;=2,AP22=0),MIN(AP15,Debt!AP36+Debt!AP51+Debt!AP66+Debt!AP81+Debt!AP96),0)</f>
        <v/>
      </c>
      <c r="AQ28" s="11">
        <f>IF(AND(AQ24=0,AQ26&gt;=2,AQ22=0),MIN(AQ15,Debt!AQ36+Debt!AQ51+Debt!AQ66+Debt!AQ81+Debt!AQ96),0)</f>
        <v/>
      </c>
      <c r="AR28" s="11">
        <f>IF(AND(AR24=0,AR26&gt;=2,AR22=0),MIN(AR15,Debt!AR36+Debt!AR51+Debt!AR66+Debt!AR81+Debt!AR96),0)</f>
        <v/>
      </c>
      <c r="AS28" s="11">
        <f>IF(AND(AS24=0,AS26&gt;=2,AS22=0),MIN(AS15,Debt!AS36+Debt!AS51+Debt!AS66+Debt!AS81+Debt!AS96),0)</f>
        <v/>
      </c>
      <c r="AT28" s="11">
        <f>IF(AND(AT24=0,AT26&gt;=2,AT22=0),MIN(AT15,Debt!AT36+Debt!AT51+Debt!AT66+Debt!AT81+Debt!AT96),0)</f>
        <v/>
      </c>
      <c r="AU28" s="11">
        <f>IF(AND(AU24=0,AU26&gt;=2,AU22=0),MIN(AU15,Debt!AU36+Debt!AU51+Debt!AU66+Debt!AU81+Debt!AU96),0)</f>
        <v/>
      </c>
      <c r="AV28" s="11">
        <f>IF(AND(AV24=0,AV26&gt;=2,AV22=0),MIN(AV15,Debt!AV36+Debt!AV51+Debt!AV66+Debt!AV81+Debt!AV96),0)</f>
        <v/>
      </c>
      <c r="AW28" s="11">
        <f>IF(AND(AW24=0,AW26&gt;=2,AW22=0),MIN(AW15,Debt!AW36+Debt!AW51+Debt!AW66+Debt!AW81+Debt!AW96),0)</f>
        <v/>
      </c>
      <c r="AX28" s="11">
        <f>IF(AND(AX24=0,AX26&gt;=2,AX22=0),MIN(AX15,Debt!AX36+Debt!AX51+Debt!AX66+Debt!AX81+Debt!AX96),0)</f>
        <v/>
      </c>
      <c r="AY28" s="11">
        <f>IF(AND(AY24=0,AY26&gt;=2,AY22=0),MIN(AY15,Debt!AY36+Debt!AY51+Debt!AY66+Debt!AY81+Debt!AY96),0)</f>
        <v/>
      </c>
      <c r="AZ28" s="11">
        <f>IF(AND(AZ24=0,AZ26&gt;=2,AZ22=0),MIN(AZ15,Debt!AZ36+Debt!AZ51+Debt!AZ66+Debt!AZ81+Debt!AZ96),0)</f>
        <v/>
      </c>
      <c r="BA28" s="11">
        <f>IF(AND(BA24=0,BA26&gt;=2,BA22=0),MIN(BA15,Debt!BA36+Debt!BA51+Debt!BA66+Debt!BA81+Debt!BA96),0)</f>
        <v/>
      </c>
      <c r="BB28" s="11">
        <f>IF(AND(BB24=0,BB26&gt;=2,BB22=0),MIN(BB15,Debt!BB36+Debt!BB51+Debt!BB66+Debt!BB81+Debt!BB96),0)</f>
        <v/>
      </c>
      <c r="BC28" s="11">
        <f>IF(AND(BC24=0,BC26&gt;=2,BC22=0),MIN(BC15,Debt!BC36+Debt!BC51+Debt!BC66+Debt!BC81+Debt!BC96),0)</f>
        <v/>
      </c>
      <c r="BD28" s="11">
        <f>IF(AND(BD24=0,BD26&gt;=2,BD22=0),MIN(BD15,Debt!BD36+Debt!BD51+Debt!BD66+Debt!BD81+Debt!BD96),0)</f>
        <v/>
      </c>
      <c r="BE28" s="11">
        <f>IF(AND(BE24=0,BE26&gt;=2,BE22=0),MIN(BE15,Debt!BE36+Debt!BE51+Debt!BE66+Debt!BE81+Debt!BE96),0)</f>
        <v/>
      </c>
      <c r="BF28" s="11">
        <f>IF(AND(BF24=0,BF26&gt;=2,BF22=0),MIN(BF15,Debt!BF36+Debt!BF51+Debt!BF66+Debt!BF81+Debt!BF96),0)</f>
        <v/>
      </c>
      <c r="BG28" s="11">
        <f>IF(AND(BG24=0,BG26&gt;=2,BG22=0),MIN(BG15,Debt!BG36+Debt!BG51+Debt!BG66+Debt!BG81+Debt!BG96),0)</f>
        <v/>
      </c>
      <c r="BH28" s="11">
        <f>IF(AND(BH24=0,BH26&gt;=2,BH22=0),MIN(BH15,Debt!BH36+Debt!BH51+Debt!BH66+Debt!BH81+Debt!BH96),0)</f>
        <v/>
      </c>
      <c r="BI28" s="11">
        <f>IF(AND(BI24=0,BI26&gt;=2,BI22=0),MIN(BI15,Debt!BI36+Debt!BI51+Debt!BI66+Debt!BI81+Debt!BI96),0)</f>
        <v/>
      </c>
      <c r="BJ28" s="11">
        <f>IF(AND(BJ24=0,BJ26&gt;=2,BJ22=0),MIN(BJ15,Debt!BJ36+Debt!BJ51+Debt!BJ66+Debt!BJ81+Debt!BJ96),0)</f>
        <v/>
      </c>
      <c r="BK28" s="11">
        <f>IF(AND(BK24=0,BK26&gt;=2,BK22=0),MIN(BK15,Debt!BK36+Debt!BK51+Debt!BK66+Debt!BK81+Debt!BK96),0)</f>
        <v/>
      </c>
      <c r="BL28" s="11">
        <f>IF(AND(BL24=0,BL26&gt;=2,BL22=0),MIN(BL15,Debt!BL36+Debt!BL51+Debt!BL66+Debt!BL81+Debt!BL96),0)</f>
        <v/>
      </c>
      <c r="BM28" s="11">
        <f>IF(AND(BM24=0,BM26&gt;=2,BM22=0),MIN(BM15,Debt!BM36+Debt!BM51+Debt!BM66+Debt!BM81+Debt!BM96),0)</f>
        <v/>
      </c>
      <c r="BN28" s="11">
        <f>IF(AND(BN24=0,BN26&gt;=2,BN22=0),MIN(BN15,Debt!BN36+Debt!BN51+Debt!BN66+Debt!BN81+Debt!BN96),0)</f>
        <v/>
      </c>
    </row>
    <row r="29">
      <c r="D29" t="inlineStr">
        <is>
          <t>Soft mini-perm sweep (50%, commercial tranche, from 2027)</t>
        </is>
      </c>
      <c r="E29" t="inlineStr">
        <is>
          <t>USD m</t>
        </is>
      </c>
      <c r="G29" s="11">
        <f>SUM(J29:BN29)</f>
        <v/>
      </c>
      <c r="J29" s="11">
        <f>IF(AND(J24=1,Time!J21&gt;=2027,Inputs!$F$51=1),MIN(Inputs!$F$109*J15,Debt!J81),0)</f>
        <v/>
      </c>
      <c r="K29" s="11">
        <f>IF(AND(K24=1,Time!K21&gt;=2027,Inputs!$F$51=1),MIN(Inputs!$F$109*K15,Debt!K81),0)</f>
        <v/>
      </c>
      <c r="L29" s="11">
        <f>IF(AND(L24=1,Time!L21&gt;=2027,Inputs!$F$51=1),MIN(Inputs!$F$109*L15,Debt!L81),0)</f>
        <v/>
      </c>
      <c r="M29" s="11">
        <f>IF(AND(M24=1,Time!M21&gt;=2027,Inputs!$F$51=1),MIN(Inputs!$F$109*M15,Debt!M81),0)</f>
        <v/>
      </c>
      <c r="N29" s="11">
        <f>IF(AND(N24=1,Time!N21&gt;=2027,Inputs!$F$51=1),MIN(Inputs!$F$109*N15,Debt!N81),0)</f>
        <v/>
      </c>
      <c r="O29" s="11">
        <f>IF(AND(O24=1,Time!O21&gt;=2027,Inputs!$F$51=1),MIN(Inputs!$F$109*O15,Debt!O81),0)</f>
        <v/>
      </c>
      <c r="P29" s="11">
        <f>IF(AND(P24=1,Time!P21&gt;=2027,Inputs!$F$51=1),MIN(Inputs!$F$109*P15,Debt!P81),0)</f>
        <v/>
      </c>
      <c r="Q29" s="11">
        <f>IF(AND(Q24=1,Time!Q21&gt;=2027,Inputs!$F$51=1),MIN(Inputs!$F$109*Q15,Debt!Q81),0)</f>
        <v/>
      </c>
      <c r="R29" s="11">
        <f>IF(AND(R24=1,Time!R21&gt;=2027,Inputs!$F$51=1),MIN(Inputs!$F$109*R15,Debt!R81),0)</f>
        <v/>
      </c>
      <c r="S29" s="11">
        <f>IF(AND(S24=1,Time!S21&gt;=2027,Inputs!$F$51=1),MIN(Inputs!$F$109*S15,Debt!S81),0)</f>
        <v/>
      </c>
      <c r="T29" s="11">
        <f>IF(AND(T24=1,Time!T21&gt;=2027,Inputs!$F$51=1),MIN(Inputs!$F$109*T15,Debt!T81),0)</f>
        <v/>
      </c>
      <c r="U29" s="11">
        <f>IF(AND(U24=1,Time!U21&gt;=2027,Inputs!$F$51=1),MIN(Inputs!$F$109*U15,Debt!U81),0)</f>
        <v/>
      </c>
      <c r="V29" s="11">
        <f>IF(AND(V24=1,Time!V21&gt;=2027,Inputs!$F$51=1),MIN(Inputs!$F$109*V15,Debt!V81),0)</f>
        <v/>
      </c>
      <c r="W29" s="11">
        <f>IF(AND(W24=1,Time!W21&gt;=2027,Inputs!$F$51=1),MIN(Inputs!$F$109*W15,Debt!W81),0)</f>
        <v/>
      </c>
      <c r="X29" s="11">
        <f>IF(AND(X24=1,Time!X21&gt;=2027,Inputs!$F$51=1),MIN(Inputs!$F$109*X15,Debt!X81),0)</f>
        <v/>
      </c>
      <c r="Y29" s="11">
        <f>IF(AND(Y24=1,Time!Y21&gt;=2027,Inputs!$F$51=1),MIN(Inputs!$F$109*Y15,Debt!Y81),0)</f>
        <v/>
      </c>
      <c r="Z29" s="11">
        <f>IF(AND(Z24=1,Time!Z21&gt;=2027,Inputs!$F$51=1),MIN(Inputs!$F$109*Z15,Debt!Z81),0)</f>
        <v/>
      </c>
      <c r="AA29" s="11">
        <f>IF(AND(AA24=1,Time!AA21&gt;=2027,Inputs!$F$51=1),MIN(Inputs!$F$109*AA15,Debt!AA81),0)</f>
        <v/>
      </c>
      <c r="AB29" s="11">
        <f>IF(AND(AB24=1,Time!AB21&gt;=2027,Inputs!$F$51=1),MIN(Inputs!$F$109*AB15,Debt!AB81),0)</f>
        <v/>
      </c>
      <c r="AC29" s="11">
        <f>IF(AND(AC24=1,Time!AC21&gt;=2027,Inputs!$F$51=1),MIN(Inputs!$F$109*AC15,Debt!AC81),0)</f>
        <v/>
      </c>
      <c r="AD29" s="11">
        <f>IF(AND(AD24=1,Time!AD21&gt;=2027,Inputs!$F$51=1),MIN(Inputs!$F$109*AD15,Debt!AD81),0)</f>
        <v/>
      </c>
      <c r="AE29" s="11">
        <f>IF(AND(AE24=1,Time!AE21&gt;=2027,Inputs!$F$51=1),MIN(Inputs!$F$109*AE15,Debt!AE81),0)</f>
        <v/>
      </c>
      <c r="AF29" s="11">
        <f>IF(AND(AF24=1,Time!AF21&gt;=2027,Inputs!$F$51=1),MIN(Inputs!$F$109*AF15,Debt!AF81),0)</f>
        <v/>
      </c>
      <c r="AG29" s="11">
        <f>IF(AND(AG24=1,Time!AG21&gt;=2027,Inputs!$F$51=1),MIN(Inputs!$F$109*AG15,Debt!AG81),0)</f>
        <v/>
      </c>
      <c r="AH29" s="11">
        <f>IF(AND(AH24=1,Time!AH21&gt;=2027,Inputs!$F$51=1),MIN(Inputs!$F$109*AH15,Debt!AH81),0)</f>
        <v/>
      </c>
      <c r="AI29" s="11">
        <f>IF(AND(AI24=1,Time!AI21&gt;=2027,Inputs!$F$51=1),MIN(Inputs!$F$109*AI15,Debt!AI81),0)</f>
        <v/>
      </c>
      <c r="AJ29" s="11">
        <f>IF(AND(AJ24=1,Time!AJ21&gt;=2027,Inputs!$F$51=1),MIN(Inputs!$F$109*AJ15,Debt!AJ81),0)</f>
        <v/>
      </c>
      <c r="AK29" s="11">
        <f>IF(AND(AK24=1,Time!AK21&gt;=2027,Inputs!$F$51=1),MIN(Inputs!$F$109*AK15,Debt!AK81),0)</f>
        <v/>
      </c>
      <c r="AL29" s="11">
        <f>IF(AND(AL24=1,Time!AL21&gt;=2027,Inputs!$F$51=1),MIN(Inputs!$F$109*AL15,Debt!AL81),0)</f>
        <v/>
      </c>
      <c r="AM29" s="11">
        <f>IF(AND(AM24=1,Time!AM21&gt;=2027,Inputs!$F$51=1),MIN(Inputs!$F$109*AM15,Debt!AM81),0)</f>
        <v/>
      </c>
      <c r="AN29" s="11">
        <f>IF(AND(AN24=1,Time!AN21&gt;=2027,Inputs!$F$51=1),MIN(Inputs!$F$109*AN15,Debt!AN81),0)</f>
        <v/>
      </c>
      <c r="AO29" s="11">
        <f>IF(AND(AO24=1,Time!AO21&gt;=2027,Inputs!$F$51=1),MIN(Inputs!$F$109*AO15,Debt!AO81),0)</f>
        <v/>
      </c>
      <c r="AP29" s="11">
        <f>IF(AND(AP24=1,Time!AP21&gt;=2027,Inputs!$F$51=1),MIN(Inputs!$F$109*AP15,Debt!AP81),0)</f>
        <v/>
      </c>
      <c r="AQ29" s="11">
        <f>IF(AND(AQ24=1,Time!AQ21&gt;=2027,Inputs!$F$51=1),MIN(Inputs!$F$109*AQ15,Debt!AQ81),0)</f>
        <v/>
      </c>
      <c r="AR29" s="11">
        <f>IF(AND(AR24=1,Time!AR21&gt;=2027,Inputs!$F$51=1),MIN(Inputs!$F$109*AR15,Debt!AR81),0)</f>
        <v/>
      </c>
      <c r="AS29" s="11">
        <f>IF(AND(AS24=1,Time!AS21&gt;=2027,Inputs!$F$51=1),MIN(Inputs!$F$109*AS15,Debt!AS81),0)</f>
        <v/>
      </c>
      <c r="AT29" s="11">
        <f>IF(AND(AT24=1,Time!AT21&gt;=2027,Inputs!$F$51=1),MIN(Inputs!$F$109*AT15,Debt!AT81),0)</f>
        <v/>
      </c>
      <c r="AU29" s="11">
        <f>IF(AND(AU24=1,Time!AU21&gt;=2027,Inputs!$F$51=1),MIN(Inputs!$F$109*AU15,Debt!AU81),0)</f>
        <v/>
      </c>
      <c r="AV29" s="11">
        <f>IF(AND(AV24=1,Time!AV21&gt;=2027,Inputs!$F$51=1),MIN(Inputs!$F$109*AV15,Debt!AV81),0)</f>
        <v/>
      </c>
      <c r="AW29" s="11">
        <f>IF(AND(AW24=1,Time!AW21&gt;=2027,Inputs!$F$51=1),MIN(Inputs!$F$109*AW15,Debt!AW81),0)</f>
        <v/>
      </c>
      <c r="AX29" s="11">
        <f>IF(AND(AX24=1,Time!AX21&gt;=2027,Inputs!$F$51=1),MIN(Inputs!$F$109*AX15,Debt!AX81),0)</f>
        <v/>
      </c>
      <c r="AY29" s="11">
        <f>IF(AND(AY24=1,Time!AY21&gt;=2027,Inputs!$F$51=1),MIN(Inputs!$F$109*AY15,Debt!AY81),0)</f>
        <v/>
      </c>
      <c r="AZ29" s="11">
        <f>IF(AND(AZ24=1,Time!AZ21&gt;=2027,Inputs!$F$51=1),MIN(Inputs!$F$109*AZ15,Debt!AZ81),0)</f>
        <v/>
      </c>
      <c r="BA29" s="11">
        <f>IF(AND(BA24=1,Time!BA21&gt;=2027,Inputs!$F$51=1),MIN(Inputs!$F$109*BA15,Debt!BA81),0)</f>
        <v/>
      </c>
      <c r="BB29" s="11">
        <f>IF(AND(BB24=1,Time!BB21&gt;=2027,Inputs!$F$51=1),MIN(Inputs!$F$109*BB15,Debt!BB81),0)</f>
        <v/>
      </c>
      <c r="BC29" s="11">
        <f>IF(AND(BC24=1,Time!BC21&gt;=2027,Inputs!$F$51=1),MIN(Inputs!$F$109*BC15,Debt!BC81),0)</f>
        <v/>
      </c>
      <c r="BD29" s="11">
        <f>IF(AND(BD24=1,Time!BD21&gt;=2027,Inputs!$F$51=1),MIN(Inputs!$F$109*BD15,Debt!BD81),0)</f>
        <v/>
      </c>
      <c r="BE29" s="11">
        <f>IF(AND(BE24=1,Time!BE21&gt;=2027,Inputs!$F$51=1),MIN(Inputs!$F$109*BE15,Debt!BE81),0)</f>
        <v/>
      </c>
      <c r="BF29" s="11">
        <f>IF(AND(BF24=1,Time!BF21&gt;=2027,Inputs!$F$51=1),MIN(Inputs!$F$109*BF15,Debt!BF81),0)</f>
        <v/>
      </c>
      <c r="BG29" s="11">
        <f>IF(AND(BG24=1,Time!BG21&gt;=2027,Inputs!$F$51=1),MIN(Inputs!$F$109*BG15,Debt!BG81),0)</f>
        <v/>
      </c>
      <c r="BH29" s="11">
        <f>IF(AND(BH24=1,Time!BH21&gt;=2027,Inputs!$F$51=1),MIN(Inputs!$F$109*BH15,Debt!BH81),0)</f>
        <v/>
      </c>
      <c r="BI29" s="11">
        <f>IF(AND(BI24=1,Time!BI21&gt;=2027,Inputs!$F$51=1),MIN(Inputs!$F$109*BI15,Debt!BI81),0)</f>
        <v/>
      </c>
      <c r="BJ29" s="11">
        <f>IF(AND(BJ24=1,Time!BJ21&gt;=2027,Inputs!$F$51=1),MIN(Inputs!$F$109*BJ15,Debt!BJ81),0)</f>
        <v/>
      </c>
      <c r="BK29" s="11">
        <f>IF(AND(BK24=1,Time!BK21&gt;=2027,Inputs!$F$51=1),MIN(Inputs!$F$109*BK15,Debt!BK81),0)</f>
        <v/>
      </c>
      <c r="BL29" s="11">
        <f>IF(AND(BL24=1,Time!BL21&gt;=2027,Inputs!$F$51=1),MIN(Inputs!$F$109*BL15,Debt!BL81),0)</f>
        <v/>
      </c>
      <c r="BM29" s="11">
        <f>IF(AND(BM24=1,Time!BM21&gt;=2027,Inputs!$F$51=1),MIN(Inputs!$F$109*BM15,Debt!BM81),0)</f>
        <v/>
      </c>
      <c r="BN29" s="11">
        <f>IF(AND(BN24=1,Time!BN21&gt;=2027,Inputs!$F$51=1),MIN(Inputs!$F$109*BN15,Debt!BN81),0)</f>
        <v/>
      </c>
    </row>
    <row r="30">
      <c r="D30" t="inlineStr">
        <is>
          <t>Lock-up account, closing</t>
        </is>
      </c>
      <c r="E30" t="inlineStr">
        <is>
          <t>USD m</t>
        </is>
      </c>
      <c r="J30" s="11">
        <f>IF(J24=0,J15-J28,0)</f>
        <v/>
      </c>
      <c r="K30" s="11">
        <f>IF(K24=0,K15-K28,0)</f>
        <v/>
      </c>
      <c r="L30" s="11">
        <f>IF(L24=0,L15-L28,0)</f>
        <v/>
      </c>
      <c r="M30" s="11">
        <f>IF(M24=0,M15-M28,0)</f>
        <v/>
      </c>
      <c r="N30" s="11">
        <f>IF(N24=0,N15-N28,0)</f>
        <v/>
      </c>
      <c r="O30" s="11">
        <f>IF(O24=0,O15-O28,0)</f>
        <v/>
      </c>
      <c r="P30" s="11">
        <f>IF(P24=0,P15-P28,0)</f>
        <v/>
      </c>
      <c r="Q30" s="11">
        <f>IF(Q24=0,Q15-Q28,0)</f>
        <v/>
      </c>
      <c r="R30" s="11">
        <f>IF(R24=0,R15-R28,0)</f>
        <v/>
      </c>
      <c r="S30" s="11">
        <f>IF(S24=0,S15-S28,0)</f>
        <v/>
      </c>
      <c r="T30" s="11">
        <f>IF(T24=0,T15-T28,0)</f>
        <v/>
      </c>
      <c r="U30" s="11">
        <f>IF(U24=0,U15-U28,0)</f>
        <v/>
      </c>
      <c r="V30" s="11">
        <f>IF(V24=0,V15-V28,0)</f>
        <v/>
      </c>
      <c r="W30" s="11">
        <f>IF(W24=0,W15-W28,0)</f>
        <v/>
      </c>
      <c r="X30" s="11">
        <f>IF(X24=0,X15-X28,0)</f>
        <v/>
      </c>
      <c r="Y30" s="11">
        <f>IF(Y24=0,Y15-Y28,0)</f>
        <v/>
      </c>
      <c r="Z30" s="11">
        <f>IF(Z24=0,Z15-Z28,0)</f>
        <v/>
      </c>
      <c r="AA30" s="11">
        <f>IF(AA24=0,AA15-AA28,0)</f>
        <v/>
      </c>
      <c r="AB30" s="11">
        <f>IF(AB24=0,AB15-AB28,0)</f>
        <v/>
      </c>
      <c r="AC30" s="11">
        <f>IF(AC24=0,AC15-AC28,0)</f>
        <v/>
      </c>
      <c r="AD30" s="11">
        <f>IF(AD24=0,AD15-AD28,0)</f>
        <v/>
      </c>
      <c r="AE30" s="11">
        <f>IF(AE24=0,AE15-AE28,0)</f>
        <v/>
      </c>
      <c r="AF30" s="11">
        <f>IF(AF24=0,AF15-AF28,0)</f>
        <v/>
      </c>
      <c r="AG30" s="11">
        <f>IF(AG24=0,AG15-AG28,0)</f>
        <v/>
      </c>
      <c r="AH30" s="11">
        <f>IF(AH24=0,AH15-AH28,0)</f>
        <v/>
      </c>
      <c r="AI30" s="11">
        <f>IF(AI24=0,AI15-AI28,0)</f>
        <v/>
      </c>
      <c r="AJ30" s="11">
        <f>IF(AJ24=0,AJ15-AJ28,0)</f>
        <v/>
      </c>
      <c r="AK30" s="11">
        <f>IF(AK24=0,AK15-AK28,0)</f>
        <v/>
      </c>
      <c r="AL30" s="11">
        <f>IF(AL24=0,AL15-AL28,0)</f>
        <v/>
      </c>
      <c r="AM30" s="11">
        <f>IF(AM24=0,AM15-AM28,0)</f>
        <v/>
      </c>
      <c r="AN30" s="11">
        <f>IF(AN24=0,AN15-AN28,0)</f>
        <v/>
      </c>
      <c r="AO30" s="11">
        <f>IF(AO24=0,AO15-AO28,0)</f>
        <v/>
      </c>
      <c r="AP30" s="11">
        <f>IF(AP24=0,AP15-AP28,0)</f>
        <v/>
      </c>
      <c r="AQ30" s="11">
        <f>IF(AQ24=0,AQ15-AQ28,0)</f>
        <v/>
      </c>
      <c r="AR30" s="11">
        <f>IF(AR24=0,AR15-AR28,0)</f>
        <v/>
      </c>
      <c r="AS30" s="11">
        <f>IF(AS24=0,AS15-AS28,0)</f>
        <v/>
      </c>
      <c r="AT30" s="11">
        <f>IF(AT24=0,AT15-AT28,0)</f>
        <v/>
      </c>
      <c r="AU30" s="11">
        <f>IF(AU24=0,AU15-AU28,0)</f>
        <v/>
      </c>
      <c r="AV30" s="11">
        <f>IF(AV24=0,AV15-AV28,0)</f>
        <v/>
      </c>
      <c r="AW30" s="11">
        <f>IF(AW24=0,AW15-AW28,0)</f>
        <v/>
      </c>
      <c r="AX30" s="11">
        <f>IF(AX24=0,AX15-AX28,0)</f>
        <v/>
      </c>
      <c r="AY30" s="11">
        <f>IF(AY24=0,AY15-AY28,0)</f>
        <v/>
      </c>
      <c r="AZ30" s="11">
        <f>IF(AZ24=0,AZ15-AZ28,0)</f>
        <v/>
      </c>
      <c r="BA30" s="11">
        <f>IF(BA24=0,BA15-BA28,0)</f>
        <v/>
      </c>
      <c r="BB30" s="11">
        <f>IF(BB24=0,BB15-BB28,0)</f>
        <v/>
      </c>
      <c r="BC30" s="11">
        <f>IF(BC24=0,BC15-BC28,0)</f>
        <v/>
      </c>
      <c r="BD30" s="11">
        <f>IF(BD24=0,BD15-BD28,0)</f>
        <v/>
      </c>
      <c r="BE30" s="11">
        <f>IF(BE24=0,BE15-BE28,0)</f>
        <v/>
      </c>
      <c r="BF30" s="11">
        <f>IF(BF24=0,BF15-BF28,0)</f>
        <v/>
      </c>
      <c r="BG30" s="11">
        <f>IF(BG24=0,BG15-BG28,0)</f>
        <v/>
      </c>
      <c r="BH30" s="11">
        <f>IF(BH24=0,BH15-BH28,0)</f>
        <v/>
      </c>
      <c r="BI30" s="11">
        <f>IF(BI24=0,BI15-BI28,0)</f>
        <v/>
      </c>
      <c r="BJ30" s="11">
        <f>IF(BJ24=0,BJ15-BJ28,0)</f>
        <v/>
      </c>
      <c r="BK30" s="11">
        <f>IF(BK24=0,BK15-BK28,0)</f>
        <v/>
      </c>
      <c r="BL30" s="11">
        <f>IF(BL24=0,BL15-BL28,0)</f>
        <v/>
      </c>
      <c r="BM30" s="11">
        <f>IF(BM24=0,BM15-BM28,0)</f>
        <v/>
      </c>
      <c r="BN30" s="11">
        <f>IF(BN24=0,BN15-BN28,0)</f>
        <v/>
      </c>
    </row>
    <row r="31">
      <c r="D31" t="inlineStr">
        <is>
          <t>Cash available for distribution</t>
        </is>
      </c>
      <c r="E31" t="inlineStr">
        <is>
          <t>USD m</t>
        </is>
      </c>
      <c r="G31" s="11">
        <f>SUM(J31:BN31)</f>
        <v/>
      </c>
      <c r="J31" s="11">
        <f>IF(J24=1,J15-J29,0)</f>
        <v/>
      </c>
      <c r="K31" s="11">
        <f>IF(K24=1,K15-K29,0)</f>
        <v/>
      </c>
      <c r="L31" s="11">
        <f>IF(L24=1,L15-L29,0)</f>
        <v/>
      </c>
      <c r="M31" s="11">
        <f>IF(M24=1,M15-M29,0)</f>
        <v/>
      </c>
      <c r="N31" s="11">
        <f>IF(N24=1,N15-N29,0)</f>
        <v/>
      </c>
      <c r="O31" s="11">
        <f>IF(O24=1,O15-O29,0)</f>
        <v/>
      </c>
      <c r="P31" s="11">
        <f>IF(P24=1,P15-P29,0)</f>
        <v/>
      </c>
      <c r="Q31" s="11">
        <f>IF(Q24=1,Q15-Q29,0)</f>
        <v/>
      </c>
      <c r="R31" s="11">
        <f>IF(R24=1,R15-R29,0)</f>
        <v/>
      </c>
      <c r="S31" s="11">
        <f>IF(S24=1,S15-S29,0)</f>
        <v/>
      </c>
      <c r="T31" s="11">
        <f>IF(T24=1,T15-T29,0)</f>
        <v/>
      </c>
      <c r="U31" s="11">
        <f>IF(U24=1,U15-U29,0)</f>
        <v/>
      </c>
      <c r="V31" s="11">
        <f>IF(V24=1,V15-V29,0)</f>
        <v/>
      </c>
      <c r="W31" s="11">
        <f>IF(W24=1,W15-W29,0)</f>
        <v/>
      </c>
      <c r="X31" s="11">
        <f>IF(X24=1,X15-X29,0)</f>
        <v/>
      </c>
      <c r="Y31" s="11">
        <f>IF(Y24=1,Y15-Y29,0)</f>
        <v/>
      </c>
      <c r="Z31" s="11">
        <f>IF(Z24=1,Z15-Z29,0)</f>
        <v/>
      </c>
      <c r="AA31" s="11">
        <f>IF(AA24=1,AA15-AA29,0)</f>
        <v/>
      </c>
      <c r="AB31" s="11">
        <f>IF(AB24=1,AB15-AB29,0)</f>
        <v/>
      </c>
      <c r="AC31" s="11">
        <f>IF(AC24=1,AC15-AC29,0)</f>
        <v/>
      </c>
      <c r="AD31" s="11">
        <f>IF(AD24=1,AD15-AD29,0)</f>
        <v/>
      </c>
      <c r="AE31" s="11">
        <f>IF(AE24=1,AE15-AE29,0)</f>
        <v/>
      </c>
      <c r="AF31" s="11">
        <f>IF(AF24=1,AF15-AF29,0)</f>
        <v/>
      </c>
      <c r="AG31" s="11">
        <f>IF(AG24=1,AG15-AG29,0)</f>
        <v/>
      </c>
      <c r="AH31" s="11">
        <f>IF(AH24=1,AH15-AH29,0)</f>
        <v/>
      </c>
      <c r="AI31" s="11">
        <f>IF(AI24=1,AI15-AI29,0)</f>
        <v/>
      </c>
      <c r="AJ31" s="11">
        <f>IF(AJ24=1,AJ15-AJ29,0)</f>
        <v/>
      </c>
      <c r="AK31" s="11">
        <f>IF(AK24=1,AK15-AK29,0)</f>
        <v/>
      </c>
      <c r="AL31" s="11">
        <f>IF(AL24=1,AL15-AL29,0)</f>
        <v/>
      </c>
      <c r="AM31" s="11">
        <f>IF(AM24=1,AM15-AM29,0)</f>
        <v/>
      </c>
      <c r="AN31" s="11">
        <f>IF(AN24=1,AN15-AN29,0)</f>
        <v/>
      </c>
      <c r="AO31" s="11">
        <f>IF(AO24=1,AO15-AO29,0)</f>
        <v/>
      </c>
      <c r="AP31" s="11">
        <f>IF(AP24=1,AP15-AP29,0)</f>
        <v/>
      </c>
      <c r="AQ31" s="11">
        <f>IF(AQ24=1,AQ15-AQ29,0)</f>
        <v/>
      </c>
      <c r="AR31" s="11">
        <f>IF(AR24=1,AR15-AR29,0)</f>
        <v/>
      </c>
      <c r="AS31" s="11">
        <f>IF(AS24=1,AS15-AS29,0)</f>
        <v/>
      </c>
      <c r="AT31" s="11">
        <f>IF(AT24=1,AT15-AT29,0)</f>
        <v/>
      </c>
      <c r="AU31" s="11">
        <f>IF(AU24=1,AU15-AU29,0)</f>
        <v/>
      </c>
      <c r="AV31" s="11">
        <f>IF(AV24=1,AV15-AV29,0)</f>
        <v/>
      </c>
      <c r="AW31" s="11">
        <f>IF(AW24=1,AW15-AW29,0)</f>
        <v/>
      </c>
      <c r="AX31" s="11">
        <f>IF(AX24=1,AX15-AX29,0)</f>
        <v/>
      </c>
      <c r="AY31" s="11">
        <f>IF(AY24=1,AY15-AY29,0)</f>
        <v/>
      </c>
      <c r="AZ31" s="11">
        <f>IF(AZ24=1,AZ15-AZ29,0)</f>
        <v/>
      </c>
      <c r="BA31" s="11">
        <f>IF(BA24=1,BA15-BA29,0)</f>
        <v/>
      </c>
      <c r="BB31" s="11">
        <f>IF(BB24=1,BB15-BB29,0)</f>
        <v/>
      </c>
      <c r="BC31" s="11">
        <f>IF(BC24=1,BC15-BC29,0)</f>
        <v/>
      </c>
      <c r="BD31" s="11">
        <f>IF(BD24=1,BD15-BD29,0)</f>
        <v/>
      </c>
      <c r="BE31" s="11">
        <f>IF(BE24=1,BE15-BE29,0)</f>
        <v/>
      </c>
      <c r="BF31" s="11">
        <f>IF(BF24=1,BF15-BF29,0)</f>
        <v/>
      </c>
      <c r="BG31" s="11">
        <f>IF(BG24=1,BG15-BG29,0)</f>
        <v/>
      </c>
      <c r="BH31" s="11">
        <f>IF(BH24=1,BH15-BH29,0)</f>
        <v/>
      </c>
      <c r="BI31" s="11">
        <f>IF(BI24=1,BI15-BI29,0)</f>
        <v/>
      </c>
      <c r="BJ31" s="11">
        <f>IF(BJ24=1,BJ15-BJ29,0)</f>
        <v/>
      </c>
      <c r="BK31" s="11">
        <f>IF(BK24=1,BK15-BK29,0)</f>
        <v/>
      </c>
      <c r="BL31" s="11">
        <f>IF(BL24=1,BL15-BL29,0)</f>
        <v/>
      </c>
      <c r="BM31" s="11">
        <f>IF(BM24=1,BM15-BM29,0)</f>
        <v/>
      </c>
      <c r="BN31" s="11">
        <f>IF(BN24=1,BN15-BN29,0)</f>
        <v/>
      </c>
    </row>
    <row r="32">
      <c r="D32" t="inlineStr">
        <is>
          <t>Share capital contributed</t>
        </is>
      </c>
      <c r="E32" t="inlineStr">
        <is>
          <t>USD m</t>
        </is>
      </c>
      <c r="F32" s="15">
        <f>SUM(Funding!$J$69:$BJ$69)</f>
        <v/>
      </c>
    </row>
    <row r="33">
      <c r="D33" t="inlineStr">
        <is>
          <t>Shareholder loan balance, opening</t>
        </is>
      </c>
      <c r="E33" t="inlineStr">
        <is>
          <t>USD m</t>
        </is>
      </c>
      <c r="J33" s="11">
        <f>IF(Time!J17&lt;Time!$F$11,0,IF(Time!J29=1,INDEX(Funding!$J$72:$BJ$72,1,Time!$F$13),0))</f>
        <v/>
      </c>
      <c r="K33" s="11">
        <f>IF(Time!K17&lt;Time!$F$11,0,IF(Time!K29=1,INDEX(Funding!$J$72:$BJ$72,1,Time!$F$13),J36))</f>
        <v/>
      </c>
      <c r="L33" s="11">
        <f>IF(Time!L17&lt;Time!$F$11,0,IF(Time!L29=1,INDEX(Funding!$J$72:$BJ$72,1,Time!$F$13),K36))</f>
        <v/>
      </c>
      <c r="M33" s="11">
        <f>IF(Time!M17&lt;Time!$F$11,0,IF(Time!M29=1,INDEX(Funding!$J$72:$BJ$72,1,Time!$F$13),L36))</f>
        <v/>
      </c>
      <c r="N33" s="11">
        <f>IF(Time!N17&lt;Time!$F$11,0,IF(Time!N29=1,INDEX(Funding!$J$72:$BJ$72,1,Time!$F$13),M36))</f>
        <v/>
      </c>
      <c r="O33" s="11">
        <f>IF(Time!O17&lt;Time!$F$11,0,IF(Time!O29=1,INDEX(Funding!$J$72:$BJ$72,1,Time!$F$13),N36))</f>
        <v/>
      </c>
      <c r="P33" s="11">
        <f>IF(Time!P17&lt;Time!$F$11,0,IF(Time!P29=1,INDEX(Funding!$J$72:$BJ$72,1,Time!$F$13),O36))</f>
        <v/>
      </c>
      <c r="Q33" s="11">
        <f>IF(Time!Q17&lt;Time!$F$11,0,IF(Time!Q29=1,INDEX(Funding!$J$72:$BJ$72,1,Time!$F$13),P36))</f>
        <v/>
      </c>
      <c r="R33" s="11">
        <f>IF(Time!R17&lt;Time!$F$11,0,IF(Time!R29=1,INDEX(Funding!$J$72:$BJ$72,1,Time!$F$13),Q36))</f>
        <v/>
      </c>
      <c r="S33" s="11">
        <f>IF(Time!S17&lt;Time!$F$11,0,IF(Time!S29=1,INDEX(Funding!$J$72:$BJ$72,1,Time!$F$13),R36))</f>
        <v/>
      </c>
      <c r="T33" s="11">
        <f>IF(Time!T17&lt;Time!$F$11,0,IF(Time!T29=1,INDEX(Funding!$J$72:$BJ$72,1,Time!$F$13),S36))</f>
        <v/>
      </c>
      <c r="U33" s="11">
        <f>IF(Time!U17&lt;Time!$F$11,0,IF(Time!U29=1,INDEX(Funding!$J$72:$BJ$72,1,Time!$F$13),T36))</f>
        <v/>
      </c>
      <c r="V33" s="11">
        <f>IF(Time!V17&lt;Time!$F$11,0,IF(Time!V29=1,INDEX(Funding!$J$72:$BJ$72,1,Time!$F$13),U36))</f>
        <v/>
      </c>
      <c r="W33" s="11">
        <f>IF(Time!W17&lt;Time!$F$11,0,IF(Time!W29=1,INDEX(Funding!$J$72:$BJ$72,1,Time!$F$13),V36))</f>
        <v/>
      </c>
      <c r="X33" s="11">
        <f>IF(Time!X17&lt;Time!$F$11,0,IF(Time!X29=1,INDEX(Funding!$J$72:$BJ$72,1,Time!$F$13),W36))</f>
        <v/>
      </c>
      <c r="Y33" s="11">
        <f>IF(Time!Y17&lt;Time!$F$11,0,IF(Time!Y29=1,INDEX(Funding!$J$72:$BJ$72,1,Time!$F$13),X36))</f>
        <v/>
      </c>
      <c r="Z33" s="11">
        <f>IF(Time!Z17&lt;Time!$F$11,0,IF(Time!Z29=1,INDEX(Funding!$J$72:$BJ$72,1,Time!$F$13),Y36))</f>
        <v/>
      </c>
      <c r="AA33" s="11">
        <f>IF(Time!AA17&lt;Time!$F$11,0,IF(Time!AA29=1,INDEX(Funding!$J$72:$BJ$72,1,Time!$F$13),Z36))</f>
        <v/>
      </c>
      <c r="AB33" s="11">
        <f>IF(Time!AB17&lt;Time!$F$11,0,IF(Time!AB29=1,INDEX(Funding!$J$72:$BJ$72,1,Time!$F$13),AA36))</f>
        <v/>
      </c>
      <c r="AC33" s="11">
        <f>IF(Time!AC17&lt;Time!$F$11,0,IF(Time!AC29=1,INDEX(Funding!$J$72:$BJ$72,1,Time!$F$13),AB36))</f>
        <v/>
      </c>
      <c r="AD33" s="11">
        <f>IF(Time!AD17&lt;Time!$F$11,0,IF(Time!AD29=1,INDEX(Funding!$J$72:$BJ$72,1,Time!$F$13),AC36))</f>
        <v/>
      </c>
      <c r="AE33" s="11">
        <f>IF(Time!AE17&lt;Time!$F$11,0,IF(Time!AE29=1,INDEX(Funding!$J$72:$BJ$72,1,Time!$F$13),AD36))</f>
        <v/>
      </c>
      <c r="AF33" s="11">
        <f>IF(Time!AF17&lt;Time!$F$11,0,IF(Time!AF29=1,INDEX(Funding!$J$72:$BJ$72,1,Time!$F$13),AE36))</f>
        <v/>
      </c>
      <c r="AG33" s="11">
        <f>IF(Time!AG17&lt;Time!$F$11,0,IF(Time!AG29=1,INDEX(Funding!$J$72:$BJ$72,1,Time!$F$13),AF36))</f>
        <v/>
      </c>
      <c r="AH33" s="11">
        <f>IF(Time!AH17&lt;Time!$F$11,0,IF(Time!AH29=1,INDEX(Funding!$J$72:$BJ$72,1,Time!$F$13),AG36))</f>
        <v/>
      </c>
      <c r="AI33" s="11">
        <f>IF(Time!AI17&lt;Time!$F$11,0,IF(Time!AI29=1,INDEX(Funding!$J$72:$BJ$72,1,Time!$F$13),AH36))</f>
        <v/>
      </c>
      <c r="AJ33" s="11">
        <f>IF(Time!AJ17&lt;Time!$F$11,0,IF(Time!AJ29=1,INDEX(Funding!$J$72:$BJ$72,1,Time!$F$13),AI36))</f>
        <v/>
      </c>
      <c r="AK33" s="11">
        <f>IF(Time!AK17&lt;Time!$F$11,0,IF(Time!AK29=1,INDEX(Funding!$J$72:$BJ$72,1,Time!$F$13),AJ36))</f>
        <v/>
      </c>
      <c r="AL33" s="11">
        <f>IF(Time!AL17&lt;Time!$F$11,0,IF(Time!AL29=1,INDEX(Funding!$J$72:$BJ$72,1,Time!$F$13),AK36))</f>
        <v/>
      </c>
      <c r="AM33" s="11">
        <f>IF(Time!AM17&lt;Time!$F$11,0,IF(Time!AM29=1,INDEX(Funding!$J$72:$BJ$72,1,Time!$F$13),AL36))</f>
        <v/>
      </c>
      <c r="AN33" s="11">
        <f>IF(Time!AN17&lt;Time!$F$11,0,IF(Time!AN29=1,INDEX(Funding!$J$72:$BJ$72,1,Time!$F$13),AM36))</f>
        <v/>
      </c>
      <c r="AO33" s="11">
        <f>IF(Time!AO17&lt;Time!$F$11,0,IF(Time!AO29=1,INDEX(Funding!$J$72:$BJ$72,1,Time!$F$13),AN36))</f>
        <v/>
      </c>
      <c r="AP33" s="11">
        <f>IF(Time!AP17&lt;Time!$F$11,0,IF(Time!AP29=1,INDEX(Funding!$J$72:$BJ$72,1,Time!$F$13),AO36))</f>
        <v/>
      </c>
      <c r="AQ33" s="11">
        <f>IF(Time!AQ17&lt;Time!$F$11,0,IF(Time!AQ29=1,INDEX(Funding!$J$72:$BJ$72,1,Time!$F$13),AP36))</f>
        <v/>
      </c>
      <c r="AR33" s="11">
        <f>IF(Time!AR17&lt;Time!$F$11,0,IF(Time!AR29=1,INDEX(Funding!$J$72:$BJ$72,1,Time!$F$13),AQ36))</f>
        <v/>
      </c>
      <c r="AS33" s="11">
        <f>IF(Time!AS17&lt;Time!$F$11,0,IF(Time!AS29=1,INDEX(Funding!$J$72:$BJ$72,1,Time!$F$13),AR36))</f>
        <v/>
      </c>
      <c r="AT33" s="11">
        <f>IF(Time!AT17&lt;Time!$F$11,0,IF(Time!AT29=1,INDEX(Funding!$J$72:$BJ$72,1,Time!$F$13),AS36))</f>
        <v/>
      </c>
      <c r="AU33" s="11">
        <f>IF(Time!AU17&lt;Time!$F$11,0,IF(Time!AU29=1,INDEX(Funding!$J$72:$BJ$72,1,Time!$F$13),AT36))</f>
        <v/>
      </c>
      <c r="AV33" s="11">
        <f>IF(Time!AV17&lt;Time!$F$11,0,IF(Time!AV29=1,INDEX(Funding!$J$72:$BJ$72,1,Time!$F$13),AU36))</f>
        <v/>
      </c>
      <c r="AW33" s="11">
        <f>IF(Time!AW17&lt;Time!$F$11,0,IF(Time!AW29=1,INDEX(Funding!$J$72:$BJ$72,1,Time!$F$13),AV36))</f>
        <v/>
      </c>
      <c r="AX33" s="11">
        <f>IF(Time!AX17&lt;Time!$F$11,0,IF(Time!AX29=1,INDEX(Funding!$J$72:$BJ$72,1,Time!$F$13),AW36))</f>
        <v/>
      </c>
      <c r="AY33" s="11">
        <f>IF(Time!AY17&lt;Time!$F$11,0,IF(Time!AY29=1,INDEX(Funding!$J$72:$BJ$72,1,Time!$F$13),AX36))</f>
        <v/>
      </c>
      <c r="AZ33" s="11">
        <f>IF(Time!AZ17&lt;Time!$F$11,0,IF(Time!AZ29=1,INDEX(Funding!$J$72:$BJ$72,1,Time!$F$13),AY36))</f>
        <v/>
      </c>
      <c r="BA33" s="11">
        <f>IF(Time!BA17&lt;Time!$F$11,0,IF(Time!BA29=1,INDEX(Funding!$J$72:$BJ$72,1,Time!$F$13),AZ36))</f>
        <v/>
      </c>
      <c r="BB33" s="11">
        <f>IF(Time!BB17&lt;Time!$F$11,0,IF(Time!BB29=1,INDEX(Funding!$J$72:$BJ$72,1,Time!$F$13),BA36))</f>
        <v/>
      </c>
      <c r="BC33" s="11">
        <f>IF(Time!BC17&lt;Time!$F$11,0,IF(Time!BC29=1,INDEX(Funding!$J$72:$BJ$72,1,Time!$F$13),BB36))</f>
        <v/>
      </c>
      <c r="BD33" s="11">
        <f>IF(Time!BD17&lt;Time!$F$11,0,IF(Time!BD29=1,INDEX(Funding!$J$72:$BJ$72,1,Time!$F$13),BC36))</f>
        <v/>
      </c>
      <c r="BE33" s="11">
        <f>IF(Time!BE17&lt;Time!$F$11,0,IF(Time!BE29=1,INDEX(Funding!$J$72:$BJ$72,1,Time!$F$13),BD36))</f>
        <v/>
      </c>
      <c r="BF33" s="11">
        <f>IF(Time!BF17&lt;Time!$F$11,0,IF(Time!BF29=1,INDEX(Funding!$J$72:$BJ$72,1,Time!$F$13),BE36))</f>
        <v/>
      </c>
      <c r="BG33" s="11">
        <f>IF(Time!BG17&lt;Time!$F$11,0,IF(Time!BG29=1,INDEX(Funding!$J$72:$BJ$72,1,Time!$F$13),BF36))</f>
        <v/>
      </c>
      <c r="BH33" s="11">
        <f>IF(Time!BH17&lt;Time!$F$11,0,IF(Time!BH29=1,INDEX(Funding!$J$72:$BJ$72,1,Time!$F$13),BG36))</f>
        <v/>
      </c>
      <c r="BI33" s="11">
        <f>IF(Time!BI17&lt;Time!$F$11,0,IF(Time!BI29=1,INDEX(Funding!$J$72:$BJ$72,1,Time!$F$13),BH36))</f>
        <v/>
      </c>
      <c r="BJ33" s="11">
        <f>IF(Time!BJ17&lt;Time!$F$11,0,IF(Time!BJ29=1,INDEX(Funding!$J$72:$BJ$72,1,Time!$F$13),BI36))</f>
        <v/>
      </c>
      <c r="BK33" s="11">
        <f>IF(Time!BK17&lt;Time!$F$11,0,IF(Time!BK29=1,INDEX(Funding!$J$72:$BJ$72,1,Time!$F$13),BJ36))</f>
        <v/>
      </c>
      <c r="BL33" s="11">
        <f>IF(Time!BL17&lt;Time!$F$11,0,IF(Time!BL29=1,INDEX(Funding!$J$72:$BJ$72,1,Time!$F$13),BK36))</f>
        <v/>
      </c>
      <c r="BM33" s="11">
        <f>IF(Time!BM17&lt;Time!$F$11,0,IF(Time!BM29=1,INDEX(Funding!$J$72:$BJ$72,1,Time!$F$13),BL36))</f>
        <v/>
      </c>
      <c r="BN33" s="11">
        <f>IF(Time!BN17&lt;Time!$F$11,0,IF(Time!BN29=1,INDEX(Funding!$J$72:$BJ$72,1,Time!$F$13),BM36))</f>
        <v/>
      </c>
    </row>
    <row r="34">
      <c r="D34" t="inlineStr">
        <is>
          <t>Shareholder loan interest paid</t>
        </is>
      </c>
      <c r="E34" t="inlineStr">
        <is>
          <t>USD m</t>
        </is>
      </c>
      <c r="G34" s="11">
        <f>SUM(J34:BN34)</f>
        <v/>
      </c>
      <c r="J34" s="11">
        <f>J24*MIN(J31,Tax!J13)</f>
        <v/>
      </c>
      <c r="K34" s="11">
        <f>K24*MIN(K31,Tax!K13)</f>
        <v/>
      </c>
      <c r="L34" s="11">
        <f>L24*MIN(L31,Tax!L13)</f>
        <v/>
      </c>
      <c r="M34" s="11">
        <f>M24*MIN(M31,Tax!M13)</f>
        <v/>
      </c>
      <c r="N34" s="11">
        <f>N24*MIN(N31,Tax!N13)</f>
        <v/>
      </c>
      <c r="O34" s="11">
        <f>O24*MIN(O31,Tax!O13)</f>
        <v/>
      </c>
      <c r="P34" s="11">
        <f>P24*MIN(P31,Tax!P13)</f>
        <v/>
      </c>
      <c r="Q34" s="11">
        <f>Q24*MIN(Q31,Tax!Q13)</f>
        <v/>
      </c>
      <c r="R34" s="11">
        <f>R24*MIN(R31,Tax!R13)</f>
        <v/>
      </c>
      <c r="S34" s="11">
        <f>S24*MIN(S31,Tax!S13)</f>
        <v/>
      </c>
      <c r="T34" s="11">
        <f>T24*MIN(T31,Tax!T13)</f>
        <v/>
      </c>
      <c r="U34" s="11">
        <f>U24*MIN(U31,Tax!U13)</f>
        <v/>
      </c>
      <c r="V34" s="11">
        <f>V24*MIN(V31,Tax!V13)</f>
        <v/>
      </c>
      <c r="W34" s="11">
        <f>W24*MIN(W31,Tax!W13)</f>
        <v/>
      </c>
      <c r="X34" s="11">
        <f>X24*MIN(X31,Tax!X13)</f>
        <v/>
      </c>
      <c r="Y34" s="11">
        <f>Y24*MIN(Y31,Tax!Y13)</f>
        <v/>
      </c>
      <c r="Z34" s="11">
        <f>Z24*MIN(Z31,Tax!Z13)</f>
        <v/>
      </c>
      <c r="AA34" s="11">
        <f>AA24*MIN(AA31,Tax!AA13)</f>
        <v/>
      </c>
      <c r="AB34" s="11">
        <f>AB24*MIN(AB31,Tax!AB13)</f>
        <v/>
      </c>
      <c r="AC34" s="11">
        <f>AC24*MIN(AC31,Tax!AC13)</f>
        <v/>
      </c>
      <c r="AD34" s="11">
        <f>AD24*MIN(AD31,Tax!AD13)</f>
        <v/>
      </c>
      <c r="AE34" s="11">
        <f>AE24*MIN(AE31,Tax!AE13)</f>
        <v/>
      </c>
      <c r="AF34" s="11">
        <f>AF24*MIN(AF31,Tax!AF13)</f>
        <v/>
      </c>
      <c r="AG34" s="11">
        <f>AG24*MIN(AG31,Tax!AG13)</f>
        <v/>
      </c>
      <c r="AH34" s="11">
        <f>AH24*MIN(AH31,Tax!AH13)</f>
        <v/>
      </c>
      <c r="AI34" s="11">
        <f>AI24*MIN(AI31,Tax!AI13)</f>
        <v/>
      </c>
      <c r="AJ34" s="11">
        <f>AJ24*MIN(AJ31,Tax!AJ13)</f>
        <v/>
      </c>
      <c r="AK34" s="11">
        <f>AK24*MIN(AK31,Tax!AK13)</f>
        <v/>
      </c>
      <c r="AL34" s="11">
        <f>AL24*MIN(AL31,Tax!AL13)</f>
        <v/>
      </c>
      <c r="AM34" s="11">
        <f>AM24*MIN(AM31,Tax!AM13)</f>
        <v/>
      </c>
      <c r="AN34" s="11">
        <f>AN24*MIN(AN31,Tax!AN13)</f>
        <v/>
      </c>
      <c r="AO34" s="11">
        <f>AO24*MIN(AO31,Tax!AO13)</f>
        <v/>
      </c>
      <c r="AP34" s="11">
        <f>AP24*MIN(AP31,Tax!AP13)</f>
        <v/>
      </c>
      <c r="AQ34" s="11">
        <f>AQ24*MIN(AQ31,Tax!AQ13)</f>
        <v/>
      </c>
      <c r="AR34" s="11">
        <f>AR24*MIN(AR31,Tax!AR13)</f>
        <v/>
      </c>
      <c r="AS34" s="11">
        <f>AS24*MIN(AS31,Tax!AS13)</f>
        <v/>
      </c>
      <c r="AT34" s="11">
        <f>AT24*MIN(AT31,Tax!AT13)</f>
        <v/>
      </c>
      <c r="AU34" s="11">
        <f>AU24*MIN(AU31,Tax!AU13)</f>
        <v/>
      </c>
      <c r="AV34" s="11">
        <f>AV24*MIN(AV31,Tax!AV13)</f>
        <v/>
      </c>
      <c r="AW34" s="11">
        <f>AW24*MIN(AW31,Tax!AW13)</f>
        <v/>
      </c>
      <c r="AX34" s="11">
        <f>AX24*MIN(AX31,Tax!AX13)</f>
        <v/>
      </c>
      <c r="AY34" s="11">
        <f>AY24*MIN(AY31,Tax!AY13)</f>
        <v/>
      </c>
      <c r="AZ34" s="11">
        <f>AZ24*MIN(AZ31,Tax!AZ13)</f>
        <v/>
      </c>
      <c r="BA34" s="11">
        <f>BA24*MIN(BA31,Tax!BA13)</f>
        <v/>
      </c>
      <c r="BB34" s="11">
        <f>BB24*MIN(BB31,Tax!BB13)</f>
        <v/>
      </c>
      <c r="BC34" s="11">
        <f>BC24*MIN(BC31,Tax!BC13)</f>
        <v/>
      </c>
      <c r="BD34" s="11">
        <f>BD24*MIN(BD31,Tax!BD13)</f>
        <v/>
      </c>
      <c r="BE34" s="11">
        <f>BE24*MIN(BE31,Tax!BE13)</f>
        <v/>
      </c>
      <c r="BF34" s="11">
        <f>BF24*MIN(BF31,Tax!BF13)</f>
        <v/>
      </c>
      <c r="BG34" s="11">
        <f>BG24*MIN(BG31,Tax!BG13)</f>
        <v/>
      </c>
      <c r="BH34" s="11">
        <f>BH24*MIN(BH31,Tax!BH13)</f>
        <v/>
      </c>
      <c r="BI34" s="11">
        <f>BI24*MIN(BI31,Tax!BI13)</f>
        <v/>
      </c>
      <c r="BJ34" s="11">
        <f>BJ24*MIN(BJ31,Tax!BJ13)</f>
        <v/>
      </c>
      <c r="BK34" s="11">
        <f>BK24*MIN(BK31,Tax!BK13)</f>
        <v/>
      </c>
      <c r="BL34" s="11">
        <f>BL24*MIN(BL31,Tax!BL13)</f>
        <v/>
      </c>
      <c r="BM34" s="11">
        <f>BM24*MIN(BM31,Tax!BM13)</f>
        <v/>
      </c>
      <c r="BN34" s="11">
        <f>BN24*MIN(BN31,Tax!BN13)</f>
        <v/>
      </c>
    </row>
    <row r="35">
      <c r="D35" t="inlineStr">
        <is>
          <t>Shareholder loan principal repaid</t>
        </is>
      </c>
      <c r="E35" t="inlineStr">
        <is>
          <t>USD m</t>
        </is>
      </c>
      <c r="G35" s="11">
        <f>SUM(J35:BN35)</f>
        <v/>
      </c>
      <c r="J35" s="11">
        <f>J24*MIN(J31-J34,J33+Tax!J13-J34)</f>
        <v/>
      </c>
      <c r="K35" s="11">
        <f>K24*MIN(K31-K34,K33+Tax!K13-K34)</f>
        <v/>
      </c>
      <c r="L35" s="11">
        <f>L24*MIN(L31-L34,L33+Tax!L13-L34)</f>
        <v/>
      </c>
      <c r="M35" s="11">
        <f>M24*MIN(M31-M34,M33+Tax!M13-M34)</f>
        <v/>
      </c>
      <c r="N35" s="11">
        <f>N24*MIN(N31-N34,N33+Tax!N13-N34)</f>
        <v/>
      </c>
      <c r="O35" s="11">
        <f>O24*MIN(O31-O34,O33+Tax!O13-O34)</f>
        <v/>
      </c>
      <c r="P35" s="11">
        <f>P24*MIN(P31-P34,P33+Tax!P13-P34)</f>
        <v/>
      </c>
      <c r="Q35" s="11">
        <f>Q24*MIN(Q31-Q34,Q33+Tax!Q13-Q34)</f>
        <v/>
      </c>
      <c r="R35" s="11">
        <f>R24*MIN(R31-R34,R33+Tax!R13-R34)</f>
        <v/>
      </c>
      <c r="S35" s="11">
        <f>S24*MIN(S31-S34,S33+Tax!S13-S34)</f>
        <v/>
      </c>
      <c r="T35" s="11">
        <f>T24*MIN(T31-T34,T33+Tax!T13-T34)</f>
        <v/>
      </c>
      <c r="U35" s="11">
        <f>U24*MIN(U31-U34,U33+Tax!U13-U34)</f>
        <v/>
      </c>
      <c r="V35" s="11">
        <f>V24*MIN(V31-V34,V33+Tax!V13-V34)</f>
        <v/>
      </c>
      <c r="W35" s="11">
        <f>W24*MIN(W31-W34,W33+Tax!W13-W34)</f>
        <v/>
      </c>
      <c r="X35" s="11">
        <f>X24*MIN(X31-X34,X33+Tax!X13-X34)</f>
        <v/>
      </c>
      <c r="Y35" s="11">
        <f>Y24*MIN(Y31-Y34,Y33+Tax!Y13-Y34)</f>
        <v/>
      </c>
      <c r="Z35" s="11">
        <f>Z24*MIN(Z31-Z34,Z33+Tax!Z13-Z34)</f>
        <v/>
      </c>
      <c r="AA35" s="11">
        <f>AA24*MIN(AA31-AA34,AA33+Tax!AA13-AA34)</f>
        <v/>
      </c>
      <c r="AB35" s="11">
        <f>AB24*MIN(AB31-AB34,AB33+Tax!AB13-AB34)</f>
        <v/>
      </c>
      <c r="AC35" s="11">
        <f>AC24*MIN(AC31-AC34,AC33+Tax!AC13-AC34)</f>
        <v/>
      </c>
      <c r="AD35" s="11">
        <f>AD24*MIN(AD31-AD34,AD33+Tax!AD13-AD34)</f>
        <v/>
      </c>
      <c r="AE35" s="11">
        <f>AE24*MIN(AE31-AE34,AE33+Tax!AE13-AE34)</f>
        <v/>
      </c>
      <c r="AF35" s="11">
        <f>AF24*MIN(AF31-AF34,AF33+Tax!AF13-AF34)</f>
        <v/>
      </c>
      <c r="AG35" s="11">
        <f>AG24*MIN(AG31-AG34,AG33+Tax!AG13-AG34)</f>
        <v/>
      </c>
      <c r="AH35" s="11">
        <f>AH24*MIN(AH31-AH34,AH33+Tax!AH13-AH34)</f>
        <v/>
      </c>
      <c r="AI35" s="11">
        <f>AI24*MIN(AI31-AI34,AI33+Tax!AI13-AI34)</f>
        <v/>
      </c>
      <c r="AJ35" s="11">
        <f>AJ24*MIN(AJ31-AJ34,AJ33+Tax!AJ13-AJ34)</f>
        <v/>
      </c>
      <c r="AK35" s="11">
        <f>AK24*MIN(AK31-AK34,AK33+Tax!AK13-AK34)</f>
        <v/>
      </c>
      <c r="AL35" s="11">
        <f>AL24*MIN(AL31-AL34,AL33+Tax!AL13-AL34)</f>
        <v/>
      </c>
      <c r="AM35" s="11">
        <f>AM24*MIN(AM31-AM34,AM33+Tax!AM13-AM34)</f>
        <v/>
      </c>
      <c r="AN35" s="11">
        <f>AN24*MIN(AN31-AN34,AN33+Tax!AN13-AN34)</f>
        <v/>
      </c>
      <c r="AO35" s="11">
        <f>AO24*MIN(AO31-AO34,AO33+Tax!AO13-AO34)</f>
        <v/>
      </c>
      <c r="AP35" s="11">
        <f>AP24*MIN(AP31-AP34,AP33+Tax!AP13-AP34)</f>
        <v/>
      </c>
      <c r="AQ35" s="11">
        <f>AQ24*MIN(AQ31-AQ34,AQ33+Tax!AQ13-AQ34)</f>
        <v/>
      </c>
      <c r="AR35" s="11">
        <f>AR24*MIN(AR31-AR34,AR33+Tax!AR13-AR34)</f>
        <v/>
      </c>
      <c r="AS35" s="11">
        <f>AS24*MIN(AS31-AS34,AS33+Tax!AS13-AS34)</f>
        <v/>
      </c>
      <c r="AT35" s="11">
        <f>AT24*MIN(AT31-AT34,AT33+Tax!AT13-AT34)</f>
        <v/>
      </c>
      <c r="AU35" s="11">
        <f>AU24*MIN(AU31-AU34,AU33+Tax!AU13-AU34)</f>
        <v/>
      </c>
      <c r="AV35" s="11">
        <f>AV24*MIN(AV31-AV34,AV33+Tax!AV13-AV34)</f>
        <v/>
      </c>
      <c r="AW35" s="11">
        <f>AW24*MIN(AW31-AW34,AW33+Tax!AW13-AW34)</f>
        <v/>
      </c>
      <c r="AX35" s="11">
        <f>AX24*MIN(AX31-AX34,AX33+Tax!AX13-AX34)</f>
        <v/>
      </c>
      <c r="AY35" s="11">
        <f>AY24*MIN(AY31-AY34,AY33+Tax!AY13-AY34)</f>
        <v/>
      </c>
      <c r="AZ35" s="11">
        <f>AZ24*MIN(AZ31-AZ34,AZ33+Tax!AZ13-AZ34)</f>
        <v/>
      </c>
      <c r="BA35" s="11">
        <f>BA24*MIN(BA31-BA34,BA33+Tax!BA13-BA34)</f>
        <v/>
      </c>
      <c r="BB35" s="11">
        <f>BB24*MIN(BB31-BB34,BB33+Tax!BB13-BB34)</f>
        <v/>
      </c>
      <c r="BC35" s="11">
        <f>BC24*MIN(BC31-BC34,BC33+Tax!BC13-BC34)</f>
        <v/>
      </c>
      <c r="BD35" s="11">
        <f>BD24*MIN(BD31-BD34,BD33+Tax!BD13-BD34)</f>
        <v/>
      </c>
      <c r="BE35" s="11">
        <f>BE24*MIN(BE31-BE34,BE33+Tax!BE13-BE34)</f>
        <v/>
      </c>
      <c r="BF35" s="11">
        <f>BF24*MIN(BF31-BF34,BF33+Tax!BF13-BF34)</f>
        <v/>
      </c>
      <c r="BG35" s="11">
        <f>BG24*MIN(BG31-BG34,BG33+Tax!BG13-BG34)</f>
        <v/>
      </c>
      <c r="BH35" s="11">
        <f>BH24*MIN(BH31-BH34,BH33+Tax!BH13-BH34)</f>
        <v/>
      </c>
      <c r="BI35" s="11">
        <f>BI24*MIN(BI31-BI34,BI33+Tax!BI13-BI34)</f>
        <v/>
      </c>
      <c r="BJ35" s="11">
        <f>BJ24*MIN(BJ31-BJ34,BJ33+Tax!BJ13-BJ34)</f>
        <v/>
      </c>
      <c r="BK35" s="11">
        <f>BK24*MIN(BK31-BK34,BK33+Tax!BK13-BK34)</f>
        <v/>
      </c>
      <c r="BL35" s="11">
        <f>BL24*MIN(BL31-BL34,BL33+Tax!BL13-BL34)</f>
        <v/>
      </c>
      <c r="BM35" s="11">
        <f>BM24*MIN(BM31-BM34,BM33+Tax!BM13-BM34)</f>
        <v/>
      </c>
      <c r="BN35" s="11">
        <f>BN24*MIN(BN31-BN34,BN33+Tax!BN13-BN34)</f>
        <v/>
      </c>
    </row>
    <row r="36">
      <c r="D36" t="inlineStr">
        <is>
          <t>Shareholder loan balance, closing</t>
        </is>
      </c>
      <c r="E36" t="inlineStr">
        <is>
          <t>USD m</t>
        </is>
      </c>
      <c r="J36" s="11">
        <f>J33+Tax!J13-J34-J35</f>
        <v/>
      </c>
      <c r="K36" s="11">
        <f>K33+Tax!K13-K34-K35</f>
        <v/>
      </c>
      <c r="L36" s="11">
        <f>L33+Tax!L13-L34-L35</f>
        <v/>
      </c>
      <c r="M36" s="11">
        <f>M33+Tax!M13-M34-M35</f>
        <v/>
      </c>
      <c r="N36" s="11">
        <f>N33+Tax!N13-N34-N35</f>
        <v/>
      </c>
      <c r="O36" s="11">
        <f>O33+Tax!O13-O34-O35</f>
        <v/>
      </c>
      <c r="P36" s="11">
        <f>P33+Tax!P13-P34-P35</f>
        <v/>
      </c>
      <c r="Q36" s="11">
        <f>Q33+Tax!Q13-Q34-Q35</f>
        <v/>
      </c>
      <c r="R36" s="11">
        <f>R33+Tax!R13-R34-R35</f>
        <v/>
      </c>
      <c r="S36" s="11">
        <f>S33+Tax!S13-S34-S35</f>
        <v/>
      </c>
      <c r="T36" s="11">
        <f>T33+Tax!T13-T34-T35</f>
        <v/>
      </c>
      <c r="U36" s="11">
        <f>U33+Tax!U13-U34-U35</f>
        <v/>
      </c>
      <c r="V36" s="11">
        <f>V33+Tax!V13-V34-V35</f>
        <v/>
      </c>
      <c r="W36" s="11">
        <f>W33+Tax!W13-W34-W35</f>
        <v/>
      </c>
      <c r="X36" s="11">
        <f>X33+Tax!X13-X34-X35</f>
        <v/>
      </c>
      <c r="Y36" s="11">
        <f>Y33+Tax!Y13-Y34-Y35</f>
        <v/>
      </c>
      <c r="Z36" s="11">
        <f>Z33+Tax!Z13-Z34-Z35</f>
        <v/>
      </c>
      <c r="AA36" s="11">
        <f>AA33+Tax!AA13-AA34-AA35</f>
        <v/>
      </c>
      <c r="AB36" s="11">
        <f>AB33+Tax!AB13-AB34-AB35</f>
        <v/>
      </c>
      <c r="AC36" s="11">
        <f>AC33+Tax!AC13-AC34-AC35</f>
        <v/>
      </c>
      <c r="AD36" s="11">
        <f>AD33+Tax!AD13-AD34-AD35</f>
        <v/>
      </c>
      <c r="AE36" s="11">
        <f>AE33+Tax!AE13-AE34-AE35</f>
        <v/>
      </c>
      <c r="AF36" s="11">
        <f>AF33+Tax!AF13-AF34-AF35</f>
        <v/>
      </c>
      <c r="AG36" s="11">
        <f>AG33+Tax!AG13-AG34-AG35</f>
        <v/>
      </c>
      <c r="AH36" s="11">
        <f>AH33+Tax!AH13-AH34-AH35</f>
        <v/>
      </c>
      <c r="AI36" s="11">
        <f>AI33+Tax!AI13-AI34-AI35</f>
        <v/>
      </c>
      <c r="AJ36" s="11">
        <f>AJ33+Tax!AJ13-AJ34-AJ35</f>
        <v/>
      </c>
      <c r="AK36" s="11">
        <f>AK33+Tax!AK13-AK34-AK35</f>
        <v/>
      </c>
      <c r="AL36" s="11">
        <f>AL33+Tax!AL13-AL34-AL35</f>
        <v/>
      </c>
      <c r="AM36" s="11">
        <f>AM33+Tax!AM13-AM34-AM35</f>
        <v/>
      </c>
      <c r="AN36" s="11">
        <f>AN33+Tax!AN13-AN34-AN35</f>
        <v/>
      </c>
      <c r="AO36" s="11">
        <f>AO33+Tax!AO13-AO34-AO35</f>
        <v/>
      </c>
      <c r="AP36" s="11">
        <f>AP33+Tax!AP13-AP34-AP35</f>
        <v/>
      </c>
      <c r="AQ36" s="11">
        <f>AQ33+Tax!AQ13-AQ34-AQ35</f>
        <v/>
      </c>
      <c r="AR36" s="11">
        <f>AR33+Tax!AR13-AR34-AR35</f>
        <v/>
      </c>
      <c r="AS36" s="11">
        <f>AS33+Tax!AS13-AS34-AS35</f>
        <v/>
      </c>
      <c r="AT36" s="11">
        <f>AT33+Tax!AT13-AT34-AT35</f>
        <v/>
      </c>
      <c r="AU36" s="11">
        <f>AU33+Tax!AU13-AU34-AU35</f>
        <v/>
      </c>
      <c r="AV36" s="11">
        <f>AV33+Tax!AV13-AV34-AV35</f>
        <v/>
      </c>
      <c r="AW36" s="11">
        <f>AW33+Tax!AW13-AW34-AW35</f>
        <v/>
      </c>
      <c r="AX36" s="11">
        <f>AX33+Tax!AX13-AX34-AX35</f>
        <v/>
      </c>
      <c r="AY36" s="11">
        <f>AY33+Tax!AY13-AY34-AY35</f>
        <v/>
      </c>
      <c r="AZ36" s="11">
        <f>AZ33+Tax!AZ13-AZ34-AZ35</f>
        <v/>
      </c>
      <c r="BA36" s="11">
        <f>BA33+Tax!BA13-BA34-BA35</f>
        <v/>
      </c>
      <c r="BB36" s="11">
        <f>BB33+Tax!BB13-BB34-BB35</f>
        <v/>
      </c>
      <c r="BC36" s="11">
        <f>BC33+Tax!BC13-BC34-BC35</f>
        <v/>
      </c>
      <c r="BD36" s="11">
        <f>BD33+Tax!BD13-BD34-BD35</f>
        <v/>
      </c>
      <c r="BE36" s="11">
        <f>BE33+Tax!BE13-BE34-BE35</f>
        <v/>
      </c>
      <c r="BF36" s="11">
        <f>BF33+Tax!BF13-BF34-BF35</f>
        <v/>
      </c>
      <c r="BG36" s="11">
        <f>BG33+Tax!BG13-BG34-BG35</f>
        <v/>
      </c>
      <c r="BH36" s="11">
        <f>BH33+Tax!BH13-BH34-BH35</f>
        <v/>
      </c>
      <c r="BI36" s="11">
        <f>BI33+Tax!BI13-BI34-BI35</f>
        <v/>
      </c>
      <c r="BJ36" s="11">
        <f>BJ33+Tax!BJ13-BJ34-BJ35</f>
        <v/>
      </c>
      <c r="BK36" s="11">
        <f>BK33+Tax!BK13-BK34-BK35</f>
        <v/>
      </c>
      <c r="BL36" s="11">
        <f>BL33+Tax!BL13-BL34-BL35</f>
        <v/>
      </c>
      <c r="BM36" s="11">
        <f>BM33+Tax!BM13-BM34-BM35</f>
        <v/>
      </c>
      <c r="BN36" s="11">
        <f>BN33+Tax!BN13-BN34-BN35</f>
        <v/>
      </c>
    </row>
    <row r="37">
      <c r="D37" t="inlineStr">
        <is>
          <t>Distributable reserves (retained earnings + current profit)</t>
        </is>
      </c>
      <c r="E37" t="inlineStr">
        <is>
          <t>USD m</t>
        </is>
      </c>
      <c r="J37" s="11">
        <f>MAX(0,0+Financials!J14)</f>
        <v/>
      </c>
      <c r="K37" s="11">
        <f>MAX(0,J43+Financials!K14)</f>
        <v/>
      </c>
      <c r="L37" s="11">
        <f>MAX(0,K43+Financials!L14)</f>
        <v/>
      </c>
      <c r="M37" s="11">
        <f>MAX(0,L43+Financials!M14)</f>
        <v/>
      </c>
      <c r="N37" s="11">
        <f>MAX(0,M43+Financials!N14)</f>
        <v/>
      </c>
      <c r="O37" s="11">
        <f>MAX(0,N43+Financials!O14)</f>
        <v/>
      </c>
      <c r="P37" s="11">
        <f>MAX(0,O43+Financials!P14)</f>
        <v/>
      </c>
      <c r="Q37" s="11">
        <f>MAX(0,P43+Financials!Q14)</f>
        <v/>
      </c>
      <c r="R37" s="11">
        <f>MAX(0,Q43+Financials!R14)</f>
        <v/>
      </c>
      <c r="S37" s="11">
        <f>MAX(0,R43+Financials!S14)</f>
        <v/>
      </c>
      <c r="T37" s="11">
        <f>MAX(0,S43+Financials!T14)</f>
        <v/>
      </c>
      <c r="U37" s="11">
        <f>MAX(0,T43+Financials!U14)</f>
        <v/>
      </c>
      <c r="V37" s="11">
        <f>MAX(0,U43+Financials!V14)</f>
        <v/>
      </c>
      <c r="W37" s="11">
        <f>MAX(0,V43+Financials!W14)</f>
        <v/>
      </c>
      <c r="X37" s="11">
        <f>MAX(0,W43+Financials!X14)</f>
        <v/>
      </c>
      <c r="Y37" s="11">
        <f>MAX(0,X43+Financials!Y14)</f>
        <v/>
      </c>
      <c r="Z37" s="11">
        <f>MAX(0,Y43+Financials!Z14)</f>
        <v/>
      </c>
      <c r="AA37" s="11">
        <f>MAX(0,Z43+Financials!AA14)</f>
        <v/>
      </c>
      <c r="AB37" s="11">
        <f>MAX(0,AA43+Financials!AB14)</f>
        <v/>
      </c>
      <c r="AC37" s="11">
        <f>MAX(0,AB43+Financials!AC14)</f>
        <v/>
      </c>
      <c r="AD37" s="11">
        <f>MAX(0,AC43+Financials!AD14)</f>
        <v/>
      </c>
      <c r="AE37" s="11">
        <f>MAX(0,AD43+Financials!AE14)</f>
        <v/>
      </c>
      <c r="AF37" s="11">
        <f>MAX(0,AE43+Financials!AF14)</f>
        <v/>
      </c>
      <c r="AG37" s="11">
        <f>MAX(0,AF43+Financials!AG14)</f>
        <v/>
      </c>
      <c r="AH37" s="11">
        <f>MAX(0,AG43+Financials!AH14)</f>
        <v/>
      </c>
      <c r="AI37" s="11">
        <f>MAX(0,AH43+Financials!AI14)</f>
        <v/>
      </c>
      <c r="AJ37" s="11">
        <f>MAX(0,AI43+Financials!AJ14)</f>
        <v/>
      </c>
      <c r="AK37" s="11">
        <f>MAX(0,AJ43+Financials!AK14)</f>
        <v/>
      </c>
      <c r="AL37" s="11">
        <f>MAX(0,AK43+Financials!AL14)</f>
        <v/>
      </c>
      <c r="AM37" s="11">
        <f>MAX(0,AL43+Financials!AM14)</f>
        <v/>
      </c>
      <c r="AN37" s="11">
        <f>MAX(0,AM43+Financials!AN14)</f>
        <v/>
      </c>
      <c r="AO37" s="11">
        <f>MAX(0,AN43+Financials!AO14)</f>
        <v/>
      </c>
      <c r="AP37" s="11">
        <f>MAX(0,AO43+Financials!AP14)</f>
        <v/>
      </c>
      <c r="AQ37" s="11">
        <f>MAX(0,AP43+Financials!AQ14)</f>
        <v/>
      </c>
      <c r="AR37" s="11">
        <f>MAX(0,AQ43+Financials!AR14)</f>
        <v/>
      </c>
      <c r="AS37" s="11">
        <f>MAX(0,AR43+Financials!AS14)</f>
        <v/>
      </c>
      <c r="AT37" s="11">
        <f>MAX(0,AS43+Financials!AT14)</f>
        <v/>
      </c>
      <c r="AU37" s="11">
        <f>MAX(0,AT43+Financials!AU14)</f>
        <v/>
      </c>
      <c r="AV37" s="11">
        <f>MAX(0,AU43+Financials!AV14)</f>
        <v/>
      </c>
      <c r="AW37" s="11">
        <f>MAX(0,AV43+Financials!AW14)</f>
        <v/>
      </c>
      <c r="AX37" s="11">
        <f>MAX(0,AW43+Financials!AX14)</f>
        <v/>
      </c>
      <c r="AY37" s="11">
        <f>MAX(0,AX43+Financials!AY14)</f>
        <v/>
      </c>
      <c r="AZ37" s="11">
        <f>MAX(0,AY43+Financials!AZ14)</f>
        <v/>
      </c>
      <c r="BA37" s="11">
        <f>MAX(0,AZ43+Financials!BA14)</f>
        <v/>
      </c>
      <c r="BB37" s="11">
        <f>MAX(0,BA43+Financials!BB14)</f>
        <v/>
      </c>
      <c r="BC37" s="11">
        <f>MAX(0,BB43+Financials!BC14)</f>
        <v/>
      </c>
      <c r="BD37" s="11">
        <f>MAX(0,BC43+Financials!BD14)</f>
        <v/>
      </c>
      <c r="BE37" s="11">
        <f>MAX(0,BD43+Financials!BE14)</f>
        <v/>
      </c>
      <c r="BF37" s="11">
        <f>MAX(0,BE43+Financials!BF14)</f>
        <v/>
      </c>
      <c r="BG37" s="11">
        <f>MAX(0,BF43+Financials!BG14)</f>
        <v/>
      </c>
      <c r="BH37" s="11">
        <f>MAX(0,BG43+Financials!BH14)</f>
        <v/>
      </c>
      <c r="BI37" s="11">
        <f>MAX(0,BH43+Financials!BI14)</f>
        <v/>
      </c>
      <c r="BJ37" s="11">
        <f>MAX(0,BI43+Financials!BJ14)</f>
        <v/>
      </c>
      <c r="BK37" s="11">
        <f>MAX(0,BJ43+Financials!BK14)</f>
        <v/>
      </c>
      <c r="BL37" s="11">
        <f>MAX(0,BK43+Financials!BL14)</f>
        <v/>
      </c>
      <c r="BM37" s="11">
        <f>MAX(0,BL43+Financials!BM14)</f>
        <v/>
      </c>
      <c r="BN37" s="11">
        <f>MAX(0,BM43+Financials!BN14)</f>
        <v/>
      </c>
    </row>
    <row r="38">
      <c r="D38" t="inlineStr">
        <is>
          <t>Dividends within distributable reserves</t>
        </is>
      </c>
      <c r="E38" t="inlineStr">
        <is>
          <t>USD m</t>
        </is>
      </c>
      <c r="J38" s="11">
        <f>J24*MIN(J31-J34-J35,J37)</f>
        <v/>
      </c>
      <c r="K38" s="11">
        <f>K24*MIN(K31-K34-K35,K37)</f>
        <v/>
      </c>
      <c r="L38" s="11">
        <f>L24*MIN(L31-L34-L35,L37)</f>
        <v/>
      </c>
      <c r="M38" s="11">
        <f>M24*MIN(M31-M34-M35,M37)</f>
        <v/>
      </c>
      <c r="N38" s="11">
        <f>N24*MIN(N31-N34-N35,N37)</f>
        <v/>
      </c>
      <c r="O38" s="11">
        <f>O24*MIN(O31-O34-O35,O37)</f>
        <v/>
      </c>
      <c r="P38" s="11">
        <f>P24*MIN(P31-P34-P35,P37)</f>
        <v/>
      </c>
      <c r="Q38" s="11">
        <f>Q24*MIN(Q31-Q34-Q35,Q37)</f>
        <v/>
      </c>
      <c r="R38" s="11">
        <f>R24*MIN(R31-R34-R35,R37)</f>
        <v/>
      </c>
      <c r="S38" s="11">
        <f>S24*MIN(S31-S34-S35,S37)</f>
        <v/>
      </c>
      <c r="T38" s="11">
        <f>T24*MIN(T31-T34-T35,T37)</f>
        <v/>
      </c>
      <c r="U38" s="11">
        <f>U24*MIN(U31-U34-U35,U37)</f>
        <v/>
      </c>
      <c r="V38" s="11">
        <f>V24*MIN(V31-V34-V35,V37)</f>
        <v/>
      </c>
      <c r="W38" s="11">
        <f>W24*MIN(W31-W34-W35,W37)</f>
        <v/>
      </c>
      <c r="X38" s="11">
        <f>X24*MIN(X31-X34-X35,X37)</f>
        <v/>
      </c>
      <c r="Y38" s="11">
        <f>Y24*MIN(Y31-Y34-Y35,Y37)</f>
        <v/>
      </c>
      <c r="Z38" s="11">
        <f>Z24*MIN(Z31-Z34-Z35,Z37)</f>
        <v/>
      </c>
      <c r="AA38" s="11">
        <f>AA24*MIN(AA31-AA34-AA35,AA37)</f>
        <v/>
      </c>
      <c r="AB38" s="11">
        <f>AB24*MIN(AB31-AB34-AB35,AB37)</f>
        <v/>
      </c>
      <c r="AC38" s="11">
        <f>AC24*MIN(AC31-AC34-AC35,AC37)</f>
        <v/>
      </c>
      <c r="AD38" s="11">
        <f>AD24*MIN(AD31-AD34-AD35,AD37)</f>
        <v/>
      </c>
      <c r="AE38" s="11">
        <f>AE24*MIN(AE31-AE34-AE35,AE37)</f>
        <v/>
      </c>
      <c r="AF38" s="11">
        <f>AF24*MIN(AF31-AF34-AF35,AF37)</f>
        <v/>
      </c>
      <c r="AG38" s="11">
        <f>AG24*MIN(AG31-AG34-AG35,AG37)</f>
        <v/>
      </c>
      <c r="AH38" s="11">
        <f>AH24*MIN(AH31-AH34-AH35,AH37)</f>
        <v/>
      </c>
      <c r="AI38" s="11">
        <f>AI24*MIN(AI31-AI34-AI35,AI37)</f>
        <v/>
      </c>
      <c r="AJ38" s="11">
        <f>AJ24*MIN(AJ31-AJ34-AJ35,AJ37)</f>
        <v/>
      </c>
      <c r="AK38" s="11">
        <f>AK24*MIN(AK31-AK34-AK35,AK37)</f>
        <v/>
      </c>
      <c r="AL38" s="11">
        <f>AL24*MIN(AL31-AL34-AL35,AL37)</f>
        <v/>
      </c>
      <c r="AM38" s="11">
        <f>AM24*MIN(AM31-AM34-AM35,AM37)</f>
        <v/>
      </c>
      <c r="AN38" s="11">
        <f>AN24*MIN(AN31-AN34-AN35,AN37)</f>
        <v/>
      </c>
      <c r="AO38" s="11">
        <f>AO24*MIN(AO31-AO34-AO35,AO37)</f>
        <v/>
      </c>
      <c r="AP38" s="11">
        <f>AP24*MIN(AP31-AP34-AP35,AP37)</f>
        <v/>
      </c>
      <c r="AQ38" s="11">
        <f>AQ24*MIN(AQ31-AQ34-AQ35,AQ37)</f>
        <v/>
      </c>
      <c r="AR38" s="11">
        <f>AR24*MIN(AR31-AR34-AR35,AR37)</f>
        <v/>
      </c>
      <c r="AS38" s="11">
        <f>AS24*MIN(AS31-AS34-AS35,AS37)</f>
        <v/>
      </c>
      <c r="AT38" s="11">
        <f>AT24*MIN(AT31-AT34-AT35,AT37)</f>
        <v/>
      </c>
      <c r="AU38" s="11">
        <f>AU24*MIN(AU31-AU34-AU35,AU37)</f>
        <v/>
      </c>
      <c r="AV38" s="11">
        <f>AV24*MIN(AV31-AV34-AV35,AV37)</f>
        <v/>
      </c>
      <c r="AW38" s="11">
        <f>AW24*MIN(AW31-AW34-AW35,AW37)</f>
        <v/>
      </c>
      <c r="AX38" s="11">
        <f>AX24*MIN(AX31-AX34-AX35,AX37)</f>
        <v/>
      </c>
      <c r="AY38" s="11">
        <f>AY24*MIN(AY31-AY34-AY35,AY37)</f>
        <v/>
      </c>
      <c r="AZ38" s="11">
        <f>AZ24*MIN(AZ31-AZ34-AZ35,AZ37)</f>
        <v/>
      </c>
      <c r="BA38" s="11">
        <f>BA24*MIN(BA31-BA34-BA35,BA37)</f>
        <v/>
      </c>
      <c r="BB38" s="11">
        <f>BB24*MIN(BB31-BB34-BB35,BB37)</f>
        <v/>
      </c>
      <c r="BC38" s="11">
        <f>BC24*MIN(BC31-BC34-BC35,BC37)</f>
        <v/>
      </c>
      <c r="BD38" s="11">
        <f>BD24*MIN(BD31-BD34-BD35,BD37)</f>
        <v/>
      </c>
      <c r="BE38" s="11">
        <f>BE24*MIN(BE31-BE34-BE35,BE37)</f>
        <v/>
      </c>
      <c r="BF38" s="11">
        <f>BF24*MIN(BF31-BF34-BF35,BF37)</f>
        <v/>
      </c>
      <c r="BG38" s="11">
        <f>BG24*MIN(BG31-BG34-BG35,BG37)</f>
        <v/>
      </c>
      <c r="BH38" s="11">
        <f>BH24*MIN(BH31-BH34-BH35,BH37)</f>
        <v/>
      </c>
      <c r="BI38" s="11">
        <f>BI24*MIN(BI31-BI34-BI35,BI37)</f>
        <v/>
      </c>
      <c r="BJ38" s="11">
        <f>BJ24*MIN(BJ31-BJ34-BJ35,BJ37)</f>
        <v/>
      </c>
      <c r="BK38" s="11">
        <f>BK24*MIN(BK31-BK34-BK35,BK37)</f>
        <v/>
      </c>
      <c r="BL38" s="11">
        <f>BL24*MIN(BL31-BL34-BL35,BL37)</f>
        <v/>
      </c>
      <c r="BM38" s="11">
        <f>BM24*MIN(BM31-BM34-BM35,BM37)</f>
        <v/>
      </c>
      <c r="BN38" s="11">
        <f>BN24*MIN(BN31-BN34-BN35,BN37)</f>
        <v/>
      </c>
    </row>
    <row r="39">
      <c r="D39" t="inlineStr">
        <is>
          <t>Cash trapped by the dividend restriction</t>
        </is>
      </c>
      <c r="E39" t="inlineStr">
        <is>
          <t>USD m</t>
        </is>
      </c>
      <c r="J39" s="11">
        <f>J24*(J31-J34-J35-J38)</f>
        <v/>
      </c>
      <c r="K39" s="11">
        <f>K24*(K31-K34-K35-K38)</f>
        <v/>
      </c>
      <c r="L39" s="11">
        <f>L24*(L31-L34-L35-L38)</f>
        <v/>
      </c>
      <c r="M39" s="11">
        <f>M24*(M31-M34-M35-M38)</f>
        <v/>
      </c>
      <c r="N39" s="11">
        <f>N24*(N31-N34-N35-N38)</f>
        <v/>
      </c>
      <c r="O39" s="11">
        <f>O24*(O31-O34-O35-O38)</f>
        <v/>
      </c>
      <c r="P39" s="11">
        <f>P24*(P31-P34-P35-P38)</f>
        <v/>
      </c>
      <c r="Q39" s="11">
        <f>Q24*(Q31-Q34-Q35-Q38)</f>
        <v/>
      </c>
      <c r="R39" s="11">
        <f>R24*(R31-R34-R35-R38)</f>
        <v/>
      </c>
      <c r="S39" s="11">
        <f>S24*(S31-S34-S35-S38)</f>
        <v/>
      </c>
      <c r="T39" s="11">
        <f>T24*(T31-T34-T35-T38)</f>
        <v/>
      </c>
      <c r="U39" s="11">
        <f>U24*(U31-U34-U35-U38)</f>
        <v/>
      </c>
      <c r="V39" s="11">
        <f>V24*(V31-V34-V35-V38)</f>
        <v/>
      </c>
      <c r="W39" s="11">
        <f>W24*(W31-W34-W35-W38)</f>
        <v/>
      </c>
      <c r="X39" s="11">
        <f>X24*(X31-X34-X35-X38)</f>
        <v/>
      </c>
      <c r="Y39" s="11">
        <f>Y24*(Y31-Y34-Y35-Y38)</f>
        <v/>
      </c>
      <c r="Z39" s="11">
        <f>Z24*(Z31-Z34-Z35-Z38)</f>
        <v/>
      </c>
      <c r="AA39" s="11">
        <f>AA24*(AA31-AA34-AA35-AA38)</f>
        <v/>
      </c>
      <c r="AB39" s="11">
        <f>AB24*(AB31-AB34-AB35-AB38)</f>
        <v/>
      </c>
      <c r="AC39" s="11">
        <f>AC24*(AC31-AC34-AC35-AC38)</f>
        <v/>
      </c>
      <c r="AD39" s="11">
        <f>AD24*(AD31-AD34-AD35-AD38)</f>
        <v/>
      </c>
      <c r="AE39" s="11">
        <f>AE24*(AE31-AE34-AE35-AE38)</f>
        <v/>
      </c>
      <c r="AF39" s="11">
        <f>AF24*(AF31-AF34-AF35-AF38)</f>
        <v/>
      </c>
      <c r="AG39" s="11">
        <f>AG24*(AG31-AG34-AG35-AG38)</f>
        <v/>
      </c>
      <c r="AH39" s="11">
        <f>AH24*(AH31-AH34-AH35-AH38)</f>
        <v/>
      </c>
      <c r="AI39" s="11">
        <f>AI24*(AI31-AI34-AI35-AI38)</f>
        <v/>
      </c>
      <c r="AJ39" s="11">
        <f>AJ24*(AJ31-AJ34-AJ35-AJ38)</f>
        <v/>
      </c>
      <c r="AK39" s="11">
        <f>AK24*(AK31-AK34-AK35-AK38)</f>
        <v/>
      </c>
      <c r="AL39" s="11">
        <f>AL24*(AL31-AL34-AL35-AL38)</f>
        <v/>
      </c>
      <c r="AM39" s="11">
        <f>AM24*(AM31-AM34-AM35-AM38)</f>
        <v/>
      </c>
      <c r="AN39" s="11">
        <f>AN24*(AN31-AN34-AN35-AN38)</f>
        <v/>
      </c>
      <c r="AO39" s="11">
        <f>AO24*(AO31-AO34-AO35-AO38)</f>
        <v/>
      </c>
      <c r="AP39" s="11">
        <f>AP24*(AP31-AP34-AP35-AP38)</f>
        <v/>
      </c>
      <c r="AQ39" s="11">
        <f>AQ24*(AQ31-AQ34-AQ35-AQ38)</f>
        <v/>
      </c>
      <c r="AR39" s="11">
        <f>AR24*(AR31-AR34-AR35-AR38)</f>
        <v/>
      </c>
      <c r="AS39" s="11">
        <f>AS24*(AS31-AS34-AS35-AS38)</f>
        <v/>
      </c>
      <c r="AT39" s="11">
        <f>AT24*(AT31-AT34-AT35-AT38)</f>
        <v/>
      </c>
      <c r="AU39" s="11">
        <f>AU24*(AU31-AU34-AU35-AU38)</f>
        <v/>
      </c>
      <c r="AV39" s="11">
        <f>AV24*(AV31-AV34-AV35-AV38)</f>
        <v/>
      </c>
      <c r="AW39" s="11">
        <f>AW24*(AW31-AW34-AW35-AW38)</f>
        <v/>
      </c>
      <c r="AX39" s="11">
        <f>AX24*(AX31-AX34-AX35-AX38)</f>
        <v/>
      </c>
      <c r="AY39" s="11">
        <f>AY24*(AY31-AY34-AY35-AY38)</f>
        <v/>
      </c>
      <c r="AZ39" s="11">
        <f>AZ24*(AZ31-AZ34-AZ35-AZ38)</f>
        <v/>
      </c>
      <c r="BA39" s="11">
        <f>BA24*(BA31-BA34-BA35-BA38)</f>
        <v/>
      </c>
      <c r="BB39" s="11">
        <f>BB24*(BB31-BB34-BB35-BB38)</f>
        <v/>
      </c>
      <c r="BC39" s="11">
        <f>BC24*(BC31-BC34-BC35-BC38)</f>
        <v/>
      </c>
      <c r="BD39" s="11">
        <f>BD24*(BD31-BD34-BD35-BD38)</f>
        <v/>
      </c>
      <c r="BE39" s="11">
        <f>BE24*(BE31-BE34-BE35-BE38)</f>
        <v/>
      </c>
      <c r="BF39" s="11">
        <f>BF24*(BF31-BF34-BF35-BF38)</f>
        <v/>
      </c>
      <c r="BG39" s="11">
        <f>BG24*(BG31-BG34-BG35-BG38)</f>
        <v/>
      </c>
      <c r="BH39" s="11">
        <f>BH24*(BH31-BH34-BH35-BH38)</f>
        <v/>
      </c>
      <c r="BI39" s="11">
        <f>BI24*(BI31-BI34-BI35-BI38)</f>
        <v/>
      </c>
      <c r="BJ39" s="11">
        <f>BJ24*(BJ31-BJ34-BJ35-BJ38)</f>
        <v/>
      </c>
      <c r="BK39" s="11">
        <f>BK24*(BK31-BK34-BK35-BK38)</f>
        <v/>
      </c>
      <c r="BL39" s="11">
        <f>BL24*(BL31-BL34-BL35-BL38)</f>
        <v/>
      </c>
      <c r="BM39" s="11">
        <f>BM24*(BM31-BM34-BM35-BM38)</f>
        <v/>
      </c>
      <c r="BN39" s="11">
        <f>BN24*(BN31-BN34-BN35-BN38)</f>
        <v/>
      </c>
    </row>
    <row r="40">
      <c r="D40" t="inlineStr">
        <is>
          <t>Liquidation distribution at PPA expiry</t>
        </is>
      </c>
      <c r="E40" t="inlineStr">
        <is>
          <t>USD m</t>
        </is>
      </c>
      <c r="G40" s="11">
        <f>SUM(J40:BN40)</f>
        <v/>
      </c>
      <c r="J40" s="11">
        <f>Time!J32*(J39+J30+Reserves!J9-Reserves!J10+Reserves!J11-Reserves!J12)</f>
        <v/>
      </c>
      <c r="K40" s="11">
        <f>Time!K32*(K39+K30+Reserves!K9-Reserves!K10+Reserves!K11-Reserves!K12)</f>
        <v/>
      </c>
      <c r="L40" s="11">
        <f>Time!L32*(L39+L30+Reserves!L9-Reserves!L10+Reserves!L11-Reserves!L12)</f>
        <v/>
      </c>
      <c r="M40" s="11">
        <f>Time!M32*(M39+M30+Reserves!M9-Reserves!M10+Reserves!M11-Reserves!M12)</f>
        <v/>
      </c>
      <c r="N40" s="11">
        <f>Time!N32*(N39+N30+Reserves!N9-Reserves!N10+Reserves!N11-Reserves!N12)</f>
        <v/>
      </c>
      <c r="O40" s="11">
        <f>Time!O32*(O39+O30+Reserves!O9-Reserves!O10+Reserves!O11-Reserves!O12)</f>
        <v/>
      </c>
      <c r="P40" s="11">
        <f>Time!P32*(P39+P30+Reserves!P9-Reserves!P10+Reserves!P11-Reserves!P12)</f>
        <v/>
      </c>
      <c r="Q40" s="11">
        <f>Time!Q32*(Q39+Q30+Reserves!Q9-Reserves!Q10+Reserves!Q11-Reserves!Q12)</f>
        <v/>
      </c>
      <c r="R40" s="11">
        <f>Time!R32*(R39+R30+Reserves!R9-Reserves!R10+Reserves!R11-Reserves!R12)</f>
        <v/>
      </c>
      <c r="S40" s="11">
        <f>Time!S32*(S39+S30+Reserves!S9-Reserves!S10+Reserves!S11-Reserves!S12)</f>
        <v/>
      </c>
      <c r="T40" s="11">
        <f>Time!T32*(T39+T30+Reserves!T9-Reserves!T10+Reserves!T11-Reserves!T12)</f>
        <v/>
      </c>
      <c r="U40" s="11">
        <f>Time!U32*(U39+U30+Reserves!U9-Reserves!U10+Reserves!U11-Reserves!U12)</f>
        <v/>
      </c>
      <c r="V40" s="11">
        <f>Time!V32*(V39+V30+Reserves!V9-Reserves!V10+Reserves!V11-Reserves!V12)</f>
        <v/>
      </c>
      <c r="W40" s="11">
        <f>Time!W32*(W39+W30+Reserves!W9-Reserves!W10+Reserves!W11-Reserves!W12)</f>
        <v/>
      </c>
      <c r="X40" s="11">
        <f>Time!X32*(X39+X30+Reserves!X9-Reserves!X10+Reserves!X11-Reserves!X12)</f>
        <v/>
      </c>
      <c r="Y40" s="11">
        <f>Time!Y32*(Y39+Y30+Reserves!Y9-Reserves!Y10+Reserves!Y11-Reserves!Y12)</f>
        <v/>
      </c>
      <c r="Z40" s="11">
        <f>Time!Z32*(Z39+Z30+Reserves!Z9-Reserves!Z10+Reserves!Z11-Reserves!Z12)</f>
        <v/>
      </c>
      <c r="AA40" s="11">
        <f>Time!AA32*(AA39+AA30+Reserves!AA9-Reserves!AA10+Reserves!AA11-Reserves!AA12)</f>
        <v/>
      </c>
      <c r="AB40" s="11">
        <f>Time!AB32*(AB39+AB30+Reserves!AB9-Reserves!AB10+Reserves!AB11-Reserves!AB12)</f>
        <v/>
      </c>
      <c r="AC40" s="11">
        <f>Time!AC32*(AC39+AC30+Reserves!AC9-Reserves!AC10+Reserves!AC11-Reserves!AC12)</f>
        <v/>
      </c>
      <c r="AD40" s="11">
        <f>Time!AD32*(AD39+AD30+Reserves!AD9-Reserves!AD10+Reserves!AD11-Reserves!AD12)</f>
        <v/>
      </c>
      <c r="AE40" s="11">
        <f>Time!AE32*(AE39+AE30+Reserves!AE9-Reserves!AE10+Reserves!AE11-Reserves!AE12)</f>
        <v/>
      </c>
      <c r="AF40" s="11">
        <f>Time!AF32*(AF39+AF30+Reserves!AF9-Reserves!AF10+Reserves!AF11-Reserves!AF12)</f>
        <v/>
      </c>
      <c r="AG40" s="11">
        <f>Time!AG32*(AG39+AG30+Reserves!AG9-Reserves!AG10+Reserves!AG11-Reserves!AG12)</f>
        <v/>
      </c>
      <c r="AH40" s="11">
        <f>Time!AH32*(AH39+AH30+Reserves!AH9-Reserves!AH10+Reserves!AH11-Reserves!AH12)</f>
        <v/>
      </c>
      <c r="AI40" s="11">
        <f>Time!AI32*(AI39+AI30+Reserves!AI9-Reserves!AI10+Reserves!AI11-Reserves!AI12)</f>
        <v/>
      </c>
      <c r="AJ40" s="11">
        <f>Time!AJ32*(AJ39+AJ30+Reserves!AJ9-Reserves!AJ10+Reserves!AJ11-Reserves!AJ12)</f>
        <v/>
      </c>
      <c r="AK40" s="11">
        <f>Time!AK32*(AK39+AK30+Reserves!AK9-Reserves!AK10+Reserves!AK11-Reserves!AK12)</f>
        <v/>
      </c>
      <c r="AL40" s="11">
        <f>Time!AL32*(AL39+AL30+Reserves!AL9-Reserves!AL10+Reserves!AL11-Reserves!AL12)</f>
        <v/>
      </c>
      <c r="AM40" s="11">
        <f>Time!AM32*(AM39+AM30+Reserves!AM9-Reserves!AM10+Reserves!AM11-Reserves!AM12)</f>
        <v/>
      </c>
      <c r="AN40" s="11">
        <f>Time!AN32*(AN39+AN30+Reserves!AN9-Reserves!AN10+Reserves!AN11-Reserves!AN12)</f>
        <v/>
      </c>
      <c r="AO40" s="11">
        <f>Time!AO32*(AO39+AO30+Reserves!AO9-Reserves!AO10+Reserves!AO11-Reserves!AO12)</f>
        <v/>
      </c>
      <c r="AP40" s="11">
        <f>Time!AP32*(AP39+AP30+Reserves!AP9-Reserves!AP10+Reserves!AP11-Reserves!AP12)</f>
        <v/>
      </c>
      <c r="AQ40" s="11">
        <f>Time!AQ32*(AQ39+AQ30+Reserves!AQ9-Reserves!AQ10+Reserves!AQ11-Reserves!AQ12)</f>
        <v/>
      </c>
      <c r="AR40" s="11">
        <f>Time!AR32*(AR39+AR30+Reserves!AR9-Reserves!AR10+Reserves!AR11-Reserves!AR12)</f>
        <v/>
      </c>
      <c r="AS40" s="11">
        <f>Time!AS32*(AS39+AS30+Reserves!AS9-Reserves!AS10+Reserves!AS11-Reserves!AS12)</f>
        <v/>
      </c>
      <c r="AT40" s="11">
        <f>Time!AT32*(AT39+AT30+Reserves!AT9-Reserves!AT10+Reserves!AT11-Reserves!AT12)</f>
        <v/>
      </c>
      <c r="AU40" s="11">
        <f>Time!AU32*(AU39+AU30+Reserves!AU9-Reserves!AU10+Reserves!AU11-Reserves!AU12)</f>
        <v/>
      </c>
      <c r="AV40" s="11">
        <f>Time!AV32*(AV39+AV30+Reserves!AV9-Reserves!AV10+Reserves!AV11-Reserves!AV12)</f>
        <v/>
      </c>
      <c r="AW40" s="11">
        <f>Time!AW32*(AW39+AW30+Reserves!AW9-Reserves!AW10+Reserves!AW11-Reserves!AW12)</f>
        <v/>
      </c>
      <c r="AX40" s="11">
        <f>Time!AX32*(AX39+AX30+Reserves!AX9-Reserves!AX10+Reserves!AX11-Reserves!AX12)</f>
        <v/>
      </c>
      <c r="AY40" s="11">
        <f>Time!AY32*(AY39+AY30+Reserves!AY9-Reserves!AY10+Reserves!AY11-Reserves!AY12)</f>
        <v/>
      </c>
      <c r="AZ40" s="11">
        <f>Time!AZ32*(AZ39+AZ30+Reserves!AZ9-Reserves!AZ10+Reserves!AZ11-Reserves!AZ12)</f>
        <v/>
      </c>
      <c r="BA40" s="11">
        <f>Time!BA32*(BA39+BA30+Reserves!BA9-Reserves!BA10+Reserves!BA11-Reserves!BA12)</f>
        <v/>
      </c>
      <c r="BB40" s="11">
        <f>Time!BB32*(BB39+BB30+Reserves!BB9-Reserves!BB10+Reserves!BB11-Reserves!BB12)</f>
        <v/>
      </c>
      <c r="BC40" s="11">
        <f>Time!BC32*(BC39+BC30+Reserves!BC9-Reserves!BC10+Reserves!BC11-Reserves!BC12)</f>
        <v/>
      </c>
      <c r="BD40" s="11">
        <f>Time!BD32*(BD39+BD30+Reserves!BD9-Reserves!BD10+Reserves!BD11-Reserves!BD12)</f>
        <v/>
      </c>
      <c r="BE40" s="11">
        <f>Time!BE32*(BE39+BE30+Reserves!BE9-Reserves!BE10+Reserves!BE11-Reserves!BE12)</f>
        <v/>
      </c>
      <c r="BF40" s="11">
        <f>Time!BF32*(BF39+BF30+Reserves!BF9-Reserves!BF10+Reserves!BF11-Reserves!BF12)</f>
        <v/>
      </c>
      <c r="BG40" s="11">
        <f>Time!BG32*(BG39+BG30+Reserves!BG9-Reserves!BG10+Reserves!BG11-Reserves!BG12)</f>
        <v/>
      </c>
      <c r="BH40" s="11">
        <f>Time!BH32*(BH39+BH30+Reserves!BH9-Reserves!BH10+Reserves!BH11-Reserves!BH12)</f>
        <v/>
      </c>
      <c r="BI40" s="11">
        <f>Time!BI32*(BI39+BI30+Reserves!BI9-Reserves!BI10+Reserves!BI11-Reserves!BI12)</f>
        <v/>
      </c>
      <c r="BJ40" s="11">
        <f>Time!BJ32*(BJ39+BJ30+Reserves!BJ9-Reserves!BJ10+Reserves!BJ11-Reserves!BJ12)</f>
        <v/>
      </c>
      <c r="BK40" s="11">
        <f>Time!BK32*(BK39+BK30+Reserves!BK9-Reserves!BK10+Reserves!BK11-Reserves!BK12)</f>
        <v/>
      </c>
      <c r="BL40" s="11">
        <f>Time!BL32*(BL39+BL30+Reserves!BL9-Reserves!BL10+Reserves!BL11-Reserves!BL12)</f>
        <v/>
      </c>
      <c r="BM40" s="11">
        <f>Time!BM32*(BM39+BM30+Reserves!BM9-Reserves!BM10+Reserves!BM11-Reserves!BM12)</f>
        <v/>
      </c>
      <c r="BN40" s="11">
        <f>Time!BN32*(BN39+BN30+Reserves!BN9-Reserves!BN10+Reserves!BN11-Reserves!BN12)</f>
        <v/>
      </c>
    </row>
    <row r="41">
      <c r="D41" t="inlineStr">
        <is>
          <t>Dividends</t>
        </is>
      </c>
      <c r="E41" t="inlineStr">
        <is>
          <t>USD m</t>
        </is>
      </c>
      <c r="G41" s="11">
        <f>SUM(J41:BN41)</f>
        <v/>
      </c>
      <c r="J41" s="11">
        <f>J38+J40</f>
        <v/>
      </c>
      <c r="K41" s="11">
        <f>K38+K40</f>
        <v/>
      </c>
      <c r="L41" s="11">
        <f>L38+L40</f>
        <v/>
      </c>
      <c r="M41" s="11">
        <f>M38+M40</f>
        <v/>
      </c>
      <c r="N41" s="11">
        <f>N38+N40</f>
        <v/>
      </c>
      <c r="O41" s="11">
        <f>O38+O40</f>
        <v/>
      </c>
      <c r="P41" s="11">
        <f>P38+P40</f>
        <v/>
      </c>
      <c r="Q41" s="11">
        <f>Q38+Q40</f>
        <v/>
      </c>
      <c r="R41" s="11">
        <f>R38+R40</f>
        <v/>
      </c>
      <c r="S41" s="11">
        <f>S38+S40</f>
        <v/>
      </c>
      <c r="T41" s="11">
        <f>T38+T40</f>
        <v/>
      </c>
      <c r="U41" s="11">
        <f>U38+U40</f>
        <v/>
      </c>
      <c r="V41" s="11">
        <f>V38+V40</f>
        <v/>
      </c>
      <c r="W41" s="11">
        <f>W38+W40</f>
        <v/>
      </c>
      <c r="X41" s="11">
        <f>X38+X40</f>
        <v/>
      </c>
      <c r="Y41" s="11">
        <f>Y38+Y40</f>
        <v/>
      </c>
      <c r="Z41" s="11">
        <f>Z38+Z40</f>
        <v/>
      </c>
      <c r="AA41" s="11">
        <f>AA38+AA40</f>
        <v/>
      </c>
      <c r="AB41" s="11">
        <f>AB38+AB40</f>
        <v/>
      </c>
      <c r="AC41" s="11">
        <f>AC38+AC40</f>
        <v/>
      </c>
      <c r="AD41" s="11">
        <f>AD38+AD40</f>
        <v/>
      </c>
      <c r="AE41" s="11">
        <f>AE38+AE40</f>
        <v/>
      </c>
      <c r="AF41" s="11">
        <f>AF38+AF40</f>
        <v/>
      </c>
      <c r="AG41" s="11">
        <f>AG38+AG40</f>
        <v/>
      </c>
      <c r="AH41" s="11">
        <f>AH38+AH40</f>
        <v/>
      </c>
      <c r="AI41" s="11">
        <f>AI38+AI40</f>
        <v/>
      </c>
      <c r="AJ41" s="11">
        <f>AJ38+AJ40</f>
        <v/>
      </c>
      <c r="AK41" s="11">
        <f>AK38+AK40</f>
        <v/>
      </c>
      <c r="AL41" s="11">
        <f>AL38+AL40</f>
        <v/>
      </c>
      <c r="AM41" s="11">
        <f>AM38+AM40</f>
        <v/>
      </c>
      <c r="AN41" s="11">
        <f>AN38+AN40</f>
        <v/>
      </c>
      <c r="AO41" s="11">
        <f>AO38+AO40</f>
        <v/>
      </c>
      <c r="AP41" s="11">
        <f>AP38+AP40</f>
        <v/>
      </c>
      <c r="AQ41" s="11">
        <f>AQ38+AQ40</f>
        <v/>
      </c>
      <c r="AR41" s="11">
        <f>AR38+AR40</f>
        <v/>
      </c>
      <c r="AS41" s="11">
        <f>AS38+AS40</f>
        <v/>
      </c>
      <c r="AT41" s="11">
        <f>AT38+AT40</f>
        <v/>
      </c>
      <c r="AU41" s="11">
        <f>AU38+AU40</f>
        <v/>
      </c>
      <c r="AV41" s="11">
        <f>AV38+AV40</f>
        <v/>
      </c>
      <c r="AW41" s="11">
        <f>AW38+AW40</f>
        <v/>
      </c>
      <c r="AX41" s="11">
        <f>AX38+AX40</f>
        <v/>
      </c>
      <c r="AY41" s="11">
        <f>AY38+AY40</f>
        <v/>
      </c>
      <c r="AZ41" s="11">
        <f>AZ38+AZ40</f>
        <v/>
      </c>
      <c r="BA41" s="11">
        <f>BA38+BA40</f>
        <v/>
      </c>
      <c r="BB41" s="11">
        <f>BB38+BB40</f>
        <v/>
      </c>
      <c r="BC41" s="11">
        <f>BC38+BC40</f>
        <v/>
      </c>
      <c r="BD41" s="11">
        <f>BD38+BD40</f>
        <v/>
      </c>
      <c r="BE41" s="11">
        <f>BE38+BE40</f>
        <v/>
      </c>
      <c r="BF41" s="11">
        <f>BF38+BF40</f>
        <v/>
      </c>
      <c r="BG41" s="11">
        <f>BG38+BG40</f>
        <v/>
      </c>
      <c r="BH41" s="11">
        <f>BH38+BH40</f>
        <v/>
      </c>
      <c r="BI41" s="11">
        <f>BI38+BI40</f>
        <v/>
      </c>
      <c r="BJ41" s="11">
        <f>BJ38+BJ40</f>
        <v/>
      </c>
      <c r="BK41" s="11">
        <f>BK38+BK40</f>
        <v/>
      </c>
      <c r="BL41" s="11">
        <f>BL38+BL40</f>
        <v/>
      </c>
      <c r="BM41" s="11">
        <f>BM38+BM40</f>
        <v/>
      </c>
      <c r="BN41" s="11">
        <f>BN38+BN40</f>
        <v/>
      </c>
    </row>
    <row r="42">
      <c r="D42" t="inlineStr">
        <is>
          <t>Trapped cash, closing</t>
        </is>
      </c>
      <c r="E42" t="inlineStr">
        <is>
          <t>USD m</t>
        </is>
      </c>
      <c r="J42" s="11">
        <f>(1-Time!J32)*J39</f>
        <v/>
      </c>
      <c r="K42" s="11">
        <f>(1-Time!K32)*K39</f>
        <v/>
      </c>
      <c r="L42" s="11">
        <f>(1-Time!L32)*L39</f>
        <v/>
      </c>
      <c r="M42" s="11">
        <f>(1-Time!M32)*M39</f>
        <v/>
      </c>
      <c r="N42" s="11">
        <f>(1-Time!N32)*N39</f>
        <v/>
      </c>
      <c r="O42" s="11">
        <f>(1-Time!O32)*O39</f>
        <v/>
      </c>
      <c r="P42" s="11">
        <f>(1-Time!P32)*P39</f>
        <v/>
      </c>
      <c r="Q42" s="11">
        <f>(1-Time!Q32)*Q39</f>
        <v/>
      </c>
      <c r="R42" s="11">
        <f>(1-Time!R32)*R39</f>
        <v/>
      </c>
      <c r="S42" s="11">
        <f>(1-Time!S32)*S39</f>
        <v/>
      </c>
      <c r="T42" s="11">
        <f>(1-Time!T32)*T39</f>
        <v/>
      </c>
      <c r="U42" s="11">
        <f>(1-Time!U32)*U39</f>
        <v/>
      </c>
      <c r="V42" s="11">
        <f>(1-Time!V32)*V39</f>
        <v/>
      </c>
      <c r="W42" s="11">
        <f>(1-Time!W32)*W39</f>
        <v/>
      </c>
      <c r="X42" s="11">
        <f>(1-Time!X32)*X39</f>
        <v/>
      </c>
      <c r="Y42" s="11">
        <f>(1-Time!Y32)*Y39</f>
        <v/>
      </c>
      <c r="Z42" s="11">
        <f>(1-Time!Z32)*Z39</f>
        <v/>
      </c>
      <c r="AA42" s="11">
        <f>(1-Time!AA32)*AA39</f>
        <v/>
      </c>
      <c r="AB42" s="11">
        <f>(1-Time!AB32)*AB39</f>
        <v/>
      </c>
      <c r="AC42" s="11">
        <f>(1-Time!AC32)*AC39</f>
        <v/>
      </c>
      <c r="AD42" s="11">
        <f>(1-Time!AD32)*AD39</f>
        <v/>
      </c>
      <c r="AE42" s="11">
        <f>(1-Time!AE32)*AE39</f>
        <v/>
      </c>
      <c r="AF42" s="11">
        <f>(1-Time!AF32)*AF39</f>
        <v/>
      </c>
      <c r="AG42" s="11">
        <f>(1-Time!AG32)*AG39</f>
        <v/>
      </c>
      <c r="AH42" s="11">
        <f>(1-Time!AH32)*AH39</f>
        <v/>
      </c>
      <c r="AI42" s="11">
        <f>(1-Time!AI32)*AI39</f>
        <v/>
      </c>
      <c r="AJ42" s="11">
        <f>(1-Time!AJ32)*AJ39</f>
        <v/>
      </c>
      <c r="AK42" s="11">
        <f>(1-Time!AK32)*AK39</f>
        <v/>
      </c>
      <c r="AL42" s="11">
        <f>(1-Time!AL32)*AL39</f>
        <v/>
      </c>
      <c r="AM42" s="11">
        <f>(1-Time!AM32)*AM39</f>
        <v/>
      </c>
      <c r="AN42" s="11">
        <f>(1-Time!AN32)*AN39</f>
        <v/>
      </c>
      <c r="AO42" s="11">
        <f>(1-Time!AO32)*AO39</f>
        <v/>
      </c>
      <c r="AP42" s="11">
        <f>(1-Time!AP32)*AP39</f>
        <v/>
      </c>
      <c r="AQ42" s="11">
        <f>(1-Time!AQ32)*AQ39</f>
        <v/>
      </c>
      <c r="AR42" s="11">
        <f>(1-Time!AR32)*AR39</f>
        <v/>
      </c>
      <c r="AS42" s="11">
        <f>(1-Time!AS32)*AS39</f>
        <v/>
      </c>
      <c r="AT42" s="11">
        <f>(1-Time!AT32)*AT39</f>
        <v/>
      </c>
      <c r="AU42" s="11">
        <f>(1-Time!AU32)*AU39</f>
        <v/>
      </c>
      <c r="AV42" s="11">
        <f>(1-Time!AV32)*AV39</f>
        <v/>
      </c>
      <c r="AW42" s="11">
        <f>(1-Time!AW32)*AW39</f>
        <v/>
      </c>
      <c r="AX42" s="11">
        <f>(1-Time!AX32)*AX39</f>
        <v/>
      </c>
      <c r="AY42" s="11">
        <f>(1-Time!AY32)*AY39</f>
        <v/>
      </c>
      <c r="AZ42" s="11">
        <f>(1-Time!AZ32)*AZ39</f>
        <v/>
      </c>
      <c r="BA42" s="11">
        <f>(1-Time!BA32)*BA39</f>
        <v/>
      </c>
      <c r="BB42" s="11">
        <f>(1-Time!BB32)*BB39</f>
        <v/>
      </c>
      <c r="BC42" s="11">
        <f>(1-Time!BC32)*BC39</f>
        <v/>
      </c>
      <c r="BD42" s="11">
        <f>(1-Time!BD32)*BD39</f>
        <v/>
      </c>
      <c r="BE42" s="11">
        <f>(1-Time!BE32)*BE39</f>
        <v/>
      </c>
      <c r="BF42" s="11">
        <f>(1-Time!BF32)*BF39</f>
        <v/>
      </c>
      <c r="BG42" s="11">
        <f>(1-Time!BG32)*BG39</f>
        <v/>
      </c>
      <c r="BH42" s="11">
        <f>(1-Time!BH32)*BH39</f>
        <v/>
      </c>
      <c r="BI42" s="11">
        <f>(1-Time!BI32)*BI39</f>
        <v/>
      </c>
      <c r="BJ42" s="11">
        <f>(1-Time!BJ32)*BJ39</f>
        <v/>
      </c>
      <c r="BK42" s="11">
        <f>(1-Time!BK32)*BK39</f>
        <v/>
      </c>
      <c r="BL42" s="11">
        <f>(1-Time!BL32)*BL39</f>
        <v/>
      </c>
      <c r="BM42" s="11">
        <f>(1-Time!BM32)*BM39</f>
        <v/>
      </c>
      <c r="BN42" s="11">
        <f>(1-Time!BN32)*BN39</f>
        <v/>
      </c>
    </row>
    <row r="43">
      <c r="D43" t="inlineStr">
        <is>
          <t>Retained earnings, closing</t>
        </is>
      </c>
      <c r="E43" t="inlineStr">
        <is>
          <t>USD m</t>
        </is>
      </c>
      <c r="J43" s="11">
        <f>IF(Time!J17&lt;Time!$F$11,0,0+Financials!J14-J41)</f>
        <v/>
      </c>
      <c r="K43" s="11">
        <f>IF(Time!K17&lt;Time!$F$11,0,J43+Financials!K14-K41)</f>
        <v/>
      </c>
      <c r="L43" s="11">
        <f>IF(Time!L17&lt;Time!$F$11,0,K43+Financials!L14-L41)</f>
        <v/>
      </c>
      <c r="M43" s="11">
        <f>IF(Time!M17&lt;Time!$F$11,0,L43+Financials!M14-M41)</f>
        <v/>
      </c>
      <c r="N43" s="11">
        <f>IF(Time!N17&lt;Time!$F$11,0,M43+Financials!N14-N41)</f>
        <v/>
      </c>
      <c r="O43" s="11">
        <f>IF(Time!O17&lt;Time!$F$11,0,N43+Financials!O14-O41)</f>
        <v/>
      </c>
      <c r="P43" s="11">
        <f>IF(Time!P17&lt;Time!$F$11,0,O43+Financials!P14-P41)</f>
        <v/>
      </c>
      <c r="Q43" s="11">
        <f>IF(Time!Q17&lt;Time!$F$11,0,P43+Financials!Q14-Q41)</f>
        <v/>
      </c>
      <c r="R43" s="11">
        <f>IF(Time!R17&lt;Time!$F$11,0,Q43+Financials!R14-R41)</f>
        <v/>
      </c>
      <c r="S43" s="11">
        <f>IF(Time!S17&lt;Time!$F$11,0,R43+Financials!S14-S41)</f>
        <v/>
      </c>
      <c r="T43" s="11">
        <f>IF(Time!T17&lt;Time!$F$11,0,S43+Financials!T14-T41)</f>
        <v/>
      </c>
      <c r="U43" s="11">
        <f>IF(Time!U17&lt;Time!$F$11,0,T43+Financials!U14-U41)</f>
        <v/>
      </c>
      <c r="V43" s="11">
        <f>IF(Time!V17&lt;Time!$F$11,0,U43+Financials!V14-V41)</f>
        <v/>
      </c>
      <c r="W43" s="11">
        <f>IF(Time!W17&lt;Time!$F$11,0,V43+Financials!W14-W41)</f>
        <v/>
      </c>
      <c r="X43" s="11">
        <f>IF(Time!X17&lt;Time!$F$11,0,W43+Financials!X14-X41)</f>
        <v/>
      </c>
      <c r="Y43" s="11">
        <f>IF(Time!Y17&lt;Time!$F$11,0,X43+Financials!Y14-Y41)</f>
        <v/>
      </c>
      <c r="Z43" s="11">
        <f>IF(Time!Z17&lt;Time!$F$11,0,Y43+Financials!Z14-Z41)</f>
        <v/>
      </c>
      <c r="AA43" s="11">
        <f>IF(Time!AA17&lt;Time!$F$11,0,Z43+Financials!AA14-AA41)</f>
        <v/>
      </c>
      <c r="AB43" s="11">
        <f>IF(Time!AB17&lt;Time!$F$11,0,AA43+Financials!AB14-AB41)</f>
        <v/>
      </c>
      <c r="AC43" s="11">
        <f>IF(Time!AC17&lt;Time!$F$11,0,AB43+Financials!AC14-AC41)</f>
        <v/>
      </c>
      <c r="AD43" s="11">
        <f>IF(Time!AD17&lt;Time!$F$11,0,AC43+Financials!AD14-AD41)</f>
        <v/>
      </c>
      <c r="AE43" s="11">
        <f>IF(Time!AE17&lt;Time!$F$11,0,AD43+Financials!AE14-AE41)</f>
        <v/>
      </c>
      <c r="AF43" s="11">
        <f>IF(Time!AF17&lt;Time!$F$11,0,AE43+Financials!AF14-AF41)</f>
        <v/>
      </c>
      <c r="AG43" s="11">
        <f>IF(Time!AG17&lt;Time!$F$11,0,AF43+Financials!AG14-AG41)</f>
        <v/>
      </c>
      <c r="AH43" s="11">
        <f>IF(Time!AH17&lt;Time!$F$11,0,AG43+Financials!AH14-AH41)</f>
        <v/>
      </c>
      <c r="AI43" s="11">
        <f>IF(Time!AI17&lt;Time!$F$11,0,AH43+Financials!AI14-AI41)</f>
        <v/>
      </c>
      <c r="AJ43" s="11">
        <f>IF(Time!AJ17&lt;Time!$F$11,0,AI43+Financials!AJ14-AJ41)</f>
        <v/>
      </c>
      <c r="AK43" s="11">
        <f>IF(Time!AK17&lt;Time!$F$11,0,AJ43+Financials!AK14-AK41)</f>
        <v/>
      </c>
      <c r="AL43" s="11">
        <f>IF(Time!AL17&lt;Time!$F$11,0,AK43+Financials!AL14-AL41)</f>
        <v/>
      </c>
      <c r="AM43" s="11">
        <f>IF(Time!AM17&lt;Time!$F$11,0,AL43+Financials!AM14-AM41)</f>
        <v/>
      </c>
      <c r="AN43" s="11">
        <f>IF(Time!AN17&lt;Time!$F$11,0,AM43+Financials!AN14-AN41)</f>
        <v/>
      </c>
      <c r="AO43" s="11">
        <f>IF(Time!AO17&lt;Time!$F$11,0,AN43+Financials!AO14-AO41)</f>
        <v/>
      </c>
      <c r="AP43" s="11">
        <f>IF(Time!AP17&lt;Time!$F$11,0,AO43+Financials!AP14-AP41)</f>
        <v/>
      </c>
      <c r="AQ43" s="11">
        <f>IF(Time!AQ17&lt;Time!$F$11,0,AP43+Financials!AQ14-AQ41)</f>
        <v/>
      </c>
      <c r="AR43" s="11">
        <f>IF(Time!AR17&lt;Time!$F$11,0,AQ43+Financials!AR14-AR41)</f>
        <v/>
      </c>
      <c r="AS43" s="11">
        <f>IF(Time!AS17&lt;Time!$F$11,0,AR43+Financials!AS14-AS41)</f>
        <v/>
      </c>
      <c r="AT43" s="11">
        <f>IF(Time!AT17&lt;Time!$F$11,0,AS43+Financials!AT14-AT41)</f>
        <v/>
      </c>
      <c r="AU43" s="11">
        <f>IF(Time!AU17&lt;Time!$F$11,0,AT43+Financials!AU14-AU41)</f>
        <v/>
      </c>
      <c r="AV43" s="11">
        <f>IF(Time!AV17&lt;Time!$F$11,0,AU43+Financials!AV14-AV41)</f>
        <v/>
      </c>
      <c r="AW43" s="11">
        <f>IF(Time!AW17&lt;Time!$F$11,0,AV43+Financials!AW14-AW41)</f>
        <v/>
      </c>
      <c r="AX43" s="11">
        <f>IF(Time!AX17&lt;Time!$F$11,0,AW43+Financials!AX14-AX41)</f>
        <v/>
      </c>
      <c r="AY43" s="11">
        <f>IF(Time!AY17&lt;Time!$F$11,0,AX43+Financials!AY14-AY41)</f>
        <v/>
      </c>
      <c r="AZ43" s="11">
        <f>IF(Time!AZ17&lt;Time!$F$11,0,AY43+Financials!AZ14-AZ41)</f>
        <v/>
      </c>
      <c r="BA43" s="11">
        <f>IF(Time!BA17&lt;Time!$F$11,0,AZ43+Financials!BA14-BA41)</f>
        <v/>
      </c>
      <c r="BB43" s="11">
        <f>IF(Time!BB17&lt;Time!$F$11,0,BA43+Financials!BB14-BB41)</f>
        <v/>
      </c>
      <c r="BC43" s="11">
        <f>IF(Time!BC17&lt;Time!$F$11,0,BB43+Financials!BC14-BC41)</f>
        <v/>
      </c>
      <c r="BD43" s="11">
        <f>IF(Time!BD17&lt;Time!$F$11,0,BC43+Financials!BD14-BD41)</f>
        <v/>
      </c>
      <c r="BE43" s="11">
        <f>IF(Time!BE17&lt;Time!$F$11,0,BD43+Financials!BE14-BE41)</f>
        <v/>
      </c>
      <c r="BF43" s="11">
        <f>IF(Time!BF17&lt;Time!$F$11,0,BE43+Financials!BF14-BF41)</f>
        <v/>
      </c>
      <c r="BG43" s="11">
        <f>IF(Time!BG17&lt;Time!$F$11,0,BF43+Financials!BG14-BG41)</f>
        <v/>
      </c>
      <c r="BH43" s="11">
        <f>IF(Time!BH17&lt;Time!$F$11,0,BG43+Financials!BH14-BH41)</f>
        <v/>
      </c>
      <c r="BI43" s="11">
        <f>IF(Time!BI17&lt;Time!$F$11,0,BH43+Financials!BI14-BI41)</f>
        <v/>
      </c>
      <c r="BJ43" s="11">
        <f>IF(Time!BJ17&lt;Time!$F$11,0,BI43+Financials!BJ14-BJ41)</f>
        <v/>
      </c>
      <c r="BK43" s="11">
        <f>IF(Time!BK17&lt;Time!$F$11,0,BJ43+Financials!BK14-BK41)</f>
        <v/>
      </c>
      <c r="BL43" s="11">
        <f>IF(Time!BL17&lt;Time!$F$11,0,BK43+Financials!BL14-BL41)</f>
        <v/>
      </c>
      <c r="BM43" s="11">
        <f>IF(Time!BM17&lt;Time!$F$11,0,BL43+Financials!BM14-BM41)</f>
        <v/>
      </c>
      <c r="BN43" s="11">
        <f>IF(Time!BN17&lt;Time!$F$11,0,BM43+Financials!BN14-BN41)</f>
        <v/>
      </c>
    </row>
    <row r="44">
      <c r="D44" t="inlineStr">
        <is>
          <t>Distributions to shareholders (SHL interest + principal + dividends)</t>
        </is>
      </c>
      <c r="E44" t="inlineStr">
        <is>
          <t>USD m</t>
        </is>
      </c>
      <c r="G44" s="11">
        <f>SUM(J44:BN44)</f>
        <v/>
      </c>
      <c r="J44" s="11">
        <f>J34+J35+J41</f>
        <v/>
      </c>
      <c r="K44" s="11">
        <f>K34+K35+K41</f>
        <v/>
      </c>
      <c r="L44" s="11">
        <f>L34+L35+L41</f>
        <v/>
      </c>
      <c r="M44" s="11">
        <f>M34+M35+M41</f>
        <v/>
      </c>
      <c r="N44" s="11">
        <f>N34+N35+N41</f>
        <v/>
      </c>
      <c r="O44" s="11">
        <f>O34+O35+O41</f>
        <v/>
      </c>
      <c r="P44" s="11">
        <f>P34+P35+P41</f>
        <v/>
      </c>
      <c r="Q44" s="11">
        <f>Q34+Q35+Q41</f>
        <v/>
      </c>
      <c r="R44" s="11">
        <f>R34+R35+R41</f>
        <v/>
      </c>
      <c r="S44" s="11">
        <f>S34+S35+S41</f>
        <v/>
      </c>
      <c r="T44" s="11">
        <f>T34+T35+T41</f>
        <v/>
      </c>
      <c r="U44" s="11">
        <f>U34+U35+U41</f>
        <v/>
      </c>
      <c r="V44" s="11">
        <f>V34+V35+V41</f>
        <v/>
      </c>
      <c r="W44" s="11">
        <f>W34+W35+W41</f>
        <v/>
      </c>
      <c r="X44" s="11">
        <f>X34+X35+X41</f>
        <v/>
      </c>
      <c r="Y44" s="11">
        <f>Y34+Y35+Y41</f>
        <v/>
      </c>
      <c r="Z44" s="11">
        <f>Z34+Z35+Z41</f>
        <v/>
      </c>
      <c r="AA44" s="11">
        <f>AA34+AA35+AA41</f>
        <v/>
      </c>
      <c r="AB44" s="11">
        <f>AB34+AB35+AB41</f>
        <v/>
      </c>
      <c r="AC44" s="11">
        <f>AC34+AC35+AC41</f>
        <v/>
      </c>
      <c r="AD44" s="11">
        <f>AD34+AD35+AD41</f>
        <v/>
      </c>
      <c r="AE44" s="11">
        <f>AE34+AE35+AE41</f>
        <v/>
      </c>
      <c r="AF44" s="11">
        <f>AF34+AF35+AF41</f>
        <v/>
      </c>
      <c r="AG44" s="11">
        <f>AG34+AG35+AG41</f>
        <v/>
      </c>
      <c r="AH44" s="11">
        <f>AH34+AH35+AH41</f>
        <v/>
      </c>
      <c r="AI44" s="11">
        <f>AI34+AI35+AI41</f>
        <v/>
      </c>
      <c r="AJ44" s="11">
        <f>AJ34+AJ35+AJ41</f>
        <v/>
      </c>
      <c r="AK44" s="11">
        <f>AK34+AK35+AK41</f>
        <v/>
      </c>
      <c r="AL44" s="11">
        <f>AL34+AL35+AL41</f>
        <v/>
      </c>
      <c r="AM44" s="11">
        <f>AM34+AM35+AM41</f>
        <v/>
      </c>
      <c r="AN44" s="11">
        <f>AN34+AN35+AN41</f>
        <v/>
      </c>
      <c r="AO44" s="11">
        <f>AO34+AO35+AO41</f>
        <v/>
      </c>
      <c r="AP44" s="11">
        <f>AP34+AP35+AP41</f>
        <v/>
      </c>
      <c r="AQ44" s="11">
        <f>AQ34+AQ35+AQ41</f>
        <v/>
      </c>
      <c r="AR44" s="11">
        <f>AR34+AR35+AR41</f>
        <v/>
      </c>
      <c r="AS44" s="11">
        <f>AS34+AS35+AS41</f>
        <v/>
      </c>
      <c r="AT44" s="11">
        <f>AT34+AT35+AT41</f>
        <v/>
      </c>
      <c r="AU44" s="11">
        <f>AU34+AU35+AU41</f>
        <v/>
      </c>
      <c r="AV44" s="11">
        <f>AV34+AV35+AV41</f>
        <v/>
      </c>
      <c r="AW44" s="11">
        <f>AW34+AW35+AW41</f>
        <v/>
      </c>
      <c r="AX44" s="11">
        <f>AX34+AX35+AX41</f>
        <v/>
      </c>
      <c r="AY44" s="11">
        <f>AY34+AY35+AY41</f>
        <v/>
      </c>
      <c r="AZ44" s="11">
        <f>AZ34+AZ35+AZ41</f>
        <v/>
      </c>
      <c r="BA44" s="11">
        <f>BA34+BA35+BA41</f>
        <v/>
      </c>
      <c r="BB44" s="11">
        <f>BB34+BB35+BB41</f>
        <v/>
      </c>
      <c r="BC44" s="11">
        <f>BC34+BC35+BC41</f>
        <v/>
      </c>
      <c r="BD44" s="11">
        <f>BD34+BD35+BD41</f>
        <v/>
      </c>
      <c r="BE44" s="11">
        <f>BE34+BE35+BE41</f>
        <v/>
      </c>
      <c r="BF44" s="11">
        <f>BF34+BF35+BF41</f>
        <v/>
      </c>
      <c r="BG44" s="11">
        <f>BG34+BG35+BG41</f>
        <v/>
      </c>
      <c r="BH44" s="11">
        <f>BH34+BH35+BH41</f>
        <v/>
      </c>
      <c r="BI44" s="11">
        <f>BI34+BI35+BI41</f>
        <v/>
      </c>
      <c r="BJ44" s="11">
        <f>BJ34+BJ35+BJ41</f>
        <v/>
      </c>
      <c r="BK44" s="11">
        <f>BK34+BK35+BK41</f>
        <v/>
      </c>
      <c r="BL44" s="11">
        <f>BL34+BL35+BL41</f>
        <v/>
      </c>
      <c r="BM44" s="11">
        <f>BM34+BM35+BM41</f>
        <v/>
      </c>
      <c r="BN44" s="11">
        <f>BN34+BN35+BN41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N2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Financials: income statement and balance sheet (IFRS basis, USD functional currency)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Income statement (USD m)</t>
        </is>
      </c>
    </row>
    <row r="8">
      <c r="D8" t="inlineStr">
        <is>
          <t>Book depreciation (straight line over the 25-year PPA term)</t>
        </is>
      </c>
      <c r="E8" t="inlineStr">
        <is>
          <t>USD m</t>
        </is>
      </c>
      <c r="G8" s="11">
        <f>SUM(J8:BN8)</f>
        <v/>
      </c>
      <c r="J8" s="11">
        <f>Funding!$F$76/300*Time!J25</f>
        <v/>
      </c>
      <c r="K8" s="11">
        <f>Funding!$F$76/300*Time!K25</f>
        <v/>
      </c>
      <c r="L8" s="11">
        <f>Funding!$F$76/300*Time!L25</f>
        <v/>
      </c>
      <c r="M8" s="11">
        <f>Funding!$F$76/300*Time!M25</f>
        <v/>
      </c>
      <c r="N8" s="11">
        <f>Funding!$F$76/300*Time!N25</f>
        <v/>
      </c>
      <c r="O8" s="11">
        <f>Funding!$F$76/300*Time!O25</f>
        <v/>
      </c>
      <c r="P8" s="11">
        <f>Funding!$F$76/300*Time!P25</f>
        <v/>
      </c>
      <c r="Q8" s="11">
        <f>Funding!$F$76/300*Time!Q25</f>
        <v/>
      </c>
      <c r="R8" s="11">
        <f>Funding!$F$76/300*Time!R25</f>
        <v/>
      </c>
      <c r="S8" s="11">
        <f>Funding!$F$76/300*Time!S25</f>
        <v/>
      </c>
      <c r="T8" s="11">
        <f>Funding!$F$76/300*Time!T25</f>
        <v/>
      </c>
      <c r="U8" s="11">
        <f>Funding!$F$76/300*Time!U25</f>
        <v/>
      </c>
      <c r="V8" s="11">
        <f>Funding!$F$76/300*Time!V25</f>
        <v/>
      </c>
      <c r="W8" s="11">
        <f>Funding!$F$76/300*Time!W25</f>
        <v/>
      </c>
      <c r="X8" s="11">
        <f>Funding!$F$76/300*Time!X25</f>
        <v/>
      </c>
      <c r="Y8" s="11">
        <f>Funding!$F$76/300*Time!Y25</f>
        <v/>
      </c>
      <c r="Z8" s="11">
        <f>Funding!$F$76/300*Time!Z25</f>
        <v/>
      </c>
      <c r="AA8" s="11">
        <f>Funding!$F$76/300*Time!AA25</f>
        <v/>
      </c>
      <c r="AB8" s="11">
        <f>Funding!$F$76/300*Time!AB25</f>
        <v/>
      </c>
      <c r="AC8" s="11">
        <f>Funding!$F$76/300*Time!AC25</f>
        <v/>
      </c>
      <c r="AD8" s="11">
        <f>Funding!$F$76/300*Time!AD25</f>
        <v/>
      </c>
      <c r="AE8" s="11">
        <f>Funding!$F$76/300*Time!AE25</f>
        <v/>
      </c>
      <c r="AF8" s="11">
        <f>Funding!$F$76/300*Time!AF25</f>
        <v/>
      </c>
      <c r="AG8" s="11">
        <f>Funding!$F$76/300*Time!AG25</f>
        <v/>
      </c>
      <c r="AH8" s="11">
        <f>Funding!$F$76/300*Time!AH25</f>
        <v/>
      </c>
      <c r="AI8" s="11">
        <f>Funding!$F$76/300*Time!AI25</f>
        <v/>
      </c>
      <c r="AJ8" s="11">
        <f>Funding!$F$76/300*Time!AJ25</f>
        <v/>
      </c>
      <c r="AK8" s="11">
        <f>Funding!$F$76/300*Time!AK25</f>
        <v/>
      </c>
      <c r="AL8" s="11">
        <f>Funding!$F$76/300*Time!AL25</f>
        <v/>
      </c>
      <c r="AM8" s="11">
        <f>Funding!$F$76/300*Time!AM25</f>
        <v/>
      </c>
      <c r="AN8" s="11">
        <f>Funding!$F$76/300*Time!AN25</f>
        <v/>
      </c>
      <c r="AO8" s="11">
        <f>Funding!$F$76/300*Time!AO25</f>
        <v/>
      </c>
      <c r="AP8" s="11">
        <f>Funding!$F$76/300*Time!AP25</f>
        <v/>
      </c>
      <c r="AQ8" s="11">
        <f>Funding!$F$76/300*Time!AQ25</f>
        <v/>
      </c>
      <c r="AR8" s="11">
        <f>Funding!$F$76/300*Time!AR25</f>
        <v/>
      </c>
      <c r="AS8" s="11">
        <f>Funding!$F$76/300*Time!AS25</f>
        <v/>
      </c>
      <c r="AT8" s="11">
        <f>Funding!$F$76/300*Time!AT25</f>
        <v/>
      </c>
      <c r="AU8" s="11">
        <f>Funding!$F$76/300*Time!AU25</f>
        <v/>
      </c>
      <c r="AV8" s="11">
        <f>Funding!$F$76/300*Time!AV25</f>
        <v/>
      </c>
      <c r="AW8" s="11">
        <f>Funding!$F$76/300*Time!AW25</f>
        <v/>
      </c>
      <c r="AX8" s="11">
        <f>Funding!$F$76/300*Time!AX25</f>
        <v/>
      </c>
      <c r="AY8" s="11">
        <f>Funding!$F$76/300*Time!AY25</f>
        <v/>
      </c>
      <c r="AZ8" s="11">
        <f>Funding!$F$76/300*Time!AZ25</f>
        <v/>
      </c>
      <c r="BA8" s="11">
        <f>Funding!$F$76/300*Time!BA25</f>
        <v/>
      </c>
      <c r="BB8" s="11">
        <f>Funding!$F$76/300*Time!BB25</f>
        <v/>
      </c>
      <c r="BC8" s="11">
        <f>Funding!$F$76/300*Time!BC25</f>
        <v/>
      </c>
      <c r="BD8" s="11">
        <f>Funding!$F$76/300*Time!BD25</f>
        <v/>
      </c>
      <c r="BE8" s="11">
        <f>Funding!$F$76/300*Time!BE25</f>
        <v/>
      </c>
      <c r="BF8" s="11">
        <f>Funding!$F$76/300*Time!BF25</f>
        <v/>
      </c>
      <c r="BG8" s="11">
        <f>Funding!$F$76/300*Time!BG25</f>
        <v/>
      </c>
      <c r="BH8" s="11">
        <f>Funding!$F$76/300*Time!BH25</f>
        <v/>
      </c>
      <c r="BI8" s="11">
        <f>Funding!$F$76/300*Time!BI25</f>
        <v/>
      </c>
      <c r="BJ8" s="11">
        <f>Funding!$F$76/300*Time!BJ25</f>
        <v/>
      </c>
      <c r="BK8" s="11">
        <f>Funding!$F$76/300*Time!BK25</f>
        <v/>
      </c>
      <c r="BL8" s="11">
        <f>Funding!$F$76/300*Time!BL25</f>
        <v/>
      </c>
      <c r="BM8" s="11">
        <f>Funding!$F$76/300*Time!BM25</f>
        <v/>
      </c>
      <c r="BN8" s="11">
        <f>Funding!$F$76/300*Time!BN25</f>
        <v/>
      </c>
    </row>
    <row r="9">
      <c r="D9" t="inlineStr">
        <is>
          <t>Finance costs (senior, swap, PRI, PCG, fees, SHL interest)</t>
        </is>
      </c>
      <c r="E9" t="inlineStr">
        <is>
          <t>USD m</t>
        </is>
      </c>
      <c r="G9" s="11">
        <f>SUM(J9:BN9)</f>
        <v/>
      </c>
      <c r="J9" s="11">
        <f>Debt!J119+Debt!J117+Debt!J111-Debt!J110+Tax!J13</f>
        <v/>
      </c>
      <c r="K9" s="11">
        <f>Debt!K119+Debt!K117+Debt!K111-Debt!K110+Tax!K13</f>
        <v/>
      </c>
      <c r="L9" s="11">
        <f>Debt!L119+Debt!L117+Debt!L111-Debt!L110+Tax!L13</f>
        <v/>
      </c>
      <c r="M9" s="11">
        <f>Debt!M119+Debt!M117+Debt!M111-Debt!M110+Tax!M13</f>
        <v/>
      </c>
      <c r="N9" s="11">
        <f>Debt!N119+Debt!N117+Debt!N111-Debt!N110+Tax!N13</f>
        <v/>
      </c>
      <c r="O9" s="11">
        <f>Debt!O119+Debt!O117+Debt!O111-Debt!O110+Tax!O13</f>
        <v/>
      </c>
      <c r="P9" s="11">
        <f>Debt!P119+Debt!P117+Debt!P111-Debt!P110+Tax!P13</f>
        <v/>
      </c>
      <c r="Q9" s="11">
        <f>Debt!Q119+Debt!Q117+Debt!Q111-Debt!Q110+Tax!Q13</f>
        <v/>
      </c>
      <c r="R9" s="11">
        <f>Debt!R119+Debt!R117+Debt!R111-Debt!R110+Tax!R13</f>
        <v/>
      </c>
      <c r="S9" s="11">
        <f>Debt!S119+Debt!S117+Debt!S111-Debt!S110+Tax!S13</f>
        <v/>
      </c>
      <c r="T9" s="11">
        <f>Debt!T119+Debt!T117+Debt!T111-Debt!T110+Tax!T13</f>
        <v/>
      </c>
      <c r="U9" s="11">
        <f>Debt!U119+Debt!U117+Debt!U111-Debt!U110+Tax!U13</f>
        <v/>
      </c>
      <c r="V9" s="11">
        <f>Debt!V119+Debt!V117+Debt!V111-Debt!V110+Tax!V13</f>
        <v/>
      </c>
      <c r="W9" s="11">
        <f>Debt!W119+Debt!W117+Debt!W111-Debt!W110+Tax!W13</f>
        <v/>
      </c>
      <c r="X9" s="11">
        <f>Debt!X119+Debt!X117+Debt!X111-Debt!X110+Tax!X13</f>
        <v/>
      </c>
      <c r="Y9" s="11">
        <f>Debt!Y119+Debt!Y117+Debt!Y111-Debt!Y110+Tax!Y13</f>
        <v/>
      </c>
      <c r="Z9" s="11">
        <f>Debt!Z119+Debt!Z117+Debt!Z111-Debt!Z110+Tax!Z13</f>
        <v/>
      </c>
      <c r="AA9" s="11">
        <f>Debt!AA119+Debt!AA117+Debt!AA111-Debt!AA110+Tax!AA13</f>
        <v/>
      </c>
      <c r="AB9" s="11">
        <f>Debt!AB119+Debt!AB117+Debt!AB111-Debt!AB110+Tax!AB13</f>
        <v/>
      </c>
      <c r="AC9" s="11">
        <f>Debt!AC119+Debt!AC117+Debt!AC111-Debt!AC110+Tax!AC13</f>
        <v/>
      </c>
      <c r="AD9" s="11">
        <f>Debt!AD119+Debt!AD117+Debt!AD111-Debt!AD110+Tax!AD13</f>
        <v/>
      </c>
      <c r="AE9" s="11">
        <f>Debt!AE119+Debt!AE117+Debt!AE111-Debt!AE110+Tax!AE13</f>
        <v/>
      </c>
      <c r="AF9" s="11">
        <f>Debt!AF119+Debt!AF117+Debt!AF111-Debt!AF110+Tax!AF13</f>
        <v/>
      </c>
      <c r="AG9" s="11">
        <f>Debt!AG119+Debt!AG117+Debt!AG111-Debt!AG110+Tax!AG13</f>
        <v/>
      </c>
      <c r="AH9" s="11">
        <f>Debt!AH119+Debt!AH117+Debt!AH111-Debt!AH110+Tax!AH13</f>
        <v/>
      </c>
      <c r="AI9" s="11">
        <f>Debt!AI119+Debt!AI117+Debt!AI111-Debt!AI110+Tax!AI13</f>
        <v/>
      </c>
      <c r="AJ9" s="11">
        <f>Debt!AJ119+Debt!AJ117+Debt!AJ111-Debt!AJ110+Tax!AJ13</f>
        <v/>
      </c>
      <c r="AK9" s="11">
        <f>Debt!AK119+Debt!AK117+Debt!AK111-Debt!AK110+Tax!AK13</f>
        <v/>
      </c>
      <c r="AL9" s="11">
        <f>Debt!AL119+Debt!AL117+Debt!AL111-Debt!AL110+Tax!AL13</f>
        <v/>
      </c>
      <c r="AM9" s="11">
        <f>Debt!AM119+Debt!AM117+Debt!AM111-Debt!AM110+Tax!AM13</f>
        <v/>
      </c>
      <c r="AN9" s="11">
        <f>Debt!AN119+Debt!AN117+Debt!AN111-Debt!AN110+Tax!AN13</f>
        <v/>
      </c>
      <c r="AO9" s="11">
        <f>Debt!AO119+Debt!AO117+Debt!AO111-Debt!AO110+Tax!AO13</f>
        <v/>
      </c>
      <c r="AP9" s="11">
        <f>Debt!AP119+Debt!AP117+Debt!AP111-Debt!AP110+Tax!AP13</f>
        <v/>
      </c>
      <c r="AQ9" s="11">
        <f>Debt!AQ119+Debt!AQ117+Debt!AQ111-Debt!AQ110+Tax!AQ13</f>
        <v/>
      </c>
      <c r="AR9" s="11">
        <f>Debt!AR119+Debt!AR117+Debt!AR111-Debt!AR110+Tax!AR13</f>
        <v/>
      </c>
      <c r="AS9" s="11">
        <f>Debt!AS119+Debt!AS117+Debt!AS111-Debt!AS110+Tax!AS13</f>
        <v/>
      </c>
      <c r="AT9" s="11">
        <f>Debt!AT119+Debt!AT117+Debt!AT111-Debt!AT110+Tax!AT13</f>
        <v/>
      </c>
      <c r="AU9" s="11">
        <f>Debt!AU119+Debt!AU117+Debt!AU111-Debt!AU110+Tax!AU13</f>
        <v/>
      </c>
      <c r="AV9" s="11">
        <f>Debt!AV119+Debt!AV117+Debt!AV111-Debt!AV110+Tax!AV13</f>
        <v/>
      </c>
      <c r="AW9" s="11">
        <f>Debt!AW119+Debt!AW117+Debt!AW111-Debt!AW110+Tax!AW13</f>
        <v/>
      </c>
      <c r="AX9" s="11">
        <f>Debt!AX119+Debt!AX117+Debt!AX111-Debt!AX110+Tax!AX13</f>
        <v/>
      </c>
      <c r="AY9" s="11">
        <f>Debt!AY119+Debt!AY117+Debt!AY111-Debt!AY110+Tax!AY13</f>
        <v/>
      </c>
      <c r="AZ9" s="11">
        <f>Debt!AZ119+Debt!AZ117+Debt!AZ111-Debt!AZ110+Tax!AZ13</f>
        <v/>
      </c>
      <c r="BA9" s="11">
        <f>Debt!BA119+Debt!BA117+Debt!BA111-Debt!BA110+Tax!BA13</f>
        <v/>
      </c>
      <c r="BB9" s="11">
        <f>Debt!BB119+Debt!BB117+Debt!BB111-Debt!BB110+Tax!BB13</f>
        <v/>
      </c>
      <c r="BC9" s="11">
        <f>Debt!BC119+Debt!BC117+Debt!BC111-Debt!BC110+Tax!BC13</f>
        <v/>
      </c>
      <c r="BD9" s="11">
        <f>Debt!BD119+Debt!BD117+Debt!BD111-Debt!BD110+Tax!BD13</f>
        <v/>
      </c>
      <c r="BE9" s="11">
        <f>Debt!BE119+Debt!BE117+Debt!BE111-Debt!BE110+Tax!BE13</f>
        <v/>
      </c>
      <c r="BF9" s="11">
        <f>Debt!BF119+Debt!BF117+Debt!BF111-Debt!BF110+Tax!BF13</f>
        <v/>
      </c>
      <c r="BG9" s="11">
        <f>Debt!BG119+Debt!BG117+Debt!BG111-Debt!BG110+Tax!BG13</f>
        <v/>
      </c>
      <c r="BH9" s="11">
        <f>Debt!BH119+Debt!BH117+Debt!BH111-Debt!BH110+Tax!BH13</f>
        <v/>
      </c>
      <c r="BI9" s="11">
        <f>Debt!BI119+Debt!BI117+Debt!BI111-Debt!BI110+Tax!BI13</f>
        <v/>
      </c>
      <c r="BJ9" s="11">
        <f>Debt!BJ119+Debt!BJ117+Debt!BJ111-Debt!BJ110+Tax!BJ13</f>
        <v/>
      </c>
      <c r="BK9" s="11">
        <f>Debt!BK119+Debt!BK117+Debt!BK111-Debt!BK110+Tax!BK13</f>
        <v/>
      </c>
      <c r="BL9" s="11">
        <f>Debt!BL119+Debt!BL117+Debt!BL111-Debt!BL110+Tax!BL13</f>
        <v/>
      </c>
      <c r="BM9" s="11">
        <f>Debt!BM119+Debt!BM117+Debt!BM111-Debt!BM110+Tax!BM13</f>
        <v/>
      </c>
      <c r="BN9" s="11">
        <f>Debt!BN119+Debt!BN117+Debt!BN111-Debt!BN110+Tax!BN13</f>
        <v/>
      </c>
    </row>
    <row r="10">
      <c r="D10" t="inlineStr">
        <is>
          <t>Tax written-down value</t>
        </is>
      </c>
      <c r="E10" t="inlineStr">
        <is>
          <t>USD m</t>
        </is>
      </c>
      <c r="J10" s="11">
        <f>Funding!$F$76-SUM(Tax!J$10:J$10)</f>
        <v/>
      </c>
      <c r="K10" s="11">
        <f>Funding!$F$76-SUM(Tax!$J$10:K$10)</f>
        <v/>
      </c>
      <c r="L10" s="11">
        <f>Funding!$F$76-SUM(Tax!$J$10:L$10)</f>
        <v/>
      </c>
      <c r="M10" s="11">
        <f>Funding!$F$76-SUM(Tax!$J$10:M$10)</f>
        <v/>
      </c>
      <c r="N10" s="11">
        <f>Funding!$F$76-SUM(Tax!$J$10:N$10)</f>
        <v/>
      </c>
      <c r="O10" s="11">
        <f>Funding!$F$76-SUM(Tax!$J$10:O$10)</f>
        <v/>
      </c>
      <c r="P10" s="11">
        <f>Funding!$F$76-SUM(Tax!$J$10:P$10)</f>
        <v/>
      </c>
      <c r="Q10" s="11">
        <f>Funding!$F$76-SUM(Tax!$J$10:Q$10)</f>
        <v/>
      </c>
      <c r="R10" s="11">
        <f>Funding!$F$76-SUM(Tax!$J$10:R$10)</f>
        <v/>
      </c>
      <c r="S10" s="11">
        <f>Funding!$F$76-SUM(Tax!$J$10:S$10)</f>
        <v/>
      </c>
      <c r="T10" s="11">
        <f>Funding!$F$76-SUM(Tax!$J$10:T$10)</f>
        <v/>
      </c>
      <c r="U10" s="11">
        <f>Funding!$F$76-SUM(Tax!$J$10:U$10)</f>
        <v/>
      </c>
      <c r="V10" s="11">
        <f>Funding!$F$76-SUM(Tax!$J$10:V$10)</f>
        <v/>
      </c>
      <c r="W10" s="11">
        <f>Funding!$F$76-SUM(Tax!$J$10:W$10)</f>
        <v/>
      </c>
      <c r="X10" s="11">
        <f>Funding!$F$76-SUM(Tax!$J$10:X$10)</f>
        <v/>
      </c>
      <c r="Y10" s="11">
        <f>Funding!$F$76-SUM(Tax!$J$10:Y$10)</f>
        <v/>
      </c>
      <c r="Z10" s="11">
        <f>Funding!$F$76-SUM(Tax!$J$10:Z$10)</f>
        <v/>
      </c>
      <c r="AA10" s="11">
        <f>Funding!$F$76-SUM(Tax!$J$10:AA$10)</f>
        <v/>
      </c>
      <c r="AB10" s="11">
        <f>Funding!$F$76-SUM(Tax!$J$10:AB$10)</f>
        <v/>
      </c>
      <c r="AC10" s="11">
        <f>Funding!$F$76-SUM(Tax!$J$10:AC$10)</f>
        <v/>
      </c>
      <c r="AD10" s="11">
        <f>Funding!$F$76-SUM(Tax!$J$10:AD$10)</f>
        <v/>
      </c>
      <c r="AE10" s="11">
        <f>Funding!$F$76-SUM(Tax!$J$10:AE$10)</f>
        <v/>
      </c>
      <c r="AF10" s="11">
        <f>Funding!$F$76-SUM(Tax!$J$10:AF$10)</f>
        <v/>
      </c>
      <c r="AG10" s="11">
        <f>Funding!$F$76-SUM(Tax!$J$10:AG$10)</f>
        <v/>
      </c>
      <c r="AH10" s="11">
        <f>Funding!$F$76-SUM(Tax!$J$10:AH$10)</f>
        <v/>
      </c>
      <c r="AI10" s="11">
        <f>Funding!$F$76-SUM(Tax!$J$10:AI$10)</f>
        <v/>
      </c>
      <c r="AJ10" s="11">
        <f>Funding!$F$76-SUM(Tax!$J$10:AJ$10)</f>
        <v/>
      </c>
      <c r="AK10" s="11">
        <f>Funding!$F$76-SUM(Tax!$J$10:AK$10)</f>
        <v/>
      </c>
      <c r="AL10" s="11">
        <f>Funding!$F$76-SUM(Tax!$J$10:AL$10)</f>
        <v/>
      </c>
      <c r="AM10" s="11">
        <f>Funding!$F$76-SUM(Tax!$J$10:AM$10)</f>
        <v/>
      </c>
      <c r="AN10" s="11">
        <f>Funding!$F$76-SUM(Tax!$J$10:AN$10)</f>
        <v/>
      </c>
      <c r="AO10" s="11">
        <f>Funding!$F$76-SUM(Tax!$J$10:AO$10)</f>
        <v/>
      </c>
      <c r="AP10" s="11">
        <f>Funding!$F$76-SUM(Tax!$J$10:AP$10)</f>
        <v/>
      </c>
      <c r="AQ10" s="11">
        <f>Funding!$F$76-SUM(Tax!$J$10:AQ$10)</f>
        <v/>
      </c>
      <c r="AR10" s="11">
        <f>Funding!$F$76-SUM(Tax!$J$10:AR$10)</f>
        <v/>
      </c>
      <c r="AS10" s="11">
        <f>Funding!$F$76-SUM(Tax!$J$10:AS$10)</f>
        <v/>
      </c>
      <c r="AT10" s="11">
        <f>Funding!$F$76-SUM(Tax!$J$10:AT$10)</f>
        <v/>
      </c>
      <c r="AU10" s="11">
        <f>Funding!$F$76-SUM(Tax!$J$10:AU$10)</f>
        <v/>
      </c>
      <c r="AV10" s="11">
        <f>Funding!$F$76-SUM(Tax!$J$10:AV$10)</f>
        <v/>
      </c>
      <c r="AW10" s="11">
        <f>Funding!$F$76-SUM(Tax!$J$10:AW$10)</f>
        <v/>
      </c>
      <c r="AX10" s="11">
        <f>Funding!$F$76-SUM(Tax!$J$10:AX$10)</f>
        <v/>
      </c>
      <c r="AY10" s="11">
        <f>Funding!$F$76-SUM(Tax!$J$10:AY$10)</f>
        <v/>
      </c>
      <c r="AZ10" s="11">
        <f>Funding!$F$76-SUM(Tax!$J$10:AZ$10)</f>
        <v/>
      </c>
      <c r="BA10" s="11">
        <f>Funding!$F$76-SUM(Tax!$J$10:BA$10)</f>
        <v/>
      </c>
      <c r="BB10" s="11">
        <f>Funding!$F$76-SUM(Tax!$J$10:BB$10)</f>
        <v/>
      </c>
      <c r="BC10" s="11">
        <f>Funding!$F$76-SUM(Tax!$J$10:BC$10)</f>
        <v/>
      </c>
      <c r="BD10" s="11">
        <f>Funding!$F$76-SUM(Tax!$J$10:BD$10)</f>
        <v/>
      </c>
      <c r="BE10" s="11">
        <f>Funding!$F$76-SUM(Tax!$J$10:BE$10)</f>
        <v/>
      </c>
      <c r="BF10" s="11">
        <f>Funding!$F$76-SUM(Tax!$J$10:BF$10)</f>
        <v/>
      </c>
      <c r="BG10" s="11">
        <f>Funding!$F$76-SUM(Tax!$J$10:BG$10)</f>
        <v/>
      </c>
      <c r="BH10" s="11">
        <f>Funding!$F$76-SUM(Tax!$J$10:BH$10)</f>
        <v/>
      </c>
      <c r="BI10" s="11">
        <f>Funding!$F$76-SUM(Tax!$J$10:BI$10)</f>
        <v/>
      </c>
      <c r="BJ10" s="11">
        <f>Funding!$F$76-SUM(Tax!$J$10:BJ$10)</f>
        <v/>
      </c>
      <c r="BK10" s="11">
        <f>Funding!$F$76-SUM(Tax!$J$10:BK$10)</f>
        <v/>
      </c>
      <c r="BL10" s="11">
        <f>Funding!$F$76-SUM(Tax!$J$10:BL$10)</f>
        <v/>
      </c>
      <c r="BM10" s="11">
        <f>Funding!$F$76-SUM(Tax!$J$10:BM$10)</f>
        <v/>
      </c>
      <c r="BN10" s="11">
        <f>Funding!$F$76-SUM(Tax!$J$10:BN$10)</f>
        <v/>
      </c>
    </row>
    <row r="11">
      <c r="D11" t="inlineStr">
        <is>
          <t>Book value of plant (from COD)</t>
        </is>
      </c>
      <c r="E11" t="inlineStr">
        <is>
          <t>USD m</t>
        </is>
      </c>
      <c r="J11" s="11">
        <f>Funding!$F$76-SUM(J$8:J$8)</f>
        <v/>
      </c>
      <c r="K11" s="11">
        <f>Funding!$F$76-SUM($J$8:K$8)</f>
        <v/>
      </c>
      <c r="L11" s="11">
        <f>Funding!$F$76-SUM($J$8:L$8)</f>
        <v/>
      </c>
      <c r="M11" s="11">
        <f>Funding!$F$76-SUM($J$8:M$8)</f>
        <v/>
      </c>
      <c r="N11" s="11">
        <f>Funding!$F$76-SUM($J$8:N$8)</f>
        <v/>
      </c>
      <c r="O11" s="11">
        <f>Funding!$F$76-SUM($J$8:O$8)</f>
        <v/>
      </c>
      <c r="P11" s="11">
        <f>Funding!$F$76-SUM($J$8:P$8)</f>
        <v/>
      </c>
      <c r="Q11" s="11">
        <f>Funding!$F$76-SUM($J$8:Q$8)</f>
        <v/>
      </c>
      <c r="R11" s="11">
        <f>Funding!$F$76-SUM($J$8:R$8)</f>
        <v/>
      </c>
      <c r="S11" s="11">
        <f>Funding!$F$76-SUM($J$8:S$8)</f>
        <v/>
      </c>
      <c r="T11" s="11">
        <f>Funding!$F$76-SUM($J$8:T$8)</f>
        <v/>
      </c>
      <c r="U11" s="11">
        <f>Funding!$F$76-SUM($J$8:U$8)</f>
        <v/>
      </c>
      <c r="V11" s="11">
        <f>Funding!$F$76-SUM($J$8:V$8)</f>
        <v/>
      </c>
      <c r="W11" s="11">
        <f>Funding!$F$76-SUM($J$8:W$8)</f>
        <v/>
      </c>
      <c r="X11" s="11">
        <f>Funding!$F$76-SUM($J$8:X$8)</f>
        <v/>
      </c>
      <c r="Y11" s="11">
        <f>Funding!$F$76-SUM($J$8:Y$8)</f>
        <v/>
      </c>
      <c r="Z11" s="11">
        <f>Funding!$F$76-SUM($J$8:Z$8)</f>
        <v/>
      </c>
      <c r="AA11" s="11">
        <f>Funding!$F$76-SUM($J$8:AA$8)</f>
        <v/>
      </c>
      <c r="AB11" s="11">
        <f>Funding!$F$76-SUM($J$8:AB$8)</f>
        <v/>
      </c>
      <c r="AC11" s="11">
        <f>Funding!$F$76-SUM($J$8:AC$8)</f>
        <v/>
      </c>
      <c r="AD11" s="11">
        <f>Funding!$F$76-SUM($J$8:AD$8)</f>
        <v/>
      </c>
      <c r="AE11" s="11">
        <f>Funding!$F$76-SUM($J$8:AE$8)</f>
        <v/>
      </c>
      <c r="AF11" s="11">
        <f>Funding!$F$76-SUM($J$8:AF$8)</f>
        <v/>
      </c>
      <c r="AG11" s="11">
        <f>Funding!$F$76-SUM($J$8:AG$8)</f>
        <v/>
      </c>
      <c r="AH11" s="11">
        <f>Funding!$F$76-SUM($J$8:AH$8)</f>
        <v/>
      </c>
      <c r="AI11" s="11">
        <f>Funding!$F$76-SUM($J$8:AI$8)</f>
        <v/>
      </c>
      <c r="AJ11" s="11">
        <f>Funding!$F$76-SUM($J$8:AJ$8)</f>
        <v/>
      </c>
      <c r="AK11" s="11">
        <f>Funding!$F$76-SUM($J$8:AK$8)</f>
        <v/>
      </c>
      <c r="AL11" s="11">
        <f>Funding!$F$76-SUM($J$8:AL$8)</f>
        <v/>
      </c>
      <c r="AM11" s="11">
        <f>Funding!$F$76-SUM($J$8:AM$8)</f>
        <v/>
      </c>
      <c r="AN11" s="11">
        <f>Funding!$F$76-SUM($J$8:AN$8)</f>
        <v/>
      </c>
      <c r="AO11" s="11">
        <f>Funding!$F$76-SUM($J$8:AO$8)</f>
        <v/>
      </c>
      <c r="AP11" s="11">
        <f>Funding!$F$76-SUM($J$8:AP$8)</f>
        <v/>
      </c>
      <c r="AQ11" s="11">
        <f>Funding!$F$76-SUM($J$8:AQ$8)</f>
        <v/>
      </c>
      <c r="AR11" s="11">
        <f>Funding!$F$76-SUM($J$8:AR$8)</f>
        <v/>
      </c>
      <c r="AS11" s="11">
        <f>Funding!$F$76-SUM($J$8:AS$8)</f>
        <v/>
      </c>
      <c r="AT11" s="11">
        <f>Funding!$F$76-SUM($J$8:AT$8)</f>
        <v/>
      </c>
      <c r="AU11" s="11">
        <f>Funding!$F$76-SUM($J$8:AU$8)</f>
        <v/>
      </c>
      <c r="AV11" s="11">
        <f>Funding!$F$76-SUM($J$8:AV$8)</f>
        <v/>
      </c>
      <c r="AW11" s="11">
        <f>Funding!$F$76-SUM($J$8:AW$8)</f>
        <v/>
      </c>
      <c r="AX11" s="11">
        <f>Funding!$F$76-SUM($J$8:AX$8)</f>
        <v/>
      </c>
      <c r="AY11" s="11">
        <f>Funding!$F$76-SUM($J$8:AY$8)</f>
        <v/>
      </c>
      <c r="AZ11" s="11">
        <f>Funding!$F$76-SUM($J$8:AZ$8)</f>
        <v/>
      </c>
      <c r="BA11" s="11">
        <f>Funding!$F$76-SUM($J$8:BA$8)</f>
        <v/>
      </c>
      <c r="BB11" s="11">
        <f>Funding!$F$76-SUM($J$8:BB$8)</f>
        <v/>
      </c>
      <c r="BC11" s="11">
        <f>Funding!$F$76-SUM($J$8:BC$8)</f>
        <v/>
      </c>
      <c r="BD11" s="11">
        <f>Funding!$F$76-SUM($J$8:BD$8)</f>
        <v/>
      </c>
      <c r="BE11" s="11">
        <f>Funding!$F$76-SUM($J$8:BE$8)</f>
        <v/>
      </c>
      <c r="BF11" s="11">
        <f>Funding!$F$76-SUM($J$8:BF$8)</f>
        <v/>
      </c>
      <c r="BG11" s="11">
        <f>Funding!$F$76-SUM($J$8:BG$8)</f>
        <v/>
      </c>
      <c r="BH11" s="11">
        <f>Funding!$F$76-SUM($J$8:BH$8)</f>
        <v/>
      </c>
      <c r="BI11" s="11">
        <f>Funding!$F$76-SUM($J$8:BI$8)</f>
        <v/>
      </c>
      <c r="BJ11" s="11">
        <f>Funding!$F$76-SUM($J$8:BJ$8)</f>
        <v/>
      </c>
      <c r="BK11" s="11">
        <f>Funding!$F$76-SUM($J$8:BK$8)</f>
        <v/>
      </c>
      <c r="BL11" s="11">
        <f>Funding!$F$76-SUM($J$8:BL$8)</f>
        <v/>
      </c>
      <c r="BM11" s="11">
        <f>Funding!$F$76-SUM($J$8:BM$8)</f>
        <v/>
      </c>
      <c r="BN11" s="11">
        <f>Funding!$F$76-SUM($J$8:BN$8)</f>
        <v/>
      </c>
    </row>
    <row r="12">
      <c r="D12" t="inlineStr">
        <is>
          <t>Deferred tax liability (asset if negative)</t>
        </is>
      </c>
      <c r="E12" t="inlineStr">
        <is>
          <t>USD m</t>
        </is>
      </c>
      <c r="J12" s="11">
        <f>IF(Time!J17&gt;=Time!$F$11,Inputs!$F$181/100*(J11-J10-Tax!J21),0)</f>
        <v/>
      </c>
      <c r="K12" s="11">
        <f>IF(Time!K17&gt;=Time!$F$11,Inputs!$F$181/100*(K11-K10-Tax!K21),0)</f>
        <v/>
      </c>
      <c r="L12" s="11">
        <f>IF(Time!L17&gt;=Time!$F$11,Inputs!$F$181/100*(L11-L10-Tax!L21),0)</f>
        <v/>
      </c>
      <c r="M12" s="11">
        <f>IF(Time!M17&gt;=Time!$F$11,Inputs!$F$181/100*(M11-M10-Tax!M21),0)</f>
        <v/>
      </c>
      <c r="N12" s="11">
        <f>IF(Time!N17&gt;=Time!$F$11,Inputs!$F$181/100*(N11-N10-Tax!N21),0)</f>
        <v/>
      </c>
      <c r="O12" s="11">
        <f>IF(Time!O17&gt;=Time!$F$11,Inputs!$F$181/100*(O11-O10-Tax!O21),0)</f>
        <v/>
      </c>
      <c r="P12" s="11">
        <f>IF(Time!P17&gt;=Time!$F$11,Inputs!$F$181/100*(P11-P10-Tax!P21),0)</f>
        <v/>
      </c>
      <c r="Q12" s="11">
        <f>IF(Time!Q17&gt;=Time!$F$11,Inputs!$F$181/100*(Q11-Q10-Tax!Q21),0)</f>
        <v/>
      </c>
      <c r="R12" s="11">
        <f>IF(Time!R17&gt;=Time!$F$11,Inputs!$F$181/100*(R11-R10-Tax!R21),0)</f>
        <v/>
      </c>
      <c r="S12" s="11">
        <f>IF(Time!S17&gt;=Time!$F$11,Inputs!$F$181/100*(S11-S10-Tax!S21),0)</f>
        <v/>
      </c>
      <c r="T12" s="11">
        <f>IF(Time!T17&gt;=Time!$F$11,Inputs!$F$181/100*(T11-T10-Tax!T21),0)</f>
        <v/>
      </c>
      <c r="U12" s="11">
        <f>IF(Time!U17&gt;=Time!$F$11,Inputs!$F$181/100*(U11-U10-Tax!U21),0)</f>
        <v/>
      </c>
      <c r="V12" s="11">
        <f>IF(Time!V17&gt;=Time!$F$11,Inputs!$F$181/100*(V11-V10-Tax!V21),0)</f>
        <v/>
      </c>
      <c r="W12" s="11">
        <f>IF(Time!W17&gt;=Time!$F$11,Inputs!$F$181/100*(W11-W10-Tax!W21),0)</f>
        <v/>
      </c>
      <c r="X12" s="11">
        <f>IF(Time!X17&gt;=Time!$F$11,Inputs!$F$181/100*(X11-X10-Tax!X21),0)</f>
        <v/>
      </c>
      <c r="Y12" s="11">
        <f>IF(Time!Y17&gt;=Time!$F$11,Inputs!$F$181/100*(Y11-Y10-Tax!Y21),0)</f>
        <v/>
      </c>
      <c r="Z12" s="11">
        <f>IF(Time!Z17&gt;=Time!$F$11,Inputs!$F$181/100*(Z11-Z10-Tax!Z21),0)</f>
        <v/>
      </c>
      <c r="AA12" s="11">
        <f>IF(Time!AA17&gt;=Time!$F$11,Inputs!$F$181/100*(AA11-AA10-Tax!AA21),0)</f>
        <v/>
      </c>
      <c r="AB12" s="11">
        <f>IF(Time!AB17&gt;=Time!$F$11,Inputs!$F$181/100*(AB11-AB10-Tax!AB21),0)</f>
        <v/>
      </c>
      <c r="AC12" s="11">
        <f>IF(Time!AC17&gt;=Time!$F$11,Inputs!$F$181/100*(AC11-AC10-Tax!AC21),0)</f>
        <v/>
      </c>
      <c r="AD12" s="11">
        <f>IF(Time!AD17&gt;=Time!$F$11,Inputs!$F$181/100*(AD11-AD10-Tax!AD21),0)</f>
        <v/>
      </c>
      <c r="AE12" s="11">
        <f>IF(Time!AE17&gt;=Time!$F$11,Inputs!$F$181/100*(AE11-AE10-Tax!AE21),0)</f>
        <v/>
      </c>
      <c r="AF12" s="11">
        <f>IF(Time!AF17&gt;=Time!$F$11,Inputs!$F$181/100*(AF11-AF10-Tax!AF21),0)</f>
        <v/>
      </c>
      <c r="AG12" s="11">
        <f>IF(Time!AG17&gt;=Time!$F$11,Inputs!$F$181/100*(AG11-AG10-Tax!AG21),0)</f>
        <v/>
      </c>
      <c r="AH12" s="11">
        <f>IF(Time!AH17&gt;=Time!$F$11,Inputs!$F$181/100*(AH11-AH10-Tax!AH21),0)</f>
        <v/>
      </c>
      <c r="AI12" s="11">
        <f>IF(Time!AI17&gt;=Time!$F$11,Inputs!$F$181/100*(AI11-AI10-Tax!AI21),0)</f>
        <v/>
      </c>
      <c r="AJ12" s="11">
        <f>IF(Time!AJ17&gt;=Time!$F$11,Inputs!$F$181/100*(AJ11-AJ10-Tax!AJ21),0)</f>
        <v/>
      </c>
      <c r="AK12" s="11">
        <f>IF(Time!AK17&gt;=Time!$F$11,Inputs!$F$181/100*(AK11-AK10-Tax!AK21),0)</f>
        <v/>
      </c>
      <c r="AL12" s="11">
        <f>IF(Time!AL17&gt;=Time!$F$11,Inputs!$F$181/100*(AL11-AL10-Tax!AL21),0)</f>
        <v/>
      </c>
      <c r="AM12" s="11">
        <f>IF(Time!AM17&gt;=Time!$F$11,Inputs!$F$181/100*(AM11-AM10-Tax!AM21),0)</f>
        <v/>
      </c>
      <c r="AN12" s="11">
        <f>IF(Time!AN17&gt;=Time!$F$11,Inputs!$F$181/100*(AN11-AN10-Tax!AN21),0)</f>
        <v/>
      </c>
      <c r="AO12" s="11">
        <f>IF(Time!AO17&gt;=Time!$F$11,Inputs!$F$181/100*(AO11-AO10-Tax!AO21),0)</f>
        <v/>
      </c>
      <c r="AP12" s="11">
        <f>IF(Time!AP17&gt;=Time!$F$11,Inputs!$F$181/100*(AP11-AP10-Tax!AP21),0)</f>
        <v/>
      </c>
      <c r="AQ12" s="11">
        <f>IF(Time!AQ17&gt;=Time!$F$11,Inputs!$F$181/100*(AQ11-AQ10-Tax!AQ21),0)</f>
        <v/>
      </c>
      <c r="AR12" s="11">
        <f>IF(Time!AR17&gt;=Time!$F$11,Inputs!$F$181/100*(AR11-AR10-Tax!AR21),0)</f>
        <v/>
      </c>
      <c r="AS12" s="11">
        <f>IF(Time!AS17&gt;=Time!$F$11,Inputs!$F$181/100*(AS11-AS10-Tax!AS21),0)</f>
        <v/>
      </c>
      <c r="AT12" s="11">
        <f>IF(Time!AT17&gt;=Time!$F$11,Inputs!$F$181/100*(AT11-AT10-Tax!AT21),0)</f>
        <v/>
      </c>
      <c r="AU12" s="11">
        <f>IF(Time!AU17&gt;=Time!$F$11,Inputs!$F$181/100*(AU11-AU10-Tax!AU21),0)</f>
        <v/>
      </c>
      <c r="AV12" s="11">
        <f>IF(Time!AV17&gt;=Time!$F$11,Inputs!$F$181/100*(AV11-AV10-Tax!AV21),0)</f>
        <v/>
      </c>
      <c r="AW12" s="11">
        <f>IF(Time!AW17&gt;=Time!$F$11,Inputs!$F$181/100*(AW11-AW10-Tax!AW21),0)</f>
        <v/>
      </c>
      <c r="AX12" s="11">
        <f>IF(Time!AX17&gt;=Time!$F$11,Inputs!$F$181/100*(AX11-AX10-Tax!AX21),0)</f>
        <v/>
      </c>
      <c r="AY12" s="11">
        <f>IF(Time!AY17&gt;=Time!$F$11,Inputs!$F$181/100*(AY11-AY10-Tax!AY21),0)</f>
        <v/>
      </c>
      <c r="AZ12" s="11">
        <f>IF(Time!AZ17&gt;=Time!$F$11,Inputs!$F$181/100*(AZ11-AZ10-Tax!AZ21),0)</f>
        <v/>
      </c>
      <c r="BA12" s="11">
        <f>IF(Time!BA17&gt;=Time!$F$11,Inputs!$F$181/100*(BA11-BA10-Tax!BA21),0)</f>
        <v/>
      </c>
      <c r="BB12" s="11">
        <f>IF(Time!BB17&gt;=Time!$F$11,Inputs!$F$181/100*(BB11-BB10-Tax!BB21),0)</f>
        <v/>
      </c>
      <c r="BC12" s="11">
        <f>IF(Time!BC17&gt;=Time!$F$11,Inputs!$F$181/100*(BC11-BC10-Tax!BC21),0)</f>
        <v/>
      </c>
      <c r="BD12" s="11">
        <f>IF(Time!BD17&gt;=Time!$F$11,Inputs!$F$181/100*(BD11-BD10-Tax!BD21),0)</f>
        <v/>
      </c>
      <c r="BE12" s="11">
        <f>IF(Time!BE17&gt;=Time!$F$11,Inputs!$F$181/100*(BE11-BE10-Tax!BE21),0)</f>
        <v/>
      </c>
      <c r="BF12" s="11">
        <f>IF(Time!BF17&gt;=Time!$F$11,Inputs!$F$181/100*(BF11-BF10-Tax!BF21),0)</f>
        <v/>
      </c>
      <c r="BG12" s="11">
        <f>IF(Time!BG17&gt;=Time!$F$11,Inputs!$F$181/100*(BG11-BG10-Tax!BG21),0)</f>
        <v/>
      </c>
      <c r="BH12" s="11">
        <f>IF(Time!BH17&gt;=Time!$F$11,Inputs!$F$181/100*(BH11-BH10-Tax!BH21),0)</f>
        <v/>
      </c>
      <c r="BI12" s="11">
        <f>IF(Time!BI17&gt;=Time!$F$11,Inputs!$F$181/100*(BI11-BI10-Tax!BI21),0)</f>
        <v/>
      </c>
      <c r="BJ12" s="11">
        <f>IF(Time!BJ17&gt;=Time!$F$11,Inputs!$F$181/100*(BJ11-BJ10-Tax!BJ21),0)</f>
        <v/>
      </c>
      <c r="BK12" s="11">
        <f>IF(Time!BK17&gt;=Time!$F$11,Inputs!$F$181/100*(BK11-BK10-Tax!BK21),0)</f>
        <v/>
      </c>
      <c r="BL12" s="11">
        <f>IF(Time!BL17&gt;=Time!$F$11,Inputs!$F$181/100*(BL11-BL10-Tax!BL21),0)</f>
        <v/>
      </c>
      <c r="BM12" s="11">
        <f>IF(Time!BM17&gt;=Time!$F$11,Inputs!$F$181/100*(BM11-BM10-Tax!BM21),0)</f>
        <v/>
      </c>
      <c r="BN12" s="11">
        <f>IF(Time!BN17&gt;=Time!$F$11,Inputs!$F$181/100*(BN11-BN10-Tax!BN21),0)</f>
        <v/>
      </c>
    </row>
    <row r="13">
      <c r="D13" t="inlineStr">
        <is>
          <t>Deferred tax expense</t>
        </is>
      </c>
      <c r="E13" t="inlineStr">
        <is>
          <t>USD m</t>
        </is>
      </c>
      <c r="G13" s="11">
        <f>SUM(J13:BN13)</f>
        <v/>
      </c>
      <c r="J13" s="11">
        <f>J12-0</f>
        <v/>
      </c>
      <c r="K13" s="11">
        <f>K12-J12</f>
        <v/>
      </c>
      <c r="L13" s="11">
        <f>L12-K12</f>
        <v/>
      </c>
      <c r="M13" s="11">
        <f>M12-L12</f>
        <v/>
      </c>
      <c r="N13" s="11">
        <f>N12-M12</f>
        <v/>
      </c>
      <c r="O13" s="11">
        <f>O12-N12</f>
        <v/>
      </c>
      <c r="P13" s="11">
        <f>P12-O12</f>
        <v/>
      </c>
      <c r="Q13" s="11">
        <f>Q12-P12</f>
        <v/>
      </c>
      <c r="R13" s="11">
        <f>R12-Q12</f>
        <v/>
      </c>
      <c r="S13" s="11">
        <f>S12-R12</f>
        <v/>
      </c>
      <c r="T13" s="11">
        <f>T12-S12</f>
        <v/>
      </c>
      <c r="U13" s="11">
        <f>U12-T12</f>
        <v/>
      </c>
      <c r="V13" s="11">
        <f>V12-U12</f>
        <v/>
      </c>
      <c r="W13" s="11">
        <f>W12-V12</f>
        <v/>
      </c>
      <c r="X13" s="11">
        <f>X12-W12</f>
        <v/>
      </c>
      <c r="Y13" s="11">
        <f>Y12-X12</f>
        <v/>
      </c>
      <c r="Z13" s="11">
        <f>Z12-Y12</f>
        <v/>
      </c>
      <c r="AA13" s="11">
        <f>AA12-Z12</f>
        <v/>
      </c>
      <c r="AB13" s="11">
        <f>AB12-AA12</f>
        <v/>
      </c>
      <c r="AC13" s="11">
        <f>AC12-AB12</f>
        <v/>
      </c>
      <c r="AD13" s="11">
        <f>AD12-AC12</f>
        <v/>
      </c>
      <c r="AE13" s="11">
        <f>AE12-AD12</f>
        <v/>
      </c>
      <c r="AF13" s="11">
        <f>AF12-AE12</f>
        <v/>
      </c>
      <c r="AG13" s="11">
        <f>AG12-AF12</f>
        <v/>
      </c>
      <c r="AH13" s="11">
        <f>AH12-AG12</f>
        <v/>
      </c>
      <c r="AI13" s="11">
        <f>AI12-AH12</f>
        <v/>
      </c>
      <c r="AJ13" s="11">
        <f>AJ12-AI12</f>
        <v/>
      </c>
      <c r="AK13" s="11">
        <f>AK12-AJ12</f>
        <v/>
      </c>
      <c r="AL13" s="11">
        <f>AL12-AK12</f>
        <v/>
      </c>
      <c r="AM13" s="11">
        <f>AM12-AL12</f>
        <v/>
      </c>
      <c r="AN13" s="11">
        <f>AN12-AM12</f>
        <v/>
      </c>
      <c r="AO13" s="11">
        <f>AO12-AN12</f>
        <v/>
      </c>
      <c r="AP13" s="11">
        <f>AP12-AO12</f>
        <v/>
      </c>
      <c r="AQ13" s="11">
        <f>AQ12-AP12</f>
        <v/>
      </c>
      <c r="AR13" s="11">
        <f>AR12-AQ12</f>
        <v/>
      </c>
      <c r="AS13" s="11">
        <f>AS12-AR12</f>
        <v/>
      </c>
      <c r="AT13" s="11">
        <f>AT12-AS12</f>
        <v/>
      </c>
      <c r="AU13" s="11">
        <f>AU12-AT12</f>
        <v/>
      </c>
      <c r="AV13" s="11">
        <f>AV12-AU12</f>
        <v/>
      </c>
      <c r="AW13" s="11">
        <f>AW12-AV12</f>
        <v/>
      </c>
      <c r="AX13" s="11">
        <f>AX12-AW12</f>
        <v/>
      </c>
      <c r="AY13" s="11">
        <f>AY12-AX12</f>
        <v/>
      </c>
      <c r="AZ13" s="11">
        <f>AZ12-AY12</f>
        <v/>
      </c>
      <c r="BA13" s="11">
        <f>BA12-AZ12</f>
        <v/>
      </c>
      <c r="BB13" s="11">
        <f>BB12-BA12</f>
        <v/>
      </c>
      <c r="BC13" s="11">
        <f>BC12-BB12</f>
        <v/>
      </c>
      <c r="BD13" s="11">
        <f>BD12-BC12</f>
        <v/>
      </c>
      <c r="BE13" s="11">
        <f>BE12-BD12</f>
        <v/>
      </c>
      <c r="BF13" s="11">
        <f>BF12-BE12</f>
        <v/>
      </c>
      <c r="BG13" s="11">
        <f>BG12-BF12</f>
        <v/>
      </c>
      <c r="BH13" s="11">
        <f>BH12-BG12</f>
        <v/>
      </c>
      <c r="BI13" s="11">
        <f>BI12-BH12</f>
        <v/>
      </c>
      <c r="BJ13" s="11">
        <f>BJ12-BI12</f>
        <v/>
      </c>
      <c r="BK13" s="11">
        <f>BK12-BJ12</f>
        <v/>
      </c>
      <c r="BL13" s="11">
        <f>BL12-BK12</f>
        <v/>
      </c>
      <c r="BM13" s="11">
        <f>BM12-BL12</f>
        <v/>
      </c>
      <c r="BN13" s="11">
        <f>BN12-BM12</f>
        <v/>
      </c>
    </row>
    <row r="14">
      <c r="D14" t="inlineStr">
        <is>
          <t>Net income</t>
        </is>
      </c>
      <c r="E14" t="inlineStr">
        <is>
          <t>USD m</t>
        </is>
      </c>
      <c r="G14" s="11">
        <f>SUM(J14:BN14)</f>
        <v/>
      </c>
      <c r="J14" s="11">
        <f>Operations!J79-J8-J9-Tax!J27-J13</f>
        <v/>
      </c>
      <c r="K14" s="11">
        <f>Operations!K79-K8-K9-Tax!K27-K13</f>
        <v/>
      </c>
      <c r="L14" s="11">
        <f>Operations!L79-L8-L9-Tax!L27-L13</f>
        <v/>
      </c>
      <c r="M14" s="11">
        <f>Operations!M79-M8-M9-Tax!M27-M13</f>
        <v/>
      </c>
      <c r="N14" s="11">
        <f>Operations!N79-N8-N9-Tax!N27-N13</f>
        <v/>
      </c>
      <c r="O14" s="11">
        <f>Operations!O79-O8-O9-Tax!O27-O13</f>
        <v/>
      </c>
      <c r="P14" s="11">
        <f>Operations!P79-P8-P9-Tax!P27-P13</f>
        <v/>
      </c>
      <c r="Q14" s="11">
        <f>Operations!Q79-Q8-Q9-Tax!Q27-Q13</f>
        <v/>
      </c>
      <c r="R14" s="11">
        <f>Operations!R79-R8-R9-Tax!R27-R13</f>
        <v/>
      </c>
      <c r="S14" s="11">
        <f>Operations!S79-S8-S9-Tax!S27-S13</f>
        <v/>
      </c>
      <c r="T14" s="11">
        <f>Operations!T79-T8-T9-Tax!T27-T13</f>
        <v/>
      </c>
      <c r="U14" s="11">
        <f>Operations!U79-U8-U9-Tax!U27-U13</f>
        <v/>
      </c>
      <c r="V14" s="11">
        <f>Operations!V79-V8-V9-Tax!V27-V13</f>
        <v/>
      </c>
      <c r="W14" s="11">
        <f>Operations!W79-W8-W9-Tax!W27-W13</f>
        <v/>
      </c>
      <c r="X14" s="11">
        <f>Operations!X79-X8-X9-Tax!X27-X13</f>
        <v/>
      </c>
      <c r="Y14" s="11">
        <f>Operations!Y79-Y8-Y9-Tax!Y27-Y13</f>
        <v/>
      </c>
      <c r="Z14" s="11">
        <f>Operations!Z79-Z8-Z9-Tax!Z27-Z13</f>
        <v/>
      </c>
      <c r="AA14" s="11">
        <f>Operations!AA79-AA8-AA9-Tax!AA27-AA13</f>
        <v/>
      </c>
      <c r="AB14" s="11">
        <f>Operations!AB79-AB8-AB9-Tax!AB27-AB13</f>
        <v/>
      </c>
      <c r="AC14" s="11">
        <f>Operations!AC79-AC8-AC9-Tax!AC27-AC13</f>
        <v/>
      </c>
      <c r="AD14" s="11">
        <f>Operations!AD79-AD8-AD9-Tax!AD27-AD13</f>
        <v/>
      </c>
      <c r="AE14" s="11">
        <f>Operations!AE79-AE8-AE9-Tax!AE27-AE13</f>
        <v/>
      </c>
      <c r="AF14" s="11">
        <f>Operations!AF79-AF8-AF9-Tax!AF27-AF13</f>
        <v/>
      </c>
      <c r="AG14" s="11">
        <f>Operations!AG79-AG8-AG9-Tax!AG27-AG13</f>
        <v/>
      </c>
      <c r="AH14" s="11">
        <f>Operations!AH79-AH8-AH9-Tax!AH27-AH13</f>
        <v/>
      </c>
      <c r="AI14" s="11">
        <f>Operations!AI79-AI8-AI9-Tax!AI27-AI13</f>
        <v/>
      </c>
      <c r="AJ14" s="11">
        <f>Operations!AJ79-AJ8-AJ9-Tax!AJ27-AJ13</f>
        <v/>
      </c>
      <c r="AK14" s="11">
        <f>Operations!AK79-AK8-AK9-Tax!AK27-AK13</f>
        <v/>
      </c>
      <c r="AL14" s="11">
        <f>Operations!AL79-AL8-AL9-Tax!AL27-AL13</f>
        <v/>
      </c>
      <c r="AM14" s="11">
        <f>Operations!AM79-AM8-AM9-Tax!AM27-AM13</f>
        <v/>
      </c>
      <c r="AN14" s="11">
        <f>Operations!AN79-AN8-AN9-Tax!AN27-AN13</f>
        <v/>
      </c>
      <c r="AO14" s="11">
        <f>Operations!AO79-AO8-AO9-Tax!AO27-AO13</f>
        <v/>
      </c>
      <c r="AP14" s="11">
        <f>Operations!AP79-AP8-AP9-Tax!AP27-AP13</f>
        <v/>
      </c>
      <c r="AQ14" s="11">
        <f>Operations!AQ79-AQ8-AQ9-Tax!AQ27-AQ13</f>
        <v/>
      </c>
      <c r="AR14" s="11">
        <f>Operations!AR79-AR8-AR9-Tax!AR27-AR13</f>
        <v/>
      </c>
      <c r="AS14" s="11">
        <f>Operations!AS79-AS8-AS9-Tax!AS27-AS13</f>
        <v/>
      </c>
      <c r="AT14" s="11">
        <f>Operations!AT79-AT8-AT9-Tax!AT27-AT13</f>
        <v/>
      </c>
      <c r="AU14" s="11">
        <f>Operations!AU79-AU8-AU9-Tax!AU27-AU13</f>
        <v/>
      </c>
      <c r="AV14" s="11">
        <f>Operations!AV79-AV8-AV9-Tax!AV27-AV13</f>
        <v/>
      </c>
      <c r="AW14" s="11">
        <f>Operations!AW79-AW8-AW9-Tax!AW27-AW13</f>
        <v/>
      </c>
      <c r="AX14" s="11">
        <f>Operations!AX79-AX8-AX9-Tax!AX27-AX13</f>
        <v/>
      </c>
      <c r="AY14" s="11">
        <f>Operations!AY79-AY8-AY9-Tax!AY27-AY13</f>
        <v/>
      </c>
      <c r="AZ14" s="11">
        <f>Operations!AZ79-AZ8-AZ9-Tax!AZ27-AZ13</f>
        <v/>
      </c>
      <c r="BA14" s="11">
        <f>Operations!BA79-BA8-BA9-Tax!BA27-BA13</f>
        <v/>
      </c>
      <c r="BB14" s="11">
        <f>Operations!BB79-BB8-BB9-Tax!BB27-BB13</f>
        <v/>
      </c>
      <c r="BC14" s="11">
        <f>Operations!BC79-BC8-BC9-Tax!BC27-BC13</f>
        <v/>
      </c>
      <c r="BD14" s="11">
        <f>Operations!BD79-BD8-BD9-Tax!BD27-BD13</f>
        <v/>
      </c>
      <c r="BE14" s="11">
        <f>Operations!BE79-BE8-BE9-Tax!BE27-BE13</f>
        <v/>
      </c>
      <c r="BF14" s="11">
        <f>Operations!BF79-BF8-BF9-Tax!BF27-BF13</f>
        <v/>
      </c>
      <c r="BG14" s="11">
        <f>Operations!BG79-BG8-BG9-Tax!BG27-BG13</f>
        <v/>
      </c>
      <c r="BH14" s="11">
        <f>Operations!BH79-BH8-BH9-Tax!BH27-BH13</f>
        <v/>
      </c>
      <c r="BI14" s="11">
        <f>Operations!BI79-BI8-BI9-Tax!BI27-BI13</f>
        <v/>
      </c>
      <c r="BJ14" s="11">
        <f>Operations!BJ79-BJ8-BJ9-Tax!BJ27-BJ13</f>
        <v/>
      </c>
      <c r="BK14" s="11">
        <f>Operations!BK79-BK8-BK9-Tax!BK27-BK13</f>
        <v/>
      </c>
      <c r="BL14" s="11">
        <f>Operations!BL79-BL8-BL9-Tax!BL27-BL13</f>
        <v/>
      </c>
      <c r="BM14" s="11">
        <f>Operations!BM79-BM8-BM9-Tax!BM27-BM13</f>
        <v/>
      </c>
      <c r="BN14" s="11">
        <f>Operations!BN79-BN8-BN9-Tax!BN27-BN13</f>
        <v/>
      </c>
    </row>
    <row r="15">
      <c r="B15" s="2" t="inlineStr">
        <is>
          <t>Balance sheet (USD m, period end)</t>
        </is>
      </c>
    </row>
    <row r="16">
      <c r="D16" t="inlineStr">
        <is>
          <t>Plant (construction in progress before COD)</t>
        </is>
      </c>
      <c r="E16" t="inlineStr">
        <is>
          <t>USD m</t>
        </is>
      </c>
      <c r="J16" s="11">
        <f>IF(Time!J17&gt;=Time!$F$11,J11,SUMIFS(Funding!$J$49:$BJ$49,Construction!$J$12:$BJ$12,"&lt;="&amp;Time!J17)-SUMIFS(Funding!$J$44:$BJ$44,Construction!$J$12:$BJ$12,"&lt;="&amp;Time!J17)-SUMIFS(Construction!$J$28:$BJ$28,Construction!$J$12:$BJ$12,"&lt;="&amp;Time!J17)+SUMIFS(Funding!$J$71:$BJ$71,Construction!$J$12:$BJ$12,"&lt;="&amp;Time!J17)-SUMIFS(Funding!$J$52:$BJ$52,Construction!$J$12:$BJ$12,"&lt;="&amp;Time!J17))</f>
        <v/>
      </c>
      <c r="K16" s="11">
        <f>IF(Time!K17&gt;=Time!$F$11,K11,SUMIFS(Funding!$J$49:$BJ$49,Construction!$J$12:$BJ$12,"&lt;="&amp;Time!K17)-SUMIFS(Funding!$J$44:$BJ$44,Construction!$J$12:$BJ$12,"&lt;="&amp;Time!K17)-SUMIFS(Construction!$J$28:$BJ$28,Construction!$J$12:$BJ$12,"&lt;="&amp;Time!K17)+SUMIFS(Funding!$J$71:$BJ$71,Construction!$J$12:$BJ$12,"&lt;="&amp;Time!K17)-SUMIFS(Funding!$J$52:$BJ$52,Construction!$J$12:$BJ$12,"&lt;="&amp;Time!K17))</f>
        <v/>
      </c>
      <c r="L16" s="11">
        <f>IF(Time!L17&gt;=Time!$F$11,L11,SUMIFS(Funding!$J$49:$BJ$49,Construction!$J$12:$BJ$12,"&lt;="&amp;Time!L17)-SUMIFS(Funding!$J$44:$BJ$44,Construction!$J$12:$BJ$12,"&lt;="&amp;Time!L17)-SUMIFS(Construction!$J$28:$BJ$28,Construction!$J$12:$BJ$12,"&lt;="&amp;Time!L17)+SUMIFS(Funding!$J$71:$BJ$71,Construction!$J$12:$BJ$12,"&lt;="&amp;Time!L17)-SUMIFS(Funding!$J$52:$BJ$52,Construction!$J$12:$BJ$12,"&lt;="&amp;Time!L17))</f>
        <v/>
      </c>
      <c r="M16" s="11">
        <f>IF(Time!M17&gt;=Time!$F$11,M11,SUMIFS(Funding!$J$49:$BJ$49,Construction!$J$12:$BJ$12,"&lt;="&amp;Time!M17)-SUMIFS(Funding!$J$44:$BJ$44,Construction!$J$12:$BJ$12,"&lt;="&amp;Time!M17)-SUMIFS(Construction!$J$28:$BJ$28,Construction!$J$12:$BJ$12,"&lt;="&amp;Time!M17)+SUMIFS(Funding!$J$71:$BJ$71,Construction!$J$12:$BJ$12,"&lt;="&amp;Time!M17)-SUMIFS(Funding!$J$52:$BJ$52,Construction!$J$12:$BJ$12,"&lt;="&amp;Time!M17))</f>
        <v/>
      </c>
      <c r="N16" s="11">
        <f>IF(Time!N17&gt;=Time!$F$11,N11,SUMIFS(Funding!$J$49:$BJ$49,Construction!$J$12:$BJ$12,"&lt;="&amp;Time!N17)-SUMIFS(Funding!$J$44:$BJ$44,Construction!$J$12:$BJ$12,"&lt;="&amp;Time!N17)-SUMIFS(Construction!$J$28:$BJ$28,Construction!$J$12:$BJ$12,"&lt;="&amp;Time!N17)+SUMIFS(Funding!$J$71:$BJ$71,Construction!$J$12:$BJ$12,"&lt;="&amp;Time!N17)-SUMIFS(Funding!$J$52:$BJ$52,Construction!$J$12:$BJ$12,"&lt;="&amp;Time!N17))</f>
        <v/>
      </c>
      <c r="O16" s="11">
        <f>IF(Time!O17&gt;=Time!$F$11,O11,SUMIFS(Funding!$J$49:$BJ$49,Construction!$J$12:$BJ$12,"&lt;="&amp;Time!O17)-SUMIFS(Funding!$J$44:$BJ$44,Construction!$J$12:$BJ$12,"&lt;="&amp;Time!O17)-SUMIFS(Construction!$J$28:$BJ$28,Construction!$J$12:$BJ$12,"&lt;="&amp;Time!O17)+SUMIFS(Funding!$J$71:$BJ$71,Construction!$J$12:$BJ$12,"&lt;="&amp;Time!O17)-SUMIFS(Funding!$J$52:$BJ$52,Construction!$J$12:$BJ$12,"&lt;="&amp;Time!O17))</f>
        <v/>
      </c>
      <c r="P16" s="11">
        <f>IF(Time!P17&gt;=Time!$F$11,P11,SUMIFS(Funding!$J$49:$BJ$49,Construction!$J$12:$BJ$12,"&lt;="&amp;Time!P17)-SUMIFS(Funding!$J$44:$BJ$44,Construction!$J$12:$BJ$12,"&lt;="&amp;Time!P17)-SUMIFS(Construction!$J$28:$BJ$28,Construction!$J$12:$BJ$12,"&lt;="&amp;Time!P17)+SUMIFS(Funding!$J$71:$BJ$71,Construction!$J$12:$BJ$12,"&lt;="&amp;Time!P17)-SUMIFS(Funding!$J$52:$BJ$52,Construction!$J$12:$BJ$12,"&lt;="&amp;Time!P17))</f>
        <v/>
      </c>
      <c r="Q16" s="11">
        <f>IF(Time!Q17&gt;=Time!$F$11,Q11,SUMIFS(Funding!$J$49:$BJ$49,Construction!$J$12:$BJ$12,"&lt;="&amp;Time!Q17)-SUMIFS(Funding!$J$44:$BJ$44,Construction!$J$12:$BJ$12,"&lt;="&amp;Time!Q17)-SUMIFS(Construction!$J$28:$BJ$28,Construction!$J$12:$BJ$12,"&lt;="&amp;Time!Q17)+SUMIFS(Funding!$J$71:$BJ$71,Construction!$J$12:$BJ$12,"&lt;="&amp;Time!Q17)-SUMIFS(Funding!$J$52:$BJ$52,Construction!$J$12:$BJ$12,"&lt;="&amp;Time!Q17))</f>
        <v/>
      </c>
      <c r="R16" s="11">
        <f>IF(Time!R17&gt;=Time!$F$11,R11,SUMIFS(Funding!$J$49:$BJ$49,Construction!$J$12:$BJ$12,"&lt;="&amp;Time!R17)-SUMIFS(Funding!$J$44:$BJ$44,Construction!$J$12:$BJ$12,"&lt;="&amp;Time!R17)-SUMIFS(Construction!$J$28:$BJ$28,Construction!$J$12:$BJ$12,"&lt;="&amp;Time!R17)+SUMIFS(Funding!$J$71:$BJ$71,Construction!$J$12:$BJ$12,"&lt;="&amp;Time!R17)-SUMIFS(Funding!$J$52:$BJ$52,Construction!$J$12:$BJ$12,"&lt;="&amp;Time!R17))</f>
        <v/>
      </c>
      <c r="S16" s="11">
        <f>IF(Time!S17&gt;=Time!$F$11,S11,SUMIFS(Funding!$J$49:$BJ$49,Construction!$J$12:$BJ$12,"&lt;="&amp;Time!S17)-SUMIFS(Funding!$J$44:$BJ$44,Construction!$J$12:$BJ$12,"&lt;="&amp;Time!S17)-SUMIFS(Construction!$J$28:$BJ$28,Construction!$J$12:$BJ$12,"&lt;="&amp;Time!S17)+SUMIFS(Funding!$J$71:$BJ$71,Construction!$J$12:$BJ$12,"&lt;="&amp;Time!S17)-SUMIFS(Funding!$J$52:$BJ$52,Construction!$J$12:$BJ$12,"&lt;="&amp;Time!S17))</f>
        <v/>
      </c>
      <c r="T16" s="11">
        <f>IF(Time!T17&gt;=Time!$F$11,T11,SUMIFS(Funding!$J$49:$BJ$49,Construction!$J$12:$BJ$12,"&lt;="&amp;Time!T17)-SUMIFS(Funding!$J$44:$BJ$44,Construction!$J$12:$BJ$12,"&lt;="&amp;Time!T17)-SUMIFS(Construction!$J$28:$BJ$28,Construction!$J$12:$BJ$12,"&lt;="&amp;Time!T17)+SUMIFS(Funding!$J$71:$BJ$71,Construction!$J$12:$BJ$12,"&lt;="&amp;Time!T17)-SUMIFS(Funding!$J$52:$BJ$52,Construction!$J$12:$BJ$12,"&lt;="&amp;Time!T17))</f>
        <v/>
      </c>
      <c r="U16" s="11">
        <f>IF(Time!U17&gt;=Time!$F$11,U11,SUMIFS(Funding!$J$49:$BJ$49,Construction!$J$12:$BJ$12,"&lt;="&amp;Time!U17)-SUMIFS(Funding!$J$44:$BJ$44,Construction!$J$12:$BJ$12,"&lt;="&amp;Time!U17)-SUMIFS(Construction!$J$28:$BJ$28,Construction!$J$12:$BJ$12,"&lt;="&amp;Time!U17)+SUMIFS(Funding!$J$71:$BJ$71,Construction!$J$12:$BJ$12,"&lt;="&amp;Time!U17)-SUMIFS(Funding!$J$52:$BJ$52,Construction!$J$12:$BJ$12,"&lt;="&amp;Time!U17))</f>
        <v/>
      </c>
      <c r="V16" s="11">
        <f>IF(Time!V17&gt;=Time!$F$11,V11,SUMIFS(Funding!$J$49:$BJ$49,Construction!$J$12:$BJ$12,"&lt;="&amp;Time!V17)-SUMIFS(Funding!$J$44:$BJ$44,Construction!$J$12:$BJ$12,"&lt;="&amp;Time!V17)-SUMIFS(Construction!$J$28:$BJ$28,Construction!$J$12:$BJ$12,"&lt;="&amp;Time!V17)+SUMIFS(Funding!$J$71:$BJ$71,Construction!$J$12:$BJ$12,"&lt;="&amp;Time!V17)-SUMIFS(Funding!$J$52:$BJ$52,Construction!$J$12:$BJ$12,"&lt;="&amp;Time!V17))</f>
        <v/>
      </c>
      <c r="W16" s="11">
        <f>IF(Time!W17&gt;=Time!$F$11,W11,SUMIFS(Funding!$J$49:$BJ$49,Construction!$J$12:$BJ$12,"&lt;="&amp;Time!W17)-SUMIFS(Funding!$J$44:$BJ$44,Construction!$J$12:$BJ$12,"&lt;="&amp;Time!W17)-SUMIFS(Construction!$J$28:$BJ$28,Construction!$J$12:$BJ$12,"&lt;="&amp;Time!W17)+SUMIFS(Funding!$J$71:$BJ$71,Construction!$J$12:$BJ$12,"&lt;="&amp;Time!W17)-SUMIFS(Funding!$J$52:$BJ$52,Construction!$J$12:$BJ$12,"&lt;="&amp;Time!W17))</f>
        <v/>
      </c>
      <c r="X16" s="11">
        <f>IF(Time!X17&gt;=Time!$F$11,X11,SUMIFS(Funding!$J$49:$BJ$49,Construction!$J$12:$BJ$12,"&lt;="&amp;Time!X17)-SUMIFS(Funding!$J$44:$BJ$44,Construction!$J$12:$BJ$12,"&lt;="&amp;Time!X17)-SUMIFS(Construction!$J$28:$BJ$28,Construction!$J$12:$BJ$12,"&lt;="&amp;Time!X17)+SUMIFS(Funding!$J$71:$BJ$71,Construction!$J$12:$BJ$12,"&lt;="&amp;Time!X17)-SUMIFS(Funding!$J$52:$BJ$52,Construction!$J$12:$BJ$12,"&lt;="&amp;Time!X17))</f>
        <v/>
      </c>
      <c r="Y16" s="11">
        <f>IF(Time!Y17&gt;=Time!$F$11,Y11,SUMIFS(Funding!$J$49:$BJ$49,Construction!$J$12:$BJ$12,"&lt;="&amp;Time!Y17)-SUMIFS(Funding!$J$44:$BJ$44,Construction!$J$12:$BJ$12,"&lt;="&amp;Time!Y17)-SUMIFS(Construction!$J$28:$BJ$28,Construction!$J$12:$BJ$12,"&lt;="&amp;Time!Y17)+SUMIFS(Funding!$J$71:$BJ$71,Construction!$J$12:$BJ$12,"&lt;="&amp;Time!Y17)-SUMIFS(Funding!$J$52:$BJ$52,Construction!$J$12:$BJ$12,"&lt;="&amp;Time!Y17))</f>
        <v/>
      </c>
      <c r="Z16" s="11">
        <f>IF(Time!Z17&gt;=Time!$F$11,Z11,SUMIFS(Funding!$J$49:$BJ$49,Construction!$J$12:$BJ$12,"&lt;="&amp;Time!Z17)-SUMIFS(Funding!$J$44:$BJ$44,Construction!$J$12:$BJ$12,"&lt;="&amp;Time!Z17)-SUMIFS(Construction!$J$28:$BJ$28,Construction!$J$12:$BJ$12,"&lt;="&amp;Time!Z17)+SUMIFS(Funding!$J$71:$BJ$71,Construction!$J$12:$BJ$12,"&lt;="&amp;Time!Z17)-SUMIFS(Funding!$J$52:$BJ$52,Construction!$J$12:$BJ$12,"&lt;="&amp;Time!Z17))</f>
        <v/>
      </c>
      <c r="AA16" s="11">
        <f>IF(Time!AA17&gt;=Time!$F$11,AA11,SUMIFS(Funding!$J$49:$BJ$49,Construction!$J$12:$BJ$12,"&lt;="&amp;Time!AA17)-SUMIFS(Funding!$J$44:$BJ$44,Construction!$J$12:$BJ$12,"&lt;="&amp;Time!AA17)-SUMIFS(Construction!$J$28:$BJ$28,Construction!$J$12:$BJ$12,"&lt;="&amp;Time!AA17)+SUMIFS(Funding!$J$71:$BJ$71,Construction!$J$12:$BJ$12,"&lt;="&amp;Time!AA17)-SUMIFS(Funding!$J$52:$BJ$52,Construction!$J$12:$BJ$12,"&lt;="&amp;Time!AA17))</f>
        <v/>
      </c>
      <c r="AB16" s="11">
        <f>IF(Time!AB17&gt;=Time!$F$11,AB11,SUMIFS(Funding!$J$49:$BJ$49,Construction!$J$12:$BJ$12,"&lt;="&amp;Time!AB17)-SUMIFS(Funding!$J$44:$BJ$44,Construction!$J$12:$BJ$12,"&lt;="&amp;Time!AB17)-SUMIFS(Construction!$J$28:$BJ$28,Construction!$J$12:$BJ$12,"&lt;="&amp;Time!AB17)+SUMIFS(Funding!$J$71:$BJ$71,Construction!$J$12:$BJ$12,"&lt;="&amp;Time!AB17)-SUMIFS(Funding!$J$52:$BJ$52,Construction!$J$12:$BJ$12,"&lt;="&amp;Time!AB17))</f>
        <v/>
      </c>
      <c r="AC16" s="11">
        <f>IF(Time!AC17&gt;=Time!$F$11,AC11,SUMIFS(Funding!$J$49:$BJ$49,Construction!$J$12:$BJ$12,"&lt;="&amp;Time!AC17)-SUMIFS(Funding!$J$44:$BJ$44,Construction!$J$12:$BJ$12,"&lt;="&amp;Time!AC17)-SUMIFS(Construction!$J$28:$BJ$28,Construction!$J$12:$BJ$12,"&lt;="&amp;Time!AC17)+SUMIFS(Funding!$J$71:$BJ$71,Construction!$J$12:$BJ$12,"&lt;="&amp;Time!AC17)-SUMIFS(Funding!$J$52:$BJ$52,Construction!$J$12:$BJ$12,"&lt;="&amp;Time!AC17))</f>
        <v/>
      </c>
      <c r="AD16" s="11">
        <f>IF(Time!AD17&gt;=Time!$F$11,AD11,SUMIFS(Funding!$J$49:$BJ$49,Construction!$J$12:$BJ$12,"&lt;="&amp;Time!AD17)-SUMIFS(Funding!$J$44:$BJ$44,Construction!$J$12:$BJ$12,"&lt;="&amp;Time!AD17)-SUMIFS(Construction!$J$28:$BJ$28,Construction!$J$12:$BJ$12,"&lt;="&amp;Time!AD17)+SUMIFS(Funding!$J$71:$BJ$71,Construction!$J$12:$BJ$12,"&lt;="&amp;Time!AD17)-SUMIFS(Funding!$J$52:$BJ$52,Construction!$J$12:$BJ$12,"&lt;="&amp;Time!AD17))</f>
        <v/>
      </c>
      <c r="AE16" s="11">
        <f>IF(Time!AE17&gt;=Time!$F$11,AE11,SUMIFS(Funding!$J$49:$BJ$49,Construction!$J$12:$BJ$12,"&lt;="&amp;Time!AE17)-SUMIFS(Funding!$J$44:$BJ$44,Construction!$J$12:$BJ$12,"&lt;="&amp;Time!AE17)-SUMIFS(Construction!$J$28:$BJ$28,Construction!$J$12:$BJ$12,"&lt;="&amp;Time!AE17)+SUMIFS(Funding!$J$71:$BJ$71,Construction!$J$12:$BJ$12,"&lt;="&amp;Time!AE17)-SUMIFS(Funding!$J$52:$BJ$52,Construction!$J$12:$BJ$12,"&lt;="&amp;Time!AE17))</f>
        <v/>
      </c>
      <c r="AF16" s="11">
        <f>IF(Time!AF17&gt;=Time!$F$11,AF11,SUMIFS(Funding!$J$49:$BJ$49,Construction!$J$12:$BJ$12,"&lt;="&amp;Time!AF17)-SUMIFS(Funding!$J$44:$BJ$44,Construction!$J$12:$BJ$12,"&lt;="&amp;Time!AF17)-SUMIFS(Construction!$J$28:$BJ$28,Construction!$J$12:$BJ$12,"&lt;="&amp;Time!AF17)+SUMIFS(Funding!$J$71:$BJ$71,Construction!$J$12:$BJ$12,"&lt;="&amp;Time!AF17)-SUMIFS(Funding!$J$52:$BJ$52,Construction!$J$12:$BJ$12,"&lt;="&amp;Time!AF17))</f>
        <v/>
      </c>
      <c r="AG16" s="11">
        <f>IF(Time!AG17&gt;=Time!$F$11,AG11,SUMIFS(Funding!$J$49:$BJ$49,Construction!$J$12:$BJ$12,"&lt;="&amp;Time!AG17)-SUMIFS(Funding!$J$44:$BJ$44,Construction!$J$12:$BJ$12,"&lt;="&amp;Time!AG17)-SUMIFS(Construction!$J$28:$BJ$28,Construction!$J$12:$BJ$12,"&lt;="&amp;Time!AG17)+SUMIFS(Funding!$J$71:$BJ$71,Construction!$J$12:$BJ$12,"&lt;="&amp;Time!AG17)-SUMIFS(Funding!$J$52:$BJ$52,Construction!$J$12:$BJ$12,"&lt;="&amp;Time!AG17))</f>
        <v/>
      </c>
      <c r="AH16" s="11">
        <f>IF(Time!AH17&gt;=Time!$F$11,AH11,SUMIFS(Funding!$J$49:$BJ$49,Construction!$J$12:$BJ$12,"&lt;="&amp;Time!AH17)-SUMIFS(Funding!$J$44:$BJ$44,Construction!$J$12:$BJ$12,"&lt;="&amp;Time!AH17)-SUMIFS(Construction!$J$28:$BJ$28,Construction!$J$12:$BJ$12,"&lt;="&amp;Time!AH17)+SUMIFS(Funding!$J$71:$BJ$71,Construction!$J$12:$BJ$12,"&lt;="&amp;Time!AH17)-SUMIFS(Funding!$J$52:$BJ$52,Construction!$J$12:$BJ$12,"&lt;="&amp;Time!AH17))</f>
        <v/>
      </c>
      <c r="AI16" s="11">
        <f>IF(Time!AI17&gt;=Time!$F$11,AI11,SUMIFS(Funding!$J$49:$BJ$49,Construction!$J$12:$BJ$12,"&lt;="&amp;Time!AI17)-SUMIFS(Funding!$J$44:$BJ$44,Construction!$J$12:$BJ$12,"&lt;="&amp;Time!AI17)-SUMIFS(Construction!$J$28:$BJ$28,Construction!$J$12:$BJ$12,"&lt;="&amp;Time!AI17)+SUMIFS(Funding!$J$71:$BJ$71,Construction!$J$12:$BJ$12,"&lt;="&amp;Time!AI17)-SUMIFS(Funding!$J$52:$BJ$52,Construction!$J$12:$BJ$12,"&lt;="&amp;Time!AI17))</f>
        <v/>
      </c>
      <c r="AJ16" s="11">
        <f>IF(Time!AJ17&gt;=Time!$F$11,AJ11,SUMIFS(Funding!$J$49:$BJ$49,Construction!$J$12:$BJ$12,"&lt;="&amp;Time!AJ17)-SUMIFS(Funding!$J$44:$BJ$44,Construction!$J$12:$BJ$12,"&lt;="&amp;Time!AJ17)-SUMIFS(Construction!$J$28:$BJ$28,Construction!$J$12:$BJ$12,"&lt;="&amp;Time!AJ17)+SUMIFS(Funding!$J$71:$BJ$71,Construction!$J$12:$BJ$12,"&lt;="&amp;Time!AJ17)-SUMIFS(Funding!$J$52:$BJ$52,Construction!$J$12:$BJ$12,"&lt;="&amp;Time!AJ17))</f>
        <v/>
      </c>
      <c r="AK16" s="11">
        <f>IF(Time!AK17&gt;=Time!$F$11,AK11,SUMIFS(Funding!$J$49:$BJ$49,Construction!$J$12:$BJ$12,"&lt;="&amp;Time!AK17)-SUMIFS(Funding!$J$44:$BJ$44,Construction!$J$12:$BJ$12,"&lt;="&amp;Time!AK17)-SUMIFS(Construction!$J$28:$BJ$28,Construction!$J$12:$BJ$12,"&lt;="&amp;Time!AK17)+SUMIFS(Funding!$J$71:$BJ$71,Construction!$J$12:$BJ$12,"&lt;="&amp;Time!AK17)-SUMIFS(Funding!$J$52:$BJ$52,Construction!$J$12:$BJ$12,"&lt;="&amp;Time!AK17))</f>
        <v/>
      </c>
      <c r="AL16" s="11">
        <f>IF(Time!AL17&gt;=Time!$F$11,AL11,SUMIFS(Funding!$J$49:$BJ$49,Construction!$J$12:$BJ$12,"&lt;="&amp;Time!AL17)-SUMIFS(Funding!$J$44:$BJ$44,Construction!$J$12:$BJ$12,"&lt;="&amp;Time!AL17)-SUMIFS(Construction!$J$28:$BJ$28,Construction!$J$12:$BJ$12,"&lt;="&amp;Time!AL17)+SUMIFS(Funding!$J$71:$BJ$71,Construction!$J$12:$BJ$12,"&lt;="&amp;Time!AL17)-SUMIFS(Funding!$J$52:$BJ$52,Construction!$J$12:$BJ$12,"&lt;="&amp;Time!AL17))</f>
        <v/>
      </c>
      <c r="AM16" s="11">
        <f>IF(Time!AM17&gt;=Time!$F$11,AM11,SUMIFS(Funding!$J$49:$BJ$49,Construction!$J$12:$BJ$12,"&lt;="&amp;Time!AM17)-SUMIFS(Funding!$J$44:$BJ$44,Construction!$J$12:$BJ$12,"&lt;="&amp;Time!AM17)-SUMIFS(Construction!$J$28:$BJ$28,Construction!$J$12:$BJ$12,"&lt;="&amp;Time!AM17)+SUMIFS(Funding!$J$71:$BJ$71,Construction!$J$12:$BJ$12,"&lt;="&amp;Time!AM17)-SUMIFS(Funding!$J$52:$BJ$52,Construction!$J$12:$BJ$12,"&lt;="&amp;Time!AM17))</f>
        <v/>
      </c>
      <c r="AN16" s="11">
        <f>IF(Time!AN17&gt;=Time!$F$11,AN11,SUMIFS(Funding!$J$49:$BJ$49,Construction!$J$12:$BJ$12,"&lt;="&amp;Time!AN17)-SUMIFS(Funding!$J$44:$BJ$44,Construction!$J$12:$BJ$12,"&lt;="&amp;Time!AN17)-SUMIFS(Construction!$J$28:$BJ$28,Construction!$J$12:$BJ$12,"&lt;="&amp;Time!AN17)+SUMIFS(Funding!$J$71:$BJ$71,Construction!$J$12:$BJ$12,"&lt;="&amp;Time!AN17)-SUMIFS(Funding!$J$52:$BJ$52,Construction!$J$12:$BJ$12,"&lt;="&amp;Time!AN17))</f>
        <v/>
      </c>
      <c r="AO16" s="11">
        <f>IF(Time!AO17&gt;=Time!$F$11,AO11,SUMIFS(Funding!$J$49:$BJ$49,Construction!$J$12:$BJ$12,"&lt;="&amp;Time!AO17)-SUMIFS(Funding!$J$44:$BJ$44,Construction!$J$12:$BJ$12,"&lt;="&amp;Time!AO17)-SUMIFS(Construction!$J$28:$BJ$28,Construction!$J$12:$BJ$12,"&lt;="&amp;Time!AO17)+SUMIFS(Funding!$J$71:$BJ$71,Construction!$J$12:$BJ$12,"&lt;="&amp;Time!AO17)-SUMIFS(Funding!$J$52:$BJ$52,Construction!$J$12:$BJ$12,"&lt;="&amp;Time!AO17))</f>
        <v/>
      </c>
      <c r="AP16" s="11">
        <f>IF(Time!AP17&gt;=Time!$F$11,AP11,SUMIFS(Funding!$J$49:$BJ$49,Construction!$J$12:$BJ$12,"&lt;="&amp;Time!AP17)-SUMIFS(Funding!$J$44:$BJ$44,Construction!$J$12:$BJ$12,"&lt;="&amp;Time!AP17)-SUMIFS(Construction!$J$28:$BJ$28,Construction!$J$12:$BJ$12,"&lt;="&amp;Time!AP17)+SUMIFS(Funding!$J$71:$BJ$71,Construction!$J$12:$BJ$12,"&lt;="&amp;Time!AP17)-SUMIFS(Funding!$J$52:$BJ$52,Construction!$J$12:$BJ$12,"&lt;="&amp;Time!AP17))</f>
        <v/>
      </c>
      <c r="AQ16" s="11">
        <f>IF(Time!AQ17&gt;=Time!$F$11,AQ11,SUMIFS(Funding!$J$49:$BJ$49,Construction!$J$12:$BJ$12,"&lt;="&amp;Time!AQ17)-SUMIFS(Funding!$J$44:$BJ$44,Construction!$J$12:$BJ$12,"&lt;="&amp;Time!AQ17)-SUMIFS(Construction!$J$28:$BJ$28,Construction!$J$12:$BJ$12,"&lt;="&amp;Time!AQ17)+SUMIFS(Funding!$J$71:$BJ$71,Construction!$J$12:$BJ$12,"&lt;="&amp;Time!AQ17)-SUMIFS(Funding!$J$52:$BJ$52,Construction!$J$12:$BJ$12,"&lt;="&amp;Time!AQ17))</f>
        <v/>
      </c>
      <c r="AR16" s="11">
        <f>IF(Time!AR17&gt;=Time!$F$11,AR11,SUMIFS(Funding!$J$49:$BJ$49,Construction!$J$12:$BJ$12,"&lt;="&amp;Time!AR17)-SUMIFS(Funding!$J$44:$BJ$44,Construction!$J$12:$BJ$12,"&lt;="&amp;Time!AR17)-SUMIFS(Construction!$J$28:$BJ$28,Construction!$J$12:$BJ$12,"&lt;="&amp;Time!AR17)+SUMIFS(Funding!$J$71:$BJ$71,Construction!$J$12:$BJ$12,"&lt;="&amp;Time!AR17)-SUMIFS(Funding!$J$52:$BJ$52,Construction!$J$12:$BJ$12,"&lt;="&amp;Time!AR17))</f>
        <v/>
      </c>
      <c r="AS16" s="11">
        <f>IF(Time!AS17&gt;=Time!$F$11,AS11,SUMIFS(Funding!$J$49:$BJ$49,Construction!$J$12:$BJ$12,"&lt;="&amp;Time!AS17)-SUMIFS(Funding!$J$44:$BJ$44,Construction!$J$12:$BJ$12,"&lt;="&amp;Time!AS17)-SUMIFS(Construction!$J$28:$BJ$28,Construction!$J$12:$BJ$12,"&lt;="&amp;Time!AS17)+SUMIFS(Funding!$J$71:$BJ$71,Construction!$J$12:$BJ$12,"&lt;="&amp;Time!AS17)-SUMIFS(Funding!$J$52:$BJ$52,Construction!$J$12:$BJ$12,"&lt;="&amp;Time!AS17))</f>
        <v/>
      </c>
      <c r="AT16" s="11">
        <f>IF(Time!AT17&gt;=Time!$F$11,AT11,SUMIFS(Funding!$J$49:$BJ$49,Construction!$J$12:$BJ$12,"&lt;="&amp;Time!AT17)-SUMIFS(Funding!$J$44:$BJ$44,Construction!$J$12:$BJ$12,"&lt;="&amp;Time!AT17)-SUMIFS(Construction!$J$28:$BJ$28,Construction!$J$12:$BJ$12,"&lt;="&amp;Time!AT17)+SUMIFS(Funding!$J$71:$BJ$71,Construction!$J$12:$BJ$12,"&lt;="&amp;Time!AT17)-SUMIFS(Funding!$J$52:$BJ$52,Construction!$J$12:$BJ$12,"&lt;="&amp;Time!AT17))</f>
        <v/>
      </c>
      <c r="AU16" s="11">
        <f>IF(Time!AU17&gt;=Time!$F$11,AU11,SUMIFS(Funding!$J$49:$BJ$49,Construction!$J$12:$BJ$12,"&lt;="&amp;Time!AU17)-SUMIFS(Funding!$J$44:$BJ$44,Construction!$J$12:$BJ$12,"&lt;="&amp;Time!AU17)-SUMIFS(Construction!$J$28:$BJ$28,Construction!$J$12:$BJ$12,"&lt;="&amp;Time!AU17)+SUMIFS(Funding!$J$71:$BJ$71,Construction!$J$12:$BJ$12,"&lt;="&amp;Time!AU17)-SUMIFS(Funding!$J$52:$BJ$52,Construction!$J$12:$BJ$12,"&lt;="&amp;Time!AU17))</f>
        <v/>
      </c>
      <c r="AV16" s="11">
        <f>IF(Time!AV17&gt;=Time!$F$11,AV11,SUMIFS(Funding!$J$49:$BJ$49,Construction!$J$12:$BJ$12,"&lt;="&amp;Time!AV17)-SUMIFS(Funding!$J$44:$BJ$44,Construction!$J$12:$BJ$12,"&lt;="&amp;Time!AV17)-SUMIFS(Construction!$J$28:$BJ$28,Construction!$J$12:$BJ$12,"&lt;="&amp;Time!AV17)+SUMIFS(Funding!$J$71:$BJ$71,Construction!$J$12:$BJ$12,"&lt;="&amp;Time!AV17)-SUMIFS(Funding!$J$52:$BJ$52,Construction!$J$12:$BJ$12,"&lt;="&amp;Time!AV17))</f>
        <v/>
      </c>
      <c r="AW16" s="11">
        <f>IF(Time!AW17&gt;=Time!$F$11,AW11,SUMIFS(Funding!$J$49:$BJ$49,Construction!$J$12:$BJ$12,"&lt;="&amp;Time!AW17)-SUMIFS(Funding!$J$44:$BJ$44,Construction!$J$12:$BJ$12,"&lt;="&amp;Time!AW17)-SUMIFS(Construction!$J$28:$BJ$28,Construction!$J$12:$BJ$12,"&lt;="&amp;Time!AW17)+SUMIFS(Funding!$J$71:$BJ$71,Construction!$J$12:$BJ$12,"&lt;="&amp;Time!AW17)-SUMIFS(Funding!$J$52:$BJ$52,Construction!$J$12:$BJ$12,"&lt;="&amp;Time!AW17))</f>
        <v/>
      </c>
      <c r="AX16" s="11">
        <f>IF(Time!AX17&gt;=Time!$F$11,AX11,SUMIFS(Funding!$J$49:$BJ$49,Construction!$J$12:$BJ$12,"&lt;="&amp;Time!AX17)-SUMIFS(Funding!$J$44:$BJ$44,Construction!$J$12:$BJ$12,"&lt;="&amp;Time!AX17)-SUMIFS(Construction!$J$28:$BJ$28,Construction!$J$12:$BJ$12,"&lt;="&amp;Time!AX17)+SUMIFS(Funding!$J$71:$BJ$71,Construction!$J$12:$BJ$12,"&lt;="&amp;Time!AX17)-SUMIFS(Funding!$J$52:$BJ$52,Construction!$J$12:$BJ$12,"&lt;="&amp;Time!AX17))</f>
        <v/>
      </c>
      <c r="AY16" s="11">
        <f>IF(Time!AY17&gt;=Time!$F$11,AY11,SUMIFS(Funding!$J$49:$BJ$49,Construction!$J$12:$BJ$12,"&lt;="&amp;Time!AY17)-SUMIFS(Funding!$J$44:$BJ$44,Construction!$J$12:$BJ$12,"&lt;="&amp;Time!AY17)-SUMIFS(Construction!$J$28:$BJ$28,Construction!$J$12:$BJ$12,"&lt;="&amp;Time!AY17)+SUMIFS(Funding!$J$71:$BJ$71,Construction!$J$12:$BJ$12,"&lt;="&amp;Time!AY17)-SUMIFS(Funding!$J$52:$BJ$52,Construction!$J$12:$BJ$12,"&lt;="&amp;Time!AY17))</f>
        <v/>
      </c>
      <c r="AZ16" s="11">
        <f>IF(Time!AZ17&gt;=Time!$F$11,AZ11,SUMIFS(Funding!$J$49:$BJ$49,Construction!$J$12:$BJ$12,"&lt;="&amp;Time!AZ17)-SUMIFS(Funding!$J$44:$BJ$44,Construction!$J$12:$BJ$12,"&lt;="&amp;Time!AZ17)-SUMIFS(Construction!$J$28:$BJ$28,Construction!$J$12:$BJ$12,"&lt;="&amp;Time!AZ17)+SUMIFS(Funding!$J$71:$BJ$71,Construction!$J$12:$BJ$12,"&lt;="&amp;Time!AZ17)-SUMIFS(Funding!$J$52:$BJ$52,Construction!$J$12:$BJ$12,"&lt;="&amp;Time!AZ17))</f>
        <v/>
      </c>
      <c r="BA16" s="11">
        <f>IF(Time!BA17&gt;=Time!$F$11,BA11,SUMIFS(Funding!$J$49:$BJ$49,Construction!$J$12:$BJ$12,"&lt;="&amp;Time!BA17)-SUMIFS(Funding!$J$44:$BJ$44,Construction!$J$12:$BJ$12,"&lt;="&amp;Time!BA17)-SUMIFS(Construction!$J$28:$BJ$28,Construction!$J$12:$BJ$12,"&lt;="&amp;Time!BA17)+SUMIFS(Funding!$J$71:$BJ$71,Construction!$J$12:$BJ$12,"&lt;="&amp;Time!BA17)-SUMIFS(Funding!$J$52:$BJ$52,Construction!$J$12:$BJ$12,"&lt;="&amp;Time!BA17))</f>
        <v/>
      </c>
      <c r="BB16" s="11">
        <f>IF(Time!BB17&gt;=Time!$F$11,BB11,SUMIFS(Funding!$J$49:$BJ$49,Construction!$J$12:$BJ$12,"&lt;="&amp;Time!BB17)-SUMIFS(Funding!$J$44:$BJ$44,Construction!$J$12:$BJ$12,"&lt;="&amp;Time!BB17)-SUMIFS(Construction!$J$28:$BJ$28,Construction!$J$12:$BJ$12,"&lt;="&amp;Time!BB17)+SUMIFS(Funding!$J$71:$BJ$71,Construction!$J$12:$BJ$12,"&lt;="&amp;Time!BB17)-SUMIFS(Funding!$J$52:$BJ$52,Construction!$J$12:$BJ$12,"&lt;="&amp;Time!BB17))</f>
        <v/>
      </c>
      <c r="BC16" s="11">
        <f>IF(Time!BC17&gt;=Time!$F$11,BC11,SUMIFS(Funding!$J$49:$BJ$49,Construction!$J$12:$BJ$12,"&lt;="&amp;Time!BC17)-SUMIFS(Funding!$J$44:$BJ$44,Construction!$J$12:$BJ$12,"&lt;="&amp;Time!BC17)-SUMIFS(Construction!$J$28:$BJ$28,Construction!$J$12:$BJ$12,"&lt;="&amp;Time!BC17)+SUMIFS(Funding!$J$71:$BJ$71,Construction!$J$12:$BJ$12,"&lt;="&amp;Time!BC17)-SUMIFS(Funding!$J$52:$BJ$52,Construction!$J$12:$BJ$12,"&lt;="&amp;Time!BC17))</f>
        <v/>
      </c>
      <c r="BD16" s="11">
        <f>IF(Time!BD17&gt;=Time!$F$11,BD11,SUMIFS(Funding!$J$49:$BJ$49,Construction!$J$12:$BJ$12,"&lt;="&amp;Time!BD17)-SUMIFS(Funding!$J$44:$BJ$44,Construction!$J$12:$BJ$12,"&lt;="&amp;Time!BD17)-SUMIFS(Construction!$J$28:$BJ$28,Construction!$J$12:$BJ$12,"&lt;="&amp;Time!BD17)+SUMIFS(Funding!$J$71:$BJ$71,Construction!$J$12:$BJ$12,"&lt;="&amp;Time!BD17)-SUMIFS(Funding!$J$52:$BJ$52,Construction!$J$12:$BJ$12,"&lt;="&amp;Time!BD17))</f>
        <v/>
      </c>
      <c r="BE16" s="11">
        <f>IF(Time!BE17&gt;=Time!$F$11,BE11,SUMIFS(Funding!$J$49:$BJ$49,Construction!$J$12:$BJ$12,"&lt;="&amp;Time!BE17)-SUMIFS(Funding!$J$44:$BJ$44,Construction!$J$12:$BJ$12,"&lt;="&amp;Time!BE17)-SUMIFS(Construction!$J$28:$BJ$28,Construction!$J$12:$BJ$12,"&lt;="&amp;Time!BE17)+SUMIFS(Funding!$J$71:$BJ$71,Construction!$J$12:$BJ$12,"&lt;="&amp;Time!BE17)-SUMIFS(Funding!$J$52:$BJ$52,Construction!$J$12:$BJ$12,"&lt;="&amp;Time!BE17))</f>
        <v/>
      </c>
      <c r="BF16" s="11">
        <f>IF(Time!BF17&gt;=Time!$F$11,BF11,SUMIFS(Funding!$J$49:$BJ$49,Construction!$J$12:$BJ$12,"&lt;="&amp;Time!BF17)-SUMIFS(Funding!$J$44:$BJ$44,Construction!$J$12:$BJ$12,"&lt;="&amp;Time!BF17)-SUMIFS(Construction!$J$28:$BJ$28,Construction!$J$12:$BJ$12,"&lt;="&amp;Time!BF17)+SUMIFS(Funding!$J$71:$BJ$71,Construction!$J$12:$BJ$12,"&lt;="&amp;Time!BF17)-SUMIFS(Funding!$J$52:$BJ$52,Construction!$J$12:$BJ$12,"&lt;="&amp;Time!BF17))</f>
        <v/>
      </c>
      <c r="BG16" s="11">
        <f>IF(Time!BG17&gt;=Time!$F$11,BG11,SUMIFS(Funding!$J$49:$BJ$49,Construction!$J$12:$BJ$12,"&lt;="&amp;Time!BG17)-SUMIFS(Funding!$J$44:$BJ$44,Construction!$J$12:$BJ$12,"&lt;="&amp;Time!BG17)-SUMIFS(Construction!$J$28:$BJ$28,Construction!$J$12:$BJ$12,"&lt;="&amp;Time!BG17)+SUMIFS(Funding!$J$71:$BJ$71,Construction!$J$12:$BJ$12,"&lt;="&amp;Time!BG17)-SUMIFS(Funding!$J$52:$BJ$52,Construction!$J$12:$BJ$12,"&lt;="&amp;Time!BG17))</f>
        <v/>
      </c>
      <c r="BH16" s="11">
        <f>IF(Time!BH17&gt;=Time!$F$11,BH11,SUMIFS(Funding!$J$49:$BJ$49,Construction!$J$12:$BJ$12,"&lt;="&amp;Time!BH17)-SUMIFS(Funding!$J$44:$BJ$44,Construction!$J$12:$BJ$12,"&lt;="&amp;Time!BH17)-SUMIFS(Construction!$J$28:$BJ$28,Construction!$J$12:$BJ$12,"&lt;="&amp;Time!BH17)+SUMIFS(Funding!$J$71:$BJ$71,Construction!$J$12:$BJ$12,"&lt;="&amp;Time!BH17)-SUMIFS(Funding!$J$52:$BJ$52,Construction!$J$12:$BJ$12,"&lt;="&amp;Time!BH17))</f>
        <v/>
      </c>
      <c r="BI16" s="11">
        <f>IF(Time!BI17&gt;=Time!$F$11,BI11,SUMIFS(Funding!$J$49:$BJ$49,Construction!$J$12:$BJ$12,"&lt;="&amp;Time!BI17)-SUMIFS(Funding!$J$44:$BJ$44,Construction!$J$12:$BJ$12,"&lt;="&amp;Time!BI17)-SUMIFS(Construction!$J$28:$BJ$28,Construction!$J$12:$BJ$12,"&lt;="&amp;Time!BI17)+SUMIFS(Funding!$J$71:$BJ$71,Construction!$J$12:$BJ$12,"&lt;="&amp;Time!BI17)-SUMIFS(Funding!$J$52:$BJ$52,Construction!$J$12:$BJ$12,"&lt;="&amp;Time!BI17))</f>
        <v/>
      </c>
      <c r="BJ16" s="11">
        <f>IF(Time!BJ17&gt;=Time!$F$11,BJ11,SUMIFS(Funding!$J$49:$BJ$49,Construction!$J$12:$BJ$12,"&lt;="&amp;Time!BJ17)-SUMIFS(Funding!$J$44:$BJ$44,Construction!$J$12:$BJ$12,"&lt;="&amp;Time!BJ17)-SUMIFS(Construction!$J$28:$BJ$28,Construction!$J$12:$BJ$12,"&lt;="&amp;Time!BJ17)+SUMIFS(Funding!$J$71:$BJ$71,Construction!$J$12:$BJ$12,"&lt;="&amp;Time!BJ17)-SUMIFS(Funding!$J$52:$BJ$52,Construction!$J$12:$BJ$12,"&lt;="&amp;Time!BJ17))</f>
        <v/>
      </c>
      <c r="BK16" s="11">
        <f>IF(Time!BK17&gt;=Time!$F$11,BK11,SUMIFS(Funding!$J$49:$BJ$49,Construction!$J$12:$BJ$12,"&lt;="&amp;Time!BK17)-SUMIFS(Funding!$J$44:$BJ$44,Construction!$J$12:$BJ$12,"&lt;="&amp;Time!BK17)-SUMIFS(Construction!$J$28:$BJ$28,Construction!$J$12:$BJ$12,"&lt;="&amp;Time!BK17)+SUMIFS(Funding!$J$71:$BJ$71,Construction!$J$12:$BJ$12,"&lt;="&amp;Time!BK17)-SUMIFS(Funding!$J$52:$BJ$52,Construction!$J$12:$BJ$12,"&lt;="&amp;Time!BK17))</f>
        <v/>
      </c>
      <c r="BL16" s="11">
        <f>IF(Time!BL17&gt;=Time!$F$11,BL11,SUMIFS(Funding!$J$49:$BJ$49,Construction!$J$12:$BJ$12,"&lt;="&amp;Time!BL17)-SUMIFS(Funding!$J$44:$BJ$44,Construction!$J$12:$BJ$12,"&lt;="&amp;Time!BL17)-SUMIFS(Construction!$J$28:$BJ$28,Construction!$J$12:$BJ$12,"&lt;="&amp;Time!BL17)+SUMIFS(Funding!$J$71:$BJ$71,Construction!$J$12:$BJ$12,"&lt;="&amp;Time!BL17)-SUMIFS(Funding!$J$52:$BJ$52,Construction!$J$12:$BJ$12,"&lt;="&amp;Time!BL17))</f>
        <v/>
      </c>
      <c r="BM16" s="11">
        <f>IF(Time!BM17&gt;=Time!$F$11,BM11,SUMIFS(Funding!$J$49:$BJ$49,Construction!$J$12:$BJ$12,"&lt;="&amp;Time!BM17)-SUMIFS(Funding!$J$44:$BJ$44,Construction!$J$12:$BJ$12,"&lt;="&amp;Time!BM17)-SUMIFS(Construction!$J$28:$BJ$28,Construction!$J$12:$BJ$12,"&lt;="&amp;Time!BM17)+SUMIFS(Funding!$J$71:$BJ$71,Construction!$J$12:$BJ$12,"&lt;="&amp;Time!BM17)-SUMIFS(Funding!$J$52:$BJ$52,Construction!$J$12:$BJ$12,"&lt;="&amp;Time!BM17))</f>
        <v/>
      </c>
      <c r="BN16" s="11">
        <f>IF(Time!BN17&gt;=Time!$F$11,BN11,SUMIFS(Funding!$J$49:$BJ$49,Construction!$J$12:$BJ$12,"&lt;="&amp;Time!BN17)-SUMIFS(Funding!$J$44:$BJ$44,Construction!$J$12:$BJ$12,"&lt;="&amp;Time!BN17)-SUMIFS(Construction!$J$28:$BJ$28,Construction!$J$12:$BJ$12,"&lt;="&amp;Time!BN17)+SUMIFS(Funding!$J$71:$BJ$71,Construction!$J$12:$BJ$12,"&lt;="&amp;Time!BN17)-SUMIFS(Funding!$J$52:$BJ$52,Construction!$J$12:$BJ$12,"&lt;="&amp;Time!BN17))</f>
        <v/>
      </c>
    </row>
    <row r="17">
      <c r="D17" t="inlineStr">
        <is>
          <t>Cash in project accounts (DSRA, MMRA, handback, lock-up, trapped, compensation)</t>
        </is>
      </c>
      <c r="E17" t="inlineStr">
        <is>
          <t>USD m</t>
        </is>
      </c>
      <c r="J17" s="11">
        <f>Reserves!J13+Reserves!J8+Reserves!J16+Waterfall!J30+Waterfall!J42+Reserves!J17+IF(Time!J17&lt;Time!$F$11,SUMIFS(Funding!$J$52:$BJ$52,Construction!$J$12:$BJ$12,"&lt;="&amp;Time!J17)-SUMIFS(Funding!$J$53:$BJ$53,Construction!$J$12:$BJ$12,"&lt;="&amp;Time!J17),0)</f>
        <v/>
      </c>
      <c r="K17" s="11">
        <f>Reserves!K13+Reserves!K8+Reserves!K16+Waterfall!K30+Waterfall!K42+Reserves!K17+IF(Time!K17&lt;Time!$F$11,SUMIFS(Funding!$J$52:$BJ$52,Construction!$J$12:$BJ$12,"&lt;="&amp;Time!K17)-SUMIFS(Funding!$J$53:$BJ$53,Construction!$J$12:$BJ$12,"&lt;="&amp;Time!K17),0)</f>
        <v/>
      </c>
      <c r="L17" s="11">
        <f>Reserves!L13+Reserves!L8+Reserves!L16+Waterfall!L30+Waterfall!L42+Reserves!L17+IF(Time!L17&lt;Time!$F$11,SUMIFS(Funding!$J$52:$BJ$52,Construction!$J$12:$BJ$12,"&lt;="&amp;Time!L17)-SUMIFS(Funding!$J$53:$BJ$53,Construction!$J$12:$BJ$12,"&lt;="&amp;Time!L17),0)</f>
        <v/>
      </c>
      <c r="M17" s="11">
        <f>Reserves!M13+Reserves!M8+Reserves!M16+Waterfall!M30+Waterfall!M42+Reserves!M17+IF(Time!M17&lt;Time!$F$11,SUMIFS(Funding!$J$52:$BJ$52,Construction!$J$12:$BJ$12,"&lt;="&amp;Time!M17)-SUMIFS(Funding!$J$53:$BJ$53,Construction!$J$12:$BJ$12,"&lt;="&amp;Time!M17),0)</f>
        <v/>
      </c>
      <c r="N17" s="11">
        <f>Reserves!N13+Reserves!N8+Reserves!N16+Waterfall!N30+Waterfall!N42+Reserves!N17+IF(Time!N17&lt;Time!$F$11,SUMIFS(Funding!$J$52:$BJ$52,Construction!$J$12:$BJ$12,"&lt;="&amp;Time!N17)-SUMIFS(Funding!$J$53:$BJ$53,Construction!$J$12:$BJ$12,"&lt;="&amp;Time!N17),0)</f>
        <v/>
      </c>
      <c r="O17" s="11">
        <f>Reserves!O13+Reserves!O8+Reserves!O16+Waterfall!O30+Waterfall!O42+Reserves!O17+IF(Time!O17&lt;Time!$F$11,SUMIFS(Funding!$J$52:$BJ$52,Construction!$J$12:$BJ$12,"&lt;="&amp;Time!O17)-SUMIFS(Funding!$J$53:$BJ$53,Construction!$J$12:$BJ$12,"&lt;="&amp;Time!O17),0)</f>
        <v/>
      </c>
      <c r="P17" s="11">
        <f>Reserves!P13+Reserves!P8+Reserves!P16+Waterfall!P30+Waterfall!P42+Reserves!P17+IF(Time!P17&lt;Time!$F$11,SUMIFS(Funding!$J$52:$BJ$52,Construction!$J$12:$BJ$12,"&lt;="&amp;Time!P17)-SUMIFS(Funding!$J$53:$BJ$53,Construction!$J$12:$BJ$12,"&lt;="&amp;Time!P17),0)</f>
        <v/>
      </c>
      <c r="Q17" s="11">
        <f>Reserves!Q13+Reserves!Q8+Reserves!Q16+Waterfall!Q30+Waterfall!Q42+Reserves!Q17+IF(Time!Q17&lt;Time!$F$11,SUMIFS(Funding!$J$52:$BJ$52,Construction!$J$12:$BJ$12,"&lt;="&amp;Time!Q17)-SUMIFS(Funding!$J$53:$BJ$53,Construction!$J$12:$BJ$12,"&lt;="&amp;Time!Q17),0)</f>
        <v/>
      </c>
      <c r="R17" s="11">
        <f>Reserves!R13+Reserves!R8+Reserves!R16+Waterfall!R30+Waterfall!R42+Reserves!R17+IF(Time!R17&lt;Time!$F$11,SUMIFS(Funding!$J$52:$BJ$52,Construction!$J$12:$BJ$12,"&lt;="&amp;Time!R17)-SUMIFS(Funding!$J$53:$BJ$53,Construction!$J$12:$BJ$12,"&lt;="&amp;Time!R17),0)</f>
        <v/>
      </c>
      <c r="S17" s="11">
        <f>Reserves!S13+Reserves!S8+Reserves!S16+Waterfall!S30+Waterfall!S42+Reserves!S17+IF(Time!S17&lt;Time!$F$11,SUMIFS(Funding!$J$52:$BJ$52,Construction!$J$12:$BJ$12,"&lt;="&amp;Time!S17)-SUMIFS(Funding!$J$53:$BJ$53,Construction!$J$12:$BJ$12,"&lt;="&amp;Time!S17),0)</f>
        <v/>
      </c>
      <c r="T17" s="11">
        <f>Reserves!T13+Reserves!T8+Reserves!T16+Waterfall!T30+Waterfall!T42+Reserves!T17+IF(Time!T17&lt;Time!$F$11,SUMIFS(Funding!$J$52:$BJ$52,Construction!$J$12:$BJ$12,"&lt;="&amp;Time!T17)-SUMIFS(Funding!$J$53:$BJ$53,Construction!$J$12:$BJ$12,"&lt;="&amp;Time!T17),0)</f>
        <v/>
      </c>
      <c r="U17" s="11">
        <f>Reserves!U13+Reserves!U8+Reserves!U16+Waterfall!U30+Waterfall!U42+Reserves!U17+IF(Time!U17&lt;Time!$F$11,SUMIFS(Funding!$J$52:$BJ$52,Construction!$J$12:$BJ$12,"&lt;="&amp;Time!U17)-SUMIFS(Funding!$J$53:$BJ$53,Construction!$J$12:$BJ$12,"&lt;="&amp;Time!U17),0)</f>
        <v/>
      </c>
      <c r="V17" s="11">
        <f>Reserves!V13+Reserves!V8+Reserves!V16+Waterfall!V30+Waterfall!V42+Reserves!V17+IF(Time!V17&lt;Time!$F$11,SUMIFS(Funding!$J$52:$BJ$52,Construction!$J$12:$BJ$12,"&lt;="&amp;Time!V17)-SUMIFS(Funding!$J$53:$BJ$53,Construction!$J$12:$BJ$12,"&lt;="&amp;Time!V17),0)</f>
        <v/>
      </c>
      <c r="W17" s="11">
        <f>Reserves!W13+Reserves!W8+Reserves!W16+Waterfall!W30+Waterfall!W42+Reserves!W17+IF(Time!W17&lt;Time!$F$11,SUMIFS(Funding!$J$52:$BJ$52,Construction!$J$12:$BJ$12,"&lt;="&amp;Time!W17)-SUMIFS(Funding!$J$53:$BJ$53,Construction!$J$12:$BJ$12,"&lt;="&amp;Time!W17),0)</f>
        <v/>
      </c>
      <c r="X17" s="11">
        <f>Reserves!X13+Reserves!X8+Reserves!X16+Waterfall!X30+Waterfall!X42+Reserves!X17+IF(Time!X17&lt;Time!$F$11,SUMIFS(Funding!$J$52:$BJ$52,Construction!$J$12:$BJ$12,"&lt;="&amp;Time!X17)-SUMIFS(Funding!$J$53:$BJ$53,Construction!$J$12:$BJ$12,"&lt;="&amp;Time!X17),0)</f>
        <v/>
      </c>
      <c r="Y17" s="11">
        <f>Reserves!Y13+Reserves!Y8+Reserves!Y16+Waterfall!Y30+Waterfall!Y42+Reserves!Y17+IF(Time!Y17&lt;Time!$F$11,SUMIFS(Funding!$J$52:$BJ$52,Construction!$J$12:$BJ$12,"&lt;="&amp;Time!Y17)-SUMIFS(Funding!$J$53:$BJ$53,Construction!$J$12:$BJ$12,"&lt;="&amp;Time!Y17),0)</f>
        <v/>
      </c>
      <c r="Z17" s="11">
        <f>Reserves!Z13+Reserves!Z8+Reserves!Z16+Waterfall!Z30+Waterfall!Z42+Reserves!Z17+IF(Time!Z17&lt;Time!$F$11,SUMIFS(Funding!$J$52:$BJ$52,Construction!$J$12:$BJ$12,"&lt;="&amp;Time!Z17)-SUMIFS(Funding!$J$53:$BJ$53,Construction!$J$12:$BJ$12,"&lt;="&amp;Time!Z17),0)</f>
        <v/>
      </c>
      <c r="AA17" s="11">
        <f>Reserves!AA13+Reserves!AA8+Reserves!AA16+Waterfall!AA30+Waterfall!AA42+Reserves!AA17+IF(Time!AA17&lt;Time!$F$11,SUMIFS(Funding!$J$52:$BJ$52,Construction!$J$12:$BJ$12,"&lt;="&amp;Time!AA17)-SUMIFS(Funding!$J$53:$BJ$53,Construction!$J$12:$BJ$12,"&lt;="&amp;Time!AA17),0)</f>
        <v/>
      </c>
      <c r="AB17" s="11">
        <f>Reserves!AB13+Reserves!AB8+Reserves!AB16+Waterfall!AB30+Waterfall!AB42+Reserves!AB17+IF(Time!AB17&lt;Time!$F$11,SUMIFS(Funding!$J$52:$BJ$52,Construction!$J$12:$BJ$12,"&lt;="&amp;Time!AB17)-SUMIFS(Funding!$J$53:$BJ$53,Construction!$J$12:$BJ$12,"&lt;="&amp;Time!AB17),0)</f>
        <v/>
      </c>
      <c r="AC17" s="11">
        <f>Reserves!AC13+Reserves!AC8+Reserves!AC16+Waterfall!AC30+Waterfall!AC42+Reserves!AC17+IF(Time!AC17&lt;Time!$F$11,SUMIFS(Funding!$J$52:$BJ$52,Construction!$J$12:$BJ$12,"&lt;="&amp;Time!AC17)-SUMIFS(Funding!$J$53:$BJ$53,Construction!$J$12:$BJ$12,"&lt;="&amp;Time!AC17),0)</f>
        <v/>
      </c>
      <c r="AD17" s="11">
        <f>Reserves!AD13+Reserves!AD8+Reserves!AD16+Waterfall!AD30+Waterfall!AD42+Reserves!AD17+IF(Time!AD17&lt;Time!$F$11,SUMIFS(Funding!$J$52:$BJ$52,Construction!$J$12:$BJ$12,"&lt;="&amp;Time!AD17)-SUMIFS(Funding!$J$53:$BJ$53,Construction!$J$12:$BJ$12,"&lt;="&amp;Time!AD17),0)</f>
        <v/>
      </c>
      <c r="AE17" s="11">
        <f>Reserves!AE13+Reserves!AE8+Reserves!AE16+Waterfall!AE30+Waterfall!AE42+Reserves!AE17+IF(Time!AE17&lt;Time!$F$11,SUMIFS(Funding!$J$52:$BJ$52,Construction!$J$12:$BJ$12,"&lt;="&amp;Time!AE17)-SUMIFS(Funding!$J$53:$BJ$53,Construction!$J$12:$BJ$12,"&lt;="&amp;Time!AE17),0)</f>
        <v/>
      </c>
      <c r="AF17" s="11">
        <f>Reserves!AF13+Reserves!AF8+Reserves!AF16+Waterfall!AF30+Waterfall!AF42+Reserves!AF17+IF(Time!AF17&lt;Time!$F$11,SUMIFS(Funding!$J$52:$BJ$52,Construction!$J$12:$BJ$12,"&lt;="&amp;Time!AF17)-SUMIFS(Funding!$J$53:$BJ$53,Construction!$J$12:$BJ$12,"&lt;="&amp;Time!AF17),0)</f>
        <v/>
      </c>
      <c r="AG17" s="11">
        <f>Reserves!AG13+Reserves!AG8+Reserves!AG16+Waterfall!AG30+Waterfall!AG42+Reserves!AG17+IF(Time!AG17&lt;Time!$F$11,SUMIFS(Funding!$J$52:$BJ$52,Construction!$J$12:$BJ$12,"&lt;="&amp;Time!AG17)-SUMIFS(Funding!$J$53:$BJ$53,Construction!$J$12:$BJ$12,"&lt;="&amp;Time!AG17),0)</f>
        <v/>
      </c>
      <c r="AH17" s="11">
        <f>Reserves!AH13+Reserves!AH8+Reserves!AH16+Waterfall!AH30+Waterfall!AH42+Reserves!AH17+IF(Time!AH17&lt;Time!$F$11,SUMIFS(Funding!$J$52:$BJ$52,Construction!$J$12:$BJ$12,"&lt;="&amp;Time!AH17)-SUMIFS(Funding!$J$53:$BJ$53,Construction!$J$12:$BJ$12,"&lt;="&amp;Time!AH17),0)</f>
        <v/>
      </c>
      <c r="AI17" s="11">
        <f>Reserves!AI13+Reserves!AI8+Reserves!AI16+Waterfall!AI30+Waterfall!AI42+Reserves!AI17+IF(Time!AI17&lt;Time!$F$11,SUMIFS(Funding!$J$52:$BJ$52,Construction!$J$12:$BJ$12,"&lt;="&amp;Time!AI17)-SUMIFS(Funding!$J$53:$BJ$53,Construction!$J$12:$BJ$12,"&lt;="&amp;Time!AI17),0)</f>
        <v/>
      </c>
      <c r="AJ17" s="11">
        <f>Reserves!AJ13+Reserves!AJ8+Reserves!AJ16+Waterfall!AJ30+Waterfall!AJ42+Reserves!AJ17+IF(Time!AJ17&lt;Time!$F$11,SUMIFS(Funding!$J$52:$BJ$52,Construction!$J$12:$BJ$12,"&lt;="&amp;Time!AJ17)-SUMIFS(Funding!$J$53:$BJ$53,Construction!$J$12:$BJ$12,"&lt;="&amp;Time!AJ17),0)</f>
        <v/>
      </c>
      <c r="AK17" s="11">
        <f>Reserves!AK13+Reserves!AK8+Reserves!AK16+Waterfall!AK30+Waterfall!AK42+Reserves!AK17+IF(Time!AK17&lt;Time!$F$11,SUMIFS(Funding!$J$52:$BJ$52,Construction!$J$12:$BJ$12,"&lt;="&amp;Time!AK17)-SUMIFS(Funding!$J$53:$BJ$53,Construction!$J$12:$BJ$12,"&lt;="&amp;Time!AK17),0)</f>
        <v/>
      </c>
      <c r="AL17" s="11">
        <f>Reserves!AL13+Reserves!AL8+Reserves!AL16+Waterfall!AL30+Waterfall!AL42+Reserves!AL17+IF(Time!AL17&lt;Time!$F$11,SUMIFS(Funding!$J$52:$BJ$52,Construction!$J$12:$BJ$12,"&lt;="&amp;Time!AL17)-SUMIFS(Funding!$J$53:$BJ$53,Construction!$J$12:$BJ$12,"&lt;="&amp;Time!AL17),0)</f>
        <v/>
      </c>
      <c r="AM17" s="11">
        <f>Reserves!AM13+Reserves!AM8+Reserves!AM16+Waterfall!AM30+Waterfall!AM42+Reserves!AM17+IF(Time!AM17&lt;Time!$F$11,SUMIFS(Funding!$J$52:$BJ$52,Construction!$J$12:$BJ$12,"&lt;="&amp;Time!AM17)-SUMIFS(Funding!$J$53:$BJ$53,Construction!$J$12:$BJ$12,"&lt;="&amp;Time!AM17),0)</f>
        <v/>
      </c>
      <c r="AN17" s="11">
        <f>Reserves!AN13+Reserves!AN8+Reserves!AN16+Waterfall!AN30+Waterfall!AN42+Reserves!AN17+IF(Time!AN17&lt;Time!$F$11,SUMIFS(Funding!$J$52:$BJ$52,Construction!$J$12:$BJ$12,"&lt;="&amp;Time!AN17)-SUMIFS(Funding!$J$53:$BJ$53,Construction!$J$12:$BJ$12,"&lt;="&amp;Time!AN17),0)</f>
        <v/>
      </c>
      <c r="AO17" s="11">
        <f>Reserves!AO13+Reserves!AO8+Reserves!AO16+Waterfall!AO30+Waterfall!AO42+Reserves!AO17+IF(Time!AO17&lt;Time!$F$11,SUMIFS(Funding!$J$52:$BJ$52,Construction!$J$12:$BJ$12,"&lt;="&amp;Time!AO17)-SUMIFS(Funding!$J$53:$BJ$53,Construction!$J$12:$BJ$12,"&lt;="&amp;Time!AO17),0)</f>
        <v/>
      </c>
      <c r="AP17" s="11">
        <f>Reserves!AP13+Reserves!AP8+Reserves!AP16+Waterfall!AP30+Waterfall!AP42+Reserves!AP17+IF(Time!AP17&lt;Time!$F$11,SUMIFS(Funding!$J$52:$BJ$52,Construction!$J$12:$BJ$12,"&lt;="&amp;Time!AP17)-SUMIFS(Funding!$J$53:$BJ$53,Construction!$J$12:$BJ$12,"&lt;="&amp;Time!AP17),0)</f>
        <v/>
      </c>
      <c r="AQ17" s="11">
        <f>Reserves!AQ13+Reserves!AQ8+Reserves!AQ16+Waterfall!AQ30+Waterfall!AQ42+Reserves!AQ17+IF(Time!AQ17&lt;Time!$F$11,SUMIFS(Funding!$J$52:$BJ$52,Construction!$J$12:$BJ$12,"&lt;="&amp;Time!AQ17)-SUMIFS(Funding!$J$53:$BJ$53,Construction!$J$12:$BJ$12,"&lt;="&amp;Time!AQ17),0)</f>
        <v/>
      </c>
      <c r="AR17" s="11">
        <f>Reserves!AR13+Reserves!AR8+Reserves!AR16+Waterfall!AR30+Waterfall!AR42+Reserves!AR17+IF(Time!AR17&lt;Time!$F$11,SUMIFS(Funding!$J$52:$BJ$52,Construction!$J$12:$BJ$12,"&lt;="&amp;Time!AR17)-SUMIFS(Funding!$J$53:$BJ$53,Construction!$J$12:$BJ$12,"&lt;="&amp;Time!AR17),0)</f>
        <v/>
      </c>
      <c r="AS17" s="11">
        <f>Reserves!AS13+Reserves!AS8+Reserves!AS16+Waterfall!AS30+Waterfall!AS42+Reserves!AS17+IF(Time!AS17&lt;Time!$F$11,SUMIFS(Funding!$J$52:$BJ$52,Construction!$J$12:$BJ$12,"&lt;="&amp;Time!AS17)-SUMIFS(Funding!$J$53:$BJ$53,Construction!$J$12:$BJ$12,"&lt;="&amp;Time!AS17),0)</f>
        <v/>
      </c>
      <c r="AT17" s="11">
        <f>Reserves!AT13+Reserves!AT8+Reserves!AT16+Waterfall!AT30+Waterfall!AT42+Reserves!AT17+IF(Time!AT17&lt;Time!$F$11,SUMIFS(Funding!$J$52:$BJ$52,Construction!$J$12:$BJ$12,"&lt;="&amp;Time!AT17)-SUMIFS(Funding!$J$53:$BJ$53,Construction!$J$12:$BJ$12,"&lt;="&amp;Time!AT17),0)</f>
        <v/>
      </c>
      <c r="AU17" s="11">
        <f>Reserves!AU13+Reserves!AU8+Reserves!AU16+Waterfall!AU30+Waterfall!AU42+Reserves!AU17+IF(Time!AU17&lt;Time!$F$11,SUMIFS(Funding!$J$52:$BJ$52,Construction!$J$12:$BJ$12,"&lt;="&amp;Time!AU17)-SUMIFS(Funding!$J$53:$BJ$53,Construction!$J$12:$BJ$12,"&lt;="&amp;Time!AU17),0)</f>
        <v/>
      </c>
      <c r="AV17" s="11">
        <f>Reserves!AV13+Reserves!AV8+Reserves!AV16+Waterfall!AV30+Waterfall!AV42+Reserves!AV17+IF(Time!AV17&lt;Time!$F$11,SUMIFS(Funding!$J$52:$BJ$52,Construction!$J$12:$BJ$12,"&lt;="&amp;Time!AV17)-SUMIFS(Funding!$J$53:$BJ$53,Construction!$J$12:$BJ$12,"&lt;="&amp;Time!AV17),0)</f>
        <v/>
      </c>
      <c r="AW17" s="11">
        <f>Reserves!AW13+Reserves!AW8+Reserves!AW16+Waterfall!AW30+Waterfall!AW42+Reserves!AW17+IF(Time!AW17&lt;Time!$F$11,SUMIFS(Funding!$J$52:$BJ$52,Construction!$J$12:$BJ$12,"&lt;="&amp;Time!AW17)-SUMIFS(Funding!$J$53:$BJ$53,Construction!$J$12:$BJ$12,"&lt;="&amp;Time!AW17),0)</f>
        <v/>
      </c>
      <c r="AX17" s="11">
        <f>Reserves!AX13+Reserves!AX8+Reserves!AX16+Waterfall!AX30+Waterfall!AX42+Reserves!AX17+IF(Time!AX17&lt;Time!$F$11,SUMIFS(Funding!$J$52:$BJ$52,Construction!$J$12:$BJ$12,"&lt;="&amp;Time!AX17)-SUMIFS(Funding!$J$53:$BJ$53,Construction!$J$12:$BJ$12,"&lt;="&amp;Time!AX17),0)</f>
        <v/>
      </c>
      <c r="AY17" s="11">
        <f>Reserves!AY13+Reserves!AY8+Reserves!AY16+Waterfall!AY30+Waterfall!AY42+Reserves!AY17+IF(Time!AY17&lt;Time!$F$11,SUMIFS(Funding!$J$52:$BJ$52,Construction!$J$12:$BJ$12,"&lt;="&amp;Time!AY17)-SUMIFS(Funding!$J$53:$BJ$53,Construction!$J$12:$BJ$12,"&lt;="&amp;Time!AY17),0)</f>
        <v/>
      </c>
      <c r="AZ17" s="11">
        <f>Reserves!AZ13+Reserves!AZ8+Reserves!AZ16+Waterfall!AZ30+Waterfall!AZ42+Reserves!AZ17+IF(Time!AZ17&lt;Time!$F$11,SUMIFS(Funding!$J$52:$BJ$52,Construction!$J$12:$BJ$12,"&lt;="&amp;Time!AZ17)-SUMIFS(Funding!$J$53:$BJ$53,Construction!$J$12:$BJ$12,"&lt;="&amp;Time!AZ17),0)</f>
        <v/>
      </c>
      <c r="BA17" s="11">
        <f>Reserves!BA13+Reserves!BA8+Reserves!BA16+Waterfall!BA30+Waterfall!BA42+Reserves!BA17+IF(Time!BA17&lt;Time!$F$11,SUMIFS(Funding!$J$52:$BJ$52,Construction!$J$12:$BJ$12,"&lt;="&amp;Time!BA17)-SUMIFS(Funding!$J$53:$BJ$53,Construction!$J$12:$BJ$12,"&lt;="&amp;Time!BA17),0)</f>
        <v/>
      </c>
      <c r="BB17" s="11">
        <f>Reserves!BB13+Reserves!BB8+Reserves!BB16+Waterfall!BB30+Waterfall!BB42+Reserves!BB17+IF(Time!BB17&lt;Time!$F$11,SUMIFS(Funding!$J$52:$BJ$52,Construction!$J$12:$BJ$12,"&lt;="&amp;Time!BB17)-SUMIFS(Funding!$J$53:$BJ$53,Construction!$J$12:$BJ$12,"&lt;="&amp;Time!BB17),0)</f>
        <v/>
      </c>
      <c r="BC17" s="11">
        <f>Reserves!BC13+Reserves!BC8+Reserves!BC16+Waterfall!BC30+Waterfall!BC42+Reserves!BC17+IF(Time!BC17&lt;Time!$F$11,SUMIFS(Funding!$J$52:$BJ$52,Construction!$J$12:$BJ$12,"&lt;="&amp;Time!BC17)-SUMIFS(Funding!$J$53:$BJ$53,Construction!$J$12:$BJ$12,"&lt;="&amp;Time!BC17),0)</f>
        <v/>
      </c>
      <c r="BD17" s="11">
        <f>Reserves!BD13+Reserves!BD8+Reserves!BD16+Waterfall!BD30+Waterfall!BD42+Reserves!BD17+IF(Time!BD17&lt;Time!$F$11,SUMIFS(Funding!$J$52:$BJ$52,Construction!$J$12:$BJ$12,"&lt;="&amp;Time!BD17)-SUMIFS(Funding!$J$53:$BJ$53,Construction!$J$12:$BJ$12,"&lt;="&amp;Time!BD17),0)</f>
        <v/>
      </c>
      <c r="BE17" s="11">
        <f>Reserves!BE13+Reserves!BE8+Reserves!BE16+Waterfall!BE30+Waterfall!BE42+Reserves!BE17+IF(Time!BE17&lt;Time!$F$11,SUMIFS(Funding!$J$52:$BJ$52,Construction!$J$12:$BJ$12,"&lt;="&amp;Time!BE17)-SUMIFS(Funding!$J$53:$BJ$53,Construction!$J$12:$BJ$12,"&lt;="&amp;Time!BE17),0)</f>
        <v/>
      </c>
      <c r="BF17" s="11">
        <f>Reserves!BF13+Reserves!BF8+Reserves!BF16+Waterfall!BF30+Waterfall!BF42+Reserves!BF17+IF(Time!BF17&lt;Time!$F$11,SUMIFS(Funding!$J$52:$BJ$52,Construction!$J$12:$BJ$12,"&lt;="&amp;Time!BF17)-SUMIFS(Funding!$J$53:$BJ$53,Construction!$J$12:$BJ$12,"&lt;="&amp;Time!BF17),0)</f>
        <v/>
      </c>
      <c r="BG17" s="11">
        <f>Reserves!BG13+Reserves!BG8+Reserves!BG16+Waterfall!BG30+Waterfall!BG42+Reserves!BG17+IF(Time!BG17&lt;Time!$F$11,SUMIFS(Funding!$J$52:$BJ$52,Construction!$J$12:$BJ$12,"&lt;="&amp;Time!BG17)-SUMIFS(Funding!$J$53:$BJ$53,Construction!$J$12:$BJ$12,"&lt;="&amp;Time!BG17),0)</f>
        <v/>
      </c>
      <c r="BH17" s="11">
        <f>Reserves!BH13+Reserves!BH8+Reserves!BH16+Waterfall!BH30+Waterfall!BH42+Reserves!BH17+IF(Time!BH17&lt;Time!$F$11,SUMIFS(Funding!$J$52:$BJ$52,Construction!$J$12:$BJ$12,"&lt;="&amp;Time!BH17)-SUMIFS(Funding!$J$53:$BJ$53,Construction!$J$12:$BJ$12,"&lt;="&amp;Time!BH17),0)</f>
        <v/>
      </c>
      <c r="BI17" s="11">
        <f>Reserves!BI13+Reserves!BI8+Reserves!BI16+Waterfall!BI30+Waterfall!BI42+Reserves!BI17+IF(Time!BI17&lt;Time!$F$11,SUMIFS(Funding!$J$52:$BJ$52,Construction!$J$12:$BJ$12,"&lt;="&amp;Time!BI17)-SUMIFS(Funding!$J$53:$BJ$53,Construction!$J$12:$BJ$12,"&lt;="&amp;Time!BI17),0)</f>
        <v/>
      </c>
      <c r="BJ17" s="11">
        <f>Reserves!BJ13+Reserves!BJ8+Reserves!BJ16+Waterfall!BJ30+Waterfall!BJ42+Reserves!BJ17+IF(Time!BJ17&lt;Time!$F$11,SUMIFS(Funding!$J$52:$BJ$52,Construction!$J$12:$BJ$12,"&lt;="&amp;Time!BJ17)-SUMIFS(Funding!$J$53:$BJ$53,Construction!$J$12:$BJ$12,"&lt;="&amp;Time!BJ17),0)</f>
        <v/>
      </c>
      <c r="BK17" s="11">
        <f>Reserves!BK13+Reserves!BK8+Reserves!BK16+Waterfall!BK30+Waterfall!BK42+Reserves!BK17+IF(Time!BK17&lt;Time!$F$11,SUMIFS(Funding!$J$52:$BJ$52,Construction!$J$12:$BJ$12,"&lt;="&amp;Time!BK17)-SUMIFS(Funding!$J$53:$BJ$53,Construction!$J$12:$BJ$12,"&lt;="&amp;Time!BK17),0)</f>
        <v/>
      </c>
      <c r="BL17" s="11">
        <f>Reserves!BL13+Reserves!BL8+Reserves!BL16+Waterfall!BL30+Waterfall!BL42+Reserves!BL17+IF(Time!BL17&lt;Time!$F$11,SUMIFS(Funding!$J$52:$BJ$52,Construction!$J$12:$BJ$12,"&lt;="&amp;Time!BL17)-SUMIFS(Funding!$J$53:$BJ$53,Construction!$J$12:$BJ$12,"&lt;="&amp;Time!BL17),0)</f>
        <v/>
      </c>
      <c r="BM17" s="11">
        <f>Reserves!BM13+Reserves!BM8+Reserves!BM16+Waterfall!BM30+Waterfall!BM42+Reserves!BM17+IF(Time!BM17&lt;Time!$F$11,SUMIFS(Funding!$J$52:$BJ$52,Construction!$J$12:$BJ$12,"&lt;="&amp;Time!BM17)-SUMIFS(Funding!$J$53:$BJ$53,Construction!$J$12:$BJ$12,"&lt;="&amp;Time!BM17),0)</f>
        <v/>
      </c>
      <c r="BN17" s="11">
        <f>Reserves!BN13+Reserves!BN8+Reserves!BN16+Waterfall!BN30+Waterfall!BN42+Reserves!BN17+IF(Time!BN17&lt;Time!$F$11,SUMIFS(Funding!$J$52:$BJ$52,Construction!$J$12:$BJ$12,"&lt;="&amp;Time!BN17)-SUMIFS(Funding!$J$53:$BJ$53,Construction!$J$12:$BJ$12,"&lt;="&amp;Time!BN17),0)</f>
        <v/>
      </c>
    </row>
    <row r="18">
      <c r="D18" t="inlineStr">
        <is>
          <t>Receivables (incl. overdue)</t>
        </is>
      </c>
      <c r="E18" t="inlineStr">
        <is>
          <t>USD m</t>
        </is>
      </c>
      <c r="J18" s="11">
        <f>Operations!J83+Operations!J84</f>
        <v/>
      </c>
      <c r="K18" s="11">
        <f>Operations!K83+Operations!K84</f>
        <v/>
      </c>
      <c r="L18" s="11">
        <f>Operations!L83+Operations!L84</f>
        <v/>
      </c>
      <c r="M18" s="11">
        <f>Operations!M83+Operations!M84</f>
        <v/>
      </c>
      <c r="N18" s="11">
        <f>Operations!N83+Operations!N84</f>
        <v/>
      </c>
      <c r="O18" s="11">
        <f>Operations!O83+Operations!O84</f>
        <v/>
      </c>
      <c r="P18" s="11">
        <f>Operations!P83+Operations!P84</f>
        <v/>
      </c>
      <c r="Q18" s="11">
        <f>Operations!Q83+Operations!Q84</f>
        <v/>
      </c>
      <c r="R18" s="11">
        <f>Operations!R83+Operations!R84</f>
        <v/>
      </c>
      <c r="S18" s="11">
        <f>Operations!S83+Operations!S84</f>
        <v/>
      </c>
      <c r="T18" s="11">
        <f>Operations!T83+Operations!T84</f>
        <v/>
      </c>
      <c r="U18" s="11">
        <f>Operations!U83+Operations!U84</f>
        <v/>
      </c>
      <c r="V18" s="11">
        <f>Operations!V83+Operations!V84</f>
        <v/>
      </c>
      <c r="W18" s="11">
        <f>Operations!W83+Operations!W84</f>
        <v/>
      </c>
      <c r="X18" s="11">
        <f>Operations!X83+Operations!X84</f>
        <v/>
      </c>
      <c r="Y18" s="11">
        <f>Operations!Y83+Operations!Y84</f>
        <v/>
      </c>
      <c r="Z18" s="11">
        <f>Operations!Z83+Operations!Z84</f>
        <v/>
      </c>
      <c r="AA18" s="11">
        <f>Operations!AA83+Operations!AA84</f>
        <v/>
      </c>
      <c r="AB18" s="11">
        <f>Operations!AB83+Operations!AB84</f>
        <v/>
      </c>
      <c r="AC18" s="11">
        <f>Operations!AC83+Operations!AC84</f>
        <v/>
      </c>
      <c r="AD18" s="11">
        <f>Operations!AD83+Operations!AD84</f>
        <v/>
      </c>
      <c r="AE18" s="11">
        <f>Operations!AE83+Operations!AE84</f>
        <v/>
      </c>
      <c r="AF18" s="11">
        <f>Operations!AF83+Operations!AF84</f>
        <v/>
      </c>
      <c r="AG18" s="11">
        <f>Operations!AG83+Operations!AG84</f>
        <v/>
      </c>
      <c r="AH18" s="11">
        <f>Operations!AH83+Operations!AH84</f>
        <v/>
      </c>
      <c r="AI18" s="11">
        <f>Operations!AI83+Operations!AI84</f>
        <v/>
      </c>
      <c r="AJ18" s="11">
        <f>Operations!AJ83+Operations!AJ84</f>
        <v/>
      </c>
      <c r="AK18" s="11">
        <f>Operations!AK83+Operations!AK84</f>
        <v/>
      </c>
      <c r="AL18" s="11">
        <f>Operations!AL83+Operations!AL84</f>
        <v/>
      </c>
      <c r="AM18" s="11">
        <f>Operations!AM83+Operations!AM84</f>
        <v/>
      </c>
      <c r="AN18" s="11">
        <f>Operations!AN83+Operations!AN84</f>
        <v/>
      </c>
      <c r="AO18" s="11">
        <f>Operations!AO83+Operations!AO84</f>
        <v/>
      </c>
      <c r="AP18" s="11">
        <f>Operations!AP83+Operations!AP84</f>
        <v/>
      </c>
      <c r="AQ18" s="11">
        <f>Operations!AQ83+Operations!AQ84</f>
        <v/>
      </c>
      <c r="AR18" s="11">
        <f>Operations!AR83+Operations!AR84</f>
        <v/>
      </c>
      <c r="AS18" s="11">
        <f>Operations!AS83+Operations!AS84</f>
        <v/>
      </c>
      <c r="AT18" s="11">
        <f>Operations!AT83+Operations!AT84</f>
        <v/>
      </c>
      <c r="AU18" s="11">
        <f>Operations!AU83+Operations!AU84</f>
        <v/>
      </c>
      <c r="AV18" s="11">
        <f>Operations!AV83+Operations!AV84</f>
        <v/>
      </c>
      <c r="AW18" s="11">
        <f>Operations!AW83+Operations!AW84</f>
        <v/>
      </c>
      <c r="AX18" s="11">
        <f>Operations!AX83+Operations!AX84</f>
        <v/>
      </c>
      <c r="AY18" s="11">
        <f>Operations!AY83+Operations!AY84</f>
        <v/>
      </c>
      <c r="AZ18" s="11">
        <f>Operations!AZ83+Operations!AZ84</f>
        <v/>
      </c>
      <c r="BA18" s="11">
        <f>Operations!BA83+Operations!BA84</f>
        <v/>
      </c>
      <c r="BB18" s="11">
        <f>Operations!BB83+Operations!BB84</f>
        <v/>
      </c>
      <c r="BC18" s="11">
        <f>Operations!BC83+Operations!BC84</f>
        <v/>
      </c>
      <c r="BD18" s="11">
        <f>Operations!BD83+Operations!BD84</f>
        <v/>
      </c>
      <c r="BE18" s="11">
        <f>Operations!BE83+Operations!BE84</f>
        <v/>
      </c>
      <c r="BF18" s="11">
        <f>Operations!BF83+Operations!BF84</f>
        <v/>
      </c>
      <c r="BG18" s="11">
        <f>Operations!BG83+Operations!BG84</f>
        <v/>
      </c>
      <c r="BH18" s="11">
        <f>Operations!BH83+Operations!BH84</f>
        <v/>
      </c>
      <c r="BI18" s="11">
        <f>Operations!BI83+Operations!BI84</f>
        <v/>
      </c>
      <c r="BJ18" s="11">
        <f>Operations!BJ83+Operations!BJ84</f>
        <v/>
      </c>
      <c r="BK18" s="11">
        <f>Operations!BK83+Operations!BK84</f>
        <v/>
      </c>
      <c r="BL18" s="11">
        <f>Operations!BL83+Operations!BL84</f>
        <v/>
      </c>
      <c r="BM18" s="11">
        <f>Operations!BM83+Operations!BM84</f>
        <v/>
      </c>
      <c r="BN18" s="11">
        <f>Operations!BN83+Operations!BN84</f>
        <v/>
      </c>
    </row>
    <row r="19">
      <c r="D19" t="inlineStr">
        <is>
          <t>Spares inventory</t>
        </is>
      </c>
      <c r="E19" t="inlineStr">
        <is>
          <t>USD m</t>
        </is>
      </c>
      <c r="J19" s="11">
        <f>IF(Time!J17&lt;Time!$F$11,SUMIFS(Construction!$J$28:$BJ$28,Construction!$J$12:$BJ$12,"&lt;="&amp;Time!J17),IF(Time!J17&lt;Time!$F$14,Inputs!$F$65*Inputs!$F$35,0))</f>
        <v/>
      </c>
      <c r="K19" s="11">
        <f>IF(Time!K17&lt;Time!$F$11,SUMIFS(Construction!$J$28:$BJ$28,Construction!$J$12:$BJ$12,"&lt;="&amp;Time!K17),IF(Time!K17&lt;Time!$F$14,Inputs!$F$65*Inputs!$F$35,0))</f>
        <v/>
      </c>
      <c r="L19" s="11">
        <f>IF(Time!L17&lt;Time!$F$11,SUMIFS(Construction!$J$28:$BJ$28,Construction!$J$12:$BJ$12,"&lt;="&amp;Time!L17),IF(Time!L17&lt;Time!$F$14,Inputs!$F$65*Inputs!$F$35,0))</f>
        <v/>
      </c>
      <c r="M19" s="11">
        <f>IF(Time!M17&lt;Time!$F$11,SUMIFS(Construction!$J$28:$BJ$28,Construction!$J$12:$BJ$12,"&lt;="&amp;Time!M17),IF(Time!M17&lt;Time!$F$14,Inputs!$F$65*Inputs!$F$35,0))</f>
        <v/>
      </c>
      <c r="N19" s="11">
        <f>IF(Time!N17&lt;Time!$F$11,SUMIFS(Construction!$J$28:$BJ$28,Construction!$J$12:$BJ$12,"&lt;="&amp;Time!N17),IF(Time!N17&lt;Time!$F$14,Inputs!$F$65*Inputs!$F$35,0))</f>
        <v/>
      </c>
      <c r="O19" s="11">
        <f>IF(Time!O17&lt;Time!$F$11,SUMIFS(Construction!$J$28:$BJ$28,Construction!$J$12:$BJ$12,"&lt;="&amp;Time!O17),IF(Time!O17&lt;Time!$F$14,Inputs!$F$65*Inputs!$F$35,0))</f>
        <v/>
      </c>
      <c r="P19" s="11">
        <f>IF(Time!P17&lt;Time!$F$11,SUMIFS(Construction!$J$28:$BJ$28,Construction!$J$12:$BJ$12,"&lt;="&amp;Time!P17),IF(Time!P17&lt;Time!$F$14,Inputs!$F$65*Inputs!$F$35,0))</f>
        <v/>
      </c>
      <c r="Q19" s="11">
        <f>IF(Time!Q17&lt;Time!$F$11,SUMIFS(Construction!$J$28:$BJ$28,Construction!$J$12:$BJ$12,"&lt;="&amp;Time!Q17),IF(Time!Q17&lt;Time!$F$14,Inputs!$F$65*Inputs!$F$35,0))</f>
        <v/>
      </c>
      <c r="R19" s="11">
        <f>IF(Time!R17&lt;Time!$F$11,SUMIFS(Construction!$J$28:$BJ$28,Construction!$J$12:$BJ$12,"&lt;="&amp;Time!R17),IF(Time!R17&lt;Time!$F$14,Inputs!$F$65*Inputs!$F$35,0))</f>
        <v/>
      </c>
      <c r="S19" s="11">
        <f>IF(Time!S17&lt;Time!$F$11,SUMIFS(Construction!$J$28:$BJ$28,Construction!$J$12:$BJ$12,"&lt;="&amp;Time!S17),IF(Time!S17&lt;Time!$F$14,Inputs!$F$65*Inputs!$F$35,0))</f>
        <v/>
      </c>
      <c r="T19" s="11">
        <f>IF(Time!T17&lt;Time!$F$11,SUMIFS(Construction!$J$28:$BJ$28,Construction!$J$12:$BJ$12,"&lt;="&amp;Time!T17),IF(Time!T17&lt;Time!$F$14,Inputs!$F$65*Inputs!$F$35,0))</f>
        <v/>
      </c>
      <c r="U19" s="11">
        <f>IF(Time!U17&lt;Time!$F$11,SUMIFS(Construction!$J$28:$BJ$28,Construction!$J$12:$BJ$12,"&lt;="&amp;Time!U17),IF(Time!U17&lt;Time!$F$14,Inputs!$F$65*Inputs!$F$35,0))</f>
        <v/>
      </c>
      <c r="V19" s="11">
        <f>IF(Time!V17&lt;Time!$F$11,SUMIFS(Construction!$J$28:$BJ$28,Construction!$J$12:$BJ$12,"&lt;="&amp;Time!V17),IF(Time!V17&lt;Time!$F$14,Inputs!$F$65*Inputs!$F$35,0))</f>
        <v/>
      </c>
      <c r="W19" s="11">
        <f>IF(Time!W17&lt;Time!$F$11,SUMIFS(Construction!$J$28:$BJ$28,Construction!$J$12:$BJ$12,"&lt;="&amp;Time!W17),IF(Time!W17&lt;Time!$F$14,Inputs!$F$65*Inputs!$F$35,0))</f>
        <v/>
      </c>
      <c r="X19" s="11">
        <f>IF(Time!X17&lt;Time!$F$11,SUMIFS(Construction!$J$28:$BJ$28,Construction!$J$12:$BJ$12,"&lt;="&amp;Time!X17),IF(Time!X17&lt;Time!$F$14,Inputs!$F$65*Inputs!$F$35,0))</f>
        <v/>
      </c>
      <c r="Y19" s="11">
        <f>IF(Time!Y17&lt;Time!$F$11,SUMIFS(Construction!$J$28:$BJ$28,Construction!$J$12:$BJ$12,"&lt;="&amp;Time!Y17),IF(Time!Y17&lt;Time!$F$14,Inputs!$F$65*Inputs!$F$35,0))</f>
        <v/>
      </c>
      <c r="Z19" s="11">
        <f>IF(Time!Z17&lt;Time!$F$11,SUMIFS(Construction!$J$28:$BJ$28,Construction!$J$12:$BJ$12,"&lt;="&amp;Time!Z17),IF(Time!Z17&lt;Time!$F$14,Inputs!$F$65*Inputs!$F$35,0))</f>
        <v/>
      </c>
      <c r="AA19" s="11">
        <f>IF(Time!AA17&lt;Time!$F$11,SUMIFS(Construction!$J$28:$BJ$28,Construction!$J$12:$BJ$12,"&lt;="&amp;Time!AA17),IF(Time!AA17&lt;Time!$F$14,Inputs!$F$65*Inputs!$F$35,0))</f>
        <v/>
      </c>
      <c r="AB19" s="11">
        <f>IF(Time!AB17&lt;Time!$F$11,SUMIFS(Construction!$J$28:$BJ$28,Construction!$J$12:$BJ$12,"&lt;="&amp;Time!AB17),IF(Time!AB17&lt;Time!$F$14,Inputs!$F$65*Inputs!$F$35,0))</f>
        <v/>
      </c>
      <c r="AC19" s="11">
        <f>IF(Time!AC17&lt;Time!$F$11,SUMIFS(Construction!$J$28:$BJ$28,Construction!$J$12:$BJ$12,"&lt;="&amp;Time!AC17),IF(Time!AC17&lt;Time!$F$14,Inputs!$F$65*Inputs!$F$35,0))</f>
        <v/>
      </c>
      <c r="AD19" s="11">
        <f>IF(Time!AD17&lt;Time!$F$11,SUMIFS(Construction!$J$28:$BJ$28,Construction!$J$12:$BJ$12,"&lt;="&amp;Time!AD17),IF(Time!AD17&lt;Time!$F$14,Inputs!$F$65*Inputs!$F$35,0))</f>
        <v/>
      </c>
      <c r="AE19" s="11">
        <f>IF(Time!AE17&lt;Time!$F$11,SUMIFS(Construction!$J$28:$BJ$28,Construction!$J$12:$BJ$12,"&lt;="&amp;Time!AE17),IF(Time!AE17&lt;Time!$F$14,Inputs!$F$65*Inputs!$F$35,0))</f>
        <v/>
      </c>
      <c r="AF19" s="11">
        <f>IF(Time!AF17&lt;Time!$F$11,SUMIFS(Construction!$J$28:$BJ$28,Construction!$J$12:$BJ$12,"&lt;="&amp;Time!AF17),IF(Time!AF17&lt;Time!$F$14,Inputs!$F$65*Inputs!$F$35,0))</f>
        <v/>
      </c>
      <c r="AG19" s="11">
        <f>IF(Time!AG17&lt;Time!$F$11,SUMIFS(Construction!$J$28:$BJ$28,Construction!$J$12:$BJ$12,"&lt;="&amp;Time!AG17),IF(Time!AG17&lt;Time!$F$14,Inputs!$F$65*Inputs!$F$35,0))</f>
        <v/>
      </c>
      <c r="AH19" s="11">
        <f>IF(Time!AH17&lt;Time!$F$11,SUMIFS(Construction!$J$28:$BJ$28,Construction!$J$12:$BJ$12,"&lt;="&amp;Time!AH17),IF(Time!AH17&lt;Time!$F$14,Inputs!$F$65*Inputs!$F$35,0))</f>
        <v/>
      </c>
      <c r="AI19" s="11">
        <f>IF(Time!AI17&lt;Time!$F$11,SUMIFS(Construction!$J$28:$BJ$28,Construction!$J$12:$BJ$12,"&lt;="&amp;Time!AI17),IF(Time!AI17&lt;Time!$F$14,Inputs!$F$65*Inputs!$F$35,0))</f>
        <v/>
      </c>
      <c r="AJ19" s="11">
        <f>IF(Time!AJ17&lt;Time!$F$11,SUMIFS(Construction!$J$28:$BJ$28,Construction!$J$12:$BJ$12,"&lt;="&amp;Time!AJ17),IF(Time!AJ17&lt;Time!$F$14,Inputs!$F$65*Inputs!$F$35,0))</f>
        <v/>
      </c>
      <c r="AK19" s="11">
        <f>IF(Time!AK17&lt;Time!$F$11,SUMIFS(Construction!$J$28:$BJ$28,Construction!$J$12:$BJ$12,"&lt;="&amp;Time!AK17),IF(Time!AK17&lt;Time!$F$14,Inputs!$F$65*Inputs!$F$35,0))</f>
        <v/>
      </c>
      <c r="AL19" s="11">
        <f>IF(Time!AL17&lt;Time!$F$11,SUMIFS(Construction!$J$28:$BJ$28,Construction!$J$12:$BJ$12,"&lt;="&amp;Time!AL17),IF(Time!AL17&lt;Time!$F$14,Inputs!$F$65*Inputs!$F$35,0))</f>
        <v/>
      </c>
      <c r="AM19" s="11">
        <f>IF(Time!AM17&lt;Time!$F$11,SUMIFS(Construction!$J$28:$BJ$28,Construction!$J$12:$BJ$12,"&lt;="&amp;Time!AM17),IF(Time!AM17&lt;Time!$F$14,Inputs!$F$65*Inputs!$F$35,0))</f>
        <v/>
      </c>
      <c r="AN19" s="11">
        <f>IF(Time!AN17&lt;Time!$F$11,SUMIFS(Construction!$J$28:$BJ$28,Construction!$J$12:$BJ$12,"&lt;="&amp;Time!AN17),IF(Time!AN17&lt;Time!$F$14,Inputs!$F$65*Inputs!$F$35,0))</f>
        <v/>
      </c>
      <c r="AO19" s="11">
        <f>IF(Time!AO17&lt;Time!$F$11,SUMIFS(Construction!$J$28:$BJ$28,Construction!$J$12:$BJ$12,"&lt;="&amp;Time!AO17),IF(Time!AO17&lt;Time!$F$14,Inputs!$F$65*Inputs!$F$35,0))</f>
        <v/>
      </c>
      <c r="AP19" s="11">
        <f>IF(Time!AP17&lt;Time!$F$11,SUMIFS(Construction!$J$28:$BJ$28,Construction!$J$12:$BJ$12,"&lt;="&amp;Time!AP17),IF(Time!AP17&lt;Time!$F$14,Inputs!$F$65*Inputs!$F$35,0))</f>
        <v/>
      </c>
      <c r="AQ19" s="11">
        <f>IF(Time!AQ17&lt;Time!$F$11,SUMIFS(Construction!$J$28:$BJ$28,Construction!$J$12:$BJ$12,"&lt;="&amp;Time!AQ17),IF(Time!AQ17&lt;Time!$F$14,Inputs!$F$65*Inputs!$F$35,0))</f>
        <v/>
      </c>
      <c r="AR19" s="11">
        <f>IF(Time!AR17&lt;Time!$F$11,SUMIFS(Construction!$J$28:$BJ$28,Construction!$J$12:$BJ$12,"&lt;="&amp;Time!AR17),IF(Time!AR17&lt;Time!$F$14,Inputs!$F$65*Inputs!$F$35,0))</f>
        <v/>
      </c>
      <c r="AS19" s="11">
        <f>IF(Time!AS17&lt;Time!$F$11,SUMIFS(Construction!$J$28:$BJ$28,Construction!$J$12:$BJ$12,"&lt;="&amp;Time!AS17),IF(Time!AS17&lt;Time!$F$14,Inputs!$F$65*Inputs!$F$35,0))</f>
        <v/>
      </c>
      <c r="AT19" s="11">
        <f>IF(Time!AT17&lt;Time!$F$11,SUMIFS(Construction!$J$28:$BJ$28,Construction!$J$12:$BJ$12,"&lt;="&amp;Time!AT17),IF(Time!AT17&lt;Time!$F$14,Inputs!$F$65*Inputs!$F$35,0))</f>
        <v/>
      </c>
      <c r="AU19" s="11">
        <f>IF(Time!AU17&lt;Time!$F$11,SUMIFS(Construction!$J$28:$BJ$28,Construction!$J$12:$BJ$12,"&lt;="&amp;Time!AU17),IF(Time!AU17&lt;Time!$F$14,Inputs!$F$65*Inputs!$F$35,0))</f>
        <v/>
      </c>
      <c r="AV19" s="11">
        <f>IF(Time!AV17&lt;Time!$F$11,SUMIFS(Construction!$J$28:$BJ$28,Construction!$J$12:$BJ$12,"&lt;="&amp;Time!AV17),IF(Time!AV17&lt;Time!$F$14,Inputs!$F$65*Inputs!$F$35,0))</f>
        <v/>
      </c>
      <c r="AW19" s="11">
        <f>IF(Time!AW17&lt;Time!$F$11,SUMIFS(Construction!$J$28:$BJ$28,Construction!$J$12:$BJ$12,"&lt;="&amp;Time!AW17),IF(Time!AW17&lt;Time!$F$14,Inputs!$F$65*Inputs!$F$35,0))</f>
        <v/>
      </c>
      <c r="AX19" s="11">
        <f>IF(Time!AX17&lt;Time!$F$11,SUMIFS(Construction!$J$28:$BJ$28,Construction!$J$12:$BJ$12,"&lt;="&amp;Time!AX17),IF(Time!AX17&lt;Time!$F$14,Inputs!$F$65*Inputs!$F$35,0))</f>
        <v/>
      </c>
      <c r="AY19" s="11">
        <f>IF(Time!AY17&lt;Time!$F$11,SUMIFS(Construction!$J$28:$BJ$28,Construction!$J$12:$BJ$12,"&lt;="&amp;Time!AY17),IF(Time!AY17&lt;Time!$F$14,Inputs!$F$65*Inputs!$F$35,0))</f>
        <v/>
      </c>
      <c r="AZ19" s="11">
        <f>IF(Time!AZ17&lt;Time!$F$11,SUMIFS(Construction!$J$28:$BJ$28,Construction!$J$12:$BJ$12,"&lt;="&amp;Time!AZ17),IF(Time!AZ17&lt;Time!$F$14,Inputs!$F$65*Inputs!$F$35,0))</f>
        <v/>
      </c>
      <c r="BA19" s="11">
        <f>IF(Time!BA17&lt;Time!$F$11,SUMIFS(Construction!$J$28:$BJ$28,Construction!$J$12:$BJ$12,"&lt;="&amp;Time!BA17),IF(Time!BA17&lt;Time!$F$14,Inputs!$F$65*Inputs!$F$35,0))</f>
        <v/>
      </c>
      <c r="BB19" s="11">
        <f>IF(Time!BB17&lt;Time!$F$11,SUMIFS(Construction!$J$28:$BJ$28,Construction!$J$12:$BJ$12,"&lt;="&amp;Time!BB17),IF(Time!BB17&lt;Time!$F$14,Inputs!$F$65*Inputs!$F$35,0))</f>
        <v/>
      </c>
      <c r="BC19" s="11">
        <f>IF(Time!BC17&lt;Time!$F$11,SUMIFS(Construction!$J$28:$BJ$28,Construction!$J$12:$BJ$12,"&lt;="&amp;Time!BC17),IF(Time!BC17&lt;Time!$F$14,Inputs!$F$65*Inputs!$F$35,0))</f>
        <v/>
      </c>
      <c r="BD19" s="11">
        <f>IF(Time!BD17&lt;Time!$F$11,SUMIFS(Construction!$J$28:$BJ$28,Construction!$J$12:$BJ$12,"&lt;="&amp;Time!BD17),IF(Time!BD17&lt;Time!$F$14,Inputs!$F$65*Inputs!$F$35,0))</f>
        <v/>
      </c>
      <c r="BE19" s="11">
        <f>IF(Time!BE17&lt;Time!$F$11,SUMIFS(Construction!$J$28:$BJ$28,Construction!$J$12:$BJ$12,"&lt;="&amp;Time!BE17),IF(Time!BE17&lt;Time!$F$14,Inputs!$F$65*Inputs!$F$35,0))</f>
        <v/>
      </c>
      <c r="BF19" s="11">
        <f>IF(Time!BF17&lt;Time!$F$11,SUMIFS(Construction!$J$28:$BJ$28,Construction!$J$12:$BJ$12,"&lt;="&amp;Time!BF17),IF(Time!BF17&lt;Time!$F$14,Inputs!$F$65*Inputs!$F$35,0))</f>
        <v/>
      </c>
      <c r="BG19" s="11">
        <f>IF(Time!BG17&lt;Time!$F$11,SUMIFS(Construction!$J$28:$BJ$28,Construction!$J$12:$BJ$12,"&lt;="&amp;Time!BG17),IF(Time!BG17&lt;Time!$F$14,Inputs!$F$65*Inputs!$F$35,0))</f>
        <v/>
      </c>
      <c r="BH19" s="11">
        <f>IF(Time!BH17&lt;Time!$F$11,SUMIFS(Construction!$J$28:$BJ$28,Construction!$J$12:$BJ$12,"&lt;="&amp;Time!BH17),IF(Time!BH17&lt;Time!$F$14,Inputs!$F$65*Inputs!$F$35,0))</f>
        <v/>
      </c>
      <c r="BI19" s="11">
        <f>IF(Time!BI17&lt;Time!$F$11,SUMIFS(Construction!$J$28:$BJ$28,Construction!$J$12:$BJ$12,"&lt;="&amp;Time!BI17),IF(Time!BI17&lt;Time!$F$14,Inputs!$F$65*Inputs!$F$35,0))</f>
        <v/>
      </c>
      <c r="BJ19" s="11">
        <f>IF(Time!BJ17&lt;Time!$F$11,SUMIFS(Construction!$J$28:$BJ$28,Construction!$J$12:$BJ$12,"&lt;="&amp;Time!BJ17),IF(Time!BJ17&lt;Time!$F$14,Inputs!$F$65*Inputs!$F$35,0))</f>
        <v/>
      </c>
      <c r="BK19" s="11">
        <f>IF(Time!BK17&lt;Time!$F$11,SUMIFS(Construction!$J$28:$BJ$28,Construction!$J$12:$BJ$12,"&lt;="&amp;Time!BK17),IF(Time!BK17&lt;Time!$F$14,Inputs!$F$65*Inputs!$F$35,0))</f>
        <v/>
      </c>
      <c r="BL19" s="11">
        <f>IF(Time!BL17&lt;Time!$F$11,SUMIFS(Construction!$J$28:$BJ$28,Construction!$J$12:$BJ$12,"&lt;="&amp;Time!BL17),IF(Time!BL17&lt;Time!$F$14,Inputs!$F$65*Inputs!$F$35,0))</f>
        <v/>
      </c>
      <c r="BM19" s="11">
        <f>IF(Time!BM17&lt;Time!$F$11,SUMIFS(Construction!$J$28:$BJ$28,Construction!$J$12:$BJ$12,"&lt;="&amp;Time!BM17),IF(Time!BM17&lt;Time!$F$14,Inputs!$F$65*Inputs!$F$35,0))</f>
        <v/>
      </c>
      <c r="BN19" s="11">
        <f>IF(Time!BN17&lt;Time!$F$11,SUMIFS(Construction!$J$28:$BJ$28,Construction!$J$12:$BJ$12,"&lt;="&amp;Time!BN17),IF(Time!BN17&lt;Time!$F$14,Inputs!$F$65*Inputs!$F$35,0))</f>
        <v/>
      </c>
    </row>
    <row r="20">
      <c r="D20" t="inlineStr">
        <is>
          <t>Deferred tax asset</t>
        </is>
      </c>
      <c r="E20" t="inlineStr">
        <is>
          <t>USD m</t>
        </is>
      </c>
      <c r="J20" s="11">
        <f>MAX(0,-J12)</f>
        <v/>
      </c>
      <c r="K20" s="11">
        <f>MAX(0,-K12)</f>
        <v/>
      </c>
      <c r="L20" s="11">
        <f>MAX(0,-L12)</f>
        <v/>
      </c>
      <c r="M20" s="11">
        <f>MAX(0,-M12)</f>
        <v/>
      </c>
      <c r="N20" s="11">
        <f>MAX(0,-N12)</f>
        <v/>
      </c>
      <c r="O20" s="11">
        <f>MAX(0,-O12)</f>
        <v/>
      </c>
      <c r="P20" s="11">
        <f>MAX(0,-P12)</f>
        <v/>
      </c>
      <c r="Q20" s="11">
        <f>MAX(0,-Q12)</f>
        <v/>
      </c>
      <c r="R20" s="11">
        <f>MAX(0,-R12)</f>
        <v/>
      </c>
      <c r="S20" s="11">
        <f>MAX(0,-S12)</f>
        <v/>
      </c>
      <c r="T20" s="11">
        <f>MAX(0,-T12)</f>
        <v/>
      </c>
      <c r="U20" s="11">
        <f>MAX(0,-U12)</f>
        <v/>
      </c>
      <c r="V20" s="11">
        <f>MAX(0,-V12)</f>
        <v/>
      </c>
      <c r="W20" s="11">
        <f>MAX(0,-W12)</f>
        <v/>
      </c>
      <c r="X20" s="11">
        <f>MAX(0,-X12)</f>
        <v/>
      </c>
      <c r="Y20" s="11">
        <f>MAX(0,-Y12)</f>
        <v/>
      </c>
      <c r="Z20" s="11">
        <f>MAX(0,-Z12)</f>
        <v/>
      </c>
      <c r="AA20" s="11">
        <f>MAX(0,-AA12)</f>
        <v/>
      </c>
      <c r="AB20" s="11">
        <f>MAX(0,-AB12)</f>
        <v/>
      </c>
      <c r="AC20" s="11">
        <f>MAX(0,-AC12)</f>
        <v/>
      </c>
      <c r="AD20" s="11">
        <f>MAX(0,-AD12)</f>
        <v/>
      </c>
      <c r="AE20" s="11">
        <f>MAX(0,-AE12)</f>
        <v/>
      </c>
      <c r="AF20" s="11">
        <f>MAX(0,-AF12)</f>
        <v/>
      </c>
      <c r="AG20" s="11">
        <f>MAX(0,-AG12)</f>
        <v/>
      </c>
      <c r="AH20" s="11">
        <f>MAX(0,-AH12)</f>
        <v/>
      </c>
      <c r="AI20" s="11">
        <f>MAX(0,-AI12)</f>
        <v/>
      </c>
      <c r="AJ20" s="11">
        <f>MAX(0,-AJ12)</f>
        <v/>
      </c>
      <c r="AK20" s="11">
        <f>MAX(0,-AK12)</f>
        <v/>
      </c>
      <c r="AL20" s="11">
        <f>MAX(0,-AL12)</f>
        <v/>
      </c>
      <c r="AM20" s="11">
        <f>MAX(0,-AM12)</f>
        <v/>
      </c>
      <c r="AN20" s="11">
        <f>MAX(0,-AN12)</f>
        <v/>
      </c>
      <c r="AO20" s="11">
        <f>MAX(0,-AO12)</f>
        <v/>
      </c>
      <c r="AP20" s="11">
        <f>MAX(0,-AP12)</f>
        <v/>
      </c>
      <c r="AQ20" s="11">
        <f>MAX(0,-AQ12)</f>
        <v/>
      </c>
      <c r="AR20" s="11">
        <f>MAX(0,-AR12)</f>
        <v/>
      </c>
      <c r="AS20" s="11">
        <f>MAX(0,-AS12)</f>
        <v/>
      </c>
      <c r="AT20" s="11">
        <f>MAX(0,-AT12)</f>
        <v/>
      </c>
      <c r="AU20" s="11">
        <f>MAX(0,-AU12)</f>
        <v/>
      </c>
      <c r="AV20" s="11">
        <f>MAX(0,-AV12)</f>
        <v/>
      </c>
      <c r="AW20" s="11">
        <f>MAX(0,-AW12)</f>
        <v/>
      </c>
      <c r="AX20" s="11">
        <f>MAX(0,-AX12)</f>
        <v/>
      </c>
      <c r="AY20" s="11">
        <f>MAX(0,-AY12)</f>
        <v/>
      </c>
      <c r="AZ20" s="11">
        <f>MAX(0,-AZ12)</f>
        <v/>
      </c>
      <c r="BA20" s="11">
        <f>MAX(0,-BA12)</f>
        <v/>
      </c>
      <c r="BB20" s="11">
        <f>MAX(0,-BB12)</f>
        <v/>
      </c>
      <c r="BC20" s="11">
        <f>MAX(0,-BC12)</f>
        <v/>
      </c>
      <c r="BD20" s="11">
        <f>MAX(0,-BD12)</f>
        <v/>
      </c>
      <c r="BE20" s="11">
        <f>MAX(0,-BE12)</f>
        <v/>
      </c>
      <c r="BF20" s="11">
        <f>MAX(0,-BF12)</f>
        <v/>
      </c>
      <c r="BG20" s="11">
        <f>MAX(0,-BG12)</f>
        <v/>
      </c>
      <c r="BH20" s="11">
        <f>MAX(0,-BH12)</f>
        <v/>
      </c>
      <c r="BI20" s="11">
        <f>MAX(0,-BI12)</f>
        <v/>
      </c>
      <c r="BJ20" s="11">
        <f>MAX(0,-BJ12)</f>
        <v/>
      </c>
      <c r="BK20" s="11">
        <f>MAX(0,-BK12)</f>
        <v/>
      </c>
      <c r="BL20" s="11">
        <f>MAX(0,-BL12)</f>
        <v/>
      </c>
      <c r="BM20" s="11">
        <f>MAX(0,-BM12)</f>
        <v/>
      </c>
      <c r="BN20" s="11">
        <f>MAX(0,-BN12)</f>
        <v/>
      </c>
    </row>
    <row r="21">
      <c r="D21" t="inlineStr">
        <is>
          <t>Total assets</t>
        </is>
      </c>
      <c r="E21" t="inlineStr">
        <is>
          <t>USD m</t>
        </is>
      </c>
      <c r="J21" s="11">
        <f>J16+J17+J18+J19+J20</f>
        <v/>
      </c>
      <c r="K21" s="11">
        <f>K16+K17+K18+K19+K20</f>
        <v/>
      </c>
      <c r="L21" s="11">
        <f>L16+L17+L18+L19+L20</f>
        <v/>
      </c>
      <c r="M21" s="11">
        <f>M16+M17+M18+M19+M20</f>
        <v/>
      </c>
      <c r="N21" s="11">
        <f>N16+N17+N18+N19+N20</f>
        <v/>
      </c>
      <c r="O21" s="11">
        <f>O16+O17+O18+O19+O20</f>
        <v/>
      </c>
      <c r="P21" s="11">
        <f>P16+P17+P18+P19+P20</f>
        <v/>
      </c>
      <c r="Q21" s="11">
        <f>Q16+Q17+Q18+Q19+Q20</f>
        <v/>
      </c>
      <c r="R21" s="11">
        <f>R16+R17+R18+R19+R20</f>
        <v/>
      </c>
      <c r="S21" s="11">
        <f>S16+S17+S18+S19+S20</f>
        <v/>
      </c>
      <c r="T21" s="11">
        <f>T16+T17+T18+T19+T20</f>
        <v/>
      </c>
      <c r="U21" s="11">
        <f>U16+U17+U18+U19+U20</f>
        <v/>
      </c>
      <c r="V21" s="11">
        <f>V16+V17+V18+V19+V20</f>
        <v/>
      </c>
      <c r="W21" s="11">
        <f>W16+W17+W18+W19+W20</f>
        <v/>
      </c>
      <c r="X21" s="11">
        <f>X16+X17+X18+X19+X20</f>
        <v/>
      </c>
      <c r="Y21" s="11">
        <f>Y16+Y17+Y18+Y19+Y20</f>
        <v/>
      </c>
      <c r="Z21" s="11">
        <f>Z16+Z17+Z18+Z19+Z20</f>
        <v/>
      </c>
      <c r="AA21" s="11">
        <f>AA16+AA17+AA18+AA19+AA20</f>
        <v/>
      </c>
      <c r="AB21" s="11">
        <f>AB16+AB17+AB18+AB19+AB20</f>
        <v/>
      </c>
      <c r="AC21" s="11">
        <f>AC16+AC17+AC18+AC19+AC20</f>
        <v/>
      </c>
      <c r="AD21" s="11">
        <f>AD16+AD17+AD18+AD19+AD20</f>
        <v/>
      </c>
      <c r="AE21" s="11">
        <f>AE16+AE17+AE18+AE19+AE20</f>
        <v/>
      </c>
      <c r="AF21" s="11">
        <f>AF16+AF17+AF18+AF19+AF20</f>
        <v/>
      </c>
      <c r="AG21" s="11">
        <f>AG16+AG17+AG18+AG19+AG20</f>
        <v/>
      </c>
      <c r="AH21" s="11">
        <f>AH16+AH17+AH18+AH19+AH20</f>
        <v/>
      </c>
      <c r="AI21" s="11">
        <f>AI16+AI17+AI18+AI19+AI20</f>
        <v/>
      </c>
      <c r="AJ21" s="11">
        <f>AJ16+AJ17+AJ18+AJ19+AJ20</f>
        <v/>
      </c>
      <c r="AK21" s="11">
        <f>AK16+AK17+AK18+AK19+AK20</f>
        <v/>
      </c>
      <c r="AL21" s="11">
        <f>AL16+AL17+AL18+AL19+AL20</f>
        <v/>
      </c>
      <c r="AM21" s="11">
        <f>AM16+AM17+AM18+AM19+AM20</f>
        <v/>
      </c>
      <c r="AN21" s="11">
        <f>AN16+AN17+AN18+AN19+AN20</f>
        <v/>
      </c>
      <c r="AO21" s="11">
        <f>AO16+AO17+AO18+AO19+AO20</f>
        <v/>
      </c>
      <c r="AP21" s="11">
        <f>AP16+AP17+AP18+AP19+AP20</f>
        <v/>
      </c>
      <c r="AQ21" s="11">
        <f>AQ16+AQ17+AQ18+AQ19+AQ20</f>
        <v/>
      </c>
      <c r="AR21" s="11">
        <f>AR16+AR17+AR18+AR19+AR20</f>
        <v/>
      </c>
      <c r="AS21" s="11">
        <f>AS16+AS17+AS18+AS19+AS20</f>
        <v/>
      </c>
      <c r="AT21" s="11">
        <f>AT16+AT17+AT18+AT19+AT20</f>
        <v/>
      </c>
      <c r="AU21" s="11">
        <f>AU16+AU17+AU18+AU19+AU20</f>
        <v/>
      </c>
      <c r="AV21" s="11">
        <f>AV16+AV17+AV18+AV19+AV20</f>
        <v/>
      </c>
      <c r="AW21" s="11">
        <f>AW16+AW17+AW18+AW19+AW20</f>
        <v/>
      </c>
      <c r="AX21" s="11">
        <f>AX16+AX17+AX18+AX19+AX20</f>
        <v/>
      </c>
      <c r="AY21" s="11">
        <f>AY16+AY17+AY18+AY19+AY20</f>
        <v/>
      </c>
      <c r="AZ21" s="11">
        <f>AZ16+AZ17+AZ18+AZ19+AZ20</f>
        <v/>
      </c>
      <c r="BA21" s="11">
        <f>BA16+BA17+BA18+BA19+BA20</f>
        <v/>
      </c>
      <c r="BB21" s="11">
        <f>BB16+BB17+BB18+BB19+BB20</f>
        <v/>
      </c>
      <c r="BC21" s="11">
        <f>BC16+BC17+BC18+BC19+BC20</f>
        <v/>
      </c>
      <c r="BD21" s="11">
        <f>BD16+BD17+BD18+BD19+BD20</f>
        <v/>
      </c>
      <c r="BE21" s="11">
        <f>BE16+BE17+BE18+BE19+BE20</f>
        <v/>
      </c>
      <c r="BF21" s="11">
        <f>BF16+BF17+BF18+BF19+BF20</f>
        <v/>
      </c>
      <c r="BG21" s="11">
        <f>BG16+BG17+BG18+BG19+BG20</f>
        <v/>
      </c>
      <c r="BH21" s="11">
        <f>BH16+BH17+BH18+BH19+BH20</f>
        <v/>
      </c>
      <c r="BI21" s="11">
        <f>BI16+BI17+BI18+BI19+BI20</f>
        <v/>
      </c>
      <c r="BJ21" s="11">
        <f>BJ16+BJ17+BJ18+BJ19+BJ20</f>
        <v/>
      </c>
      <c r="BK21" s="11">
        <f>BK16+BK17+BK18+BK19+BK20</f>
        <v/>
      </c>
      <c r="BL21" s="11">
        <f>BL16+BL17+BL18+BL19+BL20</f>
        <v/>
      </c>
      <c r="BM21" s="11">
        <f>BM16+BM17+BM18+BM19+BM20</f>
        <v/>
      </c>
      <c r="BN21" s="11">
        <f>BN16+BN17+BN18+BN19+BN20</f>
        <v/>
      </c>
    </row>
    <row r="22">
      <c r="D22" t="inlineStr">
        <is>
          <t>Senior debt</t>
        </is>
      </c>
      <c r="E22" t="inlineStr">
        <is>
          <t>USD m</t>
        </is>
      </c>
      <c r="J22" s="11">
        <f>IF(Time!J17&lt;Time!$F$11,SUMIFS(Funding!$J$73:$BJ$73,Construction!$J$12:$BJ$12,"&lt;="&amp;Time!J17),Debt!J123)</f>
        <v/>
      </c>
      <c r="K22" s="11">
        <f>IF(Time!K17&lt;Time!$F$11,SUMIFS(Funding!$J$73:$BJ$73,Construction!$J$12:$BJ$12,"&lt;="&amp;Time!K17),Debt!K123)</f>
        <v/>
      </c>
      <c r="L22" s="11">
        <f>IF(Time!L17&lt;Time!$F$11,SUMIFS(Funding!$J$73:$BJ$73,Construction!$J$12:$BJ$12,"&lt;="&amp;Time!L17),Debt!L123)</f>
        <v/>
      </c>
      <c r="M22" s="11">
        <f>IF(Time!M17&lt;Time!$F$11,SUMIFS(Funding!$J$73:$BJ$73,Construction!$J$12:$BJ$12,"&lt;="&amp;Time!M17),Debt!M123)</f>
        <v/>
      </c>
      <c r="N22" s="11">
        <f>IF(Time!N17&lt;Time!$F$11,SUMIFS(Funding!$J$73:$BJ$73,Construction!$J$12:$BJ$12,"&lt;="&amp;Time!N17),Debt!N123)</f>
        <v/>
      </c>
      <c r="O22" s="11">
        <f>IF(Time!O17&lt;Time!$F$11,SUMIFS(Funding!$J$73:$BJ$73,Construction!$J$12:$BJ$12,"&lt;="&amp;Time!O17),Debt!O123)</f>
        <v/>
      </c>
      <c r="P22" s="11">
        <f>IF(Time!P17&lt;Time!$F$11,SUMIFS(Funding!$J$73:$BJ$73,Construction!$J$12:$BJ$12,"&lt;="&amp;Time!P17),Debt!P123)</f>
        <v/>
      </c>
      <c r="Q22" s="11">
        <f>IF(Time!Q17&lt;Time!$F$11,SUMIFS(Funding!$J$73:$BJ$73,Construction!$J$12:$BJ$12,"&lt;="&amp;Time!Q17),Debt!Q123)</f>
        <v/>
      </c>
      <c r="R22" s="11">
        <f>IF(Time!R17&lt;Time!$F$11,SUMIFS(Funding!$J$73:$BJ$73,Construction!$J$12:$BJ$12,"&lt;="&amp;Time!R17),Debt!R123)</f>
        <v/>
      </c>
      <c r="S22" s="11">
        <f>IF(Time!S17&lt;Time!$F$11,SUMIFS(Funding!$J$73:$BJ$73,Construction!$J$12:$BJ$12,"&lt;="&amp;Time!S17),Debt!S123)</f>
        <v/>
      </c>
      <c r="T22" s="11">
        <f>IF(Time!T17&lt;Time!$F$11,SUMIFS(Funding!$J$73:$BJ$73,Construction!$J$12:$BJ$12,"&lt;="&amp;Time!T17),Debt!T123)</f>
        <v/>
      </c>
      <c r="U22" s="11">
        <f>IF(Time!U17&lt;Time!$F$11,SUMIFS(Funding!$J$73:$BJ$73,Construction!$J$12:$BJ$12,"&lt;="&amp;Time!U17),Debt!U123)</f>
        <v/>
      </c>
      <c r="V22" s="11">
        <f>IF(Time!V17&lt;Time!$F$11,SUMIFS(Funding!$J$73:$BJ$73,Construction!$J$12:$BJ$12,"&lt;="&amp;Time!V17),Debt!V123)</f>
        <v/>
      </c>
      <c r="W22" s="11">
        <f>IF(Time!W17&lt;Time!$F$11,SUMIFS(Funding!$J$73:$BJ$73,Construction!$J$12:$BJ$12,"&lt;="&amp;Time!W17),Debt!W123)</f>
        <v/>
      </c>
      <c r="X22" s="11">
        <f>IF(Time!X17&lt;Time!$F$11,SUMIFS(Funding!$J$73:$BJ$73,Construction!$J$12:$BJ$12,"&lt;="&amp;Time!X17),Debt!X123)</f>
        <v/>
      </c>
      <c r="Y22" s="11">
        <f>IF(Time!Y17&lt;Time!$F$11,SUMIFS(Funding!$J$73:$BJ$73,Construction!$J$12:$BJ$12,"&lt;="&amp;Time!Y17),Debt!Y123)</f>
        <v/>
      </c>
      <c r="Z22" s="11">
        <f>IF(Time!Z17&lt;Time!$F$11,SUMIFS(Funding!$J$73:$BJ$73,Construction!$J$12:$BJ$12,"&lt;="&amp;Time!Z17),Debt!Z123)</f>
        <v/>
      </c>
      <c r="AA22" s="11">
        <f>IF(Time!AA17&lt;Time!$F$11,SUMIFS(Funding!$J$73:$BJ$73,Construction!$J$12:$BJ$12,"&lt;="&amp;Time!AA17),Debt!AA123)</f>
        <v/>
      </c>
      <c r="AB22" s="11">
        <f>IF(Time!AB17&lt;Time!$F$11,SUMIFS(Funding!$J$73:$BJ$73,Construction!$J$12:$BJ$12,"&lt;="&amp;Time!AB17),Debt!AB123)</f>
        <v/>
      </c>
      <c r="AC22" s="11">
        <f>IF(Time!AC17&lt;Time!$F$11,SUMIFS(Funding!$J$73:$BJ$73,Construction!$J$12:$BJ$12,"&lt;="&amp;Time!AC17),Debt!AC123)</f>
        <v/>
      </c>
      <c r="AD22" s="11">
        <f>IF(Time!AD17&lt;Time!$F$11,SUMIFS(Funding!$J$73:$BJ$73,Construction!$J$12:$BJ$12,"&lt;="&amp;Time!AD17),Debt!AD123)</f>
        <v/>
      </c>
      <c r="AE22" s="11">
        <f>IF(Time!AE17&lt;Time!$F$11,SUMIFS(Funding!$J$73:$BJ$73,Construction!$J$12:$BJ$12,"&lt;="&amp;Time!AE17),Debt!AE123)</f>
        <v/>
      </c>
      <c r="AF22" s="11">
        <f>IF(Time!AF17&lt;Time!$F$11,SUMIFS(Funding!$J$73:$BJ$73,Construction!$J$12:$BJ$12,"&lt;="&amp;Time!AF17),Debt!AF123)</f>
        <v/>
      </c>
      <c r="AG22" s="11">
        <f>IF(Time!AG17&lt;Time!$F$11,SUMIFS(Funding!$J$73:$BJ$73,Construction!$J$12:$BJ$12,"&lt;="&amp;Time!AG17),Debt!AG123)</f>
        <v/>
      </c>
      <c r="AH22" s="11">
        <f>IF(Time!AH17&lt;Time!$F$11,SUMIFS(Funding!$J$73:$BJ$73,Construction!$J$12:$BJ$12,"&lt;="&amp;Time!AH17),Debt!AH123)</f>
        <v/>
      </c>
      <c r="AI22" s="11">
        <f>IF(Time!AI17&lt;Time!$F$11,SUMIFS(Funding!$J$73:$BJ$73,Construction!$J$12:$BJ$12,"&lt;="&amp;Time!AI17),Debt!AI123)</f>
        <v/>
      </c>
      <c r="AJ22" s="11">
        <f>IF(Time!AJ17&lt;Time!$F$11,SUMIFS(Funding!$J$73:$BJ$73,Construction!$J$12:$BJ$12,"&lt;="&amp;Time!AJ17),Debt!AJ123)</f>
        <v/>
      </c>
      <c r="AK22" s="11">
        <f>IF(Time!AK17&lt;Time!$F$11,SUMIFS(Funding!$J$73:$BJ$73,Construction!$J$12:$BJ$12,"&lt;="&amp;Time!AK17),Debt!AK123)</f>
        <v/>
      </c>
      <c r="AL22" s="11">
        <f>IF(Time!AL17&lt;Time!$F$11,SUMIFS(Funding!$J$73:$BJ$73,Construction!$J$12:$BJ$12,"&lt;="&amp;Time!AL17),Debt!AL123)</f>
        <v/>
      </c>
      <c r="AM22" s="11">
        <f>IF(Time!AM17&lt;Time!$F$11,SUMIFS(Funding!$J$73:$BJ$73,Construction!$J$12:$BJ$12,"&lt;="&amp;Time!AM17),Debt!AM123)</f>
        <v/>
      </c>
      <c r="AN22" s="11">
        <f>IF(Time!AN17&lt;Time!$F$11,SUMIFS(Funding!$J$73:$BJ$73,Construction!$J$12:$BJ$12,"&lt;="&amp;Time!AN17),Debt!AN123)</f>
        <v/>
      </c>
      <c r="AO22" s="11">
        <f>IF(Time!AO17&lt;Time!$F$11,SUMIFS(Funding!$J$73:$BJ$73,Construction!$J$12:$BJ$12,"&lt;="&amp;Time!AO17),Debt!AO123)</f>
        <v/>
      </c>
      <c r="AP22" s="11">
        <f>IF(Time!AP17&lt;Time!$F$11,SUMIFS(Funding!$J$73:$BJ$73,Construction!$J$12:$BJ$12,"&lt;="&amp;Time!AP17),Debt!AP123)</f>
        <v/>
      </c>
      <c r="AQ22" s="11">
        <f>IF(Time!AQ17&lt;Time!$F$11,SUMIFS(Funding!$J$73:$BJ$73,Construction!$J$12:$BJ$12,"&lt;="&amp;Time!AQ17),Debt!AQ123)</f>
        <v/>
      </c>
      <c r="AR22" s="11">
        <f>IF(Time!AR17&lt;Time!$F$11,SUMIFS(Funding!$J$73:$BJ$73,Construction!$J$12:$BJ$12,"&lt;="&amp;Time!AR17),Debt!AR123)</f>
        <v/>
      </c>
      <c r="AS22" s="11">
        <f>IF(Time!AS17&lt;Time!$F$11,SUMIFS(Funding!$J$73:$BJ$73,Construction!$J$12:$BJ$12,"&lt;="&amp;Time!AS17),Debt!AS123)</f>
        <v/>
      </c>
      <c r="AT22" s="11">
        <f>IF(Time!AT17&lt;Time!$F$11,SUMIFS(Funding!$J$73:$BJ$73,Construction!$J$12:$BJ$12,"&lt;="&amp;Time!AT17),Debt!AT123)</f>
        <v/>
      </c>
      <c r="AU22" s="11">
        <f>IF(Time!AU17&lt;Time!$F$11,SUMIFS(Funding!$J$73:$BJ$73,Construction!$J$12:$BJ$12,"&lt;="&amp;Time!AU17),Debt!AU123)</f>
        <v/>
      </c>
      <c r="AV22" s="11">
        <f>IF(Time!AV17&lt;Time!$F$11,SUMIFS(Funding!$J$73:$BJ$73,Construction!$J$12:$BJ$12,"&lt;="&amp;Time!AV17),Debt!AV123)</f>
        <v/>
      </c>
      <c r="AW22" s="11">
        <f>IF(Time!AW17&lt;Time!$F$11,SUMIFS(Funding!$J$73:$BJ$73,Construction!$J$12:$BJ$12,"&lt;="&amp;Time!AW17),Debt!AW123)</f>
        <v/>
      </c>
      <c r="AX22" s="11">
        <f>IF(Time!AX17&lt;Time!$F$11,SUMIFS(Funding!$J$73:$BJ$73,Construction!$J$12:$BJ$12,"&lt;="&amp;Time!AX17),Debt!AX123)</f>
        <v/>
      </c>
      <c r="AY22" s="11">
        <f>IF(Time!AY17&lt;Time!$F$11,SUMIFS(Funding!$J$73:$BJ$73,Construction!$J$12:$BJ$12,"&lt;="&amp;Time!AY17),Debt!AY123)</f>
        <v/>
      </c>
      <c r="AZ22" s="11">
        <f>IF(Time!AZ17&lt;Time!$F$11,SUMIFS(Funding!$J$73:$BJ$73,Construction!$J$12:$BJ$12,"&lt;="&amp;Time!AZ17),Debt!AZ123)</f>
        <v/>
      </c>
      <c r="BA22" s="11">
        <f>IF(Time!BA17&lt;Time!$F$11,SUMIFS(Funding!$J$73:$BJ$73,Construction!$J$12:$BJ$12,"&lt;="&amp;Time!BA17),Debt!BA123)</f>
        <v/>
      </c>
      <c r="BB22" s="11">
        <f>IF(Time!BB17&lt;Time!$F$11,SUMIFS(Funding!$J$73:$BJ$73,Construction!$J$12:$BJ$12,"&lt;="&amp;Time!BB17),Debt!BB123)</f>
        <v/>
      </c>
      <c r="BC22" s="11">
        <f>IF(Time!BC17&lt;Time!$F$11,SUMIFS(Funding!$J$73:$BJ$73,Construction!$J$12:$BJ$12,"&lt;="&amp;Time!BC17),Debt!BC123)</f>
        <v/>
      </c>
      <c r="BD22" s="11">
        <f>IF(Time!BD17&lt;Time!$F$11,SUMIFS(Funding!$J$73:$BJ$73,Construction!$J$12:$BJ$12,"&lt;="&amp;Time!BD17),Debt!BD123)</f>
        <v/>
      </c>
      <c r="BE22" s="11">
        <f>IF(Time!BE17&lt;Time!$F$11,SUMIFS(Funding!$J$73:$BJ$73,Construction!$J$12:$BJ$12,"&lt;="&amp;Time!BE17),Debt!BE123)</f>
        <v/>
      </c>
      <c r="BF22" s="11">
        <f>IF(Time!BF17&lt;Time!$F$11,SUMIFS(Funding!$J$73:$BJ$73,Construction!$J$12:$BJ$12,"&lt;="&amp;Time!BF17),Debt!BF123)</f>
        <v/>
      </c>
      <c r="BG22" s="11">
        <f>IF(Time!BG17&lt;Time!$F$11,SUMIFS(Funding!$J$73:$BJ$73,Construction!$J$12:$BJ$12,"&lt;="&amp;Time!BG17),Debt!BG123)</f>
        <v/>
      </c>
      <c r="BH22" s="11">
        <f>IF(Time!BH17&lt;Time!$F$11,SUMIFS(Funding!$J$73:$BJ$73,Construction!$J$12:$BJ$12,"&lt;="&amp;Time!BH17),Debt!BH123)</f>
        <v/>
      </c>
      <c r="BI22" s="11">
        <f>IF(Time!BI17&lt;Time!$F$11,SUMIFS(Funding!$J$73:$BJ$73,Construction!$J$12:$BJ$12,"&lt;="&amp;Time!BI17),Debt!BI123)</f>
        <v/>
      </c>
      <c r="BJ22" s="11">
        <f>IF(Time!BJ17&lt;Time!$F$11,SUMIFS(Funding!$J$73:$BJ$73,Construction!$J$12:$BJ$12,"&lt;="&amp;Time!BJ17),Debt!BJ123)</f>
        <v/>
      </c>
      <c r="BK22" s="11">
        <f>IF(Time!BK17&lt;Time!$F$11,SUMIFS(Funding!$J$73:$BJ$73,Construction!$J$12:$BJ$12,"&lt;="&amp;Time!BK17),Debt!BK123)</f>
        <v/>
      </c>
      <c r="BL22" s="11">
        <f>IF(Time!BL17&lt;Time!$F$11,SUMIFS(Funding!$J$73:$BJ$73,Construction!$J$12:$BJ$12,"&lt;="&amp;Time!BL17),Debt!BL123)</f>
        <v/>
      </c>
      <c r="BM22" s="11">
        <f>IF(Time!BM17&lt;Time!$F$11,SUMIFS(Funding!$J$73:$BJ$73,Construction!$J$12:$BJ$12,"&lt;="&amp;Time!BM17),Debt!BM123)</f>
        <v/>
      </c>
      <c r="BN22" s="11">
        <f>IF(Time!BN17&lt;Time!$F$11,SUMIFS(Funding!$J$73:$BJ$73,Construction!$J$12:$BJ$12,"&lt;="&amp;Time!BN17),Debt!BN123)</f>
        <v/>
      </c>
    </row>
    <row r="23">
      <c r="D23" t="inlineStr">
        <is>
          <t>Shareholder loans (incl. capitalized interest)</t>
        </is>
      </c>
      <c r="E23" t="inlineStr">
        <is>
          <t>USD m</t>
        </is>
      </c>
      <c r="J23" s="11">
        <f>IF(Time!J17&lt;Time!$F$11,SUMIFS(Funding!$J$70:$BJ$70,Construction!$J$12:$BJ$12,"&lt;="&amp;Time!J17)+SUMIFS(Funding!$J$71:$BJ$71,Construction!$J$12:$BJ$12,"&lt;="&amp;Time!J17),Waterfall!J36)</f>
        <v/>
      </c>
      <c r="K23" s="11">
        <f>IF(Time!K17&lt;Time!$F$11,SUMIFS(Funding!$J$70:$BJ$70,Construction!$J$12:$BJ$12,"&lt;="&amp;Time!K17)+SUMIFS(Funding!$J$71:$BJ$71,Construction!$J$12:$BJ$12,"&lt;="&amp;Time!K17),Waterfall!K36)</f>
        <v/>
      </c>
      <c r="L23" s="11">
        <f>IF(Time!L17&lt;Time!$F$11,SUMIFS(Funding!$J$70:$BJ$70,Construction!$J$12:$BJ$12,"&lt;="&amp;Time!L17)+SUMIFS(Funding!$J$71:$BJ$71,Construction!$J$12:$BJ$12,"&lt;="&amp;Time!L17),Waterfall!L36)</f>
        <v/>
      </c>
      <c r="M23" s="11">
        <f>IF(Time!M17&lt;Time!$F$11,SUMIFS(Funding!$J$70:$BJ$70,Construction!$J$12:$BJ$12,"&lt;="&amp;Time!M17)+SUMIFS(Funding!$J$71:$BJ$71,Construction!$J$12:$BJ$12,"&lt;="&amp;Time!M17),Waterfall!M36)</f>
        <v/>
      </c>
      <c r="N23" s="11">
        <f>IF(Time!N17&lt;Time!$F$11,SUMIFS(Funding!$J$70:$BJ$70,Construction!$J$12:$BJ$12,"&lt;="&amp;Time!N17)+SUMIFS(Funding!$J$71:$BJ$71,Construction!$J$12:$BJ$12,"&lt;="&amp;Time!N17),Waterfall!N36)</f>
        <v/>
      </c>
      <c r="O23" s="11">
        <f>IF(Time!O17&lt;Time!$F$11,SUMIFS(Funding!$J$70:$BJ$70,Construction!$J$12:$BJ$12,"&lt;="&amp;Time!O17)+SUMIFS(Funding!$J$71:$BJ$71,Construction!$J$12:$BJ$12,"&lt;="&amp;Time!O17),Waterfall!O36)</f>
        <v/>
      </c>
      <c r="P23" s="11">
        <f>IF(Time!P17&lt;Time!$F$11,SUMIFS(Funding!$J$70:$BJ$70,Construction!$J$12:$BJ$12,"&lt;="&amp;Time!P17)+SUMIFS(Funding!$J$71:$BJ$71,Construction!$J$12:$BJ$12,"&lt;="&amp;Time!P17),Waterfall!P36)</f>
        <v/>
      </c>
      <c r="Q23" s="11">
        <f>IF(Time!Q17&lt;Time!$F$11,SUMIFS(Funding!$J$70:$BJ$70,Construction!$J$12:$BJ$12,"&lt;="&amp;Time!Q17)+SUMIFS(Funding!$J$71:$BJ$71,Construction!$J$12:$BJ$12,"&lt;="&amp;Time!Q17),Waterfall!Q36)</f>
        <v/>
      </c>
      <c r="R23" s="11">
        <f>IF(Time!R17&lt;Time!$F$11,SUMIFS(Funding!$J$70:$BJ$70,Construction!$J$12:$BJ$12,"&lt;="&amp;Time!R17)+SUMIFS(Funding!$J$71:$BJ$71,Construction!$J$12:$BJ$12,"&lt;="&amp;Time!R17),Waterfall!R36)</f>
        <v/>
      </c>
      <c r="S23" s="11">
        <f>IF(Time!S17&lt;Time!$F$11,SUMIFS(Funding!$J$70:$BJ$70,Construction!$J$12:$BJ$12,"&lt;="&amp;Time!S17)+SUMIFS(Funding!$J$71:$BJ$71,Construction!$J$12:$BJ$12,"&lt;="&amp;Time!S17),Waterfall!S36)</f>
        <v/>
      </c>
      <c r="T23" s="11">
        <f>IF(Time!T17&lt;Time!$F$11,SUMIFS(Funding!$J$70:$BJ$70,Construction!$J$12:$BJ$12,"&lt;="&amp;Time!T17)+SUMIFS(Funding!$J$71:$BJ$71,Construction!$J$12:$BJ$12,"&lt;="&amp;Time!T17),Waterfall!T36)</f>
        <v/>
      </c>
      <c r="U23" s="11">
        <f>IF(Time!U17&lt;Time!$F$11,SUMIFS(Funding!$J$70:$BJ$70,Construction!$J$12:$BJ$12,"&lt;="&amp;Time!U17)+SUMIFS(Funding!$J$71:$BJ$71,Construction!$J$12:$BJ$12,"&lt;="&amp;Time!U17),Waterfall!U36)</f>
        <v/>
      </c>
      <c r="V23" s="11">
        <f>IF(Time!V17&lt;Time!$F$11,SUMIFS(Funding!$J$70:$BJ$70,Construction!$J$12:$BJ$12,"&lt;="&amp;Time!V17)+SUMIFS(Funding!$J$71:$BJ$71,Construction!$J$12:$BJ$12,"&lt;="&amp;Time!V17),Waterfall!V36)</f>
        <v/>
      </c>
      <c r="W23" s="11">
        <f>IF(Time!W17&lt;Time!$F$11,SUMIFS(Funding!$J$70:$BJ$70,Construction!$J$12:$BJ$12,"&lt;="&amp;Time!W17)+SUMIFS(Funding!$J$71:$BJ$71,Construction!$J$12:$BJ$12,"&lt;="&amp;Time!W17),Waterfall!W36)</f>
        <v/>
      </c>
      <c r="X23" s="11">
        <f>IF(Time!X17&lt;Time!$F$11,SUMIFS(Funding!$J$70:$BJ$70,Construction!$J$12:$BJ$12,"&lt;="&amp;Time!X17)+SUMIFS(Funding!$J$71:$BJ$71,Construction!$J$12:$BJ$12,"&lt;="&amp;Time!X17),Waterfall!X36)</f>
        <v/>
      </c>
      <c r="Y23" s="11">
        <f>IF(Time!Y17&lt;Time!$F$11,SUMIFS(Funding!$J$70:$BJ$70,Construction!$J$12:$BJ$12,"&lt;="&amp;Time!Y17)+SUMIFS(Funding!$J$71:$BJ$71,Construction!$J$12:$BJ$12,"&lt;="&amp;Time!Y17),Waterfall!Y36)</f>
        <v/>
      </c>
      <c r="Z23" s="11">
        <f>IF(Time!Z17&lt;Time!$F$11,SUMIFS(Funding!$J$70:$BJ$70,Construction!$J$12:$BJ$12,"&lt;="&amp;Time!Z17)+SUMIFS(Funding!$J$71:$BJ$71,Construction!$J$12:$BJ$12,"&lt;="&amp;Time!Z17),Waterfall!Z36)</f>
        <v/>
      </c>
      <c r="AA23" s="11">
        <f>IF(Time!AA17&lt;Time!$F$11,SUMIFS(Funding!$J$70:$BJ$70,Construction!$J$12:$BJ$12,"&lt;="&amp;Time!AA17)+SUMIFS(Funding!$J$71:$BJ$71,Construction!$J$12:$BJ$12,"&lt;="&amp;Time!AA17),Waterfall!AA36)</f>
        <v/>
      </c>
      <c r="AB23" s="11">
        <f>IF(Time!AB17&lt;Time!$F$11,SUMIFS(Funding!$J$70:$BJ$70,Construction!$J$12:$BJ$12,"&lt;="&amp;Time!AB17)+SUMIFS(Funding!$J$71:$BJ$71,Construction!$J$12:$BJ$12,"&lt;="&amp;Time!AB17),Waterfall!AB36)</f>
        <v/>
      </c>
      <c r="AC23" s="11">
        <f>IF(Time!AC17&lt;Time!$F$11,SUMIFS(Funding!$J$70:$BJ$70,Construction!$J$12:$BJ$12,"&lt;="&amp;Time!AC17)+SUMIFS(Funding!$J$71:$BJ$71,Construction!$J$12:$BJ$12,"&lt;="&amp;Time!AC17),Waterfall!AC36)</f>
        <v/>
      </c>
      <c r="AD23" s="11">
        <f>IF(Time!AD17&lt;Time!$F$11,SUMIFS(Funding!$J$70:$BJ$70,Construction!$J$12:$BJ$12,"&lt;="&amp;Time!AD17)+SUMIFS(Funding!$J$71:$BJ$71,Construction!$J$12:$BJ$12,"&lt;="&amp;Time!AD17),Waterfall!AD36)</f>
        <v/>
      </c>
      <c r="AE23" s="11">
        <f>IF(Time!AE17&lt;Time!$F$11,SUMIFS(Funding!$J$70:$BJ$70,Construction!$J$12:$BJ$12,"&lt;="&amp;Time!AE17)+SUMIFS(Funding!$J$71:$BJ$71,Construction!$J$12:$BJ$12,"&lt;="&amp;Time!AE17),Waterfall!AE36)</f>
        <v/>
      </c>
      <c r="AF23" s="11">
        <f>IF(Time!AF17&lt;Time!$F$11,SUMIFS(Funding!$J$70:$BJ$70,Construction!$J$12:$BJ$12,"&lt;="&amp;Time!AF17)+SUMIFS(Funding!$J$71:$BJ$71,Construction!$J$12:$BJ$12,"&lt;="&amp;Time!AF17),Waterfall!AF36)</f>
        <v/>
      </c>
      <c r="AG23" s="11">
        <f>IF(Time!AG17&lt;Time!$F$11,SUMIFS(Funding!$J$70:$BJ$70,Construction!$J$12:$BJ$12,"&lt;="&amp;Time!AG17)+SUMIFS(Funding!$J$71:$BJ$71,Construction!$J$12:$BJ$12,"&lt;="&amp;Time!AG17),Waterfall!AG36)</f>
        <v/>
      </c>
      <c r="AH23" s="11">
        <f>IF(Time!AH17&lt;Time!$F$11,SUMIFS(Funding!$J$70:$BJ$70,Construction!$J$12:$BJ$12,"&lt;="&amp;Time!AH17)+SUMIFS(Funding!$J$71:$BJ$71,Construction!$J$12:$BJ$12,"&lt;="&amp;Time!AH17),Waterfall!AH36)</f>
        <v/>
      </c>
      <c r="AI23" s="11">
        <f>IF(Time!AI17&lt;Time!$F$11,SUMIFS(Funding!$J$70:$BJ$70,Construction!$J$12:$BJ$12,"&lt;="&amp;Time!AI17)+SUMIFS(Funding!$J$71:$BJ$71,Construction!$J$12:$BJ$12,"&lt;="&amp;Time!AI17),Waterfall!AI36)</f>
        <v/>
      </c>
      <c r="AJ23" s="11">
        <f>IF(Time!AJ17&lt;Time!$F$11,SUMIFS(Funding!$J$70:$BJ$70,Construction!$J$12:$BJ$12,"&lt;="&amp;Time!AJ17)+SUMIFS(Funding!$J$71:$BJ$71,Construction!$J$12:$BJ$12,"&lt;="&amp;Time!AJ17),Waterfall!AJ36)</f>
        <v/>
      </c>
      <c r="AK23" s="11">
        <f>IF(Time!AK17&lt;Time!$F$11,SUMIFS(Funding!$J$70:$BJ$70,Construction!$J$12:$BJ$12,"&lt;="&amp;Time!AK17)+SUMIFS(Funding!$J$71:$BJ$71,Construction!$J$12:$BJ$12,"&lt;="&amp;Time!AK17),Waterfall!AK36)</f>
        <v/>
      </c>
      <c r="AL23" s="11">
        <f>IF(Time!AL17&lt;Time!$F$11,SUMIFS(Funding!$J$70:$BJ$70,Construction!$J$12:$BJ$12,"&lt;="&amp;Time!AL17)+SUMIFS(Funding!$J$71:$BJ$71,Construction!$J$12:$BJ$12,"&lt;="&amp;Time!AL17),Waterfall!AL36)</f>
        <v/>
      </c>
      <c r="AM23" s="11">
        <f>IF(Time!AM17&lt;Time!$F$11,SUMIFS(Funding!$J$70:$BJ$70,Construction!$J$12:$BJ$12,"&lt;="&amp;Time!AM17)+SUMIFS(Funding!$J$71:$BJ$71,Construction!$J$12:$BJ$12,"&lt;="&amp;Time!AM17),Waterfall!AM36)</f>
        <v/>
      </c>
      <c r="AN23" s="11">
        <f>IF(Time!AN17&lt;Time!$F$11,SUMIFS(Funding!$J$70:$BJ$70,Construction!$J$12:$BJ$12,"&lt;="&amp;Time!AN17)+SUMIFS(Funding!$J$71:$BJ$71,Construction!$J$12:$BJ$12,"&lt;="&amp;Time!AN17),Waterfall!AN36)</f>
        <v/>
      </c>
      <c r="AO23" s="11">
        <f>IF(Time!AO17&lt;Time!$F$11,SUMIFS(Funding!$J$70:$BJ$70,Construction!$J$12:$BJ$12,"&lt;="&amp;Time!AO17)+SUMIFS(Funding!$J$71:$BJ$71,Construction!$J$12:$BJ$12,"&lt;="&amp;Time!AO17),Waterfall!AO36)</f>
        <v/>
      </c>
      <c r="AP23" s="11">
        <f>IF(Time!AP17&lt;Time!$F$11,SUMIFS(Funding!$J$70:$BJ$70,Construction!$J$12:$BJ$12,"&lt;="&amp;Time!AP17)+SUMIFS(Funding!$J$71:$BJ$71,Construction!$J$12:$BJ$12,"&lt;="&amp;Time!AP17),Waterfall!AP36)</f>
        <v/>
      </c>
      <c r="AQ23" s="11">
        <f>IF(Time!AQ17&lt;Time!$F$11,SUMIFS(Funding!$J$70:$BJ$70,Construction!$J$12:$BJ$12,"&lt;="&amp;Time!AQ17)+SUMIFS(Funding!$J$71:$BJ$71,Construction!$J$12:$BJ$12,"&lt;="&amp;Time!AQ17),Waterfall!AQ36)</f>
        <v/>
      </c>
      <c r="AR23" s="11">
        <f>IF(Time!AR17&lt;Time!$F$11,SUMIFS(Funding!$J$70:$BJ$70,Construction!$J$12:$BJ$12,"&lt;="&amp;Time!AR17)+SUMIFS(Funding!$J$71:$BJ$71,Construction!$J$12:$BJ$12,"&lt;="&amp;Time!AR17),Waterfall!AR36)</f>
        <v/>
      </c>
      <c r="AS23" s="11">
        <f>IF(Time!AS17&lt;Time!$F$11,SUMIFS(Funding!$J$70:$BJ$70,Construction!$J$12:$BJ$12,"&lt;="&amp;Time!AS17)+SUMIFS(Funding!$J$71:$BJ$71,Construction!$J$12:$BJ$12,"&lt;="&amp;Time!AS17),Waterfall!AS36)</f>
        <v/>
      </c>
      <c r="AT23" s="11">
        <f>IF(Time!AT17&lt;Time!$F$11,SUMIFS(Funding!$J$70:$BJ$70,Construction!$J$12:$BJ$12,"&lt;="&amp;Time!AT17)+SUMIFS(Funding!$J$71:$BJ$71,Construction!$J$12:$BJ$12,"&lt;="&amp;Time!AT17),Waterfall!AT36)</f>
        <v/>
      </c>
      <c r="AU23" s="11">
        <f>IF(Time!AU17&lt;Time!$F$11,SUMIFS(Funding!$J$70:$BJ$70,Construction!$J$12:$BJ$12,"&lt;="&amp;Time!AU17)+SUMIFS(Funding!$J$71:$BJ$71,Construction!$J$12:$BJ$12,"&lt;="&amp;Time!AU17),Waterfall!AU36)</f>
        <v/>
      </c>
      <c r="AV23" s="11">
        <f>IF(Time!AV17&lt;Time!$F$11,SUMIFS(Funding!$J$70:$BJ$70,Construction!$J$12:$BJ$12,"&lt;="&amp;Time!AV17)+SUMIFS(Funding!$J$71:$BJ$71,Construction!$J$12:$BJ$12,"&lt;="&amp;Time!AV17),Waterfall!AV36)</f>
        <v/>
      </c>
      <c r="AW23" s="11">
        <f>IF(Time!AW17&lt;Time!$F$11,SUMIFS(Funding!$J$70:$BJ$70,Construction!$J$12:$BJ$12,"&lt;="&amp;Time!AW17)+SUMIFS(Funding!$J$71:$BJ$71,Construction!$J$12:$BJ$12,"&lt;="&amp;Time!AW17),Waterfall!AW36)</f>
        <v/>
      </c>
      <c r="AX23" s="11">
        <f>IF(Time!AX17&lt;Time!$F$11,SUMIFS(Funding!$J$70:$BJ$70,Construction!$J$12:$BJ$12,"&lt;="&amp;Time!AX17)+SUMIFS(Funding!$J$71:$BJ$71,Construction!$J$12:$BJ$12,"&lt;="&amp;Time!AX17),Waterfall!AX36)</f>
        <v/>
      </c>
      <c r="AY23" s="11">
        <f>IF(Time!AY17&lt;Time!$F$11,SUMIFS(Funding!$J$70:$BJ$70,Construction!$J$12:$BJ$12,"&lt;="&amp;Time!AY17)+SUMIFS(Funding!$J$71:$BJ$71,Construction!$J$12:$BJ$12,"&lt;="&amp;Time!AY17),Waterfall!AY36)</f>
        <v/>
      </c>
      <c r="AZ23" s="11">
        <f>IF(Time!AZ17&lt;Time!$F$11,SUMIFS(Funding!$J$70:$BJ$70,Construction!$J$12:$BJ$12,"&lt;="&amp;Time!AZ17)+SUMIFS(Funding!$J$71:$BJ$71,Construction!$J$12:$BJ$12,"&lt;="&amp;Time!AZ17),Waterfall!AZ36)</f>
        <v/>
      </c>
      <c r="BA23" s="11">
        <f>IF(Time!BA17&lt;Time!$F$11,SUMIFS(Funding!$J$70:$BJ$70,Construction!$J$12:$BJ$12,"&lt;="&amp;Time!BA17)+SUMIFS(Funding!$J$71:$BJ$71,Construction!$J$12:$BJ$12,"&lt;="&amp;Time!BA17),Waterfall!BA36)</f>
        <v/>
      </c>
      <c r="BB23" s="11">
        <f>IF(Time!BB17&lt;Time!$F$11,SUMIFS(Funding!$J$70:$BJ$70,Construction!$J$12:$BJ$12,"&lt;="&amp;Time!BB17)+SUMIFS(Funding!$J$71:$BJ$71,Construction!$J$12:$BJ$12,"&lt;="&amp;Time!BB17),Waterfall!BB36)</f>
        <v/>
      </c>
      <c r="BC23" s="11">
        <f>IF(Time!BC17&lt;Time!$F$11,SUMIFS(Funding!$J$70:$BJ$70,Construction!$J$12:$BJ$12,"&lt;="&amp;Time!BC17)+SUMIFS(Funding!$J$71:$BJ$71,Construction!$J$12:$BJ$12,"&lt;="&amp;Time!BC17),Waterfall!BC36)</f>
        <v/>
      </c>
      <c r="BD23" s="11">
        <f>IF(Time!BD17&lt;Time!$F$11,SUMIFS(Funding!$J$70:$BJ$70,Construction!$J$12:$BJ$12,"&lt;="&amp;Time!BD17)+SUMIFS(Funding!$J$71:$BJ$71,Construction!$J$12:$BJ$12,"&lt;="&amp;Time!BD17),Waterfall!BD36)</f>
        <v/>
      </c>
      <c r="BE23" s="11">
        <f>IF(Time!BE17&lt;Time!$F$11,SUMIFS(Funding!$J$70:$BJ$70,Construction!$J$12:$BJ$12,"&lt;="&amp;Time!BE17)+SUMIFS(Funding!$J$71:$BJ$71,Construction!$J$12:$BJ$12,"&lt;="&amp;Time!BE17),Waterfall!BE36)</f>
        <v/>
      </c>
      <c r="BF23" s="11">
        <f>IF(Time!BF17&lt;Time!$F$11,SUMIFS(Funding!$J$70:$BJ$70,Construction!$J$12:$BJ$12,"&lt;="&amp;Time!BF17)+SUMIFS(Funding!$J$71:$BJ$71,Construction!$J$12:$BJ$12,"&lt;="&amp;Time!BF17),Waterfall!BF36)</f>
        <v/>
      </c>
      <c r="BG23" s="11">
        <f>IF(Time!BG17&lt;Time!$F$11,SUMIFS(Funding!$J$70:$BJ$70,Construction!$J$12:$BJ$12,"&lt;="&amp;Time!BG17)+SUMIFS(Funding!$J$71:$BJ$71,Construction!$J$12:$BJ$12,"&lt;="&amp;Time!BG17),Waterfall!BG36)</f>
        <v/>
      </c>
      <c r="BH23" s="11">
        <f>IF(Time!BH17&lt;Time!$F$11,SUMIFS(Funding!$J$70:$BJ$70,Construction!$J$12:$BJ$12,"&lt;="&amp;Time!BH17)+SUMIFS(Funding!$J$71:$BJ$71,Construction!$J$12:$BJ$12,"&lt;="&amp;Time!BH17),Waterfall!BH36)</f>
        <v/>
      </c>
      <c r="BI23" s="11">
        <f>IF(Time!BI17&lt;Time!$F$11,SUMIFS(Funding!$J$70:$BJ$70,Construction!$J$12:$BJ$12,"&lt;="&amp;Time!BI17)+SUMIFS(Funding!$J$71:$BJ$71,Construction!$J$12:$BJ$12,"&lt;="&amp;Time!BI17),Waterfall!BI36)</f>
        <v/>
      </c>
      <c r="BJ23" s="11">
        <f>IF(Time!BJ17&lt;Time!$F$11,SUMIFS(Funding!$J$70:$BJ$70,Construction!$J$12:$BJ$12,"&lt;="&amp;Time!BJ17)+SUMIFS(Funding!$J$71:$BJ$71,Construction!$J$12:$BJ$12,"&lt;="&amp;Time!BJ17),Waterfall!BJ36)</f>
        <v/>
      </c>
      <c r="BK23" s="11">
        <f>IF(Time!BK17&lt;Time!$F$11,SUMIFS(Funding!$J$70:$BJ$70,Construction!$J$12:$BJ$12,"&lt;="&amp;Time!BK17)+SUMIFS(Funding!$J$71:$BJ$71,Construction!$J$12:$BJ$12,"&lt;="&amp;Time!BK17),Waterfall!BK36)</f>
        <v/>
      </c>
      <c r="BL23" s="11">
        <f>IF(Time!BL17&lt;Time!$F$11,SUMIFS(Funding!$J$70:$BJ$70,Construction!$J$12:$BJ$12,"&lt;="&amp;Time!BL17)+SUMIFS(Funding!$J$71:$BJ$71,Construction!$J$12:$BJ$12,"&lt;="&amp;Time!BL17),Waterfall!BL36)</f>
        <v/>
      </c>
      <c r="BM23" s="11">
        <f>IF(Time!BM17&lt;Time!$F$11,SUMIFS(Funding!$J$70:$BJ$70,Construction!$J$12:$BJ$12,"&lt;="&amp;Time!BM17)+SUMIFS(Funding!$J$71:$BJ$71,Construction!$J$12:$BJ$12,"&lt;="&amp;Time!BM17),Waterfall!BM36)</f>
        <v/>
      </c>
      <c r="BN23" s="11">
        <f>IF(Time!BN17&lt;Time!$F$11,SUMIFS(Funding!$J$70:$BJ$70,Construction!$J$12:$BJ$12,"&lt;="&amp;Time!BN17)+SUMIFS(Funding!$J$71:$BJ$71,Construction!$J$12:$BJ$12,"&lt;="&amp;Time!BN17),Waterfall!BN36)</f>
        <v/>
      </c>
    </row>
    <row r="24">
      <c r="D24" t="inlineStr">
        <is>
          <t>Payables (incl. deferred SNHK/GCK payables)</t>
        </is>
      </c>
      <c r="E24" t="inlineStr">
        <is>
          <t>USD m</t>
        </is>
      </c>
      <c r="J24" s="11">
        <f>Operations!J85+Operations!J86+Operations!J87+Operations!J88+Operations!J89</f>
        <v/>
      </c>
      <c r="K24" s="11">
        <f>Operations!K85+Operations!K86+Operations!K87+Operations!K88+Operations!K89</f>
        <v/>
      </c>
      <c r="L24" s="11">
        <f>Operations!L85+Operations!L86+Operations!L87+Operations!L88+Operations!L89</f>
        <v/>
      </c>
      <c r="M24" s="11">
        <f>Operations!M85+Operations!M86+Operations!M87+Operations!M88+Operations!M89</f>
        <v/>
      </c>
      <c r="N24" s="11">
        <f>Operations!N85+Operations!N86+Operations!N87+Operations!N88+Operations!N89</f>
        <v/>
      </c>
      <c r="O24" s="11">
        <f>Operations!O85+Operations!O86+Operations!O87+Operations!O88+Operations!O89</f>
        <v/>
      </c>
      <c r="P24" s="11">
        <f>Operations!P85+Operations!P86+Operations!P87+Operations!P88+Operations!P89</f>
        <v/>
      </c>
      <c r="Q24" s="11">
        <f>Operations!Q85+Operations!Q86+Operations!Q87+Operations!Q88+Operations!Q89</f>
        <v/>
      </c>
      <c r="R24" s="11">
        <f>Operations!R85+Operations!R86+Operations!R87+Operations!R88+Operations!R89</f>
        <v/>
      </c>
      <c r="S24" s="11">
        <f>Operations!S85+Operations!S86+Operations!S87+Operations!S88+Operations!S89</f>
        <v/>
      </c>
      <c r="T24" s="11">
        <f>Operations!T85+Operations!T86+Operations!T87+Operations!T88+Operations!T89</f>
        <v/>
      </c>
      <c r="U24" s="11">
        <f>Operations!U85+Operations!U86+Operations!U87+Operations!U88+Operations!U89</f>
        <v/>
      </c>
      <c r="V24" s="11">
        <f>Operations!V85+Operations!V86+Operations!V87+Operations!V88+Operations!V89</f>
        <v/>
      </c>
      <c r="W24" s="11">
        <f>Operations!W85+Operations!W86+Operations!W87+Operations!W88+Operations!W89</f>
        <v/>
      </c>
      <c r="X24" s="11">
        <f>Operations!X85+Operations!X86+Operations!X87+Operations!X88+Operations!X89</f>
        <v/>
      </c>
      <c r="Y24" s="11">
        <f>Operations!Y85+Operations!Y86+Operations!Y87+Operations!Y88+Operations!Y89</f>
        <v/>
      </c>
      <c r="Z24" s="11">
        <f>Operations!Z85+Operations!Z86+Operations!Z87+Operations!Z88+Operations!Z89</f>
        <v/>
      </c>
      <c r="AA24" s="11">
        <f>Operations!AA85+Operations!AA86+Operations!AA87+Operations!AA88+Operations!AA89</f>
        <v/>
      </c>
      <c r="AB24" s="11">
        <f>Operations!AB85+Operations!AB86+Operations!AB87+Operations!AB88+Operations!AB89</f>
        <v/>
      </c>
      <c r="AC24" s="11">
        <f>Operations!AC85+Operations!AC86+Operations!AC87+Operations!AC88+Operations!AC89</f>
        <v/>
      </c>
      <c r="AD24" s="11">
        <f>Operations!AD85+Operations!AD86+Operations!AD87+Operations!AD88+Operations!AD89</f>
        <v/>
      </c>
      <c r="AE24" s="11">
        <f>Operations!AE85+Operations!AE86+Operations!AE87+Operations!AE88+Operations!AE89</f>
        <v/>
      </c>
      <c r="AF24" s="11">
        <f>Operations!AF85+Operations!AF86+Operations!AF87+Operations!AF88+Operations!AF89</f>
        <v/>
      </c>
      <c r="AG24" s="11">
        <f>Operations!AG85+Operations!AG86+Operations!AG87+Operations!AG88+Operations!AG89</f>
        <v/>
      </c>
      <c r="AH24" s="11">
        <f>Operations!AH85+Operations!AH86+Operations!AH87+Operations!AH88+Operations!AH89</f>
        <v/>
      </c>
      <c r="AI24" s="11">
        <f>Operations!AI85+Operations!AI86+Operations!AI87+Operations!AI88+Operations!AI89</f>
        <v/>
      </c>
      <c r="AJ24" s="11">
        <f>Operations!AJ85+Operations!AJ86+Operations!AJ87+Operations!AJ88+Operations!AJ89</f>
        <v/>
      </c>
      <c r="AK24" s="11">
        <f>Operations!AK85+Operations!AK86+Operations!AK87+Operations!AK88+Operations!AK89</f>
        <v/>
      </c>
      <c r="AL24" s="11">
        <f>Operations!AL85+Operations!AL86+Operations!AL87+Operations!AL88+Operations!AL89</f>
        <v/>
      </c>
      <c r="AM24" s="11">
        <f>Operations!AM85+Operations!AM86+Operations!AM87+Operations!AM88+Operations!AM89</f>
        <v/>
      </c>
      <c r="AN24" s="11">
        <f>Operations!AN85+Operations!AN86+Operations!AN87+Operations!AN88+Operations!AN89</f>
        <v/>
      </c>
      <c r="AO24" s="11">
        <f>Operations!AO85+Operations!AO86+Operations!AO87+Operations!AO88+Operations!AO89</f>
        <v/>
      </c>
      <c r="AP24" s="11">
        <f>Operations!AP85+Operations!AP86+Operations!AP87+Operations!AP88+Operations!AP89</f>
        <v/>
      </c>
      <c r="AQ24" s="11">
        <f>Operations!AQ85+Operations!AQ86+Operations!AQ87+Operations!AQ88+Operations!AQ89</f>
        <v/>
      </c>
      <c r="AR24" s="11">
        <f>Operations!AR85+Operations!AR86+Operations!AR87+Operations!AR88+Operations!AR89</f>
        <v/>
      </c>
      <c r="AS24" s="11">
        <f>Operations!AS85+Operations!AS86+Operations!AS87+Operations!AS88+Operations!AS89</f>
        <v/>
      </c>
      <c r="AT24" s="11">
        <f>Operations!AT85+Operations!AT86+Operations!AT87+Operations!AT88+Operations!AT89</f>
        <v/>
      </c>
      <c r="AU24" s="11">
        <f>Operations!AU85+Operations!AU86+Operations!AU87+Operations!AU88+Operations!AU89</f>
        <v/>
      </c>
      <c r="AV24" s="11">
        <f>Operations!AV85+Operations!AV86+Operations!AV87+Operations!AV88+Operations!AV89</f>
        <v/>
      </c>
      <c r="AW24" s="11">
        <f>Operations!AW85+Operations!AW86+Operations!AW87+Operations!AW88+Operations!AW89</f>
        <v/>
      </c>
      <c r="AX24" s="11">
        <f>Operations!AX85+Operations!AX86+Operations!AX87+Operations!AX88+Operations!AX89</f>
        <v/>
      </c>
      <c r="AY24" s="11">
        <f>Operations!AY85+Operations!AY86+Operations!AY87+Operations!AY88+Operations!AY89</f>
        <v/>
      </c>
      <c r="AZ24" s="11">
        <f>Operations!AZ85+Operations!AZ86+Operations!AZ87+Operations!AZ88+Operations!AZ89</f>
        <v/>
      </c>
      <c r="BA24" s="11">
        <f>Operations!BA85+Operations!BA86+Operations!BA87+Operations!BA88+Operations!BA89</f>
        <v/>
      </c>
      <c r="BB24" s="11">
        <f>Operations!BB85+Operations!BB86+Operations!BB87+Operations!BB88+Operations!BB89</f>
        <v/>
      </c>
      <c r="BC24" s="11">
        <f>Operations!BC85+Operations!BC86+Operations!BC87+Operations!BC88+Operations!BC89</f>
        <v/>
      </c>
      <c r="BD24" s="11">
        <f>Operations!BD85+Operations!BD86+Operations!BD87+Operations!BD88+Operations!BD89</f>
        <v/>
      </c>
      <c r="BE24" s="11">
        <f>Operations!BE85+Operations!BE86+Operations!BE87+Operations!BE88+Operations!BE89</f>
        <v/>
      </c>
      <c r="BF24" s="11">
        <f>Operations!BF85+Operations!BF86+Operations!BF87+Operations!BF88+Operations!BF89</f>
        <v/>
      </c>
      <c r="BG24" s="11">
        <f>Operations!BG85+Operations!BG86+Operations!BG87+Operations!BG88+Operations!BG89</f>
        <v/>
      </c>
      <c r="BH24" s="11">
        <f>Operations!BH85+Operations!BH86+Operations!BH87+Operations!BH88+Operations!BH89</f>
        <v/>
      </c>
      <c r="BI24" s="11">
        <f>Operations!BI85+Operations!BI86+Operations!BI87+Operations!BI88+Operations!BI89</f>
        <v/>
      </c>
      <c r="BJ24" s="11">
        <f>Operations!BJ85+Operations!BJ86+Operations!BJ87+Operations!BJ88+Operations!BJ89</f>
        <v/>
      </c>
      <c r="BK24" s="11">
        <f>Operations!BK85+Operations!BK86+Operations!BK87+Operations!BK88+Operations!BK89</f>
        <v/>
      </c>
      <c r="BL24" s="11">
        <f>Operations!BL85+Operations!BL86+Operations!BL87+Operations!BL88+Operations!BL89</f>
        <v/>
      </c>
      <c r="BM24" s="11">
        <f>Operations!BM85+Operations!BM86+Operations!BM87+Operations!BM88+Operations!BM89</f>
        <v/>
      </c>
      <c r="BN24" s="11">
        <f>Operations!BN85+Operations!BN86+Operations!BN87+Operations!BN88+Operations!BN89</f>
        <v/>
      </c>
    </row>
    <row r="25">
      <c r="D25" t="inlineStr">
        <is>
          <t>Deferred tax liability</t>
        </is>
      </c>
      <c r="E25" t="inlineStr">
        <is>
          <t>USD m</t>
        </is>
      </c>
      <c r="J25" s="11">
        <f>MAX(0,J12)</f>
        <v/>
      </c>
      <c r="K25" s="11">
        <f>MAX(0,K12)</f>
        <v/>
      </c>
      <c r="L25" s="11">
        <f>MAX(0,L12)</f>
        <v/>
      </c>
      <c r="M25" s="11">
        <f>MAX(0,M12)</f>
        <v/>
      </c>
      <c r="N25" s="11">
        <f>MAX(0,N12)</f>
        <v/>
      </c>
      <c r="O25" s="11">
        <f>MAX(0,O12)</f>
        <v/>
      </c>
      <c r="P25" s="11">
        <f>MAX(0,P12)</f>
        <v/>
      </c>
      <c r="Q25" s="11">
        <f>MAX(0,Q12)</f>
        <v/>
      </c>
      <c r="R25" s="11">
        <f>MAX(0,R12)</f>
        <v/>
      </c>
      <c r="S25" s="11">
        <f>MAX(0,S12)</f>
        <v/>
      </c>
      <c r="T25" s="11">
        <f>MAX(0,T12)</f>
        <v/>
      </c>
      <c r="U25" s="11">
        <f>MAX(0,U12)</f>
        <v/>
      </c>
      <c r="V25" s="11">
        <f>MAX(0,V12)</f>
        <v/>
      </c>
      <c r="W25" s="11">
        <f>MAX(0,W12)</f>
        <v/>
      </c>
      <c r="X25" s="11">
        <f>MAX(0,X12)</f>
        <v/>
      </c>
      <c r="Y25" s="11">
        <f>MAX(0,Y12)</f>
        <v/>
      </c>
      <c r="Z25" s="11">
        <f>MAX(0,Z12)</f>
        <v/>
      </c>
      <c r="AA25" s="11">
        <f>MAX(0,AA12)</f>
        <v/>
      </c>
      <c r="AB25" s="11">
        <f>MAX(0,AB12)</f>
        <v/>
      </c>
      <c r="AC25" s="11">
        <f>MAX(0,AC12)</f>
        <v/>
      </c>
      <c r="AD25" s="11">
        <f>MAX(0,AD12)</f>
        <v/>
      </c>
      <c r="AE25" s="11">
        <f>MAX(0,AE12)</f>
        <v/>
      </c>
      <c r="AF25" s="11">
        <f>MAX(0,AF12)</f>
        <v/>
      </c>
      <c r="AG25" s="11">
        <f>MAX(0,AG12)</f>
        <v/>
      </c>
      <c r="AH25" s="11">
        <f>MAX(0,AH12)</f>
        <v/>
      </c>
      <c r="AI25" s="11">
        <f>MAX(0,AI12)</f>
        <v/>
      </c>
      <c r="AJ25" s="11">
        <f>MAX(0,AJ12)</f>
        <v/>
      </c>
      <c r="AK25" s="11">
        <f>MAX(0,AK12)</f>
        <v/>
      </c>
      <c r="AL25" s="11">
        <f>MAX(0,AL12)</f>
        <v/>
      </c>
      <c r="AM25" s="11">
        <f>MAX(0,AM12)</f>
        <v/>
      </c>
      <c r="AN25" s="11">
        <f>MAX(0,AN12)</f>
        <v/>
      </c>
      <c r="AO25" s="11">
        <f>MAX(0,AO12)</f>
        <v/>
      </c>
      <c r="AP25" s="11">
        <f>MAX(0,AP12)</f>
        <v/>
      </c>
      <c r="AQ25" s="11">
        <f>MAX(0,AQ12)</f>
        <v/>
      </c>
      <c r="AR25" s="11">
        <f>MAX(0,AR12)</f>
        <v/>
      </c>
      <c r="AS25" s="11">
        <f>MAX(0,AS12)</f>
        <v/>
      </c>
      <c r="AT25" s="11">
        <f>MAX(0,AT12)</f>
        <v/>
      </c>
      <c r="AU25" s="11">
        <f>MAX(0,AU12)</f>
        <v/>
      </c>
      <c r="AV25" s="11">
        <f>MAX(0,AV12)</f>
        <v/>
      </c>
      <c r="AW25" s="11">
        <f>MAX(0,AW12)</f>
        <v/>
      </c>
      <c r="AX25" s="11">
        <f>MAX(0,AX12)</f>
        <v/>
      </c>
      <c r="AY25" s="11">
        <f>MAX(0,AY12)</f>
        <v/>
      </c>
      <c r="AZ25" s="11">
        <f>MAX(0,AZ12)</f>
        <v/>
      </c>
      <c r="BA25" s="11">
        <f>MAX(0,BA12)</f>
        <v/>
      </c>
      <c r="BB25" s="11">
        <f>MAX(0,BB12)</f>
        <v/>
      </c>
      <c r="BC25" s="11">
        <f>MAX(0,BC12)</f>
        <v/>
      </c>
      <c r="BD25" s="11">
        <f>MAX(0,BD12)</f>
        <v/>
      </c>
      <c r="BE25" s="11">
        <f>MAX(0,BE12)</f>
        <v/>
      </c>
      <c r="BF25" s="11">
        <f>MAX(0,BF12)</f>
        <v/>
      </c>
      <c r="BG25" s="11">
        <f>MAX(0,BG12)</f>
        <v/>
      </c>
      <c r="BH25" s="11">
        <f>MAX(0,BH12)</f>
        <v/>
      </c>
      <c r="BI25" s="11">
        <f>MAX(0,BI12)</f>
        <v/>
      </c>
      <c r="BJ25" s="11">
        <f>MAX(0,BJ12)</f>
        <v/>
      </c>
      <c r="BK25" s="11">
        <f>MAX(0,BK12)</f>
        <v/>
      </c>
      <c r="BL25" s="11">
        <f>MAX(0,BL12)</f>
        <v/>
      </c>
      <c r="BM25" s="11">
        <f>MAX(0,BM12)</f>
        <v/>
      </c>
      <c r="BN25" s="11">
        <f>MAX(0,BN12)</f>
        <v/>
      </c>
    </row>
    <row r="26">
      <c r="D26" t="inlineStr">
        <is>
          <t>Share capital</t>
        </is>
      </c>
      <c r="E26" t="inlineStr">
        <is>
          <t>USD m</t>
        </is>
      </c>
      <c r="J26" s="11">
        <f>SUMIFS(Funding!$J$69:$BJ$69,Construction!$J$12:$BJ$12,"&lt;="&amp;Time!J17)</f>
        <v/>
      </c>
      <c r="K26" s="11">
        <f>SUMIFS(Funding!$J$69:$BJ$69,Construction!$J$12:$BJ$12,"&lt;="&amp;Time!K17)</f>
        <v/>
      </c>
      <c r="L26" s="11">
        <f>SUMIFS(Funding!$J$69:$BJ$69,Construction!$J$12:$BJ$12,"&lt;="&amp;Time!L17)</f>
        <v/>
      </c>
      <c r="M26" s="11">
        <f>SUMIFS(Funding!$J$69:$BJ$69,Construction!$J$12:$BJ$12,"&lt;="&amp;Time!M17)</f>
        <v/>
      </c>
      <c r="N26" s="11">
        <f>SUMIFS(Funding!$J$69:$BJ$69,Construction!$J$12:$BJ$12,"&lt;="&amp;Time!N17)</f>
        <v/>
      </c>
      <c r="O26" s="11">
        <f>SUMIFS(Funding!$J$69:$BJ$69,Construction!$J$12:$BJ$12,"&lt;="&amp;Time!O17)</f>
        <v/>
      </c>
      <c r="P26" s="11">
        <f>SUMIFS(Funding!$J$69:$BJ$69,Construction!$J$12:$BJ$12,"&lt;="&amp;Time!P17)</f>
        <v/>
      </c>
      <c r="Q26" s="11">
        <f>SUMIFS(Funding!$J$69:$BJ$69,Construction!$J$12:$BJ$12,"&lt;="&amp;Time!Q17)</f>
        <v/>
      </c>
      <c r="R26" s="11">
        <f>SUMIFS(Funding!$J$69:$BJ$69,Construction!$J$12:$BJ$12,"&lt;="&amp;Time!R17)</f>
        <v/>
      </c>
      <c r="S26" s="11">
        <f>SUMIFS(Funding!$J$69:$BJ$69,Construction!$J$12:$BJ$12,"&lt;="&amp;Time!S17)</f>
        <v/>
      </c>
      <c r="T26" s="11">
        <f>SUMIFS(Funding!$J$69:$BJ$69,Construction!$J$12:$BJ$12,"&lt;="&amp;Time!T17)</f>
        <v/>
      </c>
      <c r="U26" s="11">
        <f>SUMIFS(Funding!$J$69:$BJ$69,Construction!$J$12:$BJ$12,"&lt;="&amp;Time!U17)</f>
        <v/>
      </c>
      <c r="V26" s="11">
        <f>SUMIFS(Funding!$J$69:$BJ$69,Construction!$J$12:$BJ$12,"&lt;="&amp;Time!V17)</f>
        <v/>
      </c>
      <c r="W26" s="11">
        <f>SUMIFS(Funding!$J$69:$BJ$69,Construction!$J$12:$BJ$12,"&lt;="&amp;Time!W17)</f>
        <v/>
      </c>
      <c r="X26" s="11">
        <f>SUMIFS(Funding!$J$69:$BJ$69,Construction!$J$12:$BJ$12,"&lt;="&amp;Time!X17)</f>
        <v/>
      </c>
      <c r="Y26" s="11">
        <f>SUMIFS(Funding!$J$69:$BJ$69,Construction!$J$12:$BJ$12,"&lt;="&amp;Time!Y17)</f>
        <v/>
      </c>
      <c r="Z26" s="11">
        <f>SUMIFS(Funding!$J$69:$BJ$69,Construction!$J$12:$BJ$12,"&lt;="&amp;Time!Z17)</f>
        <v/>
      </c>
      <c r="AA26" s="11">
        <f>SUMIFS(Funding!$J$69:$BJ$69,Construction!$J$12:$BJ$12,"&lt;="&amp;Time!AA17)</f>
        <v/>
      </c>
      <c r="AB26" s="11">
        <f>SUMIFS(Funding!$J$69:$BJ$69,Construction!$J$12:$BJ$12,"&lt;="&amp;Time!AB17)</f>
        <v/>
      </c>
      <c r="AC26" s="11">
        <f>SUMIFS(Funding!$J$69:$BJ$69,Construction!$J$12:$BJ$12,"&lt;="&amp;Time!AC17)</f>
        <v/>
      </c>
      <c r="AD26" s="11">
        <f>SUMIFS(Funding!$J$69:$BJ$69,Construction!$J$12:$BJ$12,"&lt;="&amp;Time!AD17)</f>
        <v/>
      </c>
      <c r="AE26" s="11">
        <f>SUMIFS(Funding!$J$69:$BJ$69,Construction!$J$12:$BJ$12,"&lt;="&amp;Time!AE17)</f>
        <v/>
      </c>
      <c r="AF26" s="11">
        <f>SUMIFS(Funding!$J$69:$BJ$69,Construction!$J$12:$BJ$12,"&lt;="&amp;Time!AF17)</f>
        <v/>
      </c>
      <c r="AG26" s="11">
        <f>SUMIFS(Funding!$J$69:$BJ$69,Construction!$J$12:$BJ$12,"&lt;="&amp;Time!AG17)</f>
        <v/>
      </c>
      <c r="AH26" s="11">
        <f>SUMIFS(Funding!$J$69:$BJ$69,Construction!$J$12:$BJ$12,"&lt;="&amp;Time!AH17)</f>
        <v/>
      </c>
      <c r="AI26" s="11">
        <f>SUMIFS(Funding!$J$69:$BJ$69,Construction!$J$12:$BJ$12,"&lt;="&amp;Time!AI17)</f>
        <v/>
      </c>
      <c r="AJ26" s="11">
        <f>SUMIFS(Funding!$J$69:$BJ$69,Construction!$J$12:$BJ$12,"&lt;="&amp;Time!AJ17)</f>
        <v/>
      </c>
      <c r="AK26" s="11">
        <f>SUMIFS(Funding!$J$69:$BJ$69,Construction!$J$12:$BJ$12,"&lt;="&amp;Time!AK17)</f>
        <v/>
      </c>
      <c r="AL26" s="11">
        <f>SUMIFS(Funding!$J$69:$BJ$69,Construction!$J$12:$BJ$12,"&lt;="&amp;Time!AL17)</f>
        <v/>
      </c>
      <c r="AM26" s="11">
        <f>SUMIFS(Funding!$J$69:$BJ$69,Construction!$J$12:$BJ$12,"&lt;="&amp;Time!AM17)</f>
        <v/>
      </c>
      <c r="AN26" s="11">
        <f>SUMIFS(Funding!$J$69:$BJ$69,Construction!$J$12:$BJ$12,"&lt;="&amp;Time!AN17)</f>
        <v/>
      </c>
      <c r="AO26" s="11">
        <f>SUMIFS(Funding!$J$69:$BJ$69,Construction!$J$12:$BJ$12,"&lt;="&amp;Time!AO17)</f>
        <v/>
      </c>
      <c r="AP26" s="11">
        <f>SUMIFS(Funding!$J$69:$BJ$69,Construction!$J$12:$BJ$12,"&lt;="&amp;Time!AP17)</f>
        <v/>
      </c>
      <c r="AQ26" s="11">
        <f>SUMIFS(Funding!$J$69:$BJ$69,Construction!$J$12:$BJ$12,"&lt;="&amp;Time!AQ17)</f>
        <v/>
      </c>
      <c r="AR26" s="11">
        <f>SUMIFS(Funding!$J$69:$BJ$69,Construction!$J$12:$BJ$12,"&lt;="&amp;Time!AR17)</f>
        <v/>
      </c>
      <c r="AS26" s="11">
        <f>SUMIFS(Funding!$J$69:$BJ$69,Construction!$J$12:$BJ$12,"&lt;="&amp;Time!AS17)</f>
        <v/>
      </c>
      <c r="AT26" s="11">
        <f>SUMIFS(Funding!$J$69:$BJ$69,Construction!$J$12:$BJ$12,"&lt;="&amp;Time!AT17)</f>
        <v/>
      </c>
      <c r="AU26" s="11">
        <f>SUMIFS(Funding!$J$69:$BJ$69,Construction!$J$12:$BJ$12,"&lt;="&amp;Time!AU17)</f>
        <v/>
      </c>
      <c r="AV26" s="11">
        <f>SUMIFS(Funding!$J$69:$BJ$69,Construction!$J$12:$BJ$12,"&lt;="&amp;Time!AV17)</f>
        <v/>
      </c>
      <c r="AW26" s="11">
        <f>SUMIFS(Funding!$J$69:$BJ$69,Construction!$J$12:$BJ$12,"&lt;="&amp;Time!AW17)</f>
        <v/>
      </c>
      <c r="AX26" s="11">
        <f>SUMIFS(Funding!$J$69:$BJ$69,Construction!$J$12:$BJ$12,"&lt;="&amp;Time!AX17)</f>
        <v/>
      </c>
      <c r="AY26" s="11">
        <f>SUMIFS(Funding!$J$69:$BJ$69,Construction!$J$12:$BJ$12,"&lt;="&amp;Time!AY17)</f>
        <v/>
      </c>
      <c r="AZ26" s="11">
        <f>SUMIFS(Funding!$J$69:$BJ$69,Construction!$J$12:$BJ$12,"&lt;="&amp;Time!AZ17)</f>
        <v/>
      </c>
      <c r="BA26" s="11">
        <f>SUMIFS(Funding!$J$69:$BJ$69,Construction!$J$12:$BJ$12,"&lt;="&amp;Time!BA17)</f>
        <v/>
      </c>
      <c r="BB26" s="11">
        <f>SUMIFS(Funding!$J$69:$BJ$69,Construction!$J$12:$BJ$12,"&lt;="&amp;Time!BB17)</f>
        <v/>
      </c>
      <c r="BC26" s="11">
        <f>SUMIFS(Funding!$J$69:$BJ$69,Construction!$J$12:$BJ$12,"&lt;="&amp;Time!BC17)</f>
        <v/>
      </c>
      <c r="BD26" s="11">
        <f>SUMIFS(Funding!$J$69:$BJ$69,Construction!$J$12:$BJ$12,"&lt;="&amp;Time!BD17)</f>
        <v/>
      </c>
      <c r="BE26" s="11">
        <f>SUMIFS(Funding!$J$69:$BJ$69,Construction!$J$12:$BJ$12,"&lt;="&amp;Time!BE17)</f>
        <v/>
      </c>
      <c r="BF26" s="11">
        <f>SUMIFS(Funding!$J$69:$BJ$69,Construction!$J$12:$BJ$12,"&lt;="&amp;Time!BF17)</f>
        <v/>
      </c>
      <c r="BG26" s="11">
        <f>SUMIFS(Funding!$J$69:$BJ$69,Construction!$J$12:$BJ$12,"&lt;="&amp;Time!BG17)</f>
        <v/>
      </c>
      <c r="BH26" s="11">
        <f>SUMIFS(Funding!$J$69:$BJ$69,Construction!$J$12:$BJ$12,"&lt;="&amp;Time!BH17)</f>
        <v/>
      </c>
      <c r="BI26" s="11">
        <f>SUMIFS(Funding!$J$69:$BJ$69,Construction!$J$12:$BJ$12,"&lt;="&amp;Time!BI17)</f>
        <v/>
      </c>
      <c r="BJ26" s="11">
        <f>SUMIFS(Funding!$J$69:$BJ$69,Construction!$J$12:$BJ$12,"&lt;="&amp;Time!BJ17)</f>
        <v/>
      </c>
      <c r="BK26" s="11">
        <f>SUMIFS(Funding!$J$69:$BJ$69,Construction!$J$12:$BJ$12,"&lt;="&amp;Time!BK17)</f>
        <v/>
      </c>
      <c r="BL26" s="11">
        <f>SUMIFS(Funding!$J$69:$BJ$69,Construction!$J$12:$BJ$12,"&lt;="&amp;Time!BL17)</f>
        <v/>
      </c>
      <c r="BM26" s="11">
        <f>SUMIFS(Funding!$J$69:$BJ$69,Construction!$J$12:$BJ$12,"&lt;="&amp;Time!BM17)</f>
        <v/>
      </c>
      <c r="BN26" s="11">
        <f>SUMIFS(Funding!$J$69:$BJ$69,Construction!$J$12:$BJ$12,"&lt;="&amp;Time!BN17)</f>
        <v/>
      </c>
    </row>
    <row r="27">
      <c r="D27" t="inlineStr">
        <is>
          <t>Retained earnings</t>
        </is>
      </c>
      <c r="E27" t="inlineStr">
        <is>
          <t>USD m</t>
        </is>
      </c>
      <c r="J27" s="16">
        <f>Waterfall!J43</f>
        <v/>
      </c>
      <c r="K27" s="16">
        <f>Waterfall!K43</f>
        <v/>
      </c>
      <c r="L27" s="16">
        <f>Waterfall!L43</f>
        <v/>
      </c>
      <c r="M27" s="16">
        <f>Waterfall!M43</f>
        <v/>
      </c>
      <c r="N27" s="16">
        <f>Waterfall!N43</f>
        <v/>
      </c>
      <c r="O27" s="16">
        <f>Waterfall!O43</f>
        <v/>
      </c>
      <c r="P27" s="16">
        <f>Waterfall!P43</f>
        <v/>
      </c>
      <c r="Q27" s="16">
        <f>Waterfall!Q43</f>
        <v/>
      </c>
      <c r="R27" s="16">
        <f>Waterfall!R43</f>
        <v/>
      </c>
      <c r="S27" s="16">
        <f>Waterfall!S43</f>
        <v/>
      </c>
      <c r="T27" s="16">
        <f>Waterfall!T43</f>
        <v/>
      </c>
      <c r="U27" s="16">
        <f>Waterfall!U43</f>
        <v/>
      </c>
      <c r="V27" s="16">
        <f>Waterfall!V43</f>
        <v/>
      </c>
      <c r="W27" s="16">
        <f>Waterfall!W43</f>
        <v/>
      </c>
      <c r="X27" s="16">
        <f>Waterfall!X43</f>
        <v/>
      </c>
      <c r="Y27" s="16">
        <f>Waterfall!Y43</f>
        <v/>
      </c>
      <c r="Z27" s="16">
        <f>Waterfall!Z43</f>
        <v/>
      </c>
      <c r="AA27" s="16">
        <f>Waterfall!AA43</f>
        <v/>
      </c>
      <c r="AB27" s="16">
        <f>Waterfall!AB43</f>
        <v/>
      </c>
      <c r="AC27" s="16">
        <f>Waterfall!AC43</f>
        <v/>
      </c>
      <c r="AD27" s="16">
        <f>Waterfall!AD43</f>
        <v/>
      </c>
      <c r="AE27" s="16">
        <f>Waterfall!AE43</f>
        <v/>
      </c>
      <c r="AF27" s="16">
        <f>Waterfall!AF43</f>
        <v/>
      </c>
      <c r="AG27" s="16">
        <f>Waterfall!AG43</f>
        <v/>
      </c>
      <c r="AH27" s="16">
        <f>Waterfall!AH43</f>
        <v/>
      </c>
      <c r="AI27" s="16">
        <f>Waterfall!AI43</f>
        <v/>
      </c>
      <c r="AJ27" s="16">
        <f>Waterfall!AJ43</f>
        <v/>
      </c>
      <c r="AK27" s="16">
        <f>Waterfall!AK43</f>
        <v/>
      </c>
      <c r="AL27" s="16">
        <f>Waterfall!AL43</f>
        <v/>
      </c>
      <c r="AM27" s="16">
        <f>Waterfall!AM43</f>
        <v/>
      </c>
      <c r="AN27" s="16">
        <f>Waterfall!AN43</f>
        <v/>
      </c>
      <c r="AO27" s="16">
        <f>Waterfall!AO43</f>
        <v/>
      </c>
      <c r="AP27" s="16">
        <f>Waterfall!AP43</f>
        <v/>
      </c>
      <c r="AQ27" s="16">
        <f>Waterfall!AQ43</f>
        <v/>
      </c>
      <c r="AR27" s="16">
        <f>Waterfall!AR43</f>
        <v/>
      </c>
      <c r="AS27" s="16">
        <f>Waterfall!AS43</f>
        <v/>
      </c>
      <c r="AT27" s="16">
        <f>Waterfall!AT43</f>
        <v/>
      </c>
      <c r="AU27" s="16">
        <f>Waterfall!AU43</f>
        <v/>
      </c>
      <c r="AV27" s="16">
        <f>Waterfall!AV43</f>
        <v/>
      </c>
      <c r="AW27" s="16">
        <f>Waterfall!AW43</f>
        <v/>
      </c>
      <c r="AX27" s="16">
        <f>Waterfall!AX43</f>
        <v/>
      </c>
      <c r="AY27" s="16">
        <f>Waterfall!AY43</f>
        <v/>
      </c>
      <c r="AZ27" s="16">
        <f>Waterfall!AZ43</f>
        <v/>
      </c>
      <c r="BA27" s="16">
        <f>Waterfall!BA43</f>
        <v/>
      </c>
      <c r="BB27" s="16">
        <f>Waterfall!BB43</f>
        <v/>
      </c>
      <c r="BC27" s="16">
        <f>Waterfall!BC43</f>
        <v/>
      </c>
      <c r="BD27" s="16">
        <f>Waterfall!BD43</f>
        <v/>
      </c>
      <c r="BE27" s="16">
        <f>Waterfall!BE43</f>
        <v/>
      </c>
      <c r="BF27" s="16">
        <f>Waterfall!BF43</f>
        <v/>
      </c>
      <c r="BG27" s="16">
        <f>Waterfall!BG43</f>
        <v/>
      </c>
      <c r="BH27" s="16">
        <f>Waterfall!BH43</f>
        <v/>
      </c>
      <c r="BI27" s="16">
        <f>Waterfall!BI43</f>
        <v/>
      </c>
      <c r="BJ27" s="16">
        <f>Waterfall!BJ43</f>
        <v/>
      </c>
      <c r="BK27" s="16">
        <f>Waterfall!BK43</f>
        <v/>
      </c>
      <c r="BL27" s="16">
        <f>Waterfall!BL43</f>
        <v/>
      </c>
      <c r="BM27" s="16">
        <f>Waterfall!BM43</f>
        <v/>
      </c>
      <c r="BN27" s="16">
        <f>Waterfall!BN43</f>
        <v/>
      </c>
    </row>
    <row r="28">
      <c r="D28" t="inlineStr">
        <is>
          <t>Total liabilities and equity</t>
        </is>
      </c>
      <c r="E28" t="inlineStr">
        <is>
          <t>USD m</t>
        </is>
      </c>
      <c r="J28" s="11">
        <f>J22+J23+J24+J25+J26+J27</f>
        <v/>
      </c>
      <c r="K28" s="11">
        <f>K22+K23+K24+K25+K26+K27</f>
        <v/>
      </c>
      <c r="L28" s="11">
        <f>L22+L23+L24+L25+L26+L27</f>
        <v/>
      </c>
      <c r="M28" s="11">
        <f>M22+M23+M24+M25+M26+M27</f>
        <v/>
      </c>
      <c r="N28" s="11">
        <f>N22+N23+N24+N25+N26+N27</f>
        <v/>
      </c>
      <c r="O28" s="11">
        <f>O22+O23+O24+O25+O26+O27</f>
        <v/>
      </c>
      <c r="P28" s="11">
        <f>P22+P23+P24+P25+P26+P27</f>
        <v/>
      </c>
      <c r="Q28" s="11">
        <f>Q22+Q23+Q24+Q25+Q26+Q27</f>
        <v/>
      </c>
      <c r="R28" s="11">
        <f>R22+R23+R24+R25+R26+R27</f>
        <v/>
      </c>
      <c r="S28" s="11">
        <f>S22+S23+S24+S25+S26+S27</f>
        <v/>
      </c>
      <c r="T28" s="11">
        <f>T22+T23+T24+T25+T26+T27</f>
        <v/>
      </c>
      <c r="U28" s="11">
        <f>U22+U23+U24+U25+U26+U27</f>
        <v/>
      </c>
      <c r="V28" s="11">
        <f>V22+V23+V24+V25+V26+V27</f>
        <v/>
      </c>
      <c r="W28" s="11">
        <f>W22+W23+W24+W25+W26+W27</f>
        <v/>
      </c>
      <c r="X28" s="11">
        <f>X22+X23+X24+X25+X26+X27</f>
        <v/>
      </c>
      <c r="Y28" s="11">
        <f>Y22+Y23+Y24+Y25+Y26+Y27</f>
        <v/>
      </c>
      <c r="Z28" s="11">
        <f>Z22+Z23+Z24+Z25+Z26+Z27</f>
        <v/>
      </c>
      <c r="AA28" s="11">
        <f>AA22+AA23+AA24+AA25+AA26+AA27</f>
        <v/>
      </c>
      <c r="AB28" s="11">
        <f>AB22+AB23+AB24+AB25+AB26+AB27</f>
        <v/>
      </c>
      <c r="AC28" s="11">
        <f>AC22+AC23+AC24+AC25+AC26+AC27</f>
        <v/>
      </c>
      <c r="AD28" s="11">
        <f>AD22+AD23+AD24+AD25+AD26+AD27</f>
        <v/>
      </c>
      <c r="AE28" s="11">
        <f>AE22+AE23+AE24+AE25+AE26+AE27</f>
        <v/>
      </c>
      <c r="AF28" s="11">
        <f>AF22+AF23+AF24+AF25+AF26+AF27</f>
        <v/>
      </c>
      <c r="AG28" s="11">
        <f>AG22+AG23+AG24+AG25+AG26+AG27</f>
        <v/>
      </c>
      <c r="AH28" s="11">
        <f>AH22+AH23+AH24+AH25+AH26+AH27</f>
        <v/>
      </c>
      <c r="AI28" s="11">
        <f>AI22+AI23+AI24+AI25+AI26+AI27</f>
        <v/>
      </c>
      <c r="AJ28" s="11">
        <f>AJ22+AJ23+AJ24+AJ25+AJ26+AJ27</f>
        <v/>
      </c>
      <c r="AK28" s="11">
        <f>AK22+AK23+AK24+AK25+AK26+AK27</f>
        <v/>
      </c>
      <c r="AL28" s="11">
        <f>AL22+AL23+AL24+AL25+AL26+AL27</f>
        <v/>
      </c>
      <c r="AM28" s="11">
        <f>AM22+AM23+AM24+AM25+AM26+AM27</f>
        <v/>
      </c>
      <c r="AN28" s="11">
        <f>AN22+AN23+AN24+AN25+AN26+AN27</f>
        <v/>
      </c>
      <c r="AO28" s="11">
        <f>AO22+AO23+AO24+AO25+AO26+AO27</f>
        <v/>
      </c>
      <c r="AP28" s="11">
        <f>AP22+AP23+AP24+AP25+AP26+AP27</f>
        <v/>
      </c>
      <c r="AQ28" s="11">
        <f>AQ22+AQ23+AQ24+AQ25+AQ26+AQ27</f>
        <v/>
      </c>
      <c r="AR28" s="11">
        <f>AR22+AR23+AR24+AR25+AR26+AR27</f>
        <v/>
      </c>
      <c r="AS28" s="11">
        <f>AS22+AS23+AS24+AS25+AS26+AS27</f>
        <v/>
      </c>
      <c r="AT28" s="11">
        <f>AT22+AT23+AT24+AT25+AT26+AT27</f>
        <v/>
      </c>
      <c r="AU28" s="11">
        <f>AU22+AU23+AU24+AU25+AU26+AU27</f>
        <v/>
      </c>
      <c r="AV28" s="11">
        <f>AV22+AV23+AV24+AV25+AV26+AV27</f>
        <v/>
      </c>
      <c r="AW28" s="11">
        <f>AW22+AW23+AW24+AW25+AW26+AW27</f>
        <v/>
      </c>
      <c r="AX28" s="11">
        <f>AX22+AX23+AX24+AX25+AX26+AX27</f>
        <v/>
      </c>
      <c r="AY28" s="11">
        <f>AY22+AY23+AY24+AY25+AY26+AY27</f>
        <v/>
      </c>
      <c r="AZ28" s="11">
        <f>AZ22+AZ23+AZ24+AZ25+AZ26+AZ27</f>
        <v/>
      </c>
      <c r="BA28" s="11">
        <f>BA22+BA23+BA24+BA25+BA26+BA27</f>
        <v/>
      </c>
      <c r="BB28" s="11">
        <f>BB22+BB23+BB24+BB25+BB26+BB27</f>
        <v/>
      </c>
      <c r="BC28" s="11">
        <f>BC22+BC23+BC24+BC25+BC26+BC27</f>
        <v/>
      </c>
      <c r="BD28" s="11">
        <f>BD22+BD23+BD24+BD25+BD26+BD27</f>
        <v/>
      </c>
      <c r="BE28" s="11">
        <f>BE22+BE23+BE24+BE25+BE26+BE27</f>
        <v/>
      </c>
      <c r="BF28" s="11">
        <f>BF22+BF23+BF24+BF25+BF26+BF27</f>
        <v/>
      </c>
      <c r="BG28" s="11">
        <f>BG22+BG23+BG24+BG25+BG26+BG27</f>
        <v/>
      </c>
      <c r="BH28" s="11">
        <f>BH22+BH23+BH24+BH25+BH26+BH27</f>
        <v/>
      </c>
      <c r="BI28" s="11">
        <f>BI22+BI23+BI24+BI25+BI26+BI27</f>
        <v/>
      </c>
      <c r="BJ28" s="11">
        <f>BJ22+BJ23+BJ24+BJ25+BJ26+BJ27</f>
        <v/>
      </c>
      <c r="BK28" s="11">
        <f>BK22+BK23+BK24+BK25+BK26+BK27</f>
        <v/>
      </c>
      <c r="BL28" s="11">
        <f>BL22+BL23+BL24+BL25+BL26+BL27</f>
        <v/>
      </c>
      <c r="BM28" s="11">
        <f>BM22+BM23+BM24+BM25+BM26+BM27</f>
        <v/>
      </c>
      <c r="BN28" s="11">
        <f>BN22+BN23+BN24+BN25+BN26+BN27</f>
        <v/>
      </c>
    </row>
    <row r="29">
      <c r="D29" t="inlineStr">
        <is>
          <t>Balance check (assets less liabilities and equity)</t>
        </is>
      </c>
      <c r="E29" t="inlineStr">
        <is>
          <t>USD m</t>
        </is>
      </c>
      <c r="J29" s="11">
        <f>ROUND(J21-J28,6)</f>
        <v/>
      </c>
      <c r="K29" s="11">
        <f>ROUND(K21-K28,6)</f>
        <v/>
      </c>
      <c r="L29" s="11">
        <f>ROUND(L21-L28,6)</f>
        <v/>
      </c>
      <c r="M29" s="11">
        <f>ROUND(M21-M28,6)</f>
        <v/>
      </c>
      <c r="N29" s="11">
        <f>ROUND(N21-N28,6)</f>
        <v/>
      </c>
      <c r="O29" s="11">
        <f>ROUND(O21-O28,6)</f>
        <v/>
      </c>
      <c r="P29" s="11">
        <f>ROUND(P21-P28,6)</f>
        <v/>
      </c>
      <c r="Q29" s="11">
        <f>ROUND(Q21-Q28,6)</f>
        <v/>
      </c>
      <c r="R29" s="11">
        <f>ROUND(R21-R28,6)</f>
        <v/>
      </c>
      <c r="S29" s="11">
        <f>ROUND(S21-S28,6)</f>
        <v/>
      </c>
      <c r="T29" s="11">
        <f>ROUND(T21-T28,6)</f>
        <v/>
      </c>
      <c r="U29" s="11">
        <f>ROUND(U21-U28,6)</f>
        <v/>
      </c>
      <c r="V29" s="11">
        <f>ROUND(V21-V28,6)</f>
        <v/>
      </c>
      <c r="W29" s="11">
        <f>ROUND(W21-W28,6)</f>
        <v/>
      </c>
      <c r="X29" s="11">
        <f>ROUND(X21-X28,6)</f>
        <v/>
      </c>
      <c r="Y29" s="11">
        <f>ROUND(Y21-Y28,6)</f>
        <v/>
      </c>
      <c r="Z29" s="11">
        <f>ROUND(Z21-Z28,6)</f>
        <v/>
      </c>
      <c r="AA29" s="11">
        <f>ROUND(AA21-AA28,6)</f>
        <v/>
      </c>
      <c r="AB29" s="11">
        <f>ROUND(AB21-AB28,6)</f>
        <v/>
      </c>
      <c r="AC29" s="11">
        <f>ROUND(AC21-AC28,6)</f>
        <v/>
      </c>
      <c r="AD29" s="11">
        <f>ROUND(AD21-AD28,6)</f>
        <v/>
      </c>
      <c r="AE29" s="11">
        <f>ROUND(AE21-AE28,6)</f>
        <v/>
      </c>
      <c r="AF29" s="11">
        <f>ROUND(AF21-AF28,6)</f>
        <v/>
      </c>
      <c r="AG29" s="11">
        <f>ROUND(AG21-AG28,6)</f>
        <v/>
      </c>
      <c r="AH29" s="11">
        <f>ROUND(AH21-AH28,6)</f>
        <v/>
      </c>
      <c r="AI29" s="11">
        <f>ROUND(AI21-AI28,6)</f>
        <v/>
      </c>
      <c r="AJ29" s="11">
        <f>ROUND(AJ21-AJ28,6)</f>
        <v/>
      </c>
      <c r="AK29" s="11">
        <f>ROUND(AK21-AK28,6)</f>
        <v/>
      </c>
      <c r="AL29" s="11">
        <f>ROUND(AL21-AL28,6)</f>
        <v/>
      </c>
      <c r="AM29" s="11">
        <f>ROUND(AM21-AM28,6)</f>
        <v/>
      </c>
      <c r="AN29" s="11">
        <f>ROUND(AN21-AN28,6)</f>
        <v/>
      </c>
      <c r="AO29" s="11">
        <f>ROUND(AO21-AO28,6)</f>
        <v/>
      </c>
      <c r="AP29" s="11">
        <f>ROUND(AP21-AP28,6)</f>
        <v/>
      </c>
      <c r="AQ29" s="11">
        <f>ROUND(AQ21-AQ28,6)</f>
        <v/>
      </c>
      <c r="AR29" s="11">
        <f>ROUND(AR21-AR28,6)</f>
        <v/>
      </c>
      <c r="AS29" s="11">
        <f>ROUND(AS21-AS28,6)</f>
        <v/>
      </c>
      <c r="AT29" s="11">
        <f>ROUND(AT21-AT28,6)</f>
        <v/>
      </c>
      <c r="AU29" s="11">
        <f>ROUND(AU21-AU28,6)</f>
        <v/>
      </c>
      <c r="AV29" s="11">
        <f>ROUND(AV21-AV28,6)</f>
        <v/>
      </c>
      <c r="AW29" s="11">
        <f>ROUND(AW21-AW28,6)</f>
        <v/>
      </c>
      <c r="AX29" s="11">
        <f>ROUND(AX21-AX28,6)</f>
        <v/>
      </c>
      <c r="AY29" s="11">
        <f>ROUND(AY21-AY28,6)</f>
        <v/>
      </c>
      <c r="AZ29" s="11">
        <f>ROUND(AZ21-AZ28,6)</f>
        <v/>
      </c>
      <c r="BA29" s="11">
        <f>ROUND(BA21-BA28,6)</f>
        <v/>
      </c>
      <c r="BB29" s="11">
        <f>ROUND(BB21-BB28,6)</f>
        <v/>
      </c>
      <c r="BC29" s="11">
        <f>ROUND(BC21-BC28,6)</f>
        <v/>
      </c>
      <c r="BD29" s="11">
        <f>ROUND(BD21-BD28,6)</f>
        <v/>
      </c>
      <c r="BE29" s="11">
        <f>ROUND(BE21-BE28,6)</f>
        <v/>
      </c>
      <c r="BF29" s="11">
        <f>ROUND(BF21-BF28,6)</f>
        <v/>
      </c>
      <c r="BG29" s="11">
        <f>ROUND(BG21-BG28,6)</f>
        <v/>
      </c>
      <c r="BH29" s="11">
        <f>ROUND(BH21-BH28,6)</f>
        <v/>
      </c>
      <c r="BI29" s="11">
        <f>ROUND(BI21-BI28,6)</f>
        <v/>
      </c>
      <c r="BJ29" s="11">
        <f>ROUND(BJ21-BJ28,6)</f>
        <v/>
      </c>
      <c r="BK29" s="11">
        <f>ROUND(BK21-BK28,6)</f>
        <v/>
      </c>
      <c r="BL29" s="11">
        <f>ROUND(BL21-BL28,6)</f>
        <v/>
      </c>
      <c r="BM29" s="11">
        <f>ROUND(BM21-BM28,6)</f>
        <v/>
      </c>
      <c r="BN29" s="11">
        <f>ROUND(BN21-BN28,6)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N1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Ratios: DSCR, LLCR, PLCR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All-in senior cost per period (financing costs / opening debt)</t>
        </is>
      </c>
      <c r="E7" t="inlineStr">
        <is>
          <t>factor</t>
        </is>
      </c>
      <c r="J7" s="14">
        <f>IF(Debt!J122&gt;0.000000001,Debt!J119/Debt!J122,0)</f>
        <v/>
      </c>
      <c r="K7" s="14">
        <f>IF(Debt!K122&gt;0.000000001,Debt!K119/Debt!K122,0)</f>
        <v/>
      </c>
      <c r="L7" s="14">
        <f>IF(Debt!L122&gt;0.000000001,Debt!L119/Debt!L122,0)</f>
        <v/>
      </c>
      <c r="M7" s="14">
        <f>IF(Debt!M122&gt;0.000000001,Debt!M119/Debt!M122,0)</f>
        <v/>
      </c>
      <c r="N7" s="14">
        <f>IF(Debt!N122&gt;0.000000001,Debt!N119/Debt!N122,0)</f>
        <v/>
      </c>
      <c r="O7" s="14">
        <f>IF(Debt!O122&gt;0.000000001,Debt!O119/Debt!O122,0)</f>
        <v/>
      </c>
      <c r="P7" s="14">
        <f>IF(Debt!P122&gt;0.000000001,Debt!P119/Debt!P122,0)</f>
        <v/>
      </c>
      <c r="Q7" s="14">
        <f>IF(Debt!Q122&gt;0.000000001,Debt!Q119/Debt!Q122,0)</f>
        <v/>
      </c>
      <c r="R7" s="14">
        <f>IF(Debt!R122&gt;0.000000001,Debt!R119/Debt!R122,0)</f>
        <v/>
      </c>
      <c r="S7" s="14">
        <f>IF(Debt!S122&gt;0.000000001,Debt!S119/Debt!S122,0)</f>
        <v/>
      </c>
      <c r="T7" s="14">
        <f>IF(Debt!T122&gt;0.000000001,Debt!T119/Debt!T122,0)</f>
        <v/>
      </c>
      <c r="U7" s="14">
        <f>IF(Debt!U122&gt;0.000000001,Debt!U119/Debt!U122,0)</f>
        <v/>
      </c>
      <c r="V7" s="14">
        <f>IF(Debt!V122&gt;0.000000001,Debt!V119/Debt!V122,0)</f>
        <v/>
      </c>
      <c r="W7" s="14">
        <f>IF(Debt!W122&gt;0.000000001,Debt!W119/Debt!W122,0)</f>
        <v/>
      </c>
      <c r="X7" s="14">
        <f>IF(Debt!X122&gt;0.000000001,Debt!X119/Debt!X122,0)</f>
        <v/>
      </c>
      <c r="Y7" s="14">
        <f>IF(Debt!Y122&gt;0.000000001,Debt!Y119/Debt!Y122,0)</f>
        <v/>
      </c>
      <c r="Z7" s="14">
        <f>IF(Debt!Z122&gt;0.000000001,Debt!Z119/Debt!Z122,0)</f>
        <v/>
      </c>
      <c r="AA7" s="14">
        <f>IF(Debt!AA122&gt;0.000000001,Debt!AA119/Debt!AA122,0)</f>
        <v/>
      </c>
      <c r="AB7" s="14">
        <f>IF(Debt!AB122&gt;0.000000001,Debt!AB119/Debt!AB122,0)</f>
        <v/>
      </c>
      <c r="AC7" s="14">
        <f>IF(Debt!AC122&gt;0.000000001,Debt!AC119/Debt!AC122,0)</f>
        <v/>
      </c>
      <c r="AD7" s="14">
        <f>IF(Debt!AD122&gt;0.000000001,Debt!AD119/Debt!AD122,0)</f>
        <v/>
      </c>
      <c r="AE7" s="14">
        <f>IF(Debt!AE122&gt;0.000000001,Debt!AE119/Debt!AE122,0)</f>
        <v/>
      </c>
      <c r="AF7" s="14">
        <f>IF(Debt!AF122&gt;0.000000001,Debt!AF119/Debt!AF122,0)</f>
        <v/>
      </c>
      <c r="AG7" s="14">
        <f>IF(Debt!AG122&gt;0.000000001,Debt!AG119/Debt!AG122,0)</f>
        <v/>
      </c>
      <c r="AH7" s="14">
        <f>IF(Debt!AH122&gt;0.000000001,Debt!AH119/Debt!AH122,0)</f>
        <v/>
      </c>
      <c r="AI7" s="14">
        <f>IF(Debt!AI122&gt;0.000000001,Debt!AI119/Debt!AI122,0)</f>
        <v/>
      </c>
      <c r="AJ7" s="14">
        <f>IF(Debt!AJ122&gt;0.000000001,Debt!AJ119/Debt!AJ122,0)</f>
        <v/>
      </c>
      <c r="AK7" s="14">
        <f>IF(Debt!AK122&gt;0.000000001,Debt!AK119/Debt!AK122,0)</f>
        <v/>
      </c>
      <c r="AL7" s="14">
        <f>IF(Debt!AL122&gt;0.000000001,Debt!AL119/Debt!AL122,0)</f>
        <v/>
      </c>
      <c r="AM7" s="14">
        <f>IF(Debt!AM122&gt;0.000000001,Debt!AM119/Debt!AM122,0)</f>
        <v/>
      </c>
      <c r="AN7" s="14">
        <f>IF(Debt!AN122&gt;0.000000001,Debt!AN119/Debt!AN122,0)</f>
        <v/>
      </c>
      <c r="AO7" s="14">
        <f>IF(Debt!AO122&gt;0.000000001,Debt!AO119/Debt!AO122,0)</f>
        <v/>
      </c>
      <c r="AP7" s="14">
        <f>IF(Debt!AP122&gt;0.000000001,Debt!AP119/Debt!AP122,0)</f>
        <v/>
      </c>
      <c r="AQ7" s="14">
        <f>IF(Debt!AQ122&gt;0.000000001,Debt!AQ119/Debt!AQ122,0)</f>
        <v/>
      </c>
      <c r="AR7" s="14">
        <f>IF(Debt!AR122&gt;0.000000001,Debt!AR119/Debt!AR122,0)</f>
        <v/>
      </c>
      <c r="AS7" s="14">
        <f>IF(Debt!AS122&gt;0.000000001,Debt!AS119/Debt!AS122,0)</f>
        <v/>
      </c>
      <c r="AT7" s="14">
        <f>IF(Debt!AT122&gt;0.000000001,Debt!AT119/Debt!AT122,0)</f>
        <v/>
      </c>
      <c r="AU7" s="14">
        <f>IF(Debt!AU122&gt;0.000000001,Debt!AU119/Debt!AU122,0)</f>
        <v/>
      </c>
      <c r="AV7" s="14">
        <f>IF(Debt!AV122&gt;0.000000001,Debt!AV119/Debt!AV122,0)</f>
        <v/>
      </c>
      <c r="AW7" s="14">
        <f>IF(Debt!AW122&gt;0.000000001,Debt!AW119/Debt!AW122,0)</f>
        <v/>
      </c>
      <c r="AX7" s="14">
        <f>IF(Debt!AX122&gt;0.000000001,Debt!AX119/Debt!AX122,0)</f>
        <v/>
      </c>
      <c r="AY7" s="14">
        <f>IF(Debt!AY122&gt;0.000000001,Debt!AY119/Debt!AY122,0)</f>
        <v/>
      </c>
      <c r="AZ7" s="14">
        <f>IF(Debt!AZ122&gt;0.000000001,Debt!AZ119/Debt!AZ122,0)</f>
        <v/>
      </c>
      <c r="BA7" s="14">
        <f>IF(Debt!BA122&gt;0.000000001,Debt!BA119/Debt!BA122,0)</f>
        <v/>
      </c>
      <c r="BB7" s="14">
        <f>IF(Debt!BB122&gt;0.000000001,Debt!BB119/Debt!BB122,0)</f>
        <v/>
      </c>
      <c r="BC7" s="14">
        <f>IF(Debt!BC122&gt;0.000000001,Debt!BC119/Debt!BC122,0)</f>
        <v/>
      </c>
      <c r="BD7" s="14">
        <f>IF(Debt!BD122&gt;0.000000001,Debt!BD119/Debt!BD122,0)</f>
        <v/>
      </c>
      <c r="BE7" s="14">
        <f>IF(Debt!BE122&gt;0.000000001,Debt!BE119/Debt!BE122,0)</f>
        <v/>
      </c>
      <c r="BF7" s="14">
        <f>IF(Debt!BF122&gt;0.000000001,Debt!BF119/Debt!BF122,0)</f>
        <v/>
      </c>
      <c r="BG7" s="14">
        <f>IF(Debt!BG122&gt;0.000000001,Debt!BG119/Debt!BG122,0)</f>
        <v/>
      </c>
      <c r="BH7" s="14">
        <f>IF(Debt!BH122&gt;0.000000001,Debt!BH119/Debt!BH122,0)</f>
        <v/>
      </c>
      <c r="BI7" s="14">
        <f>IF(Debt!BI122&gt;0.000000001,Debt!BI119/Debt!BI122,0)</f>
        <v/>
      </c>
      <c r="BJ7" s="14">
        <f>IF(Debt!BJ122&gt;0.000000001,Debt!BJ119/Debt!BJ122,0)</f>
        <v/>
      </c>
      <c r="BK7" s="14">
        <f>IF(Debt!BK122&gt;0.000000001,Debt!BK119/Debt!BK122,0)</f>
        <v/>
      </c>
      <c r="BL7" s="14">
        <f>IF(Debt!BL122&gt;0.000000001,Debt!BL119/Debt!BL122,0)</f>
        <v/>
      </c>
      <c r="BM7" s="14">
        <f>IF(Debt!BM122&gt;0.000000001,Debt!BM119/Debt!BM122,0)</f>
        <v/>
      </c>
      <c r="BN7" s="14">
        <f>IF(Debt!BN122&gt;0.000000001,Debt!BN119/Debt!BN122,0)</f>
        <v/>
      </c>
    </row>
    <row r="8">
      <c r="D8" t="inlineStr">
        <is>
          <t>Final maturity period</t>
        </is>
      </c>
      <c r="E8" t="inlineStr">
        <is>
          <t>index</t>
        </is>
      </c>
      <c r="F8" s="9">
        <f>SUMPRODUCT(MAX((Debt!$J$122:$BN$122&gt;0.000000001)*Time!$J$17:$BN$17))</f>
        <v/>
      </c>
    </row>
    <row r="9">
      <c r="D9" t="inlineStr">
        <is>
          <t>Rate in final maturity period</t>
        </is>
      </c>
      <c r="E9" t="inlineStr">
        <is>
          <t>factor</t>
        </is>
      </c>
      <c r="F9" s="14">
        <f>INDEX(Ratios!$J$7:$BN$7,1,Ratios!$F$8)</f>
        <v/>
      </c>
    </row>
    <row r="10">
      <c r="D10" t="inlineStr">
        <is>
          <t>Discount rate used</t>
        </is>
      </c>
      <c r="E10" t="inlineStr">
        <is>
          <t>factor</t>
        </is>
      </c>
      <c r="J10" s="14">
        <f>IF(J7&gt;0,J7,$F$9)</f>
        <v/>
      </c>
      <c r="K10" s="14">
        <f>IF(K7&gt;0,K7,$F$9)</f>
        <v/>
      </c>
      <c r="L10" s="14">
        <f>IF(L7&gt;0,L7,$F$9)</f>
        <v/>
      </c>
      <c r="M10" s="14">
        <f>IF(M7&gt;0,M7,$F$9)</f>
        <v/>
      </c>
      <c r="N10" s="14">
        <f>IF(N7&gt;0,N7,$F$9)</f>
        <v/>
      </c>
      <c r="O10" s="14">
        <f>IF(O7&gt;0,O7,$F$9)</f>
        <v/>
      </c>
      <c r="P10" s="14">
        <f>IF(P7&gt;0,P7,$F$9)</f>
        <v/>
      </c>
      <c r="Q10" s="14">
        <f>IF(Q7&gt;0,Q7,$F$9)</f>
        <v/>
      </c>
      <c r="R10" s="14">
        <f>IF(R7&gt;0,R7,$F$9)</f>
        <v/>
      </c>
      <c r="S10" s="14">
        <f>IF(S7&gt;0,S7,$F$9)</f>
        <v/>
      </c>
      <c r="T10" s="14">
        <f>IF(T7&gt;0,T7,$F$9)</f>
        <v/>
      </c>
      <c r="U10" s="14">
        <f>IF(U7&gt;0,U7,$F$9)</f>
        <v/>
      </c>
      <c r="V10" s="14">
        <f>IF(V7&gt;0,V7,$F$9)</f>
        <v/>
      </c>
      <c r="W10" s="14">
        <f>IF(W7&gt;0,W7,$F$9)</f>
        <v/>
      </c>
      <c r="X10" s="14">
        <f>IF(X7&gt;0,X7,$F$9)</f>
        <v/>
      </c>
      <c r="Y10" s="14">
        <f>IF(Y7&gt;0,Y7,$F$9)</f>
        <v/>
      </c>
      <c r="Z10" s="14">
        <f>IF(Z7&gt;0,Z7,$F$9)</f>
        <v/>
      </c>
      <c r="AA10" s="14">
        <f>IF(AA7&gt;0,AA7,$F$9)</f>
        <v/>
      </c>
      <c r="AB10" s="14">
        <f>IF(AB7&gt;0,AB7,$F$9)</f>
        <v/>
      </c>
      <c r="AC10" s="14">
        <f>IF(AC7&gt;0,AC7,$F$9)</f>
        <v/>
      </c>
      <c r="AD10" s="14">
        <f>IF(AD7&gt;0,AD7,$F$9)</f>
        <v/>
      </c>
      <c r="AE10" s="14">
        <f>IF(AE7&gt;0,AE7,$F$9)</f>
        <v/>
      </c>
      <c r="AF10" s="14">
        <f>IF(AF7&gt;0,AF7,$F$9)</f>
        <v/>
      </c>
      <c r="AG10" s="14">
        <f>IF(AG7&gt;0,AG7,$F$9)</f>
        <v/>
      </c>
      <c r="AH10" s="14">
        <f>IF(AH7&gt;0,AH7,$F$9)</f>
        <v/>
      </c>
      <c r="AI10" s="14">
        <f>IF(AI7&gt;0,AI7,$F$9)</f>
        <v/>
      </c>
      <c r="AJ10" s="14">
        <f>IF(AJ7&gt;0,AJ7,$F$9)</f>
        <v/>
      </c>
      <c r="AK10" s="14">
        <f>IF(AK7&gt;0,AK7,$F$9)</f>
        <v/>
      </c>
      <c r="AL10" s="14">
        <f>IF(AL7&gt;0,AL7,$F$9)</f>
        <v/>
      </c>
      <c r="AM10" s="14">
        <f>IF(AM7&gt;0,AM7,$F$9)</f>
        <v/>
      </c>
      <c r="AN10" s="14">
        <f>IF(AN7&gt;0,AN7,$F$9)</f>
        <v/>
      </c>
      <c r="AO10" s="14">
        <f>IF(AO7&gt;0,AO7,$F$9)</f>
        <v/>
      </c>
      <c r="AP10" s="14">
        <f>IF(AP7&gt;0,AP7,$F$9)</f>
        <v/>
      </c>
      <c r="AQ10" s="14">
        <f>IF(AQ7&gt;0,AQ7,$F$9)</f>
        <v/>
      </c>
      <c r="AR10" s="14">
        <f>IF(AR7&gt;0,AR7,$F$9)</f>
        <v/>
      </c>
      <c r="AS10" s="14">
        <f>IF(AS7&gt;0,AS7,$F$9)</f>
        <v/>
      </c>
      <c r="AT10" s="14">
        <f>IF(AT7&gt;0,AT7,$F$9)</f>
        <v/>
      </c>
      <c r="AU10" s="14">
        <f>IF(AU7&gt;0,AU7,$F$9)</f>
        <v/>
      </c>
      <c r="AV10" s="14">
        <f>IF(AV7&gt;0,AV7,$F$9)</f>
        <v/>
      </c>
      <c r="AW10" s="14">
        <f>IF(AW7&gt;0,AW7,$F$9)</f>
        <v/>
      </c>
      <c r="AX10" s="14">
        <f>IF(AX7&gt;0,AX7,$F$9)</f>
        <v/>
      </c>
      <c r="AY10" s="14">
        <f>IF(AY7&gt;0,AY7,$F$9)</f>
        <v/>
      </c>
      <c r="AZ10" s="14">
        <f>IF(AZ7&gt;0,AZ7,$F$9)</f>
        <v/>
      </c>
      <c r="BA10" s="14">
        <f>IF(BA7&gt;0,BA7,$F$9)</f>
        <v/>
      </c>
      <c r="BB10" s="14">
        <f>IF(BB7&gt;0,BB7,$F$9)</f>
        <v/>
      </c>
      <c r="BC10" s="14">
        <f>IF(BC7&gt;0,BC7,$F$9)</f>
        <v/>
      </c>
      <c r="BD10" s="14">
        <f>IF(BD7&gt;0,BD7,$F$9)</f>
        <v/>
      </c>
      <c r="BE10" s="14">
        <f>IF(BE7&gt;0,BE7,$F$9)</f>
        <v/>
      </c>
      <c r="BF10" s="14">
        <f>IF(BF7&gt;0,BF7,$F$9)</f>
        <v/>
      </c>
      <c r="BG10" s="14">
        <f>IF(BG7&gt;0,BG7,$F$9)</f>
        <v/>
      </c>
      <c r="BH10" s="14">
        <f>IF(BH7&gt;0,BH7,$F$9)</f>
        <v/>
      </c>
      <c r="BI10" s="14">
        <f>IF(BI7&gt;0,BI7,$F$9)</f>
        <v/>
      </c>
      <c r="BJ10" s="14">
        <f>IF(BJ7&gt;0,BJ7,$F$9)</f>
        <v/>
      </c>
      <c r="BK10" s="14">
        <f>IF(BK7&gt;0,BK7,$F$9)</f>
        <v/>
      </c>
      <c r="BL10" s="14">
        <f>IF(BL7&gt;0,BL7,$F$9)</f>
        <v/>
      </c>
      <c r="BM10" s="14">
        <f>IF(BM7&gt;0,BM7,$F$9)</f>
        <v/>
      </c>
      <c r="BN10" s="14">
        <f>IF(BN7&gt;0,BN7,$F$9)</f>
        <v/>
      </c>
    </row>
    <row r="11">
      <c r="D11" t="inlineStr">
        <is>
          <t>PV of CFADS to final maturity</t>
        </is>
      </c>
      <c r="E11" t="inlineStr">
        <is>
          <t>USD m</t>
        </is>
      </c>
      <c r="J11" s="11">
        <f>IF(Time!J17&lt;=$F$8,(Waterfall!J7+K11)/(1+J10),0)</f>
        <v/>
      </c>
      <c r="K11" s="11">
        <f>IF(Time!K17&lt;=$F$8,(Waterfall!K7+L11)/(1+K10),0)</f>
        <v/>
      </c>
      <c r="L11" s="11">
        <f>IF(Time!L17&lt;=$F$8,(Waterfall!L7+M11)/(1+L10),0)</f>
        <v/>
      </c>
      <c r="M11" s="11">
        <f>IF(Time!M17&lt;=$F$8,(Waterfall!M7+N11)/(1+M10),0)</f>
        <v/>
      </c>
      <c r="N11" s="11">
        <f>IF(Time!N17&lt;=$F$8,(Waterfall!N7+O11)/(1+N10),0)</f>
        <v/>
      </c>
      <c r="O11" s="11">
        <f>IF(Time!O17&lt;=$F$8,(Waterfall!O7+P11)/(1+O10),0)</f>
        <v/>
      </c>
      <c r="P11" s="11">
        <f>IF(Time!P17&lt;=$F$8,(Waterfall!P7+Q11)/(1+P10),0)</f>
        <v/>
      </c>
      <c r="Q11" s="11">
        <f>IF(Time!Q17&lt;=$F$8,(Waterfall!Q7+R11)/(1+Q10),0)</f>
        <v/>
      </c>
      <c r="R11" s="11">
        <f>IF(Time!R17&lt;=$F$8,(Waterfall!R7+S11)/(1+R10),0)</f>
        <v/>
      </c>
      <c r="S11" s="11">
        <f>IF(Time!S17&lt;=$F$8,(Waterfall!S7+T11)/(1+S10),0)</f>
        <v/>
      </c>
      <c r="T11" s="11">
        <f>IF(Time!T17&lt;=$F$8,(Waterfall!T7+U11)/(1+T10),0)</f>
        <v/>
      </c>
      <c r="U11" s="11">
        <f>IF(Time!U17&lt;=$F$8,(Waterfall!U7+V11)/(1+U10),0)</f>
        <v/>
      </c>
      <c r="V11" s="11">
        <f>IF(Time!V17&lt;=$F$8,(Waterfall!V7+W11)/(1+V10),0)</f>
        <v/>
      </c>
      <c r="W11" s="11">
        <f>IF(Time!W17&lt;=$F$8,(Waterfall!W7+X11)/(1+W10),0)</f>
        <v/>
      </c>
      <c r="X11" s="11">
        <f>IF(Time!X17&lt;=$F$8,(Waterfall!X7+Y11)/(1+X10),0)</f>
        <v/>
      </c>
      <c r="Y11" s="11">
        <f>IF(Time!Y17&lt;=$F$8,(Waterfall!Y7+Z11)/(1+Y10),0)</f>
        <v/>
      </c>
      <c r="Z11" s="11">
        <f>IF(Time!Z17&lt;=$F$8,(Waterfall!Z7+AA11)/(1+Z10),0)</f>
        <v/>
      </c>
      <c r="AA11" s="11">
        <f>IF(Time!AA17&lt;=$F$8,(Waterfall!AA7+AB11)/(1+AA10),0)</f>
        <v/>
      </c>
      <c r="AB11" s="11">
        <f>IF(Time!AB17&lt;=$F$8,(Waterfall!AB7+AC11)/(1+AB10),0)</f>
        <v/>
      </c>
      <c r="AC11" s="11">
        <f>IF(Time!AC17&lt;=$F$8,(Waterfall!AC7+AD11)/(1+AC10),0)</f>
        <v/>
      </c>
      <c r="AD11" s="11">
        <f>IF(Time!AD17&lt;=$F$8,(Waterfall!AD7+AE11)/(1+AD10),0)</f>
        <v/>
      </c>
      <c r="AE11" s="11">
        <f>IF(Time!AE17&lt;=$F$8,(Waterfall!AE7+AF11)/(1+AE10),0)</f>
        <v/>
      </c>
      <c r="AF11" s="11">
        <f>IF(Time!AF17&lt;=$F$8,(Waterfall!AF7+AG11)/(1+AF10),0)</f>
        <v/>
      </c>
      <c r="AG11" s="11">
        <f>IF(Time!AG17&lt;=$F$8,(Waterfall!AG7+AH11)/(1+AG10),0)</f>
        <v/>
      </c>
      <c r="AH11" s="11">
        <f>IF(Time!AH17&lt;=$F$8,(Waterfall!AH7+AI11)/(1+AH10),0)</f>
        <v/>
      </c>
      <c r="AI11" s="11">
        <f>IF(Time!AI17&lt;=$F$8,(Waterfall!AI7+AJ11)/(1+AI10),0)</f>
        <v/>
      </c>
      <c r="AJ11" s="11">
        <f>IF(Time!AJ17&lt;=$F$8,(Waterfall!AJ7+AK11)/(1+AJ10),0)</f>
        <v/>
      </c>
      <c r="AK11" s="11">
        <f>IF(Time!AK17&lt;=$F$8,(Waterfall!AK7+AL11)/(1+AK10),0)</f>
        <v/>
      </c>
      <c r="AL11" s="11">
        <f>IF(Time!AL17&lt;=$F$8,(Waterfall!AL7+AM11)/(1+AL10),0)</f>
        <v/>
      </c>
      <c r="AM11" s="11">
        <f>IF(Time!AM17&lt;=$F$8,(Waterfall!AM7+AN11)/(1+AM10),0)</f>
        <v/>
      </c>
      <c r="AN11" s="11">
        <f>IF(Time!AN17&lt;=$F$8,(Waterfall!AN7+AO11)/(1+AN10),0)</f>
        <v/>
      </c>
      <c r="AO11" s="11">
        <f>IF(Time!AO17&lt;=$F$8,(Waterfall!AO7+AP11)/(1+AO10),0)</f>
        <v/>
      </c>
      <c r="AP11" s="11">
        <f>IF(Time!AP17&lt;=$F$8,(Waterfall!AP7+AQ11)/(1+AP10),0)</f>
        <v/>
      </c>
      <c r="AQ11" s="11">
        <f>IF(Time!AQ17&lt;=$F$8,(Waterfall!AQ7+AR11)/(1+AQ10),0)</f>
        <v/>
      </c>
      <c r="AR11" s="11">
        <f>IF(Time!AR17&lt;=$F$8,(Waterfall!AR7+AS11)/(1+AR10),0)</f>
        <v/>
      </c>
      <c r="AS11" s="11">
        <f>IF(Time!AS17&lt;=$F$8,(Waterfall!AS7+AT11)/(1+AS10),0)</f>
        <v/>
      </c>
      <c r="AT11" s="11">
        <f>IF(Time!AT17&lt;=$F$8,(Waterfall!AT7+AU11)/(1+AT10),0)</f>
        <v/>
      </c>
      <c r="AU11" s="11">
        <f>IF(Time!AU17&lt;=$F$8,(Waterfall!AU7+AV11)/(1+AU10),0)</f>
        <v/>
      </c>
      <c r="AV11" s="11">
        <f>IF(Time!AV17&lt;=$F$8,(Waterfall!AV7+AW11)/(1+AV10),0)</f>
        <v/>
      </c>
      <c r="AW11" s="11">
        <f>IF(Time!AW17&lt;=$F$8,(Waterfall!AW7+AX11)/(1+AW10),0)</f>
        <v/>
      </c>
      <c r="AX11" s="11">
        <f>IF(Time!AX17&lt;=$F$8,(Waterfall!AX7+AY11)/(1+AX10),0)</f>
        <v/>
      </c>
      <c r="AY11" s="11">
        <f>IF(Time!AY17&lt;=$F$8,(Waterfall!AY7+AZ11)/(1+AY10),0)</f>
        <v/>
      </c>
      <c r="AZ11" s="11">
        <f>IF(Time!AZ17&lt;=$F$8,(Waterfall!AZ7+BA11)/(1+AZ10),0)</f>
        <v/>
      </c>
      <c r="BA11" s="11">
        <f>IF(Time!BA17&lt;=$F$8,(Waterfall!BA7+BB11)/(1+BA10),0)</f>
        <v/>
      </c>
      <c r="BB11" s="11">
        <f>IF(Time!BB17&lt;=$F$8,(Waterfall!BB7+BC11)/(1+BB10),0)</f>
        <v/>
      </c>
      <c r="BC11" s="11">
        <f>IF(Time!BC17&lt;=$F$8,(Waterfall!BC7+BD11)/(1+BC10),0)</f>
        <v/>
      </c>
      <c r="BD11" s="11">
        <f>IF(Time!BD17&lt;=$F$8,(Waterfall!BD7+BE11)/(1+BD10),0)</f>
        <v/>
      </c>
      <c r="BE11" s="11">
        <f>IF(Time!BE17&lt;=$F$8,(Waterfall!BE7+BF11)/(1+BE10),0)</f>
        <v/>
      </c>
      <c r="BF11" s="11">
        <f>IF(Time!BF17&lt;=$F$8,(Waterfall!BF7+BG11)/(1+BF10),0)</f>
        <v/>
      </c>
      <c r="BG11" s="11">
        <f>IF(Time!BG17&lt;=$F$8,(Waterfall!BG7+BH11)/(1+BG10),0)</f>
        <v/>
      </c>
      <c r="BH11" s="11">
        <f>IF(Time!BH17&lt;=$F$8,(Waterfall!BH7+BI11)/(1+BH10),0)</f>
        <v/>
      </c>
      <c r="BI11" s="11">
        <f>IF(Time!BI17&lt;=$F$8,(Waterfall!BI7+BJ11)/(1+BI10),0)</f>
        <v/>
      </c>
      <c r="BJ11" s="11">
        <f>IF(Time!BJ17&lt;=$F$8,(Waterfall!BJ7+BK11)/(1+BJ10),0)</f>
        <v/>
      </c>
      <c r="BK11" s="11">
        <f>IF(Time!BK17&lt;=$F$8,(Waterfall!BK7+BL11)/(1+BK10),0)</f>
        <v/>
      </c>
      <c r="BL11" s="11">
        <f>IF(Time!BL17&lt;=$F$8,(Waterfall!BL7+BM11)/(1+BL10),0)</f>
        <v/>
      </c>
      <c r="BM11" s="11">
        <f>IF(Time!BM17&lt;=$F$8,(Waterfall!BM7+BN11)/(1+BM10),0)</f>
        <v/>
      </c>
      <c r="BN11" s="11">
        <f>IF(Time!BN17&lt;=$F$8,(Waterfall!BN7+0)/(1+BN10),0)</f>
        <v/>
      </c>
    </row>
    <row r="12">
      <c r="D12" t="inlineStr">
        <is>
          <t>PV of CFADS to PPA expiry</t>
        </is>
      </c>
      <c r="E12" t="inlineStr">
        <is>
          <t>USD m</t>
        </is>
      </c>
      <c r="J12" s="11">
        <f>IF(Time!J17&lt;=Time!$F$14,(Waterfall!J7+K12)/(1+J10),0)</f>
        <v/>
      </c>
      <c r="K12" s="11">
        <f>IF(Time!K17&lt;=Time!$F$14,(Waterfall!K7+L12)/(1+K10),0)</f>
        <v/>
      </c>
      <c r="L12" s="11">
        <f>IF(Time!L17&lt;=Time!$F$14,(Waterfall!L7+M12)/(1+L10),0)</f>
        <v/>
      </c>
      <c r="M12" s="11">
        <f>IF(Time!M17&lt;=Time!$F$14,(Waterfall!M7+N12)/(1+M10),0)</f>
        <v/>
      </c>
      <c r="N12" s="11">
        <f>IF(Time!N17&lt;=Time!$F$14,(Waterfall!N7+O12)/(1+N10),0)</f>
        <v/>
      </c>
      <c r="O12" s="11">
        <f>IF(Time!O17&lt;=Time!$F$14,(Waterfall!O7+P12)/(1+O10),0)</f>
        <v/>
      </c>
      <c r="P12" s="11">
        <f>IF(Time!P17&lt;=Time!$F$14,(Waterfall!P7+Q12)/(1+P10),0)</f>
        <v/>
      </c>
      <c r="Q12" s="11">
        <f>IF(Time!Q17&lt;=Time!$F$14,(Waterfall!Q7+R12)/(1+Q10),0)</f>
        <v/>
      </c>
      <c r="R12" s="11">
        <f>IF(Time!R17&lt;=Time!$F$14,(Waterfall!R7+S12)/(1+R10),0)</f>
        <v/>
      </c>
      <c r="S12" s="11">
        <f>IF(Time!S17&lt;=Time!$F$14,(Waterfall!S7+T12)/(1+S10),0)</f>
        <v/>
      </c>
      <c r="T12" s="11">
        <f>IF(Time!T17&lt;=Time!$F$14,(Waterfall!T7+U12)/(1+T10),0)</f>
        <v/>
      </c>
      <c r="U12" s="11">
        <f>IF(Time!U17&lt;=Time!$F$14,(Waterfall!U7+V12)/(1+U10),0)</f>
        <v/>
      </c>
      <c r="V12" s="11">
        <f>IF(Time!V17&lt;=Time!$F$14,(Waterfall!V7+W12)/(1+V10),0)</f>
        <v/>
      </c>
      <c r="W12" s="11">
        <f>IF(Time!W17&lt;=Time!$F$14,(Waterfall!W7+X12)/(1+W10),0)</f>
        <v/>
      </c>
      <c r="X12" s="11">
        <f>IF(Time!X17&lt;=Time!$F$14,(Waterfall!X7+Y12)/(1+X10),0)</f>
        <v/>
      </c>
      <c r="Y12" s="11">
        <f>IF(Time!Y17&lt;=Time!$F$14,(Waterfall!Y7+Z12)/(1+Y10),0)</f>
        <v/>
      </c>
      <c r="Z12" s="11">
        <f>IF(Time!Z17&lt;=Time!$F$14,(Waterfall!Z7+AA12)/(1+Z10),0)</f>
        <v/>
      </c>
      <c r="AA12" s="11">
        <f>IF(Time!AA17&lt;=Time!$F$14,(Waterfall!AA7+AB12)/(1+AA10),0)</f>
        <v/>
      </c>
      <c r="AB12" s="11">
        <f>IF(Time!AB17&lt;=Time!$F$14,(Waterfall!AB7+AC12)/(1+AB10),0)</f>
        <v/>
      </c>
      <c r="AC12" s="11">
        <f>IF(Time!AC17&lt;=Time!$F$14,(Waterfall!AC7+AD12)/(1+AC10),0)</f>
        <v/>
      </c>
      <c r="AD12" s="11">
        <f>IF(Time!AD17&lt;=Time!$F$14,(Waterfall!AD7+AE12)/(1+AD10),0)</f>
        <v/>
      </c>
      <c r="AE12" s="11">
        <f>IF(Time!AE17&lt;=Time!$F$14,(Waterfall!AE7+AF12)/(1+AE10),0)</f>
        <v/>
      </c>
      <c r="AF12" s="11">
        <f>IF(Time!AF17&lt;=Time!$F$14,(Waterfall!AF7+AG12)/(1+AF10),0)</f>
        <v/>
      </c>
      <c r="AG12" s="11">
        <f>IF(Time!AG17&lt;=Time!$F$14,(Waterfall!AG7+AH12)/(1+AG10),0)</f>
        <v/>
      </c>
      <c r="AH12" s="11">
        <f>IF(Time!AH17&lt;=Time!$F$14,(Waterfall!AH7+AI12)/(1+AH10),0)</f>
        <v/>
      </c>
      <c r="AI12" s="11">
        <f>IF(Time!AI17&lt;=Time!$F$14,(Waterfall!AI7+AJ12)/(1+AI10),0)</f>
        <v/>
      </c>
      <c r="AJ12" s="11">
        <f>IF(Time!AJ17&lt;=Time!$F$14,(Waterfall!AJ7+AK12)/(1+AJ10),0)</f>
        <v/>
      </c>
      <c r="AK12" s="11">
        <f>IF(Time!AK17&lt;=Time!$F$14,(Waterfall!AK7+AL12)/(1+AK10),0)</f>
        <v/>
      </c>
      <c r="AL12" s="11">
        <f>IF(Time!AL17&lt;=Time!$F$14,(Waterfall!AL7+AM12)/(1+AL10),0)</f>
        <v/>
      </c>
      <c r="AM12" s="11">
        <f>IF(Time!AM17&lt;=Time!$F$14,(Waterfall!AM7+AN12)/(1+AM10),0)</f>
        <v/>
      </c>
      <c r="AN12" s="11">
        <f>IF(Time!AN17&lt;=Time!$F$14,(Waterfall!AN7+AO12)/(1+AN10),0)</f>
        <v/>
      </c>
      <c r="AO12" s="11">
        <f>IF(Time!AO17&lt;=Time!$F$14,(Waterfall!AO7+AP12)/(1+AO10),0)</f>
        <v/>
      </c>
      <c r="AP12" s="11">
        <f>IF(Time!AP17&lt;=Time!$F$14,(Waterfall!AP7+AQ12)/(1+AP10),0)</f>
        <v/>
      </c>
      <c r="AQ12" s="11">
        <f>IF(Time!AQ17&lt;=Time!$F$14,(Waterfall!AQ7+AR12)/(1+AQ10),0)</f>
        <v/>
      </c>
      <c r="AR12" s="11">
        <f>IF(Time!AR17&lt;=Time!$F$14,(Waterfall!AR7+AS12)/(1+AR10),0)</f>
        <v/>
      </c>
      <c r="AS12" s="11">
        <f>IF(Time!AS17&lt;=Time!$F$14,(Waterfall!AS7+AT12)/(1+AS10),0)</f>
        <v/>
      </c>
      <c r="AT12" s="11">
        <f>IF(Time!AT17&lt;=Time!$F$14,(Waterfall!AT7+AU12)/(1+AT10),0)</f>
        <v/>
      </c>
      <c r="AU12" s="11">
        <f>IF(Time!AU17&lt;=Time!$F$14,(Waterfall!AU7+AV12)/(1+AU10),0)</f>
        <v/>
      </c>
      <c r="AV12" s="11">
        <f>IF(Time!AV17&lt;=Time!$F$14,(Waterfall!AV7+AW12)/(1+AV10),0)</f>
        <v/>
      </c>
      <c r="AW12" s="11">
        <f>IF(Time!AW17&lt;=Time!$F$14,(Waterfall!AW7+AX12)/(1+AW10),0)</f>
        <v/>
      </c>
      <c r="AX12" s="11">
        <f>IF(Time!AX17&lt;=Time!$F$14,(Waterfall!AX7+AY12)/(1+AX10),0)</f>
        <v/>
      </c>
      <c r="AY12" s="11">
        <f>IF(Time!AY17&lt;=Time!$F$14,(Waterfall!AY7+AZ12)/(1+AY10),0)</f>
        <v/>
      </c>
      <c r="AZ12" s="11">
        <f>IF(Time!AZ17&lt;=Time!$F$14,(Waterfall!AZ7+BA12)/(1+AZ10),0)</f>
        <v/>
      </c>
      <c r="BA12" s="11">
        <f>IF(Time!BA17&lt;=Time!$F$14,(Waterfall!BA7+BB12)/(1+BA10),0)</f>
        <v/>
      </c>
      <c r="BB12" s="11">
        <f>IF(Time!BB17&lt;=Time!$F$14,(Waterfall!BB7+BC12)/(1+BB10),0)</f>
        <v/>
      </c>
      <c r="BC12" s="11">
        <f>IF(Time!BC17&lt;=Time!$F$14,(Waterfall!BC7+BD12)/(1+BC10),0)</f>
        <v/>
      </c>
      <c r="BD12" s="11">
        <f>IF(Time!BD17&lt;=Time!$F$14,(Waterfall!BD7+BE12)/(1+BD10),0)</f>
        <v/>
      </c>
      <c r="BE12" s="11">
        <f>IF(Time!BE17&lt;=Time!$F$14,(Waterfall!BE7+BF12)/(1+BE10),0)</f>
        <v/>
      </c>
      <c r="BF12" s="11">
        <f>IF(Time!BF17&lt;=Time!$F$14,(Waterfall!BF7+BG12)/(1+BF10),0)</f>
        <v/>
      </c>
      <c r="BG12" s="11">
        <f>IF(Time!BG17&lt;=Time!$F$14,(Waterfall!BG7+BH12)/(1+BG10),0)</f>
        <v/>
      </c>
      <c r="BH12" s="11">
        <f>IF(Time!BH17&lt;=Time!$F$14,(Waterfall!BH7+BI12)/(1+BH10),0)</f>
        <v/>
      </c>
      <c r="BI12" s="11">
        <f>IF(Time!BI17&lt;=Time!$F$14,(Waterfall!BI7+BJ12)/(1+BI10),0)</f>
        <v/>
      </c>
      <c r="BJ12" s="11">
        <f>IF(Time!BJ17&lt;=Time!$F$14,(Waterfall!BJ7+BK12)/(1+BJ10),0)</f>
        <v/>
      </c>
      <c r="BK12" s="11">
        <f>IF(Time!BK17&lt;=Time!$F$14,(Waterfall!BK7+BL12)/(1+BK10),0)</f>
        <v/>
      </c>
      <c r="BL12" s="11">
        <f>IF(Time!BL17&lt;=Time!$F$14,(Waterfall!BL7+BM12)/(1+BL10),0)</f>
        <v/>
      </c>
      <c r="BM12" s="11">
        <f>IF(Time!BM17&lt;=Time!$F$14,(Waterfall!BM7+BN12)/(1+BM10),0)</f>
        <v/>
      </c>
      <c r="BN12" s="11">
        <f>IF(Time!BN17&lt;=Time!$F$14,(Waterfall!BN7+0)/(1+BN10),0)</f>
        <v/>
      </c>
    </row>
    <row r="13">
      <c r="D13" t="inlineStr">
        <is>
          <t>LLCR = (PV CFADS + DSRA) / debt</t>
        </is>
      </c>
      <c r="E13" t="inlineStr">
        <is>
          <t>x</t>
        </is>
      </c>
      <c r="J13" s="6">
        <f>IF(Debt!J122&gt;0.000000001,(J11+Reserves!J9)/Debt!J122,0)</f>
        <v/>
      </c>
      <c r="K13" s="6">
        <f>IF(Debt!K122&gt;0.000000001,(K11+Reserves!K9)/Debt!K122,0)</f>
        <v/>
      </c>
      <c r="L13" s="6">
        <f>IF(Debt!L122&gt;0.000000001,(L11+Reserves!L9)/Debt!L122,0)</f>
        <v/>
      </c>
      <c r="M13" s="6">
        <f>IF(Debt!M122&gt;0.000000001,(M11+Reserves!M9)/Debt!M122,0)</f>
        <v/>
      </c>
      <c r="N13" s="6">
        <f>IF(Debt!N122&gt;0.000000001,(N11+Reserves!N9)/Debt!N122,0)</f>
        <v/>
      </c>
      <c r="O13" s="6">
        <f>IF(Debt!O122&gt;0.000000001,(O11+Reserves!O9)/Debt!O122,0)</f>
        <v/>
      </c>
      <c r="P13" s="6">
        <f>IF(Debt!P122&gt;0.000000001,(P11+Reserves!P9)/Debt!P122,0)</f>
        <v/>
      </c>
      <c r="Q13" s="6">
        <f>IF(Debt!Q122&gt;0.000000001,(Q11+Reserves!Q9)/Debt!Q122,0)</f>
        <v/>
      </c>
      <c r="R13" s="6">
        <f>IF(Debt!R122&gt;0.000000001,(R11+Reserves!R9)/Debt!R122,0)</f>
        <v/>
      </c>
      <c r="S13" s="6">
        <f>IF(Debt!S122&gt;0.000000001,(S11+Reserves!S9)/Debt!S122,0)</f>
        <v/>
      </c>
      <c r="T13" s="6">
        <f>IF(Debt!T122&gt;0.000000001,(T11+Reserves!T9)/Debt!T122,0)</f>
        <v/>
      </c>
      <c r="U13" s="6">
        <f>IF(Debt!U122&gt;0.000000001,(U11+Reserves!U9)/Debt!U122,0)</f>
        <v/>
      </c>
      <c r="V13" s="6">
        <f>IF(Debt!V122&gt;0.000000001,(V11+Reserves!V9)/Debt!V122,0)</f>
        <v/>
      </c>
      <c r="W13" s="6">
        <f>IF(Debt!W122&gt;0.000000001,(W11+Reserves!W9)/Debt!W122,0)</f>
        <v/>
      </c>
      <c r="X13" s="6">
        <f>IF(Debt!X122&gt;0.000000001,(X11+Reserves!X9)/Debt!X122,0)</f>
        <v/>
      </c>
      <c r="Y13" s="6">
        <f>IF(Debt!Y122&gt;0.000000001,(Y11+Reserves!Y9)/Debt!Y122,0)</f>
        <v/>
      </c>
      <c r="Z13" s="6">
        <f>IF(Debt!Z122&gt;0.000000001,(Z11+Reserves!Z9)/Debt!Z122,0)</f>
        <v/>
      </c>
      <c r="AA13" s="6">
        <f>IF(Debt!AA122&gt;0.000000001,(AA11+Reserves!AA9)/Debt!AA122,0)</f>
        <v/>
      </c>
      <c r="AB13" s="6">
        <f>IF(Debt!AB122&gt;0.000000001,(AB11+Reserves!AB9)/Debt!AB122,0)</f>
        <v/>
      </c>
      <c r="AC13" s="6">
        <f>IF(Debt!AC122&gt;0.000000001,(AC11+Reserves!AC9)/Debt!AC122,0)</f>
        <v/>
      </c>
      <c r="AD13" s="6">
        <f>IF(Debt!AD122&gt;0.000000001,(AD11+Reserves!AD9)/Debt!AD122,0)</f>
        <v/>
      </c>
      <c r="AE13" s="6">
        <f>IF(Debt!AE122&gt;0.000000001,(AE11+Reserves!AE9)/Debt!AE122,0)</f>
        <v/>
      </c>
      <c r="AF13" s="6">
        <f>IF(Debt!AF122&gt;0.000000001,(AF11+Reserves!AF9)/Debt!AF122,0)</f>
        <v/>
      </c>
      <c r="AG13" s="6">
        <f>IF(Debt!AG122&gt;0.000000001,(AG11+Reserves!AG9)/Debt!AG122,0)</f>
        <v/>
      </c>
      <c r="AH13" s="6">
        <f>IF(Debt!AH122&gt;0.000000001,(AH11+Reserves!AH9)/Debt!AH122,0)</f>
        <v/>
      </c>
      <c r="AI13" s="6">
        <f>IF(Debt!AI122&gt;0.000000001,(AI11+Reserves!AI9)/Debt!AI122,0)</f>
        <v/>
      </c>
      <c r="AJ13" s="6">
        <f>IF(Debt!AJ122&gt;0.000000001,(AJ11+Reserves!AJ9)/Debt!AJ122,0)</f>
        <v/>
      </c>
      <c r="AK13" s="6">
        <f>IF(Debt!AK122&gt;0.000000001,(AK11+Reserves!AK9)/Debt!AK122,0)</f>
        <v/>
      </c>
      <c r="AL13" s="6">
        <f>IF(Debt!AL122&gt;0.000000001,(AL11+Reserves!AL9)/Debt!AL122,0)</f>
        <v/>
      </c>
      <c r="AM13" s="6">
        <f>IF(Debt!AM122&gt;0.000000001,(AM11+Reserves!AM9)/Debt!AM122,0)</f>
        <v/>
      </c>
      <c r="AN13" s="6">
        <f>IF(Debt!AN122&gt;0.000000001,(AN11+Reserves!AN9)/Debt!AN122,0)</f>
        <v/>
      </c>
      <c r="AO13" s="6">
        <f>IF(Debt!AO122&gt;0.000000001,(AO11+Reserves!AO9)/Debt!AO122,0)</f>
        <v/>
      </c>
      <c r="AP13" s="6">
        <f>IF(Debt!AP122&gt;0.000000001,(AP11+Reserves!AP9)/Debt!AP122,0)</f>
        <v/>
      </c>
      <c r="AQ13" s="6">
        <f>IF(Debt!AQ122&gt;0.000000001,(AQ11+Reserves!AQ9)/Debt!AQ122,0)</f>
        <v/>
      </c>
      <c r="AR13" s="6">
        <f>IF(Debt!AR122&gt;0.000000001,(AR11+Reserves!AR9)/Debt!AR122,0)</f>
        <v/>
      </c>
      <c r="AS13" s="6">
        <f>IF(Debt!AS122&gt;0.000000001,(AS11+Reserves!AS9)/Debt!AS122,0)</f>
        <v/>
      </c>
      <c r="AT13" s="6">
        <f>IF(Debt!AT122&gt;0.000000001,(AT11+Reserves!AT9)/Debt!AT122,0)</f>
        <v/>
      </c>
      <c r="AU13" s="6">
        <f>IF(Debt!AU122&gt;0.000000001,(AU11+Reserves!AU9)/Debt!AU122,0)</f>
        <v/>
      </c>
      <c r="AV13" s="6">
        <f>IF(Debt!AV122&gt;0.000000001,(AV11+Reserves!AV9)/Debt!AV122,0)</f>
        <v/>
      </c>
      <c r="AW13" s="6">
        <f>IF(Debt!AW122&gt;0.000000001,(AW11+Reserves!AW9)/Debt!AW122,0)</f>
        <v/>
      </c>
      <c r="AX13" s="6">
        <f>IF(Debt!AX122&gt;0.000000001,(AX11+Reserves!AX9)/Debt!AX122,0)</f>
        <v/>
      </c>
      <c r="AY13" s="6">
        <f>IF(Debt!AY122&gt;0.000000001,(AY11+Reserves!AY9)/Debt!AY122,0)</f>
        <v/>
      </c>
      <c r="AZ13" s="6">
        <f>IF(Debt!AZ122&gt;0.000000001,(AZ11+Reserves!AZ9)/Debt!AZ122,0)</f>
        <v/>
      </c>
      <c r="BA13" s="6">
        <f>IF(Debt!BA122&gt;0.000000001,(BA11+Reserves!BA9)/Debt!BA122,0)</f>
        <v/>
      </c>
      <c r="BB13" s="6">
        <f>IF(Debt!BB122&gt;0.000000001,(BB11+Reserves!BB9)/Debt!BB122,0)</f>
        <v/>
      </c>
      <c r="BC13" s="6">
        <f>IF(Debt!BC122&gt;0.000000001,(BC11+Reserves!BC9)/Debt!BC122,0)</f>
        <v/>
      </c>
      <c r="BD13" s="6">
        <f>IF(Debt!BD122&gt;0.000000001,(BD11+Reserves!BD9)/Debt!BD122,0)</f>
        <v/>
      </c>
      <c r="BE13" s="6">
        <f>IF(Debt!BE122&gt;0.000000001,(BE11+Reserves!BE9)/Debt!BE122,0)</f>
        <v/>
      </c>
      <c r="BF13" s="6">
        <f>IF(Debt!BF122&gt;0.000000001,(BF11+Reserves!BF9)/Debt!BF122,0)</f>
        <v/>
      </c>
      <c r="BG13" s="6">
        <f>IF(Debt!BG122&gt;0.000000001,(BG11+Reserves!BG9)/Debt!BG122,0)</f>
        <v/>
      </c>
      <c r="BH13" s="6">
        <f>IF(Debt!BH122&gt;0.000000001,(BH11+Reserves!BH9)/Debt!BH122,0)</f>
        <v/>
      </c>
      <c r="BI13" s="6">
        <f>IF(Debt!BI122&gt;0.000000001,(BI11+Reserves!BI9)/Debt!BI122,0)</f>
        <v/>
      </c>
      <c r="BJ13" s="6">
        <f>IF(Debt!BJ122&gt;0.000000001,(BJ11+Reserves!BJ9)/Debt!BJ122,0)</f>
        <v/>
      </c>
      <c r="BK13" s="6">
        <f>IF(Debt!BK122&gt;0.000000001,(BK11+Reserves!BK9)/Debt!BK122,0)</f>
        <v/>
      </c>
      <c r="BL13" s="6">
        <f>IF(Debt!BL122&gt;0.000000001,(BL11+Reserves!BL9)/Debt!BL122,0)</f>
        <v/>
      </c>
      <c r="BM13" s="6">
        <f>IF(Debt!BM122&gt;0.000000001,(BM11+Reserves!BM9)/Debt!BM122,0)</f>
        <v/>
      </c>
      <c r="BN13" s="6">
        <f>IF(Debt!BN122&gt;0.000000001,(BN11+Reserves!BN9)/Debt!BN122,0)</f>
        <v/>
      </c>
    </row>
    <row r="14">
      <c r="D14" t="inlineStr">
        <is>
          <t>LLCR excluding DSRA</t>
        </is>
      </c>
      <c r="E14" t="inlineStr">
        <is>
          <t>x</t>
        </is>
      </c>
      <c r="J14" s="6">
        <f>IF(Debt!J122&gt;0.000000001,J11/Debt!J122,0)</f>
        <v/>
      </c>
      <c r="K14" s="6">
        <f>IF(Debt!K122&gt;0.000000001,K11/Debt!K122,0)</f>
        <v/>
      </c>
      <c r="L14" s="6">
        <f>IF(Debt!L122&gt;0.000000001,L11/Debt!L122,0)</f>
        <v/>
      </c>
      <c r="M14" s="6">
        <f>IF(Debt!M122&gt;0.000000001,M11/Debt!M122,0)</f>
        <v/>
      </c>
      <c r="N14" s="6">
        <f>IF(Debt!N122&gt;0.000000001,N11/Debt!N122,0)</f>
        <v/>
      </c>
      <c r="O14" s="6">
        <f>IF(Debt!O122&gt;0.000000001,O11/Debt!O122,0)</f>
        <v/>
      </c>
      <c r="P14" s="6">
        <f>IF(Debt!P122&gt;0.000000001,P11/Debt!P122,0)</f>
        <v/>
      </c>
      <c r="Q14" s="6">
        <f>IF(Debt!Q122&gt;0.000000001,Q11/Debt!Q122,0)</f>
        <v/>
      </c>
      <c r="R14" s="6">
        <f>IF(Debt!R122&gt;0.000000001,R11/Debt!R122,0)</f>
        <v/>
      </c>
      <c r="S14" s="6">
        <f>IF(Debt!S122&gt;0.000000001,S11/Debt!S122,0)</f>
        <v/>
      </c>
      <c r="T14" s="6">
        <f>IF(Debt!T122&gt;0.000000001,T11/Debt!T122,0)</f>
        <v/>
      </c>
      <c r="U14" s="6">
        <f>IF(Debt!U122&gt;0.000000001,U11/Debt!U122,0)</f>
        <v/>
      </c>
      <c r="V14" s="6">
        <f>IF(Debt!V122&gt;0.000000001,V11/Debt!V122,0)</f>
        <v/>
      </c>
      <c r="W14" s="6">
        <f>IF(Debt!W122&gt;0.000000001,W11/Debt!W122,0)</f>
        <v/>
      </c>
      <c r="X14" s="6">
        <f>IF(Debt!X122&gt;0.000000001,X11/Debt!X122,0)</f>
        <v/>
      </c>
      <c r="Y14" s="6">
        <f>IF(Debt!Y122&gt;0.000000001,Y11/Debt!Y122,0)</f>
        <v/>
      </c>
      <c r="Z14" s="6">
        <f>IF(Debt!Z122&gt;0.000000001,Z11/Debt!Z122,0)</f>
        <v/>
      </c>
      <c r="AA14" s="6">
        <f>IF(Debt!AA122&gt;0.000000001,AA11/Debt!AA122,0)</f>
        <v/>
      </c>
      <c r="AB14" s="6">
        <f>IF(Debt!AB122&gt;0.000000001,AB11/Debt!AB122,0)</f>
        <v/>
      </c>
      <c r="AC14" s="6">
        <f>IF(Debt!AC122&gt;0.000000001,AC11/Debt!AC122,0)</f>
        <v/>
      </c>
      <c r="AD14" s="6">
        <f>IF(Debt!AD122&gt;0.000000001,AD11/Debt!AD122,0)</f>
        <v/>
      </c>
      <c r="AE14" s="6">
        <f>IF(Debt!AE122&gt;0.000000001,AE11/Debt!AE122,0)</f>
        <v/>
      </c>
      <c r="AF14" s="6">
        <f>IF(Debt!AF122&gt;0.000000001,AF11/Debt!AF122,0)</f>
        <v/>
      </c>
      <c r="AG14" s="6">
        <f>IF(Debt!AG122&gt;0.000000001,AG11/Debt!AG122,0)</f>
        <v/>
      </c>
      <c r="AH14" s="6">
        <f>IF(Debt!AH122&gt;0.000000001,AH11/Debt!AH122,0)</f>
        <v/>
      </c>
      <c r="AI14" s="6">
        <f>IF(Debt!AI122&gt;0.000000001,AI11/Debt!AI122,0)</f>
        <v/>
      </c>
      <c r="AJ14" s="6">
        <f>IF(Debt!AJ122&gt;0.000000001,AJ11/Debt!AJ122,0)</f>
        <v/>
      </c>
      <c r="AK14" s="6">
        <f>IF(Debt!AK122&gt;0.000000001,AK11/Debt!AK122,0)</f>
        <v/>
      </c>
      <c r="AL14" s="6">
        <f>IF(Debt!AL122&gt;0.000000001,AL11/Debt!AL122,0)</f>
        <v/>
      </c>
      <c r="AM14" s="6">
        <f>IF(Debt!AM122&gt;0.000000001,AM11/Debt!AM122,0)</f>
        <v/>
      </c>
      <c r="AN14" s="6">
        <f>IF(Debt!AN122&gt;0.000000001,AN11/Debt!AN122,0)</f>
        <v/>
      </c>
      <c r="AO14" s="6">
        <f>IF(Debt!AO122&gt;0.000000001,AO11/Debt!AO122,0)</f>
        <v/>
      </c>
      <c r="AP14" s="6">
        <f>IF(Debt!AP122&gt;0.000000001,AP11/Debt!AP122,0)</f>
        <v/>
      </c>
      <c r="AQ14" s="6">
        <f>IF(Debt!AQ122&gt;0.000000001,AQ11/Debt!AQ122,0)</f>
        <v/>
      </c>
      <c r="AR14" s="6">
        <f>IF(Debt!AR122&gt;0.000000001,AR11/Debt!AR122,0)</f>
        <v/>
      </c>
      <c r="AS14" s="6">
        <f>IF(Debt!AS122&gt;0.000000001,AS11/Debt!AS122,0)</f>
        <v/>
      </c>
      <c r="AT14" s="6">
        <f>IF(Debt!AT122&gt;0.000000001,AT11/Debt!AT122,0)</f>
        <v/>
      </c>
      <c r="AU14" s="6">
        <f>IF(Debt!AU122&gt;0.000000001,AU11/Debt!AU122,0)</f>
        <v/>
      </c>
      <c r="AV14" s="6">
        <f>IF(Debt!AV122&gt;0.000000001,AV11/Debt!AV122,0)</f>
        <v/>
      </c>
      <c r="AW14" s="6">
        <f>IF(Debt!AW122&gt;0.000000001,AW11/Debt!AW122,0)</f>
        <v/>
      </c>
      <c r="AX14" s="6">
        <f>IF(Debt!AX122&gt;0.000000001,AX11/Debt!AX122,0)</f>
        <v/>
      </c>
      <c r="AY14" s="6">
        <f>IF(Debt!AY122&gt;0.000000001,AY11/Debt!AY122,0)</f>
        <v/>
      </c>
      <c r="AZ14" s="6">
        <f>IF(Debt!AZ122&gt;0.000000001,AZ11/Debt!AZ122,0)</f>
        <v/>
      </c>
      <c r="BA14" s="6">
        <f>IF(Debt!BA122&gt;0.000000001,BA11/Debt!BA122,0)</f>
        <v/>
      </c>
      <c r="BB14" s="6">
        <f>IF(Debt!BB122&gt;0.000000001,BB11/Debt!BB122,0)</f>
        <v/>
      </c>
      <c r="BC14" s="6">
        <f>IF(Debt!BC122&gt;0.000000001,BC11/Debt!BC122,0)</f>
        <v/>
      </c>
      <c r="BD14" s="6">
        <f>IF(Debt!BD122&gt;0.000000001,BD11/Debt!BD122,0)</f>
        <v/>
      </c>
      <c r="BE14" s="6">
        <f>IF(Debt!BE122&gt;0.000000001,BE11/Debt!BE122,0)</f>
        <v/>
      </c>
      <c r="BF14" s="6">
        <f>IF(Debt!BF122&gt;0.000000001,BF11/Debt!BF122,0)</f>
        <v/>
      </c>
      <c r="BG14" s="6">
        <f>IF(Debt!BG122&gt;0.000000001,BG11/Debt!BG122,0)</f>
        <v/>
      </c>
      <c r="BH14" s="6">
        <f>IF(Debt!BH122&gt;0.000000001,BH11/Debt!BH122,0)</f>
        <v/>
      </c>
      <c r="BI14" s="6">
        <f>IF(Debt!BI122&gt;0.000000001,BI11/Debt!BI122,0)</f>
        <v/>
      </c>
      <c r="BJ14" s="6">
        <f>IF(Debt!BJ122&gt;0.000000001,BJ11/Debt!BJ122,0)</f>
        <v/>
      </c>
      <c r="BK14" s="6">
        <f>IF(Debt!BK122&gt;0.000000001,BK11/Debt!BK122,0)</f>
        <v/>
      </c>
      <c r="BL14" s="6">
        <f>IF(Debt!BL122&gt;0.000000001,BL11/Debt!BL122,0)</f>
        <v/>
      </c>
      <c r="BM14" s="6">
        <f>IF(Debt!BM122&gt;0.000000001,BM11/Debt!BM122,0)</f>
        <v/>
      </c>
      <c r="BN14" s="6">
        <f>IF(Debt!BN122&gt;0.000000001,BN11/Debt!BN122,0)</f>
        <v/>
      </c>
    </row>
    <row r="15">
      <c r="D15" t="inlineStr">
        <is>
          <t>PLCR = PV CFADS to expiry / debt</t>
        </is>
      </c>
      <c r="E15" t="inlineStr">
        <is>
          <t>x</t>
        </is>
      </c>
      <c r="J15" s="6">
        <f>IF(Debt!J122&gt;0.000000001,J12/Debt!J122,0)</f>
        <v/>
      </c>
      <c r="K15" s="6">
        <f>IF(Debt!K122&gt;0.000000001,K12/Debt!K122,0)</f>
        <v/>
      </c>
      <c r="L15" s="6">
        <f>IF(Debt!L122&gt;0.000000001,L12/Debt!L122,0)</f>
        <v/>
      </c>
      <c r="M15" s="6">
        <f>IF(Debt!M122&gt;0.000000001,M12/Debt!M122,0)</f>
        <v/>
      </c>
      <c r="N15" s="6">
        <f>IF(Debt!N122&gt;0.000000001,N12/Debt!N122,0)</f>
        <v/>
      </c>
      <c r="O15" s="6">
        <f>IF(Debt!O122&gt;0.000000001,O12/Debt!O122,0)</f>
        <v/>
      </c>
      <c r="P15" s="6">
        <f>IF(Debt!P122&gt;0.000000001,P12/Debt!P122,0)</f>
        <v/>
      </c>
      <c r="Q15" s="6">
        <f>IF(Debt!Q122&gt;0.000000001,Q12/Debt!Q122,0)</f>
        <v/>
      </c>
      <c r="R15" s="6">
        <f>IF(Debt!R122&gt;0.000000001,R12/Debt!R122,0)</f>
        <v/>
      </c>
      <c r="S15" s="6">
        <f>IF(Debt!S122&gt;0.000000001,S12/Debt!S122,0)</f>
        <v/>
      </c>
      <c r="T15" s="6">
        <f>IF(Debt!T122&gt;0.000000001,T12/Debt!T122,0)</f>
        <v/>
      </c>
      <c r="U15" s="6">
        <f>IF(Debt!U122&gt;0.000000001,U12/Debt!U122,0)</f>
        <v/>
      </c>
      <c r="V15" s="6">
        <f>IF(Debt!V122&gt;0.000000001,V12/Debt!V122,0)</f>
        <v/>
      </c>
      <c r="W15" s="6">
        <f>IF(Debt!W122&gt;0.000000001,W12/Debt!W122,0)</f>
        <v/>
      </c>
      <c r="X15" s="6">
        <f>IF(Debt!X122&gt;0.000000001,X12/Debt!X122,0)</f>
        <v/>
      </c>
      <c r="Y15" s="6">
        <f>IF(Debt!Y122&gt;0.000000001,Y12/Debt!Y122,0)</f>
        <v/>
      </c>
      <c r="Z15" s="6">
        <f>IF(Debt!Z122&gt;0.000000001,Z12/Debt!Z122,0)</f>
        <v/>
      </c>
      <c r="AA15" s="6">
        <f>IF(Debt!AA122&gt;0.000000001,AA12/Debt!AA122,0)</f>
        <v/>
      </c>
      <c r="AB15" s="6">
        <f>IF(Debt!AB122&gt;0.000000001,AB12/Debt!AB122,0)</f>
        <v/>
      </c>
      <c r="AC15" s="6">
        <f>IF(Debt!AC122&gt;0.000000001,AC12/Debt!AC122,0)</f>
        <v/>
      </c>
      <c r="AD15" s="6">
        <f>IF(Debt!AD122&gt;0.000000001,AD12/Debt!AD122,0)</f>
        <v/>
      </c>
      <c r="AE15" s="6">
        <f>IF(Debt!AE122&gt;0.000000001,AE12/Debt!AE122,0)</f>
        <v/>
      </c>
      <c r="AF15" s="6">
        <f>IF(Debt!AF122&gt;0.000000001,AF12/Debt!AF122,0)</f>
        <v/>
      </c>
      <c r="AG15" s="6">
        <f>IF(Debt!AG122&gt;0.000000001,AG12/Debt!AG122,0)</f>
        <v/>
      </c>
      <c r="AH15" s="6">
        <f>IF(Debt!AH122&gt;0.000000001,AH12/Debt!AH122,0)</f>
        <v/>
      </c>
      <c r="AI15" s="6">
        <f>IF(Debt!AI122&gt;0.000000001,AI12/Debt!AI122,0)</f>
        <v/>
      </c>
      <c r="AJ15" s="6">
        <f>IF(Debt!AJ122&gt;0.000000001,AJ12/Debt!AJ122,0)</f>
        <v/>
      </c>
      <c r="AK15" s="6">
        <f>IF(Debt!AK122&gt;0.000000001,AK12/Debt!AK122,0)</f>
        <v/>
      </c>
      <c r="AL15" s="6">
        <f>IF(Debt!AL122&gt;0.000000001,AL12/Debt!AL122,0)</f>
        <v/>
      </c>
      <c r="AM15" s="6">
        <f>IF(Debt!AM122&gt;0.000000001,AM12/Debt!AM122,0)</f>
        <v/>
      </c>
      <c r="AN15" s="6">
        <f>IF(Debt!AN122&gt;0.000000001,AN12/Debt!AN122,0)</f>
        <v/>
      </c>
      <c r="AO15" s="6">
        <f>IF(Debt!AO122&gt;0.000000001,AO12/Debt!AO122,0)</f>
        <v/>
      </c>
      <c r="AP15" s="6">
        <f>IF(Debt!AP122&gt;0.000000001,AP12/Debt!AP122,0)</f>
        <v/>
      </c>
      <c r="AQ15" s="6">
        <f>IF(Debt!AQ122&gt;0.000000001,AQ12/Debt!AQ122,0)</f>
        <v/>
      </c>
      <c r="AR15" s="6">
        <f>IF(Debt!AR122&gt;0.000000001,AR12/Debt!AR122,0)</f>
        <v/>
      </c>
      <c r="AS15" s="6">
        <f>IF(Debt!AS122&gt;0.000000001,AS12/Debt!AS122,0)</f>
        <v/>
      </c>
      <c r="AT15" s="6">
        <f>IF(Debt!AT122&gt;0.000000001,AT12/Debt!AT122,0)</f>
        <v/>
      </c>
      <c r="AU15" s="6">
        <f>IF(Debt!AU122&gt;0.000000001,AU12/Debt!AU122,0)</f>
        <v/>
      </c>
      <c r="AV15" s="6">
        <f>IF(Debt!AV122&gt;0.000000001,AV12/Debt!AV122,0)</f>
        <v/>
      </c>
      <c r="AW15" s="6">
        <f>IF(Debt!AW122&gt;0.000000001,AW12/Debt!AW122,0)</f>
        <v/>
      </c>
      <c r="AX15" s="6">
        <f>IF(Debt!AX122&gt;0.000000001,AX12/Debt!AX122,0)</f>
        <v/>
      </c>
      <c r="AY15" s="6">
        <f>IF(Debt!AY122&gt;0.000000001,AY12/Debt!AY122,0)</f>
        <v/>
      </c>
      <c r="AZ15" s="6">
        <f>IF(Debt!AZ122&gt;0.000000001,AZ12/Debt!AZ122,0)</f>
        <v/>
      </c>
      <c r="BA15" s="6">
        <f>IF(Debt!BA122&gt;0.000000001,BA12/Debt!BA122,0)</f>
        <v/>
      </c>
      <c r="BB15" s="6">
        <f>IF(Debt!BB122&gt;0.000000001,BB12/Debt!BB122,0)</f>
        <v/>
      </c>
      <c r="BC15" s="6">
        <f>IF(Debt!BC122&gt;0.000000001,BC12/Debt!BC122,0)</f>
        <v/>
      </c>
      <c r="BD15" s="6">
        <f>IF(Debt!BD122&gt;0.000000001,BD12/Debt!BD122,0)</f>
        <v/>
      </c>
      <c r="BE15" s="6">
        <f>IF(Debt!BE122&gt;0.000000001,BE12/Debt!BE122,0)</f>
        <v/>
      </c>
      <c r="BF15" s="6">
        <f>IF(Debt!BF122&gt;0.000000001,BF12/Debt!BF122,0)</f>
        <v/>
      </c>
      <c r="BG15" s="6">
        <f>IF(Debt!BG122&gt;0.000000001,BG12/Debt!BG122,0)</f>
        <v/>
      </c>
      <c r="BH15" s="6">
        <f>IF(Debt!BH122&gt;0.000000001,BH12/Debt!BH122,0)</f>
        <v/>
      </c>
      <c r="BI15" s="6">
        <f>IF(Debt!BI122&gt;0.000000001,BI12/Debt!BI122,0)</f>
        <v/>
      </c>
      <c r="BJ15" s="6">
        <f>IF(Debt!BJ122&gt;0.000000001,BJ12/Debt!BJ122,0)</f>
        <v/>
      </c>
      <c r="BK15" s="6">
        <f>IF(Debt!BK122&gt;0.000000001,BK12/Debt!BK122,0)</f>
        <v/>
      </c>
      <c r="BL15" s="6">
        <f>IF(Debt!BL122&gt;0.000000001,BL12/Debt!BL122,0)</f>
        <v/>
      </c>
      <c r="BM15" s="6">
        <f>IF(Debt!BM122&gt;0.000000001,BM12/Debt!BM122,0)</f>
        <v/>
      </c>
      <c r="BN15" s="6">
        <f>IF(Debt!BN122&gt;0.000000001,BN12/Debt!BN122,0)</f>
        <v/>
      </c>
    </row>
    <row r="16">
      <c r="D16" t="inlineStr">
        <is>
          <t>Minimum DSCR</t>
        </is>
      </c>
      <c r="E16" t="inlineStr">
        <is>
          <t>x</t>
        </is>
      </c>
      <c r="F16" s="6">
        <f>_xlfn.MINIFS(Waterfall!$J$17:$BN$17,Debt!$J$121:$BN$121,"&gt;0.000000001")</f>
        <v/>
      </c>
    </row>
    <row r="17">
      <c r="D17" t="inlineStr">
        <is>
          <t>Average DSCR (debt-service weighted)</t>
        </is>
      </c>
      <c r="E17" t="inlineStr">
        <is>
          <t>x</t>
        </is>
      </c>
      <c r="F17" s="6">
        <f>SUMIFS(Waterfall!$J$7:$BN$7,Debt!$J$121:$BN$121,"&gt;0.000000001")/SUM(Debt!$J$121:$BN$121)</f>
        <v/>
      </c>
    </row>
    <row r="18">
      <c r="D18" t="inlineStr">
        <is>
          <t>LLCR at first debt service period</t>
        </is>
      </c>
      <c r="E18" t="inlineStr">
        <is>
          <t>x</t>
        </is>
      </c>
      <c r="F18" s="6">
        <f>INDEX(Ratios!$J$13:$BN$13,1,Time!$F$12)</f>
        <v/>
      </c>
    </row>
    <row r="19">
      <c r="D19" t="inlineStr">
        <is>
          <t>PLCR at first debt service period</t>
        </is>
      </c>
      <c r="E19" t="inlineStr">
        <is>
          <t>x</t>
        </is>
      </c>
      <c r="F19" s="6">
        <f>INDEX(Ratios!$J$15:$BN$15,1,Time!$F$12)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P15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Returns: dated cash flows for XIRR (column J = LNTP 2018-02-05, then months, then half-years)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Flow</t>
        </is>
      </c>
      <c r="J5" s="3" t="inlineStr">
        <is>
          <t>LNTP</t>
        </is>
      </c>
      <c r="K5" s="3" t="inlineStr">
        <is>
          <t>2018-08</t>
        </is>
      </c>
      <c r="L5" s="3" t="inlineStr">
        <is>
          <t>2018-09</t>
        </is>
      </c>
      <c r="M5" s="3" t="inlineStr">
        <is>
          <t>2018-10</t>
        </is>
      </c>
      <c r="N5" s="3" t="inlineStr">
        <is>
          <t>2018-11</t>
        </is>
      </c>
      <c r="O5" s="3" t="inlineStr">
        <is>
          <t>2018-12</t>
        </is>
      </c>
      <c r="P5" s="3" t="inlineStr">
        <is>
          <t>2019-01</t>
        </is>
      </c>
      <c r="Q5" s="3" t="inlineStr">
        <is>
          <t>2019-02</t>
        </is>
      </c>
      <c r="R5" s="3" t="inlineStr">
        <is>
          <t>2019-03</t>
        </is>
      </c>
      <c r="S5" s="3" t="inlineStr">
        <is>
          <t>2019-04</t>
        </is>
      </c>
      <c r="T5" s="3" t="inlineStr">
        <is>
          <t>2019-05</t>
        </is>
      </c>
      <c r="U5" s="3" t="inlineStr">
        <is>
          <t>2019-06</t>
        </is>
      </c>
      <c r="V5" s="3" t="inlineStr">
        <is>
          <t>2019-07</t>
        </is>
      </c>
      <c r="W5" s="3" t="inlineStr">
        <is>
          <t>2019-08</t>
        </is>
      </c>
      <c r="X5" s="3" t="inlineStr">
        <is>
          <t>2019-09</t>
        </is>
      </c>
      <c r="Y5" s="3" t="inlineStr">
        <is>
          <t>2019-10</t>
        </is>
      </c>
      <c r="Z5" s="3" t="inlineStr">
        <is>
          <t>2019-11</t>
        </is>
      </c>
      <c r="AA5" s="3" t="inlineStr">
        <is>
          <t>2019-12</t>
        </is>
      </c>
      <c r="AB5" s="3" t="inlineStr">
        <is>
          <t>2020-01</t>
        </is>
      </c>
      <c r="AC5" s="3" t="inlineStr">
        <is>
          <t>2020-02</t>
        </is>
      </c>
      <c r="AD5" s="3" t="inlineStr">
        <is>
          <t>2020-03</t>
        </is>
      </c>
      <c r="AE5" s="3" t="inlineStr">
        <is>
          <t>2020-04</t>
        </is>
      </c>
      <c r="AF5" s="3" t="inlineStr">
        <is>
          <t>2020-05</t>
        </is>
      </c>
      <c r="AG5" s="3" t="inlineStr">
        <is>
          <t>2020-06</t>
        </is>
      </c>
      <c r="AH5" s="3" t="inlineStr">
        <is>
          <t>2020-07</t>
        </is>
      </c>
      <c r="AI5" s="3" t="inlineStr">
        <is>
          <t>2020-08</t>
        </is>
      </c>
      <c r="AJ5" s="3" t="inlineStr">
        <is>
          <t>2020-09</t>
        </is>
      </c>
      <c r="AK5" s="3" t="inlineStr">
        <is>
          <t>2020-10</t>
        </is>
      </c>
      <c r="AL5" s="3" t="inlineStr">
        <is>
          <t>2020-11</t>
        </is>
      </c>
      <c r="AM5" s="3" t="inlineStr">
        <is>
          <t>2020-12</t>
        </is>
      </c>
      <c r="AN5" s="3" t="inlineStr">
        <is>
          <t>2021-01</t>
        </is>
      </c>
      <c r="AO5" s="3" t="inlineStr">
        <is>
          <t>2021-02</t>
        </is>
      </c>
      <c r="AP5" s="3" t="inlineStr">
        <is>
          <t>2021-03</t>
        </is>
      </c>
      <c r="AQ5" s="3" t="inlineStr">
        <is>
          <t>2021-04</t>
        </is>
      </c>
      <c r="AR5" s="3" t="inlineStr">
        <is>
          <t>2021-05</t>
        </is>
      </c>
      <c r="AS5" s="3" t="inlineStr">
        <is>
          <t>2021-06</t>
        </is>
      </c>
      <c r="AT5" s="3" t="inlineStr">
        <is>
          <t>2021-07</t>
        </is>
      </c>
      <c r="AU5" s="3" t="inlineStr">
        <is>
          <t>2021-08</t>
        </is>
      </c>
      <c r="AV5" s="3" t="inlineStr">
        <is>
          <t>2021-09</t>
        </is>
      </c>
      <c r="AW5" s="3" t="inlineStr">
        <is>
          <t>2021-10</t>
        </is>
      </c>
      <c r="AX5" s="3" t="inlineStr">
        <is>
          <t>2021-11</t>
        </is>
      </c>
      <c r="AY5" s="3" t="inlineStr">
        <is>
          <t>2021-12</t>
        </is>
      </c>
      <c r="AZ5" s="3" t="inlineStr">
        <is>
          <t>2022-01</t>
        </is>
      </c>
      <c r="BA5" s="3" t="inlineStr">
        <is>
          <t>2022-02</t>
        </is>
      </c>
      <c r="BB5" s="3" t="inlineStr">
        <is>
          <t>2022-03</t>
        </is>
      </c>
      <c r="BC5" s="3" t="inlineStr">
        <is>
          <t>2022-04</t>
        </is>
      </c>
      <c r="BD5" s="3" t="inlineStr">
        <is>
          <t>2022-05</t>
        </is>
      </c>
      <c r="BE5" s="3" t="inlineStr">
        <is>
          <t>2022-06</t>
        </is>
      </c>
      <c r="BF5" s="3" t="inlineStr">
        <is>
          <t>2022-07</t>
        </is>
      </c>
      <c r="BG5" s="3" t="inlineStr">
        <is>
          <t>2022-08</t>
        </is>
      </c>
      <c r="BH5" s="3" t="inlineStr">
        <is>
          <t>2022-09</t>
        </is>
      </c>
      <c r="BI5" s="3" t="inlineStr">
        <is>
          <t>2022-10</t>
        </is>
      </c>
      <c r="BJ5" s="3" t="inlineStr">
        <is>
          <t>2022-11</t>
        </is>
      </c>
      <c r="BK5" s="3" t="inlineStr">
        <is>
          <t>2022-12</t>
        </is>
      </c>
      <c r="BL5" s="3" t="inlineStr">
        <is>
          <t>2018H2</t>
        </is>
      </c>
      <c r="BM5" s="3" t="inlineStr">
        <is>
          <t>2019H1</t>
        </is>
      </c>
      <c r="BN5" s="3" t="inlineStr">
        <is>
          <t>2019H2</t>
        </is>
      </c>
      <c r="BO5" s="3" t="inlineStr">
        <is>
          <t>2020H1</t>
        </is>
      </c>
      <c r="BP5" s="3" t="inlineStr">
        <is>
          <t>2020H2</t>
        </is>
      </c>
      <c r="BQ5" s="3" t="inlineStr">
        <is>
          <t>2021H1</t>
        </is>
      </c>
      <c r="BR5" s="3" t="inlineStr">
        <is>
          <t>2021H2</t>
        </is>
      </c>
      <c r="BS5" s="3" t="inlineStr">
        <is>
          <t>2022H1</t>
        </is>
      </c>
      <c r="BT5" s="3" t="inlineStr">
        <is>
          <t>2022H2</t>
        </is>
      </c>
      <c r="BU5" s="3" t="inlineStr">
        <is>
          <t>2023H1</t>
        </is>
      </c>
      <c r="BV5" s="3" t="inlineStr">
        <is>
          <t>2023H2</t>
        </is>
      </c>
      <c r="BW5" s="3" t="inlineStr">
        <is>
          <t>2024H1</t>
        </is>
      </c>
      <c r="BX5" s="3" t="inlineStr">
        <is>
          <t>2024H2</t>
        </is>
      </c>
      <c r="BY5" s="3" t="inlineStr">
        <is>
          <t>2025H1</t>
        </is>
      </c>
      <c r="BZ5" s="3" t="inlineStr">
        <is>
          <t>2025H2</t>
        </is>
      </c>
      <c r="CA5" s="3" t="inlineStr">
        <is>
          <t>2026H1</t>
        </is>
      </c>
      <c r="CB5" s="3" t="inlineStr">
        <is>
          <t>2026H2</t>
        </is>
      </c>
      <c r="CC5" s="3" t="inlineStr">
        <is>
          <t>2027H1</t>
        </is>
      </c>
      <c r="CD5" s="3" t="inlineStr">
        <is>
          <t>2027H2</t>
        </is>
      </c>
      <c r="CE5" s="3" t="inlineStr">
        <is>
          <t>2028H1</t>
        </is>
      </c>
      <c r="CF5" s="3" t="inlineStr">
        <is>
          <t>2028H2</t>
        </is>
      </c>
      <c r="CG5" s="3" t="inlineStr">
        <is>
          <t>2029H1</t>
        </is>
      </c>
      <c r="CH5" s="3" t="inlineStr">
        <is>
          <t>2029H2</t>
        </is>
      </c>
      <c r="CI5" s="3" t="inlineStr">
        <is>
          <t>2030H1</t>
        </is>
      </c>
      <c r="CJ5" s="3" t="inlineStr">
        <is>
          <t>2030H2</t>
        </is>
      </c>
      <c r="CK5" s="3" t="inlineStr">
        <is>
          <t>2031H1</t>
        </is>
      </c>
      <c r="CL5" s="3" t="inlineStr">
        <is>
          <t>2031H2</t>
        </is>
      </c>
      <c r="CM5" s="3" t="inlineStr">
        <is>
          <t>2032H1</t>
        </is>
      </c>
      <c r="CN5" s="3" t="inlineStr">
        <is>
          <t>2032H2</t>
        </is>
      </c>
      <c r="CO5" s="3" t="inlineStr">
        <is>
          <t>2033H1</t>
        </is>
      </c>
      <c r="CP5" s="3" t="inlineStr">
        <is>
          <t>2033H2</t>
        </is>
      </c>
      <c r="CQ5" s="3" t="inlineStr">
        <is>
          <t>2034H1</t>
        </is>
      </c>
      <c r="CR5" s="3" t="inlineStr">
        <is>
          <t>2034H2</t>
        </is>
      </c>
      <c r="CS5" s="3" t="inlineStr">
        <is>
          <t>2035H1</t>
        </is>
      </c>
      <c r="CT5" s="3" t="inlineStr">
        <is>
          <t>2035H2</t>
        </is>
      </c>
      <c r="CU5" s="3" t="inlineStr">
        <is>
          <t>2036H1</t>
        </is>
      </c>
      <c r="CV5" s="3" t="inlineStr">
        <is>
          <t>2036H2</t>
        </is>
      </c>
      <c r="CW5" s="3" t="inlineStr">
        <is>
          <t>2037H1</t>
        </is>
      </c>
      <c r="CX5" s="3" t="inlineStr">
        <is>
          <t>2037H2</t>
        </is>
      </c>
      <c r="CY5" s="3" t="inlineStr">
        <is>
          <t>2038H1</t>
        </is>
      </c>
      <c r="CZ5" s="3" t="inlineStr">
        <is>
          <t>2038H2</t>
        </is>
      </c>
      <c r="DA5" s="3" t="inlineStr">
        <is>
          <t>2039H1</t>
        </is>
      </c>
      <c r="DB5" s="3" t="inlineStr">
        <is>
          <t>2039H2</t>
        </is>
      </c>
      <c r="DC5" s="3" t="inlineStr">
        <is>
          <t>2040H1</t>
        </is>
      </c>
      <c r="DD5" s="3" t="inlineStr">
        <is>
          <t>2040H2</t>
        </is>
      </c>
      <c r="DE5" s="3" t="inlineStr">
        <is>
          <t>2041H1</t>
        </is>
      </c>
      <c r="DF5" s="3" t="inlineStr">
        <is>
          <t>2041H2</t>
        </is>
      </c>
      <c r="DG5" s="3" t="inlineStr">
        <is>
          <t>2042H1</t>
        </is>
      </c>
      <c r="DH5" s="3" t="inlineStr">
        <is>
          <t>2042H2</t>
        </is>
      </c>
      <c r="DI5" s="3" t="inlineStr">
        <is>
          <t>2043H1</t>
        </is>
      </c>
      <c r="DJ5" s="3" t="inlineStr">
        <is>
          <t>2043H2</t>
        </is>
      </c>
      <c r="DK5" s="3" t="inlineStr">
        <is>
          <t>2044H1</t>
        </is>
      </c>
      <c r="DL5" s="3" t="inlineStr">
        <is>
          <t>2044H2</t>
        </is>
      </c>
      <c r="DM5" s="3" t="inlineStr">
        <is>
          <t>2045H1</t>
        </is>
      </c>
      <c r="DN5" s="3" t="inlineStr">
        <is>
          <t>2045H2</t>
        </is>
      </c>
      <c r="DO5" s="3" t="inlineStr">
        <is>
          <t>2046H1</t>
        </is>
      </c>
      <c r="DP5" s="3" t="inlineStr">
        <is>
          <t>2046H2</t>
        </is>
      </c>
    </row>
    <row r="7">
      <c r="D7" t="inlineStr">
        <is>
          <t>Cash flow date</t>
        </is>
      </c>
      <c r="E7" t="inlineStr">
        <is>
          <t>date</t>
        </is>
      </c>
      <c r="J7" s="8">
        <f>DATE(2018,2,5)</f>
        <v/>
      </c>
      <c r="K7" s="17">
        <f>Construction!J9</f>
        <v/>
      </c>
      <c r="L7" s="17">
        <f>Construction!K9</f>
        <v/>
      </c>
      <c r="M7" s="17">
        <f>Construction!L9</f>
        <v/>
      </c>
      <c r="N7" s="17">
        <f>Construction!M9</f>
        <v/>
      </c>
      <c r="O7" s="17">
        <f>Construction!N9</f>
        <v/>
      </c>
      <c r="P7" s="17">
        <f>Construction!O9</f>
        <v/>
      </c>
      <c r="Q7" s="17">
        <f>Construction!P9</f>
        <v/>
      </c>
      <c r="R7" s="17">
        <f>Construction!Q9</f>
        <v/>
      </c>
      <c r="S7" s="17">
        <f>Construction!R9</f>
        <v/>
      </c>
      <c r="T7" s="17">
        <f>Construction!S9</f>
        <v/>
      </c>
      <c r="U7" s="17">
        <f>Construction!T9</f>
        <v/>
      </c>
      <c r="V7" s="17">
        <f>Construction!U9</f>
        <v/>
      </c>
      <c r="W7" s="17">
        <f>Construction!V9</f>
        <v/>
      </c>
      <c r="X7" s="17">
        <f>Construction!W9</f>
        <v/>
      </c>
      <c r="Y7" s="17">
        <f>Construction!X9</f>
        <v/>
      </c>
      <c r="Z7" s="17">
        <f>Construction!Y9</f>
        <v/>
      </c>
      <c r="AA7" s="17">
        <f>Construction!Z9</f>
        <v/>
      </c>
      <c r="AB7" s="17">
        <f>Construction!AA9</f>
        <v/>
      </c>
      <c r="AC7" s="17">
        <f>Construction!AB9</f>
        <v/>
      </c>
      <c r="AD7" s="17">
        <f>Construction!AC9</f>
        <v/>
      </c>
      <c r="AE7" s="17">
        <f>Construction!AD9</f>
        <v/>
      </c>
      <c r="AF7" s="17">
        <f>Construction!AE9</f>
        <v/>
      </c>
      <c r="AG7" s="17">
        <f>Construction!AF9</f>
        <v/>
      </c>
      <c r="AH7" s="17">
        <f>Construction!AG9</f>
        <v/>
      </c>
      <c r="AI7" s="17">
        <f>Construction!AH9</f>
        <v/>
      </c>
      <c r="AJ7" s="17">
        <f>Construction!AI9</f>
        <v/>
      </c>
      <c r="AK7" s="17">
        <f>Construction!AJ9</f>
        <v/>
      </c>
      <c r="AL7" s="17">
        <f>Construction!AK9</f>
        <v/>
      </c>
      <c r="AM7" s="17">
        <f>Construction!AL9</f>
        <v/>
      </c>
      <c r="AN7" s="17">
        <f>Construction!AM9</f>
        <v/>
      </c>
      <c r="AO7" s="17">
        <f>Construction!AN9</f>
        <v/>
      </c>
      <c r="AP7" s="17">
        <f>Construction!AO9</f>
        <v/>
      </c>
      <c r="AQ7" s="17">
        <f>Construction!AP9</f>
        <v/>
      </c>
      <c r="AR7" s="17">
        <f>Construction!AQ9</f>
        <v/>
      </c>
      <c r="AS7" s="17">
        <f>Construction!AR9</f>
        <v/>
      </c>
      <c r="AT7" s="17">
        <f>Construction!AS9</f>
        <v/>
      </c>
      <c r="AU7" s="17">
        <f>Construction!AT9</f>
        <v/>
      </c>
      <c r="AV7" s="17">
        <f>Construction!AU9</f>
        <v/>
      </c>
      <c r="AW7" s="17">
        <f>Construction!AV9</f>
        <v/>
      </c>
      <c r="AX7" s="17">
        <f>Construction!AW9</f>
        <v/>
      </c>
      <c r="AY7" s="17">
        <f>Construction!AX9</f>
        <v/>
      </c>
      <c r="AZ7" s="17">
        <f>Construction!AY9</f>
        <v/>
      </c>
      <c r="BA7" s="17">
        <f>Construction!AZ9</f>
        <v/>
      </c>
      <c r="BB7" s="17">
        <f>Construction!BA9</f>
        <v/>
      </c>
      <c r="BC7" s="17">
        <f>Construction!BB9</f>
        <v/>
      </c>
      <c r="BD7" s="17">
        <f>Construction!BC9</f>
        <v/>
      </c>
      <c r="BE7" s="17">
        <f>Construction!BD9</f>
        <v/>
      </c>
      <c r="BF7" s="17">
        <f>Construction!BE9</f>
        <v/>
      </c>
      <c r="BG7" s="17">
        <f>Construction!BF9</f>
        <v/>
      </c>
      <c r="BH7" s="17">
        <f>Construction!BG9</f>
        <v/>
      </c>
      <c r="BI7" s="17">
        <f>Construction!BH9</f>
        <v/>
      </c>
      <c r="BJ7" s="17">
        <f>Construction!BI9</f>
        <v/>
      </c>
      <c r="BK7" s="17">
        <f>Construction!BJ9</f>
        <v/>
      </c>
      <c r="BL7" s="17">
        <f>Time!J19</f>
        <v/>
      </c>
      <c r="BM7" s="17">
        <f>Time!K19</f>
        <v/>
      </c>
      <c r="BN7" s="17">
        <f>Time!L19</f>
        <v/>
      </c>
      <c r="BO7" s="17">
        <f>Time!M19</f>
        <v/>
      </c>
      <c r="BP7" s="17">
        <f>Time!N19</f>
        <v/>
      </c>
      <c r="BQ7" s="17">
        <f>Time!O19</f>
        <v/>
      </c>
      <c r="BR7" s="17">
        <f>Time!P19</f>
        <v/>
      </c>
      <c r="BS7" s="17">
        <f>Time!Q19</f>
        <v/>
      </c>
      <c r="BT7" s="17">
        <f>Time!R19</f>
        <v/>
      </c>
      <c r="BU7" s="17">
        <f>Time!S19</f>
        <v/>
      </c>
      <c r="BV7" s="17">
        <f>Time!T19</f>
        <v/>
      </c>
      <c r="BW7" s="17">
        <f>Time!U19</f>
        <v/>
      </c>
      <c r="BX7" s="17">
        <f>Time!V19</f>
        <v/>
      </c>
      <c r="BY7" s="17">
        <f>Time!W19</f>
        <v/>
      </c>
      <c r="BZ7" s="17">
        <f>Time!X19</f>
        <v/>
      </c>
      <c r="CA7" s="17">
        <f>Time!Y19</f>
        <v/>
      </c>
      <c r="CB7" s="17">
        <f>Time!Z19</f>
        <v/>
      </c>
      <c r="CC7" s="17">
        <f>Time!AA19</f>
        <v/>
      </c>
      <c r="CD7" s="17">
        <f>Time!AB19</f>
        <v/>
      </c>
      <c r="CE7" s="17">
        <f>Time!AC19</f>
        <v/>
      </c>
      <c r="CF7" s="17">
        <f>Time!AD19</f>
        <v/>
      </c>
      <c r="CG7" s="17">
        <f>Time!AE19</f>
        <v/>
      </c>
      <c r="CH7" s="17">
        <f>Time!AF19</f>
        <v/>
      </c>
      <c r="CI7" s="17">
        <f>Time!AG19</f>
        <v/>
      </c>
      <c r="CJ7" s="17">
        <f>Time!AH19</f>
        <v/>
      </c>
      <c r="CK7" s="17">
        <f>Time!AI19</f>
        <v/>
      </c>
      <c r="CL7" s="17">
        <f>Time!AJ19</f>
        <v/>
      </c>
      <c r="CM7" s="17">
        <f>Time!AK19</f>
        <v/>
      </c>
      <c r="CN7" s="17">
        <f>Time!AL19</f>
        <v/>
      </c>
      <c r="CO7" s="17">
        <f>Time!AM19</f>
        <v/>
      </c>
      <c r="CP7" s="17">
        <f>Time!AN19</f>
        <v/>
      </c>
      <c r="CQ7" s="17">
        <f>Time!AO19</f>
        <v/>
      </c>
      <c r="CR7" s="17">
        <f>Time!AP19</f>
        <v/>
      </c>
      <c r="CS7" s="17">
        <f>Time!AQ19</f>
        <v/>
      </c>
      <c r="CT7" s="17">
        <f>Time!AR19</f>
        <v/>
      </c>
      <c r="CU7" s="17">
        <f>Time!AS19</f>
        <v/>
      </c>
      <c r="CV7" s="17">
        <f>Time!AT19</f>
        <v/>
      </c>
      <c r="CW7" s="17">
        <f>Time!AU19</f>
        <v/>
      </c>
      <c r="CX7" s="17">
        <f>Time!AV19</f>
        <v/>
      </c>
      <c r="CY7" s="17">
        <f>Time!AW19</f>
        <v/>
      </c>
      <c r="CZ7" s="17">
        <f>Time!AX19</f>
        <v/>
      </c>
      <c r="DA7" s="17">
        <f>Time!AY19</f>
        <v/>
      </c>
      <c r="DB7" s="17">
        <f>Time!AZ19</f>
        <v/>
      </c>
      <c r="DC7" s="17">
        <f>Time!BA19</f>
        <v/>
      </c>
      <c r="DD7" s="17">
        <f>Time!BB19</f>
        <v/>
      </c>
      <c r="DE7" s="17">
        <f>Time!BC19</f>
        <v/>
      </c>
      <c r="DF7" s="17">
        <f>Time!BD19</f>
        <v/>
      </c>
      <c r="DG7" s="17">
        <f>Time!BE19</f>
        <v/>
      </c>
      <c r="DH7" s="17">
        <f>Time!BF19</f>
        <v/>
      </c>
      <c r="DI7" s="17">
        <f>Time!BG19</f>
        <v/>
      </c>
      <c r="DJ7" s="17">
        <f>Time!BH19</f>
        <v/>
      </c>
      <c r="DK7" s="17">
        <f>Time!BI19</f>
        <v/>
      </c>
      <c r="DL7" s="17">
        <f>Time!BJ19</f>
        <v/>
      </c>
      <c r="DM7" s="17">
        <f>Time!BK19</f>
        <v/>
      </c>
      <c r="DN7" s="17">
        <f>Time!BL19</f>
        <v/>
      </c>
      <c r="DO7" s="17">
        <f>Time!BM19</f>
        <v/>
      </c>
      <c r="DP7" s="17">
        <f>Time!BN19</f>
        <v/>
      </c>
    </row>
    <row r="8">
      <c r="D8" t="inlineStr">
        <is>
          <t>Equity cash flow (contributions negative)</t>
        </is>
      </c>
      <c r="E8" t="inlineStr">
        <is>
          <t>USD m</t>
        </is>
      </c>
      <c r="G8" s="11">
        <f>SUM(J8:DP8)</f>
        <v/>
      </c>
      <c r="J8" s="11">
        <f>-Inputs!$F$66</f>
        <v/>
      </c>
      <c r="K8" s="11">
        <f>-Funding!J68</f>
        <v/>
      </c>
      <c r="L8" s="11">
        <f>-Funding!K68</f>
        <v/>
      </c>
      <c r="M8" s="11">
        <f>-Funding!L68</f>
        <v/>
      </c>
      <c r="N8" s="11">
        <f>-Funding!M68</f>
        <v/>
      </c>
      <c r="O8" s="11">
        <f>-Funding!N68</f>
        <v/>
      </c>
      <c r="P8" s="11">
        <f>-Funding!O68</f>
        <v/>
      </c>
      <c r="Q8" s="11">
        <f>-Funding!P68</f>
        <v/>
      </c>
      <c r="R8" s="11">
        <f>-Funding!Q68</f>
        <v/>
      </c>
      <c r="S8" s="11">
        <f>-Funding!R68</f>
        <v/>
      </c>
      <c r="T8" s="11">
        <f>-Funding!S68</f>
        <v/>
      </c>
      <c r="U8" s="11">
        <f>-Funding!T68</f>
        <v/>
      </c>
      <c r="V8" s="11">
        <f>-Funding!U68</f>
        <v/>
      </c>
      <c r="W8" s="11">
        <f>-Funding!V68</f>
        <v/>
      </c>
      <c r="X8" s="11">
        <f>-Funding!W68</f>
        <v/>
      </c>
      <c r="Y8" s="11">
        <f>-Funding!X68</f>
        <v/>
      </c>
      <c r="Z8" s="11">
        <f>-Funding!Y68</f>
        <v/>
      </c>
      <c r="AA8" s="11">
        <f>-Funding!Z68</f>
        <v/>
      </c>
      <c r="AB8" s="11">
        <f>-Funding!AA68</f>
        <v/>
      </c>
      <c r="AC8" s="11">
        <f>-Funding!AB68</f>
        <v/>
      </c>
      <c r="AD8" s="11">
        <f>-Funding!AC68</f>
        <v/>
      </c>
      <c r="AE8" s="11">
        <f>-Funding!AD68</f>
        <v/>
      </c>
      <c r="AF8" s="11">
        <f>-Funding!AE68</f>
        <v/>
      </c>
      <c r="AG8" s="11">
        <f>-Funding!AF68</f>
        <v/>
      </c>
      <c r="AH8" s="11">
        <f>-Funding!AG68</f>
        <v/>
      </c>
      <c r="AI8" s="11">
        <f>-Funding!AH68</f>
        <v/>
      </c>
      <c r="AJ8" s="11">
        <f>-Funding!AI68</f>
        <v/>
      </c>
      <c r="AK8" s="11">
        <f>-Funding!AJ68</f>
        <v/>
      </c>
      <c r="AL8" s="11">
        <f>-Funding!AK68</f>
        <v/>
      </c>
      <c r="AM8" s="11">
        <f>-Funding!AL68</f>
        <v/>
      </c>
      <c r="AN8" s="11">
        <f>-Funding!AM68</f>
        <v/>
      </c>
      <c r="AO8" s="11">
        <f>-Funding!AN68</f>
        <v/>
      </c>
      <c r="AP8" s="11">
        <f>-Funding!AO68</f>
        <v/>
      </c>
      <c r="AQ8" s="11">
        <f>-Funding!AP68</f>
        <v/>
      </c>
      <c r="AR8" s="11">
        <f>-Funding!AQ68</f>
        <v/>
      </c>
      <c r="AS8" s="11">
        <f>-Funding!AR68</f>
        <v/>
      </c>
      <c r="AT8" s="11">
        <f>-Funding!AS68</f>
        <v/>
      </c>
      <c r="AU8" s="11">
        <f>-Funding!AT68</f>
        <v/>
      </c>
      <c r="AV8" s="11">
        <f>-Funding!AU68</f>
        <v/>
      </c>
      <c r="AW8" s="11">
        <f>-Funding!AV68</f>
        <v/>
      </c>
      <c r="AX8" s="11">
        <f>-Funding!AW68</f>
        <v/>
      </c>
      <c r="AY8" s="11">
        <f>-Funding!AX68</f>
        <v/>
      </c>
      <c r="AZ8" s="11">
        <f>-Funding!AY68</f>
        <v/>
      </c>
      <c r="BA8" s="11">
        <f>-Funding!AZ68</f>
        <v/>
      </c>
      <c r="BB8" s="11">
        <f>-Funding!BA68</f>
        <v/>
      </c>
      <c r="BC8" s="11">
        <f>-Funding!BB68</f>
        <v/>
      </c>
      <c r="BD8" s="11">
        <f>-Funding!BC68</f>
        <v/>
      </c>
      <c r="BE8" s="11">
        <f>-Funding!BD68</f>
        <v/>
      </c>
      <c r="BF8" s="11">
        <f>-Funding!BE68</f>
        <v/>
      </c>
      <c r="BG8" s="11">
        <f>-Funding!BF68</f>
        <v/>
      </c>
      <c r="BH8" s="11">
        <f>-Funding!BG68</f>
        <v/>
      </c>
      <c r="BI8" s="11">
        <f>-Funding!BH68</f>
        <v/>
      </c>
      <c r="BJ8" s="11">
        <f>-Funding!BI68</f>
        <v/>
      </c>
      <c r="BK8" s="11">
        <f>-Funding!BJ68</f>
        <v/>
      </c>
      <c r="BL8" s="16">
        <f>Waterfall!J44</f>
        <v/>
      </c>
      <c r="BM8" s="16">
        <f>Waterfall!K44</f>
        <v/>
      </c>
      <c r="BN8" s="16">
        <f>Waterfall!L44</f>
        <v/>
      </c>
      <c r="BO8" s="16">
        <f>Waterfall!M44</f>
        <v/>
      </c>
      <c r="BP8" s="16">
        <f>Waterfall!N44</f>
        <v/>
      </c>
      <c r="BQ8" s="16">
        <f>Waterfall!O44</f>
        <v/>
      </c>
      <c r="BR8" s="16">
        <f>Waterfall!P44</f>
        <v/>
      </c>
      <c r="BS8" s="16">
        <f>Waterfall!Q44</f>
        <v/>
      </c>
      <c r="BT8" s="16">
        <f>Waterfall!R44</f>
        <v/>
      </c>
      <c r="BU8" s="16">
        <f>Waterfall!S44</f>
        <v/>
      </c>
      <c r="BV8" s="16">
        <f>Waterfall!T44</f>
        <v/>
      </c>
      <c r="BW8" s="16">
        <f>Waterfall!U44</f>
        <v/>
      </c>
      <c r="BX8" s="16">
        <f>Waterfall!V44</f>
        <v/>
      </c>
      <c r="BY8" s="16">
        <f>Waterfall!W44</f>
        <v/>
      </c>
      <c r="BZ8" s="16">
        <f>Waterfall!X44</f>
        <v/>
      </c>
      <c r="CA8" s="16">
        <f>Waterfall!Y44</f>
        <v/>
      </c>
      <c r="CB8" s="16">
        <f>Waterfall!Z44</f>
        <v/>
      </c>
      <c r="CC8" s="16">
        <f>Waterfall!AA44</f>
        <v/>
      </c>
      <c r="CD8" s="16">
        <f>Waterfall!AB44</f>
        <v/>
      </c>
      <c r="CE8" s="16">
        <f>Waterfall!AC44</f>
        <v/>
      </c>
      <c r="CF8" s="16">
        <f>Waterfall!AD44</f>
        <v/>
      </c>
      <c r="CG8" s="16">
        <f>Waterfall!AE44</f>
        <v/>
      </c>
      <c r="CH8" s="16">
        <f>Waterfall!AF44</f>
        <v/>
      </c>
      <c r="CI8" s="16">
        <f>Waterfall!AG44</f>
        <v/>
      </c>
      <c r="CJ8" s="16">
        <f>Waterfall!AH44</f>
        <v/>
      </c>
      <c r="CK8" s="16">
        <f>Waterfall!AI44</f>
        <v/>
      </c>
      <c r="CL8" s="16">
        <f>Waterfall!AJ44</f>
        <v/>
      </c>
      <c r="CM8" s="16">
        <f>Waterfall!AK44</f>
        <v/>
      </c>
      <c r="CN8" s="16">
        <f>Waterfall!AL44</f>
        <v/>
      </c>
      <c r="CO8" s="16">
        <f>Waterfall!AM44</f>
        <v/>
      </c>
      <c r="CP8" s="16">
        <f>Waterfall!AN44</f>
        <v/>
      </c>
      <c r="CQ8" s="16">
        <f>Waterfall!AO44</f>
        <v/>
      </c>
      <c r="CR8" s="16">
        <f>Waterfall!AP44</f>
        <v/>
      </c>
      <c r="CS8" s="16">
        <f>Waterfall!AQ44</f>
        <v/>
      </c>
      <c r="CT8" s="16">
        <f>Waterfall!AR44</f>
        <v/>
      </c>
      <c r="CU8" s="16">
        <f>Waterfall!AS44</f>
        <v/>
      </c>
      <c r="CV8" s="16">
        <f>Waterfall!AT44</f>
        <v/>
      </c>
      <c r="CW8" s="16">
        <f>Waterfall!AU44</f>
        <v/>
      </c>
      <c r="CX8" s="16">
        <f>Waterfall!AV44</f>
        <v/>
      </c>
      <c r="CY8" s="16">
        <f>Waterfall!AW44</f>
        <v/>
      </c>
      <c r="CZ8" s="16">
        <f>Waterfall!AX44</f>
        <v/>
      </c>
      <c r="DA8" s="16">
        <f>Waterfall!AY44</f>
        <v/>
      </c>
      <c r="DB8" s="16">
        <f>Waterfall!AZ44</f>
        <v/>
      </c>
      <c r="DC8" s="16">
        <f>Waterfall!BA44</f>
        <v/>
      </c>
      <c r="DD8" s="16">
        <f>Waterfall!BB44</f>
        <v/>
      </c>
      <c r="DE8" s="16">
        <f>Waterfall!BC44</f>
        <v/>
      </c>
      <c r="DF8" s="16">
        <f>Waterfall!BD44</f>
        <v/>
      </c>
      <c r="DG8" s="16">
        <f>Waterfall!BE44</f>
        <v/>
      </c>
      <c r="DH8" s="16">
        <f>Waterfall!BF44</f>
        <v/>
      </c>
      <c r="DI8" s="16">
        <f>Waterfall!BG44</f>
        <v/>
      </c>
      <c r="DJ8" s="16">
        <f>Waterfall!BH44</f>
        <v/>
      </c>
      <c r="DK8" s="16">
        <f>Waterfall!BI44</f>
        <v/>
      </c>
      <c r="DL8" s="16">
        <f>Waterfall!BJ44</f>
        <v/>
      </c>
      <c r="DM8" s="16">
        <f>Waterfall!BK44</f>
        <v/>
      </c>
      <c r="DN8" s="16">
        <f>Waterfall!BL44</f>
        <v/>
      </c>
      <c r="DO8" s="16">
        <f>Waterfall!BM44</f>
        <v/>
      </c>
      <c r="DP8" s="16">
        <f>Waterfall!BN44</f>
        <v/>
      </c>
    </row>
    <row r="9">
      <c r="D9" t="inlineStr">
        <is>
          <t>Project cash flow, post-tax (uses before financing; CFADS)</t>
        </is>
      </c>
      <c r="E9" t="inlineStr">
        <is>
          <t>USD m</t>
        </is>
      </c>
      <c r="G9" s="11">
        <f>SUM(J9:DP9)</f>
        <v/>
      </c>
      <c r="J9" s="11">
        <f>0</f>
        <v/>
      </c>
      <c r="K9" s="11">
        <f>-Construction!J30</f>
        <v/>
      </c>
      <c r="L9" s="11">
        <f>-Construction!K30</f>
        <v/>
      </c>
      <c r="M9" s="11">
        <f>-Construction!L30</f>
        <v/>
      </c>
      <c r="N9" s="11">
        <f>-Construction!M30</f>
        <v/>
      </c>
      <c r="O9" s="11">
        <f>-Construction!N30</f>
        <v/>
      </c>
      <c r="P9" s="11">
        <f>-Construction!O30</f>
        <v/>
      </c>
      <c r="Q9" s="11">
        <f>-Construction!P30</f>
        <v/>
      </c>
      <c r="R9" s="11">
        <f>-Construction!Q30</f>
        <v/>
      </c>
      <c r="S9" s="11">
        <f>-Construction!R30</f>
        <v/>
      </c>
      <c r="T9" s="11">
        <f>-Construction!S30</f>
        <v/>
      </c>
      <c r="U9" s="11">
        <f>-Construction!T30</f>
        <v/>
      </c>
      <c r="V9" s="11">
        <f>-Construction!U30</f>
        <v/>
      </c>
      <c r="W9" s="11">
        <f>-Construction!V30</f>
        <v/>
      </c>
      <c r="X9" s="11">
        <f>-Construction!W30</f>
        <v/>
      </c>
      <c r="Y9" s="11">
        <f>-Construction!X30</f>
        <v/>
      </c>
      <c r="Z9" s="11">
        <f>-Construction!Y30</f>
        <v/>
      </c>
      <c r="AA9" s="11">
        <f>-Construction!Z30</f>
        <v/>
      </c>
      <c r="AB9" s="11">
        <f>-Construction!AA30</f>
        <v/>
      </c>
      <c r="AC9" s="11">
        <f>-Construction!AB30</f>
        <v/>
      </c>
      <c r="AD9" s="11">
        <f>-Construction!AC30</f>
        <v/>
      </c>
      <c r="AE9" s="11">
        <f>-Construction!AD30</f>
        <v/>
      </c>
      <c r="AF9" s="11">
        <f>-Construction!AE30</f>
        <v/>
      </c>
      <c r="AG9" s="11">
        <f>-Construction!AF30</f>
        <v/>
      </c>
      <c r="AH9" s="11">
        <f>-Construction!AG30</f>
        <v/>
      </c>
      <c r="AI9" s="11">
        <f>-Construction!AH30</f>
        <v/>
      </c>
      <c r="AJ9" s="11">
        <f>-Construction!AI30</f>
        <v/>
      </c>
      <c r="AK9" s="11">
        <f>-Construction!AJ30</f>
        <v/>
      </c>
      <c r="AL9" s="11">
        <f>-Construction!AK30</f>
        <v/>
      </c>
      <c r="AM9" s="11">
        <f>-Construction!AL30</f>
        <v/>
      </c>
      <c r="AN9" s="11">
        <f>-Construction!AM30</f>
        <v/>
      </c>
      <c r="AO9" s="11">
        <f>-Construction!AN30</f>
        <v/>
      </c>
      <c r="AP9" s="11">
        <f>-Construction!AO30</f>
        <v/>
      </c>
      <c r="AQ9" s="11">
        <f>-Construction!AP30</f>
        <v/>
      </c>
      <c r="AR9" s="11">
        <f>-Construction!AQ30</f>
        <v/>
      </c>
      <c r="AS9" s="11">
        <f>-Construction!AR30</f>
        <v/>
      </c>
      <c r="AT9" s="11">
        <f>-Construction!AS30</f>
        <v/>
      </c>
      <c r="AU9" s="11">
        <f>-Construction!AT30</f>
        <v/>
      </c>
      <c r="AV9" s="11">
        <f>-Construction!AU30</f>
        <v/>
      </c>
      <c r="AW9" s="11">
        <f>-Construction!AV30</f>
        <v/>
      </c>
      <c r="AX9" s="11">
        <f>-Construction!AW30</f>
        <v/>
      </c>
      <c r="AY9" s="11">
        <f>-Construction!AX30</f>
        <v/>
      </c>
      <c r="AZ9" s="11">
        <f>-Construction!AY30</f>
        <v/>
      </c>
      <c r="BA9" s="11">
        <f>-Construction!AZ30</f>
        <v/>
      </c>
      <c r="BB9" s="11">
        <f>-Construction!BA30</f>
        <v/>
      </c>
      <c r="BC9" s="11">
        <f>-Construction!BB30</f>
        <v/>
      </c>
      <c r="BD9" s="11">
        <f>-Construction!BC30</f>
        <v/>
      </c>
      <c r="BE9" s="11">
        <f>-Construction!BD30</f>
        <v/>
      </c>
      <c r="BF9" s="11">
        <f>-Construction!BE30</f>
        <v/>
      </c>
      <c r="BG9" s="11">
        <f>-Construction!BF30</f>
        <v/>
      </c>
      <c r="BH9" s="11">
        <f>-Construction!BG30</f>
        <v/>
      </c>
      <c r="BI9" s="11">
        <f>-Construction!BH30</f>
        <v/>
      </c>
      <c r="BJ9" s="11">
        <f>-Construction!BI30</f>
        <v/>
      </c>
      <c r="BK9" s="11">
        <f>-Construction!BJ30</f>
        <v/>
      </c>
      <c r="BL9" s="16">
        <f>Waterfall!J7</f>
        <v/>
      </c>
      <c r="BM9" s="16">
        <f>Waterfall!K7</f>
        <v/>
      </c>
      <c r="BN9" s="16">
        <f>Waterfall!L7</f>
        <v/>
      </c>
      <c r="BO9" s="16">
        <f>Waterfall!M7</f>
        <v/>
      </c>
      <c r="BP9" s="16">
        <f>Waterfall!N7</f>
        <v/>
      </c>
      <c r="BQ9" s="16">
        <f>Waterfall!O7</f>
        <v/>
      </c>
      <c r="BR9" s="16">
        <f>Waterfall!P7</f>
        <v/>
      </c>
      <c r="BS9" s="16">
        <f>Waterfall!Q7</f>
        <v/>
      </c>
      <c r="BT9" s="16">
        <f>Waterfall!R7</f>
        <v/>
      </c>
      <c r="BU9" s="16">
        <f>Waterfall!S7</f>
        <v/>
      </c>
      <c r="BV9" s="16">
        <f>Waterfall!T7</f>
        <v/>
      </c>
      <c r="BW9" s="16">
        <f>Waterfall!U7</f>
        <v/>
      </c>
      <c r="BX9" s="16">
        <f>Waterfall!V7</f>
        <v/>
      </c>
      <c r="BY9" s="16">
        <f>Waterfall!W7</f>
        <v/>
      </c>
      <c r="BZ9" s="16">
        <f>Waterfall!X7</f>
        <v/>
      </c>
      <c r="CA9" s="16">
        <f>Waterfall!Y7</f>
        <v/>
      </c>
      <c r="CB9" s="16">
        <f>Waterfall!Z7</f>
        <v/>
      </c>
      <c r="CC9" s="16">
        <f>Waterfall!AA7</f>
        <v/>
      </c>
      <c r="CD9" s="16">
        <f>Waterfall!AB7</f>
        <v/>
      </c>
      <c r="CE9" s="16">
        <f>Waterfall!AC7</f>
        <v/>
      </c>
      <c r="CF9" s="16">
        <f>Waterfall!AD7</f>
        <v/>
      </c>
      <c r="CG9" s="16">
        <f>Waterfall!AE7</f>
        <v/>
      </c>
      <c r="CH9" s="16">
        <f>Waterfall!AF7</f>
        <v/>
      </c>
      <c r="CI9" s="16">
        <f>Waterfall!AG7</f>
        <v/>
      </c>
      <c r="CJ9" s="16">
        <f>Waterfall!AH7</f>
        <v/>
      </c>
      <c r="CK9" s="16">
        <f>Waterfall!AI7</f>
        <v/>
      </c>
      <c r="CL9" s="16">
        <f>Waterfall!AJ7</f>
        <v/>
      </c>
      <c r="CM9" s="16">
        <f>Waterfall!AK7</f>
        <v/>
      </c>
      <c r="CN9" s="16">
        <f>Waterfall!AL7</f>
        <v/>
      </c>
      <c r="CO9" s="16">
        <f>Waterfall!AM7</f>
        <v/>
      </c>
      <c r="CP9" s="16">
        <f>Waterfall!AN7</f>
        <v/>
      </c>
      <c r="CQ9" s="16">
        <f>Waterfall!AO7</f>
        <v/>
      </c>
      <c r="CR9" s="16">
        <f>Waterfall!AP7</f>
        <v/>
      </c>
      <c r="CS9" s="16">
        <f>Waterfall!AQ7</f>
        <v/>
      </c>
      <c r="CT9" s="16">
        <f>Waterfall!AR7</f>
        <v/>
      </c>
      <c r="CU9" s="16">
        <f>Waterfall!AS7</f>
        <v/>
      </c>
      <c r="CV9" s="16">
        <f>Waterfall!AT7</f>
        <v/>
      </c>
      <c r="CW9" s="16">
        <f>Waterfall!AU7</f>
        <v/>
      </c>
      <c r="CX9" s="16">
        <f>Waterfall!AV7</f>
        <v/>
      </c>
      <c r="CY9" s="16">
        <f>Waterfall!AW7</f>
        <v/>
      </c>
      <c r="CZ9" s="16">
        <f>Waterfall!AX7</f>
        <v/>
      </c>
      <c r="DA9" s="16">
        <f>Waterfall!AY7</f>
        <v/>
      </c>
      <c r="DB9" s="16">
        <f>Waterfall!AZ7</f>
        <v/>
      </c>
      <c r="DC9" s="16">
        <f>Waterfall!BA7</f>
        <v/>
      </c>
      <c r="DD9" s="16">
        <f>Waterfall!BB7</f>
        <v/>
      </c>
      <c r="DE9" s="16">
        <f>Waterfall!BC7</f>
        <v/>
      </c>
      <c r="DF9" s="16">
        <f>Waterfall!BD7</f>
        <v/>
      </c>
      <c r="DG9" s="16">
        <f>Waterfall!BE7</f>
        <v/>
      </c>
      <c r="DH9" s="16">
        <f>Waterfall!BF7</f>
        <v/>
      </c>
      <c r="DI9" s="16">
        <f>Waterfall!BG7</f>
        <v/>
      </c>
      <c r="DJ9" s="16">
        <f>Waterfall!BH7</f>
        <v/>
      </c>
      <c r="DK9" s="16">
        <f>Waterfall!BI7</f>
        <v/>
      </c>
      <c r="DL9" s="16">
        <f>Waterfall!BJ7</f>
        <v/>
      </c>
      <c r="DM9" s="16">
        <f>Waterfall!BK7</f>
        <v/>
      </c>
      <c r="DN9" s="16">
        <f>Waterfall!BL7</f>
        <v/>
      </c>
      <c r="DO9" s="16">
        <f>Waterfall!BM7</f>
        <v/>
      </c>
      <c r="DP9" s="16">
        <f>Waterfall!BN7</f>
        <v/>
      </c>
    </row>
    <row r="10">
      <c r="D10" t="inlineStr">
        <is>
          <t>Project cash flow, pre-tax</t>
        </is>
      </c>
      <c r="E10" t="inlineStr">
        <is>
          <t>USD m</t>
        </is>
      </c>
      <c r="G10" s="11">
        <f>SUM(J10:DP10)</f>
        <v/>
      </c>
      <c r="J10" s="11">
        <f>0</f>
        <v/>
      </c>
      <c r="K10" s="11">
        <f>-Construction!J30</f>
        <v/>
      </c>
      <c r="L10" s="11">
        <f>-Construction!K30</f>
        <v/>
      </c>
      <c r="M10" s="11">
        <f>-Construction!L30</f>
        <v/>
      </c>
      <c r="N10" s="11">
        <f>-Construction!M30</f>
        <v/>
      </c>
      <c r="O10" s="11">
        <f>-Construction!N30</f>
        <v/>
      </c>
      <c r="P10" s="11">
        <f>-Construction!O30</f>
        <v/>
      </c>
      <c r="Q10" s="11">
        <f>-Construction!P30</f>
        <v/>
      </c>
      <c r="R10" s="11">
        <f>-Construction!Q30</f>
        <v/>
      </c>
      <c r="S10" s="11">
        <f>-Construction!R30</f>
        <v/>
      </c>
      <c r="T10" s="11">
        <f>-Construction!S30</f>
        <v/>
      </c>
      <c r="U10" s="11">
        <f>-Construction!T30</f>
        <v/>
      </c>
      <c r="V10" s="11">
        <f>-Construction!U30</f>
        <v/>
      </c>
      <c r="W10" s="11">
        <f>-Construction!V30</f>
        <v/>
      </c>
      <c r="X10" s="11">
        <f>-Construction!W30</f>
        <v/>
      </c>
      <c r="Y10" s="11">
        <f>-Construction!X30</f>
        <v/>
      </c>
      <c r="Z10" s="11">
        <f>-Construction!Y30</f>
        <v/>
      </c>
      <c r="AA10" s="11">
        <f>-Construction!Z30</f>
        <v/>
      </c>
      <c r="AB10" s="11">
        <f>-Construction!AA30</f>
        <v/>
      </c>
      <c r="AC10" s="11">
        <f>-Construction!AB30</f>
        <v/>
      </c>
      <c r="AD10" s="11">
        <f>-Construction!AC30</f>
        <v/>
      </c>
      <c r="AE10" s="11">
        <f>-Construction!AD30</f>
        <v/>
      </c>
      <c r="AF10" s="11">
        <f>-Construction!AE30</f>
        <v/>
      </c>
      <c r="AG10" s="11">
        <f>-Construction!AF30</f>
        <v/>
      </c>
      <c r="AH10" s="11">
        <f>-Construction!AG30</f>
        <v/>
      </c>
      <c r="AI10" s="11">
        <f>-Construction!AH30</f>
        <v/>
      </c>
      <c r="AJ10" s="11">
        <f>-Construction!AI30</f>
        <v/>
      </c>
      <c r="AK10" s="11">
        <f>-Construction!AJ30</f>
        <v/>
      </c>
      <c r="AL10" s="11">
        <f>-Construction!AK30</f>
        <v/>
      </c>
      <c r="AM10" s="11">
        <f>-Construction!AL30</f>
        <v/>
      </c>
      <c r="AN10" s="11">
        <f>-Construction!AM30</f>
        <v/>
      </c>
      <c r="AO10" s="11">
        <f>-Construction!AN30</f>
        <v/>
      </c>
      <c r="AP10" s="11">
        <f>-Construction!AO30</f>
        <v/>
      </c>
      <c r="AQ10" s="11">
        <f>-Construction!AP30</f>
        <v/>
      </c>
      <c r="AR10" s="11">
        <f>-Construction!AQ30</f>
        <v/>
      </c>
      <c r="AS10" s="11">
        <f>-Construction!AR30</f>
        <v/>
      </c>
      <c r="AT10" s="11">
        <f>-Construction!AS30</f>
        <v/>
      </c>
      <c r="AU10" s="11">
        <f>-Construction!AT30</f>
        <v/>
      </c>
      <c r="AV10" s="11">
        <f>-Construction!AU30</f>
        <v/>
      </c>
      <c r="AW10" s="11">
        <f>-Construction!AV30</f>
        <v/>
      </c>
      <c r="AX10" s="11">
        <f>-Construction!AW30</f>
        <v/>
      </c>
      <c r="AY10" s="11">
        <f>-Construction!AX30</f>
        <v/>
      </c>
      <c r="AZ10" s="11">
        <f>-Construction!AY30</f>
        <v/>
      </c>
      <c r="BA10" s="11">
        <f>-Construction!AZ30</f>
        <v/>
      </c>
      <c r="BB10" s="11">
        <f>-Construction!BA30</f>
        <v/>
      </c>
      <c r="BC10" s="11">
        <f>-Construction!BB30</f>
        <v/>
      </c>
      <c r="BD10" s="11">
        <f>-Construction!BC30</f>
        <v/>
      </c>
      <c r="BE10" s="11">
        <f>-Construction!BD30</f>
        <v/>
      </c>
      <c r="BF10" s="11">
        <f>-Construction!BE30</f>
        <v/>
      </c>
      <c r="BG10" s="11">
        <f>-Construction!BF30</f>
        <v/>
      </c>
      <c r="BH10" s="11">
        <f>-Construction!BG30</f>
        <v/>
      </c>
      <c r="BI10" s="11">
        <f>-Construction!BH30</f>
        <v/>
      </c>
      <c r="BJ10" s="11">
        <f>-Construction!BI30</f>
        <v/>
      </c>
      <c r="BK10" s="11">
        <f>-Construction!BJ30</f>
        <v/>
      </c>
      <c r="BL10" s="11">
        <f>Waterfall!J7+Tax!J27</f>
        <v/>
      </c>
      <c r="BM10" s="11">
        <f>Waterfall!K7+Tax!K27</f>
        <v/>
      </c>
      <c r="BN10" s="11">
        <f>Waterfall!L7+Tax!L27</f>
        <v/>
      </c>
      <c r="BO10" s="11">
        <f>Waterfall!M7+Tax!M27</f>
        <v/>
      </c>
      <c r="BP10" s="11">
        <f>Waterfall!N7+Tax!N27</f>
        <v/>
      </c>
      <c r="BQ10" s="11">
        <f>Waterfall!O7+Tax!O27</f>
        <v/>
      </c>
      <c r="BR10" s="11">
        <f>Waterfall!P7+Tax!P27</f>
        <v/>
      </c>
      <c r="BS10" s="11">
        <f>Waterfall!Q7+Tax!Q27</f>
        <v/>
      </c>
      <c r="BT10" s="11">
        <f>Waterfall!R7+Tax!R27</f>
        <v/>
      </c>
      <c r="BU10" s="11">
        <f>Waterfall!S7+Tax!S27</f>
        <v/>
      </c>
      <c r="BV10" s="11">
        <f>Waterfall!T7+Tax!T27</f>
        <v/>
      </c>
      <c r="BW10" s="11">
        <f>Waterfall!U7+Tax!U27</f>
        <v/>
      </c>
      <c r="BX10" s="11">
        <f>Waterfall!V7+Tax!V27</f>
        <v/>
      </c>
      <c r="BY10" s="11">
        <f>Waterfall!W7+Tax!W27</f>
        <v/>
      </c>
      <c r="BZ10" s="11">
        <f>Waterfall!X7+Tax!X27</f>
        <v/>
      </c>
      <c r="CA10" s="11">
        <f>Waterfall!Y7+Tax!Y27</f>
        <v/>
      </c>
      <c r="CB10" s="11">
        <f>Waterfall!Z7+Tax!Z27</f>
        <v/>
      </c>
      <c r="CC10" s="11">
        <f>Waterfall!AA7+Tax!AA27</f>
        <v/>
      </c>
      <c r="CD10" s="11">
        <f>Waterfall!AB7+Tax!AB27</f>
        <v/>
      </c>
      <c r="CE10" s="11">
        <f>Waterfall!AC7+Tax!AC27</f>
        <v/>
      </c>
      <c r="CF10" s="11">
        <f>Waterfall!AD7+Tax!AD27</f>
        <v/>
      </c>
      <c r="CG10" s="11">
        <f>Waterfall!AE7+Tax!AE27</f>
        <v/>
      </c>
      <c r="CH10" s="11">
        <f>Waterfall!AF7+Tax!AF27</f>
        <v/>
      </c>
      <c r="CI10" s="11">
        <f>Waterfall!AG7+Tax!AG27</f>
        <v/>
      </c>
      <c r="CJ10" s="11">
        <f>Waterfall!AH7+Tax!AH27</f>
        <v/>
      </c>
      <c r="CK10" s="11">
        <f>Waterfall!AI7+Tax!AI27</f>
        <v/>
      </c>
      <c r="CL10" s="11">
        <f>Waterfall!AJ7+Tax!AJ27</f>
        <v/>
      </c>
      <c r="CM10" s="11">
        <f>Waterfall!AK7+Tax!AK27</f>
        <v/>
      </c>
      <c r="CN10" s="11">
        <f>Waterfall!AL7+Tax!AL27</f>
        <v/>
      </c>
      <c r="CO10" s="11">
        <f>Waterfall!AM7+Tax!AM27</f>
        <v/>
      </c>
      <c r="CP10" s="11">
        <f>Waterfall!AN7+Tax!AN27</f>
        <v/>
      </c>
      <c r="CQ10" s="11">
        <f>Waterfall!AO7+Tax!AO27</f>
        <v/>
      </c>
      <c r="CR10" s="11">
        <f>Waterfall!AP7+Tax!AP27</f>
        <v/>
      </c>
      <c r="CS10" s="11">
        <f>Waterfall!AQ7+Tax!AQ27</f>
        <v/>
      </c>
      <c r="CT10" s="11">
        <f>Waterfall!AR7+Tax!AR27</f>
        <v/>
      </c>
      <c r="CU10" s="11">
        <f>Waterfall!AS7+Tax!AS27</f>
        <v/>
      </c>
      <c r="CV10" s="11">
        <f>Waterfall!AT7+Tax!AT27</f>
        <v/>
      </c>
      <c r="CW10" s="11">
        <f>Waterfall!AU7+Tax!AU27</f>
        <v/>
      </c>
      <c r="CX10" s="11">
        <f>Waterfall!AV7+Tax!AV27</f>
        <v/>
      </c>
      <c r="CY10" s="11">
        <f>Waterfall!AW7+Tax!AW27</f>
        <v/>
      </c>
      <c r="CZ10" s="11">
        <f>Waterfall!AX7+Tax!AX27</f>
        <v/>
      </c>
      <c r="DA10" s="11">
        <f>Waterfall!AY7+Tax!AY27</f>
        <v/>
      </c>
      <c r="DB10" s="11">
        <f>Waterfall!AZ7+Tax!AZ27</f>
        <v/>
      </c>
      <c r="DC10" s="11">
        <f>Waterfall!BA7+Tax!BA27</f>
        <v/>
      </c>
      <c r="DD10" s="11">
        <f>Waterfall!BB7+Tax!BB27</f>
        <v/>
      </c>
      <c r="DE10" s="11">
        <f>Waterfall!BC7+Tax!BC27</f>
        <v/>
      </c>
      <c r="DF10" s="11">
        <f>Waterfall!BD7+Tax!BD27</f>
        <v/>
      </c>
      <c r="DG10" s="11">
        <f>Waterfall!BE7+Tax!BE27</f>
        <v/>
      </c>
      <c r="DH10" s="11">
        <f>Waterfall!BF7+Tax!BF27</f>
        <v/>
      </c>
      <c r="DI10" s="11">
        <f>Waterfall!BG7+Tax!BG27</f>
        <v/>
      </c>
      <c r="DJ10" s="11">
        <f>Waterfall!BH7+Tax!BH27</f>
        <v/>
      </c>
      <c r="DK10" s="11">
        <f>Waterfall!BI7+Tax!BI27</f>
        <v/>
      </c>
      <c r="DL10" s="11">
        <f>Waterfall!BJ7+Tax!BJ27</f>
        <v/>
      </c>
      <c r="DM10" s="11">
        <f>Waterfall!BK7+Tax!BK27</f>
        <v/>
      </c>
      <c r="DN10" s="11">
        <f>Waterfall!BL7+Tax!BL27</f>
        <v/>
      </c>
      <c r="DO10" s="11">
        <f>Waterfall!BM7+Tax!BM27</f>
        <v/>
      </c>
      <c r="DP10" s="11">
        <f>Waterfall!BN7+Tax!BN27</f>
        <v/>
      </c>
    </row>
    <row r="11">
      <c r="D11" t="inlineStr">
        <is>
          <t>Cumulative equity cash flow</t>
        </is>
      </c>
      <c r="E11" t="inlineStr">
        <is>
          <t>USD m</t>
        </is>
      </c>
      <c r="J11" s="11">
        <f>=J8</f>
        <v/>
      </c>
      <c r="K11" s="11">
        <f>J11+K8</f>
        <v/>
      </c>
      <c r="L11" s="11">
        <f>K11+L8</f>
        <v/>
      </c>
      <c r="M11" s="11">
        <f>L11+M8</f>
        <v/>
      </c>
      <c r="N11" s="11">
        <f>M11+N8</f>
        <v/>
      </c>
      <c r="O11" s="11">
        <f>N11+O8</f>
        <v/>
      </c>
      <c r="P11" s="11">
        <f>O11+P8</f>
        <v/>
      </c>
      <c r="Q11" s="11">
        <f>P11+Q8</f>
        <v/>
      </c>
      <c r="R11" s="11">
        <f>Q11+R8</f>
        <v/>
      </c>
      <c r="S11" s="11">
        <f>R11+S8</f>
        <v/>
      </c>
      <c r="T11" s="11">
        <f>S11+T8</f>
        <v/>
      </c>
      <c r="U11" s="11">
        <f>T11+U8</f>
        <v/>
      </c>
      <c r="V11" s="11">
        <f>U11+V8</f>
        <v/>
      </c>
      <c r="W11" s="11">
        <f>V11+W8</f>
        <v/>
      </c>
      <c r="X11" s="11">
        <f>W11+X8</f>
        <v/>
      </c>
      <c r="Y11" s="11">
        <f>X11+Y8</f>
        <v/>
      </c>
      <c r="Z11" s="11">
        <f>Y11+Z8</f>
        <v/>
      </c>
      <c r="AA11" s="11">
        <f>Z11+AA8</f>
        <v/>
      </c>
      <c r="AB11" s="11">
        <f>AA11+AB8</f>
        <v/>
      </c>
      <c r="AC11" s="11">
        <f>AB11+AC8</f>
        <v/>
      </c>
      <c r="AD11" s="11">
        <f>AC11+AD8</f>
        <v/>
      </c>
      <c r="AE11" s="11">
        <f>AD11+AE8</f>
        <v/>
      </c>
      <c r="AF11" s="11">
        <f>AE11+AF8</f>
        <v/>
      </c>
      <c r="AG11" s="11">
        <f>AF11+AG8</f>
        <v/>
      </c>
      <c r="AH11" s="11">
        <f>AG11+AH8</f>
        <v/>
      </c>
      <c r="AI11" s="11">
        <f>AH11+AI8</f>
        <v/>
      </c>
      <c r="AJ11" s="11">
        <f>AI11+AJ8</f>
        <v/>
      </c>
      <c r="AK11" s="11">
        <f>AJ11+AK8</f>
        <v/>
      </c>
      <c r="AL11" s="11">
        <f>AK11+AL8</f>
        <v/>
      </c>
      <c r="AM11" s="11">
        <f>AL11+AM8</f>
        <v/>
      </c>
      <c r="AN11" s="11">
        <f>AM11+AN8</f>
        <v/>
      </c>
      <c r="AO11" s="11">
        <f>AN11+AO8</f>
        <v/>
      </c>
      <c r="AP11" s="11">
        <f>AO11+AP8</f>
        <v/>
      </c>
      <c r="AQ11" s="11">
        <f>AP11+AQ8</f>
        <v/>
      </c>
      <c r="AR11" s="11">
        <f>AQ11+AR8</f>
        <v/>
      </c>
      <c r="AS11" s="11">
        <f>AR11+AS8</f>
        <v/>
      </c>
      <c r="AT11" s="11">
        <f>AS11+AT8</f>
        <v/>
      </c>
      <c r="AU11" s="11">
        <f>AT11+AU8</f>
        <v/>
      </c>
      <c r="AV11" s="11">
        <f>AU11+AV8</f>
        <v/>
      </c>
      <c r="AW11" s="11">
        <f>AV11+AW8</f>
        <v/>
      </c>
      <c r="AX11" s="11">
        <f>AW11+AX8</f>
        <v/>
      </c>
      <c r="AY11" s="11">
        <f>AX11+AY8</f>
        <v/>
      </c>
      <c r="AZ11" s="11">
        <f>AY11+AZ8</f>
        <v/>
      </c>
      <c r="BA11" s="11">
        <f>AZ11+BA8</f>
        <v/>
      </c>
      <c r="BB11" s="11">
        <f>BA11+BB8</f>
        <v/>
      </c>
      <c r="BC11" s="11">
        <f>BB11+BC8</f>
        <v/>
      </c>
      <c r="BD11" s="11">
        <f>BC11+BD8</f>
        <v/>
      </c>
      <c r="BE11" s="11">
        <f>BD11+BE8</f>
        <v/>
      </c>
      <c r="BF11" s="11">
        <f>BE11+BF8</f>
        <v/>
      </c>
      <c r="BG11" s="11">
        <f>BF11+BG8</f>
        <v/>
      </c>
      <c r="BH11" s="11">
        <f>BG11+BH8</f>
        <v/>
      </c>
      <c r="BI11" s="11">
        <f>BH11+BI8</f>
        <v/>
      </c>
      <c r="BJ11" s="11">
        <f>BI11+BJ8</f>
        <v/>
      </c>
      <c r="BK11" s="11">
        <f>BJ11+BK8</f>
        <v/>
      </c>
      <c r="BL11" s="11">
        <f>BK11+BL8</f>
        <v/>
      </c>
      <c r="BM11" s="11">
        <f>BL11+BM8</f>
        <v/>
      </c>
      <c r="BN11" s="11">
        <f>BM11+BN8</f>
        <v/>
      </c>
      <c r="BO11" s="11">
        <f>BN11+BO8</f>
        <v/>
      </c>
      <c r="BP11" s="11">
        <f>BO11+BP8</f>
        <v/>
      </c>
      <c r="BQ11" s="11">
        <f>BP11+BQ8</f>
        <v/>
      </c>
      <c r="BR11" s="11">
        <f>BQ11+BR8</f>
        <v/>
      </c>
      <c r="BS11" s="11">
        <f>BR11+BS8</f>
        <v/>
      </c>
      <c r="BT11" s="11">
        <f>BS11+BT8</f>
        <v/>
      </c>
      <c r="BU11" s="11">
        <f>BT11+BU8</f>
        <v/>
      </c>
      <c r="BV11" s="11">
        <f>BU11+BV8</f>
        <v/>
      </c>
      <c r="BW11" s="11">
        <f>BV11+BW8</f>
        <v/>
      </c>
      <c r="BX11" s="11">
        <f>BW11+BX8</f>
        <v/>
      </c>
      <c r="BY11" s="11">
        <f>BX11+BY8</f>
        <v/>
      </c>
      <c r="BZ11" s="11">
        <f>BY11+BZ8</f>
        <v/>
      </c>
      <c r="CA11" s="11">
        <f>BZ11+CA8</f>
        <v/>
      </c>
      <c r="CB11" s="11">
        <f>CA11+CB8</f>
        <v/>
      </c>
      <c r="CC11" s="11">
        <f>CB11+CC8</f>
        <v/>
      </c>
      <c r="CD11" s="11">
        <f>CC11+CD8</f>
        <v/>
      </c>
      <c r="CE11" s="11">
        <f>CD11+CE8</f>
        <v/>
      </c>
      <c r="CF11" s="11">
        <f>CE11+CF8</f>
        <v/>
      </c>
      <c r="CG11" s="11">
        <f>CF11+CG8</f>
        <v/>
      </c>
      <c r="CH11" s="11">
        <f>CG11+CH8</f>
        <v/>
      </c>
      <c r="CI11" s="11">
        <f>CH11+CI8</f>
        <v/>
      </c>
      <c r="CJ11" s="11">
        <f>CI11+CJ8</f>
        <v/>
      </c>
      <c r="CK11" s="11">
        <f>CJ11+CK8</f>
        <v/>
      </c>
      <c r="CL11" s="11">
        <f>CK11+CL8</f>
        <v/>
      </c>
      <c r="CM11" s="11">
        <f>CL11+CM8</f>
        <v/>
      </c>
      <c r="CN11" s="11">
        <f>CM11+CN8</f>
        <v/>
      </c>
      <c r="CO11" s="11">
        <f>CN11+CO8</f>
        <v/>
      </c>
      <c r="CP11" s="11">
        <f>CO11+CP8</f>
        <v/>
      </c>
      <c r="CQ11" s="11">
        <f>CP11+CQ8</f>
        <v/>
      </c>
      <c r="CR11" s="11">
        <f>CQ11+CR8</f>
        <v/>
      </c>
      <c r="CS11" s="11">
        <f>CR11+CS8</f>
        <v/>
      </c>
      <c r="CT11" s="11">
        <f>CS11+CT8</f>
        <v/>
      </c>
      <c r="CU11" s="11">
        <f>CT11+CU8</f>
        <v/>
      </c>
      <c r="CV11" s="11">
        <f>CU11+CV8</f>
        <v/>
      </c>
      <c r="CW11" s="11">
        <f>CV11+CW8</f>
        <v/>
      </c>
      <c r="CX11" s="11">
        <f>CW11+CX8</f>
        <v/>
      </c>
      <c r="CY11" s="11">
        <f>CX11+CY8</f>
        <v/>
      </c>
      <c r="CZ11" s="11">
        <f>CY11+CZ8</f>
        <v/>
      </c>
      <c r="DA11" s="11">
        <f>CZ11+DA8</f>
        <v/>
      </c>
      <c r="DB11" s="11">
        <f>DA11+DB8</f>
        <v/>
      </c>
      <c r="DC11" s="11">
        <f>DB11+DC8</f>
        <v/>
      </c>
      <c r="DD11" s="11">
        <f>DC11+DD8</f>
        <v/>
      </c>
      <c r="DE11" s="11">
        <f>DD11+DE8</f>
        <v/>
      </c>
      <c r="DF11" s="11">
        <f>DE11+DF8</f>
        <v/>
      </c>
      <c r="DG11" s="11">
        <f>DF11+DG8</f>
        <v/>
      </c>
      <c r="DH11" s="11">
        <f>DG11+DH8</f>
        <v/>
      </c>
      <c r="DI11" s="11">
        <f>DH11+DI8</f>
        <v/>
      </c>
      <c r="DJ11" s="11">
        <f>DI11+DJ8</f>
        <v/>
      </c>
      <c r="DK11" s="11">
        <f>DJ11+DK8</f>
        <v/>
      </c>
      <c r="DL11" s="11">
        <f>DK11+DL8</f>
        <v/>
      </c>
      <c r="DM11" s="11">
        <f>DL11+DM8</f>
        <v/>
      </c>
      <c r="DN11" s="11">
        <f>DM11+DN8</f>
        <v/>
      </c>
      <c r="DO11" s="11">
        <f>DN11+DO8</f>
        <v/>
      </c>
      <c r="DP11" s="11">
        <f>DO11+DP8</f>
        <v/>
      </c>
    </row>
    <row r="12">
      <c r="D12" t="inlineStr">
        <is>
          <t>Equity IRR (XIRR)</t>
        </is>
      </c>
      <c r="E12" t="inlineStr">
        <is>
          <t>%</t>
        </is>
      </c>
      <c r="F12" s="18">
        <f>XIRR(Returns!$J$8:$DP$8,Returns!$J$7:$DP$7)</f>
        <v/>
      </c>
    </row>
    <row r="13">
      <c r="D13" t="inlineStr">
        <is>
          <t>Project IRR, post-tax (XIRR)</t>
        </is>
      </c>
      <c r="E13" t="inlineStr">
        <is>
          <t>%</t>
        </is>
      </c>
      <c r="F13" s="18">
        <f>XIRR(Returns!$J$9:$DP$9,Returns!$J$7:$DP$7,0.1)</f>
        <v/>
      </c>
    </row>
    <row r="14">
      <c r="D14" t="inlineStr">
        <is>
          <t>Project IRR, pre-tax (XIRR)</t>
        </is>
      </c>
      <c r="E14" t="inlineStr">
        <is>
          <t>%</t>
        </is>
      </c>
      <c r="F14" s="18">
        <f>XIRR(Returns!$J$10:$DP$10,Returns!$J$7:$DP$7,0.1)</f>
        <v/>
      </c>
    </row>
    <row r="15">
      <c r="D15" t="inlineStr">
        <is>
          <t>Equity NPV at 16.0%, at financial close (2018-07-17)</t>
        </is>
      </c>
      <c r="E15" t="inlineStr">
        <is>
          <t>USD m</t>
        </is>
      </c>
      <c r="F15" s="19">
        <f>XNPV(0.16,Returns!$J$8:$DP$8,Returns!$J$7:$DP$7)*1.16^((DATE(2018,7,17)-DATE(2018,2,5))/365)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Checks: every check shows 0 when passing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Sources less uses (construction)</t>
        </is>
      </c>
      <c r="E7" t="inlineStr">
        <is>
          <t>check</t>
        </is>
      </c>
      <c r="F7" s="6">
        <f>ROUND(SUM(Funding!$J$73:$BJ$73)+SUM(Funding!$J$67:$BJ$67)+SUM(Funding!$J$53:$BJ$53)-SUM(Funding!$J$49:$BJ$49),6)</f>
        <v/>
      </c>
    </row>
    <row r="8">
      <c r="D8" t="inlineStr">
        <is>
          <t>Committed debt drawn in full (FC-type), USD m</t>
        </is>
      </c>
      <c r="E8" t="inlineStr">
        <is>
          <t>check</t>
        </is>
      </c>
      <c r="F8" s="6">
        <f>IF(Inputs!$F$33=1,ROUND(SUM(Funding!$J$47:$BJ$47)-Funding!$F$25,4),0)</f>
        <v/>
      </c>
    </row>
    <row r="9">
      <c r="D9" t="inlineStr">
        <is>
          <t>Closed-form T less live T (re-grossed cases), USD m</t>
        </is>
      </c>
      <c r="E9" t="inlineStr">
        <is>
          <t>check</t>
        </is>
      </c>
      <c r="F9" s="6">
        <f>IF(Inputs!$F$50=2,ROUND(Funding!$F$24-Funding!$F$75,4),0)</f>
        <v/>
      </c>
    </row>
    <row r="10">
      <c r="D10" t="inlineStr">
        <is>
          <t>Balance sheet balances (max abs difference)</t>
        </is>
      </c>
      <c r="E10" t="inlineStr">
        <is>
          <t>check</t>
        </is>
      </c>
      <c r="F10" s="6">
        <f>ROUND(MAX(MAX(Financials!$J$29:$BN$29),-MIN(Financials!$J$29:$BN$29)),4)</f>
        <v/>
      </c>
    </row>
    <row r="11">
      <c r="D11" t="inlineStr">
        <is>
          <t>No unpaid debt service after DSRA</t>
        </is>
      </c>
      <c r="E11" t="inlineStr">
        <is>
          <t>check</t>
        </is>
      </c>
      <c r="F11" s="6">
        <f>ROUND(SUM(Waterfall!$J$12:$BN$12),4)</f>
        <v/>
      </c>
    </row>
    <row r="12">
      <c r="D12" t="inlineStr">
        <is>
          <t>Debt repaid by final maturity</t>
        </is>
      </c>
      <c r="E12" t="inlineStr">
        <is>
          <t>check</t>
        </is>
      </c>
      <c r="F12" s="6">
        <f>ROUND(INDEX(Debt!$J$123:$BN$123,1,57),4)</f>
        <v/>
      </c>
    </row>
    <row r="13">
      <c r="D13" t="inlineStr">
        <is>
          <t>FC base: live sculpting equals contract profile (max abs, USD m)</t>
        </is>
      </c>
      <c r="E13" t="inlineStr">
        <is>
          <t>check</t>
        </is>
      </c>
      <c r="F13" s="6">
        <f>ROUND(MAX(MAX(Debt!$J$143:$BN$143),-MIN(Debt!$J$143:$BN$143)),3)</f>
        <v/>
      </c>
    </row>
    <row r="14">
      <c r="D14" t="inlineStr">
        <is>
          <t>FC base: debt not above DSCR capacity or gearing cap</t>
        </is>
      </c>
      <c r="E14" t="inlineStr">
        <is>
          <t>check</t>
        </is>
      </c>
      <c r="F14" s="6">
        <f>IF(Inputs!$F$8=1,IF(Funding!$F$25&lt;=MIN(Debt!$F$138,Debt!$F$139)+0.001,0,1),0)</f>
        <v/>
      </c>
    </row>
    <row r="15">
      <c r="D15" t="inlineStr">
        <is>
          <t>VAT facility within limit</t>
        </is>
      </c>
      <c r="E15" t="inlineStr">
        <is>
          <t>check</t>
        </is>
      </c>
      <c r="F15" s="6">
        <f>IF(MAX(Construction!$J$35:$BJ$35)&lt;=Inputs!$F$70,0,1)</f>
        <v/>
      </c>
    </row>
    <row r="16">
      <c r="D16" t="inlineStr">
        <is>
          <t>Standby and contingent equity within commitments</t>
        </is>
      </c>
      <c r="E16" t="inlineStr">
        <is>
          <t>check</t>
        </is>
      </c>
      <c r="F16" s="6">
        <f>IF(AND(SUM(Funding!$J$55:$BJ$55)&lt;=Inputs!$F$97+0.000001,SUM(Funding!$J$56:$BJ$56)&lt;=Inputs!$F$101+0.000001),0,1)</f>
        <v/>
      </c>
    </row>
    <row r="17">
      <c r="D17" t="inlineStr">
        <is>
          <t>ECA tranche within cap (USD 224.1m)</t>
        </is>
      </c>
      <c r="E17" t="inlineStr">
        <is>
          <t>check</t>
        </is>
      </c>
      <c r="F17" s="6">
        <f>IF(Inputs!$F$73*Funding!$F$25&lt;=224.1,0,1)</f>
        <v/>
      </c>
    </row>
    <row r="18">
      <c r="D18" t="inlineStr">
        <is>
          <t>MMRA never negative</t>
        </is>
      </c>
      <c r="E18" t="inlineStr">
        <is>
          <t>check</t>
        </is>
      </c>
      <c r="F18" s="6">
        <f>IF(MIN(Reserves!$J$8:$BN$8)&gt;=-0.000001,0,1)</f>
        <v/>
      </c>
    </row>
    <row r="19">
      <c r="D19" t="inlineStr">
        <is>
          <t>Sum of checks (0 = all pass)</t>
        </is>
      </c>
      <c r="E19" t="inlineStr">
        <is>
          <t>check</t>
        </is>
      </c>
      <c r="F19" s="6">
        <f>ABS(Checks!$F$7)+ABS(Checks!$F$8)+ABS(Checks!$F$9)+ABS(Checks!$F$10)+ABS(Checks!$F$11)+ABS(Checks!$F$12)+ABS(Checks!$F$13)+ABS(Checks!$F$14)+ABS(Checks!$F$15)+ABS(Checks!$F$16)+ABS(Checks!$F$17)+ABS(Checks!$F$18)</f>
        <v/>
      </c>
    </row>
  </sheetData>
  <conditionalFormatting sqref="F7:F20">
    <cfRule type="cellIs" priority="1" operator="notEqual" dxfId="0">
      <formula>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Outputs: dashboard for the selected scenario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Total funding requirement</t>
        </is>
      </c>
      <c r="E7" t="inlineStr">
        <is>
          <t>USD m</t>
        </is>
      </c>
      <c r="F7" s="20">
        <f>Funding!$F$75</f>
        <v/>
      </c>
    </row>
    <row r="8">
      <c r="D8" t="inlineStr">
        <is>
          <t>Senior debt (four tranches)</t>
        </is>
      </c>
      <c r="E8" t="inlineStr">
        <is>
          <t>USD m</t>
        </is>
      </c>
      <c r="F8" s="20">
        <f>Funding!$F$25</f>
        <v/>
      </c>
    </row>
    <row r="9">
      <c r="D9" t="inlineStr">
        <is>
          <t>Equity (incl. LNTP)</t>
        </is>
      </c>
      <c r="E9" t="inlineStr">
        <is>
          <t>USD m</t>
        </is>
      </c>
      <c r="F9" s="20">
        <f>SUM(Funding!$J$67:$BJ$67)</f>
        <v/>
      </c>
    </row>
    <row r="10">
      <c r="D10" t="inlineStr">
        <is>
          <t>Gearing (debt incl. standby / total funding)</t>
        </is>
      </c>
      <c r="E10" t="inlineStr">
        <is>
          <t>%</t>
        </is>
      </c>
      <c r="F10" s="18">
        <f>SUM(Funding!$J$73:$BJ$73)/Funding!$F$75</f>
        <v/>
      </c>
    </row>
    <row r="11">
      <c r="D11" t="inlineStr">
        <is>
          <t>Interest during construction incl. swap and PRI</t>
        </is>
      </c>
      <c r="E11" t="inlineStr">
        <is>
          <t>USD m</t>
        </is>
      </c>
      <c r="F11" s="20">
        <f>SUM(Funding!$J$33:$BJ$33)+SUM(Funding!$J$34:$BJ$34)+SUM(Funding!$J$35:$BJ$35)+SUM(Funding!$J$36:$BJ$36)+SUM(Funding!$J$37:$BJ$37)+SUM(Funding!$J$39:$BJ$39)+SUM(Funding!$J$38:$BJ$38)</f>
        <v/>
      </c>
    </row>
    <row r="12">
      <c r="D12" t="inlineStr">
        <is>
          <t>Commitment, upfront and agency fees</t>
        </is>
      </c>
      <c r="E12" t="inlineStr">
        <is>
          <t>USD m</t>
        </is>
      </c>
      <c r="F12" s="20">
        <f>SUM(Funding!$J$40:$BJ$40)+SUM(Funding!$J$41:$BJ$41)+SUM(Funding!$J$42:$BJ$42)+SUM(Funding!$J$43:$BJ$43)</f>
        <v/>
      </c>
    </row>
    <row r="13">
      <c r="D13" t="inlineStr">
        <is>
          <t>ECA premium</t>
        </is>
      </c>
      <c r="E13" t="inlineStr">
        <is>
          <t>USD m</t>
        </is>
      </c>
      <c r="F13" s="20">
        <f>SUM(Funding!$J$48:$BJ$48)</f>
        <v/>
      </c>
    </row>
    <row r="14">
      <c r="D14" t="inlineStr">
        <is>
          <t>DSRA initial funding</t>
        </is>
      </c>
      <c r="E14" t="inlineStr">
        <is>
          <t>USD m</t>
        </is>
      </c>
      <c r="F14" s="20">
        <f>SUM(Funding!$J$44:$BJ$44)</f>
        <v/>
      </c>
    </row>
    <row r="15">
      <c r="D15" t="inlineStr">
        <is>
          <t>Standby drawn</t>
        </is>
      </c>
      <c r="E15" t="inlineStr">
        <is>
          <t>USD m</t>
        </is>
      </c>
      <c r="F15" s="20">
        <f>SUM(Funding!$J$55:$BJ$55)</f>
        <v/>
      </c>
    </row>
    <row r="16">
      <c r="D16" t="inlineStr">
        <is>
          <t>Contingent equity drawn</t>
        </is>
      </c>
      <c r="E16" t="inlineStr">
        <is>
          <t>USD m</t>
        </is>
      </c>
      <c r="F16" s="20">
        <f>SUM(Funding!$J$56:$BJ$56)</f>
        <v/>
      </c>
    </row>
    <row r="17">
      <c r="D17" t="inlineStr">
        <is>
          <t>Minimum DSCR</t>
        </is>
      </c>
      <c r="E17" t="inlineStr">
        <is>
          <t>x</t>
        </is>
      </c>
      <c r="F17" s="20">
        <f>Ratios!$F$16</f>
        <v/>
      </c>
    </row>
    <row r="18">
      <c r="D18" t="inlineStr">
        <is>
          <t>Average DSCR</t>
        </is>
      </c>
      <c r="E18" t="inlineStr">
        <is>
          <t>x</t>
        </is>
      </c>
      <c r="F18" s="20">
        <f>Ratios!$F$17</f>
        <v/>
      </c>
    </row>
    <row r="19">
      <c r="D19" t="inlineStr">
        <is>
          <t>LLCR at first debt service period (incl. DSRA)</t>
        </is>
      </c>
      <c r="E19" t="inlineStr">
        <is>
          <t>x</t>
        </is>
      </c>
      <c r="F19" s="20">
        <f>Ratios!$F$18</f>
        <v/>
      </c>
    </row>
    <row r="20">
      <c r="D20" t="inlineStr">
        <is>
          <t>PLCR at first debt service period</t>
        </is>
      </c>
      <c r="E20" t="inlineStr">
        <is>
          <t>x</t>
        </is>
      </c>
      <c r="F20" s="20">
        <f>Ratios!$F$19</f>
        <v/>
      </c>
    </row>
    <row r="21">
      <c r="D21" t="inlineStr">
        <is>
          <t>Equity IRR</t>
        </is>
      </c>
      <c r="E21" t="inlineStr">
        <is>
          <t>%</t>
        </is>
      </c>
      <c r="F21" s="18">
        <f>Returns!$F$12</f>
        <v/>
      </c>
    </row>
    <row r="22">
      <c r="D22" t="inlineStr">
        <is>
          <t>Project IRR, post-tax</t>
        </is>
      </c>
      <c r="E22" t="inlineStr">
        <is>
          <t>%</t>
        </is>
      </c>
      <c r="F22" s="18">
        <f>Returns!$F$13</f>
        <v/>
      </c>
    </row>
    <row r="23">
      <c r="D23" t="inlineStr">
        <is>
          <t>Equity NPV at 16.0% (at FC)</t>
        </is>
      </c>
      <c r="E23" t="inlineStr">
        <is>
          <t>USD m</t>
        </is>
      </c>
      <c r="F23" s="20">
        <f>Returns!$F$15</f>
        <v/>
      </c>
    </row>
    <row r="24">
      <c r="D24" t="inlineStr">
        <is>
          <t>All checks</t>
        </is>
      </c>
      <c r="E24" t="inlineStr">
        <is>
          <t>check</t>
        </is>
      </c>
      <c r="F24" s="20">
        <f>Checks!$F$19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2026-10-03T21:04:21Z</dcterms:created>
  <dcterms:modified xsi:type="dcterms:W3CDTF">2026-10-03T21:04:21Z</dcterms:modified>
</cp:coreProperties>
</file>